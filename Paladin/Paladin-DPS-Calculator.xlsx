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Paladin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Iron Body's flat +30 STR, Warrior Mastery, Paladin's own 2nd-job Power Stance (Attack%), Weapon Acceleration, Physical Training, Weapon Mastery, and Paladin Expert are always-on passives assumed to already be reflected in your own Inputs stat entries — only their Sensitivity marginal delta is modeled live. Iron Body's flat STR and Power Stance's own damage-reduction component have NO Sensitivity delta row at all (no percentage-bucket exists for a flat sub-stat bonus, and no damage-taken mechanic exists in this template).</t>
        </is>
      </c>
    </row>
    <row r="11">
      <c r="A11" s="2" t="inlineStr">
        <is>
          <t>DATA-QUALITY CAVEAT: Close Combat, Noble Demand, Heaven's Hammer, Divine Mark, Divine Judgment, and Maple Hero (Paladin) all have NO individual wiki page (confirmed genuine 404s) — same root-cause gap as Bishop. Each row's (baseDamage, factorIndex) is a FLAGGED ASSUMPTION derived from the single known level-1 value + a per-skill-type factorIndex convention, not a verified curve. The Mastery table's own discrete level-gated deltas layered on top of those assumed curves ARE separately confirmed real data.</t>
        </is>
      </c>
    </row>
    <row r="12">
      <c r="A12" s="2" t="inlineStr">
        <is>
          <t>Divine Mark is split into two rows (main hit + detonation), same pattern as Hero's own Puncture / FP-Mage's Poison Mist Burst-DoT split. Divine Judgment is modeled as its own detonation only — the proc fires 'every 10 basic attacks,' approximated via a live Cooldown(s) formula referencing the Basic Attack Casts Per Second cell directly (10 / rate); its own +30% Basic Attack Damage buff component is FLAGGED, not modeled.</t>
        </is>
      </c>
    </row>
    <row r="13">
      <c r="A13" s="2" t="inlineStr">
        <is>
          <t>Vessel of Light is a proc (15% chance per basic attack) with no stated internal cooldown — its uptime is approximated as MIN(1, Duration x ProcChance% x Basic Attack Rate) rather than the standard cooldown-driven duty-cycle helper used everywhere else in this project. Greater Vessel of Light (+18% FD 'for the duration of Vessel of Light') reuses that same computed uptime fraction directly rather than having its own duty cycle.</t>
        </is>
      </c>
    </row>
    <row r="14">
      <c r="A14" s="2" t="inlineStr">
        <is>
          <t>Divine Shield fires on its own fixed interval (not a player-cast cooldown) — modeled the same way as Hero's own Enrage, treating the interval as the row's own Cooldown(s). Its new Aug-13-patch 'activates at combat start' behavior is not modeled (no start-of-combat mechanic exists anywhere in this project). Its own barrier-blocking component (defensive) is also not modeled.</t>
        </is>
      </c>
    </row>
    <row r="15">
      <c r="A15" s="2" t="inlineStr">
        <is>
          <t>Blast (basic attack) reuses the universal 4th-job-basic-attack constant (baseDamage 2900, factorIndex 21) confirmed identical across every class in this project. Final Attack folds into its own coefficient exactly like Hero's own Raging Blow pattern (resolves to the identical tuple Hero/Bowmaster already established) — Paladin has NO Advanced Final Attack at all, so this is a single-stage fold only, unlike Hero/Dark Knight's two-stage version.</t>
        </is>
      </c>
    </row>
    <row r="16">
      <c r="A16" s="2" t="inlineStr">
        <is>
          <t>Magic Crash and Rush are shared verbatim with Hero (single wiki page each) — reused Hero's own already-resolved tuples directly rather than re-deriving. Magic Crash PATCHED: targets 5-&gt;9 (effect range +50% not modeled, no such mechanic exists).</t>
        </is>
      </c>
    </row>
    <row r="17">
      <c r="A17"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8">
      <c r="A18" s="2" t="inlineStr">
        <is>
          <t>Not modeled (out of scope): all forms of crowd control, Accuracy, Evasion, Defense, HP/MP recovery, movement speed, Companion Summoning Time, and pure support/defensive skills with no DPS-relevant mechanic (Combat Orders, Achilles, Parashock Guard).</t>
        </is>
      </c>
    </row>
    <row r="19">
      <c r="A1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Paladin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Weapon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STR (include Iron Body's own +30 if unlocked)</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STR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DEX</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skills/buffs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BLAST</t>
        </is>
      </c>
      <c r="B2" t="inlineStr">
        <is>
          <t>Blast</t>
        </is>
      </c>
      <c r="C2" t="n">
        <v>4</v>
      </c>
      <c r="D2" t="inlineStr"/>
      <c r="E2" t="b">
        <v>0</v>
      </c>
      <c r="F2" t="n">
        <v>1</v>
      </c>
      <c r="G2">
        <f>IF(Inputs!$B$3&gt;=136,6,5)</f>
        <v/>
      </c>
      <c r="H2" t="n">
        <v>0</v>
      </c>
      <c r="I2" t="n">
        <v>0</v>
      </c>
      <c r="J2" t="n">
        <v>100</v>
      </c>
      <c r="K2" t="n">
        <v>1</v>
      </c>
      <c r="L2" t="n">
        <v>2900</v>
      </c>
      <c r="M2" t="n">
        <v>21</v>
      </c>
      <c r="N2" t="b">
        <v>1</v>
      </c>
      <c r="O2">
        <f>Calc!F3*IF(Calc!C3=TRUE,1,0)/100*25*(1+7.5*IF(Calc!C12=TRUE,Calc!F12,0)/100)+SUMPRODUCT((Inputs!$B$3&gt;={102,106,116,120,128,132})*{10,1,1,1,1,1})</f>
        <v/>
      </c>
      <c r="P2">
        <f>SUMPRODUCT((Inputs!$B$3&gt;={111,124})*{10,10})</f>
        <v/>
      </c>
      <c r="Q2" t="n">
        <v>0</v>
      </c>
      <c r="R2">
        <f>6+Inputs!$B$33</f>
        <v/>
      </c>
      <c r="S2" t="inlineStr"/>
      <c r="T2" t="n">
        <v>0</v>
      </c>
      <c r="U2" t="inlineStr"/>
      <c r="V2" t="inlineStr"/>
      <c r="W2" t="inlineStr">
        <is>
          <t>4th-job basic-attack effect (supersedes Divine Swing/Divine Charge, confirmed identical wiki wording — 290% damage to 6 target(s) in front 5 time(s) — to every other class's own 4th-job basic attack). factorIndex 21, baseDamage 2900 tenths%. HitsPerCast=5, bumping to 6 once Mastery Lv.136 'Blast - Strike' unlocks (identical level to Hero's own Raging Blow - Strike). SkillMasteryBonus% is Final Attack's own steady-state contribution (ProcChance x AdditionalDamage% x 25, single-stage since Paladin has no Advanced Final Attack), further multiplied by Maple Hero's own +150% FD share targeting Final Attack specifically (a bespoke fold — Final Attack is a HELPER row, not a normal Maple Hero target), PLUS the real Blast - Damage mastery chain (102/106/116/120/128/132, summed as DELTAS). MasteryBossDamage% is the real 2-tier Blast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f>SUMPRODUCT((Inputs!$B$3&gt;={54})*{50})</f>
        <v/>
      </c>
      <c r="P3" t="n">
        <v>0</v>
      </c>
      <c r="Q3" t="n">
        <v>0</v>
      </c>
      <c r="R3" t="n">
        <v>0</v>
      </c>
      <c r="S3" t="inlineStr"/>
      <c r="T3" t="n">
        <v>0</v>
      </c>
      <c r="U3" t="inlineStr"/>
      <c r="V3" t="inlineStr"/>
      <c r="W3" t="inlineStr">
        <is>
          <t>Helper row only — feeds Blast's own coefficient. 25% chance, 35%-&gt;49% additional damage (levels 1-100), factorIndex 21/baseDamage 350 tenths% — resolves to the IDENTICAL tuple Hero/Bowmaster's own Final Attack helper uses, confirming this is genuinely the same cross-tree shared skill. Mastery Lv.54 'Final Attack - Damage' +50% (real SkillMasteryBonus%, same level as Hero's own chain). Paladin has NO Advanced Final Attack at all (confirmed absent from its skill list) — no second-stage helper needed.</t>
        </is>
      </c>
    </row>
    <row r="4">
      <c r="A4" t="inlineStr">
        <is>
          <t>CLOSE_COMBAT</t>
        </is>
      </c>
      <c r="B4" t="inlineStr">
        <is>
          <t>Close Combat</t>
        </is>
      </c>
      <c r="C4" t="n">
        <v>2</v>
      </c>
      <c r="D4" t="n">
        <v>18</v>
      </c>
      <c r="E4" t="b">
        <v>1</v>
      </c>
      <c r="F4" t="n">
        <v>1</v>
      </c>
      <c r="G4" t="n">
        <v>1</v>
      </c>
      <c r="H4" t="n">
        <v>0</v>
      </c>
      <c r="I4" t="n">
        <v>0</v>
      </c>
      <c r="J4" t="n">
        <v>100</v>
      </c>
      <c r="K4" t="n">
        <v>1</v>
      </c>
      <c r="L4" t="n">
        <v>4600</v>
      </c>
      <c r="M4" t="n">
        <v>12</v>
      </c>
      <c r="N4" t="b">
        <v>1</v>
      </c>
      <c r="O4">
        <f>SUMPRODUCT((Inputs!$B$3&gt;={39})*{50})</f>
        <v/>
      </c>
      <c r="P4" t="n">
        <v>0</v>
      </c>
      <c r="Q4" t="n">
        <v>0</v>
      </c>
      <c r="R4" t="n">
        <v>7</v>
      </c>
      <c r="S4" t="inlineStr"/>
      <c r="T4" t="n">
        <v>0</v>
      </c>
      <c r="U4" t="inlineStr"/>
      <c r="V4" t="inlineStr"/>
      <c r="W4" t="inlineStr">
        <is>
          <t>FLAGGED ASSUMPTION (no individual wiki page exists — confirmed genuine 404, same root-cause gap as Bishop): factorIndex 12 (burst convention), baseDamage 4600 tenths% (460% level-1). 'Deals 460% damage to 7 nearby target(s)', 18s cooldown. Mastery Lv.39 'Close Combat - Damage' +50% (real SkillMasteryBonus%). Mastery Lv.44 'Close Combat - Weaken' (+10% target damage taken for 10 sec, confirmed via maplestoryidle.info cross-reference — the wiki alone never gave a duration) is now modeled as a duty-cycle-averaged addition to Global Monster Damage-Taken Bonus % (Summary!R_MONSTER_DMG_BONUS), not this row's own Mastery columns — same pattern as Ice-Lightning-Mage's own Freezing Breath - Weaken. Maple Hero target (4x share, the biggest) — see MAPLE_HERO_RATIOS.</t>
        </is>
      </c>
    </row>
    <row r="5">
      <c r="A5" t="inlineStr">
        <is>
          <t>NOBLE_DEMAND</t>
        </is>
      </c>
      <c r="B5" t="inlineStr">
        <is>
          <t>Noble Demand</t>
        </is>
      </c>
      <c r="C5" t="n">
        <v>3</v>
      </c>
      <c r="D5" t="n">
        <v>30</v>
      </c>
      <c r="E5" t="b">
        <v>1</v>
      </c>
      <c r="F5" t="n">
        <v>1</v>
      </c>
      <c r="G5" t="n">
        <v>1</v>
      </c>
      <c r="H5" t="n">
        <v>0</v>
      </c>
      <c r="I5" t="n">
        <v>0</v>
      </c>
      <c r="J5" t="n">
        <v>100</v>
      </c>
      <c r="K5" t="n">
        <v>1</v>
      </c>
      <c r="L5" t="n">
        <v>16000</v>
      </c>
      <c r="M5" t="n">
        <v>12</v>
      </c>
      <c r="N5" t="b">
        <v>1</v>
      </c>
      <c r="O5">
        <f>SUMPRODUCT((Inputs!$B$3&gt;={73})*{50})</f>
        <v/>
      </c>
      <c r="P5" t="n">
        <v>0</v>
      </c>
      <c r="Q5" t="n">
        <v>0</v>
      </c>
      <c r="R5" t="n">
        <v>8</v>
      </c>
      <c r="S5" t="inlineStr"/>
      <c r="T5" t="n">
        <v>0</v>
      </c>
      <c r="U5" t="inlineStr"/>
      <c r="V5" t="inlineStr"/>
      <c r="W5" t="inlineStr">
        <is>
          <t>FLAGGED ASSUMPTION (no individual wiki page exists): factorIndex 12, baseDamage 16000 tenths% (1600% level-1). 'Deals 1600% damage to 8 nearby target(s) and increases their damage taken by 12% for 10 sec' — the damage-taken-increase component (confirmed 10s duration via maplestoryidle.info cross-reference — the wiki alone never gave one) is now modeled as a duty-cycle-averaged addition to Global Monster Damage-Taken Bonus % (Summary!R_MONSTER_DMG_BONUS), innate (no mastery gate — this is the skill's own base effect, unlike Close Combat/Divine Mark's own mastery-gated Weaken). 30s cooldown. Mastery Lv.73 'Noble Demand - Damage' +50% (real SkillMasteryBonus%). Mastery Lv.94 'Noble Demand - Reuse' (-30% cooldown) not separately modeled, same treatment as Hero's own Rush cooldown masteries. Maple Hero target (1x share, the smallest) — see MAPLE_HERO_RATIOS.</t>
        </is>
      </c>
    </row>
    <row r="6">
      <c r="A6" t="inlineStr">
        <is>
          <t>HEAVENS_HAMMER</t>
        </is>
      </c>
      <c r="B6" t="inlineStr">
        <is>
          <t>Heaven's Hammer</t>
        </is>
      </c>
      <c r="C6" t="n">
        <v>4</v>
      </c>
      <c r="D6" t="n">
        <v>18</v>
      </c>
      <c r="E6" t="b">
        <v>1</v>
      </c>
      <c r="F6" t="n">
        <v>1</v>
      </c>
      <c r="G6" t="n">
        <v>5</v>
      </c>
      <c r="H6" t="n">
        <v>0</v>
      </c>
      <c r="I6" t="n">
        <v>0</v>
      </c>
      <c r="J6" t="n">
        <v>100</v>
      </c>
      <c r="K6" t="n">
        <v>1</v>
      </c>
      <c r="L6" t="n">
        <v>7800</v>
      </c>
      <c r="M6" t="n">
        <v>12</v>
      </c>
      <c r="N6" t="b">
        <v>1</v>
      </c>
      <c r="O6">
        <f>SUMPRODUCT((Inputs!$B$3&gt;={108})*{50})</f>
        <v/>
      </c>
      <c r="P6">
        <f>100+IF(Inputs!$B$3&gt;=134,100,0)</f>
        <v/>
      </c>
      <c r="Q6" t="n">
        <v>0</v>
      </c>
      <c r="R6" t="n">
        <v>7</v>
      </c>
      <c r="S6" t="inlineStr"/>
      <c r="T6" t="n">
        <v>0</v>
      </c>
      <c r="U6" t="inlineStr"/>
      <c r="V6" t="inlineStr"/>
      <c r="W6" t="inlineStr">
        <is>
          <t>FLAGGED ASSUMPTION (no individual wiki page exists): factorIndex 12, baseDamage 7800 tenths% (780% level-1). 'Slams a large hammer to deal 780% damage to 7 target(s) in front 5 time(s). Deals additional 100% Boss Monster Damage' — the +100% Boss Monster Damage is the skill's own innate effect (baked into MasteryBossDamage%'s base 100), with Mastery Lv.134 'Heaven's Hammer - Boss Monster Damage' adding another +100% tier on top (total 200% once both are active). 18s cooldown. Mastery Lv.108 'Heaven's Hammer - Damage' +50% (real SkillMasteryBonus%). Not patched (absent from the Aug 13 patch notes PDF's 2-skill Paladin section).</t>
        </is>
      </c>
    </row>
    <row r="7">
      <c r="A7" t="inlineStr">
        <is>
          <t>DIVINE_MARK_MAIN</t>
        </is>
      </c>
      <c r="B7" t="inlineStr">
        <is>
          <t>Divine Mark (main hit)</t>
        </is>
      </c>
      <c r="C7" t="n">
        <v>4</v>
      </c>
      <c r="D7" t="n">
        <v>16</v>
      </c>
      <c r="E7" t="b">
        <v>1</v>
      </c>
      <c r="F7" t="n">
        <v>1</v>
      </c>
      <c r="G7" t="n">
        <v>6</v>
      </c>
      <c r="H7" t="n">
        <v>0</v>
      </c>
      <c r="I7" t="n">
        <v>0</v>
      </c>
      <c r="J7" t="n">
        <v>100</v>
      </c>
      <c r="K7" t="n">
        <v>1</v>
      </c>
      <c r="L7" t="n">
        <v>4600</v>
      </c>
      <c r="M7" t="n">
        <v>12</v>
      </c>
      <c r="N7" t="b">
        <v>1</v>
      </c>
      <c r="O7">
        <f>SUMPRODUCT((Inputs!$B$3&gt;={122})*{50})</f>
        <v/>
      </c>
      <c r="P7" t="n">
        <v>0</v>
      </c>
      <c r="Q7" t="n">
        <v>0</v>
      </c>
      <c r="R7" t="n">
        <v>8</v>
      </c>
      <c r="S7" t="inlineStr"/>
      <c r="T7" t="n">
        <v>0</v>
      </c>
      <c r="U7" t="inlineStr"/>
      <c r="V7" t="inlineStr"/>
      <c r="W7" t="inlineStr">
        <is>
          <t>FLAGGED ASSUMPTION (no individual wiki page exists): factorIndex 12, baseDamage 4600 tenths% (460% level-1). 'Deals 460% damage to 8 target(s) in front 6 time(s), then detonates stigmata of light' (see DIVINE_MARK_DETONATION for the second half — same cast, same cooldown/targets). 16s cooldown. Mastery Lv.122 'Divine Mark - Damage' +50% (real SkillMasteryBonus%, applies to the main hit only — the wiki doesn't specify it applying to the detonation too). Mastery Lv.138 'Divine Mark - Weaken' (+20% target damage taken for 10s, confirmed via maplestoryidle.info cross-reference) is now modeled as a duty-cycle-averaged addition to Global Monster Damage-Taken Bonus % (Summary!R_MONSTER_DMG_BONUS), same pattern as Close Combat's own Weaken above.</t>
        </is>
      </c>
    </row>
    <row r="8">
      <c r="A8" t="inlineStr">
        <is>
          <t>DIVINE_MARK_DETONATION</t>
        </is>
      </c>
      <c r="B8" t="inlineStr">
        <is>
          <t>Divine Mark (detonation)</t>
        </is>
      </c>
      <c r="C8" t="n">
        <v>4</v>
      </c>
      <c r="D8" t="n">
        <v>16</v>
      </c>
      <c r="E8" t="b">
        <v>0</v>
      </c>
      <c r="F8" t="n">
        <v>1</v>
      </c>
      <c r="G8" t="n">
        <v>4</v>
      </c>
      <c r="H8" t="n">
        <v>0</v>
      </c>
      <c r="I8" t="n">
        <v>0</v>
      </c>
      <c r="J8" t="n">
        <v>100</v>
      </c>
      <c r="K8" t="n">
        <v>1</v>
      </c>
      <c r="L8" t="n">
        <v>4000</v>
      </c>
      <c r="M8" t="n">
        <v>12</v>
      </c>
      <c r="N8" t="b">
        <v>1</v>
      </c>
      <c r="O8" t="n">
        <v>0</v>
      </c>
      <c r="P8" t="n">
        <v>0</v>
      </c>
      <c r="Q8" t="n">
        <v>0</v>
      </c>
      <c r="R8" t="n">
        <v>8</v>
      </c>
      <c r="S8" t="inlineStr"/>
      <c r="T8" t="n">
        <v>0</v>
      </c>
      <c r="U8" t="inlineStr"/>
      <c r="V8" t="inlineStr"/>
      <c r="W8" t="inlineStr">
        <is>
          <t>Detonation half of the same Divine Mark cast — 'dealing 400% damage to 8 nearby target(s) 4 time(s)'. Shares Divine Mark's own cooldown/cast (CostsActionSlot=False here since DIVINE_MARK_MAIN already costs the action slot for this cast). factorIndex 12, baseDamage 4000 tenths% (400% level-1). FLAGGED ASSUMPTION, same root-cause gap as its main-hit sibling. No own Skill/Boss Mastery (Lv.122's own mastery only mentions 'Divine Mark - Damage' without specifying the detonation, so it's not applied here to avoid double-counting an ambiguous mastery scope).</t>
        </is>
      </c>
    </row>
    <row r="9">
      <c r="A9" t="inlineStr">
        <is>
          <t>DIVINE_JUDGMENT</t>
        </is>
      </c>
      <c r="B9" t="inlineStr">
        <is>
          <t>Divine Judgment (detonation)</t>
        </is>
      </c>
      <c r="C9" t="n">
        <v>4</v>
      </c>
      <c r="D9">
        <f>10/Summary!$B$17</f>
        <v/>
      </c>
      <c r="E9" t="b">
        <v>0</v>
      </c>
      <c r="F9" t="n">
        <v>1</v>
      </c>
      <c r="G9" t="n">
        <v>4</v>
      </c>
      <c r="H9" t="n">
        <v>0</v>
      </c>
      <c r="I9" t="n">
        <v>0</v>
      </c>
      <c r="J9" t="n">
        <v>100</v>
      </c>
      <c r="K9" t="n">
        <v>1</v>
      </c>
      <c r="L9" t="n">
        <v>8500</v>
      </c>
      <c r="M9" t="n">
        <v>12</v>
      </c>
      <c r="N9" t="b">
        <v>1</v>
      </c>
      <c r="O9" t="n">
        <v>0</v>
      </c>
      <c r="P9" t="n">
        <v>0</v>
      </c>
      <c r="Q9" t="n">
        <v>0</v>
      </c>
      <c r="R9" t="n">
        <v>4</v>
      </c>
      <c r="S9" t="inlineStr"/>
      <c r="T9" t="n">
        <v>0</v>
      </c>
      <c r="U9" t="inlineStr"/>
      <c r="V9" t="inlineStr"/>
      <c r="W9" t="inlineStr">
        <is>
          <t>FLAGGED ASSUMPTION (no individual wiki page exists), AND a bespoke trigger-rate approximation: 'Every 10 basic attacks, increases Basic Attack Damage by 30% for 5 sec and creates a Divine Brand that explodes after 1 sec dealing 850% damage to 4 nearby target(s) 4 time(s)'. Modeled as detonation-only — Cooldown(s) is a LIVE formula (10/Summary!Actions Per Second, NOT Basic-Attack-specific Casts Per Second — referencing that cell instead would create a genuine circular reference, since R_BAPS is downstream of the same cast-rate SUMPRODUCT this row's own Q-column formula feeds into, regardless of CostsActionSlot=False) approximating the 'every 10 basic attacks' trigger as a steady-state period, the same self-referencing-a-Summary-constant pattern already established for Marksman's own Quiver Cartridge AS-scaled cooldown. The +30% Basic Attack Damage buff component is FLAGGED, not modeled — stacking another duty-cycle layer on an already-dynamic proc rate was judged out of scope for this pass. factorIndex 12, baseDamage 8500 tenths% (850% level-1). CostsActionSlot=False (the detonation itself doesn't consume the action queue — it's a delayed proc off basic attacks, which already have their own slot).</t>
        </is>
      </c>
    </row>
    <row r="10">
      <c r="A10" t="inlineStr">
        <is>
          <t>MAGIC_CRASH</t>
        </is>
      </c>
      <c r="B10" t="inlineStr">
        <is>
          <t>Magic Crash</t>
        </is>
      </c>
      <c r="C10" t="n">
        <v>4</v>
      </c>
      <c r="D10" t="n">
        <v>28</v>
      </c>
      <c r="E10" t="b">
        <v>1</v>
      </c>
      <c r="F10" t="n">
        <v>1</v>
      </c>
      <c r="G10" t="n">
        <v>1</v>
      </c>
      <c r="H10" t="n">
        <v>0</v>
      </c>
      <c r="I10" t="n">
        <v>0</v>
      </c>
      <c r="J10" t="n">
        <v>100</v>
      </c>
      <c r="K10" t="n">
        <v>1</v>
      </c>
      <c r="L10" t="n">
        <v>48000</v>
      </c>
      <c r="M10" t="n">
        <v>12</v>
      </c>
      <c r="N10" t="b">
        <v>1</v>
      </c>
      <c r="O10" t="n">
        <v>0</v>
      </c>
      <c r="P10" t="n">
        <v>0</v>
      </c>
      <c r="Q10" t="n">
        <v>0</v>
      </c>
      <c r="R10">
        <f>5+IF(Inputs!$B$3&gt;=100,4,0)</f>
        <v/>
      </c>
      <c r="S10" t="inlineStr"/>
      <c r="T10" t="n">
        <v>0</v>
      </c>
      <c r="U10" t="inlineStr"/>
      <c r="V10" t="inlineStr"/>
      <c r="W10" t="inlineStr">
        <is>
          <t>Summons a rock at the target's location, removing 1 buff and dealing 4800%-&gt;9600% damage to 5 nearby target(s), 1 time. factorIndex 12, baseDamage 48000 tenths%. Shared verbatim with Hero and Dark Knight (single wiki page, /w/Magic_Crash) — reuses Hero's own already-resolved tuple directly, not re-derived. PATCHED: targets 5-&gt;9 (effect range +50% not modeled, no such mechanic exists in this project).</t>
        </is>
      </c>
    </row>
    <row r="11">
      <c r="A11" t="inlineStr">
        <is>
          <t>RUSH</t>
        </is>
      </c>
      <c r="B11" t="inlineStr">
        <is>
          <t>Rush</t>
        </is>
      </c>
      <c r="C11" t="n">
        <v>3</v>
      </c>
      <c r="D11" t="n">
        <v>22</v>
      </c>
      <c r="E11" t="b">
        <v>1</v>
      </c>
      <c r="F11" t="n">
        <v>1</v>
      </c>
      <c r="G11" t="n">
        <v>1</v>
      </c>
      <c r="H11" t="n">
        <v>0</v>
      </c>
      <c r="I11" t="n">
        <v>0</v>
      </c>
      <c r="J11" t="n">
        <v>100</v>
      </c>
      <c r="K11" t="n">
        <v>1</v>
      </c>
      <c r="L11" t="n">
        <v>6000</v>
      </c>
      <c r="M11" t="n">
        <v>12</v>
      </c>
      <c r="N11" t="b">
        <v>1</v>
      </c>
      <c r="O11" t="n">
        <v>0</v>
      </c>
      <c r="P11" t="n">
        <v>0</v>
      </c>
      <c r="Q11" t="n">
        <v>0</v>
      </c>
      <c r="R11" t="n">
        <v>12</v>
      </c>
      <c r="S11" t="inlineStr"/>
      <c r="T11" t="n">
        <v>0</v>
      </c>
      <c r="U11" t="inlineStr"/>
      <c r="V11" t="inlineStr"/>
      <c r="W11" t="inlineStr">
        <is>
          <t>Charges to the front to deal 600%-&gt;1200% damage to 12 target(s) (stun 2.5s not modeled). factorIndex 12, baseDamage 6000 tenths%, 22s cooldown. Shared verbatim with Hero and Dark Knight — reuses Hero's own already-resolved tuple directly. Not patched (Mastery Lv.68/90 own cooldown/damage tiers not separately modeled here, same treatment as Hero's own build). Maple Hero target (1.5x share) — see MAPLE_HERO_RATIOS.</t>
        </is>
      </c>
    </row>
    <row r="12">
      <c r="A12" t="inlineStr">
        <is>
          <t>MAPLE_HERO_HELPER</t>
        </is>
      </c>
      <c r="B12" t="inlineStr">
        <is>
          <t>Maple Hero (helper)</t>
        </is>
      </c>
      <c r="C12" t="n">
        <v>4</v>
      </c>
      <c r="D12" t="inlineStr"/>
      <c r="E12" t="b">
        <v>0</v>
      </c>
      <c r="F12" t="n">
        <v>1</v>
      </c>
      <c r="G12" t="n">
        <v>1</v>
      </c>
      <c r="H12" t="n">
        <v>0</v>
      </c>
      <c r="I12" t="n">
        <v>0</v>
      </c>
      <c r="J12" t="n">
        <v>100</v>
      </c>
      <c r="K12" t="n">
        <v>1</v>
      </c>
      <c r="L12" t="n">
        <v>200</v>
      </c>
      <c r="M12" t="n">
        <v>23</v>
      </c>
      <c r="N12" t="b">
        <v>1</v>
      </c>
      <c r="O12" t="n">
        <v>0</v>
      </c>
      <c r="P12" t="n">
        <v>0</v>
      </c>
      <c r="Q12" t="n">
        <v>0</v>
      </c>
      <c r="R12" t="n">
        <v>0</v>
      </c>
      <c r="S12" t="inlineStr"/>
      <c r="T12" t="n">
        <v>0</v>
      </c>
      <c r="U12" t="inlineStr"/>
      <c r="V12" t="inlineStr"/>
      <c r="W12" t="inlineStr">
        <is>
          <t>FLAGGED ASSUMPTION — Maple_Hero_(Paladin) 404s, confirmed no wiki page exists at all (unlike Hero/Bowmaster/Dark Knight's own Maple Hero pages). Shared ratio-feeder row (see MAPLE_HERO_RATIOS) for Noble Demand/Rush/Close Combat's own Final Damage chains, PLUS a bespoke direct fold into Final Attack's own contribution inside BLAST's SkillMasteryBonus% (see that row's own Note). Using only the confirmed level-1 baseline values (factorIndex 23 convention, baseDamage 200 tenths% = Noble Demand's own 20% 1x share), assumed to follow the same '80%-growth-reduction after Lv.120' curve shape already confirmed on every other class's own Maple Hero. No independent DPS row of its own (Calc columns J-N blank/0, only D/E/F computed, read directly by each target row's own K-column formula).</t>
        </is>
      </c>
    </row>
    <row r="13">
      <c r="A13" t="inlineStr">
        <is>
          <t>VESSEL_OF_LIGHT</t>
        </is>
      </c>
      <c r="B13" t="inlineStr">
        <is>
          <t>Vessel of Light</t>
        </is>
      </c>
      <c r="C13" t="n">
        <v>2</v>
      </c>
      <c r="D13" t="inlineStr"/>
      <c r="E13" t="b">
        <v>0</v>
      </c>
      <c r="F13" t="n">
        <v>1</v>
      </c>
      <c r="G13" t="n">
        <v>1</v>
      </c>
      <c r="H13" t="n">
        <v>0</v>
      </c>
      <c r="I13" t="n">
        <v>0</v>
      </c>
      <c r="J13" t="n">
        <v>15</v>
      </c>
      <c r="K13" t="n">
        <v>1</v>
      </c>
      <c r="L13" t="n">
        <v>150</v>
      </c>
      <c r="M13" t="n">
        <v>22</v>
      </c>
      <c r="N13" t="b">
        <v>1</v>
      </c>
      <c r="O13" t="n">
        <v>0</v>
      </c>
      <c r="P13" t="n">
        <v>0</v>
      </c>
      <c r="Q13" t="n">
        <v>0</v>
      </c>
      <c r="R13" t="n">
        <v>0</v>
      </c>
      <c r="S13" t="inlineStr">
        <is>
          <t>ATTACK</t>
        </is>
      </c>
      <c r="T13" t="n">
        <v>10</v>
      </c>
      <c r="U13" t="inlineStr"/>
      <c r="V13" t="inlineStr"/>
      <c r="W13" t="inlineStr">
        <is>
          <t>'When attacking with Basic Attack, increases Attack by 15%-&gt;22% for 10 sec with a 15% chance.' FLAGGED simplification: this is a proc with no stated internal cooldown, so its uptime can't use the standard cooldown-driven duty-cycle helper used everywhere else in this project — instead approximated in Summary as MIN(1, Duration x ProcChance%/100 x Basic Attack Casts Per Second). factorIndex 22, baseDamage 150 tenths% (15%-&gt;22%, levels 1-200). Not patched.</t>
        </is>
      </c>
    </row>
    <row r="14">
      <c r="A14" t="inlineStr">
        <is>
          <t>GREATER_VESSEL_OF_LIGHT</t>
        </is>
      </c>
      <c r="B14" t="inlineStr">
        <is>
          <t>Greater Vessel of Light</t>
        </is>
      </c>
      <c r="C14" t="n">
        <v>4</v>
      </c>
      <c r="D14" t="inlineStr"/>
      <c r="E14" t="b">
        <v>0</v>
      </c>
      <c r="F14" t="n">
        <v>1</v>
      </c>
      <c r="G14" t="n">
        <v>1</v>
      </c>
      <c r="H14" t="n">
        <v>0</v>
      </c>
      <c r="I14" t="n">
        <v>0</v>
      </c>
      <c r="J14" t="n">
        <v>100</v>
      </c>
      <c r="K14" t="n">
        <v>1</v>
      </c>
      <c r="L14" t="n">
        <v>180</v>
      </c>
      <c r="M14" t="n">
        <v>22</v>
      </c>
      <c r="N14" t="b">
        <v>1</v>
      </c>
      <c r="O14" t="n">
        <v>0</v>
      </c>
      <c r="P14" t="n">
        <v>0</v>
      </c>
      <c r="Q14" t="n">
        <v>0</v>
      </c>
      <c r="R14" t="n">
        <v>0</v>
      </c>
      <c r="S14" t="inlineStr">
        <is>
          <t>FINAL_DAMAGE</t>
        </is>
      </c>
      <c r="T14" t="n">
        <v>0</v>
      </c>
      <c r="U14" t="inlineStr"/>
      <c r="V14" t="inlineStr"/>
      <c r="W14" t="inlineStr">
        <is>
          <t>FLAGGED ASSUMPTION (no individual wiki page, single known value): 'Increases Final Damage by 18% for the duration of Vessel of Light.' No own Cooldown/BuffDuration — reuses Vessel of Light's own computed uptime fraction directly in the Summary-sheet formula rather than having an independent duty cycle. factorIndex 22, baseDamage 180 tenths% (18% level-1).</t>
        </is>
      </c>
    </row>
    <row r="15">
      <c r="A15" t="inlineStr">
        <is>
          <t>DIVINE_SHIELD</t>
        </is>
      </c>
      <c r="B15" t="inlineStr">
        <is>
          <t>Divine Shield</t>
        </is>
      </c>
      <c r="C15" t="n">
        <v>3</v>
      </c>
      <c r="D15" t="n">
        <v>15</v>
      </c>
      <c r="E15" t="b">
        <v>0</v>
      </c>
      <c r="F15" t="n">
        <v>1</v>
      </c>
      <c r="G15" t="n">
        <v>1</v>
      </c>
      <c r="H15" t="n">
        <v>0</v>
      </c>
      <c r="I15" t="n">
        <v>0</v>
      </c>
      <c r="J15" t="n">
        <v>100</v>
      </c>
      <c r="K15" t="n">
        <v>1</v>
      </c>
      <c r="L15" t="n">
        <v>150</v>
      </c>
      <c r="M15" t="n">
        <v>22</v>
      </c>
      <c r="N15" t="b">
        <v>1</v>
      </c>
      <c r="O15" t="n">
        <v>0</v>
      </c>
      <c r="P15" t="n">
        <v>0</v>
      </c>
      <c r="Q15" t="n">
        <v>0</v>
      </c>
      <c r="R15" t="n">
        <v>0</v>
      </c>
      <c r="S15" t="inlineStr">
        <is>
          <t>FINAL_DAMAGE</t>
        </is>
      </c>
      <c r="T15" t="n">
        <v>10</v>
      </c>
      <c r="U15" t="inlineStr"/>
      <c r="V15" t="inlineStr"/>
      <c r="W15" t="inlineStr">
        <is>
          <t>'Every 15 sec creates a barrier that lasts for 5 sec to block damage up to 6% of Max HP. Also increases Final Damage by 15% for 10 sec.' Fires on its own fixed interval (not a player-cast cooldown) — modeled the same way as Hero's own Enrage, treating the interval as this row's own Cooldown(s). Barrier-blocking component (defensive) not modeled. factorIndex 22, baseDamage 150 tenths% (15% level-1, no individual wiki page — FLAGGED ASSUMPTION). PATCHED: new 'activates at combat start' behavior not modeled (no such mechanic exists anywhere in this project).</t>
        </is>
      </c>
    </row>
    <row r="16">
      <c r="A16" t="inlineStr">
        <is>
          <t>GUARDIAN</t>
        </is>
      </c>
      <c r="B16" t="inlineStr">
        <is>
          <t>Guardian</t>
        </is>
      </c>
      <c r="C16" t="n">
        <v>4</v>
      </c>
      <c r="D16" t="n">
        <v>24</v>
      </c>
      <c r="E16" t="b">
        <v>1</v>
      </c>
      <c r="F16" t="n">
        <v>1</v>
      </c>
      <c r="G16" t="n">
        <v>1</v>
      </c>
      <c r="H16" t="n">
        <v>0</v>
      </c>
      <c r="I16" t="n">
        <v>0</v>
      </c>
      <c r="J16" t="n">
        <v>100</v>
      </c>
      <c r="K16" t="n">
        <v>1</v>
      </c>
      <c r="L16" t="n">
        <v>100</v>
      </c>
      <c r="M16" t="n">
        <v>22</v>
      </c>
      <c r="N16" t="b">
        <v>1</v>
      </c>
      <c r="O16" t="n">
        <v>0</v>
      </c>
      <c r="P16" t="n">
        <v>0</v>
      </c>
      <c r="Q16" t="n">
        <v>0</v>
      </c>
      <c r="R16" t="n">
        <v>0</v>
      </c>
      <c r="S16" t="inlineStr">
        <is>
          <t>FINAL_DAMAGE</t>
        </is>
      </c>
      <c r="T16" t="n">
        <v>20</v>
      </c>
      <c r="U16" t="inlineStr"/>
      <c r="V16" t="inlineStr"/>
      <c r="W16" t="inlineStr">
        <is>
          <t>FLAGGED ASSUMPTION (no individual wiki page exists): factorIndex 22, baseDamage 100 tenths% (10% level-1). 'Increases your Final Damage by 10% for 20 sec and grants Continuous Recovery to 1 nearby ally for 20 sec, recovering 0.8% HP/sec' — the ally-HP-recovery component not modeled (no HP tracking anywhere in this project). 24s cooldown. Not patched.</t>
        </is>
      </c>
    </row>
    <row r="17">
      <c r="A17" t="inlineStr">
        <is>
          <t>DIVINE_BLESSING</t>
        </is>
      </c>
      <c r="B17" t="inlineStr">
        <is>
          <t>Divine Blessing</t>
        </is>
      </c>
      <c r="C17" t="n">
        <v>4</v>
      </c>
      <c r="D17" t="n">
        <v>30</v>
      </c>
      <c r="E17" t="b">
        <v>1</v>
      </c>
      <c r="F17" t="n">
        <v>1</v>
      </c>
      <c r="G17" t="n">
        <v>1</v>
      </c>
      <c r="H17" t="n">
        <v>0</v>
      </c>
      <c r="I17" t="n">
        <v>0</v>
      </c>
      <c r="J17" t="n">
        <v>100</v>
      </c>
      <c r="K17" t="n">
        <v>1</v>
      </c>
      <c r="L17" t="n">
        <v>120</v>
      </c>
      <c r="M17" t="n">
        <v>22</v>
      </c>
      <c r="N17" t="b">
        <v>1</v>
      </c>
      <c r="O17" t="n">
        <v>0</v>
      </c>
      <c r="P17" t="n">
        <v>0</v>
      </c>
      <c r="Q17" t="n">
        <v>0</v>
      </c>
      <c r="R17" t="n">
        <v>0</v>
      </c>
      <c r="S17" t="inlineStr">
        <is>
          <t>FINAL_DAMAGE</t>
        </is>
      </c>
      <c r="T17" t="n">
        <v>22</v>
      </c>
      <c r="U17" t="inlineStr"/>
      <c r="V17" t="inlineStr"/>
      <c r="W17" t="inlineStr">
        <is>
          <t>FLAGGED ASSUMPTION (no individual wiki page exists): factorIndex 22, baseDamage 120 tenths% (12% level-1). Self-inclusive ally buff (matches Bishop's own 'allied players' precedent) — 'Increases your and 1 nearby ally's Final Damage by 12% for 22 sec', 30s cooldown. Not patched.</t>
        </is>
      </c>
    </row>
    <row r="18">
      <c r="A18" t="inlineStr">
        <is>
          <t>HP_RECOVERY_ATK</t>
        </is>
      </c>
      <c r="B18" t="inlineStr">
        <is>
          <t>HP Recovery (Attack buff)</t>
        </is>
      </c>
      <c r="C18" t="n">
        <v>3</v>
      </c>
      <c r="D18" t="n">
        <v>25</v>
      </c>
      <c r="E18" t="b">
        <v>1</v>
      </c>
      <c r="F18" t="n">
        <v>1</v>
      </c>
      <c r="G18" t="n">
        <v>1</v>
      </c>
      <c r="H18" t="n">
        <v>0</v>
      </c>
      <c r="I18" t="n">
        <v>0</v>
      </c>
      <c r="J18" t="n">
        <v>100</v>
      </c>
      <c r="K18" t="n">
        <v>1</v>
      </c>
      <c r="L18" t="n">
        <v>120</v>
      </c>
      <c r="M18" t="n">
        <v>22</v>
      </c>
      <c r="N18" t="b">
        <v>1</v>
      </c>
      <c r="O18" t="n">
        <v>0</v>
      </c>
      <c r="P18" t="n">
        <v>0</v>
      </c>
      <c r="Q18" t="n">
        <v>0</v>
      </c>
      <c r="R18" t="n">
        <v>0</v>
      </c>
      <c r="S18" t="inlineStr">
        <is>
          <t>ATTACK</t>
        </is>
      </c>
      <c r="T18" t="n">
        <v>20</v>
      </c>
      <c r="U18" t="inlineStr"/>
      <c r="V18" t="inlineStr"/>
      <c r="W18" t="inlineStr">
        <is>
          <t>FLAGGED ASSUMPTION (no individual wiki page exists): factorIndex 22, baseDamage 120 tenths% (12% level-1). 'Immediately recovers HP by 9% and increases Attack by 12% for 20 sec' — the instant HP-restore component not modeled (no HP tracking anywhere in this project). 25s cooldown. Not patched.</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1</v>
      </c>
      <c r="S19" t="inlineStr">
        <is>
          <t>ATTACK_SPEED</t>
        </is>
      </c>
      <c r="T19" t="n">
        <v>15</v>
      </c>
      <c r="U19" t="inlineStr"/>
      <c r="V19" t="inlineStr"/>
      <c r="W19" t="inlineStr">
        <is>
          <t>Shared cross-tree verbatim w/ every class in this project (byte-identical wiki wording — '+15% Attack Speed, +10% Speed for 15 sec'). Flat +15% Attack Speed / +10% Speed for 15s, 60s cooldown, non-scaling. FactorIndex unused placeholder.</t>
        </is>
      </c>
    </row>
    <row r="20">
      <c r="A20" t="inlineStr">
        <is>
          <t>WEAPON_ACCELERATION</t>
        </is>
      </c>
      <c r="B20" t="inlineStr">
        <is>
          <t>Weapon Acceleration</t>
        </is>
      </c>
      <c r="C20" t="n">
        <v>2</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inlineStr"/>
      <c r="V20" t="inlineStr"/>
      <c r="W20" t="inlineStr">
        <is>
          <t>Magic Critical pattern — already baked into Inputs!ATTACK_SPEED%; feeds the 2nd-Job Skill Level Bonus delta. Reuses Hero's own Weapon Acceleration tuple directly (byte-identical wiki wording — '+5% Attack Speed'). factorIndex 22, baseDamage 50 tenths% (5%-&gt;6.5%, levels 1-100).</t>
        </is>
      </c>
    </row>
    <row r="21">
      <c r="A21" t="inlineStr">
        <is>
          <t>PHYSICAL_TRAINING</t>
        </is>
      </c>
      <c r="B21" t="inlineStr">
        <is>
          <t>Physical Training</t>
        </is>
      </c>
      <c r="C21" t="n">
        <v>2</v>
      </c>
      <c r="D21" t="inlineStr"/>
      <c r="E21" t="b">
        <v>0</v>
      </c>
      <c r="F21" t="n">
        <v>1</v>
      </c>
      <c r="G21" t="n">
        <v>1</v>
      </c>
      <c r="H21" t="n">
        <v>0</v>
      </c>
      <c r="I21" t="n">
        <v>0</v>
      </c>
      <c r="J21" t="n">
        <v>100</v>
      </c>
      <c r="K21" t="n">
        <v>1</v>
      </c>
      <c r="L21" t="n">
        <v>100</v>
      </c>
      <c r="M21" t="n">
        <v>22</v>
      </c>
      <c r="N21" t="b">
        <v>1</v>
      </c>
      <c r="O21" t="n">
        <v>0</v>
      </c>
      <c r="P21" t="n">
        <v>0</v>
      </c>
      <c r="Q21" t="n">
        <v>0</v>
      </c>
      <c r="R21" t="n">
        <v>0</v>
      </c>
      <c r="S21" t="inlineStr">
        <is>
          <t>BASIC_ATTACK_DAMAGE</t>
        </is>
      </c>
      <c r="T21" t="n">
        <v>0</v>
      </c>
      <c r="U21" t="inlineStr"/>
      <c r="V21" t="inlineStr"/>
      <c r="W21" t="inlineStr">
        <is>
          <t>Magic Critical pattern — already baked into Inputs!BASIC_ATTACK_DAMAGE%; feeds the 2nd-Job Skill Level Bonus delta. Reuses Hero's own Physical Training tuple directly (byte-identical wiki wording — '+10% Basic Attack Damage'). factorIndex 22, baseDamage 100 tenths% (10%-&gt;13%,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Reuses Hero's own Weapon Mastery tuple directly. factorIndex 22, baseDamage 150 tenths% (15%-&gt;19.5%, levels 1-100).</t>
        </is>
      </c>
    </row>
    <row r="23">
      <c r="A23" t="inlineStr">
        <is>
          <t>PALADIN_EXPERT_SKILL</t>
        </is>
      </c>
      <c r="B23" t="inlineStr">
        <is>
          <t>Paladin Expert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Matches Hero's own Combat Mastery pattern exactly. factorIndex 22, baseDamage 150 tenths% (15%-&gt;24%, levels 1-200).</t>
        </is>
      </c>
    </row>
    <row r="24">
      <c r="A24" t="inlineStr">
        <is>
          <t>PALADIN_EXPERT_MAXDMG</t>
        </is>
      </c>
      <c r="B24" t="inlineStr">
        <is>
          <t>Paladin Expert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Paladin Expert (Skill Damage) above, +20%-&gt;32% Max Damage Multiplier. Magic Critical pattern — already baked into Inputs!MAX_DAMAGE%; feeds the 4th-Job Skill Level Bonus delta (Max Damage Multiplier side). factorIndex 22, baseDamage 200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Paladin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Inputs!$B$38&lt;&gt;"pvp",Inputs!$B$43=0),1,IF(IF(Inputs!$B$38="pvp",15,Inputs!$B$43)-(Summary!$B$23)&lt;=0,1,MAX(0,IF(Inputs!$B$38="pvp",15,Inputs!$B$43)-MAX(5,Summary!$B$23))/(IF(Inputs!$B$38="pvp",15,Inputs!$B$43)-(Summary!$B$23))))*IF(AND(ArtifactsInput!$M$42,B4&lt;100),CHOOSE(ArtifactsInput!$N$42+1,30,36,42,48,54,60),0)</f>
        <v/>
      </c>
    </row>
    <row r="6">
      <c r="A6" t="inlineStr">
        <is>
          <t>Ring of Cycles — Skill Damage (if threshold &gt;= 100%)</t>
        </is>
      </c>
      <c r="B6">
        <f>IF(AND(Inputs!$B$38&lt;&gt;"pvp",Inputs!$B$43=0),1,IF(IF(Inputs!$B$38="pvp",15,Inputs!$B$43)-(Summary!$B$23)&lt;=0,1,MAX(0,IF(Inputs!$B$38="pvp",15,Inputs!$B$43)-MAX(5,Summary!$B$23))/(IF(Inputs!$B$38="pvp",15,Inputs!$B$43)-(Summary!$B$23))))*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$38&lt;&gt;"pvp",Inputs!$B$43=0),1,IF(IF(Inputs!$B$38="pvp",15,Inputs!$B$43)-(Summary!$B$23)&lt;=0,1,MAX(0,IF(Inputs!$B$38="pvp",15,Inputs!$B$43)-MAX(5,Summary!$B$23))/(IF(Inputs!$B$38="pvp",15,Inputs!$B$43)-(Summary!$B$23))))*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Skills!G2*IF(Skills!H2&gt;0,Skills!I2/Skills!H2,1)</f>
        <v/>
      </c>
      <c r="H2">
        <f>1-(1-Skills!J2/100)^Skills!K2</f>
        <v/>
      </c>
      <c r="I2" t="inlineStr">
        <is>
          <t>1</t>
        </is>
      </c>
      <c r="J2">
        <f>Summary!$B$6*(F2/100)</f>
        <v/>
      </c>
      <c r="K2">
        <f>J2*(1+Summary!$B$7/100)*(1+Inputs!$B$15/100)*(1+Inputs!$B$16/100)*(5000/(6000+Inputs!$B$42*(1-Inputs!$B$19/100)))*(1+(Inputs!$B$24+Summary!$B$21)/100)*(1+Artifacts!$B$34/100)*(1+(IF(Skills!A2="BLAST",Inputs!$B$17+Artifacts!$B$40,Inputs!$B$18+Artifacts!$B$39))/100)*(Summary!$B$13*(1+Artifacts!$B$38/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IFERROR(O2/N2,0)</f>
        <v/>
      </c>
      <c r="T2">
        <f>IF(C2,(Skills!G2*N2*Summary!$B$19)*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IF(C2,(Skills!G2*N2*Summary!$B$19)*IF(Inputs!$B$38="pvp",1,(1+(Inputs!$B$21+Skills!Q2+Summary!$B$15+Artifacts!$B$80)/100)*(MIN(Skills!R2,Inputs!$B$37)))*((1+Artifacts!$B$53/100)),0)</f>
        <v/>
      </c>
    </row>
    <row r="3">
      <c r="A3">
        <f>Skills!A3</f>
        <v/>
      </c>
      <c r="B3">
        <f>Skills!B3</f>
        <v/>
      </c>
      <c r="C3">
        <f>Inputs!$B$3&gt;=50</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Inputs!$B$3&gt;=35</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Skills!G4*IF(Skills!H4&gt;0,Skills!I4/Skills!H4,1)</f>
        <v/>
      </c>
      <c r="H4">
        <f>1-(1-Skills!J4/100)^Skills!K4</f>
        <v/>
      </c>
      <c r="I4" t="inlineStr">
        <is>
          <t>1</t>
        </is>
      </c>
      <c r="J4">
        <f>Summary!$B$6*(F4/100)</f>
        <v/>
      </c>
      <c r="K4">
        <f>J4*(1+Summary!$B$7/100)*(1+Inputs!$B$15/100)*(1+Inputs!$B$16/100)*(5000/(6000+Inputs!$B$42*(1-Inputs!$B$19/100)))*(1+(Inputs!$B$24+Summary!$B$21)/100)*(1+Artifacts!$B$34/100)*(1+4.0*IF(C12=TRUE,F12,0)/100)*(1+(IF(Skills!A4="BLAST",Inputs!$B$17+Artifacts!$B$40,Inputs!$B$18+Artifacts!$B$39))/100)*(Summary!$B$13*(1+Artifacts!$B$38/100)*I4)</f>
        <v/>
      </c>
      <c r="L4">
        <f>K4*(MIN(Inputs!$B$22,Inputs!$B$23)/100+Inputs!$B$23/100)/2</f>
        <v/>
      </c>
      <c r="M4">
        <f>L4*(1+(Inputs!$B$10+Summary!$B$20+Artifacts!$B$33)/100)</f>
        <v/>
      </c>
      <c r="N4">
        <f>L4*(1-MIN((Inputs!$B$9+Summary!$B$14+Artifacts!$B$32),100)/100)+M4*(MIN((Inputs!$B$9+Summary!$B$14+Artifacts!$B$32),100)/100)</f>
        <v/>
      </c>
      <c r="O4">
        <f>(1-Summary!$B$11)*T4+Summary!$B$11*V4</f>
        <v/>
      </c>
      <c r="P4">
        <f>IF(Summary!$B$3=0,0,O4/Summary!$B$3)</f>
        <v/>
      </c>
      <c r="Q4">
        <f>IFERROR(1/(IF(Inputs!$B$38="pvp",15,MAX(0.1,Skills!D4-IF(Skills!E4=TRUE,Inputs!$B$32,0)))*(1-IF(AND(ArtifactsInput!$M$27,Inputs!$B$4="Chapter Hunt"),CHOOSE(ArtifactsInput!$N$27+1,20,24,28,32,36,40),0)/100)),0)</f>
        <v/>
      </c>
      <c r="R4">
        <f>IF(AND(Inputs!$B$38&lt;&gt;"pvp",Inputs!$B$43&gt;0),IF(MAX(0,Inputs!$B$43-Summary!$B$23)&lt;=0,0,(INT(MAX(0,Inputs!$B$43-Summary!$B$23)/(IF(Inputs!$B$38="pvp",15,MAX(0.1,Skills!D4-IF(Skills!E4=TRUE,Inputs!$B$32,0)))*(1-IF(AND(ArtifactsInput!$M$27,Inputs!$B$4="Chapter Hunt"),CHOOSE(ArtifactsInput!$N$27+1,20,24,28,32,36,40),0)/100)))+1)),0)</f>
        <v/>
      </c>
      <c r="S4">
        <f>IFERROR(O4/N4,0)</f>
        <v/>
      </c>
      <c r="T4">
        <f>IF(C4,(H4*N4*IF(AND(Inputs!$B$38&lt;&gt;"pvp",Inputs!$B$43&gt;0),((Skills!G4*((R4-1)*IF(Skills!H4&gt;0,Skills!I4/Skills!H4,1)+IF(Skills!H4&gt;0,MIN(Skills!I4,MAX(0,MAX(0,Inputs!$B$43-Summary!$B$23)-((R4-1)*(IF(Inputs!$B$38="pvp",15,MAX(0.1,Skills!D4-IF(Skills!E4=TRUE,Inputs!$B$32,0)))*(1-IF(AND(ArtifactsInput!$M$27,Inputs!$B$4="Chapter Hunt"),CHOOSE(ArtifactsInput!$N$27+1,20,24,28,32,36,40),0)/100)))))/Skills!H4,1)))/Inputs!$B$43),G4*Q4))*IF(Inputs!$B$38="pvp",1,1+(Inputs!$B$20+Skills!P4+Summary!$B$15+Artifacts!$B$35)/100)*((((5000/(6000+Inputs!$B$42*(1-(100*(1-(1-Inputs!$B$19/100)*(1-Artifacts!$B$51/100)^IF(Inputs!$B$38="pvp",1,2)))/100)))/(5000/(6000+Inputs!$B$42*(1-Inputs!$B$19/100))))*((L4*(1-MIN(100,(Inputs!$B$9+Summary!$B$14+Artifacts!$B$32)+Artifacts!$B$69)/100)+M4*(MIN(100,(Inputs!$B$9+Summary!$B$14+Artifacts!$B$32)+Artifacts!$B$69)/100))/(L4*(1-MIN(100,(Inputs!$B$9+Summary!$B$14+Artifacts!$B$32))/100)+M4*(MIN(100,(Inputs!$B$9+Summary!$B$14+Artifacts!$B$32))/100)))*(1+Artifacts!$B$81/100))),0)</f>
        <v/>
      </c>
      <c r="V4">
        <f>IF(C4,(H4*N4*IF(AND(Inputs!$B$38&lt;&gt;"pvp",Inputs!$B$43&gt;0),((Skills!G4*((R4-1)*IF(Skills!H4&gt;0,Skills!I4/Skills!H4,1)+IF(Skills!H4&gt;0,MIN(Skills!I4,MAX(0,MAX(0,Inputs!$B$43-Summary!$B$23)-((R4-1)*(IF(Inputs!$B$38="pvp",15,MAX(0.1,Skills!D4-IF(Skills!E4=TRUE,Inputs!$B$32,0)))*(1-IF(AND(ArtifactsInput!$M$27,Inputs!$B$4="Chapter Hunt"),CHOOSE(ArtifactsInput!$N$27+1,20,24,28,32,36,40),0)/100)))))/Skills!H4,1)))/Inputs!$B$43),G4*Q4))*IF(Inputs!$B$38="pvp",1,(1+(Inputs!$B$21+Skills!Q4+Summary!$B$15+Artifacts!$B$80)/100)*(MIN(Skills!R4,Inputs!$B$37)))*((1+Artifacts!$B$53/100)),0)</f>
        <v/>
      </c>
    </row>
    <row r="5">
      <c r="A5">
        <f>Skills!A5</f>
        <v/>
      </c>
      <c r="B5">
        <f>Skills!B5</f>
        <v/>
      </c>
      <c r="C5">
        <f>Inputs!$B$3&gt;=66</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Summary!$B$6*(F5/100)</f>
        <v/>
      </c>
      <c r="K5">
        <f>J5*(1+Summary!$B$7/100)*(1+Inputs!$B$15/100)*(1+Inputs!$B$16/100)*(5000/(6000+Inputs!$B$42*(1-Inputs!$B$19/100)))*(1+(Inputs!$B$24+Summary!$B$21)/100)*(1+Artifacts!$B$34/100)*(1+1.0*IF(C12=TRUE,F12,0)/100)*(1+(IF(Skills!A5="BLAST",Inputs!$B$17+Artifacts!$B$40,Inputs!$B$18+Artifacts!$B$39))/100)*(Summary!$B$13*(1+Artifacts!$B$38/100)*I5)</f>
        <v/>
      </c>
      <c r="L5">
        <f>K5*(MIN(Inputs!$B$22,Inputs!$B$23)/100+Inputs!$B$23/100)/2</f>
        <v/>
      </c>
      <c r="M5">
        <f>L5*(1+(Inputs!$B$10+Summary!$B$20+Artifacts!$B$33)/100)</f>
        <v/>
      </c>
      <c r="N5">
        <f>L5*(1-MIN((Inputs!$B$9+Summary!$B$14+Artifacts!$B$32),100)/100)+M5*(MIN((Inputs!$B$9+Summary!$B$14+Artifacts!$B$32),100)/100)</f>
        <v/>
      </c>
      <c r="O5">
        <f>(1-Summary!$B$11)*T5+Summary!$B$11*V5</f>
        <v/>
      </c>
      <c r="P5">
        <f>IF(Summary!$B$3=0,0,O5/Summary!$B$3)</f>
        <v/>
      </c>
      <c r="Q5">
        <f>IFERROR(1/(IF(Inputs!$B$38="pvp",15,MAX(0.1,Skills!D5-IF(Skills!E5=TRUE,Inputs!$B$32,0)))*(1-IF(AND(ArtifactsInput!$M$27,Inputs!$B$4="Chapter Hunt"),CHOOSE(ArtifactsInput!$N$27+1,20,24,28,32,36,40),0)/100)),0)</f>
        <v/>
      </c>
      <c r="R5">
        <f>IF(AND(Inputs!$B$38&lt;&gt;"pvp",Inputs!$B$43&gt;0),IF(MAX(0,Inputs!$B$43-Summary!$B$23)&lt;=0,0,(INT(MAX(0,Inputs!$B$43-Summary!$B$23)/(IF(Inputs!$B$38="pvp",15,MAX(0.1,Skills!D5-IF(Skills!E5=TRUE,Inputs!$B$32,0)))*(1-IF(AND(ArtifactsInput!$M$27,Inputs!$B$4="Chapter Hunt"),CHOOSE(ArtifactsInput!$N$27+1,20,24,28,32,36,40),0)/100)))+1)),0)</f>
        <v/>
      </c>
      <c r="S5">
        <f>IFERROR(O5/N5,0)</f>
        <v/>
      </c>
      <c r="T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$20+Skills!P5+Summary!$B$15+Artifacts!$B$35)/100)*((((5000/(6000+Inputs!$B$42*(1-(100*(1-(1-Inputs!$B$19/100)*(1-Artifacts!$B$51/100)^IF(Inputs!$B$38="pvp",1,2)))/100)))/(5000/(6000+Inputs!$B$42*(1-Inputs!$B$19/100))))*((L5*(1-MIN(100,(Inputs!$B$9+Summary!$B$14+Artifacts!$B$32)+Artifacts!$B$69)/100)+M5*(MIN(100,(Inputs!$B$9+Summary!$B$14+Artifacts!$B$32)+Artifacts!$B$69)/100))/(L5*(1-MIN(100,(Inputs!$B$9+Summary!$B$14+Artifacts!$B$32))/100)+M5*(MIN(100,(Inputs!$B$9+Summary!$B$14+Artifacts!$B$32))/100)))*(1+Artifacts!$B$81/100))),0)</f>
        <v/>
      </c>
      <c r="V5">
        <f>IF(C5,(H5*N5*IF(AND(Inputs!$B$38&lt;&gt;"pvp",Inputs!$B$43&gt;0),((Skills!G5*((R5-1)*IF(Skills!H5&gt;0,Skills!I5/Skills!H5,1)+IF(Skills!H5&gt;0,MIN(Skills!I5,MAX(0,MAX(0,Inputs!$B$43-Summary!$B$23)-((R5-1)*(IF(Inputs!$B$38="pvp",15,MAX(0.1,Skills!D5-IF(Skills!E5=TRUE,Inputs!$B$32,0)))*(1-IF(AND(ArtifactsInput!$M$27,Inputs!$B$4="Chapter Hunt"),CHOOSE(ArtifactsInput!$N$27+1,20,24,28,32,36,40),0)/100)))))/Skills!H5,1)))/Inputs!$B$43),G5*Q5))*IF(Inputs!$B$38="pvp",1,(1+(Inputs!$B$21+Skills!Q5+Summary!$B$15+Artifacts!$B$80)/100)*(MIN(Skills!R5,Inputs!$B$37)))*((1+Artifacts!$B$53/100)),0)</f>
        <v/>
      </c>
    </row>
    <row r="6">
      <c r="A6">
        <f>Skills!A6</f>
        <v/>
      </c>
      <c r="B6">
        <f>Skills!B6</f>
        <v/>
      </c>
      <c r="C6">
        <f>Inputs!$B$3&gt;=103</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Summary!$B$6*(F6/100)</f>
        <v/>
      </c>
      <c r="K6">
        <f>J6*(1+Summary!$B$7/100)*(1+Inputs!$B$15/100)*(1+Inputs!$B$16/100)*(5000/(6000+Inputs!$B$42*(1-Inputs!$B$19/100)))*(1+(Inputs!$B$24+Summary!$B$21)/100)*(1+Artifacts!$B$34/100)*(1+(IF(Skills!A6="BLAST",Inputs!$B$17+Artifacts!$B$40,Inputs!$B$18+Artifacts!$B$39))/100)*(Summary!$B$13*(1+Artifacts!$B$38/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IFERROR(1/(IF(Inputs!$B$38="pvp",15,MAX(0.1,Skills!D6-IF(Skills!E6=TRUE,Inputs!$B$32,0)))*(1-IF(AND(ArtifactsInput!$M$27,Inputs!$B$4="Chapter Hunt"),CHOOSE(ArtifactsInput!$N$27+1,20,24,28,32,36,40),0)/100)),0)</f>
        <v/>
      </c>
      <c r="R6">
        <f>IF(AND(Inputs!$B$38&lt;&gt;"pvp",Inputs!$B$43&gt;0),IF(MAX(0,Inputs!$B$43-Summary!$B$23)&lt;=0,0,(INT(MAX(0,Inputs!$B$43-Summary!$B$23)/(IF(Inputs!$B$38="pvp",15,MAX(0.1,Skills!D6-IF(Skills!E6=TRUE,Inputs!$B$32,0)))*(1-IF(AND(ArtifactsInput!$M$27,Inputs!$B$4="Chapter Hunt"),CHOOSE(ArtifactsInput!$N$27+1,20,24,28,32,36,40),0)/100)))+1)),0)</f>
        <v/>
      </c>
      <c r="S6">
        <f>IFERROR(O6/N6,0)</f>
        <v/>
      </c>
      <c r="T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Skills!I6/Skills!H6,1)+IF(Skills!H6&gt;0,MIN(Skills!I6,MAX(0,MAX(0,Inputs!$B$43-Summary!$B$23)-((R6-1)*(IF(Inputs!$B$38="pvp",15,MAX(0.1,Skills!D6-IF(Skills!E6=TRUE,Inputs!$B$32,0)))*(1-IF(AND(ArtifactsInput!$M$27,Inputs!$B$4="Chapter Hunt"),CHOOSE(ArtifactsInput!$N$27+1,20,24,28,32,36,40),0)/100)))))/Skills!H6,1)))/Inputs!$B$43),G6*Q6))*IF(Inputs!$B$38="pvp",1,(1+(Inputs!$B$21+Skills!Q6+Summary!$B$15+Artifacts!$B$80)/100)*(MIN(Skills!R6,Inputs!$B$37)))*((1+Artifacts!$B$53/100)),0)</f>
        <v/>
      </c>
    </row>
    <row r="7">
      <c r="A7">
        <f>Skills!A7</f>
        <v/>
      </c>
      <c r="B7">
        <f>Skills!B7</f>
        <v/>
      </c>
      <c r="C7">
        <f>Inputs!$B$3&gt;=107</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Summary!$B$6*(F7/100)</f>
        <v/>
      </c>
      <c r="K7">
        <f>J7*(1+Summary!$B$7/100)*(1+Inputs!$B$15/100)*(1+Inputs!$B$16/100)*(5000/(6000+Inputs!$B$42*(1-Inputs!$B$19/100)))*(1+(Inputs!$B$24+Summary!$B$21)/100)*(1+Artifacts!$B$34/100)*(1+(IF(Skills!A7="BLAST",Inputs!$B$17+Artifacts!$B$40,Inputs!$B$18+Artifacts!$B$39))/100)*(Summary!$B$13*(1+Artifacts!$B$38/100)*I7)</f>
        <v/>
      </c>
      <c r="L7">
        <f>K7*(MIN(Inputs!$B$22,Inputs!$B$23)/100+Inputs!$B$23/100)/2</f>
        <v/>
      </c>
      <c r="M7">
        <f>L7*(1+(Inputs!$B$10+Summary!$B$20+Artifacts!$B$33)/100)</f>
        <v/>
      </c>
      <c r="N7">
        <f>L7*(1-MIN((Inputs!$B$9+Summary!$B$14+Artifacts!$B$32),100)/100)+M7*(MIN((Inputs!$B$9+Summary!$B$14+Artifacts!$B$32),100)/100)</f>
        <v/>
      </c>
      <c r="O7">
        <f>(1-Summary!$B$11)*T7+Summary!$B$11*V7</f>
        <v/>
      </c>
      <c r="P7">
        <f>IF(Summary!$B$3=0,0,O7/Summary!$B$3)</f>
        <v/>
      </c>
      <c r="Q7">
        <f>IFERROR(1/(IF(Inputs!$B$38="pvp",15,MAX(0.1,Skills!D7-IF(Skills!E7=TRUE,Inputs!$B$32,0)))*(1-IF(AND(ArtifactsInput!$M$27,Inputs!$B$4="Chapter Hunt"),CHOOSE(ArtifactsInput!$N$27+1,20,24,28,32,36,40),0)/100)),0)</f>
        <v/>
      </c>
      <c r="R7">
        <f>IF(AND(Inputs!$B$38&lt;&gt;"pvp",Inputs!$B$43&gt;0),IF(MAX(0,Inputs!$B$43-Summary!$B$23)&lt;=0,0,(INT(MAX(0,Inputs!$B$43-Summary!$B$23)/(IF(Inputs!$B$38="pvp",15,MAX(0.1,Skills!D7-IF(Skills!E7=TRUE,Inputs!$B$32,0)))*(1-IF(AND(ArtifactsInput!$M$27,Inputs!$B$4="Chapter Hunt"),CHOOSE(ArtifactsInput!$N$27+1,20,24,28,32,36,40),0)/100)))+1)),0)</f>
        <v/>
      </c>
      <c r="S7">
        <f>IFERROR(O7/N7,0)</f>
        <v/>
      </c>
      <c r="T7">
        <f>IF(C7,(H7*N7*IF(AND(Inputs!$B$38&lt;&gt;"pvp",Inputs!$B$43&gt;0),((Skills!G7*((R7-1)*IF(Skills!H7&gt;0,Skills!I7/Skills!H7,1)+IF(Skills!H7&gt;0,MIN(Skills!I7,MAX(0,MAX(0,Inputs!$B$43-Summary!$B$23)-((R7-1)*(IF(Inputs!$B$38="pvp",15,MAX(0.1,Skills!D7-IF(Skills!E7=TRUE,Inputs!$B$32,0)))*(1-IF(AND(ArtifactsInput!$M$27,Inputs!$B$4="Chapter Hunt"),CHOOSE(ArtifactsInput!$N$27+1,20,24,28,32,36,40),0)/100)))))/Skills!H7,1)))/Inputs!$B$43),G7*Q7))*IF(Inputs!$B$38="pvp",1,1+(Inputs!$B$20+Skills!P7+Summary!$B$15+Artifacts!$B$35)/100)*((((5000/(6000+Inputs!$B$42*(1-(100*(1-(1-Inputs!$B$19/100)*(1-Artifacts!$B$51/100)^IF(Inputs!$B$38="pvp",1,2)))/100)))/(5000/(6000+Inputs!$B$42*(1-Inputs!$B$19/100))))*((L7*(1-MIN(100,(Inputs!$B$9+Summary!$B$14+Artifacts!$B$32)+Artifacts!$B$69)/100)+M7*(MIN(100,(Inputs!$B$9+Summary!$B$14+Artifacts!$B$32)+Artifacts!$B$69)/100))/(L7*(1-MIN(100,(Inputs!$B$9+Summary!$B$14+Artifacts!$B$32))/100)+M7*(MIN(100,(Inputs!$B$9+Summary!$B$14+Artifacts!$B$32))/100)))*(1+Artifacts!$B$81/100))),0)</f>
        <v/>
      </c>
      <c r="V7">
        <f>IF(C7,(H7*N7*IF(AND(Inputs!$B$38&lt;&gt;"pvp",Inputs!$B$43&gt;0),((Skills!G7*((R7-1)*IF(Skills!H7&gt;0,Skills!I7/Skills!H7,1)+IF(Skills!H7&gt;0,MIN(Skills!I7,MAX(0,MAX(0,Inputs!$B$43-Summary!$B$23)-((R7-1)*(IF(Inputs!$B$38="pvp",15,MAX(0.1,Skills!D7-IF(Skills!E7=TRUE,Inputs!$B$32,0)))*(1-IF(AND(ArtifactsInput!$M$27,Inputs!$B$4="Chapter Hunt"),CHOOSE(ArtifactsInput!$N$27+1,20,24,28,32,36,40),0)/100)))))/Skills!H7,1)))/Inputs!$B$43),G7*Q7))*IF(Inputs!$B$38="pvp",1,(1+(Inputs!$B$21+Skills!Q7+Summary!$B$15+Artifacts!$B$80)/100)*(MIN(Skills!R7,Inputs!$B$37)))*((1+Artifacts!$B$53/100)),0)</f>
        <v/>
      </c>
    </row>
    <row r="8">
      <c r="A8">
        <f>Skills!A8</f>
        <v/>
      </c>
      <c r="B8">
        <f>Skills!B8</f>
        <v/>
      </c>
      <c r="C8">
        <f>Inputs!$B$3&gt;=107</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Summary!$B$6*(F8/100)</f>
        <v/>
      </c>
      <c r="K8">
        <f>J8*(1+Summary!$B$7/100)*(1+Inputs!$B$15/100)*(1+Inputs!$B$16/100)*(5000/(6000+Inputs!$B$42*(1-Inputs!$B$19/100)))*(1+(Inputs!$B$24+Summary!$B$21)/100)*(1+Artifacts!$B$34/100)*(1+(IF(Skills!A8="BLAST",Inputs!$B$17+Artifacts!$B$40,Inputs!$B$18+Artifacts!$B$39))/100)*(Summary!$B$13*(1+Artifacts!$B$38/100)*I8)</f>
        <v/>
      </c>
      <c r="L8">
        <f>K8*(MIN(Inputs!$B$22,Inputs!$B$23)/100+Inputs!$B$23/100)/2</f>
        <v/>
      </c>
      <c r="M8">
        <f>L8*(1+(Inputs!$B$10+Summary!$B$20+Artifacts!$B$33)/100)</f>
        <v/>
      </c>
      <c r="N8">
        <f>L8*(1-MIN((Inputs!$B$9+Summary!$B$14+Artifacts!$B$32),100)/100)+M8*(MIN((Inputs!$B$9+Summary!$B$14+Artifacts!$B$32),100)/100)</f>
        <v/>
      </c>
      <c r="O8">
        <f>(1-Summary!$B$11)*T8+Summary!$B$11*V8</f>
        <v/>
      </c>
      <c r="P8">
        <f>IF(Summary!$B$3=0,0,O8/Summary!$B$3)</f>
        <v/>
      </c>
      <c r="Q8">
        <f>IFERROR(1/(IF(Inputs!$B$38="pvp",15,MAX(0.1,Skills!D8-IF(Skills!E8=TRUE,Inputs!$B$32,0)))*(1-IF(AND(ArtifactsInput!$M$27,Inputs!$B$4="Chapter Hunt"),CHOOSE(ArtifactsInput!$N$27+1,20,24,28,32,36,40),0)/100)),0)</f>
        <v/>
      </c>
      <c r="R8">
        <f>IF(AND(Inputs!$B$38&lt;&gt;"pvp",Inputs!$B$43&gt;0),IF(MAX(0,Inputs!$B$43-Summary!$B$23)&lt;=0,0,(INT(MAX(0,Inputs!$B$43-Summary!$B$23)/(IF(Inputs!$B$38="pvp",15,MAX(0.1,Skills!D8-IF(Skills!E8=TRUE,Inputs!$B$32,0)))*(1-IF(AND(ArtifactsInput!$M$27,Inputs!$B$4="Chapter Hunt"),CHOOSE(ArtifactsInput!$N$27+1,20,24,28,32,36,40),0)/100)))+1)),0)</f>
        <v/>
      </c>
      <c r="S8">
        <f>IFERROR(O8/N8,0)</f>
        <v/>
      </c>
      <c r="T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$20+Skills!P8+Summary!$B$15+Artifacts!$B$35)/100)*((((5000/(6000+Inputs!$B$42*(1-(100*(1-(1-Inputs!$B$19/100)*(1-Artifacts!$B$51/100)^IF(Inputs!$B$38="pvp",1,2)))/100)))/(5000/(6000+Inputs!$B$42*(1-Inputs!$B$19/100))))*((L8*(1-MIN(100,(Inputs!$B$9+Summary!$B$14+Artifacts!$B$32)+Artifacts!$B$69)/100)+M8*(MIN(100,(Inputs!$B$9+Summary!$B$14+Artifacts!$B$32)+Artifacts!$B$69)/100))/(L8*(1-MIN(100,(Inputs!$B$9+Summary!$B$14+Artifacts!$B$32))/100)+M8*(MIN(100,(Inputs!$B$9+Summary!$B$14+Artifacts!$B$32))/100)))*(1+Artifacts!$B$81/100))),0)</f>
        <v/>
      </c>
      <c r="V8">
        <f>IF(C8,(H8*N8*IF(AND(Inputs!$B$38&lt;&gt;"pvp",Inputs!$B$43&gt;0),((Skills!G8*((R8-1)*IF(Skills!H8&gt;0,Skills!I8/Skills!H8,1)+IF(Skills!H8&gt;0,MIN(Skills!I8,MAX(0,MAX(0,Inputs!$B$43-Summary!$B$23)-((R8-1)*(IF(Inputs!$B$38="pvp",15,MAX(0.1,Skills!D8-IF(Skills!E8=TRUE,Inputs!$B$32,0)))*(1-IF(AND(ArtifactsInput!$M$27,Inputs!$B$4="Chapter Hunt"),CHOOSE(ArtifactsInput!$N$27+1,20,24,28,32,36,40),0)/100)))))/Skills!H8,1)))/Inputs!$B$43),G8*Q8))*IF(Inputs!$B$38="pvp",1,(1+(Inputs!$B$21+Skills!Q8+Summary!$B$15+Artifacts!$B$80)/100)*(MIN(Skills!R8,Inputs!$B$37)))*((1+Artifacts!$B$53/100)),0)</f>
        <v/>
      </c>
    </row>
    <row r="9">
      <c r="A9">
        <f>Skills!A9</f>
        <v/>
      </c>
      <c r="B9">
        <f>Skills!B9</f>
        <v/>
      </c>
      <c r="C9">
        <f>Inputs!$B$3&gt;=125</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Summary!$B$6*(F9/100)</f>
        <v/>
      </c>
      <c r="K9">
        <f>J9*(1+Summary!$B$7/100)*(1+Inputs!$B$15/100)*(1+Inputs!$B$16/100)*(5000/(6000+Inputs!$B$42*(1-Inputs!$B$19/100)))*(1+(Inputs!$B$24+Summary!$B$21)/100)*(1+Artifacts!$B$34/100)*(1+(IF(Skills!A9="BLAST",Inputs!$B$17+Artifacts!$B$40,Inputs!$B$18+Artifacts!$B$39))/100)*(Summary!$B$13*(1+Artifacts!$B$38/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IFERROR(1/(IF(Inputs!$B$38="pvp",15,MAX(0.1,Skills!D9-IF(Skills!E9=TRUE,Inputs!$B$32,0)))*(1-IF(AND(ArtifactsInput!$M$27,Inputs!$B$4="Chapter Hunt"),CHOOSE(ArtifactsInput!$N$27+1,20,24,28,32,36,40),0)/100)),0)</f>
        <v/>
      </c>
      <c r="R9">
        <f>IF(AND(Inputs!$B$38&lt;&gt;"pvp",Inputs!$B$43&gt;0),IF(MAX(0,Inputs!$B$43-Summary!$B$23)&lt;=0,0,(INT(MAX(0,Inputs!$B$43-Summary!$B$23)/(IF(Inputs!$B$38="pvp",15,MAX(0.1,Skills!D9-IF(Skills!E9=TRUE,Inputs!$B$32,0)))*(1-IF(AND(ArtifactsInput!$M$27,Inputs!$B$4="Chapter Hunt"),CHOOSE(ArtifactsInput!$N$27+1,20,24,28,32,36,40),0)/100)))+1)),0)</f>
        <v/>
      </c>
      <c r="S9">
        <f>IFERROR(O9/N9,0)</f>
        <v/>
      </c>
      <c r="T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Skills!I9/Skills!H9,1)+IF(Skills!H9&gt;0,MIN(Skills!I9,MAX(0,MAX(0,Inputs!$B$43-Summary!$B$23)-((R9-1)*(IF(Inputs!$B$38="pvp",15,MAX(0.1,Skills!D9-IF(Skills!E9=TRUE,Inputs!$B$32,0)))*(1-IF(AND(ArtifactsInput!$M$27,Inputs!$B$4="Chapter Hunt"),CHOOSE(ArtifactsInput!$N$27+1,20,24,28,32,36,40),0)/100)))))/Skills!H9,1)))/Inputs!$B$43),G9*Q9))*IF(Inputs!$B$38="pvp",1,(1+(Inputs!$B$21+Skills!Q9+Summary!$B$15+Artifacts!$B$80)/100)*(MIN(Skills!R9,Inputs!$B$37)))*((1+Artifacts!$B$53/100)),0)</f>
        <v/>
      </c>
    </row>
    <row r="10">
      <c r="A10">
        <f>Skills!A10</f>
        <v/>
      </c>
      <c r="B10">
        <f>Skills!B10</f>
        <v/>
      </c>
      <c r="C10">
        <f>Inputs!$B$3&gt;=117</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Summary!$B$6*(F10/100)</f>
        <v/>
      </c>
      <c r="K10">
        <f>J10*(1+Summary!$B$7/100)*(1+Inputs!$B$15/100)*(1+Inputs!$B$16/100)*(5000/(6000+Inputs!$B$42*(1-Inputs!$B$19/100)))*(1+(Inputs!$B$24+Summary!$B$21)/100)*(1+Artifacts!$B$34/100)*(1+(IF(Skills!A10="BLAST",Inputs!$B$17+Artifacts!$B$40,Inputs!$B$18+Artifacts!$B$39))/100)*(Summary!$B$13*(1+Artifacts!$B$38/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f>IFERROR(1/(IF(Inputs!$B$38="pvp",15,MAX(0.1,Skills!D10-IF(Skills!E10=TRUE,Inputs!$B$32,0)))*(1-IF(AND(ArtifactsInput!$M$27,Inputs!$B$4="Chapter Hunt"),CHOOSE(ArtifactsInput!$N$27+1,20,24,28,32,36,40),0)/100)),0)</f>
        <v/>
      </c>
      <c r="R10">
        <f>IF(AND(Inputs!$B$38&lt;&gt;"pvp",Inputs!$B$43&gt;0),IF(MAX(0,Inputs!$B$43-Summary!$B$23)&lt;=0,0,(INT(MAX(0,Inputs!$B$43-Summary!$B$23)/(IF(Inputs!$B$38="pvp",15,MAX(0.1,Skills!D10-IF(Skills!E10=TRUE,Inputs!$B$32,0)))*(1-IF(AND(ArtifactsInput!$M$27,Inputs!$B$4="Chapter Hunt"),CHOOSE(ArtifactsInput!$N$27+1,20,24,28,32,36,40),0)/100)))+1)),0)</f>
        <v/>
      </c>
      <c r="S10">
        <f>IFERROR(O10/N10,0)</f>
        <v/>
      </c>
      <c r="T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H10*N10*IF(AND(Inputs!$B$38&lt;&gt;"pvp",Inputs!$B$43&gt;0),((Skills!G10*((R10-1)*IF(Skills!H10&gt;0,Skills!I10/Skills!H10,1)+IF(Skills!H10&gt;0,MIN(Skills!I10,MAX(0,MAX(0,Inputs!$B$43-Summary!$B$23)-((R10-1)*(IF(Inputs!$B$38="pvp",15,MAX(0.1,Skills!D10-IF(Skills!E10=TRUE,Inputs!$B$32,0)))*(1-IF(AND(ArtifactsInput!$M$27,Inputs!$B$4="Chapter Hunt"),CHOOSE(ArtifactsInput!$N$27+1,20,24,28,32,36,40),0)/100)))))/Skills!H10,1)))/Inputs!$B$43),G10*Q10))*IF(Inputs!$B$38="pvp",1,(1+(Inputs!$B$21+Skills!Q10+Summary!$B$15+Artifacts!$B$80)/100)*(MIN(Skills!R10,Inputs!$B$37)))*((1+Artifacts!$B$53/100)),0)</f>
        <v/>
      </c>
    </row>
    <row r="11">
      <c r="A11">
        <f>Skills!A11</f>
        <v/>
      </c>
      <c r="B11">
        <f>Skills!B11</f>
        <v/>
      </c>
      <c r="C11">
        <f>Inputs!$B$3&gt;=63</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Summary!$B$6*(F11/100)</f>
        <v/>
      </c>
      <c r="K11">
        <f>J11*(1+Summary!$B$7/100)*(1+Inputs!$B$15/100)*(1+Inputs!$B$16/100)*(5000/(6000+Inputs!$B$42*(1-Inputs!$B$19/100)))*(1+(Inputs!$B$24+Summary!$B$21)/100)*(1+Artifacts!$B$34/100)*(1+1.5*IF(C12=TRUE,F12,0)/100)*(1+(IF(Skills!A11="BLAST",Inputs!$B$17+Artifacts!$B$40,Inputs!$B$18+Artifacts!$B$39))/100)*(Summary!$B$13*(1+Artifacts!$B$38/100)*I11)</f>
        <v/>
      </c>
      <c r="L11">
        <f>K11*(MIN(Inputs!$B$22,Inputs!$B$23)/100+Inputs!$B$23/100)/2</f>
        <v/>
      </c>
      <c r="M11">
        <f>L11*(1+(Inputs!$B$10+Summary!$B$20+Artifacts!$B$33)/100)</f>
        <v/>
      </c>
      <c r="N11">
        <f>L11*(1-MIN((Inputs!$B$9+Summary!$B$14+Artifacts!$B$32),100)/100)+M11*(MIN((Inputs!$B$9+Summary!$B$14+Artifacts!$B$32),100)/100)</f>
        <v/>
      </c>
      <c r="O11">
        <f>(1-Summary!$B$11)*T11+Summary!$B$11*V11</f>
        <v/>
      </c>
      <c r="P11">
        <f>IF(Summary!$B$3=0,0,O11/Summary!$B$3)</f>
        <v/>
      </c>
      <c r="Q11">
        <f>IFERROR(1/(IF(Inputs!$B$38="pvp",15,MAX(0.1,Skills!D11-IF(Skills!E11=TRUE,Inputs!$B$32,0)))*(1-IF(AND(ArtifactsInput!$M$27,Inputs!$B$4="Chapter Hunt"),CHOOSE(ArtifactsInput!$N$27+1,20,24,28,32,36,40),0)/100)),0)</f>
        <v/>
      </c>
      <c r="R11">
        <f>IF(AND(Inputs!$B$38&lt;&gt;"pvp",Inputs!$B$43&gt;0),IF(MAX(0,Inputs!$B$43-Summary!$B$23)&lt;=0,0,(INT(MAX(0,Inputs!$B$43-Summary!$B$23)/(IF(Inputs!$B$38="pvp",15,MAX(0.1,Skills!D11-IF(Skills!E11=TRUE,Inputs!$B$32,0)))*(1-IF(AND(ArtifactsInput!$M$27,Inputs!$B$4="Chapter Hunt"),CHOOSE(ArtifactsInput!$N$27+1,20,24,28,32,36,40),0)/100)))+1)),0)</f>
        <v/>
      </c>
      <c r="S11">
        <f>IFERROR(O11/N11,0)</f>
        <v/>
      </c>
      <c r="T11">
        <f>IF(C11,(H11*N11*IF(AND(Inputs!$B$38&lt;&gt;"pvp",Inputs!$B$43&gt;0),((Skills!G11*((R11-1)*IF(Skills!H11&gt;0,Skills!I11/Skills!H11,1)+IF(Skills!H11&gt;0,MIN(Skills!I11,MAX(0,MAX(0,Inputs!$B$43-Summary!$B$23)-((R11-1)*(IF(Inputs!$B$38="pvp",15,MAX(0.1,Skills!D11-IF(Skills!E11=TRUE,Inputs!$B$32,0)))*(1-IF(AND(ArtifactsInput!$M$27,Inputs!$B$4="Chapter Hunt"),CHOOSE(ArtifactsInput!$N$27+1,20,24,28,32,36,40),0)/100)))))/Skills!H11,1)))/Inputs!$B$43),G11*Q11))*IF(Inputs!$B$38="pvp",1,1+(Inputs!$B$20+Skills!P11+Summary!$B$15+Artifacts!$B$35)/100)*((((5000/(6000+Inputs!$B$42*(1-(100*(1-(1-Inputs!$B$19/100)*(1-Artifacts!$B$51/100)^IF(Inputs!$B$38="pvp",1,2)))/100)))/(5000/(6000+Inputs!$B$42*(1-Inputs!$B$19/100))))*((L11*(1-MIN(100,(Inputs!$B$9+Summary!$B$14+Artifacts!$B$32)+Artifacts!$B$69)/100)+M11*(MIN(100,(Inputs!$B$9+Summary!$B$14+Artifacts!$B$32)+Artifacts!$B$69)/100))/(L11*(1-MIN(100,(Inputs!$B$9+Summary!$B$14+Artifacts!$B$32))/100)+M11*(MIN(100,(Inputs!$B$9+Summary!$B$14+Artifacts!$B$32))/100)))*(1+Artifacts!$B$81/100))),0)</f>
        <v/>
      </c>
      <c r="V11">
        <f>IF(C11,(H11*N11*IF(AND(Inputs!$B$38&lt;&gt;"pvp",Inputs!$B$43&gt;0),((Skills!G11*((R11-1)*IF(Skills!H11&gt;0,Skills!I11/Skills!H11,1)+IF(Skills!H11&gt;0,MIN(Skills!I11,MAX(0,MAX(0,Inputs!$B$43-Summary!$B$23)-((R11-1)*(IF(Inputs!$B$38="pvp",15,MAX(0.1,Skills!D11-IF(Skills!E11=TRUE,Inputs!$B$32,0)))*(1-IF(AND(ArtifactsInput!$M$27,Inputs!$B$4="Chapter Hunt"),CHOOSE(ArtifactsInput!$N$27+1,20,24,28,32,36,40),0)/100)))))/Skills!H11,1)))/Inputs!$B$43),G11*Q11))*IF(Inputs!$B$38="pvp",1,(1+(Inputs!$B$21+Skills!Q11+Summary!$B$15+Artifacts!$B$80)/100)*(MIN(Skills!R11,Inputs!$B$37)))*((1+Artifacts!$B$53/100)),0)</f>
        <v/>
      </c>
    </row>
    <row r="12">
      <c r="A12">
        <f>Skills!A12</f>
        <v/>
      </c>
      <c r="B12">
        <f>Skills!B12</f>
        <v/>
      </c>
      <c r="C12">
        <f>Inputs!$B$3&gt;=100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t="inlineStr"/>
      <c r="H12" t="inlineStr"/>
      <c r="I12" t="inlineStr">
        <is>
          <t>1</t>
        </is>
      </c>
      <c r="J12" t="inlineStr"/>
      <c r="K12" t="inlineStr"/>
      <c r="L12" t="inlineStr"/>
      <c r="M12" t="inlineStr"/>
      <c r="N12" t="inlineStr"/>
      <c r="O12" t="inlineStr"/>
      <c r="P12" t="inlineStr"/>
      <c r="Q12" t="inlineStr"/>
      <c r="R12" t="inlineStr"/>
      <c r="S12" t="inlineStr"/>
    </row>
    <row r="13">
      <c r="A13">
        <f>Skills!A13</f>
        <v/>
      </c>
      <c r="B13">
        <f>Skills!B13</f>
        <v/>
      </c>
      <c r="C13">
        <f>Inputs!$B$3&gt;=45</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f>(1-Summary!$B$11)*T13+Summary!$B$11*V13</f>
        <v/>
      </c>
      <c r="P13">
        <f>IF(Summary!$B$3=0,0,O13/Summary!$B$3)</f>
        <v/>
      </c>
      <c r="Q13" t="n">
        <v>0</v>
      </c>
      <c r="R13" t="n">
        <v>0</v>
      </c>
      <c r="S13">
        <f>IFERROR(O13/N13,0)</f>
        <v/>
      </c>
      <c r="T13" t="n">
        <v>0</v>
      </c>
      <c r="V13" t="n">
        <v>0</v>
      </c>
    </row>
    <row r="14">
      <c r="A14">
        <f>Skills!A14</f>
        <v/>
      </c>
      <c r="B14">
        <f>Skills!B14</f>
        <v/>
      </c>
      <c r="C14">
        <f>Inputs!$B$3&gt;=110</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f>(1-Summary!$B$11)*T14+Summary!$B$11*V14</f>
        <v/>
      </c>
      <c r="P14">
        <f>IF(Summary!$B$3=0,0,O14/Summary!$B$3)</f>
        <v/>
      </c>
      <c r="Q14" t="n">
        <v>0</v>
      </c>
      <c r="R14" t="n">
        <v>0</v>
      </c>
      <c r="S14">
        <f>IFERROR(O14/N14,0)</f>
        <v/>
      </c>
      <c r="T14" t="n">
        <v>0</v>
      </c>
      <c r="V14" t="n">
        <v>0</v>
      </c>
    </row>
    <row r="15">
      <c r="A15">
        <f>Skills!A15</f>
        <v/>
      </c>
      <c r="B15">
        <f>Skills!B15</f>
        <v/>
      </c>
      <c r="C15">
        <f>Inputs!$B$3&gt;=75</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f>(1-Summary!$B$11)*T15+Summary!$B$11*V15</f>
        <v/>
      </c>
      <c r="P15">
        <f>IF(Summary!$B$3=0,0,O15/Summary!$B$3)</f>
        <v/>
      </c>
      <c r="Q15">
        <f>IFERROR(1/(IF(Inputs!$B$38="pvp",15,MAX(0.1,Skills!D15-IF(Skills!E15=TRUE,Inputs!$B$32,0)))*(1-IF(AND(ArtifactsInput!$M$27,Inputs!$B$4="Chapter Hunt"),CHOOSE(ArtifactsInput!$N$27+1,20,24,28,32,36,40),0)/100)),0)</f>
        <v/>
      </c>
      <c r="R15">
        <f>IF(AND(Inputs!$B$38&lt;&gt;"pvp",Inputs!$B$43&gt;0),IF(Inputs!$B$43&lt;=0,0,(INT(Inputs!$B$43/(IF(Inputs!$B$38="pvp",15,MAX(0.1,Skills!D15-IF(Skills!E15=TRUE,Inputs!$B$32,0)))*(1-IF(AND(ArtifactsInput!$M$27,Inputs!$B$4="Chapter Hunt"),CHOOSE(ArtifactsInput!$N$27+1,20,24,28,32,36,40),0)/100)))+1)),0)</f>
        <v/>
      </c>
      <c r="S15">
        <f>IFERROR(O15/N15,0)</f>
        <v/>
      </c>
      <c r="T15" t="n">
        <v>0</v>
      </c>
      <c r="V15" t="n">
        <v>0</v>
      </c>
    </row>
    <row r="16">
      <c r="A16">
        <f>Skills!A16</f>
        <v/>
      </c>
      <c r="B16">
        <f>Skills!B16</f>
        <v/>
      </c>
      <c r="C16">
        <f>Inputs!$B$3&gt;=105</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f>(1-Summary!$B$11)*T16+Summary!$B$11*V16</f>
        <v/>
      </c>
      <c r="P16">
        <f>IF(Summary!$B$3=0,0,O16/Summary!$B$3)</f>
        <v/>
      </c>
      <c r="Q16">
        <f>IFERROR(1/(IF(Inputs!$B$38="pvp",15,MAX(0.1,Skills!D16-IF(Skills!E16=TRUE,Inputs!$B$32,0)))*(1-IF(AND(ArtifactsInput!$M$27,Inputs!$B$4="Chapter Hunt"),CHOOSE(ArtifactsInput!$N$27+1,20,24,28,32,36,40),0)/100)),0)</f>
        <v/>
      </c>
      <c r="R16">
        <f>IF(AND(Inputs!$B$38&lt;&gt;"pvp",Inputs!$B$43&gt;0),IF(Inputs!$B$43&lt;=0,0,(INT(Inputs!$B$43/(IF(Inputs!$B$38="pvp",15,MAX(0.1,Skills!D16-IF(Skills!E16=TRUE,Inputs!$B$32,0)))*(1-IF(AND(ArtifactsInput!$M$27,Inputs!$B$4="Chapter Hunt"),CHOOSE(ArtifactsInput!$N$27+1,20,24,28,32,36,40),0)/100)))+1)),0)</f>
        <v/>
      </c>
      <c r="S16">
        <f>IFERROR(O16/N16,0)</f>
        <v/>
      </c>
      <c r="T16" t="n">
        <v>0</v>
      </c>
      <c r="V16" t="n">
        <v>0</v>
      </c>
    </row>
    <row r="17">
      <c r="A17">
        <f>Skills!A17</f>
        <v/>
      </c>
      <c r="B17">
        <f>Skills!B17</f>
        <v/>
      </c>
      <c r="C17">
        <f>Inputs!$B$3&gt;=115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f>(1-Summary!$B$11)*T17+Summary!$B$11*V17</f>
        <v/>
      </c>
      <c r="P17">
        <f>IF(Summary!$B$3=0,0,O17/Summary!$B$3)</f>
        <v/>
      </c>
      <c r="Q17">
        <f>IFERROR(1/(IF(Inputs!$B$38="pvp",15,MAX(0.1,Skills!D17-IF(Skills!E17=TRUE,Inputs!$B$32,0)))*(1-IF(AND(ArtifactsInput!$M$27,Inputs!$B$4="Chapter Hunt"),CHOOSE(ArtifactsInput!$N$27+1,20,24,28,32,36,40),0)/100)),0)</f>
        <v/>
      </c>
      <c r="R17">
        <f>IF(AND(Inputs!$B$38&lt;&gt;"pvp",Inputs!$B$43&gt;0),IF(Inputs!$B$43&lt;=0,0,(INT(Inputs!$B$43/(IF(Inputs!$B$38="pvp",15,MAX(0.1,Skills!D17-IF(Skills!E17=TRUE,Inputs!$B$32,0)))*(1-IF(AND(ArtifactsInput!$M$27,Inputs!$B$4="Chapter Hunt"),CHOOSE(ArtifactsInput!$N$27+1,20,24,28,32,36,40),0)/100)))+1)),0)</f>
        <v/>
      </c>
      <c r="S17">
        <f>IFERROR(O17/N17,0)</f>
        <v/>
      </c>
      <c r="T17" t="n">
        <v>0</v>
      </c>
      <c r="V17" t="n">
        <v>0</v>
      </c>
    </row>
    <row r="18">
      <c r="A18">
        <f>Skills!A18</f>
        <v/>
      </c>
      <c r="B18">
        <f>Skills!B18</f>
        <v/>
      </c>
      <c r="C18">
        <f>Inputs!$B$3&gt;=74</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f>(1-Summary!$B$11)*T18+Summary!$B$11*V18</f>
        <v/>
      </c>
      <c r="P18">
        <f>IF(Summary!$B$3=0,0,O18/Summary!$B$3)</f>
        <v/>
      </c>
      <c r="Q18">
        <f>IFERROR(1/(IF(Inputs!$B$38="pvp",15,MAX(0.1,Skills!D18-IF(Skills!E18=TRUE,Inputs!$B$32,0)))*(1-IF(AND(ArtifactsInput!$M$27,Inputs!$B$4="Chapter Hunt"),CHOOSE(ArtifactsInput!$N$27+1,20,24,28,32,36,40),0)/100)),0)</f>
        <v/>
      </c>
      <c r="R18">
        <f>IF(AND(Inputs!$B$38&lt;&gt;"pvp",Inputs!$B$43&gt;0),IF(Inputs!$B$43&lt;=0,0,(INT(Inputs!$B$43/(IF(Inputs!$B$38="pvp",15,MAX(0.1,Skills!D18-IF(Skills!E18=TRUE,Inputs!$B$32,0)))*(1-IF(AND(ArtifactsInput!$M$27,Inputs!$B$4="Chapter Hunt"),CHOOSE(ArtifactsInput!$N$27+1,20,24,28,32,36,40),0)/100)))+1)),0)</f>
        <v/>
      </c>
      <c r="S18">
        <f>IFERROR(O18/N18,0)</f>
        <v/>
      </c>
      <c r="T18" t="n">
        <v>0</v>
      </c>
      <c r="V18" t="n">
        <v>0</v>
      </c>
    </row>
    <row r="19">
      <c r="A19">
        <f>Skills!A19</f>
        <v/>
      </c>
      <c r="B19">
        <f>Skills!B19</f>
        <v/>
      </c>
      <c r="C19">
        <f>TRUE</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f>(1-Summary!$B$11)*T19+Summary!$B$11*V19</f>
        <v/>
      </c>
      <c r="P19">
        <f>IF(Summary!$B$3=0,0,O19/Summary!$B$3)</f>
        <v/>
      </c>
      <c r="Q19">
        <f>IFERROR(1/(IF(Inputs!$B$38="pvp",15,MAX(0.1,Skills!D19-IF(Skills!E19=TRUE,Inputs!$B$32,0)))*(1-IF(AND(ArtifactsInput!$M$27,Inputs!$B$4="Chapter Hunt"),CHOOSE(ArtifactsInput!$N$27+1,20,24,28,32,36,40),0)/100)),0)</f>
        <v/>
      </c>
      <c r="R19">
        <f>IF(AND(Inputs!$B$38&lt;&gt;"pvp",Inputs!$B$43&gt;0),IF(Inputs!$B$43&lt;=0,0,(INT(Inputs!$B$43/(IF(Inputs!$B$38="pvp",15,MAX(0.1,Skills!D19-IF(Skills!E19=TRUE,Inputs!$B$32,0)))*(1-IF(AND(ArtifactsInput!$M$27,Inputs!$B$4="Chapter Hunt"),CHOOSE(ArtifactsInput!$N$27+1,20,24,28,32,36,40),0)/100)))+1)),0)</f>
        <v/>
      </c>
      <c r="S19">
        <f>IFERROR(O19/N19,0)</f>
        <v/>
      </c>
      <c r="T19" t="n">
        <v>0</v>
      </c>
      <c r="V19" t="n">
        <v>0</v>
      </c>
    </row>
    <row r="20">
      <c r="A20">
        <f>Skills!A20</f>
        <v/>
      </c>
      <c r="B20">
        <f>Skills!B20</f>
        <v/>
      </c>
      <c r="C20">
        <f>Inputs!$B$3&gt;=33</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f>(1-Summary!$B$11)*T20+Summary!$B$11*V20</f>
        <v/>
      </c>
      <c r="P20">
        <f>IF(Summary!$B$3=0,0,O20/Summary!$B$3)</f>
        <v/>
      </c>
      <c r="Q20" t="n">
        <v>0</v>
      </c>
      <c r="R20" t="n">
        <v>0</v>
      </c>
      <c r="S20">
        <f>IFERROR(O20/N20,0)</f>
        <v/>
      </c>
      <c r="T20" t="n">
        <v>0</v>
      </c>
      <c r="V20" t="n">
        <v>0</v>
      </c>
    </row>
    <row r="21">
      <c r="A21">
        <f>Skills!A21</f>
        <v/>
      </c>
      <c r="B21">
        <f>Skills!B21</f>
        <v/>
      </c>
      <c r="C21">
        <f>Inputs!$B$3&gt;=38</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Inputs!$B$3&gt;=43</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Inputs!$B$3&gt;=120</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Inputs!$B$3&gt;=120</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Paladin — DPS Summary</t>
        </is>
      </c>
    </row>
    <row r="3">
      <c r="A3" s="10" t="inlineStr">
        <is>
          <t>TOTAL DPS</t>
        </is>
      </c>
      <c r="B3" s="10">
        <f>SUM(Calc!O2:O24)</f>
        <v/>
      </c>
    </row>
    <row r="5">
      <c r="A5" s="9" t="inlineStr">
        <is>
          <t>Derived Values (read-only, computed from Inputs)</t>
        </is>
      </c>
    </row>
    <row r="6">
      <c r="A6" t="inlineStr">
        <is>
          <t>ATTACK (= Flat ATTACK x (1+ATTACK%/100))</t>
        </is>
      </c>
      <c r="B6">
        <f>Inputs!$B$6*(1+Inputs!$B$7/100)</f>
        <v/>
      </c>
    </row>
    <row r="7">
      <c r="A7" t="inlineStr">
        <is>
          <t>STAT_DAMAGE % (= 1% of total STR + 0.25% of DEX)</t>
        </is>
      </c>
      <c r="B7">
        <f>(Inputs!$B$12*(1+Inputs!$B$13/100))*0.01+Inputs!$B$14*0.0025</f>
        <v/>
      </c>
    </row>
    <row r="8">
      <c r="A8" t="inlineStr">
        <is>
          <t>Basic Attack (Blast)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Blast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(Vessel of Light + HP Recovery + Artifact Attack% Bonus, summed additively)</t>
        </is>
      </c>
      <c r="B13">
        <f>1+(((Calc!C13=TRUE)*Calc!F13*MIN(1,Skills!T13*(Skills!J13/100)*Summary!$B$19))+((Calc!C18=TRUE)*Calc!F18*IF(AND(Inputs!$B$38&lt;&gt;"pvp",Inputs!$B$43&gt;0),(((Calc!R18-1)*(Skills!T18*(1+Inputs!$B$34/100))+MIN((Skills!T18*(1+Inputs!$B$34/100)),MAX(0,Inputs!$B$43-((Calc!R18-1)*Skills!D18))))/Inputs!$B$43),IF(Inputs!$B$38="pvp",MIN((Skills!T18*(1+Inputs!$B$34/100)),15)/15,(Skills!T18*(1+Inputs!$B$34/100))/Skills!D18)))+Artifacts!$B$52)/100</f>
        <v/>
      </c>
    </row>
    <row r="14">
      <c r="A14" t="inlineStr">
        <is>
          <t>Global Crit Rate Bonus % (unused — no live Crit-Rate-buff source exists)</t>
        </is>
      </c>
      <c r="B14" t="n">
        <v>0</v>
      </c>
    </row>
    <row r="15">
      <c r="A15" t="inlineStr">
        <is>
          <t>Global Monster Damage-Taken Bonus % (Close Combat/Noble Demand/Divine Mark Weaken + Artifact Enemy Damage Taken Bonus)</t>
        </is>
      </c>
      <c r="B15">
        <f>IF(Inputs!$B$3&gt;=44,10*IF(Inputs!$B$38="pvp",MIN((10*(1+Inputs!$B$34/100)),15)/15,(10*(1+Inputs!$B$34/100))/Skills!D4),0)+12*IF(Inputs!$B$38="pvp",MIN((10*(1+Inputs!$B$34/100)),15)/15,(10*(1+Inputs!$B$34/100))/Skills!D5)+IF(Inputs!$B$3&gt;=138,20*IF(Inputs!$B$38="pvp",MIN((10*(1+Inputs!$B$34/100)),15)/15,(10*(1+Inputs!$B$34/100))/Skills!D7),0)+Artifacts!$B$36</f>
        <v/>
      </c>
    </row>
    <row r="16">
      <c r="A16" t="inlineStr">
        <is>
          <t>Attack Speed Buff Bonus % (Nimble Feet, duty-cycle averaged)</t>
        </is>
      </c>
      <c r="B16">
        <f>((Calc!C19=TRUE)*Calc!F19*IF(AND(Inputs!$B$38&lt;&gt;"pvp",Inputs!$B$43&gt;0),(((Calc!R19-1)*(Skills!T19*(1+Inputs!$B$34/100))+MIN((Skills!T19*(1+Inputs!$B$34/100)),MAX(0,Inputs!$B$43-((Calc!R19-1)*Skills!D19))))/Inputs!$B$43),IF(Inputs!$B$38="pvp",MIN((Skills!T19*(1+Inputs!$B$34/100)),15)/15,(Skills!T19*(1+Inputs!$B$34/100))/Skills!D19)))</f>
        <v/>
      </c>
    </row>
    <row r="17">
      <c r="A17" t="inlineStr">
        <is>
          <t>Actions Per Second</t>
        </is>
      </c>
      <c r="B17">
        <f>1+MIN(150,150*(1-(1-Inputs!$B$11/150)*(1-B16/150)))/100</f>
        <v/>
      </c>
    </row>
    <row r="18">
      <c r="A18" t="inlineStr">
        <is>
          <t>Skill + Buff Cast Rate (subtracted from Blast, 1/s)</t>
        </is>
      </c>
      <c r="B18">
        <f>IF(AND(Inputs!$B$38&lt;&gt;"pvp",Inputs!$B$43&gt;0),SUMPRODUCT((Skills!E2:E24=TRUE)*(Calc!C2:C24=TRUE)*Calc!R2:R24*Skills!F2:F24)/Inputs!$B$43,SUMPRODUCT((Skills!E2:E24=TRUE)*(Calc!C2:C24=TRUE)*Calc!Q2:Q24*Skills!F2:F24))</f>
        <v/>
      </c>
    </row>
    <row r="19">
      <c r="A19" t="inlineStr">
        <is>
          <t>Blast (Basic Attack) Casts Per Second</t>
        </is>
      </c>
      <c r="B19">
        <f>MAX(0,B17-B18)</f>
        <v/>
      </c>
    </row>
    <row r="20">
      <c r="A20" t="inlineStr">
        <is>
          <t>Global Critical Damage Bonus % (unused — no live Crit-Damage-buff source exists)</t>
        </is>
      </c>
      <c r="B20" t="n">
        <v>0</v>
      </c>
    </row>
    <row r="21">
      <c r="A21" t="inlineStr">
        <is>
          <t>Global Final Damage Bonus % (Divine Shield + Guardian + Divine Blessing + Greater Vessel of Light)</t>
        </is>
      </c>
      <c r="B21">
        <f>((Calc!C15=TRUE)*Calc!F15*IF(AND(Inputs!$B$38&lt;&gt;"pvp",Inputs!$B$43&gt;0),(((Calc!R15-1)*(Skills!T15*(1+Inputs!$B$34/100))+MIN((Skills!T15*(1+Inputs!$B$34/100)),MAX(0,Inputs!$B$43-((Calc!R15-1)*Skills!D15))))/Inputs!$B$43),IF(Inputs!$B$38="pvp",MIN((Skills!T15*(1+Inputs!$B$34/100)),15)/15,(Skills!T15*(1+Inputs!$B$34/100))/Skills!D15)))+((Calc!C16=TRUE)*Calc!F16*IF(AND(Inputs!$B$38&lt;&gt;"pvp",Inputs!$B$43&gt;0),(((Calc!R16-1)*(Skills!T16*(1+Inputs!$B$34/100))+MIN((Skills!T16*(1+Inputs!$B$34/100)),MAX(0,Inputs!$B$43-((Calc!R16-1)*Skills!D16))))/Inputs!$B$43),IF(Inputs!$B$38="pvp",MIN((Skills!T16*(1+Inputs!$B$34/100)),15)/15,(Skills!T16*(1+Inputs!$B$34/100))/Skills!D16)))+((Calc!C17=TRUE)*Calc!F17*IF(AND(Inputs!$B$38&lt;&gt;"pvp",Inputs!$B$43&gt;0),(((Calc!R17-1)*(Skills!T17*(1+Inputs!$B$34/100))+MIN((Skills!T17*(1+Inputs!$B$34/100)),MAX(0,Inputs!$B$43-((Calc!R17-1)*Skills!D17))))/Inputs!$B$43),IF(Inputs!$B$38="pvp",MIN((Skills!T17*(1+Inputs!$B$34/100)),15)/15,(Skills!T17*(1+Inputs!$B$34/100))/Skills!D17)))+((Calc!C14=TRUE)*Calc!F14*MIN(1,Skills!T13*(Skills!J13/100)*Summary!$B$19))</f>
        <v/>
      </c>
    </row>
    <row r="22">
      <c r="A22" t="inlineStr">
        <is>
          <t>Blast (Basic Attack) DPS</t>
        </is>
      </c>
      <c r="B22">
        <f>Calc!O2</f>
        <v/>
      </c>
    </row>
    <row r="23">
      <c r="A23" t="inlineStr">
        <is>
          <t>Buff-Casting Startup Delay (s, before first damage-skill cast; fixed-duration only)</t>
        </is>
      </c>
      <c r="B23">
        <f>IF(AND(Inputs!$B$38&lt;&gt;"pvp",Inputs!$B$43&gt;0),SUMPRODUCT((Skills!T2:T24&gt;0)*(Skills!E2:E24=TRUE)*(Calc!C2:C24=TRUE))/B17,0)</f>
        <v/>
      </c>
    </row>
    <row r="24">
      <c r="A24" t="inlineStr">
        <is>
          <t>Boss-Only Total DPS (Sensitivity baseline)</t>
        </is>
      </c>
      <c r="B24">
        <f>SUM(Calc!T2:T24)</f>
        <v/>
      </c>
    </row>
    <row r="25">
      <c r="A25" t="inlineStr">
        <is>
          <t>Normal-Only Total DPS (Sensitivity baseline)</t>
        </is>
      </c>
      <c r="B25">
        <f>SUM(Calc!V2:V24)</f>
        <v/>
      </c>
    </row>
    <row r="27">
      <c r="A27" s="9" t="inlineStr">
        <is>
          <t>Per-Skill DPS Breakdown</t>
        </is>
      </c>
    </row>
    <row r="28">
      <c r="A28" s="5" t="inlineStr">
        <is>
          <t>Skill</t>
        </is>
      </c>
      <c r="B28" s="5" t="inlineStr">
        <is>
          <t>DPS</t>
        </is>
      </c>
      <c r="C28" s="5" t="inlineStr">
        <is>
          <t>% of Total</t>
        </is>
      </c>
    </row>
    <row r="29">
      <c r="A29">
        <f>Calc!B2</f>
        <v/>
      </c>
      <c r="B29">
        <f>Calc!O2</f>
        <v/>
      </c>
      <c r="C29">
        <f>Calc!P2*100</f>
        <v/>
      </c>
    </row>
    <row r="30">
      <c r="A30">
        <f>Calc!B4</f>
        <v/>
      </c>
      <c r="B30">
        <f>Calc!O4</f>
        <v/>
      </c>
      <c r="C30">
        <f>Calc!P4*100</f>
        <v/>
      </c>
    </row>
    <row r="31">
      <c r="A31">
        <f>Calc!B5</f>
        <v/>
      </c>
      <c r="B31">
        <f>Calc!O5</f>
        <v/>
      </c>
      <c r="C31">
        <f>Calc!P5*100</f>
        <v/>
      </c>
    </row>
    <row r="32">
      <c r="A32">
        <f>Calc!B6</f>
        <v/>
      </c>
      <c r="B32">
        <f>Calc!O6</f>
        <v/>
      </c>
      <c r="C32">
        <f>Calc!P6*100</f>
        <v/>
      </c>
    </row>
    <row r="33">
      <c r="A33">
        <f>Calc!B7</f>
        <v/>
      </c>
      <c r="B33">
        <f>Calc!O7</f>
        <v/>
      </c>
      <c r="C33">
        <f>Calc!P7*100</f>
        <v/>
      </c>
    </row>
    <row r="34">
      <c r="A34">
        <f>Calc!B8</f>
        <v/>
      </c>
      <c r="B34">
        <f>Calc!O8</f>
        <v/>
      </c>
      <c r="C34">
        <f>Calc!P8*100</f>
        <v/>
      </c>
    </row>
    <row r="35">
      <c r="A35">
        <f>Calc!B9</f>
        <v/>
      </c>
      <c r="B35">
        <f>Calc!O9</f>
        <v/>
      </c>
      <c r="C35">
        <f>Calc!P9*100</f>
        <v/>
      </c>
    </row>
    <row r="36">
      <c r="A36">
        <f>Calc!B10</f>
        <v/>
      </c>
      <c r="B36">
        <f>Calc!O10</f>
        <v/>
      </c>
      <c r="C36">
        <f>Calc!P10*100</f>
        <v/>
      </c>
    </row>
    <row r="37">
      <c r="A37">
        <f>Calc!B11</f>
        <v/>
      </c>
      <c r="B37">
        <f>Calc!O11</f>
        <v/>
      </c>
      <c r="C37">
        <f>Calc!P11*100</f>
        <v/>
      </c>
    </row>
    <row r="38">
      <c r="A38" s="9" t="inlineStr">
        <is>
          <t>Marginal DPS &amp; Stat Value (see Sensitivity for full detail)</t>
        </is>
      </c>
    </row>
    <row r="40">
      <c r="A40" s="5" t="inlineStr">
        <is>
          <t>Stat</t>
        </is>
      </c>
      <c r="B40" s="5" t="inlineStr">
        <is>
          <t>DPS per +1</t>
        </is>
      </c>
      <c r="C40" s="5" t="inlineStr">
        <is>
          <t>Units per +1% DPS</t>
        </is>
      </c>
    </row>
    <row r="41">
      <c r="A41">
        <f>Sensitivity!A5</f>
        <v/>
      </c>
      <c r="B41">
        <f>Sensitivity!H5</f>
        <v/>
      </c>
      <c r="C41">
        <f>Sensitivity!B5</f>
        <v/>
      </c>
    </row>
    <row r="42">
      <c r="A42">
        <f>Sensitivity!A6</f>
        <v/>
      </c>
      <c r="B42">
        <f>Sensitivity!H6</f>
        <v/>
      </c>
      <c r="C42">
        <f>Sensitivity!B6</f>
        <v/>
      </c>
    </row>
    <row r="43">
      <c r="A43">
        <f>Sensitivity!A7</f>
        <v/>
      </c>
      <c r="B43">
        <f>Sensitivity!H7</f>
        <v/>
      </c>
      <c r="C43">
        <f>Sensitivity!B7</f>
        <v/>
      </c>
    </row>
    <row r="44">
      <c r="A44">
        <f>Sensitivity!A8</f>
        <v/>
      </c>
      <c r="B44">
        <f>Sensitivity!H8</f>
        <v/>
      </c>
      <c r="C44">
        <f>Sensitivity!B8</f>
        <v/>
      </c>
    </row>
    <row r="45">
      <c r="A45">
        <f>Sensitivity!A9</f>
        <v/>
      </c>
      <c r="B45">
        <f>Sensitivity!H9</f>
        <v/>
      </c>
      <c r="C45">
        <f>Sensitivity!B9</f>
        <v/>
      </c>
    </row>
    <row r="46">
      <c r="A46">
        <f>Sensitivity!A10</f>
        <v/>
      </c>
      <c r="B46">
        <f>Sensitivity!H10</f>
        <v/>
      </c>
      <c r="C46">
        <f>Sensitivity!B10</f>
        <v/>
      </c>
    </row>
    <row r="47">
      <c r="A47">
        <f>Sensitivity!A11</f>
        <v/>
      </c>
      <c r="B47">
        <f>Sensitivity!H11</f>
        <v/>
      </c>
      <c r="C47">
        <f>Sensitivity!B11</f>
        <v/>
      </c>
    </row>
    <row r="48">
      <c r="A48">
        <f>Sensitivity!A12</f>
        <v/>
      </c>
      <c r="B48">
        <f>Sensitivity!H12</f>
        <v/>
      </c>
      <c r="C48">
        <f>Sensitivity!B12</f>
        <v/>
      </c>
    </row>
    <row r="49">
      <c r="A49">
        <f>Sensitivity!A13</f>
        <v/>
      </c>
      <c r="B49">
        <f>Sensitivity!H13</f>
        <v/>
      </c>
      <c r="C49">
        <f>Sensitivity!B13</f>
        <v/>
      </c>
    </row>
    <row r="50">
      <c r="A50">
        <f>Sensitivity!A14</f>
        <v/>
      </c>
      <c r="B50">
        <f>Sensitivity!H14</f>
        <v/>
      </c>
      <c r="C50">
        <f>Sensitivity!B14</f>
        <v/>
      </c>
    </row>
    <row r="51">
      <c r="A51">
        <f>Sensitivity!A15</f>
        <v/>
      </c>
      <c r="B51">
        <f>Sensitivity!H15</f>
        <v/>
      </c>
      <c r="C51">
        <f>Sensitivity!B15</f>
        <v/>
      </c>
    </row>
    <row r="52">
      <c r="A52">
        <f>Sensitivity!A16</f>
        <v/>
      </c>
      <c r="B52">
        <f>Sensitivity!H16</f>
        <v/>
      </c>
      <c r="C52">
        <f>Sensitivity!B16</f>
        <v/>
      </c>
    </row>
    <row r="53">
      <c r="A53">
        <f>Sensitivity!A17</f>
        <v/>
      </c>
      <c r="B53">
        <f>Sensitivity!H17</f>
        <v/>
      </c>
      <c r="C53">
        <f>Sensitivity!B17</f>
        <v/>
      </c>
    </row>
    <row r="54">
      <c r="A54">
        <f>Sensitivity!A18</f>
        <v/>
      </c>
      <c r="B54">
        <f>Sensitivity!H18</f>
        <v/>
      </c>
      <c r="C54">
        <f>Sensitivity!B18</f>
        <v/>
      </c>
    </row>
    <row r="55">
      <c r="A55">
        <f>Sensitivity!A19</f>
        <v/>
      </c>
      <c r="B55">
        <f>Sensitivity!H19</f>
        <v/>
      </c>
      <c r="C55">
        <f>Sensitivity!B19</f>
        <v/>
      </c>
    </row>
    <row r="56">
      <c r="A56">
        <f>Sensitivity!A20</f>
        <v/>
      </c>
      <c r="B56">
        <f>Sensitivity!H20</f>
        <v/>
      </c>
      <c r="C56">
        <f>Sensitivity!B20</f>
        <v/>
      </c>
    </row>
    <row r="57">
      <c r="A57">
        <f>Sensitivity!A21</f>
        <v/>
      </c>
      <c r="B57">
        <f>Sensitivity!H21</f>
        <v/>
      </c>
      <c r="C57">
        <f>Sensitivity!B21</f>
        <v/>
      </c>
    </row>
    <row r="58">
      <c r="A58">
        <f>Sensitivity!A22</f>
        <v/>
      </c>
      <c r="B58">
        <f>Sensitivity!H22</f>
        <v/>
      </c>
      <c r="C58">
        <f>Sensitivity!B22</f>
        <v/>
      </c>
    </row>
    <row r="59">
      <c r="A59">
        <f>Sensitivity!A23</f>
        <v/>
      </c>
      <c r="B59">
        <f>Sensitivity!H23</f>
        <v/>
      </c>
      <c r="C59">
        <f>Sensitivity!B23</f>
        <v/>
      </c>
    </row>
    <row r="60">
      <c r="A60">
        <f>Sensitivity!A24</f>
        <v/>
      </c>
      <c r="B60">
        <f>Sensitivity!H24</f>
        <v/>
      </c>
      <c r="C60">
        <f>Sensitivity!B24</f>
        <v/>
      </c>
    </row>
    <row r="61">
      <c r="A61">
        <f>Sensitivity!A25</f>
        <v/>
      </c>
      <c r="B61">
        <f>Sensitivity!H25</f>
        <v/>
      </c>
      <c r="C61">
        <f>Sensitivity!B25</f>
        <v/>
      </c>
    </row>
    <row r="62">
      <c r="A62">
        <f>Sensitivity!A26</f>
        <v/>
      </c>
      <c r="B62">
        <f>Sensitivity!H26</f>
        <v/>
      </c>
      <c r="C62">
        <f>Sensitivity!B26</f>
        <v/>
      </c>
    </row>
    <row r="63">
      <c r="A63">
        <f>Sensitivity!A27</f>
        <v/>
      </c>
      <c r="B63">
        <f>Sensitivity!H27</f>
        <v/>
      </c>
      <c r="C63">
        <f>Sensitivity!B27</f>
        <v/>
      </c>
    </row>
    <row r="64">
      <c r="A64">
        <f>Sensitivity!A28</f>
        <v/>
      </c>
      <c r="B64">
        <f>Sensitivity!H28</f>
        <v/>
      </c>
      <c r="C64">
        <f>Sensitivity!B28</f>
        <v/>
      </c>
    </row>
    <row r="65">
      <c r="A65">
        <f>Sensitivity!A29</f>
        <v/>
      </c>
      <c r="B65">
        <f>Sensitivity!H29</f>
        <v/>
      </c>
      <c r="C65">
        <f>Sensitivity!B29</f>
        <v/>
      </c>
    </row>
    <row r="66">
      <c r="A66">
        <f>Sensitivity!A30</f>
        <v/>
      </c>
      <c r="B66">
        <f>Sensitivity!H30</f>
        <v/>
      </c>
      <c r="C66">
        <f>Sensitivity!B30</f>
        <v/>
      </c>
    </row>
    <row r="67">
      <c r="A67" s="9" t="inlineStr">
        <is>
          <t>Artifact Equip-Toggle DPS Gain, best to worst (see Sensitivity for full detail)</t>
        </is>
      </c>
    </row>
    <row r="69">
      <c r="A69" s="5" t="inlineStr">
        <is>
          <t>Artifact</t>
        </is>
      </c>
      <c r="B69" s="5" t="inlineStr">
        <is>
          <t>DPS Gain</t>
        </is>
      </c>
      <c r="C69" s="5" t="inlineStr">
        <is>
          <t>% Gain</t>
        </is>
      </c>
    </row>
    <row r="70">
      <c r="A70">
        <f>Sensitivity!A33</f>
        <v/>
      </c>
      <c r="B70">
        <f>Sensitivity!B33</f>
        <v/>
      </c>
      <c r="C70">
        <f>Sensitivity!C33</f>
        <v/>
      </c>
    </row>
    <row r="71">
      <c r="A71">
        <f>Sensitivity!A34</f>
        <v/>
      </c>
      <c r="B71">
        <f>Sensitivity!B34</f>
        <v/>
      </c>
      <c r="C71">
        <f>Sensitivity!C34</f>
        <v/>
      </c>
    </row>
    <row r="72">
      <c r="A72">
        <f>Sensitivity!A35</f>
        <v/>
      </c>
      <c r="B72">
        <f>Sensitivity!B35</f>
        <v/>
      </c>
      <c r="C72">
        <f>Sensitivity!C35</f>
        <v/>
      </c>
    </row>
    <row r="73">
      <c r="A73">
        <f>Sensitivity!A36</f>
        <v/>
      </c>
      <c r="B73">
        <f>Sensitivity!B36</f>
        <v/>
      </c>
      <c r="C73">
        <f>Sensitivity!C36</f>
        <v/>
      </c>
    </row>
    <row r="74">
      <c r="A74">
        <f>Sensitivity!A37</f>
        <v/>
      </c>
      <c r="B74">
        <f>Sensitivity!B37</f>
        <v/>
      </c>
      <c r="C74">
        <f>Sensitivity!C37</f>
        <v/>
      </c>
    </row>
    <row r="75">
      <c r="A75">
        <f>Sensitivity!A38</f>
        <v/>
      </c>
      <c r="B75">
        <f>Sensitivity!B38</f>
        <v/>
      </c>
      <c r="C75">
        <f>Sensitivity!C38</f>
        <v/>
      </c>
    </row>
    <row r="76">
      <c r="A76">
        <f>Sensitivity!A39</f>
        <v/>
      </c>
      <c r="B76">
        <f>Sensitivity!B39</f>
        <v/>
      </c>
      <c r="C76">
        <f>Sensitivity!C39</f>
        <v/>
      </c>
    </row>
    <row r="77">
      <c r="A77">
        <f>Sensitivity!A40</f>
        <v/>
      </c>
      <c r="B77">
        <f>Sensitivity!B40</f>
        <v/>
      </c>
      <c r="C77">
        <f>Sensitivity!C40</f>
        <v/>
      </c>
    </row>
    <row r="78">
      <c r="A78">
        <f>Sensitivity!A41</f>
        <v/>
      </c>
      <c r="B78">
        <f>Sensitivity!B41</f>
        <v/>
      </c>
      <c r="C78">
        <f>Sensitivity!C41</f>
        <v/>
      </c>
    </row>
    <row r="79">
      <c r="A79">
        <f>Sensitivity!A42</f>
        <v/>
      </c>
      <c r="B79">
        <f>Sensitivity!B42</f>
        <v/>
      </c>
      <c r="C79">
        <f>Sensitivity!C42</f>
        <v/>
      </c>
    </row>
    <row r="80">
      <c r="A80">
        <f>Sensitivity!A43</f>
        <v/>
      </c>
      <c r="B80">
        <f>Sensitivity!B43</f>
        <v/>
      </c>
      <c r="C80">
        <f>Sensitivity!C43</f>
        <v/>
      </c>
    </row>
    <row r="81">
      <c r="A81">
        <f>Sensitivity!A44</f>
        <v/>
      </c>
      <c r="B81">
        <f>Sensitivity!B44</f>
        <v/>
      </c>
      <c r="C81">
        <f>Sensitivity!C44</f>
        <v/>
      </c>
    </row>
    <row r="82">
      <c r="A82">
        <f>Sensitivity!A45</f>
        <v/>
      </c>
      <c r="B82">
        <f>Sensitivity!B45</f>
        <v/>
      </c>
      <c r="C82">
        <f>Sensitivity!C45</f>
        <v/>
      </c>
    </row>
    <row r="83">
      <c r="A83">
        <f>Sensitivity!A46</f>
        <v/>
      </c>
      <c r="B83">
        <f>Sensitivity!B46</f>
        <v/>
      </c>
      <c r="C83">
        <f>Sensitivity!C46</f>
        <v/>
      </c>
    </row>
    <row r="84">
      <c r="A84">
        <f>Sensitivity!A47</f>
        <v/>
      </c>
      <c r="B84">
        <f>Sensitivity!B47</f>
        <v/>
      </c>
      <c r="C84">
        <f>Sensitivity!C47</f>
        <v/>
      </c>
    </row>
    <row r="85">
      <c r="A85">
        <f>Sensitivity!A48</f>
        <v/>
      </c>
      <c r="B85">
        <f>Sensitivity!B48</f>
        <v/>
      </c>
      <c r="C85">
        <f>Sensitivity!C48</f>
        <v/>
      </c>
    </row>
    <row r="86">
      <c r="A86">
        <f>Sensitivity!A49</f>
        <v/>
      </c>
      <c r="B86">
        <f>Sensitivity!B49</f>
        <v/>
      </c>
      <c r="C86">
        <f>Sensitivity!C49</f>
        <v/>
      </c>
    </row>
    <row r="87">
      <c r="A87">
        <f>Sensitivity!A50</f>
        <v/>
      </c>
      <c r="B87">
        <f>Sensitivity!B50</f>
        <v/>
      </c>
      <c r="C87">
        <f>Sensitivity!C50</f>
        <v/>
      </c>
    </row>
    <row r="88">
      <c r="A88">
        <f>Sensitivity!A51</f>
        <v/>
      </c>
      <c r="B88">
        <f>Sensitivity!B51</f>
        <v/>
      </c>
      <c r="C88">
        <f>Sensitivity!C51</f>
        <v/>
      </c>
    </row>
    <row r="89">
      <c r="A89">
        <f>Sensitivity!A52</f>
        <v/>
      </c>
      <c r="B89">
        <f>Sensitivity!B52</f>
        <v/>
      </c>
      <c r="C89">
        <f>Sensitivity!C52</f>
        <v/>
      </c>
    </row>
    <row r="90">
      <c r="A90">
        <f>Sensitivity!A53</f>
        <v/>
      </c>
      <c r="B90">
        <f>Sensitivity!B53</f>
        <v/>
      </c>
      <c r="C90">
        <f>Sensitivity!C53</f>
        <v/>
      </c>
    </row>
    <row r="91">
      <c r="A91">
        <f>Sensitivity!A54</f>
        <v/>
      </c>
      <c r="B91">
        <f>Sensitivity!B54</f>
        <v/>
      </c>
      <c r="C91">
        <f>Sensitivity!C54</f>
        <v/>
      </c>
    </row>
    <row r="92">
      <c r="A92">
        <f>Sensitivity!A55</f>
        <v/>
      </c>
      <c r="B92">
        <f>Sensitivity!B55</f>
        <v/>
      </c>
      <c r="C92">
        <f>Sensitivity!C55</f>
        <v/>
      </c>
    </row>
    <row r="93">
      <c r="A93">
        <f>Sensitivity!A56</f>
        <v/>
      </c>
      <c r="B93">
        <f>Sensitivity!B56</f>
        <v/>
      </c>
      <c r="C93">
        <f>Sensitivity!C56</f>
        <v/>
      </c>
    </row>
    <row r="94">
      <c r="A94">
        <f>Sensitivity!A57</f>
        <v/>
      </c>
      <c r="B94">
        <f>Sensitivity!B57</f>
        <v/>
      </c>
      <c r="C94">
        <f>Sensitivity!C57</f>
        <v/>
      </c>
    </row>
    <row r="95">
      <c r="A95">
        <f>Sensitivity!A58</f>
        <v/>
      </c>
      <c r="B95">
        <f>Sensitivity!B58</f>
        <v/>
      </c>
      <c r="C95">
        <f>Sensitivity!C58</f>
        <v/>
      </c>
    </row>
    <row r="96">
      <c r="A96">
        <f>Sensitivity!A59</f>
        <v/>
      </c>
      <c r="B96">
        <f>Sensitivity!B59</f>
        <v/>
      </c>
      <c r="C96">
        <f>Sensitivity!C59</f>
        <v/>
      </c>
    </row>
    <row r="97">
      <c r="A97">
        <f>Sensitivity!A60</f>
        <v/>
      </c>
      <c r="B97">
        <f>Sensitivity!B60</f>
        <v/>
      </c>
      <c r="C97">
        <f>Sensitivity!C60</f>
        <v/>
      </c>
    </row>
    <row r="98">
      <c r="A98">
        <f>Sensitivity!A61</f>
        <v/>
      </c>
      <c r="B98">
        <f>Sensitivity!B61</f>
        <v/>
      </c>
      <c r="C98">
        <f>Sensitivity!C61</f>
        <v/>
      </c>
    </row>
    <row r="99">
      <c r="A99">
        <f>Sensitivity!A62</f>
        <v/>
      </c>
      <c r="B99">
        <f>Sensitivity!B62</f>
        <v/>
      </c>
      <c r="C99">
        <f>Sensitivity!C62</f>
        <v/>
      </c>
    </row>
    <row r="100">
      <c r="A100">
        <f>Sensitivity!A63</f>
        <v/>
      </c>
      <c r="B100">
        <f>Sensitivity!B63</f>
        <v/>
      </c>
      <c r="C100">
        <f>Sensitivity!C63</f>
        <v/>
      </c>
    </row>
    <row r="101">
      <c r="A101">
        <f>Sensitivity!A64</f>
        <v/>
      </c>
      <c r="B101">
        <f>Sensitivity!B64</f>
        <v/>
      </c>
      <c r="C101">
        <f>Sensitivity!C64</f>
        <v/>
      </c>
    </row>
    <row r="102">
      <c r="A102">
        <f>Sensitivity!A65</f>
        <v/>
      </c>
      <c r="B102">
        <f>Sensitivity!B65</f>
        <v/>
      </c>
      <c r="C102">
        <f>Sensitivity!C65</f>
        <v/>
      </c>
    </row>
    <row r="103">
      <c r="A103">
        <f>Sensitivity!A66</f>
        <v/>
      </c>
      <c r="B103">
        <f>Sensitivity!B66</f>
        <v/>
      </c>
      <c r="C103">
        <f>Sensitivity!C66</f>
        <v/>
      </c>
    </row>
    <row r="104">
      <c r="A104">
        <f>Sensitivity!A67</f>
        <v/>
      </c>
      <c r="B104">
        <f>Sensitivity!B67</f>
        <v/>
      </c>
      <c r="C104">
        <f>Sensitivity!C67</f>
        <v/>
      </c>
    </row>
    <row r="105">
      <c r="A105">
        <f>Sensitivity!A68</f>
        <v/>
      </c>
      <c r="B105">
        <f>Sensitivity!B68</f>
        <v/>
      </c>
      <c r="C105">
        <f>Sensitivity!C68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962"/>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STR</t>
        </is>
      </c>
      <c r="B5">
        <f>IFERROR(1/(I5-100),"n/a")</f>
        <v/>
      </c>
      <c r="C5" t="inlineStr">
        <is>
          <t>flat</t>
        </is>
      </c>
      <c r="D5">
        <f>Inputs!$B$12+0</f>
        <v/>
      </c>
      <c r="E5">
        <f>(Inputs!$B$12+1)+0</f>
        <v/>
      </c>
      <c r="F5">
        <f>Summary!$B$3</f>
        <v/>
      </c>
      <c r="G5">
        <f>B108</f>
        <v/>
      </c>
      <c r="H5">
        <f>Summary!$B$3*(((1-Summary!$B$11)*IFERROR(B106/Summary!$B$24,1)+Summary!$B$11*IFERROR(B107/Summary!$B$25,1))-1)</f>
        <v/>
      </c>
      <c r="I5">
        <f>((1-Summary!$B$11)*IFERROR(B106/Summary!$B$24,1)+Summary!$B$11*IFERROR(B107/Summary!$B$25,1))*100</f>
        <v/>
      </c>
    </row>
    <row r="6">
      <c r="A6" t="inlineStr">
        <is>
          <t>STR %</t>
        </is>
      </c>
      <c r="B6">
        <f>IFERROR(1/(I6-100),"n/a")</f>
        <v/>
      </c>
      <c r="C6" t="inlineStr">
        <is>
          <t>pct</t>
        </is>
      </c>
      <c r="D6">
        <f>Inputs!$B$13+0</f>
        <v/>
      </c>
      <c r="E6">
        <f>(Inputs!$B$13+1)+0</f>
        <v/>
      </c>
      <c r="F6">
        <f>Summary!$B$3</f>
        <v/>
      </c>
      <c r="G6">
        <f>B148</f>
        <v/>
      </c>
      <c r="H6">
        <f>Summary!$B$3*(((1-Summary!$B$11)*IFERROR(B146/Summary!$B$24,1)+Summary!$B$11*IFERROR(B147/Summary!$B$25,1))-1)</f>
        <v/>
      </c>
      <c r="I6">
        <f>((1-Summary!$B$11)*IFERROR(B146/Summary!$B$24,1)+Summary!$B$11*IFERROR(B147/Summary!$B$25,1))*100</f>
        <v/>
      </c>
    </row>
    <row r="7">
      <c r="A7" t="inlineStr">
        <is>
          <t>DEX</t>
        </is>
      </c>
      <c r="B7">
        <f>IFERROR(1/(I7-100),"n/a")</f>
        <v/>
      </c>
      <c r="C7" t="inlineStr">
        <is>
          <t>flat</t>
        </is>
      </c>
      <c r="D7">
        <f>Inputs!$B$14+0</f>
        <v/>
      </c>
      <c r="E7">
        <f>(Inputs!$B$14+1)+0</f>
        <v/>
      </c>
      <c r="F7">
        <f>Summary!$B$3</f>
        <v/>
      </c>
      <c r="G7">
        <f>B188</f>
        <v/>
      </c>
      <c r="H7">
        <f>Summary!$B$3*(((1-Summary!$B$11)*IFERROR(B186/Summary!$B$24,1)+Summary!$B$11*IFERROR(B187/Summary!$B$25,1))-1)</f>
        <v/>
      </c>
      <c r="I7">
        <f>((1-Summary!$B$11)*IFERROR(B186/Summary!$B$24,1)+Summary!$B$11*IFERROR(B187/Summary!$B$25,1))*100</f>
        <v/>
      </c>
    </row>
    <row r="8">
      <c r="A8" t="inlineStr">
        <is>
          <t>DAMAGE %</t>
        </is>
      </c>
      <c r="B8">
        <f>IFERROR(1/(I8-100),"n/a")</f>
        <v/>
      </c>
      <c r="C8" t="inlineStr">
        <is>
          <t>pct</t>
        </is>
      </c>
      <c r="D8">
        <f>Inputs!$B$15+0</f>
        <v/>
      </c>
      <c r="E8">
        <f>(Inputs!$B$15+1)+0</f>
        <v/>
      </c>
      <c r="F8">
        <f>Summary!$B$3</f>
        <v/>
      </c>
      <c r="G8">
        <f>B228</f>
        <v/>
      </c>
      <c r="H8">
        <f>Summary!$B$3*(((1-Summary!$B$11)*IFERROR(B226/Summary!$B$24,1)+Summary!$B$11*IFERROR(B227/Summary!$B$25,1))-1)</f>
        <v/>
      </c>
      <c r="I8">
        <f>((1-Summary!$B$11)*IFERROR(B226/Summary!$B$24,1)+Summary!$B$11*IFERROR(B227/Summary!$B$25,1))*100</f>
        <v/>
      </c>
    </row>
    <row r="9">
      <c r="A9" t="inlineStr">
        <is>
          <t>DAMAGE_AMP %</t>
        </is>
      </c>
      <c r="B9">
        <f>IFERROR(1/(I9-100),"n/a")</f>
        <v/>
      </c>
      <c r="C9" t="inlineStr">
        <is>
          <t>pct</t>
        </is>
      </c>
      <c r="D9">
        <f>Inputs!$B$16+0</f>
        <v/>
      </c>
      <c r="E9">
        <f>(Inputs!$B$16+1)+0</f>
        <v/>
      </c>
      <c r="F9">
        <f>Summary!$B$3</f>
        <v/>
      </c>
      <c r="G9">
        <f>B268</f>
        <v/>
      </c>
      <c r="H9">
        <f>Summary!$B$3*(((1-Summary!$B$11)*IFERROR(B266/Summary!$B$24,1)+Summary!$B$11*IFERROR(B267/Summary!$B$25,1))-1)</f>
        <v/>
      </c>
      <c r="I9">
        <f>((1-Summary!$B$11)*IFERROR(B266/Summary!$B$24,1)+Summary!$B$11*IFERROR(B267/Summary!$B$25,1))*100</f>
        <v/>
      </c>
    </row>
    <row r="10">
      <c r="A10" t="inlineStr">
        <is>
          <t>BOSS_DAMAGE %</t>
        </is>
      </c>
      <c r="B10">
        <f>IFERROR(1/(I10-100),"n/a")</f>
        <v/>
      </c>
      <c r="C10" t="inlineStr">
        <is>
          <t>pct</t>
        </is>
      </c>
      <c r="D10">
        <f>Inputs!$B$20+0</f>
        <v/>
      </c>
      <c r="E10">
        <f>(Inputs!$B$20+1)+0</f>
        <v/>
      </c>
      <c r="F10">
        <f>Summary!$B$3</f>
        <v/>
      </c>
      <c r="G10">
        <f>B308</f>
        <v/>
      </c>
      <c r="H10">
        <f>Summary!$B$3*(((1-Summary!$B$11)*IFERROR(B306/Summary!$B$24,1)+Summary!$B$11*IFERROR(B307/Summary!$B$25,1))-1)</f>
        <v/>
      </c>
      <c r="I10">
        <f>((1-Summary!$B$11)*IFERROR(B306/Summary!$B$24,1)+Summary!$B$11*IFERROR(B307/Summary!$B$25,1))*100</f>
        <v/>
      </c>
    </row>
    <row r="11">
      <c r="A11" t="inlineStr">
        <is>
          <t>NORMAL_DAMAGE %</t>
        </is>
      </c>
      <c r="B11">
        <f>IFERROR(1/(I11-100),"n/a")</f>
        <v/>
      </c>
      <c r="C11" t="inlineStr">
        <is>
          <t>pct</t>
        </is>
      </c>
      <c r="D11">
        <f>Inputs!$B$21+0</f>
        <v/>
      </c>
      <c r="E11">
        <f>(Inputs!$B$21+1)+0</f>
        <v/>
      </c>
      <c r="F11">
        <f>Summary!$B$3</f>
        <v/>
      </c>
      <c r="G11">
        <f>B348</f>
        <v/>
      </c>
      <c r="H11">
        <f>Summary!$B$3*(((1-Summary!$B$11)*IFERROR(B346/Summary!$B$24,1)+Summary!$B$11*IFERROR(B347/Summary!$B$25,1))-1)</f>
        <v/>
      </c>
      <c r="I11">
        <f>((1-Summary!$B$11)*IFERROR(B346/Summary!$B$24,1)+Summary!$B$11*IFERROR(B347/Summary!$B$25,1))*100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B388</f>
        <v/>
      </c>
      <c r="H12">
        <f>Summary!$B$3*(((1-Summary!$B$11)*IFERROR(B386/Summary!$B$24,1)+Summary!$B$11*IFERROR(B387/Summary!$B$25,1))-1)</f>
        <v/>
      </c>
      <c r="I12">
        <f>((1-Summary!$B$11)*IFERROR(B386/Summary!$B$24,1)+Summary!$B$11*IFERROR(B387/Summary!$B$25,1))*100</f>
        <v/>
      </c>
    </row>
    <row r="13">
      <c r="A13" t="inlineStr">
        <is>
          <t>MIN_DAMAGE %</t>
        </is>
      </c>
      <c r="B13">
        <f>IFERROR(1/(I13-100),"n/a")</f>
        <v/>
      </c>
      <c r="C13" t="inlineStr">
        <is>
          <t>pct</t>
        </is>
      </c>
      <c r="D13">
        <f>Inputs!$B$22+0</f>
        <v/>
      </c>
      <c r="E13">
        <f>(Inputs!$B$22+1)+0</f>
        <v/>
      </c>
      <c r="F13">
        <f>Summary!$B$3</f>
        <v/>
      </c>
      <c r="G13">
        <f>B428</f>
        <v/>
      </c>
      <c r="H13">
        <f>Summary!$B$3*(((1-Summary!$B$11)*IFERROR(B426/Summary!$B$24,1)+Summary!$B$11*IFERROR(B427/Summary!$B$25,1))-1)</f>
        <v/>
      </c>
      <c r="I13">
        <f>((1-Summary!$B$11)*IFERROR(B426/Summary!$B$24,1)+Summary!$B$11*IFERROR(B427/Summary!$B$25,1))*100</f>
        <v/>
      </c>
    </row>
    <row r="14">
      <c r="A14" t="inlineStr">
        <is>
          <t>MAX_DAMAGE %</t>
        </is>
      </c>
      <c r="B14">
        <f>IFERROR(1/(I14-100),"n/a")</f>
        <v/>
      </c>
      <c r="C14" t="inlineStr">
        <is>
          <t>pct</t>
        </is>
      </c>
      <c r="D14">
        <f>Inputs!$B$23+0</f>
        <v/>
      </c>
      <c r="E14">
        <f>(Inputs!$B$23+1)+0</f>
        <v/>
      </c>
      <c r="F14">
        <f>Summary!$B$3</f>
        <v/>
      </c>
      <c r="G14">
        <f>B468</f>
        <v/>
      </c>
      <c r="H14">
        <f>Summary!$B$3*(((1-Summary!$B$11)*IFERROR(B466/Summary!$B$24,1)+Summary!$B$11*IFERROR(B467/Summary!$B$25,1))-1)</f>
        <v/>
      </c>
      <c r="I14">
        <f>((1-Summary!$B$11)*IFERROR(B466/Summary!$B$24,1)+Summary!$B$11*IFERROR(B467/Summary!$B$25,1))*100</f>
        <v/>
      </c>
    </row>
    <row r="15">
      <c r="A15" t="inlineStr">
        <is>
          <t>CRIT_RATE %</t>
        </is>
      </c>
      <c r="B15">
        <f>IFERROR(1/(I15-100),"n/a")</f>
        <v/>
      </c>
      <c r="C15" t="inlineStr">
        <is>
          <t>pct</t>
        </is>
      </c>
      <c r="D15">
        <f>Inputs!$B$9+0</f>
        <v/>
      </c>
      <c r="E15">
        <f>(Inputs!$B$9+1)+0</f>
        <v/>
      </c>
      <c r="F15">
        <f>Summary!$B$3</f>
        <v/>
      </c>
      <c r="G15">
        <f>B508</f>
        <v/>
      </c>
      <c r="H15">
        <f>Summary!$B$3*(((1-Summary!$B$11)*IFERROR(B506/Summary!$B$24,1)+Summary!$B$11*IFERROR(B507/Summary!$B$25,1))-1)</f>
        <v/>
      </c>
      <c r="I15">
        <f>((1-Summary!$B$11)*IFERROR(B506/Summary!$B$24,1)+Summary!$B$11*IFERROR(B507/Summary!$B$25,1))*100</f>
        <v/>
      </c>
    </row>
    <row r="16">
      <c r="A16" t="inlineStr">
        <is>
          <t>CRIT_DAMAGE %</t>
        </is>
      </c>
      <c r="B16">
        <f>IFERROR(1/(I16-100),"n/a")</f>
        <v/>
      </c>
      <c r="C16" t="inlineStr">
        <is>
          <t>pct</t>
        </is>
      </c>
      <c r="D16">
        <f>Inputs!$B$10+0</f>
        <v/>
      </c>
      <c r="E16">
        <f>(Inputs!$B$10+1)+0</f>
        <v/>
      </c>
      <c r="F16">
        <f>Summary!$B$3</f>
        <v/>
      </c>
      <c r="G16">
        <f>B548</f>
        <v/>
      </c>
      <c r="H16">
        <f>Summary!$B$3*(((1-Summary!$B$11)*IFERROR(B546/Summary!$B$24,1)+Summary!$B$11*IFERROR(B547/Summary!$B$25,1))-1)</f>
        <v/>
      </c>
      <c r="I16">
        <f>((1-Summary!$B$11)*IFERROR(B546/Summary!$B$24,1)+Summary!$B$11*IFERROR(B547/Summary!$B$25,1))*100</f>
        <v/>
      </c>
    </row>
    <row r="17">
      <c r="A17" t="inlineStr">
        <is>
          <t>ATTACK_SPEED % (diminishing returns, factor 150)</t>
        </is>
      </c>
      <c r="B17">
        <f>IFERROR(1/(I17-100),"n/a")</f>
        <v/>
      </c>
      <c r="C17" t="inlineStr">
        <is>
          <t>dr150</t>
        </is>
      </c>
      <c r="D17">
        <f>Inputs!$B$11+0</f>
        <v/>
      </c>
      <c r="E17">
        <f>((1-(1-Inputs!$B$11/150)*(1-1/150))*150)+0</f>
        <v/>
      </c>
      <c r="F17">
        <f>Summary!$B$3</f>
        <v/>
      </c>
      <c r="G17">
        <f>B588</f>
        <v/>
      </c>
      <c r="H17">
        <f>Summary!$B$3*(((1-Summary!$B$11)*IFERROR(B586/Summary!$B$24,1)+Summary!$B$11*IFERROR(B587/Summary!$B$25,1))-1)</f>
        <v/>
      </c>
      <c r="I17">
        <f>((1-Summary!$B$11)*IFERROR(B586/Summary!$B$24,1)+Summary!$B$11*IFERROR(B587/Summary!$B$25,1))*100</f>
        <v/>
      </c>
    </row>
    <row r="18">
      <c r="A18" t="inlineStr">
        <is>
          <t>DEF_PEN % (diminishing returns, factor 100)</t>
        </is>
      </c>
      <c r="B18">
        <f>IFERROR(1/(I18-100),"n/a")</f>
        <v/>
      </c>
      <c r="C18" t="inlineStr">
        <is>
          <t>dr100</t>
        </is>
      </c>
      <c r="D18">
        <f>Inputs!$B$19+0</f>
        <v/>
      </c>
      <c r="E18">
        <f>((1-(1-Inputs!$B$19/100)*(1-1/100))*100)+0</f>
        <v/>
      </c>
      <c r="F18">
        <f>Summary!$B$3</f>
        <v/>
      </c>
      <c r="G18">
        <f>B628</f>
        <v/>
      </c>
      <c r="H18">
        <f>Summary!$B$3*(((1-Summary!$B$11)*IFERROR(B626/Summary!$B$24,1)+Summary!$B$11*IFERROR(B627/Summary!$B$25,1))-1)</f>
        <v/>
      </c>
      <c r="I18">
        <f>((1-Summary!$B$11)*IFERROR(B626/Summary!$B$24,1)+Summary!$B$11*IFERROR(B627/Summary!$B$25,1))*100</f>
        <v/>
      </c>
    </row>
    <row r="19">
      <c r="A19" t="inlineStr">
        <is>
          <t>BASIC_ATTACK_DAMAGE %</t>
        </is>
      </c>
      <c r="B19">
        <f>IFERROR(1/(I19-100),"n/a")</f>
        <v/>
      </c>
      <c r="C19" t="inlineStr">
        <is>
          <t>pct</t>
        </is>
      </c>
      <c r="D19">
        <f>Inputs!$B$17+0</f>
        <v/>
      </c>
      <c r="E19">
        <f>(Inputs!$B$17+1)+0</f>
        <v/>
      </c>
      <c r="F19">
        <f>Summary!$B$3</f>
        <v/>
      </c>
      <c r="G19">
        <f>B668</f>
        <v/>
      </c>
      <c r="H19">
        <f>Summary!$B$3*(((1-Summary!$B$11)*IFERROR(B666/Summary!$B$24,1)+Summary!$B$11*IFERROR(B667/Summary!$B$25,1))-1)</f>
        <v/>
      </c>
      <c r="I19">
        <f>((1-Summary!$B$11)*IFERROR(B666/Summary!$B$24,1)+Summary!$B$11*IFERROR(B667/Summary!$B$25,1))*100</f>
        <v/>
      </c>
    </row>
    <row r="20">
      <c r="A20" t="inlineStr">
        <is>
          <t>SKILL_DAMAGE %</t>
        </is>
      </c>
      <c r="B20">
        <f>IFERROR(1/(I20-100),"n/a")</f>
        <v/>
      </c>
      <c r="C20" t="inlineStr">
        <is>
          <t>pct</t>
        </is>
      </c>
      <c r="D20">
        <f>Inputs!$B$18+0</f>
        <v/>
      </c>
      <c r="E20">
        <f>(Inputs!$B$18+1)+0</f>
        <v/>
      </c>
      <c r="F20">
        <f>Summary!$B$3</f>
        <v/>
      </c>
      <c r="G20">
        <f>B708</f>
        <v/>
      </c>
      <c r="H20">
        <f>Summary!$B$3*(((1-Summary!$B$11)*IFERROR(B706/Summary!$B$24,1)+Summary!$B$11*IFERROR(B707/Summary!$B$25,1))-1)</f>
        <v/>
      </c>
      <c r="I20">
        <f>((1-Summary!$B$11)*IFERROR(B706/Summary!$B$24,1)+Summary!$B$11*IFERROR(B707/Summary!$B$25,1))*100</f>
        <v/>
      </c>
    </row>
    <row r="21">
      <c r="A21" t="inlineStr">
        <is>
          <t>Skill Level Bonus — 1st Job</t>
        </is>
      </c>
      <c r="B21">
        <f>IFERROR(1/(I21-100),"n/a")</f>
        <v/>
      </c>
      <c r="C21" t="inlineStr">
        <is>
          <t>level</t>
        </is>
      </c>
      <c r="D21">
        <f>Inputs!$B$25+0</f>
        <v/>
      </c>
      <c r="E21">
        <f>(Inputs!$B$25+1)+0</f>
        <v/>
      </c>
      <c r="F21">
        <f>Summary!$B$3</f>
        <v/>
      </c>
      <c r="G21">
        <f>B748</f>
        <v/>
      </c>
      <c r="H21">
        <f>Summary!$B$3*(((1-Summary!$B$11)*IFERROR(B746/Summary!$B$24,1)+Summary!$B$11*IFERROR(B747/Summary!$B$25,1))-1)</f>
        <v/>
      </c>
      <c r="I21">
        <f>((1-Summary!$B$11)*IFERROR(B746/Summary!$B$24,1)+Summary!$B$11*IFERROR(B747/Summary!$B$25,1))*100</f>
        <v/>
      </c>
    </row>
    <row r="22">
      <c r="A22" t="inlineStr">
        <is>
          <t>Skill Level Bonus — 2nd Job</t>
        </is>
      </c>
      <c r="B22">
        <f>IFERROR(1/(I22-100),"n/a")</f>
        <v/>
      </c>
      <c r="C22" t="inlineStr">
        <is>
          <t>level</t>
        </is>
      </c>
      <c r="D22">
        <f>Inputs!$B$26+0</f>
        <v/>
      </c>
      <c r="E22">
        <f>(Inputs!$B$26+1)+0</f>
        <v/>
      </c>
      <c r="F22">
        <f>Summary!$B$3</f>
        <v/>
      </c>
      <c r="G22">
        <f>B788</f>
        <v/>
      </c>
      <c r="H22">
        <f>Summary!$B$3*(((1-Summary!$B$11)*IFERROR(B786/Summary!$B$24,1)+Summary!$B$11*IFERROR(B787/Summary!$B$25,1))-1)</f>
        <v/>
      </c>
      <c r="I22">
        <f>((1-Summary!$B$11)*IFERROR(B786/Summary!$B$24,1)+Summary!$B$11*IFERROR(B787/Summary!$B$25,1))*100</f>
        <v/>
      </c>
    </row>
    <row r="23">
      <c r="A23" t="inlineStr">
        <is>
          <t>Skill Level Bonus — 3rd Job</t>
        </is>
      </c>
      <c r="B23">
        <f>IFERROR(1/(I23-100),"n/a")</f>
        <v/>
      </c>
      <c r="C23" t="inlineStr">
        <is>
          <t>level</t>
        </is>
      </c>
      <c r="D23">
        <f>Inputs!$B$27+0</f>
        <v/>
      </c>
      <c r="E23">
        <f>(Inputs!$B$27+1)+0</f>
        <v/>
      </c>
      <c r="F23">
        <f>Summary!$B$3</f>
        <v/>
      </c>
      <c r="G23">
        <f>B828</f>
        <v/>
      </c>
      <c r="H23">
        <f>Summary!$B$3*(((1-Summary!$B$11)*IFERROR(B826/Summary!$B$24,1)+Summary!$B$11*IFERROR(B827/Summary!$B$25,1))-1)</f>
        <v/>
      </c>
      <c r="I23">
        <f>((1-Summary!$B$11)*IFERROR(B826/Summary!$B$24,1)+Summary!$B$11*IFERROR(B827/Summary!$B$25,1))*100</f>
        <v/>
      </c>
    </row>
    <row r="24">
      <c r="A24" t="inlineStr">
        <is>
          <t>Skill Level Bonus — 4th Job</t>
        </is>
      </c>
      <c r="B24">
        <f>IFERROR(1/(I24-100),"n/a")</f>
        <v/>
      </c>
      <c r="C24" t="inlineStr">
        <is>
          <t>level</t>
        </is>
      </c>
      <c r="D24">
        <f>Inputs!$B$28+0</f>
        <v/>
      </c>
      <c r="E24">
        <f>(Inputs!$B$28+1)+0</f>
        <v/>
      </c>
      <c r="F24">
        <f>Summary!$B$3</f>
        <v/>
      </c>
      <c r="G24">
        <f>B868</f>
        <v/>
      </c>
      <c r="H24">
        <f>Summary!$B$3*(((1-Summary!$B$11)*IFERROR(B866/Summary!$B$24,1)+Summary!$B$11*IFERROR(B867/Summary!$B$25,1))-1)</f>
        <v/>
      </c>
      <c r="I24">
        <f>((1-Summary!$B$11)*IFERROR(B866/Summary!$B$24,1)+Summary!$B$11*IFERROR(B867/Summary!$B$25,1))*100</f>
        <v/>
      </c>
    </row>
    <row r="25">
      <c r="A25" t="inlineStr">
        <is>
          <t>Skill Level Bonus — All Skills</t>
        </is>
      </c>
      <c r="B25">
        <f>IFERROR(1/(I25-100),"n/a")</f>
        <v/>
      </c>
      <c r="C25" t="inlineStr">
        <is>
          <t>level</t>
        </is>
      </c>
      <c r="D25">
        <f>Inputs!$B$29+0</f>
        <v/>
      </c>
      <c r="E25">
        <f>(Inputs!$B$29+1)+0</f>
        <v/>
      </c>
      <c r="F25">
        <f>Summary!$B$3</f>
        <v/>
      </c>
      <c r="G25">
        <f>B908</f>
        <v/>
      </c>
      <c r="H25">
        <f>Summary!$B$3*(((1-Summary!$B$11)*IFERROR(B906/Summary!$B$24,1)+Summary!$B$11*IFERROR(B907/Summary!$B$25,1))-1)</f>
        <v/>
      </c>
      <c r="I25">
        <f>((1-Summary!$B$11)*IFERROR(B906/Summary!$B$24,1)+Summary!$B$11*IFERROR(B907/Summary!$B$25,1))*100</f>
        <v/>
      </c>
    </row>
    <row r="26">
      <c r="A26" t="inlineStr">
        <is>
          <t>Flat ATTACK</t>
        </is>
      </c>
      <c r="B26">
        <f>IFERROR(1/(I26-100),"n/a")</f>
        <v/>
      </c>
      <c r="C26" t="inlineStr">
        <is>
          <t>flat</t>
        </is>
      </c>
      <c r="D26">
        <f>Inputs!$B$6+0</f>
        <v/>
      </c>
      <c r="E26">
        <f>(Inputs!$B$6+1)+0</f>
        <v/>
      </c>
      <c r="F26">
        <f>Summary!$B$3</f>
        <v/>
      </c>
      <c r="G26">
        <f>B948</f>
        <v/>
      </c>
      <c r="H26">
        <f>Summary!$B$3*(((1-Summary!$B$11)*IFERROR(B946/Summary!$B$24,1)+Summary!$B$11*IFERROR(B947/Summary!$B$25,1))-1)</f>
        <v/>
      </c>
      <c r="I26">
        <f>((1-Summary!$B$11)*IFERROR(B946/Summary!$B$24,1)+Summary!$B$11*IFERROR(B947/Summary!$B$25,1))*100</f>
        <v/>
      </c>
    </row>
    <row r="27">
      <c r="A27" t="inlineStr">
        <is>
          <t>ATTACK %</t>
        </is>
      </c>
      <c r="B27">
        <f>IFERROR(1/(I27-100),"n/a")</f>
        <v/>
      </c>
      <c r="C27" t="inlineStr">
        <is>
          <t>pct</t>
        </is>
      </c>
      <c r="D27">
        <f>Inputs!$B$7+0</f>
        <v/>
      </c>
      <c r="E27">
        <f>(Inputs!$B$7+1)+0</f>
        <v/>
      </c>
      <c r="F27">
        <f>Summary!$B$3</f>
        <v/>
      </c>
      <c r="G27">
        <f>B988</f>
        <v/>
      </c>
      <c r="H27">
        <f>Summary!$B$3*(((1-Summary!$B$11)*IFERROR(B986/Summary!$B$24,1)+Summary!$B$11*IFERROR(B987/Summary!$B$25,1))-1)</f>
        <v/>
      </c>
      <c r="I27">
        <f>((1-Summary!$B$11)*IFERROR(B986/Summary!$B$24,1)+Summary!$B$11*IFERROR(B987/Summary!$B$25,1))*100</f>
        <v/>
      </c>
    </row>
    <row r="28">
      <c r="A28" t="inlineStr">
        <is>
          <t>Skill Cooldown Decrease (seconds)</t>
        </is>
      </c>
      <c r="B28">
        <f>IFERROR(1/(I28-100),"n/a")</f>
        <v/>
      </c>
      <c r="C28" t="inlineStr">
        <is>
          <t>flat</t>
        </is>
      </c>
      <c r="D28">
        <f>Inputs!$B$32+0</f>
        <v/>
      </c>
      <c r="E28">
        <f>(Inputs!$B$32+1)+0</f>
        <v/>
      </c>
      <c r="F28">
        <f>Summary!$B$3</f>
        <v/>
      </c>
      <c r="G28">
        <f>B1028</f>
        <v/>
      </c>
      <c r="H28">
        <f>Summary!$B$3*(((1-Summary!$B$11)*IFERROR(B1026/Summary!$B$24,1)+Summary!$B$11*IFERROR(B1027/Summary!$B$25,1))-1)</f>
        <v/>
      </c>
      <c r="I28">
        <f>((1-Summary!$B$11)*IFERROR(B1026/Summary!$B$24,1)+Summary!$B$11*IFERROR(B1027/Summary!$B$25,1))*100</f>
        <v/>
      </c>
    </row>
    <row r="29">
      <c r="A29" t="inlineStr">
        <is>
          <t>Basic Attack Target Increase (flat)</t>
        </is>
      </c>
      <c r="B29">
        <f>IFERROR(1/(I29-100),"n/a")</f>
        <v/>
      </c>
      <c r="C29" t="inlineStr">
        <is>
          <t>flat</t>
        </is>
      </c>
      <c r="D29">
        <f>Inputs!$B$33+0</f>
        <v/>
      </c>
      <c r="E29">
        <f>(Inputs!$B$33+1)+0</f>
        <v/>
      </c>
      <c r="F29">
        <f>Summary!$B$3</f>
        <v/>
      </c>
      <c r="G29">
        <f>B1068</f>
        <v/>
      </c>
      <c r="H29">
        <f>Summary!$B$3*(((1-Summary!$B$11)*IFERROR(B1066/Summary!$B$24,1)+Summary!$B$11*IFERROR(B1067/Summary!$B$25,1))-1)</f>
        <v/>
      </c>
      <c r="I29">
        <f>((1-Summary!$B$11)*IFERROR(B1066/Summary!$B$24,1)+Summary!$B$11*IFERROR(B1067/Summary!$B$25,1))*100</f>
        <v/>
      </c>
    </row>
    <row r="30">
      <c r="A30" t="inlineStr">
        <is>
          <t>Buff Duration Increase %</t>
        </is>
      </c>
      <c r="B30">
        <f>IFERROR(1/(I30-100),"n/a")</f>
        <v/>
      </c>
      <c r="C30" t="inlineStr">
        <is>
          <t>pct</t>
        </is>
      </c>
      <c r="D30">
        <f>Inputs!$B$34+0</f>
        <v/>
      </c>
      <c r="E30">
        <f>(Inputs!$B$34+1)+0</f>
        <v/>
      </c>
      <c r="F30">
        <f>Summary!$B$3</f>
        <v/>
      </c>
      <c r="G30">
        <f>B1108</f>
        <v/>
      </c>
      <c r="H30">
        <f>Summary!$B$3*(((1-Summary!$B$11)*IFERROR(B1106/Summary!$B$24,1)+Summary!$B$11*IFERROR(B1107/Summary!$B$25,1))-1)</f>
        <v/>
      </c>
      <c r="I30">
        <f>((1-Summary!$B$11)*IFERROR(B1106/Summary!$B$24,1)+Summary!$B$11*IFERROR(B1107/Summary!$B$25,1))*100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(IF(ArtifactsInput!$M$5,-1,1)*Summary!$B$3*(((1-Summary!$B$11)*IFERROR(B1146/Summary!$B$24,1)+Summary!$B$11*IFERROR(B1147/Summary!$B$25,1))-1)+ArtifactsInput!$L$5)</f>
        <v/>
      </c>
      <c r="AC33">
        <f>IF(ArtifactsInput!$M$5,Summary!$B$3/(Summary!$B$3-(IF(ArtifactsInput!$M$5,-1,1)*Summary!$B$3*(((1-Summary!$B$11)*IFERROR(B1146/Summary!$B$24,1)+Summary!$B$11*IFERROR(B1147/Summary!$B$25,1))-1)+ArtifactsInput!$L$5))*100,(Summary!$B$3+(IF(ArtifactsInput!$M$5,-1,1)*Summary!$B$3*(((1-Summary!$B$11)*IFERROR(B1146/Summary!$B$24,1)+Summary!$B$11*IFERROR(B1147/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(IF(ArtifactsInput!$M$6,-1,1)*Summary!$B$3*(((1-Summary!$B$11)*IFERROR(B1186/Summary!$B$24,1)+Summary!$B$11*IFERROR(B1187/Summary!$B$25,1))-1)+ArtifactsInput!$L$6)</f>
        <v/>
      </c>
      <c r="AC34">
        <f>IF(ArtifactsInput!$M$6,Summary!$B$3/(Summary!$B$3-(IF(ArtifactsInput!$M$6,-1,1)*Summary!$B$3*(((1-Summary!$B$11)*IFERROR(B1186/Summary!$B$24,1)+Summary!$B$11*IFERROR(B1187/Summary!$B$25,1))-1)+ArtifactsInput!$L$6))*100,(Summary!$B$3+(IF(ArtifactsInput!$M$6,-1,1)*Summary!$B$3*(((1-Summary!$B$11)*IFERROR(B1186/Summary!$B$24,1)+Summary!$B$11*IFERROR(B1187/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(IF(ArtifactsInput!$M$7,-1,1)*Summary!$B$3*(((1-Summary!$B$11)*IFERROR(B1226/Summary!$B$24,1)+Summary!$B$11*IFERROR(B1227/Summary!$B$25,1))-1)+ArtifactsInput!$L$7)</f>
        <v/>
      </c>
      <c r="AC35">
        <f>IF(ArtifactsInput!$M$7,Summary!$B$3/(Summary!$B$3-(IF(ArtifactsInput!$M$7,-1,1)*Summary!$B$3*(((1-Summary!$B$11)*IFERROR(B1226/Summary!$B$24,1)+Summary!$B$11*IFERROR(B1227/Summary!$B$25,1))-1)+ArtifactsInput!$L$7))*100,(Summary!$B$3+(IF(ArtifactsInput!$M$7,-1,1)*Summary!$B$3*(((1-Summary!$B$11)*IFERROR(B1226/Summary!$B$24,1)+Summary!$B$11*IFERROR(B1227/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(IF(ArtifactsInput!$M$8,-1,1)*Summary!$B$3*(((1-Summary!$B$11)*IFERROR(B1266/Summary!$B$24,1)+Summary!$B$11*IFERROR(B1267/Summary!$B$25,1))-1)+ArtifactsInput!$L$8)</f>
        <v/>
      </c>
      <c r="AC36">
        <f>IF(ArtifactsInput!$M$8,Summary!$B$3/(Summary!$B$3-(IF(ArtifactsInput!$M$8,-1,1)*Summary!$B$3*(((1-Summary!$B$11)*IFERROR(B1266/Summary!$B$24,1)+Summary!$B$11*IFERROR(B1267/Summary!$B$25,1))-1)+ArtifactsInput!$L$8))*100,(Summary!$B$3+(IF(ArtifactsInput!$M$8,-1,1)*Summary!$B$3*(((1-Summary!$B$11)*IFERROR(B1266/Summary!$B$24,1)+Summary!$B$11*IFERROR(B1267/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(IF(ArtifactsInput!$M$10,-1,1)*Summary!$B$3*(((1-Summary!$B$11)*IFERROR(B1306/Summary!$B$24,1)+Summary!$B$11*IFERROR(B1307/Summary!$B$25,1))-1)+ArtifactsInput!$L$10)</f>
        <v/>
      </c>
      <c r="AC37">
        <f>IF(ArtifactsInput!$M$10,Summary!$B$3/(Summary!$B$3-(IF(ArtifactsInput!$M$10,-1,1)*Summary!$B$3*(((1-Summary!$B$11)*IFERROR(B1306/Summary!$B$24,1)+Summary!$B$11*IFERROR(B1307/Summary!$B$25,1))-1)+ArtifactsInput!$L$10))*100,(Summary!$B$3+(IF(ArtifactsInput!$M$10,-1,1)*Summary!$B$3*(((1-Summary!$B$11)*IFERROR(B1306/Summary!$B$24,1)+Summary!$B$11*IFERROR(B1307/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(IF(ArtifactsInput!$M$11,-1,1)*Summary!$B$3*(((1-Summary!$B$11)*IFERROR(B1346/Summary!$B$24,1)+Summary!$B$11*IFERROR(B1347/Summary!$B$25,1))-1)+ArtifactsInput!$L$11)</f>
        <v/>
      </c>
      <c r="AC38">
        <f>IF(ArtifactsInput!$M$11,Summary!$B$3/(Summary!$B$3-(IF(ArtifactsInput!$M$11,-1,1)*Summary!$B$3*(((1-Summary!$B$11)*IFERROR(B1346/Summary!$B$24,1)+Summary!$B$11*IFERROR(B1347/Summary!$B$25,1))-1)+ArtifactsInput!$L$11))*100,(Summary!$B$3+(IF(ArtifactsInput!$M$11,-1,1)*Summary!$B$3*(((1-Summary!$B$11)*IFERROR(B1346/Summary!$B$24,1)+Summary!$B$11*IFERROR(B1347/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(IF(ArtifactsInput!$M$12,-1,1)*Summary!$B$3*(((1-Summary!$B$11)*IFERROR(B1386/Summary!$B$24,1)+Summary!$B$11*IFERROR(B1387/Summary!$B$25,1))-1)+ArtifactsInput!$L$12)</f>
        <v/>
      </c>
      <c r="AC39">
        <f>IF(ArtifactsInput!$M$12,Summary!$B$3/(Summary!$B$3-(IF(ArtifactsInput!$M$12,-1,1)*Summary!$B$3*(((1-Summary!$B$11)*IFERROR(B1386/Summary!$B$24,1)+Summary!$B$11*IFERROR(B1387/Summary!$B$25,1))-1)+ArtifactsInput!$L$12))*100,(Summary!$B$3+(IF(ArtifactsInput!$M$12,-1,1)*Summary!$B$3*(((1-Summary!$B$11)*IFERROR(B1386/Summary!$B$24,1)+Summary!$B$11*IFERROR(B1387/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(IF(ArtifactsInput!$M$13,-1,1)*Summary!$B$3*(((1-Summary!$B$11)*IFERROR(B1426/Summary!$B$24,1)+Summary!$B$11*IFERROR(B1427/Summary!$B$25,1))-1)+ArtifactsInput!$L$13)</f>
        <v/>
      </c>
      <c r="AC40">
        <f>IF(ArtifactsInput!$M$13,Summary!$B$3/(Summary!$B$3-(IF(ArtifactsInput!$M$13,-1,1)*Summary!$B$3*(((1-Summary!$B$11)*IFERROR(B1426/Summary!$B$24,1)+Summary!$B$11*IFERROR(B1427/Summary!$B$25,1))-1)+ArtifactsInput!$L$13))*100,(Summary!$B$3+(IF(ArtifactsInput!$M$13,-1,1)*Summary!$B$3*(((1-Summary!$B$11)*IFERROR(B1426/Summary!$B$24,1)+Summary!$B$11*IFERROR(B1427/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(IF(ArtifactsInput!$M$14,-1,1)*Summary!$B$3*(((1-Summary!$B$11)*IFERROR(B1466/Summary!$B$24,1)+Summary!$B$11*IFERROR(B1467/Summary!$B$25,1))-1)+ArtifactsInput!$L$14)</f>
        <v/>
      </c>
      <c r="AC41">
        <f>IF(ArtifactsInput!$M$14,Summary!$B$3/(Summary!$B$3-(IF(ArtifactsInput!$M$14,-1,1)*Summary!$B$3*(((1-Summary!$B$11)*IFERROR(B1466/Summary!$B$24,1)+Summary!$B$11*IFERROR(B1467/Summary!$B$25,1))-1)+ArtifactsInput!$L$14))*100,(Summary!$B$3+(IF(ArtifactsInput!$M$14,-1,1)*Summary!$B$3*(((1-Summary!$B$11)*IFERROR(B1466/Summary!$B$24,1)+Summary!$B$11*IFERROR(B1467/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(IF(ArtifactsInput!$M$15,-1,1)*Summary!$B$3*(((1-Summary!$B$11)*IFERROR(B1506/Summary!$B$24,1)+Summary!$B$11*IFERROR(B1507/Summary!$B$25,1))-1)+ArtifactsInput!$L$15)</f>
        <v/>
      </c>
      <c r="AC42">
        <f>IF(ArtifactsInput!$M$15,Summary!$B$3/(Summary!$B$3-(IF(ArtifactsInput!$M$15,-1,1)*Summary!$B$3*(((1-Summary!$B$11)*IFERROR(B1506/Summary!$B$24,1)+Summary!$B$11*IFERROR(B1507/Summary!$B$25,1))-1)+ArtifactsInput!$L$15))*100,(Summary!$B$3+(IF(ArtifactsInput!$M$15,-1,1)*Summary!$B$3*(((1-Summary!$B$11)*IFERROR(B1506/Summary!$B$24,1)+Summary!$B$11*IFERROR(B1507/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(IF(ArtifactsInput!$M$16,-1,1)*Summary!$B$3*(((1-Summary!$B$11)*IFERROR(B1546/Summary!$B$24,1)+Summary!$B$11*IFERROR(B1547/Summary!$B$25,1))-1)+ArtifactsInput!$L$16)</f>
        <v/>
      </c>
      <c r="AC43">
        <f>IF(ArtifactsInput!$M$16,Summary!$B$3/(Summary!$B$3-(IF(ArtifactsInput!$M$16,-1,1)*Summary!$B$3*(((1-Summary!$B$11)*IFERROR(B1546/Summary!$B$24,1)+Summary!$B$11*IFERROR(B1547/Summary!$B$25,1))-1)+ArtifactsInput!$L$16))*100,(Summary!$B$3+(IF(ArtifactsInput!$M$16,-1,1)*Summary!$B$3*(((1-Summary!$B$11)*IFERROR(B1546/Summary!$B$24,1)+Summary!$B$11*IFERROR(B1547/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(IF(ArtifactsInput!$M$17,-1,1)*Summary!$B$3*(((1-Summary!$B$11)*IFERROR(B1586/Summary!$B$24,1)+Summary!$B$11*IFERROR(B1587/Summary!$B$25,1))-1)+ArtifactsInput!$L$17)</f>
        <v/>
      </c>
      <c r="AC44">
        <f>IF(ArtifactsInput!$M$17,Summary!$B$3/(Summary!$B$3-(IF(ArtifactsInput!$M$17,-1,1)*Summary!$B$3*(((1-Summary!$B$11)*IFERROR(B1586/Summary!$B$24,1)+Summary!$B$11*IFERROR(B1587/Summary!$B$25,1))-1)+ArtifactsInput!$L$17))*100,(Summary!$B$3+(IF(ArtifactsInput!$M$17,-1,1)*Summary!$B$3*(((1-Summary!$B$11)*IFERROR(B1586/Summary!$B$24,1)+Summary!$B$11*IFERROR(B1587/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(IF(ArtifactsInput!$M$18,-1,1)*Summary!$B$3*(((1-Summary!$B$11)*IFERROR(B1626/Summary!$B$24,1)+Summary!$B$11*IFERROR(B1627/Summary!$B$25,1))-1)+ArtifactsInput!$L$18)</f>
        <v/>
      </c>
      <c r="AC45">
        <f>IF(ArtifactsInput!$M$18,Summary!$B$3/(Summary!$B$3-(IF(ArtifactsInput!$M$18,-1,1)*Summary!$B$3*(((1-Summary!$B$11)*IFERROR(B1626/Summary!$B$24,1)+Summary!$B$11*IFERROR(B1627/Summary!$B$25,1))-1)+ArtifactsInput!$L$18))*100,(Summary!$B$3+(IF(ArtifactsInput!$M$18,-1,1)*Summary!$B$3*(((1-Summary!$B$11)*IFERROR(B1626/Summary!$B$24,1)+Summary!$B$11*IFERROR(B1627/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(IF(ArtifactsInput!$M$20,-1,1)*Summary!$B$3*(((1-Summary!$B$11)*IFERROR(B1666/Summary!$B$24,1)+Summary!$B$11*IFERROR(B1667/Summary!$B$25,1))-1)+ArtifactsInput!$L$20)</f>
        <v/>
      </c>
      <c r="AC46">
        <f>IF(ArtifactsInput!$M$20,Summary!$B$3/(Summary!$B$3-(IF(ArtifactsInput!$M$20,-1,1)*Summary!$B$3*(((1-Summary!$B$11)*IFERROR(B1666/Summary!$B$24,1)+Summary!$B$11*IFERROR(B1667/Summary!$B$25,1))-1)+ArtifactsInput!$L$20))*100,(Summary!$B$3+(IF(ArtifactsInput!$M$20,-1,1)*Summary!$B$3*(((1-Summary!$B$11)*IFERROR(B1666/Summary!$B$24,1)+Summary!$B$11*IFERROR(B1667/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(IF(ArtifactsInput!$M$21,-1,1)*Summary!$B$3*(((1-Summary!$B$11)*IFERROR(B1706/Summary!$B$24,1)+Summary!$B$11*IFERROR(B1707/Summary!$B$25,1))-1)+ArtifactsInput!$L$21)</f>
        <v/>
      </c>
      <c r="AC47">
        <f>IF(ArtifactsInput!$M$21,Summary!$B$3/(Summary!$B$3-(IF(ArtifactsInput!$M$21,-1,1)*Summary!$B$3*(((1-Summary!$B$11)*IFERROR(B1706/Summary!$B$24,1)+Summary!$B$11*IFERROR(B1707/Summary!$B$25,1))-1)+ArtifactsInput!$L$21))*100,(Summary!$B$3+(IF(ArtifactsInput!$M$21,-1,1)*Summary!$B$3*(((1-Summary!$B$11)*IFERROR(B1706/Summary!$B$24,1)+Summary!$B$11*IFERROR(B1707/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(IF(ArtifactsInput!$M$22,-1,1)*Summary!$B$3*(((1-Summary!$B$11)*IFERROR(B1746/Summary!$B$24,1)+Summary!$B$11*IFERROR(B1747/Summary!$B$25,1))-1)+ArtifactsInput!$L$22)</f>
        <v/>
      </c>
      <c r="AC48">
        <f>IF(ArtifactsInput!$M$22,Summary!$B$3/(Summary!$B$3-(IF(ArtifactsInput!$M$22,-1,1)*Summary!$B$3*(((1-Summary!$B$11)*IFERROR(B1746/Summary!$B$24,1)+Summary!$B$11*IFERROR(B1747/Summary!$B$25,1))-1)+ArtifactsInput!$L$22))*100,(Summary!$B$3+(IF(ArtifactsInput!$M$22,-1,1)*Summary!$B$3*(((1-Summary!$B$11)*IFERROR(B1746/Summary!$B$24,1)+Summary!$B$11*IFERROR(B1747/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(IF(ArtifactsInput!$M$23,-1,1)*Summary!$B$3*(((1-Summary!$B$11)*IFERROR(B1786/Summary!$B$24,1)+Summary!$B$11*IFERROR(B1787/Summary!$B$25,1))-1)+ArtifactsInput!$L$23)</f>
        <v/>
      </c>
      <c r="AC49">
        <f>IF(ArtifactsInput!$M$23,Summary!$B$3/(Summary!$B$3-(IF(ArtifactsInput!$M$23,-1,1)*Summary!$B$3*(((1-Summary!$B$11)*IFERROR(B1786/Summary!$B$24,1)+Summary!$B$11*IFERROR(B1787/Summary!$B$25,1))-1)+ArtifactsInput!$L$23))*100,(Summary!$B$3+(IF(ArtifactsInput!$M$23,-1,1)*Summary!$B$3*(((1-Summary!$B$11)*IFERROR(B1786/Summary!$B$24,1)+Summary!$B$11*IFERROR(B1787/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(IF(ArtifactsInput!$M$24,-1,1)*Summary!$B$3*(((1-Summary!$B$11)*IFERROR(B1826/Summary!$B$24,1)+Summary!$B$11*IFERROR(B1827/Summary!$B$25,1))-1)+ArtifactsInput!$L$24)</f>
        <v/>
      </c>
      <c r="AC50">
        <f>IF(ArtifactsInput!$M$24,Summary!$B$3/(Summary!$B$3-(IF(ArtifactsInput!$M$24,-1,1)*Summary!$B$3*(((1-Summary!$B$11)*IFERROR(B1826/Summary!$B$24,1)+Summary!$B$11*IFERROR(B1827/Summary!$B$25,1))-1)+ArtifactsInput!$L$24))*100,(Summary!$B$3+(IF(ArtifactsInput!$M$24,-1,1)*Summary!$B$3*(((1-Summary!$B$11)*IFERROR(B1826/Summary!$B$24,1)+Summary!$B$11*IFERROR(B1827/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(IF(ArtifactsInput!$M$25,-1,1)*Summary!$B$3*(((1-Summary!$B$11)*IFERROR(B1866/Summary!$B$24,1)+Summary!$B$11*IFERROR(B1867/Summary!$B$25,1))-1)+ArtifactsInput!$L$25)</f>
        <v/>
      </c>
      <c r="AC51">
        <f>IF(ArtifactsInput!$M$25,Summary!$B$3/(Summary!$B$3-(IF(ArtifactsInput!$M$25,-1,1)*Summary!$B$3*(((1-Summary!$B$11)*IFERROR(B1866/Summary!$B$24,1)+Summary!$B$11*IFERROR(B1867/Summary!$B$25,1))-1)+ArtifactsInput!$L$25))*100,(Summary!$B$3+(IF(ArtifactsInput!$M$25,-1,1)*Summary!$B$3*(((1-Summary!$B$11)*IFERROR(B1866/Summary!$B$24,1)+Summary!$B$11*IFERROR(B1867/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(IF(ArtifactsInput!$M$26,-1,1)*Summary!$B$3*(((1-Summary!$B$11)*IFERROR(B1906/Summary!$B$24,1)+Summary!$B$11*IFERROR(B1907/Summary!$B$25,1))-1)+ArtifactsInput!$L$26)</f>
        <v/>
      </c>
      <c r="AC52">
        <f>IF(ArtifactsInput!$M$26,Summary!$B$3/(Summary!$B$3-(IF(ArtifactsInput!$M$26,-1,1)*Summary!$B$3*(((1-Summary!$B$11)*IFERROR(B1906/Summary!$B$24,1)+Summary!$B$11*IFERROR(B1907/Summary!$B$25,1))-1)+ArtifactsInput!$L$26))*100,(Summary!$B$3+(IF(ArtifactsInput!$M$26,-1,1)*Summary!$B$3*(((1-Summary!$B$11)*IFERROR(B1906/Summary!$B$24,1)+Summary!$B$11*IFERROR(B1907/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(IF(ArtifactsInput!$M$27,-1,1)*Summary!$B$3*(((1-Summary!$B$11)*IFERROR(B1946/Summary!$B$24,1)+Summary!$B$11*IFERROR(B1947/Summary!$B$25,1))-1)+ArtifactsInput!$L$27)</f>
        <v/>
      </c>
      <c r="AC53">
        <f>IF(ArtifactsInput!$M$27,Summary!$B$3/(Summary!$B$3-(IF(ArtifactsInput!$M$27,-1,1)*Summary!$B$3*(((1-Summary!$B$11)*IFERROR(B1946/Summary!$B$24,1)+Summary!$B$11*IFERROR(B1947/Summary!$B$25,1))-1)+ArtifactsInput!$L$27))*100,(Summary!$B$3+(IF(ArtifactsInput!$M$27,-1,1)*Summary!$B$3*(((1-Summary!$B$11)*IFERROR(B1946/Summary!$B$24,1)+Summary!$B$11*IFERROR(B1947/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(IF(ArtifactsInput!$M$28,-1,1)*Summary!$B$3*(((1-Summary!$B$11)*IFERROR(B1986/Summary!$B$24,1)+Summary!$B$11*IFERROR(B1987/Summary!$B$25,1))-1)+ArtifactsInput!$L$28)</f>
        <v/>
      </c>
      <c r="AC54">
        <f>IF(ArtifactsInput!$M$28,Summary!$B$3/(Summary!$B$3-(IF(ArtifactsInput!$M$28,-1,1)*Summary!$B$3*(((1-Summary!$B$11)*IFERROR(B1986/Summary!$B$24,1)+Summary!$B$11*IFERROR(B1987/Summary!$B$25,1))-1)+ArtifactsInput!$L$28))*100,(Summary!$B$3+(IF(ArtifactsInput!$M$28,-1,1)*Summary!$B$3*(((1-Summary!$B$11)*IFERROR(B1986/Summary!$B$24,1)+Summary!$B$11*IFERROR(B1987/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(IF(ArtifactsInput!$M$29,-1,1)*Summary!$B$3*(((1-Summary!$B$11)*IFERROR(B2026/Summary!$B$24,1)+Summary!$B$11*IFERROR(B2027/Summary!$B$25,1))-1)+ArtifactsInput!$L$29)</f>
        <v/>
      </c>
      <c r="AC55">
        <f>IF(ArtifactsInput!$M$29,Summary!$B$3/(Summary!$B$3-(IF(ArtifactsInput!$M$29,-1,1)*Summary!$B$3*(((1-Summary!$B$11)*IFERROR(B2026/Summary!$B$24,1)+Summary!$B$11*IFERROR(B2027/Summary!$B$25,1))-1)+ArtifactsInput!$L$29))*100,(Summary!$B$3+(IF(ArtifactsInput!$M$29,-1,1)*Summary!$B$3*(((1-Summary!$B$11)*IFERROR(B2026/Summary!$B$24,1)+Summary!$B$11*IFERROR(B2027/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(IF(ArtifactsInput!$M$30,-1,1)*Summary!$B$3*(((1-Summary!$B$11)*IFERROR(B2066/Summary!$B$24,1)+Summary!$B$11*IFERROR(B2067/Summary!$B$25,1))-1)+ArtifactsInput!$L$30)</f>
        <v/>
      </c>
      <c r="AC56">
        <f>IF(ArtifactsInput!$M$30,Summary!$B$3/(Summary!$B$3-(IF(ArtifactsInput!$M$30,-1,1)*Summary!$B$3*(((1-Summary!$B$11)*IFERROR(B2066/Summary!$B$24,1)+Summary!$B$11*IFERROR(B2067/Summary!$B$25,1))-1)+ArtifactsInput!$L$30))*100,(Summary!$B$3+(IF(ArtifactsInput!$M$30,-1,1)*Summary!$B$3*(((1-Summary!$B$11)*IFERROR(B2066/Summary!$B$24,1)+Summary!$B$11*IFERROR(B2067/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(IF(ArtifactsInput!$M$31,-1,1)*Summary!$B$3*(((1-Summary!$B$11)*IFERROR(B2106/Summary!$B$24,1)+Summary!$B$11*IFERROR(B2107/Summary!$B$25,1))-1)+ArtifactsInput!$L$31)</f>
        <v/>
      </c>
      <c r="AC57">
        <f>IF(ArtifactsInput!$M$31,Summary!$B$3/(Summary!$B$3-(IF(ArtifactsInput!$M$31,-1,1)*Summary!$B$3*(((1-Summary!$B$11)*IFERROR(B2106/Summary!$B$24,1)+Summary!$B$11*IFERROR(B2107/Summary!$B$25,1))-1)+ArtifactsInput!$L$31))*100,(Summary!$B$3+(IF(ArtifactsInput!$M$31,-1,1)*Summary!$B$3*(((1-Summary!$B$11)*IFERROR(B2106/Summary!$B$24,1)+Summary!$B$11*IFERROR(B2107/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(IF(ArtifactsInput!$M$32,-1,1)*Summary!$B$3*(((1-Summary!$B$11)*IFERROR(B2146/Summary!$B$24,1)+Summary!$B$11*IFERROR(B2147/Summary!$B$25,1))-1)+ArtifactsInput!$L$32)</f>
        <v/>
      </c>
      <c r="AC58">
        <f>IF(ArtifactsInput!$M$32,Summary!$B$3/(Summary!$B$3-(IF(ArtifactsInput!$M$32,-1,1)*Summary!$B$3*(((1-Summary!$B$11)*IFERROR(B2146/Summary!$B$24,1)+Summary!$B$11*IFERROR(B2147/Summary!$B$25,1))-1)+ArtifactsInput!$L$32))*100,(Summary!$B$3+(IF(ArtifactsInput!$M$32,-1,1)*Summary!$B$3*(((1-Summary!$B$11)*IFERROR(B2146/Summary!$B$24,1)+Summary!$B$11*IFERROR(B2147/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(IF(ArtifactsInput!$M$33,-1,1)*Summary!$B$3*(((1-Summary!$B$11)*IFERROR(B2186/Summary!$B$24,1)+Summary!$B$11*IFERROR(B2187/Summary!$B$25,1))-1)+ArtifactsInput!$L$33)</f>
        <v/>
      </c>
      <c r="AC59">
        <f>IF(ArtifactsInput!$M$33,Summary!$B$3/(Summary!$B$3-(IF(ArtifactsInput!$M$33,-1,1)*Summary!$B$3*(((1-Summary!$B$11)*IFERROR(B2186/Summary!$B$24,1)+Summary!$B$11*IFERROR(B2187/Summary!$B$25,1))-1)+ArtifactsInput!$L$33))*100,(Summary!$B$3+(IF(ArtifactsInput!$M$33,-1,1)*Summary!$B$3*(((1-Summary!$B$11)*IFERROR(B2186/Summary!$B$24,1)+Summary!$B$11*IFERROR(B2187/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(IF(ArtifactsInput!$M$34,-1,1)*Summary!$B$3*(((1-Summary!$B$11)*IFERROR(B2226/Summary!$B$24,1)+Summary!$B$11*IFERROR(B2227/Summary!$B$25,1))-1)+ArtifactsInput!$L$34)</f>
        <v/>
      </c>
      <c r="AC60">
        <f>IF(ArtifactsInput!$M$34,Summary!$B$3/(Summary!$B$3-(IF(ArtifactsInput!$M$34,-1,1)*Summary!$B$3*(((1-Summary!$B$11)*IFERROR(B2226/Summary!$B$24,1)+Summary!$B$11*IFERROR(B2227/Summary!$B$25,1))-1)+ArtifactsInput!$L$34))*100,(Summary!$B$3+(IF(ArtifactsInput!$M$34,-1,1)*Summary!$B$3*(((1-Summary!$B$11)*IFERROR(B2226/Summary!$B$24,1)+Summary!$B$11*IFERROR(B2227/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(IF(ArtifactsInput!$M$35,-1,1)*Summary!$B$3*(((1-Summary!$B$11)*IFERROR(B2266/Summary!$B$24,1)+Summary!$B$11*IFERROR(B2267/Summary!$B$25,1))-1)+ArtifactsInput!$L$35)</f>
        <v/>
      </c>
      <c r="AC61">
        <f>IF(ArtifactsInput!$M$35,Summary!$B$3/(Summary!$B$3-(IF(ArtifactsInput!$M$35,-1,1)*Summary!$B$3*(((1-Summary!$B$11)*IFERROR(B2266/Summary!$B$24,1)+Summary!$B$11*IFERROR(B2267/Summary!$B$25,1))-1)+ArtifactsInput!$L$35))*100,(Summary!$B$3+(IF(ArtifactsInput!$M$35,-1,1)*Summary!$B$3*(((1-Summary!$B$11)*IFERROR(B2266/Summary!$B$24,1)+Summary!$B$11*IFERROR(B2267/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(IF(ArtifactsInput!$M$36,-1,1)*Summary!$B$3*(((1-Summary!$B$11)*IFERROR(B2306/Summary!$B$24,1)+Summary!$B$11*IFERROR(B2307/Summary!$B$25,1))-1)+ArtifactsInput!$L$36)</f>
        <v/>
      </c>
      <c r="AC62">
        <f>IF(ArtifactsInput!$M$36,Summary!$B$3/(Summary!$B$3-(IF(ArtifactsInput!$M$36,-1,1)*Summary!$B$3*(((1-Summary!$B$11)*IFERROR(B2306/Summary!$B$24,1)+Summary!$B$11*IFERROR(B2307/Summary!$B$25,1))-1)+ArtifactsInput!$L$36))*100,(Summary!$B$3+(IF(ArtifactsInput!$M$36,-1,1)*Summary!$B$3*(((1-Summary!$B$11)*IFERROR(B2306/Summary!$B$24,1)+Summary!$B$11*IFERROR(B2307/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(IF(ArtifactsInput!$M$37,-1,1)*Summary!$B$3*(((1-Summary!$B$11)*IFERROR(B2346/Summary!$B$24,1)+Summary!$B$11*IFERROR(B2347/Summary!$B$25,1))-1)+ArtifactsInput!$L$37)</f>
        <v/>
      </c>
      <c r="AC63">
        <f>IF(ArtifactsInput!$M$37,Summary!$B$3/(Summary!$B$3-(IF(ArtifactsInput!$M$37,-1,1)*Summary!$B$3*(((1-Summary!$B$11)*IFERROR(B2346/Summary!$B$24,1)+Summary!$B$11*IFERROR(B2347/Summary!$B$25,1))-1)+ArtifactsInput!$L$37))*100,(Summary!$B$3+(IF(ArtifactsInput!$M$37,-1,1)*Summary!$B$3*(((1-Summary!$B$11)*IFERROR(B2346/Summary!$B$24,1)+Summary!$B$11*IFERROR(B2347/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(IF(ArtifactsInput!$M$38,-1,1)*Summary!$B$3*(((1-Summary!$B$11)*IFERROR(B2386/Summary!$B$24,1)+Summary!$B$11*IFERROR(B2387/Summary!$B$25,1))-1)+ArtifactsInput!$L$38)</f>
        <v/>
      </c>
      <c r="AC64">
        <f>IF(ArtifactsInput!$M$38,Summary!$B$3/(Summary!$B$3-(IF(ArtifactsInput!$M$38,-1,1)*Summary!$B$3*(((1-Summary!$B$11)*IFERROR(B2386/Summary!$B$24,1)+Summary!$B$11*IFERROR(B2387/Summary!$B$25,1))-1)+ArtifactsInput!$L$38))*100,(Summary!$B$3+(IF(ArtifactsInput!$M$38,-1,1)*Summary!$B$3*(((1-Summary!$B$11)*IFERROR(B2386/Summary!$B$24,1)+Summary!$B$11*IFERROR(B2387/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(IF(ArtifactsInput!$M$39,-1,1)*Summary!$B$3*(((1-Summary!$B$11)*IFERROR(B2426/Summary!$B$24,1)+Summary!$B$11*IFERROR(B2427/Summary!$B$25,1))-1)+ArtifactsInput!$L$39)</f>
        <v/>
      </c>
      <c r="AC65">
        <f>IF(ArtifactsInput!$M$39,Summary!$B$3/(Summary!$B$3-(IF(ArtifactsInput!$M$39,-1,1)*Summary!$B$3*(((1-Summary!$B$11)*IFERROR(B2426/Summary!$B$24,1)+Summary!$B$11*IFERROR(B2427/Summary!$B$25,1))-1)+ArtifactsInput!$L$39))*100,(Summary!$B$3+(IF(ArtifactsInput!$M$39,-1,1)*Summary!$B$3*(((1-Summary!$B$11)*IFERROR(B2426/Summary!$B$24,1)+Summary!$B$11*IFERROR(B2427/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(IF(ArtifactsInput!$M$40,-1,1)*Summary!$B$3*(((1-Summary!$B$11)*IFERROR(B2466/Summary!$B$24,1)+Summary!$B$11*IFERROR(B2467/Summary!$B$25,1))-1)+ArtifactsInput!$L$40)</f>
        <v/>
      </c>
      <c r="AC66">
        <f>IF(ArtifactsInput!$M$40,Summary!$B$3/(Summary!$B$3-(IF(ArtifactsInput!$M$40,-1,1)*Summary!$B$3*(((1-Summary!$B$11)*IFERROR(B2466/Summary!$B$24,1)+Summary!$B$11*IFERROR(B2467/Summary!$B$25,1))-1)+ArtifactsInput!$L$40))*100,(Summary!$B$3+(IF(ArtifactsInput!$M$40,-1,1)*Summary!$B$3*(((1-Summary!$B$11)*IFERROR(B2466/Summary!$B$24,1)+Summary!$B$11*IFERROR(B2467/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(IF(ArtifactsInput!$M$41,-1,1)*Summary!$B$3*(((1-Summary!$B$11)*IFERROR(B2506/Summary!$B$24,1)+Summary!$B$11*IFERROR(B2507/Summary!$B$25,1))-1)+ArtifactsInput!$L$41)</f>
        <v/>
      </c>
      <c r="AC67">
        <f>IF(ArtifactsInput!$M$41,Summary!$B$3/(Summary!$B$3-(IF(ArtifactsInput!$M$41,-1,1)*Summary!$B$3*(((1-Summary!$B$11)*IFERROR(B2506/Summary!$B$24,1)+Summary!$B$11*IFERROR(B2507/Summary!$B$25,1))-1)+ArtifactsInput!$L$41))*100,(Summary!$B$3+(IF(ArtifactsInput!$M$41,-1,1)*Summary!$B$3*(((1-Summary!$B$11)*IFERROR(B2506/Summary!$B$24,1)+Summary!$B$11*IFERROR(B2507/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(IF(ArtifactsInput!$M$42,-1,1)*Summary!$B$3*(((1-Summary!$B$11)*IFERROR(B2546/Summary!$B$24,1)+Summary!$B$11*IFERROR(B2547/Summary!$B$25,1))-1)+ArtifactsInput!$L$42)</f>
        <v/>
      </c>
      <c r="AC68">
        <f>IF(ArtifactsInput!$M$42,Summary!$B$3/(Summary!$B$3-(IF(ArtifactsInput!$M$42,-1,1)*Summary!$B$3*(((1-Summary!$B$11)*IFERROR(B2546/Summary!$B$24,1)+Summary!$B$11*IFERROR(B2547/Summary!$B$25,1))-1)+ArtifactsInput!$L$42))*100,(Summary!$B$3+(IF(ArtifactsInput!$M$42,-1,1)*Summary!$B$3*(((1-Summary!$B$11)*IFERROR(B2546/Summary!$B$24,1)+Summary!$B$11*IFERROR(B2547/Summary!$B$25,1))-1)+ArtifactsInput!$L$42))/Summary!$B$3*100)</f>
        <v/>
      </c>
      <c r="AD68">
        <f>ArtifactsInput!$B$42&lt;&gt;"Not Unlocked"</f>
        <v/>
      </c>
      <c r="AE68">
        <f>IF(AD68,SUMPRODUCT(($AD$33:$AD$68)*($AC$33:$AC$68&gt;AC68))+COUNTIFS($AD$33:AD68,TRUE,$AC$33:AC68,AC68),"")</f>
        <v/>
      </c>
    </row>
    <row r="71">
      <c r="A71" s="6" t="inlineStr">
        <is>
          <t>Stat: Flat STR</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Skills!G2*IF(Skills!H2&gt;0,Skills!I2/Skills!H2,1)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C93=TRUE)*(F93-Calc!F22)),(Inputs!$B$23+((C95=TRUE)*(F95-Calc!F24))+(IF(ArtifactsInput!$M$15,CHOOSE(ArtifactsInput!$N$15+1,25,30,35,40,45,50)/100*(Inputs!$B$11-Inputs!$B$11),0))))/100+(Inputs!$B$23+((C95=TRUE)*(F95-Calc!F24))+(IF(ArtifactsInput!$M$15,CHOOSE(ArtifactsInput!$N$15+1,25,30,35,40,45,50)/100*(Inputs!$B$11-Inputs!$B$11),0)))/100)/2</f>
        <v/>
      </c>
      <c r="M73">
        <f>L73*(1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IF(B108=0,0,O73/B108)</f>
        <v/>
      </c>
      <c r="Q73" t="n">
        <v>0</v>
      </c>
      <c r="R73" t="n">
        <v>0</v>
      </c>
      <c r="S73">
        <f>IFERROR(O73/N73,0)</f>
        <v/>
      </c>
      <c r="T73">
        <f>IF(C73,(Skills!G2*N73*B102)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73*(1-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IF(C73,(Skills!G2*N73*B102)*IF(Inputs!$B$38="pvp",1,(1+(Inputs!$B$21+Skills!Q2+(IF(ArtifactsInput!$M$33,CHOOSE(ArtifactsInput!$N$33+1,30,36,42,48,54,60),0))+(IF(AND(ArtifactsInput!$M$35,Inputs!$B$4&lt;&gt;"Chapter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Inputs!$B$3&gt;=50</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t="inlineStr"/>
      <c r="H74" t="inlineStr"/>
      <c r="I74" t="inlineStr">
        <is>
          <t>1</t>
        </is>
      </c>
      <c r="J74" t="inlineStr"/>
      <c r="K74" t="inlineStr"/>
      <c r="L74" t="inlineStr"/>
      <c r="M74" t="inlineStr"/>
      <c r="N74" t="inlineStr"/>
      <c r="O74" t="inlineStr"/>
      <c r="P74" t="inlineStr"/>
      <c r="Q74" t="inlineStr"/>
      <c r="R74" t="inlineStr"/>
      <c r="S74" t="inlineStr"/>
      <c r="U74">
        <f>INDEX(FactorTable!$B$2:$Y$301, MATCH(ROUND(MIN(300,MAX(1,U73)),0), FactorTable!$A$2:$A$301,0), 22)</f>
        <v/>
      </c>
    </row>
    <row r="75">
      <c r="A75">
        <f>Skills!A4</f>
        <v/>
      </c>
      <c r="B75">
        <f>Skills!B4</f>
        <v/>
      </c>
      <c r="C75">
        <f>Inputs!$B$3&gt;=35</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f>Skills!G4*IF(Skills!H4&gt;0,Skills!I4/Skills!H4,1)</f>
        <v/>
      </c>
      <c r="H75">
        <f>1-(1-Skills!J4/100)^Skills!K4</f>
        <v/>
      </c>
      <c r="I75" t="inlineStr">
        <is>
          <t>1</t>
        </is>
      </c>
      <c r="J75">
        <f>((Inputs!$B$6*(1+Inputs!$B$7/100))+((((Inputs!$B$12+1)*(1+Inputs!$B$13/100))-(Inputs!$B$12*(1+Inputs!$B$13/100)))+0.25*(Inputs!$B$14-Inputs!$B$14))*(1+Inputs!$B$7/100))*(F75/100)</f>
        <v/>
      </c>
      <c r="K75">
        <f>J75*(1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83=TRUE,F83,0)/100)*(1+(IF(Skills!A4="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f>
        <v/>
      </c>
      <c r="L75">
        <f>K75*(MIN(Inputs!$B$22+((C93=TRUE)*(F93-Calc!F22)),(Inputs!$B$23+((C95=TRUE)*(F95-Calc!F24))+(IF(ArtifactsInput!$M$15,CHOOSE(ArtifactsInput!$N$15+1,25,30,35,40,45,50)/100*(Inputs!$B$11-Inputs!$B$11),0))))/100+(Inputs!$B$23+((C95=TRUE)*(F95-Calc!F24))+(IF(ArtifactsInput!$M$15,CHOOSE(ArtifactsInput!$N$15+1,25,30,35,40,45,50)/100*(Inputs!$B$11-Inputs!$B$11),0)))/100)/2</f>
        <v/>
      </c>
      <c r="M75">
        <f>L75*(1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
        <f>L75*(1-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
        <f>(1-Summary!$B$11)*T75+Summary!$B$11*V75</f>
        <v/>
      </c>
      <c r="P75">
        <f>IF(B108=0,0,O75/B108)</f>
        <v/>
      </c>
      <c r="Q75">
        <f>IFERROR(1/(IF(Inputs!$B$38="pvp",15,MAX(0.1,Skills!D4-IF(Skills!E4=TRUE,Inputs!$B$32,0)))*(1-IF(AND(ArtifactsInput!$M$27,Inputs!$B$4="Chapter Hunt"),CHOOSE(ArtifactsInput!$N$27+1,20,24,28,32,36,40),0)/100)),0)</f>
        <v/>
      </c>
      <c r="R75">
        <f>IF(AND(Inputs!$B$38&lt;&gt;"pvp",Inputs!$B$43&gt;0),IF(MAX(0,Inputs!$B$43-B105)&lt;=0,0,(INT(MAX(0,Inputs!$B$43-B105)/(IF(Inputs!$B$38="pvp",15,MAX(0.1,Skills!D4-IF(Skills!E4=TRUE,Inputs!$B$32,0)))*(1-IF(AND(ArtifactsInput!$M$27,Inputs!$B$4="Chapter Hunt"),CHOOSE(ArtifactsInput!$N$27+1,20,24,28,32,36,40),0)/100)))+1)),0)</f>
        <v/>
      </c>
      <c r="S75">
        <f>IFERROR(O75/N75,0)</f>
        <v/>
      </c>
      <c r="T75">
        <f>IF(C75,(H75*N75*IF(AND(Inputs!$B$38&lt;&gt;"pvp",Inputs!$B$43&gt;0),((Skills!G4*((R75-1)*IF(Skills!H4&gt;0,Skills!I4/Skills!H4,1)+IF(Skills!H4&gt;0,MIN(Skills!I4,MAX(0,MAX(0,Inputs!$B$43-B105)-((R75-1)*(IF(Inputs!$B$38="pvp",15,MAX(0.1,Skills!D4-IF(Skills!E4=TRUE,Inputs!$B$32,0)))*(1-IF(AND(ArtifactsInput!$M$27,Inputs!$B$4="Chapter Hunt"),CHOOSE(ArtifactsInput!$N$27+1,20,24,28,32,36,40),0)/100)))))/Skills!H4,1)))/Inputs!$B$43),G75*Q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
        <f>290*U74/1000</f>
        <v/>
      </c>
      <c r="V75">
        <f>IF(C75,(H75*N75*IF(AND(Inputs!$B$38&lt;&gt;"pvp",Inputs!$B$43&gt;0),((Skills!G4*((R75-1)*IF(Skills!H4&gt;0,Skills!I4/Skills!H4,1)+IF(Skills!H4&gt;0,MIN(Skills!I4,MAX(0,MAX(0,Inputs!$B$43-B105)-((R75-1)*(IF(Inputs!$B$38="pvp",15,MAX(0.1,Skills!D4-IF(Skills!E4=TRUE,Inputs!$B$32,0)))*(1-IF(AND(ArtifactsInput!$M$27,Inputs!$B$4="Chapter Hunt"),CHOOSE(ArtifactsInput!$N$27+1,20,24,28,32,36,40),0)/100)))))/Skills!H4,1)))/Inputs!$B$43),G75*Q75))*IF(Inputs!$B$38="pvp",1,(1+(Inputs!$B$21+Skills!Q4+(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
      <c r="A76">
        <f>Skills!A5</f>
        <v/>
      </c>
      <c r="B76">
        <f>Skills!B5</f>
        <v/>
      </c>
      <c r="C76">
        <f>Inputs!$B$3&gt;=66</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Skills!G5*IF(Skills!H5&gt;0,Skills!I5/Skills!H5,1)</f>
        <v/>
      </c>
      <c r="H76">
        <f>1-(1-Skills!J5/100)^Skills!K5</f>
        <v/>
      </c>
      <c r="I76" t="inlineStr">
        <is>
          <t>1</t>
        </is>
      </c>
      <c r="J76">
        <f>((Inputs!$B$6*(1+Inputs!$B$7/100))+((((Inputs!$B$12+1)*(1+Inputs!$B$13/100))-(Inputs!$B$12*(1+Inputs!$B$13/100)))+0.25*(Inputs!$B$14-Inputs!$B$14))*(1+Inputs!$B$7/100))*(F76/100)</f>
        <v/>
      </c>
      <c r="K76">
        <f>J76*(1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83=TRUE,F83,0)/100)*(1+(IF(Skills!A5="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f>
        <v/>
      </c>
      <c r="L76">
        <f>K76*(MIN(Inputs!$B$22+((C93=TRUE)*(F93-Calc!F22)),(Inputs!$B$23+((C95=TRUE)*(F95-Calc!F24))+(IF(ArtifactsInput!$M$15,CHOOSE(ArtifactsInput!$N$15+1,25,30,35,40,45,50)/100*(Inputs!$B$11-Inputs!$B$11),0))))/100+(Inputs!$B$23+((C95=TRUE)*(F95-Calc!F24))+(IF(ArtifactsInput!$M$15,CHOOSE(ArtifactsInput!$N$15+1,25,30,35,40,45,50)/100*(Inputs!$B$11-Inputs!$B$11),0)))/100)/2</f>
        <v/>
      </c>
      <c r="M76">
        <f>L76*(1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(1-Summary!$B$11)*T76+Summary!$B$11*V76</f>
        <v/>
      </c>
      <c r="P76">
        <f>IF(B108=0,0,O76/B108)</f>
        <v/>
      </c>
      <c r="Q76">
        <f>IFERROR(1/(IF(Inputs!$B$38="pvp",15,MAX(0.1,Skills!D5-IF(Skills!E5=TRUE,Inputs!$B$32,0)))*(1-IF(AND(ArtifactsInput!$M$27,Inputs!$B$4="Chapter Hunt"),CHOOSE(ArtifactsInput!$N$27+1,20,24,28,32,36,40),0)/100)),0)</f>
        <v/>
      </c>
      <c r="R76">
        <f>IF(AND(Inputs!$B$38&lt;&gt;"pvp",Inputs!$B$43&gt;0),IF(MAX(0,Inputs!$B$43-B105)&lt;=0,0,(INT(MAX(0,Inputs!$B$43-B105)/(IF(Inputs!$B$38="pvp",15,MAX(0.1,Skills!D5-IF(Skills!E5=TRUE,Inputs!$B$32,0)))*(1-IF(AND(ArtifactsInput!$M$27,Inputs!$B$4="Chapter Hunt"),CHOOSE(ArtifactsInput!$N$27+1,20,24,28,32,36,40),0)/100)))+1)),0)</f>
        <v/>
      </c>
      <c r="S76">
        <f>IFERROR(O76/N76,0)</f>
        <v/>
      </c>
      <c r="T76">
        <f>IF(C76,(H76*N76*IF(AND(Inputs!$B$38&lt;&gt;"pvp",Inputs!$B$43&gt;0),((Skills!G5*((R76-1)*IF(Skills!H5&gt;0,Skills!I5/Skills!H5,1)+IF(Skills!H5&gt;0,MIN(Skills!I5,MAX(0,MAX(0,Inputs!$B$43-B105)-((R76-1)*(IF(Inputs!$B$38="pvp",15,MAX(0.1,Skills!D5-IF(Skills!E5=TRUE,Inputs!$B$32,0)))*(1-IF(AND(ArtifactsInput!$M$27,Inputs!$B$4="Chapter Hunt"),CHOOSE(ArtifactsInput!$N$27+1,20,24,28,32,36,40),0)/100)))))/Skills!H5,1)))/Inputs!$B$43),G76*Q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
        <f>IF(C76,(H76*N76*IF(AND(Inputs!$B$38&lt;&gt;"pvp",Inputs!$B$43&gt;0),((Skills!G5*((R76-1)*IF(Skills!H5&gt;0,Skills!I5/Skills!H5,1)+IF(Skills!H5&gt;0,MIN(Skills!I5,MAX(0,MAX(0,Inputs!$B$43-B105)-((R76-1)*(IF(Inputs!$B$38="pvp",15,MAX(0.1,Skills!D5-IF(Skills!E5=TRUE,Inputs!$B$32,0)))*(1-IF(AND(ArtifactsInput!$M$27,Inputs!$B$4="Chapter Hunt"),CHOOSE(ArtifactsInput!$N$27+1,20,24,28,32,36,40),0)/100)))))/Skills!H5,1)))/Inputs!$B$43),G76*Q76))*IF(Inputs!$B$38="pvp",1,(1+(Inputs!$B$21+Skills!Q5+(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Skills!A6</f>
        <v/>
      </c>
      <c r="B77">
        <f>Skills!B6</f>
        <v/>
      </c>
      <c r="C77">
        <f>Inputs!$B$3&gt;=103</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Skills!G6*IF(Skills!H6&gt;0,Skills!I6/Skills!H6,1)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C93=TRUE)*(F93-Calc!F22)),(Inputs!$B$23+((C95=TRUE)*(F95-Calc!F24))+(IF(ArtifactsInput!$M$15,CHOOSE(ArtifactsInput!$N$15+1,25,30,35,40,45,50)/100*(Inputs!$B$11-Inputs!$B$11),0))))/100+(Inputs!$B$23+((C95=TRUE)*(F95-Calc!F24))+(IF(ArtifactsInput!$M$15,CHOOSE(ArtifactsInput!$N$15+1,25,30,35,40,45,50)/100*(Inputs!$B$11-Inputs!$B$11),0)))/100)/2</f>
        <v/>
      </c>
      <c r="M77">
        <f>L77*(1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IF(B108=0,0,O77/B108)</f>
        <v/>
      </c>
      <c r="Q77">
        <f>IFERROR(1/(IF(Inputs!$B$38="pvp",15,MAX(0.1,Skills!D6-IF(Skills!E6=TRUE,Inputs!$B$32,0)))*(1-IF(AND(ArtifactsInput!$M$27,Inputs!$B$4="Chapter Hunt"),CHOOSE(ArtifactsInput!$N$27+1,20,24,28,32,36,40),0)/100)),0)</f>
        <v/>
      </c>
      <c r="R77">
        <f>IF(AND(Inputs!$B$38&lt;&gt;"pvp",Inputs!$B$43&gt;0),IF(MAX(0,Inputs!$B$43-B105)&lt;=0,0,(INT(MAX(0,Inputs!$B$43-B105)/(IF(Inputs!$B$38="pvp",15,MAX(0.1,Skills!D6-IF(Skills!E6=TRUE,Inputs!$B$32,0)))*(1-IF(AND(ArtifactsInput!$M$27,Inputs!$B$4="Chapter Hunt"),CHOOSE(ArtifactsInput!$N$27+1,20,24,28,32,36,40),0)/100)))+1)),0)</f>
        <v/>
      </c>
      <c r="S77">
        <f>IFERROR(O77/N77,0)</f>
        <v/>
      </c>
      <c r="T77">
        <f>IF(C77,(H77*N77*IF(AND(Inputs!$B$38&lt;&gt;"pvp",Inputs!$B$43&gt;0),((Skills!G6*((R77-1)*IF(Skills!H6&gt;0,Skills!I6/Skills!H6,1)+IF(Skills!H6&gt;0,MIN(Skills!I6,MAX(0,MAX(0,Inputs!$B$43-B105)-((R77-1)*(IF(Inputs!$B$38="pvp",15,MAX(0.1,Skills!D6-IF(Skills!E6=TRUE,Inputs!$B$32,0)))*(1-IF(AND(ArtifactsInput!$M$27,Inputs!$B$4="Chapter Hunt"),CHOOSE(ArtifactsInput!$N$27+1,20,24,28,32,36,40),0)/100)))))/Skills!H6,1)))/Inputs!$B$43),G77*Q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Skills!I6/Skills!H6,1)+IF(Skills!H6&gt;0,MIN(Skills!I6,MAX(0,MAX(0,Inputs!$B$43-B105)-((R77-1)*(IF(Inputs!$B$38="pvp",15,MAX(0.1,Skills!D6-IF(Skills!E6=TRUE,Inputs!$B$32,0)))*(1-IF(AND(ArtifactsInput!$M$27,Inputs!$B$4="Chapter Hunt"),CHOOSE(ArtifactsInput!$N$27+1,20,24,28,32,36,40),0)/100)))))/Skills!H6,1)))/Inputs!$B$43),G77*Q77))*IF(Inputs!$B$38="pvp",1,(1+(Inputs!$B$21+Skills!Q6+(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Inputs!$B$3&gt;=107</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f>Skills!G7*IF(Skills!H7&gt;0,Skills!I7/Skills!H7,1)</f>
        <v/>
      </c>
      <c r="H78">
        <f>1-(1-Skills!J7/100)^Skills!K7</f>
        <v/>
      </c>
      <c r="I78" t="inlineStr">
        <is>
          <t>1</t>
        </is>
      </c>
      <c r="J78">
        <f>((Inputs!$B$6*(1+Inputs!$B$7/100))+((((Inputs!$B$12+1)*(1+Inputs!$B$13/100))-(Inputs!$B$12*(1+Inputs!$B$13/100)))+0.25*(Inputs!$B$14-Inputs!$B$14))*(1+Inputs!$B$7/100))*(F78/100)</f>
        <v/>
      </c>
      <c r="K78">
        <f>J78*(1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C93=TRUE)*(F93-Calc!F22)),(Inputs!$B$23+((C95=TRUE)*(F95-Calc!F24))+(IF(ArtifactsInput!$M$15,CHOOSE(ArtifactsInput!$N$15+1,25,30,35,40,45,50)/100*(Inputs!$B$11-Inputs!$B$11),0))))/100+(Inputs!$B$23+((C95=TRUE)*(F95-Calc!F24))+(IF(ArtifactsInput!$M$15,CHOOSE(ArtifactsInput!$N$15+1,25,30,35,40,45,50)/100*(Inputs!$B$11-Inputs!$B$11),0)))/100)/2</f>
        <v/>
      </c>
      <c r="M78">
        <f>L78*(1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(1-Summary!$B$11)*T78+Summary!$B$11*V78</f>
        <v/>
      </c>
      <c r="P78">
        <f>IF(B108=0,0,O78/B108)</f>
        <v/>
      </c>
      <c r="Q78">
        <f>IFERROR(1/(IF(Inputs!$B$38="pvp",15,MAX(0.1,Skills!D7-IF(Skills!E7=TRUE,Inputs!$B$32,0)))*(1-IF(AND(ArtifactsInput!$M$27,Inputs!$B$4="Chapter Hunt"),CHOOSE(ArtifactsInput!$N$27+1,20,24,28,32,36,40),0)/100)),0)</f>
        <v/>
      </c>
      <c r="R78">
        <f>IF(AND(Inputs!$B$38&lt;&gt;"pvp",Inputs!$B$43&gt;0),IF(MAX(0,Inputs!$B$43-B105)&lt;=0,0,(INT(MAX(0,Inputs!$B$43-B105)/(IF(Inputs!$B$38="pvp",15,MAX(0.1,Skills!D7-IF(Skills!E7=TRUE,Inputs!$B$32,0)))*(1-IF(AND(ArtifactsInput!$M$27,Inputs!$B$4="Chapter Hunt"),CHOOSE(ArtifactsInput!$N$27+1,20,24,28,32,36,40),0)/100)))+1)),0)</f>
        <v/>
      </c>
      <c r="S78">
        <f>IFERROR(O78/N78,0)</f>
        <v/>
      </c>
      <c r="T78">
        <f>IF(C78,(H78*N78*IF(AND(Inputs!$B$38&lt;&gt;"pvp",Inputs!$B$43&gt;0),((Skills!G7*((R78-1)*IF(Skills!H7&gt;0,Skills!I7/Skills!H7,1)+IF(Skills!H7&gt;0,MIN(Skills!I7,MAX(0,MAX(0,Inputs!$B$43-B105)-((R78-1)*(IF(Inputs!$B$38="pvp",15,MAX(0.1,Skills!D7-IF(Skills!E7=TRUE,Inputs!$B$32,0)))*(1-IF(AND(ArtifactsInput!$M$27,Inputs!$B$4="Chapter Hunt"),CHOOSE(ArtifactsInput!$N$27+1,20,24,28,32,36,40),0)/100)))))/Skills!H7,1)))/Inputs!$B$43),G78*Q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
        <f>IF(C78,(H78*N78*IF(AND(Inputs!$B$38&lt;&gt;"pvp",Inputs!$B$43&gt;0),((Skills!G7*((R78-1)*IF(Skills!H7&gt;0,Skills!I7/Skills!H7,1)+IF(Skills!H7&gt;0,MIN(Skills!I7,MAX(0,MAX(0,Inputs!$B$43-B105)-((R78-1)*(IF(Inputs!$B$38="pvp",15,MAX(0.1,Skills!D7-IF(Skills!E7=TRUE,Inputs!$B$32,0)))*(1-IF(AND(ArtifactsInput!$M$27,Inputs!$B$4="Chapter Hunt"),CHOOSE(ArtifactsInput!$N$27+1,20,24,28,32,36,40),0)/100)))))/Skills!H7,1)))/Inputs!$B$43),G78*Q78))*IF(Inputs!$B$38="pvp",1,(1+(Inputs!$B$21+Skills!Q7+(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Skills!A8</f>
        <v/>
      </c>
      <c r="B79">
        <f>Skills!B8</f>
        <v/>
      </c>
      <c r="C79">
        <f>Inputs!$B$3&gt;=107</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f>Skills!G8*IF(Skills!H8&gt;0,Skills!I8/Skills!H8,1)</f>
        <v/>
      </c>
      <c r="H79">
        <f>1-(1-Skills!J8/100)^Skills!K8</f>
        <v/>
      </c>
      <c r="I79" t="inlineStr">
        <is>
          <t>1</t>
        </is>
      </c>
      <c r="J79">
        <f>((Inputs!$B$6*(1+Inputs!$B$7/100))+((((Inputs!$B$12+1)*(1+Inputs!$B$13/100))-(Inputs!$B$12*(1+Inputs!$B$13/100)))+0.25*(Inputs!$B$14-Inputs!$B$14))*(1+Inputs!$B$7/100))*(F79/100)</f>
        <v/>
      </c>
      <c r="K79">
        <f>J79*(1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C93=TRUE)*(F93-Calc!F22)),(Inputs!$B$23+((C95=TRUE)*(F95-Calc!F24))+(IF(ArtifactsInput!$M$15,CHOOSE(ArtifactsInput!$N$15+1,25,30,35,40,45,50)/100*(Inputs!$B$11-Inputs!$B$11),0))))/100+(Inputs!$B$23+((C95=TRUE)*(F95-Calc!F24))+(IF(ArtifactsInput!$M$15,CHOOSE(ArtifactsInput!$N$15+1,25,30,35,40,45,50)/100*(Inputs!$B$11-Inputs!$B$11),0)))/100)/2</f>
        <v/>
      </c>
      <c r="M79">
        <f>L79*(1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(1-Summary!$B$11)*T79+Summary!$B$11*V79</f>
        <v/>
      </c>
      <c r="P79">
        <f>IF(B108=0,0,O79/B108)</f>
        <v/>
      </c>
      <c r="Q79">
        <f>IFERROR(1/(IF(Inputs!$B$38="pvp",15,MAX(0.1,Skills!D8-IF(Skills!E8=TRUE,Inputs!$B$32,0)))*(1-IF(AND(ArtifactsInput!$M$27,Inputs!$B$4="Chapter Hunt"),CHOOSE(ArtifactsInput!$N$27+1,20,24,28,32,36,40),0)/100)),0)</f>
        <v/>
      </c>
      <c r="R79">
        <f>IF(AND(Inputs!$B$38&lt;&gt;"pvp",Inputs!$B$43&gt;0),IF(MAX(0,Inputs!$B$43-B105)&lt;=0,0,(INT(MAX(0,Inputs!$B$43-B105)/(IF(Inputs!$B$38="pvp",15,MAX(0.1,Skills!D8-IF(Skills!E8=TRUE,Inputs!$B$32,0)))*(1-IF(AND(ArtifactsInput!$M$27,Inputs!$B$4="Chapter Hunt"),CHOOSE(ArtifactsInput!$N$27+1,20,24,28,32,36,40),0)/100)))+1)),0)</f>
        <v/>
      </c>
      <c r="S79">
        <f>IFERROR(O79/N79,0)</f>
        <v/>
      </c>
      <c r="T79">
        <f>IF(C79,(H79*N79*IF(AND(Inputs!$B$38&lt;&gt;"pvp",Inputs!$B$43&gt;0),((Skills!G8*((R79-1)*IF(Skills!H8&gt;0,Skills!I8/Skills!H8,1)+IF(Skills!H8&gt;0,MIN(Skills!I8,MAX(0,MAX(0,Inputs!$B$43-B105)-((R79-1)*(IF(Inputs!$B$38="pvp",15,MAX(0.1,Skills!D8-IF(Skills!E8=TRUE,Inputs!$B$32,0)))*(1-IF(AND(ArtifactsInput!$M$27,Inputs!$B$4="Chapter Hunt"),CHOOSE(ArtifactsInput!$N$27+1,20,24,28,32,36,40),0)/100)))))/Skills!H8,1)))/Inputs!$B$43),G79*Q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
        <f>IF(C79,(H79*N79*IF(AND(Inputs!$B$38&lt;&gt;"pvp",Inputs!$B$43&gt;0),((Skills!G8*((R79-1)*IF(Skills!H8&gt;0,Skills!I8/Skills!H8,1)+IF(Skills!H8&gt;0,MIN(Skills!I8,MAX(0,MAX(0,Inputs!$B$43-B105)-((R79-1)*(IF(Inputs!$B$38="pvp",15,MAX(0.1,Skills!D8-IF(Skills!E8=TRUE,Inputs!$B$32,0)))*(1-IF(AND(ArtifactsInput!$M$27,Inputs!$B$4="Chapter Hunt"),CHOOSE(ArtifactsInput!$N$27+1,20,24,28,32,36,40),0)/100)))))/Skills!H8,1)))/Inputs!$B$43),G79*Q79))*IF(Inputs!$B$38="pvp",1,(1+(Inputs!$B$21+Skills!Q8+(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Skills!A9</f>
        <v/>
      </c>
      <c r="B80">
        <f>Skills!B9</f>
        <v/>
      </c>
      <c r="C80">
        <f>Inputs!$B$3&gt;=125</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Skills!G9*IF(Skills!H9&gt;0,Skills!I9/Skills!H9,1)</f>
        <v/>
      </c>
      <c r="H80">
        <f>1-(1-Skills!J9/100)^Skills!K9</f>
        <v/>
      </c>
      <c r="I80" t="inlineStr">
        <is>
          <t>1</t>
        </is>
      </c>
      <c r="J80">
        <f>((Inputs!$B$6*(1+Inputs!$B$7/100))+((((Inputs!$B$12+1)*(1+Inputs!$B$13/100))-(Inputs!$B$12*(1+Inputs!$B$13/100)))+0.25*(Inputs!$B$14-Inputs!$B$14))*(1+Inputs!$B$7/100))*(F80/100)</f>
        <v/>
      </c>
      <c r="K80">
        <f>J80*(1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C93=TRUE)*(F93-Calc!F22)),(Inputs!$B$23+((C95=TRUE)*(F95-Calc!F24))+(IF(ArtifactsInput!$M$15,CHOOSE(ArtifactsInput!$N$15+1,25,30,35,40,45,50)/100*(Inputs!$B$11-Inputs!$B$11),0))))/100+(Inputs!$B$23+((C95=TRUE)*(F95-Calc!F24))+(IF(ArtifactsInput!$M$15,CHOOSE(ArtifactsInput!$N$15+1,25,30,35,40,45,50)/100*(Inputs!$B$11-Inputs!$B$11),0)))/100)/2</f>
        <v/>
      </c>
      <c r="M80">
        <f>L80*(1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IF(B108=0,0,O80/B108)</f>
        <v/>
      </c>
      <c r="Q80">
        <f>IFERROR(1/(IF(Inputs!$B$38="pvp",15,MAX(0.1,Skills!D9-IF(Skills!E9=TRUE,Inputs!$B$32,0)))*(1-IF(AND(ArtifactsInput!$M$27,Inputs!$B$4="Chapter Hunt"),CHOOSE(ArtifactsInput!$N$27+1,20,24,28,32,36,40),0)/100)),0)</f>
        <v/>
      </c>
      <c r="R80">
        <f>IF(AND(Inputs!$B$38&lt;&gt;"pvp",Inputs!$B$43&gt;0),IF(MAX(0,Inputs!$B$43-B105)&lt;=0,0,(INT(MAX(0,Inputs!$B$43-B105)/(IF(Inputs!$B$38="pvp",15,MAX(0.1,Skills!D9-IF(Skills!E9=TRUE,Inputs!$B$32,0)))*(1-IF(AND(ArtifactsInput!$M$27,Inputs!$B$4="Chapter Hunt"),CHOOSE(ArtifactsInput!$N$27+1,20,24,28,32,36,40),0)/100)))+1)),0)</f>
        <v/>
      </c>
      <c r="S80">
        <f>IFERROR(O80/N80,0)</f>
        <v/>
      </c>
      <c r="T80">
        <f>IF(C80,(H80*N80*IF(AND(Inputs!$B$38&lt;&gt;"pvp",Inputs!$B$43&gt;0),((Skills!G9*((R80-1)*IF(Skills!H9&gt;0,Skills!I9/Skills!H9,1)+IF(Skills!H9&gt;0,MIN(Skills!I9,MAX(0,MAX(0,Inputs!$B$43-B105)-((R80-1)*(IF(Inputs!$B$38="pvp",15,MAX(0.1,Skills!D9-IF(Skills!E9=TRUE,Inputs!$B$32,0)))*(1-IF(AND(ArtifactsInput!$M$27,Inputs!$B$4="Chapter Hunt"),CHOOSE(ArtifactsInput!$N$27+1,20,24,28,32,36,40),0)/100)))))/Skills!H9,1)))/Inputs!$B$43),G80*Q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Skills!I9/Skills!H9,1)+IF(Skills!H9&gt;0,MIN(Skills!I9,MAX(0,MAX(0,Inputs!$B$43-B105)-((R80-1)*(IF(Inputs!$B$38="pvp",15,MAX(0.1,Skills!D9-IF(Skills!E9=TRUE,Inputs!$B$32,0)))*(1-IF(AND(ArtifactsInput!$M$27,Inputs!$B$4="Chapter Hunt"),CHOOSE(ArtifactsInput!$N$27+1,20,24,28,32,36,40),0)/100)))))/Skills!H9,1)))/Inputs!$B$43),G80*Q80))*IF(Inputs!$B$38="pvp",1,(1+(Inputs!$B$21+Skills!Q9+(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Inputs!$B$3&gt;=117</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Skills!G10*IF(Skills!H10&gt;0,Skills!I10/Skills!H10,1)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C93=TRUE)*(F93-Calc!F22)),(Inputs!$B$23+((C95=TRUE)*(F95-Calc!F24))+(IF(ArtifactsInput!$M$15,CHOOSE(ArtifactsInput!$N$15+1,25,30,35,40,45,50)/100*(Inputs!$B$11-Inputs!$B$11),0))))/100+(Inputs!$B$23+((C95=TRUE)*(F95-Calc!F24))+(IF(ArtifactsInput!$M$15,CHOOSE(ArtifactsInput!$N$15+1,25,30,35,40,45,50)/100*(Inputs!$B$11-Inputs!$B$11),0)))/100)/2</f>
        <v/>
      </c>
      <c r="M81">
        <f>L81*(1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IF(B108=0,0,O81/B108)</f>
        <v/>
      </c>
      <c r="Q81">
        <f>IFERROR(1/(IF(Inputs!$B$38="pvp",15,MAX(0.1,Skills!D10-IF(Skills!E10=TRUE,Inputs!$B$32,0)))*(1-IF(AND(ArtifactsInput!$M$27,Inputs!$B$4="Chapter Hunt"),CHOOSE(ArtifactsInput!$N$27+1,20,24,28,32,36,40),0)/100)),0)</f>
        <v/>
      </c>
      <c r="R81">
        <f>IF(AND(Inputs!$B$38&lt;&gt;"pvp",Inputs!$B$43&gt;0),IF(MAX(0,Inputs!$B$43-B105)&lt;=0,0,(INT(MAX(0,Inputs!$B$43-B105)/(IF(Inputs!$B$38="pvp",15,MAX(0.1,Skills!D10-IF(Skills!E10=TRUE,Inputs!$B$32,0)))*(1-IF(AND(ArtifactsInput!$M$27,Inputs!$B$4="Chapter Hunt"),CHOOSE(ArtifactsInput!$N$27+1,20,24,28,32,36,40),0)/100)))+1)),0)</f>
        <v/>
      </c>
      <c r="S81">
        <f>IFERROR(O81/N81,0)</f>
        <v/>
      </c>
      <c r="T81">
        <f>IF(C81,(H81*N81*IF(AND(Inputs!$B$38&lt;&gt;"pvp",Inputs!$B$43&gt;0),((Skills!G10*((R81-1)*IF(Skills!H10&gt;0,Skills!I10/Skills!H10,1)+IF(Skills!H10&gt;0,MIN(Skills!I10,MAX(0,MAX(0,Inputs!$B$43-B105)-((R81-1)*(IF(Inputs!$B$38="pvp",15,MAX(0.1,Skills!D10-IF(Skills!E10=TRUE,Inputs!$B$32,0)))*(1-IF(AND(ArtifactsInput!$M$27,Inputs!$B$4="Chapter Hunt"),CHOOSE(ArtifactsInput!$N$27+1,20,24,28,32,36,40),0)/100)))))/Skills!H10,1)))/Inputs!$B$43),G81*Q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H81*N81*IF(AND(Inputs!$B$38&lt;&gt;"pvp",Inputs!$B$43&gt;0),((Skills!G10*((R81-1)*IF(Skills!H10&gt;0,Skills!I10/Skills!H10,1)+IF(Skills!H10&gt;0,MIN(Skills!I10,MAX(0,MAX(0,Inputs!$B$43-B105)-((R81-1)*(IF(Inputs!$B$38="pvp",15,MAX(0.1,Skills!D10-IF(Skills!E10=TRUE,Inputs!$B$32,0)))*(1-IF(AND(ArtifactsInput!$M$27,Inputs!$B$4="Chapter Hunt"),CHOOSE(ArtifactsInput!$N$27+1,20,24,28,32,36,40),0)/100)))))/Skills!H10,1)))/Inputs!$B$43),G81*Q81))*IF(Inputs!$B$38="pvp",1,(1+(Inputs!$B$21+Skills!Q10+(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Inputs!$B$3&gt;=63</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f>Skills!G11*IF(Skills!H11&gt;0,Skills!I11/Skills!H11,1)</f>
        <v/>
      </c>
      <c r="H82">
        <f>1-(1-Skills!J11/100)^Skills!K11</f>
        <v/>
      </c>
      <c r="I82" t="inlineStr">
        <is>
          <t>1</t>
        </is>
      </c>
      <c r="J82">
        <f>((Inputs!$B$6*(1+Inputs!$B$7/100))+((((Inputs!$B$12+1)*(1+Inputs!$B$13/100))-(Inputs!$B$12*(1+Inputs!$B$13/100)))+0.25*(Inputs!$B$14-Inputs!$B$14))*(1+Inputs!$B$7/100))*(F82/100)</f>
        <v/>
      </c>
      <c r="K82">
        <f>J82*(1+(((Inputs!$B$12+1)*(1+Inputs!$B$13/100))*0.01+Inputs!$B$14*0.0025)/100)*(1+Inputs!$B$15/100)*(1+Inputs!$B$16/100)*(5000/(6000+Inputs!$B$42*(1-(Inputs!$B$19+0)/100)))*(1+(Inputs!$B$24+0+B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83=TRUE,F83,0)/100)*(1+(IF(Skills!A11="BLAST",Inputs!$B$17+((C92=TRUE)*(F92-Calc!F21))+((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MIN(100,((Inputs!$B$9+0+B98+(ArtifactsInput!$M$24-ArtifactsInput!$M$24)*CHOOSE(ArtifactsInput!$N$24+1,10,12,14,16,18,20)+IF(ArtifactsInput!$M$10,CHOOSE(ArtifactsInput!$N$10+1,15,18,21,24,27,30)*(IF(Inputs!$B$38="pvp",MIN(15,15)/15,IF(AND(Inputs!$B$38&lt;&gt;"pvp",Inputs!$B$43&gt;0),MIN(15,Inputs!$B$43)/(Inputs!$B$43),0))),0)))-100),0))*CHOOSE(ArtifactsInput!$N$42+1,0.6,0.72,0.84,0.96,1.08,1.2))),Inputs!$B$18+((C94=TRUE)*(F94-Calc!F23))+(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gt;=100),CHOOSE(ArtifactsInput!$N$42+1,40,48,56,64,72,80),0))))/100)*((1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f>
        <v/>
      </c>
      <c r="L82">
        <f>K82*(MIN(Inputs!$B$22+((C93=TRUE)*(F93-Calc!F22)),(Inputs!$B$23+((C95=TRUE)*(F95-Calc!F24))+(IF(ArtifactsInput!$M$15,CHOOSE(ArtifactsInput!$N$15+1,25,30,35,40,45,50)/100*(Inputs!$B$11-Inputs!$B$11),0))))/100+(Inputs!$B$23+((C95=TRUE)*(F95-Calc!F24))+(IF(ArtifactsInput!$M$15,CHOOSE(ArtifactsInput!$N$15+1,25,30,35,40,45,50)/100*(Inputs!$B$11-Inputs!$B$11),0)))/100)/2</f>
        <v/>
      </c>
      <c r="M82">
        <f>L82*(1+(Inputs!$B$10+0+B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(1-Summary!$B$11)*T82+Summary!$B$11*V82</f>
        <v/>
      </c>
      <c r="P82">
        <f>IF(B108=0,0,O82/B108)</f>
        <v/>
      </c>
      <c r="Q82">
        <f>IFERROR(1/(IF(Inputs!$B$38="pvp",15,MAX(0.1,Skills!D11-IF(Skills!E11=TRUE,Inputs!$B$32,0)))*(1-IF(AND(ArtifactsInput!$M$27,Inputs!$B$4="Chapter Hunt"),CHOOSE(ArtifactsInput!$N$27+1,20,24,28,32,36,40),0)/100)),0)</f>
        <v/>
      </c>
      <c r="R82">
        <f>IF(AND(Inputs!$B$38&lt;&gt;"pvp",Inputs!$B$43&gt;0),IF(MAX(0,Inputs!$B$43-B105)&lt;=0,0,(INT(MAX(0,Inputs!$B$43-B105)/(IF(Inputs!$B$38="pvp",15,MAX(0.1,Skills!D11-IF(Skills!E11=TRUE,Inputs!$B$32,0)))*(1-IF(AND(ArtifactsInput!$M$27,Inputs!$B$4="Chapter Hunt"),CHOOSE(ArtifactsInput!$N$27+1,20,24,28,32,36,40),0)/100)))+1)),0)</f>
        <v/>
      </c>
      <c r="S82">
        <f>IFERROR(O82/N82,0)</f>
        <v/>
      </c>
      <c r="T82">
        <f>IF(C82,(H82*N82*IF(AND(Inputs!$B$38&lt;&gt;"pvp",Inputs!$B$43&gt;0),((Skills!G11*((R82-1)*IF(Skills!H11&gt;0,Skills!I11/Skills!H11,1)+IF(Skills!H11&gt;0,MIN(Skills!I11,MAX(0,MAX(0,Inputs!$B$43-B105)-((R82-1)*(IF(Inputs!$B$38="pvp",15,MAX(0.1,Skills!D11-IF(Skills!E11=TRUE,Inputs!$B$32,0)))*(1-IF(AND(ArtifactsInput!$M$27,Inputs!$B$4="Chapter Hunt"),CHOOSE(ArtifactsInput!$N$27+1,20,24,28,32,36,40),0)/100)))))/Skills!H11,1)))/Inputs!$B$43),G82*Q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+0+B98+(ArtifactsInput!$M$24-ArtifactsInput!$M$24)*CHOOSE(ArtifactsInput!$N$24+1,10,12,14,16,18,20)+(IF(AND(Inputs!$B$38&lt;&gt;"pvp",Inputs!$B$43=0),1,IF(IF(Inputs!$B$38="pvp",15,Inputs!$B$43)-(B105)&lt;=0,1,MAX(0,IF(Inputs!$B$38="pvp",15,Inputs!$B$43)-MAX(5,B105))/(IF(Inputs!$B$38="pvp",15,Inputs!$B$43)-(B105))))*IF(AND(ArtifactsInput!$M$42,((Inputs!$B$9+0+B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
        <f>IF(C82,(H82*N82*IF(AND(Inputs!$B$38&lt;&gt;"pvp",Inputs!$B$43&gt;0),((Skills!G11*((R82-1)*IF(Skills!H11&gt;0,Skills!I11/Skills!H11,1)+IF(Skills!H11&gt;0,MIN(Skills!I11,MAX(0,MAX(0,Inputs!$B$43-B105)-((R82-1)*(IF(Inputs!$B$38="pvp",15,MAX(0.1,Skills!D11-IF(Skills!E11=TRUE,Inputs!$B$32,0)))*(1-IF(AND(ArtifactsInput!$M$27,Inputs!$B$4="Chapter Hunt"),CHOOSE(ArtifactsInput!$N$27+1,20,24,28,32,36,40),0)/100)))))/Skills!H11,1)))/Inputs!$B$43),G82*Q82))*IF(Inputs!$B$38="pvp",1,(1+(Inputs!$B$21+Skills!Q11+(IF(ArtifactsInput!$M$33,CHOOSE(ArtifactsInput!$N$33+1,30,36,42,48,54,60),0))+(IF(AND(ArtifactsInput!$M$35,Inputs!$B$4&lt;&gt;"Chapter Hunt"),CHOOSE(ArtifactsInput!$N$35+1,15,18,21,24,27,30)*(1-EXP(-(0.2*B100)*5)),0)+IF(AND(ArtifactsInput!$M$22,Inputs!$B$4&lt;&gt;"Chapter Hunt"),CHOOSE(ArtifactsInput!$N$22+1,10,12,14,16,18,20)*((0*(((0.15*B100*5))^0/1)+1*(((0.15*B100*5))^1/1)+2*(((0.15*B100*5))^2/2)+3*(((0.15*B100*5))^3/6)+4*(((0.15*B100*5))^4/24)+5*(((0.15*B100*5))^5/120))/((((0.15*B100*5))^0/1)+(((0.15*B100*5))^1/1)+(((0.15*B100*5))^2/2)+(((0.15*B100*5))^3/6)+(((0.15*B100*5))^4/24)+(((0.15*B100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Skills!A12</f>
        <v/>
      </c>
      <c r="B83">
        <f>Skills!B12</f>
        <v/>
      </c>
      <c r="C83">
        <f>Inputs!$B$3&gt;=100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t="inlineStr"/>
      <c r="H83" t="inlineStr"/>
      <c r="I83" t="inlineStr">
        <is>
          <t>1</t>
        </is>
      </c>
      <c r="J83" t="inlineStr"/>
      <c r="K83" t="inlineStr"/>
      <c r="L83" t="inlineStr"/>
      <c r="M83" t="inlineStr"/>
      <c r="N83" t="inlineStr"/>
      <c r="O83" t="inlineStr"/>
      <c r="P83" t="inlineStr"/>
      <c r="Q83" t="inlineStr"/>
      <c r="R83" t="inlineStr"/>
      <c r="S83" t="inlineStr"/>
    </row>
    <row r="84">
      <c r="A84">
        <f>Skills!A13</f>
        <v/>
      </c>
      <c r="B84">
        <f>Skills!B13</f>
        <v/>
      </c>
      <c r="C84">
        <f>Inputs!$B$3&gt;=45</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f>Skills!G13*IF(Skills!H13&gt;0,Skills!I13/Skills!H13,1)</f>
        <v/>
      </c>
      <c r="H84">
        <f>1-(1-Skills!J13/100)^Skills!K13</f>
        <v/>
      </c>
      <c r="I84" t="inlineStr">
        <is>
          <t>1</t>
        </is>
      </c>
      <c r="J84" t="inlineStr"/>
      <c r="K84" t="inlineStr"/>
      <c r="L84" t="inlineStr"/>
      <c r="M84" t="inlineStr"/>
      <c r="N84" t="inlineStr"/>
      <c r="O84">
        <f>(1-Summary!$B$11)*T84+Summary!$B$11*V84</f>
        <v/>
      </c>
      <c r="P84">
        <f>IF(B108=0,0,O84/B108)</f>
        <v/>
      </c>
      <c r="Q84" t="n">
        <v>0</v>
      </c>
      <c r="R84" t="n">
        <v>0</v>
      </c>
      <c r="S84">
        <f>IFERROR(O84/N84,0)</f>
        <v/>
      </c>
      <c r="T84" t="n">
        <v>0</v>
      </c>
      <c r="V84" t="n">
        <v>0</v>
      </c>
    </row>
    <row r="85">
      <c r="A85">
        <f>Skills!A14</f>
        <v/>
      </c>
      <c r="B85">
        <f>Skills!B14</f>
        <v/>
      </c>
      <c r="C85">
        <f>Inputs!$B$3&gt;=110</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Skills!G14*IF(Skills!H14&gt;0,Skills!I14/Skills!H14,1)</f>
        <v/>
      </c>
      <c r="H85">
        <f>1-(1-Skills!J14/100)^Skills!K14</f>
        <v/>
      </c>
      <c r="I85" t="inlineStr">
        <is>
          <t>1</t>
        </is>
      </c>
      <c r="J85" t="inlineStr"/>
      <c r="K85" t="inlineStr"/>
      <c r="L85" t="inlineStr"/>
      <c r="M85" t="inlineStr"/>
      <c r="N85" t="inlineStr"/>
      <c r="O85">
        <f>(1-Summary!$B$11)*T85+Summary!$B$11*V85</f>
        <v/>
      </c>
      <c r="P85">
        <f>IF(B108=0,0,O85/B108)</f>
        <v/>
      </c>
      <c r="Q85" t="n">
        <v>0</v>
      </c>
      <c r="R85" t="n">
        <v>0</v>
      </c>
      <c r="S85">
        <f>IFERROR(O85/N85,0)</f>
        <v/>
      </c>
      <c r="T85" t="n">
        <v>0</v>
      </c>
      <c r="V85" t="n">
        <v>0</v>
      </c>
    </row>
    <row r="86">
      <c r="A86">
        <f>Skills!A15</f>
        <v/>
      </c>
      <c r="B86">
        <f>Skills!B15</f>
        <v/>
      </c>
      <c r="C86">
        <f>Inputs!$B$3&gt;=75</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f>Skills!G15*IF(Skills!H15&gt;0,Skills!I15/Skills!H15,1)</f>
        <v/>
      </c>
      <c r="H86">
        <f>1-(1-Skills!J15/100)^Skills!K15</f>
        <v/>
      </c>
      <c r="I86" t="inlineStr">
        <is>
          <t>1</t>
        </is>
      </c>
      <c r="J86" t="inlineStr"/>
      <c r="K86" t="inlineStr"/>
      <c r="L86" t="inlineStr"/>
      <c r="M86" t="inlineStr"/>
      <c r="N86" t="inlineStr"/>
      <c r="O86">
        <f>(1-Summary!$B$11)*T86+Summary!$B$11*V86</f>
        <v/>
      </c>
      <c r="P86">
        <f>IF(B108=0,0,O86/B108)</f>
        <v/>
      </c>
      <c r="Q86">
        <f>IFERROR(1/(IF(Inputs!$B$38="pvp",15,MAX(0.1,Skills!D15-IF(Skills!E15=TRUE,Inputs!$B$32,0)))*(1-IF(AND(ArtifactsInput!$M$27,Inputs!$B$4="Chapter Hunt"),CHOOSE(ArtifactsInput!$N$27+1,20,24,28,32,36,40),0)/100)),0)</f>
        <v/>
      </c>
      <c r="R86">
        <f>IF(AND(Inputs!$B$38&lt;&gt;"pvp",Inputs!$B$43&gt;0),IF(Inputs!$B$43&lt;=0,0,(INT(Inputs!$B$43/(IF(Inputs!$B$38="pvp",15,MAX(0.1,Skills!D15-IF(Skills!E15=TRUE,Inputs!$B$32,0)))*(1-IF(AND(ArtifactsInput!$M$27,Inputs!$B$4="Chapter Hunt"),CHOOSE(ArtifactsInput!$N$27+1,20,24,28,32,36,40),0)/100)))+1)),0)</f>
        <v/>
      </c>
      <c r="S86">
        <f>IFERROR(O86/N86,0)</f>
        <v/>
      </c>
      <c r="T86" t="n">
        <v>0</v>
      </c>
      <c r="V86" t="n">
        <v>0</v>
      </c>
    </row>
    <row r="87">
      <c r="A87">
        <f>Skills!A16</f>
        <v/>
      </c>
      <c r="B87">
        <f>Skills!B16</f>
        <v/>
      </c>
      <c r="C87">
        <f>Inputs!$B$3&gt;=105</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f>Skills!G16*IF(Skills!H16&gt;0,Skills!I16/Skills!H16,1)</f>
        <v/>
      </c>
      <c r="H87">
        <f>1-(1-Skills!J16/100)^Skills!K16</f>
        <v/>
      </c>
      <c r="I87" t="inlineStr">
        <is>
          <t>1</t>
        </is>
      </c>
      <c r="J87" t="inlineStr"/>
      <c r="K87" t="inlineStr"/>
      <c r="L87" t="inlineStr"/>
      <c r="M87" t="inlineStr"/>
      <c r="N87" t="inlineStr"/>
      <c r="O87">
        <f>(1-Summary!$B$11)*T87+Summary!$B$11*V87</f>
        <v/>
      </c>
      <c r="P87">
        <f>IF(B108=0,0,O87/B108)</f>
        <v/>
      </c>
      <c r="Q87">
        <f>IFERROR(1/(IF(Inputs!$B$38="pvp",15,MAX(0.1,Skills!D16-IF(Skills!E16=TRUE,Inputs!$B$32,0)))*(1-IF(AND(ArtifactsInput!$M$27,Inputs!$B$4="Chapter Hunt"),CHOOSE(ArtifactsInput!$N$27+1,20,24,28,32,36,40),0)/100)),0)</f>
        <v/>
      </c>
      <c r="R87">
        <f>IF(AND(Inputs!$B$38&lt;&gt;"pvp",Inputs!$B$43&gt;0),IF(Inputs!$B$43&lt;=0,0,(INT(Inputs!$B$43/(IF(Inputs!$B$38="pvp",15,MAX(0.1,Skills!D16-IF(Skills!E16=TRUE,Inputs!$B$32,0)))*(1-IF(AND(ArtifactsInput!$M$27,Inputs!$B$4="Chapter Hunt"),CHOOSE(ArtifactsInput!$N$27+1,20,24,28,32,36,40),0)/100)))+1)),0)</f>
        <v/>
      </c>
      <c r="S87">
        <f>IFERROR(O87/N87,0)</f>
        <v/>
      </c>
      <c r="T87" t="n">
        <v>0</v>
      </c>
      <c r="V87" t="n">
        <v>0</v>
      </c>
    </row>
    <row r="88">
      <c r="A88">
        <f>Skills!A17</f>
        <v/>
      </c>
      <c r="B88">
        <f>Skills!B17</f>
        <v/>
      </c>
      <c r="C88">
        <f>Inputs!$B$3&gt;=115</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Skills!G17*IF(Skills!H17&gt;0,Skills!I17/Skills!H17,1)</f>
        <v/>
      </c>
      <c r="H88">
        <f>1-(1-Skills!J17/100)^Skills!K17</f>
        <v/>
      </c>
      <c r="I88" t="inlineStr">
        <is>
          <t>1</t>
        </is>
      </c>
      <c r="J88" t="inlineStr"/>
      <c r="K88" t="inlineStr"/>
      <c r="L88" t="inlineStr"/>
      <c r="M88" t="inlineStr"/>
      <c r="N88" t="inlineStr"/>
      <c r="O88">
        <f>(1-Summary!$B$11)*T88+Summary!$B$11*V88</f>
        <v/>
      </c>
      <c r="P88">
        <f>IF(B108=0,0,O88/B108)</f>
        <v/>
      </c>
      <c r="Q88">
        <f>IFERROR(1/(IF(Inputs!$B$38="pvp",15,MAX(0.1,Skills!D17-IF(Skills!E17=TRUE,Inputs!$B$32,0)))*(1-IF(AND(ArtifactsInput!$M$27,Inputs!$B$4="Chapter Hunt"),CHOOSE(ArtifactsInput!$N$27+1,20,24,28,32,36,40),0)/100)),0)</f>
        <v/>
      </c>
      <c r="R88">
        <f>IF(AND(Inputs!$B$38&lt;&gt;"pvp",Inputs!$B$43&gt;0),IF(Inputs!$B$43&lt;=0,0,(INT(Inputs!$B$43/(IF(Inputs!$B$38="pvp",15,MAX(0.1,Skills!D17-IF(Skills!E17=TRUE,Inputs!$B$32,0)))*(1-IF(AND(ArtifactsInput!$M$27,Inputs!$B$4="Chapter Hunt"),CHOOSE(ArtifactsInput!$N$27+1,20,24,28,32,36,40),0)/100)))+1)),0)</f>
        <v/>
      </c>
      <c r="S88">
        <f>IFERROR(O88/N88,0)</f>
        <v/>
      </c>
      <c r="T88" t="n">
        <v>0</v>
      </c>
      <c r="V88" t="n">
        <v>0</v>
      </c>
    </row>
    <row r="89">
      <c r="A89">
        <f>Skills!A18</f>
        <v/>
      </c>
      <c r="B89">
        <f>Skills!B18</f>
        <v/>
      </c>
      <c r="C89">
        <f>Inputs!$B$3&gt;=74</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Skills!G18*IF(Skills!H18&gt;0,Skills!I18/Skills!H18,1)</f>
        <v/>
      </c>
      <c r="H89">
        <f>1-(1-Skills!J18/100)^Skills!K18</f>
        <v/>
      </c>
      <c r="I89" t="inlineStr">
        <is>
          <t>1</t>
        </is>
      </c>
      <c r="J89" t="inlineStr"/>
      <c r="K89" t="inlineStr"/>
      <c r="L89" t="inlineStr"/>
      <c r="M89" t="inlineStr"/>
      <c r="N89" t="inlineStr"/>
      <c r="O89">
        <f>(1-Summary!$B$11)*T89+Summary!$B$11*V89</f>
        <v/>
      </c>
      <c r="P89">
        <f>IF(B108=0,0,O89/B108)</f>
        <v/>
      </c>
      <c r="Q89">
        <f>IFERROR(1/(IF(Inputs!$B$38="pvp",15,MAX(0.1,Skills!D18-IF(Skills!E18=TRUE,Inputs!$B$32,0)))*(1-IF(AND(ArtifactsInput!$M$27,Inputs!$B$4="Chapter Hunt"),CHOOSE(ArtifactsInput!$N$27+1,20,24,28,32,36,40),0)/100)),0)</f>
        <v/>
      </c>
      <c r="R89">
        <f>IF(AND(Inputs!$B$38&lt;&gt;"pvp",Inputs!$B$43&gt;0),IF(Inputs!$B$43&lt;=0,0,(INT(Inputs!$B$43/(IF(Inputs!$B$38="pvp",15,MAX(0.1,Skills!D18-IF(Skills!E18=TRUE,Inputs!$B$32,0)))*(1-IF(AND(ArtifactsInput!$M$27,Inputs!$B$4="Chapter Hunt"),CHOOSE(ArtifactsInput!$N$27+1,20,24,28,32,36,40),0)/100)))+1)),0)</f>
        <v/>
      </c>
      <c r="S89">
        <f>IFERROR(O89/N89,0)</f>
        <v/>
      </c>
      <c r="T89" t="n">
        <v>0</v>
      </c>
      <c r="V89" t="n">
        <v>0</v>
      </c>
    </row>
    <row r="90">
      <c r="A90">
        <f>Skills!A19</f>
        <v/>
      </c>
      <c r="B90">
        <f>Skills!B19</f>
        <v/>
      </c>
      <c r="C90">
        <f>TRUE</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Skills!G19*IF(Skills!H19&gt;0,Skills!I19/Skills!H19,1)</f>
        <v/>
      </c>
      <c r="H90">
        <f>1-(1-Skills!J19/100)^Skills!K19</f>
        <v/>
      </c>
      <c r="I90" t="inlineStr">
        <is>
          <t>1</t>
        </is>
      </c>
      <c r="J90" t="inlineStr"/>
      <c r="K90" t="inlineStr"/>
      <c r="L90" t="inlineStr"/>
      <c r="M90" t="inlineStr"/>
      <c r="N90" t="inlineStr"/>
      <c r="O90">
        <f>(1-Summary!$B$11)*T90+Summary!$B$11*V90</f>
        <v/>
      </c>
      <c r="P90">
        <f>IF(B108=0,0,O90/B108)</f>
        <v/>
      </c>
      <c r="Q90">
        <f>IFERROR(1/(IF(Inputs!$B$38="pvp",15,MAX(0.1,Skills!D19-IF(Skills!E19=TRUE,Inputs!$B$32,0)))*(1-IF(AND(ArtifactsInput!$M$27,Inputs!$B$4="Chapter Hunt"),CHOOSE(ArtifactsInput!$N$27+1,20,24,28,32,36,40),0)/100)),0)</f>
        <v/>
      </c>
      <c r="R90">
        <f>IF(AND(Inputs!$B$38&lt;&gt;"pvp",Inputs!$B$43&gt;0),IF(Inputs!$B$43&lt;=0,0,(INT(Inputs!$B$43/(IF(Inputs!$B$38="pvp",15,MAX(0.1,Skills!D19-IF(Skills!E19=TRUE,Inputs!$B$32,0)))*(1-IF(AND(ArtifactsInput!$M$27,Inputs!$B$4="Chapter Hunt"),CHOOSE(ArtifactsInput!$N$27+1,20,24,28,32,36,40),0)/100)))+1)),0)</f>
        <v/>
      </c>
      <c r="S90">
        <f>IFERROR(O90/N90,0)</f>
        <v/>
      </c>
      <c r="T90" t="n">
        <v>0</v>
      </c>
      <c r="V90" t="n">
        <v>0</v>
      </c>
    </row>
    <row r="91">
      <c r="A91">
        <f>Skills!A20</f>
        <v/>
      </c>
      <c r="B91">
        <f>Skills!B20</f>
        <v/>
      </c>
      <c r="C91">
        <f>Inputs!$B$3&gt;=33</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Skills!G20*IF(Skills!H20&gt;0,Skills!I20/Skills!H20,1)</f>
        <v/>
      </c>
      <c r="H91">
        <f>1-(1-Skills!J20/100)^Skills!K20</f>
        <v/>
      </c>
      <c r="I91" t="inlineStr">
        <is>
          <t>1</t>
        </is>
      </c>
      <c r="J91" t="inlineStr"/>
      <c r="K91" t="inlineStr"/>
      <c r="L91" t="inlineStr"/>
      <c r="M91" t="inlineStr"/>
      <c r="N91" t="inlineStr"/>
      <c r="O91">
        <f>(1-Summary!$B$11)*T91+Summary!$B$11*V91</f>
        <v/>
      </c>
      <c r="P91">
        <f>IF(B108=0,0,O91/B108)</f>
        <v/>
      </c>
      <c r="Q91" t="n">
        <v>0</v>
      </c>
      <c r="R91" t="n">
        <v>0</v>
      </c>
      <c r="S91">
        <f>IFERROR(O91/N91,0)</f>
        <v/>
      </c>
      <c r="T91" t="n">
        <v>0</v>
      </c>
      <c r="V91" t="n">
        <v>0</v>
      </c>
    </row>
    <row r="92">
      <c r="A92">
        <f>Skills!A21</f>
        <v/>
      </c>
      <c r="B92">
        <f>Skills!B21</f>
        <v/>
      </c>
      <c r="C92">
        <f>Inputs!$B$3&gt;=38</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Skills!G21*IF(Skills!H21&gt;0,Skills!I21/Skills!H21,1)</f>
        <v/>
      </c>
      <c r="H92">
        <f>1-(1-Skills!J21/100)^Skills!K21</f>
        <v/>
      </c>
      <c r="I92" t="inlineStr">
        <is>
          <t>1</t>
        </is>
      </c>
      <c r="J92" t="inlineStr"/>
      <c r="K92" t="inlineStr"/>
      <c r="L92" t="inlineStr"/>
      <c r="M92" t="inlineStr"/>
      <c r="N92" t="inlineStr"/>
      <c r="O92">
        <f>(1-Summary!$B$11)*T92+Summary!$B$11*V92</f>
        <v/>
      </c>
      <c r="P92">
        <f>IF(B108=0,0,O92/B108)</f>
        <v/>
      </c>
      <c r="Q92" t="n">
        <v>0</v>
      </c>
      <c r="R92" t="n">
        <v>0</v>
      </c>
      <c r="S92">
        <f>IFERROR(O92/N92,0)</f>
        <v/>
      </c>
      <c r="T92" t="n">
        <v>0</v>
      </c>
      <c r="V92" t="n">
        <v>0</v>
      </c>
    </row>
    <row r="93">
      <c r="A93">
        <f>Skills!A22</f>
        <v/>
      </c>
      <c r="B93">
        <f>Skills!B22</f>
        <v/>
      </c>
      <c r="C93">
        <f>Inputs!$B$3&gt;=43</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Skills!G22*IF(Skills!H22&gt;0,Skills!I22/Skills!H22,1)</f>
        <v/>
      </c>
      <c r="H93">
        <f>1-(1-Skills!J22/100)^Skills!K22</f>
        <v/>
      </c>
      <c r="I93" t="inlineStr">
        <is>
          <t>1</t>
        </is>
      </c>
      <c r="J93" t="inlineStr"/>
      <c r="K93" t="inlineStr"/>
      <c r="L93" t="inlineStr"/>
      <c r="M93" t="inlineStr"/>
      <c r="N93" t="inlineStr"/>
      <c r="O93">
        <f>(1-Summary!$B$11)*T93+Summary!$B$11*V93</f>
        <v/>
      </c>
      <c r="P93">
        <f>IF(B108=0,0,O93/B108)</f>
        <v/>
      </c>
      <c r="Q93" t="n">
        <v>0</v>
      </c>
      <c r="R93" t="n">
        <v>0</v>
      </c>
      <c r="S93">
        <f>IFERROR(O93/N93,0)</f>
        <v/>
      </c>
      <c r="T93" t="n">
        <v>0</v>
      </c>
      <c r="V93" t="n">
        <v>0</v>
      </c>
    </row>
    <row r="94">
      <c r="A94">
        <f>Skills!A23</f>
        <v/>
      </c>
      <c r="B94">
        <f>Skills!B23</f>
        <v/>
      </c>
      <c r="C94">
        <f>Inputs!$B$3&gt;=120</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Skills!G23*IF(Skills!H23&gt;0,Skills!I23/Skills!H23,1)</f>
        <v/>
      </c>
      <c r="H94">
        <f>1-(1-Skills!J23/100)^Skills!K23</f>
        <v/>
      </c>
      <c r="I94" t="inlineStr">
        <is>
          <t>1</t>
        </is>
      </c>
      <c r="J94" t="inlineStr"/>
      <c r="K94" t="inlineStr"/>
      <c r="L94" t="inlineStr"/>
      <c r="M94" t="inlineStr"/>
      <c r="N94" t="inlineStr"/>
      <c r="O94">
        <f>(1-Summary!$B$11)*T94+Summary!$B$11*V94</f>
        <v/>
      </c>
      <c r="P94">
        <f>IF(B108=0,0,O94/B108)</f>
        <v/>
      </c>
      <c r="Q94" t="n">
        <v>0</v>
      </c>
      <c r="R94" t="n">
        <v>0</v>
      </c>
      <c r="S94">
        <f>IFERROR(O94/N94,0)</f>
        <v/>
      </c>
      <c r="T94" t="n">
        <v>0</v>
      </c>
      <c r="V94" t="n">
        <v>0</v>
      </c>
    </row>
    <row r="95">
      <c r="A95">
        <f>Skills!A24</f>
        <v/>
      </c>
      <c r="B95">
        <f>Skills!B24</f>
        <v/>
      </c>
      <c r="C95">
        <f>Inputs!$B$3&gt;=120</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Skills!G24*IF(Skills!H24&gt;0,Skills!I24/Skills!H24,1)</f>
        <v/>
      </c>
      <c r="H95">
        <f>1-(1-Skills!J24/100)^Skills!K24</f>
        <v/>
      </c>
      <c r="I95" t="inlineStr">
        <is>
          <t>1</t>
        </is>
      </c>
      <c r="J95" t="inlineStr"/>
      <c r="K95" t="inlineStr"/>
      <c r="L95" t="inlineStr"/>
      <c r="M95" t="inlineStr"/>
      <c r="N95" t="inlineStr"/>
      <c r="O95">
        <f>(1-Summary!$B$11)*T95+Summary!$B$11*V95</f>
        <v/>
      </c>
      <c r="P95">
        <f>IF(B108=0,0,O95/B108)</f>
        <v/>
      </c>
      <c r="Q95" t="n">
        <v>0</v>
      </c>
      <c r="R95" t="n">
        <v>0</v>
      </c>
      <c r="S95">
        <f>IFERROR(O95/N95,0)</f>
        <v/>
      </c>
      <c r="T95" t="n">
        <v>0</v>
      </c>
      <c r="V95" t="n">
        <v>0</v>
      </c>
    </row>
    <row r="97">
      <c r="A97" t="inlineStr">
        <is>
          <t>Attack% Bucket Multiplier</t>
        </is>
      </c>
      <c r="B97">
        <f>(1+(((C84=TRUE)*F84*MIN(1,Skills!T13*(Skills!J13/100)*B102))+((C89=TRUE)*F89*IF(AND(Inputs!$B$38&lt;&gt;"pvp",Inputs!$B$43&gt;0),(((R89-1)*(Skills!T18*(1+Inputs!$B$34/100))+MIN((Skills!T18*(1+Inputs!$B$34/100)),MAX(0,Inputs!$B$43-((R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8">
      <c r="A98" t="inlineStr">
        <is>
          <t>Global Crit Rate Bonus %</t>
        </is>
      </c>
      <c r="B98" t="n">
        <v>0</v>
      </c>
    </row>
    <row r="99">
      <c r="A99" t="inlineStr">
        <is>
          <t>Attack Speed Buff Bonus %</t>
        </is>
      </c>
      <c r="B99">
        <f>((C90=TRUE)*F90*IF(AND(Inputs!$B$38&lt;&gt;"pvp",Inputs!$B$43&gt;0),(((R90-1)*(Skills!T19*(1+Inputs!$B$34/100))+MIN((Skills!T19*(1+Inputs!$B$34/100)),MAX(0,Inputs!$B$43-((R90-1)*Skills!D19))))/Inputs!$B$43),IF(Inputs!$B$38="pvp",MIN((Skills!T19*(1+Inputs!$B$34/100)),15)/15,(Skills!T19*(1+Inputs!$B$34/100))/Skills!D19)))</f>
        <v/>
      </c>
    </row>
    <row r="100">
      <c r="A100" t="inlineStr">
        <is>
          <t>Actions Per Second</t>
        </is>
      </c>
      <c r="B100">
        <f>1+MIN(150,150*(1-(1-(Inputs!$B$11+((C91=TRUE)*(F91-Calc!F20)))/150)*(1-B99/150)))/100</f>
        <v/>
      </c>
    </row>
    <row r="101">
      <c r="A101" t="inlineStr">
        <is>
          <t>Skill + Buff Cast Rate</t>
        </is>
      </c>
      <c r="B101">
        <f>IF(AND(Inputs!$B$38&lt;&gt;"pvp",Inputs!$B$43&gt;0),SUMPRODUCT((Skills!E2:E24=TRUE)*(C73:C95=TRUE)*R73:R95*Skills!F2:F24)/Inputs!$B$43,SUMPRODUCT((Skills!E2:E24=TRUE)*(C73:C95=TRUE)*Q73:Q95*Skills!F2:F24))</f>
        <v/>
      </c>
    </row>
    <row r="102">
      <c r="A102" t="inlineStr">
        <is>
          <t>Blast Casts Per Second</t>
        </is>
      </c>
      <c r="B102">
        <f>MAX(0,B100-B101)</f>
        <v/>
      </c>
    </row>
    <row r="103">
      <c r="A103" t="inlineStr">
        <is>
          <t>Global Critical Damage Bonus % (unused)</t>
        </is>
      </c>
      <c r="B103" t="n">
        <v>0</v>
      </c>
    </row>
    <row r="104">
      <c r="A104" t="inlineStr">
        <is>
          <t>Global Final Damage Bonus % (Divine Shield + Guardian + Divine Blessing + Greater Vessel of Light)</t>
        </is>
      </c>
      <c r="B104">
        <f>((C86=TRUE)*F86*IF(AND(Inputs!$B$38&lt;&gt;"pvp",Inputs!$B$43&gt;0),(((R86-1)*(Skills!T15*(1+Inputs!$B$34/100))+MIN((Skills!T15*(1+Inputs!$B$34/100)),MAX(0,Inputs!$B$43-((R86-1)*Skills!D15))))/Inputs!$B$43),IF(Inputs!$B$38="pvp",MIN((Skills!T15*(1+Inputs!$B$34/100)),15)/15,(Skills!T15*(1+Inputs!$B$34/100))/Skills!D15)))+((C87=TRUE)*F87*IF(AND(Inputs!$B$38&lt;&gt;"pvp",Inputs!$B$43&gt;0),(((R87-1)*(Skills!T16*(1+Inputs!$B$34/100))+MIN((Skills!T16*(1+Inputs!$B$34/100)),MAX(0,Inputs!$B$43-((R87-1)*Skills!D16))))/Inputs!$B$43),IF(Inputs!$B$38="pvp",MIN((Skills!T16*(1+Inputs!$B$34/100)),15)/15,(Skills!T16*(1+Inputs!$B$34/100))/Skills!D16)))+((C88=TRUE)*F88*IF(AND(Inputs!$B$38&lt;&gt;"pvp",Inputs!$B$43&gt;0),(((R88-1)*(Skills!T17*(1+Inputs!$B$34/100))+MIN((Skills!T17*(1+Inputs!$B$34/100)),MAX(0,Inputs!$B$43-((R88-1)*Skills!D17))))/Inputs!$B$43),IF(Inputs!$B$38="pvp",MIN((Skills!T17*(1+Inputs!$B$34/100)),15)/15,(Skills!T17*(1+Inputs!$B$34/100))/Skills!D17)))+((C85=TRUE)*F85*MIN(1,Skills!T13*(Skills!J13/100)*B102))</f>
        <v/>
      </c>
    </row>
    <row r="105">
      <c r="A105" t="inlineStr">
        <is>
          <t>Buff-Casting Startup Delay (s, fixed-duration only)</t>
        </is>
      </c>
      <c r="B105">
        <f>IF(AND(Inputs!$B$38&lt;&gt;"pvp",Inputs!$B$43&gt;0),SUMPRODUCT((Skills!T2:T24&gt;0)*(Skills!E2:E24=TRUE)*(C73:C95=TRUE))/B100,0)</f>
        <v/>
      </c>
    </row>
    <row r="106">
      <c r="A106" t="inlineStr">
        <is>
          <t>Boss-Only Total DPS (this block's swept value)</t>
        </is>
      </c>
      <c r="B106">
        <f>SUM(T73:T95)</f>
        <v/>
      </c>
    </row>
    <row r="107">
      <c r="A107" t="inlineStr">
        <is>
          <t>Normal-Only Total DPS (this block's swept value)</t>
        </is>
      </c>
      <c r="B107">
        <f>SUM(V73:V95)</f>
        <v/>
      </c>
    </row>
    <row r="108">
      <c r="A108" s="6" t="inlineStr">
        <is>
          <t>TOTAL DPS</t>
        </is>
      </c>
      <c r="B108" s="6">
        <f>SUM(O73:O95)</f>
        <v/>
      </c>
    </row>
    <row r="111">
      <c r="A111" s="6" t="inlineStr">
        <is>
          <t>Stat: STR %</t>
        </is>
      </c>
    </row>
    <row r="112">
      <c r="A112" s="5" t="inlineStr">
        <is>
          <t>Key</t>
        </is>
      </c>
      <c r="B112" s="5" t="inlineStr">
        <is>
          <t>Name</t>
        </is>
      </c>
      <c r="C112" s="5" t="inlineStr">
        <is>
          <t>Unlocked</t>
        </is>
      </c>
      <c r="D112" s="5" t="inlineStr">
        <is>
          <t>InputLevel</t>
        </is>
      </c>
      <c r="E112" s="5" t="inlineStr">
        <is>
          <t>Factor</t>
        </is>
      </c>
      <c r="F112" s="5" t="inlineStr">
        <is>
          <t>CoefficientPercent</t>
        </is>
      </c>
      <c r="G112" s="5" t="inlineStr">
        <is>
          <t>EffectiveHits</t>
        </is>
      </c>
      <c r="H112" s="5" t="inlineStr">
        <is>
          <t>ProcProbability</t>
        </is>
      </c>
      <c r="I112" s="5" t="inlineStr">
        <is>
          <t>MapleHeroMultiplier</t>
        </is>
      </c>
      <c r="J112" s="5" t="inlineStr">
        <is>
          <t>BaseDamage</t>
        </is>
      </c>
      <c r="K112" s="5" t="inlineStr">
        <is>
          <t>BaseHitDamage</t>
        </is>
      </c>
      <c r="L112" s="5" t="inlineStr">
        <is>
          <t>NonCritAvg</t>
        </is>
      </c>
      <c r="M112" s="5" t="inlineStr">
        <is>
          <t>CritAvg</t>
        </is>
      </c>
      <c r="N112" s="5" t="inlineStr">
        <is>
          <t>ExpectedDamage(perHit)</t>
        </is>
      </c>
      <c r="O112" s="5" t="inlineStr">
        <is>
          <t>DPS</t>
        </is>
      </c>
      <c r="P112" s="5" t="inlineStr">
        <is>
          <t>% of Total</t>
        </is>
      </c>
      <c r="Q112" s="5" t="inlineStr">
        <is>
          <t>InvCooldown</t>
        </is>
      </c>
      <c r="R112" s="5" t="inlineStr">
        <is>
          <t>CastsInFight</t>
        </is>
      </c>
      <c r="S112" s="5" t="inlineStr">
        <is>
          <t>HitRate(perSec)</t>
        </is>
      </c>
      <c r="U112" t="inlineStr">
        <is>
          <t>helpers</t>
        </is>
      </c>
    </row>
    <row r="113">
      <c r="A113">
        <f>Skills!A2</f>
        <v/>
      </c>
      <c r="B113">
        <f>Skills!B2</f>
        <v/>
      </c>
      <c r="C113">
        <f>Inputs!$B$3&gt;=100</f>
        <v/>
      </c>
      <c r="D113" t="inlineStr"/>
      <c r="E113" t="inlineStr"/>
      <c r="F113">
        <f>U115+Skills!O2</f>
        <v/>
      </c>
      <c r="G113">
        <f>Skills!G2*IF(Skills!H2&gt;0,Skills!I2/Skills!H2,1)</f>
        <v/>
      </c>
      <c r="H113">
        <f>1-(1-Skills!J2/100)^Skills!K2</f>
        <v/>
      </c>
      <c r="I113" t="inlineStr">
        <is>
          <t>1</t>
        </is>
      </c>
      <c r="J113">
        <f>((Inputs!$B$6*(1+Inputs!$B$7/100))+(((Inputs!$B$12*(1+(Inputs!$B$13+1)/100))-(Inputs!$B$12*(1+Inputs!$B$13/100)))+0.25*(Inputs!$B$14-Inputs!$B$14))*(1+Inputs!$B$7/100))*(F113/100)</f>
        <v/>
      </c>
      <c r="K113">
        <f>J113*(1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f>
        <v/>
      </c>
      <c r="L113">
        <f>K113*(MIN(Inputs!$B$22+((C133=TRUE)*(F133-Calc!F22)),(Inputs!$B$23+((C135=TRUE)*(F135-Calc!F24))+(IF(ArtifactsInput!$M$15,CHOOSE(ArtifactsInput!$N$15+1,25,30,35,40,45,50)/100*(Inputs!$B$11-Inputs!$B$11),0))))/100+(Inputs!$B$23+((C135=TRUE)*(F135-Calc!F24))+(IF(ArtifactsInput!$M$15,CHOOSE(ArtifactsInput!$N$15+1,25,30,35,40,45,50)/100*(Inputs!$B$11-Inputs!$B$11),0)))/100)/2</f>
        <v/>
      </c>
      <c r="M113">
        <f>L113*(1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
        <f>L113*(1-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
        <f>(1-Summary!$B$11)*T113+Summary!$B$11*V113</f>
        <v/>
      </c>
      <c r="P113">
        <f>IF(B148=0,0,O113/B148)</f>
        <v/>
      </c>
      <c r="Q113" t="n">
        <v>0</v>
      </c>
      <c r="R113" t="n">
        <v>0</v>
      </c>
      <c r="S113">
        <f>IFERROR(O113/N113,0)</f>
        <v/>
      </c>
      <c r="T113">
        <f>IF(C113,(Skills!G2*N113*B142)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113*(1-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3">
        <f>MAX(0,(Inputs!$B$3-100)*3)+Inputs!$B$28+Inputs!$B$29</f>
        <v/>
      </c>
      <c r="V113">
        <f>IF(C113,(Skills!G2*N113*B142)*IF(Inputs!$B$38="pvp",1,(1+(Inputs!$B$21+Skills!Q2+(IF(ArtifactsInput!$M$33,CHOOSE(ArtifactsInput!$N$33+1,30,36,42,48,54,60),0))+(IF(AND(ArtifactsInput!$M$35,Inputs!$B$4&lt;&gt;"Chapter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
      <c r="A114">
        <f>Skills!A3</f>
        <v/>
      </c>
      <c r="B114">
        <f>Skills!B3</f>
        <v/>
      </c>
      <c r="C114">
        <f>Inputs!$B$3&gt;=50</f>
        <v/>
      </c>
      <c r="D114">
        <f>IF(Skills!C3=1,60+Inputs!$B$25+Inputs!$B$29,IF(Skills!C3=2,90+Inputs!$B$26+Inputs!$B$29,IF(Skills!C3=3,120+Inputs!$B$27+Inputs!$B$29,MAX(0,(Inputs!$B$3-100)*3)+Inputs!$B$28+Inputs!$B$29)))</f>
        <v/>
      </c>
      <c r="E114">
        <f>INDEX(FactorTable!$B$2:$Y$301, MATCH(ROUND(MIN(300,MAX(1,D114)),0), FactorTable!$A$2:$A$301,0), Skills!M3+1)</f>
        <v/>
      </c>
      <c r="F114">
        <f>IF(Skills!N3=TRUE,(Skills!L3/10)*(E114/1000),Skills!L3/10)+Skills!O3</f>
        <v/>
      </c>
      <c r="G114" t="inlineStr"/>
      <c r="H114" t="inlineStr"/>
      <c r="I114" t="inlineStr">
        <is>
          <t>1</t>
        </is>
      </c>
      <c r="J114" t="inlineStr"/>
      <c r="K114" t="inlineStr"/>
      <c r="L114" t="inlineStr"/>
      <c r="M114" t="inlineStr"/>
      <c r="N114" t="inlineStr"/>
      <c r="O114" t="inlineStr"/>
      <c r="P114" t="inlineStr"/>
      <c r="Q114" t="inlineStr"/>
      <c r="R114" t="inlineStr"/>
      <c r="S114" t="inlineStr"/>
      <c r="U114">
        <f>INDEX(FactorTable!$B$2:$Y$301, MATCH(ROUND(MIN(300,MAX(1,U113)),0), FactorTable!$A$2:$A$301,0), 22)</f>
        <v/>
      </c>
    </row>
    <row r="115">
      <c r="A115">
        <f>Skills!A4</f>
        <v/>
      </c>
      <c r="B115">
        <f>Skills!B4</f>
        <v/>
      </c>
      <c r="C115">
        <f>Inputs!$B$3&gt;=35</f>
        <v/>
      </c>
      <c r="D115">
        <f>IF(Skills!C4=1,60+Inputs!$B$25+Inputs!$B$29,IF(Skills!C4=2,90+Inputs!$B$26+Inputs!$B$29,IF(Skills!C4=3,120+Inputs!$B$27+Inputs!$B$29,MAX(0,(Inputs!$B$3-100)*3)+Inputs!$B$28+Inputs!$B$29)))</f>
        <v/>
      </c>
      <c r="E115">
        <f>INDEX(FactorTable!$B$2:$Y$301, MATCH(ROUND(MIN(300,MAX(1,D115)),0), FactorTable!$A$2:$A$301,0), Skills!M4+1)</f>
        <v/>
      </c>
      <c r="F115">
        <f>IF(Skills!N4=TRUE,(Skills!L4/10)*(E115/1000),Skills!L4/10)+Skills!O4</f>
        <v/>
      </c>
      <c r="G115">
        <f>Skills!G4*IF(Skills!H4&gt;0,Skills!I4/Skills!H4,1)</f>
        <v/>
      </c>
      <c r="H115">
        <f>1-(1-Skills!J4/100)^Skills!K4</f>
        <v/>
      </c>
      <c r="I115" t="inlineStr">
        <is>
          <t>1</t>
        </is>
      </c>
      <c r="J115">
        <f>((Inputs!$B$6*(1+Inputs!$B$7/100))+(((Inputs!$B$12*(1+(Inputs!$B$13+1)/100))-(Inputs!$B$12*(1+Inputs!$B$13/100)))+0.25*(Inputs!$B$14-Inputs!$B$14))*(1+Inputs!$B$7/100))*(F115/100)</f>
        <v/>
      </c>
      <c r="K115">
        <f>J115*(1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123=TRUE,F123,0)/100)*(1+(IF(Skills!A4="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f>
        <v/>
      </c>
      <c r="L115">
        <f>K115*(MIN(Inputs!$B$22+((C133=TRUE)*(F133-Calc!F22)),(Inputs!$B$23+((C135=TRUE)*(F135-Calc!F24))+(IF(ArtifactsInput!$M$15,CHOOSE(ArtifactsInput!$N$15+1,25,30,35,40,45,50)/100*(Inputs!$B$11-Inputs!$B$11),0))))/100+(Inputs!$B$23+((C135=TRUE)*(F135-Calc!F24))+(IF(ArtifactsInput!$M$15,CHOOSE(ArtifactsInput!$N$15+1,25,30,35,40,45,50)/100*(Inputs!$B$11-Inputs!$B$11),0)))/100)/2</f>
        <v/>
      </c>
      <c r="M115">
        <f>L115*(1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
        <f>L115*(1-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
        <f>(1-Summary!$B$11)*T115+Summary!$B$11*V115</f>
        <v/>
      </c>
      <c r="P115">
        <f>IF(B148=0,0,O115/B148)</f>
        <v/>
      </c>
      <c r="Q115">
        <f>IFERROR(1/(IF(Inputs!$B$38="pvp",15,MAX(0.1,Skills!D4-IF(Skills!E4=TRUE,Inputs!$B$32,0)))*(1-IF(AND(ArtifactsInput!$M$27,Inputs!$B$4="Chapter Hunt"),CHOOSE(ArtifactsInput!$N$27+1,20,24,28,32,36,40),0)/100)),0)</f>
        <v/>
      </c>
      <c r="R115">
        <f>IF(AND(Inputs!$B$38&lt;&gt;"pvp",Inputs!$B$43&gt;0),IF(MAX(0,Inputs!$B$43-B145)&lt;=0,0,(INT(MAX(0,Inputs!$B$43-B145)/(IF(Inputs!$B$38="pvp",15,MAX(0.1,Skills!D4-IF(Skills!E4=TRUE,Inputs!$B$32,0)))*(1-IF(AND(ArtifactsInput!$M$27,Inputs!$B$4="Chapter Hunt"),CHOOSE(ArtifactsInput!$N$27+1,20,24,28,32,36,40),0)/100)))+1)),0)</f>
        <v/>
      </c>
      <c r="S115">
        <f>IFERROR(O115/N115,0)</f>
        <v/>
      </c>
      <c r="T115">
        <f>IF(C115,(H115*N115*IF(AND(Inputs!$B$38&lt;&gt;"pvp",Inputs!$B$43&gt;0),((Skills!G4*((R115-1)*IF(Skills!H4&gt;0,Skills!I4/Skills!H4,1)+IF(Skills!H4&gt;0,MIN(Skills!I4,MAX(0,MAX(0,Inputs!$B$43-B145)-((R115-1)*(IF(Inputs!$B$38="pvp",15,MAX(0.1,Skills!D4-IF(Skills!E4=TRUE,Inputs!$B$32,0)))*(1-IF(AND(ArtifactsInput!$M$27,Inputs!$B$4="Chapter Hunt"),CHOOSE(ArtifactsInput!$N$27+1,20,24,28,32,36,40),0)/100)))))/Skills!H4,1)))/Inputs!$B$43),G115*Q115)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
        <f>290*U114/1000</f>
        <v/>
      </c>
      <c r="V115">
        <f>IF(C115,(H115*N115*IF(AND(Inputs!$B$38&lt;&gt;"pvp",Inputs!$B$43&gt;0),((Skills!G4*((R115-1)*IF(Skills!H4&gt;0,Skills!I4/Skills!H4,1)+IF(Skills!H4&gt;0,MIN(Skills!I4,MAX(0,MAX(0,Inputs!$B$43-B145)-((R115-1)*(IF(Inputs!$B$38="pvp",15,MAX(0.1,Skills!D4-IF(Skills!E4=TRUE,Inputs!$B$32,0)))*(1-IF(AND(ArtifactsInput!$M$27,Inputs!$B$4="Chapter Hunt"),CHOOSE(ArtifactsInput!$N$27+1,20,24,28,32,36,40),0)/100)))))/Skills!H4,1)))/Inputs!$B$43),G115*Q115))*IF(Inputs!$B$38="pvp",1,(1+(Inputs!$B$21+Skills!Q4+(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
      <c r="A116">
        <f>Skills!A5</f>
        <v/>
      </c>
      <c r="B116">
        <f>Skills!B5</f>
        <v/>
      </c>
      <c r="C116">
        <f>Inputs!$B$3&gt;=66</f>
        <v/>
      </c>
      <c r="D116">
        <f>IF(Skills!C5=1,60+Inputs!$B$25+Inputs!$B$29,IF(Skills!C5=2,90+Inputs!$B$26+Inputs!$B$29,IF(Skills!C5=3,120+Inputs!$B$27+Inputs!$B$29,MAX(0,(Inputs!$B$3-100)*3)+Inputs!$B$28+Inputs!$B$29)))</f>
        <v/>
      </c>
      <c r="E116">
        <f>INDEX(FactorTable!$B$2:$Y$301, MATCH(ROUND(MIN(300,MAX(1,D116)),0), FactorTable!$A$2:$A$301,0), Skills!M5+1)</f>
        <v/>
      </c>
      <c r="F116">
        <f>IF(Skills!N5=TRUE,(Skills!L5/10)*(E116/1000),Skills!L5/10)+Skills!O5</f>
        <v/>
      </c>
      <c r="G116">
        <f>Skills!G5*IF(Skills!H5&gt;0,Skills!I5/Skills!H5,1)</f>
        <v/>
      </c>
      <c r="H116">
        <f>1-(1-Skills!J5/100)^Skills!K5</f>
        <v/>
      </c>
      <c r="I116" t="inlineStr">
        <is>
          <t>1</t>
        </is>
      </c>
      <c r="J116">
        <f>((Inputs!$B$6*(1+Inputs!$B$7/100))+(((Inputs!$B$12*(1+(Inputs!$B$13+1)/100))-(Inputs!$B$12*(1+Inputs!$B$13/100)))+0.25*(Inputs!$B$14-Inputs!$B$14))*(1+Inputs!$B$7/100))*(F116/100)</f>
        <v/>
      </c>
      <c r="K116">
        <f>J116*(1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123=TRUE,F123,0)/100)*(1+(IF(Skills!A5="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f>
        <v/>
      </c>
      <c r="L116">
        <f>K116*(MIN(Inputs!$B$22+((C133=TRUE)*(F133-Calc!F22)),(Inputs!$B$23+((C135=TRUE)*(F135-Calc!F24))+(IF(ArtifactsInput!$M$15,CHOOSE(ArtifactsInput!$N$15+1,25,30,35,40,45,50)/100*(Inputs!$B$11-Inputs!$B$11),0))))/100+(Inputs!$B$23+((C135=TRUE)*(F135-Calc!F24))+(IF(ArtifactsInput!$M$15,CHOOSE(ArtifactsInput!$N$15+1,25,30,35,40,45,50)/100*(Inputs!$B$11-Inputs!$B$11),0)))/100)/2</f>
        <v/>
      </c>
      <c r="M116">
        <f>L116*(1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
        <f>L116*(1-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
        <f>(1-Summary!$B$11)*T116+Summary!$B$11*V116</f>
        <v/>
      </c>
      <c r="P116">
        <f>IF(B148=0,0,O116/B148)</f>
        <v/>
      </c>
      <c r="Q116">
        <f>IFERROR(1/(IF(Inputs!$B$38="pvp",15,MAX(0.1,Skills!D5-IF(Skills!E5=TRUE,Inputs!$B$32,0)))*(1-IF(AND(ArtifactsInput!$M$27,Inputs!$B$4="Chapter Hunt"),CHOOSE(ArtifactsInput!$N$27+1,20,24,28,32,36,40),0)/100)),0)</f>
        <v/>
      </c>
      <c r="R116">
        <f>IF(AND(Inputs!$B$38&lt;&gt;"pvp",Inputs!$B$43&gt;0),IF(MAX(0,Inputs!$B$43-B145)&lt;=0,0,(INT(MAX(0,Inputs!$B$43-B145)/(IF(Inputs!$B$38="pvp",15,MAX(0.1,Skills!D5-IF(Skills!E5=TRUE,Inputs!$B$32,0)))*(1-IF(AND(ArtifactsInput!$M$27,Inputs!$B$4="Chapter Hunt"),CHOOSE(ArtifactsInput!$N$27+1,20,24,28,32,36,40),0)/100)))+1)),0)</f>
        <v/>
      </c>
      <c r="S116">
        <f>IFERROR(O116/N116,0)</f>
        <v/>
      </c>
      <c r="T116">
        <f>IF(C116,(H116*N116*IF(AND(Inputs!$B$38&lt;&gt;"pvp",Inputs!$B$43&gt;0),((Skills!G5*((R116-1)*IF(Skills!H5&gt;0,Skills!I5/Skills!H5,1)+IF(Skills!H5&gt;0,MIN(Skills!I5,MAX(0,MAX(0,Inputs!$B$43-B145)-((R116-1)*(IF(Inputs!$B$38="pvp",15,MAX(0.1,Skills!D5-IF(Skills!E5=TRUE,Inputs!$B$32,0)))*(1-IF(AND(ArtifactsInput!$M$27,Inputs!$B$4="Chapter Hunt"),CHOOSE(ArtifactsInput!$N$27+1,20,24,28,32,36,40),0)/100)))))/Skills!H5,1)))/Inputs!$B$43),G116*Q116)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
        <f>IF(C116,(H116*N116*IF(AND(Inputs!$B$38&lt;&gt;"pvp",Inputs!$B$43&gt;0),((Skills!G5*((R116-1)*IF(Skills!H5&gt;0,Skills!I5/Skills!H5,1)+IF(Skills!H5&gt;0,MIN(Skills!I5,MAX(0,MAX(0,Inputs!$B$43-B145)-((R116-1)*(IF(Inputs!$B$38="pvp",15,MAX(0.1,Skills!D5-IF(Skills!E5=TRUE,Inputs!$B$32,0)))*(1-IF(AND(ArtifactsInput!$M$27,Inputs!$B$4="Chapter Hunt"),CHOOSE(ArtifactsInput!$N$27+1,20,24,28,32,36,40),0)/100)))))/Skills!H5,1)))/Inputs!$B$43),G116*Q116))*IF(Inputs!$B$38="pvp",1,(1+(Inputs!$B$21+Skills!Q5+(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
      <c r="A117">
        <f>Skills!A6</f>
        <v/>
      </c>
      <c r="B117">
        <f>Skills!B6</f>
        <v/>
      </c>
      <c r="C117">
        <f>Inputs!$B$3&gt;=103</f>
        <v/>
      </c>
      <c r="D117">
        <f>IF(Skills!C6=1,60+Inputs!$B$25+Inputs!$B$29,IF(Skills!C6=2,90+Inputs!$B$26+Inputs!$B$29,IF(Skills!C6=3,120+Inputs!$B$27+Inputs!$B$29,MAX(0,(Inputs!$B$3-100)*3)+Inputs!$B$28+Inputs!$B$29)))</f>
        <v/>
      </c>
      <c r="E117">
        <f>INDEX(FactorTable!$B$2:$Y$301, MATCH(ROUND(MIN(300,MAX(1,D117)),0), FactorTable!$A$2:$A$301,0), Skills!M6+1)</f>
        <v/>
      </c>
      <c r="F117">
        <f>IF(Skills!N6=TRUE,(Skills!L6/10)*(E117/1000),Skills!L6/10)+Skills!O6</f>
        <v/>
      </c>
      <c r="G117">
        <f>Skills!G6*IF(Skills!H6&gt;0,Skills!I6/Skills!H6,1)</f>
        <v/>
      </c>
      <c r="H117">
        <f>1-(1-Skills!J6/100)^Skills!K6</f>
        <v/>
      </c>
      <c r="I117" t="inlineStr">
        <is>
          <t>1</t>
        </is>
      </c>
      <c r="J117">
        <f>((Inputs!$B$6*(1+Inputs!$B$7/100))+(((Inputs!$B$12*(1+(Inputs!$B$13+1)/100))-(Inputs!$B$12*(1+Inputs!$B$13/100)))+0.25*(Inputs!$B$14-Inputs!$B$14))*(1+Inputs!$B$7/100))*(F117/100)</f>
        <v/>
      </c>
      <c r="K117">
        <f>J117*(1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f>
        <v/>
      </c>
      <c r="L117">
        <f>K117*(MIN(Inputs!$B$22+((C133=TRUE)*(F133-Calc!F22)),(Inputs!$B$23+((C135=TRUE)*(F135-Calc!F24))+(IF(ArtifactsInput!$M$15,CHOOSE(ArtifactsInput!$N$15+1,25,30,35,40,45,50)/100*(Inputs!$B$11-Inputs!$B$11),0))))/100+(Inputs!$B$23+((C135=TRUE)*(F135-Calc!F24))+(IF(ArtifactsInput!$M$15,CHOOSE(ArtifactsInput!$N$15+1,25,30,35,40,45,50)/100*(Inputs!$B$11-Inputs!$B$11),0)))/100)/2</f>
        <v/>
      </c>
      <c r="M117">
        <f>L117*(1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
        <f>L117*(1-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
        <f>(1-Summary!$B$11)*T117+Summary!$B$11*V117</f>
        <v/>
      </c>
      <c r="P117">
        <f>IF(B148=0,0,O117/B148)</f>
        <v/>
      </c>
      <c r="Q117">
        <f>IFERROR(1/(IF(Inputs!$B$38="pvp",15,MAX(0.1,Skills!D6-IF(Skills!E6=TRUE,Inputs!$B$32,0)))*(1-IF(AND(ArtifactsInput!$M$27,Inputs!$B$4="Chapter Hunt"),CHOOSE(ArtifactsInput!$N$27+1,20,24,28,32,36,40),0)/100)),0)</f>
        <v/>
      </c>
      <c r="R117">
        <f>IF(AND(Inputs!$B$38&lt;&gt;"pvp",Inputs!$B$43&gt;0),IF(MAX(0,Inputs!$B$43-B145)&lt;=0,0,(INT(MAX(0,Inputs!$B$43-B145)/(IF(Inputs!$B$38="pvp",15,MAX(0.1,Skills!D6-IF(Skills!E6=TRUE,Inputs!$B$32,0)))*(1-IF(AND(ArtifactsInput!$M$27,Inputs!$B$4="Chapter Hunt"),CHOOSE(ArtifactsInput!$N$27+1,20,24,28,32,36,40),0)/100)))+1)),0)</f>
        <v/>
      </c>
      <c r="S117">
        <f>IFERROR(O117/N117,0)</f>
        <v/>
      </c>
      <c r="T117">
        <f>IF(C117,(H117*N117*IF(AND(Inputs!$B$38&lt;&gt;"pvp",Inputs!$B$43&gt;0),((Skills!G6*((R117-1)*IF(Skills!H6&gt;0,Skills!I6/Skills!H6,1)+IF(Skills!H6&gt;0,MIN(Skills!I6,MAX(0,MAX(0,Inputs!$B$43-B145)-((R117-1)*(IF(Inputs!$B$38="pvp",15,MAX(0.1,Skills!D6-IF(Skills!E6=TRUE,Inputs!$B$32,0)))*(1-IF(AND(ArtifactsInput!$M$27,Inputs!$B$4="Chapter Hunt"),CHOOSE(ArtifactsInput!$N$27+1,20,24,28,32,36,40),0)/100)))))/Skills!H6,1)))/Inputs!$B$43),G117*Q117)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117*(1-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7">
        <f>IF(C117,(H117*N117*IF(AND(Inputs!$B$38&lt;&gt;"pvp",Inputs!$B$43&gt;0),((Skills!G6*((R117-1)*IF(Skills!H6&gt;0,Skills!I6/Skills!H6,1)+IF(Skills!H6&gt;0,MIN(Skills!I6,MAX(0,MAX(0,Inputs!$B$43-B145)-((R117-1)*(IF(Inputs!$B$38="pvp",15,MAX(0.1,Skills!D6-IF(Skills!E6=TRUE,Inputs!$B$32,0)))*(1-IF(AND(ArtifactsInput!$M$27,Inputs!$B$4="Chapter Hunt"),CHOOSE(ArtifactsInput!$N$27+1,20,24,28,32,36,40),0)/100)))))/Skills!H6,1)))/Inputs!$B$43),G117*Q117))*IF(Inputs!$B$38="pvp",1,(1+(Inputs!$B$21+Skills!Q6+(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
      <c r="A118">
        <f>Skills!A7</f>
        <v/>
      </c>
      <c r="B118">
        <f>Skills!B7</f>
        <v/>
      </c>
      <c r="C118">
        <f>Inputs!$B$3&gt;=107</f>
        <v/>
      </c>
      <c r="D118">
        <f>IF(Skills!C7=1,60+Inputs!$B$25+Inputs!$B$29,IF(Skills!C7=2,90+Inputs!$B$26+Inputs!$B$29,IF(Skills!C7=3,120+Inputs!$B$27+Inputs!$B$29,MAX(0,(Inputs!$B$3-100)*3)+Inputs!$B$28+Inputs!$B$29)))</f>
        <v/>
      </c>
      <c r="E118">
        <f>INDEX(FactorTable!$B$2:$Y$301, MATCH(ROUND(MIN(300,MAX(1,D118)),0), FactorTable!$A$2:$A$301,0), Skills!M7+1)</f>
        <v/>
      </c>
      <c r="F118">
        <f>IF(Skills!N7=TRUE,(Skills!L7/10)*(E118/1000),Skills!L7/10)+Skills!O7</f>
        <v/>
      </c>
      <c r="G118">
        <f>Skills!G7*IF(Skills!H7&gt;0,Skills!I7/Skills!H7,1)</f>
        <v/>
      </c>
      <c r="H118">
        <f>1-(1-Skills!J7/100)^Skills!K7</f>
        <v/>
      </c>
      <c r="I118" t="inlineStr">
        <is>
          <t>1</t>
        </is>
      </c>
      <c r="J118">
        <f>((Inputs!$B$6*(1+Inputs!$B$7/100))+(((Inputs!$B$12*(1+(Inputs!$B$13+1)/100))-(Inputs!$B$12*(1+Inputs!$B$13/100)))+0.25*(Inputs!$B$14-Inputs!$B$14))*(1+Inputs!$B$7/100))*(F118/100)</f>
        <v/>
      </c>
      <c r="K118">
        <f>J118*(1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f>
        <v/>
      </c>
      <c r="L118">
        <f>K118*(MIN(Inputs!$B$22+((C133=TRUE)*(F133-Calc!F22)),(Inputs!$B$23+((C135=TRUE)*(F135-Calc!F24))+(IF(ArtifactsInput!$M$15,CHOOSE(ArtifactsInput!$N$15+1,25,30,35,40,45,50)/100*(Inputs!$B$11-Inputs!$B$11),0))))/100+(Inputs!$B$23+((C135=TRUE)*(F135-Calc!F24))+(IF(ArtifactsInput!$M$15,CHOOSE(ArtifactsInput!$N$15+1,25,30,35,40,45,50)/100*(Inputs!$B$11-Inputs!$B$11),0)))/100)/2</f>
        <v/>
      </c>
      <c r="M118">
        <f>L118*(1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(1-Summary!$B$11)*T118+Summary!$B$11*V118</f>
        <v/>
      </c>
      <c r="P118">
        <f>IF(B148=0,0,O118/B148)</f>
        <v/>
      </c>
      <c r="Q118">
        <f>IFERROR(1/(IF(Inputs!$B$38="pvp",15,MAX(0.1,Skills!D7-IF(Skills!E7=TRUE,Inputs!$B$32,0)))*(1-IF(AND(ArtifactsInput!$M$27,Inputs!$B$4="Chapter Hunt"),CHOOSE(ArtifactsInput!$N$27+1,20,24,28,32,36,40),0)/100)),0)</f>
        <v/>
      </c>
      <c r="R118">
        <f>IF(AND(Inputs!$B$38&lt;&gt;"pvp",Inputs!$B$43&gt;0),IF(MAX(0,Inputs!$B$43-B145)&lt;=0,0,(INT(MAX(0,Inputs!$B$43-B145)/(IF(Inputs!$B$38="pvp",15,MAX(0.1,Skills!D7-IF(Skills!E7=TRUE,Inputs!$B$32,0)))*(1-IF(AND(ArtifactsInput!$M$27,Inputs!$B$4="Chapter Hunt"),CHOOSE(ArtifactsInput!$N$27+1,20,24,28,32,36,40),0)/100)))+1)),0)</f>
        <v/>
      </c>
      <c r="S118">
        <f>IFERROR(O118/N118,0)</f>
        <v/>
      </c>
      <c r="T118">
        <f>IF(C118,(H118*N118*IF(AND(Inputs!$B$38&lt;&gt;"pvp",Inputs!$B$43&gt;0),((Skills!G7*((R118-1)*IF(Skills!H7&gt;0,Skills!I7/Skills!H7,1)+IF(Skills!H7&gt;0,MIN(Skills!I7,MAX(0,MAX(0,Inputs!$B$43-B145)-((R118-1)*(IF(Inputs!$B$38="pvp",15,MAX(0.1,Skills!D7-IF(Skills!E7=TRUE,Inputs!$B$32,0)))*(1-IF(AND(ArtifactsInput!$M$27,Inputs!$B$4="Chapter Hunt"),CHOOSE(ArtifactsInput!$N$27+1,20,24,28,32,36,40),0)/100)))))/Skills!H7,1)))/Inputs!$B$43),G118*Q118)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8">
        <f>IF(C118,(H118*N118*IF(AND(Inputs!$B$38&lt;&gt;"pvp",Inputs!$B$43&gt;0),((Skills!G7*((R118-1)*IF(Skills!H7&gt;0,Skills!I7/Skills!H7,1)+IF(Skills!H7&gt;0,MIN(Skills!I7,MAX(0,MAX(0,Inputs!$B$43-B145)-((R118-1)*(IF(Inputs!$B$38="pvp",15,MAX(0.1,Skills!D7-IF(Skills!E7=TRUE,Inputs!$B$32,0)))*(1-IF(AND(ArtifactsInput!$M$27,Inputs!$B$4="Chapter Hunt"),CHOOSE(ArtifactsInput!$N$27+1,20,24,28,32,36,40),0)/100)))))/Skills!H7,1)))/Inputs!$B$43),G118*Q118))*IF(Inputs!$B$38="pvp",1,(1+(Inputs!$B$21+Skills!Q7+(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Skills!A8</f>
        <v/>
      </c>
      <c r="B119">
        <f>Skills!B8</f>
        <v/>
      </c>
      <c r="C119">
        <f>Inputs!$B$3&gt;=107</f>
        <v/>
      </c>
      <c r="D119">
        <f>IF(Skills!C8=1,60+Inputs!$B$25+Inputs!$B$29,IF(Skills!C8=2,90+Inputs!$B$26+Inputs!$B$29,IF(Skills!C8=3,120+Inputs!$B$27+Inputs!$B$29,MAX(0,(Inputs!$B$3-100)*3)+Inputs!$B$28+Inputs!$B$29)))</f>
        <v/>
      </c>
      <c r="E119">
        <f>INDEX(FactorTable!$B$2:$Y$301, MATCH(ROUND(MIN(300,MAX(1,D119)),0), FactorTable!$A$2:$A$301,0), Skills!M8+1)</f>
        <v/>
      </c>
      <c r="F119">
        <f>IF(Skills!N8=TRUE,(Skills!L8/10)*(E119/1000),Skills!L8/10)+Skills!O8</f>
        <v/>
      </c>
      <c r="G119">
        <f>Skills!G8*IF(Skills!H8&gt;0,Skills!I8/Skills!H8,1)</f>
        <v/>
      </c>
      <c r="H119">
        <f>1-(1-Skills!J8/100)^Skills!K8</f>
        <v/>
      </c>
      <c r="I119" t="inlineStr">
        <is>
          <t>1</t>
        </is>
      </c>
      <c r="J119">
        <f>((Inputs!$B$6*(1+Inputs!$B$7/100))+(((Inputs!$B$12*(1+(Inputs!$B$13+1)/100))-(Inputs!$B$12*(1+Inputs!$B$13/100)))+0.25*(Inputs!$B$14-Inputs!$B$14))*(1+Inputs!$B$7/100))*(F119/100)</f>
        <v/>
      </c>
      <c r="K119">
        <f>J119*(1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f>
        <v/>
      </c>
      <c r="L119">
        <f>K119*(MIN(Inputs!$B$22+((C133=TRUE)*(F133-Calc!F22)),(Inputs!$B$23+((C135=TRUE)*(F135-Calc!F24))+(IF(ArtifactsInput!$M$15,CHOOSE(ArtifactsInput!$N$15+1,25,30,35,40,45,50)/100*(Inputs!$B$11-Inputs!$B$11),0))))/100+(Inputs!$B$23+((C135=TRUE)*(F135-Calc!F24))+(IF(ArtifactsInput!$M$15,CHOOSE(ArtifactsInput!$N$15+1,25,30,35,40,45,50)/100*(Inputs!$B$11-Inputs!$B$11),0)))/100)/2</f>
        <v/>
      </c>
      <c r="M119">
        <f>L119*(1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(1-Summary!$B$11)*T119+Summary!$B$11*V119</f>
        <v/>
      </c>
      <c r="P119">
        <f>IF(B148=0,0,O119/B148)</f>
        <v/>
      </c>
      <c r="Q119">
        <f>IFERROR(1/(IF(Inputs!$B$38="pvp",15,MAX(0.1,Skills!D8-IF(Skills!E8=TRUE,Inputs!$B$32,0)))*(1-IF(AND(ArtifactsInput!$M$27,Inputs!$B$4="Chapter Hunt"),CHOOSE(ArtifactsInput!$N$27+1,20,24,28,32,36,40),0)/100)),0)</f>
        <v/>
      </c>
      <c r="R119">
        <f>IF(AND(Inputs!$B$38&lt;&gt;"pvp",Inputs!$B$43&gt;0),IF(MAX(0,Inputs!$B$43-B145)&lt;=0,0,(INT(MAX(0,Inputs!$B$43-B145)/(IF(Inputs!$B$38="pvp",15,MAX(0.1,Skills!D8-IF(Skills!E8=TRUE,Inputs!$B$32,0)))*(1-IF(AND(ArtifactsInput!$M$27,Inputs!$B$4="Chapter Hunt"),CHOOSE(ArtifactsInput!$N$27+1,20,24,28,32,36,40),0)/100)))+1)),0)</f>
        <v/>
      </c>
      <c r="S119">
        <f>IFERROR(O119/N119,0)</f>
        <v/>
      </c>
      <c r="T119">
        <f>IF(C119,(H119*N119*IF(AND(Inputs!$B$38&lt;&gt;"pvp",Inputs!$B$43&gt;0),((Skills!G8*((R119-1)*IF(Skills!H8&gt;0,Skills!I8/Skills!H8,1)+IF(Skills!H8&gt;0,MIN(Skills!I8,MAX(0,MAX(0,Inputs!$B$43-B145)-((R119-1)*(IF(Inputs!$B$38="pvp",15,MAX(0.1,Skills!D8-IF(Skills!E8=TRUE,Inputs!$B$32,0)))*(1-IF(AND(ArtifactsInput!$M$27,Inputs!$B$4="Chapter Hunt"),CHOOSE(ArtifactsInput!$N$27+1,20,24,28,32,36,40),0)/100)))))/Skills!H8,1)))/Inputs!$B$43),G119*Q119)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
        <f>IF(C119,(H119*N119*IF(AND(Inputs!$B$38&lt;&gt;"pvp",Inputs!$B$43&gt;0),((Skills!G8*((R119-1)*IF(Skills!H8&gt;0,Skills!I8/Skills!H8,1)+IF(Skills!H8&gt;0,MIN(Skills!I8,MAX(0,MAX(0,Inputs!$B$43-B145)-((R119-1)*(IF(Inputs!$B$38="pvp",15,MAX(0.1,Skills!D8-IF(Skills!E8=TRUE,Inputs!$B$32,0)))*(1-IF(AND(ArtifactsInput!$M$27,Inputs!$B$4="Chapter Hunt"),CHOOSE(ArtifactsInput!$N$27+1,20,24,28,32,36,40),0)/100)))))/Skills!H8,1)))/Inputs!$B$43),G119*Q119))*IF(Inputs!$B$38="pvp",1,(1+(Inputs!$B$21+Skills!Q8+(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Skills!A9</f>
        <v/>
      </c>
      <c r="B120">
        <f>Skills!B9</f>
        <v/>
      </c>
      <c r="C120">
        <f>Inputs!$B$3&gt;=125</f>
        <v/>
      </c>
      <c r="D120">
        <f>IF(Skills!C9=1,60+Inputs!$B$25+Inputs!$B$29,IF(Skills!C9=2,90+Inputs!$B$26+Inputs!$B$29,IF(Skills!C9=3,120+Inputs!$B$27+Inputs!$B$29,MAX(0,(Inputs!$B$3-100)*3)+Inputs!$B$28+Inputs!$B$29)))</f>
        <v/>
      </c>
      <c r="E120">
        <f>INDEX(FactorTable!$B$2:$Y$301, MATCH(ROUND(MIN(300,MAX(1,D120)),0), FactorTable!$A$2:$A$301,0), Skills!M9+1)</f>
        <v/>
      </c>
      <c r="F120">
        <f>IF(Skills!N9=TRUE,(Skills!L9/10)*(E120/1000),Skills!L9/10)+Skills!O9</f>
        <v/>
      </c>
      <c r="G120">
        <f>Skills!G9*IF(Skills!H9&gt;0,Skills!I9/Skills!H9,1)</f>
        <v/>
      </c>
      <c r="H120">
        <f>1-(1-Skills!J9/100)^Skills!K9</f>
        <v/>
      </c>
      <c r="I120" t="inlineStr">
        <is>
          <t>1</t>
        </is>
      </c>
      <c r="J120">
        <f>((Inputs!$B$6*(1+Inputs!$B$7/100))+(((Inputs!$B$12*(1+(Inputs!$B$13+1)/100))-(Inputs!$B$12*(1+Inputs!$B$13/100)))+0.25*(Inputs!$B$14-Inputs!$B$14))*(1+Inputs!$B$7/100))*(F120/100)</f>
        <v/>
      </c>
      <c r="K120">
        <f>J120*(1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f>
        <v/>
      </c>
      <c r="L120">
        <f>K120*(MIN(Inputs!$B$22+((C133=TRUE)*(F133-Calc!F22)),(Inputs!$B$23+((C135=TRUE)*(F135-Calc!F24))+(IF(ArtifactsInput!$M$15,CHOOSE(ArtifactsInput!$N$15+1,25,30,35,40,45,50)/100*(Inputs!$B$11-Inputs!$B$11),0))))/100+(Inputs!$B$23+((C135=TRUE)*(F135-Calc!F24))+(IF(ArtifactsInput!$M$15,CHOOSE(ArtifactsInput!$N$15+1,25,30,35,40,45,50)/100*(Inputs!$B$11-Inputs!$B$11),0)))/100)/2</f>
        <v/>
      </c>
      <c r="M120">
        <f>L120*(1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(1-Summary!$B$11)*T120+Summary!$B$11*V120</f>
        <v/>
      </c>
      <c r="P120">
        <f>IF(B148=0,0,O120/B148)</f>
        <v/>
      </c>
      <c r="Q120">
        <f>IFERROR(1/(IF(Inputs!$B$38="pvp",15,MAX(0.1,Skills!D9-IF(Skills!E9=TRUE,Inputs!$B$32,0)))*(1-IF(AND(ArtifactsInput!$M$27,Inputs!$B$4="Chapter Hunt"),CHOOSE(ArtifactsInput!$N$27+1,20,24,28,32,36,40),0)/100)),0)</f>
        <v/>
      </c>
      <c r="R120">
        <f>IF(AND(Inputs!$B$38&lt;&gt;"pvp",Inputs!$B$43&gt;0),IF(MAX(0,Inputs!$B$43-B145)&lt;=0,0,(INT(MAX(0,Inputs!$B$43-B145)/(IF(Inputs!$B$38="pvp",15,MAX(0.1,Skills!D9-IF(Skills!E9=TRUE,Inputs!$B$32,0)))*(1-IF(AND(ArtifactsInput!$M$27,Inputs!$B$4="Chapter Hunt"),CHOOSE(ArtifactsInput!$N$27+1,20,24,28,32,36,40),0)/100)))+1)),0)</f>
        <v/>
      </c>
      <c r="S120">
        <f>IFERROR(O120/N120,0)</f>
        <v/>
      </c>
      <c r="T120">
        <f>IF(C120,(H120*N120*IF(AND(Inputs!$B$38&lt;&gt;"pvp",Inputs!$B$43&gt;0),((Skills!G9*((R120-1)*IF(Skills!H9&gt;0,Skills!I9/Skills!H9,1)+IF(Skills!H9&gt;0,MIN(Skills!I9,MAX(0,MAX(0,Inputs!$B$43-B145)-((R120-1)*(IF(Inputs!$B$38="pvp",15,MAX(0.1,Skills!D9-IF(Skills!E9=TRUE,Inputs!$B$32,0)))*(1-IF(AND(ArtifactsInput!$M$27,Inputs!$B$4="Chapter Hunt"),CHOOSE(ArtifactsInput!$N$27+1,20,24,28,32,36,40),0)/100)))))/Skills!H9,1)))/Inputs!$B$43),G120*Q120)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
        <f>IF(C120,(H120*N120*IF(AND(Inputs!$B$38&lt;&gt;"pvp",Inputs!$B$43&gt;0),((Skills!G9*((R120-1)*IF(Skills!H9&gt;0,Skills!I9/Skills!H9,1)+IF(Skills!H9&gt;0,MIN(Skills!I9,MAX(0,MAX(0,Inputs!$B$43-B145)-((R120-1)*(IF(Inputs!$B$38="pvp",15,MAX(0.1,Skills!D9-IF(Skills!E9=TRUE,Inputs!$B$32,0)))*(1-IF(AND(ArtifactsInput!$M$27,Inputs!$B$4="Chapter Hunt"),CHOOSE(ArtifactsInput!$N$27+1,20,24,28,32,36,40),0)/100)))))/Skills!H9,1)))/Inputs!$B$43),G120*Q120))*IF(Inputs!$B$38="pvp",1,(1+(Inputs!$B$21+Skills!Q9+(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Skills!A10</f>
        <v/>
      </c>
      <c r="B121">
        <f>Skills!B10</f>
        <v/>
      </c>
      <c r="C121">
        <f>Inputs!$B$3&gt;=117</f>
        <v/>
      </c>
      <c r="D121">
        <f>IF(Skills!C10=1,60+Inputs!$B$25+Inputs!$B$29,IF(Skills!C10=2,90+Inputs!$B$26+Inputs!$B$29,IF(Skills!C10=3,120+Inputs!$B$27+Inputs!$B$29,MAX(0,(Inputs!$B$3-100)*3)+Inputs!$B$28+Inputs!$B$29)))</f>
        <v/>
      </c>
      <c r="E121">
        <f>INDEX(FactorTable!$B$2:$Y$301, MATCH(ROUND(MIN(300,MAX(1,D121)),0), FactorTable!$A$2:$A$301,0), Skills!M10+1)</f>
        <v/>
      </c>
      <c r="F121">
        <f>IF(Skills!N10=TRUE,(Skills!L10/10)*(E121/1000),Skills!L10/10)+Skills!O10</f>
        <v/>
      </c>
      <c r="G121">
        <f>Skills!G10*IF(Skills!H10&gt;0,Skills!I10/Skills!H10,1)</f>
        <v/>
      </c>
      <c r="H121">
        <f>1-(1-Skills!J10/100)^Skills!K10</f>
        <v/>
      </c>
      <c r="I121" t="inlineStr">
        <is>
          <t>1</t>
        </is>
      </c>
      <c r="J121">
        <f>((Inputs!$B$6*(1+Inputs!$B$7/100))+(((Inputs!$B$12*(1+(Inputs!$B$13+1)/100))-(Inputs!$B$12*(1+Inputs!$B$13/100)))+0.25*(Inputs!$B$14-Inputs!$B$14))*(1+Inputs!$B$7/100))*(F121/100)</f>
        <v/>
      </c>
      <c r="K121">
        <f>J121*(1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C133=TRUE)*(F133-Calc!F22)),(Inputs!$B$23+((C135=TRUE)*(F135-Calc!F24))+(IF(ArtifactsInput!$M$15,CHOOSE(ArtifactsInput!$N$15+1,25,30,35,40,45,50)/100*(Inputs!$B$11-Inputs!$B$11),0))))/100+(Inputs!$B$23+((C135=TRUE)*(F135-Calc!F24))+(IF(ArtifactsInput!$M$15,CHOOSE(ArtifactsInput!$N$15+1,25,30,35,40,45,50)/100*(Inputs!$B$11-Inputs!$B$11),0)))/100)/2</f>
        <v/>
      </c>
      <c r="M121">
        <f>L121*(1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(1-Summary!$B$11)*T121+Summary!$B$11*V121</f>
        <v/>
      </c>
      <c r="P121">
        <f>IF(B148=0,0,O121/B148)</f>
        <v/>
      </c>
      <c r="Q121">
        <f>IFERROR(1/(IF(Inputs!$B$38="pvp",15,MAX(0.1,Skills!D10-IF(Skills!E10=TRUE,Inputs!$B$32,0)))*(1-IF(AND(ArtifactsInput!$M$27,Inputs!$B$4="Chapter Hunt"),CHOOSE(ArtifactsInput!$N$27+1,20,24,28,32,36,40),0)/100)),0)</f>
        <v/>
      </c>
      <c r="R121">
        <f>IF(AND(Inputs!$B$38&lt;&gt;"pvp",Inputs!$B$43&gt;0),IF(MAX(0,Inputs!$B$43-B145)&lt;=0,0,(INT(MAX(0,Inputs!$B$43-B145)/(IF(Inputs!$B$38="pvp",15,MAX(0.1,Skills!D10-IF(Skills!E10=TRUE,Inputs!$B$32,0)))*(1-IF(AND(ArtifactsInput!$M$27,Inputs!$B$4="Chapter Hunt"),CHOOSE(ArtifactsInput!$N$27+1,20,24,28,32,36,40),0)/100)))+1)),0)</f>
        <v/>
      </c>
      <c r="S121">
        <f>IFERROR(O121/N121,0)</f>
        <v/>
      </c>
      <c r="T121">
        <f>IF(C121,(H121*N121*IF(AND(Inputs!$B$38&lt;&gt;"pvp",Inputs!$B$43&gt;0),((Skills!G10*((R121-1)*IF(Skills!H10&gt;0,Skills!I10/Skills!H10,1)+IF(Skills!H10&gt;0,MIN(Skills!I10,MAX(0,MAX(0,Inputs!$B$43-B145)-((R121-1)*(IF(Inputs!$B$38="pvp",15,MAX(0.1,Skills!D10-IF(Skills!E10=TRUE,Inputs!$B$32,0)))*(1-IF(AND(ArtifactsInput!$M$27,Inputs!$B$4="Chapter Hunt"),CHOOSE(ArtifactsInput!$N$27+1,20,24,28,32,36,40),0)/100)))))/Skills!H10,1)))/Inputs!$B$43),G121*Q121)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
        <f>IF(C121,(H121*N121*IF(AND(Inputs!$B$38&lt;&gt;"pvp",Inputs!$B$43&gt;0),((Skills!G10*((R121-1)*IF(Skills!H10&gt;0,Skills!I10/Skills!H10,1)+IF(Skills!H10&gt;0,MIN(Skills!I10,MAX(0,MAX(0,Inputs!$B$43-B145)-((R121-1)*(IF(Inputs!$B$38="pvp",15,MAX(0.1,Skills!D10-IF(Skills!E10=TRUE,Inputs!$B$32,0)))*(1-IF(AND(ArtifactsInput!$M$27,Inputs!$B$4="Chapter Hunt"),CHOOSE(ArtifactsInput!$N$27+1,20,24,28,32,36,40),0)/100)))))/Skills!H10,1)))/Inputs!$B$43),G121*Q121))*IF(Inputs!$B$38="pvp",1,(1+(Inputs!$B$21+Skills!Q10+(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Skills!A11</f>
        <v/>
      </c>
      <c r="B122">
        <f>Skills!B11</f>
        <v/>
      </c>
      <c r="C122">
        <f>Inputs!$B$3&gt;=63</f>
        <v/>
      </c>
      <c r="D122">
        <f>IF(Skills!C11=1,60+Inputs!$B$25+Inputs!$B$29,IF(Skills!C11=2,90+Inputs!$B$26+Inputs!$B$29,IF(Skills!C11=3,120+Inputs!$B$27+Inputs!$B$29,MAX(0,(Inputs!$B$3-100)*3)+Inputs!$B$28+Inputs!$B$29)))</f>
        <v/>
      </c>
      <c r="E122">
        <f>INDEX(FactorTable!$B$2:$Y$301, MATCH(ROUND(MIN(300,MAX(1,D122)),0), FactorTable!$A$2:$A$301,0), Skills!M11+1)</f>
        <v/>
      </c>
      <c r="F122">
        <f>IF(Skills!N11=TRUE,(Skills!L11/10)*(E122/1000),Skills!L11/10)+Skills!O11</f>
        <v/>
      </c>
      <c r="G122">
        <f>Skills!G11*IF(Skills!H11&gt;0,Skills!I11/Skills!H11,1)</f>
        <v/>
      </c>
      <c r="H122">
        <f>1-(1-Skills!J11/100)^Skills!K11</f>
        <v/>
      </c>
      <c r="I122" t="inlineStr">
        <is>
          <t>1</t>
        </is>
      </c>
      <c r="J122">
        <f>((Inputs!$B$6*(1+Inputs!$B$7/100))+(((Inputs!$B$12*(1+(Inputs!$B$13+1)/100))-(Inputs!$B$12*(1+Inputs!$B$13/100)))+0.25*(Inputs!$B$14-Inputs!$B$14))*(1+Inputs!$B$7/100))*(F122/100)</f>
        <v/>
      </c>
      <c r="K122">
        <f>J122*(1+((Inputs!$B$12*(1+(Inputs!$B$13+1)/100))*0.01+Inputs!$B$14*0.0025)/100)*(1+Inputs!$B$15/100)*(1+Inputs!$B$16/100)*(5000/(6000+Inputs!$B$42*(1-(Inputs!$B$19+0)/100)))*(1+(Inputs!$B$24+0+B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123=TRUE,F123,0)/100)*(1+(IF(Skills!A11="BLAST",Inputs!$B$17+((C132=TRUE)*(F132-Calc!F21))+((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MIN(100,((Inputs!$B$9+0+B138+(ArtifactsInput!$M$24-ArtifactsInput!$M$24)*CHOOSE(ArtifactsInput!$N$24+1,10,12,14,16,18,20)+IF(ArtifactsInput!$M$10,CHOOSE(ArtifactsInput!$N$10+1,15,18,21,24,27,30)*(IF(Inputs!$B$38="pvp",MIN(15,15)/15,IF(AND(Inputs!$B$38&lt;&gt;"pvp",Inputs!$B$43&gt;0),MIN(15,Inputs!$B$43)/(Inputs!$B$43),0))),0)))-100),0))*CHOOSE(ArtifactsInput!$N$42+1,0.6,0.72,0.84,0.96,1.08,1.2))),Inputs!$B$18+((C134=TRUE)*(F134-Calc!F23))+(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gt;=100),CHOOSE(ArtifactsInput!$N$42+1,40,48,56,64,72,80),0))))/100)*((1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C133=TRUE)*(F133-Calc!F22)),(Inputs!$B$23+((C135=TRUE)*(F135-Calc!F24))+(IF(ArtifactsInput!$M$15,CHOOSE(ArtifactsInput!$N$15+1,25,30,35,40,45,50)/100*(Inputs!$B$11-Inputs!$B$11),0))))/100+(Inputs!$B$23+((C135=TRUE)*(F135-Calc!F24))+(IF(ArtifactsInput!$M$15,CHOOSE(ArtifactsInput!$N$15+1,25,30,35,40,45,50)/100*(Inputs!$B$11-Inputs!$B$11),0)))/100)/2</f>
        <v/>
      </c>
      <c r="M122">
        <f>L122*(1+(Inputs!$B$10+0+B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(1-Summary!$B$11)*T122+Summary!$B$11*V122</f>
        <v/>
      </c>
      <c r="P122">
        <f>IF(B148=0,0,O122/B148)</f>
        <v/>
      </c>
      <c r="Q122">
        <f>IFERROR(1/(IF(Inputs!$B$38="pvp",15,MAX(0.1,Skills!D11-IF(Skills!E11=TRUE,Inputs!$B$32,0)))*(1-IF(AND(ArtifactsInput!$M$27,Inputs!$B$4="Chapter Hunt"),CHOOSE(ArtifactsInput!$N$27+1,20,24,28,32,36,40),0)/100)),0)</f>
        <v/>
      </c>
      <c r="R122">
        <f>IF(AND(Inputs!$B$38&lt;&gt;"pvp",Inputs!$B$43&gt;0),IF(MAX(0,Inputs!$B$43-B145)&lt;=0,0,(INT(MAX(0,Inputs!$B$43-B145)/(IF(Inputs!$B$38="pvp",15,MAX(0.1,Skills!D11-IF(Skills!E11=TRUE,Inputs!$B$32,0)))*(1-IF(AND(ArtifactsInput!$M$27,Inputs!$B$4="Chapter Hunt"),CHOOSE(ArtifactsInput!$N$27+1,20,24,28,32,36,40),0)/100)))+1)),0)</f>
        <v/>
      </c>
      <c r="S122">
        <f>IFERROR(O122/N122,0)</f>
        <v/>
      </c>
      <c r="T122">
        <f>IF(C122,(H122*N122*IF(AND(Inputs!$B$38&lt;&gt;"pvp",Inputs!$B$43&gt;0),((Skills!G11*((R122-1)*IF(Skills!H11&gt;0,Skills!I11/Skills!H11,1)+IF(Skills!H11&gt;0,MIN(Skills!I11,MAX(0,MAX(0,Inputs!$B$43-B145)-((R122-1)*(IF(Inputs!$B$38="pvp",15,MAX(0.1,Skills!D11-IF(Skills!E11=TRUE,Inputs!$B$32,0)))*(1-IF(AND(ArtifactsInput!$M$27,Inputs!$B$4="Chapter Hunt"),CHOOSE(ArtifactsInput!$N$27+1,20,24,28,32,36,40),0)/100)))))/Skills!H11,1)))/Inputs!$B$43),G122*Q122)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+0+B138+(ArtifactsInput!$M$24-ArtifactsInput!$M$24)*CHOOSE(ArtifactsInput!$N$24+1,10,12,14,16,18,20)+(IF(AND(Inputs!$B$38&lt;&gt;"pvp",Inputs!$B$43=0),1,IF(IF(Inputs!$B$38="pvp",15,Inputs!$B$43)-(B145)&lt;=0,1,MAX(0,IF(Inputs!$B$38="pvp",15,Inputs!$B$43)-MAX(5,B145))/(IF(Inputs!$B$38="pvp",15,Inputs!$B$43)-(B145))))*IF(AND(ArtifactsInput!$M$42,((Inputs!$B$9+0+B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
        <f>IF(C122,(H122*N122*IF(AND(Inputs!$B$38&lt;&gt;"pvp",Inputs!$B$43&gt;0),((Skills!G11*((R122-1)*IF(Skills!H11&gt;0,Skills!I11/Skills!H11,1)+IF(Skills!H11&gt;0,MIN(Skills!I11,MAX(0,MAX(0,Inputs!$B$43-B145)-((R122-1)*(IF(Inputs!$B$38="pvp",15,MAX(0.1,Skills!D11-IF(Skills!E11=TRUE,Inputs!$B$32,0)))*(1-IF(AND(ArtifactsInput!$M$27,Inputs!$B$4="Chapter Hunt"),CHOOSE(ArtifactsInput!$N$27+1,20,24,28,32,36,40),0)/100)))))/Skills!H11,1)))/Inputs!$B$43),G122*Q122))*IF(Inputs!$B$38="pvp",1,(1+(Inputs!$B$21+Skills!Q11+(IF(ArtifactsInput!$M$33,CHOOSE(ArtifactsInput!$N$33+1,30,36,42,48,54,60),0))+(IF(AND(ArtifactsInput!$M$35,Inputs!$B$4&lt;&gt;"Chapter Hunt"),CHOOSE(ArtifactsInput!$N$35+1,15,18,21,24,27,30)*(1-EXP(-(0.2*B140)*5)),0)+IF(AND(ArtifactsInput!$M$22,Inputs!$B$4&lt;&gt;"Chapter Hunt"),CHOOSE(ArtifactsInput!$N$22+1,10,12,14,16,18,20)*((0*(((0.15*B140*5))^0/1)+1*(((0.15*B140*5))^1/1)+2*(((0.15*B140*5))^2/2)+3*(((0.15*B140*5))^3/6)+4*(((0.15*B140*5))^4/24)+5*(((0.15*B140*5))^5/120))/((((0.15*B140*5))^0/1)+(((0.15*B140*5))^1/1)+(((0.15*B140*5))^2/2)+(((0.15*B140*5))^3/6)+(((0.15*B140*5))^4/24)+(((0.15*B140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Skills!A12</f>
        <v/>
      </c>
      <c r="B123">
        <f>Skills!B12</f>
        <v/>
      </c>
      <c r="C123">
        <f>Inputs!$B$3&gt;=100</f>
        <v/>
      </c>
      <c r="D123">
        <f>IF(Skills!C12=1,60+Inputs!$B$25+Inputs!$B$29,IF(Skills!C12=2,90+Inputs!$B$26+Inputs!$B$29,IF(Skills!C12=3,120+Inputs!$B$27+Inputs!$B$29,MAX(0,(Inputs!$B$3-100)*3)+Inputs!$B$28+Inputs!$B$29)))</f>
        <v/>
      </c>
      <c r="E123">
        <f>INDEX(FactorTable!$B$2:$Y$301, MATCH(ROUND(MIN(300,MAX(1,D123)),0), FactorTable!$A$2:$A$301,0), Skills!M12+1)</f>
        <v/>
      </c>
      <c r="F123">
        <f>IF(Skills!N12=TRUE,(Skills!L12/10)*(E123/1000),Skills!L12/10)+Skills!O12</f>
        <v/>
      </c>
      <c r="G123" t="inlineStr"/>
      <c r="H123" t="inlineStr"/>
      <c r="I123" t="inlineStr">
        <is>
          <t>1</t>
        </is>
      </c>
      <c r="J123" t="inlineStr"/>
      <c r="K123" t="inlineStr"/>
      <c r="L123" t="inlineStr"/>
      <c r="M123" t="inlineStr"/>
      <c r="N123" t="inlineStr"/>
      <c r="O123" t="inlineStr"/>
      <c r="P123" t="inlineStr"/>
      <c r="Q123" t="inlineStr"/>
      <c r="R123" t="inlineStr"/>
      <c r="S123" t="inlineStr"/>
    </row>
    <row r="124">
      <c r="A124">
        <f>Skills!A13</f>
        <v/>
      </c>
      <c r="B124">
        <f>Skills!B13</f>
        <v/>
      </c>
      <c r="C124">
        <f>Inputs!$B$3&gt;=45</f>
        <v/>
      </c>
      <c r="D124">
        <f>IF(Skills!C13=1,60+Inputs!$B$25+Inputs!$B$29,IF(Skills!C13=2,90+Inputs!$B$26+Inputs!$B$29,IF(Skills!C13=3,120+Inputs!$B$27+Inputs!$B$29,MAX(0,(Inputs!$B$3-100)*3)+Inputs!$B$28+Inputs!$B$29)))</f>
        <v/>
      </c>
      <c r="E124">
        <f>INDEX(FactorTable!$B$2:$Y$301, MATCH(ROUND(MIN(300,MAX(1,D124)),0), FactorTable!$A$2:$A$301,0), Skills!M13+1)</f>
        <v/>
      </c>
      <c r="F124">
        <f>IF(Skills!N13=TRUE,(Skills!L13/10)*(E124/1000),Skills!L13/10)+Skills!O13</f>
        <v/>
      </c>
      <c r="G124">
        <f>Skills!G13*IF(Skills!H13&gt;0,Skills!I13/Skills!H13,1)</f>
        <v/>
      </c>
      <c r="H124">
        <f>1-(1-Skills!J13/100)^Skills!K13</f>
        <v/>
      </c>
      <c r="I124" t="inlineStr">
        <is>
          <t>1</t>
        </is>
      </c>
      <c r="J124" t="inlineStr"/>
      <c r="K124" t="inlineStr"/>
      <c r="L124" t="inlineStr"/>
      <c r="M124" t="inlineStr"/>
      <c r="N124" t="inlineStr"/>
      <c r="O124">
        <f>(1-Summary!$B$11)*T124+Summary!$B$11*V124</f>
        <v/>
      </c>
      <c r="P124">
        <f>IF(B148=0,0,O124/B148)</f>
        <v/>
      </c>
      <c r="Q124" t="n">
        <v>0</v>
      </c>
      <c r="R124" t="n">
        <v>0</v>
      </c>
      <c r="S124">
        <f>IFERROR(O124/N124,0)</f>
        <v/>
      </c>
      <c r="T124" t="n">
        <v>0</v>
      </c>
      <c r="V124" t="n">
        <v>0</v>
      </c>
    </row>
    <row r="125">
      <c r="A125">
        <f>Skills!A14</f>
        <v/>
      </c>
      <c r="B125">
        <f>Skills!B14</f>
        <v/>
      </c>
      <c r="C125">
        <f>Inputs!$B$3&gt;=110</f>
        <v/>
      </c>
      <c r="D125">
        <f>IF(Skills!C14=1,60+Inputs!$B$25+Inputs!$B$29,IF(Skills!C14=2,90+Inputs!$B$26+Inputs!$B$29,IF(Skills!C14=3,120+Inputs!$B$27+Inputs!$B$29,MAX(0,(Inputs!$B$3-100)*3)+Inputs!$B$28+Inputs!$B$29)))</f>
        <v/>
      </c>
      <c r="E125">
        <f>INDEX(FactorTable!$B$2:$Y$301, MATCH(ROUND(MIN(300,MAX(1,D125)),0), FactorTable!$A$2:$A$301,0), Skills!M14+1)</f>
        <v/>
      </c>
      <c r="F125">
        <f>IF(Skills!N14=TRUE,(Skills!L14/10)*(E125/1000),Skills!L14/10)+Skills!O14</f>
        <v/>
      </c>
      <c r="G125">
        <f>Skills!G14*IF(Skills!H14&gt;0,Skills!I14/Skills!H14,1)</f>
        <v/>
      </c>
      <c r="H125">
        <f>1-(1-Skills!J14/100)^Skills!K14</f>
        <v/>
      </c>
      <c r="I125" t="inlineStr">
        <is>
          <t>1</t>
        </is>
      </c>
      <c r="J125" t="inlineStr"/>
      <c r="K125" t="inlineStr"/>
      <c r="L125" t="inlineStr"/>
      <c r="M125" t="inlineStr"/>
      <c r="N125" t="inlineStr"/>
      <c r="O125">
        <f>(1-Summary!$B$11)*T125+Summary!$B$11*V125</f>
        <v/>
      </c>
      <c r="P125">
        <f>IF(B148=0,0,O125/B148)</f>
        <v/>
      </c>
      <c r="Q125" t="n">
        <v>0</v>
      </c>
      <c r="R125" t="n">
        <v>0</v>
      </c>
      <c r="S125">
        <f>IFERROR(O125/N125,0)</f>
        <v/>
      </c>
      <c r="T125" t="n">
        <v>0</v>
      </c>
      <c r="V125" t="n">
        <v>0</v>
      </c>
    </row>
    <row r="126">
      <c r="A126">
        <f>Skills!A15</f>
        <v/>
      </c>
      <c r="B126">
        <f>Skills!B15</f>
        <v/>
      </c>
      <c r="C126">
        <f>Inputs!$B$3&gt;=75</f>
        <v/>
      </c>
      <c r="D126">
        <f>IF(Skills!C15=1,60+Inputs!$B$25+Inputs!$B$29,IF(Skills!C15=2,90+Inputs!$B$26+Inputs!$B$29,IF(Skills!C15=3,120+Inputs!$B$27+Inputs!$B$29,MAX(0,(Inputs!$B$3-100)*3)+Inputs!$B$28+Inputs!$B$29)))</f>
        <v/>
      </c>
      <c r="E126">
        <f>INDEX(FactorTable!$B$2:$Y$301, MATCH(ROUND(MIN(300,MAX(1,D126)),0), FactorTable!$A$2:$A$301,0), Skills!M15+1)</f>
        <v/>
      </c>
      <c r="F126">
        <f>IF(Skills!N15=TRUE,(Skills!L15/10)*(E126/1000),Skills!L15/10)+Skills!O15</f>
        <v/>
      </c>
      <c r="G126">
        <f>Skills!G15*IF(Skills!H15&gt;0,Skills!I15/Skills!H15,1)</f>
        <v/>
      </c>
      <c r="H126">
        <f>1-(1-Skills!J15/100)^Skills!K15</f>
        <v/>
      </c>
      <c r="I126" t="inlineStr">
        <is>
          <t>1</t>
        </is>
      </c>
      <c r="J126" t="inlineStr"/>
      <c r="K126" t="inlineStr"/>
      <c r="L126" t="inlineStr"/>
      <c r="M126" t="inlineStr"/>
      <c r="N126" t="inlineStr"/>
      <c r="O126">
        <f>(1-Summary!$B$11)*T126+Summary!$B$11*V126</f>
        <v/>
      </c>
      <c r="P126">
        <f>IF(B148=0,0,O126/B148)</f>
        <v/>
      </c>
      <c r="Q126">
        <f>IFERROR(1/(IF(Inputs!$B$38="pvp",15,MAX(0.1,Skills!D15-IF(Skills!E15=TRUE,Inputs!$B$32,0)))*(1-IF(AND(ArtifactsInput!$M$27,Inputs!$B$4="Chapter Hunt"),CHOOSE(ArtifactsInput!$N$27+1,20,24,28,32,36,40),0)/100)),0)</f>
        <v/>
      </c>
      <c r="R126">
        <f>IF(AND(Inputs!$B$38&lt;&gt;"pvp",Inputs!$B$43&gt;0),IF(Inputs!$B$43&lt;=0,0,(INT(Inputs!$B$43/(IF(Inputs!$B$38="pvp",15,MAX(0.1,Skills!D15-IF(Skills!E15=TRUE,Inputs!$B$32,0)))*(1-IF(AND(ArtifactsInput!$M$27,Inputs!$B$4="Chapter Hunt"),CHOOSE(ArtifactsInput!$N$27+1,20,24,28,32,36,40),0)/100)))+1)),0)</f>
        <v/>
      </c>
      <c r="S126">
        <f>IFERROR(O126/N126,0)</f>
        <v/>
      </c>
      <c r="T126" t="n">
        <v>0</v>
      </c>
      <c r="V126" t="n">
        <v>0</v>
      </c>
    </row>
    <row r="127">
      <c r="A127">
        <f>Skills!A16</f>
        <v/>
      </c>
      <c r="B127">
        <f>Skills!B16</f>
        <v/>
      </c>
      <c r="C127">
        <f>Inputs!$B$3&gt;=105</f>
        <v/>
      </c>
      <c r="D127">
        <f>IF(Skills!C16=1,60+Inputs!$B$25+Inputs!$B$29,IF(Skills!C16=2,90+Inputs!$B$26+Inputs!$B$29,IF(Skills!C16=3,120+Inputs!$B$27+Inputs!$B$29,MAX(0,(Inputs!$B$3-100)*3)+Inputs!$B$28+Inputs!$B$29)))</f>
        <v/>
      </c>
      <c r="E127">
        <f>INDEX(FactorTable!$B$2:$Y$301, MATCH(ROUND(MIN(300,MAX(1,D127)),0), FactorTable!$A$2:$A$301,0), Skills!M16+1)</f>
        <v/>
      </c>
      <c r="F127">
        <f>IF(Skills!N16=TRUE,(Skills!L16/10)*(E127/1000),Skills!L16/10)+Skills!O16</f>
        <v/>
      </c>
      <c r="G127">
        <f>Skills!G16*IF(Skills!H16&gt;0,Skills!I16/Skills!H16,1)</f>
        <v/>
      </c>
      <c r="H127">
        <f>1-(1-Skills!J16/100)^Skills!K16</f>
        <v/>
      </c>
      <c r="I127" t="inlineStr">
        <is>
          <t>1</t>
        </is>
      </c>
      <c r="J127" t="inlineStr"/>
      <c r="K127" t="inlineStr"/>
      <c r="L127" t="inlineStr"/>
      <c r="M127" t="inlineStr"/>
      <c r="N127" t="inlineStr"/>
      <c r="O127">
        <f>(1-Summary!$B$11)*T127+Summary!$B$11*V127</f>
        <v/>
      </c>
      <c r="P127">
        <f>IF(B148=0,0,O127/B148)</f>
        <v/>
      </c>
      <c r="Q127">
        <f>IFERROR(1/(IF(Inputs!$B$38="pvp",15,MAX(0.1,Skills!D16-IF(Skills!E16=TRUE,Inputs!$B$32,0)))*(1-IF(AND(ArtifactsInput!$M$27,Inputs!$B$4="Chapter Hunt"),CHOOSE(ArtifactsInput!$N$27+1,20,24,28,32,36,40),0)/100)),0)</f>
        <v/>
      </c>
      <c r="R127">
        <f>IF(AND(Inputs!$B$38&lt;&gt;"pvp",Inputs!$B$43&gt;0),IF(Inputs!$B$43&lt;=0,0,(INT(Inputs!$B$43/(IF(Inputs!$B$38="pvp",15,MAX(0.1,Skills!D16-IF(Skills!E16=TRUE,Inputs!$B$32,0)))*(1-IF(AND(ArtifactsInput!$M$27,Inputs!$B$4="Chapter Hunt"),CHOOSE(ArtifactsInput!$N$27+1,20,24,28,32,36,40),0)/100)))+1)),0)</f>
        <v/>
      </c>
      <c r="S127">
        <f>IFERROR(O127/N127,0)</f>
        <v/>
      </c>
      <c r="T127" t="n">
        <v>0</v>
      </c>
      <c r="V127" t="n">
        <v>0</v>
      </c>
    </row>
    <row r="128">
      <c r="A128">
        <f>Skills!A17</f>
        <v/>
      </c>
      <c r="B128">
        <f>Skills!B17</f>
        <v/>
      </c>
      <c r="C128">
        <f>Inputs!$B$3&gt;=115</f>
        <v/>
      </c>
      <c r="D128">
        <f>IF(Skills!C17=1,60+Inputs!$B$25+Inputs!$B$29,IF(Skills!C17=2,90+Inputs!$B$26+Inputs!$B$29,IF(Skills!C17=3,120+Inputs!$B$27+Inputs!$B$29,MAX(0,(Inputs!$B$3-100)*3)+Inputs!$B$28+Inputs!$B$29)))</f>
        <v/>
      </c>
      <c r="E128">
        <f>INDEX(FactorTable!$B$2:$Y$301, MATCH(ROUND(MIN(300,MAX(1,D128)),0), FactorTable!$A$2:$A$301,0), Skills!M17+1)</f>
        <v/>
      </c>
      <c r="F128">
        <f>IF(Skills!N17=TRUE,(Skills!L17/10)*(E128/1000),Skills!L17/10)+Skills!O17</f>
        <v/>
      </c>
      <c r="G128">
        <f>Skills!G17*IF(Skills!H17&gt;0,Skills!I17/Skills!H17,1)</f>
        <v/>
      </c>
      <c r="H128">
        <f>1-(1-Skills!J17/100)^Skills!K17</f>
        <v/>
      </c>
      <c r="I128" t="inlineStr">
        <is>
          <t>1</t>
        </is>
      </c>
      <c r="J128" t="inlineStr"/>
      <c r="K128" t="inlineStr"/>
      <c r="L128" t="inlineStr"/>
      <c r="M128" t="inlineStr"/>
      <c r="N128" t="inlineStr"/>
      <c r="O128">
        <f>(1-Summary!$B$11)*T128+Summary!$B$11*V128</f>
        <v/>
      </c>
      <c r="P128">
        <f>IF(B148=0,0,O128/B148)</f>
        <v/>
      </c>
      <c r="Q128">
        <f>IFERROR(1/(IF(Inputs!$B$38="pvp",15,MAX(0.1,Skills!D17-IF(Skills!E17=TRUE,Inputs!$B$32,0)))*(1-IF(AND(ArtifactsInput!$M$27,Inputs!$B$4="Chapter Hunt"),CHOOSE(ArtifactsInput!$N$27+1,20,24,28,32,36,40),0)/100)),0)</f>
        <v/>
      </c>
      <c r="R128">
        <f>IF(AND(Inputs!$B$38&lt;&gt;"pvp",Inputs!$B$43&gt;0),IF(Inputs!$B$43&lt;=0,0,(INT(Inputs!$B$43/(IF(Inputs!$B$38="pvp",15,MAX(0.1,Skills!D17-IF(Skills!E17=TRUE,Inputs!$B$32,0)))*(1-IF(AND(ArtifactsInput!$M$27,Inputs!$B$4="Chapter Hunt"),CHOOSE(ArtifactsInput!$N$27+1,20,24,28,32,36,40),0)/100)))+1)),0)</f>
        <v/>
      </c>
      <c r="S128">
        <f>IFERROR(O128/N128,0)</f>
        <v/>
      </c>
      <c r="T128" t="n">
        <v>0</v>
      </c>
      <c r="V128" t="n">
        <v>0</v>
      </c>
    </row>
    <row r="129">
      <c r="A129">
        <f>Skills!A18</f>
        <v/>
      </c>
      <c r="B129">
        <f>Skills!B18</f>
        <v/>
      </c>
      <c r="C129">
        <f>Inputs!$B$3&gt;=74</f>
        <v/>
      </c>
      <c r="D129">
        <f>IF(Skills!C18=1,60+Inputs!$B$25+Inputs!$B$29,IF(Skills!C18=2,90+Inputs!$B$26+Inputs!$B$29,IF(Skills!C18=3,120+Inputs!$B$27+Inputs!$B$29,MAX(0,(Inputs!$B$3-100)*3)+Inputs!$B$28+Inputs!$B$29)))</f>
        <v/>
      </c>
      <c r="E129">
        <f>INDEX(FactorTable!$B$2:$Y$301, MATCH(ROUND(MIN(300,MAX(1,D129)),0), FactorTable!$A$2:$A$301,0), Skills!M18+1)</f>
        <v/>
      </c>
      <c r="F129">
        <f>IF(Skills!N18=TRUE,(Skills!L18/10)*(E129/1000),Skills!L18/10)+Skills!O18</f>
        <v/>
      </c>
      <c r="G129">
        <f>Skills!G18*IF(Skills!H18&gt;0,Skills!I18/Skills!H18,1)</f>
        <v/>
      </c>
      <c r="H129">
        <f>1-(1-Skills!J18/100)^Skills!K18</f>
        <v/>
      </c>
      <c r="I129" t="inlineStr">
        <is>
          <t>1</t>
        </is>
      </c>
      <c r="J129" t="inlineStr"/>
      <c r="K129" t="inlineStr"/>
      <c r="L129" t="inlineStr"/>
      <c r="M129" t="inlineStr"/>
      <c r="N129" t="inlineStr"/>
      <c r="O129">
        <f>(1-Summary!$B$11)*T129+Summary!$B$11*V129</f>
        <v/>
      </c>
      <c r="P129">
        <f>IF(B148=0,0,O129/B148)</f>
        <v/>
      </c>
      <c r="Q129">
        <f>IFERROR(1/(IF(Inputs!$B$38="pvp",15,MAX(0.1,Skills!D18-IF(Skills!E18=TRUE,Inputs!$B$32,0)))*(1-IF(AND(ArtifactsInput!$M$27,Inputs!$B$4="Chapter Hunt"),CHOOSE(ArtifactsInput!$N$27+1,20,24,28,32,36,40),0)/100)),0)</f>
        <v/>
      </c>
      <c r="R129">
        <f>IF(AND(Inputs!$B$38&lt;&gt;"pvp",Inputs!$B$43&gt;0),IF(Inputs!$B$43&lt;=0,0,(INT(Inputs!$B$43/(IF(Inputs!$B$38="pvp",15,MAX(0.1,Skills!D18-IF(Skills!E18=TRUE,Inputs!$B$32,0)))*(1-IF(AND(ArtifactsInput!$M$27,Inputs!$B$4="Chapter Hunt"),CHOOSE(ArtifactsInput!$N$27+1,20,24,28,32,36,40),0)/100)))+1)),0)</f>
        <v/>
      </c>
      <c r="S129">
        <f>IFERROR(O129/N129,0)</f>
        <v/>
      </c>
      <c r="T129" t="n">
        <v>0</v>
      </c>
      <c r="V129" t="n">
        <v>0</v>
      </c>
    </row>
    <row r="130">
      <c r="A130">
        <f>Skills!A19</f>
        <v/>
      </c>
      <c r="B130">
        <f>Skills!B19</f>
        <v/>
      </c>
      <c r="C130">
        <f>TRUE</f>
        <v/>
      </c>
      <c r="D130">
        <f>IF(Skills!C19=1,60+Inputs!$B$25+Inputs!$B$29,IF(Skills!C19=2,90+Inputs!$B$26+Inputs!$B$29,IF(Skills!C19=3,120+Inputs!$B$27+Inputs!$B$29,MAX(0,(Inputs!$B$3-100)*3)+Inputs!$B$28+Inputs!$B$29)))</f>
        <v/>
      </c>
      <c r="E130">
        <f>INDEX(FactorTable!$B$2:$Y$301, MATCH(ROUND(MIN(300,MAX(1,D130)),0), FactorTable!$A$2:$A$301,0), Skills!M19+1)</f>
        <v/>
      </c>
      <c r="F130">
        <f>IF(Skills!N19=TRUE,(Skills!L19/10)*(E130/1000),Skills!L19/10)+Skills!O19</f>
        <v/>
      </c>
      <c r="G130">
        <f>Skills!G19*IF(Skills!H19&gt;0,Skills!I19/Skills!H19,1)</f>
        <v/>
      </c>
      <c r="H130">
        <f>1-(1-Skills!J19/100)^Skills!K19</f>
        <v/>
      </c>
      <c r="I130" t="inlineStr">
        <is>
          <t>1</t>
        </is>
      </c>
      <c r="J130" t="inlineStr"/>
      <c r="K130" t="inlineStr"/>
      <c r="L130" t="inlineStr"/>
      <c r="M130" t="inlineStr"/>
      <c r="N130" t="inlineStr"/>
      <c r="O130">
        <f>(1-Summary!$B$11)*T130+Summary!$B$11*V130</f>
        <v/>
      </c>
      <c r="P130">
        <f>IF(B148=0,0,O130/B148)</f>
        <v/>
      </c>
      <c r="Q130">
        <f>IFERROR(1/(IF(Inputs!$B$38="pvp",15,MAX(0.1,Skills!D19-IF(Skills!E19=TRUE,Inputs!$B$32,0)))*(1-IF(AND(ArtifactsInput!$M$27,Inputs!$B$4="Chapter Hunt"),CHOOSE(ArtifactsInput!$N$27+1,20,24,28,32,36,40),0)/100)),0)</f>
        <v/>
      </c>
      <c r="R130">
        <f>IF(AND(Inputs!$B$38&lt;&gt;"pvp",Inputs!$B$43&gt;0),IF(Inputs!$B$43&lt;=0,0,(INT(Inputs!$B$43/(IF(Inputs!$B$38="pvp",15,MAX(0.1,Skills!D19-IF(Skills!E19=TRUE,Inputs!$B$32,0)))*(1-IF(AND(ArtifactsInput!$M$27,Inputs!$B$4="Chapter Hunt"),CHOOSE(ArtifactsInput!$N$27+1,20,24,28,32,36,40),0)/100)))+1)),0)</f>
        <v/>
      </c>
      <c r="S130">
        <f>IFERROR(O130/N130,0)</f>
        <v/>
      </c>
      <c r="T130" t="n">
        <v>0</v>
      </c>
      <c r="V130" t="n">
        <v>0</v>
      </c>
    </row>
    <row r="131">
      <c r="A131">
        <f>Skills!A20</f>
        <v/>
      </c>
      <c r="B131">
        <f>Skills!B20</f>
        <v/>
      </c>
      <c r="C131">
        <f>Inputs!$B$3&gt;=33</f>
        <v/>
      </c>
      <c r="D131">
        <f>IF(Skills!C20=1,60+Inputs!$B$25+Inputs!$B$29,IF(Skills!C20=2,90+Inputs!$B$26+Inputs!$B$29,IF(Skills!C20=3,120+Inputs!$B$27+Inputs!$B$29,MAX(0,(Inputs!$B$3-100)*3)+Inputs!$B$28+Inputs!$B$29)))</f>
        <v/>
      </c>
      <c r="E131">
        <f>INDEX(FactorTable!$B$2:$Y$301, MATCH(ROUND(MIN(300,MAX(1,D131)),0), FactorTable!$A$2:$A$301,0), Skills!M20+1)</f>
        <v/>
      </c>
      <c r="F131">
        <f>IF(Skills!N20=TRUE,(Skills!L20/10)*(E131/1000),Skills!L20/10)+Skills!O20</f>
        <v/>
      </c>
      <c r="G131">
        <f>Skills!G20*IF(Skills!H20&gt;0,Skills!I20/Skills!H20,1)</f>
        <v/>
      </c>
      <c r="H131">
        <f>1-(1-Skills!J20/100)^Skills!K20</f>
        <v/>
      </c>
      <c r="I131" t="inlineStr">
        <is>
          <t>1</t>
        </is>
      </c>
      <c r="J131" t="inlineStr"/>
      <c r="K131" t="inlineStr"/>
      <c r="L131" t="inlineStr"/>
      <c r="M131" t="inlineStr"/>
      <c r="N131" t="inlineStr"/>
      <c r="O131">
        <f>(1-Summary!$B$11)*T131+Summary!$B$11*V131</f>
        <v/>
      </c>
      <c r="P131">
        <f>IF(B148=0,0,O131/B148)</f>
        <v/>
      </c>
      <c r="Q131" t="n">
        <v>0</v>
      </c>
      <c r="R131" t="n">
        <v>0</v>
      </c>
      <c r="S131">
        <f>IFERROR(O131/N131,0)</f>
        <v/>
      </c>
      <c r="T131" t="n">
        <v>0</v>
      </c>
      <c r="V131" t="n">
        <v>0</v>
      </c>
    </row>
    <row r="132">
      <c r="A132">
        <f>Skills!A21</f>
        <v/>
      </c>
      <c r="B132">
        <f>Skills!B21</f>
        <v/>
      </c>
      <c r="C132">
        <f>Inputs!$B$3&gt;=38</f>
        <v/>
      </c>
      <c r="D132">
        <f>IF(Skills!C21=1,60+Inputs!$B$25+Inputs!$B$29,IF(Skills!C21=2,90+Inputs!$B$26+Inputs!$B$29,IF(Skills!C21=3,120+Inputs!$B$27+Inputs!$B$29,MAX(0,(Inputs!$B$3-100)*3)+Inputs!$B$28+Inputs!$B$29)))</f>
        <v/>
      </c>
      <c r="E132">
        <f>INDEX(FactorTable!$B$2:$Y$301, MATCH(ROUND(MIN(300,MAX(1,D132)),0), FactorTable!$A$2:$A$301,0), Skills!M21+1)</f>
        <v/>
      </c>
      <c r="F132">
        <f>IF(Skills!N21=TRUE,(Skills!L21/10)*(E132/1000),Skills!L21/10)+Skills!O21</f>
        <v/>
      </c>
      <c r="G132">
        <f>Skills!G21*IF(Skills!H21&gt;0,Skills!I21/Skills!H21,1)</f>
        <v/>
      </c>
      <c r="H132">
        <f>1-(1-Skills!J21/100)^Skills!K21</f>
        <v/>
      </c>
      <c r="I132" t="inlineStr">
        <is>
          <t>1</t>
        </is>
      </c>
      <c r="J132" t="inlineStr"/>
      <c r="K132" t="inlineStr"/>
      <c r="L132" t="inlineStr"/>
      <c r="M132" t="inlineStr"/>
      <c r="N132" t="inlineStr"/>
      <c r="O132">
        <f>(1-Summary!$B$11)*T132+Summary!$B$11*V132</f>
        <v/>
      </c>
      <c r="P132">
        <f>IF(B148=0,0,O132/B148)</f>
        <v/>
      </c>
      <c r="Q132" t="n">
        <v>0</v>
      </c>
      <c r="R132" t="n">
        <v>0</v>
      </c>
      <c r="S132">
        <f>IFERROR(O132/N132,0)</f>
        <v/>
      </c>
      <c r="T132" t="n">
        <v>0</v>
      </c>
      <c r="V132" t="n">
        <v>0</v>
      </c>
    </row>
    <row r="133">
      <c r="A133">
        <f>Skills!A22</f>
        <v/>
      </c>
      <c r="B133">
        <f>Skills!B22</f>
        <v/>
      </c>
      <c r="C133">
        <f>Inputs!$B$3&gt;=43</f>
        <v/>
      </c>
      <c r="D133">
        <f>IF(Skills!C22=1,60+Inputs!$B$25+Inputs!$B$29,IF(Skills!C22=2,90+Inputs!$B$26+Inputs!$B$29,IF(Skills!C22=3,120+Inputs!$B$27+Inputs!$B$29,MAX(0,(Inputs!$B$3-100)*3)+Inputs!$B$28+Inputs!$B$29)))</f>
        <v/>
      </c>
      <c r="E133">
        <f>INDEX(FactorTable!$B$2:$Y$301, MATCH(ROUND(MIN(300,MAX(1,D133)),0), FactorTable!$A$2:$A$301,0), Skills!M22+1)</f>
        <v/>
      </c>
      <c r="F133">
        <f>IF(Skills!N22=TRUE,(Skills!L22/10)*(E133/1000),Skills!L22/10)+Skills!O22</f>
        <v/>
      </c>
      <c r="G133">
        <f>Skills!G22*IF(Skills!H22&gt;0,Skills!I22/Skills!H22,1)</f>
        <v/>
      </c>
      <c r="H133">
        <f>1-(1-Skills!J22/100)^Skills!K22</f>
        <v/>
      </c>
      <c r="I133" t="inlineStr">
        <is>
          <t>1</t>
        </is>
      </c>
      <c r="J133" t="inlineStr"/>
      <c r="K133" t="inlineStr"/>
      <c r="L133" t="inlineStr"/>
      <c r="M133" t="inlineStr"/>
      <c r="N133" t="inlineStr"/>
      <c r="O133">
        <f>(1-Summary!$B$11)*T133+Summary!$B$11*V133</f>
        <v/>
      </c>
      <c r="P133">
        <f>IF(B148=0,0,O133/B148)</f>
        <v/>
      </c>
      <c r="Q133" t="n">
        <v>0</v>
      </c>
      <c r="R133" t="n">
        <v>0</v>
      </c>
      <c r="S133">
        <f>IFERROR(O133/N133,0)</f>
        <v/>
      </c>
      <c r="T133" t="n">
        <v>0</v>
      </c>
      <c r="V133" t="n">
        <v>0</v>
      </c>
    </row>
    <row r="134">
      <c r="A134">
        <f>Skills!A23</f>
        <v/>
      </c>
      <c r="B134">
        <f>Skills!B23</f>
        <v/>
      </c>
      <c r="C134">
        <f>Inputs!$B$3&gt;=120</f>
        <v/>
      </c>
      <c r="D134">
        <f>IF(Skills!C23=1,60+Inputs!$B$25+Inputs!$B$29,IF(Skills!C23=2,90+Inputs!$B$26+Inputs!$B$29,IF(Skills!C23=3,120+Inputs!$B$27+Inputs!$B$29,MAX(0,(Inputs!$B$3-100)*3)+Inputs!$B$28+Inputs!$B$29)))</f>
        <v/>
      </c>
      <c r="E134">
        <f>INDEX(FactorTable!$B$2:$Y$301, MATCH(ROUND(MIN(300,MAX(1,D134)),0), FactorTable!$A$2:$A$301,0), Skills!M23+1)</f>
        <v/>
      </c>
      <c r="F134">
        <f>IF(Skills!N23=TRUE,(Skills!L23/10)*(E134/1000),Skills!L23/10)+Skills!O23</f>
        <v/>
      </c>
      <c r="G134">
        <f>Skills!G23*IF(Skills!H23&gt;0,Skills!I23/Skills!H23,1)</f>
        <v/>
      </c>
      <c r="H134">
        <f>1-(1-Skills!J23/100)^Skills!K23</f>
        <v/>
      </c>
      <c r="I134" t="inlineStr">
        <is>
          <t>1</t>
        </is>
      </c>
      <c r="J134" t="inlineStr"/>
      <c r="K134" t="inlineStr"/>
      <c r="L134" t="inlineStr"/>
      <c r="M134" t="inlineStr"/>
      <c r="N134" t="inlineStr"/>
      <c r="O134">
        <f>(1-Summary!$B$11)*T134+Summary!$B$11*V134</f>
        <v/>
      </c>
      <c r="P134">
        <f>IF(B148=0,0,O134/B148)</f>
        <v/>
      </c>
      <c r="Q134" t="n">
        <v>0</v>
      </c>
      <c r="R134" t="n">
        <v>0</v>
      </c>
      <c r="S134">
        <f>IFERROR(O134/N134,0)</f>
        <v/>
      </c>
      <c r="T134" t="n">
        <v>0</v>
      </c>
      <c r="V134" t="n">
        <v>0</v>
      </c>
    </row>
    <row r="135">
      <c r="A135">
        <f>Skills!A24</f>
        <v/>
      </c>
      <c r="B135">
        <f>Skills!B24</f>
        <v/>
      </c>
      <c r="C135">
        <f>Inputs!$B$3&gt;=120</f>
        <v/>
      </c>
      <c r="D135">
        <f>IF(Skills!C24=1,60+Inputs!$B$25+Inputs!$B$29,IF(Skills!C24=2,90+Inputs!$B$26+Inputs!$B$29,IF(Skills!C24=3,120+Inputs!$B$27+Inputs!$B$29,MAX(0,(Inputs!$B$3-100)*3)+Inputs!$B$28+Inputs!$B$29)))</f>
        <v/>
      </c>
      <c r="E135">
        <f>INDEX(FactorTable!$B$2:$Y$301, MATCH(ROUND(MIN(300,MAX(1,D135)),0), FactorTable!$A$2:$A$301,0), Skills!M24+1)</f>
        <v/>
      </c>
      <c r="F135">
        <f>IF(Skills!N24=TRUE,(Skills!L24/10)*(E135/1000),Skills!L24/10)+Skills!O24</f>
        <v/>
      </c>
      <c r="G135">
        <f>Skills!G24*IF(Skills!H24&gt;0,Skills!I24/Skills!H24,1)</f>
        <v/>
      </c>
      <c r="H135">
        <f>1-(1-Skills!J24/100)^Skills!K24</f>
        <v/>
      </c>
      <c r="I135" t="inlineStr">
        <is>
          <t>1</t>
        </is>
      </c>
      <c r="J135" t="inlineStr"/>
      <c r="K135" t="inlineStr"/>
      <c r="L135" t="inlineStr"/>
      <c r="M135" t="inlineStr"/>
      <c r="N135" t="inlineStr"/>
      <c r="O135">
        <f>(1-Summary!$B$11)*T135+Summary!$B$11*V135</f>
        <v/>
      </c>
      <c r="P135">
        <f>IF(B148=0,0,O135/B148)</f>
        <v/>
      </c>
      <c r="Q135" t="n">
        <v>0</v>
      </c>
      <c r="R135" t="n">
        <v>0</v>
      </c>
      <c r="S135">
        <f>IFERROR(O135/N135,0)</f>
        <v/>
      </c>
      <c r="T135" t="n">
        <v>0</v>
      </c>
      <c r="V135" t="n">
        <v>0</v>
      </c>
    </row>
    <row r="137">
      <c r="A137" t="inlineStr">
        <is>
          <t>Attack% Bucket Multiplier</t>
        </is>
      </c>
      <c r="B137">
        <f>(1+(((C124=TRUE)*F124*MIN(1,Skills!T13*(Skills!J13/100)*B142))+((C129=TRUE)*F129*IF(AND(Inputs!$B$38&lt;&gt;"pvp",Inputs!$B$43&gt;0),(((R129-1)*(Skills!T18*(1+Inputs!$B$34/100))+MIN((Skills!T18*(1+Inputs!$B$34/100)),MAX(0,Inputs!$B$43-((R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8">
      <c r="A138" t="inlineStr">
        <is>
          <t>Global Crit Rate Bonus %</t>
        </is>
      </c>
      <c r="B138" t="n">
        <v>0</v>
      </c>
    </row>
    <row r="139">
      <c r="A139" t="inlineStr">
        <is>
          <t>Attack Speed Buff Bonus %</t>
        </is>
      </c>
      <c r="B139">
        <f>((C130=TRUE)*F130*IF(AND(Inputs!$B$38&lt;&gt;"pvp",Inputs!$B$43&gt;0),(((R130-1)*(Skills!T19*(1+Inputs!$B$34/100))+MIN((Skills!T19*(1+Inputs!$B$34/100)),MAX(0,Inputs!$B$43-((R130-1)*Skills!D19))))/Inputs!$B$43),IF(Inputs!$B$38="pvp",MIN((Skills!T19*(1+Inputs!$B$34/100)),15)/15,(Skills!T19*(1+Inputs!$B$34/100))/Skills!D19)))</f>
        <v/>
      </c>
    </row>
    <row r="140">
      <c r="A140" t="inlineStr">
        <is>
          <t>Actions Per Second</t>
        </is>
      </c>
      <c r="B140">
        <f>1+MIN(150,150*(1-(1-(Inputs!$B$11+((C131=TRUE)*(F131-Calc!F20)))/150)*(1-B139/150)))/100</f>
        <v/>
      </c>
    </row>
    <row r="141">
      <c r="A141" t="inlineStr">
        <is>
          <t>Skill + Buff Cast Rate</t>
        </is>
      </c>
      <c r="B141">
        <f>IF(AND(Inputs!$B$38&lt;&gt;"pvp",Inputs!$B$43&gt;0),SUMPRODUCT((Skills!E2:E24=TRUE)*(C113:C135=TRUE)*R113:R135*Skills!F2:F24)/Inputs!$B$43,SUMPRODUCT((Skills!E2:E24=TRUE)*(C113:C135=TRUE)*Q113:Q135*Skills!F2:F24))</f>
        <v/>
      </c>
    </row>
    <row r="142">
      <c r="A142" t="inlineStr">
        <is>
          <t>Blast Casts Per Second</t>
        </is>
      </c>
      <c r="B142">
        <f>MAX(0,B140-B141)</f>
        <v/>
      </c>
    </row>
    <row r="143">
      <c r="A143" t="inlineStr">
        <is>
          <t>Global Critical Damage Bonus % (unused)</t>
        </is>
      </c>
      <c r="B143" t="n">
        <v>0</v>
      </c>
    </row>
    <row r="144">
      <c r="A144" t="inlineStr">
        <is>
          <t>Global Final Damage Bonus % (Divine Shield + Guardian + Divine Blessing + Greater Vessel of Light)</t>
        </is>
      </c>
      <c r="B144">
        <f>((C126=TRUE)*F126*IF(AND(Inputs!$B$38&lt;&gt;"pvp",Inputs!$B$43&gt;0),(((R126-1)*(Skills!T15*(1+Inputs!$B$34/100))+MIN((Skills!T15*(1+Inputs!$B$34/100)),MAX(0,Inputs!$B$43-((R126-1)*Skills!D15))))/Inputs!$B$43),IF(Inputs!$B$38="pvp",MIN((Skills!T15*(1+Inputs!$B$34/100)),15)/15,(Skills!T15*(1+Inputs!$B$34/100))/Skills!D15)))+((C127=TRUE)*F127*IF(AND(Inputs!$B$38&lt;&gt;"pvp",Inputs!$B$43&gt;0),(((R127-1)*(Skills!T16*(1+Inputs!$B$34/100))+MIN((Skills!T16*(1+Inputs!$B$34/100)),MAX(0,Inputs!$B$43-((R127-1)*Skills!D16))))/Inputs!$B$43),IF(Inputs!$B$38="pvp",MIN((Skills!T16*(1+Inputs!$B$34/100)),15)/15,(Skills!T16*(1+Inputs!$B$34/100))/Skills!D16)))+((C128=TRUE)*F128*IF(AND(Inputs!$B$38&lt;&gt;"pvp",Inputs!$B$43&gt;0),(((R128-1)*(Skills!T17*(1+Inputs!$B$34/100))+MIN((Skills!T17*(1+Inputs!$B$34/100)),MAX(0,Inputs!$B$43-((R128-1)*Skills!D17))))/Inputs!$B$43),IF(Inputs!$B$38="pvp",MIN((Skills!T17*(1+Inputs!$B$34/100)),15)/15,(Skills!T17*(1+Inputs!$B$34/100))/Skills!D17)))+((C125=TRUE)*F125*MIN(1,Skills!T13*(Skills!J13/100)*B142))</f>
        <v/>
      </c>
    </row>
    <row r="145">
      <c r="A145" t="inlineStr">
        <is>
          <t>Buff-Casting Startup Delay (s, fixed-duration only)</t>
        </is>
      </c>
      <c r="B145">
        <f>IF(AND(Inputs!$B$38&lt;&gt;"pvp",Inputs!$B$43&gt;0),SUMPRODUCT((Skills!T2:T24&gt;0)*(Skills!E2:E24=TRUE)*(C113:C135=TRUE))/B140,0)</f>
        <v/>
      </c>
    </row>
    <row r="146">
      <c r="A146" t="inlineStr">
        <is>
          <t>Boss-Only Total DPS (this block's swept value)</t>
        </is>
      </c>
      <c r="B146">
        <f>SUM(T113:T135)</f>
        <v/>
      </c>
    </row>
    <row r="147">
      <c r="A147" t="inlineStr">
        <is>
          <t>Normal-Only Total DPS (this block's swept value)</t>
        </is>
      </c>
      <c r="B147">
        <f>SUM(V113:V135)</f>
        <v/>
      </c>
    </row>
    <row r="148">
      <c r="A148" s="6" t="inlineStr">
        <is>
          <t>TOTAL DPS</t>
        </is>
      </c>
      <c r="B148" s="6">
        <f>SUM(O113:O135)</f>
        <v/>
      </c>
    </row>
    <row r="151">
      <c r="A151" s="6" t="inlineStr">
        <is>
          <t>Stat: DEX</t>
        </is>
      </c>
    </row>
    <row r="152">
      <c r="A152" s="5" t="inlineStr">
        <is>
          <t>Key</t>
        </is>
      </c>
      <c r="B152" s="5" t="inlineStr">
        <is>
          <t>Name</t>
        </is>
      </c>
      <c r="C152" s="5" t="inlineStr">
        <is>
          <t>Unlocked</t>
        </is>
      </c>
      <c r="D152" s="5" t="inlineStr">
        <is>
          <t>InputLevel</t>
        </is>
      </c>
      <c r="E152" s="5" t="inlineStr">
        <is>
          <t>Factor</t>
        </is>
      </c>
      <c r="F152" s="5" t="inlineStr">
        <is>
          <t>CoefficientPercent</t>
        </is>
      </c>
      <c r="G152" s="5" t="inlineStr">
        <is>
          <t>EffectiveHits</t>
        </is>
      </c>
      <c r="H152" s="5" t="inlineStr">
        <is>
          <t>ProcProbability</t>
        </is>
      </c>
      <c r="I152" s="5" t="inlineStr">
        <is>
          <t>MapleHeroMultiplier</t>
        </is>
      </c>
      <c r="J152" s="5" t="inlineStr">
        <is>
          <t>BaseDamage</t>
        </is>
      </c>
      <c r="K152" s="5" t="inlineStr">
        <is>
          <t>BaseHitDamage</t>
        </is>
      </c>
      <c r="L152" s="5" t="inlineStr">
        <is>
          <t>NonCritAvg</t>
        </is>
      </c>
      <c r="M152" s="5" t="inlineStr">
        <is>
          <t>CritAvg</t>
        </is>
      </c>
      <c r="N152" s="5" t="inlineStr">
        <is>
          <t>ExpectedDamage(perHit)</t>
        </is>
      </c>
      <c r="O152" s="5" t="inlineStr">
        <is>
          <t>DPS</t>
        </is>
      </c>
      <c r="P152" s="5" t="inlineStr">
        <is>
          <t>% of Total</t>
        </is>
      </c>
      <c r="Q152" s="5" t="inlineStr">
        <is>
          <t>InvCooldown</t>
        </is>
      </c>
      <c r="R152" s="5" t="inlineStr">
        <is>
          <t>CastsInFight</t>
        </is>
      </c>
      <c r="S152" s="5" t="inlineStr">
        <is>
          <t>HitRate(perSec)</t>
        </is>
      </c>
      <c r="U152" t="inlineStr">
        <is>
          <t>helpers</t>
        </is>
      </c>
    </row>
    <row r="153">
      <c r="A153">
        <f>Skills!A2</f>
        <v/>
      </c>
      <c r="B153">
        <f>Skills!B2</f>
        <v/>
      </c>
      <c r="C153">
        <f>Inputs!$B$3&gt;=100</f>
        <v/>
      </c>
      <c r="D153" t="inlineStr"/>
      <c r="E153" t="inlineStr"/>
      <c r="F153">
        <f>U155+Skills!O2</f>
        <v/>
      </c>
      <c r="G153">
        <f>Skills!G2*IF(Skills!H2&gt;0,Skills!I2/Skills!H2,1)</f>
        <v/>
      </c>
      <c r="H153">
        <f>1-(1-Skills!J2/100)^Skills!K2</f>
        <v/>
      </c>
      <c r="I153" t="inlineStr">
        <is>
          <t>1</t>
        </is>
      </c>
      <c r="J153">
        <f>((Inputs!$B$6*(1+Inputs!$B$7/100))+(((Inputs!$B$12*(1+Inputs!$B$13/100))-(Inputs!$B$12*(1+Inputs!$B$13/100)))+0.25*((Inputs!$B$14+1)-Inputs!$B$14))*(1+Inputs!$B$7/100))*(F153/100)</f>
        <v/>
      </c>
      <c r="K153">
        <f>J153*(1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153)</f>
        <v/>
      </c>
      <c r="L153">
        <f>K153*(MIN(Inputs!$B$22+((C173=TRUE)*(F173-Calc!F22)),(Inputs!$B$23+((C175=TRUE)*(F175-Calc!F24))+(IF(ArtifactsInput!$M$15,CHOOSE(ArtifactsInput!$N$15+1,25,30,35,40,45,50)/100*(Inputs!$B$11-Inputs!$B$11),0))))/100+(Inputs!$B$23+((C175=TRUE)*(F175-Calc!F24))+(IF(ArtifactsInput!$M$15,CHOOSE(ArtifactsInput!$N$15+1,25,30,35,40,45,50)/100*(Inputs!$B$11-Inputs!$B$11),0)))/100)/2</f>
        <v/>
      </c>
      <c r="M153">
        <f>L153*(1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3">
        <f>L153*(1-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153*(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3">
        <f>(1-Summary!$B$11)*T153+Summary!$B$11*V153</f>
        <v/>
      </c>
      <c r="P153">
        <f>IF(B188=0,0,O153/B188)</f>
        <v/>
      </c>
      <c r="Q153" t="n">
        <v>0</v>
      </c>
      <c r="R153" t="n">
        <v>0</v>
      </c>
      <c r="S153">
        <f>IFERROR(O153/N153,0)</f>
        <v/>
      </c>
      <c r="T153">
        <f>IF(C153,(Skills!G2*N153*B182)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153*(1-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153*(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153*(1-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153*(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3">
        <f>MAX(0,(Inputs!$B$3-100)*3)+Inputs!$B$28+Inputs!$B$29</f>
        <v/>
      </c>
      <c r="V153">
        <f>IF(C153,(Skills!G2*N153*B182)*IF(Inputs!$B$38="pvp",1,(1+(Inputs!$B$21+Skills!Q2+(IF(ArtifactsInput!$M$33,CHOOSE(ArtifactsInput!$N$33+1,30,36,42,48,54,60),0))+(IF(AND(ArtifactsInput!$M$35,Inputs!$B$4&lt;&gt;"Chapter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4">
      <c r="A154">
        <f>Skills!A3</f>
        <v/>
      </c>
      <c r="B154">
        <f>Skills!B3</f>
        <v/>
      </c>
      <c r="C154">
        <f>Inputs!$B$3&gt;=50</f>
        <v/>
      </c>
      <c r="D154">
        <f>IF(Skills!C3=1,60+Inputs!$B$25+Inputs!$B$29,IF(Skills!C3=2,90+Inputs!$B$26+Inputs!$B$29,IF(Skills!C3=3,120+Inputs!$B$27+Inputs!$B$29,MAX(0,(Inputs!$B$3-100)*3)+Inputs!$B$28+Inputs!$B$29)))</f>
        <v/>
      </c>
      <c r="E154">
        <f>INDEX(FactorTable!$B$2:$Y$301, MATCH(ROUND(MIN(300,MAX(1,D154)),0), FactorTable!$A$2:$A$301,0), Skills!M3+1)</f>
        <v/>
      </c>
      <c r="F154">
        <f>IF(Skills!N3=TRUE,(Skills!L3/10)*(E154/1000),Skills!L3/10)+Skills!O3</f>
        <v/>
      </c>
      <c r="G154" t="inlineStr"/>
      <c r="H154" t="inlineStr"/>
      <c r="I154" t="inlineStr">
        <is>
          <t>1</t>
        </is>
      </c>
      <c r="J154" t="inlineStr"/>
      <c r="K154" t="inlineStr"/>
      <c r="L154" t="inlineStr"/>
      <c r="M154" t="inlineStr"/>
      <c r="N154" t="inlineStr"/>
      <c r="O154" t="inlineStr"/>
      <c r="P154" t="inlineStr"/>
      <c r="Q154" t="inlineStr"/>
      <c r="R154" t="inlineStr"/>
      <c r="S154" t="inlineStr"/>
      <c r="U154">
        <f>INDEX(FactorTable!$B$2:$Y$301, MATCH(ROUND(MIN(300,MAX(1,U153)),0), FactorTable!$A$2:$A$301,0), 22)</f>
        <v/>
      </c>
    </row>
    <row r="155">
      <c r="A155">
        <f>Skills!A4</f>
        <v/>
      </c>
      <c r="B155">
        <f>Skills!B4</f>
        <v/>
      </c>
      <c r="C155">
        <f>Inputs!$B$3&gt;=35</f>
        <v/>
      </c>
      <c r="D155">
        <f>IF(Skills!C4=1,60+Inputs!$B$25+Inputs!$B$29,IF(Skills!C4=2,90+Inputs!$B$26+Inputs!$B$29,IF(Skills!C4=3,120+Inputs!$B$27+Inputs!$B$29,MAX(0,(Inputs!$B$3-100)*3)+Inputs!$B$28+Inputs!$B$29)))</f>
        <v/>
      </c>
      <c r="E155">
        <f>INDEX(FactorTable!$B$2:$Y$301, MATCH(ROUND(MIN(300,MAX(1,D155)),0), FactorTable!$A$2:$A$301,0), Skills!M4+1)</f>
        <v/>
      </c>
      <c r="F155">
        <f>IF(Skills!N4=TRUE,(Skills!L4/10)*(E155/1000),Skills!L4/10)+Skills!O4</f>
        <v/>
      </c>
      <c r="G155">
        <f>Skills!G4*IF(Skills!H4&gt;0,Skills!I4/Skills!H4,1)</f>
        <v/>
      </c>
      <c r="H155">
        <f>1-(1-Skills!J4/100)^Skills!K4</f>
        <v/>
      </c>
      <c r="I155" t="inlineStr">
        <is>
          <t>1</t>
        </is>
      </c>
      <c r="J155">
        <f>((Inputs!$B$6*(1+Inputs!$B$7/100))+(((Inputs!$B$12*(1+Inputs!$B$13/100))-(Inputs!$B$12*(1+Inputs!$B$13/100)))+0.25*((Inputs!$B$14+1)-Inputs!$B$14))*(1+Inputs!$B$7/100))*(F155/100)</f>
        <v/>
      </c>
      <c r="K155">
        <f>J155*(1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163=TRUE,F163,0)/100)*(1+(IF(Skills!A4="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f>
        <v/>
      </c>
      <c r="L155">
        <f>K155*(MIN(Inputs!$B$22+((C173=TRUE)*(F173-Calc!F22)),(Inputs!$B$23+((C175=TRUE)*(F175-Calc!F24))+(IF(ArtifactsInput!$M$15,CHOOSE(ArtifactsInput!$N$15+1,25,30,35,40,45,50)/100*(Inputs!$B$11-Inputs!$B$11),0))))/100+(Inputs!$B$23+((C175=TRUE)*(F175-Calc!F24))+(IF(ArtifactsInput!$M$15,CHOOSE(ArtifactsInput!$N$15+1,25,30,35,40,45,50)/100*(Inputs!$B$11-Inputs!$B$11),0)))/100)/2</f>
        <v/>
      </c>
      <c r="M155">
        <f>L155*(1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
        <f>L155*(1-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
        <f>(1-Summary!$B$11)*T155+Summary!$B$11*V155</f>
        <v/>
      </c>
      <c r="P155">
        <f>IF(B188=0,0,O155/B188)</f>
        <v/>
      </c>
      <c r="Q155">
        <f>IFERROR(1/(IF(Inputs!$B$38="pvp",15,MAX(0.1,Skills!D4-IF(Skills!E4=TRUE,Inputs!$B$32,0)))*(1-IF(AND(ArtifactsInput!$M$27,Inputs!$B$4="Chapter Hunt"),CHOOSE(ArtifactsInput!$N$27+1,20,24,28,32,36,40),0)/100)),0)</f>
        <v/>
      </c>
      <c r="R155">
        <f>IF(AND(Inputs!$B$38&lt;&gt;"pvp",Inputs!$B$43&gt;0),IF(MAX(0,Inputs!$B$43-B185)&lt;=0,0,(INT(MAX(0,Inputs!$B$43-B185)/(IF(Inputs!$B$38="pvp",15,MAX(0.1,Skills!D4-IF(Skills!E4=TRUE,Inputs!$B$32,0)))*(1-IF(AND(ArtifactsInput!$M$27,Inputs!$B$4="Chapter Hunt"),CHOOSE(ArtifactsInput!$N$27+1,20,24,28,32,36,40),0)/100)))+1)),0)</f>
        <v/>
      </c>
      <c r="S155">
        <f>IFERROR(O155/N155,0)</f>
        <v/>
      </c>
      <c r="T155">
        <f>IF(C155,(H155*N155*IF(AND(Inputs!$B$38&lt;&gt;"pvp",Inputs!$B$43&gt;0),((Skills!G4*((R155-1)*IF(Skills!H4&gt;0,Skills!I4/Skills!H4,1)+IF(Skills!H4&gt;0,MIN(Skills!I4,MAX(0,MAX(0,Inputs!$B$43-B185)-((R155-1)*(IF(Inputs!$B$38="pvp",15,MAX(0.1,Skills!D4-IF(Skills!E4=TRUE,Inputs!$B$32,0)))*(1-IF(AND(ArtifactsInput!$M$27,Inputs!$B$4="Chapter Hunt"),CHOOSE(ArtifactsInput!$N$27+1,20,24,28,32,36,40),0)/100)))))/Skills!H4,1)))/Inputs!$B$43),G155*Q155)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
        <f>290*U154/1000</f>
        <v/>
      </c>
      <c r="V155">
        <f>IF(C155,(H155*N155*IF(AND(Inputs!$B$38&lt;&gt;"pvp",Inputs!$B$43&gt;0),((Skills!G4*((R155-1)*IF(Skills!H4&gt;0,Skills!I4/Skills!H4,1)+IF(Skills!H4&gt;0,MIN(Skills!I4,MAX(0,MAX(0,Inputs!$B$43-B185)-((R155-1)*(IF(Inputs!$B$38="pvp",15,MAX(0.1,Skills!D4-IF(Skills!E4=TRUE,Inputs!$B$32,0)))*(1-IF(AND(ArtifactsInput!$M$27,Inputs!$B$4="Chapter Hunt"),CHOOSE(ArtifactsInput!$N$27+1,20,24,28,32,36,40),0)/100)))))/Skills!H4,1)))/Inputs!$B$43),G155*Q155))*IF(Inputs!$B$38="pvp",1,(1+(Inputs!$B$21+Skills!Q4+(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
      <c r="A156">
        <f>Skills!A5</f>
        <v/>
      </c>
      <c r="B156">
        <f>Skills!B5</f>
        <v/>
      </c>
      <c r="C156">
        <f>Inputs!$B$3&gt;=66</f>
        <v/>
      </c>
      <c r="D156">
        <f>IF(Skills!C5=1,60+Inputs!$B$25+Inputs!$B$29,IF(Skills!C5=2,90+Inputs!$B$26+Inputs!$B$29,IF(Skills!C5=3,120+Inputs!$B$27+Inputs!$B$29,MAX(0,(Inputs!$B$3-100)*3)+Inputs!$B$28+Inputs!$B$29)))</f>
        <v/>
      </c>
      <c r="E156">
        <f>INDEX(FactorTable!$B$2:$Y$301, MATCH(ROUND(MIN(300,MAX(1,D156)),0), FactorTable!$A$2:$A$301,0), Skills!M5+1)</f>
        <v/>
      </c>
      <c r="F156">
        <f>IF(Skills!N5=TRUE,(Skills!L5/10)*(E156/1000),Skills!L5/10)+Skills!O5</f>
        <v/>
      </c>
      <c r="G156">
        <f>Skills!G5*IF(Skills!H5&gt;0,Skills!I5/Skills!H5,1)</f>
        <v/>
      </c>
      <c r="H156">
        <f>1-(1-Skills!J5/100)^Skills!K5</f>
        <v/>
      </c>
      <c r="I156" t="inlineStr">
        <is>
          <t>1</t>
        </is>
      </c>
      <c r="J156">
        <f>((Inputs!$B$6*(1+Inputs!$B$7/100))+(((Inputs!$B$12*(1+Inputs!$B$13/100))-(Inputs!$B$12*(1+Inputs!$B$13/100)))+0.25*((Inputs!$B$14+1)-Inputs!$B$14))*(1+Inputs!$B$7/100))*(F156/100)</f>
        <v/>
      </c>
      <c r="K156">
        <f>J156*(1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163=TRUE,F163,0)/100)*(1+(IF(Skills!A5="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f>
        <v/>
      </c>
      <c r="L156">
        <f>K156*(MIN(Inputs!$B$22+((C173=TRUE)*(F173-Calc!F22)),(Inputs!$B$23+((C175=TRUE)*(F175-Calc!F24))+(IF(ArtifactsInput!$M$15,CHOOSE(ArtifactsInput!$N$15+1,25,30,35,40,45,50)/100*(Inputs!$B$11-Inputs!$B$11),0))))/100+(Inputs!$B$23+((C175=TRUE)*(F175-Calc!F24))+(IF(ArtifactsInput!$M$15,CHOOSE(ArtifactsInput!$N$15+1,25,30,35,40,45,50)/100*(Inputs!$B$11-Inputs!$B$11),0)))/100)/2</f>
        <v/>
      </c>
      <c r="M156">
        <f>L156*(1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
        <f>L156*(1-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
        <f>(1-Summary!$B$11)*T156+Summary!$B$11*V156</f>
        <v/>
      </c>
      <c r="P156">
        <f>IF(B188=0,0,O156/B188)</f>
        <v/>
      </c>
      <c r="Q156">
        <f>IFERROR(1/(IF(Inputs!$B$38="pvp",15,MAX(0.1,Skills!D5-IF(Skills!E5=TRUE,Inputs!$B$32,0)))*(1-IF(AND(ArtifactsInput!$M$27,Inputs!$B$4="Chapter Hunt"),CHOOSE(ArtifactsInput!$N$27+1,20,24,28,32,36,40),0)/100)),0)</f>
        <v/>
      </c>
      <c r="R156">
        <f>IF(AND(Inputs!$B$38&lt;&gt;"pvp",Inputs!$B$43&gt;0),IF(MAX(0,Inputs!$B$43-B185)&lt;=0,0,(INT(MAX(0,Inputs!$B$43-B185)/(IF(Inputs!$B$38="pvp",15,MAX(0.1,Skills!D5-IF(Skills!E5=TRUE,Inputs!$B$32,0)))*(1-IF(AND(ArtifactsInput!$M$27,Inputs!$B$4="Chapter Hunt"),CHOOSE(ArtifactsInput!$N$27+1,20,24,28,32,36,40),0)/100)))+1)),0)</f>
        <v/>
      </c>
      <c r="S156">
        <f>IFERROR(O156/N156,0)</f>
        <v/>
      </c>
      <c r="T156">
        <f>IF(C156,(H156*N156*IF(AND(Inputs!$B$38&lt;&gt;"pvp",Inputs!$B$43&gt;0),((Skills!G5*((R156-1)*IF(Skills!H5&gt;0,Skills!I5/Skills!H5,1)+IF(Skills!H5&gt;0,MIN(Skills!I5,MAX(0,MAX(0,Inputs!$B$43-B185)-((R156-1)*(IF(Inputs!$B$38="pvp",15,MAX(0.1,Skills!D5-IF(Skills!E5=TRUE,Inputs!$B$32,0)))*(1-IF(AND(ArtifactsInput!$M$27,Inputs!$B$4="Chapter Hunt"),CHOOSE(ArtifactsInput!$N$27+1,20,24,28,32,36,40),0)/100)))))/Skills!H5,1)))/Inputs!$B$43),G156*Q156)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
        <f>IF(C156,(H156*N156*IF(AND(Inputs!$B$38&lt;&gt;"pvp",Inputs!$B$43&gt;0),((Skills!G5*((R156-1)*IF(Skills!H5&gt;0,Skills!I5/Skills!H5,1)+IF(Skills!H5&gt;0,MIN(Skills!I5,MAX(0,MAX(0,Inputs!$B$43-B185)-((R156-1)*(IF(Inputs!$B$38="pvp",15,MAX(0.1,Skills!D5-IF(Skills!E5=TRUE,Inputs!$B$32,0)))*(1-IF(AND(ArtifactsInput!$M$27,Inputs!$B$4="Chapter Hunt"),CHOOSE(ArtifactsInput!$N$27+1,20,24,28,32,36,40),0)/100)))))/Skills!H5,1)))/Inputs!$B$43),G156*Q156))*IF(Inputs!$B$38="pvp",1,(1+(Inputs!$B$21+Skills!Q5+(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7">
      <c r="A157">
        <f>Skills!A6</f>
        <v/>
      </c>
      <c r="B157">
        <f>Skills!B6</f>
        <v/>
      </c>
      <c r="C157">
        <f>Inputs!$B$3&gt;=103</f>
        <v/>
      </c>
      <c r="D157">
        <f>IF(Skills!C6=1,60+Inputs!$B$25+Inputs!$B$29,IF(Skills!C6=2,90+Inputs!$B$26+Inputs!$B$29,IF(Skills!C6=3,120+Inputs!$B$27+Inputs!$B$29,MAX(0,(Inputs!$B$3-100)*3)+Inputs!$B$28+Inputs!$B$29)))</f>
        <v/>
      </c>
      <c r="E157">
        <f>INDEX(FactorTable!$B$2:$Y$301, MATCH(ROUND(MIN(300,MAX(1,D157)),0), FactorTable!$A$2:$A$301,0), Skills!M6+1)</f>
        <v/>
      </c>
      <c r="F157">
        <f>IF(Skills!N6=TRUE,(Skills!L6/10)*(E157/1000),Skills!L6/10)+Skills!O6</f>
        <v/>
      </c>
      <c r="G157">
        <f>Skills!G6*IF(Skills!H6&gt;0,Skills!I6/Skills!H6,1)</f>
        <v/>
      </c>
      <c r="H157">
        <f>1-(1-Skills!J6/100)^Skills!K6</f>
        <v/>
      </c>
      <c r="I157" t="inlineStr">
        <is>
          <t>1</t>
        </is>
      </c>
      <c r="J157">
        <f>((Inputs!$B$6*(1+Inputs!$B$7/100))+(((Inputs!$B$12*(1+Inputs!$B$13/100))-(Inputs!$B$12*(1+Inputs!$B$13/100)))+0.25*((Inputs!$B$14+1)-Inputs!$B$14))*(1+Inputs!$B$7/100))*(F157/100)</f>
        <v/>
      </c>
      <c r="K157">
        <f>J157*(1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f>
        <v/>
      </c>
      <c r="L157">
        <f>K157*(MIN(Inputs!$B$22+((C173=TRUE)*(F173-Calc!F22)),(Inputs!$B$23+((C175=TRUE)*(F175-Calc!F24))+(IF(ArtifactsInput!$M$15,CHOOSE(ArtifactsInput!$N$15+1,25,30,35,40,45,50)/100*(Inputs!$B$11-Inputs!$B$11),0))))/100+(Inputs!$B$23+((C175=TRUE)*(F175-Calc!F24))+(IF(ArtifactsInput!$M$15,CHOOSE(ArtifactsInput!$N$15+1,25,30,35,40,45,50)/100*(Inputs!$B$11-Inputs!$B$11),0)))/100)/2</f>
        <v/>
      </c>
      <c r="M157">
        <f>L157*(1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
        <f>L157*(1-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
        <f>(1-Summary!$B$11)*T157+Summary!$B$11*V157</f>
        <v/>
      </c>
      <c r="P157">
        <f>IF(B188=0,0,O157/B188)</f>
        <v/>
      </c>
      <c r="Q157">
        <f>IFERROR(1/(IF(Inputs!$B$38="pvp",15,MAX(0.1,Skills!D6-IF(Skills!E6=TRUE,Inputs!$B$32,0)))*(1-IF(AND(ArtifactsInput!$M$27,Inputs!$B$4="Chapter Hunt"),CHOOSE(ArtifactsInput!$N$27+1,20,24,28,32,36,40),0)/100)),0)</f>
        <v/>
      </c>
      <c r="R157">
        <f>IF(AND(Inputs!$B$38&lt;&gt;"pvp",Inputs!$B$43&gt;0),IF(MAX(0,Inputs!$B$43-B185)&lt;=0,0,(INT(MAX(0,Inputs!$B$43-B185)/(IF(Inputs!$B$38="pvp",15,MAX(0.1,Skills!D6-IF(Skills!E6=TRUE,Inputs!$B$32,0)))*(1-IF(AND(ArtifactsInput!$M$27,Inputs!$B$4="Chapter Hunt"),CHOOSE(ArtifactsInput!$N$27+1,20,24,28,32,36,40),0)/100)))+1)),0)</f>
        <v/>
      </c>
      <c r="S157">
        <f>IFERROR(O157/N157,0)</f>
        <v/>
      </c>
      <c r="T157">
        <f>IF(C157,(H157*N157*IF(AND(Inputs!$B$38&lt;&gt;"pvp",Inputs!$B$43&gt;0),((Skills!G6*((R157-1)*IF(Skills!H6&gt;0,Skills!I6/Skills!H6,1)+IF(Skills!H6&gt;0,MIN(Skills!I6,MAX(0,MAX(0,Inputs!$B$43-B185)-((R157-1)*(IF(Inputs!$B$38="pvp",15,MAX(0.1,Skills!D6-IF(Skills!E6=TRUE,Inputs!$B$32,0)))*(1-IF(AND(ArtifactsInput!$M$27,Inputs!$B$4="Chapter Hunt"),CHOOSE(ArtifactsInput!$N$27+1,20,24,28,32,36,40),0)/100)))))/Skills!H6,1)))/Inputs!$B$43),G157*Q157)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157*(1-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7">
        <f>IF(C157,(H157*N157*IF(AND(Inputs!$B$38&lt;&gt;"pvp",Inputs!$B$43&gt;0),((Skills!G6*((R157-1)*IF(Skills!H6&gt;0,Skills!I6/Skills!H6,1)+IF(Skills!H6&gt;0,MIN(Skills!I6,MAX(0,MAX(0,Inputs!$B$43-B185)-((R157-1)*(IF(Inputs!$B$38="pvp",15,MAX(0.1,Skills!D6-IF(Skills!E6=TRUE,Inputs!$B$32,0)))*(1-IF(AND(ArtifactsInput!$M$27,Inputs!$B$4="Chapter Hunt"),CHOOSE(ArtifactsInput!$N$27+1,20,24,28,32,36,40),0)/100)))))/Skills!H6,1)))/Inputs!$B$43),G157*Q157))*IF(Inputs!$B$38="pvp",1,(1+(Inputs!$B$21+Skills!Q6+(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
      <c r="A158">
        <f>Skills!A7</f>
        <v/>
      </c>
      <c r="B158">
        <f>Skills!B7</f>
        <v/>
      </c>
      <c r="C158">
        <f>Inputs!$B$3&gt;=107</f>
        <v/>
      </c>
      <c r="D158">
        <f>IF(Skills!C7=1,60+Inputs!$B$25+Inputs!$B$29,IF(Skills!C7=2,90+Inputs!$B$26+Inputs!$B$29,IF(Skills!C7=3,120+Inputs!$B$27+Inputs!$B$29,MAX(0,(Inputs!$B$3-100)*3)+Inputs!$B$28+Inputs!$B$29)))</f>
        <v/>
      </c>
      <c r="E158">
        <f>INDEX(FactorTable!$B$2:$Y$301, MATCH(ROUND(MIN(300,MAX(1,D158)),0), FactorTable!$A$2:$A$301,0), Skills!M7+1)</f>
        <v/>
      </c>
      <c r="F158">
        <f>IF(Skills!N7=TRUE,(Skills!L7/10)*(E158/1000),Skills!L7/10)+Skills!O7</f>
        <v/>
      </c>
      <c r="G158">
        <f>Skills!G7*IF(Skills!H7&gt;0,Skills!I7/Skills!H7,1)</f>
        <v/>
      </c>
      <c r="H158">
        <f>1-(1-Skills!J7/100)^Skills!K7</f>
        <v/>
      </c>
      <c r="I158" t="inlineStr">
        <is>
          <t>1</t>
        </is>
      </c>
      <c r="J158">
        <f>((Inputs!$B$6*(1+Inputs!$B$7/100))+(((Inputs!$B$12*(1+Inputs!$B$13/100))-(Inputs!$B$12*(1+Inputs!$B$13/100)))+0.25*((Inputs!$B$14+1)-Inputs!$B$14))*(1+Inputs!$B$7/100))*(F158/100)</f>
        <v/>
      </c>
      <c r="K158">
        <f>J158*(1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f>
        <v/>
      </c>
      <c r="L158">
        <f>K158*(MIN(Inputs!$B$22+((C173=TRUE)*(F173-Calc!F22)),(Inputs!$B$23+((C175=TRUE)*(F175-Calc!F24))+(IF(ArtifactsInput!$M$15,CHOOSE(ArtifactsInput!$N$15+1,25,30,35,40,45,50)/100*(Inputs!$B$11-Inputs!$B$11),0))))/100+(Inputs!$B$23+((C175=TRUE)*(F175-Calc!F24))+(IF(ArtifactsInput!$M$15,CHOOSE(ArtifactsInput!$N$15+1,25,30,35,40,45,50)/100*(Inputs!$B$11-Inputs!$B$11),0)))/100)/2</f>
        <v/>
      </c>
      <c r="M158">
        <f>L158*(1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
        <f>L158*(1-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
        <f>(1-Summary!$B$11)*T158+Summary!$B$11*V158</f>
        <v/>
      </c>
      <c r="P158">
        <f>IF(B188=0,0,O158/B188)</f>
        <v/>
      </c>
      <c r="Q158">
        <f>IFERROR(1/(IF(Inputs!$B$38="pvp",15,MAX(0.1,Skills!D7-IF(Skills!E7=TRUE,Inputs!$B$32,0)))*(1-IF(AND(ArtifactsInput!$M$27,Inputs!$B$4="Chapter Hunt"),CHOOSE(ArtifactsInput!$N$27+1,20,24,28,32,36,40),0)/100)),0)</f>
        <v/>
      </c>
      <c r="R158">
        <f>IF(AND(Inputs!$B$38&lt;&gt;"pvp",Inputs!$B$43&gt;0),IF(MAX(0,Inputs!$B$43-B185)&lt;=0,0,(INT(MAX(0,Inputs!$B$43-B185)/(IF(Inputs!$B$38="pvp",15,MAX(0.1,Skills!D7-IF(Skills!E7=TRUE,Inputs!$B$32,0)))*(1-IF(AND(ArtifactsInput!$M$27,Inputs!$B$4="Chapter Hunt"),CHOOSE(ArtifactsInput!$N$27+1,20,24,28,32,36,40),0)/100)))+1)),0)</f>
        <v/>
      </c>
      <c r="S158">
        <f>IFERROR(O158/N158,0)</f>
        <v/>
      </c>
      <c r="T158">
        <f>IF(C158,(H158*N158*IF(AND(Inputs!$B$38&lt;&gt;"pvp",Inputs!$B$43&gt;0),((Skills!G7*((R158-1)*IF(Skills!H7&gt;0,Skills!I7/Skills!H7,1)+IF(Skills!H7&gt;0,MIN(Skills!I7,MAX(0,MAX(0,Inputs!$B$43-B185)-((R158-1)*(IF(Inputs!$B$38="pvp",15,MAX(0.1,Skills!D7-IF(Skills!E7=TRUE,Inputs!$B$32,0)))*(1-IF(AND(ArtifactsInput!$M$27,Inputs!$B$4="Chapter Hunt"),CHOOSE(ArtifactsInput!$N$27+1,20,24,28,32,36,40),0)/100)))))/Skills!H7,1)))/Inputs!$B$43),G158*Q158)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158*(1-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8">
        <f>IF(C158,(H158*N158*IF(AND(Inputs!$B$38&lt;&gt;"pvp",Inputs!$B$43&gt;0),((Skills!G7*((R158-1)*IF(Skills!H7&gt;0,Skills!I7/Skills!H7,1)+IF(Skills!H7&gt;0,MIN(Skills!I7,MAX(0,MAX(0,Inputs!$B$43-B185)-((R158-1)*(IF(Inputs!$B$38="pvp",15,MAX(0.1,Skills!D7-IF(Skills!E7=TRUE,Inputs!$B$32,0)))*(1-IF(AND(ArtifactsInput!$M$27,Inputs!$B$4="Chapter Hunt"),CHOOSE(ArtifactsInput!$N$27+1,20,24,28,32,36,40),0)/100)))))/Skills!H7,1)))/Inputs!$B$43),G158*Q158))*IF(Inputs!$B$38="pvp",1,(1+(Inputs!$B$21+Skills!Q7+(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
      <c r="A159">
        <f>Skills!A8</f>
        <v/>
      </c>
      <c r="B159">
        <f>Skills!B8</f>
        <v/>
      </c>
      <c r="C159">
        <f>Inputs!$B$3&gt;=107</f>
        <v/>
      </c>
      <c r="D159">
        <f>IF(Skills!C8=1,60+Inputs!$B$25+Inputs!$B$29,IF(Skills!C8=2,90+Inputs!$B$26+Inputs!$B$29,IF(Skills!C8=3,120+Inputs!$B$27+Inputs!$B$29,MAX(0,(Inputs!$B$3-100)*3)+Inputs!$B$28+Inputs!$B$29)))</f>
        <v/>
      </c>
      <c r="E159">
        <f>INDEX(FactorTable!$B$2:$Y$301, MATCH(ROUND(MIN(300,MAX(1,D159)),0), FactorTable!$A$2:$A$301,0), Skills!M8+1)</f>
        <v/>
      </c>
      <c r="F159">
        <f>IF(Skills!N8=TRUE,(Skills!L8/10)*(E159/1000),Skills!L8/10)+Skills!O8</f>
        <v/>
      </c>
      <c r="G159">
        <f>Skills!G8*IF(Skills!H8&gt;0,Skills!I8/Skills!H8,1)</f>
        <v/>
      </c>
      <c r="H159">
        <f>1-(1-Skills!J8/100)^Skills!K8</f>
        <v/>
      </c>
      <c r="I159" t="inlineStr">
        <is>
          <t>1</t>
        </is>
      </c>
      <c r="J159">
        <f>((Inputs!$B$6*(1+Inputs!$B$7/100))+(((Inputs!$B$12*(1+Inputs!$B$13/100))-(Inputs!$B$12*(1+Inputs!$B$13/100)))+0.25*((Inputs!$B$14+1)-Inputs!$B$14))*(1+Inputs!$B$7/100))*(F159/100)</f>
        <v/>
      </c>
      <c r="K159">
        <f>J159*(1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f>
        <v/>
      </c>
      <c r="L159">
        <f>K159*(MIN(Inputs!$B$22+((C173=TRUE)*(F173-Calc!F22)),(Inputs!$B$23+((C175=TRUE)*(F175-Calc!F24))+(IF(ArtifactsInput!$M$15,CHOOSE(ArtifactsInput!$N$15+1,25,30,35,40,45,50)/100*(Inputs!$B$11-Inputs!$B$11),0))))/100+(Inputs!$B$23+((C175=TRUE)*(F175-Calc!F24))+(IF(ArtifactsInput!$M$15,CHOOSE(ArtifactsInput!$N$15+1,25,30,35,40,45,50)/100*(Inputs!$B$11-Inputs!$B$11),0)))/100)/2</f>
        <v/>
      </c>
      <c r="M159">
        <f>L159*(1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
        <f>L159*(1-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
        <f>(1-Summary!$B$11)*T159+Summary!$B$11*V159</f>
        <v/>
      </c>
      <c r="P159">
        <f>IF(B188=0,0,O159/B188)</f>
        <v/>
      </c>
      <c r="Q159">
        <f>IFERROR(1/(IF(Inputs!$B$38="pvp",15,MAX(0.1,Skills!D8-IF(Skills!E8=TRUE,Inputs!$B$32,0)))*(1-IF(AND(ArtifactsInput!$M$27,Inputs!$B$4="Chapter Hunt"),CHOOSE(ArtifactsInput!$N$27+1,20,24,28,32,36,40),0)/100)),0)</f>
        <v/>
      </c>
      <c r="R159">
        <f>IF(AND(Inputs!$B$38&lt;&gt;"pvp",Inputs!$B$43&gt;0),IF(MAX(0,Inputs!$B$43-B185)&lt;=0,0,(INT(MAX(0,Inputs!$B$43-B185)/(IF(Inputs!$B$38="pvp",15,MAX(0.1,Skills!D8-IF(Skills!E8=TRUE,Inputs!$B$32,0)))*(1-IF(AND(ArtifactsInput!$M$27,Inputs!$B$4="Chapter Hunt"),CHOOSE(ArtifactsInput!$N$27+1,20,24,28,32,36,40),0)/100)))+1)),0)</f>
        <v/>
      </c>
      <c r="S159">
        <f>IFERROR(O159/N159,0)</f>
        <v/>
      </c>
      <c r="T159">
        <f>IF(C159,(H159*N159*IF(AND(Inputs!$B$38&lt;&gt;"pvp",Inputs!$B$43&gt;0),((Skills!G8*((R159-1)*IF(Skills!H8&gt;0,Skills!I8/Skills!H8,1)+IF(Skills!H8&gt;0,MIN(Skills!I8,MAX(0,MAX(0,Inputs!$B$43-B185)-((R159-1)*(IF(Inputs!$B$38="pvp",15,MAX(0.1,Skills!D8-IF(Skills!E8=TRUE,Inputs!$B$32,0)))*(1-IF(AND(ArtifactsInput!$M$27,Inputs!$B$4="Chapter Hunt"),CHOOSE(ArtifactsInput!$N$27+1,20,24,28,32,36,40),0)/100)))))/Skills!H8,1)))/Inputs!$B$43),G159*Q159)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
        <f>IF(C159,(H159*N159*IF(AND(Inputs!$B$38&lt;&gt;"pvp",Inputs!$B$43&gt;0),((Skills!G8*((R159-1)*IF(Skills!H8&gt;0,Skills!I8/Skills!H8,1)+IF(Skills!H8&gt;0,MIN(Skills!I8,MAX(0,MAX(0,Inputs!$B$43-B185)-((R159-1)*(IF(Inputs!$B$38="pvp",15,MAX(0.1,Skills!D8-IF(Skills!E8=TRUE,Inputs!$B$32,0)))*(1-IF(AND(ArtifactsInput!$M$27,Inputs!$B$4="Chapter Hunt"),CHOOSE(ArtifactsInput!$N$27+1,20,24,28,32,36,40),0)/100)))))/Skills!H8,1)))/Inputs!$B$43),G159*Q159))*IF(Inputs!$B$38="pvp",1,(1+(Inputs!$B$21+Skills!Q8+(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
      <c r="A160">
        <f>Skills!A9</f>
        <v/>
      </c>
      <c r="B160">
        <f>Skills!B9</f>
        <v/>
      </c>
      <c r="C160">
        <f>Inputs!$B$3&gt;=125</f>
        <v/>
      </c>
      <c r="D160">
        <f>IF(Skills!C9=1,60+Inputs!$B$25+Inputs!$B$29,IF(Skills!C9=2,90+Inputs!$B$26+Inputs!$B$29,IF(Skills!C9=3,120+Inputs!$B$27+Inputs!$B$29,MAX(0,(Inputs!$B$3-100)*3)+Inputs!$B$28+Inputs!$B$29)))</f>
        <v/>
      </c>
      <c r="E160">
        <f>INDEX(FactorTable!$B$2:$Y$301, MATCH(ROUND(MIN(300,MAX(1,D160)),0), FactorTable!$A$2:$A$301,0), Skills!M9+1)</f>
        <v/>
      </c>
      <c r="F160">
        <f>IF(Skills!N9=TRUE,(Skills!L9/10)*(E160/1000),Skills!L9/10)+Skills!O9</f>
        <v/>
      </c>
      <c r="G160">
        <f>Skills!G9*IF(Skills!H9&gt;0,Skills!I9/Skills!H9,1)</f>
        <v/>
      </c>
      <c r="H160">
        <f>1-(1-Skills!J9/100)^Skills!K9</f>
        <v/>
      </c>
      <c r="I160" t="inlineStr">
        <is>
          <t>1</t>
        </is>
      </c>
      <c r="J160">
        <f>((Inputs!$B$6*(1+Inputs!$B$7/100))+(((Inputs!$B$12*(1+Inputs!$B$13/100))-(Inputs!$B$12*(1+Inputs!$B$13/100)))+0.25*((Inputs!$B$14+1)-Inputs!$B$14))*(1+Inputs!$B$7/100))*(F160/100)</f>
        <v/>
      </c>
      <c r="K160">
        <f>J160*(1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f>
        <v/>
      </c>
      <c r="L160">
        <f>K160*(MIN(Inputs!$B$22+((C173=TRUE)*(F173-Calc!F22)),(Inputs!$B$23+((C175=TRUE)*(F175-Calc!F24))+(IF(ArtifactsInput!$M$15,CHOOSE(ArtifactsInput!$N$15+1,25,30,35,40,45,50)/100*(Inputs!$B$11-Inputs!$B$11),0))))/100+(Inputs!$B$23+((C175=TRUE)*(F175-Calc!F24))+(IF(ArtifactsInput!$M$15,CHOOSE(ArtifactsInput!$N$15+1,25,30,35,40,45,50)/100*(Inputs!$B$11-Inputs!$B$11),0)))/100)/2</f>
        <v/>
      </c>
      <c r="M160">
        <f>L160*(1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
        <f>L160*(1-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
        <f>(1-Summary!$B$11)*T160+Summary!$B$11*V160</f>
        <v/>
      </c>
      <c r="P160">
        <f>IF(B188=0,0,O160/B188)</f>
        <v/>
      </c>
      <c r="Q160">
        <f>IFERROR(1/(IF(Inputs!$B$38="pvp",15,MAX(0.1,Skills!D9-IF(Skills!E9=TRUE,Inputs!$B$32,0)))*(1-IF(AND(ArtifactsInput!$M$27,Inputs!$B$4="Chapter Hunt"),CHOOSE(ArtifactsInput!$N$27+1,20,24,28,32,36,40),0)/100)),0)</f>
        <v/>
      </c>
      <c r="R160">
        <f>IF(AND(Inputs!$B$38&lt;&gt;"pvp",Inputs!$B$43&gt;0),IF(MAX(0,Inputs!$B$43-B185)&lt;=0,0,(INT(MAX(0,Inputs!$B$43-B185)/(IF(Inputs!$B$38="pvp",15,MAX(0.1,Skills!D9-IF(Skills!E9=TRUE,Inputs!$B$32,0)))*(1-IF(AND(ArtifactsInput!$M$27,Inputs!$B$4="Chapter Hunt"),CHOOSE(ArtifactsInput!$N$27+1,20,24,28,32,36,40),0)/100)))+1)),0)</f>
        <v/>
      </c>
      <c r="S160">
        <f>IFERROR(O160/N160,0)</f>
        <v/>
      </c>
      <c r="T160">
        <f>IF(C160,(H160*N160*IF(AND(Inputs!$B$38&lt;&gt;"pvp",Inputs!$B$43&gt;0),((Skills!G9*((R160-1)*IF(Skills!H9&gt;0,Skills!I9/Skills!H9,1)+IF(Skills!H9&gt;0,MIN(Skills!I9,MAX(0,MAX(0,Inputs!$B$43-B185)-((R160-1)*(IF(Inputs!$B$38="pvp",15,MAX(0.1,Skills!D9-IF(Skills!E9=TRUE,Inputs!$B$32,0)))*(1-IF(AND(ArtifactsInput!$M$27,Inputs!$B$4="Chapter Hunt"),CHOOSE(ArtifactsInput!$N$27+1,20,24,28,32,36,40),0)/100)))))/Skills!H9,1)))/Inputs!$B$43),G160*Q160)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
        <f>IF(C160,(H160*N160*IF(AND(Inputs!$B$38&lt;&gt;"pvp",Inputs!$B$43&gt;0),((Skills!G9*((R160-1)*IF(Skills!H9&gt;0,Skills!I9/Skills!H9,1)+IF(Skills!H9&gt;0,MIN(Skills!I9,MAX(0,MAX(0,Inputs!$B$43-B185)-((R160-1)*(IF(Inputs!$B$38="pvp",15,MAX(0.1,Skills!D9-IF(Skills!E9=TRUE,Inputs!$B$32,0)))*(1-IF(AND(ArtifactsInput!$M$27,Inputs!$B$4="Chapter Hunt"),CHOOSE(ArtifactsInput!$N$27+1,20,24,28,32,36,40),0)/100)))))/Skills!H9,1)))/Inputs!$B$43),G160*Q160))*IF(Inputs!$B$38="pvp",1,(1+(Inputs!$B$21+Skills!Q9+(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
      <c r="A161">
        <f>Skills!A10</f>
        <v/>
      </c>
      <c r="B161">
        <f>Skills!B10</f>
        <v/>
      </c>
      <c r="C161">
        <f>Inputs!$B$3&gt;=117</f>
        <v/>
      </c>
      <c r="D161">
        <f>IF(Skills!C10=1,60+Inputs!$B$25+Inputs!$B$29,IF(Skills!C10=2,90+Inputs!$B$26+Inputs!$B$29,IF(Skills!C10=3,120+Inputs!$B$27+Inputs!$B$29,MAX(0,(Inputs!$B$3-100)*3)+Inputs!$B$28+Inputs!$B$29)))</f>
        <v/>
      </c>
      <c r="E161">
        <f>INDEX(FactorTable!$B$2:$Y$301, MATCH(ROUND(MIN(300,MAX(1,D161)),0), FactorTable!$A$2:$A$301,0), Skills!M10+1)</f>
        <v/>
      </c>
      <c r="F161">
        <f>IF(Skills!N10=TRUE,(Skills!L10/10)*(E161/1000),Skills!L10/10)+Skills!O10</f>
        <v/>
      </c>
      <c r="G161">
        <f>Skills!G10*IF(Skills!H10&gt;0,Skills!I10/Skills!H10,1)</f>
        <v/>
      </c>
      <c r="H161">
        <f>1-(1-Skills!J10/100)^Skills!K10</f>
        <v/>
      </c>
      <c r="I161" t="inlineStr">
        <is>
          <t>1</t>
        </is>
      </c>
      <c r="J161">
        <f>((Inputs!$B$6*(1+Inputs!$B$7/100))+(((Inputs!$B$12*(1+Inputs!$B$13/100))-(Inputs!$B$12*(1+Inputs!$B$13/100)))+0.25*((Inputs!$B$14+1)-Inputs!$B$14))*(1+Inputs!$B$7/100))*(F161/100)</f>
        <v/>
      </c>
      <c r="K161">
        <f>J161*(1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f>
        <v/>
      </c>
      <c r="L161">
        <f>K161*(MIN(Inputs!$B$22+((C173=TRUE)*(F173-Calc!F22)),(Inputs!$B$23+((C175=TRUE)*(F175-Calc!F24))+(IF(ArtifactsInput!$M$15,CHOOSE(ArtifactsInput!$N$15+1,25,30,35,40,45,50)/100*(Inputs!$B$11-Inputs!$B$11),0))))/100+(Inputs!$B$23+((C175=TRUE)*(F175-Calc!F24))+(IF(ArtifactsInput!$M$15,CHOOSE(ArtifactsInput!$N$15+1,25,30,35,40,45,50)/100*(Inputs!$B$11-Inputs!$B$11),0)))/100)/2</f>
        <v/>
      </c>
      <c r="M161">
        <f>L161*(1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
        <f>L161*(1-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
        <f>(1-Summary!$B$11)*T161+Summary!$B$11*V161</f>
        <v/>
      </c>
      <c r="P161">
        <f>IF(B188=0,0,O161/B188)</f>
        <v/>
      </c>
      <c r="Q161">
        <f>IFERROR(1/(IF(Inputs!$B$38="pvp",15,MAX(0.1,Skills!D10-IF(Skills!E10=TRUE,Inputs!$B$32,0)))*(1-IF(AND(ArtifactsInput!$M$27,Inputs!$B$4="Chapter Hunt"),CHOOSE(ArtifactsInput!$N$27+1,20,24,28,32,36,40),0)/100)),0)</f>
        <v/>
      </c>
      <c r="R161">
        <f>IF(AND(Inputs!$B$38&lt;&gt;"pvp",Inputs!$B$43&gt;0),IF(MAX(0,Inputs!$B$43-B185)&lt;=0,0,(INT(MAX(0,Inputs!$B$43-B185)/(IF(Inputs!$B$38="pvp",15,MAX(0.1,Skills!D10-IF(Skills!E10=TRUE,Inputs!$B$32,0)))*(1-IF(AND(ArtifactsInput!$M$27,Inputs!$B$4="Chapter Hunt"),CHOOSE(ArtifactsInput!$N$27+1,20,24,28,32,36,40),0)/100)))+1)),0)</f>
        <v/>
      </c>
      <c r="S161">
        <f>IFERROR(O161/N161,0)</f>
        <v/>
      </c>
      <c r="T161">
        <f>IF(C161,(H161*N161*IF(AND(Inputs!$B$38&lt;&gt;"pvp",Inputs!$B$43&gt;0),((Skills!G10*((R161-1)*IF(Skills!H10&gt;0,Skills!I10/Skills!H10,1)+IF(Skills!H10&gt;0,MIN(Skills!I10,MAX(0,MAX(0,Inputs!$B$43-B185)-((R161-1)*(IF(Inputs!$B$38="pvp",15,MAX(0.1,Skills!D10-IF(Skills!E10=TRUE,Inputs!$B$32,0)))*(1-IF(AND(ArtifactsInput!$M$27,Inputs!$B$4="Chapter Hunt"),CHOOSE(ArtifactsInput!$N$27+1,20,24,28,32,36,40),0)/100)))))/Skills!H10,1)))/Inputs!$B$43),G161*Q161)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
        <f>IF(C161,(H161*N161*IF(AND(Inputs!$B$38&lt;&gt;"pvp",Inputs!$B$43&gt;0),((Skills!G10*((R161-1)*IF(Skills!H10&gt;0,Skills!I10/Skills!H10,1)+IF(Skills!H10&gt;0,MIN(Skills!I10,MAX(0,MAX(0,Inputs!$B$43-B185)-((R161-1)*(IF(Inputs!$B$38="pvp",15,MAX(0.1,Skills!D10-IF(Skills!E10=TRUE,Inputs!$B$32,0)))*(1-IF(AND(ArtifactsInput!$M$27,Inputs!$B$4="Chapter Hunt"),CHOOSE(ArtifactsInput!$N$27+1,20,24,28,32,36,40),0)/100)))))/Skills!H10,1)))/Inputs!$B$43),G161*Q161))*IF(Inputs!$B$38="pvp",1,(1+(Inputs!$B$21+Skills!Q10+(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
      <c r="A162">
        <f>Skills!A11</f>
        <v/>
      </c>
      <c r="B162">
        <f>Skills!B11</f>
        <v/>
      </c>
      <c r="C162">
        <f>Inputs!$B$3&gt;=63</f>
        <v/>
      </c>
      <c r="D162">
        <f>IF(Skills!C11=1,60+Inputs!$B$25+Inputs!$B$29,IF(Skills!C11=2,90+Inputs!$B$26+Inputs!$B$29,IF(Skills!C11=3,120+Inputs!$B$27+Inputs!$B$29,MAX(0,(Inputs!$B$3-100)*3)+Inputs!$B$28+Inputs!$B$29)))</f>
        <v/>
      </c>
      <c r="E162">
        <f>INDEX(FactorTable!$B$2:$Y$301, MATCH(ROUND(MIN(300,MAX(1,D162)),0), FactorTable!$A$2:$A$301,0), Skills!M11+1)</f>
        <v/>
      </c>
      <c r="F162">
        <f>IF(Skills!N11=TRUE,(Skills!L11/10)*(E162/1000),Skills!L11/10)+Skills!O11</f>
        <v/>
      </c>
      <c r="G162">
        <f>Skills!G11*IF(Skills!H11&gt;0,Skills!I11/Skills!H11,1)</f>
        <v/>
      </c>
      <c r="H162">
        <f>1-(1-Skills!J11/100)^Skills!K11</f>
        <v/>
      </c>
      <c r="I162" t="inlineStr">
        <is>
          <t>1</t>
        </is>
      </c>
      <c r="J162">
        <f>((Inputs!$B$6*(1+Inputs!$B$7/100))+(((Inputs!$B$12*(1+Inputs!$B$13/100))-(Inputs!$B$12*(1+Inputs!$B$13/100)))+0.25*((Inputs!$B$14+1)-Inputs!$B$14))*(1+Inputs!$B$7/100))*(F162/100)</f>
        <v/>
      </c>
      <c r="K162">
        <f>J162*(1+((Inputs!$B$12*(1+Inputs!$B$13/100))*0.01+(Inputs!$B$14+1)*0.0025)/100)*(1+Inputs!$B$15/100)*(1+Inputs!$B$16/100)*(5000/(6000+Inputs!$B$42*(1-(Inputs!$B$19+0)/100)))*(1+(Inputs!$B$24+0+B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163=TRUE,F163,0)/100)*(1+(IF(Skills!A11="BLAST",Inputs!$B$17+((C172=TRUE)*(F172-Calc!F21))+((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MIN(100,((Inputs!$B$9+0+B178+(ArtifactsInput!$M$24-ArtifactsInput!$M$24)*CHOOSE(ArtifactsInput!$N$24+1,10,12,14,16,18,20)+IF(ArtifactsInput!$M$10,CHOOSE(ArtifactsInput!$N$10+1,15,18,21,24,27,30)*(IF(Inputs!$B$38="pvp",MIN(15,15)/15,IF(AND(Inputs!$B$38&lt;&gt;"pvp",Inputs!$B$43&gt;0),MIN(15,Inputs!$B$43)/(Inputs!$B$43),0))),0)))-100),0))*CHOOSE(ArtifactsInput!$N$42+1,0.6,0.72,0.84,0.96,1.08,1.2))),Inputs!$B$18+((C174=TRUE)*(F174-Calc!F23))+(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gt;=100),CHOOSE(ArtifactsInput!$N$42+1,40,48,56,64,72,80),0))))/100)*((1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f>
        <v/>
      </c>
      <c r="L162">
        <f>K162*(MIN(Inputs!$B$22+((C173=TRUE)*(F173-Calc!F22)),(Inputs!$B$23+((C175=TRUE)*(F175-Calc!F24))+(IF(ArtifactsInput!$M$15,CHOOSE(ArtifactsInput!$N$15+1,25,30,35,40,45,50)/100*(Inputs!$B$11-Inputs!$B$11),0))))/100+(Inputs!$B$23+((C175=TRUE)*(F175-Calc!F24))+(IF(ArtifactsInput!$M$15,CHOOSE(ArtifactsInput!$N$15+1,25,30,35,40,45,50)/100*(Inputs!$B$11-Inputs!$B$11),0)))/100)/2</f>
        <v/>
      </c>
      <c r="M162">
        <f>L162*(1+(Inputs!$B$10+0+B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
        <f>L162*(1-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MIN((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
        <f>(1-Summary!$B$11)*T162+Summary!$B$11*V162</f>
        <v/>
      </c>
      <c r="P162">
        <f>IF(B188=0,0,O162/B188)</f>
        <v/>
      </c>
      <c r="Q162">
        <f>IFERROR(1/(IF(Inputs!$B$38="pvp",15,MAX(0.1,Skills!D11-IF(Skills!E11=TRUE,Inputs!$B$32,0)))*(1-IF(AND(ArtifactsInput!$M$27,Inputs!$B$4="Chapter Hunt"),CHOOSE(ArtifactsInput!$N$27+1,20,24,28,32,36,40),0)/100)),0)</f>
        <v/>
      </c>
      <c r="R162">
        <f>IF(AND(Inputs!$B$38&lt;&gt;"pvp",Inputs!$B$43&gt;0),IF(MAX(0,Inputs!$B$43-B185)&lt;=0,0,(INT(MAX(0,Inputs!$B$43-B185)/(IF(Inputs!$B$38="pvp",15,MAX(0.1,Skills!D11-IF(Skills!E11=TRUE,Inputs!$B$32,0)))*(1-IF(AND(ArtifactsInput!$M$27,Inputs!$B$4="Chapter Hunt"),CHOOSE(ArtifactsInput!$N$27+1,20,24,28,32,36,40),0)/100)))+1)),0)</f>
        <v/>
      </c>
      <c r="S162">
        <f>IFERROR(O162/N162,0)</f>
        <v/>
      </c>
      <c r="T162">
        <f>IF(C162,(H162*N162*IF(AND(Inputs!$B$38&lt;&gt;"pvp",Inputs!$B$43&gt;0),((Skills!G11*((R162-1)*IF(Skills!H11&gt;0,Skills!I11/Skills!H11,1)+IF(Skills!H11&gt;0,MIN(Skills!I11,MAX(0,MAX(0,Inputs!$B$43-B185)-((R162-1)*(IF(Inputs!$B$38="pvp",15,MAX(0.1,Skills!D11-IF(Skills!E11=TRUE,Inputs!$B$32,0)))*(1-IF(AND(ArtifactsInput!$M$27,Inputs!$B$4="Chapter Hunt"),CHOOSE(ArtifactsInput!$N$27+1,20,24,28,32,36,40),0)/100)))))/Skills!H11,1)))/Inputs!$B$43),G162*Q162)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162*(1-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(1-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MIN(100,(Inputs!$B$9+0+B178+(ArtifactsInput!$M$24-ArtifactsInput!$M$24)*CHOOSE(ArtifactsInput!$N$24+1,10,12,14,16,18,20)+(IF(AND(Inputs!$B$38&lt;&gt;"pvp",Inputs!$B$43=0),1,IF(IF(Inputs!$B$38="pvp",15,Inputs!$B$43)-(B185)&lt;=0,1,MAX(0,IF(Inputs!$B$38="pvp",15,Inputs!$B$43)-MAX(5,B185))/(IF(Inputs!$B$38="pvp",15,Inputs!$B$43)-(B185))))*IF(AND(ArtifactsInput!$M$42,((Inputs!$B$9+0+B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2">
        <f>IF(C162,(H162*N162*IF(AND(Inputs!$B$38&lt;&gt;"pvp",Inputs!$B$43&gt;0),((Skills!G11*((R162-1)*IF(Skills!H11&gt;0,Skills!I11/Skills!H11,1)+IF(Skills!H11&gt;0,MIN(Skills!I11,MAX(0,MAX(0,Inputs!$B$43-B185)-((R162-1)*(IF(Inputs!$B$38="pvp",15,MAX(0.1,Skills!D11-IF(Skills!E11=TRUE,Inputs!$B$32,0)))*(1-IF(AND(ArtifactsInput!$M$27,Inputs!$B$4="Chapter Hunt"),CHOOSE(ArtifactsInput!$N$27+1,20,24,28,32,36,40),0)/100)))))/Skills!H11,1)))/Inputs!$B$43),G162*Q162))*IF(Inputs!$B$38="pvp",1,(1+(Inputs!$B$21+Skills!Q11+(IF(ArtifactsInput!$M$33,CHOOSE(ArtifactsInput!$N$33+1,30,36,42,48,54,60),0))+(IF(AND(ArtifactsInput!$M$35,Inputs!$B$4&lt;&gt;"Chapter Hunt"),CHOOSE(ArtifactsInput!$N$35+1,15,18,21,24,27,30)*(1-EXP(-(0.2*B180)*5)),0)+IF(AND(ArtifactsInput!$M$22,Inputs!$B$4&lt;&gt;"Chapter Hunt"),CHOOSE(ArtifactsInput!$N$22+1,10,12,14,16,18,20)*((0*(((0.15*B180*5))^0/1)+1*(((0.15*B180*5))^1/1)+2*(((0.15*B180*5))^2/2)+3*(((0.15*B180*5))^3/6)+4*(((0.15*B180*5))^4/24)+5*(((0.15*B180*5))^5/120))/((((0.15*B180*5))^0/1)+(((0.15*B180*5))^1/1)+(((0.15*B180*5))^2/2)+(((0.15*B180*5))^3/6)+(((0.15*B180*5))^4/24)+(((0.15*B180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
      <c r="A163">
        <f>Skills!A12</f>
        <v/>
      </c>
      <c r="B163">
        <f>Skills!B12</f>
        <v/>
      </c>
      <c r="C163">
        <f>Inputs!$B$3&gt;=100</f>
        <v/>
      </c>
      <c r="D163">
        <f>IF(Skills!C12=1,60+Inputs!$B$25+Inputs!$B$29,IF(Skills!C12=2,90+Inputs!$B$26+Inputs!$B$29,IF(Skills!C12=3,120+Inputs!$B$27+Inputs!$B$29,MAX(0,(Inputs!$B$3-100)*3)+Inputs!$B$28+Inputs!$B$29)))</f>
        <v/>
      </c>
      <c r="E163">
        <f>INDEX(FactorTable!$B$2:$Y$301, MATCH(ROUND(MIN(300,MAX(1,D163)),0), FactorTable!$A$2:$A$301,0), Skills!M12+1)</f>
        <v/>
      </c>
      <c r="F163">
        <f>IF(Skills!N12=TRUE,(Skills!L12/10)*(E163/1000),Skills!L12/10)+Skills!O12</f>
        <v/>
      </c>
      <c r="G163" t="inlineStr"/>
      <c r="H163" t="inlineStr"/>
      <c r="I163" t="inlineStr">
        <is>
          <t>1</t>
        </is>
      </c>
      <c r="J163" t="inlineStr"/>
      <c r="K163" t="inlineStr"/>
      <c r="L163" t="inlineStr"/>
      <c r="M163" t="inlineStr"/>
      <c r="N163" t="inlineStr"/>
      <c r="O163" t="inlineStr"/>
      <c r="P163" t="inlineStr"/>
      <c r="Q163" t="inlineStr"/>
      <c r="R163" t="inlineStr"/>
      <c r="S163" t="inlineStr"/>
    </row>
    <row r="164">
      <c r="A164">
        <f>Skills!A13</f>
        <v/>
      </c>
      <c r="B164">
        <f>Skills!B13</f>
        <v/>
      </c>
      <c r="C164">
        <f>Inputs!$B$3&gt;=45</f>
        <v/>
      </c>
      <c r="D164">
        <f>IF(Skills!C13=1,60+Inputs!$B$25+Inputs!$B$29,IF(Skills!C13=2,90+Inputs!$B$26+Inputs!$B$29,IF(Skills!C13=3,120+Inputs!$B$27+Inputs!$B$29,MAX(0,(Inputs!$B$3-100)*3)+Inputs!$B$28+Inputs!$B$29)))</f>
        <v/>
      </c>
      <c r="E164">
        <f>INDEX(FactorTable!$B$2:$Y$301, MATCH(ROUND(MIN(300,MAX(1,D164)),0), FactorTable!$A$2:$A$301,0), Skills!M13+1)</f>
        <v/>
      </c>
      <c r="F164">
        <f>IF(Skills!N13=TRUE,(Skills!L13/10)*(E164/1000),Skills!L13/10)+Skills!O13</f>
        <v/>
      </c>
      <c r="G164">
        <f>Skills!G13*IF(Skills!H13&gt;0,Skills!I13/Skills!H13,1)</f>
        <v/>
      </c>
      <c r="H164">
        <f>1-(1-Skills!J13/100)^Skills!K13</f>
        <v/>
      </c>
      <c r="I164" t="inlineStr">
        <is>
          <t>1</t>
        </is>
      </c>
      <c r="J164" t="inlineStr"/>
      <c r="K164" t="inlineStr"/>
      <c r="L164" t="inlineStr"/>
      <c r="M164" t="inlineStr"/>
      <c r="N164" t="inlineStr"/>
      <c r="O164">
        <f>(1-Summary!$B$11)*T164+Summary!$B$11*V164</f>
        <v/>
      </c>
      <c r="P164">
        <f>IF(B188=0,0,O164/B188)</f>
        <v/>
      </c>
      <c r="Q164" t="n">
        <v>0</v>
      </c>
      <c r="R164" t="n">
        <v>0</v>
      </c>
      <c r="S164">
        <f>IFERROR(O164/N164,0)</f>
        <v/>
      </c>
      <c r="T164" t="n">
        <v>0</v>
      </c>
      <c r="V164" t="n">
        <v>0</v>
      </c>
    </row>
    <row r="165">
      <c r="A165">
        <f>Skills!A14</f>
        <v/>
      </c>
      <c r="B165">
        <f>Skills!B14</f>
        <v/>
      </c>
      <c r="C165">
        <f>Inputs!$B$3&gt;=110</f>
        <v/>
      </c>
      <c r="D165">
        <f>IF(Skills!C14=1,60+Inputs!$B$25+Inputs!$B$29,IF(Skills!C14=2,90+Inputs!$B$26+Inputs!$B$29,IF(Skills!C14=3,120+Inputs!$B$27+Inputs!$B$29,MAX(0,(Inputs!$B$3-100)*3)+Inputs!$B$28+Inputs!$B$29)))</f>
        <v/>
      </c>
      <c r="E165">
        <f>INDEX(FactorTable!$B$2:$Y$301, MATCH(ROUND(MIN(300,MAX(1,D165)),0), FactorTable!$A$2:$A$301,0), Skills!M14+1)</f>
        <v/>
      </c>
      <c r="F165">
        <f>IF(Skills!N14=TRUE,(Skills!L14/10)*(E165/1000),Skills!L14/10)+Skills!O14</f>
        <v/>
      </c>
      <c r="G165">
        <f>Skills!G14*IF(Skills!H14&gt;0,Skills!I14/Skills!H14,1)</f>
        <v/>
      </c>
      <c r="H165">
        <f>1-(1-Skills!J14/100)^Skills!K14</f>
        <v/>
      </c>
      <c r="I165" t="inlineStr">
        <is>
          <t>1</t>
        </is>
      </c>
      <c r="J165" t="inlineStr"/>
      <c r="K165" t="inlineStr"/>
      <c r="L165" t="inlineStr"/>
      <c r="M165" t="inlineStr"/>
      <c r="N165" t="inlineStr"/>
      <c r="O165">
        <f>(1-Summary!$B$11)*T165+Summary!$B$11*V165</f>
        <v/>
      </c>
      <c r="P165">
        <f>IF(B188=0,0,O165/B188)</f>
        <v/>
      </c>
      <c r="Q165" t="n">
        <v>0</v>
      </c>
      <c r="R165" t="n">
        <v>0</v>
      </c>
      <c r="S165">
        <f>IFERROR(O165/N165,0)</f>
        <v/>
      </c>
      <c r="T165" t="n">
        <v>0</v>
      </c>
      <c r="V165" t="n">
        <v>0</v>
      </c>
    </row>
    <row r="166">
      <c r="A166">
        <f>Skills!A15</f>
        <v/>
      </c>
      <c r="B166">
        <f>Skills!B15</f>
        <v/>
      </c>
      <c r="C166">
        <f>Inputs!$B$3&gt;=75</f>
        <v/>
      </c>
      <c r="D166">
        <f>IF(Skills!C15=1,60+Inputs!$B$25+Inputs!$B$29,IF(Skills!C15=2,90+Inputs!$B$26+Inputs!$B$29,IF(Skills!C15=3,120+Inputs!$B$27+Inputs!$B$29,MAX(0,(Inputs!$B$3-100)*3)+Inputs!$B$28+Inputs!$B$29)))</f>
        <v/>
      </c>
      <c r="E166">
        <f>INDEX(FactorTable!$B$2:$Y$301, MATCH(ROUND(MIN(300,MAX(1,D166)),0), FactorTable!$A$2:$A$301,0), Skills!M15+1)</f>
        <v/>
      </c>
      <c r="F166">
        <f>IF(Skills!N15=TRUE,(Skills!L15/10)*(E166/1000),Skills!L15/10)+Skills!O15</f>
        <v/>
      </c>
      <c r="G166">
        <f>Skills!G15*IF(Skills!H15&gt;0,Skills!I15/Skills!H15,1)</f>
        <v/>
      </c>
      <c r="H166">
        <f>1-(1-Skills!J15/100)^Skills!K15</f>
        <v/>
      </c>
      <c r="I166" t="inlineStr">
        <is>
          <t>1</t>
        </is>
      </c>
      <c r="J166" t="inlineStr"/>
      <c r="K166" t="inlineStr"/>
      <c r="L166" t="inlineStr"/>
      <c r="M166" t="inlineStr"/>
      <c r="N166" t="inlineStr"/>
      <c r="O166">
        <f>(1-Summary!$B$11)*T166+Summary!$B$11*V166</f>
        <v/>
      </c>
      <c r="P166">
        <f>IF(B188=0,0,O166/B188)</f>
        <v/>
      </c>
      <c r="Q166">
        <f>IFERROR(1/(IF(Inputs!$B$38="pvp",15,MAX(0.1,Skills!D15-IF(Skills!E15=TRUE,Inputs!$B$32,0)))*(1-IF(AND(ArtifactsInput!$M$27,Inputs!$B$4="Chapter Hunt"),CHOOSE(ArtifactsInput!$N$27+1,20,24,28,32,36,40),0)/100)),0)</f>
        <v/>
      </c>
      <c r="R166">
        <f>IF(AND(Inputs!$B$38&lt;&gt;"pvp",Inputs!$B$43&gt;0),IF(Inputs!$B$43&lt;=0,0,(INT(Inputs!$B$43/(IF(Inputs!$B$38="pvp",15,MAX(0.1,Skills!D15-IF(Skills!E15=TRUE,Inputs!$B$32,0)))*(1-IF(AND(ArtifactsInput!$M$27,Inputs!$B$4="Chapter Hunt"),CHOOSE(ArtifactsInput!$N$27+1,20,24,28,32,36,40),0)/100)))+1)),0)</f>
        <v/>
      </c>
      <c r="S166">
        <f>IFERROR(O166/N166,0)</f>
        <v/>
      </c>
      <c r="T166" t="n">
        <v>0</v>
      </c>
      <c r="V166" t="n">
        <v>0</v>
      </c>
    </row>
    <row r="167">
      <c r="A167">
        <f>Skills!A16</f>
        <v/>
      </c>
      <c r="B167">
        <f>Skills!B16</f>
        <v/>
      </c>
      <c r="C167">
        <f>Inputs!$B$3&gt;=105</f>
        <v/>
      </c>
      <c r="D167">
        <f>IF(Skills!C16=1,60+Inputs!$B$25+Inputs!$B$29,IF(Skills!C16=2,90+Inputs!$B$26+Inputs!$B$29,IF(Skills!C16=3,120+Inputs!$B$27+Inputs!$B$29,MAX(0,(Inputs!$B$3-100)*3)+Inputs!$B$28+Inputs!$B$29)))</f>
        <v/>
      </c>
      <c r="E167">
        <f>INDEX(FactorTable!$B$2:$Y$301, MATCH(ROUND(MIN(300,MAX(1,D167)),0), FactorTable!$A$2:$A$301,0), Skills!M16+1)</f>
        <v/>
      </c>
      <c r="F167">
        <f>IF(Skills!N16=TRUE,(Skills!L16/10)*(E167/1000),Skills!L16/10)+Skills!O16</f>
        <v/>
      </c>
      <c r="G167">
        <f>Skills!G16*IF(Skills!H16&gt;0,Skills!I16/Skills!H16,1)</f>
        <v/>
      </c>
      <c r="H167">
        <f>1-(1-Skills!J16/100)^Skills!K16</f>
        <v/>
      </c>
      <c r="I167" t="inlineStr">
        <is>
          <t>1</t>
        </is>
      </c>
      <c r="J167" t="inlineStr"/>
      <c r="K167" t="inlineStr"/>
      <c r="L167" t="inlineStr"/>
      <c r="M167" t="inlineStr"/>
      <c r="N167" t="inlineStr"/>
      <c r="O167">
        <f>(1-Summary!$B$11)*T167+Summary!$B$11*V167</f>
        <v/>
      </c>
      <c r="P167">
        <f>IF(B188=0,0,O167/B188)</f>
        <v/>
      </c>
      <c r="Q167">
        <f>IFERROR(1/(IF(Inputs!$B$38="pvp",15,MAX(0.1,Skills!D16-IF(Skills!E16=TRUE,Inputs!$B$32,0)))*(1-IF(AND(ArtifactsInput!$M$27,Inputs!$B$4="Chapter Hunt"),CHOOSE(ArtifactsInput!$N$27+1,20,24,28,32,36,40),0)/100)),0)</f>
        <v/>
      </c>
      <c r="R167">
        <f>IF(AND(Inputs!$B$38&lt;&gt;"pvp",Inputs!$B$43&gt;0),IF(Inputs!$B$43&lt;=0,0,(INT(Inputs!$B$43/(IF(Inputs!$B$38="pvp",15,MAX(0.1,Skills!D16-IF(Skills!E16=TRUE,Inputs!$B$32,0)))*(1-IF(AND(ArtifactsInput!$M$27,Inputs!$B$4="Chapter Hunt"),CHOOSE(ArtifactsInput!$N$27+1,20,24,28,32,36,40),0)/100)))+1)),0)</f>
        <v/>
      </c>
      <c r="S167">
        <f>IFERROR(O167/N167,0)</f>
        <v/>
      </c>
      <c r="T167" t="n">
        <v>0</v>
      </c>
      <c r="V167" t="n">
        <v>0</v>
      </c>
    </row>
    <row r="168">
      <c r="A168">
        <f>Skills!A17</f>
        <v/>
      </c>
      <c r="B168">
        <f>Skills!B17</f>
        <v/>
      </c>
      <c r="C168">
        <f>Inputs!$B$3&gt;=115</f>
        <v/>
      </c>
      <c r="D168">
        <f>IF(Skills!C17=1,60+Inputs!$B$25+Inputs!$B$29,IF(Skills!C17=2,90+Inputs!$B$26+Inputs!$B$29,IF(Skills!C17=3,120+Inputs!$B$27+Inputs!$B$29,MAX(0,(Inputs!$B$3-100)*3)+Inputs!$B$28+Inputs!$B$29)))</f>
        <v/>
      </c>
      <c r="E168">
        <f>INDEX(FactorTable!$B$2:$Y$301, MATCH(ROUND(MIN(300,MAX(1,D168)),0), FactorTable!$A$2:$A$301,0), Skills!M17+1)</f>
        <v/>
      </c>
      <c r="F168">
        <f>IF(Skills!N17=TRUE,(Skills!L17/10)*(E168/1000),Skills!L17/10)+Skills!O17</f>
        <v/>
      </c>
      <c r="G168">
        <f>Skills!G17*IF(Skills!H17&gt;0,Skills!I17/Skills!H17,1)</f>
        <v/>
      </c>
      <c r="H168">
        <f>1-(1-Skills!J17/100)^Skills!K17</f>
        <v/>
      </c>
      <c r="I168" t="inlineStr">
        <is>
          <t>1</t>
        </is>
      </c>
      <c r="J168" t="inlineStr"/>
      <c r="K168" t="inlineStr"/>
      <c r="L168" t="inlineStr"/>
      <c r="M168" t="inlineStr"/>
      <c r="N168" t="inlineStr"/>
      <c r="O168">
        <f>(1-Summary!$B$11)*T168+Summary!$B$11*V168</f>
        <v/>
      </c>
      <c r="P168">
        <f>IF(B188=0,0,O168/B188)</f>
        <v/>
      </c>
      <c r="Q168">
        <f>IFERROR(1/(IF(Inputs!$B$38="pvp",15,MAX(0.1,Skills!D17-IF(Skills!E17=TRUE,Inputs!$B$32,0)))*(1-IF(AND(ArtifactsInput!$M$27,Inputs!$B$4="Chapter Hunt"),CHOOSE(ArtifactsInput!$N$27+1,20,24,28,32,36,40),0)/100)),0)</f>
        <v/>
      </c>
      <c r="R168">
        <f>IF(AND(Inputs!$B$38&lt;&gt;"pvp",Inputs!$B$43&gt;0),IF(Inputs!$B$43&lt;=0,0,(INT(Inputs!$B$43/(IF(Inputs!$B$38="pvp",15,MAX(0.1,Skills!D17-IF(Skills!E17=TRUE,Inputs!$B$32,0)))*(1-IF(AND(ArtifactsInput!$M$27,Inputs!$B$4="Chapter Hunt"),CHOOSE(ArtifactsInput!$N$27+1,20,24,28,32,36,40),0)/100)))+1)),0)</f>
        <v/>
      </c>
      <c r="S168">
        <f>IFERROR(O168/N168,0)</f>
        <v/>
      </c>
      <c r="T168" t="n">
        <v>0</v>
      </c>
      <c r="V168" t="n">
        <v>0</v>
      </c>
    </row>
    <row r="169">
      <c r="A169">
        <f>Skills!A18</f>
        <v/>
      </c>
      <c r="B169">
        <f>Skills!B18</f>
        <v/>
      </c>
      <c r="C169">
        <f>Inputs!$B$3&gt;=74</f>
        <v/>
      </c>
      <c r="D169">
        <f>IF(Skills!C18=1,60+Inputs!$B$25+Inputs!$B$29,IF(Skills!C18=2,90+Inputs!$B$26+Inputs!$B$29,IF(Skills!C18=3,120+Inputs!$B$27+Inputs!$B$29,MAX(0,(Inputs!$B$3-100)*3)+Inputs!$B$28+Inputs!$B$29)))</f>
        <v/>
      </c>
      <c r="E169">
        <f>INDEX(FactorTable!$B$2:$Y$301, MATCH(ROUND(MIN(300,MAX(1,D169)),0), FactorTable!$A$2:$A$301,0), Skills!M18+1)</f>
        <v/>
      </c>
      <c r="F169">
        <f>IF(Skills!N18=TRUE,(Skills!L18/10)*(E169/1000),Skills!L18/10)+Skills!O18</f>
        <v/>
      </c>
      <c r="G169">
        <f>Skills!G18*IF(Skills!H18&gt;0,Skills!I18/Skills!H18,1)</f>
        <v/>
      </c>
      <c r="H169">
        <f>1-(1-Skills!J18/100)^Skills!K18</f>
        <v/>
      </c>
      <c r="I169" t="inlineStr">
        <is>
          <t>1</t>
        </is>
      </c>
      <c r="J169" t="inlineStr"/>
      <c r="K169" t="inlineStr"/>
      <c r="L169" t="inlineStr"/>
      <c r="M169" t="inlineStr"/>
      <c r="N169" t="inlineStr"/>
      <c r="O169">
        <f>(1-Summary!$B$11)*T169+Summary!$B$11*V169</f>
        <v/>
      </c>
      <c r="P169">
        <f>IF(B188=0,0,O169/B188)</f>
        <v/>
      </c>
      <c r="Q169">
        <f>IFERROR(1/(IF(Inputs!$B$38="pvp",15,MAX(0.1,Skills!D18-IF(Skills!E18=TRUE,Inputs!$B$32,0)))*(1-IF(AND(ArtifactsInput!$M$27,Inputs!$B$4="Chapter Hunt"),CHOOSE(ArtifactsInput!$N$27+1,20,24,28,32,36,40),0)/100)),0)</f>
        <v/>
      </c>
      <c r="R169">
        <f>IF(AND(Inputs!$B$38&lt;&gt;"pvp",Inputs!$B$43&gt;0),IF(Inputs!$B$43&lt;=0,0,(INT(Inputs!$B$43/(IF(Inputs!$B$38="pvp",15,MAX(0.1,Skills!D18-IF(Skills!E18=TRUE,Inputs!$B$32,0)))*(1-IF(AND(ArtifactsInput!$M$27,Inputs!$B$4="Chapter Hunt"),CHOOSE(ArtifactsInput!$N$27+1,20,24,28,32,36,40),0)/100)))+1)),0)</f>
        <v/>
      </c>
      <c r="S169">
        <f>IFERROR(O169/N169,0)</f>
        <v/>
      </c>
      <c r="T169" t="n">
        <v>0</v>
      </c>
      <c r="V169" t="n">
        <v>0</v>
      </c>
    </row>
    <row r="170">
      <c r="A170">
        <f>Skills!A19</f>
        <v/>
      </c>
      <c r="B170">
        <f>Skills!B19</f>
        <v/>
      </c>
      <c r="C170">
        <f>TRUE</f>
        <v/>
      </c>
      <c r="D170">
        <f>IF(Skills!C19=1,60+Inputs!$B$25+Inputs!$B$29,IF(Skills!C19=2,90+Inputs!$B$26+Inputs!$B$29,IF(Skills!C19=3,120+Inputs!$B$27+Inputs!$B$29,MAX(0,(Inputs!$B$3-100)*3)+Inputs!$B$28+Inputs!$B$29)))</f>
        <v/>
      </c>
      <c r="E170">
        <f>INDEX(FactorTable!$B$2:$Y$301, MATCH(ROUND(MIN(300,MAX(1,D170)),0), FactorTable!$A$2:$A$301,0), Skills!M19+1)</f>
        <v/>
      </c>
      <c r="F170">
        <f>IF(Skills!N19=TRUE,(Skills!L19/10)*(E170/1000),Skills!L19/10)+Skills!O19</f>
        <v/>
      </c>
      <c r="G170">
        <f>Skills!G19*IF(Skills!H19&gt;0,Skills!I19/Skills!H19,1)</f>
        <v/>
      </c>
      <c r="H170">
        <f>1-(1-Skills!J19/100)^Skills!K19</f>
        <v/>
      </c>
      <c r="I170" t="inlineStr">
        <is>
          <t>1</t>
        </is>
      </c>
      <c r="J170" t="inlineStr"/>
      <c r="K170" t="inlineStr"/>
      <c r="L170" t="inlineStr"/>
      <c r="M170" t="inlineStr"/>
      <c r="N170" t="inlineStr"/>
      <c r="O170">
        <f>(1-Summary!$B$11)*T170+Summary!$B$11*V170</f>
        <v/>
      </c>
      <c r="P170">
        <f>IF(B188=0,0,O170/B188)</f>
        <v/>
      </c>
      <c r="Q170">
        <f>IFERROR(1/(IF(Inputs!$B$38="pvp",15,MAX(0.1,Skills!D19-IF(Skills!E19=TRUE,Inputs!$B$32,0)))*(1-IF(AND(ArtifactsInput!$M$27,Inputs!$B$4="Chapter Hunt"),CHOOSE(ArtifactsInput!$N$27+1,20,24,28,32,36,40),0)/100)),0)</f>
        <v/>
      </c>
      <c r="R170">
        <f>IF(AND(Inputs!$B$38&lt;&gt;"pvp",Inputs!$B$43&gt;0),IF(Inputs!$B$43&lt;=0,0,(INT(Inputs!$B$43/(IF(Inputs!$B$38="pvp",15,MAX(0.1,Skills!D19-IF(Skills!E19=TRUE,Inputs!$B$32,0)))*(1-IF(AND(ArtifactsInput!$M$27,Inputs!$B$4="Chapter Hunt"),CHOOSE(ArtifactsInput!$N$27+1,20,24,28,32,36,40),0)/100)))+1)),0)</f>
        <v/>
      </c>
      <c r="S170">
        <f>IFERROR(O170/N170,0)</f>
        <v/>
      </c>
      <c r="T170" t="n">
        <v>0</v>
      </c>
      <c r="V170" t="n">
        <v>0</v>
      </c>
    </row>
    <row r="171">
      <c r="A171">
        <f>Skills!A20</f>
        <v/>
      </c>
      <c r="B171">
        <f>Skills!B20</f>
        <v/>
      </c>
      <c r="C171">
        <f>Inputs!$B$3&gt;=33</f>
        <v/>
      </c>
      <c r="D171">
        <f>IF(Skills!C20=1,60+Inputs!$B$25+Inputs!$B$29,IF(Skills!C20=2,90+Inputs!$B$26+Inputs!$B$29,IF(Skills!C20=3,120+Inputs!$B$27+Inputs!$B$29,MAX(0,(Inputs!$B$3-100)*3)+Inputs!$B$28+Inputs!$B$29)))</f>
        <v/>
      </c>
      <c r="E171">
        <f>INDEX(FactorTable!$B$2:$Y$301, MATCH(ROUND(MIN(300,MAX(1,D171)),0), FactorTable!$A$2:$A$301,0), Skills!M20+1)</f>
        <v/>
      </c>
      <c r="F171">
        <f>IF(Skills!N20=TRUE,(Skills!L20/10)*(E171/1000),Skills!L20/10)+Skills!O20</f>
        <v/>
      </c>
      <c r="G171">
        <f>Skills!G20*IF(Skills!H20&gt;0,Skills!I20/Skills!H20,1)</f>
        <v/>
      </c>
      <c r="H171">
        <f>1-(1-Skills!J20/100)^Skills!K20</f>
        <v/>
      </c>
      <c r="I171" t="inlineStr">
        <is>
          <t>1</t>
        </is>
      </c>
      <c r="J171" t="inlineStr"/>
      <c r="K171" t="inlineStr"/>
      <c r="L171" t="inlineStr"/>
      <c r="M171" t="inlineStr"/>
      <c r="N171" t="inlineStr"/>
      <c r="O171">
        <f>(1-Summary!$B$11)*T171+Summary!$B$11*V171</f>
        <v/>
      </c>
      <c r="P171">
        <f>IF(B188=0,0,O171/B188)</f>
        <v/>
      </c>
      <c r="Q171" t="n">
        <v>0</v>
      </c>
      <c r="R171" t="n">
        <v>0</v>
      </c>
      <c r="S171">
        <f>IFERROR(O171/N171,0)</f>
        <v/>
      </c>
      <c r="T171" t="n">
        <v>0</v>
      </c>
      <c r="V171" t="n">
        <v>0</v>
      </c>
    </row>
    <row r="172">
      <c r="A172">
        <f>Skills!A21</f>
        <v/>
      </c>
      <c r="B172">
        <f>Skills!B21</f>
        <v/>
      </c>
      <c r="C172">
        <f>Inputs!$B$3&gt;=38</f>
        <v/>
      </c>
      <c r="D172">
        <f>IF(Skills!C21=1,60+Inputs!$B$25+Inputs!$B$29,IF(Skills!C21=2,90+Inputs!$B$26+Inputs!$B$29,IF(Skills!C21=3,120+Inputs!$B$27+Inputs!$B$29,MAX(0,(Inputs!$B$3-100)*3)+Inputs!$B$28+Inputs!$B$29)))</f>
        <v/>
      </c>
      <c r="E172">
        <f>INDEX(FactorTable!$B$2:$Y$301, MATCH(ROUND(MIN(300,MAX(1,D172)),0), FactorTable!$A$2:$A$301,0), Skills!M21+1)</f>
        <v/>
      </c>
      <c r="F172">
        <f>IF(Skills!N21=TRUE,(Skills!L21/10)*(E172/1000),Skills!L21/10)+Skills!O21</f>
        <v/>
      </c>
      <c r="G172">
        <f>Skills!G21*IF(Skills!H21&gt;0,Skills!I21/Skills!H21,1)</f>
        <v/>
      </c>
      <c r="H172">
        <f>1-(1-Skills!J21/100)^Skills!K21</f>
        <v/>
      </c>
      <c r="I172" t="inlineStr">
        <is>
          <t>1</t>
        </is>
      </c>
      <c r="J172" t="inlineStr"/>
      <c r="K172" t="inlineStr"/>
      <c r="L172" t="inlineStr"/>
      <c r="M172" t="inlineStr"/>
      <c r="N172" t="inlineStr"/>
      <c r="O172">
        <f>(1-Summary!$B$11)*T172+Summary!$B$11*V172</f>
        <v/>
      </c>
      <c r="P172">
        <f>IF(B188=0,0,O172/B188)</f>
        <v/>
      </c>
      <c r="Q172" t="n">
        <v>0</v>
      </c>
      <c r="R172" t="n">
        <v>0</v>
      </c>
      <c r="S172">
        <f>IFERROR(O172/N172,0)</f>
        <v/>
      </c>
      <c r="T172" t="n">
        <v>0</v>
      </c>
      <c r="V172" t="n">
        <v>0</v>
      </c>
    </row>
    <row r="173">
      <c r="A173">
        <f>Skills!A22</f>
        <v/>
      </c>
      <c r="B173">
        <f>Skills!B22</f>
        <v/>
      </c>
      <c r="C173">
        <f>Inputs!$B$3&gt;=43</f>
        <v/>
      </c>
      <c r="D173">
        <f>IF(Skills!C22=1,60+Inputs!$B$25+Inputs!$B$29,IF(Skills!C22=2,90+Inputs!$B$26+Inputs!$B$29,IF(Skills!C22=3,120+Inputs!$B$27+Inputs!$B$29,MAX(0,(Inputs!$B$3-100)*3)+Inputs!$B$28+Inputs!$B$29)))</f>
        <v/>
      </c>
      <c r="E173">
        <f>INDEX(FactorTable!$B$2:$Y$301, MATCH(ROUND(MIN(300,MAX(1,D173)),0), FactorTable!$A$2:$A$301,0), Skills!M22+1)</f>
        <v/>
      </c>
      <c r="F173">
        <f>IF(Skills!N22=TRUE,(Skills!L22/10)*(E173/1000),Skills!L22/10)+Skills!O22</f>
        <v/>
      </c>
      <c r="G173">
        <f>Skills!G22*IF(Skills!H22&gt;0,Skills!I22/Skills!H22,1)</f>
        <v/>
      </c>
      <c r="H173">
        <f>1-(1-Skills!J22/100)^Skills!K22</f>
        <v/>
      </c>
      <c r="I173" t="inlineStr">
        <is>
          <t>1</t>
        </is>
      </c>
      <c r="J173" t="inlineStr"/>
      <c r="K173" t="inlineStr"/>
      <c r="L173" t="inlineStr"/>
      <c r="M173" t="inlineStr"/>
      <c r="N173" t="inlineStr"/>
      <c r="O173">
        <f>(1-Summary!$B$11)*T173+Summary!$B$11*V173</f>
        <v/>
      </c>
      <c r="P173">
        <f>IF(B188=0,0,O173/B188)</f>
        <v/>
      </c>
      <c r="Q173" t="n">
        <v>0</v>
      </c>
      <c r="R173" t="n">
        <v>0</v>
      </c>
      <c r="S173">
        <f>IFERROR(O173/N173,0)</f>
        <v/>
      </c>
      <c r="T173" t="n">
        <v>0</v>
      </c>
      <c r="V173" t="n">
        <v>0</v>
      </c>
    </row>
    <row r="174">
      <c r="A174">
        <f>Skills!A23</f>
        <v/>
      </c>
      <c r="B174">
        <f>Skills!B23</f>
        <v/>
      </c>
      <c r="C174">
        <f>Inputs!$B$3&gt;=120</f>
        <v/>
      </c>
      <c r="D174">
        <f>IF(Skills!C23=1,60+Inputs!$B$25+Inputs!$B$29,IF(Skills!C23=2,90+Inputs!$B$26+Inputs!$B$29,IF(Skills!C23=3,120+Inputs!$B$27+Inputs!$B$29,MAX(0,(Inputs!$B$3-100)*3)+Inputs!$B$28+Inputs!$B$29)))</f>
        <v/>
      </c>
      <c r="E174">
        <f>INDEX(FactorTable!$B$2:$Y$301, MATCH(ROUND(MIN(300,MAX(1,D174)),0), FactorTable!$A$2:$A$301,0), Skills!M23+1)</f>
        <v/>
      </c>
      <c r="F174">
        <f>IF(Skills!N23=TRUE,(Skills!L23/10)*(E174/1000),Skills!L23/10)+Skills!O23</f>
        <v/>
      </c>
      <c r="G174">
        <f>Skills!G23*IF(Skills!H23&gt;0,Skills!I23/Skills!H23,1)</f>
        <v/>
      </c>
      <c r="H174">
        <f>1-(1-Skills!J23/100)^Skills!K23</f>
        <v/>
      </c>
      <c r="I174" t="inlineStr">
        <is>
          <t>1</t>
        </is>
      </c>
      <c r="J174" t="inlineStr"/>
      <c r="K174" t="inlineStr"/>
      <c r="L174" t="inlineStr"/>
      <c r="M174" t="inlineStr"/>
      <c r="N174" t="inlineStr"/>
      <c r="O174">
        <f>(1-Summary!$B$11)*T174+Summary!$B$11*V174</f>
        <v/>
      </c>
      <c r="P174">
        <f>IF(B188=0,0,O174/B188)</f>
        <v/>
      </c>
      <c r="Q174" t="n">
        <v>0</v>
      </c>
      <c r="R174" t="n">
        <v>0</v>
      </c>
      <c r="S174">
        <f>IFERROR(O174/N174,0)</f>
        <v/>
      </c>
      <c r="T174" t="n">
        <v>0</v>
      </c>
      <c r="V174" t="n">
        <v>0</v>
      </c>
    </row>
    <row r="175">
      <c r="A175">
        <f>Skills!A24</f>
        <v/>
      </c>
      <c r="B175">
        <f>Skills!B24</f>
        <v/>
      </c>
      <c r="C175">
        <f>Inputs!$B$3&gt;=120</f>
        <v/>
      </c>
      <c r="D175">
        <f>IF(Skills!C24=1,60+Inputs!$B$25+Inputs!$B$29,IF(Skills!C24=2,90+Inputs!$B$26+Inputs!$B$29,IF(Skills!C24=3,120+Inputs!$B$27+Inputs!$B$29,MAX(0,(Inputs!$B$3-100)*3)+Inputs!$B$28+Inputs!$B$29)))</f>
        <v/>
      </c>
      <c r="E175">
        <f>INDEX(FactorTable!$B$2:$Y$301, MATCH(ROUND(MIN(300,MAX(1,D175)),0), FactorTable!$A$2:$A$301,0), Skills!M24+1)</f>
        <v/>
      </c>
      <c r="F175">
        <f>IF(Skills!N24=TRUE,(Skills!L24/10)*(E175/1000),Skills!L24/10)+Skills!O24</f>
        <v/>
      </c>
      <c r="G175">
        <f>Skills!G24*IF(Skills!H24&gt;0,Skills!I24/Skills!H24,1)</f>
        <v/>
      </c>
      <c r="H175">
        <f>1-(1-Skills!J24/100)^Skills!K24</f>
        <v/>
      </c>
      <c r="I175" t="inlineStr">
        <is>
          <t>1</t>
        </is>
      </c>
      <c r="J175" t="inlineStr"/>
      <c r="K175" t="inlineStr"/>
      <c r="L175" t="inlineStr"/>
      <c r="M175" t="inlineStr"/>
      <c r="N175" t="inlineStr"/>
      <c r="O175">
        <f>(1-Summary!$B$11)*T175+Summary!$B$11*V175</f>
        <v/>
      </c>
      <c r="P175">
        <f>IF(B188=0,0,O175/B188)</f>
        <v/>
      </c>
      <c r="Q175" t="n">
        <v>0</v>
      </c>
      <c r="R175" t="n">
        <v>0</v>
      </c>
      <c r="S175">
        <f>IFERROR(O175/N175,0)</f>
        <v/>
      </c>
      <c r="T175" t="n">
        <v>0</v>
      </c>
      <c r="V175" t="n">
        <v>0</v>
      </c>
    </row>
    <row r="177">
      <c r="A177" t="inlineStr">
        <is>
          <t>Attack% Bucket Multiplier</t>
        </is>
      </c>
      <c r="B177">
        <f>(1+(((C164=TRUE)*F164*MIN(1,Skills!T13*(Skills!J13/100)*B182))+((C169=TRUE)*F169*IF(AND(Inputs!$B$38&lt;&gt;"pvp",Inputs!$B$43&gt;0),(((R169-1)*(Skills!T18*(1+Inputs!$B$34/100))+MIN((Skills!T18*(1+Inputs!$B$34/100)),MAX(0,Inputs!$B$43-((R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8">
      <c r="A178" t="inlineStr">
        <is>
          <t>Global Crit Rate Bonus %</t>
        </is>
      </c>
      <c r="B178" t="n">
        <v>0</v>
      </c>
    </row>
    <row r="179">
      <c r="A179" t="inlineStr">
        <is>
          <t>Attack Speed Buff Bonus %</t>
        </is>
      </c>
      <c r="B179">
        <f>((C170=TRUE)*F170*IF(AND(Inputs!$B$38&lt;&gt;"pvp",Inputs!$B$43&gt;0),(((R170-1)*(Skills!T19*(1+Inputs!$B$34/100))+MIN((Skills!T19*(1+Inputs!$B$34/100)),MAX(0,Inputs!$B$43-((R170-1)*Skills!D19))))/Inputs!$B$43),IF(Inputs!$B$38="pvp",MIN((Skills!T19*(1+Inputs!$B$34/100)),15)/15,(Skills!T19*(1+Inputs!$B$34/100))/Skills!D19)))</f>
        <v/>
      </c>
    </row>
    <row r="180">
      <c r="A180" t="inlineStr">
        <is>
          <t>Actions Per Second</t>
        </is>
      </c>
      <c r="B180">
        <f>1+MIN(150,150*(1-(1-(Inputs!$B$11+((C171=TRUE)*(F171-Calc!F20)))/150)*(1-B179/150)))/100</f>
        <v/>
      </c>
    </row>
    <row r="181">
      <c r="A181" t="inlineStr">
        <is>
          <t>Skill + Buff Cast Rate</t>
        </is>
      </c>
      <c r="B181">
        <f>IF(AND(Inputs!$B$38&lt;&gt;"pvp",Inputs!$B$43&gt;0),SUMPRODUCT((Skills!E2:E24=TRUE)*(C153:C175=TRUE)*R153:R175*Skills!F2:F24)/Inputs!$B$43,SUMPRODUCT((Skills!E2:E24=TRUE)*(C153:C175=TRUE)*Q153:Q175*Skills!F2:F24))</f>
        <v/>
      </c>
    </row>
    <row r="182">
      <c r="A182" t="inlineStr">
        <is>
          <t>Blast Casts Per Second</t>
        </is>
      </c>
      <c r="B182">
        <f>MAX(0,B180-B181)</f>
        <v/>
      </c>
    </row>
    <row r="183">
      <c r="A183" t="inlineStr">
        <is>
          <t>Global Critical Damage Bonus % (unused)</t>
        </is>
      </c>
      <c r="B183" t="n">
        <v>0</v>
      </c>
    </row>
    <row r="184">
      <c r="A184" t="inlineStr">
        <is>
          <t>Global Final Damage Bonus % (Divine Shield + Guardian + Divine Blessing + Greater Vessel of Light)</t>
        </is>
      </c>
      <c r="B184">
        <f>((C166=TRUE)*F166*IF(AND(Inputs!$B$38&lt;&gt;"pvp",Inputs!$B$43&gt;0),(((R166-1)*(Skills!T15*(1+Inputs!$B$34/100))+MIN((Skills!T15*(1+Inputs!$B$34/100)),MAX(0,Inputs!$B$43-((R166-1)*Skills!D15))))/Inputs!$B$43),IF(Inputs!$B$38="pvp",MIN((Skills!T15*(1+Inputs!$B$34/100)),15)/15,(Skills!T15*(1+Inputs!$B$34/100))/Skills!D15)))+((C167=TRUE)*F167*IF(AND(Inputs!$B$38&lt;&gt;"pvp",Inputs!$B$43&gt;0),(((R167-1)*(Skills!T16*(1+Inputs!$B$34/100))+MIN((Skills!T16*(1+Inputs!$B$34/100)),MAX(0,Inputs!$B$43-((R167-1)*Skills!D16))))/Inputs!$B$43),IF(Inputs!$B$38="pvp",MIN((Skills!T16*(1+Inputs!$B$34/100)),15)/15,(Skills!T16*(1+Inputs!$B$34/100))/Skills!D16)))+((C168=TRUE)*F168*IF(AND(Inputs!$B$38&lt;&gt;"pvp",Inputs!$B$43&gt;0),(((R168-1)*(Skills!T17*(1+Inputs!$B$34/100))+MIN((Skills!T17*(1+Inputs!$B$34/100)),MAX(0,Inputs!$B$43-((R168-1)*Skills!D17))))/Inputs!$B$43),IF(Inputs!$B$38="pvp",MIN((Skills!T17*(1+Inputs!$B$34/100)),15)/15,(Skills!T17*(1+Inputs!$B$34/100))/Skills!D17)))+((C165=TRUE)*F165*MIN(1,Skills!T13*(Skills!J13/100)*B182))</f>
        <v/>
      </c>
    </row>
    <row r="185">
      <c r="A185" t="inlineStr">
        <is>
          <t>Buff-Casting Startup Delay (s, fixed-duration only)</t>
        </is>
      </c>
      <c r="B185">
        <f>IF(AND(Inputs!$B$38&lt;&gt;"pvp",Inputs!$B$43&gt;0),SUMPRODUCT((Skills!T2:T24&gt;0)*(Skills!E2:E24=TRUE)*(C153:C175=TRUE))/B180,0)</f>
        <v/>
      </c>
    </row>
    <row r="186">
      <c r="A186" t="inlineStr">
        <is>
          <t>Boss-Only Total DPS (this block's swept value)</t>
        </is>
      </c>
      <c r="B186">
        <f>SUM(T153:T175)</f>
        <v/>
      </c>
    </row>
    <row r="187">
      <c r="A187" t="inlineStr">
        <is>
          <t>Normal-Only Total DPS (this block's swept value)</t>
        </is>
      </c>
      <c r="B187">
        <f>SUM(V153:V175)</f>
        <v/>
      </c>
    </row>
    <row r="188">
      <c r="A188" s="6" t="inlineStr">
        <is>
          <t>TOTAL DPS</t>
        </is>
      </c>
      <c r="B188" s="6">
        <f>SUM(O153:O175)</f>
        <v/>
      </c>
    </row>
    <row r="191">
      <c r="A191" s="6" t="inlineStr">
        <is>
          <t>Stat: DAMAGE %</t>
        </is>
      </c>
    </row>
    <row r="192">
      <c r="A192" s="5" t="inlineStr">
        <is>
          <t>Key</t>
        </is>
      </c>
      <c r="B192" s="5" t="inlineStr">
        <is>
          <t>Name</t>
        </is>
      </c>
      <c r="C192" s="5" t="inlineStr">
        <is>
          <t>Unlocked</t>
        </is>
      </c>
      <c r="D192" s="5" t="inlineStr">
        <is>
          <t>InputLevel</t>
        </is>
      </c>
      <c r="E192" s="5" t="inlineStr">
        <is>
          <t>Factor</t>
        </is>
      </c>
      <c r="F192" s="5" t="inlineStr">
        <is>
          <t>CoefficientPercent</t>
        </is>
      </c>
      <c r="G192" s="5" t="inlineStr">
        <is>
          <t>EffectiveHits</t>
        </is>
      </c>
      <c r="H192" s="5" t="inlineStr">
        <is>
          <t>ProcProbability</t>
        </is>
      </c>
      <c r="I192" s="5" t="inlineStr">
        <is>
          <t>MapleHeroMultiplier</t>
        </is>
      </c>
      <c r="J192" s="5" t="inlineStr">
        <is>
          <t>BaseDamage</t>
        </is>
      </c>
      <c r="K192" s="5" t="inlineStr">
        <is>
          <t>BaseHitDamage</t>
        </is>
      </c>
      <c r="L192" s="5" t="inlineStr">
        <is>
          <t>NonCritAvg</t>
        </is>
      </c>
      <c r="M192" s="5" t="inlineStr">
        <is>
          <t>CritAvg</t>
        </is>
      </c>
      <c r="N192" s="5" t="inlineStr">
        <is>
          <t>ExpectedDamage(perHit)</t>
        </is>
      </c>
      <c r="O192" s="5" t="inlineStr">
        <is>
          <t>DPS</t>
        </is>
      </c>
      <c r="P192" s="5" t="inlineStr">
        <is>
          <t>% of Total</t>
        </is>
      </c>
      <c r="Q192" s="5" t="inlineStr">
        <is>
          <t>InvCooldown</t>
        </is>
      </c>
      <c r="R192" s="5" t="inlineStr">
        <is>
          <t>CastsInFight</t>
        </is>
      </c>
      <c r="S192" s="5" t="inlineStr">
        <is>
          <t>HitRate(perSec)</t>
        </is>
      </c>
      <c r="U192" t="inlineStr">
        <is>
          <t>helpers</t>
        </is>
      </c>
    </row>
    <row r="193">
      <c r="A193">
        <f>Skills!A2</f>
        <v/>
      </c>
      <c r="B193">
        <f>Skills!B2</f>
        <v/>
      </c>
      <c r="C193">
        <f>Inputs!$B$3&gt;=100</f>
        <v/>
      </c>
      <c r="D193" t="inlineStr"/>
      <c r="E193" t="inlineStr"/>
      <c r="F193">
        <f>U195+Skills!O2</f>
        <v/>
      </c>
      <c r="G193">
        <f>Skills!G2*IF(Skills!H2&gt;0,Skills!I2/Skills!H2,1)</f>
        <v/>
      </c>
      <c r="H193">
        <f>1-(1-Skills!J2/100)^Skills!K2</f>
        <v/>
      </c>
      <c r="I193" t="inlineStr">
        <is>
          <t>1</t>
        </is>
      </c>
      <c r="J193">
        <f>((Inputs!$B$6*(1+Inputs!$B$7/100))+(((Inputs!$B$12*(1+Inputs!$B$13/100))-(Inputs!$B$12*(1+Inputs!$B$13/100)))+0.25*(Inputs!$B$14-Inputs!$B$14))*(1+Inputs!$B$7/100))*(F193/100)</f>
        <v/>
      </c>
      <c r="K193">
        <f>J193*(1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193)</f>
        <v/>
      </c>
      <c r="L193">
        <f>K193*(MIN(Inputs!$B$22+((C213=TRUE)*(F213-Calc!F22)),(Inputs!$B$23+((C215=TRUE)*(F215-Calc!F24))+(IF(ArtifactsInput!$M$15,CHOOSE(ArtifactsInput!$N$15+1,25,30,35,40,45,50)/100*(Inputs!$B$11-Inputs!$B$11),0))))/100+(Inputs!$B$23+((C215=TRUE)*(F215-Calc!F24))+(IF(ArtifactsInput!$M$15,CHOOSE(ArtifactsInput!$N$15+1,25,30,35,40,45,50)/100*(Inputs!$B$11-Inputs!$B$11),0)))/100)/2</f>
        <v/>
      </c>
      <c r="M193">
        <f>L193*(1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3">
        <f>L193*(1-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193*(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3">
        <f>(1-Summary!$B$11)*T193+Summary!$B$11*V193</f>
        <v/>
      </c>
      <c r="P193">
        <f>IF(B228=0,0,O193/B228)</f>
        <v/>
      </c>
      <c r="Q193" t="n">
        <v>0</v>
      </c>
      <c r="R193" t="n">
        <v>0</v>
      </c>
      <c r="S193">
        <f>IFERROR(O193/N193,0)</f>
        <v/>
      </c>
      <c r="T193">
        <f>IF(C193,(Skills!G2*N193*B222)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193*(1-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193*(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193*(1-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193*(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3">
        <f>MAX(0,(Inputs!$B$3-100)*3)+Inputs!$B$28+Inputs!$B$29</f>
        <v/>
      </c>
      <c r="V193">
        <f>IF(C193,(Skills!G2*N193*B222)*IF(Inputs!$B$38="pvp",1,(1+(Inputs!$B$21+Skills!Q2+(IF(ArtifactsInput!$M$33,CHOOSE(ArtifactsInput!$N$33+1,30,36,42,48,54,60),0))+(IF(AND(ArtifactsInput!$M$35,Inputs!$B$4&lt;&gt;"Chapter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4">
      <c r="A194">
        <f>Skills!A3</f>
        <v/>
      </c>
      <c r="B194">
        <f>Skills!B3</f>
        <v/>
      </c>
      <c r="C194">
        <f>Inputs!$B$3&gt;=50</f>
        <v/>
      </c>
      <c r="D194">
        <f>IF(Skills!C3=1,60+Inputs!$B$25+Inputs!$B$29,IF(Skills!C3=2,90+Inputs!$B$26+Inputs!$B$29,IF(Skills!C3=3,120+Inputs!$B$27+Inputs!$B$29,MAX(0,(Inputs!$B$3-100)*3)+Inputs!$B$28+Inputs!$B$29)))</f>
        <v/>
      </c>
      <c r="E194">
        <f>INDEX(FactorTable!$B$2:$Y$301, MATCH(ROUND(MIN(300,MAX(1,D194)),0), FactorTable!$A$2:$A$301,0), Skills!M3+1)</f>
        <v/>
      </c>
      <c r="F194">
        <f>IF(Skills!N3=TRUE,(Skills!L3/10)*(E194/1000),Skills!L3/10)+Skills!O3</f>
        <v/>
      </c>
      <c r="G194" t="inlineStr"/>
      <c r="H194" t="inlineStr"/>
      <c r="I194" t="inlineStr">
        <is>
          <t>1</t>
        </is>
      </c>
      <c r="J194" t="inlineStr"/>
      <c r="K194" t="inlineStr"/>
      <c r="L194" t="inlineStr"/>
      <c r="M194" t="inlineStr"/>
      <c r="N194" t="inlineStr"/>
      <c r="O194" t="inlineStr"/>
      <c r="P194" t="inlineStr"/>
      <c r="Q194" t="inlineStr"/>
      <c r="R194" t="inlineStr"/>
      <c r="S194" t="inlineStr"/>
      <c r="U194">
        <f>INDEX(FactorTable!$B$2:$Y$301, MATCH(ROUND(MIN(300,MAX(1,U193)),0), FactorTable!$A$2:$A$301,0), 22)</f>
        <v/>
      </c>
    </row>
    <row r="195">
      <c r="A195">
        <f>Skills!A4</f>
        <v/>
      </c>
      <c r="B195">
        <f>Skills!B4</f>
        <v/>
      </c>
      <c r="C195">
        <f>Inputs!$B$3&gt;=35</f>
        <v/>
      </c>
      <c r="D195">
        <f>IF(Skills!C4=1,60+Inputs!$B$25+Inputs!$B$29,IF(Skills!C4=2,90+Inputs!$B$26+Inputs!$B$29,IF(Skills!C4=3,120+Inputs!$B$27+Inputs!$B$29,MAX(0,(Inputs!$B$3-100)*3)+Inputs!$B$28+Inputs!$B$29)))</f>
        <v/>
      </c>
      <c r="E195">
        <f>INDEX(FactorTable!$B$2:$Y$301, MATCH(ROUND(MIN(300,MAX(1,D195)),0), FactorTable!$A$2:$A$301,0), Skills!M4+1)</f>
        <v/>
      </c>
      <c r="F195">
        <f>IF(Skills!N4=TRUE,(Skills!L4/10)*(E195/1000),Skills!L4/10)+Skills!O4</f>
        <v/>
      </c>
      <c r="G195">
        <f>Skills!G4*IF(Skills!H4&gt;0,Skills!I4/Skills!H4,1)</f>
        <v/>
      </c>
      <c r="H195">
        <f>1-(1-Skills!J4/100)^Skills!K4</f>
        <v/>
      </c>
      <c r="I195" t="inlineStr">
        <is>
          <t>1</t>
        </is>
      </c>
      <c r="J195">
        <f>((Inputs!$B$6*(1+Inputs!$B$7/100))+(((Inputs!$B$12*(1+Inputs!$B$13/100))-(Inputs!$B$12*(1+Inputs!$B$13/100)))+0.25*(Inputs!$B$14-Inputs!$B$14))*(1+Inputs!$B$7/100))*(F195/100)</f>
        <v/>
      </c>
      <c r="K195">
        <f>J195*(1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203=TRUE,F203,0)/100)*(1+(IF(Skills!A4="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f>
        <v/>
      </c>
      <c r="L195">
        <f>K195*(MIN(Inputs!$B$22+((C213=TRUE)*(F213-Calc!F22)),(Inputs!$B$23+((C215=TRUE)*(F215-Calc!F24))+(IF(ArtifactsInput!$M$15,CHOOSE(ArtifactsInput!$N$15+1,25,30,35,40,45,50)/100*(Inputs!$B$11-Inputs!$B$11),0))))/100+(Inputs!$B$23+((C215=TRUE)*(F215-Calc!F24))+(IF(ArtifactsInput!$M$15,CHOOSE(ArtifactsInput!$N$15+1,25,30,35,40,45,50)/100*(Inputs!$B$11-Inputs!$B$11),0)))/100)/2</f>
        <v/>
      </c>
      <c r="M195">
        <f>L195*(1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
        <f>L195*(1-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
        <f>(1-Summary!$B$11)*T195+Summary!$B$11*V195</f>
        <v/>
      </c>
      <c r="P195">
        <f>IF(B228=0,0,O195/B228)</f>
        <v/>
      </c>
      <c r="Q195">
        <f>IFERROR(1/(IF(Inputs!$B$38="pvp",15,MAX(0.1,Skills!D4-IF(Skills!E4=TRUE,Inputs!$B$32,0)))*(1-IF(AND(ArtifactsInput!$M$27,Inputs!$B$4="Chapter Hunt"),CHOOSE(ArtifactsInput!$N$27+1,20,24,28,32,36,40),0)/100)),0)</f>
        <v/>
      </c>
      <c r="R195">
        <f>IF(AND(Inputs!$B$38&lt;&gt;"pvp",Inputs!$B$43&gt;0),IF(MAX(0,Inputs!$B$43-B225)&lt;=0,0,(INT(MAX(0,Inputs!$B$43-B225)/(IF(Inputs!$B$38="pvp",15,MAX(0.1,Skills!D4-IF(Skills!E4=TRUE,Inputs!$B$32,0)))*(1-IF(AND(ArtifactsInput!$M$27,Inputs!$B$4="Chapter Hunt"),CHOOSE(ArtifactsInput!$N$27+1,20,24,28,32,36,40),0)/100)))+1)),0)</f>
        <v/>
      </c>
      <c r="S195">
        <f>IFERROR(O195/N195,0)</f>
        <v/>
      </c>
      <c r="T195">
        <f>IF(C195,(H195*N195*IF(AND(Inputs!$B$38&lt;&gt;"pvp",Inputs!$B$43&gt;0),((Skills!G4*((R195-1)*IF(Skills!H4&gt;0,Skills!I4/Skills!H4,1)+IF(Skills!H4&gt;0,MIN(Skills!I4,MAX(0,MAX(0,Inputs!$B$43-B225)-((R195-1)*(IF(Inputs!$B$38="pvp",15,MAX(0.1,Skills!D4-IF(Skills!E4=TRUE,Inputs!$B$32,0)))*(1-IF(AND(ArtifactsInput!$M$27,Inputs!$B$4="Chapter Hunt"),CHOOSE(ArtifactsInput!$N$27+1,20,24,28,32,36,40),0)/100)))))/Skills!H4,1)))/Inputs!$B$43),G195*Q195)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
        <f>290*U194/1000</f>
        <v/>
      </c>
      <c r="V195">
        <f>IF(C195,(H195*N195*IF(AND(Inputs!$B$38&lt;&gt;"pvp",Inputs!$B$43&gt;0),((Skills!G4*((R195-1)*IF(Skills!H4&gt;0,Skills!I4/Skills!H4,1)+IF(Skills!H4&gt;0,MIN(Skills!I4,MAX(0,MAX(0,Inputs!$B$43-B225)-((R195-1)*(IF(Inputs!$B$38="pvp",15,MAX(0.1,Skills!D4-IF(Skills!E4=TRUE,Inputs!$B$32,0)))*(1-IF(AND(ArtifactsInput!$M$27,Inputs!$B$4="Chapter Hunt"),CHOOSE(ArtifactsInput!$N$27+1,20,24,28,32,36,40),0)/100)))))/Skills!H4,1)))/Inputs!$B$43),G195*Q195))*IF(Inputs!$B$38="pvp",1,(1+(Inputs!$B$21+Skills!Q4+(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
      <c r="A196">
        <f>Skills!A5</f>
        <v/>
      </c>
      <c r="B196">
        <f>Skills!B5</f>
        <v/>
      </c>
      <c r="C196">
        <f>Inputs!$B$3&gt;=66</f>
        <v/>
      </c>
      <c r="D196">
        <f>IF(Skills!C5=1,60+Inputs!$B$25+Inputs!$B$29,IF(Skills!C5=2,90+Inputs!$B$26+Inputs!$B$29,IF(Skills!C5=3,120+Inputs!$B$27+Inputs!$B$29,MAX(0,(Inputs!$B$3-100)*3)+Inputs!$B$28+Inputs!$B$29)))</f>
        <v/>
      </c>
      <c r="E196">
        <f>INDEX(FactorTable!$B$2:$Y$301, MATCH(ROUND(MIN(300,MAX(1,D196)),0), FactorTable!$A$2:$A$301,0), Skills!M5+1)</f>
        <v/>
      </c>
      <c r="F196">
        <f>IF(Skills!N5=TRUE,(Skills!L5/10)*(E196/1000),Skills!L5/10)+Skills!O5</f>
        <v/>
      </c>
      <c r="G196">
        <f>Skills!G5*IF(Skills!H5&gt;0,Skills!I5/Skills!H5,1)</f>
        <v/>
      </c>
      <c r="H196">
        <f>1-(1-Skills!J5/100)^Skills!K5</f>
        <v/>
      </c>
      <c r="I196" t="inlineStr">
        <is>
          <t>1</t>
        </is>
      </c>
      <c r="J196">
        <f>((Inputs!$B$6*(1+Inputs!$B$7/100))+(((Inputs!$B$12*(1+Inputs!$B$13/100))-(Inputs!$B$12*(1+Inputs!$B$13/100)))+0.25*(Inputs!$B$14-Inputs!$B$14))*(1+Inputs!$B$7/100))*(F196/100)</f>
        <v/>
      </c>
      <c r="K196">
        <f>J196*(1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203=TRUE,F203,0)/100)*(1+(IF(Skills!A5="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f>
        <v/>
      </c>
      <c r="L196">
        <f>K196*(MIN(Inputs!$B$22+((C213=TRUE)*(F213-Calc!F22)),(Inputs!$B$23+((C215=TRUE)*(F215-Calc!F24))+(IF(ArtifactsInput!$M$15,CHOOSE(ArtifactsInput!$N$15+1,25,30,35,40,45,50)/100*(Inputs!$B$11-Inputs!$B$11),0))))/100+(Inputs!$B$23+((C215=TRUE)*(F215-Calc!F24))+(IF(ArtifactsInput!$M$15,CHOOSE(ArtifactsInput!$N$15+1,25,30,35,40,45,50)/100*(Inputs!$B$11-Inputs!$B$11),0)))/100)/2</f>
        <v/>
      </c>
      <c r="M196">
        <f>L196*(1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
        <f>L196*(1-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
        <f>(1-Summary!$B$11)*T196+Summary!$B$11*V196</f>
        <v/>
      </c>
      <c r="P196">
        <f>IF(B228=0,0,O196/B228)</f>
        <v/>
      </c>
      <c r="Q196">
        <f>IFERROR(1/(IF(Inputs!$B$38="pvp",15,MAX(0.1,Skills!D5-IF(Skills!E5=TRUE,Inputs!$B$32,0)))*(1-IF(AND(ArtifactsInput!$M$27,Inputs!$B$4="Chapter Hunt"),CHOOSE(ArtifactsInput!$N$27+1,20,24,28,32,36,40),0)/100)),0)</f>
        <v/>
      </c>
      <c r="R196">
        <f>IF(AND(Inputs!$B$38&lt;&gt;"pvp",Inputs!$B$43&gt;0),IF(MAX(0,Inputs!$B$43-B225)&lt;=0,0,(INT(MAX(0,Inputs!$B$43-B225)/(IF(Inputs!$B$38="pvp",15,MAX(0.1,Skills!D5-IF(Skills!E5=TRUE,Inputs!$B$32,0)))*(1-IF(AND(ArtifactsInput!$M$27,Inputs!$B$4="Chapter Hunt"),CHOOSE(ArtifactsInput!$N$27+1,20,24,28,32,36,40),0)/100)))+1)),0)</f>
        <v/>
      </c>
      <c r="S196">
        <f>IFERROR(O196/N196,0)</f>
        <v/>
      </c>
      <c r="T196">
        <f>IF(C196,(H196*N196*IF(AND(Inputs!$B$38&lt;&gt;"pvp",Inputs!$B$43&gt;0),((Skills!G5*((R196-1)*IF(Skills!H5&gt;0,Skills!I5/Skills!H5,1)+IF(Skills!H5&gt;0,MIN(Skills!I5,MAX(0,MAX(0,Inputs!$B$43-B225)-((R196-1)*(IF(Inputs!$B$38="pvp",15,MAX(0.1,Skills!D5-IF(Skills!E5=TRUE,Inputs!$B$32,0)))*(1-IF(AND(ArtifactsInput!$M$27,Inputs!$B$4="Chapter Hunt"),CHOOSE(ArtifactsInput!$N$27+1,20,24,28,32,36,40),0)/100)))))/Skills!H5,1)))/Inputs!$B$43),G196*Q196)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
        <f>IF(C196,(H196*N196*IF(AND(Inputs!$B$38&lt;&gt;"pvp",Inputs!$B$43&gt;0),((Skills!G5*((R196-1)*IF(Skills!H5&gt;0,Skills!I5/Skills!H5,1)+IF(Skills!H5&gt;0,MIN(Skills!I5,MAX(0,MAX(0,Inputs!$B$43-B225)-((R196-1)*(IF(Inputs!$B$38="pvp",15,MAX(0.1,Skills!D5-IF(Skills!E5=TRUE,Inputs!$B$32,0)))*(1-IF(AND(ArtifactsInput!$M$27,Inputs!$B$4="Chapter Hunt"),CHOOSE(ArtifactsInput!$N$27+1,20,24,28,32,36,40),0)/100)))))/Skills!H5,1)))/Inputs!$B$43),G196*Q196))*IF(Inputs!$B$38="pvp",1,(1+(Inputs!$B$21+Skills!Q5+(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
      <c r="A197">
        <f>Skills!A6</f>
        <v/>
      </c>
      <c r="B197">
        <f>Skills!B6</f>
        <v/>
      </c>
      <c r="C197">
        <f>Inputs!$B$3&gt;=103</f>
        <v/>
      </c>
      <c r="D197">
        <f>IF(Skills!C6=1,60+Inputs!$B$25+Inputs!$B$29,IF(Skills!C6=2,90+Inputs!$B$26+Inputs!$B$29,IF(Skills!C6=3,120+Inputs!$B$27+Inputs!$B$29,MAX(0,(Inputs!$B$3-100)*3)+Inputs!$B$28+Inputs!$B$29)))</f>
        <v/>
      </c>
      <c r="E197">
        <f>INDEX(FactorTable!$B$2:$Y$301, MATCH(ROUND(MIN(300,MAX(1,D197)),0), FactorTable!$A$2:$A$301,0), Skills!M6+1)</f>
        <v/>
      </c>
      <c r="F197">
        <f>IF(Skills!N6=TRUE,(Skills!L6/10)*(E197/1000),Skills!L6/10)+Skills!O6</f>
        <v/>
      </c>
      <c r="G197">
        <f>Skills!G6*IF(Skills!H6&gt;0,Skills!I6/Skills!H6,1)</f>
        <v/>
      </c>
      <c r="H197">
        <f>1-(1-Skills!J6/100)^Skills!K6</f>
        <v/>
      </c>
      <c r="I197" t="inlineStr">
        <is>
          <t>1</t>
        </is>
      </c>
      <c r="J197">
        <f>((Inputs!$B$6*(1+Inputs!$B$7/100))+(((Inputs!$B$12*(1+Inputs!$B$13/100))-(Inputs!$B$12*(1+Inputs!$B$13/100)))+0.25*(Inputs!$B$14-Inputs!$B$14))*(1+Inputs!$B$7/100))*(F197/100)</f>
        <v/>
      </c>
      <c r="K197">
        <f>J197*(1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f>
        <v/>
      </c>
      <c r="L197">
        <f>K197*(MIN(Inputs!$B$22+((C213=TRUE)*(F213-Calc!F22)),(Inputs!$B$23+((C215=TRUE)*(F215-Calc!F24))+(IF(ArtifactsInput!$M$15,CHOOSE(ArtifactsInput!$N$15+1,25,30,35,40,45,50)/100*(Inputs!$B$11-Inputs!$B$11),0))))/100+(Inputs!$B$23+((C215=TRUE)*(F215-Calc!F24))+(IF(ArtifactsInput!$M$15,CHOOSE(ArtifactsInput!$N$15+1,25,30,35,40,45,50)/100*(Inputs!$B$11-Inputs!$B$11),0)))/100)/2</f>
        <v/>
      </c>
      <c r="M197">
        <f>L197*(1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
        <f>L197*(1-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
        <f>(1-Summary!$B$11)*T197+Summary!$B$11*V197</f>
        <v/>
      </c>
      <c r="P197">
        <f>IF(B228=0,0,O197/B228)</f>
        <v/>
      </c>
      <c r="Q197">
        <f>IFERROR(1/(IF(Inputs!$B$38="pvp",15,MAX(0.1,Skills!D6-IF(Skills!E6=TRUE,Inputs!$B$32,0)))*(1-IF(AND(ArtifactsInput!$M$27,Inputs!$B$4="Chapter Hunt"),CHOOSE(ArtifactsInput!$N$27+1,20,24,28,32,36,40),0)/100)),0)</f>
        <v/>
      </c>
      <c r="R197">
        <f>IF(AND(Inputs!$B$38&lt;&gt;"pvp",Inputs!$B$43&gt;0),IF(MAX(0,Inputs!$B$43-B225)&lt;=0,0,(INT(MAX(0,Inputs!$B$43-B225)/(IF(Inputs!$B$38="pvp",15,MAX(0.1,Skills!D6-IF(Skills!E6=TRUE,Inputs!$B$32,0)))*(1-IF(AND(ArtifactsInput!$M$27,Inputs!$B$4="Chapter Hunt"),CHOOSE(ArtifactsInput!$N$27+1,20,24,28,32,36,40),0)/100)))+1)),0)</f>
        <v/>
      </c>
      <c r="S197">
        <f>IFERROR(O197/N197,0)</f>
        <v/>
      </c>
      <c r="T197">
        <f>IF(C197,(H197*N197*IF(AND(Inputs!$B$38&lt;&gt;"pvp",Inputs!$B$43&gt;0),((Skills!G6*((R197-1)*IF(Skills!H6&gt;0,Skills!I6/Skills!H6,1)+IF(Skills!H6&gt;0,MIN(Skills!I6,MAX(0,MAX(0,Inputs!$B$43-B225)-((R197-1)*(IF(Inputs!$B$38="pvp",15,MAX(0.1,Skills!D6-IF(Skills!E6=TRUE,Inputs!$B$32,0)))*(1-IF(AND(ArtifactsInput!$M$27,Inputs!$B$4="Chapter Hunt"),CHOOSE(ArtifactsInput!$N$27+1,20,24,28,32,36,40),0)/100)))))/Skills!H6,1)))/Inputs!$B$43),G197*Q197)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
        <f>IF(C197,(H197*N197*IF(AND(Inputs!$B$38&lt;&gt;"pvp",Inputs!$B$43&gt;0),((Skills!G6*((R197-1)*IF(Skills!H6&gt;0,Skills!I6/Skills!H6,1)+IF(Skills!H6&gt;0,MIN(Skills!I6,MAX(0,MAX(0,Inputs!$B$43-B225)-((R197-1)*(IF(Inputs!$B$38="pvp",15,MAX(0.1,Skills!D6-IF(Skills!E6=TRUE,Inputs!$B$32,0)))*(1-IF(AND(ArtifactsInput!$M$27,Inputs!$B$4="Chapter Hunt"),CHOOSE(ArtifactsInput!$N$27+1,20,24,28,32,36,40),0)/100)))))/Skills!H6,1)))/Inputs!$B$43),G197*Q197))*IF(Inputs!$B$38="pvp",1,(1+(Inputs!$B$21+Skills!Q6+(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8">
      <c r="A198">
        <f>Skills!A7</f>
        <v/>
      </c>
      <c r="B198">
        <f>Skills!B7</f>
        <v/>
      </c>
      <c r="C198">
        <f>Inputs!$B$3&gt;=107</f>
        <v/>
      </c>
      <c r="D198">
        <f>IF(Skills!C7=1,60+Inputs!$B$25+Inputs!$B$29,IF(Skills!C7=2,90+Inputs!$B$26+Inputs!$B$29,IF(Skills!C7=3,120+Inputs!$B$27+Inputs!$B$29,MAX(0,(Inputs!$B$3-100)*3)+Inputs!$B$28+Inputs!$B$29)))</f>
        <v/>
      </c>
      <c r="E198">
        <f>INDEX(FactorTable!$B$2:$Y$301, MATCH(ROUND(MIN(300,MAX(1,D198)),0), FactorTable!$A$2:$A$301,0), Skills!M7+1)</f>
        <v/>
      </c>
      <c r="F198">
        <f>IF(Skills!N7=TRUE,(Skills!L7/10)*(E198/1000),Skills!L7/10)+Skills!O7</f>
        <v/>
      </c>
      <c r="G198">
        <f>Skills!G7*IF(Skills!H7&gt;0,Skills!I7/Skills!H7,1)</f>
        <v/>
      </c>
      <c r="H198">
        <f>1-(1-Skills!J7/100)^Skills!K7</f>
        <v/>
      </c>
      <c r="I198" t="inlineStr">
        <is>
          <t>1</t>
        </is>
      </c>
      <c r="J198">
        <f>((Inputs!$B$6*(1+Inputs!$B$7/100))+(((Inputs!$B$12*(1+Inputs!$B$13/100))-(Inputs!$B$12*(1+Inputs!$B$13/100)))+0.25*(Inputs!$B$14-Inputs!$B$14))*(1+Inputs!$B$7/100))*(F198/100)</f>
        <v/>
      </c>
      <c r="K198">
        <f>J198*(1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198)</f>
        <v/>
      </c>
      <c r="L198">
        <f>K198*(MIN(Inputs!$B$22+((C213=TRUE)*(F213-Calc!F22)),(Inputs!$B$23+((C215=TRUE)*(F215-Calc!F24))+(IF(ArtifactsInput!$M$15,CHOOSE(ArtifactsInput!$N$15+1,25,30,35,40,45,50)/100*(Inputs!$B$11-Inputs!$B$11),0))))/100+(Inputs!$B$23+((C215=TRUE)*(F215-Calc!F24))+(IF(ArtifactsInput!$M$15,CHOOSE(ArtifactsInput!$N$15+1,25,30,35,40,45,50)/100*(Inputs!$B$11-Inputs!$B$11),0)))/100)/2</f>
        <v/>
      </c>
      <c r="M198">
        <f>L198*(1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8">
        <f>L198*(1-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198*(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8">
        <f>(1-Summary!$B$11)*T198+Summary!$B$11*V198</f>
        <v/>
      </c>
      <c r="P198">
        <f>IF(B228=0,0,O198/B228)</f>
        <v/>
      </c>
      <c r="Q198">
        <f>IFERROR(1/(IF(Inputs!$B$38="pvp",15,MAX(0.1,Skills!D7-IF(Skills!E7=TRUE,Inputs!$B$32,0)))*(1-IF(AND(ArtifactsInput!$M$27,Inputs!$B$4="Chapter Hunt"),CHOOSE(ArtifactsInput!$N$27+1,20,24,28,32,36,40),0)/100)),0)</f>
        <v/>
      </c>
      <c r="R198">
        <f>IF(AND(Inputs!$B$38&lt;&gt;"pvp",Inputs!$B$43&gt;0),IF(MAX(0,Inputs!$B$43-B225)&lt;=0,0,(INT(MAX(0,Inputs!$B$43-B225)/(IF(Inputs!$B$38="pvp",15,MAX(0.1,Skills!D7-IF(Skills!E7=TRUE,Inputs!$B$32,0)))*(1-IF(AND(ArtifactsInput!$M$27,Inputs!$B$4="Chapter Hunt"),CHOOSE(ArtifactsInput!$N$27+1,20,24,28,32,36,40),0)/100)))+1)),0)</f>
        <v/>
      </c>
      <c r="S198">
        <f>IFERROR(O198/N198,0)</f>
        <v/>
      </c>
      <c r="T198">
        <f>IF(C198,(H198*N198*IF(AND(Inputs!$B$38&lt;&gt;"pvp",Inputs!$B$43&gt;0),((Skills!G7*((R198-1)*IF(Skills!H7&gt;0,Skills!I7/Skills!H7,1)+IF(Skills!H7&gt;0,MIN(Skills!I7,MAX(0,MAX(0,Inputs!$B$43-B225)-((R198-1)*(IF(Inputs!$B$38="pvp",15,MAX(0.1,Skills!D7-IF(Skills!E7=TRUE,Inputs!$B$32,0)))*(1-IF(AND(ArtifactsInput!$M$27,Inputs!$B$4="Chapter Hunt"),CHOOSE(ArtifactsInput!$N$27+1,20,24,28,32,36,40),0)/100)))))/Skills!H7,1)))/Inputs!$B$43),G198*Q198)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198*(1-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198*(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198*(1-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198*(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8">
        <f>IF(C198,(H198*N198*IF(AND(Inputs!$B$38&lt;&gt;"pvp",Inputs!$B$43&gt;0),((Skills!G7*((R198-1)*IF(Skills!H7&gt;0,Skills!I7/Skills!H7,1)+IF(Skills!H7&gt;0,MIN(Skills!I7,MAX(0,MAX(0,Inputs!$B$43-B225)-((R198-1)*(IF(Inputs!$B$38="pvp",15,MAX(0.1,Skills!D7-IF(Skills!E7=TRUE,Inputs!$B$32,0)))*(1-IF(AND(ArtifactsInput!$M$27,Inputs!$B$4="Chapter Hunt"),CHOOSE(ArtifactsInput!$N$27+1,20,24,28,32,36,40),0)/100)))))/Skills!H7,1)))/Inputs!$B$43),G198*Q198))*IF(Inputs!$B$38="pvp",1,(1+(Inputs!$B$21+Skills!Q7+(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
      <c r="A199">
        <f>Skills!A8</f>
        <v/>
      </c>
      <c r="B199">
        <f>Skills!B8</f>
        <v/>
      </c>
      <c r="C199">
        <f>Inputs!$B$3&gt;=107</f>
        <v/>
      </c>
      <c r="D199">
        <f>IF(Skills!C8=1,60+Inputs!$B$25+Inputs!$B$29,IF(Skills!C8=2,90+Inputs!$B$26+Inputs!$B$29,IF(Skills!C8=3,120+Inputs!$B$27+Inputs!$B$29,MAX(0,(Inputs!$B$3-100)*3)+Inputs!$B$28+Inputs!$B$29)))</f>
        <v/>
      </c>
      <c r="E199">
        <f>INDEX(FactorTable!$B$2:$Y$301, MATCH(ROUND(MIN(300,MAX(1,D199)),0), FactorTable!$A$2:$A$301,0), Skills!M8+1)</f>
        <v/>
      </c>
      <c r="F199">
        <f>IF(Skills!N8=TRUE,(Skills!L8/10)*(E199/1000),Skills!L8/10)+Skills!O8</f>
        <v/>
      </c>
      <c r="G199">
        <f>Skills!G8*IF(Skills!H8&gt;0,Skills!I8/Skills!H8,1)</f>
        <v/>
      </c>
      <c r="H199">
        <f>1-(1-Skills!J8/100)^Skills!K8</f>
        <v/>
      </c>
      <c r="I199" t="inlineStr">
        <is>
          <t>1</t>
        </is>
      </c>
      <c r="J199">
        <f>((Inputs!$B$6*(1+Inputs!$B$7/100))+(((Inputs!$B$12*(1+Inputs!$B$13/100))-(Inputs!$B$12*(1+Inputs!$B$13/100)))+0.25*(Inputs!$B$14-Inputs!$B$14))*(1+Inputs!$B$7/100))*(F199/100)</f>
        <v/>
      </c>
      <c r="K199">
        <f>J199*(1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f>
        <v/>
      </c>
      <c r="L199">
        <f>K199*(MIN(Inputs!$B$22+((C213=TRUE)*(F213-Calc!F22)),(Inputs!$B$23+((C215=TRUE)*(F215-Calc!F24))+(IF(ArtifactsInput!$M$15,CHOOSE(ArtifactsInput!$N$15+1,25,30,35,40,45,50)/100*(Inputs!$B$11-Inputs!$B$11),0))))/100+(Inputs!$B$23+((C215=TRUE)*(F215-Calc!F24))+(IF(ArtifactsInput!$M$15,CHOOSE(ArtifactsInput!$N$15+1,25,30,35,40,45,50)/100*(Inputs!$B$11-Inputs!$B$11),0)))/100)/2</f>
        <v/>
      </c>
      <c r="M199">
        <f>L199*(1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
        <f>L199*(1-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
        <f>(1-Summary!$B$11)*T199+Summary!$B$11*V199</f>
        <v/>
      </c>
      <c r="P199">
        <f>IF(B228=0,0,O199/B228)</f>
        <v/>
      </c>
      <c r="Q199">
        <f>IFERROR(1/(IF(Inputs!$B$38="pvp",15,MAX(0.1,Skills!D8-IF(Skills!E8=TRUE,Inputs!$B$32,0)))*(1-IF(AND(ArtifactsInput!$M$27,Inputs!$B$4="Chapter Hunt"),CHOOSE(ArtifactsInput!$N$27+1,20,24,28,32,36,40),0)/100)),0)</f>
        <v/>
      </c>
      <c r="R199">
        <f>IF(AND(Inputs!$B$38&lt;&gt;"pvp",Inputs!$B$43&gt;0),IF(MAX(0,Inputs!$B$43-B225)&lt;=0,0,(INT(MAX(0,Inputs!$B$43-B225)/(IF(Inputs!$B$38="pvp",15,MAX(0.1,Skills!D8-IF(Skills!E8=TRUE,Inputs!$B$32,0)))*(1-IF(AND(ArtifactsInput!$M$27,Inputs!$B$4="Chapter Hunt"),CHOOSE(ArtifactsInput!$N$27+1,20,24,28,32,36,40),0)/100)))+1)),0)</f>
        <v/>
      </c>
      <c r="S199">
        <f>IFERROR(O199/N199,0)</f>
        <v/>
      </c>
      <c r="T199">
        <f>IF(C199,(H199*N199*IF(AND(Inputs!$B$38&lt;&gt;"pvp",Inputs!$B$43&gt;0),((Skills!G8*((R199-1)*IF(Skills!H8&gt;0,Skills!I8/Skills!H8,1)+IF(Skills!H8&gt;0,MIN(Skills!I8,MAX(0,MAX(0,Inputs!$B$43-B225)-((R199-1)*(IF(Inputs!$B$38="pvp",15,MAX(0.1,Skills!D8-IF(Skills!E8=TRUE,Inputs!$B$32,0)))*(1-IF(AND(ArtifactsInput!$M$27,Inputs!$B$4="Chapter Hunt"),CHOOSE(ArtifactsInput!$N$27+1,20,24,28,32,36,40),0)/100)))))/Skills!H8,1)))/Inputs!$B$43),G199*Q199)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9">
        <f>IF(C199,(H199*N199*IF(AND(Inputs!$B$38&lt;&gt;"pvp",Inputs!$B$43&gt;0),((Skills!G8*((R199-1)*IF(Skills!H8&gt;0,Skills!I8/Skills!H8,1)+IF(Skills!H8&gt;0,MIN(Skills!I8,MAX(0,MAX(0,Inputs!$B$43-B225)-((R199-1)*(IF(Inputs!$B$38="pvp",15,MAX(0.1,Skills!D8-IF(Skills!E8=TRUE,Inputs!$B$32,0)))*(1-IF(AND(ArtifactsInput!$M$27,Inputs!$B$4="Chapter Hunt"),CHOOSE(ArtifactsInput!$N$27+1,20,24,28,32,36,40),0)/100)))))/Skills!H8,1)))/Inputs!$B$43),G199*Q199))*IF(Inputs!$B$38="pvp",1,(1+(Inputs!$B$21+Skills!Q8+(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
      <c r="A200">
        <f>Skills!A9</f>
        <v/>
      </c>
      <c r="B200">
        <f>Skills!B9</f>
        <v/>
      </c>
      <c r="C200">
        <f>Inputs!$B$3&gt;=125</f>
        <v/>
      </c>
      <c r="D200">
        <f>IF(Skills!C9=1,60+Inputs!$B$25+Inputs!$B$29,IF(Skills!C9=2,90+Inputs!$B$26+Inputs!$B$29,IF(Skills!C9=3,120+Inputs!$B$27+Inputs!$B$29,MAX(0,(Inputs!$B$3-100)*3)+Inputs!$B$28+Inputs!$B$29)))</f>
        <v/>
      </c>
      <c r="E200">
        <f>INDEX(FactorTable!$B$2:$Y$301, MATCH(ROUND(MIN(300,MAX(1,D200)),0), FactorTable!$A$2:$A$301,0), Skills!M9+1)</f>
        <v/>
      </c>
      <c r="F200">
        <f>IF(Skills!N9=TRUE,(Skills!L9/10)*(E200/1000),Skills!L9/10)+Skills!O9</f>
        <v/>
      </c>
      <c r="G200">
        <f>Skills!G9*IF(Skills!H9&gt;0,Skills!I9/Skills!H9,1)</f>
        <v/>
      </c>
      <c r="H200">
        <f>1-(1-Skills!J9/100)^Skills!K9</f>
        <v/>
      </c>
      <c r="I200" t="inlineStr">
        <is>
          <t>1</t>
        </is>
      </c>
      <c r="J200">
        <f>((Inputs!$B$6*(1+Inputs!$B$7/100))+(((Inputs!$B$12*(1+Inputs!$B$13/100))-(Inputs!$B$12*(1+Inputs!$B$13/100)))+0.25*(Inputs!$B$14-Inputs!$B$14))*(1+Inputs!$B$7/100))*(F200/100)</f>
        <v/>
      </c>
      <c r="K200">
        <f>J200*(1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f>
        <v/>
      </c>
      <c r="L200">
        <f>K200*(MIN(Inputs!$B$22+((C213=TRUE)*(F213-Calc!F22)),(Inputs!$B$23+((C215=TRUE)*(F215-Calc!F24))+(IF(ArtifactsInput!$M$15,CHOOSE(ArtifactsInput!$N$15+1,25,30,35,40,45,50)/100*(Inputs!$B$11-Inputs!$B$11),0))))/100+(Inputs!$B$23+((C215=TRUE)*(F215-Calc!F24))+(IF(ArtifactsInput!$M$15,CHOOSE(ArtifactsInput!$N$15+1,25,30,35,40,45,50)/100*(Inputs!$B$11-Inputs!$B$11),0)))/100)/2</f>
        <v/>
      </c>
      <c r="M200">
        <f>L200*(1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
        <f>L200*(1-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
        <f>(1-Summary!$B$11)*T200+Summary!$B$11*V200</f>
        <v/>
      </c>
      <c r="P200">
        <f>IF(B228=0,0,O200/B228)</f>
        <v/>
      </c>
      <c r="Q200">
        <f>IFERROR(1/(IF(Inputs!$B$38="pvp",15,MAX(0.1,Skills!D9-IF(Skills!E9=TRUE,Inputs!$B$32,0)))*(1-IF(AND(ArtifactsInput!$M$27,Inputs!$B$4="Chapter Hunt"),CHOOSE(ArtifactsInput!$N$27+1,20,24,28,32,36,40),0)/100)),0)</f>
        <v/>
      </c>
      <c r="R200">
        <f>IF(AND(Inputs!$B$38&lt;&gt;"pvp",Inputs!$B$43&gt;0),IF(MAX(0,Inputs!$B$43-B225)&lt;=0,0,(INT(MAX(0,Inputs!$B$43-B225)/(IF(Inputs!$B$38="pvp",15,MAX(0.1,Skills!D9-IF(Skills!E9=TRUE,Inputs!$B$32,0)))*(1-IF(AND(ArtifactsInput!$M$27,Inputs!$B$4="Chapter Hunt"),CHOOSE(ArtifactsInput!$N$27+1,20,24,28,32,36,40),0)/100)))+1)),0)</f>
        <v/>
      </c>
      <c r="S200">
        <f>IFERROR(O200/N200,0)</f>
        <v/>
      </c>
      <c r="T200">
        <f>IF(C200,(H200*N200*IF(AND(Inputs!$B$38&lt;&gt;"pvp",Inputs!$B$43&gt;0),((Skills!G9*((R200-1)*IF(Skills!H9&gt;0,Skills!I9/Skills!H9,1)+IF(Skills!H9&gt;0,MIN(Skills!I9,MAX(0,MAX(0,Inputs!$B$43-B225)-((R200-1)*(IF(Inputs!$B$38="pvp",15,MAX(0.1,Skills!D9-IF(Skills!E9=TRUE,Inputs!$B$32,0)))*(1-IF(AND(ArtifactsInput!$M$27,Inputs!$B$4="Chapter Hunt"),CHOOSE(ArtifactsInput!$N$27+1,20,24,28,32,36,40),0)/100)))))/Skills!H9,1)))/Inputs!$B$43),G200*Q200)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
        <f>IF(C200,(H200*N200*IF(AND(Inputs!$B$38&lt;&gt;"pvp",Inputs!$B$43&gt;0),((Skills!G9*((R200-1)*IF(Skills!H9&gt;0,Skills!I9/Skills!H9,1)+IF(Skills!H9&gt;0,MIN(Skills!I9,MAX(0,MAX(0,Inputs!$B$43-B225)-((R200-1)*(IF(Inputs!$B$38="pvp",15,MAX(0.1,Skills!D9-IF(Skills!E9=TRUE,Inputs!$B$32,0)))*(1-IF(AND(ArtifactsInput!$M$27,Inputs!$B$4="Chapter Hunt"),CHOOSE(ArtifactsInput!$N$27+1,20,24,28,32,36,40),0)/100)))))/Skills!H9,1)))/Inputs!$B$43),G200*Q200))*IF(Inputs!$B$38="pvp",1,(1+(Inputs!$B$21+Skills!Q9+(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
      <c r="A201">
        <f>Skills!A10</f>
        <v/>
      </c>
      <c r="B201">
        <f>Skills!B10</f>
        <v/>
      </c>
      <c r="C201">
        <f>Inputs!$B$3&gt;=117</f>
        <v/>
      </c>
      <c r="D201">
        <f>IF(Skills!C10=1,60+Inputs!$B$25+Inputs!$B$29,IF(Skills!C10=2,90+Inputs!$B$26+Inputs!$B$29,IF(Skills!C10=3,120+Inputs!$B$27+Inputs!$B$29,MAX(0,(Inputs!$B$3-100)*3)+Inputs!$B$28+Inputs!$B$29)))</f>
        <v/>
      </c>
      <c r="E201">
        <f>INDEX(FactorTable!$B$2:$Y$301, MATCH(ROUND(MIN(300,MAX(1,D201)),0), FactorTable!$A$2:$A$301,0), Skills!M10+1)</f>
        <v/>
      </c>
      <c r="F201">
        <f>IF(Skills!N10=TRUE,(Skills!L10/10)*(E201/1000),Skills!L10/10)+Skills!O10</f>
        <v/>
      </c>
      <c r="G201">
        <f>Skills!G10*IF(Skills!H10&gt;0,Skills!I10/Skills!H10,1)</f>
        <v/>
      </c>
      <c r="H201">
        <f>1-(1-Skills!J10/100)^Skills!K10</f>
        <v/>
      </c>
      <c r="I201" t="inlineStr">
        <is>
          <t>1</t>
        </is>
      </c>
      <c r="J201">
        <f>((Inputs!$B$6*(1+Inputs!$B$7/100))+(((Inputs!$B$12*(1+Inputs!$B$13/100))-(Inputs!$B$12*(1+Inputs!$B$13/100)))+0.25*(Inputs!$B$14-Inputs!$B$14))*(1+Inputs!$B$7/100))*(F201/100)</f>
        <v/>
      </c>
      <c r="K201">
        <f>J201*(1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f>
        <v/>
      </c>
      <c r="L201">
        <f>K201*(MIN(Inputs!$B$22+((C213=TRUE)*(F213-Calc!F22)),(Inputs!$B$23+((C215=TRUE)*(F215-Calc!F24))+(IF(ArtifactsInput!$M$15,CHOOSE(ArtifactsInput!$N$15+1,25,30,35,40,45,50)/100*(Inputs!$B$11-Inputs!$B$11),0))))/100+(Inputs!$B$23+((C215=TRUE)*(F215-Calc!F24))+(IF(ArtifactsInput!$M$15,CHOOSE(ArtifactsInput!$N$15+1,25,30,35,40,45,50)/100*(Inputs!$B$11-Inputs!$B$11),0)))/100)/2</f>
        <v/>
      </c>
      <c r="M201">
        <f>L201*(1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
        <f>L201*(1-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
        <f>(1-Summary!$B$11)*T201+Summary!$B$11*V201</f>
        <v/>
      </c>
      <c r="P201">
        <f>IF(B228=0,0,O201/B228)</f>
        <v/>
      </c>
      <c r="Q201">
        <f>IFERROR(1/(IF(Inputs!$B$38="pvp",15,MAX(0.1,Skills!D10-IF(Skills!E10=TRUE,Inputs!$B$32,0)))*(1-IF(AND(ArtifactsInput!$M$27,Inputs!$B$4="Chapter Hunt"),CHOOSE(ArtifactsInput!$N$27+1,20,24,28,32,36,40),0)/100)),0)</f>
        <v/>
      </c>
      <c r="R201">
        <f>IF(AND(Inputs!$B$38&lt;&gt;"pvp",Inputs!$B$43&gt;0),IF(MAX(0,Inputs!$B$43-B225)&lt;=0,0,(INT(MAX(0,Inputs!$B$43-B225)/(IF(Inputs!$B$38="pvp",15,MAX(0.1,Skills!D10-IF(Skills!E10=TRUE,Inputs!$B$32,0)))*(1-IF(AND(ArtifactsInput!$M$27,Inputs!$B$4="Chapter Hunt"),CHOOSE(ArtifactsInput!$N$27+1,20,24,28,32,36,40),0)/100)))+1)),0)</f>
        <v/>
      </c>
      <c r="S201">
        <f>IFERROR(O201/N201,0)</f>
        <v/>
      </c>
      <c r="T201">
        <f>IF(C201,(H201*N201*IF(AND(Inputs!$B$38&lt;&gt;"pvp",Inputs!$B$43&gt;0),((Skills!G10*((R201-1)*IF(Skills!H10&gt;0,Skills!I10/Skills!H10,1)+IF(Skills!H10&gt;0,MIN(Skills!I10,MAX(0,MAX(0,Inputs!$B$43-B225)-((R201-1)*(IF(Inputs!$B$38="pvp",15,MAX(0.1,Skills!D10-IF(Skills!E10=TRUE,Inputs!$B$32,0)))*(1-IF(AND(ArtifactsInput!$M$27,Inputs!$B$4="Chapter Hunt"),CHOOSE(ArtifactsInput!$N$27+1,20,24,28,32,36,40),0)/100)))))/Skills!H10,1)))/Inputs!$B$43),G201*Q201)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
        <f>IF(C201,(H201*N201*IF(AND(Inputs!$B$38&lt;&gt;"pvp",Inputs!$B$43&gt;0),((Skills!G10*((R201-1)*IF(Skills!H10&gt;0,Skills!I10/Skills!H10,1)+IF(Skills!H10&gt;0,MIN(Skills!I10,MAX(0,MAX(0,Inputs!$B$43-B225)-((R201-1)*(IF(Inputs!$B$38="pvp",15,MAX(0.1,Skills!D10-IF(Skills!E10=TRUE,Inputs!$B$32,0)))*(1-IF(AND(ArtifactsInput!$M$27,Inputs!$B$4="Chapter Hunt"),CHOOSE(ArtifactsInput!$N$27+1,20,24,28,32,36,40),0)/100)))))/Skills!H10,1)))/Inputs!$B$43),G201*Q201))*IF(Inputs!$B$38="pvp",1,(1+(Inputs!$B$21+Skills!Q10+(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
      <c r="A202">
        <f>Skills!A11</f>
        <v/>
      </c>
      <c r="B202">
        <f>Skills!B11</f>
        <v/>
      </c>
      <c r="C202">
        <f>Inputs!$B$3&gt;=63</f>
        <v/>
      </c>
      <c r="D202">
        <f>IF(Skills!C11=1,60+Inputs!$B$25+Inputs!$B$29,IF(Skills!C11=2,90+Inputs!$B$26+Inputs!$B$29,IF(Skills!C11=3,120+Inputs!$B$27+Inputs!$B$29,MAX(0,(Inputs!$B$3-100)*3)+Inputs!$B$28+Inputs!$B$29)))</f>
        <v/>
      </c>
      <c r="E202">
        <f>INDEX(FactorTable!$B$2:$Y$301, MATCH(ROUND(MIN(300,MAX(1,D202)),0), FactorTable!$A$2:$A$301,0), Skills!M11+1)</f>
        <v/>
      </c>
      <c r="F202">
        <f>IF(Skills!N11=TRUE,(Skills!L11/10)*(E202/1000),Skills!L11/10)+Skills!O11</f>
        <v/>
      </c>
      <c r="G202">
        <f>Skills!G11*IF(Skills!H11&gt;0,Skills!I11/Skills!H11,1)</f>
        <v/>
      </c>
      <c r="H202">
        <f>1-(1-Skills!J11/100)^Skills!K11</f>
        <v/>
      </c>
      <c r="I202" t="inlineStr">
        <is>
          <t>1</t>
        </is>
      </c>
      <c r="J202">
        <f>((Inputs!$B$6*(1+Inputs!$B$7/100))+(((Inputs!$B$12*(1+Inputs!$B$13/100))-(Inputs!$B$12*(1+Inputs!$B$13/100)))+0.25*(Inputs!$B$14-Inputs!$B$14))*(1+Inputs!$B$7/100))*(F202/100)</f>
        <v/>
      </c>
      <c r="K202">
        <f>J202*(1+((Inputs!$B$12*(1+Inputs!$B$13/100))*0.01+Inputs!$B$14*0.0025)/100)*(1+(Inputs!$B$15+1)/100)*(1+Inputs!$B$16/100)*(5000/(6000+Inputs!$B$42*(1-(Inputs!$B$19+0)/100)))*(1+(Inputs!$B$24+0+B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203=TRUE,F203,0)/100)*(1+(IF(Skills!A11="BLAST",Inputs!$B$17+((C212=TRUE)*(F212-Calc!F21))+((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MIN(100,((Inputs!$B$9+0+B218+(ArtifactsInput!$M$24-ArtifactsInput!$M$24)*CHOOSE(ArtifactsInput!$N$24+1,10,12,14,16,18,20)+IF(ArtifactsInput!$M$10,CHOOSE(ArtifactsInput!$N$10+1,15,18,21,24,27,30)*(IF(Inputs!$B$38="pvp",MIN(15,15)/15,IF(AND(Inputs!$B$38&lt;&gt;"pvp",Inputs!$B$43&gt;0),MIN(15,Inputs!$B$43)/(Inputs!$B$43),0))),0)))-100),0))*CHOOSE(ArtifactsInput!$N$42+1,0.6,0.72,0.84,0.96,1.08,1.2))),Inputs!$B$18+((C214=TRUE)*(F214-Calc!F23))+(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gt;=100),CHOOSE(ArtifactsInput!$N$42+1,40,48,56,64,72,80),0))))/100)*((1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202)</f>
        <v/>
      </c>
      <c r="L202">
        <f>K202*(MIN(Inputs!$B$22+((C213=TRUE)*(F213-Calc!F22)),(Inputs!$B$23+((C215=TRUE)*(F215-Calc!F24))+(IF(ArtifactsInput!$M$15,CHOOSE(ArtifactsInput!$N$15+1,25,30,35,40,45,50)/100*(Inputs!$B$11-Inputs!$B$11),0))))/100+(Inputs!$B$23+((C215=TRUE)*(F215-Calc!F24))+(IF(ArtifactsInput!$M$15,CHOOSE(ArtifactsInput!$N$15+1,25,30,35,40,45,50)/100*(Inputs!$B$11-Inputs!$B$11),0)))/100)/2</f>
        <v/>
      </c>
      <c r="M202">
        <f>L202*(1+(Inputs!$B$10+0+B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
        <f>L202*(1-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MIN((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
        <f>(1-Summary!$B$11)*T202+Summary!$B$11*V202</f>
        <v/>
      </c>
      <c r="P202">
        <f>IF(B228=0,0,O202/B228)</f>
        <v/>
      </c>
      <c r="Q202">
        <f>IFERROR(1/(IF(Inputs!$B$38="pvp",15,MAX(0.1,Skills!D11-IF(Skills!E11=TRUE,Inputs!$B$32,0)))*(1-IF(AND(ArtifactsInput!$M$27,Inputs!$B$4="Chapter Hunt"),CHOOSE(ArtifactsInput!$N$27+1,20,24,28,32,36,40),0)/100)),0)</f>
        <v/>
      </c>
      <c r="R202">
        <f>IF(AND(Inputs!$B$38&lt;&gt;"pvp",Inputs!$B$43&gt;0),IF(MAX(0,Inputs!$B$43-B225)&lt;=0,0,(INT(MAX(0,Inputs!$B$43-B225)/(IF(Inputs!$B$38="pvp",15,MAX(0.1,Skills!D11-IF(Skills!E11=TRUE,Inputs!$B$32,0)))*(1-IF(AND(ArtifactsInput!$M$27,Inputs!$B$4="Chapter Hunt"),CHOOSE(ArtifactsInput!$N$27+1,20,24,28,32,36,40),0)/100)))+1)),0)</f>
        <v/>
      </c>
      <c r="S202">
        <f>IFERROR(O202/N202,0)</f>
        <v/>
      </c>
      <c r="T202">
        <f>IF(C202,(H202*N202*IF(AND(Inputs!$B$38&lt;&gt;"pvp",Inputs!$B$43&gt;0),((Skills!G11*((R202-1)*IF(Skills!H11&gt;0,Skills!I11/Skills!H11,1)+IF(Skills!H11&gt;0,MIN(Skills!I11,MAX(0,MAX(0,Inputs!$B$43-B225)-((R202-1)*(IF(Inputs!$B$38="pvp",15,MAX(0.1,Skills!D11-IF(Skills!E11=TRUE,Inputs!$B$32,0)))*(1-IF(AND(ArtifactsInput!$M$27,Inputs!$B$4="Chapter Hunt"),CHOOSE(ArtifactsInput!$N$27+1,20,24,28,32,36,40),0)/100)))))/Skills!H11,1)))/Inputs!$B$43),G202*Q202)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202*(1-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(1-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MIN(100,(Inputs!$B$9+0+B218+(ArtifactsInput!$M$24-ArtifactsInput!$M$24)*CHOOSE(ArtifactsInput!$N$24+1,10,12,14,16,18,20)+(IF(AND(Inputs!$B$38&lt;&gt;"pvp",Inputs!$B$43=0),1,IF(IF(Inputs!$B$38="pvp",15,Inputs!$B$43)-(B225)&lt;=0,1,MAX(0,IF(Inputs!$B$38="pvp",15,Inputs!$B$43)-MAX(5,B225))/(IF(Inputs!$B$38="pvp",15,Inputs!$B$43)-(B225))))*IF(AND(ArtifactsInput!$M$42,((Inputs!$B$9+0+B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2">
        <f>IF(C202,(H202*N202*IF(AND(Inputs!$B$38&lt;&gt;"pvp",Inputs!$B$43&gt;0),((Skills!G11*((R202-1)*IF(Skills!H11&gt;0,Skills!I11/Skills!H11,1)+IF(Skills!H11&gt;0,MIN(Skills!I11,MAX(0,MAX(0,Inputs!$B$43-B225)-((R202-1)*(IF(Inputs!$B$38="pvp",15,MAX(0.1,Skills!D11-IF(Skills!E11=TRUE,Inputs!$B$32,0)))*(1-IF(AND(ArtifactsInput!$M$27,Inputs!$B$4="Chapter Hunt"),CHOOSE(ArtifactsInput!$N$27+1,20,24,28,32,36,40),0)/100)))))/Skills!H11,1)))/Inputs!$B$43),G202*Q202))*IF(Inputs!$B$38="pvp",1,(1+(Inputs!$B$21+Skills!Q11+(IF(ArtifactsInput!$M$33,CHOOSE(ArtifactsInput!$N$33+1,30,36,42,48,54,60),0))+(IF(AND(ArtifactsInput!$M$35,Inputs!$B$4&lt;&gt;"Chapter Hunt"),CHOOSE(ArtifactsInput!$N$35+1,15,18,21,24,27,30)*(1-EXP(-(0.2*B220)*5)),0)+IF(AND(ArtifactsInput!$M$22,Inputs!$B$4&lt;&gt;"Chapter Hunt"),CHOOSE(ArtifactsInput!$N$22+1,10,12,14,16,18,20)*((0*(((0.15*B220*5))^0/1)+1*(((0.15*B220*5))^1/1)+2*(((0.15*B220*5))^2/2)+3*(((0.15*B220*5))^3/6)+4*(((0.15*B220*5))^4/24)+5*(((0.15*B220*5))^5/120))/((((0.15*B220*5))^0/1)+(((0.15*B220*5))^1/1)+(((0.15*B220*5))^2/2)+(((0.15*B220*5))^3/6)+(((0.15*B220*5))^4/24)+(((0.15*B220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
      <c r="A203">
        <f>Skills!A12</f>
        <v/>
      </c>
      <c r="B203">
        <f>Skills!B12</f>
        <v/>
      </c>
      <c r="C203">
        <f>Inputs!$B$3&gt;=100</f>
        <v/>
      </c>
      <c r="D203">
        <f>IF(Skills!C12=1,60+Inputs!$B$25+Inputs!$B$29,IF(Skills!C12=2,90+Inputs!$B$26+Inputs!$B$29,IF(Skills!C12=3,120+Inputs!$B$27+Inputs!$B$29,MAX(0,(Inputs!$B$3-100)*3)+Inputs!$B$28+Inputs!$B$29)))</f>
        <v/>
      </c>
      <c r="E203">
        <f>INDEX(FactorTable!$B$2:$Y$301, MATCH(ROUND(MIN(300,MAX(1,D203)),0), FactorTable!$A$2:$A$301,0), Skills!M12+1)</f>
        <v/>
      </c>
      <c r="F203">
        <f>IF(Skills!N12=TRUE,(Skills!L12/10)*(E203/1000),Skills!L12/10)+Skills!O12</f>
        <v/>
      </c>
      <c r="G203" t="inlineStr"/>
      <c r="H203" t="inlineStr"/>
      <c r="I203" t="inlineStr">
        <is>
          <t>1</t>
        </is>
      </c>
      <c r="J203" t="inlineStr"/>
      <c r="K203" t="inlineStr"/>
      <c r="L203" t="inlineStr"/>
      <c r="M203" t="inlineStr"/>
      <c r="N203" t="inlineStr"/>
      <c r="O203" t="inlineStr"/>
      <c r="P203" t="inlineStr"/>
      <c r="Q203" t="inlineStr"/>
      <c r="R203" t="inlineStr"/>
      <c r="S203" t="inlineStr"/>
    </row>
    <row r="204">
      <c r="A204">
        <f>Skills!A13</f>
        <v/>
      </c>
      <c r="B204">
        <f>Skills!B13</f>
        <v/>
      </c>
      <c r="C204">
        <f>Inputs!$B$3&gt;=45</f>
        <v/>
      </c>
      <c r="D204">
        <f>IF(Skills!C13=1,60+Inputs!$B$25+Inputs!$B$29,IF(Skills!C13=2,90+Inputs!$B$26+Inputs!$B$29,IF(Skills!C13=3,120+Inputs!$B$27+Inputs!$B$29,MAX(0,(Inputs!$B$3-100)*3)+Inputs!$B$28+Inputs!$B$29)))</f>
        <v/>
      </c>
      <c r="E204">
        <f>INDEX(FactorTable!$B$2:$Y$301, MATCH(ROUND(MIN(300,MAX(1,D204)),0), FactorTable!$A$2:$A$301,0), Skills!M13+1)</f>
        <v/>
      </c>
      <c r="F204">
        <f>IF(Skills!N13=TRUE,(Skills!L13/10)*(E204/1000),Skills!L13/10)+Skills!O13</f>
        <v/>
      </c>
      <c r="G204">
        <f>Skills!G13*IF(Skills!H13&gt;0,Skills!I13/Skills!H13,1)</f>
        <v/>
      </c>
      <c r="H204">
        <f>1-(1-Skills!J13/100)^Skills!K13</f>
        <v/>
      </c>
      <c r="I204" t="inlineStr">
        <is>
          <t>1</t>
        </is>
      </c>
      <c r="J204" t="inlineStr"/>
      <c r="K204" t="inlineStr"/>
      <c r="L204" t="inlineStr"/>
      <c r="M204" t="inlineStr"/>
      <c r="N204" t="inlineStr"/>
      <c r="O204">
        <f>(1-Summary!$B$11)*T204+Summary!$B$11*V204</f>
        <v/>
      </c>
      <c r="P204">
        <f>IF(B228=0,0,O204/B228)</f>
        <v/>
      </c>
      <c r="Q204" t="n">
        <v>0</v>
      </c>
      <c r="R204" t="n">
        <v>0</v>
      </c>
      <c r="S204">
        <f>IFERROR(O204/N204,0)</f>
        <v/>
      </c>
      <c r="T204" t="n">
        <v>0</v>
      </c>
      <c r="V204" t="n">
        <v>0</v>
      </c>
    </row>
    <row r="205">
      <c r="A205">
        <f>Skills!A14</f>
        <v/>
      </c>
      <c r="B205">
        <f>Skills!B14</f>
        <v/>
      </c>
      <c r="C205">
        <f>Inputs!$B$3&gt;=110</f>
        <v/>
      </c>
      <c r="D205">
        <f>IF(Skills!C14=1,60+Inputs!$B$25+Inputs!$B$29,IF(Skills!C14=2,90+Inputs!$B$26+Inputs!$B$29,IF(Skills!C14=3,120+Inputs!$B$27+Inputs!$B$29,MAX(0,(Inputs!$B$3-100)*3)+Inputs!$B$28+Inputs!$B$29)))</f>
        <v/>
      </c>
      <c r="E205">
        <f>INDEX(FactorTable!$B$2:$Y$301, MATCH(ROUND(MIN(300,MAX(1,D205)),0), FactorTable!$A$2:$A$301,0), Skills!M14+1)</f>
        <v/>
      </c>
      <c r="F205">
        <f>IF(Skills!N14=TRUE,(Skills!L14/10)*(E205/1000),Skills!L14/10)+Skills!O14</f>
        <v/>
      </c>
      <c r="G205">
        <f>Skills!G14*IF(Skills!H14&gt;0,Skills!I14/Skills!H14,1)</f>
        <v/>
      </c>
      <c r="H205">
        <f>1-(1-Skills!J14/100)^Skills!K14</f>
        <v/>
      </c>
      <c r="I205" t="inlineStr">
        <is>
          <t>1</t>
        </is>
      </c>
      <c r="J205" t="inlineStr"/>
      <c r="K205" t="inlineStr"/>
      <c r="L205" t="inlineStr"/>
      <c r="M205" t="inlineStr"/>
      <c r="N205" t="inlineStr"/>
      <c r="O205">
        <f>(1-Summary!$B$11)*T205+Summary!$B$11*V205</f>
        <v/>
      </c>
      <c r="P205">
        <f>IF(B228=0,0,O205/B228)</f>
        <v/>
      </c>
      <c r="Q205" t="n">
        <v>0</v>
      </c>
      <c r="R205" t="n">
        <v>0</v>
      </c>
      <c r="S205">
        <f>IFERROR(O205/N205,0)</f>
        <v/>
      </c>
      <c r="T205" t="n">
        <v>0</v>
      </c>
      <c r="V205" t="n">
        <v>0</v>
      </c>
    </row>
    <row r="206">
      <c r="A206">
        <f>Skills!A15</f>
        <v/>
      </c>
      <c r="B206">
        <f>Skills!B15</f>
        <v/>
      </c>
      <c r="C206">
        <f>Inputs!$B$3&gt;=75</f>
        <v/>
      </c>
      <c r="D206">
        <f>IF(Skills!C15=1,60+Inputs!$B$25+Inputs!$B$29,IF(Skills!C15=2,90+Inputs!$B$26+Inputs!$B$29,IF(Skills!C15=3,120+Inputs!$B$27+Inputs!$B$29,MAX(0,(Inputs!$B$3-100)*3)+Inputs!$B$28+Inputs!$B$29)))</f>
        <v/>
      </c>
      <c r="E206">
        <f>INDEX(FactorTable!$B$2:$Y$301, MATCH(ROUND(MIN(300,MAX(1,D206)),0), FactorTable!$A$2:$A$301,0), Skills!M15+1)</f>
        <v/>
      </c>
      <c r="F206">
        <f>IF(Skills!N15=TRUE,(Skills!L15/10)*(E206/1000),Skills!L15/10)+Skills!O15</f>
        <v/>
      </c>
      <c r="G206">
        <f>Skills!G15*IF(Skills!H15&gt;0,Skills!I15/Skills!H15,1)</f>
        <v/>
      </c>
      <c r="H206">
        <f>1-(1-Skills!J15/100)^Skills!K15</f>
        <v/>
      </c>
      <c r="I206" t="inlineStr">
        <is>
          <t>1</t>
        </is>
      </c>
      <c r="J206" t="inlineStr"/>
      <c r="K206" t="inlineStr"/>
      <c r="L206" t="inlineStr"/>
      <c r="M206" t="inlineStr"/>
      <c r="N206" t="inlineStr"/>
      <c r="O206">
        <f>(1-Summary!$B$11)*T206+Summary!$B$11*V206</f>
        <v/>
      </c>
      <c r="P206">
        <f>IF(B228=0,0,O206/B228)</f>
        <v/>
      </c>
      <c r="Q206">
        <f>IFERROR(1/(IF(Inputs!$B$38="pvp",15,MAX(0.1,Skills!D15-IF(Skills!E15=TRUE,Inputs!$B$32,0)))*(1-IF(AND(ArtifactsInput!$M$27,Inputs!$B$4="Chapter Hunt"),CHOOSE(ArtifactsInput!$N$27+1,20,24,28,32,36,40),0)/100)),0)</f>
        <v/>
      </c>
      <c r="R206">
        <f>IF(AND(Inputs!$B$38&lt;&gt;"pvp",Inputs!$B$43&gt;0),IF(Inputs!$B$43&lt;=0,0,(INT(Inputs!$B$43/(IF(Inputs!$B$38="pvp",15,MAX(0.1,Skills!D15-IF(Skills!E15=TRUE,Inputs!$B$32,0)))*(1-IF(AND(ArtifactsInput!$M$27,Inputs!$B$4="Chapter Hunt"),CHOOSE(ArtifactsInput!$N$27+1,20,24,28,32,36,40),0)/100)))+1)),0)</f>
        <v/>
      </c>
      <c r="S206">
        <f>IFERROR(O206/N206,0)</f>
        <v/>
      </c>
      <c r="T206" t="n">
        <v>0</v>
      </c>
      <c r="V206" t="n">
        <v>0</v>
      </c>
    </row>
    <row r="207">
      <c r="A207">
        <f>Skills!A16</f>
        <v/>
      </c>
      <c r="B207">
        <f>Skills!B16</f>
        <v/>
      </c>
      <c r="C207">
        <f>Inputs!$B$3&gt;=105</f>
        <v/>
      </c>
      <c r="D207">
        <f>IF(Skills!C16=1,60+Inputs!$B$25+Inputs!$B$29,IF(Skills!C16=2,90+Inputs!$B$26+Inputs!$B$29,IF(Skills!C16=3,120+Inputs!$B$27+Inputs!$B$29,MAX(0,(Inputs!$B$3-100)*3)+Inputs!$B$28+Inputs!$B$29)))</f>
        <v/>
      </c>
      <c r="E207">
        <f>INDEX(FactorTable!$B$2:$Y$301, MATCH(ROUND(MIN(300,MAX(1,D207)),0), FactorTable!$A$2:$A$301,0), Skills!M16+1)</f>
        <v/>
      </c>
      <c r="F207">
        <f>IF(Skills!N16=TRUE,(Skills!L16/10)*(E207/1000),Skills!L16/10)+Skills!O16</f>
        <v/>
      </c>
      <c r="G207">
        <f>Skills!G16*IF(Skills!H16&gt;0,Skills!I16/Skills!H16,1)</f>
        <v/>
      </c>
      <c r="H207">
        <f>1-(1-Skills!J16/100)^Skills!K16</f>
        <v/>
      </c>
      <c r="I207" t="inlineStr">
        <is>
          <t>1</t>
        </is>
      </c>
      <c r="J207" t="inlineStr"/>
      <c r="K207" t="inlineStr"/>
      <c r="L207" t="inlineStr"/>
      <c r="M207" t="inlineStr"/>
      <c r="N207" t="inlineStr"/>
      <c r="O207">
        <f>(1-Summary!$B$11)*T207+Summary!$B$11*V207</f>
        <v/>
      </c>
      <c r="P207">
        <f>IF(B228=0,0,O207/B228)</f>
        <v/>
      </c>
      <c r="Q207">
        <f>IFERROR(1/(IF(Inputs!$B$38="pvp",15,MAX(0.1,Skills!D16-IF(Skills!E16=TRUE,Inputs!$B$32,0)))*(1-IF(AND(ArtifactsInput!$M$27,Inputs!$B$4="Chapter Hunt"),CHOOSE(ArtifactsInput!$N$27+1,20,24,28,32,36,40),0)/100)),0)</f>
        <v/>
      </c>
      <c r="R207">
        <f>IF(AND(Inputs!$B$38&lt;&gt;"pvp",Inputs!$B$43&gt;0),IF(Inputs!$B$43&lt;=0,0,(INT(Inputs!$B$43/(IF(Inputs!$B$38="pvp",15,MAX(0.1,Skills!D16-IF(Skills!E16=TRUE,Inputs!$B$32,0)))*(1-IF(AND(ArtifactsInput!$M$27,Inputs!$B$4="Chapter Hunt"),CHOOSE(ArtifactsInput!$N$27+1,20,24,28,32,36,40),0)/100)))+1)),0)</f>
        <v/>
      </c>
      <c r="S207">
        <f>IFERROR(O207/N207,0)</f>
        <v/>
      </c>
      <c r="T207" t="n">
        <v>0</v>
      </c>
      <c r="V207" t="n">
        <v>0</v>
      </c>
    </row>
    <row r="208">
      <c r="A208">
        <f>Skills!A17</f>
        <v/>
      </c>
      <c r="B208">
        <f>Skills!B17</f>
        <v/>
      </c>
      <c r="C208">
        <f>Inputs!$B$3&gt;=115</f>
        <v/>
      </c>
      <c r="D208">
        <f>IF(Skills!C17=1,60+Inputs!$B$25+Inputs!$B$29,IF(Skills!C17=2,90+Inputs!$B$26+Inputs!$B$29,IF(Skills!C17=3,120+Inputs!$B$27+Inputs!$B$29,MAX(0,(Inputs!$B$3-100)*3)+Inputs!$B$28+Inputs!$B$29)))</f>
        <v/>
      </c>
      <c r="E208">
        <f>INDEX(FactorTable!$B$2:$Y$301, MATCH(ROUND(MIN(300,MAX(1,D208)),0), FactorTable!$A$2:$A$301,0), Skills!M17+1)</f>
        <v/>
      </c>
      <c r="F208">
        <f>IF(Skills!N17=TRUE,(Skills!L17/10)*(E208/1000),Skills!L17/10)+Skills!O17</f>
        <v/>
      </c>
      <c r="G208">
        <f>Skills!G17*IF(Skills!H17&gt;0,Skills!I17/Skills!H17,1)</f>
        <v/>
      </c>
      <c r="H208">
        <f>1-(1-Skills!J17/100)^Skills!K17</f>
        <v/>
      </c>
      <c r="I208" t="inlineStr">
        <is>
          <t>1</t>
        </is>
      </c>
      <c r="J208" t="inlineStr"/>
      <c r="K208" t="inlineStr"/>
      <c r="L208" t="inlineStr"/>
      <c r="M208" t="inlineStr"/>
      <c r="N208" t="inlineStr"/>
      <c r="O208">
        <f>(1-Summary!$B$11)*T208+Summary!$B$11*V208</f>
        <v/>
      </c>
      <c r="P208">
        <f>IF(B228=0,0,O208/B228)</f>
        <v/>
      </c>
      <c r="Q208">
        <f>IFERROR(1/(IF(Inputs!$B$38="pvp",15,MAX(0.1,Skills!D17-IF(Skills!E17=TRUE,Inputs!$B$32,0)))*(1-IF(AND(ArtifactsInput!$M$27,Inputs!$B$4="Chapter Hunt"),CHOOSE(ArtifactsInput!$N$27+1,20,24,28,32,36,40),0)/100)),0)</f>
        <v/>
      </c>
      <c r="R208">
        <f>IF(AND(Inputs!$B$38&lt;&gt;"pvp",Inputs!$B$43&gt;0),IF(Inputs!$B$43&lt;=0,0,(INT(Inputs!$B$43/(IF(Inputs!$B$38="pvp",15,MAX(0.1,Skills!D17-IF(Skills!E17=TRUE,Inputs!$B$32,0)))*(1-IF(AND(ArtifactsInput!$M$27,Inputs!$B$4="Chapter Hunt"),CHOOSE(ArtifactsInput!$N$27+1,20,24,28,32,36,40),0)/100)))+1)),0)</f>
        <v/>
      </c>
      <c r="S208">
        <f>IFERROR(O208/N208,0)</f>
        <v/>
      </c>
      <c r="T208" t="n">
        <v>0</v>
      </c>
      <c r="V208" t="n">
        <v>0</v>
      </c>
    </row>
    <row r="209">
      <c r="A209">
        <f>Skills!A18</f>
        <v/>
      </c>
      <c r="B209">
        <f>Skills!B18</f>
        <v/>
      </c>
      <c r="C209">
        <f>Inputs!$B$3&gt;=74</f>
        <v/>
      </c>
      <c r="D209">
        <f>IF(Skills!C18=1,60+Inputs!$B$25+Inputs!$B$29,IF(Skills!C18=2,90+Inputs!$B$26+Inputs!$B$29,IF(Skills!C18=3,120+Inputs!$B$27+Inputs!$B$29,MAX(0,(Inputs!$B$3-100)*3)+Inputs!$B$28+Inputs!$B$29)))</f>
        <v/>
      </c>
      <c r="E209">
        <f>INDEX(FactorTable!$B$2:$Y$301, MATCH(ROUND(MIN(300,MAX(1,D209)),0), FactorTable!$A$2:$A$301,0), Skills!M18+1)</f>
        <v/>
      </c>
      <c r="F209">
        <f>IF(Skills!N18=TRUE,(Skills!L18/10)*(E209/1000),Skills!L18/10)+Skills!O18</f>
        <v/>
      </c>
      <c r="G209">
        <f>Skills!G18*IF(Skills!H18&gt;0,Skills!I18/Skills!H18,1)</f>
        <v/>
      </c>
      <c r="H209">
        <f>1-(1-Skills!J18/100)^Skills!K18</f>
        <v/>
      </c>
      <c r="I209" t="inlineStr">
        <is>
          <t>1</t>
        </is>
      </c>
      <c r="J209" t="inlineStr"/>
      <c r="K209" t="inlineStr"/>
      <c r="L209" t="inlineStr"/>
      <c r="M209" t="inlineStr"/>
      <c r="N209" t="inlineStr"/>
      <c r="O209">
        <f>(1-Summary!$B$11)*T209+Summary!$B$11*V209</f>
        <v/>
      </c>
      <c r="P209">
        <f>IF(B228=0,0,O209/B228)</f>
        <v/>
      </c>
      <c r="Q209">
        <f>IFERROR(1/(IF(Inputs!$B$38="pvp",15,MAX(0.1,Skills!D18-IF(Skills!E18=TRUE,Inputs!$B$32,0)))*(1-IF(AND(ArtifactsInput!$M$27,Inputs!$B$4="Chapter Hunt"),CHOOSE(ArtifactsInput!$N$27+1,20,24,28,32,36,40),0)/100)),0)</f>
        <v/>
      </c>
      <c r="R209">
        <f>IF(AND(Inputs!$B$38&lt;&gt;"pvp",Inputs!$B$43&gt;0),IF(Inputs!$B$43&lt;=0,0,(INT(Inputs!$B$43/(IF(Inputs!$B$38="pvp",15,MAX(0.1,Skills!D18-IF(Skills!E18=TRUE,Inputs!$B$32,0)))*(1-IF(AND(ArtifactsInput!$M$27,Inputs!$B$4="Chapter Hunt"),CHOOSE(ArtifactsInput!$N$27+1,20,24,28,32,36,40),0)/100)))+1)),0)</f>
        <v/>
      </c>
      <c r="S209">
        <f>IFERROR(O209/N209,0)</f>
        <v/>
      </c>
      <c r="T209" t="n">
        <v>0</v>
      </c>
      <c r="V209" t="n">
        <v>0</v>
      </c>
    </row>
    <row r="210">
      <c r="A210">
        <f>Skills!A19</f>
        <v/>
      </c>
      <c r="B210">
        <f>Skills!B19</f>
        <v/>
      </c>
      <c r="C210">
        <f>TRUE</f>
        <v/>
      </c>
      <c r="D210">
        <f>IF(Skills!C19=1,60+Inputs!$B$25+Inputs!$B$29,IF(Skills!C19=2,90+Inputs!$B$26+Inputs!$B$29,IF(Skills!C19=3,120+Inputs!$B$27+Inputs!$B$29,MAX(0,(Inputs!$B$3-100)*3)+Inputs!$B$28+Inputs!$B$29)))</f>
        <v/>
      </c>
      <c r="E210">
        <f>INDEX(FactorTable!$B$2:$Y$301, MATCH(ROUND(MIN(300,MAX(1,D210)),0), FactorTable!$A$2:$A$301,0), Skills!M19+1)</f>
        <v/>
      </c>
      <c r="F210">
        <f>IF(Skills!N19=TRUE,(Skills!L19/10)*(E210/1000),Skills!L19/10)+Skills!O19</f>
        <v/>
      </c>
      <c r="G210">
        <f>Skills!G19*IF(Skills!H19&gt;0,Skills!I19/Skills!H19,1)</f>
        <v/>
      </c>
      <c r="H210">
        <f>1-(1-Skills!J19/100)^Skills!K19</f>
        <v/>
      </c>
      <c r="I210" t="inlineStr">
        <is>
          <t>1</t>
        </is>
      </c>
      <c r="J210" t="inlineStr"/>
      <c r="K210" t="inlineStr"/>
      <c r="L210" t="inlineStr"/>
      <c r="M210" t="inlineStr"/>
      <c r="N210" t="inlineStr"/>
      <c r="O210">
        <f>(1-Summary!$B$11)*T210+Summary!$B$11*V210</f>
        <v/>
      </c>
      <c r="P210">
        <f>IF(B228=0,0,O210/B228)</f>
        <v/>
      </c>
      <c r="Q210">
        <f>IFERROR(1/(IF(Inputs!$B$38="pvp",15,MAX(0.1,Skills!D19-IF(Skills!E19=TRUE,Inputs!$B$32,0)))*(1-IF(AND(ArtifactsInput!$M$27,Inputs!$B$4="Chapter Hunt"),CHOOSE(ArtifactsInput!$N$27+1,20,24,28,32,36,40),0)/100)),0)</f>
        <v/>
      </c>
      <c r="R210">
        <f>IF(AND(Inputs!$B$38&lt;&gt;"pvp",Inputs!$B$43&gt;0),IF(Inputs!$B$43&lt;=0,0,(INT(Inputs!$B$43/(IF(Inputs!$B$38="pvp",15,MAX(0.1,Skills!D19-IF(Skills!E19=TRUE,Inputs!$B$32,0)))*(1-IF(AND(ArtifactsInput!$M$27,Inputs!$B$4="Chapter Hunt"),CHOOSE(ArtifactsInput!$N$27+1,20,24,28,32,36,40),0)/100)))+1)),0)</f>
        <v/>
      </c>
      <c r="S210">
        <f>IFERROR(O210/N210,0)</f>
        <v/>
      </c>
      <c r="T210" t="n">
        <v>0</v>
      </c>
      <c r="V210" t="n">
        <v>0</v>
      </c>
    </row>
    <row r="211">
      <c r="A211">
        <f>Skills!A20</f>
        <v/>
      </c>
      <c r="B211">
        <f>Skills!B20</f>
        <v/>
      </c>
      <c r="C211">
        <f>Inputs!$B$3&gt;=33</f>
        <v/>
      </c>
      <c r="D211">
        <f>IF(Skills!C20=1,60+Inputs!$B$25+Inputs!$B$29,IF(Skills!C20=2,90+Inputs!$B$26+Inputs!$B$29,IF(Skills!C20=3,120+Inputs!$B$27+Inputs!$B$29,MAX(0,(Inputs!$B$3-100)*3)+Inputs!$B$28+Inputs!$B$29)))</f>
        <v/>
      </c>
      <c r="E211">
        <f>INDEX(FactorTable!$B$2:$Y$301, MATCH(ROUND(MIN(300,MAX(1,D211)),0), FactorTable!$A$2:$A$301,0), Skills!M20+1)</f>
        <v/>
      </c>
      <c r="F211">
        <f>IF(Skills!N20=TRUE,(Skills!L20/10)*(E211/1000),Skills!L20/10)+Skills!O20</f>
        <v/>
      </c>
      <c r="G211">
        <f>Skills!G20*IF(Skills!H20&gt;0,Skills!I20/Skills!H20,1)</f>
        <v/>
      </c>
      <c r="H211">
        <f>1-(1-Skills!J20/100)^Skills!K20</f>
        <v/>
      </c>
      <c r="I211" t="inlineStr">
        <is>
          <t>1</t>
        </is>
      </c>
      <c r="J211" t="inlineStr"/>
      <c r="K211" t="inlineStr"/>
      <c r="L211" t="inlineStr"/>
      <c r="M211" t="inlineStr"/>
      <c r="N211" t="inlineStr"/>
      <c r="O211">
        <f>(1-Summary!$B$11)*T211+Summary!$B$11*V211</f>
        <v/>
      </c>
      <c r="P211">
        <f>IF(B228=0,0,O211/B228)</f>
        <v/>
      </c>
      <c r="Q211" t="n">
        <v>0</v>
      </c>
      <c r="R211" t="n">
        <v>0</v>
      </c>
      <c r="S211">
        <f>IFERROR(O211/N211,0)</f>
        <v/>
      </c>
      <c r="T211" t="n">
        <v>0</v>
      </c>
      <c r="V211" t="n">
        <v>0</v>
      </c>
    </row>
    <row r="212">
      <c r="A212">
        <f>Skills!A21</f>
        <v/>
      </c>
      <c r="B212">
        <f>Skills!B21</f>
        <v/>
      </c>
      <c r="C212">
        <f>Inputs!$B$3&gt;=38</f>
        <v/>
      </c>
      <c r="D212">
        <f>IF(Skills!C21=1,60+Inputs!$B$25+Inputs!$B$29,IF(Skills!C21=2,90+Inputs!$B$26+Inputs!$B$29,IF(Skills!C21=3,120+Inputs!$B$27+Inputs!$B$29,MAX(0,(Inputs!$B$3-100)*3)+Inputs!$B$28+Inputs!$B$29)))</f>
        <v/>
      </c>
      <c r="E212">
        <f>INDEX(FactorTable!$B$2:$Y$301, MATCH(ROUND(MIN(300,MAX(1,D212)),0), FactorTable!$A$2:$A$301,0), Skills!M21+1)</f>
        <v/>
      </c>
      <c r="F212">
        <f>IF(Skills!N21=TRUE,(Skills!L21/10)*(E212/1000),Skills!L21/10)+Skills!O21</f>
        <v/>
      </c>
      <c r="G212">
        <f>Skills!G21*IF(Skills!H21&gt;0,Skills!I21/Skills!H21,1)</f>
        <v/>
      </c>
      <c r="H212">
        <f>1-(1-Skills!J21/100)^Skills!K21</f>
        <v/>
      </c>
      <c r="I212" t="inlineStr">
        <is>
          <t>1</t>
        </is>
      </c>
      <c r="J212" t="inlineStr"/>
      <c r="K212" t="inlineStr"/>
      <c r="L212" t="inlineStr"/>
      <c r="M212" t="inlineStr"/>
      <c r="N212" t="inlineStr"/>
      <c r="O212">
        <f>(1-Summary!$B$11)*T212+Summary!$B$11*V212</f>
        <v/>
      </c>
      <c r="P212">
        <f>IF(B228=0,0,O212/B228)</f>
        <v/>
      </c>
      <c r="Q212" t="n">
        <v>0</v>
      </c>
      <c r="R212" t="n">
        <v>0</v>
      </c>
      <c r="S212">
        <f>IFERROR(O212/N212,0)</f>
        <v/>
      </c>
      <c r="T212" t="n">
        <v>0</v>
      </c>
      <c r="V212" t="n">
        <v>0</v>
      </c>
    </row>
    <row r="213">
      <c r="A213">
        <f>Skills!A22</f>
        <v/>
      </c>
      <c r="B213">
        <f>Skills!B22</f>
        <v/>
      </c>
      <c r="C213">
        <f>Inputs!$B$3&gt;=43</f>
        <v/>
      </c>
      <c r="D213">
        <f>IF(Skills!C22=1,60+Inputs!$B$25+Inputs!$B$29,IF(Skills!C22=2,90+Inputs!$B$26+Inputs!$B$29,IF(Skills!C22=3,120+Inputs!$B$27+Inputs!$B$29,MAX(0,(Inputs!$B$3-100)*3)+Inputs!$B$28+Inputs!$B$29)))</f>
        <v/>
      </c>
      <c r="E213">
        <f>INDEX(FactorTable!$B$2:$Y$301, MATCH(ROUND(MIN(300,MAX(1,D213)),0), FactorTable!$A$2:$A$301,0), Skills!M22+1)</f>
        <v/>
      </c>
      <c r="F213">
        <f>IF(Skills!N22=TRUE,(Skills!L22/10)*(E213/1000),Skills!L22/10)+Skills!O22</f>
        <v/>
      </c>
      <c r="G213">
        <f>Skills!G22*IF(Skills!H22&gt;0,Skills!I22/Skills!H22,1)</f>
        <v/>
      </c>
      <c r="H213">
        <f>1-(1-Skills!J22/100)^Skills!K22</f>
        <v/>
      </c>
      <c r="I213" t="inlineStr">
        <is>
          <t>1</t>
        </is>
      </c>
      <c r="J213" t="inlineStr"/>
      <c r="K213" t="inlineStr"/>
      <c r="L213" t="inlineStr"/>
      <c r="M213" t="inlineStr"/>
      <c r="N213" t="inlineStr"/>
      <c r="O213">
        <f>(1-Summary!$B$11)*T213+Summary!$B$11*V213</f>
        <v/>
      </c>
      <c r="P213">
        <f>IF(B228=0,0,O213/B228)</f>
        <v/>
      </c>
      <c r="Q213" t="n">
        <v>0</v>
      </c>
      <c r="R213" t="n">
        <v>0</v>
      </c>
      <c r="S213">
        <f>IFERROR(O213/N213,0)</f>
        <v/>
      </c>
      <c r="T213" t="n">
        <v>0</v>
      </c>
      <c r="V213" t="n">
        <v>0</v>
      </c>
    </row>
    <row r="214">
      <c r="A214">
        <f>Skills!A23</f>
        <v/>
      </c>
      <c r="B214">
        <f>Skills!B23</f>
        <v/>
      </c>
      <c r="C214">
        <f>Inputs!$B$3&gt;=120</f>
        <v/>
      </c>
      <c r="D214">
        <f>IF(Skills!C23=1,60+Inputs!$B$25+Inputs!$B$29,IF(Skills!C23=2,90+Inputs!$B$26+Inputs!$B$29,IF(Skills!C23=3,120+Inputs!$B$27+Inputs!$B$29,MAX(0,(Inputs!$B$3-100)*3)+Inputs!$B$28+Inputs!$B$29)))</f>
        <v/>
      </c>
      <c r="E214">
        <f>INDEX(FactorTable!$B$2:$Y$301, MATCH(ROUND(MIN(300,MAX(1,D214)),0), FactorTable!$A$2:$A$301,0), Skills!M23+1)</f>
        <v/>
      </c>
      <c r="F214">
        <f>IF(Skills!N23=TRUE,(Skills!L23/10)*(E214/1000),Skills!L23/10)+Skills!O23</f>
        <v/>
      </c>
      <c r="G214">
        <f>Skills!G23*IF(Skills!H23&gt;0,Skills!I23/Skills!H23,1)</f>
        <v/>
      </c>
      <c r="H214">
        <f>1-(1-Skills!J23/100)^Skills!K23</f>
        <v/>
      </c>
      <c r="I214" t="inlineStr">
        <is>
          <t>1</t>
        </is>
      </c>
      <c r="J214" t="inlineStr"/>
      <c r="K214" t="inlineStr"/>
      <c r="L214" t="inlineStr"/>
      <c r="M214" t="inlineStr"/>
      <c r="N214" t="inlineStr"/>
      <c r="O214">
        <f>(1-Summary!$B$11)*T214+Summary!$B$11*V214</f>
        <v/>
      </c>
      <c r="P214">
        <f>IF(B228=0,0,O214/B228)</f>
        <v/>
      </c>
      <c r="Q214" t="n">
        <v>0</v>
      </c>
      <c r="R214" t="n">
        <v>0</v>
      </c>
      <c r="S214">
        <f>IFERROR(O214/N214,0)</f>
        <v/>
      </c>
      <c r="T214" t="n">
        <v>0</v>
      </c>
      <c r="V214" t="n">
        <v>0</v>
      </c>
    </row>
    <row r="215">
      <c r="A215">
        <f>Skills!A24</f>
        <v/>
      </c>
      <c r="B215">
        <f>Skills!B24</f>
        <v/>
      </c>
      <c r="C215">
        <f>Inputs!$B$3&gt;=120</f>
        <v/>
      </c>
      <c r="D215">
        <f>IF(Skills!C24=1,60+Inputs!$B$25+Inputs!$B$29,IF(Skills!C24=2,90+Inputs!$B$26+Inputs!$B$29,IF(Skills!C24=3,120+Inputs!$B$27+Inputs!$B$29,MAX(0,(Inputs!$B$3-100)*3)+Inputs!$B$28+Inputs!$B$29)))</f>
        <v/>
      </c>
      <c r="E215">
        <f>INDEX(FactorTable!$B$2:$Y$301, MATCH(ROUND(MIN(300,MAX(1,D215)),0), FactorTable!$A$2:$A$301,0), Skills!M24+1)</f>
        <v/>
      </c>
      <c r="F215">
        <f>IF(Skills!N24=TRUE,(Skills!L24/10)*(E215/1000),Skills!L24/10)+Skills!O24</f>
        <v/>
      </c>
      <c r="G215">
        <f>Skills!G24*IF(Skills!H24&gt;0,Skills!I24/Skills!H24,1)</f>
        <v/>
      </c>
      <c r="H215">
        <f>1-(1-Skills!J24/100)^Skills!K24</f>
        <v/>
      </c>
      <c r="I215" t="inlineStr">
        <is>
          <t>1</t>
        </is>
      </c>
      <c r="J215" t="inlineStr"/>
      <c r="K215" t="inlineStr"/>
      <c r="L215" t="inlineStr"/>
      <c r="M215" t="inlineStr"/>
      <c r="N215" t="inlineStr"/>
      <c r="O215">
        <f>(1-Summary!$B$11)*T215+Summary!$B$11*V215</f>
        <v/>
      </c>
      <c r="P215">
        <f>IF(B228=0,0,O215/B228)</f>
        <v/>
      </c>
      <c r="Q215" t="n">
        <v>0</v>
      </c>
      <c r="R215" t="n">
        <v>0</v>
      </c>
      <c r="S215">
        <f>IFERROR(O215/N215,0)</f>
        <v/>
      </c>
      <c r="T215" t="n">
        <v>0</v>
      </c>
      <c r="V215" t="n">
        <v>0</v>
      </c>
    </row>
    <row r="217">
      <c r="A217" t="inlineStr">
        <is>
          <t>Attack% Bucket Multiplier</t>
        </is>
      </c>
      <c r="B217">
        <f>(1+(((C204=TRUE)*F204*MIN(1,Skills!T13*(Skills!J13/100)*B222))+((C209=TRUE)*F209*IF(AND(Inputs!$B$38&lt;&gt;"pvp",Inputs!$B$43&gt;0),(((R209-1)*(Skills!T18*(1+Inputs!$B$34/100))+MIN((Skills!T18*(1+Inputs!$B$34/100)),MAX(0,Inputs!$B$43-((R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8">
      <c r="A218" t="inlineStr">
        <is>
          <t>Global Crit Rate Bonus %</t>
        </is>
      </c>
      <c r="B218" t="n">
        <v>0</v>
      </c>
    </row>
    <row r="219">
      <c r="A219" t="inlineStr">
        <is>
          <t>Attack Speed Buff Bonus %</t>
        </is>
      </c>
      <c r="B219">
        <f>((C210=TRUE)*F210*IF(AND(Inputs!$B$38&lt;&gt;"pvp",Inputs!$B$43&gt;0),(((R210-1)*(Skills!T19*(1+Inputs!$B$34/100))+MIN((Skills!T19*(1+Inputs!$B$34/100)),MAX(0,Inputs!$B$43-((R210-1)*Skills!D19))))/Inputs!$B$43),IF(Inputs!$B$38="pvp",MIN((Skills!T19*(1+Inputs!$B$34/100)),15)/15,(Skills!T19*(1+Inputs!$B$34/100))/Skills!D19)))</f>
        <v/>
      </c>
    </row>
    <row r="220">
      <c r="A220" t="inlineStr">
        <is>
          <t>Actions Per Second</t>
        </is>
      </c>
      <c r="B220">
        <f>1+MIN(150,150*(1-(1-(Inputs!$B$11+((C211=TRUE)*(F211-Calc!F20)))/150)*(1-B219/150)))/100</f>
        <v/>
      </c>
    </row>
    <row r="221">
      <c r="A221" t="inlineStr">
        <is>
          <t>Skill + Buff Cast Rate</t>
        </is>
      </c>
      <c r="B221">
        <f>IF(AND(Inputs!$B$38&lt;&gt;"pvp",Inputs!$B$43&gt;0),SUMPRODUCT((Skills!E2:E24=TRUE)*(C193:C215=TRUE)*R193:R215*Skills!F2:F24)/Inputs!$B$43,SUMPRODUCT((Skills!E2:E24=TRUE)*(C193:C215=TRUE)*Q193:Q215*Skills!F2:F24))</f>
        <v/>
      </c>
    </row>
    <row r="222">
      <c r="A222" t="inlineStr">
        <is>
          <t>Blast Casts Per Second</t>
        </is>
      </c>
      <c r="B222">
        <f>MAX(0,B220-B221)</f>
        <v/>
      </c>
    </row>
    <row r="223">
      <c r="A223" t="inlineStr">
        <is>
          <t>Global Critical Damage Bonus % (unused)</t>
        </is>
      </c>
      <c r="B223" t="n">
        <v>0</v>
      </c>
    </row>
    <row r="224">
      <c r="A224" t="inlineStr">
        <is>
          <t>Global Final Damage Bonus % (Divine Shield + Guardian + Divine Blessing + Greater Vessel of Light)</t>
        </is>
      </c>
      <c r="B224">
        <f>((C206=TRUE)*F206*IF(AND(Inputs!$B$38&lt;&gt;"pvp",Inputs!$B$43&gt;0),(((R206-1)*(Skills!T15*(1+Inputs!$B$34/100))+MIN((Skills!T15*(1+Inputs!$B$34/100)),MAX(0,Inputs!$B$43-((R206-1)*Skills!D15))))/Inputs!$B$43),IF(Inputs!$B$38="pvp",MIN((Skills!T15*(1+Inputs!$B$34/100)),15)/15,(Skills!T15*(1+Inputs!$B$34/100))/Skills!D15)))+((C207=TRUE)*F207*IF(AND(Inputs!$B$38&lt;&gt;"pvp",Inputs!$B$43&gt;0),(((R207-1)*(Skills!T16*(1+Inputs!$B$34/100))+MIN((Skills!T16*(1+Inputs!$B$34/100)),MAX(0,Inputs!$B$43-((R207-1)*Skills!D16))))/Inputs!$B$43),IF(Inputs!$B$38="pvp",MIN((Skills!T16*(1+Inputs!$B$34/100)),15)/15,(Skills!T16*(1+Inputs!$B$34/100))/Skills!D16)))+((C208=TRUE)*F208*IF(AND(Inputs!$B$38&lt;&gt;"pvp",Inputs!$B$43&gt;0),(((R208-1)*(Skills!T17*(1+Inputs!$B$34/100))+MIN((Skills!T17*(1+Inputs!$B$34/100)),MAX(0,Inputs!$B$43-((R208-1)*Skills!D17))))/Inputs!$B$43),IF(Inputs!$B$38="pvp",MIN((Skills!T17*(1+Inputs!$B$34/100)),15)/15,(Skills!T17*(1+Inputs!$B$34/100))/Skills!D17)))+((C205=TRUE)*F205*MIN(1,Skills!T13*(Skills!J13/100)*B222))</f>
        <v/>
      </c>
    </row>
    <row r="225">
      <c r="A225" t="inlineStr">
        <is>
          <t>Buff-Casting Startup Delay (s, fixed-duration only)</t>
        </is>
      </c>
      <c r="B225">
        <f>IF(AND(Inputs!$B$38&lt;&gt;"pvp",Inputs!$B$43&gt;0),SUMPRODUCT((Skills!T2:T24&gt;0)*(Skills!E2:E24=TRUE)*(C193:C215=TRUE))/B220,0)</f>
        <v/>
      </c>
    </row>
    <row r="226">
      <c r="A226" t="inlineStr">
        <is>
          <t>Boss-Only Total DPS (this block's swept value)</t>
        </is>
      </c>
      <c r="B226">
        <f>SUM(T193:T215)</f>
        <v/>
      </c>
    </row>
    <row r="227">
      <c r="A227" t="inlineStr">
        <is>
          <t>Normal-Only Total DPS (this block's swept value)</t>
        </is>
      </c>
      <c r="B227">
        <f>SUM(V193:V215)</f>
        <v/>
      </c>
    </row>
    <row r="228">
      <c r="A228" s="6" t="inlineStr">
        <is>
          <t>TOTAL DPS</t>
        </is>
      </c>
      <c r="B228" s="6">
        <f>SUM(O193:O215)</f>
        <v/>
      </c>
    </row>
    <row r="231">
      <c r="A231" s="6" t="inlineStr">
        <is>
          <t>Stat: DAMAGE_AMP %</t>
        </is>
      </c>
    </row>
    <row r="232">
      <c r="A232" s="5" t="inlineStr">
        <is>
          <t>Key</t>
        </is>
      </c>
      <c r="B232" s="5" t="inlineStr">
        <is>
          <t>Name</t>
        </is>
      </c>
      <c r="C232" s="5" t="inlineStr">
        <is>
          <t>Unlocked</t>
        </is>
      </c>
      <c r="D232" s="5" t="inlineStr">
        <is>
          <t>InputLevel</t>
        </is>
      </c>
      <c r="E232" s="5" t="inlineStr">
        <is>
          <t>Factor</t>
        </is>
      </c>
      <c r="F232" s="5" t="inlineStr">
        <is>
          <t>CoefficientPercent</t>
        </is>
      </c>
      <c r="G232" s="5" t="inlineStr">
        <is>
          <t>EffectiveHits</t>
        </is>
      </c>
      <c r="H232" s="5" t="inlineStr">
        <is>
          <t>ProcProbability</t>
        </is>
      </c>
      <c r="I232" s="5" t="inlineStr">
        <is>
          <t>MapleHeroMultiplier</t>
        </is>
      </c>
      <c r="J232" s="5" t="inlineStr">
        <is>
          <t>BaseDamage</t>
        </is>
      </c>
      <c r="K232" s="5" t="inlineStr">
        <is>
          <t>BaseHitDamage</t>
        </is>
      </c>
      <c r="L232" s="5" t="inlineStr">
        <is>
          <t>NonCritAvg</t>
        </is>
      </c>
      <c r="M232" s="5" t="inlineStr">
        <is>
          <t>CritAvg</t>
        </is>
      </c>
      <c r="N232" s="5" t="inlineStr">
        <is>
          <t>ExpectedDamage(perHit)</t>
        </is>
      </c>
      <c r="O232" s="5" t="inlineStr">
        <is>
          <t>DPS</t>
        </is>
      </c>
      <c r="P232" s="5" t="inlineStr">
        <is>
          <t>% of Total</t>
        </is>
      </c>
      <c r="Q232" s="5" t="inlineStr">
        <is>
          <t>InvCooldown</t>
        </is>
      </c>
      <c r="R232" s="5" t="inlineStr">
        <is>
          <t>CastsInFight</t>
        </is>
      </c>
      <c r="S232" s="5" t="inlineStr">
        <is>
          <t>HitRate(perSec)</t>
        </is>
      </c>
      <c r="U232" t="inlineStr">
        <is>
          <t>helpers</t>
        </is>
      </c>
    </row>
    <row r="233">
      <c r="A233">
        <f>Skills!A2</f>
        <v/>
      </c>
      <c r="B233">
        <f>Skills!B2</f>
        <v/>
      </c>
      <c r="C233">
        <f>Inputs!$B$3&gt;=100</f>
        <v/>
      </c>
      <c r="D233" t="inlineStr"/>
      <c r="E233" t="inlineStr"/>
      <c r="F233">
        <f>U235+Skills!O2</f>
        <v/>
      </c>
      <c r="G233">
        <f>Skills!G2*IF(Skills!H2&gt;0,Skills!I2/Skills!H2,1)</f>
        <v/>
      </c>
      <c r="H233">
        <f>1-(1-Skills!J2/100)^Skills!K2</f>
        <v/>
      </c>
      <c r="I233" t="inlineStr">
        <is>
          <t>1</t>
        </is>
      </c>
      <c r="J233">
        <f>((Inputs!$B$6*(1+Inputs!$B$7/100))+(((Inputs!$B$12*(1+Inputs!$B$13/100))-(Inputs!$B$12*(1+Inputs!$B$13/100)))+0.25*(Inputs!$B$14-Inputs!$B$14))*(1+Inputs!$B$7/100))*(F233/100)</f>
        <v/>
      </c>
      <c r="K233">
        <f>J233*(1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f>
        <v/>
      </c>
      <c r="L233">
        <f>K233*(MIN(Inputs!$B$22+((C253=TRUE)*(F253-Calc!F22)),(Inputs!$B$23+((C255=TRUE)*(F255-Calc!F24))+(IF(ArtifactsInput!$M$15,CHOOSE(ArtifactsInput!$N$15+1,25,30,35,40,45,50)/100*(Inputs!$B$11-Inputs!$B$11),0))))/100+(Inputs!$B$23+((C255=TRUE)*(F255-Calc!F24))+(IF(ArtifactsInput!$M$15,CHOOSE(ArtifactsInput!$N$15+1,25,30,35,40,45,50)/100*(Inputs!$B$11-Inputs!$B$11),0)))/100)/2</f>
        <v/>
      </c>
      <c r="M233">
        <f>L233*(1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
        <f>L233*(1-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
        <f>(1-Summary!$B$11)*T233+Summary!$B$11*V233</f>
        <v/>
      </c>
      <c r="P233">
        <f>IF(B268=0,0,O233/B268)</f>
        <v/>
      </c>
      <c r="Q233" t="n">
        <v>0</v>
      </c>
      <c r="R233" t="n">
        <v>0</v>
      </c>
      <c r="S233">
        <f>IFERROR(O233/N233,0)</f>
        <v/>
      </c>
      <c r="T233">
        <f>IF(C233,(Skills!G2*N233*B262)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
        <f>MAX(0,(Inputs!$B$3-100)*3)+Inputs!$B$28+Inputs!$B$29</f>
        <v/>
      </c>
      <c r="V233">
        <f>IF(C233,(Skills!G2*N233*B262)*IF(Inputs!$B$38="pvp",1,(1+(Inputs!$B$21+Skills!Q2+(IF(ArtifactsInput!$M$33,CHOOSE(ArtifactsInput!$N$33+1,30,36,42,48,54,60),0))+(IF(AND(ArtifactsInput!$M$35,Inputs!$B$4&lt;&gt;"Chapter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4">
      <c r="A234">
        <f>Skills!A3</f>
        <v/>
      </c>
      <c r="B234">
        <f>Skills!B3</f>
        <v/>
      </c>
      <c r="C234">
        <f>Inputs!$B$3&gt;=50</f>
        <v/>
      </c>
      <c r="D234">
        <f>IF(Skills!C3=1,60+Inputs!$B$25+Inputs!$B$29,IF(Skills!C3=2,90+Inputs!$B$26+Inputs!$B$29,IF(Skills!C3=3,120+Inputs!$B$27+Inputs!$B$29,MAX(0,(Inputs!$B$3-100)*3)+Inputs!$B$28+Inputs!$B$29)))</f>
        <v/>
      </c>
      <c r="E234">
        <f>INDEX(FactorTable!$B$2:$Y$301, MATCH(ROUND(MIN(300,MAX(1,D234)),0), FactorTable!$A$2:$A$301,0), Skills!M3+1)</f>
        <v/>
      </c>
      <c r="F234">
        <f>IF(Skills!N3=TRUE,(Skills!L3/10)*(E234/1000),Skills!L3/10)+Skills!O3</f>
        <v/>
      </c>
      <c r="G234" t="inlineStr"/>
      <c r="H234" t="inlineStr"/>
      <c r="I234" t="inlineStr">
        <is>
          <t>1</t>
        </is>
      </c>
      <c r="J234" t="inlineStr"/>
      <c r="K234" t="inlineStr"/>
      <c r="L234" t="inlineStr"/>
      <c r="M234" t="inlineStr"/>
      <c r="N234" t="inlineStr"/>
      <c r="O234" t="inlineStr"/>
      <c r="P234" t="inlineStr"/>
      <c r="Q234" t="inlineStr"/>
      <c r="R234" t="inlineStr"/>
      <c r="S234" t="inlineStr"/>
      <c r="U234">
        <f>INDEX(FactorTable!$B$2:$Y$301, MATCH(ROUND(MIN(300,MAX(1,U233)),0), FactorTable!$A$2:$A$301,0), 22)</f>
        <v/>
      </c>
    </row>
    <row r="235">
      <c r="A235">
        <f>Skills!A4</f>
        <v/>
      </c>
      <c r="B235">
        <f>Skills!B4</f>
        <v/>
      </c>
      <c r="C235">
        <f>Inputs!$B$3&gt;=35</f>
        <v/>
      </c>
      <c r="D235">
        <f>IF(Skills!C4=1,60+Inputs!$B$25+Inputs!$B$29,IF(Skills!C4=2,90+Inputs!$B$26+Inputs!$B$29,IF(Skills!C4=3,120+Inputs!$B$27+Inputs!$B$29,MAX(0,(Inputs!$B$3-100)*3)+Inputs!$B$28+Inputs!$B$29)))</f>
        <v/>
      </c>
      <c r="E235">
        <f>INDEX(FactorTable!$B$2:$Y$301, MATCH(ROUND(MIN(300,MAX(1,D235)),0), FactorTable!$A$2:$A$301,0), Skills!M4+1)</f>
        <v/>
      </c>
      <c r="F235">
        <f>IF(Skills!N4=TRUE,(Skills!L4/10)*(E235/1000),Skills!L4/10)+Skills!O4</f>
        <v/>
      </c>
      <c r="G235">
        <f>Skills!G4*IF(Skills!H4&gt;0,Skills!I4/Skills!H4,1)</f>
        <v/>
      </c>
      <c r="H235">
        <f>1-(1-Skills!J4/100)^Skills!K4</f>
        <v/>
      </c>
      <c r="I235" t="inlineStr">
        <is>
          <t>1</t>
        </is>
      </c>
      <c r="J235">
        <f>((Inputs!$B$6*(1+Inputs!$B$7/100))+(((Inputs!$B$12*(1+Inputs!$B$13/100))-(Inputs!$B$12*(1+Inputs!$B$13/100)))+0.25*(Inputs!$B$14-Inputs!$B$14))*(1+Inputs!$B$7/100))*(F235/100)</f>
        <v/>
      </c>
      <c r="K235">
        <f>J235*(1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243=TRUE,F243,0)/100)*(1+(IF(Skills!A4="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f>
        <v/>
      </c>
      <c r="L235">
        <f>K235*(MIN(Inputs!$B$22+((C253=TRUE)*(F253-Calc!F22)),(Inputs!$B$23+((C255=TRUE)*(F255-Calc!F24))+(IF(ArtifactsInput!$M$15,CHOOSE(ArtifactsInput!$N$15+1,25,30,35,40,45,50)/100*(Inputs!$B$11-Inputs!$B$11),0))))/100+(Inputs!$B$23+((C255=TRUE)*(F255-Calc!F24))+(IF(ArtifactsInput!$M$15,CHOOSE(ArtifactsInput!$N$15+1,25,30,35,40,45,50)/100*(Inputs!$B$11-Inputs!$B$11),0)))/100)/2</f>
        <v/>
      </c>
      <c r="M235">
        <f>L235*(1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
        <f>L235*(1-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
        <f>(1-Summary!$B$11)*T235+Summary!$B$11*V235</f>
        <v/>
      </c>
      <c r="P235">
        <f>IF(B268=0,0,O235/B268)</f>
        <v/>
      </c>
      <c r="Q235">
        <f>IFERROR(1/(IF(Inputs!$B$38="pvp",15,MAX(0.1,Skills!D4-IF(Skills!E4=TRUE,Inputs!$B$32,0)))*(1-IF(AND(ArtifactsInput!$M$27,Inputs!$B$4="Chapter Hunt"),CHOOSE(ArtifactsInput!$N$27+1,20,24,28,32,36,40),0)/100)),0)</f>
        <v/>
      </c>
      <c r="R235">
        <f>IF(AND(Inputs!$B$38&lt;&gt;"pvp",Inputs!$B$43&gt;0),IF(MAX(0,Inputs!$B$43-B265)&lt;=0,0,(INT(MAX(0,Inputs!$B$43-B265)/(IF(Inputs!$B$38="pvp",15,MAX(0.1,Skills!D4-IF(Skills!E4=TRUE,Inputs!$B$32,0)))*(1-IF(AND(ArtifactsInput!$M$27,Inputs!$B$4="Chapter Hunt"),CHOOSE(ArtifactsInput!$N$27+1,20,24,28,32,36,40),0)/100)))+1)),0)</f>
        <v/>
      </c>
      <c r="S235">
        <f>IFERROR(O235/N235,0)</f>
        <v/>
      </c>
      <c r="T235">
        <f>IF(C235,(H235*N235*IF(AND(Inputs!$B$38&lt;&gt;"pvp",Inputs!$B$43&gt;0),((Skills!G4*((R235-1)*IF(Skills!H4&gt;0,Skills!I4/Skills!H4,1)+IF(Skills!H4&gt;0,MIN(Skills!I4,MAX(0,MAX(0,Inputs!$B$43-B265)-((R235-1)*(IF(Inputs!$B$38="pvp",15,MAX(0.1,Skills!D4-IF(Skills!E4=TRUE,Inputs!$B$32,0)))*(1-IF(AND(ArtifactsInput!$M$27,Inputs!$B$4="Chapter Hunt"),CHOOSE(ArtifactsInput!$N$27+1,20,24,28,32,36,40),0)/100)))))/Skills!H4,1)))/Inputs!$B$43),G235*Q235)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5">
        <f>290*U234/1000</f>
        <v/>
      </c>
      <c r="V235">
        <f>IF(C235,(H235*N235*IF(AND(Inputs!$B$38&lt;&gt;"pvp",Inputs!$B$43&gt;0),((Skills!G4*((R235-1)*IF(Skills!H4&gt;0,Skills!I4/Skills!H4,1)+IF(Skills!H4&gt;0,MIN(Skills!I4,MAX(0,MAX(0,Inputs!$B$43-B265)-((R235-1)*(IF(Inputs!$B$38="pvp",15,MAX(0.1,Skills!D4-IF(Skills!E4=TRUE,Inputs!$B$32,0)))*(1-IF(AND(ArtifactsInput!$M$27,Inputs!$B$4="Chapter Hunt"),CHOOSE(ArtifactsInput!$N$27+1,20,24,28,32,36,40),0)/100)))))/Skills!H4,1)))/Inputs!$B$43),G235*Q235))*IF(Inputs!$B$38="pvp",1,(1+(Inputs!$B$21+Skills!Q4+(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
      <c r="A236">
        <f>Skills!A5</f>
        <v/>
      </c>
      <c r="B236">
        <f>Skills!B5</f>
        <v/>
      </c>
      <c r="C236">
        <f>Inputs!$B$3&gt;=66</f>
        <v/>
      </c>
      <c r="D236">
        <f>IF(Skills!C5=1,60+Inputs!$B$25+Inputs!$B$29,IF(Skills!C5=2,90+Inputs!$B$26+Inputs!$B$29,IF(Skills!C5=3,120+Inputs!$B$27+Inputs!$B$29,MAX(0,(Inputs!$B$3-100)*3)+Inputs!$B$28+Inputs!$B$29)))</f>
        <v/>
      </c>
      <c r="E236">
        <f>INDEX(FactorTable!$B$2:$Y$301, MATCH(ROUND(MIN(300,MAX(1,D236)),0), FactorTable!$A$2:$A$301,0), Skills!M5+1)</f>
        <v/>
      </c>
      <c r="F236">
        <f>IF(Skills!N5=TRUE,(Skills!L5/10)*(E236/1000),Skills!L5/10)+Skills!O5</f>
        <v/>
      </c>
      <c r="G236">
        <f>Skills!G5*IF(Skills!H5&gt;0,Skills!I5/Skills!H5,1)</f>
        <v/>
      </c>
      <c r="H236">
        <f>1-(1-Skills!J5/100)^Skills!K5</f>
        <v/>
      </c>
      <c r="I236" t="inlineStr">
        <is>
          <t>1</t>
        </is>
      </c>
      <c r="J236">
        <f>((Inputs!$B$6*(1+Inputs!$B$7/100))+(((Inputs!$B$12*(1+Inputs!$B$13/100))-(Inputs!$B$12*(1+Inputs!$B$13/100)))+0.25*(Inputs!$B$14-Inputs!$B$14))*(1+Inputs!$B$7/100))*(F236/100)</f>
        <v/>
      </c>
      <c r="K236">
        <f>J236*(1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TRUE,F243,0)/100)*(1+(IF(Skills!A5="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f>
        <v/>
      </c>
      <c r="L236">
        <f>K236*(MIN(Inputs!$B$22+((C253=TRUE)*(F253-Calc!F22)),(Inputs!$B$23+((C255=TRUE)*(F255-Calc!F24))+(IF(ArtifactsInput!$M$15,CHOOSE(ArtifactsInput!$N$15+1,25,30,35,40,45,50)/100*(Inputs!$B$11-Inputs!$B$11),0))))/100+(Inputs!$B$23+((C255=TRUE)*(F255-Calc!F24))+(IF(ArtifactsInput!$M$15,CHOOSE(ArtifactsInput!$N$15+1,25,30,35,40,45,50)/100*(Inputs!$B$11-Inputs!$B$11),0)))/100)/2</f>
        <v/>
      </c>
      <c r="M236">
        <f>L236*(1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
        <f>L236*(1-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
        <f>(1-Summary!$B$11)*T236+Summary!$B$11*V236</f>
        <v/>
      </c>
      <c r="P236">
        <f>IF(B268=0,0,O236/B268)</f>
        <v/>
      </c>
      <c r="Q236">
        <f>IFERROR(1/(IF(Inputs!$B$38="pvp",15,MAX(0.1,Skills!D5-IF(Skills!E5=TRUE,Inputs!$B$32,0)))*(1-IF(AND(ArtifactsInput!$M$27,Inputs!$B$4="Chapter Hunt"),CHOOSE(ArtifactsInput!$N$27+1,20,24,28,32,36,40),0)/100)),0)</f>
        <v/>
      </c>
      <c r="R236">
        <f>IF(AND(Inputs!$B$38&lt;&gt;"pvp",Inputs!$B$43&gt;0),IF(MAX(0,Inputs!$B$43-B265)&lt;=0,0,(INT(MAX(0,Inputs!$B$43-B265)/(IF(Inputs!$B$38="pvp",15,MAX(0.1,Skills!D5-IF(Skills!E5=TRUE,Inputs!$B$32,0)))*(1-IF(AND(ArtifactsInput!$M$27,Inputs!$B$4="Chapter Hunt"),CHOOSE(ArtifactsInput!$N$27+1,20,24,28,32,36,40),0)/100)))+1)),0)</f>
        <v/>
      </c>
      <c r="S236">
        <f>IFERROR(O236/N236,0)</f>
        <v/>
      </c>
      <c r="T236">
        <f>IF(C236,(H236*N236*IF(AND(Inputs!$B$38&lt;&gt;"pvp",Inputs!$B$43&gt;0),((Skills!G5*((R236-1)*IF(Skills!H5&gt;0,Skills!I5/Skills!H5,1)+IF(Skills!H5&gt;0,MIN(Skills!I5,MAX(0,MAX(0,Inputs!$B$43-B265)-((R236-1)*(IF(Inputs!$B$38="pvp",15,MAX(0.1,Skills!D5-IF(Skills!E5=TRUE,Inputs!$B$32,0)))*(1-IF(AND(ArtifactsInput!$M$27,Inputs!$B$4="Chapter Hunt"),CHOOSE(ArtifactsInput!$N$27+1,20,24,28,32,36,40),0)/100)))))/Skills!H5,1)))/Inputs!$B$43),G236*Q236)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6">
        <f>IF(C236,(H236*N236*IF(AND(Inputs!$B$38&lt;&gt;"pvp",Inputs!$B$43&gt;0),((Skills!G5*((R236-1)*IF(Skills!H5&gt;0,Skills!I5/Skills!H5,1)+IF(Skills!H5&gt;0,MIN(Skills!I5,MAX(0,MAX(0,Inputs!$B$43-B265)-((R236-1)*(IF(Inputs!$B$38="pvp",15,MAX(0.1,Skills!D5-IF(Skills!E5=TRUE,Inputs!$B$32,0)))*(1-IF(AND(ArtifactsInput!$M$27,Inputs!$B$4="Chapter Hunt"),CHOOSE(ArtifactsInput!$N$27+1,20,24,28,32,36,40),0)/100)))))/Skills!H5,1)))/Inputs!$B$43),G236*Q236))*IF(Inputs!$B$38="pvp",1,(1+(Inputs!$B$21+Skills!Q5+(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
      <c r="A237">
        <f>Skills!A6</f>
        <v/>
      </c>
      <c r="B237">
        <f>Skills!B6</f>
        <v/>
      </c>
      <c r="C237">
        <f>Inputs!$B$3&gt;=103</f>
        <v/>
      </c>
      <c r="D237">
        <f>IF(Skills!C6=1,60+Inputs!$B$25+Inputs!$B$29,IF(Skills!C6=2,90+Inputs!$B$26+Inputs!$B$29,IF(Skills!C6=3,120+Inputs!$B$27+Inputs!$B$29,MAX(0,(Inputs!$B$3-100)*3)+Inputs!$B$28+Inputs!$B$29)))</f>
        <v/>
      </c>
      <c r="E237">
        <f>INDEX(FactorTable!$B$2:$Y$301, MATCH(ROUND(MIN(300,MAX(1,D237)),0), FactorTable!$A$2:$A$301,0), Skills!M6+1)</f>
        <v/>
      </c>
      <c r="F237">
        <f>IF(Skills!N6=TRUE,(Skills!L6/10)*(E237/1000),Skills!L6/10)+Skills!O6</f>
        <v/>
      </c>
      <c r="G237">
        <f>Skills!G6*IF(Skills!H6&gt;0,Skills!I6/Skills!H6,1)</f>
        <v/>
      </c>
      <c r="H237">
        <f>1-(1-Skills!J6/100)^Skills!K6</f>
        <v/>
      </c>
      <c r="I237" t="inlineStr">
        <is>
          <t>1</t>
        </is>
      </c>
      <c r="J237">
        <f>((Inputs!$B$6*(1+Inputs!$B$7/100))+(((Inputs!$B$12*(1+Inputs!$B$13/100))-(Inputs!$B$12*(1+Inputs!$B$13/100)))+0.25*(Inputs!$B$14-Inputs!$B$14))*(1+Inputs!$B$7/100))*(F237/100)</f>
        <v/>
      </c>
      <c r="K237">
        <f>J237*(1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f>
        <v/>
      </c>
      <c r="L237">
        <f>K237*(MIN(Inputs!$B$22+((C253=TRUE)*(F253-Calc!F22)),(Inputs!$B$23+((C255=TRUE)*(F255-Calc!F24))+(IF(ArtifactsInput!$M$15,CHOOSE(ArtifactsInput!$N$15+1,25,30,35,40,45,50)/100*(Inputs!$B$11-Inputs!$B$11),0))))/100+(Inputs!$B$23+((C255=TRUE)*(F255-Calc!F24))+(IF(ArtifactsInput!$M$15,CHOOSE(ArtifactsInput!$N$15+1,25,30,35,40,45,50)/100*(Inputs!$B$11-Inputs!$B$11),0)))/100)/2</f>
        <v/>
      </c>
      <c r="M237">
        <f>L237*(1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
        <f>L237*(1-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
        <f>(1-Summary!$B$11)*T237+Summary!$B$11*V237</f>
        <v/>
      </c>
      <c r="P237">
        <f>IF(B268=0,0,O237/B268)</f>
        <v/>
      </c>
      <c r="Q237">
        <f>IFERROR(1/(IF(Inputs!$B$38="pvp",15,MAX(0.1,Skills!D6-IF(Skills!E6=TRUE,Inputs!$B$32,0)))*(1-IF(AND(ArtifactsInput!$M$27,Inputs!$B$4="Chapter Hunt"),CHOOSE(ArtifactsInput!$N$27+1,20,24,28,32,36,40),0)/100)),0)</f>
        <v/>
      </c>
      <c r="R237">
        <f>IF(AND(Inputs!$B$38&lt;&gt;"pvp",Inputs!$B$43&gt;0),IF(MAX(0,Inputs!$B$43-B265)&lt;=0,0,(INT(MAX(0,Inputs!$B$43-B265)/(IF(Inputs!$B$38="pvp",15,MAX(0.1,Skills!D6-IF(Skills!E6=TRUE,Inputs!$B$32,0)))*(1-IF(AND(ArtifactsInput!$M$27,Inputs!$B$4="Chapter Hunt"),CHOOSE(ArtifactsInput!$N$27+1,20,24,28,32,36,40),0)/100)))+1)),0)</f>
        <v/>
      </c>
      <c r="S237">
        <f>IFERROR(O237/N237,0)</f>
        <v/>
      </c>
      <c r="T237">
        <f>IF(C237,(H237*N237*IF(AND(Inputs!$B$38&lt;&gt;"pvp",Inputs!$B$43&gt;0),((Skills!G6*((R237-1)*IF(Skills!H6&gt;0,Skills!I6/Skills!H6,1)+IF(Skills!H6&gt;0,MIN(Skills!I6,MAX(0,MAX(0,Inputs!$B$43-B265)-((R237-1)*(IF(Inputs!$B$38="pvp",15,MAX(0.1,Skills!D6-IF(Skills!E6=TRUE,Inputs!$B$32,0)))*(1-IF(AND(ArtifactsInput!$M$27,Inputs!$B$4="Chapter Hunt"),CHOOSE(ArtifactsInput!$N$27+1,20,24,28,32,36,40),0)/100)))))/Skills!H6,1)))/Inputs!$B$43),G237*Q237)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
        <f>IF(C237,(H237*N237*IF(AND(Inputs!$B$38&lt;&gt;"pvp",Inputs!$B$43&gt;0),((Skills!G6*((R237-1)*IF(Skills!H6&gt;0,Skills!I6/Skills!H6,1)+IF(Skills!H6&gt;0,MIN(Skills!I6,MAX(0,MAX(0,Inputs!$B$43-B265)-((R237-1)*(IF(Inputs!$B$38="pvp",15,MAX(0.1,Skills!D6-IF(Skills!E6=TRUE,Inputs!$B$32,0)))*(1-IF(AND(ArtifactsInput!$M$27,Inputs!$B$4="Chapter Hunt"),CHOOSE(ArtifactsInput!$N$27+1,20,24,28,32,36,40),0)/100)))))/Skills!H6,1)))/Inputs!$B$43),G237*Q237))*IF(Inputs!$B$38="pvp",1,(1+(Inputs!$B$21+Skills!Q6+(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8">
      <c r="A238">
        <f>Skills!A7</f>
        <v/>
      </c>
      <c r="B238">
        <f>Skills!B7</f>
        <v/>
      </c>
      <c r="C238">
        <f>Inputs!$B$3&gt;=107</f>
        <v/>
      </c>
      <c r="D238">
        <f>IF(Skills!C7=1,60+Inputs!$B$25+Inputs!$B$29,IF(Skills!C7=2,90+Inputs!$B$26+Inputs!$B$29,IF(Skills!C7=3,120+Inputs!$B$27+Inputs!$B$29,MAX(0,(Inputs!$B$3-100)*3)+Inputs!$B$28+Inputs!$B$29)))</f>
        <v/>
      </c>
      <c r="E238">
        <f>INDEX(FactorTable!$B$2:$Y$301, MATCH(ROUND(MIN(300,MAX(1,D238)),0), FactorTable!$A$2:$A$301,0), Skills!M7+1)</f>
        <v/>
      </c>
      <c r="F238">
        <f>IF(Skills!N7=TRUE,(Skills!L7/10)*(E238/1000),Skills!L7/10)+Skills!O7</f>
        <v/>
      </c>
      <c r="G238">
        <f>Skills!G7*IF(Skills!H7&gt;0,Skills!I7/Skills!H7,1)</f>
        <v/>
      </c>
      <c r="H238">
        <f>1-(1-Skills!J7/100)^Skills!K7</f>
        <v/>
      </c>
      <c r="I238" t="inlineStr">
        <is>
          <t>1</t>
        </is>
      </c>
      <c r="J238">
        <f>((Inputs!$B$6*(1+Inputs!$B$7/100))+(((Inputs!$B$12*(1+Inputs!$B$13/100))-(Inputs!$B$12*(1+Inputs!$B$13/100)))+0.25*(Inputs!$B$14-Inputs!$B$14))*(1+Inputs!$B$7/100))*(F238/100)</f>
        <v/>
      </c>
      <c r="K238">
        <f>J238*(1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238)</f>
        <v/>
      </c>
      <c r="L238">
        <f>K238*(MIN(Inputs!$B$22+((C253=TRUE)*(F253-Calc!F22)),(Inputs!$B$23+((C255=TRUE)*(F255-Calc!F24))+(IF(ArtifactsInput!$M$15,CHOOSE(ArtifactsInput!$N$15+1,25,30,35,40,45,50)/100*(Inputs!$B$11-Inputs!$B$11),0))))/100+(Inputs!$B$23+((C255=TRUE)*(F255-Calc!F24))+(IF(ArtifactsInput!$M$15,CHOOSE(ArtifactsInput!$N$15+1,25,30,35,40,45,50)/100*(Inputs!$B$11-Inputs!$B$11),0)))/100)/2</f>
        <v/>
      </c>
      <c r="M238">
        <f>L238*(1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8">
        <f>L238*(1-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238*(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8">
        <f>(1-Summary!$B$11)*T238+Summary!$B$11*V238</f>
        <v/>
      </c>
      <c r="P238">
        <f>IF(B268=0,0,O238/B268)</f>
        <v/>
      </c>
      <c r="Q238">
        <f>IFERROR(1/(IF(Inputs!$B$38="pvp",15,MAX(0.1,Skills!D7-IF(Skills!E7=TRUE,Inputs!$B$32,0)))*(1-IF(AND(ArtifactsInput!$M$27,Inputs!$B$4="Chapter Hunt"),CHOOSE(ArtifactsInput!$N$27+1,20,24,28,32,36,40),0)/100)),0)</f>
        <v/>
      </c>
      <c r="R238">
        <f>IF(AND(Inputs!$B$38&lt;&gt;"pvp",Inputs!$B$43&gt;0),IF(MAX(0,Inputs!$B$43-B265)&lt;=0,0,(INT(MAX(0,Inputs!$B$43-B265)/(IF(Inputs!$B$38="pvp",15,MAX(0.1,Skills!D7-IF(Skills!E7=TRUE,Inputs!$B$32,0)))*(1-IF(AND(ArtifactsInput!$M$27,Inputs!$B$4="Chapter Hunt"),CHOOSE(ArtifactsInput!$N$27+1,20,24,28,32,36,40),0)/100)))+1)),0)</f>
        <v/>
      </c>
      <c r="S238">
        <f>IFERROR(O238/N238,0)</f>
        <v/>
      </c>
      <c r="T238">
        <f>IF(C238,(H238*N238*IF(AND(Inputs!$B$38&lt;&gt;"pvp",Inputs!$B$43&gt;0),((Skills!G7*((R238-1)*IF(Skills!H7&gt;0,Skills!I7/Skills!H7,1)+IF(Skills!H7&gt;0,MIN(Skills!I7,MAX(0,MAX(0,Inputs!$B$43-B265)-((R238-1)*(IF(Inputs!$B$38="pvp",15,MAX(0.1,Skills!D7-IF(Skills!E7=TRUE,Inputs!$B$32,0)))*(1-IF(AND(ArtifactsInput!$M$27,Inputs!$B$4="Chapter Hunt"),CHOOSE(ArtifactsInput!$N$27+1,20,24,28,32,36,40),0)/100)))))/Skills!H7,1)))/Inputs!$B$43),G238*Q238)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238*(1-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238*(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238*(1-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238*(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8">
        <f>IF(C238,(H238*N238*IF(AND(Inputs!$B$38&lt;&gt;"pvp",Inputs!$B$43&gt;0),((Skills!G7*((R238-1)*IF(Skills!H7&gt;0,Skills!I7/Skills!H7,1)+IF(Skills!H7&gt;0,MIN(Skills!I7,MAX(0,MAX(0,Inputs!$B$43-B265)-((R238-1)*(IF(Inputs!$B$38="pvp",15,MAX(0.1,Skills!D7-IF(Skills!E7=TRUE,Inputs!$B$32,0)))*(1-IF(AND(ArtifactsInput!$M$27,Inputs!$B$4="Chapter Hunt"),CHOOSE(ArtifactsInput!$N$27+1,20,24,28,32,36,40),0)/100)))))/Skills!H7,1)))/Inputs!$B$43),G238*Q238))*IF(Inputs!$B$38="pvp",1,(1+(Inputs!$B$21+Skills!Q7+(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
      <c r="A239">
        <f>Skills!A8</f>
        <v/>
      </c>
      <c r="B239">
        <f>Skills!B8</f>
        <v/>
      </c>
      <c r="C239">
        <f>Inputs!$B$3&gt;=107</f>
        <v/>
      </c>
      <c r="D239">
        <f>IF(Skills!C8=1,60+Inputs!$B$25+Inputs!$B$29,IF(Skills!C8=2,90+Inputs!$B$26+Inputs!$B$29,IF(Skills!C8=3,120+Inputs!$B$27+Inputs!$B$29,MAX(0,(Inputs!$B$3-100)*3)+Inputs!$B$28+Inputs!$B$29)))</f>
        <v/>
      </c>
      <c r="E239">
        <f>INDEX(FactorTable!$B$2:$Y$301, MATCH(ROUND(MIN(300,MAX(1,D239)),0), FactorTable!$A$2:$A$301,0), Skills!M8+1)</f>
        <v/>
      </c>
      <c r="F239">
        <f>IF(Skills!N8=TRUE,(Skills!L8/10)*(E239/1000),Skills!L8/10)+Skills!O8</f>
        <v/>
      </c>
      <c r="G239">
        <f>Skills!G8*IF(Skills!H8&gt;0,Skills!I8/Skills!H8,1)</f>
        <v/>
      </c>
      <c r="H239">
        <f>1-(1-Skills!J8/100)^Skills!K8</f>
        <v/>
      </c>
      <c r="I239" t="inlineStr">
        <is>
          <t>1</t>
        </is>
      </c>
      <c r="J239">
        <f>((Inputs!$B$6*(1+Inputs!$B$7/100))+(((Inputs!$B$12*(1+Inputs!$B$13/100))-(Inputs!$B$12*(1+Inputs!$B$13/100)))+0.25*(Inputs!$B$14-Inputs!$B$14))*(1+Inputs!$B$7/100))*(F239/100)</f>
        <v/>
      </c>
      <c r="K239">
        <f>J239*(1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f>
        <v/>
      </c>
      <c r="L239">
        <f>K239*(MIN(Inputs!$B$22+((C253=TRUE)*(F253-Calc!F22)),(Inputs!$B$23+((C255=TRUE)*(F255-Calc!F24))+(IF(ArtifactsInput!$M$15,CHOOSE(ArtifactsInput!$N$15+1,25,30,35,40,45,50)/100*(Inputs!$B$11-Inputs!$B$11),0))))/100+(Inputs!$B$23+((C255=TRUE)*(F255-Calc!F24))+(IF(ArtifactsInput!$M$15,CHOOSE(ArtifactsInput!$N$15+1,25,30,35,40,45,50)/100*(Inputs!$B$11-Inputs!$B$11),0)))/100)/2</f>
        <v/>
      </c>
      <c r="M239">
        <f>L239*(1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
        <f>L239*(1-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
        <f>(1-Summary!$B$11)*T239+Summary!$B$11*V239</f>
        <v/>
      </c>
      <c r="P239">
        <f>IF(B268=0,0,O239/B268)</f>
        <v/>
      </c>
      <c r="Q239">
        <f>IFERROR(1/(IF(Inputs!$B$38="pvp",15,MAX(0.1,Skills!D8-IF(Skills!E8=TRUE,Inputs!$B$32,0)))*(1-IF(AND(ArtifactsInput!$M$27,Inputs!$B$4="Chapter Hunt"),CHOOSE(ArtifactsInput!$N$27+1,20,24,28,32,36,40),0)/100)),0)</f>
        <v/>
      </c>
      <c r="R239">
        <f>IF(AND(Inputs!$B$38&lt;&gt;"pvp",Inputs!$B$43&gt;0),IF(MAX(0,Inputs!$B$43-B265)&lt;=0,0,(INT(MAX(0,Inputs!$B$43-B265)/(IF(Inputs!$B$38="pvp",15,MAX(0.1,Skills!D8-IF(Skills!E8=TRUE,Inputs!$B$32,0)))*(1-IF(AND(ArtifactsInput!$M$27,Inputs!$B$4="Chapter Hunt"),CHOOSE(ArtifactsInput!$N$27+1,20,24,28,32,36,40),0)/100)))+1)),0)</f>
        <v/>
      </c>
      <c r="S239">
        <f>IFERROR(O239/N239,0)</f>
        <v/>
      </c>
      <c r="T239">
        <f>IF(C239,(H239*N239*IF(AND(Inputs!$B$38&lt;&gt;"pvp",Inputs!$B$43&gt;0),((Skills!G8*((R239-1)*IF(Skills!H8&gt;0,Skills!I8/Skills!H8,1)+IF(Skills!H8&gt;0,MIN(Skills!I8,MAX(0,MAX(0,Inputs!$B$43-B265)-((R239-1)*(IF(Inputs!$B$38="pvp",15,MAX(0.1,Skills!D8-IF(Skills!E8=TRUE,Inputs!$B$32,0)))*(1-IF(AND(ArtifactsInput!$M$27,Inputs!$B$4="Chapter Hunt"),CHOOSE(ArtifactsInput!$N$27+1,20,24,28,32,36,40),0)/100)))))/Skills!H8,1)))/Inputs!$B$43),G239*Q239)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
        <f>IF(C239,(H239*N239*IF(AND(Inputs!$B$38&lt;&gt;"pvp",Inputs!$B$43&gt;0),((Skills!G8*((R239-1)*IF(Skills!H8&gt;0,Skills!I8/Skills!H8,1)+IF(Skills!H8&gt;0,MIN(Skills!I8,MAX(0,MAX(0,Inputs!$B$43-B265)-((R239-1)*(IF(Inputs!$B$38="pvp",15,MAX(0.1,Skills!D8-IF(Skills!E8=TRUE,Inputs!$B$32,0)))*(1-IF(AND(ArtifactsInput!$M$27,Inputs!$B$4="Chapter Hunt"),CHOOSE(ArtifactsInput!$N$27+1,20,24,28,32,36,40),0)/100)))))/Skills!H8,1)))/Inputs!$B$43),G239*Q239))*IF(Inputs!$B$38="pvp",1,(1+(Inputs!$B$21+Skills!Q8+(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
      <c r="A240">
        <f>Skills!A9</f>
        <v/>
      </c>
      <c r="B240">
        <f>Skills!B9</f>
        <v/>
      </c>
      <c r="C240">
        <f>Inputs!$B$3&gt;=125</f>
        <v/>
      </c>
      <c r="D240">
        <f>IF(Skills!C9=1,60+Inputs!$B$25+Inputs!$B$29,IF(Skills!C9=2,90+Inputs!$B$26+Inputs!$B$29,IF(Skills!C9=3,120+Inputs!$B$27+Inputs!$B$29,MAX(0,(Inputs!$B$3-100)*3)+Inputs!$B$28+Inputs!$B$29)))</f>
        <v/>
      </c>
      <c r="E240">
        <f>INDEX(FactorTable!$B$2:$Y$301, MATCH(ROUND(MIN(300,MAX(1,D240)),0), FactorTable!$A$2:$A$301,0), Skills!M9+1)</f>
        <v/>
      </c>
      <c r="F240">
        <f>IF(Skills!N9=TRUE,(Skills!L9/10)*(E240/1000),Skills!L9/10)+Skills!O9</f>
        <v/>
      </c>
      <c r="G240">
        <f>Skills!G9*IF(Skills!H9&gt;0,Skills!I9/Skills!H9,1)</f>
        <v/>
      </c>
      <c r="H240">
        <f>1-(1-Skills!J9/100)^Skills!K9</f>
        <v/>
      </c>
      <c r="I240" t="inlineStr">
        <is>
          <t>1</t>
        </is>
      </c>
      <c r="J240">
        <f>((Inputs!$B$6*(1+Inputs!$B$7/100))+(((Inputs!$B$12*(1+Inputs!$B$13/100))-(Inputs!$B$12*(1+Inputs!$B$13/100)))+0.25*(Inputs!$B$14-Inputs!$B$14))*(1+Inputs!$B$7/100))*(F240/100)</f>
        <v/>
      </c>
      <c r="K240">
        <f>J240*(1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f>
        <v/>
      </c>
      <c r="L240">
        <f>K240*(MIN(Inputs!$B$22+((C253=TRUE)*(F253-Calc!F22)),(Inputs!$B$23+((C255=TRUE)*(F255-Calc!F24))+(IF(ArtifactsInput!$M$15,CHOOSE(ArtifactsInput!$N$15+1,25,30,35,40,45,50)/100*(Inputs!$B$11-Inputs!$B$11),0))))/100+(Inputs!$B$23+((C255=TRUE)*(F255-Calc!F24))+(IF(ArtifactsInput!$M$15,CHOOSE(ArtifactsInput!$N$15+1,25,30,35,40,45,50)/100*(Inputs!$B$11-Inputs!$B$11),0)))/100)/2</f>
        <v/>
      </c>
      <c r="M240">
        <f>L240*(1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
        <f>L240*(1-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
        <f>(1-Summary!$B$11)*T240+Summary!$B$11*V240</f>
        <v/>
      </c>
      <c r="P240">
        <f>IF(B268=0,0,O240/B268)</f>
        <v/>
      </c>
      <c r="Q240">
        <f>IFERROR(1/(IF(Inputs!$B$38="pvp",15,MAX(0.1,Skills!D9-IF(Skills!E9=TRUE,Inputs!$B$32,0)))*(1-IF(AND(ArtifactsInput!$M$27,Inputs!$B$4="Chapter Hunt"),CHOOSE(ArtifactsInput!$N$27+1,20,24,28,32,36,40),0)/100)),0)</f>
        <v/>
      </c>
      <c r="R240">
        <f>IF(AND(Inputs!$B$38&lt;&gt;"pvp",Inputs!$B$43&gt;0),IF(MAX(0,Inputs!$B$43-B265)&lt;=0,0,(INT(MAX(0,Inputs!$B$43-B265)/(IF(Inputs!$B$38="pvp",15,MAX(0.1,Skills!D9-IF(Skills!E9=TRUE,Inputs!$B$32,0)))*(1-IF(AND(ArtifactsInput!$M$27,Inputs!$B$4="Chapter Hunt"),CHOOSE(ArtifactsInput!$N$27+1,20,24,28,32,36,40),0)/100)))+1)),0)</f>
        <v/>
      </c>
      <c r="S240">
        <f>IFERROR(O240/N240,0)</f>
        <v/>
      </c>
      <c r="T240">
        <f>IF(C240,(H240*N240*IF(AND(Inputs!$B$38&lt;&gt;"pvp",Inputs!$B$43&gt;0),((Skills!G9*((R240-1)*IF(Skills!H9&gt;0,Skills!I9/Skills!H9,1)+IF(Skills!H9&gt;0,MIN(Skills!I9,MAX(0,MAX(0,Inputs!$B$43-B265)-((R240-1)*(IF(Inputs!$B$38="pvp",15,MAX(0.1,Skills!D9-IF(Skills!E9=TRUE,Inputs!$B$32,0)))*(1-IF(AND(ArtifactsInput!$M$27,Inputs!$B$4="Chapter Hunt"),CHOOSE(ArtifactsInput!$N$27+1,20,24,28,32,36,40),0)/100)))))/Skills!H9,1)))/Inputs!$B$43),G240*Q240)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240*(1-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0">
        <f>IF(C240,(H240*N240*IF(AND(Inputs!$B$38&lt;&gt;"pvp",Inputs!$B$43&gt;0),((Skills!G9*((R240-1)*IF(Skills!H9&gt;0,Skills!I9/Skills!H9,1)+IF(Skills!H9&gt;0,MIN(Skills!I9,MAX(0,MAX(0,Inputs!$B$43-B265)-((R240-1)*(IF(Inputs!$B$38="pvp",15,MAX(0.1,Skills!D9-IF(Skills!E9=TRUE,Inputs!$B$32,0)))*(1-IF(AND(ArtifactsInput!$M$27,Inputs!$B$4="Chapter Hunt"),CHOOSE(ArtifactsInput!$N$27+1,20,24,28,32,36,40),0)/100)))))/Skills!H9,1)))/Inputs!$B$43),G240*Q240))*IF(Inputs!$B$38="pvp",1,(1+(Inputs!$B$21+Skills!Q9+(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
      <c r="A241">
        <f>Skills!A10</f>
        <v/>
      </c>
      <c r="B241">
        <f>Skills!B10</f>
        <v/>
      </c>
      <c r="C241">
        <f>Inputs!$B$3&gt;=117</f>
        <v/>
      </c>
      <c r="D241">
        <f>IF(Skills!C10=1,60+Inputs!$B$25+Inputs!$B$29,IF(Skills!C10=2,90+Inputs!$B$26+Inputs!$B$29,IF(Skills!C10=3,120+Inputs!$B$27+Inputs!$B$29,MAX(0,(Inputs!$B$3-100)*3)+Inputs!$B$28+Inputs!$B$29)))</f>
        <v/>
      </c>
      <c r="E241">
        <f>INDEX(FactorTable!$B$2:$Y$301, MATCH(ROUND(MIN(300,MAX(1,D241)),0), FactorTable!$A$2:$A$301,0), Skills!M10+1)</f>
        <v/>
      </c>
      <c r="F241">
        <f>IF(Skills!N10=TRUE,(Skills!L10/10)*(E241/1000),Skills!L10/10)+Skills!O10</f>
        <v/>
      </c>
      <c r="G241">
        <f>Skills!G10*IF(Skills!H10&gt;0,Skills!I10/Skills!H10,1)</f>
        <v/>
      </c>
      <c r="H241">
        <f>1-(1-Skills!J10/100)^Skills!K10</f>
        <v/>
      </c>
      <c r="I241" t="inlineStr">
        <is>
          <t>1</t>
        </is>
      </c>
      <c r="J241">
        <f>((Inputs!$B$6*(1+Inputs!$B$7/100))+(((Inputs!$B$12*(1+Inputs!$B$13/100))-(Inputs!$B$12*(1+Inputs!$B$13/100)))+0.25*(Inputs!$B$14-Inputs!$B$14))*(1+Inputs!$B$7/100))*(F241/100)</f>
        <v/>
      </c>
      <c r="K241">
        <f>J241*(1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f>
        <v/>
      </c>
      <c r="L241">
        <f>K241*(MIN(Inputs!$B$22+((C253=TRUE)*(F253-Calc!F22)),(Inputs!$B$23+((C255=TRUE)*(F255-Calc!F24))+(IF(ArtifactsInput!$M$15,CHOOSE(ArtifactsInput!$N$15+1,25,30,35,40,45,50)/100*(Inputs!$B$11-Inputs!$B$11),0))))/100+(Inputs!$B$23+((C255=TRUE)*(F255-Calc!F24))+(IF(ArtifactsInput!$M$15,CHOOSE(ArtifactsInput!$N$15+1,25,30,35,40,45,50)/100*(Inputs!$B$11-Inputs!$B$11),0)))/100)/2</f>
        <v/>
      </c>
      <c r="M241">
        <f>L241*(1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
        <f>L241*(1-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
        <f>(1-Summary!$B$11)*T241+Summary!$B$11*V241</f>
        <v/>
      </c>
      <c r="P241">
        <f>IF(B268=0,0,O241/B268)</f>
        <v/>
      </c>
      <c r="Q241">
        <f>IFERROR(1/(IF(Inputs!$B$38="pvp",15,MAX(0.1,Skills!D10-IF(Skills!E10=TRUE,Inputs!$B$32,0)))*(1-IF(AND(ArtifactsInput!$M$27,Inputs!$B$4="Chapter Hunt"),CHOOSE(ArtifactsInput!$N$27+1,20,24,28,32,36,40),0)/100)),0)</f>
        <v/>
      </c>
      <c r="R241">
        <f>IF(AND(Inputs!$B$38&lt;&gt;"pvp",Inputs!$B$43&gt;0),IF(MAX(0,Inputs!$B$43-B265)&lt;=0,0,(INT(MAX(0,Inputs!$B$43-B265)/(IF(Inputs!$B$38="pvp",15,MAX(0.1,Skills!D10-IF(Skills!E10=TRUE,Inputs!$B$32,0)))*(1-IF(AND(ArtifactsInput!$M$27,Inputs!$B$4="Chapter Hunt"),CHOOSE(ArtifactsInput!$N$27+1,20,24,28,32,36,40),0)/100)))+1)),0)</f>
        <v/>
      </c>
      <c r="S241">
        <f>IFERROR(O241/N241,0)</f>
        <v/>
      </c>
      <c r="T241">
        <f>IF(C241,(H241*N241*IF(AND(Inputs!$B$38&lt;&gt;"pvp",Inputs!$B$43&gt;0),((Skills!G10*((R241-1)*IF(Skills!H10&gt;0,Skills!I10/Skills!H10,1)+IF(Skills!H10&gt;0,MIN(Skills!I10,MAX(0,MAX(0,Inputs!$B$43-B265)-((R241-1)*(IF(Inputs!$B$38="pvp",15,MAX(0.1,Skills!D10-IF(Skills!E10=TRUE,Inputs!$B$32,0)))*(1-IF(AND(ArtifactsInput!$M$27,Inputs!$B$4="Chapter Hunt"),CHOOSE(ArtifactsInput!$N$27+1,20,24,28,32,36,40),0)/100)))))/Skills!H10,1)))/Inputs!$B$43),G241*Q241)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
        <f>IF(C241,(H241*N241*IF(AND(Inputs!$B$38&lt;&gt;"pvp",Inputs!$B$43&gt;0),((Skills!G10*((R241-1)*IF(Skills!H10&gt;0,Skills!I10/Skills!H10,1)+IF(Skills!H10&gt;0,MIN(Skills!I10,MAX(0,MAX(0,Inputs!$B$43-B265)-((R241-1)*(IF(Inputs!$B$38="pvp",15,MAX(0.1,Skills!D10-IF(Skills!E10=TRUE,Inputs!$B$32,0)))*(1-IF(AND(ArtifactsInput!$M$27,Inputs!$B$4="Chapter Hunt"),CHOOSE(ArtifactsInput!$N$27+1,20,24,28,32,36,40),0)/100)))))/Skills!H10,1)))/Inputs!$B$43),G241*Q241))*IF(Inputs!$B$38="pvp",1,(1+(Inputs!$B$21+Skills!Q10+(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
      <c r="A242">
        <f>Skills!A11</f>
        <v/>
      </c>
      <c r="B242">
        <f>Skills!B11</f>
        <v/>
      </c>
      <c r="C242">
        <f>Inputs!$B$3&gt;=63</f>
        <v/>
      </c>
      <c r="D242">
        <f>IF(Skills!C11=1,60+Inputs!$B$25+Inputs!$B$29,IF(Skills!C11=2,90+Inputs!$B$26+Inputs!$B$29,IF(Skills!C11=3,120+Inputs!$B$27+Inputs!$B$29,MAX(0,(Inputs!$B$3-100)*3)+Inputs!$B$28+Inputs!$B$29)))</f>
        <v/>
      </c>
      <c r="E242">
        <f>INDEX(FactorTable!$B$2:$Y$301, MATCH(ROUND(MIN(300,MAX(1,D242)),0), FactorTable!$A$2:$A$301,0), Skills!M11+1)</f>
        <v/>
      </c>
      <c r="F242">
        <f>IF(Skills!N11=TRUE,(Skills!L11/10)*(E242/1000),Skills!L11/10)+Skills!O11</f>
        <v/>
      </c>
      <c r="G242">
        <f>Skills!G11*IF(Skills!H11&gt;0,Skills!I11/Skills!H11,1)</f>
        <v/>
      </c>
      <c r="H242">
        <f>1-(1-Skills!J11/100)^Skills!K11</f>
        <v/>
      </c>
      <c r="I242" t="inlineStr">
        <is>
          <t>1</t>
        </is>
      </c>
      <c r="J242">
        <f>((Inputs!$B$6*(1+Inputs!$B$7/100))+(((Inputs!$B$12*(1+Inputs!$B$13/100))-(Inputs!$B$12*(1+Inputs!$B$13/100)))+0.25*(Inputs!$B$14-Inputs!$B$14))*(1+Inputs!$B$7/100))*(F242/100)</f>
        <v/>
      </c>
      <c r="K242">
        <f>J242*(1+((Inputs!$B$12*(1+Inputs!$B$13/100))*0.01+Inputs!$B$14*0.0025)/100)*(1+Inputs!$B$15/100)*(1+(Inputs!$B$16+1)/100)*(5000/(6000+Inputs!$B$42*(1-(Inputs!$B$19+0)/100)))*(1+(Inputs!$B$24+0+B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243=TRUE,F243,0)/100)*(1+(IF(Skills!A11="BLAST",Inputs!$B$17+((C252=TRUE)*(F252-Calc!F21))+((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MIN(100,((Inputs!$B$9+0+B258+(ArtifactsInput!$M$24-ArtifactsInput!$M$24)*CHOOSE(ArtifactsInput!$N$24+1,10,12,14,16,18,20)+IF(ArtifactsInput!$M$10,CHOOSE(ArtifactsInput!$N$10+1,15,18,21,24,27,30)*(IF(Inputs!$B$38="pvp",MIN(15,15)/15,IF(AND(Inputs!$B$38&lt;&gt;"pvp",Inputs!$B$43&gt;0),MIN(15,Inputs!$B$43)/(Inputs!$B$43),0))),0)))-100),0))*CHOOSE(ArtifactsInput!$N$42+1,0.6,0.72,0.84,0.96,1.08,1.2))),Inputs!$B$18+((C254=TRUE)*(F254-Calc!F23))+(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gt;=100),CHOOSE(ArtifactsInput!$N$42+1,40,48,56,64,72,80),0))))/100)*((1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f>
        <v/>
      </c>
      <c r="L242">
        <f>K242*(MIN(Inputs!$B$22+((C253=TRUE)*(F253-Calc!F22)),(Inputs!$B$23+((C255=TRUE)*(F255-Calc!F24))+(IF(ArtifactsInput!$M$15,CHOOSE(ArtifactsInput!$N$15+1,25,30,35,40,45,50)/100*(Inputs!$B$11-Inputs!$B$11),0))))/100+(Inputs!$B$23+((C255=TRUE)*(F255-Calc!F24))+(IF(ArtifactsInput!$M$15,CHOOSE(ArtifactsInput!$N$15+1,25,30,35,40,45,50)/100*(Inputs!$B$11-Inputs!$B$11),0)))/100)/2</f>
        <v/>
      </c>
      <c r="M242">
        <f>L242*(1+(Inputs!$B$10+0+B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
        <f>L242*(1-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MIN((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
        <f>(1-Summary!$B$11)*T242+Summary!$B$11*V242</f>
        <v/>
      </c>
      <c r="P242">
        <f>IF(B268=0,0,O242/B268)</f>
        <v/>
      </c>
      <c r="Q242">
        <f>IFERROR(1/(IF(Inputs!$B$38="pvp",15,MAX(0.1,Skills!D11-IF(Skills!E11=TRUE,Inputs!$B$32,0)))*(1-IF(AND(ArtifactsInput!$M$27,Inputs!$B$4="Chapter Hunt"),CHOOSE(ArtifactsInput!$N$27+1,20,24,28,32,36,40),0)/100)),0)</f>
        <v/>
      </c>
      <c r="R242">
        <f>IF(AND(Inputs!$B$38&lt;&gt;"pvp",Inputs!$B$43&gt;0),IF(MAX(0,Inputs!$B$43-B265)&lt;=0,0,(INT(MAX(0,Inputs!$B$43-B265)/(IF(Inputs!$B$38="pvp",15,MAX(0.1,Skills!D11-IF(Skills!E11=TRUE,Inputs!$B$32,0)))*(1-IF(AND(ArtifactsInput!$M$27,Inputs!$B$4="Chapter Hunt"),CHOOSE(ArtifactsInput!$N$27+1,20,24,28,32,36,40),0)/100)))+1)),0)</f>
        <v/>
      </c>
      <c r="S242">
        <f>IFERROR(O242/N242,0)</f>
        <v/>
      </c>
      <c r="T242">
        <f>IF(C242,(H242*N242*IF(AND(Inputs!$B$38&lt;&gt;"pvp",Inputs!$B$43&gt;0),((Skills!G11*((R242-1)*IF(Skills!H11&gt;0,Skills!I11/Skills!H11,1)+IF(Skills!H11&gt;0,MIN(Skills!I11,MAX(0,MAX(0,Inputs!$B$43-B265)-((R242-1)*(IF(Inputs!$B$38="pvp",15,MAX(0.1,Skills!D11-IF(Skills!E11=TRUE,Inputs!$B$32,0)))*(1-IF(AND(ArtifactsInput!$M$27,Inputs!$B$4="Chapter Hunt"),CHOOSE(ArtifactsInput!$N$27+1,20,24,28,32,36,40),0)/100)))))/Skills!H11,1)))/Inputs!$B$43),G242*Q242)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(1-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MIN(100,(Inputs!$B$9+0+B258+(ArtifactsInput!$M$24-ArtifactsInput!$M$24)*CHOOSE(ArtifactsInput!$N$24+1,10,12,14,16,18,20)+(IF(AND(Inputs!$B$38&lt;&gt;"pvp",Inputs!$B$43=0),1,IF(IF(Inputs!$B$38="pvp",15,Inputs!$B$43)-(B265)&lt;=0,1,MAX(0,IF(Inputs!$B$38="pvp",15,Inputs!$B$43)-MAX(5,B265))/(IF(Inputs!$B$38="pvp",15,Inputs!$B$43)-(B265))))*IF(AND(ArtifactsInput!$M$42,((Inputs!$B$9+0+B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
        <f>IF(C242,(H242*N242*IF(AND(Inputs!$B$38&lt;&gt;"pvp",Inputs!$B$43&gt;0),((Skills!G11*((R242-1)*IF(Skills!H11&gt;0,Skills!I11/Skills!H11,1)+IF(Skills!H11&gt;0,MIN(Skills!I11,MAX(0,MAX(0,Inputs!$B$43-B265)-((R242-1)*(IF(Inputs!$B$38="pvp",15,MAX(0.1,Skills!D11-IF(Skills!E11=TRUE,Inputs!$B$32,0)))*(1-IF(AND(ArtifactsInput!$M$27,Inputs!$B$4="Chapter Hunt"),CHOOSE(ArtifactsInput!$N$27+1,20,24,28,32,36,40),0)/100)))))/Skills!H11,1)))/Inputs!$B$43),G242*Q242))*IF(Inputs!$B$38="pvp",1,(1+(Inputs!$B$21+Skills!Q11+(IF(ArtifactsInput!$M$33,CHOOSE(ArtifactsInput!$N$33+1,30,36,42,48,54,60),0))+(IF(AND(ArtifactsInput!$M$35,Inputs!$B$4&lt;&gt;"Chapter Hunt"),CHOOSE(ArtifactsInput!$N$35+1,15,18,21,24,27,30)*(1-EXP(-(0.2*B260)*5)),0)+IF(AND(ArtifactsInput!$M$22,Inputs!$B$4&lt;&gt;"Chapter Hunt"),CHOOSE(ArtifactsInput!$N$22+1,10,12,14,16,18,20)*((0*(((0.15*B260*5))^0/1)+1*(((0.15*B260*5))^1/1)+2*(((0.15*B260*5))^2/2)+3*(((0.15*B260*5))^3/6)+4*(((0.15*B260*5))^4/24)+5*(((0.15*B260*5))^5/120))/((((0.15*B260*5))^0/1)+(((0.15*B260*5))^1/1)+(((0.15*B260*5))^2/2)+(((0.15*B260*5))^3/6)+(((0.15*B260*5))^4/24)+(((0.15*B260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
      <c r="A243">
        <f>Skills!A12</f>
        <v/>
      </c>
      <c r="B243">
        <f>Skills!B12</f>
        <v/>
      </c>
      <c r="C243">
        <f>Inputs!$B$3&gt;=100</f>
        <v/>
      </c>
      <c r="D243">
        <f>IF(Skills!C12=1,60+Inputs!$B$25+Inputs!$B$29,IF(Skills!C12=2,90+Inputs!$B$26+Inputs!$B$29,IF(Skills!C12=3,120+Inputs!$B$27+Inputs!$B$29,MAX(0,(Inputs!$B$3-100)*3)+Inputs!$B$28+Inputs!$B$29)))</f>
        <v/>
      </c>
      <c r="E243">
        <f>INDEX(FactorTable!$B$2:$Y$301, MATCH(ROUND(MIN(300,MAX(1,D243)),0), FactorTable!$A$2:$A$301,0), Skills!M12+1)</f>
        <v/>
      </c>
      <c r="F243">
        <f>IF(Skills!N12=TRUE,(Skills!L12/10)*(E243/1000),Skills!L12/10)+Skills!O12</f>
        <v/>
      </c>
      <c r="G243" t="inlineStr"/>
      <c r="H243" t="inlineStr"/>
      <c r="I243" t="inlineStr">
        <is>
          <t>1</t>
        </is>
      </c>
      <c r="J243" t="inlineStr"/>
      <c r="K243" t="inlineStr"/>
      <c r="L243" t="inlineStr"/>
      <c r="M243" t="inlineStr"/>
      <c r="N243" t="inlineStr"/>
      <c r="O243" t="inlineStr"/>
      <c r="P243" t="inlineStr"/>
      <c r="Q243" t="inlineStr"/>
      <c r="R243" t="inlineStr"/>
      <c r="S243" t="inlineStr"/>
    </row>
    <row r="244">
      <c r="A244">
        <f>Skills!A13</f>
        <v/>
      </c>
      <c r="B244">
        <f>Skills!B13</f>
        <v/>
      </c>
      <c r="C244">
        <f>Inputs!$B$3&gt;=45</f>
        <v/>
      </c>
      <c r="D244">
        <f>IF(Skills!C13=1,60+Inputs!$B$25+Inputs!$B$29,IF(Skills!C13=2,90+Inputs!$B$26+Inputs!$B$29,IF(Skills!C13=3,120+Inputs!$B$27+Inputs!$B$29,MAX(0,(Inputs!$B$3-100)*3)+Inputs!$B$28+Inputs!$B$29)))</f>
        <v/>
      </c>
      <c r="E244">
        <f>INDEX(FactorTable!$B$2:$Y$301, MATCH(ROUND(MIN(300,MAX(1,D244)),0), FactorTable!$A$2:$A$301,0), Skills!M13+1)</f>
        <v/>
      </c>
      <c r="F244">
        <f>IF(Skills!N13=TRUE,(Skills!L13/10)*(E244/1000),Skills!L13/10)+Skills!O13</f>
        <v/>
      </c>
      <c r="G244">
        <f>Skills!G13*IF(Skills!H13&gt;0,Skills!I13/Skills!H13,1)</f>
        <v/>
      </c>
      <c r="H244">
        <f>1-(1-Skills!J13/100)^Skills!K13</f>
        <v/>
      </c>
      <c r="I244" t="inlineStr">
        <is>
          <t>1</t>
        </is>
      </c>
      <c r="J244" t="inlineStr"/>
      <c r="K244" t="inlineStr"/>
      <c r="L244" t="inlineStr"/>
      <c r="M244" t="inlineStr"/>
      <c r="N244" t="inlineStr"/>
      <c r="O244">
        <f>(1-Summary!$B$11)*T244+Summary!$B$11*V244</f>
        <v/>
      </c>
      <c r="P244">
        <f>IF(B268=0,0,O244/B268)</f>
        <v/>
      </c>
      <c r="Q244" t="n">
        <v>0</v>
      </c>
      <c r="R244" t="n">
        <v>0</v>
      </c>
      <c r="S244">
        <f>IFERROR(O244/N244,0)</f>
        <v/>
      </c>
      <c r="T244" t="n">
        <v>0</v>
      </c>
      <c r="V244" t="n">
        <v>0</v>
      </c>
    </row>
    <row r="245">
      <c r="A245">
        <f>Skills!A14</f>
        <v/>
      </c>
      <c r="B245">
        <f>Skills!B14</f>
        <v/>
      </c>
      <c r="C245">
        <f>Inputs!$B$3&gt;=110</f>
        <v/>
      </c>
      <c r="D245">
        <f>IF(Skills!C14=1,60+Inputs!$B$25+Inputs!$B$29,IF(Skills!C14=2,90+Inputs!$B$26+Inputs!$B$29,IF(Skills!C14=3,120+Inputs!$B$27+Inputs!$B$29,MAX(0,(Inputs!$B$3-100)*3)+Inputs!$B$28+Inputs!$B$29)))</f>
        <v/>
      </c>
      <c r="E245">
        <f>INDEX(FactorTable!$B$2:$Y$301, MATCH(ROUND(MIN(300,MAX(1,D245)),0), FactorTable!$A$2:$A$301,0), Skills!M14+1)</f>
        <v/>
      </c>
      <c r="F245">
        <f>IF(Skills!N14=TRUE,(Skills!L14/10)*(E245/1000),Skills!L14/10)+Skills!O14</f>
        <v/>
      </c>
      <c r="G245">
        <f>Skills!G14*IF(Skills!H14&gt;0,Skills!I14/Skills!H14,1)</f>
        <v/>
      </c>
      <c r="H245">
        <f>1-(1-Skills!J14/100)^Skills!K14</f>
        <v/>
      </c>
      <c r="I245" t="inlineStr">
        <is>
          <t>1</t>
        </is>
      </c>
      <c r="J245" t="inlineStr"/>
      <c r="K245" t="inlineStr"/>
      <c r="L245" t="inlineStr"/>
      <c r="M245" t="inlineStr"/>
      <c r="N245" t="inlineStr"/>
      <c r="O245">
        <f>(1-Summary!$B$11)*T245+Summary!$B$11*V245</f>
        <v/>
      </c>
      <c r="P245">
        <f>IF(B268=0,0,O245/B268)</f>
        <v/>
      </c>
      <c r="Q245" t="n">
        <v>0</v>
      </c>
      <c r="R245" t="n">
        <v>0</v>
      </c>
      <c r="S245">
        <f>IFERROR(O245/N245,0)</f>
        <v/>
      </c>
      <c r="T245" t="n">
        <v>0</v>
      </c>
      <c r="V245" t="n">
        <v>0</v>
      </c>
    </row>
    <row r="246">
      <c r="A246">
        <f>Skills!A15</f>
        <v/>
      </c>
      <c r="B246">
        <f>Skills!B15</f>
        <v/>
      </c>
      <c r="C246">
        <f>Inputs!$B$3&gt;=75</f>
        <v/>
      </c>
      <c r="D246">
        <f>IF(Skills!C15=1,60+Inputs!$B$25+Inputs!$B$29,IF(Skills!C15=2,90+Inputs!$B$26+Inputs!$B$29,IF(Skills!C15=3,120+Inputs!$B$27+Inputs!$B$29,MAX(0,(Inputs!$B$3-100)*3)+Inputs!$B$28+Inputs!$B$29)))</f>
        <v/>
      </c>
      <c r="E246">
        <f>INDEX(FactorTable!$B$2:$Y$301, MATCH(ROUND(MIN(300,MAX(1,D246)),0), FactorTable!$A$2:$A$301,0), Skills!M15+1)</f>
        <v/>
      </c>
      <c r="F246">
        <f>IF(Skills!N15=TRUE,(Skills!L15/10)*(E246/1000),Skills!L15/10)+Skills!O15</f>
        <v/>
      </c>
      <c r="G246">
        <f>Skills!G15*IF(Skills!H15&gt;0,Skills!I15/Skills!H15,1)</f>
        <v/>
      </c>
      <c r="H246">
        <f>1-(1-Skills!J15/100)^Skills!K15</f>
        <v/>
      </c>
      <c r="I246" t="inlineStr">
        <is>
          <t>1</t>
        </is>
      </c>
      <c r="J246" t="inlineStr"/>
      <c r="K246" t="inlineStr"/>
      <c r="L246" t="inlineStr"/>
      <c r="M246" t="inlineStr"/>
      <c r="N246" t="inlineStr"/>
      <c r="O246">
        <f>(1-Summary!$B$11)*T246+Summary!$B$11*V246</f>
        <v/>
      </c>
      <c r="P246">
        <f>IF(B268=0,0,O246/B268)</f>
        <v/>
      </c>
      <c r="Q246">
        <f>IFERROR(1/(IF(Inputs!$B$38="pvp",15,MAX(0.1,Skills!D15-IF(Skills!E15=TRUE,Inputs!$B$32,0)))*(1-IF(AND(ArtifactsInput!$M$27,Inputs!$B$4="Chapter Hunt"),CHOOSE(ArtifactsInput!$N$27+1,20,24,28,32,36,40),0)/100)),0)</f>
        <v/>
      </c>
      <c r="R246">
        <f>IF(AND(Inputs!$B$38&lt;&gt;"pvp",Inputs!$B$43&gt;0),IF(Inputs!$B$43&lt;=0,0,(INT(Inputs!$B$43/(IF(Inputs!$B$38="pvp",15,MAX(0.1,Skills!D15-IF(Skills!E15=TRUE,Inputs!$B$32,0)))*(1-IF(AND(ArtifactsInput!$M$27,Inputs!$B$4="Chapter Hunt"),CHOOSE(ArtifactsInput!$N$27+1,20,24,28,32,36,40),0)/100)))+1)),0)</f>
        <v/>
      </c>
      <c r="S246">
        <f>IFERROR(O246/N246,0)</f>
        <v/>
      </c>
      <c r="T246" t="n">
        <v>0</v>
      </c>
      <c r="V246" t="n">
        <v>0</v>
      </c>
    </row>
    <row r="247">
      <c r="A247">
        <f>Skills!A16</f>
        <v/>
      </c>
      <c r="B247">
        <f>Skills!B16</f>
        <v/>
      </c>
      <c r="C247">
        <f>Inputs!$B$3&gt;=105</f>
        <v/>
      </c>
      <c r="D247">
        <f>IF(Skills!C16=1,60+Inputs!$B$25+Inputs!$B$29,IF(Skills!C16=2,90+Inputs!$B$26+Inputs!$B$29,IF(Skills!C16=3,120+Inputs!$B$27+Inputs!$B$29,MAX(0,(Inputs!$B$3-100)*3)+Inputs!$B$28+Inputs!$B$29)))</f>
        <v/>
      </c>
      <c r="E247">
        <f>INDEX(FactorTable!$B$2:$Y$301, MATCH(ROUND(MIN(300,MAX(1,D247)),0), FactorTable!$A$2:$A$301,0), Skills!M16+1)</f>
        <v/>
      </c>
      <c r="F247">
        <f>IF(Skills!N16=TRUE,(Skills!L16/10)*(E247/1000),Skills!L16/10)+Skills!O16</f>
        <v/>
      </c>
      <c r="G247">
        <f>Skills!G16*IF(Skills!H16&gt;0,Skills!I16/Skills!H16,1)</f>
        <v/>
      </c>
      <c r="H247">
        <f>1-(1-Skills!J16/100)^Skills!K16</f>
        <v/>
      </c>
      <c r="I247" t="inlineStr">
        <is>
          <t>1</t>
        </is>
      </c>
      <c r="J247" t="inlineStr"/>
      <c r="K247" t="inlineStr"/>
      <c r="L247" t="inlineStr"/>
      <c r="M247" t="inlineStr"/>
      <c r="N247" t="inlineStr"/>
      <c r="O247">
        <f>(1-Summary!$B$11)*T247+Summary!$B$11*V247</f>
        <v/>
      </c>
      <c r="P247">
        <f>IF(B268=0,0,O247/B268)</f>
        <v/>
      </c>
      <c r="Q247">
        <f>IFERROR(1/(IF(Inputs!$B$38="pvp",15,MAX(0.1,Skills!D16-IF(Skills!E16=TRUE,Inputs!$B$32,0)))*(1-IF(AND(ArtifactsInput!$M$27,Inputs!$B$4="Chapter Hunt"),CHOOSE(ArtifactsInput!$N$27+1,20,24,28,32,36,40),0)/100)),0)</f>
        <v/>
      </c>
      <c r="R247">
        <f>IF(AND(Inputs!$B$38&lt;&gt;"pvp",Inputs!$B$43&gt;0),IF(Inputs!$B$43&lt;=0,0,(INT(Inputs!$B$43/(IF(Inputs!$B$38="pvp",15,MAX(0.1,Skills!D16-IF(Skills!E16=TRUE,Inputs!$B$32,0)))*(1-IF(AND(ArtifactsInput!$M$27,Inputs!$B$4="Chapter Hunt"),CHOOSE(ArtifactsInput!$N$27+1,20,24,28,32,36,40),0)/100)))+1)),0)</f>
        <v/>
      </c>
      <c r="S247">
        <f>IFERROR(O247/N247,0)</f>
        <v/>
      </c>
      <c r="T247" t="n">
        <v>0</v>
      </c>
      <c r="V247" t="n">
        <v>0</v>
      </c>
    </row>
    <row r="248">
      <c r="A248">
        <f>Skills!A17</f>
        <v/>
      </c>
      <c r="B248">
        <f>Skills!B17</f>
        <v/>
      </c>
      <c r="C248">
        <f>Inputs!$B$3&gt;=115</f>
        <v/>
      </c>
      <c r="D248">
        <f>IF(Skills!C17=1,60+Inputs!$B$25+Inputs!$B$29,IF(Skills!C17=2,90+Inputs!$B$26+Inputs!$B$29,IF(Skills!C17=3,120+Inputs!$B$27+Inputs!$B$29,MAX(0,(Inputs!$B$3-100)*3)+Inputs!$B$28+Inputs!$B$29)))</f>
        <v/>
      </c>
      <c r="E248">
        <f>INDEX(FactorTable!$B$2:$Y$301, MATCH(ROUND(MIN(300,MAX(1,D248)),0), FactorTable!$A$2:$A$301,0), Skills!M17+1)</f>
        <v/>
      </c>
      <c r="F248">
        <f>IF(Skills!N17=TRUE,(Skills!L17/10)*(E248/1000),Skills!L17/10)+Skills!O17</f>
        <v/>
      </c>
      <c r="G248">
        <f>Skills!G17*IF(Skills!H17&gt;0,Skills!I17/Skills!H17,1)</f>
        <v/>
      </c>
      <c r="H248">
        <f>1-(1-Skills!J17/100)^Skills!K17</f>
        <v/>
      </c>
      <c r="I248" t="inlineStr">
        <is>
          <t>1</t>
        </is>
      </c>
      <c r="J248" t="inlineStr"/>
      <c r="K248" t="inlineStr"/>
      <c r="L248" t="inlineStr"/>
      <c r="M248" t="inlineStr"/>
      <c r="N248" t="inlineStr"/>
      <c r="O248">
        <f>(1-Summary!$B$11)*T248+Summary!$B$11*V248</f>
        <v/>
      </c>
      <c r="P248">
        <f>IF(B268=0,0,O248/B268)</f>
        <v/>
      </c>
      <c r="Q248">
        <f>IFERROR(1/(IF(Inputs!$B$38="pvp",15,MAX(0.1,Skills!D17-IF(Skills!E17=TRUE,Inputs!$B$32,0)))*(1-IF(AND(ArtifactsInput!$M$27,Inputs!$B$4="Chapter Hunt"),CHOOSE(ArtifactsInput!$N$27+1,20,24,28,32,36,40),0)/100)),0)</f>
        <v/>
      </c>
      <c r="R248">
        <f>IF(AND(Inputs!$B$38&lt;&gt;"pvp",Inputs!$B$43&gt;0),IF(Inputs!$B$43&lt;=0,0,(INT(Inputs!$B$43/(IF(Inputs!$B$38="pvp",15,MAX(0.1,Skills!D17-IF(Skills!E17=TRUE,Inputs!$B$32,0)))*(1-IF(AND(ArtifactsInput!$M$27,Inputs!$B$4="Chapter Hunt"),CHOOSE(ArtifactsInput!$N$27+1,20,24,28,32,36,40),0)/100)))+1)),0)</f>
        <v/>
      </c>
      <c r="S248">
        <f>IFERROR(O248/N248,0)</f>
        <v/>
      </c>
      <c r="T248" t="n">
        <v>0</v>
      </c>
      <c r="V248" t="n">
        <v>0</v>
      </c>
    </row>
    <row r="249">
      <c r="A249">
        <f>Skills!A18</f>
        <v/>
      </c>
      <c r="B249">
        <f>Skills!B18</f>
        <v/>
      </c>
      <c r="C249">
        <f>Inputs!$B$3&gt;=74</f>
        <v/>
      </c>
      <c r="D249">
        <f>IF(Skills!C18=1,60+Inputs!$B$25+Inputs!$B$29,IF(Skills!C18=2,90+Inputs!$B$26+Inputs!$B$29,IF(Skills!C18=3,120+Inputs!$B$27+Inputs!$B$29,MAX(0,(Inputs!$B$3-100)*3)+Inputs!$B$28+Inputs!$B$29)))</f>
        <v/>
      </c>
      <c r="E249">
        <f>INDEX(FactorTable!$B$2:$Y$301, MATCH(ROUND(MIN(300,MAX(1,D249)),0), FactorTable!$A$2:$A$301,0), Skills!M18+1)</f>
        <v/>
      </c>
      <c r="F249">
        <f>IF(Skills!N18=TRUE,(Skills!L18/10)*(E249/1000),Skills!L18/10)+Skills!O18</f>
        <v/>
      </c>
      <c r="G249">
        <f>Skills!G18*IF(Skills!H18&gt;0,Skills!I18/Skills!H18,1)</f>
        <v/>
      </c>
      <c r="H249">
        <f>1-(1-Skills!J18/100)^Skills!K18</f>
        <v/>
      </c>
      <c r="I249" t="inlineStr">
        <is>
          <t>1</t>
        </is>
      </c>
      <c r="J249" t="inlineStr"/>
      <c r="K249" t="inlineStr"/>
      <c r="L249" t="inlineStr"/>
      <c r="M249" t="inlineStr"/>
      <c r="N249" t="inlineStr"/>
      <c r="O249">
        <f>(1-Summary!$B$11)*T249+Summary!$B$11*V249</f>
        <v/>
      </c>
      <c r="P249">
        <f>IF(B268=0,0,O249/B268)</f>
        <v/>
      </c>
      <c r="Q249">
        <f>IFERROR(1/(IF(Inputs!$B$38="pvp",15,MAX(0.1,Skills!D18-IF(Skills!E18=TRUE,Inputs!$B$32,0)))*(1-IF(AND(ArtifactsInput!$M$27,Inputs!$B$4="Chapter Hunt"),CHOOSE(ArtifactsInput!$N$27+1,20,24,28,32,36,40),0)/100)),0)</f>
        <v/>
      </c>
      <c r="R249">
        <f>IF(AND(Inputs!$B$38&lt;&gt;"pvp",Inputs!$B$43&gt;0),IF(Inputs!$B$43&lt;=0,0,(INT(Inputs!$B$43/(IF(Inputs!$B$38="pvp",15,MAX(0.1,Skills!D18-IF(Skills!E18=TRUE,Inputs!$B$32,0)))*(1-IF(AND(ArtifactsInput!$M$27,Inputs!$B$4="Chapter Hunt"),CHOOSE(ArtifactsInput!$N$27+1,20,24,28,32,36,40),0)/100)))+1)),0)</f>
        <v/>
      </c>
      <c r="S249">
        <f>IFERROR(O249/N249,0)</f>
        <v/>
      </c>
      <c r="T249" t="n">
        <v>0</v>
      </c>
      <c r="V249" t="n">
        <v>0</v>
      </c>
    </row>
    <row r="250">
      <c r="A250">
        <f>Skills!A19</f>
        <v/>
      </c>
      <c r="B250">
        <f>Skills!B19</f>
        <v/>
      </c>
      <c r="C250">
        <f>TRUE</f>
        <v/>
      </c>
      <c r="D250">
        <f>IF(Skills!C19=1,60+Inputs!$B$25+Inputs!$B$29,IF(Skills!C19=2,90+Inputs!$B$26+Inputs!$B$29,IF(Skills!C19=3,120+Inputs!$B$27+Inputs!$B$29,MAX(0,(Inputs!$B$3-100)*3)+Inputs!$B$28+Inputs!$B$29)))</f>
        <v/>
      </c>
      <c r="E250">
        <f>INDEX(FactorTable!$B$2:$Y$301, MATCH(ROUND(MIN(300,MAX(1,D250)),0), FactorTable!$A$2:$A$301,0), Skills!M19+1)</f>
        <v/>
      </c>
      <c r="F250">
        <f>IF(Skills!N19=TRUE,(Skills!L19/10)*(E250/1000),Skills!L19/10)+Skills!O19</f>
        <v/>
      </c>
      <c r="G250">
        <f>Skills!G19*IF(Skills!H19&gt;0,Skills!I19/Skills!H19,1)</f>
        <v/>
      </c>
      <c r="H250">
        <f>1-(1-Skills!J19/100)^Skills!K19</f>
        <v/>
      </c>
      <c r="I250" t="inlineStr">
        <is>
          <t>1</t>
        </is>
      </c>
      <c r="J250" t="inlineStr"/>
      <c r="K250" t="inlineStr"/>
      <c r="L250" t="inlineStr"/>
      <c r="M250" t="inlineStr"/>
      <c r="N250" t="inlineStr"/>
      <c r="O250">
        <f>(1-Summary!$B$11)*T250+Summary!$B$11*V250</f>
        <v/>
      </c>
      <c r="P250">
        <f>IF(B268=0,0,O250/B268)</f>
        <v/>
      </c>
      <c r="Q250">
        <f>IFERROR(1/(IF(Inputs!$B$38="pvp",15,MAX(0.1,Skills!D19-IF(Skills!E19=TRUE,Inputs!$B$32,0)))*(1-IF(AND(ArtifactsInput!$M$27,Inputs!$B$4="Chapter Hunt"),CHOOSE(ArtifactsInput!$N$27+1,20,24,28,32,36,40),0)/100)),0)</f>
        <v/>
      </c>
      <c r="R250">
        <f>IF(AND(Inputs!$B$38&lt;&gt;"pvp",Inputs!$B$43&gt;0),IF(Inputs!$B$43&lt;=0,0,(INT(Inputs!$B$43/(IF(Inputs!$B$38="pvp",15,MAX(0.1,Skills!D19-IF(Skills!E19=TRUE,Inputs!$B$32,0)))*(1-IF(AND(ArtifactsInput!$M$27,Inputs!$B$4="Chapter Hunt"),CHOOSE(ArtifactsInput!$N$27+1,20,24,28,32,36,40),0)/100)))+1)),0)</f>
        <v/>
      </c>
      <c r="S250">
        <f>IFERROR(O250/N250,0)</f>
        <v/>
      </c>
      <c r="T250" t="n">
        <v>0</v>
      </c>
      <c r="V250" t="n">
        <v>0</v>
      </c>
    </row>
    <row r="251">
      <c r="A251">
        <f>Skills!A20</f>
        <v/>
      </c>
      <c r="B251">
        <f>Skills!B20</f>
        <v/>
      </c>
      <c r="C251">
        <f>Inputs!$B$3&gt;=33</f>
        <v/>
      </c>
      <c r="D251">
        <f>IF(Skills!C20=1,60+Inputs!$B$25+Inputs!$B$29,IF(Skills!C20=2,90+Inputs!$B$26+Inputs!$B$29,IF(Skills!C20=3,120+Inputs!$B$27+Inputs!$B$29,MAX(0,(Inputs!$B$3-100)*3)+Inputs!$B$28+Inputs!$B$29)))</f>
        <v/>
      </c>
      <c r="E251">
        <f>INDEX(FactorTable!$B$2:$Y$301, MATCH(ROUND(MIN(300,MAX(1,D251)),0), FactorTable!$A$2:$A$301,0), Skills!M20+1)</f>
        <v/>
      </c>
      <c r="F251">
        <f>IF(Skills!N20=TRUE,(Skills!L20/10)*(E251/1000),Skills!L20/10)+Skills!O20</f>
        <v/>
      </c>
      <c r="G251">
        <f>Skills!G20*IF(Skills!H20&gt;0,Skills!I20/Skills!H20,1)</f>
        <v/>
      </c>
      <c r="H251">
        <f>1-(1-Skills!J20/100)^Skills!K20</f>
        <v/>
      </c>
      <c r="I251" t="inlineStr">
        <is>
          <t>1</t>
        </is>
      </c>
      <c r="J251" t="inlineStr"/>
      <c r="K251" t="inlineStr"/>
      <c r="L251" t="inlineStr"/>
      <c r="M251" t="inlineStr"/>
      <c r="N251" t="inlineStr"/>
      <c r="O251">
        <f>(1-Summary!$B$11)*T251+Summary!$B$11*V251</f>
        <v/>
      </c>
      <c r="P251">
        <f>IF(B268=0,0,O251/B268)</f>
        <v/>
      </c>
      <c r="Q251" t="n">
        <v>0</v>
      </c>
      <c r="R251" t="n">
        <v>0</v>
      </c>
      <c r="S251">
        <f>IFERROR(O251/N251,0)</f>
        <v/>
      </c>
      <c r="T251" t="n">
        <v>0</v>
      </c>
      <c r="V251" t="n">
        <v>0</v>
      </c>
    </row>
    <row r="252">
      <c r="A252">
        <f>Skills!A21</f>
        <v/>
      </c>
      <c r="B252">
        <f>Skills!B21</f>
        <v/>
      </c>
      <c r="C252">
        <f>Inputs!$B$3&gt;=38</f>
        <v/>
      </c>
      <c r="D252">
        <f>IF(Skills!C21=1,60+Inputs!$B$25+Inputs!$B$29,IF(Skills!C21=2,90+Inputs!$B$26+Inputs!$B$29,IF(Skills!C21=3,120+Inputs!$B$27+Inputs!$B$29,MAX(0,(Inputs!$B$3-100)*3)+Inputs!$B$28+Inputs!$B$29)))</f>
        <v/>
      </c>
      <c r="E252">
        <f>INDEX(FactorTable!$B$2:$Y$301, MATCH(ROUND(MIN(300,MAX(1,D252)),0), FactorTable!$A$2:$A$301,0), Skills!M21+1)</f>
        <v/>
      </c>
      <c r="F252">
        <f>IF(Skills!N21=TRUE,(Skills!L21/10)*(E252/1000),Skills!L21/10)+Skills!O21</f>
        <v/>
      </c>
      <c r="G252">
        <f>Skills!G21*IF(Skills!H21&gt;0,Skills!I21/Skills!H21,1)</f>
        <v/>
      </c>
      <c r="H252">
        <f>1-(1-Skills!J21/100)^Skills!K21</f>
        <v/>
      </c>
      <c r="I252" t="inlineStr">
        <is>
          <t>1</t>
        </is>
      </c>
      <c r="J252" t="inlineStr"/>
      <c r="K252" t="inlineStr"/>
      <c r="L252" t="inlineStr"/>
      <c r="M252" t="inlineStr"/>
      <c r="N252" t="inlineStr"/>
      <c r="O252">
        <f>(1-Summary!$B$11)*T252+Summary!$B$11*V252</f>
        <v/>
      </c>
      <c r="P252">
        <f>IF(B268=0,0,O252/B268)</f>
        <v/>
      </c>
      <c r="Q252" t="n">
        <v>0</v>
      </c>
      <c r="R252" t="n">
        <v>0</v>
      </c>
      <c r="S252">
        <f>IFERROR(O252/N252,0)</f>
        <v/>
      </c>
      <c r="T252" t="n">
        <v>0</v>
      </c>
      <c r="V252" t="n">
        <v>0</v>
      </c>
    </row>
    <row r="253">
      <c r="A253">
        <f>Skills!A22</f>
        <v/>
      </c>
      <c r="B253">
        <f>Skills!B22</f>
        <v/>
      </c>
      <c r="C253">
        <f>Inputs!$B$3&gt;=43</f>
        <v/>
      </c>
      <c r="D253">
        <f>IF(Skills!C22=1,60+Inputs!$B$25+Inputs!$B$29,IF(Skills!C22=2,90+Inputs!$B$26+Inputs!$B$29,IF(Skills!C22=3,120+Inputs!$B$27+Inputs!$B$29,MAX(0,(Inputs!$B$3-100)*3)+Inputs!$B$28+Inputs!$B$29)))</f>
        <v/>
      </c>
      <c r="E253">
        <f>INDEX(FactorTable!$B$2:$Y$301, MATCH(ROUND(MIN(300,MAX(1,D253)),0), FactorTable!$A$2:$A$301,0), Skills!M22+1)</f>
        <v/>
      </c>
      <c r="F253">
        <f>IF(Skills!N22=TRUE,(Skills!L22/10)*(E253/1000),Skills!L22/10)+Skills!O22</f>
        <v/>
      </c>
      <c r="G253">
        <f>Skills!G22*IF(Skills!H22&gt;0,Skills!I22/Skills!H22,1)</f>
        <v/>
      </c>
      <c r="H253">
        <f>1-(1-Skills!J22/100)^Skills!K22</f>
        <v/>
      </c>
      <c r="I253" t="inlineStr">
        <is>
          <t>1</t>
        </is>
      </c>
      <c r="J253" t="inlineStr"/>
      <c r="K253" t="inlineStr"/>
      <c r="L253" t="inlineStr"/>
      <c r="M253" t="inlineStr"/>
      <c r="N253" t="inlineStr"/>
      <c r="O253">
        <f>(1-Summary!$B$11)*T253+Summary!$B$11*V253</f>
        <v/>
      </c>
      <c r="P253">
        <f>IF(B268=0,0,O253/B268)</f>
        <v/>
      </c>
      <c r="Q253" t="n">
        <v>0</v>
      </c>
      <c r="R253" t="n">
        <v>0</v>
      </c>
      <c r="S253">
        <f>IFERROR(O253/N253,0)</f>
        <v/>
      </c>
      <c r="T253" t="n">
        <v>0</v>
      </c>
      <c r="V253" t="n">
        <v>0</v>
      </c>
    </row>
    <row r="254">
      <c r="A254">
        <f>Skills!A23</f>
        <v/>
      </c>
      <c r="B254">
        <f>Skills!B23</f>
        <v/>
      </c>
      <c r="C254">
        <f>Inputs!$B$3&gt;=120</f>
        <v/>
      </c>
      <c r="D254">
        <f>IF(Skills!C23=1,60+Inputs!$B$25+Inputs!$B$29,IF(Skills!C23=2,90+Inputs!$B$26+Inputs!$B$29,IF(Skills!C23=3,120+Inputs!$B$27+Inputs!$B$29,MAX(0,(Inputs!$B$3-100)*3)+Inputs!$B$28+Inputs!$B$29)))</f>
        <v/>
      </c>
      <c r="E254">
        <f>INDEX(FactorTable!$B$2:$Y$301, MATCH(ROUND(MIN(300,MAX(1,D254)),0), FactorTable!$A$2:$A$301,0), Skills!M23+1)</f>
        <v/>
      </c>
      <c r="F254">
        <f>IF(Skills!N23=TRUE,(Skills!L23/10)*(E254/1000),Skills!L23/10)+Skills!O23</f>
        <v/>
      </c>
      <c r="G254">
        <f>Skills!G23*IF(Skills!H23&gt;0,Skills!I23/Skills!H23,1)</f>
        <v/>
      </c>
      <c r="H254">
        <f>1-(1-Skills!J23/100)^Skills!K23</f>
        <v/>
      </c>
      <c r="I254" t="inlineStr">
        <is>
          <t>1</t>
        </is>
      </c>
      <c r="J254" t="inlineStr"/>
      <c r="K254" t="inlineStr"/>
      <c r="L254" t="inlineStr"/>
      <c r="M254" t="inlineStr"/>
      <c r="N254" t="inlineStr"/>
      <c r="O254">
        <f>(1-Summary!$B$11)*T254+Summary!$B$11*V254</f>
        <v/>
      </c>
      <c r="P254">
        <f>IF(B268=0,0,O254/B268)</f>
        <v/>
      </c>
      <c r="Q254" t="n">
        <v>0</v>
      </c>
      <c r="R254" t="n">
        <v>0</v>
      </c>
      <c r="S254">
        <f>IFERROR(O254/N254,0)</f>
        <v/>
      </c>
      <c r="T254" t="n">
        <v>0</v>
      </c>
      <c r="V254" t="n">
        <v>0</v>
      </c>
    </row>
    <row r="255">
      <c r="A255">
        <f>Skills!A24</f>
        <v/>
      </c>
      <c r="B255">
        <f>Skills!B24</f>
        <v/>
      </c>
      <c r="C255">
        <f>Inputs!$B$3&gt;=120</f>
        <v/>
      </c>
      <c r="D255">
        <f>IF(Skills!C24=1,60+Inputs!$B$25+Inputs!$B$29,IF(Skills!C24=2,90+Inputs!$B$26+Inputs!$B$29,IF(Skills!C24=3,120+Inputs!$B$27+Inputs!$B$29,MAX(0,(Inputs!$B$3-100)*3)+Inputs!$B$28+Inputs!$B$29)))</f>
        <v/>
      </c>
      <c r="E255">
        <f>INDEX(FactorTable!$B$2:$Y$301, MATCH(ROUND(MIN(300,MAX(1,D255)),0), FactorTable!$A$2:$A$301,0), Skills!M24+1)</f>
        <v/>
      </c>
      <c r="F255">
        <f>IF(Skills!N24=TRUE,(Skills!L24/10)*(E255/1000),Skills!L24/10)+Skills!O24</f>
        <v/>
      </c>
      <c r="G255">
        <f>Skills!G24*IF(Skills!H24&gt;0,Skills!I24/Skills!H24,1)</f>
        <v/>
      </c>
      <c r="H255">
        <f>1-(1-Skills!J24/100)^Skills!K24</f>
        <v/>
      </c>
      <c r="I255" t="inlineStr">
        <is>
          <t>1</t>
        </is>
      </c>
      <c r="J255" t="inlineStr"/>
      <c r="K255" t="inlineStr"/>
      <c r="L255" t="inlineStr"/>
      <c r="M255" t="inlineStr"/>
      <c r="N255" t="inlineStr"/>
      <c r="O255">
        <f>(1-Summary!$B$11)*T255+Summary!$B$11*V255</f>
        <v/>
      </c>
      <c r="P255">
        <f>IF(B268=0,0,O255/B268)</f>
        <v/>
      </c>
      <c r="Q255" t="n">
        <v>0</v>
      </c>
      <c r="R255" t="n">
        <v>0</v>
      </c>
      <c r="S255">
        <f>IFERROR(O255/N255,0)</f>
        <v/>
      </c>
      <c r="T255" t="n">
        <v>0</v>
      </c>
      <c r="V255" t="n">
        <v>0</v>
      </c>
    </row>
    <row r="257">
      <c r="A257" t="inlineStr">
        <is>
          <t>Attack% Bucket Multiplier</t>
        </is>
      </c>
      <c r="B257">
        <f>(1+(((C244=TRUE)*F244*MIN(1,Skills!T13*(Skills!J13/100)*B262))+((C249=TRUE)*F249*IF(AND(Inputs!$B$38&lt;&gt;"pvp",Inputs!$B$43&gt;0),(((R249-1)*(Skills!T18*(1+Inputs!$B$34/100))+MIN((Skills!T18*(1+Inputs!$B$34/100)),MAX(0,Inputs!$B$43-((R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8">
      <c r="A258" t="inlineStr">
        <is>
          <t>Global Crit Rate Bonus %</t>
        </is>
      </c>
      <c r="B258" t="n">
        <v>0</v>
      </c>
    </row>
    <row r="259">
      <c r="A259" t="inlineStr">
        <is>
          <t>Attack Speed Buff Bonus %</t>
        </is>
      </c>
      <c r="B259">
        <f>((C250=TRUE)*F250*IF(AND(Inputs!$B$38&lt;&gt;"pvp",Inputs!$B$43&gt;0),(((R250-1)*(Skills!T19*(1+Inputs!$B$34/100))+MIN((Skills!T19*(1+Inputs!$B$34/100)),MAX(0,Inputs!$B$43-((R250-1)*Skills!D19))))/Inputs!$B$43),IF(Inputs!$B$38="pvp",MIN((Skills!T19*(1+Inputs!$B$34/100)),15)/15,(Skills!T19*(1+Inputs!$B$34/100))/Skills!D19)))</f>
        <v/>
      </c>
    </row>
    <row r="260">
      <c r="A260" t="inlineStr">
        <is>
          <t>Actions Per Second</t>
        </is>
      </c>
      <c r="B260">
        <f>1+MIN(150,150*(1-(1-(Inputs!$B$11+((C251=TRUE)*(F251-Calc!F20)))/150)*(1-B259/150)))/100</f>
        <v/>
      </c>
    </row>
    <row r="261">
      <c r="A261" t="inlineStr">
        <is>
          <t>Skill + Buff Cast Rate</t>
        </is>
      </c>
      <c r="B261">
        <f>IF(AND(Inputs!$B$38&lt;&gt;"pvp",Inputs!$B$43&gt;0),SUMPRODUCT((Skills!E2:E24=TRUE)*(C233:C255=TRUE)*R233:R255*Skills!F2:F24)/Inputs!$B$43,SUMPRODUCT((Skills!E2:E24=TRUE)*(C233:C255=TRUE)*Q233:Q255*Skills!F2:F24))</f>
        <v/>
      </c>
    </row>
    <row r="262">
      <c r="A262" t="inlineStr">
        <is>
          <t>Blast Casts Per Second</t>
        </is>
      </c>
      <c r="B262">
        <f>MAX(0,B260-B261)</f>
        <v/>
      </c>
    </row>
    <row r="263">
      <c r="A263" t="inlineStr">
        <is>
          <t>Global Critical Damage Bonus % (unused)</t>
        </is>
      </c>
      <c r="B263" t="n">
        <v>0</v>
      </c>
    </row>
    <row r="264">
      <c r="A264" t="inlineStr">
        <is>
          <t>Global Final Damage Bonus % (Divine Shield + Guardian + Divine Blessing + Greater Vessel of Light)</t>
        </is>
      </c>
      <c r="B264">
        <f>((C246=TRUE)*F246*IF(AND(Inputs!$B$38&lt;&gt;"pvp",Inputs!$B$43&gt;0),(((R246-1)*(Skills!T15*(1+Inputs!$B$34/100))+MIN((Skills!T15*(1+Inputs!$B$34/100)),MAX(0,Inputs!$B$43-((R246-1)*Skills!D15))))/Inputs!$B$43),IF(Inputs!$B$38="pvp",MIN((Skills!T15*(1+Inputs!$B$34/100)),15)/15,(Skills!T15*(1+Inputs!$B$34/100))/Skills!D15)))+((C247=TRUE)*F247*IF(AND(Inputs!$B$38&lt;&gt;"pvp",Inputs!$B$43&gt;0),(((R247-1)*(Skills!T16*(1+Inputs!$B$34/100))+MIN((Skills!T16*(1+Inputs!$B$34/100)),MAX(0,Inputs!$B$43-((R247-1)*Skills!D16))))/Inputs!$B$43),IF(Inputs!$B$38="pvp",MIN((Skills!T16*(1+Inputs!$B$34/100)),15)/15,(Skills!T16*(1+Inputs!$B$34/100))/Skills!D16)))+((C248=TRUE)*F248*IF(AND(Inputs!$B$38&lt;&gt;"pvp",Inputs!$B$43&gt;0),(((R248-1)*(Skills!T17*(1+Inputs!$B$34/100))+MIN((Skills!T17*(1+Inputs!$B$34/100)),MAX(0,Inputs!$B$43-((R248-1)*Skills!D17))))/Inputs!$B$43),IF(Inputs!$B$38="pvp",MIN((Skills!T17*(1+Inputs!$B$34/100)),15)/15,(Skills!T17*(1+Inputs!$B$34/100))/Skills!D17)))+((C245=TRUE)*F245*MIN(1,Skills!T13*(Skills!J13/100)*B262))</f>
        <v/>
      </c>
    </row>
    <row r="265">
      <c r="A265" t="inlineStr">
        <is>
          <t>Buff-Casting Startup Delay (s, fixed-duration only)</t>
        </is>
      </c>
      <c r="B265">
        <f>IF(AND(Inputs!$B$38&lt;&gt;"pvp",Inputs!$B$43&gt;0),SUMPRODUCT((Skills!T2:T24&gt;0)*(Skills!E2:E24=TRUE)*(C233:C255=TRUE))/B260,0)</f>
        <v/>
      </c>
    </row>
    <row r="266">
      <c r="A266" t="inlineStr">
        <is>
          <t>Boss-Only Total DPS (this block's swept value)</t>
        </is>
      </c>
      <c r="B266">
        <f>SUM(T233:T255)</f>
        <v/>
      </c>
    </row>
    <row r="267">
      <c r="A267" t="inlineStr">
        <is>
          <t>Normal-Only Total DPS (this block's swept value)</t>
        </is>
      </c>
      <c r="B267">
        <f>SUM(V233:V255)</f>
        <v/>
      </c>
    </row>
    <row r="268">
      <c r="A268" s="6" t="inlineStr">
        <is>
          <t>TOTAL DPS</t>
        </is>
      </c>
      <c r="B268" s="6">
        <f>SUM(O233:O255)</f>
        <v/>
      </c>
    </row>
    <row r="271">
      <c r="A271" s="6" t="inlineStr">
        <is>
          <t>Stat: BOSS_DAMAGE %</t>
        </is>
      </c>
    </row>
    <row r="272">
      <c r="A272" s="5" t="inlineStr">
        <is>
          <t>Key</t>
        </is>
      </c>
      <c r="B272" s="5" t="inlineStr">
        <is>
          <t>Name</t>
        </is>
      </c>
      <c r="C272" s="5" t="inlineStr">
        <is>
          <t>Unlocked</t>
        </is>
      </c>
      <c r="D272" s="5" t="inlineStr">
        <is>
          <t>InputLevel</t>
        </is>
      </c>
      <c r="E272" s="5" t="inlineStr">
        <is>
          <t>Factor</t>
        </is>
      </c>
      <c r="F272" s="5" t="inlineStr">
        <is>
          <t>CoefficientPercent</t>
        </is>
      </c>
      <c r="G272" s="5" t="inlineStr">
        <is>
          <t>EffectiveHits</t>
        </is>
      </c>
      <c r="H272" s="5" t="inlineStr">
        <is>
          <t>ProcProbability</t>
        </is>
      </c>
      <c r="I272" s="5" t="inlineStr">
        <is>
          <t>MapleHeroMultiplier</t>
        </is>
      </c>
      <c r="J272" s="5" t="inlineStr">
        <is>
          <t>BaseDamage</t>
        </is>
      </c>
      <c r="K272" s="5" t="inlineStr">
        <is>
          <t>BaseHitDamage</t>
        </is>
      </c>
      <c r="L272" s="5" t="inlineStr">
        <is>
          <t>NonCritAvg</t>
        </is>
      </c>
      <c r="M272" s="5" t="inlineStr">
        <is>
          <t>CritAvg</t>
        </is>
      </c>
      <c r="N272" s="5" t="inlineStr">
        <is>
          <t>ExpectedDamage(perHit)</t>
        </is>
      </c>
      <c r="O272" s="5" t="inlineStr">
        <is>
          <t>DPS</t>
        </is>
      </c>
      <c r="P272" s="5" t="inlineStr">
        <is>
          <t>% of Total</t>
        </is>
      </c>
      <c r="Q272" s="5" t="inlineStr">
        <is>
          <t>InvCooldown</t>
        </is>
      </c>
      <c r="R272" s="5" t="inlineStr">
        <is>
          <t>CastsInFight</t>
        </is>
      </c>
      <c r="S272" s="5" t="inlineStr">
        <is>
          <t>HitRate(perSec)</t>
        </is>
      </c>
      <c r="U272" t="inlineStr">
        <is>
          <t>helpers</t>
        </is>
      </c>
    </row>
    <row r="273">
      <c r="A273">
        <f>Skills!A2</f>
        <v/>
      </c>
      <c r="B273">
        <f>Skills!B2</f>
        <v/>
      </c>
      <c r="C273">
        <f>Inputs!$B$3&gt;=100</f>
        <v/>
      </c>
      <c r="D273" t="inlineStr"/>
      <c r="E273" t="inlineStr"/>
      <c r="F273">
        <f>U275+Skills!O2</f>
        <v/>
      </c>
      <c r="G273">
        <f>Skills!G2*IF(Skills!H2&gt;0,Skills!I2/Skills!H2,1)</f>
        <v/>
      </c>
      <c r="H273">
        <f>1-(1-Skills!J2/100)^Skills!K2</f>
        <v/>
      </c>
      <c r="I273" t="inlineStr">
        <is>
          <t>1</t>
        </is>
      </c>
      <c r="J273">
        <f>((Inputs!$B$6*(1+Inputs!$B$7/100))+(((Inputs!$B$12*(1+Inputs!$B$13/100))-(Inputs!$B$12*(1+Inputs!$B$13/100)))+0.25*(Inputs!$B$14-Inputs!$B$14))*(1+Inputs!$B$7/100))*(F273/100)</f>
        <v/>
      </c>
      <c r="K273">
        <f>J273*(1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f>
        <v/>
      </c>
      <c r="L273">
        <f>K273*(MIN(Inputs!$B$22+((C293=TRUE)*(F293-Calc!F22)),(Inputs!$B$23+((C295=TRUE)*(F295-Calc!F24))+(IF(ArtifactsInput!$M$15,CHOOSE(ArtifactsInput!$N$15+1,25,30,35,40,45,50)/100*(Inputs!$B$11-Inputs!$B$11),0))))/100+(Inputs!$B$23+((C295=TRUE)*(F295-Calc!F24))+(IF(ArtifactsInput!$M$15,CHOOSE(ArtifactsInput!$N$15+1,25,30,35,40,45,50)/100*(Inputs!$B$11-Inputs!$B$11),0)))/100)/2</f>
        <v/>
      </c>
      <c r="M273">
        <f>L273*(1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
        <f>L273*(1-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
        <f>(1-Summary!$B$11)*T273+Summary!$B$11*V273</f>
        <v/>
      </c>
      <c r="P273">
        <f>IF(B308=0,0,O273/B308)</f>
        <v/>
      </c>
      <c r="Q273" t="n">
        <v>0</v>
      </c>
      <c r="R273" t="n">
        <v>0</v>
      </c>
      <c r="S273">
        <f>IFERROR(O273/N273,0)</f>
        <v/>
      </c>
      <c r="T273">
        <f>IF(C273,(Skills!G2*N273*B302)*IF(Inputs!$B$38="pvp",1,1+((Inputs!$B$20+1)+0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3">
        <f>MAX(0,(Inputs!$B$3-100)*3)+Inputs!$B$28+Inputs!$B$29</f>
        <v/>
      </c>
      <c r="V273">
        <f>IF(C273,(Skills!G2*N273*B302)*IF(Inputs!$B$38="pvp",1,(1+(Inputs!$B$21+Skills!Q2+(IF(ArtifactsInput!$M$33,CHOOSE(ArtifactsInput!$N$33+1,30,36,42,48,54,60),0))+(IF(AND(ArtifactsInput!$M$35,Inputs!$B$4&lt;&gt;"Chapter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4">
      <c r="A274">
        <f>Skills!A3</f>
        <v/>
      </c>
      <c r="B274">
        <f>Skills!B3</f>
        <v/>
      </c>
      <c r="C274">
        <f>Inputs!$B$3&gt;=50</f>
        <v/>
      </c>
      <c r="D274">
        <f>IF(Skills!C3=1,60+Inputs!$B$25+Inputs!$B$29,IF(Skills!C3=2,90+Inputs!$B$26+Inputs!$B$29,IF(Skills!C3=3,120+Inputs!$B$27+Inputs!$B$29,MAX(0,(Inputs!$B$3-100)*3)+Inputs!$B$28+Inputs!$B$29)))</f>
        <v/>
      </c>
      <c r="E274">
        <f>INDEX(FactorTable!$B$2:$Y$301, MATCH(ROUND(MIN(300,MAX(1,D274)),0), FactorTable!$A$2:$A$301,0), Skills!M3+1)</f>
        <v/>
      </c>
      <c r="F274">
        <f>IF(Skills!N3=TRUE,(Skills!L3/10)*(E274/1000),Skills!L3/10)+Skills!O3</f>
        <v/>
      </c>
      <c r="G274" t="inlineStr"/>
      <c r="H274" t="inlineStr"/>
      <c r="I274" t="inlineStr">
        <is>
          <t>1</t>
        </is>
      </c>
      <c r="J274" t="inlineStr"/>
      <c r="K274" t="inlineStr"/>
      <c r="L274" t="inlineStr"/>
      <c r="M274" t="inlineStr"/>
      <c r="N274" t="inlineStr"/>
      <c r="O274" t="inlineStr"/>
      <c r="P274" t="inlineStr"/>
      <c r="Q274" t="inlineStr"/>
      <c r="R274" t="inlineStr"/>
      <c r="S274" t="inlineStr"/>
      <c r="U274">
        <f>INDEX(FactorTable!$B$2:$Y$301, MATCH(ROUND(MIN(300,MAX(1,U273)),0), FactorTable!$A$2:$A$301,0), 22)</f>
        <v/>
      </c>
    </row>
    <row r="275">
      <c r="A275">
        <f>Skills!A4</f>
        <v/>
      </c>
      <c r="B275">
        <f>Skills!B4</f>
        <v/>
      </c>
      <c r="C275">
        <f>Inputs!$B$3&gt;=35</f>
        <v/>
      </c>
      <c r="D275">
        <f>IF(Skills!C4=1,60+Inputs!$B$25+Inputs!$B$29,IF(Skills!C4=2,90+Inputs!$B$26+Inputs!$B$29,IF(Skills!C4=3,120+Inputs!$B$27+Inputs!$B$29,MAX(0,(Inputs!$B$3-100)*3)+Inputs!$B$28+Inputs!$B$29)))</f>
        <v/>
      </c>
      <c r="E275">
        <f>INDEX(FactorTable!$B$2:$Y$301, MATCH(ROUND(MIN(300,MAX(1,D275)),0), FactorTable!$A$2:$A$301,0), Skills!M4+1)</f>
        <v/>
      </c>
      <c r="F275">
        <f>IF(Skills!N4=TRUE,(Skills!L4/10)*(E275/1000),Skills!L4/10)+Skills!O4</f>
        <v/>
      </c>
      <c r="G275">
        <f>Skills!G4*IF(Skills!H4&gt;0,Skills!I4/Skills!H4,1)</f>
        <v/>
      </c>
      <c r="H275">
        <f>1-(1-Skills!J4/100)^Skills!K4</f>
        <v/>
      </c>
      <c r="I275" t="inlineStr">
        <is>
          <t>1</t>
        </is>
      </c>
      <c r="J275">
        <f>((Inputs!$B$6*(1+Inputs!$B$7/100))+(((Inputs!$B$12*(1+Inputs!$B$13/100))-(Inputs!$B$12*(1+Inputs!$B$13/100)))+0.25*(Inputs!$B$14-Inputs!$B$14))*(1+Inputs!$B$7/100))*(F275/100)</f>
        <v/>
      </c>
      <c r="K275">
        <f>J275*(1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283=TRUE,F283,0)/100)*(1+(IF(Skills!A4="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f>
        <v/>
      </c>
      <c r="L275">
        <f>K275*(MIN(Inputs!$B$22+((C293=TRUE)*(F293-Calc!F22)),(Inputs!$B$23+((C295=TRUE)*(F295-Calc!F24))+(IF(ArtifactsInput!$M$15,CHOOSE(ArtifactsInput!$N$15+1,25,30,35,40,45,50)/100*(Inputs!$B$11-Inputs!$B$11),0))))/100+(Inputs!$B$23+((C295=TRUE)*(F295-Calc!F24))+(IF(ArtifactsInput!$M$15,CHOOSE(ArtifactsInput!$N$15+1,25,30,35,40,45,50)/100*(Inputs!$B$11-Inputs!$B$11),0)))/100)/2</f>
        <v/>
      </c>
      <c r="M275">
        <f>L275*(1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
        <f>L275*(1-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
        <f>(1-Summary!$B$11)*T275+Summary!$B$11*V275</f>
        <v/>
      </c>
      <c r="P275">
        <f>IF(B308=0,0,O275/B308)</f>
        <v/>
      </c>
      <c r="Q275">
        <f>IFERROR(1/(IF(Inputs!$B$38="pvp",15,MAX(0.1,Skills!D4-IF(Skills!E4=TRUE,Inputs!$B$32,0)))*(1-IF(AND(ArtifactsInput!$M$27,Inputs!$B$4="Chapter Hunt"),CHOOSE(ArtifactsInput!$N$27+1,20,24,28,32,36,40),0)/100)),0)</f>
        <v/>
      </c>
      <c r="R275">
        <f>IF(AND(Inputs!$B$38&lt;&gt;"pvp",Inputs!$B$43&gt;0),IF(MAX(0,Inputs!$B$43-B305)&lt;=0,0,(INT(MAX(0,Inputs!$B$43-B305)/(IF(Inputs!$B$38="pvp",15,MAX(0.1,Skills!D4-IF(Skills!E4=TRUE,Inputs!$B$32,0)))*(1-IF(AND(ArtifactsInput!$M$27,Inputs!$B$4="Chapter Hunt"),CHOOSE(ArtifactsInput!$N$27+1,20,24,28,32,36,40),0)/100)))+1)),0)</f>
        <v/>
      </c>
      <c r="S275">
        <f>IFERROR(O275/N275,0)</f>
        <v/>
      </c>
      <c r="T275">
        <f>IF(C275,(H275*N275*IF(AND(Inputs!$B$38&lt;&gt;"pvp",Inputs!$B$43&gt;0),((Skills!G4*((R275-1)*IF(Skills!H4&gt;0,Skills!I4/Skills!H4,1)+IF(Skills!H4&gt;0,MIN(Skills!I4,MAX(0,MAX(0,Inputs!$B$43-B305)-((R275-1)*(IF(Inputs!$B$38="pvp",15,MAX(0.1,Skills!D4-IF(Skills!E4=TRUE,Inputs!$B$32,0)))*(1-IF(AND(ArtifactsInput!$M$27,Inputs!$B$4="Chapter Hunt"),CHOOSE(ArtifactsInput!$N$27+1,20,24,28,32,36,40),0)/100)))))/Skills!H4,1)))/Inputs!$B$43),G275*Q275))*IF(Inputs!$B$38="pvp",1,1+((Inputs!$B$20+1)+0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275*(1-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
        <f>290*U274/1000</f>
        <v/>
      </c>
      <c r="V275">
        <f>IF(C275,(H275*N275*IF(AND(Inputs!$B$38&lt;&gt;"pvp",Inputs!$B$43&gt;0),((Skills!G4*((R275-1)*IF(Skills!H4&gt;0,Skills!I4/Skills!H4,1)+IF(Skills!H4&gt;0,MIN(Skills!I4,MAX(0,MAX(0,Inputs!$B$43-B305)-((R275-1)*(IF(Inputs!$B$38="pvp",15,MAX(0.1,Skills!D4-IF(Skills!E4=TRUE,Inputs!$B$32,0)))*(1-IF(AND(ArtifactsInput!$M$27,Inputs!$B$4="Chapter Hunt"),CHOOSE(ArtifactsInput!$N$27+1,20,24,28,32,36,40),0)/100)))))/Skills!H4,1)))/Inputs!$B$43),G275*Q275))*IF(Inputs!$B$38="pvp",1,(1+(Inputs!$B$21+Skills!Q4+(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
      <c r="A276">
        <f>Skills!A5</f>
        <v/>
      </c>
      <c r="B276">
        <f>Skills!B5</f>
        <v/>
      </c>
      <c r="C276">
        <f>Inputs!$B$3&gt;=66</f>
        <v/>
      </c>
      <c r="D276">
        <f>IF(Skills!C5=1,60+Inputs!$B$25+Inputs!$B$29,IF(Skills!C5=2,90+Inputs!$B$26+Inputs!$B$29,IF(Skills!C5=3,120+Inputs!$B$27+Inputs!$B$29,MAX(0,(Inputs!$B$3-100)*3)+Inputs!$B$28+Inputs!$B$29)))</f>
        <v/>
      </c>
      <c r="E276">
        <f>INDEX(FactorTable!$B$2:$Y$301, MATCH(ROUND(MIN(300,MAX(1,D276)),0), FactorTable!$A$2:$A$301,0), Skills!M5+1)</f>
        <v/>
      </c>
      <c r="F276">
        <f>IF(Skills!N5=TRUE,(Skills!L5/10)*(E276/1000),Skills!L5/10)+Skills!O5</f>
        <v/>
      </c>
      <c r="G276">
        <f>Skills!G5*IF(Skills!H5&gt;0,Skills!I5/Skills!H5,1)</f>
        <v/>
      </c>
      <c r="H276">
        <f>1-(1-Skills!J5/100)^Skills!K5</f>
        <v/>
      </c>
      <c r="I276" t="inlineStr">
        <is>
          <t>1</t>
        </is>
      </c>
      <c r="J276">
        <f>((Inputs!$B$6*(1+Inputs!$B$7/100))+(((Inputs!$B$12*(1+Inputs!$B$13/100))-(Inputs!$B$12*(1+Inputs!$B$13/100)))+0.25*(Inputs!$B$14-Inputs!$B$14))*(1+Inputs!$B$7/100))*(F276/100)</f>
        <v/>
      </c>
      <c r="K276">
        <f>J276*(1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283=TRUE,F283,0)/100)*(1+(IF(Skills!A5="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f>
        <v/>
      </c>
      <c r="L276">
        <f>K276*(MIN(Inputs!$B$22+((C293=TRUE)*(F293-Calc!F22)),(Inputs!$B$23+((C295=TRUE)*(F295-Calc!F24))+(IF(ArtifactsInput!$M$15,CHOOSE(ArtifactsInput!$N$15+1,25,30,35,40,45,50)/100*(Inputs!$B$11-Inputs!$B$11),0))))/100+(Inputs!$B$23+((C295=TRUE)*(F295-Calc!F24))+(IF(ArtifactsInput!$M$15,CHOOSE(ArtifactsInput!$N$15+1,25,30,35,40,45,50)/100*(Inputs!$B$11-Inputs!$B$11),0)))/100)/2</f>
        <v/>
      </c>
      <c r="M276">
        <f>L276*(1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
        <f>L276*(1-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
        <f>(1-Summary!$B$11)*T276+Summary!$B$11*V276</f>
        <v/>
      </c>
      <c r="P276">
        <f>IF(B308=0,0,O276/B308)</f>
        <v/>
      </c>
      <c r="Q276">
        <f>IFERROR(1/(IF(Inputs!$B$38="pvp",15,MAX(0.1,Skills!D5-IF(Skills!E5=TRUE,Inputs!$B$32,0)))*(1-IF(AND(ArtifactsInput!$M$27,Inputs!$B$4="Chapter Hunt"),CHOOSE(ArtifactsInput!$N$27+1,20,24,28,32,36,40),0)/100)),0)</f>
        <v/>
      </c>
      <c r="R276">
        <f>IF(AND(Inputs!$B$38&lt;&gt;"pvp",Inputs!$B$43&gt;0),IF(MAX(0,Inputs!$B$43-B305)&lt;=0,0,(INT(MAX(0,Inputs!$B$43-B305)/(IF(Inputs!$B$38="pvp",15,MAX(0.1,Skills!D5-IF(Skills!E5=TRUE,Inputs!$B$32,0)))*(1-IF(AND(ArtifactsInput!$M$27,Inputs!$B$4="Chapter Hunt"),CHOOSE(ArtifactsInput!$N$27+1,20,24,28,32,36,40),0)/100)))+1)),0)</f>
        <v/>
      </c>
      <c r="S276">
        <f>IFERROR(O276/N276,0)</f>
        <v/>
      </c>
      <c r="T276">
        <f>IF(C276,(H276*N276*IF(AND(Inputs!$B$38&lt;&gt;"pvp",Inputs!$B$43&gt;0),((Skills!G5*((R276-1)*IF(Skills!H5&gt;0,Skills!I5/Skills!H5,1)+IF(Skills!H5&gt;0,MIN(Skills!I5,MAX(0,MAX(0,Inputs!$B$43-B305)-((R276-1)*(IF(Inputs!$B$38="pvp",15,MAX(0.1,Skills!D5-IF(Skills!E5=TRUE,Inputs!$B$32,0)))*(1-IF(AND(ArtifactsInput!$M$27,Inputs!$B$4="Chapter Hunt"),CHOOSE(ArtifactsInput!$N$27+1,20,24,28,32,36,40),0)/100)))))/Skills!H5,1)))/Inputs!$B$43),G276*Q276))*IF(Inputs!$B$38="pvp",1,1+((Inputs!$B$20+1)+0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276*(1-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6">
        <f>IF(C276,(H276*N276*IF(AND(Inputs!$B$38&lt;&gt;"pvp",Inputs!$B$43&gt;0),((Skills!G5*((R276-1)*IF(Skills!H5&gt;0,Skills!I5/Skills!H5,1)+IF(Skills!H5&gt;0,MIN(Skills!I5,MAX(0,MAX(0,Inputs!$B$43-B305)-((R276-1)*(IF(Inputs!$B$38="pvp",15,MAX(0.1,Skills!D5-IF(Skills!E5=TRUE,Inputs!$B$32,0)))*(1-IF(AND(ArtifactsInput!$M$27,Inputs!$B$4="Chapter Hunt"),CHOOSE(ArtifactsInput!$N$27+1,20,24,28,32,36,40),0)/100)))))/Skills!H5,1)))/Inputs!$B$43),G276*Q276))*IF(Inputs!$B$38="pvp",1,(1+(Inputs!$B$21+Skills!Q5+(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
      <c r="A277">
        <f>Skills!A6</f>
        <v/>
      </c>
      <c r="B277">
        <f>Skills!B6</f>
        <v/>
      </c>
      <c r="C277">
        <f>Inputs!$B$3&gt;=103</f>
        <v/>
      </c>
      <c r="D277">
        <f>IF(Skills!C6=1,60+Inputs!$B$25+Inputs!$B$29,IF(Skills!C6=2,90+Inputs!$B$26+Inputs!$B$29,IF(Skills!C6=3,120+Inputs!$B$27+Inputs!$B$29,MAX(0,(Inputs!$B$3-100)*3)+Inputs!$B$28+Inputs!$B$29)))</f>
        <v/>
      </c>
      <c r="E277">
        <f>INDEX(FactorTable!$B$2:$Y$301, MATCH(ROUND(MIN(300,MAX(1,D277)),0), FactorTable!$A$2:$A$301,0), Skills!M6+1)</f>
        <v/>
      </c>
      <c r="F277">
        <f>IF(Skills!N6=TRUE,(Skills!L6/10)*(E277/1000),Skills!L6/10)+Skills!O6</f>
        <v/>
      </c>
      <c r="G277">
        <f>Skills!G6*IF(Skills!H6&gt;0,Skills!I6/Skills!H6,1)</f>
        <v/>
      </c>
      <c r="H277">
        <f>1-(1-Skills!J6/100)^Skills!K6</f>
        <v/>
      </c>
      <c r="I277" t="inlineStr">
        <is>
          <t>1</t>
        </is>
      </c>
      <c r="J277">
        <f>((Inputs!$B$6*(1+Inputs!$B$7/100))+(((Inputs!$B$12*(1+Inputs!$B$13/100))-(Inputs!$B$12*(1+Inputs!$B$13/100)))+0.25*(Inputs!$B$14-Inputs!$B$14))*(1+Inputs!$B$7/100))*(F277/100)</f>
        <v/>
      </c>
      <c r="K277">
        <f>J277*(1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f>
        <v/>
      </c>
      <c r="L277">
        <f>K277*(MIN(Inputs!$B$22+((C293=TRUE)*(F293-Calc!F22)),(Inputs!$B$23+((C295=TRUE)*(F295-Calc!F24))+(IF(ArtifactsInput!$M$15,CHOOSE(ArtifactsInput!$N$15+1,25,30,35,40,45,50)/100*(Inputs!$B$11-Inputs!$B$11),0))))/100+(Inputs!$B$23+((C295=TRUE)*(F295-Calc!F24))+(IF(ArtifactsInput!$M$15,CHOOSE(ArtifactsInput!$N$15+1,25,30,35,40,45,50)/100*(Inputs!$B$11-Inputs!$B$11),0)))/100)/2</f>
        <v/>
      </c>
      <c r="M277">
        <f>L277*(1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
        <f>L277*(1-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
        <f>(1-Summary!$B$11)*T277+Summary!$B$11*V277</f>
        <v/>
      </c>
      <c r="P277">
        <f>IF(B308=0,0,O277/B308)</f>
        <v/>
      </c>
      <c r="Q277">
        <f>IFERROR(1/(IF(Inputs!$B$38="pvp",15,MAX(0.1,Skills!D6-IF(Skills!E6=TRUE,Inputs!$B$32,0)))*(1-IF(AND(ArtifactsInput!$M$27,Inputs!$B$4="Chapter Hunt"),CHOOSE(ArtifactsInput!$N$27+1,20,24,28,32,36,40),0)/100)),0)</f>
        <v/>
      </c>
      <c r="R277">
        <f>IF(AND(Inputs!$B$38&lt;&gt;"pvp",Inputs!$B$43&gt;0),IF(MAX(0,Inputs!$B$43-B305)&lt;=0,0,(INT(MAX(0,Inputs!$B$43-B305)/(IF(Inputs!$B$38="pvp",15,MAX(0.1,Skills!D6-IF(Skills!E6=TRUE,Inputs!$B$32,0)))*(1-IF(AND(ArtifactsInput!$M$27,Inputs!$B$4="Chapter Hunt"),CHOOSE(ArtifactsInput!$N$27+1,20,24,28,32,36,40),0)/100)))+1)),0)</f>
        <v/>
      </c>
      <c r="S277">
        <f>IFERROR(O277/N277,0)</f>
        <v/>
      </c>
      <c r="T277">
        <f>IF(C277,(H277*N277*IF(AND(Inputs!$B$38&lt;&gt;"pvp",Inputs!$B$43&gt;0),((Skills!G6*((R277-1)*IF(Skills!H6&gt;0,Skills!I6/Skills!H6,1)+IF(Skills!H6&gt;0,MIN(Skills!I6,MAX(0,MAX(0,Inputs!$B$43-B305)-((R277-1)*(IF(Inputs!$B$38="pvp",15,MAX(0.1,Skills!D6-IF(Skills!E6=TRUE,Inputs!$B$32,0)))*(1-IF(AND(ArtifactsInput!$M$27,Inputs!$B$4="Chapter Hunt"),CHOOSE(ArtifactsInput!$N$27+1,20,24,28,32,36,40),0)/100)))))/Skills!H6,1)))/Inputs!$B$43),G277*Q277))*IF(Inputs!$B$38="pvp",1,1+((Inputs!$B$20+1)+0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
        <f>IF(C277,(H277*N277*IF(AND(Inputs!$B$38&lt;&gt;"pvp",Inputs!$B$43&gt;0),((Skills!G6*((R277-1)*IF(Skills!H6&gt;0,Skills!I6/Skills!H6,1)+IF(Skills!H6&gt;0,MIN(Skills!I6,MAX(0,MAX(0,Inputs!$B$43-B305)-((R277-1)*(IF(Inputs!$B$38="pvp",15,MAX(0.1,Skills!D6-IF(Skills!E6=TRUE,Inputs!$B$32,0)))*(1-IF(AND(ArtifactsInput!$M$27,Inputs!$B$4="Chapter Hunt"),CHOOSE(ArtifactsInput!$N$27+1,20,24,28,32,36,40),0)/100)))))/Skills!H6,1)))/Inputs!$B$43),G277*Q277))*IF(Inputs!$B$38="pvp",1,(1+(Inputs!$B$21+Skills!Q6+(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
      <c r="A278">
        <f>Skills!A7</f>
        <v/>
      </c>
      <c r="B278">
        <f>Skills!B7</f>
        <v/>
      </c>
      <c r="C278">
        <f>Inputs!$B$3&gt;=107</f>
        <v/>
      </c>
      <c r="D278">
        <f>IF(Skills!C7=1,60+Inputs!$B$25+Inputs!$B$29,IF(Skills!C7=2,90+Inputs!$B$26+Inputs!$B$29,IF(Skills!C7=3,120+Inputs!$B$27+Inputs!$B$29,MAX(0,(Inputs!$B$3-100)*3)+Inputs!$B$28+Inputs!$B$29)))</f>
        <v/>
      </c>
      <c r="E278">
        <f>INDEX(FactorTable!$B$2:$Y$301, MATCH(ROUND(MIN(300,MAX(1,D278)),0), FactorTable!$A$2:$A$301,0), Skills!M7+1)</f>
        <v/>
      </c>
      <c r="F278">
        <f>IF(Skills!N7=TRUE,(Skills!L7/10)*(E278/1000),Skills!L7/10)+Skills!O7</f>
        <v/>
      </c>
      <c r="G278">
        <f>Skills!G7*IF(Skills!H7&gt;0,Skills!I7/Skills!H7,1)</f>
        <v/>
      </c>
      <c r="H278">
        <f>1-(1-Skills!J7/100)^Skills!K7</f>
        <v/>
      </c>
      <c r="I278" t="inlineStr">
        <is>
          <t>1</t>
        </is>
      </c>
      <c r="J278">
        <f>((Inputs!$B$6*(1+Inputs!$B$7/100))+(((Inputs!$B$12*(1+Inputs!$B$13/100))-(Inputs!$B$12*(1+Inputs!$B$13/100)))+0.25*(Inputs!$B$14-Inputs!$B$14))*(1+Inputs!$B$7/100))*(F278/100)</f>
        <v/>
      </c>
      <c r="K278">
        <f>J278*(1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f>
        <v/>
      </c>
      <c r="L278">
        <f>K278*(MIN(Inputs!$B$22+((C293=TRUE)*(F293-Calc!F22)),(Inputs!$B$23+((C295=TRUE)*(F295-Calc!F24))+(IF(ArtifactsInput!$M$15,CHOOSE(ArtifactsInput!$N$15+1,25,30,35,40,45,50)/100*(Inputs!$B$11-Inputs!$B$11),0))))/100+(Inputs!$B$23+((C295=TRUE)*(F295-Calc!F24))+(IF(ArtifactsInput!$M$15,CHOOSE(ArtifactsInput!$N$15+1,25,30,35,40,45,50)/100*(Inputs!$B$11-Inputs!$B$11),0)))/100)/2</f>
        <v/>
      </c>
      <c r="M278">
        <f>L278*(1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
        <f>L278*(1-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
        <f>(1-Summary!$B$11)*T278+Summary!$B$11*V278</f>
        <v/>
      </c>
      <c r="P278">
        <f>IF(B308=0,0,O278/B308)</f>
        <v/>
      </c>
      <c r="Q278">
        <f>IFERROR(1/(IF(Inputs!$B$38="pvp",15,MAX(0.1,Skills!D7-IF(Skills!E7=TRUE,Inputs!$B$32,0)))*(1-IF(AND(ArtifactsInput!$M$27,Inputs!$B$4="Chapter Hunt"),CHOOSE(ArtifactsInput!$N$27+1,20,24,28,32,36,40),0)/100)),0)</f>
        <v/>
      </c>
      <c r="R278">
        <f>IF(AND(Inputs!$B$38&lt;&gt;"pvp",Inputs!$B$43&gt;0),IF(MAX(0,Inputs!$B$43-B305)&lt;=0,0,(INT(MAX(0,Inputs!$B$43-B305)/(IF(Inputs!$B$38="pvp",15,MAX(0.1,Skills!D7-IF(Skills!E7=TRUE,Inputs!$B$32,0)))*(1-IF(AND(ArtifactsInput!$M$27,Inputs!$B$4="Chapter Hunt"),CHOOSE(ArtifactsInput!$N$27+1,20,24,28,32,36,40),0)/100)))+1)),0)</f>
        <v/>
      </c>
      <c r="S278">
        <f>IFERROR(O278/N278,0)</f>
        <v/>
      </c>
      <c r="T278">
        <f>IF(C278,(H278*N278*IF(AND(Inputs!$B$38&lt;&gt;"pvp",Inputs!$B$43&gt;0),((Skills!G7*((R278-1)*IF(Skills!H7&gt;0,Skills!I7/Skills!H7,1)+IF(Skills!H7&gt;0,MIN(Skills!I7,MAX(0,MAX(0,Inputs!$B$43-B305)-((R278-1)*(IF(Inputs!$B$38="pvp",15,MAX(0.1,Skills!D7-IF(Skills!E7=TRUE,Inputs!$B$32,0)))*(1-IF(AND(ArtifactsInput!$M$27,Inputs!$B$4="Chapter Hunt"),CHOOSE(ArtifactsInput!$N$27+1,20,24,28,32,36,40),0)/100)))))/Skills!H7,1)))/Inputs!$B$43),G278*Q278))*IF(Inputs!$B$38="pvp",1,1+((Inputs!$B$20+1)+0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
        <f>IF(C278,(H278*N278*IF(AND(Inputs!$B$38&lt;&gt;"pvp",Inputs!$B$43&gt;0),((Skills!G7*((R278-1)*IF(Skills!H7&gt;0,Skills!I7/Skills!H7,1)+IF(Skills!H7&gt;0,MIN(Skills!I7,MAX(0,MAX(0,Inputs!$B$43-B305)-((R278-1)*(IF(Inputs!$B$38="pvp",15,MAX(0.1,Skills!D7-IF(Skills!E7=TRUE,Inputs!$B$32,0)))*(1-IF(AND(ArtifactsInput!$M$27,Inputs!$B$4="Chapter Hunt"),CHOOSE(ArtifactsInput!$N$27+1,20,24,28,32,36,40),0)/100)))))/Skills!H7,1)))/Inputs!$B$43),G278*Q278))*IF(Inputs!$B$38="pvp",1,(1+(Inputs!$B$21+Skills!Q7+(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
      <c r="A279">
        <f>Skills!A8</f>
        <v/>
      </c>
      <c r="B279">
        <f>Skills!B8</f>
        <v/>
      </c>
      <c r="C279">
        <f>Inputs!$B$3&gt;=107</f>
        <v/>
      </c>
      <c r="D279">
        <f>IF(Skills!C8=1,60+Inputs!$B$25+Inputs!$B$29,IF(Skills!C8=2,90+Inputs!$B$26+Inputs!$B$29,IF(Skills!C8=3,120+Inputs!$B$27+Inputs!$B$29,MAX(0,(Inputs!$B$3-100)*3)+Inputs!$B$28+Inputs!$B$29)))</f>
        <v/>
      </c>
      <c r="E279">
        <f>INDEX(FactorTable!$B$2:$Y$301, MATCH(ROUND(MIN(300,MAX(1,D279)),0), FactorTable!$A$2:$A$301,0), Skills!M8+1)</f>
        <v/>
      </c>
      <c r="F279">
        <f>IF(Skills!N8=TRUE,(Skills!L8/10)*(E279/1000),Skills!L8/10)+Skills!O8</f>
        <v/>
      </c>
      <c r="G279">
        <f>Skills!G8*IF(Skills!H8&gt;0,Skills!I8/Skills!H8,1)</f>
        <v/>
      </c>
      <c r="H279">
        <f>1-(1-Skills!J8/100)^Skills!K8</f>
        <v/>
      </c>
      <c r="I279" t="inlineStr">
        <is>
          <t>1</t>
        </is>
      </c>
      <c r="J279">
        <f>((Inputs!$B$6*(1+Inputs!$B$7/100))+(((Inputs!$B$12*(1+Inputs!$B$13/100))-(Inputs!$B$12*(1+Inputs!$B$13/100)))+0.25*(Inputs!$B$14-Inputs!$B$14))*(1+Inputs!$B$7/100))*(F279/100)</f>
        <v/>
      </c>
      <c r="K279">
        <f>J279*(1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f>
        <v/>
      </c>
      <c r="L279">
        <f>K279*(MIN(Inputs!$B$22+((C293=TRUE)*(F293-Calc!F22)),(Inputs!$B$23+((C295=TRUE)*(F295-Calc!F24))+(IF(ArtifactsInput!$M$15,CHOOSE(ArtifactsInput!$N$15+1,25,30,35,40,45,50)/100*(Inputs!$B$11-Inputs!$B$11),0))))/100+(Inputs!$B$23+((C295=TRUE)*(F295-Calc!F24))+(IF(ArtifactsInput!$M$15,CHOOSE(ArtifactsInput!$N$15+1,25,30,35,40,45,50)/100*(Inputs!$B$11-Inputs!$B$11),0)))/100)/2</f>
        <v/>
      </c>
      <c r="M279">
        <f>L279*(1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
        <f>L279*(1-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
        <f>(1-Summary!$B$11)*T279+Summary!$B$11*V279</f>
        <v/>
      </c>
      <c r="P279">
        <f>IF(B308=0,0,O279/B308)</f>
        <v/>
      </c>
      <c r="Q279">
        <f>IFERROR(1/(IF(Inputs!$B$38="pvp",15,MAX(0.1,Skills!D8-IF(Skills!E8=TRUE,Inputs!$B$32,0)))*(1-IF(AND(ArtifactsInput!$M$27,Inputs!$B$4="Chapter Hunt"),CHOOSE(ArtifactsInput!$N$27+1,20,24,28,32,36,40),0)/100)),0)</f>
        <v/>
      </c>
      <c r="R279">
        <f>IF(AND(Inputs!$B$38&lt;&gt;"pvp",Inputs!$B$43&gt;0),IF(MAX(0,Inputs!$B$43-B305)&lt;=0,0,(INT(MAX(0,Inputs!$B$43-B305)/(IF(Inputs!$B$38="pvp",15,MAX(0.1,Skills!D8-IF(Skills!E8=TRUE,Inputs!$B$32,0)))*(1-IF(AND(ArtifactsInput!$M$27,Inputs!$B$4="Chapter Hunt"),CHOOSE(ArtifactsInput!$N$27+1,20,24,28,32,36,40),0)/100)))+1)),0)</f>
        <v/>
      </c>
      <c r="S279">
        <f>IFERROR(O279/N279,0)</f>
        <v/>
      </c>
      <c r="T279">
        <f>IF(C279,(H279*N279*IF(AND(Inputs!$B$38&lt;&gt;"pvp",Inputs!$B$43&gt;0),((Skills!G8*((R279-1)*IF(Skills!H8&gt;0,Skills!I8/Skills!H8,1)+IF(Skills!H8&gt;0,MIN(Skills!I8,MAX(0,MAX(0,Inputs!$B$43-B305)-((R279-1)*(IF(Inputs!$B$38="pvp",15,MAX(0.1,Skills!D8-IF(Skills!E8=TRUE,Inputs!$B$32,0)))*(1-IF(AND(ArtifactsInput!$M$27,Inputs!$B$4="Chapter Hunt"),CHOOSE(ArtifactsInput!$N$27+1,20,24,28,32,36,40),0)/100)))))/Skills!H8,1)))/Inputs!$B$43),G279*Q279))*IF(Inputs!$B$38="pvp",1,1+((Inputs!$B$20+1)+0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279*(1-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9">
        <f>IF(C279,(H279*N279*IF(AND(Inputs!$B$38&lt;&gt;"pvp",Inputs!$B$43&gt;0),((Skills!G8*((R279-1)*IF(Skills!H8&gt;0,Skills!I8/Skills!H8,1)+IF(Skills!H8&gt;0,MIN(Skills!I8,MAX(0,MAX(0,Inputs!$B$43-B305)-((R279-1)*(IF(Inputs!$B$38="pvp",15,MAX(0.1,Skills!D8-IF(Skills!E8=TRUE,Inputs!$B$32,0)))*(1-IF(AND(ArtifactsInput!$M$27,Inputs!$B$4="Chapter Hunt"),CHOOSE(ArtifactsInput!$N$27+1,20,24,28,32,36,40),0)/100)))))/Skills!H8,1)))/Inputs!$B$43),G279*Q279))*IF(Inputs!$B$38="pvp",1,(1+(Inputs!$B$21+Skills!Q8+(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
      <c r="A280">
        <f>Skills!A9</f>
        <v/>
      </c>
      <c r="B280">
        <f>Skills!B9</f>
        <v/>
      </c>
      <c r="C280">
        <f>Inputs!$B$3&gt;=125</f>
        <v/>
      </c>
      <c r="D280">
        <f>IF(Skills!C9=1,60+Inputs!$B$25+Inputs!$B$29,IF(Skills!C9=2,90+Inputs!$B$26+Inputs!$B$29,IF(Skills!C9=3,120+Inputs!$B$27+Inputs!$B$29,MAX(0,(Inputs!$B$3-100)*3)+Inputs!$B$28+Inputs!$B$29)))</f>
        <v/>
      </c>
      <c r="E280">
        <f>INDEX(FactorTable!$B$2:$Y$301, MATCH(ROUND(MIN(300,MAX(1,D280)),0), FactorTable!$A$2:$A$301,0), Skills!M9+1)</f>
        <v/>
      </c>
      <c r="F280">
        <f>IF(Skills!N9=TRUE,(Skills!L9/10)*(E280/1000),Skills!L9/10)+Skills!O9</f>
        <v/>
      </c>
      <c r="G280">
        <f>Skills!G9*IF(Skills!H9&gt;0,Skills!I9/Skills!H9,1)</f>
        <v/>
      </c>
      <c r="H280">
        <f>1-(1-Skills!J9/100)^Skills!K9</f>
        <v/>
      </c>
      <c r="I280" t="inlineStr">
        <is>
          <t>1</t>
        </is>
      </c>
      <c r="J280">
        <f>((Inputs!$B$6*(1+Inputs!$B$7/100))+(((Inputs!$B$12*(1+Inputs!$B$13/100))-(Inputs!$B$12*(1+Inputs!$B$13/100)))+0.25*(Inputs!$B$14-Inputs!$B$14))*(1+Inputs!$B$7/100))*(F280/100)</f>
        <v/>
      </c>
      <c r="K280">
        <f>J280*(1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f>
        <v/>
      </c>
      <c r="L280">
        <f>K280*(MIN(Inputs!$B$22+((C293=TRUE)*(F293-Calc!F22)),(Inputs!$B$23+((C295=TRUE)*(F295-Calc!F24))+(IF(ArtifactsInput!$M$15,CHOOSE(ArtifactsInput!$N$15+1,25,30,35,40,45,50)/100*(Inputs!$B$11-Inputs!$B$11),0))))/100+(Inputs!$B$23+((C295=TRUE)*(F295-Calc!F24))+(IF(ArtifactsInput!$M$15,CHOOSE(ArtifactsInput!$N$15+1,25,30,35,40,45,50)/100*(Inputs!$B$11-Inputs!$B$11),0)))/100)/2</f>
        <v/>
      </c>
      <c r="M280">
        <f>L280*(1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
        <f>L280*(1-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
        <f>(1-Summary!$B$11)*T280+Summary!$B$11*V280</f>
        <v/>
      </c>
      <c r="P280">
        <f>IF(B308=0,0,O280/B308)</f>
        <v/>
      </c>
      <c r="Q280">
        <f>IFERROR(1/(IF(Inputs!$B$38="pvp",15,MAX(0.1,Skills!D9-IF(Skills!E9=TRUE,Inputs!$B$32,0)))*(1-IF(AND(ArtifactsInput!$M$27,Inputs!$B$4="Chapter Hunt"),CHOOSE(ArtifactsInput!$N$27+1,20,24,28,32,36,40),0)/100)),0)</f>
        <v/>
      </c>
      <c r="R280">
        <f>IF(AND(Inputs!$B$38&lt;&gt;"pvp",Inputs!$B$43&gt;0),IF(MAX(0,Inputs!$B$43-B305)&lt;=0,0,(INT(MAX(0,Inputs!$B$43-B305)/(IF(Inputs!$B$38="pvp",15,MAX(0.1,Skills!D9-IF(Skills!E9=TRUE,Inputs!$B$32,0)))*(1-IF(AND(ArtifactsInput!$M$27,Inputs!$B$4="Chapter Hunt"),CHOOSE(ArtifactsInput!$N$27+1,20,24,28,32,36,40),0)/100)))+1)),0)</f>
        <v/>
      </c>
      <c r="S280">
        <f>IFERROR(O280/N280,0)</f>
        <v/>
      </c>
      <c r="T280">
        <f>IF(C280,(H280*N280*IF(AND(Inputs!$B$38&lt;&gt;"pvp",Inputs!$B$43&gt;0),((Skills!G9*((R280-1)*IF(Skills!H9&gt;0,Skills!I9/Skills!H9,1)+IF(Skills!H9&gt;0,MIN(Skills!I9,MAX(0,MAX(0,Inputs!$B$43-B305)-((R280-1)*(IF(Inputs!$B$38="pvp",15,MAX(0.1,Skills!D9-IF(Skills!E9=TRUE,Inputs!$B$32,0)))*(1-IF(AND(ArtifactsInput!$M$27,Inputs!$B$4="Chapter Hunt"),CHOOSE(ArtifactsInput!$N$27+1,20,24,28,32,36,40),0)/100)))))/Skills!H9,1)))/Inputs!$B$43),G280*Q280))*IF(Inputs!$B$38="pvp",1,1+((Inputs!$B$20+1)+0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280*(1-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0">
        <f>IF(C280,(H280*N280*IF(AND(Inputs!$B$38&lt;&gt;"pvp",Inputs!$B$43&gt;0),((Skills!G9*((R280-1)*IF(Skills!H9&gt;0,Skills!I9/Skills!H9,1)+IF(Skills!H9&gt;0,MIN(Skills!I9,MAX(0,MAX(0,Inputs!$B$43-B305)-((R280-1)*(IF(Inputs!$B$38="pvp",15,MAX(0.1,Skills!D9-IF(Skills!E9=TRUE,Inputs!$B$32,0)))*(1-IF(AND(ArtifactsInput!$M$27,Inputs!$B$4="Chapter Hunt"),CHOOSE(ArtifactsInput!$N$27+1,20,24,28,32,36,40),0)/100)))))/Skills!H9,1)))/Inputs!$B$43),G280*Q280))*IF(Inputs!$B$38="pvp",1,(1+(Inputs!$B$21+Skills!Q9+(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
      <c r="A281">
        <f>Skills!A10</f>
        <v/>
      </c>
      <c r="B281">
        <f>Skills!B10</f>
        <v/>
      </c>
      <c r="C281">
        <f>Inputs!$B$3&gt;=117</f>
        <v/>
      </c>
      <c r="D281">
        <f>IF(Skills!C10=1,60+Inputs!$B$25+Inputs!$B$29,IF(Skills!C10=2,90+Inputs!$B$26+Inputs!$B$29,IF(Skills!C10=3,120+Inputs!$B$27+Inputs!$B$29,MAX(0,(Inputs!$B$3-100)*3)+Inputs!$B$28+Inputs!$B$29)))</f>
        <v/>
      </c>
      <c r="E281">
        <f>INDEX(FactorTable!$B$2:$Y$301, MATCH(ROUND(MIN(300,MAX(1,D281)),0), FactorTable!$A$2:$A$301,0), Skills!M10+1)</f>
        <v/>
      </c>
      <c r="F281">
        <f>IF(Skills!N10=TRUE,(Skills!L10/10)*(E281/1000),Skills!L10/10)+Skills!O10</f>
        <v/>
      </c>
      <c r="G281">
        <f>Skills!G10*IF(Skills!H10&gt;0,Skills!I10/Skills!H10,1)</f>
        <v/>
      </c>
      <c r="H281">
        <f>1-(1-Skills!J10/100)^Skills!K10</f>
        <v/>
      </c>
      <c r="I281" t="inlineStr">
        <is>
          <t>1</t>
        </is>
      </c>
      <c r="J281">
        <f>((Inputs!$B$6*(1+Inputs!$B$7/100))+(((Inputs!$B$12*(1+Inputs!$B$13/100))-(Inputs!$B$12*(1+Inputs!$B$13/100)))+0.25*(Inputs!$B$14-Inputs!$B$14))*(1+Inputs!$B$7/100))*(F281/100)</f>
        <v/>
      </c>
      <c r="K281">
        <f>J281*(1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f>
        <v/>
      </c>
      <c r="L281">
        <f>K281*(MIN(Inputs!$B$22+((C293=TRUE)*(F293-Calc!F22)),(Inputs!$B$23+((C295=TRUE)*(F295-Calc!F24))+(IF(ArtifactsInput!$M$15,CHOOSE(ArtifactsInput!$N$15+1,25,30,35,40,45,50)/100*(Inputs!$B$11-Inputs!$B$11),0))))/100+(Inputs!$B$23+((C295=TRUE)*(F295-Calc!F24))+(IF(ArtifactsInput!$M$15,CHOOSE(ArtifactsInput!$N$15+1,25,30,35,40,45,50)/100*(Inputs!$B$11-Inputs!$B$11),0)))/100)/2</f>
        <v/>
      </c>
      <c r="M281">
        <f>L281*(1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
        <f>L281*(1-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
        <f>(1-Summary!$B$11)*T281+Summary!$B$11*V281</f>
        <v/>
      </c>
      <c r="P281">
        <f>IF(B308=0,0,O281/B308)</f>
        <v/>
      </c>
      <c r="Q281">
        <f>IFERROR(1/(IF(Inputs!$B$38="pvp",15,MAX(0.1,Skills!D10-IF(Skills!E10=TRUE,Inputs!$B$32,0)))*(1-IF(AND(ArtifactsInput!$M$27,Inputs!$B$4="Chapter Hunt"),CHOOSE(ArtifactsInput!$N$27+1,20,24,28,32,36,40),0)/100)),0)</f>
        <v/>
      </c>
      <c r="R281">
        <f>IF(AND(Inputs!$B$38&lt;&gt;"pvp",Inputs!$B$43&gt;0),IF(MAX(0,Inputs!$B$43-B305)&lt;=0,0,(INT(MAX(0,Inputs!$B$43-B305)/(IF(Inputs!$B$38="pvp",15,MAX(0.1,Skills!D10-IF(Skills!E10=TRUE,Inputs!$B$32,0)))*(1-IF(AND(ArtifactsInput!$M$27,Inputs!$B$4="Chapter Hunt"),CHOOSE(ArtifactsInput!$N$27+1,20,24,28,32,36,40),0)/100)))+1)),0)</f>
        <v/>
      </c>
      <c r="S281">
        <f>IFERROR(O281/N281,0)</f>
        <v/>
      </c>
      <c r="T281">
        <f>IF(C281,(H281*N281*IF(AND(Inputs!$B$38&lt;&gt;"pvp",Inputs!$B$43&gt;0),((Skills!G10*((R281-1)*IF(Skills!H10&gt;0,Skills!I10/Skills!H10,1)+IF(Skills!H10&gt;0,MIN(Skills!I10,MAX(0,MAX(0,Inputs!$B$43-B305)-((R281-1)*(IF(Inputs!$B$38="pvp",15,MAX(0.1,Skills!D10-IF(Skills!E10=TRUE,Inputs!$B$32,0)))*(1-IF(AND(ArtifactsInput!$M$27,Inputs!$B$4="Chapter Hunt"),CHOOSE(ArtifactsInput!$N$27+1,20,24,28,32,36,40),0)/100)))))/Skills!H10,1)))/Inputs!$B$43),G281*Q281))*IF(Inputs!$B$38="pvp",1,1+((Inputs!$B$20+1)+0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
        <f>IF(C281,(H281*N281*IF(AND(Inputs!$B$38&lt;&gt;"pvp",Inputs!$B$43&gt;0),((Skills!G10*((R281-1)*IF(Skills!H10&gt;0,Skills!I10/Skills!H10,1)+IF(Skills!H10&gt;0,MIN(Skills!I10,MAX(0,MAX(0,Inputs!$B$43-B305)-((R281-1)*(IF(Inputs!$B$38="pvp",15,MAX(0.1,Skills!D10-IF(Skills!E10=TRUE,Inputs!$B$32,0)))*(1-IF(AND(ArtifactsInput!$M$27,Inputs!$B$4="Chapter Hunt"),CHOOSE(ArtifactsInput!$N$27+1,20,24,28,32,36,40),0)/100)))))/Skills!H10,1)))/Inputs!$B$43),G281*Q281))*IF(Inputs!$B$38="pvp",1,(1+(Inputs!$B$21+Skills!Q10+(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
      <c r="A282">
        <f>Skills!A11</f>
        <v/>
      </c>
      <c r="B282">
        <f>Skills!B11</f>
        <v/>
      </c>
      <c r="C282">
        <f>Inputs!$B$3&gt;=63</f>
        <v/>
      </c>
      <c r="D282">
        <f>IF(Skills!C11=1,60+Inputs!$B$25+Inputs!$B$29,IF(Skills!C11=2,90+Inputs!$B$26+Inputs!$B$29,IF(Skills!C11=3,120+Inputs!$B$27+Inputs!$B$29,MAX(0,(Inputs!$B$3-100)*3)+Inputs!$B$28+Inputs!$B$29)))</f>
        <v/>
      </c>
      <c r="E282">
        <f>INDEX(FactorTable!$B$2:$Y$301, MATCH(ROUND(MIN(300,MAX(1,D282)),0), FactorTable!$A$2:$A$301,0), Skills!M11+1)</f>
        <v/>
      </c>
      <c r="F282">
        <f>IF(Skills!N11=TRUE,(Skills!L11/10)*(E282/1000),Skills!L11/10)+Skills!O11</f>
        <v/>
      </c>
      <c r="G282">
        <f>Skills!G11*IF(Skills!H11&gt;0,Skills!I11/Skills!H11,1)</f>
        <v/>
      </c>
      <c r="H282">
        <f>1-(1-Skills!J11/100)^Skills!K11</f>
        <v/>
      </c>
      <c r="I282" t="inlineStr">
        <is>
          <t>1</t>
        </is>
      </c>
      <c r="J282">
        <f>((Inputs!$B$6*(1+Inputs!$B$7/100))+(((Inputs!$B$12*(1+Inputs!$B$13/100))-(Inputs!$B$12*(1+Inputs!$B$13/100)))+0.25*(Inputs!$B$14-Inputs!$B$14))*(1+Inputs!$B$7/100))*(F282/100)</f>
        <v/>
      </c>
      <c r="K282">
        <f>J282*(1+((Inputs!$B$12*(1+Inputs!$B$13/100))*0.01+Inputs!$B$14*0.0025)/100)*(1+Inputs!$B$15/100)*(1+Inputs!$B$16/100)*(5000/(6000+Inputs!$B$42*(1-(Inputs!$B$19+0)/100)))*(1+(Inputs!$B$24+0+B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283=TRUE,F283,0)/100)*(1+(IF(Skills!A11="BLAST",Inputs!$B$17+((C292=TRUE)*(F292-Calc!F21))+((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MIN(100,((Inputs!$B$9+0+B298+(ArtifactsInput!$M$24-ArtifactsInput!$M$24)*CHOOSE(ArtifactsInput!$N$24+1,10,12,14,16,18,20)+IF(ArtifactsInput!$M$10,CHOOSE(ArtifactsInput!$N$10+1,15,18,21,24,27,30)*(IF(Inputs!$B$38="pvp",MIN(15,15)/15,IF(AND(Inputs!$B$38&lt;&gt;"pvp",Inputs!$B$43&gt;0),MIN(15,Inputs!$B$43)/(Inputs!$B$43),0))),0)))-100),0))*CHOOSE(ArtifactsInput!$N$42+1,0.6,0.72,0.84,0.96,1.08,1.2))),Inputs!$B$18+((C294=TRUE)*(F294-Calc!F23))+(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gt;=100),CHOOSE(ArtifactsInput!$N$42+1,40,48,56,64,72,80),0))))/100)*((1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f>
        <v/>
      </c>
      <c r="L282">
        <f>K282*(MIN(Inputs!$B$22+((C293=TRUE)*(F293-Calc!F22)),(Inputs!$B$23+((C295=TRUE)*(F295-Calc!F24))+(IF(ArtifactsInput!$M$15,CHOOSE(ArtifactsInput!$N$15+1,25,30,35,40,45,50)/100*(Inputs!$B$11-Inputs!$B$11),0))))/100+(Inputs!$B$23+((C295=TRUE)*(F295-Calc!F24))+(IF(ArtifactsInput!$M$15,CHOOSE(ArtifactsInput!$N$15+1,25,30,35,40,45,50)/100*(Inputs!$B$11-Inputs!$B$11),0)))/100)/2</f>
        <v/>
      </c>
      <c r="M282">
        <f>L282*(1+(Inputs!$B$10+0+B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
        <f>L282*(1-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MIN((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
        <f>(1-Summary!$B$11)*T282+Summary!$B$11*V282</f>
        <v/>
      </c>
      <c r="P282">
        <f>IF(B308=0,0,O282/B308)</f>
        <v/>
      </c>
      <c r="Q282">
        <f>IFERROR(1/(IF(Inputs!$B$38="pvp",15,MAX(0.1,Skills!D11-IF(Skills!E11=TRUE,Inputs!$B$32,0)))*(1-IF(AND(ArtifactsInput!$M$27,Inputs!$B$4="Chapter Hunt"),CHOOSE(ArtifactsInput!$N$27+1,20,24,28,32,36,40),0)/100)),0)</f>
        <v/>
      </c>
      <c r="R282">
        <f>IF(AND(Inputs!$B$38&lt;&gt;"pvp",Inputs!$B$43&gt;0),IF(MAX(0,Inputs!$B$43-B305)&lt;=0,0,(INT(MAX(0,Inputs!$B$43-B305)/(IF(Inputs!$B$38="pvp",15,MAX(0.1,Skills!D11-IF(Skills!E11=TRUE,Inputs!$B$32,0)))*(1-IF(AND(ArtifactsInput!$M$27,Inputs!$B$4="Chapter Hunt"),CHOOSE(ArtifactsInput!$N$27+1,20,24,28,32,36,40),0)/100)))+1)),0)</f>
        <v/>
      </c>
      <c r="S282">
        <f>IFERROR(O282/N282,0)</f>
        <v/>
      </c>
      <c r="T282">
        <f>IF(C282,(H282*N282*IF(AND(Inputs!$B$38&lt;&gt;"pvp",Inputs!$B$43&gt;0),((Skills!G11*((R282-1)*IF(Skills!H11&gt;0,Skills!I11/Skills!H11,1)+IF(Skills!H11&gt;0,MIN(Skills!I11,MAX(0,MAX(0,Inputs!$B$43-B305)-((R282-1)*(IF(Inputs!$B$38="pvp",15,MAX(0.1,Skills!D11-IF(Skills!E11=TRUE,Inputs!$B$32,0)))*(1-IF(AND(ArtifactsInput!$M$27,Inputs!$B$4="Chapter Hunt"),CHOOSE(ArtifactsInput!$N$27+1,20,24,28,32,36,40),0)/100)))))/Skills!H11,1)))/Inputs!$B$43),G282*Q282))*IF(Inputs!$B$38="pvp",1,1+((Inputs!$B$20+1)+0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(1-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MIN(100,(Inputs!$B$9+0+B298+(ArtifactsInput!$M$24-ArtifactsInput!$M$24)*CHOOSE(ArtifactsInput!$N$24+1,10,12,14,16,18,20)+(IF(AND(Inputs!$B$38&lt;&gt;"pvp",Inputs!$B$43=0),1,IF(IF(Inputs!$B$38="pvp",15,Inputs!$B$43)-(B305)&lt;=0,1,MAX(0,IF(Inputs!$B$38="pvp",15,Inputs!$B$43)-MAX(5,B305))/(IF(Inputs!$B$38="pvp",15,Inputs!$B$43)-(B305))))*IF(AND(ArtifactsInput!$M$42,((Inputs!$B$9+0+B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
        <f>IF(C282,(H282*N282*IF(AND(Inputs!$B$38&lt;&gt;"pvp",Inputs!$B$43&gt;0),((Skills!G11*((R282-1)*IF(Skills!H11&gt;0,Skills!I11/Skills!H11,1)+IF(Skills!H11&gt;0,MIN(Skills!I11,MAX(0,MAX(0,Inputs!$B$43-B305)-((R282-1)*(IF(Inputs!$B$38="pvp",15,MAX(0.1,Skills!D11-IF(Skills!E11=TRUE,Inputs!$B$32,0)))*(1-IF(AND(ArtifactsInput!$M$27,Inputs!$B$4="Chapter Hunt"),CHOOSE(ArtifactsInput!$N$27+1,20,24,28,32,36,40),0)/100)))))/Skills!H11,1)))/Inputs!$B$43),G282*Q282))*IF(Inputs!$B$38="pvp",1,(1+(Inputs!$B$21+Skills!Q11+(IF(ArtifactsInput!$M$33,CHOOSE(ArtifactsInput!$N$33+1,30,36,42,48,54,60),0))+(IF(AND(ArtifactsInput!$M$35,Inputs!$B$4&lt;&gt;"Chapter Hunt"),CHOOSE(ArtifactsInput!$N$35+1,15,18,21,24,27,30)*(1-EXP(-(0.2*B300)*5)),0)+IF(AND(ArtifactsInput!$M$22,Inputs!$B$4&lt;&gt;"Chapter Hunt"),CHOOSE(ArtifactsInput!$N$22+1,10,12,14,16,18,20)*((0*(((0.15*B300*5))^0/1)+1*(((0.15*B300*5))^1/1)+2*(((0.15*B300*5))^2/2)+3*(((0.15*B300*5))^3/6)+4*(((0.15*B300*5))^4/24)+5*(((0.15*B300*5))^5/120))/((((0.15*B300*5))^0/1)+(((0.15*B300*5))^1/1)+(((0.15*B300*5))^2/2)+(((0.15*B300*5))^3/6)+(((0.15*B300*5))^4/24)+(((0.15*B300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
      <c r="A283">
        <f>Skills!A12</f>
        <v/>
      </c>
      <c r="B283">
        <f>Skills!B12</f>
        <v/>
      </c>
      <c r="C283">
        <f>Inputs!$B$3&gt;=100</f>
        <v/>
      </c>
      <c r="D283">
        <f>IF(Skills!C12=1,60+Inputs!$B$25+Inputs!$B$29,IF(Skills!C12=2,90+Inputs!$B$26+Inputs!$B$29,IF(Skills!C12=3,120+Inputs!$B$27+Inputs!$B$29,MAX(0,(Inputs!$B$3-100)*3)+Inputs!$B$28+Inputs!$B$29)))</f>
        <v/>
      </c>
      <c r="E283">
        <f>INDEX(FactorTable!$B$2:$Y$301, MATCH(ROUND(MIN(300,MAX(1,D283)),0), FactorTable!$A$2:$A$301,0), Skills!M12+1)</f>
        <v/>
      </c>
      <c r="F283">
        <f>IF(Skills!N12=TRUE,(Skills!L12/10)*(E283/1000),Skills!L12/10)+Skills!O12</f>
        <v/>
      </c>
      <c r="G283" t="inlineStr"/>
      <c r="H283" t="inlineStr"/>
      <c r="I283" t="inlineStr">
        <is>
          <t>1</t>
        </is>
      </c>
      <c r="J283" t="inlineStr"/>
      <c r="K283" t="inlineStr"/>
      <c r="L283" t="inlineStr"/>
      <c r="M283" t="inlineStr"/>
      <c r="N283" t="inlineStr"/>
      <c r="O283" t="inlineStr"/>
      <c r="P283" t="inlineStr"/>
      <c r="Q283" t="inlineStr"/>
      <c r="R283" t="inlineStr"/>
      <c r="S283" t="inlineStr"/>
    </row>
    <row r="284">
      <c r="A284">
        <f>Skills!A13</f>
        <v/>
      </c>
      <c r="B284">
        <f>Skills!B13</f>
        <v/>
      </c>
      <c r="C284">
        <f>Inputs!$B$3&gt;=45</f>
        <v/>
      </c>
      <c r="D284">
        <f>IF(Skills!C13=1,60+Inputs!$B$25+Inputs!$B$29,IF(Skills!C13=2,90+Inputs!$B$26+Inputs!$B$29,IF(Skills!C13=3,120+Inputs!$B$27+Inputs!$B$29,MAX(0,(Inputs!$B$3-100)*3)+Inputs!$B$28+Inputs!$B$29)))</f>
        <v/>
      </c>
      <c r="E284">
        <f>INDEX(FactorTable!$B$2:$Y$301, MATCH(ROUND(MIN(300,MAX(1,D284)),0), FactorTable!$A$2:$A$301,0), Skills!M13+1)</f>
        <v/>
      </c>
      <c r="F284">
        <f>IF(Skills!N13=TRUE,(Skills!L13/10)*(E284/1000),Skills!L13/10)+Skills!O13</f>
        <v/>
      </c>
      <c r="G284">
        <f>Skills!G13*IF(Skills!H13&gt;0,Skills!I13/Skills!H13,1)</f>
        <v/>
      </c>
      <c r="H284">
        <f>1-(1-Skills!J13/100)^Skills!K13</f>
        <v/>
      </c>
      <c r="I284" t="inlineStr">
        <is>
          <t>1</t>
        </is>
      </c>
      <c r="J284" t="inlineStr"/>
      <c r="K284" t="inlineStr"/>
      <c r="L284" t="inlineStr"/>
      <c r="M284" t="inlineStr"/>
      <c r="N284" t="inlineStr"/>
      <c r="O284">
        <f>(1-Summary!$B$11)*T284+Summary!$B$11*V284</f>
        <v/>
      </c>
      <c r="P284">
        <f>IF(B308=0,0,O284/B308)</f>
        <v/>
      </c>
      <c r="Q284" t="n">
        <v>0</v>
      </c>
      <c r="R284" t="n">
        <v>0</v>
      </c>
      <c r="S284">
        <f>IFERROR(O284/N284,0)</f>
        <v/>
      </c>
      <c r="T284" t="n">
        <v>0</v>
      </c>
      <c r="V284" t="n">
        <v>0</v>
      </c>
    </row>
    <row r="285">
      <c r="A285">
        <f>Skills!A14</f>
        <v/>
      </c>
      <c r="B285">
        <f>Skills!B14</f>
        <v/>
      </c>
      <c r="C285">
        <f>Inputs!$B$3&gt;=110</f>
        <v/>
      </c>
      <c r="D285">
        <f>IF(Skills!C14=1,60+Inputs!$B$25+Inputs!$B$29,IF(Skills!C14=2,90+Inputs!$B$26+Inputs!$B$29,IF(Skills!C14=3,120+Inputs!$B$27+Inputs!$B$29,MAX(0,(Inputs!$B$3-100)*3)+Inputs!$B$28+Inputs!$B$29)))</f>
        <v/>
      </c>
      <c r="E285">
        <f>INDEX(FactorTable!$B$2:$Y$301, MATCH(ROUND(MIN(300,MAX(1,D285)),0), FactorTable!$A$2:$A$301,0), Skills!M14+1)</f>
        <v/>
      </c>
      <c r="F285">
        <f>IF(Skills!N14=TRUE,(Skills!L14/10)*(E285/1000),Skills!L14/10)+Skills!O14</f>
        <v/>
      </c>
      <c r="G285">
        <f>Skills!G14*IF(Skills!H14&gt;0,Skills!I14/Skills!H14,1)</f>
        <v/>
      </c>
      <c r="H285">
        <f>1-(1-Skills!J14/100)^Skills!K14</f>
        <v/>
      </c>
      <c r="I285" t="inlineStr">
        <is>
          <t>1</t>
        </is>
      </c>
      <c r="J285" t="inlineStr"/>
      <c r="K285" t="inlineStr"/>
      <c r="L285" t="inlineStr"/>
      <c r="M285" t="inlineStr"/>
      <c r="N285" t="inlineStr"/>
      <c r="O285">
        <f>(1-Summary!$B$11)*T285+Summary!$B$11*V285</f>
        <v/>
      </c>
      <c r="P285">
        <f>IF(B308=0,0,O285/B308)</f>
        <v/>
      </c>
      <c r="Q285" t="n">
        <v>0</v>
      </c>
      <c r="R285" t="n">
        <v>0</v>
      </c>
      <c r="S285">
        <f>IFERROR(O285/N285,0)</f>
        <v/>
      </c>
      <c r="T285" t="n">
        <v>0</v>
      </c>
      <c r="V285" t="n">
        <v>0</v>
      </c>
    </row>
    <row r="286">
      <c r="A286">
        <f>Skills!A15</f>
        <v/>
      </c>
      <c r="B286">
        <f>Skills!B15</f>
        <v/>
      </c>
      <c r="C286">
        <f>Inputs!$B$3&gt;=75</f>
        <v/>
      </c>
      <c r="D286">
        <f>IF(Skills!C15=1,60+Inputs!$B$25+Inputs!$B$29,IF(Skills!C15=2,90+Inputs!$B$26+Inputs!$B$29,IF(Skills!C15=3,120+Inputs!$B$27+Inputs!$B$29,MAX(0,(Inputs!$B$3-100)*3)+Inputs!$B$28+Inputs!$B$29)))</f>
        <v/>
      </c>
      <c r="E286">
        <f>INDEX(FactorTable!$B$2:$Y$301, MATCH(ROUND(MIN(300,MAX(1,D286)),0), FactorTable!$A$2:$A$301,0), Skills!M15+1)</f>
        <v/>
      </c>
      <c r="F286">
        <f>IF(Skills!N15=TRUE,(Skills!L15/10)*(E286/1000),Skills!L15/10)+Skills!O15</f>
        <v/>
      </c>
      <c r="G286">
        <f>Skills!G15*IF(Skills!H15&gt;0,Skills!I15/Skills!H15,1)</f>
        <v/>
      </c>
      <c r="H286">
        <f>1-(1-Skills!J15/100)^Skills!K15</f>
        <v/>
      </c>
      <c r="I286" t="inlineStr">
        <is>
          <t>1</t>
        </is>
      </c>
      <c r="J286" t="inlineStr"/>
      <c r="K286" t="inlineStr"/>
      <c r="L286" t="inlineStr"/>
      <c r="M286" t="inlineStr"/>
      <c r="N286" t="inlineStr"/>
      <c r="O286">
        <f>(1-Summary!$B$11)*T286+Summary!$B$11*V286</f>
        <v/>
      </c>
      <c r="P286">
        <f>IF(B308=0,0,O286/B308)</f>
        <v/>
      </c>
      <c r="Q286">
        <f>IFERROR(1/(IF(Inputs!$B$38="pvp",15,MAX(0.1,Skills!D15-IF(Skills!E15=TRUE,Inputs!$B$32,0)))*(1-IF(AND(ArtifactsInput!$M$27,Inputs!$B$4="Chapter Hunt"),CHOOSE(ArtifactsInput!$N$27+1,20,24,28,32,36,40),0)/100)),0)</f>
        <v/>
      </c>
      <c r="R286">
        <f>IF(AND(Inputs!$B$38&lt;&gt;"pvp",Inputs!$B$43&gt;0),IF(Inputs!$B$43&lt;=0,0,(INT(Inputs!$B$43/(IF(Inputs!$B$38="pvp",15,MAX(0.1,Skills!D15-IF(Skills!E15=TRUE,Inputs!$B$32,0)))*(1-IF(AND(ArtifactsInput!$M$27,Inputs!$B$4="Chapter Hunt"),CHOOSE(ArtifactsInput!$N$27+1,20,24,28,32,36,40),0)/100)))+1)),0)</f>
        <v/>
      </c>
      <c r="S286">
        <f>IFERROR(O286/N286,0)</f>
        <v/>
      </c>
      <c r="T286" t="n">
        <v>0</v>
      </c>
      <c r="V286" t="n">
        <v>0</v>
      </c>
    </row>
    <row r="287">
      <c r="A287">
        <f>Skills!A16</f>
        <v/>
      </c>
      <c r="B287">
        <f>Skills!B16</f>
        <v/>
      </c>
      <c r="C287">
        <f>Inputs!$B$3&gt;=105</f>
        <v/>
      </c>
      <c r="D287">
        <f>IF(Skills!C16=1,60+Inputs!$B$25+Inputs!$B$29,IF(Skills!C16=2,90+Inputs!$B$26+Inputs!$B$29,IF(Skills!C16=3,120+Inputs!$B$27+Inputs!$B$29,MAX(0,(Inputs!$B$3-100)*3)+Inputs!$B$28+Inputs!$B$29)))</f>
        <v/>
      </c>
      <c r="E287">
        <f>INDEX(FactorTable!$B$2:$Y$301, MATCH(ROUND(MIN(300,MAX(1,D287)),0), FactorTable!$A$2:$A$301,0), Skills!M16+1)</f>
        <v/>
      </c>
      <c r="F287">
        <f>IF(Skills!N16=TRUE,(Skills!L16/10)*(E287/1000),Skills!L16/10)+Skills!O16</f>
        <v/>
      </c>
      <c r="G287">
        <f>Skills!G16*IF(Skills!H16&gt;0,Skills!I16/Skills!H16,1)</f>
        <v/>
      </c>
      <c r="H287">
        <f>1-(1-Skills!J16/100)^Skills!K16</f>
        <v/>
      </c>
      <c r="I287" t="inlineStr">
        <is>
          <t>1</t>
        </is>
      </c>
      <c r="J287" t="inlineStr"/>
      <c r="K287" t="inlineStr"/>
      <c r="L287" t="inlineStr"/>
      <c r="M287" t="inlineStr"/>
      <c r="N287" t="inlineStr"/>
      <c r="O287">
        <f>(1-Summary!$B$11)*T287+Summary!$B$11*V287</f>
        <v/>
      </c>
      <c r="P287">
        <f>IF(B308=0,0,O287/B308)</f>
        <v/>
      </c>
      <c r="Q287">
        <f>IFERROR(1/(IF(Inputs!$B$38="pvp",15,MAX(0.1,Skills!D16-IF(Skills!E16=TRUE,Inputs!$B$32,0)))*(1-IF(AND(ArtifactsInput!$M$27,Inputs!$B$4="Chapter Hunt"),CHOOSE(ArtifactsInput!$N$27+1,20,24,28,32,36,40),0)/100)),0)</f>
        <v/>
      </c>
      <c r="R287">
        <f>IF(AND(Inputs!$B$38&lt;&gt;"pvp",Inputs!$B$43&gt;0),IF(Inputs!$B$43&lt;=0,0,(INT(Inputs!$B$43/(IF(Inputs!$B$38="pvp",15,MAX(0.1,Skills!D16-IF(Skills!E16=TRUE,Inputs!$B$32,0)))*(1-IF(AND(ArtifactsInput!$M$27,Inputs!$B$4="Chapter Hunt"),CHOOSE(ArtifactsInput!$N$27+1,20,24,28,32,36,40),0)/100)))+1)),0)</f>
        <v/>
      </c>
      <c r="S287">
        <f>IFERROR(O287/N287,0)</f>
        <v/>
      </c>
      <c r="T287" t="n">
        <v>0</v>
      </c>
      <c r="V287" t="n">
        <v>0</v>
      </c>
    </row>
    <row r="288">
      <c r="A288">
        <f>Skills!A17</f>
        <v/>
      </c>
      <c r="B288">
        <f>Skills!B17</f>
        <v/>
      </c>
      <c r="C288">
        <f>Inputs!$B$3&gt;=115</f>
        <v/>
      </c>
      <c r="D288">
        <f>IF(Skills!C17=1,60+Inputs!$B$25+Inputs!$B$29,IF(Skills!C17=2,90+Inputs!$B$26+Inputs!$B$29,IF(Skills!C17=3,120+Inputs!$B$27+Inputs!$B$29,MAX(0,(Inputs!$B$3-100)*3)+Inputs!$B$28+Inputs!$B$29)))</f>
        <v/>
      </c>
      <c r="E288">
        <f>INDEX(FactorTable!$B$2:$Y$301, MATCH(ROUND(MIN(300,MAX(1,D288)),0), FactorTable!$A$2:$A$301,0), Skills!M17+1)</f>
        <v/>
      </c>
      <c r="F288">
        <f>IF(Skills!N17=TRUE,(Skills!L17/10)*(E288/1000),Skills!L17/10)+Skills!O17</f>
        <v/>
      </c>
      <c r="G288">
        <f>Skills!G17*IF(Skills!H17&gt;0,Skills!I17/Skills!H17,1)</f>
        <v/>
      </c>
      <c r="H288">
        <f>1-(1-Skills!J17/100)^Skills!K17</f>
        <v/>
      </c>
      <c r="I288" t="inlineStr">
        <is>
          <t>1</t>
        </is>
      </c>
      <c r="J288" t="inlineStr"/>
      <c r="K288" t="inlineStr"/>
      <c r="L288" t="inlineStr"/>
      <c r="M288" t="inlineStr"/>
      <c r="N288" t="inlineStr"/>
      <c r="O288">
        <f>(1-Summary!$B$11)*T288+Summary!$B$11*V288</f>
        <v/>
      </c>
      <c r="P288">
        <f>IF(B308=0,0,O288/B308)</f>
        <v/>
      </c>
      <c r="Q288">
        <f>IFERROR(1/(IF(Inputs!$B$38="pvp",15,MAX(0.1,Skills!D17-IF(Skills!E17=TRUE,Inputs!$B$32,0)))*(1-IF(AND(ArtifactsInput!$M$27,Inputs!$B$4="Chapter Hunt"),CHOOSE(ArtifactsInput!$N$27+1,20,24,28,32,36,40),0)/100)),0)</f>
        <v/>
      </c>
      <c r="R288">
        <f>IF(AND(Inputs!$B$38&lt;&gt;"pvp",Inputs!$B$43&gt;0),IF(Inputs!$B$43&lt;=0,0,(INT(Inputs!$B$43/(IF(Inputs!$B$38="pvp",15,MAX(0.1,Skills!D17-IF(Skills!E17=TRUE,Inputs!$B$32,0)))*(1-IF(AND(ArtifactsInput!$M$27,Inputs!$B$4="Chapter Hunt"),CHOOSE(ArtifactsInput!$N$27+1,20,24,28,32,36,40),0)/100)))+1)),0)</f>
        <v/>
      </c>
      <c r="S288">
        <f>IFERROR(O288/N288,0)</f>
        <v/>
      </c>
      <c r="T288" t="n">
        <v>0</v>
      </c>
      <c r="V288" t="n">
        <v>0</v>
      </c>
    </row>
    <row r="289">
      <c r="A289">
        <f>Skills!A18</f>
        <v/>
      </c>
      <c r="B289">
        <f>Skills!B18</f>
        <v/>
      </c>
      <c r="C289">
        <f>Inputs!$B$3&gt;=74</f>
        <v/>
      </c>
      <c r="D289">
        <f>IF(Skills!C18=1,60+Inputs!$B$25+Inputs!$B$29,IF(Skills!C18=2,90+Inputs!$B$26+Inputs!$B$29,IF(Skills!C18=3,120+Inputs!$B$27+Inputs!$B$29,MAX(0,(Inputs!$B$3-100)*3)+Inputs!$B$28+Inputs!$B$29)))</f>
        <v/>
      </c>
      <c r="E289">
        <f>INDEX(FactorTable!$B$2:$Y$301, MATCH(ROUND(MIN(300,MAX(1,D289)),0), FactorTable!$A$2:$A$301,0), Skills!M18+1)</f>
        <v/>
      </c>
      <c r="F289">
        <f>IF(Skills!N18=TRUE,(Skills!L18/10)*(E289/1000),Skills!L18/10)+Skills!O18</f>
        <v/>
      </c>
      <c r="G289">
        <f>Skills!G18*IF(Skills!H18&gt;0,Skills!I18/Skills!H18,1)</f>
        <v/>
      </c>
      <c r="H289">
        <f>1-(1-Skills!J18/100)^Skills!K18</f>
        <v/>
      </c>
      <c r="I289" t="inlineStr">
        <is>
          <t>1</t>
        </is>
      </c>
      <c r="J289" t="inlineStr"/>
      <c r="K289" t="inlineStr"/>
      <c r="L289" t="inlineStr"/>
      <c r="M289" t="inlineStr"/>
      <c r="N289" t="inlineStr"/>
      <c r="O289">
        <f>(1-Summary!$B$11)*T289+Summary!$B$11*V289</f>
        <v/>
      </c>
      <c r="P289">
        <f>IF(B308=0,0,O289/B308)</f>
        <v/>
      </c>
      <c r="Q289">
        <f>IFERROR(1/(IF(Inputs!$B$38="pvp",15,MAX(0.1,Skills!D18-IF(Skills!E18=TRUE,Inputs!$B$32,0)))*(1-IF(AND(ArtifactsInput!$M$27,Inputs!$B$4="Chapter Hunt"),CHOOSE(ArtifactsInput!$N$27+1,20,24,28,32,36,40),0)/100)),0)</f>
        <v/>
      </c>
      <c r="R289">
        <f>IF(AND(Inputs!$B$38&lt;&gt;"pvp",Inputs!$B$43&gt;0),IF(Inputs!$B$43&lt;=0,0,(INT(Inputs!$B$43/(IF(Inputs!$B$38="pvp",15,MAX(0.1,Skills!D18-IF(Skills!E18=TRUE,Inputs!$B$32,0)))*(1-IF(AND(ArtifactsInput!$M$27,Inputs!$B$4="Chapter Hunt"),CHOOSE(ArtifactsInput!$N$27+1,20,24,28,32,36,40),0)/100)))+1)),0)</f>
        <v/>
      </c>
      <c r="S289">
        <f>IFERROR(O289/N289,0)</f>
        <v/>
      </c>
      <c r="T289" t="n">
        <v>0</v>
      </c>
      <c r="V289" t="n">
        <v>0</v>
      </c>
    </row>
    <row r="290">
      <c r="A290">
        <f>Skills!A19</f>
        <v/>
      </c>
      <c r="B290">
        <f>Skills!B19</f>
        <v/>
      </c>
      <c r="C290">
        <f>TRUE</f>
        <v/>
      </c>
      <c r="D290">
        <f>IF(Skills!C19=1,60+Inputs!$B$25+Inputs!$B$29,IF(Skills!C19=2,90+Inputs!$B$26+Inputs!$B$29,IF(Skills!C19=3,120+Inputs!$B$27+Inputs!$B$29,MAX(0,(Inputs!$B$3-100)*3)+Inputs!$B$28+Inputs!$B$29)))</f>
        <v/>
      </c>
      <c r="E290">
        <f>INDEX(FactorTable!$B$2:$Y$301, MATCH(ROUND(MIN(300,MAX(1,D290)),0), FactorTable!$A$2:$A$301,0), Skills!M19+1)</f>
        <v/>
      </c>
      <c r="F290">
        <f>IF(Skills!N19=TRUE,(Skills!L19/10)*(E290/1000),Skills!L19/10)+Skills!O19</f>
        <v/>
      </c>
      <c r="G290">
        <f>Skills!G19*IF(Skills!H19&gt;0,Skills!I19/Skills!H19,1)</f>
        <v/>
      </c>
      <c r="H290">
        <f>1-(1-Skills!J19/100)^Skills!K19</f>
        <v/>
      </c>
      <c r="I290" t="inlineStr">
        <is>
          <t>1</t>
        </is>
      </c>
      <c r="J290" t="inlineStr"/>
      <c r="K290" t="inlineStr"/>
      <c r="L290" t="inlineStr"/>
      <c r="M290" t="inlineStr"/>
      <c r="N290" t="inlineStr"/>
      <c r="O290">
        <f>(1-Summary!$B$11)*T290+Summary!$B$11*V290</f>
        <v/>
      </c>
      <c r="P290">
        <f>IF(B308=0,0,O290/B308)</f>
        <v/>
      </c>
      <c r="Q290">
        <f>IFERROR(1/(IF(Inputs!$B$38="pvp",15,MAX(0.1,Skills!D19-IF(Skills!E19=TRUE,Inputs!$B$32,0)))*(1-IF(AND(ArtifactsInput!$M$27,Inputs!$B$4="Chapter Hunt"),CHOOSE(ArtifactsInput!$N$27+1,20,24,28,32,36,40),0)/100)),0)</f>
        <v/>
      </c>
      <c r="R290">
        <f>IF(AND(Inputs!$B$38&lt;&gt;"pvp",Inputs!$B$43&gt;0),IF(Inputs!$B$43&lt;=0,0,(INT(Inputs!$B$43/(IF(Inputs!$B$38="pvp",15,MAX(0.1,Skills!D19-IF(Skills!E19=TRUE,Inputs!$B$32,0)))*(1-IF(AND(ArtifactsInput!$M$27,Inputs!$B$4="Chapter Hunt"),CHOOSE(ArtifactsInput!$N$27+1,20,24,28,32,36,40),0)/100)))+1)),0)</f>
        <v/>
      </c>
      <c r="S290">
        <f>IFERROR(O290/N290,0)</f>
        <v/>
      </c>
      <c r="T290" t="n">
        <v>0</v>
      </c>
      <c r="V290" t="n">
        <v>0</v>
      </c>
    </row>
    <row r="291">
      <c r="A291">
        <f>Skills!A20</f>
        <v/>
      </c>
      <c r="B291">
        <f>Skills!B20</f>
        <v/>
      </c>
      <c r="C291">
        <f>Inputs!$B$3&gt;=33</f>
        <v/>
      </c>
      <c r="D291">
        <f>IF(Skills!C20=1,60+Inputs!$B$25+Inputs!$B$29,IF(Skills!C20=2,90+Inputs!$B$26+Inputs!$B$29,IF(Skills!C20=3,120+Inputs!$B$27+Inputs!$B$29,MAX(0,(Inputs!$B$3-100)*3)+Inputs!$B$28+Inputs!$B$29)))</f>
        <v/>
      </c>
      <c r="E291">
        <f>INDEX(FactorTable!$B$2:$Y$301, MATCH(ROUND(MIN(300,MAX(1,D291)),0), FactorTable!$A$2:$A$301,0), Skills!M20+1)</f>
        <v/>
      </c>
      <c r="F291">
        <f>IF(Skills!N20=TRUE,(Skills!L20/10)*(E291/1000),Skills!L20/10)+Skills!O20</f>
        <v/>
      </c>
      <c r="G291">
        <f>Skills!G20*IF(Skills!H20&gt;0,Skills!I20/Skills!H20,1)</f>
        <v/>
      </c>
      <c r="H291">
        <f>1-(1-Skills!J20/100)^Skills!K20</f>
        <v/>
      </c>
      <c r="I291" t="inlineStr">
        <is>
          <t>1</t>
        </is>
      </c>
      <c r="J291" t="inlineStr"/>
      <c r="K291" t="inlineStr"/>
      <c r="L291" t="inlineStr"/>
      <c r="M291" t="inlineStr"/>
      <c r="N291" t="inlineStr"/>
      <c r="O291">
        <f>(1-Summary!$B$11)*T291+Summary!$B$11*V291</f>
        <v/>
      </c>
      <c r="P291">
        <f>IF(B308=0,0,O291/B308)</f>
        <v/>
      </c>
      <c r="Q291" t="n">
        <v>0</v>
      </c>
      <c r="R291" t="n">
        <v>0</v>
      </c>
      <c r="S291">
        <f>IFERROR(O291/N291,0)</f>
        <v/>
      </c>
      <c r="T291" t="n">
        <v>0</v>
      </c>
      <c r="V291" t="n">
        <v>0</v>
      </c>
    </row>
    <row r="292">
      <c r="A292">
        <f>Skills!A21</f>
        <v/>
      </c>
      <c r="B292">
        <f>Skills!B21</f>
        <v/>
      </c>
      <c r="C292">
        <f>Inputs!$B$3&gt;=38</f>
        <v/>
      </c>
      <c r="D292">
        <f>IF(Skills!C21=1,60+Inputs!$B$25+Inputs!$B$29,IF(Skills!C21=2,90+Inputs!$B$26+Inputs!$B$29,IF(Skills!C21=3,120+Inputs!$B$27+Inputs!$B$29,MAX(0,(Inputs!$B$3-100)*3)+Inputs!$B$28+Inputs!$B$29)))</f>
        <v/>
      </c>
      <c r="E292">
        <f>INDEX(FactorTable!$B$2:$Y$301, MATCH(ROUND(MIN(300,MAX(1,D292)),0), FactorTable!$A$2:$A$301,0), Skills!M21+1)</f>
        <v/>
      </c>
      <c r="F292">
        <f>IF(Skills!N21=TRUE,(Skills!L21/10)*(E292/1000),Skills!L21/10)+Skills!O21</f>
        <v/>
      </c>
      <c r="G292">
        <f>Skills!G21*IF(Skills!H21&gt;0,Skills!I21/Skills!H21,1)</f>
        <v/>
      </c>
      <c r="H292">
        <f>1-(1-Skills!J21/100)^Skills!K21</f>
        <v/>
      </c>
      <c r="I292" t="inlineStr">
        <is>
          <t>1</t>
        </is>
      </c>
      <c r="J292" t="inlineStr"/>
      <c r="K292" t="inlineStr"/>
      <c r="L292" t="inlineStr"/>
      <c r="M292" t="inlineStr"/>
      <c r="N292" t="inlineStr"/>
      <c r="O292">
        <f>(1-Summary!$B$11)*T292+Summary!$B$11*V292</f>
        <v/>
      </c>
      <c r="P292">
        <f>IF(B308=0,0,O292/B308)</f>
        <v/>
      </c>
      <c r="Q292" t="n">
        <v>0</v>
      </c>
      <c r="R292" t="n">
        <v>0</v>
      </c>
      <c r="S292">
        <f>IFERROR(O292/N292,0)</f>
        <v/>
      </c>
      <c r="T292" t="n">
        <v>0</v>
      </c>
      <c r="V292" t="n">
        <v>0</v>
      </c>
    </row>
    <row r="293">
      <c r="A293">
        <f>Skills!A22</f>
        <v/>
      </c>
      <c r="B293">
        <f>Skills!B22</f>
        <v/>
      </c>
      <c r="C293">
        <f>Inputs!$B$3&gt;=43</f>
        <v/>
      </c>
      <c r="D293">
        <f>IF(Skills!C22=1,60+Inputs!$B$25+Inputs!$B$29,IF(Skills!C22=2,90+Inputs!$B$26+Inputs!$B$29,IF(Skills!C22=3,120+Inputs!$B$27+Inputs!$B$29,MAX(0,(Inputs!$B$3-100)*3)+Inputs!$B$28+Inputs!$B$29)))</f>
        <v/>
      </c>
      <c r="E293">
        <f>INDEX(FactorTable!$B$2:$Y$301, MATCH(ROUND(MIN(300,MAX(1,D293)),0), FactorTable!$A$2:$A$301,0), Skills!M22+1)</f>
        <v/>
      </c>
      <c r="F293">
        <f>IF(Skills!N22=TRUE,(Skills!L22/10)*(E293/1000),Skills!L22/10)+Skills!O22</f>
        <v/>
      </c>
      <c r="G293">
        <f>Skills!G22*IF(Skills!H22&gt;0,Skills!I22/Skills!H22,1)</f>
        <v/>
      </c>
      <c r="H293">
        <f>1-(1-Skills!J22/100)^Skills!K22</f>
        <v/>
      </c>
      <c r="I293" t="inlineStr">
        <is>
          <t>1</t>
        </is>
      </c>
      <c r="J293" t="inlineStr"/>
      <c r="K293" t="inlineStr"/>
      <c r="L293" t="inlineStr"/>
      <c r="M293" t="inlineStr"/>
      <c r="N293" t="inlineStr"/>
      <c r="O293">
        <f>(1-Summary!$B$11)*T293+Summary!$B$11*V293</f>
        <v/>
      </c>
      <c r="P293">
        <f>IF(B308=0,0,O293/B308)</f>
        <v/>
      </c>
      <c r="Q293" t="n">
        <v>0</v>
      </c>
      <c r="R293" t="n">
        <v>0</v>
      </c>
      <c r="S293">
        <f>IFERROR(O293/N293,0)</f>
        <v/>
      </c>
      <c r="T293" t="n">
        <v>0</v>
      </c>
      <c r="V293" t="n">
        <v>0</v>
      </c>
    </row>
    <row r="294">
      <c r="A294">
        <f>Skills!A23</f>
        <v/>
      </c>
      <c r="B294">
        <f>Skills!B23</f>
        <v/>
      </c>
      <c r="C294">
        <f>Inputs!$B$3&gt;=120</f>
        <v/>
      </c>
      <c r="D294">
        <f>IF(Skills!C23=1,60+Inputs!$B$25+Inputs!$B$29,IF(Skills!C23=2,90+Inputs!$B$26+Inputs!$B$29,IF(Skills!C23=3,120+Inputs!$B$27+Inputs!$B$29,MAX(0,(Inputs!$B$3-100)*3)+Inputs!$B$28+Inputs!$B$29)))</f>
        <v/>
      </c>
      <c r="E294">
        <f>INDEX(FactorTable!$B$2:$Y$301, MATCH(ROUND(MIN(300,MAX(1,D294)),0), FactorTable!$A$2:$A$301,0), Skills!M23+1)</f>
        <v/>
      </c>
      <c r="F294">
        <f>IF(Skills!N23=TRUE,(Skills!L23/10)*(E294/1000),Skills!L23/10)+Skills!O23</f>
        <v/>
      </c>
      <c r="G294">
        <f>Skills!G23*IF(Skills!H23&gt;0,Skills!I23/Skills!H23,1)</f>
        <v/>
      </c>
      <c r="H294">
        <f>1-(1-Skills!J23/100)^Skills!K23</f>
        <v/>
      </c>
      <c r="I294" t="inlineStr">
        <is>
          <t>1</t>
        </is>
      </c>
      <c r="J294" t="inlineStr"/>
      <c r="K294" t="inlineStr"/>
      <c r="L294" t="inlineStr"/>
      <c r="M294" t="inlineStr"/>
      <c r="N294" t="inlineStr"/>
      <c r="O294">
        <f>(1-Summary!$B$11)*T294+Summary!$B$11*V294</f>
        <v/>
      </c>
      <c r="P294">
        <f>IF(B308=0,0,O294/B308)</f>
        <v/>
      </c>
      <c r="Q294" t="n">
        <v>0</v>
      </c>
      <c r="R294" t="n">
        <v>0</v>
      </c>
      <c r="S294">
        <f>IFERROR(O294/N294,0)</f>
        <v/>
      </c>
      <c r="T294" t="n">
        <v>0</v>
      </c>
      <c r="V294" t="n">
        <v>0</v>
      </c>
    </row>
    <row r="295">
      <c r="A295">
        <f>Skills!A24</f>
        <v/>
      </c>
      <c r="B295">
        <f>Skills!B24</f>
        <v/>
      </c>
      <c r="C295">
        <f>Inputs!$B$3&gt;=120</f>
        <v/>
      </c>
      <c r="D295">
        <f>IF(Skills!C24=1,60+Inputs!$B$25+Inputs!$B$29,IF(Skills!C24=2,90+Inputs!$B$26+Inputs!$B$29,IF(Skills!C24=3,120+Inputs!$B$27+Inputs!$B$29,MAX(0,(Inputs!$B$3-100)*3)+Inputs!$B$28+Inputs!$B$29)))</f>
        <v/>
      </c>
      <c r="E295">
        <f>INDEX(FactorTable!$B$2:$Y$301, MATCH(ROUND(MIN(300,MAX(1,D295)),0), FactorTable!$A$2:$A$301,0), Skills!M24+1)</f>
        <v/>
      </c>
      <c r="F295">
        <f>IF(Skills!N24=TRUE,(Skills!L24/10)*(E295/1000),Skills!L24/10)+Skills!O24</f>
        <v/>
      </c>
      <c r="G295">
        <f>Skills!G24*IF(Skills!H24&gt;0,Skills!I24/Skills!H24,1)</f>
        <v/>
      </c>
      <c r="H295">
        <f>1-(1-Skills!J24/100)^Skills!K24</f>
        <v/>
      </c>
      <c r="I295" t="inlineStr">
        <is>
          <t>1</t>
        </is>
      </c>
      <c r="J295" t="inlineStr"/>
      <c r="K295" t="inlineStr"/>
      <c r="L295" t="inlineStr"/>
      <c r="M295" t="inlineStr"/>
      <c r="N295" t="inlineStr"/>
      <c r="O295">
        <f>(1-Summary!$B$11)*T295+Summary!$B$11*V295</f>
        <v/>
      </c>
      <c r="P295">
        <f>IF(B308=0,0,O295/B308)</f>
        <v/>
      </c>
      <c r="Q295" t="n">
        <v>0</v>
      </c>
      <c r="R295" t="n">
        <v>0</v>
      </c>
      <c r="S295">
        <f>IFERROR(O295/N295,0)</f>
        <v/>
      </c>
      <c r="T295" t="n">
        <v>0</v>
      </c>
      <c r="V295" t="n">
        <v>0</v>
      </c>
    </row>
    <row r="297">
      <c r="A297" t="inlineStr">
        <is>
          <t>Attack% Bucket Multiplier</t>
        </is>
      </c>
      <c r="B297">
        <f>(1+(((C284=TRUE)*F284*MIN(1,Skills!T13*(Skills!J13/100)*B302))+((C289=TRUE)*F289*IF(AND(Inputs!$B$38&lt;&gt;"pvp",Inputs!$B$43&gt;0),(((R289-1)*(Skills!T18*(1+Inputs!$B$34/100))+MIN((Skills!T18*(1+Inputs!$B$34/100)),MAX(0,Inputs!$B$43-((R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8">
      <c r="A298" t="inlineStr">
        <is>
          <t>Global Crit Rate Bonus %</t>
        </is>
      </c>
      <c r="B298" t="n">
        <v>0</v>
      </c>
    </row>
    <row r="299">
      <c r="A299" t="inlineStr">
        <is>
          <t>Attack Speed Buff Bonus %</t>
        </is>
      </c>
      <c r="B299">
        <f>((C290=TRUE)*F290*IF(AND(Inputs!$B$38&lt;&gt;"pvp",Inputs!$B$43&gt;0),(((R290-1)*(Skills!T19*(1+Inputs!$B$34/100))+MIN((Skills!T19*(1+Inputs!$B$34/100)),MAX(0,Inputs!$B$43-((R290-1)*Skills!D19))))/Inputs!$B$43),IF(Inputs!$B$38="pvp",MIN((Skills!T19*(1+Inputs!$B$34/100)),15)/15,(Skills!T19*(1+Inputs!$B$34/100))/Skills!D19)))</f>
        <v/>
      </c>
    </row>
    <row r="300">
      <c r="A300" t="inlineStr">
        <is>
          <t>Actions Per Second</t>
        </is>
      </c>
      <c r="B300">
        <f>1+MIN(150,150*(1-(1-(Inputs!$B$11+((C291=TRUE)*(F291-Calc!F20)))/150)*(1-B299/150)))/100</f>
        <v/>
      </c>
    </row>
    <row r="301">
      <c r="A301" t="inlineStr">
        <is>
          <t>Skill + Buff Cast Rate</t>
        </is>
      </c>
      <c r="B301">
        <f>IF(AND(Inputs!$B$38&lt;&gt;"pvp",Inputs!$B$43&gt;0),SUMPRODUCT((Skills!E2:E24=TRUE)*(C273:C295=TRUE)*R273:R295*Skills!F2:F24)/Inputs!$B$43,SUMPRODUCT((Skills!E2:E24=TRUE)*(C273:C295=TRUE)*Q273:Q295*Skills!F2:F24))</f>
        <v/>
      </c>
    </row>
    <row r="302">
      <c r="A302" t="inlineStr">
        <is>
          <t>Blast Casts Per Second</t>
        </is>
      </c>
      <c r="B302">
        <f>MAX(0,B300-B301)</f>
        <v/>
      </c>
    </row>
    <row r="303">
      <c r="A303" t="inlineStr">
        <is>
          <t>Global Critical Damage Bonus % (unused)</t>
        </is>
      </c>
      <c r="B303" t="n">
        <v>0</v>
      </c>
    </row>
    <row r="304">
      <c r="A304" t="inlineStr">
        <is>
          <t>Global Final Damage Bonus % (Divine Shield + Guardian + Divine Blessing + Greater Vessel of Light)</t>
        </is>
      </c>
      <c r="B304">
        <f>((C286=TRUE)*F286*IF(AND(Inputs!$B$38&lt;&gt;"pvp",Inputs!$B$43&gt;0),(((R286-1)*(Skills!T15*(1+Inputs!$B$34/100))+MIN((Skills!T15*(1+Inputs!$B$34/100)),MAX(0,Inputs!$B$43-((R286-1)*Skills!D15))))/Inputs!$B$43),IF(Inputs!$B$38="pvp",MIN((Skills!T15*(1+Inputs!$B$34/100)),15)/15,(Skills!T15*(1+Inputs!$B$34/100))/Skills!D15)))+((C287=TRUE)*F287*IF(AND(Inputs!$B$38&lt;&gt;"pvp",Inputs!$B$43&gt;0),(((R287-1)*(Skills!T16*(1+Inputs!$B$34/100))+MIN((Skills!T16*(1+Inputs!$B$34/100)),MAX(0,Inputs!$B$43-((R287-1)*Skills!D16))))/Inputs!$B$43),IF(Inputs!$B$38="pvp",MIN((Skills!T16*(1+Inputs!$B$34/100)),15)/15,(Skills!T16*(1+Inputs!$B$34/100))/Skills!D16)))+((C288=TRUE)*F288*IF(AND(Inputs!$B$38&lt;&gt;"pvp",Inputs!$B$43&gt;0),(((R288-1)*(Skills!T17*(1+Inputs!$B$34/100))+MIN((Skills!T17*(1+Inputs!$B$34/100)),MAX(0,Inputs!$B$43-((R288-1)*Skills!D17))))/Inputs!$B$43),IF(Inputs!$B$38="pvp",MIN((Skills!T17*(1+Inputs!$B$34/100)),15)/15,(Skills!T17*(1+Inputs!$B$34/100))/Skills!D17)))+((C285=TRUE)*F285*MIN(1,Skills!T13*(Skills!J13/100)*B302))</f>
        <v/>
      </c>
    </row>
    <row r="305">
      <c r="A305" t="inlineStr">
        <is>
          <t>Buff-Casting Startup Delay (s, fixed-duration only)</t>
        </is>
      </c>
      <c r="B305">
        <f>IF(AND(Inputs!$B$38&lt;&gt;"pvp",Inputs!$B$43&gt;0),SUMPRODUCT((Skills!T2:T24&gt;0)*(Skills!E2:E24=TRUE)*(C273:C295=TRUE))/B300,0)</f>
        <v/>
      </c>
    </row>
    <row r="306">
      <c r="A306" t="inlineStr">
        <is>
          <t>Boss-Only Total DPS (this block's swept value)</t>
        </is>
      </c>
      <c r="B306">
        <f>SUM(T273:T295)</f>
        <v/>
      </c>
    </row>
    <row r="307">
      <c r="A307" t="inlineStr">
        <is>
          <t>Normal-Only Total DPS (this block's swept value)</t>
        </is>
      </c>
      <c r="B307">
        <f>SUM(V273:V295)</f>
        <v/>
      </c>
    </row>
    <row r="308">
      <c r="A308" s="6" t="inlineStr">
        <is>
          <t>TOTAL DPS</t>
        </is>
      </c>
      <c r="B308" s="6">
        <f>SUM(O273:O295)</f>
        <v/>
      </c>
    </row>
    <row r="311">
      <c r="A311" s="6" t="inlineStr">
        <is>
          <t>Stat: NORMAL_DAMAGE %</t>
        </is>
      </c>
    </row>
    <row r="312">
      <c r="A312" s="5" t="inlineStr">
        <is>
          <t>Key</t>
        </is>
      </c>
      <c r="B312" s="5" t="inlineStr">
        <is>
          <t>Name</t>
        </is>
      </c>
      <c r="C312" s="5" t="inlineStr">
        <is>
          <t>Unlocked</t>
        </is>
      </c>
      <c r="D312" s="5" t="inlineStr">
        <is>
          <t>InputLevel</t>
        </is>
      </c>
      <c r="E312" s="5" t="inlineStr">
        <is>
          <t>Factor</t>
        </is>
      </c>
      <c r="F312" s="5" t="inlineStr">
        <is>
          <t>CoefficientPercent</t>
        </is>
      </c>
      <c r="G312" s="5" t="inlineStr">
        <is>
          <t>EffectiveHits</t>
        </is>
      </c>
      <c r="H312" s="5" t="inlineStr">
        <is>
          <t>ProcProbability</t>
        </is>
      </c>
      <c r="I312" s="5" t="inlineStr">
        <is>
          <t>MapleHeroMultiplier</t>
        </is>
      </c>
      <c r="J312" s="5" t="inlineStr">
        <is>
          <t>BaseDamage</t>
        </is>
      </c>
      <c r="K312" s="5" t="inlineStr">
        <is>
          <t>BaseHitDamage</t>
        </is>
      </c>
      <c r="L312" s="5" t="inlineStr">
        <is>
          <t>NonCritAvg</t>
        </is>
      </c>
      <c r="M312" s="5" t="inlineStr">
        <is>
          <t>CritAvg</t>
        </is>
      </c>
      <c r="N312" s="5" t="inlineStr">
        <is>
          <t>ExpectedDamage(perHit)</t>
        </is>
      </c>
      <c r="O312" s="5" t="inlineStr">
        <is>
          <t>DPS</t>
        </is>
      </c>
      <c r="P312" s="5" t="inlineStr">
        <is>
          <t>% of Total</t>
        </is>
      </c>
      <c r="Q312" s="5" t="inlineStr">
        <is>
          <t>InvCooldown</t>
        </is>
      </c>
      <c r="R312" s="5" t="inlineStr">
        <is>
          <t>CastsInFight</t>
        </is>
      </c>
      <c r="S312" s="5" t="inlineStr">
        <is>
          <t>HitRate(perSec)</t>
        </is>
      </c>
      <c r="U312" t="inlineStr">
        <is>
          <t>helpers</t>
        </is>
      </c>
    </row>
    <row r="313">
      <c r="A313">
        <f>Skills!A2</f>
        <v/>
      </c>
      <c r="B313">
        <f>Skills!B2</f>
        <v/>
      </c>
      <c r="C313">
        <f>Inputs!$B$3&gt;=100</f>
        <v/>
      </c>
      <c r="D313" t="inlineStr"/>
      <c r="E313" t="inlineStr"/>
      <c r="F313">
        <f>U315+Skills!O2</f>
        <v/>
      </c>
      <c r="G313">
        <f>Skills!G2*IF(Skills!H2&gt;0,Skills!I2/Skills!H2,1)</f>
        <v/>
      </c>
      <c r="H313">
        <f>1-(1-Skills!J2/100)^Skills!K2</f>
        <v/>
      </c>
      <c r="I313" t="inlineStr">
        <is>
          <t>1</t>
        </is>
      </c>
      <c r="J313">
        <f>((Inputs!$B$6*(1+Inputs!$B$7/100))+(((Inputs!$B$12*(1+Inputs!$B$13/100))-(Inputs!$B$12*(1+Inputs!$B$13/100)))+0.25*(Inputs!$B$14-Inputs!$B$14))*(1+Inputs!$B$7/100))*(F313/100)</f>
        <v/>
      </c>
      <c r="K313">
        <f>J313*(1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313)</f>
        <v/>
      </c>
      <c r="L313">
        <f>K313*(MIN(Inputs!$B$22+((C333=TRUE)*(F333-Calc!F22)),(Inputs!$B$23+((C335=TRUE)*(F335-Calc!F24))+(IF(ArtifactsInput!$M$15,CHOOSE(ArtifactsInput!$N$15+1,25,30,35,40,45,50)/100*(Inputs!$B$11-Inputs!$B$11),0))))/100+(Inputs!$B$23+((C335=TRUE)*(F335-Calc!F24))+(IF(ArtifactsInput!$M$15,CHOOSE(ArtifactsInput!$N$15+1,25,30,35,40,45,50)/100*(Inputs!$B$11-Inputs!$B$11),0)))/100)/2</f>
        <v/>
      </c>
      <c r="M313">
        <f>L313*(1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3">
        <f>L313*(1-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313*(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3">
        <f>(1-Summary!$B$11)*T313+Summary!$B$11*V313</f>
        <v/>
      </c>
      <c r="P313">
        <f>IF(B348=0,0,O313/B348)</f>
        <v/>
      </c>
      <c r="Q313" t="n">
        <v>0</v>
      </c>
      <c r="R313" t="n">
        <v>0</v>
      </c>
      <c r="S313">
        <f>IFERROR(O313/N313,0)</f>
        <v/>
      </c>
      <c r="T313">
        <f>IF(C313,(Skills!G2*N313*B342)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313*(1-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313*(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313*(1-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313*(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3">
        <f>MAX(0,(Inputs!$B$3-100)*3)+Inputs!$B$28+Inputs!$B$29</f>
        <v/>
      </c>
      <c r="V313">
        <f>IF(C313,(Skills!G2*N313*B342)*IF(Inputs!$B$38="pvp",1,(1+((Inputs!$B$21+1)+Skills!Q2+(IF(ArtifactsInput!$M$33,CHOOSE(ArtifactsInput!$N$33+1,30,36,42,48,54,60),0))+(IF(AND(ArtifactsInput!$M$35,Inputs!$B$4&lt;&gt;"Chapter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
      <c r="A314">
        <f>Skills!A3</f>
        <v/>
      </c>
      <c r="B314">
        <f>Skills!B3</f>
        <v/>
      </c>
      <c r="C314">
        <f>Inputs!$B$3&gt;=50</f>
        <v/>
      </c>
      <c r="D314">
        <f>IF(Skills!C3=1,60+Inputs!$B$25+Inputs!$B$29,IF(Skills!C3=2,90+Inputs!$B$26+Inputs!$B$29,IF(Skills!C3=3,120+Inputs!$B$27+Inputs!$B$29,MAX(0,(Inputs!$B$3-100)*3)+Inputs!$B$28+Inputs!$B$29)))</f>
        <v/>
      </c>
      <c r="E314">
        <f>INDEX(FactorTable!$B$2:$Y$301, MATCH(ROUND(MIN(300,MAX(1,D314)),0), FactorTable!$A$2:$A$301,0), Skills!M3+1)</f>
        <v/>
      </c>
      <c r="F314">
        <f>IF(Skills!N3=TRUE,(Skills!L3/10)*(E314/1000),Skills!L3/10)+Skills!O3</f>
        <v/>
      </c>
      <c r="G314" t="inlineStr"/>
      <c r="H314" t="inlineStr"/>
      <c r="I314" t="inlineStr">
        <is>
          <t>1</t>
        </is>
      </c>
      <c r="J314" t="inlineStr"/>
      <c r="K314" t="inlineStr"/>
      <c r="L314" t="inlineStr"/>
      <c r="M314" t="inlineStr"/>
      <c r="N314" t="inlineStr"/>
      <c r="O314" t="inlineStr"/>
      <c r="P314" t="inlineStr"/>
      <c r="Q314" t="inlineStr"/>
      <c r="R314" t="inlineStr"/>
      <c r="S314" t="inlineStr"/>
      <c r="U314">
        <f>INDEX(FactorTable!$B$2:$Y$301, MATCH(ROUND(MIN(300,MAX(1,U313)),0), FactorTable!$A$2:$A$301,0), 22)</f>
        <v/>
      </c>
    </row>
    <row r="315">
      <c r="A315">
        <f>Skills!A4</f>
        <v/>
      </c>
      <c r="B315">
        <f>Skills!B4</f>
        <v/>
      </c>
      <c r="C315">
        <f>Inputs!$B$3&gt;=35</f>
        <v/>
      </c>
      <c r="D315">
        <f>IF(Skills!C4=1,60+Inputs!$B$25+Inputs!$B$29,IF(Skills!C4=2,90+Inputs!$B$26+Inputs!$B$29,IF(Skills!C4=3,120+Inputs!$B$27+Inputs!$B$29,MAX(0,(Inputs!$B$3-100)*3)+Inputs!$B$28+Inputs!$B$29)))</f>
        <v/>
      </c>
      <c r="E315">
        <f>INDEX(FactorTable!$B$2:$Y$301, MATCH(ROUND(MIN(300,MAX(1,D315)),0), FactorTable!$A$2:$A$301,0), Skills!M4+1)</f>
        <v/>
      </c>
      <c r="F315">
        <f>IF(Skills!N4=TRUE,(Skills!L4/10)*(E315/1000),Skills!L4/10)+Skills!O4</f>
        <v/>
      </c>
      <c r="G315">
        <f>Skills!G4*IF(Skills!H4&gt;0,Skills!I4/Skills!H4,1)</f>
        <v/>
      </c>
      <c r="H315">
        <f>1-(1-Skills!J4/100)^Skills!K4</f>
        <v/>
      </c>
      <c r="I315" t="inlineStr">
        <is>
          <t>1</t>
        </is>
      </c>
      <c r="J315">
        <f>((Inputs!$B$6*(1+Inputs!$B$7/100))+(((Inputs!$B$12*(1+Inputs!$B$13/100))-(Inputs!$B$12*(1+Inputs!$B$13/100)))+0.25*(Inputs!$B$14-Inputs!$B$14))*(1+Inputs!$B$7/100))*(F315/100)</f>
        <v/>
      </c>
      <c r="K315">
        <f>J315*(1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323=TRUE,F323,0)/100)*(1+(IF(Skills!A4="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f>
        <v/>
      </c>
      <c r="L315">
        <f>K315*(MIN(Inputs!$B$22+((C333=TRUE)*(F333-Calc!F22)),(Inputs!$B$23+((C335=TRUE)*(F335-Calc!F24))+(IF(ArtifactsInput!$M$15,CHOOSE(ArtifactsInput!$N$15+1,25,30,35,40,45,50)/100*(Inputs!$B$11-Inputs!$B$11),0))))/100+(Inputs!$B$23+((C335=TRUE)*(F335-Calc!F24))+(IF(ArtifactsInput!$M$15,CHOOSE(ArtifactsInput!$N$15+1,25,30,35,40,45,50)/100*(Inputs!$B$11-Inputs!$B$11),0)))/100)/2</f>
        <v/>
      </c>
      <c r="M315">
        <f>L315*(1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
        <f>L315*(1-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
        <f>(1-Summary!$B$11)*T315+Summary!$B$11*V315</f>
        <v/>
      </c>
      <c r="P315">
        <f>IF(B348=0,0,O315/B348)</f>
        <v/>
      </c>
      <c r="Q315">
        <f>IFERROR(1/(IF(Inputs!$B$38="pvp",15,MAX(0.1,Skills!D4-IF(Skills!E4=TRUE,Inputs!$B$32,0)))*(1-IF(AND(ArtifactsInput!$M$27,Inputs!$B$4="Chapter Hunt"),CHOOSE(ArtifactsInput!$N$27+1,20,24,28,32,36,40),0)/100)),0)</f>
        <v/>
      </c>
      <c r="R315">
        <f>IF(AND(Inputs!$B$38&lt;&gt;"pvp",Inputs!$B$43&gt;0),IF(MAX(0,Inputs!$B$43-B345)&lt;=0,0,(INT(MAX(0,Inputs!$B$43-B345)/(IF(Inputs!$B$38="pvp",15,MAX(0.1,Skills!D4-IF(Skills!E4=TRUE,Inputs!$B$32,0)))*(1-IF(AND(ArtifactsInput!$M$27,Inputs!$B$4="Chapter Hunt"),CHOOSE(ArtifactsInput!$N$27+1,20,24,28,32,36,40),0)/100)))+1)),0)</f>
        <v/>
      </c>
      <c r="S315">
        <f>IFERROR(O315/N315,0)</f>
        <v/>
      </c>
      <c r="T315">
        <f>IF(C315,(H315*N315*IF(AND(Inputs!$B$38&lt;&gt;"pvp",Inputs!$B$43&gt;0),((Skills!G4*((R315-1)*IF(Skills!H4&gt;0,Skills!I4/Skills!H4,1)+IF(Skills!H4&gt;0,MIN(Skills!I4,MAX(0,MAX(0,Inputs!$B$43-B345)-((R315-1)*(IF(Inputs!$B$38="pvp",15,MAX(0.1,Skills!D4-IF(Skills!E4=TRUE,Inputs!$B$32,0)))*(1-IF(AND(ArtifactsInput!$M$27,Inputs!$B$4="Chapter Hunt"),CHOOSE(ArtifactsInput!$N$27+1,20,24,28,32,36,40),0)/100)))))/Skills!H4,1)))/Inputs!$B$43),G315*Q315)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5">
        <f>290*U314/1000</f>
        <v/>
      </c>
      <c r="V315">
        <f>IF(C315,(H315*N315*IF(AND(Inputs!$B$38&lt;&gt;"pvp",Inputs!$B$43&gt;0),((Skills!G4*((R315-1)*IF(Skills!H4&gt;0,Skills!I4/Skills!H4,1)+IF(Skills!H4&gt;0,MIN(Skills!I4,MAX(0,MAX(0,Inputs!$B$43-B345)-((R315-1)*(IF(Inputs!$B$38="pvp",15,MAX(0.1,Skills!D4-IF(Skills!E4=TRUE,Inputs!$B$32,0)))*(1-IF(AND(ArtifactsInput!$M$27,Inputs!$B$4="Chapter Hunt"),CHOOSE(ArtifactsInput!$N$27+1,20,24,28,32,36,40),0)/100)))))/Skills!H4,1)))/Inputs!$B$43),G315*Q315))*IF(Inputs!$B$38="pvp",1,(1+((Inputs!$B$21+1)+Skills!Q4+(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6">
      <c r="A316">
        <f>Skills!A5</f>
        <v/>
      </c>
      <c r="B316">
        <f>Skills!B5</f>
        <v/>
      </c>
      <c r="C316">
        <f>Inputs!$B$3&gt;=66</f>
        <v/>
      </c>
      <c r="D316">
        <f>IF(Skills!C5=1,60+Inputs!$B$25+Inputs!$B$29,IF(Skills!C5=2,90+Inputs!$B$26+Inputs!$B$29,IF(Skills!C5=3,120+Inputs!$B$27+Inputs!$B$29,MAX(0,(Inputs!$B$3-100)*3)+Inputs!$B$28+Inputs!$B$29)))</f>
        <v/>
      </c>
      <c r="E316">
        <f>INDEX(FactorTable!$B$2:$Y$301, MATCH(ROUND(MIN(300,MAX(1,D316)),0), FactorTable!$A$2:$A$301,0), Skills!M5+1)</f>
        <v/>
      </c>
      <c r="F316">
        <f>IF(Skills!N5=TRUE,(Skills!L5/10)*(E316/1000),Skills!L5/10)+Skills!O5</f>
        <v/>
      </c>
      <c r="G316">
        <f>Skills!G5*IF(Skills!H5&gt;0,Skills!I5/Skills!H5,1)</f>
        <v/>
      </c>
      <c r="H316">
        <f>1-(1-Skills!J5/100)^Skills!K5</f>
        <v/>
      </c>
      <c r="I316" t="inlineStr">
        <is>
          <t>1</t>
        </is>
      </c>
      <c r="J316">
        <f>((Inputs!$B$6*(1+Inputs!$B$7/100))+(((Inputs!$B$12*(1+Inputs!$B$13/100))-(Inputs!$B$12*(1+Inputs!$B$13/100)))+0.25*(Inputs!$B$14-Inputs!$B$14))*(1+Inputs!$B$7/100))*(F316/100)</f>
        <v/>
      </c>
      <c r="K316">
        <f>J316*(1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323=TRUE,F323,0)/100)*(1+(IF(Skills!A5="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316)</f>
        <v/>
      </c>
      <c r="L316">
        <f>K316*(MIN(Inputs!$B$22+((C333=TRUE)*(F333-Calc!F22)),(Inputs!$B$23+((C335=TRUE)*(F335-Calc!F24))+(IF(ArtifactsInput!$M$15,CHOOSE(ArtifactsInput!$N$15+1,25,30,35,40,45,50)/100*(Inputs!$B$11-Inputs!$B$11),0))))/100+(Inputs!$B$23+((C335=TRUE)*(F335-Calc!F24))+(IF(ArtifactsInput!$M$15,CHOOSE(ArtifactsInput!$N$15+1,25,30,35,40,45,50)/100*(Inputs!$B$11-Inputs!$B$11),0)))/100)/2</f>
        <v/>
      </c>
      <c r="M316">
        <f>L316*(1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6">
        <f>L316*(1-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316*(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6">
        <f>(1-Summary!$B$11)*T316+Summary!$B$11*V316</f>
        <v/>
      </c>
      <c r="P316">
        <f>IF(B348=0,0,O316/B348)</f>
        <v/>
      </c>
      <c r="Q316">
        <f>IFERROR(1/(IF(Inputs!$B$38="pvp",15,MAX(0.1,Skills!D5-IF(Skills!E5=TRUE,Inputs!$B$32,0)))*(1-IF(AND(ArtifactsInput!$M$27,Inputs!$B$4="Chapter Hunt"),CHOOSE(ArtifactsInput!$N$27+1,20,24,28,32,36,40),0)/100)),0)</f>
        <v/>
      </c>
      <c r="R316">
        <f>IF(AND(Inputs!$B$38&lt;&gt;"pvp",Inputs!$B$43&gt;0),IF(MAX(0,Inputs!$B$43-B345)&lt;=0,0,(INT(MAX(0,Inputs!$B$43-B345)/(IF(Inputs!$B$38="pvp",15,MAX(0.1,Skills!D5-IF(Skills!E5=TRUE,Inputs!$B$32,0)))*(1-IF(AND(ArtifactsInput!$M$27,Inputs!$B$4="Chapter Hunt"),CHOOSE(ArtifactsInput!$N$27+1,20,24,28,32,36,40),0)/100)))+1)),0)</f>
        <v/>
      </c>
      <c r="S316">
        <f>IFERROR(O316/N316,0)</f>
        <v/>
      </c>
      <c r="T316">
        <f>IF(C316,(H316*N316*IF(AND(Inputs!$B$38&lt;&gt;"pvp",Inputs!$B$43&gt;0),((Skills!G5*((R316-1)*IF(Skills!H5&gt;0,Skills!I5/Skills!H5,1)+IF(Skills!H5&gt;0,MIN(Skills!I5,MAX(0,MAX(0,Inputs!$B$43-B345)-((R316-1)*(IF(Inputs!$B$38="pvp",15,MAX(0.1,Skills!D5-IF(Skills!E5=TRUE,Inputs!$B$32,0)))*(1-IF(AND(ArtifactsInput!$M$27,Inputs!$B$4="Chapter Hunt"),CHOOSE(ArtifactsInput!$N$27+1,20,24,28,32,36,40),0)/100)))))/Skills!H5,1)))/Inputs!$B$43),G316*Q316)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316*(1-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316*(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316*(1-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316*(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6">
        <f>IF(C316,(H316*N316*IF(AND(Inputs!$B$38&lt;&gt;"pvp",Inputs!$B$43&gt;0),((Skills!G5*((R316-1)*IF(Skills!H5&gt;0,Skills!I5/Skills!H5,1)+IF(Skills!H5&gt;0,MIN(Skills!I5,MAX(0,MAX(0,Inputs!$B$43-B345)-((R316-1)*(IF(Inputs!$B$38="pvp",15,MAX(0.1,Skills!D5-IF(Skills!E5=TRUE,Inputs!$B$32,0)))*(1-IF(AND(ArtifactsInput!$M$27,Inputs!$B$4="Chapter Hunt"),CHOOSE(ArtifactsInput!$N$27+1,20,24,28,32,36,40),0)/100)))))/Skills!H5,1)))/Inputs!$B$43),G316*Q316))*IF(Inputs!$B$38="pvp",1,(1+((Inputs!$B$21+1)+Skills!Q5+(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7">
      <c r="A317">
        <f>Skills!A6</f>
        <v/>
      </c>
      <c r="B317">
        <f>Skills!B6</f>
        <v/>
      </c>
      <c r="C317">
        <f>Inputs!$B$3&gt;=103</f>
        <v/>
      </c>
      <c r="D317">
        <f>IF(Skills!C6=1,60+Inputs!$B$25+Inputs!$B$29,IF(Skills!C6=2,90+Inputs!$B$26+Inputs!$B$29,IF(Skills!C6=3,120+Inputs!$B$27+Inputs!$B$29,MAX(0,(Inputs!$B$3-100)*3)+Inputs!$B$28+Inputs!$B$29)))</f>
        <v/>
      </c>
      <c r="E317">
        <f>INDEX(FactorTable!$B$2:$Y$301, MATCH(ROUND(MIN(300,MAX(1,D317)),0), FactorTable!$A$2:$A$301,0), Skills!M6+1)</f>
        <v/>
      </c>
      <c r="F317">
        <f>IF(Skills!N6=TRUE,(Skills!L6/10)*(E317/1000),Skills!L6/10)+Skills!O6</f>
        <v/>
      </c>
      <c r="G317">
        <f>Skills!G6*IF(Skills!H6&gt;0,Skills!I6/Skills!H6,1)</f>
        <v/>
      </c>
      <c r="H317">
        <f>1-(1-Skills!J6/100)^Skills!K6</f>
        <v/>
      </c>
      <c r="I317" t="inlineStr">
        <is>
          <t>1</t>
        </is>
      </c>
      <c r="J317">
        <f>((Inputs!$B$6*(1+Inputs!$B$7/100))+(((Inputs!$B$12*(1+Inputs!$B$13/100))-(Inputs!$B$12*(1+Inputs!$B$13/100)))+0.25*(Inputs!$B$14-Inputs!$B$14))*(1+Inputs!$B$7/100))*(F317/100)</f>
        <v/>
      </c>
      <c r="K317">
        <f>J317*(1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317)</f>
        <v/>
      </c>
      <c r="L317">
        <f>K317*(MIN(Inputs!$B$22+((C333=TRUE)*(F333-Calc!F22)),(Inputs!$B$23+((C335=TRUE)*(F335-Calc!F24))+(IF(ArtifactsInput!$M$15,CHOOSE(ArtifactsInput!$N$15+1,25,30,35,40,45,50)/100*(Inputs!$B$11-Inputs!$B$11),0))))/100+(Inputs!$B$23+((C335=TRUE)*(F335-Calc!F24))+(IF(ArtifactsInput!$M$15,CHOOSE(ArtifactsInput!$N$15+1,25,30,35,40,45,50)/100*(Inputs!$B$11-Inputs!$B$11),0)))/100)/2</f>
        <v/>
      </c>
      <c r="M317">
        <f>L317*(1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7">
        <f>L317*(1-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317*(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7">
        <f>(1-Summary!$B$11)*T317+Summary!$B$11*V317</f>
        <v/>
      </c>
      <c r="P317">
        <f>IF(B348=0,0,O317/B348)</f>
        <v/>
      </c>
      <c r="Q317">
        <f>IFERROR(1/(IF(Inputs!$B$38="pvp",15,MAX(0.1,Skills!D6-IF(Skills!E6=TRUE,Inputs!$B$32,0)))*(1-IF(AND(ArtifactsInput!$M$27,Inputs!$B$4="Chapter Hunt"),CHOOSE(ArtifactsInput!$N$27+1,20,24,28,32,36,40),0)/100)),0)</f>
        <v/>
      </c>
      <c r="R317">
        <f>IF(AND(Inputs!$B$38&lt;&gt;"pvp",Inputs!$B$43&gt;0),IF(MAX(0,Inputs!$B$43-B345)&lt;=0,0,(INT(MAX(0,Inputs!$B$43-B345)/(IF(Inputs!$B$38="pvp",15,MAX(0.1,Skills!D6-IF(Skills!E6=TRUE,Inputs!$B$32,0)))*(1-IF(AND(ArtifactsInput!$M$27,Inputs!$B$4="Chapter Hunt"),CHOOSE(ArtifactsInput!$N$27+1,20,24,28,32,36,40),0)/100)))+1)),0)</f>
        <v/>
      </c>
      <c r="S317">
        <f>IFERROR(O317/N317,0)</f>
        <v/>
      </c>
      <c r="T317">
        <f>IF(C317,(H317*N317*IF(AND(Inputs!$B$38&lt;&gt;"pvp",Inputs!$B$43&gt;0),((Skills!G6*((R317-1)*IF(Skills!H6&gt;0,Skills!I6/Skills!H6,1)+IF(Skills!H6&gt;0,MIN(Skills!I6,MAX(0,MAX(0,Inputs!$B$43-B345)-((R317-1)*(IF(Inputs!$B$38="pvp",15,MAX(0.1,Skills!D6-IF(Skills!E6=TRUE,Inputs!$B$32,0)))*(1-IF(AND(ArtifactsInput!$M$27,Inputs!$B$4="Chapter Hunt"),CHOOSE(ArtifactsInput!$N$27+1,20,24,28,32,36,40),0)/100)))))/Skills!H6,1)))/Inputs!$B$43),G317*Q317)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317*(1-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317*(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317*(1-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317*(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7">
        <f>IF(C317,(H317*N317*IF(AND(Inputs!$B$38&lt;&gt;"pvp",Inputs!$B$43&gt;0),((Skills!G6*((R317-1)*IF(Skills!H6&gt;0,Skills!I6/Skills!H6,1)+IF(Skills!H6&gt;0,MIN(Skills!I6,MAX(0,MAX(0,Inputs!$B$43-B345)-((R317-1)*(IF(Inputs!$B$38="pvp",15,MAX(0.1,Skills!D6-IF(Skills!E6=TRUE,Inputs!$B$32,0)))*(1-IF(AND(ArtifactsInput!$M$27,Inputs!$B$4="Chapter Hunt"),CHOOSE(ArtifactsInput!$N$27+1,20,24,28,32,36,40),0)/100)))))/Skills!H6,1)))/Inputs!$B$43),G317*Q317))*IF(Inputs!$B$38="pvp",1,(1+((Inputs!$B$21+1)+Skills!Q6+(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8">
      <c r="A318">
        <f>Skills!A7</f>
        <v/>
      </c>
      <c r="B318">
        <f>Skills!B7</f>
        <v/>
      </c>
      <c r="C318">
        <f>Inputs!$B$3&gt;=107</f>
        <v/>
      </c>
      <c r="D318">
        <f>IF(Skills!C7=1,60+Inputs!$B$25+Inputs!$B$29,IF(Skills!C7=2,90+Inputs!$B$26+Inputs!$B$29,IF(Skills!C7=3,120+Inputs!$B$27+Inputs!$B$29,MAX(0,(Inputs!$B$3-100)*3)+Inputs!$B$28+Inputs!$B$29)))</f>
        <v/>
      </c>
      <c r="E318">
        <f>INDEX(FactorTable!$B$2:$Y$301, MATCH(ROUND(MIN(300,MAX(1,D318)),0), FactorTable!$A$2:$A$301,0), Skills!M7+1)</f>
        <v/>
      </c>
      <c r="F318">
        <f>IF(Skills!N7=TRUE,(Skills!L7/10)*(E318/1000),Skills!L7/10)+Skills!O7</f>
        <v/>
      </c>
      <c r="G318">
        <f>Skills!G7*IF(Skills!H7&gt;0,Skills!I7/Skills!H7,1)</f>
        <v/>
      </c>
      <c r="H318">
        <f>1-(1-Skills!J7/100)^Skills!K7</f>
        <v/>
      </c>
      <c r="I318" t="inlineStr">
        <is>
          <t>1</t>
        </is>
      </c>
      <c r="J318">
        <f>((Inputs!$B$6*(1+Inputs!$B$7/100))+(((Inputs!$B$12*(1+Inputs!$B$13/100))-(Inputs!$B$12*(1+Inputs!$B$13/100)))+0.25*(Inputs!$B$14-Inputs!$B$14))*(1+Inputs!$B$7/100))*(F318/100)</f>
        <v/>
      </c>
      <c r="K318">
        <f>J318*(1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f>
        <v/>
      </c>
      <c r="L318">
        <f>K318*(MIN(Inputs!$B$22+((C333=TRUE)*(F333-Calc!F22)),(Inputs!$B$23+((C335=TRUE)*(F335-Calc!F24))+(IF(ArtifactsInput!$M$15,CHOOSE(ArtifactsInput!$N$15+1,25,30,35,40,45,50)/100*(Inputs!$B$11-Inputs!$B$11),0))))/100+(Inputs!$B$23+((C335=TRUE)*(F335-Calc!F24))+(IF(ArtifactsInput!$M$15,CHOOSE(ArtifactsInput!$N$15+1,25,30,35,40,45,50)/100*(Inputs!$B$11-Inputs!$B$11),0)))/100)/2</f>
        <v/>
      </c>
      <c r="M318">
        <f>L318*(1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
        <f>L318*(1-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
        <f>(1-Summary!$B$11)*T318+Summary!$B$11*V318</f>
        <v/>
      </c>
      <c r="P318">
        <f>IF(B348=0,0,O318/B348)</f>
        <v/>
      </c>
      <c r="Q318">
        <f>IFERROR(1/(IF(Inputs!$B$38="pvp",15,MAX(0.1,Skills!D7-IF(Skills!E7=TRUE,Inputs!$B$32,0)))*(1-IF(AND(ArtifactsInput!$M$27,Inputs!$B$4="Chapter Hunt"),CHOOSE(ArtifactsInput!$N$27+1,20,24,28,32,36,40),0)/100)),0)</f>
        <v/>
      </c>
      <c r="R318">
        <f>IF(AND(Inputs!$B$38&lt;&gt;"pvp",Inputs!$B$43&gt;0),IF(MAX(0,Inputs!$B$43-B345)&lt;=0,0,(INT(MAX(0,Inputs!$B$43-B345)/(IF(Inputs!$B$38="pvp",15,MAX(0.1,Skills!D7-IF(Skills!E7=TRUE,Inputs!$B$32,0)))*(1-IF(AND(ArtifactsInput!$M$27,Inputs!$B$4="Chapter Hunt"),CHOOSE(ArtifactsInput!$N$27+1,20,24,28,32,36,40),0)/100)))+1)),0)</f>
        <v/>
      </c>
      <c r="S318">
        <f>IFERROR(O318/N318,0)</f>
        <v/>
      </c>
      <c r="T318">
        <f>IF(C318,(H318*N318*IF(AND(Inputs!$B$38&lt;&gt;"pvp",Inputs!$B$43&gt;0),((Skills!G7*((R318-1)*IF(Skills!H7&gt;0,Skills!I7/Skills!H7,1)+IF(Skills!H7&gt;0,MIN(Skills!I7,MAX(0,MAX(0,Inputs!$B$43-B345)-((R318-1)*(IF(Inputs!$B$38="pvp",15,MAX(0.1,Skills!D7-IF(Skills!E7=TRUE,Inputs!$B$32,0)))*(1-IF(AND(ArtifactsInput!$M$27,Inputs!$B$4="Chapter Hunt"),CHOOSE(ArtifactsInput!$N$27+1,20,24,28,32,36,40),0)/100)))))/Skills!H7,1)))/Inputs!$B$43),G318*Q318)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318*(1-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8">
        <f>IF(C318,(H318*N318*IF(AND(Inputs!$B$38&lt;&gt;"pvp",Inputs!$B$43&gt;0),((Skills!G7*((R318-1)*IF(Skills!H7&gt;0,Skills!I7/Skills!H7,1)+IF(Skills!H7&gt;0,MIN(Skills!I7,MAX(0,MAX(0,Inputs!$B$43-B345)-((R318-1)*(IF(Inputs!$B$38="pvp",15,MAX(0.1,Skills!D7-IF(Skills!E7=TRUE,Inputs!$B$32,0)))*(1-IF(AND(ArtifactsInput!$M$27,Inputs!$B$4="Chapter Hunt"),CHOOSE(ArtifactsInput!$N$27+1,20,24,28,32,36,40),0)/100)))))/Skills!H7,1)))/Inputs!$B$43),G318*Q318))*IF(Inputs!$B$38="pvp",1,(1+((Inputs!$B$21+1)+Skills!Q7+(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
      <c r="A319">
        <f>Skills!A8</f>
        <v/>
      </c>
      <c r="B319">
        <f>Skills!B8</f>
        <v/>
      </c>
      <c r="C319">
        <f>Inputs!$B$3&gt;=107</f>
        <v/>
      </c>
      <c r="D319">
        <f>IF(Skills!C8=1,60+Inputs!$B$25+Inputs!$B$29,IF(Skills!C8=2,90+Inputs!$B$26+Inputs!$B$29,IF(Skills!C8=3,120+Inputs!$B$27+Inputs!$B$29,MAX(0,(Inputs!$B$3-100)*3)+Inputs!$B$28+Inputs!$B$29)))</f>
        <v/>
      </c>
      <c r="E319">
        <f>INDEX(FactorTable!$B$2:$Y$301, MATCH(ROUND(MIN(300,MAX(1,D319)),0), FactorTable!$A$2:$A$301,0), Skills!M8+1)</f>
        <v/>
      </c>
      <c r="F319">
        <f>IF(Skills!N8=TRUE,(Skills!L8/10)*(E319/1000),Skills!L8/10)+Skills!O8</f>
        <v/>
      </c>
      <c r="G319">
        <f>Skills!G8*IF(Skills!H8&gt;0,Skills!I8/Skills!H8,1)</f>
        <v/>
      </c>
      <c r="H319">
        <f>1-(1-Skills!J8/100)^Skills!K8</f>
        <v/>
      </c>
      <c r="I319" t="inlineStr">
        <is>
          <t>1</t>
        </is>
      </c>
      <c r="J319">
        <f>((Inputs!$B$6*(1+Inputs!$B$7/100))+(((Inputs!$B$12*(1+Inputs!$B$13/100))-(Inputs!$B$12*(1+Inputs!$B$13/100)))+0.25*(Inputs!$B$14-Inputs!$B$14))*(1+Inputs!$B$7/100))*(F319/100)</f>
        <v/>
      </c>
      <c r="K319">
        <f>J319*(1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f>
        <v/>
      </c>
      <c r="L319">
        <f>K319*(MIN(Inputs!$B$22+((C333=TRUE)*(F333-Calc!F22)),(Inputs!$B$23+((C335=TRUE)*(F335-Calc!F24))+(IF(ArtifactsInput!$M$15,CHOOSE(ArtifactsInput!$N$15+1,25,30,35,40,45,50)/100*(Inputs!$B$11-Inputs!$B$11),0))))/100+(Inputs!$B$23+((C335=TRUE)*(F335-Calc!F24))+(IF(ArtifactsInput!$M$15,CHOOSE(ArtifactsInput!$N$15+1,25,30,35,40,45,50)/100*(Inputs!$B$11-Inputs!$B$11),0)))/100)/2</f>
        <v/>
      </c>
      <c r="M319">
        <f>L319*(1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
        <f>L319*(1-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
        <f>(1-Summary!$B$11)*T319+Summary!$B$11*V319</f>
        <v/>
      </c>
      <c r="P319">
        <f>IF(B348=0,0,O319/B348)</f>
        <v/>
      </c>
      <c r="Q319">
        <f>IFERROR(1/(IF(Inputs!$B$38="pvp",15,MAX(0.1,Skills!D8-IF(Skills!E8=TRUE,Inputs!$B$32,0)))*(1-IF(AND(ArtifactsInput!$M$27,Inputs!$B$4="Chapter Hunt"),CHOOSE(ArtifactsInput!$N$27+1,20,24,28,32,36,40),0)/100)),0)</f>
        <v/>
      </c>
      <c r="R319">
        <f>IF(AND(Inputs!$B$38&lt;&gt;"pvp",Inputs!$B$43&gt;0),IF(MAX(0,Inputs!$B$43-B345)&lt;=0,0,(INT(MAX(0,Inputs!$B$43-B345)/(IF(Inputs!$B$38="pvp",15,MAX(0.1,Skills!D8-IF(Skills!E8=TRUE,Inputs!$B$32,0)))*(1-IF(AND(ArtifactsInput!$M$27,Inputs!$B$4="Chapter Hunt"),CHOOSE(ArtifactsInput!$N$27+1,20,24,28,32,36,40),0)/100)))+1)),0)</f>
        <v/>
      </c>
      <c r="S319">
        <f>IFERROR(O319/N319,0)</f>
        <v/>
      </c>
      <c r="T319">
        <f>IF(C319,(H319*N319*IF(AND(Inputs!$B$38&lt;&gt;"pvp",Inputs!$B$43&gt;0),((Skills!G8*((R319-1)*IF(Skills!H8&gt;0,Skills!I8/Skills!H8,1)+IF(Skills!H8&gt;0,MIN(Skills!I8,MAX(0,MAX(0,Inputs!$B$43-B345)-((R319-1)*(IF(Inputs!$B$38="pvp",15,MAX(0.1,Skills!D8-IF(Skills!E8=TRUE,Inputs!$B$32,0)))*(1-IF(AND(ArtifactsInput!$M$27,Inputs!$B$4="Chapter Hunt"),CHOOSE(ArtifactsInput!$N$27+1,20,24,28,32,36,40),0)/100)))))/Skills!H8,1)))/Inputs!$B$43),G319*Q319)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
        <f>IF(C319,(H319*N319*IF(AND(Inputs!$B$38&lt;&gt;"pvp",Inputs!$B$43&gt;0),((Skills!G8*((R319-1)*IF(Skills!H8&gt;0,Skills!I8/Skills!H8,1)+IF(Skills!H8&gt;0,MIN(Skills!I8,MAX(0,MAX(0,Inputs!$B$43-B345)-((R319-1)*(IF(Inputs!$B$38="pvp",15,MAX(0.1,Skills!D8-IF(Skills!E8=TRUE,Inputs!$B$32,0)))*(1-IF(AND(ArtifactsInput!$M$27,Inputs!$B$4="Chapter Hunt"),CHOOSE(ArtifactsInput!$N$27+1,20,24,28,32,36,40),0)/100)))))/Skills!H8,1)))/Inputs!$B$43),G319*Q319))*IF(Inputs!$B$38="pvp",1,(1+((Inputs!$B$21+1)+Skills!Q8+(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
      <c r="A320">
        <f>Skills!A9</f>
        <v/>
      </c>
      <c r="B320">
        <f>Skills!B9</f>
        <v/>
      </c>
      <c r="C320">
        <f>Inputs!$B$3&gt;=125</f>
        <v/>
      </c>
      <c r="D320">
        <f>IF(Skills!C9=1,60+Inputs!$B$25+Inputs!$B$29,IF(Skills!C9=2,90+Inputs!$B$26+Inputs!$B$29,IF(Skills!C9=3,120+Inputs!$B$27+Inputs!$B$29,MAX(0,(Inputs!$B$3-100)*3)+Inputs!$B$28+Inputs!$B$29)))</f>
        <v/>
      </c>
      <c r="E320">
        <f>INDEX(FactorTable!$B$2:$Y$301, MATCH(ROUND(MIN(300,MAX(1,D320)),0), FactorTable!$A$2:$A$301,0), Skills!M9+1)</f>
        <v/>
      </c>
      <c r="F320">
        <f>IF(Skills!N9=TRUE,(Skills!L9/10)*(E320/1000),Skills!L9/10)+Skills!O9</f>
        <v/>
      </c>
      <c r="G320">
        <f>Skills!G9*IF(Skills!H9&gt;0,Skills!I9/Skills!H9,1)</f>
        <v/>
      </c>
      <c r="H320">
        <f>1-(1-Skills!J9/100)^Skills!K9</f>
        <v/>
      </c>
      <c r="I320" t="inlineStr">
        <is>
          <t>1</t>
        </is>
      </c>
      <c r="J320">
        <f>((Inputs!$B$6*(1+Inputs!$B$7/100))+(((Inputs!$B$12*(1+Inputs!$B$13/100))-(Inputs!$B$12*(1+Inputs!$B$13/100)))+0.25*(Inputs!$B$14-Inputs!$B$14))*(1+Inputs!$B$7/100))*(F320/100)</f>
        <v/>
      </c>
      <c r="K320">
        <f>J320*(1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320)</f>
        <v/>
      </c>
      <c r="L320">
        <f>K320*(MIN(Inputs!$B$22+((C333=TRUE)*(F333-Calc!F22)),(Inputs!$B$23+((C335=TRUE)*(F335-Calc!F24))+(IF(ArtifactsInput!$M$15,CHOOSE(ArtifactsInput!$N$15+1,25,30,35,40,45,50)/100*(Inputs!$B$11-Inputs!$B$11),0))))/100+(Inputs!$B$23+((C335=TRUE)*(F335-Calc!F24))+(IF(ArtifactsInput!$M$15,CHOOSE(ArtifactsInput!$N$15+1,25,30,35,40,45,50)/100*(Inputs!$B$11-Inputs!$B$11),0)))/100)/2</f>
        <v/>
      </c>
      <c r="M320">
        <f>L320*(1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0">
        <f>L320*(1-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320*(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0">
        <f>(1-Summary!$B$11)*T320+Summary!$B$11*V320</f>
        <v/>
      </c>
      <c r="P320">
        <f>IF(B348=0,0,O320/B348)</f>
        <v/>
      </c>
      <c r="Q320">
        <f>IFERROR(1/(IF(Inputs!$B$38="pvp",15,MAX(0.1,Skills!D9-IF(Skills!E9=TRUE,Inputs!$B$32,0)))*(1-IF(AND(ArtifactsInput!$M$27,Inputs!$B$4="Chapter Hunt"),CHOOSE(ArtifactsInput!$N$27+1,20,24,28,32,36,40),0)/100)),0)</f>
        <v/>
      </c>
      <c r="R320">
        <f>IF(AND(Inputs!$B$38&lt;&gt;"pvp",Inputs!$B$43&gt;0),IF(MAX(0,Inputs!$B$43-B345)&lt;=0,0,(INT(MAX(0,Inputs!$B$43-B345)/(IF(Inputs!$B$38="pvp",15,MAX(0.1,Skills!D9-IF(Skills!E9=TRUE,Inputs!$B$32,0)))*(1-IF(AND(ArtifactsInput!$M$27,Inputs!$B$4="Chapter Hunt"),CHOOSE(ArtifactsInput!$N$27+1,20,24,28,32,36,40),0)/100)))+1)),0)</f>
        <v/>
      </c>
      <c r="S320">
        <f>IFERROR(O320/N320,0)</f>
        <v/>
      </c>
      <c r="T320">
        <f>IF(C320,(H320*N320*IF(AND(Inputs!$B$38&lt;&gt;"pvp",Inputs!$B$43&gt;0),((Skills!G9*((R320-1)*IF(Skills!H9&gt;0,Skills!I9/Skills!H9,1)+IF(Skills!H9&gt;0,MIN(Skills!I9,MAX(0,MAX(0,Inputs!$B$43-B345)-((R320-1)*(IF(Inputs!$B$38="pvp",15,MAX(0.1,Skills!D9-IF(Skills!E9=TRUE,Inputs!$B$32,0)))*(1-IF(AND(ArtifactsInput!$M$27,Inputs!$B$4="Chapter Hunt"),CHOOSE(ArtifactsInput!$N$27+1,20,24,28,32,36,40),0)/100)))))/Skills!H9,1)))/Inputs!$B$43),G320*Q320)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320*(1-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320*(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320*(1-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320*(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0">
        <f>IF(C320,(H320*N320*IF(AND(Inputs!$B$38&lt;&gt;"pvp",Inputs!$B$43&gt;0),((Skills!G9*((R320-1)*IF(Skills!H9&gt;0,Skills!I9/Skills!H9,1)+IF(Skills!H9&gt;0,MIN(Skills!I9,MAX(0,MAX(0,Inputs!$B$43-B345)-((R320-1)*(IF(Inputs!$B$38="pvp",15,MAX(0.1,Skills!D9-IF(Skills!E9=TRUE,Inputs!$B$32,0)))*(1-IF(AND(ArtifactsInput!$M$27,Inputs!$B$4="Chapter Hunt"),CHOOSE(ArtifactsInput!$N$27+1,20,24,28,32,36,40),0)/100)))))/Skills!H9,1)))/Inputs!$B$43),G320*Q320))*IF(Inputs!$B$38="pvp",1,(1+((Inputs!$B$21+1)+Skills!Q9+(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1">
      <c r="A321">
        <f>Skills!A10</f>
        <v/>
      </c>
      <c r="B321">
        <f>Skills!B10</f>
        <v/>
      </c>
      <c r="C321">
        <f>Inputs!$B$3&gt;=117</f>
        <v/>
      </c>
      <c r="D321">
        <f>IF(Skills!C10=1,60+Inputs!$B$25+Inputs!$B$29,IF(Skills!C10=2,90+Inputs!$B$26+Inputs!$B$29,IF(Skills!C10=3,120+Inputs!$B$27+Inputs!$B$29,MAX(0,(Inputs!$B$3-100)*3)+Inputs!$B$28+Inputs!$B$29)))</f>
        <v/>
      </c>
      <c r="E321">
        <f>INDEX(FactorTable!$B$2:$Y$301, MATCH(ROUND(MIN(300,MAX(1,D321)),0), FactorTable!$A$2:$A$301,0), Skills!M10+1)</f>
        <v/>
      </c>
      <c r="F321">
        <f>IF(Skills!N10=TRUE,(Skills!L10/10)*(E321/1000),Skills!L10/10)+Skills!O10</f>
        <v/>
      </c>
      <c r="G321">
        <f>Skills!G10*IF(Skills!H10&gt;0,Skills!I10/Skills!H10,1)</f>
        <v/>
      </c>
      <c r="H321">
        <f>1-(1-Skills!J10/100)^Skills!K10</f>
        <v/>
      </c>
      <c r="I321" t="inlineStr">
        <is>
          <t>1</t>
        </is>
      </c>
      <c r="J321">
        <f>((Inputs!$B$6*(1+Inputs!$B$7/100))+(((Inputs!$B$12*(1+Inputs!$B$13/100))-(Inputs!$B$12*(1+Inputs!$B$13/100)))+0.25*(Inputs!$B$14-Inputs!$B$14))*(1+Inputs!$B$7/100))*(F321/100)</f>
        <v/>
      </c>
      <c r="K321">
        <f>J321*(1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f>
        <v/>
      </c>
      <c r="L321">
        <f>K321*(MIN(Inputs!$B$22+((C333=TRUE)*(F333-Calc!F22)),(Inputs!$B$23+((C335=TRUE)*(F335-Calc!F24))+(IF(ArtifactsInput!$M$15,CHOOSE(ArtifactsInput!$N$15+1,25,30,35,40,45,50)/100*(Inputs!$B$11-Inputs!$B$11),0))))/100+(Inputs!$B$23+((C335=TRUE)*(F335-Calc!F24))+(IF(ArtifactsInput!$M$15,CHOOSE(ArtifactsInput!$N$15+1,25,30,35,40,45,50)/100*(Inputs!$B$11-Inputs!$B$11),0)))/100)/2</f>
        <v/>
      </c>
      <c r="M321">
        <f>L321*(1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
        <f>L321*(1-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
        <f>(1-Summary!$B$11)*T321+Summary!$B$11*V321</f>
        <v/>
      </c>
      <c r="P321">
        <f>IF(B348=0,0,O321/B348)</f>
        <v/>
      </c>
      <c r="Q321">
        <f>IFERROR(1/(IF(Inputs!$B$38="pvp",15,MAX(0.1,Skills!D10-IF(Skills!E10=TRUE,Inputs!$B$32,0)))*(1-IF(AND(ArtifactsInput!$M$27,Inputs!$B$4="Chapter Hunt"),CHOOSE(ArtifactsInput!$N$27+1,20,24,28,32,36,40),0)/100)),0)</f>
        <v/>
      </c>
      <c r="R321">
        <f>IF(AND(Inputs!$B$38&lt;&gt;"pvp",Inputs!$B$43&gt;0),IF(MAX(0,Inputs!$B$43-B345)&lt;=0,0,(INT(MAX(0,Inputs!$B$43-B345)/(IF(Inputs!$B$38="pvp",15,MAX(0.1,Skills!D10-IF(Skills!E10=TRUE,Inputs!$B$32,0)))*(1-IF(AND(ArtifactsInput!$M$27,Inputs!$B$4="Chapter Hunt"),CHOOSE(ArtifactsInput!$N$27+1,20,24,28,32,36,40),0)/100)))+1)),0)</f>
        <v/>
      </c>
      <c r="S321">
        <f>IFERROR(O321/N321,0)</f>
        <v/>
      </c>
      <c r="T321">
        <f>IF(C321,(H321*N321*IF(AND(Inputs!$B$38&lt;&gt;"pvp",Inputs!$B$43&gt;0),((Skills!G10*((R321-1)*IF(Skills!H10&gt;0,Skills!I10/Skills!H10,1)+IF(Skills!H10&gt;0,MIN(Skills!I10,MAX(0,MAX(0,Inputs!$B$43-B345)-((R321-1)*(IF(Inputs!$B$38="pvp",15,MAX(0.1,Skills!D10-IF(Skills!E10=TRUE,Inputs!$B$32,0)))*(1-IF(AND(ArtifactsInput!$M$27,Inputs!$B$4="Chapter Hunt"),CHOOSE(ArtifactsInput!$N$27+1,20,24,28,32,36,40),0)/100)))))/Skills!H10,1)))/Inputs!$B$43),G321*Q321)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321*(1-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1">
        <f>IF(C321,(H321*N321*IF(AND(Inputs!$B$38&lt;&gt;"pvp",Inputs!$B$43&gt;0),((Skills!G10*((R321-1)*IF(Skills!H10&gt;0,Skills!I10/Skills!H10,1)+IF(Skills!H10&gt;0,MIN(Skills!I10,MAX(0,MAX(0,Inputs!$B$43-B345)-((R321-1)*(IF(Inputs!$B$38="pvp",15,MAX(0.1,Skills!D10-IF(Skills!E10=TRUE,Inputs!$B$32,0)))*(1-IF(AND(ArtifactsInput!$M$27,Inputs!$B$4="Chapter Hunt"),CHOOSE(ArtifactsInput!$N$27+1,20,24,28,32,36,40),0)/100)))))/Skills!H10,1)))/Inputs!$B$43),G321*Q321))*IF(Inputs!$B$38="pvp",1,(1+((Inputs!$B$21+1)+Skills!Q10+(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
      <c r="A322">
        <f>Skills!A11</f>
        <v/>
      </c>
      <c r="B322">
        <f>Skills!B11</f>
        <v/>
      </c>
      <c r="C322">
        <f>Inputs!$B$3&gt;=63</f>
        <v/>
      </c>
      <c r="D322">
        <f>IF(Skills!C11=1,60+Inputs!$B$25+Inputs!$B$29,IF(Skills!C11=2,90+Inputs!$B$26+Inputs!$B$29,IF(Skills!C11=3,120+Inputs!$B$27+Inputs!$B$29,MAX(0,(Inputs!$B$3-100)*3)+Inputs!$B$28+Inputs!$B$29)))</f>
        <v/>
      </c>
      <c r="E322">
        <f>INDEX(FactorTable!$B$2:$Y$301, MATCH(ROUND(MIN(300,MAX(1,D322)),0), FactorTable!$A$2:$A$301,0), Skills!M11+1)</f>
        <v/>
      </c>
      <c r="F322">
        <f>IF(Skills!N11=TRUE,(Skills!L11/10)*(E322/1000),Skills!L11/10)+Skills!O11</f>
        <v/>
      </c>
      <c r="G322">
        <f>Skills!G11*IF(Skills!H11&gt;0,Skills!I11/Skills!H11,1)</f>
        <v/>
      </c>
      <c r="H322">
        <f>1-(1-Skills!J11/100)^Skills!K11</f>
        <v/>
      </c>
      <c r="I322" t="inlineStr">
        <is>
          <t>1</t>
        </is>
      </c>
      <c r="J322">
        <f>((Inputs!$B$6*(1+Inputs!$B$7/100))+(((Inputs!$B$12*(1+Inputs!$B$13/100))-(Inputs!$B$12*(1+Inputs!$B$13/100)))+0.25*(Inputs!$B$14-Inputs!$B$14))*(1+Inputs!$B$7/100))*(F322/100)</f>
        <v/>
      </c>
      <c r="K322">
        <f>J322*(1+((Inputs!$B$12*(1+Inputs!$B$13/100))*0.01+Inputs!$B$14*0.0025)/100)*(1+Inputs!$B$15/100)*(1+Inputs!$B$16/100)*(5000/(6000+Inputs!$B$42*(1-(Inputs!$B$19+0)/100)))*(1+(Inputs!$B$24+0+B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323=TRUE,F323,0)/100)*(1+(IF(Skills!A11="BLAST",Inputs!$B$17+((C332=TRUE)*(F332-Calc!F21))+((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MIN(100,((Inputs!$B$9+0+B338+(ArtifactsInput!$M$24-ArtifactsInput!$M$24)*CHOOSE(ArtifactsInput!$N$24+1,10,12,14,16,18,20)+IF(ArtifactsInput!$M$10,CHOOSE(ArtifactsInput!$N$10+1,15,18,21,24,27,30)*(IF(Inputs!$B$38="pvp",MIN(15,15)/15,IF(AND(Inputs!$B$38&lt;&gt;"pvp",Inputs!$B$43&gt;0),MIN(15,Inputs!$B$43)/(Inputs!$B$43),0))),0)))-100),0))*CHOOSE(ArtifactsInput!$N$42+1,0.6,0.72,0.84,0.96,1.08,1.2))),Inputs!$B$18+((C334=TRUE)*(F334-Calc!F23))+(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gt;=100),CHOOSE(ArtifactsInput!$N$42+1,40,48,56,64,72,80),0))))/100)*((1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f>
        <v/>
      </c>
      <c r="L322">
        <f>K322*(MIN(Inputs!$B$22+((C333=TRUE)*(F333-Calc!F22)),(Inputs!$B$23+((C335=TRUE)*(F335-Calc!F24))+(IF(ArtifactsInput!$M$15,CHOOSE(ArtifactsInput!$N$15+1,25,30,35,40,45,50)/100*(Inputs!$B$11-Inputs!$B$11),0))))/100+(Inputs!$B$23+((C335=TRUE)*(F335-Calc!F24))+(IF(ArtifactsInput!$M$15,CHOOSE(ArtifactsInput!$N$15+1,25,30,35,40,45,50)/100*(Inputs!$B$11-Inputs!$B$11),0)))/100)/2</f>
        <v/>
      </c>
      <c r="M322">
        <f>L322*(1+(Inputs!$B$10+0+B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
        <f>L322*(1-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MIN((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
        <f>(1-Summary!$B$11)*T322+Summary!$B$11*V322</f>
        <v/>
      </c>
      <c r="P322">
        <f>IF(B348=0,0,O322/B348)</f>
        <v/>
      </c>
      <c r="Q322">
        <f>IFERROR(1/(IF(Inputs!$B$38="pvp",15,MAX(0.1,Skills!D11-IF(Skills!E11=TRUE,Inputs!$B$32,0)))*(1-IF(AND(ArtifactsInput!$M$27,Inputs!$B$4="Chapter Hunt"),CHOOSE(ArtifactsInput!$N$27+1,20,24,28,32,36,40),0)/100)),0)</f>
        <v/>
      </c>
      <c r="R322">
        <f>IF(AND(Inputs!$B$38&lt;&gt;"pvp",Inputs!$B$43&gt;0),IF(MAX(0,Inputs!$B$43-B345)&lt;=0,0,(INT(MAX(0,Inputs!$B$43-B345)/(IF(Inputs!$B$38="pvp",15,MAX(0.1,Skills!D11-IF(Skills!E11=TRUE,Inputs!$B$32,0)))*(1-IF(AND(ArtifactsInput!$M$27,Inputs!$B$4="Chapter Hunt"),CHOOSE(ArtifactsInput!$N$27+1,20,24,28,32,36,40),0)/100)))+1)),0)</f>
        <v/>
      </c>
      <c r="S322">
        <f>IFERROR(O322/N322,0)</f>
        <v/>
      </c>
      <c r="T322">
        <f>IF(C322,(H322*N322*IF(AND(Inputs!$B$38&lt;&gt;"pvp",Inputs!$B$43&gt;0),((Skills!G11*((R322-1)*IF(Skills!H11&gt;0,Skills!I11/Skills!H11,1)+IF(Skills!H11&gt;0,MIN(Skills!I11,MAX(0,MAX(0,Inputs!$B$43-B345)-((R322-1)*(IF(Inputs!$B$38="pvp",15,MAX(0.1,Skills!D11-IF(Skills!E11=TRUE,Inputs!$B$32,0)))*(1-IF(AND(ArtifactsInput!$M$27,Inputs!$B$4="Chapter Hunt"),CHOOSE(ArtifactsInput!$N$27+1,20,24,28,32,36,40),0)/100)))))/Skills!H11,1)))/Inputs!$B$43),G322*Q322)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322*(1-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(1-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MIN(100,(Inputs!$B$9+0+B338+(ArtifactsInput!$M$24-ArtifactsInput!$M$24)*CHOOSE(ArtifactsInput!$N$24+1,10,12,14,16,18,20)+(IF(AND(Inputs!$B$38&lt;&gt;"pvp",Inputs!$B$43=0),1,IF(IF(Inputs!$B$38="pvp",15,Inputs!$B$43)-(B345)&lt;=0,1,MAX(0,IF(Inputs!$B$38="pvp",15,Inputs!$B$43)-MAX(5,B345))/(IF(Inputs!$B$38="pvp",15,Inputs!$B$43)-(B345))))*IF(AND(ArtifactsInput!$M$42,((Inputs!$B$9+0+B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2">
        <f>IF(C322,(H322*N322*IF(AND(Inputs!$B$38&lt;&gt;"pvp",Inputs!$B$43&gt;0),((Skills!G11*((R322-1)*IF(Skills!H11&gt;0,Skills!I11/Skills!H11,1)+IF(Skills!H11&gt;0,MIN(Skills!I11,MAX(0,MAX(0,Inputs!$B$43-B345)-((R322-1)*(IF(Inputs!$B$38="pvp",15,MAX(0.1,Skills!D11-IF(Skills!E11=TRUE,Inputs!$B$32,0)))*(1-IF(AND(ArtifactsInput!$M$27,Inputs!$B$4="Chapter Hunt"),CHOOSE(ArtifactsInput!$N$27+1,20,24,28,32,36,40),0)/100)))))/Skills!H11,1)))/Inputs!$B$43),G322*Q322))*IF(Inputs!$B$38="pvp",1,(1+((Inputs!$B$21+1)+Skills!Q11+(IF(ArtifactsInput!$M$33,CHOOSE(ArtifactsInput!$N$33+1,30,36,42,48,54,60),0))+(IF(AND(ArtifactsInput!$M$35,Inputs!$B$4&lt;&gt;"Chapter Hunt"),CHOOSE(ArtifactsInput!$N$35+1,15,18,21,24,27,30)*(1-EXP(-(0.2*B340)*5)),0)+IF(AND(ArtifactsInput!$M$22,Inputs!$B$4&lt;&gt;"Chapter Hunt"),CHOOSE(ArtifactsInput!$N$22+1,10,12,14,16,18,20)*((0*(((0.15*B340*5))^0/1)+1*(((0.15*B340*5))^1/1)+2*(((0.15*B340*5))^2/2)+3*(((0.15*B340*5))^3/6)+4*(((0.15*B340*5))^4/24)+5*(((0.15*B340*5))^5/120))/((((0.15*B340*5))^0/1)+(((0.15*B340*5))^1/1)+(((0.15*B340*5))^2/2)+(((0.15*B340*5))^3/6)+(((0.15*B340*5))^4/24)+(((0.15*B340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
      <c r="A323">
        <f>Skills!A12</f>
        <v/>
      </c>
      <c r="B323">
        <f>Skills!B12</f>
        <v/>
      </c>
      <c r="C323">
        <f>Inputs!$B$3&gt;=100</f>
        <v/>
      </c>
      <c r="D323">
        <f>IF(Skills!C12=1,60+Inputs!$B$25+Inputs!$B$29,IF(Skills!C12=2,90+Inputs!$B$26+Inputs!$B$29,IF(Skills!C12=3,120+Inputs!$B$27+Inputs!$B$29,MAX(0,(Inputs!$B$3-100)*3)+Inputs!$B$28+Inputs!$B$29)))</f>
        <v/>
      </c>
      <c r="E323">
        <f>INDEX(FactorTable!$B$2:$Y$301, MATCH(ROUND(MIN(300,MAX(1,D323)),0), FactorTable!$A$2:$A$301,0), Skills!M12+1)</f>
        <v/>
      </c>
      <c r="F323">
        <f>IF(Skills!N12=TRUE,(Skills!L12/10)*(E323/1000),Skills!L12/10)+Skills!O12</f>
        <v/>
      </c>
      <c r="G323" t="inlineStr"/>
      <c r="H323" t="inlineStr"/>
      <c r="I323" t="inlineStr">
        <is>
          <t>1</t>
        </is>
      </c>
      <c r="J323" t="inlineStr"/>
      <c r="K323" t="inlineStr"/>
      <c r="L323" t="inlineStr"/>
      <c r="M323" t="inlineStr"/>
      <c r="N323" t="inlineStr"/>
      <c r="O323" t="inlineStr"/>
      <c r="P323" t="inlineStr"/>
      <c r="Q323" t="inlineStr"/>
      <c r="R323" t="inlineStr"/>
      <c r="S323" t="inlineStr"/>
    </row>
    <row r="324">
      <c r="A324">
        <f>Skills!A13</f>
        <v/>
      </c>
      <c r="B324">
        <f>Skills!B13</f>
        <v/>
      </c>
      <c r="C324">
        <f>Inputs!$B$3&gt;=45</f>
        <v/>
      </c>
      <c r="D324">
        <f>IF(Skills!C13=1,60+Inputs!$B$25+Inputs!$B$29,IF(Skills!C13=2,90+Inputs!$B$26+Inputs!$B$29,IF(Skills!C13=3,120+Inputs!$B$27+Inputs!$B$29,MAX(0,(Inputs!$B$3-100)*3)+Inputs!$B$28+Inputs!$B$29)))</f>
        <v/>
      </c>
      <c r="E324">
        <f>INDEX(FactorTable!$B$2:$Y$301, MATCH(ROUND(MIN(300,MAX(1,D324)),0), FactorTable!$A$2:$A$301,0), Skills!M13+1)</f>
        <v/>
      </c>
      <c r="F324">
        <f>IF(Skills!N13=TRUE,(Skills!L13/10)*(E324/1000),Skills!L13/10)+Skills!O13</f>
        <v/>
      </c>
      <c r="G324">
        <f>Skills!G13*IF(Skills!H13&gt;0,Skills!I13/Skills!H13,1)</f>
        <v/>
      </c>
      <c r="H324">
        <f>1-(1-Skills!J13/100)^Skills!K13</f>
        <v/>
      </c>
      <c r="I324" t="inlineStr">
        <is>
          <t>1</t>
        </is>
      </c>
      <c r="J324" t="inlineStr"/>
      <c r="K324" t="inlineStr"/>
      <c r="L324" t="inlineStr"/>
      <c r="M324" t="inlineStr"/>
      <c r="N324" t="inlineStr"/>
      <c r="O324">
        <f>(1-Summary!$B$11)*T324+Summary!$B$11*V324</f>
        <v/>
      </c>
      <c r="P324">
        <f>IF(B348=0,0,O324/B348)</f>
        <v/>
      </c>
      <c r="Q324" t="n">
        <v>0</v>
      </c>
      <c r="R324" t="n">
        <v>0</v>
      </c>
      <c r="S324">
        <f>IFERROR(O324/N324,0)</f>
        <v/>
      </c>
      <c r="T324" t="n">
        <v>0</v>
      </c>
      <c r="V324" t="n">
        <v>0</v>
      </c>
    </row>
    <row r="325">
      <c r="A325">
        <f>Skills!A14</f>
        <v/>
      </c>
      <c r="B325">
        <f>Skills!B14</f>
        <v/>
      </c>
      <c r="C325">
        <f>Inputs!$B$3&gt;=110</f>
        <v/>
      </c>
      <c r="D325">
        <f>IF(Skills!C14=1,60+Inputs!$B$25+Inputs!$B$29,IF(Skills!C14=2,90+Inputs!$B$26+Inputs!$B$29,IF(Skills!C14=3,120+Inputs!$B$27+Inputs!$B$29,MAX(0,(Inputs!$B$3-100)*3)+Inputs!$B$28+Inputs!$B$29)))</f>
        <v/>
      </c>
      <c r="E325">
        <f>INDEX(FactorTable!$B$2:$Y$301, MATCH(ROUND(MIN(300,MAX(1,D325)),0), FactorTable!$A$2:$A$301,0), Skills!M14+1)</f>
        <v/>
      </c>
      <c r="F325">
        <f>IF(Skills!N14=TRUE,(Skills!L14/10)*(E325/1000),Skills!L14/10)+Skills!O14</f>
        <v/>
      </c>
      <c r="G325">
        <f>Skills!G14*IF(Skills!H14&gt;0,Skills!I14/Skills!H14,1)</f>
        <v/>
      </c>
      <c r="H325">
        <f>1-(1-Skills!J14/100)^Skills!K14</f>
        <v/>
      </c>
      <c r="I325" t="inlineStr">
        <is>
          <t>1</t>
        </is>
      </c>
      <c r="J325" t="inlineStr"/>
      <c r="K325" t="inlineStr"/>
      <c r="L325" t="inlineStr"/>
      <c r="M325" t="inlineStr"/>
      <c r="N325" t="inlineStr"/>
      <c r="O325">
        <f>(1-Summary!$B$11)*T325+Summary!$B$11*V325</f>
        <v/>
      </c>
      <c r="P325">
        <f>IF(B348=0,0,O325/B348)</f>
        <v/>
      </c>
      <c r="Q325" t="n">
        <v>0</v>
      </c>
      <c r="R325" t="n">
        <v>0</v>
      </c>
      <c r="S325">
        <f>IFERROR(O325/N325,0)</f>
        <v/>
      </c>
      <c r="T325" t="n">
        <v>0</v>
      </c>
      <c r="V325" t="n">
        <v>0</v>
      </c>
    </row>
    <row r="326">
      <c r="A326">
        <f>Skills!A15</f>
        <v/>
      </c>
      <c r="B326">
        <f>Skills!B15</f>
        <v/>
      </c>
      <c r="C326">
        <f>Inputs!$B$3&gt;=75</f>
        <v/>
      </c>
      <c r="D326">
        <f>IF(Skills!C15=1,60+Inputs!$B$25+Inputs!$B$29,IF(Skills!C15=2,90+Inputs!$B$26+Inputs!$B$29,IF(Skills!C15=3,120+Inputs!$B$27+Inputs!$B$29,MAX(0,(Inputs!$B$3-100)*3)+Inputs!$B$28+Inputs!$B$29)))</f>
        <v/>
      </c>
      <c r="E326">
        <f>INDEX(FactorTable!$B$2:$Y$301, MATCH(ROUND(MIN(300,MAX(1,D326)),0), FactorTable!$A$2:$A$301,0), Skills!M15+1)</f>
        <v/>
      </c>
      <c r="F326">
        <f>IF(Skills!N15=TRUE,(Skills!L15/10)*(E326/1000),Skills!L15/10)+Skills!O15</f>
        <v/>
      </c>
      <c r="G326">
        <f>Skills!G15*IF(Skills!H15&gt;0,Skills!I15/Skills!H15,1)</f>
        <v/>
      </c>
      <c r="H326">
        <f>1-(1-Skills!J15/100)^Skills!K15</f>
        <v/>
      </c>
      <c r="I326" t="inlineStr">
        <is>
          <t>1</t>
        </is>
      </c>
      <c r="J326" t="inlineStr"/>
      <c r="K326" t="inlineStr"/>
      <c r="L326" t="inlineStr"/>
      <c r="M326" t="inlineStr"/>
      <c r="N326" t="inlineStr"/>
      <c r="O326">
        <f>(1-Summary!$B$11)*T326+Summary!$B$11*V326</f>
        <v/>
      </c>
      <c r="P326">
        <f>IF(B348=0,0,O326/B348)</f>
        <v/>
      </c>
      <c r="Q326">
        <f>IFERROR(1/(IF(Inputs!$B$38="pvp",15,MAX(0.1,Skills!D15-IF(Skills!E15=TRUE,Inputs!$B$32,0)))*(1-IF(AND(ArtifactsInput!$M$27,Inputs!$B$4="Chapter Hunt"),CHOOSE(ArtifactsInput!$N$27+1,20,24,28,32,36,40),0)/100)),0)</f>
        <v/>
      </c>
      <c r="R326">
        <f>IF(AND(Inputs!$B$38&lt;&gt;"pvp",Inputs!$B$43&gt;0),IF(Inputs!$B$43&lt;=0,0,(INT(Inputs!$B$43/(IF(Inputs!$B$38="pvp",15,MAX(0.1,Skills!D15-IF(Skills!E15=TRUE,Inputs!$B$32,0)))*(1-IF(AND(ArtifactsInput!$M$27,Inputs!$B$4="Chapter Hunt"),CHOOSE(ArtifactsInput!$N$27+1,20,24,28,32,36,40),0)/100)))+1)),0)</f>
        <v/>
      </c>
      <c r="S326">
        <f>IFERROR(O326/N326,0)</f>
        <v/>
      </c>
      <c r="T326" t="n">
        <v>0</v>
      </c>
      <c r="V326" t="n">
        <v>0</v>
      </c>
    </row>
    <row r="327">
      <c r="A327">
        <f>Skills!A16</f>
        <v/>
      </c>
      <c r="B327">
        <f>Skills!B16</f>
        <v/>
      </c>
      <c r="C327">
        <f>Inputs!$B$3&gt;=105</f>
        <v/>
      </c>
      <c r="D327">
        <f>IF(Skills!C16=1,60+Inputs!$B$25+Inputs!$B$29,IF(Skills!C16=2,90+Inputs!$B$26+Inputs!$B$29,IF(Skills!C16=3,120+Inputs!$B$27+Inputs!$B$29,MAX(0,(Inputs!$B$3-100)*3)+Inputs!$B$28+Inputs!$B$29)))</f>
        <v/>
      </c>
      <c r="E327">
        <f>INDEX(FactorTable!$B$2:$Y$301, MATCH(ROUND(MIN(300,MAX(1,D327)),0), FactorTable!$A$2:$A$301,0), Skills!M16+1)</f>
        <v/>
      </c>
      <c r="F327">
        <f>IF(Skills!N16=TRUE,(Skills!L16/10)*(E327/1000),Skills!L16/10)+Skills!O16</f>
        <v/>
      </c>
      <c r="G327">
        <f>Skills!G16*IF(Skills!H16&gt;0,Skills!I16/Skills!H16,1)</f>
        <v/>
      </c>
      <c r="H327">
        <f>1-(1-Skills!J16/100)^Skills!K16</f>
        <v/>
      </c>
      <c r="I327" t="inlineStr">
        <is>
          <t>1</t>
        </is>
      </c>
      <c r="J327" t="inlineStr"/>
      <c r="K327" t="inlineStr"/>
      <c r="L327" t="inlineStr"/>
      <c r="M327" t="inlineStr"/>
      <c r="N327" t="inlineStr"/>
      <c r="O327">
        <f>(1-Summary!$B$11)*T327+Summary!$B$11*V327</f>
        <v/>
      </c>
      <c r="P327">
        <f>IF(B348=0,0,O327/B348)</f>
        <v/>
      </c>
      <c r="Q327">
        <f>IFERROR(1/(IF(Inputs!$B$38="pvp",15,MAX(0.1,Skills!D16-IF(Skills!E16=TRUE,Inputs!$B$32,0)))*(1-IF(AND(ArtifactsInput!$M$27,Inputs!$B$4="Chapter Hunt"),CHOOSE(ArtifactsInput!$N$27+1,20,24,28,32,36,40),0)/100)),0)</f>
        <v/>
      </c>
      <c r="R327">
        <f>IF(AND(Inputs!$B$38&lt;&gt;"pvp",Inputs!$B$43&gt;0),IF(Inputs!$B$43&lt;=0,0,(INT(Inputs!$B$43/(IF(Inputs!$B$38="pvp",15,MAX(0.1,Skills!D16-IF(Skills!E16=TRUE,Inputs!$B$32,0)))*(1-IF(AND(ArtifactsInput!$M$27,Inputs!$B$4="Chapter Hunt"),CHOOSE(ArtifactsInput!$N$27+1,20,24,28,32,36,40),0)/100)))+1)),0)</f>
        <v/>
      </c>
      <c r="S327">
        <f>IFERROR(O327/N327,0)</f>
        <v/>
      </c>
      <c r="T327" t="n">
        <v>0</v>
      </c>
      <c r="V327" t="n">
        <v>0</v>
      </c>
    </row>
    <row r="328">
      <c r="A328">
        <f>Skills!A17</f>
        <v/>
      </c>
      <c r="B328">
        <f>Skills!B17</f>
        <v/>
      </c>
      <c r="C328">
        <f>Inputs!$B$3&gt;=115</f>
        <v/>
      </c>
      <c r="D328">
        <f>IF(Skills!C17=1,60+Inputs!$B$25+Inputs!$B$29,IF(Skills!C17=2,90+Inputs!$B$26+Inputs!$B$29,IF(Skills!C17=3,120+Inputs!$B$27+Inputs!$B$29,MAX(0,(Inputs!$B$3-100)*3)+Inputs!$B$28+Inputs!$B$29)))</f>
        <v/>
      </c>
      <c r="E328">
        <f>INDEX(FactorTable!$B$2:$Y$301, MATCH(ROUND(MIN(300,MAX(1,D328)),0), FactorTable!$A$2:$A$301,0), Skills!M17+1)</f>
        <v/>
      </c>
      <c r="F328">
        <f>IF(Skills!N17=TRUE,(Skills!L17/10)*(E328/1000),Skills!L17/10)+Skills!O17</f>
        <v/>
      </c>
      <c r="G328">
        <f>Skills!G17*IF(Skills!H17&gt;0,Skills!I17/Skills!H17,1)</f>
        <v/>
      </c>
      <c r="H328">
        <f>1-(1-Skills!J17/100)^Skills!K17</f>
        <v/>
      </c>
      <c r="I328" t="inlineStr">
        <is>
          <t>1</t>
        </is>
      </c>
      <c r="J328" t="inlineStr"/>
      <c r="K328" t="inlineStr"/>
      <c r="L328" t="inlineStr"/>
      <c r="M328" t="inlineStr"/>
      <c r="N328" t="inlineStr"/>
      <c r="O328">
        <f>(1-Summary!$B$11)*T328+Summary!$B$11*V328</f>
        <v/>
      </c>
      <c r="P328">
        <f>IF(B348=0,0,O328/B348)</f>
        <v/>
      </c>
      <c r="Q328">
        <f>IFERROR(1/(IF(Inputs!$B$38="pvp",15,MAX(0.1,Skills!D17-IF(Skills!E17=TRUE,Inputs!$B$32,0)))*(1-IF(AND(ArtifactsInput!$M$27,Inputs!$B$4="Chapter Hunt"),CHOOSE(ArtifactsInput!$N$27+1,20,24,28,32,36,40),0)/100)),0)</f>
        <v/>
      </c>
      <c r="R328">
        <f>IF(AND(Inputs!$B$38&lt;&gt;"pvp",Inputs!$B$43&gt;0),IF(Inputs!$B$43&lt;=0,0,(INT(Inputs!$B$43/(IF(Inputs!$B$38="pvp",15,MAX(0.1,Skills!D17-IF(Skills!E17=TRUE,Inputs!$B$32,0)))*(1-IF(AND(ArtifactsInput!$M$27,Inputs!$B$4="Chapter Hunt"),CHOOSE(ArtifactsInput!$N$27+1,20,24,28,32,36,40),0)/100)))+1)),0)</f>
        <v/>
      </c>
      <c r="S328">
        <f>IFERROR(O328/N328,0)</f>
        <v/>
      </c>
      <c r="T328" t="n">
        <v>0</v>
      </c>
      <c r="V328" t="n">
        <v>0</v>
      </c>
    </row>
    <row r="329">
      <c r="A329">
        <f>Skills!A18</f>
        <v/>
      </c>
      <c r="B329">
        <f>Skills!B18</f>
        <v/>
      </c>
      <c r="C329">
        <f>Inputs!$B$3&gt;=74</f>
        <v/>
      </c>
      <c r="D329">
        <f>IF(Skills!C18=1,60+Inputs!$B$25+Inputs!$B$29,IF(Skills!C18=2,90+Inputs!$B$26+Inputs!$B$29,IF(Skills!C18=3,120+Inputs!$B$27+Inputs!$B$29,MAX(0,(Inputs!$B$3-100)*3)+Inputs!$B$28+Inputs!$B$29)))</f>
        <v/>
      </c>
      <c r="E329">
        <f>INDEX(FactorTable!$B$2:$Y$301, MATCH(ROUND(MIN(300,MAX(1,D329)),0), FactorTable!$A$2:$A$301,0), Skills!M18+1)</f>
        <v/>
      </c>
      <c r="F329">
        <f>IF(Skills!N18=TRUE,(Skills!L18/10)*(E329/1000),Skills!L18/10)+Skills!O18</f>
        <v/>
      </c>
      <c r="G329">
        <f>Skills!G18*IF(Skills!H18&gt;0,Skills!I18/Skills!H18,1)</f>
        <v/>
      </c>
      <c r="H329">
        <f>1-(1-Skills!J18/100)^Skills!K18</f>
        <v/>
      </c>
      <c r="I329" t="inlineStr">
        <is>
          <t>1</t>
        </is>
      </c>
      <c r="J329" t="inlineStr"/>
      <c r="K329" t="inlineStr"/>
      <c r="L329" t="inlineStr"/>
      <c r="M329" t="inlineStr"/>
      <c r="N329" t="inlineStr"/>
      <c r="O329">
        <f>(1-Summary!$B$11)*T329+Summary!$B$11*V329</f>
        <v/>
      </c>
      <c r="P329">
        <f>IF(B348=0,0,O329/B348)</f>
        <v/>
      </c>
      <c r="Q329">
        <f>IFERROR(1/(IF(Inputs!$B$38="pvp",15,MAX(0.1,Skills!D18-IF(Skills!E18=TRUE,Inputs!$B$32,0)))*(1-IF(AND(ArtifactsInput!$M$27,Inputs!$B$4="Chapter Hunt"),CHOOSE(ArtifactsInput!$N$27+1,20,24,28,32,36,40),0)/100)),0)</f>
        <v/>
      </c>
      <c r="R329">
        <f>IF(AND(Inputs!$B$38&lt;&gt;"pvp",Inputs!$B$43&gt;0),IF(Inputs!$B$43&lt;=0,0,(INT(Inputs!$B$43/(IF(Inputs!$B$38="pvp",15,MAX(0.1,Skills!D18-IF(Skills!E18=TRUE,Inputs!$B$32,0)))*(1-IF(AND(ArtifactsInput!$M$27,Inputs!$B$4="Chapter Hunt"),CHOOSE(ArtifactsInput!$N$27+1,20,24,28,32,36,40),0)/100)))+1)),0)</f>
        <v/>
      </c>
      <c r="S329">
        <f>IFERROR(O329/N329,0)</f>
        <v/>
      </c>
      <c r="T329" t="n">
        <v>0</v>
      </c>
      <c r="V329" t="n">
        <v>0</v>
      </c>
    </row>
    <row r="330">
      <c r="A330">
        <f>Skills!A19</f>
        <v/>
      </c>
      <c r="B330">
        <f>Skills!B19</f>
        <v/>
      </c>
      <c r="C330">
        <f>TRUE</f>
        <v/>
      </c>
      <c r="D330">
        <f>IF(Skills!C19=1,60+Inputs!$B$25+Inputs!$B$29,IF(Skills!C19=2,90+Inputs!$B$26+Inputs!$B$29,IF(Skills!C19=3,120+Inputs!$B$27+Inputs!$B$29,MAX(0,(Inputs!$B$3-100)*3)+Inputs!$B$28+Inputs!$B$29)))</f>
        <v/>
      </c>
      <c r="E330">
        <f>INDEX(FactorTable!$B$2:$Y$301, MATCH(ROUND(MIN(300,MAX(1,D330)),0), FactorTable!$A$2:$A$301,0), Skills!M19+1)</f>
        <v/>
      </c>
      <c r="F330">
        <f>IF(Skills!N19=TRUE,(Skills!L19/10)*(E330/1000),Skills!L19/10)+Skills!O19</f>
        <v/>
      </c>
      <c r="G330">
        <f>Skills!G19*IF(Skills!H19&gt;0,Skills!I19/Skills!H19,1)</f>
        <v/>
      </c>
      <c r="H330">
        <f>1-(1-Skills!J19/100)^Skills!K19</f>
        <v/>
      </c>
      <c r="I330" t="inlineStr">
        <is>
          <t>1</t>
        </is>
      </c>
      <c r="J330" t="inlineStr"/>
      <c r="K330" t="inlineStr"/>
      <c r="L330" t="inlineStr"/>
      <c r="M330" t="inlineStr"/>
      <c r="N330" t="inlineStr"/>
      <c r="O330">
        <f>(1-Summary!$B$11)*T330+Summary!$B$11*V330</f>
        <v/>
      </c>
      <c r="P330">
        <f>IF(B348=0,0,O330/B348)</f>
        <v/>
      </c>
      <c r="Q330">
        <f>IFERROR(1/(IF(Inputs!$B$38="pvp",15,MAX(0.1,Skills!D19-IF(Skills!E19=TRUE,Inputs!$B$32,0)))*(1-IF(AND(ArtifactsInput!$M$27,Inputs!$B$4="Chapter Hunt"),CHOOSE(ArtifactsInput!$N$27+1,20,24,28,32,36,40),0)/100)),0)</f>
        <v/>
      </c>
      <c r="R330">
        <f>IF(AND(Inputs!$B$38&lt;&gt;"pvp",Inputs!$B$43&gt;0),IF(Inputs!$B$43&lt;=0,0,(INT(Inputs!$B$43/(IF(Inputs!$B$38="pvp",15,MAX(0.1,Skills!D19-IF(Skills!E19=TRUE,Inputs!$B$32,0)))*(1-IF(AND(ArtifactsInput!$M$27,Inputs!$B$4="Chapter Hunt"),CHOOSE(ArtifactsInput!$N$27+1,20,24,28,32,36,40),0)/100)))+1)),0)</f>
        <v/>
      </c>
      <c r="S330">
        <f>IFERROR(O330/N330,0)</f>
        <v/>
      </c>
      <c r="T330" t="n">
        <v>0</v>
      </c>
      <c r="V330" t="n">
        <v>0</v>
      </c>
    </row>
    <row r="331">
      <c r="A331">
        <f>Skills!A20</f>
        <v/>
      </c>
      <c r="B331">
        <f>Skills!B20</f>
        <v/>
      </c>
      <c r="C331">
        <f>Inputs!$B$3&gt;=33</f>
        <v/>
      </c>
      <c r="D331">
        <f>IF(Skills!C20=1,60+Inputs!$B$25+Inputs!$B$29,IF(Skills!C20=2,90+Inputs!$B$26+Inputs!$B$29,IF(Skills!C20=3,120+Inputs!$B$27+Inputs!$B$29,MAX(0,(Inputs!$B$3-100)*3)+Inputs!$B$28+Inputs!$B$29)))</f>
        <v/>
      </c>
      <c r="E331">
        <f>INDEX(FactorTable!$B$2:$Y$301, MATCH(ROUND(MIN(300,MAX(1,D331)),0), FactorTable!$A$2:$A$301,0), Skills!M20+1)</f>
        <v/>
      </c>
      <c r="F331">
        <f>IF(Skills!N20=TRUE,(Skills!L20/10)*(E331/1000),Skills!L20/10)+Skills!O20</f>
        <v/>
      </c>
      <c r="G331">
        <f>Skills!G20*IF(Skills!H20&gt;0,Skills!I20/Skills!H20,1)</f>
        <v/>
      </c>
      <c r="H331">
        <f>1-(1-Skills!J20/100)^Skills!K20</f>
        <v/>
      </c>
      <c r="I331" t="inlineStr">
        <is>
          <t>1</t>
        </is>
      </c>
      <c r="J331" t="inlineStr"/>
      <c r="K331" t="inlineStr"/>
      <c r="L331" t="inlineStr"/>
      <c r="M331" t="inlineStr"/>
      <c r="N331" t="inlineStr"/>
      <c r="O331">
        <f>(1-Summary!$B$11)*T331+Summary!$B$11*V331</f>
        <v/>
      </c>
      <c r="P331">
        <f>IF(B348=0,0,O331/B348)</f>
        <v/>
      </c>
      <c r="Q331" t="n">
        <v>0</v>
      </c>
      <c r="R331" t="n">
        <v>0</v>
      </c>
      <c r="S331">
        <f>IFERROR(O331/N331,0)</f>
        <v/>
      </c>
      <c r="T331" t="n">
        <v>0</v>
      </c>
      <c r="V331" t="n">
        <v>0</v>
      </c>
    </row>
    <row r="332">
      <c r="A332">
        <f>Skills!A21</f>
        <v/>
      </c>
      <c r="B332">
        <f>Skills!B21</f>
        <v/>
      </c>
      <c r="C332">
        <f>Inputs!$B$3&gt;=38</f>
        <v/>
      </c>
      <c r="D332">
        <f>IF(Skills!C21=1,60+Inputs!$B$25+Inputs!$B$29,IF(Skills!C21=2,90+Inputs!$B$26+Inputs!$B$29,IF(Skills!C21=3,120+Inputs!$B$27+Inputs!$B$29,MAX(0,(Inputs!$B$3-100)*3)+Inputs!$B$28+Inputs!$B$29)))</f>
        <v/>
      </c>
      <c r="E332">
        <f>INDEX(FactorTable!$B$2:$Y$301, MATCH(ROUND(MIN(300,MAX(1,D332)),0), FactorTable!$A$2:$A$301,0), Skills!M21+1)</f>
        <v/>
      </c>
      <c r="F332">
        <f>IF(Skills!N21=TRUE,(Skills!L21/10)*(E332/1000),Skills!L21/10)+Skills!O21</f>
        <v/>
      </c>
      <c r="G332">
        <f>Skills!G21*IF(Skills!H21&gt;0,Skills!I21/Skills!H21,1)</f>
        <v/>
      </c>
      <c r="H332">
        <f>1-(1-Skills!J21/100)^Skills!K21</f>
        <v/>
      </c>
      <c r="I332" t="inlineStr">
        <is>
          <t>1</t>
        </is>
      </c>
      <c r="J332" t="inlineStr"/>
      <c r="K332" t="inlineStr"/>
      <c r="L332" t="inlineStr"/>
      <c r="M332" t="inlineStr"/>
      <c r="N332" t="inlineStr"/>
      <c r="O332">
        <f>(1-Summary!$B$11)*T332+Summary!$B$11*V332</f>
        <v/>
      </c>
      <c r="P332">
        <f>IF(B348=0,0,O332/B348)</f>
        <v/>
      </c>
      <c r="Q332" t="n">
        <v>0</v>
      </c>
      <c r="R332" t="n">
        <v>0</v>
      </c>
      <c r="S332">
        <f>IFERROR(O332/N332,0)</f>
        <v/>
      </c>
      <c r="T332" t="n">
        <v>0</v>
      </c>
      <c r="V332" t="n">
        <v>0</v>
      </c>
    </row>
    <row r="333">
      <c r="A333">
        <f>Skills!A22</f>
        <v/>
      </c>
      <c r="B333">
        <f>Skills!B22</f>
        <v/>
      </c>
      <c r="C333">
        <f>Inputs!$B$3&gt;=43</f>
        <v/>
      </c>
      <c r="D333">
        <f>IF(Skills!C22=1,60+Inputs!$B$25+Inputs!$B$29,IF(Skills!C22=2,90+Inputs!$B$26+Inputs!$B$29,IF(Skills!C22=3,120+Inputs!$B$27+Inputs!$B$29,MAX(0,(Inputs!$B$3-100)*3)+Inputs!$B$28+Inputs!$B$29)))</f>
        <v/>
      </c>
      <c r="E333">
        <f>INDEX(FactorTable!$B$2:$Y$301, MATCH(ROUND(MIN(300,MAX(1,D333)),0), FactorTable!$A$2:$A$301,0), Skills!M22+1)</f>
        <v/>
      </c>
      <c r="F333">
        <f>IF(Skills!N22=TRUE,(Skills!L22/10)*(E333/1000),Skills!L22/10)+Skills!O22</f>
        <v/>
      </c>
      <c r="G333">
        <f>Skills!G22*IF(Skills!H22&gt;0,Skills!I22/Skills!H22,1)</f>
        <v/>
      </c>
      <c r="H333">
        <f>1-(1-Skills!J22/100)^Skills!K22</f>
        <v/>
      </c>
      <c r="I333" t="inlineStr">
        <is>
          <t>1</t>
        </is>
      </c>
      <c r="J333" t="inlineStr"/>
      <c r="K333" t="inlineStr"/>
      <c r="L333" t="inlineStr"/>
      <c r="M333" t="inlineStr"/>
      <c r="N333" t="inlineStr"/>
      <c r="O333">
        <f>(1-Summary!$B$11)*T333+Summary!$B$11*V333</f>
        <v/>
      </c>
      <c r="P333">
        <f>IF(B348=0,0,O333/B348)</f>
        <v/>
      </c>
      <c r="Q333" t="n">
        <v>0</v>
      </c>
      <c r="R333" t="n">
        <v>0</v>
      </c>
      <c r="S333">
        <f>IFERROR(O333/N333,0)</f>
        <v/>
      </c>
      <c r="T333" t="n">
        <v>0</v>
      </c>
      <c r="V333" t="n">
        <v>0</v>
      </c>
    </row>
    <row r="334">
      <c r="A334">
        <f>Skills!A23</f>
        <v/>
      </c>
      <c r="B334">
        <f>Skills!B23</f>
        <v/>
      </c>
      <c r="C334">
        <f>Inputs!$B$3&gt;=120</f>
        <v/>
      </c>
      <c r="D334">
        <f>IF(Skills!C23=1,60+Inputs!$B$25+Inputs!$B$29,IF(Skills!C23=2,90+Inputs!$B$26+Inputs!$B$29,IF(Skills!C23=3,120+Inputs!$B$27+Inputs!$B$29,MAX(0,(Inputs!$B$3-100)*3)+Inputs!$B$28+Inputs!$B$29)))</f>
        <v/>
      </c>
      <c r="E334">
        <f>INDEX(FactorTable!$B$2:$Y$301, MATCH(ROUND(MIN(300,MAX(1,D334)),0), FactorTable!$A$2:$A$301,0), Skills!M23+1)</f>
        <v/>
      </c>
      <c r="F334">
        <f>IF(Skills!N23=TRUE,(Skills!L23/10)*(E334/1000),Skills!L23/10)+Skills!O23</f>
        <v/>
      </c>
      <c r="G334">
        <f>Skills!G23*IF(Skills!H23&gt;0,Skills!I23/Skills!H23,1)</f>
        <v/>
      </c>
      <c r="H334">
        <f>1-(1-Skills!J23/100)^Skills!K23</f>
        <v/>
      </c>
      <c r="I334" t="inlineStr">
        <is>
          <t>1</t>
        </is>
      </c>
      <c r="J334" t="inlineStr"/>
      <c r="K334" t="inlineStr"/>
      <c r="L334" t="inlineStr"/>
      <c r="M334" t="inlineStr"/>
      <c r="N334" t="inlineStr"/>
      <c r="O334">
        <f>(1-Summary!$B$11)*T334+Summary!$B$11*V334</f>
        <v/>
      </c>
      <c r="P334">
        <f>IF(B348=0,0,O334/B348)</f>
        <v/>
      </c>
      <c r="Q334" t="n">
        <v>0</v>
      </c>
      <c r="R334" t="n">
        <v>0</v>
      </c>
      <c r="S334">
        <f>IFERROR(O334/N334,0)</f>
        <v/>
      </c>
      <c r="T334" t="n">
        <v>0</v>
      </c>
      <c r="V334" t="n">
        <v>0</v>
      </c>
    </row>
    <row r="335">
      <c r="A335">
        <f>Skills!A24</f>
        <v/>
      </c>
      <c r="B335">
        <f>Skills!B24</f>
        <v/>
      </c>
      <c r="C335">
        <f>Inputs!$B$3&gt;=120</f>
        <v/>
      </c>
      <c r="D335">
        <f>IF(Skills!C24=1,60+Inputs!$B$25+Inputs!$B$29,IF(Skills!C24=2,90+Inputs!$B$26+Inputs!$B$29,IF(Skills!C24=3,120+Inputs!$B$27+Inputs!$B$29,MAX(0,(Inputs!$B$3-100)*3)+Inputs!$B$28+Inputs!$B$29)))</f>
        <v/>
      </c>
      <c r="E335">
        <f>INDEX(FactorTable!$B$2:$Y$301, MATCH(ROUND(MIN(300,MAX(1,D335)),0), FactorTable!$A$2:$A$301,0), Skills!M24+1)</f>
        <v/>
      </c>
      <c r="F335">
        <f>IF(Skills!N24=TRUE,(Skills!L24/10)*(E335/1000),Skills!L24/10)+Skills!O24</f>
        <v/>
      </c>
      <c r="G335">
        <f>Skills!G24*IF(Skills!H24&gt;0,Skills!I24/Skills!H24,1)</f>
        <v/>
      </c>
      <c r="H335">
        <f>1-(1-Skills!J24/100)^Skills!K24</f>
        <v/>
      </c>
      <c r="I335" t="inlineStr">
        <is>
          <t>1</t>
        </is>
      </c>
      <c r="J335" t="inlineStr"/>
      <c r="K335" t="inlineStr"/>
      <c r="L335" t="inlineStr"/>
      <c r="M335" t="inlineStr"/>
      <c r="N335" t="inlineStr"/>
      <c r="O335">
        <f>(1-Summary!$B$11)*T335+Summary!$B$11*V335</f>
        <v/>
      </c>
      <c r="P335">
        <f>IF(B348=0,0,O335/B348)</f>
        <v/>
      </c>
      <c r="Q335" t="n">
        <v>0</v>
      </c>
      <c r="R335" t="n">
        <v>0</v>
      </c>
      <c r="S335">
        <f>IFERROR(O335/N335,0)</f>
        <v/>
      </c>
      <c r="T335" t="n">
        <v>0</v>
      </c>
      <c r="V335" t="n">
        <v>0</v>
      </c>
    </row>
    <row r="337">
      <c r="A337" t="inlineStr">
        <is>
          <t>Attack% Bucket Multiplier</t>
        </is>
      </c>
      <c r="B337">
        <f>(1+(((C324=TRUE)*F324*MIN(1,Skills!T13*(Skills!J13/100)*B342))+((C329=TRUE)*F329*IF(AND(Inputs!$B$38&lt;&gt;"pvp",Inputs!$B$43&gt;0),(((R329-1)*(Skills!T18*(1+Inputs!$B$34/100))+MIN((Skills!T18*(1+Inputs!$B$34/100)),MAX(0,Inputs!$B$43-((R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8">
      <c r="A338" t="inlineStr">
        <is>
          <t>Global Crit Rate Bonus %</t>
        </is>
      </c>
      <c r="B338" t="n">
        <v>0</v>
      </c>
    </row>
    <row r="339">
      <c r="A339" t="inlineStr">
        <is>
          <t>Attack Speed Buff Bonus %</t>
        </is>
      </c>
      <c r="B339">
        <f>((C330=TRUE)*F330*IF(AND(Inputs!$B$38&lt;&gt;"pvp",Inputs!$B$43&gt;0),(((R330-1)*(Skills!T19*(1+Inputs!$B$34/100))+MIN((Skills!T19*(1+Inputs!$B$34/100)),MAX(0,Inputs!$B$43-((R330-1)*Skills!D19))))/Inputs!$B$43),IF(Inputs!$B$38="pvp",MIN((Skills!T19*(1+Inputs!$B$34/100)),15)/15,(Skills!T19*(1+Inputs!$B$34/100))/Skills!D19)))</f>
        <v/>
      </c>
    </row>
    <row r="340">
      <c r="A340" t="inlineStr">
        <is>
          <t>Actions Per Second</t>
        </is>
      </c>
      <c r="B340">
        <f>1+MIN(150,150*(1-(1-(Inputs!$B$11+((C331=TRUE)*(F331-Calc!F20)))/150)*(1-B339/150)))/100</f>
        <v/>
      </c>
    </row>
    <row r="341">
      <c r="A341" t="inlineStr">
        <is>
          <t>Skill + Buff Cast Rate</t>
        </is>
      </c>
      <c r="B341">
        <f>IF(AND(Inputs!$B$38&lt;&gt;"pvp",Inputs!$B$43&gt;0),SUMPRODUCT((Skills!E2:E24=TRUE)*(C313:C335=TRUE)*R313:R335*Skills!F2:F24)/Inputs!$B$43,SUMPRODUCT((Skills!E2:E24=TRUE)*(C313:C335=TRUE)*Q313:Q335*Skills!F2:F24))</f>
        <v/>
      </c>
    </row>
    <row r="342">
      <c r="A342" t="inlineStr">
        <is>
          <t>Blast Casts Per Second</t>
        </is>
      </c>
      <c r="B342">
        <f>MAX(0,B340-B341)</f>
        <v/>
      </c>
    </row>
    <row r="343">
      <c r="A343" t="inlineStr">
        <is>
          <t>Global Critical Damage Bonus % (unused)</t>
        </is>
      </c>
      <c r="B343" t="n">
        <v>0</v>
      </c>
    </row>
    <row r="344">
      <c r="A344" t="inlineStr">
        <is>
          <t>Global Final Damage Bonus % (Divine Shield + Guardian + Divine Blessing + Greater Vessel of Light)</t>
        </is>
      </c>
      <c r="B344">
        <f>((C326=TRUE)*F326*IF(AND(Inputs!$B$38&lt;&gt;"pvp",Inputs!$B$43&gt;0),(((R326-1)*(Skills!T15*(1+Inputs!$B$34/100))+MIN((Skills!T15*(1+Inputs!$B$34/100)),MAX(0,Inputs!$B$43-((R326-1)*Skills!D15))))/Inputs!$B$43),IF(Inputs!$B$38="pvp",MIN((Skills!T15*(1+Inputs!$B$34/100)),15)/15,(Skills!T15*(1+Inputs!$B$34/100))/Skills!D15)))+((C327=TRUE)*F327*IF(AND(Inputs!$B$38&lt;&gt;"pvp",Inputs!$B$43&gt;0),(((R327-1)*(Skills!T16*(1+Inputs!$B$34/100))+MIN((Skills!T16*(1+Inputs!$B$34/100)),MAX(0,Inputs!$B$43-((R327-1)*Skills!D16))))/Inputs!$B$43),IF(Inputs!$B$38="pvp",MIN((Skills!T16*(1+Inputs!$B$34/100)),15)/15,(Skills!T16*(1+Inputs!$B$34/100))/Skills!D16)))+((C328=TRUE)*F328*IF(AND(Inputs!$B$38&lt;&gt;"pvp",Inputs!$B$43&gt;0),(((R328-1)*(Skills!T17*(1+Inputs!$B$34/100))+MIN((Skills!T17*(1+Inputs!$B$34/100)),MAX(0,Inputs!$B$43-((R328-1)*Skills!D17))))/Inputs!$B$43),IF(Inputs!$B$38="pvp",MIN((Skills!T17*(1+Inputs!$B$34/100)),15)/15,(Skills!T17*(1+Inputs!$B$34/100))/Skills!D17)))+((C325=TRUE)*F325*MIN(1,Skills!T13*(Skills!J13/100)*B342))</f>
        <v/>
      </c>
    </row>
    <row r="345">
      <c r="A345" t="inlineStr">
        <is>
          <t>Buff-Casting Startup Delay (s, fixed-duration only)</t>
        </is>
      </c>
      <c r="B345">
        <f>IF(AND(Inputs!$B$38&lt;&gt;"pvp",Inputs!$B$43&gt;0),SUMPRODUCT((Skills!T2:T24&gt;0)*(Skills!E2:E24=TRUE)*(C313:C335=TRUE))/B340,0)</f>
        <v/>
      </c>
    </row>
    <row r="346">
      <c r="A346" t="inlineStr">
        <is>
          <t>Boss-Only Total DPS (this block's swept value)</t>
        </is>
      </c>
      <c r="B346">
        <f>SUM(T313:T335)</f>
        <v/>
      </c>
    </row>
    <row r="347">
      <c r="A347" t="inlineStr">
        <is>
          <t>Normal-Only Total DPS (this block's swept value)</t>
        </is>
      </c>
      <c r="B347">
        <f>SUM(V313:V335)</f>
        <v/>
      </c>
    </row>
    <row r="348">
      <c r="A348" s="6" t="inlineStr">
        <is>
          <t>TOTAL DPS</t>
        </is>
      </c>
      <c r="B348" s="6">
        <f>SUM(O313:O335)</f>
        <v/>
      </c>
    </row>
    <row r="351">
      <c r="A351" s="6" t="inlineStr">
        <is>
          <t>Stat: FINAL_DAMAGE % (multiplicative source)</t>
        </is>
      </c>
    </row>
    <row r="352">
      <c r="A352" s="5" t="inlineStr">
        <is>
          <t>Key</t>
        </is>
      </c>
      <c r="B352" s="5" t="inlineStr">
        <is>
          <t>Name</t>
        </is>
      </c>
      <c r="C352" s="5" t="inlineStr">
        <is>
          <t>Unlocked</t>
        </is>
      </c>
      <c r="D352" s="5" t="inlineStr">
        <is>
          <t>InputLevel</t>
        </is>
      </c>
      <c r="E352" s="5" t="inlineStr">
        <is>
          <t>Factor</t>
        </is>
      </c>
      <c r="F352" s="5" t="inlineStr">
        <is>
          <t>CoefficientPercent</t>
        </is>
      </c>
      <c r="G352" s="5" t="inlineStr">
        <is>
          <t>EffectiveHits</t>
        </is>
      </c>
      <c r="H352" s="5" t="inlineStr">
        <is>
          <t>ProcProbability</t>
        </is>
      </c>
      <c r="I352" s="5" t="inlineStr">
        <is>
          <t>MapleHeroMultiplier</t>
        </is>
      </c>
      <c r="J352" s="5" t="inlineStr">
        <is>
          <t>BaseDamage</t>
        </is>
      </c>
      <c r="K352" s="5" t="inlineStr">
        <is>
          <t>BaseHitDamage</t>
        </is>
      </c>
      <c r="L352" s="5" t="inlineStr">
        <is>
          <t>NonCritAvg</t>
        </is>
      </c>
      <c r="M352" s="5" t="inlineStr">
        <is>
          <t>CritAvg</t>
        </is>
      </c>
      <c r="N352" s="5" t="inlineStr">
        <is>
          <t>ExpectedDamage(perHit)</t>
        </is>
      </c>
      <c r="O352" s="5" t="inlineStr">
        <is>
          <t>DPS</t>
        </is>
      </c>
      <c r="P352" s="5" t="inlineStr">
        <is>
          <t>% of Total</t>
        </is>
      </c>
      <c r="Q352" s="5" t="inlineStr">
        <is>
          <t>InvCooldown</t>
        </is>
      </c>
      <c r="R352" s="5" t="inlineStr">
        <is>
          <t>CastsInFight</t>
        </is>
      </c>
      <c r="S352" s="5" t="inlineStr">
        <is>
          <t>HitRate(perSec)</t>
        </is>
      </c>
      <c r="U352" t="inlineStr">
        <is>
          <t>helpers</t>
        </is>
      </c>
    </row>
    <row r="353">
      <c r="A353">
        <f>Skills!A2</f>
        <v/>
      </c>
      <c r="B353">
        <f>Skills!B2</f>
        <v/>
      </c>
      <c r="C353">
        <f>Inputs!$B$3&gt;=100</f>
        <v/>
      </c>
      <c r="D353" t="inlineStr"/>
      <c r="E353" t="inlineStr"/>
      <c r="F353">
        <f>U355+Skills!O2</f>
        <v/>
      </c>
      <c r="G353">
        <f>Skills!G2*IF(Skills!H2&gt;0,Skills!I2/Skills!H2,1)</f>
        <v/>
      </c>
      <c r="H353">
        <f>1-(1-Skills!J2/100)^Skills!K2</f>
        <v/>
      </c>
      <c r="I353" t="inlineStr">
        <is>
          <t>1</t>
        </is>
      </c>
      <c r="J353">
        <f>((Inputs!$B$6*(1+Inputs!$B$7/100))+(((Inputs!$B$12*(1+Inputs!$B$13/100))-(Inputs!$B$12*(1+Inputs!$B$13/100)))+0.25*(Inputs!$B$14-Inputs!$B$14))*(1+Inputs!$B$7/100))*(F353/100)</f>
        <v/>
      </c>
      <c r="K353">
        <f>J353*(1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353)</f>
        <v/>
      </c>
      <c r="L353">
        <f>K353*(MIN(Inputs!$B$22+((C373=TRUE)*(F373-Calc!F22)),(Inputs!$B$23+((C375=TRUE)*(F375-Calc!F24))+(IF(ArtifactsInput!$M$15,CHOOSE(ArtifactsInput!$N$15+1,25,30,35,40,45,50)/100*(Inputs!$B$11-Inputs!$B$11),0))))/100+(Inputs!$B$23+((C375=TRUE)*(F375-Calc!F24))+(IF(ArtifactsInput!$M$15,CHOOSE(ArtifactsInput!$N$15+1,25,30,35,40,45,50)/100*(Inputs!$B$11-Inputs!$B$11),0)))/100)/2</f>
        <v/>
      </c>
      <c r="M353">
        <f>L353*(1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3">
        <f>L353*(1-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353*(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3">
        <f>(1-Summary!$B$11)*T353+Summary!$B$11*V353</f>
        <v/>
      </c>
      <c r="P353">
        <f>IF(B388=0,0,O353/B388)</f>
        <v/>
      </c>
      <c r="Q353" t="n">
        <v>0</v>
      </c>
      <c r="R353" t="n">
        <v>0</v>
      </c>
      <c r="S353">
        <f>IFERROR(O353/N353,0)</f>
        <v/>
      </c>
      <c r="T353">
        <f>IF(C353,(Skills!G2*N353*B382)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353*(1-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353*(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353*(1-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353*(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3">
        <f>MAX(0,(Inputs!$B$3-100)*3)+Inputs!$B$28+Inputs!$B$29</f>
        <v/>
      </c>
      <c r="V353">
        <f>IF(C353,(Skills!G2*N353*B382)*IF(Inputs!$B$38="pvp",1,(1+(Inputs!$B$21+Skills!Q2+(IF(ArtifactsInput!$M$33,CHOOSE(ArtifactsInput!$N$33+1,30,36,42,48,54,60),0))+(IF(AND(ArtifactsInput!$M$35,Inputs!$B$4&lt;&gt;"Chapter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4">
      <c r="A354">
        <f>Skills!A3</f>
        <v/>
      </c>
      <c r="B354">
        <f>Skills!B3</f>
        <v/>
      </c>
      <c r="C354">
        <f>Inputs!$B$3&gt;=50</f>
        <v/>
      </c>
      <c r="D354">
        <f>IF(Skills!C3=1,60+Inputs!$B$25+Inputs!$B$29,IF(Skills!C3=2,90+Inputs!$B$26+Inputs!$B$29,IF(Skills!C3=3,120+Inputs!$B$27+Inputs!$B$29,MAX(0,(Inputs!$B$3-100)*3)+Inputs!$B$28+Inputs!$B$29)))</f>
        <v/>
      </c>
      <c r="E354">
        <f>INDEX(FactorTable!$B$2:$Y$301, MATCH(ROUND(MIN(300,MAX(1,D354)),0), FactorTable!$A$2:$A$301,0), Skills!M3+1)</f>
        <v/>
      </c>
      <c r="F354">
        <f>IF(Skills!N3=TRUE,(Skills!L3/10)*(E354/1000),Skills!L3/10)+Skills!O3</f>
        <v/>
      </c>
      <c r="G354" t="inlineStr"/>
      <c r="H354" t="inlineStr"/>
      <c r="I354" t="inlineStr">
        <is>
          <t>1</t>
        </is>
      </c>
      <c r="J354" t="inlineStr"/>
      <c r="K354" t="inlineStr"/>
      <c r="L354" t="inlineStr"/>
      <c r="M354" t="inlineStr"/>
      <c r="N354" t="inlineStr"/>
      <c r="O354" t="inlineStr"/>
      <c r="P354" t="inlineStr"/>
      <c r="Q354" t="inlineStr"/>
      <c r="R354" t="inlineStr"/>
      <c r="S354" t="inlineStr"/>
      <c r="U354">
        <f>INDEX(FactorTable!$B$2:$Y$301, MATCH(ROUND(MIN(300,MAX(1,U353)),0), FactorTable!$A$2:$A$301,0), 22)</f>
        <v/>
      </c>
    </row>
    <row r="355">
      <c r="A355">
        <f>Skills!A4</f>
        <v/>
      </c>
      <c r="B355">
        <f>Skills!B4</f>
        <v/>
      </c>
      <c r="C355">
        <f>Inputs!$B$3&gt;=35</f>
        <v/>
      </c>
      <c r="D355">
        <f>IF(Skills!C4=1,60+Inputs!$B$25+Inputs!$B$29,IF(Skills!C4=2,90+Inputs!$B$26+Inputs!$B$29,IF(Skills!C4=3,120+Inputs!$B$27+Inputs!$B$29,MAX(0,(Inputs!$B$3-100)*3)+Inputs!$B$28+Inputs!$B$29)))</f>
        <v/>
      </c>
      <c r="E355">
        <f>INDEX(FactorTable!$B$2:$Y$301, MATCH(ROUND(MIN(300,MAX(1,D355)),0), FactorTable!$A$2:$A$301,0), Skills!M4+1)</f>
        <v/>
      </c>
      <c r="F355">
        <f>IF(Skills!N4=TRUE,(Skills!L4/10)*(E355/1000),Skills!L4/10)+Skills!O4</f>
        <v/>
      </c>
      <c r="G355">
        <f>Skills!G4*IF(Skills!H4&gt;0,Skills!I4/Skills!H4,1)</f>
        <v/>
      </c>
      <c r="H355">
        <f>1-(1-Skills!J4/100)^Skills!K4</f>
        <v/>
      </c>
      <c r="I355" t="inlineStr">
        <is>
          <t>1</t>
        </is>
      </c>
      <c r="J355">
        <f>((Inputs!$B$6*(1+Inputs!$B$7/100))+(((Inputs!$B$12*(1+Inputs!$B$13/100))-(Inputs!$B$12*(1+Inputs!$B$13/100)))+0.25*(Inputs!$B$14-Inputs!$B$14))*(1+Inputs!$B$7/100))*(F355/100)</f>
        <v/>
      </c>
      <c r="K355">
        <f>J355*(1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363=TRUE,F363,0)/100)*(1+(IF(Skills!A4="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355)</f>
        <v/>
      </c>
      <c r="L355">
        <f>K355*(MIN(Inputs!$B$22+((C373=TRUE)*(F373-Calc!F22)),(Inputs!$B$23+((C375=TRUE)*(F375-Calc!F24))+(IF(ArtifactsInput!$M$15,CHOOSE(ArtifactsInput!$N$15+1,25,30,35,40,45,50)/100*(Inputs!$B$11-Inputs!$B$11),0))))/100+(Inputs!$B$23+((C375=TRUE)*(F375-Calc!F24))+(IF(ArtifactsInput!$M$15,CHOOSE(ArtifactsInput!$N$15+1,25,30,35,40,45,50)/100*(Inputs!$B$11-Inputs!$B$11),0)))/100)/2</f>
        <v/>
      </c>
      <c r="M355">
        <f>L355*(1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5">
        <f>L355*(1-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355*(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5">
        <f>(1-Summary!$B$11)*T355+Summary!$B$11*V355</f>
        <v/>
      </c>
      <c r="P355">
        <f>IF(B388=0,0,O355/B388)</f>
        <v/>
      </c>
      <c r="Q355">
        <f>IFERROR(1/(IF(Inputs!$B$38="pvp",15,MAX(0.1,Skills!D4-IF(Skills!E4=TRUE,Inputs!$B$32,0)))*(1-IF(AND(ArtifactsInput!$M$27,Inputs!$B$4="Chapter Hunt"),CHOOSE(ArtifactsInput!$N$27+1,20,24,28,32,36,40),0)/100)),0)</f>
        <v/>
      </c>
      <c r="R355">
        <f>IF(AND(Inputs!$B$38&lt;&gt;"pvp",Inputs!$B$43&gt;0),IF(MAX(0,Inputs!$B$43-B385)&lt;=0,0,(INT(MAX(0,Inputs!$B$43-B385)/(IF(Inputs!$B$38="pvp",15,MAX(0.1,Skills!D4-IF(Skills!E4=TRUE,Inputs!$B$32,0)))*(1-IF(AND(ArtifactsInput!$M$27,Inputs!$B$4="Chapter Hunt"),CHOOSE(ArtifactsInput!$N$27+1,20,24,28,32,36,40),0)/100)))+1)),0)</f>
        <v/>
      </c>
      <c r="S355">
        <f>IFERROR(O355/N355,0)</f>
        <v/>
      </c>
      <c r="T355">
        <f>IF(C355,(H355*N355*IF(AND(Inputs!$B$38&lt;&gt;"pvp",Inputs!$B$43&gt;0),((Skills!G4*((R355-1)*IF(Skills!H4&gt;0,Skills!I4/Skills!H4,1)+IF(Skills!H4&gt;0,MIN(Skills!I4,MAX(0,MAX(0,Inputs!$B$43-B385)-((R355-1)*(IF(Inputs!$B$38="pvp",15,MAX(0.1,Skills!D4-IF(Skills!E4=TRUE,Inputs!$B$32,0)))*(1-IF(AND(ArtifactsInput!$M$27,Inputs!$B$4="Chapter Hunt"),CHOOSE(ArtifactsInput!$N$27+1,20,24,28,32,36,40),0)/100)))))/Skills!H4,1)))/Inputs!$B$43),G355*Q355)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355*(1-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355*(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355*(1-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355*(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55">
        <f>290*U354/1000</f>
        <v/>
      </c>
      <c r="V355">
        <f>IF(C355,(H355*N355*IF(AND(Inputs!$B$38&lt;&gt;"pvp",Inputs!$B$43&gt;0),((Skills!G4*((R355-1)*IF(Skills!H4&gt;0,Skills!I4/Skills!H4,1)+IF(Skills!H4&gt;0,MIN(Skills!I4,MAX(0,MAX(0,Inputs!$B$43-B385)-((R355-1)*(IF(Inputs!$B$38="pvp",15,MAX(0.1,Skills!D4-IF(Skills!E4=TRUE,Inputs!$B$32,0)))*(1-IF(AND(ArtifactsInput!$M$27,Inputs!$B$4="Chapter Hunt"),CHOOSE(ArtifactsInput!$N$27+1,20,24,28,32,36,40),0)/100)))))/Skills!H4,1)))/Inputs!$B$43),G355*Q355))*IF(Inputs!$B$38="pvp",1,(1+(Inputs!$B$21+Skills!Q4+(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6">
      <c r="A356">
        <f>Skills!A5</f>
        <v/>
      </c>
      <c r="B356">
        <f>Skills!B5</f>
        <v/>
      </c>
      <c r="C356">
        <f>Inputs!$B$3&gt;=66</f>
        <v/>
      </c>
      <c r="D356">
        <f>IF(Skills!C5=1,60+Inputs!$B$25+Inputs!$B$29,IF(Skills!C5=2,90+Inputs!$B$26+Inputs!$B$29,IF(Skills!C5=3,120+Inputs!$B$27+Inputs!$B$29,MAX(0,(Inputs!$B$3-100)*3)+Inputs!$B$28+Inputs!$B$29)))</f>
        <v/>
      </c>
      <c r="E356">
        <f>INDEX(FactorTable!$B$2:$Y$301, MATCH(ROUND(MIN(300,MAX(1,D356)),0), FactorTable!$A$2:$A$301,0), Skills!M5+1)</f>
        <v/>
      </c>
      <c r="F356">
        <f>IF(Skills!N5=TRUE,(Skills!L5/10)*(E356/1000),Skills!L5/10)+Skills!O5</f>
        <v/>
      </c>
      <c r="G356">
        <f>Skills!G5*IF(Skills!H5&gt;0,Skills!I5/Skills!H5,1)</f>
        <v/>
      </c>
      <c r="H356">
        <f>1-(1-Skills!J5/100)^Skills!K5</f>
        <v/>
      </c>
      <c r="I356" t="inlineStr">
        <is>
          <t>1</t>
        </is>
      </c>
      <c r="J356">
        <f>((Inputs!$B$6*(1+Inputs!$B$7/100))+(((Inputs!$B$12*(1+Inputs!$B$13/100))-(Inputs!$B$12*(1+Inputs!$B$13/100)))+0.25*(Inputs!$B$14-Inputs!$B$14))*(1+Inputs!$B$7/100))*(F356/100)</f>
        <v/>
      </c>
      <c r="K356">
        <f>J356*(1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363=TRUE,F363,0)/100)*(1+(IF(Skills!A5="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356)</f>
        <v/>
      </c>
      <c r="L356">
        <f>K356*(MIN(Inputs!$B$22+((C373=TRUE)*(F373-Calc!F22)),(Inputs!$B$23+((C375=TRUE)*(F375-Calc!F24))+(IF(ArtifactsInput!$M$15,CHOOSE(ArtifactsInput!$N$15+1,25,30,35,40,45,50)/100*(Inputs!$B$11-Inputs!$B$11),0))))/100+(Inputs!$B$23+((C375=TRUE)*(F375-Calc!F24))+(IF(ArtifactsInput!$M$15,CHOOSE(ArtifactsInput!$N$15+1,25,30,35,40,45,50)/100*(Inputs!$B$11-Inputs!$B$11),0)))/100)/2</f>
        <v/>
      </c>
      <c r="M356">
        <f>L356*(1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6">
        <f>L356*(1-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356*(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6">
        <f>(1-Summary!$B$11)*T356+Summary!$B$11*V356</f>
        <v/>
      </c>
      <c r="P356">
        <f>IF(B388=0,0,O356/B388)</f>
        <v/>
      </c>
      <c r="Q356">
        <f>IFERROR(1/(IF(Inputs!$B$38="pvp",15,MAX(0.1,Skills!D5-IF(Skills!E5=TRUE,Inputs!$B$32,0)))*(1-IF(AND(ArtifactsInput!$M$27,Inputs!$B$4="Chapter Hunt"),CHOOSE(ArtifactsInput!$N$27+1,20,24,28,32,36,40),0)/100)),0)</f>
        <v/>
      </c>
      <c r="R356">
        <f>IF(AND(Inputs!$B$38&lt;&gt;"pvp",Inputs!$B$43&gt;0),IF(MAX(0,Inputs!$B$43-B385)&lt;=0,0,(INT(MAX(0,Inputs!$B$43-B385)/(IF(Inputs!$B$38="pvp",15,MAX(0.1,Skills!D5-IF(Skills!E5=TRUE,Inputs!$B$32,0)))*(1-IF(AND(ArtifactsInput!$M$27,Inputs!$B$4="Chapter Hunt"),CHOOSE(ArtifactsInput!$N$27+1,20,24,28,32,36,40),0)/100)))+1)),0)</f>
        <v/>
      </c>
      <c r="S356">
        <f>IFERROR(O356/N356,0)</f>
        <v/>
      </c>
      <c r="T356">
        <f>IF(C356,(H356*N356*IF(AND(Inputs!$B$38&lt;&gt;"pvp",Inputs!$B$43&gt;0),((Skills!G5*((R356-1)*IF(Skills!H5&gt;0,Skills!I5/Skills!H5,1)+IF(Skills!H5&gt;0,MIN(Skills!I5,MAX(0,MAX(0,Inputs!$B$43-B385)-((R356-1)*(IF(Inputs!$B$38="pvp",15,MAX(0.1,Skills!D5-IF(Skills!E5=TRUE,Inputs!$B$32,0)))*(1-IF(AND(ArtifactsInput!$M$27,Inputs!$B$4="Chapter Hunt"),CHOOSE(ArtifactsInput!$N$27+1,20,24,28,32,36,40),0)/100)))))/Skills!H5,1)))/Inputs!$B$43),G356*Q356)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356*(1-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356*(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356*(1-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356*(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6">
        <f>IF(C356,(H356*N356*IF(AND(Inputs!$B$38&lt;&gt;"pvp",Inputs!$B$43&gt;0),((Skills!G5*((R356-1)*IF(Skills!H5&gt;0,Skills!I5/Skills!H5,1)+IF(Skills!H5&gt;0,MIN(Skills!I5,MAX(0,MAX(0,Inputs!$B$43-B385)-((R356-1)*(IF(Inputs!$B$38="pvp",15,MAX(0.1,Skills!D5-IF(Skills!E5=TRUE,Inputs!$B$32,0)))*(1-IF(AND(ArtifactsInput!$M$27,Inputs!$B$4="Chapter Hunt"),CHOOSE(ArtifactsInput!$N$27+1,20,24,28,32,36,40),0)/100)))))/Skills!H5,1)))/Inputs!$B$43),G356*Q356))*IF(Inputs!$B$38="pvp",1,(1+(Inputs!$B$21+Skills!Q5+(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7">
      <c r="A357">
        <f>Skills!A6</f>
        <v/>
      </c>
      <c r="B357">
        <f>Skills!B6</f>
        <v/>
      </c>
      <c r="C357">
        <f>Inputs!$B$3&gt;=103</f>
        <v/>
      </c>
      <c r="D357">
        <f>IF(Skills!C6=1,60+Inputs!$B$25+Inputs!$B$29,IF(Skills!C6=2,90+Inputs!$B$26+Inputs!$B$29,IF(Skills!C6=3,120+Inputs!$B$27+Inputs!$B$29,MAX(0,(Inputs!$B$3-100)*3)+Inputs!$B$28+Inputs!$B$29)))</f>
        <v/>
      </c>
      <c r="E357">
        <f>INDEX(FactorTable!$B$2:$Y$301, MATCH(ROUND(MIN(300,MAX(1,D357)),0), FactorTable!$A$2:$A$301,0), Skills!M6+1)</f>
        <v/>
      </c>
      <c r="F357">
        <f>IF(Skills!N6=TRUE,(Skills!L6/10)*(E357/1000),Skills!L6/10)+Skills!O6</f>
        <v/>
      </c>
      <c r="G357">
        <f>Skills!G6*IF(Skills!H6&gt;0,Skills!I6/Skills!H6,1)</f>
        <v/>
      </c>
      <c r="H357">
        <f>1-(1-Skills!J6/100)^Skills!K6</f>
        <v/>
      </c>
      <c r="I357" t="inlineStr">
        <is>
          <t>1</t>
        </is>
      </c>
      <c r="J357">
        <f>((Inputs!$B$6*(1+Inputs!$B$7/100))+(((Inputs!$B$12*(1+Inputs!$B$13/100))-(Inputs!$B$12*(1+Inputs!$B$13/100)))+0.25*(Inputs!$B$14-Inputs!$B$14))*(1+Inputs!$B$7/100))*(F357/100)</f>
        <v/>
      </c>
      <c r="K357">
        <f>J357*(1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357)</f>
        <v/>
      </c>
      <c r="L357">
        <f>K357*(MIN(Inputs!$B$22+((C373=TRUE)*(F373-Calc!F22)),(Inputs!$B$23+((C375=TRUE)*(F375-Calc!F24))+(IF(ArtifactsInput!$M$15,CHOOSE(ArtifactsInput!$N$15+1,25,30,35,40,45,50)/100*(Inputs!$B$11-Inputs!$B$11),0))))/100+(Inputs!$B$23+((C375=TRUE)*(F375-Calc!F24))+(IF(ArtifactsInput!$M$15,CHOOSE(ArtifactsInput!$N$15+1,25,30,35,40,45,50)/100*(Inputs!$B$11-Inputs!$B$11),0)))/100)/2</f>
        <v/>
      </c>
      <c r="M357">
        <f>L357*(1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7">
        <f>L357*(1-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357*(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7">
        <f>(1-Summary!$B$11)*T357+Summary!$B$11*V357</f>
        <v/>
      </c>
      <c r="P357">
        <f>IF(B388=0,0,O357/B388)</f>
        <v/>
      </c>
      <c r="Q357">
        <f>IFERROR(1/(IF(Inputs!$B$38="pvp",15,MAX(0.1,Skills!D6-IF(Skills!E6=TRUE,Inputs!$B$32,0)))*(1-IF(AND(ArtifactsInput!$M$27,Inputs!$B$4="Chapter Hunt"),CHOOSE(ArtifactsInput!$N$27+1,20,24,28,32,36,40),0)/100)),0)</f>
        <v/>
      </c>
      <c r="R357">
        <f>IF(AND(Inputs!$B$38&lt;&gt;"pvp",Inputs!$B$43&gt;0),IF(MAX(0,Inputs!$B$43-B385)&lt;=0,0,(INT(MAX(0,Inputs!$B$43-B385)/(IF(Inputs!$B$38="pvp",15,MAX(0.1,Skills!D6-IF(Skills!E6=TRUE,Inputs!$B$32,0)))*(1-IF(AND(ArtifactsInput!$M$27,Inputs!$B$4="Chapter Hunt"),CHOOSE(ArtifactsInput!$N$27+1,20,24,28,32,36,40),0)/100)))+1)),0)</f>
        <v/>
      </c>
      <c r="S357">
        <f>IFERROR(O357/N357,0)</f>
        <v/>
      </c>
      <c r="T357">
        <f>IF(C357,(H357*N357*IF(AND(Inputs!$B$38&lt;&gt;"pvp",Inputs!$B$43&gt;0),((Skills!G6*((R357-1)*IF(Skills!H6&gt;0,Skills!I6/Skills!H6,1)+IF(Skills!H6&gt;0,MIN(Skills!I6,MAX(0,MAX(0,Inputs!$B$43-B385)-((R357-1)*(IF(Inputs!$B$38="pvp",15,MAX(0.1,Skills!D6-IF(Skills!E6=TRUE,Inputs!$B$32,0)))*(1-IF(AND(ArtifactsInput!$M$27,Inputs!$B$4="Chapter Hunt"),CHOOSE(ArtifactsInput!$N$27+1,20,24,28,32,36,40),0)/100)))))/Skills!H6,1)))/Inputs!$B$43),G357*Q357)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357*(1-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357*(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357*(1-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357*(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7">
        <f>IF(C357,(H357*N357*IF(AND(Inputs!$B$38&lt;&gt;"pvp",Inputs!$B$43&gt;0),((Skills!G6*((R357-1)*IF(Skills!H6&gt;0,Skills!I6/Skills!H6,1)+IF(Skills!H6&gt;0,MIN(Skills!I6,MAX(0,MAX(0,Inputs!$B$43-B385)-((R357-1)*(IF(Inputs!$B$38="pvp",15,MAX(0.1,Skills!D6-IF(Skills!E6=TRUE,Inputs!$B$32,0)))*(1-IF(AND(ArtifactsInput!$M$27,Inputs!$B$4="Chapter Hunt"),CHOOSE(ArtifactsInput!$N$27+1,20,24,28,32,36,40),0)/100)))))/Skills!H6,1)))/Inputs!$B$43),G357*Q357))*IF(Inputs!$B$38="pvp",1,(1+(Inputs!$B$21+Skills!Q6+(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8">
      <c r="A358">
        <f>Skills!A7</f>
        <v/>
      </c>
      <c r="B358">
        <f>Skills!B7</f>
        <v/>
      </c>
      <c r="C358">
        <f>Inputs!$B$3&gt;=107</f>
        <v/>
      </c>
      <c r="D358">
        <f>IF(Skills!C7=1,60+Inputs!$B$25+Inputs!$B$29,IF(Skills!C7=2,90+Inputs!$B$26+Inputs!$B$29,IF(Skills!C7=3,120+Inputs!$B$27+Inputs!$B$29,MAX(0,(Inputs!$B$3-100)*3)+Inputs!$B$28+Inputs!$B$29)))</f>
        <v/>
      </c>
      <c r="E358">
        <f>INDEX(FactorTable!$B$2:$Y$301, MATCH(ROUND(MIN(300,MAX(1,D358)),0), FactorTable!$A$2:$A$301,0), Skills!M7+1)</f>
        <v/>
      </c>
      <c r="F358">
        <f>IF(Skills!N7=TRUE,(Skills!L7/10)*(E358/1000),Skills!L7/10)+Skills!O7</f>
        <v/>
      </c>
      <c r="G358">
        <f>Skills!G7*IF(Skills!H7&gt;0,Skills!I7/Skills!H7,1)</f>
        <v/>
      </c>
      <c r="H358">
        <f>1-(1-Skills!J7/100)^Skills!K7</f>
        <v/>
      </c>
      <c r="I358" t="inlineStr">
        <is>
          <t>1</t>
        </is>
      </c>
      <c r="J358">
        <f>((Inputs!$B$6*(1+Inputs!$B$7/100))+(((Inputs!$B$12*(1+Inputs!$B$13/100))-(Inputs!$B$12*(1+Inputs!$B$13/100)))+0.25*(Inputs!$B$14-Inputs!$B$14))*(1+Inputs!$B$7/100))*(F358/100)</f>
        <v/>
      </c>
      <c r="K358">
        <f>J358*(1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358)</f>
        <v/>
      </c>
      <c r="L358">
        <f>K358*(MIN(Inputs!$B$22+((C373=TRUE)*(F373-Calc!F22)),(Inputs!$B$23+((C375=TRUE)*(F375-Calc!F24))+(IF(ArtifactsInput!$M$15,CHOOSE(ArtifactsInput!$N$15+1,25,30,35,40,45,50)/100*(Inputs!$B$11-Inputs!$B$11),0))))/100+(Inputs!$B$23+((C375=TRUE)*(F375-Calc!F24))+(IF(ArtifactsInput!$M$15,CHOOSE(ArtifactsInput!$N$15+1,25,30,35,40,45,50)/100*(Inputs!$B$11-Inputs!$B$11),0)))/100)/2</f>
        <v/>
      </c>
      <c r="M358">
        <f>L358*(1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8">
        <f>L358*(1-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358*(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8">
        <f>(1-Summary!$B$11)*T358+Summary!$B$11*V358</f>
        <v/>
      </c>
      <c r="P358">
        <f>IF(B388=0,0,O358/B388)</f>
        <v/>
      </c>
      <c r="Q358">
        <f>IFERROR(1/(IF(Inputs!$B$38="pvp",15,MAX(0.1,Skills!D7-IF(Skills!E7=TRUE,Inputs!$B$32,0)))*(1-IF(AND(ArtifactsInput!$M$27,Inputs!$B$4="Chapter Hunt"),CHOOSE(ArtifactsInput!$N$27+1,20,24,28,32,36,40),0)/100)),0)</f>
        <v/>
      </c>
      <c r="R358">
        <f>IF(AND(Inputs!$B$38&lt;&gt;"pvp",Inputs!$B$43&gt;0),IF(MAX(0,Inputs!$B$43-B385)&lt;=0,0,(INT(MAX(0,Inputs!$B$43-B385)/(IF(Inputs!$B$38="pvp",15,MAX(0.1,Skills!D7-IF(Skills!E7=TRUE,Inputs!$B$32,0)))*(1-IF(AND(ArtifactsInput!$M$27,Inputs!$B$4="Chapter Hunt"),CHOOSE(ArtifactsInput!$N$27+1,20,24,28,32,36,40),0)/100)))+1)),0)</f>
        <v/>
      </c>
      <c r="S358">
        <f>IFERROR(O358/N358,0)</f>
        <v/>
      </c>
      <c r="T358">
        <f>IF(C358,(H358*N358*IF(AND(Inputs!$B$38&lt;&gt;"pvp",Inputs!$B$43&gt;0),((Skills!G7*((R358-1)*IF(Skills!H7&gt;0,Skills!I7/Skills!H7,1)+IF(Skills!H7&gt;0,MIN(Skills!I7,MAX(0,MAX(0,Inputs!$B$43-B385)-((R358-1)*(IF(Inputs!$B$38="pvp",15,MAX(0.1,Skills!D7-IF(Skills!E7=TRUE,Inputs!$B$32,0)))*(1-IF(AND(ArtifactsInput!$M$27,Inputs!$B$4="Chapter Hunt"),CHOOSE(ArtifactsInput!$N$27+1,20,24,28,32,36,40),0)/100)))))/Skills!H7,1)))/Inputs!$B$43),G358*Q358)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358*(1-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358*(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358*(1-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358*(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8">
        <f>IF(C358,(H358*N358*IF(AND(Inputs!$B$38&lt;&gt;"pvp",Inputs!$B$43&gt;0),((Skills!G7*((R358-1)*IF(Skills!H7&gt;0,Skills!I7/Skills!H7,1)+IF(Skills!H7&gt;0,MIN(Skills!I7,MAX(0,MAX(0,Inputs!$B$43-B385)-((R358-1)*(IF(Inputs!$B$38="pvp",15,MAX(0.1,Skills!D7-IF(Skills!E7=TRUE,Inputs!$B$32,0)))*(1-IF(AND(ArtifactsInput!$M$27,Inputs!$B$4="Chapter Hunt"),CHOOSE(ArtifactsInput!$N$27+1,20,24,28,32,36,40),0)/100)))))/Skills!H7,1)))/Inputs!$B$43),G358*Q358))*IF(Inputs!$B$38="pvp",1,(1+(Inputs!$B$21+Skills!Q7+(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9">
      <c r="A359">
        <f>Skills!A8</f>
        <v/>
      </c>
      <c r="B359">
        <f>Skills!B8</f>
        <v/>
      </c>
      <c r="C359">
        <f>Inputs!$B$3&gt;=107</f>
        <v/>
      </c>
      <c r="D359">
        <f>IF(Skills!C8=1,60+Inputs!$B$25+Inputs!$B$29,IF(Skills!C8=2,90+Inputs!$B$26+Inputs!$B$29,IF(Skills!C8=3,120+Inputs!$B$27+Inputs!$B$29,MAX(0,(Inputs!$B$3-100)*3)+Inputs!$B$28+Inputs!$B$29)))</f>
        <v/>
      </c>
      <c r="E359">
        <f>INDEX(FactorTable!$B$2:$Y$301, MATCH(ROUND(MIN(300,MAX(1,D359)),0), FactorTable!$A$2:$A$301,0), Skills!M8+1)</f>
        <v/>
      </c>
      <c r="F359">
        <f>IF(Skills!N8=TRUE,(Skills!L8/10)*(E359/1000),Skills!L8/10)+Skills!O8</f>
        <v/>
      </c>
      <c r="G359">
        <f>Skills!G8*IF(Skills!H8&gt;0,Skills!I8/Skills!H8,1)</f>
        <v/>
      </c>
      <c r="H359">
        <f>1-(1-Skills!J8/100)^Skills!K8</f>
        <v/>
      </c>
      <c r="I359" t="inlineStr">
        <is>
          <t>1</t>
        </is>
      </c>
      <c r="J359">
        <f>((Inputs!$B$6*(1+Inputs!$B$7/100))+(((Inputs!$B$12*(1+Inputs!$B$13/100))-(Inputs!$B$12*(1+Inputs!$B$13/100)))+0.25*(Inputs!$B$14-Inputs!$B$14))*(1+Inputs!$B$7/100))*(F359/100)</f>
        <v/>
      </c>
      <c r="K359">
        <f>J359*(1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359)</f>
        <v/>
      </c>
      <c r="L359">
        <f>K359*(MIN(Inputs!$B$22+((C373=TRUE)*(F373-Calc!F22)),(Inputs!$B$23+((C375=TRUE)*(F375-Calc!F24))+(IF(ArtifactsInput!$M$15,CHOOSE(ArtifactsInput!$N$15+1,25,30,35,40,45,50)/100*(Inputs!$B$11-Inputs!$B$11),0))))/100+(Inputs!$B$23+((C375=TRUE)*(F375-Calc!F24))+(IF(ArtifactsInput!$M$15,CHOOSE(ArtifactsInput!$N$15+1,25,30,35,40,45,50)/100*(Inputs!$B$11-Inputs!$B$11),0)))/100)/2</f>
        <v/>
      </c>
      <c r="M359">
        <f>L359*(1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9">
        <f>L359*(1-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359*(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9">
        <f>(1-Summary!$B$11)*T359+Summary!$B$11*V359</f>
        <v/>
      </c>
      <c r="P359">
        <f>IF(B388=0,0,O359/B388)</f>
        <v/>
      </c>
      <c r="Q359">
        <f>IFERROR(1/(IF(Inputs!$B$38="pvp",15,MAX(0.1,Skills!D8-IF(Skills!E8=TRUE,Inputs!$B$32,0)))*(1-IF(AND(ArtifactsInput!$M$27,Inputs!$B$4="Chapter Hunt"),CHOOSE(ArtifactsInput!$N$27+1,20,24,28,32,36,40),0)/100)),0)</f>
        <v/>
      </c>
      <c r="R359">
        <f>IF(AND(Inputs!$B$38&lt;&gt;"pvp",Inputs!$B$43&gt;0),IF(MAX(0,Inputs!$B$43-B385)&lt;=0,0,(INT(MAX(0,Inputs!$B$43-B385)/(IF(Inputs!$B$38="pvp",15,MAX(0.1,Skills!D8-IF(Skills!E8=TRUE,Inputs!$B$32,0)))*(1-IF(AND(ArtifactsInput!$M$27,Inputs!$B$4="Chapter Hunt"),CHOOSE(ArtifactsInput!$N$27+1,20,24,28,32,36,40),0)/100)))+1)),0)</f>
        <v/>
      </c>
      <c r="S359">
        <f>IFERROR(O359/N359,0)</f>
        <v/>
      </c>
      <c r="T359">
        <f>IF(C359,(H359*N359*IF(AND(Inputs!$B$38&lt;&gt;"pvp",Inputs!$B$43&gt;0),((Skills!G8*((R359-1)*IF(Skills!H8&gt;0,Skills!I8/Skills!H8,1)+IF(Skills!H8&gt;0,MIN(Skills!I8,MAX(0,MAX(0,Inputs!$B$43-B385)-((R359-1)*(IF(Inputs!$B$38="pvp",15,MAX(0.1,Skills!D8-IF(Skills!E8=TRUE,Inputs!$B$32,0)))*(1-IF(AND(ArtifactsInput!$M$27,Inputs!$B$4="Chapter Hunt"),CHOOSE(ArtifactsInput!$N$27+1,20,24,28,32,36,40),0)/100)))))/Skills!H8,1)))/Inputs!$B$43),G359*Q359)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359*(1-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359*(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359*(1-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359*(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9">
        <f>IF(C359,(H359*N359*IF(AND(Inputs!$B$38&lt;&gt;"pvp",Inputs!$B$43&gt;0),((Skills!G8*((R359-1)*IF(Skills!H8&gt;0,Skills!I8/Skills!H8,1)+IF(Skills!H8&gt;0,MIN(Skills!I8,MAX(0,MAX(0,Inputs!$B$43-B385)-((R359-1)*(IF(Inputs!$B$38="pvp",15,MAX(0.1,Skills!D8-IF(Skills!E8=TRUE,Inputs!$B$32,0)))*(1-IF(AND(ArtifactsInput!$M$27,Inputs!$B$4="Chapter Hunt"),CHOOSE(ArtifactsInput!$N$27+1,20,24,28,32,36,40),0)/100)))))/Skills!H8,1)))/Inputs!$B$43),G359*Q359))*IF(Inputs!$B$38="pvp",1,(1+(Inputs!$B$21+Skills!Q8+(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0">
      <c r="A360">
        <f>Skills!A9</f>
        <v/>
      </c>
      <c r="B360">
        <f>Skills!B9</f>
        <v/>
      </c>
      <c r="C360">
        <f>Inputs!$B$3&gt;=125</f>
        <v/>
      </c>
      <c r="D360">
        <f>IF(Skills!C9=1,60+Inputs!$B$25+Inputs!$B$29,IF(Skills!C9=2,90+Inputs!$B$26+Inputs!$B$29,IF(Skills!C9=3,120+Inputs!$B$27+Inputs!$B$29,MAX(0,(Inputs!$B$3-100)*3)+Inputs!$B$28+Inputs!$B$29)))</f>
        <v/>
      </c>
      <c r="E360">
        <f>INDEX(FactorTable!$B$2:$Y$301, MATCH(ROUND(MIN(300,MAX(1,D360)),0), FactorTable!$A$2:$A$301,0), Skills!M9+1)</f>
        <v/>
      </c>
      <c r="F360">
        <f>IF(Skills!N9=TRUE,(Skills!L9/10)*(E360/1000),Skills!L9/10)+Skills!O9</f>
        <v/>
      </c>
      <c r="G360">
        <f>Skills!G9*IF(Skills!H9&gt;0,Skills!I9/Skills!H9,1)</f>
        <v/>
      </c>
      <c r="H360">
        <f>1-(1-Skills!J9/100)^Skills!K9</f>
        <v/>
      </c>
      <c r="I360" t="inlineStr">
        <is>
          <t>1</t>
        </is>
      </c>
      <c r="J360">
        <f>((Inputs!$B$6*(1+Inputs!$B$7/100))+(((Inputs!$B$12*(1+Inputs!$B$13/100))-(Inputs!$B$12*(1+Inputs!$B$13/100)))+0.25*(Inputs!$B$14-Inputs!$B$14))*(1+Inputs!$B$7/100))*(F360/100)</f>
        <v/>
      </c>
      <c r="K360">
        <f>J360*(1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360)</f>
        <v/>
      </c>
      <c r="L360">
        <f>K360*(MIN(Inputs!$B$22+((C373=TRUE)*(F373-Calc!F22)),(Inputs!$B$23+((C375=TRUE)*(F375-Calc!F24))+(IF(ArtifactsInput!$M$15,CHOOSE(ArtifactsInput!$N$15+1,25,30,35,40,45,50)/100*(Inputs!$B$11-Inputs!$B$11),0))))/100+(Inputs!$B$23+((C375=TRUE)*(F375-Calc!F24))+(IF(ArtifactsInput!$M$15,CHOOSE(ArtifactsInput!$N$15+1,25,30,35,40,45,50)/100*(Inputs!$B$11-Inputs!$B$11),0)))/100)/2</f>
        <v/>
      </c>
      <c r="M360">
        <f>L360*(1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0">
        <f>L360*(1-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360*(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0">
        <f>(1-Summary!$B$11)*T360+Summary!$B$11*V360</f>
        <v/>
      </c>
      <c r="P360">
        <f>IF(B388=0,0,O360/B388)</f>
        <v/>
      </c>
      <c r="Q360">
        <f>IFERROR(1/(IF(Inputs!$B$38="pvp",15,MAX(0.1,Skills!D9-IF(Skills!E9=TRUE,Inputs!$B$32,0)))*(1-IF(AND(ArtifactsInput!$M$27,Inputs!$B$4="Chapter Hunt"),CHOOSE(ArtifactsInput!$N$27+1,20,24,28,32,36,40),0)/100)),0)</f>
        <v/>
      </c>
      <c r="R360">
        <f>IF(AND(Inputs!$B$38&lt;&gt;"pvp",Inputs!$B$43&gt;0),IF(MAX(0,Inputs!$B$43-B385)&lt;=0,0,(INT(MAX(0,Inputs!$B$43-B385)/(IF(Inputs!$B$38="pvp",15,MAX(0.1,Skills!D9-IF(Skills!E9=TRUE,Inputs!$B$32,0)))*(1-IF(AND(ArtifactsInput!$M$27,Inputs!$B$4="Chapter Hunt"),CHOOSE(ArtifactsInput!$N$27+1,20,24,28,32,36,40),0)/100)))+1)),0)</f>
        <v/>
      </c>
      <c r="S360">
        <f>IFERROR(O360/N360,0)</f>
        <v/>
      </c>
      <c r="T360">
        <f>IF(C360,(H360*N360*IF(AND(Inputs!$B$38&lt;&gt;"pvp",Inputs!$B$43&gt;0),((Skills!G9*((R360-1)*IF(Skills!H9&gt;0,Skills!I9/Skills!H9,1)+IF(Skills!H9&gt;0,MIN(Skills!I9,MAX(0,MAX(0,Inputs!$B$43-B385)-((R360-1)*(IF(Inputs!$B$38="pvp",15,MAX(0.1,Skills!D9-IF(Skills!E9=TRUE,Inputs!$B$32,0)))*(1-IF(AND(ArtifactsInput!$M$27,Inputs!$B$4="Chapter Hunt"),CHOOSE(ArtifactsInput!$N$27+1,20,24,28,32,36,40),0)/100)))))/Skills!H9,1)))/Inputs!$B$43),G360*Q360)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360*(1-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360*(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360*(1-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360*(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0">
        <f>IF(C360,(H360*N360*IF(AND(Inputs!$B$38&lt;&gt;"pvp",Inputs!$B$43&gt;0),((Skills!G9*((R360-1)*IF(Skills!H9&gt;0,Skills!I9/Skills!H9,1)+IF(Skills!H9&gt;0,MIN(Skills!I9,MAX(0,MAX(0,Inputs!$B$43-B385)-((R360-1)*(IF(Inputs!$B$38="pvp",15,MAX(0.1,Skills!D9-IF(Skills!E9=TRUE,Inputs!$B$32,0)))*(1-IF(AND(ArtifactsInput!$M$27,Inputs!$B$4="Chapter Hunt"),CHOOSE(ArtifactsInput!$N$27+1,20,24,28,32,36,40),0)/100)))))/Skills!H9,1)))/Inputs!$B$43),G360*Q360))*IF(Inputs!$B$38="pvp",1,(1+(Inputs!$B$21+Skills!Q9+(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1">
      <c r="A361">
        <f>Skills!A10</f>
        <v/>
      </c>
      <c r="B361">
        <f>Skills!B10</f>
        <v/>
      </c>
      <c r="C361">
        <f>Inputs!$B$3&gt;=117</f>
        <v/>
      </c>
      <c r="D361">
        <f>IF(Skills!C10=1,60+Inputs!$B$25+Inputs!$B$29,IF(Skills!C10=2,90+Inputs!$B$26+Inputs!$B$29,IF(Skills!C10=3,120+Inputs!$B$27+Inputs!$B$29,MAX(0,(Inputs!$B$3-100)*3)+Inputs!$B$28+Inputs!$B$29)))</f>
        <v/>
      </c>
      <c r="E361">
        <f>INDEX(FactorTable!$B$2:$Y$301, MATCH(ROUND(MIN(300,MAX(1,D361)),0), FactorTable!$A$2:$A$301,0), Skills!M10+1)</f>
        <v/>
      </c>
      <c r="F361">
        <f>IF(Skills!N10=TRUE,(Skills!L10/10)*(E361/1000),Skills!L10/10)+Skills!O10</f>
        <v/>
      </c>
      <c r="G361">
        <f>Skills!G10*IF(Skills!H10&gt;0,Skills!I10/Skills!H10,1)</f>
        <v/>
      </c>
      <c r="H361">
        <f>1-(1-Skills!J10/100)^Skills!K10</f>
        <v/>
      </c>
      <c r="I361" t="inlineStr">
        <is>
          <t>1</t>
        </is>
      </c>
      <c r="J361">
        <f>((Inputs!$B$6*(1+Inputs!$B$7/100))+(((Inputs!$B$12*(1+Inputs!$B$13/100))-(Inputs!$B$12*(1+Inputs!$B$13/100)))+0.25*(Inputs!$B$14-Inputs!$B$14))*(1+Inputs!$B$7/100))*(F361/100)</f>
        <v/>
      </c>
      <c r="K361">
        <f>J361*(1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361)</f>
        <v/>
      </c>
      <c r="L361">
        <f>K361*(MIN(Inputs!$B$22+((C373=TRUE)*(F373-Calc!F22)),(Inputs!$B$23+((C375=TRUE)*(F375-Calc!F24))+(IF(ArtifactsInput!$M$15,CHOOSE(ArtifactsInput!$N$15+1,25,30,35,40,45,50)/100*(Inputs!$B$11-Inputs!$B$11),0))))/100+(Inputs!$B$23+((C375=TRUE)*(F375-Calc!F24))+(IF(ArtifactsInput!$M$15,CHOOSE(ArtifactsInput!$N$15+1,25,30,35,40,45,50)/100*(Inputs!$B$11-Inputs!$B$11),0)))/100)/2</f>
        <v/>
      </c>
      <c r="M361">
        <f>L361*(1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1">
        <f>L361*(1-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1">
        <f>(1-Summary!$B$11)*T361+Summary!$B$11*V361</f>
        <v/>
      </c>
      <c r="P361">
        <f>IF(B388=0,0,O361/B388)</f>
        <v/>
      </c>
      <c r="Q361">
        <f>IFERROR(1/(IF(Inputs!$B$38="pvp",15,MAX(0.1,Skills!D10-IF(Skills!E10=TRUE,Inputs!$B$32,0)))*(1-IF(AND(ArtifactsInput!$M$27,Inputs!$B$4="Chapter Hunt"),CHOOSE(ArtifactsInput!$N$27+1,20,24,28,32,36,40),0)/100)),0)</f>
        <v/>
      </c>
      <c r="R361">
        <f>IF(AND(Inputs!$B$38&lt;&gt;"pvp",Inputs!$B$43&gt;0),IF(MAX(0,Inputs!$B$43-B385)&lt;=0,0,(INT(MAX(0,Inputs!$B$43-B385)/(IF(Inputs!$B$38="pvp",15,MAX(0.1,Skills!D10-IF(Skills!E10=TRUE,Inputs!$B$32,0)))*(1-IF(AND(ArtifactsInput!$M$27,Inputs!$B$4="Chapter Hunt"),CHOOSE(ArtifactsInput!$N$27+1,20,24,28,32,36,40),0)/100)))+1)),0)</f>
        <v/>
      </c>
      <c r="S361">
        <f>IFERROR(O361/N361,0)</f>
        <v/>
      </c>
      <c r="T361">
        <f>IF(C361,(H361*N361*IF(AND(Inputs!$B$38&lt;&gt;"pvp",Inputs!$B$43&gt;0),((Skills!G10*((R361-1)*IF(Skills!H10&gt;0,Skills!I10/Skills!H10,1)+IF(Skills!H10&gt;0,MIN(Skills!I10,MAX(0,MAX(0,Inputs!$B$43-B385)-((R361-1)*(IF(Inputs!$B$38="pvp",15,MAX(0.1,Skills!D10-IF(Skills!E10=TRUE,Inputs!$B$32,0)))*(1-IF(AND(ArtifactsInput!$M$27,Inputs!$B$4="Chapter Hunt"),CHOOSE(ArtifactsInput!$N$27+1,20,24,28,32,36,40),0)/100)))))/Skills!H10,1)))/Inputs!$B$43),G361*Q361)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361*(1-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361*(1-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1">
        <f>IF(C361,(H361*N361*IF(AND(Inputs!$B$38&lt;&gt;"pvp",Inputs!$B$43&gt;0),((Skills!G10*((R361-1)*IF(Skills!H10&gt;0,Skills!I10/Skills!H10,1)+IF(Skills!H10&gt;0,MIN(Skills!I10,MAX(0,MAX(0,Inputs!$B$43-B385)-((R361-1)*(IF(Inputs!$B$38="pvp",15,MAX(0.1,Skills!D10-IF(Skills!E10=TRUE,Inputs!$B$32,0)))*(1-IF(AND(ArtifactsInput!$M$27,Inputs!$B$4="Chapter Hunt"),CHOOSE(ArtifactsInput!$N$27+1,20,24,28,32,36,40),0)/100)))))/Skills!H10,1)))/Inputs!$B$43),G361*Q361))*IF(Inputs!$B$38="pvp",1,(1+(Inputs!$B$21+Skills!Q10+(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2">
      <c r="A362">
        <f>Skills!A11</f>
        <v/>
      </c>
      <c r="B362">
        <f>Skills!B11</f>
        <v/>
      </c>
      <c r="C362">
        <f>Inputs!$B$3&gt;=63</f>
        <v/>
      </c>
      <c r="D362">
        <f>IF(Skills!C11=1,60+Inputs!$B$25+Inputs!$B$29,IF(Skills!C11=2,90+Inputs!$B$26+Inputs!$B$29,IF(Skills!C11=3,120+Inputs!$B$27+Inputs!$B$29,MAX(0,(Inputs!$B$3-100)*3)+Inputs!$B$28+Inputs!$B$29)))</f>
        <v/>
      </c>
      <c r="E362">
        <f>INDEX(FactorTable!$B$2:$Y$301, MATCH(ROUND(MIN(300,MAX(1,D362)),0), FactorTable!$A$2:$A$301,0), Skills!M11+1)</f>
        <v/>
      </c>
      <c r="F362">
        <f>IF(Skills!N11=TRUE,(Skills!L11/10)*(E362/1000),Skills!L11/10)+Skills!O11</f>
        <v/>
      </c>
      <c r="G362">
        <f>Skills!G11*IF(Skills!H11&gt;0,Skills!I11/Skills!H11,1)</f>
        <v/>
      </c>
      <c r="H362">
        <f>1-(1-Skills!J11/100)^Skills!K11</f>
        <v/>
      </c>
      <c r="I362" t="inlineStr">
        <is>
          <t>1</t>
        </is>
      </c>
      <c r="J362">
        <f>((Inputs!$B$6*(1+Inputs!$B$7/100))+(((Inputs!$B$12*(1+Inputs!$B$13/100))-(Inputs!$B$12*(1+Inputs!$B$13/100)))+0.25*(Inputs!$B$14-Inputs!$B$14))*(1+Inputs!$B$7/100))*(F362/100)</f>
        <v/>
      </c>
      <c r="K362">
        <f>J362*(1+((Inputs!$B$12*(1+Inputs!$B$13/100))*0.01+Inputs!$B$14*0.0025)/100)*(1+Inputs!$B$15/100)*(1+Inputs!$B$16/100)*(5000/(6000+Inputs!$B$42*(1-(Inputs!$B$19+0)/100)))*(1+(((((1+(Inputs!$B$24+Summary!$B$21)/100)*(1.01))-1)*100-(Summary!$B$21))+0+B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363=TRUE,F363,0)/100)*(1+(IF(Skills!A11="BLAST",Inputs!$B$17+((C372=TRUE)*(F372-Calc!F21))+((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MIN(100,((Inputs!$B$9+0+B378+(ArtifactsInput!$M$24-ArtifactsInput!$M$24)*CHOOSE(ArtifactsInput!$N$24+1,10,12,14,16,18,20)+IF(ArtifactsInput!$M$10,CHOOSE(ArtifactsInput!$N$10+1,15,18,21,24,27,30)*(IF(Inputs!$B$38="pvp",MIN(15,15)/15,IF(AND(Inputs!$B$38&lt;&gt;"pvp",Inputs!$B$43&gt;0),MIN(15,Inputs!$B$43)/(Inputs!$B$43),0))),0)))-100),0))*CHOOSE(ArtifactsInput!$N$42+1,0.6,0.72,0.84,0.96,1.08,1.2))),Inputs!$B$18+((C374=TRUE)*(F374-Calc!F23))+(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gt;=100),CHOOSE(ArtifactsInput!$N$42+1,40,48,56,64,72,80),0))))/100)*((1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362)</f>
        <v/>
      </c>
      <c r="L362">
        <f>K362*(MIN(Inputs!$B$22+((C373=TRUE)*(F373-Calc!F22)),(Inputs!$B$23+((C375=TRUE)*(F375-Calc!F24))+(IF(ArtifactsInput!$M$15,CHOOSE(ArtifactsInput!$N$15+1,25,30,35,40,45,50)/100*(Inputs!$B$11-Inputs!$B$11),0))))/100+(Inputs!$B$23+((C375=TRUE)*(F375-Calc!F24))+(IF(ArtifactsInput!$M$15,CHOOSE(ArtifactsInput!$N$15+1,25,30,35,40,45,50)/100*(Inputs!$B$11-Inputs!$B$11),0)))/100)/2</f>
        <v/>
      </c>
      <c r="M362">
        <f>L362*(1+(Inputs!$B$10+0+B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2">
        <f>L362*(1-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362*(MIN((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2">
        <f>(1-Summary!$B$11)*T362+Summary!$B$11*V362</f>
        <v/>
      </c>
      <c r="P362">
        <f>IF(B388=0,0,O362/B388)</f>
        <v/>
      </c>
      <c r="Q362">
        <f>IFERROR(1/(IF(Inputs!$B$38="pvp",15,MAX(0.1,Skills!D11-IF(Skills!E11=TRUE,Inputs!$B$32,0)))*(1-IF(AND(ArtifactsInput!$M$27,Inputs!$B$4="Chapter Hunt"),CHOOSE(ArtifactsInput!$N$27+1,20,24,28,32,36,40),0)/100)),0)</f>
        <v/>
      </c>
      <c r="R362">
        <f>IF(AND(Inputs!$B$38&lt;&gt;"pvp",Inputs!$B$43&gt;0),IF(MAX(0,Inputs!$B$43-B385)&lt;=0,0,(INT(MAX(0,Inputs!$B$43-B385)/(IF(Inputs!$B$38="pvp",15,MAX(0.1,Skills!D11-IF(Skills!E11=TRUE,Inputs!$B$32,0)))*(1-IF(AND(ArtifactsInput!$M$27,Inputs!$B$4="Chapter Hunt"),CHOOSE(ArtifactsInput!$N$27+1,20,24,28,32,36,40),0)/100)))+1)),0)</f>
        <v/>
      </c>
      <c r="S362">
        <f>IFERROR(O362/N362,0)</f>
        <v/>
      </c>
      <c r="T362">
        <f>IF(C362,(H362*N362*IF(AND(Inputs!$B$38&lt;&gt;"pvp",Inputs!$B$43&gt;0),((Skills!G11*((R362-1)*IF(Skills!H11&gt;0,Skills!I11/Skills!H11,1)+IF(Skills!H11&gt;0,MIN(Skills!I11,MAX(0,MAX(0,Inputs!$B$43-B385)-((R362-1)*(IF(Inputs!$B$38="pvp",15,MAX(0.1,Skills!D11-IF(Skills!E11=TRUE,Inputs!$B$32,0)))*(1-IF(AND(ArtifactsInput!$M$27,Inputs!$B$4="Chapter Hunt"),CHOOSE(ArtifactsInput!$N$27+1,20,24,28,32,36,40),0)/100)))))/Skills!H11,1)))/Inputs!$B$43),G362*Q362)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362*(1-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362*(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362*(1-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362*(MIN(100,(Inputs!$B$9+0+B378+(ArtifactsInput!$M$24-ArtifactsInput!$M$24)*CHOOSE(ArtifactsInput!$N$24+1,10,12,14,16,18,20)+(IF(AND(Inputs!$B$38&lt;&gt;"pvp",Inputs!$B$43=0),1,IF(IF(Inputs!$B$38="pvp",15,Inputs!$B$43)-(B385)&lt;=0,1,MAX(0,IF(Inputs!$B$38="pvp",15,Inputs!$B$43)-MAX(5,B385))/(IF(Inputs!$B$38="pvp",15,Inputs!$B$43)-(B385))))*IF(AND(ArtifactsInput!$M$42,((Inputs!$B$9+0+B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62">
        <f>IF(C362,(H362*N362*IF(AND(Inputs!$B$38&lt;&gt;"pvp",Inputs!$B$43&gt;0),((Skills!G11*((R362-1)*IF(Skills!H11&gt;0,Skills!I11/Skills!H11,1)+IF(Skills!H11&gt;0,MIN(Skills!I11,MAX(0,MAX(0,Inputs!$B$43-B385)-((R362-1)*(IF(Inputs!$B$38="pvp",15,MAX(0.1,Skills!D11-IF(Skills!E11=TRUE,Inputs!$B$32,0)))*(1-IF(AND(ArtifactsInput!$M$27,Inputs!$B$4="Chapter Hunt"),CHOOSE(ArtifactsInput!$N$27+1,20,24,28,32,36,40),0)/100)))))/Skills!H11,1)))/Inputs!$B$43),G362*Q362))*IF(Inputs!$B$38="pvp",1,(1+(Inputs!$B$21+Skills!Q11+(IF(ArtifactsInput!$M$33,CHOOSE(ArtifactsInput!$N$33+1,30,36,42,48,54,60),0))+(IF(AND(ArtifactsInput!$M$35,Inputs!$B$4&lt;&gt;"Chapter Hunt"),CHOOSE(ArtifactsInput!$N$35+1,15,18,21,24,27,30)*(1-EXP(-(0.2*B380)*5)),0)+IF(AND(ArtifactsInput!$M$22,Inputs!$B$4&lt;&gt;"Chapter Hunt"),CHOOSE(ArtifactsInput!$N$22+1,10,12,14,16,18,20)*((0*(((0.15*B380*5))^0/1)+1*(((0.15*B380*5))^1/1)+2*(((0.15*B380*5))^2/2)+3*(((0.15*B380*5))^3/6)+4*(((0.15*B380*5))^4/24)+5*(((0.15*B380*5))^5/120))/((((0.15*B380*5))^0/1)+(((0.15*B380*5))^1/1)+(((0.15*B380*5))^2/2)+(((0.15*B380*5))^3/6)+(((0.15*B380*5))^4/24)+(((0.15*B380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3">
      <c r="A363">
        <f>Skills!A12</f>
        <v/>
      </c>
      <c r="B363">
        <f>Skills!B12</f>
        <v/>
      </c>
      <c r="C363">
        <f>Inputs!$B$3&gt;=100</f>
        <v/>
      </c>
      <c r="D363">
        <f>IF(Skills!C12=1,60+Inputs!$B$25+Inputs!$B$29,IF(Skills!C12=2,90+Inputs!$B$26+Inputs!$B$29,IF(Skills!C12=3,120+Inputs!$B$27+Inputs!$B$29,MAX(0,(Inputs!$B$3-100)*3)+Inputs!$B$28+Inputs!$B$29)))</f>
        <v/>
      </c>
      <c r="E363">
        <f>INDEX(FactorTable!$B$2:$Y$301, MATCH(ROUND(MIN(300,MAX(1,D363)),0), FactorTable!$A$2:$A$301,0), Skills!M12+1)</f>
        <v/>
      </c>
      <c r="F363">
        <f>IF(Skills!N12=TRUE,(Skills!L12/10)*(E363/1000),Skills!L12/10)+Skills!O12</f>
        <v/>
      </c>
      <c r="G363" t="inlineStr"/>
      <c r="H363" t="inlineStr"/>
      <c r="I363" t="inlineStr">
        <is>
          <t>1</t>
        </is>
      </c>
      <c r="J363" t="inlineStr"/>
      <c r="K363" t="inlineStr"/>
      <c r="L363" t="inlineStr"/>
      <c r="M363" t="inlineStr"/>
      <c r="N363" t="inlineStr"/>
      <c r="O363" t="inlineStr"/>
      <c r="P363" t="inlineStr"/>
      <c r="Q363" t="inlineStr"/>
      <c r="R363" t="inlineStr"/>
      <c r="S363" t="inlineStr"/>
    </row>
    <row r="364">
      <c r="A364">
        <f>Skills!A13</f>
        <v/>
      </c>
      <c r="B364">
        <f>Skills!B13</f>
        <v/>
      </c>
      <c r="C364">
        <f>Inputs!$B$3&gt;=45</f>
        <v/>
      </c>
      <c r="D364">
        <f>IF(Skills!C13=1,60+Inputs!$B$25+Inputs!$B$29,IF(Skills!C13=2,90+Inputs!$B$26+Inputs!$B$29,IF(Skills!C13=3,120+Inputs!$B$27+Inputs!$B$29,MAX(0,(Inputs!$B$3-100)*3)+Inputs!$B$28+Inputs!$B$29)))</f>
        <v/>
      </c>
      <c r="E364">
        <f>INDEX(FactorTable!$B$2:$Y$301, MATCH(ROUND(MIN(300,MAX(1,D364)),0), FactorTable!$A$2:$A$301,0), Skills!M13+1)</f>
        <v/>
      </c>
      <c r="F364">
        <f>IF(Skills!N13=TRUE,(Skills!L13/10)*(E364/1000),Skills!L13/10)+Skills!O13</f>
        <v/>
      </c>
      <c r="G364">
        <f>Skills!G13*IF(Skills!H13&gt;0,Skills!I13/Skills!H13,1)</f>
        <v/>
      </c>
      <c r="H364">
        <f>1-(1-Skills!J13/100)^Skills!K13</f>
        <v/>
      </c>
      <c r="I364" t="inlineStr">
        <is>
          <t>1</t>
        </is>
      </c>
      <c r="J364" t="inlineStr"/>
      <c r="K364" t="inlineStr"/>
      <c r="L364" t="inlineStr"/>
      <c r="M364" t="inlineStr"/>
      <c r="N364" t="inlineStr"/>
      <c r="O364">
        <f>(1-Summary!$B$11)*T364+Summary!$B$11*V364</f>
        <v/>
      </c>
      <c r="P364">
        <f>IF(B388=0,0,O364/B388)</f>
        <v/>
      </c>
      <c r="Q364" t="n">
        <v>0</v>
      </c>
      <c r="R364" t="n">
        <v>0</v>
      </c>
      <c r="S364">
        <f>IFERROR(O364/N364,0)</f>
        <v/>
      </c>
      <c r="T364" t="n">
        <v>0</v>
      </c>
      <c r="V364" t="n">
        <v>0</v>
      </c>
    </row>
    <row r="365">
      <c r="A365">
        <f>Skills!A14</f>
        <v/>
      </c>
      <c r="B365">
        <f>Skills!B14</f>
        <v/>
      </c>
      <c r="C365">
        <f>Inputs!$B$3&gt;=110</f>
        <v/>
      </c>
      <c r="D365">
        <f>IF(Skills!C14=1,60+Inputs!$B$25+Inputs!$B$29,IF(Skills!C14=2,90+Inputs!$B$26+Inputs!$B$29,IF(Skills!C14=3,120+Inputs!$B$27+Inputs!$B$29,MAX(0,(Inputs!$B$3-100)*3)+Inputs!$B$28+Inputs!$B$29)))</f>
        <v/>
      </c>
      <c r="E365">
        <f>INDEX(FactorTable!$B$2:$Y$301, MATCH(ROUND(MIN(300,MAX(1,D365)),0), FactorTable!$A$2:$A$301,0), Skills!M14+1)</f>
        <v/>
      </c>
      <c r="F365">
        <f>IF(Skills!N14=TRUE,(Skills!L14/10)*(E365/1000),Skills!L14/10)+Skills!O14</f>
        <v/>
      </c>
      <c r="G365">
        <f>Skills!G14*IF(Skills!H14&gt;0,Skills!I14/Skills!H14,1)</f>
        <v/>
      </c>
      <c r="H365">
        <f>1-(1-Skills!J14/100)^Skills!K14</f>
        <v/>
      </c>
      <c r="I365" t="inlineStr">
        <is>
          <t>1</t>
        </is>
      </c>
      <c r="J365" t="inlineStr"/>
      <c r="K365" t="inlineStr"/>
      <c r="L365" t="inlineStr"/>
      <c r="M365" t="inlineStr"/>
      <c r="N365" t="inlineStr"/>
      <c r="O365">
        <f>(1-Summary!$B$11)*T365+Summary!$B$11*V365</f>
        <v/>
      </c>
      <c r="P365">
        <f>IF(B388=0,0,O365/B388)</f>
        <v/>
      </c>
      <c r="Q365" t="n">
        <v>0</v>
      </c>
      <c r="R365" t="n">
        <v>0</v>
      </c>
      <c r="S365">
        <f>IFERROR(O365/N365,0)</f>
        <v/>
      </c>
      <c r="T365" t="n">
        <v>0</v>
      </c>
      <c r="V365" t="n">
        <v>0</v>
      </c>
    </row>
    <row r="366">
      <c r="A366">
        <f>Skills!A15</f>
        <v/>
      </c>
      <c r="B366">
        <f>Skills!B15</f>
        <v/>
      </c>
      <c r="C366">
        <f>Inputs!$B$3&gt;=75</f>
        <v/>
      </c>
      <c r="D366">
        <f>IF(Skills!C15=1,60+Inputs!$B$25+Inputs!$B$29,IF(Skills!C15=2,90+Inputs!$B$26+Inputs!$B$29,IF(Skills!C15=3,120+Inputs!$B$27+Inputs!$B$29,MAX(0,(Inputs!$B$3-100)*3)+Inputs!$B$28+Inputs!$B$29)))</f>
        <v/>
      </c>
      <c r="E366">
        <f>INDEX(FactorTable!$B$2:$Y$301, MATCH(ROUND(MIN(300,MAX(1,D366)),0), FactorTable!$A$2:$A$301,0), Skills!M15+1)</f>
        <v/>
      </c>
      <c r="F366">
        <f>IF(Skills!N15=TRUE,(Skills!L15/10)*(E366/1000),Skills!L15/10)+Skills!O15</f>
        <v/>
      </c>
      <c r="G366">
        <f>Skills!G15*IF(Skills!H15&gt;0,Skills!I15/Skills!H15,1)</f>
        <v/>
      </c>
      <c r="H366">
        <f>1-(1-Skills!J15/100)^Skills!K15</f>
        <v/>
      </c>
      <c r="I366" t="inlineStr">
        <is>
          <t>1</t>
        </is>
      </c>
      <c r="J366" t="inlineStr"/>
      <c r="K366" t="inlineStr"/>
      <c r="L366" t="inlineStr"/>
      <c r="M366" t="inlineStr"/>
      <c r="N366" t="inlineStr"/>
      <c r="O366">
        <f>(1-Summary!$B$11)*T366+Summary!$B$11*V366</f>
        <v/>
      </c>
      <c r="P366">
        <f>IF(B388=0,0,O366/B388)</f>
        <v/>
      </c>
      <c r="Q366">
        <f>IFERROR(1/(IF(Inputs!$B$38="pvp",15,MAX(0.1,Skills!D15-IF(Skills!E15=TRUE,Inputs!$B$32,0)))*(1-IF(AND(ArtifactsInput!$M$27,Inputs!$B$4="Chapter Hunt"),CHOOSE(ArtifactsInput!$N$27+1,20,24,28,32,36,40),0)/100)),0)</f>
        <v/>
      </c>
      <c r="R366">
        <f>IF(AND(Inputs!$B$38&lt;&gt;"pvp",Inputs!$B$43&gt;0),IF(Inputs!$B$43&lt;=0,0,(INT(Inputs!$B$43/(IF(Inputs!$B$38="pvp",15,MAX(0.1,Skills!D15-IF(Skills!E15=TRUE,Inputs!$B$32,0)))*(1-IF(AND(ArtifactsInput!$M$27,Inputs!$B$4="Chapter Hunt"),CHOOSE(ArtifactsInput!$N$27+1,20,24,28,32,36,40),0)/100)))+1)),0)</f>
        <v/>
      </c>
      <c r="S366">
        <f>IFERROR(O366/N366,0)</f>
        <v/>
      </c>
      <c r="T366" t="n">
        <v>0</v>
      </c>
      <c r="V366" t="n">
        <v>0</v>
      </c>
    </row>
    <row r="367">
      <c r="A367">
        <f>Skills!A16</f>
        <v/>
      </c>
      <c r="B367">
        <f>Skills!B16</f>
        <v/>
      </c>
      <c r="C367">
        <f>Inputs!$B$3&gt;=105</f>
        <v/>
      </c>
      <c r="D367">
        <f>IF(Skills!C16=1,60+Inputs!$B$25+Inputs!$B$29,IF(Skills!C16=2,90+Inputs!$B$26+Inputs!$B$29,IF(Skills!C16=3,120+Inputs!$B$27+Inputs!$B$29,MAX(0,(Inputs!$B$3-100)*3)+Inputs!$B$28+Inputs!$B$29)))</f>
        <v/>
      </c>
      <c r="E367">
        <f>INDEX(FactorTable!$B$2:$Y$301, MATCH(ROUND(MIN(300,MAX(1,D367)),0), FactorTable!$A$2:$A$301,0), Skills!M16+1)</f>
        <v/>
      </c>
      <c r="F367">
        <f>IF(Skills!N16=TRUE,(Skills!L16/10)*(E367/1000),Skills!L16/10)+Skills!O16</f>
        <v/>
      </c>
      <c r="G367">
        <f>Skills!G16*IF(Skills!H16&gt;0,Skills!I16/Skills!H16,1)</f>
        <v/>
      </c>
      <c r="H367">
        <f>1-(1-Skills!J16/100)^Skills!K16</f>
        <v/>
      </c>
      <c r="I367" t="inlineStr">
        <is>
          <t>1</t>
        </is>
      </c>
      <c r="J367" t="inlineStr"/>
      <c r="K367" t="inlineStr"/>
      <c r="L367" t="inlineStr"/>
      <c r="M367" t="inlineStr"/>
      <c r="N367" t="inlineStr"/>
      <c r="O367">
        <f>(1-Summary!$B$11)*T367+Summary!$B$11*V367</f>
        <v/>
      </c>
      <c r="P367">
        <f>IF(B388=0,0,O367/B388)</f>
        <v/>
      </c>
      <c r="Q367">
        <f>IFERROR(1/(IF(Inputs!$B$38="pvp",15,MAX(0.1,Skills!D16-IF(Skills!E16=TRUE,Inputs!$B$32,0)))*(1-IF(AND(ArtifactsInput!$M$27,Inputs!$B$4="Chapter Hunt"),CHOOSE(ArtifactsInput!$N$27+1,20,24,28,32,36,40),0)/100)),0)</f>
        <v/>
      </c>
      <c r="R367">
        <f>IF(AND(Inputs!$B$38&lt;&gt;"pvp",Inputs!$B$43&gt;0),IF(Inputs!$B$43&lt;=0,0,(INT(Inputs!$B$43/(IF(Inputs!$B$38="pvp",15,MAX(0.1,Skills!D16-IF(Skills!E16=TRUE,Inputs!$B$32,0)))*(1-IF(AND(ArtifactsInput!$M$27,Inputs!$B$4="Chapter Hunt"),CHOOSE(ArtifactsInput!$N$27+1,20,24,28,32,36,40),0)/100)))+1)),0)</f>
        <v/>
      </c>
      <c r="S367">
        <f>IFERROR(O367/N367,0)</f>
        <v/>
      </c>
      <c r="T367" t="n">
        <v>0</v>
      </c>
      <c r="V367" t="n">
        <v>0</v>
      </c>
    </row>
    <row r="368">
      <c r="A368">
        <f>Skills!A17</f>
        <v/>
      </c>
      <c r="B368">
        <f>Skills!B17</f>
        <v/>
      </c>
      <c r="C368">
        <f>Inputs!$B$3&gt;=115</f>
        <v/>
      </c>
      <c r="D368">
        <f>IF(Skills!C17=1,60+Inputs!$B$25+Inputs!$B$29,IF(Skills!C17=2,90+Inputs!$B$26+Inputs!$B$29,IF(Skills!C17=3,120+Inputs!$B$27+Inputs!$B$29,MAX(0,(Inputs!$B$3-100)*3)+Inputs!$B$28+Inputs!$B$29)))</f>
        <v/>
      </c>
      <c r="E368">
        <f>INDEX(FactorTable!$B$2:$Y$301, MATCH(ROUND(MIN(300,MAX(1,D368)),0), FactorTable!$A$2:$A$301,0), Skills!M17+1)</f>
        <v/>
      </c>
      <c r="F368">
        <f>IF(Skills!N17=TRUE,(Skills!L17/10)*(E368/1000),Skills!L17/10)+Skills!O17</f>
        <v/>
      </c>
      <c r="G368">
        <f>Skills!G17*IF(Skills!H17&gt;0,Skills!I17/Skills!H17,1)</f>
        <v/>
      </c>
      <c r="H368">
        <f>1-(1-Skills!J17/100)^Skills!K17</f>
        <v/>
      </c>
      <c r="I368" t="inlineStr">
        <is>
          <t>1</t>
        </is>
      </c>
      <c r="J368" t="inlineStr"/>
      <c r="K368" t="inlineStr"/>
      <c r="L368" t="inlineStr"/>
      <c r="M368" t="inlineStr"/>
      <c r="N368" t="inlineStr"/>
      <c r="O368">
        <f>(1-Summary!$B$11)*T368+Summary!$B$11*V368</f>
        <v/>
      </c>
      <c r="P368">
        <f>IF(B388=0,0,O368/B388)</f>
        <v/>
      </c>
      <c r="Q368">
        <f>IFERROR(1/(IF(Inputs!$B$38="pvp",15,MAX(0.1,Skills!D17-IF(Skills!E17=TRUE,Inputs!$B$32,0)))*(1-IF(AND(ArtifactsInput!$M$27,Inputs!$B$4="Chapter Hunt"),CHOOSE(ArtifactsInput!$N$27+1,20,24,28,32,36,40),0)/100)),0)</f>
        <v/>
      </c>
      <c r="R368">
        <f>IF(AND(Inputs!$B$38&lt;&gt;"pvp",Inputs!$B$43&gt;0),IF(Inputs!$B$43&lt;=0,0,(INT(Inputs!$B$43/(IF(Inputs!$B$38="pvp",15,MAX(0.1,Skills!D17-IF(Skills!E17=TRUE,Inputs!$B$32,0)))*(1-IF(AND(ArtifactsInput!$M$27,Inputs!$B$4="Chapter Hunt"),CHOOSE(ArtifactsInput!$N$27+1,20,24,28,32,36,40),0)/100)))+1)),0)</f>
        <v/>
      </c>
      <c r="S368">
        <f>IFERROR(O368/N368,0)</f>
        <v/>
      </c>
      <c r="T368" t="n">
        <v>0</v>
      </c>
      <c r="V368" t="n">
        <v>0</v>
      </c>
    </row>
    <row r="369">
      <c r="A369">
        <f>Skills!A18</f>
        <v/>
      </c>
      <c r="B369">
        <f>Skills!B18</f>
        <v/>
      </c>
      <c r="C369">
        <f>Inputs!$B$3&gt;=74</f>
        <v/>
      </c>
      <c r="D369">
        <f>IF(Skills!C18=1,60+Inputs!$B$25+Inputs!$B$29,IF(Skills!C18=2,90+Inputs!$B$26+Inputs!$B$29,IF(Skills!C18=3,120+Inputs!$B$27+Inputs!$B$29,MAX(0,(Inputs!$B$3-100)*3)+Inputs!$B$28+Inputs!$B$29)))</f>
        <v/>
      </c>
      <c r="E369">
        <f>INDEX(FactorTable!$B$2:$Y$301, MATCH(ROUND(MIN(300,MAX(1,D369)),0), FactorTable!$A$2:$A$301,0), Skills!M18+1)</f>
        <v/>
      </c>
      <c r="F369">
        <f>IF(Skills!N18=TRUE,(Skills!L18/10)*(E369/1000),Skills!L18/10)+Skills!O18</f>
        <v/>
      </c>
      <c r="G369">
        <f>Skills!G18*IF(Skills!H18&gt;0,Skills!I18/Skills!H18,1)</f>
        <v/>
      </c>
      <c r="H369">
        <f>1-(1-Skills!J18/100)^Skills!K18</f>
        <v/>
      </c>
      <c r="I369" t="inlineStr">
        <is>
          <t>1</t>
        </is>
      </c>
      <c r="J369" t="inlineStr"/>
      <c r="K369" t="inlineStr"/>
      <c r="L369" t="inlineStr"/>
      <c r="M369" t="inlineStr"/>
      <c r="N369" t="inlineStr"/>
      <c r="O369">
        <f>(1-Summary!$B$11)*T369+Summary!$B$11*V369</f>
        <v/>
      </c>
      <c r="P369">
        <f>IF(B388=0,0,O369/B388)</f>
        <v/>
      </c>
      <c r="Q369">
        <f>IFERROR(1/(IF(Inputs!$B$38="pvp",15,MAX(0.1,Skills!D18-IF(Skills!E18=TRUE,Inputs!$B$32,0)))*(1-IF(AND(ArtifactsInput!$M$27,Inputs!$B$4="Chapter Hunt"),CHOOSE(ArtifactsInput!$N$27+1,20,24,28,32,36,40),0)/100)),0)</f>
        <v/>
      </c>
      <c r="R369">
        <f>IF(AND(Inputs!$B$38&lt;&gt;"pvp",Inputs!$B$43&gt;0),IF(Inputs!$B$43&lt;=0,0,(INT(Inputs!$B$43/(IF(Inputs!$B$38="pvp",15,MAX(0.1,Skills!D18-IF(Skills!E18=TRUE,Inputs!$B$32,0)))*(1-IF(AND(ArtifactsInput!$M$27,Inputs!$B$4="Chapter Hunt"),CHOOSE(ArtifactsInput!$N$27+1,20,24,28,32,36,40),0)/100)))+1)),0)</f>
        <v/>
      </c>
      <c r="S369">
        <f>IFERROR(O369/N369,0)</f>
        <v/>
      </c>
      <c r="T369" t="n">
        <v>0</v>
      </c>
      <c r="V369" t="n">
        <v>0</v>
      </c>
    </row>
    <row r="370">
      <c r="A370">
        <f>Skills!A19</f>
        <v/>
      </c>
      <c r="B370">
        <f>Skills!B19</f>
        <v/>
      </c>
      <c r="C370">
        <f>TRUE</f>
        <v/>
      </c>
      <c r="D370">
        <f>IF(Skills!C19=1,60+Inputs!$B$25+Inputs!$B$29,IF(Skills!C19=2,90+Inputs!$B$26+Inputs!$B$29,IF(Skills!C19=3,120+Inputs!$B$27+Inputs!$B$29,MAX(0,(Inputs!$B$3-100)*3)+Inputs!$B$28+Inputs!$B$29)))</f>
        <v/>
      </c>
      <c r="E370">
        <f>INDEX(FactorTable!$B$2:$Y$301, MATCH(ROUND(MIN(300,MAX(1,D370)),0), FactorTable!$A$2:$A$301,0), Skills!M19+1)</f>
        <v/>
      </c>
      <c r="F370">
        <f>IF(Skills!N19=TRUE,(Skills!L19/10)*(E370/1000),Skills!L19/10)+Skills!O19</f>
        <v/>
      </c>
      <c r="G370">
        <f>Skills!G19*IF(Skills!H19&gt;0,Skills!I19/Skills!H19,1)</f>
        <v/>
      </c>
      <c r="H370">
        <f>1-(1-Skills!J19/100)^Skills!K19</f>
        <v/>
      </c>
      <c r="I370" t="inlineStr">
        <is>
          <t>1</t>
        </is>
      </c>
      <c r="J370" t="inlineStr"/>
      <c r="K370" t="inlineStr"/>
      <c r="L370" t="inlineStr"/>
      <c r="M370" t="inlineStr"/>
      <c r="N370" t="inlineStr"/>
      <c r="O370">
        <f>(1-Summary!$B$11)*T370+Summary!$B$11*V370</f>
        <v/>
      </c>
      <c r="P370">
        <f>IF(B388=0,0,O370/B388)</f>
        <v/>
      </c>
      <c r="Q370">
        <f>IFERROR(1/(IF(Inputs!$B$38="pvp",15,MAX(0.1,Skills!D19-IF(Skills!E19=TRUE,Inputs!$B$32,0)))*(1-IF(AND(ArtifactsInput!$M$27,Inputs!$B$4="Chapter Hunt"),CHOOSE(ArtifactsInput!$N$27+1,20,24,28,32,36,40),0)/100)),0)</f>
        <v/>
      </c>
      <c r="R370">
        <f>IF(AND(Inputs!$B$38&lt;&gt;"pvp",Inputs!$B$43&gt;0),IF(Inputs!$B$43&lt;=0,0,(INT(Inputs!$B$43/(IF(Inputs!$B$38="pvp",15,MAX(0.1,Skills!D19-IF(Skills!E19=TRUE,Inputs!$B$32,0)))*(1-IF(AND(ArtifactsInput!$M$27,Inputs!$B$4="Chapter Hunt"),CHOOSE(ArtifactsInput!$N$27+1,20,24,28,32,36,40),0)/100)))+1)),0)</f>
        <v/>
      </c>
      <c r="S370">
        <f>IFERROR(O370/N370,0)</f>
        <v/>
      </c>
      <c r="T370" t="n">
        <v>0</v>
      </c>
      <c r="V370" t="n">
        <v>0</v>
      </c>
    </row>
    <row r="371">
      <c r="A371">
        <f>Skills!A20</f>
        <v/>
      </c>
      <c r="B371">
        <f>Skills!B20</f>
        <v/>
      </c>
      <c r="C371">
        <f>Inputs!$B$3&gt;=33</f>
        <v/>
      </c>
      <c r="D371">
        <f>IF(Skills!C20=1,60+Inputs!$B$25+Inputs!$B$29,IF(Skills!C20=2,90+Inputs!$B$26+Inputs!$B$29,IF(Skills!C20=3,120+Inputs!$B$27+Inputs!$B$29,MAX(0,(Inputs!$B$3-100)*3)+Inputs!$B$28+Inputs!$B$29)))</f>
        <v/>
      </c>
      <c r="E371">
        <f>INDEX(FactorTable!$B$2:$Y$301, MATCH(ROUND(MIN(300,MAX(1,D371)),0), FactorTable!$A$2:$A$301,0), Skills!M20+1)</f>
        <v/>
      </c>
      <c r="F371">
        <f>IF(Skills!N20=TRUE,(Skills!L20/10)*(E371/1000),Skills!L20/10)+Skills!O20</f>
        <v/>
      </c>
      <c r="G371">
        <f>Skills!G20*IF(Skills!H20&gt;0,Skills!I20/Skills!H20,1)</f>
        <v/>
      </c>
      <c r="H371">
        <f>1-(1-Skills!J20/100)^Skills!K20</f>
        <v/>
      </c>
      <c r="I371" t="inlineStr">
        <is>
          <t>1</t>
        </is>
      </c>
      <c r="J371" t="inlineStr"/>
      <c r="K371" t="inlineStr"/>
      <c r="L371" t="inlineStr"/>
      <c r="M371" t="inlineStr"/>
      <c r="N371" t="inlineStr"/>
      <c r="O371">
        <f>(1-Summary!$B$11)*T371+Summary!$B$11*V371</f>
        <v/>
      </c>
      <c r="P371">
        <f>IF(B388=0,0,O371/B388)</f>
        <v/>
      </c>
      <c r="Q371" t="n">
        <v>0</v>
      </c>
      <c r="R371" t="n">
        <v>0</v>
      </c>
      <c r="S371">
        <f>IFERROR(O371/N371,0)</f>
        <v/>
      </c>
      <c r="T371" t="n">
        <v>0</v>
      </c>
      <c r="V371" t="n">
        <v>0</v>
      </c>
    </row>
    <row r="372">
      <c r="A372">
        <f>Skills!A21</f>
        <v/>
      </c>
      <c r="B372">
        <f>Skills!B21</f>
        <v/>
      </c>
      <c r="C372">
        <f>Inputs!$B$3&gt;=38</f>
        <v/>
      </c>
      <c r="D372">
        <f>IF(Skills!C21=1,60+Inputs!$B$25+Inputs!$B$29,IF(Skills!C21=2,90+Inputs!$B$26+Inputs!$B$29,IF(Skills!C21=3,120+Inputs!$B$27+Inputs!$B$29,MAX(0,(Inputs!$B$3-100)*3)+Inputs!$B$28+Inputs!$B$29)))</f>
        <v/>
      </c>
      <c r="E372">
        <f>INDEX(FactorTable!$B$2:$Y$301, MATCH(ROUND(MIN(300,MAX(1,D372)),0), FactorTable!$A$2:$A$301,0), Skills!M21+1)</f>
        <v/>
      </c>
      <c r="F372">
        <f>IF(Skills!N21=TRUE,(Skills!L21/10)*(E372/1000),Skills!L21/10)+Skills!O21</f>
        <v/>
      </c>
      <c r="G372">
        <f>Skills!G21*IF(Skills!H21&gt;0,Skills!I21/Skills!H21,1)</f>
        <v/>
      </c>
      <c r="H372">
        <f>1-(1-Skills!J21/100)^Skills!K21</f>
        <v/>
      </c>
      <c r="I372" t="inlineStr">
        <is>
          <t>1</t>
        </is>
      </c>
      <c r="J372" t="inlineStr"/>
      <c r="K372" t="inlineStr"/>
      <c r="L372" t="inlineStr"/>
      <c r="M372" t="inlineStr"/>
      <c r="N372" t="inlineStr"/>
      <c r="O372">
        <f>(1-Summary!$B$11)*T372+Summary!$B$11*V372</f>
        <v/>
      </c>
      <c r="P372">
        <f>IF(B388=0,0,O372/B388)</f>
        <v/>
      </c>
      <c r="Q372" t="n">
        <v>0</v>
      </c>
      <c r="R372" t="n">
        <v>0</v>
      </c>
      <c r="S372">
        <f>IFERROR(O372/N372,0)</f>
        <v/>
      </c>
      <c r="T372" t="n">
        <v>0</v>
      </c>
      <c r="V372" t="n">
        <v>0</v>
      </c>
    </row>
    <row r="373">
      <c r="A373">
        <f>Skills!A22</f>
        <v/>
      </c>
      <c r="B373">
        <f>Skills!B22</f>
        <v/>
      </c>
      <c r="C373">
        <f>Inputs!$B$3&gt;=43</f>
        <v/>
      </c>
      <c r="D373">
        <f>IF(Skills!C22=1,60+Inputs!$B$25+Inputs!$B$29,IF(Skills!C22=2,90+Inputs!$B$26+Inputs!$B$29,IF(Skills!C22=3,120+Inputs!$B$27+Inputs!$B$29,MAX(0,(Inputs!$B$3-100)*3)+Inputs!$B$28+Inputs!$B$29)))</f>
        <v/>
      </c>
      <c r="E373">
        <f>INDEX(FactorTable!$B$2:$Y$301, MATCH(ROUND(MIN(300,MAX(1,D373)),0), FactorTable!$A$2:$A$301,0), Skills!M22+1)</f>
        <v/>
      </c>
      <c r="F373">
        <f>IF(Skills!N22=TRUE,(Skills!L22/10)*(E373/1000),Skills!L22/10)+Skills!O22</f>
        <v/>
      </c>
      <c r="G373">
        <f>Skills!G22*IF(Skills!H22&gt;0,Skills!I22/Skills!H22,1)</f>
        <v/>
      </c>
      <c r="H373">
        <f>1-(1-Skills!J22/100)^Skills!K22</f>
        <v/>
      </c>
      <c r="I373" t="inlineStr">
        <is>
          <t>1</t>
        </is>
      </c>
      <c r="J373" t="inlineStr"/>
      <c r="K373" t="inlineStr"/>
      <c r="L373" t="inlineStr"/>
      <c r="M373" t="inlineStr"/>
      <c r="N373" t="inlineStr"/>
      <c r="O373">
        <f>(1-Summary!$B$11)*T373+Summary!$B$11*V373</f>
        <v/>
      </c>
      <c r="P373">
        <f>IF(B388=0,0,O373/B388)</f>
        <v/>
      </c>
      <c r="Q373" t="n">
        <v>0</v>
      </c>
      <c r="R373" t="n">
        <v>0</v>
      </c>
      <c r="S373">
        <f>IFERROR(O373/N373,0)</f>
        <v/>
      </c>
      <c r="T373" t="n">
        <v>0</v>
      </c>
      <c r="V373" t="n">
        <v>0</v>
      </c>
    </row>
    <row r="374">
      <c r="A374">
        <f>Skills!A23</f>
        <v/>
      </c>
      <c r="B374">
        <f>Skills!B23</f>
        <v/>
      </c>
      <c r="C374">
        <f>Inputs!$B$3&gt;=120</f>
        <v/>
      </c>
      <c r="D374">
        <f>IF(Skills!C23=1,60+Inputs!$B$25+Inputs!$B$29,IF(Skills!C23=2,90+Inputs!$B$26+Inputs!$B$29,IF(Skills!C23=3,120+Inputs!$B$27+Inputs!$B$29,MAX(0,(Inputs!$B$3-100)*3)+Inputs!$B$28+Inputs!$B$29)))</f>
        <v/>
      </c>
      <c r="E374">
        <f>INDEX(FactorTable!$B$2:$Y$301, MATCH(ROUND(MIN(300,MAX(1,D374)),0), FactorTable!$A$2:$A$301,0), Skills!M23+1)</f>
        <v/>
      </c>
      <c r="F374">
        <f>IF(Skills!N23=TRUE,(Skills!L23/10)*(E374/1000),Skills!L23/10)+Skills!O23</f>
        <v/>
      </c>
      <c r="G374">
        <f>Skills!G23*IF(Skills!H23&gt;0,Skills!I23/Skills!H23,1)</f>
        <v/>
      </c>
      <c r="H374">
        <f>1-(1-Skills!J23/100)^Skills!K23</f>
        <v/>
      </c>
      <c r="I374" t="inlineStr">
        <is>
          <t>1</t>
        </is>
      </c>
      <c r="J374" t="inlineStr"/>
      <c r="K374" t="inlineStr"/>
      <c r="L374" t="inlineStr"/>
      <c r="M374" t="inlineStr"/>
      <c r="N374" t="inlineStr"/>
      <c r="O374">
        <f>(1-Summary!$B$11)*T374+Summary!$B$11*V374</f>
        <v/>
      </c>
      <c r="P374">
        <f>IF(B388=0,0,O374/B388)</f>
        <v/>
      </c>
      <c r="Q374" t="n">
        <v>0</v>
      </c>
      <c r="R374" t="n">
        <v>0</v>
      </c>
      <c r="S374">
        <f>IFERROR(O374/N374,0)</f>
        <v/>
      </c>
      <c r="T374" t="n">
        <v>0</v>
      </c>
      <c r="V374" t="n">
        <v>0</v>
      </c>
    </row>
    <row r="375">
      <c r="A375">
        <f>Skills!A24</f>
        <v/>
      </c>
      <c r="B375">
        <f>Skills!B24</f>
        <v/>
      </c>
      <c r="C375">
        <f>Inputs!$B$3&gt;=120</f>
        <v/>
      </c>
      <c r="D375">
        <f>IF(Skills!C24=1,60+Inputs!$B$25+Inputs!$B$29,IF(Skills!C24=2,90+Inputs!$B$26+Inputs!$B$29,IF(Skills!C24=3,120+Inputs!$B$27+Inputs!$B$29,MAX(0,(Inputs!$B$3-100)*3)+Inputs!$B$28+Inputs!$B$29)))</f>
        <v/>
      </c>
      <c r="E375">
        <f>INDEX(FactorTable!$B$2:$Y$301, MATCH(ROUND(MIN(300,MAX(1,D375)),0), FactorTable!$A$2:$A$301,0), Skills!M24+1)</f>
        <v/>
      </c>
      <c r="F375">
        <f>IF(Skills!N24=TRUE,(Skills!L24/10)*(E375/1000),Skills!L24/10)+Skills!O24</f>
        <v/>
      </c>
      <c r="G375">
        <f>Skills!G24*IF(Skills!H24&gt;0,Skills!I24/Skills!H24,1)</f>
        <v/>
      </c>
      <c r="H375">
        <f>1-(1-Skills!J24/100)^Skills!K24</f>
        <v/>
      </c>
      <c r="I375" t="inlineStr">
        <is>
          <t>1</t>
        </is>
      </c>
      <c r="J375" t="inlineStr"/>
      <c r="K375" t="inlineStr"/>
      <c r="L375" t="inlineStr"/>
      <c r="M375" t="inlineStr"/>
      <c r="N375" t="inlineStr"/>
      <c r="O375">
        <f>(1-Summary!$B$11)*T375+Summary!$B$11*V375</f>
        <v/>
      </c>
      <c r="P375">
        <f>IF(B388=0,0,O375/B388)</f>
        <v/>
      </c>
      <c r="Q375" t="n">
        <v>0</v>
      </c>
      <c r="R375" t="n">
        <v>0</v>
      </c>
      <c r="S375">
        <f>IFERROR(O375/N375,0)</f>
        <v/>
      </c>
      <c r="T375" t="n">
        <v>0</v>
      </c>
      <c r="V375" t="n">
        <v>0</v>
      </c>
    </row>
    <row r="377">
      <c r="A377" t="inlineStr">
        <is>
          <t>Attack% Bucket Multiplier</t>
        </is>
      </c>
      <c r="B377">
        <f>(1+(((C364=TRUE)*F364*MIN(1,Skills!T13*(Skills!J13/100)*B382))+((C369=TRUE)*F369*IF(AND(Inputs!$B$38&lt;&gt;"pvp",Inputs!$B$43&gt;0),(((R369-1)*(Skills!T18*(1+Inputs!$B$34/100))+MIN((Skills!T18*(1+Inputs!$B$34/100)),MAX(0,Inputs!$B$43-((R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78">
      <c r="A378" t="inlineStr">
        <is>
          <t>Global Crit Rate Bonus %</t>
        </is>
      </c>
      <c r="B378" t="n">
        <v>0</v>
      </c>
    </row>
    <row r="379">
      <c r="A379" t="inlineStr">
        <is>
          <t>Attack Speed Buff Bonus %</t>
        </is>
      </c>
      <c r="B379">
        <f>((C370=TRUE)*F370*IF(AND(Inputs!$B$38&lt;&gt;"pvp",Inputs!$B$43&gt;0),(((R370-1)*(Skills!T19*(1+Inputs!$B$34/100))+MIN((Skills!T19*(1+Inputs!$B$34/100)),MAX(0,Inputs!$B$43-((R370-1)*Skills!D19))))/Inputs!$B$43),IF(Inputs!$B$38="pvp",MIN((Skills!T19*(1+Inputs!$B$34/100)),15)/15,(Skills!T19*(1+Inputs!$B$34/100))/Skills!D19)))</f>
        <v/>
      </c>
    </row>
    <row r="380">
      <c r="A380" t="inlineStr">
        <is>
          <t>Actions Per Second</t>
        </is>
      </c>
      <c r="B380">
        <f>1+MIN(150,150*(1-(1-(Inputs!$B$11+((C371=TRUE)*(F371-Calc!F20)))/150)*(1-B379/150)))/100</f>
        <v/>
      </c>
    </row>
    <row r="381">
      <c r="A381" t="inlineStr">
        <is>
          <t>Skill + Buff Cast Rate</t>
        </is>
      </c>
      <c r="B381">
        <f>IF(AND(Inputs!$B$38&lt;&gt;"pvp",Inputs!$B$43&gt;0),SUMPRODUCT((Skills!E2:E24=TRUE)*(C353:C375=TRUE)*R353:R375*Skills!F2:F24)/Inputs!$B$43,SUMPRODUCT((Skills!E2:E24=TRUE)*(C353:C375=TRUE)*Q353:Q375*Skills!F2:F24))</f>
        <v/>
      </c>
    </row>
    <row r="382">
      <c r="A382" t="inlineStr">
        <is>
          <t>Blast Casts Per Second</t>
        </is>
      </c>
      <c r="B382">
        <f>MAX(0,B380-B381)</f>
        <v/>
      </c>
    </row>
    <row r="383">
      <c r="A383" t="inlineStr">
        <is>
          <t>Global Critical Damage Bonus % (unused)</t>
        </is>
      </c>
      <c r="B383" t="n">
        <v>0</v>
      </c>
    </row>
    <row r="384">
      <c r="A384" t="inlineStr">
        <is>
          <t>Global Final Damage Bonus % (Divine Shield + Guardian + Divine Blessing + Greater Vessel of Light)</t>
        </is>
      </c>
      <c r="B384">
        <f>((C366=TRUE)*F366*IF(AND(Inputs!$B$38&lt;&gt;"pvp",Inputs!$B$43&gt;0),(((R366-1)*(Skills!T15*(1+Inputs!$B$34/100))+MIN((Skills!T15*(1+Inputs!$B$34/100)),MAX(0,Inputs!$B$43-((R366-1)*Skills!D15))))/Inputs!$B$43),IF(Inputs!$B$38="pvp",MIN((Skills!T15*(1+Inputs!$B$34/100)),15)/15,(Skills!T15*(1+Inputs!$B$34/100))/Skills!D15)))+((C367=TRUE)*F367*IF(AND(Inputs!$B$38&lt;&gt;"pvp",Inputs!$B$43&gt;0),(((R367-1)*(Skills!T16*(1+Inputs!$B$34/100))+MIN((Skills!T16*(1+Inputs!$B$34/100)),MAX(0,Inputs!$B$43-((R367-1)*Skills!D16))))/Inputs!$B$43),IF(Inputs!$B$38="pvp",MIN((Skills!T16*(1+Inputs!$B$34/100)),15)/15,(Skills!T16*(1+Inputs!$B$34/100))/Skills!D16)))+((C368=TRUE)*F368*IF(AND(Inputs!$B$38&lt;&gt;"pvp",Inputs!$B$43&gt;0),(((R368-1)*(Skills!T17*(1+Inputs!$B$34/100))+MIN((Skills!T17*(1+Inputs!$B$34/100)),MAX(0,Inputs!$B$43-((R368-1)*Skills!D17))))/Inputs!$B$43),IF(Inputs!$B$38="pvp",MIN((Skills!T17*(1+Inputs!$B$34/100)),15)/15,(Skills!T17*(1+Inputs!$B$34/100))/Skills!D17)))+((C365=TRUE)*F365*MIN(1,Skills!T13*(Skills!J13/100)*B382))</f>
        <v/>
      </c>
    </row>
    <row r="385">
      <c r="A385" t="inlineStr">
        <is>
          <t>Buff-Casting Startup Delay (s, fixed-duration only)</t>
        </is>
      </c>
      <c r="B385">
        <f>IF(AND(Inputs!$B$38&lt;&gt;"pvp",Inputs!$B$43&gt;0),SUMPRODUCT((Skills!T2:T24&gt;0)*(Skills!E2:E24=TRUE)*(C353:C375=TRUE))/B380,0)</f>
        <v/>
      </c>
    </row>
    <row r="386">
      <c r="A386" t="inlineStr">
        <is>
          <t>Boss-Only Total DPS (this block's swept value)</t>
        </is>
      </c>
      <c r="B386">
        <f>SUM(T353:T375)</f>
        <v/>
      </c>
    </row>
    <row r="387">
      <c r="A387" t="inlineStr">
        <is>
          <t>Normal-Only Total DPS (this block's swept value)</t>
        </is>
      </c>
      <c r="B387">
        <f>SUM(V353:V375)</f>
        <v/>
      </c>
    </row>
    <row r="388">
      <c r="A388" s="6" t="inlineStr">
        <is>
          <t>TOTAL DPS</t>
        </is>
      </c>
      <c r="B388" s="6">
        <f>SUM(O353:O375)</f>
        <v/>
      </c>
    </row>
    <row r="391">
      <c r="A391" s="6" t="inlineStr">
        <is>
          <t>Stat: MIN_DAMAGE %</t>
        </is>
      </c>
    </row>
    <row r="392">
      <c r="A392" s="5" t="inlineStr">
        <is>
          <t>Key</t>
        </is>
      </c>
      <c r="B392" s="5" t="inlineStr">
        <is>
          <t>Name</t>
        </is>
      </c>
      <c r="C392" s="5" t="inlineStr">
        <is>
          <t>Unlocked</t>
        </is>
      </c>
      <c r="D392" s="5" t="inlineStr">
        <is>
          <t>InputLevel</t>
        </is>
      </c>
      <c r="E392" s="5" t="inlineStr">
        <is>
          <t>Factor</t>
        </is>
      </c>
      <c r="F392" s="5" t="inlineStr">
        <is>
          <t>CoefficientPercent</t>
        </is>
      </c>
      <c r="G392" s="5" t="inlineStr">
        <is>
          <t>EffectiveHits</t>
        </is>
      </c>
      <c r="H392" s="5" t="inlineStr">
        <is>
          <t>ProcProbability</t>
        </is>
      </c>
      <c r="I392" s="5" t="inlineStr">
        <is>
          <t>MapleHeroMultiplier</t>
        </is>
      </c>
      <c r="J392" s="5" t="inlineStr">
        <is>
          <t>BaseDamage</t>
        </is>
      </c>
      <c r="K392" s="5" t="inlineStr">
        <is>
          <t>BaseHitDamage</t>
        </is>
      </c>
      <c r="L392" s="5" t="inlineStr">
        <is>
          <t>NonCritAvg</t>
        </is>
      </c>
      <c r="M392" s="5" t="inlineStr">
        <is>
          <t>CritAvg</t>
        </is>
      </c>
      <c r="N392" s="5" t="inlineStr">
        <is>
          <t>ExpectedDamage(perHit)</t>
        </is>
      </c>
      <c r="O392" s="5" t="inlineStr">
        <is>
          <t>DPS</t>
        </is>
      </c>
      <c r="P392" s="5" t="inlineStr">
        <is>
          <t>% of Total</t>
        </is>
      </c>
      <c r="Q392" s="5" t="inlineStr">
        <is>
          <t>InvCooldown</t>
        </is>
      </c>
      <c r="R392" s="5" t="inlineStr">
        <is>
          <t>CastsInFight</t>
        </is>
      </c>
      <c r="S392" s="5" t="inlineStr">
        <is>
          <t>HitRate(perSec)</t>
        </is>
      </c>
      <c r="U392" t="inlineStr">
        <is>
          <t>helpers</t>
        </is>
      </c>
    </row>
    <row r="393">
      <c r="A393">
        <f>Skills!A2</f>
        <v/>
      </c>
      <c r="B393">
        <f>Skills!B2</f>
        <v/>
      </c>
      <c r="C393">
        <f>Inputs!$B$3&gt;=100</f>
        <v/>
      </c>
      <c r="D393" t="inlineStr"/>
      <c r="E393" t="inlineStr"/>
      <c r="F393">
        <f>U395+Skills!O2</f>
        <v/>
      </c>
      <c r="G393">
        <f>Skills!G2*IF(Skills!H2&gt;0,Skills!I2/Skills!H2,1)</f>
        <v/>
      </c>
      <c r="H393">
        <f>1-(1-Skills!J2/100)^Skills!K2</f>
        <v/>
      </c>
      <c r="I393" t="inlineStr">
        <is>
          <t>1</t>
        </is>
      </c>
      <c r="J393">
        <f>((Inputs!$B$6*(1+Inputs!$B$7/100))+(((Inputs!$B$12*(1+Inputs!$B$13/100))-(Inputs!$B$12*(1+Inputs!$B$13/100)))+0.25*(Inputs!$B$14-Inputs!$B$14))*(1+Inputs!$B$7/100))*(F393/100)</f>
        <v/>
      </c>
      <c r="K393">
        <f>J393*(1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393)</f>
        <v/>
      </c>
      <c r="L393">
        <f>K393*(MIN((Inputs!$B$22+1)+((C413=TRUE)*(F413-Calc!F22)),(Inputs!$B$23+((C415=TRUE)*(F415-Calc!F24))+(IF(ArtifactsInput!$M$15,CHOOSE(ArtifactsInput!$N$15+1,25,30,35,40,45,50)/100*(Inputs!$B$11-Inputs!$B$11),0))))/100+(Inputs!$B$23+((C415=TRUE)*(F415-Calc!F24))+(IF(ArtifactsInput!$M$15,CHOOSE(ArtifactsInput!$N$15+1,25,30,35,40,45,50)/100*(Inputs!$B$11-Inputs!$B$11),0)))/100)/2</f>
        <v/>
      </c>
      <c r="M393">
        <f>L393*(1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3">
        <f>L393*(1-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393*(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3">
        <f>(1-Summary!$B$11)*T393+Summary!$B$11*V393</f>
        <v/>
      </c>
      <c r="P393">
        <f>IF(B428=0,0,O393/B428)</f>
        <v/>
      </c>
      <c r="Q393" t="n">
        <v>0</v>
      </c>
      <c r="R393" t="n">
        <v>0</v>
      </c>
      <c r="S393">
        <f>IFERROR(O393/N393,0)</f>
        <v/>
      </c>
      <c r="T393">
        <f>IF(C393,(Skills!G2*N393*B422)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393*(1-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393*(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393*(1-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393*(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3">
        <f>MAX(0,(Inputs!$B$3-100)*3)+Inputs!$B$28+Inputs!$B$29</f>
        <v/>
      </c>
      <c r="V393">
        <f>IF(C393,(Skills!G2*N393*B422)*IF(Inputs!$B$38="pvp",1,(1+(Inputs!$B$21+Skills!Q2+(IF(ArtifactsInput!$M$33,CHOOSE(ArtifactsInput!$N$33+1,30,36,42,48,54,60),0))+(IF(AND(ArtifactsInput!$M$35,Inputs!$B$4&lt;&gt;"Chapter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4">
      <c r="A394">
        <f>Skills!A3</f>
        <v/>
      </c>
      <c r="B394">
        <f>Skills!B3</f>
        <v/>
      </c>
      <c r="C394">
        <f>Inputs!$B$3&gt;=50</f>
        <v/>
      </c>
      <c r="D394">
        <f>IF(Skills!C3=1,60+Inputs!$B$25+Inputs!$B$29,IF(Skills!C3=2,90+Inputs!$B$26+Inputs!$B$29,IF(Skills!C3=3,120+Inputs!$B$27+Inputs!$B$29,MAX(0,(Inputs!$B$3-100)*3)+Inputs!$B$28+Inputs!$B$29)))</f>
        <v/>
      </c>
      <c r="E394">
        <f>INDEX(FactorTable!$B$2:$Y$301, MATCH(ROUND(MIN(300,MAX(1,D394)),0), FactorTable!$A$2:$A$301,0), Skills!M3+1)</f>
        <v/>
      </c>
      <c r="F394">
        <f>IF(Skills!N3=TRUE,(Skills!L3/10)*(E394/1000),Skills!L3/10)+Skills!O3</f>
        <v/>
      </c>
      <c r="G394" t="inlineStr"/>
      <c r="H394" t="inlineStr"/>
      <c r="I394" t="inlineStr">
        <is>
          <t>1</t>
        </is>
      </c>
      <c r="J394" t="inlineStr"/>
      <c r="K394" t="inlineStr"/>
      <c r="L394" t="inlineStr"/>
      <c r="M394" t="inlineStr"/>
      <c r="N394" t="inlineStr"/>
      <c r="O394" t="inlineStr"/>
      <c r="P394" t="inlineStr"/>
      <c r="Q394" t="inlineStr"/>
      <c r="R394" t="inlineStr"/>
      <c r="S394" t="inlineStr"/>
      <c r="U394">
        <f>INDEX(FactorTable!$B$2:$Y$301, MATCH(ROUND(MIN(300,MAX(1,U393)),0), FactorTable!$A$2:$A$301,0), 22)</f>
        <v/>
      </c>
    </row>
    <row r="395">
      <c r="A395">
        <f>Skills!A4</f>
        <v/>
      </c>
      <c r="B395">
        <f>Skills!B4</f>
        <v/>
      </c>
      <c r="C395">
        <f>Inputs!$B$3&gt;=35</f>
        <v/>
      </c>
      <c r="D395">
        <f>IF(Skills!C4=1,60+Inputs!$B$25+Inputs!$B$29,IF(Skills!C4=2,90+Inputs!$B$26+Inputs!$B$29,IF(Skills!C4=3,120+Inputs!$B$27+Inputs!$B$29,MAX(0,(Inputs!$B$3-100)*3)+Inputs!$B$28+Inputs!$B$29)))</f>
        <v/>
      </c>
      <c r="E395">
        <f>INDEX(FactorTable!$B$2:$Y$301, MATCH(ROUND(MIN(300,MAX(1,D395)),0), FactorTable!$A$2:$A$301,0), Skills!M4+1)</f>
        <v/>
      </c>
      <c r="F395">
        <f>IF(Skills!N4=TRUE,(Skills!L4/10)*(E395/1000),Skills!L4/10)+Skills!O4</f>
        <v/>
      </c>
      <c r="G395">
        <f>Skills!G4*IF(Skills!H4&gt;0,Skills!I4/Skills!H4,1)</f>
        <v/>
      </c>
      <c r="H395">
        <f>1-(1-Skills!J4/100)^Skills!K4</f>
        <v/>
      </c>
      <c r="I395" t="inlineStr">
        <is>
          <t>1</t>
        </is>
      </c>
      <c r="J395">
        <f>((Inputs!$B$6*(1+Inputs!$B$7/100))+(((Inputs!$B$12*(1+Inputs!$B$13/100))-(Inputs!$B$12*(1+Inputs!$B$13/100)))+0.25*(Inputs!$B$14-Inputs!$B$14))*(1+Inputs!$B$7/100))*(F395/100)</f>
        <v/>
      </c>
      <c r="K395">
        <f>J395*(1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403=TRUE,F403,0)/100)*(1+(IF(Skills!A4="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395)</f>
        <v/>
      </c>
      <c r="L395">
        <f>K395*(MIN((Inputs!$B$22+1)+((C413=TRUE)*(F413-Calc!F22)),(Inputs!$B$23+((C415=TRUE)*(F415-Calc!F24))+(IF(ArtifactsInput!$M$15,CHOOSE(ArtifactsInput!$N$15+1,25,30,35,40,45,50)/100*(Inputs!$B$11-Inputs!$B$11),0))))/100+(Inputs!$B$23+((C415=TRUE)*(F415-Calc!F24))+(IF(ArtifactsInput!$M$15,CHOOSE(ArtifactsInput!$N$15+1,25,30,35,40,45,50)/100*(Inputs!$B$11-Inputs!$B$11),0)))/100)/2</f>
        <v/>
      </c>
      <c r="M395">
        <f>L395*(1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5">
        <f>L395*(1-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395*(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5">
        <f>(1-Summary!$B$11)*T395+Summary!$B$11*V395</f>
        <v/>
      </c>
      <c r="P395">
        <f>IF(B428=0,0,O395/B428)</f>
        <v/>
      </c>
      <c r="Q395">
        <f>IFERROR(1/(IF(Inputs!$B$38="pvp",15,MAX(0.1,Skills!D4-IF(Skills!E4=TRUE,Inputs!$B$32,0)))*(1-IF(AND(ArtifactsInput!$M$27,Inputs!$B$4="Chapter Hunt"),CHOOSE(ArtifactsInput!$N$27+1,20,24,28,32,36,40),0)/100)),0)</f>
        <v/>
      </c>
      <c r="R395">
        <f>IF(AND(Inputs!$B$38&lt;&gt;"pvp",Inputs!$B$43&gt;0),IF(MAX(0,Inputs!$B$43-B425)&lt;=0,0,(INT(MAX(0,Inputs!$B$43-B425)/(IF(Inputs!$B$38="pvp",15,MAX(0.1,Skills!D4-IF(Skills!E4=TRUE,Inputs!$B$32,0)))*(1-IF(AND(ArtifactsInput!$M$27,Inputs!$B$4="Chapter Hunt"),CHOOSE(ArtifactsInput!$N$27+1,20,24,28,32,36,40),0)/100)))+1)),0)</f>
        <v/>
      </c>
      <c r="S395">
        <f>IFERROR(O395/N395,0)</f>
        <v/>
      </c>
      <c r="T395">
        <f>IF(C395,(H395*N395*IF(AND(Inputs!$B$38&lt;&gt;"pvp",Inputs!$B$43&gt;0),((Skills!G4*((R395-1)*IF(Skills!H4&gt;0,Skills!I4/Skills!H4,1)+IF(Skills!H4&gt;0,MIN(Skills!I4,MAX(0,MAX(0,Inputs!$B$43-B425)-((R395-1)*(IF(Inputs!$B$38="pvp",15,MAX(0.1,Skills!D4-IF(Skills!E4=TRUE,Inputs!$B$32,0)))*(1-IF(AND(ArtifactsInput!$M$27,Inputs!$B$4="Chapter Hunt"),CHOOSE(ArtifactsInput!$N$27+1,20,24,28,32,36,40),0)/100)))))/Skills!H4,1)))/Inputs!$B$43),G395*Q395)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395*(1-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395*(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395*(1-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395*(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95">
        <f>290*U394/1000</f>
        <v/>
      </c>
      <c r="V395">
        <f>IF(C395,(H395*N395*IF(AND(Inputs!$B$38&lt;&gt;"pvp",Inputs!$B$43&gt;0),((Skills!G4*((R395-1)*IF(Skills!H4&gt;0,Skills!I4/Skills!H4,1)+IF(Skills!H4&gt;0,MIN(Skills!I4,MAX(0,MAX(0,Inputs!$B$43-B425)-((R395-1)*(IF(Inputs!$B$38="pvp",15,MAX(0.1,Skills!D4-IF(Skills!E4=TRUE,Inputs!$B$32,0)))*(1-IF(AND(ArtifactsInput!$M$27,Inputs!$B$4="Chapter Hunt"),CHOOSE(ArtifactsInput!$N$27+1,20,24,28,32,36,40),0)/100)))))/Skills!H4,1)))/Inputs!$B$43),G395*Q395))*IF(Inputs!$B$38="pvp",1,(1+(Inputs!$B$21+Skills!Q4+(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6">
      <c r="A396">
        <f>Skills!A5</f>
        <v/>
      </c>
      <c r="B396">
        <f>Skills!B5</f>
        <v/>
      </c>
      <c r="C396">
        <f>Inputs!$B$3&gt;=66</f>
        <v/>
      </c>
      <c r="D396">
        <f>IF(Skills!C5=1,60+Inputs!$B$25+Inputs!$B$29,IF(Skills!C5=2,90+Inputs!$B$26+Inputs!$B$29,IF(Skills!C5=3,120+Inputs!$B$27+Inputs!$B$29,MAX(0,(Inputs!$B$3-100)*3)+Inputs!$B$28+Inputs!$B$29)))</f>
        <v/>
      </c>
      <c r="E396">
        <f>INDEX(FactorTable!$B$2:$Y$301, MATCH(ROUND(MIN(300,MAX(1,D396)),0), FactorTable!$A$2:$A$301,0), Skills!M5+1)</f>
        <v/>
      </c>
      <c r="F396">
        <f>IF(Skills!N5=TRUE,(Skills!L5/10)*(E396/1000),Skills!L5/10)+Skills!O5</f>
        <v/>
      </c>
      <c r="G396">
        <f>Skills!G5*IF(Skills!H5&gt;0,Skills!I5/Skills!H5,1)</f>
        <v/>
      </c>
      <c r="H396">
        <f>1-(1-Skills!J5/100)^Skills!K5</f>
        <v/>
      </c>
      <c r="I396" t="inlineStr">
        <is>
          <t>1</t>
        </is>
      </c>
      <c r="J396">
        <f>((Inputs!$B$6*(1+Inputs!$B$7/100))+(((Inputs!$B$12*(1+Inputs!$B$13/100))-(Inputs!$B$12*(1+Inputs!$B$13/100)))+0.25*(Inputs!$B$14-Inputs!$B$14))*(1+Inputs!$B$7/100))*(F396/100)</f>
        <v/>
      </c>
      <c r="K396">
        <f>J396*(1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403=TRUE,F403,0)/100)*(1+(IF(Skills!A5="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396)</f>
        <v/>
      </c>
      <c r="L396">
        <f>K396*(MIN((Inputs!$B$22+1)+((C413=TRUE)*(F413-Calc!F22)),(Inputs!$B$23+((C415=TRUE)*(F415-Calc!F24))+(IF(ArtifactsInput!$M$15,CHOOSE(ArtifactsInput!$N$15+1,25,30,35,40,45,50)/100*(Inputs!$B$11-Inputs!$B$11),0))))/100+(Inputs!$B$23+((C415=TRUE)*(F415-Calc!F24))+(IF(ArtifactsInput!$M$15,CHOOSE(ArtifactsInput!$N$15+1,25,30,35,40,45,50)/100*(Inputs!$B$11-Inputs!$B$11),0)))/100)/2</f>
        <v/>
      </c>
      <c r="M396">
        <f>L396*(1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6">
        <f>L396*(1-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396*(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6">
        <f>(1-Summary!$B$11)*T396+Summary!$B$11*V396</f>
        <v/>
      </c>
      <c r="P396">
        <f>IF(B428=0,0,O396/B428)</f>
        <v/>
      </c>
      <c r="Q396">
        <f>IFERROR(1/(IF(Inputs!$B$38="pvp",15,MAX(0.1,Skills!D5-IF(Skills!E5=TRUE,Inputs!$B$32,0)))*(1-IF(AND(ArtifactsInput!$M$27,Inputs!$B$4="Chapter Hunt"),CHOOSE(ArtifactsInput!$N$27+1,20,24,28,32,36,40),0)/100)),0)</f>
        <v/>
      </c>
      <c r="R396">
        <f>IF(AND(Inputs!$B$38&lt;&gt;"pvp",Inputs!$B$43&gt;0),IF(MAX(0,Inputs!$B$43-B425)&lt;=0,0,(INT(MAX(0,Inputs!$B$43-B425)/(IF(Inputs!$B$38="pvp",15,MAX(0.1,Skills!D5-IF(Skills!E5=TRUE,Inputs!$B$32,0)))*(1-IF(AND(ArtifactsInput!$M$27,Inputs!$B$4="Chapter Hunt"),CHOOSE(ArtifactsInput!$N$27+1,20,24,28,32,36,40),0)/100)))+1)),0)</f>
        <v/>
      </c>
      <c r="S396">
        <f>IFERROR(O396/N396,0)</f>
        <v/>
      </c>
      <c r="T396">
        <f>IF(C396,(H396*N396*IF(AND(Inputs!$B$38&lt;&gt;"pvp",Inputs!$B$43&gt;0),((Skills!G5*((R396-1)*IF(Skills!H5&gt;0,Skills!I5/Skills!H5,1)+IF(Skills!H5&gt;0,MIN(Skills!I5,MAX(0,MAX(0,Inputs!$B$43-B425)-((R396-1)*(IF(Inputs!$B$38="pvp",15,MAX(0.1,Skills!D5-IF(Skills!E5=TRUE,Inputs!$B$32,0)))*(1-IF(AND(ArtifactsInput!$M$27,Inputs!$B$4="Chapter Hunt"),CHOOSE(ArtifactsInput!$N$27+1,20,24,28,32,36,40),0)/100)))))/Skills!H5,1)))/Inputs!$B$43),G396*Q396)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396*(1-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396*(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396*(1-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396*(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6">
        <f>IF(C396,(H396*N396*IF(AND(Inputs!$B$38&lt;&gt;"pvp",Inputs!$B$43&gt;0),((Skills!G5*((R396-1)*IF(Skills!H5&gt;0,Skills!I5/Skills!H5,1)+IF(Skills!H5&gt;0,MIN(Skills!I5,MAX(0,MAX(0,Inputs!$B$43-B425)-((R396-1)*(IF(Inputs!$B$38="pvp",15,MAX(0.1,Skills!D5-IF(Skills!E5=TRUE,Inputs!$B$32,0)))*(1-IF(AND(ArtifactsInput!$M$27,Inputs!$B$4="Chapter Hunt"),CHOOSE(ArtifactsInput!$N$27+1,20,24,28,32,36,40),0)/100)))))/Skills!H5,1)))/Inputs!$B$43),G396*Q396))*IF(Inputs!$B$38="pvp",1,(1+(Inputs!$B$21+Skills!Q5+(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7">
      <c r="A397">
        <f>Skills!A6</f>
        <v/>
      </c>
      <c r="B397">
        <f>Skills!B6</f>
        <v/>
      </c>
      <c r="C397">
        <f>Inputs!$B$3&gt;=103</f>
        <v/>
      </c>
      <c r="D397">
        <f>IF(Skills!C6=1,60+Inputs!$B$25+Inputs!$B$29,IF(Skills!C6=2,90+Inputs!$B$26+Inputs!$B$29,IF(Skills!C6=3,120+Inputs!$B$27+Inputs!$B$29,MAX(0,(Inputs!$B$3-100)*3)+Inputs!$B$28+Inputs!$B$29)))</f>
        <v/>
      </c>
      <c r="E397">
        <f>INDEX(FactorTable!$B$2:$Y$301, MATCH(ROUND(MIN(300,MAX(1,D397)),0), FactorTable!$A$2:$A$301,0), Skills!M6+1)</f>
        <v/>
      </c>
      <c r="F397">
        <f>IF(Skills!N6=TRUE,(Skills!L6/10)*(E397/1000),Skills!L6/10)+Skills!O6</f>
        <v/>
      </c>
      <c r="G397">
        <f>Skills!G6*IF(Skills!H6&gt;0,Skills!I6/Skills!H6,1)</f>
        <v/>
      </c>
      <c r="H397">
        <f>1-(1-Skills!J6/100)^Skills!K6</f>
        <v/>
      </c>
      <c r="I397" t="inlineStr">
        <is>
          <t>1</t>
        </is>
      </c>
      <c r="J397">
        <f>((Inputs!$B$6*(1+Inputs!$B$7/100))+(((Inputs!$B$12*(1+Inputs!$B$13/100))-(Inputs!$B$12*(1+Inputs!$B$13/100)))+0.25*(Inputs!$B$14-Inputs!$B$14))*(1+Inputs!$B$7/100))*(F397/100)</f>
        <v/>
      </c>
      <c r="K397">
        <f>J397*(1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397)</f>
        <v/>
      </c>
      <c r="L397">
        <f>K397*(MIN((Inputs!$B$22+1)+((C413=TRUE)*(F413-Calc!F22)),(Inputs!$B$23+((C415=TRUE)*(F415-Calc!F24))+(IF(ArtifactsInput!$M$15,CHOOSE(ArtifactsInput!$N$15+1,25,30,35,40,45,50)/100*(Inputs!$B$11-Inputs!$B$11),0))))/100+(Inputs!$B$23+((C415=TRUE)*(F415-Calc!F24))+(IF(ArtifactsInput!$M$15,CHOOSE(ArtifactsInput!$N$15+1,25,30,35,40,45,50)/100*(Inputs!$B$11-Inputs!$B$11),0)))/100)/2</f>
        <v/>
      </c>
      <c r="M397">
        <f>L397*(1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7">
        <f>L397*(1-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397*(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7">
        <f>(1-Summary!$B$11)*T397+Summary!$B$11*V397</f>
        <v/>
      </c>
      <c r="P397">
        <f>IF(B428=0,0,O397/B428)</f>
        <v/>
      </c>
      <c r="Q397">
        <f>IFERROR(1/(IF(Inputs!$B$38="pvp",15,MAX(0.1,Skills!D6-IF(Skills!E6=TRUE,Inputs!$B$32,0)))*(1-IF(AND(ArtifactsInput!$M$27,Inputs!$B$4="Chapter Hunt"),CHOOSE(ArtifactsInput!$N$27+1,20,24,28,32,36,40),0)/100)),0)</f>
        <v/>
      </c>
      <c r="R397">
        <f>IF(AND(Inputs!$B$38&lt;&gt;"pvp",Inputs!$B$43&gt;0),IF(MAX(0,Inputs!$B$43-B425)&lt;=0,0,(INT(MAX(0,Inputs!$B$43-B425)/(IF(Inputs!$B$38="pvp",15,MAX(0.1,Skills!D6-IF(Skills!E6=TRUE,Inputs!$B$32,0)))*(1-IF(AND(ArtifactsInput!$M$27,Inputs!$B$4="Chapter Hunt"),CHOOSE(ArtifactsInput!$N$27+1,20,24,28,32,36,40),0)/100)))+1)),0)</f>
        <v/>
      </c>
      <c r="S397">
        <f>IFERROR(O397/N397,0)</f>
        <v/>
      </c>
      <c r="T397">
        <f>IF(C397,(H397*N397*IF(AND(Inputs!$B$38&lt;&gt;"pvp",Inputs!$B$43&gt;0),((Skills!G6*((R397-1)*IF(Skills!H6&gt;0,Skills!I6/Skills!H6,1)+IF(Skills!H6&gt;0,MIN(Skills!I6,MAX(0,MAX(0,Inputs!$B$43-B425)-((R397-1)*(IF(Inputs!$B$38="pvp",15,MAX(0.1,Skills!D6-IF(Skills!E6=TRUE,Inputs!$B$32,0)))*(1-IF(AND(ArtifactsInput!$M$27,Inputs!$B$4="Chapter Hunt"),CHOOSE(ArtifactsInput!$N$27+1,20,24,28,32,36,40),0)/100)))))/Skills!H6,1)))/Inputs!$B$43),G397*Q397)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397*(1-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397*(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397*(1-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397*(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7">
        <f>IF(C397,(H397*N397*IF(AND(Inputs!$B$38&lt;&gt;"pvp",Inputs!$B$43&gt;0),((Skills!G6*((R397-1)*IF(Skills!H6&gt;0,Skills!I6/Skills!H6,1)+IF(Skills!H6&gt;0,MIN(Skills!I6,MAX(0,MAX(0,Inputs!$B$43-B425)-((R397-1)*(IF(Inputs!$B$38="pvp",15,MAX(0.1,Skills!D6-IF(Skills!E6=TRUE,Inputs!$B$32,0)))*(1-IF(AND(ArtifactsInput!$M$27,Inputs!$B$4="Chapter Hunt"),CHOOSE(ArtifactsInput!$N$27+1,20,24,28,32,36,40),0)/100)))))/Skills!H6,1)))/Inputs!$B$43),G397*Q397))*IF(Inputs!$B$38="pvp",1,(1+(Inputs!$B$21+Skills!Q6+(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8">
      <c r="A398">
        <f>Skills!A7</f>
        <v/>
      </c>
      <c r="B398">
        <f>Skills!B7</f>
        <v/>
      </c>
      <c r="C398">
        <f>Inputs!$B$3&gt;=107</f>
        <v/>
      </c>
      <c r="D398">
        <f>IF(Skills!C7=1,60+Inputs!$B$25+Inputs!$B$29,IF(Skills!C7=2,90+Inputs!$B$26+Inputs!$B$29,IF(Skills!C7=3,120+Inputs!$B$27+Inputs!$B$29,MAX(0,(Inputs!$B$3-100)*3)+Inputs!$B$28+Inputs!$B$29)))</f>
        <v/>
      </c>
      <c r="E398">
        <f>INDEX(FactorTable!$B$2:$Y$301, MATCH(ROUND(MIN(300,MAX(1,D398)),0), FactorTable!$A$2:$A$301,0), Skills!M7+1)</f>
        <v/>
      </c>
      <c r="F398">
        <f>IF(Skills!N7=TRUE,(Skills!L7/10)*(E398/1000),Skills!L7/10)+Skills!O7</f>
        <v/>
      </c>
      <c r="G398">
        <f>Skills!G7*IF(Skills!H7&gt;0,Skills!I7/Skills!H7,1)</f>
        <v/>
      </c>
      <c r="H398">
        <f>1-(1-Skills!J7/100)^Skills!K7</f>
        <v/>
      </c>
      <c r="I398" t="inlineStr">
        <is>
          <t>1</t>
        </is>
      </c>
      <c r="J398">
        <f>((Inputs!$B$6*(1+Inputs!$B$7/100))+(((Inputs!$B$12*(1+Inputs!$B$13/100))-(Inputs!$B$12*(1+Inputs!$B$13/100)))+0.25*(Inputs!$B$14-Inputs!$B$14))*(1+Inputs!$B$7/100))*(F398/100)</f>
        <v/>
      </c>
      <c r="K398">
        <f>J398*(1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398)</f>
        <v/>
      </c>
      <c r="L398">
        <f>K398*(MIN((Inputs!$B$22+1)+((C413=TRUE)*(F413-Calc!F22)),(Inputs!$B$23+((C415=TRUE)*(F415-Calc!F24))+(IF(ArtifactsInput!$M$15,CHOOSE(ArtifactsInput!$N$15+1,25,30,35,40,45,50)/100*(Inputs!$B$11-Inputs!$B$11),0))))/100+(Inputs!$B$23+((C415=TRUE)*(F415-Calc!F24))+(IF(ArtifactsInput!$M$15,CHOOSE(ArtifactsInput!$N$15+1,25,30,35,40,45,50)/100*(Inputs!$B$11-Inputs!$B$11),0)))/100)/2</f>
        <v/>
      </c>
      <c r="M398">
        <f>L398*(1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8">
        <f>L398*(1-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398*(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8">
        <f>(1-Summary!$B$11)*T398+Summary!$B$11*V398</f>
        <v/>
      </c>
      <c r="P398">
        <f>IF(B428=0,0,O398/B428)</f>
        <v/>
      </c>
      <c r="Q398">
        <f>IFERROR(1/(IF(Inputs!$B$38="pvp",15,MAX(0.1,Skills!D7-IF(Skills!E7=TRUE,Inputs!$B$32,0)))*(1-IF(AND(ArtifactsInput!$M$27,Inputs!$B$4="Chapter Hunt"),CHOOSE(ArtifactsInput!$N$27+1,20,24,28,32,36,40),0)/100)),0)</f>
        <v/>
      </c>
      <c r="R398">
        <f>IF(AND(Inputs!$B$38&lt;&gt;"pvp",Inputs!$B$43&gt;0),IF(MAX(0,Inputs!$B$43-B425)&lt;=0,0,(INT(MAX(0,Inputs!$B$43-B425)/(IF(Inputs!$B$38="pvp",15,MAX(0.1,Skills!D7-IF(Skills!E7=TRUE,Inputs!$B$32,0)))*(1-IF(AND(ArtifactsInput!$M$27,Inputs!$B$4="Chapter Hunt"),CHOOSE(ArtifactsInput!$N$27+1,20,24,28,32,36,40),0)/100)))+1)),0)</f>
        <v/>
      </c>
      <c r="S398">
        <f>IFERROR(O398/N398,0)</f>
        <v/>
      </c>
      <c r="T398">
        <f>IF(C398,(H398*N398*IF(AND(Inputs!$B$38&lt;&gt;"pvp",Inputs!$B$43&gt;0),((Skills!G7*((R398-1)*IF(Skills!H7&gt;0,Skills!I7/Skills!H7,1)+IF(Skills!H7&gt;0,MIN(Skills!I7,MAX(0,MAX(0,Inputs!$B$43-B425)-((R398-1)*(IF(Inputs!$B$38="pvp",15,MAX(0.1,Skills!D7-IF(Skills!E7=TRUE,Inputs!$B$32,0)))*(1-IF(AND(ArtifactsInput!$M$27,Inputs!$B$4="Chapter Hunt"),CHOOSE(ArtifactsInput!$N$27+1,20,24,28,32,36,40),0)/100)))))/Skills!H7,1)))/Inputs!$B$43),G398*Q398)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398*(1-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398*(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398*(1-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398*(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8">
        <f>IF(C398,(H398*N398*IF(AND(Inputs!$B$38&lt;&gt;"pvp",Inputs!$B$43&gt;0),((Skills!G7*((R398-1)*IF(Skills!H7&gt;0,Skills!I7/Skills!H7,1)+IF(Skills!H7&gt;0,MIN(Skills!I7,MAX(0,MAX(0,Inputs!$B$43-B425)-((R398-1)*(IF(Inputs!$B$38="pvp",15,MAX(0.1,Skills!D7-IF(Skills!E7=TRUE,Inputs!$B$32,0)))*(1-IF(AND(ArtifactsInput!$M$27,Inputs!$B$4="Chapter Hunt"),CHOOSE(ArtifactsInput!$N$27+1,20,24,28,32,36,40),0)/100)))))/Skills!H7,1)))/Inputs!$B$43),G398*Q398))*IF(Inputs!$B$38="pvp",1,(1+(Inputs!$B$21+Skills!Q7+(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9">
      <c r="A399">
        <f>Skills!A8</f>
        <v/>
      </c>
      <c r="B399">
        <f>Skills!B8</f>
        <v/>
      </c>
      <c r="C399">
        <f>Inputs!$B$3&gt;=107</f>
        <v/>
      </c>
      <c r="D399">
        <f>IF(Skills!C8=1,60+Inputs!$B$25+Inputs!$B$29,IF(Skills!C8=2,90+Inputs!$B$26+Inputs!$B$29,IF(Skills!C8=3,120+Inputs!$B$27+Inputs!$B$29,MAX(0,(Inputs!$B$3-100)*3)+Inputs!$B$28+Inputs!$B$29)))</f>
        <v/>
      </c>
      <c r="E399">
        <f>INDEX(FactorTable!$B$2:$Y$301, MATCH(ROUND(MIN(300,MAX(1,D399)),0), FactorTable!$A$2:$A$301,0), Skills!M8+1)</f>
        <v/>
      </c>
      <c r="F399">
        <f>IF(Skills!N8=TRUE,(Skills!L8/10)*(E399/1000),Skills!L8/10)+Skills!O8</f>
        <v/>
      </c>
      <c r="G399">
        <f>Skills!G8*IF(Skills!H8&gt;0,Skills!I8/Skills!H8,1)</f>
        <v/>
      </c>
      <c r="H399">
        <f>1-(1-Skills!J8/100)^Skills!K8</f>
        <v/>
      </c>
      <c r="I399" t="inlineStr">
        <is>
          <t>1</t>
        </is>
      </c>
      <c r="J399">
        <f>((Inputs!$B$6*(1+Inputs!$B$7/100))+(((Inputs!$B$12*(1+Inputs!$B$13/100))-(Inputs!$B$12*(1+Inputs!$B$13/100)))+0.25*(Inputs!$B$14-Inputs!$B$14))*(1+Inputs!$B$7/100))*(F399/100)</f>
        <v/>
      </c>
      <c r="K399">
        <f>J399*(1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399)</f>
        <v/>
      </c>
      <c r="L399">
        <f>K399*(MIN((Inputs!$B$22+1)+((C413=TRUE)*(F413-Calc!F22)),(Inputs!$B$23+((C415=TRUE)*(F415-Calc!F24))+(IF(ArtifactsInput!$M$15,CHOOSE(ArtifactsInput!$N$15+1,25,30,35,40,45,50)/100*(Inputs!$B$11-Inputs!$B$11),0))))/100+(Inputs!$B$23+((C415=TRUE)*(F415-Calc!F24))+(IF(ArtifactsInput!$M$15,CHOOSE(ArtifactsInput!$N$15+1,25,30,35,40,45,50)/100*(Inputs!$B$11-Inputs!$B$11),0)))/100)/2</f>
        <v/>
      </c>
      <c r="M399">
        <f>L399*(1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9">
        <f>L399*(1-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399*(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9">
        <f>(1-Summary!$B$11)*T399+Summary!$B$11*V399</f>
        <v/>
      </c>
      <c r="P399">
        <f>IF(B428=0,0,O399/B428)</f>
        <v/>
      </c>
      <c r="Q399">
        <f>IFERROR(1/(IF(Inputs!$B$38="pvp",15,MAX(0.1,Skills!D8-IF(Skills!E8=TRUE,Inputs!$B$32,0)))*(1-IF(AND(ArtifactsInput!$M$27,Inputs!$B$4="Chapter Hunt"),CHOOSE(ArtifactsInput!$N$27+1,20,24,28,32,36,40),0)/100)),0)</f>
        <v/>
      </c>
      <c r="R399">
        <f>IF(AND(Inputs!$B$38&lt;&gt;"pvp",Inputs!$B$43&gt;0),IF(MAX(0,Inputs!$B$43-B425)&lt;=0,0,(INT(MAX(0,Inputs!$B$43-B425)/(IF(Inputs!$B$38="pvp",15,MAX(0.1,Skills!D8-IF(Skills!E8=TRUE,Inputs!$B$32,0)))*(1-IF(AND(ArtifactsInput!$M$27,Inputs!$B$4="Chapter Hunt"),CHOOSE(ArtifactsInput!$N$27+1,20,24,28,32,36,40),0)/100)))+1)),0)</f>
        <v/>
      </c>
      <c r="S399">
        <f>IFERROR(O399/N399,0)</f>
        <v/>
      </c>
      <c r="T399">
        <f>IF(C399,(H399*N399*IF(AND(Inputs!$B$38&lt;&gt;"pvp",Inputs!$B$43&gt;0),((Skills!G8*((R399-1)*IF(Skills!H8&gt;0,Skills!I8/Skills!H8,1)+IF(Skills!H8&gt;0,MIN(Skills!I8,MAX(0,MAX(0,Inputs!$B$43-B425)-((R399-1)*(IF(Inputs!$B$38="pvp",15,MAX(0.1,Skills!D8-IF(Skills!E8=TRUE,Inputs!$B$32,0)))*(1-IF(AND(ArtifactsInput!$M$27,Inputs!$B$4="Chapter Hunt"),CHOOSE(ArtifactsInput!$N$27+1,20,24,28,32,36,40),0)/100)))))/Skills!H8,1)))/Inputs!$B$43),G399*Q399)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399*(1-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399*(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399*(1-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399*(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9">
        <f>IF(C399,(H399*N399*IF(AND(Inputs!$B$38&lt;&gt;"pvp",Inputs!$B$43&gt;0),((Skills!G8*((R399-1)*IF(Skills!H8&gt;0,Skills!I8/Skills!H8,1)+IF(Skills!H8&gt;0,MIN(Skills!I8,MAX(0,MAX(0,Inputs!$B$43-B425)-((R399-1)*(IF(Inputs!$B$38="pvp",15,MAX(0.1,Skills!D8-IF(Skills!E8=TRUE,Inputs!$B$32,0)))*(1-IF(AND(ArtifactsInput!$M$27,Inputs!$B$4="Chapter Hunt"),CHOOSE(ArtifactsInput!$N$27+1,20,24,28,32,36,40),0)/100)))))/Skills!H8,1)))/Inputs!$B$43),G399*Q399))*IF(Inputs!$B$38="pvp",1,(1+(Inputs!$B$21+Skills!Q8+(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0">
      <c r="A400">
        <f>Skills!A9</f>
        <v/>
      </c>
      <c r="B400">
        <f>Skills!B9</f>
        <v/>
      </c>
      <c r="C400">
        <f>Inputs!$B$3&gt;=125</f>
        <v/>
      </c>
      <c r="D400">
        <f>IF(Skills!C9=1,60+Inputs!$B$25+Inputs!$B$29,IF(Skills!C9=2,90+Inputs!$B$26+Inputs!$B$29,IF(Skills!C9=3,120+Inputs!$B$27+Inputs!$B$29,MAX(0,(Inputs!$B$3-100)*3)+Inputs!$B$28+Inputs!$B$29)))</f>
        <v/>
      </c>
      <c r="E400">
        <f>INDEX(FactorTable!$B$2:$Y$301, MATCH(ROUND(MIN(300,MAX(1,D400)),0), FactorTable!$A$2:$A$301,0), Skills!M9+1)</f>
        <v/>
      </c>
      <c r="F400">
        <f>IF(Skills!N9=TRUE,(Skills!L9/10)*(E400/1000),Skills!L9/10)+Skills!O9</f>
        <v/>
      </c>
      <c r="G400">
        <f>Skills!G9*IF(Skills!H9&gt;0,Skills!I9/Skills!H9,1)</f>
        <v/>
      </c>
      <c r="H400">
        <f>1-(1-Skills!J9/100)^Skills!K9</f>
        <v/>
      </c>
      <c r="I400" t="inlineStr">
        <is>
          <t>1</t>
        </is>
      </c>
      <c r="J400">
        <f>((Inputs!$B$6*(1+Inputs!$B$7/100))+(((Inputs!$B$12*(1+Inputs!$B$13/100))-(Inputs!$B$12*(1+Inputs!$B$13/100)))+0.25*(Inputs!$B$14-Inputs!$B$14))*(1+Inputs!$B$7/100))*(F400/100)</f>
        <v/>
      </c>
      <c r="K400">
        <f>J400*(1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400)</f>
        <v/>
      </c>
      <c r="L400">
        <f>K400*(MIN((Inputs!$B$22+1)+((C413=TRUE)*(F413-Calc!F22)),(Inputs!$B$23+((C415=TRUE)*(F415-Calc!F24))+(IF(ArtifactsInput!$M$15,CHOOSE(ArtifactsInput!$N$15+1,25,30,35,40,45,50)/100*(Inputs!$B$11-Inputs!$B$11),0))))/100+(Inputs!$B$23+((C415=TRUE)*(F415-Calc!F24))+(IF(ArtifactsInput!$M$15,CHOOSE(ArtifactsInput!$N$15+1,25,30,35,40,45,50)/100*(Inputs!$B$11-Inputs!$B$11),0)))/100)/2</f>
        <v/>
      </c>
      <c r="M400">
        <f>L400*(1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0">
        <f>L400*(1-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400*(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0">
        <f>(1-Summary!$B$11)*T400+Summary!$B$11*V400</f>
        <v/>
      </c>
      <c r="P400">
        <f>IF(B428=0,0,O400/B428)</f>
        <v/>
      </c>
      <c r="Q400">
        <f>IFERROR(1/(IF(Inputs!$B$38="pvp",15,MAX(0.1,Skills!D9-IF(Skills!E9=TRUE,Inputs!$B$32,0)))*(1-IF(AND(ArtifactsInput!$M$27,Inputs!$B$4="Chapter Hunt"),CHOOSE(ArtifactsInput!$N$27+1,20,24,28,32,36,40),0)/100)),0)</f>
        <v/>
      </c>
      <c r="R400">
        <f>IF(AND(Inputs!$B$38&lt;&gt;"pvp",Inputs!$B$43&gt;0),IF(MAX(0,Inputs!$B$43-B425)&lt;=0,0,(INT(MAX(0,Inputs!$B$43-B425)/(IF(Inputs!$B$38="pvp",15,MAX(0.1,Skills!D9-IF(Skills!E9=TRUE,Inputs!$B$32,0)))*(1-IF(AND(ArtifactsInput!$M$27,Inputs!$B$4="Chapter Hunt"),CHOOSE(ArtifactsInput!$N$27+1,20,24,28,32,36,40),0)/100)))+1)),0)</f>
        <v/>
      </c>
      <c r="S400">
        <f>IFERROR(O400/N400,0)</f>
        <v/>
      </c>
      <c r="T400">
        <f>IF(C400,(H400*N400*IF(AND(Inputs!$B$38&lt;&gt;"pvp",Inputs!$B$43&gt;0),((Skills!G9*((R400-1)*IF(Skills!H9&gt;0,Skills!I9/Skills!H9,1)+IF(Skills!H9&gt;0,MIN(Skills!I9,MAX(0,MAX(0,Inputs!$B$43-B425)-((R400-1)*(IF(Inputs!$B$38="pvp",15,MAX(0.1,Skills!D9-IF(Skills!E9=TRUE,Inputs!$B$32,0)))*(1-IF(AND(ArtifactsInput!$M$27,Inputs!$B$4="Chapter Hunt"),CHOOSE(ArtifactsInput!$N$27+1,20,24,28,32,36,40),0)/100)))))/Skills!H9,1)))/Inputs!$B$43),G400*Q400)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400*(1-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400*(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400*(1-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400*(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0">
        <f>IF(C400,(H400*N400*IF(AND(Inputs!$B$38&lt;&gt;"pvp",Inputs!$B$43&gt;0),((Skills!G9*((R400-1)*IF(Skills!H9&gt;0,Skills!I9/Skills!H9,1)+IF(Skills!H9&gt;0,MIN(Skills!I9,MAX(0,MAX(0,Inputs!$B$43-B425)-((R400-1)*(IF(Inputs!$B$38="pvp",15,MAX(0.1,Skills!D9-IF(Skills!E9=TRUE,Inputs!$B$32,0)))*(1-IF(AND(ArtifactsInput!$M$27,Inputs!$B$4="Chapter Hunt"),CHOOSE(ArtifactsInput!$N$27+1,20,24,28,32,36,40),0)/100)))))/Skills!H9,1)))/Inputs!$B$43),G400*Q400))*IF(Inputs!$B$38="pvp",1,(1+(Inputs!$B$21+Skills!Q9+(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1">
      <c r="A401">
        <f>Skills!A10</f>
        <v/>
      </c>
      <c r="B401">
        <f>Skills!B10</f>
        <v/>
      </c>
      <c r="C401">
        <f>Inputs!$B$3&gt;=117</f>
        <v/>
      </c>
      <c r="D401">
        <f>IF(Skills!C10=1,60+Inputs!$B$25+Inputs!$B$29,IF(Skills!C10=2,90+Inputs!$B$26+Inputs!$B$29,IF(Skills!C10=3,120+Inputs!$B$27+Inputs!$B$29,MAX(0,(Inputs!$B$3-100)*3)+Inputs!$B$28+Inputs!$B$29)))</f>
        <v/>
      </c>
      <c r="E401">
        <f>INDEX(FactorTable!$B$2:$Y$301, MATCH(ROUND(MIN(300,MAX(1,D401)),0), FactorTable!$A$2:$A$301,0), Skills!M10+1)</f>
        <v/>
      </c>
      <c r="F401">
        <f>IF(Skills!N10=TRUE,(Skills!L10/10)*(E401/1000),Skills!L10/10)+Skills!O10</f>
        <v/>
      </c>
      <c r="G401">
        <f>Skills!G10*IF(Skills!H10&gt;0,Skills!I10/Skills!H10,1)</f>
        <v/>
      </c>
      <c r="H401">
        <f>1-(1-Skills!J10/100)^Skills!K10</f>
        <v/>
      </c>
      <c r="I401" t="inlineStr">
        <is>
          <t>1</t>
        </is>
      </c>
      <c r="J401">
        <f>((Inputs!$B$6*(1+Inputs!$B$7/100))+(((Inputs!$B$12*(1+Inputs!$B$13/100))-(Inputs!$B$12*(1+Inputs!$B$13/100)))+0.25*(Inputs!$B$14-Inputs!$B$14))*(1+Inputs!$B$7/100))*(F401/100)</f>
        <v/>
      </c>
      <c r="K401">
        <f>J401*(1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401)</f>
        <v/>
      </c>
      <c r="L401">
        <f>K401*(MIN((Inputs!$B$22+1)+((C413=TRUE)*(F413-Calc!F22)),(Inputs!$B$23+((C415=TRUE)*(F415-Calc!F24))+(IF(ArtifactsInput!$M$15,CHOOSE(ArtifactsInput!$N$15+1,25,30,35,40,45,50)/100*(Inputs!$B$11-Inputs!$B$11),0))))/100+(Inputs!$B$23+((C415=TRUE)*(F415-Calc!F24))+(IF(ArtifactsInput!$M$15,CHOOSE(ArtifactsInput!$N$15+1,25,30,35,40,45,50)/100*(Inputs!$B$11-Inputs!$B$11),0)))/100)/2</f>
        <v/>
      </c>
      <c r="M401">
        <f>L401*(1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1">
        <f>L401*(1-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1">
        <f>(1-Summary!$B$11)*T401+Summary!$B$11*V401</f>
        <v/>
      </c>
      <c r="P401">
        <f>IF(B428=0,0,O401/B428)</f>
        <v/>
      </c>
      <c r="Q401">
        <f>IFERROR(1/(IF(Inputs!$B$38="pvp",15,MAX(0.1,Skills!D10-IF(Skills!E10=TRUE,Inputs!$B$32,0)))*(1-IF(AND(ArtifactsInput!$M$27,Inputs!$B$4="Chapter Hunt"),CHOOSE(ArtifactsInput!$N$27+1,20,24,28,32,36,40),0)/100)),0)</f>
        <v/>
      </c>
      <c r="R401">
        <f>IF(AND(Inputs!$B$38&lt;&gt;"pvp",Inputs!$B$43&gt;0),IF(MAX(0,Inputs!$B$43-B425)&lt;=0,0,(INT(MAX(0,Inputs!$B$43-B425)/(IF(Inputs!$B$38="pvp",15,MAX(0.1,Skills!D10-IF(Skills!E10=TRUE,Inputs!$B$32,0)))*(1-IF(AND(ArtifactsInput!$M$27,Inputs!$B$4="Chapter Hunt"),CHOOSE(ArtifactsInput!$N$27+1,20,24,28,32,36,40),0)/100)))+1)),0)</f>
        <v/>
      </c>
      <c r="S401">
        <f>IFERROR(O401/N401,0)</f>
        <v/>
      </c>
      <c r="T401">
        <f>IF(C401,(H401*N401*IF(AND(Inputs!$B$38&lt;&gt;"pvp",Inputs!$B$43&gt;0),((Skills!G10*((R401-1)*IF(Skills!H10&gt;0,Skills!I10/Skills!H10,1)+IF(Skills!H10&gt;0,MIN(Skills!I10,MAX(0,MAX(0,Inputs!$B$43-B425)-((R401-1)*(IF(Inputs!$B$38="pvp",15,MAX(0.1,Skills!D10-IF(Skills!E10=TRUE,Inputs!$B$32,0)))*(1-IF(AND(ArtifactsInput!$M$27,Inputs!$B$4="Chapter Hunt"),CHOOSE(ArtifactsInput!$N$27+1,20,24,28,32,36,40),0)/100)))))/Skills!H10,1)))/Inputs!$B$43),G401*Q401)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401*(1-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401*(1-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1">
        <f>IF(C401,(H401*N401*IF(AND(Inputs!$B$38&lt;&gt;"pvp",Inputs!$B$43&gt;0),((Skills!G10*((R401-1)*IF(Skills!H10&gt;0,Skills!I10/Skills!H10,1)+IF(Skills!H10&gt;0,MIN(Skills!I10,MAX(0,MAX(0,Inputs!$B$43-B425)-((R401-1)*(IF(Inputs!$B$38="pvp",15,MAX(0.1,Skills!D10-IF(Skills!E10=TRUE,Inputs!$B$32,0)))*(1-IF(AND(ArtifactsInput!$M$27,Inputs!$B$4="Chapter Hunt"),CHOOSE(ArtifactsInput!$N$27+1,20,24,28,32,36,40),0)/100)))))/Skills!H10,1)))/Inputs!$B$43),G401*Q401))*IF(Inputs!$B$38="pvp",1,(1+(Inputs!$B$21+Skills!Q10+(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2">
      <c r="A402">
        <f>Skills!A11</f>
        <v/>
      </c>
      <c r="B402">
        <f>Skills!B11</f>
        <v/>
      </c>
      <c r="C402">
        <f>Inputs!$B$3&gt;=63</f>
        <v/>
      </c>
      <c r="D402">
        <f>IF(Skills!C11=1,60+Inputs!$B$25+Inputs!$B$29,IF(Skills!C11=2,90+Inputs!$B$26+Inputs!$B$29,IF(Skills!C11=3,120+Inputs!$B$27+Inputs!$B$29,MAX(0,(Inputs!$B$3-100)*3)+Inputs!$B$28+Inputs!$B$29)))</f>
        <v/>
      </c>
      <c r="E402">
        <f>INDEX(FactorTable!$B$2:$Y$301, MATCH(ROUND(MIN(300,MAX(1,D402)),0), FactorTable!$A$2:$A$301,0), Skills!M11+1)</f>
        <v/>
      </c>
      <c r="F402">
        <f>IF(Skills!N11=TRUE,(Skills!L11/10)*(E402/1000),Skills!L11/10)+Skills!O11</f>
        <v/>
      </c>
      <c r="G402">
        <f>Skills!G11*IF(Skills!H11&gt;0,Skills!I11/Skills!H11,1)</f>
        <v/>
      </c>
      <c r="H402">
        <f>1-(1-Skills!J11/100)^Skills!K11</f>
        <v/>
      </c>
      <c r="I402" t="inlineStr">
        <is>
          <t>1</t>
        </is>
      </c>
      <c r="J402">
        <f>((Inputs!$B$6*(1+Inputs!$B$7/100))+(((Inputs!$B$12*(1+Inputs!$B$13/100))-(Inputs!$B$12*(1+Inputs!$B$13/100)))+0.25*(Inputs!$B$14-Inputs!$B$14))*(1+Inputs!$B$7/100))*(F402/100)</f>
        <v/>
      </c>
      <c r="K402">
        <f>J402*(1+((Inputs!$B$12*(1+Inputs!$B$13/100))*0.01+Inputs!$B$14*0.0025)/100)*(1+Inputs!$B$15/100)*(1+Inputs!$B$16/100)*(5000/(6000+Inputs!$B$42*(1-(Inputs!$B$19+0)/100)))*(1+(Inputs!$B$24+0+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403=TRUE,F403,0)/100)*(1+(IF(Skills!A11="BLAST",Inputs!$B$17+((C412=TRUE)*(F412-Calc!F21))+((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MIN(100,((Inputs!$B$9+0+B418+(ArtifactsInput!$M$24-ArtifactsInput!$M$24)*CHOOSE(ArtifactsInput!$N$24+1,10,12,14,16,18,20)+IF(ArtifactsInput!$M$10,CHOOSE(ArtifactsInput!$N$10+1,15,18,21,24,27,30)*(IF(Inputs!$B$38="pvp",MIN(15,15)/15,IF(AND(Inputs!$B$38&lt;&gt;"pvp",Inputs!$B$43&gt;0),MIN(15,Inputs!$B$43)/(Inputs!$B$43),0))),0)))-100),0))*CHOOSE(ArtifactsInput!$N$42+1,0.6,0.72,0.84,0.96,1.08,1.2))),Inputs!$B$18+((C414=TRUE)*(F414-Calc!F23))+(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gt;=100),CHOOSE(ArtifactsInput!$N$42+1,40,48,56,64,72,80),0))))/100)*((1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402)</f>
        <v/>
      </c>
      <c r="L402">
        <f>K402*(MIN((Inputs!$B$22+1)+((C413=TRUE)*(F413-Calc!F22)),(Inputs!$B$23+((C415=TRUE)*(F415-Calc!F24))+(IF(ArtifactsInput!$M$15,CHOOSE(ArtifactsInput!$N$15+1,25,30,35,40,45,50)/100*(Inputs!$B$11-Inputs!$B$11),0))))/100+(Inputs!$B$23+((C415=TRUE)*(F415-Calc!F24))+(IF(ArtifactsInput!$M$15,CHOOSE(ArtifactsInput!$N$15+1,25,30,35,40,45,50)/100*(Inputs!$B$11-Inputs!$B$11),0)))/100)/2</f>
        <v/>
      </c>
      <c r="M402">
        <f>L402*(1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2">
        <f>L402*(1-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402*(MIN((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2">
        <f>(1-Summary!$B$11)*T402+Summary!$B$11*V402</f>
        <v/>
      </c>
      <c r="P402">
        <f>IF(B428=0,0,O402/B428)</f>
        <v/>
      </c>
      <c r="Q402">
        <f>IFERROR(1/(IF(Inputs!$B$38="pvp",15,MAX(0.1,Skills!D11-IF(Skills!E11=TRUE,Inputs!$B$32,0)))*(1-IF(AND(ArtifactsInput!$M$27,Inputs!$B$4="Chapter Hunt"),CHOOSE(ArtifactsInput!$N$27+1,20,24,28,32,36,40),0)/100)),0)</f>
        <v/>
      </c>
      <c r="R402">
        <f>IF(AND(Inputs!$B$38&lt;&gt;"pvp",Inputs!$B$43&gt;0),IF(MAX(0,Inputs!$B$43-B425)&lt;=0,0,(INT(MAX(0,Inputs!$B$43-B425)/(IF(Inputs!$B$38="pvp",15,MAX(0.1,Skills!D11-IF(Skills!E11=TRUE,Inputs!$B$32,0)))*(1-IF(AND(ArtifactsInput!$M$27,Inputs!$B$4="Chapter Hunt"),CHOOSE(ArtifactsInput!$N$27+1,20,24,28,32,36,40),0)/100)))+1)),0)</f>
        <v/>
      </c>
      <c r="S402">
        <f>IFERROR(O402/N402,0)</f>
        <v/>
      </c>
      <c r="T402">
        <f>IF(C402,(H402*N402*IF(AND(Inputs!$B$38&lt;&gt;"pvp",Inputs!$B$43&gt;0),((Skills!G11*((R402-1)*IF(Skills!H11&gt;0,Skills!I11/Skills!H11,1)+IF(Skills!H11&gt;0,MIN(Skills!I11,MAX(0,MAX(0,Inputs!$B$43-B425)-((R402-1)*(IF(Inputs!$B$38="pvp",15,MAX(0.1,Skills!D11-IF(Skills!E11=TRUE,Inputs!$B$32,0)))*(1-IF(AND(ArtifactsInput!$M$27,Inputs!$B$4="Chapter Hunt"),CHOOSE(ArtifactsInput!$N$27+1,20,24,28,32,36,40),0)/100)))))/Skills!H11,1)))/Inputs!$B$43),G402*Q402)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402*(1-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402*(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402*(1-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402*(MIN(100,(Inputs!$B$9+0+B418+(ArtifactsInput!$M$24-ArtifactsInput!$M$24)*CHOOSE(ArtifactsInput!$N$24+1,10,12,14,16,18,20)+(IF(AND(Inputs!$B$38&lt;&gt;"pvp",Inputs!$B$43=0),1,IF(IF(Inputs!$B$38="pvp",15,Inputs!$B$43)-(B425)&lt;=0,1,MAX(0,IF(Inputs!$B$38="pvp",15,Inputs!$B$43)-MAX(5,B425))/(IF(Inputs!$B$38="pvp",15,Inputs!$B$43)-(B425))))*IF(AND(ArtifactsInput!$M$42,((Inputs!$B$9+0+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02">
        <f>IF(C402,(H402*N402*IF(AND(Inputs!$B$38&lt;&gt;"pvp",Inputs!$B$43&gt;0),((Skills!G11*((R402-1)*IF(Skills!H11&gt;0,Skills!I11/Skills!H11,1)+IF(Skills!H11&gt;0,MIN(Skills!I11,MAX(0,MAX(0,Inputs!$B$43-B425)-((R402-1)*(IF(Inputs!$B$38="pvp",15,MAX(0.1,Skills!D11-IF(Skills!E11=TRUE,Inputs!$B$32,0)))*(1-IF(AND(ArtifactsInput!$M$27,Inputs!$B$4="Chapter Hunt"),CHOOSE(ArtifactsInput!$N$27+1,20,24,28,32,36,40),0)/100)))))/Skills!H11,1)))/Inputs!$B$43),G402*Q402))*IF(Inputs!$B$38="pvp",1,(1+(Inputs!$B$21+Skills!Q11+(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3">
      <c r="A403">
        <f>Skills!A12</f>
        <v/>
      </c>
      <c r="B403">
        <f>Skills!B12</f>
        <v/>
      </c>
      <c r="C403">
        <f>Inputs!$B$3&gt;=100</f>
        <v/>
      </c>
      <c r="D403">
        <f>IF(Skills!C12=1,60+Inputs!$B$25+Inputs!$B$29,IF(Skills!C12=2,90+Inputs!$B$26+Inputs!$B$29,IF(Skills!C12=3,120+Inputs!$B$27+Inputs!$B$29,MAX(0,(Inputs!$B$3-100)*3)+Inputs!$B$28+Inputs!$B$29)))</f>
        <v/>
      </c>
      <c r="E403">
        <f>INDEX(FactorTable!$B$2:$Y$301, MATCH(ROUND(MIN(300,MAX(1,D403)),0), FactorTable!$A$2:$A$301,0), Skills!M12+1)</f>
        <v/>
      </c>
      <c r="F403">
        <f>IF(Skills!N12=TRUE,(Skills!L12/10)*(E403/1000),Skills!L12/10)+Skills!O12</f>
        <v/>
      </c>
      <c r="G403" t="inlineStr"/>
      <c r="H403" t="inlineStr"/>
      <c r="I403" t="inlineStr">
        <is>
          <t>1</t>
        </is>
      </c>
      <c r="J403" t="inlineStr"/>
      <c r="K403" t="inlineStr"/>
      <c r="L403" t="inlineStr"/>
      <c r="M403" t="inlineStr"/>
      <c r="N403" t="inlineStr"/>
      <c r="O403" t="inlineStr"/>
      <c r="P403" t="inlineStr"/>
      <c r="Q403" t="inlineStr"/>
      <c r="R403" t="inlineStr"/>
      <c r="S403" t="inlineStr"/>
    </row>
    <row r="404">
      <c r="A404">
        <f>Skills!A13</f>
        <v/>
      </c>
      <c r="B404">
        <f>Skills!B13</f>
        <v/>
      </c>
      <c r="C404">
        <f>Inputs!$B$3&gt;=45</f>
        <v/>
      </c>
      <c r="D404">
        <f>IF(Skills!C13=1,60+Inputs!$B$25+Inputs!$B$29,IF(Skills!C13=2,90+Inputs!$B$26+Inputs!$B$29,IF(Skills!C13=3,120+Inputs!$B$27+Inputs!$B$29,MAX(0,(Inputs!$B$3-100)*3)+Inputs!$B$28+Inputs!$B$29)))</f>
        <v/>
      </c>
      <c r="E404">
        <f>INDEX(FactorTable!$B$2:$Y$301, MATCH(ROUND(MIN(300,MAX(1,D404)),0), FactorTable!$A$2:$A$301,0), Skills!M13+1)</f>
        <v/>
      </c>
      <c r="F404">
        <f>IF(Skills!N13=TRUE,(Skills!L13/10)*(E404/1000),Skills!L13/10)+Skills!O13</f>
        <v/>
      </c>
      <c r="G404">
        <f>Skills!G13*IF(Skills!H13&gt;0,Skills!I13/Skills!H13,1)</f>
        <v/>
      </c>
      <c r="H404">
        <f>1-(1-Skills!J13/100)^Skills!K13</f>
        <v/>
      </c>
      <c r="I404" t="inlineStr">
        <is>
          <t>1</t>
        </is>
      </c>
      <c r="J404" t="inlineStr"/>
      <c r="K404" t="inlineStr"/>
      <c r="L404" t="inlineStr"/>
      <c r="M404" t="inlineStr"/>
      <c r="N404" t="inlineStr"/>
      <c r="O404">
        <f>(1-Summary!$B$11)*T404+Summary!$B$11*V404</f>
        <v/>
      </c>
      <c r="P404">
        <f>IF(B428=0,0,O404/B428)</f>
        <v/>
      </c>
      <c r="Q404" t="n">
        <v>0</v>
      </c>
      <c r="R404" t="n">
        <v>0</v>
      </c>
      <c r="S404">
        <f>IFERROR(O404/N404,0)</f>
        <v/>
      </c>
      <c r="T404" t="n">
        <v>0</v>
      </c>
      <c r="V404" t="n">
        <v>0</v>
      </c>
    </row>
    <row r="405">
      <c r="A405">
        <f>Skills!A14</f>
        <v/>
      </c>
      <c r="B405">
        <f>Skills!B14</f>
        <v/>
      </c>
      <c r="C405">
        <f>Inputs!$B$3&gt;=110</f>
        <v/>
      </c>
      <c r="D405">
        <f>IF(Skills!C14=1,60+Inputs!$B$25+Inputs!$B$29,IF(Skills!C14=2,90+Inputs!$B$26+Inputs!$B$29,IF(Skills!C14=3,120+Inputs!$B$27+Inputs!$B$29,MAX(0,(Inputs!$B$3-100)*3)+Inputs!$B$28+Inputs!$B$29)))</f>
        <v/>
      </c>
      <c r="E405">
        <f>INDEX(FactorTable!$B$2:$Y$301, MATCH(ROUND(MIN(300,MAX(1,D405)),0), FactorTable!$A$2:$A$301,0), Skills!M14+1)</f>
        <v/>
      </c>
      <c r="F405">
        <f>IF(Skills!N14=TRUE,(Skills!L14/10)*(E405/1000),Skills!L14/10)+Skills!O14</f>
        <v/>
      </c>
      <c r="G405">
        <f>Skills!G14*IF(Skills!H14&gt;0,Skills!I14/Skills!H14,1)</f>
        <v/>
      </c>
      <c r="H405">
        <f>1-(1-Skills!J14/100)^Skills!K14</f>
        <v/>
      </c>
      <c r="I405" t="inlineStr">
        <is>
          <t>1</t>
        </is>
      </c>
      <c r="J405" t="inlineStr"/>
      <c r="K405" t="inlineStr"/>
      <c r="L405" t="inlineStr"/>
      <c r="M405" t="inlineStr"/>
      <c r="N405" t="inlineStr"/>
      <c r="O405">
        <f>(1-Summary!$B$11)*T405+Summary!$B$11*V405</f>
        <v/>
      </c>
      <c r="P405">
        <f>IF(B428=0,0,O405/B428)</f>
        <v/>
      </c>
      <c r="Q405" t="n">
        <v>0</v>
      </c>
      <c r="R405" t="n">
        <v>0</v>
      </c>
      <c r="S405">
        <f>IFERROR(O405/N405,0)</f>
        <v/>
      </c>
      <c r="T405" t="n">
        <v>0</v>
      </c>
      <c r="V405" t="n">
        <v>0</v>
      </c>
    </row>
    <row r="406">
      <c r="A406">
        <f>Skills!A15</f>
        <v/>
      </c>
      <c r="B406">
        <f>Skills!B15</f>
        <v/>
      </c>
      <c r="C406">
        <f>Inputs!$B$3&gt;=75</f>
        <v/>
      </c>
      <c r="D406">
        <f>IF(Skills!C15=1,60+Inputs!$B$25+Inputs!$B$29,IF(Skills!C15=2,90+Inputs!$B$26+Inputs!$B$29,IF(Skills!C15=3,120+Inputs!$B$27+Inputs!$B$29,MAX(0,(Inputs!$B$3-100)*3)+Inputs!$B$28+Inputs!$B$29)))</f>
        <v/>
      </c>
      <c r="E406">
        <f>INDEX(FactorTable!$B$2:$Y$301, MATCH(ROUND(MIN(300,MAX(1,D406)),0), FactorTable!$A$2:$A$301,0), Skills!M15+1)</f>
        <v/>
      </c>
      <c r="F406">
        <f>IF(Skills!N15=TRUE,(Skills!L15/10)*(E406/1000),Skills!L15/10)+Skills!O15</f>
        <v/>
      </c>
      <c r="G406">
        <f>Skills!G15*IF(Skills!H15&gt;0,Skills!I15/Skills!H15,1)</f>
        <v/>
      </c>
      <c r="H406">
        <f>1-(1-Skills!J15/100)^Skills!K15</f>
        <v/>
      </c>
      <c r="I406" t="inlineStr">
        <is>
          <t>1</t>
        </is>
      </c>
      <c r="J406" t="inlineStr"/>
      <c r="K406" t="inlineStr"/>
      <c r="L406" t="inlineStr"/>
      <c r="M406" t="inlineStr"/>
      <c r="N406" t="inlineStr"/>
      <c r="O406">
        <f>(1-Summary!$B$11)*T406+Summary!$B$11*V406</f>
        <v/>
      </c>
      <c r="P406">
        <f>IF(B428=0,0,O406/B428)</f>
        <v/>
      </c>
      <c r="Q406">
        <f>IFERROR(1/(IF(Inputs!$B$38="pvp",15,MAX(0.1,Skills!D15-IF(Skills!E15=TRUE,Inputs!$B$32,0)))*(1-IF(AND(ArtifactsInput!$M$27,Inputs!$B$4="Chapter Hunt"),CHOOSE(ArtifactsInput!$N$27+1,20,24,28,32,36,40),0)/100)),0)</f>
        <v/>
      </c>
      <c r="R406">
        <f>IF(AND(Inputs!$B$38&lt;&gt;"pvp",Inputs!$B$43&gt;0),IF(Inputs!$B$43&lt;=0,0,(INT(Inputs!$B$43/(IF(Inputs!$B$38="pvp",15,MAX(0.1,Skills!D15-IF(Skills!E15=TRUE,Inputs!$B$32,0)))*(1-IF(AND(ArtifactsInput!$M$27,Inputs!$B$4="Chapter Hunt"),CHOOSE(ArtifactsInput!$N$27+1,20,24,28,32,36,40),0)/100)))+1)),0)</f>
        <v/>
      </c>
      <c r="S406">
        <f>IFERROR(O406/N406,0)</f>
        <v/>
      </c>
      <c r="T406" t="n">
        <v>0</v>
      </c>
      <c r="V406" t="n">
        <v>0</v>
      </c>
    </row>
    <row r="407">
      <c r="A407">
        <f>Skills!A16</f>
        <v/>
      </c>
      <c r="B407">
        <f>Skills!B16</f>
        <v/>
      </c>
      <c r="C407">
        <f>Inputs!$B$3&gt;=105</f>
        <v/>
      </c>
      <c r="D407">
        <f>IF(Skills!C16=1,60+Inputs!$B$25+Inputs!$B$29,IF(Skills!C16=2,90+Inputs!$B$26+Inputs!$B$29,IF(Skills!C16=3,120+Inputs!$B$27+Inputs!$B$29,MAX(0,(Inputs!$B$3-100)*3)+Inputs!$B$28+Inputs!$B$29)))</f>
        <v/>
      </c>
      <c r="E407">
        <f>INDEX(FactorTable!$B$2:$Y$301, MATCH(ROUND(MIN(300,MAX(1,D407)),0), FactorTable!$A$2:$A$301,0), Skills!M16+1)</f>
        <v/>
      </c>
      <c r="F407">
        <f>IF(Skills!N16=TRUE,(Skills!L16/10)*(E407/1000),Skills!L16/10)+Skills!O16</f>
        <v/>
      </c>
      <c r="G407">
        <f>Skills!G16*IF(Skills!H16&gt;0,Skills!I16/Skills!H16,1)</f>
        <v/>
      </c>
      <c r="H407">
        <f>1-(1-Skills!J16/100)^Skills!K16</f>
        <v/>
      </c>
      <c r="I407" t="inlineStr">
        <is>
          <t>1</t>
        </is>
      </c>
      <c r="J407" t="inlineStr"/>
      <c r="K407" t="inlineStr"/>
      <c r="L407" t="inlineStr"/>
      <c r="M407" t="inlineStr"/>
      <c r="N407" t="inlineStr"/>
      <c r="O407">
        <f>(1-Summary!$B$11)*T407+Summary!$B$11*V407</f>
        <v/>
      </c>
      <c r="P407">
        <f>IF(B428=0,0,O407/B428)</f>
        <v/>
      </c>
      <c r="Q407">
        <f>IFERROR(1/(IF(Inputs!$B$38="pvp",15,MAX(0.1,Skills!D16-IF(Skills!E16=TRUE,Inputs!$B$32,0)))*(1-IF(AND(ArtifactsInput!$M$27,Inputs!$B$4="Chapter Hunt"),CHOOSE(ArtifactsInput!$N$27+1,20,24,28,32,36,40),0)/100)),0)</f>
        <v/>
      </c>
      <c r="R407">
        <f>IF(AND(Inputs!$B$38&lt;&gt;"pvp",Inputs!$B$43&gt;0),IF(Inputs!$B$43&lt;=0,0,(INT(Inputs!$B$43/(IF(Inputs!$B$38="pvp",15,MAX(0.1,Skills!D16-IF(Skills!E16=TRUE,Inputs!$B$32,0)))*(1-IF(AND(ArtifactsInput!$M$27,Inputs!$B$4="Chapter Hunt"),CHOOSE(ArtifactsInput!$N$27+1,20,24,28,32,36,40),0)/100)))+1)),0)</f>
        <v/>
      </c>
      <c r="S407">
        <f>IFERROR(O407/N407,0)</f>
        <v/>
      </c>
      <c r="T407" t="n">
        <v>0</v>
      </c>
      <c r="V407" t="n">
        <v>0</v>
      </c>
    </row>
    <row r="408">
      <c r="A408">
        <f>Skills!A17</f>
        <v/>
      </c>
      <c r="B408">
        <f>Skills!B17</f>
        <v/>
      </c>
      <c r="C408">
        <f>Inputs!$B$3&gt;=115</f>
        <v/>
      </c>
      <c r="D408">
        <f>IF(Skills!C17=1,60+Inputs!$B$25+Inputs!$B$29,IF(Skills!C17=2,90+Inputs!$B$26+Inputs!$B$29,IF(Skills!C17=3,120+Inputs!$B$27+Inputs!$B$29,MAX(0,(Inputs!$B$3-100)*3)+Inputs!$B$28+Inputs!$B$29)))</f>
        <v/>
      </c>
      <c r="E408">
        <f>INDEX(FactorTable!$B$2:$Y$301, MATCH(ROUND(MIN(300,MAX(1,D408)),0), FactorTable!$A$2:$A$301,0), Skills!M17+1)</f>
        <v/>
      </c>
      <c r="F408">
        <f>IF(Skills!N17=TRUE,(Skills!L17/10)*(E408/1000),Skills!L17/10)+Skills!O17</f>
        <v/>
      </c>
      <c r="G408">
        <f>Skills!G17*IF(Skills!H17&gt;0,Skills!I17/Skills!H17,1)</f>
        <v/>
      </c>
      <c r="H408">
        <f>1-(1-Skills!J17/100)^Skills!K17</f>
        <v/>
      </c>
      <c r="I408" t="inlineStr">
        <is>
          <t>1</t>
        </is>
      </c>
      <c r="J408" t="inlineStr"/>
      <c r="K408" t="inlineStr"/>
      <c r="L408" t="inlineStr"/>
      <c r="M408" t="inlineStr"/>
      <c r="N408" t="inlineStr"/>
      <c r="O408">
        <f>(1-Summary!$B$11)*T408+Summary!$B$11*V408</f>
        <v/>
      </c>
      <c r="P408">
        <f>IF(B428=0,0,O408/B428)</f>
        <v/>
      </c>
      <c r="Q408">
        <f>IFERROR(1/(IF(Inputs!$B$38="pvp",15,MAX(0.1,Skills!D17-IF(Skills!E17=TRUE,Inputs!$B$32,0)))*(1-IF(AND(ArtifactsInput!$M$27,Inputs!$B$4="Chapter Hunt"),CHOOSE(ArtifactsInput!$N$27+1,20,24,28,32,36,40),0)/100)),0)</f>
        <v/>
      </c>
      <c r="R408">
        <f>IF(AND(Inputs!$B$38&lt;&gt;"pvp",Inputs!$B$43&gt;0),IF(Inputs!$B$43&lt;=0,0,(INT(Inputs!$B$43/(IF(Inputs!$B$38="pvp",15,MAX(0.1,Skills!D17-IF(Skills!E17=TRUE,Inputs!$B$32,0)))*(1-IF(AND(ArtifactsInput!$M$27,Inputs!$B$4="Chapter Hunt"),CHOOSE(ArtifactsInput!$N$27+1,20,24,28,32,36,40),0)/100)))+1)),0)</f>
        <v/>
      </c>
      <c r="S408">
        <f>IFERROR(O408/N408,0)</f>
        <v/>
      </c>
      <c r="T408" t="n">
        <v>0</v>
      </c>
      <c r="V408" t="n">
        <v>0</v>
      </c>
    </row>
    <row r="409">
      <c r="A409">
        <f>Skills!A18</f>
        <v/>
      </c>
      <c r="B409">
        <f>Skills!B18</f>
        <v/>
      </c>
      <c r="C409">
        <f>Inputs!$B$3&gt;=74</f>
        <v/>
      </c>
      <c r="D409">
        <f>IF(Skills!C18=1,60+Inputs!$B$25+Inputs!$B$29,IF(Skills!C18=2,90+Inputs!$B$26+Inputs!$B$29,IF(Skills!C18=3,120+Inputs!$B$27+Inputs!$B$29,MAX(0,(Inputs!$B$3-100)*3)+Inputs!$B$28+Inputs!$B$29)))</f>
        <v/>
      </c>
      <c r="E409">
        <f>INDEX(FactorTable!$B$2:$Y$301, MATCH(ROUND(MIN(300,MAX(1,D409)),0), FactorTable!$A$2:$A$301,0), Skills!M18+1)</f>
        <v/>
      </c>
      <c r="F409">
        <f>IF(Skills!N18=TRUE,(Skills!L18/10)*(E409/1000),Skills!L18/10)+Skills!O18</f>
        <v/>
      </c>
      <c r="G409">
        <f>Skills!G18*IF(Skills!H18&gt;0,Skills!I18/Skills!H18,1)</f>
        <v/>
      </c>
      <c r="H409">
        <f>1-(1-Skills!J18/100)^Skills!K18</f>
        <v/>
      </c>
      <c r="I409" t="inlineStr">
        <is>
          <t>1</t>
        </is>
      </c>
      <c r="J409" t="inlineStr"/>
      <c r="K409" t="inlineStr"/>
      <c r="L409" t="inlineStr"/>
      <c r="M409" t="inlineStr"/>
      <c r="N409" t="inlineStr"/>
      <c r="O409">
        <f>(1-Summary!$B$11)*T409+Summary!$B$11*V409</f>
        <v/>
      </c>
      <c r="P409">
        <f>IF(B428=0,0,O409/B428)</f>
        <v/>
      </c>
      <c r="Q409">
        <f>IFERROR(1/(IF(Inputs!$B$38="pvp",15,MAX(0.1,Skills!D18-IF(Skills!E18=TRUE,Inputs!$B$32,0)))*(1-IF(AND(ArtifactsInput!$M$27,Inputs!$B$4="Chapter Hunt"),CHOOSE(ArtifactsInput!$N$27+1,20,24,28,32,36,40),0)/100)),0)</f>
        <v/>
      </c>
      <c r="R409">
        <f>IF(AND(Inputs!$B$38&lt;&gt;"pvp",Inputs!$B$43&gt;0),IF(Inputs!$B$43&lt;=0,0,(INT(Inputs!$B$43/(IF(Inputs!$B$38="pvp",15,MAX(0.1,Skills!D18-IF(Skills!E18=TRUE,Inputs!$B$32,0)))*(1-IF(AND(ArtifactsInput!$M$27,Inputs!$B$4="Chapter Hunt"),CHOOSE(ArtifactsInput!$N$27+1,20,24,28,32,36,40),0)/100)))+1)),0)</f>
        <v/>
      </c>
      <c r="S409">
        <f>IFERROR(O409/N409,0)</f>
        <v/>
      </c>
      <c r="T409" t="n">
        <v>0</v>
      </c>
      <c r="V409" t="n">
        <v>0</v>
      </c>
    </row>
    <row r="410">
      <c r="A410">
        <f>Skills!A19</f>
        <v/>
      </c>
      <c r="B410">
        <f>Skills!B19</f>
        <v/>
      </c>
      <c r="C410">
        <f>TRUE</f>
        <v/>
      </c>
      <c r="D410">
        <f>IF(Skills!C19=1,60+Inputs!$B$25+Inputs!$B$29,IF(Skills!C19=2,90+Inputs!$B$26+Inputs!$B$29,IF(Skills!C19=3,120+Inputs!$B$27+Inputs!$B$29,MAX(0,(Inputs!$B$3-100)*3)+Inputs!$B$28+Inputs!$B$29)))</f>
        <v/>
      </c>
      <c r="E410">
        <f>INDEX(FactorTable!$B$2:$Y$301, MATCH(ROUND(MIN(300,MAX(1,D410)),0), FactorTable!$A$2:$A$301,0), Skills!M19+1)</f>
        <v/>
      </c>
      <c r="F410">
        <f>IF(Skills!N19=TRUE,(Skills!L19/10)*(E410/1000),Skills!L19/10)+Skills!O19</f>
        <v/>
      </c>
      <c r="G410">
        <f>Skills!G19*IF(Skills!H19&gt;0,Skills!I19/Skills!H19,1)</f>
        <v/>
      </c>
      <c r="H410">
        <f>1-(1-Skills!J19/100)^Skills!K19</f>
        <v/>
      </c>
      <c r="I410" t="inlineStr">
        <is>
          <t>1</t>
        </is>
      </c>
      <c r="J410" t="inlineStr"/>
      <c r="K410" t="inlineStr"/>
      <c r="L410" t="inlineStr"/>
      <c r="M410" t="inlineStr"/>
      <c r="N410" t="inlineStr"/>
      <c r="O410">
        <f>(1-Summary!$B$11)*T410+Summary!$B$11*V410</f>
        <v/>
      </c>
      <c r="P410">
        <f>IF(B428=0,0,O410/B428)</f>
        <v/>
      </c>
      <c r="Q410">
        <f>IFERROR(1/(IF(Inputs!$B$38="pvp",15,MAX(0.1,Skills!D19-IF(Skills!E19=TRUE,Inputs!$B$32,0)))*(1-IF(AND(ArtifactsInput!$M$27,Inputs!$B$4="Chapter Hunt"),CHOOSE(ArtifactsInput!$N$27+1,20,24,28,32,36,40),0)/100)),0)</f>
        <v/>
      </c>
      <c r="R410">
        <f>IF(AND(Inputs!$B$38&lt;&gt;"pvp",Inputs!$B$43&gt;0),IF(Inputs!$B$43&lt;=0,0,(INT(Inputs!$B$43/(IF(Inputs!$B$38="pvp",15,MAX(0.1,Skills!D19-IF(Skills!E19=TRUE,Inputs!$B$32,0)))*(1-IF(AND(ArtifactsInput!$M$27,Inputs!$B$4="Chapter Hunt"),CHOOSE(ArtifactsInput!$N$27+1,20,24,28,32,36,40),0)/100)))+1)),0)</f>
        <v/>
      </c>
      <c r="S410">
        <f>IFERROR(O410/N410,0)</f>
        <v/>
      </c>
      <c r="T410" t="n">
        <v>0</v>
      </c>
      <c r="V410" t="n">
        <v>0</v>
      </c>
    </row>
    <row r="411">
      <c r="A411">
        <f>Skills!A20</f>
        <v/>
      </c>
      <c r="B411">
        <f>Skills!B20</f>
        <v/>
      </c>
      <c r="C411">
        <f>Inputs!$B$3&gt;=33</f>
        <v/>
      </c>
      <c r="D411">
        <f>IF(Skills!C20=1,60+Inputs!$B$25+Inputs!$B$29,IF(Skills!C20=2,90+Inputs!$B$26+Inputs!$B$29,IF(Skills!C20=3,120+Inputs!$B$27+Inputs!$B$29,MAX(0,(Inputs!$B$3-100)*3)+Inputs!$B$28+Inputs!$B$29)))</f>
        <v/>
      </c>
      <c r="E411">
        <f>INDEX(FactorTable!$B$2:$Y$301, MATCH(ROUND(MIN(300,MAX(1,D411)),0), FactorTable!$A$2:$A$301,0), Skills!M20+1)</f>
        <v/>
      </c>
      <c r="F411">
        <f>IF(Skills!N20=TRUE,(Skills!L20/10)*(E411/1000),Skills!L20/10)+Skills!O20</f>
        <v/>
      </c>
      <c r="G411">
        <f>Skills!G20*IF(Skills!H20&gt;0,Skills!I20/Skills!H20,1)</f>
        <v/>
      </c>
      <c r="H411">
        <f>1-(1-Skills!J20/100)^Skills!K20</f>
        <v/>
      </c>
      <c r="I411" t="inlineStr">
        <is>
          <t>1</t>
        </is>
      </c>
      <c r="J411" t="inlineStr"/>
      <c r="K411" t="inlineStr"/>
      <c r="L411" t="inlineStr"/>
      <c r="M411" t="inlineStr"/>
      <c r="N411" t="inlineStr"/>
      <c r="O411">
        <f>(1-Summary!$B$11)*T411+Summary!$B$11*V411</f>
        <v/>
      </c>
      <c r="P411">
        <f>IF(B428=0,0,O411/B428)</f>
        <v/>
      </c>
      <c r="Q411" t="n">
        <v>0</v>
      </c>
      <c r="R411" t="n">
        <v>0</v>
      </c>
      <c r="S411">
        <f>IFERROR(O411/N411,0)</f>
        <v/>
      </c>
      <c r="T411" t="n">
        <v>0</v>
      </c>
      <c r="V411" t="n">
        <v>0</v>
      </c>
    </row>
    <row r="412">
      <c r="A412">
        <f>Skills!A21</f>
        <v/>
      </c>
      <c r="B412">
        <f>Skills!B21</f>
        <v/>
      </c>
      <c r="C412">
        <f>Inputs!$B$3&gt;=38</f>
        <v/>
      </c>
      <c r="D412">
        <f>IF(Skills!C21=1,60+Inputs!$B$25+Inputs!$B$29,IF(Skills!C21=2,90+Inputs!$B$26+Inputs!$B$29,IF(Skills!C21=3,120+Inputs!$B$27+Inputs!$B$29,MAX(0,(Inputs!$B$3-100)*3)+Inputs!$B$28+Inputs!$B$29)))</f>
        <v/>
      </c>
      <c r="E412">
        <f>INDEX(FactorTable!$B$2:$Y$301, MATCH(ROUND(MIN(300,MAX(1,D412)),0), FactorTable!$A$2:$A$301,0), Skills!M21+1)</f>
        <v/>
      </c>
      <c r="F412">
        <f>IF(Skills!N21=TRUE,(Skills!L21/10)*(E412/1000),Skills!L21/10)+Skills!O21</f>
        <v/>
      </c>
      <c r="G412">
        <f>Skills!G21*IF(Skills!H21&gt;0,Skills!I21/Skills!H21,1)</f>
        <v/>
      </c>
      <c r="H412">
        <f>1-(1-Skills!J21/100)^Skills!K21</f>
        <v/>
      </c>
      <c r="I412" t="inlineStr">
        <is>
          <t>1</t>
        </is>
      </c>
      <c r="J412" t="inlineStr"/>
      <c r="K412" t="inlineStr"/>
      <c r="L412" t="inlineStr"/>
      <c r="M412" t="inlineStr"/>
      <c r="N412" t="inlineStr"/>
      <c r="O412">
        <f>(1-Summary!$B$11)*T412+Summary!$B$11*V412</f>
        <v/>
      </c>
      <c r="P412">
        <f>IF(B428=0,0,O412/B428)</f>
        <v/>
      </c>
      <c r="Q412" t="n">
        <v>0</v>
      </c>
      <c r="R412" t="n">
        <v>0</v>
      </c>
      <c r="S412">
        <f>IFERROR(O412/N412,0)</f>
        <v/>
      </c>
      <c r="T412" t="n">
        <v>0</v>
      </c>
      <c r="V412" t="n">
        <v>0</v>
      </c>
    </row>
    <row r="413">
      <c r="A413">
        <f>Skills!A22</f>
        <v/>
      </c>
      <c r="B413">
        <f>Skills!B22</f>
        <v/>
      </c>
      <c r="C413">
        <f>Inputs!$B$3&gt;=43</f>
        <v/>
      </c>
      <c r="D413">
        <f>IF(Skills!C22=1,60+Inputs!$B$25+Inputs!$B$29,IF(Skills!C22=2,90+Inputs!$B$26+Inputs!$B$29,IF(Skills!C22=3,120+Inputs!$B$27+Inputs!$B$29,MAX(0,(Inputs!$B$3-100)*3)+Inputs!$B$28+Inputs!$B$29)))</f>
        <v/>
      </c>
      <c r="E413">
        <f>INDEX(FactorTable!$B$2:$Y$301, MATCH(ROUND(MIN(300,MAX(1,D413)),0), FactorTable!$A$2:$A$301,0), Skills!M22+1)</f>
        <v/>
      </c>
      <c r="F413">
        <f>IF(Skills!N22=TRUE,(Skills!L22/10)*(E413/1000),Skills!L22/10)+Skills!O22</f>
        <v/>
      </c>
      <c r="G413">
        <f>Skills!G22*IF(Skills!H22&gt;0,Skills!I22/Skills!H22,1)</f>
        <v/>
      </c>
      <c r="H413">
        <f>1-(1-Skills!J22/100)^Skills!K22</f>
        <v/>
      </c>
      <c r="I413" t="inlineStr">
        <is>
          <t>1</t>
        </is>
      </c>
      <c r="J413" t="inlineStr"/>
      <c r="K413" t="inlineStr"/>
      <c r="L413" t="inlineStr"/>
      <c r="M413" t="inlineStr"/>
      <c r="N413" t="inlineStr"/>
      <c r="O413">
        <f>(1-Summary!$B$11)*T413+Summary!$B$11*V413</f>
        <v/>
      </c>
      <c r="P413">
        <f>IF(B428=0,0,O413/B428)</f>
        <v/>
      </c>
      <c r="Q413" t="n">
        <v>0</v>
      </c>
      <c r="R413" t="n">
        <v>0</v>
      </c>
      <c r="S413">
        <f>IFERROR(O413/N413,0)</f>
        <v/>
      </c>
      <c r="T413" t="n">
        <v>0</v>
      </c>
      <c r="V413" t="n">
        <v>0</v>
      </c>
    </row>
    <row r="414">
      <c r="A414">
        <f>Skills!A23</f>
        <v/>
      </c>
      <c r="B414">
        <f>Skills!B23</f>
        <v/>
      </c>
      <c r="C414">
        <f>Inputs!$B$3&gt;=120</f>
        <v/>
      </c>
      <c r="D414">
        <f>IF(Skills!C23=1,60+Inputs!$B$25+Inputs!$B$29,IF(Skills!C23=2,90+Inputs!$B$26+Inputs!$B$29,IF(Skills!C23=3,120+Inputs!$B$27+Inputs!$B$29,MAX(0,(Inputs!$B$3-100)*3)+Inputs!$B$28+Inputs!$B$29)))</f>
        <v/>
      </c>
      <c r="E414">
        <f>INDEX(FactorTable!$B$2:$Y$301, MATCH(ROUND(MIN(300,MAX(1,D414)),0), FactorTable!$A$2:$A$301,0), Skills!M23+1)</f>
        <v/>
      </c>
      <c r="F414">
        <f>IF(Skills!N23=TRUE,(Skills!L23/10)*(E414/1000),Skills!L23/10)+Skills!O23</f>
        <v/>
      </c>
      <c r="G414">
        <f>Skills!G23*IF(Skills!H23&gt;0,Skills!I23/Skills!H23,1)</f>
        <v/>
      </c>
      <c r="H414">
        <f>1-(1-Skills!J23/100)^Skills!K23</f>
        <v/>
      </c>
      <c r="I414" t="inlineStr">
        <is>
          <t>1</t>
        </is>
      </c>
      <c r="J414" t="inlineStr"/>
      <c r="K414" t="inlineStr"/>
      <c r="L414" t="inlineStr"/>
      <c r="M414" t="inlineStr"/>
      <c r="N414" t="inlineStr"/>
      <c r="O414">
        <f>(1-Summary!$B$11)*T414+Summary!$B$11*V414</f>
        <v/>
      </c>
      <c r="P414">
        <f>IF(B428=0,0,O414/B428)</f>
        <v/>
      </c>
      <c r="Q414" t="n">
        <v>0</v>
      </c>
      <c r="R414" t="n">
        <v>0</v>
      </c>
      <c r="S414">
        <f>IFERROR(O414/N414,0)</f>
        <v/>
      </c>
      <c r="T414" t="n">
        <v>0</v>
      </c>
      <c r="V414" t="n">
        <v>0</v>
      </c>
    </row>
    <row r="415">
      <c r="A415">
        <f>Skills!A24</f>
        <v/>
      </c>
      <c r="B415">
        <f>Skills!B24</f>
        <v/>
      </c>
      <c r="C415">
        <f>Inputs!$B$3&gt;=120</f>
        <v/>
      </c>
      <c r="D415">
        <f>IF(Skills!C24=1,60+Inputs!$B$25+Inputs!$B$29,IF(Skills!C24=2,90+Inputs!$B$26+Inputs!$B$29,IF(Skills!C24=3,120+Inputs!$B$27+Inputs!$B$29,MAX(0,(Inputs!$B$3-100)*3)+Inputs!$B$28+Inputs!$B$29)))</f>
        <v/>
      </c>
      <c r="E415">
        <f>INDEX(FactorTable!$B$2:$Y$301, MATCH(ROUND(MIN(300,MAX(1,D415)),0), FactorTable!$A$2:$A$301,0), Skills!M24+1)</f>
        <v/>
      </c>
      <c r="F415">
        <f>IF(Skills!N24=TRUE,(Skills!L24/10)*(E415/1000),Skills!L24/10)+Skills!O24</f>
        <v/>
      </c>
      <c r="G415">
        <f>Skills!G24*IF(Skills!H24&gt;0,Skills!I24/Skills!H24,1)</f>
        <v/>
      </c>
      <c r="H415">
        <f>1-(1-Skills!J24/100)^Skills!K24</f>
        <v/>
      </c>
      <c r="I415" t="inlineStr">
        <is>
          <t>1</t>
        </is>
      </c>
      <c r="J415" t="inlineStr"/>
      <c r="K415" t="inlineStr"/>
      <c r="L415" t="inlineStr"/>
      <c r="M415" t="inlineStr"/>
      <c r="N415" t="inlineStr"/>
      <c r="O415">
        <f>(1-Summary!$B$11)*T415+Summary!$B$11*V415</f>
        <v/>
      </c>
      <c r="P415">
        <f>IF(B428=0,0,O415/B428)</f>
        <v/>
      </c>
      <c r="Q415" t="n">
        <v>0</v>
      </c>
      <c r="R415" t="n">
        <v>0</v>
      </c>
      <c r="S415">
        <f>IFERROR(O415/N415,0)</f>
        <v/>
      </c>
      <c r="T415" t="n">
        <v>0</v>
      </c>
      <c r="V415" t="n">
        <v>0</v>
      </c>
    </row>
    <row r="417">
      <c r="A417" t="inlineStr">
        <is>
          <t>Attack% Bucket Multiplier</t>
        </is>
      </c>
      <c r="B417">
        <f>(1+(((C404=TRUE)*F404*MIN(1,Skills!T13*(Skills!J13/100)*B422))+((C409=TRUE)*F409*IF(AND(Inputs!$B$38&lt;&gt;"pvp",Inputs!$B$43&gt;0),(((R409-1)*(Skills!T18*(1+Inputs!$B$34/100))+MIN((Skills!T18*(1+Inputs!$B$34/100)),MAX(0,Inputs!$B$43-((R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18">
      <c r="A418" t="inlineStr">
        <is>
          <t>Global Crit Rate Bonus %</t>
        </is>
      </c>
      <c r="B418" t="n">
        <v>0</v>
      </c>
    </row>
    <row r="419">
      <c r="A419" t="inlineStr">
        <is>
          <t>Attack Speed Buff Bonus %</t>
        </is>
      </c>
      <c r="B419">
        <f>((C410=TRUE)*F410*IF(AND(Inputs!$B$38&lt;&gt;"pvp",Inputs!$B$43&gt;0),(((R410-1)*(Skills!T19*(1+Inputs!$B$34/100))+MIN((Skills!T19*(1+Inputs!$B$34/100)),MAX(0,Inputs!$B$43-((R410-1)*Skills!D19))))/Inputs!$B$43),IF(Inputs!$B$38="pvp",MIN((Skills!T19*(1+Inputs!$B$34/100)),15)/15,(Skills!T19*(1+Inputs!$B$34/100))/Skills!D19)))</f>
        <v/>
      </c>
    </row>
    <row r="420">
      <c r="A420" t="inlineStr">
        <is>
          <t>Actions Per Second</t>
        </is>
      </c>
      <c r="B420">
        <f>1+MIN(150,150*(1-(1-(Inputs!$B$11+((C411=TRUE)*(F411-Calc!F20)))/150)*(1-B419/150)))/100</f>
        <v/>
      </c>
    </row>
    <row r="421">
      <c r="A421" t="inlineStr">
        <is>
          <t>Skill + Buff Cast Rate</t>
        </is>
      </c>
      <c r="B421">
        <f>IF(AND(Inputs!$B$38&lt;&gt;"pvp",Inputs!$B$43&gt;0),SUMPRODUCT((Skills!E2:E24=TRUE)*(C393:C415=TRUE)*R393:R415*Skills!F2:F24)/Inputs!$B$43,SUMPRODUCT((Skills!E2:E24=TRUE)*(C393:C415=TRUE)*Q393:Q415*Skills!F2:F24))</f>
        <v/>
      </c>
    </row>
    <row r="422">
      <c r="A422" t="inlineStr">
        <is>
          <t>Blast Casts Per Second</t>
        </is>
      </c>
      <c r="B422">
        <f>MAX(0,B420-B421)</f>
        <v/>
      </c>
    </row>
    <row r="423">
      <c r="A423" t="inlineStr">
        <is>
          <t>Global Critical Damage Bonus % (unused)</t>
        </is>
      </c>
      <c r="B423" t="n">
        <v>0</v>
      </c>
    </row>
    <row r="424">
      <c r="A424" t="inlineStr">
        <is>
          <t>Global Final Damage Bonus % (Divine Shield + Guardian + Divine Blessing + Greater Vessel of Light)</t>
        </is>
      </c>
      <c r="B424">
        <f>((C406=TRUE)*F406*IF(AND(Inputs!$B$38&lt;&gt;"pvp",Inputs!$B$43&gt;0),(((R406-1)*(Skills!T15*(1+Inputs!$B$34/100))+MIN((Skills!T15*(1+Inputs!$B$34/100)),MAX(0,Inputs!$B$43-((R406-1)*Skills!D15))))/Inputs!$B$43),IF(Inputs!$B$38="pvp",MIN((Skills!T15*(1+Inputs!$B$34/100)),15)/15,(Skills!T15*(1+Inputs!$B$34/100))/Skills!D15)))+((C407=TRUE)*F407*IF(AND(Inputs!$B$38&lt;&gt;"pvp",Inputs!$B$43&gt;0),(((R407-1)*(Skills!T16*(1+Inputs!$B$34/100))+MIN((Skills!T16*(1+Inputs!$B$34/100)),MAX(0,Inputs!$B$43-((R407-1)*Skills!D16))))/Inputs!$B$43),IF(Inputs!$B$38="pvp",MIN((Skills!T16*(1+Inputs!$B$34/100)),15)/15,(Skills!T16*(1+Inputs!$B$34/100))/Skills!D16)))+((C408=TRUE)*F408*IF(AND(Inputs!$B$38&lt;&gt;"pvp",Inputs!$B$43&gt;0),(((R408-1)*(Skills!T17*(1+Inputs!$B$34/100))+MIN((Skills!T17*(1+Inputs!$B$34/100)),MAX(0,Inputs!$B$43-((R408-1)*Skills!D17))))/Inputs!$B$43),IF(Inputs!$B$38="pvp",MIN((Skills!T17*(1+Inputs!$B$34/100)),15)/15,(Skills!T17*(1+Inputs!$B$34/100))/Skills!D17)))+((C405=TRUE)*F405*MIN(1,Skills!T13*(Skills!J13/100)*B422))</f>
        <v/>
      </c>
    </row>
    <row r="425">
      <c r="A425" t="inlineStr">
        <is>
          <t>Buff-Casting Startup Delay (s, fixed-duration only)</t>
        </is>
      </c>
      <c r="B425">
        <f>IF(AND(Inputs!$B$38&lt;&gt;"pvp",Inputs!$B$43&gt;0),SUMPRODUCT((Skills!T2:T24&gt;0)*(Skills!E2:E24=TRUE)*(C393:C415=TRUE))/B420,0)</f>
        <v/>
      </c>
    </row>
    <row r="426">
      <c r="A426" t="inlineStr">
        <is>
          <t>Boss-Only Total DPS (this block's swept value)</t>
        </is>
      </c>
      <c r="B426">
        <f>SUM(T393:T415)</f>
        <v/>
      </c>
    </row>
    <row r="427">
      <c r="A427" t="inlineStr">
        <is>
          <t>Normal-Only Total DPS (this block's swept value)</t>
        </is>
      </c>
      <c r="B427">
        <f>SUM(V393:V415)</f>
        <v/>
      </c>
    </row>
    <row r="428">
      <c r="A428" s="6" t="inlineStr">
        <is>
          <t>TOTAL DPS</t>
        </is>
      </c>
      <c r="B428" s="6">
        <f>SUM(O393:O415)</f>
        <v/>
      </c>
    </row>
    <row r="431">
      <c r="A431" s="6" t="inlineStr">
        <is>
          <t>Stat: MAX_DAMAGE %</t>
        </is>
      </c>
    </row>
    <row r="432">
      <c r="A432" s="5" t="inlineStr">
        <is>
          <t>Key</t>
        </is>
      </c>
      <c r="B432" s="5" t="inlineStr">
        <is>
          <t>Name</t>
        </is>
      </c>
      <c r="C432" s="5" t="inlineStr">
        <is>
          <t>Unlocked</t>
        </is>
      </c>
      <c r="D432" s="5" t="inlineStr">
        <is>
          <t>InputLevel</t>
        </is>
      </c>
      <c r="E432" s="5" t="inlineStr">
        <is>
          <t>Factor</t>
        </is>
      </c>
      <c r="F432" s="5" t="inlineStr">
        <is>
          <t>CoefficientPercent</t>
        </is>
      </c>
      <c r="G432" s="5" t="inlineStr">
        <is>
          <t>EffectiveHits</t>
        </is>
      </c>
      <c r="H432" s="5" t="inlineStr">
        <is>
          <t>ProcProbability</t>
        </is>
      </c>
      <c r="I432" s="5" t="inlineStr">
        <is>
          <t>MapleHeroMultiplier</t>
        </is>
      </c>
      <c r="J432" s="5" t="inlineStr">
        <is>
          <t>BaseDamage</t>
        </is>
      </c>
      <c r="K432" s="5" t="inlineStr">
        <is>
          <t>BaseHitDamage</t>
        </is>
      </c>
      <c r="L432" s="5" t="inlineStr">
        <is>
          <t>NonCritAvg</t>
        </is>
      </c>
      <c r="M432" s="5" t="inlineStr">
        <is>
          <t>CritAvg</t>
        </is>
      </c>
      <c r="N432" s="5" t="inlineStr">
        <is>
          <t>ExpectedDamage(perHit)</t>
        </is>
      </c>
      <c r="O432" s="5" t="inlineStr">
        <is>
          <t>DPS</t>
        </is>
      </c>
      <c r="P432" s="5" t="inlineStr">
        <is>
          <t>% of Total</t>
        </is>
      </c>
      <c r="Q432" s="5" t="inlineStr">
        <is>
          <t>InvCooldown</t>
        </is>
      </c>
      <c r="R432" s="5" t="inlineStr">
        <is>
          <t>CastsInFight</t>
        </is>
      </c>
      <c r="S432" s="5" t="inlineStr">
        <is>
          <t>HitRate(perSec)</t>
        </is>
      </c>
      <c r="U432" t="inlineStr">
        <is>
          <t>helpers</t>
        </is>
      </c>
    </row>
    <row r="433">
      <c r="A433">
        <f>Skills!A2</f>
        <v/>
      </c>
      <c r="B433">
        <f>Skills!B2</f>
        <v/>
      </c>
      <c r="C433">
        <f>Inputs!$B$3&gt;=100</f>
        <v/>
      </c>
      <c r="D433" t="inlineStr"/>
      <c r="E433" t="inlineStr"/>
      <c r="F433">
        <f>U435+Skills!O2</f>
        <v/>
      </c>
      <c r="G433">
        <f>Skills!G2*IF(Skills!H2&gt;0,Skills!I2/Skills!H2,1)</f>
        <v/>
      </c>
      <c r="H433">
        <f>1-(1-Skills!J2/100)^Skills!K2</f>
        <v/>
      </c>
      <c r="I433" t="inlineStr">
        <is>
          <t>1</t>
        </is>
      </c>
      <c r="J433">
        <f>((Inputs!$B$6*(1+Inputs!$B$7/100))+(((Inputs!$B$12*(1+Inputs!$B$13/100))-(Inputs!$B$12*(1+Inputs!$B$13/100)))+0.25*(Inputs!$B$14-Inputs!$B$14))*(1+Inputs!$B$7/100))*(F433/100)</f>
        <v/>
      </c>
      <c r="K433">
        <f>J433*(1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433)</f>
        <v/>
      </c>
      <c r="L433">
        <f>K433*(MIN(Inputs!$B$22+((C453=TRUE)*(F453-Calc!F22)),((Inputs!$B$23+1)+((C455=TRUE)*(F455-Calc!F24))+(IF(ArtifactsInput!$M$15,CHOOSE(ArtifactsInput!$N$15+1,25,30,35,40,45,50)/100*(Inputs!$B$11-Inputs!$B$11),0))))/100+((Inputs!$B$23+1)+((C455=TRUE)*(F455-Calc!F24))+(IF(ArtifactsInput!$M$15,CHOOSE(ArtifactsInput!$N$15+1,25,30,35,40,45,50)/100*(Inputs!$B$11-Inputs!$B$11),0)))/100)/2</f>
        <v/>
      </c>
      <c r="M433">
        <f>L433*(1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3">
        <f>L433*(1-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433*(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3">
        <f>(1-Summary!$B$11)*T433+Summary!$B$11*V433</f>
        <v/>
      </c>
      <c r="P433">
        <f>IF(B468=0,0,O433/B468)</f>
        <v/>
      </c>
      <c r="Q433" t="n">
        <v>0</v>
      </c>
      <c r="R433" t="n">
        <v>0</v>
      </c>
      <c r="S433">
        <f>IFERROR(O433/N433,0)</f>
        <v/>
      </c>
      <c r="T433">
        <f>IF(C433,(Skills!G2*N433*B462)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433*(1-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433*(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433*(1-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433*(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3">
        <f>MAX(0,(Inputs!$B$3-100)*3)+Inputs!$B$28+Inputs!$B$29</f>
        <v/>
      </c>
      <c r="V433">
        <f>IF(C433,(Skills!G2*N433*B462)*IF(Inputs!$B$38="pvp",1,(1+(Inputs!$B$21+Skills!Q2+(IF(ArtifactsInput!$M$33,CHOOSE(ArtifactsInput!$N$33+1,30,36,42,48,54,60),0))+(IF(AND(ArtifactsInput!$M$35,Inputs!$B$4&lt;&gt;"Chapter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4">
      <c r="A434">
        <f>Skills!A3</f>
        <v/>
      </c>
      <c r="B434">
        <f>Skills!B3</f>
        <v/>
      </c>
      <c r="C434">
        <f>Inputs!$B$3&gt;=50</f>
        <v/>
      </c>
      <c r="D434">
        <f>IF(Skills!C3=1,60+Inputs!$B$25+Inputs!$B$29,IF(Skills!C3=2,90+Inputs!$B$26+Inputs!$B$29,IF(Skills!C3=3,120+Inputs!$B$27+Inputs!$B$29,MAX(0,(Inputs!$B$3-100)*3)+Inputs!$B$28+Inputs!$B$29)))</f>
        <v/>
      </c>
      <c r="E434">
        <f>INDEX(FactorTable!$B$2:$Y$301, MATCH(ROUND(MIN(300,MAX(1,D434)),0), FactorTable!$A$2:$A$301,0), Skills!M3+1)</f>
        <v/>
      </c>
      <c r="F434">
        <f>IF(Skills!N3=TRUE,(Skills!L3/10)*(E434/1000),Skills!L3/10)+Skills!O3</f>
        <v/>
      </c>
      <c r="G434" t="inlineStr"/>
      <c r="H434" t="inlineStr"/>
      <c r="I434" t="inlineStr">
        <is>
          <t>1</t>
        </is>
      </c>
      <c r="J434" t="inlineStr"/>
      <c r="K434" t="inlineStr"/>
      <c r="L434" t="inlineStr"/>
      <c r="M434" t="inlineStr"/>
      <c r="N434" t="inlineStr"/>
      <c r="O434" t="inlineStr"/>
      <c r="P434" t="inlineStr"/>
      <c r="Q434" t="inlineStr"/>
      <c r="R434" t="inlineStr"/>
      <c r="S434" t="inlineStr"/>
      <c r="U434">
        <f>INDEX(FactorTable!$B$2:$Y$301, MATCH(ROUND(MIN(300,MAX(1,U433)),0), FactorTable!$A$2:$A$301,0), 22)</f>
        <v/>
      </c>
    </row>
    <row r="435">
      <c r="A435">
        <f>Skills!A4</f>
        <v/>
      </c>
      <c r="B435">
        <f>Skills!B4</f>
        <v/>
      </c>
      <c r="C435">
        <f>Inputs!$B$3&gt;=35</f>
        <v/>
      </c>
      <c r="D435">
        <f>IF(Skills!C4=1,60+Inputs!$B$25+Inputs!$B$29,IF(Skills!C4=2,90+Inputs!$B$26+Inputs!$B$29,IF(Skills!C4=3,120+Inputs!$B$27+Inputs!$B$29,MAX(0,(Inputs!$B$3-100)*3)+Inputs!$B$28+Inputs!$B$29)))</f>
        <v/>
      </c>
      <c r="E435">
        <f>INDEX(FactorTable!$B$2:$Y$301, MATCH(ROUND(MIN(300,MAX(1,D435)),0), FactorTable!$A$2:$A$301,0), Skills!M4+1)</f>
        <v/>
      </c>
      <c r="F435">
        <f>IF(Skills!N4=TRUE,(Skills!L4/10)*(E435/1000),Skills!L4/10)+Skills!O4</f>
        <v/>
      </c>
      <c r="G435">
        <f>Skills!G4*IF(Skills!H4&gt;0,Skills!I4/Skills!H4,1)</f>
        <v/>
      </c>
      <c r="H435">
        <f>1-(1-Skills!J4/100)^Skills!K4</f>
        <v/>
      </c>
      <c r="I435" t="inlineStr">
        <is>
          <t>1</t>
        </is>
      </c>
      <c r="J435">
        <f>((Inputs!$B$6*(1+Inputs!$B$7/100))+(((Inputs!$B$12*(1+Inputs!$B$13/100))-(Inputs!$B$12*(1+Inputs!$B$13/100)))+0.25*(Inputs!$B$14-Inputs!$B$14))*(1+Inputs!$B$7/100))*(F435/100)</f>
        <v/>
      </c>
      <c r="K435">
        <f>J435*(1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443=TRUE,F443,0)/100)*(1+(IF(Skills!A4="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435)</f>
        <v/>
      </c>
      <c r="L435">
        <f>K435*(MIN(Inputs!$B$22+((C453=TRUE)*(F453-Calc!F22)),((Inputs!$B$23+1)+((C455=TRUE)*(F455-Calc!F24))+(IF(ArtifactsInput!$M$15,CHOOSE(ArtifactsInput!$N$15+1,25,30,35,40,45,50)/100*(Inputs!$B$11-Inputs!$B$11),0))))/100+((Inputs!$B$23+1)+((C455=TRUE)*(F455-Calc!F24))+(IF(ArtifactsInput!$M$15,CHOOSE(ArtifactsInput!$N$15+1,25,30,35,40,45,50)/100*(Inputs!$B$11-Inputs!$B$11),0)))/100)/2</f>
        <v/>
      </c>
      <c r="M435">
        <f>L435*(1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5">
        <f>L435*(1-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435*(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5">
        <f>(1-Summary!$B$11)*T435+Summary!$B$11*V435</f>
        <v/>
      </c>
      <c r="P435">
        <f>IF(B468=0,0,O435/B468)</f>
        <v/>
      </c>
      <c r="Q435">
        <f>IFERROR(1/(IF(Inputs!$B$38="pvp",15,MAX(0.1,Skills!D4-IF(Skills!E4=TRUE,Inputs!$B$32,0)))*(1-IF(AND(ArtifactsInput!$M$27,Inputs!$B$4="Chapter Hunt"),CHOOSE(ArtifactsInput!$N$27+1,20,24,28,32,36,40),0)/100)),0)</f>
        <v/>
      </c>
      <c r="R435">
        <f>IF(AND(Inputs!$B$38&lt;&gt;"pvp",Inputs!$B$43&gt;0),IF(MAX(0,Inputs!$B$43-B465)&lt;=0,0,(INT(MAX(0,Inputs!$B$43-B465)/(IF(Inputs!$B$38="pvp",15,MAX(0.1,Skills!D4-IF(Skills!E4=TRUE,Inputs!$B$32,0)))*(1-IF(AND(ArtifactsInput!$M$27,Inputs!$B$4="Chapter Hunt"),CHOOSE(ArtifactsInput!$N$27+1,20,24,28,32,36,40),0)/100)))+1)),0)</f>
        <v/>
      </c>
      <c r="S435">
        <f>IFERROR(O435/N435,0)</f>
        <v/>
      </c>
      <c r="T435">
        <f>IF(C435,(H435*N435*IF(AND(Inputs!$B$38&lt;&gt;"pvp",Inputs!$B$43&gt;0),((Skills!G4*((R435-1)*IF(Skills!H4&gt;0,Skills!I4/Skills!H4,1)+IF(Skills!H4&gt;0,MIN(Skills!I4,MAX(0,MAX(0,Inputs!$B$43-B465)-((R435-1)*(IF(Inputs!$B$38="pvp",15,MAX(0.1,Skills!D4-IF(Skills!E4=TRUE,Inputs!$B$32,0)))*(1-IF(AND(ArtifactsInput!$M$27,Inputs!$B$4="Chapter Hunt"),CHOOSE(ArtifactsInput!$N$27+1,20,24,28,32,36,40),0)/100)))))/Skills!H4,1)))/Inputs!$B$43),G435*Q435)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435*(1-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435*(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435*(1-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435*(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5">
        <f>290*U434/1000</f>
        <v/>
      </c>
      <c r="V435">
        <f>IF(C435,(H435*N435*IF(AND(Inputs!$B$38&lt;&gt;"pvp",Inputs!$B$43&gt;0),((Skills!G4*((R435-1)*IF(Skills!H4&gt;0,Skills!I4/Skills!H4,1)+IF(Skills!H4&gt;0,MIN(Skills!I4,MAX(0,MAX(0,Inputs!$B$43-B465)-((R435-1)*(IF(Inputs!$B$38="pvp",15,MAX(0.1,Skills!D4-IF(Skills!E4=TRUE,Inputs!$B$32,0)))*(1-IF(AND(ArtifactsInput!$M$27,Inputs!$B$4="Chapter Hunt"),CHOOSE(ArtifactsInput!$N$27+1,20,24,28,32,36,40),0)/100)))))/Skills!H4,1)))/Inputs!$B$43),G435*Q435))*IF(Inputs!$B$38="pvp",1,(1+(Inputs!$B$21+Skills!Q4+(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6">
      <c r="A436">
        <f>Skills!A5</f>
        <v/>
      </c>
      <c r="B436">
        <f>Skills!B5</f>
        <v/>
      </c>
      <c r="C436">
        <f>Inputs!$B$3&gt;=66</f>
        <v/>
      </c>
      <c r="D436">
        <f>IF(Skills!C5=1,60+Inputs!$B$25+Inputs!$B$29,IF(Skills!C5=2,90+Inputs!$B$26+Inputs!$B$29,IF(Skills!C5=3,120+Inputs!$B$27+Inputs!$B$29,MAX(0,(Inputs!$B$3-100)*3)+Inputs!$B$28+Inputs!$B$29)))</f>
        <v/>
      </c>
      <c r="E436">
        <f>INDEX(FactorTable!$B$2:$Y$301, MATCH(ROUND(MIN(300,MAX(1,D436)),0), FactorTable!$A$2:$A$301,0), Skills!M5+1)</f>
        <v/>
      </c>
      <c r="F436">
        <f>IF(Skills!N5=TRUE,(Skills!L5/10)*(E436/1000),Skills!L5/10)+Skills!O5</f>
        <v/>
      </c>
      <c r="G436">
        <f>Skills!G5*IF(Skills!H5&gt;0,Skills!I5/Skills!H5,1)</f>
        <v/>
      </c>
      <c r="H436">
        <f>1-(1-Skills!J5/100)^Skills!K5</f>
        <v/>
      </c>
      <c r="I436" t="inlineStr">
        <is>
          <t>1</t>
        </is>
      </c>
      <c r="J436">
        <f>((Inputs!$B$6*(1+Inputs!$B$7/100))+(((Inputs!$B$12*(1+Inputs!$B$13/100))-(Inputs!$B$12*(1+Inputs!$B$13/100)))+0.25*(Inputs!$B$14-Inputs!$B$14))*(1+Inputs!$B$7/100))*(F436/100)</f>
        <v/>
      </c>
      <c r="K436">
        <f>J436*(1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443=TRUE,F443,0)/100)*(1+(IF(Skills!A5="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436)</f>
        <v/>
      </c>
      <c r="L436">
        <f>K436*(MIN(Inputs!$B$22+((C453=TRUE)*(F453-Calc!F22)),((Inputs!$B$23+1)+((C455=TRUE)*(F455-Calc!F24))+(IF(ArtifactsInput!$M$15,CHOOSE(ArtifactsInput!$N$15+1,25,30,35,40,45,50)/100*(Inputs!$B$11-Inputs!$B$11),0))))/100+((Inputs!$B$23+1)+((C455=TRUE)*(F455-Calc!F24))+(IF(ArtifactsInput!$M$15,CHOOSE(ArtifactsInput!$N$15+1,25,30,35,40,45,50)/100*(Inputs!$B$11-Inputs!$B$11),0)))/100)/2</f>
        <v/>
      </c>
      <c r="M436">
        <f>L436*(1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6">
        <f>L436*(1-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436*(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6">
        <f>(1-Summary!$B$11)*T436+Summary!$B$11*V436</f>
        <v/>
      </c>
      <c r="P436">
        <f>IF(B468=0,0,O436/B468)</f>
        <v/>
      </c>
      <c r="Q436">
        <f>IFERROR(1/(IF(Inputs!$B$38="pvp",15,MAX(0.1,Skills!D5-IF(Skills!E5=TRUE,Inputs!$B$32,0)))*(1-IF(AND(ArtifactsInput!$M$27,Inputs!$B$4="Chapter Hunt"),CHOOSE(ArtifactsInput!$N$27+1,20,24,28,32,36,40),0)/100)),0)</f>
        <v/>
      </c>
      <c r="R436">
        <f>IF(AND(Inputs!$B$38&lt;&gt;"pvp",Inputs!$B$43&gt;0),IF(MAX(0,Inputs!$B$43-B465)&lt;=0,0,(INT(MAX(0,Inputs!$B$43-B465)/(IF(Inputs!$B$38="pvp",15,MAX(0.1,Skills!D5-IF(Skills!E5=TRUE,Inputs!$B$32,0)))*(1-IF(AND(ArtifactsInput!$M$27,Inputs!$B$4="Chapter Hunt"),CHOOSE(ArtifactsInput!$N$27+1,20,24,28,32,36,40),0)/100)))+1)),0)</f>
        <v/>
      </c>
      <c r="S436">
        <f>IFERROR(O436/N436,0)</f>
        <v/>
      </c>
      <c r="T436">
        <f>IF(C436,(H436*N436*IF(AND(Inputs!$B$38&lt;&gt;"pvp",Inputs!$B$43&gt;0),((Skills!G5*((R436-1)*IF(Skills!H5&gt;0,Skills!I5/Skills!H5,1)+IF(Skills!H5&gt;0,MIN(Skills!I5,MAX(0,MAX(0,Inputs!$B$43-B465)-((R436-1)*(IF(Inputs!$B$38="pvp",15,MAX(0.1,Skills!D5-IF(Skills!E5=TRUE,Inputs!$B$32,0)))*(1-IF(AND(ArtifactsInput!$M$27,Inputs!$B$4="Chapter Hunt"),CHOOSE(ArtifactsInput!$N$27+1,20,24,28,32,36,40),0)/100)))))/Skills!H5,1)))/Inputs!$B$43),G436*Q436)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436*(1-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436*(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436*(1-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436*(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6">
        <f>IF(C436,(H436*N436*IF(AND(Inputs!$B$38&lt;&gt;"pvp",Inputs!$B$43&gt;0),((Skills!G5*((R436-1)*IF(Skills!H5&gt;0,Skills!I5/Skills!H5,1)+IF(Skills!H5&gt;0,MIN(Skills!I5,MAX(0,MAX(0,Inputs!$B$43-B465)-((R436-1)*(IF(Inputs!$B$38="pvp",15,MAX(0.1,Skills!D5-IF(Skills!E5=TRUE,Inputs!$B$32,0)))*(1-IF(AND(ArtifactsInput!$M$27,Inputs!$B$4="Chapter Hunt"),CHOOSE(ArtifactsInput!$N$27+1,20,24,28,32,36,40),0)/100)))))/Skills!H5,1)))/Inputs!$B$43),G436*Q436))*IF(Inputs!$B$38="pvp",1,(1+(Inputs!$B$21+Skills!Q5+(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7">
      <c r="A437">
        <f>Skills!A6</f>
        <v/>
      </c>
      <c r="B437">
        <f>Skills!B6</f>
        <v/>
      </c>
      <c r="C437">
        <f>Inputs!$B$3&gt;=103</f>
        <v/>
      </c>
      <c r="D437">
        <f>IF(Skills!C6=1,60+Inputs!$B$25+Inputs!$B$29,IF(Skills!C6=2,90+Inputs!$B$26+Inputs!$B$29,IF(Skills!C6=3,120+Inputs!$B$27+Inputs!$B$29,MAX(0,(Inputs!$B$3-100)*3)+Inputs!$B$28+Inputs!$B$29)))</f>
        <v/>
      </c>
      <c r="E437">
        <f>INDEX(FactorTable!$B$2:$Y$301, MATCH(ROUND(MIN(300,MAX(1,D437)),0), FactorTable!$A$2:$A$301,0), Skills!M6+1)</f>
        <v/>
      </c>
      <c r="F437">
        <f>IF(Skills!N6=TRUE,(Skills!L6/10)*(E437/1000),Skills!L6/10)+Skills!O6</f>
        <v/>
      </c>
      <c r="G437">
        <f>Skills!G6*IF(Skills!H6&gt;0,Skills!I6/Skills!H6,1)</f>
        <v/>
      </c>
      <c r="H437">
        <f>1-(1-Skills!J6/100)^Skills!K6</f>
        <v/>
      </c>
      <c r="I437" t="inlineStr">
        <is>
          <t>1</t>
        </is>
      </c>
      <c r="J437">
        <f>((Inputs!$B$6*(1+Inputs!$B$7/100))+(((Inputs!$B$12*(1+Inputs!$B$13/100))-(Inputs!$B$12*(1+Inputs!$B$13/100)))+0.25*(Inputs!$B$14-Inputs!$B$14))*(1+Inputs!$B$7/100))*(F437/100)</f>
        <v/>
      </c>
      <c r="K437">
        <f>J437*(1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437)</f>
        <v/>
      </c>
      <c r="L437">
        <f>K437*(MIN(Inputs!$B$22+((C453=TRUE)*(F453-Calc!F22)),((Inputs!$B$23+1)+((C455=TRUE)*(F455-Calc!F24))+(IF(ArtifactsInput!$M$15,CHOOSE(ArtifactsInput!$N$15+1,25,30,35,40,45,50)/100*(Inputs!$B$11-Inputs!$B$11),0))))/100+((Inputs!$B$23+1)+((C455=TRUE)*(F455-Calc!F24))+(IF(ArtifactsInput!$M$15,CHOOSE(ArtifactsInput!$N$15+1,25,30,35,40,45,50)/100*(Inputs!$B$11-Inputs!$B$11),0)))/100)/2</f>
        <v/>
      </c>
      <c r="M437">
        <f>L437*(1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7">
        <f>L437*(1-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437*(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7">
        <f>(1-Summary!$B$11)*T437+Summary!$B$11*V437</f>
        <v/>
      </c>
      <c r="P437">
        <f>IF(B468=0,0,O437/B468)</f>
        <v/>
      </c>
      <c r="Q437">
        <f>IFERROR(1/(IF(Inputs!$B$38="pvp",15,MAX(0.1,Skills!D6-IF(Skills!E6=TRUE,Inputs!$B$32,0)))*(1-IF(AND(ArtifactsInput!$M$27,Inputs!$B$4="Chapter Hunt"),CHOOSE(ArtifactsInput!$N$27+1,20,24,28,32,36,40),0)/100)),0)</f>
        <v/>
      </c>
      <c r="R437">
        <f>IF(AND(Inputs!$B$38&lt;&gt;"pvp",Inputs!$B$43&gt;0),IF(MAX(0,Inputs!$B$43-B465)&lt;=0,0,(INT(MAX(0,Inputs!$B$43-B465)/(IF(Inputs!$B$38="pvp",15,MAX(0.1,Skills!D6-IF(Skills!E6=TRUE,Inputs!$B$32,0)))*(1-IF(AND(ArtifactsInput!$M$27,Inputs!$B$4="Chapter Hunt"),CHOOSE(ArtifactsInput!$N$27+1,20,24,28,32,36,40),0)/100)))+1)),0)</f>
        <v/>
      </c>
      <c r="S437">
        <f>IFERROR(O437/N437,0)</f>
        <v/>
      </c>
      <c r="T437">
        <f>IF(C437,(H437*N437*IF(AND(Inputs!$B$38&lt;&gt;"pvp",Inputs!$B$43&gt;0),((Skills!G6*((R437-1)*IF(Skills!H6&gt;0,Skills!I6/Skills!H6,1)+IF(Skills!H6&gt;0,MIN(Skills!I6,MAX(0,MAX(0,Inputs!$B$43-B465)-((R437-1)*(IF(Inputs!$B$38="pvp",15,MAX(0.1,Skills!D6-IF(Skills!E6=TRUE,Inputs!$B$32,0)))*(1-IF(AND(ArtifactsInput!$M$27,Inputs!$B$4="Chapter Hunt"),CHOOSE(ArtifactsInput!$N$27+1,20,24,28,32,36,40),0)/100)))))/Skills!H6,1)))/Inputs!$B$43),G437*Q437)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437*(1-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437*(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437*(1-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437*(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7">
        <f>IF(C437,(H437*N437*IF(AND(Inputs!$B$38&lt;&gt;"pvp",Inputs!$B$43&gt;0),((Skills!G6*((R437-1)*IF(Skills!H6&gt;0,Skills!I6/Skills!H6,1)+IF(Skills!H6&gt;0,MIN(Skills!I6,MAX(0,MAX(0,Inputs!$B$43-B465)-((R437-1)*(IF(Inputs!$B$38="pvp",15,MAX(0.1,Skills!D6-IF(Skills!E6=TRUE,Inputs!$B$32,0)))*(1-IF(AND(ArtifactsInput!$M$27,Inputs!$B$4="Chapter Hunt"),CHOOSE(ArtifactsInput!$N$27+1,20,24,28,32,36,40),0)/100)))))/Skills!H6,1)))/Inputs!$B$43),G437*Q437))*IF(Inputs!$B$38="pvp",1,(1+(Inputs!$B$21+Skills!Q6+(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8">
      <c r="A438">
        <f>Skills!A7</f>
        <v/>
      </c>
      <c r="B438">
        <f>Skills!B7</f>
        <v/>
      </c>
      <c r="C438">
        <f>Inputs!$B$3&gt;=107</f>
        <v/>
      </c>
      <c r="D438">
        <f>IF(Skills!C7=1,60+Inputs!$B$25+Inputs!$B$29,IF(Skills!C7=2,90+Inputs!$B$26+Inputs!$B$29,IF(Skills!C7=3,120+Inputs!$B$27+Inputs!$B$29,MAX(0,(Inputs!$B$3-100)*3)+Inputs!$B$28+Inputs!$B$29)))</f>
        <v/>
      </c>
      <c r="E438">
        <f>INDEX(FactorTable!$B$2:$Y$301, MATCH(ROUND(MIN(300,MAX(1,D438)),0), FactorTable!$A$2:$A$301,0), Skills!M7+1)</f>
        <v/>
      </c>
      <c r="F438">
        <f>IF(Skills!N7=TRUE,(Skills!L7/10)*(E438/1000),Skills!L7/10)+Skills!O7</f>
        <v/>
      </c>
      <c r="G438">
        <f>Skills!G7*IF(Skills!H7&gt;0,Skills!I7/Skills!H7,1)</f>
        <v/>
      </c>
      <c r="H438">
        <f>1-(1-Skills!J7/100)^Skills!K7</f>
        <v/>
      </c>
      <c r="I438" t="inlineStr">
        <is>
          <t>1</t>
        </is>
      </c>
      <c r="J438">
        <f>((Inputs!$B$6*(1+Inputs!$B$7/100))+(((Inputs!$B$12*(1+Inputs!$B$13/100))-(Inputs!$B$12*(1+Inputs!$B$13/100)))+0.25*(Inputs!$B$14-Inputs!$B$14))*(1+Inputs!$B$7/100))*(F438/100)</f>
        <v/>
      </c>
      <c r="K438">
        <f>J438*(1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438)</f>
        <v/>
      </c>
      <c r="L438">
        <f>K438*(MIN(Inputs!$B$22+((C453=TRUE)*(F453-Calc!F22)),((Inputs!$B$23+1)+((C455=TRUE)*(F455-Calc!F24))+(IF(ArtifactsInput!$M$15,CHOOSE(ArtifactsInput!$N$15+1,25,30,35,40,45,50)/100*(Inputs!$B$11-Inputs!$B$11),0))))/100+((Inputs!$B$23+1)+((C455=TRUE)*(F455-Calc!F24))+(IF(ArtifactsInput!$M$15,CHOOSE(ArtifactsInput!$N$15+1,25,30,35,40,45,50)/100*(Inputs!$B$11-Inputs!$B$11),0)))/100)/2</f>
        <v/>
      </c>
      <c r="M438">
        <f>L438*(1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8">
        <f>L438*(1-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438*(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8">
        <f>(1-Summary!$B$11)*T438+Summary!$B$11*V438</f>
        <v/>
      </c>
      <c r="P438">
        <f>IF(B468=0,0,O438/B468)</f>
        <v/>
      </c>
      <c r="Q438">
        <f>IFERROR(1/(IF(Inputs!$B$38="pvp",15,MAX(0.1,Skills!D7-IF(Skills!E7=TRUE,Inputs!$B$32,0)))*(1-IF(AND(ArtifactsInput!$M$27,Inputs!$B$4="Chapter Hunt"),CHOOSE(ArtifactsInput!$N$27+1,20,24,28,32,36,40),0)/100)),0)</f>
        <v/>
      </c>
      <c r="R438">
        <f>IF(AND(Inputs!$B$38&lt;&gt;"pvp",Inputs!$B$43&gt;0),IF(MAX(0,Inputs!$B$43-B465)&lt;=0,0,(INT(MAX(0,Inputs!$B$43-B465)/(IF(Inputs!$B$38="pvp",15,MAX(0.1,Skills!D7-IF(Skills!E7=TRUE,Inputs!$B$32,0)))*(1-IF(AND(ArtifactsInput!$M$27,Inputs!$B$4="Chapter Hunt"),CHOOSE(ArtifactsInput!$N$27+1,20,24,28,32,36,40),0)/100)))+1)),0)</f>
        <v/>
      </c>
      <c r="S438">
        <f>IFERROR(O438/N438,0)</f>
        <v/>
      </c>
      <c r="T438">
        <f>IF(C438,(H438*N438*IF(AND(Inputs!$B$38&lt;&gt;"pvp",Inputs!$B$43&gt;0),((Skills!G7*((R438-1)*IF(Skills!H7&gt;0,Skills!I7/Skills!H7,1)+IF(Skills!H7&gt;0,MIN(Skills!I7,MAX(0,MAX(0,Inputs!$B$43-B465)-((R438-1)*(IF(Inputs!$B$38="pvp",15,MAX(0.1,Skills!D7-IF(Skills!E7=TRUE,Inputs!$B$32,0)))*(1-IF(AND(ArtifactsInput!$M$27,Inputs!$B$4="Chapter Hunt"),CHOOSE(ArtifactsInput!$N$27+1,20,24,28,32,36,40),0)/100)))))/Skills!H7,1)))/Inputs!$B$43),G438*Q438)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438*(1-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438*(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438*(1-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438*(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8">
        <f>IF(C438,(H438*N438*IF(AND(Inputs!$B$38&lt;&gt;"pvp",Inputs!$B$43&gt;0),((Skills!G7*((R438-1)*IF(Skills!H7&gt;0,Skills!I7/Skills!H7,1)+IF(Skills!H7&gt;0,MIN(Skills!I7,MAX(0,MAX(0,Inputs!$B$43-B465)-((R438-1)*(IF(Inputs!$B$38="pvp",15,MAX(0.1,Skills!D7-IF(Skills!E7=TRUE,Inputs!$B$32,0)))*(1-IF(AND(ArtifactsInput!$M$27,Inputs!$B$4="Chapter Hunt"),CHOOSE(ArtifactsInput!$N$27+1,20,24,28,32,36,40),0)/100)))))/Skills!H7,1)))/Inputs!$B$43),G438*Q438))*IF(Inputs!$B$38="pvp",1,(1+(Inputs!$B$21+Skills!Q7+(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9">
      <c r="A439">
        <f>Skills!A8</f>
        <v/>
      </c>
      <c r="B439">
        <f>Skills!B8</f>
        <v/>
      </c>
      <c r="C439">
        <f>Inputs!$B$3&gt;=107</f>
        <v/>
      </c>
      <c r="D439">
        <f>IF(Skills!C8=1,60+Inputs!$B$25+Inputs!$B$29,IF(Skills!C8=2,90+Inputs!$B$26+Inputs!$B$29,IF(Skills!C8=3,120+Inputs!$B$27+Inputs!$B$29,MAX(0,(Inputs!$B$3-100)*3)+Inputs!$B$28+Inputs!$B$29)))</f>
        <v/>
      </c>
      <c r="E439">
        <f>INDEX(FactorTable!$B$2:$Y$301, MATCH(ROUND(MIN(300,MAX(1,D439)),0), FactorTable!$A$2:$A$301,0), Skills!M8+1)</f>
        <v/>
      </c>
      <c r="F439">
        <f>IF(Skills!N8=TRUE,(Skills!L8/10)*(E439/1000),Skills!L8/10)+Skills!O8</f>
        <v/>
      </c>
      <c r="G439">
        <f>Skills!G8*IF(Skills!H8&gt;0,Skills!I8/Skills!H8,1)</f>
        <v/>
      </c>
      <c r="H439">
        <f>1-(1-Skills!J8/100)^Skills!K8</f>
        <v/>
      </c>
      <c r="I439" t="inlineStr">
        <is>
          <t>1</t>
        </is>
      </c>
      <c r="J439">
        <f>((Inputs!$B$6*(1+Inputs!$B$7/100))+(((Inputs!$B$12*(1+Inputs!$B$13/100))-(Inputs!$B$12*(1+Inputs!$B$13/100)))+0.25*(Inputs!$B$14-Inputs!$B$14))*(1+Inputs!$B$7/100))*(F439/100)</f>
        <v/>
      </c>
      <c r="K439">
        <f>J439*(1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439)</f>
        <v/>
      </c>
      <c r="L439">
        <f>K439*(MIN(Inputs!$B$22+((C453=TRUE)*(F453-Calc!F22)),((Inputs!$B$23+1)+((C455=TRUE)*(F455-Calc!F24))+(IF(ArtifactsInput!$M$15,CHOOSE(ArtifactsInput!$N$15+1,25,30,35,40,45,50)/100*(Inputs!$B$11-Inputs!$B$11),0))))/100+((Inputs!$B$23+1)+((C455=TRUE)*(F455-Calc!F24))+(IF(ArtifactsInput!$M$15,CHOOSE(ArtifactsInput!$N$15+1,25,30,35,40,45,50)/100*(Inputs!$B$11-Inputs!$B$11),0)))/100)/2</f>
        <v/>
      </c>
      <c r="M439">
        <f>L439*(1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9">
        <f>L439*(1-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439*(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9">
        <f>(1-Summary!$B$11)*T439+Summary!$B$11*V439</f>
        <v/>
      </c>
      <c r="P439">
        <f>IF(B468=0,0,O439/B468)</f>
        <v/>
      </c>
      <c r="Q439">
        <f>IFERROR(1/(IF(Inputs!$B$38="pvp",15,MAX(0.1,Skills!D8-IF(Skills!E8=TRUE,Inputs!$B$32,0)))*(1-IF(AND(ArtifactsInput!$M$27,Inputs!$B$4="Chapter Hunt"),CHOOSE(ArtifactsInput!$N$27+1,20,24,28,32,36,40),0)/100)),0)</f>
        <v/>
      </c>
      <c r="R439">
        <f>IF(AND(Inputs!$B$38&lt;&gt;"pvp",Inputs!$B$43&gt;0),IF(MAX(0,Inputs!$B$43-B465)&lt;=0,0,(INT(MAX(0,Inputs!$B$43-B465)/(IF(Inputs!$B$38="pvp",15,MAX(0.1,Skills!D8-IF(Skills!E8=TRUE,Inputs!$B$32,0)))*(1-IF(AND(ArtifactsInput!$M$27,Inputs!$B$4="Chapter Hunt"),CHOOSE(ArtifactsInput!$N$27+1,20,24,28,32,36,40),0)/100)))+1)),0)</f>
        <v/>
      </c>
      <c r="S439">
        <f>IFERROR(O439/N439,0)</f>
        <v/>
      </c>
      <c r="T439">
        <f>IF(C439,(H439*N439*IF(AND(Inputs!$B$38&lt;&gt;"pvp",Inputs!$B$43&gt;0),((Skills!G8*((R439-1)*IF(Skills!H8&gt;0,Skills!I8/Skills!H8,1)+IF(Skills!H8&gt;0,MIN(Skills!I8,MAX(0,MAX(0,Inputs!$B$43-B465)-((R439-1)*(IF(Inputs!$B$38="pvp",15,MAX(0.1,Skills!D8-IF(Skills!E8=TRUE,Inputs!$B$32,0)))*(1-IF(AND(ArtifactsInput!$M$27,Inputs!$B$4="Chapter Hunt"),CHOOSE(ArtifactsInput!$N$27+1,20,24,28,32,36,40),0)/100)))))/Skills!H8,1)))/Inputs!$B$43),G439*Q439)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439*(1-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439*(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439*(1-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439*(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9">
        <f>IF(C439,(H439*N439*IF(AND(Inputs!$B$38&lt;&gt;"pvp",Inputs!$B$43&gt;0),((Skills!G8*((R439-1)*IF(Skills!H8&gt;0,Skills!I8/Skills!H8,1)+IF(Skills!H8&gt;0,MIN(Skills!I8,MAX(0,MAX(0,Inputs!$B$43-B465)-((R439-1)*(IF(Inputs!$B$38="pvp",15,MAX(0.1,Skills!D8-IF(Skills!E8=TRUE,Inputs!$B$32,0)))*(1-IF(AND(ArtifactsInput!$M$27,Inputs!$B$4="Chapter Hunt"),CHOOSE(ArtifactsInput!$N$27+1,20,24,28,32,36,40),0)/100)))))/Skills!H8,1)))/Inputs!$B$43),G439*Q439))*IF(Inputs!$B$38="pvp",1,(1+(Inputs!$B$21+Skills!Q8+(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0">
      <c r="A440">
        <f>Skills!A9</f>
        <v/>
      </c>
      <c r="B440">
        <f>Skills!B9</f>
        <v/>
      </c>
      <c r="C440">
        <f>Inputs!$B$3&gt;=125</f>
        <v/>
      </c>
      <c r="D440">
        <f>IF(Skills!C9=1,60+Inputs!$B$25+Inputs!$B$29,IF(Skills!C9=2,90+Inputs!$B$26+Inputs!$B$29,IF(Skills!C9=3,120+Inputs!$B$27+Inputs!$B$29,MAX(0,(Inputs!$B$3-100)*3)+Inputs!$B$28+Inputs!$B$29)))</f>
        <v/>
      </c>
      <c r="E440">
        <f>INDEX(FactorTable!$B$2:$Y$301, MATCH(ROUND(MIN(300,MAX(1,D440)),0), FactorTable!$A$2:$A$301,0), Skills!M9+1)</f>
        <v/>
      </c>
      <c r="F440">
        <f>IF(Skills!N9=TRUE,(Skills!L9/10)*(E440/1000),Skills!L9/10)+Skills!O9</f>
        <v/>
      </c>
      <c r="G440">
        <f>Skills!G9*IF(Skills!H9&gt;0,Skills!I9/Skills!H9,1)</f>
        <v/>
      </c>
      <c r="H440">
        <f>1-(1-Skills!J9/100)^Skills!K9</f>
        <v/>
      </c>
      <c r="I440" t="inlineStr">
        <is>
          <t>1</t>
        </is>
      </c>
      <c r="J440">
        <f>((Inputs!$B$6*(1+Inputs!$B$7/100))+(((Inputs!$B$12*(1+Inputs!$B$13/100))-(Inputs!$B$12*(1+Inputs!$B$13/100)))+0.25*(Inputs!$B$14-Inputs!$B$14))*(1+Inputs!$B$7/100))*(F440/100)</f>
        <v/>
      </c>
      <c r="K440">
        <f>J440*(1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440)</f>
        <v/>
      </c>
      <c r="L440">
        <f>K440*(MIN(Inputs!$B$22+((C453=TRUE)*(F453-Calc!F22)),((Inputs!$B$23+1)+((C455=TRUE)*(F455-Calc!F24))+(IF(ArtifactsInput!$M$15,CHOOSE(ArtifactsInput!$N$15+1,25,30,35,40,45,50)/100*(Inputs!$B$11-Inputs!$B$11),0))))/100+((Inputs!$B$23+1)+((C455=TRUE)*(F455-Calc!F24))+(IF(ArtifactsInput!$M$15,CHOOSE(ArtifactsInput!$N$15+1,25,30,35,40,45,50)/100*(Inputs!$B$11-Inputs!$B$11),0)))/100)/2</f>
        <v/>
      </c>
      <c r="M440">
        <f>L440*(1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0">
        <f>L440*(1-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440*(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0">
        <f>(1-Summary!$B$11)*T440+Summary!$B$11*V440</f>
        <v/>
      </c>
      <c r="P440">
        <f>IF(B468=0,0,O440/B468)</f>
        <v/>
      </c>
      <c r="Q440">
        <f>IFERROR(1/(IF(Inputs!$B$38="pvp",15,MAX(0.1,Skills!D9-IF(Skills!E9=TRUE,Inputs!$B$32,0)))*(1-IF(AND(ArtifactsInput!$M$27,Inputs!$B$4="Chapter Hunt"),CHOOSE(ArtifactsInput!$N$27+1,20,24,28,32,36,40),0)/100)),0)</f>
        <v/>
      </c>
      <c r="R440">
        <f>IF(AND(Inputs!$B$38&lt;&gt;"pvp",Inputs!$B$43&gt;0),IF(MAX(0,Inputs!$B$43-B465)&lt;=0,0,(INT(MAX(0,Inputs!$B$43-B465)/(IF(Inputs!$B$38="pvp",15,MAX(0.1,Skills!D9-IF(Skills!E9=TRUE,Inputs!$B$32,0)))*(1-IF(AND(ArtifactsInput!$M$27,Inputs!$B$4="Chapter Hunt"),CHOOSE(ArtifactsInput!$N$27+1,20,24,28,32,36,40),0)/100)))+1)),0)</f>
        <v/>
      </c>
      <c r="S440">
        <f>IFERROR(O440/N440,0)</f>
        <v/>
      </c>
      <c r="T440">
        <f>IF(C440,(H440*N440*IF(AND(Inputs!$B$38&lt;&gt;"pvp",Inputs!$B$43&gt;0),((Skills!G9*((R440-1)*IF(Skills!H9&gt;0,Skills!I9/Skills!H9,1)+IF(Skills!H9&gt;0,MIN(Skills!I9,MAX(0,MAX(0,Inputs!$B$43-B465)-((R440-1)*(IF(Inputs!$B$38="pvp",15,MAX(0.1,Skills!D9-IF(Skills!E9=TRUE,Inputs!$B$32,0)))*(1-IF(AND(ArtifactsInput!$M$27,Inputs!$B$4="Chapter Hunt"),CHOOSE(ArtifactsInput!$N$27+1,20,24,28,32,36,40),0)/100)))))/Skills!H9,1)))/Inputs!$B$43),G440*Q440)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440*(1-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440*(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440*(1-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440*(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0">
        <f>IF(C440,(H440*N440*IF(AND(Inputs!$B$38&lt;&gt;"pvp",Inputs!$B$43&gt;0),((Skills!G9*((R440-1)*IF(Skills!H9&gt;0,Skills!I9/Skills!H9,1)+IF(Skills!H9&gt;0,MIN(Skills!I9,MAX(0,MAX(0,Inputs!$B$43-B465)-((R440-1)*(IF(Inputs!$B$38="pvp",15,MAX(0.1,Skills!D9-IF(Skills!E9=TRUE,Inputs!$B$32,0)))*(1-IF(AND(ArtifactsInput!$M$27,Inputs!$B$4="Chapter Hunt"),CHOOSE(ArtifactsInput!$N$27+1,20,24,28,32,36,40),0)/100)))))/Skills!H9,1)))/Inputs!$B$43),G440*Q440))*IF(Inputs!$B$38="pvp",1,(1+(Inputs!$B$21+Skills!Q9+(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1">
      <c r="A441">
        <f>Skills!A10</f>
        <v/>
      </c>
      <c r="B441">
        <f>Skills!B10</f>
        <v/>
      </c>
      <c r="C441">
        <f>Inputs!$B$3&gt;=117</f>
        <v/>
      </c>
      <c r="D441">
        <f>IF(Skills!C10=1,60+Inputs!$B$25+Inputs!$B$29,IF(Skills!C10=2,90+Inputs!$B$26+Inputs!$B$29,IF(Skills!C10=3,120+Inputs!$B$27+Inputs!$B$29,MAX(0,(Inputs!$B$3-100)*3)+Inputs!$B$28+Inputs!$B$29)))</f>
        <v/>
      </c>
      <c r="E441">
        <f>INDEX(FactorTable!$B$2:$Y$301, MATCH(ROUND(MIN(300,MAX(1,D441)),0), FactorTable!$A$2:$A$301,0), Skills!M10+1)</f>
        <v/>
      </c>
      <c r="F441">
        <f>IF(Skills!N10=TRUE,(Skills!L10/10)*(E441/1000),Skills!L10/10)+Skills!O10</f>
        <v/>
      </c>
      <c r="G441">
        <f>Skills!G10*IF(Skills!H10&gt;0,Skills!I10/Skills!H10,1)</f>
        <v/>
      </c>
      <c r="H441">
        <f>1-(1-Skills!J10/100)^Skills!K10</f>
        <v/>
      </c>
      <c r="I441" t="inlineStr">
        <is>
          <t>1</t>
        </is>
      </c>
      <c r="J441">
        <f>((Inputs!$B$6*(1+Inputs!$B$7/100))+(((Inputs!$B$12*(1+Inputs!$B$13/100))-(Inputs!$B$12*(1+Inputs!$B$13/100)))+0.25*(Inputs!$B$14-Inputs!$B$14))*(1+Inputs!$B$7/100))*(F441/100)</f>
        <v/>
      </c>
      <c r="K441">
        <f>J441*(1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441)</f>
        <v/>
      </c>
      <c r="L441">
        <f>K441*(MIN(Inputs!$B$22+((C453=TRUE)*(F453-Calc!F22)),((Inputs!$B$23+1)+((C455=TRUE)*(F455-Calc!F24))+(IF(ArtifactsInput!$M$15,CHOOSE(ArtifactsInput!$N$15+1,25,30,35,40,45,50)/100*(Inputs!$B$11-Inputs!$B$11),0))))/100+((Inputs!$B$23+1)+((C455=TRUE)*(F455-Calc!F24))+(IF(ArtifactsInput!$M$15,CHOOSE(ArtifactsInput!$N$15+1,25,30,35,40,45,50)/100*(Inputs!$B$11-Inputs!$B$11),0)))/100)/2</f>
        <v/>
      </c>
      <c r="M441">
        <f>L441*(1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1">
        <f>L441*(1-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1">
        <f>(1-Summary!$B$11)*T441+Summary!$B$11*V441</f>
        <v/>
      </c>
      <c r="P441">
        <f>IF(B468=0,0,O441/B468)</f>
        <v/>
      </c>
      <c r="Q441">
        <f>IFERROR(1/(IF(Inputs!$B$38="pvp",15,MAX(0.1,Skills!D10-IF(Skills!E10=TRUE,Inputs!$B$32,0)))*(1-IF(AND(ArtifactsInput!$M$27,Inputs!$B$4="Chapter Hunt"),CHOOSE(ArtifactsInput!$N$27+1,20,24,28,32,36,40),0)/100)),0)</f>
        <v/>
      </c>
      <c r="R441">
        <f>IF(AND(Inputs!$B$38&lt;&gt;"pvp",Inputs!$B$43&gt;0),IF(MAX(0,Inputs!$B$43-B465)&lt;=0,0,(INT(MAX(0,Inputs!$B$43-B465)/(IF(Inputs!$B$38="pvp",15,MAX(0.1,Skills!D10-IF(Skills!E10=TRUE,Inputs!$B$32,0)))*(1-IF(AND(ArtifactsInput!$M$27,Inputs!$B$4="Chapter Hunt"),CHOOSE(ArtifactsInput!$N$27+1,20,24,28,32,36,40),0)/100)))+1)),0)</f>
        <v/>
      </c>
      <c r="S441">
        <f>IFERROR(O441/N441,0)</f>
        <v/>
      </c>
      <c r="T441">
        <f>IF(C441,(H441*N441*IF(AND(Inputs!$B$38&lt;&gt;"pvp",Inputs!$B$43&gt;0),((Skills!G10*((R441-1)*IF(Skills!H10&gt;0,Skills!I10/Skills!H10,1)+IF(Skills!H10&gt;0,MIN(Skills!I10,MAX(0,MAX(0,Inputs!$B$43-B465)-((R441-1)*(IF(Inputs!$B$38="pvp",15,MAX(0.1,Skills!D10-IF(Skills!E10=TRUE,Inputs!$B$32,0)))*(1-IF(AND(ArtifactsInput!$M$27,Inputs!$B$4="Chapter Hunt"),CHOOSE(ArtifactsInput!$N$27+1,20,24,28,32,36,40),0)/100)))))/Skills!H10,1)))/Inputs!$B$43),G441*Q441)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441*(1-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441*(1-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1">
        <f>IF(C441,(H441*N441*IF(AND(Inputs!$B$38&lt;&gt;"pvp",Inputs!$B$43&gt;0),((Skills!G10*((R441-1)*IF(Skills!H10&gt;0,Skills!I10/Skills!H10,1)+IF(Skills!H10&gt;0,MIN(Skills!I10,MAX(0,MAX(0,Inputs!$B$43-B465)-((R441-1)*(IF(Inputs!$B$38="pvp",15,MAX(0.1,Skills!D10-IF(Skills!E10=TRUE,Inputs!$B$32,0)))*(1-IF(AND(ArtifactsInput!$M$27,Inputs!$B$4="Chapter Hunt"),CHOOSE(ArtifactsInput!$N$27+1,20,24,28,32,36,40),0)/100)))))/Skills!H10,1)))/Inputs!$B$43),G441*Q441))*IF(Inputs!$B$38="pvp",1,(1+(Inputs!$B$21+Skills!Q10+(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2">
      <c r="A442">
        <f>Skills!A11</f>
        <v/>
      </c>
      <c r="B442">
        <f>Skills!B11</f>
        <v/>
      </c>
      <c r="C442">
        <f>Inputs!$B$3&gt;=63</f>
        <v/>
      </c>
      <c r="D442">
        <f>IF(Skills!C11=1,60+Inputs!$B$25+Inputs!$B$29,IF(Skills!C11=2,90+Inputs!$B$26+Inputs!$B$29,IF(Skills!C11=3,120+Inputs!$B$27+Inputs!$B$29,MAX(0,(Inputs!$B$3-100)*3)+Inputs!$B$28+Inputs!$B$29)))</f>
        <v/>
      </c>
      <c r="E442">
        <f>INDEX(FactorTable!$B$2:$Y$301, MATCH(ROUND(MIN(300,MAX(1,D442)),0), FactorTable!$A$2:$A$301,0), Skills!M11+1)</f>
        <v/>
      </c>
      <c r="F442">
        <f>IF(Skills!N11=TRUE,(Skills!L11/10)*(E442/1000),Skills!L11/10)+Skills!O11</f>
        <v/>
      </c>
      <c r="G442">
        <f>Skills!G11*IF(Skills!H11&gt;0,Skills!I11/Skills!H11,1)</f>
        <v/>
      </c>
      <c r="H442">
        <f>1-(1-Skills!J11/100)^Skills!K11</f>
        <v/>
      </c>
      <c r="I442" t="inlineStr">
        <is>
          <t>1</t>
        </is>
      </c>
      <c r="J442">
        <f>((Inputs!$B$6*(1+Inputs!$B$7/100))+(((Inputs!$B$12*(1+Inputs!$B$13/100))-(Inputs!$B$12*(1+Inputs!$B$13/100)))+0.25*(Inputs!$B$14-Inputs!$B$14))*(1+Inputs!$B$7/100))*(F442/100)</f>
        <v/>
      </c>
      <c r="K442">
        <f>J442*(1+((Inputs!$B$12*(1+Inputs!$B$13/100))*0.01+Inputs!$B$14*0.0025)/100)*(1+Inputs!$B$15/100)*(1+Inputs!$B$16/100)*(5000/(6000+Inputs!$B$42*(1-(Inputs!$B$19+0)/100)))*(1+(Inputs!$B$24+0+B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443=TRUE,F443,0)/100)*(1+(IF(Skills!A11="BLAST",Inputs!$B$17+((C452=TRUE)*(F452-Calc!F21))+((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MIN(100,((Inputs!$B$9+0+B458+(ArtifactsInput!$M$24-ArtifactsInput!$M$24)*CHOOSE(ArtifactsInput!$N$24+1,10,12,14,16,18,20)+IF(ArtifactsInput!$M$10,CHOOSE(ArtifactsInput!$N$10+1,15,18,21,24,27,30)*(IF(Inputs!$B$38="pvp",MIN(15,15)/15,IF(AND(Inputs!$B$38&lt;&gt;"pvp",Inputs!$B$43&gt;0),MIN(15,Inputs!$B$43)/(Inputs!$B$43),0))),0)))-100),0))*CHOOSE(ArtifactsInput!$N$42+1,0.6,0.72,0.84,0.96,1.08,1.2))),Inputs!$B$18+((C454=TRUE)*(F454-Calc!F23))+(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gt;=100),CHOOSE(ArtifactsInput!$N$42+1,40,48,56,64,72,80),0))))/100)*((1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442)</f>
        <v/>
      </c>
      <c r="L442">
        <f>K442*(MIN(Inputs!$B$22+((C453=TRUE)*(F453-Calc!F22)),((Inputs!$B$23+1)+((C455=TRUE)*(F455-Calc!F24))+(IF(ArtifactsInput!$M$15,CHOOSE(ArtifactsInput!$N$15+1,25,30,35,40,45,50)/100*(Inputs!$B$11-Inputs!$B$11),0))))/100+((Inputs!$B$23+1)+((C455=TRUE)*(F455-Calc!F24))+(IF(ArtifactsInput!$M$15,CHOOSE(ArtifactsInput!$N$15+1,25,30,35,40,45,50)/100*(Inputs!$B$11-Inputs!$B$11),0)))/100)/2</f>
        <v/>
      </c>
      <c r="M442">
        <f>L442*(1+(Inputs!$B$10+0+B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2">
        <f>L442*(1-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442*(MIN((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2">
        <f>(1-Summary!$B$11)*T442+Summary!$B$11*V442</f>
        <v/>
      </c>
      <c r="P442">
        <f>IF(B468=0,0,O442/B468)</f>
        <v/>
      </c>
      <c r="Q442">
        <f>IFERROR(1/(IF(Inputs!$B$38="pvp",15,MAX(0.1,Skills!D11-IF(Skills!E11=TRUE,Inputs!$B$32,0)))*(1-IF(AND(ArtifactsInput!$M$27,Inputs!$B$4="Chapter Hunt"),CHOOSE(ArtifactsInput!$N$27+1,20,24,28,32,36,40),0)/100)),0)</f>
        <v/>
      </c>
      <c r="R442">
        <f>IF(AND(Inputs!$B$38&lt;&gt;"pvp",Inputs!$B$43&gt;0),IF(MAX(0,Inputs!$B$43-B465)&lt;=0,0,(INT(MAX(0,Inputs!$B$43-B465)/(IF(Inputs!$B$38="pvp",15,MAX(0.1,Skills!D11-IF(Skills!E11=TRUE,Inputs!$B$32,0)))*(1-IF(AND(ArtifactsInput!$M$27,Inputs!$B$4="Chapter Hunt"),CHOOSE(ArtifactsInput!$N$27+1,20,24,28,32,36,40),0)/100)))+1)),0)</f>
        <v/>
      </c>
      <c r="S442">
        <f>IFERROR(O442/N442,0)</f>
        <v/>
      </c>
      <c r="T442">
        <f>IF(C442,(H442*N442*IF(AND(Inputs!$B$38&lt;&gt;"pvp",Inputs!$B$43&gt;0),((Skills!G11*((R442-1)*IF(Skills!H11&gt;0,Skills!I11/Skills!H11,1)+IF(Skills!H11&gt;0,MIN(Skills!I11,MAX(0,MAX(0,Inputs!$B$43-B465)-((R442-1)*(IF(Inputs!$B$38="pvp",15,MAX(0.1,Skills!D11-IF(Skills!E11=TRUE,Inputs!$B$32,0)))*(1-IF(AND(ArtifactsInput!$M$27,Inputs!$B$4="Chapter Hunt"),CHOOSE(ArtifactsInput!$N$27+1,20,24,28,32,36,40),0)/100)))))/Skills!H11,1)))/Inputs!$B$43),G442*Q442)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442*(1-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442*(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442*(1-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442*(MIN(100,(Inputs!$B$9+0+B458+(ArtifactsInput!$M$24-ArtifactsInput!$M$24)*CHOOSE(ArtifactsInput!$N$24+1,10,12,14,16,18,20)+(IF(AND(Inputs!$B$38&lt;&gt;"pvp",Inputs!$B$43=0),1,IF(IF(Inputs!$B$38="pvp",15,Inputs!$B$43)-(B465)&lt;=0,1,MAX(0,IF(Inputs!$B$38="pvp",15,Inputs!$B$43)-MAX(5,B465))/(IF(Inputs!$B$38="pvp",15,Inputs!$B$43)-(B465))))*IF(AND(ArtifactsInput!$M$42,((Inputs!$B$9+0+B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2">
        <f>IF(C442,(H442*N442*IF(AND(Inputs!$B$38&lt;&gt;"pvp",Inputs!$B$43&gt;0),((Skills!G11*((R442-1)*IF(Skills!H11&gt;0,Skills!I11/Skills!H11,1)+IF(Skills!H11&gt;0,MIN(Skills!I11,MAX(0,MAX(0,Inputs!$B$43-B465)-((R442-1)*(IF(Inputs!$B$38="pvp",15,MAX(0.1,Skills!D11-IF(Skills!E11=TRUE,Inputs!$B$32,0)))*(1-IF(AND(ArtifactsInput!$M$27,Inputs!$B$4="Chapter Hunt"),CHOOSE(ArtifactsInput!$N$27+1,20,24,28,32,36,40),0)/100)))))/Skills!H11,1)))/Inputs!$B$43),G442*Q442))*IF(Inputs!$B$38="pvp",1,(1+(Inputs!$B$21+Skills!Q11+(IF(ArtifactsInput!$M$33,CHOOSE(ArtifactsInput!$N$33+1,30,36,42,48,54,60),0))+(IF(AND(ArtifactsInput!$M$35,Inputs!$B$4&lt;&gt;"Chapter Hunt"),CHOOSE(ArtifactsInput!$N$35+1,15,18,21,24,27,30)*(1-EXP(-(0.2*B460)*5)),0)+IF(AND(ArtifactsInput!$M$22,Inputs!$B$4&lt;&gt;"Chapter Hunt"),CHOOSE(ArtifactsInput!$N$22+1,10,12,14,16,18,20)*((0*(((0.15*B460*5))^0/1)+1*(((0.15*B460*5))^1/1)+2*(((0.15*B460*5))^2/2)+3*(((0.15*B460*5))^3/6)+4*(((0.15*B460*5))^4/24)+5*(((0.15*B460*5))^5/120))/((((0.15*B460*5))^0/1)+(((0.15*B460*5))^1/1)+(((0.15*B460*5))^2/2)+(((0.15*B460*5))^3/6)+(((0.15*B460*5))^4/24)+(((0.15*B460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3">
      <c r="A443">
        <f>Skills!A12</f>
        <v/>
      </c>
      <c r="B443">
        <f>Skills!B12</f>
        <v/>
      </c>
      <c r="C443">
        <f>Inputs!$B$3&gt;=100</f>
        <v/>
      </c>
      <c r="D443">
        <f>IF(Skills!C12=1,60+Inputs!$B$25+Inputs!$B$29,IF(Skills!C12=2,90+Inputs!$B$26+Inputs!$B$29,IF(Skills!C12=3,120+Inputs!$B$27+Inputs!$B$29,MAX(0,(Inputs!$B$3-100)*3)+Inputs!$B$28+Inputs!$B$29)))</f>
        <v/>
      </c>
      <c r="E443">
        <f>INDEX(FactorTable!$B$2:$Y$301, MATCH(ROUND(MIN(300,MAX(1,D443)),0), FactorTable!$A$2:$A$301,0), Skills!M12+1)</f>
        <v/>
      </c>
      <c r="F443">
        <f>IF(Skills!N12=TRUE,(Skills!L12/10)*(E443/1000),Skills!L12/10)+Skills!O12</f>
        <v/>
      </c>
      <c r="G443" t="inlineStr"/>
      <c r="H443" t="inlineStr"/>
      <c r="I443" t="inlineStr">
        <is>
          <t>1</t>
        </is>
      </c>
      <c r="J443" t="inlineStr"/>
      <c r="K443" t="inlineStr"/>
      <c r="L443" t="inlineStr"/>
      <c r="M443" t="inlineStr"/>
      <c r="N443" t="inlineStr"/>
      <c r="O443" t="inlineStr"/>
      <c r="P443" t="inlineStr"/>
      <c r="Q443" t="inlineStr"/>
      <c r="R443" t="inlineStr"/>
      <c r="S443" t="inlineStr"/>
    </row>
    <row r="444">
      <c r="A444">
        <f>Skills!A13</f>
        <v/>
      </c>
      <c r="B444">
        <f>Skills!B13</f>
        <v/>
      </c>
      <c r="C444">
        <f>Inputs!$B$3&gt;=45</f>
        <v/>
      </c>
      <c r="D444">
        <f>IF(Skills!C13=1,60+Inputs!$B$25+Inputs!$B$29,IF(Skills!C13=2,90+Inputs!$B$26+Inputs!$B$29,IF(Skills!C13=3,120+Inputs!$B$27+Inputs!$B$29,MAX(0,(Inputs!$B$3-100)*3)+Inputs!$B$28+Inputs!$B$29)))</f>
        <v/>
      </c>
      <c r="E444">
        <f>INDEX(FactorTable!$B$2:$Y$301, MATCH(ROUND(MIN(300,MAX(1,D444)),0), FactorTable!$A$2:$A$301,0), Skills!M13+1)</f>
        <v/>
      </c>
      <c r="F444">
        <f>IF(Skills!N13=TRUE,(Skills!L13/10)*(E444/1000),Skills!L13/10)+Skills!O13</f>
        <v/>
      </c>
      <c r="G444">
        <f>Skills!G13*IF(Skills!H13&gt;0,Skills!I13/Skills!H13,1)</f>
        <v/>
      </c>
      <c r="H444">
        <f>1-(1-Skills!J13/100)^Skills!K13</f>
        <v/>
      </c>
      <c r="I444" t="inlineStr">
        <is>
          <t>1</t>
        </is>
      </c>
      <c r="J444" t="inlineStr"/>
      <c r="K444" t="inlineStr"/>
      <c r="L444" t="inlineStr"/>
      <c r="M444" t="inlineStr"/>
      <c r="N444" t="inlineStr"/>
      <c r="O444">
        <f>(1-Summary!$B$11)*T444+Summary!$B$11*V444</f>
        <v/>
      </c>
      <c r="P444">
        <f>IF(B468=0,0,O444/B468)</f>
        <v/>
      </c>
      <c r="Q444" t="n">
        <v>0</v>
      </c>
      <c r="R444" t="n">
        <v>0</v>
      </c>
      <c r="S444">
        <f>IFERROR(O444/N444,0)</f>
        <v/>
      </c>
      <c r="T444" t="n">
        <v>0</v>
      </c>
      <c r="V444" t="n">
        <v>0</v>
      </c>
    </row>
    <row r="445">
      <c r="A445">
        <f>Skills!A14</f>
        <v/>
      </c>
      <c r="B445">
        <f>Skills!B14</f>
        <v/>
      </c>
      <c r="C445">
        <f>Inputs!$B$3&gt;=110</f>
        <v/>
      </c>
      <c r="D445">
        <f>IF(Skills!C14=1,60+Inputs!$B$25+Inputs!$B$29,IF(Skills!C14=2,90+Inputs!$B$26+Inputs!$B$29,IF(Skills!C14=3,120+Inputs!$B$27+Inputs!$B$29,MAX(0,(Inputs!$B$3-100)*3)+Inputs!$B$28+Inputs!$B$29)))</f>
        <v/>
      </c>
      <c r="E445">
        <f>INDEX(FactorTable!$B$2:$Y$301, MATCH(ROUND(MIN(300,MAX(1,D445)),0), FactorTable!$A$2:$A$301,0), Skills!M14+1)</f>
        <v/>
      </c>
      <c r="F445">
        <f>IF(Skills!N14=TRUE,(Skills!L14/10)*(E445/1000),Skills!L14/10)+Skills!O14</f>
        <v/>
      </c>
      <c r="G445">
        <f>Skills!G14*IF(Skills!H14&gt;0,Skills!I14/Skills!H14,1)</f>
        <v/>
      </c>
      <c r="H445">
        <f>1-(1-Skills!J14/100)^Skills!K14</f>
        <v/>
      </c>
      <c r="I445" t="inlineStr">
        <is>
          <t>1</t>
        </is>
      </c>
      <c r="J445" t="inlineStr"/>
      <c r="K445" t="inlineStr"/>
      <c r="L445" t="inlineStr"/>
      <c r="M445" t="inlineStr"/>
      <c r="N445" t="inlineStr"/>
      <c r="O445">
        <f>(1-Summary!$B$11)*T445+Summary!$B$11*V445</f>
        <v/>
      </c>
      <c r="P445">
        <f>IF(B468=0,0,O445/B468)</f>
        <v/>
      </c>
      <c r="Q445" t="n">
        <v>0</v>
      </c>
      <c r="R445" t="n">
        <v>0</v>
      </c>
      <c r="S445">
        <f>IFERROR(O445/N445,0)</f>
        <v/>
      </c>
      <c r="T445" t="n">
        <v>0</v>
      </c>
      <c r="V445" t="n">
        <v>0</v>
      </c>
    </row>
    <row r="446">
      <c r="A446">
        <f>Skills!A15</f>
        <v/>
      </c>
      <c r="B446">
        <f>Skills!B15</f>
        <v/>
      </c>
      <c r="C446">
        <f>Inputs!$B$3&gt;=75</f>
        <v/>
      </c>
      <c r="D446">
        <f>IF(Skills!C15=1,60+Inputs!$B$25+Inputs!$B$29,IF(Skills!C15=2,90+Inputs!$B$26+Inputs!$B$29,IF(Skills!C15=3,120+Inputs!$B$27+Inputs!$B$29,MAX(0,(Inputs!$B$3-100)*3)+Inputs!$B$28+Inputs!$B$29)))</f>
        <v/>
      </c>
      <c r="E446">
        <f>INDEX(FactorTable!$B$2:$Y$301, MATCH(ROUND(MIN(300,MAX(1,D446)),0), FactorTable!$A$2:$A$301,0), Skills!M15+1)</f>
        <v/>
      </c>
      <c r="F446">
        <f>IF(Skills!N15=TRUE,(Skills!L15/10)*(E446/1000),Skills!L15/10)+Skills!O15</f>
        <v/>
      </c>
      <c r="G446">
        <f>Skills!G15*IF(Skills!H15&gt;0,Skills!I15/Skills!H15,1)</f>
        <v/>
      </c>
      <c r="H446">
        <f>1-(1-Skills!J15/100)^Skills!K15</f>
        <v/>
      </c>
      <c r="I446" t="inlineStr">
        <is>
          <t>1</t>
        </is>
      </c>
      <c r="J446" t="inlineStr"/>
      <c r="K446" t="inlineStr"/>
      <c r="L446" t="inlineStr"/>
      <c r="M446" t="inlineStr"/>
      <c r="N446" t="inlineStr"/>
      <c r="O446">
        <f>(1-Summary!$B$11)*T446+Summary!$B$11*V446</f>
        <v/>
      </c>
      <c r="P446">
        <f>IF(B468=0,0,O446/B468)</f>
        <v/>
      </c>
      <c r="Q446">
        <f>IFERROR(1/(IF(Inputs!$B$38="pvp",15,MAX(0.1,Skills!D15-IF(Skills!E15=TRUE,Inputs!$B$32,0)))*(1-IF(AND(ArtifactsInput!$M$27,Inputs!$B$4="Chapter Hunt"),CHOOSE(ArtifactsInput!$N$27+1,20,24,28,32,36,40),0)/100)),0)</f>
        <v/>
      </c>
      <c r="R446">
        <f>IF(AND(Inputs!$B$38&lt;&gt;"pvp",Inputs!$B$43&gt;0),IF(Inputs!$B$43&lt;=0,0,(INT(Inputs!$B$43/(IF(Inputs!$B$38="pvp",15,MAX(0.1,Skills!D15-IF(Skills!E15=TRUE,Inputs!$B$32,0)))*(1-IF(AND(ArtifactsInput!$M$27,Inputs!$B$4="Chapter Hunt"),CHOOSE(ArtifactsInput!$N$27+1,20,24,28,32,36,40),0)/100)))+1)),0)</f>
        <v/>
      </c>
      <c r="S446">
        <f>IFERROR(O446/N446,0)</f>
        <v/>
      </c>
      <c r="T446" t="n">
        <v>0</v>
      </c>
      <c r="V446" t="n">
        <v>0</v>
      </c>
    </row>
    <row r="447">
      <c r="A447">
        <f>Skills!A16</f>
        <v/>
      </c>
      <c r="B447">
        <f>Skills!B16</f>
        <v/>
      </c>
      <c r="C447">
        <f>Inputs!$B$3&gt;=105</f>
        <v/>
      </c>
      <c r="D447">
        <f>IF(Skills!C16=1,60+Inputs!$B$25+Inputs!$B$29,IF(Skills!C16=2,90+Inputs!$B$26+Inputs!$B$29,IF(Skills!C16=3,120+Inputs!$B$27+Inputs!$B$29,MAX(0,(Inputs!$B$3-100)*3)+Inputs!$B$28+Inputs!$B$29)))</f>
        <v/>
      </c>
      <c r="E447">
        <f>INDEX(FactorTable!$B$2:$Y$301, MATCH(ROUND(MIN(300,MAX(1,D447)),0), FactorTable!$A$2:$A$301,0), Skills!M16+1)</f>
        <v/>
      </c>
      <c r="F447">
        <f>IF(Skills!N16=TRUE,(Skills!L16/10)*(E447/1000),Skills!L16/10)+Skills!O16</f>
        <v/>
      </c>
      <c r="G447">
        <f>Skills!G16*IF(Skills!H16&gt;0,Skills!I16/Skills!H16,1)</f>
        <v/>
      </c>
      <c r="H447">
        <f>1-(1-Skills!J16/100)^Skills!K16</f>
        <v/>
      </c>
      <c r="I447" t="inlineStr">
        <is>
          <t>1</t>
        </is>
      </c>
      <c r="J447" t="inlineStr"/>
      <c r="K447" t="inlineStr"/>
      <c r="L447" t="inlineStr"/>
      <c r="M447" t="inlineStr"/>
      <c r="N447" t="inlineStr"/>
      <c r="O447">
        <f>(1-Summary!$B$11)*T447+Summary!$B$11*V447</f>
        <v/>
      </c>
      <c r="P447">
        <f>IF(B468=0,0,O447/B468)</f>
        <v/>
      </c>
      <c r="Q447">
        <f>IFERROR(1/(IF(Inputs!$B$38="pvp",15,MAX(0.1,Skills!D16-IF(Skills!E16=TRUE,Inputs!$B$32,0)))*(1-IF(AND(ArtifactsInput!$M$27,Inputs!$B$4="Chapter Hunt"),CHOOSE(ArtifactsInput!$N$27+1,20,24,28,32,36,40),0)/100)),0)</f>
        <v/>
      </c>
      <c r="R447">
        <f>IF(AND(Inputs!$B$38&lt;&gt;"pvp",Inputs!$B$43&gt;0),IF(Inputs!$B$43&lt;=0,0,(INT(Inputs!$B$43/(IF(Inputs!$B$38="pvp",15,MAX(0.1,Skills!D16-IF(Skills!E16=TRUE,Inputs!$B$32,0)))*(1-IF(AND(ArtifactsInput!$M$27,Inputs!$B$4="Chapter Hunt"),CHOOSE(ArtifactsInput!$N$27+1,20,24,28,32,36,40),0)/100)))+1)),0)</f>
        <v/>
      </c>
      <c r="S447">
        <f>IFERROR(O447/N447,0)</f>
        <v/>
      </c>
      <c r="T447" t="n">
        <v>0</v>
      </c>
      <c r="V447" t="n">
        <v>0</v>
      </c>
    </row>
    <row r="448">
      <c r="A448">
        <f>Skills!A17</f>
        <v/>
      </c>
      <c r="B448">
        <f>Skills!B17</f>
        <v/>
      </c>
      <c r="C448">
        <f>Inputs!$B$3&gt;=115</f>
        <v/>
      </c>
      <c r="D448">
        <f>IF(Skills!C17=1,60+Inputs!$B$25+Inputs!$B$29,IF(Skills!C17=2,90+Inputs!$B$26+Inputs!$B$29,IF(Skills!C17=3,120+Inputs!$B$27+Inputs!$B$29,MAX(0,(Inputs!$B$3-100)*3)+Inputs!$B$28+Inputs!$B$29)))</f>
        <v/>
      </c>
      <c r="E448">
        <f>INDEX(FactorTable!$B$2:$Y$301, MATCH(ROUND(MIN(300,MAX(1,D448)),0), FactorTable!$A$2:$A$301,0), Skills!M17+1)</f>
        <v/>
      </c>
      <c r="F448">
        <f>IF(Skills!N17=TRUE,(Skills!L17/10)*(E448/1000),Skills!L17/10)+Skills!O17</f>
        <v/>
      </c>
      <c r="G448">
        <f>Skills!G17*IF(Skills!H17&gt;0,Skills!I17/Skills!H17,1)</f>
        <v/>
      </c>
      <c r="H448">
        <f>1-(1-Skills!J17/100)^Skills!K17</f>
        <v/>
      </c>
      <c r="I448" t="inlineStr">
        <is>
          <t>1</t>
        </is>
      </c>
      <c r="J448" t="inlineStr"/>
      <c r="K448" t="inlineStr"/>
      <c r="L448" t="inlineStr"/>
      <c r="M448" t="inlineStr"/>
      <c r="N448" t="inlineStr"/>
      <c r="O448">
        <f>(1-Summary!$B$11)*T448+Summary!$B$11*V448</f>
        <v/>
      </c>
      <c r="P448">
        <f>IF(B468=0,0,O448/B468)</f>
        <v/>
      </c>
      <c r="Q448">
        <f>IFERROR(1/(IF(Inputs!$B$38="pvp",15,MAX(0.1,Skills!D17-IF(Skills!E17=TRUE,Inputs!$B$32,0)))*(1-IF(AND(ArtifactsInput!$M$27,Inputs!$B$4="Chapter Hunt"),CHOOSE(ArtifactsInput!$N$27+1,20,24,28,32,36,40),0)/100)),0)</f>
        <v/>
      </c>
      <c r="R448">
        <f>IF(AND(Inputs!$B$38&lt;&gt;"pvp",Inputs!$B$43&gt;0),IF(Inputs!$B$43&lt;=0,0,(INT(Inputs!$B$43/(IF(Inputs!$B$38="pvp",15,MAX(0.1,Skills!D17-IF(Skills!E17=TRUE,Inputs!$B$32,0)))*(1-IF(AND(ArtifactsInput!$M$27,Inputs!$B$4="Chapter Hunt"),CHOOSE(ArtifactsInput!$N$27+1,20,24,28,32,36,40),0)/100)))+1)),0)</f>
        <v/>
      </c>
      <c r="S448">
        <f>IFERROR(O448/N448,0)</f>
        <v/>
      </c>
      <c r="T448" t="n">
        <v>0</v>
      </c>
      <c r="V448" t="n">
        <v>0</v>
      </c>
    </row>
    <row r="449">
      <c r="A449">
        <f>Skills!A18</f>
        <v/>
      </c>
      <c r="B449">
        <f>Skills!B18</f>
        <v/>
      </c>
      <c r="C449">
        <f>Inputs!$B$3&gt;=74</f>
        <v/>
      </c>
      <c r="D449">
        <f>IF(Skills!C18=1,60+Inputs!$B$25+Inputs!$B$29,IF(Skills!C18=2,90+Inputs!$B$26+Inputs!$B$29,IF(Skills!C18=3,120+Inputs!$B$27+Inputs!$B$29,MAX(0,(Inputs!$B$3-100)*3)+Inputs!$B$28+Inputs!$B$29)))</f>
        <v/>
      </c>
      <c r="E449">
        <f>INDEX(FactorTable!$B$2:$Y$301, MATCH(ROUND(MIN(300,MAX(1,D449)),0), FactorTable!$A$2:$A$301,0), Skills!M18+1)</f>
        <v/>
      </c>
      <c r="F449">
        <f>IF(Skills!N18=TRUE,(Skills!L18/10)*(E449/1000),Skills!L18/10)+Skills!O18</f>
        <v/>
      </c>
      <c r="G449">
        <f>Skills!G18*IF(Skills!H18&gt;0,Skills!I18/Skills!H18,1)</f>
        <v/>
      </c>
      <c r="H449">
        <f>1-(1-Skills!J18/100)^Skills!K18</f>
        <v/>
      </c>
      <c r="I449" t="inlineStr">
        <is>
          <t>1</t>
        </is>
      </c>
      <c r="J449" t="inlineStr"/>
      <c r="K449" t="inlineStr"/>
      <c r="L449" t="inlineStr"/>
      <c r="M449" t="inlineStr"/>
      <c r="N449" t="inlineStr"/>
      <c r="O449">
        <f>(1-Summary!$B$11)*T449+Summary!$B$11*V449</f>
        <v/>
      </c>
      <c r="P449">
        <f>IF(B468=0,0,O449/B468)</f>
        <v/>
      </c>
      <c r="Q449">
        <f>IFERROR(1/(IF(Inputs!$B$38="pvp",15,MAX(0.1,Skills!D18-IF(Skills!E18=TRUE,Inputs!$B$32,0)))*(1-IF(AND(ArtifactsInput!$M$27,Inputs!$B$4="Chapter Hunt"),CHOOSE(ArtifactsInput!$N$27+1,20,24,28,32,36,40),0)/100)),0)</f>
        <v/>
      </c>
      <c r="R449">
        <f>IF(AND(Inputs!$B$38&lt;&gt;"pvp",Inputs!$B$43&gt;0),IF(Inputs!$B$43&lt;=0,0,(INT(Inputs!$B$43/(IF(Inputs!$B$38="pvp",15,MAX(0.1,Skills!D18-IF(Skills!E18=TRUE,Inputs!$B$32,0)))*(1-IF(AND(ArtifactsInput!$M$27,Inputs!$B$4="Chapter Hunt"),CHOOSE(ArtifactsInput!$N$27+1,20,24,28,32,36,40),0)/100)))+1)),0)</f>
        <v/>
      </c>
      <c r="S449">
        <f>IFERROR(O449/N449,0)</f>
        <v/>
      </c>
      <c r="T449" t="n">
        <v>0</v>
      </c>
      <c r="V449" t="n">
        <v>0</v>
      </c>
    </row>
    <row r="450">
      <c r="A450">
        <f>Skills!A19</f>
        <v/>
      </c>
      <c r="B450">
        <f>Skills!B19</f>
        <v/>
      </c>
      <c r="C450">
        <f>TRUE</f>
        <v/>
      </c>
      <c r="D450">
        <f>IF(Skills!C19=1,60+Inputs!$B$25+Inputs!$B$29,IF(Skills!C19=2,90+Inputs!$B$26+Inputs!$B$29,IF(Skills!C19=3,120+Inputs!$B$27+Inputs!$B$29,MAX(0,(Inputs!$B$3-100)*3)+Inputs!$B$28+Inputs!$B$29)))</f>
        <v/>
      </c>
      <c r="E450">
        <f>INDEX(FactorTable!$B$2:$Y$301, MATCH(ROUND(MIN(300,MAX(1,D450)),0), FactorTable!$A$2:$A$301,0), Skills!M19+1)</f>
        <v/>
      </c>
      <c r="F450">
        <f>IF(Skills!N19=TRUE,(Skills!L19/10)*(E450/1000),Skills!L19/10)+Skills!O19</f>
        <v/>
      </c>
      <c r="G450">
        <f>Skills!G19*IF(Skills!H19&gt;0,Skills!I19/Skills!H19,1)</f>
        <v/>
      </c>
      <c r="H450">
        <f>1-(1-Skills!J19/100)^Skills!K19</f>
        <v/>
      </c>
      <c r="I450" t="inlineStr">
        <is>
          <t>1</t>
        </is>
      </c>
      <c r="J450" t="inlineStr"/>
      <c r="K450" t="inlineStr"/>
      <c r="L450" t="inlineStr"/>
      <c r="M450" t="inlineStr"/>
      <c r="N450" t="inlineStr"/>
      <c r="O450">
        <f>(1-Summary!$B$11)*T450+Summary!$B$11*V450</f>
        <v/>
      </c>
      <c r="P450">
        <f>IF(B468=0,0,O450/B468)</f>
        <v/>
      </c>
      <c r="Q450">
        <f>IFERROR(1/(IF(Inputs!$B$38="pvp",15,MAX(0.1,Skills!D19-IF(Skills!E19=TRUE,Inputs!$B$32,0)))*(1-IF(AND(ArtifactsInput!$M$27,Inputs!$B$4="Chapter Hunt"),CHOOSE(ArtifactsInput!$N$27+1,20,24,28,32,36,40),0)/100)),0)</f>
        <v/>
      </c>
      <c r="R450">
        <f>IF(AND(Inputs!$B$38&lt;&gt;"pvp",Inputs!$B$43&gt;0),IF(Inputs!$B$43&lt;=0,0,(INT(Inputs!$B$43/(IF(Inputs!$B$38="pvp",15,MAX(0.1,Skills!D19-IF(Skills!E19=TRUE,Inputs!$B$32,0)))*(1-IF(AND(ArtifactsInput!$M$27,Inputs!$B$4="Chapter Hunt"),CHOOSE(ArtifactsInput!$N$27+1,20,24,28,32,36,40),0)/100)))+1)),0)</f>
        <v/>
      </c>
      <c r="S450">
        <f>IFERROR(O450/N450,0)</f>
        <v/>
      </c>
      <c r="T450" t="n">
        <v>0</v>
      </c>
      <c r="V450" t="n">
        <v>0</v>
      </c>
    </row>
    <row r="451">
      <c r="A451">
        <f>Skills!A20</f>
        <v/>
      </c>
      <c r="B451">
        <f>Skills!B20</f>
        <v/>
      </c>
      <c r="C451">
        <f>Inputs!$B$3&gt;=33</f>
        <v/>
      </c>
      <c r="D451">
        <f>IF(Skills!C20=1,60+Inputs!$B$25+Inputs!$B$29,IF(Skills!C20=2,90+Inputs!$B$26+Inputs!$B$29,IF(Skills!C20=3,120+Inputs!$B$27+Inputs!$B$29,MAX(0,(Inputs!$B$3-100)*3)+Inputs!$B$28+Inputs!$B$29)))</f>
        <v/>
      </c>
      <c r="E451">
        <f>INDEX(FactorTable!$B$2:$Y$301, MATCH(ROUND(MIN(300,MAX(1,D451)),0), FactorTable!$A$2:$A$301,0), Skills!M20+1)</f>
        <v/>
      </c>
      <c r="F451">
        <f>IF(Skills!N20=TRUE,(Skills!L20/10)*(E451/1000),Skills!L20/10)+Skills!O20</f>
        <v/>
      </c>
      <c r="G451">
        <f>Skills!G20*IF(Skills!H20&gt;0,Skills!I20/Skills!H20,1)</f>
        <v/>
      </c>
      <c r="H451">
        <f>1-(1-Skills!J20/100)^Skills!K20</f>
        <v/>
      </c>
      <c r="I451" t="inlineStr">
        <is>
          <t>1</t>
        </is>
      </c>
      <c r="J451" t="inlineStr"/>
      <c r="K451" t="inlineStr"/>
      <c r="L451" t="inlineStr"/>
      <c r="M451" t="inlineStr"/>
      <c r="N451" t="inlineStr"/>
      <c r="O451">
        <f>(1-Summary!$B$11)*T451+Summary!$B$11*V451</f>
        <v/>
      </c>
      <c r="P451">
        <f>IF(B468=0,0,O451/B468)</f>
        <v/>
      </c>
      <c r="Q451" t="n">
        <v>0</v>
      </c>
      <c r="R451" t="n">
        <v>0</v>
      </c>
      <c r="S451">
        <f>IFERROR(O451/N451,0)</f>
        <v/>
      </c>
      <c r="T451" t="n">
        <v>0</v>
      </c>
      <c r="V451" t="n">
        <v>0</v>
      </c>
    </row>
    <row r="452">
      <c r="A452">
        <f>Skills!A21</f>
        <v/>
      </c>
      <c r="B452">
        <f>Skills!B21</f>
        <v/>
      </c>
      <c r="C452">
        <f>Inputs!$B$3&gt;=38</f>
        <v/>
      </c>
      <c r="D452">
        <f>IF(Skills!C21=1,60+Inputs!$B$25+Inputs!$B$29,IF(Skills!C21=2,90+Inputs!$B$26+Inputs!$B$29,IF(Skills!C21=3,120+Inputs!$B$27+Inputs!$B$29,MAX(0,(Inputs!$B$3-100)*3)+Inputs!$B$28+Inputs!$B$29)))</f>
        <v/>
      </c>
      <c r="E452">
        <f>INDEX(FactorTable!$B$2:$Y$301, MATCH(ROUND(MIN(300,MAX(1,D452)),0), FactorTable!$A$2:$A$301,0), Skills!M21+1)</f>
        <v/>
      </c>
      <c r="F452">
        <f>IF(Skills!N21=TRUE,(Skills!L21/10)*(E452/1000),Skills!L21/10)+Skills!O21</f>
        <v/>
      </c>
      <c r="G452">
        <f>Skills!G21*IF(Skills!H21&gt;0,Skills!I21/Skills!H21,1)</f>
        <v/>
      </c>
      <c r="H452">
        <f>1-(1-Skills!J21/100)^Skills!K21</f>
        <v/>
      </c>
      <c r="I452" t="inlineStr">
        <is>
          <t>1</t>
        </is>
      </c>
      <c r="J452" t="inlineStr"/>
      <c r="K452" t="inlineStr"/>
      <c r="L452" t="inlineStr"/>
      <c r="M452" t="inlineStr"/>
      <c r="N452" t="inlineStr"/>
      <c r="O452">
        <f>(1-Summary!$B$11)*T452+Summary!$B$11*V452</f>
        <v/>
      </c>
      <c r="P452">
        <f>IF(B468=0,0,O452/B468)</f>
        <v/>
      </c>
      <c r="Q452" t="n">
        <v>0</v>
      </c>
      <c r="R452" t="n">
        <v>0</v>
      </c>
      <c r="S452">
        <f>IFERROR(O452/N452,0)</f>
        <v/>
      </c>
      <c r="T452" t="n">
        <v>0</v>
      </c>
      <c r="V452" t="n">
        <v>0</v>
      </c>
    </row>
    <row r="453">
      <c r="A453">
        <f>Skills!A22</f>
        <v/>
      </c>
      <c r="B453">
        <f>Skills!B22</f>
        <v/>
      </c>
      <c r="C453">
        <f>Inputs!$B$3&gt;=43</f>
        <v/>
      </c>
      <c r="D453">
        <f>IF(Skills!C22=1,60+Inputs!$B$25+Inputs!$B$29,IF(Skills!C22=2,90+Inputs!$B$26+Inputs!$B$29,IF(Skills!C22=3,120+Inputs!$B$27+Inputs!$B$29,MAX(0,(Inputs!$B$3-100)*3)+Inputs!$B$28+Inputs!$B$29)))</f>
        <v/>
      </c>
      <c r="E453">
        <f>INDEX(FactorTable!$B$2:$Y$301, MATCH(ROUND(MIN(300,MAX(1,D453)),0), FactorTable!$A$2:$A$301,0), Skills!M22+1)</f>
        <v/>
      </c>
      <c r="F453">
        <f>IF(Skills!N22=TRUE,(Skills!L22/10)*(E453/1000),Skills!L22/10)+Skills!O22</f>
        <v/>
      </c>
      <c r="G453">
        <f>Skills!G22*IF(Skills!H22&gt;0,Skills!I22/Skills!H22,1)</f>
        <v/>
      </c>
      <c r="H453">
        <f>1-(1-Skills!J22/100)^Skills!K22</f>
        <v/>
      </c>
      <c r="I453" t="inlineStr">
        <is>
          <t>1</t>
        </is>
      </c>
      <c r="J453" t="inlineStr"/>
      <c r="K453" t="inlineStr"/>
      <c r="L453" t="inlineStr"/>
      <c r="M453" t="inlineStr"/>
      <c r="N453" t="inlineStr"/>
      <c r="O453">
        <f>(1-Summary!$B$11)*T453+Summary!$B$11*V453</f>
        <v/>
      </c>
      <c r="P453">
        <f>IF(B468=0,0,O453/B468)</f>
        <v/>
      </c>
      <c r="Q453" t="n">
        <v>0</v>
      </c>
      <c r="R453" t="n">
        <v>0</v>
      </c>
      <c r="S453">
        <f>IFERROR(O453/N453,0)</f>
        <v/>
      </c>
      <c r="T453" t="n">
        <v>0</v>
      </c>
      <c r="V453" t="n">
        <v>0</v>
      </c>
    </row>
    <row r="454">
      <c r="A454">
        <f>Skills!A23</f>
        <v/>
      </c>
      <c r="B454">
        <f>Skills!B23</f>
        <v/>
      </c>
      <c r="C454">
        <f>Inputs!$B$3&gt;=120</f>
        <v/>
      </c>
      <c r="D454">
        <f>IF(Skills!C23=1,60+Inputs!$B$25+Inputs!$B$29,IF(Skills!C23=2,90+Inputs!$B$26+Inputs!$B$29,IF(Skills!C23=3,120+Inputs!$B$27+Inputs!$B$29,MAX(0,(Inputs!$B$3-100)*3)+Inputs!$B$28+Inputs!$B$29)))</f>
        <v/>
      </c>
      <c r="E454">
        <f>INDEX(FactorTable!$B$2:$Y$301, MATCH(ROUND(MIN(300,MAX(1,D454)),0), FactorTable!$A$2:$A$301,0), Skills!M23+1)</f>
        <v/>
      </c>
      <c r="F454">
        <f>IF(Skills!N23=TRUE,(Skills!L23/10)*(E454/1000),Skills!L23/10)+Skills!O23</f>
        <v/>
      </c>
      <c r="G454">
        <f>Skills!G23*IF(Skills!H23&gt;0,Skills!I23/Skills!H23,1)</f>
        <v/>
      </c>
      <c r="H454">
        <f>1-(1-Skills!J23/100)^Skills!K23</f>
        <v/>
      </c>
      <c r="I454" t="inlineStr">
        <is>
          <t>1</t>
        </is>
      </c>
      <c r="J454" t="inlineStr"/>
      <c r="K454" t="inlineStr"/>
      <c r="L454" t="inlineStr"/>
      <c r="M454" t="inlineStr"/>
      <c r="N454" t="inlineStr"/>
      <c r="O454">
        <f>(1-Summary!$B$11)*T454+Summary!$B$11*V454</f>
        <v/>
      </c>
      <c r="P454">
        <f>IF(B468=0,0,O454/B468)</f>
        <v/>
      </c>
      <c r="Q454" t="n">
        <v>0</v>
      </c>
      <c r="R454" t="n">
        <v>0</v>
      </c>
      <c r="S454">
        <f>IFERROR(O454/N454,0)</f>
        <v/>
      </c>
      <c r="T454" t="n">
        <v>0</v>
      </c>
      <c r="V454" t="n">
        <v>0</v>
      </c>
    </row>
    <row r="455">
      <c r="A455">
        <f>Skills!A24</f>
        <v/>
      </c>
      <c r="B455">
        <f>Skills!B24</f>
        <v/>
      </c>
      <c r="C455">
        <f>Inputs!$B$3&gt;=120</f>
        <v/>
      </c>
      <c r="D455">
        <f>IF(Skills!C24=1,60+Inputs!$B$25+Inputs!$B$29,IF(Skills!C24=2,90+Inputs!$B$26+Inputs!$B$29,IF(Skills!C24=3,120+Inputs!$B$27+Inputs!$B$29,MAX(0,(Inputs!$B$3-100)*3)+Inputs!$B$28+Inputs!$B$29)))</f>
        <v/>
      </c>
      <c r="E455">
        <f>INDEX(FactorTable!$B$2:$Y$301, MATCH(ROUND(MIN(300,MAX(1,D455)),0), FactorTable!$A$2:$A$301,0), Skills!M24+1)</f>
        <v/>
      </c>
      <c r="F455">
        <f>IF(Skills!N24=TRUE,(Skills!L24/10)*(E455/1000),Skills!L24/10)+Skills!O24</f>
        <v/>
      </c>
      <c r="G455">
        <f>Skills!G24*IF(Skills!H24&gt;0,Skills!I24/Skills!H24,1)</f>
        <v/>
      </c>
      <c r="H455">
        <f>1-(1-Skills!J24/100)^Skills!K24</f>
        <v/>
      </c>
      <c r="I455" t="inlineStr">
        <is>
          <t>1</t>
        </is>
      </c>
      <c r="J455" t="inlineStr"/>
      <c r="K455" t="inlineStr"/>
      <c r="L455" t="inlineStr"/>
      <c r="M455" t="inlineStr"/>
      <c r="N455" t="inlineStr"/>
      <c r="O455">
        <f>(1-Summary!$B$11)*T455+Summary!$B$11*V455</f>
        <v/>
      </c>
      <c r="P455">
        <f>IF(B468=0,0,O455/B468)</f>
        <v/>
      </c>
      <c r="Q455" t="n">
        <v>0</v>
      </c>
      <c r="R455" t="n">
        <v>0</v>
      </c>
      <c r="S455">
        <f>IFERROR(O455/N455,0)</f>
        <v/>
      </c>
      <c r="T455" t="n">
        <v>0</v>
      </c>
      <c r="V455" t="n">
        <v>0</v>
      </c>
    </row>
    <row r="457">
      <c r="A457" t="inlineStr">
        <is>
          <t>Attack% Bucket Multiplier</t>
        </is>
      </c>
      <c r="B457">
        <f>(1+(((C444=TRUE)*F444*MIN(1,Skills!T13*(Skills!J13/100)*B462))+((C449=TRUE)*F449*IF(AND(Inputs!$B$38&lt;&gt;"pvp",Inputs!$B$43&gt;0),(((R449-1)*(Skills!T18*(1+Inputs!$B$34/100))+MIN((Skills!T18*(1+Inputs!$B$34/100)),MAX(0,Inputs!$B$43-((R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58">
      <c r="A458" t="inlineStr">
        <is>
          <t>Global Crit Rate Bonus %</t>
        </is>
      </c>
      <c r="B458" t="n">
        <v>0</v>
      </c>
    </row>
    <row r="459">
      <c r="A459" t="inlineStr">
        <is>
          <t>Attack Speed Buff Bonus %</t>
        </is>
      </c>
      <c r="B459">
        <f>((C450=TRUE)*F450*IF(AND(Inputs!$B$38&lt;&gt;"pvp",Inputs!$B$43&gt;0),(((R450-1)*(Skills!T19*(1+Inputs!$B$34/100))+MIN((Skills!T19*(1+Inputs!$B$34/100)),MAX(0,Inputs!$B$43-((R450-1)*Skills!D19))))/Inputs!$B$43),IF(Inputs!$B$38="pvp",MIN((Skills!T19*(1+Inputs!$B$34/100)),15)/15,(Skills!T19*(1+Inputs!$B$34/100))/Skills!D19)))</f>
        <v/>
      </c>
    </row>
    <row r="460">
      <c r="A460" t="inlineStr">
        <is>
          <t>Actions Per Second</t>
        </is>
      </c>
      <c r="B460">
        <f>1+MIN(150,150*(1-(1-(Inputs!$B$11+((C451=TRUE)*(F451-Calc!F20)))/150)*(1-B459/150)))/100</f>
        <v/>
      </c>
    </row>
    <row r="461">
      <c r="A461" t="inlineStr">
        <is>
          <t>Skill + Buff Cast Rate</t>
        </is>
      </c>
      <c r="B461">
        <f>IF(AND(Inputs!$B$38&lt;&gt;"pvp",Inputs!$B$43&gt;0),SUMPRODUCT((Skills!E2:E24=TRUE)*(C433:C455=TRUE)*R433:R455*Skills!F2:F24)/Inputs!$B$43,SUMPRODUCT((Skills!E2:E24=TRUE)*(C433:C455=TRUE)*Q433:Q455*Skills!F2:F24))</f>
        <v/>
      </c>
    </row>
    <row r="462">
      <c r="A462" t="inlineStr">
        <is>
          <t>Blast Casts Per Second</t>
        </is>
      </c>
      <c r="B462">
        <f>MAX(0,B460-B461)</f>
        <v/>
      </c>
    </row>
    <row r="463">
      <c r="A463" t="inlineStr">
        <is>
          <t>Global Critical Damage Bonus % (unused)</t>
        </is>
      </c>
      <c r="B463" t="n">
        <v>0</v>
      </c>
    </row>
    <row r="464">
      <c r="A464" t="inlineStr">
        <is>
          <t>Global Final Damage Bonus % (Divine Shield + Guardian + Divine Blessing + Greater Vessel of Light)</t>
        </is>
      </c>
      <c r="B464">
        <f>((C446=TRUE)*F446*IF(AND(Inputs!$B$38&lt;&gt;"pvp",Inputs!$B$43&gt;0),(((R446-1)*(Skills!T15*(1+Inputs!$B$34/100))+MIN((Skills!T15*(1+Inputs!$B$34/100)),MAX(0,Inputs!$B$43-((R446-1)*Skills!D15))))/Inputs!$B$43),IF(Inputs!$B$38="pvp",MIN((Skills!T15*(1+Inputs!$B$34/100)),15)/15,(Skills!T15*(1+Inputs!$B$34/100))/Skills!D15)))+((C447=TRUE)*F447*IF(AND(Inputs!$B$38&lt;&gt;"pvp",Inputs!$B$43&gt;0),(((R447-1)*(Skills!T16*(1+Inputs!$B$34/100))+MIN((Skills!T16*(1+Inputs!$B$34/100)),MAX(0,Inputs!$B$43-((R447-1)*Skills!D16))))/Inputs!$B$43),IF(Inputs!$B$38="pvp",MIN((Skills!T16*(1+Inputs!$B$34/100)),15)/15,(Skills!T16*(1+Inputs!$B$34/100))/Skills!D16)))+((C448=TRUE)*F448*IF(AND(Inputs!$B$38&lt;&gt;"pvp",Inputs!$B$43&gt;0),(((R448-1)*(Skills!T17*(1+Inputs!$B$34/100))+MIN((Skills!T17*(1+Inputs!$B$34/100)),MAX(0,Inputs!$B$43-((R448-1)*Skills!D17))))/Inputs!$B$43),IF(Inputs!$B$38="pvp",MIN((Skills!T17*(1+Inputs!$B$34/100)),15)/15,(Skills!T17*(1+Inputs!$B$34/100))/Skills!D17)))+((C445=TRUE)*F445*MIN(1,Skills!T13*(Skills!J13/100)*B462))</f>
        <v/>
      </c>
    </row>
    <row r="465">
      <c r="A465" t="inlineStr">
        <is>
          <t>Buff-Casting Startup Delay (s, fixed-duration only)</t>
        </is>
      </c>
      <c r="B465">
        <f>IF(AND(Inputs!$B$38&lt;&gt;"pvp",Inputs!$B$43&gt;0),SUMPRODUCT((Skills!T2:T24&gt;0)*(Skills!E2:E24=TRUE)*(C433:C455=TRUE))/B460,0)</f>
        <v/>
      </c>
    </row>
    <row r="466">
      <c r="A466" t="inlineStr">
        <is>
          <t>Boss-Only Total DPS (this block's swept value)</t>
        </is>
      </c>
      <c r="B466">
        <f>SUM(T433:T455)</f>
        <v/>
      </c>
    </row>
    <row r="467">
      <c r="A467" t="inlineStr">
        <is>
          <t>Normal-Only Total DPS (this block's swept value)</t>
        </is>
      </c>
      <c r="B467">
        <f>SUM(V433:V455)</f>
        <v/>
      </c>
    </row>
    <row r="468">
      <c r="A468" s="6" t="inlineStr">
        <is>
          <t>TOTAL DPS</t>
        </is>
      </c>
      <c r="B468" s="6">
        <f>SUM(O433:O455)</f>
        <v/>
      </c>
    </row>
    <row r="471">
      <c r="A471" s="6" t="inlineStr">
        <is>
          <t>Stat: CRIT_RATE %</t>
        </is>
      </c>
    </row>
    <row r="472">
      <c r="A472" s="5" t="inlineStr">
        <is>
          <t>Key</t>
        </is>
      </c>
      <c r="B472" s="5" t="inlineStr">
        <is>
          <t>Name</t>
        </is>
      </c>
      <c r="C472" s="5" t="inlineStr">
        <is>
          <t>Unlocked</t>
        </is>
      </c>
      <c r="D472" s="5" t="inlineStr">
        <is>
          <t>InputLevel</t>
        </is>
      </c>
      <c r="E472" s="5" t="inlineStr">
        <is>
          <t>Factor</t>
        </is>
      </c>
      <c r="F472" s="5" t="inlineStr">
        <is>
          <t>CoefficientPercent</t>
        </is>
      </c>
      <c r="G472" s="5" t="inlineStr">
        <is>
          <t>EffectiveHits</t>
        </is>
      </c>
      <c r="H472" s="5" t="inlineStr">
        <is>
          <t>ProcProbability</t>
        </is>
      </c>
      <c r="I472" s="5" t="inlineStr">
        <is>
          <t>MapleHeroMultiplier</t>
        </is>
      </c>
      <c r="J472" s="5" t="inlineStr">
        <is>
          <t>BaseDamage</t>
        </is>
      </c>
      <c r="K472" s="5" t="inlineStr">
        <is>
          <t>BaseHitDamage</t>
        </is>
      </c>
      <c r="L472" s="5" t="inlineStr">
        <is>
          <t>NonCritAvg</t>
        </is>
      </c>
      <c r="M472" s="5" t="inlineStr">
        <is>
          <t>CritAvg</t>
        </is>
      </c>
      <c r="N472" s="5" t="inlineStr">
        <is>
          <t>ExpectedDamage(perHit)</t>
        </is>
      </c>
      <c r="O472" s="5" t="inlineStr">
        <is>
          <t>DPS</t>
        </is>
      </c>
      <c r="P472" s="5" t="inlineStr">
        <is>
          <t>% of Total</t>
        </is>
      </c>
      <c r="Q472" s="5" t="inlineStr">
        <is>
          <t>InvCooldown</t>
        </is>
      </c>
      <c r="R472" s="5" t="inlineStr">
        <is>
          <t>CastsInFight</t>
        </is>
      </c>
      <c r="S472" s="5" t="inlineStr">
        <is>
          <t>HitRate(perSec)</t>
        </is>
      </c>
      <c r="U472" t="inlineStr">
        <is>
          <t>helpers</t>
        </is>
      </c>
    </row>
    <row r="473">
      <c r="A473">
        <f>Skills!A2</f>
        <v/>
      </c>
      <c r="B473">
        <f>Skills!B2</f>
        <v/>
      </c>
      <c r="C473">
        <f>Inputs!$B$3&gt;=100</f>
        <v/>
      </c>
      <c r="D473" t="inlineStr"/>
      <c r="E473" t="inlineStr"/>
      <c r="F473">
        <f>U475+Skills!O2</f>
        <v/>
      </c>
      <c r="G473">
        <f>Skills!G2*IF(Skills!H2&gt;0,Skills!I2/Skills!H2,1)</f>
        <v/>
      </c>
      <c r="H473">
        <f>1-(1-Skills!J2/100)^Skills!K2</f>
        <v/>
      </c>
      <c r="I473" t="inlineStr">
        <is>
          <t>1</t>
        </is>
      </c>
      <c r="J473">
        <f>((Inputs!$B$6*(1+Inputs!$B$7/100))+(((Inputs!$B$12*(1+Inputs!$B$13/100))-(Inputs!$B$12*(1+Inputs!$B$13/100)))+0.25*(Inputs!$B$14-Inputs!$B$14))*(1+Inputs!$B$7/100))*(F473/100)</f>
        <v/>
      </c>
      <c r="K473">
        <f>J473*(1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473)</f>
        <v/>
      </c>
      <c r="L473">
        <f>K473*(MIN(Inputs!$B$22+((C493=TRUE)*(F493-Calc!F22)),(Inputs!$B$23+((C495=TRUE)*(F495-Calc!F24))+(IF(ArtifactsInput!$M$15,CHOOSE(ArtifactsInput!$N$15+1,25,30,35,40,45,50)/100*(Inputs!$B$11-Inputs!$B$11),0))))/100+(Inputs!$B$23+((C495=TRUE)*(F495-Calc!F24))+(IF(ArtifactsInput!$M$15,CHOOSE(ArtifactsInput!$N$15+1,25,30,35,40,45,50)/100*(Inputs!$B$11-Inputs!$B$11),0)))/100)/2</f>
        <v/>
      </c>
      <c r="M473">
        <f>L473*(1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3">
        <f>L473*(1-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473*(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3">
        <f>(1-Summary!$B$11)*T473+Summary!$B$11*V473</f>
        <v/>
      </c>
      <c r="P473">
        <f>IF(B508=0,0,O473/B508)</f>
        <v/>
      </c>
      <c r="Q473" t="n">
        <v>0</v>
      </c>
      <c r="R473" t="n">
        <v>0</v>
      </c>
      <c r="S473">
        <f>IFERROR(O473/N473,0)</f>
        <v/>
      </c>
      <c r="T473">
        <f>IF(C473,(Skills!G2*N473*B502)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473*(1-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473*(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473*(1-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473*(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3">
        <f>MAX(0,(Inputs!$B$3-100)*3)+Inputs!$B$28+Inputs!$B$29</f>
        <v/>
      </c>
      <c r="V473">
        <f>IF(C473,(Skills!G2*N473*B502)*IF(Inputs!$B$38="pvp",1,(1+(Inputs!$B$21+Skills!Q2+(IF(ArtifactsInput!$M$33,CHOOSE(ArtifactsInput!$N$33+1,30,36,42,48,54,60),0))+(IF(AND(ArtifactsInput!$M$35,Inputs!$B$4&lt;&gt;"Chapter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4">
      <c r="A474">
        <f>Skills!A3</f>
        <v/>
      </c>
      <c r="B474">
        <f>Skills!B3</f>
        <v/>
      </c>
      <c r="C474">
        <f>Inputs!$B$3&gt;=50</f>
        <v/>
      </c>
      <c r="D474">
        <f>IF(Skills!C3=1,60+Inputs!$B$25+Inputs!$B$29,IF(Skills!C3=2,90+Inputs!$B$26+Inputs!$B$29,IF(Skills!C3=3,120+Inputs!$B$27+Inputs!$B$29,MAX(0,(Inputs!$B$3-100)*3)+Inputs!$B$28+Inputs!$B$29)))</f>
        <v/>
      </c>
      <c r="E474">
        <f>INDEX(FactorTable!$B$2:$Y$301, MATCH(ROUND(MIN(300,MAX(1,D474)),0), FactorTable!$A$2:$A$301,0), Skills!M3+1)</f>
        <v/>
      </c>
      <c r="F474">
        <f>IF(Skills!N3=TRUE,(Skills!L3/10)*(E474/1000),Skills!L3/10)+Skills!O3</f>
        <v/>
      </c>
      <c r="G474" t="inlineStr"/>
      <c r="H474" t="inlineStr"/>
      <c r="I474" t="inlineStr">
        <is>
          <t>1</t>
        </is>
      </c>
      <c r="J474" t="inlineStr"/>
      <c r="K474" t="inlineStr"/>
      <c r="L474" t="inlineStr"/>
      <c r="M474" t="inlineStr"/>
      <c r="N474" t="inlineStr"/>
      <c r="O474" t="inlineStr"/>
      <c r="P474" t="inlineStr"/>
      <c r="Q474" t="inlineStr"/>
      <c r="R474" t="inlineStr"/>
      <c r="S474" t="inlineStr"/>
      <c r="U474">
        <f>INDEX(FactorTable!$B$2:$Y$301, MATCH(ROUND(MIN(300,MAX(1,U473)),0), FactorTable!$A$2:$A$301,0), 22)</f>
        <v/>
      </c>
    </row>
    <row r="475">
      <c r="A475">
        <f>Skills!A4</f>
        <v/>
      </c>
      <c r="B475">
        <f>Skills!B4</f>
        <v/>
      </c>
      <c r="C475">
        <f>Inputs!$B$3&gt;=35</f>
        <v/>
      </c>
      <c r="D475">
        <f>IF(Skills!C4=1,60+Inputs!$B$25+Inputs!$B$29,IF(Skills!C4=2,90+Inputs!$B$26+Inputs!$B$29,IF(Skills!C4=3,120+Inputs!$B$27+Inputs!$B$29,MAX(0,(Inputs!$B$3-100)*3)+Inputs!$B$28+Inputs!$B$29)))</f>
        <v/>
      </c>
      <c r="E475">
        <f>INDEX(FactorTable!$B$2:$Y$301, MATCH(ROUND(MIN(300,MAX(1,D475)),0), FactorTable!$A$2:$A$301,0), Skills!M4+1)</f>
        <v/>
      </c>
      <c r="F475">
        <f>IF(Skills!N4=TRUE,(Skills!L4/10)*(E475/1000),Skills!L4/10)+Skills!O4</f>
        <v/>
      </c>
      <c r="G475">
        <f>Skills!G4*IF(Skills!H4&gt;0,Skills!I4/Skills!H4,1)</f>
        <v/>
      </c>
      <c r="H475">
        <f>1-(1-Skills!J4/100)^Skills!K4</f>
        <v/>
      </c>
      <c r="I475" t="inlineStr">
        <is>
          <t>1</t>
        </is>
      </c>
      <c r="J475">
        <f>((Inputs!$B$6*(1+Inputs!$B$7/100))+(((Inputs!$B$12*(1+Inputs!$B$13/100))-(Inputs!$B$12*(1+Inputs!$B$13/100)))+0.25*(Inputs!$B$14-Inputs!$B$14))*(1+Inputs!$B$7/100))*(F475/100)</f>
        <v/>
      </c>
      <c r="K475">
        <f>J475*(1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483=TRUE,F483,0)/100)*(1+(IF(Skills!A4="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475)</f>
        <v/>
      </c>
      <c r="L475">
        <f>K475*(MIN(Inputs!$B$22+((C493=TRUE)*(F493-Calc!F22)),(Inputs!$B$23+((C495=TRUE)*(F495-Calc!F24))+(IF(ArtifactsInput!$M$15,CHOOSE(ArtifactsInput!$N$15+1,25,30,35,40,45,50)/100*(Inputs!$B$11-Inputs!$B$11),0))))/100+(Inputs!$B$23+((C495=TRUE)*(F495-Calc!F24))+(IF(ArtifactsInput!$M$15,CHOOSE(ArtifactsInput!$N$15+1,25,30,35,40,45,50)/100*(Inputs!$B$11-Inputs!$B$11),0)))/100)/2</f>
        <v/>
      </c>
      <c r="M475">
        <f>L475*(1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5">
        <f>L475*(1-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475*(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5">
        <f>(1-Summary!$B$11)*T475+Summary!$B$11*V475</f>
        <v/>
      </c>
      <c r="P475">
        <f>IF(B508=0,0,O475/B508)</f>
        <v/>
      </c>
      <c r="Q475">
        <f>IFERROR(1/(IF(Inputs!$B$38="pvp",15,MAX(0.1,Skills!D4-IF(Skills!E4=TRUE,Inputs!$B$32,0)))*(1-IF(AND(ArtifactsInput!$M$27,Inputs!$B$4="Chapter Hunt"),CHOOSE(ArtifactsInput!$N$27+1,20,24,28,32,36,40),0)/100)),0)</f>
        <v/>
      </c>
      <c r="R475">
        <f>IF(AND(Inputs!$B$38&lt;&gt;"pvp",Inputs!$B$43&gt;0),IF(MAX(0,Inputs!$B$43-B505)&lt;=0,0,(INT(MAX(0,Inputs!$B$43-B505)/(IF(Inputs!$B$38="pvp",15,MAX(0.1,Skills!D4-IF(Skills!E4=TRUE,Inputs!$B$32,0)))*(1-IF(AND(ArtifactsInput!$M$27,Inputs!$B$4="Chapter Hunt"),CHOOSE(ArtifactsInput!$N$27+1,20,24,28,32,36,40),0)/100)))+1)),0)</f>
        <v/>
      </c>
      <c r="S475">
        <f>IFERROR(O475/N475,0)</f>
        <v/>
      </c>
      <c r="T475">
        <f>IF(C475,(H475*N475*IF(AND(Inputs!$B$38&lt;&gt;"pvp",Inputs!$B$43&gt;0),((Skills!G4*((R475-1)*IF(Skills!H4&gt;0,Skills!I4/Skills!H4,1)+IF(Skills!H4&gt;0,MIN(Skills!I4,MAX(0,MAX(0,Inputs!$B$43-B505)-((R475-1)*(IF(Inputs!$B$38="pvp",15,MAX(0.1,Skills!D4-IF(Skills!E4=TRUE,Inputs!$B$32,0)))*(1-IF(AND(ArtifactsInput!$M$27,Inputs!$B$4="Chapter Hunt"),CHOOSE(ArtifactsInput!$N$27+1,20,24,28,32,36,40),0)/100)))))/Skills!H4,1)))/Inputs!$B$43),G475*Q475)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475*(1-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475*(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475*(1-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475*(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5">
        <f>290*U474/1000</f>
        <v/>
      </c>
      <c r="V475">
        <f>IF(C475,(H475*N475*IF(AND(Inputs!$B$38&lt;&gt;"pvp",Inputs!$B$43&gt;0),((Skills!G4*((R475-1)*IF(Skills!H4&gt;0,Skills!I4/Skills!H4,1)+IF(Skills!H4&gt;0,MIN(Skills!I4,MAX(0,MAX(0,Inputs!$B$43-B505)-((R475-1)*(IF(Inputs!$B$38="pvp",15,MAX(0.1,Skills!D4-IF(Skills!E4=TRUE,Inputs!$B$32,0)))*(1-IF(AND(ArtifactsInput!$M$27,Inputs!$B$4="Chapter Hunt"),CHOOSE(ArtifactsInput!$N$27+1,20,24,28,32,36,40),0)/100)))))/Skills!H4,1)))/Inputs!$B$43),G475*Q475))*IF(Inputs!$B$38="pvp",1,(1+(Inputs!$B$21+Skills!Q4+(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6">
      <c r="A476">
        <f>Skills!A5</f>
        <v/>
      </c>
      <c r="B476">
        <f>Skills!B5</f>
        <v/>
      </c>
      <c r="C476">
        <f>Inputs!$B$3&gt;=66</f>
        <v/>
      </c>
      <c r="D476">
        <f>IF(Skills!C5=1,60+Inputs!$B$25+Inputs!$B$29,IF(Skills!C5=2,90+Inputs!$B$26+Inputs!$B$29,IF(Skills!C5=3,120+Inputs!$B$27+Inputs!$B$29,MAX(0,(Inputs!$B$3-100)*3)+Inputs!$B$28+Inputs!$B$29)))</f>
        <v/>
      </c>
      <c r="E476">
        <f>INDEX(FactorTable!$B$2:$Y$301, MATCH(ROUND(MIN(300,MAX(1,D476)),0), FactorTable!$A$2:$A$301,0), Skills!M5+1)</f>
        <v/>
      </c>
      <c r="F476">
        <f>IF(Skills!N5=TRUE,(Skills!L5/10)*(E476/1000),Skills!L5/10)+Skills!O5</f>
        <v/>
      </c>
      <c r="G476">
        <f>Skills!G5*IF(Skills!H5&gt;0,Skills!I5/Skills!H5,1)</f>
        <v/>
      </c>
      <c r="H476">
        <f>1-(1-Skills!J5/100)^Skills!K5</f>
        <v/>
      </c>
      <c r="I476" t="inlineStr">
        <is>
          <t>1</t>
        </is>
      </c>
      <c r="J476">
        <f>((Inputs!$B$6*(1+Inputs!$B$7/100))+(((Inputs!$B$12*(1+Inputs!$B$13/100))-(Inputs!$B$12*(1+Inputs!$B$13/100)))+0.25*(Inputs!$B$14-Inputs!$B$14))*(1+Inputs!$B$7/100))*(F476/100)</f>
        <v/>
      </c>
      <c r="K476">
        <f>J476*(1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483=TRUE,F483,0)/100)*(1+(IF(Skills!A5="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476)</f>
        <v/>
      </c>
      <c r="L476">
        <f>K476*(MIN(Inputs!$B$22+((C493=TRUE)*(F493-Calc!F22)),(Inputs!$B$23+((C495=TRUE)*(F495-Calc!F24))+(IF(ArtifactsInput!$M$15,CHOOSE(ArtifactsInput!$N$15+1,25,30,35,40,45,50)/100*(Inputs!$B$11-Inputs!$B$11),0))))/100+(Inputs!$B$23+((C495=TRUE)*(F495-Calc!F24))+(IF(ArtifactsInput!$M$15,CHOOSE(ArtifactsInput!$N$15+1,25,30,35,40,45,50)/100*(Inputs!$B$11-Inputs!$B$11),0)))/100)/2</f>
        <v/>
      </c>
      <c r="M476">
        <f>L476*(1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6">
        <f>L476*(1-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476*(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6">
        <f>(1-Summary!$B$11)*T476+Summary!$B$11*V476</f>
        <v/>
      </c>
      <c r="P476">
        <f>IF(B508=0,0,O476/B508)</f>
        <v/>
      </c>
      <c r="Q476">
        <f>IFERROR(1/(IF(Inputs!$B$38="pvp",15,MAX(0.1,Skills!D5-IF(Skills!E5=TRUE,Inputs!$B$32,0)))*(1-IF(AND(ArtifactsInput!$M$27,Inputs!$B$4="Chapter Hunt"),CHOOSE(ArtifactsInput!$N$27+1,20,24,28,32,36,40),0)/100)),0)</f>
        <v/>
      </c>
      <c r="R476">
        <f>IF(AND(Inputs!$B$38&lt;&gt;"pvp",Inputs!$B$43&gt;0),IF(MAX(0,Inputs!$B$43-B505)&lt;=0,0,(INT(MAX(0,Inputs!$B$43-B505)/(IF(Inputs!$B$38="pvp",15,MAX(0.1,Skills!D5-IF(Skills!E5=TRUE,Inputs!$B$32,0)))*(1-IF(AND(ArtifactsInput!$M$27,Inputs!$B$4="Chapter Hunt"),CHOOSE(ArtifactsInput!$N$27+1,20,24,28,32,36,40),0)/100)))+1)),0)</f>
        <v/>
      </c>
      <c r="S476">
        <f>IFERROR(O476/N476,0)</f>
        <v/>
      </c>
      <c r="T476">
        <f>IF(C476,(H476*N476*IF(AND(Inputs!$B$38&lt;&gt;"pvp",Inputs!$B$43&gt;0),((Skills!G5*((R476-1)*IF(Skills!H5&gt;0,Skills!I5/Skills!H5,1)+IF(Skills!H5&gt;0,MIN(Skills!I5,MAX(0,MAX(0,Inputs!$B$43-B505)-((R476-1)*(IF(Inputs!$B$38="pvp",15,MAX(0.1,Skills!D5-IF(Skills!E5=TRUE,Inputs!$B$32,0)))*(1-IF(AND(ArtifactsInput!$M$27,Inputs!$B$4="Chapter Hunt"),CHOOSE(ArtifactsInput!$N$27+1,20,24,28,32,36,40),0)/100)))))/Skills!H5,1)))/Inputs!$B$43),G476*Q476)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476*(1-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476*(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476*(1-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476*(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76">
        <f>IF(C476,(H476*N476*IF(AND(Inputs!$B$38&lt;&gt;"pvp",Inputs!$B$43&gt;0),((Skills!G5*((R476-1)*IF(Skills!H5&gt;0,Skills!I5/Skills!H5,1)+IF(Skills!H5&gt;0,MIN(Skills!I5,MAX(0,MAX(0,Inputs!$B$43-B505)-((R476-1)*(IF(Inputs!$B$38="pvp",15,MAX(0.1,Skills!D5-IF(Skills!E5=TRUE,Inputs!$B$32,0)))*(1-IF(AND(ArtifactsInput!$M$27,Inputs!$B$4="Chapter Hunt"),CHOOSE(ArtifactsInput!$N$27+1,20,24,28,32,36,40),0)/100)))))/Skills!H5,1)))/Inputs!$B$43),G476*Q476))*IF(Inputs!$B$38="pvp",1,(1+(Inputs!$B$21+Skills!Q5+(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7">
      <c r="A477">
        <f>Skills!A6</f>
        <v/>
      </c>
      <c r="B477">
        <f>Skills!B6</f>
        <v/>
      </c>
      <c r="C477">
        <f>Inputs!$B$3&gt;=103</f>
        <v/>
      </c>
      <c r="D477">
        <f>IF(Skills!C6=1,60+Inputs!$B$25+Inputs!$B$29,IF(Skills!C6=2,90+Inputs!$B$26+Inputs!$B$29,IF(Skills!C6=3,120+Inputs!$B$27+Inputs!$B$29,MAX(0,(Inputs!$B$3-100)*3)+Inputs!$B$28+Inputs!$B$29)))</f>
        <v/>
      </c>
      <c r="E477">
        <f>INDEX(FactorTable!$B$2:$Y$301, MATCH(ROUND(MIN(300,MAX(1,D477)),0), FactorTable!$A$2:$A$301,0), Skills!M6+1)</f>
        <v/>
      </c>
      <c r="F477">
        <f>IF(Skills!N6=TRUE,(Skills!L6/10)*(E477/1000),Skills!L6/10)+Skills!O6</f>
        <v/>
      </c>
      <c r="G477">
        <f>Skills!G6*IF(Skills!H6&gt;0,Skills!I6/Skills!H6,1)</f>
        <v/>
      </c>
      <c r="H477">
        <f>1-(1-Skills!J6/100)^Skills!K6</f>
        <v/>
      </c>
      <c r="I477" t="inlineStr">
        <is>
          <t>1</t>
        </is>
      </c>
      <c r="J477">
        <f>((Inputs!$B$6*(1+Inputs!$B$7/100))+(((Inputs!$B$12*(1+Inputs!$B$13/100))-(Inputs!$B$12*(1+Inputs!$B$13/100)))+0.25*(Inputs!$B$14-Inputs!$B$14))*(1+Inputs!$B$7/100))*(F477/100)</f>
        <v/>
      </c>
      <c r="K477">
        <f>J477*(1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477)</f>
        <v/>
      </c>
      <c r="L477">
        <f>K477*(MIN(Inputs!$B$22+((C493=TRUE)*(F493-Calc!F22)),(Inputs!$B$23+((C495=TRUE)*(F495-Calc!F24))+(IF(ArtifactsInput!$M$15,CHOOSE(ArtifactsInput!$N$15+1,25,30,35,40,45,50)/100*(Inputs!$B$11-Inputs!$B$11),0))))/100+(Inputs!$B$23+((C495=TRUE)*(F495-Calc!F24))+(IF(ArtifactsInput!$M$15,CHOOSE(ArtifactsInput!$N$15+1,25,30,35,40,45,50)/100*(Inputs!$B$11-Inputs!$B$11),0)))/100)/2</f>
        <v/>
      </c>
      <c r="M477">
        <f>L477*(1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7">
        <f>L477*(1-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477*(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7">
        <f>(1-Summary!$B$11)*T477+Summary!$B$11*V477</f>
        <v/>
      </c>
      <c r="P477">
        <f>IF(B508=0,0,O477/B508)</f>
        <v/>
      </c>
      <c r="Q477">
        <f>IFERROR(1/(IF(Inputs!$B$38="pvp",15,MAX(0.1,Skills!D6-IF(Skills!E6=TRUE,Inputs!$B$32,0)))*(1-IF(AND(ArtifactsInput!$M$27,Inputs!$B$4="Chapter Hunt"),CHOOSE(ArtifactsInput!$N$27+1,20,24,28,32,36,40),0)/100)),0)</f>
        <v/>
      </c>
      <c r="R477">
        <f>IF(AND(Inputs!$B$38&lt;&gt;"pvp",Inputs!$B$43&gt;0),IF(MAX(0,Inputs!$B$43-B505)&lt;=0,0,(INT(MAX(0,Inputs!$B$43-B505)/(IF(Inputs!$B$38="pvp",15,MAX(0.1,Skills!D6-IF(Skills!E6=TRUE,Inputs!$B$32,0)))*(1-IF(AND(ArtifactsInput!$M$27,Inputs!$B$4="Chapter Hunt"),CHOOSE(ArtifactsInput!$N$27+1,20,24,28,32,36,40),0)/100)))+1)),0)</f>
        <v/>
      </c>
      <c r="S477">
        <f>IFERROR(O477/N477,0)</f>
        <v/>
      </c>
      <c r="T477">
        <f>IF(C477,(H477*N477*IF(AND(Inputs!$B$38&lt;&gt;"pvp",Inputs!$B$43&gt;0),((Skills!G6*((R477-1)*IF(Skills!H6&gt;0,Skills!I6/Skills!H6,1)+IF(Skills!H6&gt;0,MIN(Skills!I6,MAX(0,MAX(0,Inputs!$B$43-B505)-((R477-1)*(IF(Inputs!$B$38="pvp",15,MAX(0.1,Skills!D6-IF(Skills!E6=TRUE,Inputs!$B$32,0)))*(1-IF(AND(ArtifactsInput!$M$27,Inputs!$B$4="Chapter Hunt"),CHOOSE(ArtifactsInput!$N$27+1,20,24,28,32,36,40),0)/100)))))/Skills!H6,1)))/Inputs!$B$43),G477*Q477)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477*(1-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477*(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477*(1-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477*(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77">
        <f>IF(C477,(H477*N477*IF(AND(Inputs!$B$38&lt;&gt;"pvp",Inputs!$B$43&gt;0),((Skills!G6*((R477-1)*IF(Skills!H6&gt;0,Skills!I6/Skills!H6,1)+IF(Skills!H6&gt;0,MIN(Skills!I6,MAX(0,MAX(0,Inputs!$B$43-B505)-((R477-1)*(IF(Inputs!$B$38="pvp",15,MAX(0.1,Skills!D6-IF(Skills!E6=TRUE,Inputs!$B$32,0)))*(1-IF(AND(ArtifactsInput!$M$27,Inputs!$B$4="Chapter Hunt"),CHOOSE(ArtifactsInput!$N$27+1,20,24,28,32,36,40),0)/100)))))/Skills!H6,1)))/Inputs!$B$43),G477*Q477))*IF(Inputs!$B$38="pvp",1,(1+(Inputs!$B$21+Skills!Q6+(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8">
      <c r="A478">
        <f>Skills!A7</f>
        <v/>
      </c>
      <c r="B478">
        <f>Skills!B7</f>
        <v/>
      </c>
      <c r="C478">
        <f>Inputs!$B$3&gt;=107</f>
        <v/>
      </c>
      <c r="D478">
        <f>IF(Skills!C7=1,60+Inputs!$B$25+Inputs!$B$29,IF(Skills!C7=2,90+Inputs!$B$26+Inputs!$B$29,IF(Skills!C7=3,120+Inputs!$B$27+Inputs!$B$29,MAX(0,(Inputs!$B$3-100)*3)+Inputs!$B$28+Inputs!$B$29)))</f>
        <v/>
      </c>
      <c r="E478">
        <f>INDEX(FactorTable!$B$2:$Y$301, MATCH(ROUND(MIN(300,MAX(1,D478)),0), FactorTable!$A$2:$A$301,0), Skills!M7+1)</f>
        <v/>
      </c>
      <c r="F478">
        <f>IF(Skills!N7=TRUE,(Skills!L7/10)*(E478/1000),Skills!L7/10)+Skills!O7</f>
        <v/>
      </c>
      <c r="G478">
        <f>Skills!G7*IF(Skills!H7&gt;0,Skills!I7/Skills!H7,1)</f>
        <v/>
      </c>
      <c r="H478">
        <f>1-(1-Skills!J7/100)^Skills!K7</f>
        <v/>
      </c>
      <c r="I478" t="inlineStr">
        <is>
          <t>1</t>
        </is>
      </c>
      <c r="J478">
        <f>((Inputs!$B$6*(1+Inputs!$B$7/100))+(((Inputs!$B$12*(1+Inputs!$B$13/100))-(Inputs!$B$12*(1+Inputs!$B$13/100)))+0.25*(Inputs!$B$14-Inputs!$B$14))*(1+Inputs!$B$7/100))*(F478/100)</f>
        <v/>
      </c>
      <c r="K478">
        <f>J478*(1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478)</f>
        <v/>
      </c>
      <c r="L478">
        <f>K478*(MIN(Inputs!$B$22+((C493=TRUE)*(F493-Calc!F22)),(Inputs!$B$23+((C495=TRUE)*(F495-Calc!F24))+(IF(ArtifactsInput!$M$15,CHOOSE(ArtifactsInput!$N$15+1,25,30,35,40,45,50)/100*(Inputs!$B$11-Inputs!$B$11),0))))/100+(Inputs!$B$23+((C495=TRUE)*(F495-Calc!F24))+(IF(ArtifactsInput!$M$15,CHOOSE(ArtifactsInput!$N$15+1,25,30,35,40,45,50)/100*(Inputs!$B$11-Inputs!$B$11),0)))/100)/2</f>
        <v/>
      </c>
      <c r="M478">
        <f>L478*(1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8">
        <f>L478*(1-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478*(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8">
        <f>(1-Summary!$B$11)*T478+Summary!$B$11*V478</f>
        <v/>
      </c>
      <c r="P478">
        <f>IF(B508=0,0,O478/B508)</f>
        <v/>
      </c>
      <c r="Q478">
        <f>IFERROR(1/(IF(Inputs!$B$38="pvp",15,MAX(0.1,Skills!D7-IF(Skills!E7=TRUE,Inputs!$B$32,0)))*(1-IF(AND(ArtifactsInput!$M$27,Inputs!$B$4="Chapter Hunt"),CHOOSE(ArtifactsInput!$N$27+1,20,24,28,32,36,40),0)/100)),0)</f>
        <v/>
      </c>
      <c r="R478">
        <f>IF(AND(Inputs!$B$38&lt;&gt;"pvp",Inputs!$B$43&gt;0),IF(MAX(0,Inputs!$B$43-B505)&lt;=0,0,(INT(MAX(0,Inputs!$B$43-B505)/(IF(Inputs!$B$38="pvp",15,MAX(0.1,Skills!D7-IF(Skills!E7=TRUE,Inputs!$B$32,0)))*(1-IF(AND(ArtifactsInput!$M$27,Inputs!$B$4="Chapter Hunt"),CHOOSE(ArtifactsInput!$N$27+1,20,24,28,32,36,40),0)/100)))+1)),0)</f>
        <v/>
      </c>
      <c r="S478">
        <f>IFERROR(O478/N478,0)</f>
        <v/>
      </c>
      <c r="T478">
        <f>IF(C478,(H478*N478*IF(AND(Inputs!$B$38&lt;&gt;"pvp",Inputs!$B$43&gt;0),((Skills!G7*((R478-1)*IF(Skills!H7&gt;0,Skills!I7/Skills!H7,1)+IF(Skills!H7&gt;0,MIN(Skills!I7,MAX(0,MAX(0,Inputs!$B$43-B505)-((R478-1)*(IF(Inputs!$B$38="pvp",15,MAX(0.1,Skills!D7-IF(Skills!E7=TRUE,Inputs!$B$32,0)))*(1-IF(AND(ArtifactsInput!$M$27,Inputs!$B$4="Chapter Hunt"),CHOOSE(ArtifactsInput!$N$27+1,20,24,28,32,36,40),0)/100)))))/Skills!H7,1)))/Inputs!$B$43),G478*Q478)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478*(1-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478*(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478*(1-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478*(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78">
        <f>IF(C478,(H478*N478*IF(AND(Inputs!$B$38&lt;&gt;"pvp",Inputs!$B$43&gt;0),((Skills!G7*((R478-1)*IF(Skills!H7&gt;0,Skills!I7/Skills!H7,1)+IF(Skills!H7&gt;0,MIN(Skills!I7,MAX(0,MAX(0,Inputs!$B$43-B505)-((R478-1)*(IF(Inputs!$B$38="pvp",15,MAX(0.1,Skills!D7-IF(Skills!E7=TRUE,Inputs!$B$32,0)))*(1-IF(AND(ArtifactsInput!$M$27,Inputs!$B$4="Chapter Hunt"),CHOOSE(ArtifactsInput!$N$27+1,20,24,28,32,36,40),0)/100)))))/Skills!H7,1)))/Inputs!$B$43),G478*Q478))*IF(Inputs!$B$38="pvp",1,(1+(Inputs!$B$21+Skills!Q7+(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9">
      <c r="A479">
        <f>Skills!A8</f>
        <v/>
      </c>
      <c r="B479">
        <f>Skills!B8</f>
        <v/>
      </c>
      <c r="C479">
        <f>Inputs!$B$3&gt;=107</f>
        <v/>
      </c>
      <c r="D479">
        <f>IF(Skills!C8=1,60+Inputs!$B$25+Inputs!$B$29,IF(Skills!C8=2,90+Inputs!$B$26+Inputs!$B$29,IF(Skills!C8=3,120+Inputs!$B$27+Inputs!$B$29,MAX(0,(Inputs!$B$3-100)*3)+Inputs!$B$28+Inputs!$B$29)))</f>
        <v/>
      </c>
      <c r="E479">
        <f>INDEX(FactorTable!$B$2:$Y$301, MATCH(ROUND(MIN(300,MAX(1,D479)),0), FactorTable!$A$2:$A$301,0), Skills!M8+1)</f>
        <v/>
      </c>
      <c r="F479">
        <f>IF(Skills!N8=TRUE,(Skills!L8/10)*(E479/1000),Skills!L8/10)+Skills!O8</f>
        <v/>
      </c>
      <c r="G479">
        <f>Skills!G8*IF(Skills!H8&gt;0,Skills!I8/Skills!H8,1)</f>
        <v/>
      </c>
      <c r="H479">
        <f>1-(1-Skills!J8/100)^Skills!K8</f>
        <v/>
      </c>
      <c r="I479" t="inlineStr">
        <is>
          <t>1</t>
        </is>
      </c>
      <c r="J479">
        <f>((Inputs!$B$6*(1+Inputs!$B$7/100))+(((Inputs!$B$12*(1+Inputs!$B$13/100))-(Inputs!$B$12*(1+Inputs!$B$13/100)))+0.25*(Inputs!$B$14-Inputs!$B$14))*(1+Inputs!$B$7/100))*(F479/100)</f>
        <v/>
      </c>
      <c r="K479">
        <f>J479*(1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479)</f>
        <v/>
      </c>
      <c r="L479">
        <f>K479*(MIN(Inputs!$B$22+((C493=TRUE)*(F493-Calc!F22)),(Inputs!$B$23+((C495=TRUE)*(F495-Calc!F24))+(IF(ArtifactsInput!$M$15,CHOOSE(ArtifactsInput!$N$15+1,25,30,35,40,45,50)/100*(Inputs!$B$11-Inputs!$B$11),0))))/100+(Inputs!$B$23+((C495=TRUE)*(F495-Calc!F24))+(IF(ArtifactsInput!$M$15,CHOOSE(ArtifactsInput!$N$15+1,25,30,35,40,45,50)/100*(Inputs!$B$11-Inputs!$B$11),0)))/100)/2</f>
        <v/>
      </c>
      <c r="M479">
        <f>L479*(1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79">
        <f>L479*(1-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479*(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9">
        <f>(1-Summary!$B$11)*T479+Summary!$B$11*V479</f>
        <v/>
      </c>
      <c r="P479">
        <f>IF(B508=0,0,O479/B508)</f>
        <v/>
      </c>
      <c r="Q479">
        <f>IFERROR(1/(IF(Inputs!$B$38="pvp",15,MAX(0.1,Skills!D8-IF(Skills!E8=TRUE,Inputs!$B$32,0)))*(1-IF(AND(ArtifactsInput!$M$27,Inputs!$B$4="Chapter Hunt"),CHOOSE(ArtifactsInput!$N$27+1,20,24,28,32,36,40),0)/100)),0)</f>
        <v/>
      </c>
      <c r="R479">
        <f>IF(AND(Inputs!$B$38&lt;&gt;"pvp",Inputs!$B$43&gt;0),IF(MAX(0,Inputs!$B$43-B505)&lt;=0,0,(INT(MAX(0,Inputs!$B$43-B505)/(IF(Inputs!$B$38="pvp",15,MAX(0.1,Skills!D8-IF(Skills!E8=TRUE,Inputs!$B$32,0)))*(1-IF(AND(ArtifactsInput!$M$27,Inputs!$B$4="Chapter Hunt"),CHOOSE(ArtifactsInput!$N$27+1,20,24,28,32,36,40),0)/100)))+1)),0)</f>
        <v/>
      </c>
      <c r="S479">
        <f>IFERROR(O479/N479,0)</f>
        <v/>
      </c>
      <c r="T479">
        <f>IF(C479,(H479*N479*IF(AND(Inputs!$B$38&lt;&gt;"pvp",Inputs!$B$43&gt;0),((Skills!G8*((R479-1)*IF(Skills!H8&gt;0,Skills!I8/Skills!H8,1)+IF(Skills!H8&gt;0,MIN(Skills!I8,MAX(0,MAX(0,Inputs!$B$43-B505)-((R479-1)*(IF(Inputs!$B$38="pvp",15,MAX(0.1,Skills!D8-IF(Skills!E8=TRUE,Inputs!$B$32,0)))*(1-IF(AND(ArtifactsInput!$M$27,Inputs!$B$4="Chapter Hunt"),CHOOSE(ArtifactsInput!$N$27+1,20,24,28,32,36,40),0)/100)))))/Skills!H8,1)))/Inputs!$B$43),G479*Q479)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479*(1-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479*(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479*(1-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479*(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79">
        <f>IF(C479,(H479*N479*IF(AND(Inputs!$B$38&lt;&gt;"pvp",Inputs!$B$43&gt;0),((Skills!G8*((R479-1)*IF(Skills!H8&gt;0,Skills!I8/Skills!H8,1)+IF(Skills!H8&gt;0,MIN(Skills!I8,MAX(0,MAX(0,Inputs!$B$43-B505)-((R479-1)*(IF(Inputs!$B$38="pvp",15,MAX(0.1,Skills!D8-IF(Skills!E8=TRUE,Inputs!$B$32,0)))*(1-IF(AND(ArtifactsInput!$M$27,Inputs!$B$4="Chapter Hunt"),CHOOSE(ArtifactsInput!$N$27+1,20,24,28,32,36,40),0)/100)))))/Skills!H8,1)))/Inputs!$B$43),G479*Q479))*IF(Inputs!$B$38="pvp",1,(1+(Inputs!$B$21+Skills!Q8+(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0">
      <c r="A480">
        <f>Skills!A9</f>
        <v/>
      </c>
      <c r="B480">
        <f>Skills!B9</f>
        <v/>
      </c>
      <c r="C480">
        <f>Inputs!$B$3&gt;=125</f>
        <v/>
      </c>
      <c r="D480">
        <f>IF(Skills!C9=1,60+Inputs!$B$25+Inputs!$B$29,IF(Skills!C9=2,90+Inputs!$B$26+Inputs!$B$29,IF(Skills!C9=3,120+Inputs!$B$27+Inputs!$B$29,MAX(0,(Inputs!$B$3-100)*3)+Inputs!$B$28+Inputs!$B$29)))</f>
        <v/>
      </c>
      <c r="E480">
        <f>INDEX(FactorTable!$B$2:$Y$301, MATCH(ROUND(MIN(300,MAX(1,D480)),0), FactorTable!$A$2:$A$301,0), Skills!M9+1)</f>
        <v/>
      </c>
      <c r="F480">
        <f>IF(Skills!N9=TRUE,(Skills!L9/10)*(E480/1000),Skills!L9/10)+Skills!O9</f>
        <v/>
      </c>
      <c r="G480">
        <f>Skills!G9*IF(Skills!H9&gt;0,Skills!I9/Skills!H9,1)</f>
        <v/>
      </c>
      <c r="H480">
        <f>1-(1-Skills!J9/100)^Skills!K9</f>
        <v/>
      </c>
      <c r="I480" t="inlineStr">
        <is>
          <t>1</t>
        </is>
      </c>
      <c r="J480">
        <f>((Inputs!$B$6*(1+Inputs!$B$7/100))+(((Inputs!$B$12*(1+Inputs!$B$13/100))-(Inputs!$B$12*(1+Inputs!$B$13/100)))+0.25*(Inputs!$B$14-Inputs!$B$14))*(1+Inputs!$B$7/100))*(F480/100)</f>
        <v/>
      </c>
      <c r="K480">
        <f>J480*(1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480)</f>
        <v/>
      </c>
      <c r="L480">
        <f>K480*(MIN(Inputs!$B$22+((C493=TRUE)*(F493-Calc!F22)),(Inputs!$B$23+((C495=TRUE)*(F495-Calc!F24))+(IF(ArtifactsInput!$M$15,CHOOSE(ArtifactsInput!$N$15+1,25,30,35,40,45,50)/100*(Inputs!$B$11-Inputs!$B$11),0))))/100+(Inputs!$B$23+((C495=TRUE)*(F495-Calc!F24))+(IF(ArtifactsInput!$M$15,CHOOSE(ArtifactsInput!$N$15+1,25,30,35,40,45,50)/100*(Inputs!$B$11-Inputs!$B$11),0)))/100)/2</f>
        <v/>
      </c>
      <c r="M480">
        <f>L480*(1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0">
        <f>L480*(1-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480*(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0">
        <f>(1-Summary!$B$11)*T480+Summary!$B$11*V480</f>
        <v/>
      </c>
      <c r="P480">
        <f>IF(B508=0,0,O480/B508)</f>
        <v/>
      </c>
      <c r="Q480">
        <f>IFERROR(1/(IF(Inputs!$B$38="pvp",15,MAX(0.1,Skills!D9-IF(Skills!E9=TRUE,Inputs!$B$32,0)))*(1-IF(AND(ArtifactsInput!$M$27,Inputs!$B$4="Chapter Hunt"),CHOOSE(ArtifactsInput!$N$27+1,20,24,28,32,36,40),0)/100)),0)</f>
        <v/>
      </c>
      <c r="R480">
        <f>IF(AND(Inputs!$B$38&lt;&gt;"pvp",Inputs!$B$43&gt;0),IF(MAX(0,Inputs!$B$43-B505)&lt;=0,0,(INT(MAX(0,Inputs!$B$43-B505)/(IF(Inputs!$B$38="pvp",15,MAX(0.1,Skills!D9-IF(Skills!E9=TRUE,Inputs!$B$32,0)))*(1-IF(AND(ArtifactsInput!$M$27,Inputs!$B$4="Chapter Hunt"),CHOOSE(ArtifactsInput!$N$27+1,20,24,28,32,36,40),0)/100)))+1)),0)</f>
        <v/>
      </c>
      <c r="S480">
        <f>IFERROR(O480/N480,0)</f>
        <v/>
      </c>
      <c r="T480">
        <f>IF(C480,(H480*N480*IF(AND(Inputs!$B$38&lt;&gt;"pvp",Inputs!$B$43&gt;0),((Skills!G9*((R480-1)*IF(Skills!H9&gt;0,Skills!I9/Skills!H9,1)+IF(Skills!H9&gt;0,MIN(Skills!I9,MAX(0,MAX(0,Inputs!$B$43-B505)-((R480-1)*(IF(Inputs!$B$38="pvp",15,MAX(0.1,Skills!D9-IF(Skills!E9=TRUE,Inputs!$B$32,0)))*(1-IF(AND(ArtifactsInput!$M$27,Inputs!$B$4="Chapter Hunt"),CHOOSE(ArtifactsInput!$N$27+1,20,24,28,32,36,40),0)/100)))))/Skills!H9,1)))/Inputs!$B$43),G480*Q480)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480*(1-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480*(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480*(1-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480*(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0">
        <f>IF(C480,(H480*N480*IF(AND(Inputs!$B$38&lt;&gt;"pvp",Inputs!$B$43&gt;0),((Skills!G9*((R480-1)*IF(Skills!H9&gt;0,Skills!I9/Skills!H9,1)+IF(Skills!H9&gt;0,MIN(Skills!I9,MAX(0,MAX(0,Inputs!$B$43-B505)-((R480-1)*(IF(Inputs!$B$38="pvp",15,MAX(0.1,Skills!D9-IF(Skills!E9=TRUE,Inputs!$B$32,0)))*(1-IF(AND(ArtifactsInput!$M$27,Inputs!$B$4="Chapter Hunt"),CHOOSE(ArtifactsInput!$N$27+1,20,24,28,32,36,40),0)/100)))))/Skills!H9,1)))/Inputs!$B$43),G480*Q480))*IF(Inputs!$B$38="pvp",1,(1+(Inputs!$B$21+Skills!Q9+(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1">
      <c r="A481">
        <f>Skills!A10</f>
        <v/>
      </c>
      <c r="B481">
        <f>Skills!B10</f>
        <v/>
      </c>
      <c r="C481">
        <f>Inputs!$B$3&gt;=117</f>
        <v/>
      </c>
      <c r="D481">
        <f>IF(Skills!C10=1,60+Inputs!$B$25+Inputs!$B$29,IF(Skills!C10=2,90+Inputs!$B$26+Inputs!$B$29,IF(Skills!C10=3,120+Inputs!$B$27+Inputs!$B$29,MAX(0,(Inputs!$B$3-100)*3)+Inputs!$B$28+Inputs!$B$29)))</f>
        <v/>
      </c>
      <c r="E481">
        <f>INDEX(FactorTable!$B$2:$Y$301, MATCH(ROUND(MIN(300,MAX(1,D481)),0), FactorTable!$A$2:$A$301,0), Skills!M10+1)</f>
        <v/>
      </c>
      <c r="F481">
        <f>IF(Skills!N10=TRUE,(Skills!L10/10)*(E481/1000),Skills!L10/10)+Skills!O10</f>
        <v/>
      </c>
      <c r="G481">
        <f>Skills!G10*IF(Skills!H10&gt;0,Skills!I10/Skills!H10,1)</f>
        <v/>
      </c>
      <c r="H481">
        <f>1-(1-Skills!J10/100)^Skills!K10</f>
        <v/>
      </c>
      <c r="I481" t="inlineStr">
        <is>
          <t>1</t>
        </is>
      </c>
      <c r="J481">
        <f>((Inputs!$B$6*(1+Inputs!$B$7/100))+(((Inputs!$B$12*(1+Inputs!$B$13/100))-(Inputs!$B$12*(1+Inputs!$B$13/100)))+0.25*(Inputs!$B$14-Inputs!$B$14))*(1+Inputs!$B$7/100))*(F481/100)</f>
        <v/>
      </c>
      <c r="K481">
        <f>J481*(1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481)</f>
        <v/>
      </c>
      <c r="L481">
        <f>K481*(MIN(Inputs!$B$22+((C493=TRUE)*(F493-Calc!F22)),(Inputs!$B$23+((C495=TRUE)*(F495-Calc!F24))+(IF(ArtifactsInput!$M$15,CHOOSE(ArtifactsInput!$N$15+1,25,30,35,40,45,50)/100*(Inputs!$B$11-Inputs!$B$11),0))))/100+(Inputs!$B$23+((C495=TRUE)*(F495-Calc!F24))+(IF(ArtifactsInput!$M$15,CHOOSE(ArtifactsInput!$N$15+1,25,30,35,40,45,50)/100*(Inputs!$B$11-Inputs!$B$11),0)))/100)/2</f>
        <v/>
      </c>
      <c r="M481">
        <f>L481*(1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1">
        <f>L481*(1-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1">
        <f>(1-Summary!$B$11)*T481+Summary!$B$11*V481</f>
        <v/>
      </c>
      <c r="P481">
        <f>IF(B508=0,0,O481/B508)</f>
        <v/>
      </c>
      <c r="Q481">
        <f>IFERROR(1/(IF(Inputs!$B$38="pvp",15,MAX(0.1,Skills!D10-IF(Skills!E10=TRUE,Inputs!$B$32,0)))*(1-IF(AND(ArtifactsInput!$M$27,Inputs!$B$4="Chapter Hunt"),CHOOSE(ArtifactsInput!$N$27+1,20,24,28,32,36,40),0)/100)),0)</f>
        <v/>
      </c>
      <c r="R481">
        <f>IF(AND(Inputs!$B$38&lt;&gt;"pvp",Inputs!$B$43&gt;0),IF(MAX(0,Inputs!$B$43-B505)&lt;=0,0,(INT(MAX(0,Inputs!$B$43-B505)/(IF(Inputs!$B$38="pvp",15,MAX(0.1,Skills!D10-IF(Skills!E10=TRUE,Inputs!$B$32,0)))*(1-IF(AND(ArtifactsInput!$M$27,Inputs!$B$4="Chapter Hunt"),CHOOSE(ArtifactsInput!$N$27+1,20,24,28,32,36,40),0)/100)))+1)),0)</f>
        <v/>
      </c>
      <c r="S481">
        <f>IFERROR(O481/N481,0)</f>
        <v/>
      </c>
      <c r="T481">
        <f>IF(C481,(H481*N481*IF(AND(Inputs!$B$38&lt;&gt;"pvp",Inputs!$B$43&gt;0),((Skills!G10*((R481-1)*IF(Skills!H10&gt;0,Skills!I10/Skills!H10,1)+IF(Skills!H10&gt;0,MIN(Skills!I10,MAX(0,MAX(0,Inputs!$B$43-B505)-((R481-1)*(IF(Inputs!$B$38="pvp",15,MAX(0.1,Skills!D10-IF(Skills!E10=TRUE,Inputs!$B$32,0)))*(1-IF(AND(ArtifactsInput!$M$27,Inputs!$B$4="Chapter Hunt"),CHOOSE(ArtifactsInput!$N$27+1,20,24,28,32,36,40),0)/100)))))/Skills!H10,1)))/Inputs!$B$43),G481*Q481)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481*(1-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481*(1-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1">
        <f>IF(C481,(H481*N481*IF(AND(Inputs!$B$38&lt;&gt;"pvp",Inputs!$B$43&gt;0),((Skills!G10*((R481-1)*IF(Skills!H10&gt;0,Skills!I10/Skills!H10,1)+IF(Skills!H10&gt;0,MIN(Skills!I10,MAX(0,MAX(0,Inputs!$B$43-B505)-((R481-1)*(IF(Inputs!$B$38="pvp",15,MAX(0.1,Skills!D10-IF(Skills!E10=TRUE,Inputs!$B$32,0)))*(1-IF(AND(ArtifactsInput!$M$27,Inputs!$B$4="Chapter Hunt"),CHOOSE(ArtifactsInput!$N$27+1,20,24,28,32,36,40),0)/100)))))/Skills!H10,1)))/Inputs!$B$43),G481*Q481))*IF(Inputs!$B$38="pvp",1,(1+(Inputs!$B$21+Skills!Q10+(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2">
      <c r="A482">
        <f>Skills!A11</f>
        <v/>
      </c>
      <c r="B482">
        <f>Skills!B11</f>
        <v/>
      </c>
      <c r="C482">
        <f>Inputs!$B$3&gt;=63</f>
        <v/>
      </c>
      <c r="D482">
        <f>IF(Skills!C11=1,60+Inputs!$B$25+Inputs!$B$29,IF(Skills!C11=2,90+Inputs!$B$26+Inputs!$B$29,IF(Skills!C11=3,120+Inputs!$B$27+Inputs!$B$29,MAX(0,(Inputs!$B$3-100)*3)+Inputs!$B$28+Inputs!$B$29)))</f>
        <v/>
      </c>
      <c r="E482">
        <f>INDEX(FactorTable!$B$2:$Y$301, MATCH(ROUND(MIN(300,MAX(1,D482)),0), FactorTable!$A$2:$A$301,0), Skills!M11+1)</f>
        <v/>
      </c>
      <c r="F482">
        <f>IF(Skills!N11=TRUE,(Skills!L11/10)*(E482/1000),Skills!L11/10)+Skills!O11</f>
        <v/>
      </c>
      <c r="G482">
        <f>Skills!G11*IF(Skills!H11&gt;0,Skills!I11/Skills!H11,1)</f>
        <v/>
      </c>
      <c r="H482">
        <f>1-(1-Skills!J11/100)^Skills!K11</f>
        <v/>
      </c>
      <c r="I482" t="inlineStr">
        <is>
          <t>1</t>
        </is>
      </c>
      <c r="J482">
        <f>((Inputs!$B$6*(1+Inputs!$B$7/100))+(((Inputs!$B$12*(1+Inputs!$B$13/100))-(Inputs!$B$12*(1+Inputs!$B$13/100)))+0.25*(Inputs!$B$14-Inputs!$B$14))*(1+Inputs!$B$7/100))*(F482/100)</f>
        <v/>
      </c>
      <c r="K482">
        <f>J482*(1+((Inputs!$B$12*(1+Inputs!$B$13/100))*0.01+Inputs!$B$14*0.0025)/100)*(1+Inputs!$B$15/100)*(1+Inputs!$B$16/100)*(5000/(6000+Inputs!$B$42*(1-(Inputs!$B$19+0)/100)))*(1+(Inputs!$B$24+0+B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483=TRUE,F483,0)/100)*(1+(IF(Skills!A11="BLAST",Inputs!$B$17+((C492=TRUE)*(F492-Calc!F21))+((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MIN(100,(((Inputs!$B$9+1)+0+B498+(ArtifactsInput!$M$24-ArtifactsInput!$M$24)*CHOOSE(ArtifactsInput!$N$24+1,10,12,14,16,18,20)+IF(ArtifactsInput!$M$10,CHOOSE(ArtifactsInput!$N$10+1,15,18,21,24,27,30)*(IF(Inputs!$B$38="pvp",MIN(15,15)/15,IF(AND(Inputs!$B$38&lt;&gt;"pvp",Inputs!$B$43&gt;0),MIN(15,Inputs!$B$43)/(Inputs!$B$43),0))),0)))-100),0))*CHOOSE(ArtifactsInput!$N$42+1,0.6,0.72,0.84,0.96,1.08,1.2))),Inputs!$B$18+((C494=TRUE)*(F494-Calc!F23))+(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gt;=100),CHOOSE(ArtifactsInput!$N$42+1,40,48,56,64,72,80),0))))/100)*((1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482)</f>
        <v/>
      </c>
      <c r="L482">
        <f>K482*(MIN(Inputs!$B$22+((C493=TRUE)*(F493-Calc!F22)),(Inputs!$B$23+((C495=TRUE)*(F495-Calc!F24))+(IF(ArtifactsInput!$M$15,CHOOSE(ArtifactsInput!$N$15+1,25,30,35,40,45,50)/100*(Inputs!$B$11-Inputs!$B$11),0))))/100+(Inputs!$B$23+((C495=TRUE)*(F495-Calc!F24))+(IF(ArtifactsInput!$M$15,CHOOSE(ArtifactsInput!$N$15+1,25,30,35,40,45,50)/100*(Inputs!$B$11-Inputs!$B$11),0)))/100)/2</f>
        <v/>
      </c>
      <c r="M482">
        <f>L482*(1+(Inputs!$B$10+0+B503+(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82">
        <f>L482*(1-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482*(MIN(((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2">
        <f>(1-Summary!$B$11)*T482+Summary!$B$11*V482</f>
        <v/>
      </c>
      <c r="P482">
        <f>IF(B508=0,0,O482/B508)</f>
        <v/>
      </c>
      <c r="Q482">
        <f>IFERROR(1/(IF(Inputs!$B$38="pvp",15,MAX(0.1,Skills!D11-IF(Skills!E11=TRUE,Inputs!$B$32,0)))*(1-IF(AND(ArtifactsInput!$M$27,Inputs!$B$4="Chapter Hunt"),CHOOSE(ArtifactsInput!$N$27+1,20,24,28,32,36,40),0)/100)),0)</f>
        <v/>
      </c>
      <c r="R482">
        <f>IF(AND(Inputs!$B$38&lt;&gt;"pvp",Inputs!$B$43&gt;0),IF(MAX(0,Inputs!$B$43-B505)&lt;=0,0,(INT(MAX(0,Inputs!$B$43-B505)/(IF(Inputs!$B$38="pvp",15,MAX(0.1,Skills!D11-IF(Skills!E11=TRUE,Inputs!$B$32,0)))*(1-IF(AND(ArtifactsInput!$M$27,Inputs!$B$4="Chapter Hunt"),CHOOSE(ArtifactsInput!$N$27+1,20,24,28,32,36,40),0)/100)))+1)),0)</f>
        <v/>
      </c>
      <c r="S482">
        <f>IFERROR(O482/N482,0)</f>
        <v/>
      </c>
      <c r="T482">
        <f>IF(C482,(H482*N482*IF(AND(Inputs!$B$38&lt;&gt;"pvp",Inputs!$B$43&gt;0),((Skills!G11*((R482-1)*IF(Skills!H11&gt;0,Skills!I11/Skills!H11,1)+IF(Skills!H11&gt;0,MIN(Skills!I11,MAX(0,MAX(0,Inputs!$B$43-B505)-((R482-1)*(IF(Inputs!$B$38="pvp",15,MAX(0.1,Skills!D11-IF(Skills!E11=TRUE,Inputs!$B$32,0)))*(1-IF(AND(ArtifactsInput!$M$27,Inputs!$B$4="Chapter Hunt"),CHOOSE(ArtifactsInput!$N$27+1,20,24,28,32,36,40),0)/100)))))/Skills!H11,1)))/Inputs!$B$43),G482*Q482)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482*(1-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482*(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482*(1-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482*(MIN(100,((Inputs!$B$9+1)+0+B498+(ArtifactsInput!$M$24-ArtifactsInput!$M$24)*CHOOSE(ArtifactsInput!$N$24+1,10,12,14,16,18,20)+(IF(AND(Inputs!$B$38&lt;&gt;"pvp",Inputs!$B$43=0),1,IF(IF(Inputs!$B$38="pvp",15,Inputs!$B$43)-(B505)&lt;=0,1,MAX(0,IF(Inputs!$B$38="pvp",15,Inputs!$B$43)-MAX(5,B505))/(IF(Inputs!$B$38="pvp",15,Inputs!$B$43)-(B505))))*IF(AND(ArtifactsInput!$M$42,(((Inputs!$B$9+1)+0+B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2">
        <f>IF(C482,(H482*N482*IF(AND(Inputs!$B$38&lt;&gt;"pvp",Inputs!$B$43&gt;0),((Skills!G11*((R482-1)*IF(Skills!H11&gt;0,Skills!I11/Skills!H11,1)+IF(Skills!H11&gt;0,MIN(Skills!I11,MAX(0,MAX(0,Inputs!$B$43-B505)-((R482-1)*(IF(Inputs!$B$38="pvp",15,MAX(0.1,Skills!D11-IF(Skills!E11=TRUE,Inputs!$B$32,0)))*(1-IF(AND(ArtifactsInput!$M$27,Inputs!$B$4="Chapter Hunt"),CHOOSE(ArtifactsInput!$N$27+1,20,24,28,32,36,40),0)/100)))))/Skills!H11,1)))/Inputs!$B$43),G482*Q482))*IF(Inputs!$B$38="pvp",1,(1+(Inputs!$B$21+Skills!Q11+(IF(ArtifactsInput!$M$33,CHOOSE(ArtifactsInput!$N$33+1,30,36,42,48,54,60),0))+(IF(AND(ArtifactsInput!$M$35,Inputs!$B$4&lt;&gt;"Chapter Hunt"),CHOOSE(ArtifactsInput!$N$35+1,15,18,21,24,27,30)*(1-EXP(-(0.2*B500)*5)),0)+IF(AND(ArtifactsInput!$M$22,Inputs!$B$4&lt;&gt;"Chapter Hunt"),CHOOSE(ArtifactsInput!$N$22+1,10,12,14,16,18,20)*((0*(((0.15*B500*5))^0/1)+1*(((0.15*B500*5))^1/1)+2*(((0.15*B500*5))^2/2)+3*(((0.15*B500*5))^3/6)+4*(((0.15*B500*5))^4/24)+5*(((0.15*B500*5))^5/120))/((((0.15*B500*5))^0/1)+(((0.15*B500*5))^1/1)+(((0.15*B500*5))^2/2)+(((0.15*B500*5))^3/6)+(((0.15*B500*5))^4/24)+(((0.15*B500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3">
      <c r="A483">
        <f>Skills!A12</f>
        <v/>
      </c>
      <c r="B483">
        <f>Skills!B12</f>
        <v/>
      </c>
      <c r="C483">
        <f>Inputs!$B$3&gt;=100</f>
        <v/>
      </c>
      <c r="D483">
        <f>IF(Skills!C12=1,60+Inputs!$B$25+Inputs!$B$29,IF(Skills!C12=2,90+Inputs!$B$26+Inputs!$B$29,IF(Skills!C12=3,120+Inputs!$B$27+Inputs!$B$29,MAX(0,(Inputs!$B$3-100)*3)+Inputs!$B$28+Inputs!$B$29)))</f>
        <v/>
      </c>
      <c r="E483">
        <f>INDEX(FactorTable!$B$2:$Y$301, MATCH(ROUND(MIN(300,MAX(1,D483)),0), FactorTable!$A$2:$A$301,0), Skills!M12+1)</f>
        <v/>
      </c>
      <c r="F483">
        <f>IF(Skills!N12=TRUE,(Skills!L12/10)*(E483/1000),Skills!L12/10)+Skills!O12</f>
        <v/>
      </c>
      <c r="G483" t="inlineStr"/>
      <c r="H483" t="inlineStr"/>
      <c r="I483" t="inlineStr">
        <is>
          <t>1</t>
        </is>
      </c>
      <c r="J483" t="inlineStr"/>
      <c r="K483" t="inlineStr"/>
      <c r="L483" t="inlineStr"/>
      <c r="M483" t="inlineStr"/>
      <c r="N483" t="inlineStr"/>
      <c r="O483" t="inlineStr"/>
      <c r="P483" t="inlineStr"/>
      <c r="Q483" t="inlineStr"/>
      <c r="R483" t="inlineStr"/>
      <c r="S483" t="inlineStr"/>
    </row>
    <row r="484">
      <c r="A484">
        <f>Skills!A13</f>
        <v/>
      </c>
      <c r="B484">
        <f>Skills!B13</f>
        <v/>
      </c>
      <c r="C484">
        <f>Inputs!$B$3&gt;=45</f>
        <v/>
      </c>
      <c r="D484">
        <f>IF(Skills!C13=1,60+Inputs!$B$25+Inputs!$B$29,IF(Skills!C13=2,90+Inputs!$B$26+Inputs!$B$29,IF(Skills!C13=3,120+Inputs!$B$27+Inputs!$B$29,MAX(0,(Inputs!$B$3-100)*3)+Inputs!$B$28+Inputs!$B$29)))</f>
        <v/>
      </c>
      <c r="E484">
        <f>INDEX(FactorTable!$B$2:$Y$301, MATCH(ROUND(MIN(300,MAX(1,D484)),0), FactorTable!$A$2:$A$301,0), Skills!M13+1)</f>
        <v/>
      </c>
      <c r="F484">
        <f>IF(Skills!N13=TRUE,(Skills!L13/10)*(E484/1000),Skills!L13/10)+Skills!O13</f>
        <v/>
      </c>
      <c r="G484">
        <f>Skills!G13*IF(Skills!H13&gt;0,Skills!I13/Skills!H13,1)</f>
        <v/>
      </c>
      <c r="H484">
        <f>1-(1-Skills!J13/100)^Skills!K13</f>
        <v/>
      </c>
      <c r="I484" t="inlineStr">
        <is>
          <t>1</t>
        </is>
      </c>
      <c r="J484" t="inlineStr"/>
      <c r="K484" t="inlineStr"/>
      <c r="L484" t="inlineStr"/>
      <c r="M484" t="inlineStr"/>
      <c r="N484" t="inlineStr"/>
      <c r="O484">
        <f>(1-Summary!$B$11)*T484+Summary!$B$11*V484</f>
        <v/>
      </c>
      <c r="P484">
        <f>IF(B508=0,0,O484/B508)</f>
        <v/>
      </c>
      <c r="Q484" t="n">
        <v>0</v>
      </c>
      <c r="R484" t="n">
        <v>0</v>
      </c>
      <c r="S484">
        <f>IFERROR(O484/N484,0)</f>
        <v/>
      </c>
      <c r="T484" t="n">
        <v>0</v>
      </c>
      <c r="V484" t="n">
        <v>0</v>
      </c>
    </row>
    <row r="485">
      <c r="A485">
        <f>Skills!A14</f>
        <v/>
      </c>
      <c r="B485">
        <f>Skills!B14</f>
        <v/>
      </c>
      <c r="C485">
        <f>Inputs!$B$3&gt;=110</f>
        <v/>
      </c>
      <c r="D485">
        <f>IF(Skills!C14=1,60+Inputs!$B$25+Inputs!$B$29,IF(Skills!C14=2,90+Inputs!$B$26+Inputs!$B$29,IF(Skills!C14=3,120+Inputs!$B$27+Inputs!$B$29,MAX(0,(Inputs!$B$3-100)*3)+Inputs!$B$28+Inputs!$B$29)))</f>
        <v/>
      </c>
      <c r="E485">
        <f>INDEX(FactorTable!$B$2:$Y$301, MATCH(ROUND(MIN(300,MAX(1,D485)),0), FactorTable!$A$2:$A$301,0), Skills!M14+1)</f>
        <v/>
      </c>
      <c r="F485">
        <f>IF(Skills!N14=TRUE,(Skills!L14/10)*(E485/1000),Skills!L14/10)+Skills!O14</f>
        <v/>
      </c>
      <c r="G485">
        <f>Skills!G14*IF(Skills!H14&gt;0,Skills!I14/Skills!H14,1)</f>
        <v/>
      </c>
      <c r="H485">
        <f>1-(1-Skills!J14/100)^Skills!K14</f>
        <v/>
      </c>
      <c r="I485" t="inlineStr">
        <is>
          <t>1</t>
        </is>
      </c>
      <c r="J485" t="inlineStr"/>
      <c r="K485" t="inlineStr"/>
      <c r="L485" t="inlineStr"/>
      <c r="M485" t="inlineStr"/>
      <c r="N485" t="inlineStr"/>
      <c r="O485">
        <f>(1-Summary!$B$11)*T485+Summary!$B$11*V485</f>
        <v/>
      </c>
      <c r="P485">
        <f>IF(B508=0,0,O485/B508)</f>
        <v/>
      </c>
      <c r="Q485" t="n">
        <v>0</v>
      </c>
      <c r="R485" t="n">
        <v>0</v>
      </c>
      <c r="S485">
        <f>IFERROR(O485/N485,0)</f>
        <v/>
      </c>
      <c r="T485" t="n">
        <v>0</v>
      </c>
      <c r="V485" t="n">
        <v>0</v>
      </c>
    </row>
    <row r="486">
      <c r="A486">
        <f>Skills!A15</f>
        <v/>
      </c>
      <c r="B486">
        <f>Skills!B15</f>
        <v/>
      </c>
      <c r="C486">
        <f>Inputs!$B$3&gt;=75</f>
        <v/>
      </c>
      <c r="D486">
        <f>IF(Skills!C15=1,60+Inputs!$B$25+Inputs!$B$29,IF(Skills!C15=2,90+Inputs!$B$26+Inputs!$B$29,IF(Skills!C15=3,120+Inputs!$B$27+Inputs!$B$29,MAX(0,(Inputs!$B$3-100)*3)+Inputs!$B$28+Inputs!$B$29)))</f>
        <v/>
      </c>
      <c r="E486">
        <f>INDEX(FactorTable!$B$2:$Y$301, MATCH(ROUND(MIN(300,MAX(1,D486)),0), FactorTable!$A$2:$A$301,0), Skills!M15+1)</f>
        <v/>
      </c>
      <c r="F486">
        <f>IF(Skills!N15=TRUE,(Skills!L15/10)*(E486/1000),Skills!L15/10)+Skills!O15</f>
        <v/>
      </c>
      <c r="G486">
        <f>Skills!G15*IF(Skills!H15&gt;0,Skills!I15/Skills!H15,1)</f>
        <v/>
      </c>
      <c r="H486">
        <f>1-(1-Skills!J15/100)^Skills!K15</f>
        <v/>
      </c>
      <c r="I486" t="inlineStr">
        <is>
          <t>1</t>
        </is>
      </c>
      <c r="J486" t="inlineStr"/>
      <c r="K486" t="inlineStr"/>
      <c r="L486" t="inlineStr"/>
      <c r="M486" t="inlineStr"/>
      <c r="N486" t="inlineStr"/>
      <c r="O486">
        <f>(1-Summary!$B$11)*T486+Summary!$B$11*V486</f>
        <v/>
      </c>
      <c r="P486">
        <f>IF(B508=0,0,O486/B508)</f>
        <v/>
      </c>
      <c r="Q486">
        <f>IFERROR(1/(IF(Inputs!$B$38="pvp",15,MAX(0.1,Skills!D15-IF(Skills!E15=TRUE,Inputs!$B$32,0)))*(1-IF(AND(ArtifactsInput!$M$27,Inputs!$B$4="Chapter Hunt"),CHOOSE(ArtifactsInput!$N$27+1,20,24,28,32,36,40),0)/100)),0)</f>
        <v/>
      </c>
      <c r="R486">
        <f>IF(AND(Inputs!$B$38&lt;&gt;"pvp",Inputs!$B$43&gt;0),IF(Inputs!$B$43&lt;=0,0,(INT(Inputs!$B$43/(IF(Inputs!$B$38="pvp",15,MAX(0.1,Skills!D15-IF(Skills!E15=TRUE,Inputs!$B$32,0)))*(1-IF(AND(ArtifactsInput!$M$27,Inputs!$B$4="Chapter Hunt"),CHOOSE(ArtifactsInput!$N$27+1,20,24,28,32,36,40),0)/100)))+1)),0)</f>
        <v/>
      </c>
      <c r="S486">
        <f>IFERROR(O486/N486,0)</f>
        <v/>
      </c>
      <c r="T486" t="n">
        <v>0</v>
      </c>
      <c r="V486" t="n">
        <v>0</v>
      </c>
    </row>
    <row r="487">
      <c r="A487">
        <f>Skills!A16</f>
        <v/>
      </c>
      <c r="B487">
        <f>Skills!B16</f>
        <v/>
      </c>
      <c r="C487">
        <f>Inputs!$B$3&gt;=105</f>
        <v/>
      </c>
      <c r="D487">
        <f>IF(Skills!C16=1,60+Inputs!$B$25+Inputs!$B$29,IF(Skills!C16=2,90+Inputs!$B$26+Inputs!$B$29,IF(Skills!C16=3,120+Inputs!$B$27+Inputs!$B$29,MAX(0,(Inputs!$B$3-100)*3)+Inputs!$B$28+Inputs!$B$29)))</f>
        <v/>
      </c>
      <c r="E487">
        <f>INDEX(FactorTable!$B$2:$Y$301, MATCH(ROUND(MIN(300,MAX(1,D487)),0), FactorTable!$A$2:$A$301,0), Skills!M16+1)</f>
        <v/>
      </c>
      <c r="F487">
        <f>IF(Skills!N16=TRUE,(Skills!L16/10)*(E487/1000),Skills!L16/10)+Skills!O16</f>
        <v/>
      </c>
      <c r="G487">
        <f>Skills!G16*IF(Skills!H16&gt;0,Skills!I16/Skills!H16,1)</f>
        <v/>
      </c>
      <c r="H487">
        <f>1-(1-Skills!J16/100)^Skills!K16</f>
        <v/>
      </c>
      <c r="I487" t="inlineStr">
        <is>
          <t>1</t>
        </is>
      </c>
      <c r="J487" t="inlineStr"/>
      <c r="K487" t="inlineStr"/>
      <c r="L487" t="inlineStr"/>
      <c r="M487" t="inlineStr"/>
      <c r="N487" t="inlineStr"/>
      <c r="O487">
        <f>(1-Summary!$B$11)*T487+Summary!$B$11*V487</f>
        <v/>
      </c>
      <c r="P487">
        <f>IF(B508=0,0,O487/B508)</f>
        <v/>
      </c>
      <c r="Q487">
        <f>IFERROR(1/(IF(Inputs!$B$38="pvp",15,MAX(0.1,Skills!D16-IF(Skills!E16=TRUE,Inputs!$B$32,0)))*(1-IF(AND(ArtifactsInput!$M$27,Inputs!$B$4="Chapter Hunt"),CHOOSE(ArtifactsInput!$N$27+1,20,24,28,32,36,40),0)/100)),0)</f>
        <v/>
      </c>
      <c r="R487">
        <f>IF(AND(Inputs!$B$38&lt;&gt;"pvp",Inputs!$B$43&gt;0),IF(Inputs!$B$43&lt;=0,0,(INT(Inputs!$B$43/(IF(Inputs!$B$38="pvp",15,MAX(0.1,Skills!D16-IF(Skills!E16=TRUE,Inputs!$B$32,0)))*(1-IF(AND(ArtifactsInput!$M$27,Inputs!$B$4="Chapter Hunt"),CHOOSE(ArtifactsInput!$N$27+1,20,24,28,32,36,40),0)/100)))+1)),0)</f>
        <v/>
      </c>
      <c r="S487">
        <f>IFERROR(O487/N487,0)</f>
        <v/>
      </c>
      <c r="T487" t="n">
        <v>0</v>
      </c>
      <c r="V487" t="n">
        <v>0</v>
      </c>
    </row>
    <row r="488">
      <c r="A488">
        <f>Skills!A17</f>
        <v/>
      </c>
      <c r="B488">
        <f>Skills!B17</f>
        <v/>
      </c>
      <c r="C488">
        <f>Inputs!$B$3&gt;=115</f>
        <v/>
      </c>
      <c r="D488">
        <f>IF(Skills!C17=1,60+Inputs!$B$25+Inputs!$B$29,IF(Skills!C17=2,90+Inputs!$B$26+Inputs!$B$29,IF(Skills!C17=3,120+Inputs!$B$27+Inputs!$B$29,MAX(0,(Inputs!$B$3-100)*3)+Inputs!$B$28+Inputs!$B$29)))</f>
        <v/>
      </c>
      <c r="E488">
        <f>INDEX(FactorTable!$B$2:$Y$301, MATCH(ROUND(MIN(300,MAX(1,D488)),0), FactorTable!$A$2:$A$301,0), Skills!M17+1)</f>
        <v/>
      </c>
      <c r="F488">
        <f>IF(Skills!N17=TRUE,(Skills!L17/10)*(E488/1000),Skills!L17/10)+Skills!O17</f>
        <v/>
      </c>
      <c r="G488">
        <f>Skills!G17*IF(Skills!H17&gt;0,Skills!I17/Skills!H17,1)</f>
        <v/>
      </c>
      <c r="H488">
        <f>1-(1-Skills!J17/100)^Skills!K17</f>
        <v/>
      </c>
      <c r="I488" t="inlineStr">
        <is>
          <t>1</t>
        </is>
      </c>
      <c r="J488" t="inlineStr"/>
      <c r="K488" t="inlineStr"/>
      <c r="L488" t="inlineStr"/>
      <c r="M488" t="inlineStr"/>
      <c r="N488" t="inlineStr"/>
      <c r="O488">
        <f>(1-Summary!$B$11)*T488+Summary!$B$11*V488</f>
        <v/>
      </c>
      <c r="P488">
        <f>IF(B508=0,0,O488/B508)</f>
        <v/>
      </c>
      <c r="Q488">
        <f>IFERROR(1/(IF(Inputs!$B$38="pvp",15,MAX(0.1,Skills!D17-IF(Skills!E17=TRUE,Inputs!$B$32,0)))*(1-IF(AND(ArtifactsInput!$M$27,Inputs!$B$4="Chapter Hunt"),CHOOSE(ArtifactsInput!$N$27+1,20,24,28,32,36,40),0)/100)),0)</f>
        <v/>
      </c>
      <c r="R488">
        <f>IF(AND(Inputs!$B$38&lt;&gt;"pvp",Inputs!$B$43&gt;0),IF(Inputs!$B$43&lt;=0,0,(INT(Inputs!$B$43/(IF(Inputs!$B$38="pvp",15,MAX(0.1,Skills!D17-IF(Skills!E17=TRUE,Inputs!$B$32,0)))*(1-IF(AND(ArtifactsInput!$M$27,Inputs!$B$4="Chapter Hunt"),CHOOSE(ArtifactsInput!$N$27+1,20,24,28,32,36,40),0)/100)))+1)),0)</f>
        <v/>
      </c>
      <c r="S488">
        <f>IFERROR(O488/N488,0)</f>
        <v/>
      </c>
      <c r="T488" t="n">
        <v>0</v>
      </c>
      <c r="V488" t="n">
        <v>0</v>
      </c>
    </row>
    <row r="489">
      <c r="A489">
        <f>Skills!A18</f>
        <v/>
      </c>
      <c r="B489">
        <f>Skills!B18</f>
        <v/>
      </c>
      <c r="C489">
        <f>Inputs!$B$3&gt;=74</f>
        <v/>
      </c>
      <c r="D489">
        <f>IF(Skills!C18=1,60+Inputs!$B$25+Inputs!$B$29,IF(Skills!C18=2,90+Inputs!$B$26+Inputs!$B$29,IF(Skills!C18=3,120+Inputs!$B$27+Inputs!$B$29,MAX(0,(Inputs!$B$3-100)*3)+Inputs!$B$28+Inputs!$B$29)))</f>
        <v/>
      </c>
      <c r="E489">
        <f>INDEX(FactorTable!$B$2:$Y$301, MATCH(ROUND(MIN(300,MAX(1,D489)),0), FactorTable!$A$2:$A$301,0), Skills!M18+1)</f>
        <v/>
      </c>
      <c r="F489">
        <f>IF(Skills!N18=TRUE,(Skills!L18/10)*(E489/1000),Skills!L18/10)+Skills!O18</f>
        <v/>
      </c>
      <c r="G489">
        <f>Skills!G18*IF(Skills!H18&gt;0,Skills!I18/Skills!H18,1)</f>
        <v/>
      </c>
      <c r="H489">
        <f>1-(1-Skills!J18/100)^Skills!K18</f>
        <v/>
      </c>
      <c r="I489" t="inlineStr">
        <is>
          <t>1</t>
        </is>
      </c>
      <c r="J489" t="inlineStr"/>
      <c r="K489" t="inlineStr"/>
      <c r="L489" t="inlineStr"/>
      <c r="M489" t="inlineStr"/>
      <c r="N489" t="inlineStr"/>
      <c r="O489">
        <f>(1-Summary!$B$11)*T489+Summary!$B$11*V489</f>
        <v/>
      </c>
      <c r="P489">
        <f>IF(B508=0,0,O489/B508)</f>
        <v/>
      </c>
      <c r="Q489">
        <f>IFERROR(1/(IF(Inputs!$B$38="pvp",15,MAX(0.1,Skills!D18-IF(Skills!E18=TRUE,Inputs!$B$32,0)))*(1-IF(AND(ArtifactsInput!$M$27,Inputs!$B$4="Chapter Hunt"),CHOOSE(ArtifactsInput!$N$27+1,20,24,28,32,36,40),0)/100)),0)</f>
        <v/>
      </c>
      <c r="R489">
        <f>IF(AND(Inputs!$B$38&lt;&gt;"pvp",Inputs!$B$43&gt;0),IF(Inputs!$B$43&lt;=0,0,(INT(Inputs!$B$43/(IF(Inputs!$B$38="pvp",15,MAX(0.1,Skills!D18-IF(Skills!E18=TRUE,Inputs!$B$32,0)))*(1-IF(AND(ArtifactsInput!$M$27,Inputs!$B$4="Chapter Hunt"),CHOOSE(ArtifactsInput!$N$27+1,20,24,28,32,36,40),0)/100)))+1)),0)</f>
        <v/>
      </c>
      <c r="S489">
        <f>IFERROR(O489/N489,0)</f>
        <v/>
      </c>
      <c r="T489" t="n">
        <v>0</v>
      </c>
      <c r="V489" t="n">
        <v>0</v>
      </c>
    </row>
    <row r="490">
      <c r="A490">
        <f>Skills!A19</f>
        <v/>
      </c>
      <c r="B490">
        <f>Skills!B19</f>
        <v/>
      </c>
      <c r="C490">
        <f>TRUE</f>
        <v/>
      </c>
      <c r="D490">
        <f>IF(Skills!C19=1,60+Inputs!$B$25+Inputs!$B$29,IF(Skills!C19=2,90+Inputs!$B$26+Inputs!$B$29,IF(Skills!C19=3,120+Inputs!$B$27+Inputs!$B$29,MAX(0,(Inputs!$B$3-100)*3)+Inputs!$B$28+Inputs!$B$29)))</f>
        <v/>
      </c>
      <c r="E490">
        <f>INDEX(FactorTable!$B$2:$Y$301, MATCH(ROUND(MIN(300,MAX(1,D490)),0), FactorTable!$A$2:$A$301,0), Skills!M19+1)</f>
        <v/>
      </c>
      <c r="F490">
        <f>IF(Skills!N19=TRUE,(Skills!L19/10)*(E490/1000),Skills!L19/10)+Skills!O19</f>
        <v/>
      </c>
      <c r="G490">
        <f>Skills!G19*IF(Skills!H19&gt;0,Skills!I19/Skills!H19,1)</f>
        <v/>
      </c>
      <c r="H490">
        <f>1-(1-Skills!J19/100)^Skills!K19</f>
        <v/>
      </c>
      <c r="I490" t="inlineStr">
        <is>
          <t>1</t>
        </is>
      </c>
      <c r="J490" t="inlineStr"/>
      <c r="K490" t="inlineStr"/>
      <c r="L490" t="inlineStr"/>
      <c r="M490" t="inlineStr"/>
      <c r="N490" t="inlineStr"/>
      <c r="O490">
        <f>(1-Summary!$B$11)*T490+Summary!$B$11*V490</f>
        <v/>
      </c>
      <c r="P490">
        <f>IF(B508=0,0,O490/B508)</f>
        <v/>
      </c>
      <c r="Q490">
        <f>IFERROR(1/(IF(Inputs!$B$38="pvp",15,MAX(0.1,Skills!D19-IF(Skills!E19=TRUE,Inputs!$B$32,0)))*(1-IF(AND(ArtifactsInput!$M$27,Inputs!$B$4="Chapter Hunt"),CHOOSE(ArtifactsInput!$N$27+1,20,24,28,32,36,40),0)/100)),0)</f>
        <v/>
      </c>
      <c r="R490">
        <f>IF(AND(Inputs!$B$38&lt;&gt;"pvp",Inputs!$B$43&gt;0),IF(Inputs!$B$43&lt;=0,0,(INT(Inputs!$B$43/(IF(Inputs!$B$38="pvp",15,MAX(0.1,Skills!D19-IF(Skills!E19=TRUE,Inputs!$B$32,0)))*(1-IF(AND(ArtifactsInput!$M$27,Inputs!$B$4="Chapter Hunt"),CHOOSE(ArtifactsInput!$N$27+1,20,24,28,32,36,40),0)/100)))+1)),0)</f>
        <v/>
      </c>
      <c r="S490">
        <f>IFERROR(O490/N490,0)</f>
        <v/>
      </c>
      <c r="T490" t="n">
        <v>0</v>
      </c>
      <c r="V490" t="n">
        <v>0</v>
      </c>
    </row>
    <row r="491">
      <c r="A491">
        <f>Skills!A20</f>
        <v/>
      </c>
      <c r="B491">
        <f>Skills!B20</f>
        <v/>
      </c>
      <c r="C491">
        <f>Inputs!$B$3&gt;=33</f>
        <v/>
      </c>
      <c r="D491">
        <f>IF(Skills!C20=1,60+Inputs!$B$25+Inputs!$B$29,IF(Skills!C20=2,90+Inputs!$B$26+Inputs!$B$29,IF(Skills!C20=3,120+Inputs!$B$27+Inputs!$B$29,MAX(0,(Inputs!$B$3-100)*3)+Inputs!$B$28+Inputs!$B$29)))</f>
        <v/>
      </c>
      <c r="E491">
        <f>INDEX(FactorTable!$B$2:$Y$301, MATCH(ROUND(MIN(300,MAX(1,D491)),0), FactorTable!$A$2:$A$301,0), Skills!M20+1)</f>
        <v/>
      </c>
      <c r="F491">
        <f>IF(Skills!N20=TRUE,(Skills!L20/10)*(E491/1000),Skills!L20/10)+Skills!O20</f>
        <v/>
      </c>
      <c r="G491">
        <f>Skills!G20*IF(Skills!H20&gt;0,Skills!I20/Skills!H20,1)</f>
        <v/>
      </c>
      <c r="H491">
        <f>1-(1-Skills!J20/100)^Skills!K20</f>
        <v/>
      </c>
      <c r="I491" t="inlineStr">
        <is>
          <t>1</t>
        </is>
      </c>
      <c r="J491" t="inlineStr"/>
      <c r="K491" t="inlineStr"/>
      <c r="L491" t="inlineStr"/>
      <c r="M491" t="inlineStr"/>
      <c r="N491" t="inlineStr"/>
      <c r="O491">
        <f>(1-Summary!$B$11)*T491+Summary!$B$11*V491</f>
        <v/>
      </c>
      <c r="P491">
        <f>IF(B508=0,0,O491/B508)</f>
        <v/>
      </c>
      <c r="Q491" t="n">
        <v>0</v>
      </c>
      <c r="R491" t="n">
        <v>0</v>
      </c>
      <c r="S491">
        <f>IFERROR(O491/N491,0)</f>
        <v/>
      </c>
      <c r="T491" t="n">
        <v>0</v>
      </c>
      <c r="V491" t="n">
        <v>0</v>
      </c>
    </row>
    <row r="492">
      <c r="A492">
        <f>Skills!A21</f>
        <v/>
      </c>
      <c r="B492">
        <f>Skills!B21</f>
        <v/>
      </c>
      <c r="C492">
        <f>Inputs!$B$3&gt;=38</f>
        <v/>
      </c>
      <c r="D492">
        <f>IF(Skills!C21=1,60+Inputs!$B$25+Inputs!$B$29,IF(Skills!C21=2,90+Inputs!$B$26+Inputs!$B$29,IF(Skills!C21=3,120+Inputs!$B$27+Inputs!$B$29,MAX(0,(Inputs!$B$3-100)*3)+Inputs!$B$28+Inputs!$B$29)))</f>
        <v/>
      </c>
      <c r="E492">
        <f>INDEX(FactorTable!$B$2:$Y$301, MATCH(ROUND(MIN(300,MAX(1,D492)),0), FactorTable!$A$2:$A$301,0), Skills!M21+1)</f>
        <v/>
      </c>
      <c r="F492">
        <f>IF(Skills!N21=TRUE,(Skills!L21/10)*(E492/1000),Skills!L21/10)+Skills!O21</f>
        <v/>
      </c>
      <c r="G492">
        <f>Skills!G21*IF(Skills!H21&gt;0,Skills!I21/Skills!H21,1)</f>
        <v/>
      </c>
      <c r="H492">
        <f>1-(1-Skills!J21/100)^Skills!K21</f>
        <v/>
      </c>
      <c r="I492" t="inlineStr">
        <is>
          <t>1</t>
        </is>
      </c>
      <c r="J492" t="inlineStr"/>
      <c r="K492" t="inlineStr"/>
      <c r="L492" t="inlineStr"/>
      <c r="M492" t="inlineStr"/>
      <c r="N492" t="inlineStr"/>
      <c r="O492">
        <f>(1-Summary!$B$11)*T492+Summary!$B$11*V492</f>
        <v/>
      </c>
      <c r="P492">
        <f>IF(B508=0,0,O492/B508)</f>
        <v/>
      </c>
      <c r="Q492" t="n">
        <v>0</v>
      </c>
      <c r="R492" t="n">
        <v>0</v>
      </c>
      <c r="S492">
        <f>IFERROR(O492/N492,0)</f>
        <v/>
      </c>
      <c r="T492" t="n">
        <v>0</v>
      </c>
      <c r="V492" t="n">
        <v>0</v>
      </c>
    </row>
    <row r="493">
      <c r="A493">
        <f>Skills!A22</f>
        <v/>
      </c>
      <c r="B493">
        <f>Skills!B22</f>
        <v/>
      </c>
      <c r="C493">
        <f>Inputs!$B$3&gt;=43</f>
        <v/>
      </c>
      <c r="D493">
        <f>IF(Skills!C22=1,60+Inputs!$B$25+Inputs!$B$29,IF(Skills!C22=2,90+Inputs!$B$26+Inputs!$B$29,IF(Skills!C22=3,120+Inputs!$B$27+Inputs!$B$29,MAX(0,(Inputs!$B$3-100)*3)+Inputs!$B$28+Inputs!$B$29)))</f>
        <v/>
      </c>
      <c r="E493">
        <f>INDEX(FactorTable!$B$2:$Y$301, MATCH(ROUND(MIN(300,MAX(1,D493)),0), FactorTable!$A$2:$A$301,0), Skills!M22+1)</f>
        <v/>
      </c>
      <c r="F493">
        <f>IF(Skills!N22=TRUE,(Skills!L22/10)*(E493/1000),Skills!L22/10)+Skills!O22</f>
        <v/>
      </c>
      <c r="G493">
        <f>Skills!G22*IF(Skills!H22&gt;0,Skills!I22/Skills!H22,1)</f>
        <v/>
      </c>
      <c r="H493">
        <f>1-(1-Skills!J22/100)^Skills!K22</f>
        <v/>
      </c>
      <c r="I493" t="inlineStr">
        <is>
          <t>1</t>
        </is>
      </c>
      <c r="J493" t="inlineStr"/>
      <c r="K493" t="inlineStr"/>
      <c r="L493" t="inlineStr"/>
      <c r="M493" t="inlineStr"/>
      <c r="N493" t="inlineStr"/>
      <c r="O493">
        <f>(1-Summary!$B$11)*T493+Summary!$B$11*V493</f>
        <v/>
      </c>
      <c r="P493">
        <f>IF(B508=0,0,O493/B508)</f>
        <v/>
      </c>
      <c r="Q493" t="n">
        <v>0</v>
      </c>
      <c r="R493" t="n">
        <v>0</v>
      </c>
      <c r="S493">
        <f>IFERROR(O493/N493,0)</f>
        <v/>
      </c>
      <c r="T493" t="n">
        <v>0</v>
      </c>
      <c r="V493" t="n">
        <v>0</v>
      </c>
    </row>
    <row r="494">
      <c r="A494">
        <f>Skills!A23</f>
        <v/>
      </c>
      <c r="B494">
        <f>Skills!B23</f>
        <v/>
      </c>
      <c r="C494">
        <f>Inputs!$B$3&gt;=120</f>
        <v/>
      </c>
      <c r="D494">
        <f>IF(Skills!C23=1,60+Inputs!$B$25+Inputs!$B$29,IF(Skills!C23=2,90+Inputs!$B$26+Inputs!$B$29,IF(Skills!C23=3,120+Inputs!$B$27+Inputs!$B$29,MAX(0,(Inputs!$B$3-100)*3)+Inputs!$B$28+Inputs!$B$29)))</f>
        <v/>
      </c>
      <c r="E494">
        <f>INDEX(FactorTable!$B$2:$Y$301, MATCH(ROUND(MIN(300,MAX(1,D494)),0), FactorTable!$A$2:$A$301,0), Skills!M23+1)</f>
        <v/>
      </c>
      <c r="F494">
        <f>IF(Skills!N23=TRUE,(Skills!L23/10)*(E494/1000),Skills!L23/10)+Skills!O23</f>
        <v/>
      </c>
      <c r="G494">
        <f>Skills!G23*IF(Skills!H23&gt;0,Skills!I23/Skills!H23,1)</f>
        <v/>
      </c>
      <c r="H494">
        <f>1-(1-Skills!J23/100)^Skills!K23</f>
        <v/>
      </c>
      <c r="I494" t="inlineStr">
        <is>
          <t>1</t>
        </is>
      </c>
      <c r="J494" t="inlineStr"/>
      <c r="K494" t="inlineStr"/>
      <c r="L494" t="inlineStr"/>
      <c r="M494" t="inlineStr"/>
      <c r="N494" t="inlineStr"/>
      <c r="O494">
        <f>(1-Summary!$B$11)*T494+Summary!$B$11*V494</f>
        <v/>
      </c>
      <c r="P494">
        <f>IF(B508=0,0,O494/B508)</f>
        <v/>
      </c>
      <c r="Q494" t="n">
        <v>0</v>
      </c>
      <c r="R494" t="n">
        <v>0</v>
      </c>
      <c r="S494">
        <f>IFERROR(O494/N494,0)</f>
        <v/>
      </c>
      <c r="T494" t="n">
        <v>0</v>
      </c>
      <c r="V494" t="n">
        <v>0</v>
      </c>
    </row>
    <row r="495">
      <c r="A495">
        <f>Skills!A24</f>
        <v/>
      </c>
      <c r="B495">
        <f>Skills!B24</f>
        <v/>
      </c>
      <c r="C495">
        <f>Inputs!$B$3&gt;=120</f>
        <v/>
      </c>
      <c r="D495">
        <f>IF(Skills!C24=1,60+Inputs!$B$25+Inputs!$B$29,IF(Skills!C24=2,90+Inputs!$B$26+Inputs!$B$29,IF(Skills!C24=3,120+Inputs!$B$27+Inputs!$B$29,MAX(0,(Inputs!$B$3-100)*3)+Inputs!$B$28+Inputs!$B$29)))</f>
        <v/>
      </c>
      <c r="E495">
        <f>INDEX(FactorTable!$B$2:$Y$301, MATCH(ROUND(MIN(300,MAX(1,D495)),0), FactorTable!$A$2:$A$301,0), Skills!M24+1)</f>
        <v/>
      </c>
      <c r="F495">
        <f>IF(Skills!N24=TRUE,(Skills!L24/10)*(E495/1000),Skills!L24/10)+Skills!O24</f>
        <v/>
      </c>
      <c r="G495">
        <f>Skills!G24*IF(Skills!H24&gt;0,Skills!I24/Skills!H24,1)</f>
        <v/>
      </c>
      <c r="H495">
        <f>1-(1-Skills!J24/100)^Skills!K24</f>
        <v/>
      </c>
      <c r="I495" t="inlineStr">
        <is>
          <t>1</t>
        </is>
      </c>
      <c r="J495" t="inlineStr"/>
      <c r="K495" t="inlineStr"/>
      <c r="L495" t="inlineStr"/>
      <c r="M495" t="inlineStr"/>
      <c r="N495" t="inlineStr"/>
      <c r="O495">
        <f>(1-Summary!$B$11)*T495+Summary!$B$11*V495</f>
        <v/>
      </c>
      <c r="P495">
        <f>IF(B508=0,0,O495/B508)</f>
        <v/>
      </c>
      <c r="Q495" t="n">
        <v>0</v>
      </c>
      <c r="R495" t="n">
        <v>0</v>
      </c>
      <c r="S495">
        <f>IFERROR(O495/N495,0)</f>
        <v/>
      </c>
      <c r="T495" t="n">
        <v>0</v>
      </c>
      <c r="V495" t="n">
        <v>0</v>
      </c>
    </row>
    <row r="497">
      <c r="A497" t="inlineStr">
        <is>
          <t>Attack% Bucket Multiplier</t>
        </is>
      </c>
      <c r="B497">
        <f>(1+(((C484=TRUE)*F484*MIN(1,Skills!T13*(Skills!J13/100)*B502))+((C489=TRUE)*F489*IF(AND(Inputs!$B$38&lt;&gt;"pvp",Inputs!$B$43&gt;0),(((R489-1)*(Skills!T18*(1+Inputs!$B$34/100))+MIN((Skills!T18*(1+Inputs!$B$34/100)),MAX(0,Inputs!$B$43-((R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98">
      <c r="A498" t="inlineStr">
        <is>
          <t>Global Crit Rate Bonus %</t>
        </is>
      </c>
      <c r="B498" t="n">
        <v>0</v>
      </c>
    </row>
    <row r="499">
      <c r="A499" t="inlineStr">
        <is>
          <t>Attack Speed Buff Bonus %</t>
        </is>
      </c>
      <c r="B499">
        <f>((C490=TRUE)*F490*IF(AND(Inputs!$B$38&lt;&gt;"pvp",Inputs!$B$43&gt;0),(((R490-1)*(Skills!T19*(1+Inputs!$B$34/100))+MIN((Skills!T19*(1+Inputs!$B$34/100)),MAX(0,Inputs!$B$43-((R490-1)*Skills!D19))))/Inputs!$B$43),IF(Inputs!$B$38="pvp",MIN((Skills!T19*(1+Inputs!$B$34/100)),15)/15,(Skills!T19*(1+Inputs!$B$34/100))/Skills!D19)))</f>
        <v/>
      </c>
    </row>
    <row r="500">
      <c r="A500" t="inlineStr">
        <is>
          <t>Actions Per Second</t>
        </is>
      </c>
      <c r="B500">
        <f>1+MIN(150,150*(1-(1-(Inputs!$B$11+((C491=TRUE)*(F491-Calc!F20)))/150)*(1-B499/150)))/100</f>
        <v/>
      </c>
    </row>
    <row r="501">
      <c r="A501" t="inlineStr">
        <is>
          <t>Skill + Buff Cast Rate</t>
        </is>
      </c>
      <c r="B501">
        <f>IF(AND(Inputs!$B$38&lt;&gt;"pvp",Inputs!$B$43&gt;0),SUMPRODUCT((Skills!E2:E24=TRUE)*(C473:C495=TRUE)*R473:R495*Skills!F2:F24)/Inputs!$B$43,SUMPRODUCT((Skills!E2:E24=TRUE)*(C473:C495=TRUE)*Q473:Q495*Skills!F2:F24))</f>
        <v/>
      </c>
    </row>
    <row r="502">
      <c r="A502" t="inlineStr">
        <is>
          <t>Blast Casts Per Second</t>
        </is>
      </c>
      <c r="B502">
        <f>MAX(0,B500-B501)</f>
        <v/>
      </c>
    </row>
    <row r="503">
      <c r="A503" t="inlineStr">
        <is>
          <t>Global Critical Damage Bonus % (unused)</t>
        </is>
      </c>
      <c r="B503" t="n">
        <v>0</v>
      </c>
    </row>
    <row r="504">
      <c r="A504" t="inlineStr">
        <is>
          <t>Global Final Damage Bonus % (Divine Shield + Guardian + Divine Blessing + Greater Vessel of Light)</t>
        </is>
      </c>
      <c r="B504">
        <f>((C486=TRUE)*F486*IF(AND(Inputs!$B$38&lt;&gt;"pvp",Inputs!$B$43&gt;0),(((R486-1)*(Skills!T15*(1+Inputs!$B$34/100))+MIN((Skills!T15*(1+Inputs!$B$34/100)),MAX(0,Inputs!$B$43-((R486-1)*Skills!D15))))/Inputs!$B$43),IF(Inputs!$B$38="pvp",MIN((Skills!T15*(1+Inputs!$B$34/100)),15)/15,(Skills!T15*(1+Inputs!$B$34/100))/Skills!D15)))+((C487=TRUE)*F487*IF(AND(Inputs!$B$38&lt;&gt;"pvp",Inputs!$B$43&gt;0),(((R487-1)*(Skills!T16*(1+Inputs!$B$34/100))+MIN((Skills!T16*(1+Inputs!$B$34/100)),MAX(0,Inputs!$B$43-((R487-1)*Skills!D16))))/Inputs!$B$43),IF(Inputs!$B$38="pvp",MIN((Skills!T16*(1+Inputs!$B$34/100)),15)/15,(Skills!T16*(1+Inputs!$B$34/100))/Skills!D16)))+((C488=TRUE)*F488*IF(AND(Inputs!$B$38&lt;&gt;"pvp",Inputs!$B$43&gt;0),(((R488-1)*(Skills!T17*(1+Inputs!$B$34/100))+MIN((Skills!T17*(1+Inputs!$B$34/100)),MAX(0,Inputs!$B$43-((R488-1)*Skills!D17))))/Inputs!$B$43),IF(Inputs!$B$38="pvp",MIN((Skills!T17*(1+Inputs!$B$34/100)),15)/15,(Skills!T17*(1+Inputs!$B$34/100))/Skills!D17)))+((C485=TRUE)*F485*MIN(1,Skills!T13*(Skills!J13/100)*B502))</f>
        <v/>
      </c>
    </row>
    <row r="505">
      <c r="A505" t="inlineStr">
        <is>
          <t>Buff-Casting Startup Delay (s, fixed-duration only)</t>
        </is>
      </c>
      <c r="B505">
        <f>IF(AND(Inputs!$B$38&lt;&gt;"pvp",Inputs!$B$43&gt;0),SUMPRODUCT((Skills!T2:T24&gt;0)*(Skills!E2:E24=TRUE)*(C473:C495=TRUE))/B500,0)</f>
        <v/>
      </c>
    </row>
    <row r="506">
      <c r="A506" t="inlineStr">
        <is>
          <t>Boss-Only Total DPS (this block's swept value)</t>
        </is>
      </c>
      <c r="B506">
        <f>SUM(T473:T495)</f>
        <v/>
      </c>
    </row>
    <row r="507">
      <c r="A507" t="inlineStr">
        <is>
          <t>Normal-Only Total DPS (this block's swept value)</t>
        </is>
      </c>
      <c r="B507">
        <f>SUM(V473:V495)</f>
        <v/>
      </c>
    </row>
    <row r="508">
      <c r="A508" s="6" t="inlineStr">
        <is>
          <t>TOTAL DPS</t>
        </is>
      </c>
      <c r="B508" s="6">
        <f>SUM(O473:O495)</f>
        <v/>
      </c>
    </row>
    <row r="511">
      <c r="A511" s="6" t="inlineStr">
        <is>
          <t>Stat: CRIT_DAMAGE %</t>
        </is>
      </c>
    </row>
    <row r="512">
      <c r="A512" s="5" t="inlineStr">
        <is>
          <t>Key</t>
        </is>
      </c>
      <c r="B512" s="5" t="inlineStr">
        <is>
          <t>Name</t>
        </is>
      </c>
      <c r="C512" s="5" t="inlineStr">
        <is>
          <t>Unlocked</t>
        </is>
      </c>
      <c r="D512" s="5" t="inlineStr">
        <is>
          <t>InputLevel</t>
        </is>
      </c>
      <c r="E512" s="5" t="inlineStr">
        <is>
          <t>Factor</t>
        </is>
      </c>
      <c r="F512" s="5" t="inlineStr">
        <is>
          <t>CoefficientPercent</t>
        </is>
      </c>
      <c r="G512" s="5" t="inlineStr">
        <is>
          <t>EffectiveHits</t>
        </is>
      </c>
      <c r="H512" s="5" t="inlineStr">
        <is>
          <t>ProcProbability</t>
        </is>
      </c>
      <c r="I512" s="5" t="inlineStr">
        <is>
          <t>MapleHeroMultiplier</t>
        </is>
      </c>
      <c r="J512" s="5" t="inlineStr">
        <is>
          <t>BaseDamage</t>
        </is>
      </c>
      <c r="K512" s="5" t="inlineStr">
        <is>
          <t>BaseHitDamage</t>
        </is>
      </c>
      <c r="L512" s="5" t="inlineStr">
        <is>
          <t>NonCritAvg</t>
        </is>
      </c>
      <c r="M512" s="5" t="inlineStr">
        <is>
          <t>CritAvg</t>
        </is>
      </c>
      <c r="N512" s="5" t="inlineStr">
        <is>
          <t>ExpectedDamage(perHit)</t>
        </is>
      </c>
      <c r="O512" s="5" t="inlineStr">
        <is>
          <t>DPS</t>
        </is>
      </c>
      <c r="P512" s="5" t="inlineStr">
        <is>
          <t>% of Total</t>
        </is>
      </c>
      <c r="Q512" s="5" t="inlineStr">
        <is>
          <t>InvCooldown</t>
        </is>
      </c>
      <c r="R512" s="5" t="inlineStr">
        <is>
          <t>CastsInFight</t>
        </is>
      </c>
      <c r="S512" s="5" t="inlineStr">
        <is>
          <t>HitRate(perSec)</t>
        </is>
      </c>
      <c r="U512" t="inlineStr">
        <is>
          <t>helpers</t>
        </is>
      </c>
    </row>
    <row r="513">
      <c r="A513">
        <f>Skills!A2</f>
        <v/>
      </c>
      <c r="B513">
        <f>Skills!B2</f>
        <v/>
      </c>
      <c r="C513">
        <f>Inputs!$B$3&gt;=100</f>
        <v/>
      </c>
      <c r="D513" t="inlineStr"/>
      <c r="E513" t="inlineStr"/>
      <c r="F513">
        <f>U515+Skills!O2</f>
        <v/>
      </c>
      <c r="G513">
        <f>Skills!G2*IF(Skills!H2&gt;0,Skills!I2/Skills!H2,1)</f>
        <v/>
      </c>
      <c r="H513">
        <f>1-(1-Skills!J2/100)^Skills!K2</f>
        <v/>
      </c>
      <c r="I513" t="inlineStr">
        <is>
          <t>1</t>
        </is>
      </c>
      <c r="J513">
        <f>((Inputs!$B$6*(1+Inputs!$B$7/100))+(((Inputs!$B$12*(1+Inputs!$B$13/100))-(Inputs!$B$12*(1+Inputs!$B$13/100)))+0.25*(Inputs!$B$14-Inputs!$B$14))*(1+Inputs!$B$7/100))*(F513/100)</f>
        <v/>
      </c>
      <c r="K513">
        <f>J513*(1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513)</f>
        <v/>
      </c>
      <c r="L513">
        <f>K513*(MIN(Inputs!$B$22+((C533=TRUE)*(F533-Calc!F22)),(Inputs!$B$23+((C535=TRUE)*(F535-Calc!F24))+(IF(ArtifactsInput!$M$15,CHOOSE(ArtifactsInput!$N$15+1,25,30,35,40,45,50)/100*(Inputs!$B$11-Inputs!$B$11),0))))/100+(Inputs!$B$23+((C535=TRUE)*(F535-Calc!F24))+(IF(ArtifactsInput!$M$15,CHOOSE(ArtifactsInput!$N$15+1,25,30,35,40,45,50)/100*(Inputs!$B$11-Inputs!$B$11),0)))/100)/2</f>
        <v/>
      </c>
      <c r="M513">
        <f>L513*(1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3">
        <f>L513*(1-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513*(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3">
        <f>(1-Summary!$B$11)*T513+Summary!$B$11*V513</f>
        <v/>
      </c>
      <c r="P513">
        <f>IF(B548=0,0,O513/B548)</f>
        <v/>
      </c>
      <c r="Q513" t="n">
        <v>0</v>
      </c>
      <c r="R513" t="n">
        <v>0</v>
      </c>
      <c r="S513">
        <f>IFERROR(O513/N513,0)</f>
        <v/>
      </c>
      <c r="T513">
        <f>IF(C513,(Skills!G2*N513*B542)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513*(1-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513*(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513*(1-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513*(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3">
        <f>MAX(0,(Inputs!$B$3-100)*3)+Inputs!$B$28+Inputs!$B$29</f>
        <v/>
      </c>
      <c r="V513">
        <f>IF(C513,(Skills!G2*N513*B542)*IF(Inputs!$B$38="pvp",1,(1+(Inputs!$B$21+Skills!Q2+(IF(ArtifactsInput!$M$33,CHOOSE(ArtifactsInput!$N$33+1,30,36,42,48,54,60),0))+(IF(AND(ArtifactsInput!$M$35,Inputs!$B$4&lt;&gt;"Chapter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4">
      <c r="A514">
        <f>Skills!A3</f>
        <v/>
      </c>
      <c r="B514">
        <f>Skills!B3</f>
        <v/>
      </c>
      <c r="C514">
        <f>Inputs!$B$3&gt;=50</f>
        <v/>
      </c>
      <c r="D514">
        <f>IF(Skills!C3=1,60+Inputs!$B$25+Inputs!$B$29,IF(Skills!C3=2,90+Inputs!$B$26+Inputs!$B$29,IF(Skills!C3=3,120+Inputs!$B$27+Inputs!$B$29,MAX(0,(Inputs!$B$3-100)*3)+Inputs!$B$28+Inputs!$B$29)))</f>
        <v/>
      </c>
      <c r="E514">
        <f>INDEX(FactorTable!$B$2:$Y$301, MATCH(ROUND(MIN(300,MAX(1,D514)),0), FactorTable!$A$2:$A$301,0), Skills!M3+1)</f>
        <v/>
      </c>
      <c r="F514">
        <f>IF(Skills!N3=TRUE,(Skills!L3/10)*(E514/1000),Skills!L3/10)+Skills!O3</f>
        <v/>
      </c>
      <c r="G514" t="inlineStr"/>
      <c r="H514" t="inlineStr"/>
      <c r="I514" t="inlineStr">
        <is>
          <t>1</t>
        </is>
      </c>
      <c r="J514" t="inlineStr"/>
      <c r="K514" t="inlineStr"/>
      <c r="L514" t="inlineStr"/>
      <c r="M514" t="inlineStr"/>
      <c r="N514" t="inlineStr"/>
      <c r="O514" t="inlineStr"/>
      <c r="P514" t="inlineStr"/>
      <c r="Q514" t="inlineStr"/>
      <c r="R514" t="inlineStr"/>
      <c r="S514" t="inlineStr"/>
      <c r="U514">
        <f>INDEX(FactorTable!$B$2:$Y$301, MATCH(ROUND(MIN(300,MAX(1,U513)),0), FactorTable!$A$2:$A$301,0), 22)</f>
        <v/>
      </c>
    </row>
    <row r="515">
      <c r="A515">
        <f>Skills!A4</f>
        <v/>
      </c>
      <c r="B515">
        <f>Skills!B4</f>
        <v/>
      </c>
      <c r="C515">
        <f>Inputs!$B$3&gt;=35</f>
        <v/>
      </c>
      <c r="D515">
        <f>IF(Skills!C4=1,60+Inputs!$B$25+Inputs!$B$29,IF(Skills!C4=2,90+Inputs!$B$26+Inputs!$B$29,IF(Skills!C4=3,120+Inputs!$B$27+Inputs!$B$29,MAX(0,(Inputs!$B$3-100)*3)+Inputs!$B$28+Inputs!$B$29)))</f>
        <v/>
      </c>
      <c r="E515">
        <f>INDEX(FactorTable!$B$2:$Y$301, MATCH(ROUND(MIN(300,MAX(1,D515)),0), FactorTable!$A$2:$A$301,0), Skills!M4+1)</f>
        <v/>
      </c>
      <c r="F515">
        <f>IF(Skills!N4=TRUE,(Skills!L4/10)*(E515/1000),Skills!L4/10)+Skills!O4</f>
        <v/>
      </c>
      <c r="G515">
        <f>Skills!G4*IF(Skills!H4&gt;0,Skills!I4/Skills!H4,1)</f>
        <v/>
      </c>
      <c r="H515">
        <f>1-(1-Skills!J4/100)^Skills!K4</f>
        <v/>
      </c>
      <c r="I515" t="inlineStr">
        <is>
          <t>1</t>
        </is>
      </c>
      <c r="J515">
        <f>((Inputs!$B$6*(1+Inputs!$B$7/100))+(((Inputs!$B$12*(1+Inputs!$B$13/100))-(Inputs!$B$12*(1+Inputs!$B$13/100)))+0.25*(Inputs!$B$14-Inputs!$B$14))*(1+Inputs!$B$7/100))*(F515/100)</f>
        <v/>
      </c>
      <c r="K515">
        <f>J515*(1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523=TRUE,F523,0)/100)*(1+(IF(Skills!A4="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515)</f>
        <v/>
      </c>
      <c r="L515">
        <f>K515*(MIN(Inputs!$B$22+((C533=TRUE)*(F533-Calc!F22)),(Inputs!$B$23+((C535=TRUE)*(F535-Calc!F24))+(IF(ArtifactsInput!$M$15,CHOOSE(ArtifactsInput!$N$15+1,25,30,35,40,45,50)/100*(Inputs!$B$11-Inputs!$B$11),0))))/100+(Inputs!$B$23+((C535=TRUE)*(F535-Calc!F24))+(IF(ArtifactsInput!$M$15,CHOOSE(ArtifactsInput!$N$15+1,25,30,35,40,45,50)/100*(Inputs!$B$11-Inputs!$B$11),0)))/100)/2</f>
        <v/>
      </c>
      <c r="M515">
        <f>L515*(1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5">
        <f>L515*(1-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515*(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5">
        <f>(1-Summary!$B$11)*T515+Summary!$B$11*V515</f>
        <v/>
      </c>
      <c r="P515">
        <f>IF(B548=0,0,O515/B548)</f>
        <v/>
      </c>
      <c r="Q515">
        <f>IFERROR(1/(IF(Inputs!$B$38="pvp",15,MAX(0.1,Skills!D4-IF(Skills!E4=TRUE,Inputs!$B$32,0)))*(1-IF(AND(ArtifactsInput!$M$27,Inputs!$B$4="Chapter Hunt"),CHOOSE(ArtifactsInput!$N$27+1,20,24,28,32,36,40),0)/100)),0)</f>
        <v/>
      </c>
      <c r="R515">
        <f>IF(AND(Inputs!$B$38&lt;&gt;"pvp",Inputs!$B$43&gt;0),IF(MAX(0,Inputs!$B$43-B545)&lt;=0,0,(INT(MAX(0,Inputs!$B$43-B545)/(IF(Inputs!$B$38="pvp",15,MAX(0.1,Skills!D4-IF(Skills!E4=TRUE,Inputs!$B$32,0)))*(1-IF(AND(ArtifactsInput!$M$27,Inputs!$B$4="Chapter Hunt"),CHOOSE(ArtifactsInput!$N$27+1,20,24,28,32,36,40),0)/100)))+1)),0)</f>
        <v/>
      </c>
      <c r="S515">
        <f>IFERROR(O515/N515,0)</f>
        <v/>
      </c>
      <c r="T515">
        <f>IF(C515,(H515*N515*IF(AND(Inputs!$B$38&lt;&gt;"pvp",Inputs!$B$43&gt;0),((Skills!G4*((R515-1)*IF(Skills!H4&gt;0,Skills!I4/Skills!H4,1)+IF(Skills!H4&gt;0,MIN(Skills!I4,MAX(0,MAX(0,Inputs!$B$43-B545)-((R515-1)*(IF(Inputs!$B$38="pvp",15,MAX(0.1,Skills!D4-IF(Skills!E4=TRUE,Inputs!$B$32,0)))*(1-IF(AND(ArtifactsInput!$M$27,Inputs!$B$4="Chapter Hunt"),CHOOSE(ArtifactsInput!$N$27+1,20,24,28,32,36,40),0)/100)))))/Skills!H4,1)))/Inputs!$B$43),G515*Q515)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515*(1-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515*(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515*(1-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515*(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15">
        <f>290*U514/1000</f>
        <v/>
      </c>
      <c r="V515">
        <f>IF(C515,(H515*N515*IF(AND(Inputs!$B$38&lt;&gt;"pvp",Inputs!$B$43&gt;0),((Skills!G4*((R515-1)*IF(Skills!H4&gt;0,Skills!I4/Skills!H4,1)+IF(Skills!H4&gt;0,MIN(Skills!I4,MAX(0,MAX(0,Inputs!$B$43-B545)-((R515-1)*(IF(Inputs!$B$38="pvp",15,MAX(0.1,Skills!D4-IF(Skills!E4=TRUE,Inputs!$B$32,0)))*(1-IF(AND(ArtifactsInput!$M$27,Inputs!$B$4="Chapter Hunt"),CHOOSE(ArtifactsInput!$N$27+1,20,24,28,32,36,40),0)/100)))))/Skills!H4,1)))/Inputs!$B$43),G515*Q515))*IF(Inputs!$B$38="pvp",1,(1+(Inputs!$B$21+Skills!Q4+(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6">
      <c r="A516">
        <f>Skills!A5</f>
        <v/>
      </c>
      <c r="B516">
        <f>Skills!B5</f>
        <v/>
      </c>
      <c r="C516">
        <f>Inputs!$B$3&gt;=66</f>
        <v/>
      </c>
      <c r="D516">
        <f>IF(Skills!C5=1,60+Inputs!$B$25+Inputs!$B$29,IF(Skills!C5=2,90+Inputs!$B$26+Inputs!$B$29,IF(Skills!C5=3,120+Inputs!$B$27+Inputs!$B$29,MAX(0,(Inputs!$B$3-100)*3)+Inputs!$B$28+Inputs!$B$29)))</f>
        <v/>
      </c>
      <c r="E516">
        <f>INDEX(FactorTable!$B$2:$Y$301, MATCH(ROUND(MIN(300,MAX(1,D516)),0), FactorTable!$A$2:$A$301,0), Skills!M5+1)</f>
        <v/>
      </c>
      <c r="F516">
        <f>IF(Skills!N5=TRUE,(Skills!L5/10)*(E516/1000),Skills!L5/10)+Skills!O5</f>
        <v/>
      </c>
      <c r="G516">
        <f>Skills!G5*IF(Skills!H5&gt;0,Skills!I5/Skills!H5,1)</f>
        <v/>
      </c>
      <c r="H516">
        <f>1-(1-Skills!J5/100)^Skills!K5</f>
        <v/>
      </c>
      <c r="I516" t="inlineStr">
        <is>
          <t>1</t>
        </is>
      </c>
      <c r="J516">
        <f>((Inputs!$B$6*(1+Inputs!$B$7/100))+(((Inputs!$B$12*(1+Inputs!$B$13/100))-(Inputs!$B$12*(1+Inputs!$B$13/100)))+0.25*(Inputs!$B$14-Inputs!$B$14))*(1+Inputs!$B$7/100))*(F516/100)</f>
        <v/>
      </c>
      <c r="K516">
        <f>J516*(1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523=TRUE,F523,0)/100)*(1+(IF(Skills!A5="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516)</f>
        <v/>
      </c>
      <c r="L516">
        <f>K516*(MIN(Inputs!$B$22+((C533=TRUE)*(F533-Calc!F22)),(Inputs!$B$23+((C535=TRUE)*(F535-Calc!F24))+(IF(ArtifactsInput!$M$15,CHOOSE(ArtifactsInput!$N$15+1,25,30,35,40,45,50)/100*(Inputs!$B$11-Inputs!$B$11),0))))/100+(Inputs!$B$23+((C535=TRUE)*(F535-Calc!F24))+(IF(ArtifactsInput!$M$15,CHOOSE(ArtifactsInput!$N$15+1,25,30,35,40,45,50)/100*(Inputs!$B$11-Inputs!$B$11),0)))/100)/2</f>
        <v/>
      </c>
      <c r="M516">
        <f>L516*(1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6">
        <f>L516*(1-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516*(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6">
        <f>(1-Summary!$B$11)*T516+Summary!$B$11*V516</f>
        <v/>
      </c>
      <c r="P516">
        <f>IF(B548=0,0,O516/B548)</f>
        <v/>
      </c>
      <c r="Q516">
        <f>IFERROR(1/(IF(Inputs!$B$38="pvp",15,MAX(0.1,Skills!D5-IF(Skills!E5=TRUE,Inputs!$B$32,0)))*(1-IF(AND(ArtifactsInput!$M$27,Inputs!$B$4="Chapter Hunt"),CHOOSE(ArtifactsInput!$N$27+1,20,24,28,32,36,40),0)/100)),0)</f>
        <v/>
      </c>
      <c r="R516">
        <f>IF(AND(Inputs!$B$38&lt;&gt;"pvp",Inputs!$B$43&gt;0),IF(MAX(0,Inputs!$B$43-B545)&lt;=0,0,(INT(MAX(0,Inputs!$B$43-B545)/(IF(Inputs!$B$38="pvp",15,MAX(0.1,Skills!D5-IF(Skills!E5=TRUE,Inputs!$B$32,0)))*(1-IF(AND(ArtifactsInput!$M$27,Inputs!$B$4="Chapter Hunt"),CHOOSE(ArtifactsInput!$N$27+1,20,24,28,32,36,40),0)/100)))+1)),0)</f>
        <v/>
      </c>
      <c r="S516">
        <f>IFERROR(O516/N516,0)</f>
        <v/>
      </c>
      <c r="T516">
        <f>IF(C516,(H516*N516*IF(AND(Inputs!$B$38&lt;&gt;"pvp",Inputs!$B$43&gt;0),((Skills!G5*((R516-1)*IF(Skills!H5&gt;0,Skills!I5/Skills!H5,1)+IF(Skills!H5&gt;0,MIN(Skills!I5,MAX(0,MAX(0,Inputs!$B$43-B545)-((R516-1)*(IF(Inputs!$B$38="pvp",15,MAX(0.1,Skills!D5-IF(Skills!E5=TRUE,Inputs!$B$32,0)))*(1-IF(AND(ArtifactsInput!$M$27,Inputs!$B$4="Chapter Hunt"),CHOOSE(ArtifactsInput!$N$27+1,20,24,28,32,36,40),0)/100)))))/Skills!H5,1)))/Inputs!$B$43),G516*Q516)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516*(1-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516*(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516*(1-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516*(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16">
        <f>IF(C516,(H516*N516*IF(AND(Inputs!$B$38&lt;&gt;"pvp",Inputs!$B$43&gt;0),((Skills!G5*((R516-1)*IF(Skills!H5&gt;0,Skills!I5/Skills!H5,1)+IF(Skills!H5&gt;0,MIN(Skills!I5,MAX(0,MAX(0,Inputs!$B$43-B545)-((R516-1)*(IF(Inputs!$B$38="pvp",15,MAX(0.1,Skills!D5-IF(Skills!E5=TRUE,Inputs!$B$32,0)))*(1-IF(AND(ArtifactsInput!$M$27,Inputs!$B$4="Chapter Hunt"),CHOOSE(ArtifactsInput!$N$27+1,20,24,28,32,36,40),0)/100)))))/Skills!H5,1)))/Inputs!$B$43),G516*Q516))*IF(Inputs!$B$38="pvp",1,(1+(Inputs!$B$21+Skills!Q5+(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7">
      <c r="A517">
        <f>Skills!A6</f>
        <v/>
      </c>
      <c r="B517">
        <f>Skills!B6</f>
        <v/>
      </c>
      <c r="C517">
        <f>Inputs!$B$3&gt;=103</f>
        <v/>
      </c>
      <c r="D517">
        <f>IF(Skills!C6=1,60+Inputs!$B$25+Inputs!$B$29,IF(Skills!C6=2,90+Inputs!$B$26+Inputs!$B$29,IF(Skills!C6=3,120+Inputs!$B$27+Inputs!$B$29,MAX(0,(Inputs!$B$3-100)*3)+Inputs!$B$28+Inputs!$B$29)))</f>
        <v/>
      </c>
      <c r="E517">
        <f>INDEX(FactorTable!$B$2:$Y$301, MATCH(ROUND(MIN(300,MAX(1,D517)),0), FactorTable!$A$2:$A$301,0), Skills!M6+1)</f>
        <v/>
      </c>
      <c r="F517">
        <f>IF(Skills!N6=TRUE,(Skills!L6/10)*(E517/1000),Skills!L6/10)+Skills!O6</f>
        <v/>
      </c>
      <c r="G517">
        <f>Skills!G6*IF(Skills!H6&gt;0,Skills!I6/Skills!H6,1)</f>
        <v/>
      </c>
      <c r="H517">
        <f>1-(1-Skills!J6/100)^Skills!K6</f>
        <v/>
      </c>
      <c r="I517" t="inlineStr">
        <is>
          <t>1</t>
        </is>
      </c>
      <c r="J517">
        <f>((Inputs!$B$6*(1+Inputs!$B$7/100))+(((Inputs!$B$12*(1+Inputs!$B$13/100))-(Inputs!$B$12*(1+Inputs!$B$13/100)))+0.25*(Inputs!$B$14-Inputs!$B$14))*(1+Inputs!$B$7/100))*(F517/100)</f>
        <v/>
      </c>
      <c r="K517">
        <f>J517*(1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517)</f>
        <v/>
      </c>
      <c r="L517">
        <f>K517*(MIN(Inputs!$B$22+((C533=TRUE)*(F533-Calc!F22)),(Inputs!$B$23+((C535=TRUE)*(F535-Calc!F24))+(IF(ArtifactsInput!$M$15,CHOOSE(ArtifactsInput!$N$15+1,25,30,35,40,45,50)/100*(Inputs!$B$11-Inputs!$B$11),0))))/100+(Inputs!$B$23+((C535=TRUE)*(F535-Calc!F24))+(IF(ArtifactsInput!$M$15,CHOOSE(ArtifactsInput!$N$15+1,25,30,35,40,45,50)/100*(Inputs!$B$11-Inputs!$B$11),0)))/100)/2</f>
        <v/>
      </c>
      <c r="M517">
        <f>L517*(1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7">
        <f>L517*(1-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517*(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7">
        <f>(1-Summary!$B$11)*T517+Summary!$B$11*V517</f>
        <v/>
      </c>
      <c r="P517">
        <f>IF(B548=0,0,O517/B548)</f>
        <v/>
      </c>
      <c r="Q517">
        <f>IFERROR(1/(IF(Inputs!$B$38="pvp",15,MAX(0.1,Skills!D6-IF(Skills!E6=TRUE,Inputs!$B$32,0)))*(1-IF(AND(ArtifactsInput!$M$27,Inputs!$B$4="Chapter Hunt"),CHOOSE(ArtifactsInput!$N$27+1,20,24,28,32,36,40),0)/100)),0)</f>
        <v/>
      </c>
      <c r="R517">
        <f>IF(AND(Inputs!$B$38&lt;&gt;"pvp",Inputs!$B$43&gt;0),IF(MAX(0,Inputs!$B$43-B545)&lt;=0,0,(INT(MAX(0,Inputs!$B$43-B545)/(IF(Inputs!$B$38="pvp",15,MAX(0.1,Skills!D6-IF(Skills!E6=TRUE,Inputs!$B$32,0)))*(1-IF(AND(ArtifactsInput!$M$27,Inputs!$B$4="Chapter Hunt"),CHOOSE(ArtifactsInput!$N$27+1,20,24,28,32,36,40),0)/100)))+1)),0)</f>
        <v/>
      </c>
      <c r="S517">
        <f>IFERROR(O517/N517,0)</f>
        <v/>
      </c>
      <c r="T517">
        <f>IF(C517,(H517*N517*IF(AND(Inputs!$B$38&lt;&gt;"pvp",Inputs!$B$43&gt;0),((Skills!G6*((R517-1)*IF(Skills!H6&gt;0,Skills!I6/Skills!H6,1)+IF(Skills!H6&gt;0,MIN(Skills!I6,MAX(0,MAX(0,Inputs!$B$43-B545)-((R517-1)*(IF(Inputs!$B$38="pvp",15,MAX(0.1,Skills!D6-IF(Skills!E6=TRUE,Inputs!$B$32,0)))*(1-IF(AND(ArtifactsInput!$M$27,Inputs!$B$4="Chapter Hunt"),CHOOSE(ArtifactsInput!$N$27+1,20,24,28,32,36,40),0)/100)))))/Skills!H6,1)))/Inputs!$B$43),G517*Q517)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517*(1-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517*(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517*(1-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517*(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17">
        <f>IF(C517,(H517*N517*IF(AND(Inputs!$B$38&lt;&gt;"pvp",Inputs!$B$43&gt;0),((Skills!G6*((R517-1)*IF(Skills!H6&gt;0,Skills!I6/Skills!H6,1)+IF(Skills!H6&gt;0,MIN(Skills!I6,MAX(0,MAX(0,Inputs!$B$43-B545)-((R517-1)*(IF(Inputs!$B$38="pvp",15,MAX(0.1,Skills!D6-IF(Skills!E6=TRUE,Inputs!$B$32,0)))*(1-IF(AND(ArtifactsInput!$M$27,Inputs!$B$4="Chapter Hunt"),CHOOSE(ArtifactsInput!$N$27+1,20,24,28,32,36,40),0)/100)))))/Skills!H6,1)))/Inputs!$B$43),G517*Q517))*IF(Inputs!$B$38="pvp",1,(1+(Inputs!$B$21+Skills!Q6+(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8">
      <c r="A518">
        <f>Skills!A7</f>
        <v/>
      </c>
      <c r="B518">
        <f>Skills!B7</f>
        <v/>
      </c>
      <c r="C518">
        <f>Inputs!$B$3&gt;=107</f>
        <v/>
      </c>
      <c r="D518">
        <f>IF(Skills!C7=1,60+Inputs!$B$25+Inputs!$B$29,IF(Skills!C7=2,90+Inputs!$B$26+Inputs!$B$29,IF(Skills!C7=3,120+Inputs!$B$27+Inputs!$B$29,MAX(0,(Inputs!$B$3-100)*3)+Inputs!$B$28+Inputs!$B$29)))</f>
        <v/>
      </c>
      <c r="E518">
        <f>INDEX(FactorTable!$B$2:$Y$301, MATCH(ROUND(MIN(300,MAX(1,D518)),0), FactorTable!$A$2:$A$301,0), Skills!M7+1)</f>
        <v/>
      </c>
      <c r="F518">
        <f>IF(Skills!N7=TRUE,(Skills!L7/10)*(E518/1000),Skills!L7/10)+Skills!O7</f>
        <v/>
      </c>
      <c r="G518">
        <f>Skills!G7*IF(Skills!H7&gt;0,Skills!I7/Skills!H7,1)</f>
        <v/>
      </c>
      <c r="H518">
        <f>1-(1-Skills!J7/100)^Skills!K7</f>
        <v/>
      </c>
      <c r="I518" t="inlineStr">
        <is>
          <t>1</t>
        </is>
      </c>
      <c r="J518">
        <f>((Inputs!$B$6*(1+Inputs!$B$7/100))+(((Inputs!$B$12*(1+Inputs!$B$13/100))-(Inputs!$B$12*(1+Inputs!$B$13/100)))+0.25*(Inputs!$B$14-Inputs!$B$14))*(1+Inputs!$B$7/100))*(F518/100)</f>
        <v/>
      </c>
      <c r="K518">
        <f>J518*(1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518)</f>
        <v/>
      </c>
      <c r="L518">
        <f>K518*(MIN(Inputs!$B$22+((C533=TRUE)*(F533-Calc!F22)),(Inputs!$B$23+((C535=TRUE)*(F535-Calc!F24))+(IF(ArtifactsInput!$M$15,CHOOSE(ArtifactsInput!$N$15+1,25,30,35,40,45,50)/100*(Inputs!$B$11-Inputs!$B$11),0))))/100+(Inputs!$B$23+((C535=TRUE)*(F535-Calc!F24))+(IF(ArtifactsInput!$M$15,CHOOSE(ArtifactsInput!$N$15+1,25,30,35,40,45,50)/100*(Inputs!$B$11-Inputs!$B$11),0)))/100)/2</f>
        <v/>
      </c>
      <c r="M518">
        <f>L518*(1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8">
        <f>L518*(1-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518*(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8">
        <f>(1-Summary!$B$11)*T518+Summary!$B$11*V518</f>
        <v/>
      </c>
      <c r="P518">
        <f>IF(B548=0,0,O518/B548)</f>
        <v/>
      </c>
      <c r="Q518">
        <f>IFERROR(1/(IF(Inputs!$B$38="pvp",15,MAX(0.1,Skills!D7-IF(Skills!E7=TRUE,Inputs!$B$32,0)))*(1-IF(AND(ArtifactsInput!$M$27,Inputs!$B$4="Chapter Hunt"),CHOOSE(ArtifactsInput!$N$27+1,20,24,28,32,36,40),0)/100)),0)</f>
        <v/>
      </c>
      <c r="R518">
        <f>IF(AND(Inputs!$B$38&lt;&gt;"pvp",Inputs!$B$43&gt;0),IF(MAX(0,Inputs!$B$43-B545)&lt;=0,0,(INT(MAX(0,Inputs!$B$43-B545)/(IF(Inputs!$B$38="pvp",15,MAX(0.1,Skills!D7-IF(Skills!E7=TRUE,Inputs!$B$32,0)))*(1-IF(AND(ArtifactsInput!$M$27,Inputs!$B$4="Chapter Hunt"),CHOOSE(ArtifactsInput!$N$27+1,20,24,28,32,36,40),0)/100)))+1)),0)</f>
        <v/>
      </c>
      <c r="S518">
        <f>IFERROR(O518/N518,0)</f>
        <v/>
      </c>
      <c r="T518">
        <f>IF(C518,(H518*N518*IF(AND(Inputs!$B$38&lt;&gt;"pvp",Inputs!$B$43&gt;0),((Skills!G7*((R518-1)*IF(Skills!H7&gt;0,Skills!I7/Skills!H7,1)+IF(Skills!H7&gt;0,MIN(Skills!I7,MAX(0,MAX(0,Inputs!$B$43-B545)-((R518-1)*(IF(Inputs!$B$38="pvp",15,MAX(0.1,Skills!D7-IF(Skills!E7=TRUE,Inputs!$B$32,0)))*(1-IF(AND(ArtifactsInput!$M$27,Inputs!$B$4="Chapter Hunt"),CHOOSE(ArtifactsInput!$N$27+1,20,24,28,32,36,40),0)/100)))))/Skills!H7,1)))/Inputs!$B$43),G518*Q518)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518*(1-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518*(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518*(1-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518*(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18">
        <f>IF(C518,(H518*N518*IF(AND(Inputs!$B$38&lt;&gt;"pvp",Inputs!$B$43&gt;0),((Skills!G7*((R518-1)*IF(Skills!H7&gt;0,Skills!I7/Skills!H7,1)+IF(Skills!H7&gt;0,MIN(Skills!I7,MAX(0,MAX(0,Inputs!$B$43-B545)-((R518-1)*(IF(Inputs!$B$38="pvp",15,MAX(0.1,Skills!D7-IF(Skills!E7=TRUE,Inputs!$B$32,0)))*(1-IF(AND(ArtifactsInput!$M$27,Inputs!$B$4="Chapter Hunt"),CHOOSE(ArtifactsInput!$N$27+1,20,24,28,32,36,40),0)/100)))))/Skills!H7,1)))/Inputs!$B$43),G518*Q518))*IF(Inputs!$B$38="pvp",1,(1+(Inputs!$B$21+Skills!Q7+(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19">
      <c r="A519">
        <f>Skills!A8</f>
        <v/>
      </c>
      <c r="B519">
        <f>Skills!B8</f>
        <v/>
      </c>
      <c r="C519">
        <f>Inputs!$B$3&gt;=107</f>
        <v/>
      </c>
      <c r="D519">
        <f>IF(Skills!C8=1,60+Inputs!$B$25+Inputs!$B$29,IF(Skills!C8=2,90+Inputs!$B$26+Inputs!$B$29,IF(Skills!C8=3,120+Inputs!$B$27+Inputs!$B$29,MAX(0,(Inputs!$B$3-100)*3)+Inputs!$B$28+Inputs!$B$29)))</f>
        <v/>
      </c>
      <c r="E519">
        <f>INDEX(FactorTable!$B$2:$Y$301, MATCH(ROUND(MIN(300,MAX(1,D519)),0), FactorTable!$A$2:$A$301,0), Skills!M8+1)</f>
        <v/>
      </c>
      <c r="F519">
        <f>IF(Skills!N8=TRUE,(Skills!L8/10)*(E519/1000),Skills!L8/10)+Skills!O8</f>
        <v/>
      </c>
      <c r="G519">
        <f>Skills!G8*IF(Skills!H8&gt;0,Skills!I8/Skills!H8,1)</f>
        <v/>
      </c>
      <c r="H519">
        <f>1-(1-Skills!J8/100)^Skills!K8</f>
        <v/>
      </c>
      <c r="I519" t="inlineStr">
        <is>
          <t>1</t>
        </is>
      </c>
      <c r="J519">
        <f>((Inputs!$B$6*(1+Inputs!$B$7/100))+(((Inputs!$B$12*(1+Inputs!$B$13/100))-(Inputs!$B$12*(1+Inputs!$B$13/100)))+0.25*(Inputs!$B$14-Inputs!$B$14))*(1+Inputs!$B$7/100))*(F519/100)</f>
        <v/>
      </c>
      <c r="K519">
        <f>J519*(1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519)</f>
        <v/>
      </c>
      <c r="L519">
        <f>K519*(MIN(Inputs!$B$22+((C533=TRUE)*(F533-Calc!F22)),(Inputs!$B$23+((C535=TRUE)*(F535-Calc!F24))+(IF(ArtifactsInput!$M$15,CHOOSE(ArtifactsInput!$N$15+1,25,30,35,40,45,50)/100*(Inputs!$B$11-Inputs!$B$11),0))))/100+(Inputs!$B$23+((C535=TRUE)*(F535-Calc!F24))+(IF(ArtifactsInput!$M$15,CHOOSE(ArtifactsInput!$N$15+1,25,30,35,40,45,50)/100*(Inputs!$B$11-Inputs!$B$11),0)))/100)/2</f>
        <v/>
      </c>
      <c r="M519">
        <f>L519*(1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19">
        <f>L519*(1-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519*(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19">
        <f>(1-Summary!$B$11)*T519+Summary!$B$11*V519</f>
        <v/>
      </c>
      <c r="P519">
        <f>IF(B548=0,0,O519/B548)</f>
        <v/>
      </c>
      <c r="Q519">
        <f>IFERROR(1/(IF(Inputs!$B$38="pvp",15,MAX(0.1,Skills!D8-IF(Skills!E8=TRUE,Inputs!$B$32,0)))*(1-IF(AND(ArtifactsInput!$M$27,Inputs!$B$4="Chapter Hunt"),CHOOSE(ArtifactsInput!$N$27+1,20,24,28,32,36,40),0)/100)),0)</f>
        <v/>
      </c>
      <c r="R519">
        <f>IF(AND(Inputs!$B$38&lt;&gt;"pvp",Inputs!$B$43&gt;0),IF(MAX(0,Inputs!$B$43-B545)&lt;=0,0,(INT(MAX(0,Inputs!$B$43-B545)/(IF(Inputs!$B$38="pvp",15,MAX(0.1,Skills!D8-IF(Skills!E8=TRUE,Inputs!$B$32,0)))*(1-IF(AND(ArtifactsInput!$M$27,Inputs!$B$4="Chapter Hunt"),CHOOSE(ArtifactsInput!$N$27+1,20,24,28,32,36,40),0)/100)))+1)),0)</f>
        <v/>
      </c>
      <c r="S519">
        <f>IFERROR(O519/N519,0)</f>
        <v/>
      </c>
      <c r="T519">
        <f>IF(C519,(H519*N519*IF(AND(Inputs!$B$38&lt;&gt;"pvp",Inputs!$B$43&gt;0),((Skills!G8*((R519-1)*IF(Skills!H8&gt;0,Skills!I8/Skills!H8,1)+IF(Skills!H8&gt;0,MIN(Skills!I8,MAX(0,MAX(0,Inputs!$B$43-B545)-((R519-1)*(IF(Inputs!$B$38="pvp",15,MAX(0.1,Skills!D8-IF(Skills!E8=TRUE,Inputs!$B$32,0)))*(1-IF(AND(ArtifactsInput!$M$27,Inputs!$B$4="Chapter Hunt"),CHOOSE(ArtifactsInput!$N$27+1,20,24,28,32,36,40),0)/100)))))/Skills!H8,1)))/Inputs!$B$43),G519*Q519)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519*(1-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519*(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519*(1-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519*(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19">
        <f>IF(C519,(H519*N519*IF(AND(Inputs!$B$38&lt;&gt;"pvp",Inputs!$B$43&gt;0),((Skills!G8*((R519-1)*IF(Skills!H8&gt;0,Skills!I8/Skills!H8,1)+IF(Skills!H8&gt;0,MIN(Skills!I8,MAX(0,MAX(0,Inputs!$B$43-B545)-((R519-1)*(IF(Inputs!$B$38="pvp",15,MAX(0.1,Skills!D8-IF(Skills!E8=TRUE,Inputs!$B$32,0)))*(1-IF(AND(ArtifactsInput!$M$27,Inputs!$B$4="Chapter Hunt"),CHOOSE(ArtifactsInput!$N$27+1,20,24,28,32,36,40),0)/100)))))/Skills!H8,1)))/Inputs!$B$43),G519*Q519))*IF(Inputs!$B$38="pvp",1,(1+(Inputs!$B$21+Skills!Q8+(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0">
      <c r="A520">
        <f>Skills!A9</f>
        <v/>
      </c>
      <c r="B520">
        <f>Skills!B9</f>
        <v/>
      </c>
      <c r="C520">
        <f>Inputs!$B$3&gt;=125</f>
        <v/>
      </c>
      <c r="D520">
        <f>IF(Skills!C9=1,60+Inputs!$B$25+Inputs!$B$29,IF(Skills!C9=2,90+Inputs!$B$26+Inputs!$B$29,IF(Skills!C9=3,120+Inputs!$B$27+Inputs!$B$29,MAX(0,(Inputs!$B$3-100)*3)+Inputs!$B$28+Inputs!$B$29)))</f>
        <v/>
      </c>
      <c r="E520">
        <f>INDEX(FactorTable!$B$2:$Y$301, MATCH(ROUND(MIN(300,MAX(1,D520)),0), FactorTable!$A$2:$A$301,0), Skills!M9+1)</f>
        <v/>
      </c>
      <c r="F520">
        <f>IF(Skills!N9=TRUE,(Skills!L9/10)*(E520/1000),Skills!L9/10)+Skills!O9</f>
        <v/>
      </c>
      <c r="G520">
        <f>Skills!G9*IF(Skills!H9&gt;0,Skills!I9/Skills!H9,1)</f>
        <v/>
      </c>
      <c r="H520">
        <f>1-(1-Skills!J9/100)^Skills!K9</f>
        <v/>
      </c>
      <c r="I520" t="inlineStr">
        <is>
          <t>1</t>
        </is>
      </c>
      <c r="J520">
        <f>((Inputs!$B$6*(1+Inputs!$B$7/100))+(((Inputs!$B$12*(1+Inputs!$B$13/100))-(Inputs!$B$12*(1+Inputs!$B$13/100)))+0.25*(Inputs!$B$14-Inputs!$B$14))*(1+Inputs!$B$7/100))*(F520/100)</f>
        <v/>
      </c>
      <c r="K520">
        <f>J520*(1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520)</f>
        <v/>
      </c>
      <c r="L520">
        <f>K520*(MIN(Inputs!$B$22+((C533=TRUE)*(F533-Calc!F22)),(Inputs!$B$23+((C535=TRUE)*(F535-Calc!F24))+(IF(ArtifactsInput!$M$15,CHOOSE(ArtifactsInput!$N$15+1,25,30,35,40,45,50)/100*(Inputs!$B$11-Inputs!$B$11),0))))/100+(Inputs!$B$23+((C535=TRUE)*(F535-Calc!F24))+(IF(ArtifactsInput!$M$15,CHOOSE(ArtifactsInput!$N$15+1,25,30,35,40,45,50)/100*(Inputs!$B$11-Inputs!$B$11),0)))/100)/2</f>
        <v/>
      </c>
      <c r="M520">
        <f>L520*(1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0">
        <f>L520*(1-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520*(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0">
        <f>(1-Summary!$B$11)*T520+Summary!$B$11*V520</f>
        <v/>
      </c>
      <c r="P520">
        <f>IF(B548=0,0,O520/B548)</f>
        <v/>
      </c>
      <c r="Q520">
        <f>IFERROR(1/(IF(Inputs!$B$38="pvp",15,MAX(0.1,Skills!D9-IF(Skills!E9=TRUE,Inputs!$B$32,0)))*(1-IF(AND(ArtifactsInput!$M$27,Inputs!$B$4="Chapter Hunt"),CHOOSE(ArtifactsInput!$N$27+1,20,24,28,32,36,40),0)/100)),0)</f>
        <v/>
      </c>
      <c r="R520">
        <f>IF(AND(Inputs!$B$38&lt;&gt;"pvp",Inputs!$B$43&gt;0),IF(MAX(0,Inputs!$B$43-B545)&lt;=0,0,(INT(MAX(0,Inputs!$B$43-B545)/(IF(Inputs!$B$38="pvp",15,MAX(0.1,Skills!D9-IF(Skills!E9=TRUE,Inputs!$B$32,0)))*(1-IF(AND(ArtifactsInput!$M$27,Inputs!$B$4="Chapter Hunt"),CHOOSE(ArtifactsInput!$N$27+1,20,24,28,32,36,40),0)/100)))+1)),0)</f>
        <v/>
      </c>
      <c r="S520">
        <f>IFERROR(O520/N520,0)</f>
        <v/>
      </c>
      <c r="T520">
        <f>IF(C520,(H520*N520*IF(AND(Inputs!$B$38&lt;&gt;"pvp",Inputs!$B$43&gt;0),((Skills!G9*((R520-1)*IF(Skills!H9&gt;0,Skills!I9/Skills!H9,1)+IF(Skills!H9&gt;0,MIN(Skills!I9,MAX(0,MAX(0,Inputs!$B$43-B545)-((R520-1)*(IF(Inputs!$B$38="pvp",15,MAX(0.1,Skills!D9-IF(Skills!E9=TRUE,Inputs!$B$32,0)))*(1-IF(AND(ArtifactsInput!$M$27,Inputs!$B$4="Chapter Hunt"),CHOOSE(ArtifactsInput!$N$27+1,20,24,28,32,36,40),0)/100)))))/Skills!H9,1)))/Inputs!$B$43),G520*Q520)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520*(1-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520*(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520*(1-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520*(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0">
        <f>IF(C520,(H520*N520*IF(AND(Inputs!$B$38&lt;&gt;"pvp",Inputs!$B$43&gt;0),((Skills!G9*((R520-1)*IF(Skills!H9&gt;0,Skills!I9/Skills!H9,1)+IF(Skills!H9&gt;0,MIN(Skills!I9,MAX(0,MAX(0,Inputs!$B$43-B545)-((R520-1)*(IF(Inputs!$B$38="pvp",15,MAX(0.1,Skills!D9-IF(Skills!E9=TRUE,Inputs!$B$32,0)))*(1-IF(AND(ArtifactsInput!$M$27,Inputs!$B$4="Chapter Hunt"),CHOOSE(ArtifactsInput!$N$27+1,20,24,28,32,36,40),0)/100)))))/Skills!H9,1)))/Inputs!$B$43),G520*Q520))*IF(Inputs!$B$38="pvp",1,(1+(Inputs!$B$21+Skills!Q9+(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1">
      <c r="A521">
        <f>Skills!A10</f>
        <v/>
      </c>
      <c r="B521">
        <f>Skills!B10</f>
        <v/>
      </c>
      <c r="C521">
        <f>Inputs!$B$3&gt;=117</f>
        <v/>
      </c>
      <c r="D521">
        <f>IF(Skills!C10=1,60+Inputs!$B$25+Inputs!$B$29,IF(Skills!C10=2,90+Inputs!$B$26+Inputs!$B$29,IF(Skills!C10=3,120+Inputs!$B$27+Inputs!$B$29,MAX(0,(Inputs!$B$3-100)*3)+Inputs!$B$28+Inputs!$B$29)))</f>
        <v/>
      </c>
      <c r="E521">
        <f>INDEX(FactorTable!$B$2:$Y$301, MATCH(ROUND(MIN(300,MAX(1,D521)),0), FactorTable!$A$2:$A$301,0), Skills!M10+1)</f>
        <v/>
      </c>
      <c r="F521">
        <f>IF(Skills!N10=TRUE,(Skills!L10/10)*(E521/1000),Skills!L10/10)+Skills!O10</f>
        <v/>
      </c>
      <c r="G521">
        <f>Skills!G10*IF(Skills!H10&gt;0,Skills!I10/Skills!H10,1)</f>
        <v/>
      </c>
      <c r="H521">
        <f>1-(1-Skills!J10/100)^Skills!K10</f>
        <v/>
      </c>
      <c r="I521" t="inlineStr">
        <is>
          <t>1</t>
        </is>
      </c>
      <c r="J521">
        <f>((Inputs!$B$6*(1+Inputs!$B$7/100))+(((Inputs!$B$12*(1+Inputs!$B$13/100))-(Inputs!$B$12*(1+Inputs!$B$13/100)))+0.25*(Inputs!$B$14-Inputs!$B$14))*(1+Inputs!$B$7/100))*(F521/100)</f>
        <v/>
      </c>
      <c r="K521">
        <f>J521*(1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521)</f>
        <v/>
      </c>
      <c r="L521">
        <f>K521*(MIN(Inputs!$B$22+((C533=TRUE)*(F533-Calc!F22)),(Inputs!$B$23+((C535=TRUE)*(F535-Calc!F24))+(IF(ArtifactsInput!$M$15,CHOOSE(ArtifactsInput!$N$15+1,25,30,35,40,45,50)/100*(Inputs!$B$11-Inputs!$B$11),0))))/100+(Inputs!$B$23+((C535=TRUE)*(F535-Calc!F24))+(IF(ArtifactsInput!$M$15,CHOOSE(ArtifactsInput!$N$15+1,25,30,35,40,45,50)/100*(Inputs!$B$11-Inputs!$B$11),0)))/100)/2</f>
        <v/>
      </c>
      <c r="M521">
        <f>L521*(1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1">
        <f>L521*(1-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1">
        <f>(1-Summary!$B$11)*T521+Summary!$B$11*V521</f>
        <v/>
      </c>
      <c r="P521">
        <f>IF(B548=0,0,O521/B548)</f>
        <v/>
      </c>
      <c r="Q521">
        <f>IFERROR(1/(IF(Inputs!$B$38="pvp",15,MAX(0.1,Skills!D10-IF(Skills!E10=TRUE,Inputs!$B$32,0)))*(1-IF(AND(ArtifactsInput!$M$27,Inputs!$B$4="Chapter Hunt"),CHOOSE(ArtifactsInput!$N$27+1,20,24,28,32,36,40),0)/100)),0)</f>
        <v/>
      </c>
      <c r="R521">
        <f>IF(AND(Inputs!$B$38&lt;&gt;"pvp",Inputs!$B$43&gt;0),IF(MAX(0,Inputs!$B$43-B545)&lt;=0,0,(INT(MAX(0,Inputs!$B$43-B545)/(IF(Inputs!$B$38="pvp",15,MAX(0.1,Skills!D10-IF(Skills!E10=TRUE,Inputs!$B$32,0)))*(1-IF(AND(ArtifactsInput!$M$27,Inputs!$B$4="Chapter Hunt"),CHOOSE(ArtifactsInput!$N$27+1,20,24,28,32,36,40),0)/100)))+1)),0)</f>
        <v/>
      </c>
      <c r="S521">
        <f>IFERROR(O521/N521,0)</f>
        <v/>
      </c>
      <c r="T521">
        <f>IF(C521,(H521*N521*IF(AND(Inputs!$B$38&lt;&gt;"pvp",Inputs!$B$43&gt;0),((Skills!G10*((R521-1)*IF(Skills!H10&gt;0,Skills!I10/Skills!H10,1)+IF(Skills!H10&gt;0,MIN(Skills!I10,MAX(0,MAX(0,Inputs!$B$43-B545)-((R521-1)*(IF(Inputs!$B$38="pvp",15,MAX(0.1,Skills!D10-IF(Skills!E10=TRUE,Inputs!$B$32,0)))*(1-IF(AND(ArtifactsInput!$M$27,Inputs!$B$4="Chapter Hunt"),CHOOSE(ArtifactsInput!$N$27+1,20,24,28,32,36,40),0)/100)))))/Skills!H10,1)))/Inputs!$B$43),G521*Q521)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521*(1-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521*(1-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1">
        <f>IF(C521,(H521*N521*IF(AND(Inputs!$B$38&lt;&gt;"pvp",Inputs!$B$43&gt;0),((Skills!G10*((R521-1)*IF(Skills!H10&gt;0,Skills!I10/Skills!H10,1)+IF(Skills!H10&gt;0,MIN(Skills!I10,MAX(0,MAX(0,Inputs!$B$43-B545)-((R521-1)*(IF(Inputs!$B$38="pvp",15,MAX(0.1,Skills!D10-IF(Skills!E10=TRUE,Inputs!$B$32,0)))*(1-IF(AND(ArtifactsInput!$M$27,Inputs!$B$4="Chapter Hunt"),CHOOSE(ArtifactsInput!$N$27+1,20,24,28,32,36,40),0)/100)))))/Skills!H10,1)))/Inputs!$B$43),G521*Q521))*IF(Inputs!$B$38="pvp",1,(1+(Inputs!$B$21+Skills!Q10+(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2">
      <c r="A522">
        <f>Skills!A11</f>
        <v/>
      </c>
      <c r="B522">
        <f>Skills!B11</f>
        <v/>
      </c>
      <c r="C522">
        <f>Inputs!$B$3&gt;=63</f>
        <v/>
      </c>
      <c r="D522">
        <f>IF(Skills!C11=1,60+Inputs!$B$25+Inputs!$B$29,IF(Skills!C11=2,90+Inputs!$B$26+Inputs!$B$29,IF(Skills!C11=3,120+Inputs!$B$27+Inputs!$B$29,MAX(0,(Inputs!$B$3-100)*3)+Inputs!$B$28+Inputs!$B$29)))</f>
        <v/>
      </c>
      <c r="E522">
        <f>INDEX(FactorTable!$B$2:$Y$301, MATCH(ROUND(MIN(300,MAX(1,D522)),0), FactorTable!$A$2:$A$301,0), Skills!M11+1)</f>
        <v/>
      </c>
      <c r="F522">
        <f>IF(Skills!N11=TRUE,(Skills!L11/10)*(E522/1000),Skills!L11/10)+Skills!O11</f>
        <v/>
      </c>
      <c r="G522">
        <f>Skills!G11*IF(Skills!H11&gt;0,Skills!I11/Skills!H11,1)</f>
        <v/>
      </c>
      <c r="H522">
        <f>1-(1-Skills!J11/100)^Skills!K11</f>
        <v/>
      </c>
      <c r="I522" t="inlineStr">
        <is>
          <t>1</t>
        </is>
      </c>
      <c r="J522">
        <f>((Inputs!$B$6*(1+Inputs!$B$7/100))+(((Inputs!$B$12*(1+Inputs!$B$13/100))-(Inputs!$B$12*(1+Inputs!$B$13/100)))+0.25*(Inputs!$B$14-Inputs!$B$14))*(1+Inputs!$B$7/100))*(F522/100)</f>
        <v/>
      </c>
      <c r="K522">
        <f>J522*(1+((Inputs!$B$12*(1+Inputs!$B$13/100))*0.01+Inputs!$B$14*0.0025)/100)*(1+Inputs!$B$15/100)*(1+Inputs!$B$16/100)*(5000/(6000+Inputs!$B$42*(1-(Inputs!$B$19+0)/100)))*(1+(Inputs!$B$24+0+B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523=TRUE,F523,0)/100)*(1+(IF(Skills!A11="BLAST",Inputs!$B$17+((C532=TRUE)*(F532-Calc!F21))+((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MIN(100,((Inputs!$B$9+0+B538+(ArtifactsInput!$M$24-ArtifactsInput!$M$24)*CHOOSE(ArtifactsInput!$N$24+1,10,12,14,16,18,20)+IF(ArtifactsInput!$M$10,CHOOSE(ArtifactsInput!$N$10+1,15,18,21,24,27,30)*(IF(Inputs!$B$38="pvp",MIN(15,15)/15,IF(AND(Inputs!$B$38&lt;&gt;"pvp",Inputs!$B$43&gt;0),MIN(15,Inputs!$B$43)/(Inputs!$B$43),0))),0)))-100),0))*CHOOSE(ArtifactsInput!$N$42+1,0.6,0.72,0.84,0.96,1.08,1.2))),Inputs!$B$18+((C534=TRUE)*(F534-Calc!F23))+(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gt;=100),CHOOSE(ArtifactsInput!$N$42+1,40,48,56,64,72,80),0))))/100)*((1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522)</f>
        <v/>
      </c>
      <c r="L522">
        <f>K522*(MIN(Inputs!$B$22+((C533=TRUE)*(F533-Calc!F22)),(Inputs!$B$23+((C535=TRUE)*(F535-Calc!F24))+(IF(ArtifactsInput!$M$15,CHOOSE(ArtifactsInput!$N$15+1,25,30,35,40,45,50)/100*(Inputs!$B$11-Inputs!$B$11),0))))/100+(Inputs!$B$23+((C535=TRUE)*(F535-Calc!F24))+(IF(ArtifactsInput!$M$15,CHOOSE(ArtifactsInput!$N$15+1,25,30,35,40,45,50)/100*(Inputs!$B$11-Inputs!$B$11),0)))/100)/2</f>
        <v/>
      </c>
      <c r="M522">
        <f>L522*(1+((Inputs!$B$10+1)+0+B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2">
        <f>L522*(1-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522*(MIN((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2">
        <f>(1-Summary!$B$11)*T522+Summary!$B$11*V522</f>
        <v/>
      </c>
      <c r="P522">
        <f>IF(B548=0,0,O522/B548)</f>
        <v/>
      </c>
      <c r="Q522">
        <f>IFERROR(1/(IF(Inputs!$B$38="pvp",15,MAX(0.1,Skills!D11-IF(Skills!E11=TRUE,Inputs!$B$32,0)))*(1-IF(AND(ArtifactsInput!$M$27,Inputs!$B$4="Chapter Hunt"),CHOOSE(ArtifactsInput!$N$27+1,20,24,28,32,36,40),0)/100)),0)</f>
        <v/>
      </c>
      <c r="R522">
        <f>IF(AND(Inputs!$B$38&lt;&gt;"pvp",Inputs!$B$43&gt;0),IF(MAX(0,Inputs!$B$43-B545)&lt;=0,0,(INT(MAX(0,Inputs!$B$43-B545)/(IF(Inputs!$B$38="pvp",15,MAX(0.1,Skills!D11-IF(Skills!E11=TRUE,Inputs!$B$32,0)))*(1-IF(AND(ArtifactsInput!$M$27,Inputs!$B$4="Chapter Hunt"),CHOOSE(ArtifactsInput!$N$27+1,20,24,28,32,36,40),0)/100)))+1)),0)</f>
        <v/>
      </c>
      <c r="S522">
        <f>IFERROR(O522/N522,0)</f>
        <v/>
      </c>
      <c r="T522">
        <f>IF(C522,(H522*N522*IF(AND(Inputs!$B$38&lt;&gt;"pvp",Inputs!$B$43&gt;0),((Skills!G11*((R522-1)*IF(Skills!H11&gt;0,Skills!I11/Skills!H11,1)+IF(Skills!H11&gt;0,MIN(Skills!I11,MAX(0,MAX(0,Inputs!$B$43-B545)-((R522-1)*(IF(Inputs!$B$38="pvp",15,MAX(0.1,Skills!D11-IF(Skills!E11=TRUE,Inputs!$B$32,0)))*(1-IF(AND(ArtifactsInput!$M$27,Inputs!$B$4="Chapter Hunt"),CHOOSE(ArtifactsInput!$N$27+1,20,24,28,32,36,40),0)/100)))))/Skills!H11,1)))/Inputs!$B$43),G522*Q522)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522*(1-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522*(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522*(1-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522*(MIN(100,(Inputs!$B$9+0+B538+(ArtifactsInput!$M$24-ArtifactsInput!$M$24)*CHOOSE(ArtifactsInput!$N$24+1,10,12,14,16,18,20)+(IF(AND(Inputs!$B$38&lt;&gt;"pvp",Inputs!$B$43=0),1,IF(IF(Inputs!$B$38="pvp",15,Inputs!$B$43)-(B545)&lt;=0,1,MAX(0,IF(Inputs!$B$38="pvp",15,Inputs!$B$43)-MAX(5,B545))/(IF(Inputs!$B$38="pvp",15,Inputs!$B$43)-(B545))))*IF(AND(ArtifactsInput!$M$42,((Inputs!$B$9+0+B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2">
        <f>IF(C522,(H522*N522*IF(AND(Inputs!$B$38&lt;&gt;"pvp",Inputs!$B$43&gt;0),((Skills!G11*((R522-1)*IF(Skills!H11&gt;0,Skills!I11/Skills!H11,1)+IF(Skills!H11&gt;0,MIN(Skills!I11,MAX(0,MAX(0,Inputs!$B$43-B545)-((R522-1)*(IF(Inputs!$B$38="pvp",15,MAX(0.1,Skills!D11-IF(Skills!E11=TRUE,Inputs!$B$32,0)))*(1-IF(AND(ArtifactsInput!$M$27,Inputs!$B$4="Chapter Hunt"),CHOOSE(ArtifactsInput!$N$27+1,20,24,28,32,36,40),0)/100)))))/Skills!H11,1)))/Inputs!$B$43),G522*Q522))*IF(Inputs!$B$38="pvp",1,(1+(Inputs!$B$21+Skills!Q11+(IF(ArtifactsInput!$M$33,CHOOSE(ArtifactsInput!$N$33+1,30,36,42,48,54,60),0))+(IF(AND(ArtifactsInput!$M$35,Inputs!$B$4&lt;&gt;"Chapter Hunt"),CHOOSE(ArtifactsInput!$N$35+1,15,18,21,24,27,30)*(1-EXP(-(0.2*B540)*5)),0)+IF(AND(ArtifactsInput!$M$22,Inputs!$B$4&lt;&gt;"Chapter Hunt"),CHOOSE(ArtifactsInput!$N$22+1,10,12,14,16,18,20)*((0*(((0.15*B540*5))^0/1)+1*(((0.15*B540*5))^1/1)+2*(((0.15*B540*5))^2/2)+3*(((0.15*B540*5))^3/6)+4*(((0.15*B540*5))^4/24)+5*(((0.15*B540*5))^5/120))/((((0.15*B540*5))^0/1)+(((0.15*B540*5))^1/1)+(((0.15*B540*5))^2/2)+(((0.15*B540*5))^3/6)+(((0.15*B540*5))^4/24)+(((0.15*B540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3">
      <c r="A523">
        <f>Skills!A12</f>
        <v/>
      </c>
      <c r="B523">
        <f>Skills!B12</f>
        <v/>
      </c>
      <c r="C523">
        <f>Inputs!$B$3&gt;=100</f>
        <v/>
      </c>
      <c r="D523">
        <f>IF(Skills!C12=1,60+Inputs!$B$25+Inputs!$B$29,IF(Skills!C12=2,90+Inputs!$B$26+Inputs!$B$29,IF(Skills!C12=3,120+Inputs!$B$27+Inputs!$B$29,MAX(0,(Inputs!$B$3-100)*3)+Inputs!$B$28+Inputs!$B$29)))</f>
        <v/>
      </c>
      <c r="E523">
        <f>INDEX(FactorTable!$B$2:$Y$301, MATCH(ROUND(MIN(300,MAX(1,D523)),0), FactorTable!$A$2:$A$301,0), Skills!M12+1)</f>
        <v/>
      </c>
      <c r="F523">
        <f>IF(Skills!N12=TRUE,(Skills!L12/10)*(E523/1000),Skills!L12/10)+Skills!O12</f>
        <v/>
      </c>
      <c r="G523" t="inlineStr"/>
      <c r="H523" t="inlineStr"/>
      <c r="I523" t="inlineStr">
        <is>
          <t>1</t>
        </is>
      </c>
      <c r="J523" t="inlineStr"/>
      <c r="K523" t="inlineStr"/>
      <c r="L523" t="inlineStr"/>
      <c r="M523" t="inlineStr"/>
      <c r="N523" t="inlineStr"/>
      <c r="O523" t="inlineStr"/>
      <c r="P523" t="inlineStr"/>
      <c r="Q523" t="inlineStr"/>
      <c r="R523" t="inlineStr"/>
      <c r="S523" t="inlineStr"/>
    </row>
    <row r="524">
      <c r="A524">
        <f>Skills!A13</f>
        <v/>
      </c>
      <c r="B524">
        <f>Skills!B13</f>
        <v/>
      </c>
      <c r="C524">
        <f>Inputs!$B$3&gt;=45</f>
        <v/>
      </c>
      <c r="D524">
        <f>IF(Skills!C13=1,60+Inputs!$B$25+Inputs!$B$29,IF(Skills!C13=2,90+Inputs!$B$26+Inputs!$B$29,IF(Skills!C13=3,120+Inputs!$B$27+Inputs!$B$29,MAX(0,(Inputs!$B$3-100)*3)+Inputs!$B$28+Inputs!$B$29)))</f>
        <v/>
      </c>
      <c r="E524">
        <f>INDEX(FactorTable!$B$2:$Y$301, MATCH(ROUND(MIN(300,MAX(1,D524)),0), FactorTable!$A$2:$A$301,0), Skills!M13+1)</f>
        <v/>
      </c>
      <c r="F524">
        <f>IF(Skills!N13=TRUE,(Skills!L13/10)*(E524/1000),Skills!L13/10)+Skills!O13</f>
        <v/>
      </c>
      <c r="G524">
        <f>Skills!G13*IF(Skills!H13&gt;0,Skills!I13/Skills!H13,1)</f>
        <v/>
      </c>
      <c r="H524">
        <f>1-(1-Skills!J13/100)^Skills!K13</f>
        <v/>
      </c>
      <c r="I524" t="inlineStr">
        <is>
          <t>1</t>
        </is>
      </c>
      <c r="J524" t="inlineStr"/>
      <c r="K524" t="inlineStr"/>
      <c r="L524" t="inlineStr"/>
      <c r="M524" t="inlineStr"/>
      <c r="N524" t="inlineStr"/>
      <c r="O524">
        <f>(1-Summary!$B$11)*T524+Summary!$B$11*V524</f>
        <v/>
      </c>
      <c r="P524">
        <f>IF(B548=0,0,O524/B548)</f>
        <v/>
      </c>
      <c r="Q524" t="n">
        <v>0</v>
      </c>
      <c r="R524" t="n">
        <v>0</v>
      </c>
      <c r="S524">
        <f>IFERROR(O524/N524,0)</f>
        <v/>
      </c>
      <c r="T524" t="n">
        <v>0</v>
      </c>
      <c r="V524" t="n">
        <v>0</v>
      </c>
    </row>
    <row r="525">
      <c r="A525">
        <f>Skills!A14</f>
        <v/>
      </c>
      <c r="B525">
        <f>Skills!B14</f>
        <v/>
      </c>
      <c r="C525">
        <f>Inputs!$B$3&gt;=110</f>
        <v/>
      </c>
      <c r="D525">
        <f>IF(Skills!C14=1,60+Inputs!$B$25+Inputs!$B$29,IF(Skills!C14=2,90+Inputs!$B$26+Inputs!$B$29,IF(Skills!C14=3,120+Inputs!$B$27+Inputs!$B$29,MAX(0,(Inputs!$B$3-100)*3)+Inputs!$B$28+Inputs!$B$29)))</f>
        <v/>
      </c>
      <c r="E525">
        <f>INDEX(FactorTable!$B$2:$Y$301, MATCH(ROUND(MIN(300,MAX(1,D525)),0), FactorTable!$A$2:$A$301,0), Skills!M14+1)</f>
        <v/>
      </c>
      <c r="F525">
        <f>IF(Skills!N14=TRUE,(Skills!L14/10)*(E525/1000),Skills!L14/10)+Skills!O14</f>
        <v/>
      </c>
      <c r="G525">
        <f>Skills!G14*IF(Skills!H14&gt;0,Skills!I14/Skills!H14,1)</f>
        <v/>
      </c>
      <c r="H525">
        <f>1-(1-Skills!J14/100)^Skills!K14</f>
        <v/>
      </c>
      <c r="I525" t="inlineStr">
        <is>
          <t>1</t>
        </is>
      </c>
      <c r="J525" t="inlineStr"/>
      <c r="K525" t="inlineStr"/>
      <c r="L525" t="inlineStr"/>
      <c r="M525" t="inlineStr"/>
      <c r="N525" t="inlineStr"/>
      <c r="O525">
        <f>(1-Summary!$B$11)*T525+Summary!$B$11*V525</f>
        <v/>
      </c>
      <c r="P525">
        <f>IF(B548=0,0,O525/B548)</f>
        <v/>
      </c>
      <c r="Q525" t="n">
        <v>0</v>
      </c>
      <c r="R525" t="n">
        <v>0</v>
      </c>
      <c r="S525">
        <f>IFERROR(O525/N525,0)</f>
        <v/>
      </c>
      <c r="T525" t="n">
        <v>0</v>
      </c>
      <c r="V525" t="n">
        <v>0</v>
      </c>
    </row>
    <row r="526">
      <c r="A526">
        <f>Skills!A15</f>
        <v/>
      </c>
      <c r="B526">
        <f>Skills!B15</f>
        <v/>
      </c>
      <c r="C526">
        <f>Inputs!$B$3&gt;=75</f>
        <v/>
      </c>
      <c r="D526">
        <f>IF(Skills!C15=1,60+Inputs!$B$25+Inputs!$B$29,IF(Skills!C15=2,90+Inputs!$B$26+Inputs!$B$29,IF(Skills!C15=3,120+Inputs!$B$27+Inputs!$B$29,MAX(0,(Inputs!$B$3-100)*3)+Inputs!$B$28+Inputs!$B$29)))</f>
        <v/>
      </c>
      <c r="E526">
        <f>INDEX(FactorTable!$B$2:$Y$301, MATCH(ROUND(MIN(300,MAX(1,D526)),0), FactorTable!$A$2:$A$301,0), Skills!M15+1)</f>
        <v/>
      </c>
      <c r="F526">
        <f>IF(Skills!N15=TRUE,(Skills!L15/10)*(E526/1000),Skills!L15/10)+Skills!O15</f>
        <v/>
      </c>
      <c r="G526">
        <f>Skills!G15*IF(Skills!H15&gt;0,Skills!I15/Skills!H15,1)</f>
        <v/>
      </c>
      <c r="H526">
        <f>1-(1-Skills!J15/100)^Skills!K15</f>
        <v/>
      </c>
      <c r="I526" t="inlineStr">
        <is>
          <t>1</t>
        </is>
      </c>
      <c r="J526" t="inlineStr"/>
      <c r="K526" t="inlineStr"/>
      <c r="L526" t="inlineStr"/>
      <c r="M526" t="inlineStr"/>
      <c r="N526" t="inlineStr"/>
      <c r="O526">
        <f>(1-Summary!$B$11)*T526+Summary!$B$11*V526</f>
        <v/>
      </c>
      <c r="P526">
        <f>IF(B548=0,0,O526/B548)</f>
        <v/>
      </c>
      <c r="Q526">
        <f>IFERROR(1/(IF(Inputs!$B$38="pvp",15,MAX(0.1,Skills!D15-IF(Skills!E15=TRUE,Inputs!$B$32,0)))*(1-IF(AND(ArtifactsInput!$M$27,Inputs!$B$4="Chapter Hunt"),CHOOSE(ArtifactsInput!$N$27+1,20,24,28,32,36,40),0)/100)),0)</f>
        <v/>
      </c>
      <c r="R526">
        <f>IF(AND(Inputs!$B$38&lt;&gt;"pvp",Inputs!$B$43&gt;0),IF(Inputs!$B$43&lt;=0,0,(INT(Inputs!$B$43/(IF(Inputs!$B$38="pvp",15,MAX(0.1,Skills!D15-IF(Skills!E15=TRUE,Inputs!$B$32,0)))*(1-IF(AND(ArtifactsInput!$M$27,Inputs!$B$4="Chapter Hunt"),CHOOSE(ArtifactsInput!$N$27+1,20,24,28,32,36,40),0)/100)))+1)),0)</f>
        <v/>
      </c>
      <c r="S526">
        <f>IFERROR(O526/N526,0)</f>
        <v/>
      </c>
      <c r="T526" t="n">
        <v>0</v>
      </c>
      <c r="V526" t="n">
        <v>0</v>
      </c>
    </row>
    <row r="527">
      <c r="A527">
        <f>Skills!A16</f>
        <v/>
      </c>
      <c r="B527">
        <f>Skills!B16</f>
        <v/>
      </c>
      <c r="C527">
        <f>Inputs!$B$3&gt;=105</f>
        <v/>
      </c>
      <c r="D527">
        <f>IF(Skills!C16=1,60+Inputs!$B$25+Inputs!$B$29,IF(Skills!C16=2,90+Inputs!$B$26+Inputs!$B$29,IF(Skills!C16=3,120+Inputs!$B$27+Inputs!$B$29,MAX(0,(Inputs!$B$3-100)*3)+Inputs!$B$28+Inputs!$B$29)))</f>
        <v/>
      </c>
      <c r="E527">
        <f>INDEX(FactorTable!$B$2:$Y$301, MATCH(ROUND(MIN(300,MAX(1,D527)),0), FactorTable!$A$2:$A$301,0), Skills!M16+1)</f>
        <v/>
      </c>
      <c r="F527">
        <f>IF(Skills!N16=TRUE,(Skills!L16/10)*(E527/1000),Skills!L16/10)+Skills!O16</f>
        <v/>
      </c>
      <c r="G527">
        <f>Skills!G16*IF(Skills!H16&gt;0,Skills!I16/Skills!H16,1)</f>
        <v/>
      </c>
      <c r="H527">
        <f>1-(1-Skills!J16/100)^Skills!K16</f>
        <v/>
      </c>
      <c r="I527" t="inlineStr">
        <is>
          <t>1</t>
        </is>
      </c>
      <c r="J527" t="inlineStr"/>
      <c r="K527" t="inlineStr"/>
      <c r="L527" t="inlineStr"/>
      <c r="M527" t="inlineStr"/>
      <c r="N527" t="inlineStr"/>
      <c r="O527">
        <f>(1-Summary!$B$11)*T527+Summary!$B$11*V527</f>
        <v/>
      </c>
      <c r="P527">
        <f>IF(B548=0,0,O527/B548)</f>
        <v/>
      </c>
      <c r="Q527">
        <f>IFERROR(1/(IF(Inputs!$B$38="pvp",15,MAX(0.1,Skills!D16-IF(Skills!E16=TRUE,Inputs!$B$32,0)))*(1-IF(AND(ArtifactsInput!$M$27,Inputs!$B$4="Chapter Hunt"),CHOOSE(ArtifactsInput!$N$27+1,20,24,28,32,36,40),0)/100)),0)</f>
        <v/>
      </c>
      <c r="R527">
        <f>IF(AND(Inputs!$B$38&lt;&gt;"pvp",Inputs!$B$43&gt;0),IF(Inputs!$B$43&lt;=0,0,(INT(Inputs!$B$43/(IF(Inputs!$B$38="pvp",15,MAX(0.1,Skills!D16-IF(Skills!E16=TRUE,Inputs!$B$32,0)))*(1-IF(AND(ArtifactsInput!$M$27,Inputs!$B$4="Chapter Hunt"),CHOOSE(ArtifactsInput!$N$27+1,20,24,28,32,36,40),0)/100)))+1)),0)</f>
        <v/>
      </c>
      <c r="S527">
        <f>IFERROR(O527/N527,0)</f>
        <v/>
      </c>
      <c r="T527" t="n">
        <v>0</v>
      </c>
      <c r="V527" t="n">
        <v>0</v>
      </c>
    </row>
    <row r="528">
      <c r="A528">
        <f>Skills!A17</f>
        <v/>
      </c>
      <c r="B528">
        <f>Skills!B17</f>
        <v/>
      </c>
      <c r="C528">
        <f>Inputs!$B$3&gt;=115</f>
        <v/>
      </c>
      <c r="D528">
        <f>IF(Skills!C17=1,60+Inputs!$B$25+Inputs!$B$29,IF(Skills!C17=2,90+Inputs!$B$26+Inputs!$B$29,IF(Skills!C17=3,120+Inputs!$B$27+Inputs!$B$29,MAX(0,(Inputs!$B$3-100)*3)+Inputs!$B$28+Inputs!$B$29)))</f>
        <v/>
      </c>
      <c r="E528">
        <f>INDEX(FactorTable!$B$2:$Y$301, MATCH(ROUND(MIN(300,MAX(1,D528)),0), FactorTable!$A$2:$A$301,0), Skills!M17+1)</f>
        <v/>
      </c>
      <c r="F528">
        <f>IF(Skills!N17=TRUE,(Skills!L17/10)*(E528/1000),Skills!L17/10)+Skills!O17</f>
        <v/>
      </c>
      <c r="G528">
        <f>Skills!G17*IF(Skills!H17&gt;0,Skills!I17/Skills!H17,1)</f>
        <v/>
      </c>
      <c r="H528">
        <f>1-(1-Skills!J17/100)^Skills!K17</f>
        <v/>
      </c>
      <c r="I528" t="inlineStr">
        <is>
          <t>1</t>
        </is>
      </c>
      <c r="J528" t="inlineStr"/>
      <c r="K528" t="inlineStr"/>
      <c r="L528" t="inlineStr"/>
      <c r="M528" t="inlineStr"/>
      <c r="N528" t="inlineStr"/>
      <c r="O528">
        <f>(1-Summary!$B$11)*T528+Summary!$B$11*V528</f>
        <v/>
      </c>
      <c r="P528">
        <f>IF(B548=0,0,O528/B548)</f>
        <v/>
      </c>
      <c r="Q528">
        <f>IFERROR(1/(IF(Inputs!$B$38="pvp",15,MAX(0.1,Skills!D17-IF(Skills!E17=TRUE,Inputs!$B$32,0)))*(1-IF(AND(ArtifactsInput!$M$27,Inputs!$B$4="Chapter Hunt"),CHOOSE(ArtifactsInput!$N$27+1,20,24,28,32,36,40),0)/100)),0)</f>
        <v/>
      </c>
      <c r="R528">
        <f>IF(AND(Inputs!$B$38&lt;&gt;"pvp",Inputs!$B$43&gt;0),IF(Inputs!$B$43&lt;=0,0,(INT(Inputs!$B$43/(IF(Inputs!$B$38="pvp",15,MAX(0.1,Skills!D17-IF(Skills!E17=TRUE,Inputs!$B$32,0)))*(1-IF(AND(ArtifactsInput!$M$27,Inputs!$B$4="Chapter Hunt"),CHOOSE(ArtifactsInput!$N$27+1,20,24,28,32,36,40),0)/100)))+1)),0)</f>
        <v/>
      </c>
      <c r="S528">
        <f>IFERROR(O528/N528,0)</f>
        <v/>
      </c>
      <c r="T528" t="n">
        <v>0</v>
      </c>
      <c r="V528" t="n">
        <v>0</v>
      </c>
    </row>
    <row r="529">
      <c r="A529">
        <f>Skills!A18</f>
        <v/>
      </c>
      <c r="B529">
        <f>Skills!B18</f>
        <v/>
      </c>
      <c r="C529">
        <f>Inputs!$B$3&gt;=74</f>
        <v/>
      </c>
      <c r="D529">
        <f>IF(Skills!C18=1,60+Inputs!$B$25+Inputs!$B$29,IF(Skills!C18=2,90+Inputs!$B$26+Inputs!$B$29,IF(Skills!C18=3,120+Inputs!$B$27+Inputs!$B$29,MAX(0,(Inputs!$B$3-100)*3)+Inputs!$B$28+Inputs!$B$29)))</f>
        <v/>
      </c>
      <c r="E529">
        <f>INDEX(FactorTable!$B$2:$Y$301, MATCH(ROUND(MIN(300,MAX(1,D529)),0), FactorTable!$A$2:$A$301,0), Skills!M18+1)</f>
        <v/>
      </c>
      <c r="F529">
        <f>IF(Skills!N18=TRUE,(Skills!L18/10)*(E529/1000),Skills!L18/10)+Skills!O18</f>
        <v/>
      </c>
      <c r="G529">
        <f>Skills!G18*IF(Skills!H18&gt;0,Skills!I18/Skills!H18,1)</f>
        <v/>
      </c>
      <c r="H529">
        <f>1-(1-Skills!J18/100)^Skills!K18</f>
        <v/>
      </c>
      <c r="I529" t="inlineStr">
        <is>
          <t>1</t>
        </is>
      </c>
      <c r="J529" t="inlineStr"/>
      <c r="K529" t="inlineStr"/>
      <c r="L529" t="inlineStr"/>
      <c r="M529" t="inlineStr"/>
      <c r="N529" t="inlineStr"/>
      <c r="O529">
        <f>(1-Summary!$B$11)*T529+Summary!$B$11*V529</f>
        <v/>
      </c>
      <c r="P529">
        <f>IF(B548=0,0,O529/B548)</f>
        <v/>
      </c>
      <c r="Q529">
        <f>IFERROR(1/(IF(Inputs!$B$38="pvp",15,MAX(0.1,Skills!D18-IF(Skills!E18=TRUE,Inputs!$B$32,0)))*(1-IF(AND(ArtifactsInput!$M$27,Inputs!$B$4="Chapter Hunt"),CHOOSE(ArtifactsInput!$N$27+1,20,24,28,32,36,40),0)/100)),0)</f>
        <v/>
      </c>
      <c r="R529">
        <f>IF(AND(Inputs!$B$38&lt;&gt;"pvp",Inputs!$B$43&gt;0),IF(Inputs!$B$43&lt;=0,0,(INT(Inputs!$B$43/(IF(Inputs!$B$38="pvp",15,MAX(0.1,Skills!D18-IF(Skills!E18=TRUE,Inputs!$B$32,0)))*(1-IF(AND(ArtifactsInput!$M$27,Inputs!$B$4="Chapter Hunt"),CHOOSE(ArtifactsInput!$N$27+1,20,24,28,32,36,40),0)/100)))+1)),0)</f>
        <v/>
      </c>
      <c r="S529">
        <f>IFERROR(O529/N529,0)</f>
        <v/>
      </c>
      <c r="T529" t="n">
        <v>0</v>
      </c>
      <c r="V529" t="n">
        <v>0</v>
      </c>
    </row>
    <row r="530">
      <c r="A530">
        <f>Skills!A19</f>
        <v/>
      </c>
      <c r="B530">
        <f>Skills!B19</f>
        <v/>
      </c>
      <c r="C530">
        <f>TRUE</f>
        <v/>
      </c>
      <c r="D530">
        <f>IF(Skills!C19=1,60+Inputs!$B$25+Inputs!$B$29,IF(Skills!C19=2,90+Inputs!$B$26+Inputs!$B$29,IF(Skills!C19=3,120+Inputs!$B$27+Inputs!$B$29,MAX(0,(Inputs!$B$3-100)*3)+Inputs!$B$28+Inputs!$B$29)))</f>
        <v/>
      </c>
      <c r="E530">
        <f>INDEX(FactorTable!$B$2:$Y$301, MATCH(ROUND(MIN(300,MAX(1,D530)),0), FactorTable!$A$2:$A$301,0), Skills!M19+1)</f>
        <v/>
      </c>
      <c r="F530">
        <f>IF(Skills!N19=TRUE,(Skills!L19/10)*(E530/1000),Skills!L19/10)+Skills!O19</f>
        <v/>
      </c>
      <c r="G530">
        <f>Skills!G19*IF(Skills!H19&gt;0,Skills!I19/Skills!H19,1)</f>
        <v/>
      </c>
      <c r="H530">
        <f>1-(1-Skills!J19/100)^Skills!K19</f>
        <v/>
      </c>
      <c r="I530" t="inlineStr">
        <is>
          <t>1</t>
        </is>
      </c>
      <c r="J530" t="inlineStr"/>
      <c r="K530" t="inlineStr"/>
      <c r="L530" t="inlineStr"/>
      <c r="M530" t="inlineStr"/>
      <c r="N530" t="inlineStr"/>
      <c r="O530">
        <f>(1-Summary!$B$11)*T530+Summary!$B$11*V530</f>
        <v/>
      </c>
      <c r="P530">
        <f>IF(B548=0,0,O530/B548)</f>
        <v/>
      </c>
      <c r="Q530">
        <f>IFERROR(1/(IF(Inputs!$B$38="pvp",15,MAX(0.1,Skills!D19-IF(Skills!E19=TRUE,Inputs!$B$32,0)))*(1-IF(AND(ArtifactsInput!$M$27,Inputs!$B$4="Chapter Hunt"),CHOOSE(ArtifactsInput!$N$27+1,20,24,28,32,36,40),0)/100)),0)</f>
        <v/>
      </c>
      <c r="R530">
        <f>IF(AND(Inputs!$B$38&lt;&gt;"pvp",Inputs!$B$43&gt;0),IF(Inputs!$B$43&lt;=0,0,(INT(Inputs!$B$43/(IF(Inputs!$B$38="pvp",15,MAX(0.1,Skills!D19-IF(Skills!E19=TRUE,Inputs!$B$32,0)))*(1-IF(AND(ArtifactsInput!$M$27,Inputs!$B$4="Chapter Hunt"),CHOOSE(ArtifactsInput!$N$27+1,20,24,28,32,36,40),0)/100)))+1)),0)</f>
        <v/>
      </c>
      <c r="S530">
        <f>IFERROR(O530/N530,0)</f>
        <v/>
      </c>
      <c r="T530" t="n">
        <v>0</v>
      </c>
      <c r="V530" t="n">
        <v>0</v>
      </c>
    </row>
    <row r="531">
      <c r="A531">
        <f>Skills!A20</f>
        <v/>
      </c>
      <c r="B531">
        <f>Skills!B20</f>
        <v/>
      </c>
      <c r="C531">
        <f>Inputs!$B$3&gt;=33</f>
        <v/>
      </c>
      <c r="D531">
        <f>IF(Skills!C20=1,60+Inputs!$B$25+Inputs!$B$29,IF(Skills!C20=2,90+Inputs!$B$26+Inputs!$B$29,IF(Skills!C20=3,120+Inputs!$B$27+Inputs!$B$29,MAX(0,(Inputs!$B$3-100)*3)+Inputs!$B$28+Inputs!$B$29)))</f>
        <v/>
      </c>
      <c r="E531">
        <f>INDEX(FactorTable!$B$2:$Y$301, MATCH(ROUND(MIN(300,MAX(1,D531)),0), FactorTable!$A$2:$A$301,0), Skills!M20+1)</f>
        <v/>
      </c>
      <c r="F531">
        <f>IF(Skills!N20=TRUE,(Skills!L20/10)*(E531/1000),Skills!L20/10)+Skills!O20</f>
        <v/>
      </c>
      <c r="G531">
        <f>Skills!G20*IF(Skills!H20&gt;0,Skills!I20/Skills!H20,1)</f>
        <v/>
      </c>
      <c r="H531">
        <f>1-(1-Skills!J20/100)^Skills!K20</f>
        <v/>
      </c>
      <c r="I531" t="inlineStr">
        <is>
          <t>1</t>
        </is>
      </c>
      <c r="J531" t="inlineStr"/>
      <c r="K531" t="inlineStr"/>
      <c r="L531" t="inlineStr"/>
      <c r="M531" t="inlineStr"/>
      <c r="N531" t="inlineStr"/>
      <c r="O531">
        <f>(1-Summary!$B$11)*T531+Summary!$B$11*V531</f>
        <v/>
      </c>
      <c r="P531">
        <f>IF(B548=0,0,O531/B548)</f>
        <v/>
      </c>
      <c r="Q531" t="n">
        <v>0</v>
      </c>
      <c r="R531" t="n">
        <v>0</v>
      </c>
      <c r="S531">
        <f>IFERROR(O531/N531,0)</f>
        <v/>
      </c>
      <c r="T531" t="n">
        <v>0</v>
      </c>
      <c r="V531" t="n">
        <v>0</v>
      </c>
    </row>
    <row r="532">
      <c r="A532">
        <f>Skills!A21</f>
        <v/>
      </c>
      <c r="B532">
        <f>Skills!B21</f>
        <v/>
      </c>
      <c r="C532">
        <f>Inputs!$B$3&gt;=38</f>
        <v/>
      </c>
      <c r="D532">
        <f>IF(Skills!C21=1,60+Inputs!$B$25+Inputs!$B$29,IF(Skills!C21=2,90+Inputs!$B$26+Inputs!$B$29,IF(Skills!C21=3,120+Inputs!$B$27+Inputs!$B$29,MAX(0,(Inputs!$B$3-100)*3)+Inputs!$B$28+Inputs!$B$29)))</f>
        <v/>
      </c>
      <c r="E532">
        <f>INDEX(FactorTable!$B$2:$Y$301, MATCH(ROUND(MIN(300,MAX(1,D532)),0), FactorTable!$A$2:$A$301,0), Skills!M21+1)</f>
        <v/>
      </c>
      <c r="F532">
        <f>IF(Skills!N21=TRUE,(Skills!L21/10)*(E532/1000),Skills!L21/10)+Skills!O21</f>
        <v/>
      </c>
      <c r="G532">
        <f>Skills!G21*IF(Skills!H21&gt;0,Skills!I21/Skills!H21,1)</f>
        <v/>
      </c>
      <c r="H532">
        <f>1-(1-Skills!J21/100)^Skills!K21</f>
        <v/>
      </c>
      <c r="I532" t="inlineStr">
        <is>
          <t>1</t>
        </is>
      </c>
      <c r="J532" t="inlineStr"/>
      <c r="K532" t="inlineStr"/>
      <c r="L532" t="inlineStr"/>
      <c r="M532" t="inlineStr"/>
      <c r="N532" t="inlineStr"/>
      <c r="O532">
        <f>(1-Summary!$B$11)*T532+Summary!$B$11*V532</f>
        <v/>
      </c>
      <c r="P532">
        <f>IF(B548=0,0,O532/B548)</f>
        <v/>
      </c>
      <c r="Q532" t="n">
        <v>0</v>
      </c>
      <c r="R532" t="n">
        <v>0</v>
      </c>
      <c r="S532">
        <f>IFERROR(O532/N532,0)</f>
        <v/>
      </c>
      <c r="T532" t="n">
        <v>0</v>
      </c>
      <c r="V532" t="n">
        <v>0</v>
      </c>
    </row>
    <row r="533">
      <c r="A533">
        <f>Skills!A22</f>
        <v/>
      </c>
      <c r="B533">
        <f>Skills!B22</f>
        <v/>
      </c>
      <c r="C533">
        <f>Inputs!$B$3&gt;=43</f>
        <v/>
      </c>
      <c r="D533">
        <f>IF(Skills!C22=1,60+Inputs!$B$25+Inputs!$B$29,IF(Skills!C22=2,90+Inputs!$B$26+Inputs!$B$29,IF(Skills!C22=3,120+Inputs!$B$27+Inputs!$B$29,MAX(0,(Inputs!$B$3-100)*3)+Inputs!$B$28+Inputs!$B$29)))</f>
        <v/>
      </c>
      <c r="E533">
        <f>INDEX(FactorTable!$B$2:$Y$301, MATCH(ROUND(MIN(300,MAX(1,D533)),0), FactorTable!$A$2:$A$301,0), Skills!M22+1)</f>
        <v/>
      </c>
      <c r="F533">
        <f>IF(Skills!N22=TRUE,(Skills!L22/10)*(E533/1000),Skills!L22/10)+Skills!O22</f>
        <v/>
      </c>
      <c r="G533">
        <f>Skills!G22*IF(Skills!H22&gt;0,Skills!I22/Skills!H22,1)</f>
        <v/>
      </c>
      <c r="H533">
        <f>1-(1-Skills!J22/100)^Skills!K22</f>
        <v/>
      </c>
      <c r="I533" t="inlineStr">
        <is>
          <t>1</t>
        </is>
      </c>
      <c r="J533" t="inlineStr"/>
      <c r="K533" t="inlineStr"/>
      <c r="L533" t="inlineStr"/>
      <c r="M533" t="inlineStr"/>
      <c r="N533" t="inlineStr"/>
      <c r="O533">
        <f>(1-Summary!$B$11)*T533+Summary!$B$11*V533</f>
        <v/>
      </c>
      <c r="P533">
        <f>IF(B548=0,0,O533/B548)</f>
        <v/>
      </c>
      <c r="Q533" t="n">
        <v>0</v>
      </c>
      <c r="R533" t="n">
        <v>0</v>
      </c>
      <c r="S533">
        <f>IFERROR(O533/N533,0)</f>
        <v/>
      </c>
      <c r="T533" t="n">
        <v>0</v>
      </c>
      <c r="V533" t="n">
        <v>0</v>
      </c>
    </row>
    <row r="534">
      <c r="A534">
        <f>Skills!A23</f>
        <v/>
      </c>
      <c r="B534">
        <f>Skills!B23</f>
        <v/>
      </c>
      <c r="C534">
        <f>Inputs!$B$3&gt;=120</f>
        <v/>
      </c>
      <c r="D534">
        <f>IF(Skills!C23=1,60+Inputs!$B$25+Inputs!$B$29,IF(Skills!C23=2,90+Inputs!$B$26+Inputs!$B$29,IF(Skills!C23=3,120+Inputs!$B$27+Inputs!$B$29,MAX(0,(Inputs!$B$3-100)*3)+Inputs!$B$28+Inputs!$B$29)))</f>
        <v/>
      </c>
      <c r="E534">
        <f>INDEX(FactorTable!$B$2:$Y$301, MATCH(ROUND(MIN(300,MAX(1,D534)),0), FactorTable!$A$2:$A$301,0), Skills!M23+1)</f>
        <v/>
      </c>
      <c r="F534">
        <f>IF(Skills!N23=TRUE,(Skills!L23/10)*(E534/1000),Skills!L23/10)+Skills!O23</f>
        <v/>
      </c>
      <c r="G534">
        <f>Skills!G23*IF(Skills!H23&gt;0,Skills!I23/Skills!H23,1)</f>
        <v/>
      </c>
      <c r="H534">
        <f>1-(1-Skills!J23/100)^Skills!K23</f>
        <v/>
      </c>
      <c r="I534" t="inlineStr">
        <is>
          <t>1</t>
        </is>
      </c>
      <c r="J534" t="inlineStr"/>
      <c r="K534" t="inlineStr"/>
      <c r="L534" t="inlineStr"/>
      <c r="M534" t="inlineStr"/>
      <c r="N534" t="inlineStr"/>
      <c r="O534">
        <f>(1-Summary!$B$11)*T534+Summary!$B$11*V534</f>
        <v/>
      </c>
      <c r="P534">
        <f>IF(B548=0,0,O534/B548)</f>
        <v/>
      </c>
      <c r="Q534" t="n">
        <v>0</v>
      </c>
      <c r="R534" t="n">
        <v>0</v>
      </c>
      <c r="S534">
        <f>IFERROR(O534/N534,0)</f>
        <v/>
      </c>
      <c r="T534" t="n">
        <v>0</v>
      </c>
      <c r="V534" t="n">
        <v>0</v>
      </c>
    </row>
    <row r="535">
      <c r="A535">
        <f>Skills!A24</f>
        <v/>
      </c>
      <c r="B535">
        <f>Skills!B24</f>
        <v/>
      </c>
      <c r="C535">
        <f>Inputs!$B$3&gt;=120</f>
        <v/>
      </c>
      <c r="D535">
        <f>IF(Skills!C24=1,60+Inputs!$B$25+Inputs!$B$29,IF(Skills!C24=2,90+Inputs!$B$26+Inputs!$B$29,IF(Skills!C24=3,120+Inputs!$B$27+Inputs!$B$29,MAX(0,(Inputs!$B$3-100)*3)+Inputs!$B$28+Inputs!$B$29)))</f>
        <v/>
      </c>
      <c r="E535">
        <f>INDEX(FactorTable!$B$2:$Y$301, MATCH(ROUND(MIN(300,MAX(1,D535)),0), FactorTable!$A$2:$A$301,0), Skills!M24+1)</f>
        <v/>
      </c>
      <c r="F535">
        <f>IF(Skills!N24=TRUE,(Skills!L24/10)*(E535/1000),Skills!L24/10)+Skills!O24</f>
        <v/>
      </c>
      <c r="G535">
        <f>Skills!G24*IF(Skills!H24&gt;0,Skills!I24/Skills!H24,1)</f>
        <v/>
      </c>
      <c r="H535">
        <f>1-(1-Skills!J24/100)^Skills!K24</f>
        <v/>
      </c>
      <c r="I535" t="inlineStr">
        <is>
          <t>1</t>
        </is>
      </c>
      <c r="J535" t="inlineStr"/>
      <c r="K535" t="inlineStr"/>
      <c r="L535" t="inlineStr"/>
      <c r="M535" t="inlineStr"/>
      <c r="N535" t="inlineStr"/>
      <c r="O535">
        <f>(1-Summary!$B$11)*T535+Summary!$B$11*V535</f>
        <v/>
      </c>
      <c r="P535">
        <f>IF(B548=0,0,O535/B548)</f>
        <v/>
      </c>
      <c r="Q535" t="n">
        <v>0</v>
      </c>
      <c r="R535" t="n">
        <v>0</v>
      </c>
      <c r="S535">
        <f>IFERROR(O535/N535,0)</f>
        <v/>
      </c>
      <c r="T535" t="n">
        <v>0</v>
      </c>
      <c r="V535" t="n">
        <v>0</v>
      </c>
    </row>
    <row r="537">
      <c r="A537" t="inlineStr">
        <is>
          <t>Attack% Bucket Multiplier</t>
        </is>
      </c>
      <c r="B537">
        <f>(1+(((C524=TRUE)*F524*MIN(1,Skills!T13*(Skills!J13/100)*B542))+((C529=TRUE)*F529*IF(AND(Inputs!$B$38&lt;&gt;"pvp",Inputs!$B$43&gt;0),(((R529-1)*(Skills!T18*(1+Inputs!$B$34/100))+MIN((Skills!T18*(1+Inputs!$B$34/100)),MAX(0,Inputs!$B$43-((R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38">
      <c r="A538" t="inlineStr">
        <is>
          <t>Global Crit Rate Bonus %</t>
        </is>
      </c>
      <c r="B538" t="n">
        <v>0</v>
      </c>
    </row>
    <row r="539">
      <c r="A539" t="inlineStr">
        <is>
          <t>Attack Speed Buff Bonus %</t>
        </is>
      </c>
      <c r="B539">
        <f>((C530=TRUE)*F530*IF(AND(Inputs!$B$38&lt;&gt;"pvp",Inputs!$B$43&gt;0),(((R530-1)*(Skills!T19*(1+Inputs!$B$34/100))+MIN((Skills!T19*(1+Inputs!$B$34/100)),MAX(0,Inputs!$B$43-((R530-1)*Skills!D19))))/Inputs!$B$43),IF(Inputs!$B$38="pvp",MIN((Skills!T19*(1+Inputs!$B$34/100)),15)/15,(Skills!T19*(1+Inputs!$B$34/100))/Skills!D19)))</f>
        <v/>
      </c>
    </row>
    <row r="540">
      <c r="A540" t="inlineStr">
        <is>
          <t>Actions Per Second</t>
        </is>
      </c>
      <c r="B540">
        <f>1+MIN(150,150*(1-(1-(Inputs!$B$11+((C531=TRUE)*(F531-Calc!F20)))/150)*(1-B539/150)))/100</f>
        <v/>
      </c>
    </row>
    <row r="541">
      <c r="A541" t="inlineStr">
        <is>
          <t>Skill + Buff Cast Rate</t>
        </is>
      </c>
      <c r="B541">
        <f>IF(AND(Inputs!$B$38&lt;&gt;"pvp",Inputs!$B$43&gt;0),SUMPRODUCT((Skills!E2:E24=TRUE)*(C513:C535=TRUE)*R513:R535*Skills!F2:F24)/Inputs!$B$43,SUMPRODUCT((Skills!E2:E24=TRUE)*(C513:C535=TRUE)*Q513:Q535*Skills!F2:F24))</f>
        <v/>
      </c>
    </row>
    <row r="542">
      <c r="A542" t="inlineStr">
        <is>
          <t>Blast Casts Per Second</t>
        </is>
      </c>
      <c r="B542">
        <f>MAX(0,B540-B541)</f>
        <v/>
      </c>
    </row>
    <row r="543">
      <c r="A543" t="inlineStr">
        <is>
          <t>Global Critical Damage Bonus % (unused)</t>
        </is>
      </c>
      <c r="B543" t="n">
        <v>0</v>
      </c>
    </row>
    <row r="544">
      <c r="A544" t="inlineStr">
        <is>
          <t>Global Final Damage Bonus % (Divine Shield + Guardian + Divine Blessing + Greater Vessel of Light)</t>
        </is>
      </c>
      <c r="B544">
        <f>((C526=TRUE)*F526*IF(AND(Inputs!$B$38&lt;&gt;"pvp",Inputs!$B$43&gt;0),(((R526-1)*(Skills!T15*(1+Inputs!$B$34/100))+MIN((Skills!T15*(1+Inputs!$B$34/100)),MAX(0,Inputs!$B$43-((R526-1)*Skills!D15))))/Inputs!$B$43),IF(Inputs!$B$38="pvp",MIN((Skills!T15*(1+Inputs!$B$34/100)),15)/15,(Skills!T15*(1+Inputs!$B$34/100))/Skills!D15)))+((C527=TRUE)*F527*IF(AND(Inputs!$B$38&lt;&gt;"pvp",Inputs!$B$43&gt;0),(((R527-1)*(Skills!T16*(1+Inputs!$B$34/100))+MIN((Skills!T16*(1+Inputs!$B$34/100)),MAX(0,Inputs!$B$43-((R527-1)*Skills!D16))))/Inputs!$B$43),IF(Inputs!$B$38="pvp",MIN((Skills!T16*(1+Inputs!$B$34/100)),15)/15,(Skills!T16*(1+Inputs!$B$34/100))/Skills!D16)))+((C528=TRUE)*F528*IF(AND(Inputs!$B$38&lt;&gt;"pvp",Inputs!$B$43&gt;0),(((R528-1)*(Skills!T17*(1+Inputs!$B$34/100))+MIN((Skills!T17*(1+Inputs!$B$34/100)),MAX(0,Inputs!$B$43-((R528-1)*Skills!D17))))/Inputs!$B$43),IF(Inputs!$B$38="pvp",MIN((Skills!T17*(1+Inputs!$B$34/100)),15)/15,(Skills!T17*(1+Inputs!$B$34/100))/Skills!D17)))+((C525=TRUE)*F525*MIN(1,Skills!T13*(Skills!J13/100)*B542))</f>
        <v/>
      </c>
    </row>
    <row r="545">
      <c r="A545" t="inlineStr">
        <is>
          <t>Buff-Casting Startup Delay (s, fixed-duration only)</t>
        </is>
      </c>
      <c r="B545">
        <f>IF(AND(Inputs!$B$38&lt;&gt;"pvp",Inputs!$B$43&gt;0),SUMPRODUCT((Skills!T2:T24&gt;0)*(Skills!E2:E24=TRUE)*(C513:C535=TRUE))/B540,0)</f>
        <v/>
      </c>
    </row>
    <row r="546">
      <c r="A546" t="inlineStr">
        <is>
          <t>Boss-Only Total DPS (this block's swept value)</t>
        </is>
      </c>
      <c r="B546">
        <f>SUM(T513:T535)</f>
        <v/>
      </c>
    </row>
    <row r="547">
      <c r="A547" t="inlineStr">
        <is>
          <t>Normal-Only Total DPS (this block's swept value)</t>
        </is>
      </c>
      <c r="B547">
        <f>SUM(V513:V535)</f>
        <v/>
      </c>
    </row>
    <row r="548">
      <c r="A548" s="6" t="inlineStr">
        <is>
          <t>TOTAL DPS</t>
        </is>
      </c>
      <c r="B548" s="6">
        <f>SUM(O513:O535)</f>
        <v/>
      </c>
    </row>
    <row r="551">
      <c r="A551" s="6" t="inlineStr">
        <is>
          <t>Stat: ATTACK_SPEED % (diminishing returns, factor 150)</t>
        </is>
      </c>
    </row>
    <row r="552">
      <c r="A552" s="5" t="inlineStr">
        <is>
          <t>Key</t>
        </is>
      </c>
      <c r="B552" s="5" t="inlineStr">
        <is>
          <t>Name</t>
        </is>
      </c>
      <c r="C552" s="5" t="inlineStr">
        <is>
          <t>Unlocked</t>
        </is>
      </c>
      <c r="D552" s="5" t="inlineStr">
        <is>
          <t>InputLevel</t>
        </is>
      </c>
      <c r="E552" s="5" t="inlineStr">
        <is>
          <t>Factor</t>
        </is>
      </c>
      <c r="F552" s="5" t="inlineStr">
        <is>
          <t>CoefficientPercent</t>
        </is>
      </c>
      <c r="G552" s="5" t="inlineStr">
        <is>
          <t>EffectiveHits</t>
        </is>
      </c>
      <c r="H552" s="5" t="inlineStr">
        <is>
          <t>ProcProbability</t>
        </is>
      </c>
      <c r="I552" s="5" t="inlineStr">
        <is>
          <t>MapleHeroMultiplier</t>
        </is>
      </c>
      <c r="J552" s="5" t="inlineStr">
        <is>
          <t>BaseDamage</t>
        </is>
      </c>
      <c r="K552" s="5" t="inlineStr">
        <is>
          <t>BaseHitDamage</t>
        </is>
      </c>
      <c r="L552" s="5" t="inlineStr">
        <is>
          <t>NonCritAvg</t>
        </is>
      </c>
      <c r="M552" s="5" t="inlineStr">
        <is>
          <t>CritAvg</t>
        </is>
      </c>
      <c r="N552" s="5" t="inlineStr">
        <is>
          <t>ExpectedDamage(perHit)</t>
        </is>
      </c>
      <c r="O552" s="5" t="inlineStr">
        <is>
          <t>DPS</t>
        </is>
      </c>
      <c r="P552" s="5" t="inlineStr">
        <is>
          <t>% of Total</t>
        </is>
      </c>
      <c r="Q552" s="5" t="inlineStr">
        <is>
          <t>InvCooldown</t>
        </is>
      </c>
      <c r="R552" s="5" t="inlineStr">
        <is>
          <t>CastsInFight</t>
        </is>
      </c>
      <c r="S552" s="5" t="inlineStr">
        <is>
          <t>HitRate(perSec)</t>
        </is>
      </c>
      <c r="U552" t="inlineStr">
        <is>
          <t>helpers</t>
        </is>
      </c>
    </row>
    <row r="553">
      <c r="A553">
        <f>Skills!A2</f>
        <v/>
      </c>
      <c r="B553">
        <f>Skills!B2</f>
        <v/>
      </c>
      <c r="C553">
        <f>Inputs!$B$3&gt;=100</f>
        <v/>
      </c>
      <c r="D553" t="inlineStr"/>
      <c r="E553" t="inlineStr"/>
      <c r="F553">
        <f>U555+Skills!O2</f>
        <v/>
      </c>
      <c r="G553">
        <f>Skills!G2*IF(Skills!H2&gt;0,Skills!I2/Skills!H2,1)</f>
        <v/>
      </c>
      <c r="H553">
        <f>1-(1-Skills!J2/100)^Skills!K2</f>
        <v/>
      </c>
      <c r="I553" t="inlineStr">
        <is>
          <t>1</t>
        </is>
      </c>
      <c r="J553">
        <f>((Inputs!$B$6*(1+Inputs!$B$7/100))+(((Inputs!$B$12*(1+Inputs!$B$13/100))-(Inputs!$B$12*(1+Inputs!$B$13/100)))+0.25*(Inputs!$B$14-Inputs!$B$14))*(1+Inputs!$B$7/100))*(F553/100)</f>
        <v/>
      </c>
      <c r="K553">
        <f>J553*(1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553)</f>
        <v/>
      </c>
      <c r="L553">
        <f>K553*(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3">
        <f>L553*(1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3">
        <f>L553*(1-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553*(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3">
        <f>(1-Summary!$B$11)*T553+Summary!$B$11*V553</f>
        <v/>
      </c>
      <c r="P553">
        <f>IF(B588=0,0,O553/B588)</f>
        <v/>
      </c>
      <c r="Q553" t="n">
        <v>0</v>
      </c>
      <c r="R553" t="n">
        <v>0</v>
      </c>
      <c r="S553">
        <f>IFERROR(O553/N553,0)</f>
        <v/>
      </c>
      <c r="T553">
        <f>IF(C553,(Skills!G2*N553*B582)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553*(1-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553*(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553*(1-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553*(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53">
        <f>MAX(0,(Inputs!$B$3-100)*3)+Inputs!$B$28+Inputs!$B$29</f>
        <v/>
      </c>
      <c r="V553">
        <f>IF(C553,(Skills!G2*N553*B582)*IF(Inputs!$B$38="pvp",1,(1+(Inputs!$B$21+Skills!Q2+(IF(ArtifactsInput!$M$33,CHOOSE(ArtifactsInput!$N$33+1,30,36,42,48,54,60),0))+(IF(AND(ArtifactsInput!$M$35,Inputs!$B$4&lt;&gt;"Chapter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4">
      <c r="A554">
        <f>Skills!A3</f>
        <v/>
      </c>
      <c r="B554">
        <f>Skills!B3</f>
        <v/>
      </c>
      <c r="C554">
        <f>Inputs!$B$3&gt;=50</f>
        <v/>
      </c>
      <c r="D554">
        <f>IF(Skills!C3=1,60+Inputs!$B$25+Inputs!$B$29,IF(Skills!C3=2,90+Inputs!$B$26+Inputs!$B$29,IF(Skills!C3=3,120+Inputs!$B$27+Inputs!$B$29,MAX(0,(Inputs!$B$3-100)*3)+Inputs!$B$28+Inputs!$B$29)))</f>
        <v/>
      </c>
      <c r="E554">
        <f>INDEX(FactorTable!$B$2:$Y$301, MATCH(ROUND(MIN(300,MAX(1,D554)),0), FactorTable!$A$2:$A$301,0), Skills!M3+1)</f>
        <v/>
      </c>
      <c r="F554">
        <f>IF(Skills!N3=TRUE,(Skills!L3/10)*(E554/1000),Skills!L3/10)+Skills!O3</f>
        <v/>
      </c>
      <c r="G554" t="inlineStr"/>
      <c r="H554" t="inlineStr"/>
      <c r="I554" t="inlineStr">
        <is>
          <t>1</t>
        </is>
      </c>
      <c r="J554" t="inlineStr"/>
      <c r="K554" t="inlineStr"/>
      <c r="L554" t="inlineStr"/>
      <c r="M554" t="inlineStr"/>
      <c r="N554" t="inlineStr"/>
      <c r="O554" t="inlineStr"/>
      <c r="P554" t="inlineStr"/>
      <c r="Q554" t="inlineStr"/>
      <c r="R554" t="inlineStr"/>
      <c r="S554" t="inlineStr"/>
      <c r="U554">
        <f>INDEX(FactorTable!$B$2:$Y$301, MATCH(ROUND(MIN(300,MAX(1,U553)),0), FactorTable!$A$2:$A$301,0), 22)</f>
        <v/>
      </c>
    </row>
    <row r="555">
      <c r="A555">
        <f>Skills!A4</f>
        <v/>
      </c>
      <c r="B555">
        <f>Skills!B4</f>
        <v/>
      </c>
      <c r="C555">
        <f>Inputs!$B$3&gt;=35</f>
        <v/>
      </c>
      <c r="D555">
        <f>IF(Skills!C4=1,60+Inputs!$B$25+Inputs!$B$29,IF(Skills!C4=2,90+Inputs!$B$26+Inputs!$B$29,IF(Skills!C4=3,120+Inputs!$B$27+Inputs!$B$29,MAX(0,(Inputs!$B$3-100)*3)+Inputs!$B$28+Inputs!$B$29)))</f>
        <v/>
      </c>
      <c r="E555">
        <f>INDEX(FactorTable!$B$2:$Y$301, MATCH(ROUND(MIN(300,MAX(1,D555)),0), FactorTable!$A$2:$A$301,0), Skills!M4+1)</f>
        <v/>
      </c>
      <c r="F555">
        <f>IF(Skills!N4=TRUE,(Skills!L4/10)*(E555/1000),Skills!L4/10)+Skills!O4</f>
        <v/>
      </c>
      <c r="G555">
        <f>Skills!G4*IF(Skills!H4&gt;0,Skills!I4/Skills!H4,1)</f>
        <v/>
      </c>
      <c r="H555">
        <f>1-(1-Skills!J4/100)^Skills!K4</f>
        <v/>
      </c>
      <c r="I555" t="inlineStr">
        <is>
          <t>1</t>
        </is>
      </c>
      <c r="J555">
        <f>((Inputs!$B$6*(1+Inputs!$B$7/100))+(((Inputs!$B$12*(1+Inputs!$B$13/100))-(Inputs!$B$12*(1+Inputs!$B$13/100)))+0.25*(Inputs!$B$14-Inputs!$B$14))*(1+Inputs!$B$7/100))*(F555/100)</f>
        <v/>
      </c>
      <c r="K555">
        <f>J555*(1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+4.0*IF(C563=TRUE,F563,0)/100)*(1+(IF(Skills!A4="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555)</f>
        <v/>
      </c>
      <c r="L555">
        <f>K555*(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5">
        <f>L555*(1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5">
        <f>L555*(1-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555*(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5">
        <f>(1-Summary!$B$11)*T555+Summary!$B$11*V555</f>
        <v/>
      </c>
      <c r="P555">
        <f>IF(B588=0,0,O555/B588)</f>
        <v/>
      </c>
      <c r="Q555">
        <f>IFERROR(1/(IF(Inputs!$B$38="pvp",15,MAX(0.1,Skills!D4-IF(Skills!E4=TRUE,Inputs!$B$32,0)))*(1-IF(AND(ArtifactsInput!$M$27,Inputs!$B$4="Chapter Hunt"),CHOOSE(ArtifactsInput!$N$27+1,20,24,28,32,36,40),0)/100)),0)</f>
        <v/>
      </c>
      <c r="R555">
        <f>IF(AND(Inputs!$B$38&lt;&gt;"pvp",Inputs!$B$43&gt;0),IF(MAX(0,Inputs!$B$43-B585)&lt;=0,0,(INT(MAX(0,Inputs!$B$43-B585)/(IF(Inputs!$B$38="pvp",15,MAX(0.1,Skills!D4-IF(Skills!E4=TRUE,Inputs!$B$32,0)))*(1-IF(AND(ArtifactsInput!$M$27,Inputs!$B$4="Chapter Hunt"),CHOOSE(ArtifactsInput!$N$27+1,20,24,28,32,36,40),0)/100)))+1)),0)</f>
        <v/>
      </c>
      <c r="S555">
        <f>IFERROR(O555/N555,0)</f>
        <v/>
      </c>
      <c r="T555">
        <f>IF(C555,(H555*N555*IF(AND(Inputs!$B$38&lt;&gt;"pvp",Inputs!$B$43&gt;0),((Skills!G4*((R555-1)*IF(Skills!H4&gt;0,Skills!I4/Skills!H4,1)+IF(Skills!H4&gt;0,MIN(Skills!I4,MAX(0,MAX(0,Inputs!$B$43-B585)-((R555-1)*(IF(Inputs!$B$38="pvp",15,MAX(0.1,Skills!D4-IF(Skills!E4=TRUE,Inputs!$B$32,0)))*(1-IF(AND(ArtifactsInput!$M$27,Inputs!$B$4="Chapter Hunt"),CHOOSE(ArtifactsInput!$N$27+1,20,24,28,32,36,40),0)/100)))))/Skills!H4,1)))/Inputs!$B$43),G555*Q555)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555*(1-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555*(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555*(1-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555*(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55">
        <f>290*U554/1000</f>
        <v/>
      </c>
      <c r="V555">
        <f>IF(C555,(H555*N555*IF(AND(Inputs!$B$38&lt;&gt;"pvp",Inputs!$B$43&gt;0),((Skills!G4*((R555-1)*IF(Skills!H4&gt;0,Skills!I4/Skills!H4,1)+IF(Skills!H4&gt;0,MIN(Skills!I4,MAX(0,MAX(0,Inputs!$B$43-B585)-((R555-1)*(IF(Inputs!$B$38="pvp",15,MAX(0.1,Skills!D4-IF(Skills!E4=TRUE,Inputs!$B$32,0)))*(1-IF(AND(ArtifactsInput!$M$27,Inputs!$B$4="Chapter Hunt"),CHOOSE(ArtifactsInput!$N$27+1,20,24,28,32,36,40),0)/100)))))/Skills!H4,1)))/Inputs!$B$43),G555*Q555))*IF(Inputs!$B$38="pvp",1,(1+(Inputs!$B$21+Skills!Q4+(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6">
      <c r="A556">
        <f>Skills!A5</f>
        <v/>
      </c>
      <c r="B556">
        <f>Skills!B5</f>
        <v/>
      </c>
      <c r="C556">
        <f>Inputs!$B$3&gt;=66</f>
        <v/>
      </c>
      <c r="D556">
        <f>IF(Skills!C5=1,60+Inputs!$B$25+Inputs!$B$29,IF(Skills!C5=2,90+Inputs!$B$26+Inputs!$B$29,IF(Skills!C5=3,120+Inputs!$B$27+Inputs!$B$29,MAX(0,(Inputs!$B$3-100)*3)+Inputs!$B$28+Inputs!$B$29)))</f>
        <v/>
      </c>
      <c r="E556">
        <f>INDEX(FactorTable!$B$2:$Y$301, MATCH(ROUND(MIN(300,MAX(1,D556)),0), FactorTable!$A$2:$A$301,0), Skills!M5+1)</f>
        <v/>
      </c>
      <c r="F556">
        <f>IF(Skills!N5=TRUE,(Skills!L5/10)*(E556/1000),Skills!L5/10)+Skills!O5</f>
        <v/>
      </c>
      <c r="G556">
        <f>Skills!G5*IF(Skills!H5&gt;0,Skills!I5/Skills!H5,1)</f>
        <v/>
      </c>
      <c r="H556">
        <f>1-(1-Skills!J5/100)^Skills!K5</f>
        <v/>
      </c>
      <c r="I556" t="inlineStr">
        <is>
          <t>1</t>
        </is>
      </c>
      <c r="J556">
        <f>((Inputs!$B$6*(1+Inputs!$B$7/100))+(((Inputs!$B$12*(1+Inputs!$B$13/100))-(Inputs!$B$12*(1+Inputs!$B$13/100)))+0.25*(Inputs!$B$14-Inputs!$B$14))*(1+Inputs!$B$7/100))*(F556/100)</f>
        <v/>
      </c>
      <c r="K556">
        <f>J556*(1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563=TRUE,F563,0)/100)*(1+(IF(Skills!A5="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556)</f>
        <v/>
      </c>
      <c r="L556">
        <f>K556*(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6">
        <f>L556*(1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6">
        <f>L556*(1-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556*(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6">
        <f>(1-Summary!$B$11)*T556+Summary!$B$11*V556</f>
        <v/>
      </c>
      <c r="P556">
        <f>IF(B588=0,0,O556/B588)</f>
        <v/>
      </c>
      <c r="Q556">
        <f>IFERROR(1/(IF(Inputs!$B$38="pvp",15,MAX(0.1,Skills!D5-IF(Skills!E5=TRUE,Inputs!$B$32,0)))*(1-IF(AND(ArtifactsInput!$M$27,Inputs!$B$4="Chapter Hunt"),CHOOSE(ArtifactsInput!$N$27+1,20,24,28,32,36,40),0)/100)),0)</f>
        <v/>
      </c>
      <c r="R556">
        <f>IF(AND(Inputs!$B$38&lt;&gt;"pvp",Inputs!$B$43&gt;0),IF(MAX(0,Inputs!$B$43-B585)&lt;=0,0,(INT(MAX(0,Inputs!$B$43-B585)/(IF(Inputs!$B$38="pvp",15,MAX(0.1,Skills!D5-IF(Skills!E5=TRUE,Inputs!$B$32,0)))*(1-IF(AND(ArtifactsInput!$M$27,Inputs!$B$4="Chapter Hunt"),CHOOSE(ArtifactsInput!$N$27+1,20,24,28,32,36,40),0)/100)))+1)),0)</f>
        <v/>
      </c>
      <c r="S556">
        <f>IFERROR(O556/N556,0)</f>
        <v/>
      </c>
      <c r="T556">
        <f>IF(C556,(H556*N556*IF(AND(Inputs!$B$38&lt;&gt;"pvp",Inputs!$B$43&gt;0),((Skills!G5*((R556-1)*IF(Skills!H5&gt;0,Skills!I5/Skills!H5,1)+IF(Skills!H5&gt;0,MIN(Skills!I5,MAX(0,MAX(0,Inputs!$B$43-B585)-((R556-1)*(IF(Inputs!$B$38="pvp",15,MAX(0.1,Skills!D5-IF(Skills!E5=TRUE,Inputs!$B$32,0)))*(1-IF(AND(ArtifactsInput!$M$27,Inputs!$B$4="Chapter Hunt"),CHOOSE(ArtifactsInput!$N$27+1,20,24,28,32,36,40),0)/100)))))/Skills!H5,1)))/Inputs!$B$43),G556*Q556)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556*(1-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556*(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556*(1-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556*(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6">
        <f>IF(C556,(H556*N556*IF(AND(Inputs!$B$38&lt;&gt;"pvp",Inputs!$B$43&gt;0),((Skills!G5*((R556-1)*IF(Skills!H5&gt;0,Skills!I5/Skills!H5,1)+IF(Skills!H5&gt;0,MIN(Skills!I5,MAX(0,MAX(0,Inputs!$B$43-B585)-((R556-1)*(IF(Inputs!$B$38="pvp",15,MAX(0.1,Skills!D5-IF(Skills!E5=TRUE,Inputs!$B$32,0)))*(1-IF(AND(ArtifactsInput!$M$27,Inputs!$B$4="Chapter Hunt"),CHOOSE(ArtifactsInput!$N$27+1,20,24,28,32,36,40),0)/100)))))/Skills!H5,1)))/Inputs!$B$43),G556*Q556))*IF(Inputs!$B$38="pvp",1,(1+(Inputs!$B$21+Skills!Q5+(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7">
      <c r="A557">
        <f>Skills!A6</f>
        <v/>
      </c>
      <c r="B557">
        <f>Skills!B6</f>
        <v/>
      </c>
      <c r="C557">
        <f>Inputs!$B$3&gt;=103</f>
        <v/>
      </c>
      <c r="D557">
        <f>IF(Skills!C6=1,60+Inputs!$B$25+Inputs!$B$29,IF(Skills!C6=2,90+Inputs!$B$26+Inputs!$B$29,IF(Skills!C6=3,120+Inputs!$B$27+Inputs!$B$29,MAX(0,(Inputs!$B$3-100)*3)+Inputs!$B$28+Inputs!$B$29)))</f>
        <v/>
      </c>
      <c r="E557">
        <f>INDEX(FactorTable!$B$2:$Y$301, MATCH(ROUND(MIN(300,MAX(1,D557)),0), FactorTable!$A$2:$A$301,0), Skills!M6+1)</f>
        <v/>
      </c>
      <c r="F557">
        <f>IF(Skills!N6=TRUE,(Skills!L6/10)*(E557/1000),Skills!L6/10)+Skills!O6</f>
        <v/>
      </c>
      <c r="G557">
        <f>Skills!G6*IF(Skills!H6&gt;0,Skills!I6/Skills!H6,1)</f>
        <v/>
      </c>
      <c r="H557">
        <f>1-(1-Skills!J6/100)^Skills!K6</f>
        <v/>
      </c>
      <c r="I557" t="inlineStr">
        <is>
          <t>1</t>
        </is>
      </c>
      <c r="J557">
        <f>((Inputs!$B$6*(1+Inputs!$B$7/100))+(((Inputs!$B$12*(1+Inputs!$B$13/100))-(Inputs!$B$12*(1+Inputs!$B$13/100)))+0.25*(Inputs!$B$14-Inputs!$B$14))*(1+Inputs!$B$7/100))*(F557/100)</f>
        <v/>
      </c>
      <c r="K557">
        <f>J557*(1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6="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557)</f>
        <v/>
      </c>
      <c r="L557">
        <f>K557*(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7">
        <f>L557*(1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7">
        <f>L557*(1-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557*(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7">
        <f>(1-Summary!$B$11)*T557+Summary!$B$11*V557</f>
        <v/>
      </c>
      <c r="P557">
        <f>IF(B588=0,0,O557/B588)</f>
        <v/>
      </c>
      <c r="Q557">
        <f>IFERROR(1/(IF(Inputs!$B$38="pvp",15,MAX(0.1,Skills!D6-IF(Skills!E6=TRUE,Inputs!$B$32,0)))*(1-IF(AND(ArtifactsInput!$M$27,Inputs!$B$4="Chapter Hunt"),CHOOSE(ArtifactsInput!$N$27+1,20,24,28,32,36,40),0)/100)),0)</f>
        <v/>
      </c>
      <c r="R557">
        <f>IF(AND(Inputs!$B$38&lt;&gt;"pvp",Inputs!$B$43&gt;0),IF(MAX(0,Inputs!$B$43-B585)&lt;=0,0,(INT(MAX(0,Inputs!$B$43-B585)/(IF(Inputs!$B$38="pvp",15,MAX(0.1,Skills!D6-IF(Skills!E6=TRUE,Inputs!$B$32,0)))*(1-IF(AND(ArtifactsInput!$M$27,Inputs!$B$4="Chapter Hunt"),CHOOSE(ArtifactsInput!$N$27+1,20,24,28,32,36,40),0)/100)))+1)),0)</f>
        <v/>
      </c>
      <c r="S557">
        <f>IFERROR(O557/N557,0)</f>
        <v/>
      </c>
      <c r="T557">
        <f>IF(C557,(H557*N557*IF(AND(Inputs!$B$38&lt;&gt;"pvp",Inputs!$B$43&gt;0),((Skills!G6*((R557-1)*IF(Skills!H6&gt;0,Skills!I6/Skills!H6,1)+IF(Skills!H6&gt;0,MIN(Skills!I6,MAX(0,MAX(0,Inputs!$B$43-B585)-((R557-1)*(IF(Inputs!$B$38="pvp",15,MAX(0.1,Skills!D6-IF(Skills!E6=TRUE,Inputs!$B$32,0)))*(1-IF(AND(ArtifactsInput!$M$27,Inputs!$B$4="Chapter Hunt"),CHOOSE(ArtifactsInput!$N$27+1,20,24,28,32,36,40),0)/100)))))/Skills!H6,1)))/Inputs!$B$43),G557*Q557)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557*(1-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557*(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557*(1-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557*(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7">
        <f>IF(C557,(H557*N557*IF(AND(Inputs!$B$38&lt;&gt;"pvp",Inputs!$B$43&gt;0),((Skills!G6*((R557-1)*IF(Skills!H6&gt;0,Skills!I6/Skills!H6,1)+IF(Skills!H6&gt;0,MIN(Skills!I6,MAX(0,MAX(0,Inputs!$B$43-B585)-((R557-1)*(IF(Inputs!$B$38="pvp",15,MAX(0.1,Skills!D6-IF(Skills!E6=TRUE,Inputs!$B$32,0)))*(1-IF(AND(ArtifactsInput!$M$27,Inputs!$B$4="Chapter Hunt"),CHOOSE(ArtifactsInput!$N$27+1,20,24,28,32,36,40),0)/100)))))/Skills!H6,1)))/Inputs!$B$43),G557*Q557))*IF(Inputs!$B$38="pvp",1,(1+(Inputs!$B$21+Skills!Q6+(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8">
      <c r="A558">
        <f>Skills!A7</f>
        <v/>
      </c>
      <c r="B558">
        <f>Skills!B7</f>
        <v/>
      </c>
      <c r="C558">
        <f>Inputs!$B$3&gt;=107</f>
        <v/>
      </c>
      <c r="D558">
        <f>IF(Skills!C7=1,60+Inputs!$B$25+Inputs!$B$29,IF(Skills!C7=2,90+Inputs!$B$26+Inputs!$B$29,IF(Skills!C7=3,120+Inputs!$B$27+Inputs!$B$29,MAX(0,(Inputs!$B$3-100)*3)+Inputs!$B$28+Inputs!$B$29)))</f>
        <v/>
      </c>
      <c r="E558">
        <f>INDEX(FactorTable!$B$2:$Y$301, MATCH(ROUND(MIN(300,MAX(1,D558)),0), FactorTable!$A$2:$A$301,0), Skills!M7+1)</f>
        <v/>
      </c>
      <c r="F558">
        <f>IF(Skills!N7=TRUE,(Skills!L7/10)*(E558/1000),Skills!L7/10)+Skills!O7</f>
        <v/>
      </c>
      <c r="G558">
        <f>Skills!G7*IF(Skills!H7&gt;0,Skills!I7/Skills!H7,1)</f>
        <v/>
      </c>
      <c r="H558">
        <f>1-(1-Skills!J7/100)^Skills!K7</f>
        <v/>
      </c>
      <c r="I558" t="inlineStr">
        <is>
          <t>1</t>
        </is>
      </c>
      <c r="J558">
        <f>((Inputs!$B$6*(1+Inputs!$B$7/100))+(((Inputs!$B$12*(1+Inputs!$B$13/100))-(Inputs!$B$12*(1+Inputs!$B$13/100)))+0.25*(Inputs!$B$14-Inputs!$B$14))*(1+Inputs!$B$7/100))*(F558/100)</f>
        <v/>
      </c>
      <c r="K558">
        <f>J558*(1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7="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558)</f>
        <v/>
      </c>
      <c r="L558">
        <f>K558*(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8">
        <f>L558*(1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8">
        <f>L558*(1-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558*(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8">
        <f>(1-Summary!$B$11)*T558+Summary!$B$11*V558</f>
        <v/>
      </c>
      <c r="P558">
        <f>IF(B588=0,0,O558/B588)</f>
        <v/>
      </c>
      <c r="Q558">
        <f>IFERROR(1/(IF(Inputs!$B$38="pvp",15,MAX(0.1,Skills!D7-IF(Skills!E7=TRUE,Inputs!$B$32,0)))*(1-IF(AND(ArtifactsInput!$M$27,Inputs!$B$4="Chapter Hunt"),CHOOSE(ArtifactsInput!$N$27+1,20,24,28,32,36,40),0)/100)),0)</f>
        <v/>
      </c>
      <c r="R558">
        <f>IF(AND(Inputs!$B$38&lt;&gt;"pvp",Inputs!$B$43&gt;0),IF(MAX(0,Inputs!$B$43-B585)&lt;=0,0,(INT(MAX(0,Inputs!$B$43-B585)/(IF(Inputs!$B$38="pvp",15,MAX(0.1,Skills!D7-IF(Skills!E7=TRUE,Inputs!$B$32,0)))*(1-IF(AND(ArtifactsInput!$M$27,Inputs!$B$4="Chapter Hunt"),CHOOSE(ArtifactsInput!$N$27+1,20,24,28,32,36,40),0)/100)))+1)),0)</f>
        <v/>
      </c>
      <c r="S558">
        <f>IFERROR(O558/N558,0)</f>
        <v/>
      </c>
      <c r="T558">
        <f>IF(C558,(H558*N558*IF(AND(Inputs!$B$38&lt;&gt;"pvp",Inputs!$B$43&gt;0),((Skills!G7*((R558-1)*IF(Skills!H7&gt;0,Skills!I7/Skills!H7,1)+IF(Skills!H7&gt;0,MIN(Skills!I7,MAX(0,MAX(0,Inputs!$B$43-B585)-((R558-1)*(IF(Inputs!$B$38="pvp",15,MAX(0.1,Skills!D7-IF(Skills!E7=TRUE,Inputs!$B$32,0)))*(1-IF(AND(ArtifactsInput!$M$27,Inputs!$B$4="Chapter Hunt"),CHOOSE(ArtifactsInput!$N$27+1,20,24,28,32,36,40),0)/100)))))/Skills!H7,1)))/Inputs!$B$43),G558*Q558)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558*(1-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558*(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558*(1-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558*(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8">
        <f>IF(C558,(H558*N558*IF(AND(Inputs!$B$38&lt;&gt;"pvp",Inputs!$B$43&gt;0),((Skills!G7*((R558-1)*IF(Skills!H7&gt;0,Skills!I7/Skills!H7,1)+IF(Skills!H7&gt;0,MIN(Skills!I7,MAX(0,MAX(0,Inputs!$B$43-B585)-((R558-1)*(IF(Inputs!$B$38="pvp",15,MAX(0.1,Skills!D7-IF(Skills!E7=TRUE,Inputs!$B$32,0)))*(1-IF(AND(ArtifactsInput!$M$27,Inputs!$B$4="Chapter Hunt"),CHOOSE(ArtifactsInput!$N$27+1,20,24,28,32,36,40),0)/100)))))/Skills!H7,1)))/Inputs!$B$43),G558*Q558))*IF(Inputs!$B$38="pvp",1,(1+(Inputs!$B$21+Skills!Q7+(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59">
      <c r="A559">
        <f>Skills!A8</f>
        <v/>
      </c>
      <c r="B559">
        <f>Skills!B8</f>
        <v/>
      </c>
      <c r="C559">
        <f>Inputs!$B$3&gt;=107</f>
        <v/>
      </c>
      <c r="D559">
        <f>IF(Skills!C8=1,60+Inputs!$B$25+Inputs!$B$29,IF(Skills!C8=2,90+Inputs!$B$26+Inputs!$B$29,IF(Skills!C8=3,120+Inputs!$B$27+Inputs!$B$29,MAX(0,(Inputs!$B$3-100)*3)+Inputs!$B$28+Inputs!$B$29)))</f>
        <v/>
      </c>
      <c r="E559">
        <f>INDEX(FactorTable!$B$2:$Y$301, MATCH(ROUND(MIN(300,MAX(1,D559)),0), FactorTable!$A$2:$A$301,0), Skills!M8+1)</f>
        <v/>
      </c>
      <c r="F559">
        <f>IF(Skills!N8=TRUE,(Skills!L8/10)*(E559/1000),Skills!L8/10)+Skills!O8</f>
        <v/>
      </c>
      <c r="G559">
        <f>Skills!G8*IF(Skills!H8&gt;0,Skills!I8/Skills!H8,1)</f>
        <v/>
      </c>
      <c r="H559">
        <f>1-(1-Skills!J8/100)^Skills!K8</f>
        <v/>
      </c>
      <c r="I559" t="inlineStr">
        <is>
          <t>1</t>
        </is>
      </c>
      <c r="J559">
        <f>((Inputs!$B$6*(1+Inputs!$B$7/100))+(((Inputs!$B$12*(1+Inputs!$B$13/100))-(Inputs!$B$12*(1+Inputs!$B$13/100)))+0.25*(Inputs!$B$14-Inputs!$B$14))*(1+Inputs!$B$7/100))*(F559/100)</f>
        <v/>
      </c>
      <c r="K559">
        <f>J559*(1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8="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559)</f>
        <v/>
      </c>
      <c r="L559">
        <f>K559*(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59">
        <f>L559*(1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59">
        <f>L559*(1-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559*(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59">
        <f>(1-Summary!$B$11)*T559+Summary!$B$11*V559</f>
        <v/>
      </c>
      <c r="P559">
        <f>IF(B588=0,0,O559/B588)</f>
        <v/>
      </c>
      <c r="Q559">
        <f>IFERROR(1/(IF(Inputs!$B$38="pvp",15,MAX(0.1,Skills!D8-IF(Skills!E8=TRUE,Inputs!$B$32,0)))*(1-IF(AND(ArtifactsInput!$M$27,Inputs!$B$4="Chapter Hunt"),CHOOSE(ArtifactsInput!$N$27+1,20,24,28,32,36,40),0)/100)),0)</f>
        <v/>
      </c>
      <c r="R559">
        <f>IF(AND(Inputs!$B$38&lt;&gt;"pvp",Inputs!$B$43&gt;0),IF(MAX(0,Inputs!$B$43-B585)&lt;=0,0,(INT(MAX(0,Inputs!$B$43-B585)/(IF(Inputs!$B$38="pvp",15,MAX(0.1,Skills!D8-IF(Skills!E8=TRUE,Inputs!$B$32,0)))*(1-IF(AND(ArtifactsInput!$M$27,Inputs!$B$4="Chapter Hunt"),CHOOSE(ArtifactsInput!$N$27+1,20,24,28,32,36,40),0)/100)))+1)),0)</f>
        <v/>
      </c>
      <c r="S559">
        <f>IFERROR(O559/N559,0)</f>
        <v/>
      </c>
      <c r="T559">
        <f>IF(C559,(H559*N559*IF(AND(Inputs!$B$38&lt;&gt;"pvp",Inputs!$B$43&gt;0),((Skills!G8*((R559-1)*IF(Skills!H8&gt;0,Skills!I8/Skills!H8,1)+IF(Skills!H8&gt;0,MIN(Skills!I8,MAX(0,MAX(0,Inputs!$B$43-B585)-((R559-1)*(IF(Inputs!$B$38="pvp",15,MAX(0.1,Skills!D8-IF(Skills!E8=TRUE,Inputs!$B$32,0)))*(1-IF(AND(ArtifactsInput!$M$27,Inputs!$B$4="Chapter Hunt"),CHOOSE(ArtifactsInput!$N$27+1,20,24,28,32,36,40),0)/100)))))/Skills!H8,1)))/Inputs!$B$43),G559*Q559)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559*(1-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559*(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559*(1-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559*(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59">
        <f>IF(C559,(H559*N559*IF(AND(Inputs!$B$38&lt;&gt;"pvp",Inputs!$B$43&gt;0),((Skills!G8*((R559-1)*IF(Skills!H8&gt;0,Skills!I8/Skills!H8,1)+IF(Skills!H8&gt;0,MIN(Skills!I8,MAX(0,MAX(0,Inputs!$B$43-B585)-((R559-1)*(IF(Inputs!$B$38="pvp",15,MAX(0.1,Skills!D8-IF(Skills!E8=TRUE,Inputs!$B$32,0)))*(1-IF(AND(ArtifactsInput!$M$27,Inputs!$B$4="Chapter Hunt"),CHOOSE(ArtifactsInput!$N$27+1,20,24,28,32,36,40),0)/100)))))/Skills!H8,1)))/Inputs!$B$43),G559*Q559))*IF(Inputs!$B$38="pvp",1,(1+(Inputs!$B$21+Skills!Q8+(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0">
      <c r="A560">
        <f>Skills!A9</f>
        <v/>
      </c>
      <c r="B560">
        <f>Skills!B9</f>
        <v/>
      </c>
      <c r="C560">
        <f>Inputs!$B$3&gt;=125</f>
        <v/>
      </c>
      <c r="D560">
        <f>IF(Skills!C9=1,60+Inputs!$B$25+Inputs!$B$29,IF(Skills!C9=2,90+Inputs!$B$26+Inputs!$B$29,IF(Skills!C9=3,120+Inputs!$B$27+Inputs!$B$29,MAX(0,(Inputs!$B$3-100)*3)+Inputs!$B$28+Inputs!$B$29)))</f>
        <v/>
      </c>
      <c r="E560">
        <f>INDEX(FactorTable!$B$2:$Y$301, MATCH(ROUND(MIN(300,MAX(1,D560)),0), FactorTable!$A$2:$A$301,0), Skills!M9+1)</f>
        <v/>
      </c>
      <c r="F560">
        <f>IF(Skills!N9=TRUE,(Skills!L9/10)*(E560/1000),Skills!L9/10)+Skills!O9</f>
        <v/>
      </c>
      <c r="G560">
        <f>Skills!G9*IF(Skills!H9&gt;0,Skills!I9/Skills!H9,1)</f>
        <v/>
      </c>
      <c r="H560">
        <f>1-(1-Skills!J9/100)^Skills!K9</f>
        <v/>
      </c>
      <c r="I560" t="inlineStr">
        <is>
          <t>1</t>
        </is>
      </c>
      <c r="J560">
        <f>((Inputs!$B$6*(1+Inputs!$B$7/100))+(((Inputs!$B$12*(1+Inputs!$B$13/100))-(Inputs!$B$12*(1+Inputs!$B$13/100)))+0.25*(Inputs!$B$14-Inputs!$B$14))*(1+Inputs!$B$7/100))*(F560/100)</f>
        <v/>
      </c>
      <c r="K560">
        <f>J560*(1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9="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560)</f>
        <v/>
      </c>
      <c r="L560">
        <f>K560*(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60">
        <f>L560*(1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0">
        <f>L560*(1-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560*(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0">
        <f>(1-Summary!$B$11)*T560+Summary!$B$11*V560</f>
        <v/>
      </c>
      <c r="P560">
        <f>IF(B588=0,0,O560/B588)</f>
        <v/>
      </c>
      <c r="Q560">
        <f>IFERROR(1/(IF(Inputs!$B$38="pvp",15,MAX(0.1,Skills!D9-IF(Skills!E9=TRUE,Inputs!$B$32,0)))*(1-IF(AND(ArtifactsInput!$M$27,Inputs!$B$4="Chapter Hunt"),CHOOSE(ArtifactsInput!$N$27+1,20,24,28,32,36,40),0)/100)),0)</f>
        <v/>
      </c>
      <c r="R560">
        <f>IF(AND(Inputs!$B$38&lt;&gt;"pvp",Inputs!$B$43&gt;0),IF(MAX(0,Inputs!$B$43-B585)&lt;=0,0,(INT(MAX(0,Inputs!$B$43-B585)/(IF(Inputs!$B$38="pvp",15,MAX(0.1,Skills!D9-IF(Skills!E9=TRUE,Inputs!$B$32,0)))*(1-IF(AND(ArtifactsInput!$M$27,Inputs!$B$4="Chapter Hunt"),CHOOSE(ArtifactsInput!$N$27+1,20,24,28,32,36,40),0)/100)))+1)),0)</f>
        <v/>
      </c>
      <c r="S560">
        <f>IFERROR(O560/N560,0)</f>
        <v/>
      </c>
      <c r="T560">
        <f>IF(C560,(H560*N560*IF(AND(Inputs!$B$38&lt;&gt;"pvp",Inputs!$B$43&gt;0),((Skills!G9*((R560-1)*IF(Skills!H9&gt;0,Skills!I9/Skills!H9,1)+IF(Skills!H9&gt;0,MIN(Skills!I9,MAX(0,MAX(0,Inputs!$B$43-B585)-((R560-1)*(IF(Inputs!$B$38="pvp",15,MAX(0.1,Skills!D9-IF(Skills!E9=TRUE,Inputs!$B$32,0)))*(1-IF(AND(ArtifactsInput!$M$27,Inputs!$B$4="Chapter Hunt"),CHOOSE(ArtifactsInput!$N$27+1,20,24,28,32,36,40),0)/100)))))/Skills!H9,1)))/Inputs!$B$43),G560*Q560)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560*(1-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560*(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560*(1-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560*(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60">
        <f>IF(C560,(H560*N560*IF(AND(Inputs!$B$38&lt;&gt;"pvp",Inputs!$B$43&gt;0),((Skills!G9*((R560-1)*IF(Skills!H9&gt;0,Skills!I9/Skills!H9,1)+IF(Skills!H9&gt;0,MIN(Skills!I9,MAX(0,MAX(0,Inputs!$B$43-B585)-((R560-1)*(IF(Inputs!$B$38="pvp",15,MAX(0.1,Skills!D9-IF(Skills!E9=TRUE,Inputs!$B$32,0)))*(1-IF(AND(ArtifactsInput!$M$27,Inputs!$B$4="Chapter Hunt"),CHOOSE(ArtifactsInput!$N$27+1,20,24,28,32,36,40),0)/100)))))/Skills!H9,1)))/Inputs!$B$43),G560*Q560))*IF(Inputs!$B$38="pvp",1,(1+(Inputs!$B$21+Skills!Q9+(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1">
      <c r="A561">
        <f>Skills!A10</f>
        <v/>
      </c>
      <c r="B561">
        <f>Skills!B10</f>
        <v/>
      </c>
      <c r="C561">
        <f>Inputs!$B$3&gt;=117</f>
        <v/>
      </c>
      <c r="D561">
        <f>IF(Skills!C10=1,60+Inputs!$B$25+Inputs!$B$29,IF(Skills!C10=2,90+Inputs!$B$26+Inputs!$B$29,IF(Skills!C10=3,120+Inputs!$B$27+Inputs!$B$29,MAX(0,(Inputs!$B$3-100)*3)+Inputs!$B$28+Inputs!$B$29)))</f>
        <v/>
      </c>
      <c r="E561">
        <f>INDEX(FactorTable!$B$2:$Y$301, MATCH(ROUND(MIN(300,MAX(1,D561)),0), FactorTable!$A$2:$A$301,0), Skills!M10+1)</f>
        <v/>
      </c>
      <c r="F561">
        <f>IF(Skills!N10=TRUE,(Skills!L10/10)*(E561/1000),Skills!L10/10)+Skills!O10</f>
        <v/>
      </c>
      <c r="G561">
        <f>Skills!G10*IF(Skills!H10&gt;0,Skills!I10/Skills!H10,1)</f>
        <v/>
      </c>
      <c r="H561">
        <f>1-(1-Skills!J10/100)^Skills!K10</f>
        <v/>
      </c>
      <c r="I561" t="inlineStr">
        <is>
          <t>1</t>
        </is>
      </c>
      <c r="J561">
        <f>((Inputs!$B$6*(1+Inputs!$B$7/100))+(((Inputs!$B$12*(1+Inputs!$B$13/100))-(Inputs!$B$12*(1+Inputs!$B$13/100)))+0.25*(Inputs!$B$14-Inputs!$B$14))*(1+Inputs!$B$7/100))*(F561/100)</f>
        <v/>
      </c>
      <c r="K561">
        <f>J561*(1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561)</f>
        <v/>
      </c>
      <c r="L561">
        <f>K561*(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61">
        <f>L561*(1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1">
        <f>L561*(1-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1">
        <f>(1-Summary!$B$11)*T561+Summary!$B$11*V561</f>
        <v/>
      </c>
      <c r="P561">
        <f>IF(B588=0,0,O561/B588)</f>
        <v/>
      </c>
      <c r="Q561">
        <f>IFERROR(1/(IF(Inputs!$B$38="pvp",15,MAX(0.1,Skills!D10-IF(Skills!E10=TRUE,Inputs!$B$32,0)))*(1-IF(AND(ArtifactsInput!$M$27,Inputs!$B$4="Chapter Hunt"),CHOOSE(ArtifactsInput!$N$27+1,20,24,28,32,36,40),0)/100)),0)</f>
        <v/>
      </c>
      <c r="R561">
        <f>IF(AND(Inputs!$B$38&lt;&gt;"pvp",Inputs!$B$43&gt;0),IF(MAX(0,Inputs!$B$43-B585)&lt;=0,0,(INT(MAX(0,Inputs!$B$43-B585)/(IF(Inputs!$B$38="pvp",15,MAX(0.1,Skills!D10-IF(Skills!E10=TRUE,Inputs!$B$32,0)))*(1-IF(AND(ArtifactsInput!$M$27,Inputs!$B$4="Chapter Hunt"),CHOOSE(ArtifactsInput!$N$27+1,20,24,28,32,36,40),0)/100)))+1)),0)</f>
        <v/>
      </c>
      <c r="S561">
        <f>IFERROR(O561/N561,0)</f>
        <v/>
      </c>
      <c r="T561">
        <f>IF(C561,(H561*N561*IF(AND(Inputs!$B$38&lt;&gt;"pvp",Inputs!$B$43&gt;0),((Skills!G10*((R561-1)*IF(Skills!H10&gt;0,Skills!I10/Skills!H10,1)+IF(Skills!H10&gt;0,MIN(Skills!I10,MAX(0,MAX(0,Inputs!$B$43-B585)-((R561-1)*(IF(Inputs!$B$38="pvp",15,MAX(0.1,Skills!D10-IF(Skills!E10=TRUE,Inputs!$B$32,0)))*(1-IF(AND(ArtifactsInput!$M$27,Inputs!$B$4="Chapter Hunt"),CHOOSE(ArtifactsInput!$N$27+1,20,24,28,32,36,40),0)/100)))))/Skills!H10,1)))/Inputs!$B$43),G561*Q561)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561*(1-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561*(1-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61">
        <f>IF(C561,(H561*N561*IF(AND(Inputs!$B$38&lt;&gt;"pvp",Inputs!$B$43&gt;0),((Skills!G10*((R561-1)*IF(Skills!H10&gt;0,Skills!I10/Skills!H10,1)+IF(Skills!H10&gt;0,MIN(Skills!I10,MAX(0,MAX(0,Inputs!$B$43-B585)-((R561-1)*(IF(Inputs!$B$38="pvp",15,MAX(0.1,Skills!D10-IF(Skills!E10=TRUE,Inputs!$B$32,0)))*(1-IF(AND(ArtifactsInput!$M$27,Inputs!$B$4="Chapter Hunt"),CHOOSE(ArtifactsInput!$N$27+1,20,24,28,32,36,40),0)/100)))))/Skills!H10,1)))/Inputs!$B$43),G561*Q561))*IF(Inputs!$B$38="pvp",1,(1+(Inputs!$B$21+Skills!Q10+(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2">
      <c r="A562">
        <f>Skills!A11</f>
        <v/>
      </c>
      <c r="B562">
        <f>Skills!B11</f>
        <v/>
      </c>
      <c r="C562">
        <f>Inputs!$B$3&gt;=63</f>
        <v/>
      </c>
      <c r="D562">
        <f>IF(Skills!C11=1,60+Inputs!$B$25+Inputs!$B$29,IF(Skills!C11=2,90+Inputs!$B$26+Inputs!$B$29,IF(Skills!C11=3,120+Inputs!$B$27+Inputs!$B$29,MAX(0,(Inputs!$B$3-100)*3)+Inputs!$B$28+Inputs!$B$29)))</f>
        <v/>
      </c>
      <c r="E562">
        <f>INDEX(FactorTable!$B$2:$Y$301, MATCH(ROUND(MIN(300,MAX(1,D562)),0), FactorTable!$A$2:$A$301,0), Skills!M11+1)</f>
        <v/>
      </c>
      <c r="F562">
        <f>IF(Skills!N11=TRUE,(Skills!L11/10)*(E562/1000),Skills!L11/10)+Skills!O11</f>
        <v/>
      </c>
      <c r="G562">
        <f>Skills!G11*IF(Skills!H11&gt;0,Skills!I11/Skills!H11,1)</f>
        <v/>
      </c>
      <c r="H562">
        <f>1-(1-Skills!J11/100)^Skills!K11</f>
        <v/>
      </c>
      <c r="I562" t="inlineStr">
        <is>
          <t>1</t>
        </is>
      </c>
      <c r="J562">
        <f>((Inputs!$B$6*(1+Inputs!$B$7/100))+(((Inputs!$B$12*(1+Inputs!$B$13/100))-(Inputs!$B$12*(1+Inputs!$B$13/100)))+0.25*(Inputs!$B$14-Inputs!$B$14))*(1+Inputs!$B$7/100))*(F562/100)</f>
        <v/>
      </c>
      <c r="K562">
        <f>J562*(1+((Inputs!$B$12*(1+Inputs!$B$13/100))*0.01+Inputs!$B$14*0.0025)/100)*(1+Inputs!$B$15/100)*(1+Inputs!$B$16/100)*(5000/(6000+Inputs!$B$42*(1-(Inputs!$B$19+0)/100)))*(1+(Inputs!$B$24+0+B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+1.5*IF(C563=TRUE,F563,0)/100)*(1+(IF(Skills!A11="BLAST",Inputs!$B$17+((C572=TRUE)*(F572-Calc!F21))+((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MIN(100,((Inputs!$B$9+0+B578+(ArtifactsInput!$M$24-ArtifactsInput!$M$24)*CHOOSE(ArtifactsInput!$N$24+1,10,12,14,16,18,20)+IF(ArtifactsInput!$M$10,CHOOSE(ArtifactsInput!$N$10+1,15,18,21,24,27,30)*(IF(Inputs!$B$38="pvp",MIN(15,15)/15,IF(AND(Inputs!$B$38&lt;&gt;"pvp",Inputs!$B$43&gt;0),MIN(15,Inputs!$B$43)/(Inputs!$B$43),0))),0)))-100),0))*CHOOSE(ArtifactsInput!$N$42+1,0.6,0.72,0.84,0.96,1.08,1.2))),Inputs!$B$18+((C574=TRUE)*(F574-Calc!F23))+(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gt;=100),CHOOSE(ArtifactsInput!$N$42+1,40,48,56,64,72,80),0))))/100)*((1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562)</f>
        <v/>
      </c>
      <c r="L562">
        <f>K562*(MIN(Inputs!$B$22+((C573=TRUE)*(F573-Calc!F22)),(Inputs!$B$23+((C575=TRUE)*(F575-Calc!F24))+(IF(ArtifactsInput!$M$15,CHOOSE(ArtifactsInput!$N$15+1,25,30,35,40,45,50)/100*(((1-(1-Inputs!$B$11/150)*(1-1/150))*150)-Inputs!$B$11),0))))/100+(Inputs!$B$23+((C575=TRUE)*(F575-Calc!F24))+(IF(ArtifactsInput!$M$15,CHOOSE(ArtifactsInput!$N$15+1,25,30,35,40,45,50)/100*(((1-(1-Inputs!$B$11/150)*(1-1/150))*150)-Inputs!$B$11),0)))/100)/2</f>
        <v/>
      </c>
      <c r="M562">
        <f>L562*(1+(Inputs!$B$10+0+B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2">
        <f>L562*(1-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562*(MIN((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2">
        <f>(1-Summary!$B$11)*T562+Summary!$B$11*V562</f>
        <v/>
      </c>
      <c r="P562">
        <f>IF(B588=0,0,O562/B588)</f>
        <v/>
      </c>
      <c r="Q562">
        <f>IFERROR(1/(IF(Inputs!$B$38="pvp",15,MAX(0.1,Skills!D11-IF(Skills!E11=TRUE,Inputs!$B$32,0)))*(1-IF(AND(ArtifactsInput!$M$27,Inputs!$B$4="Chapter Hunt"),CHOOSE(ArtifactsInput!$N$27+1,20,24,28,32,36,40),0)/100)),0)</f>
        <v/>
      </c>
      <c r="R562">
        <f>IF(AND(Inputs!$B$38&lt;&gt;"pvp",Inputs!$B$43&gt;0),IF(MAX(0,Inputs!$B$43-B585)&lt;=0,0,(INT(MAX(0,Inputs!$B$43-B585)/(IF(Inputs!$B$38="pvp",15,MAX(0.1,Skills!D11-IF(Skills!E11=TRUE,Inputs!$B$32,0)))*(1-IF(AND(ArtifactsInput!$M$27,Inputs!$B$4="Chapter Hunt"),CHOOSE(ArtifactsInput!$N$27+1,20,24,28,32,36,40),0)/100)))+1)),0)</f>
        <v/>
      </c>
      <c r="S562">
        <f>IFERROR(O562/N562,0)</f>
        <v/>
      </c>
      <c r="T562">
        <f>IF(C562,(H562*N562*IF(AND(Inputs!$B$38&lt;&gt;"pvp",Inputs!$B$43&gt;0),((Skills!G11*((R562-1)*IF(Skills!H11&gt;0,Skills!I11/Skills!H11,1)+IF(Skills!H11&gt;0,MIN(Skills!I11,MAX(0,MAX(0,Inputs!$B$43-B585)-((R562-1)*(IF(Inputs!$B$38="pvp",15,MAX(0.1,Skills!D11-IF(Skills!E11=TRUE,Inputs!$B$32,0)))*(1-IF(AND(ArtifactsInput!$M$27,Inputs!$B$4="Chapter Hunt"),CHOOSE(ArtifactsInput!$N$27+1,20,24,28,32,36,40),0)/100)))))/Skills!H11,1)))/Inputs!$B$43),G562*Q562)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562*(1-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562*(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562*(1-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562*(MIN(100,(Inputs!$B$9+0+B578+(ArtifactsInput!$M$24-ArtifactsInput!$M$24)*CHOOSE(ArtifactsInput!$N$24+1,10,12,14,16,18,20)+(IF(AND(Inputs!$B$38&lt;&gt;"pvp",Inputs!$B$43=0),1,IF(IF(Inputs!$B$38="pvp",15,Inputs!$B$43)-(B585)&lt;=0,1,MAX(0,IF(Inputs!$B$38="pvp",15,Inputs!$B$43)-MAX(5,B585))/(IF(Inputs!$B$38="pvp",15,Inputs!$B$43)-(B585))))*IF(AND(ArtifactsInput!$M$42,((Inputs!$B$9+0+B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62">
        <f>IF(C562,(H562*N562*IF(AND(Inputs!$B$38&lt;&gt;"pvp",Inputs!$B$43&gt;0),((Skills!G11*((R562-1)*IF(Skills!H11&gt;0,Skills!I11/Skills!H11,1)+IF(Skills!H11&gt;0,MIN(Skills!I11,MAX(0,MAX(0,Inputs!$B$43-B585)-((R562-1)*(IF(Inputs!$B$38="pvp",15,MAX(0.1,Skills!D11-IF(Skills!E11=TRUE,Inputs!$B$32,0)))*(1-IF(AND(ArtifactsInput!$M$27,Inputs!$B$4="Chapter Hunt"),CHOOSE(ArtifactsInput!$N$27+1,20,24,28,32,36,40),0)/100)))))/Skills!H11,1)))/Inputs!$B$43),G562*Q562))*IF(Inputs!$B$38="pvp",1,(1+(Inputs!$B$21+Skills!Q11+(IF(ArtifactsInput!$M$33,CHOOSE(ArtifactsInput!$N$33+1,30,36,42,48,54,60),0))+(IF(AND(ArtifactsInput!$M$35,Inputs!$B$4&lt;&gt;"Chapter Hunt"),CHOOSE(ArtifactsInput!$N$35+1,15,18,21,24,27,30)*(1-EXP(-(0.2*B580)*5)),0)+IF(AND(ArtifactsInput!$M$22,Inputs!$B$4&lt;&gt;"Chapter Hunt"),CHOOSE(ArtifactsInput!$N$22+1,10,12,14,16,18,20)*((0*(((0.15*B580*5))^0/1)+1*(((0.15*B580*5))^1/1)+2*(((0.15*B580*5))^2/2)+3*(((0.15*B580*5))^3/6)+4*(((0.15*B580*5))^4/24)+5*(((0.15*B580*5))^5/120))/((((0.15*B580*5))^0/1)+(((0.15*B580*5))^1/1)+(((0.15*B580*5))^2/2)+(((0.15*B580*5))^3/6)+(((0.15*B580*5))^4/24)+(((0.15*B580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3">
      <c r="A563">
        <f>Skills!A12</f>
        <v/>
      </c>
      <c r="B563">
        <f>Skills!B12</f>
        <v/>
      </c>
      <c r="C563">
        <f>Inputs!$B$3&gt;=100</f>
        <v/>
      </c>
      <c r="D563">
        <f>IF(Skills!C12=1,60+Inputs!$B$25+Inputs!$B$29,IF(Skills!C12=2,90+Inputs!$B$26+Inputs!$B$29,IF(Skills!C12=3,120+Inputs!$B$27+Inputs!$B$29,MAX(0,(Inputs!$B$3-100)*3)+Inputs!$B$28+Inputs!$B$29)))</f>
        <v/>
      </c>
      <c r="E563">
        <f>INDEX(FactorTable!$B$2:$Y$301, MATCH(ROUND(MIN(300,MAX(1,D563)),0), FactorTable!$A$2:$A$301,0), Skills!M12+1)</f>
        <v/>
      </c>
      <c r="F563">
        <f>IF(Skills!N12=TRUE,(Skills!L12/10)*(E563/1000),Skills!L12/10)+Skills!O12</f>
        <v/>
      </c>
      <c r="G563" t="inlineStr"/>
      <c r="H563" t="inlineStr"/>
      <c r="I563" t="inlineStr">
        <is>
          <t>1</t>
        </is>
      </c>
      <c r="J563" t="inlineStr"/>
      <c r="K563" t="inlineStr"/>
      <c r="L563" t="inlineStr"/>
      <c r="M563" t="inlineStr"/>
      <c r="N563" t="inlineStr"/>
      <c r="O563" t="inlineStr"/>
      <c r="P563" t="inlineStr"/>
      <c r="Q563" t="inlineStr"/>
      <c r="R563" t="inlineStr"/>
      <c r="S563" t="inlineStr"/>
    </row>
    <row r="564">
      <c r="A564">
        <f>Skills!A13</f>
        <v/>
      </c>
      <c r="B564">
        <f>Skills!B13</f>
        <v/>
      </c>
      <c r="C564">
        <f>Inputs!$B$3&gt;=45</f>
        <v/>
      </c>
      <c r="D564">
        <f>IF(Skills!C13=1,60+Inputs!$B$25+Inputs!$B$29,IF(Skills!C13=2,90+Inputs!$B$26+Inputs!$B$29,IF(Skills!C13=3,120+Inputs!$B$27+Inputs!$B$29,MAX(0,(Inputs!$B$3-100)*3)+Inputs!$B$28+Inputs!$B$29)))</f>
        <v/>
      </c>
      <c r="E564">
        <f>INDEX(FactorTable!$B$2:$Y$301, MATCH(ROUND(MIN(300,MAX(1,D564)),0), FactorTable!$A$2:$A$301,0), Skills!M13+1)</f>
        <v/>
      </c>
      <c r="F564">
        <f>IF(Skills!N13=TRUE,(Skills!L13/10)*(E564/1000),Skills!L13/10)+Skills!O13</f>
        <v/>
      </c>
      <c r="G564">
        <f>Skills!G13*IF(Skills!H13&gt;0,Skills!I13/Skills!H13,1)</f>
        <v/>
      </c>
      <c r="H564">
        <f>1-(1-Skills!J13/100)^Skills!K13</f>
        <v/>
      </c>
      <c r="I564" t="inlineStr">
        <is>
          <t>1</t>
        </is>
      </c>
      <c r="J564" t="inlineStr"/>
      <c r="K564" t="inlineStr"/>
      <c r="L564" t="inlineStr"/>
      <c r="M564" t="inlineStr"/>
      <c r="N564" t="inlineStr"/>
      <c r="O564">
        <f>(1-Summary!$B$11)*T564+Summary!$B$11*V564</f>
        <v/>
      </c>
      <c r="P564">
        <f>IF(B588=0,0,O564/B588)</f>
        <v/>
      </c>
      <c r="Q564" t="n">
        <v>0</v>
      </c>
      <c r="R564" t="n">
        <v>0</v>
      </c>
      <c r="S564">
        <f>IFERROR(O564/N564,0)</f>
        <v/>
      </c>
      <c r="T564" t="n">
        <v>0</v>
      </c>
      <c r="V564" t="n">
        <v>0</v>
      </c>
    </row>
    <row r="565">
      <c r="A565">
        <f>Skills!A14</f>
        <v/>
      </c>
      <c r="B565">
        <f>Skills!B14</f>
        <v/>
      </c>
      <c r="C565">
        <f>Inputs!$B$3&gt;=110</f>
        <v/>
      </c>
      <c r="D565">
        <f>IF(Skills!C14=1,60+Inputs!$B$25+Inputs!$B$29,IF(Skills!C14=2,90+Inputs!$B$26+Inputs!$B$29,IF(Skills!C14=3,120+Inputs!$B$27+Inputs!$B$29,MAX(0,(Inputs!$B$3-100)*3)+Inputs!$B$28+Inputs!$B$29)))</f>
        <v/>
      </c>
      <c r="E565">
        <f>INDEX(FactorTable!$B$2:$Y$301, MATCH(ROUND(MIN(300,MAX(1,D565)),0), FactorTable!$A$2:$A$301,0), Skills!M14+1)</f>
        <v/>
      </c>
      <c r="F565">
        <f>IF(Skills!N14=TRUE,(Skills!L14/10)*(E565/1000),Skills!L14/10)+Skills!O14</f>
        <v/>
      </c>
      <c r="G565">
        <f>Skills!G14*IF(Skills!H14&gt;0,Skills!I14/Skills!H14,1)</f>
        <v/>
      </c>
      <c r="H565">
        <f>1-(1-Skills!J14/100)^Skills!K14</f>
        <v/>
      </c>
      <c r="I565" t="inlineStr">
        <is>
          <t>1</t>
        </is>
      </c>
      <c r="J565" t="inlineStr"/>
      <c r="K565" t="inlineStr"/>
      <c r="L565" t="inlineStr"/>
      <c r="M565" t="inlineStr"/>
      <c r="N565" t="inlineStr"/>
      <c r="O565">
        <f>(1-Summary!$B$11)*T565+Summary!$B$11*V565</f>
        <v/>
      </c>
      <c r="P565">
        <f>IF(B588=0,0,O565/B588)</f>
        <v/>
      </c>
      <c r="Q565" t="n">
        <v>0</v>
      </c>
      <c r="R565" t="n">
        <v>0</v>
      </c>
      <c r="S565">
        <f>IFERROR(O565/N565,0)</f>
        <v/>
      </c>
      <c r="T565" t="n">
        <v>0</v>
      </c>
      <c r="V565" t="n">
        <v>0</v>
      </c>
    </row>
    <row r="566">
      <c r="A566">
        <f>Skills!A15</f>
        <v/>
      </c>
      <c r="B566">
        <f>Skills!B15</f>
        <v/>
      </c>
      <c r="C566">
        <f>Inputs!$B$3&gt;=75</f>
        <v/>
      </c>
      <c r="D566">
        <f>IF(Skills!C15=1,60+Inputs!$B$25+Inputs!$B$29,IF(Skills!C15=2,90+Inputs!$B$26+Inputs!$B$29,IF(Skills!C15=3,120+Inputs!$B$27+Inputs!$B$29,MAX(0,(Inputs!$B$3-100)*3)+Inputs!$B$28+Inputs!$B$29)))</f>
        <v/>
      </c>
      <c r="E566">
        <f>INDEX(FactorTable!$B$2:$Y$301, MATCH(ROUND(MIN(300,MAX(1,D566)),0), FactorTable!$A$2:$A$301,0), Skills!M15+1)</f>
        <v/>
      </c>
      <c r="F566">
        <f>IF(Skills!N15=TRUE,(Skills!L15/10)*(E566/1000),Skills!L15/10)+Skills!O15</f>
        <v/>
      </c>
      <c r="G566">
        <f>Skills!G15*IF(Skills!H15&gt;0,Skills!I15/Skills!H15,1)</f>
        <v/>
      </c>
      <c r="H566">
        <f>1-(1-Skills!J15/100)^Skills!K15</f>
        <v/>
      </c>
      <c r="I566" t="inlineStr">
        <is>
          <t>1</t>
        </is>
      </c>
      <c r="J566" t="inlineStr"/>
      <c r="K566" t="inlineStr"/>
      <c r="L566" t="inlineStr"/>
      <c r="M566" t="inlineStr"/>
      <c r="N566" t="inlineStr"/>
      <c r="O566">
        <f>(1-Summary!$B$11)*T566+Summary!$B$11*V566</f>
        <v/>
      </c>
      <c r="P566">
        <f>IF(B588=0,0,O566/B588)</f>
        <v/>
      </c>
      <c r="Q566">
        <f>IFERROR(1/(IF(Inputs!$B$38="pvp",15,MAX(0.1,Skills!D15-IF(Skills!E15=TRUE,Inputs!$B$32,0)))*(1-IF(AND(ArtifactsInput!$M$27,Inputs!$B$4="Chapter Hunt"),CHOOSE(ArtifactsInput!$N$27+1,20,24,28,32,36,40),0)/100)),0)</f>
        <v/>
      </c>
      <c r="R566">
        <f>IF(AND(Inputs!$B$38&lt;&gt;"pvp",Inputs!$B$43&gt;0),IF(Inputs!$B$43&lt;=0,0,(INT(Inputs!$B$43/(IF(Inputs!$B$38="pvp",15,MAX(0.1,Skills!D15-IF(Skills!E15=TRUE,Inputs!$B$32,0)))*(1-IF(AND(ArtifactsInput!$M$27,Inputs!$B$4="Chapter Hunt"),CHOOSE(ArtifactsInput!$N$27+1,20,24,28,32,36,40),0)/100)))+1)),0)</f>
        <v/>
      </c>
      <c r="S566">
        <f>IFERROR(O566/N566,0)</f>
        <v/>
      </c>
      <c r="T566" t="n">
        <v>0</v>
      </c>
      <c r="V566" t="n">
        <v>0</v>
      </c>
    </row>
    <row r="567">
      <c r="A567">
        <f>Skills!A16</f>
        <v/>
      </c>
      <c r="B567">
        <f>Skills!B16</f>
        <v/>
      </c>
      <c r="C567">
        <f>Inputs!$B$3&gt;=105</f>
        <v/>
      </c>
      <c r="D567">
        <f>IF(Skills!C16=1,60+Inputs!$B$25+Inputs!$B$29,IF(Skills!C16=2,90+Inputs!$B$26+Inputs!$B$29,IF(Skills!C16=3,120+Inputs!$B$27+Inputs!$B$29,MAX(0,(Inputs!$B$3-100)*3)+Inputs!$B$28+Inputs!$B$29)))</f>
        <v/>
      </c>
      <c r="E567">
        <f>INDEX(FactorTable!$B$2:$Y$301, MATCH(ROUND(MIN(300,MAX(1,D567)),0), FactorTable!$A$2:$A$301,0), Skills!M16+1)</f>
        <v/>
      </c>
      <c r="F567">
        <f>IF(Skills!N16=TRUE,(Skills!L16/10)*(E567/1000),Skills!L16/10)+Skills!O16</f>
        <v/>
      </c>
      <c r="G567">
        <f>Skills!G16*IF(Skills!H16&gt;0,Skills!I16/Skills!H16,1)</f>
        <v/>
      </c>
      <c r="H567">
        <f>1-(1-Skills!J16/100)^Skills!K16</f>
        <v/>
      </c>
      <c r="I567" t="inlineStr">
        <is>
          <t>1</t>
        </is>
      </c>
      <c r="J567" t="inlineStr"/>
      <c r="K567" t="inlineStr"/>
      <c r="L567" t="inlineStr"/>
      <c r="M567" t="inlineStr"/>
      <c r="N567" t="inlineStr"/>
      <c r="O567">
        <f>(1-Summary!$B$11)*T567+Summary!$B$11*V567</f>
        <v/>
      </c>
      <c r="P567">
        <f>IF(B588=0,0,O567/B588)</f>
        <v/>
      </c>
      <c r="Q567">
        <f>IFERROR(1/(IF(Inputs!$B$38="pvp",15,MAX(0.1,Skills!D16-IF(Skills!E16=TRUE,Inputs!$B$32,0)))*(1-IF(AND(ArtifactsInput!$M$27,Inputs!$B$4="Chapter Hunt"),CHOOSE(ArtifactsInput!$N$27+1,20,24,28,32,36,40),0)/100)),0)</f>
        <v/>
      </c>
      <c r="R567">
        <f>IF(AND(Inputs!$B$38&lt;&gt;"pvp",Inputs!$B$43&gt;0),IF(Inputs!$B$43&lt;=0,0,(INT(Inputs!$B$43/(IF(Inputs!$B$38="pvp",15,MAX(0.1,Skills!D16-IF(Skills!E16=TRUE,Inputs!$B$32,0)))*(1-IF(AND(ArtifactsInput!$M$27,Inputs!$B$4="Chapter Hunt"),CHOOSE(ArtifactsInput!$N$27+1,20,24,28,32,36,40),0)/100)))+1)),0)</f>
        <v/>
      </c>
      <c r="S567">
        <f>IFERROR(O567/N567,0)</f>
        <v/>
      </c>
      <c r="T567" t="n">
        <v>0</v>
      </c>
      <c r="V567" t="n">
        <v>0</v>
      </c>
    </row>
    <row r="568">
      <c r="A568">
        <f>Skills!A17</f>
        <v/>
      </c>
      <c r="B568">
        <f>Skills!B17</f>
        <v/>
      </c>
      <c r="C568">
        <f>Inputs!$B$3&gt;=115</f>
        <v/>
      </c>
      <c r="D568">
        <f>IF(Skills!C17=1,60+Inputs!$B$25+Inputs!$B$29,IF(Skills!C17=2,90+Inputs!$B$26+Inputs!$B$29,IF(Skills!C17=3,120+Inputs!$B$27+Inputs!$B$29,MAX(0,(Inputs!$B$3-100)*3)+Inputs!$B$28+Inputs!$B$29)))</f>
        <v/>
      </c>
      <c r="E568">
        <f>INDEX(FactorTable!$B$2:$Y$301, MATCH(ROUND(MIN(300,MAX(1,D568)),0), FactorTable!$A$2:$A$301,0), Skills!M17+1)</f>
        <v/>
      </c>
      <c r="F568">
        <f>IF(Skills!N17=TRUE,(Skills!L17/10)*(E568/1000),Skills!L17/10)+Skills!O17</f>
        <v/>
      </c>
      <c r="G568">
        <f>Skills!G17*IF(Skills!H17&gt;0,Skills!I17/Skills!H17,1)</f>
        <v/>
      </c>
      <c r="H568">
        <f>1-(1-Skills!J17/100)^Skills!K17</f>
        <v/>
      </c>
      <c r="I568" t="inlineStr">
        <is>
          <t>1</t>
        </is>
      </c>
      <c r="J568" t="inlineStr"/>
      <c r="K568" t="inlineStr"/>
      <c r="L568" t="inlineStr"/>
      <c r="M568" t="inlineStr"/>
      <c r="N568" t="inlineStr"/>
      <c r="O568">
        <f>(1-Summary!$B$11)*T568+Summary!$B$11*V568</f>
        <v/>
      </c>
      <c r="P568">
        <f>IF(B588=0,0,O568/B588)</f>
        <v/>
      </c>
      <c r="Q568">
        <f>IFERROR(1/(IF(Inputs!$B$38="pvp",15,MAX(0.1,Skills!D17-IF(Skills!E17=TRUE,Inputs!$B$32,0)))*(1-IF(AND(ArtifactsInput!$M$27,Inputs!$B$4="Chapter Hunt"),CHOOSE(ArtifactsInput!$N$27+1,20,24,28,32,36,40),0)/100)),0)</f>
        <v/>
      </c>
      <c r="R568">
        <f>IF(AND(Inputs!$B$38&lt;&gt;"pvp",Inputs!$B$43&gt;0),IF(Inputs!$B$43&lt;=0,0,(INT(Inputs!$B$43/(IF(Inputs!$B$38="pvp",15,MAX(0.1,Skills!D17-IF(Skills!E17=TRUE,Inputs!$B$32,0)))*(1-IF(AND(ArtifactsInput!$M$27,Inputs!$B$4="Chapter Hunt"),CHOOSE(ArtifactsInput!$N$27+1,20,24,28,32,36,40),0)/100)))+1)),0)</f>
        <v/>
      </c>
      <c r="S568">
        <f>IFERROR(O568/N568,0)</f>
        <v/>
      </c>
      <c r="T568" t="n">
        <v>0</v>
      </c>
      <c r="V568" t="n">
        <v>0</v>
      </c>
    </row>
    <row r="569">
      <c r="A569">
        <f>Skills!A18</f>
        <v/>
      </c>
      <c r="B569">
        <f>Skills!B18</f>
        <v/>
      </c>
      <c r="C569">
        <f>Inputs!$B$3&gt;=74</f>
        <v/>
      </c>
      <c r="D569">
        <f>IF(Skills!C18=1,60+Inputs!$B$25+Inputs!$B$29,IF(Skills!C18=2,90+Inputs!$B$26+Inputs!$B$29,IF(Skills!C18=3,120+Inputs!$B$27+Inputs!$B$29,MAX(0,(Inputs!$B$3-100)*3)+Inputs!$B$28+Inputs!$B$29)))</f>
        <v/>
      </c>
      <c r="E569">
        <f>INDEX(FactorTable!$B$2:$Y$301, MATCH(ROUND(MIN(300,MAX(1,D569)),0), FactorTable!$A$2:$A$301,0), Skills!M18+1)</f>
        <v/>
      </c>
      <c r="F569">
        <f>IF(Skills!N18=TRUE,(Skills!L18/10)*(E569/1000),Skills!L18/10)+Skills!O18</f>
        <v/>
      </c>
      <c r="G569">
        <f>Skills!G18*IF(Skills!H18&gt;0,Skills!I18/Skills!H18,1)</f>
        <v/>
      </c>
      <c r="H569">
        <f>1-(1-Skills!J18/100)^Skills!K18</f>
        <v/>
      </c>
      <c r="I569" t="inlineStr">
        <is>
          <t>1</t>
        </is>
      </c>
      <c r="J569" t="inlineStr"/>
      <c r="K569" t="inlineStr"/>
      <c r="L569" t="inlineStr"/>
      <c r="M569" t="inlineStr"/>
      <c r="N569" t="inlineStr"/>
      <c r="O569">
        <f>(1-Summary!$B$11)*T569+Summary!$B$11*V569</f>
        <v/>
      </c>
      <c r="P569">
        <f>IF(B588=0,0,O569/B588)</f>
        <v/>
      </c>
      <c r="Q569">
        <f>IFERROR(1/(IF(Inputs!$B$38="pvp",15,MAX(0.1,Skills!D18-IF(Skills!E18=TRUE,Inputs!$B$32,0)))*(1-IF(AND(ArtifactsInput!$M$27,Inputs!$B$4="Chapter Hunt"),CHOOSE(ArtifactsInput!$N$27+1,20,24,28,32,36,40),0)/100)),0)</f>
        <v/>
      </c>
      <c r="R569">
        <f>IF(AND(Inputs!$B$38&lt;&gt;"pvp",Inputs!$B$43&gt;0),IF(Inputs!$B$43&lt;=0,0,(INT(Inputs!$B$43/(IF(Inputs!$B$38="pvp",15,MAX(0.1,Skills!D18-IF(Skills!E18=TRUE,Inputs!$B$32,0)))*(1-IF(AND(ArtifactsInput!$M$27,Inputs!$B$4="Chapter Hunt"),CHOOSE(ArtifactsInput!$N$27+1,20,24,28,32,36,40),0)/100)))+1)),0)</f>
        <v/>
      </c>
      <c r="S569">
        <f>IFERROR(O569/N569,0)</f>
        <v/>
      </c>
      <c r="T569" t="n">
        <v>0</v>
      </c>
      <c r="V569" t="n">
        <v>0</v>
      </c>
    </row>
    <row r="570">
      <c r="A570">
        <f>Skills!A19</f>
        <v/>
      </c>
      <c r="B570">
        <f>Skills!B19</f>
        <v/>
      </c>
      <c r="C570">
        <f>TRUE</f>
        <v/>
      </c>
      <c r="D570">
        <f>IF(Skills!C19=1,60+Inputs!$B$25+Inputs!$B$29,IF(Skills!C19=2,90+Inputs!$B$26+Inputs!$B$29,IF(Skills!C19=3,120+Inputs!$B$27+Inputs!$B$29,MAX(0,(Inputs!$B$3-100)*3)+Inputs!$B$28+Inputs!$B$29)))</f>
        <v/>
      </c>
      <c r="E570">
        <f>INDEX(FactorTable!$B$2:$Y$301, MATCH(ROUND(MIN(300,MAX(1,D570)),0), FactorTable!$A$2:$A$301,0), Skills!M19+1)</f>
        <v/>
      </c>
      <c r="F570">
        <f>IF(Skills!N19=TRUE,(Skills!L19/10)*(E570/1000),Skills!L19/10)+Skills!O19</f>
        <v/>
      </c>
      <c r="G570">
        <f>Skills!G19*IF(Skills!H19&gt;0,Skills!I19/Skills!H19,1)</f>
        <v/>
      </c>
      <c r="H570">
        <f>1-(1-Skills!J19/100)^Skills!K19</f>
        <v/>
      </c>
      <c r="I570" t="inlineStr">
        <is>
          <t>1</t>
        </is>
      </c>
      <c r="J570" t="inlineStr"/>
      <c r="K570" t="inlineStr"/>
      <c r="L570" t="inlineStr"/>
      <c r="M570" t="inlineStr"/>
      <c r="N570" t="inlineStr"/>
      <c r="O570">
        <f>(1-Summary!$B$11)*T570+Summary!$B$11*V570</f>
        <v/>
      </c>
      <c r="P570">
        <f>IF(B588=0,0,O570/B588)</f>
        <v/>
      </c>
      <c r="Q570">
        <f>IFERROR(1/(IF(Inputs!$B$38="pvp",15,MAX(0.1,Skills!D19-IF(Skills!E19=TRUE,Inputs!$B$32,0)))*(1-IF(AND(ArtifactsInput!$M$27,Inputs!$B$4="Chapter Hunt"),CHOOSE(ArtifactsInput!$N$27+1,20,24,28,32,36,40),0)/100)),0)</f>
        <v/>
      </c>
      <c r="R570">
        <f>IF(AND(Inputs!$B$38&lt;&gt;"pvp",Inputs!$B$43&gt;0),IF(Inputs!$B$43&lt;=0,0,(INT(Inputs!$B$43/(IF(Inputs!$B$38="pvp",15,MAX(0.1,Skills!D19-IF(Skills!E19=TRUE,Inputs!$B$32,0)))*(1-IF(AND(ArtifactsInput!$M$27,Inputs!$B$4="Chapter Hunt"),CHOOSE(ArtifactsInput!$N$27+1,20,24,28,32,36,40),0)/100)))+1)),0)</f>
        <v/>
      </c>
      <c r="S570">
        <f>IFERROR(O570/N570,0)</f>
        <v/>
      </c>
      <c r="T570" t="n">
        <v>0</v>
      </c>
      <c r="V570" t="n">
        <v>0</v>
      </c>
    </row>
    <row r="571">
      <c r="A571">
        <f>Skills!A20</f>
        <v/>
      </c>
      <c r="B571">
        <f>Skills!B20</f>
        <v/>
      </c>
      <c r="C571">
        <f>Inputs!$B$3&gt;=33</f>
        <v/>
      </c>
      <c r="D571">
        <f>IF(Skills!C20=1,60+Inputs!$B$25+Inputs!$B$29,IF(Skills!C20=2,90+Inputs!$B$26+Inputs!$B$29,IF(Skills!C20=3,120+Inputs!$B$27+Inputs!$B$29,MAX(0,(Inputs!$B$3-100)*3)+Inputs!$B$28+Inputs!$B$29)))</f>
        <v/>
      </c>
      <c r="E571">
        <f>INDEX(FactorTable!$B$2:$Y$301, MATCH(ROUND(MIN(300,MAX(1,D571)),0), FactorTable!$A$2:$A$301,0), Skills!M20+1)</f>
        <v/>
      </c>
      <c r="F571">
        <f>IF(Skills!N20=TRUE,(Skills!L20/10)*(E571/1000),Skills!L20/10)+Skills!O20</f>
        <v/>
      </c>
      <c r="G571">
        <f>Skills!G20*IF(Skills!H20&gt;0,Skills!I20/Skills!H20,1)</f>
        <v/>
      </c>
      <c r="H571">
        <f>1-(1-Skills!J20/100)^Skills!K20</f>
        <v/>
      </c>
      <c r="I571" t="inlineStr">
        <is>
          <t>1</t>
        </is>
      </c>
      <c r="J571" t="inlineStr"/>
      <c r="K571" t="inlineStr"/>
      <c r="L571" t="inlineStr"/>
      <c r="M571" t="inlineStr"/>
      <c r="N571" t="inlineStr"/>
      <c r="O571">
        <f>(1-Summary!$B$11)*T571+Summary!$B$11*V571</f>
        <v/>
      </c>
      <c r="P571">
        <f>IF(B588=0,0,O571/B588)</f>
        <v/>
      </c>
      <c r="Q571" t="n">
        <v>0</v>
      </c>
      <c r="R571" t="n">
        <v>0</v>
      </c>
      <c r="S571">
        <f>IFERROR(O571/N571,0)</f>
        <v/>
      </c>
      <c r="T571" t="n">
        <v>0</v>
      </c>
      <c r="V571" t="n">
        <v>0</v>
      </c>
    </row>
    <row r="572">
      <c r="A572">
        <f>Skills!A21</f>
        <v/>
      </c>
      <c r="B572">
        <f>Skills!B21</f>
        <v/>
      </c>
      <c r="C572">
        <f>Inputs!$B$3&gt;=38</f>
        <v/>
      </c>
      <c r="D572">
        <f>IF(Skills!C21=1,60+Inputs!$B$25+Inputs!$B$29,IF(Skills!C21=2,90+Inputs!$B$26+Inputs!$B$29,IF(Skills!C21=3,120+Inputs!$B$27+Inputs!$B$29,MAX(0,(Inputs!$B$3-100)*3)+Inputs!$B$28+Inputs!$B$29)))</f>
        <v/>
      </c>
      <c r="E572">
        <f>INDEX(FactorTable!$B$2:$Y$301, MATCH(ROUND(MIN(300,MAX(1,D572)),0), FactorTable!$A$2:$A$301,0), Skills!M21+1)</f>
        <v/>
      </c>
      <c r="F572">
        <f>IF(Skills!N21=TRUE,(Skills!L21/10)*(E572/1000),Skills!L21/10)+Skills!O21</f>
        <v/>
      </c>
      <c r="G572">
        <f>Skills!G21*IF(Skills!H21&gt;0,Skills!I21/Skills!H21,1)</f>
        <v/>
      </c>
      <c r="H572">
        <f>1-(1-Skills!J21/100)^Skills!K21</f>
        <v/>
      </c>
      <c r="I572" t="inlineStr">
        <is>
          <t>1</t>
        </is>
      </c>
      <c r="J572" t="inlineStr"/>
      <c r="K572" t="inlineStr"/>
      <c r="L572" t="inlineStr"/>
      <c r="M572" t="inlineStr"/>
      <c r="N572" t="inlineStr"/>
      <c r="O572">
        <f>(1-Summary!$B$11)*T572+Summary!$B$11*V572</f>
        <v/>
      </c>
      <c r="P572">
        <f>IF(B588=0,0,O572/B588)</f>
        <v/>
      </c>
      <c r="Q572" t="n">
        <v>0</v>
      </c>
      <c r="R572" t="n">
        <v>0</v>
      </c>
      <c r="S572">
        <f>IFERROR(O572/N572,0)</f>
        <v/>
      </c>
      <c r="T572" t="n">
        <v>0</v>
      </c>
      <c r="V572" t="n">
        <v>0</v>
      </c>
    </row>
    <row r="573">
      <c r="A573">
        <f>Skills!A22</f>
        <v/>
      </c>
      <c r="B573">
        <f>Skills!B22</f>
        <v/>
      </c>
      <c r="C573">
        <f>Inputs!$B$3&gt;=43</f>
        <v/>
      </c>
      <c r="D573">
        <f>IF(Skills!C22=1,60+Inputs!$B$25+Inputs!$B$29,IF(Skills!C22=2,90+Inputs!$B$26+Inputs!$B$29,IF(Skills!C22=3,120+Inputs!$B$27+Inputs!$B$29,MAX(0,(Inputs!$B$3-100)*3)+Inputs!$B$28+Inputs!$B$29)))</f>
        <v/>
      </c>
      <c r="E573">
        <f>INDEX(FactorTable!$B$2:$Y$301, MATCH(ROUND(MIN(300,MAX(1,D573)),0), FactorTable!$A$2:$A$301,0), Skills!M22+1)</f>
        <v/>
      </c>
      <c r="F573">
        <f>IF(Skills!N22=TRUE,(Skills!L22/10)*(E573/1000),Skills!L22/10)+Skills!O22</f>
        <v/>
      </c>
      <c r="G573">
        <f>Skills!G22*IF(Skills!H22&gt;0,Skills!I22/Skills!H22,1)</f>
        <v/>
      </c>
      <c r="H573">
        <f>1-(1-Skills!J22/100)^Skills!K22</f>
        <v/>
      </c>
      <c r="I573" t="inlineStr">
        <is>
          <t>1</t>
        </is>
      </c>
      <c r="J573" t="inlineStr"/>
      <c r="K573" t="inlineStr"/>
      <c r="L573" t="inlineStr"/>
      <c r="M573" t="inlineStr"/>
      <c r="N573" t="inlineStr"/>
      <c r="O573">
        <f>(1-Summary!$B$11)*T573+Summary!$B$11*V573</f>
        <v/>
      </c>
      <c r="P573">
        <f>IF(B588=0,0,O573/B588)</f>
        <v/>
      </c>
      <c r="Q573" t="n">
        <v>0</v>
      </c>
      <c r="R573" t="n">
        <v>0</v>
      </c>
      <c r="S573">
        <f>IFERROR(O573/N573,0)</f>
        <v/>
      </c>
      <c r="T573" t="n">
        <v>0</v>
      </c>
      <c r="V573" t="n">
        <v>0</v>
      </c>
    </row>
    <row r="574">
      <c r="A574">
        <f>Skills!A23</f>
        <v/>
      </c>
      <c r="B574">
        <f>Skills!B23</f>
        <v/>
      </c>
      <c r="C574">
        <f>Inputs!$B$3&gt;=120</f>
        <v/>
      </c>
      <c r="D574">
        <f>IF(Skills!C23=1,60+Inputs!$B$25+Inputs!$B$29,IF(Skills!C23=2,90+Inputs!$B$26+Inputs!$B$29,IF(Skills!C23=3,120+Inputs!$B$27+Inputs!$B$29,MAX(0,(Inputs!$B$3-100)*3)+Inputs!$B$28+Inputs!$B$29)))</f>
        <v/>
      </c>
      <c r="E574">
        <f>INDEX(FactorTable!$B$2:$Y$301, MATCH(ROUND(MIN(300,MAX(1,D574)),0), FactorTable!$A$2:$A$301,0), Skills!M23+1)</f>
        <v/>
      </c>
      <c r="F574">
        <f>IF(Skills!N23=TRUE,(Skills!L23/10)*(E574/1000),Skills!L23/10)+Skills!O23</f>
        <v/>
      </c>
      <c r="G574">
        <f>Skills!G23*IF(Skills!H23&gt;0,Skills!I23/Skills!H23,1)</f>
        <v/>
      </c>
      <c r="H574">
        <f>1-(1-Skills!J23/100)^Skills!K23</f>
        <v/>
      </c>
      <c r="I574" t="inlineStr">
        <is>
          <t>1</t>
        </is>
      </c>
      <c r="J574" t="inlineStr"/>
      <c r="K574" t="inlineStr"/>
      <c r="L574" t="inlineStr"/>
      <c r="M574" t="inlineStr"/>
      <c r="N574" t="inlineStr"/>
      <c r="O574">
        <f>(1-Summary!$B$11)*T574+Summary!$B$11*V574</f>
        <v/>
      </c>
      <c r="P574">
        <f>IF(B588=0,0,O574/B588)</f>
        <v/>
      </c>
      <c r="Q574" t="n">
        <v>0</v>
      </c>
      <c r="R574" t="n">
        <v>0</v>
      </c>
      <c r="S574">
        <f>IFERROR(O574/N574,0)</f>
        <v/>
      </c>
      <c r="T574" t="n">
        <v>0</v>
      </c>
      <c r="V574" t="n">
        <v>0</v>
      </c>
    </row>
    <row r="575">
      <c r="A575">
        <f>Skills!A24</f>
        <v/>
      </c>
      <c r="B575">
        <f>Skills!B24</f>
        <v/>
      </c>
      <c r="C575">
        <f>Inputs!$B$3&gt;=120</f>
        <v/>
      </c>
      <c r="D575">
        <f>IF(Skills!C24=1,60+Inputs!$B$25+Inputs!$B$29,IF(Skills!C24=2,90+Inputs!$B$26+Inputs!$B$29,IF(Skills!C24=3,120+Inputs!$B$27+Inputs!$B$29,MAX(0,(Inputs!$B$3-100)*3)+Inputs!$B$28+Inputs!$B$29)))</f>
        <v/>
      </c>
      <c r="E575">
        <f>INDEX(FactorTable!$B$2:$Y$301, MATCH(ROUND(MIN(300,MAX(1,D575)),0), FactorTable!$A$2:$A$301,0), Skills!M24+1)</f>
        <v/>
      </c>
      <c r="F575">
        <f>IF(Skills!N24=TRUE,(Skills!L24/10)*(E575/1000),Skills!L24/10)+Skills!O24</f>
        <v/>
      </c>
      <c r="G575">
        <f>Skills!G24*IF(Skills!H24&gt;0,Skills!I24/Skills!H24,1)</f>
        <v/>
      </c>
      <c r="H575">
        <f>1-(1-Skills!J24/100)^Skills!K24</f>
        <v/>
      </c>
      <c r="I575" t="inlineStr">
        <is>
          <t>1</t>
        </is>
      </c>
      <c r="J575" t="inlineStr"/>
      <c r="K575" t="inlineStr"/>
      <c r="L575" t="inlineStr"/>
      <c r="M575" t="inlineStr"/>
      <c r="N575" t="inlineStr"/>
      <c r="O575">
        <f>(1-Summary!$B$11)*T575+Summary!$B$11*V575</f>
        <v/>
      </c>
      <c r="P575">
        <f>IF(B588=0,0,O575/B588)</f>
        <v/>
      </c>
      <c r="Q575" t="n">
        <v>0</v>
      </c>
      <c r="R575" t="n">
        <v>0</v>
      </c>
      <c r="S575">
        <f>IFERROR(O575/N575,0)</f>
        <v/>
      </c>
      <c r="T575" t="n">
        <v>0</v>
      </c>
      <c r="V575" t="n">
        <v>0</v>
      </c>
    </row>
    <row r="577">
      <c r="A577" t="inlineStr">
        <is>
          <t>Attack% Bucket Multiplier</t>
        </is>
      </c>
      <c r="B577">
        <f>(1+(((C564=TRUE)*F564*MIN(1,Skills!T13*(Skills!J13/100)*B582))+((C569=TRUE)*F569*IF(AND(Inputs!$B$38&lt;&gt;"pvp",Inputs!$B$43&gt;0),(((R569-1)*(Skills!T18*(1+Inputs!$B$34/100))+MIN((Skills!T18*(1+Inputs!$B$34/100)),MAX(0,Inputs!$B$43-((R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78">
      <c r="A578" t="inlineStr">
        <is>
          <t>Global Crit Rate Bonus %</t>
        </is>
      </c>
      <c r="B578" t="n">
        <v>0</v>
      </c>
    </row>
    <row r="579">
      <c r="A579" t="inlineStr">
        <is>
          <t>Attack Speed Buff Bonus %</t>
        </is>
      </c>
      <c r="B579">
        <f>((C570=TRUE)*F570*IF(AND(Inputs!$B$38&lt;&gt;"pvp",Inputs!$B$43&gt;0),(((R570-1)*(Skills!T19*(1+Inputs!$B$34/100))+MIN((Skills!T19*(1+Inputs!$B$34/100)),MAX(0,Inputs!$B$43-((R570-1)*Skills!D19))))/Inputs!$B$43),IF(Inputs!$B$38="pvp",MIN((Skills!T19*(1+Inputs!$B$34/100)),15)/15,(Skills!T19*(1+Inputs!$B$34/100))/Skills!D19)))</f>
        <v/>
      </c>
    </row>
    <row r="580">
      <c r="A580" t="inlineStr">
        <is>
          <t>Actions Per Second</t>
        </is>
      </c>
      <c r="B580">
        <f>1+MIN(150,150*(1-(1-(((1-(1-Inputs!$B$11/150)*(1-1/150))*150)+((C571=TRUE)*(F571-Calc!F20)))/150)*(1-B579/150)))/100</f>
        <v/>
      </c>
    </row>
    <row r="581">
      <c r="A581" t="inlineStr">
        <is>
          <t>Skill + Buff Cast Rate</t>
        </is>
      </c>
      <c r="B581">
        <f>IF(AND(Inputs!$B$38&lt;&gt;"pvp",Inputs!$B$43&gt;0),SUMPRODUCT((Skills!E2:E24=TRUE)*(C553:C575=TRUE)*R553:R575*Skills!F2:F24)/Inputs!$B$43,SUMPRODUCT((Skills!E2:E24=TRUE)*(C553:C575=TRUE)*Q553:Q575*Skills!F2:F24))</f>
        <v/>
      </c>
    </row>
    <row r="582">
      <c r="A582" t="inlineStr">
        <is>
          <t>Blast Casts Per Second</t>
        </is>
      </c>
      <c r="B582">
        <f>MAX(0,B580-B581)</f>
        <v/>
      </c>
    </row>
    <row r="583">
      <c r="A583" t="inlineStr">
        <is>
          <t>Global Critical Damage Bonus % (unused)</t>
        </is>
      </c>
      <c r="B583" t="n">
        <v>0</v>
      </c>
    </row>
    <row r="584">
      <c r="A584" t="inlineStr">
        <is>
          <t>Global Final Damage Bonus % (Divine Shield + Guardian + Divine Blessing + Greater Vessel of Light)</t>
        </is>
      </c>
      <c r="B584">
        <f>((C566=TRUE)*F566*IF(AND(Inputs!$B$38&lt;&gt;"pvp",Inputs!$B$43&gt;0),(((R566-1)*(Skills!T15*(1+Inputs!$B$34/100))+MIN((Skills!T15*(1+Inputs!$B$34/100)),MAX(0,Inputs!$B$43-((R566-1)*Skills!D15))))/Inputs!$B$43),IF(Inputs!$B$38="pvp",MIN((Skills!T15*(1+Inputs!$B$34/100)),15)/15,(Skills!T15*(1+Inputs!$B$34/100))/Skills!D15)))+((C567=TRUE)*F567*IF(AND(Inputs!$B$38&lt;&gt;"pvp",Inputs!$B$43&gt;0),(((R567-1)*(Skills!T16*(1+Inputs!$B$34/100))+MIN((Skills!T16*(1+Inputs!$B$34/100)),MAX(0,Inputs!$B$43-((R567-1)*Skills!D16))))/Inputs!$B$43),IF(Inputs!$B$38="pvp",MIN((Skills!T16*(1+Inputs!$B$34/100)),15)/15,(Skills!T16*(1+Inputs!$B$34/100))/Skills!D16)))+((C568=TRUE)*F568*IF(AND(Inputs!$B$38&lt;&gt;"pvp",Inputs!$B$43&gt;0),(((R568-1)*(Skills!T17*(1+Inputs!$B$34/100))+MIN((Skills!T17*(1+Inputs!$B$34/100)),MAX(0,Inputs!$B$43-((R568-1)*Skills!D17))))/Inputs!$B$43),IF(Inputs!$B$38="pvp",MIN((Skills!T17*(1+Inputs!$B$34/100)),15)/15,(Skills!T17*(1+Inputs!$B$34/100))/Skills!D17)))+((C565=TRUE)*F565*MIN(1,Skills!T13*(Skills!J13/100)*B582))</f>
        <v/>
      </c>
    </row>
    <row r="585">
      <c r="A585" t="inlineStr">
        <is>
          <t>Buff-Casting Startup Delay (s, fixed-duration only)</t>
        </is>
      </c>
      <c r="B585">
        <f>IF(AND(Inputs!$B$38&lt;&gt;"pvp",Inputs!$B$43&gt;0),SUMPRODUCT((Skills!T2:T24&gt;0)*(Skills!E2:E24=TRUE)*(C553:C575=TRUE))/B580,0)</f>
        <v/>
      </c>
    </row>
    <row r="586">
      <c r="A586" t="inlineStr">
        <is>
          <t>Boss-Only Total DPS (this block's swept value)</t>
        </is>
      </c>
      <c r="B586">
        <f>SUM(T553:T575)</f>
        <v/>
      </c>
    </row>
    <row r="587">
      <c r="A587" t="inlineStr">
        <is>
          <t>Normal-Only Total DPS (this block's swept value)</t>
        </is>
      </c>
      <c r="B587">
        <f>SUM(V553:V575)</f>
        <v/>
      </c>
    </row>
    <row r="588">
      <c r="A588" s="6" t="inlineStr">
        <is>
          <t>TOTAL DPS</t>
        </is>
      </c>
      <c r="B588" s="6">
        <f>SUM(O553:O575)</f>
        <v/>
      </c>
    </row>
    <row r="591">
      <c r="A591" s="6" t="inlineStr">
        <is>
          <t>Stat: DEF_PEN % (diminishing returns, factor 100)</t>
        </is>
      </c>
    </row>
    <row r="592">
      <c r="A592" s="5" t="inlineStr">
        <is>
          <t>Key</t>
        </is>
      </c>
      <c r="B592" s="5" t="inlineStr">
        <is>
          <t>Name</t>
        </is>
      </c>
      <c r="C592" s="5" t="inlineStr">
        <is>
          <t>Unlocked</t>
        </is>
      </c>
      <c r="D592" s="5" t="inlineStr">
        <is>
          <t>InputLevel</t>
        </is>
      </c>
      <c r="E592" s="5" t="inlineStr">
        <is>
          <t>Factor</t>
        </is>
      </c>
      <c r="F592" s="5" t="inlineStr">
        <is>
          <t>CoefficientPercent</t>
        </is>
      </c>
      <c r="G592" s="5" t="inlineStr">
        <is>
          <t>EffectiveHits</t>
        </is>
      </c>
      <c r="H592" s="5" t="inlineStr">
        <is>
          <t>ProcProbability</t>
        </is>
      </c>
      <c r="I592" s="5" t="inlineStr">
        <is>
          <t>MapleHeroMultiplier</t>
        </is>
      </c>
      <c r="J592" s="5" t="inlineStr">
        <is>
          <t>BaseDamage</t>
        </is>
      </c>
      <c r="K592" s="5" t="inlineStr">
        <is>
          <t>BaseHitDamage</t>
        </is>
      </c>
      <c r="L592" s="5" t="inlineStr">
        <is>
          <t>NonCritAvg</t>
        </is>
      </c>
      <c r="M592" s="5" t="inlineStr">
        <is>
          <t>CritAvg</t>
        </is>
      </c>
      <c r="N592" s="5" t="inlineStr">
        <is>
          <t>ExpectedDamage(perHit)</t>
        </is>
      </c>
      <c r="O592" s="5" t="inlineStr">
        <is>
          <t>DPS</t>
        </is>
      </c>
      <c r="P592" s="5" t="inlineStr">
        <is>
          <t>% of Total</t>
        </is>
      </c>
      <c r="Q592" s="5" t="inlineStr">
        <is>
          <t>InvCooldown</t>
        </is>
      </c>
      <c r="R592" s="5" t="inlineStr">
        <is>
          <t>CastsInFight</t>
        </is>
      </c>
      <c r="S592" s="5" t="inlineStr">
        <is>
          <t>HitRate(perSec)</t>
        </is>
      </c>
      <c r="U592" t="inlineStr">
        <is>
          <t>helpers</t>
        </is>
      </c>
    </row>
    <row r="593">
      <c r="A593">
        <f>Skills!A2</f>
        <v/>
      </c>
      <c r="B593">
        <f>Skills!B2</f>
        <v/>
      </c>
      <c r="C593">
        <f>Inputs!$B$3&gt;=100</f>
        <v/>
      </c>
      <c r="D593" t="inlineStr"/>
      <c r="E593" t="inlineStr"/>
      <c r="F593">
        <f>U595+Skills!O2</f>
        <v/>
      </c>
      <c r="G593">
        <f>Skills!G2*IF(Skills!H2&gt;0,Skills!I2/Skills!H2,1)</f>
        <v/>
      </c>
      <c r="H593">
        <f>1-(1-Skills!J2/100)^Skills!K2</f>
        <v/>
      </c>
      <c r="I593" t="inlineStr">
        <is>
          <t>1</t>
        </is>
      </c>
      <c r="J593">
        <f>((Inputs!$B$6*(1+Inputs!$B$7/100))+(((Inputs!$B$12*(1+Inputs!$B$13/100))-(Inputs!$B$12*(1+Inputs!$B$13/100)))+0.25*(Inputs!$B$14-Inputs!$B$14))*(1+Inputs!$B$7/100))*(F593/100)</f>
        <v/>
      </c>
      <c r="K593">
        <f>J593*(1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593)</f>
        <v/>
      </c>
      <c r="L593">
        <f>K593*(MIN(Inputs!$B$22+((C613=TRUE)*(F613-Calc!F22)),(Inputs!$B$23+((C615=TRUE)*(F615-Calc!F24))+(IF(ArtifactsInput!$M$15,CHOOSE(ArtifactsInput!$N$15+1,25,30,35,40,45,50)/100*(Inputs!$B$11-Inputs!$B$11),0))))/100+(Inputs!$B$23+((C615=TRUE)*(F615-Calc!F24))+(IF(ArtifactsInput!$M$15,CHOOSE(ArtifactsInput!$N$15+1,25,30,35,40,45,50)/100*(Inputs!$B$11-Inputs!$B$11),0)))/100)/2</f>
        <v/>
      </c>
      <c r="M593">
        <f>L593*(1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3">
        <f>L593*(1-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593*(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3">
        <f>(1-Summary!$B$11)*T593+Summary!$B$11*V593</f>
        <v/>
      </c>
      <c r="P593">
        <f>IF(B628=0,0,O593/B628)</f>
        <v/>
      </c>
      <c r="Q593" t="n">
        <v>0</v>
      </c>
      <c r="R593" t="n">
        <v>0</v>
      </c>
      <c r="S593">
        <f>IFERROR(O593/N593,0)</f>
        <v/>
      </c>
      <c r="T593">
        <f>IF(C593,(Skills!G2*N593*B622)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593*(1-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593*(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593*(1-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593*(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93">
        <f>MAX(0,(Inputs!$B$3-100)*3)+Inputs!$B$28+Inputs!$B$29</f>
        <v/>
      </c>
      <c r="V593">
        <f>IF(C593,(Skills!G2*N593*B622)*IF(Inputs!$B$38="pvp",1,(1+(Inputs!$B$21+Skills!Q2+(IF(ArtifactsInput!$M$33,CHOOSE(ArtifactsInput!$N$33+1,30,36,42,48,54,60),0))+(IF(AND(ArtifactsInput!$M$35,Inputs!$B$4&lt;&gt;"Chapter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4">
      <c r="A594">
        <f>Skills!A3</f>
        <v/>
      </c>
      <c r="B594">
        <f>Skills!B3</f>
        <v/>
      </c>
      <c r="C594">
        <f>Inputs!$B$3&gt;=50</f>
        <v/>
      </c>
      <c r="D594">
        <f>IF(Skills!C3=1,60+Inputs!$B$25+Inputs!$B$29,IF(Skills!C3=2,90+Inputs!$B$26+Inputs!$B$29,IF(Skills!C3=3,120+Inputs!$B$27+Inputs!$B$29,MAX(0,(Inputs!$B$3-100)*3)+Inputs!$B$28+Inputs!$B$29)))</f>
        <v/>
      </c>
      <c r="E594">
        <f>INDEX(FactorTable!$B$2:$Y$301, MATCH(ROUND(MIN(300,MAX(1,D594)),0), FactorTable!$A$2:$A$301,0), Skills!M3+1)</f>
        <v/>
      </c>
      <c r="F594">
        <f>IF(Skills!N3=TRUE,(Skills!L3/10)*(E594/1000),Skills!L3/10)+Skills!O3</f>
        <v/>
      </c>
      <c r="G594" t="inlineStr"/>
      <c r="H594" t="inlineStr"/>
      <c r="I594" t="inlineStr">
        <is>
          <t>1</t>
        </is>
      </c>
      <c r="J594" t="inlineStr"/>
      <c r="K594" t="inlineStr"/>
      <c r="L594" t="inlineStr"/>
      <c r="M594" t="inlineStr"/>
      <c r="N594" t="inlineStr"/>
      <c r="O594" t="inlineStr"/>
      <c r="P594" t="inlineStr"/>
      <c r="Q594" t="inlineStr"/>
      <c r="R594" t="inlineStr"/>
      <c r="S594" t="inlineStr"/>
      <c r="U594">
        <f>INDEX(FactorTable!$B$2:$Y$301, MATCH(ROUND(MIN(300,MAX(1,U593)),0), FactorTable!$A$2:$A$301,0), 22)</f>
        <v/>
      </c>
    </row>
    <row r="595">
      <c r="A595">
        <f>Skills!A4</f>
        <v/>
      </c>
      <c r="B595">
        <f>Skills!B4</f>
        <v/>
      </c>
      <c r="C595">
        <f>Inputs!$B$3&gt;=35</f>
        <v/>
      </c>
      <c r="D595">
        <f>IF(Skills!C4=1,60+Inputs!$B$25+Inputs!$B$29,IF(Skills!C4=2,90+Inputs!$B$26+Inputs!$B$29,IF(Skills!C4=3,120+Inputs!$B$27+Inputs!$B$29,MAX(0,(Inputs!$B$3-100)*3)+Inputs!$B$28+Inputs!$B$29)))</f>
        <v/>
      </c>
      <c r="E595">
        <f>INDEX(FactorTable!$B$2:$Y$301, MATCH(ROUND(MIN(300,MAX(1,D595)),0), FactorTable!$A$2:$A$301,0), Skills!M4+1)</f>
        <v/>
      </c>
      <c r="F595">
        <f>IF(Skills!N4=TRUE,(Skills!L4/10)*(E595/1000),Skills!L4/10)+Skills!O4</f>
        <v/>
      </c>
      <c r="G595">
        <f>Skills!G4*IF(Skills!H4&gt;0,Skills!I4/Skills!H4,1)</f>
        <v/>
      </c>
      <c r="H595">
        <f>1-(1-Skills!J4/100)^Skills!K4</f>
        <v/>
      </c>
      <c r="I595" t="inlineStr">
        <is>
          <t>1</t>
        </is>
      </c>
      <c r="J595">
        <f>((Inputs!$B$6*(1+Inputs!$B$7/100))+(((Inputs!$B$12*(1+Inputs!$B$13/100))-(Inputs!$B$12*(1+Inputs!$B$13/100)))+0.25*(Inputs!$B$14-Inputs!$B$14))*(1+Inputs!$B$7/100))*(F595/100)</f>
        <v/>
      </c>
      <c r="K595">
        <f>J595*(1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603=TRUE,F603,0)/100)*(1+(IF(Skills!A4="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595)</f>
        <v/>
      </c>
      <c r="L595">
        <f>K595*(MIN(Inputs!$B$22+((C613=TRUE)*(F613-Calc!F22)),(Inputs!$B$23+((C615=TRUE)*(F615-Calc!F24))+(IF(ArtifactsInput!$M$15,CHOOSE(ArtifactsInput!$N$15+1,25,30,35,40,45,50)/100*(Inputs!$B$11-Inputs!$B$11),0))))/100+(Inputs!$B$23+((C615=TRUE)*(F615-Calc!F24))+(IF(ArtifactsInput!$M$15,CHOOSE(ArtifactsInput!$N$15+1,25,30,35,40,45,50)/100*(Inputs!$B$11-Inputs!$B$11),0)))/100)/2</f>
        <v/>
      </c>
      <c r="M595">
        <f>L595*(1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5">
        <f>L595*(1-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595*(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5">
        <f>(1-Summary!$B$11)*T595+Summary!$B$11*V595</f>
        <v/>
      </c>
      <c r="P595">
        <f>IF(B628=0,0,O595/B628)</f>
        <v/>
      </c>
      <c r="Q595">
        <f>IFERROR(1/(IF(Inputs!$B$38="pvp",15,MAX(0.1,Skills!D4-IF(Skills!E4=TRUE,Inputs!$B$32,0)))*(1-IF(AND(ArtifactsInput!$M$27,Inputs!$B$4="Chapter Hunt"),CHOOSE(ArtifactsInput!$N$27+1,20,24,28,32,36,40),0)/100)),0)</f>
        <v/>
      </c>
      <c r="R595">
        <f>IF(AND(Inputs!$B$38&lt;&gt;"pvp",Inputs!$B$43&gt;0),IF(MAX(0,Inputs!$B$43-B625)&lt;=0,0,(INT(MAX(0,Inputs!$B$43-B625)/(IF(Inputs!$B$38="pvp",15,MAX(0.1,Skills!D4-IF(Skills!E4=TRUE,Inputs!$B$32,0)))*(1-IF(AND(ArtifactsInput!$M$27,Inputs!$B$4="Chapter Hunt"),CHOOSE(ArtifactsInput!$N$27+1,20,24,28,32,36,40),0)/100)))+1)),0)</f>
        <v/>
      </c>
      <c r="S595">
        <f>IFERROR(O595/N595,0)</f>
        <v/>
      </c>
      <c r="T595">
        <f>IF(C595,(H595*N595*IF(AND(Inputs!$B$38&lt;&gt;"pvp",Inputs!$B$43&gt;0),((Skills!G4*((R595-1)*IF(Skills!H4&gt;0,Skills!I4/Skills!H4,1)+IF(Skills!H4&gt;0,MIN(Skills!I4,MAX(0,MAX(0,Inputs!$B$43-B625)-((R595-1)*(IF(Inputs!$B$38="pvp",15,MAX(0.1,Skills!D4-IF(Skills!E4=TRUE,Inputs!$B$32,0)))*(1-IF(AND(ArtifactsInput!$M$27,Inputs!$B$4="Chapter Hunt"),CHOOSE(ArtifactsInput!$N$27+1,20,24,28,32,36,40),0)/100)))))/Skills!H4,1)))/Inputs!$B$43),G595*Q595)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595*(1-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595*(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595*(1-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595*(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95">
        <f>290*U594/1000</f>
        <v/>
      </c>
      <c r="V595">
        <f>IF(C595,(H595*N595*IF(AND(Inputs!$B$38&lt;&gt;"pvp",Inputs!$B$43&gt;0),((Skills!G4*((R595-1)*IF(Skills!H4&gt;0,Skills!I4/Skills!H4,1)+IF(Skills!H4&gt;0,MIN(Skills!I4,MAX(0,MAX(0,Inputs!$B$43-B625)-((R595-1)*(IF(Inputs!$B$38="pvp",15,MAX(0.1,Skills!D4-IF(Skills!E4=TRUE,Inputs!$B$32,0)))*(1-IF(AND(ArtifactsInput!$M$27,Inputs!$B$4="Chapter Hunt"),CHOOSE(ArtifactsInput!$N$27+1,20,24,28,32,36,40),0)/100)))))/Skills!H4,1)))/Inputs!$B$43),G595*Q595))*IF(Inputs!$B$38="pvp",1,(1+(Inputs!$B$21+Skills!Q4+(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6">
      <c r="A596">
        <f>Skills!A5</f>
        <v/>
      </c>
      <c r="B596">
        <f>Skills!B5</f>
        <v/>
      </c>
      <c r="C596">
        <f>Inputs!$B$3&gt;=66</f>
        <v/>
      </c>
      <c r="D596">
        <f>IF(Skills!C5=1,60+Inputs!$B$25+Inputs!$B$29,IF(Skills!C5=2,90+Inputs!$B$26+Inputs!$B$29,IF(Skills!C5=3,120+Inputs!$B$27+Inputs!$B$29,MAX(0,(Inputs!$B$3-100)*3)+Inputs!$B$28+Inputs!$B$29)))</f>
        <v/>
      </c>
      <c r="E596">
        <f>INDEX(FactorTable!$B$2:$Y$301, MATCH(ROUND(MIN(300,MAX(1,D596)),0), FactorTable!$A$2:$A$301,0), Skills!M5+1)</f>
        <v/>
      </c>
      <c r="F596">
        <f>IF(Skills!N5=TRUE,(Skills!L5/10)*(E596/1000),Skills!L5/10)+Skills!O5</f>
        <v/>
      </c>
      <c r="G596">
        <f>Skills!G5*IF(Skills!H5&gt;0,Skills!I5/Skills!H5,1)</f>
        <v/>
      </c>
      <c r="H596">
        <f>1-(1-Skills!J5/100)^Skills!K5</f>
        <v/>
      </c>
      <c r="I596" t="inlineStr">
        <is>
          <t>1</t>
        </is>
      </c>
      <c r="J596">
        <f>((Inputs!$B$6*(1+Inputs!$B$7/100))+(((Inputs!$B$12*(1+Inputs!$B$13/100))-(Inputs!$B$12*(1+Inputs!$B$13/100)))+0.25*(Inputs!$B$14-Inputs!$B$14))*(1+Inputs!$B$7/100))*(F596/100)</f>
        <v/>
      </c>
      <c r="K596">
        <f>J596*(1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603=TRUE,F603,0)/100)*(1+(IF(Skills!A5="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596)</f>
        <v/>
      </c>
      <c r="L596">
        <f>K596*(MIN(Inputs!$B$22+((C613=TRUE)*(F613-Calc!F22)),(Inputs!$B$23+((C615=TRUE)*(F615-Calc!F24))+(IF(ArtifactsInput!$M$15,CHOOSE(ArtifactsInput!$N$15+1,25,30,35,40,45,50)/100*(Inputs!$B$11-Inputs!$B$11),0))))/100+(Inputs!$B$23+((C615=TRUE)*(F615-Calc!F24))+(IF(ArtifactsInput!$M$15,CHOOSE(ArtifactsInput!$N$15+1,25,30,35,40,45,50)/100*(Inputs!$B$11-Inputs!$B$11),0)))/100)/2</f>
        <v/>
      </c>
      <c r="M596">
        <f>L596*(1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6">
        <f>L596*(1-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596*(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6">
        <f>(1-Summary!$B$11)*T596+Summary!$B$11*V596</f>
        <v/>
      </c>
      <c r="P596">
        <f>IF(B628=0,0,O596/B628)</f>
        <v/>
      </c>
      <c r="Q596">
        <f>IFERROR(1/(IF(Inputs!$B$38="pvp",15,MAX(0.1,Skills!D5-IF(Skills!E5=TRUE,Inputs!$B$32,0)))*(1-IF(AND(ArtifactsInput!$M$27,Inputs!$B$4="Chapter Hunt"),CHOOSE(ArtifactsInput!$N$27+1,20,24,28,32,36,40),0)/100)),0)</f>
        <v/>
      </c>
      <c r="R596">
        <f>IF(AND(Inputs!$B$38&lt;&gt;"pvp",Inputs!$B$43&gt;0),IF(MAX(0,Inputs!$B$43-B625)&lt;=0,0,(INT(MAX(0,Inputs!$B$43-B625)/(IF(Inputs!$B$38="pvp",15,MAX(0.1,Skills!D5-IF(Skills!E5=TRUE,Inputs!$B$32,0)))*(1-IF(AND(ArtifactsInput!$M$27,Inputs!$B$4="Chapter Hunt"),CHOOSE(ArtifactsInput!$N$27+1,20,24,28,32,36,40),0)/100)))+1)),0)</f>
        <v/>
      </c>
      <c r="S596">
        <f>IFERROR(O596/N596,0)</f>
        <v/>
      </c>
      <c r="T596">
        <f>IF(C596,(H596*N596*IF(AND(Inputs!$B$38&lt;&gt;"pvp",Inputs!$B$43&gt;0),((Skills!G5*((R596-1)*IF(Skills!H5&gt;0,Skills!I5/Skills!H5,1)+IF(Skills!H5&gt;0,MIN(Skills!I5,MAX(0,MAX(0,Inputs!$B$43-B625)-((R596-1)*(IF(Inputs!$B$38="pvp",15,MAX(0.1,Skills!D5-IF(Skills!E5=TRUE,Inputs!$B$32,0)))*(1-IF(AND(ArtifactsInput!$M$27,Inputs!$B$4="Chapter Hunt"),CHOOSE(ArtifactsInput!$N$27+1,20,24,28,32,36,40),0)/100)))))/Skills!H5,1)))/Inputs!$B$43),G596*Q596)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596*(1-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596*(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596*(1-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596*(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6">
        <f>IF(C596,(H596*N596*IF(AND(Inputs!$B$38&lt;&gt;"pvp",Inputs!$B$43&gt;0),((Skills!G5*((R596-1)*IF(Skills!H5&gt;0,Skills!I5/Skills!H5,1)+IF(Skills!H5&gt;0,MIN(Skills!I5,MAX(0,MAX(0,Inputs!$B$43-B625)-((R596-1)*(IF(Inputs!$B$38="pvp",15,MAX(0.1,Skills!D5-IF(Skills!E5=TRUE,Inputs!$B$32,0)))*(1-IF(AND(ArtifactsInput!$M$27,Inputs!$B$4="Chapter Hunt"),CHOOSE(ArtifactsInput!$N$27+1,20,24,28,32,36,40),0)/100)))))/Skills!H5,1)))/Inputs!$B$43),G596*Q596))*IF(Inputs!$B$38="pvp",1,(1+(Inputs!$B$21+Skills!Q5+(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7">
      <c r="A597">
        <f>Skills!A6</f>
        <v/>
      </c>
      <c r="B597">
        <f>Skills!B6</f>
        <v/>
      </c>
      <c r="C597">
        <f>Inputs!$B$3&gt;=103</f>
        <v/>
      </c>
      <c r="D597">
        <f>IF(Skills!C6=1,60+Inputs!$B$25+Inputs!$B$29,IF(Skills!C6=2,90+Inputs!$B$26+Inputs!$B$29,IF(Skills!C6=3,120+Inputs!$B$27+Inputs!$B$29,MAX(0,(Inputs!$B$3-100)*3)+Inputs!$B$28+Inputs!$B$29)))</f>
        <v/>
      </c>
      <c r="E597">
        <f>INDEX(FactorTable!$B$2:$Y$301, MATCH(ROUND(MIN(300,MAX(1,D597)),0), FactorTable!$A$2:$A$301,0), Skills!M6+1)</f>
        <v/>
      </c>
      <c r="F597">
        <f>IF(Skills!N6=TRUE,(Skills!L6/10)*(E597/1000),Skills!L6/10)+Skills!O6</f>
        <v/>
      </c>
      <c r="G597">
        <f>Skills!G6*IF(Skills!H6&gt;0,Skills!I6/Skills!H6,1)</f>
        <v/>
      </c>
      <c r="H597">
        <f>1-(1-Skills!J6/100)^Skills!K6</f>
        <v/>
      </c>
      <c r="I597" t="inlineStr">
        <is>
          <t>1</t>
        </is>
      </c>
      <c r="J597">
        <f>((Inputs!$B$6*(1+Inputs!$B$7/100))+(((Inputs!$B$12*(1+Inputs!$B$13/100))-(Inputs!$B$12*(1+Inputs!$B$13/100)))+0.25*(Inputs!$B$14-Inputs!$B$14))*(1+Inputs!$B$7/100))*(F597/100)</f>
        <v/>
      </c>
      <c r="K597">
        <f>J597*(1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597)</f>
        <v/>
      </c>
      <c r="L597">
        <f>K597*(MIN(Inputs!$B$22+((C613=TRUE)*(F613-Calc!F22)),(Inputs!$B$23+((C615=TRUE)*(F615-Calc!F24))+(IF(ArtifactsInput!$M$15,CHOOSE(ArtifactsInput!$N$15+1,25,30,35,40,45,50)/100*(Inputs!$B$11-Inputs!$B$11),0))))/100+(Inputs!$B$23+((C615=TRUE)*(F615-Calc!F24))+(IF(ArtifactsInput!$M$15,CHOOSE(ArtifactsInput!$N$15+1,25,30,35,40,45,50)/100*(Inputs!$B$11-Inputs!$B$11),0)))/100)/2</f>
        <v/>
      </c>
      <c r="M597">
        <f>L597*(1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7">
        <f>L597*(1-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597*(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7">
        <f>(1-Summary!$B$11)*T597+Summary!$B$11*V597</f>
        <v/>
      </c>
      <c r="P597">
        <f>IF(B628=0,0,O597/B628)</f>
        <v/>
      </c>
      <c r="Q597">
        <f>IFERROR(1/(IF(Inputs!$B$38="pvp",15,MAX(0.1,Skills!D6-IF(Skills!E6=TRUE,Inputs!$B$32,0)))*(1-IF(AND(ArtifactsInput!$M$27,Inputs!$B$4="Chapter Hunt"),CHOOSE(ArtifactsInput!$N$27+1,20,24,28,32,36,40),0)/100)),0)</f>
        <v/>
      </c>
      <c r="R597">
        <f>IF(AND(Inputs!$B$38&lt;&gt;"pvp",Inputs!$B$43&gt;0),IF(MAX(0,Inputs!$B$43-B625)&lt;=0,0,(INT(MAX(0,Inputs!$B$43-B625)/(IF(Inputs!$B$38="pvp",15,MAX(0.1,Skills!D6-IF(Skills!E6=TRUE,Inputs!$B$32,0)))*(1-IF(AND(ArtifactsInput!$M$27,Inputs!$B$4="Chapter Hunt"),CHOOSE(ArtifactsInput!$N$27+1,20,24,28,32,36,40),0)/100)))+1)),0)</f>
        <v/>
      </c>
      <c r="S597">
        <f>IFERROR(O597/N597,0)</f>
        <v/>
      </c>
      <c r="T597">
        <f>IF(C597,(H597*N597*IF(AND(Inputs!$B$38&lt;&gt;"pvp",Inputs!$B$43&gt;0),((Skills!G6*((R597-1)*IF(Skills!H6&gt;0,Skills!I6/Skills!H6,1)+IF(Skills!H6&gt;0,MIN(Skills!I6,MAX(0,MAX(0,Inputs!$B$43-B625)-((R597-1)*(IF(Inputs!$B$38="pvp",15,MAX(0.1,Skills!D6-IF(Skills!E6=TRUE,Inputs!$B$32,0)))*(1-IF(AND(ArtifactsInput!$M$27,Inputs!$B$4="Chapter Hunt"),CHOOSE(ArtifactsInput!$N$27+1,20,24,28,32,36,40),0)/100)))))/Skills!H6,1)))/Inputs!$B$43),G597*Q597)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597*(1-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597*(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597*(1-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597*(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7">
        <f>IF(C597,(H597*N597*IF(AND(Inputs!$B$38&lt;&gt;"pvp",Inputs!$B$43&gt;0),((Skills!G6*((R597-1)*IF(Skills!H6&gt;0,Skills!I6/Skills!H6,1)+IF(Skills!H6&gt;0,MIN(Skills!I6,MAX(0,MAX(0,Inputs!$B$43-B625)-((R597-1)*(IF(Inputs!$B$38="pvp",15,MAX(0.1,Skills!D6-IF(Skills!E6=TRUE,Inputs!$B$32,0)))*(1-IF(AND(ArtifactsInput!$M$27,Inputs!$B$4="Chapter Hunt"),CHOOSE(ArtifactsInput!$N$27+1,20,24,28,32,36,40),0)/100)))))/Skills!H6,1)))/Inputs!$B$43),G597*Q597))*IF(Inputs!$B$38="pvp",1,(1+(Inputs!$B$21+Skills!Q6+(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8">
      <c r="A598">
        <f>Skills!A7</f>
        <v/>
      </c>
      <c r="B598">
        <f>Skills!B7</f>
        <v/>
      </c>
      <c r="C598">
        <f>Inputs!$B$3&gt;=107</f>
        <v/>
      </c>
      <c r="D598">
        <f>IF(Skills!C7=1,60+Inputs!$B$25+Inputs!$B$29,IF(Skills!C7=2,90+Inputs!$B$26+Inputs!$B$29,IF(Skills!C7=3,120+Inputs!$B$27+Inputs!$B$29,MAX(0,(Inputs!$B$3-100)*3)+Inputs!$B$28+Inputs!$B$29)))</f>
        <v/>
      </c>
      <c r="E598">
        <f>INDEX(FactorTable!$B$2:$Y$301, MATCH(ROUND(MIN(300,MAX(1,D598)),0), FactorTable!$A$2:$A$301,0), Skills!M7+1)</f>
        <v/>
      </c>
      <c r="F598">
        <f>IF(Skills!N7=TRUE,(Skills!L7/10)*(E598/1000),Skills!L7/10)+Skills!O7</f>
        <v/>
      </c>
      <c r="G598">
        <f>Skills!G7*IF(Skills!H7&gt;0,Skills!I7/Skills!H7,1)</f>
        <v/>
      </c>
      <c r="H598">
        <f>1-(1-Skills!J7/100)^Skills!K7</f>
        <v/>
      </c>
      <c r="I598" t="inlineStr">
        <is>
          <t>1</t>
        </is>
      </c>
      <c r="J598">
        <f>((Inputs!$B$6*(1+Inputs!$B$7/100))+(((Inputs!$B$12*(1+Inputs!$B$13/100))-(Inputs!$B$12*(1+Inputs!$B$13/100)))+0.25*(Inputs!$B$14-Inputs!$B$14))*(1+Inputs!$B$7/100))*(F598/100)</f>
        <v/>
      </c>
      <c r="K598">
        <f>J598*(1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598)</f>
        <v/>
      </c>
      <c r="L598">
        <f>K598*(MIN(Inputs!$B$22+((C613=TRUE)*(F613-Calc!F22)),(Inputs!$B$23+((C615=TRUE)*(F615-Calc!F24))+(IF(ArtifactsInput!$M$15,CHOOSE(ArtifactsInput!$N$15+1,25,30,35,40,45,50)/100*(Inputs!$B$11-Inputs!$B$11),0))))/100+(Inputs!$B$23+((C615=TRUE)*(F615-Calc!F24))+(IF(ArtifactsInput!$M$15,CHOOSE(ArtifactsInput!$N$15+1,25,30,35,40,45,50)/100*(Inputs!$B$11-Inputs!$B$11),0)))/100)/2</f>
        <v/>
      </c>
      <c r="M598">
        <f>L598*(1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8">
        <f>L598*(1-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598*(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8">
        <f>(1-Summary!$B$11)*T598+Summary!$B$11*V598</f>
        <v/>
      </c>
      <c r="P598">
        <f>IF(B628=0,0,O598/B628)</f>
        <v/>
      </c>
      <c r="Q598">
        <f>IFERROR(1/(IF(Inputs!$B$38="pvp",15,MAX(0.1,Skills!D7-IF(Skills!E7=TRUE,Inputs!$B$32,0)))*(1-IF(AND(ArtifactsInput!$M$27,Inputs!$B$4="Chapter Hunt"),CHOOSE(ArtifactsInput!$N$27+1,20,24,28,32,36,40),0)/100)),0)</f>
        <v/>
      </c>
      <c r="R598">
        <f>IF(AND(Inputs!$B$38&lt;&gt;"pvp",Inputs!$B$43&gt;0),IF(MAX(0,Inputs!$B$43-B625)&lt;=0,0,(INT(MAX(0,Inputs!$B$43-B625)/(IF(Inputs!$B$38="pvp",15,MAX(0.1,Skills!D7-IF(Skills!E7=TRUE,Inputs!$B$32,0)))*(1-IF(AND(ArtifactsInput!$M$27,Inputs!$B$4="Chapter Hunt"),CHOOSE(ArtifactsInput!$N$27+1,20,24,28,32,36,40),0)/100)))+1)),0)</f>
        <v/>
      </c>
      <c r="S598">
        <f>IFERROR(O598/N598,0)</f>
        <v/>
      </c>
      <c r="T598">
        <f>IF(C598,(H598*N598*IF(AND(Inputs!$B$38&lt;&gt;"pvp",Inputs!$B$43&gt;0),((Skills!G7*((R598-1)*IF(Skills!H7&gt;0,Skills!I7/Skills!H7,1)+IF(Skills!H7&gt;0,MIN(Skills!I7,MAX(0,MAX(0,Inputs!$B$43-B625)-((R598-1)*(IF(Inputs!$B$38="pvp",15,MAX(0.1,Skills!D7-IF(Skills!E7=TRUE,Inputs!$B$32,0)))*(1-IF(AND(ArtifactsInput!$M$27,Inputs!$B$4="Chapter Hunt"),CHOOSE(ArtifactsInput!$N$27+1,20,24,28,32,36,40),0)/100)))))/Skills!H7,1)))/Inputs!$B$43),G598*Q598)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598*(1-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598*(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598*(1-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598*(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8">
        <f>IF(C598,(H598*N598*IF(AND(Inputs!$B$38&lt;&gt;"pvp",Inputs!$B$43&gt;0),((Skills!G7*((R598-1)*IF(Skills!H7&gt;0,Skills!I7/Skills!H7,1)+IF(Skills!H7&gt;0,MIN(Skills!I7,MAX(0,MAX(0,Inputs!$B$43-B625)-((R598-1)*(IF(Inputs!$B$38="pvp",15,MAX(0.1,Skills!D7-IF(Skills!E7=TRUE,Inputs!$B$32,0)))*(1-IF(AND(ArtifactsInput!$M$27,Inputs!$B$4="Chapter Hunt"),CHOOSE(ArtifactsInput!$N$27+1,20,24,28,32,36,40),0)/100)))))/Skills!H7,1)))/Inputs!$B$43),G598*Q598))*IF(Inputs!$B$38="pvp",1,(1+(Inputs!$B$21+Skills!Q7+(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99">
      <c r="A599">
        <f>Skills!A8</f>
        <v/>
      </c>
      <c r="B599">
        <f>Skills!B8</f>
        <v/>
      </c>
      <c r="C599">
        <f>Inputs!$B$3&gt;=107</f>
        <v/>
      </c>
      <c r="D599">
        <f>IF(Skills!C8=1,60+Inputs!$B$25+Inputs!$B$29,IF(Skills!C8=2,90+Inputs!$B$26+Inputs!$B$29,IF(Skills!C8=3,120+Inputs!$B$27+Inputs!$B$29,MAX(0,(Inputs!$B$3-100)*3)+Inputs!$B$28+Inputs!$B$29)))</f>
        <v/>
      </c>
      <c r="E599">
        <f>INDEX(FactorTable!$B$2:$Y$301, MATCH(ROUND(MIN(300,MAX(1,D599)),0), FactorTable!$A$2:$A$301,0), Skills!M8+1)</f>
        <v/>
      </c>
      <c r="F599">
        <f>IF(Skills!N8=TRUE,(Skills!L8/10)*(E599/1000),Skills!L8/10)+Skills!O8</f>
        <v/>
      </c>
      <c r="G599">
        <f>Skills!G8*IF(Skills!H8&gt;0,Skills!I8/Skills!H8,1)</f>
        <v/>
      </c>
      <c r="H599">
        <f>1-(1-Skills!J8/100)^Skills!K8</f>
        <v/>
      </c>
      <c r="I599" t="inlineStr">
        <is>
          <t>1</t>
        </is>
      </c>
      <c r="J599">
        <f>((Inputs!$B$6*(1+Inputs!$B$7/100))+(((Inputs!$B$12*(1+Inputs!$B$13/100))-(Inputs!$B$12*(1+Inputs!$B$13/100)))+0.25*(Inputs!$B$14-Inputs!$B$14))*(1+Inputs!$B$7/100))*(F599/100)</f>
        <v/>
      </c>
      <c r="K599">
        <f>J599*(1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599)</f>
        <v/>
      </c>
      <c r="L599">
        <f>K599*(MIN(Inputs!$B$22+((C613=TRUE)*(F613-Calc!F22)),(Inputs!$B$23+((C615=TRUE)*(F615-Calc!F24))+(IF(ArtifactsInput!$M$15,CHOOSE(ArtifactsInput!$N$15+1,25,30,35,40,45,50)/100*(Inputs!$B$11-Inputs!$B$11),0))))/100+(Inputs!$B$23+((C615=TRUE)*(F615-Calc!F24))+(IF(ArtifactsInput!$M$15,CHOOSE(ArtifactsInput!$N$15+1,25,30,35,40,45,50)/100*(Inputs!$B$11-Inputs!$B$11),0)))/100)/2</f>
        <v/>
      </c>
      <c r="M599">
        <f>L599*(1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99">
        <f>L599*(1-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599*(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99">
        <f>(1-Summary!$B$11)*T599+Summary!$B$11*V599</f>
        <v/>
      </c>
      <c r="P599">
        <f>IF(B628=0,0,O599/B628)</f>
        <v/>
      </c>
      <c r="Q599">
        <f>IFERROR(1/(IF(Inputs!$B$38="pvp",15,MAX(0.1,Skills!D8-IF(Skills!E8=TRUE,Inputs!$B$32,0)))*(1-IF(AND(ArtifactsInput!$M$27,Inputs!$B$4="Chapter Hunt"),CHOOSE(ArtifactsInput!$N$27+1,20,24,28,32,36,40),0)/100)),0)</f>
        <v/>
      </c>
      <c r="R599">
        <f>IF(AND(Inputs!$B$38&lt;&gt;"pvp",Inputs!$B$43&gt;0),IF(MAX(0,Inputs!$B$43-B625)&lt;=0,0,(INT(MAX(0,Inputs!$B$43-B625)/(IF(Inputs!$B$38="pvp",15,MAX(0.1,Skills!D8-IF(Skills!E8=TRUE,Inputs!$B$32,0)))*(1-IF(AND(ArtifactsInput!$M$27,Inputs!$B$4="Chapter Hunt"),CHOOSE(ArtifactsInput!$N$27+1,20,24,28,32,36,40),0)/100)))+1)),0)</f>
        <v/>
      </c>
      <c r="S599">
        <f>IFERROR(O599/N599,0)</f>
        <v/>
      </c>
      <c r="T599">
        <f>IF(C599,(H599*N599*IF(AND(Inputs!$B$38&lt;&gt;"pvp",Inputs!$B$43&gt;0),((Skills!G8*((R599-1)*IF(Skills!H8&gt;0,Skills!I8/Skills!H8,1)+IF(Skills!H8&gt;0,MIN(Skills!I8,MAX(0,MAX(0,Inputs!$B$43-B625)-((R599-1)*(IF(Inputs!$B$38="pvp",15,MAX(0.1,Skills!D8-IF(Skills!E8=TRUE,Inputs!$B$32,0)))*(1-IF(AND(ArtifactsInput!$M$27,Inputs!$B$4="Chapter Hunt"),CHOOSE(ArtifactsInput!$N$27+1,20,24,28,32,36,40),0)/100)))))/Skills!H8,1)))/Inputs!$B$43),G599*Q599)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599*(1-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599*(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599*(1-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599*(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99">
        <f>IF(C599,(H599*N599*IF(AND(Inputs!$B$38&lt;&gt;"pvp",Inputs!$B$43&gt;0),((Skills!G8*((R599-1)*IF(Skills!H8&gt;0,Skills!I8/Skills!H8,1)+IF(Skills!H8&gt;0,MIN(Skills!I8,MAX(0,MAX(0,Inputs!$B$43-B625)-((R599-1)*(IF(Inputs!$B$38="pvp",15,MAX(0.1,Skills!D8-IF(Skills!E8=TRUE,Inputs!$B$32,0)))*(1-IF(AND(ArtifactsInput!$M$27,Inputs!$B$4="Chapter Hunt"),CHOOSE(ArtifactsInput!$N$27+1,20,24,28,32,36,40),0)/100)))))/Skills!H8,1)))/Inputs!$B$43),G599*Q599))*IF(Inputs!$B$38="pvp",1,(1+(Inputs!$B$21+Skills!Q8+(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0">
      <c r="A600">
        <f>Skills!A9</f>
        <v/>
      </c>
      <c r="B600">
        <f>Skills!B9</f>
        <v/>
      </c>
      <c r="C600">
        <f>Inputs!$B$3&gt;=125</f>
        <v/>
      </c>
      <c r="D600">
        <f>IF(Skills!C9=1,60+Inputs!$B$25+Inputs!$B$29,IF(Skills!C9=2,90+Inputs!$B$26+Inputs!$B$29,IF(Skills!C9=3,120+Inputs!$B$27+Inputs!$B$29,MAX(0,(Inputs!$B$3-100)*3)+Inputs!$B$28+Inputs!$B$29)))</f>
        <v/>
      </c>
      <c r="E600">
        <f>INDEX(FactorTable!$B$2:$Y$301, MATCH(ROUND(MIN(300,MAX(1,D600)),0), FactorTable!$A$2:$A$301,0), Skills!M9+1)</f>
        <v/>
      </c>
      <c r="F600">
        <f>IF(Skills!N9=TRUE,(Skills!L9/10)*(E600/1000),Skills!L9/10)+Skills!O9</f>
        <v/>
      </c>
      <c r="G600">
        <f>Skills!G9*IF(Skills!H9&gt;0,Skills!I9/Skills!H9,1)</f>
        <v/>
      </c>
      <c r="H600">
        <f>1-(1-Skills!J9/100)^Skills!K9</f>
        <v/>
      </c>
      <c r="I600" t="inlineStr">
        <is>
          <t>1</t>
        </is>
      </c>
      <c r="J600">
        <f>((Inputs!$B$6*(1+Inputs!$B$7/100))+(((Inputs!$B$12*(1+Inputs!$B$13/100))-(Inputs!$B$12*(1+Inputs!$B$13/100)))+0.25*(Inputs!$B$14-Inputs!$B$14))*(1+Inputs!$B$7/100))*(F600/100)</f>
        <v/>
      </c>
      <c r="K600">
        <f>J600*(1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600)</f>
        <v/>
      </c>
      <c r="L600">
        <f>K600*(MIN(Inputs!$B$22+((C613=TRUE)*(F613-Calc!F22)),(Inputs!$B$23+((C615=TRUE)*(F615-Calc!F24))+(IF(ArtifactsInput!$M$15,CHOOSE(ArtifactsInput!$N$15+1,25,30,35,40,45,50)/100*(Inputs!$B$11-Inputs!$B$11),0))))/100+(Inputs!$B$23+((C615=TRUE)*(F615-Calc!F24))+(IF(ArtifactsInput!$M$15,CHOOSE(ArtifactsInput!$N$15+1,25,30,35,40,45,50)/100*(Inputs!$B$11-Inputs!$B$11),0)))/100)/2</f>
        <v/>
      </c>
      <c r="M600">
        <f>L600*(1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0">
        <f>L600*(1-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600*(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0">
        <f>(1-Summary!$B$11)*T600+Summary!$B$11*V600</f>
        <v/>
      </c>
      <c r="P600">
        <f>IF(B628=0,0,O600/B628)</f>
        <v/>
      </c>
      <c r="Q600">
        <f>IFERROR(1/(IF(Inputs!$B$38="pvp",15,MAX(0.1,Skills!D9-IF(Skills!E9=TRUE,Inputs!$B$32,0)))*(1-IF(AND(ArtifactsInput!$M$27,Inputs!$B$4="Chapter Hunt"),CHOOSE(ArtifactsInput!$N$27+1,20,24,28,32,36,40),0)/100)),0)</f>
        <v/>
      </c>
      <c r="R600">
        <f>IF(AND(Inputs!$B$38&lt;&gt;"pvp",Inputs!$B$43&gt;0),IF(MAX(0,Inputs!$B$43-B625)&lt;=0,0,(INT(MAX(0,Inputs!$B$43-B625)/(IF(Inputs!$B$38="pvp",15,MAX(0.1,Skills!D9-IF(Skills!E9=TRUE,Inputs!$B$32,0)))*(1-IF(AND(ArtifactsInput!$M$27,Inputs!$B$4="Chapter Hunt"),CHOOSE(ArtifactsInput!$N$27+1,20,24,28,32,36,40),0)/100)))+1)),0)</f>
        <v/>
      </c>
      <c r="S600">
        <f>IFERROR(O600/N600,0)</f>
        <v/>
      </c>
      <c r="T600">
        <f>IF(C600,(H600*N600*IF(AND(Inputs!$B$38&lt;&gt;"pvp",Inputs!$B$43&gt;0),((Skills!G9*((R600-1)*IF(Skills!H9&gt;0,Skills!I9/Skills!H9,1)+IF(Skills!H9&gt;0,MIN(Skills!I9,MAX(0,MAX(0,Inputs!$B$43-B625)-((R600-1)*(IF(Inputs!$B$38="pvp",15,MAX(0.1,Skills!D9-IF(Skills!E9=TRUE,Inputs!$B$32,0)))*(1-IF(AND(ArtifactsInput!$M$27,Inputs!$B$4="Chapter Hunt"),CHOOSE(ArtifactsInput!$N$27+1,20,24,28,32,36,40),0)/100)))))/Skills!H9,1)))/Inputs!$B$43),G600*Q600)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600*(1-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600*(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600*(1-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600*(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00">
        <f>IF(C600,(H600*N600*IF(AND(Inputs!$B$38&lt;&gt;"pvp",Inputs!$B$43&gt;0),((Skills!G9*((R600-1)*IF(Skills!H9&gt;0,Skills!I9/Skills!H9,1)+IF(Skills!H9&gt;0,MIN(Skills!I9,MAX(0,MAX(0,Inputs!$B$43-B625)-((R600-1)*(IF(Inputs!$B$38="pvp",15,MAX(0.1,Skills!D9-IF(Skills!E9=TRUE,Inputs!$B$32,0)))*(1-IF(AND(ArtifactsInput!$M$27,Inputs!$B$4="Chapter Hunt"),CHOOSE(ArtifactsInput!$N$27+1,20,24,28,32,36,40),0)/100)))))/Skills!H9,1)))/Inputs!$B$43),G600*Q600))*IF(Inputs!$B$38="pvp",1,(1+(Inputs!$B$21+Skills!Q9+(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1">
      <c r="A601">
        <f>Skills!A10</f>
        <v/>
      </c>
      <c r="B601">
        <f>Skills!B10</f>
        <v/>
      </c>
      <c r="C601">
        <f>Inputs!$B$3&gt;=117</f>
        <v/>
      </c>
      <c r="D601">
        <f>IF(Skills!C10=1,60+Inputs!$B$25+Inputs!$B$29,IF(Skills!C10=2,90+Inputs!$B$26+Inputs!$B$29,IF(Skills!C10=3,120+Inputs!$B$27+Inputs!$B$29,MAX(0,(Inputs!$B$3-100)*3)+Inputs!$B$28+Inputs!$B$29)))</f>
        <v/>
      </c>
      <c r="E601">
        <f>INDEX(FactorTable!$B$2:$Y$301, MATCH(ROUND(MIN(300,MAX(1,D601)),0), FactorTable!$A$2:$A$301,0), Skills!M10+1)</f>
        <v/>
      </c>
      <c r="F601">
        <f>IF(Skills!N10=TRUE,(Skills!L10/10)*(E601/1000),Skills!L10/10)+Skills!O10</f>
        <v/>
      </c>
      <c r="G601">
        <f>Skills!G10*IF(Skills!H10&gt;0,Skills!I10/Skills!H10,1)</f>
        <v/>
      </c>
      <c r="H601">
        <f>1-(1-Skills!J10/100)^Skills!K10</f>
        <v/>
      </c>
      <c r="I601" t="inlineStr">
        <is>
          <t>1</t>
        </is>
      </c>
      <c r="J601">
        <f>((Inputs!$B$6*(1+Inputs!$B$7/100))+(((Inputs!$B$12*(1+Inputs!$B$13/100))-(Inputs!$B$12*(1+Inputs!$B$13/100)))+0.25*(Inputs!$B$14-Inputs!$B$14))*(1+Inputs!$B$7/100))*(F601/100)</f>
        <v/>
      </c>
      <c r="K601">
        <f>J601*(1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601)</f>
        <v/>
      </c>
      <c r="L601">
        <f>K601*(MIN(Inputs!$B$22+((C613=TRUE)*(F613-Calc!F22)),(Inputs!$B$23+((C615=TRUE)*(F615-Calc!F24))+(IF(ArtifactsInput!$M$15,CHOOSE(ArtifactsInput!$N$15+1,25,30,35,40,45,50)/100*(Inputs!$B$11-Inputs!$B$11),0))))/100+(Inputs!$B$23+((C615=TRUE)*(F615-Calc!F24))+(IF(ArtifactsInput!$M$15,CHOOSE(ArtifactsInput!$N$15+1,25,30,35,40,45,50)/100*(Inputs!$B$11-Inputs!$B$11),0)))/100)/2</f>
        <v/>
      </c>
      <c r="M601">
        <f>L601*(1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1">
        <f>L601*(1-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1">
        <f>(1-Summary!$B$11)*T601+Summary!$B$11*V601</f>
        <v/>
      </c>
      <c r="P601">
        <f>IF(B628=0,0,O601/B628)</f>
        <v/>
      </c>
      <c r="Q601">
        <f>IFERROR(1/(IF(Inputs!$B$38="pvp",15,MAX(0.1,Skills!D10-IF(Skills!E10=TRUE,Inputs!$B$32,0)))*(1-IF(AND(ArtifactsInput!$M$27,Inputs!$B$4="Chapter Hunt"),CHOOSE(ArtifactsInput!$N$27+1,20,24,28,32,36,40),0)/100)),0)</f>
        <v/>
      </c>
      <c r="R601">
        <f>IF(AND(Inputs!$B$38&lt;&gt;"pvp",Inputs!$B$43&gt;0),IF(MAX(0,Inputs!$B$43-B625)&lt;=0,0,(INT(MAX(0,Inputs!$B$43-B625)/(IF(Inputs!$B$38="pvp",15,MAX(0.1,Skills!D10-IF(Skills!E10=TRUE,Inputs!$B$32,0)))*(1-IF(AND(ArtifactsInput!$M$27,Inputs!$B$4="Chapter Hunt"),CHOOSE(ArtifactsInput!$N$27+1,20,24,28,32,36,40),0)/100)))+1)),0)</f>
        <v/>
      </c>
      <c r="S601">
        <f>IFERROR(O601/N601,0)</f>
        <v/>
      </c>
      <c r="T601">
        <f>IF(C601,(H601*N601*IF(AND(Inputs!$B$38&lt;&gt;"pvp",Inputs!$B$43&gt;0),((Skills!G10*((R601-1)*IF(Skills!H10&gt;0,Skills!I10/Skills!H10,1)+IF(Skills!H10&gt;0,MIN(Skills!I10,MAX(0,MAX(0,Inputs!$B$43-B625)-((R601-1)*(IF(Inputs!$B$38="pvp",15,MAX(0.1,Skills!D10-IF(Skills!E10=TRUE,Inputs!$B$32,0)))*(1-IF(AND(ArtifactsInput!$M$27,Inputs!$B$4="Chapter Hunt"),CHOOSE(ArtifactsInput!$N$27+1,20,24,28,32,36,40),0)/100)))))/Skills!H10,1)))/Inputs!$B$43),G601*Q601)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601*(1-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601*(1-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01">
        <f>IF(C601,(H601*N601*IF(AND(Inputs!$B$38&lt;&gt;"pvp",Inputs!$B$43&gt;0),((Skills!G10*((R601-1)*IF(Skills!H10&gt;0,Skills!I10/Skills!H10,1)+IF(Skills!H10&gt;0,MIN(Skills!I10,MAX(0,MAX(0,Inputs!$B$43-B625)-((R601-1)*(IF(Inputs!$B$38="pvp",15,MAX(0.1,Skills!D10-IF(Skills!E10=TRUE,Inputs!$B$32,0)))*(1-IF(AND(ArtifactsInput!$M$27,Inputs!$B$4="Chapter Hunt"),CHOOSE(ArtifactsInput!$N$27+1,20,24,28,32,36,40),0)/100)))))/Skills!H10,1)))/Inputs!$B$43),G601*Q601))*IF(Inputs!$B$38="pvp",1,(1+(Inputs!$B$21+Skills!Q10+(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2">
      <c r="A602">
        <f>Skills!A11</f>
        <v/>
      </c>
      <c r="B602">
        <f>Skills!B11</f>
        <v/>
      </c>
      <c r="C602">
        <f>Inputs!$B$3&gt;=63</f>
        <v/>
      </c>
      <c r="D602">
        <f>IF(Skills!C11=1,60+Inputs!$B$25+Inputs!$B$29,IF(Skills!C11=2,90+Inputs!$B$26+Inputs!$B$29,IF(Skills!C11=3,120+Inputs!$B$27+Inputs!$B$29,MAX(0,(Inputs!$B$3-100)*3)+Inputs!$B$28+Inputs!$B$29)))</f>
        <v/>
      </c>
      <c r="E602">
        <f>INDEX(FactorTable!$B$2:$Y$301, MATCH(ROUND(MIN(300,MAX(1,D602)),0), FactorTable!$A$2:$A$301,0), Skills!M11+1)</f>
        <v/>
      </c>
      <c r="F602">
        <f>IF(Skills!N11=TRUE,(Skills!L11/10)*(E602/1000),Skills!L11/10)+Skills!O11</f>
        <v/>
      </c>
      <c r="G602">
        <f>Skills!G11*IF(Skills!H11&gt;0,Skills!I11/Skills!H11,1)</f>
        <v/>
      </c>
      <c r="H602">
        <f>1-(1-Skills!J11/100)^Skills!K11</f>
        <v/>
      </c>
      <c r="I602" t="inlineStr">
        <is>
          <t>1</t>
        </is>
      </c>
      <c r="J602">
        <f>((Inputs!$B$6*(1+Inputs!$B$7/100))+(((Inputs!$B$12*(1+Inputs!$B$13/100))-(Inputs!$B$12*(1+Inputs!$B$13/100)))+0.25*(Inputs!$B$14-Inputs!$B$14))*(1+Inputs!$B$7/100))*(F602/100)</f>
        <v/>
      </c>
      <c r="K602">
        <f>J602*(1+((Inputs!$B$12*(1+Inputs!$B$13/100))*0.01+Inputs!$B$14*0.0025)/100)*(1+Inputs!$B$15/100)*(1+Inputs!$B$16/100)*(5000/(6000+Inputs!$B$42*(1-(((1-(1-Inputs!$B$19/100)*(1-1/100))*100)+0)/100)))*(1+(Inputs!$B$24+0+B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603=TRUE,F603,0)/100)*(1+(IF(Skills!A11="BLAST",Inputs!$B$17+((C612=TRUE)*(F612-Calc!F21))+((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MIN(100,((Inputs!$B$9+0+B618+(ArtifactsInput!$M$24-ArtifactsInput!$M$24)*CHOOSE(ArtifactsInput!$N$24+1,10,12,14,16,18,20)+IF(ArtifactsInput!$M$10,CHOOSE(ArtifactsInput!$N$10+1,15,18,21,24,27,30)*(IF(Inputs!$B$38="pvp",MIN(15,15)/15,IF(AND(Inputs!$B$38&lt;&gt;"pvp",Inputs!$B$43&gt;0),MIN(15,Inputs!$B$43)/(Inputs!$B$43),0))),0)))-100),0))*CHOOSE(ArtifactsInput!$N$42+1,0.6,0.72,0.84,0.96,1.08,1.2))),Inputs!$B$18+((C614=TRUE)*(F614-Calc!F23))+(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gt;=100),CHOOSE(ArtifactsInput!$N$42+1,40,48,56,64,72,80),0))))/100)*((1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602)</f>
        <v/>
      </c>
      <c r="L602">
        <f>K602*(MIN(Inputs!$B$22+((C613=TRUE)*(F613-Calc!F22)),(Inputs!$B$23+((C615=TRUE)*(F615-Calc!F24))+(IF(ArtifactsInput!$M$15,CHOOSE(ArtifactsInput!$N$15+1,25,30,35,40,45,50)/100*(Inputs!$B$11-Inputs!$B$11),0))))/100+(Inputs!$B$23+((C615=TRUE)*(F615-Calc!F24))+(IF(ArtifactsInput!$M$15,CHOOSE(ArtifactsInput!$N$15+1,25,30,35,40,45,50)/100*(Inputs!$B$11-Inputs!$B$11),0)))/100)/2</f>
        <v/>
      </c>
      <c r="M602">
        <f>L602*(1+(Inputs!$B$10+0+B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2">
        <f>L602*(1-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602*(MIN((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2">
        <f>(1-Summary!$B$11)*T602+Summary!$B$11*V602</f>
        <v/>
      </c>
      <c r="P602">
        <f>IF(B628=0,0,O602/B628)</f>
        <v/>
      </c>
      <c r="Q602">
        <f>IFERROR(1/(IF(Inputs!$B$38="pvp",15,MAX(0.1,Skills!D11-IF(Skills!E11=TRUE,Inputs!$B$32,0)))*(1-IF(AND(ArtifactsInput!$M$27,Inputs!$B$4="Chapter Hunt"),CHOOSE(ArtifactsInput!$N$27+1,20,24,28,32,36,40),0)/100)),0)</f>
        <v/>
      </c>
      <c r="R602">
        <f>IF(AND(Inputs!$B$38&lt;&gt;"pvp",Inputs!$B$43&gt;0),IF(MAX(0,Inputs!$B$43-B625)&lt;=0,0,(INT(MAX(0,Inputs!$B$43-B625)/(IF(Inputs!$B$38="pvp",15,MAX(0.1,Skills!D11-IF(Skills!E11=TRUE,Inputs!$B$32,0)))*(1-IF(AND(ArtifactsInput!$M$27,Inputs!$B$4="Chapter Hunt"),CHOOSE(ArtifactsInput!$N$27+1,20,24,28,32,36,40),0)/100)))+1)),0)</f>
        <v/>
      </c>
      <c r="S602">
        <f>IFERROR(O602/N602,0)</f>
        <v/>
      </c>
      <c r="T602">
        <f>IF(C602,(H602*N602*IF(AND(Inputs!$B$38&lt;&gt;"pvp",Inputs!$B$43&gt;0),((Skills!G11*((R602-1)*IF(Skills!H11&gt;0,Skills!I11/Skills!H11,1)+IF(Skills!H11&gt;0,MIN(Skills!I11,MAX(0,MAX(0,Inputs!$B$43-B625)-((R602-1)*(IF(Inputs!$B$38="pvp",15,MAX(0.1,Skills!D11-IF(Skills!E11=TRUE,Inputs!$B$32,0)))*(1-IF(AND(ArtifactsInput!$M$27,Inputs!$B$4="Chapter Hunt"),CHOOSE(ArtifactsInput!$N$27+1,20,24,28,32,36,40),0)/100)))))/Skills!H11,1)))/Inputs!$B$43),G602*Q602)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602*(1-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602*(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602*(1-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602*(MIN(100,(Inputs!$B$9+0+B618+(ArtifactsInput!$M$24-ArtifactsInput!$M$24)*CHOOSE(ArtifactsInput!$N$24+1,10,12,14,16,18,20)+(IF(AND(Inputs!$B$38&lt;&gt;"pvp",Inputs!$B$43=0),1,IF(IF(Inputs!$B$38="pvp",15,Inputs!$B$43)-(B625)&lt;=0,1,MAX(0,IF(Inputs!$B$38="pvp",15,Inputs!$B$43)-MAX(5,B625))/(IF(Inputs!$B$38="pvp",15,Inputs!$B$43)-(B625))))*IF(AND(ArtifactsInput!$M$42,((Inputs!$B$9+0+B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02">
        <f>IF(C602,(H602*N602*IF(AND(Inputs!$B$38&lt;&gt;"pvp",Inputs!$B$43&gt;0),((Skills!G11*((R602-1)*IF(Skills!H11&gt;0,Skills!I11/Skills!H11,1)+IF(Skills!H11&gt;0,MIN(Skills!I11,MAX(0,MAX(0,Inputs!$B$43-B625)-((R602-1)*(IF(Inputs!$B$38="pvp",15,MAX(0.1,Skills!D11-IF(Skills!E11=TRUE,Inputs!$B$32,0)))*(1-IF(AND(ArtifactsInput!$M$27,Inputs!$B$4="Chapter Hunt"),CHOOSE(ArtifactsInput!$N$27+1,20,24,28,32,36,40),0)/100)))))/Skills!H11,1)))/Inputs!$B$43),G602*Q602))*IF(Inputs!$B$38="pvp",1,(1+(Inputs!$B$21+Skills!Q11+(IF(ArtifactsInput!$M$33,CHOOSE(ArtifactsInput!$N$33+1,30,36,42,48,54,60),0))+(IF(AND(ArtifactsInput!$M$35,Inputs!$B$4&lt;&gt;"Chapter Hunt"),CHOOSE(ArtifactsInput!$N$35+1,15,18,21,24,27,30)*(1-EXP(-(0.2*B620)*5)),0)+IF(AND(ArtifactsInput!$M$22,Inputs!$B$4&lt;&gt;"Chapter Hunt"),CHOOSE(ArtifactsInput!$N$22+1,10,12,14,16,18,20)*((0*(((0.15*B620*5))^0/1)+1*(((0.15*B620*5))^1/1)+2*(((0.15*B620*5))^2/2)+3*(((0.15*B620*5))^3/6)+4*(((0.15*B620*5))^4/24)+5*(((0.15*B620*5))^5/120))/((((0.15*B620*5))^0/1)+(((0.15*B620*5))^1/1)+(((0.15*B620*5))^2/2)+(((0.15*B620*5))^3/6)+(((0.15*B620*5))^4/24)+(((0.15*B620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3">
      <c r="A603">
        <f>Skills!A12</f>
        <v/>
      </c>
      <c r="B603">
        <f>Skills!B12</f>
        <v/>
      </c>
      <c r="C603">
        <f>Inputs!$B$3&gt;=100</f>
        <v/>
      </c>
      <c r="D603">
        <f>IF(Skills!C12=1,60+Inputs!$B$25+Inputs!$B$29,IF(Skills!C12=2,90+Inputs!$B$26+Inputs!$B$29,IF(Skills!C12=3,120+Inputs!$B$27+Inputs!$B$29,MAX(0,(Inputs!$B$3-100)*3)+Inputs!$B$28+Inputs!$B$29)))</f>
        <v/>
      </c>
      <c r="E603">
        <f>INDEX(FactorTable!$B$2:$Y$301, MATCH(ROUND(MIN(300,MAX(1,D603)),0), FactorTable!$A$2:$A$301,0), Skills!M12+1)</f>
        <v/>
      </c>
      <c r="F603">
        <f>IF(Skills!N12=TRUE,(Skills!L12/10)*(E603/1000),Skills!L12/10)+Skills!O12</f>
        <v/>
      </c>
      <c r="G603" t="inlineStr"/>
      <c r="H603" t="inlineStr"/>
      <c r="I603" t="inlineStr">
        <is>
          <t>1</t>
        </is>
      </c>
      <c r="J603" t="inlineStr"/>
      <c r="K603" t="inlineStr"/>
      <c r="L603" t="inlineStr"/>
      <c r="M603" t="inlineStr"/>
      <c r="N603" t="inlineStr"/>
      <c r="O603" t="inlineStr"/>
      <c r="P603" t="inlineStr"/>
      <c r="Q603" t="inlineStr"/>
      <c r="R603" t="inlineStr"/>
      <c r="S603" t="inlineStr"/>
    </row>
    <row r="604">
      <c r="A604">
        <f>Skills!A13</f>
        <v/>
      </c>
      <c r="B604">
        <f>Skills!B13</f>
        <v/>
      </c>
      <c r="C604">
        <f>Inputs!$B$3&gt;=45</f>
        <v/>
      </c>
      <c r="D604">
        <f>IF(Skills!C13=1,60+Inputs!$B$25+Inputs!$B$29,IF(Skills!C13=2,90+Inputs!$B$26+Inputs!$B$29,IF(Skills!C13=3,120+Inputs!$B$27+Inputs!$B$29,MAX(0,(Inputs!$B$3-100)*3)+Inputs!$B$28+Inputs!$B$29)))</f>
        <v/>
      </c>
      <c r="E604">
        <f>INDEX(FactorTable!$B$2:$Y$301, MATCH(ROUND(MIN(300,MAX(1,D604)),0), FactorTable!$A$2:$A$301,0), Skills!M13+1)</f>
        <v/>
      </c>
      <c r="F604">
        <f>IF(Skills!N13=TRUE,(Skills!L13/10)*(E604/1000),Skills!L13/10)+Skills!O13</f>
        <v/>
      </c>
      <c r="G604">
        <f>Skills!G13*IF(Skills!H13&gt;0,Skills!I13/Skills!H13,1)</f>
        <v/>
      </c>
      <c r="H604">
        <f>1-(1-Skills!J13/100)^Skills!K13</f>
        <v/>
      </c>
      <c r="I604" t="inlineStr">
        <is>
          <t>1</t>
        </is>
      </c>
      <c r="J604" t="inlineStr"/>
      <c r="K604" t="inlineStr"/>
      <c r="L604" t="inlineStr"/>
      <c r="M604" t="inlineStr"/>
      <c r="N604" t="inlineStr"/>
      <c r="O604">
        <f>(1-Summary!$B$11)*T604+Summary!$B$11*V604</f>
        <v/>
      </c>
      <c r="P604">
        <f>IF(B628=0,0,O604/B628)</f>
        <v/>
      </c>
      <c r="Q604" t="n">
        <v>0</v>
      </c>
      <c r="R604" t="n">
        <v>0</v>
      </c>
      <c r="S604">
        <f>IFERROR(O604/N604,0)</f>
        <v/>
      </c>
      <c r="T604" t="n">
        <v>0</v>
      </c>
      <c r="V604" t="n">
        <v>0</v>
      </c>
    </row>
    <row r="605">
      <c r="A605">
        <f>Skills!A14</f>
        <v/>
      </c>
      <c r="B605">
        <f>Skills!B14</f>
        <v/>
      </c>
      <c r="C605">
        <f>Inputs!$B$3&gt;=110</f>
        <v/>
      </c>
      <c r="D605">
        <f>IF(Skills!C14=1,60+Inputs!$B$25+Inputs!$B$29,IF(Skills!C14=2,90+Inputs!$B$26+Inputs!$B$29,IF(Skills!C14=3,120+Inputs!$B$27+Inputs!$B$29,MAX(0,(Inputs!$B$3-100)*3)+Inputs!$B$28+Inputs!$B$29)))</f>
        <v/>
      </c>
      <c r="E605">
        <f>INDEX(FactorTable!$B$2:$Y$301, MATCH(ROUND(MIN(300,MAX(1,D605)),0), FactorTable!$A$2:$A$301,0), Skills!M14+1)</f>
        <v/>
      </c>
      <c r="F605">
        <f>IF(Skills!N14=TRUE,(Skills!L14/10)*(E605/1000),Skills!L14/10)+Skills!O14</f>
        <v/>
      </c>
      <c r="G605">
        <f>Skills!G14*IF(Skills!H14&gt;0,Skills!I14/Skills!H14,1)</f>
        <v/>
      </c>
      <c r="H605">
        <f>1-(1-Skills!J14/100)^Skills!K14</f>
        <v/>
      </c>
      <c r="I605" t="inlineStr">
        <is>
          <t>1</t>
        </is>
      </c>
      <c r="J605" t="inlineStr"/>
      <c r="K605" t="inlineStr"/>
      <c r="L605" t="inlineStr"/>
      <c r="M605" t="inlineStr"/>
      <c r="N605" t="inlineStr"/>
      <c r="O605">
        <f>(1-Summary!$B$11)*T605+Summary!$B$11*V605</f>
        <v/>
      </c>
      <c r="P605">
        <f>IF(B628=0,0,O605/B628)</f>
        <v/>
      </c>
      <c r="Q605" t="n">
        <v>0</v>
      </c>
      <c r="R605" t="n">
        <v>0</v>
      </c>
      <c r="S605">
        <f>IFERROR(O605/N605,0)</f>
        <v/>
      </c>
      <c r="T605" t="n">
        <v>0</v>
      </c>
      <c r="V605" t="n">
        <v>0</v>
      </c>
    </row>
    <row r="606">
      <c r="A606">
        <f>Skills!A15</f>
        <v/>
      </c>
      <c r="B606">
        <f>Skills!B15</f>
        <v/>
      </c>
      <c r="C606">
        <f>Inputs!$B$3&gt;=75</f>
        <v/>
      </c>
      <c r="D606">
        <f>IF(Skills!C15=1,60+Inputs!$B$25+Inputs!$B$29,IF(Skills!C15=2,90+Inputs!$B$26+Inputs!$B$29,IF(Skills!C15=3,120+Inputs!$B$27+Inputs!$B$29,MAX(0,(Inputs!$B$3-100)*3)+Inputs!$B$28+Inputs!$B$29)))</f>
        <v/>
      </c>
      <c r="E606">
        <f>INDEX(FactorTable!$B$2:$Y$301, MATCH(ROUND(MIN(300,MAX(1,D606)),0), FactorTable!$A$2:$A$301,0), Skills!M15+1)</f>
        <v/>
      </c>
      <c r="F606">
        <f>IF(Skills!N15=TRUE,(Skills!L15/10)*(E606/1000),Skills!L15/10)+Skills!O15</f>
        <v/>
      </c>
      <c r="G606">
        <f>Skills!G15*IF(Skills!H15&gt;0,Skills!I15/Skills!H15,1)</f>
        <v/>
      </c>
      <c r="H606">
        <f>1-(1-Skills!J15/100)^Skills!K15</f>
        <v/>
      </c>
      <c r="I606" t="inlineStr">
        <is>
          <t>1</t>
        </is>
      </c>
      <c r="J606" t="inlineStr"/>
      <c r="K606" t="inlineStr"/>
      <c r="L606" t="inlineStr"/>
      <c r="M606" t="inlineStr"/>
      <c r="N606" t="inlineStr"/>
      <c r="O606">
        <f>(1-Summary!$B$11)*T606+Summary!$B$11*V606</f>
        <v/>
      </c>
      <c r="P606">
        <f>IF(B628=0,0,O606/B628)</f>
        <v/>
      </c>
      <c r="Q606">
        <f>IFERROR(1/(IF(Inputs!$B$38="pvp",15,MAX(0.1,Skills!D15-IF(Skills!E15=TRUE,Inputs!$B$32,0)))*(1-IF(AND(ArtifactsInput!$M$27,Inputs!$B$4="Chapter Hunt"),CHOOSE(ArtifactsInput!$N$27+1,20,24,28,32,36,40),0)/100)),0)</f>
        <v/>
      </c>
      <c r="R606">
        <f>IF(AND(Inputs!$B$38&lt;&gt;"pvp",Inputs!$B$43&gt;0),IF(Inputs!$B$43&lt;=0,0,(INT(Inputs!$B$43/(IF(Inputs!$B$38="pvp",15,MAX(0.1,Skills!D15-IF(Skills!E15=TRUE,Inputs!$B$32,0)))*(1-IF(AND(ArtifactsInput!$M$27,Inputs!$B$4="Chapter Hunt"),CHOOSE(ArtifactsInput!$N$27+1,20,24,28,32,36,40),0)/100)))+1)),0)</f>
        <v/>
      </c>
      <c r="S606">
        <f>IFERROR(O606/N606,0)</f>
        <v/>
      </c>
      <c r="T606" t="n">
        <v>0</v>
      </c>
      <c r="V606" t="n">
        <v>0</v>
      </c>
    </row>
    <row r="607">
      <c r="A607">
        <f>Skills!A16</f>
        <v/>
      </c>
      <c r="B607">
        <f>Skills!B16</f>
        <v/>
      </c>
      <c r="C607">
        <f>Inputs!$B$3&gt;=105</f>
        <v/>
      </c>
      <c r="D607">
        <f>IF(Skills!C16=1,60+Inputs!$B$25+Inputs!$B$29,IF(Skills!C16=2,90+Inputs!$B$26+Inputs!$B$29,IF(Skills!C16=3,120+Inputs!$B$27+Inputs!$B$29,MAX(0,(Inputs!$B$3-100)*3)+Inputs!$B$28+Inputs!$B$29)))</f>
        <v/>
      </c>
      <c r="E607">
        <f>INDEX(FactorTable!$B$2:$Y$301, MATCH(ROUND(MIN(300,MAX(1,D607)),0), FactorTable!$A$2:$A$301,0), Skills!M16+1)</f>
        <v/>
      </c>
      <c r="F607">
        <f>IF(Skills!N16=TRUE,(Skills!L16/10)*(E607/1000),Skills!L16/10)+Skills!O16</f>
        <v/>
      </c>
      <c r="G607">
        <f>Skills!G16*IF(Skills!H16&gt;0,Skills!I16/Skills!H16,1)</f>
        <v/>
      </c>
      <c r="H607">
        <f>1-(1-Skills!J16/100)^Skills!K16</f>
        <v/>
      </c>
      <c r="I607" t="inlineStr">
        <is>
          <t>1</t>
        </is>
      </c>
      <c r="J607" t="inlineStr"/>
      <c r="K607" t="inlineStr"/>
      <c r="L607" t="inlineStr"/>
      <c r="M607" t="inlineStr"/>
      <c r="N607" t="inlineStr"/>
      <c r="O607">
        <f>(1-Summary!$B$11)*T607+Summary!$B$11*V607</f>
        <v/>
      </c>
      <c r="P607">
        <f>IF(B628=0,0,O607/B628)</f>
        <v/>
      </c>
      <c r="Q607">
        <f>IFERROR(1/(IF(Inputs!$B$38="pvp",15,MAX(0.1,Skills!D16-IF(Skills!E16=TRUE,Inputs!$B$32,0)))*(1-IF(AND(ArtifactsInput!$M$27,Inputs!$B$4="Chapter Hunt"),CHOOSE(ArtifactsInput!$N$27+1,20,24,28,32,36,40),0)/100)),0)</f>
        <v/>
      </c>
      <c r="R607">
        <f>IF(AND(Inputs!$B$38&lt;&gt;"pvp",Inputs!$B$43&gt;0),IF(Inputs!$B$43&lt;=0,0,(INT(Inputs!$B$43/(IF(Inputs!$B$38="pvp",15,MAX(0.1,Skills!D16-IF(Skills!E16=TRUE,Inputs!$B$32,0)))*(1-IF(AND(ArtifactsInput!$M$27,Inputs!$B$4="Chapter Hunt"),CHOOSE(ArtifactsInput!$N$27+1,20,24,28,32,36,40),0)/100)))+1)),0)</f>
        <v/>
      </c>
      <c r="S607">
        <f>IFERROR(O607/N607,0)</f>
        <v/>
      </c>
      <c r="T607" t="n">
        <v>0</v>
      </c>
      <c r="V607" t="n">
        <v>0</v>
      </c>
    </row>
    <row r="608">
      <c r="A608">
        <f>Skills!A17</f>
        <v/>
      </c>
      <c r="B608">
        <f>Skills!B17</f>
        <v/>
      </c>
      <c r="C608">
        <f>Inputs!$B$3&gt;=115</f>
        <v/>
      </c>
      <c r="D608">
        <f>IF(Skills!C17=1,60+Inputs!$B$25+Inputs!$B$29,IF(Skills!C17=2,90+Inputs!$B$26+Inputs!$B$29,IF(Skills!C17=3,120+Inputs!$B$27+Inputs!$B$29,MAX(0,(Inputs!$B$3-100)*3)+Inputs!$B$28+Inputs!$B$29)))</f>
        <v/>
      </c>
      <c r="E608">
        <f>INDEX(FactorTable!$B$2:$Y$301, MATCH(ROUND(MIN(300,MAX(1,D608)),0), FactorTable!$A$2:$A$301,0), Skills!M17+1)</f>
        <v/>
      </c>
      <c r="F608">
        <f>IF(Skills!N17=TRUE,(Skills!L17/10)*(E608/1000),Skills!L17/10)+Skills!O17</f>
        <v/>
      </c>
      <c r="G608">
        <f>Skills!G17*IF(Skills!H17&gt;0,Skills!I17/Skills!H17,1)</f>
        <v/>
      </c>
      <c r="H608">
        <f>1-(1-Skills!J17/100)^Skills!K17</f>
        <v/>
      </c>
      <c r="I608" t="inlineStr">
        <is>
          <t>1</t>
        </is>
      </c>
      <c r="J608" t="inlineStr"/>
      <c r="K608" t="inlineStr"/>
      <c r="L608" t="inlineStr"/>
      <c r="M608" t="inlineStr"/>
      <c r="N608" t="inlineStr"/>
      <c r="O608">
        <f>(1-Summary!$B$11)*T608+Summary!$B$11*V608</f>
        <v/>
      </c>
      <c r="P608">
        <f>IF(B628=0,0,O608/B628)</f>
        <v/>
      </c>
      <c r="Q608">
        <f>IFERROR(1/(IF(Inputs!$B$38="pvp",15,MAX(0.1,Skills!D17-IF(Skills!E17=TRUE,Inputs!$B$32,0)))*(1-IF(AND(ArtifactsInput!$M$27,Inputs!$B$4="Chapter Hunt"),CHOOSE(ArtifactsInput!$N$27+1,20,24,28,32,36,40),0)/100)),0)</f>
        <v/>
      </c>
      <c r="R608">
        <f>IF(AND(Inputs!$B$38&lt;&gt;"pvp",Inputs!$B$43&gt;0),IF(Inputs!$B$43&lt;=0,0,(INT(Inputs!$B$43/(IF(Inputs!$B$38="pvp",15,MAX(0.1,Skills!D17-IF(Skills!E17=TRUE,Inputs!$B$32,0)))*(1-IF(AND(ArtifactsInput!$M$27,Inputs!$B$4="Chapter Hunt"),CHOOSE(ArtifactsInput!$N$27+1,20,24,28,32,36,40),0)/100)))+1)),0)</f>
        <v/>
      </c>
      <c r="S608">
        <f>IFERROR(O608/N608,0)</f>
        <v/>
      </c>
      <c r="T608" t="n">
        <v>0</v>
      </c>
      <c r="V608" t="n">
        <v>0</v>
      </c>
    </row>
    <row r="609">
      <c r="A609">
        <f>Skills!A18</f>
        <v/>
      </c>
      <c r="B609">
        <f>Skills!B18</f>
        <v/>
      </c>
      <c r="C609">
        <f>Inputs!$B$3&gt;=74</f>
        <v/>
      </c>
      <c r="D609">
        <f>IF(Skills!C18=1,60+Inputs!$B$25+Inputs!$B$29,IF(Skills!C18=2,90+Inputs!$B$26+Inputs!$B$29,IF(Skills!C18=3,120+Inputs!$B$27+Inputs!$B$29,MAX(0,(Inputs!$B$3-100)*3)+Inputs!$B$28+Inputs!$B$29)))</f>
        <v/>
      </c>
      <c r="E609">
        <f>INDEX(FactorTable!$B$2:$Y$301, MATCH(ROUND(MIN(300,MAX(1,D609)),0), FactorTable!$A$2:$A$301,0), Skills!M18+1)</f>
        <v/>
      </c>
      <c r="F609">
        <f>IF(Skills!N18=TRUE,(Skills!L18/10)*(E609/1000),Skills!L18/10)+Skills!O18</f>
        <v/>
      </c>
      <c r="G609">
        <f>Skills!G18*IF(Skills!H18&gt;0,Skills!I18/Skills!H18,1)</f>
        <v/>
      </c>
      <c r="H609">
        <f>1-(1-Skills!J18/100)^Skills!K18</f>
        <v/>
      </c>
      <c r="I609" t="inlineStr">
        <is>
          <t>1</t>
        </is>
      </c>
      <c r="J609" t="inlineStr"/>
      <c r="K609" t="inlineStr"/>
      <c r="L609" t="inlineStr"/>
      <c r="M609" t="inlineStr"/>
      <c r="N609" t="inlineStr"/>
      <c r="O609">
        <f>(1-Summary!$B$11)*T609+Summary!$B$11*V609</f>
        <v/>
      </c>
      <c r="P609">
        <f>IF(B628=0,0,O609/B628)</f>
        <v/>
      </c>
      <c r="Q609">
        <f>IFERROR(1/(IF(Inputs!$B$38="pvp",15,MAX(0.1,Skills!D18-IF(Skills!E18=TRUE,Inputs!$B$32,0)))*(1-IF(AND(ArtifactsInput!$M$27,Inputs!$B$4="Chapter Hunt"),CHOOSE(ArtifactsInput!$N$27+1,20,24,28,32,36,40),0)/100)),0)</f>
        <v/>
      </c>
      <c r="R609">
        <f>IF(AND(Inputs!$B$38&lt;&gt;"pvp",Inputs!$B$43&gt;0),IF(Inputs!$B$43&lt;=0,0,(INT(Inputs!$B$43/(IF(Inputs!$B$38="pvp",15,MAX(0.1,Skills!D18-IF(Skills!E18=TRUE,Inputs!$B$32,0)))*(1-IF(AND(ArtifactsInput!$M$27,Inputs!$B$4="Chapter Hunt"),CHOOSE(ArtifactsInput!$N$27+1,20,24,28,32,36,40),0)/100)))+1)),0)</f>
        <v/>
      </c>
      <c r="S609">
        <f>IFERROR(O609/N609,0)</f>
        <v/>
      </c>
      <c r="T609" t="n">
        <v>0</v>
      </c>
      <c r="V609" t="n">
        <v>0</v>
      </c>
    </row>
    <row r="610">
      <c r="A610">
        <f>Skills!A19</f>
        <v/>
      </c>
      <c r="B610">
        <f>Skills!B19</f>
        <v/>
      </c>
      <c r="C610">
        <f>TRUE</f>
        <v/>
      </c>
      <c r="D610">
        <f>IF(Skills!C19=1,60+Inputs!$B$25+Inputs!$B$29,IF(Skills!C19=2,90+Inputs!$B$26+Inputs!$B$29,IF(Skills!C19=3,120+Inputs!$B$27+Inputs!$B$29,MAX(0,(Inputs!$B$3-100)*3)+Inputs!$B$28+Inputs!$B$29)))</f>
        <v/>
      </c>
      <c r="E610">
        <f>INDEX(FactorTable!$B$2:$Y$301, MATCH(ROUND(MIN(300,MAX(1,D610)),0), FactorTable!$A$2:$A$301,0), Skills!M19+1)</f>
        <v/>
      </c>
      <c r="F610">
        <f>IF(Skills!N19=TRUE,(Skills!L19/10)*(E610/1000),Skills!L19/10)+Skills!O19</f>
        <v/>
      </c>
      <c r="G610">
        <f>Skills!G19*IF(Skills!H19&gt;0,Skills!I19/Skills!H19,1)</f>
        <v/>
      </c>
      <c r="H610">
        <f>1-(1-Skills!J19/100)^Skills!K19</f>
        <v/>
      </c>
      <c r="I610" t="inlineStr">
        <is>
          <t>1</t>
        </is>
      </c>
      <c r="J610" t="inlineStr"/>
      <c r="K610" t="inlineStr"/>
      <c r="L610" t="inlineStr"/>
      <c r="M610" t="inlineStr"/>
      <c r="N610" t="inlineStr"/>
      <c r="O610">
        <f>(1-Summary!$B$11)*T610+Summary!$B$11*V610</f>
        <v/>
      </c>
      <c r="P610">
        <f>IF(B628=0,0,O610/B628)</f>
        <v/>
      </c>
      <c r="Q610">
        <f>IFERROR(1/(IF(Inputs!$B$38="pvp",15,MAX(0.1,Skills!D19-IF(Skills!E19=TRUE,Inputs!$B$32,0)))*(1-IF(AND(ArtifactsInput!$M$27,Inputs!$B$4="Chapter Hunt"),CHOOSE(ArtifactsInput!$N$27+1,20,24,28,32,36,40),0)/100)),0)</f>
        <v/>
      </c>
      <c r="R610">
        <f>IF(AND(Inputs!$B$38&lt;&gt;"pvp",Inputs!$B$43&gt;0),IF(Inputs!$B$43&lt;=0,0,(INT(Inputs!$B$43/(IF(Inputs!$B$38="pvp",15,MAX(0.1,Skills!D19-IF(Skills!E19=TRUE,Inputs!$B$32,0)))*(1-IF(AND(ArtifactsInput!$M$27,Inputs!$B$4="Chapter Hunt"),CHOOSE(ArtifactsInput!$N$27+1,20,24,28,32,36,40),0)/100)))+1)),0)</f>
        <v/>
      </c>
      <c r="S610">
        <f>IFERROR(O610/N610,0)</f>
        <v/>
      </c>
      <c r="T610" t="n">
        <v>0</v>
      </c>
      <c r="V610" t="n">
        <v>0</v>
      </c>
    </row>
    <row r="611">
      <c r="A611">
        <f>Skills!A20</f>
        <v/>
      </c>
      <c r="B611">
        <f>Skills!B20</f>
        <v/>
      </c>
      <c r="C611">
        <f>Inputs!$B$3&gt;=33</f>
        <v/>
      </c>
      <c r="D611">
        <f>IF(Skills!C20=1,60+Inputs!$B$25+Inputs!$B$29,IF(Skills!C20=2,90+Inputs!$B$26+Inputs!$B$29,IF(Skills!C20=3,120+Inputs!$B$27+Inputs!$B$29,MAX(0,(Inputs!$B$3-100)*3)+Inputs!$B$28+Inputs!$B$29)))</f>
        <v/>
      </c>
      <c r="E611">
        <f>INDEX(FactorTable!$B$2:$Y$301, MATCH(ROUND(MIN(300,MAX(1,D611)),0), FactorTable!$A$2:$A$301,0), Skills!M20+1)</f>
        <v/>
      </c>
      <c r="F611">
        <f>IF(Skills!N20=TRUE,(Skills!L20/10)*(E611/1000),Skills!L20/10)+Skills!O20</f>
        <v/>
      </c>
      <c r="G611">
        <f>Skills!G20*IF(Skills!H20&gt;0,Skills!I20/Skills!H20,1)</f>
        <v/>
      </c>
      <c r="H611">
        <f>1-(1-Skills!J20/100)^Skills!K20</f>
        <v/>
      </c>
      <c r="I611" t="inlineStr">
        <is>
          <t>1</t>
        </is>
      </c>
      <c r="J611" t="inlineStr"/>
      <c r="K611" t="inlineStr"/>
      <c r="L611" t="inlineStr"/>
      <c r="M611" t="inlineStr"/>
      <c r="N611" t="inlineStr"/>
      <c r="O611">
        <f>(1-Summary!$B$11)*T611+Summary!$B$11*V611</f>
        <v/>
      </c>
      <c r="P611">
        <f>IF(B628=0,0,O611/B628)</f>
        <v/>
      </c>
      <c r="Q611" t="n">
        <v>0</v>
      </c>
      <c r="R611" t="n">
        <v>0</v>
      </c>
      <c r="S611">
        <f>IFERROR(O611/N611,0)</f>
        <v/>
      </c>
      <c r="T611" t="n">
        <v>0</v>
      </c>
      <c r="V611" t="n">
        <v>0</v>
      </c>
    </row>
    <row r="612">
      <c r="A612">
        <f>Skills!A21</f>
        <v/>
      </c>
      <c r="B612">
        <f>Skills!B21</f>
        <v/>
      </c>
      <c r="C612">
        <f>Inputs!$B$3&gt;=38</f>
        <v/>
      </c>
      <c r="D612">
        <f>IF(Skills!C21=1,60+Inputs!$B$25+Inputs!$B$29,IF(Skills!C21=2,90+Inputs!$B$26+Inputs!$B$29,IF(Skills!C21=3,120+Inputs!$B$27+Inputs!$B$29,MAX(0,(Inputs!$B$3-100)*3)+Inputs!$B$28+Inputs!$B$29)))</f>
        <v/>
      </c>
      <c r="E612">
        <f>INDEX(FactorTable!$B$2:$Y$301, MATCH(ROUND(MIN(300,MAX(1,D612)),0), FactorTable!$A$2:$A$301,0), Skills!M21+1)</f>
        <v/>
      </c>
      <c r="F612">
        <f>IF(Skills!N21=TRUE,(Skills!L21/10)*(E612/1000),Skills!L21/10)+Skills!O21</f>
        <v/>
      </c>
      <c r="G612">
        <f>Skills!G21*IF(Skills!H21&gt;0,Skills!I21/Skills!H21,1)</f>
        <v/>
      </c>
      <c r="H612">
        <f>1-(1-Skills!J21/100)^Skills!K21</f>
        <v/>
      </c>
      <c r="I612" t="inlineStr">
        <is>
          <t>1</t>
        </is>
      </c>
      <c r="J612" t="inlineStr"/>
      <c r="K612" t="inlineStr"/>
      <c r="L612" t="inlineStr"/>
      <c r="M612" t="inlineStr"/>
      <c r="N612" t="inlineStr"/>
      <c r="O612">
        <f>(1-Summary!$B$11)*T612+Summary!$B$11*V612</f>
        <v/>
      </c>
      <c r="P612">
        <f>IF(B628=0,0,O612/B628)</f>
        <v/>
      </c>
      <c r="Q612" t="n">
        <v>0</v>
      </c>
      <c r="R612" t="n">
        <v>0</v>
      </c>
      <c r="S612">
        <f>IFERROR(O612/N612,0)</f>
        <v/>
      </c>
      <c r="T612" t="n">
        <v>0</v>
      </c>
      <c r="V612" t="n">
        <v>0</v>
      </c>
    </row>
    <row r="613">
      <c r="A613">
        <f>Skills!A22</f>
        <v/>
      </c>
      <c r="B613">
        <f>Skills!B22</f>
        <v/>
      </c>
      <c r="C613">
        <f>Inputs!$B$3&gt;=43</f>
        <v/>
      </c>
      <c r="D613">
        <f>IF(Skills!C22=1,60+Inputs!$B$25+Inputs!$B$29,IF(Skills!C22=2,90+Inputs!$B$26+Inputs!$B$29,IF(Skills!C22=3,120+Inputs!$B$27+Inputs!$B$29,MAX(0,(Inputs!$B$3-100)*3)+Inputs!$B$28+Inputs!$B$29)))</f>
        <v/>
      </c>
      <c r="E613">
        <f>INDEX(FactorTable!$B$2:$Y$301, MATCH(ROUND(MIN(300,MAX(1,D613)),0), FactorTable!$A$2:$A$301,0), Skills!M22+1)</f>
        <v/>
      </c>
      <c r="F613">
        <f>IF(Skills!N22=TRUE,(Skills!L22/10)*(E613/1000),Skills!L22/10)+Skills!O22</f>
        <v/>
      </c>
      <c r="G613">
        <f>Skills!G22*IF(Skills!H22&gt;0,Skills!I22/Skills!H22,1)</f>
        <v/>
      </c>
      <c r="H613">
        <f>1-(1-Skills!J22/100)^Skills!K22</f>
        <v/>
      </c>
      <c r="I613" t="inlineStr">
        <is>
          <t>1</t>
        </is>
      </c>
      <c r="J613" t="inlineStr"/>
      <c r="K613" t="inlineStr"/>
      <c r="L613" t="inlineStr"/>
      <c r="M613" t="inlineStr"/>
      <c r="N613" t="inlineStr"/>
      <c r="O613">
        <f>(1-Summary!$B$11)*T613+Summary!$B$11*V613</f>
        <v/>
      </c>
      <c r="P613">
        <f>IF(B628=0,0,O613/B628)</f>
        <v/>
      </c>
      <c r="Q613" t="n">
        <v>0</v>
      </c>
      <c r="R613" t="n">
        <v>0</v>
      </c>
      <c r="S613">
        <f>IFERROR(O613/N613,0)</f>
        <v/>
      </c>
      <c r="T613" t="n">
        <v>0</v>
      </c>
      <c r="V613" t="n">
        <v>0</v>
      </c>
    </row>
    <row r="614">
      <c r="A614">
        <f>Skills!A23</f>
        <v/>
      </c>
      <c r="B614">
        <f>Skills!B23</f>
        <v/>
      </c>
      <c r="C614">
        <f>Inputs!$B$3&gt;=120</f>
        <v/>
      </c>
      <c r="D614">
        <f>IF(Skills!C23=1,60+Inputs!$B$25+Inputs!$B$29,IF(Skills!C23=2,90+Inputs!$B$26+Inputs!$B$29,IF(Skills!C23=3,120+Inputs!$B$27+Inputs!$B$29,MAX(0,(Inputs!$B$3-100)*3)+Inputs!$B$28+Inputs!$B$29)))</f>
        <v/>
      </c>
      <c r="E614">
        <f>INDEX(FactorTable!$B$2:$Y$301, MATCH(ROUND(MIN(300,MAX(1,D614)),0), FactorTable!$A$2:$A$301,0), Skills!M23+1)</f>
        <v/>
      </c>
      <c r="F614">
        <f>IF(Skills!N23=TRUE,(Skills!L23/10)*(E614/1000),Skills!L23/10)+Skills!O23</f>
        <v/>
      </c>
      <c r="G614">
        <f>Skills!G23*IF(Skills!H23&gt;0,Skills!I23/Skills!H23,1)</f>
        <v/>
      </c>
      <c r="H614">
        <f>1-(1-Skills!J23/100)^Skills!K23</f>
        <v/>
      </c>
      <c r="I614" t="inlineStr">
        <is>
          <t>1</t>
        </is>
      </c>
      <c r="J614" t="inlineStr"/>
      <c r="K614" t="inlineStr"/>
      <c r="L614" t="inlineStr"/>
      <c r="M614" t="inlineStr"/>
      <c r="N614" t="inlineStr"/>
      <c r="O614">
        <f>(1-Summary!$B$11)*T614+Summary!$B$11*V614</f>
        <v/>
      </c>
      <c r="P614">
        <f>IF(B628=0,0,O614/B628)</f>
        <v/>
      </c>
      <c r="Q614" t="n">
        <v>0</v>
      </c>
      <c r="R614" t="n">
        <v>0</v>
      </c>
      <c r="S614">
        <f>IFERROR(O614/N614,0)</f>
        <v/>
      </c>
      <c r="T614" t="n">
        <v>0</v>
      </c>
      <c r="V614" t="n">
        <v>0</v>
      </c>
    </row>
    <row r="615">
      <c r="A615">
        <f>Skills!A24</f>
        <v/>
      </c>
      <c r="B615">
        <f>Skills!B24</f>
        <v/>
      </c>
      <c r="C615">
        <f>Inputs!$B$3&gt;=120</f>
        <v/>
      </c>
      <c r="D615">
        <f>IF(Skills!C24=1,60+Inputs!$B$25+Inputs!$B$29,IF(Skills!C24=2,90+Inputs!$B$26+Inputs!$B$29,IF(Skills!C24=3,120+Inputs!$B$27+Inputs!$B$29,MAX(0,(Inputs!$B$3-100)*3)+Inputs!$B$28+Inputs!$B$29)))</f>
        <v/>
      </c>
      <c r="E615">
        <f>INDEX(FactorTable!$B$2:$Y$301, MATCH(ROUND(MIN(300,MAX(1,D615)),0), FactorTable!$A$2:$A$301,0), Skills!M24+1)</f>
        <v/>
      </c>
      <c r="F615">
        <f>IF(Skills!N24=TRUE,(Skills!L24/10)*(E615/1000),Skills!L24/10)+Skills!O24</f>
        <v/>
      </c>
      <c r="G615">
        <f>Skills!G24*IF(Skills!H24&gt;0,Skills!I24/Skills!H24,1)</f>
        <v/>
      </c>
      <c r="H615">
        <f>1-(1-Skills!J24/100)^Skills!K24</f>
        <v/>
      </c>
      <c r="I615" t="inlineStr">
        <is>
          <t>1</t>
        </is>
      </c>
      <c r="J615" t="inlineStr"/>
      <c r="K615" t="inlineStr"/>
      <c r="L615" t="inlineStr"/>
      <c r="M615" t="inlineStr"/>
      <c r="N615" t="inlineStr"/>
      <c r="O615">
        <f>(1-Summary!$B$11)*T615+Summary!$B$11*V615</f>
        <v/>
      </c>
      <c r="P615">
        <f>IF(B628=0,0,O615/B628)</f>
        <v/>
      </c>
      <c r="Q615" t="n">
        <v>0</v>
      </c>
      <c r="R615" t="n">
        <v>0</v>
      </c>
      <c r="S615">
        <f>IFERROR(O615/N615,0)</f>
        <v/>
      </c>
      <c r="T615" t="n">
        <v>0</v>
      </c>
      <c r="V615" t="n">
        <v>0</v>
      </c>
    </row>
    <row r="617">
      <c r="A617" t="inlineStr">
        <is>
          <t>Attack% Bucket Multiplier</t>
        </is>
      </c>
      <c r="B617">
        <f>(1+(((C604=TRUE)*F604*MIN(1,Skills!T13*(Skills!J13/100)*B622))+((C609=TRUE)*F609*IF(AND(Inputs!$B$38&lt;&gt;"pvp",Inputs!$B$43&gt;0),(((R609-1)*(Skills!T18*(1+Inputs!$B$34/100))+MIN((Skills!T18*(1+Inputs!$B$34/100)),MAX(0,Inputs!$B$43-((R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18">
      <c r="A618" t="inlineStr">
        <is>
          <t>Global Crit Rate Bonus %</t>
        </is>
      </c>
      <c r="B618" t="n">
        <v>0</v>
      </c>
    </row>
    <row r="619">
      <c r="A619" t="inlineStr">
        <is>
          <t>Attack Speed Buff Bonus %</t>
        </is>
      </c>
      <c r="B619">
        <f>((C610=TRUE)*F610*IF(AND(Inputs!$B$38&lt;&gt;"pvp",Inputs!$B$43&gt;0),(((R610-1)*(Skills!T19*(1+Inputs!$B$34/100))+MIN((Skills!T19*(1+Inputs!$B$34/100)),MAX(0,Inputs!$B$43-((R610-1)*Skills!D19))))/Inputs!$B$43),IF(Inputs!$B$38="pvp",MIN((Skills!T19*(1+Inputs!$B$34/100)),15)/15,(Skills!T19*(1+Inputs!$B$34/100))/Skills!D19)))</f>
        <v/>
      </c>
    </row>
    <row r="620">
      <c r="A620" t="inlineStr">
        <is>
          <t>Actions Per Second</t>
        </is>
      </c>
      <c r="B620">
        <f>1+MIN(150,150*(1-(1-(Inputs!$B$11+((C611=TRUE)*(F611-Calc!F20)))/150)*(1-B619/150)))/100</f>
        <v/>
      </c>
    </row>
    <row r="621">
      <c r="A621" t="inlineStr">
        <is>
          <t>Skill + Buff Cast Rate</t>
        </is>
      </c>
      <c r="B621">
        <f>IF(AND(Inputs!$B$38&lt;&gt;"pvp",Inputs!$B$43&gt;0),SUMPRODUCT((Skills!E2:E24=TRUE)*(C593:C615=TRUE)*R593:R615*Skills!F2:F24)/Inputs!$B$43,SUMPRODUCT((Skills!E2:E24=TRUE)*(C593:C615=TRUE)*Q593:Q615*Skills!F2:F24))</f>
        <v/>
      </c>
    </row>
    <row r="622">
      <c r="A622" t="inlineStr">
        <is>
          <t>Blast Casts Per Second</t>
        </is>
      </c>
      <c r="B622">
        <f>MAX(0,B620-B621)</f>
        <v/>
      </c>
    </row>
    <row r="623">
      <c r="A623" t="inlineStr">
        <is>
          <t>Global Critical Damage Bonus % (unused)</t>
        </is>
      </c>
      <c r="B623" t="n">
        <v>0</v>
      </c>
    </row>
    <row r="624">
      <c r="A624" t="inlineStr">
        <is>
          <t>Global Final Damage Bonus % (Divine Shield + Guardian + Divine Blessing + Greater Vessel of Light)</t>
        </is>
      </c>
      <c r="B624">
        <f>((C606=TRUE)*F606*IF(AND(Inputs!$B$38&lt;&gt;"pvp",Inputs!$B$43&gt;0),(((R606-1)*(Skills!T15*(1+Inputs!$B$34/100))+MIN((Skills!T15*(1+Inputs!$B$34/100)),MAX(0,Inputs!$B$43-((R606-1)*Skills!D15))))/Inputs!$B$43),IF(Inputs!$B$38="pvp",MIN((Skills!T15*(1+Inputs!$B$34/100)),15)/15,(Skills!T15*(1+Inputs!$B$34/100))/Skills!D15)))+((C607=TRUE)*F607*IF(AND(Inputs!$B$38&lt;&gt;"pvp",Inputs!$B$43&gt;0),(((R607-1)*(Skills!T16*(1+Inputs!$B$34/100))+MIN((Skills!T16*(1+Inputs!$B$34/100)),MAX(0,Inputs!$B$43-((R607-1)*Skills!D16))))/Inputs!$B$43),IF(Inputs!$B$38="pvp",MIN((Skills!T16*(1+Inputs!$B$34/100)),15)/15,(Skills!T16*(1+Inputs!$B$34/100))/Skills!D16)))+((C608=TRUE)*F608*IF(AND(Inputs!$B$38&lt;&gt;"pvp",Inputs!$B$43&gt;0),(((R608-1)*(Skills!T17*(1+Inputs!$B$34/100))+MIN((Skills!T17*(1+Inputs!$B$34/100)),MAX(0,Inputs!$B$43-((R608-1)*Skills!D17))))/Inputs!$B$43),IF(Inputs!$B$38="pvp",MIN((Skills!T17*(1+Inputs!$B$34/100)),15)/15,(Skills!T17*(1+Inputs!$B$34/100))/Skills!D17)))+((C605=TRUE)*F605*MIN(1,Skills!T13*(Skills!J13/100)*B622))</f>
        <v/>
      </c>
    </row>
    <row r="625">
      <c r="A625" t="inlineStr">
        <is>
          <t>Buff-Casting Startup Delay (s, fixed-duration only)</t>
        </is>
      </c>
      <c r="B625">
        <f>IF(AND(Inputs!$B$38&lt;&gt;"pvp",Inputs!$B$43&gt;0),SUMPRODUCT((Skills!T2:T24&gt;0)*(Skills!E2:E24=TRUE)*(C593:C615=TRUE))/B620,0)</f>
        <v/>
      </c>
    </row>
    <row r="626">
      <c r="A626" t="inlineStr">
        <is>
          <t>Boss-Only Total DPS (this block's swept value)</t>
        </is>
      </c>
      <c r="B626">
        <f>SUM(T593:T615)</f>
        <v/>
      </c>
    </row>
    <row r="627">
      <c r="A627" t="inlineStr">
        <is>
          <t>Normal-Only Total DPS (this block's swept value)</t>
        </is>
      </c>
      <c r="B627">
        <f>SUM(V593:V615)</f>
        <v/>
      </c>
    </row>
    <row r="628">
      <c r="A628" s="6" t="inlineStr">
        <is>
          <t>TOTAL DPS</t>
        </is>
      </c>
      <c r="B628" s="6">
        <f>SUM(O593:O615)</f>
        <v/>
      </c>
    </row>
    <row r="631">
      <c r="A631" s="6" t="inlineStr">
        <is>
          <t>Stat: BASIC_ATTACK_DAMAGE %</t>
        </is>
      </c>
    </row>
    <row r="632">
      <c r="A632" s="5" t="inlineStr">
        <is>
          <t>Key</t>
        </is>
      </c>
      <c r="B632" s="5" t="inlineStr">
        <is>
          <t>Name</t>
        </is>
      </c>
      <c r="C632" s="5" t="inlineStr">
        <is>
          <t>Unlocked</t>
        </is>
      </c>
      <c r="D632" s="5" t="inlineStr">
        <is>
          <t>InputLevel</t>
        </is>
      </c>
      <c r="E632" s="5" t="inlineStr">
        <is>
          <t>Factor</t>
        </is>
      </c>
      <c r="F632" s="5" t="inlineStr">
        <is>
          <t>CoefficientPercent</t>
        </is>
      </c>
      <c r="G632" s="5" t="inlineStr">
        <is>
          <t>EffectiveHits</t>
        </is>
      </c>
      <c r="H632" s="5" t="inlineStr">
        <is>
          <t>ProcProbability</t>
        </is>
      </c>
      <c r="I632" s="5" t="inlineStr">
        <is>
          <t>MapleHeroMultiplier</t>
        </is>
      </c>
      <c r="J632" s="5" t="inlineStr">
        <is>
          <t>BaseDamage</t>
        </is>
      </c>
      <c r="K632" s="5" t="inlineStr">
        <is>
          <t>BaseHitDamage</t>
        </is>
      </c>
      <c r="L632" s="5" t="inlineStr">
        <is>
          <t>NonCritAvg</t>
        </is>
      </c>
      <c r="M632" s="5" t="inlineStr">
        <is>
          <t>CritAvg</t>
        </is>
      </c>
      <c r="N632" s="5" t="inlineStr">
        <is>
          <t>ExpectedDamage(perHit)</t>
        </is>
      </c>
      <c r="O632" s="5" t="inlineStr">
        <is>
          <t>DPS</t>
        </is>
      </c>
      <c r="P632" s="5" t="inlineStr">
        <is>
          <t>% of Total</t>
        </is>
      </c>
      <c r="Q632" s="5" t="inlineStr">
        <is>
          <t>InvCooldown</t>
        </is>
      </c>
      <c r="R632" s="5" t="inlineStr">
        <is>
          <t>CastsInFight</t>
        </is>
      </c>
      <c r="S632" s="5" t="inlineStr">
        <is>
          <t>HitRate(perSec)</t>
        </is>
      </c>
      <c r="U632" t="inlineStr">
        <is>
          <t>helpers</t>
        </is>
      </c>
    </row>
    <row r="633">
      <c r="A633">
        <f>Skills!A2</f>
        <v/>
      </c>
      <c r="B633">
        <f>Skills!B2</f>
        <v/>
      </c>
      <c r="C633">
        <f>Inputs!$B$3&gt;=100</f>
        <v/>
      </c>
      <c r="D633" t="inlineStr"/>
      <c r="E633" t="inlineStr"/>
      <c r="F633">
        <f>U635+Skills!O2</f>
        <v/>
      </c>
      <c r="G633">
        <f>Skills!G2*IF(Skills!H2&gt;0,Skills!I2/Skills!H2,1)</f>
        <v/>
      </c>
      <c r="H633">
        <f>1-(1-Skills!J2/100)^Skills!K2</f>
        <v/>
      </c>
      <c r="I633" t="inlineStr">
        <is>
          <t>1</t>
        </is>
      </c>
      <c r="J633">
        <f>((Inputs!$B$6*(1+Inputs!$B$7/100))+(((Inputs!$B$12*(1+Inputs!$B$13/100))-(Inputs!$B$12*(1+Inputs!$B$13/100)))+0.25*(Inputs!$B$14-Inputs!$B$14))*(1+Inputs!$B$7/100))*(F633/100)</f>
        <v/>
      </c>
      <c r="K633">
        <f>J633*(1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633)</f>
        <v/>
      </c>
      <c r="L633">
        <f>K633*(MIN(Inputs!$B$22+((C653=TRUE)*(F653-Calc!F22)),(Inputs!$B$23+((C655=TRUE)*(F655-Calc!F24))+(IF(ArtifactsInput!$M$15,CHOOSE(ArtifactsInput!$N$15+1,25,30,35,40,45,50)/100*(Inputs!$B$11-Inputs!$B$11),0))))/100+(Inputs!$B$23+((C655=TRUE)*(F655-Calc!F24))+(IF(ArtifactsInput!$M$15,CHOOSE(ArtifactsInput!$N$15+1,25,30,35,40,45,50)/100*(Inputs!$B$11-Inputs!$B$11),0)))/100)/2</f>
        <v/>
      </c>
      <c r="M633">
        <f>L633*(1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3">
        <f>L633*(1-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633*(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3">
        <f>(1-Summary!$B$11)*T633+Summary!$B$11*V633</f>
        <v/>
      </c>
      <c r="P633">
        <f>IF(B668=0,0,O633/B668)</f>
        <v/>
      </c>
      <c r="Q633" t="n">
        <v>0</v>
      </c>
      <c r="R633" t="n">
        <v>0</v>
      </c>
      <c r="S633">
        <f>IFERROR(O633/N633,0)</f>
        <v/>
      </c>
      <c r="T633">
        <f>IF(C633,(Skills!G2*N633*B662)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633*(1-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633*(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633*(1-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633*(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33">
        <f>MAX(0,(Inputs!$B$3-100)*3)+Inputs!$B$28+Inputs!$B$29</f>
        <v/>
      </c>
      <c r="V633">
        <f>IF(C633,(Skills!G2*N633*B662)*IF(Inputs!$B$38="pvp",1,(1+(Inputs!$B$21+Skills!Q2+(IF(ArtifactsInput!$M$33,CHOOSE(ArtifactsInput!$N$33+1,30,36,42,48,54,60),0))+(IF(AND(ArtifactsInput!$M$35,Inputs!$B$4&lt;&gt;"Chapter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4">
      <c r="A634">
        <f>Skills!A3</f>
        <v/>
      </c>
      <c r="B634">
        <f>Skills!B3</f>
        <v/>
      </c>
      <c r="C634">
        <f>Inputs!$B$3&gt;=50</f>
        <v/>
      </c>
      <c r="D634">
        <f>IF(Skills!C3=1,60+Inputs!$B$25+Inputs!$B$29,IF(Skills!C3=2,90+Inputs!$B$26+Inputs!$B$29,IF(Skills!C3=3,120+Inputs!$B$27+Inputs!$B$29,MAX(0,(Inputs!$B$3-100)*3)+Inputs!$B$28+Inputs!$B$29)))</f>
        <v/>
      </c>
      <c r="E634">
        <f>INDEX(FactorTable!$B$2:$Y$301, MATCH(ROUND(MIN(300,MAX(1,D634)),0), FactorTable!$A$2:$A$301,0), Skills!M3+1)</f>
        <v/>
      </c>
      <c r="F634">
        <f>IF(Skills!N3=TRUE,(Skills!L3/10)*(E634/1000),Skills!L3/10)+Skills!O3</f>
        <v/>
      </c>
      <c r="G634" t="inlineStr"/>
      <c r="H634" t="inlineStr"/>
      <c r="I634" t="inlineStr">
        <is>
          <t>1</t>
        </is>
      </c>
      <c r="J634" t="inlineStr"/>
      <c r="K634" t="inlineStr"/>
      <c r="L634" t="inlineStr"/>
      <c r="M634" t="inlineStr"/>
      <c r="N634" t="inlineStr"/>
      <c r="O634" t="inlineStr"/>
      <c r="P634" t="inlineStr"/>
      <c r="Q634" t="inlineStr"/>
      <c r="R634" t="inlineStr"/>
      <c r="S634" t="inlineStr"/>
      <c r="U634">
        <f>INDEX(FactorTable!$B$2:$Y$301, MATCH(ROUND(MIN(300,MAX(1,U633)),0), FactorTable!$A$2:$A$301,0), 22)</f>
        <v/>
      </c>
    </row>
    <row r="635">
      <c r="A635">
        <f>Skills!A4</f>
        <v/>
      </c>
      <c r="B635">
        <f>Skills!B4</f>
        <v/>
      </c>
      <c r="C635">
        <f>Inputs!$B$3&gt;=35</f>
        <v/>
      </c>
      <c r="D635">
        <f>IF(Skills!C4=1,60+Inputs!$B$25+Inputs!$B$29,IF(Skills!C4=2,90+Inputs!$B$26+Inputs!$B$29,IF(Skills!C4=3,120+Inputs!$B$27+Inputs!$B$29,MAX(0,(Inputs!$B$3-100)*3)+Inputs!$B$28+Inputs!$B$29)))</f>
        <v/>
      </c>
      <c r="E635">
        <f>INDEX(FactorTable!$B$2:$Y$301, MATCH(ROUND(MIN(300,MAX(1,D635)),0), FactorTable!$A$2:$A$301,0), Skills!M4+1)</f>
        <v/>
      </c>
      <c r="F635">
        <f>IF(Skills!N4=TRUE,(Skills!L4/10)*(E635/1000),Skills!L4/10)+Skills!O4</f>
        <v/>
      </c>
      <c r="G635">
        <f>Skills!G4*IF(Skills!H4&gt;0,Skills!I4/Skills!H4,1)</f>
        <v/>
      </c>
      <c r="H635">
        <f>1-(1-Skills!J4/100)^Skills!K4</f>
        <v/>
      </c>
      <c r="I635" t="inlineStr">
        <is>
          <t>1</t>
        </is>
      </c>
      <c r="J635">
        <f>((Inputs!$B$6*(1+Inputs!$B$7/100))+(((Inputs!$B$12*(1+Inputs!$B$13/100))-(Inputs!$B$12*(1+Inputs!$B$13/100)))+0.25*(Inputs!$B$14-Inputs!$B$14))*(1+Inputs!$B$7/100))*(F635/100)</f>
        <v/>
      </c>
      <c r="K635">
        <f>J635*(1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643=TRUE,F643,0)/100)*(1+(IF(Skills!A4="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635)</f>
        <v/>
      </c>
      <c r="L635">
        <f>K635*(MIN(Inputs!$B$22+((C653=TRUE)*(F653-Calc!F22)),(Inputs!$B$23+((C655=TRUE)*(F655-Calc!F24))+(IF(ArtifactsInput!$M$15,CHOOSE(ArtifactsInput!$N$15+1,25,30,35,40,45,50)/100*(Inputs!$B$11-Inputs!$B$11),0))))/100+(Inputs!$B$23+((C655=TRUE)*(F655-Calc!F24))+(IF(ArtifactsInput!$M$15,CHOOSE(ArtifactsInput!$N$15+1,25,30,35,40,45,50)/100*(Inputs!$B$11-Inputs!$B$11),0)))/100)/2</f>
        <v/>
      </c>
      <c r="M635">
        <f>L635*(1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5">
        <f>L635*(1-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635*(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5">
        <f>(1-Summary!$B$11)*T635+Summary!$B$11*V635</f>
        <v/>
      </c>
      <c r="P635">
        <f>IF(B668=0,0,O635/B668)</f>
        <v/>
      </c>
      <c r="Q635">
        <f>IFERROR(1/(IF(Inputs!$B$38="pvp",15,MAX(0.1,Skills!D4-IF(Skills!E4=TRUE,Inputs!$B$32,0)))*(1-IF(AND(ArtifactsInput!$M$27,Inputs!$B$4="Chapter Hunt"),CHOOSE(ArtifactsInput!$N$27+1,20,24,28,32,36,40),0)/100)),0)</f>
        <v/>
      </c>
      <c r="R635">
        <f>IF(AND(Inputs!$B$38&lt;&gt;"pvp",Inputs!$B$43&gt;0),IF(MAX(0,Inputs!$B$43-B665)&lt;=0,0,(INT(MAX(0,Inputs!$B$43-B665)/(IF(Inputs!$B$38="pvp",15,MAX(0.1,Skills!D4-IF(Skills!E4=TRUE,Inputs!$B$32,0)))*(1-IF(AND(ArtifactsInput!$M$27,Inputs!$B$4="Chapter Hunt"),CHOOSE(ArtifactsInput!$N$27+1,20,24,28,32,36,40),0)/100)))+1)),0)</f>
        <v/>
      </c>
      <c r="S635">
        <f>IFERROR(O635/N635,0)</f>
        <v/>
      </c>
      <c r="T635">
        <f>IF(C635,(H635*N635*IF(AND(Inputs!$B$38&lt;&gt;"pvp",Inputs!$B$43&gt;0),((Skills!G4*((R635-1)*IF(Skills!H4&gt;0,Skills!I4/Skills!H4,1)+IF(Skills!H4&gt;0,MIN(Skills!I4,MAX(0,MAX(0,Inputs!$B$43-B665)-((R635-1)*(IF(Inputs!$B$38="pvp",15,MAX(0.1,Skills!D4-IF(Skills!E4=TRUE,Inputs!$B$32,0)))*(1-IF(AND(ArtifactsInput!$M$27,Inputs!$B$4="Chapter Hunt"),CHOOSE(ArtifactsInput!$N$27+1,20,24,28,32,36,40),0)/100)))))/Skills!H4,1)))/Inputs!$B$43),G635*Q635)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635*(1-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635*(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635*(1-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635*(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35">
        <f>290*U634/1000</f>
        <v/>
      </c>
      <c r="V635">
        <f>IF(C635,(H635*N635*IF(AND(Inputs!$B$38&lt;&gt;"pvp",Inputs!$B$43&gt;0),((Skills!G4*((R635-1)*IF(Skills!H4&gt;0,Skills!I4/Skills!H4,1)+IF(Skills!H4&gt;0,MIN(Skills!I4,MAX(0,MAX(0,Inputs!$B$43-B665)-((R635-1)*(IF(Inputs!$B$38="pvp",15,MAX(0.1,Skills!D4-IF(Skills!E4=TRUE,Inputs!$B$32,0)))*(1-IF(AND(ArtifactsInput!$M$27,Inputs!$B$4="Chapter Hunt"),CHOOSE(ArtifactsInput!$N$27+1,20,24,28,32,36,40),0)/100)))))/Skills!H4,1)))/Inputs!$B$43),G635*Q635))*IF(Inputs!$B$38="pvp",1,(1+(Inputs!$B$21+Skills!Q4+(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6">
      <c r="A636">
        <f>Skills!A5</f>
        <v/>
      </c>
      <c r="B636">
        <f>Skills!B5</f>
        <v/>
      </c>
      <c r="C636">
        <f>Inputs!$B$3&gt;=66</f>
        <v/>
      </c>
      <c r="D636">
        <f>IF(Skills!C5=1,60+Inputs!$B$25+Inputs!$B$29,IF(Skills!C5=2,90+Inputs!$B$26+Inputs!$B$29,IF(Skills!C5=3,120+Inputs!$B$27+Inputs!$B$29,MAX(0,(Inputs!$B$3-100)*3)+Inputs!$B$28+Inputs!$B$29)))</f>
        <v/>
      </c>
      <c r="E636">
        <f>INDEX(FactorTable!$B$2:$Y$301, MATCH(ROUND(MIN(300,MAX(1,D636)),0), FactorTable!$A$2:$A$301,0), Skills!M5+1)</f>
        <v/>
      </c>
      <c r="F636">
        <f>IF(Skills!N5=TRUE,(Skills!L5/10)*(E636/1000),Skills!L5/10)+Skills!O5</f>
        <v/>
      </c>
      <c r="G636">
        <f>Skills!G5*IF(Skills!H5&gt;0,Skills!I5/Skills!H5,1)</f>
        <v/>
      </c>
      <c r="H636">
        <f>1-(1-Skills!J5/100)^Skills!K5</f>
        <v/>
      </c>
      <c r="I636" t="inlineStr">
        <is>
          <t>1</t>
        </is>
      </c>
      <c r="J636">
        <f>((Inputs!$B$6*(1+Inputs!$B$7/100))+(((Inputs!$B$12*(1+Inputs!$B$13/100))-(Inputs!$B$12*(1+Inputs!$B$13/100)))+0.25*(Inputs!$B$14-Inputs!$B$14))*(1+Inputs!$B$7/100))*(F636/100)</f>
        <v/>
      </c>
      <c r="K636">
        <f>J636*(1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643=TRUE,F643,0)/100)*(1+(IF(Skills!A5="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636)</f>
        <v/>
      </c>
      <c r="L636">
        <f>K636*(MIN(Inputs!$B$22+((C653=TRUE)*(F653-Calc!F22)),(Inputs!$B$23+((C655=TRUE)*(F655-Calc!F24))+(IF(ArtifactsInput!$M$15,CHOOSE(ArtifactsInput!$N$15+1,25,30,35,40,45,50)/100*(Inputs!$B$11-Inputs!$B$11),0))))/100+(Inputs!$B$23+((C655=TRUE)*(F655-Calc!F24))+(IF(ArtifactsInput!$M$15,CHOOSE(ArtifactsInput!$N$15+1,25,30,35,40,45,50)/100*(Inputs!$B$11-Inputs!$B$11),0)))/100)/2</f>
        <v/>
      </c>
      <c r="M636">
        <f>L636*(1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6">
        <f>L636*(1-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636*(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6">
        <f>(1-Summary!$B$11)*T636+Summary!$B$11*V636</f>
        <v/>
      </c>
      <c r="P636">
        <f>IF(B668=0,0,O636/B668)</f>
        <v/>
      </c>
      <c r="Q636">
        <f>IFERROR(1/(IF(Inputs!$B$38="pvp",15,MAX(0.1,Skills!D5-IF(Skills!E5=TRUE,Inputs!$B$32,0)))*(1-IF(AND(ArtifactsInput!$M$27,Inputs!$B$4="Chapter Hunt"),CHOOSE(ArtifactsInput!$N$27+1,20,24,28,32,36,40),0)/100)),0)</f>
        <v/>
      </c>
      <c r="R636">
        <f>IF(AND(Inputs!$B$38&lt;&gt;"pvp",Inputs!$B$43&gt;0),IF(MAX(0,Inputs!$B$43-B665)&lt;=0,0,(INT(MAX(0,Inputs!$B$43-B665)/(IF(Inputs!$B$38="pvp",15,MAX(0.1,Skills!D5-IF(Skills!E5=TRUE,Inputs!$B$32,0)))*(1-IF(AND(ArtifactsInput!$M$27,Inputs!$B$4="Chapter Hunt"),CHOOSE(ArtifactsInput!$N$27+1,20,24,28,32,36,40),0)/100)))+1)),0)</f>
        <v/>
      </c>
      <c r="S636">
        <f>IFERROR(O636/N636,0)</f>
        <v/>
      </c>
      <c r="T636">
        <f>IF(C636,(H636*N636*IF(AND(Inputs!$B$38&lt;&gt;"pvp",Inputs!$B$43&gt;0),((Skills!G5*((R636-1)*IF(Skills!H5&gt;0,Skills!I5/Skills!H5,1)+IF(Skills!H5&gt;0,MIN(Skills!I5,MAX(0,MAX(0,Inputs!$B$43-B665)-((R636-1)*(IF(Inputs!$B$38="pvp",15,MAX(0.1,Skills!D5-IF(Skills!E5=TRUE,Inputs!$B$32,0)))*(1-IF(AND(ArtifactsInput!$M$27,Inputs!$B$4="Chapter Hunt"),CHOOSE(ArtifactsInput!$N$27+1,20,24,28,32,36,40),0)/100)))))/Skills!H5,1)))/Inputs!$B$43),G636*Q636)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636*(1-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636*(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636*(1-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636*(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6">
        <f>IF(C636,(H636*N636*IF(AND(Inputs!$B$38&lt;&gt;"pvp",Inputs!$B$43&gt;0),((Skills!G5*((R636-1)*IF(Skills!H5&gt;0,Skills!I5/Skills!H5,1)+IF(Skills!H5&gt;0,MIN(Skills!I5,MAX(0,MAX(0,Inputs!$B$43-B665)-((R636-1)*(IF(Inputs!$B$38="pvp",15,MAX(0.1,Skills!D5-IF(Skills!E5=TRUE,Inputs!$B$32,0)))*(1-IF(AND(ArtifactsInput!$M$27,Inputs!$B$4="Chapter Hunt"),CHOOSE(ArtifactsInput!$N$27+1,20,24,28,32,36,40),0)/100)))))/Skills!H5,1)))/Inputs!$B$43),G636*Q636))*IF(Inputs!$B$38="pvp",1,(1+(Inputs!$B$21+Skills!Q5+(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7">
      <c r="A637">
        <f>Skills!A6</f>
        <v/>
      </c>
      <c r="B637">
        <f>Skills!B6</f>
        <v/>
      </c>
      <c r="C637">
        <f>Inputs!$B$3&gt;=103</f>
        <v/>
      </c>
      <c r="D637">
        <f>IF(Skills!C6=1,60+Inputs!$B$25+Inputs!$B$29,IF(Skills!C6=2,90+Inputs!$B$26+Inputs!$B$29,IF(Skills!C6=3,120+Inputs!$B$27+Inputs!$B$29,MAX(0,(Inputs!$B$3-100)*3)+Inputs!$B$28+Inputs!$B$29)))</f>
        <v/>
      </c>
      <c r="E637">
        <f>INDEX(FactorTable!$B$2:$Y$301, MATCH(ROUND(MIN(300,MAX(1,D637)),0), FactorTable!$A$2:$A$301,0), Skills!M6+1)</f>
        <v/>
      </c>
      <c r="F637">
        <f>IF(Skills!N6=TRUE,(Skills!L6/10)*(E637/1000),Skills!L6/10)+Skills!O6</f>
        <v/>
      </c>
      <c r="G637">
        <f>Skills!G6*IF(Skills!H6&gt;0,Skills!I6/Skills!H6,1)</f>
        <v/>
      </c>
      <c r="H637">
        <f>1-(1-Skills!J6/100)^Skills!K6</f>
        <v/>
      </c>
      <c r="I637" t="inlineStr">
        <is>
          <t>1</t>
        </is>
      </c>
      <c r="J637">
        <f>((Inputs!$B$6*(1+Inputs!$B$7/100))+(((Inputs!$B$12*(1+Inputs!$B$13/100))-(Inputs!$B$12*(1+Inputs!$B$13/100)))+0.25*(Inputs!$B$14-Inputs!$B$14))*(1+Inputs!$B$7/100))*(F637/100)</f>
        <v/>
      </c>
      <c r="K637">
        <f>J637*(1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637)</f>
        <v/>
      </c>
      <c r="L637">
        <f>K637*(MIN(Inputs!$B$22+((C653=TRUE)*(F653-Calc!F22)),(Inputs!$B$23+((C655=TRUE)*(F655-Calc!F24))+(IF(ArtifactsInput!$M$15,CHOOSE(ArtifactsInput!$N$15+1,25,30,35,40,45,50)/100*(Inputs!$B$11-Inputs!$B$11),0))))/100+(Inputs!$B$23+((C655=TRUE)*(F655-Calc!F24))+(IF(ArtifactsInput!$M$15,CHOOSE(ArtifactsInput!$N$15+1,25,30,35,40,45,50)/100*(Inputs!$B$11-Inputs!$B$11),0)))/100)/2</f>
        <v/>
      </c>
      <c r="M637">
        <f>L637*(1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7">
        <f>L637*(1-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637*(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7">
        <f>(1-Summary!$B$11)*T637+Summary!$B$11*V637</f>
        <v/>
      </c>
      <c r="P637">
        <f>IF(B668=0,0,O637/B668)</f>
        <v/>
      </c>
      <c r="Q637">
        <f>IFERROR(1/(IF(Inputs!$B$38="pvp",15,MAX(0.1,Skills!D6-IF(Skills!E6=TRUE,Inputs!$B$32,0)))*(1-IF(AND(ArtifactsInput!$M$27,Inputs!$B$4="Chapter Hunt"),CHOOSE(ArtifactsInput!$N$27+1,20,24,28,32,36,40),0)/100)),0)</f>
        <v/>
      </c>
      <c r="R637">
        <f>IF(AND(Inputs!$B$38&lt;&gt;"pvp",Inputs!$B$43&gt;0),IF(MAX(0,Inputs!$B$43-B665)&lt;=0,0,(INT(MAX(0,Inputs!$B$43-B665)/(IF(Inputs!$B$38="pvp",15,MAX(0.1,Skills!D6-IF(Skills!E6=TRUE,Inputs!$B$32,0)))*(1-IF(AND(ArtifactsInput!$M$27,Inputs!$B$4="Chapter Hunt"),CHOOSE(ArtifactsInput!$N$27+1,20,24,28,32,36,40),0)/100)))+1)),0)</f>
        <v/>
      </c>
      <c r="S637">
        <f>IFERROR(O637/N637,0)</f>
        <v/>
      </c>
      <c r="T637">
        <f>IF(C637,(H637*N637*IF(AND(Inputs!$B$38&lt;&gt;"pvp",Inputs!$B$43&gt;0),((Skills!G6*((R637-1)*IF(Skills!H6&gt;0,Skills!I6/Skills!H6,1)+IF(Skills!H6&gt;0,MIN(Skills!I6,MAX(0,MAX(0,Inputs!$B$43-B665)-((R637-1)*(IF(Inputs!$B$38="pvp",15,MAX(0.1,Skills!D6-IF(Skills!E6=TRUE,Inputs!$B$32,0)))*(1-IF(AND(ArtifactsInput!$M$27,Inputs!$B$4="Chapter Hunt"),CHOOSE(ArtifactsInput!$N$27+1,20,24,28,32,36,40),0)/100)))))/Skills!H6,1)))/Inputs!$B$43),G637*Q637)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637*(1-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637*(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637*(1-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637*(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7">
        <f>IF(C637,(H637*N637*IF(AND(Inputs!$B$38&lt;&gt;"pvp",Inputs!$B$43&gt;0),((Skills!G6*((R637-1)*IF(Skills!H6&gt;0,Skills!I6/Skills!H6,1)+IF(Skills!H6&gt;0,MIN(Skills!I6,MAX(0,MAX(0,Inputs!$B$43-B665)-((R637-1)*(IF(Inputs!$B$38="pvp",15,MAX(0.1,Skills!D6-IF(Skills!E6=TRUE,Inputs!$B$32,0)))*(1-IF(AND(ArtifactsInput!$M$27,Inputs!$B$4="Chapter Hunt"),CHOOSE(ArtifactsInput!$N$27+1,20,24,28,32,36,40),0)/100)))))/Skills!H6,1)))/Inputs!$B$43),G637*Q637))*IF(Inputs!$B$38="pvp",1,(1+(Inputs!$B$21+Skills!Q6+(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8">
      <c r="A638">
        <f>Skills!A7</f>
        <v/>
      </c>
      <c r="B638">
        <f>Skills!B7</f>
        <v/>
      </c>
      <c r="C638">
        <f>Inputs!$B$3&gt;=107</f>
        <v/>
      </c>
      <c r="D638">
        <f>IF(Skills!C7=1,60+Inputs!$B$25+Inputs!$B$29,IF(Skills!C7=2,90+Inputs!$B$26+Inputs!$B$29,IF(Skills!C7=3,120+Inputs!$B$27+Inputs!$B$29,MAX(0,(Inputs!$B$3-100)*3)+Inputs!$B$28+Inputs!$B$29)))</f>
        <v/>
      </c>
      <c r="E638">
        <f>INDEX(FactorTable!$B$2:$Y$301, MATCH(ROUND(MIN(300,MAX(1,D638)),0), FactorTable!$A$2:$A$301,0), Skills!M7+1)</f>
        <v/>
      </c>
      <c r="F638">
        <f>IF(Skills!N7=TRUE,(Skills!L7/10)*(E638/1000),Skills!L7/10)+Skills!O7</f>
        <v/>
      </c>
      <c r="G638">
        <f>Skills!G7*IF(Skills!H7&gt;0,Skills!I7/Skills!H7,1)</f>
        <v/>
      </c>
      <c r="H638">
        <f>1-(1-Skills!J7/100)^Skills!K7</f>
        <v/>
      </c>
      <c r="I638" t="inlineStr">
        <is>
          <t>1</t>
        </is>
      </c>
      <c r="J638">
        <f>((Inputs!$B$6*(1+Inputs!$B$7/100))+(((Inputs!$B$12*(1+Inputs!$B$13/100))-(Inputs!$B$12*(1+Inputs!$B$13/100)))+0.25*(Inputs!$B$14-Inputs!$B$14))*(1+Inputs!$B$7/100))*(F638/100)</f>
        <v/>
      </c>
      <c r="K638">
        <f>J638*(1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638)</f>
        <v/>
      </c>
      <c r="L638">
        <f>K638*(MIN(Inputs!$B$22+((C653=TRUE)*(F653-Calc!F22)),(Inputs!$B$23+((C655=TRUE)*(F655-Calc!F24))+(IF(ArtifactsInput!$M$15,CHOOSE(ArtifactsInput!$N$15+1,25,30,35,40,45,50)/100*(Inputs!$B$11-Inputs!$B$11),0))))/100+(Inputs!$B$23+((C655=TRUE)*(F655-Calc!F24))+(IF(ArtifactsInput!$M$15,CHOOSE(ArtifactsInput!$N$15+1,25,30,35,40,45,50)/100*(Inputs!$B$11-Inputs!$B$11),0)))/100)/2</f>
        <v/>
      </c>
      <c r="M638">
        <f>L638*(1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8">
        <f>L638*(1-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638*(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8">
        <f>(1-Summary!$B$11)*T638+Summary!$B$11*V638</f>
        <v/>
      </c>
      <c r="P638">
        <f>IF(B668=0,0,O638/B668)</f>
        <v/>
      </c>
      <c r="Q638">
        <f>IFERROR(1/(IF(Inputs!$B$38="pvp",15,MAX(0.1,Skills!D7-IF(Skills!E7=TRUE,Inputs!$B$32,0)))*(1-IF(AND(ArtifactsInput!$M$27,Inputs!$B$4="Chapter Hunt"),CHOOSE(ArtifactsInput!$N$27+1,20,24,28,32,36,40),0)/100)),0)</f>
        <v/>
      </c>
      <c r="R638">
        <f>IF(AND(Inputs!$B$38&lt;&gt;"pvp",Inputs!$B$43&gt;0),IF(MAX(0,Inputs!$B$43-B665)&lt;=0,0,(INT(MAX(0,Inputs!$B$43-B665)/(IF(Inputs!$B$38="pvp",15,MAX(0.1,Skills!D7-IF(Skills!E7=TRUE,Inputs!$B$32,0)))*(1-IF(AND(ArtifactsInput!$M$27,Inputs!$B$4="Chapter Hunt"),CHOOSE(ArtifactsInput!$N$27+1,20,24,28,32,36,40),0)/100)))+1)),0)</f>
        <v/>
      </c>
      <c r="S638">
        <f>IFERROR(O638/N638,0)</f>
        <v/>
      </c>
      <c r="T638">
        <f>IF(C638,(H638*N638*IF(AND(Inputs!$B$38&lt;&gt;"pvp",Inputs!$B$43&gt;0),((Skills!G7*((R638-1)*IF(Skills!H7&gt;0,Skills!I7/Skills!H7,1)+IF(Skills!H7&gt;0,MIN(Skills!I7,MAX(0,MAX(0,Inputs!$B$43-B665)-((R638-1)*(IF(Inputs!$B$38="pvp",15,MAX(0.1,Skills!D7-IF(Skills!E7=TRUE,Inputs!$B$32,0)))*(1-IF(AND(ArtifactsInput!$M$27,Inputs!$B$4="Chapter Hunt"),CHOOSE(ArtifactsInput!$N$27+1,20,24,28,32,36,40),0)/100)))))/Skills!H7,1)))/Inputs!$B$43),G638*Q638)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638*(1-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638*(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638*(1-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638*(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8">
        <f>IF(C638,(H638*N638*IF(AND(Inputs!$B$38&lt;&gt;"pvp",Inputs!$B$43&gt;0),((Skills!G7*((R638-1)*IF(Skills!H7&gt;0,Skills!I7/Skills!H7,1)+IF(Skills!H7&gt;0,MIN(Skills!I7,MAX(0,MAX(0,Inputs!$B$43-B665)-((R638-1)*(IF(Inputs!$B$38="pvp",15,MAX(0.1,Skills!D7-IF(Skills!E7=TRUE,Inputs!$B$32,0)))*(1-IF(AND(ArtifactsInput!$M$27,Inputs!$B$4="Chapter Hunt"),CHOOSE(ArtifactsInput!$N$27+1,20,24,28,32,36,40),0)/100)))))/Skills!H7,1)))/Inputs!$B$43),G638*Q638))*IF(Inputs!$B$38="pvp",1,(1+(Inputs!$B$21+Skills!Q7+(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39">
      <c r="A639">
        <f>Skills!A8</f>
        <v/>
      </c>
      <c r="B639">
        <f>Skills!B8</f>
        <v/>
      </c>
      <c r="C639">
        <f>Inputs!$B$3&gt;=107</f>
        <v/>
      </c>
      <c r="D639">
        <f>IF(Skills!C8=1,60+Inputs!$B$25+Inputs!$B$29,IF(Skills!C8=2,90+Inputs!$B$26+Inputs!$B$29,IF(Skills!C8=3,120+Inputs!$B$27+Inputs!$B$29,MAX(0,(Inputs!$B$3-100)*3)+Inputs!$B$28+Inputs!$B$29)))</f>
        <v/>
      </c>
      <c r="E639">
        <f>INDEX(FactorTable!$B$2:$Y$301, MATCH(ROUND(MIN(300,MAX(1,D639)),0), FactorTable!$A$2:$A$301,0), Skills!M8+1)</f>
        <v/>
      </c>
      <c r="F639">
        <f>IF(Skills!N8=TRUE,(Skills!L8/10)*(E639/1000),Skills!L8/10)+Skills!O8</f>
        <v/>
      </c>
      <c r="G639">
        <f>Skills!G8*IF(Skills!H8&gt;0,Skills!I8/Skills!H8,1)</f>
        <v/>
      </c>
      <c r="H639">
        <f>1-(1-Skills!J8/100)^Skills!K8</f>
        <v/>
      </c>
      <c r="I639" t="inlineStr">
        <is>
          <t>1</t>
        </is>
      </c>
      <c r="J639">
        <f>((Inputs!$B$6*(1+Inputs!$B$7/100))+(((Inputs!$B$12*(1+Inputs!$B$13/100))-(Inputs!$B$12*(1+Inputs!$B$13/100)))+0.25*(Inputs!$B$14-Inputs!$B$14))*(1+Inputs!$B$7/100))*(F639/100)</f>
        <v/>
      </c>
      <c r="K639">
        <f>J639*(1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639)</f>
        <v/>
      </c>
      <c r="L639">
        <f>K639*(MIN(Inputs!$B$22+((C653=TRUE)*(F653-Calc!F22)),(Inputs!$B$23+((C655=TRUE)*(F655-Calc!F24))+(IF(ArtifactsInput!$M$15,CHOOSE(ArtifactsInput!$N$15+1,25,30,35,40,45,50)/100*(Inputs!$B$11-Inputs!$B$11),0))))/100+(Inputs!$B$23+((C655=TRUE)*(F655-Calc!F24))+(IF(ArtifactsInput!$M$15,CHOOSE(ArtifactsInput!$N$15+1,25,30,35,40,45,50)/100*(Inputs!$B$11-Inputs!$B$11),0)))/100)/2</f>
        <v/>
      </c>
      <c r="M639">
        <f>L639*(1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39">
        <f>L639*(1-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639*(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39">
        <f>(1-Summary!$B$11)*T639+Summary!$B$11*V639</f>
        <v/>
      </c>
      <c r="P639">
        <f>IF(B668=0,0,O639/B668)</f>
        <v/>
      </c>
      <c r="Q639">
        <f>IFERROR(1/(IF(Inputs!$B$38="pvp",15,MAX(0.1,Skills!D8-IF(Skills!E8=TRUE,Inputs!$B$32,0)))*(1-IF(AND(ArtifactsInput!$M$27,Inputs!$B$4="Chapter Hunt"),CHOOSE(ArtifactsInput!$N$27+1,20,24,28,32,36,40),0)/100)),0)</f>
        <v/>
      </c>
      <c r="R639">
        <f>IF(AND(Inputs!$B$38&lt;&gt;"pvp",Inputs!$B$43&gt;0),IF(MAX(0,Inputs!$B$43-B665)&lt;=0,0,(INT(MAX(0,Inputs!$B$43-B665)/(IF(Inputs!$B$38="pvp",15,MAX(0.1,Skills!D8-IF(Skills!E8=TRUE,Inputs!$B$32,0)))*(1-IF(AND(ArtifactsInput!$M$27,Inputs!$B$4="Chapter Hunt"),CHOOSE(ArtifactsInput!$N$27+1,20,24,28,32,36,40),0)/100)))+1)),0)</f>
        <v/>
      </c>
      <c r="S639">
        <f>IFERROR(O639/N639,0)</f>
        <v/>
      </c>
      <c r="T639">
        <f>IF(C639,(H639*N639*IF(AND(Inputs!$B$38&lt;&gt;"pvp",Inputs!$B$43&gt;0),((Skills!G8*((R639-1)*IF(Skills!H8&gt;0,Skills!I8/Skills!H8,1)+IF(Skills!H8&gt;0,MIN(Skills!I8,MAX(0,MAX(0,Inputs!$B$43-B665)-((R639-1)*(IF(Inputs!$B$38="pvp",15,MAX(0.1,Skills!D8-IF(Skills!E8=TRUE,Inputs!$B$32,0)))*(1-IF(AND(ArtifactsInput!$M$27,Inputs!$B$4="Chapter Hunt"),CHOOSE(ArtifactsInput!$N$27+1,20,24,28,32,36,40),0)/100)))))/Skills!H8,1)))/Inputs!$B$43),G639*Q639)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639*(1-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639*(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639*(1-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639*(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39">
        <f>IF(C639,(H639*N639*IF(AND(Inputs!$B$38&lt;&gt;"pvp",Inputs!$B$43&gt;0),((Skills!G8*((R639-1)*IF(Skills!H8&gt;0,Skills!I8/Skills!H8,1)+IF(Skills!H8&gt;0,MIN(Skills!I8,MAX(0,MAX(0,Inputs!$B$43-B665)-((R639-1)*(IF(Inputs!$B$38="pvp",15,MAX(0.1,Skills!D8-IF(Skills!E8=TRUE,Inputs!$B$32,0)))*(1-IF(AND(ArtifactsInput!$M$27,Inputs!$B$4="Chapter Hunt"),CHOOSE(ArtifactsInput!$N$27+1,20,24,28,32,36,40),0)/100)))))/Skills!H8,1)))/Inputs!$B$43),G639*Q639))*IF(Inputs!$B$38="pvp",1,(1+(Inputs!$B$21+Skills!Q8+(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0">
      <c r="A640">
        <f>Skills!A9</f>
        <v/>
      </c>
      <c r="B640">
        <f>Skills!B9</f>
        <v/>
      </c>
      <c r="C640">
        <f>Inputs!$B$3&gt;=125</f>
        <v/>
      </c>
      <c r="D640">
        <f>IF(Skills!C9=1,60+Inputs!$B$25+Inputs!$B$29,IF(Skills!C9=2,90+Inputs!$B$26+Inputs!$B$29,IF(Skills!C9=3,120+Inputs!$B$27+Inputs!$B$29,MAX(0,(Inputs!$B$3-100)*3)+Inputs!$B$28+Inputs!$B$29)))</f>
        <v/>
      </c>
      <c r="E640">
        <f>INDEX(FactorTable!$B$2:$Y$301, MATCH(ROUND(MIN(300,MAX(1,D640)),0), FactorTable!$A$2:$A$301,0), Skills!M9+1)</f>
        <v/>
      </c>
      <c r="F640">
        <f>IF(Skills!N9=TRUE,(Skills!L9/10)*(E640/1000),Skills!L9/10)+Skills!O9</f>
        <v/>
      </c>
      <c r="G640">
        <f>Skills!G9*IF(Skills!H9&gt;0,Skills!I9/Skills!H9,1)</f>
        <v/>
      </c>
      <c r="H640">
        <f>1-(1-Skills!J9/100)^Skills!K9</f>
        <v/>
      </c>
      <c r="I640" t="inlineStr">
        <is>
          <t>1</t>
        </is>
      </c>
      <c r="J640">
        <f>((Inputs!$B$6*(1+Inputs!$B$7/100))+(((Inputs!$B$12*(1+Inputs!$B$13/100))-(Inputs!$B$12*(1+Inputs!$B$13/100)))+0.25*(Inputs!$B$14-Inputs!$B$14))*(1+Inputs!$B$7/100))*(F640/100)</f>
        <v/>
      </c>
      <c r="K640">
        <f>J640*(1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640)</f>
        <v/>
      </c>
      <c r="L640">
        <f>K640*(MIN(Inputs!$B$22+((C653=TRUE)*(F653-Calc!F22)),(Inputs!$B$23+((C655=TRUE)*(F655-Calc!F24))+(IF(ArtifactsInput!$M$15,CHOOSE(ArtifactsInput!$N$15+1,25,30,35,40,45,50)/100*(Inputs!$B$11-Inputs!$B$11),0))))/100+(Inputs!$B$23+((C655=TRUE)*(F655-Calc!F24))+(IF(ArtifactsInput!$M$15,CHOOSE(ArtifactsInput!$N$15+1,25,30,35,40,45,50)/100*(Inputs!$B$11-Inputs!$B$11),0)))/100)/2</f>
        <v/>
      </c>
      <c r="M640">
        <f>L640*(1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0">
        <f>L640*(1-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640*(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0">
        <f>(1-Summary!$B$11)*T640+Summary!$B$11*V640</f>
        <v/>
      </c>
      <c r="P640">
        <f>IF(B668=0,0,O640/B668)</f>
        <v/>
      </c>
      <c r="Q640">
        <f>IFERROR(1/(IF(Inputs!$B$38="pvp",15,MAX(0.1,Skills!D9-IF(Skills!E9=TRUE,Inputs!$B$32,0)))*(1-IF(AND(ArtifactsInput!$M$27,Inputs!$B$4="Chapter Hunt"),CHOOSE(ArtifactsInput!$N$27+1,20,24,28,32,36,40),0)/100)),0)</f>
        <v/>
      </c>
      <c r="R640">
        <f>IF(AND(Inputs!$B$38&lt;&gt;"pvp",Inputs!$B$43&gt;0),IF(MAX(0,Inputs!$B$43-B665)&lt;=0,0,(INT(MAX(0,Inputs!$B$43-B665)/(IF(Inputs!$B$38="pvp",15,MAX(0.1,Skills!D9-IF(Skills!E9=TRUE,Inputs!$B$32,0)))*(1-IF(AND(ArtifactsInput!$M$27,Inputs!$B$4="Chapter Hunt"),CHOOSE(ArtifactsInput!$N$27+1,20,24,28,32,36,40),0)/100)))+1)),0)</f>
        <v/>
      </c>
      <c r="S640">
        <f>IFERROR(O640/N640,0)</f>
        <v/>
      </c>
      <c r="T640">
        <f>IF(C640,(H640*N640*IF(AND(Inputs!$B$38&lt;&gt;"pvp",Inputs!$B$43&gt;0),((Skills!G9*((R640-1)*IF(Skills!H9&gt;0,Skills!I9/Skills!H9,1)+IF(Skills!H9&gt;0,MIN(Skills!I9,MAX(0,MAX(0,Inputs!$B$43-B665)-((R640-1)*(IF(Inputs!$B$38="pvp",15,MAX(0.1,Skills!D9-IF(Skills!E9=TRUE,Inputs!$B$32,0)))*(1-IF(AND(ArtifactsInput!$M$27,Inputs!$B$4="Chapter Hunt"),CHOOSE(ArtifactsInput!$N$27+1,20,24,28,32,36,40),0)/100)))))/Skills!H9,1)))/Inputs!$B$43),G640*Q640)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640*(1-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640*(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640*(1-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640*(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0">
        <f>IF(C640,(H640*N640*IF(AND(Inputs!$B$38&lt;&gt;"pvp",Inputs!$B$43&gt;0),((Skills!G9*((R640-1)*IF(Skills!H9&gt;0,Skills!I9/Skills!H9,1)+IF(Skills!H9&gt;0,MIN(Skills!I9,MAX(0,MAX(0,Inputs!$B$43-B665)-((R640-1)*(IF(Inputs!$B$38="pvp",15,MAX(0.1,Skills!D9-IF(Skills!E9=TRUE,Inputs!$B$32,0)))*(1-IF(AND(ArtifactsInput!$M$27,Inputs!$B$4="Chapter Hunt"),CHOOSE(ArtifactsInput!$N$27+1,20,24,28,32,36,40),0)/100)))))/Skills!H9,1)))/Inputs!$B$43),G640*Q640))*IF(Inputs!$B$38="pvp",1,(1+(Inputs!$B$21+Skills!Q9+(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1">
      <c r="A641">
        <f>Skills!A10</f>
        <v/>
      </c>
      <c r="B641">
        <f>Skills!B10</f>
        <v/>
      </c>
      <c r="C641">
        <f>Inputs!$B$3&gt;=117</f>
        <v/>
      </c>
      <c r="D641">
        <f>IF(Skills!C10=1,60+Inputs!$B$25+Inputs!$B$29,IF(Skills!C10=2,90+Inputs!$B$26+Inputs!$B$29,IF(Skills!C10=3,120+Inputs!$B$27+Inputs!$B$29,MAX(0,(Inputs!$B$3-100)*3)+Inputs!$B$28+Inputs!$B$29)))</f>
        <v/>
      </c>
      <c r="E641">
        <f>INDEX(FactorTable!$B$2:$Y$301, MATCH(ROUND(MIN(300,MAX(1,D641)),0), FactorTable!$A$2:$A$301,0), Skills!M10+1)</f>
        <v/>
      </c>
      <c r="F641">
        <f>IF(Skills!N10=TRUE,(Skills!L10/10)*(E641/1000),Skills!L10/10)+Skills!O10</f>
        <v/>
      </c>
      <c r="G641">
        <f>Skills!G10*IF(Skills!H10&gt;0,Skills!I10/Skills!H10,1)</f>
        <v/>
      </c>
      <c r="H641">
        <f>1-(1-Skills!J10/100)^Skills!K10</f>
        <v/>
      </c>
      <c r="I641" t="inlineStr">
        <is>
          <t>1</t>
        </is>
      </c>
      <c r="J641">
        <f>((Inputs!$B$6*(1+Inputs!$B$7/100))+(((Inputs!$B$12*(1+Inputs!$B$13/100))-(Inputs!$B$12*(1+Inputs!$B$13/100)))+0.25*(Inputs!$B$14-Inputs!$B$14))*(1+Inputs!$B$7/100))*(F641/100)</f>
        <v/>
      </c>
      <c r="K641">
        <f>J641*(1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641)</f>
        <v/>
      </c>
      <c r="L641">
        <f>K641*(MIN(Inputs!$B$22+((C653=TRUE)*(F653-Calc!F22)),(Inputs!$B$23+((C655=TRUE)*(F655-Calc!F24))+(IF(ArtifactsInput!$M$15,CHOOSE(ArtifactsInput!$N$15+1,25,30,35,40,45,50)/100*(Inputs!$B$11-Inputs!$B$11),0))))/100+(Inputs!$B$23+((C655=TRUE)*(F655-Calc!F24))+(IF(ArtifactsInput!$M$15,CHOOSE(ArtifactsInput!$N$15+1,25,30,35,40,45,50)/100*(Inputs!$B$11-Inputs!$B$11),0)))/100)/2</f>
        <v/>
      </c>
      <c r="M641">
        <f>L641*(1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1">
        <f>L641*(1-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1">
        <f>(1-Summary!$B$11)*T641+Summary!$B$11*V641</f>
        <v/>
      </c>
      <c r="P641">
        <f>IF(B668=0,0,O641/B668)</f>
        <v/>
      </c>
      <c r="Q641">
        <f>IFERROR(1/(IF(Inputs!$B$38="pvp",15,MAX(0.1,Skills!D10-IF(Skills!E10=TRUE,Inputs!$B$32,0)))*(1-IF(AND(ArtifactsInput!$M$27,Inputs!$B$4="Chapter Hunt"),CHOOSE(ArtifactsInput!$N$27+1,20,24,28,32,36,40),0)/100)),0)</f>
        <v/>
      </c>
      <c r="R641">
        <f>IF(AND(Inputs!$B$38&lt;&gt;"pvp",Inputs!$B$43&gt;0),IF(MAX(0,Inputs!$B$43-B665)&lt;=0,0,(INT(MAX(0,Inputs!$B$43-B665)/(IF(Inputs!$B$38="pvp",15,MAX(0.1,Skills!D10-IF(Skills!E10=TRUE,Inputs!$B$32,0)))*(1-IF(AND(ArtifactsInput!$M$27,Inputs!$B$4="Chapter Hunt"),CHOOSE(ArtifactsInput!$N$27+1,20,24,28,32,36,40),0)/100)))+1)),0)</f>
        <v/>
      </c>
      <c r="S641">
        <f>IFERROR(O641/N641,0)</f>
        <v/>
      </c>
      <c r="T641">
        <f>IF(C641,(H641*N641*IF(AND(Inputs!$B$38&lt;&gt;"pvp",Inputs!$B$43&gt;0),((Skills!G10*((R641-1)*IF(Skills!H10&gt;0,Skills!I10/Skills!H10,1)+IF(Skills!H10&gt;0,MIN(Skills!I10,MAX(0,MAX(0,Inputs!$B$43-B665)-((R641-1)*(IF(Inputs!$B$38="pvp",15,MAX(0.1,Skills!D10-IF(Skills!E10=TRUE,Inputs!$B$32,0)))*(1-IF(AND(ArtifactsInput!$M$27,Inputs!$B$4="Chapter Hunt"),CHOOSE(ArtifactsInput!$N$27+1,20,24,28,32,36,40),0)/100)))))/Skills!H10,1)))/Inputs!$B$43),G641*Q641)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641*(1-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641*(1-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1">
        <f>IF(C641,(H641*N641*IF(AND(Inputs!$B$38&lt;&gt;"pvp",Inputs!$B$43&gt;0),((Skills!G10*((R641-1)*IF(Skills!H10&gt;0,Skills!I10/Skills!H10,1)+IF(Skills!H10&gt;0,MIN(Skills!I10,MAX(0,MAX(0,Inputs!$B$43-B665)-((R641-1)*(IF(Inputs!$B$38="pvp",15,MAX(0.1,Skills!D10-IF(Skills!E10=TRUE,Inputs!$B$32,0)))*(1-IF(AND(ArtifactsInput!$M$27,Inputs!$B$4="Chapter Hunt"),CHOOSE(ArtifactsInput!$N$27+1,20,24,28,32,36,40),0)/100)))))/Skills!H10,1)))/Inputs!$B$43),G641*Q641))*IF(Inputs!$B$38="pvp",1,(1+(Inputs!$B$21+Skills!Q10+(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2">
      <c r="A642">
        <f>Skills!A11</f>
        <v/>
      </c>
      <c r="B642">
        <f>Skills!B11</f>
        <v/>
      </c>
      <c r="C642">
        <f>Inputs!$B$3&gt;=63</f>
        <v/>
      </c>
      <c r="D642">
        <f>IF(Skills!C11=1,60+Inputs!$B$25+Inputs!$B$29,IF(Skills!C11=2,90+Inputs!$B$26+Inputs!$B$29,IF(Skills!C11=3,120+Inputs!$B$27+Inputs!$B$29,MAX(0,(Inputs!$B$3-100)*3)+Inputs!$B$28+Inputs!$B$29)))</f>
        <v/>
      </c>
      <c r="E642">
        <f>INDEX(FactorTable!$B$2:$Y$301, MATCH(ROUND(MIN(300,MAX(1,D642)),0), FactorTable!$A$2:$A$301,0), Skills!M11+1)</f>
        <v/>
      </c>
      <c r="F642">
        <f>IF(Skills!N11=TRUE,(Skills!L11/10)*(E642/1000),Skills!L11/10)+Skills!O11</f>
        <v/>
      </c>
      <c r="G642">
        <f>Skills!G11*IF(Skills!H11&gt;0,Skills!I11/Skills!H11,1)</f>
        <v/>
      </c>
      <c r="H642">
        <f>1-(1-Skills!J11/100)^Skills!K11</f>
        <v/>
      </c>
      <c r="I642" t="inlineStr">
        <is>
          <t>1</t>
        </is>
      </c>
      <c r="J642">
        <f>((Inputs!$B$6*(1+Inputs!$B$7/100))+(((Inputs!$B$12*(1+Inputs!$B$13/100))-(Inputs!$B$12*(1+Inputs!$B$13/100)))+0.25*(Inputs!$B$14-Inputs!$B$14))*(1+Inputs!$B$7/100))*(F642/100)</f>
        <v/>
      </c>
      <c r="K642">
        <f>J642*(1+((Inputs!$B$12*(1+Inputs!$B$13/100))*0.01+Inputs!$B$14*0.0025)/100)*(1+Inputs!$B$15/100)*(1+Inputs!$B$16/100)*(5000/(6000+Inputs!$B$42*(1-(Inputs!$B$19+0)/100)))*(1+(Inputs!$B$24+0+B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643=TRUE,F643,0)/100)*(1+(IF(Skills!A11="BLAST",(Inputs!$B$17+1)+((C652=TRUE)*(F652-Calc!F21))+((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MIN(100,((Inputs!$B$9+0+B658+(ArtifactsInput!$M$24-ArtifactsInput!$M$24)*CHOOSE(ArtifactsInput!$N$24+1,10,12,14,16,18,20)+IF(ArtifactsInput!$M$10,CHOOSE(ArtifactsInput!$N$10+1,15,18,21,24,27,30)*(IF(Inputs!$B$38="pvp",MIN(15,15)/15,IF(AND(Inputs!$B$38&lt;&gt;"pvp",Inputs!$B$43&gt;0),MIN(15,Inputs!$B$43)/(Inputs!$B$43),0))),0)))-100),0))*CHOOSE(ArtifactsInput!$N$42+1,0.6,0.72,0.84,0.96,1.08,1.2))),Inputs!$B$18+((C654=TRUE)*(F654-Calc!F23))+(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gt;=100),CHOOSE(ArtifactsInput!$N$42+1,40,48,56,64,72,80),0))))/100)*((1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642)</f>
        <v/>
      </c>
      <c r="L642">
        <f>K642*(MIN(Inputs!$B$22+((C653=TRUE)*(F653-Calc!F22)),(Inputs!$B$23+((C655=TRUE)*(F655-Calc!F24))+(IF(ArtifactsInput!$M$15,CHOOSE(ArtifactsInput!$N$15+1,25,30,35,40,45,50)/100*(Inputs!$B$11-Inputs!$B$11),0))))/100+(Inputs!$B$23+((C655=TRUE)*(F655-Calc!F24))+(IF(ArtifactsInput!$M$15,CHOOSE(ArtifactsInput!$N$15+1,25,30,35,40,45,50)/100*(Inputs!$B$11-Inputs!$B$11),0)))/100)/2</f>
        <v/>
      </c>
      <c r="M642">
        <f>L642*(1+(Inputs!$B$10+0+B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2">
        <f>L642*(1-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642*(MIN((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2">
        <f>(1-Summary!$B$11)*T642+Summary!$B$11*V642</f>
        <v/>
      </c>
      <c r="P642">
        <f>IF(B668=0,0,O642/B668)</f>
        <v/>
      </c>
      <c r="Q642">
        <f>IFERROR(1/(IF(Inputs!$B$38="pvp",15,MAX(0.1,Skills!D11-IF(Skills!E11=TRUE,Inputs!$B$32,0)))*(1-IF(AND(ArtifactsInput!$M$27,Inputs!$B$4="Chapter Hunt"),CHOOSE(ArtifactsInput!$N$27+1,20,24,28,32,36,40),0)/100)),0)</f>
        <v/>
      </c>
      <c r="R642">
        <f>IF(AND(Inputs!$B$38&lt;&gt;"pvp",Inputs!$B$43&gt;0),IF(MAX(0,Inputs!$B$43-B665)&lt;=0,0,(INT(MAX(0,Inputs!$B$43-B665)/(IF(Inputs!$B$38="pvp",15,MAX(0.1,Skills!D11-IF(Skills!E11=TRUE,Inputs!$B$32,0)))*(1-IF(AND(ArtifactsInput!$M$27,Inputs!$B$4="Chapter Hunt"),CHOOSE(ArtifactsInput!$N$27+1,20,24,28,32,36,40),0)/100)))+1)),0)</f>
        <v/>
      </c>
      <c r="S642">
        <f>IFERROR(O642/N642,0)</f>
        <v/>
      </c>
      <c r="T642">
        <f>IF(C642,(H642*N642*IF(AND(Inputs!$B$38&lt;&gt;"pvp",Inputs!$B$43&gt;0),((Skills!G11*((R642-1)*IF(Skills!H11&gt;0,Skills!I11/Skills!H11,1)+IF(Skills!H11&gt;0,MIN(Skills!I11,MAX(0,MAX(0,Inputs!$B$43-B665)-((R642-1)*(IF(Inputs!$B$38="pvp",15,MAX(0.1,Skills!D11-IF(Skills!E11=TRUE,Inputs!$B$32,0)))*(1-IF(AND(ArtifactsInput!$M$27,Inputs!$B$4="Chapter Hunt"),CHOOSE(ArtifactsInput!$N$27+1,20,24,28,32,36,40),0)/100)))))/Skills!H11,1)))/Inputs!$B$43),G642*Q642)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642*(1-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642*(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642*(1-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642*(MIN(100,(Inputs!$B$9+0+B658+(ArtifactsInput!$M$24-ArtifactsInput!$M$24)*CHOOSE(ArtifactsInput!$N$24+1,10,12,14,16,18,20)+(IF(AND(Inputs!$B$38&lt;&gt;"pvp",Inputs!$B$43=0),1,IF(IF(Inputs!$B$38="pvp",15,Inputs!$B$43)-(B665)&lt;=0,1,MAX(0,IF(Inputs!$B$38="pvp",15,Inputs!$B$43)-MAX(5,B665))/(IF(Inputs!$B$38="pvp",15,Inputs!$B$43)-(B665))))*IF(AND(ArtifactsInput!$M$42,((Inputs!$B$9+0+B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42">
        <f>IF(C642,(H642*N642*IF(AND(Inputs!$B$38&lt;&gt;"pvp",Inputs!$B$43&gt;0),((Skills!G11*((R642-1)*IF(Skills!H11&gt;0,Skills!I11/Skills!H11,1)+IF(Skills!H11&gt;0,MIN(Skills!I11,MAX(0,MAX(0,Inputs!$B$43-B665)-((R642-1)*(IF(Inputs!$B$38="pvp",15,MAX(0.1,Skills!D11-IF(Skills!E11=TRUE,Inputs!$B$32,0)))*(1-IF(AND(ArtifactsInput!$M$27,Inputs!$B$4="Chapter Hunt"),CHOOSE(ArtifactsInput!$N$27+1,20,24,28,32,36,40),0)/100)))))/Skills!H11,1)))/Inputs!$B$43),G642*Q642))*IF(Inputs!$B$38="pvp",1,(1+(Inputs!$B$21+Skills!Q11+(IF(ArtifactsInput!$M$33,CHOOSE(ArtifactsInput!$N$33+1,30,36,42,48,54,60),0))+(IF(AND(ArtifactsInput!$M$35,Inputs!$B$4&lt;&gt;"Chapter Hunt"),CHOOSE(ArtifactsInput!$N$35+1,15,18,21,24,27,30)*(1-EXP(-(0.2*B660)*5)),0)+IF(AND(ArtifactsInput!$M$22,Inputs!$B$4&lt;&gt;"Chapter Hunt"),CHOOSE(ArtifactsInput!$N$22+1,10,12,14,16,18,20)*((0*(((0.15*B660*5))^0/1)+1*(((0.15*B660*5))^1/1)+2*(((0.15*B660*5))^2/2)+3*(((0.15*B660*5))^3/6)+4*(((0.15*B660*5))^4/24)+5*(((0.15*B660*5))^5/120))/((((0.15*B660*5))^0/1)+(((0.15*B660*5))^1/1)+(((0.15*B660*5))^2/2)+(((0.15*B660*5))^3/6)+(((0.15*B660*5))^4/24)+(((0.15*B660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43">
      <c r="A643">
        <f>Skills!A12</f>
        <v/>
      </c>
      <c r="B643">
        <f>Skills!B12</f>
        <v/>
      </c>
      <c r="C643">
        <f>Inputs!$B$3&gt;=100</f>
        <v/>
      </c>
      <c r="D643">
        <f>IF(Skills!C12=1,60+Inputs!$B$25+Inputs!$B$29,IF(Skills!C12=2,90+Inputs!$B$26+Inputs!$B$29,IF(Skills!C12=3,120+Inputs!$B$27+Inputs!$B$29,MAX(0,(Inputs!$B$3-100)*3)+Inputs!$B$28+Inputs!$B$29)))</f>
        <v/>
      </c>
      <c r="E643">
        <f>INDEX(FactorTable!$B$2:$Y$301, MATCH(ROUND(MIN(300,MAX(1,D643)),0), FactorTable!$A$2:$A$301,0), Skills!M12+1)</f>
        <v/>
      </c>
      <c r="F643">
        <f>IF(Skills!N12=TRUE,(Skills!L12/10)*(E643/1000),Skills!L12/10)+Skills!O12</f>
        <v/>
      </c>
      <c r="G643" t="inlineStr"/>
      <c r="H643" t="inlineStr"/>
      <c r="I643" t="inlineStr">
        <is>
          <t>1</t>
        </is>
      </c>
      <c r="J643" t="inlineStr"/>
      <c r="K643" t="inlineStr"/>
      <c r="L643" t="inlineStr"/>
      <c r="M643" t="inlineStr"/>
      <c r="N643" t="inlineStr"/>
      <c r="O643" t="inlineStr"/>
      <c r="P643" t="inlineStr"/>
      <c r="Q643" t="inlineStr"/>
      <c r="R643" t="inlineStr"/>
      <c r="S643" t="inlineStr"/>
    </row>
    <row r="644">
      <c r="A644">
        <f>Skills!A13</f>
        <v/>
      </c>
      <c r="B644">
        <f>Skills!B13</f>
        <v/>
      </c>
      <c r="C644">
        <f>Inputs!$B$3&gt;=45</f>
        <v/>
      </c>
      <c r="D644">
        <f>IF(Skills!C13=1,60+Inputs!$B$25+Inputs!$B$29,IF(Skills!C13=2,90+Inputs!$B$26+Inputs!$B$29,IF(Skills!C13=3,120+Inputs!$B$27+Inputs!$B$29,MAX(0,(Inputs!$B$3-100)*3)+Inputs!$B$28+Inputs!$B$29)))</f>
        <v/>
      </c>
      <c r="E644">
        <f>INDEX(FactorTable!$B$2:$Y$301, MATCH(ROUND(MIN(300,MAX(1,D644)),0), FactorTable!$A$2:$A$301,0), Skills!M13+1)</f>
        <v/>
      </c>
      <c r="F644">
        <f>IF(Skills!N13=TRUE,(Skills!L13/10)*(E644/1000),Skills!L13/10)+Skills!O13</f>
        <v/>
      </c>
      <c r="G644">
        <f>Skills!G13*IF(Skills!H13&gt;0,Skills!I13/Skills!H13,1)</f>
        <v/>
      </c>
      <c r="H644">
        <f>1-(1-Skills!J13/100)^Skills!K13</f>
        <v/>
      </c>
      <c r="I644" t="inlineStr">
        <is>
          <t>1</t>
        </is>
      </c>
      <c r="J644" t="inlineStr"/>
      <c r="K644" t="inlineStr"/>
      <c r="L644" t="inlineStr"/>
      <c r="M644" t="inlineStr"/>
      <c r="N644" t="inlineStr"/>
      <c r="O644">
        <f>(1-Summary!$B$11)*T644+Summary!$B$11*V644</f>
        <v/>
      </c>
      <c r="P644">
        <f>IF(B668=0,0,O644/B668)</f>
        <v/>
      </c>
      <c r="Q644" t="n">
        <v>0</v>
      </c>
      <c r="R644" t="n">
        <v>0</v>
      </c>
      <c r="S644">
        <f>IFERROR(O644/N644,0)</f>
        <v/>
      </c>
      <c r="T644" t="n">
        <v>0</v>
      </c>
      <c r="V644" t="n">
        <v>0</v>
      </c>
    </row>
    <row r="645">
      <c r="A645">
        <f>Skills!A14</f>
        <v/>
      </c>
      <c r="B645">
        <f>Skills!B14</f>
        <v/>
      </c>
      <c r="C645">
        <f>Inputs!$B$3&gt;=110</f>
        <v/>
      </c>
      <c r="D645">
        <f>IF(Skills!C14=1,60+Inputs!$B$25+Inputs!$B$29,IF(Skills!C14=2,90+Inputs!$B$26+Inputs!$B$29,IF(Skills!C14=3,120+Inputs!$B$27+Inputs!$B$29,MAX(0,(Inputs!$B$3-100)*3)+Inputs!$B$28+Inputs!$B$29)))</f>
        <v/>
      </c>
      <c r="E645">
        <f>INDEX(FactorTable!$B$2:$Y$301, MATCH(ROUND(MIN(300,MAX(1,D645)),0), FactorTable!$A$2:$A$301,0), Skills!M14+1)</f>
        <v/>
      </c>
      <c r="F645">
        <f>IF(Skills!N14=TRUE,(Skills!L14/10)*(E645/1000),Skills!L14/10)+Skills!O14</f>
        <v/>
      </c>
      <c r="G645">
        <f>Skills!G14*IF(Skills!H14&gt;0,Skills!I14/Skills!H14,1)</f>
        <v/>
      </c>
      <c r="H645">
        <f>1-(1-Skills!J14/100)^Skills!K14</f>
        <v/>
      </c>
      <c r="I645" t="inlineStr">
        <is>
          <t>1</t>
        </is>
      </c>
      <c r="J645" t="inlineStr"/>
      <c r="K645" t="inlineStr"/>
      <c r="L645" t="inlineStr"/>
      <c r="M645" t="inlineStr"/>
      <c r="N645" t="inlineStr"/>
      <c r="O645">
        <f>(1-Summary!$B$11)*T645+Summary!$B$11*V645</f>
        <v/>
      </c>
      <c r="P645">
        <f>IF(B668=0,0,O645/B668)</f>
        <v/>
      </c>
      <c r="Q645" t="n">
        <v>0</v>
      </c>
      <c r="R645" t="n">
        <v>0</v>
      </c>
      <c r="S645">
        <f>IFERROR(O645/N645,0)</f>
        <v/>
      </c>
      <c r="T645" t="n">
        <v>0</v>
      </c>
      <c r="V645" t="n">
        <v>0</v>
      </c>
    </row>
    <row r="646">
      <c r="A646">
        <f>Skills!A15</f>
        <v/>
      </c>
      <c r="B646">
        <f>Skills!B15</f>
        <v/>
      </c>
      <c r="C646">
        <f>Inputs!$B$3&gt;=75</f>
        <v/>
      </c>
      <c r="D646">
        <f>IF(Skills!C15=1,60+Inputs!$B$25+Inputs!$B$29,IF(Skills!C15=2,90+Inputs!$B$26+Inputs!$B$29,IF(Skills!C15=3,120+Inputs!$B$27+Inputs!$B$29,MAX(0,(Inputs!$B$3-100)*3)+Inputs!$B$28+Inputs!$B$29)))</f>
        <v/>
      </c>
      <c r="E646">
        <f>INDEX(FactorTable!$B$2:$Y$301, MATCH(ROUND(MIN(300,MAX(1,D646)),0), FactorTable!$A$2:$A$301,0), Skills!M15+1)</f>
        <v/>
      </c>
      <c r="F646">
        <f>IF(Skills!N15=TRUE,(Skills!L15/10)*(E646/1000),Skills!L15/10)+Skills!O15</f>
        <v/>
      </c>
      <c r="G646">
        <f>Skills!G15*IF(Skills!H15&gt;0,Skills!I15/Skills!H15,1)</f>
        <v/>
      </c>
      <c r="H646">
        <f>1-(1-Skills!J15/100)^Skills!K15</f>
        <v/>
      </c>
      <c r="I646" t="inlineStr">
        <is>
          <t>1</t>
        </is>
      </c>
      <c r="J646" t="inlineStr"/>
      <c r="K646" t="inlineStr"/>
      <c r="L646" t="inlineStr"/>
      <c r="M646" t="inlineStr"/>
      <c r="N646" t="inlineStr"/>
      <c r="O646">
        <f>(1-Summary!$B$11)*T646+Summary!$B$11*V646</f>
        <v/>
      </c>
      <c r="P646">
        <f>IF(B668=0,0,O646/B668)</f>
        <v/>
      </c>
      <c r="Q646">
        <f>IFERROR(1/(IF(Inputs!$B$38="pvp",15,MAX(0.1,Skills!D15-IF(Skills!E15=TRUE,Inputs!$B$32,0)))*(1-IF(AND(ArtifactsInput!$M$27,Inputs!$B$4="Chapter Hunt"),CHOOSE(ArtifactsInput!$N$27+1,20,24,28,32,36,40),0)/100)),0)</f>
        <v/>
      </c>
      <c r="R646">
        <f>IF(AND(Inputs!$B$38&lt;&gt;"pvp",Inputs!$B$43&gt;0),IF(Inputs!$B$43&lt;=0,0,(INT(Inputs!$B$43/(IF(Inputs!$B$38="pvp",15,MAX(0.1,Skills!D15-IF(Skills!E15=TRUE,Inputs!$B$32,0)))*(1-IF(AND(ArtifactsInput!$M$27,Inputs!$B$4="Chapter Hunt"),CHOOSE(ArtifactsInput!$N$27+1,20,24,28,32,36,40),0)/100)))+1)),0)</f>
        <v/>
      </c>
      <c r="S646">
        <f>IFERROR(O646/N646,0)</f>
        <v/>
      </c>
      <c r="T646" t="n">
        <v>0</v>
      </c>
      <c r="V646" t="n">
        <v>0</v>
      </c>
    </row>
    <row r="647">
      <c r="A647">
        <f>Skills!A16</f>
        <v/>
      </c>
      <c r="B647">
        <f>Skills!B16</f>
        <v/>
      </c>
      <c r="C647">
        <f>Inputs!$B$3&gt;=105</f>
        <v/>
      </c>
      <c r="D647">
        <f>IF(Skills!C16=1,60+Inputs!$B$25+Inputs!$B$29,IF(Skills!C16=2,90+Inputs!$B$26+Inputs!$B$29,IF(Skills!C16=3,120+Inputs!$B$27+Inputs!$B$29,MAX(0,(Inputs!$B$3-100)*3)+Inputs!$B$28+Inputs!$B$29)))</f>
        <v/>
      </c>
      <c r="E647">
        <f>INDEX(FactorTable!$B$2:$Y$301, MATCH(ROUND(MIN(300,MAX(1,D647)),0), FactorTable!$A$2:$A$301,0), Skills!M16+1)</f>
        <v/>
      </c>
      <c r="F647">
        <f>IF(Skills!N16=TRUE,(Skills!L16/10)*(E647/1000),Skills!L16/10)+Skills!O16</f>
        <v/>
      </c>
      <c r="G647">
        <f>Skills!G16*IF(Skills!H16&gt;0,Skills!I16/Skills!H16,1)</f>
        <v/>
      </c>
      <c r="H647">
        <f>1-(1-Skills!J16/100)^Skills!K16</f>
        <v/>
      </c>
      <c r="I647" t="inlineStr">
        <is>
          <t>1</t>
        </is>
      </c>
      <c r="J647" t="inlineStr"/>
      <c r="K647" t="inlineStr"/>
      <c r="L647" t="inlineStr"/>
      <c r="M647" t="inlineStr"/>
      <c r="N647" t="inlineStr"/>
      <c r="O647">
        <f>(1-Summary!$B$11)*T647+Summary!$B$11*V647</f>
        <v/>
      </c>
      <c r="P647">
        <f>IF(B668=0,0,O647/B668)</f>
        <v/>
      </c>
      <c r="Q647">
        <f>IFERROR(1/(IF(Inputs!$B$38="pvp",15,MAX(0.1,Skills!D16-IF(Skills!E16=TRUE,Inputs!$B$32,0)))*(1-IF(AND(ArtifactsInput!$M$27,Inputs!$B$4="Chapter Hunt"),CHOOSE(ArtifactsInput!$N$27+1,20,24,28,32,36,40),0)/100)),0)</f>
        <v/>
      </c>
      <c r="R647">
        <f>IF(AND(Inputs!$B$38&lt;&gt;"pvp",Inputs!$B$43&gt;0),IF(Inputs!$B$43&lt;=0,0,(INT(Inputs!$B$43/(IF(Inputs!$B$38="pvp",15,MAX(0.1,Skills!D16-IF(Skills!E16=TRUE,Inputs!$B$32,0)))*(1-IF(AND(ArtifactsInput!$M$27,Inputs!$B$4="Chapter Hunt"),CHOOSE(ArtifactsInput!$N$27+1,20,24,28,32,36,40),0)/100)))+1)),0)</f>
        <v/>
      </c>
      <c r="S647">
        <f>IFERROR(O647/N647,0)</f>
        <v/>
      </c>
      <c r="T647" t="n">
        <v>0</v>
      </c>
      <c r="V647" t="n">
        <v>0</v>
      </c>
    </row>
    <row r="648">
      <c r="A648">
        <f>Skills!A17</f>
        <v/>
      </c>
      <c r="B648">
        <f>Skills!B17</f>
        <v/>
      </c>
      <c r="C648">
        <f>Inputs!$B$3&gt;=115</f>
        <v/>
      </c>
      <c r="D648">
        <f>IF(Skills!C17=1,60+Inputs!$B$25+Inputs!$B$29,IF(Skills!C17=2,90+Inputs!$B$26+Inputs!$B$29,IF(Skills!C17=3,120+Inputs!$B$27+Inputs!$B$29,MAX(0,(Inputs!$B$3-100)*3)+Inputs!$B$28+Inputs!$B$29)))</f>
        <v/>
      </c>
      <c r="E648">
        <f>INDEX(FactorTable!$B$2:$Y$301, MATCH(ROUND(MIN(300,MAX(1,D648)),0), FactorTable!$A$2:$A$301,0), Skills!M17+1)</f>
        <v/>
      </c>
      <c r="F648">
        <f>IF(Skills!N17=TRUE,(Skills!L17/10)*(E648/1000),Skills!L17/10)+Skills!O17</f>
        <v/>
      </c>
      <c r="G648">
        <f>Skills!G17*IF(Skills!H17&gt;0,Skills!I17/Skills!H17,1)</f>
        <v/>
      </c>
      <c r="H648">
        <f>1-(1-Skills!J17/100)^Skills!K17</f>
        <v/>
      </c>
      <c r="I648" t="inlineStr">
        <is>
          <t>1</t>
        </is>
      </c>
      <c r="J648" t="inlineStr"/>
      <c r="K648" t="inlineStr"/>
      <c r="L648" t="inlineStr"/>
      <c r="M648" t="inlineStr"/>
      <c r="N648" t="inlineStr"/>
      <c r="O648">
        <f>(1-Summary!$B$11)*T648+Summary!$B$11*V648</f>
        <v/>
      </c>
      <c r="P648">
        <f>IF(B668=0,0,O648/B668)</f>
        <v/>
      </c>
      <c r="Q648">
        <f>IFERROR(1/(IF(Inputs!$B$38="pvp",15,MAX(0.1,Skills!D17-IF(Skills!E17=TRUE,Inputs!$B$32,0)))*(1-IF(AND(ArtifactsInput!$M$27,Inputs!$B$4="Chapter Hunt"),CHOOSE(ArtifactsInput!$N$27+1,20,24,28,32,36,40),0)/100)),0)</f>
        <v/>
      </c>
      <c r="R648">
        <f>IF(AND(Inputs!$B$38&lt;&gt;"pvp",Inputs!$B$43&gt;0),IF(Inputs!$B$43&lt;=0,0,(INT(Inputs!$B$43/(IF(Inputs!$B$38="pvp",15,MAX(0.1,Skills!D17-IF(Skills!E17=TRUE,Inputs!$B$32,0)))*(1-IF(AND(ArtifactsInput!$M$27,Inputs!$B$4="Chapter Hunt"),CHOOSE(ArtifactsInput!$N$27+1,20,24,28,32,36,40),0)/100)))+1)),0)</f>
        <v/>
      </c>
      <c r="S648">
        <f>IFERROR(O648/N648,0)</f>
        <v/>
      </c>
      <c r="T648" t="n">
        <v>0</v>
      </c>
      <c r="V648" t="n">
        <v>0</v>
      </c>
    </row>
    <row r="649">
      <c r="A649">
        <f>Skills!A18</f>
        <v/>
      </c>
      <c r="B649">
        <f>Skills!B18</f>
        <v/>
      </c>
      <c r="C649">
        <f>Inputs!$B$3&gt;=74</f>
        <v/>
      </c>
      <c r="D649">
        <f>IF(Skills!C18=1,60+Inputs!$B$25+Inputs!$B$29,IF(Skills!C18=2,90+Inputs!$B$26+Inputs!$B$29,IF(Skills!C18=3,120+Inputs!$B$27+Inputs!$B$29,MAX(0,(Inputs!$B$3-100)*3)+Inputs!$B$28+Inputs!$B$29)))</f>
        <v/>
      </c>
      <c r="E649">
        <f>INDEX(FactorTable!$B$2:$Y$301, MATCH(ROUND(MIN(300,MAX(1,D649)),0), FactorTable!$A$2:$A$301,0), Skills!M18+1)</f>
        <v/>
      </c>
      <c r="F649">
        <f>IF(Skills!N18=TRUE,(Skills!L18/10)*(E649/1000),Skills!L18/10)+Skills!O18</f>
        <v/>
      </c>
      <c r="G649">
        <f>Skills!G18*IF(Skills!H18&gt;0,Skills!I18/Skills!H18,1)</f>
        <v/>
      </c>
      <c r="H649">
        <f>1-(1-Skills!J18/100)^Skills!K18</f>
        <v/>
      </c>
      <c r="I649" t="inlineStr">
        <is>
          <t>1</t>
        </is>
      </c>
      <c r="J649" t="inlineStr"/>
      <c r="K649" t="inlineStr"/>
      <c r="L649" t="inlineStr"/>
      <c r="M649" t="inlineStr"/>
      <c r="N649" t="inlineStr"/>
      <c r="O649">
        <f>(1-Summary!$B$11)*T649+Summary!$B$11*V649</f>
        <v/>
      </c>
      <c r="P649">
        <f>IF(B668=0,0,O649/B668)</f>
        <v/>
      </c>
      <c r="Q649">
        <f>IFERROR(1/(IF(Inputs!$B$38="pvp",15,MAX(0.1,Skills!D18-IF(Skills!E18=TRUE,Inputs!$B$32,0)))*(1-IF(AND(ArtifactsInput!$M$27,Inputs!$B$4="Chapter Hunt"),CHOOSE(ArtifactsInput!$N$27+1,20,24,28,32,36,40),0)/100)),0)</f>
        <v/>
      </c>
      <c r="R649">
        <f>IF(AND(Inputs!$B$38&lt;&gt;"pvp",Inputs!$B$43&gt;0),IF(Inputs!$B$43&lt;=0,0,(INT(Inputs!$B$43/(IF(Inputs!$B$38="pvp",15,MAX(0.1,Skills!D18-IF(Skills!E18=TRUE,Inputs!$B$32,0)))*(1-IF(AND(ArtifactsInput!$M$27,Inputs!$B$4="Chapter Hunt"),CHOOSE(ArtifactsInput!$N$27+1,20,24,28,32,36,40),0)/100)))+1)),0)</f>
        <v/>
      </c>
      <c r="S649">
        <f>IFERROR(O649/N649,0)</f>
        <v/>
      </c>
      <c r="T649" t="n">
        <v>0</v>
      </c>
      <c r="V649" t="n">
        <v>0</v>
      </c>
    </row>
    <row r="650">
      <c r="A650">
        <f>Skills!A19</f>
        <v/>
      </c>
      <c r="B650">
        <f>Skills!B19</f>
        <v/>
      </c>
      <c r="C650">
        <f>TRUE</f>
        <v/>
      </c>
      <c r="D650">
        <f>IF(Skills!C19=1,60+Inputs!$B$25+Inputs!$B$29,IF(Skills!C19=2,90+Inputs!$B$26+Inputs!$B$29,IF(Skills!C19=3,120+Inputs!$B$27+Inputs!$B$29,MAX(0,(Inputs!$B$3-100)*3)+Inputs!$B$28+Inputs!$B$29)))</f>
        <v/>
      </c>
      <c r="E650">
        <f>INDEX(FactorTable!$B$2:$Y$301, MATCH(ROUND(MIN(300,MAX(1,D650)),0), FactorTable!$A$2:$A$301,0), Skills!M19+1)</f>
        <v/>
      </c>
      <c r="F650">
        <f>IF(Skills!N19=TRUE,(Skills!L19/10)*(E650/1000),Skills!L19/10)+Skills!O19</f>
        <v/>
      </c>
      <c r="G650">
        <f>Skills!G19*IF(Skills!H19&gt;0,Skills!I19/Skills!H19,1)</f>
        <v/>
      </c>
      <c r="H650">
        <f>1-(1-Skills!J19/100)^Skills!K19</f>
        <v/>
      </c>
      <c r="I650" t="inlineStr">
        <is>
          <t>1</t>
        </is>
      </c>
      <c r="J650" t="inlineStr"/>
      <c r="K650" t="inlineStr"/>
      <c r="L650" t="inlineStr"/>
      <c r="M650" t="inlineStr"/>
      <c r="N650" t="inlineStr"/>
      <c r="O650">
        <f>(1-Summary!$B$11)*T650+Summary!$B$11*V650</f>
        <v/>
      </c>
      <c r="P650">
        <f>IF(B668=0,0,O650/B668)</f>
        <v/>
      </c>
      <c r="Q650">
        <f>IFERROR(1/(IF(Inputs!$B$38="pvp",15,MAX(0.1,Skills!D19-IF(Skills!E19=TRUE,Inputs!$B$32,0)))*(1-IF(AND(ArtifactsInput!$M$27,Inputs!$B$4="Chapter Hunt"),CHOOSE(ArtifactsInput!$N$27+1,20,24,28,32,36,40),0)/100)),0)</f>
        <v/>
      </c>
      <c r="R650">
        <f>IF(AND(Inputs!$B$38&lt;&gt;"pvp",Inputs!$B$43&gt;0),IF(Inputs!$B$43&lt;=0,0,(INT(Inputs!$B$43/(IF(Inputs!$B$38="pvp",15,MAX(0.1,Skills!D19-IF(Skills!E19=TRUE,Inputs!$B$32,0)))*(1-IF(AND(ArtifactsInput!$M$27,Inputs!$B$4="Chapter Hunt"),CHOOSE(ArtifactsInput!$N$27+1,20,24,28,32,36,40),0)/100)))+1)),0)</f>
        <v/>
      </c>
      <c r="S650">
        <f>IFERROR(O650/N650,0)</f>
        <v/>
      </c>
      <c r="T650" t="n">
        <v>0</v>
      </c>
      <c r="V650" t="n">
        <v>0</v>
      </c>
    </row>
    <row r="651">
      <c r="A651">
        <f>Skills!A20</f>
        <v/>
      </c>
      <c r="B651">
        <f>Skills!B20</f>
        <v/>
      </c>
      <c r="C651">
        <f>Inputs!$B$3&gt;=33</f>
        <v/>
      </c>
      <c r="D651">
        <f>IF(Skills!C20=1,60+Inputs!$B$25+Inputs!$B$29,IF(Skills!C20=2,90+Inputs!$B$26+Inputs!$B$29,IF(Skills!C20=3,120+Inputs!$B$27+Inputs!$B$29,MAX(0,(Inputs!$B$3-100)*3)+Inputs!$B$28+Inputs!$B$29)))</f>
        <v/>
      </c>
      <c r="E651">
        <f>INDEX(FactorTable!$B$2:$Y$301, MATCH(ROUND(MIN(300,MAX(1,D651)),0), FactorTable!$A$2:$A$301,0), Skills!M20+1)</f>
        <v/>
      </c>
      <c r="F651">
        <f>IF(Skills!N20=TRUE,(Skills!L20/10)*(E651/1000),Skills!L20/10)+Skills!O20</f>
        <v/>
      </c>
      <c r="G651">
        <f>Skills!G20*IF(Skills!H20&gt;0,Skills!I20/Skills!H20,1)</f>
        <v/>
      </c>
      <c r="H651">
        <f>1-(1-Skills!J20/100)^Skills!K20</f>
        <v/>
      </c>
      <c r="I651" t="inlineStr">
        <is>
          <t>1</t>
        </is>
      </c>
      <c r="J651" t="inlineStr"/>
      <c r="K651" t="inlineStr"/>
      <c r="L651" t="inlineStr"/>
      <c r="M651" t="inlineStr"/>
      <c r="N651" t="inlineStr"/>
      <c r="O651">
        <f>(1-Summary!$B$11)*T651+Summary!$B$11*V651</f>
        <v/>
      </c>
      <c r="P651">
        <f>IF(B668=0,0,O651/B668)</f>
        <v/>
      </c>
      <c r="Q651" t="n">
        <v>0</v>
      </c>
      <c r="R651" t="n">
        <v>0</v>
      </c>
      <c r="S651">
        <f>IFERROR(O651/N651,0)</f>
        <v/>
      </c>
      <c r="T651" t="n">
        <v>0</v>
      </c>
      <c r="V651" t="n">
        <v>0</v>
      </c>
    </row>
    <row r="652">
      <c r="A652">
        <f>Skills!A21</f>
        <v/>
      </c>
      <c r="B652">
        <f>Skills!B21</f>
        <v/>
      </c>
      <c r="C652">
        <f>Inputs!$B$3&gt;=38</f>
        <v/>
      </c>
      <c r="D652">
        <f>IF(Skills!C21=1,60+Inputs!$B$25+Inputs!$B$29,IF(Skills!C21=2,90+Inputs!$B$26+Inputs!$B$29,IF(Skills!C21=3,120+Inputs!$B$27+Inputs!$B$29,MAX(0,(Inputs!$B$3-100)*3)+Inputs!$B$28+Inputs!$B$29)))</f>
        <v/>
      </c>
      <c r="E652">
        <f>INDEX(FactorTable!$B$2:$Y$301, MATCH(ROUND(MIN(300,MAX(1,D652)),0), FactorTable!$A$2:$A$301,0), Skills!M21+1)</f>
        <v/>
      </c>
      <c r="F652">
        <f>IF(Skills!N21=TRUE,(Skills!L21/10)*(E652/1000),Skills!L21/10)+Skills!O21</f>
        <v/>
      </c>
      <c r="G652">
        <f>Skills!G21*IF(Skills!H21&gt;0,Skills!I21/Skills!H21,1)</f>
        <v/>
      </c>
      <c r="H652">
        <f>1-(1-Skills!J21/100)^Skills!K21</f>
        <v/>
      </c>
      <c r="I652" t="inlineStr">
        <is>
          <t>1</t>
        </is>
      </c>
      <c r="J652" t="inlineStr"/>
      <c r="K652" t="inlineStr"/>
      <c r="L652" t="inlineStr"/>
      <c r="M652" t="inlineStr"/>
      <c r="N652" t="inlineStr"/>
      <c r="O652">
        <f>(1-Summary!$B$11)*T652+Summary!$B$11*V652</f>
        <v/>
      </c>
      <c r="P652">
        <f>IF(B668=0,0,O652/B668)</f>
        <v/>
      </c>
      <c r="Q652" t="n">
        <v>0</v>
      </c>
      <c r="R652" t="n">
        <v>0</v>
      </c>
      <c r="S652">
        <f>IFERROR(O652/N652,0)</f>
        <v/>
      </c>
      <c r="T652" t="n">
        <v>0</v>
      </c>
      <c r="V652" t="n">
        <v>0</v>
      </c>
    </row>
    <row r="653">
      <c r="A653">
        <f>Skills!A22</f>
        <v/>
      </c>
      <c r="B653">
        <f>Skills!B22</f>
        <v/>
      </c>
      <c r="C653">
        <f>Inputs!$B$3&gt;=43</f>
        <v/>
      </c>
      <c r="D653">
        <f>IF(Skills!C22=1,60+Inputs!$B$25+Inputs!$B$29,IF(Skills!C22=2,90+Inputs!$B$26+Inputs!$B$29,IF(Skills!C22=3,120+Inputs!$B$27+Inputs!$B$29,MAX(0,(Inputs!$B$3-100)*3)+Inputs!$B$28+Inputs!$B$29)))</f>
        <v/>
      </c>
      <c r="E653">
        <f>INDEX(FactorTable!$B$2:$Y$301, MATCH(ROUND(MIN(300,MAX(1,D653)),0), FactorTable!$A$2:$A$301,0), Skills!M22+1)</f>
        <v/>
      </c>
      <c r="F653">
        <f>IF(Skills!N22=TRUE,(Skills!L22/10)*(E653/1000),Skills!L22/10)+Skills!O22</f>
        <v/>
      </c>
      <c r="G653">
        <f>Skills!G22*IF(Skills!H22&gt;0,Skills!I22/Skills!H22,1)</f>
        <v/>
      </c>
      <c r="H653">
        <f>1-(1-Skills!J22/100)^Skills!K22</f>
        <v/>
      </c>
      <c r="I653" t="inlineStr">
        <is>
          <t>1</t>
        </is>
      </c>
      <c r="J653" t="inlineStr"/>
      <c r="K653" t="inlineStr"/>
      <c r="L653" t="inlineStr"/>
      <c r="M653" t="inlineStr"/>
      <c r="N653" t="inlineStr"/>
      <c r="O653">
        <f>(1-Summary!$B$11)*T653+Summary!$B$11*V653</f>
        <v/>
      </c>
      <c r="P653">
        <f>IF(B668=0,0,O653/B668)</f>
        <v/>
      </c>
      <c r="Q653" t="n">
        <v>0</v>
      </c>
      <c r="R653" t="n">
        <v>0</v>
      </c>
      <c r="S653">
        <f>IFERROR(O653/N653,0)</f>
        <v/>
      </c>
      <c r="T653" t="n">
        <v>0</v>
      </c>
      <c r="V653" t="n">
        <v>0</v>
      </c>
    </row>
    <row r="654">
      <c r="A654">
        <f>Skills!A23</f>
        <v/>
      </c>
      <c r="B654">
        <f>Skills!B23</f>
        <v/>
      </c>
      <c r="C654">
        <f>Inputs!$B$3&gt;=120</f>
        <v/>
      </c>
      <c r="D654">
        <f>IF(Skills!C23=1,60+Inputs!$B$25+Inputs!$B$29,IF(Skills!C23=2,90+Inputs!$B$26+Inputs!$B$29,IF(Skills!C23=3,120+Inputs!$B$27+Inputs!$B$29,MAX(0,(Inputs!$B$3-100)*3)+Inputs!$B$28+Inputs!$B$29)))</f>
        <v/>
      </c>
      <c r="E654">
        <f>INDEX(FactorTable!$B$2:$Y$301, MATCH(ROUND(MIN(300,MAX(1,D654)),0), FactorTable!$A$2:$A$301,0), Skills!M23+1)</f>
        <v/>
      </c>
      <c r="F654">
        <f>IF(Skills!N23=TRUE,(Skills!L23/10)*(E654/1000),Skills!L23/10)+Skills!O23</f>
        <v/>
      </c>
      <c r="G654">
        <f>Skills!G23*IF(Skills!H23&gt;0,Skills!I23/Skills!H23,1)</f>
        <v/>
      </c>
      <c r="H654">
        <f>1-(1-Skills!J23/100)^Skills!K23</f>
        <v/>
      </c>
      <c r="I654" t="inlineStr">
        <is>
          <t>1</t>
        </is>
      </c>
      <c r="J654" t="inlineStr"/>
      <c r="K654" t="inlineStr"/>
      <c r="L654" t="inlineStr"/>
      <c r="M654" t="inlineStr"/>
      <c r="N654" t="inlineStr"/>
      <c r="O654">
        <f>(1-Summary!$B$11)*T654+Summary!$B$11*V654</f>
        <v/>
      </c>
      <c r="P654">
        <f>IF(B668=0,0,O654/B668)</f>
        <v/>
      </c>
      <c r="Q654" t="n">
        <v>0</v>
      </c>
      <c r="R654" t="n">
        <v>0</v>
      </c>
      <c r="S654">
        <f>IFERROR(O654/N654,0)</f>
        <v/>
      </c>
      <c r="T654" t="n">
        <v>0</v>
      </c>
      <c r="V654" t="n">
        <v>0</v>
      </c>
    </row>
    <row r="655">
      <c r="A655">
        <f>Skills!A24</f>
        <v/>
      </c>
      <c r="B655">
        <f>Skills!B24</f>
        <v/>
      </c>
      <c r="C655">
        <f>Inputs!$B$3&gt;=120</f>
        <v/>
      </c>
      <c r="D655">
        <f>IF(Skills!C24=1,60+Inputs!$B$25+Inputs!$B$29,IF(Skills!C24=2,90+Inputs!$B$26+Inputs!$B$29,IF(Skills!C24=3,120+Inputs!$B$27+Inputs!$B$29,MAX(0,(Inputs!$B$3-100)*3)+Inputs!$B$28+Inputs!$B$29)))</f>
        <v/>
      </c>
      <c r="E655">
        <f>INDEX(FactorTable!$B$2:$Y$301, MATCH(ROUND(MIN(300,MAX(1,D655)),0), FactorTable!$A$2:$A$301,0), Skills!M24+1)</f>
        <v/>
      </c>
      <c r="F655">
        <f>IF(Skills!N24=TRUE,(Skills!L24/10)*(E655/1000),Skills!L24/10)+Skills!O24</f>
        <v/>
      </c>
      <c r="G655">
        <f>Skills!G24*IF(Skills!H24&gt;0,Skills!I24/Skills!H24,1)</f>
        <v/>
      </c>
      <c r="H655">
        <f>1-(1-Skills!J24/100)^Skills!K24</f>
        <v/>
      </c>
      <c r="I655" t="inlineStr">
        <is>
          <t>1</t>
        </is>
      </c>
      <c r="J655" t="inlineStr"/>
      <c r="K655" t="inlineStr"/>
      <c r="L655" t="inlineStr"/>
      <c r="M655" t="inlineStr"/>
      <c r="N655" t="inlineStr"/>
      <c r="O655">
        <f>(1-Summary!$B$11)*T655+Summary!$B$11*V655</f>
        <v/>
      </c>
      <c r="P655">
        <f>IF(B668=0,0,O655/B668)</f>
        <v/>
      </c>
      <c r="Q655" t="n">
        <v>0</v>
      </c>
      <c r="R655" t="n">
        <v>0</v>
      </c>
      <c r="S655">
        <f>IFERROR(O655/N655,0)</f>
        <v/>
      </c>
      <c r="T655" t="n">
        <v>0</v>
      </c>
      <c r="V655" t="n">
        <v>0</v>
      </c>
    </row>
    <row r="657">
      <c r="A657" t="inlineStr">
        <is>
          <t>Attack% Bucket Multiplier</t>
        </is>
      </c>
      <c r="B657">
        <f>(1+(((C644=TRUE)*F644*MIN(1,Skills!T13*(Skills!J13/100)*B662))+((C649=TRUE)*F649*IF(AND(Inputs!$B$38&lt;&gt;"pvp",Inputs!$B$43&gt;0),(((R649-1)*(Skills!T18*(1+Inputs!$B$34/100))+MIN((Skills!T18*(1+Inputs!$B$34/100)),MAX(0,Inputs!$B$43-((R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58">
      <c r="A658" t="inlineStr">
        <is>
          <t>Global Crit Rate Bonus %</t>
        </is>
      </c>
      <c r="B658" t="n">
        <v>0</v>
      </c>
    </row>
    <row r="659">
      <c r="A659" t="inlineStr">
        <is>
          <t>Attack Speed Buff Bonus %</t>
        </is>
      </c>
      <c r="B659">
        <f>((C650=TRUE)*F650*IF(AND(Inputs!$B$38&lt;&gt;"pvp",Inputs!$B$43&gt;0),(((R650-1)*(Skills!T19*(1+Inputs!$B$34/100))+MIN((Skills!T19*(1+Inputs!$B$34/100)),MAX(0,Inputs!$B$43-((R650-1)*Skills!D19))))/Inputs!$B$43),IF(Inputs!$B$38="pvp",MIN((Skills!T19*(1+Inputs!$B$34/100)),15)/15,(Skills!T19*(1+Inputs!$B$34/100))/Skills!D19)))</f>
        <v/>
      </c>
    </row>
    <row r="660">
      <c r="A660" t="inlineStr">
        <is>
          <t>Actions Per Second</t>
        </is>
      </c>
      <c r="B660">
        <f>1+MIN(150,150*(1-(1-(Inputs!$B$11+((C651=TRUE)*(F651-Calc!F20)))/150)*(1-B659/150)))/100</f>
        <v/>
      </c>
    </row>
    <row r="661">
      <c r="A661" t="inlineStr">
        <is>
          <t>Skill + Buff Cast Rate</t>
        </is>
      </c>
      <c r="B661">
        <f>IF(AND(Inputs!$B$38&lt;&gt;"pvp",Inputs!$B$43&gt;0),SUMPRODUCT((Skills!E2:E24=TRUE)*(C633:C655=TRUE)*R633:R655*Skills!F2:F24)/Inputs!$B$43,SUMPRODUCT((Skills!E2:E24=TRUE)*(C633:C655=TRUE)*Q633:Q655*Skills!F2:F24))</f>
        <v/>
      </c>
    </row>
    <row r="662">
      <c r="A662" t="inlineStr">
        <is>
          <t>Blast Casts Per Second</t>
        </is>
      </c>
      <c r="B662">
        <f>MAX(0,B660-B661)</f>
        <v/>
      </c>
    </row>
    <row r="663">
      <c r="A663" t="inlineStr">
        <is>
          <t>Global Critical Damage Bonus % (unused)</t>
        </is>
      </c>
      <c r="B663" t="n">
        <v>0</v>
      </c>
    </row>
    <row r="664">
      <c r="A664" t="inlineStr">
        <is>
          <t>Global Final Damage Bonus % (Divine Shield + Guardian + Divine Blessing + Greater Vessel of Light)</t>
        </is>
      </c>
      <c r="B664">
        <f>((C646=TRUE)*F646*IF(AND(Inputs!$B$38&lt;&gt;"pvp",Inputs!$B$43&gt;0),(((R646-1)*(Skills!T15*(1+Inputs!$B$34/100))+MIN((Skills!T15*(1+Inputs!$B$34/100)),MAX(0,Inputs!$B$43-((R646-1)*Skills!D15))))/Inputs!$B$43),IF(Inputs!$B$38="pvp",MIN((Skills!T15*(1+Inputs!$B$34/100)),15)/15,(Skills!T15*(1+Inputs!$B$34/100))/Skills!D15)))+((C647=TRUE)*F647*IF(AND(Inputs!$B$38&lt;&gt;"pvp",Inputs!$B$43&gt;0),(((R647-1)*(Skills!T16*(1+Inputs!$B$34/100))+MIN((Skills!T16*(1+Inputs!$B$34/100)),MAX(0,Inputs!$B$43-((R647-1)*Skills!D16))))/Inputs!$B$43),IF(Inputs!$B$38="pvp",MIN((Skills!T16*(1+Inputs!$B$34/100)),15)/15,(Skills!T16*(1+Inputs!$B$34/100))/Skills!D16)))+((C648=TRUE)*F648*IF(AND(Inputs!$B$38&lt;&gt;"pvp",Inputs!$B$43&gt;0),(((R648-1)*(Skills!T17*(1+Inputs!$B$34/100))+MIN((Skills!T17*(1+Inputs!$B$34/100)),MAX(0,Inputs!$B$43-((R648-1)*Skills!D17))))/Inputs!$B$43),IF(Inputs!$B$38="pvp",MIN((Skills!T17*(1+Inputs!$B$34/100)),15)/15,(Skills!T17*(1+Inputs!$B$34/100))/Skills!D17)))+((C645=TRUE)*F645*MIN(1,Skills!T13*(Skills!J13/100)*B662))</f>
        <v/>
      </c>
    </row>
    <row r="665">
      <c r="A665" t="inlineStr">
        <is>
          <t>Buff-Casting Startup Delay (s, fixed-duration only)</t>
        </is>
      </c>
      <c r="B665">
        <f>IF(AND(Inputs!$B$38&lt;&gt;"pvp",Inputs!$B$43&gt;0),SUMPRODUCT((Skills!T2:T24&gt;0)*(Skills!E2:E24=TRUE)*(C633:C655=TRUE))/B660,0)</f>
        <v/>
      </c>
    </row>
    <row r="666">
      <c r="A666" t="inlineStr">
        <is>
          <t>Boss-Only Total DPS (this block's swept value)</t>
        </is>
      </c>
      <c r="B666">
        <f>SUM(T633:T655)</f>
        <v/>
      </c>
    </row>
    <row r="667">
      <c r="A667" t="inlineStr">
        <is>
          <t>Normal-Only Total DPS (this block's swept value)</t>
        </is>
      </c>
      <c r="B667">
        <f>SUM(V633:V655)</f>
        <v/>
      </c>
    </row>
    <row r="668">
      <c r="A668" s="6" t="inlineStr">
        <is>
          <t>TOTAL DPS</t>
        </is>
      </c>
      <c r="B668" s="6">
        <f>SUM(O633:O655)</f>
        <v/>
      </c>
    </row>
    <row r="671">
      <c r="A671" s="6" t="inlineStr">
        <is>
          <t>Stat: SKILL_DAMAGE %</t>
        </is>
      </c>
    </row>
    <row r="672">
      <c r="A672" s="5" t="inlineStr">
        <is>
          <t>Key</t>
        </is>
      </c>
      <c r="B672" s="5" t="inlineStr">
        <is>
          <t>Name</t>
        </is>
      </c>
      <c r="C672" s="5" t="inlineStr">
        <is>
          <t>Unlocked</t>
        </is>
      </c>
      <c r="D672" s="5" t="inlineStr">
        <is>
          <t>InputLevel</t>
        </is>
      </c>
      <c r="E672" s="5" t="inlineStr">
        <is>
          <t>Factor</t>
        </is>
      </c>
      <c r="F672" s="5" t="inlineStr">
        <is>
          <t>CoefficientPercent</t>
        </is>
      </c>
      <c r="G672" s="5" t="inlineStr">
        <is>
          <t>EffectiveHits</t>
        </is>
      </c>
      <c r="H672" s="5" t="inlineStr">
        <is>
          <t>ProcProbability</t>
        </is>
      </c>
      <c r="I672" s="5" t="inlineStr">
        <is>
          <t>MapleHeroMultiplier</t>
        </is>
      </c>
      <c r="J672" s="5" t="inlineStr">
        <is>
          <t>BaseDamage</t>
        </is>
      </c>
      <c r="K672" s="5" t="inlineStr">
        <is>
          <t>BaseHitDamage</t>
        </is>
      </c>
      <c r="L672" s="5" t="inlineStr">
        <is>
          <t>NonCritAvg</t>
        </is>
      </c>
      <c r="M672" s="5" t="inlineStr">
        <is>
          <t>CritAvg</t>
        </is>
      </c>
      <c r="N672" s="5" t="inlineStr">
        <is>
          <t>ExpectedDamage(perHit)</t>
        </is>
      </c>
      <c r="O672" s="5" t="inlineStr">
        <is>
          <t>DPS</t>
        </is>
      </c>
      <c r="P672" s="5" t="inlineStr">
        <is>
          <t>% of Total</t>
        </is>
      </c>
      <c r="Q672" s="5" t="inlineStr">
        <is>
          <t>InvCooldown</t>
        </is>
      </c>
      <c r="R672" s="5" t="inlineStr">
        <is>
          <t>CastsInFight</t>
        </is>
      </c>
      <c r="S672" s="5" t="inlineStr">
        <is>
          <t>HitRate(perSec)</t>
        </is>
      </c>
      <c r="U672" t="inlineStr">
        <is>
          <t>helpers</t>
        </is>
      </c>
    </row>
    <row r="673">
      <c r="A673">
        <f>Skills!A2</f>
        <v/>
      </c>
      <c r="B673">
        <f>Skills!B2</f>
        <v/>
      </c>
      <c r="C673">
        <f>Inputs!$B$3&gt;=100</f>
        <v/>
      </c>
      <c r="D673" t="inlineStr"/>
      <c r="E673" t="inlineStr"/>
      <c r="F673">
        <f>U675+Skills!O2</f>
        <v/>
      </c>
      <c r="G673">
        <f>Skills!G2*IF(Skills!H2&gt;0,Skills!I2/Skills!H2,1)</f>
        <v/>
      </c>
      <c r="H673">
        <f>1-(1-Skills!J2/100)^Skills!K2</f>
        <v/>
      </c>
      <c r="I673" t="inlineStr">
        <is>
          <t>1</t>
        </is>
      </c>
      <c r="J673">
        <f>((Inputs!$B$6*(1+Inputs!$B$7/100))+(((Inputs!$B$12*(1+Inputs!$B$13/100))-(Inputs!$B$12*(1+Inputs!$B$13/100)))+0.25*(Inputs!$B$14-Inputs!$B$14))*(1+Inputs!$B$7/100))*(F673/100)</f>
        <v/>
      </c>
      <c r="K673">
        <f>J673*(1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673)</f>
        <v/>
      </c>
      <c r="L673">
        <f>K673*(MIN(Inputs!$B$22+((C693=TRUE)*(F693-Calc!F22)),(Inputs!$B$23+((C695=TRUE)*(F695-Calc!F24))+(IF(ArtifactsInput!$M$15,CHOOSE(ArtifactsInput!$N$15+1,25,30,35,40,45,50)/100*(Inputs!$B$11-Inputs!$B$11),0))))/100+(Inputs!$B$23+((C695=TRUE)*(F695-Calc!F24))+(IF(ArtifactsInput!$M$15,CHOOSE(ArtifactsInput!$N$15+1,25,30,35,40,45,50)/100*(Inputs!$B$11-Inputs!$B$11),0)))/100)/2</f>
        <v/>
      </c>
      <c r="M673">
        <f>L673*(1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3">
        <f>L673*(1-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673*(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3">
        <f>(1-Summary!$B$11)*T673+Summary!$B$11*V673</f>
        <v/>
      </c>
      <c r="P673">
        <f>IF(B708=0,0,O673/B708)</f>
        <v/>
      </c>
      <c r="Q673" t="n">
        <v>0</v>
      </c>
      <c r="R673" t="n">
        <v>0</v>
      </c>
      <c r="S673">
        <f>IFERROR(O673/N673,0)</f>
        <v/>
      </c>
      <c r="T673">
        <f>IF(C673,(Skills!G2*N673*B702)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673*(1-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673*(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673*(1-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673*(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3">
        <f>MAX(0,(Inputs!$B$3-100)*3)+Inputs!$B$28+Inputs!$B$29</f>
        <v/>
      </c>
      <c r="V673">
        <f>IF(C673,(Skills!G2*N673*B702)*IF(Inputs!$B$38="pvp",1,(1+(Inputs!$B$21+Skills!Q2+(IF(ArtifactsInput!$M$33,CHOOSE(ArtifactsInput!$N$33+1,30,36,42,48,54,60),0))+(IF(AND(ArtifactsInput!$M$35,Inputs!$B$4&lt;&gt;"Chapter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4">
      <c r="A674">
        <f>Skills!A3</f>
        <v/>
      </c>
      <c r="B674">
        <f>Skills!B3</f>
        <v/>
      </c>
      <c r="C674">
        <f>Inputs!$B$3&gt;=50</f>
        <v/>
      </c>
      <c r="D674">
        <f>IF(Skills!C3=1,60+Inputs!$B$25+Inputs!$B$29,IF(Skills!C3=2,90+Inputs!$B$26+Inputs!$B$29,IF(Skills!C3=3,120+Inputs!$B$27+Inputs!$B$29,MAX(0,(Inputs!$B$3-100)*3)+Inputs!$B$28+Inputs!$B$29)))</f>
        <v/>
      </c>
      <c r="E674">
        <f>INDEX(FactorTable!$B$2:$Y$301, MATCH(ROUND(MIN(300,MAX(1,D674)),0), FactorTable!$A$2:$A$301,0), Skills!M3+1)</f>
        <v/>
      </c>
      <c r="F674">
        <f>IF(Skills!N3=TRUE,(Skills!L3/10)*(E674/1000),Skills!L3/10)+Skills!O3</f>
        <v/>
      </c>
      <c r="G674" t="inlineStr"/>
      <c r="H674" t="inlineStr"/>
      <c r="I674" t="inlineStr">
        <is>
          <t>1</t>
        </is>
      </c>
      <c r="J674" t="inlineStr"/>
      <c r="K674" t="inlineStr"/>
      <c r="L674" t="inlineStr"/>
      <c r="M674" t="inlineStr"/>
      <c r="N674" t="inlineStr"/>
      <c r="O674" t="inlineStr"/>
      <c r="P674" t="inlineStr"/>
      <c r="Q674" t="inlineStr"/>
      <c r="R674" t="inlineStr"/>
      <c r="S674" t="inlineStr"/>
      <c r="U674">
        <f>INDEX(FactorTable!$B$2:$Y$301, MATCH(ROUND(MIN(300,MAX(1,U673)),0), FactorTable!$A$2:$A$301,0), 22)</f>
        <v/>
      </c>
    </row>
    <row r="675">
      <c r="A675">
        <f>Skills!A4</f>
        <v/>
      </c>
      <c r="B675">
        <f>Skills!B4</f>
        <v/>
      </c>
      <c r="C675">
        <f>Inputs!$B$3&gt;=35</f>
        <v/>
      </c>
      <c r="D675">
        <f>IF(Skills!C4=1,60+Inputs!$B$25+Inputs!$B$29,IF(Skills!C4=2,90+Inputs!$B$26+Inputs!$B$29,IF(Skills!C4=3,120+Inputs!$B$27+Inputs!$B$29,MAX(0,(Inputs!$B$3-100)*3)+Inputs!$B$28+Inputs!$B$29)))</f>
        <v/>
      </c>
      <c r="E675">
        <f>INDEX(FactorTable!$B$2:$Y$301, MATCH(ROUND(MIN(300,MAX(1,D675)),0), FactorTable!$A$2:$A$301,0), Skills!M4+1)</f>
        <v/>
      </c>
      <c r="F675">
        <f>IF(Skills!N4=TRUE,(Skills!L4/10)*(E675/1000),Skills!L4/10)+Skills!O4</f>
        <v/>
      </c>
      <c r="G675">
        <f>Skills!G4*IF(Skills!H4&gt;0,Skills!I4/Skills!H4,1)</f>
        <v/>
      </c>
      <c r="H675">
        <f>1-(1-Skills!J4/100)^Skills!K4</f>
        <v/>
      </c>
      <c r="I675" t="inlineStr">
        <is>
          <t>1</t>
        </is>
      </c>
      <c r="J675">
        <f>((Inputs!$B$6*(1+Inputs!$B$7/100))+(((Inputs!$B$12*(1+Inputs!$B$13/100))-(Inputs!$B$12*(1+Inputs!$B$13/100)))+0.25*(Inputs!$B$14-Inputs!$B$14))*(1+Inputs!$B$7/100))*(F675/100)</f>
        <v/>
      </c>
      <c r="K675">
        <f>J675*(1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683=TRUE,F683,0)/100)*(1+(IF(Skills!A4="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675)</f>
        <v/>
      </c>
      <c r="L675">
        <f>K675*(MIN(Inputs!$B$22+((C693=TRUE)*(F693-Calc!F22)),(Inputs!$B$23+((C695=TRUE)*(F695-Calc!F24))+(IF(ArtifactsInput!$M$15,CHOOSE(ArtifactsInput!$N$15+1,25,30,35,40,45,50)/100*(Inputs!$B$11-Inputs!$B$11),0))))/100+(Inputs!$B$23+((C695=TRUE)*(F695-Calc!F24))+(IF(ArtifactsInput!$M$15,CHOOSE(ArtifactsInput!$N$15+1,25,30,35,40,45,50)/100*(Inputs!$B$11-Inputs!$B$11),0)))/100)/2</f>
        <v/>
      </c>
      <c r="M675">
        <f>L675*(1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5">
        <f>L675*(1-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675*(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5">
        <f>(1-Summary!$B$11)*T675+Summary!$B$11*V675</f>
        <v/>
      </c>
      <c r="P675">
        <f>IF(B708=0,0,O675/B708)</f>
        <v/>
      </c>
      <c r="Q675">
        <f>IFERROR(1/(IF(Inputs!$B$38="pvp",15,MAX(0.1,Skills!D4-IF(Skills!E4=TRUE,Inputs!$B$32,0)))*(1-IF(AND(ArtifactsInput!$M$27,Inputs!$B$4="Chapter Hunt"),CHOOSE(ArtifactsInput!$N$27+1,20,24,28,32,36,40),0)/100)),0)</f>
        <v/>
      </c>
      <c r="R675">
        <f>IF(AND(Inputs!$B$38&lt;&gt;"pvp",Inputs!$B$43&gt;0),IF(MAX(0,Inputs!$B$43-B705)&lt;=0,0,(INT(MAX(0,Inputs!$B$43-B705)/(IF(Inputs!$B$38="pvp",15,MAX(0.1,Skills!D4-IF(Skills!E4=TRUE,Inputs!$B$32,0)))*(1-IF(AND(ArtifactsInput!$M$27,Inputs!$B$4="Chapter Hunt"),CHOOSE(ArtifactsInput!$N$27+1,20,24,28,32,36,40),0)/100)))+1)),0)</f>
        <v/>
      </c>
      <c r="S675">
        <f>IFERROR(O675/N675,0)</f>
        <v/>
      </c>
      <c r="T675">
        <f>IF(C675,(H675*N675*IF(AND(Inputs!$B$38&lt;&gt;"pvp",Inputs!$B$43&gt;0),((Skills!G4*((R675-1)*IF(Skills!H4&gt;0,Skills!I4/Skills!H4,1)+IF(Skills!H4&gt;0,MIN(Skills!I4,MAX(0,MAX(0,Inputs!$B$43-B705)-((R675-1)*(IF(Inputs!$B$38="pvp",15,MAX(0.1,Skills!D4-IF(Skills!E4=TRUE,Inputs!$B$32,0)))*(1-IF(AND(ArtifactsInput!$M$27,Inputs!$B$4="Chapter Hunt"),CHOOSE(ArtifactsInput!$N$27+1,20,24,28,32,36,40),0)/100)))))/Skills!H4,1)))/Inputs!$B$43),G675*Q675)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675*(1-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675*(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675*(1-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675*(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75">
        <f>290*U674/1000</f>
        <v/>
      </c>
      <c r="V675">
        <f>IF(C675,(H675*N675*IF(AND(Inputs!$B$38&lt;&gt;"pvp",Inputs!$B$43&gt;0),((Skills!G4*((R675-1)*IF(Skills!H4&gt;0,Skills!I4/Skills!H4,1)+IF(Skills!H4&gt;0,MIN(Skills!I4,MAX(0,MAX(0,Inputs!$B$43-B705)-((R675-1)*(IF(Inputs!$B$38="pvp",15,MAX(0.1,Skills!D4-IF(Skills!E4=TRUE,Inputs!$B$32,0)))*(1-IF(AND(ArtifactsInput!$M$27,Inputs!$B$4="Chapter Hunt"),CHOOSE(ArtifactsInput!$N$27+1,20,24,28,32,36,40),0)/100)))))/Skills!H4,1)))/Inputs!$B$43),G675*Q675))*IF(Inputs!$B$38="pvp",1,(1+(Inputs!$B$21+Skills!Q4+(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6">
      <c r="A676">
        <f>Skills!A5</f>
        <v/>
      </c>
      <c r="B676">
        <f>Skills!B5</f>
        <v/>
      </c>
      <c r="C676">
        <f>Inputs!$B$3&gt;=66</f>
        <v/>
      </c>
      <c r="D676">
        <f>IF(Skills!C5=1,60+Inputs!$B$25+Inputs!$B$29,IF(Skills!C5=2,90+Inputs!$B$26+Inputs!$B$29,IF(Skills!C5=3,120+Inputs!$B$27+Inputs!$B$29,MAX(0,(Inputs!$B$3-100)*3)+Inputs!$B$28+Inputs!$B$29)))</f>
        <v/>
      </c>
      <c r="E676">
        <f>INDEX(FactorTable!$B$2:$Y$301, MATCH(ROUND(MIN(300,MAX(1,D676)),0), FactorTable!$A$2:$A$301,0), Skills!M5+1)</f>
        <v/>
      </c>
      <c r="F676">
        <f>IF(Skills!N5=TRUE,(Skills!L5/10)*(E676/1000),Skills!L5/10)+Skills!O5</f>
        <v/>
      </c>
      <c r="G676">
        <f>Skills!G5*IF(Skills!H5&gt;0,Skills!I5/Skills!H5,1)</f>
        <v/>
      </c>
      <c r="H676">
        <f>1-(1-Skills!J5/100)^Skills!K5</f>
        <v/>
      </c>
      <c r="I676" t="inlineStr">
        <is>
          <t>1</t>
        </is>
      </c>
      <c r="J676">
        <f>((Inputs!$B$6*(1+Inputs!$B$7/100))+(((Inputs!$B$12*(1+Inputs!$B$13/100))-(Inputs!$B$12*(1+Inputs!$B$13/100)))+0.25*(Inputs!$B$14-Inputs!$B$14))*(1+Inputs!$B$7/100))*(F676/100)</f>
        <v/>
      </c>
      <c r="K676">
        <f>J676*(1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683=TRUE,F683,0)/100)*(1+(IF(Skills!A5="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676)</f>
        <v/>
      </c>
      <c r="L676">
        <f>K676*(MIN(Inputs!$B$22+((C693=TRUE)*(F693-Calc!F22)),(Inputs!$B$23+((C695=TRUE)*(F695-Calc!F24))+(IF(ArtifactsInput!$M$15,CHOOSE(ArtifactsInput!$N$15+1,25,30,35,40,45,50)/100*(Inputs!$B$11-Inputs!$B$11),0))))/100+(Inputs!$B$23+((C695=TRUE)*(F695-Calc!F24))+(IF(ArtifactsInput!$M$15,CHOOSE(ArtifactsInput!$N$15+1,25,30,35,40,45,50)/100*(Inputs!$B$11-Inputs!$B$11),0)))/100)/2</f>
        <v/>
      </c>
      <c r="M676">
        <f>L676*(1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6">
        <f>L676*(1-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676*(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6">
        <f>(1-Summary!$B$11)*T676+Summary!$B$11*V676</f>
        <v/>
      </c>
      <c r="P676">
        <f>IF(B708=0,0,O676/B708)</f>
        <v/>
      </c>
      <c r="Q676">
        <f>IFERROR(1/(IF(Inputs!$B$38="pvp",15,MAX(0.1,Skills!D5-IF(Skills!E5=TRUE,Inputs!$B$32,0)))*(1-IF(AND(ArtifactsInput!$M$27,Inputs!$B$4="Chapter Hunt"),CHOOSE(ArtifactsInput!$N$27+1,20,24,28,32,36,40),0)/100)),0)</f>
        <v/>
      </c>
      <c r="R676">
        <f>IF(AND(Inputs!$B$38&lt;&gt;"pvp",Inputs!$B$43&gt;0),IF(MAX(0,Inputs!$B$43-B705)&lt;=0,0,(INT(MAX(0,Inputs!$B$43-B705)/(IF(Inputs!$B$38="pvp",15,MAX(0.1,Skills!D5-IF(Skills!E5=TRUE,Inputs!$B$32,0)))*(1-IF(AND(ArtifactsInput!$M$27,Inputs!$B$4="Chapter Hunt"),CHOOSE(ArtifactsInput!$N$27+1,20,24,28,32,36,40),0)/100)))+1)),0)</f>
        <v/>
      </c>
      <c r="S676">
        <f>IFERROR(O676/N676,0)</f>
        <v/>
      </c>
      <c r="T676">
        <f>IF(C676,(H676*N676*IF(AND(Inputs!$B$38&lt;&gt;"pvp",Inputs!$B$43&gt;0),((Skills!G5*((R676-1)*IF(Skills!H5&gt;0,Skills!I5/Skills!H5,1)+IF(Skills!H5&gt;0,MIN(Skills!I5,MAX(0,MAX(0,Inputs!$B$43-B705)-((R676-1)*(IF(Inputs!$B$38="pvp",15,MAX(0.1,Skills!D5-IF(Skills!E5=TRUE,Inputs!$B$32,0)))*(1-IF(AND(ArtifactsInput!$M$27,Inputs!$B$4="Chapter Hunt"),CHOOSE(ArtifactsInput!$N$27+1,20,24,28,32,36,40),0)/100)))))/Skills!H5,1)))/Inputs!$B$43),G676*Q676)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676*(1-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676*(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676*(1-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676*(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6">
        <f>IF(C676,(H676*N676*IF(AND(Inputs!$B$38&lt;&gt;"pvp",Inputs!$B$43&gt;0),((Skills!G5*((R676-1)*IF(Skills!H5&gt;0,Skills!I5/Skills!H5,1)+IF(Skills!H5&gt;0,MIN(Skills!I5,MAX(0,MAX(0,Inputs!$B$43-B705)-((R676-1)*(IF(Inputs!$B$38="pvp",15,MAX(0.1,Skills!D5-IF(Skills!E5=TRUE,Inputs!$B$32,0)))*(1-IF(AND(ArtifactsInput!$M$27,Inputs!$B$4="Chapter Hunt"),CHOOSE(ArtifactsInput!$N$27+1,20,24,28,32,36,40),0)/100)))))/Skills!H5,1)))/Inputs!$B$43),G676*Q676))*IF(Inputs!$B$38="pvp",1,(1+(Inputs!$B$21+Skills!Q5+(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7">
      <c r="A677">
        <f>Skills!A6</f>
        <v/>
      </c>
      <c r="B677">
        <f>Skills!B6</f>
        <v/>
      </c>
      <c r="C677">
        <f>Inputs!$B$3&gt;=103</f>
        <v/>
      </c>
      <c r="D677">
        <f>IF(Skills!C6=1,60+Inputs!$B$25+Inputs!$B$29,IF(Skills!C6=2,90+Inputs!$B$26+Inputs!$B$29,IF(Skills!C6=3,120+Inputs!$B$27+Inputs!$B$29,MAX(0,(Inputs!$B$3-100)*3)+Inputs!$B$28+Inputs!$B$29)))</f>
        <v/>
      </c>
      <c r="E677">
        <f>INDEX(FactorTable!$B$2:$Y$301, MATCH(ROUND(MIN(300,MAX(1,D677)),0), FactorTable!$A$2:$A$301,0), Skills!M6+1)</f>
        <v/>
      </c>
      <c r="F677">
        <f>IF(Skills!N6=TRUE,(Skills!L6/10)*(E677/1000),Skills!L6/10)+Skills!O6</f>
        <v/>
      </c>
      <c r="G677">
        <f>Skills!G6*IF(Skills!H6&gt;0,Skills!I6/Skills!H6,1)</f>
        <v/>
      </c>
      <c r="H677">
        <f>1-(1-Skills!J6/100)^Skills!K6</f>
        <v/>
      </c>
      <c r="I677" t="inlineStr">
        <is>
          <t>1</t>
        </is>
      </c>
      <c r="J677">
        <f>((Inputs!$B$6*(1+Inputs!$B$7/100))+(((Inputs!$B$12*(1+Inputs!$B$13/100))-(Inputs!$B$12*(1+Inputs!$B$13/100)))+0.25*(Inputs!$B$14-Inputs!$B$14))*(1+Inputs!$B$7/100))*(F677/100)</f>
        <v/>
      </c>
      <c r="K677">
        <f>J677*(1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677)</f>
        <v/>
      </c>
      <c r="L677">
        <f>K677*(MIN(Inputs!$B$22+((C693=TRUE)*(F693-Calc!F22)),(Inputs!$B$23+((C695=TRUE)*(F695-Calc!F24))+(IF(ArtifactsInput!$M$15,CHOOSE(ArtifactsInput!$N$15+1,25,30,35,40,45,50)/100*(Inputs!$B$11-Inputs!$B$11),0))))/100+(Inputs!$B$23+((C695=TRUE)*(F695-Calc!F24))+(IF(ArtifactsInput!$M$15,CHOOSE(ArtifactsInput!$N$15+1,25,30,35,40,45,50)/100*(Inputs!$B$11-Inputs!$B$11),0)))/100)/2</f>
        <v/>
      </c>
      <c r="M677">
        <f>L677*(1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7">
        <f>L677*(1-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677*(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7">
        <f>(1-Summary!$B$11)*T677+Summary!$B$11*V677</f>
        <v/>
      </c>
      <c r="P677">
        <f>IF(B708=0,0,O677/B708)</f>
        <v/>
      </c>
      <c r="Q677">
        <f>IFERROR(1/(IF(Inputs!$B$38="pvp",15,MAX(0.1,Skills!D6-IF(Skills!E6=TRUE,Inputs!$B$32,0)))*(1-IF(AND(ArtifactsInput!$M$27,Inputs!$B$4="Chapter Hunt"),CHOOSE(ArtifactsInput!$N$27+1,20,24,28,32,36,40),0)/100)),0)</f>
        <v/>
      </c>
      <c r="R677">
        <f>IF(AND(Inputs!$B$38&lt;&gt;"pvp",Inputs!$B$43&gt;0),IF(MAX(0,Inputs!$B$43-B705)&lt;=0,0,(INT(MAX(0,Inputs!$B$43-B705)/(IF(Inputs!$B$38="pvp",15,MAX(0.1,Skills!D6-IF(Skills!E6=TRUE,Inputs!$B$32,0)))*(1-IF(AND(ArtifactsInput!$M$27,Inputs!$B$4="Chapter Hunt"),CHOOSE(ArtifactsInput!$N$27+1,20,24,28,32,36,40),0)/100)))+1)),0)</f>
        <v/>
      </c>
      <c r="S677">
        <f>IFERROR(O677/N677,0)</f>
        <v/>
      </c>
      <c r="T677">
        <f>IF(C677,(H677*N677*IF(AND(Inputs!$B$38&lt;&gt;"pvp",Inputs!$B$43&gt;0),((Skills!G6*((R677-1)*IF(Skills!H6&gt;0,Skills!I6/Skills!H6,1)+IF(Skills!H6&gt;0,MIN(Skills!I6,MAX(0,MAX(0,Inputs!$B$43-B705)-((R677-1)*(IF(Inputs!$B$38="pvp",15,MAX(0.1,Skills!D6-IF(Skills!E6=TRUE,Inputs!$B$32,0)))*(1-IF(AND(ArtifactsInput!$M$27,Inputs!$B$4="Chapter Hunt"),CHOOSE(ArtifactsInput!$N$27+1,20,24,28,32,36,40),0)/100)))))/Skills!H6,1)))/Inputs!$B$43),G677*Q677)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677*(1-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677*(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677*(1-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677*(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7">
        <f>IF(C677,(H677*N677*IF(AND(Inputs!$B$38&lt;&gt;"pvp",Inputs!$B$43&gt;0),((Skills!G6*((R677-1)*IF(Skills!H6&gt;0,Skills!I6/Skills!H6,1)+IF(Skills!H6&gt;0,MIN(Skills!I6,MAX(0,MAX(0,Inputs!$B$43-B705)-((R677-1)*(IF(Inputs!$B$38="pvp",15,MAX(0.1,Skills!D6-IF(Skills!E6=TRUE,Inputs!$B$32,0)))*(1-IF(AND(ArtifactsInput!$M$27,Inputs!$B$4="Chapter Hunt"),CHOOSE(ArtifactsInput!$N$27+1,20,24,28,32,36,40),0)/100)))))/Skills!H6,1)))/Inputs!$B$43),G677*Q677))*IF(Inputs!$B$38="pvp",1,(1+(Inputs!$B$21+Skills!Q6+(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8">
      <c r="A678">
        <f>Skills!A7</f>
        <v/>
      </c>
      <c r="B678">
        <f>Skills!B7</f>
        <v/>
      </c>
      <c r="C678">
        <f>Inputs!$B$3&gt;=107</f>
        <v/>
      </c>
      <c r="D678">
        <f>IF(Skills!C7=1,60+Inputs!$B$25+Inputs!$B$29,IF(Skills!C7=2,90+Inputs!$B$26+Inputs!$B$29,IF(Skills!C7=3,120+Inputs!$B$27+Inputs!$B$29,MAX(0,(Inputs!$B$3-100)*3)+Inputs!$B$28+Inputs!$B$29)))</f>
        <v/>
      </c>
      <c r="E678">
        <f>INDEX(FactorTable!$B$2:$Y$301, MATCH(ROUND(MIN(300,MAX(1,D678)),0), FactorTable!$A$2:$A$301,0), Skills!M7+1)</f>
        <v/>
      </c>
      <c r="F678">
        <f>IF(Skills!N7=TRUE,(Skills!L7/10)*(E678/1000),Skills!L7/10)+Skills!O7</f>
        <v/>
      </c>
      <c r="G678">
        <f>Skills!G7*IF(Skills!H7&gt;0,Skills!I7/Skills!H7,1)</f>
        <v/>
      </c>
      <c r="H678">
        <f>1-(1-Skills!J7/100)^Skills!K7</f>
        <v/>
      </c>
      <c r="I678" t="inlineStr">
        <is>
          <t>1</t>
        </is>
      </c>
      <c r="J678">
        <f>((Inputs!$B$6*(1+Inputs!$B$7/100))+(((Inputs!$B$12*(1+Inputs!$B$13/100))-(Inputs!$B$12*(1+Inputs!$B$13/100)))+0.25*(Inputs!$B$14-Inputs!$B$14))*(1+Inputs!$B$7/100))*(F678/100)</f>
        <v/>
      </c>
      <c r="K678">
        <f>J678*(1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678)</f>
        <v/>
      </c>
      <c r="L678">
        <f>K678*(MIN(Inputs!$B$22+((C693=TRUE)*(F693-Calc!F22)),(Inputs!$B$23+((C695=TRUE)*(F695-Calc!F24))+(IF(ArtifactsInput!$M$15,CHOOSE(ArtifactsInput!$N$15+1,25,30,35,40,45,50)/100*(Inputs!$B$11-Inputs!$B$11),0))))/100+(Inputs!$B$23+((C695=TRUE)*(F695-Calc!F24))+(IF(ArtifactsInput!$M$15,CHOOSE(ArtifactsInput!$N$15+1,25,30,35,40,45,50)/100*(Inputs!$B$11-Inputs!$B$11),0)))/100)/2</f>
        <v/>
      </c>
      <c r="M678">
        <f>L678*(1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8">
        <f>L678*(1-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678*(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8">
        <f>(1-Summary!$B$11)*T678+Summary!$B$11*V678</f>
        <v/>
      </c>
      <c r="P678">
        <f>IF(B708=0,0,O678/B708)</f>
        <v/>
      </c>
      <c r="Q678">
        <f>IFERROR(1/(IF(Inputs!$B$38="pvp",15,MAX(0.1,Skills!D7-IF(Skills!E7=TRUE,Inputs!$B$32,0)))*(1-IF(AND(ArtifactsInput!$M$27,Inputs!$B$4="Chapter Hunt"),CHOOSE(ArtifactsInput!$N$27+1,20,24,28,32,36,40),0)/100)),0)</f>
        <v/>
      </c>
      <c r="R678">
        <f>IF(AND(Inputs!$B$38&lt;&gt;"pvp",Inputs!$B$43&gt;0),IF(MAX(0,Inputs!$B$43-B705)&lt;=0,0,(INT(MAX(0,Inputs!$B$43-B705)/(IF(Inputs!$B$38="pvp",15,MAX(0.1,Skills!D7-IF(Skills!E7=TRUE,Inputs!$B$32,0)))*(1-IF(AND(ArtifactsInput!$M$27,Inputs!$B$4="Chapter Hunt"),CHOOSE(ArtifactsInput!$N$27+1,20,24,28,32,36,40),0)/100)))+1)),0)</f>
        <v/>
      </c>
      <c r="S678">
        <f>IFERROR(O678/N678,0)</f>
        <v/>
      </c>
      <c r="T678">
        <f>IF(C678,(H678*N678*IF(AND(Inputs!$B$38&lt;&gt;"pvp",Inputs!$B$43&gt;0),((Skills!G7*((R678-1)*IF(Skills!H7&gt;0,Skills!I7/Skills!H7,1)+IF(Skills!H7&gt;0,MIN(Skills!I7,MAX(0,MAX(0,Inputs!$B$43-B705)-((R678-1)*(IF(Inputs!$B$38="pvp",15,MAX(0.1,Skills!D7-IF(Skills!E7=TRUE,Inputs!$B$32,0)))*(1-IF(AND(ArtifactsInput!$M$27,Inputs!$B$4="Chapter Hunt"),CHOOSE(ArtifactsInput!$N$27+1,20,24,28,32,36,40),0)/100)))))/Skills!H7,1)))/Inputs!$B$43),G678*Q678)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678*(1-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678*(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678*(1-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678*(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8">
        <f>IF(C678,(H678*N678*IF(AND(Inputs!$B$38&lt;&gt;"pvp",Inputs!$B$43&gt;0),((Skills!G7*((R678-1)*IF(Skills!H7&gt;0,Skills!I7/Skills!H7,1)+IF(Skills!H7&gt;0,MIN(Skills!I7,MAX(0,MAX(0,Inputs!$B$43-B705)-((R678-1)*(IF(Inputs!$B$38="pvp",15,MAX(0.1,Skills!D7-IF(Skills!E7=TRUE,Inputs!$B$32,0)))*(1-IF(AND(ArtifactsInput!$M$27,Inputs!$B$4="Chapter Hunt"),CHOOSE(ArtifactsInput!$N$27+1,20,24,28,32,36,40),0)/100)))))/Skills!H7,1)))/Inputs!$B$43),G678*Q678))*IF(Inputs!$B$38="pvp",1,(1+(Inputs!$B$21+Skills!Q7+(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79">
      <c r="A679">
        <f>Skills!A8</f>
        <v/>
      </c>
      <c r="B679">
        <f>Skills!B8</f>
        <v/>
      </c>
      <c r="C679">
        <f>Inputs!$B$3&gt;=107</f>
        <v/>
      </c>
      <c r="D679">
        <f>IF(Skills!C8=1,60+Inputs!$B$25+Inputs!$B$29,IF(Skills!C8=2,90+Inputs!$B$26+Inputs!$B$29,IF(Skills!C8=3,120+Inputs!$B$27+Inputs!$B$29,MAX(0,(Inputs!$B$3-100)*3)+Inputs!$B$28+Inputs!$B$29)))</f>
        <v/>
      </c>
      <c r="E679">
        <f>INDEX(FactorTable!$B$2:$Y$301, MATCH(ROUND(MIN(300,MAX(1,D679)),0), FactorTable!$A$2:$A$301,0), Skills!M8+1)</f>
        <v/>
      </c>
      <c r="F679">
        <f>IF(Skills!N8=TRUE,(Skills!L8/10)*(E679/1000),Skills!L8/10)+Skills!O8</f>
        <v/>
      </c>
      <c r="G679">
        <f>Skills!G8*IF(Skills!H8&gt;0,Skills!I8/Skills!H8,1)</f>
        <v/>
      </c>
      <c r="H679">
        <f>1-(1-Skills!J8/100)^Skills!K8</f>
        <v/>
      </c>
      <c r="I679" t="inlineStr">
        <is>
          <t>1</t>
        </is>
      </c>
      <c r="J679">
        <f>((Inputs!$B$6*(1+Inputs!$B$7/100))+(((Inputs!$B$12*(1+Inputs!$B$13/100))-(Inputs!$B$12*(1+Inputs!$B$13/100)))+0.25*(Inputs!$B$14-Inputs!$B$14))*(1+Inputs!$B$7/100))*(F679/100)</f>
        <v/>
      </c>
      <c r="K679">
        <f>J679*(1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679)</f>
        <v/>
      </c>
      <c r="L679">
        <f>K679*(MIN(Inputs!$B$22+((C693=TRUE)*(F693-Calc!F22)),(Inputs!$B$23+((C695=TRUE)*(F695-Calc!F24))+(IF(ArtifactsInput!$M$15,CHOOSE(ArtifactsInput!$N$15+1,25,30,35,40,45,50)/100*(Inputs!$B$11-Inputs!$B$11),0))))/100+(Inputs!$B$23+((C695=TRUE)*(F695-Calc!F24))+(IF(ArtifactsInput!$M$15,CHOOSE(ArtifactsInput!$N$15+1,25,30,35,40,45,50)/100*(Inputs!$B$11-Inputs!$B$11),0)))/100)/2</f>
        <v/>
      </c>
      <c r="M679">
        <f>L679*(1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79">
        <f>L679*(1-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679*(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79">
        <f>(1-Summary!$B$11)*T679+Summary!$B$11*V679</f>
        <v/>
      </c>
      <c r="P679">
        <f>IF(B708=0,0,O679/B708)</f>
        <v/>
      </c>
      <c r="Q679">
        <f>IFERROR(1/(IF(Inputs!$B$38="pvp",15,MAX(0.1,Skills!D8-IF(Skills!E8=TRUE,Inputs!$B$32,0)))*(1-IF(AND(ArtifactsInput!$M$27,Inputs!$B$4="Chapter Hunt"),CHOOSE(ArtifactsInput!$N$27+1,20,24,28,32,36,40),0)/100)),0)</f>
        <v/>
      </c>
      <c r="R679">
        <f>IF(AND(Inputs!$B$38&lt;&gt;"pvp",Inputs!$B$43&gt;0),IF(MAX(0,Inputs!$B$43-B705)&lt;=0,0,(INT(MAX(0,Inputs!$B$43-B705)/(IF(Inputs!$B$38="pvp",15,MAX(0.1,Skills!D8-IF(Skills!E8=TRUE,Inputs!$B$32,0)))*(1-IF(AND(ArtifactsInput!$M$27,Inputs!$B$4="Chapter Hunt"),CHOOSE(ArtifactsInput!$N$27+1,20,24,28,32,36,40),0)/100)))+1)),0)</f>
        <v/>
      </c>
      <c r="S679">
        <f>IFERROR(O679/N679,0)</f>
        <v/>
      </c>
      <c r="T679">
        <f>IF(C679,(H679*N679*IF(AND(Inputs!$B$38&lt;&gt;"pvp",Inputs!$B$43&gt;0),((Skills!G8*((R679-1)*IF(Skills!H8&gt;0,Skills!I8/Skills!H8,1)+IF(Skills!H8&gt;0,MIN(Skills!I8,MAX(0,MAX(0,Inputs!$B$43-B705)-((R679-1)*(IF(Inputs!$B$38="pvp",15,MAX(0.1,Skills!D8-IF(Skills!E8=TRUE,Inputs!$B$32,0)))*(1-IF(AND(ArtifactsInput!$M$27,Inputs!$B$4="Chapter Hunt"),CHOOSE(ArtifactsInput!$N$27+1,20,24,28,32,36,40),0)/100)))))/Skills!H8,1)))/Inputs!$B$43),G679*Q679)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679*(1-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679*(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679*(1-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679*(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79">
        <f>IF(C679,(H679*N679*IF(AND(Inputs!$B$38&lt;&gt;"pvp",Inputs!$B$43&gt;0),((Skills!G8*((R679-1)*IF(Skills!H8&gt;0,Skills!I8/Skills!H8,1)+IF(Skills!H8&gt;0,MIN(Skills!I8,MAX(0,MAX(0,Inputs!$B$43-B705)-((R679-1)*(IF(Inputs!$B$38="pvp",15,MAX(0.1,Skills!D8-IF(Skills!E8=TRUE,Inputs!$B$32,0)))*(1-IF(AND(ArtifactsInput!$M$27,Inputs!$B$4="Chapter Hunt"),CHOOSE(ArtifactsInput!$N$27+1,20,24,28,32,36,40),0)/100)))))/Skills!H8,1)))/Inputs!$B$43),G679*Q679))*IF(Inputs!$B$38="pvp",1,(1+(Inputs!$B$21+Skills!Q8+(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0">
      <c r="A680">
        <f>Skills!A9</f>
        <v/>
      </c>
      <c r="B680">
        <f>Skills!B9</f>
        <v/>
      </c>
      <c r="C680">
        <f>Inputs!$B$3&gt;=125</f>
        <v/>
      </c>
      <c r="D680">
        <f>IF(Skills!C9=1,60+Inputs!$B$25+Inputs!$B$29,IF(Skills!C9=2,90+Inputs!$B$26+Inputs!$B$29,IF(Skills!C9=3,120+Inputs!$B$27+Inputs!$B$29,MAX(0,(Inputs!$B$3-100)*3)+Inputs!$B$28+Inputs!$B$29)))</f>
        <v/>
      </c>
      <c r="E680">
        <f>INDEX(FactorTable!$B$2:$Y$301, MATCH(ROUND(MIN(300,MAX(1,D680)),0), FactorTable!$A$2:$A$301,0), Skills!M9+1)</f>
        <v/>
      </c>
      <c r="F680">
        <f>IF(Skills!N9=TRUE,(Skills!L9/10)*(E680/1000),Skills!L9/10)+Skills!O9</f>
        <v/>
      </c>
      <c r="G680">
        <f>Skills!G9*IF(Skills!H9&gt;0,Skills!I9/Skills!H9,1)</f>
        <v/>
      </c>
      <c r="H680">
        <f>1-(1-Skills!J9/100)^Skills!K9</f>
        <v/>
      </c>
      <c r="I680" t="inlineStr">
        <is>
          <t>1</t>
        </is>
      </c>
      <c r="J680">
        <f>((Inputs!$B$6*(1+Inputs!$B$7/100))+(((Inputs!$B$12*(1+Inputs!$B$13/100))-(Inputs!$B$12*(1+Inputs!$B$13/100)))+0.25*(Inputs!$B$14-Inputs!$B$14))*(1+Inputs!$B$7/100))*(F680/100)</f>
        <v/>
      </c>
      <c r="K680">
        <f>J680*(1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680)</f>
        <v/>
      </c>
      <c r="L680">
        <f>K680*(MIN(Inputs!$B$22+((C693=TRUE)*(F693-Calc!F22)),(Inputs!$B$23+((C695=TRUE)*(F695-Calc!F24))+(IF(ArtifactsInput!$M$15,CHOOSE(ArtifactsInput!$N$15+1,25,30,35,40,45,50)/100*(Inputs!$B$11-Inputs!$B$11),0))))/100+(Inputs!$B$23+((C695=TRUE)*(F695-Calc!F24))+(IF(ArtifactsInput!$M$15,CHOOSE(ArtifactsInput!$N$15+1,25,30,35,40,45,50)/100*(Inputs!$B$11-Inputs!$B$11),0)))/100)/2</f>
        <v/>
      </c>
      <c r="M680">
        <f>L680*(1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0">
        <f>L680*(1-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680*(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0">
        <f>(1-Summary!$B$11)*T680+Summary!$B$11*V680</f>
        <v/>
      </c>
      <c r="P680">
        <f>IF(B708=0,0,O680/B708)</f>
        <v/>
      </c>
      <c r="Q680">
        <f>IFERROR(1/(IF(Inputs!$B$38="pvp",15,MAX(0.1,Skills!D9-IF(Skills!E9=TRUE,Inputs!$B$32,0)))*(1-IF(AND(ArtifactsInput!$M$27,Inputs!$B$4="Chapter Hunt"),CHOOSE(ArtifactsInput!$N$27+1,20,24,28,32,36,40),0)/100)),0)</f>
        <v/>
      </c>
      <c r="R680">
        <f>IF(AND(Inputs!$B$38&lt;&gt;"pvp",Inputs!$B$43&gt;0),IF(MAX(0,Inputs!$B$43-B705)&lt;=0,0,(INT(MAX(0,Inputs!$B$43-B705)/(IF(Inputs!$B$38="pvp",15,MAX(0.1,Skills!D9-IF(Skills!E9=TRUE,Inputs!$B$32,0)))*(1-IF(AND(ArtifactsInput!$M$27,Inputs!$B$4="Chapter Hunt"),CHOOSE(ArtifactsInput!$N$27+1,20,24,28,32,36,40),0)/100)))+1)),0)</f>
        <v/>
      </c>
      <c r="S680">
        <f>IFERROR(O680/N680,0)</f>
        <v/>
      </c>
      <c r="T680">
        <f>IF(C680,(H680*N680*IF(AND(Inputs!$B$38&lt;&gt;"pvp",Inputs!$B$43&gt;0),((Skills!G9*((R680-1)*IF(Skills!H9&gt;0,Skills!I9/Skills!H9,1)+IF(Skills!H9&gt;0,MIN(Skills!I9,MAX(0,MAX(0,Inputs!$B$43-B705)-((R680-1)*(IF(Inputs!$B$38="pvp",15,MAX(0.1,Skills!D9-IF(Skills!E9=TRUE,Inputs!$B$32,0)))*(1-IF(AND(ArtifactsInput!$M$27,Inputs!$B$4="Chapter Hunt"),CHOOSE(ArtifactsInput!$N$27+1,20,24,28,32,36,40),0)/100)))))/Skills!H9,1)))/Inputs!$B$43),G680*Q680)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680*(1-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680*(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680*(1-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680*(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0">
        <f>IF(C680,(H680*N680*IF(AND(Inputs!$B$38&lt;&gt;"pvp",Inputs!$B$43&gt;0),((Skills!G9*((R680-1)*IF(Skills!H9&gt;0,Skills!I9/Skills!H9,1)+IF(Skills!H9&gt;0,MIN(Skills!I9,MAX(0,MAX(0,Inputs!$B$43-B705)-((R680-1)*(IF(Inputs!$B$38="pvp",15,MAX(0.1,Skills!D9-IF(Skills!E9=TRUE,Inputs!$B$32,0)))*(1-IF(AND(ArtifactsInput!$M$27,Inputs!$B$4="Chapter Hunt"),CHOOSE(ArtifactsInput!$N$27+1,20,24,28,32,36,40),0)/100)))))/Skills!H9,1)))/Inputs!$B$43),G680*Q680))*IF(Inputs!$B$38="pvp",1,(1+(Inputs!$B$21+Skills!Q9+(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1">
      <c r="A681">
        <f>Skills!A10</f>
        <v/>
      </c>
      <c r="B681">
        <f>Skills!B10</f>
        <v/>
      </c>
      <c r="C681">
        <f>Inputs!$B$3&gt;=117</f>
        <v/>
      </c>
      <c r="D681">
        <f>IF(Skills!C10=1,60+Inputs!$B$25+Inputs!$B$29,IF(Skills!C10=2,90+Inputs!$B$26+Inputs!$B$29,IF(Skills!C10=3,120+Inputs!$B$27+Inputs!$B$29,MAX(0,(Inputs!$B$3-100)*3)+Inputs!$B$28+Inputs!$B$29)))</f>
        <v/>
      </c>
      <c r="E681">
        <f>INDEX(FactorTable!$B$2:$Y$301, MATCH(ROUND(MIN(300,MAX(1,D681)),0), FactorTable!$A$2:$A$301,0), Skills!M10+1)</f>
        <v/>
      </c>
      <c r="F681">
        <f>IF(Skills!N10=TRUE,(Skills!L10/10)*(E681/1000),Skills!L10/10)+Skills!O10</f>
        <v/>
      </c>
      <c r="G681">
        <f>Skills!G10*IF(Skills!H10&gt;0,Skills!I10/Skills!H10,1)</f>
        <v/>
      </c>
      <c r="H681">
        <f>1-(1-Skills!J10/100)^Skills!K10</f>
        <v/>
      </c>
      <c r="I681" t="inlineStr">
        <is>
          <t>1</t>
        </is>
      </c>
      <c r="J681">
        <f>((Inputs!$B$6*(1+Inputs!$B$7/100))+(((Inputs!$B$12*(1+Inputs!$B$13/100))-(Inputs!$B$12*(1+Inputs!$B$13/100)))+0.25*(Inputs!$B$14-Inputs!$B$14))*(1+Inputs!$B$7/100))*(F681/100)</f>
        <v/>
      </c>
      <c r="K681">
        <f>J681*(1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681)</f>
        <v/>
      </c>
      <c r="L681">
        <f>K681*(MIN(Inputs!$B$22+((C693=TRUE)*(F693-Calc!F22)),(Inputs!$B$23+((C695=TRUE)*(F695-Calc!F24))+(IF(ArtifactsInput!$M$15,CHOOSE(ArtifactsInput!$N$15+1,25,30,35,40,45,50)/100*(Inputs!$B$11-Inputs!$B$11),0))))/100+(Inputs!$B$23+((C695=TRUE)*(F695-Calc!F24))+(IF(ArtifactsInput!$M$15,CHOOSE(ArtifactsInput!$N$15+1,25,30,35,40,45,50)/100*(Inputs!$B$11-Inputs!$B$11),0)))/100)/2</f>
        <v/>
      </c>
      <c r="M681">
        <f>L681*(1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1">
        <f>L681*(1-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1">
        <f>(1-Summary!$B$11)*T681+Summary!$B$11*V681</f>
        <v/>
      </c>
      <c r="P681">
        <f>IF(B708=0,0,O681/B708)</f>
        <v/>
      </c>
      <c r="Q681">
        <f>IFERROR(1/(IF(Inputs!$B$38="pvp",15,MAX(0.1,Skills!D10-IF(Skills!E10=TRUE,Inputs!$B$32,0)))*(1-IF(AND(ArtifactsInput!$M$27,Inputs!$B$4="Chapter Hunt"),CHOOSE(ArtifactsInput!$N$27+1,20,24,28,32,36,40),0)/100)),0)</f>
        <v/>
      </c>
      <c r="R681">
        <f>IF(AND(Inputs!$B$38&lt;&gt;"pvp",Inputs!$B$43&gt;0),IF(MAX(0,Inputs!$B$43-B705)&lt;=0,0,(INT(MAX(0,Inputs!$B$43-B705)/(IF(Inputs!$B$38="pvp",15,MAX(0.1,Skills!D10-IF(Skills!E10=TRUE,Inputs!$B$32,0)))*(1-IF(AND(ArtifactsInput!$M$27,Inputs!$B$4="Chapter Hunt"),CHOOSE(ArtifactsInput!$N$27+1,20,24,28,32,36,40),0)/100)))+1)),0)</f>
        <v/>
      </c>
      <c r="S681">
        <f>IFERROR(O681/N681,0)</f>
        <v/>
      </c>
      <c r="T681">
        <f>IF(C681,(H681*N681*IF(AND(Inputs!$B$38&lt;&gt;"pvp",Inputs!$B$43&gt;0),((Skills!G10*((R681-1)*IF(Skills!H10&gt;0,Skills!I10/Skills!H10,1)+IF(Skills!H10&gt;0,MIN(Skills!I10,MAX(0,MAX(0,Inputs!$B$43-B705)-((R681-1)*(IF(Inputs!$B$38="pvp",15,MAX(0.1,Skills!D10-IF(Skills!E10=TRUE,Inputs!$B$32,0)))*(1-IF(AND(ArtifactsInput!$M$27,Inputs!$B$4="Chapter Hunt"),CHOOSE(ArtifactsInput!$N$27+1,20,24,28,32,36,40),0)/100)))))/Skills!H10,1)))/Inputs!$B$43),G681*Q681)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681*(1-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681*(1-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1">
        <f>IF(C681,(H681*N681*IF(AND(Inputs!$B$38&lt;&gt;"pvp",Inputs!$B$43&gt;0),((Skills!G10*((R681-1)*IF(Skills!H10&gt;0,Skills!I10/Skills!H10,1)+IF(Skills!H10&gt;0,MIN(Skills!I10,MAX(0,MAX(0,Inputs!$B$43-B705)-((R681-1)*(IF(Inputs!$B$38="pvp",15,MAX(0.1,Skills!D10-IF(Skills!E10=TRUE,Inputs!$B$32,0)))*(1-IF(AND(ArtifactsInput!$M$27,Inputs!$B$4="Chapter Hunt"),CHOOSE(ArtifactsInput!$N$27+1,20,24,28,32,36,40),0)/100)))))/Skills!H10,1)))/Inputs!$B$43),G681*Q681))*IF(Inputs!$B$38="pvp",1,(1+(Inputs!$B$21+Skills!Q10+(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2">
      <c r="A682">
        <f>Skills!A11</f>
        <v/>
      </c>
      <c r="B682">
        <f>Skills!B11</f>
        <v/>
      </c>
      <c r="C682">
        <f>Inputs!$B$3&gt;=63</f>
        <v/>
      </c>
      <c r="D682">
        <f>IF(Skills!C11=1,60+Inputs!$B$25+Inputs!$B$29,IF(Skills!C11=2,90+Inputs!$B$26+Inputs!$B$29,IF(Skills!C11=3,120+Inputs!$B$27+Inputs!$B$29,MAX(0,(Inputs!$B$3-100)*3)+Inputs!$B$28+Inputs!$B$29)))</f>
        <v/>
      </c>
      <c r="E682">
        <f>INDEX(FactorTable!$B$2:$Y$301, MATCH(ROUND(MIN(300,MAX(1,D682)),0), FactorTable!$A$2:$A$301,0), Skills!M11+1)</f>
        <v/>
      </c>
      <c r="F682">
        <f>IF(Skills!N11=TRUE,(Skills!L11/10)*(E682/1000),Skills!L11/10)+Skills!O11</f>
        <v/>
      </c>
      <c r="G682">
        <f>Skills!G11*IF(Skills!H11&gt;0,Skills!I11/Skills!H11,1)</f>
        <v/>
      </c>
      <c r="H682">
        <f>1-(1-Skills!J11/100)^Skills!K11</f>
        <v/>
      </c>
      <c r="I682" t="inlineStr">
        <is>
          <t>1</t>
        </is>
      </c>
      <c r="J682">
        <f>((Inputs!$B$6*(1+Inputs!$B$7/100))+(((Inputs!$B$12*(1+Inputs!$B$13/100))-(Inputs!$B$12*(1+Inputs!$B$13/100)))+0.25*(Inputs!$B$14-Inputs!$B$14))*(1+Inputs!$B$7/100))*(F682/100)</f>
        <v/>
      </c>
      <c r="K682">
        <f>J682*(1+((Inputs!$B$12*(1+Inputs!$B$13/100))*0.01+Inputs!$B$14*0.0025)/100)*(1+Inputs!$B$15/100)*(1+Inputs!$B$16/100)*(5000/(6000+Inputs!$B$42*(1-(Inputs!$B$19+0)/100)))*(1+(Inputs!$B$24+0+B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683=TRUE,F683,0)/100)*(1+(IF(Skills!A11="BLAST",Inputs!$B$17+((C692=TRUE)*(F692-Calc!F21))+((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MIN(100,((Inputs!$B$9+0+B698+(ArtifactsInput!$M$24-ArtifactsInput!$M$24)*CHOOSE(ArtifactsInput!$N$24+1,10,12,14,16,18,20)+IF(ArtifactsInput!$M$10,CHOOSE(ArtifactsInput!$N$10+1,15,18,21,24,27,30)*(IF(Inputs!$B$38="pvp",MIN(15,15)/15,IF(AND(Inputs!$B$38&lt;&gt;"pvp",Inputs!$B$43&gt;0),MIN(15,Inputs!$B$43)/(Inputs!$B$43),0))),0)))-100),0))*CHOOSE(ArtifactsInput!$N$42+1,0.6,0.72,0.84,0.96,1.08,1.2))),(Inputs!$B$18+1)+((C694=TRUE)*(F694-Calc!F23))+(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gt;=100),CHOOSE(ArtifactsInput!$N$42+1,40,48,56,64,72,80),0))))/100)*((1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682)</f>
        <v/>
      </c>
      <c r="L682">
        <f>K682*(MIN(Inputs!$B$22+((C693=TRUE)*(F693-Calc!F22)),(Inputs!$B$23+((C695=TRUE)*(F695-Calc!F24))+(IF(ArtifactsInput!$M$15,CHOOSE(ArtifactsInput!$N$15+1,25,30,35,40,45,50)/100*(Inputs!$B$11-Inputs!$B$11),0))))/100+(Inputs!$B$23+((C695=TRUE)*(F695-Calc!F24))+(IF(ArtifactsInput!$M$15,CHOOSE(ArtifactsInput!$N$15+1,25,30,35,40,45,50)/100*(Inputs!$B$11-Inputs!$B$11),0)))/100)/2</f>
        <v/>
      </c>
      <c r="M682">
        <f>L682*(1+(Inputs!$B$10+0+B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2">
        <f>L682*(1-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682*(MIN((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2">
        <f>(1-Summary!$B$11)*T682+Summary!$B$11*V682</f>
        <v/>
      </c>
      <c r="P682">
        <f>IF(B708=0,0,O682/B708)</f>
        <v/>
      </c>
      <c r="Q682">
        <f>IFERROR(1/(IF(Inputs!$B$38="pvp",15,MAX(0.1,Skills!D11-IF(Skills!E11=TRUE,Inputs!$B$32,0)))*(1-IF(AND(ArtifactsInput!$M$27,Inputs!$B$4="Chapter Hunt"),CHOOSE(ArtifactsInput!$N$27+1,20,24,28,32,36,40),0)/100)),0)</f>
        <v/>
      </c>
      <c r="R682">
        <f>IF(AND(Inputs!$B$38&lt;&gt;"pvp",Inputs!$B$43&gt;0),IF(MAX(0,Inputs!$B$43-B705)&lt;=0,0,(INT(MAX(0,Inputs!$B$43-B705)/(IF(Inputs!$B$38="pvp",15,MAX(0.1,Skills!D11-IF(Skills!E11=TRUE,Inputs!$B$32,0)))*(1-IF(AND(ArtifactsInput!$M$27,Inputs!$B$4="Chapter Hunt"),CHOOSE(ArtifactsInput!$N$27+1,20,24,28,32,36,40),0)/100)))+1)),0)</f>
        <v/>
      </c>
      <c r="S682">
        <f>IFERROR(O682/N682,0)</f>
        <v/>
      </c>
      <c r="T682">
        <f>IF(C682,(H682*N682*IF(AND(Inputs!$B$38&lt;&gt;"pvp",Inputs!$B$43&gt;0),((Skills!G11*((R682-1)*IF(Skills!H11&gt;0,Skills!I11/Skills!H11,1)+IF(Skills!H11&gt;0,MIN(Skills!I11,MAX(0,MAX(0,Inputs!$B$43-B705)-((R682-1)*(IF(Inputs!$B$38="pvp",15,MAX(0.1,Skills!D11-IF(Skills!E11=TRUE,Inputs!$B$32,0)))*(1-IF(AND(ArtifactsInput!$M$27,Inputs!$B$4="Chapter Hunt"),CHOOSE(ArtifactsInput!$N$27+1,20,24,28,32,36,40),0)/100)))))/Skills!H11,1)))/Inputs!$B$43),G682*Q682)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682*(1-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682*(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682*(1-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682*(MIN(100,(Inputs!$B$9+0+B698+(ArtifactsInput!$M$24-ArtifactsInput!$M$24)*CHOOSE(ArtifactsInput!$N$24+1,10,12,14,16,18,20)+(IF(AND(Inputs!$B$38&lt;&gt;"pvp",Inputs!$B$43=0),1,IF(IF(Inputs!$B$38="pvp",15,Inputs!$B$43)-(B705)&lt;=0,1,MAX(0,IF(Inputs!$B$38="pvp",15,Inputs!$B$43)-MAX(5,B705))/(IF(Inputs!$B$38="pvp",15,Inputs!$B$43)-(B705))))*IF(AND(ArtifactsInput!$M$42,((Inputs!$B$9+0+B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82">
        <f>IF(C682,(H682*N682*IF(AND(Inputs!$B$38&lt;&gt;"pvp",Inputs!$B$43&gt;0),((Skills!G11*((R682-1)*IF(Skills!H11&gt;0,Skills!I11/Skills!H11,1)+IF(Skills!H11&gt;0,MIN(Skills!I11,MAX(0,MAX(0,Inputs!$B$43-B705)-((R682-1)*(IF(Inputs!$B$38="pvp",15,MAX(0.1,Skills!D11-IF(Skills!E11=TRUE,Inputs!$B$32,0)))*(1-IF(AND(ArtifactsInput!$M$27,Inputs!$B$4="Chapter Hunt"),CHOOSE(ArtifactsInput!$N$27+1,20,24,28,32,36,40),0)/100)))))/Skills!H11,1)))/Inputs!$B$43),G682*Q682))*IF(Inputs!$B$38="pvp",1,(1+(Inputs!$B$21+Skills!Q11+(IF(ArtifactsInput!$M$33,CHOOSE(ArtifactsInput!$N$33+1,30,36,42,48,54,60),0))+(IF(AND(ArtifactsInput!$M$35,Inputs!$B$4&lt;&gt;"Chapter Hunt"),CHOOSE(ArtifactsInput!$N$35+1,15,18,21,24,27,30)*(1-EXP(-(0.2*B700)*5)),0)+IF(AND(ArtifactsInput!$M$22,Inputs!$B$4&lt;&gt;"Chapter Hunt"),CHOOSE(ArtifactsInput!$N$22+1,10,12,14,16,18,20)*((0*(((0.15*B700*5))^0/1)+1*(((0.15*B700*5))^1/1)+2*(((0.15*B700*5))^2/2)+3*(((0.15*B700*5))^3/6)+4*(((0.15*B700*5))^4/24)+5*(((0.15*B700*5))^5/120))/((((0.15*B700*5))^0/1)+(((0.15*B700*5))^1/1)+(((0.15*B700*5))^2/2)+(((0.15*B700*5))^3/6)+(((0.15*B700*5))^4/24)+(((0.15*B700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83">
      <c r="A683">
        <f>Skills!A12</f>
        <v/>
      </c>
      <c r="B683">
        <f>Skills!B12</f>
        <v/>
      </c>
      <c r="C683">
        <f>Inputs!$B$3&gt;=100</f>
        <v/>
      </c>
      <c r="D683">
        <f>IF(Skills!C12=1,60+Inputs!$B$25+Inputs!$B$29,IF(Skills!C12=2,90+Inputs!$B$26+Inputs!$B$29,IF(Skills!C12=3,120+Inputs!$B$27+Inputs!$B$29,MAX(0,(Inputs!$B$3-100)*3)+Inputs!$B$28+Inputs!$B$29)))</f>
        <v/>
      </c>
      <c r="E683">
        <f>INDEX(FactorTable!$B$2:$Y$301, MATCH(ROUND(MIN(300,MAX(1,D683)),0), FactorTable!$A$2:$A$301,0), Skills!M12+1)</f>
        <v/>
      </c>
      <c r="F683">
        <f>IF(Skills!N12=TRUE,(Skills!L12/10)*(E683/1000),Skills!L12/10)+Skills!O12</f>
        <v/>
      </c>
      <c r="G683" t="inlineStr"/>
      <c r="H683" t="inlineStr"/>
      <c r="I683" t="inlineStr">
        <is>
          <t>1</t>
        </is>
      </c>
      <c r="J683" t="inlineStr"/>
      <c r="K683" t="inlineStr"/>
      <c r="L683" t="inlineStr"/>
      <c r="M683" t="inlineStr"/>
      <c r="N683" t="inlineStr"/>
      <c r="O683" t="inlineStr"/>
      <c r="P683" t="inlineStr"/>
      <c r="Q683" t="inlineStr"/>
      <c r="R683" t="inlineStr"/>
      <c r="S683" t="inlineStr"/>
    </row>
    <row r="684">
      <c r="A684">
        <f>Skills!A13</f>
        <v/>
      </c>
      <c r="B684">
        <f>Skills!B13</f>
        <v/>
      </c>
      <c r="C684">
        <f>Inputs!$B$3&gt;=45</f>
        <v/>
      </c>
      <c r="D684">
        <f>IF(Skills!C13=1,60+Inputs!$B$25+Inputs!$B$29,IF(Skills!C13=2,90+Inputs!$B$26+Inputs!$B$29,IF(Skills!C13=3,120+Inputs!$B$27+Inputs!$B$29,MAX(0,(Inputs!$B$3-100)*3)+Inputs!$B$28+Inputs!$B$29)))</f>
        <v/>
      </c>
      <c r="E684">
        <f>INDEX(FactorTable!$B$2:$Y$301, MATCH(ROUND(MIN(300,MAX(1,D684)),0), FactorTable!$A$2:$A$301,0), Skills!M13+1)</f>
        <v/>
      </c>
      <c r="F684">
        <f>IF(Skills!N13=TRUE,(Skills!L13/10)*(E684/1000),Skills!L13/10)+Skills!O13</f>
        <v/>
      </c>
      <c r="G684">
        <f>Skills!G13*IF(Skills!H13&gt;0,Skills!I13/Skills!H13,1)</f>
        <v/>
      </c>
      <c r="H684">
        <f>1-(1-Skills!J13/100)^Skills!K13</f>
        <v/>
      </c>
      <c r="I684" t="inlineStr">
        <is>
          <t>1</t>
        </is>
      </c>
      <c r="J684" t="inlineStr"/>
      <c r="K684" t="inlineStr"/>
      <c r="L684" t="inlineStr"/>
      <c r="M684" t="inlineStr"/>
      <c r="N684" t="inlineStr"/>
      <c r="O684">
        <f>(1-Summary!$B$11)*T684+Summary!$B$11*V684</f>
        <v/>
      </c>
      <c r="P684">
        <f>IF(B708=0,0,O684/B708)</f>
        <v/>
      </c>
      <c r="Q684" t="n">
        <v>0</v>
      </c>
      <c r="R684" t="n">
        <v>0</v>
      </c>
      <c r="S684">
        <f>IFERROR(O684/N684,0)</f>
        <v/>
      </c>
      <c r="T684" t="n">
        <v>0</v>
      </c>
      <c r="V684" t="n">
        <v>0</v>
      </c>
    </row>
    <row r="685">
      <c r="A685">
        <f>Skills!A14</f>
        <v/>
      </c>
      <c r="B685">
        <f>Skills!B14</f>
        <v/>
      </c>
      <c r="C685">
        <f>Inputs!$B$3&gt;=110</f>
        <v/>
      </c>
      <c r="D685">
        <f>IF(Skills!C14=1,60+Inputs!$B$25+Inputs!$B$29,IF(Skills!C14=2,90+Inputs!$B$26+Inputs!$B$29,IF(Skills!C14=3,120+Inputs!$B$27+Inputs!$B$29,MAX(0,(Inputs!$B$3-100)*3)+Inputs!$B$28+Inputs!$B$29)))</f>
        <v/>
      </c>
      <c r="E685">
        <f>INDEX(FactorTable!$B$2:$Y$301, MATCH(ROUND(MIN(300,MAX(1,D685)),0), FactorTable!$A$2:$A$301,0), Skills!M14+1)</f>
        <v/>
      </c>
      <c r="F685">
        <f>IF(Skills!N14=TRUE,(Skills!L14/10)*(E685/1000),Skills!L14/10)+Skills!O14</f>
        <v/>
      </c>
      <c r="G685">
        <f>Skills!G14*IF(Skills!H14&gt;0,Skills!I14/Skills!H14,1)</f>
        <v/>
      </c>
      <c r="H685">
        <f>1-(1-Skills!J14/100)^Skills!K14</f>
        <v/>
      </c>
      <c r="I685" t="inlineStr">
        <is>
          <t>1</t>
        </is>
      </c>
      <c r="J685" t="inlineStr"/>
      <c r="K685" t="inlineStr"/>
      <c r="L685" t="inlineStr"/>
      <c r="M685" t="inlineStr"/>
      <c r="N685" t="inlineStr"/>
      <c r="O685">
        <f>(1-Summary!$B$11)*T685+Summary!$B$11*V685</f>
        <v/>
      </c>
      <c r="P685">
        <f>IF(B708=0,0,O685/B708)</f>
        <v/>
      </c>
      <c r="Q685" t="n">
        <v>0</v>
      </c>
      <c r="R685" t="n">
        <v>0</v>
      </c>
      <c r="S685">
        <f>IFERROR(O685/N685,0)</f>
        <v/>
      </c>
      <c r="T685" t="n">
        <v>0</v>
      </c>
      <c r="V685" t="n">
        <v>0</v>
      </c>
    </row>
    <row r="686">
      <c r="A686">
        <f>Skills!A15</f>
        <v/>
      </c>
      <c r="B686">
        <f>Skills!B15</f>
        <v/>
      </c>
      <c r="C686">
        <f>Inputs!$B$3&gt;=75</f>
        <v/>
      </c>
      <c r="D686">
        <f>IF(Skills!C15=1,60+Inputs!$B$25+Inputs!$B$29,IF(Skills!C15=2,90+Inputs!$B$26+Inputs!$B$29,IF(Skills!C15=3,120+Inputs!$B$27+Inputs!$B$29,MAX(0,(Inputs!$B$3-100)*3)+Inputs!$B$28+Inputs!$B$29)))</f>
        <v/>
      </c>
      <c r="E686">
        <f>INDEX(FactorTable!$B$2:$Y$301, MATCH(ROUND(MIN(300,MAX(1,D686)),0), FactorTable!$A$2:$A$301,0), Skills!M15+1)</f>
        <v/>
      </c>
      <c r="F686">
        <f>IF(Skills!N15=TRUE,(Skills!L15/10)*(E686/1000),Skills!L15/10)+Skills!O15</f>
        <v/>
      </c>
      <c r="G686">
        <f>Skills!G15*IF(Skills!H15&gt;0,Skills!I15/Skills!H15,1)</f>
        <v/>
      </c>
      <c r="H686">
        <f>1-(1-Skills!J15/100)^Skills!K15</f>
        <v/>
      </c>
      <c r="I686" t="inlineStr">
        <is>
          <t>1</t>
        </is>
      </c>
      <c r="J686" t="inlineStr"/>
      <c r="K686" t="inlineStr"/>
      <c r="L686" t="inlineStr"/>
      <c r="M686" t="inlineStr"/>
      <c r="N686" t="inlineStr"/>
      <c r="O686">
        <f>(1-Summary!$B$11)*T686+Summary!$B$11*V686</f>
        <v/>
      </c>
      <c r="P686">
        <f>IF(B708=0,0,O686/B708)</f>
        <v/>
      </c>
      <c r="Q686">
        <f>IFERROR(1/(IF(Inputs!$B$38="pvp",15,MAX(0.1,Skills!D15-IF(Skills!E15=TRUE,Inputs!$B$32,0)))*(1-IF(AND(ArtifactsInput!$M$27,Inputs!$B$4="Chapter Hunt"),CHOOSE(ArtifactsInput!$N$27+1,20,24,28,32,36,40),0)/100)),0)</f>
        <v/>
      </c>
      <c r="R686">
        <f>IF(AND(Inputs!$B$38&lt;&gt;"pvp",Inputs!$B$43&gt;0),IF(Inputs!$B$43&lt;=0,0,(INT(Inputs!$B$43/(IF(Inputs!$B$38="pvp",15,MAX(0.1,Skills!D15-IF(Skills!E15=TRUE,Inputs!$B$32,0)))*(1-IF(AND(ArtifactsInput!$M$27,Inputs!$B$4="Chapter Hunt"),CHOOSE(ArtifactsInput!$N$27+1,20,24,28,32,36,40),0)/100)))+1)),0)</f>
        <v/>
      </c>
      <c r="S686">
        <f>IFERROR(O686/N686,0)</f>
        <v/>
      </c>
      <c r="T686" t="n">
        <v>0</v>
      </c>
      <c r="V686" t="n">
        <v>0</v>
      </c>
    </row>
    <row r="687">
      <c r="A687">
        <f>Skills!A16</f>
        <v/>
      </c>
      <c r="B687">
        <f>Skills!B16</f>
        <v/>
      </c>
      <c r="C687">
        <f>Inputs!$B$3&gt;=105</f>
        <v/>
      </c>
      <c r="D687">
        <f>IF(Skills!C16=1,60+Inputs!$B$25+Inputs!$B$29,IF(Skills!C16=2,90+Inputs!$B$26+Inputs!$B$29,IF(Skills!C16=3,120+Inputs!$B$27+Inputs!$B$29,MAX(0,(Inputs!$B$3-100)*3)+Inputs!$B$28+Inputs!$B$29)))</f>
        <v/>
      </c>
      <c r="E687">
        <f>INDEX(FactorTable!$B$2:$Y$301, MATCH(ROUND(MIN(300,MAX(1,D687)),0), FactorTable!$A$2:$A$301,0), Skills!M16+1)</f>
        <v/>
      </c>
      <c r="F687">
        <f>IF(Skills!N16=TRUE,(Skills!L16/10)*(E687/1000),Skills!L16/10)+Skills!O16</f>
        <v/>
      </c>
      <c r="G687">
        <f>Skills!G16*IF(Skills!H16&gt;0,Skills!I16/Skills!H16,1)</f>
        <v/>
      </c>
      <c r="H687">
        <f>1-(1-Skills!J16/100)^Skills!K16</f>
        <v/>
      </c>
      <c r="I687" t="inlineStr">
        <is>
          <t>1</t>
        </is>
      </c>
      <c r="J687" t="inlineStr"/>
      <c r="K687" t="inlineStr"/>
      <c r="L687" t="inlineStr"/>
      <c r="M687" t="inlineStr"/>
      <c r="N687" t="inlineStr"/>
      <c r="O687">
        <f>(1-Summary!$B$11)*T687+Summary!$B$11*V687</f>
        <v/>
      </c>
      <c r="P687">
        <f>IF(B708=0,0,O687/B708)</f>
        <v/>
      </c>
      <c r="Q687">
        <f>IFERROR(1/(IF(Inputs!$B$38="pvp",15,MAX(0.1,Skills!D16-IF(Skills!E16=TRUE,Inputs!$B$32,0)))*(1-IF(AND(ArtifactsInput!$M$27,Inputs!$B$4="Chapter Hunt"),CHOOSE(ArtifactsInput!$N$27+1,20,24,28,32,36,40),0)/100)),0)</f>
        <v/>
      </c>
      <c r="R687">
        <f>IF(AND(Inputs!$B$38&lt;&gt;"pvp",Inputs!$B$43&gt;0),IF(Inputs!$B$43&lt;=0,0,(INT(Inputs!$B$43/(IF(Inputs!$B$38="pvp",15,MAX(0.1,Skills!D16-IF(Skills!E16=TRUE,Inputs!$B$32,0)))*(1-IF(AND(ArtifactsInput!$M$27,Inputs!$B$4="Chapter Hunt"),CHOOSE(ArtifactsInput!$N$27+1,20,24,28,32,36,40),0)/100)))+1)),0)</f>
        <v/>
      </c>
      <c r="S687">
        <f>IFERROR(O687/N687,0)</f>
        <v/>
      </c>
      <c r="T687" t="n">
        <v>0</v>
      </c>
      <c r="V687" t="n">
        <v>0</v>
      </c>
    </row>
    <row r="688">
      <c r="A688">
        <f>Skills!A17</f>
        <v/>
      </c>
      <c r="B688">
        <f>Skills!B17</f>
        <v/>
      </c>
      <c r="C688">
        <f>Inputs!$B$3&gt;=115</f>
        <v/>
      </c>
      <c r="D688">
        <f>IF(Skills!C17=1,60+Inputs!$B$25+Inputs!$B$29,IF(Skills!C17=2,90+Inputs!$B$26+Inputs!$B$29,IF(Skills!C17=3,120+Inputs!$B$27+Inputs!$B$29,MAX(0,(Inputs!$B$3-100)*3)+Inputs!$B$28+Inputs!$B$29)))</f>
        <v/>
      </c>
      <c r="E688">
        <f>INDEX(FactorTable!$B$2:$Y$301, MATCH(ROUND(MIN(300,MAX(1,D688)),0), FactorTable!$A$2:$A$301,0), Skills!M17+1)</f>
        <v/>
      </c>
      <c r="F688">
        <f>IF(Skills!N17=TRUE,(Skills!L17/10)*(E688/1000),Skills!L17/10)+Skills!O17</f>
        <v/>
      </c>
      <c r="G688">
        <f>Skills!G17*IF(Skills!H17&gt;0,Skills!I17/Skills!H17,1)</f>
        <v/>
      </c>
      <c r="H688">
        <f>1-(1-Skills!J17/100)^Skills!K17</f>
        <v/>
      </c>
      <c r="I688" t="inlineStr">
        <is>
          <t>1</t>
        </is>
      </c>
      <c r="J688" t="inlineStr"/>
      <c r="K688" t="inlineStr"/>
      <c r="L688" t="inlineStr"/>
      <c r="M688" t="inlineStr"/>
      <c r="N688" t="inlineStr"/>
      <c r="O688">
        <f>(1-Summary!$B$11)*T688+Summary!$B$11*V688</f>
        <v/>
      </c>
      <c r="P688">
        <f>IF(B708=0,0,O688/B708)</f>
        <v/>
      </c>
      <c r="Q688">
        <f>IFERROR(1/(IF(Inputs!$B$38="pvp",15,MAX(0.1,Skills!D17-IF(Skills!E17=TRUE,Inputs!$B$32,0)))*(1-IF(AND(ArtifactsInput!$M$27,Inputs!$B$4="Chapter Hunt"),CHOOSE(ArtifactsInput!$N$27+1,20,24,28,32,36,40),0)/100)),0)</f>
        <v/>
      </c>
      <c r="R688">
        <f>IF(AND(Inputs!$B$38&lt;&gt;"pvp",Inputs!$B$43&gt;0),IF(Inputs!$B$43&lt;=0,0,(INT(Inputs!$B$43/(IF(Inputs!$B$38="pvp",15,MAX(0.1,Skills!D17-IF(Skills!E17=TRUE,Inputs!$B$32,0)))*(1-IF(AND(ArtifactsInput!$M$27,Inputs!$B$4="Chapter Hunt"),CHOOSE(ArtifactsInput!$N$27+1,20,24,28,32,36,40),0)/100)))+1)),0)</f>
        <v/>
      </c>
      <c r="S688">
        <f>IFERROR(O688/N688,0)</f>
        <v/>
      </c>
      <c r="T688" t="n">
        <v>0</v>
      </c>
      <c r="V688" t="n">
        <v>0</v>
      </c>
    </row>
    <row r="689">
      <c r="A689">
        <f>Skills!A18</f>
        <v/>
      </c>
      <c r="B689">
        <f>Skills!B18</f>
        <v/>
      </c>
      <c r="C689">
        <f>Inputs!$B$3&gt;=74</f>
        <v/>
      </c>
      <c r="D689">
        <f>IF(Skills!C18=1,60+Inputs!$B$25+Inputs!$B$29,IF(Skills!C18=2,90+Inputs!$B$26+Inputs!$B$29,IF(Skills!C18=3,120+Inputs!$B$27+Inputs!$B$29,MAX(0,(Inputs!$B$3-100)*3)+Inputs!$B$28+Inputs!$B$29)))</f>
        <v/>
      </c>
      <c r="E689">
        <f>INDEX(FactorTable!$B$2:$Y$301, MATCH(ROUND(MIN(300,MAX(1,D689)),0), FactorTable!$A$2:$A$301,0), Skills!M18+1)</f>
        <v/>
      </c>
      <c r="F689">
        <f>IF(Skills!N18=TRUE,(Skills!L18/10)*(E689/1000),Skills!L18/10)+Skills!O18</f>
        <v/>
      </c>
      <c r="G689">
        <f>Skills!G18*IF(Skills!H18&gt;0,Skills!I18/Skills!H18,1)</f>
        <v/>
      </c>
      <c r="H689">
        <f>1-(1-Skills!J18/100)^Skills!K18</f>
        <v/>
      </c>
      <c r="I689" t="inlineStr">
        <is>
          <t>1</t>
        </is>
      </c>
      <c r="J689" t="inlineStr"/>
      <c r="K689" t="inlineStr"/>
      <c r="L689" t="inlineStr"/>
      <c r="M689" t="inlineStr"/>
      <c r="N689" t="inlineStr"/>
      <c r="O689">
        <f>(1-Summary!$B$11)*T689+Summary!$B$11*V689</f>
        <v/>
      </c>
      <c r="P689">
        <f>IF(B708=0,0,O689/B708)</f>
        <v/>
      </c>
      <c r="Q689">
        <f>IFERROR(1/(IF(Inputs!$B$38="pvp",15,MAX(0.1,Skills!D18-IF(Skills!E18=TRUE,Inputs!$B$32,0)))*(1-IF(AND(ArtifactsInput!$M$27,Inputs!$B$4="Chapter Hunt"),CHOOSE(ArtifactsInput!$N$27+1,20,24,28,32,36,40),0)/100)),0)</f>
        <v/>
      </c>
      <c r="R689">
        <f>IF(AND(Inputs!$B$38&lt;&gt;"pvp",Inputs!$B$43&gt;0),IF(Inputs!$B$43&lt;=0,0,(INT(Inputs!$B$43/(IF(Inputs!$B$38="pvp",15,MAX(0.1,Skills!D18-IF(Skills!E18=TRUE,Inputs!$B$32,0)))*(1-IF(AND(ArtifactsInput!$M$27,Inputs!$B$4="Chapter Hunt"),CHOOSE(ArtifactsInput!$N$27+1,20,24,28,32,36,40),0)/100)))+1)),0)</f>
        <v/>
      </c>
      <c r="S689">
        <f>IFERROR(O689/N689,0)</f>
        <v/>
      </c>
      <c r="T689" t="n">
        <v>0</v>
      </c>
      <c r="V689" t="n">
        <v>0</v>
      </c>
    </row>
    <row r="690">
      <c r="A690">
        <f>Skills!A19</f>
        <v/>
      </c>
      <c r="B690">
        <f>Skills!B19</f>
        <v/>
      </c>
      <c r="C690">
        <f>TRUE</f>
        <v/>
      </c>
      <c r="D690">
        <f>IF(Skills!C19=1,60+Inputs!$B$25+Inputs!$B$29,IF(Skills!C19=2,90+Inputs!$B$26+Inputs!$B$29,IF(Skills!C19=3,120+Inputs!$B$27+Inputs!$B$29,MAX(0,(Inputs!$B$3-100)*3)+Inputs!$B$28+Inputs!$B$29)))</f>
        <v/>
      </c>
      <c r="E690">
        <f>INDEX(FactorTable!$B$2:$Y$301, MATCH(ROUND(MIN(300,MAX(1,D690)),0), FactorTable!$A$2:$A$301,0), Skills!M19+1)</f>
        <v/>
      </c>
      <c r="F690">
        <f>IF(Skills!N19=TRUE,(Skills!L19/10)*(E690/1000),Skills!L19/10)+Skills!O19</f>
        <v/>
      </c>
      <c r="G690">
        <f>Skills!G19*IF(Skills!H19&gt;0,Skills!I19/Skills!H19,1)</f>
        <v/>
      </c>
      <c r="H690">
        <f>1-(1-Skills!J19/100)^Skills!K19</f>
        <v/>
      </c>
      <c r="I690" t="inlineStr">
        <is>
          <t>1</t>
        </is>
      </c>
      <c r="J690" t="inlineStr"/>
      <c r="K690" t="inlineStr"/>
      <c r="L690" t="inlineStr"/>
      <c r="M690" t="inlineStr"/>
      <c r="N690" t="inlineStr"/>
      <c r="O690">
        <f>(1-Summary!$B$11)*T690+Summary!$B$11*V690</f>
        <v/>
      </c>
      <c r="P690">
        <f>IF(B708=0,0,O690/B708)</f>
        <v/>
      </c>
      <c r="Q690">
        <f>IFERROR(1/(IF(Inputs!$B$38="pvp",15,MAX(0.1,Skills!D19-IF(Skills!E19=TRUE,Inputs!$B$32,0)))*(1-IF(AND(ArtifactsInput!$M$27,Inputs!$B$4="Chapter Hunt"),CHOOSE(ArtifactsInput!$N$27+1,20,24,28,32,36,40),0)/100)),0)</f>
        <v/>
      </c>
      <c r="R690">
        <f>IF(AND(Inputs!$B$38&lt;&gt;"pvp",Inputs!$B$43&gt;0),IF(Inputs!$B$43&lt;=0,0,(INT(Inputs!$B$43/(IF(Inputs!$B$38="pvp",15,MAX(0.1,Skills!D19-IF(Skills!E19=TRUE,Inputs!$B$32,0)))*(1-IF(AND(ArtifactsInput!$M$27,Inputs!$B$4="Chapter Hunt"),CHOOSE(ArtifactsInput!$N$27+1,20,24,28,32,36,40),0)/100)))+1)),0)</f>
        <v/>
      </c>
      <c r="S690">
        <f>IFERROR(O690/N690,0)</f>
        <v/>
      </c>
      <c r="T690" t="n">
        <v>0</v>
      </c>
      <c r="V690" t="n">
        <v>0</v>
      </c>
    </row>
    <row r="691">
      <c r="A691">
        <f>Skills!A20</f>
        <v/>
      </c>
      <c r="B691">
        <f>Skills!B20</f>
        <v/>
      </c>
      <c r="C691">
        <f>Inputs!$B$3&gt;=33</f>
        <v/>
      </c>
      <c r="D691">
        <f>IF(Skills!C20=1,60+Inputs!$B$25+Inputs!$B$29,IF(Skills!C20=2,90+Inputs!$B$26+Inputs!$B$29,IF(Skills!C20=3,120+Inputs!$B$27+Inputs!$B$29,MAX(0,(Inputs!$B$3-100)*3)+Inputs!$B$28+Inputs!$B$29)))</f>
        <v/>
      </c>
      <c r="E691">
        <f>INDEX(FactorTable!$B$2:$Y$301, MATCH(ROUND(MIN(300,MAX(1,D691)),0), FactorTable!$A$2:$A$301,0), Skills!M20+1)</f>
        <v/>
      </c>
      <c r="F691">
        <f>IF(Skills!N20=TRUE,(Skills!L20/10)*(E691/1000),Skills!L20/10)+Skills!O20</f>
        <v/>
      </c>
      <c r="G691">
        <f>Skills!G20*IF(Skills!H20&gt;0,Skills!I20/Skills!H20,1)</f>
        <v/>
      </c>
      <c r="H691">
        <f>1-(1-Skills!J20/100)^Skills!K20</f>
        <v/>
      </c>
      <c r="I691" t="inlineStr">
        <is>
          <t>1</t>
        </is>
      </c>
      <c r="J691" t="inlineStr"/>
      <c r="K691" t="inlineStr"/>
      <c r="L691" t="inlineStr"/>
      <c r="M691" t="inlineStr"/>
      <c r="N691" t="inlineStr"/>
      <c r="O691">
        <f>(1-Summary!$B$11)*T691+Summary!$B$11*V691</f>
        <v/>
      </c>
      <c r="P691">
        <f>IF(B708=0,0,O691/B708)</f>
        <v/>
      </c>
      <c r="Q691" t="n">
        <v>0</v>
      </c>
      <c r="R691" t="n">
        <v>0</v>
      </c>
      <c r="S691">
        <f>IFERROR(O691/N691,0)</f>
        <v/>
      </c>
      <c r="T691" t="n">
        <v>0</v>
      </c>
      <c r="V691" t="n">
        <v>0</v>
      </c>
    </row>
    <row r="692">
      <c r="A692">
        <f>Skills!A21</f>
        <v/>
      </c>
      <c r="B692">
        <f>Skills!B21</f>
        <v/>
      </c>
      <c r="C692">
        <f>Inputs!$B$3&gt;=38</f>
        <v/>
      </c>
      <c r="D692">
        <f>IF(Skills!C21=1,60+Inputs!$B$25+Inputs!$B$29,IF(Skills!C21=2,90+Inputs!$B$26+Inputs!$B$29,IF(Skills!C21=3,120+Inputs!$B$27+Inputs!$B$29,MAX(0,(Inputs!$B$3-100)*3)+Inputs!$B$28+Inputs!$B$29)))</f>
        <v/>
      </c>
      <c r="E692">
        <f>INDEX(FactorTable!$B$2:$Y$301, MATCH(ROUND(MIN(300,MAX(1,D692)),0), FactorTable!$A$2:$A$301,0), Skills!M21+1)</f>
        <v/>
      </c>
      <c r="F692">
        <f>IF(Skills!N21=TRUE,(Skills!L21/10)*(E692/1000),Skills!L21/10)+Skills!O21</f>
        <v/>
      </c>
      <c r="G692">
        <f>Skills!G21*IF(Skills!H21&gt;0,Skills!I21/Skills!H21,1)</f>
        <v/>
      </c>
      <c r="H692">
        <f>1-(1-Skills!J21/100)^Skills!K21</f>
        <v/>
      </c>
      <c r="I692" t="inlineStr">
        <is>
          <t>1</t>
        </is>
      </c>
      <c r="J692" t="inlineStr"/>
      <c r="K692" t="inlineStr"/>
      <c r="L692" t="inlineStr"/>
      <c r="M692" t="inlineStr"/>
      <c r="N692" t="inlineStr"/>
      <c r="O692">
        <f>(1-Summary!$B$11)*T692+Summary!$B$11*V692</f>
        <v/>
      </c>
      <c r="P692">
        <f>IF(B708=0,0,O692/B708)</f>
        <v/>
      </c>
      <c r="Q692" t="n">
        <v>0</v>
      </c>
      <c r="R692" t="n">
        <v>0</v>
      </c>
      <c r="S692">
        <f>IFERROR(O692/N692,0)</f>
        <v/>
      </c>
      <c r="T692" t="n">
        <v>0</v>
      </c>
      <c r="V692" t="n">
        <v>0</v>
      </c>
    </row>
    <row r="693">
      <c r="A693">
        <f>Skills!A22</f>
        <v/>
      </c>
      <c r="B693">
        <f>Skills!B22</f>
        <v/>
      </c>
      <c r="C693">
        <f>Inputs!$B$3&gt;=43</f>
        <v/>
      </c>
      <c r="D693">
        <f>IF(Skills!C22=1,60+Inputs!$B$25+Inputs!$B$29,IF(Skills!C22=2,90+Inputs!$B$26+Inputs!$B$29,IF(Skills!C22=3,120+Inputs!$B$27+Inputs!$B$29,MAX(0,(Inputs!$B$3-100)*3)+Inputs!$B$28+Inputs!$B$29)))</f>
        <v/>
      </c>
      <c r="E693">
        <f>INDEX(FactorTable!$B$2:$Y$301, MATCH(ROUND(MIN(300,MAX(1,D693)),0), FactorTable!$A$2:$A$301,0), Skills!M22+1)</f>
        <v/>
      </c>
      <c r="F693">
        <f>IF(Skills!N22=TRUE,(Skills!L22/10)*(E693/1000),Skills!L22/10)+Skills!O22</f>
        <v/>
      </c>
      <c r="G693">
        <f>Skills!G22*IF(Skills!H22&gt;0,Skills!I22/Skills!H22,1)</f>
        <v/>
      </c>
      <c r="H693">
        <f>1-(1-Skills!J22/100)^Skills!K22</f>
        <v/>
      </c>
      <c r="I693" t="inlineStr">
        <is>
          <t>1</t>
        </is>
      </c>
      <c r="J693" t="inlineStr"/>
      <c r="K693" t="inlineStr"/>
      <c r="L693" t="inlineStr"/>
      <c r="M693" t="inlineStr"/>
      <c r="N693" t="inlineStr"/>
      <c r="O693">
        <f>(1-Summary!$B$11)*T693+Summary!$B$11*V693</f>
        <v/>
      </c>
      <c r="P693">
        <f>IF(B708=0,0,O693/B708)</f>
        <v/>
      </c>
      <c r="Q693" t="n">
        <v>0</v>
      </c>
      <c r="R693" t="n">
        <v>0</v>
      </c>
      <c r="S693">
        <f>IFERROR(O693/N693,0)</f>
        <v/>
      </c>
      <c r="T693" t="n">
        <v>0</v>
      </c>
      <c r="V693" t="n">
        <v>0</v>
      </c>
    </row>
    <row r="694">
      <c r="A694">
        <f>Skills!A23</f>
        <v/>
      </c>
      <c r="B694">
        <f>Skills!B23</f>
        <v/>
      </c>
      <c r="C694">
        <f>Inputs!$B$3&gt;=120</f>
        <v/>
      </c>
      <c r="D694">
        <f>IF(Skills!C23=1,60+Inputs!$B$25+Inputs!$B$29,IF(Skills!C23=2,90+Inputs!$B$26+Inputs!$B$29,IF(Skills!C23=3,120+Inputs!$B$27+Inputs!$B$29,MAX(0,(Inputs!$B$3-100)*3)+Inputs!$B$28+Inputs!$B$29)))</f>
        <v/>
      </c>
      <c r="E694">
        <f>INDEX(FactorTable!$B$2:$Y$301, MATCH(ROUND(MIN(300,MAX(1,D694)),0), FactorTable!$A$2:$A$301,0), Skills!M23+1)</f>
        <v/>
      </c>
      <c r="F694">
        <f>IF(Skills!N23=TRUE,(Skills!L23/10)*(E694/1000),Skills!L23/10)+Skills!O23</f>
        <v/>
      </c>
      <c r="G694">
        <f>Skills!G23*IF(Skills!H23&gt;0,Skills!I23/Skills!H23,1)</f>
        <v/>
      </c>
      <c r="H694">
        <f>1-(1-Skills!J23/100)^Skills!K23</f>
        <v/>
      </c>
      <c r="I694" t="inlineStr">
        <is>
          <t>1</t>
        </is>
      </c>
      <c r="J694" t="inlineStr"/>
      <c r="K694" t="inlineStr"/>
      <c r="L694" t="inlineStr"/>
      <c r="M694" t="inlineStr"/>
      <c r="N694" t="inlineStr"/>
      <c r="O694">
        <f>(1-Summary!$B$11)*T694+Summary!$B$11*V694</f>
        <v/>
      </c>
      <c r="P694">
        <f>IF(B708=0,0,O694/B708)</f>
        <v/>
      </c>
      <c r="Q694" t="n">
        <v>0</v>
      </c>
      <c r="R694" t="n">
        <v>0</v>
      </c>
      <c r="S694">
        <f>IFERROR(O694/N694,0)</f>
        <v/>
      </c>
      <c r="T694" t="n">
        <v>0</v>
      </c>
      <c r="V694" t="n">
        <v>0</v>
      </c>
    </row>
    <row r="695">
      <c r="A695">
        <f>Skills!A24</f>
        <v/>
      </c>
      <c r="B695">
        <f>Skills!B24</f>
        <v/>
      </c>
      <c r="C695">
        <f>Inputs!$B$3&gt;=120</f>
        <v/>
      </c>
      <c r="D695">
        <f>IF(Skills!C24=1,60+Inputs!$B$25+Inputs!$B$29,IF(Skills!C24=2,90+Inputs!$B$26+Inputs!$B$29,IF(Skills!C24=3,120+Inputs!$B$27+Inputs!$B$29,MAX(0,(Inputs!$B$3-100)*3)+Inputs!$B$28+Inputs!$B$29)))</f>
        <v/>
      </c>
      <c r="E695">
        <f>INDEX(FactorTable!$B$2:$Y$301, MATCH(ROUND(MIN(300,MAX(1,D695)),0), FactorTable!$A$2:$A$301,0), Skills!M24+1)</f>
        <v/>
      </c>
      <c r="F695">
        <f>IF(Skills!N24=TRUE,(Skills!L24/10)*(E695/1000),Skills!L24/10)+Skills!O24</f>
        <v/>
      </c>
      <c r="G695">
        <f>Skills!G24*IF(Skills!H24&gt;0,Skills!I24/Skills!H24,1)</f>
        <v/>
      </c>
      <c r="H695">
        <f>1-(1-Skills!J24/100)^Skills!K24</f>
        <v/>
      </c>
      <c r="I695" t="inlineStr">
        <is>
          <t>1</t>
        </is>
      </c>
      <c r="J695" t="inlineStr"/>
      <c r="K695" t="inlineStr"/>
      <c r="L695" t="inlineStr"/>
      <c r="M695" t="inlineStr"/>
      <c r="N695" t="inlineStr"/>
      <c r="O695">
        <f>(1-Summary!$B$11)*T695+Summary!$B$11*V695</f>
        <v/>
      </c>
      <c r="P695">
        <f>IF(B708=0,0,O695/B708)</f>
        <v/>
      </c>
      <c r="Q695" t="n">
        <v>0</v>
      </c>
      <c r="R695" t="n">
        <v>0</v>
      </c>
      <c r="S695">
        <f>IFERROR(O695/N695,0)</f>
        <v/>
      </c>
      <c r="T695" t="n">
        <v>0</v>
      </c>
      <c r="V695" t="n">
        <v>0</v>
      </c>
    </row>
    <row r="697">
      <c r="A697" t="inlineStr">
        <is>
          <t>Attack% Bucket Multiplier</t>
        </is>
      </c>
      <c r="B697">
        <f>(1+(((C684=TRUE)*F684*MIN(1,Skills!T13*(Skills!J13/100)*B702))+((C689=TRUE)*F689*IF(AND(Inputs!$B$38&lt;&gt;"pvp",Inputs!$B$43&gt;0),(((R689-1)*(Skills!T18*(1+Inputs!$B$34/100))+MIN((Skills!T18*(1+Inputs!$B$34/100)),MAX(0,Inputs!$B$43-((R689-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98">
      <c r="A698" t="inlineStr">
        <is>
          <t>Global Crit Rate Bonus %</t>
        </is>
      </c>
      <c r="B698" t="n">
        <v>0</v>
      </c>
    </row>
    <row r="699">
      <c r="A699" t="inlineStr">
        <is>
          <t>Attack Speed Buff Bonus %</t>
        </is>
      </c>
      <c r="B699">
        <f>((C690=TRUE)*F690*IF(AND(Inputs!$B$38&lt;&gt;"pvp",Inputs!$B$43&gt;0),(((R690-1)*(Skills!T19*(1+Inputs!$B$34/100))+MIN((Skills!T19*(1+Inputs!$B$34/100)),MAX(0,Inputs!$B$43-((R690-1)*Skills!D19))))/Inputs!$B$43),IF(Inputs!$B$38="pvp",MIN((Skills!T19*(1+Inputs!$B$34/100)),15)/15,(Skills!T19*(1+Inputs!$B$34/100))/Skills!D19)))</f>
        <v/>
      </c>
    </row>
    <row r="700">
      <c r="A700" t="inlineStr">
        <is>
          <t>Actions Per Second</t>
        </is>
      </c>
      <c r="B700">
        <f>1+MIN(150,150*(1-(1-(Inputs!$B$11+((C691=TRUE)*(F691-Calc!F20)))/150)*(1-B699/150)))/100</f>
        <v/>
      </c>
    </row>
    <row r="701">
      <c r="A701" t="inlineStr">
        <is>
          <t>Skill + Buff Cast Rate</t>
        </is>
      </c>
      <c r="B701">
        <f>IF(AND(Inputs!$B$38&lt;&gt;"pvp",Inputs!$B$43&gt;0),SUMPRODUCT((Skills!E2:E24=TRUE)*(C673:C695=TRUE)*R673:R695*Skills!F2:F24)/Inputs!$B$43,SUMPRODUCT((Skills!E2:E24=TRUE)*(C673:C695=TRUE)*Q673:Q695*Skills!F2:F24))</f>
        <v/>
      </c>
    </row>
    <row r="702">
      <c r="A702" t="inlineStr">
        <is>
          <t>Blast Casts Per Second</t>
        </is>
      </c>
      <c r="B702">
        <f>MAX(0,B700-B701)</f>
        <v/>
      </c>
    </row>
    <row r="703">
      <c r="A703" t="inlineStr">
        <is>
          <t>Global Critical Damage Bonus % (unused)</t>
        </is>
      </c>
      <c r="B703" t="n">
        <v>0</v>
      </c>
    </row>
    <row r="704">
      <c r="A704" t="inlineStr">
        <is>
          <t>Global Final Damage Bonus % (Divine Shield + Guardian + Divine Blessing + Greater Vessel of Light)</t>
        </is>
      </c>
      <c r="B704">
        <f>((C686=TRUE)*F686*IF(AND(Inputs!$B$38&lt;&gt;"pvp",Inputs!$B$43&gt;0),(((R686-1)*(Skills!T15*(1+Inputs!$B$34/100))+MIN((Skills!T15*(1+Inputs!$B$34/100)),MAX(0,Inputs!$B$43-((R686-1)*Skills!D15))))/Inputs!$B$43),IF(Inputs!$B$38="pvp",MIN((Skills!T15*(1+Inputs!$B$34/100)),15)/15,(Skills!T15*(1+Inputs!$B$34/100))/Skills!D15)))+((C687=TRUE)*F687*IF(AND(Inputs!$B$38&lt;&gt;"pvp",Inputs!$B$43&gt;0),(((R687-1)*(Skills!T16*(1+Inputs!$B$34/100))+MIN((Skills!T16*(1+Inputs!$B$34/100)),MAX(0,Inputs!$B$43-((R687-1)*Skills!D16))))/Inputs!$B$43),IF(Inputs!$B$38="pvp",MIN((Skills!T16*(1+Inputs!$B$34/100)),15)/15,(Skills!T16*(1+Inputs!$B$34/100))/Skills!D16)))+((C688=TRUE)*F688*IF(AND(Inputs!$B$38&lt;&gt;"pvp",Inputs!$B$43&gt;0),(((R688-1)*(Skills!T17*(1+Inputs!$B$34/100))+MIN((Skills!T17*(1+Inputs!$B$34/100)),MAX(0,Inputs!$B$43-((R688-1)*Skills!D17))))/Inputs!$B$43),IF(Inputs!$B$38="pvp",MIN((Skills!T17*(1+Inputs!$B$34/100)),15)/15,(Skills!T17*(1+Inputs!$B$34/100))/Skills!D17)))+((C685=TRUE)*F685*MIN(1,Skills!T13*(Skills!J13/100)*B702))</f>
        <v/>
      </c>
    </row>
    <row r="705">
      <c r="A705" t="inlineStr">
        <is>
          <t>Buff-Casting Startup Delay (s, fixed-duration only)</t>
        </is>
      </c>
      <c r="B705">
        <f>IF(AND(Inputs!$B$38&lt;&gt;"pvp",Inputs!$B$43&gt;0),SUMPRODUCT((Skills!T2:T24&gt;0)*(Skills!E2:E24=TRUE)*(C673:C695=TRUE))/B700,0)</f>
        <v/>
      </c>
    </row>
    <row r="706">
      <c r="A706" t="inlineStr">
        <is>
          <t>Boss-Only Total DPS (this block's swept value)</t>
        </is>
      </c>
      <c r="B706">
        <f>SUM(T673:T695)</f>
        <v/>
      </c>
    </row>
    <row r="707">
      <c r="A707" t="inlineStr">
        <is>
          <t>Normal-Only Total DPS (this block's swept value)</t>
        </is>
      </c>
      <c r="B707">
        <f>SUM(V673:V695)</f>
        <v/>
      </c>
    </row>
    <row r="708">
      <c r="A708" s="6" t="inlineStr">
        <is>
          <t>TOTAL DPS</t>
        </is>
      </c>
      <c r="B708" s="6">
        <f>SUM(O673:O695)</f>
        <v/>
      </c>
    </row>
    <row r="711">
      <c r="A711" s="6" t="inlineStr">
        <is>
          <t>Stat: Skill Level Bonus — 1st Job</t>
        </is>
      </c>
    </row>
    <row r="712">
      <c r="A712" s="5" t="inlineStr">
        <is>
          <t>Key</t>
        </is>
      </c>
      <c r="B712" s="5" t="inlineStr">
        <is>
          <t>Name</t>
        </is>
      </c>
      <c r="C712" s="5" t="inlineStr">
        <is>
          <t>Unlocked</t>
        </is>
      </c>
      <c r="D712" s="5" t="inlineStr">
        <is>
          <t>InputLevel</t>
        </is>
      </c>
      <c r="E712" s="5" t="inlineStr">
        <is>
          <t>Factor</t>
        </is>
      </c>
      <c r="F712" s="5" t="inlineStr">
        <is>
          <t>CoefficientPercent</t>
        </is>
      </c>
      <c r="G712" s="5" t="inlineStr">
        <is>
          <t>EffectiveHits</t>
        </is>
      </c>
      <c r="H712" s="5" t="inlineStr">
        <is>
          <t>ProcProbability</t>
        </is>
      </c>
      <c r="I712" s="5" t="inlineStr">
        <is>
          <t>MapleHeroMultiplier</t>
        </is>
      </c>
      <c r="J712" s="5" t="inlineStr">
        <is>
          <t>BaseDamage</t>
        </is>
      </c>
      <c r="K712" s="5" t="inlineStr">
        <is>
          <t>BaseHitDamage</t>
        </is>
      </c>
      <c r="L712" s="5" t="inlineStr">
        <is>
          <t>NonCritAvg</t>
        </is>
      </c>
      <c r="M712" s="5" t="inlineStr">
        <is>
          <t>CritAvg</t>
        </is>
      </c>
      <c r="N712" s="5" t="inlineStr">
        <is>
          <t>ExpectedDamage(perHit)</t>
        </is>
      </c>
      <c r="O712" s="5" t="inlineStr">
        <is>
          <t>DPS</t>
        </is>
      </c>
      <c r="P712" s="5" t="inlineStr">
        <is>
          <t>% of Total</t>
        </is>
      </c>
      <c r="Q712" s="5" t="inlineStr">
        <is>
          <t>InvCooldown</t>
        </is>
      </c>
      <c r="R712" s="5" t="inlineStr">
        <is>
          <t>CastsInFight</t>
        </is>
      </c>
      <c r="S712" s="5" t="inlineStr">
        <is>
          <t>HitRate(perSec)</t>
        </is>
      </c>
      <c r="U712" t="inlineStr">
        <is>
          <t>helpers</t>
        </is>
      </c>
    </row>
    <row r="713">
      <c r="A713">
        <f>Skills!A2</f>
        <v/>
      </c>
      <c r="B713">
        <f>Skills!B2</f>
        <v/>
      </c>
      <c r="C713">
        <f>Inputs!$B$3&gt;=100</f>
        <v/>
      </c>
      <c r="D713" t="inlineStr"/>
      <c r="E713" t="inlineStr"/>
      <c r="F713">
        <f>U715+Skills!O2</f>
        <v/>
      </c>
      <c r="G713">
        <f>Skills!G2*IF(Skills!H2&gt;0,Skills!I2/Skills!H2,1)</f>
        <v/>
      </c>
      <c r="H713">
        <f>1-(1-Skills!J2/100)^Skills!K2</f>
        <v/>
      </c>
      <c r="I713" t="inlineStr">
        <is>
          <t>1</t>
        </is>
      </c>
      <c r="J713">
        <f>((Inputs!$B$6*(1+Inputs!$B$7/100))+(((Inputs!$B$12*(1+Inputs!$B$13/100))-(Inputs!$B$12*(1+Inputs!$B$13/100)))+0.25*(Inputs!$B$14-Inputs!$B$14))*(1+Inputs!$B$7/100))*(F713/100)</f>
        <v/>
      </c>
      <c r="K713">
        <f>J713*(1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713)</f>
        <v/>
      </c>
      <c r="L713">
        <f>K713*(MIN(Inputs!$B$22+((C733=TRUE)*(F733-Calc!F22)),(Inputs!$B$23+((C735=TRUE)*(F735-Calc!F24))+(IF(ArtifactsInput!$M$15,CHOOSE(ArtifactsInput!$N$15+1,25,30,35,40,45,50)/100*(Inputs!$B$11-Inputs!$B$11),0))))/100+(Inputs!$B$23+((C735=TRUE)*(F735-Calc!F24))+(IF(ArtifactsInput!$M$15,CHOOSE(ArtifactsInput!$N$15+1,25,30,35,40,45,50)/100*(Inputs!$B$11-Inputs!$B$11),0)))/100)/2</f>
        <v/>
      </c>
      <c r="M713">
        <f>L713*(1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3">
        <f>L713*(1-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713*(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3">
        <f>(1-Summary!$B$11)*T713+Summary!$B$11*V713</f>
        <v/>
      </c>
      <c r="P713">
        <f>IF(B748=0,0,O713/B748)</f>
        <v/>
      </c>
      <c r="Q713" t="n">
        <v>0</v>
      </c>
      <c r="R713" t="n">
        <v>0</v>
      </c>
      <c r="S713">
        <f>IFERROR(O713/N713,0)</f>
        <v/>
      </c>
      <c r="T713">
        <f>IF(C713,(Skills!G2*N713*B742)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713*(1-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713*(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713*(1-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713*(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3">
        <f>MAX(0,(Inputs!$B$3-100)*3)+Inputs!$B$28+Inputs!$B$29</f>
        <v/>
      </c>
      <c r="V713">
        <f>IF(C713,(Skills!G2*N713*B742)*IF(Inputs!$B$38="pvp",1,(1+(Inputs!$B$21+Skills!Q2+(IF(ArtifactsInput!$M$33,CHOOSE(ArtifactsInput!$N$33+1,30,36,42,48,54,60),0))+(IF(AND(ArtifactsInput!$M$35,Inputs!$B$4&lt;&gt;"Chapter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4">
      <c r="A714">
        <f>Skills!A3</f>
        <v/>
      </c>
      <c r="B714">
        <f>Skills!B3</f>
        <v/>
      </c>
      <c r="C714">
        <f>Inputs!$B$3&gt;=50</f>
        <v/>
      </c>
      <c r="D714">
        <f>IF(Skills!C3=1,60+(Inputs!$B$25+1)+Inputs!$B$29,IF(Skills!C3=2,90+Inputs!$B$26+Inputs!$B$29,IF(Skills!C3=3,120+Inputs!$B$27+Inputs!$B$29,MAX(0,(Inputs!$B$3-100)*3)+Inputs!$B$28+Inputs!$B$29)))</f>
        <v/>
      </c>
      <c r="E714">
        <f>INDEX(FactorTable!$B$2:$Y$301, MATCH(ROUND(MIN(300,MAX(1,D714)),0), FactorTable!$A$2:$A$301,0), Skills!M3+1)</f>
        <v/>
      </c>
      <c r="F714">
        <f>IF(Skills!N3=TRUE,(Skills!L3/10)*(E714/1000),Skills!L3/10)+Skills!O3</f>
        <v/>
      </c>
      <c r="G714" t="inlineStr"/>
      <c r="H714" t="inlineStr"/>
      <c r="I714" t="inlineStr">
        <is>
          <t>1</t>
        </is>
      </c>
      <c r="J714" t="inlineStr"/>
      <c r="K714" t="inlineStr"/>
      <c r="L714" t="inlineStr"/>
      <c r="M714" t="inlineStr"/>
      <c r="N714" t="inlineStr"/>
      <c r="O714" t="inlineStr"/>
      <c r="P714" t="inlineStr"/>
      <c r="Q714" t="inlineStr"/>
      <c r="R714" t="inlineStr"/>
      <c r="S714" t="inlineStr"/>
      <c r="U714">
        <f>INDEX(FactorTable!$B$2:$Y$301, MATCH(ROUND(MIN(300,MAX(1,U713)),0), FactorTable!$A$2:$A$301,0), 22)</f>
        <v/>
      </c>
    </row>
    <row r="715">
      <c r="A715">
        <f>Skills!A4</f>
        <v/>
      </c>
      <c r="B715">
        <f>Skills!B4</f>
        <v/>
      </c>
      <c r="C715">
        <f>Inputs!$B$3&gt;=35</f>
        <v/>
      </c>
      <c r="D715">
        <f>IF(Skills!C4=1,60+(Inputs!$B$25+1)+Inputs!$B$29,IF(Skills!C4=2,90+Inputs!$B$26+Inputs!$B$29,IF(Skills!C4=3,120+Inputs!$B$27+Inputs!$B$29,MAX(0,(Inputs!$B$3-100)*3)+Inputs!$B$28+Inputs!$B$29)))</f>
        <v/>
      </c>
      <c r="E715">
        <f>INDEX(FactorTable!$B$2:$Y$301, MATCH(ROUND(MIN(300,MAX(1,D715)),0), FactorTable!$A$2:$A$301,0), Skills!M4+1)</f>
        <v/>
      </c>
      <c r="F715">
        <f>IF(Skills!N4=TRUE,(Skills!L4/10)*(E715/1000),Skills!L4/10)+Skills!O4</f>
        <v/>
      </c>
      <c r="G715">
        <f>Skills!G4*IF(Skills!H4&gt;0,Skills!I4/Skills!H4,1)</f>
        <v/>
      </c>
      <c r="H715">
        <f>1-(1-Skills!J4/100)^Skills!K4</f>
        <v/>
      </c>
      <c r="I715" t="inlineStr">
        <is>
          <t>1</t>
        </is>
      </c>
      <c r="J715">
        <f>((Inputs!$B$6*(1+Inputs!$B$7/100))+(((Inputs!$B$12*(1+Inputs!$B$13/100))-(Inputs!$B$12*(1+Inputs!$B$13/100)))+0.25*(Inputs!$B$14-Inputs!$B$14))*(1+Inputs!$B$7/100))*(F715/100)</f>
        <v/>
      </c>
      <c r="K715">
        <f>J715*(1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723=TRUE,F723,0)/100)*(1+(IF(Skills!A4="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715)</f>
        <v/>
      </c>
      <c r="L715">
        <f>K715*(MIN(Inputs!$B$22+((C733=TRUE)*(F733-Calc!F22)),(Inputs!$B$23+((C735=TRUE)*(F735-Calc!F24))+(IF(ArtifactsInput!$M$15,CHOOSE(ArtifactsInput!$N$15+1,25,30,35,40,45,50)/100*(Inputs!$B$11-Inputs!$B$11),0))))/100+(Inputs!$B$23+((C735=TRUE)*(F735-Calc!F24))+(IF(ArtifactsInput!$M$15,CHOOSE(ArtifactsInput!$N$15+1,25,30,35,40,45,50)/100*(Inputs!$B$11-Inputs!$B$11),0)))/100)/2</f>
        <v/>
      </c>
      <c r="M715">
        <f>L715*(1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5">
        <f>L715*(1-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715*(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5">
        <f>(1-Summary!$B$11)*T715+Summary!$B$11*V715</f>
        <v/>
      </c>
      <c r="P715">
        <f>IF(B748=0,0,O715/B748)</f>
        <v/>
      </c>
      <c r="Q715">
        <f>IFERROR(1/(IF(Inputs!$B$38="pvp",15,MAX(0.1,Skills!D4-IF(Skills!E4=TRUE,Inputs!$B$32,0)))*(1-IF(AND(ArtifactsInput!$M$27,Inputs!$B$4="Chapter Hunt"),CHOOSE(ArtifactsInput!$N$27+1,20,24,28,32,36,40),0)/100)),0)</f>
        <v/>
      </c>
      <c r="R715">
        <f>IF(AND(Inputs!$B$38&lt;&gt;"pvp",Inputs!$B$43&gt;0),IF(MAX(0,Inputs!$B$43-B745)&lt;=0,0,(INT(MAX(0,Inputs!$B$43-B745)/(IF(Inputs!$B$38="pvp",15,MAX(0.1,Skills!D4-IF(Skills!E4=TRUE,Inputs!$B$32,0)))*(1-IF(AND(ArtifactsInput!$M$27,Inputs!$B$4="Chapter Hunt"),CHOOSE(ArtifactsInput!$N$27+1,20,24,28,32,36,40),0)/100)))+1)),0)</f>
        <v/>
      </c>
      <c r="S715">
        <f>IFERROR(O715/N715,0)</f>
        <v/>
      </c>
      <c r="T715">
        <f>IF(C715,(H715*N715*IF(AND(Inputs!$B$38&lt;&gt;"pvp",Inputs!$B$43&gt;0),((Skills!G4*((R715-1)*IF(Skills!H4&gt;0,Skills!I4/Skills!H4,1)+IF(Skills!H4&gt;0,MIN(Skills!I4,MAX(0,MAX(0,Inputs!$B$43-B745)-((R715-1)*(IF(Inputs!$B$38="pvp",15,MAX(0.1,Skills!D4-IF(Skills!E4=TRUE,Inputs!$B$32,0)))*(1-IF(AND(ArtifactsInput!$M$27,Inputs!$B$4="Chapter Hunt"),CHOOSE(ArtifactsInput!$N$27+1,20,24,28,32,36,40),0)/100)))))/Skills!H4,1)))/Inputs!$B$43),G715*Q715)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715*(1-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715*(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715*(1-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715*(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15">
        <f>290*U714/1000</f>
        <v/>
      </c>
      <c r="V715">
        <f>IF(C715,(H715*N715*IF(AND(Inputs!$B$38&lt;&gt;"pvp",Inputs!$B$43&gt;0),((Skills!G4*((R715-1)*IF(Skills!H4&gt;0,Skills!I4/Skills!H4,1)+IF(Skills!H4&gt;0,MIN(Skills!I4,MAX(0,MAX(0,Inputs!$B$43-B745)-((R715-1)*(IF(Inputs!$B$38="pvp",15,MAX(0.1,Skills!D4-IF(Skills!E4=TRUE,Inputs!$B$32,0)))*(1-IF(AND(ArtifactsInput!$M$27,Inputs!$B$4="Chapter Hunt"),CHOOSE(ArtifactsInput!$N$27+1,20,24,28,32,36,40),0)/100)))))/Skills!H4,1)))/Inputs!$B$43),G715*Q715))*IF(Inputs!$B$38="pvp",1,(1+(Inputs!$B$21+Skills!Q4+(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6">
      <c r="A716">
        <f>Skills!A5</f>
        <v/>
      </c>
      <c r="B716">
        <f>Skills!B5</f>
        <v/>
      </c>
      <c r="C716">
        <f>Inputs!$B$3&gt;=66</f>
        <v/>
      </c>
      <c r="D716">
        <f>IF(Skills!C5=1,60+(Inputs!$B$25+1)+Inputs!$B$29,IF(Skills!C5=2,90+Inputs!$B$26+Inputs!$B$29,IF(Skills!C5=3,120+Inputs!$B$27+Inputs!$B$29,MAX(0,(Inputs!$B$3-100)*3)+Inputs!$B$28+Inputs!$B$29)))</f>
        <v/>
      </c>
      <c r="E716">
        <f>INDEX(FactorTable!$B$2:$Y$301, MATCH(ROUND(MIN(300,MAX(1,D716)),0), FactorTable!$A$2:$A$301,0), Skills!M5+1)</f>
        <v/>
      </c>
      <c r="F716">
        <f>IF(Skills!N5=TRUE,(Skills!L5/10)*(E716/1000),Skills!L5/10)+Skills!O5</f>
        <v/>
      </c>
      <c r="G716">
        <f>Skills!G5*IF(Skills!H5&gt;0,Skills!I5/Skills!H5,1)</f>
        <v/>
      </c>
      <c r="H716">
        <f>1-(1-Skills!J5/100)^Skills!K5</f>
        <v/>
      </c>
      <c r="I716" t="inlineStr">
        <is>
          <t>1</t>
        </is>
      </c>
      <c r="J716">
        <f>((Inputs!$B$6*(1+Inputs!$B$7/100))+(((Inputs!$B$12*(1+Inputs!$B$13/100))-(Inputs!$B$12*(1+Inputs!$B$13/100)))+0.25*(Inputs!$B$14-Inputs!$B$14))*(1+Inputs!$B$7/100))*(F716/100)</f>
        <v/>
      </c>
      <c r="K716">
        <f>J716*(1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723=TRUE,F723,0)/100)*(1+(IF(Skills!A5="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716)</f>
        <v/>
      </c>
      <c r="L716">
        <f>K716*(MIN(Inputs!$B$22+((C733=TRUE)*(F733-Calc!F22)),(Inputs!$B$23+((C735=TRUE)*(F735-Calc!F24))+(IF(ArtifactsInput!$M$15,CHOOSE(ArtifactsInput!$N$15+1,25,30,35,40,45,50)/100*(Inputs!$B$11-Inputs!$B$11),0))))/100+(Inputs!$B$23+((C735=TRUE)*(F735-Calc!F24))+(IF(ArtifactsInput!$M$15,CHOOSE(ArtifactsInput!$N$15+1,25,30,35,40,45,50)/100*(Inputs!$B$11-Inputs!$B$11),0)))/100)/2</f>
        <v/>
      </c>
      <c r="M716">
        <f>L716*(1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6">
        <f>L716*(1-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716*(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6">
        <f>(1-Summary!$B$11)*T716+Summary!$B$11*V716</f>
        <v/>
      </c>
      <c r="P716">
        <f>IF(B748=0,0,O716/B748)</f>
        <v/>
      </c>
      <c r="Q716">
        <f>IFERROR(1/(IF(Inputs!$B$38="pvp",15,MAX(0.1,Skills!D5-IF(Skills!E5=TRUE,Inputs!$B$32,0)))*(1-IF(AND(ArtifactsInput!$M$27,Inputs!$B$4="Chapter Hunt"),CHOOSE(ArtifactsInput!$N$27+1,20,24,28,32,36,40),0)/100)),0)</f>
        <v/>
      </c>
      <c r="R716">
        <f>IF(AND(Inputs!$B$38&lt;&gt;"pvp",Inputs!$B$43&gt;0),IF(MAX(0,Inputs!$B$43-B745)&lt;=0,0,(INT(MAX(0,Inputs!$B$43-B745)/(IF(Inputs!$B$38="pvp",15,MAX(0.1,Skills!D5-IF(Skills!E5=TRUE,Inputs!$B$32,0)))*(1-IF(AND(ArtifactsInput!$M$27,Inputs!$B$4="Chapter Hunt"),CHOOSE(ArtifactsInput!$N$27+1,20,24,28,32,36,40),0)/100)))+1)),0)</f>
        <v/>
      </c>
      <c r="S716">
        <f>IFERROR(O716/N716,0)</f>
        <v/>
      </c>
      <c r="T716">
        <f>IF(C716,(H716*N716*IF(AND(Inputs!$B$38&lt;&gt;"pvp",Inputs!$B$43&gt;0),((Skills!G5*((R716-1)*IF(Skills!H5&gt;0,Skills!I5/Skills!H5,1)+IF(Skills!H5&gt;0,MIN(Skills!I5,MAX(0,MAX(0,Inputs!$B$43-B745)-((R716-1)*(IF(Inputs!$B$38="pvp",15,MAX(0.1,Skills!D5-IF(Skills!E5=TRUE,Inputs!$B$32,0)))*(1-IF(AND(ArtifactsInput!$M$27,Inputs!$B$4="Chapter Hunt"),CHOOSE(ArtifactsInput!$N$27+1,20,24,28,32,36,40),0)/100)))))/Skills!H5,1)))/Inputs!$B$43),G716*Q716)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716*(1-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716*(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716*(1-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716*(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6">
        <f>IF(C716,(H716*N716*IF(AND(Inputs!$B$38&lt;&gt;"pvp",Inputs!$B$43&gt;0),((Skills!G5*((R716-1)*IF(Skills!H5&gt;0,Skills!I5/Skills!H5,1)+IF(Skills!H5&gt;0,MIN(Skills!I5,MAX(0,MAX(0,Inputs!$B$43-B745)-((R716-1)*(IF(Inputs!$B$38="pvp",15,MAX(0.1,Skills!D5-IF(Skills!E5=TRUE,Inputs!$B$32,0)))*(1-IF(AND(ArtifactsInput!$M$27,Inputs!$B$4="Chapter Hunt"),CHOOSE(ArtifactsInput!$N$27+1,20,24,28,32,36,40),0)/100)))))/Skills!H5,1)))/Inputs!$B$43),G716*Q716))*IF(Inputs!$B$38="pvp",1,(1+(Inputs!$B$21+Skills!Q5+(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7">
      <c r="A717">
        <f>Skills!A6</f>
        <v/>
      </c>
      <c r="B717">
        <f>Skills!B6</f>
        <v/>
      </c>
      <c r="C717">
        <f>Inputs!$B$3&gt;=103</f>
        <v/>
      </c>
      <c r="D717">
        <f>IF(Skills!C6=1,60+(Inputs!$B$25+1)+Inputs!$B$29,IF(Skills!C6=2,90+Inputs!$B$26+Inputs!$B$29,IF(Skills!C6=3,120+Inputs!$B$27+Inputs!$B$29,MAX(0,(Inputs!$B$3-100)*3)+Inputs!$B$28+Inputs!$B$29)))</f>
        <v/>
      </c>
      <c r="E717">
        <f>INDEX(FactorTable!$B$2:$Y$301, MATCH(ROUND(MIN(300,MAX(1,D717)),0), FactorTable!$A$2:$A$301,0), Skills!M6+1)</f>
        <v/>
      </c>
      <c r="F717">
        <f>IF(Skills!N6=TRUE,(Skills!L6/10)*(E717/1000),Skills!L6/10)+Skills!O6</f>
        <v/>
      </c>
      <c r="G717">
        <f>Skills!G6*IF(Skills!H6&gt;0,Skills!I6/Skills!H6,1)</f>
        <v/>
      </c>
      <c r="H717">
        <f>1-(1-Skills!J6/100)^Skills!K6</f>
        <v/>
      </c>
      <c r="I717" t="inlineStr">
        <is>
          <t>1</t>
        </is>
      </c>
      <c r="J717">
        <f>((Inputs!$B$6*(1+Inputs!$B$7/100))+(((Inputs!$B$12*(1+Inputs!$B$13/100))-(Inputs!$B$12*(1+Inputs!$B$13/100)))+0.25*(Inputs!$B$14-Inputs!$B$14))*(1+Inputs!$B$7/100))*(F717/100)</f>
        <v/>
      </c>
      <c r="K717">
        <f>J717*(1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717)</f>
        <v/>
      </c>
      <c r="L717">
        <f>K717*(MIN(Inputs!$B$22+((C733=TRUE)*(F733-Calc!F22)),(Inputs!$B$23+((C735=TRUE)*(F735-Calc!F24))+(IF(ArtifactsInput!$M$15,CHOOSE(ArtifactsInput!$N$15+1,25,30,35,40,45,50)/100*(Inputs!$B$11-Inputs!$B$11),0))))/100+(Inputs!$B$23+((C735=TRUE)*(F735-Calc!F24))+(IF(ArtifactsInput!$M$15,CHOOSE(ArtifactsInput!$N$15+1,25,30,35,40,45,50)/100*(Inputs!$B$11-Inputs!$B$11),0)))/100)/2</f>
        <v/>
      </c>
      <c r="M717">
        <f>L717*(1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7">
        <f>L717*(1-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717*(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7">
        <f>(1-Summary!$B$11)*T717+Summary!$B$11*V717</f>
        <v/>
      </c>
      <c r="P717">
        <f>IF(B748=0,0,O717/B748)</f>
        <v/>
      </c>
      <c r="Q717">
        <f>IFERROR(1/(IF(Inputs!$B$38="pvp",15,MAX(0.1,Skills!D6-IF(Skills!E6=TRUE,Inputs!$B$32,0)))*(1-IF(AND(ArtifactsInput!$M$27,Inputs!$B$4="Chapter Hunt"),CHOOSE(ArtifactsInput!$N$27+1,20,24,28,32,36,40),0)/100)),0)</f>
        <v/>
      </c>
      <c r="R717">
        <f>IF(AND(Inputs!$B$38&lt;&gt;"pvp",Inputs!$B$43&gt;0),IF(MAX(0,Inputs!$B$43-B745)&lt;=0,0,(INT(MAX(0,Inputs!$B$43-B745)/(IF(Inputs!$B$38="pvp",15,MAX(0.1,Skills!D6-IF(Skills!E6=TRUE,Inputs!$B$32,0)))*(1-IF(AND(ArtifactsInput!$M$27,Inputs!$B$4="Chapter Hunt"),CHOOSE(ArtifactsInput!$N$27+1,20,24,28,32,36,40),0)/100)))+1)),0)</f>
        <v/>
      </c>
      <c r="S717">
        <f>IFERROR(O717/N717,0)</f>
        <v/>
      </c>
      <c r="T717">
        <f>IF(C717,(H717*N717*IF(AND(Inputs!$B$38&lt;&gt;"pvp",Inputs!$B$43&gt;0),((Skills!G6*((R717-1)*IF(Skills!H6&gt;0,Skills!I6/Skills!H6,1)+IF(Skills!H6&gt;0,MIN(Skills!I6,MAX(0,MAX(0,Inputs!$B$43-B745)-((R717-1)*(IF(Inputs!$B$38="pvp",15,MAX(0.1,Skills!D6-IF(Skills!E6=TRUE,Inputs!$B$32,0)))*(1-IF(AND(ArtifactsInput!$M$27,Inputs!$B$4="Chapter Hunt"),CHOOSE(ArtifactsInput!$N$27+1,20,24,28,32,36,40),0)/100)))))/Skills!H6,1)))/Inputs!$B$43),G717*Q717)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717*(1-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717*(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717*(1-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717*(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7">
        <f>IF(C717,(H717*N717*IF(AND(Inputs!$B$38&lt;&gt;"pvp",Inputs!$B$43&gt;0),((Skills!G6*((R717-1)*IF(Skills!H6&gt;0,Skills!I6/Skills!H6,1)+IF(Skills!H6&gt;0,MIN(Skills!I6,MAX(0,MAX(0,Inputs!$B$43-B745)-((R717-1)*(IF(Inputs!$B$38="pvp",15,MAX(0.1,Skills!D6-IF(Skills!E6=TRUE,Inputs!$B$32,0)))*(1-IF(AND(ArtifactsInput!$M$27,Inputs!$B$4="Chapter Hunt"),CHOOSE(ArtifactsInput!$N$27+1,20,24,28,32,36,40),0)/100)))))/Skills!H6,1)))/Inputs!$B$43),G717*Q717))*IF(Inputs!$B$38="pvp",1,(1+(Inputs!$B$21+Skills!Q6+(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8">
      <c r="A718">
        <f>Skills!A7</f>
        <v/>
      </c>
      <c r="B718">
        <f>Skills!B7</f>
        <v/>
      </c>
      <c r="C718">
        <f>Inputs!$B$3&gt;=107</f>
        <v/>
      </c>
      <c r="D718">
        <f>IF(Skills!C7=1,60+(Inputs!$B$25+1)+Inputs!$B$29,IF(Skills!C7=2,90+Inputs!$B$26+Inputs!$B$29,IF(Skills!C7=3,120+Inputs!$B$27+Inputs!$B$29,MAX(0,(Inputs!$B$3-100)*3)+Inputs!$B$28+Inputs!$B$29)))</f>
        <v/>
      </c>
      <c r="E718">
        <f>INDEX(FactorTable!$B$2:$Y$301, MATCH(ROUND(MIN(300,MAX(1,D718)),0), FactorTable!$A$2:$A$301,0), Skills!M7+1)</f>
        <v/>
      </c>
      <c r="F718">
        <f>IF(Skills!N7=TRUE,(Skills!L7/10)*(E718/1000),Skills!L7/10)+Skills!O7</f>
        <v/>
      </c>
      <c r="G718">
        <f>Skills!G7*IF(Skills!H7&gt;0,Skills!I7/Skills!H7,1)</f>
        <v/>
      </c>
      <c r="H718">
        <f>1-(1-Skills!J7/100)^Skills!K7</f>
        <v/>
      </c>
      <c r="I718" t="inlineStr">
        <is>
          <t>1</t>
        </is>
      </c>
      <c r="J718">
        <f>((Inputs!$B$6*(1+Inputs!$B$7/100))+(((Inputs!$B$12*(1+Inputs!$B$13/100))-(Inputs!$B$12*(1+Inputs!$B$13/100)))+0.25*(Inputs!$B$14-Inputs!$B$14))*(1+Inputs!$B$7/100))*(F718/100)</f>
        <v/>
      </c>
      <c r="K718">
        <f>J718*(1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718)</f>
        <v/>
      </c>
      <c r="L718">
        <f>K718*(MIN(Inputs!$B$22+((C733=TRUE)*(F733-Calc!F22)),(Inputs!$B$23+((C735=TRUE)*(F735-Calc!F24))+(IF(ArtifactsInput!$M$15,CHOOSE(ArtifactsInput!$N$15+1,25,30,35,40,45,50)/100*(Inputs!$B$11-Inputs!$B$11),0))))/100+(Inputs!$B$23+((C735=TRUE)*(F735-Calc!F24))+(IF(ArtifactsInput!$M$15,CHOOSE(ArtifactsInput!$N$15+1,25,30,35,40,45,50)/100*(Inputs!$B$11-Inputs!$B$11),0)))/100)/2</f>
        <v/>
      </c>
      <c r="M718">
        <f>L718*(1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8">
        <f>L718*(1-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718*(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8">
        <f>(1-Summary!$B$11)*T718+Summary!$B$11*V718</f>
        <v/>
      </c>
      <c r="P718">
        <f>IF(B748=0,0,O718/B748)</f>
        <v/>
      </c>
      <c r="Q718">
        <f>IFERROR(1/(IF(Inputs!$B$38="pvp",15,MAX(0.1,Skills!D7-IF(Skills!E7=TRUE,Inputs!$B$32,0)))*(1-IF(AND(ArtifactsInput!$M$27,Inputs!$B$4="Chapter Hunt"),CHOOSE(ArtifactsInput!$N$27+1,20,24,28,32,36,40),0)/100)),0)</f>
        <v/>
      </c>
      <c r="R718">
        <f>IF(AND(Inputs!$B$38&lt;&gt;"pvp",Inputs!$B$43&gt;0),IF(MAX(0,Inputs!$B$43-B745)&lt;=0,0,(INT(MAX(0,Inputs!$B$43-B745)/(IF(Inputs!$B$38="pvp",15,MAX(0.1,Skills!D7-IF(Skills!E7=TRUE,Inputs!$B$32,0)))*(1-IF(AND(ArtifactsInput!$M$27,Inputs!$B$4="Chapter Hunt"),CHOOSE(ArtifactsInput!$N$27+1,20,24,28,32,36,40),0)/100)))+1)),0)</f>
        <v/>
      </c>
      <c r="S718">
        <f>IFERROR(O718/N718,0)</f>
        <v/>
      </c>
      <c r="T718">
        <f>IF(C718,(H718*N718*IF(AND(Inputs!$B$38&lt;&gt;"pvp",Inputs!$B$43&gt;0),((Skills!G7*((R718-1)*IF(Skills!H7&gt;0,Skills!I7/Skills!H7,1)+IF(Skills!H7&gt;0,MIN(Skills!I7,MAX(0,MAX(0,Inputs!$B$43-B745)-((R718-1)*(IF(Inputs!$B$38="pvp",15,MAX(0.1,Skills!D7-IF(Skills!E7=TRUE,Inputs!$B$32,0)))*(1-IF(AND(ArtifactsInput!$M$27,Inputs!$B$4="Chapter Hunt"),CHOOSE(ArtifactsInput!$N$27+1,20,24,28,32,36,40),0)/100)))))/Skills!H7,1)))/Inputs!$B$43),G718*Q718)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718*(1-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718*(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718*(1-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718*(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8">
        <f>IF(C718,(H718*N718*IF(AND(Inputs!$B$38&lt;&gt;"pvp",Inputs!$B$43&gt;0),((Skills!G7*((R718-1)*IF(Skills!H7&gt;0,Skills!I7/Skills!H7,1)+IF(Skills!H7&gt;0,MIN(Skills!I7,MAX(0,MAX(0,Inputs!$B$43-B745)-((R718-1)*(IF(Inputs!$B$38="pvp",15,MAX(0.1,Skills!D7-IF(Skills!E7=TRUE,Inputs!$B$32,0)))*(1-IF(AND(ArtifactsInput!$M$27,Inputs!$B$4="Chapter Hunt"),CHOOSE(ArtifactsInput!$N$27+1,20,24,28,32,36,40),0)/100)))))/Skills!H7,1)))/Inputs!$B$43),G718*Q718))*IF(Inputs!$B$38="pvp",1,(1+(Inputs!$B$21+Skills!Q7+(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9">
      <c r="A719">
        <f>Skills!A8</f>
        <v/>
      </c>
      <c r="B719">
        <f>Skills!B8</f>
        <v/>
      </c>
      <c r="C719">
        <f>Inputs!$B$3&gt;=107</f>
        <v/>
      </c>
      <c r="D719">
        <f>IF(Skills!C8=1,60+(Inputs!$B$25+1)+Inputs!$B$29,IF(Skills!C8=2,90+Inputs!$B$26+Inputs!$B$29,IF(Skills!C8=3,120+Inputs!$B$27+Inputs!$B$29,MAX(0,(Inputs!$B$3-100)*3)+Inputs!$B$28+Inputs!$B$29)))</f>
        <v/>
      </c>
      <c r="E719">
        <f>INDEX(FactorTable!$B$2:$Y$301, MATCH(ROUND(MIN(300,MAX(1,D719)),0), FactorTable!$A$2:$A$301,0), Skills!M8+1)</f>
        <v/>
      </c>
      <c r="F719">
        <f>IF(Skills!N8=TRUE,(Skills!L8/10)*(E719/1000),Skills!L8/10)+Skills!O8</f>
        <v/>
      </c>
      <c r="G719">
        <f>Skills!G8*IF(Skills!H8&gt;0,Skills!I8/Skills!H8,1)</f>
        <v/>
      </c>
      <c r="H719">
        <f>1-(1-Skills!J8/100)^Skills!K8</f>
        <v/>
      </c>
      <c r="I719" t="inlineStr">
        <is>
          <t>1</t>
        </is>
      </c>
      <c r="J719">
        <f>((Inputs!$B$6*(1+Inputs!$B$7/100))+(((Inputs!$B$12*(1+Inputs!$B$13/100))-(Inputs!$B$12*(1+Inputs!$B$13/100)))+0.25*(Inputs!$B$14-Inputs!$B$14))*(1+Inputs!$B$7/100))*(F719/100)</f>
        <v/>
      </c>
      <c r="K719">
        <f>J719*(1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719)</f>
        <v/>
      </c>
      <c r="L719">
        <f>K719*(MIN(Inputs!$B$22+((C733=TRUE)*(F733-Calc!F22)),(Inputs!$B$23+((C735=TRUE)*(F735-Calc!F24))+(IF(ArtifactsInput!$M$15,CHOOSE(ArtifactsInput!$N$15+1,25,30,35,40,45,50)/100*(Inputs!$B$11-Inputs!$B$11),0))))/100+(Inputs!$B$23+((C735=TRUE)*(F735-Calc!F24))+(IF(ArtifactsInput!$M$15,CHOOSE(ArtifactsInput!$N$15+1,25,30,35,40,45,50)/100*(Inputs!$B$11-Inputs!$B$11),0)))/100)/2</f>
        <v/>
      </c>
      <c r="M719">
        <f>L719*(1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9">
        <f>L719*(1-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719*(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9">
        <f>(1-Summary!$B$11)*T719+Summary!$B$11*V719</f>
        <v/>
      </c>
      <c r="P719">
        <f>IF(B748=0,0,O719/B748)</f>
        <v/>
      </c>
      <c r="Q719">
        <f>IFERROR(1/(IF(Inputs!$B$38="pvp",15,MAX(0.1,Skills!D8-IF(Skills!E8=TRUE,Inputs!$B$32,0)))*(1-IF(AND(ArtifactsInput!$M$27,Inputs!$B$4="Chapter Hunt"),CHOOSE(ArtifactsInput!$N$27+1,20,24,28,32,36,40),0)/100)),0)</f>
        <v/>
      </c>
      <c r="R719">
        <f>IF(AND(Inputs!$B$38&lt;&gt;"pvp",Inputs!$B$43&gt;0),IF(MAX(0,Inputs!$B$43-B745)&lt;=0,0,(INT(MAX(0,Inputs!$B$43-B745)/(IF(Inputs!$B$38="pvp",15,MAX(0.1,Skills!D8-IF(Skills!E8=TRUE,Inputs!$B$32,0)))*(1-IF(AND(ArtifactsInput!$M$27,Inputs!$B$4="Chapter Hunt"),CHOOSE(ArtifactsInput!$N$27+1,20,24,28,32,36,40),0)/100)))+1)),0)</f>
        <v/>
      </c>
      <c r="S719">
        <f>IFERROR(O719/N719,0)</f>
        <v/>
      </c>
      <c r="T719">
        <f>IF(C719,(H719*N719*IF(AND(Inputs!$B$38&lt;&gt;"pvp",Inputs!$B$43&gt;0),((Skills!G8*((R719-1)*IF(Skills!H8&gt;0,Skills!I8/Skills!H8,1)+IF(Skills!H8&gt;0,MIN(Skills!I8,MAX(0,MAX(0,Inputs!$B$43-B745)-((R719-1)*(IF(Inputs!$B$38="pvp",15,MAX(0.1,Skills!D8-IF(Skills!E8=TRUE,Inputs!$B$32,0)))*(1-IF(AND(ArtifactsInput!$M$27,Inputs!$B$4="Chapter Hunt"),CHOOSE(ArtifactsInput!$N$27+1,20,24,28,32,36,40),0)/100)))))/Skills!H8,1)))/Inputs!$B$43),G719*Q719)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719*(1-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719*(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719*(1-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719*(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9">
        <f>IF(C719,(H719*N719*IF(AND(Inputs!$B$38&lt;&gt;"pvp",Inputs!$B$43&gt;0),((Skills!G8*((R719-1)*IF(Skills!H8&gt;0,Skills!I8/Skills!H8,1)+IF(Skills!H8&gt;0,MIN(Skills!I8,MAX(0,MAX(0,Inputs!$B$43-B745)-((R719-1)*(IF(Inputs!$B$38="pvp",15,MAX(0.1,Skills!D8-IF(Skills!E8=TRUE,Inputs!$B$32,0)))*(1-IF(AND(ArtifactsInput!$M$27,Inputs!$B$4="Chapter Hunt"),CHOOSE(ArtifactsInput!$N$27+1,20,24,28,32,36,40),0)/100)))))/Skills!H8,1)))/Inputs!$B$43),G719*Q719))*IF(Inputs!$B$38="pvp",1,(1+(Inputs!$B$21+Skills!Q8+(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0">
      <c r="A720">
        <f>Skills!A9</f>
        <v/>
      </c>
      <c r="B720">
        <f>Skills!B9</f>
        <v/>
      </c>
      <c r="C720">
        <f>Inputs!$B$3&gt;=125</f>
        <v/>
      </c>
      <c r="D720">
        <f>IF(Skills!C9=1,60+(Inputs!$B$25+1)+Inputs!$B$29,IF(Skills!C9=2,90+Inputs!$B$26+Inputs!$B$29,IF(Skills!C9=3,120+Inputs!$B$27+Inputs!$B$29,MAX(0,(Inputs!$B$3-100)*3)+Inputs!$B$28+Inputs!$B$29)))</f>
        <v/>
      </c>
      <c r="E720">
        <f>INDEX(FactorTable!$B$2:$Y$301, MATCH(ROUND(MIN(300,MAX(1,D720)),0), FactorTable!$A$2:$A$301,0), Skills!M9+1)</f>
        <v/>
      </c>
      <c r="F720">
        <f>IF(Skills!N9=TRUE,(Skills!L9/10)*(E720/1000),Skills!L9/10)+Skills!O9</f>
        <v/>
      </c>
      <c r="G720">
        <f>Skills!G9*IF(Skills!H9&gt;0,Skills!I9/Skills!H9,1)</f>
        <v/>
      </c>
      <c r="H720">
        <f>1-(1-Skills!J9/100)^Skills!K9</f>
        <v/>
      </c>
      <c r="I720" t="inlineStr">
        <is>
          <t>1</t>
        </is>
      </c>
      <c r="J720">
        <f>((Inputs!$B$6*(1+Inputs!$B$7/100))+(((Inputs!$B$12*(1+Inputs!$B$13/100))-(Inputs!$B$12*(1+Inputs!$B$13/100)))+0.25*(Inputs!$B$14-Inputs!$B$14))*(1+Inputs!$B$7/100))*(F720/100)</f>
        <v/>
      </c>
      <c r="K720">
        <f>J720*(1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720)</f>
        <v/>
      </c>
      <c r="L720">
        <f>K720*(MIN(Inputs!$B$22+((C733=TRUE)*(F733-Calc!F22)),(Inputs!$B$23+((C735=TRUE)*(F735-Calc!F24))+(IF(ArtifactsInput!$M$15,CHOOSE(ArtifactsInput!$N$15+1,25,30,35,40,45,50)/100*(Inputs!$B$11-Inputs!$B$11),0))))/100+(Inputs!$B$23+((C735=TRUE)*(F735-Calc!F24))+(IF(ArtifactsInput!$M$15,CHOOSE(ArtifactsInput!$N$15+1,25,30,35,40,45,50)/100*(Inputs!$B$11-Inputs!$B$11),0)))/100)/2</f>
        <v/>
      </c>
      <c r="M720">
        <f>L720*(1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0">
        <f>L720*(1-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720*(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0">
        <f>(1-Summary!$B$11)*T720+Summary!$B$11*V720</f>
        <v/>
      </c>
      <c r="P720">
        <f>IF(B748=0,0,O720/B748)</f>
        <v/>
      </c>
      <c r="Q720">
        <f>IFERROR(1/(IF(Inputs!$B$38="pvp",15,MAX(0.1,Skills!D9-IF(Skills!E9=TRUE,Inputs!$B$32,0)))*(1-IF(AND(ArtifactsInput!$M$27,Inputs!$B$4="Chapter Hunt"),CHOOSE(ArtifactsInput!$N$27+1,20,24,28,32,36,40),0)/100)),0)</f>
        <v/>
      </c>
      <c r="R720">
        <f>IF(AND(Inputs!$B$38&lt;&gt;"pvp",Inputs!$B$43&gt;0),IF(MAX(0,Inputs!$B$43-B745)&lt;=0,0,(INT(MAX(0,Inputs!$B$43-B745)/(IF(Inputs!$B$38="pvp",15,MAX(0.1,Skills!D9-IF(Skills!E9=TRUE,Inputs!$B$32,0)))*(1-IF(AND(ArtifactsInput!$M$27,Inputs!$B$4="Chapter Hunt"),CHOOSE(ArtifactsInput!$N$27+1,20,24,28,32,36,40),0)/100)))+1)),0)</f>
        <v/>
      </c>
      <c r="S720">
        <f>IFERROR(O720/N720,0)</f>
        <v/>
      </c>
      <c r="T720">
        <f>IF(C720,(H720*N720*IF(AND(Inputs!$B$38&lt;&gt;"pvp",Inputs!$B$43&gt;0),((Skills!G9*((R720-1)*IF(Skills!H9&gt;0,Skills!I9/Skills!H9,1)+IF(Skills!H9&gt;0,MIN(Skills!I9,MAX(0,MAX(0,Inputs!$B$43-B745)-((R720-1)*(IF(Inputs!$B$38="pvp",15,MAX(0.1,Skills!D9-IF(Skills!E9=TRUE,Inputs!$B$32,0)))*(1-IF(AND(ArtifactsInput!$M$27,Inputs!$B$4="Chapter Hunt"),CHOOSE(ArtifactsInput!$N$27+1,20,24,28,32,36,40),0)/100)))))/Skills!H9,1)))/Inputs!$B$43),G720*Q720)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720*(1-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720*(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720*(1-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720*(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0">
        <f>IF(C720,(H720*N720*IF(AND(Inputs!$B$38&lt;&gt;"pvp",Inputs!$B$43&gt;0),((Skills!G9*((R720-1)*IF(Skills!H9&gt;0,Skills!I9/Skills!H9,1)+IF(Skills!H9&gt;0,MIN(Skills!I9,MAX(0,MAX(0,Inputs!$B$43-B745)-((R720-1)*(IF(Inputs!$B$38="pvp",15,MAX(0.1,Skills!D9-IF(Skills!E9=TRUE,Inputs!$B$32,0)))*(1-IF(AND(ArtifactsInput!$M$27,Inputs!$B$4="Chapter Hunt"),CHOOSE(ArtifactsInput!$N$27+1,20,24,28,32,36,40),0)/100)))))/Skills!H9,1)))/Inputs!$B$43),G720*Q720))*IF(Inputs!$B$38="pvp",1,(1+(Inputs!$B$21+Skills!Q9+(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1">
      <c r="A721">
        <f>Skills!A10</f>
        <v/>
      </c>
      <c r="B721">
        <f>Skills!B10</f>
        <v/>
      </c>
      <c r="C721">
        <f>Inputs!$B$3&gt;=117</f>
        <v/>
      </c>
      <c r="D721">
        <f>IF(Skills!C10=1,60+(Inputs!$B$25+1)+Inputs!$B$29,IF(Skills!C10=2,90+Inputs!$B$26+Inputs!$B$29,IF(Skills!C10=3,120+Inputs!$B$27+Inputs!$B$29,MAX(0,(Inputs!$B$3-100)*3)+Inputs!$B$28+Inputs!$B$29)))</f>
        <v/>
      </c>
      <c r="E721">
        <f>INDEX(FactorTable!$B$2:$Y$301, MATCH(ROUND(MIN(300,MAX(1,D721)),0), FactorTable!$A$2:$A$301,0), Skills!M10+1)</f>
        <v/>
      </c>
      <c r="F721">
        <f>IF(Skills!N10=TRUE,(Skills!L10/10)*(E721/1000),Skills!L10/10)+Skills!O10</f>
        <v/>
      </c>
      <c r="G721">
        <f>Skills!G10*IF(Skills!H10&gt;0,Skills!I10/Skills!H10,1)</f>
        <v/>
      </c>
      <c r="H721">
        <f>1-(1-Skills!J10/100)^Skills!K10</f>
        <v/>
      </c>
      <c r="I721" t="inlineStr">
        <is>
          <t>1</t>
        </is>
      </c>
      <c r="J721">
        <f>((Inputs!$B$6*(1+Inputs!$B$7/100))+(((Inputs!$B$12*(1+Inputs!$B$13/100))-(Inputs!$B$12*(1+Inputs!$B$13/100)))+0.25*(Inputs!$B$14-Inputs!$B$14))*(1+Inputs!$B$7/100))*(F721/100)</f>
        <v/>
      </c>
      <c r="K721">
        <f>J721*(1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721)</f>
        <v/>
      </c>
      <c r="L721">
        <f>K721*(MIN(Inputs!$B$22+((C733=TRUE)*(F733-Calc!F22)),(Inputs!$B$23+((C735=TRUE)*(F735-Calc!F24))+(IF(ArtifactsInput!$M$15,CHOOSE(ArtifactsInput!$N$15+1,25,30,35,40,45,50)/100*(Inputs!$B$11-Inputs!$B$11),0))))/100+(Inputs!$B$23+((C735=TRUE)*(F735-Calc!F24))+(IF(ArtifactsInput!$M$15,CHOOSE(ArtifactsInput!$N$15+1,25,30,35,40,45,50)/100*(Inputs!$B$11-Inputs!$B$11),0)))/100)/2</f>
        <v/>
      </c>
      <c r="M721">
        <f>L721*(1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1">
        <f>L721*(1-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1">
        <f>(1-Summary!$B$11)*T721+Summary!$B$11*V721</f>
        <v/>
      </c>
      <c r="P721">
        <f>IF(B748=0,0,O721/B748)</f>
        <v/>
      </c>
      <c r="Q721">
        <f>IFERROR(1/(IF(Inputs!$B$38="pvp",15,MAX(0.1,Skills!D10-IF(Skills!E10=TRUE,Inputs!$B$32,0)))*(1-IF(AND(ArtifactsInput!$M$27,Inputs!$B$4="Chapter Hunt"),CHOOSE(ArtifactsInput!$N$27+1,20,24,28,32,36,40),0)/100)),0)</f>
        <v/>
      </c>
      <c r="R721">
        <f>IF(AND(Inputs!$B$38&lt;&gt;"pvp",Inputs!$B$43&gt;0),IF(MAX(0,Inputs!$B$43-B745)&lt;=0,0,(INT(MAX(0,Inputs!$B$43-B745)/(IF(Inputs!$B$38="pvp",15,MAX(0.1,Skills!D10-IF(Skills!E10=TRUE,Inputs!$B$32,0)))*(1-IF(AND(ArtifactsInput!$M$27,Inputs!$B$4="Chapter Hunt"),CHOOSE(ArtifactsInput!$N$27+1,20,24,28,32,36,40),0)/100)))+1)),0)</f>
        <v/>
      </c>
      <c r="S721">
        <f>IFERROR(O721/N721,0)</f>
        <v/>
      </c>
      <c r="T721">
        <f>IF(C721,(H721*N721*IF(AND(Inputs!$B$38&lt;&gt;"pvp",Inputs!$B$43&gt;0),((Skills!G10*((R721-1)*IF(Skills!H10&gt;0,Skills!I10/Skills!H10,1)+IF(Skills!H10&gt;0,MIN(Skills!I10,MAX(0,MAX(0,Inputs!$B$43-B745)-((R721-1)*(IF(Inputs!$B$38="pvp",15,MAX(0.1,Skills!D10-IF(Skills!E10=TRUE,Inputs!$B$32,0)))*(1-IF(AND(ArtifactsInput!$M$27,Inputs!$B$4="Chapter Hunt"),CHOOSE(ArtifactsInput!$N$27+1,20,24,28,32,36,40),0)/100)))))/Skills!H10,1)))/Inputs!$B$43),G721*Q721)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721*(1-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721*(1-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1">
        <f>IF(C721,(H721*N721*IF(AND(Inputs!$B$38&lt;&gt;"pvp",Inputs!$B$43&gt;0),((Skills!G10*((R721-1)*IF(Skills!H10&gt;0,Skills!I10/Skills!H10,1)+IF(Skills!H10&gt;0,MIN(Skills!I10,MAX(0,MAX(0,Inputs!$B$43-B745)-((R721-1)*(IF(Inputs!$B$38="pvp",15,MAX(0.1,Skills!D10-IF(Skills!E10=TRUE,Inputs!$B$32,0)))*(1-IF(AND(ArtifactsInput!$M$27,Inputs!$B$4="Chapter Hunt"),CHOOSE(ArtifactsInput!$N$27+1,20,24,28,32,36,40),0)/100)))))/Skills!H10,1)))/Inputs!$B$43),G721*Q721))*IF(Inputs!$B$38="pvp",1,(1+(Inputs!$B$21+Skills!Q10+(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2">
      <c r="A722">
        <f>Skills!A11</f>
        <v/>
      </c>
      <c r="B722">
        <f>Skills!B11</f>
        <v/>
      </c>
      <c r="C722">
        <f>Inputs!$B$3&gt;=63</f>
        <v/>
      </c>
      <c r="D722">
        <f>IF(Skills!C11=1,60+(Inputs!$B$25+1)+Inputs!$B$29,IF(Skills!C11=2,90+Inputs!$B$26+Inputs!$B$29,IF(Skills!C11=3,120+Inputs!$B$27+Inputs!$B$29,MAX(0,(Inputs!$B$3-100)*3)+Inputs!$B$28+Inputs!$B$29)))</f>
        <v/>
      </c>
      <c r="E722">
        <f>INDEX(FactorTable!$B$2:$Y$301, MATCH(ROUND(MIN(300,MAX(1,D722)),0), FactorTable!$A$2:$A$301,0), Skills!M11+1)</f>
        <v/>
      </c>
      <c r="F722">
        <f>IF(Skills!N11=TRUE,(Skills!L11/10)*(E722/1000),Skills!L11/10)+Skills!O11</f>
        <v/>
      </c>
      <c r="G722">
        <f>Skills!G11*IF(Skills!H11&gt;0,Skills!I11/Skills!H11,1)</f>
        <v/>
      </c>
      <c r="H722">
        <f>1-(1-Skills!J11/100)^Skills!K11</f>
        <v/>
      </c>
      <c r="I722" t="inlineStr">
        <is>
          <t>1</t>
        </is>
      </c>
      <c r="J722">
        <f>((Inputs!$B$6*(1+Inputs!$B$7/100))+(((Inputs!$B$12*(1+Inputs!$B$13/100))-(Inputs!$B$12*(1+Inputs!$B$13/100)))+0.25*(Inputs!$B$14-Inputs!$B$14))*(1+Inputs!$B$7/100))*(F722/100)</f>
        <v/>
      </c>
      <c r="K722">
        <f>J722*(1+((Inputs!$B$12*(1+Inputs!$B$13/100))*0.01+Inputs!$B$14*0.0025)/100)*(1+Inputs!$B$15/100)*(1+Inputs!$B$16/100)*(5000/(6000+Inputs!$B$42*(1-(Inputs!$B$19+0)/100)))*(1+(Inputs!$B$24+0+B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723=TRUE,F723,0)/100)*(1+(IF(Skills!A11="BLAST",Inputs!$B$17+((C732=TRUE)*(F732-Calc!F21))+((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MIN(100,((Inputs!$B$9+0+B738+(ArtifactsInput!$M$24-ArtifactsInput!$M$24)*CHOOSE(ArtifactsInput!$N$24+1,10,12,14,16,18,20)+IF(ArtifactsInput!$M$10,CHOOSE(ArtifactsInput!$N$10+1,15,18,21,24,27,30)*(IF(Inputs!$B$38="pvp",MIN(15,15)/15,IF(AND(Inputs!$B$38&lt;&gt;"pvp",Inputs!$B$43&gt;0),MIN(15,Inputs!$B$43)/(Inputs!$B$43),0))),0)))-100),0))*CHOOSE(ArtifactsInput!$N$42+1,0.6,0.72,0.84,0.96,1.08,1.2))),Inputs!$B$18+((C734=TRUE)*(F734-Calc!F23))+(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gt;=100),CHOOSE(ArtifactsInput!$N$42+1,40,48,56,64,72,80),0))))/100)*((1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722)</f>
        <v/>
      </c>
      <c r="L722">
        <f>K722*(MIN(Inputs!$B$22+((C733=TRUE)*(F733-Calc!F22)),(Inputs!$B$23+((C735=TRUE)*(F735-Calc!F24))+(IF(ArtifactsInput!$M$15,CHOOSE(ArtifactsInput!$N$15+1,25,30,35,40,45,50)/100*(Inputs!$B$11-Inputs!$B$11),0))))/100+(Inputs!$B$23+((C735=TRUE)*(F735-Calc!F24))+(IF(ArtifactsInput!$M$15,CHOOSE(ArtifactsInput!$N$15+1,25,30,35,40,45,50)/100*(Inputs!$B$11-Inputs!$B$11),0)))/100)/2</f>
        <v/>
      </c>
      <c r="M722">
        <f>L722*(1+(Inputs!$B$10+0+B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2">
        <f>L722*(1-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722*(MIN((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2">
        <f>(1-Summary!$B$11)*T722+Summary!$B$11*V722</f>
        <v/>
      </c>
      <c r="P722">
        <f>IF(B748=0,0,O722/B748)</f>
        <v/>
      </c>
      <c r="Q722">
        <f>IFERROR(1/(IF(Inputs!$B$38="pvp",15,MAX(0.1,Skills!D11-IF(Skills!E11=TRUE,Inputs!$B$32,0)))*(1-IF(AND(ArtifactsInput!$M$27,Inputs!$B$4="Chapter Hunt"),CHOOSE(ArtifactsInput!$N$27+1,20,24,28,32,36,40),0)/100)),0)</f>
        <v/>
      </c>
      <c r="R722">
        <f>IF(AND(Inputs!$B$38&lt;&gt;"pvp",Inputs!$B$43&gt;0),IF(MAX(0,Inputs!$B$43-B745)&lt;=0,0,(INT(MAX(0,Inputs!$B$43-B745)/(IF(Inputs!$B$38="pvp",15,MAX(0.1,Skills!D11-IF(Skills!E11=TRUE,Inputs!$B$32,0)))*(1-IF(AND(ArtifactsInput!$M$27,Inputs!$B$4="Chapter Hunt"),CHOOSE(ArtifactsInput!$N$27+1,20,24,28,32,36,40),0)/100)))+1)),0)</f>
        <v/>
      </c>
      <c r="S722">
        <f>IFERROR(O722/N722,0)</f>
        <v/>
      </c>
      <c r="T722">
        <f>IF(C722,(H722*N722*IF(AND(Inputs!$B$38&lt;&gt;"pvp",Inputs!$B$43&gt;0),((Skills!G11*((R722-1)*IF(Skills!H11&gt;0,Skills!I11/Skills!H11,1)+IF(Skills!H11&gt;0,MIN(Skills!I11,MAX(0,MAX(0,Inputs!$B$43-B745)-((R722-1)*(IF(Inputs!$B$38="pvp",15,MAX(0.1,Skills!D11-IF(Skills!E11=TRUE,Inputs!$B$32,0)))*(1-IF(AND(ArtifactsInput!$M$27,Inputs!$B$4="Chapter Hunt"),CHOOSE(ArtifactsInput!$N$27+1,20,24,28,32,36,40),0)/100)))))/Skills!H11,1)))/Inputs!$B$43),G722*Q722)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722*(1-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722*(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722*(1-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722*(MIN(100,(Inputs!$B$9+0+B738+(ArtifactsInput!$M$24-ArtifactsInput!$M$24)*CHOOSE(ArtifactsInput!$N$24+1,10,12,14,16,18,20)+(IF(AND(Inputs!$B$38&lt;&gt;"pvp",Inputs!$B$43=0),1,IF(IF(Inputs!$B$38="pvp",15,Inputs!$B$43)-(B745)&lt;=0,1,MAX(0,IF(Inputs!$B$38="pvp",15,Inputs!$B$43)-MAX(5,B745))/(IF(Inputs!$B$38="pvp",15,Inputs!$B$43)-(B745))))*IF(AND(ArtifactsInput!$M$42,((Inputs!$B$9+0+B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22">
        <f>IF(C722,(H722*N722*IF(AND(Inputs!$B$38&lt;&gt;"pvp",Inputs!$B$43&gt;0),((Skills!G11*((R722-1)*IF(Skills!H11&gt;0,Skills!I11/Skills!H11,1)+IF(Skills!H11&gt;0,MIN(Skills!I11,MAX(0,MAX(0,Inputs!$B$43-B745)-((R722-1)*(IF(Inputs!$B$38="pvp",15,MAX(0.1,Skills!D11-IF(Skills!E11=TRUE,Inputs!$B$32,0)))*(1-IF(AND(ArtifactsInput!$M$27,Inputs!$B$4="Chapter Hunt"),CHOOSE(ArtifactsInput!$N$27+1,20,24,28,32,36,40),0)/100)))))/Skills!H11,1)))/Inputs!$B$43),G722*Q722))*IF(Inputs!$B$38="pvp",1,(1+(Inputs!$B$21+Skills!Q11+(IF(ArtifactsInput!$M$33,CHOOSE(ArtifactsInput!$N$33+1,30,36,42,48,54,60),0))+(IF(AND(ArtifactsInput!$M$35,Inputs!$B$4&lt;&gt;"Chapter Hunt"),CHOOSE(ArtifactsInput!$N$35+1,15,18,21,24,27,30)*(1-EXP(-(0.2*B740)*5)),0)+IF(AND(ArtifactsInput!$M$22,Inputs!$B$4&lt;&gt;"Chapter Hunt"),CHOOSE(ArtifactsInput!$N$22+1,10,12,14,16,18,20)*((0*(((0.15*B740*5))^0/1)+1*(((0.15*B740*5))^1/1)+2*(((0.15*B740*5))^2/2)+3*(((0.15*B740*5))^3/6)+4*(((0.15*B740*5))^4/24)+5*(((0.15*B740*5))^5/120))/((((0.15*B740*5))^0/1)+(((0.15*B740*5))^1/1)+(((0.15*B740*5))^2/2)+(((0.15*B740*5))^3/6)+(((0.15*B740*5))^4/24)+(((0.15*B740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23">
      <c r="A723">
        <f>Skills!A12</f>
        <v/>
      </c>
      <c r="B723">
        <f>Skills!B12</f>
        <v/>
      </c>
      <c r="C723">
        <f>Inputs!$B$3&gt;=100</f>
        <v/>
      </c>
      <c r="D723">
        <f>IF(Skills!C12=1,60+(Inputs!$B$25+1)+Inputs!$B$29,IF(Skills!C12=2,90+Inputs!$B$26+Inputs!$B$29,IF(Skills!C12=3,120+Inputs!$B$27+Inputs!$B$29,MAX(0,(Inputs!$B$3-100)*3)+Inputs!$B$28+Inputs!$B$29)))</f>
        <v/>
      </c>
      <c r="E723">
        <f>INDEX(FactorTable!$B$2:$Y$301, MATCH(ROUND(MIN(300,MAX(1,D723)),0), FactorTable!$A$2:$A$301,0), Skills!M12+1)</f>
        <v/>
      </c>
      <c r="F723">
        <f>IF(Skills!N12=TRUE,(Skills!L12/10)*(E723/1000),Skills!L12/10)+Skills!O12</f>
        <v/>
      </c>
      <c r="G723" t="inlineStr"/>
      <c r="H723" t="inlineStr"/>
      <c r="I723" t="inlineStr">
        <is>
          <t>1</t>
        </is>
      </c>
      <c r="J723" t="inlineStr"/>
      <c r="K723" t="inlineStr"/>
      <c r="L723" t="inlineStr"/>
      <c r="M723" t="inlineStr"/>
      <c r="N723" t="inlineStr"/>
      <c r="O723" t="inlineStr"/>
      <c r="P723" t="inlineStr"/>
      <c r="Q723" t="inlineStr"/>
      <c r="R723" t="inlineStr"/>
      <c r="S723" t="inlineStr"/>
    </row>
    <row r="724">
      <c r="A724">
        <f>Skills!A13</f>
        <v/>
      </c>
      <c r="B724">
        <f>Skills!B13</f>
        <v/>
      </c>
      <c r="C724">
        <f>Inputs!$B$3&gt;=45</f>
        <v/>
      </c>
      <c r="D724">
        <f>IF(Skills!C13=1,60+(Inputs!$B$25+1)+Inputs!$B$29,IF(Skills!C13=2,90+Inputs!$B$26+Inputs!$B$29,IF(Skills!C13=3,120+Inputs!$B$27+Inputs!$B$29,MAX(0,(Inputs!$B$3-100)*3)+Inputs!$B$28+Inputs!$B$29)))</f>
        <v/>
      </c>
      <c r="E724">
        <f>INDEX(FactorTable!$B$2:$Y$301, MATCH(ROUND(MIN(300,MAX(1,D724)),0), FactorTable!$A$2:$A$301,0), Skills!M13+1)</f>
        <v/>
      </c>
      <c r="F724">
        <f>IF(Skills!N13=TRUE,(Skills!L13/10)*(E724/1000),Skills!L13/10)+Skills!O13</f>
        <v/>
      </c>
      <c r="G724">
        <f>Skills!G13*IF(Skills!H13&gt;0,Skills!I13/Skills!H13,1)</f>
        <v/>
      </c>
      <c r="H724">
        <f>1-(1-Skills!J13/100)^Skills!K13</f>
        <v/>
      </c>
      <c r="I724" t="inlineStr">
        <is>
          <t>1</t>
        </is>
      </c>
      <c r="J724" t="inlineStr"/>
      <c r="K724" t="inlineStr"/>
      <c r="L724" t="inlineStr"/>
      <c r="M724" t="inlineStr"/>
      <c r="N724" t="inlineStr"/>
      <c r="O724">
        <f>(1-Summary!$B$11)*T724+Summary!$B$11*V724</f>
        <v/>
      </c>
      <c r="P724">
        <f>IF(B748=0,0,O724/B748)</f>
        <v/>
      </c>
      <c r="Q724" t="n">
        <v>0</v>
      </c>
      <c r="R724" t="n">
        <v>0</v>
      </c>
      <c r="S724">
        <f>IFERROR(O724/N724,0)</f>
        <v/>
      </c>
      <c r="T724" t="n">
        <v>0</v>
      </c>
      <c r="V724" t="n">
        <v>0</v>
      </c>
    </row>
    <row r="725">
      <c r="A725">
        <f>Skills!A14</f>
        <v/>
      </c>
      <c r="B725">
        <f>Skills!B14</f>
        <v/>
      </c>
      <c r="C725">
        <f>Inputs!$B$3&gt;=110</f>
        <v/>
      </c>
      <c r="D725">
        <f>IF(Skills!C14=1,60+(Inputs!$B$25+1)+Inputs!$B$29,IF(Skills!C14=2,90+Inputs!$B$26+Inputs!$B$29,IF(Skills!C14=3,120+Inputs!$B$27+Inputs!$B$29,MAX(0,(Inputs!$B$3-100)*3)+Inputs!$B$28+Inputs!$B$29)))</f>
        <v/>
      </c>
      <c r="E725">
        <f>INDEX(FactorTable!$B$2:$Y$301, MATCH(ROUND(MIN(300,MAX(1,D725)),0), FactorTable!$A$2:$A$301,0), Skills!M14+1)</f>
        <v/>
      </c>
      <c r="F725">
        <f>IF(Skills!N14=TRUE,(Skills!L14/10)*(E725/1000),Skills!L14/10)+Skills!O14</f>
        <v/>
      </c>
      <c r="G725">
        <f>Skills!G14*IF(Skills!H14&gt;0,Skills!I14/Skills!H14,1)</f>
        <v/>
      </c>
      <c r="H725">
        <f>1-(1-Skills!J14/100)^Skills!K14</f>
        <v/>
      </c>
      <c r="I725" t="inlineStr">
        <is>
          <t>1</t>
        </is>
      </c>
      <c r="J725" t="inlineStr"/>
      <c r="K725" t="inlineStr"/>
      <c r="L725" t="inlineStr"/>
      <c r="M725" t="inlineStr"/>
      <c r="N725" t="inlineStr"/>
      <c r="O725">
        <f>(1-Summary!$B$11)*T725+Summary!$B$11*V725</f>
        <v/>
      </c>
      <c r="P725">
        <f>IF(B748=0,0,O725/B748)</f>
        <v/>
      </c>
      <c r="Q725" t="n">
        <v>0</v>
      </c>
      <c r="R725" t="n">
        <v>0</v>
      </c>
      <c r="S725">
        <f>IFERROR(O725/N725,0)</f>
        <v/>
      </c>
      <c r="T725" t="n">
        <v>0</v>
      </c>
      <c r="V725" t="n">
        <v>0</v>
      </c>
    </row>
    <row r="726">
      <c r="A726">
        <f>Skills!A15</f>
        <v/>
      </c>
      <c r="B726">
        <f>Skills!B15</f>
        <v/>
      </c>
      <c r="C726">
        <f>Inputs!$B$3&gt;=75</f>
        <v/>
      </c>
      <c r="D726">
        <f>IF(Skills!C15=1,60+(Inputs!$B$25+1)+Inputs!$B$29,IF(Skills!C15=2,90+Inputs!$B$26+Inputs!$B$29,IF(Skills!C15=3,120+Inputs!$B$27+Inputs!$B$29,MAX(0,(Inputs!$B$3-100)*3)+Inputs!$B$28+Inputs!$B$29)))</f>
        <v/>
      </c>
      <c r="E726">
        <f>INDEX(FactorTable!$B$2:$Y$301, MATCH(ROUND(MIN(300,MAX(1,D726)),0), FactorTable!$A$2:$A$301,0), Skills!M15+1)</f>
        <v/>
      </c>
      <c r="F726">
        <f>IF(Skills!N15=TRUE,(Skills!L15/10)*(E726/1000),Skills!L15/10)+Skills!O15</f>
        <v/>
      </c>
      <c r="G726">
        <f>Skills!G15*IF(Skills!H15&gt;0,Skills!I15/Skills!H15,1)</f>
        <v/>
      </c>
      <c r="H726">
        <f>1-(1-Skills!J15/100)^Skills!K15</f>
        <v/>
      </c>
      <c r="I726" t="inlineStr">
        <is>
          <t>1</t>
        </is>
      </c>
      <c r="J726" t="inlineStr"/>
      <c r="K726" t="inlineStr"/>
      <c r="L726" t="inlineStr"/>
      <c r="M726" t="inlineStr"/>
      <c r="N726" t="inlineStr"/>
      <c r="O726">
        <f>(1-Summary!$B$11)*T726+Summary!$B$11*V726</f>
        <v/>
      </c>
      <c r="P726">
        <f>IF(B748=0,0,O726/B748)</f>
        <v/>
      </c>
      <c r="Q726">
        <f>IFERROR(1/(IF(Inputs!$B$38="pvp",15,MAX(0.1,Skills!D15-IF(Skills!E15=TRUE,Inputs!$B$32,0)))*(1-IF(AND(ArtifactsInput!$M$27,Inputs!$B$4="Chapter Hunt"),CHOOSE(ArtifactsInput!$N$27+1,20,24,28,32,36,40),0)/100)),0)</f>
        <v/>
      </c>
      <c r="R726">
        <f>IF(AND(Inputs!$B$38&lt;&gt;"pvp",Inputs!$B$43&gt;0),IF(Inputs!$B$43&lt;=0,0,(INT(Inputs!$B$43/(IF(Inputs!$B$38="pvp",15,MAX(0.1,Skills!D15-IF(Skills!E15=TRUE,Inputs!$B$32,0)))*(1-IF(AND(ArtifactsInput!$M$27,Inputs!$B$4="Chapter Hunt"),CHOOSE(ArtifactsInput!$N$27+1,20,24,28,32,36,40),0)/100)))+1)),0)</f>
        <v/>
      </c>
      <c r="S726">
        <f>IFERROR(O726/N726,0)</f>
        <v/>
      </c>
      <c r="T726" t="n">
        <v>0</v>
      </c>
      <c r="V726" t="n">
        <v>0</v>
      </c>
    </row>
    <row r="727">
      <c r="A727">
        <f>Skills!A16</f>
        <v/>
      </c>
      <c r="B727">
        <f>Skills!B16</f>
        <v/>
      </c>
      <c r="C727">
        <f>Inputs!$B$3&gt;=105</f>
        <v/>
      </c>
      <c r="D727">
        <f>IF(Skills!C16=1,60+(Inputs!$B$25+1)+Inputs!$B$29,IF(Skills!C16=2,90+Inputs!$B$26+Inputs!$B$29,IF(Skills!C16=3,120+Inputs!$B$27+Inputs!$B$29,MAX(0,(Inputs!$B$3-100)*3)+Inputs!$B$28+Inputs!$B$29)))</f>
        <v/>
      </c>
      <c r="E727">
        <f>INDEX(FactorTable!$B$2:$Y$301, MATCH(ROUND(MIN(300,MAX(1,D727)),0), FactorTable!$A$2:$A$301,0), Skills!M16+1)</f>
        <v/>
      </c>
      <c r="F727">
        <f>IF(Skills!N16=TRUE,(Skills!L16/10)*(E727/1000),Skills!L16/10)+Skills!O16</f>
        <v/>
      </c>
      <c r="G727">
        <f>Skills!G16*IF(Skills!H16&gt;0,Skills!I16/Skills!H16,1)</f>
        <v/>
      </c>
      <c r="H727">
        <f>1-(1-Skills!J16/100)^Skills!K16</f>
        <v/>
      </c>
      <c r="I727" t="inlineStr">
        <is>
          <t>1</t>
        </is>
      </c>
      <c r="J727" t="inlineStr"/>
      <c r="K727" t="inlineStr"/>
      <c r="L727" t="inlineStr"/>
      <c r="M727" t="inlineStr"/>
      <c r="N727" t="inlineStr"/>
      <c r="O727">
        <f>(1-Summary!$B$11)*T727+Summary!$B$11*V727</f>
        <v/>
      </c>
      <c r="P727">
        <f>IF(B748=0,0,O727/B748)</f>
        <v/>
      </c>
      <c r="Q727">
        <f>IFERROR(1/(IF(Inputs!$B$38="pvp",15,MAX(0.1,Skills!D16-IF(Skills!E16=TRUE,Inputs!$B$32,0)))*(1-IF(AND(ArtifactsInput!$M$27,Inputs!$B$4="Chapter Hunt"),CHOOSE(ArtifactsInput!$N$27+1,20,24,28,32,36,40),0)/100)),0)</f>
        <v/>
      </c>
      <c r="R727">
        <f>IF(AND(Inputs!$B$38&lt;&gt;"pvp",Inputs!$B$43&gt;0),IF(Inputs!$B$43&lt;=0,0,(INT(Inputs!$B$43/(IF(Inputs!$B$38="pvp",15,MAX(0.1,Skills!D16-IF(Skills!E16=TRUE,Inputs!$B$32,0)))*(1-IF(AND(ArtifactsInput!$M$27,Inputs!$B$4="Chapter Hunt"),CHOOSE(ArtifactsInput!$N$27+1,20,24,28,32,36,40),0)/100)))+1)),0)</f>
        <v/>
      </c>
      <c r="S727">
        <f>IFERROR(O727/N727,0)</f>
        <v/>
      </c>
      <c r="T727" t="n">
        <v>0</v>
      </c>
      <c r="V727" t="n">
        <v>0</v>
      </c>
    </row>
    <row r="728">
      <c r="A728">
        <f>Skills!A17</f>
        <v/>
      </c>
      <c r="B728">
        <f>Skills!B17</f>
        <v/>
      </c>
      <c r="C728">
        <f>Inputs!$B$3&gt;=115</f>
        <v/>
      </c>
      <c r="D728">
        <f>IF(Skills!C17=1,60+(Inputs!$B$25+1)+Inputs!$B$29,IF(Skills!C17=2,90+Inputs!$B$26+Inputs!$B$29,IF(Skills!C17=3,120+Inputs!$B$27+Inputs!$B$29,MAX(0,(Inputs!$B$3-100)*3)+Inputs!$B$28+Inputs!$B$29)))</f>
        <v/>
      </c>
      <c r="E728">
        <f>INDEX(FactorTable!$B$2:$Y$301, MATCH(ROUND(MIN(300,MAX(1,D728)),0), FactorTable!$A$2:$A$301,0), Skills!M17+1)</f>
        <v/>
      </c>
      <c r="F728">
        <f>IF(Skills!N17=TRUE,(Skills!L17/10)*(E728/1000),Skills!L17/10)+Skills!O17</f>
        <v/>
      </c>
      <c r="G728">
        <f>Skills!G17*IF(Skills!H17&gt;0,Skills!I17/Skills!H17,1)</f>
        <v/>
      </c>
      <c r="H728">
        <f>1-(1-Skills!J17/100)^Skills!K17</f>
        <v/>
      </c>
      <c r="I728" t="inlineStr">
        <is>
          <t>1</t>
        </is>
      </c>
      <c r="J728" t="inlineStr"/>
      <c r="K728" t="inlineStr"/>
      <c r="L728" t="inlineStr"/>
      <c r="M728" t="inlineStr"/>
      <c r="N728" t="inlineStr"/>
      <c r="O728">
        <f>(1-Summary!$B$11)*T728+Summary!$B$11*V728</f>
        <v/>
      </c>
      <c r="P728">
        <f>IF(B748=0,0,O728/B748)</f>
        <v/>
      </c>
      <c r="Q728">
        <f>IFERROR(1/(IF(Inputs!$B$38="pvp",15,MAX(0.1,Skills!D17-IF(Skills!E17=TRUE,Inputs!$B$32,0)))*(1-IF(AND(ArtifactsInput!$M$27,Inputs!$B$4="Chapter Hunt"),CHOOSE(ArtifactsInput!$N$27+1,20,24,28,32,36,40),0)/100)),0)</f>
        <v/>
      </c>
      <c r="R728">
        <f>IF(AND(Inputs!$B$38&lt;&gt;"pvp",Inputs!$B$43&gt;0),IF(Inputs!$B$43&lt;=0,0,(INT(Inputs!$B$43/(IF(Inputs!$B$38="pvp",15,MAX(0.1,Skills!D17-IF(Skills!E17=TRUE,Inputs!$B$32,0)))*(1-IF(AND(ArtifactsInput!$M$27,Inputs!$B$4="Chapter Hunt"),CHOOSE(ArtifactsInput!$N$27+1,20,24,28,32,36,40),0)/100)))+1)),0)</f>
        <v/>
      </c>
      <c r="S728">
        <f>IFERROR(O728/N728,0)</f>
        <v/>
      </c>
      <c r="T728" t="n">
        <v>0</v>
      </c>
      <c r="V728" t="n">
        <v>0</v>
      </c>
    </row>
    <row r="729">
      <c r="A729">
        <f>Skills!A18</f>
        <v/>
      </c>
      <c r="B729">
        <f>Skills!B18</f>
        <v/>
      </c>
      <c r="C729">
        <f>Inputs!$B$3&gt;=74</f>
        <v/>
      </c>
      <c r="D729">
        <f>IF(Skills!C18=1,60+(Inputs!$B$25+1)+Inputs!$B$29,IF(Skills!C18=2,90+Inputs!$B$26+Inputs!$B$29,IF(Skills!C18=3,120+Inputs!$B$27+Inputs!$B$29,MAX(0,(Inputs!$B$3-100)*3)+Inputs!$B$28+Inputs!$B$29)))</f>
        <v/>
      </c>
      <c r="E729">
        <f>INDEX(FactorTable!$B$2:$Y$301, MATCH(ROUND(MIN(300,MAX(1,D729)),0), FactorTable!$A$2:$A$301,0), Skills!M18+1)</f>
        <v/>
      </c>
      <c r="F729">
        <f>IF(Skills!N18=TRUE,(Skills!L18/10)*(E729/1000),Skills!L18/10)+Skills!O18</f>
        <v/>
      </c>
      <c r="G729">
        <f>Skills!G18*IF(Skills!H18&gt;0,Skills!I18/Skills!H18,1)</f>
        <v/>
      </c>
      <c r="H729">
        <f>1-(1-Skills!J18/100)^Skills!K18</f>
        <v/>
      </c>
      <c r="I729" t="inlineStr">
        <is>
          <t>1</t>
        </is>
      </c>
      <c r="J729" t="inlineStr"/>
      <c r="K729" t="inlineStr"/>
      <c r="L729" t="inlineStr"/>
      <c r="M729" t="inlineStr"/>
      <c r="N729" t="inlineStr"/>
      <c r="O729">
        <f>(1-Summary!$B$11)*T729+Summary!$B$11*V729</f>
        <v/>
      </c>
      <c r="P729">
        <f>IF(B748=0,0,O729/B748)</f>
        <v/>
      </c>
      <c r="Q729">
        <f>IFERROR(1/(IF(Inputs!$B$38="pvp",15,MAX(0.1,Skills!D18-IF(Skills!E18=TRUE,Inputs!$B$32,0)))*(1-IF(AND(ArtifactsInput!$M$27,Inputs!$B$4="Chapter Hunt"),CHOOSE(ArtifactsInput!$N$27+1,20,24,28,32,36,40),0)/100)),0)</f>
        <v/>
      </c>
      <c r="R729">
        <f>IF(AND(Inputs!$B$38&lt;&gt;"pvp",Inputs!$B$43&gt;0),IF(Inputs!$B$43&lt;=0,0,(INT(Inputs!$B$43/(IF(Inputs!$B$38="pvp",15,MAX(0.1,Skills!D18-IF(Skills!E18=TRUE,Inputs!$B$32,0)))*(1-IF(AND(ArtifactsInput!$M$27,Inputs!$B$4="Chapter Hunt"),CHOOSE(ArtifactsInput!$N$27+1,20,24,28,32,36,40),0)/100)))+1)),0)</f>
        <v/>
      </c>
      <c r="S729">
        <f>IFERROR(O729/N729,0)</f>
        <v/>
      </c>
      <c r="T729" t="n">
        <v>0</v>
      </c>
      <c r="V729" t="n">
        <v>0</v>
      </c>
    </row>
    <row r="730">
      <c r="A730">
        <f>Skills!A19</f>
        <v/>
      </c>
      <c r="B730">
        <f>Skills!B19</f>
        <v/>
      </c>
      <c r="C730">
        <f>TRUE</f>
        <v/>
      </c>
      <c r="D730">
        <f>IF(Skills!C19=1,60+(Inputs!$B$25+1)+Inputs!$B$29,IF(Skills!C19=2,90+Inputs!$B$26+Inputs!$B$29,IF(Skills!C19=3,120+Inputs!$B$27+Inputs!$B$29,MAX(0,(Inputs!$B$3-100)*3)+Inputs!$B$28+Inputs!$B$29)))</f>
        <v/>
      </c>
      <c r="E730">
        <f>INDEX(FactorTable!$B$2:$Y$301, MATCH(ROUND(MIN(300,MAX(1,D730)),0), FactorTable!$A$2:$A$301,0), Skills!M19+1)</f>
        <v/>
      </c>
      <c r="F730">
        <f>IF(Skills!N19=TRUE,(Skills!L19/10)*(E730/1000),Skills!L19/10)+Skills!O19</f>
        <v/>
      </c>
      <c r="G730">
        <f>Skills!G19*IF(Skills!H19&gt;0,Skills!I19/Skills!H19,1)</f>
        <v/>
      </c>
      <c r="H730">
        <f>1-(1-Skills!J19/100)^Skills!K19</f>
        <v/>
      </c>
      <c r="I730" t="inlineStr">
        <is>
          <t>1</t>
        </is>
      </c>
      <c r="J730" t="inlineStr"/>
      <c r="K730" t="inlineStr"/>
      <c r="L730" t="inlineStr"/>
      <c r="M730" t="inlineStr"/>
      <c r="N730" t="inlineStr"/>
      <c r="O730">
        <f>(1-Summary!$B$11)*T730+Summary!$B$11*V730</f>
        <v/>
      </c>
      <c r="P730">
        <f>IF(B748=0,0,O730/B748)</f>
        <v/>
      </c>
      <c r="Q730">
        <f>IFERROR(1/(IF(Inputs!$B$38="pvp",15,MAX(0.1,Skills!D19-IF(Skills!E19=TRUE,Inputs!$B$32,0)))*(1-IF(AND(ArtifactsInput!$M$27,Inputs!$B$4="Chapter Hunt"),CHOOSE(ArtifactsInput!$N$27+1,20,24,28,32,36,40),0)/100)),0)</f>
        <v/>
      </c>
      <c r="R730">
        <f>IF(AND(Inputs!$B$38&lt;&gt;"pvp",Inputs!$B$43&gt;0),IF(Inputs!$B$43&lt;=0,0,(INT(Inputs!$B$43/(IF(Inputs!$B$38="pvp",15,MAX(0.1,Skills!D19-IF(Skills!E19=TRUE,Inputs!$B$32,0)))*(1-IF(AND(ArtifactsInput!$M$27,Inputs!$B$4="Chapter Hunt"),CHOOSE(ArtifactsInput!$N$27+1,20,24,28,32,36,40),0)/100)))+1)),0)</f>
        <v/>
      </c>
      <c r="S730">
        <f>IFERROR(O730/N730,0)</f>
        <v/>
      </c>
      <c r="T730" t="n">
        <v>0</v>
      </c>
      <c r="V730" t="n">
        <v>0</v>
      </c>
    </row>
    <row r="731">
      <c r="A731">
        <f>Skills!A20</f>
        <v/>
      </c>
      <c r="B731">
        <f>Skills!B20</f>
        <v/>
      </c>
      <c r="C731">
        <f>Inputs!$B$3&gt;=33</f>
        <v/>
      </c>
      <c r="D731">
        <f>IF(Skills!C20=1,60+(Inputs!$B$25+1)+Inputs!$B$29,IF(Skills!C20=2,90+Inputs!$B$26+Inputs!$B$29,IF(Skills!C20=3,120+Inputs!$B$27+Inputs!$B$29,MAX(0,(Inputs!$B$3-100)*3)+Inputs!$B$28+Inputs!$B$29)))</f>
        <v/>
      </c>
      <c r="E731">
        <f>INDEX(FactorTable!$B$2:$Y$301, MATCH(ROUND(MIN(300,MAX(1,D731)),0), FactorTable!$A$2:$A$301,0), Skills!M20+1)</f>
        <v/>
      </c>
      <c r="F731">
        <f>IF(Skills!N20=TRUE,(Skills!L20/10)*(E731/1000),Skills!L20/10)+Skills!O20</f>
        <v/>
      </c>
      <c r="G731">
        <f>Skills!G20*IF(Skills!H20&gt;0,Skills!I20/Skills!H20,1)</f>
        <v/>
      </c>
      <c r="H731">
        <f>1-(1-Skills!J20/100)^Skills!K20</f>
        <v/>
      </c>
      <c r="I731" t="inlineStr">
        <is>
          <t>1</t>
        </is>
      </c>
      <c r="J731" t="inlineStr"/>
      <c r="K731" t="inlineStr"/>
      <c r="L731" t="inlineStr"/>
      <c r="M731" t="inlineStr"/>
      <c r="N731" t="inlineStr"/>
      <c r="O731">
        <f>(1-Summary!$B$11)*T731+Summary!$B$11*V731</f>
        <v/>
      </c>
      <c r="P731">
        <f>IF(B748=0,0,O731/B748)</f>
        <v/>
      </c>
      <c r="Q731" t="n">
        <v>0</v>
      </c>
      <c r="R731" t="n">
        <v>0</v>
      </c>
      <c r="S731">
        <f>IFERROR(O731/N731,0)</f>
        <v/>
      </c>
      <c r="T731" t="n">
        <v>0</v>
      </c>
      <c r="V731" t="n">
        <v>0</v>
      </c>
    </row>
    <row r="732">
      <c r="A732">
        <f>Skills!A21</f>
        <v/>
      </c>
      <c r="B732">
        <f>Skills!B21</f>
        <v/>
      </c>
      <c r="C732">
        <f>Inputs!$B$3&gt;=38</f>
        <v/>
      </c>
      <c r="D732">
        <f>IF(Skills!C21=1,60+(Inputs!$B$25+1)+Inputs!$B$29,IF(Skills!C21=2,90+Inputs!$B$26+Inputs!$B$29,IF(Skills!C21=3,120+Inputs!$B$27+Inputs!$B$29,MAX(0,(Inputs!$B$3-100)*3)+Inputs!$B$28+Inputs!$B$29)))</f>
        <v/>
      </c>
      <c r="E732">
        <f>INDEX(FactorTable!$B$2:$Y$301, MATCH(ROUND(MIN(300,MAX(1,D732)),0), FactorTable!$A$2:$A$301,0), Skills!M21+1)</f>
        <v/>
      </c>
      <c r="F732">
        <f>IF(Skills!N21=TRUE,(Skills!L21/10)*(E732/1000),Skills!L21/10)+Skills!O21</f>
        <v/>
      </c>
      <c r="G732">
        <f>Skills!G21*IF(Skills!H21&gt;0,Skills!I21/Skills!H21,1)</f>
        <v/>
      </c>
      <c r="H732">
        <f>1-(1-Skills!J21/100)^Skills!K21</f>
        <v/>
      </c>
      <c r="I732" t="inlineStr">
        <is>
          <t>1</t>
        </is>
      </c>
      <c r="J732" t="inlineStr"/>
      <c r="K732" t="inlineStr"/>
      <c r="L732" t="inlineStr"/>
      <c r="M732" t="inlineStr"/>
      <c r="N732" t="inlineStr"/>
      <c r="O732">
        <f>(1-Summary!$B$11)*T732+Summary!$B$11*V732</f>
        <v/>
      </c>
      <c r="P732">
        <f>IF(B748=0,0,O732/B748)</f>
        <v/>
      </c>
      <c r="Q732" t="n">
        <v>0</v>
      </c>
      <c r="R732" t="n">
        <v>0</v>
      </c>
      <c r="S732">
        <f>IFERROR(O732/N732,0)</f>
        <v/>
      </c>
      <c r="T732" t="n">
        <v>0</v>
      </c>
      <c r="V732" t="n">
        <v>0</v>
      </c>
    </row>
    <row r="733">
      <c r="A733">
        <f>Skills!A22</f>
        <v/>
      </c>
      <c r="B733">
        <f>Skills!B22</f>
        <v/>
      </c>
      <c r="C733">
        <f>Inputs!$B$3&gt;=43</f>
        <v/>
      </c>
      <c r="D733">
        <f>IF(Skills!C22=1,60+(Inputs!$B$25+1)+Inputs!$B$29,IF(Skills!C22=2,90+Inputs!$B$26+Inputs!$B$29,IF(Skills!C22=3,120+Inputs!$B$27+Inputs!$B$29,MAX(0,(Inputs!$B$3-100)*3)+Inputs!$B$28+Inputs!$B$29)))</f>
        <v/>
      </c>
      <c r="E733">
        <f>INDEX(FactorTable!$B$2:$Y$301, MATCH(ROUND(MIN(300,MAX(1,D733)),0), FactorTable!$A$2:$A$301,0), Skills!M22+1)</f>
        <v/>
      </c>
      <c r="F733">
        <f>IF(Skills!N22=TRUE,(Skills!L22/10)*(E733/1000),Skills!L22/10)+Skills!O22</f>
        <v/>
      </c>
      <c r="G733">
        <f>Skills!G22*IF(Skills!H22&gt;0,Skills!I22/Skills!H22,1)</f>
        <v/>
      </c>
      <c r="H733">
        <f>1-(1-Skills!J22/100)^Skills!K22</f>
        <v/>
      </c>
      <c r="I733" t="inlineStr">
        <is>
          <t>1</t>
        </is>
      </c>
      <c r="J733" t="inlineStr"/>
      <c r="K733" t="inlineStr"/>
      <c r="L733" t="inlineStr"/>
      <c r="M733" t="inlineStr"/>
      <c r="N733" t="inlineStr"/>
      <c r="O733">
        <f>(1-Summary!$B$11)*T733+Summary!$B$11*V733</f>
        <v/>
      </c>
      <c r="P733">
        <f>IF(B748=0,0,O733/B748)</f>
        <v/>
      </c>
      <c r="Q733" t="n">
        <v>0</v>
      </c>
      <c r="R733" t="n">
        <v>0</v>
      </c>
      <c r="S733">
        <f>IFERROR(O733/N733,0)</f>
        <v/>
      </c>
      <c r="T733" t="n">
        <v>0</v>
      </c>
      <c r="V733" t="n">
        <v>0</v>
      </c>
    </row>
    <row r="734">
      <c r="A734">
        <f>Skills!A23</f>
        <v/>
      </c>
      <c r="B734">
        <f>Skills!B23</f>
        <v/>
      </c>
      <c r="C734">
        <f>Inputs!$B$3&gt;=120</f>
        <v/>
      </c>
      <c r="D734">
        <f>IF(Skills!C23=1,60+(Inputs!$B$25+1)+Inputs!$B$29,IF(Skills!C23=2,90+Inputs!$B$26+Inputs!$B$29,IF(Skills!C23=3,120+Inputs!$B$27+Inputs!$B$29,MAX(0,(Inputs!$B$3-100)*3)+Inputs!$B$28+Inputs!$B$29)))</f>
        <v/>
      </c>
      <c r="E734">
        <f>INDEX(FactorTable!$B$2:$Y$301, MATCH(ROUND(MIN(300,MAX(1,D734)),0), FactorTable!$A$2:$A$301,0), Skills!M23+1)</f>
        <v/>
      </c>
      <c r="F734">
        <f>IF(Skills!N23=TRUE,(Skills!L23/10)*(E734/1000),Skills!L23/10)+Skills!O23</f>
        <v/>
      </c>
      <c r="G734">
        <f>Skills!G23*IF(Skills!H23&gt;0,Skills!I23/Skills!H23,1)</f>
        <v/>
      </c>
      <c r="H734">
        <f>1-(1-Skills!J23/100)^Skills!K23</f>
        <v/>
      </c>
      <c r="I734" t="inlineStr">
        <is>
          <t>1</t>
        </is>
      </c>
      <c r="J734" t="inlineStr"/>
      <c r="K734" t="inlineStr"/>
      <c r="L734" t="inlineStr"/>
      <c r="M734" t="inlineStr"/>
      <c r="N734" t="inlineStr"/>
      <c r="O734">
        <f>(1-Summary!$B$11)*T734+Summary!$B$11*V734</f>
        <v/>
      </c>
      <c r="P734">
        <f>IF(B748=0,0,O734/B748)</f>
        <v/>
      </c>
      <c r="Q734" t="n">
        <v>0</v>
      </c>
      <c r="R734" t="n">
        <v>0</v>
      </c>
      <c r="S734">
        <f>IFERROR(O734/N734,0)</f>
        <v/>
      </c>
      <c r="T734" t="n">
        <v>0</v>
      </c>
      <c r="V734" t="n">
        <v>0</v>
      </c>
    </row>
    <row r="735">
      <c r="A735">
        <f>Skills!A24</f>
        <v/>
      </c>
      <c r="B735">
        <f>Skills!B24</f>
        <v/>
      </c>
      <c r="C735">
        <f>Inputs!$B$3&gt;=120</f>
        <v/>
      </c>
      <c r="D735">
        <f>IF(Skills!C24=1,60+(Inputs!$B$25+1)+Inputs!$B$29,IF(Skills!C24=2,90+Inputs!$B$26+Inputs!$B$29,IF(Skills!C24=3,120+Inputs!$B$27+Inputs!$B$29,MAX(0,(Inputs!$B$3-100)*3)+Inputs!$B$28+Inputs!$B$29)))</f>
        <v/>
      </c>
      <c r="E735">
        <f>INDEX(FactorTable!$B$2:$Y$301, MATCH(ROUND(MIN(300,MAX(1,D735)),0), FactorTable!$A$2:$A$301,0), Skills!M24+1)</f>
        <v/>
      </c>
      <c r="F735">
        <f>IF(Skills!N24=TRUE,(Skills!L24/10)*(E735/1000),Skills!L24/10)+Skills!O24</f>
        <v/>
      </c>
      <c r="G735">
        <f>Skills!G24*IF(Skills!H24&gt;0,Skills!I24/Skills!H24,1)</f>
        <v/>
      </c>
      <c r="H735">
        <f>1-(1-Skills!J24/100)^Skills!K24</f>
        <v/>
      </c>
      <c r="I735" t="inlineStr">
        <is>
          <t>1</t>
        </is>
      </c>
      <c r="J735" t="inlineStr"/>
      <c r="K735" t="inlineStr"/>
      <c r="L735" t="inlineStr"/>
      <c r="M735" t="inlineStr"/>
      <c r="N735" t="inlineStr"/>
      <c r="O735">
        <f>(1-Summary!$B$11)*T735+Summary!$B$11*V735</f>
        <v/>
      </c>
      <c r="P735">
        <f>IF(B748=0,0,O735/B748)</f>
        <v/>
      </c>
      <c r="Q735" t="n">
        <v>0</v>
      </c>
      <c r="R735" t="n">
        <v>0</v>
      </c>
      <c r="S735">
        <f>IFERROR(O735/N735,0)</f>
        <v/>
      </c>
      <c r="T735" t="n">
        <v>0</v>
      </c>
      <c r="V735" t="n">
        <v>0</v>
      </c>
    </row>
    <row r="737">
      <c r="A737" t="inlineStr">
        <is>
          <t>Attack% Bucket Multiplier</t>
        </is>
      </c>
      <c r="B737">
        <f>(1+(((C724=TRUE)*F724*MIN(1,Skills!T13*(Skills!J13/100)*B742))+((C729=TRUE)*F729*IF(AND(Inputs!$B$38&lt;&gt;"pvp",Inputs!$B$43&gt;0),(((R729-1)*(Skills!T18*(1+Inputs!$B$34/100))+MIN((Skills!T18*(1+Inputs!$B$34/100)),MAX(0,Inputs!$B$43-((R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38">
      <c r="A738" t="inlineStr">
        <is>
          <t>Global Crit Rate Bonus %</t>
        </is>
      </c>
      <c r="B738" t="n">
        <v>0</v>
      </c>
    </row>
    <row r="739">
      <c r="A739" t="inlineStr">
        <is>
          <t>Attack Speed Buff Bonus %</t>
        </is>
      </c>
      <c r="B739">
        <f>((C730=TRUE)*F730*IF(AND(Inputs!$B$38&lt;&gt;"pvp",Inputs!$B$43&gt;0),(((R730-1)*(Skills!T19*(1+Inputs!$B$34/100))+MIN((Skills!T19*(1+Inputs!$B$34/100)),MAX(0,Inputs!$B$43-((R730-1)*Skills!D19))))/Inputs!$B$43),IF(Inputs!$B$38="pvp",MIN((Skills!T19*(1+Inputs!$B$34/100)),15)/15,(Skills!T19*(1+Inputs!$B$34/100))/Skills!D19)))</f>
        <v/>
      </c>
    </row>
    <row r="740">
      <c r="A740" t="inlineStr">
        <is>
          <t>Actions Per Second</t>
        </is>
      </c>
      <c r="B740">
        <f>1+MIN(150,150*(1-(1-(Inputs!$B$11+((C731=TRUE)*(F731-Calc!F20)))/150)*(1-B739/150)))/100</f>
        <v/>
      </c>
    </row>
    <row r="741">
      <c r="A741" t="inlineStr">
        <is>
          <t>Skill + Buff Cast Rate</t>
        </is>
      </c>
      <c r="B741">
        <f>IF(AND(Inputs!$B$38&lt;&gt;"pvp",Inputs!$B$43&gt;0),SUMPRODUCT((Skills!E2:E24=TRUE)*(C713:C735=TRUE)*R713:R735*Skills!F2:F24)/Inputs!$B$43,SUMPRODUCT((Skills!E2:E24=TRUE)*(C713:C735=TRUE)*Q713:Q735*Skills!F2:F24))</f>
        <v/>
      </c>
    </row>
    <row r="742">
      <c r="A742" t="inlineStr">
        <is>
          <t>Blast Casts Per Second</t>
        </is>
      </c>
      <c r="B742">
        <f>MAX(0,B740-B741)</f>
        <v/>
      </c>
    </row>
    <row r="743">
      <c r="A743" t="inlineStr">
        <is>
          <t>Global Critical Damage Bonus % (unused)</t>
        </is>
      </c>
      <c r="B743" t="n">
        <v>0</v>
      </c>
    </row>
    <row r="744">
      <c r="A744" t="inlineStr">
        <is>
          <t>Global Final Damage Bonus % (Divine Shield + Guardian + Divine Blessing + Greater Vessel of Light)</t>
        </is>
      </c>
      <c r="B744">
        <f>((C726=TRUE)*F726*IF(AND(Inputs!$B$38&lt;&gt;"pvp",Inputs!$B$43&gt;0),(((R726-1)*(Skills!T15*(1+Inputs!$B$34/100))+MIN((Skills!T15*(1+Inputs!$B$34/100)),MAX(0,Inputs!$B$43-((R726-1)*Skills!D15))))/Inputs!$B$43),IF(Inputs!$B$38="pvp",MIN((Skills!T15*(1+Inputs!$B$34/100)),15)/15,(Skills!T15*(1+Inputs!$B$34/100))/Skills!D15)))+((C727=TRUE)*F727*IF(AND(Inputs!$B$38&lt;&gt;"pvp",Inputs!$B$43&gt;0),(((R727-1)*(Skills!T16*(1+Inputs!$B$34/100))+MIN((Skills!T16*(1+Inputs!$B$34/100)),MAX(0,Inputs!$B$43-((R727-1)*Skills!D16))))/Inputs!$B$43),IF(Inputs!$B$38="pvp",MIN((Skills!T16*(1+Inputs!$B$34/100)),15)/15,(Skills!T16*(1+Inputs!$B$34/100))/Skills!D16)))+((C728=TRUE)*F728*IF(AND(Inputs!$B$38&lt;&gt;"pvp",Inputs!$B$43&gt;0),(((R728-1)*(Skills!T17*(1+Inputs!$B$34/100))+MIN((Skills!T17*(1+Inputs!$B$34/100)),MAX(0,Inputs!$B$43-((R728-1)*Skills!D17))))/Inputs!$B$43),IF(Inputs!$B$38="pvp",MIN((Skills!T17*(1+Inputs!$B$34/100)),15)/15,(Skills!T17*(1+Inputs!$B$34/100))/Skills!D17)))+((C725=TRUE)*F725*MIN(1,Skills!T13*(Skills!J13/100)*B742))</f>
        <v/>
      </c>
    </row>
    <row r="745">
      <c r="A745" t="inlineStr">
        <is>
          <t>Buff-Casting Startup Delay (s, fixed-duration only)</t>
        </is>
      </c>
      <c r="B745">
        <f>IF(AND(Inputs!$B$38&lt;&gt;"pvp",Inputs!$B$43&gt;0),SUMPRODUCT((Skills!T2:T24&gt;0)*(Skills!E2:E24=TRUE)*(C713:C735=TRUE))/B740,0)</f>
        <v/>
      </c>
    </row>
    <row r="746">
      <c r="A746" t="inlineStr">
        <is>
          <t>Boss-Only Total DPS (this block's swept value)</t>
        </is>
      </c>
      <c r="B746">
        <f>SUM(T713:T735)</f>
        <v/>
      </c>
    </row>
    <row r="747">
      <c r="A747" t="inlineStr">
        <is>
          <t>Normal-Only Total DPS (this block's swept value)</t>
        </is>
      </c>
      <c r="B747">
        <f>SUM(V713:V735)</f>
        <v/>
      </c>
    </row>
    <row r="748">
      <c r="A748" s="6" t="inlineStr">
        <is>
          <t>TOTAL DPS</t>
        </is>
      </c>
      <c r="B748" s="6">
        <f>SUM(O713:O735)</f>
        <v/>
      </c>
    </row>
    <row r="751">
      <c r="A751" s="6" t="inlineStr">
        <is>
          <t>Stat: Skill Level Bonus — 2nd Job</t>
        </is>
      </c>
    </row>
    <row r="752">
      <c r="A752" s="5" t="inlineStr">
        <is>
          <t>Key</t>
        </is>
      </c>
      <c r="B752" s="5" t="inlineStr">
        <is>
          <t>Name</t>
        </is>
      </c>
      <c r="C752" s="5" t="inlineStr">
        <is>
          <t>Unlocked</t>
        </is>
      </c>
      <c r="D752" s="5" t="inlineStr">
        <is>
          <t>InputLevel</t>
        </is>
      </c>
      <c r="E752" s="5" t="inlineStr">
        <is>
          <t>Factor</t>
        </is>
      </c>
      <c r="F752" s="5" t="inlineStr">
        <is>
          <t>CoefficientPercent</t>
        </is>
      </c>
      <c r="G752" s="5" t="inlineStr">
        <is>
          <t>EffectiveHits</t>
        </is>
      </c>
      <c r="H752" s="5" t="inlineStr">
        <is>
          <t>ProcProbability</t>
        </is>
      </c>
      <c r="I752" s="5" t="inlineStr">
        <is>
          <t>MapleHeroMultiplier</t>
        </is>
      </c>
      <c r="J752" s="5" t="inlineStr">
        <is>
          <t>BaseDamage</t>
        </is>
      </c>
      <c r="K752" s="5" t="inlineStr">
        <is>
          <t>BaseHitDamage</t>
        </is>
      </c>
      <c r="L752" s="5" t="inlineStr">
        <is>
          <t>NonCritAvg</t>
        </is>
      </c>
      <c r="M752" s="5" t="inlineStr">
        <is>
          <t>CritAvg</t>
        </is>
      </c>
      <c r="N752" s="5" t="inlineStr">
        <is>
          <t>ExpectedDamage(perHit)</t>
        </is>
      </c>
      <c r="O752" s="5" t="inlineStr">
        <is>
          <t>DPS</t>
        </is>
      </c>
      <c r="P752" s="5" t="inlineStr">
        <is>
          <t>% of Total</t>
        </is>
      </c>
      <c r="Q752" s="5" t="inlineStr">
        <is>
          <t>InvCooldown</t>
        </is>
      </c>
      <c r="R752" s="5" t="inlineStr">
        <is>
          <t>CastsInFight</t>
        </is>
      </c>
      <c r="S752" s="5" t="inlineStr">
        <is>
          <t>HitRate(perSec)</t>
        </is>
      </c>
      <c r="U752" t="inlineStr">
        <is>
          <t>helpers</t>
        </is>
      </c>
    </row>
    <row r="753">
      <c r="A753">
        <f>Skills!A2</f>
        <v/>
      </c>
      <c r="B753">
        <f>Skills!B2</f>
        <v/>
      </c>
      <c r="C753">
        <f>Inputs!$B$3&gt;=100</f>
        <v/>
      </c>
      <c r="D753" t="inlineStr"/>
      <c r="E753" t="inlineStr"/>
      <c r="F753">
        <f>U755+Skills!O2</f>
        <v/>
      </c>
      <c r="G753">
        <f>Skills!G2*IF(Skills!H2&gt;0,Skills!I2/Skills!H2,1)</f>
        <v/>
      </c>
      <c r="H753">
        <f>1-(1-Skills!J2/100)^Skills!K2</f>
        <v/>
      </c>
      <c r="I753" t="inlineStr">
        <is>
          <t>1</t>
        </is>
      </c>
      <c r="J753">
        <f>((Inputs!$B$6*(1+Inputs!$B$7/100))+(((Inputs!$B$12*(1+Inputs!$B$13/100))-(Inputs!$B$12*(1+Inputs!$B$13/100)))+0.25*(Inputs!$B$14-Inputs!$B$14))*(1+Inputs!$B$7/100))*(F753/100)</f>
        <v/>
      </c>
      <c r="K753">
        <f>J753*(1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753)</f>
        <v/>
      </c>
      <c r="L753">
        <f>K753*(MIN(Inputs!$B$22+((C773=TRUE)*(F773-Calc!F22)),(Inputs!$B$23+((C775=TRUE)*(F775-Calc!F24))+(IF(ArtifactsInput!$M$15,CHOOSE(ArtifactsInput!$N$15+1,25,30,35,40,45,50)/100*(Inputs!$B$11-Inputs!$B$11),0))))/100+(Inputs!$B$23+((C775=TRUE)*(F775-Calc!F24))+(IF(ArtifactsInput!$M$15,CHOOSE(ArtifactsInput!$N$15+1,25,30,35,40,45,50)/100*(Inputs!$B$11-Inputs!$B$11),0)))/100)/2</f>
        <v/>
      </c>
      <c r="M753">
        <f>L753*(1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3">
        <f>L753*(1-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753*(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3">
        <f>(1-Summary!$B$11)*T753+Summary!$B$11*V753</f>
        <v/>
      </c>
      <c r="P753">
        <f>IF(B788=0,0,O753/B788)</f>
        <v/>
      </c>
      <c r="Q753" t="n">
        <v>0</v>
      </c>
      <c r="R753" t="n">
        <v>0</v>
      </c>
      <c r="S753">
        <f>IFERROR(O753/N753,0)</f>
        <v/>
      </c>
      <c r="T753">
        <f>IF(C753,(Skills!G2*N753*B782)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753*(1-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753*(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753*(1-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753*(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3">
        <f>MAX(0,(Inputs!$B$3-100)*3)+Inputs!$B$28+Inputs!$B$29</f>
        <v/>
      </c>
      <c r="V753">
        <f>IF(C753,(Skills!G2*N753*B782)*IF(Inputs!$B$38="pvp",1,(1+(Inputs!$B$21+Skills!Q2+(IF(ArtifactsInput!$M$33,CHOOSE(ArtifactsInput!$N$33+1,30,36,42,48,54,60),0))+(IF(AND(ArtifactsInput!$M$35,Inputs!$B$4&lt;&gt;"Chapter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4">
      <c r="A754">
        <f>Skills!A3</f>
        <v/>
      </c>
      <c r="B754">
        <f>Skills!B3</f>
        <v/>
      </c>
      <c r="C754">
        <f>Inputs!$B$3&gt;=50</f>
        <v/>
      </c>
      <c r="D754">
        <f>IF(Skills!C3=1,60+Inputs!$B$25+Inputs!$B$29,IF(Skills!C3=2,90+(Inputs!$B$26+1)+Inputs!$B$29,IF(Skills!C3=3,120+Inputs!$B$27+Inputs!$B$29,MAX(0,(Inputs!$B$3-100)*3)+Inputs!$B$28+Inputs!$B$29)))</f>
        <v/>
      </c>
      <c r="E754">
        <f>INDEX(FactorTable!$B$2:$Y$301, MATCH(ROUND(MIN(300,MAX(1,D754)),0), FactorTable!$A$2:$A$301,0), Skills!M3+1)</f>
        <v/>
      </c>
      <c r="F754">
        <f>IF(Skills!N3=TRUE,(Skills!L3/10)*(E754/1000),Skills!L3/10)+Skills!O3</f>
        <v/>
      </c>
      <c r="G754" t="inlineStr"/>
      <c r="H754" t="inlineStr"/>
      <c r="I754" t="inlineStr">
        <is>
          <t>1</t>
        </is>
      </c>
      <c r="J754" t="inlineStr"/>
      <c r="K754" t="inlineStr"/>
      <c r="L754" t="inlineStr"/>
      <c r="M754" t="inlineStr"/>
      <c r="N754" t="inlineStr"/>
      <c r="O754" t="inlineStr"/>
      <c r="P754" t="inlineStr"/>
      <c r="Q754" t="inlineStr"/>
      <c r="R754" t="inlineStr"/>
      <c r="S754" t="inlineStr"/>
      <c r="U754">
        <f>INDEX(FactorTable!$B$2:$Y$301, MATCH(ROUND(MIN(300,MAX(1,U753)),0), FactorTable!$A$2:$A$301,0), 22)</f>
        <v/>
      </c>
    </row>
    <row r="755">
      <c r="A755">
        <f>Skills!A4</f>
        <v/>
      </c>
      <c r="B755">
        <f>Skills!B4</f>
        <v/>
      </c>
      <c r="C755">
        <f>Inputs!$B$3&gt;=35</f>
        <v/>
      </c>
      <c r="D755">
        <f>IF(Skills!C4=1,60+Inputs!$B$25+Inputs!$B$29,IF(Skills!C4=2,90+(Inputs!$B$26+1)+Inputs!$B$29,IF(Skills!C4=3,120+Inputs!$B$27+Inputs!$B$29,MAX(0,(Inputs!$B$3-100)*3)+Inputs!$B$28+Inputs!$B$29)))</f>
        <v/>
      </c>
      <c r="E755">
        <f>INDEX(FactorTable!$B$2:$Y$301, MATCH(ROUND(MIN(300,MAX(1,D755)),0), FactorTable!$A$2:$A$301,0), Skills!M4+1)</f>
        <v/>
      </c>
      <c r="F755">
        <f>IF(Skills!N4=TRUE,(Skills!L4/10)*(E755/1000),Skills!L4/10)+Skills!O4</f>
        <v/>
      </c>
      <c r="G755">
        <f>Skills!G4*IF(Skills!H4&gt;0,Skills!I4/Skills!H4,1)</f>
        <v/>
      </c>
      <c r="H755">
        <f>1-(1-Skills!J4/100)^Skills!K4</f>
        <v/>
      </c>
      <c r="I755" t="inlineStr">
        <is>
          <t>1</t>
        </is>
      </c>
      <c r="J755">
        <f>((Inputs!$B$6*(1+Inputs!$B$7/100))+(((Inputs!$B$12*(1+Inputs!$B$13/100))-(Inputs!$B$12*(1+Inputs!$B$13/100)))+0.25*(Inputs!$B$14-Inputs!$B$14))*(1+Inputs!$B$7/100))*(F755/100)</f>
        <v/>
      </c>
      <c r="K755">
        <f>J755*(1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763=TRUE,F763,0)/100)*(1+(IF(Skills!A4="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755)</f>
        <v/>
      </c>
      <c r="L755">
        <f>K755*(MIN(Inputs!$B$22+((C773=TRUE)*(F773-Calc!F22)),(Inputs!$B$23+((C775=TRUE)*(F775-Calc!F24))+(IF(ArtifactsInput!$M$15,CHOOSE(ArtifactsInput!$N$15+1,25,30,35,40,45,50)/100*(Inputs!$B$11-Inputs!$B$11),0))))/100+(Inputs!$B$23+((C775=TRUE)*(F775-Calc!F24))+(IF(ArtifactsInput!$M$15,CHOOSE(ArtifactsInput!$N$15+1,25,30,35,40,45,50)/100*(Inputs!$B$11-Inputs!$B$11),0)))/100)/2</f>
        <v/>
      </c>
      <c r="M755">
        <f>L755*(1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5">
        <f>L755*(1-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755*(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5">
        <f>(1-Summary!$B$11)*T755+Summary!$B$11*V755</f>
        <v/>
      </c>
      <c r="P755">
        <f>IF(B788=0,0,O755/B788)</f>
        <v/>
      </c>
      <c r="Q755">
        <f>IFERROR(1/(IF(Inputs!$B$38="pvp",15,MAX(0.1,Skills!D4-IF(Skills!E4=TRUE,Inputs!$B$32,0)))*(1-IF(AND(ArtifactsInput!$M$27,Inputs!$B$4="Chapter Hunt"),CHOOSE(ArtifactsInput!$N$27+1,20,24,28,32,36,40),0)/100)),0)</f>
        <v/>
      </c>
      <c r="R755">
        <f>IF(AND(Inputs!$B$38&lt;&gt;"pvp",Inputs!$B$43&gt;0),IF(MAX(0,Inputs!$B$43-B785)&lt;=0,0,(INT(MAX(0,Inputs!$B$43-B785)/(IF(Inputs!$B$38="pvp",15,MAX(0.1,Skills!D4-IF(Skills!E4=TRUE,Inputs!$B$32,0)))*(1-IF(AND(ArtifactsInput!$M$27,Inputs!$B$4="Chapter Hunt"),CHOOSE(ArtifactsInput!$N$27+1,20,24,28,32,36,40),0)/100)))+1)),0)</f>
        <v/>
      </c>
      <c r="S755">
        <f>IFERROR(O755/N755,0)</f>
        <v/>
      </c>
      <c r="T755">
        <f>IF(C755,(H755*N755*IF(AND(Inputs!$B$38&lt;&gt;"pvp",Inputs!$B$43&gt;0),((Skills!G4*((R755-1)*IF(Skills!H4&gt;0,Skills!I4/Skills!H4,1)+IF(Skills!H4&gt;0,MIN(Skills!I4,MAX(0,MAX(0,Inputs!$B$43-B785)-((R755-1)*(IF(Inputs!$B$38="pvp",15,MAX(0.1,Skills!D4-IF(Skills!E4=TRUE,Inputs!$B$32,0)))*(1-IF(AND(ArtifactsInput!$M$27,Inputs!$B$4="Chapter Hunt"),CHOOSE(ArtifactsInput!$N$27+1,20,24,28,32,36,40),0)/100)))))/Skills!H4,1)))/Inputs!$B$43),G755*Q755)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755*(1-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755*(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755*(1-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755*(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5">
        <f>290*U754/1000</f>
        <v/>
      </c>
      <c r="V755">
        <f>IF(C755,(H755*N755*IF(AND(Inputs!$B$38&lt;&gt;"pvp",Inputs!$B$43&gt;0),((Skills!G4*((R755-1)*IF(Skills!H4&gt;0,Skills!I4/Skills!H4,1)+IF(Skills!H4&gt;0,MIN(Skills!I4,MAX(0,MAX(0,Inputs!$B$43-B785)-((R755-1)*(IF(Inputs!$B$38="pvp",15,MAX(0.1,Skills!D4-IF(Skills!E4=TRUE,Inputs!$B$32,0)))*(1-IF(AND(ArtifactsInput!$M$27,Inputs!$B$4="Chapter Hunt"),CHOOSE(ArtifactsInput!$N$27+1,20,24,28,32,36,40),0)/100)))))/Skills!H4,1)))/Inputs!$B$43),G755*Q755))*IF(Inputs!$B$38="pvp",1,(1+(Inputs!$B$21+Skills!Q4+(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6">
      <c r="A756">
        <f>Skills!A5</f>
        <v/>
      </c>
      <c r="B756">
        <f>Skills!B5</f>
        <v/>
      </c>
      <c r="C756">
        <f>Inputs!$B$3&gt;=66</f>
        <v/>
      </c>
      <c r="D756">
        <f>IF(Skills!C5=1,60+Inputs!$B$25+Inputs!$B$29,IF(Skills!C5=2,90+(Inputs!$B$26+1)+Inputs!$B$29,IF(Skills!C5=3,120+Inputs!$B$27+Inputs!$B$29,MAX(0,(Inputs!$B$3-100)*3)+Inputs!$B$28+Inputs!$B$29)))</f>
        <v/>
      </c>
      <c r="E756">
        <f>INDEX(FactorTable!$B$2:$Y$301, MATCH(ROUND(MIN(300,MAX(1,D756)),0), FactorTable!$A$2:$A$301,0), Skills!M5+1)</f>
        <v/>
      </c>
      <c r="F756">
        <f>IF(Skills!N5=TRUE,(Skills!L5/10)*(E756/1000),Skills!L5/10)+Skills!O5</f>
        <v/>
      </c>
      <c r="G756">
        <f>Skills!G5*IF(Skills!H5&gt;0,Skills!I5/Skills!H5,1)</f>
        <v/>
      </c>
      <c r="H756">
        <f>1-(1-Skills!J5/100)^Skills!K5</f>
        <v/>
      </c>
      <c r="I756" t="inlineStr">
        <is>
          <t>1</t>
        </is>
      </c>
      <c r="J756">
        <f>((Inputs!$B$6*(1+Inputs!$B$7/100))+(((Inputs!$B$12*(1+Inputs!$B$13/100))-(Inputs!$B$12*(1+Inputs!$B$13/100)))+0.25*(Inputs!$B$14-Inputs!$B$14))*(1+Inputs!$B$7/100))*(F756/100)</f>
        <v/>
      </c>
      <c r="K756">
        <f>J756*(1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763=TRUE,F763,0)/100)*(1+(IF(Skills!A5="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756)</f>
        <v/>
      </c>
      <c r="L756">
        <f>K756*(MIN(Inputs!$B$22+((C773=TRUE)*(F773-Calc!F22)),(Inputs!$B$23+((C775=TRUE)*(F775-Calc!F24))+(IF(ArtifactsInput!$M$15,CHOOSE(ArtifactsInput!$N$15+1,25,30,35,40,45,50)/100*(Inputs!$B$11-Inputs!$B$11),0))))/100+(Inputs!$B$23+((C775=TRUE)*(F775-Calc!F24))+(IF(ArtifactsInput!$M$15,CHOOSE(ArtifactsInput!$N$15+1,25,30,35,40,45,50)/100*(Inputs!$B$11-Inputs!$B$11),0)))/100)/2</f>
        <v/>
      </c>
      <c r="M756">
        <f>L756*(1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6">
        <f>L756*(1-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756*(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6">
        <f>(1-Summary!$B$11)*T756+Summary!$B$11*V756</f>
        <v/>
      </c>
      <c r="P756">
        <f>IF(B788=0,0,O756/B788)</f>
        <v/>
      </c>
      <c r="Q756">
        <f>IFERROR(1/(IF(Inputs!$B$38="pvp",15,MAX(0.1,Skills!D5-IF(Skills!E5=TRUE,Inputs!$B$32,0)))*(1-IF(AND(ArtifactsInput!$M$27,Inputs!$B$4="Chapter Hunt"),CHOOSE(ArtifactsInput!$N$27+1,20,24,28,32,36,40),0)/100)),0)</f>
        <v/>
      </c>
      <c r="R756">
        <f>IF(AND(Inputs!$B$38&lt;&gt;"pvp",Inputs!$B$43&gt;0),IF(MAX(0,Inputs!$B$43-B785)&lt;=0,0,(INT(MAX(0,Inputs!$B$43-B785)/(IF(Inputs!$B$38="pvp",15,MAX(0.1,Skills!D5-IF(Skills!E5=TRUE,Inputs!$B$32,0)))*(1-IF(AND(ArtifactsInput!$M$27,Inputs!$B$4="Chapter Hunt"),CHOOSE(ArtifactsInput!$N$27+1,20,24,28,32,36,40),0)/100)))+1)),0)</f>
        <v/>
      </c>
      <c r="S756">
        <f>IFERROR(O756/N756,0)</f>
        <v/>
      </c>
      <c r="T756">
        <f>IF(C756,(H756*N756*IF(AND(Inputs!$B$38&lt;&gt;"pvp",Inputs!$B$43&gt;0),((Skills!G5*((R756-1)*IF(Skills!H5&gt;0,Skills!I5/Skills!H5,1)+IF(Skills!H5&gt;0,MIN(Skills!I5,MAX(0,MAX(0,Inputs!$B$43-B785)-((R756-1)*(IF(Inputs!$B$38="pvp",15,MAX(0.1,Skills!D5-IF(Skills!E5=TRUE,Inputs!$B$32,0)))*(1-IF(AND(ArtifactsInput!$M$27,Inputs!$B$4="Chapter Hunt"),CHOOSE(ArtifactsInput!$N$27+1,20,24,28,32,36,40),0)/100)))))/Skills!H5,1)))/Inputs!$B$43),G756*Q756)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756*(1-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756*(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756*(1-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756*(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6">
        <f>IF(C756,(H756*N756*IF(AND(Inputs!$B$38&lt;&gt;"pvp",Inputs!$B$43&gt;0),((Skills!G5*((R756-1)*IF(Skills!H5&gt;0,Skills!I5/Skills!H5,1)+IF(Skills!H5&gt;0,MIN(Skills!I5,MAX(0,MAX(0,Inputs!$B$43-B785)-((R756-1)*(IF(Inputs!$B$38="pvp",15,MAX(0.1,Skills!D5-IF(Skills!E5=TRUE,Inputs!$B$32,0)))*(1-IF(AND(ArtifactsInput!$M$27,Inputs!$B$4="Chapter Hunt"),CHOOSE(ArtifactsInput!$N$27+1,20,24,28,32,36,40),0)/100)))))/Skills!H5,1)))/Inputs!$B$43),G756*Q756))*IF(Inputs!$B$38="pvp",1,(1+(Inputs!$B$21+Skills!Q5+(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7">
      <c r="A757">
        <f>Skills!A6</f>
        <v/>
      </c>
      <c r="B757">
        <f>Skills!B6</f>
        <v/>
      </c>
      <c r="C757">
        <f>Inputs!$B$3&gt;=103</f>
        <v/>
      </c>
      <c r="D757">
        <f>IF(Skills!C6=1,60+Inputs!$B$25+Inputs!$B$29,IF(Skills!C6=2,90+(Inputs!$B$26+1)+Inputs!$B$29,IF(Skills!C6=3,120+Inputs!$B$27+Inputs!$B$29,MAX(0,(Inputs!$B$3-100)*3)+Inputs!$B$28+Inputs!$B$29)))</f>
        <v/>
      </c>
      <c r="E757">
        <f>INDEX(FactorTable!$B$2:$Y$301, MATCH(ROUND(MIN(300,MAX(1,D757)),0), FactorTable!$A$2:$A$301,0), Skills!M6+1)</f>
        <v/>
      </c>
      <c r="F757">
        <f>IF(Skills!N6=TRUE,(Skills!L6/10)*(E757/1000),Skills!L6/10)+Skills!O6</f>
        <v/>
      </c>
      <c r="G757">
        <f>Skills!G6*IF(Skills!H6&gt;0,Skills!I6/Skills!H6,1)</f>
        <v/>
      </c>
      <c r="H757">
        <f>1-(1-Skills!J6/100)^Skills!K6</f>
        <v/>
      </c>
      <c r="I757" t="inlineStr">
        <is>
          <t>1</t>
        </is>
      </c>
      <c r="J757">
        <f>((Inputs!$B$6*(1+Inputs!$B$7/100))+(((Inputs!$B$12*(1+Inputs!$B$13/100))-(Inputs!$B$12*(1+Inputs!$B$13/100)))+0.25*(Inputs!$B$14-Inputs!$B$14))*(1+Inputs!$B$7/100))*(F757/100)</f>
        <v/>
      </c>
      <c r="K757">
        <f>J757*(1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757)</f>
        <v/>
      </c>
      <c r="L757">
        <f>K757*(MIN(Inputs!$B$22+((C773=TRUE)*(F773-Calc!F22)),(Inputs!$B$23+((C775=TRUE)*(F775-Calc!F24))+(IF(ArtifactsInput!$M$15,CHOOSE(ArtifactsInput!$N$15+1,25,30,35,40,45,50)/100*(Inputs!$B$11-Inputs!$B$11),0))))/100+(Inputs!$B$23+((C775=TRUE)*(F775-Calc!F24))+(IF(ArtifactsInput!$M$15,CHOOSE(ArtifactsInput!$N$15+1,25,30,35,40,45,50)/100*(Inputs!$B$11-Inputs!$B$11),0)))/100)/2</f>
        <v/>
      </c>
      <c r="M757">
        <f>L757*(1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7">
        <f>L757*(1-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757*(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7">
        <f>(1-Summary!$B$11)*T757+Summary!$B$11*V757</f>
        <v/>
      </c>
      <c r="P757">
        <f>IF(B788=0,0,O757/B788)</f>
        <v/>
      </c>
      <c r="Q757">
        <f>IFERROR(1/(IF(Inputs!$B$38="pvp",15,MAX(0.1,Skills!D6-IF(Skills!E6=TRUE,Inputs!$B$32,0)))*(1-IF(AND(ArtifactsInput!$M$27,Inputs!$B$4="Chapter Hunt"),CHOOSE(ArtifactsInput!$N$27+1,20,24,28,32,36,40),0)/100)),0)</f>
        <v/>
      </c>
      <c r="R757">
        <f>IF(AND(Inputs!$B$38&lt;&gt;"pvp",Inputs!$B$43&gt;0),IF(MAX(0,Inputs!$B$43-B785)&lt;=0,0,(INT(MAX(0,Inputs!$B$43-B785)/(IF(Inputs!$B$38="pvp",15,MAX(0.1,Skills!D6-IF(Skills!E6=TRUE,Inputs!$B$32,0)))*(1-IF(AND(ArtifactsInput!$M$27,Inputs!$B$4="Chapter Hunt"),CHOOSE(ArtifactsInput!$N$27+1,20,24,28,32,36,40),0)/100)))+1)),0)</f>
        <v/>
      </c>
      <c r="S757">
        <f>IFERROR(O757/N757,0)</f>
        <v/>
      </c>
      <c r="T757">
        <f>IF(C757,(H757*N757*IF(AND(Inputs!$B$38&lt;&gt;"pvp",Inputs!$B$43&gt;0),((Skills!G6*((R757-1)*IF(Skills!H6&gt;0,Skills!I6/Skills!H6,1)+IF(Skills!H6&gt;0,MIN(Skills!I6,MAX(0,MAX(0,Inputs!$B$43-B785)-((R757-1)*(IF(Inputs!$B$38="pvp",15,MAX(0.1,Skills!D6-IF(Skills!E6=TRUE,Inputs!$B$32,0)))*(1-IF(AND(ArtifactsInput!$M$27,Inputs!$B$4="Chapter Hunt"),CHOOSE(ArtifactsInput!$N$27+1,20,24,28,32,36,40),0)/100)))))/Skills!H6,1)))/Inputs!$B$43),G757*Q757)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757*(1-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757*(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757*(1-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757*(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7">
        <f>IF(C757,(H757*N757*IF(AND(Inputs!$B$38&lt;&gt;"pvp",Inputs!$B$43&gt;0),((Skills!G6*((R757-1)*IF(Skills!H6&gt;0,Skills!I6/Skills!H6,1)+IF(Skills!H6&gt;0,MIN(Skills!I6,MAX(0,MAX(0,Inputs!$B$43-B785)-((R757-1)*(IF(Inputs!$B$38="pvp",15,MAX(0.1,Skills!D6-IF(Skills!E6=TRUE,Inputs!$B$32,0)))*(1-IF(AND(ArtifactsInput!$M$27,Inputs!$B$4="Chapter Hunt"),CHOOSE(ArtifactsInput!$N$27+1,20,24,28,32,36,40),0)/100)))))/Skills!H6,1)))/Inputs!$B$43),G757*Q757))*IF(Inputs!$B$38="pvp",1,(1+(Inputs!$B$21+Skills!Q6+(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8">
      <c r="A758">
        <f>Skills!A7</f>
        <v/>
      </c>
      <c r="B758">
        <f>Skills!B7</f>
        <v/>
      </c>
      <c r="C758">
        <f>Inputs!$B$3&gt;=107</f>
        <v/>
      </c>
      <c r="D758">
        <f>IF(Skills!C7=1,60+Inputs!$B$25+Inputs!$B$29,IF(Skills!C7=2,90+(Inputs!$B$26+1)+Inputs!$B$29,IF(Skills!C7=3,120+Inputs!$B$27+Inputs!$B$29,MAX(0,(Inputs!$B$3-100)*3)+Inputs!$B$28+Inputs!$B$29)))</f>
        <v/>
      </c>
      <c r="E758">
        <f>INDEX(FactorTable!$B$2:$Y$301, MATCH(ROUND(MIN(300,MAX(1,D758)),0), FactorTable!$A$2:$A$301,0), Skills!M7+1)</f>
        <v/>
      </c>
      <c r="F758">
        <f>IF(Skills!N7=TRUE,(Skills!L7/10)*(E758/1000),Skills!L7/10)+Skills!O7</f>
        <v/>
      </c>
      <c r="G758">
        <f>Skills!G7*IF(Skills!H7&gt;0,Skills!I7/Skills!H7,1)</f>
        <v/>
      </c>
      <c r="H758">
        <f>1-(1-Skills!J7/100)^Skills!K7</f>
        <v/>
      </c>
      <c r="I758" t="inlineStr">
        <is>
          <t>1</t>
        </is>
      </c>
      <c r="J758">
        <f>((Inputs!$B$6*(1+Inputs!$B$7/100))+(((Inputs!$B$12*(1+Inputs!$B$13/100))-(Inputs!$B$12*(1+Inputs!$B$13/100)))+0.25*(Inputs!$B$14-Inputs!$B$14))*(1+Inputs!$B$7/100))*(F758/100)</f>
        <v/>
      </c>
      <c r="K758">
        <f>J758*(1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758)</f>
        <v/>
      </c>
      <c r="L758">
        <f>K758*(MIN(Inputs!$B$22+((C773=TRUE)*(F773-Calc!F22)),(Inputs!$B$23+((C775=TRUE)*(F775-Calc!F24))+(IF(ArtifactsInput!$M$15,CHOOSE(ArtifactsInput!$N$15+1,25,30,35,40,45,50)/100*(Inputs!$B$11-Inputs!$B$11),0))))/100+(Inputs!$B$23+((C775=TRUE)*(F775-Calc!F24))+(IF(ArtifactsInput!$M$15,CHOOSE(ArtifactsInput!$N$15+1,25,30,35,40,45,50)/100*(Inputs!$B$11-Inputs!$B$11),0)))/100)/2</f>
        <v/>
      </c>
      <c r="M758">
        <f>L758*(1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8">
        <f>L758*(1-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758*(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8">
        <f>(1-Summary!$B$11)*T758+Summary!$B$11*V758</f>
        <v/>
      </c>
      <c r="P758">
        <f>IF(B788=0,0,O758/B788)</f>
        <v/>
      </c>
      <c r="Q758">
        <f>IFERROR(1/(IF(Inputs!$B$38="pvp",15,MAX(0.1,Skills!D7-IF(Skills!E7=TRUE,Inputs!$B$32,0)))*(1-IF(AND(ArtifactsInput!$M$27,Inputs!$B$4="Chapter Hunt"),CHOOSE(ArtifactsInput!$N$27+1,20,24,28,32,36,40),0)/100)),0)</f>
        <v/>
      </c>
      <c r="R758">
        <f>IF(AND(Inputs!$B$38&lt;&gt;"pvp",Inputs!$B$43&gt;0),IF(MAX(0,Inputs!$B$43-B785)&lt;=0,0,(INT(MAX(0,Inputs!$B$43-B785)/(IF(Inputs!$B$38="pvp",15,MAX(0.1,Skills!D7-IF(Skills!E7=TRUE,Inputs!$B$32,0)))*(1-IF(AND(ArtifactsInput!$M$27,Inputs!$B$4="Chapter Hunt"),CHOOSE(ArtifactsInput!$N$27+1,20,24,28,32,36,40),0)/100)))+1)),0)</f>
        <v/>
      </c>
      <c r="S758">
        <f>IFERROR(O758/N758,0)</f>
        <v/>
      </c>
      <c r="T758">
        <f>IF(C758,(H758*N758*IF(AND(Inputs!$B$38&lt;&gt;"pvp",Inputs!$B$43&gt;0),((Skills!G7*((R758-1)*IF(Skills!H7&gt;0,Skills!I7/Skills!H7,1)+IF(Skills!H7&gt;0,MIN(Skills!I7,MAX(0,MAX(0,Inputs!$B$43-B785)-((R758-1)*(IF(Inputs!$B$38="pvp",15,MAX(0.1,Skills!D7-IF(Skills!E7=TRUE,Inputs!$B$32,0)))*(1-IF(AND(ArtifactsInput!$M$27,Inputs!$B$4="Chapter Hunt"),CHOOSE(ArtifactsInput!$N$27+1,20,24,28,32,36,40),0)/100)))))/Skills!H7,1)))/Inputs!$B$43),G758*Q758)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758*(1-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758*(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758*(1-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758*(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8">
        <f>IF(C758,(H758*N758*IF(AND(Inputs!$B$38&lt;&gt;"pvp",Inputs!$B$43&gt;0),((Skills!G7*((R758-1)*IF(Skills!H7&gt;0,Skills!I7/Skills!H7,1)+IF(Skills!H7&gt;0,MIN(Skills!I7,MAX(0,MAX(0,Inputs!$B$43-B785)-((R758-1)*(IF(Inputs!$B$38="pvp",15,MAX(0.1,Skills!D7-IF(Skills!E7=TRUE,Inputs!$B$32,0)))*(1-IF(AND(ArtifactsInput!$M$27,Inputs!$B$4="Chapter Hunt"),CHOOSE(ArtifactsInput!$N$27+1,20,24,28,32,36,40),0)/100)))))/Skills!H7,1)))/Inputs!$B$43),G758*Q758))*IF(Inputs!$B$38="pvp",1,(1+(Inputs!$B$21+Skills!Q7+(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9">
      <c r="A759">
        <f>Skills!A8</f>
        <v/>
      </c>
      <c r="B759">
        <f>Skills!B8</f>
        <v/>
      </c>
      <c r="C759">
        <f>Inputs!$B$3&gt;=107</f>
        <v/>
      </c>
      <c r="D759">
        <f>IF(Skills!C8=1,60+Inputs!$B$25+Inputs!$B$29,IF(Skills!C8=2,90+(Inputs!$B$26+1)+Inputs!$B$29,IF(Skills!C8=3,120+Inputs!$B$27+Inputs!$B$29,MAX(0,(Inputs!$B$3-100)*3)+Inputs!$B$28+Inputs!$B$29)))</f>
        <v/>
      </c>
      <c r="E759">
        <f>INDEX(FactorTable!$B$2:$Y$301, MATCH(ROUND(MIN(300,MAX(1,D759)),0), FactorTable!$A$2:$A$301,0), Skills!M8+1)</f>
        <v/>
      </c>
      <c r="F759">
        <f>IF(Skills!N8=TRUE,(Skills!L8/10)*(E759/1000),Skills!L8/10)+Skills!O8</f>
        <v/>
      </c>
      <c r="G759">
        <f>Skills!G8*IF(Skills!H8&gt;0,Skills!I8/Skills!H8,1)</f>
        <v/>
      </c>
      <c r="H759">
        <f>1-(1-Skills!J8/100)^Skills!K8</f>
        <v/>
      </c>
      <c r="I759" t="inlineStr">
        <is>
          <t>1</t>
        </is>
      </c>
      <c r="J759">
        <f>((Inputs!$B$6*(1+Inputs!$B$7/100))+(((Inputs!$B$12*(1+Inputs!$B$13/100))-(Inputs!$B$12*(1+Inputs!$B$13/100)))+0.25*(Inputs!$B$14-Inputs!$B$14))*(1+Inputs!$B$7/100))*(F759/100)</f>
        <v/>
      </c>
      <c r="K759">
        <f>J759*(1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759)</f>
        <v/>
      </c>
      <c r="L759">
        <f>K759*(MIN(Inputs!$B$22+((C773=TRUE)*(F773-Calc!F22)),(Inputs!$B$23+((C775=TRUE)*(F775-Calc!F24))+(IF(ArtifactsInput!$M$15,CHOOSE(ArtifactsInput!$N$15+1,25,30,35,40,45,50)/100*(Inputs!$B$11-Inputs!$B$11),0))))/100+(Inputs!$B$23+((C775=TRUE)*(F775-Calc!F24))+(IF(ArtifactsInput!$M$15,CHOOSE(ArtifactsInput!$N$15+1,25,30,35,40,45,50)/100*(Inputs!$B$11-Inputs!$B$11),0)))/100)/2</f>
        <v/>
      </c>
      <c r="M759">
        <f>L759*(1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9">
        <f>L759*(1-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759*(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9">
        <f>(1-Summary!$B$11)*T759+Summary!$B$11*V759</f>
        <v/>
      </c>
      <c r="P759">
        <f>IF(B788=0,0,O759/B788)</f>
        <v/>
      </c>
      <c r="Q759">
        <f>IFERROR(1/(IF(Inputs!$B$38="pvp",15,MAX(0.1,Skills!D8-IF(Skills!E8=TRUE,Inputs!$B$32,0)))*(1-IF(AND(ArtifactsInput!$M$27,Inputs!$B$4="Chapter Hunt"),CHOOSE(ArtifactsInput!$N$27+1,20,24,28,32,36,40),0)/100)),0)</f>
        <v/>
      </c>
      <c r="R759">
        <f>IF(AND(Inputs!$B$38&lt;&gt;"pvp",Inputs!$B$43&gt;0),IF(MAX(0,Inputs!$B$43-B785)&lt;=0,0,(INT(MAX(0,Inputs!$B$43-B785)/(IF(Inputs!$B$38="pvp",15,MAX(0.1,Skills!D8-IF(Skills!E8=TRUE,Inputs!$B$32,0)))*(1-IF(AND(ArtifactsInput!$M$27,Inputs!$B$4="Chapter Hunt"),CHOOSE(ArtifactsInput!$N$27+1,20,24,28,32,36,40),0)/100)))+1)),0)</f>
        <v/>
      </c>
      <c r="S759">
        <f>IFERROR(O759/N759,0)</f>
        <v/>
      </c>
      <c r="T759">
        <f>IF(C759,(H759*N759*IF(AND(Inputs!$B$38&lt;&gt;"pvp",Inputs!$B$43&gt;0),((Skills!G8*((R759-1)*IF(Skills!H8&gt;0,Skills!I8/Skills!H8,1)+IF(Skills!H8&gt;0,MIN(Skills!I8,MAX(0,MAX(0,Inputs!$B$43-B785)-((R759-1)*(IF(Inputs!$B$38="pvp",15,MAX(0.1,Skills!D8-IF(Skills!E8=TRUE,Inputs!$B$32,0)))*(1-IF(AND(ArtifactsInput!$M$27,Inputs!$B$4="Chapter Hunt"),CHOOSE(ArtifactsInput!$N$27+1,20,24,28,32,36,40),0)/100)))))/Skills!H8,1)))/Inputs!$B$43),G759*Q759)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759*(1-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759*(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759*(1-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759*(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9">
        <f>IF(C759,(H759*N759*IF(AND(Inputs!$B$38&lt;&gt;"pvp",Inputs!$B$43&gt;0),((Skills!G8*((R759-1)*IF(Skills!H8&gt;0,Skills!I8/Skills!H8,1)+IF(Skills!H8&gt;0,MIN(Skills!I8,MAX(0,MAX(0,Inputs!$B$43-B785)-((R759-1)*(IF(Inputs!$B$38="pvp",15,MAX(0.1,Skills!D8-IF(Skills!E8=TRUE,Inputs!$B$32,0)))*(1-IF(AND(ArtifactsInput!$M$27,Inputs!$B$4="Chapter Hunt"),CHOOSE(ArtifactsInput!$N$27+1,20,24,28,32,36,40),0)/100)))))/Skills!H8,1)))/Inputs!$B$43),G759*Q759))*IF(Inputs!$B$38="pvp",1,(1+(Inputs!$B$21+Skills!Q8+(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0">
      <c r="A760">
        <f>Skills!A9</f>
        <v/>
      </c>
      <c r="B760">
        <f>Skills!B9</f>
        <v/>
      </c>
      <c r="C760">
        <f>Inputs!$B$3&gt;=125</f>
        <v/>
      </c>
      <c r="D760">
        <f>IF(Skills!C9=1,60+Inputs!$B$25+Inputs!$B$29,IF(Skills!C9=2,90+(Inputs!$B$26+1)+Inputs!$B$29,IF(Skills!C9=3,120+Inputs!$B$27+Inputs!$B$29,MAX(0,(Inputs!$B$3-100)*3)+Inputs!$B$28+Inputs!$B$29)))</f>
        <v/>
      </c>
      <c r="E760">
        <f>INDEX(FactorTable!$B$2:$Y$301, MATCH(ROUND(MIN(300,MAX(1,D760)),0), FactorTable!$A$2:$A$301,0), Skills!M9+1)</f>
        <v/>
      </c>
      <c r="F760">
        <f>IF(Skills!N9=TRUE,(Skills!L9/10)*(E760/1000),Skills!L9/10)+Skills!O9</f>
        <v/>
      </c>
      <c r="G760">
        <f>Skills!G9*IF(Skills!H9&gt;0,Skills!I9/Skills!H9,1)</f>
        <v/>
      </c>
      <c r="H760">
        <f>1-(1-Skills!J9/100)^Skills!K9</f>
        <v/>
      </c>
      <c r="I760" t="inlineStr">
        <is>
          <t>1</t>
        </is>
      </c>
      <c r="J760">
        <f>((Inputs!$B$6*(1+Inputs!$B$7/100))+(((Inputs!$B$12*(1+Inputs!$B$13/100))-(Inputs!$B$12*(1+Inputs!$B$13/100)))+0.25*(Inputs!$B$14-Inputs!$B$14))*(1+Inputs!$B$7/100))*(F760/100)</f>
        <v/>
      </c>
      <c r="K760">
        <f>J760*(1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760)</f>
        <v/>
      </c>
      <c r="L760">
        <f>K760*(MIN(Inputs!$B$22+((C773=TRUE)*(F773-Calc!F22)),(Inputs!$B$23+((C775=TRUE)*(F775-Calc!F24))+(IF(ArtifactsInput!$M$15,CHOOSE(ArtifactsInput!$N$15+1,25,30,35,40,45,50)/100*(Inputs!$B$11-Inputs!$B$11),0))))/100+(Inputs!$B$23+((C775=TRUE)*(F775-Calc!F24))+(IF(ArtifactsInput!$M$15,CHOOSE(ArtifactsInput!$N$15+1,25,30,35,40,45,50)/100*(Inputs!$B$11-Inputs!$B$11),0)))/100)/2</f>
        <v/>
      </c>
      <c r="M760">
        <f>L760*(1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0">
        <f>L760*(1-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760*(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0">
        <f>(1-Summary!$B$11)*T760+Summary!$B$11*V760</f>
        <v/>
      </c>
      <c r="P760">
        <f>IF(B788=0,0,O760/B788)</f>
        <v/>
      </c>
      <c r="Q760">
        <f>IFERROR(1/(IF(Inputs!$B$38="pvp",15,MAX(0.1,Skills!D9-IF(Skills!E9=TRUE,Inputs!$B$32,0)))*(1-IF(AND(ArtifactsInput!$M$27,Inputs!$B$4="Chapter Hunt"),CHOOSE(ArtifactsInput!$N$27+1,20,24,28,32,36,40),0)/100)),0)</f>
        <v/>
      </c>
      <c r="R760">
        <f>IF(AND(Inputs!$B$38&lt;&gt;"pvp",Inputs!$B$43&gt;0),IF(MAX(0,Inputs!$B$43-B785)&lt;=0,0,(INT(MAX(0,Inputs!$B$43-B785)/(IF(Inputs!$B$38="pvp",15,MAX(0.1,Skills!D9-IF(Skills!E9=TRUE,Inputs!$B$32,0)))*(1-IF(AND(ArtifactsInput!$M$27,Inputs!$B$4="Chapter Hunt"),CHOOSE(ArtifactsInput!$N$27+1,20,24,28,32,36,40),0)/100)))+1)),0)</f>
        <v/>
      </c>
      <c r="S760">
        <f>IFERROR(O760/N760,0)</f>
        <v/>
      </c>
      <c r="T760">
        <f>IF(C760,(H760*N760*IF(AND(Inputs!$B$38&lt;&gt;"pvp",Inputs!$B$43&gt;0),((Skills!G9*((R760-1)*IF(Skills!H9&gt;0,Skills!I9/Skills!H9,1)+IF(Skills!H9&gt;0,MIN(Skills!I9,MAX(0,MAX(0,Inputs!$B$43-B785)-((R760-1)*(IF(Inputs!$B$38="pvp",15,MAX(0.1,Skills!D9-IF(Skills!E9=TRUE,Inputs!$B$32,0)))*(1-IF(AND(ArtifactsInput!$M$27,Inputs!$B$4="Chapter Hunt"),CHOOSE(ArtifactsInput!$N$27+1,20,24,28,32,36,40),0)/100)))))/Skills!H9,1)))/Inputs!$B$43),G760*Q760)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760*(1-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760*(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760*(1-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760*(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0">
        <f>IF(C760,(H760*N760*IF(AND(Inputs!$B$38&lt;&gt;"pvp",Inputs!$B$43&gt;0),((Skills!G9*((R760-1)*IF(Skills!H9&gt;0,Skills!I9/Skills!H9,1)+IF(Skills!H9&gt;0,MIN(Skills!I9,MAX(0,MAX(0,Inputs!$B$43-B785)-((R760-1)*(IF(Inputs!$B$38="pvp",15,MAX(0.1,Skills!D9-IF(Skills!E9=TRUE,Inputs!$B$32,0)))*(1-IF(AND(ArtifactsInput!$M$27,Inputs!$B$4="Chapter Hunt"),CHOOSE(ArtifactsInput!$N$27+1,20,24,28,32,36,40),0)/100)))))/Skills!H9,1)))/Inputs!$B$43),G760*Q760))*IF(Inputs!$B$38="pvp",1,(1+(Inputs!$B$21+Skills!Q9+(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1">
      <c r="A761">
        <f>Skills!A10</f>
        <v/>
      </c>
      <c r="B761">
        <f>Skills!B10</f>
        <v/>
      </c>
      <c r="C761">
        <f>Inputs!$B$3&gt;=117</f>
        <v/>
      </c>
      <c r="D761">
        <f>IF(Skills!C10=1,60+Inputs!$B$25+Inputs!$B$29,IF(Skills!C10=2,90+(Inputs!$B$26+1)+Inputs!$B$29,IF(Skills!C10=3,120+Inputs!$B$27+Inputs!$B$29,MAX(0,(Inputs!$B$3-100)*3)+Inputs!$B$28+Inputs!$B$29)))</f>
        <v/>
      </c>
      <c r="E761">
        <f>INDEX(FactorTable!$B$2:$Y$301, MATCH(ROUND(MIN(300,MAX(1,D761)),0), FactorTable!$A$2:$A$301,0), Skills!M10+1)</f>
        <v/>
      </c>
      <c r="F761">
        <f>IF(Skills!N10=TRUE,(Skills!L10/10)*(E761/1000),Skills!L10/10)+Skills!O10</f>
        <v/>
      </c>
      <c r="G761">
        <f>Skills!G10*IF(Skills!H10&gt;0,Skills!I10/Skills!H10,1)</f>
        <v/>
      </c>
      <c r="H761">
        <f>1-(1-Skills!J10/100)^Skills!K10</f>
        <v/>
      </c>
      <c r="I761" t="inlineStr">
        <is>
          <t>1</t>
        </is>
      </c>
      <c r="J761">
        <f>((Inputs!$B$6*(1+Inputs!$B$7/100))+(((Inputs!$B$12*(1+Inputs!$B$13/100))-(Inputs!$B$12*(1+Inputs!$B$13/100)))+0.25*(Inputs!$B$14-Inputs!$B$14))*(1+Inputs!$B$7/100))*(F761/100)</f>
        <v/>
      </c>
      <c r="K761">
        <f>J761*(1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761)</f>
        <v/>
      </c>
      <c r="L761">
        <f>K761*(MIN(Inputs!$B$22+((C773=TRUE)*(F773-Calc!F22)),(Inputs!$B$23+((C775=TRUE)*(F775-Calc!F24))+(IF(ArtifactsInput!$M$15,CHOOSE(ArtifactsInput!$N$15+1,25,30,35,40,45,50)/100*(Inputs!$B$11-Inputs!$B$11),0))))/100+(Inputs!$B$23+((C775=TRUE)*(F775-Calc!F24))+(IF(ArtifactsInput!$M$15,CHOOSE(ArtifactsInput!$N$15+1,25,30,35,40,45,50)/100*(Inputs!$B$11-Inputs!$B$11),0)))/100)/2</f>
        <v/>
      </c>
      <c r="M761">
        <f>L761*(1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1">
        <f>L761*(1-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1">
        <f>(1-Summary!$B$11)*T761+Summary!$B$11*V761</f>
        <v/>
      </c>
      <c r="P761">
        <f>IF(B788=0,0,O761/B788)</f>
        <v/>
      </c>
      <c r="Q761">
        <f>IFERROR(1/(IF(Inputs!$B$38="pvp",15,MAX(0.1,Skills!D10-IF(Skills!E10=TRUE,Inputs!$B$32,0)))*(1-IF(AND(ArtifactsInput!$M$27,Inputs!$B$4="Chapter Hunt"),CHOOSE(ArtifactsInput!$N$27+1,20,24,28,32,36,40),0)/100)),0)</f>
        <v/>
      </c>
      <c r="R761">
        <f>IF(AND(Inputs!$B$38&lt;&gt;"pvp",Inputs!$B$43&gt;0),IF(MAX(0,Inputs!$B$43-B785)&lt;=0,0,(INT(MAX(0,Inputs!$B$43-B785)/(IF(Inputs!$B$38="pvp",15,MAX(0.1,Skills!D10-IF(Skills!E10=TRUE,Inputs!$B$32,0)))*(1-IF(AND(ArtifactsInput!$M$27,Inputs!$B$4="Chapter Hunt"),CHOOSE(ArtifactsInput!$N$27+1,20,24,28,32,36,40),0)/100)))+1)),0)</f>
        <v/>
      </c>
      <c r="S761">
        <f>IFERROR(O761/N761,0)</f>
        <v/>
      </c>
      <c r="T761">
        <f>IF(C761,(H761*N761*IF(AND(Inputs!$B$38&lt;&gt;"pvp",Inputs!$B$43&gt;0),((Skills!G10*((R761-1)*IF(Skills!H10&gt;0,Skills!I10/Skills!H10,1)+IF(Skills!H10&gt;0,MIN(Skills!I10,MAX(0,MAX(0,Inputs!$B$43-B785)-((R761-1)*(IF(Inputs!$B$38="pvp",15,MAX(0.1,Skills!D10-IF(Skills!E10=TRUE,Inputs!$B$32,0)))*(1-IF(AND(ArtifactsInput!$M$27,Inputs!$B$4="Chapter Hunt"),CHOOSE(ArtifactsInput!$N$27+1,20,24,28,32,36,40),0)/100)))))/Skills!H10,1)))/Inputs!$B$43),G761*Q761)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761*(1-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1">
        <f>IF(C761,(H761*N761*IF(AND(Inputs!$B$38&lt;&gt;"pvp",Inputs!$B$43&gt;0),((Skills!G10*((R761-1)*IF(Skills!H10&gt;0,Skills!I10/Skills!H10,1)+IF(Skills!H10&gt;0,MIN(Skills!I10,MAX(0,MAX(0,Inputs!$B$43-B785)-((R761-1)*(IF(Inputs!$B$38="pvp",15,MAX(0.1,Skills!D10-IF(Skills!E10=TRUE,Inputs!$B$32,0)))*(1-IF(AND(ArtifactsInput!$M$27,Inputs!$B$4="Chapter Hunt"),CHOOSE(ArtifactsInput!$N$27+1,20,24,28,32,36,40),0)/100)))))/Skills!H10,1)))/Inputs!$B$43),G761*Q761))*IF(Inputs!$B$38="pvp",1,(1+(Inputs!$B$21+Skills!Q10+(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2">
      <c r="A762">
        <f>Skills!A11</f>
        <v/>
      </c>
      <c r="B762">
        <f>Skills!B11</f>
        <v/>
      </c>
      <c r="C762">
        <f>Inputs!$B$3&gt;=63</f>
        <v/>
      </c>
      <c r="D762">
        <f>IF(Skills!C11=1,60+Inputs!$B$25+Inputs!$B$29,IF(Skills!C11=2,90+(Inputs!$B$26+1)+Inputs!$B$29,IF(Skills!C11=3,120+Inputs!$B$27+Inputs!$B$29,MAX(0,(Inputs!$B$3-100)*3)+Inputs!$B$28+Inputs!$B$29)))</f>
        <v/>
      </c>
      <c r="E762">
        <f>INDEX(FactorTable!$B$2:$Y$301, MATCH(ROUND(MIN(300,MAX(1,D762)),0), FactorTable!$A$2:$A$301,0), Skills!M11+1)</f>
        <v/>
      </c>
      <c r="F762">
        <f>IF(Skills!N11=TRUE,(Skills!L11/10)*(E762/1000),Skills!L11/10)+Skills!O11</f>
        <v/>
      </c>
      <c r="G762">
        <f>Skills!G11*IF(Skills!H11&gt;0,Skills!I11/Skills!H11,1)</f>
        <v/>
      </c>
      <c r="H762">
        <f>1-(1-Skills!J11/100)^Skills!K11</f>
        <v/>
      </c>
      <c r="I762" t="inlineStr">
        <is>
          <t>1</t>
        </is>
      </c>
      <c r="J762">
        <f>((Inputs!$B$6*(1+Inputs!$B$7/100))+(((Inputs!$B$12*(1+Inputs!$B$13/100))-(Inputs!$B$12*(1+Inputs!$B$13/100)))+0.25*(Inputs!$B$14-Inputs!$B$14))*(1+Inputs!$B$7/100))*(F762/100)</f>
        <v/>
      </c>
      <c r="K762">
        <f>J762*(1+((Inputs!$B$12*(1+Inputs!$B$13/100))*0.01+Inputs!$B$14*0.0025)/100)*(1+Inputs!$B$15/100)*(1+Inputs!$B$16/100)*(5000/(6000+Inputs!$B$42*(1-(Inputs!$B$19+0)/100)))*(1+(Inputs!$B$24+0+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763=TRUE,F763,0)/100)*(1+(IF(Skills!A11="BLAST",Inputs!$B$17+((C772=TRUE)*(F772-Calc!F21))+((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MIN(100,((Inputs!$B$9+0+B778+(ArtifactsInput!$M$24-ArtifactsInput!$M$24)*CHOOSE(ArtifactsInput!$N$24+1,10,12,14,16,18,20)+IF(ArtifactsInput!$M$10,CHOOSE(ArtifactsInput!$N$10+1,15,18,21,24,27,30)*(IF(Inputs!$B$38="pvp",MIN(15,15)/15,IF(AND(Inputs!$B$38&lt;&gt;"pvp",Inputs!$B$43&gt;0),MIN(15,Inputs!$B$43)/(Inputs!$B$43),0))),0)))-100),0))*CHOOSE(ArtifactsInput!$N$42+1,0.6,0.72,0.84,0.96,1.08,1.2))),Inputs!$B$18+((C774=TRUE)*(F774-Calc!F23))+(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gt;=100),CHOOSE(ArtifactsInput!$N$42+1,40,48,56,64,72,80),0))))/100)*((1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762)</f>
        <v/>
      </c>
      <c r="L762">
        <f>K762*(MIN(Inputs!$B$22+((C773=TRUE)*(F773-Calc!F22)),(Inputs!$B$23+((C775=TRUE)*(F775-Calc!F24))+(IF(ArtifactsInput!$M$15,CHOOSE(ArtifactsInput!$N$15+1,25,30,35,40,45,50)/100*(Inputs!$B$11-Inputs!$B$11),0))))/100+(Inputs!$B$23+((C775=TRUE)*(F775-Calc!F24))+(IF(ArtifactsInput!$M$15,CHOOSE(ArtifactsInput!$N$15+1,25,30,35,40,45,50)/100*(Inputs!$B$11-Inputs!$B$11),0)))/100)/2</f>
        <v/>
      </c>
      <c r="M762">
        <f>L762*(1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2">
        <f>L762*(1-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762*(MIN((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2">
        <f>(1-Summary!$B$11)*T762+Summary!$B$11*V762</f>
        <v/>
      </c>
      <c r="P762">
        <f>IF(B788=0,0,O762/B788)</f>
        <v/>
      </c>
      <c r="Q762">
        <f>IFERROR(1/(IF(Inputs!$B$38="pvp",15,MAX(0.1,Skills!D11-IF(Skills!E11=TRUE,Inputs!$B$32,0)))*(1-IF(AND(ArtifactsInput!$M$27,Inputs!$B$4="Chapter Hunt"),CHOOSE(ArtifactsInput!$N$27+1,20,24,28,32,36,40),0)/100)),0)</f>
        <v/>
      </c>
      <c r="R762">
        <f>IF(AND(Inputs!$B$38&lt;&gt;"pvp",Inputs!$B$43&gt;0),IF(MAX(0,Inputs!$B$43-B785)&lt;=0,0,(INT(MAX(0,Inputs!$B$43-B785)/(IF(Inputs!$B$38="pvp",15,MAX(0.1,Skills!D11-IF(Skills!E11=TRUE,Inputs!$B$32,0)))*(1-IF(AND(ArtifactsInput!$M$27,Inputs!$B$4="Chapter Hunt"),CHOOSE(ArtifactsInput!$N$27+1,20,24,28,32,36,40),0)/100)))+1)),0)</f>
        <v/>
      </c>
      <c r="S762">
        <f>IFERROR(O762/N762,0)</f>
        <v/>
      </c>
      <c r="T762">
        <f>IF(C762,(H762*N762*IF(AND(Inputs!$B$38&lt;&gt;"pvp",Inputs!$B$43&gt;0),((Skills!G11*((R762-1)*IF(Skills!H11&gt;0,Skills!I11/Skills!H11,1)+IF(Skills!H11&gt;0,MIN(Skills!I11,MAX(0,MAX(0,Inputs!$B$43-B785)-((R762-1)*(IF(Inputs!$B$38="pvp",15,MAX(0.1,Skills!D11-IF(Skills!E11=TRUE,Inputs!$B$32,0)))*(1-IF(AND(ArtifactsInput!$M$27,Inputs!$B$4="Chapter Hunt"),CHOOSE(ArtifactsInput!$N$27+1,20,24,28,32,36,40),0)/100)))))/Skills!H11,1)))/Inputs!$B$43),G762*Q762)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762*(1-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762*(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762*(1-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762*(MIN(100,(Inputs!$B$9+0+B778+(ArtifactsInput!$M$24-ArtifactsInput!$M$24)*CHOOSE(ArtifactsInput!$N$24+1,10,12,14,16,18,20)+(IF(AND(Inputs!$B$38&lt;&gt;"pvp",Inputs!$B$43=0),1,IF(IF(Inputs!$B$38="pvp",15,Inputs!$B$43)-(B785)&lt;=0,1,MAX(0,IF(Inputs!$B$38="pvp",15,Inputs!$B$43)-MAX(5,B785))/(IF(Inputs!$B$38="pvp",15,Inputs!$B$43)-(B785))))*IF(AND(ArtifactsInput!$M$42,((Inputs!$B$9+0+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2">
        <f>IF(C762,(H762*N762*IF(AND(Inputs!$B$38&lt;&gt;"pvp",Inputs!$B$43&gt;0),((Skills!G11*((R762-1)*IF(Skills!H11&gt;0,Skills!I11/Skills!H11,1)+IF(Skills!H11&gt;0,MIN(Skills!I11,MAX(0,MAX(0,Inputs!$B$43-B785)-((R762-1)*(IF(Inputs!$B$38="pvp",15,MAX(0.1,Skills!D11-IF(Skills!E11=TRUE,Inputs!$B$32,0)))*(1-IF(AND(ArtifactsInput!$M$27,Inputs!$B$4="Chapter Hunt"),CHOOSE(ArtifactsInput!$N$27+1,20,24,28,32,36,40),0)/100)))))/Skills!H11,1)))/Inputs!$B$43),G762*Q762))*IF(Inputs!$B$38="pvp",1,(1+(Inputs!$B$21+Skills!Q11+(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3">
      <c r="A763">
        <f>Skills!A12</f>
        <v/>
      </c>
      <c r="B763">
        <f>Skills!B12</f>
        <v/>
      </c>
      <c r="C763">
        <f>Inputs!$B$3&gt;=100</f>
        <v/>
      </c>
      <c r="D763">
        <f>IF(Skills!C12=1,60+Inputs!$B$25+Inputs!$B$29,IF(Skills!C12=2,90+(Inputs!$B$26+1)+Inputs!$B$29,IF(Skills!C12=3,120+Inputs!$B$27+Inputs!$B$29,MAX(0,(Inputs!$B$3-100)*3)+Inputs!$B$28+Inputs!$B$29)))</f>
        <v/>
      </c>
      <c r="E763">
        <f>INDEX(FactorTable!$B$2:$Y$301, MATCH(ROUND(MIN(300,MAX(1,D763)),0), FactorTable!$A$2:$A$301,0), Skills!M12+1)</f>
        <v/>
      </c>
      <c r="F763">
        <f>IF(Skills!N12=TRUE,(Skills!L12/10)*(E763/1000),Skills!L12/10)+Skills!O12</f>
        <v/>
      </c>
      <c r="G763" t="inlineStr"/>
      <c r="H763" t="inlineStr"/>
      <c r="I763" t="inlineStr">
        <is>
          <t>1</t>
        </is>
      </c>
      <c r="J763" t="inlineStr"/>
      <c r="K763" t="inlineStr"/>
      <c r="L763" t="inlineStr"/>
      <c r="M763" t="inlineStr"/>
      <c r="N763" t="inlineStr"/>
      <c r="O763" t="inlineStr"/>
      <c r="P763" t="inlineStr"/>
      <c r="Q763" t="inlineStr"/>
      <c r="R763" t="inlineStr"/>
      <c r="S763" t="inlineStr"/>
    </row>
    <row r="764">
      <c r="A764">
        <f>Skills!A13</f>
        <v/>
      </c>
      <c r="B764">
        <f>Skills!B13</f>
        <v/>
      </c>
      <c r="C764">
        <f>Inputs!$B$3&gt;=45</f>
        <v/>
      </c>
      <c r="D764">
        <f>IF(Skills!C13=1,60+Inputs!$B$25+Inputs!$B$29,IF(Skills!C13=2,90+(Inputs!$B$26+1)+Inputs!$B$29,IF(Skills!C13=3,120+Inputs!$B$27+Inputs!$B$29,MAX(0,(Inputs!$B$3-100)*3)+Inputs!$B$28+Inputs!$B$29)))</f>
        <v/>
      </c>
      <c r="E764">
        <f>INDEX(FactorTable!$B$2:$Y$301, MATCH(ROUND(MIN(300,MAX(1,D764)),0), FactorTable!$A$2:$A$301,0), Skills!M13+1)</f>
        <v/>
      </c>
      <c r="F764">
        <f>IF(Skills!N13=TRUE,(Skills!L13/10)*(E764/1000),Skills!L13/10)+Skills!O13</f>
        <v/>
      </c>
      <c r="G764">
        <f>Skills!G13*IF(Skills!H13&gt;0,Skills!I13/Skills!H13,1)</f>
        <v/>
      </c>
      <c r="H764">
        <f>1-(1-Skills!J13/100)^Skills!K13</f>
        <v/>
      </c>
      <c r="I764" t="inlineStr">
        <is>
          <t>1</t>
        </is>
      </c>
      <c r="J764" t="inlineStr"/>
      <c r="K764" t="inlineStr"/>
      <c r="L764" t="inlineStr"/>
      <c r="M764" t="inlineStr"/>
      <c r="N764" t="inlineStr"/>
      <c r="O764">
        <f>(1-Summary!$B$11)*T764+Summary!$B$11*V764</f>
        <v/>
      </c>
      <c r="P764">
        <f>IF(B788=0,0,O764/B788)</f>
        <v/>
      </c>
      <c r="Q764" t="n">
        <v>0</v>
      </c>
      <c r="R764" t="n">
        <v>0</v>
      </c>
      <c r="S764">
        <f>IFERROR(O764/N764,0)</f>
        <v/>
      </c>
      <c r="T764" t="n">
        <v>0</v>
      </c>
      <c r="V764" t="n">
        <v>0</v>
      </c>
    </row>
    <row r="765">
      <c r="A765">
        <f>Skills!A14</f>
        <v/>
      </c>
      <c r="B765">
        <f>Skills!B14</f>
        <v/>
      </c>
      <c r="C765">
        <f>Inputs!$B$3&gt;=110</f>
        <v/>
      </c>
      <c r="D765">
        <f>IF(Skills!C14=1,60+Inputs!$B$25+Inputs!$B$29,IF(Skills!C14=2,90+(Inputs!$B$26+1)+Inputs!$B$29,IF(Skills!C14=3,120+Inputs!$B$27+Inputs!$B$29,MAX(0,(Inputs!$B$3-100)*3)+Inputs!$B$28+Inputs!$B$29)))</f>
        <v/>
      </c>
      <c r="E765">
        <f>INDEX(FactorTable!$B$2:$Y$301, MATCH(ROUND(MIN(300,MAX(1,D765)),0), FactorTable!$A$2:$A$301,0), Skills!M14+1)</f>
        <v/>
      </c>
      <c r="F765">
        <f>IF(Skills!N14=TRUE,(Skills!L14/10)*(E765/1000),Skills!L14/10)+Skills!O14</f>
        <v/>
      </c>
      <c r="G765">
        <f>Skills!G14*IF(Skills!H14&gt;0,Skills!I14/Skills!H14,1)</f>
        <v/>
      </c>
      <c r="H765">
        <f>1-(1-Skills!J14/100)^Skills!K14</f>
        <v/>
      </c>
      <c r="I765" t="inlineStr">
        <is>
          <t>1</t>
        </is>
      </c>
      <c r="J765" t="inlineStr"/>
      <c r="K765" t="inlineStr"/>
      <c r="L765" t="inlineStr"/>
      <c r="M765" t="inlineStr"/>
      <c r="N765" t="inlineStr"/>
      <c r="O765">
        <f>(1-Summary!$B$11)*T765+Summary!$B$11*V765</f>
        <v/>
      </c>
      <c r="P765">
        <f>IF(B788=0,0,O765/B788)</f>
        <v/>
      </c>
      <c r="Q765" t="n">
        <v>0</v>
      </c>
      <c r="R765" t="n">
        <v>0</v>
      </c>
      <c r="S765">
        <f>IFERROR(O765/N765,0)</f>
        <v/>
      </c>
      <c r="T765" t="n">
        <v>0</v>
      </c>
      <c r="V765" t="n">
        <v>0</v>
      </c>
    </row>
    <row r="766">
      <c r="A766">
        <f>Skills!A15</f>
        <v/>
      </c>
      <c r="B766">
        <f>Skills!B15</f>
        <v/>
      </c>
      <c r="C766">
        <f>Inputs!$B$3&gt;=75</f>
        <v/>
      </c>
      <c r="D766">
        <f>IF(Skills!C15=1,60+Inputs!$B$25+Inputs!$B$29,IF(Skills!C15=2,90+(Inputs!$B$26+1)+Inputs!$B$29,IF(Skills!C15=3,120+Inputs!$B$27+Inputs!$B$29,MAX(0,(Inputs!$B$3-100)*3)+Inputs!$B$28+Inputs!$B$29)))</f>
        <v/>
      </c>
      <c r="E766">
        <f>INDEX(FactorTable!$B$2:$Y$301, MATCH(ROUND(MIN(300,MAX(1,D766)),0), FactorTable!$A$2:$A$301,0), Skills!M15+1)</f>
        <v/>
      </c>
      <c r="F766">
        <f>IF(Skills!N15=TRUE,(Skills!L15/10)*(E766/1000),Skills!L15/10)+Skills!O15</f>
        <v/>
      </c>
      <c r="G766">
        <f>Skills!G15*IF(Skills!H15&gt;0,Skills!I15/Skills!H15,1)</f>
        <v/>
      </c>
      <c r="H766">
        <f>1-(1-Skills!J15/100)^Skills!K15</f>
        <v/>
      </c>
      <c r="I766" t="inlineStr">
        <is>
          <t>1</t>
        </is>
      </c>
      <c r="J766" t="inlineStr"/>
      <c r="K766" t="inlineStr"/>
      <c r="L766" t="inlineStr"/>
      <c r="M766" t="inlineStr"/>
      <c r="N766" t="inlineStr"/>
      <c r="O766">
        <f>(1-Summary!$B$11)*T766+Summary!$B$11*V766</f>
        <v/>
      </c>
      <c r="P766">
        <f>IF(B788=0,0,O766/B788)</f>
        <v/>
      </c>
      <c r="Q766">
        <f>IFERROR(1/(IF(Inputs!$B$38="pvp",15,MAX(0.1,Skills!D15-IF(Skills!E15=TRUE,Inputs!$B$32,0)))*(1-IF(AND(ArtifactsInput!$M$27,Inputs!$B$4="Chapter Hunt"),CHOOSE(ArtifactsInput!$N$27+1,20,24,28,32,36,40),0)/100)),0)</f>
        <v/>
      </c>
      <c r="R766">
        <f>IF(AND(Inputs!$B$38&lt;&gt;"pvp",Inputs!$B$43&gt;0),IF(Inputs!$B$43&lt;=0,0,(INT(Inputs!$B$43/(IF(Inputs!$B$38="pvp",15,MAX(0.1,Skills!D15-IF(Skills!E15=TRUE,Inputs!$B$32,0)))*(1-IF(AND(ArtifactsInput!$M$27,Inputs!$B$4="Chapter Hunt"),CHOOSE(ArtifactsInput!$N$27+1,20,24,28,32,36,40),0)/100)))+1)),0)</f>
        <v/>
      </c>
      <c r="S766">
        <f>IFERROR(O766/N766,0)</f>
        <v/>
      </c>
      <c r="T766" t="n">
        <v>0</v>
      </c>
      <c r="V766" t="n">
        <v>0</v>
      </c>
    </row>
    <row r="767">
      <c r="A767">
        <f>Skills!A16</f>
        <v/>
      </c>
      <c r="B767">
        <f>Skills!B16</f>
        <v/>
      </c>
      <c r="C767">
        <f>Inputs!$B$3&gt;=105</f>
        <v/>
      </c>
      <c r="D767">
        <f>IF(Skills!C16=1,60+Inputs!$B$25+Inputs!$B$29,IF(Skills!C16=2,90+(Inputs!$B$26+1)+Inputs!$B$29,IF(Skills!C16=3,120+Inputs!$B$27+Inputs!$B$29,MAX(0,(Inputs!$B$3-100)*3)+Inputs!$B$28+Inputs!$B$29)))</f>
        <v/>
      </c>
      <c r="E767">
        <f>INDEX(FactorTable!$B$2:$Y$301, MATCH(ROUND(MIN(300,MAX(1,D767)),0), FactorTable!$A$2:$A$301,0), Skills!M16+1)</f>
        <v/>
      </c>
      <c r="F767">
        <f>IF(Skills!N16=TRUE,(Skills!L16/10)*(E767/1000),Skills!L16/10)+Skills!O16</f>
        <v/>
      </c>
      <c r="G767">
        <f>Skills!G16*IF(Skills!H16&gt;0,Skills!I16/Skills!H16,1)</f>
        <v/>
      </c>
      <c r="H767">
        <f>1-(1-Skills!J16/100)^Skills!K16</f>
        <v/>
      </c>
      <c r="I767" t="inlineStr">
        <is>
          <t>1</t>
        </is>
      </c>
      <c r="J767" t="inlineStr"/>
      <c r="K767" t="inlineStr"/>
      <c r="L767" t="inlineStr"/>
      <c r="M767" t="inlineStr"/>
      <c r="N767" t="inlineStr"/>
      <c r="O767">
        <f>(1-Summary!$B$11)*T767+Summary!$B$11*V767</f>
        <v/>
      </c>
      <c r="P767">
        <f>IF(B788=0,0,O767/B788)</f>
        <v/>
      </c>
      <c r="Q767">
        <f>IFERROR(1/(IF(Inputs!$B$38="pvp",15,MAX(0.1,Skills!D16-IF(Skills!E16=TRUE,Inputs!$B$32,0)))*(1-IF(AND(ArtifactsInput!$M$27,Inputs!$B$4="Chapter Hunt"),CHOOSE(ArtifactsInput!$N$27+1,20,24,28,32,36,40),0)/100)),0)</f>
        <v/>
      </c>
      <c r="R767">
        <f>IF(AND(Inputs!$B$38&lt;&gt;"pvp",Inputs!$B$43&gt;0),IF(Inputs!$B$43&lt;=0,0,(INT(Inputs!$B$43/(IF(Inputs!$B$38="pvp",15,MAX(0.1,Skills!D16-IF(Skills!E16=TRUE,Inputs!$B$32,0)))*(1-IF(AND(ArtifactsInput!$M$27,Inputs!$B$4="Chapter Hunt"),CHOOSE(ArtifactsInput!$N$27+1,20,24,28,32,36,40),0)/100)))+1)),0)</f>
        <v/>
      </c>
      <c r="S767">
        <f>IFERROR(O767/N767,0)</f>
        <v/>
      </c>
      <c r="T767" t="n">
        <v>0</v>
      </c>
      <c r="V767" t="n">
        <v>0</v>
      </c>
    </row>
    <row r="768">
      <c r="A768">
        <f>Skills!A17</f>
        <v/>
      </c>
      <c r="B768">
        <f>Skills!B17</f>
        <v/>
      </c>
      <c r="C768">
        <f>Inputs!$B$3&gt;=115</f>
        <v/>
      </c>
      <c r="D768">
        <f>IF(Skills!C17=1,60+Inputs!$B$25+Inputs!$B$29,IF(Skills!C17=2,90+(Inputs!$B$26+1)+Inputs!$B$29,IF(Skills!C17=3,120+Inputs!$B$27+Inputs!$B$29,MAX(0,(Inputs!$B$3-100)*3)+Inputs!$B$28+Inputs!$B$29)))</f>
        <v/>
      </c>
      <c r="E768">
        <f>INDEX(FactorTable!$B$2:$Y$301, MATCH(ROUND(MIN(300,MAX(1,D768)),0), FactorTable!$A$2:$A$301,0), Skills!M17+1)</f>
        <v/>
      </c>
      <c r="F768">
        <f>IF(Skills!N17=TRUE,(Skills!L17/10)*(E768/1000),Skills!L17/10)+Skills!O17</f>
        <v/>
      </c>
      <c r="G768">
        <f>Skills!G17*IF(Skills!H17&gt;0,Skills!I17/Skills!H17,1)</f>
        <v/>
      </c>
      <c r="H768">
        <f>1-(1-Skills!J17/100)^Skills!K17</f>
        <v/>
      </c>
      <c r="I768" t="inlineStr">
        <is>
          <t>1</t>
        </is>
      </c>
      <c r="J768" t="inlineStr"/>
      <c r="K768" t="inlineStr"/>
      <c r="L768" t="inlineStr"/>
      <c r="M768" t="inlineStr"/>
      <c r="N768" t="inlineStr"/>
      <c r="O768">
        <f>(1-Summary!$B$11)*T768+Summary!$B$11*V768</f>
        <v/>
      </c>
      <c r="P768">
        <f>IF(B788=0,0,O768/B788)</f>
        <v/>
      </c>
      <c r="Q768">
        <f>IFERROR(1/(IF(Inputs!$B$38="pvp",15,MAX(0.1,Skills!D17-IF(Skills!E17=TRUE,Inputs!$B$32,0)))*(1-IF(AND(ArtifactsInput!$M$27,Inputs!$B$4="Chapter Hunt"),CHOOSE(ArtifactsInput!$N$27+1,20,24,28,32,36,40),0)/100)),0)</f>
        <v/>
      </c>
      <c r="R768">
        <f>IF(AND(Inputs!$B$38&lt;&gt;"pvp",Inputs!$B$43&gt;0),IF(Inputs!$B$43&lt;=0,0,(INT(Inputs!$B$43/(IF(Inputs!$B$38="pvp",15,MAX(0.1,Skills!D17-IF(Skills!E17=TRUE,Inputs!$B$32,0)))*(1-IF(AND(ArtifactsInput!$M$27,Inputs!$B$4="Chapter Hunt"),CHOOSE(ArtifactsInput!$N$27+1,20,24,28,32,36,40),0)/100)))+1)),0)</f>
        <v/>
      </c>
      <c r="S768">
        <f>IFERROR(O768/N768,0)</f>
        <v/>
      </c>
      <c r="T768" t="n">
        <v>0</v>
      </c>
      <c r="V768" t="n">
        <v>0</v>
      </c>
    </row>
    <row r="769">
      <c r="A769">
        <f>Skills!A18</f>
        <v/>
      </c>
      <c r="B769">
        <f>Skills!B18</f>
        <v/>
      </c>
      <c r="C769">
        <f>Inputs!$B$3&gt;=74</f>
        <v/>
      </c>
      <c r="D769">
        <f>IF(Skills!C18=1,60+Inputs!$B$25+Inputs!$B$29,IF(Skills!C18=2,90+(Inputs!$B$26+1)+Inputs!$B$29,IF(Skills!C18=3,120+Inputs!$B$27+Inputs!$B$29,MAX(0,(Inputs!$B$3-100)*3)+Inputs!$B$28+Inputs!$B$29)))</f>
        <v/>
      </c>
      <c r="E769">
        <f>INDEX(FactorTable!$B$2:$Y$301, MATCH(ROUND(MIN(300,MAX(1,D769)),0), FactorTable!$A$2:$A$301,0), Skills!M18+1)</f>
        <v/>
      </c>
      <c r="F769">
        <f>IF(Skills!N18=TRUE,(Skills!L18/10)*(E769/1000),Skills!L18/10)+Skills!O18</f>
        <v/>
      </c>
      <c r="G769">
        <f>Skills!G18*IF(Skills!H18&gt;0,Skills!I18/Skills!H18,1)</f>
        <v/>
      </c>
      <c r="H769">
        <f>1-(1-Skills!J18/100)^Skills!K18</f>
        <v/>
      </c>
      <c r="I769" t="inlineStr">
        <is>
          <t>1</t>
        </is>
      </c>
      <c r="J769" t="inlineStr"/>
      <c r="K769" t="inlineStr"/>
      <c r="L769" t="inlineStr"/>
      <c r="M769" t="inlineStr"/>
      <c r="N769" t="inlineStr"/>
      <c r="O769">
        <f>(1-Summary!$B$11)*T769+Summary!$B$11*V769</f>
        <v/>
      </c>
      <c r="P769">
        <f>IF(B788=0,0,O769/B788)</f>
        <v/>
      </c>
      <c r="Q769">
        <f>IFERROR(1/(IF(Inputs!$B$38="pvp",15,MAX(0.1,Skills!D18-IF(Skills!E18=TRUE,Inputs!$B$32,0)))*(1-IF(AND(ArtifactsInput!$M$27,Inputs!$B$4="Chapter Hunt"),CHOOSE(ArtifactsInput!$N$27+1,20,24,28,32,36,40),0)/100)),0)</f>
        <v/>
      </c>
      <c r="R769">
        <f>IF(AND(Inputs!$B$38&lt;&gt;"pvp",Inputs!$B$43&gt;0),IF(Inputs!$B$43&lt;=0,0,(INT(Inputs!$B$43/(IF(Inputs!$B$38="pvp",15,MAX(0.1,Skills!D18-IF(Skills!E18=TRUE,Inputs!$B$32,0)))*(1-IF(AND(ArtifactsInput!$M$27,Inputs!$B$4="Chapter Hunt"),CHOOSE(ArtifactsInput!$N$27+1,20,24,28,32,36,40),0)/100)))+1)),0)</f>
        <v/>
      </c>
      <c r="S769">
        <f>IFERROR(O769/N769,0)</f>
        <v/>
      </c>
      <c r="T769" t="n">
        <v>0</v>
      </c>
      <c r="V769" t="n">
        <v>0</v>
      </c>
    </row>
    <row r="770">
      <c r="A770">
        <f>Skills!A19</f>
        <v/>
      </c>
      <c r="B770">
        <f>Skills!B19</f>
        <v/>
      </c>
      <c r="C770">
        <f>TRUE</f>
        <v/>
      </c>
      <c r="D770">
        <f>IF(Skills!C19=1,60+Inputs!$B$25+Inputs!$B$29,IF(Skills!C19=2,90+(Inputs!$B$26+1)+Inputs!$B$29,IF(Skills!C19=3,120+Inputs!$B$27+Inputs!$B$29,MAX(0,(Inputs!$B$3-100)*3)+Inputs!$B$28+Inputs!$B$29)))</f>
        <v/>
      </c>
      <c r="E770">
        <f>INDEX(FactorTable!$B$2:$Y$301, MATCH(ROUND(MIN(300,MAX(1,D770)),0), FactorTable!$A$2:$A$301,0), Skills!M19+1)</f>
        <v/>
      </c>
      <c r="F770">
        <f>IF(Skills!N19=TRUE,(Skills!L19/10)*(E770/1000),Skills!L19/10)+Skills!O19</f>
        <v/>
      </c>
      <c r="G770">
        <f>Skills!G19*IF(Skills!H19&gt;0,Skills!I19/Skills!H19,1)</f>
        <v/>
      </c>
      <c r="H770">
        <f>1-(1-Skills!J19/100)^Skills!K19</f>
        <v/>
      </c>
      <c r="I770" t="inlineStr">
        <is>
          <t>1</t>
        </is>
      </c>
      <c r="J770" t="inlineStr"/>
      <c r="K770" t="inlineStr"/>
      <c r="L770" t="inlineStr"/>
      <c r="M770" t="inlineStr"/>
      <c r="N770" t="inlineStr"/>
      <c r="O770">
        <f>(1-Summary!$B$11)*T770+Summary!$B$11*V770</f>
        <v/>
      </c>
      <c r="P770">
        <f>IF(B788=0,0,O770/B788)</f>
        <v/>
      </c>
      <c r="Q770">
        <f>IFERROR(1/(IF(Inputs!$B$38="pvp",15,MAX(0.1,Skills!D19-IF(Skills!E19=TRUE,Inputs!$B$32,0)))*(1-IF(AND(ArtifactsInput!$M$27,Inputs!$B$4="Chapter Hunt"),CHOOSE(ArtifactsInput!$N$27+1,20,24,28,32,36,40),0)/100)),0)</f>
        <v/>
      </c>
      <c r="R770">
        <f>IF(AND(Inputs!$B$38&lt;&gt;"pvp",Inputs!$B$43&gt;0),IF(Inputs!$B$43&lt;=0,0,(INT(Inputs!$B$43/(IF(Inputs!$B$38="pvp",15,MAX(0.1,Skills!D19-IF(Skills!E19=TRUE,Inputs!$B$32,0)))*(1-IF(AND(ArtifactsInput!$M$27,Inputs!$B$4="Chapter Hunt"),CHOOSE(ArtifactsInput!$N$27+1,20,24,28,32,36,40),0)/100)))+1)),0)</f>
        <v/>
      </c>
      <c r="S770">
        <f>IFERROR(O770/N770,0)</f>
        <v/>
      </c>
      <c r="T770" t="n">
        <v>0</v>
      </c>
      <c r="V770" t="n">
        <v>0</v>
      </c>
    </row>
    <row r="771">
      <c r="A771">
        <f>Skills!A20</f>
        <v/>
      </c>
      <c r="B771">
        <f>Skills!B20</f>
        <v/>
      </c>
      <c r="C771">
        <f>Inputs!$B$3&gt;=33</f>
        <v/>
      </c>
      <c r="D771">
        <f>IF(Skills!C20=1,60+Inputs!$B$25+Inputs!$B$29,IF(Skills!C20=2,90+(Inputs!$B$26+1)+Inputs!$B$29,IF(Skills!C20=3,120+Inputs!$B$27+Inputs!$B$29,MAX(0,(Inputs!$B$3-100)*3)+Inputs!$B$28+Inputs!$B$29)))</f>
        <v/>
      </c>
      <c r="E771">
        <f>INDEX(FactorTable!$B$2:$Y$301, MATCH(ROUND(MIN(300,MAX(1,D771)),0), FactorTable!$A$2:$A$301,0), Skills!M20+1)</f>
        <v/>
      </c>
      <c r="F771">
        <f>IF(Skills!N20=TRUE,(Skills!L20/10)*(E771/1000),Skills!L20/10)+Skills!O20</f>
        <v/>
      </c>
      <c r="G771">
        <f>Skills!G20*IF(Skills!H20&gt;0,Skills!I20/Skills!H20,1)</f>
        <v/>
      </c>
      <c r="H771">
        <f>1-(1-Skills!J20/100)^Skills!K20</f>
        <v/>
      </c>
      <c r="I771" t="inlineStr">
        <is>
          <t>1</t>
        </is>
      </c>
      <c r="J771" t="inlineStr"/>
      <c r="K771" t="inlineStr"/>
      <c r="L771" t="inlineStr"/>
      <c r="M771" t="inlineStr"/>
      <c r="N771" t="inlineStr"/>
      <c r="O771">
        <f>(1-Summary!$B$11)*T771+Summary!$B$11*V771</f>
        <v/>
      </c>
      <c r="P771">
        <f>IF(B788=0,0,O771/B788)</f>
        <v/>
      </c>
      <c r="Q771" t="n">
        <v>0</v>
      </c>
      <c r="R771" t="n">
        <v>0</v>
      </c>
      <c r="S771">
        <f>IFERROR(O771/N771,0)</f>
        <v/>
      </c>
      <c r="T771" t="n">
        <v>0</v>
      </c>
      <c r="V771" t="n">
        <v>0</v>
      </c>
    </row>
    <row r="772">
      <c r="A772">
        <f>Skills!A21</f>
        <v/>
      </c>
      <c r="B772">
        <f>Skills!B21</f>
        <v/>
      </c>
      <c r="C772">
        <f>Inputs!$B$3&gt;=38</f>
        <v/>
      </c>
      <c r="D772">
        <f>IF(Skills!C21=1,60+Inputs!$B$25+Inputs!$B$29,IF(Skills!C21=2,90+(Inputs!$B$26+1)+Inputs!$B$29,IF(Skills!C21=3,120+Inputs!$B$27+Inputs!$B$29,MAX(0,(Inputs!$B$3-100)*3)+Inputs!$B$28+Inputs!$B$29)))</f>
        <v/>
      </c>
      <c r="E772">
        <f>INDEX(FactorTable!$B$2:$Y$301, MATCH(ROUND(MIN(300,MAX(1,D772)),0), FactorTable!$A$2:$A$301,0), Skills!M21+1)</f>
        <v/>
      </c>
      <c r="F772">
        <f>IF(Skills!N21=TRUE,(Skills!L21/10)*(E772/1000),Skills!L21/10)+Skills!O21</f>
        <v/>
      </c>
      <c r="G772">
        <f>Skills!G21*IF(Skills!H21&gt;0,Skills!I21/Skills!H21,1)</f>
        <v/>
      </c>
      <c r="H772">
        <f>1-(1-Skills!J21/100)^Skills!K21</f>
        <v/>
      </c>
      <c r="I772" t="inlineStr">
        <is>
          <t>1</t>
        </is>
      </c>
      <c r="J772" t="inlineStr"/>
      <c r="K772" t="inlineStr"/>
      <c r="L772" t="inlineStr"/>
      <c r="M772" t="inlineStr"/>
      <c r="N772" t="inlineStr"/>
      <c r="O772">
        <f>(1-Summary!$B$11)*T772+Summary!$B$11*V772</f>
        <v/>
      </c>
      <c r="P772">
        <f>IF(B788=0,0,O772/B788)</f>
        <v/>
      </c>
      <c r="Q772" t="n">
        <v>0</v>
      </c>
      <c r="R772" t="n">
        <v>0</v>
      </c>
      <c r="S772">
        <f>IFERROR(O772/N772,0)</f>
        <v/>
      </c>
      <c r="T772" t="n">
        <v>0</v>
      </c>
      <c r="V772" t="n">
        <v>0</v>
      </c>
    </row>
    <row r="773">
      <c r="A773">
        <f>Skills!A22</f>
        <v/>
      </c>
      <c r="B773">
        <f>Skills!B22</f>
        <v/>
      </c>
      <c r="C773">
        <f>Inputs!$B$3&gt;=43</f>
        <v/>
      </c>
      <c r="D773">
        <f>IF(Skills!C22=1,60+Inputs!$B$25+Inputs!$B$29,IF(Skills!C22=2,90+(Inputs!$B$26+1)+Inputs!$B$29,IF(Skills!C22=3,120+Inputs!$B$27+Inputs!$B$29,MAX(0,(Inputs!$B$3-100)*3)+Inputs!$B$28+Inputs!$B$29)))</f>
        <v/>
      </c>
      <c r="E773">
        <f>INDEX(FactorTable!$B$2:$Y$301, MATCH(ROUND(MIN(300,MAX(1,D773)),0), FactorTable!$A$2:$A$301,0), Skills!M22+1)</f>
        <v/>
      </c>
      <c r="F773">
        <f>IF(Skills!N22=TRUE,(Skills!L22/10)*(E773/1000),Skills!L22/10)+Skills!O22</f>
        <v/>
      </c>
      <c r="G773">
        <f>Skills!G22*IF(Skills!H22&gt;0,Skills!I22/Skills!H22,1)</f>
        <v/>
      </c>
      <c r="H773">
        <f>1-(1-Skills!J22/100)^Skills!K22</f>
        <v/>
      </c>
      <c r="I773" t="inlineStr">
        <is>
          <t>1</t>
        </is>
      </c>
      <c r="J773" t="inlineStr"/>
      <c r="K773" t="inlineStr"/>
      <c r="L773" t="inlineStr"/>
      <c r="M773" t="inlineStr"/>
      <c r="N773" t="inlineStr"/>
      <c r="O773">
        <f>(1-Summary!$B$11)*T773+Summary!$B$11*V773</f>
        <v/>
      </c>
      <c r="P773">
        <f>IF(B788=0,0,O773/B788)</f>
        <v/>
      </c>
      <c r="Q773" t="n">
        <v>0</v>
      </c>
      <c r="R773" t="n">
        <v>0</v>
      </c>
      <c r="S773">
        <f>IFERROR(O773/N773,0)</f>
        <v/>
      </c>
      <c r="T773" t="n">
        <v>0</v>
      </c>
      <c r="V773" t="n">
        <v>0</v>
      </c>
    </row>
    <row r="774">
      <c r="A774">
        <f>Skills!A23</f>
        <v/>
      </c>
      <c r="B774">
        <f>Skills!B23</f>
        <v/>
      </c>
      <c r="C774">
        <f>Inputs!$B$3&gt;=120</f>
        <v/>
      </c>
      <c r="D774">
        <f>IF(Skills!C23=1,60+Inputs!$B$25+Inputs!$B$29,IF(Skills!C23=2,90+(Inputs!$B$26+1)+Inputs!$B$29,IF(Skills!C23=3,120+Inputs!$B$27+Inputs!$B$29,MAX(0,(Inputs!$B$3-100)*3)+Inputs!$B$28+Inputs!$B$29)))</f>
        <v/>
      </c>
      <c r="E774">
        <f>INDEX(FactorTable!$B$2:$Y$301, MATCH(ROUND(MIN(300,MAX(1,D774)),0), FactorTable!$A$2:$A$301,0), Skills!M23+1)</f>
        <v/>
      </c>
      <c r="F774">
        <f>IF(Skills!N23=TRUE,(Skills!L23/10)*(E774/1000),Skills!L23/10)+Skills!O23</f>
        <v/>
      </c>
      <c r="G774">
        <f>Skills!G23*IF(Skills!H23&gt;0,Skills!I23/Skills!H23,1)</f>
        <v/>
      </c>
      <c r="H774">
        <f>1-(1-Skills!J23/100)^Skills!K23</f>
        <v/>
      </c>
      <c r="I774" t="inlineStr">
        <is>
          <t>1</t>
        </is>
      </c>
      <c r="J774" t="inlineStr"/>
      <c r="K774" t="inlineStr"/>
      <c r="L774" t="inlineStr"/>
      <c r="M774" t="inlineStr"/>
      <c r="N774" t="inlineStr"/>
      <c r="O774">
        <f>(1-Summary!$B$11)*T774+Summary!$B$11*V774</f>
        <v/>
      </c>
      <c r="P774">
        <f>IF(B788=0,0,O774/B788)</f>
        <v/>
      </c>
      <c r="Q774" t="n">
        <v>0</v>
      </c>
      <c r="R774" t="n">
        <v>0</v>
      </c>
      <c r="S774">
        <f>IFERROR(O774/N774,0)</f>
        <v/>
      </c>
      <c r="T774" t="n">
        <v>0</v>
      </c>
      <c r="V774" t="n">
        <v>0</v>
      </c>
    </row>
    <row r="775">
      <c r="A775">
        <f>Skills!A24</f>
        <v/>
      </c>
      <c r="B775">
        <f>Skills!B24</f>
        <v/>
      </c>
      <c r="C775">
        <f>Inputs!$B$3&gt;=120</f>
        <v/>
      </c>
      <c r="D775">
        <f>IF(Skills!C24=1,60+Inputs!$B$25+Inputs!$B$29,IF(Skills!C24=2,90+(Inputs!$B$26+1)+Inputs!$B$29,IF(Skills!C24=3,120+Inputs!$B$27+Inputs!$B$29,MAX(0,(Inputs!$B$3-100)*3)+Inputs!$B$28+Inputs!$B$29)))</f>
        <v/>
      </c>
      <c r="E775">
        <f>INDEX(FactorTable!$B$2:$Y$301, MATCH(ROUND(MIN(300,MAX(1,D775)),0), FactorTable!$A$2:$A$301,0), Skills!M24+1)</f>
        <v/>
      </c>
      <c r="F775">
        <f>IF(Skills!N24=TRUE,(Skills!L24/10)*(E775/1000),Skills!L24/10)+Skills!O24</f>
        <v/>
      </c>
      <c r="G775">
        <f>Skills!G24*IF(Skills!H24&gt;0,Skills!I24/Skills!H24,1)</f>
        <v/>
      </c>
      <c r="H775">
        <f>1-(1-Skills!J24/100)^Skills!K24</f>
        <v/>
      </c>
      <c r="I775" t="inlineStr">
        <is>
          <t>1</t>
        </is>
      </c>
      <c r="J775" t="inlineStr"/>
      <c r="K775" t="inlineStr"/>
      <c r="L775" t="inlineStr"/>
      <c r="M775" t="inlineStr"/>
      <c r="N775" t="inlineStr"/>
      <c r="O775">
        <f>(1-Summary!$B$11)*T775+Summary!$B$11*V775</f>
        <v/>
      </c>
      <c r="P775">
        <f>IF(B788=0,0,O775/B788)</f>
        <v/>
      </c>
      <c r="Q775" t="n">
        <v>0</v>
      </c>
      <c r="R775" t="n">
        <v>0</v>
      </c>
      <c r="S775">
        <f>IFERROR(O775/N775,0)</f>
        <v/>
      </c>
      <c r="T775" t="n">
        <v>0</v>
      </c>
      <c r="V775" t="n">
        <v>0</v>
      </c>
    </row>
    <row r="777">
      <c r="A777" t="inlineStr">
        <is>
          <t>Attack% Bucket Multiplier</t>
        </is>
      </c>
      <c r="B777">
        <f>(1+(((C764=TRUE)*F764*MIN(1,Skills!T13*(Skills!J13/100)*B782))+((C769=TRUE)*F769*IF(AND(Inputs!$B$38&lt;&gt;"pvp",Inputs!$B$43&gt;0),(((R769-1)*(Skills!T18*(1+Inputs!$B$34/100))+MIN((Skills!T18*(1+Inputs!$B$34/100)),MAX(0,Inputs!$B$43-((R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78">
      <c r="A778" t="inlineStr">
        <is>
          <t>Global Crit Rate Bonus %</t>
        </is>
      </c>
      <c r="B778" t="n">
        <v>0</v>
      </c>
    </row>
    <row r="779">
      <c r="A779" t="inlineStr">
        <is>
          <t>Attack Speed Buff Bonus %</t>
        </is>
      </c>
      <c r="B779">
        <f>((C770=TRUE)*F770*IF(AND(Inputs!$B$38&lt;&gt;"pvp",Inputs!$B$43&gt;0),(((R770-1)*(Skills!T19*(1+Inputs!$B$34/100))+MIN((Skills!T19*(1+Inputs!$B$34/100)),MAX(0,Inputs!$B$43-((R770-1)*Skills!D19))))/Inputs!$B$43),IF(Inputs!$B$38="pvp",MIN((Skills!T19*(1+Inputs!$B$34/100)),15)/15,(Skills!T19*(1+Inputs!$B$34/100))/Skills!D19)))</f>
        <v/>
      </c>
    </row>
    <row r="780">
      <c r="A780" t="inlineStr">
        <is>
          <t>Actions Per Second</t>
        </is>
      </c>
      <c r="B780">
        <f>1+MIN(150,150*(1-(1-(Inputs!$B$11+((C771=TRUE)*(F771-Calc!F20)))/150)*(1-B779/150)))/100</f>
        <v/>
      </c>
    </row>
    <row r="781">
      <c r="A781" t="inlineStr">
        <is>
          <t>Skill + Buff Cast Rate</t>
        </is>
      </c>
      <c r="B781">
        <f>IF(AND(Inputs!$B$38&lt;&gt;"pvp",Inputs!$B$43&gt;0),SUMPRODUCT((Skills!E2:E24=TRUE)*(C753:C775=TRUE)*R753:R775*Skills!F2:F24)/Inputs!$B$43,SUMPRODUCT((Skills!E2:E24=TRUE)*(C753:C775=TRUE)*Q753:Q775*Skills!F2:F24))</f>
        <v/>
      </c>
    </row>
    <row r="782">
      <c r="A782" t="inlineStr">
        <is>
          <t>Blast Casts Per Second</t>
        </is>
      </c>
      <c r="B782">
        <f>MAX(0,B780-B781)</f>
        <v/>
      </c>
    </row>
    <row r="783">
      <c r="A783" t="inlineStr">
        <is>
          <t>Global Critical Damage Bonus % (unused)</t>
        </is>
      </c>
      <c r="B783" t="n">
        <v>0</v>
      </c>
    </row>
    <row r="784">
      <c r="A784" t="inlineStr">
        <is>
          <t>Global Final Damage Bonus % (Divine Shield + Guardian + Divine Blessing + Greater Vessel of Light)</t>
        </is>
      </c>
      <c r="B784">
        <f>((C766=TRUE)*F766*IF(AND(Inputs!$B$38&lt;&gt;"pvp",Inputs!$B$43&gt;0),(((R766-1)*(Skills!T15*(1+Inputs!$B$34/100))+MIN((Skills!T15*(1+Inputs!$B$34/100)),MAX(0,Inputs!$B$43-((R766-1)*Skills!D15))))/Inputs!$B$43),IF(Inputs!$B$38="pvp",MIN((Skills!T15*(1+Inputs!$B$34/100)),15)/15,(Skills!T15*(1+Inputs!$B$34/100))/Skills!D15)))+((C767=TRUE)*F767*IF(AND(Inputs!$B$38&lt;&gt;"pvp",Inputs!$B$43&gt;0),(((R767-1)*(Skills!T16*(1+Inputs!$B$34/100))+MIN((Skills!T16*(1+Inputs!$B$34/100)),MAX(0,Inputs!$B$43-((R767-1)*Skills!D16))))/Inputs!$B$43),IF(Inputs!$B$38="pvp",MIN((Skills!T16*(1+Inputs!$B$34/100)),15)/15,(Skills!T16*(1+Inputs!$B$34/100))/Skills!D16)))+((C768=TRUE)*F768*IF(AND(Inputs!$B$38&lt;&gt;"pvp",Inputs!$B$43&gt;0),(((R768-1)*(Skills!T17*(1+Inputs!$B$34/100))+MIN((Skills!T17*(1+Inputs!$B$34/100)),MAX(0,Inputs!$B$43-((R768-1)*Skills!D17))))/Inputs!$B$43),IF(Inputs!$B$38="pvp",MIN((Skills!T17*(1+Inputs!$B$34/100)),15)/15,(Skills!T17*(1+Inputs!$B$34/100))/Skills!D17)))+((C765=TRUE)*F765*MIN(1,Skills!T13*(Skills!J13/100)*B782))</f>
        <v/>
      </c>
    </row>
    <row r="785">
      <c r="A785" t="inlineStr">
        <is>
          <t>Buff-Casting Startup Delay (s, fixed-duration only)</t>
        </is>
      </c>
      <c r="B785">
        <f>IF(AND(Inputs!$B$38&lt;&gt;"pvp",Inputs!$B$43&gt;0),SUMPRODUCT((Skills!T2:T24&gt;0)*(Skills!E2:E24=TRUE)*(C753:C775=TRUE))/B780,0)</f>
        <v/>
      </c>
    </row>
    <row r="786">
      <c r="A786" t="inlineStr">
        <is>
          <t>Boss-Only Total DPS (this block's swept value)</t>
        </is>
      </c>
      <c r="B786">
        <f>SUM(T753:T775)</f>
        <v/>
      </c>
    </row>
    <row r="787">
      <c r="A787" t="inlineStr">
        <is>
          <t>Normal-Only Total DPS (this block's swept value)</t>
        </is>
      </c>
      <c r="B787">
        <f>SUM(V753:V775)</f>
        <v/>
      </c>
    </row>
    <row r="788">
      <c r="A788" s="6" t="inlineStr">
        <is>
          <t>TOTAL DPS</t>
        </is>
      </c>
      <c r="B788" s="6">
        <f>SUM(O753:O775)</f>
        <v/>
      </c>
    </row>
    <row r="791">
      <c r="A791" s="6" t="inlineStr">
        <is>
          <t>Stat: Skill Level Bonus — 3rd Job</t>
        </is>
      </c>
    </row>
    <row r="792">
      <c r="A792" s="5" t="inlineStr">
        <is>
          <t>Key</t>
        </is>
      </c>
      <c r="B792" s="5" t="inlineStr">
        <is>
          <t>Name</t>
        </is>
      </c>
      <c r="C792" s="5" t="inlineStr">
        <is>
          <t>Unlocked</t>
        </is>
      </c>
      <c r="D792" s="5" t="inlineStr">
        <is>
          <t>InputLevel</t>
        </is>
      </c>
      <c r="E792" s="5" t="inlineStr">
        <is>
          <t>Factor</t>
        </is>
      </c>
      <c r="F792" s="5" t="inlineStr">
        <is>
          <t>CoefficientPercent</t>
        </is>
      </c>
      <c r="G792" s="5" t="inlineStr">
        <is>
          <t>EffectiveHits</t>
        </is>
      </c>
      <c r="H792" s="5" t="inlineStr">
        <is>
          <t>ProcProbability</t>
        </is>
      </c>
      <c r="I792" s="5" t="inlineStr">
        <is>
          <t>MapleHeroMultiplier</t>
        </is>
      </c>
      <c r="J792" s="5" t="inlineStr">
        <is>
          <t>BaseDamage</t>
        </is>
      </c>
      <c r="K792" s="5" t="inlineStr">
        <is>
          <t>BaseHitDamage</t>
        </is>
      </c>
      <c r="L792" s="5" t="inlineStr">
        <is>
          <t>NonCritAvg</t>
        </is>
      </c>
      <c r="M792" s="5" t="inlineStr">
        <is>
          <t>CritAvg</t>
        </is>
      </c>
      <c r="N792" s="5" t="inlineStr">
        <is>
          <t>ExpectedDamage(perHit)</t>
        </is>
      </c>
      <c r="O792" s="5" t="inlineStr">
        <is>
          <t>DPS</t>
        </is>
      </c>
      <c r="P792" s="5" t="inlineStr">
        <is>
          <t>% of Total</t>
        </is>
      </c>
      <c r="Q792" s="5" t="inlineStr">
        <is>
          <t>InvCooldown</t>
        </is>
      </c>
      <c r="R792" s="5" t="inlineStr">
        <is>
          <t>CastsInFight</t>
        </is>
      </c>
      <c r="S792" s="5" t="inlineStr">
        <is>
          <t>HitRate(perSec)</t>
        </is>
      </c>
      <c r="U792" t="inlineStr">
        <is>
          <t>helpers</t>
        </is>
      </c>
    </row>
    <row r="793">
      <c r="A793">
        <f>Skills!A2</f>
        <v/>
      </c>
      <c r="B793">
        <f>Skills!B2</f>
        <v/>
      </c>
      <c r="C793">
        <f>Inputs!$B$3&gt;=100</f>
        <v/>
      </c>
      <c r="D793" t="inlineStr"/>
      <c r="E793" t="inlineStr"/>
      <c r="F793">
        <f>U795+Skills!O2</f>
        <v/>
      </c>
      <c r="G793">
        <f>Skills!G2*IF(Skills!H2&gt;0,Skills!I2/Skills!H2,1)</f>
        <v/>
      </c>
      <c r="H793">
        <f>1-(1-Skills!J2/100)^Skills!K2</f>
        <v/>
      </c>
      <c r="I793" t="inlineStr">
        <is>
          <t>1</t>
        </is>
      </c>
      <c r="J793">
        <f>((Inputs!$B$6*(1+Inputs!$B$7/100))+(((Inputs!$B$12*(1+Inputs!$B$13/100))-(Inputs!$B$12*(1+Inputs!$B$13/100)))+0.25*(Inputs!$B$14-Inputs!$B$14))*(1+Inputs!$B$7/100))*(F793/100)</f>
        <v/>
      </c>
      <c r="K793">
        <f>J793*(1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793)</f>
        <v/>
      </c>
      <c r="L793">
        <f>K793*(MIN(Inputs!$B$22+((C813=TRUE)*(F813-Calc!F22)),(Inputs!$B$23+((C815=TRUE)*(F815-Calc!F24))+(IF(ArtifactsInput!$M$15,CHOOSE(ArtifactsInput!$N$15+1,25,30,35,40,45,50)/100*(Inputs!$B$11-Inputs!$B$11),0))))/100+(Inputs!$B$23+((C815=TRUE)*(F815-Calc!F24))+(IF(ArtifactsInput!$M$15,CHOOSE(ArtifactsInput!$N$15+1,25,30,35,40,45,50)/100*(Inputs!$B$11-Inputs!$B$11),0)))/100)/2</f>
        <v/>
      </c>
      <c r="M793">
        <f>L793*(1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3">
        <f>L793*(1-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793*(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3">
        <f>(1-Summary!$B$11)*T793+Summary!$B$11*V793</f>
        <v/>
      </c>
      <c r="P793">
        <f>IF(B828=0,0,O793/B828)</f>
        <v/>
      </c>
      <c r="Q793" t="n">
        <v>0</v>
      </c>
      <c r="R793" t="n">
        <v>0</v>
      </c>
      <c r="S793">
        <f>IFERROR(O793/N793,0)</f>
        <v/>
      </c>
      <c r="T793">
        <f>IF(C793,(Skills!G2*N793*B822)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793*(1-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793*(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793*(1-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793*(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3">
        <f>MAX(0,(Inputs!$B$3-100)*3)+Inputs!$B$28+Inputs!$B$29</f>
        <v/>
      </c>
      <c r="V793">
        <f>IF(C793,(Skills!G2*N793*B822)*IF(Inputs!$B$38="pvp",1,(1+(Inputs!$B$21+Skills!Q2+(IF(ArtifactsInput!$M$33,CHOOSE(ArtifactsInput!$N$33+1,30,36,42,48,54,60),0))+(IF(AND(ArtifactsInput!$M$35,Inputs!$B$4&lt;&gt;"Chapter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4">
      <c r="A794">
        <f>Skills!A3</f>
        <v/>
      </c>
      <c r="B794">
        <f>Skills!B3</f>
        <v/>
      </c>
      <c r="C794">
        <f>Inputs!$B$3&gt;=50</f>
        <v/>
      </c>
      <c r="D794">
        <f>IF(Skills!C3=1,60+Inputs!$B$25+Inputs!$B$29,IF(Skills!C3=2,90+Inputs!$B$26+Inputs!$B$29,IF(Skills!C3=3,120+(Inputs!$B$27+1)+Inputs!$B$29,MAX(0,(Inputs!$B$3-100)*3)+Inputs!$B$28+Inputs!$B$29)))</f>
        <v/>
      </c>
      <c r="E794">
        <f>INDEX(FactorTable!$B$2:$Y$301, MATCH(ROUND(MIN(300,MAX(1,D794)),0), FactorTable!$A$2:$A$301,0), Skills!M3+1)</f>
        <v/>
      </c>
      <c r="F794">
        <f>IF(Skills!N3=TRUE,(Skills!L3/10)*(E794/1000),Skills!L3/10)+Skills!O3</f>
        <v/>
      </c>
      <c r="G794" t="inlineStr"/>
      <c r="H794" t="inlineStr"/>
      <c r="I794" t="inlineStr">
        <is>
          <t>1</t>
        </is>
      </c>
      <c r="J794" t="inlineStr"/>
      <c r="K794" t="inlineStr"/>
      <c r="L794" t="inlineStr"/>
      <c r="M794" t="inlineStr"/>
      <c r="N794" t="inlineStr"/>
      <c r="O794" t="inlineStr"/>
      <c r="P794" t="inlineStr"/>
      <c r="Q794" t="inlineStr"/>
      <c r="R794" t="inlineStr"/>
      <c r="S794" t="inlineStr"/>
      <c r="U794">
        <f>INDEX(FactorTable!$B$2:$Y$301, MATCH(ROUND(MIN(300,MAX(1,U793)),0), FactorTable!$A$2:$A$301,0), 22)</f>
        <v/>
      </c>
    </row>
    <row r="795">
      <c r="A795">
        <f>Skills!A4</f>
        <v/>
      </c>
      <c r="B795">
        <f>Skills!B4</f>
        <v/>
      </c>
      <c r="C795">
        <f>Inputs!$B$3&gt;=35</f>
        <v/>
      </c>
      <c r="D795">
        <f>IF(Skills!C4=1,60+Inputs!$B$25+Inputs!$B$29,IF(Skills!C4=2,90+Inputs!$B$26+Inputs!$B$29,IF(Skills!C4=3,120+(Inputs!$B$27+1)+Inputs!$B$29,MAX(0,(Inputs!$B$3-100)*3)+Inputs!$B$28+Inputs!$B$29)))</f>
        <v/>
      </c>
      <c r="E795">
        <f>INDEX(FactorTable!$B$2:$Y$301, MATCH(ROUND(MIN(300,MAX(1,D795)),0), FactorTable!$A$2:$A$301,0), Skills!M4+1)</f>
        <v/>
      </c>
      <c r="F795">
        <f>IF(Skills!N4=TRUE,(Skills!L4/10)*(E795/1000),Skills!L4/10)+Skills!O4</f>
        <v/>
      </c>
      <c r="G795">
        <f>Skills!G4*IF(Skills!H4&gt;0,Skills!I4/Skills!H4,1)</f>
        <v/>
      </c>
      <c r="H795">
        <f>1-(1-Skills!J4/100)^Skills!K4</f>
        <v/>
      </c>
      <c r="I795" t="inlineStr">
        <is>
          <t>1</t>
        </is>
      </c>
      <c r="J795">
        <f>((Inputs!$B$6*(1+Inputs!$B$7/100))+(((Inputs!$B$12*(1+Inputs!$B$13/100))-(Inputs!$B$12*(1+Inputs!$B$13/100)))+0.25*(Inputs!$B$14-Inputs!$B$14))*(1+Inputs!$B$7/100))*(F795/100)</f>
        <v/>
      </c>
      <c r="K795">
        <f>J795*(1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803=TRUE,F803,0)/100)*(1+(IF(Skills!A4="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795)</f>
        <v/>
      </c>
      <c r="L795">
        <f>K795*(MIN(Inputs!$B$22+((C813=TRUE)*(F813-Calc!F22)),(Inputs!$B$23+((C815=TRUE)*(F815-Calc!F24))+(IF(ArtifactsInput!$M$15,CHOOSE(ArtifactsInput!$N$15+1,25,30,35,40,45,50)/100*(Inputs!$B$11-Inputs!$B$11),0))))/100+(Inputs!$B$23+((C815=TRUE)*(F815-Calc!F24))+(IF(ArtifactsInput!$M$15,CHOOSE(ArtifactsInput!$N$15+1,25,30,35,40,45,50)/100*(Inputs!$B$11-Inputs!$B$11),0)))/100)/2</f>
        <v/>
      </c>
      <c r="M795">
        <f>L795*(1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5">
        <f>L795*(1-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795*(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5">
        <f>(1-Summary!$B$11)*T795+Summary!$B$11*V795</f>
        <v/>
      </c>
      <c r="P795">
        <f>IF(B828=0,0,O795/B828)</f>
        <v/>
      </c>
      <c r="Q795">
        <f>IFERROR(1/(IF(Inputs!$B$38="pvp",15,MAX(0.1,Skills!D4-IF(Skills!E4=TRUE,Inputs!$B$32,0)))*(1-IF(AND(ArtifactsInput!$M$27,Inputs!$B$4="Chapter Hunt"),CHOOSE(ArtifactsInput!$N$27+1,20,24,28,32,36,40),0)/100)),0)</f>
        <v/>
      </c>
      <c r="R795">
        <f>IF(AND(Inputs!$B$38&lt;&gt;"pvp",Inputs!$B$43&gt;0),IF(MAX(0,Inputs!$B$43-B825)&lt;=0,0,(INT(MAX(0,Inputs!$B$43-B825)/(IF(Inputs!$B$38="pvp",15,MAX(0.1,Skills!D4-IF(Skills!E4=TRUE,Inputs!$B$32,0)))*(1-IF(AND(ArtifactsInput!$M$27,Inputs!$B$4="Chapter Hunt"),CHOOSE(ArtifactsInput!$N$27+1,20,24,28,32,36,40),0)/100)))+1)),0)</f>
        <v/>
      </c>
      <c r="S795">
        <f>IFERROR(O795/N795,0)</f>
        <v/>
      </c>
      <c r="T795">
        <f>IF(C795,(H795*N795*IF(AND(Inputs!$B$38&lt;&gt;"pvp",Inputs!$B$43&gt;0),((Skills!G4*((R795-1)*IF(Skills!H4&gt;0,Skills!I4/Skills!H4,1)+IF(Skills!H4&gt;0,MIN(Skills!I4,MAX(0,MAX(0,Inputs!$B$43-B825)-((R795-1)*(IF(Inputs!$B$38="pvp",15,MAX(0.1,Skills!D4-IF(Skills!E4=TRUE,Inputs!$B$32,0)))*(1-IF(AND(ArtifactsInput!$M$27,Inputs!$B$4="Chapter Hunt"),CHOOSE(ArtifactsInput!$N$27+1,20,24,28,32,36,40),0)/100)))))/Skills!H4,1)))/Inputs!$B$43),G795*Q795)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795*(1-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795*(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795*(1-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795*(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5">
        <f>290*U794/1000</f>
        <v/>
      </c>
      <c r="V795">
        <f>IF(C795,(H795*N795*IF(AND(Inputs!$B$38&lt;&gt;"pvp",Inputs!$B$43&gt;0),((Skills!G4*((R795-1)*IF(Skills!H4&gt;0,Skills!I4/Skills!H4,1)+IF(Skills!H4&gt;0,MIN(Skills!I4,MAX(0,MAX(0,Inputs!$B$43-B825)-((R795-1)*(IF(Inputs!$B$38="pvp",15,MAX(0.1,Skills!D4-IF(Skills!E4=TRUE,Inputs!$B$32,0)))*(1-IF(AND(ArtifactsInput!$M$27,Inputs!$B$4="Chapter Hunt"),CHOOSE(ArtifactsInput!$N$27+1,20,24,28,32,36,40),0)/100)))))/Skills!H4,1)))/Inputs!$B$43),G795*Q795))*IF(Inputs!$B$38="pvp",1,(1+(Inputs!$B$21+Skills!Q4+(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6">
      <c r="A796">
        <f>Skills!A5</f>
        <v/>
      </c>
      <c r="B796">
        <f>Skills!B5</f>
        <v/>
      </c>
      <c r="C796">
        <f>Inputs!$B$3&gt;=66</f>
        <v/>
      </c>
      <c r="D796">
        <f>IF(Skills!C5=1,60+Inputs!$B$25+Inputs!$B$29,IF(Skills!C5=2,90+Inputs!$B$26+Inputs!$B$29,IF(Skills!C5=3,120+(Inputs!$B$27+1)+Inputs!$B$29,MAX(0,(Inputs!$B$3-100)*3)+Inputs!$B$28+Inputs!$B$29)))</f>
        <v/>
      </c>
      <c r="E796">
        <f>INDEX(FactorTable!$B$2:$Y$301, MATCH(ROUND(MIN(300,MAX(1,D796)),0), FactorTable!$A$2:$A$301,0), Skills!M5+1)</f>
        <v/>
      </c>
      <c r="F796">
        <f>IF(Skills!N5=TRUE,(Skills!L5/10)*(E796/1000),Skills!L5/10)+Skills!O5</f>
        <v/>
      </c>
      <c r="G796">
        <f>Skills!G5*IF(Skills!H5&gt;0,Skills!I5/Skills!H5,1)</f>
        <v/>
      </c>
      <c r="H796">
        <f>1-(1-Skills!J5/100)^Skills!K5</f>
        <v/>
      </c>
      <c r="I796" t="inlineStr">
        <is>
          <t>1</t>
        </is>
      </c>
      <c r="J796">
        <f>((Inputs!$B$6*(1+Inputs!$B$7/100))+(((Inputs!$B$12*(1+Inputs!$B$13/100))-(Inputs!$B$12*(1+Inputs!$B$13/100)))+0.25*(Inputs!$B$14-Inputs!$B$14))*(1+Inputs!$B$7/100))*(F796/100)</f>
        <v/>
      </c>
      <c r="K796">
        <f>J796*(1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803=TRUE,F803,0)/100)*(1+(IF(Skills!A5="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796)</f>
        <v/>
      </c>
      <c r="L796">
        <f>K796*(MIN(Inputs!$B$22+((C813=TRUE)*(F813-Calc!F22)),(Inputs!$B$23+((C815=TRUE)*(F815-Calc!F24))+(IF(ArtifactsInput!$M$15,CHOOSE(ArtifactsInput!$N$15+1,25,30,35,40,45,50)/100*(Inputs!$B$11-Inputs!$B$11),0))))/100+(Inputs!$B$23+((C815=TRUE)*(F815-Calc!F24))+(IF(ArtifactsInput!$M$15,CHOOSE(ArtifactsInput!$N$15+1,25,30,35,40,45,50)/100*(Inputs!$B$11-Inputs!$B$11),0)))/100)/2</f>
        <v/>
      </c>
      <c r="M796">
        <f>L796*(1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6">
        <f>L796*(1-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796*(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6">
        <f>(1-Summary!$B$11)*T796+Summary!$B$11*V796</f>
        <v/>
      </c>
      <c r="P796">
        <f>IF(B828=0,0,O796/B828)</f>
        <v/>
      </c>
      <c r="Q796">
        <f>IFERROR(1/(IF(Inputs!$B$38="pvp",15,MAX(0.1,Skills!D5-IF(Skills!E5=TRUE,Inputs!$B$32,0)))*(1-IF(AND(ArtifactsInput!$M$27,Inputs!$B$4="Chapter Hunt"),CHOOSE(ArtifactsInput!$N$27+1,20,24,28,32,36,40),0)/100)),0)</f>
        <v/>
      </c>
      <c r="R796">
        <f>IF(AND(Inputs!$B$38&lt;&gt;"pvp",Inputs!$B$43&gt;0),IF(MAX(0,Inputs!$B$43-B825)&lt;=0,0,(INT(MAX(0,Inputs!$B$43-B825)/(IF(Inputs!$B$38="pvp",15,MAX(0.1,Skills!D5-IF(Skills!E5=TRUE,Inputs!$B$32,0)))*(1-IF(AND(ArtifactsInput!$M$27,Inputs!$B$4="Chapter Hunt"),CHOOSE(ArtifactsInput!$N$27+1,20,24,28,32,36,40),0)/100)))+1)),0)</f>
        <v/>
      </c>
      <c r="S796">
        <f>IFERROR(O796/N796,0)</f>
        <v/>
      </c>
      <c r="T796">
        <f>IF(C796,(H796*N796*IF(AND(Inputs!$B$38&lt;&gt;"pvp",Inputs!$B$43&gt;0),((Skills!G5*((R796-1)*IF(Skills!H5&gt;0,Skills!I5/Skills!H5,1)+IF(Skills!H5&gt;0,MIN(Skills!I5,MAX(0,MAX(0,Inputs!$B$43-B825)-((R796-1)*(IF(Inputs!$B$38="pvp",15,MAX(0.1,Skills!D5-IF(Skills!E5=TRUE,Inputs!$B$32,0)))*(1-IF(AND(ArtifactsInput!$M$27,Inputs!$B$4="Chapter Hunt"),CHOOSE(ArtifactsInput!$N$27+1,20,24,28,32,36,40),0)/100)))))/Skills!H5,1)))/Inputs!$B$43),G796*Q796)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796*(1-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796*(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796*(1-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796*(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6">
        <f>IF(C796,(H796*N796*IF(AND(Inputs!$B$38&lt;&gt;"pvp",Inputs!$B$43&gt;0),((Skills!G5*((R796-1)*IF(Skills!H5&gt;0,Skills!I5/Skills!H5,1)+IF(Skills!H5&gt;0,MIN(Skills!I5,MAX(0,MAX(0,Inputs!$B$43-B825)-((R796-1)*(IF(Inputs!$B$38="pvp",15,MAX(0.1,Skills!D5-IF(Skills!E5=TRUE,Inputs!$B$32,0)))*(1-IF(AND(ArtifactsInput!$M$27,Inputs!$B$4="Chapter Hunt"),CHOOSE(ArtifactsInput!$N$27+1,20,24,28,32,36,40),0)/100)))))/Skills!H5,1)))/Inputs!$B$43),G796*Q796))*IF(Inputs!$B$38="pvp",1,(1+(Inputs!$B$21+Skills!Q5+(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7">
      <c r="A797">
        <f>Skills!A6</f>
        <v/>
      </c>
      <c r="B797">
        <f>Skills!B6</f>
        <v/>
      </c>
      <c r="C797">
        <f>Inputs!$B$3&gt;=103</f>
        <v/>
      </c>
      <c r="D797">
        <f>IF(Skills!C6=1,60+Inputs!$B$25+Inputs!$B$29,IF(Skills!C6=2,90+Inputs!$B$26+Inputs!$B$29,IF(Skills!C6=3,120+(Inputs!$B$27+1)+Inputs!$B$29,MAX(0,(Inputs!$B$3-100)*3)+Inputs!$B$28+Inputs!$B$29)))</f>
        <v/>
      </c>
      <c r="E797">
        <f>INDEX(FactorTable!$B$2:$Y$301, MATCH(ROUND(MIN(300,MAX(1,D797)),0), FactorTable!$A$2:$A$301,0), Skills!M6+1)</f>
        <v/>
      </c>
      <c r="F797">
        <f>IF(Skills!N6=TRUE,(Skills!L6/10)*(E797/1000),Skills!L6/10)+Skills!O6</f>
        <v/>
      </c>
      <c r="G797">
        <f>Skills!G6*IF(Skills!H6&gt;0,Skills!I6/Skills!H6,1)</f>
        <v/>
      </c>
      <c r="H797">
        <f>1-(1-Skills!J6/100)^Skills!K6</f>
        <v/>
      </c>
      <c r="I797" t="inlineStr">
        <is>
          <t>1</t>
        </is>
      </c>
      <c r="J797">
        <f>((Inputs!$B$6*(1+Inputs!$B$7/100))+(((Inputs!$B$12*(1+Inputs!$B$13/100))-(Inputs!$B$12*(1+Inputs!$B$13/100)))+0.25*(Inputs!$B$14-Inputs!$B$14))*(1+Inputs!$B$7/100))*(F797/100)</f>
        <v/>
      </c>
      <c r="K797">
        <f>J797*(1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797)</f>
        <v/>
      </c>
      <c r="L797">
        <f>K797*(MIN(Inputs!$B$22+((C813=TRUE)*(F813-Calc!F22)),(Inputs!$B$23+((C815=TRUE)*(F815-Calc!F24))+(IF(ArtifactsInput!$M$15,CHOOSE(ArtifactsInput!$N$15+1,25,30,35,40,45,50)/100*(Inputs!$B$11-Inputs!$B$11),0))))/100+(Inputs!$B$23+((C815=TRUE)*(F815-Calc!F24))+(IF(ArtifactsInput!$M$15,CHOOSE(ArtifactsInput!$N$15+1,25,30,35,40,45,50)/100*(Inputs!$B$11-Inputs!$B$11),0)))/100)/2</f>
        <v/>
      </c>
      <c r="M797">
        <f>L797*(1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7">
        <f>L797*(1-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797*(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7">
        <f>(1-Summary!$B$11)*T797+Summary!$B$11*V797</f>
        <v/>
      </c>
      <c r="P797">
        <f>IF(B828=0,0,O797/B828)</f>
        <v/>
      </c>
      <c r="Q797">
        <f>IFERROR(1/(IF(Inputs!$B$38="pvp",15,MAX(0.1,Skills!D6-IF(Skills!E6=TRUE,Inputs!$B$32,0)))*(1-IF(AND(ArtifactsInput!$M$27,Inputs!$B$4="Chapter Hunt"),CHOOSE(ArtifactsInput!$N$27+1,20,24,28,32,36,40),0)/100)),0)</f>
        <v/>
      </c>
      <c r="R797">
        <f>IF(AND(Inputs!$B$38&lt;&gt;"pvp",Inputs!$B$43&gt;0),IF(MAX(0,Inputs!$B$43-B825)&lt;=0,0,(INT(MAX(0,Inputs!$B$43-B825)/(IF(Inputs!$B$38="pvp",15,MAX(0.1,Skills!D6-IF(Skills!E6=TRUE,Inputs!$B$32,0)))*(1-IF(AND(ArtifactsInput!$M$27,Inputs!$B$4="Chapter Hunt"),CHOOSE(ArtifactsInput!$N$27+1,20,24,28,32,36,40),0)/100)))+1)),0)</f>
        <v/>
      </c>
      <c r="S797">
        <f>IFERROR(O797/N797,0)</f>
        <v/>
      </c>
      <c r="T797">
        <f>IF(C797,(H797*N797*IF(AND(Inputs!$B$38&lt;&gt;"pvp",Inputs!$B$43&gt;0),((Skills!G6*((R797-1)*IF(Skills!H6&gt;0,Skills!I6/Skills!H6,1)+IF(Skills!H6&gt;0,MIN(Skills!I6,MAX(0,MAX(0,Inputs!$B$43-B825)-((R797-1)*(IF(Inputs!$B$38="pvp",15,MAX(0.1,Skills!D6-IF(Skills!E6=TRUE,Inputs!$B$32,0)))*(1-IF(AND(ArtifactsInput!$M$27,Inputs!$B$4="Chapter Hunt"),CHOOSE(ArtifactsInput!$N$27+1,20,24,28,32,36,40),0)/100)))))/Skills!H6,1)))/Inputs!$B$43),G797*Q797)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797*(1-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797*(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797*(1-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797*(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7">
        <f>IF(C797,(H797*N797*IF(AND(Inputs!$B$38&lt;&gt;"pvp",Inputs!$B$43&gt;0),((Skills!G6*((R797-1)*IF(Skills!H6&gt;0,Skills!I6/Skills!H6,1)+IF(Skills!H6&gt;0,MIN(Skills!I6,MAX(0,MAX(0,Inputs!$B$43-B825)-((R797-1)*(IF(Inputs!$B$38="pvp",15,MAX(0.1,Skills!D6-IF(Skills!E6=TRUE,Inputs!$B$32,0)))*(1-IF(AND(ArtifactsInput!$M$27,Inputs!$B$4="Chapter Hunt"),CHOOSE(ArtifactsInput!$N$27+1,20,24,28,32,36,40),0)/100)))))/Skills!H6,1)))/Inputs!$B$43),G797*Q797))*IF(Inputs!$B$38="pvp",1,(1+(Inputs!$B$21+Skills!Q6+(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8">
      <c r="A798">
        <f>Skills!A7</f>
        <v/>
      </c>
      <c r="B798">
        <f>Skills!B7</f>
        <v/>
      </c>
      <c r="C798">
        <f>Inputs!$B$3&gt;=107</f>
        <v/>
      </c>
      <c r="D798">
        <f>IF(Skills!C7=1,60+Inputs!$B$25+Inputs!$B$29,IF(Skills!C7=2,90+Inputs!$B$26+Inputs!$B$29,IF(Skills!C7=3,120+(Inputs!$B$27+1)+Inputs!$B$29,MAX(0,(Inputs!$B$3-100)*3)+Inputs!$B$28+Inputs!$B$29)))</f>
        <v/>
      </c>
      <c r="E798">
        <f>INDEX(FactorTable!$B$2:$Y$301, MATCH(ROUND(MIN(300,MAX(1,D798)),0), FactorTable!$A$2:$A$301,0), Skills!M7+1)</f>
        <v/>
      </c>
      <c r="F798">
        <f>IF(Skills!N7=TRUE,(Skills!L7/10)*(E798/1000),Skills!L7/10)+Skills!O7</f>
        <v/>
      </c>
      <c r="G798">
        <f>Skills!G7*IF(Skills!H7&gt;0,Skills!I7/Skills!H7,1)</f>
        <v/>
      </c>
      <c r="H798">
        <f>1-(1-Skills!J7/100)^Skills!K7</f>
        <v/>
      </c>
      <c r="I798" t="inlineStr">
        <is>
          <t>1</t>
        </is>
      </c>
      <c r="J798">
        <f>((Inputs!$B$6*(1+Inputs!$B$7/100))+(((Inputs!$B$12*(1+Inputs!$B$13/100))-(Inputs!$B$12*(1+Inputs!$B$13/100)))+0.25*(Inputs!$B$14-Inputs!$B$14))*(1+Inputs!$B$7/100))*(F798/100)</f>
        <v/>
      </c>
      <c r="K798">
        <f>J798*(1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798)</f>
        <v/>
      </c>
      <c r="L798">
        <f>K798*(MIN(Inputs!$B$22+((C813=TRUE)*(F813-Calc!F22)),(Inputs!$B$23+((C815=TRUE)*(F815-Calc!F24))+(IF(ArtifactsInput!$M$15,CHOOSE(ArtifactsInput!$N$15+1,25,30,35,40,45,50)/100*(Inputs!$B$11-Inputs!$B$11),0))))/100+(Inputs!$B$23+((C815=TRUE)*(F815-Calc!F24))+(IF(ArtifactsInput!$M$15,CHOOSE(ArtifactsInput!$N$15+1,25,30,35,40,45,50)/100*(Inputs!$B$11-Inputs!$B$11),0)))/100)/2</f>
        <v/>
      </c>
      <c r="M798">
        <f>L798*(1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8">
        <f>L798*(1-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798*(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8">
        <f>(1-Summary!$B$11)*T798+Summary!$B$11*V798</f>
        <v/>
      </c>
      <c r="P798">
        <f>IF(B828=0,0,O798/B828)</f>
        <v/>
      </c>
      <c r="Q798">
        <f>IFERROR(1/(IF(Inputs!$B$38="pvp",15,MAX(0.1,Skills!D7-IF(Skills!E7=TRUE,Inputs!$B$32,0)))*(1-IF(AND(ArtifactsInput!$M$27,Inputs!$B$4="Chapter Hunt"),CHOOSE(ArtifactsInput!$N$27+1,20,24,28,32,36,40),0)/100)),0)</f>
        <v/>
      </c>
      <c r="R798">
        <f>IF(AND(Inputs!$B$38&lt;&gt;"pvp",Inputs!$B$43&gt;0),IF(MAX(0,Inputs!$B$43-B825)&lt;=0,0,(INT(MAX(0,Inputs!$B$43-B825)/(IF(Inputs!$B$38="pvp",15,MAX(0.1,Skills!D7-IF(Skills!E7=TRUE,Inputs!$B$32,0)))*(1-IF(AND(ArtifactsInput!$M$27,Inputs!$B$4="Chapter Hunt"),CHOOSE(ArtifactsInput!$N$27+1,20,24,28,32,36,40),0)/100)))+1)),0)</f>
        <v/>
      </c>
      <c r="S798">
        <f>IFERROR(O798/N798,0)</f>
        <v/>
      </c>
      <c r="T798">
        <f>IF(C798,(H798*N798*IF(AND(Inputs!$B$38&lt;&gt;"pvp",Inputs!$B$43&gt;0),((Skills!G7*((R798-1)*IF(Skills!H7&gt;0,Skills!I7/Skills!H7,1)+IF(Skills!H7&gt;0,MIN(Skills!I7,MAX(0,MAX(0,Inputs!$B$43-B825)-((R798-1)*(IF(Inputs!$B$38="pvp",15,MAX(0.1,Skills!D7-IF(Skills!E7=TRUE,Inputs!$B$32,0)))*(1-IF(AND(ArtifactsInput!$M$27,Inputs!$B$4="Chapter Hunt"),CHOOSE(ArtifactsInput!$N$27+1,20,24,28,32,36,40),0)/100)))))/Skills!H7,1)))/Inputs!$B$43),G798*Q798)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798*(1-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798*(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798*(1-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798*(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8">
        <f>IF(C798,(H798*N798*IF(AND(Inputs!$B$38&lt;&gt;"pvp",Inputs!$B$43&gt;0),((Skills!G7*((R798-1)*IF(Skills!H7&gt;0,Skills!I7/Skills!H7,1)+IF(Skills!H7&gt;0,MIN(Skills!I7,MAX(0,MAX(0,Inputs!$B$43-B825)-((R798-1)*(IF(Inputs!$B$38="pvp",15,MAX(0.1,Skills!D7-IF(Skills!E7=TRUE,Inputs!$B$32,0)))*(1-IF(AND(ArtifactsInput!$M$27,Inputs!$B$4="Chapter Hunt"),CHOOSE(ArtifactsInput!$N$27+1,20,24,28,32,36,40),0)/100)))))/Skills!H7,1)))/Inputs!$B$43),G798*Q798))*IF(Inputs!$B$38="pvp",1,(1+(Inputs!$B$21+Skills!Q7+(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9">
      <c r="A799">
        <f>Skills!A8</f>
        <v/>
      </c>
      <c r="B799">
        <f>Skills!B8</f>
        <v/>
      </c>
      <c r="C799">
        <f>Inputs!$B$3&gt;=107</f>
        <v/>
      </c>
      <c r="D799">
        <f>IF(Skills!C8=1,60+Inputs!$B$25+Inputs!$B$29,IF(Skills!C8=2,90+Inputs!$B$26+Inputs!$B$29,IF(Skills!C8=3,120+(Inputs!$B$27+1)+Inputs!$B$29,MAX(0,(Inputs!$B$3-100)*3)+Inputs!$B$28+Inputs!$B$29)))</f>
        <v/>
      </c>
      <c r="E799">
        <f>INDEX(FactorTable!$B$2:$Y$301, MATCH(ROUND(MIN(300,MAX(1,D799)),0), FactorTable!$A$2:$A$301,0), Skills!M8+1)</f>
        <v/>
      </c>
      <c r="F799">
        <f>IF(Skills!N8=TRUE,(Skills!L8/10)*(E799/1000),Skills!L8/10)+Skills!O8</f>
        <v/>
      </c>
      <c r="G799">
        <f>Skills!G8*IF(Skills!H8&gt;0,Skills!I8/Skills!H8,1)</f>
        <v/>
      </c>
      <c r="H799">
        <f>1-(1-Skills!J8/100)^Skills!K8</f>
        <v/>
      </c>
      <c r="I799" t="inlineStr">
        <is>
          <t>1</t>
        </is>
      </c>
      <c r="J799">
        <f>((Inputs!$B$6*(1+Inputs!$B$7/100))+(((Inputs!$B$12*(1+Inputs!$B$13/100))-(Inputs!$B$12*(1+Inputs!$B$13/100)))+0.25*(Inputs!$B$14-Inputs!$B$14))*(1+Inputs!$B$7/100))*(F799/100)</f>
        <v/>
      </c>
      <c r="K799">
        <f>J799*(1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799)</f>
        <v/>
      </c>
      <c r="L799">
        <f>K799*(MIN(Inputs!$B$22+((C813=TRUE)*(F813-Calc!F22)),(Inputs!$B$23+((C815=TRUE)*(F815-Calc!F24))+(IF(ArtifactsInput!$M$15,CHOOSE(ArtifactsInput!$N$15+1,25,30,35,40,45,50)/100*(Inputs!$B$11-Inputs!$B$11),0))))/100+(Inputs!$B$23+((C815=TRUE)*(F815-Calc!F24))+(IF(ArtifactsInput!$M$15,CHOOSE(ArtifactsInput!$N$15+1,25,30,35,40,45,50)/100*(Inputs!$B$11-Inputs!$B$11),0)))/100)/2</f>
        <v/>
      </c>
      <c r="M799">
        <f>L799*(1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9">
        <f>L799*(1-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799*(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9">
        <f>(1-Summary!$B$11)*T799+Summary!$B$11*V799</f>
        <v/>
      </c>
      <c r="P799">
        <f>IF(B828=0,0,O799/B828)</f>
        <v/>
      </c>
      <c r="Q799">
        <f>IFERROR(1/(IF(Inputs!$B$38="pvp",15,MAX(0.1,Skills!D8-IF(Skills!E8=TRUE,Inputs!$B$32,0)))*(1-IF(AND(ArtifactsInput!$M$27,Inputs!$B$4="Chapter Hunt"),CHOOSE(ArtifactsInput!$N$27+1,20,24,28,32,36,40),0)/100)),0)</f>
        <v/>
      </c>
      <c r="R799">
        <f>IF(AND(Inputs!$B$38&lt;&gt;"pvp",Inputs!$B$43&gt;0),IF(MAX(0,Inputs!$B$43-B825)&lt;=0,0,(INT(MAX(0,Inputs!$B$43-B825)/(IF(Inputs!$B$38="pvp",15,MAX(0.1,Skills!D8-IF(Skills!E8=TRUE,Inputs!$B$32,0)))*(1-IF(AND(ArtifactsInput!$M$27,Inputs!$B$4="Chapter Hunt"),CHOOSE(ArtifactsInput!$N$27+1,20,24,28,32,36,40),0)/100)))+1)),0)</f>
        <v/>
      </c>
      <c r="S799">
        <f>IFERROR(O799/N799,0)</f>
        <v/>
      </c>
      <c r="T799">
        <f>IF(C799,(H799*N799*IF(AND(Inputs!$B$38&lt;&gt;"pvp",Inputs!$B$43&gt;0),((Skills!G8*((R799-1)*IF(Skills!H8&gt;0,Skills!I8/Skills!H8,1)+IF(Skills!H8&gt;0,MIN(Skills!I8,MAX(0,MAX(0,Inputs!$B$43-B825)-((R799-1)*(IF(Inputs!$B$38="pvp",15,MAX(0.1,Skills!D8-IF(Skills!E8=TRUE,Inputs!$B$32,0)))*(1-IF(AND(ArtifactsInput!$M$27,Inputs!$B$4="Chapter Hunt"),CHOOSE(ArtifactsInput!$N$27+1,20,24,28,32,36,40),0)/100)))))/Skills!H8,1)))/Inputs!$B$43),G799*Q799)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799*(1-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799*(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799*(1-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799*(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9">
        <f>IF(C799,(H799*N799*IF(AND(Inputs!$B$38&lt;&gt;"pvp",Inputs!$B$43&gt;0),((Skills!G8*((R799-1)*IF(Skills!H8&gt;0,Skills!I8/Skills!H8,1)+IF(Skills!H8&gt;0,MIN(Skills!I8,MAX(0,MAX(0,Inputs!$B$43-B825)-((R799-1)*(IF(Inputs!$B$38="pvp",15,MAX(0.1,Skills!D8-IF(Skills!E8=TRUE,Inputs!$B$32,0)))*(1-IF(AND(ArtifactsInput!$M$27,Inputs!$B$4="Chapter Hunt"),CHOOSE(ArtifactsInput!$N$27+1,20,24,28,32,36,40),0)/100)))))/Skills!H8,1)))/Inputs!$B$43),G799*Q799))*IF(Inputs!$B$38="pvp",1,(1+(Inputs!$B$21+Skills!Q8+(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0">
      <c r="A800">
        <f>Skills!A9</f>
        <v/>
      </c>
      <c r="B800">
        <f>Skills!B9</f>
        <v/>
      </c>
      <c r="C800">
        <f>Inputs!$B$3&gt;=125</f>
        <v/>
      </c>
      <c r="D800">
        <f>IF(Skills!C9=1,60+Inputs!$B$25+Inputs!$B$29,IF(Skills!C9=2,90+Inputs!$B$26+Inputs!$B$29,IF(Skills!C9=3,120+(Inputs!$B$27+1)+Inputs!$B$29,MAX(0,(Inputs!$B$3-100)*3)+Inputs!$B$28+Inputs!$B$29)))</f>
        <v/>
      </c>
      <c r="E800">
        <f>INDEX(FactorTable!$B$2:$Y$301, MATCH(ROUND(MIN(300,MAX(1,D800)),0), FactorTable!$A$2:$A$301,0), Skills!M9+1)</f>
        <v/>
      </c>
      <c r="F800">
        <f>IF(Skills!N9=TRUE,(Skills!L9/10)*(E800/1000),Skills!L9/10)+Skills!O9</f>
        <v/>
      </c>
      <c r="G800">
        <f>Skills!G9*IF(Skills!H9&gt;0,Skills!I9/Skills!H9,1)</f>
        <v/>
      </c>
      <c r="H800">
        <f>1-(1-Skills!J9/100)^Skills!K9</f>
        <v/>
      </c>
      <c r="I800" t="inlineStr">
        <is>
          <t>1</t>
        </is>
      </c>
      <c r="J800">
        <f>((Inputs!$B$6*(1+Inputs!$B$7/100))+(((Inputs!$B$12*(1+Inputs!$B$13/100))-(Inputs!$B$12*(1+Inputs!$B$13/100)))+0.25*(Inputs!$B$14-Inputs!$B$14))*(1+Inputs!$B$7/100))*(F800/100)</f>
        <v/>
      </c>
      <c r="K800">
        <f>J800*(1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800)</f>
        <v/>
      </c>
      <c r="L800">
        <f>K800*(MIN(Inputs!$B$22+((C813=TRUE)*(F813-Calc!F22)),(Inputs!$B$23+((C815=TRUE)*(F815-Calc!F24))+(IF(ArtifactsInput!$M$15,CHOOSE(ArtifactsInput!$N$15+1,25,30,35,40,45,50)/100*(Inputs!$B$11-Inputs!$B$11),0))))/100+(Inputs!$B$23+((C815=TRUE)*(F815-Calc!F24))+(IF(ArtifactsInput!$M$15,CHOOSE(ArtifactsInput!$N$15+1,25,30,35,40,45,50)/100*(Inputs!$B$11-Inputs!$B$11),0)))/100)/2</f>
        <v/>
      </c>
      <c r="M800">
        <f>L800*(1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0">
        <f>L800*(1-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800*(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0">
        <f>(1-Summary!$B$11)*T800+Summary!$B$11*V800</f>
        <v/>
      </c>
      <c r="P800">
        <f>IF(B828=0,0,O800/B828)</f>
        <v/>
      </c>
      <c r="Q800">
        <f>IFERROR(1/(IF(Inputs!$B$38="pvp",15,MAX(0.1,Skills!D9-IF(Skills!E9=TRUE,Inputs!$B$32,0)))*(1-IF(AND(ArtifactsInput!$M$27,Inputs!$B$4="Chapter Hunt"),CHOOSE(ArtifactsInput!$N$27+1,20,24,28,32,36,40),0)/100)),0)</f>
        <v/>
      </c>
      <c r="R800">
        <f>IF(AND(Inputs!$B$38&lt;&gt;"pvp",Inputs!$B$43&gt;0),IF(MAX(0,Inputs!$B$43-B825)&lt;=0,0,(INT(MAX(0,Inputs!$B$43-B825)/(IF(Inputs!$B$38="pvp",15,MAX(0.1,Skills!D9-IF(Skills!E9=TRUE,Inputs!$B$32,0)))*(1-IF(AND(ArtifactsInput!$M$27,Inputs!$B$4="Chapter Hunt"),CHOOSE(ArtifactsInput!$N$27+1,20,24,28,32,36,40),0)/100)))+1)),0)</f>
        <v/>
      </c>
      <c r="S800">
        <f>IFERROR(O800/N800,0)</f>
        <v/>
      </c>
      <c r="T800">
        <f>IF(C800,(H800*N800*IF(AND(Inputs!$B$38&lt;&gt;"pvp",Inputs!$B$43&gt;0),((Skills!G9*((R800-1)*IF(Skills!H9&gt;0,Skills!I9/Skills!H9,1)+IF(Skills!H9&gt;0,MIN(Skills!I9,MAX(0,MAX(0,Inputs!$B$43-B825)-((R800-1)*(IF(Inputs!$B$38="pvp",15,MAX(0.1,Skills!D9-IF(Skills!E9=TRUE,Inputs!$B$32,0)))*(1-IF(AND(ArtifactsInput!$M$27,Inputs!$B$4="Chapter Hunt"),CHOOSE(ArtifactsInput!$N$27+1,20,24,28,32,36,40),0)/100)))))/Skills!H9,1)))/Inputs!$B$43),G800*Q800)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800*(1-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800*(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800*(1-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800*(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0">
        <f>IF(C800,(H800*N800*IF(AND(Inputs!$B$38&lt;&gt;"pvp",Inputs!$B$43&gt;0),((Skills!G9*((R800-1)*IF(Skills!H9&gt;0,Skills!I9/Skills!H9,1)+IF(Skills!H9&gt;0,MIN(Skills!I9,MAX(0,MAX(0,Inputs!$B$43-B825)-((R800-1)*(IF(Inputs!$B$38="pvp",15,MAX(0.1,Skills!D9-IF(Skills!E9=TRUE,Inputs!$B$32,0)))*(1-IF(AND(ArtifactsInput!$M$27,Inputs!$B$4="Chapter Hunt"),CHOOSE(ArtifactsInput!$N$27+1,20,24,28,32,36,40),0)/100)))))/Skills!H9,1)))/Inputs!$B$43),G800*Q800))*IF(Inputs!$B$38="pvp",1,(1+(Inputs!$B$21+Skills!Q9+(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1">
      <c r="A801">
        <f>Skills!A10</f>
        <v/>
      </c>
      <c r="B801">
        <f>Skills!B10</f>
        <v/>
      </c>
      <c r="C801">
        <f>Inputs!$B$3&gt;=117</f>
        <v/>
      </c>
      <c r="D801">
        <f>IF(Skills!C10=1,60+Inputs!$B$25+Inputs!$B$29,IF(Skills!C10=2,90+Inputs!$B$26+Inputs!$B$29,IF(Skills!C10=3,120+(Inputs!$B$27+1)+Inputs!$B$29,MAX(0,(Inputs!$B$3-100)*3)+Inputs!$B$28+Inputs!$B$29)))</f>
        <v/>
      </c>
      <c r="E801">
        <f>INDEX(FactorTable!$B$2:$Y$301, MATCH(ROUND(MIN(300,MAX(1,D801)),0), FactorTable!$A$2:$A$301,0), Skills!M10+1)</f>
        <v/>
      </c>
      <c r="F801">
        <f>IF(Skills!N10=TRUE,(Skills!L10/10)*(E801/1000),Skills!L10/10)+Skills!O10</f>
        <v/>
      </c>
      <c r="G801">
        <f>Skills!G10*IF(Skills!H10&gt;0,Skills!I10/Skills!H10,1)</f>
        <v/>
      </c>
      <c r="H801">
        <f>1-(1-Skills!J10/100)^Skills!K10</f>
        <v/>
      </c>
      <c r="I801" t="inlineStr">
        <is>
          <t>1</t>
        </is>
      </c>
      <c r="J801">
        <f>((Inputs!$B$6*(1+Inputs!$B$7/100))+(((Inputs!$B$12*(1+Inputs!$B$13/100))-(Inputs!$B$12*(1+Inputs!$B$13/100)))+0.25*(Inputs!$B$14-Inputs!$B$14))*(1+Inputs!$B$7/100))*(F801/100)</f>
        <v/>
      </c>
      <c r="K801">
        <f>J801*(1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801)</f>
        <v/>
      </c>
      <c r="L801">
        <f>K801*(MIN(Inputs!$B$22+((C813=TRUE)*(F813-Calc!F22)),(Inputs!$B$23+((C815=TRUE)*(F815-Calc!F24))+(IF(ArtifactsInput!$M$15,CHOOSE(ArtifactsInput!$N$15+1,25,30,35,40,45,50)/100*(Inputs!$B$11-Inputs!$B$11),0))))/100+(Inputs!$B$23+((C815=TRUE)*(F815-Calc!F24))+(IF(ArtifactsInput!$M$15,CHOOSE(ArtifactsInput!$N$15+1,25,30,35,40,45,50)/100*(Inputs!$B$11-Inputs!$B$11),0)))/100)/2</f>
        <v/>
      </c>
      <c r="M801">
        <f>L801*(1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1">
        <f>L801*(1-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1">
        <f>(1-Summary!$B$11)*T801+Summary!$B$11*V801</f>
        <v/>
      </c>
      <c r="P801">
        <f>IF(B828=0,0,O801/B828)</f>
        <v/>
      </c>
      <c r="Q801">
        <f>IFERROR(1/(IF(Inputs!$B$38="pvp",15,MAX(0.1,Skills!D10-IF(Skills!E10=TRUE,Inputs!$B$32,0)))*(1-IF(AND(ArtifactsInput!$M$27,Inputs!$B$4="Chapter Hunt"),CHOOSE(ArtifactsInput!$N$27+1,20,24,28,32,36,40),0)/100)),0)</f>
        <v/>
      </c>
      <c r="R801">
        <f>IF(AND(Inputs!$B$38&lt;&gt;"pvp",Inputs!$B$43&gt;0),IF(MAX(0,Inputs!$B$43-B825)&lt;=0,0,(INT(MAX(0,Inputs!$B$43-B825)/(IF(Inputs!$B$38="pvp",15,MAX(0.1,Skills!D10-IF(Skills!E10=TRUE,Inputs!$B$32,0)))*(1-IF(AND(ArtifactsInput!$M$27,Inputs!$B$4="Chapter Hunt"),CHOOSE(ArtifactsInput!$N$27+1,20,24,28,32,36,40),0)/100)))+1)),0)</f>
        <v/>
      </c>
      <c r="S801">
        <f>IFERROR(O801/N801,0)</f>
        <v/>
      </c>
      <c r="T801">
        <f>IF(C801,(H801*N801*IF(AND(Inputs!$B$38&lt;&gt;"pvp",Inputs!$B$43&gt;0),((Skills!G10*((R801-1)*IF(Skills!H10&gt;0,Skills!I10/Skills!H10,1)+IF(Skills!H10&gt;0,MIN(Skills!I10,MAX(0,MAX(0,Inputs!$B$43-B825)-((R801-1)*(IF(Inputs!$B$38="pvp",15,MAX(0.1,Skills!D10-IF(Skills!E10=TRUE,Inputs!$B$32,0)))*(1-IF(AND(ArtifactsInput!$M$27,Inputs!$B$4="Chapter Hunt"),CHOOSE(ArtifactsInput!$N$27+1,20,24,28,32,36,40),0)/100)))))/Skills!H10,1)))/Inputs!$B$43),G801*Q801)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1">
        <f>IF(C801,(H801*N801*IF(AND(Inputs!$B$38&lt;&gt;"pvp",Inputs!$B$43&gt;0),((Skills!G10*((R801-1)*IF(Skills!H10&gt;0,Skills!I10/Skills!H10,1)+IF(Skills!H10&gt;0,MIN(Skills!I10,MAX(0,MAX(0,Inputs!$B$43-B825)-((R801-1)*(IF(Inputs!$B$38="pvp",15,MAX(0.1,Skills!D10-IF(Skills!E10=TRUE,Inputs!$B$32,0)))*(1-IF(AND(ArtifactsInput!$M$27,Inputs!$B$4="Chapter Hunt"),CHOOSE(ArtifactsInput!$N$27+1,20,24,28,32,36,40),0)/100)))))/Skills!H10,1)))/Inputs!$B$43),G801*Q801))*IF(Inputs!$B$38="pvp",1,(1+(Inputs!$B$21+Skills!Q10+(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2">
      <c r="A802">
        <f>Skills!A11</f>
        <v/>
      </c>
      <c r="B802">
        <f>Skills!B11</f>
        <v/>
      </c>
      <c r="C802">
        <f>Inputs!$B$3&gt;=63</f>
        <v/>
      </c>
      <c r="D802">
        <f>IF(Skills!C11=1,60+Inputs!$B$25+Inputs!$B$29,IF(Skills!C11=2,90+Inputs!$B$26+Inputs!$B$29,IF(Skills!C11=3,120+(Inputs!$B$27+1)+Inputs!$B$29,MAX(0,(Inputs!$B$3-100)*3)+Inputs!$B$28+Inputs!$B$29)))</f>
        <v/>
      </c>
      <c r="E802">
        <f>INDEX(FactorTable!$B$2:$Y$301, MATCH(ROUND(MIN(300,MAX(1,D802)),0), FactorTable!$A$2:$A$301,0), Skills!M11+1)</f>
        <v/>
      </c>
      <c r="F802">
        <f>IF(Skills!N11=TRUE,(Skills!L11/10)*(E802/1000),Skills!L11/10)+Skills!O11</f>
        <v/>
      </c>
      <c r="G802">
        <f>Skills!G11*IF(Skills!H11&gt;0,Skills!I11/Skills!H11,1)</f>
        <v/>
      </c>
      <c r="H802">
        <f>1-(1-Skills!J11/100)^Skills!K11</f>
        <v/>
      </c>
      <c r="I802" t="inlineStr">
        <is>
          <t>1</t>
        </is>
      </c>
      <c r="J802">
        <f>((Inputs!$B$6*(1+Inputs!$B$7/100))+(((Inputs!$B$12*(1+Inputs!$B$13/100))-(Inputs!$B$12*(1+Inputs!$B$13/100)))+0.25*(Inputs!$B$14-Inputs!$B$14))*(1+Inputs!$B$7/100))*(F802/100)</f>
        <v/>
      </c>
      <c r="K802">
        <f>J802*(1+((Inputs!$B$12*(1+Inputs!$B$13/100))*0.01+Inputs!$B$14*0.0025)/100)*(1+Inputs!$B$15/100)*(1+Inputs!$B$16/100)*(5000/(6000+Inputs!$B$42*(1-(Inputs!$B$19+0)/100)))*(1+(Inputs!$B$24+0+B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803=TRUE,F803,0)/100)*(1+(IF(Skills!A11="BLAST",Inputs!$B$17+((C812=TRUE)*(F812-Calc!F21))+((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MIN(100,((Inputs!$B$9+0+B818+(ArtifactsInput!$M$24-ArtifactsInput!$M$24)*CHOOSE(ArtifactsInput!$N$24+1,10,12,14,16,18,20)+IF(ArtifactsInput!$M$10,CHOOSE(ArtifactsInput!$N$10+1,15,18,21,24,27,30)*(IF(Inputs!$B$38="pvp",MIN(15,15)/15,IF(AND(Inputs!$B$38&lt;&gt;"pvp",Inputs!$B$43&gt;0),MIN(15,Inputs!$B$43)/(Inputs!$B$43),0))),0)))-100),0))*CHOOSE(ArtifactsInput!$N$42+1,0.6,0.72,0.84,0.96,1.08,1.2))),Inputs!$B$18+((C814=TRUE)*(F814-Calc!F23))+(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gt;=100),CHOOSE(ArtifactsInput!$N$42+1,40,48,56,64,72,80),0))))/100)*((1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802)</f>
        <v/>
      </c>
      <c r="L802">
        <f>K802*(MIN(Inputs!$B$22+((C813=TRUE)*(F813-Calc!F22)),(Inputs!$B$23+((C815=TRUE)*(F815-Calc!F24))+(IF(ArtifactsInput!$M$15,CHOOSE(ArtifactsInput!$N$15+1,25,30,35,40,45,50)/100*(Inputs!$B$11-Inputs!$B$11),0))))/100+(Inputs!$B$23+((C815=TRUE)*(F815-Calc!F24))+(IF(ArtifactsInput!$M$15,CHOOSE(ArtifactsInput!$N$15+1,25,30,35,40,45,50)/100*(Inputs!$B$11-Inputs!$B$11),0)))/100)/2</f>
        <v/>
      </c>
      <c r="M802">
        <f>L802*(1+(Inputs!$B$10+0+B823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2">
        <f>L802*(1-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802*(MIN((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2">
        <f>(1-Summary!$B$11)*T802+Summary!$B$11*V802</f>
        <v/>
      </c>
      <c r="P802">
        <f>IF(B828=0,0,O802/B828)</f>
        <v/>
      </c>
      <c r="Q802">
        <f>IFERROR(1/(IF(Inputs!$B$38="pvp",15,MAX(0.1,Skills!D11-IF(Skills!E11=TRUE,Inputs!$B$32,0)))*(1-IF(AND(ArtifactsInput!$M$27,Inputs!$B$4="Chapter Hunt"),CHOOSE(ArtifactsInput!$N$27+1,20,24,28,32,36,40),0)/100)),0)</f>
        <v/>
      </c>
      <c r="R802">
        <f>IF(AND(Inputs!$B$38&lt;&gt;"pvp",Inputs!$B$43&gt;0),IF(MAX(0,Inputs!$B$43-B825)&lt;=0,0,(INT(MAX(0,Inputs!$B$43-B825)/(IF(Inputs!$B$38="pvp",15,MAX(0.1,Skills!D11-IF(Skills!E11=TRUE,Inputs!$B$32,0)))*(1-IF(AND(ArtifactsInput!$M$27,Inputs!$B$4="Chapter Hunt"),CHOOSE(ArtifactsInput!$N$27+1,20,24,28,32,36,40),0)/100)))+1)),0)</f>
        <v/>
      </c>
      <c r="S802">
        <f>IFERROR(O802/N802,0)</f>
        <v/>
      </c>
      <c r="T802">
        <f>IF(C802,(H802*N802*IF(AND(Inputs!$B$38&lt;&gt;"pvp",Inputs!$B$43&gt;0),((Skills!G11*((R802-1)*IF(Skills!H11&gt;0,Skills!I11/Skills!H11,1)+IF(Skills!H11&gt;0,MIN(Skills!I11,MAX(0,MAX(0,Inputs!$B$43-B825)-((R802-1)*(IF(Inputs!$B$38="pvp",15,MAX(0.1,Skills!D11-IF(Skills!E11=TRUE,Inputs!$B$32,0)))*(1-IF(AND(ArtifactsInput!$M$27,Inputs!$B$4="Chapter Hunt"),CHOOSE(ArtifactsInput!$N$27+1,20,24,28,32,36,40),0)/100)))))/Skills!H11,1)))/Inputs!$B$43),G802*Q802)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802*(1-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802*(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802*(1-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802*(MIN(100,(Inputs!$B$9+0+B818+(ArtifactsInput!$M$24-ArtifactsInput!$M$24)*CHOOSE(ArtifactsInput!$N$24+1,10,12,14,16,18,20)+(IF(AND(Inputs!$B$38&lt;&gt;"pvp",Inputs!$B$43=0),1,IF(IF(Inputs!$B$38="pvp",15,Inputs!$B$43)-(B825)&lt;=0,1,MAX(0,IF(Inputs!$B$38="pvp",15,Inputs!$B$43)-MAX(5,B825))/(IF(Inputs!$B$38="pvp",15,Inputs!$B$43)-(B825))))*IF(AND(ArtifactsInput!$M$42,((Inputs!$B$9+0+B818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2">
        <f>IF(C802,(H802*N802*IF(AND(Inputs!$B$38&lt;&gt;"pvp",Inputs!$B$43&gt;0),((Skills!G11*((R802-1)*IF(Skills!H11&gt;0,Skills!I11/Skills!H11,1)+IF(Skills!H11&gt;0,MIN(Skills!I11,MAX(0,MAX(0,Inputs!$B$43-B825)-((R802-1)*(IF(Inputs!$B$38="pvp",15,MAX(0.1,Skills!D11-IF(Skills!E11=TRUE,Inputs!$B$32,0)))*(1-IF(AND(ArtifactsInput!$M$27,Inputs!$B$4="Chapter Hunt"),CHOOSE(ArtifactsInput!$N$27+1,20,24,28,32,36,40),0)/100)))))/Skills!H11,1)))/Inputs!$B$43),G802*Q802))*IF(Inputs!$B$38="pvp",1,(1+(Inputs!$B$21+Skills!Q11+(IF(ArtifactsInput!$M$33,CHOOSE(ArtifactsInput!$N$33+1,30,36,42,48,54,60),0))+(IF(AND(ArtifactsInput!$M$35,Inputs!$B$4&lt;&gt;"Chapter Hunt"),CHOOSE(ArtifactsInput!$N$35+1,15,18,21,24,27,30)*(1-EXP(-(0.2*B820)*5)),0)+IF(AND(ArtifactsInput!$M$22,Inputs!$B$4&lt;&gt;"Chapter Hunt"),CHOOSE(ArtifactsInput!$N$22+1,10,12,14,16,18,20)*((0*(((0.15*B820*5))^0/1)+1*(((0.15*B820*5))^1/1)+2*(((0.15*B820*5))^2/2)+3*(((0.15*B820*5))^3/6)+4*(((0.15*B820*5))^4/24)+5*(((0.15*B820*5))^5/120))/((((0.15*B820*5))^0/1)+(((0.15*B820*5))^1/1)+(((0.15*B820*5))^2/2)+(((0.15*B820*5))^3/6)+(((0.15*B820*5))^4/24)+(((0.15*B820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3">
      <c r="A803">
        <f>Skills!A12</f>
        <v/>
      </c>
      <c r="B803">
        <f>Skills!B12</f>
        <v/>
      </c>
      <c r="C803">
        <f>Inputs!$B$3&gt;=100</f>
        <v/>
      </c>
      <c r="D803">
        <f>IF(Skills!C12=1,60+Inputs!$B$25+Inputs!$B$29,IF(Skills!C12=2,90+Inputs!$B$26+Inputs!$B$29,IF(Skills!C12=3,120+(Inputs!$B$27+1)+Inputs!$B$29,MAX(0,(Inputs!$B$3-100)*3)+Inputs!$B$28+Inputs!$B$29)))</f>
        <v/>
      </c>
      <c r="E803">
        <f>INDEX(FactorTable!$B$2:$Y$301, MATCH(ROUND(MIN(300,MAX(1,D803)),0), FactorTable!$A$2:$A$301,0), Skills!M12+1)</f>
        <v/>
      </c>
      <c r="F803">
        <f>IF(Skills!N12=TRUE,(Skills!L12/10)*(E803/1000),Skills!L12/10)+Skills!O12</f>
        <v/>
      </c>
      <c r="G803" t="inlineStr"/>
      <c r="H803" t="inlineStr"/>
      <c r="I803" t="inlineStr">
        <is>
          <t>1</t>
        </is>
      </c>
      <c r="J803" t="inlineStr"/>
      <c r="K803" t="inlineStr"/>
      <c r="L803" t="inlineStr"/>
      <c r="M803" t="inlineStr"/>
      <c r="N803" t="inlineStr"/>
      <c r="O803" t="inlineStr"/>
      <c r="P803" t="inlineStr"/>
      <c r="Q803" t="inlineStr"/>
      <c r="R803" t="inlineStr"/>
      <c r="S803" t="inlineStr"/>
    </row>
    <row r="804">
      <c r="A804">
        <f>Skills!A13</f>
        <v/>
      </c>
      <c r="B804">
        <f>Skills!B13</f>
        <v/>
      </c>
      <c r="C804">
        <f>Inputs!$B$3&gt;=45</f>
        <v/>
      </c>
      <c r="D804">
        <f>IF(Skills!C13=1,60+Inputs!$B$25+Inputs!$B$29,IF(Skills!C13=2,90+Inputs!$B$26+Inputs!$B$29,IF(Skills!C13=3,120+(Inputs!$B$27+1)+Inputs!$B$29,MAX(0,(Inputs!$B$3-100)*3)+Inputs!$B$28+Inputs!$B$29)))</f>
        <v/>
      </c>
      <c r="E804">
        <f>INDEX(FactorTable!$B$2:$Y$301, MATCH(ROUND(MIN(300,MAX(1,D804)),0), FactorTable!$A$2:$A$301,0), Skills!M13+1)</f>
        <v/>
      </c>
      <c r="F804">
        <f>IF(Skills!N13=TRUE,(Skills!L13/10)*(E804/1000),Skills!L13/10)+Skills!O13</f>
        <v/>
      </c>
      <c r="G804">
        <f>Skills!G13*IF(Skills!H13&gt;0,Skills!I13/Skills!H13,1)</f>
        <v/>
      </c>
      <c r="H804">
        <f>1-(1-Skills!J13/100)^Skills!K13</f>
        <v/>
      </c>
      <c r="I804" t="inlineStr">
        <is>
          <t>1</t>
        </is>
      </c>
      <c r="J804" t="inlineStr"/>
      <c r="K804" t="inlineStr"/>
      <c r="L804" t="inlineStr"/>
      <c r="M804" t="inlineStr"/>
      <c r="N804" t="inlineStr"/>
      <c r="O804">
        <f>(1-Summary!$B$11)*T804+Summary!$B$11*V804</f>
        <v/>
      </c>
      <c r="P804">
        <f>IF(B828=0,0,O804/B828)</f>
        <v/>
      </c>
      <c r="Q804" t="n">
        <v>0</v>
      </c>
      <c r="R804" t="n">
        <v>0</v>
      </c>
      <c r="S804">
        <f>IFERROR(O804/N804,0)</f>
        <v/>
      </c>
      <c r="T804" t="n">
        <v>0</v>
      </c>
      <c r="V804" t="n">
        <v>0</v>
      </c>
    </row>
    <row r="805">
      <c r="A805">
        <f>Skills!A14</f>
        <v/>
      </c>
      <c r="B805">
        <f>Skills!B14</f>
        <v/>
      </c>
      <c r="C805">
        <f>Inputs!$B$3&gt;=110</f>
        <v/>
      </c>
      <c r="D805">
        <f>IF(Skills!C14=1,60+Inputs!$B$25+Inputs!$B$29,IF(Skills!C14=2,90+Inputs!$B$26+Inputs!$B$29,IF(Skills!C14=3,120+(Inputs!$B$27+1)+Inputs!$B$29,MAX(0,(Inputs!$B$3-100)*3)+Inputs!$B$28+Inputs!$B$29)))</f>
        <v/>
      </c>
      <c r="E805">
        <f>INDEX(FactorTable!$B$2:$Y$301, MATCH(ROUND(MIN(300,MAX(1,D805)),0), FactorTable!$A$2:$A$301,0), Skills!M14+1)</f>
        <v/>
      </c>
      <c r="F805">
        <f>IF(Skills!N14=TRUE,(Skills!L14/10)*(E805/1000),Skills!L14/10)+Skills!O14</f>
        <v/>
      </c>
      <c r="G805">
        <f>Skills!G14*IF(Skills!H14&gt;0,Skills!I14/Skills!H14,1)</f>
        <v/>
      </c>
      <c r="H805">
        <f>1-(1-Skills!J14/100)^Skills!K14</f>
        <v/>
      </c>
      <c r="I805" t="inlineStr">
        <is>
          <t>1</t>
        </is>
      </c>
      <c r="J805" t="inlineStr"/>
      <c r="K805" t="inlineStr"/>
      <c r="L805" t="inlineStr"/>
      <c r="M805" t="inlineStr"/>
      <c r="N805" t="inlineStr"/>
      <c r="O805">
        <f>(1-Summary!$B$11)*T805+Summary!$B$11*V805</f>
        <v/>
      </c>
      <c r="P805">
        <f>IF(B828=0,0,O805/B828)</f>
        <v/>
      </c>
      <c r="Q805" t="n">
        <v>0</v>
      </c>
      <c r="R805" t="n">
        <v>0</v>
      </c>
      <c r="S805">
        <f>IFERROR(O805/N805,0)</f>
        <v/>
      </c>
      <c r="T805" t="n">
        <v>0</v>
      </c>
      <c r="V805" t="n">
        <v>0</v>
      </c>
    </row>
    <row r="806">
      <c r="A806">
        <f>Skills!A15</f>
        <v/>
      </c>
      <c r="B806">
        <f>Skills!B15</f>
        <v/>
      </c>
      <c r="C806">
        <f>Inputs!$B$3&gt;=75</f>
        <v/>
      </c>
      <c r="D806">
        <f>IF(Skills!C15=1,60+Inputs!$B$25+Inputs!$B$29,IF(Skills!C15=2,90+Inputs!$B$26+Inputs!$B$29,IF(Skills!C15=3,120+(Inputs!$B$27+1)+Inputs!$B$29,MAX(0,(Inputs!$B$3-100)*3)+Inputs!$B$28+Inputs!$B$29)))</f>
        <v/>
      </c>
      <c r="E806">
        <f>INDEX(FactorTable!$B$2:$Y$301, MATCH(ROUND(MIN(300,MAX(1,D806)),0), FactorTable!$A$2:$A$301,0), Skills!M15+1)</f>
        <v/>
      </c>
      <c r="F806">
        <f>IF(Skills!N15=TRUE,(Skills!L15/10)*(E806/1000),Skills!L15/10)+Skills!O15</f>
        <v/>
      </c>
      <c r="G806">
        <f>Skills!G15*IF(Skills!H15&gt;0,Skills!I15/Skills!H15,1)</f>
        <v/>
      </c>
      <c r="H806">
        <f>1-(1-Skills!J15/100)^Skills!K15</f>
        <v/>
      </c>
      <c r="I806" t="inlineStr">
        <is>
          <t>1</t>
        </is>
      </c>
      <c r="J806" t="inlineStr"/>
      <c r="K806" t="inlineStr"/>
      <c r="L806" t="inlineStr"/>
      <c r="M806" t="inlineStr"/>
      <c r="N806" t="inlineStr"/>
      <c r="O806">
        <f>(1-Summary!$B$11)*T806+Summary!$B$11*V806</f>
        <v/>
      </c>
      <c r="P806">
        <f>IF(B828=0,0,O806/B828)</f>
        <v/>
      </c>
      <c r="Q806">
        <f>IFERROR(1/(IF(Inputs!$B$38="pvp",15,MAX(0.1,Skills!D15-IF(Skills!E15=TRUE,Inputs!$B$32,0)))*(1-IF(AND(ArtifactsInput!$M$27,Inputs!$B$4="Chapter Hunt"),CHOOSE(ArtifactsInput!$N$27+1,20,24,28,32,36,40),0)/100)),0)</f>
        <v/>
      </c>
      <c r="R806">
        <f>IF(AND(Inputs!$B$38&lt;&gt;"pvp",Inputs!$B$43&gt;0),IF(Inputs!$B$43&lt;=0,0,(INT(Inputs!$B$43/(IF(Inputs!$B$38="pvp",15,MAX(0.1,Skills!D15-IF(Skills!E15=TRUE,Inputs!$B$32,0)))*(1-IF(AND(ArtifactsInput!$M$27,Inputs!$B$4="Chapter Hunt"),CHOOSE(ArtifactsInput!$N$27+1,20,24,28,32,36,40),0)/100)))+1)),0)</f>
        <v/>
      </c>
      <c r="S806">
        <f>IFERROR(O806/N806,0)</f>
        <v/>
      </c>
      <c r="T806" t="n">
        <v>0</v>
      </c>
      <c r="V806" t="n">
        <v>0</v>
      </c>
    </row>
    <row r="807">
      <c r="A807">
        <f>Skills!A16</f>
        <v/>
      </c>
      <c r="B807">
        <f>Skills!B16</f>
        <v/>
      </c>
      <c r="C807">
        <f>Inputs!$B$3&gt;=105</f>
        <v/>
      </c>
      <c r="D807">
        <f>IF(Skills!C16=1,60+Inputs!$B$25+Inputs!$B$29,IF(Skills!C16=2,90+Inputs!$B$26+Inputs!$B$29,IF(Skills!C16=3,120+(Inputs!$B$27+1)+Inputs!$B$29,MAX(0,(Inputs!$B$3-100)*3)+Inputs!$B$28+Inputs!$B$29)))</f>
        <v/>
      </c>
      <c r="E807">
        <f>INDEX(FactorTable!$B$2:$Y$301, MATCH(ROUND(MIN(300,MAX(1,D807)),0), FactorTable!$A$2:$A$301,0), Skills!M16+1)</f>
        <v/>
      </c>
      <c r="F807">
        <f>IF(Skills!N16=TRUE,(Skills!L16/10)*(E807/1000),Skills!L16/10)+Skills!O16</f>
        <v/>
      </c>
      <c r="G807">
        <f>Skills!G16*IF(Skills!H16&gt;0,Skills!I16/Skills!H16,1)</f>
        <v/>
      </c>
      <c r="H807">
        <f>1-(1-Skills!J16/100)^Skills!K16</f>
        <v/>
      </c>
      <c r="I807" t="inlineStr">
        <is>
          <t>1</t>
        </is>
      </c>
      <c r="J807" t="inlineStr"/>
      <c r="K807" t="inlineStr"/>
      <c r="L807" t="inlineStr"/>
      <c r="M807" t="inlineStr"/>
      <c r="N807" t="inlineStr"/>
      <c r="O807">
        <f>(1-Summary!$B$11)*T807+Summary!$B$11*V807</f>
        <v/>
      </c>
      <c r="P807">
        <f>IF(B828=0,0,O807/B828)</f>
        <v/>
      </c>
      <c r="Q807">
        <f>IFERROR(1/(IF(Inputs!$B$38="pvp",15,MAX(0.1,Skills!D16-IF(Skills!E16=TRUE,Inputs!$B$32,0)))*(1-IF(AND(ArtifactsInput!$M$27,Inputs!$B$4="Chapter Hunt"),CHOOSE(ArtifactsInput!$N$27+1,20,24,28,32,36,40),0)/100)),0)</f>
        <v/>
      </c>
      <c r="R807">
        <f>IF(AND(Inputs!$B$38&lt;&gt;"pvp",Inputs!$B$43&gt;0),IF(Inputs!$B$43&lt;=0,0,(INT(Inputs!$B$43/(IF(Inputs!$B$38="pvp",15,MAX(0.1,Skills!D16-IF(Skills!E16=TRUE,Inputs!$B$32,0)))*(1-IF(AND(ArtifactsInput!$M$27,Inputs!$B$4="Chapter Hunt"),CHOOSE(ArtifactsInput!$N$27+1,20,24,28,32,36,40),0)/100)))+1)),0)</f>
        <v/>
      </c>
      <c r="S807">
        <f>IFERROR(O807/N807,0)</f>
        <v/>
      </c>
      <c r="T807" t="n">
        <v>0</v>
      </c>
      <c r="V807" t="n">
        <v>0</v>
      </c>
    </row>
    <row r="808">
      <c r="A808">
        <f>Skills!A17</f>
        <v/>
      </c>
      <c r="B808">
        <f>Skills!B17</f>
        <v/>
      </c>
      <c r="C808">
        <f>Inputs!$B$3&gt;=115</f>
        <v/>
      </c>
      <c r="D808">
        <f>IF(Skills!C17=1,60+Inputs!$B$25+Inputs!$B$29,IF(Skills!C17=2,90+Inputs!$B$26+Inputs!$B$29,IF(Skills!C17=3,120+(Inputs!$B$27+1)+Inputs!$B$29,MAX(0,(Inputs!$B$3-100)*3)+Inputs!$B$28+Inputs!$B$29)))</f>
        <v/>
      </c>
      <c r="E808">
        <f>INDEX(FactorTable!$B$2:$Y$301, MATCH(ROUND(MIN(300,MAX(1,D808)),0), FactorTable!$A$2:$A$301,0), Skills!M17+1)</f>
        <v/>
      </c>
      <c r="F808">
        <f>IF(Skills!N17=TRUE,(Skills!L17/10)*(E808/1000),Skills!L17/10)+Skills!O17</f>
        <v/>
      </c>
      <c r="G808">
        <f>Skills!G17*IF(Skills!H17&gt;0,Skills!I17/Skills!H17,1)</f>
        <v/>
      </c>
      <c r="H808">
        <f>1-(1-Skills!J17/100)^Skills!K17</f>
        <v/>
      </c>
      <c r="I808" t="inlineStr">
        <is>
          <t>1</t>
        </is>
      </c>
      <c r="J808" t="inlineStr"/>
      <c r="K808" t="inlineStr"/>
      <c r="L808" t="inlineStr"/>
      <c r="M808" t="inlineStr"/>
      <c r="N808" t="inlineStr"/>
      <c r="O808">
        <f>(1-Summary!$B$11)*T808+Summary!$B$11*V808</f>
        <v/>
      </c>
      <c r="P808">
        <f>IF(B828=0,0,O808/B828)</f>
        <v/>
      </c>
      <c r="Q808">
        <f>IFERROR(1/(IF(Inputs!$B$38="pvp",15,MAX(0.1,Skills!D17-IF(Skills!E17=TRUE,Inputs!$B$32,0)))*(1-IF(AND(ArtifactsInput!$M$27,Inputs!$B$4="Chapter Hunt"),CHOOSE(ArtifactsInput!$N$27+1,20,24,28,32,36,40),0)/100)),0)</f>
        <v/>
      </c>
      <c r="R808">
        <f>IF(AND(Inputs!$B$38&lt;&gt;"pvp",Inputs!$B$43&gt;0),IF(Inputs!$B$43&lt;=0,0,(INT(Inputs!$B$43/(IF(Inputs!$B$38="pvp",15,MAX(0.1,Skills!D17-IF(Skills!E17=TRUE,Inputs!$B$32,0)))*(1-IF(AND(ArtifactsInput!$M$27,Inputs!$B$4="Chapter Hunt"),CHOOSE(ArtifactsInput!$N$27+1,20,24,28,32,36,40),0)/100)))+1)),0)</f>
        <v/>
      </c>
      <c r="S808">
        <f>IFERROR(O808/N808,0)</f>
        <v/>
      </c>
      <c r="T808" t="n">
        <v>0</v>
      </c>
      <c r="V808" t="n">
        <v>0</v>
      </c>
    </row>
    <row r="809">
      <c r="A809">
        <f>Skills!A18</f>
        <v/>
      </c>
      <c r="B809">
        <f>Skills!B18</f>
        <v/>
      </c>
      <c r="C809">
        <f>Inputs!$B$3&gt;=74</f>
        <v/>
      </c>
      <c r="D809">
        <f>IF(Skills!C18=1,60+Inputs!$B$25+Inputs!$B$29,IF(Skills!C18=2,90+Inputs!$B$26+Inputs!$B$29,IF(Skills!C18=3,120+(Inputs!$B$27+1)+Inputs!$B$29,MAX(0,(Inputs!$B$3-100)*3)+Inputs!$B$28+Inputs!$B$29)))</f>
        <v/>
      </c>
      <c r="E809">
        <f>INDEX(FactorTable!$B$2:$Y$301, MATCH(ROUND(MIN(300,MAX(1,D809)),0), FactorTable!$A$2:$A$301,0), Skills!M18+1)</f>
        <v/>
      </c>
      <c r="F809">
        <f>IF(Skills!N18=TRUE,(Skills!L18/10)*(E809/1000),Skills!L18/10)+Skills!O18</f>
        <v/>
      </c>
      <c r="G809">
        <f>Skills!G18*IF(Skills!H18&gt;0,Skills!I18/Skills!H18,1)</f>
        <v/>
      </c>
      <c r="H809">
        <f>1-(1-Skills!J18/100)^Skills!K18</f>
        <v/>
      </c>
      <c r="I809" t="inlineStr">
        <is>
          <t>1</t>
        </is>
      </c>
      <c r="J809" t="inlineStr"/>
      <c r="K809" t="inlineStr"/>
      <c r="L809" t="inlineStr"/>
      <c r="M809" t="inlineStr"/>
      <c r="N809" t="inlineStr"/>
      <c r="O809">
        <f>(1-Summary!$B$11)*T809+Summary!$B$11*V809</f>
        <v/>
      </c>
      <c r="P809">
        <f>IF(B828=0,0,O809/B828)</f>
        <v/>
      </c>
      <c r="Q809">
        <f>IFERROR(1/(IF(Inputs!$B$38="pvp",15,MAX(0.1,Skills!D18-IF(Skills!E18=TRUE,Inputs!$B$32,0)))*(1-IF(AND(ArtifactsInput!$M$27,Inputs!$B$4="Chapter Hunt"),CHOOSE(ArtifactsInput!$N$27+1,20,24,28,32,36,40),0)/100)),0)</f>
        <v/>
      </c>
      <c r="R809">
        <f>IF(AND(Inputs!$B$38&lt;&gt;"pvp",Inputs!$B$43&gt;0),IF(Inputs!$B$43&lt;=0,0,(INT(Inputs!$B$43/(IF(Inputs!$B$38="pvp",15,MAX(0.1,Skills!D18-IF(Skills!E18=TRUE,Inputs!$B$32,0)))*(1-IF(AND(ArtifactsInput!$M$27,Inputs!$B$4="Chapter Hunt"),CHOOSE(ArtifactsInput!$N$27+1,20,24,28,32,36,40),0)/100)))+1)),0)</f>
        <v/>
      </c>
      <c r="S809">
        <f>IFERROR(O809/N809,0)</f>
        <v/>
      </c>
      <c r="T809" t="n">
        <v>0</v>
      </c>
      <c r="V809" t="n">
        <v>0</v>
      </c>
    </row>
    <row r="810">
      <c r="A810">
        <f>Skills!A19</f>
        <v/>
      </c>
      <c r="B810">
        <f>Skills!B19</f>
        <v/>
      </c>
      <c r="C810">
        <f>TRUE</f>
        <v/>
      </c>
      <c r="D810">
        <f>IF(Skills!C19=1,60+Inputs!$B$25+Inputs!$B$29,IF(Skills!C19=2,90+Inputs!$B$26+Inputs!$B$29,IF(Skills!C19=3,120+(Inputs!$B$27+1)+Inputs!$B$29,MAX(0,(Inputs!$B$3-100)*3)+Inputs!$B$28+Inputs!$B$29)))</f>
        <v/>
      </c>
      <c r="E810">
        <f>INDEX(FactorTable!$B$2:$Y$301, MATCH(ROUND(MIN(300,MAX(1,D810)),0), FactorTable!$A$2:$A$301,0), Skills!M19+1)</f>
        <v/>
      </c>
      <c r="F810">
        <f>IF(Skills!N19=TRUE,(Skills!L19/10)*(E810/1000),Skills!L19/10)+Skills!O19</f>
        <v/>
      </c>
      <c r="G810">
        <f>Skills!G19*IF(Skills!H19&gt;0,Skills!I19/Skills!H19,1)</f>
        <v/>
      </c>
      <c r="H810">
        <f>1-(1-Skills!J19/100)^Skills!K19</f>
        <v/>
      </c>
      <c r="I810" t="inlineStr">
        <is>
          <t>1</t>
        </is>
      </c>
      <c r="J810" t="inlineStr"/>
      <c r="K810" t="inlineStr"/>
      <c r="L810" t="inlineStr"/>
      <c r="M810" t="inlineStr"/>
      <c r="N810" t="inlineStr"/>
      <c r="O810">
        <f>(1-Summary!$B$11)*T810+Summary!$B$11*V810</f>
        <v/>
      </c>
      <c r="P810">
        <f>IF(B828=0,0,O810/B828)</f>
        <v/>
      </c>
      <c r="Q810">
        <f>IFERROR(1/(IF(Inputs!$B$38="pvp",15,MAX(0.1,Skills!D19-IF(Skills!E19=TRUE,Inputs!$B$32,0)))*(1-IF(AND(ArtifactsInput!$M$27,Inputs!$B$4="Chapter Hunt"),CHOOSE(ArtifactsInput!$N$27+1,20,24,28,32,36,40),0)/100)),0)</f>
        <v/>
      </c>
      <c r="R810">
        <f>IF(AND(Inputs!$B$38&lt;&gt;"pvp",Inputs!$B$43&gt;0),IF(Inputs!$B$43&lt;=0,0,(INT(Inputs!$B$43/(IF(Inputs!$B$38="pvp",15,MAX(0.1,Skills!D19-IF(Skills!E19=TRUE,Inputs!$B$32,0)))*(1-IF(AND(ArtifactsInput!$M$27,Inputs!$B$4="Chapter Hunt"),CHOOSE(ArtifactsInput!$N$27+1,20,24,28,32,36,40),0)/100)))+1)),0)</f>
        <v/>
      </c>
      <c r="S810">
        <f>IFERROR(O810/N810,0)</f>
        <v/>
      </c>
      <c r="T810" t="n">
        <v>0</v>
      </c>
      <c r="V810" t="n">
        <v>0</v>
      </c>
    </row>
    <row r="811">
      <c r="A811">
        <f>Skills!A20</f>
        <v/>
      </c>
      <c r="B811">
        <f>Skills!B20</f>
        <v/>
      </c>
      <c r="C811">
        <f>Inputs!$B$3&gt;=33</f>
        <v/>
      </c>
      <c r="D811">
        <f>IF(Skills!C20=1,60+Inputs!$B$25+Inputs!$B$29,IF(Skills!C20=2,90+Inputs!$B$26+Inputs!$B$29,IF(Skills!C20=3,120+(Inputs!$B$27+1)+Inputs!$B$29,MAX(0,(Inputs!$B$3-100)*3)+Inputs!$B$28+Inputs!$B$29)))</f>
        <v/>
      </c>
      <c r="E811">
        <f>INDEX(FactorTable!$B$2:$Y$301, MATCH(ROUND(MIN(300,MAX(1,D811)),0), FactorTable!$A$2:$A$301,0), Skills!M20+1)</f>
        <v/>
      </c>
      <c r="F811">
        <f>IF(Skills!N20=TRUE,(Skills!L20/10)*(E811/1000),Skills!L20/10)+Skills!O20</f>
        <v/>
      </c>
      <c r="G811">
        <f>Skills!G20*IF(Skills!H20&gt;0,Skills!I20/Skills!H20,1)</f>
        <v/>
      </c>
      <c r="H811">
        <f>1-(1-Skills!J20/100)^Skills!K20</f>
        <v/>
      </c>
      <c r="I811" t="inlineStr">
        <is>
          <t>1</t>
        </is>
      </c>
      <c r="J811" t="inlineStr"/>
      <c r="K811" t="inlineStr"/>
      <c r="L811" t="inlineStr"/>
      <c r="M811" t="inlineStr"/>
      <c r="N811" t="inlineStr"/>
      <c r="O811">
        <f>(1-Summary!$B$11)*T811+Summary!$B$11*V811</f>
        <v/>
      </c>
      <c r="P811">
        <f>IF(B828=0,0,O811/B828)</f>
        <v/>
      </c>
      <c r="Q811" t="n">
        <v>0</v>
      </c>
      <c r="R811" t="n">
        <v>0</v>
      </c>
      <c r="S811">
        <f>IFERROR(O811/N811,0)</f>
        <v/>
      </c>
      <c r="T811" t="n">
        <v>0</v>
      </c>
      <c r="V811" t="n">
        <v>0</v>
      </c>
    </row>
    <row r="812">
      <c r="A812">
        <f>Skills!A21</f>
        <v/>
      </c>
      <c r="B812">
        <f>Skills!B21</f>
        <v/>
      </c>
      <c r="C812">
        <f>Inputs!$B$3&gt;=38</f>
        <v/>
      </c>
      <c r="D812">
        <f>IF(Skills!C21=1,60+Inputs!$B$25+Inputs!$B$29,IF(Skills!C21=2,90+Inputs!$B$26+Inputs!$B$29,IF(Skills!C21=3,120+(Inputs!$B$27+1)+Inputs!$B$29,MAX(0,(Inputs!$B$3-100)*3)+Inputs!$B$28+Inputs!$B$29)))</f>
        <v/>
      </c>
      <c r="E812">
        <f>INDEX(FactorTable!$B$2:$Y$301, MATCH(ROUND(MIN(300,MAX(1,D812)),0), FactorTable!$A$2:$A$301,0), Skills!M21+1)</f>
        <v/>
      </c>
      <c r="F812">
        <f>IF(Skills!N21=TRUE,(Skills!L21/10)*(E812/1000),Skills!L21/10)+Skills!O21</f>
        <v/>
      </c>
      <c r="G812">
        <f>Skills!G21*IF(Skills!H21&gt;0,Skills!I21/Skills!H21,1)</f>
        <v/>
      </c>
      <c r="H812">
        <f>1-(1-Skills!J21/100)^Skills!K21</f>
        <v/>
      </c>
      <c r="I812" t="inlineStr">
        <is>
          <t>1</t>
        </is>
      </c>
      <c r="J812" t="inlineStr"/>
      <c r="K812" t="inlineStr"/>
      <c r="L812" t="inlineStr"/>
      <c r="M812" t="inlineStr"/>
      <c r="N812" t="inlineStr"/>
      <c r="O812">
        <f>(1-Summary!$B$11)*T812+Summary!$B$11*V812</f>
        <v/>
      </c>
      <c r="P812">
        <f>IF(B828=0,0,O812/B828)</f>
        <v/>
      </c>
      <c r="Q812" t="n">
        <v>0</v>
      </c>
      <c r="R812" t="n">
        <v>0</v>
      </c>
      <c r="S812">
        <f>IFERROR(O812/N812,0)</f>
        <v/>
      </c>
      <c r="T812" t="n">
        <v>0</v>
      </c>
      <c r="V812" t="n">
        <v>0</v>
      </c>
    </row>
    <row r="813">
      <c r="A813">
        <f>Skills!A22</f>
        <v/>
      </c>
      <c r="B813">
        <f>Skills!B22</f>
        <v/>
      </c>
      <c r="C813">
        <f>Inputs!$B$3&gt;=43</f>
        <v/>
      </c>
      <c r="D813">
        <f>IF(Skills!C22=1,60+Inputs!$B$25+Inputs!$B$29,IF(Skills!C22=2,90+Inputs!$B$26+Inputs!$B$29,IF(Skills!C22=3,120+(Inputs!$B$27+1)+Inputs!$B$29,MAX(0,(Inputs!$B$3-100)*3)+Inputs!$B$28+Inputs!$B$29)))</f>
        <v/>
      </c>
      <c r="E813">
        <f>INDEX(FactorTable!$B$2:$Y$301, MATCH(ROUND(MIN(300,MAX(1,D813)),0), FactorTable!$A$2:$A$301,0), Skills!M22+1)</f>
        <v/>
      </c>
      <c r="F813">
        <f>IF(Skills!N22=TRUE,(Skills!L22/10)*(E813/1000),Skills!L22/10)+Skills!O22</f>
        <v/>
      </c>
      <c r="G813">
        <f>Skills!G22*IF(Skills!H22&gt;0,Skills!I22/Skills!H22,1)</f>
        <v/>
      </c>
      <c r="H813">
        <f>1-(1-Skills!J22/100)^Skills!K22</f>
        <v/>
      </c>
      <c r="I813" t="inlineStr">
        <is>
          <t>1</t>
        </is>
      </c>
      <c r="J813" t="inlineStr"/>
      <c r="K813" t="inlineStr"/>
      <c r="L813" t="inlineStr"/>
      <c r="M813" t="inlineStr"/>
      <c r="N813" t="inlineStr"/>
      <c r="O813">
        <f>(1-Summary!$B$11)*T813+Summary!$B$11*V813</f>
        <v/>
      </c>
      <c r="P813">
        <f>IF(B828=0,0,O813/B828)</f>
        <v/>
      </c>
      <c r="Q813" t="n">
        <v>0</v>
      </c>
      <c r="R813" t="n">
        <v>0</v>
      </c>
      <c r="S813">
        <f>IFERROR(O813/N813,0)</f>
        <v/>
      </c>
      <c r="T813" t="n">
        <v>0</v>
      </c>
      <c r="V813" t="n">
        <v>0</v>
      </c>
    </row>
    <row r="814">
      <c r="A814">
        <f>Skills!A23</f>
        <v/>
      </c>
      <c r="B814">
        <f>Skills!B23</f>
        <v/>
      </c>
      <c r="C814">
        <f>Inputs!$B$3&gt;=120</f>
        <v/>
      </c>
      <c r="D814">
        <f>IF(Skills!C23=1,60+Inputs!$B$25+Inputs!$B$29,IF(Skills!C23=2,90+Inputs!$B$26+Inputs!$B$29,IF(Skills!C23=3,120+(Inputs!$B$27+1)+Inputs!$B$29,MAX(0,(Inputs!$B$3-100)*3)+Inputs!$B$28+Inputs!$B$29)))</f>
        <v/>
      </c>
      <c r="E814">
        <f>INDEX(FactorTable!$B$2:$Y$301, MATCH(ROUND(MIN(300,MAX(1,D814)),0), FactorTable!$A$2:$A$301,0), Skills!M23+1)</f>
        <v/>
      </c>
      <c r="F814">
        <f>IF(Skills!N23=TRUE,(Skills!L23/10)*(E814/1000),Skills!L23/10)+Skills!O23</f>
        <v/>
      </c>
      <c r="G814">
        <f>Skills!G23*IF(Skills!H23&gt;0,Skills!I23/Skills!H23,1)</f>
        <v/>
      </c>
      <c r="H814">
        <f>1-(1-Skills!J23/100)^Skills!K23</f>
        <v/>
      </c>
      <c r="I814" t="inlineStr">
        <is>
          <t>1</t>
        </is>
      </c>
      <c r="J814" t="inlineStr"/>
      <c r="K814" t="inlineStr"/>
      <c r="L814" t="inlineStr"/>
      <c r="M814" t="inlineStr"/>
      <c r="N814" t="inlineStr"/>
      <c r="O814">
        <f>(1-Summary!$B$11)*T814+Summary!$B$11*V814</f>
        <v/>
      </c>
      <c r="P814">
        <f>IF(B828=0,0,O814/B828)</f>
        <v/>
      </c>
      <c r="Q814" t="n">
        <v>0</v>
      </c>
      <c r="R814" t="n">
        <v>0</v>
      </c>
      <c r="S814">
        <f>IFERROR(O814/N814,0)</f>
        <v/>
      </c>
      <c r="T814" t="n">
        <v>0</v>
      </c>
      <c r="V814" t="n">
        <v>0</v>
      </c>
    </row>
    <row r="815">
      <c r="A815">
        <f>Skills!A24</f>
        <v/>
      </c>
      <c r="B815">
        <f>Skills!B24</f>
        <v/>
      </c>
      <c r="C815">
        <f>Inputs!$B$3&gt;=120</f>
        <v/>
      </c>
      <c r="D815">
        <f>IF(Skills!C24=1,60+Inputs!$B$25+Inputs!$B$29,IF(Skills!C24=2,90+Inputs!$B$26+Inputs!$B$29,IF(Skills!C24=3,120+(Inputs!$B$27+1)+Inputs!$B$29,MAX(0,(Inputs!$B$3-100)*3)+Inputs!$B$28+Inputs!$B$29)))</f>
        <v/>
      </c>
      <c r="E815">
        <f>INDEX(FactorTable!$B$2:$Y$301, MATCH(ROUND(MIN(300,MAX(1,D815)),0), FactorTable!$A$2:$A$301,0), Skills!M24+1)</f>
        <v/>
      </c>
      <c r="F815">
        <f>IF(Skills!N24=TRUE,(Skills!L24/10)*(E815/1000),Skills!L24/10)+Skills!O24</f>
        <v/>
      </c>
      <c r="G815">
        <f>Skills!G24*IF(Skills!H24&gt;0,Skills!I24/Skills!H24,1)</f>
        <v/>
      </c>
      <c r="H815">
        <f>1-(1-Skills!J24/100)^Skills!K24</f>
        <v/>
      </c>
      <c r="I815" t="inlineStr">
        <is>
          <t>1</t>
        </is>
      </c>
      <c r="J815" t="inlineStr"/>
      <c r="K815" t="inlineStr"/>
      <c r="L815" t="inlineStr"/>
      <c r="M815" t="inlineStr"/>
      <c r="N815" t="inlineStr"/>
      <c r="O815">
        <f>(1-Summary!$B$11)*T815+Summary!$B$11*V815</f>
        <v/>
      </c>
      <c r="P815">
        <f>IF(B828=0,0,O815/B828)</f>
        <v/>
      </c>
      <c r="Q815" t="n">
        <v>0</v>
      </c>
      <c r="R815" t="n">
        <v>0</v>
      </c>
      <c r="S815">
        <f>IFERROR(O815/N815,0)</f>
        <v/>
      </c>
      <c r="T815" t="n">
        <v>0</v>
      </c>
      <c r="V815" t="n">
        <v>0</v>
      </c>
    </row>
    <row r="817">
      <c r="A817" t="inlineStr">
        <is>
          <t>Attack% Bucket Multiplier</t>
        </is>
      </c>
      <c r="B817">
        <f>(1+(((C804=TRUE)*F804*MIN(1,Skills!T13*(Skills!J13/100)*B822))+((C809=TRUE)*F809*IF(AND(Inputs!$B$38&lt;&gt;"pvp",Inputs!$B$43&gt;0),(((R809-1)*(Skills!T18*(1+Inputs!$B$34/100))+MIN((Skills!T18*(1+Inputs!$B$34/100)),MAX(0,Inputs!$B$43-((R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18">
      <c r="A818" t="inlineStr">
        <is>
          <t>Global Crit Rate Bonus %</t>
        </is>
      </c>
      <c r="B818" t="n">
        <v>0</v>
      </c>
    </row>
    <row r="819">
      <c r="A819" t="inlineStr">
        <is>
          <t>Attack Speed Buff Bonus %</t>
        </is>
      </c>
      <c r="B819">
        <f>((C810=TRUE)*F810*IF(AND(Inputs!$B$38&lt;&gt;"pvp",Inputs!$B$43&gt;0),(((R810-1)*(Skills!T19*(1+Inputs!$B$34/100))+MIN((Skills!T19*(1+Inputs!$B$34/100)),MAX(0,Inputs!$B$43-((R810-1)*Skills!D19))))/Inputs!$B$43),IF(Inputs!$B$38="pvp",MIN((Skills!T19*(1+Inputs!$B$34/100)),15)/15,(Skills!T19*(1+Inputs!$B$34/100))/Skills!D19)))</f>
        <v/>
      </c>
    </row>
    <row r="820">
      <c r="A820" t="inlineStr">
        <is>
          <t>Actions Per Second</t>
        </is>
      </c>
      <c r="B820">
        <f>1+MIN(150,150*(1-(1-(Inputs!$B$11+((C811=TRUE)*(F811-Calc!F20)))/150)*(1-B819/150)))/100</f>
        <v/>
      </c>
    </row>
    <row r="821">
      <c r="A821" t="inlineStr">
        <is>
          <t>Skill + Buff Cast Rate</t>
        </is>
      </c>
      <c r="B821">
        <f>IF(AND(Inputs!$B$38&lt;&gt;"pvp",Inputs!$B$43&gt;0),SUMPRODUCT((Skills!E2:E24=TRUE)*(C793:C815=TRUE)*R793:R815*Skills!F2:F24)/Inputs!$B$43,SUMPRODUCT((Skills!E2:E24=TRUE)*(C793:C815=TRUE)*Q793:Q815*Skills!F2:F24))</f>
        <v/>
      </c>
    </row>
    <row r="822">
      <c r="A822" t="inlineStr">
        <is>
          <t>Blast Casts Per Second</t>
        </is>
      </c>
      <c r="B822">
        <f>MAX(0,B820-B821)</f>
        <v/>
      </c>
    </row>
    <row r="823">
      <c r="A823" t="inlineStr">
        <is>
          <t>Global Critical Damage Bonus % (unused)</t>
        </is>
      </c>
      <c r="B823" t="n">
        <v>0</v>
      </c>
    </row>
    <row r="824">
      <c r="A824" t="inlineStr">
        <is>
          <t>Global Final Damage Bonus % (Divine Shield + Guardian + Divine Blessing + Greater Vessel of Light)</t>
        </is>
      </c>
      <c r="B824">
        <f>((C806=TRUE)*F806*IF(AND(Inputs!$B$38&lt;&gt;"pvp",Inputs!$B$43&gt;0),(((R806-1)*(Skills!T15*(1+Inputs!$B$34/100))+MIN((Skills!T15*(1+Inputs!$B$34/100)),MAX(0,Inputs!$B$43-((R806-1)*Skills!D15))))/Inputs!$B$43),IF(Inputs!$B$38="pvp",MIN((Skills!T15*(1+Inputs!$B$34/100)),15)/15,(Skills!T15*(1+Inputs!$B$34/100))/Skills!D15)))+((C807=TRUE)*F807*IF(AND(Inputs!$B$38&lt;&gt;"pvp",Inputs!$B$43&gt;0),(((R807-1)*(Skills!T16*(1+Inputs!$B$34/100))+MIN((Skills!T16*(1+Inputs!$B$34/100)),MAX(0,Inputs!$B$43-((R807-1)*Skills!D16))))/Inputs!$B$43),IF(Inputs!$B$38="pvp",MIN((Skills!T16*(1+Inputs!$B$34/100)),15)/15,(Skills!T16*(1+Inputs!$B$34/100))/Skills!D16)))+((C808=TRUE)*F808*IF(AND(Inputs!$B$38&lt;&gt;"pvp",Inputs!$B$43&gt;0),(((R808-1)*(Skills!T17*(1+Inputs!$B$34/100))+MIN((Skills!T17*(1+Inputs!$B$34/100)),MAX(0,Inputs!$B$43-((R808-1)*Skills!D17))))/Inputs!$B$43),IF(Inputs!$B$38="pvp",MIN((Skills!T17*(1+Inputs!$B$34/100)),15)/15,(Skills!T17*(1+Inputs!$B$34/100))/Skills!D17)))+((C805=TRUE)*F805*MIN(1,Skills!T13*(Skills!J13/100)*B822))</f>
        <v/>
      </c>
    </row>
    <row r="825">
      <c r="A825" t="inlineStr">
        <is>
          <t>Buff-Casting Startup Delay (s, fixed-duration only)</t>
        </is>
      </c>
      <c r="B825">
        <f>IF(AND(Inputs!$B$38&lt;&gt;"pvp",Inputs!$B$43&gt;0),SUMPRODUCT((Skills!T2:T24&gt;0)*(Skills!E2:E24=TRUE)*(C793:C815=TRUE))/B820,0)</f>
        <v/>
      </c>
    </row>
    <row r="826">
      <c r="A826" t="inlineStr">
        <is>
          <t>Boss-Only Total DPS (this block's swept value)</t>
        </is>
      </c>
      <c r="B826">
        <f>SUM(T793:T815)</f>
        <v/>
      </c>
    </row>
    <row r="827">
      <c r="A827" t="inlineStr">
        <is>
          <t>Normal-Only Total DPS (this block's swept value)</t>
        </is>
      </c>
      <c r="B827">
        <f>SUM(V793:V815)</f>
        <v/>
      </c>
    </row>
    <row r="828">
      <c r="A828" s="6" t="inlineStr">
        <is>
          <t>TOTAL DPS</t>
        </is>
      </c>
      <c r="B828" s="6">
        <f>SUM(O793:O815)</f>
        <v/>
      </c>
    </row>
    <row r="831">
      <c r="A831" s="6" t="inlineStr">
        <is>
          <t>Stat: Skill Level Bonus — 4th Job</t>
        </is>
      </c>
    </row>
    <row r="832">
      <c r="A832" s="5" t="inlineStr">
        <is>
          <t>Key</t>
        </is>
      </c>
      <c r="B832" s="5" t="inlineStr">
        <is>
          <t>Name</t>
        </is>
      </c>
      <c r="C832" s="5" t="inlineStr">
        <is>
          <t>Unlocked</t>
        </is>
      </c>
      <c r="D832" s="5" t="inlineStr">
        <is>
          <t>InputLevel</t>
        </is>
      </c>
      <c r="E832" s="5" t="inlineStr">
        <is>
          <t>Factor</t>
        </is>
      </c>
      <c r="F832" s="5" t="inlineStr">
        <is>
          <t>CoefficientPercent</t>
        </is>
      </c>
      <c r="G832" s="5" t="inlineStr">
        <is>
          <t>EffectiveHits</t>
        </is>
      </c>
      <c r="H832" s="5" t="inlineStr">
        <is>
          <t>ProcProbability</t>
        </is>
      </c>
      <c r="I832" s="5" t="inlineStr">
        <is>
          <t>MapleHeroMultiplier</t>
        </is>
      </c>
      <c r="J832" s="5" t="inlineStr">
        <is>
          <t>BaseDamage</t>
        </is>
      </c>
      <c r="K832" s="5" t="inlineStr">
        <is>
          <t>BaseHitDamage</t>
        </is>
      </c>
      <c r="L832" s="5" t="inlineStr">
        <is>
          <t>NonCritAvg</t>
        </is>
      </c>
      <c r="M832" s="5" t="inlineStr">
        <is>
          <t>CritAvg</t>
        </is>
      </c>
      <c r="N832" s="5" t="inlineStr">
        <is>
          <t>ExpectedDamage(perHit)</t>
        </is>
      </c>
      <c r="O832" s="5" t="inlineStr">
        <is>
          <t>DPS</t>
        </is>
      </c>
      <c r="P832" s="5" t="inlineStr">
        <is>
          <t>% of Total</t>
        </is>
      </c>
      <c r="Q832" s="5" t="inlineStr">
        <is>
          <t>InvCooldown</t>
        </is>
      </c>
      <c r="R832" s="5" t="inlineStr">
        <is>
          <t>CastsInFight</t>
        </is>
      </c>
      <c r="S832" s="5" t="inlineStr">
        <is>
          <t>HitRate(perSec)</t>
        </is>
      </c>
      <c r="U832" t="inlineStr">
        <is>
          <t>helpers</t>
        </is>
      </c>
    </row>
    <row r="833">
      <c r="A833">
        <f>Skills!A2</f>
        <v/>
      </c>
      <c r="B833">
        <f>Skills!B2</f>
        <v/>
      </c>
      <c r="C833">
        <f>Inputs!$B$3&gt;=100</f>
        <v/>
      </c>
      <c r="D833" t="inlineStr"/>
      <c r="E833" t="inlineStr"/>
      <c r="F833">
        <f>U835+Skills!O2</f>
        <v/>
      </c>
      <c r="G833">
        <f>Skills!G2*IF(Skills!H2&gt;0,Skills!I2/Skills!H2,1)</f>
        <v/>
      </c>
      <c r="H833">
        <f>1-(1-Skills!J2/100)^Skills!K2</f>
        <v/>
      </c>
      <c r="I833" t="inlineStr">
        <is>
          <t>1</t>
        </is>
      </c>
      <c r="J833">
        <f>((Inputs!$B$6*(1+Inputs!$B$7/100))+(((Inputs!$B$12*(1+Inputs!$B$13/100))-(Inputs!$B$12*(1+Inputs!$B$13/100)))+0.25*(Inputs!$B$14-Inputs!$B$14))*(1+Inputs!$B$7/100))*(F833/100)</f>
        <v/>
      </c>
      <c r="K833">
        <f>J833*(1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833)</f>
        <v/>
      </c>
      <c r="L833">
        <f>K833*(MIN(Inputs!$B$22+((C853=TRUE)*(F853-Calc!F22)),(Inputs!$B$23+((C855=TRUE)*(F855-Calc!F24))+(IF(ArtifactsInput!$M$15,CHOOSE(ArtifactsInput!$N$15+1,25,30,35,40,45,50)/100*(Inputs!$B$11-Inputs!$B$11),0))))/100+(Inputs!$B$23+((C855=TRUE)*(F855-Calc!F24))+(IF(ArtifactsInput!$M$15,CHOOSE(ArtifactsInput!$N$15+1,25,30,35,40,45,50)/100*(Inputs!$B$11-Inputs!$B$11),0)))/100)/2</f>
        <v/>
      </c>
      <c r="M833">
        <f>L833*(1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3">
        <f>L833*(1-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833*(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3">
        <f>(1-Summary!$B$11)*T833+Summary!$B$11*V833</f>
        <v/>
      </c>
      <c r="P833">
        <f>IF(B868=0,0,O833/B868)</f>
        <v/>
      </c>
      <c r="Q833" t="n">
        <v>0</v>
      </c>
      <c r="R833" t="n">
        <v>0</v>
      </c>
      <c r="S833">
        <f>IFERROR(O833/N833,0)</f>
        <v/>
      </c>
      <c r="T833">
        <f>IF(C833,(Skills!G2*N833*B862)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833*(1-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833*(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833*(1-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833*(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3">
        <f>MAX(0,(Inputs!$B$3-100)*3)+(Inputs!$B$28+1)+Inputs!$B$29</f>
        <v/>
      </c>
      <c r="V833">
        <f>IF(C833,(Skills!G2*N833*B862)*IF(Inputs!$B$38="pvp",1,(1+(Inputs!$B$21+Skills!Q2+(IF(ArtifactsInput!$M$33,CHOOSE(ArtifactsInput!$N$33+1,30,36,42,48,54,60),0))+(IF(AND(ArtifactsInput!$M$35,Inputs!$B$4&lt;&gt;"Chapter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4">
      <c r="A834">
        <f>Skills!A3</f>
        <v/>
      </c>
      <c r="B834">
        <f>Skills!B3</f>
        <v/>
      </c>
      <c r="C834">
        <f>Inputs!$B$3&gt;=50</f>
        <v/>
      </c>
      <c r="D834">
        <f>IF(Skills!C3=1,60+Inputs!$B$25+Inputs!$B$29,IF(Skills!C3=2,90+Inputs!$B$26+Inputs!$B$29,IF(Skills!C3=3,120+Inputs!$B$27+Inputs!$B$29,MAX(0,(Inputs!$B$3-100)*3)+(Inputs!$B$28+1)+Inputs!$B$29)))</f>
        <v/>
      </c>
      <c r="E834">
        <f>INDEX(FactorTable!$B$2:$Y$301, MATCH(ROUND(MIN(300,MAX(1,D834)),0), FactorTable!$A$2:$A$301,0), Skills!M3+1)</f>
        <v/>
      </c>
      <c r="F834">
        <f>IF(Skills!N3=TRUE,(Skills!L3/10)*(E834/1000),Skills!L3/10)+Skills!O3</f>
        <v/>
      </c>
      <c r="G834" t="inlineStr"/>
      <c r="H834" t="inlineStr"/>
      <c r="I834" t="inlineStr">
        <is>
          <t>1</t>
        </is>
      </c>
      <c r="J834" t="inlineStr"/>
      <c r="K834" t="inlineStr"/>
      <c r="L834" t="inlineStr"/>
      <c r="M834" t="inlineStr"/>
      <c r="N834" t="inlineStr"/>
      <c r="O834" t="inlineStr"/>
      <c r="P834" t="inlineStr"/>
      <c r="Q834" t="inlineStr"/>
      <c r="R834" t="inlineStr"/>
      <c r="S834" t="inlineStr"/>
      <c r="U834">
        <f>INDEX(FactorTable!$B$2:$Y$301, MATCH(ROUND(MIN(300,MAX(1,U833)),0), FactorTable!$A$2:$A$301,0), 22)</f>
        <v/>
      </c>
    </row>
    <row r="835">
      <c r="A835">
        <f>Skills!A4</f>
        <v/>
      </c>
      <c r="B835">
        <f>Skills!B4</f>
        <v/>
      </c>
      <c r="C835">
        <f>Inputs!$B$3&gt;=35</f>
        <v/>
      </c>
      <c r="D835">
        <f>IF(Skills!C4=1,60+Inputs!$B$25+Inputs!$B$29,IF(Skills!C4=2,90+Inputs!$B$26+Inputs!$B$29,IF(Skills!C4=3,120+Inputs!$B$27+Inputs!$B$29,MAX(0,(Inputs!$B$3-100)*3)+(Inputs!$B$28+1)+Inputs!$B$29)))</f>
        <v/>
      </c>
      <c r="E835">
        <f>INDEX(FactorTable!$B$2:$Y$301, MATCH(ROUND(MIN(300,MAX(1,D835)),0), FactorTable!$A$2:$A$301,0), Skills!M4+1)</f>
        <v/>
      </c>
      <c r="F835">
        <f>IF(Skills!N4=TRUE,(Skills!L4/10)*(E835/1000),Skills!L4/10)+Skills!O4</f>
        <v/>
      </c>
      <c r="G835">
        <f>Skills!G4*IF(Skills!H4&gt;0,Skills!I4/Skills!H4,1)</f>
        <v/>
      </c>
      <c r="H835">
        <f>1-(1-Skills!J4/100)^Skills!K4</f>
        <v/>
      </c>
      <c r="I835" t="inlineStr">
        <is>
          <t>1</t>
        </is>
      </c>
      <c r="J835">
        <f>((Inputs!$B$6*(1+Inputs!$B$7/100))+(((Inputs!$B$12*(1+Inputs!$B$13/100))-(Inputs!$B$12*(1+Inputs!$B$13/100)))+0.25*(Inputs!$B$14-Inputs!$B$14))*(1+Inputs!$B$7/100))*(F835/100)</f>
        <v/>
      </c>
      <c r="K835">
        <f>J835*(1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843=TRUE,F843,0)/100)*(1+(IF(Skills!A4="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835)</f>
        <v/>
      </c>
      <c r="L835">
        <f>K835*(MIN(Inputs!$B$22+((C853=TRUE)*(F853-Calc!F22)),(Inputs!$B$23+((C855=TRUE)*(F855-Calc!F24))+(IF(ArtifactsInput!$M$15,CHOOSE(ArtifactsInput!$N$15+1,25,30,35,40,45,50)/100*(Inputs!$B$11-Inputs!$B$11),0))))/100+(Inputs!$B$23+((C855=TRUE)*(F855-Calc!F24))+(IF(ArtifactsInput!$M$15,CHOOSE(ArtifactsInput!$N$15+1,25,30,35,40,45,50)/100*(Inputs!$B$11-Inputs!$B$11),0)))/100)/2</f>
        <v/>
      </c>
      <c r="M835">
        <f>L835*(1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5">
        <f>L835*(1-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835*(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5">
        <f>(1-Summary!$B$11)*T835+Summary!$B$11*V835</f>
        <v/>
      </c>
      <c r="P835">
        <f>IF(B868=0,0,O835/B868)</f>
        <v/>
      </c>
      <c r="Q835">
        <f>IFERROR(1/(IF(Inputs!$B$38="pvp",15,MAX(0.1,Skills!D4-IF(Skills!E4=TRUE,Inputs!$B$32,0)))*(1-IF(AND(ArtifactsInput!$M$27,Inputs!$B$4="Chapter Hunt"),CHOOSE(ArtifactsInput!$N$27+1,20,24,28,32,36,40),0)/100)),0)</f>
        <v/>
      </c>
      <c r="R835">
        <f>IF(AND(Inputs!$B$38&lt;&gt;"pvp",Inputs!$B$43&gt;0),IF(MAX(0,Inputs!$B$43-B865)&lt;=0,0,(INT(MAX(0,Inputs!$B$43-B865)/(IF(Inputs!$B$38="pvp",15,MAX(0.1,Skills!D4-IF(Skills!E4=TRUE,Inputs!$B$32,0)))*(1-IF(AND(ArtifactsInput!$M$27,Inputs!$B$4="Chapter Hunt"),CHOOSE(ArtifactsInput!$N$27+1,20,24,28,32,36,40),0)/100)))+1)),0)</f>
        <v/>
      </c>
      <c r="S835">
        <f>IFERROR(O835/N835,0)</f>
        <v/>
      </c>
      <c r="T835">
        <f>IF(C835,(H835*N835*IF(AND(Inputs!$B$38&lt;&gt;"pvp",Inputs!$B$43&gt;0),((Skills!G4*((R835-1)*IF(Skills!H4&gt;0,Skills!I4/Skills!H4,1)+IF(Skills!H4&gt;0,MIN(Skills!I4,MAX(0,MAX(0,Inputs!$B$43-B865)-((R835-1)*(IF(Inputs!$B$38="pvp",15,MAX(0.1,Skills!D4-IF(Skills!E4=TRUE,Inputs!$B$32,0)))*(1-IF(AND(ArtifactsInput!$M$27,Inputs!$B$4="Chapter Hunt"),CHOOSE(ArtifactsInput!$N$27+1,20,24,28,32,36,40),0)/100)))))/Skills!H4,1)))/Inputs!$B$43),G835*Q835)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835*(1-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835*(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835*(1-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835*(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5">
        <f>290*U834/1000</f>
        <v/>
      </c>
      <c r="V835">
        <f>IF(C835,(H835*N835*IF(AND(Inputs!$B$38&lt;&gt;"pvp",Inputs!$B$43&gt;0),((Skills!G4*((R835-1)*IF(Skills!H4&gt;0,Skills!I4/Skills!H4,1)+IF(Skills!H4&gt;0,MIN(Skills!I4,MAX(0,MAX(0,Inputs!$B$43-B865)-((R835-1)*(IF(Inputs!$B$38="pvp",15,MAX(0.1,Skills!D4-IF(Skills!E4=TRUE,Inputs!$B$32,0)))*(1-IF(AND(ArtifactsInput!$M$27,Inputs!$B$4="Chapter Hunt"),CHOOSE(ArtifactsInput!$N$27+1,20,24,28,32,36,40),0)/100)))))/Skills!H4,1)))/Inputs!$B$43),G835*Q835))*IF(Inputs!$B$38="pvp",1,(1+(Inputs!$B$21+Skills!Q4+(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6">
      <c r="A836">
        <f>Skills!A5</f>
        <v/>
      </c>
      <c r="B836">
        <f>Skills!B5</f>
        <v/>
      </c>
      <c r="C836">
        <f>Inputs!$B$3&gt;=66</f>
        <v/>
      </c>
      <c r="D836">
        <f>IF(Skills!C5=1,60+Inputs!$B$25+Inputs!$B$29,IF(Skills!C5=2,90+Inputs!$B$26+Inputs!$B$29,IF(Skills!C5=3,120+Inputs!$B$27+Inputs!$B$29,MAX(0,(Inputs!$B$3-100)*3)+(Inputs!$B$28+1)+Inputs!$B$29)))</f>
        <v/>
      </c>
      <c r="E836">
        <f>INDEX(FactorTable!$B$2:$Y$301, MATCH(ROUND(MIN(300,MAX(1,D836)),0), FactorTable!$A$2:$A$301,0), Skills!M5+1)</f>
        <v/>
      </c>
      <c r="F836">
        <f>IF(Skills!N5=TRUE,(Skills!L5/10)*(E836/1000),Skills!L5/10)+Skills!O5</f>
        <v/>
      </c>
      <c r="G836">
        <f>Skills!G5*IF(Skills!H5&gt;0,Skills!I5/Skills!H5,1)</f>
        <v/>
      </c>
      <c r="H836">
        <f>1-(1-Skills!J5/100)^Skills!K5</f>
        <v/>
      </c>
      <c r="I836" t="inlineStr">
        <is>
          <t>1</t>
        </is>
      </c>
      <c r="J836">
        <f>((Inputs!$B$6*(1+Inputs!$B$7/100))+(((Inputs!$B$12*(1+Inputs!$B$13/100))-(Inputs!$B$12*(1+Inputs!$B$13/100)))+0.25*(Inputs!$B$14-Inputs!$B$14))*(1+Inputs!$B$7/100))*(F836/100)</f>
        <v/>
      </c>
      <c r="K836">
        <f>J836*(1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843=TRUE,F843,0)/100)*(1+(IF(Skills!A5="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836)</f>
        <v/>
      </c>
      <c r="L836">
        <f>K836*(MIN(Inputs!$B$22+((C853=TRUE)*(F853-Calc!F22)),(Inputs!$B$23+((C855=TRUE)*(F855-Calc!F24))+(IF(ArtifactsInput!$M$15,CHOOSE(ArtifactsInput!$N$15+1,25,30,35,40,45,50)/100*(Inputs!$B$11-Inputs!$B$11),0))))/100+(Inputs!$B$23+((C855=TRUE)*(F855-Calc!F24))+(IF(ArtifactsInput!$M$15,CHOOSE(ArtifactsInput!$N$15+1,25,30,35,40,45,50)/100*(Inputs!$B$11-Inputs!$B$11),0)))/100)/2</f>
        <v/>
      </c>
      <c r="M836">
        <f>L836*(1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6">
        <f>L836*(1-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836*(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6">
        <f>(1-Summary!$B$11)*T836+Summary!$B$11*V836</f>
        <v/>
      </c>
      <c r="P836">
        <f>IF(B868=0,0,O836/B868)</f>
        <v/>
      </c>
      <c r="Q836">
        <f>IFERROR(1/(IF(Inputs!$B$38="pvp",15,MAX(0.1,Skills!D5-IF(Skills!E5=TRUE,Inputs!$B$32,0)))*(1-IF(AND(ArtifactsInput!$M$27,Inputs!$B$4="Chapter Hunt"),CHOOSE(ArtifactsInput!$N$27+1,20,24,28,32,36,40),0)/100)),0)</f>
        <v/>
      </c>
      <c r="R836">
        <f>IF(AND(Inputs!$B$38&lt;&gt;"pvp",Inputs!$B$43&gt;0),IF(MAX(0,Inputs!$B$43-B865)&lt;=0,0,(INT(MAX(0,Inputs!$B$43-B865)/(IF(Inputs!$B$38="pvp",15,MAX(0.1,Skills!D5-IF(Skills!E5=TRUE,Inputs!$B$32,0)))*(1-IF(AND(ArtifactsInput!$M$27,Inputs!$B$4="Chapter Hunt"),CHOOSE(ArtifactsInput!$N$27+1,20,24,28,32,36,40),0)/100)))+1)),0)</f>
        <v/>
      </c>
      <c r="S836">
        <f>IFERROR(O836/N836,0)</f>
        <v/>
      </c>
      <c r="T836">
        <f>IF(C836,(H836*N836*IF(AND(Inputs!$B$38&lt;&gt;"pvp",Inputs!$B$43&gt;0),((Skills!G5*((R836-1)*IF(Skills!H5&gt;0,Skills!I5/Skills!H5,1)+IF(Skills!H5&gt;0,MIN(Skills!I5,MAX(0,MAX(0,Inputs!$B$43-B865)-((R836-1)*(IF(Inputs!$B$38="pvp",15,MAX(0.1,Skills!D5-IF(Skills!E5=TRUE,Inputs!$B$32,0)))*(1-IF(AND(ArtifactsInput!$M$27,Inputs!$B$4="Chapter Hunt"),CHOOSE(ArtifactsInput!$N$27+1,20,24,28,32,36,40),0)/100)))))/Skills!H5,1)))/Inputs!$B$43),G836*Q836)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836*(1-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836*(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836*(1-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836*(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6">
        <f>IF(C836,(H836*N836*IF(AND(Inputs!$B$38&lt;&gt;"pvp",Inputs!$B$43&gt;0),((Skills!G5*((R836-1)*IF(Skills!H5&gt;0,Skills!I5/Skills!H5,1)+IF(Skills!H5&gt;0,MIN(Skills!I5,MAX(0,MAX(0,Inputs!$B$43-B865)-((R836-1)*(IF(Inputs!$B$38="pvp",15,MAX(0.1,Skills!D5-IF(Skills!E5=TRUE,Inputs!$B$32,0)))*(1-IF(AND(ArtifactsInput!$M$27,Inputs!$B$4="Chapter Hunt"),CHOOSE(ArtifactsInput!$N$27+1,20,24,28,32,36,40),0)/100)))))/Skills!H5,1)))/Inputs!$B$43),G836*Q836))*IF(Inputs!$B$38="pvp",1,(1+(Inputs!$B$21+Skills!Q5+(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7">
      <c r="A837">
        <f>Skills!A6</f>
        <v/>
      </c>
      <c r="B837">
        <f>Skills!B6</f>
        <v/>
      </c>
      <c r="C837">
        <f>Inputs!$B$3&gt;=103</f>
        <v/>
      </c>
      <c r="D837">
        <f>IF(Skills!C6=1,60+Inputs!$B$25+Inputs!$B$29,IF(Skills!C6=2,90+Inputs!$B$26+Inputs!$B$29,IF(Skills!C6=3,120+Inputs!$B$27+Inputs!$B$29,MAX(0,(Inputs!$B$3-100)*3)+(Inputs!$B$28+1)+Inputs!$B$29)))</f>
        <v/>
      </c>
      <c r="E837">
        <f>INDEX(FactorTable!$B$2:$Y$301, MATCH(ROUND(MIN(300,MAX(1,D837)),0), FactorTable!$A$2:$A$301,0), Skills!M6+1)</f>
        <v/>
      </c>
      <c r="F837">
        <f>IF(Skills!N6=TRUE,(Skills!L6/10)*(E837/1000),Skills!L6/10)+Skills!O6</f>
        <v/>
      </c>
      <c r="G837">
        <f>Skills!G6*IF(Skills!H6&gt;0,Skills!I6/Skills!H6,1)</f>
        <v/>
      </c>
      <c r="H837">
        <f>1-(1-Skills!J6/100)^Skills!K6</f>
        <v/>
      </c>
      <c r="I837" t="inlineStr">
        <is>
          <t>1</t>
        </is>
      </c>
      <c r="J837">
        <f>((Inputs!$B$6*(1+Inputs!$B$7/100))+(((Inputs!$B$12*(1+Inputs!$B$13/100))-(Inputs!$B$12*(1+Inputs!$B$13/100)))+0.25*(Inputs!$B$14-Inputs!$B$14))*(1+Inputs!$B$7/100))*(F837/100)</f>
        <v/>
      </c>
      <c r="K837">
        <f>J837*(1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837)</f>
        <v/>
      </c>
      <c r="L837">
        <f>K837*(MIN(Inputs!$B$22+((C853=TRUE)*(F853-Calc!F22)),(Inputs!$B$23+((C855=TRUE)*(F855-Calc!F24))+(IF(ArtifactsInput!$M$15,CHOOSE(ArtifactsInput!$N$15+1,25,30,35,40,45,50)/100*(Inputs!$B$11-Inputs!$B$11),0))))/100+(Inputs!$B$23+((C855=TRUE)*(F855-Calc!F24))+(IF(ArtifactsInput!$M$15,CHOOSE(ArtifactsInput!$N$15+1,25,30,35,40,45,50)/100*(Inputs!$B$11-Inputs!$B$11),0)))/100)/2</f>
        <v/>
      </c>
      <c r="M837">
        <f>L837*(1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7">
        <f>L837*(1-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837*(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7">
        <f>(1-Summary!$B$11)*T837+Summary!$B$11*V837</f>
        <v/>
      </c>
      <c r="P837">
        <f>IF(B868=0,0,O837/B868)</f>
        <v/>
      </c>
      <c r="Q837">
        <f>IFERROR(1/(IF(Inputs!$B$38="pvp",15,MAX(0.1,Skills!D6-IF(Skills!E6=TRUE,Inputs!$B$32,0)))*(1-IF(AND(ArtifactsInput!$M$27,Inputs!$B$4="Chapter Hunt"),CHOOSE(ArtifactsInput!$N$27+1,20,24,28,32,36,40),0)/100)),0)</f>
        <v/>
      </c>
      <c r="R837">
        <f>IF(AND(Inputs!$B$38&lt;&gt;"pvp",Inputs!$B$43&gt;0),IF(MAX(0,Inputs!$B$43-B865)&lt;=0,0,(INT(MAX(0,Inputs!$B$43-B865)/(IF(Inputs!$B$38="pvp",15,MAX(0.1,Skills!D6-IF(Skills!E6=TRUE,Inputs!$B$32,0)))*(1-IF(AND(ArtifactsInput!$M$27,Inputs!$B$4="Chapter Hunt"),CHOOSE(ArtifactsInput!$N$27+1,20,24,28,32,36,40),0)/100)))+1)),0)</f>
        <v/>
      </c>
      <c r="S837">
        <f>IFERROR(O837/N837,0)</f>
        <v/>
      </c>
      <c r="T837">
        <f>IF(C837,(H837*N837*IF(AND(Inputs!$B$38&lt;&gt;"pvp",Inputs!$B$43&gt;0),((Skills!G6*((R837-1)*IF(Skills!H6&gt;0,Skills!I6/Skills!H6,1)+IF(Skills!H6&gt;0,MIN(Skills!I6,MAX(0,MAX(0,Inputs!$B$43-B865)-((R837-1)*(IF(Inputs!$B$38="pvp",15,MAX(0.1,Skills!D6-IF(Skills!E6=TRUE,Inputs!$B$32,0)))*(1-IF(AND(ArtifactsInput!$M$27,Inputs!$B$4="Chapter Hunt"),CHOOSE(ArtifactsInput!$N$27+1,20,24,28,32,36,40),0)/100)))))/Skills!H6,1)))/Inputs!$B$43),G837*Q837)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837*(1-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837*(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837*(1-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837*(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7">
        <f>IF(C837,(H837*N837*IF(AND(Inputs!$B$38&lt;&gt;"pvp",Inputs!$B$43&gt;0),((Skills!G6*((R837-1)*IF(Skills!H6&gt;0,Skills!I6/Skills!H6,1)+IF(Skills!H6&gt;0,MIN(Skills!I6,MAX(0,MAX(0,Inputs!$B$43-B865)-((R837-1)*(IF(Inputs!$B$38="pvp",15,MAX(0.1,Skills!D6-IF(Skills!E6=TRUE,Inputs!$B$32,0)))*(1-IF(AND(ArtifactsInput!$M$27,Inputs!$B$4="Chapter Hunt"),CHOOSE(ArtifactsInput!$N$27+1,20,24,28,32,36,40),0)/100)))))/Skills!H6,1)))/Inputs!$B$43),G837*Q837))*IF(Inputs!$B$38="pvp",1,(1+(Inputs!$B$21+Skills!Q6+(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8">
      <c r="A838">
        <f>Skills!A7</f>
        <v/>
      </c>
      <c r="B838">
        <f>Skills!B7</f>
        <v/>
      </c>
      <c r="C838">
        <f>Inputs!$B$3&gt;=107</f>
        <v/>
      </c>
      <c r="D838">
        <f>IF(Skills!C7=1,60+Inputs!$B$25+Inputs!$B$29,IF(Skills!C7=2,90+Inputs!$B$26+Inputs!$B$29,IF(Skills!C7=3,120+Inputs!$B$27+Inputs!$B$29,MAX(0,(Inputs!$B$3-100)*3)+(Inputs!$B$28+1)+Inputs!$B$29)))</f>
        <v/>
      </c>
      <c r="E838">
        <f>INDEX(FactorTable!$B$2:$Y$301, MATCH(ROUND(MIN(300,MAX(1,D838)),0), FactorTable!$A$2:$A$301,0), Skills!M7+1)</f>
        <v/>
      </c>
      <c r="F838">
        <f>IF(Skills!N7=TRUE,(Skills!L7/10)*(E838/1000),Skills!L7/10)+Skills!O7</f>
        <v/>
      </c>
      <c r="G838">
        <f>Skills!G7*IF(Skills!H7&gt;0,Skills!I7/Skills!H7,1)</f>
        <v/>
      </c>
      <c r="H838">
        <f>1-(1-Skills!J7/100)^Skills!K7</f>
        <v/>
      </c>
      <c r="I838" t="inlineStr">
        <is>
          <t>1</t>
        </is>
      </c>
      <c r="J838">
        <f>((Inputs!$B$6*(1+Inputs!$B$7/100))+(((Inputs!$B$12*(1+Inputs!$B$13/100))-(Inputs!$B$12*(1+Inputs!$B$13/100)))+0.25*(Inputs!$B$14-Inputs!$B$14))*(1+Inputs!$B$7/100))*(F838/100)</f>
        <v/>
      </c>
      <c r="K838">
        <f>J838*(1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838)</f>
        <v/>
      </c>
      <c r="L838">
        <f>K838*(MIN(Inputs!$B$22+((C853=TRUE)*(F853-Calc!F22)),(Inputs!$B$23+((C855=TRUE)*(F855-Calc!F24))+(IF(ArtifactsInput!$M$15,CHOOSE(ArtifactsInput!$N$15+1,25,30,35,40,45,50)/100*(Inputs!$B$11-Inputs!$B$11),0))))/100+(Inputs!$B$23+((C855=TRUE)*(F855-Calc!F24))+(IF(ArtifactsInput!$M$15,CHOOSE(ArtifactsInput!$N$15+1,25,30,35,40,45,50)/100*(Inputs!$B$11-Inputs!$B$11),0)))/100)/2</f>
        <v/>
      </c>
      <c r="M838">
        <f>L838*(1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8">
        <f>L838*(1-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838*(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8">
        <f>(1-Summary!$B$11)*T838+Summary!$B$11*V838</f>
        <v/>
      </c>
      <c r="P838">
        <f>IF(B868=0,0,O838/B868)</f>
        <v/>
      </c>
      <c r="Q838">
        <f>IFERROR(1/(IF(Inputs!$B$38="pvp",15,MAX(0.1,Skills!D7-IF(Skills!E7=TRUE,Inputs!$B$32,0)))*(1-IF(AND(ArtifactsInput!$M$27,Inputs!$B$4="Chapter Hunt"),CHOOSE(ArtifactsInput!$N$27+1,20,24,28,32,36,40),0)/100)),0)</f>
        <v/>
      </c>
      <c r="R838">
        <f>IF(AND(Inputs!$B$38&lt;&gt;"pvp",Inputs!$B$43&gt;0),IF(MAX(0,Inputs!$B$43-B865)&lt;=0,0,(INT(MAX(0,Inputs!$B$43-B865)/(IF(Inputs!$B$38="pvp",15,MAX(0.1,Skills!D7-IF(Skills!E7=TRUE,Inputs!$B$32,0)))*(1-IF(AND(ArtifactsInput!$M$27,Inputs!$B$4="Chapter Hunt"),CHOOSE(ArtifactsInput!$N$27+1,20,24,28,32,36,40),0)/100)))+1)),0)</f>
        <v/>
      </c>
      <c r="S838">
        <f>IFERROR(O838/N838,0)</f>
        <v/>
      </c>
      <c r="T838">
        <f>IF(C838,(H838*N838*IF(AND(Inputs!$B$38&lt;&gt;"pvp",Inputs!$B$43&gt;0),((Skills!G7*((R838-1)*IF(Skills!H7&gt;0,Skills!I7/Skills!H7,1)+IF(Skills!H7&gt;0,MIN(Skills!I7,MAX(0,MAX(0,Inputs!$B$43-B865)-((R838-1)*(IF(Inputs!$B$38="pvp",15,MAX(0.1,Skills!D7-IF(Skills!E7=TRUE,Inputs!$B$32,0)))*(1-IF(AND(ArtifactsInput!$M$27,Inputs!$B$4="Chapter Hunt"),CHOOSE(ArtifactsInput!$N$27+1,20,24,28,32,36,40),0)/100)))))/Skills!H7,1)))/Inputs!$B$43),G838*Q838)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838*(1-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838*(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838*(1-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838*(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8">
        <f>IF(C838,(H838*N838*IF(AND(Inputs!$B$38&lt;&gt;"pvp",Inputs!$B$43&gt;0),((Skills!G7*((R838-1)*IF(Skills!H7&gt;0,Skills!I7/Skills!H7,1)+IF(Skills!H7&gt;0,MIN(Skills!I7,MAX(0,MAX(0,Inputs!$B$43-B865)-((R838-1)*(IF(Inputs!$B$38="pvp",15,MAX(0.1,Skills!D7-IF(Skills!E7=TRUE,Inputs!$B$32,0)))*(1-IF(AND(ArtifactsInput!$M$27,Inputs!$B$4="Chapter Hunt"),CHOOSE(ArtifactsInput!$N$27+1,20,24,28,32,36,40),0)/100)))))/Skills!H7,1)))/Inputs!$B$43),G838*Q838))*IF(Inputs!$B$38="pvp",1,(1+(Inputs!$B$21+Skills!Q7+(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9">
      <c r="A839">
        <f>Skills!A8</f>
        <v/>
      </c>
      <c r="B839">
        <f>Skills!B8</f>
        <v/>
      </c>
      <c r="C839">
        <f>Inputs!$B$3&gt;=107</f>
        <v/>
      </c>
      <c r="D839">
        <f>IF(Skills!C8=1,60+Inputs!$B$25+Inputs!$B$29,IF(Skills!C8=2,90+Inputs!$B$26+Inputs!$B$29,IF(Skills!C8=3,120+Inputs!$B$27+Inputs!$B$29,MAX(0,(Inputs!$B$3-100)*3)+(Inputs!$B$28+1)+Inputs!$B$29)))</f>
        <v/>
      </c>
      <c r="E839">
        <f>INDEX(FactorTable!$B$2:$Y$301, MATCH(ROUND(MIN(300,MAX(1,D839)),0), FactorTable!$A$2:$A$301,0), Skills!M8+1)</f>
        <v/>
      </c>
      <c r="F839">
        <f>IF(Skills!N8=TRUE,(Skills!L8/10)*(E839/1000),Skills!L8/10)+Skills!O8</f>
        <v/>
      </c>
      <c r="G839">
        <f>Skills!G8*IF(Skills!H8&gt;0,Skills!I8/Skills!H8,1)</f>
        <v/>
      </c>
      <c r="H839">
        <f>1-(1-Skills!J8/100)^Skills!K8</f>
        <v/>
      </c>
      <c r="I839" t="inlineStr">
        <is>
          <t>1</t>
        </is>
      </c>
      <c r="J839">
        <f>((Inputs!$B$6*(1+Inputs!$B$7/100))+(((Inputs!$B$12*(1+Inputs!$B$13/100))-(Inputs!$B$12*(1+Inputs!$B$13/100)))+0.25*(Inputs!$B$14-Inputs!$B$14))*(1+Inputs!$B$7/100))*(F839/100)</f>
        <v/>
      </c>
      <c r="K839">
        <f>J839*(1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839)</f>
        <v/>
      </c>
      <c r="L839">
        <f>K839*(MIN(Inputs!$B$22+((C853=TRUE)*(F853-Calc!F22)),(Inputs!$B$23+((C855=TRUE)*(F855-Calc!F24))+(IF(ArtifactsInput!$M$15,CHOOSE(ArtifactsInput!$N$15+1,25,30,35,40,45,50)/100*(Inputs!$B$11-Inputs!$B$11),0))))/100+(Inputs!$B$23+((C855=TRUE)*(F855-Calc!F24))+(IF(ArtifactsInput!$M$15,CHOOSE(ArtifactsInput!$N$15+1,25,30,35,40,45,50)/100*(Inputs!$B$11-Inputs!$B$11),0)))/100)/2</f>
        <v/>
      </c>
      <c r="M839">
        <f>L839*(1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9">
        <f>L839*(1-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839*(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9">
        <f>(1-Summary!$B$11)*T839+Summary!$B$11*V839</f>
        <v/>
      </c>
      <c r="P839">
        <f>IF(B868=0,0,O839/B868)</f>
        <v/>
      </c>
      <c r="Q839">
        <f>IFERROR(1/(IF(Inputs!$B$38="pvp",15,MAX(0.1,Skills!D8-IF(Skills!E8=TRUE,Inputs!$B$32,0)))*(1-IF(AND(ArtifactsInput!$M$27,Inputs!$B$4="Chapter Hunt"),CHOOSE(ArtifactsInput!$N$27+1,20,24,28,32,36,40),0)/100)),0)</f>
        <v/>
      </c>
      <c r="R839">
        <f>IF(AND(Inputs!$B$38&lt;&gt;"pvp",Inputs!$B$43&gt;0),IF(MAX(0,Inputs!$B$43-B865)&lt;=0,0,(INT(MAX(0,Inputs!$B$43-B865)/(IF(Inputs!$B$38="pvp",15,MAX(0.1,Skills!D8-IF(Skills!E8=TRUE,Inputs!$B$32,0)))*(1-IF(AND(ArtifactsInput!$M$27,Inputs!$B$4="Chapter Hunt"),CHOOSE(ArtifactsInput!$N$27+1,20,24,28,32,36,40),0)/100)))+1)),0)</f>
        <v/>
      </c>
      <c r="S839">
        <f>IFERROR(O839/N839,0)</f>
        <v/>
      </c>
      <c r="T839">
        <f>IF(C839,(H839*N839*IF(AND(Inputs!$B$38&lt;&gt;"pvp",Inputs!$B$43&gt;0),((Skills!G8*((R839-1)*IF(Skills!H8&gt;0,Skills!I8/Skills!H8,1)+IF(Skills!H8&gt;0,MIN(Skills!I8,MAX(0,MAX(0,Inputs!$B$43-B865)-((R839-1)*(IF(Inputs!$B$38="pvp",15,MAX(0.1,Skills!D8-IF(Skills!E8=TRUE,Inputs!$B$32,0)))*(1-IF(AND(ArtifactsInput!$M$27,Inputs!$B$4="Chapter Hunt"),CHOOSE(ArtifactsInput!$N$27+1,20,24,28,32,36,40),0)/100)))))/Skills!H8,1)))/Inputs!$B$43),G839*Q839)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839*(1-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839*(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839*(1-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839*(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39">
        <f>IF(C839,(H839*N839*IF(AND(Inputs!$B$38&lt;&gt;"pvp",Inputs!$B$43&gt;0),((Skills!G8*((R839-1)*IF(Skills!H8&gt;0,Skills!I8/Skills!H8,1)+IF(Skills!H8&gt;0,MIN(Skills!I8,MAX(0,MAX(0,Inputs!$B$43-B865)-((R839-1)*(IF(Inputs!$B$38="pvp",15,MAX(0.1,Skills!D8-IF(Skills!E8=TRUE,Inputs!$B$32,0)))*(1-IF(AND(ArtifactsInput!$M$27,Inputs!$B$4="Chapter Hunt"),CHOOSE(ArtifactsInput!$N$27+1,20,24,28,32,36,40),0)/100)))))/Skills!H8,1)))/Inputs!$B$43),G839*Q839))*IF(Inputs!$B$38="pvp",1,(1+(Inputs!$B$21+Skills!Q8+(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0">
      <c r="A840">
        <f>Skills!A9</f>
        <v/>
      </c>
      <c r="B840">
        <f>Skills!B9</f>
        <v/>
      </c>
      <c r="C840">
        <f>Inputs!$B$3&gt;=125</f>
        <v/>
      </c>
      <c r="D840">
        <f>IF(Skills!C9=1,60+Inputs!$B$25+Inputs!$B$29,IF(Skills!C9=2,90+Inputs!$B$26+Inputs!$B$29,IF(Skills!C9=3,120+Inputs!$B$27+Inputs!$B$29,MAX(0,(Inputs!$B$3-100)*3)+(Inputs!$B$28+1)+Inputs!$B$29)))</f>
        <v/>
      </c>
      <c r="E840">
        <f>INDEX(FactorTable!$B$2:$Y$301, MATCH(ROUND(MIN(300,MAX(1,D840)),0), FactorTable!$A$2:$A$301,0), Skills!M9+1)</f>
        <v/>
      </c>
      <c r="F840">
        <f>IF(Skills!N9=TRUE,(Skills!L9/10)*(E840/1000),Skills!L9/10)+Skills!O9</f>
        <v/>
      </c>
      <c r="G840">
        <f>Skills!G9*IF(Skills!H9&gt;0,Skills!I9/Skills!H9,1)</f>
        <v/>
      </c>
      <c r="H840">
        <f>1-(1-Skills!J9/100)^Skills!K9</f>
        <v/>
      </c>
      <c r="I840" t="inlineStr">
        <is>
          <t>1</t>
        </is>
      </c>
      <c r="J840">
        <f>((Inputs!$B$6*(1+Inputs!$B$7/100))+(((Inputs!$B$12*(1+Inputs!$B$13/100))-(Inputs!$B$12*(1+Inputs!$B$13/100)))+0.25*(Inputs!$B$14-Inputs!$B$14))*(1+Inputs!$B$7/100))*(F840/100)</f>
        <v/>
      </c>
      <c r="K840">
        <f>J840*(1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840)</f>
        <v/>
      </c>
      <c r="L840">
        <f>K840*(MIN(Inputs!$B$22+((C853=TRUE)*(F853-Calc!F22)),(Inputs!$B$23+((C855=TRUE)*(F855-Calc!F24))+(IF(ArtifactsInput!$M$15,CHOOSE(ArtifactsInput!$N$15+1,25,30,35,40,45,50)/100*(Inputs!$B$11-Inputs!$B$11),0))))/100+(Inputs!$B$23+((C855=TRUE)*(F855-Calc!F24))+(IF(ArtifactsInput!$M$15,CHOOSE(ArtifactsInput!$N$15+1,25,30,35,40,45,50)/100*(Inputs!$B$11-Inputs!$B$11),0)))/100)/2</f>
        <v/>
      </c>
      <c r="M840">
        <f>L840*(1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0">
        <f>L840*(1-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840*(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0">
        <f>(1-Summary!$B$11)*T840+Summary!$B$11*V840</f>
        <v/>
      </c>
      <c r="P840">
        <f>IF(B868=0,0,O840/B868)</f>
        <v/>
      </c>
      <c r="Q840">
        <f>IFERROR(1/(IF(Inputs!$B$38="pvp",15,MAX(0.1,Skills!D9-IF(Skills!E9=TRUE,Inputs!$B$32,0)))*(1-IF(AND(ArtifactsInput!$M$27,Inputs!$B$4="Chapter Hunt"),CHOOSE(ArtifactsInput!$N$27+1,20,24,28,32,36,40),0)/100)),0)</f>
        <v/>
      </c>
      <c r="R840">
        <f>IF(AND(Inputs!$B$38&lt;&gt;"pvp",Inputs!$B$43&gt;0),IF(MAX(0,Inputs!$B$43-B865)&lt;=0,0,(INT(MAX(0,Inputs!$B$43-B865)/(IF(Inputs!$B$38="pvp",15,MAX(0.1,Skills!D9-IF(Skills!E9=TRUE,Inputs!$B$32,0)))*(1-IF(AND(ArtifactsInput!$M$27,Inputs!$B$4="Chapter Hunt"),CHOOSE(ArtifactsInput!$N$27+1,20,24,28,32,36,40),0)/100)))+1)),0)</f>
        <v/>
      </c>
      <c r="S840">
        <f>IFERROR(O840/N840,0)</f>
        <v/>
      </c>
      <c r="T840">
        <f>IF(C840,(H840*N840*IF(AND(Inputs!$B$38&lt;&gt;"pvp",Inputs!$B$43&gt;0),((Skills!G9*((R840-1)*IF(Skills!H9&gt;0,Skills!I9/Skills!H9,1)+IF(Skills!H9&gt;0,MIN(Skills!I9,MAX(0,MAX(0,Inputs!$B$43-B865)-((R840-1)*(IF(Inputs!$B$38="pvp",15,MAX(0.1,Skills!D9-IF(Skills!E9=TRUE,Inputs!$B$32,0)))*(1-IF(AND(ArtifactsInput!$M$27,Inputs!$B$4="Chapter Hunt"),CHOOSE(ArtifactsInput!$N$27+1,20,24,28,32,36,40),0)/100)))))/Skills!H9,1)))/Inputs!$B$43),G840*Q840)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840*(1-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840*(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840*(1-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840*(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0">
        <f>IF(C840,(H840*N840*IF(AND(Inputs!$B$38&lt;&gt;"pvp",Inputs!$B$43&gt;0),((Skills!G9*((R840-1)*IF(Skills!H9&gt;0,Skills!I9/Skills!H9,1)+IF(Skills!H9&gt;0,MIN(Skills!I9,MAX(0,MAX(0,Inputs!$B$43-B865)-((R840-1)*(IF(Inputs!$B$38="pvp",15,MAX(0.1,Skills!D9-IF(Skills!E9=TRUE,Inputs!$B$32,0)))*(1-IF(AND(ArtifactsInput!$M$27,Inputs!$B$4="Chapter Hunt"),CHOOSE(ArtifactsInput!$N$27+1,20,24,28,32,36,40),0)/100)))))/Skills!H9,1)))/Inputs!$B$43),G840*Q840))*IF(Inputs!$B$38="pvp",1,(1+(Inputs!$B$21+Skills!Q9+(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1">
      <c r="A841">
        <f>Skills!A10</f>
        <v/>
      </c>
      <c r="B841">
        <f>Skills!B10</f>
        <v/>
      </c>
      <c r="C841">
        <f>Inputs!$B$3&gt;=117</f>
        <v/>
      </c>
      <c r="D841">
        <f>IF(Skills!C10=1,60+Inputs!$B$25+Inputs!$B$29,IF(Skills!C10=2,90+Inputs!$B$26+Inputs!$B$29,IF(Skills!C10=3,120+Inputs!$B$27+Inputs!$B$29,MAX(0,(Inputs!$B$3-100)*3)+(Inputs!$B$28+1)+Inputs!$B$29)))</f>
        <v/>
      </c>
      <c r="E841">
        <f>INDEX(FactorTable!$B$2:$Y$301, MATCH(ROUND(MIN(300,MAX(1,D841)),0), FactorTable!$A$2:$A$301,0), Skills!M10+1)</f>
        <v/>
      </c>
      <c r="F841">
        <f>IF(Skills!N10=TRUE,(Skills!L10/10)*(E841/1000),Skills!L10/10)+Skills!O10</f>
        <v/>
      </c>
      <c r="G841">
        <f>Skills!G10*IF(Skills!H10&gt;0,Skills!I10/Skills!H10,1)</f>
        <v/>
      </c>
      <c r="H841">
        <f>1-(1-Skills!J10/100)^Skills!K10</f>
        <v/>
      </c>
      <c r="I841" t="inlineStr">
        <is>
          <t>1</t>
        </is>
      </c>
      <c r="J841">
        <f>((Inputs!$B$6*(1+Inputs!$B$7/100))+(((Inputs!$B$12*(1+Inputs!$B$13/100))-(Inputs!$B$12*(1+Inputs!$B$13/100)))+0.25*(Inputs!$B$14-Inputs!$B$14))*(1+Inputs!$B$7/100))*(F841/100)</f>
        <v/>
      </c>
      <c r="K841">
        <f>J841*(1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841)</f>
        <v/>
      </c>
      <c r="L841">
        <f>K841*(MIN(Inputs!$B$22+((C853=TRUE)*(F853-Calc!F22)),(Inputs!$B$23+((C855=TRUE)*(F855-Calc!F24))+(IF(ArtifactsInput!$M$15,CHOOSE(ArtifactsInput!$N$15+1,25,30,35,40,45,50)/100*(Inputs!$B$11-Inputs!$B$11),0))))/100+(Inputs!$B$23+((C855=TRUE)*(F855-Calc!F24))+(IF(ArtifactsInput!$M$15,CHOOSE(ArtifactsInput!$N$15+1,25,30,35,40,45,50)/100*(Inputs!$B$11-Inputs!$B$11),0)))/100)/2</f>
        <v/>
      </c>
      <c r="M841">
        <f>L841*(1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1">
        <f>L841*(1-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1">
        <f>(1-Summary!$B$11)*T841+Summary!$B$11*V841</f>
        <v/>
      </c>
      <c r="P841">
        <f>IF(B868=0,0,O841/B868)</f>
        <v/>
      </c>
      <c r="Q841">
        <f>IFERROR(1/(IF(Inputs!$B$38="pvp",15,MAX(0.1,Skills!D10-IF(Skills!E10=TRUE,Inputs!$B$32,0)))*(1-IF(AND(ArtifactsInput!$M$27,Inputs!$B$4="Chapter Hunt"),CHOOSE(ArtifactsInput!$N$27+1,20,24,28,32,36,40),0)/100)),0)</f>
        <v/>
      </c>
      <c r="R841">
        <f>IF(AND(Inputs!$B$38&lt;&gt;"pvp",Inputs!$B$43&gt;0),IF(MAX(0,Inputs!$B$43-B865)&lt;=0,0,(INT(MAX(0,Inputs!$B$43-B865)/(IF(Inputs!$B$38="pvp",15,MAX(0.1,Skills!D10-IF(Skills!E10=TRUE,Inputs!$B$32,0)))*(1-IF(AND(ArtifactsInput!$M$27,Inputs!$B$4="Chapter Hunt"),CHOOSE(ArtifactsInput!$N$27+1,20,24,28,32,36,40),0)/100)))+1)),0)</f>
        <v/>
      </c>
      <c r="S841">
        <f>IFERROR(O841/N841,0)</f>
        <v/>
      </c>
      <c r="T841">
        <f>IF(C841,(H841*N841*IF(AND(Inputs!$B$38&lt;&gt;"pvp",Inputs!$B$43&gt;0),((Skills!G10*((R841-1)*IF(Skills!H10&gt;0,Skills!I10/Skills!H10,1)+IF(Skills!H10&gt;0,MIN(Skills!I10,MAX(0,MAX(0,Inputs!$B$43-B865)-((R841-1)*(IF(Inputs!$B$38="pvp",15,MAX(0.1,Skills!D10-IF(Skills!E10=TRUE,Inputs!$B$32,0)))*(1-IF(AND(ArtifactsInput!$M$27,Inputs!$B$4="Chapter Hunt"),CHOOSE(ArtifactsInput!$N$27+1,20,24,28,32,36,40),0)/100)))))/Skills!H10,1)))/Inputs!$B$43),G841*Q841)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841*(1-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841*(1-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1">
        <f>IF(C841,(H841*N841*IF(AND(Inputs!$B$38&lt;&gt;"pvp",Inputs!$B$43&gt;0),((Skills!G10*((R841-1)*IF(Skills!H10&gt;0,Skills!I10/Skills!H10,1)+IF(Skills!H10&gt;0,MIN(Skills!I10,MAX(0,MAX(0,Inputs!$B$43-B865)-((R841-1)*(IF(Inputs!$B$38="pvp",15,MAX(0.1,Skills!D10-IF(Skills!E10=TRUE,Inputs!$B$32,0)))*(1-IF(AND(ArtifactsInput!$M$27,Inputs!$B$4="Chapter Hunt"),CHOOSE(ArtifactsInput!$N$27+1,20,24,28,32,36,40),0)/100)))))/Skills!H10,1)))/Inputs!$B$43),G841*Q841))*IF(Inputs!$B$38="pvp",1,(1+(Inputs!$B$21+Skills!Q10+(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2">
      <c r="A842">
        <f>Skills!A11</f>
        <v/>
      </c>
      <c r="B842">
        <f>Skills!B11</f>
        <v/>
      </c>
      <c r="C842">
        <f>Inputs!$B$3&gt;=63</f>
        <v/>
      </c>
      <c r="D842">
        <f>IF(Skills!C11=1,60+Inputs!$B$25+Inputs!$B$29,IF(Skills!C11=2,90+Inputs!$B$26+Inputs!$B$29,IF(Skills!C11=3,120+Inputs!$B$27+Inputs!$B$29,MAX(0,(Inputs!$B$3-100)*3)+(Inputs!$B$28+1)+Inputs!$B$29)))</f>
        <v/>
      </c>
      <c r="E842">
        <f>INDEX(FactorTable!$B$2:$Y$301, MATCH(ROUND(MIN(300,MAX(1,D842)),0), FactorTable!$A$2:$A$301,0), Skills!M11+1)</f>
        <v/>
      </c>
      <c r="F842">
        <f>IF(Skills!N11=TRUE,(Skills!L11/10)*(E842/1000),Skills!L11/10)+Skills!O11</f>
        <v/>
      </c>
      <c r="G842">
        <f>Skills!G11*IF(Skills!H11&gt;0,Skills!I11/Skills!H11,1)</f>
        <v/>
      </c>
      <c r="H842">
        <f>1-(1-Skills!J11/100)^Skills!K11</f>
        <v/>
      </c>
      <c r="I842" t="inlineStr">
        <is>
          <t>1</t>
        </is>
      </c>
      <c r="J842">
        <f>((Inputs!$B$6*(1+Inputs!$B$7/100))+(((Inputs!$B$12*(1+Inputs!$B$13/100))-(Inputs!$B$12*(1+Inputs!$B$13/100)))+0.25*(Inputs!$B$14-Inputs!$B$14))*(1+Inputs!$B$7/100))*(F842/100)</f>
        <v/>
      </c>
      <c r="K842">
        <f>J842*(1+((Inputs!$B$12*(1+Inputs!$B$13/100))*0.01+Inputs!$B$14*0.0025)/100)*(1+Inputs!$B$15/100)*(1+Inputs!$B$16/100)*(5000/(6000+Inputs!$B$42*(1-(Inputs!$B$19+0)/100)))*(1+(Inputs!$B$24+0+B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843=TRUE,F843,0)/100)*(1+(IF(Skills!A11="BLAST",Inputs!$B$17+((C852=TRUE)*(F852-Calc!F21))+((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MIN(100,((Inputs!$B$9+0+B858+(ArtifactsInput!$M$24-ArtifactsInput!$M$24)*CHOOSE(ArtifactsInput!$N$24+1,10,12,14,16,18,20)+IF(ArtifactsInput!$M$10,CHOOSE(ArtifactsInput!$N$10+1,15,18,21,24,27,30)*(IF(Inputs!$B$38="pvp",MIN(15,15)/15,IF(AND(Inputs!$B$38&lt;&gt;"pvp",Inputs!$B$43&gt;0),MIN(15,Inputs!$B$43)/(Inputs!$B$43),0))),0)))-100),0))*CHOOSE(ArtifactsInput!$N$42+1,0.6,0.72,0.84,0.96,1.08,1.2))),Inputs!$B$18+((C854=TRUE)*(F854-Calc!F23))+(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gt;=100),CHOOSE(ArtifactsInput!$N$42+1,40,48,56,64,72,80),0))))/100)*((1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842)</f>
        <v/>
      </c>
      <c r="L842">
        <f>K842*(MIN(Inputs!$B$22+((C853=TRUE)*(F853-Calc!F22)),(Inputs!$B$23+((C855=TRUE)*(F855-Calc!F24))+(IF(ArtifactsInput!$M$15,CHOOSE(ArtifactsInput!$N$15+1,25,30,35,40,45,50)/100*(Inputs!$B$11-Inputs!$B$11),0))))/100+(Inputs!$B$23+((C855=TRUE)*(F855-Calc!F24))+(IF(ArtifactsInput!$M$15,CHOOSE(ArtifactsInput!$N$15+1,25,30,35,40,45,50)/100*(Inputs!$B$11-Inputs!$B$11),0)))/100)/2</f>
        <v/>
      </c>
      <c r="M842">
        <f>L842*(1+(Inputs!$B$10+0+B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2">
        <f>L842*(1-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842*(MIN((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2">
        <f>(1-Summary!$B$11)*T842+Summary!$B$11*V842</f>
        <v/>
      </c>
      <c r="P842">
        <f>IF(B868=0,0,O842/B868)</f>
        <v/>
      </c>
      <c r="Q842">
        <f>IFERROR(1/(IF(Inputs!$B$38="pvp",15,MAX(0.1,Skills!D11-IF(Skills!E11=TRUE,Inputs!$B$32,0)))*(1-IF(AND(ArtifactsInput!$M$27,Inputs!$B$4="Chapter Hunt"),CHOOSE(ArtifactsInput!$N$27+1,20,24,28,32,36,40),0)/100)),0)</f>
        <v/>
      </c>
      <c r="R842">
        <f>IF(AND(Inputs!$B$38&lt;&gt;"pvp",Inputs!$B$43&gt;0),IF(MAX(0,Inputs!$B$43-B865)&lt;=0,0,(INT(MAX(0,Inputs!$B$43-B865)/(IF(Inputs!$B$38="pvp",15,MAX(0.1,Skills!D11-IF(Skills!E11=TRUE,Inputs!$B$32,0)))*(1-IF(AND(ArtifactsInput!$M$27,Inputs!$B$4="Chapter Hunt"),CHOOSE(ArtifactsInput!$N$27+1,20,24,28,32,36,40),0)/100)))+1)),0)</f>
        <v/>
      </c>
      <c r="S842">
        <f>IFERROR(O842/N842,0)</f>
        <v/>
      </c>
      <c r="T842">
        <f>IF(C842,(H842*N842*IF(AND(Inputs!$B$38&lt;&gt;"pvp",Inputs!$B$43&gt;0),((Skills!G11*((R842-1)*IF(Skills!H11&gt;0,Skills!I11/Skills!H11,1)+IF(Skills!H11&gt;0,MIN(Skills!I11,MAX(0,MAX(0,Inputs!$B$43-B865)-((R842-1)*(IF(Inputs!$B$38="pvp",15,MAX(0.1,Skills!D11-IF(Skills!E11=TRUE,Inputs!$B$32,0)))*(1-IF(AND(ArtifactsInput!$M$27,Inputs!$B$4="Chapter Hunt"),CHOOSE(ArtifactsInput!$N$27+1,20,24,28,32,36,40),0)/100)))))/Skills!H11,1)))/Inputs!$B$43),G842*Q842)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842*(1-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842*(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842*(1-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842*(MIN(100,(Inputs!$B$9+0+B858+(ArtifactsInput!$M$24-ArtifactsInput!$M$24)*CHOOSE(ArtifactsInput!$N$24+1,10,12,14,16,18,20)+(IF(AND(Inputs!$B$38&lt;&gt;"pvp",Inputs!$B$43=0),1,IF(IF(Inputs!$B$38="pvp",15,Inputs!$B$43)-(B865)&lt;=0,1,MAX(0,IF(Inputs!$B$38="pvp",15,Inputs!$B$43)-MAX(5,B865))/(IF(Inputs!$B$38="pvp",15,Inputs!$B$43)-(B865))))*IF(AND(ArtifactsInput!$M$42,((Inputs!$B$9+0+B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2">
        <f>IF(C842,(H842*N842*IF(AND(Inputs!$B$38&lt;&gt;"pvp",Inputs!$B$43&gt;0),((Skills!G11*((R842-1)*IF(Skills!H11&gt;0,Skills!I11/Skills!H11,1)+IF(Skills!H11&gt;0,MIN(Skills!I11,MAX(0,MAX(0,Inputs!$B$43-B865)-((R842-1)*(IF(Inputs!$B$38="pvp",15,MAX(0.1,Skills!D11-IF(Skills!E11=TRUE,Inputs!$B$32,0)))*(1-IF(AND(ArtifactsInput!$M$27,Inputs!$B$4="Chapter Hunt"),CHOOSE(ArtifactsInput!$N$27+1,20,24,28,32,36,40),0)/100)))))/Skills!H11,1)))/Inputs!$B$43),G842*Q842))*IF(Inputs!$B$38="pvp",1,(1+(Inputs!$B$21+Skills!Q11+(IF(ArtifactsInput!$M$33,CHOOSE(ArtifactsInput!$N$33+1,30,36,42,48,54,60),0))+(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3">
      <c r="A843">
        <f>Skills!A12</f>
        <v/>
      </c>
      <c r="B843">
        <f>Skills!B12</f>
        <v/>
      </c>
      <c r="C843">
        <f>Inputs!$B$3&gt;=100</f>
        <v/>
      </c>
      <c r="D843">
        <f>IF(Skills!C12=1,60+Inputs!$B$25+Inputs!$B$29,IF(Skills!C12=2,90+Inputs!$B$26+Inputs!$B$29,IF(Skills!C12=3,120+Inputs!$B$27+Inputs!$B$29,MAX(0,(Inputs!$B$3-100)*3)+(Inputs!$B$28+1)+Inputs!$B$29)))</f>
        <v/>
      </c>
      <c r="E843">
        <f>INDEX(FactorTable!$B$2:$Y$301, MATCH(ROUND(MIN(300,MAX(1,D843)),0), FactorTable!$A$2:$A$301,0), Skills!M12+1)</f>
        <v/>
      </c>
      <c r="F843">
        <f>IF(Skills!N12=TRUE,(Skills!L12/10)*(E843/1000),Skills!L12/10)+Skills!O12</f>
        <v/>
      </c>
      <c r="G843" t="inlineStr"/>
      <c r="H843" t="inlineStr"/>
      <c r="I843" t="inlineStr">
        <is>
          <t>1</t>
        </is>
      </c>
      <c r="J843" t="inlineStr"/>
      <c r="K843" t="inlineStr"/>
      <c r="L843" t="inlineStr"/>
      <c r="M843" t="inlineStr"/>
      <c r="N843" t="inlineStr"/>
      <c r="O843" t="inlineStr"/>
      <c r="P843" t="inlineStr"/>
      <c r="Q843" t="inlineStr"/>
      <c r="R843" t="inlineStr"/>
      <c r="S843" t="inlineStr"/>
    </row>
    <row r="844">
      <c r="A844">
        <f>Skills!A13</f>
        <v/>
      </c>
      <c r="B844">
        <f>Skills!B13</f>
        <v/>
      </c>
      <c r="C844">
        <f>Inputs!$B$3&gt;=45</f>
        <v/>
      </c>
      <c r="D844">
        <f>IF(Skills!C13=1,60+Inputs!$B$25+Inputs!$B$29,IF(Skills!C13=2,90+Inputs!$B$26+Inputs!$B$29,IF(Skills!C13=3,120+Inputs!$B$27+Inputs!$B$29,MAX(0,(Inputs!$B$3-100)*3)+(Inputs!$B$28+1)+Inputs!$B$29)))</f>
        <v/>
      </c>
      <c r="E844">
        <f>INDEX(FactorTable!$B$2:$Y$301, MATCH(ROUND(MIN(300,MAX(1,D844)),0), FactorTable!$A$2:$A$301,0), Skills!M13+1)</f>
        <v/>
      </c>
      <c r="F844">
        <f>IF(Skills!N13=TRUE,(Skills!L13/10)*(E844/1000),Skills!L13/10)+Skills!O13</f>
        <v/>
      </c>
      <c r="G844">
        <f>Skills!G13*IF(Skills!H13&gt;0,Skills!I13/Skills!H13,1)</f>
        <v/>
      </c>
      <c r="H844">
        <f>1-(1-Skills!J13/100)^Skills!K13</f>
        <v/>
      </c>
      <c r="I844" t="inlineStr">
        <is>
          <t>1</t>
        </is>
      </c>
      <c r="J844" t="inlineStr"/>
      <c r="K844" t="inlineStr"/>
      <c r="L844" t="inlineStr"/>
      <c r="M844" t="inlineStr"/>
      <c r="N844" t="inlineStr"/>
      <c r="O844">
        <f>(1-Summary!$B$11)*T844+Summary!$B$11*V844</f>
        <v/>
      </c>
      <c r="P844">
        <f>IF(B868=0,0,O844/B868)</f>
        <v/>
      </c>
      <c r="Q844" t="n">
        <v>0</v>
      </c>
      <c r="R844" t="n">
        <v>0</v>
      </c>
      <c r="S844">
        <f>IFERROR(O844/N844,0)</f>
        <v/>
      </c>
      <c r="T844" t="n">
        <v>0</v>
      </c>
      <c r="V844" t="n">
        <v>0</v>
      </c>
    </row>
    <row r="845">
      <c r="A845">
        <f>Skills!A14</f>
        <v/>
      </c>
      <c r="B845">
        <f>Skills!B14</f>
        <v/>
      </c>
      <c r="C845">
        <f>Inputs!$B$3&gt;=110</f>
        <v/>
      </c>
      <c r="D845">
        <f>IF(Skills!C14=1,60+Inputs!$B$25+Inputs!$B$29,IF(Skills!C14=2,90+Inputs!$B$26+Inputs!$B$29,IF(Skills!C14=3,120+Inputs!$B$27+Inputs!$B$29,MAX(0,(Inputs!$B$3-100)*3)+(Inputs!$B$28+1)+Inputs!$B$29)))</f>
        <v/>
      </c>
      <c r="E845">
        <f>INDEX(FactorTable!$B$2:$Y$301, MATCH(ROUND(MIN(300,MAX(1,D845)),0), FactorTable!$A$2:$A$301,0), Skills!M14+1)</f>
        <v/>
      </c>
      <c r="F845">
        <f>IF(Skills!N14=TRUE,(Skills!L14/10)*(E845/1000),Skills!L14/10)+Skills!O14</f>
        <v/>
      </c>
      <c r="G845">
        <f>Skills!G14*IF(Skills!H14&gt;0,Skills!I14/Skills!H14,1)</f>
        <v/>
      </c>
      <c r="H845">
        <f>1-(1-Skills!J14/100)^Skills!K14</f>
        <v/>
      </c>
      <c r="I845" t="inlineStr">
        <is>
          <t>1</t>
        </is>
      </c>
      <c r="J845" t="inlineStr"/>
      <c r="K845" t="inlineStr"/>
      <c r="L845" t="inlineStr"/>
      <c r="M845" t="inlineStr"/>
      <c r="N845" t="inlineStr"/>
      <c r="O845">
        <f>(1-Summary!$B$11)*T845+Summary!$B$11*V845</f>
        <v/>
      </c>
      <c r="P845">
        <f>IF(B868=0,0,O845/B868)</f>
        <v/>
      </c>
      <c r="Q845" t="n">
        <v>0</v>
      </c>
      <c r="R845" t="n">
        <v>0</v>
      </c>
      <c r="S845">
        <f>IFERROR(O845/N845,0)</f>
        <v/>
      </c>
      <c r="T845" t="n">
        <v>0</v>
      </c>
      <c r="V845" t="n">
        <v>0</v>
      </c>
    </row>
    <row r="846">
      <c r="A846">
        <f>Skills!A15</f>
        <v/>
      </c>
      <c r="B846">
        <f>Skills!B15</f>
        <v/>
      </c>
      <c r="C846">
        <f>Inputs!$B$3&gt;=75</f>
        <v/>
      </c>
      <c r="D846">
        <f>IF(Skills!C15=1,60+Inputs!$B$25+Inputs!$B$29,IF(Skills!C15=2,90+Inputs!$B$26+Inputs!$B$29,IF(Skills!C15=3,120+Inputs!$B$27+Inputs!$B$29,MAX(0,(Inputs!$B$3-100)*3)+(Inputs!$B$28+1)+Inputs!$B$29)))</f>
        <v/>
      </c>
      <c r="E846">
        <f>INDEX(FactorTable!$B$2:$Y$301, MATCH(ROUND(MIN(300,MAX(1,D846)),0), FactorTable!$A$2:$A$301,0), Skills!M15+1)</f>
        <v/>
      </c>
      <c r="F846">
        <f>IF(Skills!N15=TRUE,(Skills!L15/10)*(E846/1000),Skills!L15/10)+Skills!O15</f>
        <v/>
      </c>
      <c r="G846">
        <f>Skills!G15*IF(Skills!H15&gt;0,Skills!I15/Skills!H15,1)</f>
        <v/>
      </c>
      <c r="H846">
        <f>1-(1-Skills!J15/100)^Skills!K15</f>
        <v/>
      </c>
      <c r="I846" t="inlineStr">
        <is>
          <t>1</t>
        </is>
      </c>
      <c r="J846" t="inlineStr"/>
      <c r="K846" t="inlineStr"/>
      <c r="L846" t="inlineStr"/>
      <c r="M846" t="inlineStr"/>
      <c r="N846" t="inlineStr"/>
      <c r="O846">
        <f>(1-Summary!$B$11)*T846+Summary!$B$11*V846</f>
        <v/>
      </c>
      <c r="P846">
        <f>IF(B868=0,0,O846/B868)</f>
        <v/>
      </c>
      <c r="Q846">
        <f>IFERROR(1/(IF(Inputs!$B$38="pvp",15,MAX(0.1,Skills!D15-IF(Skills!E15=TRUE,Inputs!$B$32,0)))*(1-IF(AND(ArtifactsInput!$M$27,Inputs!$B$4="Chapter Hunt"),CHOOSE(ArtifactsInput!$N$27+1,20,24,28,32,36,40),0)/100)),0)</f>
        <v/>
      </c>
      <c r="R846">
        <f>IF(AND(Inputs!$B$38&lt;&gt;"pvp",Inputs!$B$43&gt;0),IF(Inputs!$B$43&lt;=0,0,(INT(Inputs!$B$43/(IF(Inputs!$B$38="pvp",15,MAX(0.1,Skills!D15-IF(Skills!E15=TRUE,Inputs!$B$32,0)))*(1-IF(AND(ArtifactsInput!$M$27,Inputs!$B$4="Chapter Hunt"),CHOOSE(ArtifactsInput!$N$27+1,20,24,28,32,36,40),0)/100)))+1)),0)</f>
        <v/>
      </c>
      <c r="S846">
        <f>IFERROR(O846/N846,0)</f>
        <v/>
      </c>
      <c r="T846" t="n">
        <v>0</v>
      </c>
      <c r="V846" t="n">
        <v>0</v>
      </c>
    </row>
    <row r="847">
      <c r="A847">
        <f>Skills!A16</f>
        <v/>
      </c>
      <c r="B847">
        <f>Skills!B16</f>
        <v/>
      </c>
      <c r="C847">
        <f>Inputs!$B$3&gt;=105</f>
        <v/>
      </c>
      <c r="D847">
        <f>IF(Skills!C16=1,60+Inputs!$B$25+Inputs!$B$29,IF(Skills!C16=2,90+Inputs!$B$26+Inputs!$B$29,IF(Skills!C16=3,120+Inputs!$B$27+Inputs!$B$29,MAX(0,(Inputs!$B$3-100)*3)+(Inputs!$B$28+1)+Inputs!$B$29)))</f>
        <v/>
      </c>
      <c r="E847">
        <f>INDEX(FactorTable!$B$2:$Y$301, MATCH(ROUND(MIN(300,MAX(1,D847)),0), FactorTable!$A$2:$A$301,0), Skills!M16+1)</f>
        <v/>
      </c>
      <c r="F847">
        <f>IF(Skills!N16=TRUE,(Skills!L16/10)*(E847/1000),Skills!L16/10)+Skills!O16</f>
        <v/>
      </c>
      <c r="G847">
        <f>Skills!G16*IF(Skills!H16&gt;0,Skills!I16/Skills!H16,1)</f>
        <v/>
      </c>
      <c r="H847">
        <f>1-(1-Skills!J16/100)^Skills!K16</f>
        <v/>
      </c>
      <c r="I847" t="inlineStr">
        <is>
          <t>1</t>
        </is>
      </c>
      <c r="J847" t="inlineStr"/>
      <c r="K847" t="inlineStr"/>
      <c r="L847" t="inlineStr"/>
      <c r="M847" t="inlineStr"/>
      <c r="N847" t="inlineStr"/>
      <c r="O847">
        <f>(1-Summary!$B$11)*T847+Summary!$B$11*V847</f>
        <v/>
      </c>
      <c r="P847">
        <f>IF(B868=0,0,O847/B868)</f>
        <v/>
      </c>
      <c r="Q847">
        <f>IFERROR(1/(IF(Inputs!$B$38="pvp",15,MAX(0.1,Skills!D16-IF(Skills!E16=TRUE,Inputs!$B$32,0)))*(1-IF(AND(ArtifactsInput!$M$27,Inputs!$B$4="Chapter Hunt"),CHOOSE(ArtifactsInput!$N$27+1,20,24,28,32,36,40),0)/100)),0)</f>
        <v/>
      </c>
      <c r="R847">
        <f>IF(AND(Inputs!$B$38&lt;&gt;"pvp",Inputs!$B$43&gt;0),IF(Inputs!$B$43&lt;=0,0,(INT(Inputs!$B$43/(IF(Inputs!$B$38="pvp",15,MAX(0.1,Skills!D16-IF(Skills!E16=TRUE,Inputs!$B$32,0)))*(1-IF(AND(ArtifactsInput!$M$27,Inputs!$B$4="Chapter Hunt"),CHOOSE(ArtifactsInput!$N$27+1,20,24,28,32,36,40),0)/100)))+1)),0)</f>
        <v/>
      </c>
      <c r="S847">
        <f>IFERROR(O847/N847,0)</f>
        <v/>
      </c>
      <c r="T847" t="n">
        <v>0</v>
      </c>
      <c r="V847" t="n">
        <v>0</v>
      </c>
    </row>
    <row r="848">
      <c r="A848">
        <f>Skills!A17</f>
        <v/>
      </c>
      <c r="B848">
        <f>Skills!B17</f>
        <v/>
      </c>
      <c r="C848">
        <f>Inputs!$B$3&gt;=115</f>
        <v/>
      </c>
      <c r="D848">
        <f>IF(Skills!C17=1,60+Inputs!$B$25+Inputs!$B$29,IF(Skills!C17=2,90+Inputs!$B$26+Inputs!$B$29,IF(Skills!C17=3,120+Inputs!$B$27+Inputs!$B$29,MAX(0,(Inputs!$B$3-100)*3)+(Inputs!$B$28+1)+Inputs!$B$29)))</f>
        <v/>
      </c>
      <c r="E848">
        <f>INDEX(FactorTable!$B$2:$Y$301, MATCH(ROUND(MIN(300,MAX(1,D848)),0), FactorTable!$A$2:$A$301,0), Skills!M17+1)</f>
        <v/>
      </c>
      <c r="F848">
        <f>IF(Skills!N17=TRUE,(Skills!L17/10)*(E848/1000),Skills!L17/10)+Skills!O17</f>
        <v/>
      </c>
      <c r="G848">
        <f>Skills!G17*IF(Skills!H17&gt;0,Skills!I17/Skills!H17,1)</f>
        <v/>
      </c>
      <c r="H848">
        <f>1-(1-Skills!J17/100)^Skills!K17</f>
        <v/>
      </c>
      <c r="I848" t="inlineStr">
        <is>
          <t>1</t>
        </is>
      </c>
      <c r="J848" t="inlineStr"/>
      <c r="K848" t="inlineStr"/>
      <c r="L848" t="inlineStr"/>
      <c r="M848" t="inlineStr"/>
      <c r="N848" t="inlineStr"/>
      <c r="O848">
        <f>(1-Summary!$B$11)*T848+Summary!$B$11*V848</f>
        <v/>
      </c>
      <c r="P848">
        <f>IF(B868=0,0,O848/B868)</f>
        <v/>
      </c>
      <c r="Q848">
        <f>IFERROR(1/(IF(Inputs!$B$38="pvp",15,MAX(0.1,Skills!D17-IF(Skills!E17=TRUE,Inputs!$B$32,0)))*(1-IF(AND(ArtifactsInput!$M$27,Inputs!$B$4="Chapter Hunt"),CHOOSE(ArtifactsInput!$N$27+1,20,24,28,32,36,40),0)/100)),0)</f>
        <v/>
      </c>
      <c r="R848">
        <f>IF(AND(Inputs!$B$38&lt;&gt;"pvp",Inputs!$B$43&gt;0),IF(Inputs!$B$43&lt;=0,0,(INT(Inputs!$B$43/(IF(Inputs!$B$38="pvp",15,MAX(0.1,Skills!D17-IF(Skills!E17=TRUE,Inputs!$B$32,0)))*(1-IF(AND(ArtifactsInput!$M$27,Inputs!$B$4="Chapter Hunt"),CHOOSE(ArtifactsInput!$N$27+1,20,24,28,32,36,40),0)/100)))+1)),0)</f>
        <v/>
      </c>
      <c r="S848">
        <f>IFERROR(O848/N848,0)</f>
        <v/>
      </c>
      <c r="T848" t="n">
        <v>0</v>
      </c>
      <c r="V848" t="n">
        <v>0</v>
      </c>
    </row>
    <row r="849">
      <c r="A849">
        <f>Skills!A18</f>
        <v/>
      </c>
      <c r="B849">
        <f>Skills!B18</f>
        <v/>
      </c>
      <c r="C849">
        <f>Inputs!$B$3&gt;=74</f>
        <v/>
      </c>
      <c r="D849">
        <f>IF(Skills!C18=1,60+Inputs!$B$25+Inputs!$B$29,IF(Skills!C18=2,90+Inputs!$B$26+Inputs!$B$29,IF(Skills!C18=3,120+Inputs!$B$27+Inputs!$B$29,MAX(0,(Inputs!$B$3-100)*3)+(Inputs!$B$28+1)+Inputs!$B$29)))</f>
        <v/>
      </c>
      <c r="E849">
        <f>INDEX(FactorTable!$B$2:$Y$301, MATCH(ROUND(MIN(300,MAX(1,D849)),0), FactorTable!$A$2:$A$301,0), Skills!M18+1)</f>
        <v/>
      </c>
      <c r="F849">
        <f>IF(Skills!N18=TRUE,(Skills!L18/10)*(E849/1000),Skills!L18/10)+Skills!O18</f>
        <v/>
      </c>
      <c r="G849">
        <f>Skills!G18*IF(Skills!H18&gt;0,Skills!I18/Skills!H18,1)</f>
        <v/>
      </c>
      <c r="H849">
        <f>1-(1-Skills!J18/100)^Skills!K18</f>
        <v/>
      </c>
      <c r="I849" t="inlineStr">
        <is>
          <t>1</t>
        </is>
      </c>
      <c r="J849" t="inlineStr"/>
      <c r="K849" t="inlineStr"/>
      <c r="L849" t="inlineStr"/>
      <c r="M849" t="inlineStr"/>
      <c r="N849" t="inlineStr"/>
      <c r="O849">
        <f>(1-Summary!$B$11)*T849+Summary!$B$11*V849</f>
        <v/>
      </c>
      <c r="P849">
        <f>IF(B868=0,0,O849/B868)</f>
        <v/>
      </c>
      <c r="Q849">
        <f>IFERROR(1/(IF(Inputs!$B$38="pvp",15,MAX(0.1,Skills!D18-IF(Skills!E18=TRUE,Inputs!$B$32,0)))*(1-IF(AND(ArtifactsInput!$M$27,Inputs!$B$4="Chapter Hunt"),CHOOSE(ArtifactsInput!$N$27+1,20,24,28,32,36,40),0)/100)),0)</f>
        <v/>
      </c>
      <c r="R849">
        <f>IF(AND(Inputs!$B$38&lt;&gt;"pvp",Inputs!$B$43&gt;0),IF(Inputs!$B$43&lt;=0,0,(INT(Inputs!$B$43/(IF(Inputs!$B$38="pvp",15,MAX(0.1,Skills!D18-IF(Skills!E18=TRUE,Inputs!$B$32,0)))*(1-IF(AND(ArtifactsInput!$M$27,Inputs!$B$4="Chapter Hunt"),CHOOSE(ArtifactsInput!$N$27+1,20,24,28,32,36,40),0)/100)))+1)),0)</f>
        <v/>
      </c>
      <c r="S849">
        <f>IFERROR(O849/N849,0)</f>
        <v/>
      </c>
      <c r="T849" t="n">
        <v>0</v>
      </c>
      <c r="V849" t="n">
        <v>0</v>
      </c>
    </row>
    <row r="850">
      <c r="A850">
        <f>Skills!A19</f>
        <v/>
      </c>
      <c r="B850">
        <f>Skills!B19</f>
        <v/>
      </c>
      <c r="C850">
        <f>TRUE</f>
        <v/>
      </c>
      <c r="D850">
        <f>IF(Skills!C19=1,60+Inputs!$B$25+Inputs!$B$29,IF(Skills!C19=2,90+Inputs!$B$26+Inputs!$B$29,IF(Skills!C19=3,120+Inputs!$B$27+Inputs!$B$29,MAX(0,(Inputs!$B$3-100)*3)+(Inputs!$B$28+1)+Inputs!$B$29)))</f>
        <v/>
      </c>
      <c r="E850">
        <f>INDEX(FactorTable!$B$2:$Y$301, MATCH(ROUND(MIN(300,MAX(1,D850)),0), FactorTable!$A$2:$A$301,0), Skills!M19+1)</f>
        <v/>
      </c>
      <c r="F850">
        <f>IF(Skills!N19=TRUE,(Skills!L19/10)*(E850/1000),Skills!L19/10)+Skills!O19</f>
        <v/>
      </c>
      <c r="G850">
        <f>Skills!G19*IF(Skills!H19&gt;0,Skills!I19/Skills!H19,1)</f>
        <v/>
      </c>
      <c r="H850">
        <f>1-(1-Skills!J19/100)^Skills!K19</f>
        <v/>
      </c>
      <c r="I850" t="inlineStr">
        <is>
          <t>1</t>
        </is>
      </c>
      <c r="J850" t="inlineStr"/>
      <c r="K850" t="inlineStr"/>
      <c r="L850" t="inlineStr"/>
      <c r="M850" t="inlineStr"/>
      <c r="N850" t="inlineStr"/>
      <c r="O850">
        <f>(1-Summary!$B$11)*T850+Summary!$B$11*V850</f>
        <v/>
      </c>
      <c r="P850">
        <f>IF(B868=0,0,O850/B868)</f>
        <v/>
      </c>
      <c r="Q850">
        <f>IFERROR(1/(IF(Inputs!$B$38="pvp",15,MAX(0.1,Skills!D19-IF(Skills!E19=TRUE,Inputs!$B$32,0)))*(1-IF(AND(ArtifactsInput!$M$27,Inputs!$B$4="Chapter Hunt"),CHOOSE(ArtifactsInput!$N$27+1,20,24,28,32,36,40),0)/100)),0)</f>
        <v/>
      </c>
      <c r="R850">
        <f>IF(AND(Inputs!$B$38&lt;&gt;"pvp",Inputs!$B$43&gt;0),IF(Inputs!$B$43&lt;=0,0,(INT(Inputs!$B$43/(IF(Inputs!$B$38="pvp",15,MAX(0.1,Skills!D19-IF(Skills!E19=TRUE,Inputs!$B$32,0)))*(1-IF(AND(ArtifactsInput!$M$27,Inputs!$B$4="Chapter Hunt"),CHOOSE(ArtifactsInput!$N$27+1,20,24,28,32,36,40),0)/100)))+1)),0)</f>
        <v/>
      </c>
      <c r="S850">
        <f>IFERROR(O850/N850,0)</f>
        <v/>
      </c>
      <c r="T850" t="n">
        <v>0</v>
      </c>
      <c r="V850" t="n">
        <v>0</v>
      </c>
    </row>
    <row r="851">
      <c r="A851">
        <f>Skills!A20</f>
        <v/>
      </c>
      <c r="B851">
        <f>Skills!B20</f>
        <v/>
      </c>
      <c r="C851">
        <f>Inputs!$B$3&gt;=33</f>
        <v/>
      </c>
      <c r="D851">
        <f>IF(Skills!C20=1,60+Inputs!$B$25+Inputs!$B$29,IF(Skills!C20=2,90+Inputs!$B$26+Inputs!$B$29,IF(Skills!C20=3,120+Inputs!$B$27+Inputs!$B$29,MAX(0,(Inputs!$B$3-100)*3)+(Inputs!$B$28+1)+Inputs!$B$29)))</f>
        <v/>
      </c>
      <c r="E851">
        <f>INDEX(FactorTable!$B$2:$Y$301, MATCH(ROUND(MIN(300,MAX(1,D851)),0), FactorTable!$A$2:$A$301,0), Skills!M20+1)</f>
        <v/>
      </c>
      <c r="F851">
        <f>IF(Skills!N20=TRUE,(Skills!L20/10)*(E851/1000),Skills!L20/10)+Skills!O20</f>
        <v/>
      </c>
      <c r="G851">
        <f>Skills!G20*IF(Skills!H20&gt;0,Skills!I20/Skills!H20,1)</f>
        <v/>
      </c>
      <c r="H851">
        <f>1-(1-Skills!J20/100)^Skills!K20</f>
        <v/>
      </c>
      <c r="I851" t="inlineStr">
        <is>
          <t>1</t>
        </is>
      </c>
      <c r="J851" t="inlineStr"/>
      <c r="K851" t="inlineStr"/>
      <c r="L851" t="inlineStr"/>
      <c r="M851" t="inlineStr"/>
      <c r="N851" t="inlineStr"/>
      <c r="O851">
        <f>(1-Summary!$B$11)*T851+Summary!$B$11*V851</f>
        <v/>
      </c>
      <c r="P851">
        <f>IF(B868=0,0,O851/B868)</f>
        <v/>
      </c>
      <c r="Q851" t="n">
        <v>0</v>
      </c>
      <c r="R851" t="n">
        <v>0</v>
      </c>
      <c r="S851">
        <f>IFERROR(O851/N851,0)</f>
        <v/>
      </c>
      <c r="T851" t="n">
        <v>0</v>
      </c>
      <c r="V851" t="n">
        <v>0</v>
      </c>
    </row>
    <row r="852">
      <c r="A852">
        <f>Skills!A21</f>
        <v/>
      </c>
      <c r="B852">
        <f>Skills!B21</f>
        <v/>
      </c>
      <c r="C852">
        <f>Inputs!$B$3&gt;=38</f>
        <v/>
      </c>
      <c r="D852">
        <f>IF(Skills!C21=1,60+Inputs!$B$25+Inputs!$B$29,IF(Skills!C21=2,90+Inputs!$B$26+Inputs!$B$29,IF(Skills!C21=3,120+Inputs!$B$27+Inputs!$B$29,MAX(0,(Inputs!$B$3-100)*3)+(Inputs!$B$28+1)+Inputs!$B$29)))</f>
        <v/>
      </c>
      <c r="E852">
        <f>INDEX(FactorTable!$B$2:$Y$301, MATCH(ROUND(MIN(300,MAX(1,D852)),0), FactorTable!$A$2:$A$301,0), Skills!M21+1)</f>
        <v/>
      </c>
      <c r="F852">
        <f>IF(Skills!N21=TRUE,(Skills!L21/10)*(E852/1000),Skills!L21/10)+Skills!O21</f>
        <v/>
      </c>
      <c r="G852">
        <f>Skills!G21*IF(Skills!H21&gt;0,Skills!I21/Skills!H21,1)</f>
        <v/>
      </c>
      <c r="H852">
        <f>1-(1-Skills!J21/100)^Skills!K21</f>
        <v/>
      </c>
      <c r="I852" t="inlineStr">
        <is>
          <t>1</t>
        </is>
      </c>
      <c r="J852" t="inlineStr"/>
      <c r="K852" t="inlineStr"/>
      <c r="L852" t="inlineStr"/>
      <c r="M852" t="inlineStr"/>
      <c r="N852" t="inlineStr"/>
      <c r="O852">
        <f>(1-Summary!$B$11)*T852+Summary!$B$11*V852</f>
        <v/>
      </c>
      <c r="P852">
        <f>IF(B868=0,0,O852/B868)</f>
        <v/>
      </c>
      <c r="Q852" t="n">
        <v>0</v>
      </c>
      <c r="R852" t="n">
        <v>0</v>
      </c>
      <c r="S852">
        <f>IFERROR(O852/N852,0)</f>
        <v/>
      </c>
      <c r="T852" t="n">
        <v>0</v>
      </c>
      <c r="V852" t="n">
        <v>0</v>
      </c>
    </row>
    <row r="853">
      <c r="A853">
        <f>Skills!A22</f>
        <v/>
      </c>
      <c r="B853">
        <f>Skills!B22</f>
        <v/>
      </c>
      <c r="C853">
        <f>Inputs!$B$3&gt;=43</f>
        <v/>
      </c>
      <c r="D853">
        <f>IF(Skills!C22=1,60+Inputs!$B$25+Inputs!$B$29,IF(Skills!C22=2,90+Inputs!$B$26+Inputs!$B$29,IF(Skills!C22=3,120+Inputs!$B$27+Inputs!$B$29,MAX(0,(Inputs!$B$3-100)*3)+(Inputs!$B$28+1)+Inputs!$B$29)))</f>
        <v/>
      </c>
      <c r="E853">
        <f>INDEX(FactorTable!$B$2:$Y$301, MATCH(ROUND(MIN(300,MAX(1,D853)),0), FactorTable!$A$2:$A$301,0), Skills!M22+1)</f>
        <v/>
      </c>
      <c r="F853">
        <f>IF(Skills!N22=TRUE,(Skills!L22/10)*(E853/1000),Skills!L22/10)+Skills!O22</f>
        <v/>
      </c>
      <c r="G853">
        <f>Skills!G22*IF(Skills!H22&gt;0,Skills!I22/Skills!H22,1)</f>
        <v/>
      </c>
      <c r="H853">
        <f>1-(1-Skills!J22/100)^Skills!K22</f>
        <v/>
      </c>
      <c r="I853" t="inlineStr">
        <is>
          <t>1</t>
        </is>
      </c>
      <c r="J853" t="inlineStr"/>
      <c r="K853" t="inlineStr"/>
      <c r="L853" t="inlineStr"/>
      <c r="M853" t="inlineStr"/>
      <c r="N853" t="inlineStr"/>
      <c r="O853">
        <f>(1-Summary!$B$11)*T853+Summary!$B$11*V853</f>
        <v/>
      </c>
      <c r="P853">
        <f>IF(B868=0,0,O853/B868)</f>
        <v/>
      </c>
      <c r="Q853" t="n">
        <v>0</v>
      </c>
      <c r="R853" t="n">
        <v>0</v>
      </c>
      <c r="S853">
        <f>IFERROR(O853/N853,0)</f>
        <v/>
      </c>
      <c r="T853" t="n">
        <v>0</v>
      </c>
      <c r="V853" t="n">
        <v>0</v>
      </c>
    </row>
    <row r="854">
      <c r="A854">
        <f>Skills!A23</f>
        <v/>
      </c>
      <c r="B854">
        <f>Skills!B23</f>
        <v/>
      </c>
      <c r="C854">
        <f>Inputs!$B$3&gt;=120</f>
        <v/>
      </c>
      <c r="D854">
        <f>IF(Skills!C23=1,60+Inputs!$B$25+Inputs!$B$29,IF(Skills!C23=2,90+Inputs!$B$26+Inputs!$B$29,IF(Skills!C23=3,120+Inputs!$B$27+Inputs!$B$29,MAX(0,(Inputs!$B$3-100)*3)+(Inputs!$B$28+1)+Inputs!$B$29)))</f>
        <v/>
      </c>
      <c r="E854">
        <f>INDEX(FactorTable!$B$2:$Y$301, MATCH(ROUND(MIN(300,MAX(1,D854)),0), FactorTable!$A$2:$A$301,0), Skills!M23+1)</f>
        <v/>
      </c>
      <c r="F854">
        <f>IF(Skills!N23=TRUE,(Skills!L23/10)*(E854/1000),Skills!L23/10)+Skills!O23</f>
        <v/>
      </c>
      <c r="G854">
        <f>Skills!G23*IF(Skills!H23&gt;0,Skills!I23/Skills!H23,1)</f>
        <v/>
      </c>
      <c r="H854">
        <f>1-(1-Skills!J23/100)^Skills!K23</f>
        <v/>
      </c>
      <c r="I854" t="inlineStr">
        <is>
          <t>1</t>
        </is>
      </c>
      <c r="J854" t="inlineStr"/>
      <c r="K854" t="inlineStr"/>
      <c r="L854" t="inlineStr"/>
      <c r="M854" t="inlineStr"/>
      <c r="N854" t="inlineStr"/>
      <c r="O854">
        <f>(1-Summary!$B$11)*T854+Summary!$B$11*V854</f>
        <v/>
      </c>
      <c r="P854">
        <f>IF(B868=0,0,O854/B868)</f>
        <v/>
      </c>
      <c r="Q854" t="n">
        <v>0</v>
      </c>
      <c r="R854" t="n">
        <v>0</v>
      </c>
      <c r="S854">
        <f>IFERROR(O854/N854,0)</f>
        <v/>
      </c>
      <c r="T854" t="n">
        <v>0</v>
      </c>
      <c r="V854" t="n">
        <v>0</v>
      </c>
    </row>
    <row r="855">
      <c r="A855">
        <f>Skills!A24</f>
        <v/>
      </c>
      <c r="B855">
        <f>Skills!B24</f>
        <v/>
      </c>
      <c r="C855">
        <f>Inputs!$B$3&gt;=120</f>
        <v/>
      </c>
      <c r="D855">
        <f>IF(Skills!C24=1,60+Inputs!$B$25+Inputs!$B$29,IF(Skills!C24=2,90+Inputs!$B$26+Inputs!$B$29,IF(Skills!C24=3,120+Inputs!$B$27+Inputs!$B$29,MAX(0,(Inputs!$B$3-100)*3)+(Inputs!$B$28+1)+Inputs!$B$29)))</f>
        <v/>
      </c>
      <c r="E855">
        <f>INDEX(FactorTable!$B$2:$Y$301, MATCH(ROUND(MIN(300,MAX(1,D855)),0), FactorTable!$A$2:$A$301,0), Skills!M24+1)</f>
        <v/>
      </c>
      <c r="F855">
        <f>IF(Skills!N24=TRUE,(Skills!L24/10)*(E855/1000),Skills!L24/10)+Skills!O24</f>
        <v/>
      </c>
      <c r="G855">
        <f>Skills!G24*IF(Skills!H24&gt;0,Skills!I24/Skills!H24,1)</f>
        <v/>
      </c>
      <c r="H855">
        <f>1-(1-Skills!J24/100)^Skills!K24</f>
        <v/>
      </c>
      <c r="I855" t="inlineStr">
        <is>
          <t>1</t>
        </is>
      </c>
      <c r="J855" t="inlineStr"/>
      <c r="K855" t="inlineStr"/>
      <c r="L855" t="inlineStr"/>
      <c r="M855" t="inlineStr"/>
      <c r="N855" t="inlineStr"/>
      <c r="O855">
        <f>(1-Summary!$B$11)*T855+Summary!$B$11*V855</f>
        <v/>
      </c>
      <c r="P855">
        <f>IF(B868=0,0,O855/B868)</f>
        <v/>
      </c>
      <c r="Q855" t="n">
        <v>0</v>
      </c>
      <c r="R855" t="n">
        <v>0</v>
      </c>
      <c r="S855">
        <f>IFERROR(O855/N855,0)</f>
        <v/>
      </c>
      <c r="T855" t="n">
        <v>0</v>
      </c>
      <c r="V855" t="n">
        <v>0</v>
      </c>
    </row>
    <row r="857">
      <c r="A857" t="inlineStr">
        <is>
          <t>Attack% Bucket Multiplier</t>
        </is>
      </c>
      <c r="B857">
        <f>(1+(((C844=TRUE)*F844*MIN(1,Skills!T13*(Skills!J13/100)*B862))+((C849=TRUE)*F849*IF(AND(Inputs!$B$38&lt;&gt;"pvp",Inputs!$B$43&gt;0),(((R849-1)*(Skills!T18*(1+Inputs!$B$34/100))+MIN((Skills!T18*(1+Inputs!$B$34/100)),MAX(0,Inputs!$B$43-((R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58">
      <c r="A858" t="inlineStr">
        <is>
          <t>Global Crit Rate Bonus %</t>
        </is>
      </c>
      <c r="B858" t="n">
        <v>0</v>
      </c>
    </row>
    <row r="859">
      <c r="A859" t="inlineStr">
        <is>
          <t>Attack Speed Buff Bonus %</t>
        </is>
      </c>
      <c r="B859">
        <f>((C850=TRUE)*F850*IF(AND(Inputs!$B$38&lt;&gt;"pvp",Inputs!$B$43&gt;0),(((R850-1)*(Skills!T19*(1+Inputs!$B$34/100))+MIN((Skills!T19*(1+Inputs!$B$34/100)),MAX(0,Inputs!$B$43-((R850-1)*Skills!D19))))/Inputs!$B$43),IF(Inputs!$B$38="pvp",MIN((Skills!T19*(1+Inputs!$B$34/100)),15)/15,(Skills!T19*(1+Inputs!$B$34/100))/Skills!D19)))</f>
        <v/>
      </c>
    </row>
    <row r="860">
      <c r="A860" t="inlineStr">
        <is>
          <t>Actions Per Second</t>
        </is>
      </c>
      <c r="B860">
        <f>1+MIN(150,150*(1-(1-(Inputs!$B$11+((C851=TRUE)*(F851-Calc!F20)))/150)*(1-B859/150)))/100</f>
        <v/>
      </c>
    </row>
    <row r="861">
      <c r="A861" t="inlineStr">
        <is>
          <t>Skill + Buff Cast Rate</t>
        </is>
      </c>
      <c r="B861">
        <f>IF(AND(Inputs!$B$38&lt;&gt;"pvp",Inputs!$B$43&gt;0),SUMPRODUCT((Skills!E2:E24=TRUE)*(C833:C855=TRUE)*R833:R855*Skills!F2:F24)/Inputs!$B$43,SUMPRODUCT((Skills!E2:E24=TRUE)*(C833:C855=TRUE)*Q833:Q855*Skills!F2:F24))</f>
        <v/>
      </c>
    </row>
    <row r="862">
      <c r="A862" t="inlineStr">
        <is>
          <t>Blast Casts Per Second</t>
        </is>
      </c>
      <c r="B862">
        <f>MAX(0,B860-B861)</f>
        <v/>
      </c>
    </row>
    <row r="863">
      <c r="A863" t="inlineStr">
        <is>
          <t>Global Critical Damage Bonus % (unused)</t>
        </is>
      </c>
      <c r="B863" t="n">
        <v>0</v>
      </c>
    </row>
    <row r="864">
      <c r="A864" t="inlineStr">
        <is>
          <t>Global Final Damage Bonus % (Divine Shield + Guardian + Divine Blessing + Greater Vessel of Light)</t>
        </is>
      </c>
      <c r="B864">
        <f>((C846=TRUE)*F846*IF(AND(Inputs!$B$38&lt;&gt;"pvp",Inputs!$B$43&gt;0),(((R846-1)*(Skills!T15*(1+Inputs!$B$34/100))+MIN((Skills!T15*(1+Inputs!$B$34/100)),MAX(0,Inputs!$B$43-((R846-1)*Skills!D15))))/Inputs!$B$43),IF(Inputs!$B$38="pvp",MIN((Skills!T15*(1+Inputs!$B$34/100)),15)/15,(Skills!T15*(1+Inputs!$B$34/100))/Skills!D15)))+((C847=TRUE)*F847*IF(AND(Inputs!$B$38&lt;&gt;"pvp",Inputs!$B$43&gt;0),(((R847-1)*(Skills!T16*(1+Inputs!$B$34/100))+MIN((Skills!T16*(1+Inputs!$B$34/100)),MAX(0,Inputs!$B$43-((R847-1)*Skills!D16))))/Inputs!$B$43),IF(Inputs!$B$38="pvp",MIN((Skills!T16*(1+Inputs!$B$34/100)),15)/15,(Skills!T16*(1+Inputs!$B$34/100))/Skills!D16)))+((C848=TRUE)*F848*IF(AND(Inputs!$B$38&lt;&gt;"pvp",Inputs!$B$43&gt;0),(((R848-1)*(Skills!T17*(1+Inputs!$B$34/100))+MIN((Skills!T17*(1+Inputs!$B$34/100)),MAX(0,Inputs!$B$43-((R848-1)*Skills!D17))))/Inputs!$B$43),IF(Inputs!$B$38="pvp",MIN((Skills!T17*(1+Inputs!$B$34/100)),15)/15,(Skills!T17*(1+Inputs!$B$34/100))/Skills!D17)))+((C845=TRUE)*F845*MIN(1,Skills!T13*(Skills!J13/100)*B862))</f>
        <v/>
      </c>
    </row>
    <row r="865">
      <c r="A865" t="inlineStr">
        <is>
          <t>Buff-Casting Startup Delay (s, fixed-duration only)</t>
        </is>
      </c>
      <c r="B865">
        <f>IF(AND(Inputs!$B$38&lt;&gt;"pvp",Inputs!$B$43&gt;0),SUMPRODUCT((Skills!T2:T24&gt;0)*(Skills!E2:E24=TRUE)*(C833:C855=TRUE))/B860,0)</f>
        <v/>
      </c>
    </row>
    <row r="866">
      <c r="A866" t="inlineStr">
        <is>
          <t>Boss-Only Total DPS (this block's swept value)</t>
        </is>
      </c>
      <c r="B866">
        <f>SUM(T833:T855)</f>
        <v/>
      </c>
    </row>
    <row r="867">
      <c r="A867" t="inlineStr">
        <is>
          <t>Normal-Only Total DPS (this block's swept value)</t>
        </is>
      </c>
      <c r="B867">
        <f>SUM(V833:V855)</f>
        <v/>
      </c>
    </row>
    <row r="868">
      <c r="A868" s="6" t="inlineStr">
        <is>
          <t>TOTAL DPS</t>
        </is>
      </c>
      <c r="B868" s="6">
        <f>SUM(O833:O855)</f>
        <v/>
      </c>
    </row>
    <row r="871">
      <c r="A871" s="6" t="inlineStr">
        <is>
          <t>Stat: Skill Level Bonus — All Skills</t>
        </is>
      </c>
    </row>
    <row r="872">
      <c r="A872" s="5" t="inlineStr">
        <is>
          <t>Key</t>
        </is>
      </c>
      <c r="B872" s="5" t="inlineStr">
        <is>
          <t>Name</t>
        </is>
      </c>
      <c r="C872" s="5" t="inlineStr">
        <is>
          <t>Unlocked</t>
        </is>
      </c>
      <c r="D872" s="5" t="inlineStr">
        <is>
          <t>InputLevel</t>
        </is>
      </c>
      <c r="E872" s="5" t="inlineStr">
        <is>
          <t>Factor</t>
        </is>
      </c>
      <c r="F872" s="5" t="inlineStr">
        <is>
          <t>CoefficientPercent</t>
        </is>
      </c>
      <c r="G872" s="5" t="inlineStr">
        <is>
          <t>EffectiveHits</t>
        </is>
      </c>
      <c r="H872" s="5" t="inlineStr">
        <is>
          <t>ProcProbability</t>
        </is>
      </c>
      <c r="I872" s="5" t="inlineStr">
        <is>
          <t>MapleHeroMultiplier</t>
        </is>
      </c>
      <c r="J872" s="5" t="inlineStr">
        <is>
          <t>BaseDamage</t>
        </is>
      </c>
      <c r="K872" s="5" t="inlineStr">
        <is>
          <t>BaseHitDamage</t>
        </is>
      </c>
      <c r="L872" s="5" t="inlineStr">
        <is>
          <t>NonCritAvg</t>
        </is>
      </c>
      <c r="M872" s="5" t="inlineStr">
        <is>
          <t>CritAvg</t>
        </is>
      </c>
      <c r="N872" s="5" t="inlineStr">
        <is>
          <t>ExpectedDamage(perHit)</t>
        </is>
      </c>
      <c r="O872" s="5" t="inlineStr">
        <is>
          <t>DPS</t>
        </is>
      </c>
      <c r="P872" s="5" t="inlineStr">
        <is>
          <t>% of Total</t>
        </is>
      </c>
      <c r="Q872" s="5" t="inlineStr">
        <is>
          <t>InvCooldown</t>
        </is>
      </c>
      <c r="R872" s="5" t="inlineStr">
        <is>
          <t>CastsInFight</t>
        </is>
      </c>
      <c r="S872" s="5" t="inlineStr">
        <is>
          <t>HitRate(perSec)</t>
        </is>
      </c>
      <c r="U872" t="inlineStr">
        <is>
          <t>helpers</t>
        </is>
      </c>
    </row>
    <row r="873">
      <c r="A873">
        <f>Skills!A2</f>
        <v/>
      </c>
      <c r="B873">
        <f>Skills!B2</f>
        <v/>
      </c>
      <c r="C873">
        <f>Inputs!$B$3&gt;=100</f>
        <v/>
      </c>
      <c r="D873" t="inlineStr"/>
      <c r="E873" t="inlineStr"/>
      <c r="F873">
        <f>U875+Skills!O2</f>
        <v/>
      </c>
      <c r="G873">
        <f>Skills!G2*IF(Skills!H2&gt;0,Skills!I2/Skills!H2,1)</f>
        <v/>
      </c>
      <c r="H873">
        <f>1-(1-Skills!J2/100)^Skills!K2</f>
        <v/>
      </c>
      <c r="I873" t="inlineStr">
        <is>
          <t>1</t>
        </is>
      </c>
      <c r="J873">
        <f>((Inputs!$B$6*(1+Inputs!$B$7/100))+(((Inputs!$B$12*(1+Inputs!$B$13/100))-(Inputs!$B$12*(1+Inputs!$B$13/100)))+0.25*(Inputs!$B$14-Inputs!$B$14))*(1+Inputs!$B$7/100))*(F873/100)</f>
        <v/>
      </c>
      <c r="K873">
        <f>J873*(1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873)</f>
        <v/>
      </c>
      <c r="L873">
        <f>K873*(MIN(Inputs!$B$22+((C893=TRUE)*(F893-Calc!F22)),(Inputs!$B$23+((C895=TRUE)*(F895-Calc!F24))+(IF(ArtifactsInput!$M$15,CHOOSE(ArtifactsInput!$N$15+1,25,30,35,40,45,50)/100*(Inputs!$B$11-Inputs!$B$11),0))))/100+(Inputs!$B$23+((C895=TRUE)*(F895-Calc!F24))+(IF(ArtifactsInput!$M$15,CHOOSE(ArtifactsInput!$N$15+1,25,30,35,40,45,50)/100*(Inputs!$B$11-Inputs!$B$11),0)))/100)/2</f>
        <v/>
      </c>
      <c r="M873">
        <f>L873*(1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3">
        <f>L873*(1-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873*(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3">
        <f>(1-Summary!$B$11)*T873+Summary!$B$11*V873</f>
        <v/>
      </c>
      <c r="P873">
        <f>IF(B908=0,0,O873/B908)</f>
        <v/>
      </c>
      <c r="Q873" t="n">
        <v>0</v>
      </c>
      <c r="R873" t="n">
        <v>0</v>
      </c>
      <c r="S873">
        <f>IFERROR(O873/N873,0)</f>
        <v/>
      </c>
      <c r="T873">
        <f>IF(C873,(Skills!G2*N873*B902)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873*(1-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873*(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873*(1-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873*(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3">
        <f>MAX(0,(Inputs!$B$3-100)*3)+Inputs!$B$28+(Inputs!$B$29+1)</f>
        <v/>
      </c>
      <c r="V873">
        <f>IF(C873,(Skills!G2*N873*B902)*IF(Inputs!$B$38="pvp",1,(1+(Inputs!$B$21+Skills!Q2+(IF(ArtifactsInput!$M$33,CHOOSE(ArtifactsInput!$N$33+1,30,36,42,48,54,60),0))+(IF(AND(ArtifactsInput!$M$35,Inputs!$B$4&lt;&gt;"Chapter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4">
      <c r="A874">
        <f>Skills!A3</f>
        <v/>
      </c>
      <c r="B874">
        <f>Skills!B3</f>
        <v/>
      </c>
      <c r="C874">
        <f>Inputs!$B$3&gt;=50</f>
        <v/>
      </c>
      <c r="D874">
        <f>IF(Skills!C3=1,60+Inputs!$B$25+(Inputs!$B$29+1),IF(Skills!C3=2,90+Inputs!$B$26+(Inputs!$B$29+1),IF(Skills!C3=3,120+Inputs!$B$27+(Inputs!$B$29+1),MAX(0,(Inputs!$B$3-100)*3)+Inputs!$B$28+(Inputs!$B$29+1))))</f>
        <v/>
      </c>
      <c r="E874">
        <f>INDEX(FactorTable!$B$2:$Y$301, MATCH(ROUND(MIN(300,MAX(1,D874)),0), FactorTable!$A$2:$A$301,0), Skills!M3+1)</f>
        <v/>
      </c>
      <c r="F874">
        <f>IF(Skills!N3=TRUE,(Skills!L3/10)*(E874/1000),Skills!L3/10)+Skills!O3</f>
        <v/>
      </c>
      <c r="G874" t="inlineStr"/>
      <c r="H874" t="inlineStr"/>
      <c r="I874" t="inlineStr">
        <is>
          <t>1</t>
        </is>
      </c>
      <c r="J874" t="inlineStr"/>
      <c r="K874" t="inlineStr"/>
      <c r="L874" t="inlineStr"/>
      <c r="M874" t="inlineStr"/>
      <c r="N874" t="inlineStr"/>
      <c r="O874" t="inlineStr"/>
      <c r="P874" t="inlineStr"/>
      <c r="Q874" t="inlineStr"/>
      <c r="R874" t="inlineStr"/>
      <c r="S874" t="inlineStr"/>
      <c r="U874">
        <f>INDEX(FactorTable!$B$2:$Y$301, MATCH(ROUND(MIN(300,MAX(1,U873)),0), FactorTable!$A$2:$A$301,0), 22)</f>
        <v/>
      </c>
    </row>
    <row r="875">
      <c r="A875">
        <f>Skills!A4</f>
        <v/>
      </c>
      <c r="B875">
        <f>Skills!B4</f>
        <v/>
      </c>
      <c r="C875">
        <f>Inputs!$B$3&gt;=35</f>
        <v/>
      </c>
      <c r="D875">
        <f>IF(Skills!C4=1,60+Inputs!$B$25+(Inputs!$B$29+1),IF(Skills!C4=2,90+Inputs!$B$26+(Inputs!$B$29+1),IF(Skills!C4=3,120+Inputs!$B$27+(Inputs!$B$29+1),MAX(0,(Inputs!$B$3-100)*3)+Inputs!$B$28+(Inputs!$B$29+1))))</f>
        <v/>
      </c>
      <c r="E875">
        <f>INDEX(FactorTable!$B$2:$Y$301, MATCH(ROUND(MIN(300,MAX(1,D875)),0), FactorTable!$A$2:$A$301,0), Skills!M4+1)</f>
        <v/>
      </c>
      <c r="F875">
        <f>IF(Skills!N4=TRUE,(Skills!L4/10)*(E875/1000),Skills!L4/10)+Skills!O4</f>
        <v/>
      </c>
      <c r="G875">
        <f>Skills!G4*IF(Skills!H4&gt;0,Skills!I4/Skills!H4,1)</f>
        <v/>
      </c>
      <c r="H875">
        <f>1-(1-Skills!J4/100)^Skills!K4</f>
        <v/>
      </c>
      <c r="I875" t="inlineStr">
        <is>
          <t>1</t>
        </is>
      </c>
      <c r="J875">
        <f>((Inputs!$B$6*(1+Inputs!$B$7/100))+(((Inputs!$B$12*(1+Inputs!$B$13/100))-(Inputs!$B$12*(1+Inputs!$B$13/100)))+0.25*(Inputs!$B$14-Inputs!$B$14))*(1+Inputs!$B$7/100))*(F875/100)</f>
        <v/>
      </c>
      <c r="K875">
        <f>J875*(1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883=TRUE,F883,0)/100)*(1+(IF(Skills!A4="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875)</f>
        <v/>
      </c>
      <c r="L875">
        <f>K875*(MIN(Inputs!$B$22+((C893=TRUE)*(F893-Calc!F22)),(Inputs!$B$23+((C895=TRUE)*(F895-Calc!F24))+(IF(ArtifactsInput!$M$15,CHOOSE(ArtifactsInput!$N$15+1,25,30,35,40,45,50)/100*(Inputs!$B$11-Inputs!$B$11),0))))/100+(Inputs!$B$23+((C895=TRUE)*(F895-Calc!F24))+(IF(ArtifactsInput!$M$15,CHOOSE(ArtifactsInput!$N$15+1,25,30,35,40,45,50)/100*(Inputs!$B$11-Inputs!$B$11),0)))/100)/2</f>
        <v/>
      </c>
      <c r="M875">
        <f>L875*(1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5">
        <f>L875*(1-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875*(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5">
        <f>(1-Summary!$B$11)*T875+Summary!$B$11*V875</f>
        <v/>
      </c>
      <c r="P875">
        <f>IF(B908=0,0,O875/B908)</f>
        <v/>
      </c>
      <c r="Q875">
        <f>IFERROR(1/(IF(Inputs!$B$38="pvp",15,MAX(0.1,Skills!D4-IF(Skills!E4=TRUE,Inputs!$B$32,0)))*(1-IF(AND(ArtifactsInput!$M$27,Inputs!$B$4="Chapter Hunt"),CHOOSE(ArtifactsInput!$N$27+1,20,24,28,32,36,40),0)/100)),0)</f>
        <v/>
      </c>
      <c r="R875">
        <f>IF(AND(Inputs!$B$38&lt;&gt;"pvp",Inputs!$B$43&gt;0),IF(MAX(0,Inputs!$B$43-B905)&lt;=0,0,(INT(MAX(0,Inputs!$B$43-B905)/(IF(Inputs!$B$38="pvp",15,MAX(0.1,Skills!D4-IF(Skills!E4=TRUE,Inputs!$B$32,0)))*(1-IF(AND(ArtifactsInput!$M$27,Inputs!$B$4="Chapter Hunt"),CHOOSE(ArtifactsInput!$N$27+1,20,24,28,32,36,40),0)/100)))+1)),0)</f>
        <v/>
      </c>
      <c r="S875">
        <f>IFERROR(O875/N875,0)</f>
        <v/>
      </c>
      <c r="T875">
        <f>IF(C875,(H875*N875*IF(AND(Inputs!$B$38&lt;&gt;"pvp",Inputs!$B$43&gt;0),((Skills!G4*((R875-1)*IF(Skills!H4&gt;0,Skills!I4/Skills!H4,1)+IF(Skills!H4&gt;0,MIN(Skills!I4,MAX(0,MAX(0,Inputs!$B$43-B905)-((R875-1)*(IF(Inputs!$B$38="pvp",15,MAX(0.1,Skills!D4-IF(Skills!E4=TRUE,Inputs!$B$32,0)))*(1-IF(AND(ArtifactsInput!$M$27,Inputs!$B$4="Chapter Hunt"),CHOOSE(ArtifactsInput!$N$27+1,20,24,28,32,36,40),0)/100)))))/Skills!H4,1)))/Inputs!$B$43),G875*Q875)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875*(1-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875*(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875*(1-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875*(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75">
        <f>290*U874/1000</f>
        <v/>
      </c>
      <c r="V875">
        <f>IF(C875,(H875*N875*IF(AND(Inputs!$B$38&lt;&gt;"pvp",Inputs!$B$43&gt;0),((Skills!G4*((R875-1)*IF(Skills!H4&gt;0,Skills!I4/Skills!H4,1)+IF(Skills!H4&gt;0,MIN(Skills!I4,MAX(0,MAX(0,Inputs!$B$43-B905)-((R875-1)*(IF(Inputs!$B$38="pvp",15,MAX(0.1,Skills!D4-IF(Skills!E4=TRUE,Inputs!$B$32,0)))*(1-IF(AND(ArtifactsInput!$M$27,Inputs!$B$4="Chapter Hunt"),CHOOSE(ArtifactsInput!$N$27+1,20,24,28,32,36,40),0)/100)))))/Skills!H4,1)))/Inputs!$B$43),G875*Q875))*IF(Inputs!$B$38="pvp",1,(1+(Inputs!$B$21+Skills!Q4+(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6">
      <c r="A876">
        <f>Skills!A5</f>
        <v/>
      </c>
      <c r="B876">
        <f>Skills!B5</f>
        <v/>
      </c>
      <c r="C876">
        <f>Inputs!$B$3&gt;=66</f>
        <v/>
      </c>
      <c r="D876">
        <f>IF(Skills!C5=1,60+Inputs!$B$25+(Inputs!$B$29+1),IF(Skills!C5=2,90+Inputs!$B$26+(Inputs!$B$29+1),IF(Skills!C5=3,120+Inputs!$B$27+(Inputs!$B$29+1),MAX(0,(Inputs!$B$3-100)*3)+Inputs!$B$28+(Inputs!$B$29+1))))</f>
        <v/>
      </c>
      <c r="E876">
        <f>INDEX(FactorTable!$B$2:$Y$301, MATCH(ROUND(MIN(300,MAX(1,D876)),0), FactorTable!$A$2:$A$301,0), Skills!M5+1)</f>
        <v/>
      </c>
      <c r="F876">
        <f>IF(Skills!N5=TRUE,(Skills!L5/10)*(E876/1000),Skills!L5/10)+Skills!O5</f>
        <v/>
      </c>
      <c r="G876">
        <f>Skills!G5*IF(Skills!H5&gt;0,Skills!I5/Skills!H5,1)</f>
        <v/>
      </c>
      <c r="H876">
        <f>1-(1-Skills!J5/100)^Skills!K5</f>
        <v/>
      </c>
      <c r="I876" t="inlineStr">
        <is>
          <t>1</t>
        </is>
      </c>
      <c r="J876">
        <f>((Inputs!$B$6*(1+Inputs!$B$7/100))+(((Inputs!$B$12*(1+Inputs!$B$13/100))-(Inputs!$B$12*(1+Inputs!$B$13/100)))+0.25*(Inputs!$B$14-Inputs!$B$14))*(1+Inputs!$B$7/100))*(F876/100)</f>
        <v/>
      </c>
      <c r="K876">
        <f>J876*(1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883=TRUE,F883,0)/100)*(1+(IF(Skills!A5="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876)</f>
        <v/>
      </c>
      <c r="L876">
        <f>K876*(MIN(Inputs!$B$22+((C893=TRUE)*(F893-Calc!F22)),(Inputs!$B$23+((C895=TRUE)*(F895-Calc!F24))+(IF(ArtifactsInput!$M$15,CHOOSE(ArtifactsInput!$N$15+1,25,30,35,40,45,50)/100*(Inputs!$B$11-Inputs!$B$11),0))))/100+(Inputs!$B$23+((C895=TRUE)*(F895-Calc!F24))+(IF(ArtifactsInput!$M$15,CHOOSE(ArtifactsInput!$N$15+1,25,30,35,40,45,50)/100*(Inputs!$B$11-Inputs!$B$11),0)))/100)/2</f>
        <v/>
      </c>
      <c r="M876">
        <f>L876*(1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6">
        <f>L876*(1-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876*(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6">
        <f>(1-Summary!$B$11)*T876+Summary!$B$11*V876</f>
        <v/>
      </c>
      <c r="P876">
        <f>IF(B908=0,0,O876/B908)</f>
        <v/>
      </c>
      <c r="Q876">
        <f>IFERROR(1/(IF(Inputs!$B$38="pvp",15,MAX(0.1,Skills!D5-IF(Skills!E5=TRUE,Inputs!$B$32,0)))*(1-IF(AND(ArtifactsInput!$M$27,Inputs!$B$4="Chapter Hunt"),CHOOSE(ArtifactsInput!$N$27+1,20,24,28,32,36,40),0)/100)),0)</f>
        <v/>
      </c>
      <c r="R876">
        <f>IF(AND(Inputs!$B$38&lt;&gt;"pvp",Inputs!$B$43&gt;0),IF(MAX(0,Inputs!$B$43-B905)&lt;=0,0,(INT(MAX(0,Inputs!$B$43-B905)/(IF(Inputs!$B$38="pvp",15,MAX(0.1,Skills!D5-IF(Skills!E5=TRUE,Inputs!$B$32,0)))*(1-IF(AND(ArtifactsInput!$M$27,Inputs!$B$4="Chapter Hunt"),CHOOSE(ArtifactsInput!$N$27+1,20,24,28,32,36,40),0)/100)))+1)),0)</f>
        <v/>
      </c>
      <c r="S876">
        <f>IFERROR(O876/N876,0)</f>
        <v/>
      </c>
      <c r="T876">
        <f>IF(C876,(H876*N876*IF(AND(Inputs!$B$38&lt;&gt;"pvp",Inputs!$B$43&gt;0),((Skills!G5*((R876-1)*IF(Skills!H5&gt;0,Skills!I5/Skills!H5,1)+IF(Skills!H5&gt;0,MIN(Skills!I5,MAX(0,MAX(0,Inputs!$B$43-B905)-((R876-1)*(IF(Inputs!$B$38="pvp",15,MAX(0.1,Skills!D5-IF(Skills!E5=TRUE,Inputs!$B$32,0)))*(1-IF(AND(ArtifactsInput!$M$27,Inputs!$B$4="Chapter Hunt"),CHOOSE(ArtifactsInput!$N$27+1,20,24,28,32,36,40),0)/100)))))/Skills!H5,1)))/Inputs!$B$43),G876*Q876)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876*(1-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876*(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876*(1-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876*(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6">
        <f>IF(C876,(H876*N876*IF(AND(Inputs!$B$38&lt;&gt;"pvp",Inputs!$B$43&gt;0),((Skills!G5*((R876-1)*IF(Skills!H5&gt;0,Skills!I5/Skills!H5,1)+IF(Skills!H5&gt;0,MIN(Skills!I5,MAX(0,MAX(0,Inputs!$B$43-B905)-((R876-1)*(IF(Inputs!$B$38="pvp",15,MAX(0.1,Skills!D5-IF(Skills!E5=TRUE,Inputs!$B$32,0)))*(1-IF(AND(ArtifactsInput!$M$27,Inputs!$B$4="Chapter Hunt"),CHOOSE(ArtifactsInput!$N$27+1,20,24,28,32,36,40),0)/100)))))/Skills!H5,1)))/Inputs!$B$43),G876*Q876))*IF(Inputs!$B$38="pvp",1,(1+(Inputs!$B$21+Skills!Q5+(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7">
      <c r="A877">
        <f>Skills!A6</f>
        <v/>
      </c>
      <c r="B877">
        <f>Skills!B6</f>
        <v/>
      </c>
      <c r="C877">
        <f>Inputs!$B$3&gt;=103</f>
        <v/>
      </c>
      <c r="D877">
        <f>IF(Skills!C6=1,60+Inputs!$B$25+(Inputs!$B$29+1),IF(Skills!C6=2,90+Inputs!$B$26+(Inputs!$B$29+1),IF(Skills!C6=3,120+Inputs!$B$27+(Inputs!$B$29+1),MAX(0,(Inputs!$B$3-100)*3)+Inputs!$B$28+(Inputs!$B$29+1))))</f>
        <v/>
      </c>
      <c r="E877">
        <f>INDEX(FactorTable!$B$2:$Y$301, MATCH(ROUND(MIN(300,MAX(1,D877)),0), FactorTable!$A$2:$A$301,0), Skills!M6+1)</f>
        <v/>
      </c>
      <c r="F877">
        <f>IF(Skills!N6=TRUE,(Skills!L6/10)*(E877/1000),Skills!L6/10)+Skills!O6</f>
        <v/>
      </c>
      <c r="G877">
        <f>Skills!G6*IF(Skills!H6&gt;0,Skills!I6/Skills!H6,1)</f>
        <v/>
      </c>
      <c r="H877">
        <f>1-(1-Skills!J6/100)^Skills!K6</f>
        <v/>
      </c>
      <c r="I877" t="inlineStr">
        <is>
          <t>1</t>
        </is>
      </c>
      <c r="J877">
        <f>((Inputs!$B$6*(1+Inputs!$B$7/100))+(((Inputs!$B$12*(1+Inputs!$B$13/100))-(Inputs!$B$12*(1+Inputs!$B$13/100)))+0.25*(Inputs!$B$14-Inputs!$B$14))*(1+Inputs!$B$7/100))*(F877/100)</f>
        <v/>
      </c>
      <c r="K877">
        <f>J877*(1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877)</f>
        <v/>
      </c>
      <c r="L877">
        <f>K877*(MIN(Inputs!$B$22+((C893=TRUE)*(F893-Calc!F22)),(Inputs!$B$23+((C895=TRUE)*(F895-Calc!F24))+(IF(ArtifactsInput!$M$15,CHOOSE(ArtifactsInput!$N$15+1,25,30,35,40,45,50)/100*(Inputs!$B$11-Inputs!$B$11),0))))/100+(Inputs!$B$23+((C895=TRUE)*(F895-Calc!F24))+(IF(ArtifactsInput!$M$15,CHOOSE(ArtifactsInput!$N$15+1,25,30,35,40,45,50)/100*(Inputs!$B$11-Inputs!$B$11),0)))/100)/2</f>
        <v/>
      </c>
      <c r="M877">
        <f>L877*(1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7">
        <f>L877*(1-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877*(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7">
        <f>(1-Summary!$B$11)*T877+Summary!$B$11*V877</f>
        <v/>
      </c>
      <c r="P877">
        <f>IF(B908=0,0,O877/B908)</f>
        <v/>
      </c>
      <c r="Q877">
        <f>IFERROR(1/(IF(Inputs!$B$38="pvp",15,MAX(0.1,Skills!D6-IF(Skills!E6=TRUE,Inputs!$B$32,0)))*(1-IF(AND(ArtifactsInput!$M$27,Inputs!$B$4="Chapter Hunt"),CHOOSE(ArtifactsInput!$N$27+1,20,24,28,32,36,40),0)/100)),0)</f>
        <v/>
      </c>
      <c r="R877">
        <f>IF(AND(Inputs!$B$38&lt;&gt;"pvp",Inputs!$B$43&gt;0),IF(MAX(0,Inputs!$B$43-B905)&lt;=0,0,(INT(MAX(0,Inputs!$B$43-B905)/(IF(Inputs!$B$38="pvp",15,MAX(0.1,Skills!D6-IF(Skills!E6=TRUE,Inputs!$B$32,0)))*(1-IF(AND(ArtifactsInput!$M$27,Inputs!$B$4="Chapter Hunt"),CHOOSE(ArtifactsInput!$N$27+1,20,24,28,32,36,40),0)/100)))+1)),0)</f>
        <v/>
      </c>
      <c r="S877">
        <f>IFERROR(O877/N877,0)</f>
        <v/>
      </c>
      <c r="T877">
        <f>IF(C877,(H877*N877*IF(AND(Inputs!$B$38&lt;&gt;"pvp",Inputs!$B$43&gt;0),((Skills!G6*((R877-1)*IF(Skills!H6&gt;0,Skills!I6/Skills!H6,1)+IF(Skills!H6&gt;0,MIN(Skills!I6,MAX(0,MAX(0,Inputs!$B$43-B905)-((R877-1)*(IF(Inputs!$B$38="pvp",15,MAX(0.1,Skills!D6-IF(Skills!E6=TRUE,Inputs!$B$32,0)))*(1-IF(AND(ArtifactsInput!$M$27,Inputs!$B$4="Chapter Hunt"),CHOOSE(ArtifactsInput!$N$27+1,20,24,28,32,36,40),0)/100)))))/Skills!H6,1)))/Inputs!$B$43),G877*Q877)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877*(1-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877*(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877*(1-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877*(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7">
        <f>IF(C877,(H877*N877*IF(AND(Inputs!$B$38&lt;&gt;"pvp",Inputs!$B$43&gt;0),((Skills!G6*((R877-1)*IF(Skills!H6&gt;0,Skills!I6/Skills!H6,1)+IF(Skills!H6&gt;0,MIN(Skills!I6,MAX(0,MAX(0,Inputs!$B$43-B905)-((R877-1)*(IF(Inputs!$B$38="pvp",15,MAX(0.1,Skills!D6-IF(Skills!E6=TRUE,Inputs!$B$32,0)))*(1-IF(AND(ArtifactsInput!$M$27,Inputs!$B$4="Chapter Hunt"),CHOOSE(ArtifactsInput!$N$27+1,20,24,28,32,36,40),0)/100)))))/Skills!H6,1)))/Inputs!$B$43),G877*Q877))*IF(Inputs!$B$38="pvp",1,(1+(Inputs!$B$21+Skills!Q6+(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8">
      <c r="A878">
        <f>Skills!A7</f>
        <v/>
      </c>
      <c r="B878">
        <f>Skills!B7</f>
        <v/>
      </c>
      <c r="C878">
        <f>Inputs!$B$3&gt;=107</f>
        <v/>
      </c>
      <c r="D878">
        <f>IF(Skills!C7=1,60+Inputs!$B$25+(Inputs!$B$29+1),IF(Skills!C7=2,90+Inputs!$B$26+(Inputs!$B$29+1),IF(Skills!C7=3,120+Inputs!$B$27+(Inputs!$B$29+1),MAX(0,(Inputs!$B$3-100)*3)+Inputs!$B$28+(Inputs!$B$29+1))))</f>
        <v/>
      </c>
      <c r="E878">
        <f>INDEX(FactorTable!$B$2:$Y$301, MATCH(ROUND(MIN(300,MAX(1,D878)),0), FactorTable!$A$2:$A$301,0), Skills!M7+1)</f>
        <v/>
      </c>
      <c r="F878">
        <f>IF(Skills!N7=TRUE,(Skills!L7/10)*(E878/1000),Skills!L7/10)+Skills!O7</f>
        <v/>
      </c>
      <c r="G878">
        <f>Skills!G7*IF(Skills!H7&gt;0,Skills!I7/Skills!H7,1)</f>
        <v/>
      </c>
      <c r="H878">
        <f>1-(1-Skills!J7/100)^Skills!K7</f>
        <v/>
      </c>
      <c r="I878" t="inlineStr">
        <is>
          <t>1</t>
        </is>
      </c>
      <c r="J878">
        <f>((Inputs!$B$6*(1+Inputs!$B$7/100))+(((Inputs!$B$12*(1+Inputs!$B$13/100))-(Inputs!$B$12*(1+Inputs!$B$13/100)))+0.25*(Inputs!$B$14-Inputs!$B$14))*(1+Inputs!$B$7/100))*(F878/100)</f>
        <v/>
      </c>
      <c r="K878">
        <f>J878*(1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878)</f>
        <v/>
      </c>
      <c r="L878">
        <f>K878*(MIN(Inputs!$B$22+((C893=TRUE)*(F893-Calc!F22)),(Inputs!$B$23+((C895=TRUE)*(F895-Calc!F24))+(IF(ArtifactsInput!$M$15,CHOOSE(ArtifactsInput!$N$15+1,25,30,35,40,45,50)/100*(Inputs!$B$11-Inputs!$B$11),0))))/100+(Inputs!$B$23+((C895=TRUE)*(F895-Calc!F24))+(IF(ArtifactsInput!$M$15,CHOOSE(ArtifactsInput!$N$15+1,25,30,35,40,45,50)/100*(Inputs!$B$11-Inputs!$B$11),0)))/100)/2</f>
        <v/>
      </c>
      <c r="M878">
        <f>L878*(1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8">
        <f>L878*(1-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878*(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8">
        <f>(1-Summary!$B$11)*T878+Summary!$B$11*V878</f>
        <v/>
      </c>
      <c r="P878">
        <f>IF(B908=0,0,O878/B908)</f>
        <v/>
      </c>
      <c r="Q878">
        <f>IFERROR(1/(IF(Inputs!$B$38="pvp",15,MAX(0.1,Skills!D7-IF(Skills!E7=TRUE,Inputs!$B$32,0)))*(1-IF(AND(ArtifactsInput!$M$27,Inputs!$B$4="Chapter Hunt"),CHOOSE(ArtifactsInput!$N$27+1,20,24,28,32,36,40),0)/100)),0)</f>
        <v/>
      </c>
      <c r="R878">
        <f>IF(AND(Inputs!$B$38&lt;&gt;"pvp",Inputs!$B$43&gt;0),IF(MAX(0,Inputs!$B$43-B905)&lt;=0,0,(INT(MAX(0,Inputs!$B$43-B905)/(IF(Inputs!$B$38="pvp",15,MAX(0.1,Skills!D7-IF(Skills!E7=TRUE,Inputs!$B$32,0)))*(1-IF(AND(ArtifactsInput!$M$27,Inputs!$B$4="Chapter Hunt"),CHOOSE(ArtifactsInput!$N$27+1,20,24,28,32,36,40),0)/100)))+1)),0)</f>
        <v/>
      </c>
      <c r="S878">
        <f>IFERROR(O878/N878,0)</f>
        <v/>
      </c>
      <c r="T878">
        <f>IF(C878,(H878*N878*IF(AND(Inputs!$B$38&lt;&gt;"pvp",Inputs!$B$43&gt;0),((Skills!G7*((R878-1)*IF(Skills!H7&gt;0,Skills!I7/Skills!H7,1)+IF(Skills!H7&gt;0,MIN(Skills!I7,MAX(0,MAX(0,Inputs!$B$43-B905)-((R878-1)*(IF(Inputs!$B$38="pvp",15,MAX(0.1,Skills!D7-IF(Skills!E7=TRUE,Inputs!$B$32,0)))*(1-IF(AND(ArtifactsInput!$M$27,Inputs!$B$4="Chapter Hunt"),CHOOSE(ArtifactsInput!$N$27+1,20,24,28,32,36,40),0)/100)))))/Skills!H7,1)))/Inputs!$B$43),G878*Q878)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878*(1-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878*(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878*(1-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878*(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8">
        <f>IF(C878,(H878*N878*IF(AND(Inputs!$B$38&lt;&gt;"pvp",Inputs!$B$43&gt;0),((Skills!G7*((R878-1)*IF(Skills!H7&gt;0,Skills!I7/Skills!H7,1)+IF(Skills!H7&gt;0,MIN(Skills!I7,MAX(0,MAX(0,Inputs!$B$43-B905)-((R878-1)*(IF(Inputs!$B$38="pvp",15,MAX(0.1,Skills!D7-IF(Skills!E7=TRUE,Inputs!$B$32,0)))*(1-IF(AND(ArtifactsInput!$M$27,Inputs!$B$4="Chapter Hunt"),CHOOSE(ArtifactsInput!$N$27+1,20,24,28,32,36,40),0)/100)))))/Skills!H7,1)))/Inputs!$B$43),G878*Q878))*IF(Inputs!$B$38="pvp",1,(1+(Inputs!$B$21+Skills!Q7+(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79">
      <c r="A879">
        <f>Skills!A8</f>
        <v/>
      </c>
      <c r="B879">
        <f>Skills!B8</f>
        <v/>
      </c>
      <c r="C879">
        <f>Inputs!$B$3&gt;=107</f>
        <v/>
      </c>
      <c r="D879">
        <f>IF(Skills!C8=1,60+Inputs!$B$25+(Inputs!$B$29+1),IF(Skills!C8=2,90+Inputs!$B$26+(Inputs!$B$29+1),IF(Skills!C8=3,120+Inputs!$B$27+(Inputs!$B$29+1),MAX(0,(Inputs!$B$3-100)*3)+Inputs!$B$28+(Inputs!$B$29+1))))</f>
        <v/>
      </c>
      <c r="E879">
        <f>INDEX(FactorTable!$B$2:$Y$301, MATCH(ROUND(MIN(300,MAX(1,D879)),0), FactorTable!$A$2:$A$301,0), Skills!M8+1)</f>
        <v/>
      </c>
      <c r="F879">
        <f>IF(Skills!N8=TRUE,(Skills!L8/10)*(E879/1000),Skills!L8/10)+Skills!O8</f>
        <v/>
      </c>
      <c r="G879">
        <f>Skills!G8*IF(Skills!H8&gt;0,Skills!I8/Skills!H8,1)</f>
        <v/>
      </c>
      <c r="H879">
        <f>1-(1-Skills!J8/100)^Skills!K8</f>
        <v/>
      </c>
      <c r="I879" t="inlineStr">
        <is>
          <t>1</t>
        </is>
      </c>
      <c r="J879">
        <f>((Inputs!$B$6*(1+Inputs!$B$7/100))+(((Inputs!$B$12*(1+Inputs!$B$13/100))-(Inputs!$B$12*(1+Inputs!$B$13/100)))+0.25*(Inputs!$B$14-Inputs!$B$14))*(1+Inputs!$B$7/100))*(F879/100)</f>
        <v/>
      </c>
      <c r="K879">
        <f>J879*(1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879)</f>
        <v/>
      </c>
      <c r="L879">
        <f>K879*(MIN(Inputs!$B$22+((C893=TRUE)*(F893-Calc!F22)),(Inputs!$B$23+((C895=TRUE)*(F895-Calc!F24))+(IF(ArtifactsInput!$M$15,CHOOSE(ArtifactsInput!$N$15+1,25,30,35,40,45,50)/100*(Inputs!$B$11-Inputs!$B$11),0))))/100+(Inputs!$B$23+((C895=TRUE)*(F895-Calc!F24))+(IF(ArtifactsInput!$M$15,CHOOSE(ArtifactsInput!$N$15+1,25,30,35,40,45,50)/100*(Inputs!$B$11-Inputs!$B$11),0)))/100)/2</f>
        <v/>
      </c>
      <c r="M879">
        <f>L879*(1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79">
        <f>L879*(1-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879*(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79">
        <f>(1-Summary!$B$11)*T879+Summary!$B$11*V879</f>
        <v/>
      </c>
      <c r="P879">
        <f>IF(B908=0,0,O879/B908)</f>
        <v/>
      </c>
      <c r="Q879">
        <f>IFERROR(1/(IF(Inputs!$B$38="pvp",15,MAX(0.1,Skills!D8-IF(Skills!E8=TRUE,Inputs!$B$32,0)))*(1-IF(AND(ArtifactsInput!$M$27,Inputs!$B$4="Chapter Hunt"),CHOOSE(ArtifactsInput!$N$27+1,20,24,28,32,36,40),0)/100)),0)</f>
        <v/>
      </c>
      <c r="R879">
        <f>IF(AND(Inputs!$B$38&lt;&gt;"pvp",Inputs!$B$43&gt;0),IF(MAX(0,Inputs!$B$43-B905)&lt;=0,0,(INT(MAX(0,Inputs!$B$43-B905)/(IF(Inputs!$B$38="pvp",15,MAX(0.1,Skills!D8-IF(Skills!E8=TRUE,Inputs!$B$32,0)))*(1-IF(AND(ArtifactsInput!$M$27,Inputs!$B$4="Chapter Hunt"),CHOOSE(ArtifactsInput!$N$27+1,20,24,28,32,36,40),0)/100)))+1)),0)</f>
        <v/>
      </c>
      <c r="S879">
        <f>IFERROR(O879/N879,0)</f>
        <v/>
      </c>
      <c r="T879">
        <f>IF(C879,(H879*N879*IF(AND(Inputs!$B$38&lt;&gt;"pvp",Inputs!$B$43&gt;0),((Skills!G8*((R879-1)*IF(Skills!H8&gt;0,Skills!I8/Skills!H8,1)+IF(Skills!H8&gt;0,MIN(Skills!I8,MAX(0,MAX(0,Inputs!$B$43-B905)-((R879-1)*(IF(Inputs!$B$38="pvp",15,MAX(0.1,Skills!D8-IF(Skills!E8=TRUE,Inputs!$B$32,0)))*(1-IF(AND(ArtifactsInput!$M$27,Inputs!$B$4="Chapter Hunt"),CHOOSE(ArtifactsInput!$N$27+1,20,24,28,32,36,40),0)/100)))))/Skills!H8,1)))/Inputs!$B$43),G879*Q879)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879*(1-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879*(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879*(1-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879*(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79">
        <f>IF(C879,(H879*N879*IF(AND(Inputs!$B$38&lt;&gt;"pvp",Inputs!$B$43&gt;0),((Skills!G8*((R879-1)*IF(Skills!H8&gt;0,Skills!I8/Skills!H8,1)+IF(Skills!H8&gt;0,MIN(Skills!I8,MAX(0,MAX(0,Inputs!$B$43-B905)-((R879-1)*(IF(Inputs!$B$38="pvp",15,MAX(0.1,Skills!D8-IF(Skills!E8=TRUE,Inputs!$B$32,0)))*(1-IF(AND(ArtifactsInput!$M$27,Inputs!$B$4="Chapter Hunt"),CHOOSE(ArtifactsInput!$N$27+1,20,24,28,32,36,40),0)/100)))))/Skills!H8,1)))/Inputs!$B$43),G879*Q879))*IF(Inputs!$B$38="pvp",1,(1+(Inputs!$B$21+Skills!Q8+(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0">
      <c r="A880">
        <f>Skills!A9</f>
        <v/>
      </c>
      <c r="B880">
        <f>Skills!B9</f>
        <v/>
      </c>
      <c r="C880">
        <f>Inputs!$B$3&gt;=125</f>
        <v/>
      </c>
      <c r="D880">
        <f>IF(Skills!C9=1,60+Inputs!$B$25+(Inputs!$B$29+1),IF(Skills!C9=2,90+Inputs!$B$26+(Inputs!$B$29+1),IF(Skills!C9=3,120+Inputs!$B$27+(Inputs!$B$29+1),MAX(0,(Inputs!$B$3-100)*3)+Inputs!$B$28+(Inputs!$B$29+1))))</f>
        <v/>
      </c>
      <c r="E880">
        <f>INDEX(FactorTable!$B$2:$Y$301, MATCH(ROUND(MIN(300,MAX(1,D880)),0), FactorTable!$A$2:$A$301,0), Skills!M9+1)</f>
        <v/>
      </c>
      <c r="F880">
        <f>IF(Skills!N9=TRUE,(Skills!L9/10)*(E880/1000),Skills!L9/10)+Skills!O9</f>
        <v/>
      </c>
      <c r="G880">
        <f>Skills!G9*IF(Skills!H9&gt;0,Skills!I9/Skills!H9,1)</f>
        <v/>
      </c>
      <c r="H880">
        <f>1-(1-Skills!J9/100)^Skills!K9</f>
        <v/>
      </c>
      <c r="I880" t="inlineStr">
        <is>
          <t>1</t>
        </is>
      </c>
      <c r="J880">
        <f>((Inputs!$B$6*(1+Inputs!$B$7/100))+(((Inputs!$B$12*(1+Inputs!$B$13/100))-(Inputs!$B$12*(1+Inputs!$B$13/100)))+0.25*(Inputs!$B$14-Inputs!$B$14))*(1+Inputs!$B$7/100))*(F880/100)</f>
        <v/>
      </c>
      <c r="K880">
        <f>J880*(1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880)</f>
        <v/>
      </c>
      <c r="L880">
        <f>K880*(MIN(Inputs!$B$22+((C893=TRUE)*(F893-Calc!F22)),(Inputs!$B$23+((C895=TRUE)*(F895-Calc!F24))+(IF(ArtifactsInput!$M$15,CHOOSE(ArtifactsInput!$N$15+1,25,30,35,40,45,50)/100*(Inputs!$B$11-Inputs!$B$11),0))))/100+(Inputs!$B$23+((C895=TRUE)*(F895-Calc!F24))+(IF(ArtifactsInput!$M$15,CHOOSE(ArtifactsInput!$N$15+1,25,30,35,40,45,50)/100*(Inputs!$B$11-Inputs!$B$11),0)))/100)/2</f>
        <v/>
      </c>
      <c r="M880">
        <f>L880*(1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0">
        <f>L880*(1-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880*(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0">
        <f>(1-Summary!$B$11)*T880+Summary!$B$11*V880</f>
        <v/>
      </c>
      <c r="P880">
        <f>IF(B908=0,0,O880/B908)</f>
        <v/>
      </c>
      <c r="Q880">
        <f>IFERROR(1/(IF(Inputs!$B$38="pvp",15,MAX(0.1,Skills!D9-IF(Skills!E9=TRUE,Inputs!$B$32,0)))*(1-IF(AND(ArtifactsInput!$M$27,Inputs!$B$4="Chapter Hunt"),CHOOSE(ArtifactsInput!$N$27+1,20,24,28,32,36,40),0)/100)),0)</f>
        <v/>
      </c>
      <c r="R880">
        <f>IF(AND(Inputs!$B$38&lt;&gt;"pvp",Inputs!$B$43&gt;0),IF(MAX(0,Inputs!$B$43-B905)&lt;=0,0,(INT(MAX(0,Inputs!$B$43-B905)/(IF(Inputs!$B$38="pvp",15,MAX(0.1,Skills!D9-IF(Skills!E9=TRUE,Inputs!$B$32,0)))*(1-IF(AND(ArtifactsInput!$M$27,Inputs!$B$4="Chapter Hunt"),CHOOSE(ArtifactsInput!$N$27+1,20,24,28,32,36,40),0)/100)))+1)),0)</f>
        <v/>
      </c>
      <c r="S880">
        <f>IFERROR(O880/N880,0)</f>
        <v/>
      </c>
      <c r="T880">
        <f>IF(C880,(H880*N880*IF(AND(Inputs!$B$38&lt;&gt;"pvp",Inputs!$B$43&gt;0),((Skills!G9*((R880-1)*IF(Skills!H9&gt;0,Skills!I9/Skills!H9,1)+IF(Skills!H9&gt;0,MIN(Skills!I9,MAX(0,MAX(0,Inputs!$B$43-B905)-((R880-1)*(IF(Inputs!$B$38="pvp",15,MAX(0.1,Skills!D9-IF(Skills!E9=TRUE,Inputs!$B$32,0)))*(1-IF(AND(ArtifactsInput!$M$27,Inputs!$B$4="Chapter Hunt"),CHOOSE(ArtifactsInput!$N$27+1,20,24,28,32,36,40),0)/100)))))/Skills!H9,1)))/Inputs!$B$43),G880*Q880)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880*(1-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880*(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880*(1-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880*(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0">
        <f>IF(C880,(H880*N880*IF(AND(Inputs!$B$38&lt;&gt;"pvp",Inputs!$B$43&gt;0),((Skills!G9*((R880-1)*IF(Skills!H9&gt;0,Skills!I9/Skills!H9,1)+IF(Skills!H9&gt;0,MIN(Skills!I9,MAX(0,MAX(0,Inputs!$B$43-B905)-((R880-1)*(IF(Inputs!$B$38="pvp",15,MAX(0.1,Skills!D9-IF(Skills!E9=TRUE,Inputs!$B$32,0)))*(1-IF(AND(ArtifactsInput!$M$27,Inputs!$B$4="Chapter Hunt"),CHOOSE(ArtifactsInput!$N$27+1,20,24,28,32,36,40),0)/100)))))/Skills!H9,1)))/Inputs!$B$43),G880*Q880))*IF(Inputs!$B$38="pvp",1,(1+(Inputs!$B$21+Skills!Q9+(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1">
      <c r="A881">
        <f>Skills!A10</f>
        <v/>
      </c>
      <c r="B881">
        <f>Skills!B10</f>
        <v/>
      </c>
      <c r="C881">
        <f>Inputs!$B$3&gt;=117</f>
        <v/>
      </c>
      <c r="D881">
        <f>IF(Skills!C10=1,60+Inputs!$B$25+(Inputs!$B$29+1),IF(Skills!C10=2,90+Inputs!$B$26+(Inputs!$B$29+1),IF(Skills!C10=3,120+Inputs!$B$27+(Inputs!$B$29+1),MAX(0,(Inputs!$B$3-100)*3)+Inputs!$B$28+(Inputs!$B$29+1))))</f>
        <v/>
      </c>
      <c r="E881">
        <f>INDEX(FactorTable!$B$2:$Y$301, MATCH(ROUND(MIN(300,MAX(1,D881)),0), FactorTable!$A$2:$A$301,0), Skills!M10+1)</f>
        <v/>
      </c>
      <c r="F881">
        <f>IF(Skills!N10=TRUE,(Skills!L10/10)*(E881/1000),Skills!L10/10)+Skills!O10</f>
        <v/>
      </c>
      <c r="G881">
        <f>Skills!G10*IF(Skills!H10&gt;0,Skills!I10/Skills!H10,1)</f>
        <v/>
      </c>
      <c r="H881">
        <f>1-(1-Skills!J10/100)^Skills!K10</f>
        <v/>
      </c>
      <c r="I881" t="inlineStr">
        <is>
          <t>1</t>
        </is>
      </c>
      <c r="J881">
        <f>((Inputs!$B$6*(1+Inputs!$B$7/100))+(((Inputs!$B$12*(1+Inputs!$B$13/100))-(Inputs!$B$12*(1+Inputs!$B$13/100)))+0.25*(Inputs!$B$14-Inputs!$B$14))*(1+Inputs!$B$7/100))*(F881/100)</f>
        <v/>
      </c>
      <c r="K881">
        <f>J881*(1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881)</f>
        <v/>
      </c>
      <c r="L881">
        <f>K881*(MIN(Inputs!$B$22+((C893=TRUE)*(F893-Calc!F22)),(Inputs!$B$23+((C895=TRUE)*(F895-Calc!F24))+(IF(ArtifactsInput!$M$15,CHOOSE(ArtifactsInput!$N$15+1,25,30,35,40,45,50)/100*(Inputs!$B$11-Inputs!$B$11),0))))/100+(Inputs!$B$23+((C895=TRUE)*(F895-Calc!F24))+(IF(ArtifactsInput!$M$15,CHOOSE(ArtifactsInput!$N$15+1,25,30,35,40,45,50)/100*(Inputs!$B$11-Inputs!$B$11),0)))/100)/2</f>
        <v/>
      </c>
      <c r="M881">
        <f>L881*(1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1">
        <f>L881*(1-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1">
        <f>(1-Summary!$B$11)*T881+Summary!$B$11*V881</f>
        <v/>
      </c>
      <c r="P881">
        <f>IF(B908=0,0,O881/B908)</f>
        <v/>
      </c>
      <c r="Q881">
        <f>IFERROR(1/(IF(Inputs!$B$38="pvp",15,MAX(0.1,Skills!D10-IF(Skills!E10=TRUE,Inputs!$B$32,0)))*(1-IF(AND(ArtifactsInput!$M$27,Inputs!$B$4="Chapter Hunt"),CHOOSE(ArtifactsInput!$N$27+1,20,24,28,32,36,40),0)/100)),0)</f>
        <v/>
      </c>
      <c r="R881">
        <f>IF(AND(Inputs!$B$38&lt;&gt;"pvp",Inputs!$B$43&gt;0),IF(MAX(0,Inputs!$B$43-B905)&lt;=0,0,(INT(MAX(0,Inputs!$B$43-B905)/(IF(Inputs!$B$38="pvp",15,MAX(0.1,Skills!D10-IF(Skills!E10=TRUE,Inputs!$B$32,0)))*(1-IF(AND(ArtifactsInput!$M$27,Inputs!$B$4="Chapter Hunt"),CHOOSE(ArtifactsInput!$N$27+1,20,24,28,32,36,40),0)/100)))+1)),0)</f>
        <v/>
      </c>
      <c r="S881">
        <f>IFERROR(O881/N881,0)</f>
        <v/>
      </c>
      <c r="T881">
        <f>IF(C881,(H881*N881*IF(AND(Inputs!$B$38&lt;&gt;"pvp",Inputs!$B$43&gt;0),((Skills!G10*((R881-1)*IF(Skills!H10&gt;0,Skills!I10/Skills!H10,1)+IF(Skills!H10&gt;0,MIN(Skills!I10,MAX(0,MAX(0,Inputs!$B$43-B905)-((R881-1)*(IF(Inputs!$B$38="pvp",15,MAX(0.1,Skills!D10-IF(Skills!E10=TRUE,Inputs!$B$32,0)))*(1-IF(AND(ArtifactsInput!$M$27,Inputs!$B$4="Chapter Hunt"),CHOOSE(ArtifactsInput!$N$27+1,20,24,28,32,36,40),0)/100)))))/Skills!H10,1)))/Inputs!$B$43),G881*Q881)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881*(1-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881*(1-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1">
        <f>IF(C881,(H881*N881*IF(AND(Inputs!$B$38&lt;&gt;"pvp",Inputs!$B$43&gt;0),((Skills!G10*((R881-1)*IF(Skills!H10&gt;0,Skills!I10/Skills!H10,1)+IF(Skills!H10&gt;0,MIN(Skills!I10,MAX(0,MAX(0,Inputs!$B$43-B905)-((R881-1)*(IF(Inputs!$B$38="pvp",15,MAX(0.1,Skills!D10-IF(Skills!E10=TRUE,Inputs!$B$32,0)))*(1-IF(AND(ArtifactsInput!$M$27,Inputs!$B$4="Chapter Hunt"),CHOOSE(ArtifactsInput!$N$27+1,20,24,28,32,36,40),0)/100)))))/Skills!H10,1)))/Inputs!$B$43),G881*Q881))*IF(Inputs!$B$38="pvp",1,(1+(Inputs!$B$21+Skills!Q10+(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2">
      <c r="A882">
        <f>Skills!A11</f>
        <v/>
      </c>
      <c r="B882">
        <f>Skills!B11</f>
        <v/>
      </c>
      <c r="C882">
        <f>Inputs!$B$3&gt;=63</f>
        <v/>
      </c>
      <c r="D882">
        <f>IF(Skills!C11=1,60+Inputs!$B$25+(Inputs!$B$29+1),IF(Skills!C11=2,90+Inputs!$B$26+(Inputs!$B$29+1),IF(Skills!C11=3,120+Inputs!$B$27+(Inputs!$B$29+1),MAX(0,(Inputs!$B$3-100)*3)+Inputs!$B$28+(Inputs!$B$29+1))))</f>
        <v/>
      </c>
      <c r="E882">
        <f>INDEX(FactorTable!$B$2:$Y$301, MATCH(ROUND(MIN(300,MAX(1,D882)),0), FactorTable!$A$2:$A$301,0), Skills!M11+1)</f>
        <v/>
      </c>
      <c r="F882">
        <f>IF(Skills!N11=TRUE,(Skills!L11/10)*(E882/1000),Skills!L11/10)+Skills!O11</f>
        <v/>
      </c>
      <c r="G882">
        <f>Skills!G11*IF(Skills!H11&gt;0,Skills!I11/Skills!H11,1)</f>
        <v/>
      </c>
      <c r="H882">
        <f>1-(1-Skills!J11/100)^Skills!K11</f>
        <v/>
      </c>
      <c r="I882" t="inlineStr">
        <is>
          <t>1</t>
        </is>
      </c>
      <c r="J882">
        <f>((Inputs!$B$6*(1+Inputs!$B$7/100))+(((Inputs!$B$12*(1+Inputs!$B$13/100))-(Inputs!$B$12*(1+Inputs!$B$13/100)))+0.25*(Inputs!$B$14-Inputs!$B$14))*(1+Inputs!$B$7/100))*(F882/100)</f>
        <v/>
      </c>
      <c r="K882">
        <f>J882*(1+((Inputs!$B$12*(1+Inputs!$B$13/100))*0.01+Inputs!$B$14*0.0025)/100)*(1+Inputs!$B$15/100)*(1+Inputs!$B$16/100)*(5000/(6000+Inputs!$B$42*(1-(Inputs!$B$19+0)/100)))*(1+(Inputs!$B$24+0+B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883=TRUE,F883,0)/100)*(1+(IF(Skills!A11="BLAST",Inputs!$B$17+((C892=TRUE)*(F892-Calc!F21))+((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MIN(100,((Inputs!$B$9+0+B898+(ArtifactsInput!$M$24-ArtifactsInput!$M$24)*CHOOSE(ArtifactsInput!$N$24+1,10,12,14,16,18,20)+IF(ArtifactsInput!$M$10,CHOOSE(ArtifactsInput!$N$10+1,15,18,21,24,27,30)*(IF(Inputs!$B$38="pvp",MIN(15,15)/15,IF(AND(Inputs!$B$38&lt;&gt;"pvp",Inputs!$B$43&gt;0),MIN(15,Inputs!$B$43)/(Inputs!$B$43),0))),0)))-100),0))*CHOOSE(ArtifactsInput!$N$42+1,0.6,0.72,0.84,0.96,1.08,1.2))),Inputs!$B$18+((C894=TRUE)*(F894-Calc!F23))+(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gt;=100),CHOOSE(ArtifactsInput!$N$42+1,40,48,56,64,72,80),0))))/100)*((1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882)</f>
        <v/>
      </c>
      <c r="L882">
        <f>K882*(MIN(Inputs!$B$22+((C893=TRUE)*(F893-Calc!F22)),(Inputs!$B$23+((C895=TRUE)*(F895-Calc!F24))+(IF(ArtifactsInput!$M$15,CHOOSE(ArtifactsInput!$N$15+1,25,30,35,40,45,50)/100*(Inputs!$B$11-Inputs!$B$11),0))))/100+(Inputs!$B$23+((C895=TRUE)*(F895-Calc!F24))+(IF(ArtifactsInput!$M$15,CHOOSE(ArtifactsInput!$N$15+1,25,30,35,40,45,50)/100*(Inputs!$B$11-Inputs!$B$11),0)))/100)/2</f>
        <v/>
      </c>
      <c r="M882">
        <f>L882*(1+(Inputs!$B$10+0+B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2">
        <f>L882*(1-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882*(MIN((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2">
        <f>(1-Summary!$B$11)*T882+Summary!$B$11*V882</f>
        <v/>
      </c>
      <c r="P882">
        <f>IF(B908=0,0,O882/B908)</f>
        <v/>
      </c>
      <c r="Q882">
        <f>IFERROR(1/(IF(Inputs!$B$38="pvp",15,MAX(0.1,Skills!D11-IF(Skills!E11=TRUE,Inputs!$B$32,0)))*(1-IF(AND(ArtifactsInput!$M$27,Inputs!$B$4="Chapter Hunt"),CHOOSE(ArtifactsInput!$N$27+1,20,24,28,32,36,40),0)/100)),0)</f>
        <v/>
      </c>
      <c r="R882">
        <f>IF(AND(Inputs!$B$38&lt;&gt;"pvp",Inputs!$B$43&gt;0),IF(MAX(0,Inputs!$B$43-B905)&lt;=0,0,(INT(MAX(0,Inputs!$B$43-B905)/(IF(Inputs!$B$38="pvp",15,MAX(0.1,Skills!D11-IF(Skills!E11=TRUE,Inputs!$B$32,0)))*(1-IF(AND(ArtifactsInput!$M$27,Inputs!$B$4="Chapter Hunt"),CHOOSE(ArtifactsInput!$N$27+1,20,24,28,32,36,40),0)/100)))+1)),0)</f>
        <v/>
      </c>
      <c r="S882">
        <f>IFERROR(O882/N882,0)</f>
        <v/>
      </c>
      <c r="T882">
        <f>IF(C882,(H882*N882*IF(AND(Inputs!$B$38&lt;&gt;"pvp",Inputs!$B$43&gt;0),((Skills!G11*((R882-1)*IF(Skills!H11&gt;0,Skills!I11/Skills!H11,1)+IF(Skills!H11&gt;0,MIN(Skills!I11,MAX(0,MAX(0,Inputs!$B$43-B905)-((R882-1)*(IF(Inputs!$B$38="pvp",15,MAX(0.1,Skills!D11-IF(Skills!E11=TRUE,Inputs!$B$32,0)))*(1-IF(AND(ArtifactsInput!$M$27,Inputs!$B$4="Chapter Hunt"),CHOOSE(ArtifactsInput!$N$27+1,20,24,28,32,36,40),0)/100)))))/Skills!H11,1)))/Inputs!$B$43),G882*Q882)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882*(1-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882*(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882*(1-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882*(MIN(100,(Inputs!$B$9+0+B898+(ArtifactsInput!$M$24-ArtifactsInput!$M$24)*CHOOSE(ArtifactsInput!$N$24+1,10,12,14,16,18,20)+(IF(AND(Inputs!$B$38&lt;&gt;"pvp",Inputs!$B$43=0),1,IF(IF(Inputs!$B$38="pvp",15,Inputs!$B$43)-(B905)&lt;=0,1,MAX(0,IF(Inputs!$B$38="pvp",15,Inputs!$B$43)-MAX(5,B905))/(IF(Inputs!$B$38="pvp",15,Inputs!$B$43)-(B905))))*IF(AND(ArtifactsInput!$M$42,((Inputs!$B$9+0+B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2">
        <f>IF(C882,(H882*N882*IF(AND(Inputs!$B$38&lt;&gt;"pvp",Inputs!$B$43&gt;0),((Skills!G11*((R882-1)*IF(Skills!H11&gt;0,Skills!I11/Skills!H11,1)+IF(Skills!H11&gt;0,MIN(Skills!I11,MAX(0,MAX(0,Inputs!$B$43-B905)-((R882-1)*(IF(Inputs!$B$38="pvp",15,MAX(0.1,Skills!D11-IF(Skills!E11=TRUE,Inputs!$B$32,0)))*(1-IF(AND(ArtifactsInput!$M$27,Inputs!$B$4="Chapter Hunt"),CHOOSE(ArtifactsInput!$N$27+1,20,24,28,32,36,40),0)/100)))))/Skills!H11,1)))/Inputs!$B$43),G882*Q882))*IF(Inputs!$B$38="pvp",1,(1+(Inputs!$B$21+Skills!Q11+(IF(ArtifactsInput!$M$33,CHOOSE(ArtifactsInput!$N$33+1,30,36,42,48,54,60),0))+(IF(AND(ArtifactsInput!$M$35,Inputs!$B$4&lt;&gt;"Chapter Hunt"),CHOOSE(ArtifactsInput!$N$35+1,15,18,21,24,27,30)*(1-EXP(-(0.2*B900)*5)),0)+IF(AND(ArtifactsInput!$M$22,Inputs!$B$4&lt;&gt;"Chapter Hunt"),CHOOSE(ArtifactsInput!$N$22+1,10,12,14,16,18,20)*((0*(((0.15*B900*5))^0/1)+1*(((0.15*B900*5))^1/1)+2*(((0.15*B900*5))^2/2)+3*(((0.15*B900*5))^3/6)+4*(((0.15*B900*5))^4/24)+5*(((0.15*B900*5))^5/120))/((((0.15*B900*5))^0/1)+(((0.15*B900*5))^1/1)+(((0.15*B900*5))^2/2)+(((0.15*B900*5))^3/6)+(((0.15*B900*5))^4/24)+(((0.15*B900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3">
      <c r="A883">
        <f>Skills!A12</f>
        <v/>
      </c>
      <c r="B883">
        <f>Skills!B12</f>
        <v/>
      </c>
      <c r="C883">
        <f>Inputs!$B$3&gt;=100</f>
        <v/>
      </c>
      <c r="D883">
        <f>IF(Skills!C12=1,60+Inputs!$B$25+(Inputs!$B$29+1),IF(Skills!C12=2,90+Inputs!$B$26+(Inputs!$B$29+1),IF(Skills!C12=3,120+Inputs!$B$27+(Inputs!$B$29+1),MAX(0,(Inputs!$B$3-100)*3)+Inputs!$B$28+(Inputs!$B$29+1))))</f>
        <v/>
      </c>
      <c r="E883">
        <f>INDEX(FactorTable!$B$2:$Y$301, MATCH(ROUND(MIN(300,MAX(1,D883)),0), FactorTable!$A$2:$A$301,0), Skills!M12+1)</f>
        <v/>
      </c>
      <c r="F883">
        <f>IF(Skills!N12=TRUE,(Skills!L12/10)*(E883/1000),Skills!L12/10)+Skills!O12</f>
        <v/>
      </c>
      <c r="G883" t="inlineStr"/>
      <c r="H883" t="inlineStr"/>
      <c r="I883" t="inlineStr">
        <is>
          <t>1</t>
        </is>
      </c>
      <c r="J883" t="inlineStr"/>
      <c r="K883" t="inlineStr"/>
      <c r="L883" t="inlineStr"/>
      <c r="M883" t="inlineStr"/>
      <c r="N883" t="inlineStr"/>
      <c r="O883" t="inlineStr"/>
      <c r="P883" t="inlineStr"/>
      <c r="Q883" t="inlineStr"/>
      <c r="R883" t="inlineStr"/>
      <c r="S883" t="inlineStr"/>
    </row>
    <row r="884">
      <c r="A884">
        <f>Skills!A13</f>
        <v/>
      </c>
      <c r="B884">
        <f>Skills!B13</f>
        <v/>
      </c>
      <c r="C884">
        <f>Inputs!$B$3&gt;=45</f>
        <v/>
      </c>
      <c r="D884">
        <f>IF(Skills!C13=1,60+Inputs!$B$25+(Inputs!$B$29+1),IF(Skills!C13=2,90+Inputs!$B$26+(Inputs!$B$29+1),IF(Skills!C13=3,120+Inputs!$B$27+(Inputs!$B$29+1),MAX(0,(Inputs!$B$3-100)*3)+Inputs!$B$28+(Inputs!$B$29+1))))</f>
        <v/>
      </c>
      <c r="E884">
        <f>INDEX(FactorTable!$B$2:$Y$301, MATCH(ROUND(MIN(300,MAX(1,D884)),0), FactorTable!$A$2:$A$301,0), Skills!M13+1)</f>
        <v/>
      </c>
      <c r="F884">
        <f>IF(Skills!N13=TRUE,(Skills!L13/10)*(E884/1000),Skills!L13/10)+Skills!O13</f>
        <v/>
      </c>
      <c r="G884">
        <f>Skills!G13*IF(Skills!H13&gt;0,Skills!I13/Skills!H13,1)</f>
        <v/>
      </c>
      <c r="H884">
        <f>1-(1-Skills!J13/100)^Skills!K13</f>
        <v/>
      </c>
      <c r="I884" t="inlineStr">
        <is>
          <t>1</t>
        </is>
      </c>
      <c r="J884" t="inlineStr"/>
      <c r="K884" t="inlineStr"/>
      <c r="L884" t="inlineStr"/>
      <c r="M884" t="inlineStr"/>
      <c r="N884" t="inlineStr"/>
      <c r="O884">
        <f>(1-Summary!$B$11)*T884+Summary!$B$11*V884</f>
        <v/>
      </c>
      <c r="P884">
        <f>IF(B908=0,0,O884/B908)</f>
        <v/>
      </c>
      <c r="Q884" t="n">
        <v>0</v>
      </c>
      <c r="R884" t="n">
        <v>0</v>
      </c>
      <c r="S884">
        <f>IFERROR(O884/N884,0)</f>
        <v/>
      </c>
      <c r="T884" t="n">
        <v>0</v>
      </c>
      <c r="V884" t="n">
        <v>0</v>
      </c>
    </row>
    <row r="885">
      <c r="A885">
        <f>Skills!A14</f>
        <v/>
      </c>
      <c r="B885">
        <f>Skills!B14</f>
        <v/>
      </c>
      <c r="C885">
        <f>Inputs!$B$3&gt;=110</f>
        <v/>
      </c>
      <c r="D885">
        <f>IF(Skills!C14=1,60+Inputs!$B$25+(Inputs!$B$29+1),IF(Skills!C14=2,90+Inputs!$B$26+(Inputs!$B$29+1),IF(Skills!C14=3,120+Inputs!$B$27+(Inputs!$B$29+1),MAX(0,(Inputs!$B$3-100)*3)+Inputs!$B$28+(Inputs!$B$29+1))))</f>
        <v/>
      </c>
      <c r="E885">
        <f>INDEX(FactorTable!$B$2:$Y$301, MATCH(ROUND(MIN(300,MAX(1,D885)),0), FactorTable!$A$2:$A$301,0), Skills!M14+1)</f>
        <v/>
      </c>
      <c r="F885">
        <f>IF(Skills!N14=TRUE,(Skills!L14/10)*(E885/1000),Skills!L14/10)+Skills!O14</f>
        <v/>
      </c>
      <c r="G885">
        <f>Skills!G14*IF(Skills!H14&gt;0,Skills!I14/Skills!H14,1)</f>
        <v/>
      </c>
      <c r="H885">
        <f>1-(1-Skills!J14/100)^Skills!K14</f>
        <v/>
      </c>
      <c r="I885" t="inlineStr">
        <is>
          <t>1</t>
        </is>
      </c>
      <c r="J885" t="inlineStr"/>
      <c r="K885" t="inlineStr"/>
      <c r="L885" t="inlineStr"/>
      <c r="M885" t="inlineStr"/>
      <c r="N885" t="inlineStr"/>
      <c r="O885">
        <f>(1-Summary!$B$11)*T885+Summary!$B$11*V885</f>
        <v/>
      </c>
      <c r="P885">
        <f>IF(B908=0,0,O885/B908)</f>
        <v/>
      </c>
      <c r="Q885" t="n">
        <v>0</v>
      </c>
      <c r="R885" t="n">
        <v>0</v>
      </c>
      <c r="S885">
        <f>IFERROR(O885/N885,0)</f>
        <v/>
      </c>
      <c r="T885" t="n">
        <v>0</v>
      </c>
      <c r="V885" t="n">
        <v>0</v>
      </c>
    </row>
    <row r="886">
      <c r="A886">
        <f>Skills!A15</f>
        <v/>
      </c>
      <c r="B886">
        <f>Skills!B15</f>
        <v/>
      </c>
      <c r="C886">
        <f>Inputs!$B$3&gt;=75</f>
        <v/>
      </c>
      <c r="D886">
        <f>IF(Skills!C15=1,60+Inputs!$B$25+(Inputs!$B$29+1),IF(Skills!C15=2,90+Inputs!$B$26+(Inputs!$B$29+1),IF(Skills!C15=3,120+Inputs!$B$27+(Inputs!$B$29+1),MAX(0,(Inputs!$B$3-100)*3)+Inputs!$B$28+(Inputs!$B$29+1))))</f>
        <v/>
      </c>
      <c r="E886">
        <f>INDEX(FactorTable!$B$2:$Y$301, MATCH(ROUND(MIN(300,MAX(1,D886)),0), FactorTable!$A$2:$A$301,0), Skills!M15+1)</f>
        <v/>
      </c>
      <c r="F886">
        <f>IF(Skills!N15=TRUE,(Skills!L15/10)*(E886/1000),Skills!L15/10)+Skills!O15</f>
        <v/>
      </c>
      <c r="G886">
        <f>Skills!G15*IF(Skills!H15&gt;0,Skills!I15/Skills!H15,1)</f>
        <v/>
      </c>
      <c r="H886">
        <f>1-(1-Skills!J15/100)^Skills!K15</f>
        <v/>
      </c>
      <c r="I886" t="inlineStr">
        <is>
          <t>1</t>
        </is>
      </c>
      <c r="J886" t="inlineStr"/>
      <c r="K886" t="inlineStr"/>
      <c r="L886" t="inlineStr"/>
      <c r="M886" t="inlineStr"/>
      <c r="N886" t="inlineStr"/>
      <c r="O886">
        <f>(1-Summary!$B$11)*T886+Summary!$B$11*V886</f>
        <v/>
      </c>
      <c r="P886">
        <f>IF(B908=0,0,O886/B908)</f>
        <v/>
      </c>
      <c r="Q886">
        <f>IFERROR(1/(IF(Inputs!$B$38="pvp",15,MAX(0.1,Skills!D15-IF(Skills!E15=TRUE,Inputs!$B$32,0)))*(1-IF(AND(ArtifactsInput!$M$27,Inputs!$B$4="Chapter Hunt"),CHOOSE(ArtifactsInput!$N$27+1,20,24,28,32,36,40),0)/100)),0)</f>
        <v/>
      </c>
      <c r="R886">
        <f>IF(AND(Inputs!$B$38&lt;&gt;"pvp",Inputs!$B$43&gt;0),IF(Inputs!$B$43&lt;=0,0,(INT(Inputs!$B$43/(IF(Inputs!$B$38="pvp",15,MAX(0.1,Skills!D15-IF(Skills!E15=TRUE,Inputs!$B$32,0)))*(1-IF(AND(ArtifactsInput!$M$27,Inputs!$B$4="Chapter Hunt"),CHOOSE(ArtifactsInput!$N$27+1,20,24,28,32,36,40),0)/100)))+1)),0)</f>
        <v/>
      </c>
      <c r="S886">
        <f>IFERROR(O886/N886,0)</f>
        <v/>
      </c>
      <c r="T886" t="n">
        <v>0</v>
      </c>
      <c r="V886" t="n">
        <v>0</v>
      </c>
    </row>
    <row r="887">
      <c r="A887">
        <f>Skills!A16</f>
        <v/>
      </c>
      <c r="B887">
        <f>Skills!B16</f>
        <v/>
      </c>
      <c r="C887">
        <f>Inputs!$B$3&gt;=105</f>
        <v/>
      </c>
      <c r="D887">
        <f>IF(Skills!C16=1,60+Inputs!$B$25+(Inputs!$B$29+1),IF(Skills!C16=2,90+Inputs!$B$26+(Inputs!$B$29+1),IF(Skills!C16=3,120+Inputs!$B$27+(Inputs!$B$29+1),MAX(0,(Inputs!$B$3-100)*3)+Inputs!$B$28+(Inputs!$B$29+1))))</f>
        <v/>
      </c>
      <c r="E887">
        <f>INDEX(FactorTable!$B$2:$Y$301, MATCH(ROUND(MIN(300,MAX(1,D887)),0), FactorTable!$A$2:$A$301,0), Skills!M16+1)</f>
        <v/>
      </c>
      <c r="F887">
        <f>IF(Skills!N16=TRUE,(Skills!L16/10)*(E887/1000),Skills!L16/10)+Skills!O16</f>
        <v/>
      </c>
      <c r="G887">
        <f>Skills!G16*IF(Skills!H16&gt;0,Skills!I16/Skills!H16,1)</f>
        <v/>
      </c>
      <c r="H887">
        <f>1-(1-Skills!J16/100)^Skills!K16</f>
        <v/>
      </c>
      <c r="I887" t="inlineStr">
        <is>
          <t>1</t>
        </is>
      </c>
      <c r="J887" t="inlineStr"/>
      <c r="K887" t="inlineStr"/>
      <c r="L887" t="inlineStr"/>
      <c r="M887" t="inlineStr"/>
      <c r="N887" t="inlineStr"/>
      <c r="O887">
        <f>(1-Summary!$B$11)*T887+Summary!$B$11*V887</f>
        <v/>
      </c>
      <c r="P887">
        <f>IF(B908=0,0,O887/B908)</f>
        <v/>
      </c>
      <c r="Q887">
        <f>IFERROR(1/(IF(Inputs!$B$38="pvp",15,MAX(0.1,Skills!D16-IF(Skills!E16=TRUE,Inputs!$B$32,0)))*(1-IF(AND(ArtifactsInput!$M$27,Inputs!$B$4="Chapter Hunt"),CHOOSE(ArtifactsInput!$N$27+1,20,24,28,32,36,40),0)/100)),0)</f>
        <v/>
      </c>
      <c r="R887">
        <f>IF(AND(Inputs!$B$38&lt;&gt;"pvp",Inputs!$B$43&gt;0),IF(Inputs!$B$43&lt;=0,0,(INT(Inputs!$B$43/(IF(Inputs!$B$38="pvp",15,MAX(0.1,Skills!D16-IF(Skills!E16=TRUE,Inputs!$B$32,0)))*(1-IF(AND(ArtifactsInput!$M$27,Inputs!$B$4="Chapter Hunt"),CHOOSE(ArtifactsInput!$N$27+1,20,24,28,32,36,40),0)/100)))+1)),0)</f>
        <v/>
      </c>
      <c r="S887">
        <f>IFERROR(O887/N887,0)</f>
        <v/>
      </c>
      <c r="T887" t="n">
        <v>0</v>
      </c>
      <c r="V887" t="n">
        <v>0</v>
      </c>
    </row>
    <row r="888">
      <c r="A888">
        <f>Skills!A17</f>
        <v/>
      </c>
      <c r="B888">
        <f>Skills!B17</f>
        <v/>
      </c>
      <c r="C888">
        <f>Inputs!$B$3&gt;=115</f>
        <v/>
      </c>
      <c r="D888">
        <f>IF(Skills!C17=1,60+Inputs!$B$25+(Inputs!$B$29+1),IF(Skills!C17=2,90+Inputs!$B$26+(Inputs!$B$29+1),IF(Skills!C17=3,120+Inputs!$B$27+(Inputs!$B$29+1),MAX(0,(Inputs!$B$3-100)*3)+Inputs!$B$28+(Inputs!$B$29+1))))</f>
        <v/>
      </c>
      <c r="E888">
        <f>INDEX(FactorTable!$B$2:$Y$301, MATCH(ROUND(MIN(300,MAX(1,D888)),0), FactorTable!$A$2:$A$301,0), Skills!M17+1)</f>
        <v/>
      </c>
      <c r="F888">
        <f>IF(Skills!N17=TRUE,(Skills!L17/10)*(E888/1000),Skills!L17/10)+Skills!O17</f>
        <v/>
      </c>
      <c r="G888">
        <f>Skills!G17*IF(Skills!H17&gt;0,Skills!I17/Skills!H17,1)</f>
        <v/>
      </c>
      <c r="H888">
        <f>1-(1-Skills!J17/100)^Skills!K17</f>
        <v/>
      </c>
      <c r="I888" t="inlineStr">
        <is>
          <t>1</t>
        </is>
      </c>
      <c r="J888" t="inlineStr"/>
      <c r="K888" t="inlineStr"/>
      <c r="L888" t="inlineStr"/>
      <c r="M888" t="inlineStr"/>
      <c r="N888" t="inlineStr"/>
      <c r="O888">
        <f>(1-Summary!$B$11)*T888+Summary!$B$11*V888</f>
        <v/>
      </c>
      <c r="P888">
        <f>IF(B908=0,0,O888/B908)</f>
        <v/>
      </c>
      <c r="Q888">
        <f>IFERROR(1/(IF(Inputs!$B$38="pvp",15,MAX(0.1,Skills!D17-IF(Skills!E17=TRUE,Inputs!$B$32,0)))*(1-IF(AND(ArtifactsInput!$M$27,Inputs!$B$4="Chapter Hunt"),CHOOSE(ArtifactsInput!$N$27+1,20,24,28,32,36,40),0)/100)),0)</f>
        <v/>
      </c>
      <c r="R888">
        <f>IF(AND(Inputs!$B$38&lt;&gt;"pvp",Inputs!$B$43&gt;0),IF(Inputs!$B$43&lt;=0,0,(INT(Inputs!$B$43/(IF(Inputs!$B$38="pvp",15,MAX(0.1,Skills!D17-IF(Skills!E17=TRUE,Inputs!$B$32,0)))*(1-IF(AND(ArtifactsInput!$M$27,Inputs!$B$4="Chapter Hunt"),CHOOSE(ArtifactsInput!$N$27+1,20,24,28,32,36,40),0)/100)))+1)),0)</f>
        <v/>
      </c>
      <c r="S888">
        <f>IFERROR(O888/N888,0)</f>
        <v/>
      </c>
      <c r="T888" t="n">
        <v>0</v>
      </c>
      <c r="V888" t="n">
        <v>0</v>
      </c>
    </row>
    <row r="889">
      <c r="A889">
        <f>Skills!A18</f>
        <v/>
      </c>
      <c r="B889">
        <f>Skills!B18</f>
        <v/>
      </c>
      <c r="C889">
        <f>Inputs!$B$3&gt;=74</f>
        <v/>
      </c>
      <c r="D889">
        <f>IF(Skills!C18=1,60+Inputs!$B$25+(Inputs!$B$29+1),IF(Skills!C18=2,90+Inputs!$B$26+(Inputs!$B$29+1),IF(Skills!C18=3,120+Inputs!$B$27+(Inputs!$B$29+1),MAX(0,(Inputs!$B$3-100)*3)+Inputs!$B$28+(Inputs!$B$29+1))))</f>
        <v/>
      </c>
      <c r="E889">
        <f>INDEX(FactorTable!$B$2:$Y$301, MATCH(ROUND(MIN(300,MAX(1,D889)),0), FactorTable!$A$2:$A$301,0), Skills!M18+1)</f>
        <v/>
      </c>
      <c r="F889">
        <f>IF(Skills!N18=TRUE,(Skills!L18/10)*(E889/1000),Skills!L18/10)+Skills!O18</f>
        <v/>
      </c>
      <c r="G889">
        <f>Skills!G18*IF(Skills!H18&gt;0,Skills!I18/Skills!H18,1)</f>
        <v/>
      </c>
      <c r="H889">
        <f>1-(1-Skills!J18/100)^Skills!K18</f>
        <v/>
      </c>
      <c r="I889" t="inlineStr">
        <is>
          <t>1</t>
        </is>
      </c>
      <c r="J889" t="inlineStr"/>
      <c r="K889" t="inlineStr"/>
      <c r="L889" t="inlineStr"/>
      <c r="M889" t="inlineStr"/>
      <c r="N889" t="inlineStr"/>
      <c r="O889">
        <f>(1-Summary!$B$11)*T889+Summary!$B$11*V889</f>
        <v/>
      </c>
      <c r="P889">
        <f>IF(B908=0,0,O889/B908)</f>
        <v/>
      </c>
      <c r="Q889">
        <f>IFERROR(1/(IF(Inputs!$B$38="pvp",15,MAX(0.1,Skills!D18-IF(Skills!E18=TRUE,Inputs!$B$32,0)))*(1-IF(AND(ArtifactsInput!$M$27,Inputs!$B$4="Chapter Hunt"),CHOOSE(ArtifactsInput!$N$27+1,20,24,28,32,36,40),0)/100)),0)</f>
        <v/>
      </c>
      <c r="R889">
        <f>IF(AND(Inputs!$B$38&lt;&gt;"pvp",Inputs!$B$43&gt;0),IF(Inputs!$B$43&lt;=0,0,(INT(Inputs!$B$43/(IF(Inputs!$B$38="pvp",15,MAX(0.1,Skills!D18-IF(Skills!E18=TRUE,Inputs!$B$32,0)))*(1-IF(AND(ArtifactsInput!$M$27,Inputs!$B$4="Chapter Hunt"),CHOOSE(ArtifactsInput!$N$27+1,20,24,28,32,36,40),0)/100)))+1)),0)</f>
        <v/>
      </c>
      <c r="S889">
        <f>IFERROR(O889/N889,0)</f>
        <v/>
      </c>
      <c r="T889" t="n">
        <v>0</v>
      </c>
      <c r="V889" t="n">
        <v>0</v>
      </c>
    </row>
    <row r="890">
      <c r="A890">
        <f>Skills!A19</f>
        <v/>
      </c>
      <c r="B890">
        <f>Skills!B19</f>
        <v/>
      </c>
      <c r="C890">
        <f>TRUE</f>
        <v/>
      </c>
      <c r="D890">
        <f>IF(Skills!C19=1,60+Inputs!$B$25+(Inputs!$B$29+1),IF(Skills!C19=2,90+Inputs!$B$26+(Inputs!$B$29+1),IF(Skills!C19=3,120+Inputs!$B$27+(Inputs!$B$29+1),MAX(0,(Inputs!$B$3-100)*3)+Inputs!$B$28+(Inputs!$B$29+1))))</f>
        <v/>
      </c>
      <c r="E890">
        <f>INDEX(FactorTable!$B$2:$Y$301, MATCH(ROUND(MIN(300,MAX(1,D890)),0), FactorTable!$A$2:$A$301,0), Skills!M19+1)</f>
        <v/>
      </c>
      <c r="F890">
        <f>IF(Skills!N19=TRUE,(Skills!L19/10)*(E890/1000),Skills!L19/10)+Skills!O19</f>
        <v/>
      </c>
      <c r="G890">
        <f>Skills!G19*IF(Skills!H19&gt;0,Skills!I19/Skills!H19,1)</f>
        <v/>
      </c>
      <c r="H890">
        <f>1-(1-Skills!J19/100)^Skills!K19</f>
        <v/>
      </c>
      <c r="I890" t="inlineStr">
        <is>
          <t>1</t>
        </is>
      </c>
      <c r="J890" t="inlineStr"/>
      <c r="K890" t="inlineStr"/>
      <c r="L890" t="inlineStr"/>
      <c r="M890" t="inlineStr"/>
      <c r="N890" t="inlineStr"/>
      <c r="O890">
        <f>(1-Summary!$B$11)*T890+Summary!$B$11*V890</f>
        <v/>
      </c>
      <c r="P890">
        <f>IF(B908=0,0,O890/B908)</f>
        <v/>
      </c>
      <c r="Q890">
        <f>IFERROR(1/(IF(Inputs!$B$38="pvp",15,MAX(0.1,Skills!D19-IF(Skills!E19=TRUE,Inputs!$B$32,0)))*(1-IF(AND(ArtifactsInput!$M$27,Inputs!$B$4="Chapter Hunt"),CHOOSE(ArtifactsInput!$N$27+1,20,24,28,32,36,40),0)/100)),0)</f>
        <v/>
      </c>
      <c r="R890">
        <f>IF(AND(Inputs!$B$38&lt;&gt;"pvp",Inputs!$B$43&gt;0),IF(Inputs!$B$43&lt;=0,0,(INT(Inputs!$B$43/(IF(Inputs!$B$38="pvp",15,MAX(0.1,Skills!D19-IF(Skills!E19=TRUE,Inputs!$B$32,0)))*(1-IF(AND(ArtifactsInput!$M$27,Inputs!$B$4="Chapter Hunt"),CHOOSE(ArtifactsInput!$N$27+1,20,24,28,32,36,40),0)/100)))+1)),0)</f>
        <v/>
      </c>
      <c r="S890">
        <f>IFERROR(O890/N890,0)</f>
        <v/>
      </c>
      <c r="T890" t="n">
        <v>0</v>
      </c>
      <c r="V890" t="n">
        <v>0</v>
      </c>
    </row>
    <row r="891">
      <c r="A891">
        <f>Skills!A20</f>
        <v/>
      </c>
      <c r="B891">
        <f>Skills!B20</f>
        <v/>
      </c>
      <c r="C891">
        <f>Inputs!$B$3&gt;=33</f>
        <v/>
      </c>
      <c r="D891">
        <f>IF(Skills!C20=1,60+Inputs!$B$25+(Inputs!$B$29+1),IF(Skills!C20=2,90+Inputs!$B$26+(Inputs!$B$29+1),IF(Skills!C20=3,120+Inputs!$B$27+(Inputs!$B$29+1),MAX(0,(Inputs!$B$3-100)*3)+Inputs!$B$28+(Inputs!$B$29+1))))</f>
        <v/>
      </c>
      <c r="E891">
        <f>INDEX(FactorTable!$B$2:$Y$301, MATCH(ROUND(MIN(300,MAX(1,D891)),0), FactorTable!$A$2:$A$301,0), Skills!M20+1)</f>
        <v/>
      </c>
      <c r="F891">
        <f>IF(Skills!N20=TRUE,(Skills!L20/10)*(E891/1000),Skills!L20/10)+Skills!O20</f>
        <v/>
      </c>
      <c r="G891">
        <f>Skills!G20*IF(Skills!H20&gt;0,Skills!I20/Skills!H20,1)</f>
        <v/>
      </c>
      <c r="H891">
        <f>1-(1-Skills!J20/100)^Skills!K20</f>
        <v/>
      </c>
      <c r="I891" t="inlineStr">
        <is>
          <t>1</t>
        </is>
      </c>
      <c r="J891" t="inlineStr"/>
      <c r="K891" t="inlineStr"/>
      <c r="L891" t="inlineStr"/>
      <c r="M891" t="inlineStr"/>
      <c r="N891" t="inlineStr"/>
      <c r="O891">
        <f>(1-Summary!$B$11)*T891+Summary!$B$11*V891</f>
        <v/>
      </c>
      <c r="P891">
        <f>IF(B908=0,0,O891/B908)</f>
        <v/>
      </c>
      <c r="Q891" t="n">
        <v>0</v>
      </c>
      <c r="R891" t="n">
        <v>0</v>
      </c>
      <c r="S891">
        <f>IFERROR(O891/N891,0)</f>
        <v/>
      </c>
      <c r="T891" t="n">
        <v>0</v>
      </c>
      <c r="V891" t="n">
        <v>0</v>
      </c>
    </row>
    <row r="892">
      <c r="A892">
        <f>Skills!A21</f>
        <v/>
      </c>
      <c r="B892">
        <f>Skills!B21</f>
        <v/>
      </c>
      <c r="C892">
        <f>Inputs!$B$3&gt;=38</f>
        <v/>
      </c>
      <c r="D892">
        <f>IF(Skills!C21=1,60+Inputs!$B$25+(Inputs!$B$29+1),IF(Skills!C21=2,90+Inputs!$B$26+(Inputs!$B$29+1),IF(Skills!C21=3,120+Inputs!$B$27+(Inputs!$B$29+1),MAX(0,(Inputs!$B$3-100)*3)+Inputs!$B$28+(Inputs!$B$29+1))))</f>
        <v/>
      </c>
      <c r="E892">
        <f>INDEX(FactorTable!$B$2:$Y$301, MATCH(ROUND(MIN(300,MAX(1,D892)),0), FactorTable!$A$2:$A$301,0), Skills!M21+1)</f>
        <v/>
      </c>
      <c r="F892">
        <f>IF(Skills!N21=TRUE,(Skills!L21/10)*(E892/1000),Skills!L21/10)+Skills!O21</f>
        <v/>
      </c>
      <c r="G892">
        <f>Skills!G21*IF(Skills!H21&gt;0,Skills!I21/Skills!H21,1)</f>
        <v/>
      </c>
      <c r="H892">
        <f>1-(1-Skills!J21/100)^Skills!K21</f>
        <v/>
      </c>
      <c r="I892" t="inlineStr">
        <is>
          <t>1</t>
        </is>
      </c>
      <c r="J892" t="inlineStr"/>
      <c r="K892" t="inlineStr"/>
      <c r="L892" t="inlineStr"/>
      <c r="M892" t="inlineStr"/>
      <c r="N892" t="inlineStr"/>
      <c r="O892">
        <f>(1-Summary!$B$11)*T892+Summary!$B$11*V892</f>
        <v/>
      </c>
      <c r="P892">
        <f>IF(B908=0,0,O892/B908)</f>
        <v/>
      </c>
      <c r="Q892" t="n">
        <v>0</v>
      </c>
      <c r="R892" t="n">
        <v>0</v>
      </c>
      <c r="S892">
        <f>IFERROR(O892/N892,0)</f>
        <v/>
      </c>
      <c r="T892" t="n">
        <v>0</v>
      </c>
      <c r="V892" t="n">
        <v>0</v>
      </c>
    </row>
    <row r="893">
      <c r="A893">
        <f>Skills!A22</f>
        <v/>
      </c>
      <c r="B893">
        <f>Skills!B22</f>
        <v/>
      </c>
      <c r="C893">
        <f>Inputs!$B$3&gt;=43</f>
        <v/>
      </c>
      <c r="D893">
        <f>IF(Skills!C22=1,60+Inputs!$B$25+(Inputs!$B$29+1),IF(Skills!C22=2,90+Inputs!$B$26+(Inputs!$B$29+1),IF(Skills!C22=3,120+Inputs!$B$27+(Inputs!$B$29+1),MAX(0,(Inputs!$B$3-100)*3)+Inputs!$B$28+(Inputs!$B$29+1))))</f>
        <v/>
      </c>
      <c r="E893">
        <f>INDEX(FactorTable!$B$2:$Y$301, MATCH(ROUND(MIN(300,MAX(1,D893)),0), FactorTable!$A$2:$A$301,0), Skills!M22+1)</f>
        <v/>
      </c>
      <c r="F893">
        <f>IF(Skills!N22=TRUE,(Skills!L22/10)*(E893/1000),Skills!L22/10)+Skills!O22</f>
        <v/>
      </c>
      <c r="G893">
        <f>Skills!G22*IF(Skills!H22&gt;0,Skills!I22/Skills!H22,1)</f>
        <v/>
      </c>
      <c r="H893">
        <f>1-(1-Skills!J22/100)^Skills!K22</f>
        <v/>
      </c>
      <c r="I893" t="inlineStr">
        <is>
          <t>1</t>
        </is>
      </c>
      <c r="J893" t="inlineStr"/>
      <c r="K893" t="inlineStr"/>
      <c r="L893" t="inlineStr"/>
      <c r="M893" t="inlineStr"/>
      <c r="N893" t="inlineStr"/>
      <c r="O893">
        <f>(1-Summary!$B$11)*T893+Summary!$B$11*V893</f>
        <v/>
      </c>
      <c r="P893">
        <f>IF(B908=0,0,O893/B908)</f>
        <v/>
      </c>
      <c r="Q893" t="n">
        <v>0</v>
      </c>
      <c r="R893" t="n">
        <v>0</v>
      </c>
      <c r="S893">
        <f>IFERROR(O893/N893,0)</f>
        <v/>
      </c>
      <c r="T893" t="n">
        <v>0</v>
      </c>
      <c r="V893" t="n">
        <v>0</v>
      </c>
    </row>
    <row r="894">
      <c r="A894">
        <f>Skills!A23</f>
        <v/>
      </c>
      <c r="B894">
        <f>Skills!B23</f>
        <v/>
      </c>
      <c r="C894">
        <f>Inputs!$B$3&gt;=120</f>
        <v/>
      </c>
      <c r="D894">
        <f>IF(Skills!C23=1,60+Inputs!$B$25+(Inputs!$B$29+1),IF(Skills!C23=2,90+Inputs!$B$26+(Inputs!$B$29+1),IF(Skills!C23=3,120+Inputs!$B$27+(Inputs!$B$29+1),MAX(0,(Inputs!$B$3-100)*3)+Inputs!$B$28+(Inputs!$B$29+1))))</f>
        <v/>
      </c>
      <c r="E894">
        <f>INDEX(FactorTable!$B$2:$Y$301, MATCH(ROUND(MIN(300,MAX(1,D894)),0), FactorTable!$A$2:$A$301,0), Skills!M23+1)</f>
        <v/>
      </c>
      <c r="F894">
        <f>IF(Skills!N23=TRUE,(Skills!L23/10)*(E894/1000),Skills!L23/10)+Skills!O23</f>
        <v/>
      </c>
      <c r="G894">
        <f>Skills!G23*IF(Skills!H23&gt;0,Skills!I23/Skills!H23,1)</f>
        <v/>
      </c>
      <c r="H894">
        <f>1-(1-Skills!J23/100)^Skills!K23</f>
        <v/>
      </c>
      <c r="I894" t="inlineStr">
        <is>
          <t>1</t>
        </is>
      </c>
      <c r="J894" t="inlineStr"/>
      <c r="K894" t="inlineStr"/>
      <c r="L894" t="inlineStr"/>
      <c r="M894" t="inlineStr"/>
      <c r="N894" t="inlineStr"/>
      <c r="O894">
        <f>(1-Summary!$B$11)*T894+Summary!$B$11*V894</f>
        <v/>
      </c>
      <c r="P894">
        <f>IF(B908=0,0,O894/B908)</f>
        <v/>
      </c>
      <c r="Q894" t="n">
        <v>0</v>
      </c>
      <c r="R894" t="n">
        <v>0</v>
      </c>
      <c r="S894">
        <f>IFERROR(O894/N894,0)</f>
        <v/>
      </c>
      <c r="T894" t="n">
        <v>0</v>
      </c>
      <c r="V894" t="n">
        <v>0</v>
      </c>
    </row>
    <row r="895">
      <c r="A895">
        <f>Skills!A24</f>
        <v/>
      </c>
      <c r="B895">
        <f>Skills!B24</f>
        <v/>
      </c>
      <c r="C895">
        <f>Inputs!$B$3&gt;=120</f>
        <v/>
      </c>
      <c r="D895">
        <f>IF(Skills!C24=1,60+Inputs!$B$25+(Inputs!$B$29+1),IF(Skills!C24=2,90+Inputs!$B$26+(Inputs!$B$29+1),IF(Skills!C24=3,120+Inputs!$B$27+(Inputs!$B$29+1),MAX(0,(Inputs!$B$3-100)*3)+Inputs!$B$28+(Inputs!$B$29+1))))</f>
        <v/>
      </c>
      <c r="E895">
        <f>INDEX(FactorTable!$B$2:$Y$301, MATCH(ROUND(MIN(300,MAX(1,D895)),0), FactorTable!$A$2:$A$301,0), Skills!M24+1)</f>
        <v/>
      </c>
      <c r="F895">
        <f>IF(Skills!N24=TRUE,(Skills!L24/10)*(E895/1000),Skills!L24/10)+Skills!O24</f>
        <v/>
      </c>
      <c r="G895">
        <f>Skills!G24*IF(Skills!H24&gt;0,Skills!I24/Skills!H24,1)</f>
        <v/>
      </c>
      <c r="H895">
        <f>1-(1-Skills!J24/100)^Skills!K24</f>
        <v/>
      </c>
      <c r="I895" t="inlineStr">
        <is>
          <t>1</t>
        </is>
      </c>
      <c r="J895" t="inlineStr"/>
      <c r="K895" t="inlineStr"/>
      <c r="L895" t="inlineStr"/>
      <c r="M895" t="inlineStr"/>
      <c r="N895" t="inlineStr"/>
      <c r="O895">
        <f>(1-Summary!$B$11)*T895+Summary!$B$11*V895</f>
        <v/>
      </c>
      <c r="P895">
        <f>IF(B908=0,0,O895/B908)</f>
        <v/>
      </c>
      <c r="Q895" t="n">
        <v>0</v>
      </c>
      <c r="R895" t="n">
        <v>0</v>
      </c>
      <c r="S895">
        <f>IFERROR(O895/N895,0)</f>
        <v/>
      </c>
      <c r="T895" t="n">
        <v>0</v>
      </c>
      <c r="V895" t="n">
        <v>0</v>
      </c>
    </row>
    <row r="897">
      <c r="A897" t="inlineStr">
        <is>
          <t>Attack% Bucket Multiplier</t>
        </is>
      </c>
      <c r="B897">
        <f>(1+(((C884=TRUE)*F884*MIN(1,Skills!T13*(Skills!J13/100)*B902))+((C889=TRUE)*F889*IF(AND(Inputs!$B$38&lt;&gt;"pvp",Inputs!$B$43&gt;0),(((R889-1)*(Skills!T18*(1+Inputs!$B$34/100))+MIN((Skills!T18*(1+Inputs!$B$34/100)),MAX(0,Inputs!$B$43-((R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98">
      <c r="A898" t="inlineStr">
        <is>
          <t>Global Crit Rate Bonus %</t>
        </is>
      </c>
      <c r="B898" t="n">
        <v>0</v>
      </c>
    </row>
    <row r="899">
      <c r="A899" t="inlineStr">
        <is>
          <t>Attack Speed Buff Bonus %</t>
        </is>
      </c>
      <c r="B899">
        <f>((C890=TRUE)*F890*IF(AND(Inputs!$B$38&lt;&gt;"pvp",Inputs!$B$43&gt;0),(((R890-1)*(Skills!T19*(1+Inputs!$B$34/100))+MIN((Skills!T19*(1+Inputs!$B$34/100)),MAX(0,Inputs!$B$43-((R890-1)*Skills!D19))))/Inputs!$B$43),IF(Inputs!$B$38="pvp",MIN((Skills!T19*(1+Inputs!$B$34/100)),15)/15,(Skills!T19*(1+Inputs!$B$34/100))/Skills!D19)))</f>
        <v/>
      </c>
    </row>
    <row r="900">
      <c r="A900" t="inlineStr">
        <is>
          <t>Actions Per Second</t>
        </is>
      </c>
      <c r="B900">
        <f>1+MIN(150,150*(1-(1-(Inputs!$B$11+((C891=TRUE)*(F891-Calc!F20)))/150)*(1-B899/150)))/100</f>
        <v/>
      </c>
    </row>
    <row r="901">
      <c r="A901" t="inlineStr">
        <is>
          <t>Skill + Buff Cast Rate</t>
        </is>
      </c>
      <c r="B901">
        <f>IF(AND(Inputs!$B$38&lt;&gt;"pvp",Inputs!$B$43&gt;0),SUMPRODUCT((Skills!E2:E24=TRUE)*(C873:C895=TRUE)*R873:R895*Skills!F2:F24)/Inputs!$B$43,SUMPRODUCT((Skills!E2:E24=TRUE)*(C873:C895=TRUE)*Q873:Q895*Skills!F2:F24))</f>
        <v/>
      </c>
    </row>
    <row r="902">
      <c r="A902" t="inlineStr">
        <is>
          <t>Blast Casts Per Second</t>
        </is>
      </c>
      <c r="B902">
        <f>MAX(0,B900-B901)</f>
        <v/>
      </c>
    </row>
    <row r="903">
      <c r="A903" t="inlineStr">
        <is>
          <t>Global Critical Damage Bonus % (unused)</t>
        </is>
      </c>
      <c r="B903" t="n">
        <v>0</v>
      </c>
    </row>
    <row r="904">
      <c r="A904" t="inlineStr">
        <is>
          <t>Global Final Damage Bonus % (Divine Shield + Guardian + Divine Blessing + Greater Vessel of Light)</t>
        </is>
      </c>
      <c r="B904">
        <f>((C886=TRUE)*F886*IF(AND(Inputs!$B$38&lt;&gt;"pvp",Inputs!$B$43&gt;0),(((R886-1)*(Skills!T15*(1+Inputs!$B$34/100))+MIN((Skills!T15*(1+Inputs!$B$34/100)),MAX(0,Inputs!$B$43-((R886-1)*Skills!D15))))/Inputs!$B$43),IF(Inputs!$B$38="pvp",MIN((Skills!T15*(1+Inputs!$B$34/100)),15)/15,(Skills!T15*(1+Inputs!$B$34/100))/Skills!D15)))+((C887=TRUE)*F887*IF(AND(Inputs!$B$38&lt;&gt;"pvp",Inputs!$B$43&gt;0),(((R887-1)*(Skills!T16*(1+Inputs!$B$34/100))+MIN((Skills!T16*(1+Inputs!$B$34/100)),MAX(0,Inputs!$B$43-((R887-1)*Skills!D16))))/Inputs!$B$43),IF(Inputs!$B$38="pvp",MIN((Skills!T16*(1+Inputs!$B$34/100)),15)/15,(Skills!T16*(1+Inputs!$B$34/100))/Skills!D16)))+((C888=TRUE)*F888*IF(AND(Inputs!$B$38&lt;&gt;"pvp",Inputs!$B$43&gt;0),(((R888-1)*(Skills!T17*(1+Inputs!$B$34/100))+MIN((Skills!T17*(1+Inputs!$B$34/100)),MAX(0,Inputs!$B$43-((R888-1)*Skills!D17))))/Inputs!$B$43),IF(Inputs!$B$38="pvp",MIN((Skills!T17*(1+Inputs!$B$34/100)),15)/15,(Skills!T17*(1+Inputs!$B$34/100))/Skills!D17)))+((C885=TRUE)*F885*MIN(1,Skills!T13*(Skills!J13/100)*B902))</f>
        <v/>
      </c>
    </row>
    <row r="905">
      <c r="A905" t="inlineStr">
        <is>
          <t>Buff-Casting Startup Delay (s, fixed-duration only)</t>
        </is>
      </c>
      <c r="B905">
        <f>IF(AND(Inputs!$B$38&lt;&gt;"pvp",Inputs!$B$43&gt;0),SUMPRODUCT((Skills!T2:T24&gt;0)*(Skills!E2:E24=TRUE)*(C873:C895=TRUE))/B900,0)</f>
        <v/>
      </c>
    </row>
    <row r="906">
      <c r="A906" t="inlineStr">
        <is>
          <t>Boss-Only Total DPS (this block's swept value)</t>
        </is>
      </c>
      <c r="B906">
        <f>SUM(T873:T895)</f>
        <v/>
      </c>
    </row>
    <row r="907">
      <c r="A907" t="inlineStr">
        <is>
          <t>Normal-Only Total DPS (this block's swept value)</t>
        </is>
      </c>
      <c r="B907">
        <f>SUM(V873:V895)</f>
        <v/>
      </c>
    </row>
    <row r="908">
      <c r="A908" s="6" t="inlineStr">
        <is>
          <t>TOTAL DPS</t>
        </is>
      </c>
      <c r="B908" s="6">
        <f>SUM(O873:O895)</f>
        <v/>
      </c>
    </row>
    <row r="911">
      <c r="A911" s="6" t="inlineStr">
        <is>
          <t>Stat: Flat ATTACK</t>
        </is>
      </c>
    </row>
    <row r="912">
      <c r="A912" s="5" t="inlineStr">
        <is>
          <t>Key</t>
        </is>
      </c>
      <c r="B912" s="5" t="inlineStr">
        <is>
          <t>Name</t>
        </is>
      </c>
      <c r="C912" s="5" t="inlineStr">
        <is>
          <t>Unlocked</t>
        </is>
      </c>
      <c r="D912" s="5" t="inlineStr">
        <is>
          <t>InputLevel</t>
        </is>
      </c>
      <c r="E912" s="5" t="inlineStr">
        <is>
          <t>Factor</t>
        </is>
      </c>
      <c r="F912" s="5" t="inlineStr">
        <is>
          <t>CoefficientPercent</t>
        </is>
      </c>
      <c r="G912" s="5" t="inlineStr">
        <is>
          <t>EffectiveHits</t>
        </is>
      </c>
      <c r="H912" s="5" t="inlineStr">
        <is>
          <t>ProcProbability</t>
        </is>
      </c>
      <c r="I912" s="5" t="inlineStr">
        <is>
          <t>MapleHeroMultiplier</t>
        </is>
      </c>
      <c r="J912" s="5" t="inlineStr">
        <is>
          <t>BaseDamage</t>
        </is>
      </c>
      <c r="K912" s="5" t="inlineStr">
        <is>
          <t>BaseHitDamage</t>
        </is>
      </c>
      <c r="L912" s="5" t="inlineStr">
        <is>
          <t>NonCritAvg</t>
        </is>
      </c>
      <c r="M912" s="5" t="inlineStr">
        <is>
          <t>CritAvg</t>
        </is>
      </c>
      <c r="N912" s="5" t="inlineStr">
        <is>
          <t>ExpectedDamage(perHit)</t>
        </is>
      </c>
      <c r="O912" s="5" t="inlineStr">
        <is>
          <t>DPS</t>
        </is>
      </c>
      <c r="P912" s="5" t="inlineStr">
        <is>
          <t>% of Total</t>
        </is>
      </c>
      <c r="Q912" s="5" t="inlineStr">
        <is>
          <t>InvCooldown</t>
        </is>
      </c>
      <c r="R912" s="5" t="inlineStr">
        <is>
          <t>CastsInFight</t>
        </is>
      </c>
      <c r="S912" s="5" t="inlineStr">
        <is>
          <t>HitRate(perSec)</t>
        </is>
      </c>
      <c r="U912" t="inlineStr">
        <is>
          <t>helpers</t>
        </is>
      </c>
    </row>
    <row r="913">
      <c r="A913">
        <f>Skills!A2</f>
        <v/>
      </c>
      <c r="B913">
        <f>Skills!B2</f>
        <v/>
      </c>
      <c r="C913">
        <f>Inputs!$B$3&gt;=100</f>
        <v/>
      </c>
      <c r="D913" t="inlineStr"/>
      <c r="E913" t="inlineStr"/>
      <c r="F913">
        <f>U915+Skills!O2</f>
        <v/>
      </c>
      <c r="G913">
        <f>Skills!G2*IF(Skills!H2&gt;0,Skills!I2/Skills!H2,1)</f>
        <v/>
      </c>
      <c r="H913">
        <f>1-(1-Skills!J2/100)^Skills!K2</f>
        <v/>
      </c>
      <c r="I913" t="inlineStr">
        <is>
          <t>1</t>
        </is>
      </c>
      <c r="J913">
        <f>(((Inputs!$B$6+1)*(1+Inputs!$B$7/100))+(((Inputs!$B$12*(1+Inputs!$B$13/100))-(Inputs!$B$12*(1+Inputs!$B$13/100)))+0.25*(Inputs!$B$14-Inputs!$B$14))*(1+Inputs!$B$7/100))*(F913/100)</f>
        <v/>
      </c>
      <c r="K913">
        <f>J913*(1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913)</f>
        <v/>
      </c>
      <c r="L913">
        <f>K913*(MIN(Inputs!$B$22+((C933=TRUE)*(F933-Calc!F22)),(Inputs!$B$23+((C935=TRUE)*(F935-Calc!F24))+(IF(ArtifactsInput!$M$15,CHOOSE(ArtifactsInput!$N$15+1,25,30,35,40,45,50)/100*(Inputs!$B$11-Inputs!$B$11),0))))/100+(Inputs!$B$23+((C935=TRUE)*(F935-Calc!F24))+(IF(ArtifactsInput!$M$15,CHOOSE(ArtifactsInput!$N$15+1,25,30,35,40,45,50)/100*(Inputs!$B$11-Inputs!$B$11),0)))/100)/2</f>
        <v/>
      </c>
      <c r="M913">
        <f>L913*(1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3">
        <f>L913*(1-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913*(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3">
        <f>(1-Summary!$B$11)*T913+Summary!$B$11*V913</f>
        <v/>
      </c>
      <c r="P913">
        <f>IF(B948=0,0,O913/B948)</f>
        <v/>
      </c>
      <c r="Q913" t="n">
        <v>0</v>
      </c>
      <c r="R913" t="n">
        <v>0</v>
      </c>
      <c r="S913">
        <f>IFERROR(O913/N913,0)</f>
        <v/>
      </c>
      <c r="T913">
        <f>IF(C913,(Skills!G2*N913*B942)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913*(1-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913*(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913*(1-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913*(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3">
        <f>MAX(0,(Inputs!$B$3-100)*3)+Inputs!$B$28+Inputs!$B$29</f>
        <v/>
      </c>
      <c r="V913">
        <f>IF(C913,(Skills!G2*N913*B942)*IF(Inputs!$B$38="pvp",1,(1+(Inputs!$B$21+Skills!Q2+(IF(ArtifactsInput!$M$33,CHOOSE(ArtifactsInput!$N$33+1,30,36,42,48,54,60),0))+(IF(AND(ArtifactsInput!$M$35,Inputs!$B$4&lt;&gt;"Chapter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4">
      <c r="A914">
        <f>Skills!A3</f>
        <v/>
      </c>
      <c r="B914">
        <f>Skills!B3</f>
        <v/>
      </c>
      <c r="C914">
        <f>Inputs!$B$3&gt;=50</f>
        <v/>
      </c>
      <c r="D914">
        <f>IF(Skills!C3=1,60+Inputs!$B$25+Inputs!$B$29,IF(Skills!C3=2,90+Inputs!$B$26+Inputs!$B$29,IF(Skills!C3=3,120+Inputs!$B$27+Inputs!$B$29,MAX(0,(Inputs!$B$3-100)*3)+Inputs!$B$28+Inputs!$B$29)))</f>
        <v/>
      </c>
      <c r="E914">
        <f>INDEX(FactorTable!$B$2:$Y$301, MATCH(ROUND(MIN(300,MAX(1,D914)),0), FactorTable!$A$2:$A$301,0), Skills!M3+1)</f>
        <v/>
      </c>
      <c r="F914">
        <f>IF(Skills!N3=TRUE,(Skills!L3/10)*(E914/1000),Skills!L3/10)+Skills!O3</f>
        <v/>
      </c>
      <c r="G914" t="inlineStr"/>
      <c r="H914" t="inlineStr"/>
      <c r="I914" t="inlineStr">
        <is>
          <t>1</t>
        </is>
      </c>
      <c r="J914" t="inlineStr"/>
      <c r="K914" t="inlineStr"/>
      <c r="L914" t="inlineStr"/>
      <c r="M914" t="inlineStr"/>
      <c r="N914" t="inlineStr"/>
      <c r="O914" t="inlineStr"/>
      <c r="P914" t="inlineStr"/>
      <c r="Q914" t="inlineStr"/>
      <c r="R914" t="inlineStr"/>
      <c r="S914" t="inlineStr"/>
      <c r="U914">
        <f>INDEX(FactorTable!$B$2:$Y$301, MATCH(ROUND(MIN(300,MAX(1,U913)),0), FactorTable!$A$2:$A$301,0), 22)</f>
        <v/>
      </c>
    </row>
    <row r="915">
      <c r="A915">
        <f>Skills!A4</f>
        <v/>
      </c>
      <c r="B915">
        <f>Skills!B4</f>
        <v/>
      </c>
      <c r="C915">
        <f>Inputs!$B$3&gt;=35</f>
        <v/>
      </c>
      <c r="D915">
        <f>IF(Skills!C4=1,60+Inputs!$B$25+Inputs!$B$29,IF(Skills!C4=2,90+Inputs!$B$26+Inputs!$B$29,IF(Skills!C4=3,120+Inputs!$B$27+Inputs!$B$29,MAX(0,(Inputs!$B$3-100)*3)+Inputs!$B$28+Inputs!$B$29)))</f>
        <v/>
      </c>
      <c r="E915">
        <f>INDEX(FactorTable!$B$2:$Y$301, MATCH(ROUND(MIN(300,MAX(1,D915)),0), FactorTable!$A$2:$A$301,0), Skills!M4+1)</f>
        <v/>
      </c>
      <c r="F915">
        <f>IF(Skills!N4=TRUE,(Skills!L4/10)*(E915/1000),Skills!L4/10)+Skills!O4</f>
        <v/>
      </c>
      <c r="G915">
        <f>Skills!G4*IF(Skills!H4&gt;0,Skills!I4/Skills!H4,1)</f>
        <v/>
      </c>
      <c r="H915">
        <f>1-(1-Skills!J4/100)^Skills!K4</f>
        <v/>
      </c>
      <c r="I915" t="inlineStr">
        <is>
          <t>1</t>
        </is>
      </c>
      <c r="J915">
        <f>(((Inputs!$B$6+1)*(1+Inputs!$B$7/100))+(((Inputs!$B$12*(1+Inputs!$B$13/100))-(Inputs!$B$12*(1+Inputs!$B$13/100)))+0.25*(Inputs!$B$14-Inputs!$B$14))*(1+Inputs!$B$7/100))*(F915/100)</f>
        <v/>
      </c>
      <c r="K915">
        <f>J915*(1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923=TRUE,F923,0)/100)*(1+(IF(Skills!A4="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915)</f>
        <v/>
      </c>
      <c r="L915">
        <f>K915*(MIN(Inputs!$B$22+((C933=TRUE)*(F933-Calc!F22)),(Inputs!$B$23+((C935=TRUE)*(F935-Calc!F24))+(IF(ArtifactsInput!$M$15,CHOOSE(ArtifactsInput!$N$15+1,25,30,35,40,45,50)/100*(Inputs!$B$11-Inputs!$B$11),0))))/100+(Inputs!$B$23+((C935=TRUE)*(F935-Calc!F24))+(IF(ArtifactsInput!$M$15,CHOOSE(ArtifactsInput!$N$15+1,25,30,35,40,45,50)/100*(Inputs!$B$11-Inputs!$B$11),0)))/100)/2</f>
        <v/>
      </c>
      <c r="M915">
        <f>L915*(1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5">
        <f>L915*(1-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915*(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5">
        <f>(1-Summary!$B$11)*T915+Summary!$B$11*V915</f>
        <v/>
      </c>
      <c r="P915">
        <f>IF(B948=0,0,O915/B948)</f>
        <v/>
      </c>
      <c r="Q915">
        <f>IFERROR(1/(IF(Inputs!$B$38="pvp",15,MAX(0.1,Skills!D4-IF(Skills!E4=TRUE,Inputs!$B$32,0)))*(1-IF(AND(ArtifactsInput!$M$27,Inputs!$B$4="Chapter Hunt"),CHOOSE(ArtifactsInput!$N$27+1,20,24,28,32,36,40),0)/100)),0)</f>
        <v/>
      </c>
      <c r="R915">
        <f>IF(AND(Inputs!$B$38&lt;&gt;"pvp",Inputs!$B$43&gt;0),IF(MAX(0,Inputs!$B$43-B945)&lt;=0,0,(INT(MAX(0,Inputs!$B$43-B945)/(IF(Inputs!$B$38="pvp",15,MAX(0.1,Skills!D4-IF(Skills!E4=TRUE,Inputs!$B$32,0)))*(1-IF(AND(ArtifactsInput!$M$27,Inputs!$B$4="Chapter Hunt"),CHOOSE(ArtifactsInput!$N$27+1,20,24,28,32,36,40),0)/100)))+1)),0)</f>
        <v/>
      </c>
      <c r="S915">
        <f>IFERROR(O915/N915,0)</f>
        <v/>
      </c>
      <c r="T915">
        <f>IF(C915,(H915*N915*IF(AND(Inputs!$B$38&lt;&gt;"pvp",Inputs!$B$43&gt;0),((Skills!G4*((R915-1)*IF(Skills!H4&gt;0,Skills!I4/Skills!H4,1)+IF(Skills!H4&gt;0,MIN(Skills!I4,MAX(0,MAX(0,Inputs!$B$43-B945)-((R915-1)*(IF(Inputs!$B$38="pvp",15,MAX(0.1,Skills!D4-IF(Skills!E4=TRUE,Inputs!$B$32,0)))*(1-IF(AND(ArtifactsInput!$M$27,Inputs!$B$4="Chapter Hunt"),CHOOSE(ArtifactsInput!$N$27+1,20,24,28,32,36,40),0)/100)))))/Skills!H4,1)))/Inputs!$B$43),G915*Q915)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915*(1-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915*(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915*(1-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915*(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15">
        <f>290*U914/1000</f>
        <v/>
      </c>
      <c r="V915">
        <f>IF(C915,(H915*N915*IF(AND(Inputs!$B$38&lt;&gt;"pvp",Inputs!$B$43&gt;0),((Skills!G4*((R915-1)*IF(Skills!H4&gt;0,Skills!I4/Skills!H4,1)+IF(Skills!H4&gt;0,MIN(Skills!I4,MAX(0,MAX(0,Inputs!$B$43-B945)-((R915-1)*(IF(Inputs!$B$38="pvp",15,MAX(0.1,Skills!D4-IF(Skills!E4=TRUE,Inputs!$B$32,0)))*(1-IF(AND(ArtifactsInput!$M$27,Inputs!$B$4="Chapter Hunt"),CHOOSE(ArtifactsInput!$N$27+1,20,24,28,32,36,40),0)/100)))))/Skills!H4,1)))/Inputs!$B$43),G915*Q915))*IF(Inputs!$B$38="pvp",1,(1+(Inputs!$B$21+Skills!Q4+(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6">
      <c r="A916">
        <f>Skills!A5</f>
        <v/>
      </c>
      <c r="B916">
        <f>Skills!B5</f>
        <v/>
      </c>
      <c r="C916">
        <f>Inputs!$B$3&gt;=66</f>
        <v/>
      </c>
      <c r="D916">
        <f>IF(Skills!C5=1,60+Inputs!$B$25+Inputs!$B$29,IF(Skills!C5=2,90+Inputs!$B$26+Inputs!$B$29,IF(Skills!C5=3,120+Inputs!$B$27+Inputs!$B$29,MAX(0,(Inputs!$B$3-100)*3)+Inputs!$B$28+Inputs!$B$29)))</f>
        <v/>
      </c>
      <c r="E916">
        <f>INDEX(FactorTable!$B$2:$Y$301, MATCH(ROUND(MIN(300,MAX(1,D916)),0), FactorTable!$A$2:$A$301,0), Skills!M5+1)</f>
        <v/>
      </c>
      <c r="F916">
        <f>IF(Skills!N5=TRUE,(Skills!L5/10)*(E916/1000),Skills!L5/10)+Skills!O5</f>
        <v/>
      </c>
      <c r="G916">
        <f>Skills!G5*IF(Skills!H5&gt;0,Skills!I5/Skills!H5,1)</f>
        <v/>
      </c>
      <c r="H916">
        <f>1-(1-Skills!J5/100)^Skills!K5</f>
        <v/>
      </c>
      <c r="I916" t="inlineStr">
        <is>
          <t>1</t>
        </is>
      </c>
      <c r="J916">
        <f>(((Inputs!$B$6+1)*(1+Inputs!$B$7/100))+(((Inputs!$B$12*(1+Inputs!$B$13/100))-(Inputs!$B$12*(1+Inputs!$B$13/100)))+0.25*(Inputs!$B$14-Inputs!$B$14))*(1+Inputs!$B$7/100))*(F916/100)</f>
        <v/>
      </c>
      <c r="K916">
        <f>J916*(1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923=TRUE,F923,0)/100)*(1+(IF(Skills!A5="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916)</f>
        <v/>
      </c>
      <c r="L916">
        <f>K916*(MIN(Inputs!$B$22+((C933=TRUE)*(F933-Calc!F22)),(Inputs!$B$23+((C935=TRUE)*(F935-Calc!F24))+(IF(ArtifactsInput!$M$15,CHOOSE(ArtifactsInput!$N$15+1,25,30,35,40,45,50)/100*(Inputs!$B$11-Inputs!$B$11),0))))/100+(Inputs!$B$23+((C935=TRUE)*(F935-Calc!F24))+(IF(ArtifactsInput!$M$15,CHOOSE(ArtifactsInput!$N$15+1,25,30,35,40,45,50)/100*(Inputs!$B$11-Inputs!$B$11),0)))/100)/2</f>
        <v/>
      </c>
      <c r="M916">
        <f>L916*(1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6">
        <f>L916*(1-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916*(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6">
        <f>(1-Summary!$B$11)*T916+Summary!$B$11*V916</f>
        <v/>
      </c>
      <c r="P916">
        <f>IF(B948=0,0,O916/B948)</f>
        <v/>
      </c>
      <c r="Q916">
        <f>IFERROR(1/(IF(Inputs!$B$38="pvp",15,MAX(0.1,Skills!D5-IF(Skills!E5=TRUE,Inputs!$B$32,0)))*(1-IF(AND(ArtifactsInput!$M$27,Inputs!$B$4="Chapter Hunt"),CHOOSE(ArtifactsInput!$N$27+1,20,24,28,32,36,40),0)/100)),0)</f>
        <v/>
      </c>
      <c r="R916">
        <f>IF(AND(Inputs!$B$38&lt;&gt;"pvp",Inputs!$B$43&gt;0),IF(MAX(0,Inputs!$B$43-B945)&lt;=0,0,(INT(MAX(0,Inputs!$B$43-B945)/(IF(Inputs!$B$38="pvp",15,MAX(0.1,Skills!D5-IF(Skills!E5=TRUE,Inputs!$B$32,0)))*(1-IF(AND(ArtifactsInput!$M$27,Inputs!$B$4="Chapter Hunt"),CHOOSE(ArtifactsInput!$N$27+1,20,24,28,32,36,40),0)/100)))+1)),0)</f>
        <v/>
      </c>
      <c r="S916">
        <f>IFERROR(O916/N916,0)</f>
        <v/>
      </c>
      <c r="T916">
        <f>IF(C916,(H916*N916*IF(AND(Inputs!$B$38&lt;&gt;"pvp",Inputs!$B$43&gt;0),((Skills!G5*((R916-1)*IF(Skills!H5&gt;0,Skills!I5/Skills!H5,1)+IF(Skills!H5&gt;0,MIN(Skills!I5,MAX(0,MAX(0,Inputs!$B$43-B945)-((R916-1)*(IF(Inputs!$B$38="pvp",15,MAX(0.1,Skills!D5-IF(Skills!E5=TRUE,Inputs!$B$32,0)))*(1-IF(AND(ArtifactsInput!$M$27,Inputs!$B$4="Chapter Hunt"),CHOOSE(ArtifactsInput!$N$27+1,20,24,28,32,36,40),0)/100)))))/Skills!H5,1)))/Inputs!$B$43),G916*Q916)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916*(1-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916*(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916*(1-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916*(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6">
        <f>IF(C916,(H916*N916*IF(AND(Inputs!$B$38&lt;&gt;"pvp",Inputs!$B$43&gt;0),((Skills!G5*((R916-1)*IF(Skills!H5&gt;0,Skills!I5/Skills!H5,1)+IF(Skills!H5&gt;0,MIN(Skills!I5,MAX(0,MAX(0,Inputs!$B$43-B945)-((R916-1)*(IF(Inputs!$B$38="pvp",15,MAX(0.1,Skills!D5-IF(Skills!E5=TRUE,Inputs!$B$32,0)))*(1-IF(AND(ArtifactsInput!$M$27,Inputs!$B$4="Chapter Hunt"),CHOOSE(ArtifactsInput!$N$27+1,20,24,28,32,36,40),0)/100)))))/Skills!H5,1)))/Inputs!$B$43),G916*Q916))*IF(Inputs!$B$38="pvp",1,(1+(Inputs!$B$21+Skills!Q5+(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7">
      <c r="A917">
        <f>Skills!A6</f>
        <v/>
      </c>
      <c r="B917">
        <f>Skills!B6</f>
        <v/>
      </c>
      <c r="C917">
        <f>Inputs!$B$3&gt;=103</f>
        <v/>
      </c>
      <c r="D917">
        <f>IF(Skills!C6=1,60+Inputs!$B$25+Inputs!$B$29,IF(Skills!C6=2,90+Inputs!$B$26+Inputs!$B$29,IF(Skills!C6=3,120+Inputs!$B$27+Inputs!$B$29,MAX(0,(Inputs!$B$3-100)*3)+Inputs!$B$28+Inputs!$B$29)))</f>
        <v/>
      </c>
      <c r="E917">
        <f>INDEX(FactorTable!$B$2:$Y$301, MATCH(ROUND(MIN(300,MAX(1,D917)),0), FactorTable!$A$2:$A$301,0), Skills!M6+1)</f>
        <v/>
      </c>
      <c r="F917">
        <f>IF(Skills!N6=TRUE,(Skills!L6/10)*(E917/1000),Skills!L6/10)+Skills!O6</f>
        <v/>
      </c>
      <c r="G917">
        <f>Skills!G6*IF(Skills!H6&gt;0,Skills!I6/Skills!H6,1)</f>
        <v/>
      </c>
      <c r="H917">
        <f>1-(1-Skills!J6/100)^Skills!K6</f>
        <v/>
      </c>
      <c r="I917" t="inlineStr">
        <is>
          <t>1</t>
        </is>
      </c>
      <c r="J917">
        <f>(((Inputs!$B$6+1)*(1+Inputs!$B$7/100))+(((Inputs!$B$12*(1+Inputs!$B$13/100))-(Inputs!$B$12*(1+Inputs!$B$13/100)))+0.25*(Inputs!$B$14-Inputs!$B$14))*(1+Inputs!$B$7/100))*(F917/100)</f>
        <v/>
      </c>
      <c r="K917">
        <f>J917*(1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917)</f>
        <v/>
      </c>
      <c r="L917">
        <f>K917*(MIN(Inputs!$B$22+((C933=TRUE)*(F933-Calc!F22)),(Inputs!$B$23+((C935=TRUE)*(F935-Calc!F24))+(IF(ArtifactsInput!$M$15,CHOOSE(ArtifactsInput!$N$15+1,25,30,35,40,45,50)/100*(Inputs!$B$11-Inputs!$B$11),0))))/100+(Inputs!$B$23+((C935=TRUE)*(F935-Calc!F24))+(IF(ArtifactsInput!$M$15,CHOOSE(ArtifactsInput!$N$15+1,25,30,35,40,45,50)/100*(Inputs!$B$11-Inputs!$B$11),0)))/100)/2</f>
        <v/>
      </c>
      <c r="M917">
        <f>L917*(1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7">
        <f>L917*(1-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917*(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7">
        <f>(1-Summary!$B$11)*T917+Summary!$B$11*V917</f>
        <v/>
      </c>
      <c r="P917">
        <f>IF(B948=0,0,O917/B948)</f>
        <v/>
      </c>
      <c r="Q917">
        <f>IFERROR(1/(IF(Inputs!$B$38="pvp",15,MAX(0.1,Skills!D6-IF(Skills!E6=TRUE,Inputs!$B$32,0)))*(1-IF(AND(ArtifactsInput!$M$27,Inputs!$B$4="Chapter Hunt"),CHOOSE(ArtifactsInput!$N$27+1,20,24,28,32,36,40),0)/100)),0)</f>
        <v/>
      </c>
      <c r="R917">
        <f>IF(AND(Inputs!$B$38&lt;&gt;"pvp",Inputs!$B$43&gt;0),IF(MAX(0,Inputs!$B$43-B945)&lt;=0,0,(INT(MAX(0,Inputs!$B$43-B945)/(IF(Inputs!$B$38="pvp",15,MAX(0.1,Skills!D6-IF(Skills!E6=TRUE,Inputs!$B$32,0)))*(1-IF(AND(ArtifactsInput!$M$27,Inputs!$B$4="Chapter Hunt"),CHOOSE(ArtifactsInput!$N$27+1,20,24,28,32,36,40),0)/100)))+1)),0)</f>
        <v/>
      </c>
      <c r="S917">
        <f>IFERROR(O917/N917,0)</f>
        <v/>
      </c>
      <c r="T917">
        <f>IF(C917,(H917*N917*IF(AND(Inputs!$B$38&lt;&gt;"pvp",Inputs!$B$43&gt;0),((Skills!G6*((R917-1)*IF(Skills!H6&gt;0,Skills!I6/Skills!H6,1)+IF(Skills!H6&gt;0,MIN(Skills!I6,MAX(0,MAX(0,Inputs!$B$43-B945)-((R917-1)*(IF(Inputs!$B$38="pvp",15,MAX(0.1,Skills!D6-IF(Skills!E6=TRUE,Inputs!$B$32,0)))*(1-IF(AND(ArtifactsInput!$M$27,Inputs!$B$4="Chapter Hunt"),CHOOSE(ArtifactsInput!$N$27+1,20,24,28,32,36,40),0)/100)))))/Skills!H6,1)))/Inputs!$B$43),G917*Q917)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917*(1-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917*(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917*(1-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917*(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7">
        <f>IF(C917,(H917*N917*IF(AND(Inputs!$B$38&lt;&gt;"pvp",Inputs!$B$43&gt;0),((Skills!G6*((R917-1)*IF(Skills!H6&gt;0,Skills!I6/Skills!H6,1)+IF(Skills!H6&gt;0,MIN(Skills!I6,MAX(0,MAX(0,Inputs!$B$43-B945)-((R917-1)*(IF(Inputs!$B$38="pvp",15,MAX(0.1,Skills!D6-IF(Skills!E6=TRUE,Inputs!$B$32,0)))*(1-IF(AND(ArtifactsInput!$M$27,Inputs!$B$4="Chapter Hunt"),CHOOSE(ArtifactsInput!$N$27+1,20,24,28,32,36,40),0)/100)))))/Skills!H6,1)))/Inputs!$B$43),G917*Q917))*IF(Inputs!$B$38="pvp",1,(1+(Inputs!$B$21+Skills!Q6+(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8">
      <c r="A918">
        <f>Skills!A7</f>
        <v/>
      </c>
      <c r="B918">
        <f>Skills!B7</f>
        <v/>
      </c>
      <c r="C918">
        <f>Inputs!$B$3&gt;=107</f>
        <v/>
      </c>
      <c r="D918">
        <f>IF(Skills!C7=1,60+Inputs!$B$25+Inputs!$B$29,IF(Skills!C7=2,90+Inputs!$B$26+Inputs!$B$29,IF(Skills!C7=3,120+Inputs!$B$27+Inputs!$B$29,MAX(0,(Inputs!$B$3-100)*3)+Inputs!$B$28+Inputs!$B$29)))</f>
        <v/>
      </c>
      <c r="E918">
        <f>INDEX(FactorTable!$B$2:$Y$301, MATCH(ROUND(MIN(300,MAX(1,D918)),0), FactorTable!$A$2:$A$301,0), Skills!M7+1)</f>
        <v/>
      </c>
      <c r="F918">
        <f>IF(Skills!N7=TRUE,(Skills!L7/10)*(E918/1000),Skills!L7/10)+Skills!O7</f>
        <v/>
      </c>
      <c r="G918">
        <f>Skills!G7*IF(Skills!H7&gt;0,Skills!I7/Skills!H7,1)</f>
        <v/>
      </c>
      <c r="H918">
        <f>1-(1-Skills!J7/100)^Skills!K7</f>
        <v/>
      </c>
      <c r="I918" t="inlineStr">
        <is>
          <t>1</t>
        </is>
      </c>
      <c r="J918">
        <f>(((Inputs!$B$6+1)*(1+Inputs!$B$7/100))+(((Inputs!$B$12*(1+Inputs!$B$13/100))-(Inputs!$B$12*(1+Inputs!$B$13/100)))+0.25*(Inputs!$B$14-Inputs!$B$14))*(1+Inputs!$B$7/100))*(F918/100)</f>
        <v/>
      </c>
      <c r="K918">
        <f>J918*(1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918)</f>
        <v/>
      </c>
      <c r="L918">
        <f>K918*(MIN(Inputs!$B$22+((C933=TRUE)*(F933-Calc!F22)),(Inputs!$B$23+((C935=TRUE)*(F935-Calc!F24))+(IF(ArtifactsInput!$M$15,CHOOSE(ArtifactsInput!$N$15+1,25,30,35,40,45,50)/100*(Inputs!$B$11-Inputs!$B$11),0))))/100+(Inputs!$B$23+((C935=TRUE)*(F935-Calc!F24))+(IF(ArtifactsInput!$M$15,CHOOSE(ArtifactsInput!$N$15+1,25,30,35,40,45,50)/100*(Inputs!$B$11-Inputs!$B$11),0)))/100)/2</f>
        <v/>
      </c>
      <c r="M918">
        <f>L918*(1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8">
        <f>L918*(1-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918*(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8">
        <f>(1-Summary!$B$11)*T918+Summary!$B$11*V918</f>
        <v/>
      </c>
      <c r="P918">
        <f>IF(B948=0,0,O918/B948)</f>
        <v/>
      </c>
      <c r="Q918">
        <f>IFERROR(1/(IF(Inputs!$B$38="pvp",15,MAX(0.1,Skills!D7-IF(Skills!E7=TRUE,Inputs!$B$32,0)))*(1-IF(AND(ArtifactsInput!$M$27,Inputs!$B$4="Chapter Hunt"),CHOOSE(ArtifactsInput!$N$27+1,20,24,28,32,36,40),0)/100)),0)</f>
        <v/>
      </c>
      <c r="R918">
        <f>IF(AND(Inputs!$B$38&lt;&gt;"pvp",Inputs!$B$43&gt;0),IF(MAX(0,Inputs!$B$43-B945)&lt;=0,0,(INT(MAX(0,Inputs!$B$43-B945)/(IF(Inputs!$B$38="pvp",15,MAX(0.1,Skills!D7-IF(Skills!E7=TRUE,Inputs!$B$32,0)))*(1-IF(AND(ArtifactsInput!$M$27,Inputs!$B$4="Chapter Hunt"),CHOOSE(ArtifactsInput!$N$27+1,20,24,28,32,36,40),0)/100)))+1)),0)</f>
        <v/>
      </c>
      <c r="S918">
        <f>IFERROR(O918/N918,0)</f>
        <v/>
      </c>
      <c r="T918">
        <f>IF(C918,(H918*N918*IF(AND(Inputs!$B$38&lt;&gt;"pvp",Inputs!$B$43&gt;0),((Skills!G7*((R918-1)*IF(Skills!H7&gt;0,Skills!I7/Skills!H7,1)+IF(Skills!H7&gt;0,MIN(Skills!I7,MAX(0,MAX(0,Inputs!$B$43-B945)-((R918-1)*(IF(Inputs!$B$38="pvp",15,MAX(0.1,Skills!D7-IF(Skills!E7=TRUE,Inputs!$B$32,0)))*(1-IF(AND(ArtifactsInput!$M$27,Inputs!$B$4="Chapter Hunt"),CHOOSE(ArtifactsInput!$N$27+1,20,24,28,32,36,40),0)/100)))))/Skills!H7,1)))/Inputs!$B$43),G918*Q918)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918*(1-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918*(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918*(1-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918*(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8">
        <f>IF(C918,(H918*N918*IF(AND(Inputs!$B$38&lt;&gt;"pvp",Inputs!$B$43&gt;0),((Skills!G7*((R918-1)*IF(Skills!H7&gt;0,Skills!I7/Skills!H7,1)+IF(Skills!H7&gt;0,MIN(Skills!I7,MAX(0,MAX(0,Inputs!$B$43-B945)-((R918-1)*(IF(Inputs!$B$38="pvp",15,MAX(0.1,Skills!D7-IF(Skills!E7=TRUE,Inputs!$B$32,0)))*(1-IF(AND(ArtifactsInput!$M$27,Inputs!$B$4="Chapter Hunt"),CHOOSE(ArtifactsInput!$N$27+1,20,24,28,32,36,40),0)/100)))))/Skills!H7,1)))/Inputs!$B$43),G918*Q918))*IF(Inputs!$B$38="pvp",1,(1+(Inputs!$B$21+Skills!Q7+(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19">
      <c r="A919">
        <f>Skills!A8</f>
        <v/>
      </c>
      <c r="B919">
        <f>Skills!B8</f>
        <v/>
      </c>
      <c r="C919">
        <f>Inputs!$B$3&gt;=107</f>
        <v/>
      </c>
      <c r="D919">
        <f>IF(Skills!C8=1,60+Inputs!$B$25+Inputs!$B$29,IF(Skills!C8=2,90+Inputs!$B$26+Inputs!$B$29,IF(Skills!C8=3,120+Inputs!$B$27+Inputs!$B$29,MAX(0,(Inputs!$B$3-100)*3)+Inputs!$B$28+Inputs!$B$29)))</f>
        <v/>
      </c>
      <c r="E919">
        <f>INDEX(FactorTable!$B$2:$Y$301, MATCH(ROUND(MIN(300,MAX(1,D919)),0), FactorTable!$A$2:$A$301,0), Skills!M8+1)</f>
        <v/>
      </c>
      <c r="F919">
        <f>IF(Skills!N8=TRUE,(Skills!L8/10)*(E919/1000),Skills!L8/10)+Skills!O8</f>
        <v/>
      </c>
      <c r="G919">
        <f>Skills!G8*IF(Skills!H8&gt;0,Skills!I8/Skills!H8,1)</f>
        <v/>
      </c>
      <c r="H919">
        <f>1-(1-Skills!J8/100)^Skills!K8</f>
        <v/>
      </c>
      <c r="I919" t="inlineStr">
        <is>
          <t>1</t>
        </is>
      </c>
      <c r="J919">
        <f>(((Inputs!$B$6+1)*(1+Inputs!$B$7/100))+(((Inputs!$B$12*(1+Inputs!$B$13/100))-(Inputs!$B$12*(1+Inputs!$B$13/100)))+0.25*(Inputs!$B$14-Inputs!$B$14))*(1+Inputs!$B$7/100))*(F919/100)</f>
        <v/>
      </c>
      <c r="K919">
        <f>J919*(1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919)</f>
        <v/>
      </c>
      <c r="L919">
        <f>K919*(MIN(Inputs!$B$22+((C933=TRUE)*(F933-Calc!F22)),(Inputs!$B$23+((C935=TRUE)*(F935-Calc!F24))+(IF(ArtifactsInput!$M$15,CHOOSE(ArtifactsInput!$N$15+1,25,30,35,40,45,50)/100*(Inputs!$B$11-Inputs!$B$11),0))))/100+(Inputs!$B$23+((C935=TRUE)*(F935-Calc!F24))+(IF(ArtifactsInput!$M$15,CHOOSE(ArtifactsInput!$N$15+1,25,30,35,40,45,50)/100*(Inputs!$B$11-Inputs!$B$11),0)))/100)/2</f>
        <v/>
      </c>
      <c r="M919">
        <f>L919*(1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19">
        <f>L919*(1-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919*(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19">
        <f>(1-Summary!$B$11)*T919+Summary!$B$11*V919</f>
        <v/>
      </c>
      <c r="P919">
        <f>IF(B948=0,0,O919/B948)</f>
        <v/>
      </c>
      <c r="Q919">
        <f>IFERROR(1/(IF(Inputs!$B$38="pvp",15,MAX(0.1,Skills!D8-IF(Skills!E8=TRUE,Inputs!$B$32,0)))*(1-IF(AND(ArtifactsInput!$M$27,Inputs!$B$4="Chapter Hunt"),CHOOSE(ArtifactsInput!$N$27+1,20,24,28,32,36,40),0)/100)),0)</f>
        <v/>
      </c>
      <c r="R919">
        <f>IF(AND(Inputs!$B$38&lt;&gt;"pvp",Inputs!$B$43&gt;0),IF(MAX(0,Inputs!$B$43-B945)&lt;=0,0,(INT(MAX(0,Inputs!$B$43-B945)/(IF(Inputs!$B$38="pvp",15,MAX(0.1,Skills!D8-IF(Skills!E8=TRUE,Inputs!$B$32,0)))*(1-IF(AND(ArtifactsInput!$M$27,Inputs!$B$4="Chapter Hunt"),CHOOSE(ArtifactsInput!$N$27+1,20,24,28,32,36,40),0)/100)))+1)),0)</f>
        <v/>
      </c>
      <c r="S919">
        <f>IFERROR(O919/N919,0)</f>
        <v/>
      </c>
      <c r="T919">
        <f>IF(C919,(H919*N919*IF(AND(Inputs!$B$38&lt;&gt;"pvp",Inputs!$B$43&gt;0),((Skills!G8*((R919-1)*IF(Skills!H8&gt;0,Skills!I8/Skills!H8,1)+IF(Skills!H8&gt;0,MIN(Skills!I8,MAX(0,MAX(0,Inputs!$B$43-B945)-((R919-1)*(IF(Inputs!$B$38="pvp",15,MAX(0.1,Skills!D8-IF(Skills!E8=TRUE,Inputs!$B$32,0)))*(1-IF(AND(ArtifactsInput!$M$27,Inputs!$B$4="Chapter Hunt"),CHOOSE(ArtifactsInput!$N$27+1,20,24,28,32,36,40),0)/100)))))/Skills!H8,1)))/Inputs!$B$43),G919*Q919)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919*(1-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919*(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919*(1-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919*(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19">
        <f>IF(C919,(H919*N919*IF(AND(Inputs!$B$38&lt;&gt;"pvp",Inputs!$B$43&gt;0),((Skills!G8*((R919-1)*IF(Skills!H8&gt;0,Skills!I8/Skills!H8,1)+IF(Skills!H8&gt;0,MIN(Skills!I8,MAX(0,MAX(0,Inputs!$B$43-B945)-((R919-1)*(IF(Inputs!$B$38="pvp",15,MAX(0.1,Skills!D8-IF(Skills!E8=TRUE,Inputs!$B$32,0)))*(1-IF(AND(ArtifactsInput!$M$27,Inputs!$B$4="Chapter Hunt"),CHOOSE(ArtifactsInput!$N$27+1,20,24,28,32,36,40),0)/100)))))/Skills!H8,1)))/Inputs!$B$43),G919*Q919))*IF(Inputs!$B$38="pvp",1,(1+(Inputs!$B$21+Skills!Q8+(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0">
      <c r="A920">
        <f>Skills!A9</f>
        <v/>
      </c>
      <c r="B920">
        <f>Skills!B9</f>
        <v/>
      </c>
      <c r="C920">
        <f>Inputs!$B$3&gt;=125</f>
        <v/>
      </c>
      <c r="D920">
        <f>IF(Skills!C9=1,60+Inputs!$B$25+Inputs!$B$29,IF(Skills!C9=2,90+Inputs!$B$26+Inputs!$B$29,IF(Skills!C9=3,120+Inputs!$B$27+Inputs!$B$29,MAX(0,(Inputs!$B$3-100)*3)+Inputs!$B$28+Inputs!$B$29)))</f>
        <v/>
      </c>
      <c r="E920">
        <f>INDEX(FactorTable!$B$2:$Y$301, MATCH(ROUND(MIN(300,MAX(1,D920)),0), FactorTable!$A$2:$A$301,0), Skills!M9+1)</f>
        <v/>
      </c>
      <c r="F920">
        <f>IF(Skills!N9=TRUE,(Skills!L9/10)*(E920/1000),Skills!L9/10)+Skills!O9</f>
        <v/>
      </c>
      <c r="G920">
        <f>Skills!G9*IF(Skills!H9&gt;0,Skills!I9/Skills!H9,1)</f>
        <v/>
      </c>
      <c r="H920">
        <f>1-(1-Skills!J9/100)^Skills!K9</f>
        <v/>
      </c>
      <c r="I920" t="inlineStr">
        <is>
          <t>1</t>
        </is>
      </c>
      <c r="J920">
        <f>(((Inputs!$B$6+1)*(1+Inputs!$B$7/100))+(((Inputs!$B$12*(1+Inputs!$B$13/100))-(Inputs!$B$12*(1+Inputs!$B$13/100)))+0.25*(Inputs!$B$14-Inputs!$B$14))*(1+Inputs!$B$7/100))*(F920/100)</f>
        <v/>
      </c>
      <c r="K920">
        <f>J920*(1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920)</f>
        <v/>
      </c>
      <c r="L920">
        <f>K920*(MIN(Inputs!$B$22+((C933=TRUE)*(F933-Calc!F22)),(Inputs!$B$23+((C935=TRUE)*(F935-Calc!F24))+(IF(ArtifactsInput!$M$15,CHOOSE(ArtifactsInput!$N$15+1,25,30,35,40,45,50)/100*(Inputs!$B$11-Inputs!$B$11),0))))/100+(Inputs!$B$23+((C935=TRUE)*(F935-Calc!F24))+(IF(ArtifactsInput!$M$15,CHOOSE(ArtifactsInput!$N$15+1,25,30,35,40,45,50)/100*(Inputs!$B$11-Inputs!$B$11),0)))/100)/2</f>
        <v/>
      </c>
      <c r="M920">
        <f>L920*(1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0">
        <f>L920*(1-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920*(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0">
        <f>(1-Summary!$B$11)*T920+Summary!$B$11*V920</f>
        <v/>
      </c>
      <c r="P920">
        <f>IF(B948=0,0,O920/B948)</f>
        <v/>
      </c>
      <c r="Q920">
        <f>IFERROR(1/(IF(Inputs!$B$38="pvp",15,MAX(0.1,Skills!D9-IF(Skills!E9=TRUE,Inputs!$B$32,0)))*(1-IF(AND(ArtifactsInput!$M$27,Inputs!$B$4="Chapter Hunt"),CHOOSE(ArtifactsInput!$N$27+1,20,24,28,32,36,40),0)/100)),0)</f>
        <v/>
      </c>
      <c r="R920">
        <f>IF(AND(Inputs!$B$38&lt;&gt;"pvp",Inputs!$B$43&gt;0),IF(MAX(0,Inputs!$B$43-B945)&lt;=0,0,(INT(MAX(0,Inputs!$B$43-B945)/(IF(Inputs!$B$38="pvp",15,MAX(0.1,Skills!D9-IF(Skills!E9=TRUE,Inputs!$B$32,0)))*(1-IF(AND(ArtifactsInput!$M$27,Inputs!$B$4="Chapter Hunt"),CHOOSE(ArtifactsInput!$N$27+1,20,24,28,32,36,40),0)/100)))+1)),0)</f>
        <v/>
      </c>
      <c r="S920">
        <f>IFERROR(O920/N920,0)</f>
        <v/>
      </c>
      <c r="T920">
        <f>IF(C920,(H920*N920*IF(AND(Inputs!$B$38&lt;&gt;"pvp",Inputs!$B$43&gt;0),((Skills!G9*((R920-1)*IF(Skills!H9&gt;0,Skills!I9/Skills!H9,1)+IF(Skills!H9&gt;0,MIN(Skills!I9,MAX(0,MAX(0,Inputs!$B$43-B945)-((R920-1)*(IF(Inputs!$B$38="pvp",15,MAX(0.1,Skills!D9-IF(Skills!E9=TRUE,Inputs!$B$32,0)))*(1-IF(AND(ArtifactsInput!$M$27,Inputs!$B$4="Chapter Hunt"),CHOOSE(ArtifactsInput!$N$27+1,20,24,28,32,36,40),0)/100)))))/Skills!H9,1)))/Inputs!$B$43),G920*Q920)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920*(1-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920*(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920*(1-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920*(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0">
        <f>IF(C920,(H920*N920*IF(AND(Inputs!$B$38&lt;&gt;"pvp",Inputs!$B$43&gt;0),((Skills!G9*((R920-1)*IF(Skills!H9&gt;0,Skills!I9/Skills!H9,1)+IF(Skills!H9&gt;0,MIN(Skills!I9,MAX(0,MAX(0,Inputs!$B$43-B945)-((R920-1)*(IF(Inputs!$B$38="pvp",15,MAX(0.1,Skills!D9-IF(Skills!E9=TRUE,Inputs!$B$32,0)))*(1-IF(AND(ArtifactsInput!$M$27,Inputs!$B$4="Chapter Hunt"),CHOOSE(ArtifactsInput!$N$27+1,20,24,28,32,36,40),0)/100)))))/Skills!H9,1)))/Inputs!$B$43),G920*Q920))*IF(Inputs!$B$38="pvp",1,(1+(Inputs!$B$21+Skills!Q9+(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1">
      <c r="A921">
        <f>Skills!A10</f>
        <v/>
      </c>
      <c r="B921">
        <f>Skills!B10</f>
        <v/>
      </c>
      <c r="C921">
        <f>Inputs!$B$3&gt;=117</f>
        <v/>
      </c>
      <c r="D921">
        <f>IF(Skills!C10=1,60+Inputs!$B$25+Inputs!$B$29,IF(Skills!C10=2,90+Inputs!$B$26+Inputs!$B$29,IF(Skills!C10=3,120+Inputs!$B$27+Inputs!$B$29,MAX(0,(Inputs!$B$3-100)*3)+Inputs!$B$28+Inputs!$B$29)))</f>
        <v/>
      </c>
      <c r="E921">
        <f>INDEX(FactorTable!$B$2:$Y$301, MATCH(ROUND(MIN(300,MAX(1,D921)),0), FactorTable!$A$2:$A$301,0), Skills!M10+1)</f>
        <v/>
      </c>
      <c r="F921">
        <f>IF(Skills!N10=TRUE,(Skills!L10/10)*(E921/1000),Skills!L10/10)+Skills!O10</f>
        <v/>
      </c>
      <c r="G921">
        <f>Skills!G10*IF(Skills!H10&gt;0,Skills!I10/Skills!H10,1)</f>
        <v/>
      </c>
      <c r="H921">
        <f>1-(1-Skills!J10/100)^Skills!K10</f>
        <v/>
      </c>
      <c r="I921" t="inlineStr">
        <is>
          <t>1</t>
        </is>
      </c>
      <c r="J921">
        <f>(((Inputs!$B$6+1)*(1+Inputs!$B$7/100))+(((Inputs!$B$12*(1+Inputs!$B$13/100))-(Inputs!$B$12*(1+Inputs!$B$13/100)))+0.25*(Inputs!$B$14-Inputs!$B$14))*(1+Inputs!$B$7/100))*(F921/100)</f>
        <v/>
      </c>
      <c r="K921">
        <f>J921*(1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921)</f>
        <v/>
      </c>
      <c r="L921">
        <f>K921*(MIN(Inputs!$B$22+((C933=TRUE)*(F933-Calc!F22)),(Inputs!$B$23+((C935=TRUE)*(F935-Calc!F24))+(IF(ArtifactsInput!$M$15,CHOOSE(ArtifactsInput!$N$15+1,25,30,35,40,45,50)/100*(Inputs!$B$11-Inputs!$B$11),0))))/100+(Inputs!$B$23+((C935=TRUE)*(F935-Calc!F24))+(IF(ArtifactsInput!$M$15,CHOOSE(ArtifactsInput!$N$15+1,25,30,35,40,45,50)/100*(Inputs!$B$11-Inputs!$B$11),0)))/100)/2</f>
        <v/>
      </c>
      <c r="M921">
        <f>L921*(1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1">
        <f>L921*(1-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1">
        <f>(1-Summary!$B$11)*T921+Summary!$B$11*V921</f>
        <v/>
      </c>
      <c r="P921">
        <f>IF(B948=0,0,O921/B948)</f>
        <v/>
      </c>
      <c r="Q921">
        <f>IFERROR(1/(IF(Inputs!$B$38="pvp",15,MAX(0.1,Skills!D10-IF(Skills!E10=TRUE,Inputs!$B$32,0)))*(1-IF(AND(ArtifactsInput!$M$27,Inputs!$B$4="Chapter Hunt"),CHOOSE(ArtifactsInput!$N$27+1,20,24,28,32,36,40),0)/100)),0)</f>
        <v/>
      </c>
      <c r="R921">
        <f>IF(AND(Inputs!$B$38&lt;&gt;"pvp",Inputs!$B$43&gt;0),IF(MAX(0,Inputs!$B$43-B945)&lt;=0,0,(INT(MAX(0,Inputs!$B$43-B945)/(IF(Inputs!$B$38="pvp",15,MAX(0.1,Skills!D10-IF(Skills!E10=TRUE,Inputs!$B$32,0)))*(1-IF(AND(ArtifactsInput!$M$27,Inputs!$B$4="Chapter Hunt"),CHOOSE(ArtifactsInput!$N$27+1,20,24,28,32,36,40),0)/100)))+1)),0)</f>
        <v/>
      </c>
      <c r="S921">
        <f>IFERROR(O921/N921,0)</f>
        <v/>
      </c>
      <c r="T921">
        <f>IF(C921,(H921*N921*IF(AND(Inputs!$B$38&lt;&gt;"pvp",Inputs!$B$43&gt;0),((Skills!G10*((R921-1)*IF(Skills!H10&gt;0,Skills!I10/Skills!H10,1)+IF(Skills!H10&gt;0,MIN(Skills!I10,MAX(0,MAX(0,Inputs!$B$43-B945)-((R921-1)*(IF(Inputs!$B$38="pvp",15,MAX(0.1,Skills!D10-IF(Skills!E10=TRUE,Inputs!$B$32,0)))*(1-IF(AND(ArtifactsInput!$M$27,Inputs!$B$4="Chapter Hunt"),CHOOSE(ArtifactsInput!$N$27+1,20,24,28,32,36,40),0)/100)))))/Skills!H10,1)))/Inputs!$B$43),G921*Q921)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921*(1-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921*(1-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1">
        <f>IF(C921,(H921*N921*IF(AND(Inputs!$B$38&lt;&gt;"pvp",Inputs!$B$43&gt;0),((Skills!G10*((R921-1)*IF(Skills!H10&gt;0,Skills!I10/Skills!H10,1)+IF(Skills!H10&gt;0,MIN(Skills!I10,MAX(0,MAX(0,Inputs!$B$43-B945)-((R921-1)*(IF(Inputs!$B$38="pvp",15,MAX(0.1,Skills!D10-IF(Skills!E10=TRUE,Inputs!$B$32,0)))*(1-IF(AND(ArtifactsInput!$M$27,Inputs!$B$4="Chapter Hunt"),CHOOSE(ArtifactsInput!$N$27+1,20,24,28,32,36,40),0)/100)))))/Skills!H10,1)))/Inputs!$B$43),G921*Q921))*IF(Inputs!$B$38="pvp",1,(1+(Inputs!$B$21+Skills!Q10+(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2">
      <c r="A922">
        <f>Skills!A11</f>
        <v/>
      </c>
      <c r="B922">
        <f>Skills!B11</f>
        <v/>
      </c>
      <c r="C922">
        <f>Inputs!$B$3&gt;=63</f>
        <v/>
      </c>
      <c r="D922">
        <f>IF(Skills!C11=1,60+Inputs!$B$25+Inputs!$B$29,IF(Skills!C11=2,90+Inputs!$B$26+Inputs!$B$29,IF(Skills!C11=3,120+Inputs!$B$27+Inputs!$B$29,MAX(0,(Inputs!$B$3-100)*3)+Inputs!$B$28+Inputs!$B$29)))</f>
        <v/>
      </c>
      <c r="E922">
        <f>INDEX(FactorTable!$B$2:$Y$301, MATCH(ROUND(MIN(300,MAX(1,D922)),0), FactorTable!$A$2:$A$301,0), Skills!M11+1)</f>
        <v/>
      </c>
      <c r="F922">
        <f>IF(Skills!N11=TRUE,(Skills!L11/10)*(E922/1000),Skills!L11/10)+Skills!O11</f>
        <v/>
      </c>
      <c r="G922">
        <f>Skills!G11*IF(Skills!H11&gt;0,Skills!I11/Skills!H11,1)</f>
        <v/>
      </c>
      <c r="H922">
        <f>1-(1-Skills!J11/100)^Skills!K11</f>
        <v/>
      </c>
      <c r="I922" t="inlineStr">
        <is>
          <t>1</t>
        </is>
      </c>
      <c r="J922">
        <f>(((Inputs!$B$6+1)*(1+Inputs!$B$7/100))+(((Inputs!$B$12*(1+Inputs!$B$13/100))-(Inputs!$B$12*(1+Inputs!$B$13/100)))+0.25*(Inputs!$B$14-Inputs!$B$14))*(1+Inputs!$B$7/100))*(F922/100)</f>
        <v/>
      </c>
      <c r="K922">
        <f>J922*(1+((Inputs!$B$12*(1+Inputs!$B$13/100))*0.01+Inputs!$B$14*0.0025)/100)*(1+Inputs!$B$15/100)*(1+Inputs!$B$16/100)*(5000/(6000+Inputs!$B$42*(1-(Inputs!$B$19+0)/100)))*(1+(Inputs!$B$24+0+B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923=TRUE,F923,0)/100)*(1+(IF(Skills!A11="BLAST",Inputs!$B$17+((C932=TRUE)*(F932-Calc!F21))+((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MIN(100,((Inputs!$B$9+0+B938+(ArtifactsInput!$M$24-ArtifactsInput!$M$24)*CHOOSE(ArtifactsInput!$N$24+1,10,12,14,16,18,20)+IF(ArtifactsInput!$M$10,CHOOSE(ArtifactsInput!$N$10+1,15,18,21,24,27,30)*(IF(Inputs!$B$38="pvp",MIN(15,15)/15,IF(AND(Inputs!$B$38&lt;&gt;"pvp",Inputs!$B$43&gt;0),MIN(15,Inputs!$B$43)/(Inputs!$B$43),0))),0)))-100),0))*CHOOSE(ArtifactsInput!$N$42+1,0.6,0.72,0.84,0.96,1.08,1.2))),Inputs!$B$18+((C934=TRUE)*(F934-Calc!F23))+(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gt;=100),CHOOSE(ArtifactsInput!$N$42+1,40,48,56,64,72,80),0))))/100)*((1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922)</f>
        <v/>
      </c>
      <c r="L922">
        <f>K922*(MIN(Inputs!$B$22+((C933=TRUE)*(F933-Calc!F22)),(Inputs!$B$23+((C935=TRUE)*(F935-Calc!F24))+(IF(ArtifactsInput!$M$15,CHOOSE(ArtifactsInput!$N$15+1,25,30,35,40,45,50)/100*(Inputs!$B$11-Inputs!$B$11),0))))/100+(Inputs!$B$23+((C935=TRUE)*(F935-Calc!F24))+(IF(ArtifactsInput!$M$15,CHOOSE(ArtifactsInput!$N$15+1,25,30,35,40,45,50)/100*(Inputs!$B$11-Inputs!$B$11),0)))/100)/2</f>
        <v/>
      </c>
      <c r="M922">
        <f>L922*(1+(Inputs!$B$10+0+B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2">
        <f>L922*(1-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922*(MIN((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2">
        <f>(1-Summary!$B$11)*T922+Summary!$B$11*V922</f>
        <v/>
      </c>
      <c r="P922">
        <f>IF(B948=0,0,O922/B948)</f>
        <v/>
      </c>
      <c r="Q922">
        <f>IFERROR(1/(IF(Inputs!$B$38="pvp",15,MAX(0.1,Skills!D11-IF(Skills!E11=TRUE,Inputs!$B$32,0)))*(1-IF(AND(ArtifactsInput!$M$27,Inputs!$B$4="Chapter Hunt"),CHOOSE(ArtifactsInput!$N$27+1,20,24,28,32,36,40),0)/100)),0)</f>
        <v/>
      </c>
      <c r="R922">
        <f>IF(AND(Inputs!$B$38&lt;&gt;"pvp",Inputs!$B$43&gt;0),IF(MAX(0,Inputs!$B$43-B945)&lt;=0,0,(INT(MAX(0,Inputs!$B$43-B945)/(IF(Inputs!$B$38="pvp",15,MAX(0.1,Skills!D11-IF(Skills!E11=TRUE,Inputs!$B$32,0)))*(1-IF(AND(ArtifactsInput!$M$27,Inputs!$B$4="Chapter Hunt"),CHOOSE(ArtifactsInput!$N$27+1,20,24,28,32,36,40),0)/100)))+1)),0)</f>
        <v/>
      </c>
      <c r="S922">
        <f>IFERROR(O922/N922,0)</f>
        <v/>
      </c>
      <c r="T922">
        <f>IF(C922,(H922*N922*IF(AND(Inputs!$B$38&lt;&gt;"pvp",Inputs!$B$43&gt;0),((Skills!G11*((R922-1)*IF(Skills!H11&gt;0,Skills!I11/Skills!H11,1)+IF(Skills!H11&gt;0,MIN(Skills!I11,MAX(0,MAX(0,Inputs!$B$43-B945)-((R922-1)*(IF(Inputs!$B$38="pvp",15,MAX(0.1,Skills!D11-IF(Skills!E11=TRUE,Inputs!$B$32,0)))*(1-IF(AND(ArtifactsInput!$M$27,Inputs!$B$4="Chapter Hunt"),CHOOSE(ArtifactsInput!$N$27+1,20,24,28,32,36,40),0)/100)))))/Skills!H11,1)))/Inputs!$B$43),G922*Q922)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922*(1-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922*(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922*(1-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922*(MIN(100,(Inputs!$B$9+0+B938+(ArtifactsInput!$M$24-ArtifactsInput!$M$24)*CHOOSE(ArtifactsInput!$N$24+1,10,12,14,16,18,20)+(IF(AND(Inputs!$B$38&lt;&gt;"pvp",Inputs!$B$43=0),1,IF(IF(Inputs!$B$38="pvp",15,Inputs!$B$43)-(B945)&lt;=0,1,MAX(0,IF(Inputs!$B$38="pvp",15,Inputs!$B$43)-MAX(5,B945))/(IF(Inputs!$B$38="pvp",15,Inputs!$B$43)-(B945))))*IF(AND(ArtifactsInput!$M$42,((Inputs!$B$9+0+B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22">
        <f>IF(C922,(H922*N922*IF(AND(Inputs!$B$38&lt;&gt;"pvp",Inputs!$B$43&gt;0),((Skills!G11*((R922-1)*IF(Skills!H11&gt;0,Skills!I11/Skills!H11,1)+IF(Skills!H11&gt;0,MIN(Skills!I11,MAX(0,MAX(0,Inputs!$B$43-B945)-((R922-1)*(IF(Inputs!$B$38="pvp",15,MAX(0.1,Skills!D11-IF(Skills!E11=TRUE,Inputs!$B$32,0)))*(1-IF(AND(ArtifactsInput!$M$27,Inputs!$B$4="Chapter Hunt"),CHOOSE(ArtifactsInput!$N$27+1,20,24,28,32,36,40),0)/100)))))/Skills!H11,1)))/Inputs!$B$43),G922*Q922))*IF(Inputs!$B$38="pvp",1,(1+(Inputs!$B$21+Skills!Q11+(IF(ArtifactsInput!$M$33,CHOOSE(ArtifactsInput!$N$33+1,30,36,42,48,54,60),0))+(IF(AND(ArtifactsInput!$M$35,Inputs!$B$4&lt;&gt;"Chapter Hunt"),CHOOSE(ArtifactsInput!$N$35+1,15,18,21,24,27,30)*(1-EXP(-(0.2*B940)*5)),0)+IF(AND(ArtifactsInput!$M$22,Inputs!$B$4&lt;&gt;"Chapter Hunt"),CHOOSE(ArtifactsInput!$N$22+1,10,12,14,16,18,20)*((0*(((0.15*B940*5))^0/1)+1*(((0.15*B940*5))^1/1)+2*(((0.15*B940*5))^2/2)+3*(((0.15*B940*5))^3/6)+4*(((0.15*B940*5))^4/24)+5*(((0.15*B940*5))^5/120))/((((0.15*B940*5))^0/1)+(((0.15*B940*5))^1/1)+(((0.15*B940*5))^2/2)+(((0.15*B940*5))^3/6)+(((0.15*B940*5))^4/24)+(((0.15*B940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3">
      <c r="A923">
        <f>Skills!A12</f>
        <v/>
      </c>
      <c r="B923">
        <f>Skills!B12</f>
        <v/>
      </c>
      <c r="C923">
        <f>Inputs!$B$3&gt;=100</f>
        <v/>
      </c>
      <c r="D923">
        <f>IF(Skills!C12=1,60+Inputs!$B$25+Inputs!$B$29,IF(Skills!C12=2,90+Inputs!$B$26+Inputs!$B$29,IF(Skills!C12=3,120+Inputs!$B$27+Inputs!$B$29,MAX(0,(Inputs!$B$3-100)*3)+Inputs!$B$28+Inputs!$B$29)))</f>
        <v/>
      </c>
      <c r="E923">
        <f>INDEX(FactorTable!$B$2:$Y$301, MATCH(ROUND(MIN(300,MAX(1,D923)),0), FactorTable!$A$2:$A$301,0), Skills!M12+1)</f>
        <v/>
      </c>
      <c r="F923">
        <f>IF(Skills!N12=TRUE,(Skills!L12/10)*(E923/1000),Skills!L12/10)+Skills!O12</f>
        <v/>
      </c>
      <c r="G923" t="inlineStr"/>
      <c r="H923" t="inlineStr"/>
      <c r="I923" t="inlineStr">
        <is>
          <t>1</t>
        </is>
      </c>
      <c r="J923" t="inlineStr"/>
      <c r="K923" t="inlineStr"/>
      <c r="L923" t="inlineStr"/>
      <c r="M923" t="inlineStr"/>
      <c r="N923" t="inlineStr"/>
      <c r="O923" t="inlineStr"/>
      <c r="P923" t="inlineStr"/>
      <c r="Q923" t="inlineStr"/>
      <c r="R923" t="inlineStr"/>
      <c r="S923" t="inlineStr"/>
    </row>
    <row r="924">
      <c r="A924">
        <f>Skills!A13</f>
        <v/>
      </c>
      <c r="B924">
        <f>Skills!B13</f>
        <v/>
      </c>
      <c r="C924">
        <f>Inputs!$B$3&gt;=45</f>
        <v/>
      </c>
      <c r="D924">
        <f>IF(Skills!C13=1,60+Inputs!$B$25+Inputs!$B$29,IF(Skills!C13=2,90+Inputs!$B$26+Inputs!$B$29,IF(Skills!C13=3,120+Inputs!$B$27+Inputs!$B$29,MAX(0,(Inputs!$B$3-100)*3)+Inputs!$B$28+Inputs!$B$29)))</f>
        <v/>
      </c>
      <c r="E924">
        <f>INDEX(FactorTable!$B$2:$Y$301, MATCH(ROUND(MIN(300,MAX(1,D924)),0), FactorTable!$A$2:$A$301,0), Skills!M13+1)</f>
        <v/>
      </c>
      <c r="F924">
        <f>IF(Skills!N13=TRUE,(Skills!L13/10)*(E924/1000),Skills!L13/10)+Skills!O13</f>
        <v/>
      </c>
      <c r="G924">
        <f>Skills!G13*IF(Skills!H13&gt;0,Skills!I13/Skills!H13,1)</f>
        <v/>
      </c>
      <c r="H924">
        <f>1-(1-Skills!J13/100)^Skills!K13</f>
        <v/>
      </c>
      <c r="I924" t="inlineStr">
        <is>
          <t>1</t>
        </is>
      </c>
      <c r="J924" t="inlineStr"/>
      <c r="K924" t="inlineStr"/>
      <c r="L924" t="inlineStr"/>
      <c r="M924" t="inlineStr"/>
      <c r="N924" t="inlineStr"/>
      <c r="O924">
        <f>(1-Summary!$B$11)*T924+Summary!$B$11*V924</f>
        <v/>
      </c>
      <c r="P924">
        <f>IF(B948=0,0,O924/B948)</f>
        <v/>
      </c>
      <c r="Q924" t="n">
        <v>0</v>
      </c>
      <c r="R924" t="n">
        <v>0</v>
      </c>
      <c r="S924">
        <f>IFERROR(O924/N924,0)</f>
        <v/>
      </c>
      <c r="T924" t="n">
        <v>0</v>
      </c>
      <c r="V924" t="n">
        <v>0</v>
      </c>
    </row>
    <row r="925">
      <c r="A925">
        <f>Skills!A14</f>
        <v/>
      </c>
      <c r="B925">
        <f>Skills!B14</f>
        <v/>
      </c>
      <c r="C925">
        <f>Inputs!$B$3&gt;=110</f>
        <v/>
      </c>
      <c r="D925">
        <f>IF(Skills!C14=1,60+Inputs!$B$25+Inputs!$B$29,IF(Skills!C14=2,90+Inputs!$B$26+Inputs!$B$29,IF(Skills!C14=3,120+Inputs!$B$27+Inputs!$B$29,MAX(0,(Inputs!$B$3-100)*3)+Inputs!$B$28+Inputs!$B$29)))</f>
        <v/>
      </c>
      <c r="E925">
        <f>INDEX(FactorTable!$B$2:$Y$301, MATCH(ROUND(MIN(300,MAX(1,D925)),0), FactorTable!$A$2:$A$301,0), Skills!M14+1)</f>
        <v/>
      </c>
      <c r="F925">
        <f>IF(Skills!N14=TRUE,(Skills!L14/10)*(E925/1000),Skills!L14/10)+Skills!O14</f>
        <v/>
      </c>
      <c r="G925">
        <f>Skills!G14*IF(Skills!H14&gt;0,Skills!I14/Skills!H14,1)</f>
        <v/>
      </c>
      <c r="H925">
        <f>1-(1-Skills!J14/100)^Skills!K14</f>
        <v/>
      </c>
      <c r="I925" t="inlineStr">
        <is>
          <t>1</t>
        </is>
      </c>
      <c r="J925" t="inlineStr"/>
      <c r="K925" t="inlineStr"/>
      <c r="L925" t="inlineStr"/>
      <c r="M925" t="inlineStr"/>
      <c r="N925" t="inlineStr"/>
      <c r="O925">
        <f>(1-Summary!$B$11)*T925+Summary!$B$11*V925</f>
        <v/>
      </c>
      <c r="P925">
        <f>IF(B948=0,0,O925/B948)</f>
        <v/>
      </c>
      <c r="Q925" t="n">
        <v>0</v>
      </c>
      <c r="R925" t="n">
        <v>0</v>
      </c>
      <c r="S925">
        <f>IFERROR(O925/N925,0)</f>
        <v/>
      </c>
      <c r="T925" t="n">
        <v>0</v>
      </c>
      <c r="V925" t="n">
        <v>0</v>
      </c>
    </row>
    <row r="926">
      <c r="A926">
        <f>Skills!A15</f>
        <v/>
      </c>
      <c r="B926">
        <f>Skills!B15</f>
        <v/>
      </c>
      <c r="C926">
        <f>Inputs!$B$3&gt;=75</f>
        <v/>
      </c>
      <c r="D926">
        <f>IF(Skills!C15=1,60+Inputs!$B$25+Inputs!$B$29,IF(Skills!C15=2,90+Inputs!$B$26+Inputs!$B$29,IF(Skills!C15=3,120+Inputs!$B$27+Inputs!$B$29,MAX(0,(Inputs!$B$3-100)*3)+Inputs!$B$28+Inputs!$B$29)))</f>
        <v/>
      </c>
      <c r="E926">
        <f>INDEX(FactorTable!$B$2:$Y$301, MATCH(ROUND(MIN(300,MAX(1,D926)),0), FactorTable!$A$2:$A$301,0), Skills!M15+1)</f>
        <v/>
      </c>
      <c r="F926">
        <f>IF(Skills!N15=TRUE,(Skills!L15/10)*(E926/1000),Skills!L15/10)+Skills!O15</f>
        <v/>
      </c>
      <c r="G926">
        <f>Skills!G15*IF(Skills!H15&gt;0,Skills!I15/Skills!H15,1)</f>
        <v/>
      </c>
      <c r="H926">
        <f>1-(1-Skills!J15/100)^Skills!K15</f>
        <v/>
      </c>
      <c r="I926" t="inlineStr">
        <is>
          <t>1</t>
        </is>
      </c>
      <c r="J926" t="inlineStr"/>
      <c r="K926" t="inlineStr"/>
      <c r="L926" t="inlineStr"/>
      <c r="M926" t="inlineStr"/>
      <c r="N926" t="inlineStr"/>
      <c r="O926">
        <f>(1-Summary!$B$11)*T926+Summary!$B$11*V926</f>
        <v/>
      </c>
      <c r="P926">
        <f>IF(B948=0,0,O926/B948)</f>
        <v/>
      </c>
      <c r="Q926">
        <f>IFERROR(1/(IF(Inputs!$B$38="pvp",15,MAX(0.1,Skills!D15-IF(Skills!E15=TRUE,Inputs!$B$32,0)))*(1-IF(AND(ArtifactsInput!$M$27,Inputs!$B$4="Chapter Hunt"),CHOOSE(ArtifactsInput!$N$27+1,20,24,28,32,36,40),0)/100)),0)</f>
        <v/>
      </c>
      <c r="R926">
        <f>IF(AND(Inputs!$B$38&lt;&gt;"pvp",Inputs!$B$43&gt;0),IF(Inputs!$B$43&lt;=0,0,(INT(Inputs!$B$43/(IF(Inputs!$B$38="pvp",15,MAX(0.1,Skills!D15-IF(Skills!E15=TRUE,Inputs!$B$32,0)))*(1-IF(AND(ArtifactsInput!$M$27,Inputs!$B$4="Chapter Hunt"),CHOOSE(ArtifactsInput!$N$27+1,20,24,28,32,36,40),0)/100)))+1)),0)</f>
        <v/>
      </c>
      <c r="S926">
        <f>IFERROR(O926/N926,0)</f>
        <v/>
      </c>
      <c r="T926" t="n">
        <v>0</v>
      </c>
      <c r="V926" t="n">
        <v>0</v>
      </c>
    </row>
    <row r="927">
      <c r="A927">
        <f>Skills!A16</f>
        <v/>
      </c>
      <c r="B927">
        <f>Skills!B16</f>
        <v/>
      </c>
      <c r="C927">
        <f>Inputs!$B$3&gt;=105</f>
        <v/>
      </c>
      <c r="D927">
        <f>IF(Skills!C16=1,60+Inputs!$B$25+Inputs!$B$29,IF(Skills!C16=2,90+Inputs!$B$26+Inputs!$B$29,IF(Skills!C16=3,120+Inputs!$B$27+Inputs!$B$29,MAX(0,(Inputs!$B$3-100)*3)+Inputs!$B$28+Inputs!$B$29)))</f>
        <v/>
      </c>
      <c r="E927">
        <f>INDEX(FactorTable!$B$2:$Y$301, MATCH(ROUND(MIN(300,MAX(1,D927)),0), FactorTable!$A$2:$A$301,0), Skills!M16+1)</f>
        <v/>
      </c>
      <c r="F927">
        <f>IF(Skills!N16=TRUE,(Skills!L16/10)*(E927/1000),Skills!L16/10)+Skills!O16</f>
        <v/>
      </c>
      <c r="G927">
        <f>Skills!G16*IF(Skills!H16&gt;0,Skills!I16/Skills!H16,1)</f>
        <v/>
      </c>
      <c r="H927">
        <f>1-(1-Skills!J16/100)^Skills!K16</f>
        <v/>
      </c>
      <c r="I927" t="inlineStr">
        <is>
          <t>1</t>
        </is>
      </c>
      <c r="J927" t="inlineStr"/>
      <c r="K927" t="inlineStr"/>
      <c r="L927" t="inlineStr"/>
      <c r="M927" t="inlineStr"/>
      <c r="N927" t="inlineStr"/>
      <c r="O927">
        <f>(1-Summary!$B$11)*T927+Summary!$B$11*V927</f>
        <v/>
      </c>
      <c r="P927">
        <f>IF(B948=0,0,O927/B948)</f>
        <v/>
      </c>
      <c r="Q927">
        <f>IFERROR(1/(IF(Inputs!$B$38="pvp",15,MAX(0.1,Skills!D16-IF(Skills!E16=TRUE,Inputs!$B$32,0)))*(1-IF(AND(ArtifactsInput!$M$27,Inputs!$B$4="Chapter Hunt"),CHOOSE(ArtifactsInput!$N$27+1,20,24,28,32,36,40),0)/100)),0)</f>
        <v/>
      </c>
      <c r="R927">
        <f>IF(AND(Inputs!$B$38&lt;&gt;"pvp",Inputs!$B$43&gt;0),IF(Inputs!$B$43&lt;=0,0,(INT(Inputs!$B$43/(IF(Inputs!$B$38="pvp",15,MAX(0.1,Skills!D16-IF(Skills!E16=TRUE,Inputs!$B$32,0)))*(1-IF(AND(ArtifactsInput!$M$27,Inputs!$B$4="Chapter Hunt"),CHOOSE(ArtifactsInput!$N$27+1,20,24,28,32,36,40),0)/100)))+1)),0)</f>
        <v/>
      </c>
      <c r="S927">
        <f>IFERROR(O927/N927,0)</f>
        <v/>
      </c>
      <c r="T927" t="n">
        <v>0</v>
      </c>
      <c r="V927" t="n">
        <v>0</v>
      </c>
    </row>
    <row r="928">
      <c r="A928">
        <f>Skills!A17</f>
        <v/>
      </c>
      <c r="B928">
        <f>Skills!B17</f>
        <v/>
      </c>
      <c r="C928">
        <f>Inputs!$B$3&gt;=115</f>
        <v/>
      </c>
      <c r="D928">
        <f>IF(Skills!C17=1,60+Inputs!$B$25+Inputs!$B$29,IF(Skills!C17=2,90+Inputs!$B$26+Inputs!$B$29,IF(Skills!C17=3,120+Inputs!$B$27+Inputs!$B$29,MAX(0,(Inputs!$B$3-100)*3)+Inputs!$B$28+Inputs!$B$29)))</f>
        <v/>
      </c>
      <c r="E928">
        <f>INDEX(FactorTable!$B$2:$Y$301, MATCH(ROUND(MIN(300,MAX(1,D928)),0), FactorTable!$A$2:$A$301,0), Skills!M17+1)</f>
        <v/>
      </c>
      <c r="F928">
        <f>IF(Skills!N17=TRUE,(Skills!L17/10)*(E928/1000),Skills!L17/10)+Skills!O17</f>
        <v/>
      </c>
      <c r="G928">
        <f>Skills!G17*IF(Skills!H17&gt;0,Skills!I17/Skills!H17,1)</f>
        <v/>
      </c>
      <c r="H928">
        <f>1-(1-Skills!J17/100)^Skills!K17</f>
        <v/>
      </c>
      <c r="I928" t="inlineStr">
        <is>
          <t>1</t>
        </is>
      </c>
      <c r="J928" t="inlineStr"/>
      <c r="K928" t="inlineStr"/>
      <c r="L928" t="inlineStr"/>
      <c r="M928" t="inlineStr"/>
      <c r="N928" t="inlineStr"/>
      <c r="O928">
        <f>(1-Summary!$B$11)*T928+Summary!$B$11*V928</f>
        <v/>
      </c>
      <c r="P928">
        <f>IF(B948=0,0,O928/B948)</f>
        <v/>
      </c>
      <c r="Q928">
        <f>IFERROR(1/(IF(Inputs!$B$38="pvp",15,MAX(0.1,Skills!D17-IF(Skills!E17=TRUE,Inputs!$B$32,0)))*(1-IF(AND(ArtifactsInput!$M$27,Inputs!$B$4="Chapter Hunt"),CHOOSE(ArtifactsInput!$N$27+1,20,24,28,32,36,40),0)/100)),0)</f>
        <v/>
      </c>
      <c r="R928">
        <f>IF(AND(Inputs!$B$38&lt;&gt;"pvp",Inputs!$B$43&gt;0),IF(Inputs!$B$43&lt;=0,0,(INT(Inputs!$B$43/(IF(Inputs!$B$38="pvp",15,MAX(0.1,Skills!D17-IF(Skills!E17=TRUE,Inputs!$B$32,0)))*(1-IF(AND(ArtifactsInput!$M$27,Inputs!$B$4="Chapter Hunt"),CHOOSE(ArtifactsInput!$N$27+1,20,24,28,32,36,40),0)/100)))+1)),0)</f>
        <v/>
      </c>
      <c r="S928">
        <f>IFERROR(O928/N928,0)</f>
        <v/>
      </c>
      <c r="T928" t="n">
        <v>0</v>
      </c>
      <c r="V928" t="n">
        <v>0</v>
      </c>
    </row>
    <row r="929">
      <c r="A929">
        <f>Skills!A18</f>
        <v/>
      </c>
      <c r="B929">
        <f>Skills!B18</f>
        <v/>
      </c>
      <c r="C929">
        <f>Inputs!$B$3&gt;=74</f>
        <v/>
      </c>
      <c r="D929">
        <f>IF(Skills!C18=1,60+Inputs!$B$25+Inputs!$B$29,IF(Skills!C18=2,90+Inputs!$B$26+Inputs!$B$29,IF(Skills!C18=3,120+Inputs!$B$27+Inputs!$B$29,MAX(0,(Inputs!$B$3-100)*3)+Inputs!$B$28+Inputs!$B$29)))</f>
        <v/>
      </c>
      <c r="E929">
        <f>INDEX(FactorTable!$B$2:$Y$301, MATCH(ROUND(MIN(300,MAX(1,D929)),0), FactorTable!$A$2:$A$301,0), Skills!M18+1)</f>
        <v/>
      </c>
      <c r="F929">
        <f>IF(Skills!N18=TRUE,(Skills!L18/10)*(E929/1000),Skills!L18/10)+Skills!O18</f>
        <v/>
      </c>
      <c r="G929">
        <f>Skills!G18*IF(Skills!H18&gt;0,Skills!I18/Skills!H18,1)</f>
        <v/>
      </c>
      <c r="H929">
        <f>1-(1-Skills!J18/100)^Skills!K18</f>
        <v/>
      </c>
      <c r="I929" t="inlineStr">
        <is>
          <t>1</t>
        </is>
      </c>
      <c r="J929" t="inlineStr"/>
      <c r="K929" t="inlineStr"/>
      <c r="L929" t="inlineStr"/>
      <c r="M929" t="inlineStr"/>
      <c r="N929" t="inlineStr"/>
      <c r="O929">
        <f>(1-Summary!$B$11)*T929+Summary!$B$11*V929</f>
        <v/>
      </c>
      <c r="P929">
        <f>IF(B948=0,0,O929/B948)</f>
        <v/>
      </c>
      <c r="Q929">
        <f>IFERROR(1/(IF(Inputs!$B$38="pvp",15,MAX(0.1,Skills!D18-IF(Skills!E18=TRUE,Inputs!$B$32,0)))*(1-IF(AND(ArtifactsInput!$M$27,Inputs!$B$4="Chapter Hunt"),CHOOSE(ArtifactsInput!$N$27+1,20,24,28,32,36,40),0)/100)),0)</f>
        <v/>
      </c>
      <c r="R929">
        <f>IF(AND(Inputs!$B$38&lt;&gt;"pvp",Inputs!$B$43&gt;0),IF(Inputs!$B$43&lt;=0,0,(INT(Inputs!$B$43/(IF(Inputs!$B$38="pvp",15,MAX(0.1,Skills!D18-IF(Skills!E18=TRUE,Inputs!$B$32,0)))*(1-IF(AND(ArtifactsInput!$M$27,Inputs!$B$4="Chapter Hunt"),CHOOSE(ArtifactsInput!$N$27+1,20,24,28,32,36,40),0)/100)))+1)),0)</f>
        <v/>
      </c>
      <c r="S929">
        <f>IFERROR(O929/N929,0)</f>
        <v/>
      </c>
      <c r="T929" t="n">
        <v>0</v>
      </c>
      <c r="V929" t="n">
        <v>0</v>
      </c>
    </row>
    <row r="930">
      <c r="A930">
        <f>Skills!A19</f>
        <v/>
      </c>
      <c r="B930">
        <f>Skills!B19</f>
        <v/>
      </c>
      <c r="C930">
        <f>TRUE</f>
        <v/>
      </c>
      <c r="D930">
        <f>IF(Skills!C19=1,60+Inputs!$B$25+Inputs!$B$29,IF(Skills!C19=2,90+Inputs!$B$26+Inputs!$B$29,IF(Skills!C19=3,120+Inputs!$B$27+Inputs!$B$29,MAX(0,(Inputs!$B$3-100)*3)+Inputs!$B$28+Inputs!$B$29)))</f>
        <v/>
      </c>
      <c r="E930">
        <f>INDEX(FactorTable!$B$2:$Y$301, MATCH(ROUND(MIN(300,MAX(1,D930)),0), FactorTable!$A$2:$A$301,0), Skills!M19+1)</f>
        <v/>
      </c>
      <c r="F930">
        <f>IF(Skills!N19=TRUE,(Skills!L19/10)*(E930/1000),Skills!L19/10)+Skills!O19</f>
        <v/>
      </c>
      <c r="G930">
        <f>Skills!G19*IF(Skills!H19&gt;0,Skills!I19/Skills!H19,1)</f>
        <v/>
      </c>
      <c r="H930">
        <f>1-(1-Skills!J19/100)^Skills!K19</f>
        <v/>
      </c>
      <c r="I930" t="inlineStr">
        <is>
          <t>1</t>
        </is>
      </c>
      <c r="J930" t="inlineStr"/>
      <c r="K930" t="inlineStr"/>
      <c r="L930" t="inlineStr"/>
      <c r="M930" t="inlineStr"/>
      <c r="N930" t="inlineStr"/>
      <c r="O930">
        <f>(1-Summary!$B$11)*T930+Summary!$B$11*V930</f>
        <v/>
      </c>
      <c r="P930">
        <f>IF(B948=0,0,O930/B948)</f>
        <v/>
      </c>
      <c r="Q930">
        <f>IFERROR(1/(IF(Inputs!$B$38="pvp",15,MAX(0.1,Skills!D19-IF(Skills!E19=TRUE,Inputs!$B$32,0)))*(1-IF(AND(ArtifactsInput!$M$27,Inputs!$B$4="Chapter Hunt"),CHOOSE(ArtifactsInput!$N$27+1,20,24,28,32,36,40),0)/100)),0)</f>
        <v/>
      </c>
      <c r="R930">
        <f>IF(AND(Inputs!$B$38&lt;&gt;"pvp",Inputs!$B$43&gt;0),IF(Inputs!$B$43&lt;=0,0,(INT(Inputs!$B$43/(IF(Inputs!$B$38="pvp",15,MAX(0.1,Skills!D19-IF(Skills!E19=TRUE,Inputs!$B$32,0)))*(1-IF(AND(ArtifactsInput!$M$27,Inputs!$B$4="Chapter Hunt"),CHOOSE(ArtifactsInput!$N$27+1,20,24,28,32,36,40),0)/100)))+1)),0)</f>
        <v/>
      </c>
      <c r="S930">
        <f>IFERROR(O930/N930,0)</f>
        <v/>
      </c>
      <c r="T930" t="n">
        <v>0</v>
      </c>
      <c r="V930" t="n">
        <v>0</v>
      </c>
    </row>
    <row r="931">
      <c r="A931">
        <f>Skills!A20</f>
        <v/>
      </c>
      <c r="B931">
        <f>Skills!B20</f>
        <v/>
      </c>
      <c r="C931">
        <f>Inputs!$B$3&gt;=33</f>
        <v/>
      </c>
      <c r="D931">
        <f>IF(Skills!C20=1,60+Inputs!$B$25+Inputs!$B$29,IF(Skills!C20=2,90+Inputs!$B$26+Inputs!$B$29,IF(Skills!C20=3,120+Inputs!$B$27+Inputs!$B$29,MAX(0,(Inputs!$B$3-100)*3)+Inputs!$B$28+Inputs!$B$29)))</f>
        <v/>
      </c>
      <c r="E931">
        <f>INDEX(FactorTable!$B$2:$Y$301, MATCH(ROUND(MIN(300,MAX(1,D931)),0), FactorTable!$A$2:$A$301,0), Skills!M20+1)</f>
        <v/>
      </c>
      <c r="F931">
        <f>IF(Skills!N20=TRUE,(Skills!L20/10)*(E931/1000),Skills!L20/10)+Skills!O20</f>
        <v/>
      </c>
      <c r="G931">
        <f>Skills!G20*IF(Skills!H20&gt;0,Skills!I20/Skills!H20,1)</f>
        <v/>
      </c>
      <c r="H931">
        <f>1-(1-Skills!J20/100)^Skills!K20</f>
        <v/>
      </c>
      <c r="I931" t="inlineStr">
        <is>
          <t>1</t>
        </is>
      </c>
      <c r="J931" t="inlineStr"/>
      <c r="K931" t="inlineStr"/>
      <c r="L931" t="inlineStr"/>
      <c r="M931" t="inlineStr"/>
      <c r="N931" t="inlineStr"/>
      <c r="O931">
        <f>(1-Summary!$B$11)*T931+Summary!$B$11*V931</f>
        <v/>
      </c>
      <c r="P931">
        <f>IF(B948=0,0,O931/B948)</f>
        <v/>
      </c>
      <c r="Q931" t="n">
        <v>0</v>
      </c>
      <c r="R931" t="n">
        <v>0</v>
      </c>
      <c r="S931">
        <f>IFERROR(O931/N931,0)</f>
        <v/>
      </c>
      <c r="T931" t="n">
        <v>0</v>
      </c>
      <c r="V931" t="n">
        <v>0</v>
      </c>
    </row>
    <row r="932">
      <c r="A932">
        <f>Skills!A21</f>
        <v/>
      </c>
      <c r="B932">
        <f>Skills!B21</f>
        <v/>
      </c>
      <c r="C932">
        <f>Inputs!$B$3&gt;=38</f>
        <v/>
      </c>
      <c r="D932">
        <f>IF(Skills!C21=1,60+Inputs!$B$25+Inputs!$B$29,IF(Skills!C21=2,90+Inputs!$B$26+Inputs!$B$29,IF(Skills!C21=3,120+Inputs!$B$27+Inputs!$B$29,MAX(0,(Inputs!$B$3-100)*3)+Inputs!$B$28+Inputs!$B$29)))</f>
        <v/>
      </c>
      <c r="E932">
        <f>INDEX(FactorTable!$B$2:$Y$301, MATCH(ROUND(MIN(300,MAX(1,D932)),0), FactorTable!$A$2:$A$301,0), Skills!M21+1)</f>
        <v/>
      </c>
      <c r="F932">
        <f>IF(Skills!N21=TRUE,(Skills!L21/10)*(E932/1000),Skills!L21/10)+Skills!O21</f>
        <v/>
      </c>
      <c r="G932">
        <f>Skills!G21*IF(Skills!H21&gt;0,Skills!I21/Skills!H21,1)</f>
        <v/>
      </c>
      <c r="H932">
        <f>1-(1-Skills!J21/100)^Skills!K21</f>
        <v/>
      </c>
      <c r="I932" t="inlineStr">
        <is>
          <t>1</t>
        </is>
      </c>
      <c r="J932" t="inlineStr"/>
      <c r="K932" t="inlineStr"/>
      <c r="L932" t="inlineStr"/>
      <c r="M932" t="inlineStr"/>
      <c r="N932" t="inlineStr"/>
      <c r="O932">
        <f>(1-Summary!$B$11)*T932+Summary!$B$11*V932</f>
        <v/>
      </c>
      <c r="P932">
        <f>IF(B948=0,0,O932/B948)</f>
        <v/>
      </c>
      <c r="Q932" t="n">
        <v>0</v>
      </c>
      <c r="R932" t="n">
        <v>0</v>
      </c>
      <c r="S932">
        <f>IFERROR(O932/N932,0)</f>
        <v/>
      </c>
      <c r="T932" t="n">
        <v>0</v>
      </c>
      <c r="V932" t="n">
        <v>0</v>
      </c>
    </row>
    <row r="933">
      <c r="A933">
        <f>Skills!A22</f>
        <v/>
      </c>
      <c r="B933">
        <f>Skills!B22</f>
        <v/>
      </c>
      <c r="C933">
        <f>Inputs!$B$3&gt;=43</f>
        <v/>
      </c>
      <c r="D933">
        <f>IF(Skills!C22=1,60+Inputs!$B$25+Inputs!$B$29,IF(Skills!C22=2,90+Inputs!$B$26+Inputs!$B$29,IF(Skills!C22=3,120+Inputs!$B$27+Inputs!$B$29,MAX(0,(Inputs!$B$3-100)*3)+Inputs!$B$28+Inputs!$B$29)))</f>
        <v/>
      </c>
      <c r="E933">
        <f>INDEX(FactorTable!$B$2:$Y$301, MATCH(ROUND(MIN(300,MAX(1,D933)),0), FactorTable!$A$2:$A$301,0), Skills!M22+1)</f>
        <v/>
      </c>
      <c r="F933">
        <f>IF(Skills!N22=TRUE,(Skills!L22/10)*(E933/1000),Skills!L22/10)+Skills!O22</f>
        <v/>
      </c>
      <c r="G933">
        <f>Skills!G22*IF(Skills!H22&gt;0,Skills!I22/Skills!H22,1)</f>
        <v/>
      </c>
      <c r="H933">
        <f>1-(1-Skills!J22/100)^Skills!K22</f>
        <v/>
      </c>
      <c r="I933" t="inlineStr">
        <is>
          <t>1</t>
        </is>
      </c>
      <c r="J933" t="inlineStr"/>
      <c r="K933" t="inlineStr"/>
      <c r="L933" t="inlineStr"/>
      <c r="M933" t="inlineStr"/>
      <c r="N933" t="inlineStr"/>
      <c r="O933">
        <f>(1-Summary!$B$11)*T933+Summary!$B$11*V933</f>
        <v/>
      </c>
      <c r="P933">
        <f>IF(B948=0,0,O933/B948)</f>
        <v/>
      </c>
      <c r="Q933" t="n">
        <v>0</v>
      </c>
      <c r="R933" t="n">
        <v>0</v>
      </c>
      <c r="S933">
        <f>IFERROR(O933/N933,0)</f>
        <v/>
      </c>
      <c r="T933" t="n">
        <v>0</v>
      </c>
      <c r="V933" t="n">
        <v>0</v>
      </c>
    </row>
    <row r="934">
      <c r="A934">
        <f>Skills!A23</f>
        <v/>
      </c>
      <c r="B934">
        <f>Skills!B23</f>
        <v/>
      </c>
      <c r="C934">
        <f>Inputs!$B$3&gt;=120</f>
        <v/>
      </c>
      <c r="D934">
        <f>IF(Skills!C23=1,60+Inputs!$B$25+Inputs!$B$29,IF(Skills!C23=2,90+Inputs!$B$26+Inputs!$B$29,IF(Skills!C23=3,120+Inputs!$B$27+Inputs!$B$29,MAX(0,(Inputs!$B$3-100)*3)+Inputs!$B$28+Inputs!$B$29)))</f>
        <v/>
      </c>
      <c r="E934">
        <f>INDEX(FactorTable!$B$2:$Y$301, MATCH(ROUND(MIN(300,MAX(1,D934)),0), FactorTable!$A$2:$A$301,0), Skills!M23+1)</f>
        <v/>
      </c>
      <c r="F934">
        <f>IF(Skills!N23=TRUE,(Skills!L23/10)*(E934/1000),Skills!L23/10)+Skills!O23</f>
        <v/>
      </c>
      <c r="G934">
        <f>Skills!G23*IF(Skills!H23&gt;0,Skills!I23/Skills!H23,1)</f>
        <v/>
      </c>
      <c r="H934">
        <f>1-(1-Skills!J23/100)^Skills!K23</f>
        <v/>
      </c>
      <c r="I934" t="inlineStr">
        <is>
          <t>1</t>
        </is>
      </c>
      <c r="J934" t="inlineStr"/>
      <c r="K934" t="inlineStr"/>
      <c r="L934" t="inlineStr"/>
      <c r="M934" t="inlineStr"/>
      <c r="N934" t="inlineStr"/>
      <c r="O934">
        <f>(1-Summary!$B$11)*T934+Summary!$B$11*V934</f>
        <v/>
      </c>
      <c r="P934">
        <f>IF(B948=0,0,O934/B948)</f>
        <v/>
      </c>
      <c r="Q934" t="n">
        <v>0</v>
      </c>
      <c r="R934" t="n">
        <v>0</v>
      </c>
      <c r="S934">
        <f>IFERROR(O934/N934,0)</f>
        <v/>
      </c>
      <c r="T934" t="n">
        <v>0</v>
      </c>
      <c r="V934" t="n">
        <v>0</v>
      </c>
    </row>
    <row r="935">
      <c r="A935">
        <f>Skills!A24</f>
        <v/>
      </c>
      <c r="B935">
        <f>Skills!B24</f>
        <v/>
      </c>
      <c r="C935">
        <f>Inputs!$B$3&gt;=120</f>
        <v/>
      </c>
      <c r="D935">
        <f>IF(Skills!C24=1,60+Inputs!$B$25+Inputs!$B$29,IF(Skills!C24=2,90+Inputs!$B$26+Inputs!$B$29,IF(Skills!C24=3,120+Inputs!$B$27+Inputs!$B$29,MAX(0,(Inputs!$B$3-100)*3)+Inputs!$B$28+Inputs!$B$29)))</f>
        <v/>
      </c>
      <c r="E935">
        <f>INDEX(FactorTable!$B$2:$Y$301, MATCH(ROUND(MIN(300,MAX(1,D935)),0), FactorTable!$A$2:$A$301,0), Skills!M24+1)</f>
        <v/>
      </c>
      <c r="F935">
        <f>IF(Skills!N24=TRUE,(Skills!L24/10)*(E935/1000),Skills!L24/10)+Skills!O24</f>
        <v/>
      </c>
      <c r="G935">
        <f>Skills!G24*IF(Skills!H24&gt;0,Skills!I24/Skills!H24,1)</f>
        <v/>
      </c>
      <c r="H935">
        <f>1-(1-Skills!J24/100)^Skills!K24</f>
        <v/>
      </c>
      <c r="I935" t="inlineStr">
        <is>
          <t>1</t>
        </is>
      </c>
      <c r="J935" t="inlineStr"/>
      <c r="K935" t="inlineStr"/>
      <c r="L935" t="inlineStr"/>
      <c r="M935" t="inlineStr"/>
      <c r="N935" t="inlineStr"/>
      <c r="O935">
        <f>(1-Summary!$B$11)*T935+Summary!$B$11*V935</f>
        <v/>
      </c>
      <c r="P935">
        <f>IF(B948=0,0,O935/B948)</f>
        <v/>
      </c>
      <c r="Q935" t="n">
        <v>0</v>
      </c>
      <c r="R935" t="n">
        <v>0</v>
      </c>
      <c r="S935">
        <f>IFERROR(O935/N935,0)</f>
        <v/>
      </c>
      <c r="T935" t="n">
        <v>0</v>
      </c>
      <c r="V935" t="n">
        <v>0</v>
      </c>
    </row>
    <row r="937">
      <c r="A937" t="inlineStr">
        <is>
          <t>Attack% Bucket Multiplier</t>
        </is>
      </c>
      <c r="B937">
        <f>(1+(((C924=TRUE)*F924*MIN(1,Skills!T13*(Skills!J13/100)*B942))+((C929=TRUE)*F929*IF(AND(Inputs!$B$38&lt;&gt;"pvp",Inputs!$B$43&gt;0),(((R929-1)*(Skills!T18*(1+Inputs!$B$34/100))+MIN((Skills!T18*(1+Inputs!$B$34/100)),MAX(0,Inputs!$B$43-((R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38">
      <c r="A938" t="inlineStr">
        <is>
          <t>Global Crit Rate Bonus %</t>
        </is>
      </c>
      <c r="B938" t="n">
        <v>0</v>
      </c>
    </row>
    <row r="939">
      <c r="A939" t="inlineStr">
        <is>
          <t>Attack Speed Buff Bonus %</t>
        </is>
      </c>
      <c r="B939">
        <f>((C930=TRUE)*F930*IF(AND(Inputs!$B$38&lt;&gt;"pvp",Inputs!$B$43&gt;0),(((R930-1)*(Skills!T19*(1+Inputs!$B$34/100))+MIN((Skills!T19*(1+Inputs!$B$34/100)),MAX(0,Inputs!$B$43-((R930-1)*Skills!D19))))/Inputs!$B$43),IF(Inputs!$B$38="pvp",MIN((Skills!T19*(1+Inputs!$B$34/100)),15)/15,(Skills!T19*(1+Inputs!$B$34/100))/Skills!D19)))</f>
        <v/>
      </c>
    </row>
    <row r="940">
      <c r="A940" t="inlineStr">
        <is>
          <t>Actions Per Second</t>
        </is>
      </c>
      <c r="B940">
        <f>1+MIN(150,150*(1-(1-(Inputs!$B$11+((C931=TRUE)*(F931-Calc!F20)))/150)*(1-B939/150)))/100</f>
        <v/>
      </c>
    </row>
    <row r="941">
      <c r="A941" t="inlineStr">
        <is>
          <t>Skill + Buff Cast Rate</t>
        </is>
      </c>
      <c r="B941">
        <f>IF(AND(Inputs!$B$38&lt;&gt;"pvp",Inputs!$B$43&gt;0),SUMPRODUCT((Skills!E2:E24=TRUE)*(C913:C935=TRUE)*R913:R935*Skills!F2:F24)/Inputs!$B$43,SUMPRODUCT((Skills!E2:E24=TRUE)*(C913:C935=TRUE)*Q913:Q935*Skills!F2:F24))</f>
        <v/>
      </c>
    </row>
    <row r="942">
      <c r="A942" t="inlineStr">
        <is>
          <t>Blast Casts Per Second</t>
        </is>
      </c>
      <c r="B942">
        <f>MAX(0,B940-B941)</f>
        <v/>
      </c>
    </row>
    <row r="943">
      <c r="A943" t="inlineStr">
        <is>
          <t>Global Critical Damage Bonus % (unused)</t>
        </is>
      </c>
      <c r="B943" t="n">
        <v>0</v>
      </c>
    </row>
    <row r="944">
      <c r="A944" t="inlineStr">
        <is>
          <t>Global Final Damage Bonus % (Divine Shield + Guardian + Divine Blessing + Greater Vessel of Light)</t>
        </is>
      </c>
      <c r="B944">
        <f>((C926=TRUE)*F926*IF(AND(Inputs!$B$38&lt;&gt;"pvp",Inputs!$B$43&gt;0),(((R926-1)*(Skills!T15*(1+Inputs!$B$34/100))+MIN((Skills!T15*(1+Inputs!$B$34/100)),MAX(0,Inputs!$B$43-((R926-1)*Skills!D15))))/Inputs!$B$43),IF(Inputs!$B$38="pvp",MIN((Skills!T15*(1+Inputs!$B$34/100)),15)/15,(Skills!T15*(1+Inputs!$B$34/100))/Skills!D15)))+((C927=TRUE)*F927*IF(AND(Inputs!$B$38&lt;&gt;"pvp",Inputs!$B$43&gt;0),(((R927-1)*(Skills!T16*(1+Inputs!$B$34/100))+MIN((Skills!T16*(1+Inputs!$B$34/100)),MAX(0,Inputs!$B$43-((R927-1)*Skills!D16))))/Inputs!$B$43),IF(Inputs!$B$38="pvp",MIN((Skills!T16*(1+Inputs!$B$34/100)),15)/15,(Skills!T16*(1+Inputs!$B$34/100))/Skills!D16)))+((C928=TRUE)*F928*IF(AND(Inputs!$B$38&lt;&gt;"pvp",Inputs!$B$43&gt;0),(((R928-1)*(Skills!T17*(1+Inputs!$B$34/100))+MIN((Skills!T17*(1+Inputs!$B$34/100)),MAX(0,Inputs!$B$43-((R928-1)*Skills!D17))))/Inputs!$B$43),IF(Inputs!$B$38="pvp",MIN((Skills!T17*(1+Inputs!$B$34/100)),15)/15,(Skills!T17*(1+Inputs!$B$34/100))/Skills!D17)))+((C925=TRUE)*F925*MIN(1,Skills!T13*(Skills!J13/100)*B942))</f>
        <v/>
      </c>
    </row>
    <row r="945">
      <c r="A945" t="inlineStr">
        <is>
          <t>Buff-Casting Startup Delay (s, fixed-duration only)</t>
        </is>
      </c>
      <c r="B945">
        <f>IF(AND(Inputs!$B$38&lt;&gt;"pvp",Inputs!$B$43&gt;0),SUMPRODUCT((Skills!T2:T24&gt;0)*(Skills!E2:E24=TRUE)*(C913:C935=TRUE))/B940,0)</f>
        <v/>
      </c>
    </row>
    <row r="946">
      <c r="A946" t="inlineStr">
        <is>
          <t>Boss-Only Total DPS (this block's swept value)</t>
        </is>
      </c>
      <c r="B946">
        <f>SUM(T913:T935)</f>
        <v/>
      </c>
    </row>
    <row r="947">
      <c r="A947" t="inlineStr">
        <is>
          <t>Normal-Only Total DPS (this block's swept value)</t>
        </is>
      </c>
      <c r="B947">
        <f>SUM(V913:V935)</f>
        <v/>
      </c>
    </row>
    <row r="948">
      <c r="A948" s="6" t="inlineStr">
        <is>
          <t>TOTAL DPS</t>
        </is>
      </c>
      <c r="B948" s="6">
        <f>SUM(O913:O935)</f>
        <v/>
      </c>
    </row>
    <row r="951">
      <c r="A951" s="6" t="inlineStr">
        <is>
          <t>Stat: ATTACK %</t>
        </is>
      </c>
    </row>
    <row r="952">
      <c r="A952" s="5" t="inlineStr">
        <is>
          <t>Key</t>
        </is>
      </c>
      <c r="B952" s="5" t="inlineStr">
        <is>
          <t>Name</t>
        </is>
      </c>
      <c r="C952" s="5" t="inlineStr">
        <is>
          <t>Unlocked</t>
        </is>
      </c>
      <c r="D952" s="5" t="inlineStr">
        <is>
          <t>InputLevel</t>
        </is>
      </c>
      <c r="E952" s="5" t="inlineStr">
        <is>
          <t>Factor</t>
        </is>
      </c>
      <c r="F952" s="5" t="inlineStr">
        <is>
          <t>CoefficientPercent</t>
        </is>
      </c>
      <c r="G952" s="5" t="inlineStr">
        <is>
          <t>EffectiveHits</t>
        </is>
      </c>
      <c r="H952" s="5" t="inlineStr">
        <is>
          <t>ProcProbability</t>
        </is>
      </c>
      <c r="I952" s="5" t="inlineStr">
        <is>
          <t>MapleHeroMultiplier</t>
        </is>
      </c>
      <c r="J952" s="5" t="inlineStr">
        <is>
          <t>BaseDamage</t>
        </is>
      </c>
      <c r="K952" s="5" t="inlineStr">
        <is>
          <t>BaseHitDamage</t>
        </is>
      </c>
      <c r="L952" s="5" t="inlineStr">
        <is>
          <t>NonCritAvg</t>
        </is>
      </c>
      <c r="M952" s="5" t="inlineStr">
        <is>
          <t>CritAvg</t>
        </is>
      </c>
      <c r="N952" s="5" t="inlineStr">
        <is>
          <t>ExpectedDamage(perHit)</t>
        </is>
      </c>
      <c r="O952" s="5" t="inlineStr">
        <is>
          <t>DPS</t>
        </is>
      </c>
      <c r="P952" s="5" t="inlineStr">
        <is>
          <t>% of Total</t>
        </is>
      </c>
      <c r="Q952" s="5" t="inlineStr">
        <is>
          <t>InvCooldown</t>
        </is>
      </c>
      <c r="R952" s="5" t="inlineStr">
        <is>
          <t>CastsInFight</t>
        </is>
      </c>
      <c r="S952" s="5" t="inlineStr">
        <is>
          <t>HitRate(perSec)</t>
        </is>
      </c>
      <c r="U952" t="inlineStr">
        <is>
          <t>helpers</t>
        </is>
      </c>
    </row>
    <row r="953">
      <c r="A953">
        <f>Skills!A2</f>
        <v/>
      </c>
      <c r="B953">
        <f>Skills!B2</f>
        <v/>
      </c>
      <c r="C953">
        <f>Inputs!$B$3&gt;=100</f>
        <v/>
      </c>
      <c r="D953" t="inlineStr"/>
      <c r="E953" t="inlineStr"/>
      <c r="F953">
        <f>U955+Skills!O2</f>
        <v/>
      </c>
      <c r="G953">
        <f>Skills!G2*IF(Skills!H2&gt;0,Skills!I2/Skills!H2,1)</f>
        <v/>
      </c>
      <c r="H953">
        <f>1-(1-Skills!J2/100)^Skills!K2</f>
        <v/>
      </c>
      <c r="I953" t="inlineStr">
        <is>
          <t>1</t>
        </is>
      </c>
      <c r="J953">
        <f>((Inputs!$B$6*(1+(Inputs!$B$7+1)/100))+(((Inputs!$B$12*(1+Inputs!$B$13/100))-(Inputs!$B$12*(1+Inputs!$B$13/100)))+0.25*(Inputs!$B$14-Inputs!$B$14))*(1+(Inputs!$B$7+1)/100))*(F953/100)</f>
        <v/>
      </c>
      <c r="K953">
        <f>J953*(1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953)</f>
        <v/>
      </c>
      <c r="L953">
        <f>K953*(MIN(Inputs!$B$22+((C973=TRUE)*(F973-Calc!F22)),(Inputs!$B$23+((C975=TRUE)*(F975-Calc!F24))+(IF(ArtifactsInput!$M$15,CHOOSE(ArtifactsInput!$N$15+1,25,30,35,40,45,50)/100*(Inputs!$B$11-Inputs!$B$11),0))))/100+(Inputs!$B$23+((C975=TRUE)*(F975-Calc!F24))+(IF(ArtifactsInput!$M$15,CHOOSE(ArtifactsInput!$N$15+1,25,30,35,40,45,50)/100*(Inputs!$B$11-Inputs!$B$11),0)))/100)/2</f>
        <v/>
      </c>
      <c r="M953">
        <f>L953*(1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3">
        <f>L953*(1-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953*(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3">
        <f>(1-Summary!$B$11)*T953+Summary!$B$11*V953</f>
        <v/>
      </c>
      <c r="P953">
        <f>IF(B988=0,0,O953/B988)</f>
        <v/>
      </c>
      <c r="Q953" t="n">
        <v>0</v>
      </c>
      <c r="R953" t="n">
        <v>0</v>
      </c>
      <c r="S953">
        <f>IFERROR(O953/N953,0)</f>
        <v/>
      </c>
      <c r="T953">
        <f>IF(C953,(Skills!G2*N953*B982)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953*(1-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953*(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953*(1-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953*(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3">
        <f>MAX(0,(Inputs!$B$3-100)*3)+Inputs!$B$28+Inputs!$B$29</f>
        <v/>
      </c>
      <c r="V953">
        <f>IF(C953,(Skills!G2*N953*B982)*IF(Inputs!$B$38="pvp",1,(1+(Inputs!$B$21+Skills!Q2+(IF(ArtifactsInput!$M$33,CHOOSE(ArtifactsInput!$N$33+1,30,36,42,48,54,60),0))+(IF(AND(ArtifactsInput!$M$35,Inputs!$B$4&lt;&gt;"Chapter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4">
      <c r="A954">
        <f>Skills!A3</f>
        <v/>
      </c>
      <c r="B954">
        <f>Skills!B3</f>
        <v/>
      </c>
      <c r="C954">
        <f>Inputs!$B$3&gt;=50</f>
        <v/>
      </c>
      <c r="D954">
        <f>IF(Skills!C3=1,60+Inputs!$B$25+Inputs!$B$29,IF(Skills!C3=2,90+Inputs!$B$26+Inputs!$B$29,IF(Skills!C3=3,120+Inputs!$B$27+Inputs!$B$29,MAX(0,(Inputs!$B$3-100)*3)+Inputs!$B$28+Inputs!$B$29)))</f>
        <v/>
      </c>
      <c r="E954">
        <f>INDEX(FactorTable!$B$2:$Y$301, MATCH(ROUND(MIN(300,MAX(1,D954)),0), FactorTable!$A$2:$A$301,0), Skills!M3+1)</f>
        <v/>
      </c>
      <c r="F954">
        <f>IF(Skills!N3=TRUE,(Skills!L3/10)*(E954/1000),Skills!L3/10)+Skills!O3</f>
        <v/>
      </c>
      <c r="G954" t="inlineStr"/>
      <c r="H954" t="inlineStr"/>
      <c r="I954" t="inlineStr">
        <is>
          <t>1</t>
        </is>
      </c>
      <c r="J954" t="inlineStr"/>
      <c r="K954" t="inlineStr"/>
      <c r="L954" t="inlineStr"/>
      <c r="M954" t="inlineStr"/>
      <c r="N954" t="inlineStr"/>
      <c r="O954" t="inlineStr"/>
      <c r="P954" t="inlineStr"/>
      <c r="Q954" t="inlineStr"/>
      <c r="R954" t="inlineStr"/>
      <c r="S954" t="inlineStr"/>
      <c r="U954">
        <f>INDEX(FactorTable!$B$2:$Y$301, MATCH(ROUND(MIN(300,MAX(1,U953)),0), FactorTable!$A$2:$A$301,0), 22)</f>
        <v/>
      </c>
    </row>
    <row r="955">
      <c r="A955">
        <f>Skills!A4</f>
        <v/>
      </c>
      <c r="B955">
        <f>Skills!B4</f>
        <v/>
      </c>
      <c r="C955">
        <f>Inputs!$B$3&gt;=35</f>
        <v/>
      </c>
      <c r="D955">
        <f>IF(Skills!C4=1,60+Inputs!$B$25+Inputs!$B$29,IF(Skills!C4=2,90+Inputs!$B$26+Inputs!$B$29,IF(Skills!C4=3,120+Inputs!$B$27+Inputs!$B$29,MAX(0,(Inputs!$B$3-100)*3)+Inputs!$B$28+Inputs!$B$29)))</f>
        <v/>
      </c>
      <c r="E955">
        <f>INDEX(FactorTable!$B$2:$Y$301, MATCH(ROUND(MIN(300,MAX(1,D955)),0), FactorTable!$A$2:$A$301,0), Skills!M4+1)</f>
        <v/>
      </c>
      <c r="F955">
        <f>IF(Skills!N4=TRUE,(Skills!L4/10)*(E955/1000),Skills!L4/10)+Skills!O4</f>
        <v/>
      </c>
      <c r="G955">
        <f>Skills!G4*IF(Skills!H4&gt;0,Skills!I4/Skills!H4,1)</f>
        <v/>
      </c>
      <c r="H955">
        <f>1-(1-Skills!J4/100)^Skills!K4</f>
        <v/>
      </c>
      <c r="I955" t="inlineStr">
        <is>
          <t>1</t>
        </is>
      </c>
      <c r="J955">
        <f>((Inputs!$B$6*(1+(Inputs!$B$7+1)/100))+(((Inputs!$B$12*(1+Inputs!$B$13/100))-(Inputs!$B$12*(1+Inputs!$B$13/100)))+0.25*(Inputs!$B$14-Inputs!$B$14))*(1+(Inputs!$B$7+1)/100))*(F955/100)</f>
        <v/>
      </c>
      <c r="K955">
        <f>J955*(1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963=TRUE,F963,0)/100)*(1+(IF(Skills!A4="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955)</f>
        <v/>
      </c>
      <c r="L955">
        <f>K955*(MIN(Inputs!$B$22+((C973=TRUE)*(F973-Calc!F22)),(Inputs!$B$23+((C975=TRUE)*(F975-Calc!F24))+(IF(ArtifactsInput!$M$15,CHOOSE(ArtifactsInput!$N$15+1,25,30,35,40,45,50)/100*(Inputs!$B$11-Inputs!$B$11),0))))/100+(Inputs!$B$23+((C975=TRUE)*(F975-Calc!F24))+(IF(ArtifactsInput!$M$15,CHOOSE(ArtifactsInput!$N$15+1,25,30,35,40,45,50)/100*(Inputs!$B$11-Inputs!$B$11),0)))/100)/2</f>
        <v/>
      </c>
      <c r="M955">
        <f>L955*(1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5">
        <f>L955*(1-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955*(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5">
        <f>(1-Summary!$B$11)*T955+Summary!$B$11*V955</f>
        <v/>
      </c>
      <c r="P955">
        <f>IF(B988=0,0,O955/B988)</f>
        <v/>
      </c>
      <c r="Q955">
        <f>IFERROR(1/(IF(Inputs!$B$38="pvp",15,MAX(0.1,Skills!D4-IF(Skills!E4=TRUE,Inputs!$B$32,0)))*(1-IF(AND(ArtifactsInput!$M$27,Inputs!$B$4="Chapter Hunt"),CHOOSE(ArtifactsInput!$N$27+1,20,24,28,32,36,40),0)/100)),0)</f>
        <v/>
      </c>
      <c r="R955">
        <f>IF(AND(Inputs!$B$38&lt;&gt;"pvp",Inputs!$B$43&gt;0),IF(MAX(0,Inputs!$B$43-B985)&lt;=0,0,(INT(MAX(0,Inputs!$B$43-B985)/(IF(Inputs!$B$38="pvp",15,MAX(0.1,Skills!D4-IF(Skills!E4=TRUE,Inputs!$B$32,0)))*(1-IF(AND(ArtifactsInput!$M$27,Inputs!$B$4="Chapter Hunt"),CHOOSE(ArtifactsInput!$N$27+1,20,24,28,32,36,40),0)/100)))+1)),0)</f>
        <v/>
      </c>
      <c r="S955">
        <f>IFERROR(O955/N955,0)</f>
        <v/>
      </c>
      <c r="T955">
        <f>IF(C955,(H955*N955*IF(AND(Inputs!$B$38&lt;&gt;"pvp",Inputs!$B$43&gt;0),((Skills!G4*((R955-1)*IF(Skills!H4&gt;0,Skills!I4/Skills!H4,1)+IF(Skills!H4&gt;0,MIN(Skills!I4,MAX(0,MAX(0,Inputs!$B$43-B985)-((R955-1)*(IF(Inputs!$B$38="pvp",15,MAX(0.1,Skills!D4-IF(Skills!E4=TRUE,Inputs!$B$32,0)))*(1-IF(AND(ArtifactsInput!$M$27,Inputs!$B$4="Chapter Hunt"),CHOOSE(ArtifactsInput!$N$27+1,20,24,28,32,36,40),0)/100)))))/Skills!H4,1)))/Inputs!$B$43),G955*Q955)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955*(1-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955*(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955*(1-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955*(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55">
        <f>290*U954/1000</f>
        <v/>
      </c>
      <c r="V955">
        <f>IF(C955,(H955*N955*IF(AND(Inputs!$B$38&lt;&gt;"pvp",Inputs!$B$43&gt;0),((Skills!G4*((R955-1)*IF(Skills!H4&gt;0,Skills!I4/Skills!H4,1)+IF(Skills!H4&gt;0,MIN(Skills!I4,MAX(0,MAX(0,Inputs!$B$43-B985)-((R955-1)*(IF(Inputs!$B$38="pvp",15,MAX(0.1,Skills!D4-IF(Skills!E4=TRUE,Inputs!$B$32,0)))*(1-IF(AND(ArtifactsInput!$M$27,Inputs!$B$4="Chapter Hunt"),CHOOSE(ArtifactsInput!$N$27+1,20,24,28,32,36,40),0)/100)))))/Skills!H4,1)))/Inputs!$B$43),G955*Q955))*IF(Inputs!$B$38="pvp",1,(1+(Inputs!$B$21+Skills!Q4+(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6">
      <c r="A956">
        <f>Skills!A5</f>
        <v/>
      </c>
      <c r="B956">
        <f>Skills!B5</f>
        <v/>
      </c>
      <c r="C956">
        <f>Inputs!$B$3&gt;=66</f>
        <v/>
      </c>
      <c r="D956">
        <f>IF(Skills!C5=1,60+Inputs!$B$25+Inputs!$B$29,IF(Skills!C5=2,90+Inputs!$B$26+Inputs!$B$29,IF(Skills!C5=3,120+Inputs!$B$27+Inputs!$B$29,MAX(0,(Inputs!$B$3-100)*3)+Inputs!$B$28+Inputs!$B$29)))</f>
        <v/>
      </c>
      <c r="E956">
        <f>INDEX(FactorTable!$B$2:$Y$301, MATCH(ROUND(MIN(300,MAX(1,D956)),0), FactorTable!$A$2:$A$301,0), Skills!M5+1)</f>
        <v/>
      </c>
      <c r="F956">
        <f>IF(Skills!N5=TRUE,(Skills!L5/10)*(E956/1000),Skills!L5/10)+Skills!O5</f>
        <v/>
      </c>
      <c r="G956">
        <f>Skills!G5*IF(Skills!H5&gt;0,Skills!I5/Skills!H5,1)</f>
        <v/>
      </c>
      <c r="H956">
        <f>1-(1-Skills!J5/100)^Skills!K5</f>
        <v/>
      </c>
      <c r="I956" t="inlineStr">
        <is>
          <t>1</t>
        </is>
      </c>
      <c r="J956">
        <f>((Inputs!$B$6*(1+(Inputs!$B$7+1)/100))+(((Inputs!$B$12*(1+Inputs!$B$13/100))-(Inputs!$B$12*(1+Inputs!$B$13/100)))+0.25*(Inputs!$B$14-Inputs!$B$14))*(1+(Inputs!$B$7+1)/100))*(F956/100)</f>
        <v/>
      </c>
      <c r="K956">
        <f>J956*(1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963=TRUE,F963,0)/100)*(1+(IF(Skills!A5="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956)</f>
        <v/>
      </c>
      <c r="L956">
        <f>K956*(MIN(Inputs!$B$22+((C973=TRUE)*(F973-Calc!F22)),(Inputs!$B$23+((C975=TRUE)*(F975-Calc!F24))+(IF(ArtifactsInput!$M$15,CHOOSE(ArtifactsInput!$N$15+1,25,30,35,40,45,50)/100*(Inputs!$B$11-Inputs!$B$11),0))))/100+(Inputs!$B$23+((C975=TRUE)*(F975-Calc!F24))+(IF(ArtifactsInput!$M$15,CHOOSE(ArtifactsInput!$N$15+1,25,30,35,40,45,50)/100*(Inputs!$B$11-Inputs!$B$11),0)))/100)/2</f>
        <v/>
      </c>
      <c r="M956">
        <f>L956*(1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6">
        <f>L956*(1-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956*(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6">
        <f>(1-Summary!$B$11)*T956+Summary!$B$11*V956</f>
        <v/>
      </c>
      <c r="P956">
        <f>IF(B988=0,0,O956/B988)</f>
        <v/>
      </c>
      <c r="Q956">
        <f>IFERROR(1/(IF(Inputs!$B$38="pvp",15,MAX(0.1,Skills!D5-IF(Skills!E5=TRUE,Inputs!$B$32,0)))*(1-IF(AND(ArtifactsInput!$M$27,Inputs!$B$4="Chapter Hunt"),CHOOSE(ArtifactsInput!$N$27+1,20,24,28,32,36,40),0)/100)),0)</f>
        <v/>
      </c>
      <c r="R956">
        <f>IF(AND(Inputs!$B$38&lt;&gt;"pvp",Inputs!$B$43&gt;0),IF(MAX(0,Inputs!$B$43-B985)&lt;=0,0,(INT(MAX(0,Inputs!$B$43-B985)/(IF(Inputs!$B$38="pvp",15,MAX(0.1,Skills!D5-IF(Skills!E5=TRUE,Inputs!$B$32,0)))*(1-IF(AND(ArtifactsInput!$M$27,Inputs!$B$4="Chapter Hunt"),CHOOSE(ArtifactsInput!$N$27+1,20,24,28,32,36,40),0)/100)))+1)),0)</f>
        <v/>
      </c>
      <c r="S956">
        <f>IFERROR(O956/N956,0)</f>
        <v/>
      </c>
      <c r="T956">
        <f>IF(C956,(H956*N956*IF(AND(Inputs!$B$38&lt;&gt;"pvp",Inputs!$B$43&gt;0),((Skills!G5*((R956-1)*IF(Skills!H5&gt;0,Skills!I5/Skills!H5,1)+IF(Skills!H5&gt;0,MIN(Skills!I5,MAX(0,MAX(0,Inputs!$B$43-B985)-((R956-1)*(IF(Inputs!$B$38="pvp",15,MAX(0.1,Skills!D5-IF(Skills!E5=TRUE,Inputs!$B$32,0)))*(1-IF(AND(ArtifactsInput!$M$27,Inputs!$B$4="Chapter Hunt"),CHOOSE(ArtifactsInput!$N$27+1,20,24,28,32,36,40),0)/100)))))/Skills!H5,1)))/Inputs!$B$43),G956*Q956)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956*(1-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956*(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956*(1-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956*(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6">
        <f>IF(C956,(H956*N956*IF(AND(Inputs!$B$38&lt;&gt;"pvp",Inputs!$B$43&gt;0),((Skills!G5*((R956-1)*IF(Skills!H5&gt;0,Skills!I5/Skills!H5,1)+IF(Skills!H5&gt;0,MIN(Skills!I5,MAX(0,MAX(0,Inputs!$B$43-B985)-((R956-1)*(IF(Inputs!$B$38="pvp",15,MAX(0.1,Skills!D5-IF(Skills!E5=TRUE,Inputs!$B$32,0)))*(1-IF(AND(ArtifactsInput!$M$27,Inputs!$B$4="Chapter Hunt"),CHOOSE(ArtifactsInput!$N$27+1,20,24,28,32,36,40),0)/100)))))/Skills!H5,1)))/Inputs!$B$43),G956*Q956))*IF(Inputs!$B$38="pvp",1,(1+(Inputs!$B$21+Skills!Q5+(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7">
      <c r="A957">
        <f>Skills!A6</f>
        <v/>
      </c>
      <c r="B957">
        <f>Skills!B6</f>
        <v/>
      </c>
      <c r="C957">
        <f>Inputs!$B$3&gt;=103</f>
        <v/>
      </c>
      <c r="D957">
        <f>IF(Skills!C6=1,60+Inputs!$B$25+Inputs!$B$29,IF(Skills!C6=2,90+Inputs!$B$26+Inputs!$B$29,IF(Skills!C6=3,120+Inputs!$B$27+Inputs!$B$29,MAX(0,(Inputs!$B$3-100)*3)+Inputs!$B$28+Inputs!$B$29)))</f>
        <v/>
      </c>
      <c r="E957">
        <f>INDEX(FactorTable!$B$2:$Y$301, MATCH(ROUND(MIN(300,MAX(1,D957)),0), FactorTable!$A$2:$A$301,0), Skills!M6+1)</f>
        <v/>
      </c>
      <c r="F957">
        <f>IF(Skills!N6=TRUE,(Skills!L6/10)*(E957/1000),Skills!L6/10)+Skills!O6</f>
        <v/>
      </c>
      <c r="G957">
        <f>Skills!G6*IF(Skills!H6&gt;0,Skills!I6/Skills!H6,1)</f>
        <v/>
      </c>
      <c r="H957">
        <f>1-(1-Skills!J6/100)^Skills!K6</f>
        <v/>
      </c>
      <c r="I957" t="inlineStr">
        <is>
          <t>1</t>
        </is>
      </c>
      <c r="J957">
        <f>((Inputs!$B$6*(1+(Inputs!$B$7+1)/100))+(((Inputs!$B$12*(1+Inputs!$B$13/100))-(Inputs!$B$12*(1+Inputs!$B$13/100)))+0.25*(Inputs!$B$14-Inputs!$B$14))*(1+(Inputs!$B$7+1)/100))*(F957/100)</f>
        <v/>
      </c>
      <c r="K957">
        <f>J957*(1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957)</f>
        <v/>
      </c>
      <c r="L957">
        <f>K957*(MIN(Inputs!$B$22+((C973=TRUE)*(F973-Calc!F22)),(Inputs!$B$23+((C975=TRUE)*(F975-Calc!F24))+(IF(ArtifactsInput!$M$15,CHOOSE(ArtifactsInput!$N$15+1,25,30,35,40,45,50)/100*(Inputs!$B$11-Inputs!$B$11),0))))/100+(Inputs!$B$23+((C975=TRUE)*(F975-Calc!F24))+(IF(ArtifactsInput!$M$15,CHOOSE(ArtifactsInput!$N$15+1,25,30,35,40,45,50)/100*(Inputs!$B$11-Inputs!$B$11),0)))/100)/2</f>
        <v/>
      </c>
      <c r="M957">
        <f>L957*(1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7">
        <f>L957*(1-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957*(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7">
        <f>(1-Summary!$B$11)*T957+Summary!$B$11*V957</f>
        <v/>
      </c>
      <c r="P957">
        <f>IF(B988=0,0,O957/B988)</f>
        <v/>
      </c>
      <c r="Q957">
        <f>IFERROR(1/(IF(Inputs!$B$38="pvp",15,MAX(0.1,Skills!D6-IF(Skills!E6=TRUE,Inputs!$B$32,0)))*(1-IF(AND(ArtifactsInput!$M$27,Inputs!$B$4="Chapter Hunt"),CHOOSE(ArtifactsInput!$N$27+1,20,24,28,32,36,40),0)/100)),0)</f>
        <v/>
      </c>
      <c r="R957">
        <f>IF(AND(Inputs!$B$38&lt;&gt;"pvp",Inputs!$B$43&gt;0),IF(MAX(0,Inputs!$B$43-B985)&lt;=0,0,(INT(MAX(0,Inputs!$B$43-B985)/(IF(Inputs!$B$38="pvp",15,MAX(0.1,Skills!D6-IF(Skills!E6=TRUE,Inputs!$B$32,0)))*(1-IF(AND(ArtifactsInput!$M$27,Inputs!$B$4="Chapter Hunt"),CHOOSE(ArtifactsInput!$N$27+1,20,24,28,32,36,40),0)/100)))+1)),0)</f>
        <v/>
      </c>
      <c r="S957">
        <f>IFERROR(O957/N957,0)</f>
        <v/>
      </c>
      <c r="T957">
        <f>IF(C957,(H957*N957*IF(AND(Inputs!$B$38&lt;&gt;"pvp",Inputs!$B$43&gt;0),((Skills!G6*((R957-1)*IF(Skills!H6&gt;0,Skills!I6/Skills!H6,1)+IF(Skills!H6&gt;0,MIN(Skills!I6,MAX(0,MAX(0,Inputs!$B$43-B985)-((R957-1)*(IF(Inputs!$B$38="pvp",15,MAX(0.1,Skills!D6-IF(Skills!E6=TRUE,Inputs!$B$32,0)))*(1-IF(AND(ArtifactsInput!$M$27,Inputs!$B$4="Chapter Hunt"),CHOOSE(ArtifactsInput!$N$27+1,20,24,28,32,36,40),0)/100)))))/Skills!H6,1)))/Inputs!$B$43),G957*Q957)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957*(1-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957*(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957*(1-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957*(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7">
        <f>IF(C957,(H957*N957*IF(AND(Inputs!$B$38&lt;&gt;"pvp",Inputs!$B$43&gt;0),((Skills!G6*((R957-1)*IF(Skills!H6&gt;0,Skills!I6/Skills!H6,1)+IF(Skills!H6&gt;0,MIN(Skills!I6,MAX(0,MAX(0,Inputs!$B$43-B985)-((R957-1)*(IF(Inputs!$B$38="pvp",15,MAX(0.1,Skills!D6-IF(Skills!E6=TRUE,Inputs!$B$32,0)))*(1-IF(AND(ArtifactsInput!$M$27,Inputs!$B$4="Chapter Hunt"),CHOOSE(ArtifactsInput!$N$27+1,20,24,28,32,36,40),0)/100)))))/Skills!H6,1)))/Inputs!$B$43),G957*Q957))*IF(Inputs!$B$38="pvp",1,(1+(Inputs!$B$21+Skills!Q6+(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8">
      <c r="A958">
        <f>Skills!A7</f>
        <v/>
      </c>
      <c r="B958">
        <f>Skills!B7</f>
        <v/>
      </c>
      <c r="C958">
        <f>Inputs!$B$3&gt;=107</f>
        <v/>
      </c>
      <c r="D958">
        <f>IF(Skills!C7=1,60+Inputs!$B$25+Inputs!$B$29,IF(Skills!C7=2,90+Inputs!$B$26+Inputs!$B$29,IF(Skills!C7=3,120+Inputs!$B$27+Inputs!$B$29,MAX(0,(Inputs!$B$3-100)*3)+Inputs!$B$28+Inputs!$B$29)))</f>
        <v/>
      </c>
      <c r="E958">
        <f>INDEX(FactorTable!$B$2:$Y$301, MATCH(ROUND(MIN(300,MAX(1,D958)),0), FactorTable!$A$2:$A$301,0), Skills!M7+1)</f>
        <v/>
      </c>
      <c r="F958">
        <f>IF(Skills!N7=TRUE,(Skills!L7/10)*(E958/1000),Skills!L7/10)+Skills!O7</f>
        <v/>
      </c>
      <c r="G958">
        <f>Skills!G7*IF(Skills!H7&gt;0,Skills!I7/Skills!H7,1)</f>
        <v/>
      </c>
      <c r="H958">
        <f>1-(1-Skills!J7/100)^Skills!K7</f>
        <v/>
      </c>
      <c r="I958" t="inlineStr">
        <is>
          <t>1</t>
        </is>
      </c>
      <c r="J958">
        <f>((Inputs!$B$6*(1+(Inputs!$B$7+1)/100))+(((Inputs!$B$12*(1+Inputs!$B$13/100))-(Inputs!$B$12*(1+Inputs!$B$13/100)))+0.25*(Inputs!$B$14-Inputs!$B$14))*(1+(Inputs!$B$7+1)/100))*(F958/100)</f>
        <v/>
      </c>
      <c r="K958">
        <f>J958*(1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958)</f>
        <v/>
      </c>
      <c r="L958">
        <f>K958*(MIN(Inputs!$B$22+((C973=TRUE)*(F973-Calc!F22)),(Inputs!$B$23+((C975=TRUE)*(F975-Calc!F24))+(IF(ArtifactsInput!$M$15,CHOOSE(ArtifactsInput!$N$15+1,25,30,35,40,45,50)/100*(Inputs!$B$11-Inputs!$B$11),0))))/100+(Inputs!$B$23+((C975=TRUE)*(F975-Calc!F24))+(IF(ArtifactsInput!$M$15,CHOOSE(ArtifactsInput!$N$15+1,25,30,35,40,45,50)/100*(Inputs!$B$11-Inputs!$B$11),0)))/100)/2</f>
        <v/>
      </c>
      <c r="M958">
        <f>L958*(1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8">
        <f>L958*(1-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958*(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8">
        <f>(1-Summary!$B$11)*T958+Summary!$B$11*V958</f>
        <v/>
      </c>
      <c r="P958">
        <f>IF(B988=0,0,O958/B988)</f>
        <v/>
      </c>
      <c r="Q958">
        <f>IFERROR(1/(IF(Inputs!$B$38="pvp",15,MAX(0.1,Skills!D7-IF(Skills!E7=TRUE,Inputs!$B$32,0)))*(1-IF(AND(ArtifactsInput!$M$27,Inputs!$B$4="Chapter Hunt"),CHOOSE(ArtifactsInput!$N$27+1,20,24,28,32,36,40),0)/100)),0)</f>
        <v/>
      </c>
      <c r="R958">
        <f>IF(AND(Inputs!$B$38&lt;&gt;"pvp",Inputs!$B$43&gt;0),IF(MAX(0,Inputs!$B$43-B985)&lt;=0,0,(INT(MAX(0,Inputs!$B$43-B985)/(IF(Inputs!$B$38="pvp",15,MAX(0.1,Skills!D7-IF(Skills!E7=TRUE,Inputs!$B$32,0)))*(1-IF(AND(ArtifactsInput!$M$27,Inputs!$B$4="Chapter Hunt"),CHOOSE(ArtifactsInput!$N$27+1,20,24,28,32,36,40),0)/100)))+1)),0)</f>
        <v/>
      </c>
      <c r="S958">
        <f>IFERROR(O958/N958,0)</f>
        <v/>
      </c>
      <c r="T958">
        <f>IF(C958,(H958*N958*IF(AND(Inputs!$B$38&lt;&gt;"pvp",Inputs!$B$43&gt;0),((Skills!G7*((R958-1)*IF(Skills!H7&gt;0,Skills!I7/Skills!H7,1)+IF(Skills!H7&gt;0,MIN(Skills!I7,MAX(0,MAX(0,Inputs!$B$43-B985)-((R958-1)*(IF(Inputs!$B$38="pvp",15,MAX(0.1,Skills!D7-IF(Skills!E7=TRUE,Inputs!$B$32,0)))*(1-IF(AND(ArtifactsInput!$M$27,Inputs!$B$4="Chapter Hunt"),CHOOSE(ArtifactsInput!$N$27+1,20,24,28,32,36,40),0)/100)))))/Skills!H7,1)))/Inputs!$B$43),G958*Q958)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958*(1-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958*(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958*(1-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958*(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8">
        <f>IF(C958,(H958*N958*IF(AND(Inputs!$B$38&lt;&gt;"pvp",Inputs!$B$43&gt;0),((Skills!G7*((R958-1)*IF(Skills!H7&gt;0,Skills!I7/Skills!H7,1)+IF(Skills!H7&gt;0,MIN(Skills!I7,MAX(0,MAX(0,Inputs!$B$43-B985)-((R958-1)*(IF(Inputs!$B$38="pvp",15,MAX(0.1,Skills!D7-IF(Skills!E7=TRUE,Inputs!$B$32,0)))*(1-IF(AND(ArtifactsInput!$M$27,Inputs!$B$4="Chapter Hunt"),CHOOSE(ArtifactsInput!$N$27+1,20,24,28,32,36,40),0)/100)))))/Skills!H7,1)))/Inputs!$B$43),G958*Q958))*IF(Inputs!$B$38="pvp",1,(1+(Inputs!$B$21+Skills!Q7+(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59">
      <c r="A959">
        <f>Skills!A8</f>
        <v/>
      </c>
      <c r="B959">
        <f>Skills!B8</f>
        <v/>
      </c>
      <c r="C959">
        <f>Inputs!$B$3&gt;=107</f>
        <v/>
      </c>
      <c r="D959">
        <f>IF(Skills!C8=1,60+Inputs!$B$25+Inputs!$B$29,IF(Skills!C8=2,90+Inputs!$B$26+Inputs!$B$29,IF(Skills!C8=3,120+Inputs!$B$27+Inputs!$B$29,MAX(0,(Inputs!$B$3-100)*3)+Inputs!$B$28+Inputs!$B$29)))</f>
        <v/>
      </c>
      <c r="E959">
        <f>INDEX(FactorTable!$B$2:$Y$301, MATCH(ROUND(MIN(300,MAX(1,D959)),0), FactorTable!$A$2:$A$301,0), Skills!M8+1)</f>
        <v/>
      </c>
      <c r="F959">
        <f>IF(Skills!N8=TRUE,(Skills!L8/10)*(E959/1000),Skills!L8/10)+Skills!O8</f>
        <v/>
      </c>
      <c r="G959">
        <f>Skills!G8*IF(Skills!H8&gt;0,Skills!I8/Skills!H8,1)</f>
        <v/>
      </c>
      <c r="H959">
        <f>1-(1-Skills!J8/100)^Skills!K8</f>
        <v/>
      </c>
      <c r="I959" t="inlineStr">
        <is>
          <t>1</t>
        </is>
      </c>
      <c r="J959">
        <f>((Inputs!$B$6*(1+(Inputs!$B$7+1)/100))+(((Inputs!$B$12*(1+Inputs!$B$13/100))-(Inputs!$B$12*(1+Inputs!$B$13/100)))+0.25*(Inputs!$B$14-Inputs!$B$14))*(1+(Inputs!$B$7+1)/100))*(F959/100)</f>
        <v/>
      </c>
      <c r="K959">
        <f>J959*(1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959)</f>
        <v/>
      </c>
      <c r="L959">
        <f>K959*(MIN(Inputs!$B$22+((C973=TRUE)*(F973-Calc!F22)),(Inputs!$B$23+((C975=TRUE)*(F975-Calc!F24))+(IF(ArtifactsInput!$M$15,CHOOSE(ArtifactsInput!$N$15+1,25,30,35,40,45,50)/100*(Inputs!$B$11-Inputs!$B$11),0))))/100+(Inputs!$B$23+((C975=TRUE)*(F975-Calc!F24))+(IF(ArtifactsInput!$M$15,CHOOSE(ArtifactsInput!$N$15+1,25,30,35,40,45,50)/100*(Inputs!$B$11-Inputs!$B$11),0)))/100)/2</f>
        <v/>
      </c>
      <c r="M959">
        <f>L959*(1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59">
        <f>L959*(1-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959*(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59">
        <f>(1-Summary!$B$11)*T959+Summary!$B$11*V959</f>
        <v/>
      </c>
      <c r="P959">
        <f>IF(B988=0,0,O959/B988)</f>
        <v/>
      </c>
      <c r="Q959">
        <f>IFERROR(1/(IF(Inputs!$B$38="pvp",15,MAX(0.1,Skills!D8-IF(Skills!E8=TRUE,Inputs!$B$32,0)))*(1-IF(AND(ArtifactsInput!$M$27,Inputs!$B$4="Chapter Hunt"),CHOOSE(ArtifactsInput!$N$27+1,20,24,28,32,36,40),0)/100)),0)</f>
        <v/>
      </c>
      <c r="R959">
        <f>IF(AND(Inputs!$B$38&lt;&gt;"pvp",Inputs!$B$43&gt;0),IF(MAX(0,Inputs!$B$43-B985)&lt;=0,0,(INT(MAX(0,Inputs!$B$43-B985)/(IF(Inputs!$B$38="pvp",15,MAX(0.1,Skills!D8-IF(Skills!E8=TRUE,Inputs!$B$32,0)))*(1-IF(AND(ArtifactsInput!$M$27,Inputs!$B$4="Chapter Hunt"),CHOOSE(ArtifactsInput!$N$27+1,20,24,28,32,36,40),0)/100)))+1)),0)</f>
        <v/>
      </c>
      <c r="S959">
        <f>IFERROR(O959/N959,0)</f>
        <v/>
      </c>
      <c r="T959">
        <f>IF(C959,(H959*N959*IF(AND(Inputs!$B$38&lt;&gt;"pvp",Inputs!$B$43&gt;0),((Skills!G8*((R959-1)*IF(Skills!H8&gt;0,Skills!I8/Skills!H8,1)+IF(Skills!H8&gt;0,MIN(Skills!I8,MAX(0,MAX(0,Inputs!$B$43-B985)-((R959-1)*(IF(Inputs!$B$38="pvp",15,MAX(0.1,Skills!D8-IF(Skills!E8=TRUE,Inputs!$B$32,0)))*(1-IF(AND(ArtifactsInput!$M$27,Inputs!$B$4="Chapter Hunt"),CHOOSE(ArtifactsInput!$N$27+1,20,24,28,32,36,40),0)/100)))))/Skills!H8,1)))/Inputs!$B$43),G959*Q959)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959*(1-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959*(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959*(1-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959*(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59">
        <f>IF(C959,(H959*N959*IF(AND(Inputs!$B$38&lt;&gt;"pvp",Inputs!$B$43&gt;0),((Skills!G8*((R959-1)*IF(Skills!H8&gt;0,Skills!I8/Skills!H8,1)+IF(Skills!H8&gt;0,MIN(Skills!I8,MAX(0,MAX(0,Inputs!$B$43-B985)-((R959-1)*(IF(Inputs!$B$38="pvp",15,MAX(0.1,Skills!D8-IF(Skills!E8=TRUE,Inputs!$B$32,0)))*(1-IF(AND(ArtifactsInput!$M$27,Inputs!$B$4="Chapter Hunt"),CHOOSE(ArtifactsInput!$N$27+1,20,24,28,32,36,40),0)/100)))))/Skills!H8,1)))/Inputs!$B$43),G959*Q959))*IF(Inputs!$B$38="pvp",1,(1+(Inputs!$B$21+Skills!Q8+(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0">
      <c r="A960">
        <f>Skills!A9</f>
        <v/>
      </c>
      <c r="B960">
        <f>Skills!B9</f>
        <v/>
      </c>
      <c r="C960">
        <f>Inputs!$B$3&gt;=125</f>
        <v/>
      </c>
      <c r="D960">
        <f>IF(Skills!C9=1,60+Inputs!$B$25+Inputs!$B$29,IF(Skills!C9=2,90+Inputs!$B$26+Inputs!$B$29,IF(Skills!C9=3,120+Inputs!$B$27+Inputs!$B$29,MAX(0,(Inputs!$B$3-100)*3)+Inputs!$B$28+Inputs!$B$29)))</f>
        <v/>
      </c>
      <c r="E960">
        <f>INDEX(FactorTable!$B$2:$Y$301, MATCH(ROUND(MIN(300,MAX(1,D960)),0), FactorTable!$A$2:$A$301,0), Skills!M9+1)</f>
        <v/>
      </c>
      <c r="F960">
        <f>IF(Skills!N9=TRUE,(Skills!L9/10)*(E960/1000),Skills!L9/10)+Skills!O9</f>
        <v/>
      </c>
      <c r="G960">
        <f>Skills!G9*IF(Skills!H9&gt;0,Skills!I9/Skills!H9,1)</f>
        <v/>
      </c>
      <c r="H960">
        <f>1-(1-Skills!J9/100)^Skills!K9</f>
        <v/>
      </c>
      <c r="I960" t="inlineStr">
        <is>
          <t>1</t>
        </is>
      </c>
      <c r="J960">
        <f>((Inputs!$B$6*(1+(Inputs!$B$7+1)/100))+(((Inputs!$B$12*(1+Inputs!$B$13/100))-(Inputs!$B$12*(1+Inputs!$B$13/100)))+0.25*(Inputs!$B$14-Inputs!$B$14))*(1+(Inputs!$B$7+1)/100))*(F960/100)</f>
        <v/>
      </c>
      <c r="K960">
        <f>J960*(1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960)</f>
        <v/>
      </c>
      <c r="L960">
        <f>K960*(MIN(Inputs!$B$22+((C973=TRUE)*(F973-Calc!F22)),(Inputs!$B$23+((C975=TRUE)*(F975-Calc!F24))+(IF(ArtifactsInput!$M$15,CHOOSE(ArtifactsInput!$N$15+1,25,30,35,40,45,50)/100*(Inputs!$B$11-Inputs!$B$11),0))))/100+(Inputs!$B$23+((C975=TRUE)*(F975-Calc!F24))+(IF(ArtifactsInput!$M$15,CHOOSE(ArtifactsInput!$N$15+1,25,30,35,40,45,50)/100*(Inputs!$B$11-Inputs!$B$11),0)))/100)/2</f>
        <v/>
      </c>
      <c r="M960">
        <f>L960*(1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0">
        <f>L960*(1-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960*(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0">
        <f>(1-Summary!$B$11)*T960+Summary!$B$11*V960</f>
        <v/>
      </c>
      <c r="P960">
        <f>IF(B988=0,0,O960/B988)</f>
        <v/>
      </c>
      <c r="Q960">
        <f>IFERROR(1/(IF(Inputs!$B$38="pvp",15,MAX(0.1,Skills!D9-IF(Skills!E9=TRUE,Inputs!$B$32,0)))*(1-IF(AND(ArtifactsInput!$M$27,Inputs!$B$4="Chapter Hunt"),CHOOSE(ArtifactsInput!$N$27+1,20,24,28,32,36,40),0)/100)),0)</f>
        <v/>
      </c>
      <c r="R960">
        <f>IF(AND(Inputs!$B$38&lt;&gt;"pvp",Inputs!$B$43&gt;0),IF(MAX(0,Inputs!$B$43-B985)&lt;=0,0,(INT(MAX(0,Inputs!$B$43-B985)/(IF(Inputs!$B$38="pvp",15,MAX(0.1,Skills!D9-IF(Skills!E9=TRUE,Inputs!$B$32,0)))*(1-IF(AND(ArtifactsInput!$M$27,Inputs!$B$4="Chapter Hunt"),CHOOSE(ArtifactsInput!$N$27+1,20,24,28,32,36,40),0)/100)))+1)),0)</f>
        <v/>
      </c>
      <c r="S960">
        <f>IFERROR(O960/N960,0)</f>
        <v/>
      </c>
      <c r="T960">
        <f>IF(C960,(H960*N960*IF(AND(Inputs!$B$38&lt;&gt;"pvp",Inputs!$B$43&gt;0),((Skills!G9*((R960-1)*IF(Skills!H9&gt;0,Skills!I9/Skills!H9,1)+IF(Skills!H9&gt;0,MIN(Skills!I9,MAX(0,MAX(0,Inputs!$B$43-B985)-((R960-1)*(IF(Inputs!$B$38="pvp",15,MAX(0.1,Skills!D9-IF(Skills!E9=TRUE,Inputs!$B$32,0)))*(1-IF(AND(ArtifactsInput!$M$27,Inputs!$B$4="Chapter Hunt"),CHOOSE(ArtifactsInput!$N$27+1,20,24,28,32,36,40),0)/100)))))/Skills!H9,1)))/Inputs!$B$43),G960*Q960)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960*(1-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960*(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960*(1-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960*(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0">
        <f>IF(C960,(H960*N960*IF(AND(Inputs!$B$38&lt;&gt;"pvp",Inputs!$B$43&gt;0),((Skills!G9*((R960-1)*IF(Skills!H9&gt;0,Skills!I9/Skills!H9,1)+IF(Skills!H9&gt;0,MIN(Skills!I9,MAX(0,MAX(0,Inputs!$B$43-B985)-((R960-1)*(IF(Inputs!$B$38="pvp",15,MAX(0.1,Skills!D9-IF(Skills!E9=TRUE,Inputs!$B$32,0)))*(1-IF(AND(ArtifactsInput!$M$27,Inputs!$B$4="Chapter Hunt"),CHOOSE(ArtifactsInput!$N$27+1,20,24,28,32,36,40),0)/100)))))/Skills!H9,1)))/Inputs!$B$43),G960*Q960))*IF(Inputs!$B$38="pvp",1,(1+(Inputs!$B$21+Skills!Q9+(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1">
      <c r="A961">
        <f>Skills!A10</f>
        <v/>
      </c>
      <c r="B961">
        <f>Skills!B10</f>
        <v/>
      </c>
      <c r="C961">
        <f>Inputs!$B$3&gt;=117</f>
        <v/>
      </c>
      <c r="D961">
        <f>IF(Skills!C10=1,60+Inputs!$B$25+Inputs!$B$29,IF(Skills!C10=2,90+Inputs!$B$26+Inputs!$B$29,IF(Skills!C10=3,120+Inputs!$B$27+Inputs!$B$29,MAX(0,(Inputs!$B$3-100)*3)+Inputs!$B$28+Inputs!$B$29)))</f>
        <v/>
      </c>
      <c r="E961">
        <f>INDEX(FactorTable!$B$2:$Y$301, MATCH(ROUND(MIN(300,MAX(1,D961)),0), FactorTable!$A$2:$A$301,0), Skills!M10+1)</f>
        <v/>
      </c>
      <c r="F961">
        <f>IF(Skills!N10=TRUE,(Skills!L10/10)*(E961/1000),Skills!L10/10)+Skills!O10</f>
        <v/>
      </c>
      <c r="G961">
        <f>Skills!G10*IF(Skills!H10&gt;0,Skills!I10/Skills!H10,1)</f>
        <v/>
      </c>
      <c r="H961">
        <f>1-(1-Skills!J10/100)^Skills!K10</f>
        <v/>
      </c>
      <c r="I961" t="inlineStr">
        <is>
          <t>1</t>
        </is>
      </c>
      <c r="J961">
        <f>((Inputs!$B$6*(1+(Inputs!$B$7+1)/100))+(((Inputs!$B$12*(1+Inputs!$B$13/100))-(Inputs!$B$12*(1+Inputs!$B$13/100)))+0.25*(Inputs!$B$14-Inputs!$B$14))*(1+(Inputs!$B$7+1)/100))*(F961/100)</f>
        <v/>
      </c>
      <c r="K961">
        <f>J961*(1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961)</f>
        <v/>
      </c>
      <c r="L961">
        <f>K961*(MIN(Inputs!$B$22+((C973=TRUE)*(F973-Calc!F22)),(Inputs!$B$23+((C975=TRUE)*(F975-Calc!F24))+(IF(ArtifactsInput!$M$15,CHOOSE(ArtifactsInput!$N$15+1,25,30,35,40,45,50)/100*(Inputs!$B$11-Inputs!$B$11),0))))/100+(Inputs!$B$23+((C975=TRUE)*(F975-Calc!F24))+(IF(ArtifactsInput!$M$15,CHOOSE(ArtifactsInput!$N$15+1,25,30,35,40,45,50)/100*(Inputs!$B$11-Inputs!$B$11),0)))/100)/2</f>
        <v/>
      </c>
      <c r="M961">
        <f>L961*(1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1">
        <f>L961*(1-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1">
        <f>(1-Summary!$B$11)*T961+Summary!$B$11*V961</f>
        <v/>
      </c>
      <c r="P961">
        <f>IF(B988=0,0,O961/B988)</f>
        <v/>
      </c>
      <c r="Q961">
        <f>IFERROR(1/(IF(Inputs!$B$38="pvp",15,MAX(0.1,Skills!D10-IF(Skills!E10=TRUE,Inputs!$B$32,0)))*(1-IF(AND(ArtifactsInput!$M$27,Inputs!$B$4="Chapter Hunt"),CHOOSE(ArtifactsInput!$N$27+1,20,24,28,32,36,40),0)/100)),0)</f>
        <v/>
      </c>
      <c r="R961">
        <f>IF(AND(Inputs!$B$38&lt;&gt;"pvp",Inputs!$B$43&gt;0),IF(MAX(0,Inputs!$B$43-B985)&lt;=0,0,(INT(MAX(0,Inputs!$B$43-B985)/(IF(Inputs!$B$38="pvp",15,MAX(0.1,Skills!D10-IF(Skills!E10=TRUE,Inputs!$B$32,0)))*(1-IF(AND(ArtifactsInput!$M$27,Inputs!$B$4="Chapter Hunt"),CHOOSE(ArtifactsInput!$N$27+1,20,24,28,32,36,40),0)/100)))+1)),0)</f>
        <v/>
      </c>
      <c r="S961">
        <f>IFERROR(O961/N961,0)</f>
        <v/>
      </c>
      <c r="T961">
        <f>IF(C961,(H961*N961*IF(AND(Inputs!$B$38&lt;&gt;"pvp",Inputs!$B$43&gt;0),((Skills!G10*((R961-1)*IF(Skills!H10&gt;0,Skills!I10/Skills!H10,1)+IF(Skills!H10&gt;0,MIN(Skills!I10,MAX(0,MAX(0,Inputs!$B$43-B985)-((R961-1)*(IF(Inputs!$B$38="pvp",15,MAX(0.1,Skills!D10-IF(Skills!E10=TRUE,Inputs!$B$32,0)))*(1-IF(AND(ArtifactsInput!$M$27,Inputs!$B$4="Chapter Hunt"),CHOOSE(ArtifactsInput!$N$27+1,20,24,28,32,36,40),0)/100)))))/Skills!H10,1)))/Inputs!$B$43),G961*Q961)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961*(1-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961*(1-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1">
        <f>IF(C961,(H961*N961*IF(AND(Inputs!$B$38&lt;&gt;"pvp",Inputs!$B$43&gt;0),((Skills!G10*((R961-1)*IF(Skills!H10&gt;0,Skills!I10/Skills!H10,1)+IF(Skills!H10&gt;0,MIN(Skills!I10,MAX(0,MAX(0,Inputs!$B$43-B985)-((R961-1)*(IF(Inputs!$B$38="pvp",15,MAX(0.1,Skills!D10-IF(Skills!E10=TRUE,Inputs!$B$32,0)))*(1-IF(AND(ArtifactsInput!$M$27,Inputs!$B$4="Chapter Hunt"),CHOOSE(ArtifactsInput!$N$27+1,20,24,28,32,36,40),0)/100)))))/Skills!H10,1)))/Inputs!$B$43),G961*Q961))*IF(Inputs!$B$38="pvp",1,(1+(Inputs!$B$21+Skills!Q10+(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2">
      <c r="A962">
        <f>Skills!A11</f>
        <v/>
      </c>
      <c r="B962">
        <f>Skills!B11</f>
        <v/>
      </c>
      <c r="C962">
        <f>Inputs!$B$3&gt;=63</f>
        <v/>
      </c>
      <c r="D962">
        <f>IF(Skills!C11=1,60+Inputs!$B$25+Inputs!$B$29,IF(Skills!C11=2,90+Inputs!$B$26+Inputs!$B$29,IF(Skills!C11=3,120+Inputs!$B$27+Inputs!$B$29,MAX(0,(Inputs!$B$3-100)*3)+Inputs!$B$28+Inputs!$B$29)))</f>
        <v/>
      </c>
      <c r="E962">
        <f>INDEX(FactorTable!$B$2:$Y$301, MATCH(ROUND(MIN(300,MAX(1,D962)),0), FactorTable!$A$2:$A$301,0), Skills!M11+1)</f>
        <v/>
      </c>
      <c r="F962">
        <f>IF(Skills!N11=TRUE,(Skills!L11/10)*(E962/1000),Skills!L11/10)+Skills!O11</f>
        <v/>
      </c>
      <c r="G962">
        <f>Skills!G11*IF(Skills!H11&gt;0,Skills!I11/Skills!H11,1)</f>
        <v/>
      </c>
      <c r="H962">
        <f>1-(1-Skills!J11/100)^Skills!K11</f>
        <v/>
      </c>
      <c r="I962" t="inlineStr">
        <is>
          <t>1</t>
        </is>
      </c>
      <c r="J962">
        <f>((Inputs!$B$6*(1+(Inputs!$B$7+1)/100))+(((Inputs!$B$12*(1+Inputs!$B$13/100))-(Inputs!$B$12*(1+Inputs!$B$13/100)))+0.25*(Inputs!$B$14-Inputs!$B$14))*(1+(Inputs!$B$7+1)/100))*(F962/100)</f>
        <v/>
      </c>
      <c r="K962">
        <f>J962*(1+((Inputs!$B$12*(1+Inputs!$B$13/100))*0.01+Inputs!$B$14*0.0025)/100)*(1+Inputs!$B$15/100)*(1+Inputs!$B$16/100)*(5000/(6000+Inputs!$B$42*(1-(Inputs!$B$19+0)/100)))*(1+(Inputs!$B$24+0+B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963=TRUE,F963,0)/100)*(1+(IF(Skills!A11="BLAST",Inputs!$B$17+((C972=TRUE)*(F972-Calc!F21))+((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MIN(100,((Inputs!$B$9+0+B978+(ArtifactsInput!$M$24-ArtifactsInput!$M$24)*CHOOSE(ArtifactsInput!$N$24+1,10,12,14,16,18,20)+IF(ArtifactsInput!$M$10,CHOOSE(ArtifactsInput!$N$10+1,15,18,21,24,27,30)*(IF(Inputs!$B$38="pvp",MIN(15,15)/15,IF(AND(Inputs!$B$38&lt;&gt;"pvp",Inputs!$B$43&gt;0),MIN(15,Inputs!$B$43)/(Inputs!$B$43),0))),0)))-100),0))*CHOOSE(ArtifactsInput!$N$42+1,0.6,0.72,0.84,0.96,1.08,1.2))),Inputs!$B$18+((C974=TRUE)*(F974-Calc!F23))+(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gt;=100),CHOOSE(ArtifactsInput!$N$42+1,40,48,56,64,72,80),0))))/100)*((1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962)</f>
        <v/>
      </c>
      <c r="L962">
        <f>K962*(MIN(Inputs!$B$22+((C973=TRUE)*(F973-Calc!F22)),(Inputs!$B$23+((C975=TRUE)*(F975-Calc!F24))+(IF(ArtifactsInput!$M$15,CHOOSE(ArtifactsInput!$N$15+1,25,30,35,40,45,50)/100*(Inputs!$B$11-Inputs!$B$11),0))))/100+(Inputs!$B$23+((C975=TRUE)*(F975-Calc!F24))+(IF(ArtifactsInput!$M$15,CHOOSE(ArtifactsInput!$N$15+1,25,30,35,40,45,50)/100*(Inputs!$B$11-Inputs!$B$11),0)))/100)/2</f>
        <v/>
      </c>
      <c r="M962">
        <f>L962*(1+(Inputs!$B$10+0+B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62">
        <f>L962*(1-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962*(MIN((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62">
        <f>(1-Summary!$B$11)*T962+Summary!$B$11*V962</f>
        <v/>
      </c>
      <c r="P962">
        <f>IF(B988=0,0,O962/B988)</f>
        <v/>
      </c>
      <c r="Q962">
        <f>IFERROR(1/(IF(Inputs!$B$38="pvp",15,MAX(0.1,Skills!D11-IF(Skills!E11=TRUE,Inputs!$B$32,0)))*(1-IF(AND(ArtifactsInput!$M$27,Inputs!$B$4="Chapter Hunt"),CHOOSE(ArtifactsInput!$N$27+1,20,24,28,32,36,40),0)/100)),0)</f>
        <v/>
      </c>
      <c r="R962">
        <f>IF(AND(Inputs!$B$38&lt;&gt;"pvp",Inputs!$B$43&gt;0),IF(MAX(0,Inputs!$B$43-B985)&lt;=0,0,(INT(MAX(0,Inputs!$B$43-B985)/(IF(Inputs!$B$38="pvp",15,MAX(0.1,Skills!D11-IF(Skills!E11=TRUE,Inputs!$B$32,0)))*(1-IF(AND(ArtifactsInput!$M$27,Inputs!$B$4="Chapter Hunt"),CHOOSE(ArtifactsInput!$N$27+1,20,24,28,32,36,40),0)/100)))+1)),0)</f>
        <v/>
      </c>
      <c r="S962">
        <f>IFERROR(O962/N962,0)</f>
        <v/>
      </c>
      <c r="T962">
        <f>IF(C962,(H962*N962*IF(AND(Inputs!$B$38&lt;&gt;"pvp",Inputs!$B$43&gt;0),((Skills!G11*((R962-1)*IF(Skills!H11&gt;0,Skills!I11/Skills!H11,1)+IF(Skills!H11&gt;0,MIN(Skills!I11,MAX(0,MAX(0,Inputs!$B$43-B985)-((R962-1)*(IF(Inputs!$B$38="pvp",15,MAX(0.1,Skills!D11-IF(Skills!E11=TRUE,Inputs!$B$32,0)))*(1-IF(AND(ArtifactsInput!$M$27,Inputs!$B$4="Chapter Hunt"),CHOOSE(ArtifactsInput!$N$27+1,20,24,28,32,36,40),0)/100)))))/Skills!H11,1)))/Inputs!$B$43),G962*Q962)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962*(1-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962*(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962*(1-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962*(MIN(100,(Inputs!$B$9+0+B978+(ArtifactsInput!$M$24-ArtifactsInput!$M$24)*CHOOSE(ArtifactsInput!$N$24+1,10,12,14,16,18,20)+(IF(AND(Inputs!$B$38&lt;&gt;"pvp",Inputs!$B$43=0),1,IF(IF(Inputs!$B$38="pvp",15,Inputs!$B$43)-(B985)&lt;=0,1,MAX(0,IF(Inputs!$B$38="pvp",15,Inputs!$B$43)-MAX(5,B985))/(IF(Inputs!$B$38="pvp",15,Inputs!$B$43)-(B985))))*IF(AND(ArtifactsInput!$M$42,((Inputs!$B$9+0+B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62">
        <f>IF(C962,(H962*N962*IF(AND(Inputs!$B$38&lt;&gt;"pvp",Inputs!$B$43&gt;0),((Skills!G11*((R962-1)*IF(Skills!H11&gt;0,Skills!I11/Skills!H11,1)+IF(Skills!H11&gt;0,MIN(Skills!I11,MAX(0,MAX(0,Inputs!$B$43-B985)-((R962-1)*(IF(Inputs!$B$38="pvp",15,MAX(0.1,Skills!D11-IF(Skills!E11=TRUE,Inputs!$B$32,0)))*(1-IF(AND(ArtifactsInput!$M$27,Inputs!$B$4="Chapter Hunt"),CHOOSE(ArtifactsInput!$N$27+1,20,24,28,32,36,40),0)/100)))))/Skills!H11,1)))/Inputs!$B$43),G962*Q962))*IF(Inputs!$B$38="pvp",1,(1+(Inputs!$B$21+Skills!Q11+(IF(ArtifactsInput!$M$33,CHOOSE(ArtifactsInput!$N$33+1,30,36,42,48,54,60),0))+(IF(AND(ArtifactsInput!$M$35,Inputs!$B$4&lt;&gt;"Chapter Hunt"),CHOOSE(ArtifactsInput!$N$35+1,15,18,21,24,27,30)*(1-EXP(-(0.2*B980)*5)),0)+IF(AND(ArtifactsInput!$M$22,Inputs!$B$4&lt;&gt;"Chapter Hunt"),CHOOSE(ArtifactsInput!$N$22+1,10,12,14,16,18,20)*((0*(((0.15*B980*5))^0/1)+1*(((0.15*B980*5))^1/1)+2*(((0.15*B980*5))^2/2)+3*(((0.15*B980*5))^3/6)+4*(((0.15*B980*5))^4/24)+5*(((0.15*B980*5))^5/120))/((((0.15*B980*5))^0/1)+(((0.15*B980*5))^1/1)+(((0.15*B980*5))^2/2)+(((0.15*B980*5))^3/6)+(((0.15*B980*5))^4/24)+(((0.15*B980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63">
      <c r="A963">
        <f>Skills!A12</f>
        <v/>
      </c>
      <c r="B963">
        <f>Skills!B12</f>
        <v/>
      </c>
      <c r="C963">
        <f>Inputs!$B$3&gt;=100</f>
        <v/>
      </c>
      <c r="D963">
        <f>IF(Skills!C12=1,60+Inputs!$B$25+Inputs!$B$29,IF(Skills!C12=2,90+Inputs!$B$26+Inputs!$B$29,IF(Skills!C12=3,120+Inputs!$B$27+Inputs!$B$29,MAX(0,(Inputs!$B$3-100)*3)+Inputs!$B$28+Inputs!$B$29)))</f>
        <v/>
      </c>
      <c r="E963">
        <f>INDEX(FactorTable!$B$2:$Y$301, MATCH(ROUND(MIN(300,MAX(1,D963)),0), FactorTable!$A$2:$A$301,0), Skills!M12+1)</f>
        <v/>
      </c>
      <c r="F963">
        <f>IF(Skills!N12=TRUE,(Skills!L12/10)*(E963/1000),Skills!L12/10)+Skills!O12</f>
        <v/>
      </c>
      <c r="G963" t="inlineStr"/>
      <c r="H963" t="inlineStr"/>
      <c r="I963" t="inlineStr">
        <is>
          <t>1</t>
        </is>
      </c>
      <c r="J963" t="inlineStr"/>
      <c r="K963" t="inlineStr"/>
      <c r="L963" t="inlineStr"/>
      <c r="M963" t="inlineStr"/>
      <c r="N963" t="inlineStr"/>
      <c r="O963" t="inlineStr"/>
      <c r="P963" t="inlineStr"/>
      <c r="Q963" t="inlineStr"/>
      <c r="R963" t="inlineStr"/>
      <c r="S963" t="inlineStr"/>
    </row>
    <row r="964">
      <c r="A964">
        <f>Skills!A13</f>
        <v/>
      </c>
      <c r="B964">
        <f>Skills!B13</f>
        <v/>
      </c>
      <c r="C964">
        <f>Inputs!$B$3&gt;=45</f>
        <v/>
      </c>
      <c r="D964">
        <f>IF(Skills!C13=1,60+Inputs!$B$25+Inputs!$B$29,IF(Skills!C13=2,90+Inputs!$B$26+Inputs!$B$29,IF(Skills!C13=3,120+Inputs!$B$27+Inputs!$B$29,MAX(0,(Inputs!$B$3-100)*3)+Inputs!$B$28+Inputs!$B$29)))</f>
        <v/>
      </c>
      <c r="E964">
        <f>INDEX(FactorTable!$B$2:$Y$301, MATCH(ROUND(MIN(300,MAX(1,D964)),0), FactorTable!$A$2:$A$301,0), Skills!M13+1)</f>
        <v/>
      </c>
      <c r="F964">
        <f>IF(Skills!N13=TRUE,(Skills!L13/10)*(E964/1000),Skills!L13/10)+Skills!O13</f>
        <v/>
      </c>
      <c r="G964">
        <f>Skills!G13*IF(Skills!H13&gt;0,Skills!I13/Skills!H13,1)</f>
        <v/>
      </c>
      <c r="H964">
        <f>1-(1-Skills!J13/100)^Skills!K13</f>
        <v/>
      </c>
      <c r="I964" t="inlineStr">
        <is>
          <t>1</t>
        </is>
      </c>
      <c r="J964" t="inlineStr"/>
      <c r="K964" t="inlineStr"/>
      <c r="L964" t="inlineStr"/>
      <c r="M964" t="inlineStr"/>
      <c r="N964" t="inlineStr"/>
      <c r="O964">
        <f>(1-Summary!$B$11)*T964+Summary!$B$11*V964</f>
        <v/>
      </c>
      <c r="P964">
        <f>IF(B988=0,0,O964/B988)</f>
        <v/>
      </c>
      <c r="Q964" t="n">
        <v>0</v>
      </c>
      <c r="R964" t="n">
        <v>0</v>
      </c>
      <c r="S964">
        <f>IFERROR(O964/N964,0)</f>
        <v/>
      </c>
      <c r="T964" t="n">
        <v>0</v>
      </c>
      <c r="V964" t="n">
        <v>0</v>
      </c>
    </row>
    <row r="965">
      <c r="A965">
        <f>Skills!A14</f>
        <v/>
      </c>
      <c r="B965">
        <f>Skills!B14</f>
        <v/>
      </c>
      <c r="C965">
        <f>Inputs!$B$3&gt;=110</f>
        <v/>
      </c>
      <c r="D965">
        <f>IF(Skills!C14=1,60+Inputs!$B$25+Inputs!$B$29,IF(Skills!C14=2,90+Inputs!$B$26+Inputs!$B$29,IF(Skills!C14=3,120+Inputs!$B$27+Inputs!$B$29,MAX(0,(Inputs!$B$3-100)*3)+Inputs!$B$28+Inputs!$B$29)))</f>
        <v/>
      </c>
      <c r="E965">
        <f>INDEX(FactorTable!$B$2:$Y$301, MATCH(ROUND(MIN(300,MAX(1,D965)),0), FactorTable!$A$2:$A$301,0), Skills!M14+1)</f>
        <v/>
      </c>
      <c r="F965">
        <f>IF(Skills!N14=TRUE,(Skills!L14/10)*(E965/1000),Skills!L14/10)+Skills!O14</f>
        <v/>
      </c>
      <c r="G965">
        <f>Skills!G14*IF(Skills!H14&gt;0,Skills!I14/Skills!H14,1)</f>
        <v/>
      </c>
      <c r="H965">
        <f>1-(1-Skills!J14/100)^Skills!K14</f>
        <v/>
      </c>
      <c r="I965" t="inlineStr">
        <is>
          <t>1</t>
        </is>
      </c>
      <c r="J965" t="inlineStr"/>
      <c r="K965" t="inlineStr"/>
      <c r="L965" t="inlineStr"/>
      <c r="M965" t="inlineStr"/>
      <c r="N965" t="inlineStr"/>
      <c r="O965">
        <f>(1-Summary!$B$11)*T965+Summary!$B$11*V965</f>
        <v/>
      </c>
      <c r="P965">
        <f>IF(B988=0,0,O965/B988)</f>
        <v/>
      </c>
      <c r="Q965" t="n">
        <v>0</v>
      </c>
      <c r="R965" t="n">
        <v>0</v>
      </c>
      <c r="S965">
        <f>IFERROR(O965/N965,0)</f>
        <v/>
      </c>
      <c r="T965" t="n">
        <v>0</v>
      </c>
      <c r="V965" t="n">
        <v>0</v>
      </c>
    </row>
    <row r="966">
      <c r="A966">
        <f>Skills!A15</f>
        <v/>
      </c>
      <c r="B966">
        <f>Skills!B15</f>
        <v/>
      </c>
      <c r="C966">
        <f>Inputs!$B$3&gt;=75</f>
        <v/>
      </c>
      <c r="D966">
        <f>IF(Skills!C15=1,60+Inputs!$B$25+Inputs!$B$29,IF(Skills!C15=2,90+Inputs!$B$26+Inputs!$B$29,IF(Skills!C15=3,120+Inputs!$B$27+Inputs!$B$29,MAX(0,(Inputs!$B$3-100)*3)+Inputs!$B$28+Inputs!$B$29)))</f>
        <v/>
      </c>
      <c r="E966">
        <f>INDEX(FactorTable!$B$2:$Y$301, MATCH(ROUND(MIN(300,MAX(1,D966)),0), FactorTable!$A$2:$A$301,0), Skills!M15+1)</f>
        <v/>
      </c>
      <c r="F966">
        <f>IF(Skills!N15=TRUE,(Skills!L15/10)*(E966/1000),Skills!L15/10)+Skills!O15</f>
        <v/>
      </c>
      <c r="G966">
        <f>Skills!G15*IF(Skills!H15&gt;0,Skills!I15/Skills!H15,1)</f>
        <v/>
      </c>
      <c r="H966">
        <f>1-(1-Skills!J15/100)^Skills!K15</f>
        <v/>
      </c>
      <c r="I966" t="inlineStr">
        <is>
          <t>1</t>
        </is>
      </c>
      <c r="J966" t="inlineStr"/>
      <c r="K966" t="inlineStr"/>
      <c r="L966" t="inlineStr"/>
      <c r="M966" t="inlineStr"/>
      <c r="N966" t="inlineStr"/>
      <c r="O966">
        <f>(1-Summary!$B$11)*T966+Summary!$B$11*V966</f>
        <v/>
      </c>
      <c r="P966">
        <f>IF(B988=0,0,O966/B988)</f>
        <v/>
      </c>
      <c r="Q966">
        <f>IFERROR(1/(IF(Inputs!$B$38="pvp",15,MAX(0.1,Skills!D15-IF(Skills!E15=TRUE,Inputs!$B$32,0)))*(1-IF(AND(ArtifactsInput!$M$27,Inputs!$B$4="Chapter Hunt"),CHOOSE(ArtifactsInput!$N$27+1,20,24,28,32,36,40),0)/100)),0)</f>
        <v/>
      </c>
      <c r="R966">
        <f>IF(AND(Inputs!$B$38&lt;&gt;"pvp",Inputs!$B$43&gt;0),IF(Inputs!$B$43&lt;=0,0,(INT(Inputs!$B$43/(IF(Inputs!$B$38="pvp",15,MAX(0.1,Skills!D15-IF(Skills!E15=TRUE,Inputs!$B$32,0)))*(1-IF(AND(ArtifactsInput!$M$27,Inputs!$B$4="Chapter Hunt"),CHOOSE(ArtifactsInput!$N$27+1,20,24,28,32,36,40),0)/100)))+1)),0)</f>
        <v/>
      </c>
      <c r="S966">
        <f>IFERROR(O966/N966,0)</f>
        <v/>
      </c>
      <c r="T966" t="n">
        <v>0</v>
      </c>
      <c r="V966" t="n">
        <v>0</v>
      </c>
    </row>
    <row r="967">
      <c r="A967">
        <f>Skills!A16</f>
        <v/>
      </c>
      <c r="B967">
        <f>Skills!B16</f>
        <v/>
      </c>
      <c r="C967">
        <f>Inputs!$B$3&gt;=105</f>
        <v/>
      </c>
      <c r="D967">
        <f>IF(Skills!C16=1,60+Inputs!$B$25+Inputs!$B$29,IF(Skills!C16=2,90+Inputs!$B$26+Inputs!$B$29,IF(Skills!C16=3,120+Inputs!$B$27+Inputs!$B$29,MAX(0,(Inputs!$B$3-100)*3)+Inputs!$B$28+Inputs!$B$29)))</f>
        <v/>
      </c>
      <c r="E967">
        <f>INDEX(FactorTable!$B$2:$Y$301, MATCH(ROUND(MIN(300,MAX(1,D967)),0), FactorTable!$A$2:$A$301,0), Skills!M16+1)</f>
        <v/>
      </c>
      <c r="F967">
        <f>IF(Skills!N16=TRUE,(Skills!L16/10)*(E967/1000),Skills!L16/10)+Skills!O16</f>
        <v/>
      </c>
      <c r="G967">
        <f>Skills!G16*IF(Skills!H16&gt;0,Skills!I16/Skills!H16,1)</f>
        <v/>
      </c>
      <c r="H967">
        <f>1-(1-Skills!J16/100)^Skills!K16</f>
        <v/>
      </c>
      <c r="I967" t="inlineStr">
        <is>
          <t>1</t>
        </is>
      </c>
      <c r="J967" t="inlineStr"/>
      <c r="K967" t="inlineStr"/>
      <c r="L967" t="inlineStr"/>
      <c r="M967" t="inlineStr"/>
      <c r="N967" t="inlineStr"/>
      <c r="O967">
        <f>(1-Summary!$B$11)*T967+Summary!$B$11*V967</f>
        <v/>
      </c>
      <c r="P967">
        <f>IF(B988=0,0,O967/B988)</f>
        <v/>
      </c>
      <c r="Q967">
        <f>IFERROR(1/(IF(Inputs!$B$38="pvp",15,MAX(0.1,Skills!D16-IF(Skills!E16=TRUE,Inputs!$B$32,0)))*(1-IF(AND(ArtifactsInput!$M$27,Inputs!$B$4="Chapter Hunt"),CHOOSE(ArtifactsInput!$N$27+1,20,24,28,32,36,40),0)/100)),0)</f>
        <v/>
      </c>
      <c r="R967">
        <f>IF(AND(Inputs!$B$38&lt;&gt;"pvp",Inputs!$B$43&gt;0),IF(Inputs!$B$43&lt;=0,0,(INT(Inputs!$B$43/(IF(Inputs!$B$38="pvp",15,MAX(0.1,Skills!D16-IF(Skills!E16=TRUE,Inputs!$B$32,0)))*(1-IF(AND(ArtifactsInput!$M$27,Inputs!$B$4="Chapter Hunt"),CHOOSE(ArtifactsInput!$N$27+1,20,24,28,32,36,40),0)/100)))+1)),0)</f>
        <v/>
      </c>
      <c r="S967">
        <f>IFERROR(O967/N967,0)</f>
        <v/>
      </c>
      <c r="T967" t="n">
        <v>0</v>
      </c>
      <c r="V967" t="n">
        <v>0</v>
      </c>
    </row>
    <row r="968">
      <c r="A968">
        <f>Skills!A17</f>
        <v/>
      </c>
      <c r="B968">
        <f>Skills!B17</f>
        <v/>
      </c>
      <c r="C968">
        <f>Inputs!$B$3&gt;=115</f>
        <v/>
      </c>
      <c r="D968">
        <f>IF(Skills!C17=1,60+Inputs!$B$25+Inputs!$B$29,IF(Skills!C17=2,90+Inputs!$B$26+Inputs!$B$29,IF(Skills!C17=3,120+Inputs!$B$27+Inputs!$B$29,MAX(0,(Inputs!$B$3-100)*3)+Inputs!$B$28+Inputs!$B$29)))</f>
        <v/>
      </c>
      <c r="E968">
        <f>INDEX(FactorTable!$B$2:$Y$301, MATCH(ROUND(MIN(300,MAX(1,D968)),0), FactorTable!$A$2:$A$301,0), Skills!M17+1)</f>
        <v/>
      </c>
      <c r="F968">
        <f>IF(Skills!N17=TRUE,(Skills!L17/10)*(E968/1000),Skills!L17/10)+Skills!O17</f>
        <v/>
      </c>
      <c r="G968">
        <f>Skills!G17*IF(Skills!H17&gt;0,Skills!I17/Skills!H17,1)</f>
        <v/>
      </c>
      <c r="H968">
        <f>1-(1-Skills!J17/100)^Skills!K17</f>
        <v/>
      </c>
      <c r="I968" t="inlineStr">
        <is>
          <t>1</t>
        </is>
      </c>
      <c r="J968" t="inlineStr"/>
      <c r="K968" t="inlineStr"/>
      <c r="L968" t="inlineStr"/>
      <c r="M968" t="inlineStr"/>
      <c r="N968" t="inlineStr"/>
      <c r="O968">
        <f>(1-Summary!$B$11)*T968+Summary!$B$11*V968</f>
        <v/>
      </c>
      <c r="P968">
        <f>IF(B988=0,0,O968/B988)</f>
        <v/>
      </c>
      <c r="Q968">
        <f>IFERROR(1/(IF(Inputs!$B$38="pvp",15,MAX(0.1,Skills!D17-IF(Skills!E17=TRUE,Inputs!$B$32,0)))*(1-IF(AND(ArtifactsInput!$M$27,Inputs!$B$4="Chapter Hunt"),CHOOSE(ArtifactsInput!$N$27+1,20,24,28,32,36,40),0)/100)),0)</f>
        <v/>
      </c>
      <c r="R968">
        <f>IF(AND(Inputs!$B$38&lt;&gt;"pvp",Inputs!$B$43&gt;0),IF(Inputs!$B$43&lt;=0,0,(INT(Inputs!$B$43/(IF(Inputs!$B$38="pvp",15,MAX(0.1,Skills!D17-IF(Skills!E17=TRUE,Inputs!$B$32,0)))*(1-IF(AND(ArtifactsInput!$M$27,Inputs!$B$4="Chapter Hunt"),CHOOSE(ArtifactsInput!$N$27+1,20,24,28,32,36,40),0)/100)))+1)),0)</f>
        <v/>
      </c>
      <c r="S968">
        <f>IFERROR(O968/N968,0)</f>
        <v/>
      </c>
      <c r="T968" t="n">
        <v>0</v>
      </c>
      <c r="V968" t="n">
        <v>0</v>
      </c>
    </row>
    <row r="969">
      <c r="A969">
        <f>Skills!A18</f>
        <v/>
      </c>
      <c r="B969">
        <f>Skills!B18</f>
        <v/>
      </c>
      <c r="C969">
        <f>Inputs!$B$3&gt;=74</f>
        <v/>
      </c>
      <c r="D969">
        <f>IF(Skills!C18=1,60+Inputs!$B$25+Inputs!$B$29,IF(Skills!C18=2,90+Inputs!$B$26+Inputs!$B$29,IF(Skills!C18=3,120+Inputs!$B$27+Inputs!$B$29,MAX(0,(Inputs!$B$3-100)*3)+Inputs!$B$28+Inputs!$B$29)))</f>
        <v/>
      </c>
      <c r="E969">
        <f>INDEX(FactorTable!$B$2:$Y$301, MATCH(ROUND(MIN(300,MAX(1,D969)),0), FactorTable!$A$2:$A$301,0), Skills!M18+1)</f>
        <v/>
      </c>
      <c r="F969">
        <f>IF(Skills!N18=TRUE,(Skills!L18/10)*(E969/1000),Skills!L18/10)+Skills!O18</f>
        <v/>
      </c>
      <c r="G969">
        <f>Skills!G18*IF(Skills!H18&gt;0,Skills!I18/Skills!H18,1)</f>
        <v/>
      </c>
      <c r="H969">
        <f>1-(1-Skills!J18/100)^Skills!K18</f>
        <v/>
      </c>
      <c r="I969" t="inlineStr">
        <is>
          <t>1</t>
        </is>
      </c>
      <c r="J969" t="inlineStr"/>
      <c r="K969" t="inlineStr"/>
      <c r="L969" t="inlineStr"/>
      <c r="M969" t="inlineStr"/>
      <c r="N969" t="inlineStr"/>
      <c r="O969">
        <f>(1-Summary!$B$11)*T969+Summary!$B$11*V969</f>
        <v/>
      </c>
      <c r="P969">
        <f>IF(B988=0,0,O969/B988)</f>
        <v/>
      </c>
      <c r="Q969">
        <f>IFERROR(1/(IF(Inputs!$B$38="pvp",15,MAX(0.1,Skills!D18-IF(Skills!E18=TRUE,Inputs!$B$32,0)))*(1-IF(AND(ArtifactsInput!$M$27,Inputs!$B$4="Chapter Hunt"),CHOOSE(ArtifactsInput!$N$27+1,20,24,28,32,36,40),0)/100)),0)</f>
        <v/>
      </c>
      <c r="R969">
        <f>IF(AND(Inputs!$B$38&lt;&gt;"pvp",Inputs!$B$43&gt;0),IF(Inputs!$B$43&lt;=0,0,(INT(Inputs!$B$43/(IF(Inputs!$B$38="pvp",15,MAX(0.1,Skills!D18-IF(Skills!E18=TRUE,Inputs!$B$32,0)))*(1-IF(AND(ArtifactsInput!$M$27,Inputs!$B$4="Chapter Hunt"),CHOOSE(ArtifactsInput!$N$27+1,20,24,28,32,36,40),0)/100)))+1)),0)</f>
        <v/>
      </c>
      <c r="S969">
        <f>IFERROR(O969/N969,0)</f>
        <v/>
      </c>
      <c r="T969" t="n">
        <v>0</v>
      </c>
      <c r="V969" t="n">
        <v>0</v>
      </c>
    </row>
    <row r="970">
      <c r="A970">
        <f>Skills!A19</f>
        <v/>
      </c>
      <c r="B970">
        <f>Skills!B19</f>
        <v/>
      </c>
      <c r="C970">
        <f>TRUE</f>
        <v/>
      </c>
      <c r="D970">
        <f>IF(Skills!C19=1,60+Inputs!$B$25+Inputs!$B$29,IF(Skills!C19=2,90+Inputs!$B$26+Inputs!$B$29,IF(Skills!C19=3,120+Inputs!$B$27+Inputs!$B$29,MAX(0,(Inputs!$B$3-100)*3)+Inputs!$B$28+Inputs!$B$29)))</f>
        <v/>
      </c>
      <c r="E970">
        <f>INDEX(FactorTable!$B$2:$Y$301, MATCH(ROUND(MIN(300,MAX(1,D970)),0), FactorTable!$A$2:$A$301,0), Skills!M19+1)</f>
        <v/>
      </c>
      <c r="F970">
        <f>IF(Skills!N19=TRUE,(Skills!L19/10)*(E970/1000),Skills!L19/10)+Skills!O19</f>
        <v/>
      </c>
      <c r="G970">
        <f>Skills!G19*IF(Skills!H19&gt;0,Skills!I19/Skills!H19,1)</f>
        <v/>
      </c>
      <c r="H970">
        <f>1-(1-Skills!J19/100)^Skills!K19</f>
        <v/>
      </c>
      <c r="I970" t="inlineStr">
        <is>
          <t>1</t>
        </is>
      </c>
      <c r="J970" t="inlineStr"/>
      <c r="K970" t="inlineStr"/>
      <c r="L970" t="inlineStr"/>
      <c r="M970" t="inlineStr"/>
      <c r="N970" t="inlineStr"/>
      <c r="O970">
        <f>(1-Summary!$B$11)*T970+Summary!$B$11*V970</f>
        <v/>
      </c>
      <c r="P970">
        <f>IF(B988=0,0,O970/B988)</f>
        <v/>
      </c>
      <c r="Q970">
        <f>IFERROR(1/(IF(Inputs!$B$38="pvp",15,MAX(0.1,Skills!D19-IF(Skills!E19=TRUE,Inputs!$B$32,0)))*(1-IF(AND(ArtifactsInput!$M$27,Inputs!$B$4="Chapter Hunt"),CHOOSE(ArtifactsInput!$N$27+1,20,24,28,32,36,40),0)/100)),0)</f>
        <v/>
      </c>
      <c r="R970">
        <f>IF(AND(Inputs!$B$38&lt;&gt;"pvp",Inputs!$B$43&gt;0),IF(Inputs!$B$43&lt;=0,0,(INT(Inputs!$B$43/(IF(Inputs!$B$38="pvp",15,MAX(0.1,Skills!D19-IF(Skills!E19=TRUE,Inputs!$B$32,0)))*(1-IF(AND(ArtifactsInput!$M$27,Inputs!$B$4="Chapter Hunt"),CHOOSE(ArtifactsInput!$N$27+1,20,24,28,32,36,40),0)/100)))+1)),0)</f>
        <v/>
      </c>
      <c r="S970">
        <f>IFERROR(O970/N970,0)</f>
        <v/>
      </c>
      <c r="T970" t="n">
        <v>0</v>
      </c>
      <c r="V970" t="n">
        <v>0</v>
      </c>
    </row>
    <row r="971">
      <c r="A971">
        <f>Skills!A20</f>
        <v/>
      </c>
      <c r="B971">
        <f>Skills!B20</f>
        <v/>
      </c>
      <c r="C971">
        <f>Inputs!$B$3&gt;=33</f>
        <v/>
      </c>
      <c r="D971">
        <f>IF(Skills!C20=1,60+Inputs!$B$25+Inputs!$B$29,IF(Skills!C20=2,90+Inputs!$B$26+Inputs!$B$29,IF(Skills!C20=3,120+Inputs!$B$27+Inputs!$B$29,MAX(0,(Inputs!$B$3-100)*3)+Inputs!$B$28+Inputs!$B$29)))</f>
        <v/>
      </c>
      <c r="E971">
        <f>INDEX(FactorTable!$B$2:$Y$301, MATCH(ROUND(MIN(300,MAX(1,D971)),0), FactorTable!$A$2:$A$301,0), Skills!M20+1)</f>
        <v/>
      </c>
      <c r="F971">
        <f>IF(Skills!N20=TRUE,(Skills!L20/10)*(E971/1000),Skills!L20/10)+Skills!O20</f>
        <v/>
      </c>
      <c r="G971">
        <f>Skills!G20*IF(Skills!H20&gt;0,Skills!I20/Skills!H20,1)</f>
        <v/>
      </c>
      <c r="H971">
        <f>1-(1-Skills!J20/100)^Skills!K20</f>
        <v/>
      </c>
      <c r="I971" t="inlineStr">
        <is>
          <t>1</t>
        </is>
      </c>
      <c r="J971" t="inlineStr"/>
      <c r="K971" t="inlineStr"/>
      <c r="L971" t="inlineStr"/>
      <c r="M971" t="inlineStr"/>
      <c r="N971" t="inlineStr"/>
      <c r="O971">
        <f>(1-Summary!$B$11)*T971+Summary!$B$11*V971</f>
        <v/>
      </c>
      <c r="P971">
        <f>IF(B988=0,0,O971/B988)</f>
        <v/>
      </c>
      <c r="Q971" t="n">
        <v>0</v>
      </c>
      <c r="R971" t="n">
        <v>0</v>
      </c>
      <c r="S971">
        <f>IFERROR(O971/N971,0)</f>
        <v/>
      </c>
      <c r="T971" t="n">
        <v>0</v>
      </c>
      <c r="V971" t="n">
        <v>0</v>
      </c>
    </row>
    <row r="972">
      <c r="A972">
        <f>Skills!A21</f>
        <v/>
      </c>
      <c r="B972">
        <f>Skills!B21</f>
        <v/>
      </c>
      <c r="C972">
        <f>Inputs!$B$3&gt;=38</f>
        <v/>
      </c>
      <c r="D972">
        <f>IF(Skills!C21=1,60+Inputs!$B$25+Inputs!$B$29,IF(Skills!C21=2,90+Inputs!$B$26+Inputs!$B$29,IF(Skills!C21=3,120+Inputs!$B$27+Inputs!$B$29,MAX(0,(Inputs!$B$3-100)*3)+Inputs!$B$28+Inputs!$B$29)))</f>
        <v/>
      </c>
      <c r="E972">
        <f>INDEX(FactorTable!$B$2:$Y$301, MATCH(ROUND(MIN(300,MAX(1,D972)),0), FactorTable!$A$2:$A$301,0), Skills!M21+1)</f>
        <v/>
      </c>
      <c r="F972">
        <f>IF(Skills!N21=TRUE,(Skills!L21/10)*(E972/1000),Skills!L21/10)+Skills!O21</f>
        <v/>
      </c>
      <c r="G972">
        <f>Skills!G21*IF(Skills!H21&gt;0,Skills!I21/Skills!H21,1)</f>
        <v/>
      </c>
      <c r="H972">
        <f>1-(1-Skills!J21/100)^Skills!K21</f>
        <v/>
      </c>
      <c r="I972" t="inlineStr">
        <is>
          <t>1</t>
        </is>
      </c>
      <c r="J972" t="inlineStr"/>
      <c r="K972" t="inlineStr"/>
      <c r="L972" t="inlineStr"/>
      <c r="M972" t="inlineStr"/>
      <c r="N972" t="inlineStr"/>
      <c r="O972">
        <f>(1-Summary!$B$11)*T972+Summary!$B$11*V972</f>
        <v/>
      </c>
      <c r="P972">
        <f>IF(B988=0,0,O972/B988)</f>
        <v/>
      </c>
      <c r="Q972" t="n">
        <v>0</v>
      </c>
      <c r="R972" t="n">
        <v>0</v>
      </c>
      <c r="S972">
        <f>IFERROR(O972/N972,0)</f>
        <v/>
      </c>
      <c r="T972" t="n">
        <v>0</v>
      </c>
      <c r="V972" t="n">
        <v>0</v>
      </c>
    </row>
    <row r="973">
      <c r="A973">
        <f>Skills!A22</f>
        <v/>
      </c>
      <c r="B973">
        <f>Skills!B22</f>
        <v/>
      </c>
      <c r="C973">
        <f>Inputs!$B$3&gt;=43</f>
        <v/>
      </c>
      <c r="D973">
        <f>IF(Skills!C22=1,60+Inputs!$B$25+Inputs!$B$29,IF(Skills!C22=2,90+Inputs!$B$26+Inputs!$B$29,IF(Skills!C22=3,120+Inputs!$B$27+Inputs!$B$29,MAX(0,(Inputs!$B$3-100)*3)+Inputs!$B$28+Inputs!$B$29)))</f>
        <v/>
      </c>
      <c r="E973">
        <f>INDEX(FactorTable!$B$2:$Y$301, MATCH(ROUND(MIN(300,MAX(1,D973)),0), FactorTable!$A$2:$A$301,0), Skills!M22+1)</f>
        <v/>
      </c>
      <c r="F973">
        <f>IF(Skills!N22=TRUE,(Skills!L22/10)*(E973/1000),Skills!L22/10)+Skills!O22</f>
        <v/>
      </c>
      <c r="G973">
        <f>Skills!G22*IF(Skills!H22&gt;0,Skills!I22/Skills!H22,1)</f>
        <v/>
      </c>
      <c r="H973">
        <f>1-(1-Skills!J22/100)^Skills!K22</f>
        <v/>
      </c>
      <c r="I973" t="inlineStr">
        <is>
          <t>1</t>
        </is>
      </c>
      <c r="J973" t="inlineStr"/>
      <c r="K973" t="inlineStr"/>
      <c r="L973" t="inlineStr"/>
      <c r="M973" t="inlineStr"/>
      <c r="N973" t="inlineStr"/>
      <c r="O973">
        <f>(1-Summary!$B$11)*T973+Summary!$B$11*V973</f>
        <v/>
      </c>
      <c r="P973">
        <f>IF(B988=0,0,O973/B988)</f>
        <v/>
      </c>
      <c r="Q973" t="n">
        <v>0</v>
      </c>
      <c r="R973" t="n">
        <v>0</v>
      </c>
      <c r="S973">
        <f>IFERROR(O973/N973,0)</f>
        <v/>
      </c>
      <c r="T973" t="n">
        <v>0</v>
      </c>
      <c r="V973" t="n">
        <v>0</v>
      </c>
    </row>
    <row r="974">
      <c r="A974">
        <f>Skills!A23</f>
        <v/>
      </c>
      <c r="B974">
        <f>Skills!B23</f>
        <v/>
      </c>
      <c r="C974">
        <f>Inputs!$B$3&gt;=120</f>
        <v/>
      </c>
      <c r="D974">
        <f>IF(Skills!C23=1,60+Inputs!$B$25+Inputs!$B$29,IF(Skills!C23=2,90+Inputs!$B$26+Inputs!$B$29,IF(Skills!C23=3,120+Inputs!$B$27+Inputs!$B$29,MAX(0,(Inputs!$B$3-100)*3)+Inputs!$B$28+Inputs!$B$29)))</f>
        <v/>
      </c>
      <c r="E974">
        <f>INDEX(FactorTable!$B$2:$Y$301, MATCH(ROUND(MIN(300,MAX(1,D974)),0), FactorTable!$A$2:$A$301,0), Skills!M23+1)</f>
        <v/>
      </c>
      <c r="F974">
        <f>IF(Skills!N23=TRUE,(Skills!L23/10)*(E974/1000),Skills!L23/10)+Skills!O23</f>
        <v/>
      </c>
      <c r="G974">
        <f>Skills!G23*IF(Skills!H23&gt;0,Skills!I23/Skills!H23,1)</f>
        <v/>
      </c>
      <c r="H974">
        <f>1-(1-Skills!J23/100)^Skills!K23</f>
        <v/>
      </c>
      <c r="I974" t="inlineStr">
        <is>
          <t>1</t>
        </is>
      </c>
      <c r="J974" t="inlineStr"/>
      <c r="K974" t="inlineStr"/>
      <c r="L974" t="inlineStr"/>
      <c r="M974" t="inlineStr"/>
      <c r="N974" t="inlineStr"/>
      <c r="O974">
        <f>(1-Summary!$B$11)*T974+Summary!$B$11*V974</f>
        <v/>
      </c>
      <c r="P974">
        <f>IF(B988=0,0,O974/B988)</f>
        <v/>
      </c>
      <c r="Q974" t="n">
        <v>0</v>
      </c>
      <c r="R974" t="n">
        <v>0</v>
      </c>
      <c r="S974">
        <f>IFERROR(O974/N974,0)</f>
        <v/>
      </c>
      <c r="T974" t="n">
        <v>0</v>
      </c>
      <c r="V974" t="n">
        <v>0</v>
      </c>
    </row>
    <row r="975">
      <c r="A975">
        <f>Skills!A24</f>
        <v/>
      </c>
      <c r="B975">
        <f>Skills!B24</f>
        <v/>
      </c>
      <c r="C975">
        <f>Inputs!$B$3&gt;=120</f>
        <v/>
      </c>
      <c r="D975">
        <f>IF(Skills!C24=1,60+Inputs!$B$25+Inputs!$B$29,IF(Skills!C24=2,90+Inputs!$B$26+Inputs!$B$29,IF(Skills!C24=3,120+Inputs!$B$27+Inputs!$B$29,MAX(0,(Inputs!$B$3-100)*3)+Inputs!$B$28+Inputs!$B$29)))</f>
        <v/>
      </c>
      <c r="E975">
        <f>INDEX(FactorTable!$B$2:$Y$301, MATCH(ROUND(MIN(300,MAX(1,D975)),0), FactorTable!$A$2:$A$301,0), Skills!M24+1)</f>
        <v/>
      </c>
      <c r="F975">
        <f>IF(Skills!N24=TRUE,(Skills!L24/10)*(E975/1000),Skills!L24/10)+Skills!O24</f>
        <v/>
      </c>
      <c r="G975">
        <f>Skills!G24*IF(Skills!H24&gt;0,Skills!I24/Skills!H24,1)</f>
        <v/>
      </c>
      <c r="H975">
        <f>1-(1-Skills!J24/100)^Skills!K24</f>
        <v/>
      </c>
      <c r="I975" t="inlineStr">
        <is>
          <t>1</t>
        </is>
      </c>
      <c r="J975" t="inlineStr"/>
      <c r="K975" t="inlineStr"/>
      <c r="L975" t="inlineStr"/>
      <c r="M975" t="inlineStr"/>
      <c r="N975" t="inlineStr"/>
      <c r="O975">
        <f>(1-Summary!$B$11)*T975+Summary!$B$11*V975</f>
        <v/>
      </c>
      <c r="P975">
        <f>IF(B988=0,0,O975/B988)</f>
        <v/>
      </c>
      <c r="Q975" t="n">
        <v>0</v>
      </c>
      <c r="R975" t="n">
        <v>0</v>
      </c>
      <c r="S975">
        <f>IFERROR(O975/N975,0)</f>
        <v/>
      </c>
      <c r="T975" t="n">
        <v>0</v>
      </c>
      <c r="V975" t="n">
        <v>0</v>
      </c>
    </row>
    <row r="977">
      <c r="A977" t="inlineStr">
        <is>
          <t>Attack% Bucket Multiplier</t>
        </is>
      </c>
      <c r="B977">
        <f>(1+(((C964=TRUE)*F964*MIN(1,Skills!T13*(Skills!J13/100)*B982))+((C969=TRUE)*F969*IF(AND(Inputs!$B$38&lt;&gt;"pvp",Inputs!$B$43&gt;0),(((R969-1)*(Skills!T18*(1+Inputs!$B$34/100))+MIN((Skills!T18*(1+Inputs!$B$34/100)),MAX(0,Inputs!$B$43-((R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78">
      <c r="A978" t="inlineStr">
        <is>
          <t>Global Crit Rate Bonus %</t>
        </is>
      </c>
      <c r="B978" t="n">
        <v>0</v>
      </c>
    </row>
    <row r="979">
      <c r="A979" t="inlineStr">
        <is>
          <t>Attack Speed Buff Bonus %</t>
        </is>
      </c>
      <c r="B979">
        <f>((C970=TRUE)*F970*IF(AND(Inputs!$B$38&lt;&gt;"pvp",Inputs!$B$43&gt;0),(((R970-1)*(Skills!T19*(1+Inputs!$B$34/100))+MIN((Skills!T19*(1+Inputs!$B$34/100)),MAX(0,Inputs!$B$43-((R970-1)*Skills!D19))))/Inputs!$B$43),IF(Inputs!$B$38="pvp",MIN((Skills!T19*(1+Inputs!$B$34/100)),15)/15,(Skills!T19*(1+Inputs!$B$34/100))/Skills!D19)))</f>
        <v/>
      </c>
    </row>
    <row r="980">
      <c r="A980" t="inlineStr">
        <is>
          <t>Actions Per Second</t>
        </is>
      </c>
      <c r="B980">
        <f>1+MIN(150,150*(1-(1-(Inputs!$B$11+((C971=TRUE)*(F971-Calc!F20)))/150)*(1-B979/150)))/100</f>
        <v/>
      </c>
    </row>
    <row r="981">
      <c r="A981" t="inlineStr">
        <is>
          <t>Skill + Buff Cast Rate</t>
        </is>
      </c>
      <c r="B981">
        <f>IF(AND(Inputs!$B$38&lt;&gt;"pvp",Inputs!$B$43&gt;0),SUMPRODUCT((Skills!E2:E24=TRUE)*(C953:C975=TRUE)*R953:R975*Skills!F2:F24)/Inputs!$B$43,SUMPRODUCT((Skills!E2:E24=TRUE)*(C953:C975=TRUE)*Q953:Q975*Skills!F2:F24))</f>
        <v/>
      </c>
    </row>
    <row r="982">
      <c r="A982" t="inlineStr">
        <is>
          <t>Blast Casts Per Second</t>
        </is>
      </c>
      <c r="B982">
        <f>MAX(0,B980-B981)</f>
        <v/>
      </c>
    </row>
    <row r="983">
      <c r="A983" t="inlineStr">
        <is>
          <t>Global Critical Damage Bonus % (unused)</t>
        </is>
      </c>
      <c r="B983" t="n">
        <v>0</v>
      </c>
    </row>
    <row r="984">
      <c r="A984" t="inlineStr">
        <is>
          <t>Global Final Damage Bonus % (Divine Shield + Guardian + Divine Blessing + Greater Vessel of Light)</t>
        </is>
      </c>
      <c r="B984">
        <f>((C966=TRUE)*F966*IF(AND(Inputs!$B$38&lt;&gt;"pvp",Inputs!$B$43&gt;0),(((R966-1)*(Skills!T15*(1+Inputs!$B$34/100))+MIN((Skills!T15*(1+Inputs!$B$34/100)),MAX(0,Inputs!$B$43-((R966-1)*Skills!D15))))/Inputs!$B$43),IF(Inputs!$B$38="pvp",MIN((Skills!T15*(1+Inputs!$B$34/100)),15)/15,(Skills!T15*(1+Inputs!$B$34/100))/Skills!D15)))+((C967=TRUE)*F967*IF(AND(Inputs!$B$38&lt;&gt;"pvp",Inputs!$B$43&gt;0),(((R967-1)*(Skills!T16*(1+Inputs!$B$34/100))+MIN((Skills!T16*(1+Inputs!$B$34/100)),MAX(0,Inputs!$B$43-((R967-1)*Skills!D16))))/Inputs!$B$43),IF(Inputs!$B$38="pvp",MIN((Skills!T16*(1+Inputs!$B$34/100)),15)/15,(Skills!T16*(1+Inputs!$B$34/100))/Skills!D16)))+((C968=TRUE)*F968*IF(AND(Inputs!$B$38&lt;&gt;"pvp",Inputs!$B$43&gt;0),(((R968-1)*(Skills!T17*(1+Inputs!$B$34/100))+MIN((Skills!T17*(1+Inputs!$B$34/100)),MAX(0,Inputs!$B$43-((R968-1)*Skills!D17))))/Inputs!$B$43),IF(Inputs!$B$38="pvp",MIN((Skills!T17*(1+Inputs!$B$34/100)),15)/15,(Skills!T17*(1+Inputs!$B$34/100))/Skills!D17)))+((C965=TRUE)*F965*MIN(1,Skills!T13*(Skills!J13/100)*B982))</f>
        <v/>
      </c>
    </row>
    <row r="985">
      <c r="A985" t="inlineStr">
        <is>
          <t>Buff-Casting Startup Delay (s, fixed-duration only)</t>
        </is>
      </c>
      <c r="B985">
        <f>IF(AND(Inputs!$B$38&lt;&gt;"pvp",Inputs!$B$43&gt;0),SUMPRODUCT((Skills!T2:T24&gt;0)*(Skills!E2:E24=TRUE)*(C953:C975=TRUE))/B980,0)</f>
        <v/>
      </c>
    </row>
    <row r="986">
      <c r="A986" t="inlineStr">
        <is>
          <t>Boss-Only Total DPS (this block's swept value)</t>
        </is>
      </c>
      <c r="B986">
        <f>SUM(T953:T975)</f>
        <v/>
      </c>
    </row>
    <row r="987">
      <c r="A987" t="inlineStr">
        <is>
          <t>Normal-Only Total DPS (this block's swept value)</t>
        </is>
      </c>
      <c r="B987">
        <f>SUM(V953:V975)</f>
        <v/>
      </c>
    </row>
    <row r="988">
      <c r="A988" s="6" t="inlineStr">
        <is>
          <t>TOTAL DPS</t>
        </is>
      </c>
      <c r="B988" s="6">
        <f>SUM(O953:O975)</f>
        <v/>
      </c>
    </row>
    <row r="991">
      <c r="A991" s="6" t="inlineStr">
        <is>
          <t>Stat: Skill Cooldown Decrease (seconds)</t>
        </is>
      </c>
    </row>
    <row r="992">
      <c r="A992" s="5" t="inlineStr">
        <is>
          <t>Key</t>
        </is>
      </c>
      <c r="B992" s="5" t="inlineStr">
        <is>
          <t>Name</t>
        </is>
      </c>
      <c r="C992" s="5" t="inlineStr">
        <is>
          <t>Unlocked</t>
        </is>
      </c>
      <c r="D992" s="5" t="inlineStr">
        <is>
          <t>InputLevel</t>
        </is>
      </c>
      <c r="E992" s="5" t="inlineStr">
        <is>
          <t>Factor</t>
        </is>
      </c>
      <c r="F992" s="5" t="inlineStr">
        <is>
          <t>CoefficientPercent</t>
        </is>
      </c>
      <c r="G992" s="5" t="inlineStr">
        <is>
          <t>EffectiveHits</t>
        </is>
      </c>
      <c r="H992" s="5" t="inlineStr">
        <is>
          <t>ProcProbability</t>
        </is>
      </c>
      <c r="I992" s="5" t="inlineStr">
        <is>
          <t>MapleHeroMultiplier</t>
        </is>
      </c>
      <c r="J992" s="5" t="inlineStr">
        <is>
          <t>BaseDamage</t>
        </is>
      </c>
      <c r="K992" s="5" t="inlineStr">
        <is>
          <t>BaseHitDamage</t>
        </is>
      </c>
      <c r="L992" s="5" t="inlineStr">
        <is>
          <t>NonCritAvg</t>
        </is>
      </c>
      <c r="M992" s="5" t="inlineStr">
        <is>
          <t>CritAvg</t>
        </is>
      </c>
      <c r="N992" s="5" t="inlineStr">
        <is>
          <t>ExpectedDamage(perHit)</t>
        </is>
      </c>
      <c r="O992" s="5" t="inlineStr">
        <is>
          <t>DPS</t>
        </is>
      </c>
      <c r="P992" s="5" t="inlineStr">
        <is>
          <t>% of Total</t>
        </is>
      </c>
      <c r="Q992" s="5" t="inlineStr">
        <is>
          <t>InvCooldown</t>
        </is>
      </c>
      <c r="R992" s="5" t="inlineStr">
        <is>
          <t>CastsInFight</t>
        </is>
      </c>
      <c r="S992" s="5" t="inlineStr">
        <is>
          <t>HitRate(perSec)</t>
        </is>
      </c>
      <c r="U992" t="inlineStr">
        <is>
          <t>helpers</t>
        </is>
      </c>
    </row>
    <row r="993">
      <c r="A993">
        <f>Skills!A2</f>
        <v/>
      </c>
      <c r="B993">
        <f>Skills!B2</f>
        <v/>
      </c>
      <c r="C993">
        <f>Inputs!$B$3&gt;=100</f>
        <v/>
      </c>
      <c r="D993" t="inlineStr"/>
      <c r="E993" t="inlineStr"/>
      <c r="F993">
        <f>U995+Skills!O2</f>
        <v/>
      </c>
      <c r="G993">
        <f>Skills!G2*IF(Skills!H2&gt;0,Skills!I2/Skills!H2,1)</f>
        <v/>
      </c>
      <c r="H993">
        <f>1-(1-Skills!J2/100)^Skills!K2</f>
        <v/>
      </c>
      <c r="I993" t="inlineStr">
        <is>
          <t>1</t>
        </is>
      </c>
      <c r="J993">
        <f>((Inputs!$B$6*(1+Inputs!$B$7/100))+(((Inputs!$B$12*(1+Inputs!$B$13/100))-(Inputs!$B$12*(1+Inputs!$B$13/100)))+0.25*(Inputs!$B$14-Inputs!$B$14))*(1+Inputs!$B$7/100))*(F993/100)</f>
        <v/>
      </c>
      <c r="K993">
        <f>J993*(1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993)</f>
        <v/>
      </c>
      <c r="L993">
        <f>K993*(MIN(Inputs!$B$22+((C1013=TRUE)*(F1013-Calc!F22)),(Inputs!$B$23+((C1015=TRUE)*(F1015-Calc!F24))+(IF(ArtifactsInput!$M$15,CHOOSE(ArtifactsInput!$N$15+1,25,30,35,40,45,50)/100*(Inputs!$B$11-Inputs!$B$11),0))))/100+(Inputs!$B$23+((C1015=TRUE)*(F1015-Calc!F24))+(IF(ArtifactsInput!$M$15,CHOOSE(ArtifactsInput!$N$15+1,25,30,35,40,45,50)/100*(Inputs!$B$11-Inputs!$B$11),0)))/100)/2</f>
        <v/>
      </c>
      <c r="M993">
        <f>L993*(1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3">
        <f>L993*(1-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993*(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3">
        <f>(1-Summary!$B$11)*T993+Summary!$B$11*V993</f>
        <v/>
      </c>
      <c r="P993">
        <f>IF(B1028=0,0,O993/B1028)</f>
        <v/>
      </c>
      <c r="Q993" t="n">
        <v>0</v>
      </c>
      <c r="R993" t="n">
        <v>0</v>
      </c>
      <c r="S993">
        <f>IFERROR(O993/N993,0)</f>
        <v/>
      </c>
      <c r="T993">
        <f>IF(C993,(Skills!G2*N993*B1022)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993*(1-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993*(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993*(1-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993*(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3">
        <f>MAX(0,(Inputs!$B$3-100)*3)+Inputs!$B$28+Inputs!$B$29</f>
        <v/>
      </c>
      <c r="V993">
        <f>IF(C993,(Skills!G2*N993*B1022)*IF(Inputs!$B$38="pvp",1,(1+(Inputs!$B$21+Skills!Q2+(IF(ArtifactsInput!$M$33,CHOOSE(ArtifactsInput!$N$33+1,30,36,42,48,54,60),0))+(IF(AND(ArtifactsInput!$M$35,Inputs!$B$4&lt;&gt;"Chapter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4">
      <c r="A994">
        <f>Skills!A3</f>
        <v/>
      </c>
      <c r="B994">
        <f>Skills!B3</f>
        <v/>
      </c>
      <c r="C994">
        <f>Inputs!$B$3&gt;=50</f>
        <v/>
      </c>
      <c r="D994">
        <f>IF(Skills!C3=1,60+Inputs!$B$25+Inputs!$B$29,IF(Skills!C3=2,90+Inputs!$B$26+Inputs!$B$29,IF(Skills!C3=3,120+Inputs!$B$27+Inputs!$B$29,MAX(0,(Inputs!$B$3-100)*3)+Inputs!$B$28+Inputs!$B$29)))</f>
        <v/>
      </c>
      <c r="E994">
        <f>INDEX(FactorTable!$B$2:$Y$301, MATCH(ROUND(MIN(300,MAX(1,D994)),0), FactorTable!$A$2:$A$301,0), Skills!M3+1)</f>
        <v/>
      </c>
      <c r="F994">
        <f>IF(Skills!N3=TRUE,(Skills!L3/10)*(E994/1000),Skills!L3/10)+Skills!O3</f>
        <v/>
      </c>
      <c r="G994" t="inlineStr"/>
      <c r="H994" t="inlineStr"/>
      <c r="I994" t="inlineStr">
        <is>
          <t>1</t>
        </is>
      </c>
      <c r="J994" t="inlineStr"/>
      <c r="K994" t="inlineStr"/>
      <c r="L994" t="inlineStr"/>
      <c r="M994" t="inlineStr"/>
      <c r="N994" t="inlineStr"/>
      <c r="O994" t="inlineStr"/>
      <c r="P994" t="inlineStr"/>
      <c r="Q994" t="inlineStr"/>
      <c r="R994" t="inlineStr"/>
      <c r="S994" t="inlineStr"/>
      <c r="U994">
        <f>INDEX(FactorTable!$B$2:$Y$301, MATCH(ROUND(MIN(300,MAX(1,U993)),0), FactorTable!$A$2:$A$301,0), 22)</f>
        <v/>
      </c>
    </row>
    <row r="995">
      <c r="A995">
        <f>Skills!A4</f>
        <v/>
      </c>
      <c r="B995">
        <f>Skills!B4</f>
        <v/>
      </c>
      <c r="C995">
        <f>Inputs!$B$3&gt;=35</f>
        <v/>
      </c>
      <c r="D995">
        <f>IF(Skills!C4=1,60+Inputs!$B$25+Inputs!$B$29,IF(Skills!C4=2,90+Inputs!$B$26+Inputs!$B$29,IF(Skills!C4=3,120+Inputs!$B$27+Inputs!$B$29,MAX(0,(Inputs!$B$3-100)*3)+Inputs!$B$28+Inputs!$B$29)))</f>
        <v/>
      </c>
      <c r="E995">
        <f>INDEX(FactorTable!$B$2:$Y$301, MATCH(ROUND(MIN(300,MAX(1,D995)),0), FactorTable!$A$2:$A$301,0), Skills!M4+1)</f>
        <v/>
      </c>
      <c r="F995">
        <f>IF(Skills!N4=TRUE,(Skills!L4/10)*(E995/1000),Skills!L4/10)+Skills!O4</f>
        <v/>
      </c>
      <c r="G995">
        <f>Skills!G4*IF(Skills!H4&gt;0,Skills!I4/Skills!H4,1)</f>
        <v/>
      </c>
      <c r="H995">
        <f>1-(1-Skills!J4/100)^Skills!K4</f>
        <v/>
      </c>
      <c r="I995" t="inlineStr">
        <is>
          <t>1</t>
        </is>
      </c>
      <c r="J995">
        <f>((Inputs!$B$6*(1+Inputs!$B$7/100))+(((Inputs!$B$12*(1+Inputs!$B$13/100))-(Inputs!$B$12*(1+Inputs!$B$13/100)))+0.25*(Inputs!$B$14-Inputs!$B$14))*(1+Inputs!$B$7/100))*(F995/100)</f>
        <v/>
      </c>
      <c r="K995">
        <f>J995*(1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1003=TRUE,F1003,0)/100)*(1+(IF(Skills!A4="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995)</f>
        <v/>
      </c>
      <c r="L995">
        <f>K995*(MIN(Inputs!$B$22+((C1013=TRUE)*(F1013-Calc!F22)),(Inputs!$B$23+((C1015=TRUE)*(F1015-Calc!F24))+(IF(ArtifactsInput!$M$15,CHOOSE(ArtifactsInput!$N$15+1,25,30,35,40,45,50)/100*(Inputs!$B$11-Inputs!$B$11),0))))/100+(Inputs!$B$23+((C1015=TRUE)*(F1015-Calc!F24))+(IF(ArtifactsInput!$M$15,CHOOSE(ArtifactsInput!$N$15+1,25,30,35,40,45,50)/100*(Inputs!$B$11-Inputs!$B$11),0)))/100)/2</f>
        <v/>
      </c>
      <c r="M995">
        <f>L995*(1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5">
        <f>L995*(1-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995*(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5">
        <f>(1-Summary!$B$11)*T995+Summary!$B$11*V995</f>
        <v/>
      </c>
      <c r="P995">
        <f>IF(B1028=0,0,O995/B1028)</f>
        <v/>
      </c>
      <c r="Q995">
        <f>IFERROR(1/(IF(Inputs!$B$38="pvp",15,MAX(0.1,Skills!D4-IF(Skills!E4=TRUE,(Inputs!$B$32+1),0)))*(1-IF(AND(ArtifactsInput!$M$27,Inputs!$B$4="Chapter Hunt"),CHOOSE(ArtifactsInput!$N$27+1,20,24,28,32,36,40),0)/100)),0)</f>
        <v/>
      </c>
      <c r="R995">
        <f>IF(AND(Inputs!$B$38&lt;&gt;"pvp",Inputs!$B$43&gt;0),IF(MAX(0,Inputs!$B$43-B1025)&lt;=0,0,(INT(MAX(0,Inputs!$B$43-B1025)/(IF(Inputs!$B$38="pvp",15,MAX(0.1,Skills!D4-IF(Skills!E4=TRUE,(Inputs!$B$32+1),0)))*(1-IF(AND(ArtifactsInput!$M$27,Inputs!$B$4="Chapter Hunt"),CHOOSE(ArtifactsInput!$N$27+1,20,24,28,32,36,40),0)/100)))+1)),0)</f>
        <v/>
      </c>
      <c r="S995">
        <f>IFERROR(O995/N995,0)</f>
        <v/>
      </c>
      <c r="T995">
        <f>IF(C995,(H995*N995*IF(AND(Inputs!$B$38&lt;&gt;"pvp",Inputs!$B$43&gt;0),((Skills!G4*((R995-1)*IF(Skills!H4&gt;0,Skills!I4/Skills!H4,1)+IF(Skills!H4&gt;0,MIN(Skills!I4,MAX(0,MAX(0,Inputs!$B$43-B1025)-((R995-1)*(IF(Inputs!$B$38="pvp",15,MAX(0.1,Skills!D4-IF(Skills!E4=TRUE,(Inputs!$B$32+1),0)))*(1-IF(AND(ArtifactsInput!$M$27,Inputs!$B$4="Chapter Hunt"),CHOOSE(ArtifactsInput!$N$27+1,20,24,28,32,36,40),0)/100)))))/Skills!H4,1)))/Inputs!$B$43),G995*Q995)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995*(1-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995*(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995*(1-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995*(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95">
        <f>290*U994/1000</f>
        <v/>
      </c>
      <c r="V995">
        <f>IF(C995,(H995*N995*IF(AND(Inputs!$B$38&lt;&gt;"pvp",Inputs!$B$43&gt;0),((Skills!G4*((R995-1)*IF(Skills!H4&gt;0,Skills!I4/Skills!H4,1)+IF(Skills!H4&gt;0,MIN(Skills!I4,MAX(0,MAX(0,Inputs!$B$43-B1025)-((R995-1)*(IF(Inputs!$B$38="pvp",15,MAX(0.1,Skills!D4-IF(Skills!E4=TRUE,(Inputs!$B$32+1),0)))*(1-IF(AND(ArtifactsInput!$M$27,Inputs!$B$4="Chapter Hunt"),CHOOSE(ArtifactsInput!$N$27+1,20,24,28,32,36,40),0)/100)))))/Skills!H4,1)))/Inputs!$B$43),G995*Q995))*IF(Inputs!$B$38="pvp",1,(1+(Inputs!$B$21+Skills!Q4+(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6">
      <c r="A996">
        <f>Skills!A5</f>
        <v/>
      </c>
      <c r="B996">
        <f>Skills!B5</f>
        <v/>
      </c>
      <c r="C996">
        <f>Inputs!$B$3&gt;=66</f>
        <v/>
      </c>
      <c r="D996">
        <f>IF(Skills!C5=1,60+Inputs!$B$25+Inputs!$B$29,IF(Skills!C5=2,90+Inputs!$B$26+Inputs!$B$29,IF(Skills!C5=3,120+Inputs!$B$27+Inputs!$B$29,MAX(0,(Inputs!$B$3-100)*3)+Inputs!$B$28+Inputs!$B$29)))</f>
        <v/>
      </c>
      <c r="E996">
        <f>INDEX(FactorTable!$B$2:$Y$301, MATCH(ROUND(MIN(300,MAX(1,D996)),0), FactorTable!$A$2:$A$301,0), Skills!M5+1)</f>
        <v/>
      </c>
      <c r="F996">
        <f>IF(Skills!N5=TRUE,(Skills!L5/10)*(E996/1000),Skills!L5/10)+Skills!O5</f>
        <v/>
      </c>
      <c r="G996">
        <f>Skills!G5*IF(Skills!H5&gt;0,Skills!I5/Skills!H5,1)</f>
        <v/>
      </c>
      <c r="H996">
        <f>1-(1-Skills!J5/100)^Skills!K5</f>
        <v/>
      </c>
      <c r="I996" t="inlineStr">
        <is>
          <t>1</t>
        </is>
      </c>
      <c r="J996">
        <f>((Inputs!$B$6*(1+Inputs!$B$7/100))+(((Inputs!$B$12*(1+Inputs!$B$13/100))-(Inputs!$B$12*(1+Inputs!$B$13/100)))+0.25*(Inputs!$B$14-Inputs!$B$14))*(1+Inputs!$B$7/100))*(F996/100)</f>
        <v/>
      </c>
      <c r="K996">
        <f>J996*(1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1003=TRUE,F1003,0)/100)*(1+(IF(Skills!A5="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996)</f>
        <v/>
      </c>
      <c r="L996">
        <f>K996*(MIN(Inputs!$B$22+((C1013=TRUE)*(F1013-Calc!F22)),(Inputs!$B$23+((C1015=TRUE)*(F1015-Calc!F24))+(IF(ArtifactsInput!$M$15,CHOOSE(ArtifactsInput!$N$15+1,25,30,35,40,45,50)/100*(Inputs!$B$11-Inputs!$B$11),0))))/100+(Inputs!$B$23+((C1015=TRUE)*(F1015-Calc!F24))+(IF(ArtifactsInput!$M$15,CHOOSE(ArtifactsInput!$N$15+1,25,30,35,40,45,50)/100*(Inputs!$B$11-Inputs!$B$11),0)))/100)/2</f>
        <v/>
      </c>
      <c r="M996">
        <f>L996*(1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6">
        <f>L996*(1-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996*(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6">
        <f>(1-Summary!$B$11)*T996+Summary!$B$11*V996</f>
        <v/>
      </c>
      <c r="P996">
        <f>IF(B1028=0,0,O996/B1028)</f>
        <v/>
      </c>
      <c r="Q996">
        <f>IFERROR(1/(IF(Inputs!$B$38="pvp",15,MAX(0.1,Skills!D5-IF(Skills!E5=TRUE,(Inputs!$B$32+1),0)))*(1-IF(AND(ArtifactsInput!$M$27,Inputs!$B$4="Chapter Hunt"),CHOOSE(ArtifactsInput!$N$27+1,20,24,28,32,36,40),0)/100)),0)</f>
        <v/>
      </c>
      <c r="R996">
        <f>IF(AND(Inputs!$B$38&lt;&gt;"pvp",Inputs!$B$43&gt;0),IF(MAX(0,Inputs!$B$43-B1025)&lt;=0,0,(INT(MAX(0,Inputs!$B$43-B1025)/(IF(Inputs!$B$38="pvp",15,MAX(0.1,Skills!D5-IF(Skills!E5=TRUE,(Inputs!$B$32+1),0)))*(1-IF(AND(ArtifactsInput!$M$27,Inputs!$B$4="Chapter Hunt"),CHOOSE(ArtifactsInput!$N$27+1,20,24,28,32,36,40),0)/100)))+1)),0)</f>
        <v/>
      </c>
      <c r="S996">
        <f>IFERROR(O996/N996,0)</f>
        <v/>
      </c>
      <c r="T996">
        <f>IF(C996,(H996*N996*IF(AND(Inputs!$B$38&lt;&gt;"pvp",Inputs!$B$43&gt;0),((Skills!G5*((R996-1)*IF(Skills!H5&gt;0,Skills!I5/Skills!H5,1)+IF(Skills!H5&gt;0,MIN(Skills!I5,MAX(0,MAX(0,Inputs!$B$43-B1025)-((R996-1)*(IF(Inputs!$B$38="pvp",15,MAX(0.1,Skills!D5-IF(Skills!E5=TRUE,(Inputs!$B$32+1),0)))*(1-IF(AND(ArtifactsInput!$M$27,Inputs!$B$4="Chapter Hunt"),CHOOSE(ArtifactsInput!$N$27+1,20,24,28,32,36,40),0)/100)))))/Skills!H5,1)))/Inputs!$B$43),G996*Q996)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996*(1-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996*(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996*(1-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996*(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6">
        <f>IF(C996,(H996*N996*IF(AND(Inputs!$B$38&lt;&gt;"pvp",Inputs!$B$43&gt;0),((Skills!G5*((R996-1)*IF(Skills!H5&gt;0,Skills!I5/Skills!H5,1)+IF(Skills!H5&gt;0,MIN(Skills!I5,MAX(0,MAX(0,Inputs!$B$43-B1025)-((R996-1)*(IF(Inputs!$B$38="pvp",15,MAX(0.1,Skills!D5-IF(Skills!E5=TRUE,(Inputs!$B$32+1),0)))*(1-IF(AND(ArtifactsInput!$M$27,Inputs!$B$4="Chapter Hunt"),CHOOSE(ArtifactsInput!$N$27+1,20,24,28,32,36,40),0)/100)))))/Skills!H5,1)))/Inputs!$B$43),G996*Q996))*IF(Inputs!$B$38="pvp",1,(1+(Inputs!$B$21+Skills!Q5+(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7">
      <c r="A997">
        <f>Skills!A6</f>
        <v/>
      </c>
      <c r="B997">
        <f>Skills!B6</f>
        <v/>
      </c>
      <c r="C997">
        <f>Inputs!$B$3&gt;=103</f>
        <v/>
      </c>
      <c r="D997">
        <f>IF(Skills!C6=1,60+Inputs!$B$25+Inputs!$B$29,IF(Skills!C6=2,90+Inputs!$B$26+Inputs!$B$29,IF(Skills!C6=3,120+Inputs!$B$27+Inputs!$B$29,MAX(0,(Inputs!$B$3-100)*3)+Inputs!$B$28+Inputs!$B$29)))</f>
        <v/>
      </c>
      <c r="E997">
        <f>INDEX(FactorTable!$B$2:$Y$301, MATCH(ROUND(MIN(300,MAX(1,D997)),0), FactorTable!$A$2:$A$301,0), Skills!M6+1)</f>
        <v/>
      </c>
      <c r="F997">
        <f>IF(Skills!N6=TRUE,(Skills!L6/10)*(E997/1000),Skills!L6/10)+Skills!O6</f>
        <v/>
      </c>
      <c r="G997">
        <f>Skills!G6*IF(Skills!H6&gt;0,Skills!I6/Skills!H6,1)</f>
        <v/>
      </c>
      <c r="H997">
        <f>1-(1-Skills!J6/100)^Skills!K6</f>
        <v/>
      </c>
      <c r="I997" t="inlineStr">
        <is>
          <t>1</t>
        </is>
      </c>
      <c r="J997">
        <f>((Inputs!$B$6*(1+Inputs!$B$7/100))+(((Inputs!$B$12*(1+Inputs!$B$13/100))-(Inputs!$B$12*(1+Inputs!$B$13/100)))+0.25*(Inputs!$B$14-Inputs!$B$14))*(1+Inputs!$B$7/100))*(F997/100)</f>
        <v/>
      </c>
      <c r="K997">
        <f>J997*(1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997)</f>
        <v/>
      </c>
      <c r="L997">
        <f>K997*(MIN(Inputs!$B$22+((C1013=TRUE)*(F1013-Calc!F22)),(Inputs!$B$23+((C1015=TRUE)*(F1015-Calc!F24))+(IF(ArtifactsInput!$M$15,CHOOSE(ArtifactsInput!$N$15+1,25,30,35,40,45,50)/100*(Inputs!$B$11-Inputs!$B$11),0))))/100+(Inputs!$B$23+((C1015=TRUE)*(F1015-Calc!F24))+(IF(ArtifactsInput!$M$15,CHOOSE(ArtifactsInput!$N$15+1,25,30,35,40,45,50)/100*(Inputs!$B$11-Inputs!$B$11),0)))/100)/2</f>
        <v/>
      </c>
      <c r="M997">
        <f>L997*(1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7">
        <f>L997*(1-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997*(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7">
        <f>(1-Summary!$B$11)*T997+Summary!$B$11*V997</f>
        <v/>
      </c>
      <c r="P997">
        <f>IF(B1028=0,0,O997/B1028)</f>
        <v/>
      </c>
      <c r="Q997">
        <f>IFERROR(1/(IF(Inputs!$B$38="pvp",15,MAX(0.1,Skills!D6-IF(Skills!E6=TRUE,(Inputs!$B$32+1),0)))*(1-IF(AND(ArtifactsInput!$M$27,Inputs!$B$4="Chapter Hunt"),CHOOSE(ArtifactsInput!$N$27+1,20,24,28,32,36,40),0)/100)),0)</f>
        <v/>
      </c>
      <c r="R997">
        <f>IF(AND(Inputs!$B$38&lt;&gt;"pvp",Inputs!$B$43&gt;0),IF(MAX(0,Inputs!$B$43-B1025)&lt;=0,0,(INT(MAX(0,Inputs!$B$43-B1025)/(IF(Inputs!$B$38="pvp",15,MAX(0.1,Skills!D6-IF(Skills!E6=TRUE,(Inputs!$B$32+1),0)))*(1-IF(AND(ArtifactsInput!$M$27,Inputs!$B$4="Chapter Hunt"),CHOOSE(ArtifactsInput!$N$27+1,20,24,28,32,36,40),0)/100)))+1)),0)</f>
        <v/>
      </c>
      <c r="S997">
        <f>IFERROR(O997/N997,0)</f>
        <v/>
      </c>
      <c r="T997">
        <f>IF(C997,(H997*N997*IF(AND(Inputs!$B$38&lt;&gt;"pvp",Inputs!$B$43&gt;0),((Skills!G6*((R997-1)*IF(Skills!H6&gt;0,Skills!I6/Skills!H6,1)+IF(Skills!H6&gt;0,MIN(Skills!I6,MAX(0,MAX(0,Inputs!$B$43-B1025)-((R997-1)*(IF(Inputs!$B$38="pvp",15,MAX(0.1,Skills!D6-IF(Skills!E6=TRUE,(Inputs!$B$32+1),0)))*(1-IF(AND(ArtifactsInput!$M$27,Inputs!$B$4="Chapter Hunt"),CHOOSE(ArtifactsInput!$N$27+1,20,24,28,32,36,40),0)/100)))))/Skills!H6,1)))/Inputs!$B$43),G997*Q997)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997*(1-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997*(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997*(1-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997*(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7">
        <f>IF(C997,(H997*N997*IF(AND(Inputs!$B$38&lt;&gt;"pvp",Inputs!$B$43&gt;0),((Skills!G6*((R997-1)*IF(Skills!H6&gt;0,Skills!I6/Skills!H6,1)+IF(Skills!H6&gt;0,MIN(Skills!I6,MAX(0,MAX(0,Inputs!$B$43-B1025)-((R997-1)*(IF(Inputs!$B$38="pvp",15,MAX(0.1,Skills!D6-IF(Skills!E6=TRUE,(Inputs!$B$32+1),0)))*(1-IF(AND(ArtifactsInput!$M$27,Inputs!$B$4="Chapter Hunt"),CHOOSE(ArtifactsInput!$N$27+1,20,24,28,32,36,40),0)/100)))))/Skills!H6,1)))/Inputs!$B$43),G997*Q997))*IF(Inputs!$B$38="pvp",1,(1+(Inputs!$B$21+Skills!Q6+(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8">
      <c r="A998">
        <f>Skills!A7</f>
        <v/>
      </c>
      <c r="B998">
        <f>Skills!B7</f>
        <v/>
      </c>
      <c r="C998">
        <f>Inputs!$B$3&gt;=107</f>
        <v/>
      </c>
      <c r="D998">
        <f>IF(Skills!C7=1,60+Inputs!$B$25+Inputs!$B$29,IF(Skills!C7=2,90+Inputs!$B$26+Inputs!$B$29,IF(Skills!C7=3,120+Inputs!$B$27+Inputs!$B$29,MAX(0,(Inputs!$B$3-100)*3)+Inputs!$B$28+Inputs!$B$29)))</f>
        <v/>
      </c>
      <c r="E998">
        <f>INDEX(FactorTable!$B$2:$Y$301, MATCH(ROUND(MIN(300,MAX(1,D998)),0), FactorTable!$A$2:$A$301,0), Skills!M7+1)</f>
        <v/>
      </c>
      <c r="F998">
        <f>IF(Skills!N7=TRUE,(Skills!L7/10)*(E998/1000),Skills!L7/10)+Skills!O7</f>
        <v/>
      </c>
      <c r="G998">
        <f>Skills!G7*IF(Skills!H7&gt;0,Skills!I7/Skills!H7,1)</f>
        <v/>
      </c>
      <c r="H998">
        <f>1-(1-Skills!J7/100)^Skills!K7</f>
        <v/>
      </c>
      <c r="I998" t="inlineStr">
        <is>
          <t>1</t>
        </is>
      </c>
      <c r="J998">
        <f>((Inputs!$B$6*(1+Inputs!$B$7/100))+(((Inputs!$B$12*(1+Inputs!$B$13/100))-(Inputs!$B$12*(1+Inputs!$B$13/100)))+0.25*(Inputs!$B$14-Inputs!$B$14))*(1+Inputs!$B$7/100))*(F998/100)</f>
        <v/>
      </c>
      <c r="K998">
        <f>J998*(1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998)</f>
        <v/>
      </c>
      <c r="L998">
        <f>K998*(MIN(Inputs!$B$22+((C1013=TRUE)*(F1013-Calc!F22)),(Inputs!$B$23+((C1015=TRUE)*(F1015-Calc!F24))+(IF(ArtifactsInput!$M$15,CHOOSE(ArtifactsInput!$N$15+1,25,30,35,40,45,50)/100*(Inputs!$B$11-Inputs!$B$11),0))))/100+(Inputs!$B$23+((C1015=TRUE)*(F1015-Calc!F24))+(IF(ArtifactsInput!$M$15,CHOOSE(ArtifactsInput!$N$15+1,25,30,35,40,45,50)/100*(Inputs!$B$11-Inputs!$B$11),0)))/100)/2</f>
        <v/>
      </c>
      <c r="M998">
        <f>L998*(1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8">
        <f>L998*(1-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998*(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8">
        <f>(1-Summary!$B$11)*T998+Summary!$B$11*V998</f>
        <v/>
      </c>
      <c r="P998">
        <f>IF(B1028=0,0,O998/B1028)</f>
        <v/>
      </c>
      <c r="Q998">
        <f>IFERROR(1/(IF(Inputs!$B$38="pvp",15,MAX(0.1,Skills!D7-IF(Skills!E7=TRUE,(Inputs!$B$32+1),0)))*(1-IF(AND(ArtifactsInput!$M$27,Inputs!$B$4="Chapter Hunt"),CHOOSE(ArtifactsInput!$N$27+1,20,24,28,32,36,40),0)/100)),0)</f>
        <v/>
      </c>
      <c r="R998">
        <f>IF(AND(Inputs!$B$38&lt;&gt;"pvp",Inputs!$B$43&gt;0),IF(MAX(0,Inputs!$B$43-B1025)&lt;=0,0,(INT(MAX(0,Inputs!$B$43-B1025)/(IF(Inputs!$B$38="pvp",15,MAX(0.1,Skills!D7-IF(Skills!E7=TRUE,(Inputs!$B$32+1),0)))*(1-IF(AND(ArtifactsInput!$M$27,Inputs!$B$4="Chapter Hunt"),CHOOSE(ArtifactsInput!$N$27+1,20,24,28,32,36,40),0)/100)))+1)),0)</f>
        <v/>
      </c>
      <c r="S998">
        <f>IFERROR(O998/N998,0)</f>
        <v/>
      </c>
      <c r="T998">
        <f>IF(C998,(H998*N998*IF(AND(Inputs!$B$38&lt;&gt;"pvp",Inputs!$B$43&gt;0),((Skills!G7*((R998-1)*IF(Skills!H7&gt;0,Skills!I7/Skills!H7,1)+IF(Skills!H7&gt;0,MIN(Skills!I7,MAX(0,MAX(0,Inputs!$B$43-B1025)-((R998-1)*(IF(Inputs!$B$38="pvp",15,MAX(0.1,Skills!D7-IF(Skills!E7=TRUE,(Inputs!$B$32+1),0)))*(1-IF(AND(ArtifactsInput!$M$27,Inputs!$B$4="Chapter Hunt"),CHOOSE(ArtifactsInput!$N$27+1,20,24,28,32,36,40),0)/100)))))/Skills!H7,1)))/Inputs!$B$43),G998*Q998)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998*(1-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998*(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998*(1-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998*(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8">
        <f>IF(C998,(H998*N998*IF(AND(Inputs!$B$38&lt;&gt;"pvp",Inputs!$B$43&gt;0),((Skills!G7*((R998-1)*IF(Skills!H7&gt;0,Skills!I7/Skills!H7,1)+IF(Skills!H7&gt;0,MIN(Skills!I7,MAX(0,MAX(0,Inputs!$B$43-B1025)-((R998-1)*(IF(Inputs!$B$38="pvp",15,MAX(0.1,Skills!D7-IF(Skills!E7=TRUE,(Inputs!$B$32+1),0)))*(1-IF(AND(ArtifactsInput!$M$27,Inputs!$B$4="Chapter Hunt"),CHOOSE(ArtifactsInput!$N$27+1,20,24,28,32,36,40),0)/100)))))/Skills!H7,1)))/Inputs!$B$43),G998*Q998))*IF(Inputs!$B$38="pvp",1,(1+(Inputs!$B$21+Skills!Q7+(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99">
      <c r="A999">
        <f>Skills!A8</f>
        <v/>
      </c>
      <c r="B999">
        <f>Skills!B8</f>
        <v/>
      </c>
      <c r="C999">
        <f>Inputs!$B$3&gt;=107</f>
        <v/>
      </c>
      <c r="D999">
        <f>IF(Skills!C8=1,60+Inputs!$B$25+Inputs!$B$29,IF(Skills!C8=2,90+Inputs!$B$26+Inputs!$B$29,IF(Skills!C8=3,120+Inputs!$B$27+Inputs!$B$29,MAX(0,(Inputs!$B$3-100)*3)+Inputs!$B$28+Inputs!$B$29)))</f>
        <v/>
      </c>
      <c r="E999">
        <f>INDEX(FactorTable!$B$2:$Y$301, MATCH(ROUND(MIN(300,MAX(1,D999)),0), FactorTable!$A$2:$A$301,0), Skills!M8+1)</f>
        <v/>
      </c>
      <c r="F999">
        <f>IF(Skills!N8=TRUE,(Skills!L8/10)*(E999/1000),Skills!L8/10)+Skills!O8</f>
        <v/>
      </c>
      <c r="G999">
        <f>Skills!G8*IF(Skills!H8&gt;0,Skills!I8/Skills!H8,1)</f>
        <v/>
      </c>
      <c r="H999">
        <f>1-(1-Skills!J8/100)^Skills!K8</f>
        <v/>
      </c>
      <c r="I999" t="inlineStr">
        <is>
          <t>1</t>
        </is>
      </c>
      <c r="J999">
        <f>((Inputs!$B$6*(1+Inputs!$B$7/100))+(((Inputs!$B$12*(1+Inputs!$B$13/100))-(Inputs!$B$12*(1+Inputs!$B$13/100)))+0.25*(Inputs!$B$14-Inputs!$B$14))*(1+Inputs!$B$7/100))*(F999/100)</f>
        <v/>
      </c>
      <c r="K999">
        <f>J999*(1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999)</f>
        <v/>
      </c>
      <c r="L999">
        <f>K999*(MIN(Inputs!$B$22+((C1013=TRUE)*(F1013-Calc!F22)),(Inputs!$B$23+((C1015=TRUE)*(F1015-Calc!F24))+(IF(ArtifactsInput!$M$15,CHOOSE(ArtifactsInput!$N$15+1,25,30,35,40,45,50)/100*(Inputs!$B$11-Inputs!$B$11),0))))/100+(Inputs!$B$23+((C1015=TRUE)*(F1015-Calc!F24))+(IF(ArtifactsInput!$M$15,CHOOSE(ArtifactsInput!$N$15+1,25,30,35,40,45,50)/100*(Inputs!$B$11-Inputs!$B$11),0)))/100)/2</f>
        <v/>
      </c>
      <c r="M999">
        <f>L999*(1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99">
        <f>L999*(1-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999*(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99">
        <f>(1-Summary!$B$11)*T999+Summary!$B$11*V999</f>
        <v/>
      </c>
      <c r="P999">
        <f>IF(B1028=0,0,O999/B1028)</f>
        <v/>
      </c>
      <c r="Q999">
        <f>IFERROR(1/(IF(Inputs!$B$38="pvp",15,MAX(0.1,Skills!D8-IF(Skills!E8=TRUE,(Inputs!$B$32+1),0)))*(1-IF(AND(ArtifactsInput!$M$27,Inputs!$B$4="Chapter Hunt"),CHOOSE(ArtifactsInput!$N$27+1,20,24,28,32,36,40),0)/100)),0)</f>
        <v/>
      </c>
      <c r="R999">
        <f>IF(AND(Inputs!$B$38&lt;&gt;"pvp",Inputs!$B$43&gt;0),IF(MAX(0,Inputs!$B$43-B1025)&lt;=0,0,(INT(MAX(0,Inputs!$B$43-B1025)/(IF(Inputs!$B$38="pvp",15,MAX(0.1,Skills!D8-IF(Skills!E8=TRUE,(Inputs!$B$32+1),0)))*(1-IF(AND(ArtifactsInput!$M$27,Inputs!$B$4="Chapter Hunt"),CHOOSE(ArtifactsInput!$N$27+1,20,24,28,32,36,40),0)/100)))+1)),0)</f>
        <v/>
      </c>
      <c r="S999">
        <f>IFERROR(O999/N999,0)</f>
        <v/>
      </c>
      <c r="T999">
        <f>IF(C999,(H999*N999*IF(AND(Inputs!$B$38&lt;&gt;"pvp",Inputs!$B$43&gt;0),((Skills!G8*((R999-1)*IF(Skills!H8&gt;0,Skills!I8/Skills!H8,1)+IF(Skills!H8&gt;0,MIN(Skills!I8,MAX(0,MAX(0,Inputs!$B$43-B1025)-((R999-1)*(IF(Inputs!$B$38="pvp",15,MAX(0.1,Skills!D8-IF(Skills!E8=TRUE,(Inputs!$B$32+1),0)))*(1-IF(AND(ArtifactsInput!$M$27,Inputs!$B$4="Chapter Hunt"),CHOOSE(ArtifactsInput!$N$27+1,20,24,28,32,36,40),0)/100)))))/Skills!H8,1)))/Inputs!$B$43),G999*Q999)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999*(1-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999*(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999*(1-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999*(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99">
        <f>IF(C999,(H999*N999*IF(AND(Inputs!$B$38&lt;&gt;"pvp",Inputs!$B$43&gt;0),((Skills!G8*((R999-1)*IF(Skills!H8&gt;0,Skills!I8/Skills!H8,1)+IF(Skills!H8&gt;0,MIN(Skills!I8,MAX(0,MAX(0,Inputs!$B$43-B1025)-((R999-1)*(IF(Inputs!$B$38="pvp",15,MAX(0.1,Skills!D8-IF(Skills!E8=TRUE,(Inputs!$B$32+1),0)))*(1-IF(AND(ArtifactsInput!$M$27,Inputs!$B$4="Chapter Hunt"),CHOOSE(ArtifactsInput!$N$27+1,20,24,28,32,36,40),0)/100)))))/Skills!H8,1)))/Inputs!$B$43),G999*Q999))*IF(Inputs!$B$38="pvp",1,(1+(Inputs!$B$21+Skills!Q8+(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0">
      <c r="A1000">
        <f>Skills!A9</f>
        <v/>
      </c>
      <c r="B1000">
        <f>Skills!B9</f>
        <v/>
      </c>
      <c r="C1000">
        <f>Inputs!$B$3&gt;=125</f>
        <v/>
      </c>
      <c r="D1000">
        <f>IF(Skills!C9=1,60+Inputs!$B$25+Inputs!$B$29,IF(Skills!C9=2,90+Inputs!$B$26+Inputs!$B$29,IF(Skills!C9=3,120+Inputs!$B$27+Inputs!$B$29,MAX(0,(Inputs!$B$3-100)*3)+Inputs!$B$28+Inputs!$B$29)))</f>
        <v/>
      </c>
      <c r="E1000">
        <f>INDEX(FactorTable!$B$2:$Y$301, MATCH(ROUND(MIN(300,MAX(1,D1000)),0), FactorTable!$A$2:$A$301,0), Skills!M9+1)</f>
        <v/>
      </c>
      <c r="F1000">
        <f>IF(Skills!N9=TRUE,(Skills!L9/10)*(E1000/1000),Skills!L9/10)+Skills!O9</f>
        <v/>
      </c>
      <c r="G1000">
        <f>Skills!G9*IF(Skills!H9&gt;0,Skills!I9/Skills!H9,1)</f>
        <v/>
      </c>
      <c r="H1000">
        <f>1-(1-Skills!J9/100)^Skills!K9</f>
        <v/>
      </c>
      <c r="I1000" t="inlineStr">
        <is>
          <t>1</t>
        </is>
      </c>
      <c r="J1000">
        <f>((Inputs!$B$6*(1+Inputs!$B$7/100))+(((Inputs!$B$12*(1+Inputs!$B$13/100))-(Inputs!$B$12*(1+Inputs!$B$13/100)))+0.25*(Inputs!$B$14-Inputs!$B$14))*(1+Inputs!$B$7/100))*(F1000/100)</f>
        <v/>
      </c>
      <c r="K1000">
        <f>J1000*(1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1000)</f>
        <v/>
      </c>
      <c r="L1000">
        <f>K1000*(MIN(Inputs!$B$22+((C1013=TRUE)*(F1013-Calc!F22)),(Inputs!$B$23+((C1015=TRUE)*(F1015-Calc!F24))+(IF(ArtifactsInput!$M$15,CHOOSE(ArtifactsInput!$N$15+1,25,30,35,40,45,50)/100*(Inputs!$B$11-Inputs!$B$11),0))))/100+(Inputs!$B$23+((C1015=TRUE)*(F1015-Calc!F24))+(IF(ArtifactsInput!$M$15,CHOOSE(ArtifactsInput!$N$15+1,25,30,35,40,45,50)/100*(Inputs!$B$11-Inputs!$B$11),0)))/100)/2</f>
        <v/>
      </c>
      <c r="M1000">
        <f>L1000*(1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0">
        <f>L1000*(1-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1000*(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0">
        <f>(1-Summary!$B$11)*T1000+Summary!$B$11*V1000</f>
        <v/>
      </c>
      <c r="P1000">
        <f>IF(B1028=0,0,O1000/B1028)</f>
        <v/>
      </c>
      <c r="Q1000">
        <f>IFERROR(1/(IF(Inputs!$B$38="pvp",15,MAX(0.1,Skills!D9-IF(Skills!E9=TRUE,(Inputs!$B$32+1),0)))*(1-IF(AND(ArtifactsInput!$M$27,Inputs!$B$4="Chapter Hunt"),CHOOSE(ArtifactsInput!$N$27+1,20,24,28,32,36,40),0)/100)),0)</f>
        <v/>
      </c>
      <c r="R1000">
        <f>IF(AND(Inputs!$B$38&lt;&gt;"pvp",Inputs!$B$43&gt;0),IF(MAX(0,Inputs!$B$43-B1025)&lt;=0,0,(INT(MAX(0,Inputs!$B$43-B1025)/(IF(Inputs!$B$38="pvp",15,MAX(0.1,Skills!D9-IF(Skills!E9=TRUE,(Inputs!$B$32+1),0)))*(1-IF(AND(ArtifactsInput!$M$27,Inputs!$B$4="Chapter Hunt"),CHOOSE(ArtifactsInput!$N$27+1,20,24,28,32,36,40),0)/100)))+1)),0)</f>
        <v/>
      </c>
      <c r="S1000">
        <f>IFERROR(O1000/N1000,0)</f>
        <v/>
      </c>
      <c r="T1000">
        <f>IF(C1000,(H1000*N1000*IF(AND(Inputs!$B$38&lt;&gt;"pvp",Inputs!$B$43&gt;0),((Skills!G9*((R1000-1)*IF(Skills!H9&gt;0,Skills!I9/Skills!H9,1)+IF(Skills!H9&gt;0,MIN(Skills!I9,MAX(0,MAX(0,Inputs!$B$43-B1025)-((R1000-1)*(IF(Inputs!$B$38="pvp",15,MAX(0.1,Skills!D9-IF(Skills!E9=TRUE,(Inputs!$B$32+1),0)))*(1-IF(AND(ArtifactsInput!$M$27,Inputs!$B$4="Chapter Hunt"),CHOOSE(ArtifactsInput!$N$27+1,20,24,28,32,36,40),0)/100)))))/Skills!H9,1)))/Inputs!$B$43),G1000*Q1000)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1000*(1-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1000*(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1000*(1-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1000*(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0">
        <f>IF(C1000,(H1000*N1000*IF(AND(Inputs!$B$38&lt;&gt;"pvp",Inputs!$B$43&gt;0),((Skills!G9*((R1000-1)*IF(Skills!H9&gt;0,Skills!I9/Skills!H9,1)+IF(Skills!H9&gt;0,MIN(Skills!I9,MAX(0,MAX(0,Inputs!$B$43-B1025)-((R1000-1)*(IF(Inputs!$B$38="pvp",15,MAX(0.1,Skills!D9-IF(Skills!E9=TRUE,(Inputs!$B$32+1),0)))*(1-IF(AND(ArtifactsInput!$M$27,Inputs!$B$4="Chapter Hunt"),CHOOSE(ArtifactsInput!$N$27+1,20,24,28,32,36,40),0)/100)))))/Skills!H9,1)))/Inputs!$B$43),G1000*Q1000))*IF(Inputs!$B$38="pvp",1,(1+(Inputs!$B$21+Skills!Q9+(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1">
      <c r="A1001">
        <f>Skills!A10</f>
        <v/>
      </c>
      <c r="B1001">
        <f>Skills!B10</f>
        <v/>
      </c>
      <c r="C1001">
        <f>Inputs!$B$3&gt;=117</f>
        <v/>
      </c>
      <c r="D1001">
        <f>IF(Skills!C10=1,60+Inputs!$B$25+Inputs!$B$29,IF(Skills!C10=2,90+Inputs!$B$26+Inputs!$B$29,IF(Skills!C10=3,120+Inputs!$B$27+Inputs!$B$29,MAX(0,(Inputs!$B$3-100)*3)+Inputs!$B$28+Inputs!$B$29)))</f>
        <v/>
      </c>
      <c r="E1001">
        <f>INDEX(FactorTable!$B$2:$Y$301, MATCH(ROUND(MIN(300,MAX(1,D1001)),0), FactorTable!$A$2:$A$301,0), Skills!M10+1)</f>
        <v/>
      </c>
      <c r="F1001">
        <f>IF(Skills!N10=TRUE,(Skills!L10/10)*(E1001/1000),Skills!L10/10)+Skills!O10</f>
        <v/>
      </c>
      <c r="G1001">
        <f>Skills!G10*IF(Skills!H10&gt;0,Skills!I10/Skills!H10,1)</f>
        <v/>
      </c>
      <c r="H1001">
        <f>1-(1-Skills!J10/100)^Skills!K10</f>
        <v/>
      </c>
      <c r="I1001" t="inlineStr">
        <is>
          <t>1</t>
        </is>
      </c>
      <c r="J1001">
        <f>((Inputs!$B$6*(1+Inputs!$B$7/100))+(((Inputs!$B$12*(1+Inputs!$B$13/100))-(Inputs!$B$12*(1+Inputs!$B$13/100)))+0.25*(Inputs!$B$14-Inputs!$B$14))*(1+Inputs!$B$7/100))*(F1001/100)</f>
        <v/>
      </c>
      <c r="K1001">
        <f>J1001*(1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1001)</f>
        <v/>
      </c>
      <c r="L1001">
        <f>K1001*(MIN(Inputs!$B$22+((C1013=TRUE)*(F1013-Calc!F22)),(Inputs!$B$23+((C1015=TRUE)*(F1015-Calc!F24))+(IF(ArtifactsInput!$M$15,CHOOSE(ArtifactsInput!$N$15+1,25,30,35,40,45,50)/100*(Inputs!$B$11-Inputs!$B$11),0))))/100+(Inputs!$B$23+((C1015=TRUE)*(F1015-Calc!F24))+(IF(ArtifactsInput!$M$15,CHOOSE(ArtifactsInput!$N$15+1,25,30,35,40,45,50)/100*(Inputs!$B$11-Inputs!$B$11),0)))/100)/2</f>
        <v/>
      </c>
      <c r="M1001">
        <f>L1001*(1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1">
        <f>L1001*(1-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1">
        <f>(1-Summary!$B$11)*T1001+Summary!$B$11*V1001</f>
        <v/>
      </c>
      <c r="P1001">
        <f>IF(B1028=0,0,O1001/B1028)</f>
        <v/>
      </c>
      <c r="Q1001">
        <f>IFERROR(1/(IF(Inputs!$B$38="pvp",15,MAX(0.1,Skills!D10-IF(Skills!E10=TRUE,(Inputs!$B$32+1),0)))*(1-IF(AND(ArtifactsInput!$M$27,Inputs!$B$4="Chapter Hunt"),CHOOSE(ArtifactsInput!$N$27+1,20,24,28,32,36,40),0)/100)),0)</f>
        <v/>
      </c>
      <c r="R1001">
        <f>IF(AND(Inputs!$B$38&lt;&gt;"pvp",Inputs!$B$43&gt;0),IF(MAX(0,Inputs!$B$43-B1025)&lt;=0,0,(INT(MAX(0,Inputs!$B$43-B1025)/(IF(Inputs!$B$38="pvp",15,MAX(0.1,Skills!D10-IF(Skills!E10=TRUE,(Inputs!$B$32+1),0)))*(1-IF(AND(ArtifactsInput!$M$27,Inputs!$B$4="Chapter Hunt"),CHOOSE(ArtifactsInput!$N$27+1,20,24,28,32,36,40),0)/100)))+1)),0)</f>
        <v/>
      </c>
      <c r="S1001">
        <f>IFERROR(O1001/N1001,0)</f>
        <v/>
      </c>
      <c r="T1001">
        <f>IF(C1001,(H1001*N1001*IF(AND(Inputs!$B$38&lt;&gt;"pvp",Inputs!$B$43&gt;0),((Skills!G10*((R1001-1)*IF(Skills!H10&gt;0,Skills!I10/Skills!H10,1)+IF(Skills!H10&gt;0,MIN(Skills!I10,MAX(0,MAX(0,Inputs!$B$43-B1025)-((R1001-1)*(IF(Inputs!$B$38="pvp",15,MAX(0.1,Skills!D10-IF(Skills!E10=TRUE,(Inputs!$B$32+1),0)))*(1-IF(AND(ArtifactsInput!$M$27,Inputs!$B$4="Chapter Hunt"),CHOOSE(ArtifactsInput!$N$27+1,20,24,28,32,36,40),0)/100)))))/Skills!H10,1)))/Inputs!$B$43),G1001*Q1001)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1001*(1-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1001*(1-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1">
        <f>IF(C1001,(H1001*N1001*IF(AND(Inputs!$B$38&lt;&gt;"pvp",Inputs!$B$43&gt;0),((Skills!G10*((R1001-1)*IF(Skills!H10&gt;0,Skills!I10/Skills!H10,1)+IF(Skills!H10&gt;0,MIN(Skills!I10,MAX(0,MAX(0,Inputs!$B$43-B1025)-((R1001-1)*(IF(Inputs!$B$38="pvp",15,MAX(0.1,Skills!D10-IF(Skills!E10=TRUE,(Inputs!$B$32+1),0)))*(1-IF(AND(ArtifactsInput!$M$27,Inputs!$B$4="Chapter Hunt"),CHOOSE(ArtifactsInput!$N$27+1,20,24,28,32,36,40),0)/100)))))/Skills!H10,1)))/Inputs!$B$43),G1001*Q1001))*IF(Inputs!$B$38="pvp",1,(1+(Inputs!$B$21+Skills!Q10+(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2">
      <c r="A1002">
        <f>Skills!A11</f>
        <v/>
      </c>
      <c r="B1002">
        <f>Skills!B11</f>
        <v/>
      </c>
      <c r="C1002">
        <f>Inputs!$B$3&gt;=63</f>
        <v/>
      </c>
      <c r="D1002">
        <f>IF(Skills!C11=1,60+Inputs!$B$25+Inputs!$B$29,IF(Skills!C11=2,90+Inputs!$B$26+Inputs!$B$29,IF(Skills!C11=3,120+Inputs!$B$27+Inputs!$B$29,MAX(0,(Inputs!$B$3-100)*3)+Inputs!$B$28+Inputs!$B$29)))</f>
        <v/>
      </c>
      <c r="E1002">
        <f>INDEX(FactorTable!$B$2:$Y$301, MATCH(ROUND(MIN(300,MAX(1,D1002)),0), FactorTable!$A$2:$A$301,0), Skills!M11+1)</f>
        <v/>
      </c>
      <c r="F1002">
        <f>IF(Skills!N11=TRUE,(Skills!L11/10)*(E1002/1000),Skills!L11/10)+Skills!O11</f>
        <v/>
      </c>
      <c r="G1002">
        <f>Skills!G11*IF(Skills!H11&gt;0,Skills!I11/Skills!H11,1)</f>
        <v/>
      </c>
      <c r="H1002">
        <f>1-(1-Skills!J11/100)^Skills!K11</f>
        <v/>
      </c>
      <c r="I1002" t="inlineStr">
        <is>
          <t>1</t>
        </is>
      </c>
      <c r="J1002">
        <f>((Inputs!$B$6*(1+Inputs!$B$7/100))+(((Inputs!$B$12*(1+Inputs!$B$13/100))-(Inputs!$B$12*(1+Inputs!$B$13/100)))+0.25*(Inputs!$B$14-Inputs!$B$14))*(1+Inputs!$B$7/100))*(F1002/100)</f>
        <v/>
      </c>
      <c r="K1002">
        <f>J1002*(1+((Inputs!$B$12*(1+Inputs!$B$13/100))*0.01+Inputs!$B$14*0.0025)/100)*(1+Inputs!$B$15/100)*(1+Inputs!$B$16/100)*(5000/(6000+Inputs!$B$42*(1-(Inputs!$B$19+0)/100)))*(1+(Inputs!$B$24+0+B1024)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1003=TRUE,F1003,0)/100)*(1+(IF(Skills!A11="BLAST",Inputs!$B$17+((C1012=TRUE)*(F1012-Calc!F21))+((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MIN(100,((Inputs!$B$9+0+B1018+(ArtifactsInput!$M$24-ArtifactsInput!$M$24)*CHOOSE(ArtifactsInput!$N$24+1,10,12,14,16,18,20)+IF(ArtifactsInput!$M$10,CHOOSE(ArtifactsInput!$N$10+1,15,18,21,24,27,30)*(IF(Inputs!$B$38="pvp",MIN(15,15)/15,IF(AND(Inputs!$B$38&lt;&gt;"pvp",Inputs!$B$43&gt;0),MIN(15,Inputs!$B$43)/(Inputs!$B$43),0))),0)))-100),0))*CHOOSE(ArtifactsInput!$N$42+1,0.6,0.72,0.84,0.96,1.08,1.2))),Inputs!$B$18+((C1014=TRUE)*(F1014-Calc!F23))+(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gt;=100),CHOOSE(ArtifactsInput!$N$42+1,40,48,56,64,72,80),0))))/100)*((1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1002)</f>
        <v/>
      </c>
      <c r="L1002">
        <f>K1002*(MIN(Inputs!$B$22+((C1013=TRUE)*(F1013-Calc!F22)),(Inputs!$B$23+((C1015=TRUE)*(F1015-Calc!F24))+(IF(ArtifactsInput!$M$15,CHOOSE(ArtifactsInput!$N$15+1,25,30,35,40,45,50)/100*(Inputs!$B$11-Inputs!$B$11),0))))/100+(Inputs!$B$23+((C1015=TRUE)*(F1015-Calc!F24))+(IF(ArtifactsInput!$M$15,CHOOSE(ArtifactsInput!$N$15+1,25,30,35,40,45,50)/100*(Inputs!$B$11-Inputs!$B$11),0)))/100)/2</f>
        <v/>
      </c>
      <c r="M1002">
        <f>L1002*(1+(Inputs!$B$10+0+B1023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02">
        <f>L1002*(1-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1002*(MIN((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02">
        <f>(1-Summary!$B$11)*T1002+Summary!$B$11*V1002</f>
        <v/>
      </c>
      <c r="P1002">
        <f>IF(B1028=0,0,O1002/B1028)</f>
        <v/>
      </c>
      <c r="Q1002">
        <f>IFERROR(1/(IF(Inputs!$B$38="pvp",15,MAX(0.1,Skills!D11-IF(Skills!E11=TRUE,(Inputs!$B$32+1),0)))*(1-IF(AND(ArtifactsInput!$M$27,Inputs!$B$4="Chapter Hunt"),CHOOSE(ArtifactsInput!$N$27+1,20,24,28,32,36,40),0)/100)),0)</f>
        <v/>
      </c>
      <c r="R1002">
        <f>IF(AND(Inputs!$B$38&lt;&gt;"pvp",Inputs!$B$43&gt;0),IF(MAX(0,Inputs!$B$43-B1025)&lt;=0,0,(INT(MAX(0,Inputs!$B$43-B1025)/(IF(Inputs!$B$38="pvp",15,MAX(0.1,Skills!D11-IF(Skills!E11=TRUE,(Inputs!$B$32+1),0)))*(1-IF(AND(ArtifactsInput!$M$27,Inputs!$B$4="Chapter Hunt"),CHOOSE(ArtifactsInput!$N$27+1,20,24,28,32,36,40),0)/100)))+1)),0)</f>
        <v/>
      </c>
      <c r="S1002">
        <f>IFERROR(O1002/N1002,0)</f>
        <v/>
      </c>
      <c r="T1002">
        <f>IF(C1002,(H1002*N1002*IF(AND(Inputs!$B$38&lt;&gt;"pvp",Inputs!$B$43&gt;0),((Skills!G11*((R1002-1)*IF(Skills!H11&gt;0,Skills!I11/Skills!H11,1)+IF(Skills!H11&gt;0,MIN(Skills!I11,MAX(0,MAX(0,Inputs!$B$43-B1025)-((R1002-1)*(IF(Inputs!$B$38="pvp",15,MAX(0.1,Skills!D11-IF(Skills!E11=TRUE,(Inputs!$B$32+1),0)))*(1-IF(AND(ArtifactsInput!$M$27,Inputs!$B$4="Chapter Hunt"),CHOOSE(ArtifactsInput!$N$27+1,20,24,28,32,36,40),0)/100)))))/Skills!H11,1)))/Inputs!$B$43),G1002*Q1002)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1002*(1-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1002*(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1002*(1-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1002*(MIN(100,(Inputs!$B$9+0+B1018+(ArtifactsInput!$M$24-ArtifactsInput!$M$24)*CHOOSE(ArtifactsInput!$N$24+1,10,12,14,16,18,20)+(IF(AND(Inputs!$B$38&lt;&gt;"pvp",Inputs!$B$43=0),1,IF(IF(Inputs!$B$38="pvp",15,Inputs!$B$43)-(B1025)&lt;=0,1,MAX(0,IF(Inputs!$B$38="pvp",15,Inputs!$B$43)-MAX(5,B1025))/(IF(Inputs!$B$38="pvp",15,Inputs!$B$43)-(B1025))))*IF(AND(ArtifactsInput!$M$42,((Inputs!$B$9+0+B1018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02">
        <f>IF(C1002,(H1002*N1002*IF(AND(Inputs!$B$38&lt;&gt;"pvp",Inputs!$B$43&gt;0),((Skills!G11*((R1002-1)*IF(Skills!H11&gt;0,Skills!I11/Skills!H11,1)+IF(Skills!H11&gt;0,MIN(Skills!I11,MAX(0,MAX(0,Inputs!$B$43-B1025)-((R1002-1)*(IF(Inputs!$B$38="pvp",15,MAX(0.1,Skills!D11-IF(Skills!E11=TRUE,(Inputs!$B$32+1),0)))*(1-IF(AND(ArtifactsInput!$M$27,Inputs!$B$4="Chapter Hunt"),CHOOSE(ArtifactsInput!$N$27+1,20,24,28,32,36,40),0)/100)))))/Skills!H11,1)))/Inputs!$B$43),G1002*Q1002))*IF(Inputs!$B$38="pvp",1,(1+(Inputs!$B$21+Skills!Q11+(IF(ArtifactsInput!$M$33,CHOOSE(ArtifactsInput!$N$33+1,30,36,42,48,54,60),0))+(IF(AND(ArtifactsInput!$M$35,Inputs!$B$4&lt;&gt;"Chapter Hunt"),CHOOSE(ArtifactsInput!$N$35+1,15,18,21,24,27,30)*(1-EXP(-(0.2*B1020)*5)),0)+IF(AND(ArtifactsInput!$M$22,Inputs!$B$4&lt;&gt;"Chapter Hunt"),CHOOSE(ArtifactsInput!$N$22+1,10,12,14,16,18,20)*((0*(((0.15*B1020*5))^0/1)+1*(((0.15*B1020*5))^1/1)+2*(((0.15*B1020*5))^2/2)+3*(((0.15*B1020*5))^3/6)+4*(((0.15*B1020*5))^4/24)+5*(((0.15*B1020*5))^5/120))/((((0.15*B1020*5))^0/1)+(((0.15*B1020*5))^1/1)+(((0.15*B1020*5))^2/2)+(((0.15*B1020*5))^3/6)+(((0.15*B1020*5))^4/24)+(((0.15*B1020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03">
      <c r="A1003">
        <f>Skills!A12</f>
        <v/>
      </c>
      <c r="B1003">
        <f>Skills!B12</f>
        <v/>
      </c>
      <c r="C1003">
        <f>Inputs!$B$3&gt;=100</f>
        <v/>
      </c>
      <c r="D1003">
        <f>IF(Skills!C12=1,60+Inputs!$B$25+Inputs!$B$29,IF(Skills!C12=2,90+Inputs!$B$26+Inputs!$B$29,IF(Skills!C12=3,120+Inputs!$B$27+Inputs!$B$29,MAX(0,(Inputs!$B$3-100)*3)+Inputs!$B$28+Inputs!$B$29)))</f>
        <v/>
      </c>
      <c r="E1003">
        <f>INDEX(FactorTable!$B$2:$Y$301, MATCH(ROUND(MIN(300,MAX(1,D1003)),0), FactorTable!$A$2:$A$301,0), Skills!M12+1)</f>
        <v/>
      </c>
      <c r="F1003">
        <f>IF(Skills!N12=TRUE,(Skills!L12/10)*(E1003/1000),Skills!L12/10)+Skills!O12</f>
        <v/>
      </c>
      <c r="G1003" t="inlineStr"/>
      <c r="H1003" t="inlineStr"/>
      <c r="I1003" t="inlineStr">
        <is>
          <t>1</t>
        </is>
      </c>
      <c r="J1003" t="inlineStr"/>
      <c r="K1003" t="inlineStr"/>
      <c r="L1003" t="inlineStr"/>
      <c r="M1003" t="inlineStr"/>
      <c r="N1003" t="inlineStr"/>
      <c r="O1003" t="inlineStr"/>
      <c r="P1003" t="inlineStr"/>
      <c r="Q1003" t="inlineStr"/>
      <c r="R1003" t="inlineStr"/>
      <c r="S1003" t="inlineStr"/>
    </row>
    <row r="1004">
      <c r="A1004">
        <f>Skills!A13</f>
        <v/>
      </c>
      <c r="B1004">
        <f>Skills!B13</f>
        <v/>
      </c>
      <c r="C1004">
        <f>Inputs!$B$3&gt;=45</f>
        <v/>
      </c>
      <c r="D1004">
        <f>IF(Skills!C13=1,60+Inputs!$B$25+Inputs!$B$29,IF(Skills!C13=2,90+Inputs!$B$26+Inputs!$B$29,IF(Skills!C13=3,120+Inputs!$B$27+Inputs!$B$29,MAX(0,(Inputs!$B$3-100)*3)+Inputs!$B$28+Inputs!$B$29)))</f>
        <v/>
      </c>
      <c r="E1004">
        <f>INDEX(FactorTable!$B$2:$Y$301, MATCH(ROUND(MIN(300,MAX(1,D1004)),0), FactorTable!$A$2:$A$301,0), Skills!M13+1)</f>
        <v/>
      </c>
      <c r="F1004">
        <f>IF(Skills!N13=TRUE,(Skills!L13/10)*(E1004/1000),Skills!L13/10)+Skills!O13</f>
        <v/>
      </c>
      <c r="G1004">
        <f>Skills!G13*IF(Skills!H13&gt;0,Skills!I13/Skills!H13,1)</f>
        <v/>
      </c>
      <c r="H1004">
        <f>1-(1-Skills!J13/100)^Skills!K13</f>
        <v/>
      </c>
      <c r="I1004" t="inlineStr">
        <is>
          <t>1</t>
        </is>
      </c>
      <c r="J1004" t="inlineStr"/>
      <c r="K1004" t="inlineStr"/>
      <c r="L1004" t="inlineStr"/>
      <c r="M1004" t="inlineStr"/>
      <c r="N1004" t="inlineStr"/>
      <c r="O1004">
        <f>(1-Summary!$B$11)*T1004+Summary!$B$11*V1004</f>
        <v/>
      </c>
      <c r="P1004">
        <f>IF(B1028=0,0,O1004/B1028)</f>
        <v/>
      </c>
      <c r="Q1004" t="n">
        <v>0</v>
      </c>
      <c r="R1004" t="n">
        <v>0</v>
      </c>
      <c r="S1004">
        <f>IFERROR(O1004/N1004,0)</f>
        <v/>
      </c>
      <c r="T1004" t="n">
        <v>0</v>
      </c>
      <c r="V1004" t="n">
        <v>0</v>
      </c>
    </row>
    <row r="1005">
      <c r="A1005">
        <f>Skills!A14</f>
        <v/>
      </c>
      <c r="B1005">
        <f>Skills!B14</f>
        <v/>
      </c>
      <c r="C1005">
        <f>Inputs!$B$3&gt;=110</f>
        <v/>
      </c>
      <c r="D1005">
        <f>IF(Skills!C14=1,60+Inputs!$B$25+Inputs!$B$29,IF(Skills!C14=2,90+Inputs!$B$26+Inputs!$B$29,IF(Skills!C14=3,120+Inputs!$B$27+Inputs!$B$29,MAX(0,(Inputs!$B$3-100)*3)+Inputs!$B$28+Inputs!$B$29)))</f>
        <v/>
      </c>
      <c r="E1005">
        <f>INDEX(FactorTable!$B$2:$Y$301, MATCH(ROUND(MIN(300,MAX(1,D1005)),0), FactorTable!$A$2:$A$301,0), Skills!M14+1)</f>
        <v/>
      </c>
      <c r="F1005">
        <f>IF(Skills!N14=TRUE,(Skills!L14/10)*(E1005/1000),Skills!L14/10)+Skills!O14</f>
        <v/>
      </c>
      <c r="G1005">
        <f>Skills!G14*IF(Skills!H14&gt;0,Skills!I14/Skills!H14,1)</f>
        <v/>
      </c>
      <c r="H1005">
        <f>1-(1-Skills!J14/100)^Skills!K14</f>
        <v/>
      </c>
      <c r="I1005" t="inlineStr">
        <is>
          <t>1</t>
        </is>
      </c>
      <c r="J1005" t="inlineStr"/>
      <c r="K1005" t="inlineStr"/>
      <c r="L1005" t="inlineStr"/>
      <c r="M1005" t="inlineStr"/>
      <c r="N1005" t="inlineStr"/>
      <c r="O1005">
        <f>(1-Summary!$B$11)*T1005+Summary!$B$11*V1005</f>
        <v/>
      </c>
      <c r="P1005">
        <f>IF(B1028=0,0,O1005/B1028)</f>
        <v/>
      </c>
      <c r="Q1005" t="n">
        <v>0</v>
      </c>
      <c r="R1005" t="n">
        <v>0</v>
      </c>
      <c r="S1005">
        <f>IFERROR(O1005/N1005,0)</f>
        <v/>
      </c>
      <c r="T1005" t="n">
        <v>0</v>
      </c>
      <c r="V1005" t="n">
        <v>0</v>
      </c>
    </row>
    <row r="1006">
      <c r="A1006">
        <f>Skills!A15</f>
        <v/>
      </c>
      <c r="B1006">
        <f>Skills!B15</f>
        <v/>
      </c>
      <c r="C1006">
        <f>Inputs!$B$3&gt;=75</f>
        <v/>
      </c>
      <c r="D1006">
        <f>IF(Skills!C15=1,60+Inputs!$B$25+Inputs!$B$29,IF(Skills!C15=2,90+Inputs!$B$26+Inputs!$B$29,IF(Skills!C15=3,120+Inputs!$B$27+Inputs!$B$29,MAX(0,(Inputs!$B$3-100)*3)+Inputs!$B$28+Inputs!$B$29)))</f>
        <v/>
      </c>
      <c r="E1006">
        <f>INDEX(FactorTable!$B$2:$Y$301, MATCH(ROUND(MIN(300,MAX(1,D1006)),0), FactorTable!$A$2:$A$301,0), Skills!M15+1)</f>
        <v/>
      </c>
      <c r="F1006">
        <f>IF(Skills!N15=TRUE,(Skills!L15/10)*(E1006/1000),Skills!L15/10)+Skills!O15</f>
        <v/>
      </c>
      <c r="G1006">
        <f>Skills!G15*IF(Skills!H15&gt;0,Skills!I15/Skills!H15,1)</f>
        <v/>
      </c>
      <c r="H1006">
        <f>1-(1-Skills!J15/100)^Skills!K15</f>
        <v/>
      </c>
      <c r="I1006" t="inlineStr">
        <is>
          <t>1</t>
        </is>
      </c>
      <c r="J1006" t="inlineStr"/>
      <c r="K1006" t="inlineStr"/>
      <c r="L1006" t="inlineStr"/>
      <c r="M1006" t="inlineStr"/>
      <c r="N1006" t="inlineStr"/>
      <c r="O1006">
        <f>(1-Summary!$B$11)*T1006+Summary!$B$11*V1006</f>
        <v/>
      </c>
      <c r="P1006">
        <f>IF(B1028=0,0,O1006/B1028)</f>
        <v/>
      </c>
      <c r="Q1006">
        <f>IFERROR(1/(IF(Inputs!$B$38="pvp",15,MAX(0.1,Skills!D15-IF(Skills!E15=TRUE,(Inputs!$B$32+1),0)))*(1-IF(AND(ArtifactsInput!$M$27,Inputs!$B$4="Chapter Hunt"),CHOOSE(ArtifactsInput!$N$27+1,20,24,28,32,36,40),0)/100)),0)</f>
        <v/>
      </c>
      <c r="R1006">
        <f>IF(AND(Inputs!$B$38&lt;&gt;"pvp",Inputs!$B$43&gt;0),IF(Inputs!$B$43&lt;=0,0,(INT(Inputs!$B$43/(IF(Inputs!$B$38="pvp",15,MAX(0.1,Skills!D15-IF(Skills!E15=TRUE,(Inputs!$B$32+1),0)))*(1-IF(AND(ArtifactsInput!$M$27,Inputs!$B$4="Chapter Hunt"),CHOOSE(ArtifactsInput!$N$27+1,20,24,28,32,36,40),0)/100)))+1)),0)</f>
        <v/>
      </c>
      <c r="S1006">
        <f>IFERROR(O1006/N1006,0)</f>
        <v/>
      </c>
      <c r="T1006" t="n">
        <v>0</v>
      </c>
      <c r="V1006" t="n">
        <v>0</v>
      </c>
    </row>
    <row r="1007">
      <c r="A1007">
        <f>Skills!A16</f>
        <v/>
      </c>
      <c r="B1007">
        <f>Skills!B16</f>
        <v/>
      </c>
      <c r="C1007">
        <f>Inputs!$B$3&gt;=105</f>
        <v/>
      </c>
      <c r="D1007">
        <f>IF(Skills!C16=1,60+Inputs!$B$25+Inputs!$B$29,IF(Skills!C16=2,90+Inputs!$B$26+Inputs!$B$29,IF(Skills!C16=3,120+Inputs!$B$27+Inputs!$B$29,MAX(0,(Inputs!$B$3-100)*3)+Inputs!$B$28+Inputs!$B$29)))</f>
        <v/>
      </c>
      <c r="E1007">
        <f>INDEX(FactorTable!$B$2:$Y$301, MATCH(ROUND(MIN(300,MAX(1,D1007)),0), FactorTable!$A$2:$A$301,0), Skills!M16+1)</f>
        <v/>
      </c>
      <c r="F1007">
        <f>IF(Skills!N16=TRUE,(Skills!L16/10)*(E1007/1000),Skills!L16/10)+Skills!O16</f>
        <v/>
      </c>
      <c r="G1007">
        <f>Skills!G16*IF(Skills!H16&gt;0,Skills!I16/Skills!H16,1)</f>
        <v/>
      </c>
      <c r="H1007">
        <f>1-(1-Skills!J16/100)^Skills!K16</f>
        <v/>
      </c>
      <c r="I1007" t="inlineStr">
        <is>
          <t>1</t>
        </is>
      </c>
      <c r="J1007" t="inlineStr"/>
      <c r="K1007" t="inlineStr"/>
      <c r="L1007" t="inlineStr"/>
      <c r="M1007" t="inlineStr"/>
      <c r="N1007" t="inlineStr"/>
      <c r="O1007">
        <f>(1-Summary!$B$11)*T1007+Summary!$B$11*V1007</f>
        <v/>
      </c>
      <c r="P1007">
        <f>IF(B1028=0,0,O1007/B1028)</f>
        <v/>
      </c>
      <c r="Q1007">
        <f>IFERROR(1/(IF(Inputs!$B$38="pvp",15,MAX(0.1,Skills!D16-IF(Skills!E16=TRUE,(Inputs!$B$32+1),0)))*(1-IF(AND(ArtifactsInput!$M$27,Inputs!$B$4="Chapter Hunt"),CHOOSE(ArtifactsInput!$N$27+1,20,24,28,32,36,40),0)/100)),0)</f>
        <v/>
      </c>
      <c r="R1007">
        <f>IF(AND(Inputs!$B$38&lt;&gt;"pvp",Inputs!$B$43&gt;0),IF(Inputs!$B$43&lt;=0,0,(INT(Inputs!$B$43/(IF(Inputs!$B$38="pvp",15,MAX(0.1,Skills!D16-IF(Skills!E16=TRUE,(Inputs!$B$32+1),0)))*(1-IF(AND(ArtifactsInput!$M$27,Inputs!$B$4="Chapter Hunt"),CHOOSE(ArtifactsInput!$N$27+1,20,24,28,32,36,40),0)/100)))+1)),0)</f>
        <v/>
      </c>
      <c r="S1007">
        <f>IFERROR(O1007/N1007,0)</f>
        <v/>
      </c>
      <c r="T1007" t="n">
        <v>0</v>
      </c>
      <c r="V1007" t="n">
        <v>0</v>
      </c>
    </row>
    <row r="1008">
      <c r="A1008">
        <f>Skills!A17</f>
        <v/>
      </c>
      <c r="B1008">
        <f>Skills!B17</f>
        <v/>
      </c>
      <c r="C1008">
        <f>Inputs!$B$3&gt;=115</f>
        <v/>
      </c>
      <c r="D1008">
        <f>IF(Skills!C17=1,60+Inputs!$B$25+Inputs!$B$29,IF(Skills!C17=2,90+Inputs!$B$26+Inputs!$B$29,IF(Skills!C17=3,120+Inputs!$B$27+Inputs!$B$29,MAX(0,(Inputs!$B$3-100)*3)+Inputs!$B$28+Inputs!$B$29)))</f>
        <v/>
      </c>
      <c r="E1008">
        <f>INDEX(FactorTable!$B$2:$Y$301, MATCH(ROUND(MIN(300,MAX(1,D1008)),0), FactorTable!$A$2:$A$301,0), Skills!M17+1)</f>
        <v/>
      </c>
      <c r="F1008">
        <f>IF(Skills!N17=TRUE,(Skills!L17/10)*(E1008/1000),Skills!L17/10)+Skills!O17</f>
        <v/>
      </c>
      <c r="G1008">
        <f>Skills!G17*IF(Skills!H17&gt;0,Skills!I17/Skills!H17,1)</f>
        <v/>
      </c>
      <c r="H1008">
        <f>1-(1-Skills!J17/100)^Skills!K17</f>
        <v/>
      </c>
      <c r="I1008" t="inlineStr">
        <is>
          <t>1</t>
        </is>
      </c>
      <c r="J1008" t="inlineStr"/>
      <c r="K1008" t="inlineStr"/>
      <c r="L1008" t="inlineStr"/>
      <c r="M1008" t="inlineStr"/>
      <c r="N1008" t="inlineStr"/>
      <c r="O1008">
        <f>(1-Summary!$B$11)*T1008+Summary!$B$11*V1008</f>
        <v/>
      </c>
      <c r="P1008">
        <f>IF(B1028=0,0,O1008/B1028)</f>
        <v/>
      </c>
      <c r="Q1008">
        <f>IFERROR(1/(IF(Inputs!$B$38="pvp",15,MAX(0.1,Skills!D17-IF(Skills!E17=TRUE,(Inputs!$B$32+1),0)))*(1-IF(AND(ArtifactsInput!$M$27,Inputs!$B$4="Chapter Hunt"),CHOOSE(ArtifactsInput!$N$27+1,20,24,28,32,36,40),0)/100)),0)</f>
        <v/>
      </c>
      <c r="R1008">
        <f>IF(AND(Inputs!$B$38&lt;&gt;"pvp",Inputs!$B$43&gt;0),IF(Inputs!$B$43&lt;=0,0,(INT(Inputs!$B$43/(IF(Inputs!$B$38="pvp",15,MAX(0.1,Skills!D17-IF(Skills!E17=TRUE,(Inputs!$B$32+1),0)))*(1-IF(AND(ArtifactsInput!$M$27,Inputs!$B$4="Chapter Hunt"),CHOOSE(ArtifactsInput!$N$27+1,20,24,28,32,36,40),0)/100)))+1)),0)</f>
        <v/>
      </c>
      <c r="S1008">
        <f>IFERROR(O1008/N1008,0)</f>
        <v/>
      </c>
      <c r="T1008" t="n">
        <v>0</v>
      </c>
      <c r="V1008" t="n">
        <v>0</v>
      </c>
    </row>
    <row r="1009">
      <c r="A1009">
        <f>Skills!A18</f>
        <v/>
      </c>
      <c r="B1009">
        <f>Skills!B18</f>
        <v/>
      </c>
      <c r="C1009">
        <f>Inputs!$B$3&gt;=74</f>
        <v/>
      </c>
      <c r="D1009">
        <f>IF(Skills!C18=1,60+Inputs!$B$25+Inputs!$B$29,IF(Skills!C18=2,90+Inputs!$B$26+Inputs!$B$29,IF(Skills!C18=3,120+Inputs!$B$27+Inputs!$B$29,MAX(0,(Inputs!$B$3-100)*3)+Inputs!$B$28+Inputs!$B$29)))</f>
        <v/>
      </c>
      <c r="E1009">
        <f>INDEX(FactorTable!$B$2:$Y$301, MATCH(ROUND(MIN(300,MAX(1,D1009)),0), FactorTable!$A$2:$A$301,0), Skills!M18+1)</f>
        <v/>
      </c>
      <c r="F1009">
        <f>IF(Skills!N18=TRUE,(Skills!L18/10)*(E1009/1000),Skills!L18/10)+Skills!O18</f>
        <v/>
      </c>
      <c r="G1009">
        <f>Skills!G18*IF(Skills!H18&gt;0,Skills!I18/Skills!H18,1)</f>
        <v/>
      </c>
      <c r="H1009">
        <f>1-(1-Skills!J18/100)^Skills!K18</f>
        <v/>
      </c>
      <c r="I1009" t="inlineStr">
        <is>
          <t>1</t>
        </is>
      </c>
      <c r="J1009" t="inlineStr"/>
      <c r="K1009" t="inlineStr"/>
      <c r="L1009" t="inlineStr"/>
      <c r="M1009" t="inlineStr"/>
      <c r="N1009" t="inlineStr"/>
      <c r="O1009">
        <f>(1-Summary!$B$11)*T1009+Summary!$B$11*V1009</f>
        <v/>
      </c>
      <c r="P1009">
        <f>IF(B1028=0,0,O1009/B1028)</f>
        <v/>
      </c>
      <c r="Q1009">
        <f>IFERROR(1/(IF(Inputs!$B$38="pvp",15,MAX(0.1,Skills!D18-IF(Skills!E18=TRUE,(Inputs!$B$32+1),0)))*(1-IF(AND(ArtifactsInput!$M$27,Inputs!$B$4="Chapter Hunt"),CHOOSE(ArtifactsInput!$N$27+1,20,24,28,32,36,40),0)/100)),0)</f>
        <v/>
      </c>
      <c r="R1009">
        <f>IF(AND(Inputs!$B$38&lt;&gt;"pvp",Inputs!$B$43&gt;0),IF(Inputs!$B$43&lt;=0,0,(INT(Inputs!$B$43/(IF(Inputs!$B$38="pvp",15,MAX(0.1,Skills!D18-IF(Skills!E18=TRUE,(Inputs!$B$32+1),0)))*(1-IF(AND(ArtifactsInput!$M$27,Inputs!$B$4="Chapter Hunt"),CHOOSE(ArtifactsInput!$N$27+1,20,24,28,32,36,40),0)/100)))+1)),0)</f>
        <v/>
      </c>
      <c r="S1009">
        <f>IFERROR(O1009/N1009,0)</f>
        <v/>
      </c>
      <c r="T1009" t="n">
        <v>0</v>
      </c>
      <c r="V1009" t="n">
        <v>0</v>
      </c>
    </row>
    <row r="1010">
      <c r="A1010">
        <f>Skills!A19</f>
        <v/>
      </c>
      <c r="B1010">
        <f>Skills!B19</f>
        <v/>
      </c>
      <c r="C1010">
        <f>TRUE</f>
        <v/>
      </c>
      <c r="D1010">
        <f>IF(Skills!C19=1,60+Inputs!$B$25+Inputs!$B$29,IF(Skills!C19=2,90+Inputs!$B$26+Inputs!$B$29,IF(Skills!C19=3,120+Inputs!$B$27+Inputs!$B$29,MAX(0,(Inputs!$B$3-100)*3)+Inputs!$B$28+Inputs!$B$29)))</f>
        <v/>
      </c>
      <c r="E1010">
        <f>INDEX(FactorTable!$B$2:$Y$301, MATCH(ROUND(MIN(300,MAX(1,D1010)),0), FactorTable!$A$2:$A$301,0), Skills!M19+1)</f>
        <v/>
      </c>
      <c r="F1010">
        <f>IF(Skills!N19=TRUE,(Skills!L19/10)*(E1010/1000),Skills!L19/10)+Skills!O19</f>
        <v/>
      </c>
      <c r="G1010">
        <f>Skills!G19*IF(Skills!H19&gt;0,Skills!I19/Skills!H19,1)</f>
        <v/>
      </c>
      <c r="H1010">
        <f>1-(1-Skills!J19/100)^Skills!K19</f>
        <v/>
      </c>
      <c r="I1010" t="inlineStr">
        <is>
          <t>1</t>
        </is>
      </c>
      <c r="J1010" t="inlineStr"/>
      <c r="K1010" t="inlineStr"/>
      <c r="L1010" t="inlineStr"/>
      <c r="M1010" t="inlineStr"/>
      <c r="N1010" t="inlineStr"/>
      <c r="O1010">
        <f>(1-Summary!$B$11)*T1010+Summary!$B$11*V1010</f>
        <v/>
      </c>
      <c r="P1010">
        <f>IF(B1028=0,0,O1010/B1028)</f>
        <v/>
      </c>
      <c r="Q1010">
        <f>IFERROR(1/(IF(Inputs!$B$38="pvp",15,MAX(0.1,Skills!D19-IF(Skills!E19=TRUE,(Inputs!$B$32+1),0)))*(1-IF(AND(ArtifactsInput!$M$27,Inputs!$B$4="Chapter Hunt"),CHOOSE(ArtifactsInput!$N$27+1,20,24,28,32,36,40),0)/100)),0)</f>
        <v/>
      </c>
      <c r="R1010">
        <f>IF(AND(Inputs!$B$38&lt;&gt;"pvp",Inputs!$B$43&gt;0),IF(Inputs!$B$43&lt;=0,0,(INT(Inputs!$B$43/(IF(Inputs!$B$38="pvp",15,MAX(0.1,Skills!D19-IF(Skills!E19=TRUE,(Inputs!$B$32+1),0)))*(1-IF(AND(ArtifactsInput!$M$27,Inputs!$B$4="Chapter Hunt"),CHOOSE(ArtifactsInput!$N$27+1,20,24,28,32,36,40),0)/100)))+1)),0)</f>
        <v/>
      </c>
      <c r="S1010">
        <f>IFERROR(O1010/N1010,0)</f>
        <v/>
      </c>
      <c r="T1010" t="n">
        <v>0</v>
      </c>
      <c r="V1010" t="n">
        <v>0</v>
      </c>
    </row>
    <row r="1011">
      <c r="A1011">
        <f>Skills!A20</f>
        <v/>
      </c>
      <c r="B1011">
        <f>Skills!B20</f>
        <v/>
      </c>
      <c r="C1011">
        <f>Inputs!$B$3&gt;=33</f>
        <v/>
      </c>
      <c r="D1011">
        <f>IF(Skills!C20=1,60+Inputs!$B$25+Inputs!$B$29,IF(Skills!C20=2,90+Inputs!$B$26+Inputs!$B$29,IF(Skills!C20=3,120+Inputs!$B$27+Inputs!$B$29,MAX(0,(Inputs!$B$3-100)*3)+Inputs!$B$28+Inputs!$B$29)))</f>
        <v/>
      </c>
      <c r="E1011">
        <f>INDEX(FactorTable!$B$2:$Y$301, MATCH(ROUND(MIN(300,MAX(1,D1011)),0), FactorTable!$A$2:$A$301,0), Skills!M20+1)</f>
        <v/>
      </c>
      <c r="F1011">
        <f>IF(Skills!N20=TRUE,(Skills!L20/10)*(E1011/1000),Skills!L20/10)+Skills!O20</f>
        <v/>
      </c>
      <c r="G1011">
        <f>Skills!G20*IF(Skills!H20&gt;0,Skills!I20/Skills!H20,1)</f>
        <v/>
      </c>
      <c r="H1011">
        <f>1-(1-Skills!J20/100)^Skills!K20</f>
        <v/>
      </c>
      <c r="I1011" t="inlineStr">
        <is>
          <t>1</t>
        </is>
      </c>
      <c r="J1011" t="inlineStr"/>
      <c r="K1011" t="inlineStr"/>
      <c r="L1011" t="inlineStr"/>
      <c r="M1011" t="inlineStr"/>
      <c r="N1011" t="inlineStr"/>
      <c r="O1011">
        <f>(1-Summary!$B$11)*T1011+Summary!$B$11*V1011</f>
        <v/>
      </c>
      <c r="P1011">
        <f>IF(B1028=0,0,O1011/B1028)</f>
        <v/>
      </c>
      <c r="Q1011" t="n">
        <v>0</v>
      </c>
      <c r="R1011" t="n">
        <v>0</v>
      </c>
      <c r="S1011">
        <f>IFERROR(O1011/N1011,0)</f>
        <v/>
      </c>
      <c r="T1011" t="n">
        <v>0</v>
      </c>
      <c r="V1011" t="n">
        <v>0</v>
      </c>
    </row>
    <row r="1012">
      <c r="A1012">
        <f>Skills!A21</f>
        <v/>
      </c>
      <c r="B1012">
        <f>Skills!B21</f>
        <v/>
      </c>
      <c r="C1012">
        <f>Inputs!$B$3&gt;=38</f>
        <v/>
      </c>
      <c r="D1012">
        <f>IF(Skills!C21=1,60+Inputs!$B$25+Inputs!$B$29,IF(Skills!C21=2,90+Inputs!$B$26+Inputs!$B$29,IF(Skills!C21=3,120+Inputs!$B$27+Inputs!$B$29,MAX(0,(Inputs!$B$3-100)*3)+Inputs!$B$28+Inputs!$B$29)))</f>
        <v/>
      </c>
      <c r="E1012">
        <f>INDEX(FactorTable!$B$2:$Y$301, MATCH(ROUND(MIN(300,MAX(1,D1012)),0), FactorTable!$A$2:$A$301,0), Skills!M21+1)</f>
        <v/>
      </c>
      <c r="F1012">
        <f>IF(Skills!N21=TRUE,(Skills!L21/10)*(E1012/1000),Skills!L21/10)+Skills!O21</f>
        <v/>
      </c>
      <c r="G1012">
        <f>Skills!G21*IF(Skills!H21&gt;0,Skills!I21/Skills!H21,1)</f>
        <v/>
      </c>
      <c r="H1012">
        <f>1-(1-Skills!J21/100)^Skills!K21</f>
        <v/>
      </c>
      <c r="I1012" t="inlineStr">
        <is>
          <t>1</t>
        </is>
      </c>
      <c r="J1012" t="inlineStr"/>
      <c r="K1012" t="inlineStr"/>
      <c r="L1012" t="inlineStr"/>
      <c r="M1012" t="inlineStr"/>
      <c r="N1012" t="inlineStr"/>
      <c r="O1012">
        <f>(1-Summary!$B$11)*T1012+Summary!$B$11*V1012</f>
        <v/>
      </c>
      <c r="P1012">
        <f>IF(B1028=0,0,O1012/B1028)</f>
        <v/>
      </c>
      <c r="Q1012" t="n">
        <v>0</v>
      </c>
      <c r="R1012" t="n">
        <v>0</v>
      </c>
      <c r="S1012">
        <f>IFERROR(O1012/N1012,0)</f>
        <v/>
      </c>
      <c r="T1012" t="n">
        <v>0</v>
      </c>
      <c r="V1012" t="n">
        <v>0</v>
      </c>
    </row>
    <row r="1013">
      <c r="A1013">
        <f>Skills!A22</f>
        <v/>
      </c>
      <c r="B1013">
        <f>Skills!B22</f>
        <v/>
      </c>
      <c r="C1013">
        <f>Inputs!$B$3&gt;=43</f>
        <v/>
      </c>
      <c r="D1013">
        <f>IF(Skills!C22=1,60+Inputs!$B$25+Inputs!$B$29,IF(Skills!C22=2,90+Inputs!$B$26+Inputs!$B$29,IF(Skills!C22=3,120+Inputs!$B$27+Inputs!$B$29,MAX(0,(Inputs!$B$3-100)*3)+Inputs!$B$28+Inputs!$B$29)))</f>
        <v/>
      </c>
      <c r="E1013">
        <f>INDEX(FactorTable!$B$2:$Y$301, MATCH(ROUND(MIN(300,MAX(1,D1013)),0), FactorTable!$A$2:$A$301,0), Skills!M22+1)</f>
        <v/>
      </c>
      <c r="F1013">
        <f>IF(Skills!N22=TRUE,(Skills!L22/10)*(E1013/1000),Skills!L22/10)+Skills!O22</f>
        <v/>
      </c>
      <c r="G1013">
        <f>Skills!G22*IF(Skills!H22&gt;0,Skills!I22/Skills!H22,1)</f>
        <v/>
      </c>
      <c r="H1013">
        <f>1-(1-Skills!J22/100)^Skills!K22</f>
        <v/>
      </c>
      <c r="I1013" t="inlineStr">
        <is>
          <t>1</t>
        </is>
      </c>
      <c r="J1013" t="inlineStr"/>
      <c r="K1013" t="inlineStr"/>
      <c r="L1013" t="inlineStr"/>
      <c r="M1013" t="inlineStr"/>
      <c r="N1013" t="inlineStr"/>
      <c r="O1013">
        <f>(1-Summary!$B$11)*T1013+Summary!$B$11*V1013</f>
        <v/>
      </c>
      <c r="P1013">
        <f>IF(B1028=0,0,O1013/B1028)</f>
        <v/>
      </c>
      <c r="Q1013" t="n">
        <v>0</v>
      </c>
      <c r="R1013" t="n">
        <v>0</v>
      </c>
      <c r="S1013">
        <f>IFERROR(O1013/N1013,0)</f>
        <v/>
      </c>
      <c r="T1013" t="n">
        <v>0</v>
      </c>
      <c r="V1013" t="n">
        <v>0</v>
      </c>
    </row>
    <row r="1014">
      <c r="A1014">
        <f>Skills!A23</f>
        <v/>
      </c>
      <c r="B1014">
        <f>Skills!B23</f>
        <v/>
      </c>
      <c r="C1014">
        <f>Inputs!$B$3&gt;=120</f>
        <v/>
      </c>
      <c r="D1014">
        <f>IF(Skills!C23=1,60+Inputs!$B$25+Inputs!$B$29,IF(Skills!C23=2,90+Inputs!$B$26+Inputs!$B$29,IF(Skills!C23=3,120+Inputs!$B$27+Inputs!$B$29,MAX(0,(Inputs!$B$3-100)*3)+Inputs!$B$28+Inputs!$B$29)))</f>
        <v/>
      </c>
      <c r="E1014">
        <f>INDEX(FactorTable!$B$2:$Y$301, MATCH(ROUND(MIN(300,MAX(1,D1014)),0), FactorTable!$A$2:$A$301,0), Skills!M23+1)</f>
        <v/>
      </c>
      <c r="F1014">
        <f>IF(Skills!N23=TRUE,(Skills!L23/10)*(E1014/1000),Skills!L23/10)+Skills!O23</f>
        <v/>
      </c>
      <c r="G1014">
        <f>Skills!G23*IF(Skills!H23&gt;0,Skills!I23/Skills!H23,1)</f>
        <v/>
      </c>
      <c r="H1014">
        <f>1-(1-Skills!J23/100)^Skills!K23</f>
        <v/>
      </c>
      <c r="I1014" t="inlineStr">
        <is>
          <t>1</t>
        </is>
      </c>
      <c r="J1014" t="inlineStr"/>
      <c r="K1014" t="inlineStr"/>
      <c r="L1014" t="inlineStr"/>
      <c r="M1014" t="inlineStr"/>
      <c r="N1014" t="inlineStr"/>
      <c r="O1014">
        <f>(1-Summary!$B$11)*T1014+Summary!$B$11*V1014</f>
        <v/>
      </c>
      <c r="P1014">
        <f>IF(B1028=0,0,O1014/B1028)</f>
        <v/>
      </c>
      <c r="Q1014" t="n">
        <v>0</v>
      </c>
      <c r="R1014" t="n">
        <v>0</v>
      </c>
      <c r="S1014">
        <f>IFERROR(O1014/N1014,0)</f>
        <v/>
      </c>
      <c r="T1014" t="n">
        <v>0</v>
      </c>
      <c r="V1014" t="n">
        <v>0</v>
      </c>
    </row>
    <row r="1015">
      <c r="A1015">
        <f>Skills!A24</f>
        <v/>
      </c>
      <c r="B1015">
        <f>Skills!B24</f>
        <v/>
      </c>
      <c r="C1015">
        <f>Inputs!$B$3&gt;=120</f>
        <v/>
      </c>
      <c r="D1015">
        <f>IF(Skills!C24=1,60+Inputs!$B$25+Inputs!$B$29,IF(Skills!C24=2,90+Inputs!$B$26+Inputs!$B$29,IF(Skills!C24=3,120+Inputs!$B$27+Inputs!$B$29,MAX(0,(Inputs!$B$3-100)*3)+Inputs!$B$28+Inputs!$B$29)))</f>
        <v/>
      </c>
      <c r="E1015">
        <f>INDEX(FactorTable!$B$2:$Y$301, MATCH(ROUND(MIN(300,MAX(1,D1015)),0), FactorTable!$A$2:$A$301,0), Skills!M24+1)</f>
        <v/>
      </c>
      <c r="F1015">
        <f>IF(Skills!N24=TRUE,(Skills!L24/10)*(E1015/1000),Skills!L24/10)+Skills!O24</f>
        <v/>
      </c>
      <c r="G1015">
        <f>Skills!G24*IF(Skills!H24&gt;0,Skills!I24/Skills!H24,1)</f>
        <v/>
      </c>
      <c r="H1015">
        <f>1-(1-Skills!J24/100)^Skills!K24</f>
        <v/>
      </c>
      <c r="I1015" t="inlineStr">
        <is>
          <t>1</t>
        </is>
      </c>
      <c r="J1015" t="inlineStr"/>
      <c r="K1015" t="inlineStr"/>
      <c r="L1015" t="inlineStr"/>
      <c r="M1015" t="inlineStr"/>
      <c r="N1015" t="inlineStr"/>
      <c r="O1015">
        <f>(1-Summary!$B$11)*T1015+Summary!$B$11*V1015</f>
        <v/>
      </c>
      <c r="P1015">
        <f>IF(B1028=0,0,O1015/B1028)</f>
        <v/>
      </c>
      <c r="Q1015" t="n">
        <v>0</v>
      </c>
      <c r="R1015" t="n">
        <v>0</v>
      </c>
      <c r="S1015">
        <f>IFERROR(O1015/N1015,0)</f>
        <v/>
      </c>
      <c r="T1015" t="n">
        <v>0</v>
      </c>
      <c r="V1015" t="n">
        <v>0</v>
      </c>
    </row>
    <row r="1017">
      <c r="A1017" t="inlineStr">
        <is>
          <t>Attack% Bucket Multiplier</t>
        </is>
      </c>
      <c r="B1017">
        <f>(1+(((C1004=TRUE)*F1004*MIN(1,Skills!T13*(Skills!J13/100)*B1022))+((C1009=TRUE)*F1009*IF(AND(Inputs!$B$38&lt;&gt;"pvp",Inputs!$B$43&gt;0),(((R1009-1)*(Skills!T18*(1+Inputs!$B$34/100))+MIN((Skills!T18*(1+Inputs!$B$34/100)),MAX(0,Inputs!$B$43-((R1009-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18">
      <c r="A1018" t="inlineStr">
        <is>
          <t>Global Crit Rate Bonus %</t>
        </is>
      </c>
      <c r="B1018" t="n">
        <v>0</v>
      </c>
    </row>
    <row r="1019">
      <c r="A1019" t="inlineStr">
        <is>
          <t>Attack Speed Buff Bonus %</t>
        </is>
      </c>
      <c r="B1019">
        <f>((C1010=TRUE)*F1010*IF(AND(Inputs!$B$38&lt;&gt;"pvp",Inputs!$B$43&gt;0),(((R1010-1)*(Skills!T19*(1+Inputs!$B$34/100))+MIN((Skills!T19*(1+Inputs!$B$34/100)),MAX(0,Inputs!$B$43-((R1010-1)*Skills!D19))))/Inputs!$B$43),IF(Inputs!$B$38="pvp",MIN((Skills!T19*(1+Inputs!$B$34/100)),15)/15,(Skills!T19*(1+Inputs!$B$34/100))/Skills!D19)))</f>
        <v/>
      </c>
    </row>
    <row r="1020">
      <c r="A1020" t="inlineStr">
        <is>
          <t>Actions Per Second</t>
        </is>
      </c>
      <c r="B1020">
        <f>1+MIN(150,150*(1-(1-(Inputs!$B$11+((C1011=TRUE)*(F1011-Calc!F20)))/150)*(1-B1019/150)))/100</f>
        <v/>
      </c>
    </row>
    <row r="1021">
      <c r="A1021" t="inlineStr">
        <is>
          <t>Skill + Buff Cast Rate</t>
        </is>
      </c>
      <c r="B1021">
        <f>IF(AND(Inputs!$B$38&lt;&gt;"pvp",Inputs!$B$43&gt;0),SUMPRODUCT((Skills!E2:E24=TRUE)*(C993:C1015=TRUE)*R993:R1015*Skills!F2:F24)/Inputs!$B$43,SUMPRODUCT((Skills!E2:E24=TRUE)*(C993:C1015=TRUE)*Q993:Q1015*Skills!F2:F24))</f>
        <v/>
      </c>
    </row>
    <row r="1022">
      <c r="A1022" t="inlineStr">
        <is>
          <t>Blast Casts Per Second</t>
        </is>
      </c>
      <c r="B1022">
        <f>MAX(0,B1020-B1021)</f>
        <v/>
      </c>
    </row>
    <row r="1023">
      <c r="A1023" t="inlineStr">
        <is>
          <t>Global Critical Damage Bonus % (unused)</t>
        </is>
      </c>
      <c r="B1023" t="n">
        <v>0</v>
      </c>
    </row>
    <row r="1024">
      <c r="A1024" t="inlineStr">
        <is>
          <t>Global Final Damage Bonus % (Divine Shield + Guardian + Divine Blessing + Greater Vessel of Light)</t>
        </is>
      </c>
      <c r="B1024">
        <f>((C1006=TRUE)*F1006*IF(AND(Inputs!$B$38&lt;&gt;"pvp",Inputs!$B$43&gt;0),(((R1006-1)*(Skills!T15*(1+Inputs!$B$34/100))+MIN((Skills!T15*(1+Inputs!$B$34/100)),MAX(0,Inputs!$B$43-((R1006-1)*Skills!D15))))/Inputs!$B$43),IF(Inputs!$B$38="pvp",MIN((Skills!T15*(1+Inputs!$B$34/100)),15)/15,(Skills!T15*(1+Inputs!$B$34/100))/Skills!D15)))+((C1007=TRUE)*F1007*IF(AND(Inputs!$B$38&lt;&gt;"pvp",Inputs!$B$43&gt;0),(((R1007-1)*(Skills!T16*(1+Inputs!$B$34/100))+MIN((Skills!T16*(1+Inputs!$B$34/100)),MAX(0,Inputs!$B$43-((R1007-1)*Skills!D16))))/Inputs!$B$43),IF(Inputs!$B$38="pvp",MIN((Skills!T16*(1+Inputs!$B$34/100)),15)/15,(Skills!T16*(1+Inputs!$B$34/100))/Skills!D16)))+((C1008=TRUE)*F1008*IF(AND(Inputs!$B$38&lt;&gt;"pvp",Inputs!$B$43&gt;0),(((R1008-1)*(Skills!T17*(1+Inputs!$B$34/100))+MIN((Skills!T17*(1+Inputs!$B$34/100)),MAX(0,Inputs!$B$43-((R1008-1)*Skills!D17))))/Inputs!$B$43),IF(Inputs!$B$38="pvp",MIN((Skills!T17*(1+Inputs!$B$34/100)),15)/15,(Skills!T17*(1+Inputs!$B$34/100))/Skills!D17)))+((C1005=TRUE)*F1005*MIN(1,Skills!T13*(Skills!J13/100)*B1022))</f>
        <v/>
      </c>
    </row>
    <row r="1025">
      <c r="A1025" t="inlineStr">
        <is>
          <t>Buff-Casting Startup Delay (s, fixed-duration only)</t>
        </is>
      </c>
      <c r="B1025">
        <f>IF(AND(Inputs!$B$38&lt;&gt;"pvp",Inputs!$B$43&gt;0),SUMPRODUCT((Skills!T2:T24&gt;0)*(Skills!E2:E24=TRUE)*(C993:C1015=TRUE))/B1020,0)</f>
        <v/>
      </c>
    </row>
    <row r="1026">
      <c r="A1026" t="inlineStr">
        <is>
          <t>Boss-Only Total DPS (this block's swept value)</t>
        </is>
      </c>
      <c r="B1026">
        <f>SUM(T993:T1015)</f>
        <v/>
      </c>
    </row>
    <row r="1027">
      <c r="A1027" t="inlineStr">
        <is>
          <t>Normal-Only Total DPS (this block's swept value)</t>
        </is>
      </c>
      <c r="B1027">
        <f>SUM(V993:V1015)</f>
        <v/>
      </c>
    </row>
    <row r="1028">
      <c r="A1028" s="6" t="inlineStr">
        <is>
          <t>TOTAL DPS</t>
        </is>
      </c>
      <c r="B1028" s="6">
        <f>SUM(O993:O1015)</f>
        <v/>
      </c>
    </row>
    <row r="1031">
      <c r="A1031" s="6" t="inlineStr">
        <is>
          <t>Stat: Basic Attack Target Increase (flat)</t>
        </is>
      </c>
    </row>
    <row r="1032">
      <c r="A1032" s="5" t="inlineStr">
        <is>
          <t>Key</t>
        </is>
      </c>
      <c r="B1032" s="5" t="inlineStr">
        <is>
          <t>Name</t>
        </is>
      </c>
      <c r="C1032" s="5" t="inlineStr">
        <is>
          <t>Unlocked</t>
        </is>
      </c>
      <c r="D1032" s="5" t="inlineStr">
        <is>
          <t>InputLevel</t>
        </is>
      </c>
      <c r="E1032" s="5" t="inlineStr">
        <is>
          <t>Factor</t>
        </is>
      </c>
      <c r="F1032" s="5" t="inlineStr">
        <is>
          <t>CoefficientPercent</t>
        </is>
      </c>
      <c r="G1032" s="5" t="inlineStr">
        <is>
          <t>EffectiveHits</t>
        </is>
      </c>
      <c r="H1032" s="5" t="inlineStr">
        <is>
          <t>ProcProbability</t>
        </is>
      </c>
      <c r="I1032" s="5" t="inlineStr">
        <is>
          <t>MapleHeroMultiplier</t>
        </is>
      </c>
      <c r="J1032" s="5" t="inlineStr">
        <is>
          <t>BaseDamage</t>
        </is>
      </c>
      <c r="K1032" s="5" t="inlineStr">
        <is>
          <t>BaseHitDamage</t>
        </is>
      </c>
      <c r="L1032" s="5" t="inlineStr">
        <is>
          <t>NonCritAvg</t>
        </is>
      </c>
      <c r="M1032" s="5" t="inlineStr">
        <is>
          <t>CritAvg</t>
        </is>
      </c>
      <c r="N1032" s="5" t="inlineStr">
        <is>
          <t>ExpectedDamage(perHit)</t>
        </is>
      </c>
      <c r="O1032" s="5" t="inlineStr">
        <is>
          <t>DPS</t>
        </is>
      </c>
      <c r="P1032" s="5" t="inlineStr">
        <is>
          <t>% of Total</t>
        </is>
      </c>
      <c r="Q1032" s="5" t="inlineStr">
        <is>
          <t>InvCooldown</t>
        </is>
      </c>
      <c r="R1032" s="5" t="inlineStr">
        <is>
          <t>CastsInFight</t>
        </is>
      </c>
      <c r="S1032" s="5" t="inlineStr">
        <is>
          <t>HitRate(perSec)</t>
        </is>
      </c>
      <c r="U1032" t="inlineStr">
        <is>
          <t>helpers</t>
        </is>
      </c>
    </row>
    <row r="1033">
      <c r="A1033">
        <f>Skills!A2</f>
        <v/>
      </c>
      <c r="B1033">
        <f>Skills!B2</f>
        <v/>
      </c>
      <c r="C1033">
        <f>Inputs!$B$3&gt;=100</f>
        <v/>
      </c>
      <c r="D1033" t="inlineStr"/>
      <c r="E1033" t="inlineStr"/>
      <c r="F1033">
        <f>U1035+Skills!O2</f>
        <v/>
      </c>
      <c r="G1033">
        <f>Skills!G2*IF(Skills!H2&gt;0,Skills!I2/Skills!H2,1)</f>
        <v/>
      </c>
      <c r="H1033">
        <f>1-(1-Skills!J2/100)^Skills!K2</f>
        <v/>
      </c>
      <c r="I1033" t="inlineStr">
        <is>
          <t>1</t>
        </is>
      </c>
      <c r="J1033">
        <f>((Inputs!$B$6*(1+Inputs!$B$7/100))+(((Inputs!$B$12*(1+Inputs!$B$13/100))-(Inputs!$B$12*(1+Inputs!$B$13/100)))+0.25*(Inputs!$B$14-Inputs!$B$14))*(1+Inputs!$B$7/100))*(F1033/100)</f>
        <v/>
      </c>
      <c r="K1033">
        <f>J1033*(1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1033)</f>
        <v/>
      </c>
      <c r="L1033">
        <f>K1033*(MIN(Inputs!$B$22+((C1053=TRUE)*(F1053-Calc!F22)),(Inputs!$B$23+((C1055=TRUE)*(F1055-Calc!F24))+(IF(ArtifactsInput!$M$15,CHOOSE(ArtifactsInput!$N$15+1,25,30,35,40,45,50)/100*(Inputs!$B$11-Inputs!$B$11),0))))/100+(Inputs!$B$23+((C1055=TRUE)*(F1055-Calc!F24))+(IF(ArtifactsInput!$M$15,CHOOSE(ArtifactsInput!$N$15+1,25,30,35,40,45,50)/100*(Inputs!$B$11-Inputs!$B$11),0)))/100)/2</f>
        <v/>
      </c>
      <c r="M1033">
        <f>L1033*(1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3">
        <f>L1033*(1-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1033*(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3">
        <f>(1-Summary!$B$11)*T1033+Summary!$B$11*V1033</f>
        <v/>
      </c>
      <c r="P1033">
        <f>IF(B1068=0,0,O1033/B1068)</f>
        <v/>
      </c>
      <c r="Q1033" t="n">
        <v>0</v>
      </c>
      <c r="R1033" t="n">
        <v>0</v>
      </c>
      <c r="S1033">
        <f>IFERROR(O1033/N1033,0)</f>
        <v/>
      </c>
      <c r="T1033">
        <f>IF(C1033,(Skills!G2*N1033*B1062)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1033*(1-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1033*(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1033*(1-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1033*(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33">
        <f>MAX(0,(Inputs!$B$3-100)*3)+Inputs!$B$28+Inputs!$B$29</f>
        <v/>
      </c>
      <c r="V1033">
        <f>IF(C1033,(Skills!G2*N1033*B1062)*IF(Inputs!$B$38="pvp",1,(1+(Inputs!$B$21+Skills!Q2+(IF(ArtifactsInput!$M$33,CHOOSE(ArtifactsInput!$N$33+1,30,36,42,48,54,60),0))+(IF(AND(ArtifactsInput!$M$35,Inputs!$B$4&lt;&gt;"Chapter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34">
      <c r="A1034">
        <f>Skills!A3</f>
        <v/>
      </c>
      <c r="B1034">
        <f>Skills!B3</f>
        <v/>
      </c>
      <c r="C1034">
        <f>Inputs!$B$3&gt;=50</f>
        <v/>
      </c>
      <c r="D1034">
        <f>IF(Skills!C3=1,60+Inputs!$B$25+Inputs!$B$29,IF(Skills!C3=2,90+Inputs!$B$26+Inputs!$B$29,IF(Skills!C3=3,120+Inputs!$B$27+Inputs!$B$29,MAX(0,(Inputs!$B$3-100)*3)+Inputs!$B$28+Inputs!$B$29)))</f>
        <v/>
      </c>
      <c r="E1034">
        <f>INDEX(FactorTable!$B$2:$Y$301, MATCH(ROUND(MIN(300,MAX(1,D1034)),0), FactorTable!$A$2:$A$301,0), Skills!M3+1)</f>
        <v/>
      </c>
      <c r="F1034">
        <f>IF(Skills!N3=TRUE,(Skills!L3/10)*(E1034/1000),Skills!L3/10)+Skills!O3</f>
        <v/>
      </c>
      <c r="G1034" t="inlineStr"/>
      <c r="H1034" t="inlineStr"/>
      <c r="I1034" t="inlineStr">
        <is>
          <t>1</t>
        </is>
      </c>
      <c r="J1034" t="inlineStr"/>
      <c r="K1034" t="inlineStr"/>
      <c r="L1034" t="inlineStr"/>
      <c r="M1034" t="inlineStr"/>
      <c r="N1034" t="inlineStr"/>
      <c r="O1034" t="inlineStr"/>
      <c r="P1034" t="inlineStr"/>
      <c r="Q1034" t="inlineStr"/>
      <c r="R1034" t="inlineStr"/>
      <c r="S1034" t="inlineStr"/>
      <c r="U1034">
        <f>INDEX(FactorTable!$B$2:$Y$301, MATCH(ROUND(MIN(300,MAX(1,U1033)),0), FactorTable!$A$2:$A$301,0), 22)</f>
        <v/>
      </c>
    </row>
    <row r="1035">
      <c r="A1035">
        <f>Skills!A4</f>
        <v/>
      </c>
      <c r="B1035">
        <f>Skills!B4</f>
        <v/>
      </c>
      <c r="C1035">
        <f>Inputs!$B$3&gt;=35</f>
        <v/>
      </c>
      <c r="D1035">
        <f>IF(Skills!C4=1,60+Inputs!$B$25+Inputs!$B$29,IF(Skills!C4=2,90+Inputs!$B$26+Inputs!$B$29,IF(Skills!C4=3,120+Inputs!$B$27+Inputs!$B$29,MAX(0,(Inputs!$B$3-100)*3)+Inputs!$B$28+Inputs!$B$29)))</f>
        <v/>
      </c>
      <c r="E1035">
        <f>INDEX(FactorTable!$B$2:$Y$301, MATCH(ROUND(MIN(300,MAX(1,D1035)),0), FactorTable!$A$2:$A$301,0), Skills!M4+1)</f>
        <v/>
      </c>
      <c r="F1035">
        <f>IF(Skills!N4=TRUE,(Skills!L4/10)*(E1035/1000),Skills!L4/10)+Skills!O4</f>
        <v/>
      </c>
      <c r="G1035">
        <f>Skills!G4*IF(Skills!H4&gt;0,Skills!I4/Skills!H4,1)</f>
        <v/>
      </c>
      <c r="H1035">
        <f>1-(1-Skills!J4/100)^Skills!K4</f>
        <v/>
      </c>
      <c r="I1035" t="inlineStr">
        <is>
          <t>1</t>
        </is>
      </c>
      <c r="J1035">
        <f>((Inputs!$B$6*(1+Inputs!$B$7/100))+(((Inputs!$B$12*(1+Inputs!$B$13/100))-(Inputs!$B$12*(1+Inputs!$B$13/100)))+0.25*(Inputs!$B$14-Inputs!$B$14))*(1+Inputs!$B$7/100))*(F1035/100)</f>
        <v/>
      </c>
      <c r="K1035">
        <f>J1035*(1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1043=TRUE,F1043,0)/100)*(1+(IF(Skills!A4="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1035)</f>
        <v/>
      </c>
      <c r="L1035">
        <f>K1035*(MIN(Inputs!$B$22+((C1053=TRUE)*(F1053-Calc!F22)),(Inputs!$B$23+((C1055=TRUE)*(F1055-Calc!F24))+(IF(ArtifactsInput!$M$15,CHOOSE(ArtifactsInput!$N$15+1,25,30,35,40,45,50)/100*(Inputs!$B$11-Inputs!$B$11),0))))/100+(Inputs!$B$23+((C1055=TRUE)*(F1055-Calc!F24))+(IF(ArtifactsInput!$M$15,CHOOSE(ArtifactsInput!$N$15+1,25,30,35,40,45,50)/100*(Inputs!$B$11-Inputs!$B$11),0)))/100)/2</f>
        <v/>
      </c>
      <c r="M1035">
        <f>L1035*(1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5">
        <f>L1035*(1-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1035*(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5">
        <f>(1-Summary!$B$11)*T1035+Summary!$B$11*V1035</f>
        <v/>
      </c>
      <c r="P1035">
        <f>IF(B1068=0,0,O1035/B1068)</f>
        <v/>
      </c>
      <c r="Q1035">
        <f>IFERROR(1/(IF(Inputs!$B$38="pvp",15,MAX(0.1,Skills!D4-IF(Skills!E4=TRUE,Inputs!$B$32,0)))*(1-IF(AND(ArtifactsInput!$M$27,Inputs!$B$4="Chapter Hunt"),CHOOSE(ArtifactsInput!$N$27+1,20,24,28,32,36,40),0)/100)),0)</f>
        <v/>
      </c>
      <c r="R1035">
        <f>IF(AND(Inputs!$B$38&lt;&gt;"pvp",Inputs!$B$43&gt;0),IF(MAX(0,Inputs!$B$43-B1065)&lt;=0,0,(INT(MAX(0,Inputs!$B$43-B1065)/(IF(Inputs!$B$38="pvp",15,MAX(0.1,Skills!D4-IF(Skills!E4=TRUE,Inputs!$B$32,0)))*(1-IF(AND(ArtifactsInput!$M$27,Inputs!$B$4="Chapter Hunt"),CHOOSE(ArtifactsInput!$N$27+1,20,24,28,32,36,40),0)/100)))+1)),0)</f>
        <v/>
      </c>
      <c r="S1035">
        <f>IFERROR(O1035/N1035,0)</f>
        <v/>
      </c>
      <c r="T1035">
        <f>IF(C1035,(H1035*N1035*IF(AND(Inputs!$B$38&lt;&gt;"pvp",Inputs!$B$43&gt;0),((Skills!G4*((R1035-1)*IF(Skills!H4&gt;0,Skills!I4/Skills!H4,1)+IF(Skills!H4&gt;0,MIN(Skills!I4,MAX(0,MAX(0,Inputs!$B$43-B1065)-((R1035-1)*(IF(Inputs!$B$38="pvp",15,MAX(0.1,Skills!D4-IF(Skills!E4=TRUE,Inputs!$B$32,0)))*(1-IF(AND(ArtifactsInput!$M$27,Inputs!$B$4="Chapter Hunt"),CHOOSE(ArtifactsInput!$N$27+1,20,24,28,32,36,40),0)/100)))))/Skills!H4,1)))/Inputs!$B$43),G1035*Q1035)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1035*(1-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1035*(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1035*(1-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1035*(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35">
        <f>290*U1034/1000</f>
        <v/>
      </c>
      <c r="V1035">
        <f>IF(C1035,(H1035*N1035*IF(AND(Inputs!$B$38&lt;&gt;"pvp",Inputs!$B$43&gt;0),((Skills!G4*((R1035-1)*IF(Skills!H4&gt;0,Skills!I4/Skills!H4,1)+IF(Skills!H4&gt;0,MIN(Skills!I4,MAX(0,MAX(0,Inputs!$B$43-B1065)-((R1035-1)*(IF(Inputs!$B$38="pvp",15,MAX(0.1,Skills!D4-IF(Skills!E4=TRUE,Inputs!$B$32,0)))*(1-IF(AND(ArtifactsInput!$M$27,Inputs!$B$4="Chapter Hunt"),CHOOSE(ArtifactsInput!$N$27+1,20,24,28,32,36,40),0)/100)))))/Skills!H4,1)))/Inputs!$B$43),G1035*Q1035))*IF(Inputs!$B$38="pvp",1,(1+(Inputs!$B$21+Skills!Q4+(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36">
      <c r="A1036">
        <f>Skills!A5</f>
        <v/>
      </c>
      <c r="B1036">
        <f>Skills!B5</f>
        <v/>
      </c>
      <c r="C1036">
        <f>Inputs!$B$3&gt;=66</f>
        <v/>
      </c>
      <c r="D1036">
        <f>IF(Skills!C5=1,60+Inputs!$B$25+Inputs!$B$29,IF(Skills!C5=2,90+Inputs!$B$26+Inputs!$B$29,IF(Skills!C5=3,120+Inputs!$B$27+Inputs!$B$29,MAX(0,(Inputs!$B$3-100)*3)+Inputs!$B$28+Inputs!$B$29)))</f>
        <v/>
      </c>
      <c r="E1036">
        <f>INDEX(FactorTable!$B$2:$Y$301, MATCH(ROUND(MIN(300,MAX(1,D1036)),0), FactorTable!$A$2:$A$301,0), Skills!M5+1)</f>
        <v/>
      </c>
      <c r="F1036">
        <f>IF(Skills!N5=TRUE,(Skills!L5/10)*(E1036/1000),Skills!L5/10)+Skills!O5</f>
        <v/>
      </c>
      <c r="G1036">
        <f>Skills!G5*IF(Skills!H5&gt;0,Skills!I5/Skills!H5,1)</f>
        <v/>
      </c>
      <c r="H1036">
        <f>1-(1-Skills!J5/100)^Skills!K5</f>
        <v/>
      </c>
      <c r="I1036" t="inlineStr">
        <is>
          <t>1</t>
        </is>
      </c>
      <c r="J1036">
        <f>((Inputs!$B$6*(1+Inputs!$B$7/100))+(((Inputs!$B$12*(1+Inputs!$B$13/100))-(Inputs!$B$12*(1+Inputs!$B$13/100)))+0.25*(Inputs!$B$14-Inputs!$B$14))*(1+Inputs!$B$7/100))*(F1036/100)</f>
        <v/>
      </c>
      <c r="K1036">
        <f>J1036*(1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1043=TRUE,F1043,0)/100)*(1+(IF(Skills!A5="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1036)</f>
        <v/>
      </c>
      <c r="L1036">
        <f>K1036*(MIN(Inputs!$B$22+((C1053=TRUE)*(F1053-Calc!F22)),(Inputs!$B$23+((C1055=TRUE)*(F1055-Calc!F24))+(IF(ArtifactsInput!$M$15,CHOOSE(ArtifactsInput!$N$15+1,25,30,35,40,45,50)/100*(Inputs!$B$11-Inputs!$B$11),0))))/100+(Inputs!$B$23+((C1055=TRUE)*(F1055-Calc!F24))+(IF(ArtifactsInput!$M$15,CHOOSE(ArtifactsInput!$N$15+1,25,30,35,40,45,50)/100*(Inputs!$B$11-Inputs!$B$11),0)))/100)/2</f>
        <v/>
      </c>
      <c r="M1036">
        <f>L1036*(1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6">
        <f>L1036*(1-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1036*(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6">
        <f>(1-Summary!$B$11)*T1036+Summary!$B$11*V1036</f>
        <v/>
      </c>
      <c r="P1036">
        <f>IF(B1068=0,0,O1036/B1068)</f>
        <v/>
      </c>
      <c r="Q1036">
        <f>IFERROR(1/(IF(Inputs!$B$38="pvp",15,MAX(0.1,Skills!D5-IF(Skills!E5=TRUE,Inputs!$B$32,0)))*(1-IF(AND(ArtifactsInput!$M$27,Inputs!$B$4="Chapter Hunt"),CHOOSE(ArtifactsInput!$N$27+1,20,24,28,32,36,40),0)/100)),0)</f>
        <v/>
      </c>
      <c r="R1036">
        <f>IF(AND(Inputs!$B$38&lt;&gt;"pvp",Inputs!$B$43&gt;0),IF(MAX(0,Inputs!$B$43-B1065)&lt;=0,0,(INT(MAX(0,Inputs!$B$43-B1065)/(IF(Inputs!$B$38="pvp",15,MAX(0.1,Skills!D5-IF(Skills!E5=TRUE,Inputs!$B$32,0)))*(1-IF(AND(ArtifactsInput!$M$27,Inputs!$B$4="Chapter Hunt"),CHOOSE(ArtifactsInput!$N$27+1,20,24,28,32,36,40),0)/100)))+1)),0)</f>
        <v/>
      </c>
      <c r="S1036">
        <f>IFERROR(O1036/N1036,0)</f>
        <v/>
      </c>
      <c r="T1036">
        <f>IF(C1036,(H1036*N1036*IF(AND(Inputs!$B$38&lt;&gt;"pvp",Inputs!$B$43&gt;0),((Skills!G5*((R1036-1)*IF(Skills!H5&gt;0,Skills!I5/Skills!H5,1)+IF(Skills!H5&gt;0,MIN(Skills!I5,MAX(0,MAX(0,Inputs!$B$43-B1065)-((R1036-1)*(IF(Inputs!$B$38="pvp",15,MAX(0.1,Skills!D5-IF(Skills!E5=TRUE,Inputs!$B$32,0)))*(1-IF(AND(ArtifactsInput!$M$27,Inputs!$B$4="Chapter Hunt"),CHOOSE(ArtifactsInput!$N$27+1,20,24,28,32,36,40),0)/100)))))/Skills!H5,1)))/Inputs!$B$43),G1036*Q1036)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1036*(1-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1036*(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1036*(1-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1036*(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36">
        <f>IF(C1036,(H1036*N1036*IF(AND(Inputs!$B$38&lt;&gt;"pvp",Inputs!$B$43&gt;0),((Skills!G5*((R1036-1)*IF(Skills!H5&gt;0,Skills!I5/Skills!H5,1)+IF(Skills!H5&gt;0,MIN(Skills!I5,MAX(0,MAX(0,Inputs!$B$43-B1065)-((R1036-1)*(IF(Inputs!$B$38="pvp",15,MAX(0.1,Skills!D5-IF(Skills!E5=TRUE,Inputs!$B$32,0)))*(1-IF(AND(ArtifactsInput!$M$27,Inputs!$B$4="Chapter Hunt"),CHOOSE(ArtifactsInput!$N$27+1,20,24,28,32,36,40),0)/100)))))/Skills!H5,1)))/Inputs!$B$43),G1036*Q1036))*IF(Inputs!$B$38="pvp",1,(1+(Inputs!$B$21+Skills!Q5+(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37">
      <c r="A1037">
        <f>Skills!A6</f>
        <v/>
      </c>
      <c r="B1037">
        <f>Skills!B6</f>
        <v/>
      </c>
      <c r="C1037">
        <f>Inputs!$B$3&gt;=103</f>
        <v/>
      </c>
      <c r="D1037">
        <f>IF(Skills!C6=1,60+Inputs!$B$25+Inputs!$B$29,IF(Skills!C6=2,90+Inputs!$B$26+Inputs!$B$29,IF(Skills!C6=3,120+Inputs!$B$27+Inputs!$B$29,MAX(0,(Inputs!$B$3-100)*3)+Inputs!$B$28+Inputs!$B$29)))</f>
        <v/>
      </c>
      <c r="E1037">
        <f>INDEX(FactorTable!$B$2:$Y$301, MATCH(ROUND(MIN(300,MAX(1,D1037)),0), FactorTable!$A$2:$A$301,0), Skills!M6+1)</f>
        <v/>
      </c>
      <c r="F1037">
        <f>IF(Skills!N6=TRUE,(Skills!L6/10)*(E1037/1000),Skills!L6/10)+Skills!O6</f>
        <v/>
      </c>
      <c r="G1037">
        <f>Skills!G6*IF(Skills!H6&gt;0,Skills!I6/Skills!H6,1)</f>
        <v/>
      </c>
      <c r="H1037">
        <f>1-(1-Skills!J6/100)^Skills!K6</f>
        <v/>
      </c>
      <c r="I1037" t="inlineStr">
        <is>
          <t>1</t>
        </is>
      </c>
      <c r="J1037">
        <f>((Inputs!$B$6*(1+Inputs!$B$7/100))+(((Inputs!$B$12*(1+Inputs!$B$13/100))-(Inputs!$B$12*(1+Inputs!$B$13/100)))+0.25*(Inputs!$B$14-Inputs!$B$14))*(1+Inputs!$B$7/100))*(F1037/100)</f>
        <v/>
      </c>
      <c r="K1037">
        <f>J1037*(1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1037)</f>
        <v/>
      </c>
      <c r="L1037">
        <f>K1037*(MIN(Inputs!$B$22+((C1053=TRUE)*(F1053-Calc!F22)),(Inputs!$B$23+((C1055=TRUE)*(F1055-Calc!F24))+(IF(ArtifactsInput!$M$15,CHOOSE(ArtifactsInput!$N$15+1,25,30,35,40,45,50)/100*(Inputs!$B$11-Inputs!$B$11),0))))/100+(Inputs!$B$23+((C1055=TRUE)*(F1055-Calc!F24))+(IF(ArtifactsInput!$M$15,CHOOSE(ArtifactsInput!$N$15+1,25,30,35,40,45,50)/100*(Inputs!$B$11-Inputs!$B$11),0)))/100)/2</f>
        <v/>
      </c>
      <c r="M1037">
        <f>L1037*(1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7">
        <f>L1037*(1-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1037*(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7">
        <f>(1-Summary!$B$11)*T1037+Summary!$B$11*V1037</f>
        <v/>
      </c>
      <c r="P1037">
        <f>IF(B1068=0,0,O1037/B1068)</f>
        <v/>
      </c>
      <c r="Q1037">
        <f>IFERROR(1/(IF(Inputs!$B$38="pvp",15,MAX(0.1,Skills!D6-IF(Skills!E6=TRUE,Inputs!$B$32,0)))*(1-IF(AND(ArtifactsInput!$M$27,Inputs!$B$4="Chapter Hunt"),CHOOSE(ArtifactsInput!$N$27+1,20,24,28,32,36,40),0)/100)),0)</f>
        <v/>
      </c>
      <c r="R1037">
        <f>IF(AND(Inputs!$B$38&lt;&gt;"pvp",Inputs!$B$43&gt;0),IF(MAX(0,Inputs!$B$43-B1065)&lt;=0,0,(INT(MAX(0,Inputs!$B$43-B1065)/(IF(Inputs!$B$38="pvp",15,MAX(0.1,Skills!D6-IF(Skills!E6=TRUE,Inputs!$B$32,0)))*(1-IF(AND(ArtifactsInput!$M$27,Inputs!$B$4="Chapter Hunt"),CHOOSE(ArtifactsInput!$N$27+1,20,24,28,32,36,40),0)/100)))+1)),0)</f>
        <v/>
      </c>
      <c r="S1037">
        <f>IFERROR(O1037/N1037,0)</f>
        <v/>
      </c>
      <c r="T1037">
        <f>IF(C1037,(H1037*N1037*IF(AND(Inputs!$B$38&lt;&gt;"pvp",Inputs!$B$43&gt;0),((Skills!G6*((R1037-1)*IF(Skills!H6&gt;0,Skills!I6/Skills!H6,1)+IF(Skills!H6&gt;0,MIN(Skills!I6,MAX(0,MAX(0,Inputs!$B$43-B1065)-((R1037-1)*(IF(Inputs!$B$38="pvp",15,MAX(0.1,Skills!D6-IF(Skills!E6=TRUE,Inputs!$B$32,0)))*(1-IF(AND(ArtifactsInput!$M$27,Inputs!$B$4="Chapter Hunt"),CHOOSE(ArtifactsInput!$N$27+1,20,24,28,32,36,40),0)/100)))))/Skills!H6,1)))/Inputs!$B$43),G1037*Q1037)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1037*(1-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1037*(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1037*(1-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1037*(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37">
        <f>IF(C1037,(H1037*N1037*IF(AND(Inputs!$B$38&lt;&gt;"pvp",Inputs!$B$43&gt;0),((Skills!G6*((R1037-1)*IF(Skills!H6&gt;0,Skills!I6/Skills!H6,1)+IF(Skills!H6&gt;0,MIN(Skills!I6,MAX(0,MAX(0,Inputs!$B$43-B1065)-((R1037-1)*(IF(Inputs!$B$38="pvp",15,MAX(0.1,Skills!D6-IF(Skills!E6=TRUE,Inputs!$B$32,0)))*(1-IF(AND(ArtifactsInput!$M$27,Inputs!$B$4="Chapter Hunt"),CHOOSE(ArtifactsInput!$N$27+1,20,24,28,32,36,40),0)/100)))))/Skills!H6,1)))/Inputs!$B$43),G1037*Q1037))*IF(Inputs!$B$38="pvp",1,(1+(Inputs!$B$21+Skills!Q6+(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38">
      <c r="A1038">
        <f>Skills!A7</f>
        <v/>
      </c>
      <c r="B1038">
        <f>Skills!B7</f>
        <v/>
      </c>
      <c r="C1038">
        <f>Inputs!$B$3&gt;=107</f>
        <v/>
      </c>
      <c r="D1038">
        <f>IF(Skills!C7=1,60+Inputs!$B$25+Inputs!$B$29,IF(Skills!C7=2,90+Inputs!$B$26+Inputs!$B$29,IF(Skills!C7=3,120+Inputs!$B$27+Inputs!$B$29,MAX(0,(Inputs!$B$3-100)*3)+Inputs!$B$28+Inputs!$B$29)))</f>
        <v/>
      </c>
      <c r="E1038">
        <f>INDEX(FactorTable!$B$2:$Y$301, MATCH(ROUND(MIN(300,MAX(1,D1038)),0), FactorTable!$A$2:$A$301,0), Skills!M7+1)</f>
        <v/>
      </c>
      <c r="F1038">
        <f>IF(Skills!N7=TRUE,(Skills!L7/10)*(E1038/1000),Skills!L7/10)+Skills!O7</f>
        <v/>
      </c>
      <c r="G1038">
        <f>Skills!G7*IF(Skills!H7&gt;0,Skills!I7/Skills!H7,1)</f>
        <v/>
      </c>
      <c r="H1038">
        <f>1-(1-Skills!J7/100)^Skills!K7</f>
        <v/>
      </c>
      <c r="I1038" t="inlineStr">
        <is>
          <t>1</t>
        </is>
      </c>
      <c r="J1038">
        <f>((Inputs!$B$6*(1+Inputs!$B$7/100))+(((Inputs!$B$12*(1+Inputs!$B$13/100))-(Inputs!$B$12*(1+Inputs!$B$13/100)))+0.25*(Inputs!$B$14-Inputs!$B$14))*(1+Inputs!$B$7/100))*(F1038/100)</f>
        <v/>
      </c>
      <c r="K1038">
        <f>J1038*(1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1038)</f>
        <v/>
      </c>
      <c r="L1038">
        <f>K1038*(MIN(Inputs!$B$22+((C1053=TRUE)*(F1053-Calc!F22)),(Inputs!$B$23+((C1055=TRUE)*(F1055-Calc!F24))+(IF(ArtifactsInput!$M$15,CHOOSE(ArtifactsInput!$N$15+1,25,30,35,40,45,50)/100*(Inputs!$B$11-Inputs!$B$11),0))))/100+(Inputs!$B$23+((C1055=TRUE)*(F1055-Calc!F24))+(IF(ArtifactsInput!$M$15,CHOOSE(ArtifactsInput!$N$15+1,25,30,35,40,45,50)/100*(Inputs!$B$11-Inputs!$B$11),0)))/100)/2</f>
        <v/>
      </c>
      <c r="M1038">
        <f>L1038*(1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8">
        <f>L1038*(1-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1038*(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8">
        <f>(1-Summary!$B$11)*T1038+Summary!$B$11*V1038</f>
        <v/>
      </c>
      <c r="P1038">
        <f>IF(B1068=0,0,O1038/B1068)</f>
        <v/>
      </c>
      <c r="Q1038">
        <f>IFERROR(1/(IF(Inputs!$B$38="pvp",15,MAX(0.1,Skills!D7-IF(Skills!E7=TRUE,Inputs!$B$32,0)))*(1-IF(AND(ArtifactsInput!$M$27,Inputs!$B$4="Chapter Hunt"),CHOOSE(ArtifactsInput!$N$27+1,20,24,28,32,36,40),0)/100)),0)</f>
        <v/>
      </c>
      <c r="R1038">
        <f>IF(AND(Inputs!$B$38&lt;&gt;"pvp",Inputs!$B$43&gt;0),IF(MAX(0,Inputs!$B$43-B1065)&lt;=0,0,(INT(MAX(0,Inputs!$B$43-B1065)/(IF(Inputs!$B$38="pvp",15,MAX(0.1,Skills!D7-IF(Skills!E7=TRUE,Inputs!$B$32,0)))*(1-IF(AND(ArtifactsInput!$M$27,Inputs!$B$4="Chapter Hunt"),CHOOSE(ArtifactsInput!$N$27+1,20,24,28,32,36,40),0)/100)))+1)),0)</f>
        <v/>
      </c>
      <c r="S1038">
        <f>IFERROR(O1038/N1038,0)</f>
        <v/>
      </c>
      <c r="T1038">
        <f>IF(C1038,(H1038*N1038*IF(AND(Inputs!$B$38&lt;&gt;"pvp",Inputs!$B$43&gt;0),((Skills!G7*((R1038-1)*IF(Skills!H7&gt;0,Skills!I7/Skills!H7,1)+IF(Skills!H7&gt;0,MIN(Skills!I7,MAX(0,MAX(0,Inputs!$B$43-B1065)-((R1038-1)*(IF(Inputs!$B$38="pvp",15,MAX(0.1,Skills!D7-IF(Skills!E7=TRUE,Inputs!$B$32,0)))*(1-IF(AND(ArtifactsInput!$M$27,Inputs!$B$4="Chapter Hunt"),CHOOSE(ArtifactsInput!$N$27+1,20,24,28,32,36,40),0)/100)))))/Skills!H7,1)))/Inputs!$B$43),G1038*Q1038)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1038*(1-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1038*(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1038*(1-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1038*(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38">
        <f>IF(C1038,(H1038*N1038*IF(AND(Inputs!$B$38&lt;&gt;"pvp",Inputs!$B$43&gt;0),((Skills!G7*((R1038-1)*IF(Skills!H7&gt;0,Skills!I7/Skills!H7,1)+IF(Skills!H7&gt;0,MIN(Skills!I7,MAX(0,MAX(0,Inputs!$B$43-B1065)-((R1038-1)*(IF(Inputs!$B$38="pvp",15,MAX(0.1,Skills!D7-IF(Skills!E7=TRUE,Inputs!$B$32,0)))*(1-IF(AND(ArtifactsInput!$M$27,Inputs!$B$4="Chapter Hunt"),CHOOSE(ArtifactsInput!$N$27+1,20,24,28,32,36,40),0)/100)))))/Skills!H7,1)))/Inputs!$B$43),G1038*Q1038))*IF(Inputs!$B$38="pvp",1,(1+(Inputs!$B$21+Skills!Q7+(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39">
      <c r="A1039">
        <f>Skills!A8</f>
        <v/>
      </c>
      <c r="B1039">
        <f>Skills!B8</f>
        <v/>
      </c>
      <c r="C1039">
        <f>Inputs!$B$3&gt;=107</f>
        <v/>
      </c>
      <c r="D1039">
        <f>IF(Skills!C8=1,60+Inputs!$B$25+Inputs!$B$29,IF(Skills!C8=2,90+Inputs!$B$26+Inputs!$B$29,IF(Skills!C8=3,120+Inputs!$B$27+Inputs!$B$29,MAX(0,(Inputs!$B$3-100)*3)+Inputs!$B$28+Inputs!$B$29)))</f>
        <v/>
      </c>
      <c r="E1039">
        <f>INDEX(FactorTable!$B$2:$Y$301, MATCH(ROUND(MIN(300,MAX(1,D1039)),0), FactorTable!$A$2:$A$301,0), Skills!M8+1)</f>
        <v/>
      </c>
      <c r="F1039">
        <f>IF(Skills!N8=TRUE,(Skills!L8/10)*(E1039/1000),Skills!L8/10)+Skills!O8</f>
        <v/>
      </c>
      <c r="G1039">
        <f>Skills!G8*IF(Skills!H8&gt;0,Skills!I8/Skills!H8,1)</f>
        <v/>
      </c>
      <c r="H1039">
        <f>1-(1-Skills!J8/100)^Skills!K8</f>
        <v/>
      </c>
      <c r="I1039" t="inlineStr">
        <is>
          <t>1</t>
        </is>
      </c>
      <c r="J1039">
        <f>((Inputs!$B$6*(1+Inputs!$B$7/100))+(((Inputs!$B$12*(1+Inputs!$B$13/100))-(Inputs!$B$12*(1+Inputs!$B$13/100)))+0.25*(Inputs!$B$14-Inputs!$B$14))*(1+Inputs!$B$7/100))*(F1039/100)</f>
        <v/>
      </c>
      <c r="K1039">
        <f>J1039*(1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1039)</f>
        <v/>
      </c>
      <c r="L1039">
        <f>K1039*(MIN(Inputs!$B$22+((C1053=TRUE)*(F1053-Calc!F22)),(Inputs!$B$23+((C1055=TRUE)*(F1055-Calc!F24))+(IF(ArtifactsInput!$M$15,CHOOSE(ArtifactsInput!$N$15+1,25,30,35,40,45,50)/100*(Inputs!$B$11-Inputs!$B$11),0))))/100+(Inputs!$B$23+((C1055=TRUE)*(F1055-Calc!F24))+(IF(ArtifactsInput!$M$15,CHOOSE(ArtifactsInput!$N$15+1,25,30,35,40,45,50)/100*(Inputs!$B$11-Inputs!$B$11),0)))/100)/2</f>
        <v/>
      </c>
      <c r="M1039">
        <f>L1039*(1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39">
        <f>L1039*(1-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1039*(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39">
        <f>(1-Summary!$B$11)*T1039+Summary!$B$11*V1039</f>
        <v/>
      </c>
      <c r="P1039">
        <f>IF(B1068=0,0,O1039/B1068)</f>
        <v/>
      </c>
      <c r="Q1039">
        <f>IFERROR(1/(IF(Inputs!$B$38="pvp",15,MAX(0.1,Skills!D8-IF(Skills!E8=TRUE,Inputs!$B$32,0)))*(1-IF(AND(ArtifactsInput!$M$27,Inputs!$B$4="Chapter Hunt"),CHOOSE(ArtifactsInput!$N$27+1,20,24,28,32,36,40),0)/100)),0)</f>
        <v/>
      </c>
      <c r="R1039">
        <f>IF(AND(Inputs!$B$38&lt;&gt;"pvp",Inputs!$B$43&gt;0),IF(MAX(0,Inputs!$B$43-B1065)&lt;=0,0,(INT(MAX(0,Inputs!$B$43-B1065)/(IF(Inputs!$B$38="pvp",15,MAX(0.1,Skills!D8-IF(Skills!E8=TRUE,Inputs!$B$32,0)))*(1-IF(AND(ArtifactsInput!$M$27,Inputs!$B$4="Chapter Hunt"),CHOOSE(ArtifactsInput!$N$27+1,20,24,28,32,36,40),0)/100)))+1)),0)</f>
        <v/>
      </c>
      <c r="S1039">
        <f>IFERROR(O1039/N1039,0)</f>
        <v/>
      </c>
      <c r="T1039">
        <f>IF(C1039,(H1039*N1039*IF(AND(Inputs!$B$38&lt;&gt;"pvp",Inputs!$B$43&gt;0),((Skills!G8*((R1039-1)*IF(Skills!H8&gt;0,Skills!I8/Skills!H8,1)+IF(Skills!H8&gt;0,MIN(Skills!I8,MAX(0,MAX(0,Inputs!$B$43-B1065)-((R1039-1)*(IF(Inputs!$B$38="pvp",15,MAX(0.1,Skills!D8-IF(Skills!E8=TRUE,Inputs!$B$32,0)))*(1-IF(AND(ArtifactsInput!$M$27,Inputs!$B$4="Chapter Hunt"),CHOOSE(ArtifactsInput!$N$27+1,20,24,28,32,36,40),0)/100)))))/Skills!H8,1)))/Inputs!$B$43),G1039*Q1039)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1039*(1-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1039*(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1039*(1-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1039*(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39">
        <f>IF(C1039,(H1039*N1039*IF(AND(Inputs!$B$38&lt;&gt;"pvp",Inputs!$B$43&gt;0),((Skills!G8*((R1039-1)*IF(Skills!H8&gt;0,Skills!I8/Skills!H8,1)+IF(Skills!H8&gt;0,MIN(Skills!I8,MAX(0,MAX(0,Inputs!$B$43-B1065)-((R1039-1)*(IF(Inputs!$B$38="pvp",15,MAX(0.1,Skills!D8-IF(Skills!E8=TRUE,Inputs!$B$32,0)))*(1-IF(AND(ArtifactsInput!$M$27,Inputs!$B$4="Chapter Hunt"),CHOOSE(ArtifactsInput!$N$27+1,20,24,28,32,36,40),0)/100)))))/Skills!H8,1)))/Inputs!$B$43),G1039*Q1039))*IF(Inputs!$B$38="pvp",1,(1+(Inputs!$B$21+Skills!Q8+(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0">
      <c r="A1040">
        <f>Skills!A9</f>
        <v/>
      </c>
      <c r="B1040">
        <f>Skills!B9</f>
        <v/>
      </c>
      <c r="C1040">
        <f>Inputs!$B$3&gt;=125</f>
        <v/>
      </c>
      <c r="D1040">
        <f>IF(Skills!C9=1,60+Inputs!$B$25+Inputs!$B$29,IF(Skills!C9=2,90+Inputs!$B$26+Inputs!$B$29,IF(Skills!C9=3,120+Inputs!$B$27+Inputs!$B$29,MAX(0,(Inputs!$B$3-100)*3)+Inputs!$B$28+Inputs!$B$29)))</f>
        <v/>
      </c>
      <c r="E1040">
        <f>INDEX(FactorTable!$B$2:$Y$301, MATCH(ROUND(MIN(300,MAX(1,D1040)),0), FactorTable!$A$2:$A$301,0), Skills!M9+1)</f>
        <v/>
      </c>
      <c r="F1040">
        <f>IF(Skills!N9=TRUE,(Skills!L9/10)*(E1040/1000),Skills!L9/10)+Skills!O9</f>
        <v/>
      </c>
      <c r="G1040">
        <f>Skills!G9*IF(Skills!H9&gt;0,Skills!I9/Skills!H9,1)</f>
        <v/>
      </c>
      <c r="H1040">
        <f>1-(1-Skills!J9/100)^Skills!K9</f>
        <v/>
      </c>
      <c r="I1040" t="inlineStr">
        <is>
          <t>1</t>
        </is>
      </c>
      <c r="J1040">
        <f>((Inputs!$B$6*(1+Inputs!$B$7/100))+(((Inputs!$B$12*(1+Inputs!$B$13/100))-(Inputs!$B$12*(1+Inputs!$B$13/100)))+0.25*(Inputs!$B$14-Inputs!$B$14))*(1+Inputs!$B$7/100))*(F1040/100)</f>
        <v/>
      </c>
      <c r="K1040">
        <f>J1040*(1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1040)</f>
        <v/>
      </c>
      <c r="L1040">
        <f>K1040*(MIN(Inputs!$B$22+((C1053=TRUE)*(F1053-Calc!F22)),(Inputs!$B$23+((C1055=TRUE)*(F1055-Calc!F24))+(IF(ArtifactsInput!$M$15,CHOOSE(ArtifactsInput!$N$15+1,25,30,35,40,45,50)/100*(Inputs!$B$11-Inputs!$B$11),0))))/100+(Inputs!$B$23+((C1055=TRUE)*(F1055-Calc!F24))+(IF(ArtifactsInput!$M$15,CHOOSE(ArtifactsInput!$N$15+1,25,30,35,40,45,50)/100*(Inputs!$B$11-Inputs!$B$11),0)))/100)/2</f>
        <v/>
      </c>
      <c r="M1040">
        <f>L1040*(1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0">
        <f>L1040*(1-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1040*(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0">
        <f>(1-Summary!$B$11)*T1040+Summary!$B$11*V1040</f>
        <v/>
      </c>
      <c r="P1040">
        <f>IF(B1068=0,0,O1040/B1068)</f>
        <v/>
      </c>
      <c r="Q1040">
        <f>IFERROR(1/(IF(Inputs!$B$38="pvp",15,MAX(0.1,Skills!D9-IF(Skills!E9=TRUE,Inputs!$B$32,0)))*(1-IF(AND(ArtifactsInput!$M$27,Inputs!$B$4="Chapter Hunt"),CHOOSE(ArtifactsInput!$N$27+1,20,24,28,32,36,40),0)/100)),0)</f>
        <v/>
      </c>
      <c r="R1040">
        <f>IF(AND(Inputs!$B$38&lt;&gt;"pvp",Inputs!$B$43&gt;0),IF(MAX(0,Inputs!$B$43-B1065)&lt;=0,0,(INT(MAX(0,Inputs!$B$43-B1065)/(IF(Inputs!$B$38="pvp",15,MAX(0.1,Skills!D9-IF(Skills!E9=TRUE,Inputs!$B$32,0)))*(1-IF(AND(ArtifactsInput!$M$27,Inputs!$B$4="Chapter Hunt"),CHOOSE(ArtifactsInput!$N$27+1,20,24,28,32,36,40),0)/100)))+1)),0)</f>
        <v/>
      </c>
      <c r="S1040">
        <f>IFERROR(O1040/N1040,0)</f>
        <v/>
      </c>
      <c r="T1040">
        <f>IF(C1040,(H1040*N1040*IF(AND(Inputs!$B$38&lt;&gt;"pvp",Inputs!$B$43&gt;0),((Skills!G9*((R1040-1)*IF(Skills!H9&gt;0,Skills!I9/Skills!H9,1)+IF(Skills!H9&gt;0,MIN(Skills!I9,MAX(0,MAX(0,Inputs!$B$43-B1065)-((R1040-1)*(IF(Inputs!$B$38="pvp",15,MAX(0.1,Skills!D9-IF(Skills!E9=TRUE,Inputs!$B$32,0)))*(1-IF(AND(ArtifactsInput!$M$27,Inputs!$B$4="Chapter Hunt"),CHOOSE(ArtifactsInput!$N$27+1,20,24,28,32,36,40),0)/100)))))/Skills!H9,1)))/Inputs!$B$43),G1040*Q1040)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1040*(1-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1040*(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1040*(1-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1040*(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0">
        <f>IF(C1040,(H1040*N1040*IF(AND(Inputs!$B$38&lt;&gt;"pvp",Inputs!$B$43&gt;0),((Skills!G9*((R1040-1)*IF(Skills!H9&gt;0,Skills!I9/Skills!H9,1)+IF(Skills!H9&gt;0,MIN(Skills!I9,MAX(0,MAX(0,Inputs!$B$43-B1065)-((R1040-1)*(IF(Inputs!$B$38="pvp",15,MAX(0.1,Skills!D9-IF(Skills!E9=TRUE,Inputs!$B$32,0)))*(1-IF(AND(ArtifactsInput!$M$27,Inputs!$B$4="Chapter Hunt"),CHOOSE(ArtifactsInput!$N$27+1,20,24,28,32,36,40),0)/100)))))/Skills!H9,1)))/Inputs!$B$43),G1040*Q1040))*IF(Inputs!$B$38="pvp",1,(1+(Inputs!$B$21+Skills!Q9+(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1">
      <c r="A1041">
        <f>Skills!A10</f>
        <v/>
      </c>
      <c r="B1041">
        <f>Skills!B10</f>
        <v/>
      </c>
      <c r="C1041">
        <f>Inputs!$B$3&gt;=117</f>
        <v/>
      </c>
      <c r="D1041">
        <f>IF(Skills!C10=1,60+Inputs!$B$25+Inputs!$B$29,IF(Skills!C10=2,90+Inputs!$B$26+Inputs!$B$29,IF(Skills!C10=3,120+Inputs!$B$27+Inputs!$B$29,MAX(0,(Inputs!$B$3-100)*3)+Inputs!$B$28+Inputs!$B$29)))</f>
        <v/>
      </c>
      <c r="E1041">
        <f>INDEX(FactorTable!$B$2:$Y$301, MATCH(ROUND(MIN(300,MAX(1,D1041)),0), FactorTable!$A$2:$A$301,0), Skills!M10+1)</f>
        <v/>
      </c>
      <c r="F1041">
        <f>IF(Skills!N10=TRUE,(Skills!L10/10)*(E1041/1000),Skills!L10/10)+Skills!O10</f>
        <v/>
      </c>
      <c r="G1041">
        <f>Skills!G10*IF(Skills!H10&gt;0,Skills!I10/Skills!H10,1)</f>
        <v/>
      </c>
      <c r="H1041">
        <f>1-(1-Skills!J10/100)^Skills!K10</f>
        <v/>
      </c>
      <c r="I1041" t="inlineStr">
        <is>
          <t>1</t>
        </is>
      </c>
      <c r="J1041">
        <f>((Inputs!$B$6*(1+Inputs!$B$7/100))+(((Inputs!$B$12*(1+Inputs!$B$13/100))-(Inputs!$B$12*(1+Inputs!$B$13/100)))+0.25*(Inputs!$B$14-Inputs!$B$14))*(1+Inputs!$B$7/100))*(F1041/100)</f>
        <v/>
      </c>
      <c r="K1041">
        <f>J1041*(1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1041)</f>
        <v/>
      </c>
      <c r="L1041">
        <f>K1041*(MIN(Inputs!$B$22+((C1053=TRUE)*(F1053-Calc!F22)),(Inputs!$B$23+((C1055=TRUE)*(F1055-Calc!F24))+(IF(ArtifactsInput!$M$15,CHOOSE(ArtifactsInput!$N$15+1,25,30,35,40,45,50)/100*(Inputs!$B$11-Inputs!$B$11),0))))/100+(Inputs!$B$23+((C1055=TRUE)*(F1055-Calc!F24))+(IF(ArtifactsInput!$M$15,CHOOSE(ArtifactsInput!$N$15+1,25,30,35,40,45,50)/100*(Inputs!$B$11-Inputs!$B$11),0)))/100)/2</f>
        <v/>
      </c>
      <c r="M1041">
        <f>L1041*(1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1">
        <f>L1041*(1-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1">
        <f>(1-Summary!$B$11)*T1041+Summary!$B$11*V1041</f>
        <v/>
      </c>
      <c r="P1041">
        <f>IF(B1068=0,0,O1041/B1068)</f>
        <v/>
      </c>
      <c r="Q1041">
        <f>IFERROR(1/(IF(Inputs!$B$38="pvp",15,MAX(0.1,Skills!D10-IF(Skills!E10=TRUE,Inputs!$B$32,0)))*(1-IF(AND(ArtifactsInput!$M$27,Inputs!$B$4="Chapter Hunt"),CHOOSE(ArtifactsInput!$N$27+1,20,24,28,32,36,40),0)/100)),0)</f>
        <v/>
      </c>
      <c r="R1041">
        <f>IF(AND(Inputs!$B$38&lt;&gt;"pvp",Inputs!$B$43&gt;0),IF(MAX(0,Inputs!$B$43-B1065)&lt;=0,0,(INT(MAX(0,Inputs!$B$43-B1065)/(IF(Inputs!$B$38="pvp",15,MAX(0.1,Skills!D10-IF(Skills!E10=TRUE,Inputs!$B$32,0)))*(1-IF(AND(ArtifactsInput!$M$27,Inputs!$B$4="Chapter Hunt"),CHOOSE(ArtifactsInput!$N$27+1,20,24,28,32,36,40),0)/100)))+1)),0)</f>
        <v/>
      </c>
      <c r="S1041">
        <f>IFERROR(O1041/N1041,0)</f>
        <v/>
      </c>
      <c r="T1041">
        <f>IF(C1041,(H1041*N1041*IF(AND(Inputs!$B$38&lt;&gt;"pvp",Inputs!$B$43&gt;0),((Skills!G10*((R1041-1)*IF(Skills!H10&gt;0,Skills!I10/Skills!H10,1)+IF(Skills!H10&gt;0,MIN(Skills!I10,MAX(0,MAX(0,Inputs!$B$43-B1065)-((R1041-1)*(IF(Inputs!$B$38="pvp",15,MAX(0.1,Skills!D10-IF(Skills!E10=TRUE,Inputs!$B$32,0)))*(1-IF(AND(ArtifactsInput!$M$27,Inputs!$B$4="Chapter Hunt"),CHOOSE(ArtifactsInput!$N$27+1,20,24,28,32,36,40),0)/100)))))/Skills!H10,1)))/Inputs!$B$43),G1041*Q1041)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1041*(1-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1041*(1-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1">
        <f>IF(C1041,(H1041*N1041*IF(AND(Inputs!$B$38&lt;&gt;"pvp",Inputs!$B$43&gt;0),((Skills!G10*((R1041-1)*IF(Skills!H10&gt;0,Skills!I10/Skills!H10,1)+IF(Skills!H10&gt;0,MIN(Skills!I10,MAX(0,MAX(0,Inputs!$B$43-B1065)-((R1041-1)*(IF(Inputs!$B$38="pvp",15,MAX(0.1,Skills!D10-IF(Skills!E10=TRUE,Inputs!$B$32,0)))*(1-IF(AND(ArtifactsInput!$M$27,Inputs!$B$4="Chapter Hunt"),CHOOSE(ArtifactsInput!$N$27+1,20,24,28,32,36,40),0)/100)))))/Skills!H10,1)))/Inputs!$B$43),G1041*Q1041))*IF(Inputs!$B$38="pvp",1,(1+(Inputs!$B$21+Skills!Q10+(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2">
      <c r="A1042">
        <f>Skills!A11</f>
        <v/>
      </c>
      <c r="B1042">
        <f>Skills!B11</f>
        <v/>
      </c>
      <c r="C1042">
        <f>Inputs!$B$3&gt;=63</f>
        <v/>
      </c>
      <c r="D1042">
        <f>IF(Skills!C11=1,60+Inputs!$B$25+Inputs!$B$29,IF(Skills!C11=2,90+Inputs!$B$26+Inputs!$B$29,IF(Skills!C11=3,120+Inputs!$B$27+Inputs!$B$29,MAX(0,(Inputs!$B$3-100)*3)+Inputs!$B$28+Inputs!$B$29)))</f>
        <v/>
      </c>
      <c r="E1042">
        <f>INDEX(FactorTable!$B$2:$Y$301, MATCH(ROUND(MIN(300,MAX(1,D1042)),0), FactorTable!$A$2:$A$301,0), Skills!M11+1)</f>
        <v/>
      </c>
      <c r="F1042">
        <f>IF(Skills!N11=TRUE,(Skills!L11/10)*(E1042/1000),Skills!L11/10)+Skills!O11</f>
        <v/>
      </c>
      <c r="G1042">
        <f>Skills!G11*IF(Skills!H11&gt;0,Skills!I11/Skills!H11,1)</f>
        <v/>
      </c>
      <c r="H1042">
        <f>1-(1-Skills!J11/100)^Skills!K11</f>
        <v/>
      </c>
      <c r="I1042" t="inlineStr">
        <is>
          <t>1</t>
        </is>
      </c>
      <c r="J1042">
        <f>((Inputs!$B$6*(1+Inputs!$B$7/100))+(((Inputs!$B$12*(1+Inputs!$B$13/100))-(Inputs!$B$12*(1+Inputs!$B$13/100)))+0.25*(Inputs!$B$14-Inputs!$B$14))*(1+Inputs!$B$7/100))*(F1042/100)</f>
        <v/>
      </c>
      <c r="K1042">
        <f>J1042*(1+((Inputs!$B$12*(1+Inputs!$B$13/100))*0.01+Inputs!$B$14*0.0025)/100)*(1+Inputs!$B$15/100)*(1+Inputs!$B$16/100)*(5000/(6000+Inputs!$B$42*(1-(Inputs!$B$19+0)/100)))*(1+(Inputs!$B$24+0+B1064)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1043=TRUE,F1043,0)/100)*(1+(IF(Skills!A11="BLAST",Inputs!$B$17+((C1052=TRUE)*(F1052-Calc!F21))+((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MIN(100,((Inputs!$B$9+0+B1058+(ArtifactsInput!$M$24-ArtifactsInput!$M$24)*CHOOSE(ArtifactsInput!$N$24+1,10,12,14,16,18,20)+IF(ArtifactsInput!$M$10,CHOOSE(ArtifactsInput!$N$10+1,15,18,21,24,27,30)*(IF(Inputs!$B$38="pvp",MIN(15,15)/15,IF(AND(Inputs!$B$38&lt;&gt;"pvp",Inputs!$B$43&gt;0),MIN(15,Inputs!$B$43)/(Inputs!$B$43),0))),0)))-100),0))*CHOOSE(ArtifactsInput!$N$42+1,0.6,0.72,0.84,0.96,1.08,1.2))),Inputs!$B$18+((C1054=TRUE)*(F1054-Calc!F23))+(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gt;=100),CHOOSE(ArtifactsInput!$N$42+1,40,48,56,64,72,80),0))))/100)*((1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1042)</f>
        <v/>
      </c>
      <c r="L1042">
        <f>K1042*(MIN(Inputs!$B$22+((C1053=TRUE)*(F1053-Calc!F22)),(Inputs!$B$23+((C1055=TRUE)*(F1055-Calc!F24))+(IF(ArtifactsInput!$M$15,CHOOSE(ArtifactsInput!$N$15+1,25,30,35,40,45,50)/100*(Inputs!$B$11-Inputs!$B$11),0))))/100+(Inputs!$B$23+((C1055=TRUE)*(F1055-Calc!F24))+(IF(ArtifactsInput!$M$15,CHOOSE(ArtifactsInput!$N$15+1,25,30,35,40,45,50)/100*(Inputs!$B$11-Inputs!$B$11),0)))/100)/2</f>
        <v/>
      </c>
      <c r="M1042">
        <f>L1042*(1+(Inputs!$B$10+0+B1063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42">
        <f>L1042*(1-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1042*(MIN((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42">
        <f>(1-Summary!$B$11)*T1042+Summary!$B$11*V1042</f>
        <v/>
      </c>
      <c r="P1042">
        <f>IF(B1068=0,0,O1042/B1068)</f>
        <v/>
      </c>
      <c r="Q1042">
        <f>IFERROR(1/(IF(Inputs!$B$38="pvp",15,MAX(0.1,Skills!D11-IF(Skills!E11=TRUE,Inputs!$B$32,0)))*(1-IF(AND(ArtifactsInput!$M$27,Inputs!$B$4="Chapter Hunt"),CHOOSE(ArtifactsInput!$N$27+1,20,24,28,32,36,40),0)/100)),0)</f>
        <v/>
      </c>
      <c r="R1042">
        <f>IF(AND(Inputs!$B$38&lt;&gt;"pvp",Inputs!$B$43&gt;0),IF(MAX(0,Inputs!$B$43-B1065)&lt;=0,0,(INT(MAX(0,Inputs!$B$43-B1065)/(IF(Inputs!$B$38="pvp",15,MAX(0.1,Skills!D11-IF(Skills!E11=TRUE,Inputs!$B$32,0)))*(1-IF(AND(ArtifactsInput!$M$27,Inputs!$B$4="Chapter Hunt"),CHOOSE(ArtifactsInput!$N$27+1,20,24,28,32,36,40),0)/100)))+1)),0)</f>
        <v/>
      </c>
      <c r="S1042">
        <f>IFERROR(O1042/N1042,0)</f>
        <v/>
      </c>
      <c r="T1042">
        <f>IF(C1042,(H1042*N1042*IF(AND(Inputs!$B$38&lt;&gt;"pvp",Inputs!$B$43&gt;0),((Skills!G11*((R1042-1)*IF(Skills!H11&gt;0,Skills!I11/Skills!H11,1)+IF(Skills!H11&gt;0,MIN(Skills!I11,MAX(0,MAX(0,Inputs!$B$43-B1065)-((R1042-1)*(IF(Inputs!$B$38="pvp",15,MAX(0.1,Skills!D11-IF(Skills!E11=TRUE,Inputs!$B$32,0)))*(1-IF(AND(ArtifactsInput!$M$27,Inputs!$B$4="Chapter Hunt"),CHOOSE(ArtifactsInput!$N$27+1,20,24,28,32,36,40),0)/100)))))/Skills!H11,1)))/Inputs!$B$43),G1042*Q1042)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1042*(1-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1042*(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1042*(1-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1042*(MIN(100,(Inputs!$B$9+0+B1058+(ArtifactsInput!$M$24-ArtifactsInput!$M$24)*CHOOSE(ArtifactsInput!$N$24+1,10,12,14,16,18,20)+(IF(AND(Inputs!$B$38&lt;&gt;"pvp",Inputs!$B$43=0),1,IF(IF(Inputs!$B$38="pvp",15,Inputs!$B$43)-(B1065)&lt;=0,1,MAX(0,IF(Inputs!$B$38="pvp",15,Inputs!$B$43)-MAX(5,B1065))/(IF(Inputs!$B$38="pvp",15,Inputs!$B$43)-(B1065))))*IF(AND(ArtifactsInput!$M$42,((Inputs!$B$9+0+B1058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42">
        <f>IF(C1042,(H1042*N1042*IF(AND(Inputs!$B$38&lt;&gt;"pvp",Inputs!$B$43&gt;0),((Skills!G11*((R1042-1)*IF(Skills!H11&gt;0,Skills!I11/Skills!H11,1)+IF(Skills!H11&gt;0,MIN(Skills!I11,MAX(0,MAX(0,Inputs!$B$43-B1065)-((R1042-1)*(IF(Inputs!$B$38="pvp",15,MAX(0.1,Skills!D11-IF(Skills!E11=TRUE,Inputs!$B$32,0)))*(1-IF(AND(ArtifactsInput!$M$27,Inputs!$B$4="Chapter Hunt"),CHOOSE(ArtifactsInput!$N$27+1,20,24,28,32,36,40),0)/100)))))/Skills!H11,1)))/Inputs!$B$43),G1042*Q1042))*IF(Inputs!$B$38="pvp",1,(1+(Inputs!$B$21+Skills!Q11+(IF(ArtifactsInput!$M$33,CHOOSE(ArtifactsInput!$N$33+1,30,36,42,48,54,60),0))+(IF(AND(ArtifactsInput!$M$35,Inputs!$B$4&lt;&gt;"Chapter Hunt"),CHOOSE(ArtifactsInput!$N$35+1,15,18,21,24,27,30)*(1-EXP(-(0.2*B1060)*5)),0)+IF(AND(ArtifactsInput!$M$22,Inputs!$B$4&lt;&gt;"Chapter Hunt"),CHOOSE(ArtifactsInput!$N$22+1,10,12,14,16,18,20)*((0*(((0.15*B1060*5))^0/1)+1*(((0.15*B1060*5))^1/1)+2*(((0.15*B1060*5))^2/2)+3*(((0.15*B1060*5))^3/6)+4*(((0.15*B1060*5))^4/24)+5*(((0.15*B1060*5))^5/120))/((((0.15*B1060*5))^0/1)+(((0.15*B1060*5))^1/1)+(((0.15*B1060*5))^2/2)+(((0.15*B1060*5))^3/6)+(((0.15*B1060*5))^4/24)+(((0.15*B1060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43">
      <c r="A1043">
        <f>Skills!A12</f>
        <v/>
      </c>
      <c r="B1043">
        <f>Skills!B12</f>
        <v/>
      </c>
      <c r="C1043">
        <f>Inputs!$B$3&gt;=100</f>
        <v/>
      </c>
      <c r="D1043">
        <f>IF(Skills!C12=1,60+Inputs!$B$25+Inputs!$B$29,IF(Skills!C12=2,90+Inputs!$B$26+Inputs!$B$29,IF(Skills!C12=3,120+Inputs!$B$27+Inputs!$B$29,MAX(0,(Inputs!$B$3-100)*3)+Inputs!$B$28+Inputs!$B$29)))</f>
        <v/>
      </c>
      <c r="E1043">
        <f>INDEX(FactorTable!$B$2:$Y$301, MATCH(ROUND(MIN(300,MAX(1,D1043)),0), FactorTable!$A$2:$A$301,0), Skills!M12+1)</f>
        <v/>
      </c>
      <c r="F1043">
        <f>IF(Skills!N12=TRUE,(Skills!L12/10)*(E1043/1000),Skills!L12/10)+Skills!O12</f>
        <v/>
      </c>
      <c r="G1043" t="inlineStr"/>
      <c r="H1043" t="inlineStr"/>
      <c r="I1043" t="inlineStr">
        <is>
          <t>1</t>
        </is>
      </c>
      <c r="J1043" t="inlineStr"/>
      <c r="K1043" t="inlineStr"/>
      <c r="L1043" t="inlineStr"/>
      <c r="M1043" t="inlineStr"/>
      <c r="N1043" t="inlineStr"/>
      <c r="O1043" t="inlineStr"/>
      <c r="P1043" t="inlineStr"/>
      <c r="Q1043" t="inlineStr"/>
      <c r="R1043" t="inlineStr"/>
      <c r="S1043" t="inlineStr"/>
    </row>
    <row r="1044">
      <c r="A1044">
        <f>Skills!A13</f>
        <v/>
      </c>
      <c r="B1044">
        <f>Skills!B13</f>
        <v/>
      </c>
      <c r="C1044">
        <f>Inputs!$B$3&gt;=45</f>
        <v/>
      </c>
      <c r="D1044">
        <f>IF(Skills!C13=1,60+Inputs!$B$25+Inputs!$B$29,IF(Skills!C13=2,90+Inputs!$B$26+Inputs!$B$29,IF(Skills!C13=3,120+Inputs!$B$27+Inputs!$B$29,MAX(0,(Inputs!$B$3-100)*3)+Inputs!$B$28+Inputs!$B$29)))</f>
        <v/>
      </c>
      <c r="E1044">
        <f>INDEX(FactorTable!$B$2:$Y$301, MATCH(ROUND(MIN(300,MAX(1,D1044)),0), FactorTable!$A$2:$A$301,0), Skills!M13+1)</f>
        <v/>
      </c>
      <c r="F1044">
        <f>IF(Skills!N13=TRUE,(Skills!L13/10)*(E1044/1000),Skills!L13/10)+Skills!O13</f>
        <v/>
      </c>
      <c r="G1044">
        <f>Skills!G13*IF(Skills!H13&gt;0,Skills!I13/Skills!H13,1)</f>
        <v/>
      </c>
      <c r="H1044">
        <f>1-(1-Skills!J13/100)^Skills!K13</f>
        <v/>
      </c>
      <c r="I1044" t="inlineStr">
        <is>
          <t>1</t>
        </is>
      </c>
      <c r="J1044" t="inlineStr"/>
      <c r="K1044" t="inlineStr"/>
      <c r="L1044" t="inlineStr"/>
      <c r="M1044" t="inlineStr"/>
      <c r="N1044" t="inlineStr"/>
      <c r="O1044">
        <f>(1-Summary!$B$11)*T1044+Summary!$B$11*V1044</f>
        <v/>
      </c>
      <c r="P1044">
        <f>IF(B1068=0,0,O1044/B1068)</f>
        <v/>
      </c>
      <c r="Q1044" t="n">
        <v>0</v>
      </c>
      <c r="R1044" t="n">
        <v>0</v>
      </c>
      <c r="S1044">
        <f>IFERROR(O1044/N1044,0)</f>
        <v/>
      </c>
      <c r="T1044" t="n">
        <v>0</v>
      </c>
      <c r="V1044" t="n">
        <v>0</v>
      </c>
    </row>
    <row r="1045">
      <c r="A1045">
        <f>Skills!A14</f>
        <v/>
      </c>
      <c r="B1045">
        <f>Skills!B14</f>
        <v/>
      </c>
      <c r="C1045">
        <f>Inputs!$B$3&gt;=110</f>
        <v/>
      </c>
      <c r="D1045">
        <f>IF(Skills!C14=1,60+Inputs!$B$25+Inputs!$B$29,IF(Skills!C14=2,90+Inputs!$B$26+Inputs!$B$29,IF(Skills!C14=3,120+Inputs!$B$27+Inputs!$B$29,MAX(0,(Inputs!$B$3-100)*3)+Inputs!$B$28+Inputs!$B$29)))</f>
        <v/>
      </c>
      <c r="E1045">
        <f>INDEX(FactorTable!$B$2:$Y$301, MATCH(ROUND(MIN(300,MAX(1,D1045)),0), FactorTable!$A$2:$A$301,0), Skills!M14+1)</f>
        <v/>
      </c>
      <c r="F1045">
        <f>IF(Skills!N14=TRUE,(Skills!L14/10)*(E1045/1000),Skills!L14/10)+Skills!O14</f>
        <v/>
      </c>
      <c r="G1045">
        <f>Skills!G14*IF(Skills!H14&gt;0,Skills!I14/Skills!H14,1)</f>
        <v/>
      </c>
      <c r="H1045">
        <f>1-(1-Skills!J14/100)^Skills!K14</f>
        <v/>
      </c>
      <c r="I1045" t="inlineStr">
        <is>
          <t>1</t>
        </is>
      </c>
      <c r="J1045" t="inlineStr"/>
      <c r="K1045" t="inlineStr"/>
      <c r="L1045" t="inlineStr"/>
      <c r="M1045" t="inlineStr"/>
      <c r="N1045" t="inlineStr"/>
      <c r="O1045">
        <f>(1-Summary!$B$11)*T1045+Summary!$B$11*V1045</f>
        <v/>
      </c>
      <c r="P1045">
        <f>IF(B1068=0,0,O1045/B1068)</f>
        <v/>
      </c>
      <c r="Q1045" t="n">
        <v>0</v>
      </c>
      <c r="R1045" t="n">
        <v>0</v>
      </c>
      <c r="S1045">
        <f>IFERROR(O1045/N1045,0)</f>
        <v/>
      </c>
      <c r="T1045" t="n">
        <v>0</v>
      </c>
      <c r="V1045" t="n">
        <v>0</v>
      </c>
    </row>
    <row r="1046">
      <c r="A1046">
        <f>Skills!A15</f>
        <v/>
      </c>
      <c r="B1046">
        <f>Skills!B15</f>
        <v/>
      </c>
      <c r="C1046">
        <f>Inputs!$B$3&gt;=75</f>
        <v/>
      </c>
      <c r="D1046">
        <f>IF(Skills!C15=1,60+Inputs!$B$25+Inputs!$B$29,IF(Skills!C15=2,90+Inputs!$B$26+Inputs!$B$29,IF(Skills!C15=3,120+Inputs!$B$27+Inputs!$B$29,MAX(0,(Inputs!$B$3-100)*3)+Inputs!$B$28+Inputs!$B$29)))</f>
        <v/>
      </c>
      <c r="E1046">
        <f>INDEX(FactorTable!$B$2:$Y$301, MATCH(ROUND(MIN(300,MAX(1,D1046)),0), FactorTable!$A$2:$A$301,0), Skills!M15+1)</f>
        <v/>
      </c>
      <c r="F1046">
        <f>IF(Skills!N15=TRUE,(Skills!L15/10)*(E1046/1000),Skills!L15/10)+Skills!O15</f>
        <v/>
      </c>
      <c r="G1046">
        <f>Skills!G15*IF(Skills!H15&gt;0,Skills!I15/Skills!H15,1)</f>
        <v/>
      </c>
      <c r="H1046">
        <f>1-(1-Skills!J15/100)^Skills!K15</f>
        <v/>
      </c>
      <c r="I1046" t="inlineStr">
        <is>
          <t>1</t>
        </is>
      </c>
      <c r="J1046" t="inlineStr"/>
      <c r="K1046" t="inlineStr"/>
      <c r="L1046" t="inlineStr"/>
      <c r="M1046" t="inlineStr"/>
      <c r="N1046" t="inlineStr"/>
      <c r="O1046">
        <f>(1-Summary!$B$11)*T1046+Summary!$B$11*V1046</f>
        <v/>
      </c>
      <c r="P1046">
        <f>IF(B1068=0,0,O1046/B1068)</f>
        <v/>
      </c>
      <c r="Q1046">
        <f>IFERROR(1/(IF(Inputs!$B$38="pvp",15,MAX(0.1,Skills!D15-IF(Skills!E15=TRUE,Inputs!$B$32,0)))*(1-IF(AND(ArtifactsInput!$M$27,Inputs!$B$4="Chapter Hunt"),CHOOSE(ArtifactsInput!$N$27+1,20,24,28,32,36,40),0)/100)),0)</f>
        <v/>
      </c>
      <c r="R1046">
        <f>IF(AND(Inputs!$B$38&lt;&gt;"pvp",Inputs!$B$43&gt;0),IF(Inputs!$B$43&lt;=0,0,(INT(Inputs!$B$43/(IF(Inputs!$B$38="pvp",15,MAX(0.1,Skills!D15-IF(Skills!E15=TRUE,Inputs!$B$32,0)))*(1-IF(AND(ArtifactsInput!$M$27,Inputs!$B$4="Chapter Hunt"),CHOOSE(ArtifactsInput!$N$27+1,20,24,28,32,36,40),0)/100)))+1)),0)</f>
        <v/>
      </c>
      <c r="S1046">
        <f>IFERROR(O1046/N1046,0)</f>
        <v/>
      </c>
      <c r="T1046" t="n">
        <v>0</v>
      </c>
      <c r="V1046" t="n">
        <v>0</v>
      </c>
    </row>
    <row r="1047">
      <c r="A1047">
        <f>Skills!A16</f>
        <v/>
      </c>
      <c r="B1047">
        <f>Skills!B16</f>
        <v/>
      </c>
      <c r="C1047">
        <f>Inputs!$B$3&gt;=105</f>
        <v/>
      </c>
      <c r="D1047">
        <f>IF(Skills!C16=1,60+Inputs!$B$25+Inputs!$B$29,IF(Skills!C16=2,90+Inputs!$B$26+Inputs!$B$29,IF(Skills!C16=3,120+Inputs!$B$27+Inputs!$B$29,MAX(0,(Inputs!$B$3-100)*3)+Inputs!$B$28+Inputs!$B$29)))</f>
        <v/>
      </c>
      <c r="E1047">
        <f>INDEX(FactorTable!$B$2:$Y$301, MATCH(ROUND(MIN(300,MAX(1,D1047)),0), FactorTable!$A$2:$A$301,0), Skills!M16+1)</f>
        <v/>
      </c>
      <c r="F1047">
        <f>IF(Skills!N16=TRUE,(Skills!L16/10)*(E1047/1000),Skills!L16/10)+Skills!O16</f>
        <v/>
      </c>
      <c r="G1047">
        <f>Skills!G16*IF(Skills!H16&gt;0,Skills!I16/Skills!H16,1)</f>
        <v/>
      </c>
      <c r="H1047">
        <f>1-(1-Skills!J16/100)^Skills!K16</f>
        <v/>
      </c>
      <c r="I1047" t="inlineStr">
        <is>
          <t>1</t>
        </is>
      </c>
      <c r="J1047" t="inlineStr"/>
      <c r="K1047" t="inlineStr"/>
      <c r="L1047" t="inlineStr"/>
      <c r="M1047" t="inlineStr"/>
      <c r="N1047" t="inlineStr"/>
      <c r="O1047">
        <f>(1-Summary!$B$11)*T1047+Summary!$B$11*V1047</f>
        <v/>
      </c>
      <c r="P1047">
        <f>IF(B1068=0,0,O1047/B1068)</f>
        <v/>
      </c>
      <c r="Q1047">
        <f>IFERROR(1/(IF(Inputs!$B$38="pvp",15,MAX(0.1,Skills!D16-IF(Skills!E16=TRUE,Inputs!$B$32,0)))*(1-IF(AND(ArtifactsInput!$M$27,Inputs!$B$4="Chapter Hunt"),CHOOSE(ArtifactsInput!$N$27+1,20,24,28,32,36,40),0)/100)),0)</f>
        <v/>
      </c>
      <c r="R1047">
        <f>IF(AND(Inputs!$B$38&lt;&gt;"pvp",Inputs!$B$43&gt;0),IF(Inputs!$B$43&lt;=0,0,(INT(Inputs!$B$43/(IF(Inputs!$B$38="pvp",15,MAX(0.1,Skills!D16-IF(Skills!E16=TRUE,Inputs!$B$32,0)))*(1-IF(AND(ArtifactsInput!$M$27,Inputs!$B$4="Chapter Hunt"),CHOOSE(ArtifactsInput!$N$27+1,20,24,28,32,36,40),0)/100)))+1)),0)</f>
        <v/>
      </c>
      <c r="S1047">
        <f>IFERROR(O1047/N1047,0)</f>
        <v/>
      </c>
      <c r="T1047" t="n">
        <v>0</v>
      </c>
      <c r="V1047" t="n">
        <v>0</v>
      </c>
    </row>
    <row r="1048">
      <c r="A1048">
        <f>Skills!A17</f>
        <v/>
      </c>
      <c r="B1048">
        <f>Skills!B17</f>
        <v/>
      </c>
      <c r="C1048">
        <f>Inputs!$B$3&gt;=115</f>
        <v/>
      </c>
      <c r="D1048">
        <f>IF(Skills!C17=1,60+Inputs!$B$25+Inputs!$B$29,IF(Skills!C17=2,90+Inputs!$B$26+Inputs!$B$29,IF(Skills!C17=3,120+Inputs!$B$27+Inputs!$B$29,MAX(0,(Inputs!$B$3-100)*3)+Inputs!$B$28+Inputs!$B$29)))</f>
        <v/>
      </c>
      <c r="E1048">
        <f>INDEX(FactorTable!$B$2:$Y$301, MATCH(ROUND(MIN(300,MAX(1,D1048)),0), FactorTable!$A$2:$A$301,0), Skills!M17+1)</f>
        <v/>
      </c>
      <c r="F1048">
        <f>IF(Skills!N17=TRUE,(Skills!L17/10)*(E1048/1000),Skills!L17/10)+Skills!O17</f>
        <v/>
      </c>
      <c r="G1048">
        <f>Skills!G17*IF(Skills!H17&gt;0,Skills!I17/Skills!H17,1)</f>
        <v/>
      </c>
      <c r="H1048">
        <f>1-(1-Skills!J17/100)^Skills!K17</f>
        <v/>
      </c>
      <c r="I1048" t="inlineStr">
        <is>
          <t>1</t>
        </is>
      </c>
      <c r="J1048" t="inlineStr"/>
      <c r="K1048" t="inlineStr"/>
      <c r="L1048" t="inlineStr"/>
      <c r="M1048" t="inlineStr"/>
      <c r="N1048" t="inlineStr"/>
      <c r="O1048">
        <f>(1-Summary!$B$11)*T1048+Summary!$B$11*V1048</f>
        <v/>
      </c>
      <c r="P1048">
        <f>IF(B1068=0,0,O1048/B1068)</f>
        <v/>
      </c>
      <c r="Q1048">
        <f>IFERROR(1/(IF(Inputs!$B$38="pvp",15,MAX(0.1,Skills!D17-IF(Skills!E17=TRUE,Inputs!$B$32,0)))*(1-IF(AND(ArtifactsInput!$M$27,Inputs!$B$4="Chapter Hunt"),CHOOSE(ArtifactsInput!$N$27+1,20,24,28,32,36,40),0)/100)),0)</f>
        <v/>
      </c>
      <c r="R1048">
        <f>IF(AND(Inputs!$B$38&lt;&gt;"pvp",Inputs!$B$43&gt;0),IF(Inputs!$B$43&lt;=0,0,(INT(Inputs!$B$43/(IF(Inputs!$B$38="pvp",15,MAX(0.1,Skills!D17-IF(Skills!E17=TRUE,Inputs!$B$32,0)))*(1-IF(AND(ArtifactsInput!$M$27,Inputs!$B$4="Chapter Hunt"),CHOOSE(ArtifactsInput!$N$27+1,20,24,28,32,36,40),0)/100)))+1)),0)</f>
        <v/>
      </c>
      <c r="S1048">
        <f>IFERROR(O1048/N1048,0)</f>
        <v/>
      </c>
      <c r="T1048" t="n">
        <v>0</v>
      </c>
      <c r="V1048" t="n">
        <v>0</v>
      </c>
    </row>
    <row r="1049">
      <c r="A1049">
        <f>Skills!A18</f>
        <v/>
      </c>
      <c r="B1049">
        <f>Skills!B18</f>
        <v/>
      </c>
      <c r="C1049">
        <f>Inputs!$B$3&gt;=74</f>
        <v/>
      </c>
      <c r="D1049">
        <f>IF(Skills!C18=1,60+Inputs!$B$25+Inputs!$B$29,IF(Skills!C18=2,90+Inputs!$B$26+Inputs!$B$29,IF(Skills!C18=3,120+Inputs!$B$27+Inputs!$B$29,MAX(0,(Inputs!$B$3-100)*3)+Inputs!$B$28+Inputs!$B$29)))</f>
        <v/>
      </c>
      <c r="E1049">
        <f>INDEX(FactorTable!$B$2:$Y$301, MATCH(ROUND(MIN(300,MAX(1,D1049)),0), FactorTable!$A$2:$A$301,0), Skills!M18+1)</f>
        <v/>
      </c>
      <c r="F1049">
        <f>IF(Skills!N18=TRUE,(Skills!L18/10)*(E1049/1000),Skills!L18/10)+Skills!O18</f>
        <v/>
      </c>
      <c r="G1049">
        <f>Skills!G18*IF(Skills!H18&gt;0,Skills!I18/Skills!H18,1)</f>
        <v/>
      </c>
      <c r="H1049">
        <f>1-(1-Skills!J18/100)^Skills!K18</f>
        <v/>
      </c>
      <c r="I1049" t="inlineStr">
        <is>
          <t>1</t>
        </is>
      </c>
      <c r="J1049" t="inlineStr"/>
      <c r="K1049" t="inlineStr"/>
      <c r="L1049" t="inlineStr"/>
      <c r="M1049" t="inlineStr"/>
      <c r="N1049" t="inlineStr"/>
      <c r="O1049">
        <f>(1-Summary!$B$11)*T1049+Summary!$B$11*V1049</f>
        <v/>
      </c>
      <c r="P1049">
        <f>IF(B1068=0,0,O1049/B1068)</f>
        <v/>
      </c>
      <c r="Q1049">
        <f>IFERROR(1/(IF(Inputs!$B$38="pvp",15,MAX(0.1,Skills!D18-IF(Skills!E18=TRUE,Inputs!$B$32,0)))*(1-IF(AND(ArtifactsInput!$M$27,Inputs!$B$4="Chapter Hunt"),CHOOSE(ArtifactsInput!$N$27+1,20,24,28,32,36,40),0)/100)),0)</f>
        <v/>
      </c>
      <c r="R1049">
        <f>IF(AND(Inputs!$B$38&lt;&gt;"pvp",Inputs!$B$43&gt;0),IF(Inputs!$B$43&lt;=0,0,(INT(Inputs!$B$43/(IF(Inputs!$B$38="pvp",15,MAX(0.1,Skills!D18-IF(Skills!E18=TRUE,Inputs!$B$32,0)))*(1-IF(AND(ArtifactsInput!$M$27,Inputs!$B$4="Chapter Hunt"),CHOOSE(ArtifactsInput!$N$27+1,20,24,28,32,36,40),0)/100)))+1)),0)</f>
        <v/>
      </c>
      <c r="S1049">
        <f>IFERROR(O1049/N1049,0)</f>
        <v/>
      </c>
      <c r="T1049" t="n">
        <v>0</v>
      </c>
      <c r="V1049" t="n">
        <v>0</v>
      </c>
    </row>
    <row r="1050">
      <c r="A1050">
        <f>Skills!A19</f>
        <v/>
      </c>
      <c r="B1050">
        <f>Skills!B19</f>
        <v/>
      </c>
      <c r="C1050">
        <f>TRUE</f>
        <v/>
      </c>
      <c r="D1050">
        <f>IF(Skills!C19=1,60+Inputs!$B$25+Inputs!$B$29,IF(Skills!C19=2,90+Inputs!$B$26+Inputs!$B$29,IF(Skills!C19=3,120+Inputs!$B$27+Inputs!$B$29,MAX(0,(Inputs!$B$3-100)*3)+Inputs!$B$28+Inputs!$B$29)))</f>
        <v/>
      </c>
      <c r="E1050">
        <f>INDEX(FactorTable!$B$2:$Y$301, MATCH(ROUND(MIN(300,MAX(1,D1050)),0), FactorTable!$A$2:$A$301,0), Skills!M19+1)</f>
        <v/>
      </c>
      <c r="F1050">
        <f>IF(Skills!N19=TRUE,(Skills!L19/10)*(E1050/1000),Skills!L19/10)+Skills!O19</f>
        <v/>
      </c>
      <c r="G1050">
        <f>Skills!G19*IF(Skills!H19&gt;0,Skills!I19/Skills!H19,1)</f>
        <v/>
      </c>
      <c r="H1050">
        <f>1-(1-Skills!J19/100)^Skills!K19</f>
        <v/>
      </c>
      <c r="I1050" t="inlineStr">
        <is>
          <t>1</t>
        </is>
      </c>
      <c r="J1050" t="inlineStr"/>
      <c r="K1050" t="inlineStr"/>
      <c r="L1050" t="inlineStr"/>
      <c r="M1050" t="inlineStr"/>
      <c r="N1050" t="inlineStr"/>
      <c r="O1050">
        <f>(1-Summary!$B$11)*T1050+Summary!$B$11*V1050</f>
        <v/>
      </c>
      <c r="P1050">
        <f>IF(B1068=0,0,O1050/B1068)</f>
        <v/>
      </c>
      <c r="Q1050">
        <f>IFERROR(1/(IF(Inputs!$B$38="pvp",15,MAX(0.1,Skills!D19-IF(Skills!E19=TRUE,Inputs!$B$32,0)))*(1-IF(AND(ArtifactsInput!$M$27,Inputs!$B$4="Chapter Hunt"),CHOOSE(ArtifactsInput!$N$27+1,20,24,28,32,36,40),0)/100)),0)</f>
        <v/>
      </c>
      <c r="R1050">
        <f>IF(AND(Inputs!$B$38&lt;&gt;"pvp",Inputs!$B$43&gt;0),IF(Inputs!$B$43&lt;=0,0,(INT(Inputs!$B$43/(IF(Inputs!$B$38="pvp",15,MAX(0.1,Skills!D19-IF(Skills!E19=TRUE,Inputs!$B$32,0)))*(1-IF(AND(ArtifactsInput!$M$27,Inputs!$B$4="Chapter Hunt"),CHOOSE(ArtifactsInput!$N$27+1,20,24,28,32,36,40),0)/100)))+1)),0)</f>
        <v/>
      </c>
      <c r="S1050">
        <f>IFERROR(O1050/N1050,0)</f>
        <v/>
      </c>
      <c r="T1050" t="n">
        <v>0</v>
      </c>
      <c r="V1050" t="n">
        <v>0</v>
      </c>
    </row>
    <row r="1051">
      <c r="A1051">
        <f>Skills!A20</f>
        <v/>
      </c>
      <c r="B1051">
        <f>Skills!B20</f>
        <v/>
      </c>
      <c r="C1051">
        <f>Inputs!$B$3&gt;=33</f>
        <v/>
      </c>
      <c r="D1051">
        <f>IF(Skills!C20=1,60+Inputs!$B$25+Inputs!$B$29,IF(Skills!C20=2,90+Inputs!$B$26+Inputs!$B$29,IF(Skills!C20=3,120+Inputs!$B$27+Inputs!$B$29,MAX(0,(Inputs!$B$3-100)*3)+Inputs!$B$28+Inputs!$B$29)))</f>
        <v/>
      </c>
      <c r="E1051">
        <f>INDEX(FactorTable!$B$2:$Y$301, MATCH(ROUND(MIN(300,MAX(1,D1051)),0), FactorTable!$A$2:$A$301,0), Skills!M20+1)</f>
        <v/>
      </c>
      <c r="F1051">
        <f>IF(Skills!N20=TRUE,(Skills!L20/10)*(E1051/1000),Skills!L20/10)+Skills!O20</f>
        <v/>
      </c>
      <c r="G1051">
        <f>Skills!G20*IF(Skills!H20&gt;0,Skills!I20/Skills!H20,1)</f>
        <v/>
      </c>
      <c r="H1051">
        <f>1-(1-Skills!J20/100)^Skills!K20</f>
        <v/>
      </c>
      <c r="I1051" t="inlineStr">
        <is>
          <t>1</t>
        </is>
      </c>
      <c r="J1051" t="inlineStr"/>
      <c r="K1051" t="inlineStr"/>
      <c r="L1051" t="inlineStr"/>
      <c r="M1051" t="inlineStr"/>
      <c r="N1051" t="inlineStr"/>
      <c r="O1051">
        <f>(1-Summary!$B$11)*T1051+Summary!$B$11*V1051</f>
        <v/>
      </c>
      <c r="P1051">
        <f>IF(B1068=0,0,O1051/B1068)</f>
        <v/>
      </c>
      <c r="Q1051" t="n">
        <v>0</v>
      </c>
      <c r="R1051" t="n">
        <v>0</v>
      </c>
      <c r="S1051">
        <f>IFERROR(O1051/N1051,0)</f>
        <v/>
      </c>
      <c r="T1051" t="n">
        <v>0</v>
      </c>
      <c r="V1051" t="n">
        <v>0</v>
      </c>
    </row>
    <row r="1052">
      <c r="A1052">
        <f>Skills!A21</f>
        <v/>
      </c>
      <c r="B1052">
        <f>Skills!B21</f>
        <v/>
      </c>
      <c r="C1052">
        <f>Inputs!$B$3&gt;=38</f>
        <v/>
      </c>
      <c r="D1052">
        <f>IF(Skills!C21=1,60+Inputs!$B$25+Inputs!$B$29,IF(Skills!C21=2,90+Inputs!$B$26+Inputs!$B$29,IF(Skills!C21=3,120+Inputs!$B$27+Inputs!$B$29,MAX(0,(Inputs!$B$3-100)*3)+Inputs!$B$28+Inputs!$B$29)))</f>
        <v/>
      </c>
      <c r="E1052">
        <f>INDEX(FactorTable!$B$2:$Y$301, MATCH(ROUND(MIN(300,MAX(1,D1052)),0), FactorTable!$A$2:$A$301,0), Skills!M21+1)</f>
        <v/>
      </c>
      <c r="F1052">
        <f>IF(Skills!N21=TRUE,(Skills!L21/10)*(E1052/1000),Skills!L21/10)+Skills!O21</f>
        <v/>
      </c>
      <c r="G1052">
        <f>Skills!G21*IF(Skills!H21&gt;0,Skills!I21/Skills!H21,1)</f>
        <v/>
      </c>
      <c r="H1052">
        <f>1-(1-Skills!J21/100)^Skills!K21</f>
        <v/>
      </c>
      <c r="I1052" t="inlineStr">
        <is>
          <t>1</t>
        </is>
      </c>
      <c r="J1052" t="inlineStr"/>
      <c r="K1052" t="inlineStr"/>
      <c r="L1052" t="inlineStr"/>
      <c r="M1052" t="inlineStr"/>
      <c r="N1052" t="inlineStr"/>
      <c r="O1052">
        <f>(1-Summary!$B$11)*T1052+Summary!$B$11*V1052</f>
        <v/>
      </c>
      <c r="P1052">
        <f>IF(B1068=0,0,O1052/B1068)</f>
        <v/>
      </c>
      <c r="Q1052" t="n">
        <v>0</v>
      </c>
      <c r="R1052" t="n">
        <v>0</v>
      </c>
      <c r="S1052">
        <f>IFERROR(O1052/N1052,0)</f>
        <v/>
      </c>
      <c r="T1052" t="n">
        <v>0</v>
      </c>
      <c r="V1052" t="n">
        <v>0</v>
      </c>
    </row>
    <row r="1053">
      <c r="A1053">
        <f>Skills!A22</f>
        <v/>
      </c>
      <c r="B1053">
        <f>Skills!B22</f>
        <v/>
      </c>
      <c r="C1053">
        <f>Inputs!$B$3&gt;=43</f>
        <v/>
      </c>
      <c r="D1053">
        <f>IF(Skills!C22=1,60+Inputs!$B$25+Inputs!$B$29,IF(Skills!C22=2,90+Inputs!$B$26+Inputs!$B$29,IF(Skills!C22=3,120+Inputs!$B$27+Inputs!$B$29,MAX(0,(Inputs!$B$3-100)*3)+Inputs!$B$28+Inputs!$B$29)))</f>
        <v/>
      </c>
      <c r="E1053">
        <f>INDEX(FactorTable!$B$2:$Y$301, MATCH(ROUND(MIN(300,MAX(1,D1053)),0), FactorTable!$A$2:$A$301,0), Skills!M22+1)</f>
        <v/>
      </c>
      <c r="F1053">
        <f>IF(Skills!N22=TRUE,(Skills!L22/10)*(E1053/1000),Skills!L22/10)+Skills!O22</f>
        <v/>
      </c>
      <c r="G1053">
        <f>Skills!G22*IF(Skills!H22&gt;0,Skills!I22/Skills!H22,1)</f>
        <v/>
      </c>
      <c r="H1053">
        <f>1-(1-Skills!J22/100)^Skills!K22</f>
        <v/>
      </c>
      <c r="I1053" t="inlineStr">
        <is>
          <t>1</t>
        </is>
      </c>
      <c r="J1053" t="inlineStr"/>
      <c r="K1053" t="inlineStr"/>
      <c r="L1053" t="inlineStr"/>
      <c r="M1053" t="inlineStr"/>
      <c r="N1053" t="inlineStr"/>
      <c r="O1053">
        <f>(1-Summary!$B$11)*T1053+Summary!$B$11*V1053</f>
        <v/>
      </c>
      <c r="P1053">
        <f>IF(B1068=0,0,O1053/B1068)</f>
        <v/>
      </c>
      <c r="Q1053" t="n">
        <v>0</v>
      </c>
      <c r="R1053" t="n">
        <v>0</v>
      </c>
      <c r="S1053">
        <f>IFERROR(O1053/N1053,0)</f>
        <v/>
      </c>
      <c r="T1053" t="n">
        <v>0</v>
      </c>
      <c r="V1053" t="n">
        <v>0</v>
      </c>
    </row>
    <row r="1054">
      <c r="A1054">
        <f>Skills!A23</f>
        <v/>
      </c>
      <c r="B1054">
        <f>Skills!B23</f>
        <v/>
      </c>
      <c r="C1054">
        <f>Inputs!$B$3&gt;=120</f>
        <v/>
      </c>
      <c r="D1054">
        <f>IF(Skills!C23=1,60+Inputs!$B$25+Inputs!$B$29,IF(Skills!C23=2,90+Inputs!$B$26+Inputs!$B$29,IF(Skills!C23=3,120+Inputs!$B$27+Inputs!$B$29,MAX(0,(Inputs!$B$3-100)*3)+Inputs!$B$28+Inputs!$B$29)))</f>
        <v/>
      </c>
      <c r="E1054">
        <f>INDEX(FactorTable!$B$2:$Y$301, MATCH(ROUND(MIN(300,MAX(1,D1054)),0), FactorTable!$A$2:$A$301,0), Skills!M23+1)</f>
        <v/>
      </c>
      <c r="F1054">
        <f>IF(Skills!N23=TRUE,(Skills!L23/10)*(E1054/1000),Skills!L23/10)+Skills!O23</f>
        <v/>
      </c>
      <c r="G1054">
        <f>Skills!G23*IF(Skills!H23&gt;0,Skills!I23/Skills!H23,1)</f>
        <v/>
      </c>
      <c r="H1054">
        <f>1-(1-Skills!J23/100)^Skills!K23</f>
        <v/>
      </c>
      <c r="I1054" t="inlineStr">
        <is>
          <t>1</t>
        </is>
      </c>
      <c r="J1054" t="inlineStr"/>
      <c r="K1054" t="inlineStr"/>
      <c r="L1054" t="inlineStr"/>
      <c r="M1054" t="inlineStr"/>
      <c r="N1054" t="inlineStr"/>
      <c r="O1054">
        <f>(1-Summary!$B$11)*T1054+Summary!$B$11*V1054</f>
        <v/>
      </c>
      <c r="P1054">
        <f>IF(B1068=0,0,O1054/B1068)</f>
        <v/>
      </c>
      <c r="Q1054" t="n">
        <v>0</v>
      </c>
      <c r="R1054" t="n">
        <v>0</v>
      </c>
      <c r="S1054">
        <f>IFERROR(O1054/N1054,0)</f>
        <v/>
      </c>
      <c r="T1054" t="n">
        <v>0</v>
      </c>
      <c r="V1054" t="n">
        <v>0</v>
      </c>
    </row>
    <row r="1055">
      <c r="A1055">
        <f>Skills!A24</f>
        <v/>
      </c>
      <c r="B1055">
        <f>Skills!B24</f>
        <v/>
      </c>
      <c r="C1055">
        <f>Inputs!$B$3&gt;=120</f>
        <v/>
      </c>
      <c r="D1055">
        <f>IF(Skills!C24=1,60+Inputs!$B$25+Inputs!$B$29,IF(Skills!C24=2,90+Inputs!$B$26+Inputs!$B$29,IF(Skills!C24=3,120+Inputs!$B$27+Inputs!$B$29,MAX(0,(Inputs!$B$3-100)*3)+Inputs!$B$28+Inputs!$B$29)))</f>
        <v/>
      </c>
      <c r="E1055">
        <f>INDEX(FactorTable!$B$2:$Y$301, MATCH(ROUND(MIN(300,MAX(1,D1055)),0), FactorTable!$A$2:$A$301,0), Skills!M24+1)</f>
        <v/>
      </c>
      <c r="F1055">
        <f>IF(Skills!N24=TRUE,(Skills!L24/10)*(E1055/1000),Skills!L24/10)+Skills!O24</f>
        <v/>
      </c>
      <c r="G1055">
        <f>Skills!G24*IF(Skills!H24&gt;0,Skills!I24/Skills!H24,1)</f>
        <v/>
      </c>
      <c r="H1055">
        <f>1-(1-Skills!J24/100)^Skills!K24</f>
        <v/>
      </c>
      <c r="I1055" t="inlineStr">
        <is>
          <t>1</t>
        </is>
      </c>
      <c r="J1055" t="inlineStr"/>
      <c r="K1055" t="inlineStr"/>
      <c r="L1055" t="inlineStr"/>
      <c r="M1055" t="inlineStr"/>
      <c r="N1055" t="inlineStr"/>
      <c r="O1055">
        <f>(1-Summary!$B$11)*T1055+Summary!$B$11*V1055</f>
        <v/>
      </c>
      <c r="P1055">
        <f>IF(B1068=0,0,O1055/B1068)</f>
        <v/>
      </c>
      <c r="Q1055" t="n">
        <v>0</v>
      </c>
      <c r="R1055" t="n">
        <v>0</v>
      </c>
      <c r="S1055">
        <f>IFERROR(O1055/N1055,0)</f>
        <v/>
      </c>
      <c r="T1055" t="n">
        <v>0</v>
      </c>
      <c r="V1055" t="n">
        <v>0</v>
      </c>
    </row>
    <row r="1057">
      <c r="A1057" t="inlineStr">
        <is>
          <t>Attack% Bucket Multiplier</t>
        </is>
      </c>
      <c r="B1057">
        <f>(1+(((C1044=TRUE)*F1044*MIN(1,Skills!T13*(Skills!J13/100)*B1062))+((C1049=TRUE)*F1049*IF(AND(Inputs!$B$38&lt;&gt;"pvp",Inputs!$B$43&gt;0),(((R1049-1)*(Skills!T18*(1+Inputs!$B$34/100))+MIN((Skills!T18*(1+Inputs!$B$34/100)),MAX(0,Inputs!$B$43-((R1049-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58">
      <c r="A1058" t="inlineStr">
        <is>
          <t>Global Crit Rate Bonus %</t>
        </is>
      </c>
      <c r="B1058" t="n">
        <v>0</v>
      </c>
    </row>
    <row r="1059">
      <c r="A1059" t="inlineStr">
        <is>
          <t>Attack Speed Buff Bonus %</t>
        </is>
      </c>
      <c r="B1059">
        <f>((C1050=TRUE)*F1050*IF(AND(Inputs!$B$38&lt;&gt;"pvp",Inputs!$B$43&gt;0),(((R1050-1)*(Skills!T19*(1+Inputs!$B$34/100))+MIN((Skills!T19*(1+Inputs!$B$34/100)),MAX(0,Inputs!$B$43-((R1050-1)*Skills!D19))))/Inputs!$B$43),IF(Inputs!$B$38="pvp",MIN((Skills!T19*(1+Inputs!$B$34/100)),15)/15,(Skills!T19*(1+Inputs!$B$34/100))/Skills!D19)))</f>
        <v/>
      </c>
    </row>
    <row r="1060">
      <c r="A1060" t="inlineStr">
        <is>
          <t>Actions Per Second</t>
        </is>
      </c>
      <c r="B1060">
        <f>1+MIN(150,150*(1-(1-(Inputs!$B$11+((C1051=TRUE)*(F1051-Calc!F20)))/150)*(1-B1059/150)))/100</f>
        <v/>
      </c>
    </row>
    <row r="1061">
      <c r="A1061" t="inlineStr">
        <is>
          <t>Skill + Buff Cast Rate</t>
        </is>
      </c>
      <c r="B1061">
        <f>IF(AND(Inputs!$B$38&lt;&gt;"pvp",Inputs!$B$43&gt;0),SUMPRODUCT((Skills!E2:E24=TRUE)*(C1033:C1055=TRUE)*R1033:R1055*Skills!F2:F24)/Inputs!$B$43,SUMPRODUCT((Skills!E2:E24=TRUE)*(C1033:C1055=TRUE)*Q1033:Q1055*Skills!F2:F24))</f>
        <v/>
      </c>
    </row>
    <row r="1062">
      <c r="A1062" t="inlineStr">
        <is>
          <t>Blast Casts Per Second</t>
        </is>
      </c>
      <c r="B1062">
        <f>MAX(0,B1060-B1061)</f>
        <v/>
      </c>
    </row>
    <row r="1063">
      <c r="A1063" t="inlineStr">
        <is>
          <t>Global Critical Damage Bonus % (unused)</t>
        </is>
      </c>
      <c r="B1063" t="n">
        <v>0</v>
      </c>
    </row>
    <row r="1064">
      <c r="A1064" t="inlineStr">
        <is>
          <t>Global Final Damage Bonus % (Divine Shield + Guardian + Divine Blessing + Greater Vessel of Light)</t>
        </is>
      </c>
      <c r="B1064">
        <f>((C1046=TRUE)*F1046*IF(AND(Inputs!$B$38&lt;&gt;"pvp",Inputs!$B$43&gt;0),(((R1046-1)*(Skills!T15*(1+Inputs!$B$34/100))+MIN((Skills!T15*(1+Inputs!$B$34/100)),MAX(0,Inputs!$B$43-((R1046-1)*Skills!D15))))/Inputs!$B$43),IF(Inputs!$B$38="pvp",MIN((Skills!T15*(1+Inputs!$B$34/100)),15)/15,(Skills!T15*(1+Inputs!$B$34/100))/Skills!D15)))+((C1047=TRUE)*F1047*IF(AND(Inputs!$B$38&lt;&gt;"pvp",Inputs!$B$43&gt;0),(((R1047-1)*(Skills!T16*(1+Inputs!$B$34/100))+MIN((Skills!T16*(1+Inputs!$B$34/100)),MAX(0,Inputs!$B$43-((R1047-1)*Skills!D16))))/Inputs!$B$43),IF(Inputs!$B$38="pvp",MIN((Skills!T16*(1+Inputs!$B$34/100)),15)/15,(Skills!T16*(1+Inputs!$B$34/100))/Skills!D16)))+((C1048=TRUE)*F1048*IF(AND(Inputs!$B$38&lt;&gt;"pvp",Inputs!$B$43&gt;0),(((R1048-1)*(Skills!T17*(1+Inputs!$B$34/100))+MIN((Skills!T17*(1+Inputs!$B$34/100)),MAX(0,Inputs!$B$43-((R1048-1)*Skills!D17))))/Inputs!$B$43),IF(Inputs!$B$38="pvp",MIN((Skills!T17*(1+Inputs!$B$34/100)),15)/15,(Skills!T17*(1+Inputs!$B$34/100))/Skills!D17)))+((C1045=TRUE)*F1045*MIN(1,Skills!T13*(Skills!J13/100)*B1062))</f>
        <v/>
      </c>
    </row>
    <row r="1065">
      <c r="A1065" t="inlineStr">
        <is>
          <t>Buff-Casting Startup Delay (s, fixed-duration only)</t>
        </is>
      </c>
      <c r="B1065">
        <f>IF(AND(Inputs!$B$38&lt;&gt;"pvp",Inputs!$B$43&gt;0),SUMPRODUCT((Skills!T2:T24&gt;0)*(Skills!E2:E24=TRUE)*(C1033:C1055=TRUE))/B1060,0)</f>
        <v/>
      </c>
    </row>
    <row r="1066">
      <c r="A1066" t="inlineStr">
        <is>
          <t>Boss-Only Total DPS (this block's swept value)</t>
        </is>
      </c>
      <c r="B1066">
        <f>SUM(T1033:T1055)</f>
        <v/>
      </c>
    </row>
    <row r="1067">
      <c r="A1067" t="inlineStr">
        <is>
          <t>Normal-Only Total DPS (this block's swept value)</t>
        </is>
      </c>
      <c r="B1067">
        <f>SUM(V1033:V1055)</f>
        <v/>
      </c>
    </row>
    <row r="1068">
      <c r="A1068" s="6" t="inlineStr">
        <is>
          <t>TOTAL DPS</t>
        </is>
      </c>
      <c r="B1068" s="6">
        <f>SUM(O1033:O1055)</f>
        <v/>
      </c>
    </row>
    <row r="1071">
      <c r="A1071" s="6" t="inlineStr">
        <is>
          <t>Stat: Buff Duration Increase %</t>
        </is>
      </c>
    </row>
    <row r="1072">
      <c r="A1072" s="5" t="inlineStr">
        <is>
          <t>Key</t>
        </is>
      </c>
      <c r="B1072" s="5" t="inlineStr">
        <is>
          <t>Name</t>
        </is>
      </c>
      <c r="C1072" s="5" t="inlineStr">
        <is>
          <t>Unlocked</t>
        </is>
      </c>
      <c r="D1072" s="5" t="inlineStr">
        <is>
          <t>InputLevel</t>
        </is>
      </c>
      <c r="E1072" s="5" t="inlineStr">
        <is>
          <t>Factor</t>
        </is>
      </c>
      <c r="F1072" s="5" t="inlineStr">
        <is>
          <t>CoefficientPercent</t>
        </is>
      </c>
      <c r="G1072" s="5" t="inlineStr">
        <is>
          <t>EffectiveHits</t>
        </is>
      </c>
      <c r="H1072" s="5" t="inlineStr">
        <is>
          <t>ProcProbability</t>
        </is>
      </c>
      <c r="I1072" s="5" t="inlineStr">
        <is>
          <t>MapleHeroMultiplier</t>
        </is>
      </c>
      <c r="J1072" s="5" t="inlineStr">
        <is>
          <t>BaseDamage</t>
        </is>
      </c>
      <c r="K1072" s="5" t="inlineStr">
        <is>
          <t>BaseHitDamage</t>
        </is>
      </c>
      <c r="L1072" s="5" t="inlineStr">
        <is>
          <t>NonCritAvg</t>
        </is>
      </c>
      <c r="M1072" s="5" t="inlineStr">
        <is>
          <t>CritAvg</t>
        </is>
      </c>
      <c r="N1072" s="5" t="inlineStr">
        <is>
          <t>ExpectedDamage(perHit)</t>
        </is>
      </c>
      <c r="O1072" s="5" t="inlineStr">
        <is>
          <t>DPS</t>
        </is>
      </c>
      <c r="P1072" s="5" t="inlineStr">
        <is>
          <t>% of Total</t>
        </is>
      </c>
      <c r="Q1072" s="5" t="inlineStr">
        <is>
          <t>InvCooldown</t>
        </is>
      </c>
      <c r="R1072" s="5" t="inlineStr">
        <is>
          <t>CastsInFight</t>
        </is>
      </c>
      <c r="S1072" s="5" t="inlineStr">
        <is>
          <t>HitRate(perSec)</t>
        </is>
      </c>
      <c r="U1072" t="inlineStr">
        <is>
          <t>helpers</t>
        </is>
      </c>
    </row>
    <row r="1073">
      <c r="A1073">
        <f>Skills!A2</f>
        <v/>
      </c>
      <c r="B1073">
        <f>Skills!B2</f>
        <v/>
      </c>
      <c r="C1073">
        <f>Inputs!$B$3&gt;=100</f>
        <v/>
      </c>
      <c r="D1073" t="inlineStr"/>
      <c r="E1073" t="inlineStr"/>
      <c r="F1073">
        <f>U1075+Skills!O2</f>
        <v/>
      </c>
      <c r="G1073">
        <f>Skills!G2*IF(Skills!H2&gt;0,Skills!I2/Skills!H2,1)</f>
        <v/>
      </c>
      <c r="H1073">
        <f>1-(1-Skills!J2/100)^Skills!K2</f>
        <v/>
      </c>
      <c r="I1073" t="inlineStr">
        <is>
          <t>1</t>
        </is>
      </c>
      <c r="J1073">
        <f>((Inputs!$B$6*(1+Inputs!$B$7/100))+(((Inputs!$B$12*(1+Inputs!$B$13/100))-(Inputs!$B$12*(1+Inputs!$B$13/100)))+0.25*(Inputs!$B$14-Inputs!$B$14))*(1+Inputs!$B$7/100))*(F1073/100)</f>
        <v/>
      </c>
      <c r="K1073">
        <f>J1073*(1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1073)</f>
        <v/>
      </c>
      <c r="L1073">
        <f>K1073*(MIN(Inputs!$B$22+((C1093=TRUE)*(F1093-Calc!F22)),(Inputs!$B$23+((C1095=TRUE)*(F1095-Calc!F24))+(IF(ArtifactsInput!$M$15,CHOOSE(ArtifactsInput!$N$15+1,25,30,35,40,45,50)/100*(Inputs!$B$11-Inputs!$B$11),0))))/100+(Inputs!$B$23+((C1095=TRUE)*(F1095-Calc!F24))+(IF(ArtifactsInput!$M$15,CHOOSE(ArtifactsInput!$N$15+1,25,30,35,40,45,50)/100*(Inputs!$B$11-Inputs!$B$11),0)))/100)/2</f>
        <v/>
      </c>
      <c r="M1073">
        <f>L1073*(1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3">
        <f>L1073*(1-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1073*(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3">
        <f>(1-Summary!$B$11)*T1073+Summary!$B$11*V1073</f>
        <v/>
      </c>
      <c r="P1073">
        <f>IF(B1108=0,0,O1073/B1108)</f>
        <v/>
      </c>
      <c r="Q1073" t="n">
        <v>0</v>
      </c>
      <c r="R1073" t="n">
        <v>0</v>
      </c>
      <c r="S1073">
        <f>IFERROR(O1073/N1073,0)</f>
        <v/>
      </c>
      <c r="T1073">
        <f>IF(C1073,(Skills!G2*N1073*B1102)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1073*(1-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1073*(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1073*(1-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1073*(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73">
        <f>MAX(0,(Inputs!$B$3-100)*3)+Inputs!$B$28+Inputs!$B$29</f>
        <v/>
      </c>
      <c r="V1073">
        <f>IF(C1073,(Skills!G2*N1073*B1102)*IF(Inputs!$B$38="pvp",1,(1+(Inputs!$B$21+Skills!Q2+(IF(ArtifactsInput!$M$33,CHOOSE(ArtifactsInput!$N$33+1,30,36,42,48,54,60),0))+(IF(AND(ArtifactsInput!$M$35,Inputs!$B$4&lt;&gt;"Chapter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4">
      <c r="A1074">
        <f>Skills!A3</f>
        <v/>
      </c>
      <c r="B1074">
        <f>Skills!B3</f>
        <v/>
      </c>
      <c r="C1074">
        <f>Inputs!$B$3&gt;=50</f>
        <v/>
      </c>
      <c r="D1074">
        <f>IF(Skills!C3=1,60+Inputs!$B$25+Inputs!$B$29,IF(Skills!C3=2,90+Inputs!$B$26+Inputs!$B$29,IF(Skills!C3=3,120+Inputs!$B$27+Inputs!$B$29,MAX(0,(Inputs!$B$3-100)*3)+Inputs!$B$28+Inputs!$B$29)))</f>
        <v/>
      </c>
      <c r="E1074">
        <f>INDEX(FactorTable!$B$2:$Y$301, MATCH(ROUND(MIN(300,MAX(1,D1074)),0), FactorTable!$A$2:$A$301,0), Skills!M3+1)</f>
        <v/>
      </c>
      <c r="F1074">
        <f>IF(Skills!N3=TRUE,(Skills!L3/10)*(E1074/1000),Skills!L3/10)+Skills!O3</f>
        <v/>
      </c>
      <c r="G1074" t="inlineStr"/>
      <c r="H1074" t="inlineStr"/>
      <c r="I1074" t="inlineStr">
        <is>
          <t>1</t>
        </is>
      </c>
      <c r="J1074" t="inlineStr"/>
      <c r="K1074" t="inlineStr"/>
      <c r="L1074" t="inlineStr"/>
      <c r="M1074" t="inlineStr"/>
      <c r="N1074" t="inlineStr"/>
      <c r="O1074" t="inlineStr"/>
      <c r="P1074" t="inlineStr"/>
      <c r="Q1074" t="inlineStr"/>
      <c r="R1074" t="inlineStr"/>
      <c r="S1074" t="inlineStr"/>
      <c r="U1074">
        <f>INDEX(FactorTable!$B$2:$Y$301, MATCH(ROUND(MIN(300,MAX(1,U1073)),0), FactorTable!$A$2:$A$301,0), 22)</f>
        <v/>
      </c>
    </row>
    <row r="1075">
      <c r="A1075">
        <f>Skills!A4</f>
        <v/>
      </c>
      <c r="B1075">
        <f>Skills!B4</f>
        <v/>
      </c>
      <c r="C1075">
        <f>Inputs!$B$3&gt;=35</f>
        <v/>
      </c>
      <c r="D1075">
        <f>IF(Skills!C4=1,60+Inputs!$B$25+Inputs!$B$29,IF(Skills!C4=2,90+Inputs!$B$26+Inputs!$B$29,IF(Skills!C4=3,120+Inputs!$B$27+Inputs!$B$29,MAX(0,(Inputs!$B$3-100)*3)+Inputs!$B$28+Inputs!$B$29)))</f>
        <v/>
      </c>
      <c r="E1075">
        <f>INDEX(FactorTable!$B$2:$Y$301, MATCH(ROUND(MIN(300,MAX(1,D1075)),0), FactorTable!$A$2:$A$301,0), Skills!M4+1)</f>
        <v/>
      </c>
      <c r="F1075">
        <f>IF(Skills!N4=TRUE,(Skills!L4/10)*(E1075/1000),Skills!L4/10)+Skills!O4</f>
        <v/>
      </c>
      <c r="G1075">
        <f>Skills!G4*IF(Skills!H4&gt;0,Skills!I4/Skills!H4,1)</f>
        <v/>
      </c>
      <c r="H1075">
        <f>1-(1-Skills!J4/100)^Skills!K4</f>
        <v/>
      </c>
      <c r="I1075" t="inlineStr">
        <is>
          <t>1</t>
        </is>
      </c>
      <c r="J1075">
        <f>((Inputs!$B$6*(1+Inputs!$B$7/100))+(((Inputs!$B$12*(1+Inputs!$B$13/100))-(Inputs!$B$12*(1+Inputs!$B$13/100)))+0.25*(Inputs!$B$14-Inputs!$B$14))*(1+Inputs!$B$7/100))*(F1075/100)</f>
        <v/>
      </c>
      <c r="K1075">
        <f>J1075*(1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1083=TRUE,F1083,0)/100)*(1+(IF(Skills!A4="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1075)</f>
        <v/>
      </c>
      <c r="L1075">
        <f>K1075*(MIN(Inputs!$B$22+((C1093=TRUE)*(F1093-Calc!F22)),(Inputs!$B$23+((C1095=TRUE)*(F1095-Calc!F24))+(IF(ArtifactsInput!$M$15,CHOOSE(ArtifactsInput!$N$15+1,25,30,35,40,45,50)/100*(Inputs!$B$11-Inputs!$B$11),0))))/100+(Inputs!$B$23+((C1095=TRUE)*(F1095-Calc!F24))+(IF(ArtifactsInput!$M$15,CHOOSE(ArtifactsInput!$N$15+1,25,30,35,40,45,50)/100*(Inputs!$B$11-Inputs!$B$11),0)))/100)/2</f>
        <v/>
      </c>
      <c r="M1075">
        <f>L1075*(1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5">
        <f>L1075*(1-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1075*(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5">
        <f>(1-Summary!$B$11)*T1075+Summary!$B$11*V1075</f>
        <v/>
      </c>
      <c r="P1075">
        <f>IF(B1108=0,0,O1075/B1108)</f>
        <v/>
      </c>
      <c r="Q1075">
        <f>IFERROR(1/(IF(Inputs!$B$38="pvp",15,MAX(0.1,Skills!D4-IF(Skills!E4=TRUE,Inputs!$B$32,0)))*(1-IF(AND(ArtifactsInput!$M$27,Inputs!$B$4="Chapter Hunt"),CHOOSE(ArtifactsInput!$N$27+1,20,24,28,32,36,40),0)/100)),0)</f>
        <v/>
      </c>
      <c r="R1075">
        <f>IF(AND(Inputs!$B$38&lt;&gt;"pvp",Inputs!$B$43&gt;0),IF(MAX(0,Inputs!$B$43-B1105)&lt;=0,0,(INT(MAX(0,Inputs!$B$43-B1105)/(IF(Inputs!$B$38="pvp",15,MAX(0.1,Skills!D4-IF(Skills!E4=TRUE,Inputs!$B$32,0)))*(1-IF(AND(ArtifactsInput!$M$27,Inputs!$B$4="Chapter Hunt"),CHOOSE(ArtifactsInput!$N$27+1,20,24,28,32,36,40),0)/100)))+1)),0)</f>
        <v/>
      </c>
      <c r="S1075">
        <f>IFERROR(O1075/N1075,0)</f>
        <v/>
      </c>
      <c r="T1075">
        <f>IF(C1075,(H1075*N1075*IF(AND(Inputs!$B$38&lt;&gt;"pvp",Inputs!$B$43&gt;0),((Skills!G4*((R1075-1)*IF(Skills!H4&gt;0,Skills!I4/Skills!H4,1)+IF(Skills!H4&gt;0,MIN(Skills!I4,MAX(0,MAX(0,Inputs!$B$43-B1105)-((R1075-1)*(IF(Inputs!$B$38="pvp",15,MAX(0.1,Skills!D4-IF(Skills!E4=TRUE,Inputs!$B$32,0)))*(1-IF(AND(ArtifactsInput!$M$27,Inputs!$B$4="Chapter Hunt"),CHOOSE(ArtifactsInput!$N$27+1,20,24,28,32,36,40),0)/100)))))/Skills!H4,1)))/Inputs!$B$43),G1075*Q1075)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1075*(1-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1075*(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1075*(1-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1075*(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75">
        <f>290*U1074/1000</f>
        <v/>
      </c>
      <c r="V1075">
        <f>IF(C1075,(H1075*N1075*IF(AND(Inputs!$B$38&lt;&gt;"pvp",Inputs!$B$43&gt;0),((Skills!G4*((R1075-1)*IF(Skills!H4&gt;0,Skills!I4/Skills!H4,1)+IF(Skills!H4&gt;0,MIN(Skills!I4,MAX(0,MAX(0,Inputs!$B$43-B1105)-((R1075-1)*(IF(Inputs!$B$38="pvp",15,MAX(0.1,Skills!D4-IF(Skills!E4=TRUE,Inputs!$B$32,0)))*(1-IF(AND(ArtifactsInput!$M$27,Inputs!$B$4="Chapter Hunt"),CHOOSE(ArtifactsInput!$N$27+1,20,24,28,32,36,40),0)/100)))))/Skills!H4,1)))/Inputs!$B$43),G1075*Q1075))*IF(Inputs!$B$38="pvp",1,(1+(Inputs!$B$21+Skills!Q4+(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6">
      <c r="A1076">
        <f>Skills!A5</f>
        <v/>
      </c>
      <c r="B1076">
        <f>Skills!B5</f>
        <v/>
      </c>
      <c r="C1076">
        <f>Inputs!$B$3&gt;=66</f>
        <v/>
      </c>
      <c r="D1076">
        <f>IF(Skills!C5=1,60+Inputs!$B$25+Inputs!$B$29,IF(Skills!C5=2,90+Inputs!$B$26+Inputs!$B$29,IF(Skills!C5=3,120+Inputs!$B$27+Inputs!$B$29,MAX(0,(Inputs!$B$3-100)*3)+Inputs!$B$28+Inputs!$B$29)))</f>
        <v/>
      </c>
      <c r="E1076">
        <f>INDEX(FactorTable!$B$2:$Y$301, MATCH(ROUND(MIN(300,MAX(1,D1076)),0), FactorTable!$A$2:$A$301,0), Skills!M5+1)</f>
        <v/>
      </c>
      <c r="F1076">
        <f>IF(Skills!N5=TRUE,(Skills!L5/10)*(E1076/1000),Skills!L5/10)+Skills!O5</f>
        <v/>
      </c>
      <c r="G1076">
        <f>Skills!G5*IF(Skills!H5&gt;0,Skills!I5/Skills!H5,1)</f>
        <v/>
      </c>
      <c r="H1076">
        <f>1-(1-Skills!J5/100)^Skills!K5</f>
        <v/>
      </c>
      <c r="I1076" t="inlineStr">
        <is>
          <t>1</t>
        </is>
      </c>
      <c r="J1076">
        <f>((Inputs!$B$6*(1+Inputs!$B$7/100))+(((Inputs!$B$12*(1+Inputs!$B$13/100))-(Inputs!$B$12*(1+Inputs!$B$13/100)))+0.25*(Inputs!$B$14-Inputs!$B$14))*(1+Inputs!$B$7/100))*(F1076/100)</f>
        <v/>
      </c>
      <c r="K1076">
        <f>J1076*(1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1083=TRUE,F1083,0)/100)*(1+(IF(Skills!A5="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1076)</f>
        <v/>
      </c>
      <c r="L1076">
        <f>K1076*(MIN(Inputs!$B$22+((C1093=TRUE)*(F1093-Calc!F22)),(Inputs!$B$23+((C1095=TRUE)*(F1095-Calc!F24))+(IF(ArtifactsInput!$M$15,CHOOSE(ArtifactsInput!$N$15+1,25,30,35,40,45,50)/100*(Inputs!$B$11-Inputs!$B$11),0))))/100+(Inputs!$B$23+((C1095=TRUE)*(F1095-Calc!F24))+(IF(ArtifactsInput!$M$15,CHOOSE(ArtifactsInput!$N$15+1,25,30,35,40,45,50)/100*(Inputs!$B$11-Inputs!$B$11),0)))/100)/2</f>
        <v/>
      </c>
      <c r="M1076">
        <f>L1076*(1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6">
        <f>L1076*(1-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1076*(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6">
        <f>(1-Summary!$B$11)*T1076+Summary!$B$11*V1076</f>
        <v/>
      </c>
      <c r="P1076">
        <f>IF(B1108=0,0,O1076/B1108)</f>
        <v/>
      </c>
      <c r="Q1076">
        <f>IFERROR(1/(IF(Inputs!$B$38="pvp",15,MAX(0.1,Skills!D5-IF(Skills!E5=TRUE,Inputs!$B$32,0)))*(1-IF(AND(ArtifactsInput!$M$27,Inputs!$B$4="Chapter Hunt"),CHOOSE(ArtifactsInput!$N$27+1,20,24,28,32,36,40),0)/100)),0)</f>
        <v/>
      </c>
      <c r="R1076">
        <f>IF(AND(Inputs!$B$38&lt;&gt;"pvp",Inputs!$B$43&gt;0),IF(MAX(0,Inputs!$B$43-B1105)&lt;=0,0,(INT(MAX(0,Inputs!$B$43-B1105)/(IF(Inputs!$B$38="pvp",15,MAX(0.1,Skills!D5-IF(Skills!E5=TRUE,Inputs!$B$32,0)))*(1-IF(AND(ArtifactsInput!$M$27,Inputs!$B$4="Chapter Hunt"),CHOOSE(ArtifactsInput!$N$27+1,20,24,28,32,36,40),0)/100)))+1)),0)</f>
        <v/>
      </c>
      <c r="S1076">
        <f>IFERROR(O1076/N1076,0)</f>
        <v/>
      </c>
      <c r="T1076">
        <f>IF(C1076,(H1076*N1076*IF(AND(Inputs!$B$38&lt;&gt;"pvp",Inputs!$B$43&gt;0),((Skills!G5*((R1076-1)*IF(Skills!H5&gt;0,Skills!I5/Skills!H5,1)+IF(Skills!H5&gt;0,MIN(Skills!I5,MAX(0,MAX(0,Inputs!$B$43-B1105)-((R1076-1)*(IF(Inputs!$B$38="pvp",15,MAX(0.1,Skills!D5-IF(Skills!E5=TRUE,Inputs!$B$32,0)))*(1-IF(AND(ArtifactsInput!$M$27,Inputs!$B$4="Chapter Hunt"),CHOOSE(ArtifactsInput!$N$27+1,20,24,28,32,36,40),0)/100)))))/Skills!H5,1)))/Inputs!$B$43),G1076*Q1076)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1076*(1-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1076*(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1076*(1-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1076*(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6">
        <f>IF(C1076,(H1076*N1076*IF(AND(Inputs!$B$38&lt;&gt;"pvp",Inputs!$B$43&gt;0),((Skills!G5*((R1076-1)*IF(Skills!H5&gt;0,Skills!I5/Skills!H5,1)+IF(Skills!H5&gt;0,MIN(Skills!I5,MAX(0,MAX(0,Inputs!$B$43-B1105)-((R1076-1)*(IF(Inputs!$B$38="pvp",15,MAX(0.1,Skills!D5-IF(Skills!E5=TRUE,Inputs!$B$32,0)))*(1-IF(AND(ArtifactsInput!$M$27,Inputs!$B$4="Chapter Hunt"),CHOOSE(ArtifactsInput!$N$27+1,20,24,28,32,36,40),0)/100)))))/Skills!H5,1)))/Inputs!$B$43),G1076*Q1076))*IF(Inputs!$B$38="pvp",1,(1+(Inputs!$B$21+Skills!Q5+(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7">
      <c r="A1077">
        <f>Skills!A6</f>
        <v/>
      </c>
      <c r="B1077">
        <f>Skills!B6</f>
        <v/>
      </c>
      <c r="C1077">
        <f>Inputs!$B$3&gt;=103</f>
        <v/>
      </c>
      <c r="D1077">
        <f>IF(Skills!C6=1,60+Inputs!$B$25+Inputs!$B$29,IF(Skills!C6=2,90+Inputs!$B$26+Inputs!$B$29,IF(Skills!C6=3,120+Inputs!$B$27+Inputs!$B$29,MAX(0,(Inputs!$B$3-100)*3)+Inputs!$B$28+Inputs!$B$29)))</f>
        <v/>
      </c>
      <c r="E1077">
        <f>INDEX(FactorTable!$B$2:$Y$301, MATCH(ROUND(MIN(300,MAX(1,D1077)),0), FactorTable!$A$2:$A$301,0), Skills!M6+1)</f>
        <v/>
      </c>
      <c r="F1077">
        <f>IF(Skills!N6=TRUE,(Skills!L6/10)*(E1077/1000),Skills!L6/10)+Skills!O6</f>
        <v/>
      </c>
      <c r="G1077">
        <f>Skills!G6*IF(Skills!H6&gt;0,Skills!I6/Skills!H6,1)</f>
        <v/>
      </c>
      <c r="H1077">
        <f>1-(1-Skills!J6/100)^Skills!K6</f>
        <v/>
      </c>
      <c r="I1077" t="inlineStr">
        <is>
          <t>1</t>
        </is>
      </c>
      <c r="J1077">
        <f>((Inputs!$B$6*(1+Inputs!$B$7/100))+(((Inputs!$B$12*(1+Inputs!$B$13/100))-(Inputs!$B$12*(1+Inputs!$B$13/100)))+0.25*(Inputs!$B$14-Inputs!$B$14))*(1+Inputs!$B$7/100))*(F1077/100)</f>
        <v/>
      </c>
      <c r="K1077">
        <f>J1077*(1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1077)</f>
        <v/>
      </c>
      <c r="L1077">
        <f>K1077*(MIN(Inputs!$B$22+((C1093=TRUE)*(F1093-Calc!F22)),(Inputs!$B$23+((C1095=TRUE)*(F1095-Calc!F24))+(IF(ArtifactsInput!$M$15,CHOOSE(ArtifactsInput!$N$15+1,25,30,35,40,45,50)/100*(Inputs!$B$11-Inputs!$B$11),0))))/100+(Inputs!$B$23+((C1095=TRUE)*(F1095-Calc!F24))+(IF(ArtifactsInput!$M$15,CHOOSE(ArtifactsInput!$N$15+1,25,30,35,40,45,50)/100*(Inputs!$B$11-Inputs!$B$11),0)))/100)/2</f>
        <v/>
      </c>
      <c r="M1077">
        <f>L1077*(1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7">
        <f>L1077*(1-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1077*(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7">
        <f>(1-Summary!$B$11)*T1077+Summary!$B$11*V1077</f>
        <v/>
      </c>
      <c r="P1077">
        <f>IF(B1108=0,0,O1077/B1108)</f>
        <v/>
      </c>
      <c r="Q1077">
        <f>IFERROR(1/(IF(Inputs!$B$38="pvp",15,MAX(0.1,Skills!D6-IF(Skills!E6=TRUE,Inputs!$B$32,0)))*(1-IF(AND(ArtifactsInput!$M$27,Inputs!$B$4="Chapter Hunt"),CHOOSE(ArtifactsInput!$N$27+1,20,24,28,32,36,40),0)/100)),0)</f>
        <v/>
      </c>
      <c r="R1077">
        <f>IF(AND(Inputs!$B$38&lt;&gt;"pvp",Inputs!$B$43&gt;0),IF(MAX(0,Inputs!$B$43-B1105)&lt;=0,0,(INT(MAX(0,Inputs!$B$43-B1105)/(IF(Inputs!$B$38="pvp",15,MAX(0.1,Skills!D6-IF(Skills!E6=TRUE,Inputs!$B$32,0)))*(1-IF(AND(ArtifactsInput!$M$27,Inputs!$B$4="Chapter Hunt"),CHOOSE(ArtifactsInput!$N$27+1,20,24,28,32,36,40),0)/100)))+1)),0)</f>
        <v/>
      </c>
      <c r="S1077">
        <f>IFERROR(O1077/N1077,0)</f>
        <v/>
      </c>
      <c r="T1077">
        <f>IF(C1077,(H1077*N1077*IF(AND(Inputs!$B$38&lt;&gt;"pvp",Inputs!$B$43&gt;0),((Skills!G6*((R1077-1)*IF(Skills!H6&gt;0,Skills!I6/Skills!H6,1)+IF(Skills!H6&gt;0,MIN(Skills!I6,MAX(0,MAX(0,Inputs!$B$43-B1105)-((R1077-1)*(IF(Inputs!$B$38="pvp",15,MAX(0.1,Skills!D6-IF(Skills!E6=TRUE,Inputs!$B$32,0)))*(1-IF(AND(ArtifactsInput!$M$27,Inputs!$B$4="Chapter Hunt"),CHOOSE(ArtifactsInput!$N$27+1,20,24,28,32,36,40),0)/100)))))/Skills!H6,1)))/Inputs!$B$43),G1077*Q1077)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1077*(1-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1077*(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1077*(1-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1077*(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7">
        <f>IF(C1077,(H1077*N1077*IF(AND(Inputs!$B$38&lt;&gt;"pvp",Inputs!$B$43&gt;0),((Skills!G6*((R1077-1)*IF(Skills!H6&gt;0,Skills!I6/Skills!H6,1)+IF(Skills!H6&gt;0,MIN(Skills!I6,MAX(0,MAX(0,Inputs!$B$43-B1105)-((R1077-1)*(IF(Inputs!$B$38="pvp",15,MAX(0.1,Skills!D6-IF(Skills!E6=TRUE,Inputs!$B$32,0)))*(1-IF(AND(ArtifactsInput!$M$27,Inputs!$B$4="Chapter Hunt"),CHOOSE(ArtifactsInput!$N$27+1,20,24,28,32,36,40),0)/100)))))/Skills!H6,1)))/Inputs!$B$43),G1077*Q1077))*IF(Inputs!$B$38="pvp",1,(1+(Inputs!$B$21+Skills!Q6+(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8">
      <c r="A1078">
        <f>Skills!A7</f>
        <v/>
      </c>
      <c r="B1078">
        <f>Skills!B7</f>
        <v/>
      </c>
      <c r="C1078">
        <f>Inputs!$B$3&gt;=107</f>
        <v/>
      </c>
      <c r="D1078">
        <f>IF(Skills!C7=1,60+Inputs!$B$25+Inputs!$B$29,IF(Skills!C7=2,90+Inputs!$B$26+Inputs!$B$29,IF(Skills!C7=3,120+Inputs!$B$27+Inputs!$B$29,MAX(0,(Inputs!$B$3-100)*3)+Inputs!$B$28+Inputs!$B$29)))</f>
        <v/>
      </c>
      <c r="E1078">
        <f>INDEX(FactorTable!$B$2:$Y$301, MATCH(ROUND(MIN(300,MAX(1,D1078)),0), FactorTable!$A$2:$A$301,0), Skills!M7+1)</f>
        <v/>
      </c>
      <c r="F1078">
        <f>IF(Skills!N7=TRUE,(Skills!L7/10)*(E1078/1000),Skills!L7/10)+Skills!O7</f>
        <v/>
      </c>
      <c r="G1078">
        <f>Skills!G7*IF(Skills!H7&gt;0,Skills!I7/Skills!H7,1)</f>
        <v/>
      </c>
      <c r="H1078">
        <f>1-(1-Skills!J7/100)^Skills!K7</f>
        <v/>
      </c>
      <c r="I1078" t="inlineStr">
        <is>
          <t>1</t>
        </is>
      </c>
      <c r="J1078">
        <f>((Inputs!$B$6*(1+Inputs!$B$7/100))+(((Inputs!$B$12*(1+Inputs!$B$13/100))-(Inputs!$B$12*(1+Inputs!$B$13/100)))+0.25*(Inputs!$B$14-Inputs!$B$14))*(1+Inputs!$B$7/100))*(F1078/100)</f>
        <v/>
      </c>
      <c r="K1078">
        <f>J1078*(1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1078)</f>
        <v/>
      </c>
      <c r="L1078">
        <f>K1078*(MIN(Inputs!$B$22+((C1093=TRUE)*(F1093-Calc!F22)),(Inputs!$B$23+((C1095=TRUE)*(F1095-Calc!F24))+(IF(ArtifactsInput!$M$15,CHOOSE(ArtifactsInput!$N$15+1,25,30,35,40,45,50)/100*(Inputs!$B$11-Inputs!$B$11),0))))/100+(Inputs!$B$23+((C1095=TRUE)*(F1095-Calc!F24))+(IF(ArtifactsInput!$M$15,CHOOSE(ArtifactsInput!$N$15+1,25,30,35,40,45,50)/100*(Inputs!$B$11-Inputs!$B$11),0)))/100)/2</f>
        <v/>
      </c>
      <c r="M1078">
        <f>L1078*(1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8">
        <f>L1078*(1-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1078*(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8">
        <f>(1-Summary!$B$11)*T1078+Summary!$B$11*V1078</f>
        <v/>
      </c>
      <c r="P1078">
        <f>IF(B1108=0,0,O1078/B1108)</f>
        <v/>
      </c>
      <c r="Q1078">
        <f>IFERROR(1/(IF(Inputs!$B$38="pvp",15,MAX(0.1,Skills!D7-IF(Skills!E7=TRUE,Inputs!$B$32,0)))*(1-IF(AND(ArtifactsInput!$M$27,Inputs!$B$4="Chapter Hunt"),CHOOSE(ArtifactsInput!$N$27+1,20,24,28,32,36,40),0)/100)),0)</f>
        <v/>
      </c>
      <c r="R1078">
        <f>IF(AND(Inputs!$B$38&lt;&gt;"pvp",Inputs!$B$43&gt;0),IF(MAX(0,Inputs!$B$43-B1105)&lt;=0,0,(INT(MAX(0,Inputs!$B$43-B1105)/(IF(Inputs!$B$38="pvp",15,MAX(0.1,Skills!D7-IF(Skills!E7=TRUE,Inputs!$B$32,0)))*(1-IF(AND(ArtifactsInput!$M$27,Inputs!$B$4="Chapter Hunt"),CHOOSE(ArtifactsInput!$N$27+1,20,24,28,32,36,40),0)/100)))+1)),0)</f>
        <v/>
      </c>
      <c r="S1078">
        <f>IFERROR(O1078/N1078,0)</f>
        <v/>
      </c>
      <c r="T1078">
        <f>IF(C1078,(H1078*N1078*IF(AND(Inputs!$B$38&lt;&gt;"pvp",Inputs!$B$43&gt;0),((Skills!G7*((R1078-1)*IF(Skills!H7&gt;0,Skills!I7/Skills!H7,1)+IF(Skills!H7&gt;0,MIN(Skills!I7,MAX(0,MAX(0,Inputs!$B$43-B1105)-((R1078-1)*(IF(Inputs!$B$38="pvp",15,MAX(0.1,Skills!D7-IF(Skills!E7=TRUE,Inputs!$B$32,0)))*(1-IF(AND(ArtifactsInput!$M$27,Inputs!$B$4="Chapter Hunt"),CHOOSE(ArtifactsInput!$N$27+1,20,24,28,32,36,40),0)/100)))))/Skills!H7,1)))/Inputs!$B$43),G1078*Q1078)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1078*(1-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1078*(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1078*(1-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1078*(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8">
        <f>IF(C1078,(H1078*N1078*IF(AND(Inputs!$B$38&lt;&gt;"pvp",Inputs!$B$43&gt;0),((Skills!G7*((R1078-1)*IF(Skills!H7&gt;0,Skills!I7/Skills!H7,1)+IF(Skills!H7&gt;0,MIN(Skills!I7,MAX(0,MAX(0,Inputs!$B$43-B1105)-((R1078-1)*(IF(Inputs!$B$38="pvp",15,MAX(0.1,Skills!D7-IF(Skills!E7=TRUE,Inputs!$B$32,0)))*(1-IF(AND(ArtifactsInput!$M$27,Inputs!$B$4="Chapter Hunt"),CHOOSE(ArtifactsInput!$N$27+1,20,24,28,32,36,40),0)/100)))))/Skills!H7,1)))/Inputs!$B$43),G1078*Q1078))*IF(Inputs!$B$38="pvp",1,(1+(Inputs!$B$21+Skills!Q7+(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9">
      <c r="A1079">
        <f>Skills!A8</f>
        <v/>
      </c>
      <c r="B1079">
        <f>Skills!B8</f>
        <v/>
      </c>
      <c r="C1079">
        <f>Inputs!$B$3&gt;=107</f>
        <v/>
      </c>
      <c r="D1079">
        <f>IF(Skills!C8=1,60+Inputs!$B$25+Inputs!$B$29,IF(Skills!C8=2,90+Inputs!$B$26+Inputs!$B$29,IF(Skills!C8=3,120+Inputs!$B$27+Inputs!$B$29,MAX(0,(Inputs!$B$3-100)*3)+Inputs!$B$28+Inputs!$B$29)))</f>
        <v/>
      </c>
      <c r="E1079">
        <f>INDEX(FactorTable!$B$2:$Y$301, MATCH(ROUND(MIN(300,MAX(1,D1079)),0), FactorTable!$A$2:$A$301,0), Skills!M8+1)</f>
        <v/>
      </c>
      <c r="F1079">
        <f>IF(Skills!N8=TRUE,(Skills!L8/10)*(E1079/1000),Skills!L8/10)+Skills!O8</f>
        <v/>
      </c>
      <c r="G1079">
        <f>Skills!G8*IF(Skills!H8&gt;0,Skills!I8/Skills!H8,1)</f>
        <v/>
      </c>
      <c r="H1079">
        <f>1-(1-Skills!J8/100)^Skills!K8</f>
        <v/>
      </c>
      <c r="I1079" t="inlineStr">
        <is>
          <t>1</t>
        </is>
      </c>
      <c r="J1079">
        <f>((Inputs!$B$6*(1+Inputs!$B$7/100))+(((Inputs!$B$12*(1+Inputs!$B$13/100))-(Inputs!$B$12*(1+Inputs!$B$13/100)))+0.25*(Inputs!$B$14-Inputs!$B$14))*(1+Inputs!$B$7/100))*(F1079/100)</f>
        <v/>
      </c>
      <c r="K1079">
        <f>J1079*(1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1079)</f>
        <v/>
      </c>
      <c r="L1079">
        <f>K1079*(MIN(Inputs!$B$22+((C1093=TRUE)*(F1093-Calc!F22)),(Inputs!$B$23+((C1095=TRUE)*(F1095-Calc!F24))+(IF(ArtifactsInput!$M$15,CHOOSE(ArtifactsInput!$N$15+1,25,30,35,40,45,50)/100*(Inputs!$B$11-Inputs!$B$11),0))))/100+(Inputs!$B$23+((C1095=TRUE)*(F1095-Calc!F24))+(IF(ArtifactsInput!$M$15,CHOOSE(ArtifactsInput!$N$15+1,25,30,35,40,45,50)/100*(Inputs!$B$11-Inputs!$B$11),0)))/100)/2</f>
        <v/>
      </c>
      <c r="M1079">
        <f>L1079*(1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9">
        <f>L1079*(1-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1079*(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9">
        <f>(1-Summary!$B$11)*T1079+Summary!$B$11*V1079</f>
        <v/>
      </c>
      <c r="P1079">
        <f>IF(B1108=0,0,O1079/B1108)</f>
        <v/>
      </c>
      <c r="Q1079">
        <f>IFERROR(1/(IF(Inputs!$B$38="pvp",15,MAX(0.1,Skills!D8-IF(Skills!E8=TRUE,Inputs!$B$32,0)))*(1-IF(AND(ArtifactsInput!$M$27,Inputs!$B$4="Chapter Hunt"),CHOOSE(ArtifactsInput!$N$27+1,20,24,28,32,36,40),0)/100)),0)</f>
        <v/>
      </c>
      <c r="R1079">
        <f>IF(AND(Inputs!$B$38&lt;&gt;"pvp",Inputs!$B$43&gt;0),IF(MAX(0,Inputs!$B$43-B1105)&lt;=0,0,(INT(MAX(0,Inputs!$B$43-B1105)/(IF(Inputs!$B$38="pvp",15,MAX(0.1,Skills!D8-IF(Skills!E8=TRUE,Inputs!$B$32,0)))*(1-IF(AND(ArtifactsInput!$M$27,Inputs!$B$4="Chapter Hunt"),CHOOSE(ArtifactsInput!$N$27+1,20,24,28,32,36,40),0)/100)))+1)),0)</f>
        <v/>
      </c>
      <c r="S1079">
        <f>IFERROR(O1079/N1079,0)</f>
        <v/>
      </c>
      <c r="T1079">
        <f>IF(C1079,(H1079*N1079*IF(AND(Inputs!$B$38&lt;&gt;"pvp",Inputs!$B$43&gt;0),((Skills!G8*((R1079-1)*IF(Skills!H8&gt;0,Skills!I8/Skills!H8,1)+IF(Skills!H8&gt;0,MIN(Skills!I8,MAX(0,MAX(0,Inputs!$B$43-B1105)-((R1079-1)*(IF(Inputs!$B$38="pvp",15,MAX(0.1,Skills!D8-IF(Skills!E8=TRUE,Inputs!$B$32,0)))*(1-IF(AND(ArtifactsInput!$M$27,Inputs!$B$4="Chapter Hunt"),CHOOSE(ArtifactsInput!$N$27+1,20,24,28,32,36,40),0)/100)))))/Skills!H8,1)))/Inputs!$B$43),G1079*Q1079)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1079*(1-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1079*(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1079*(1-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1079*(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9">
        <f>IF(C1079,(H1079*N1079*IF(AND(Inputs!$B$38&lt;&gt;"pvp",Inputs!$B$43&gt;0),((Skills!G8*((R1079-1)*IF(Skills!H8&gt;0,Skills!I8/Skills!H8,1)+IF(Skills!H8&gt;0,MIN(Skills!I8,MAX(0,MAX(0,Inputs!$B$43-B1105)-((R1079-1)*(IF(Inputs!$B$38="pvp",15,MAX(0.1,Skills!D8-IF(Skills!E8=TRUE,Inputs!$B$32,0)))*(1-IF(AND(ArtifactsInput!$M$27,Inputs!$B$4="Chapter Hunt"),CHOOSE(ArtifactsInput!$N$27+1,20,24,28,32,36,40),0)/100)))))/Skills!H8,1)))/Inputs!$B$43),G1079*Q1079))*IF(Inputs!$B$38="pvp",1,(1+(Inputs!$B$21+Skills!Q8+(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0">
      <c r="A1080">
        <f>Skills!A9</f>
        <v/>
      </c>
      <c r="B1080">
        <f>Skills!B9</f>
        <v/>
      </c>
      <c r="C1080">
        <f>Inputs!$B$3&gt;=125</f>
        <v/>
      </c>
      <c r="D1080">
        <f>IF(Skills!C9=1,60+Inputs!$B$25+Inputs!$B$29,IF(Skills!C9=2,90+Inputs!$B$26+Inputs!$B$29,IF(Skills!C9=3,120+Inputs!$B$27+Inputs!$B$29,MAX(0,(Inputs!$B$3-100)*3)+Inputs!$B$28+Inputs!$B$29)))</f>
        <v/>
      </c>
      <c r="E1080">
        <f>INDEX(FactorTable!$B$2:$Y$301, MATCH(ROUND(MIN(300,MAX(1,D1080)),0), FactorTable!$A$2:$A$301,0), Skills!M9+1)</f>
        <v/>
      </c>
      <c r="F1080">
        <f>IF(Skills!N9=TRUE,(Skills!L9/10)*(E1080/1000),Skills!L9/10)+Skills!O9</f>
        <v/>
      </c>
      <c r="G1080">
        <f>Skills!G9*IF(Skills!H9&gt;0,Skills!I9/Skills!H9,1)</f>
        <v/>
      </c>
      <c r="H1080">
        <f>1-(1-Skills!J9/100)^Skills!K9</f>
        <v/>
      </c>
      <c r="I1080" t="inlineStr">
        <is>
          <t>1</t>
        </is>
      </c>
      <c r="J1080">
        <f>((Inputs!$B$6*(1+Inputs!$B$7/100))+(((Inputs!$B$12*(1+Inputs!$B$13/100))-(Inputs!$B$12*(1+Inputs!$B$13/100)))+0.25*(Inputs!$B$14-Inputs!$B$14))*(1+Inputs!$B$7/100))*(F1080/100)</f>
        <v/>
      </c>
      <c r="K1080">
        <f>J1080*(1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1080)</f>
        <v/>
      </c>
      <c r="L1080">
        <f>K1080*(MIN(Inputs!$B$22+((C1093=TRUE)*(F1093-Calc!F22)),(Inputs!$B$23+((C1095=TRUE)*(F1095-Calc!F24))+(IF(ArtifactsInput!$M$15,CHOOSE(ArtifactsInput!$N$15+1,25,30,35,40,45,50)/100*(Inputs!$B$11-Inputs!$B$11),0))))/100+(Inputs!$B$23+((C1095=TRUE)*(F1095-Calc!F24))+(IF(ArtifactsInput!$M$15,CHOOSE(ArtifactsInput!$N$15+1,25,30,35,40,45,50)/100*(Inputs!$B$11-Inputs!$B$11),0)))/100)/2</f>
        <v/>
      </c>
      <c r="M1080">
        <f>L1080*(1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0">
        <f>L1080*(1-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1080*(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0">
        <f>(1-Summary!$B$11)*T1080+Summary!$B$11*V1080</f>
        <v/>
      </c>
      <c r="P1080">
        <f>IF(B1108=0,0,O1080/B1108)</f>
        <v/>
      </c>
      <c r="Q1080">
        <f>IFERROR(1/(IF(Inputs!$B$38="pvp",15,MAX(0.1,Skills!D9-IF(Skills!E9=TRUE,Inputs!$B$32,0)))*(1-IF(AND(ArtifactsInput!$M$27,Inputs!$B$4="Chapter Hunt"),CHOOSE(ArtifactsInput!$N$27+1,20,24,28,32,36,40),0)/100)),0)</f>
        <v/>
      </c>
      <c r="R1080">
        <f>IF(AND(Inputs!$B$38&lt;&gt;"pvp",Inputs!$B$43&gt;0),IF(MAX(0,Inputs!$B$43-B1105)&lt;=0,0,(INT(MAX(0,Inputs!$B$43-B1105)/(IF(Inputs!$B$38="pvp",15,MAX(0.1,Skills!D9-IF(Skills!E9=TRUE,Inputs!$B$32,0)))*(1-IF(AND(ArtifactsInput!$M$27,Inputs!$B$4="Chapter Hunt"),CHOOSE(ArtifactsInput!$N$27+1,20,24,28,32,36,40),0)/100)))+1)),0)</f>
        <v/>
      </c>
      <c r="S1080">
        <f>IFERROR(O1080/N1080,0)</f>
        <v/>
      </c>
      <c r="T1080">
        <f>IF(C1080,(H1080*N1080*IF(AND(Inputs!$B$38&lt;&gt;"pvp",Inputs!$B$43&gt;0),((Skills!G9*((R1080-1)*IF(Skills!H9&gt;0,Skills!I9/Skills!H9,1)+IF(Skills!H9&gt;0,MIN(Skills!I9,MAX(0,MAX(0,Inputs!$B$43-B1105)-((R1080-1)*(IF(Inputs!$B$38="pvp",15,MAX(0.1,Skills!D9-IF(Skills!E9=TRUE,Inputs!$B$32,0)))*(1-IF(AND(ArtifactsInput!$M$27,Inputs!$B$4="Chapter Hunt"),CHOOSE(ArtifactsInput!$N$27+1,20,24,28,32,36,40),0)/100)))))/Skills!H9,1)))/Inputs!$B$43),G1080*Q1080)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1080*(1-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1080*(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1080*(1-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1080*(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0">
        <f>IF(C1080,(H1080*N1080*IF(AND(Inputs!$B$38&lt;&gt;"pvp",Inputs!$B$43&gt;0),((Skills!G9*((R1080-1)*IF(Skills!H9&gt;0,Skills!I9/Skills!H9,1)+IF(Skills!H9&gt;0,MIN(Skills!I9,MAX(0,MAX(0,Inputs!$B$43-B1105)-((R1080-1)*(IF(Inputs!$B$38="pvp",15,MAX(0.1,Skills!D9-IF(Skills!E9=TRUE,Inputs!$B$32,0)))*(1-IF(AND(ArtifactsInput!$M$27,Inputs!$B$4="Chapter Hunt"),CHOOSE(ArtifactsInput!$N$27+1,20,24,28,32,36,40),0)/100)))))/Skills!H9,1)))/Inputs!$B$43),G1080*Q1080))*IF(Inputs!$B$38="pvp",1,(1+(Inputs!$B$21+Skills!Q9+(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1">
      <c r="A1081">
        <f>Skills!A10</f>
        <v/>
      </c>
      <c r="B1081">
        <f>Skills!B10</f>
        <v/>
      </c>
      <c r="C1081">
        <f>Inputs!$B$3&gt;=117</f>
        <v/>
      </c>
      <c r="D1081">
        <f>IF(Skills!C10=1,60+Inputs!$B$25+Inputs!$B$29,IF(Skills!C10=2,90+Inputs!$B$26+Inputs!$B$29,IF(Skills!C10=3,120+Inputs!$B$27+Inputs!$B$29,MAX(0,(Inputs!$B$3-100)*3)+Inputs!$B$28+Inputs!$B$29)))</f>
        <v/>
      </c>
      <c r="E1081">
        <f>INDEX(FactorTable!$B$2:$Y$301, MATCH(ROUND(MIN(300,MAX(1,D1081)),0), FactorTable!$A$2:$A$301,0), Skills!M10+1)</f>
        <v/>
      </c>
      <c r="F1081">
        <f>IF(Skills!N10=TRUE,(Skills!L10/10)*(E1081/1000),Skills!L10/10)+Skills!O10</f>
        <v/>
      </c>
      <c r="G1081">
        <f>Skills!G10*IF(Skills!H10&gt;0,Skills!I10/Skills!H10,1)</f>
        <v/>
      </c>
      <c r="H1081">
        <f>1-(1-Skills!J10/100)^Skills!K10</f>
        <v/>
      </c>
      <c r="I1081" t="inlineStr">
        <is>
          <t>1</t>
        </is>
      </c>
      <c r="J1081">
        <f>((Inputs!$B$6*(1+Inputs!$B$7/100))+(((Inputs!$B$12*(1+Inputs!$B$13/100))-(Inputs!$B$12*(1+Inputs!$B$13/100)))+0.25*(Inputs!$B$14-Inputs!$B$14))*(1+Inputs!$B$7/100))*(F1081/100)</f>
        <v/>
      </c>
      <c r="K1081">
        <f>J1081*(1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1081)</f>
        <v/>
      </c>
      <c r="L1081">
        <f>K1081*(MIN(Inputs!$B$22+((C1093=TRUE)*(F1093-Calc!F22)),(Inputs!$B$23+((C1095=TRUE)*(F1095-Calc!F24))+(IF(ArtifactsInput!$M$15,CHOOSE(ArtifactsInput!$N$15+1,25,30,35,40,45,50)/100*(Inputs!$B$11-Inputs!$B$11),0))))/100+(Inputs!$B$23+((C1095=TRUE)*(F1095-Calc!F24))+(IF(ArtifactsInput!$M$15,CHOOSE(ArtifactsInput!$N$15+1,25,30,35,40,45,50)/100*(Inputs!$B$11-Inputs!$B$11),0)))/100)/2</f>
        <v/>
      </c>
      <c r="M1081">
        <f>L1081*(1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1">
        <f>L1081*(1-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1">
        <f>(1-Summary!$B$11)*T1081+Summary!$B$11*V1081</f>
        <v/>
      </c>
      <c r="P1081">
        <f>IF(B1108=0,0,O1081/B1108)</f>
        <v/>
      </c>
      <c r="Q1081">
        <f>IFERROR(1/(IF(Inputs!$B$38="pvp",15,MAX(0.1,Skills!D10-IF(Skills!E10=TRUE,Inputs!$B$32,0)))*(1-IF(AND(ArtifactsInput!$M$27,Inputs!$B$4="Chapter Hunt"),CHOOSE(ArtifactsInput!$N$27+1,20,24,28,32,36,40),0)/100)),0)</f>
        <v/>
      </c>
      <c r="R1081">
        <f>IF(AND(Inputs!$B$38&lt;&gt;"pvp",Inputs!$B$43&gt;0),IF(MAX(0,Inputs!$B$43-B1105)&lt;=0,0,(INT(MAX(0,Inputs!$B$43-B1105)/(IF(Inputs!$B$38="pvp",15,MAX(0.1,Skills!D10-IF(Skills!E10=TRUE,Inputs!$B$32,0)))*(1-IF(AND(ArtifactsInput!$M$27,Inputs!$B$4="Chapter Hunt"),CHOOSE(ArtifactsInput!$N$27+1,20,24,28,32,36,40),0)/100)))+1)),0)</f>
        <v/>
      </c>
      <c r="S1081">
        <f>IFERROR(O1081/N1081,0)</f>
        <v/>
      </c>
      <c r="T1081">
        <f>IF(C1081,(H1081*N1081*IF(AND(Inputs!$B$38&lt;&gt;"pvp",Inputs!$B$43&gt;0),((Skills!G10*((R1081-1)*IF(Skills!H10&gt;0,Skills!I10/Skills!H10,1)+IF(Skills!H10&gt;0,MIN(Skills!I10,MAX(0,MAX(0,Inputs!$B$43-B1105)-((R1081-1)*(IF(Inputs!$B$38="pvp",15,MAX(0.1,Skills!D10-IF(Skills!E10=TRUE,Inputs!$B$32,0)))*(1-IF(AND(ArtifactsInput!$M$27,Inputs!$B$4="Chapter Hunt"),CHOOSE(ArtifactsInput!$N$27+1,20,24,28,32,36,40),0)/100)))))/Skills!H10,1)))/Inputs!$B$43),G1081*Q1081)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1081*(1-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1081*(1-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1">
        <f>IF(C1081,(H1081*N1081*IF(AND(Inputs!$B$38&lt;&gt;"pvp",Inputs!$B$43&gt;0),((Skills!G10*((R1081-1)*IF(Skills!H10&gt;0,Skills!I10/Skills!H10,1)+IF(Skills!H10&gt;0,MIN(Skills!I10,MAX(0,MAX(0,Inputs!$B$43-B1105)-((R1081-1)*(IF(Inputs!$B$38="pvp",15,MAX(0.1,Skills!D10-IF(Skills!E10=TRUE,Inputs!$B$32,0)))*(1-IF(AND(ArtifactsInput!$M$27,Inputs!$B$4="Chapter Hunt"),CHOOSE(ArtifactsInput!$N$27+1,20,24,28,32,36,40),0)/100)))))/Skills!H10,1)))/Inputs!$B$43),G1081*Q1081))*IF(Inputs!$B$38="pvp",1,(1+(Inputs!$B$21+Skills!Q10+(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2">
      <c r="A1082">
        <f>Skills!A11</f>
        <v/>
      </c>
      <c r="B1082">
        <f>Skills!B11</f>
        <v/>
      </c>
      <c r="C1082">
        <f>Inputs!$B$3&gt;=63</f>
        <v/>
      </c>
      <c r="D1082">
        <f>IF(Skills!C11=1,60+Inputs!$B$25+Inputs!$B$29,IF(Skills!C11=2,90+Inputs!$B$26+Inputs!$B$29,IF(Skills!C11=3,120+Inputs!$B$27+Inputs!$B$29,MAX(0,(Inputs!$B$3-100)*3)+Inputs!$B$28+Inputs!$B$29)))</f>
        <v/>
      </c>
      <c r="E1082">
        <f>INDEX(FactorTable!$B$2:$Y$301, MATCH(ROUND(MIN(300,MAX(1,D1082)),0), FactorTable!$A$2:$A$301,0), Skills!M11+1)</f>
        <v/>
      </c>
      <c r="F1082">
        <f>IF(Skills!N11=TRUE,(Skills!L11/10)*(E1082/1000),Skills!L11/10)+Skills!O11</f>
        <v/>
      </c>
      <c r="G1082">
        <f>Skills!G11*IF(Skills!H11&gt;0,Skills!I11/Skills!H11,1)</f>
        <v/>
      </c>
      <c r="H1082">
        <f>1-(1-Skills!J11/100)^Skills!K11</f>
        <v/>
      </c>
      <c r="I1082" t="inlineStr">
        <is>
          <t>1</t>
        </is>
      </c>
      <c r="J1082">
        <f>((Inputs!$B$6*(1+Inputs!$B$7/100))+(((Inputs!$B$12*(1+Inputs!$B$13/100))-(Inputs!$B$12*(1+Inputs!$B$13/100)))+0.25*(Inputs!$B$14-Inputs!$B$14))*(1+Inputs!$B$7/100))*(F1082/100)</f>
        <v/>
      </c>
      <c r="K1082">
        <f>J1082*(1+((Inputs!$B$12*(1+Inputs!$B$13/100))*0.01+Inputs!$B$14*0.0025)/100)*(1+Inputs!$B$15/100)*(1+Inputs!$B$16/100)*(5000/(6000+Inputs!$B$42*(1-(Inputs!$B$19+0)/100)))*(1+(Inputs!$B$24+0+B1104)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1083=TRUE,F1083,0)/100)*(1+(IF(Skills!A11="BLAST",Inputs!$B$17+((C1092=TRUE)*(F1092-Calc!F21))+((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MIN(100,((Inputs!$B$9+0+B1098+(ArtifactsInput!$M$24-ArtifactsInput!$M$24)*CHOOSE(ArtifactsInput!$N$24+1,10,12,14,16,18,20)+IF(ArtifactsInput!$M$10,CHOOSE(ArtifactsInput!$N$10+1,15,18,21,24,27,30)*(IF(Inputs!$B$38="pvp",MIN(15,15)/15,IF(AND(Inputs!$B$38&lt;&gt;"pvp",Inputs!$B$43&gt;0),MIN(15,Inputs!$B$43)/(Inputs!$B$43),0))),0)))-100),0))*CHOOSE(ArtifactsInput!$N$42+1,0.6,0.72,0.84,0.96,1.08,1.2))),Inputs!$B$18+((C1094=TRUE)*(F1094-Calc!F23))+(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gt;=100),CHOOSE(ArtifactsInput!$N$42+1,40,48,56,64,72,80),0))))/100)*((1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1082)</f>
        <v/>
      </c>
      <c r="L1082">
        <f>K1082*(MIN(Inputs!$B$22+((C1093=TRUE)*(F1093-Calc!F22)),(Inputs!$B$23+((C1095=TRUE)*(F1095-Calc!F24))+(IF(ArtifactsInput!$M$15,CHOOSE(ArtifactsInput!$N$15+1,25,30,35,40,45,50)/100*(Inputs!$B$11-Inputs!$B$11),0))))/100+(Inputs!$B$23+((C1095=TRUE)*(F1095-Calc!F24))+(IF(ArtifactsInput!$M$15,CHOOSE(ArtifactsInput!$N$15+1,25,30,35,40,45,50)/100*(Inputs!$B$11-Inputs!$B$11),0)))/100)/2</f>
        <v/>
      </c>
      <c r="M1082">
        <f>L1082*(1+(Inputs!$B$10+0+B1103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82">
        <f>L1082*(1-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1082*(MIN((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82">
        <f>(1-Summary!$B$11)*T1082+Summary!$B$11*V1082</f>
        <v/>
      </c>
      <c r="P1082">
        <f>IF(B1108=0,0,O1082/B1108)</f>
        <v/>
      </c>
      <c r="Q1082">
        <f>IFERROR(1/(IF(Inputs!$B$38="pvp",15,MAX(0.1,Skills!D11-IF(Skills!E11=TRUE,Inputs!$B$32,0)))*(1-IF(AND(ArtifactsInput!$M$27,Inputs!$B$4="Chapter Hunt"),CHOOSE(ArtifactsInput!$N$27+1,20,24,28,32,36,40),0)/100)),0)</f>
        <v/>
      </c>
      <c r="R1082">
        <f>IF(AND(Inputs!$B$38&lt;&gt;"pvp",Inputs!$B$43&gt;0),IF(MAX(0,Inputs!$B$43-B1105)&lt;=0,0,(INT(MAX(0,Inputs!$B$43-B1105)/(IF(Inputs!$B$38="pvp",15,MAX(0.1,Skills!D11-IF(Skills!E11=TRUE,Inputs!$B$32,0)))*(1-IF(AND(ArtifactsInput!$M$27,Inputs!$B$4="Chapter Hunt"),CHOOSE(ArtifactsInput!$N$27+1,20,24,28,32,36,40),0)/100)))+1)),0)</f>
        <v/>
      </c>
      <c r="S1082">
        <f>IFERROR(O1082/N1082,0)</f>
        <v/>
      </c>
      <c r="T1082">
        <f>IF(C1082,(H1082*N1082*IF(AND(Inputs!$B$38&lt;&gt;"pvp",Inputs!$B$43&gt;0),((Skills!G11*((R1082-1)*IF(Skills!H11&gt;0,Skills!I11/Skills!H11,1)+IF(Skills!H11&gt;0,MIN(Skills!I11,MAX(0,MAX(0,Inputs!$B$43-B1105)-((R1082-1)*(IF(Inputs!$B$38="pvp",15,MAX(0.1,Skills!D11-IF(Skills!E11=TRUE,Inputs!$B$32,0)))*(1-IF(AND(ArtifactsInput!$M$27,Inputs!$B$4="Chapter Hunt"),CHOOSE(ArtifactsInput!$N$27+1,20,24,28,32,36,40),0)/100)))))/Skills!H11,1)))/Inputs!$B$43),G1082*Q1082)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1082*(1-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1082*(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1082*(1-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1082*(MIN(100,(Inputs!$B$9+0+B1098+(ArtifactsInput!$M$24-ArtifactsInput!$M$24)*CHOOSE(ArtifactsInput!$N$24+1,10,12,14,16,18,20)+(IF(AND(Inputs!$B$38&lt;&gt;"pvp",Inputs!$B$43=0),1,IF(IF(Inputs!$B$38="pvp",15,Inputs!$B$43)-(B1105)&lt;=0,1,MAX(0,IF(Inputs!$B$38="pvp",15,Inputs!$B$43)-MAX(5,B1105))/(IF(Inputs!$B$38="pvp",15,Inputs!$B$43)-(B1105))))*IF(AND(ArtifactsInput!$M$42,((Inputs!$B$9+0+B1098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82">
        <f>IF(C1082,(H1082*N1082*IF(AND(Inputs!$B$38&lt;&gt;"pvp",Inputs!$B$43&gt;0),((Skills!G11*((R1082-1)*IF(Skills!H11&gt;0,Skills!I11/Skills!H11,1)+IF(Skills!H11&gt;0,MIN(Skills!I11,MAX(0,MAX(0,Inputs!$B$43-B1105)-((R1082-1)*(IF(Inputs!$B$38="pvp",15,MAX(0.1,Skills!D11-IF(Skills!E11=TRUE,Inputs!$B$32,0)))*(1-IF(AND(ArtifactsInput!$M$27,Inputs!$B$4="Chapter Hunt"),CHOOSE(ArtifactsInput!$N$27+1,20,24,28,32,36,40),0)/100)))))/Skills!H11,1)))/Inputs!$B$43),G1082*Q1082))*IF(Inputs!$B$38="pvp",1,(1+(Inputs!$B$21+Skills!Q11+(IF(ArtifactsInput!$M$33,CHOOSE(ArtifactsInput!$N$33+1,30,36,42,48,54,60),0))+(IF(AND(ArtifactsInput!$M$35,Inputs!$B$4&lt;&gt;"Chapter Hunt"),CHOOSE(ArtifactsInput!$N$35+1,15,18,21,24,27,30)*(1-EXP(-(0.2*B1100)*5)),0)+IF(AND(ArtifactsInput!$M$22,Inputs!$B$4&lt;&gt;"Chapter Hunt"),CHOOSE(ArtifactsInput!$N$22+1,10,12,14,16,18,20)*((0*(((0.15*B1100*5))^0/1)+1*(((0.15*B1100*5))^1/1)+2*(((0.15*B1100*5))^2/2)+3*(((0.15*B1100*5))^3/6)+4*(((0.15*B1100*5))^4/24)+5*(((0.15*B1100*5))^5/120))/((((0.15*B1100*5))^0/1)+(((0.15*B1100*5))^1/1)+(((0.15*B1100*5))^2/2)+(((0.15*B1100*5))^3/6)+(((0.15*B1100*5))^4/24)+(((0.15*B1100*5))^5/120))),0)+IF(Inputs!$B$3&gt;=44,10*IF(Inputs!$B$38="pvp",MIN((10*(1+(Inputs!$B$34+1)/100)),15)/15,(10*(1+(Inputs!$B$34+1)/100))/Skills!D4),0)+12*IF(Inputs!$B$38="pvp",MIN((10*(1+(Inputs!$B$34+1)/100)),15)/15,(10*(1+(Inputs!$B$34+1)/100))/Skills!D5)+IF(Inputs!$B$3&gt;=138,20*IF(Inputs!$B$38="pvp",MIN((10*(1+(Inputs!$B$34+1)/100)),15)/15,(10*(1+(Inputs!$B$34+1)/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83">
      <c r="A1083">
        <f>Skills!A12</f>
        <v/>
      </c>
      <c r="B1083">
        <f>Skills!B12</f>
        <v/>
      </c>
      <c r="C1083">
        <f>Inputs!$B$3&gt;=100</f>
        <v/>
      </c>
      <c r="D1083">
        <f>IF(Skills!C12=1,60+Inputs!$B$25+Inputs!$B$29,IF(Skills!C12=2,90+Inputs!$B$26+Inputs!$B$29,IF(Skills!C12=3,120+Inputs!$B$27+Inputs!$B$29,MAX(0,(Inputs!$B$3-100)*3)+Inputs!$B$28+Inputs!$B$29)))</f>
        <v/>
      </c>
      <c r="E1083">
        <f>INDEX(FactorTable!$B$2:$Y$301, MATCH(ROUND(MIN(300,MAX(1,D1083)),0), FactorTable!$A$2:$A$301,0), Skills!M12+1)</f>
        <v/>
      </c>
      <c r="F1083">
        <f>IF(Skills!N12=TRUE,(Skills!L12/10)*(E1083/1000),Skills!L12/10)+Skills!O12</f>
        <v/>
      </c>
      <c r="G1083" t="inlineStr"/>
      <c r="H1083" t="inlineStr"/>
      <c r="I1083" t="inlineStr">
        <is>
          <t>1</t>
        </is>
      </c>
      <c r="J1083" t="inlineStr"/>
      <c r="K1083" t="inlineStr"/>
      <c r="L1083" t="inlineStr"/>
      <c r="M1083" t="inlineStr"/>
      <c r="N1083" t="inlineStr"/>
      <c r="O1083" t="inlineStr"/>
      <c r="P1083" t="inlineStr"/>
      <c r="Q1083" t="inlineStr"/>
      <c r="R1083" t="inlineStr"/>
      <c r="S1083" t="inlineStr"/>
    </row>
    <row r="1084">
      <c r="A1084">
        <f>Skills!A13</f>
        <v/>
      </c>
      <c r="B1084">
        <f>Skills!B13</f>
        <v/>
      </c>
      <c r="C1084">
        <f>Inputs!$B$3&gt;=45</f>
        <v/>
      </c>
      <c r="D1084">
        <f>IF(Skills!C13=1,60+Inputs!$B$25+Inputs!$B$29,IF(Skills!C13=2,90+Inputs!$B$26+Inputs!$B$29,IF(Skills!C13=3,120+Inputs!$B$27+Inputs!$B$29,MAX(0,(Inputs!$B$3-100)*3)+Inputs!$B$28+Inputs!$B$29)))</f>
        <v/>
      </c>
      <c r="E1084">
        <f>INDEX(FactorTable!$B$2:$Y$301, MATCH(ROUND(MIN(300,MAX(1,D1084)),0), FactorTable!$A$2:$A$301,0), Skills!M13+1)</f>
        <v/>
      </c>
      <c r="F1084">
        <f>IF(Skills!N13=TRUE,(Skills!L13/10)*(E1084/1000),Skills!L13/10)+Skills!O13</f>
        <v/>
      </c>
      <c r="G1084">
        <f>Skills!G13*IF(Skills!H13&gt;0,Skills!I13/Skills!H13,1)</f>
        <v/>
      </c>
      <c r="H1084">
        <f>1-(1-Skills!J13/100)^Skills!K13</f>
        <v/>
      </c>
      <c r="I1084" t="inlineStr">
        <is>
          <t>1</t>
        </is>
      </c>
      <c r="J1084" t="inlineStr"/>
      <c r="K1084" t="inlineStr"/>
      <c r="L1084" t="inlineStr"/>
      <c r="M1084" t="inlineStr"/>
      <c r="N1084" t="inlineStr"/>
      <c r="O1084">
        <f>(1-Summary!$B$11)*T1084+Summary!$B$11*V1084</f>
        <v/>
      </c>
      <c r="P1084">
        <f>IF(B1108=0,0,O1084/B1108)</f>
        <v/>
      </c>
      <c r="Q1084" t="n">
        <v>0</v>
      </c>
      <c r="R1084" t="n">
        <v>0</v>
      </c>
      <c r="S1084">
        <f>IFERROR(O1084/N1084,0)</f>
        <v/>
      </c>
      <c r="T1084" t="n">
        <v>0</v>
      </c>
      <c r="V1084" t="n">
        <v>0</v>
      </c>
    </row>
    <row r="1085">
      <c r="A1085">
        <f>Skills!A14</f>
        <v/>
      </c>
      <c r="B1085">
        <f>Skills!B14</f>
        <v/>
      </c>
      <c r="C1085">
        <f>Inputs!$B$3&gt;=110</f>
        <v/>
      </c>
      <c r="D1085">
        <f>IF(Skills!C14=1,60+Inputs!$B$25+Inputs!$B$29,IF(Skills!C14=2,90+Inputs!$B$26+Inputs!$B$29,IF(Skills!C14=3,120+Inputs!$B$27+Inputs!$B$29,MAX(0,(Inputs!$B$3-100)*3)+Inputs!$B$28+Inputs!$B$29)))</f>
        <v/>
      </c>
      <c r="E1085">
        <f>INDEX(FactorTable!$B$2:$Y$301, MATCH(ROUND(MIN(300,MAX(1,D1085)),0), FactorTable!$A$2:$A$301,0), Skills!M14+1)</f>
        <v/>
      </c>
      <c r="F1085">
        <f>IF(Skills!N14=TRUE,(Skills!L14/10)*(E1085/1000),Skills!L14/10)+Skills!O14</f>
        <v/>
      </c>
      <c r="G1085">
        <f>Skills!G14*IF(Skills!H14&gt;0,Skills!I14/Skills!H14,1)</f>
        <v/>
      </c>
      <c r="H1085">
        <f>1-(1-Skills!J14/100)^Skills!K14</f>
        <v/>
      </c>
      <c r="I1085" t="inlineStr">
        <is>
          <t>1</t>
        </is>
      </c>
      <c r="J1085" t="inlineStr"/>
      <c r="K1085" t="inlineStr"/>
      <c r="L1085" t="inlineStr"/>
      <c r="M1085" t="inlineStr"/>
      <c r="N1085" t="inlineStr"/>
      <c r="O1085">
        <f>(1-Summary!$B$11)*T1085+Summary!$B$11*V1085</f>
        <v/>
      </c>
      <c r="P1085">
        <f>IF(B1108=0,0,O1085/B1108)</f>
        <v/>
      </c>
      <c r="Q1085" t="n">
        <v>0</v>
      </c>
      <c r="R1085" t="n">
        <v>0</v>
      </c>
      <c r="S1085">
        <f>IFERROR(O1085/N1085,0)</f>
        <v/>
      </c>
      <c r="T1085" t="n">
        <v>0</v>
      </c>
      <c r="V1085" t="n">
        <v>0</v>
      </c>
    </row>
    <row r="1086">
      <c r="A1086">
        <f>Skills!A15</f>
        <v/>
      </c>
      <c r="B1086">
        <f>Skills!B15</f>
        <v/>
      </c>
      <c r="C1086">
        <f>Inputs!$B$3&gt;=75</f>
        <v/>
      </c>
      <c r="D1086">
        <f>IF(Skills!C15=1,60+Inputs!$B$25+Inputs!$B$29,IF(Skills!C15=2,90+Inputs!$B$26+Inputs!$B$29,IF(Skills!C15=3,120+Inputs!$B$27+Inputs!$B$29,MAX(0,(Inputs!$B$3-100)*3)+Inputs!$B$28+Inputs!$B$29)))</f>
        <v/>
      </c>
      <c r="E1086">
        <f>INDEX(FactorTable!$B$2:$Y$301, MATCH(ROUND(MIN(300,MAX(1,D1086)),0), FactorTable!$A$2:$A$301,0), Skills!M15+1)</f>
        <v/>
      </c>
      <c r="F1086">
        <f>IF(Skills!N15=TRUE,(Skills!L15/10)*(E1086/1000),Skills!L15/10)+Skills!O15</f>
        <v/>
      </c>
      <c r="G1086">
        <f>Skills!G15*IF(Skills!H15&gt;0,Skills!I15/Skills!H15,1)</f>
        <v/>
      </c>
      <c r="H1086">
        <f>1-(1-Skills!J15/100)^Skills!K15</f>
        <v/>
      </c>
      <c r="I1086" t="inlineStr">
        <is>
          <t>1</t>
        </is>
      </c>
      <c r="J1086" t="inlineStr"/>
      <c r="K1086" t="inlineStr"/>
      <c r="L1086" t="inlineStr"/>
      <c r="M1086" t="inlineStr"/>
      <c r="N1086" t="inlineStr"/>
      <c r="O1086">
        <f>(1-Summary!$B$11)*T1086+Summary!$B$11*V1086</f>
        <v/>
      </c>
      <c r="P1086">
        <f>IF(B1108=0,0,O1086/B1108)</f>
        <v/>
      </c>
      <c r="Q1086">
        <f>IFERROR(1/(IF(Inputs!$B$38="pvp",15,MAX(0.1,Skills!D15-IF(Skills!E15=TRUE,Inputs!$B$32,0)))*(1-IF(AND(ArtifactsInput!$M$27,Inputs!$B$4="Chapter Hunt"),CHOOSE(ArtifactsInput!$N$27+1,20,24,28,32,36,40),0)/100)),0)</f>
        <v/>
      </c>
      <c r="R1086">
        <f>IF(AND(Inputs!$B$38&lt;&gt;"pvp",Inputs!$B$43&gt;0),IF(Inputs!$B$43&lt;=0,0,(INT(Inputs!$B$43/(IF(Inputs!$B$38="pvp",15,MAX(0.1,Skills!D15-IF(Skills!E15=TRUE,Inputs!$B$32,0)))*(1-IF(AND(ArtifactsInput!$M$27,Inputs!$B$4="Chapter Hunt"),CHOOSE(ArtifactsInput!$N$27+1,20,24,28,32,36,40),0)/100)))+1)),0)</f>
        <v/>
      </c>
      <c r="S1086">
        <f>IFERROR(O1086/N1086,0)</f>
        <v/>
      </c>
      <c r="T1086" t="n">
        <v>0</v>
      </c>
      <c r="V1086" t="n">
        <v>0</v>
      </c>
    </row>
    <row r="1087">
      <c r="A1087">
        <f>Skills!A16</f>
        <v/>
      </c>
      <c r="B1087">
        <f>Skills!B16</f>
        <v/>
      </c>
      <c r="C1087">
        <f>Inputs!$B$3&gt;=105</f>
        <v/>
      </c>
      <c r="D1087">
        <f>IF(Skills!C16=1,60+Inputs!$B$25+Inputs!$B$29,IF(Skills!C16=2,90+Inputs!$B$26+Inputs!$B$29,IF(Skills!C16=3,120+Inputs!$B$27+Inputs!$B$29,MAX(0,(Inputs!$B$3-100)*3)+Inputs!$B$28+Inputs!$B$29)))</f>
        <v/>
      </c>
      <c r="E1087">
        <f>INDEX(FactorTable!$B$2:$Y$301, MATCH(ROUND(MIN(300,MAX(1,D1087)),0), FactorTable!$A$2:$A$301,0), Skills!M16+1)</f>
        <v/>
      </c>
      <c r="F1087">
        <f>IF(Skills!N16=TRUE,(Skills!L16/10)*(E1087/1000),Skills!L16/10)+Skills!O16</f>
        <v/>
      </c>
      <c r="G1087">
        <f>Skills!G16*IF(Skills!H16&gt;0,Skills!I16/Skills!H16,1)</f>
        <v/>
      </c>
      <c r="H1087">
        <f>1-(1-Skills!J16/100)^Skills!K16</f>
        <v/>
      </c>
      <c r="I1087" t="inlineStr">
        <is>
          <t>1</t>
        </is>
      </c>
      <c r="J1087" t="inlineStr"/>
      <c r="K1087" t="inlineStr"/>
      <c r="L1087" t="inlineStr"/>
      <c r="M1087" t="inlineStr"/>
      <c r="N1087" t="inlineStr"/>
      <c r="O1087">
        <f>(1-Summary!$B$11)*T1087+Summary!$B$11*V1087</f>
        <v/>
      </c>
      <c r="P1087">
        <f>IF(B1108=0,0,O1087/B1108)</f>
        <v/>
      </c>
      <c r="Q1087">
        <f>IFERROR(1/(IF(Inputs!$B$38="pvp",15,MAX(0.1,Skills!D16-IF(Skills!E16=TRUE,Inputs!$B$32,0)))*(1-IF(AND(ArtifactsInput!$M$27,Inputs!$B$4="Chapter Hunt"),CHOOSE(ArtifactsInput!$N$27+1,20,24,28,32,36,40),0)/100)),0)</f>
        <v/>
      </c>
      <c r="R1087">
        <f>IF(AND(Inputs!$B$38&lt;&gt;"pvp",Inputs!$B$43&gt;0),IF(Inputs!$B$43&lt;=0,0,(INT(Inputs!$B$43/(IF(Inputs!$B$38="pvp",15,MAX(0.1,Skills!D16-IF(Skills!E16=TRUE,Inputs!$B$32,0)))*(1-IF(AND(ArtifactsInput!$M$27,Inputs!$B$4="Chapter Hunt"),CHOOSE(ArtifactsInput!$N$27+1,20,24,28,32,36,40),0)/100)))+1)),0)</f>
        <v/>
      </c>
      <c r="S1087">
        <f>IFERROR(O1087/N1087,0)</f>
        <v/>
      </c>
      <c r="T1087" t="n">
        <v>0</v>
      </c>
      <c r="V1087" t="n">
        <v>0</v>
      </c>
    </row>
    <row r="1088">
      <c r="A1088">
        <f>Skills!A17</f>
        <v/>
      </c>
      <c r="B1088">
        <f>Skills!B17</f>
        <v/>
      </c>
      <c r="C1088">
        <f>Inputs!$B$3&gt;=115</f>
        <v/>
      </c>
      <c r="D1088">
        <f>IF(Skills!C17=1,60+Inputs!$B$25+Inputs!$B$29,IF(Skills!C17=2,90+Inputs!$B$26+Inputs!$B$29,IF(Skills!C17=3,120+Inputs!$B$27+Inputs!$B$29,MAX(0,(Inputs!$B$3-100)*3)+Inputs!$B$28+Inputs!$B$29)))</f>
        <v/>
      </c>
      <c r="E1088">
        <f>INDEX(FactorTable!$B$2:$Y$301, MATCH(ROUND(MIN(300,MAX(1,D1088)),0), FactorTable!$A$2:$A$301,0), Skills!M17+1)</f>
        <v/>
      </c>
      <c r="F1088">
        <f>IF(Skills!N17=TRUE,(Skills!L17/10)*(E1088/1000),Skills!L17/10)+Skills!O17</f>
        <v/>
      </c>
      <c r="G1088">
        <f>Skills!G17*IF(Skills!H17&gt;0,Skills!I17/Skills!H17,1)</f>
        <v/>
      </c>
      <c r="H1088">
        <f>1-(1-Skills!J17/100)^Skills!K17</f>
        <v/>
      </c>
      <c r="I1088" t="inlineStr">
        <is>
          <t>1</t>
        </is>
      </c>
      <c r="J1088" t="inlineStr"/>
      <c r="K1088" t="inlineStr"/>
      <c r="L1088" t="inlineStr"/>
      <c r="M1088" t="inlineStr"/>
      <c r="N1088" t="inlineStr"/>
      <c r="O1088">
        <f>(1-Summary!$B$11)*T1088+Summary!$B$11*V1088</f>
        <v/>
      </c>
      <c r="P1088">
        <f>IF(B1108=0,0,O1088/B1108)</f>
        <v/>
      </c>
      <c r="Q1088">
        <f>IFERROR(1/(IF(Inputs!$B$38="pvp",15,MAX(0.1,Skills!D17-IF(Skills!E17=TRUE,Inputs!$B$32,0)))*(1-IF(AND(ArtifactsInput!$M$27,Inputs!$B$4="Chapter Hunt"),CHOOSE(ArtifactsInput!$N$27+1,20,24,28,32,36,40),0)/100)),0)</f>
        <v/>
      </c>
      <c r="R1088">
        <f>IF(AND(Inputs!$B$38&lt;&gt;"pvp",Inputs!$B$43&gt;0),IF(Inputs!$B$43&lt;=0,0,(INT(Inputs!$B$43/(IF(Inputs!$B$38="pvp",15,MAX(0.1,Skills!D17-IF(Skills!E17=TRUE,Inputs!$B$32,0)))*(1-IF(AND(ArtifactsInput!$M$27,Inputs!$B$4="Chapter Hunt"),CHOOSE(ArtifactsInput!$N$27+1,20,24,28,32,36,40),0)/100)))+1)),0)</f>
        <v/>
      </c>
      <c r="S1088">
        <f>IFERROR(O1088/N1088,0)</f>
        <v/>
      </c>
      <c r="T1088" t="n">
        <v>0</v>
      </c>
      <c r="V1088" t="n">
        <v>0</v>
      </c>
    </row>
    <row r="1089">
      <c r="A1089">
        <f>Skills!A18</f>
        <v/>
      </c>
      <c r="B1089">
        <f>Skills!B18</f>
        <v/>
      </c>
      <c r="C1089">
        <f>Inputs!$B$3&gt;=74</f>
        <v/>
      </c>
      <c r="D1089">
        <f>IF(Skills!C18=1,60+Inputs!$B$25+Inputs!$B$29,IF(Skills!C18=2,90+Inputs!$B$26+Inputs!$B$29,IF(Skills!C18=3,120+Inputs!$B$27+Inputs!$B$29,MAX(0,(Inputs!$B$3-100)*3)+Inputs!$B$28+Inputs!$B$29)))</f>
        <v/>
      </c>
      <c r="E1089">
        <f>INDEX(FactorTable!$B$2:$Y$301, MATCH(ROUND(MIN(300,MAX(1,D1089)),0), FactorTable!$A$2:$A$301,0), Skills!M18+1)</f>
        <v/>
      </c>
      <c r="F1089">
        <f>IF(Skills!N18=TRUE,(Skills!L18/10)*(E1089/1000),Skills!L18/10)+Skills!O18</f>
        <v/>
      </c>
      <c r="G1089">
        <f>Skills!G18*IF(Skills!H18&gt;0,Skills!I18/Skills!H18,1)</f>
        <v/>
      </c>
      <c r="H1089">
        <f>1-(1-Skills!J18/100)^Skills!K18</f>
        <v/>
      </c>
      <c r="I1089" t="inlineStr">
        <is>
          <t>1</t>
        </is>
      </c>
      <c r="J1089" t="inlineStr"/>
      <c r="K1089" t="inlineStr"/>
      <c r="L1089" t="inlineStr"/>
      <c r="M1089" t="inlineStr"/>
      <c r="N1089" t="inlineStr"/>
      <c r="O1089">
        <f>(1-Summary!$B$11)*T1089+Summary!$B$11*V1089</f>
        <v/>
      </c>
      <c r="P1089">
        <f>IF(B1108=0,0,O1089/B1108)</f>
        <v/>
      </c>
      <c r="Q1089">
        <f>IFERROR(1/(IF(Inputs!$B$38="pvp",15,MAX(0.1,Skills!D18-IF(Skills!E18=TRUE,Inputs!$B$32,0)))*(1-IF(AND(ArtifactsInput!$M$27,Inputs!$B$4="Chapter Hunt"),CHOOSE(ArtifactsInput!$N$27+1,20,24,28,32,36,40),0)/100)),0)</f>
        <v/>
      </c>
      <c r="R1089">
        <f>IF(AND(Inputs!$B$38&lt;&gt;"pvp",Inputs!$B$43&gt;0),IF(Inputs!$B$43&lt;=0,0,(INT(Inputs!$B$43/(IF(Inputs!$B$38="pvp",15,MAX(0.1,Skills!D18-IF(Skills!E18=TRUE,Inputs!$B$32,0)))*(1-IF(AND(ArtifactsInput!$M$27,Inputs!$B$4="Chapter Hunt"),CHOOSE(ArtifactsInput!$N$27+1,20,24,28,32,36,40),0)/100)))+1)),0)</f>
        <v/>
      </c>
      <c r="S1089">
        <f>IFERROR(O1089/N1089,0)</f>
        <v/>
      </c>
      <c r="T1089" t="n">
        <v>0</v>
      </c>
      <c r="V1089" t="n">
        <v>0</v>
      </c>
    </row>
    <row r="1090">
      <c r="A1090">
        <f>Skills!A19</f>
        <v/>
      </c>
      <c r="B1090">
        <f>Skills!B19</f>
        <v/>
      </c>
      <c r="C1090">
        <f>TRUE</f>
        <v/>
      </c>
      <c r="D1090">
        <f>IF(Skills!C19=1,60+Inputs!$B$25+Inputs!$B$29,IF(Skills!C19=2,90+Inputs!$B$26+Inputs!$B$29,IF(Skills!C19=3,120+Inputs!$B$27+Inputs!$B$29,MAX(0,(Inputs!$B$3-100)*3)+Inputs!$B$28+Inputs!$B$29)))</f>
        <v/>
      </c>
      <c r="E1090">
        <f>INDEX(FactorTable!$B$2:$Y$301, MATCH(ROUND(MIN(300,MAX(1,D1090)),0), FactorTable!$A$2:$A$301,0), Skills!M19+1)</f>
        <v/>
      </c>
      <c r="F1090">
        <f>IF(Skills!N19=TRUE,(Skills!L19/10)*(E1090/1000),Skills!L19/10)+Skills!O19</f>
        <v/>
      </c>
      <c r="G1090">
        <f>Skills!G19*IF(Skills!H19&gt;0,Skills!I19/Skills!H19,1)</f>
        <v/>
      </c>
      <c r="H1090">
        <f>1-(1-Skills!J19/100)^Skills!K19</f>
        <v/>
      </c>
      <c r="I1090" t="inlineStr">
        <is>
          <t>1</t>
        </is>
      </c>
      <c r="J1090" t="inlineStr"/>
      <c r="K1090" t="inlineStr"/>
      <c r="L1090" t="inlineStr"/>
      <c r="M1090" t="inlineStr"/>
      <c r="N1090" t="inlineStr"/>
      <c r="O1090">
        <f>(1-Summary!$B$11)*T1090+Summary!$B$11*V1090</f>
        <v/>
      </c>
      <c r="P1090">
        <f>IF(B1108=0,0,O1090/B1108)</f>
        <v/>
      </c>
      <c r="Q1090">
        <f>IFERROR(1/(IF(Inputs!$B$38="pvp",15,MAX(0.1,Skills!D19-IF(Skills!E19=TRUE,Inputs!$B$32,0)))*(1-IF(AND(ArtifactsInput!$M$27,Inputs!$B$4="Chapter Hunt"),CHOOSE(ArtifactsInput!$N$27+1,20,24,28,32,36,40),0)/100)),0)</f>
        <v/>
      </c>
      <c r="R1090">
        <f>IF(AND(Inputs!$B$38&lt;&gt;"pvp",Inputs!$B$43&gt;0),IF(Inputs!$B$43&lt;=0,0,(INT(Inputs!$B$43/(IF(Inputs!$B$38="pvp",15,MAX(0.1,Skills!D19-IF(Skills!E19=TRUE,Inputs!$B$32,0)))*(1-IF(AND(ArtifactsInput!$M$27,Inputs!$B$4="Chapter Hunt"),CHOOSE(ArtifactsInput!$N$27+1,20,24,28,32,36,40),0)/100)))+1)),0)</f>
        <v/>
      </c>
      <c r="S1090">
        <f>IFERROR(O1090/N1090,0)</f>
        <v/>
      </c>
      <c r="T1090" t="n">
        <v>0</v>
      </c>
      <c r="V1090" t="n">
        <v>0</v>
      </c>
    </row>
    <row r="1091">
      <c r="A1091">
        <f>Skills!A20</f>
        <v/>
      </c>
      <c r="B1091">
        <f>Skills!B20</f>
        <v/>
      </c>
      <c r="C1091">
        <f>Inputs!$B$3&gt;=33</f>
        <v/>
      </c>
      <c r="D1091">
        <f>IF(Skills!C20=1,60+Inputs!$B$25+Inputs!$B$29,IF(Skills!C20=2,90+Inputs!$B$26+Inputs!$B$29,IF(Skills!C20=3,120+Inputs!$B$27+Inputs!$B$29,MAX(0,(Inputs!$B$3-100)*3)+Inputs!$B$28+Inputs!$B$29)))</f>
        <v/>
      </c>
      <c r="E1091">
        <f>INDEX(FactorTable!$B$2:$Y$301, MATCH(ROUND(MIN(300,MAX(1,D1091)),0), FactorTable!$A$2:$A$301,0), Skills!M20+1)</f>
        <v/>
      </c>
      <c r="F1091">
        <f>IF(Skills!N20=TRUE,(Skills!L20/10)*(E1091/1000),Skills!L20/10)+Skills!O20</f>
        <v/>
      </c>
      <c r="G1091">
        <f>Skills!G20*IF(Skills!H20&gt;0,Skills!I20/Skills!H20,1)</f>
        <v/>
      </c>
      <c r="H1091">
        <f>1-(1-Skills!J20/100)^Skills!K20</f>
        <v/>
      </c>
      <c r="I1091" t="inlineStr">
        <is>
          <t>1</t>
        </is>
      </c>
      <c r="J1091" t="inlineStr"/>
      <c r="K1091" t="inlineStr"/>
      <c r="L1091" t="inlineStr"/>
      <c r="M1091" t="inlineStr"/>
      <c r="N1091" t="inlineStr"/>
      <c r="O1091">
        <f>(1-Summary!$B$11)*T1091+Summary!$B$11*V1091</f>
        <v/>
      </c>
      <c r="P1091">
        <f>IF(B1108=0,0,O1091/B1108)</f>
        <v/>
      </c>
      <c r="Q1091" t="n">
        <v>0</v>
      </c>
      <c r="R1091" t="n">
        <v>0</v>
      </c>
      <c r="S1091">
        <f>IFERROR(O1091/N1091,0)</f>
        <v/>
      </c>
      <c r="T1091" t="n">
        <v>0</v>
      </c>
      <c r="V1091" t="n">
        <v>0</v>
      </c>
    </row>
    <row r="1092">
      <c r="A1092">
        <f>Skills!A21</f>
        <v/>
      </c>
      <c r="B1092">
        <f>Skills!B21</f>
        <v/>
      </c>
      <c r="C1092">
        <f>Inputs!$B$3&gt;=38</f>
        <v/>
      </c>
      <c r="D1092">
        <f>IF(Skills!C21=1,60+Inputs!$B$25+Inputs!$B$29,IF(Skills!C21=2,90+Inputs!$B$26+Inputs!$B$29,IF(Skills!C21=3,120+Inputs!$B$27+Inputs!$B$29,MAX(0,(Inputs!$B$3-100)*3)+Inputs!$B$28+Inputs!$B$29)))</f>
        <v/>
      </c>
      <c r="E1092">
        <f>INDEX(FactorTable!$B$2:$Y$301, MATCH(ROUND(MIN(300,MAX(1,D1092)),0), FactorTable!$A$2:$A$301,0), Skills!M21+1)</f>
        <v/>
      </c>
      <c r="F1092">
        <f>IF(Skills!N21=TRUE,(Skills!L21/10)*(E1092/1000),Skills!L21/10)+Skills!O21</f>
        <v/>
      </c>
      <c r="G1092">
        <f>Skills!G21*IF(Skills!H21&gt;0,Skills!I21/Skills!H21,1)</f>
        <v/>
      </c>
      <c r="H1092">
        <f>1-(1-Skills!J21/100)^Skills!K21</f>
        <v/>
      </c>
      <c r="I1092" t="inlineStr">
        <is>
          <t>1</t>
        </is>
      </c>
      <c r="J1092" t="inlineStr"/>
      <c r="K1092" t="inlineStr"/>
      <c r="L1092" t="inlineStr"/>
      <c r="M1092" t="inlineStr"/>
      <c r="N1092" t="inlineStr"/>
      <c r="O1092">
        <f>(1-Summary!$B$11)*T1092+Summary!$B$11*V1092</f>
        <v/>
      </c>
      <c r="P1092">
        <f>IF(B1108=0,0,O1092/B1108)</f>
        <v/>
      </c>
      <c r="Q1092" t="n">
        <v>0</v>
      </c>
      <c r="R1092" t="n">
        <v>0</v>
      </c>
      <c r="S1092">
        <f>IFERROR(O1092/N1092,0)</f>
        <v/>
      </c>
      <c r="T1092" t="n">
        <v>0</v>
      </c>
      <c r="V1092" t="n">
        <v>0</v>
      </c>
    </row>
    <row r="1093">
      <c r="A1093">
        <f>Skills!A22</f>
        <v/>
      </c>
      <c r="B1093">
        <f>Skills!B22</f>
        <v/>
      </c>
      <c r="C1093">
        <f>Inputs!$B$3&gt;=43</f>
        <v/>
      </c>
      <c r="D1093">
        <f>IF(Skills!C22=1,60+Inputs!$B$25+Inputs!$B$29,IF(Skills!C22=2,90+Inputs!$B$26+Inputs!$B$29,IF(Skills!C22=3,120+Inputs!$B$27+Inputs!$B$29,MAX(0,(Inputs!$B$3-100)*3)+Inputs!$B$28+Inputs!$B$29)))</f>
        <v/>
      </c>
      <c r="E1093">
        <f>INDEX(FactorTable!$B$2:$Y$301, MATCH(ROUND(MIN(300,MAX(1,D1093)),0), FactorTable!$A$2:$A$301,0), Skills!M22+1)</f>
        <v/>
      </c>
      <c r="F1093">
        <f>IF(Skills!N22=TRUE,(Skills!L22/10)*(E1093/1000),Skills!L22/10)+Skills!O22</f>
        <v/>
      </c>
      <c r="G1093">
        <f>Skills!G22*IF(Skills!H22&gt;0,Skills!I22/Skills!H22,1)</f>
        <v/>
      </c>
      <c r="H1093">
        <f>1-(1-Skills!J22/100)^Skills!K22</f>
        <v/>
      </c>
      <c r="I1093" t="inlineStr">
        <is>
          <t>1</t>
        </is>
      </c>
      <c r="J1093" t="inlineStr"/>
      <c r="K1093" t="inlineStr"/>
      <c r="L1093" t="inlineStr"/>
      <c r="M1093" t="inlineStr"/>
      <c r="N1093" t="inlineStr"/>
      <c r="O1093">
        <f>(1-Summary!$B$11)*T1093+Summary!$B$11*V1093</f>
        <v/>
      </c>
      <c r="P1093">
        <f>IF(B1108=0,0,O1093/B1108)</f>
        <v/>
      </c>
      <c r="Q1093" t="n">
        <v>0</v>
      </c>
      <c r="R1093" t="n">
        <v>0</v>
      </c>
      <c r="S1093">
        <f>IFERROR(O1093/N1093,0)</f>
        <v/>
      </c>
      <c r="T1093" t="n">
        <v>0</v>
      </c>
      <c r="V1093" t="n">
        <v>0</v>
      </c>
    </row>
    <row r="1094">
      <c r="A1094">
        <f>Skills!A23</f>
        <v/>
      </c>
      <c r="B1094">
        <f>Skills!B23</f>
        <v/>
      </c>
      <c r="C1094">
        <f>Inputs!$B$3&gt;=120</f>
        <v/>
      </c>
      <c r="D1094">
        <f>IF(Skills!C23=1,60+Inputs!$B$25+Inputs!$B$29,IF(Skills!C23=2,90+Inputs!$B$26+Inputs!$B$29,IF(Skills!C23=3,120+Inputs!$B$27+Inputs!$B$29,MAX(0,(Inputs!$B$3-100)*3)+Inputs!$B$28+Inputs!$B$29)))</f>
        <v/>
      </c>
      <c r="E1094">
        <f>INDEX(FactorTable!$B$2:$Y$301, MATCH(ROUND(MIN(300,MAX(1,D1094)),0), FactorTable!$A$2:$A$301,0), Skills!M23+1)</f>
        <v/>
      </c>
      <c r="F1094">
        <f>IF(Skills!N23=TRUE,(Skills!L23/10)*(E1094/1000),Skills!L23/10)+Skills!O23</f>
        <v/>
      </c>
      <c r="G1094">
        <f>Skills!G23*IF(Skills!H23&gt;0,Skills!I23/Skills!H23,1)</f>
        <v/>
      </c>
      <c r="H1094">
        <f>1-(1-Skills!J23/100)^Skills!K23</f>
        <v/>
      </c>
      <c r="I1094" t="inlineStr">
        <is>
          <t>1</t>
        </is>
      </c>
      <c r="J1094" t="inlineStr"/>
      <c r="K1094" t="inlineStr"/>
      <c r="L1094" t="inlineStr"/>
      <c r="M1094" t="inlineStr"/>
      <c r="N1094" t="inlineStr"/>
      <c r="O1094">
        <f>(1-Summary!$B$11)*T1094+Summary!$B$11*V1094</f>
        <v/>
      </c>
      <c r="P1094">
        <f>IF(B1108=0,0,O1094/B1108)</f>
        <v/>
      </c>
      <c r="Q1094" t="n">
        <v>0</v>
      </c>
      <c r="R1094" t="n">
        <v>0</v>
      </c>
      <c r="S1094">
        <f>IFERROR(O1094/N1094,0)</f>
        <v/>
      </c>
      <c r="T1094" t="n">
        <v>0</v>
      </c>
      <c r="V1094" t="n">
        <v>0</v>
      </c>
    </row>
    <row r="1095">
      <c r="A1095">
        <f>Skills!A24</f>
        <v/>
      </c>
      <c r="B1095">
        <f>Skills!B24</f>
        <v/>
      </c>
      <c r="C1095">
        <f>Inputs!$B$3&gt;=120</f>
        <v/>
      </c>
      <c r="D1095">
        <f>IF(Skills!C24=1,60+Inputs!$B$25+Inputs!$B$29,IF(Skills!C24=2,90+Inputs!$B$26+Inputs!$B$29,IF(Skills!C24=3,120+Inputs!$B$27+Inputs!$B$29,MAX(0,(Inputs!$B$3-100)*3)+Inputs!$B$28+Inputs!$B$29)))</f>
        <v/>
      </c>
      <c r="E1095">
        <f>INDEX(FactorTable!$B$2:$Y$301, MATCH(ROUND(MIN(300,MAX(1,D1095)),0), FactorTable!$A$2:$A$301,0), Skills!M24+1)</f>
        <v/>
      </c>
      <c r="F1095">
        <f>IF(Skills!N24=TRUE,(Skills!L24/10)*(E1095/1000),Skills!L24/10)+Skills!O24</f>
        <v/>
      </c>
      <c r="G1095">
        <f>Skills!G24*IF(Skills!H24&gt;0,Skills!I24/Skills!H24,1)</f>
        <v/>
      </c>
      <c r="H1095">
        <f>1-(1-Skills!J24/100)^Skills!K24</f>
        <v/>
      </c>
      <c r="I1095" t="inlineStr">
        <is>
          <t>1</t>
        </is>
      </c>
      <c r="J1095" t="inlineStr"/>
      <c r="K1095" t="inlineStr"/>
      <c r="L1095" t="inlineStr"/>
      <c r="M1095" t="inlineStr"/>
      <c r="N1095" t="inlineStr"/>
      <c r="O1095">
        <f>(1-Summary!$B$11)*T1095+Summary!$B$11*V1095</f>
        <v/>
      </c>
      <c r="P1095">
        <f>IF(B1108=0,0,O1095/B1108)</f>
        <v/>
      </c>
      <c r="Q1095" t="n">
        <v>0</v>
      </c>
      <c r="R1095" t="n">
        <v>0</v>
      </c>
      <c r="S1095">
        <f>IFERROR(O1095/N1095,0)</f>
        <v/>
      </c>
      <c r="T1095" t="n">
        <v>0</v>
      </c>
      <c r="V1095" t="n">
        <v>0</v>
      </c>
    </row>
    <row r="1097">
      <c r="A1097" t="inlineStr">
        <is>
          <t>Attack% Bucket Multiplier</t>
        </is>
      </c>
      <c r="B1097">
        <f>(1+(((C1084=TRUE)*F1084*MIN(1,Skills!T13*(Skills!J13/100)*B1102))+((C1089=TRUE)*F1089*IF(AND(Inputs!$B$38&lt;&gt;"pvp",Inputs!$B$43&gt;0),(((R1089-1)*(Skills!T18*(1+(Inputs!$B$34+1)/100))+MIN((Skills!T18*(1+(Inputs!$B$34+1)/100)),MAX(0,Inputs!$B$43-((R1089-1)*Skills!D18))))/Inputs!$B$43),IF(Inputs!$B$38="pvp",MIN((Skills!T18*(1+(Inputs!$B$34+1)/100)),15)/15,(Skills!T18*(1+(Inputs!$B$34+1)/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98">
      <c r="A1098" t="inlineStr">
        <is>
          <t>Global Crit Rate Bonus %</t>
        </is>
      </c>
      <c r="B1098" t="n">
        <v>0</v>
      </c>
    </row>
    <row r="1099">
      <c r="A1099" t="inlineStr">
        <is>
          <t>Attack Speed Buff Bonus %</t>
        </is>
      </c>
      <c r="B1099">
        <f>((C1090=TRUE)*F1090*IF(AND(Inputs!$B$38&lt;&gt;"pvp",Inputs!$B$43&gt;0),(((R1090-1)*(Skills!T19*(1+(Inputs!$B$34+1)/100))+MIN((Skills!T19*(1+(Inputs!$B$34+1)/100)),MAX(0,Inputs!$B$43-((R1090-1)*Skills!D19))))/Inputs!$B$43),IF(Inputs!$B$38="pvp",MIN((Skills!T19*(1+(Inputs!$B$34+1)/100)),15)/15,(Skills!T19*(1+(Inputs!$B$34+1)/100))/Skills!D19)))</f>
        <v/>
      </c>
    </row>
    <row r="1100">
      <c r="A1100" t="inlineStr">
        <is>
          <t>Actions Per Second</t>
        </is>
      </c>
      <c r="B1100">
        <f>1+MIN(150,150*(1-(1-(Inputs!$B$11+((C1091=TRUE)*(F1091-Calc!F20)))/150)*(1-B1099/150)))/100</f>
        <v/>
      </c>
    </row>
    <row r="1101">
      <c r="A1101" t="inlineStr">
        <is>
          <t>Skill + Buff Cast Rate</t>
        </is>
      </c>
      <c r="B1101">
        <f>IF(AND(Inputs!$B$38&lt;&gt;"pvp",Inputs!$B$43&gt;0),SUMPRODUCT((Skills!E2:E24=TRUE)*(C1073:C1095=TRUE)*R1073:R1095*Skills!F2:F24)/Inputs!$B$43,SUMPRODUCT((Skills!E2:E24=TRUE)*(C1073:C1095=TRUE)*Q1073:Q1095*Skills!F2:F24))</f>
        <v/>
      </c>
    </row>
    <row r="1102">
      <c r="A1102" t="inlineStr">
        <is>
          <t>Blast Casts Per Second</t>
        </is>
      </c>
      <c r="B1102">
        <f>MAX(0,B1100-B1101)</f>
        <v/>
      </c>
    </row>
    <row r="1103">
      <c r="A1103" t="inlineStr">
        <is>
          <t>Global Critical Damage Bonus % (unused)</t>
        </is>
      </c>
      <c r="B1103" t="n">
        <v>0</v>
      </c>
    </row>
    <row r="1104">
      <c r="A1104" t="inlineStr">
        <is>
          <t>Global Final Damage Bonus % (Divine Shield + Guardian + Divine Blessing + Greater Vessel of Light)</t>
        </is>
      </c>
      <c r="B1104">
        <f>((C1086=TRUE)*F1086*IF(AND(Inputs!$B$38&lt;&gt;"pvp",Inputs!$B$43&gt;0),(((R1086-1)*(Skills!T15*(1+(Inputs!$B$34+1)/100))+MIN((Skills!T15*(1+(Inputs!$B$34+1)/100)),MAX(0,Inputs!$B$43-((R1086-1)*Skills!D15))))/Inputs!$B$43),IF(Inputs!$B$38="pvp",MIN((Skills!T15*(1+(Inputs!$B$34+1)/100)),15)/15,(Skills!T15*(1+(Inputs!$B$34+1)/100))/Skills!D15)))+((C1087=TRUE)*F1087*IF(AND(Inputs!$B$38&lt;&gt;"pvp",Inputs!$B$43&gt;0),(((R1087-1)*(Skills!T16*(1+(Inputs!$B$34+1)/100))+MIN((Skills!T16*(1+(Inputs!$B$34+1)/100)),MAX(0,Inputs!$B$43-((R1087-1)*Skills!D16))))/Inputs!$B$43),IF(Inputs!$B$38="pvp",MIN((Skills!T16*(1+(Inputs!$B$34+1)/100)),15)/15,(Skills!T16*(1+(Inputs!$B$34+1)/100))/Skills!D16)))+((C1088=TRUE)*F1088*IF(AND(Inputs!$B$38&lt;&gt;"pvp",Inputs!$B$43&gt;0),(((R1088-1)*(Skills!T17*(1+(Inputs!$B$34+1)/100))+MIN((Skills!T17*(1+(Inputs!$B$34+1)/100)),MAX(0,Inputs!$B$43-((R1088-1)*Skills!D17))))/Inputs!$B$43),IF(Inputs!$B$38="pvp",MIN((Skills!T17*(1+(Inputs!$B$34+1)/100)),15)/15,(Skills!T17*(1+(Inputs!$B$34+1)/100))/Skills!D17)))+((C1085=TRUE)*F1085*MIN(1,Skills!T13*(Skills!J13/100)*B1102))</f>
        <v/>
      </c>
    </row>
    <row r="1105">
      <c r="A1105" t="inlineStr">
        <is>
          <t>Buff-Casting Startup Delay (s, fixed-duration only)</t>
        </is>
      </c>
      <c r="B1105">
        <f>IF(AND(Inputs!$B$38&lt;&gt;"pvp",Inputs!$B$43&gt;0),SUMPRODUCT((Skills!T2:T24&gt;0)*(Skills!E2:E24=TRUE)*(C1073:C1095=TRUE))/B1100,0)</f>
        <v/>
      </c>
    </row>
    <row r="1106">
      <c r="A1106" t="inlineStr">
        <is>
          <t>Boss-Only Total DPS (this block's swept value)</t>
        </is>
      </c>
      <c r="B1106">
        <f>SUM(T1073:T1095)</f>
        <v/>
      </c>
    </row>
    <row r="1107">
      <c r="A1107" t="inlineStr">
        <is>
          <t>Normal-Only Total DPS (this block's swept value)</t>
        </is>
      </c>
      <c r="B1107">
        <f>SUM(V1073:V1095)</f>
        <v/>
      </c>
    </row>
    <row r="1108">
      <c r="A1108" s="6" t="inlineStr">
        <is>
          <t>TOTAL DPS</t>
        </is>
      </c>
      <c r="B1108" s="6">
        <f>SUM(O1073:O1095)</f>
        <v/>
      </c>
    </row>
    <row r="1111">
      <c r="A1111" s="6" t="inlineStr">
        <is>
          <t>Stat: Charm of the Undead (Equip)</t>
        </is>
      </c>
    </row>
    <row r="1112">
      <c r="A1112" s="5" t="inlineStr">
        <is>
          <t>Key</t>
        </is>
      </c>
      <c r="B1112" s="5" t="inlineStr">
        <is>
          <t>Name</t>
        </is>
      </c>
      <c r="C1112" s="5" t="inlineStr">
        <is>
          <t>Unlocked</t>
        </is>
      </c>
      <c r="D1112" s="5" t="inlineStr">
        <is>
          <t>InputLevel</t>
        </is>
      </c>
      <c r="E1112" s="5" t="inlineStr">
        <is>
          <t>Factor</t>
        </is>
      </c>
      <c r="F1112" s="5" t="inlineStr">
        <is>
          <t>CoefficientPercent</t>
        </is>
      </c>
      <c r="G1112" s="5" t="inlineStr">
        <is>
          <t>EffectiveHits</t>
        </is>
      </c>
      <c r="H1112" s="5" t="inlineStr">
        <is>
          <t>ProcProbability</t>
        </is>
      </c>
      <c r="I1112" s="5" t="inlineStr">
        <is>
          <t>MapleHeroMultiplier</t>
        </is>
      </c>
      <c r="J1112" s="5" t="inlineStr">
        <is>
          <t>BaseDamage</t>
        </is>
      </c>
      <c r="K1112" s="5" t="inlineStr">
        <is>
          <t>BaseHitDamage</t>
        </is>
      </c>
      <c r="L1112" s="5" t="inlineStr">
        <is>
          <t>NonCritAvg</t>
        </is>
      </c>
      <c r="M1112" s="5" t="inlineStr">
        <is>
          <t>CritAvg</t>
        </is>
      </c>
      <c r="N1112" s="5" t="inlineStr">
        <is>
          <t>ExpectedDamage(perHit)</t>
        </is>
      </c>
      <c r="O1112" s="5" t="inlineStr">
        <is>
          <t>DPS</t>
        </is>
      </c>
      <c r="P1112" s="5" t="inlineStr">
        <is>
          <t>% of Total</t>
        </is>
      </c>
      <c r="Q1112" s="5" t="inlineStr">
        <is>
          <t>InvCooldown</t>
        </is>
      </c>
      <c r="R1112" s="5" t="inlineStr">
        <is>
          <t>CastsInFight</t>
        </is>
      </c>
      <c r="S1112" s="5" t="inlineStr">
        <is>
          <t>HitRate(perSec)</t>
        </is>
      </c>
      <c r="U1112" t="inlineStr">
        <is>
          <t>helpers</t>
        </is>
      </c>
    </row>
    <row r="1113">
      <c r="A1113">
        <f>Skills!A2</f>
        <v/>
      </c>
      <c r="B1113">
        <f>Skills!B2</f>
        <v/>
      </c>
      <c r="C1113">
        <f>Inputs!$B$3&gt;=100</f>
        <v/>
      </c>
      <c r="D1113" t="inlineStr"/>
      <c r="E1113" t="inlineStr"/>
      <c r="F1113">
        <f>U1115+Skills!O2</f>
        <v/>
      </c>
      <c r="G1113">
        <f>Skills!G2*IF(Skills!H2&gt;0,Skills!I2/Skills!H2,1)</f>
        <v/>
      </c>
      <c r="H1113">
        <f>1-(1-Skills!J2/100)^Skills!K2</f>
        <v/>
      </c>
      <c r="I1113" t="inlineStr">
        <is>
          <t>1</t>
        </is>
      </c>
      <c r="J1113">
        <f>((Inputs!$B$6*(1+Inputs!$B$7/100))+(((Inputs!$B$12*(1+Inputs!$B$13/100))-(Inputs!$B$12*(1+Inputs!$B$13/100)))+0.25*(Inputs!$B$14-Inputs!$B$14))*(1+Inputs!$B$7/100))*(F1113/100)</f>
        <v/>
      </c>
      <c r="K1113">
        <f>J1113*(1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1113)</f>
        <v/>
      </c>
      <c r="L1113">
        <f>K1113*(MIN(Inputs!$B$22+((C1133=TRUE)*(F1133-Calc!F22)),(Inputs!$B$23+((C1135=TRUE)*(F1135-Calc!F24))+(IF(ArtifactsInput!$M$15,CHOOSE(ArtifactsInput!$N$15+1,25,30,35,40,45,50)/100*(Inputs!$B$11-Inputs!$B$11),0))))/100+(Inputs!$B$23+((C1135=TRUE)*(F1135-Calc!F24))+(IF(ArtifactsInput!$M$15,CHOOSE(ArtifactsInput!$N$15+1,25,30,35,40,45,50)/100*(Inputs!$B$11-Inputs!$B$11),0)))/100)/2</f>
        <v/>
      </c>
      <c r="M1113">
        <f>L1113*(1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3">
        <f>L1113*(1-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1113*(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3">
        <f>(1-Summary!$B$11)*T1113+Summary!$B$11*V1113</f>
        <v/>
      </c>
      <c r="P1113">
        <f>IF(B1148=0,0,O1113/B1148)</f>
        <v/>
      </c>
      <c r="Q1113" t="n">
        <v>0</v>
      </c>
      <c r="R1113" t="n">
        <v>0</v>
      </c>
      <c r="S1113">
        <f>IFERROR(O1113/N1113,0)</f>
        <v/>
      </c>
      <c r="T1113">
        <f>IF(C1113,(Skills!G2*N1113*B1142)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1113*(1-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1113*(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1113*(1-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1113*(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13">
        <f>MAX(0,(Inputs!$B$3-100)*3)+Inputs!$B$28+Inputs!$B$29</f>
        <v/>
      </c>
      <c r="V1113">
        <f>IF(C1113,(Skills!G2*N1113*B1142)*IF(Inputs!$B$38="pvp",1,(1+(Inputs!$B$21+Skills!Q2+(IF(ArtifactsInput!$M$33,CHOOSE(ArtifactsInput!$N$33+1,30,36,42,48,54,60),0))+(IF(AND(ArtifactsInput!$M$35,Inputs!$B$4&lt;&gt;"Chapter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4">
      <c r="A1114">
        <f>Skills!A3</f>
        <v/>
      </c>
      <c r="B1114">
        <f>Skills!B3</f>
        <v/>
      </c>
      <c r="C1114">
        <f>Inputs!$B$3&gt;=50</f>
        <v/>
      </c>
      <c r="D1114">
        <f>IF(Skills!C3=1,60+Inputs!$B$25+Inputs!$B$29,IF(Skills!C3=2,90+Inputs!$B$26+Inputs!$B$29,IF(Skills!C3=3,120+Inputs!$B$27+Inputs!$B$29,MAX(0,(Inputs!$B$3-100)*3)+Inputs!$B$28+Inputs!$B$29)))</f>
        <v/>
      </c>
      <c r="E1114">
        <f>INDEX(FactorTable!$B$2:$Y$301, MATCH(ROUND(MIN(300,MAX(1,D1114)),0), FactorTable!$A$2:$A$301,0), Skills!M3+1)</f>
        <v/>
      </c>
      <c r="F1114">
        <f>IF(Skills!N3=TRUE,(Skills!L3/10)*(E1114/1000),Skills!L3/10)+Skills!O3</f>
        <v/>
      </c>
      <c r="G1114" t="inlineStr"/>
      <c r="H1114" t="inlineStr"/>
      <c r="I1114" t="inlineStr">
        <is>
          <t>1</t>
        </is>
      </c>
      <c r="J1114" t="inlineStr"/>
      <c r="K1114" t="inlineStr"/>
      <c r="L1114" t="inlineStr"/>
      <c r="M1114" t="inlineStr"/>
      <c r="N1114" t="inlineStr"/>
      <c r="O1114" t="inlineStr"/>
      <c r="P1114" t="inlineStr"/>
      <c r="Q1114" t="inlineStr"/>
      <c r="R1114" t="inlineStr"/>
      <c r="S1114" t="inlineStr"/>
      <c r="U1114">
        <f>INDEX(FactorTable!$B$2:$Y$301, MATCH(ROUND(MIN(300,MAX(1,U1113)),0), FactorTable!$A$2:$A$301,0), 22)</f>
        <v/>
      </c>
    </row>
    <row r="1115">
      <c r="A1115">
        <f>Skills!A4</f>
        <v/>
      </c>
      <c r="B1115">
        <f>Skills!B4</f>
        <v/>
      </c>
      <c r="C1115">
        <f>Inputs!$B$3&gt;=35</f>
        <v/>
      </c>
      <c r="D1115">
        <f>IF(Skills!C4=1,60+Inputs!$B$25+Inputs!$B$29,IF(Skills!C4=2,90+Inputs!$B$26+Inputs!$B$29,IF(Skills!C4=3,120+Inputs!$B$27+Inputs!$B$29,MAX(0,(Inputs!$B$3-100)*3)+Inputs!$B$28+Inputs!$B$29)))</f>
        <v/>
      </c>
      <c r="E1115">
        <f>INDEX(FactorTable!$B$2:$Y$301, MATCH(ROUND(MIN(300,MAX(1,D1115)),0), FactorTable!$A$2:$A$301,0), Skills!M4+1)</f>
        <v/>
      </c>
      <c r="F1115">
        <f>IF(Skills!N4=TRUE,(Skills!L4/10)*(E1115/1000),Skills!L4/10)+Skills!O4</f>
        <v/>
      </c>
      <c r="G1115">
        <f>Skills!G4*IF(Skills!H4&gt;0,Skills!I4/Skills!H4,1)</f>
        <v/>
      </c>
      <c r="H1115">
        <f>1-(1-Skills!J4/100)^Skills!K4</f>
        <v/>
      </c>
      <c r="I1115" t="inlineStr">
        <is>
          <t>1</t>
        </is>
      </c>
      <c r="J1115">
        <f>((Inputs!$B$6*(1+Inputs!$B$7/100))+(((Inputs!$B$12*(1+Inputs!$B$13/100))-(Inputs!$B$12*(1+Inputs!$B$13/100)))+0.25*(Inputs!$B$14-Inputs!$B$14))*(1+Inputs!$B$7/100))*(F1115/100)</f>
        <v/>
      </c>
      <c r="K1115">
        <f>J1115*(1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1123=TRUE,F1123,0)/100)*(1+(IF(Skills!A4="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1115)</f>
        <v/>
      </c>
      <c r="L1115">
        <f>K1115*(MIN(Inputs!$B$22+((C1133=TRUE)*(F1133-Calc!F22)),(Inputs!$B$23+((C1135=TRUE)*(F1135-Calc!F24))+(IF(ArtifactsInput!$M$15,CHOOSE(ArtifactsInput!$N$15+1,25,30,35,40,45,50)/100*(Inputs!$B$11-Inputs!$B$11),0))))/100+(Inputs!$B$23+((C1135=TRUE)*(F1135-Calc!F24))+(IF(ArtifactsInput!$M$15,CHOOSE(ArtifactsInput!$N$15+1,25,30,35,40,45,50)/100*(Inputs!$B$11-Inputs!$B$11),0)))/100)/2</f>
        <v/>
      </c>
      <c r="M1115">
        <f>L1115*(1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5">
        <f>L1115*(1-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1115*(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5">
        <f>(1-Summary!$B$11)*T1115+Summary!$B$11*V1115</f>
        <v/>
      </c>
      <c r="P1115">
        <f>IF(B1148=0,0,O1115/B1148)</f>
        <v/>
      </c>
      <c r="Q1115">
        <f>IFERROR(1/(IF(Inputs!$B$38="pvp",15,MAX(0.1,Skills!D4-IF(Skills!E4=TRUE,Inputs!$B$32,0)))*(1-IF(AND(ArtifactsInput!$M$27,Inputs!$B$4="Chapter Hunt"),CHOOSE(ArtifactsInput!$N$27+1,20,24,28,32,36,40),0)/100)),0)</f>
        <v/>
      </c>
      <c r="R1115">
        <f>IF(AND(Inputs!$B$38&lt;&gt;"pvp",Inputs!$B$43&gt;0),IF(MAX(0,Inputs!$B$43-B1145)&lt;=0,0,(INT(MAX(0,Inputs!$B$43-B1145)/(IF(Inputs!$B$38="pvp",15,MAX(0.1,Skills!D4-IF(Skills!E4=TRUE,Inputs!$B$32,0)))*(1-IF(AND(ArtifactsInput!$M$27,Inputs!$B$4="Chapter Hunt"),CHOOSE(ArtifactsInput!$N$27+1,20,24,28,32,36,40),0)/100)))+1)),0)</f>
        <v/>
      </c>
      <c r="S1115">
        <f>IFERROR(O1115/N1115,0)</f>
        <v/>
      </c>
      <c r="T1115">
        <f>IF(C1115,(H1115*N1115*IF(AND(Inputs!$B$38&lt;&gt;"pvp",Inputs!$B$43&gt;0),((Skills!G4*((R1115-1)*IF(Skills!H4&gt;0,Skills!I4/Skills!H4,1)+IF(Skills!H4&gt;0,MIN(Skills!I4,MAX(0,MAX(0,Inputs!$B$43-B1145)-((R1115-1)*(IF(Inputs!$B$38="pvp",15,MAX(0.1,Skills!D4-IF(Skills!E4=TRUE,Inputs!$B$32,0)))*(1-IF(AND(ArtifactsInput!$M$27,Inputs!$B$4="Chapter Hunt"),CHOOSE(ArtifactsInput!$N$27+1,20,24,28,32,36,40),0)/100)))))/Skills!H4,1)))/Inputs!$B$43),G1115*Q1115)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1115*(1-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1115*(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1115*(1-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1115*(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15">
        <f>290*U1114/1000</f>
        <v/>
      </c>
      <c r="V1115">
        <f>IF(C1115,(H1115*N1115*IF(AND(Inputs!$B$38&lt;&gt;"pvp",Inputs!$B$43&gt;0),((Skills!G4*((R1115-1)*IF(Skills!H4&gt;0,Skills!I4/Skills!H4,1)+IF(Skills!H4&gt;0,MIN(Skills!I4,MAX(0,MAX(0,Inputs!$B$43-B1145)-((R1115-1)*(IF(Inputs!$B$38="pvp",15,MAX(0.1,Skills!D4-IF(Skills!E4=TRUE,Inputs!$B$32,0)))*(1-IF(AND(ArtifactsInput!$M$27,Inputs!$B$4="Chapter Hunt"),CHOOSE(ArtifactsInput!$N$27+1,20,24,28,32,36,40),0)/100)))))/Skills!H4,1)))/Inputs!$B$43),G1115*Q1115))*IF(Inputs!$B$38="pvp",1,(1+(Inputs!$B$21+Skills!Q4+(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6">
      <c r="A1116">
        <f>Skills!A5</f>
        <v/>
      </c>
      <c r="B1116">
        <f>Skills!B5</f>
        <v/>
      </c>
      <c r="C1116">
        <f>Inputs!$B$3&gt;=66</f>
        <v/>
      </c>
      <c r="D1116">
        <f>IF(Skills!C5=1,60+Inputs!$B$25+Inputs!$B$29,IF(Skills!C5=2,90+Inputs!$B$26+Inputs!$B$29,IF(Skills!C5=3,120+Inputs!$B$27+Inputs!$B$29,MAX(0,(Inputs!$B$3-100)*3)+Inputs!$B$28+Inputs!$B$29)))</f>
        <v/>
      </c>
      <c r="E1116">
        <f>INDEX(FactorTable!$B$2:$Y$301, MATCH(ROUND(MIN(300,MAX(1,D1116)),0), FactorTable!$A$2:$A$301,0), Skills!M5+1)</f>
        <v/>
      </c>
      <c r="F1116">
        <f>IF(Skills!N5=TRUE,(Skills!L5/10)*(E1116/1000),Skills!L5/10)+Skills!O5</f>
        <v/>
      </c>
      <c r="G1116">
        <f>Skills!G5*IF(Skills!H5&gt;0,Skills!I5/Skills!H5,1)</f>
        <v/>
      </c>
      <c r="H1116">
        <f>1-(1-Skills!J5/100)^Skills!K5</f>
        <v/>
      </c>
      <c r="I1116" t="inlineStr">
        <is>
          <t>1</t>
        </is>
      </c>
      <c r="J1116">
        <f>((Inputs!$B$6*(1+Inputs!$B$7/100))+(((Inputs!$B$12*(1+Inputs!$B$13/100))-(Inputs!$B$12*(1+Inputs!$B$13/100)))+0.25*(Inputs!$B$14-Inputs!$B$14))*(1+Inputs!$B$7/100))*(F1116/100)</f>
        <v/>
      </c>
      <c r="K1116">
        <f>J1116*(1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1123=TRUE,F1123,0)/100)*(1+(IF(Skills!A5="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1116)</f>
        <v/>
      </c>
      <c r="L1116">
        <f>K1116*(MIN(Inputs!$B$22+((C1133=TRUE)*(F1133-Calc!F22)),(Inputs!$B$23+((C1135=TRUE)*(F1135-Calc!F24))+(IF(ArtifactsInput!$M$15,CHOOSE(ArtifactsInput!$N$15+1,25,30,35,40,45,50)/100*(Inputs!$B$11-Inputs!$B$11),0))))/100+(Inputs!$B$23+((C1135=TRUE)*(F1135-Calc!F24))+(IF(ArtifactsInput!$M$15,CHOOSE(ArtifactsInput!$N$15+1,25,30,35,40,45,50)/100*(Inputs!$B$11-Inputs!$B$11),0)))/100)/2</f>
        <v/>
      </c>
      <c r="M1116">
        <f>L1116*(1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6">
        <f>L1116*(1-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1116*(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6">
        <f>(1-Summary!$B$11)*T1116+Summary!$B$11*V1116</f>
        <v/>
      </c>
      <c r="P1116">
        <f>IF(B1148=0,0,O1116/B1148)</f>
        <v/>
      </c>
      <c r="Q1116">
        <f>IFERROR(1/(IF(Inputs!$B$38="pvp",15,MAX(0.1,Skills!D5-IF(Skills!E5=TRUE,Inputs!$B$32,0)))*(1-IF(AND(ArtifactsInput!$M$27,Inputs!$B$4="Chapter Hunt"),CHOOSE(ArtifactsInput!$N$27+1,20,24,28,32,36,40),0)/100)),0)</f>
        <v/>
      </c>
      <c r="R1116">
        <f>IF(AND(Inputs!$B$38&lt;&gt;"pvp",Inputs!$B$43&gt;0),IF(MAX(0,Inputs!$B$43-B1145)&lt;=0,0,(INT(MAX(0,Inputs!$B$43-B1145)/(IF(Inputs!$B$38="pvp",15,MAX(0.1,Skills!D5-IF(Skills!E5=TRUE,Inputs!$B$32,0)))*(1-IF(AND(ArtifactsInput!$M$27,Inputs!$B$4="Chapter Hunt"),CHOOSE(ArtifactsInput!$N$27+1,20,24,28,32,36,40),0)/100)))+1)),0)</f>
        <v/>
      </c>
      <c r="S1116">
        <f>IFERROR(O1116/N1116,0)</f>
        <v/>
      </c>
      <c r="T1116">
        <f>IF(C1116,(H1116*N1116*IF(AND(Inputs!$B$38&lt;&gt;"pvp",Inputs!$B$43&gt;0),((Skills!G5*((R1116-1)*IF(Skills!H5&gt;0,Skills!I5/Skills!H5,1)+IF(Skills!H5&gt;0,MIN(Skills!I5,MAX(0,MAX(0,Inputs!$B$43-B1145)-((R1116-1)*(IF(Inputs!$B$38="pvp",15,MAX(0.1,Skills!D5-IF(Skills!E5=TRUE,Inputs!$B$32,0)))*(1-IF(AND(ArtifactsInput!$M$27,Inputs!$B$4="Chapter Hunt"),CHOOSE(ArtifactsInput!$N$27+1,20,24,28,32,36,40),0)/100)))))/Skills!H5,1)))/Inputs!$B$43),G1116*Q1116)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1116*(1-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1116*(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1116*(1-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1116*(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6">
        <f>IF(C1116,(H1116*N1116*IF(AND(Inputs!$B$38&lt;&gt;"pvp",Inputs!$B$43&gt;0),((Skills!G5*((R1116-1)*IF(Skills!H5&gt;0,Skills!I5/Skills!H5,1)+IF(Skills!H5&gt;0,MIN(Skills!I5,MAX(0,MAX(0,Inputs!$B$43-B1145)-((R1116-1)*(IF(Inputs!$B$38="pvp",15,MAX(0.1,Skills!D5-IF(Skills!E5=TRUE,Inputs!$B$32,0)))*(1-IF(AND(ArtifactsInput!$M$27,Inputs!$B$4="Chapter Hunt"),CHOOSE(ArtifactsInput!$N$27+1,20,24,28,32,36,40),0)/100)))))/Skills!H5,1)))/Inputs!$B$43),G1116*Q1116))*IF(Inputs!$B$38="pvp",1,(1+(Inputs!$B$21+Skills!Q5+(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7">
      <c r="A1117">
        <f>Skills!A6</f>
        <v/>
      </c>
      <c r="B1117">
        <f>Skills!B6</f>
        <v/>
      </c>
      <c r="C1117">
        <f>Inputs!$B$3&gt;=103</f>
        <v/>
      </c>
      <c r="D1117">
        <f>IF(Skills!C6=1,60+Inputs!$B$25+Inputs!$B$29,IF(Skills!C6=2,90+Inputs!$B$26+Inputs!$B$29,IF(Skills!C6=3,120+Inputs!$B$27+Inputs!$B$29,MAX(0,(Inputs!$B$3-100)*3)+Inputs!$B$28+Inputs!$B$29)))</f>
        <v/>
      </c>
      <c r="E1117">
        <f>INDEX(FactorTable!$B$2:$Y$301, MATCH(ROUND(MIN(300,MAX(1,D1117)),0), FactorTable!$A$2:$A$301,0), Skills!M6+1)</f>
        <v/>
      </c>
      <c r="F1117">
        <f>IF(Skills!N6=TRUE,(Skills!L6/10)*(E1117/1000),Skills!L6/10)+Skills!O6</f>
        <v/>
      </c>
      <c r="G1117">
        <f>Skills!G6*IF(Skills!H6&gt;0,Skills!I6/Skills!H6,1)</f>
        <v/>
      </c>
      <c r="H1117">
        <f>1-(1-Skills!J6/100)^Skills!K6</f>
        <v/>
      </c>
      <c r="I1117" t="inlineStr">
        <is>
          <t>1</t>
        </is>
      </c>
      <c r="J1117">
        <f>((Inputs!$B$6*(1+Inputs!$B$7/100))+(((Inputs!$B$12*(1+Inputs!$B$13/100))-(Inputs!$B$12*(1+Inputs!$B$13/100)))+0.25*(Inputs!$B$14-Inputs!$B$14))*(1+Inputs!$B$7/100))*(F1117/100)</f>
        <v/>
      </c>
      <c r="K1117">
        <f>J1117*(1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1117)</f>
        <v/>
      </c>
      <c r="L1117">
        <f>K1117*(MIN(Inputs!$B$22+((C1133=TRUE)*(F1133-Calc!F22)),(Inputs!$B$23+((C1135=TRUE)*(F1135-Calc!F24))+(IF(ArtifactsInput!$M$15,CHOOSE(ArtifactsInput!$N$15+1,25,30,35,40,45,50)/100*(Inputs!$B$11-Inputs!$B$11),0))))/100+(Inputs!$B$23+((C1135=TRUE)*(F1135-Calc!F24))+(IF(ArtifactsInput!$M$15,CHOOSE(ArtifactsInput!$N$15+1,25,30,35,40,45,50)/100*(Inputs!$B$11-Inputs!$B$11),0)))/100)/2</f>
        <v/>
      </c>
      <c r="M1117">
        <f>L1117*(1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7">
        <f>L1117*(1-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1117*(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7">
        <f>(1-Summary!$B$11)*T1117+Summary!$B$11*V1117</f>
        <v/>
      </c>
      <c r="P1117">
        <f>IF(B1148=0,0,O1117/B1148)</f>
        <v/>
      </c>
      <c r="Q1117">
        <f>IFERROR(1/(IF(Inputs!$B$38="pvp",15,MAX(0.1,Skills!D6-IF(Skills!E6=TRUE,Inputs!$B$32,0)))*(1-IF(AND(ArtifactsInput!$M$27,Inputs!$B$4="Chapter Hunt"),CHOOSE(ArtifactsInput!$N$27+1,20,24,28,32,36,40),0)/100)),0)</f>
        <v/>
      </c>
      <c r="R1117">
        <f>IF(AND(Inputs!$B$38&lt;&gt;"pvp",Inputs!$B$43&gt;0),IF(MAX(0,Inputs!$B$43-B1145)&lt;=0,0,(INT(MAX(0,Inputs!$B$43-B1145)/(IF(Inputs!$B$38="pvp",15,MAX(0.1,Skills!D6-IF(Skills!E6=TRUE,Inputs!$B$32,0)))*(1-IF(AND(ArtifactsInput!$M$27,Inputs!$B$4="Chapter Hunt"),CHOOSE(ArtifactsInput!$N$27+1,20,24,28,32,36,40),0)/100)))+1)),0)</f>
        <v/>
      </c>
      <c r="S1117">
        <f>IFERROR(O1117/N1117,0)</f>
        <v/>
      </c>
      <c r="T1117">
        <f>IF(C1117,(H1117*N1117*IF(AND(Inputs!$B$38&lt;&gt;"pvp",Inputs!$B$43&gt;0),((Skills!G6*((R1117-1)*IF(Skills!H6&gt;0,Skills!I6/Skills!H6,1)+IF(Skills!H6&gt;0,MIN(Skills!I6,MAX(0,MAX(0,Inputs!$B$43-B1145)-((R1117-1)*(IF(Inputs!$B$38="pvp",15,MAX(0.1,Skills!D6-IF(Skills!E6=TRUE,Inputs!$B$32,0)))*(1-IF(AND(ArtifactsInput!$M$27,Inputs!$B$4="Chapter Hunt"),CHOOSE(ArtifactsInput!$N$27+1,20,24,28,32,36,40),0)/100)))))/Skills!H6,1)))/Inputs!$B$43),G1117*Q1117)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1117*(1-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1117*(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1117*(1-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1117*(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7">
        <f>IF(C1117,(H1117*N1117*IF(AND(Inputs!$B$38&lt;&gt;"pvp",Inputs!$B$43&gt;0),((Skills!G6*((R1117-1)*IF(Skills!H6&gt;0,Skills!I6/Skills!H6,1)+IF(Skills!H6&gt;0,MIN(Skills!I6,MAX(0,MAX(0,Inputs!$B$43-B1145)-((R1117-1)*(IF(Inputs!$B$38="pvp",15,MAX(0.1,Skills!D6-IF(Skills!E6=TRUE,Inputs!$B$32,0)))*(1-IF(AND(ArtifactsInput!$M$27,Inputs!$B$4="Chapter Hunt"),CHOOSE(ArtifactsInput!$N$27+1,20,24,28,32,36,40),0)/100)))))/Skills!H6,1)))/Inputs!$B$43),G1117*Q1117))*IF(Inputs!$B$38="pvp",1,(1+(Inputs!$B$21+Skills!Q6+(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8">
      <c r="A1118">
        <f>Skills!A7</f>
        <v/>
      </c>
      <c r="B1118">
        <f>Skills!B7</f>
        <v/>
      </c>
      <c r="C1118">
        <f>Inputs!$B$3&gt;=107</f>
        <v/>
      </c>
      <c r="D1118">
        <f>IF(Skills!C7=1,60+Inputs!$B$25+Inputs!$B$29,IF(Skills!C7=2,90+Inputs!$B$26+Inputs!$B$29,IF(Skills!C7=3,120+Inputs!$B$27+Inputs!$B$29,MAX(0,(Inputs!$B$3-100)*3)+Inputs!$B$28+Inputs!$B$29)))</f>
        <v/>
      </c>
      <c r="E1118">
        <f>INDEX(FactorTable!$B$2:$Y$301, MATCH(ROUND(MIN(300,MAX(1,D1118)),0), FactorTable!$A$2:$A$301,0), Skills!M7+1)</f>
        <v/>
      </c>
      <c r="F1118">
        <f>IF(Skills!N7=TRUE,(Skills!L7/10)*(E1118/1000),Skills!L7/10)+Skills!O7</f>
        <v/>
      </c>
      <c r="G1118">
        <f>Skills!G7*IF(Skills!H7&gt;0,Skills!I7/Skills!H7,1)</f>
        <v/>
      </c>
      <c r="H1118">
        <f>1-(1-Skills!J7/100)^Skills!K7</f>
        <v/>
      </c>
      <c r="I1118" t="inlineStr">
        <is>
          <t>1</t>
        </is>
      </c>
      <c r="J1118">
        <f>((Inputs!$B$6*(1+Inputs!$B$7/100))+(((Inputs!$B$12*(1+Inputs!$B$13/100))-(Inputs!$B$12*(1+Inputs!$B$13/100)))+0.25*(Inputs!$B$14-Inputs!$B$14))*(1+Inputs!$B$7/100))*(F1118/100)</f>
        <v/>
      </c>
      <c r="K1118">
        <f>J1118*(1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1118)</f>
        <v/>
      </c>
      <c r="L1118">
        <f>K1118*(MIN(Inputs!$B$22+((C1133=TRUE)*(F1133-Calc!F22)),(Inputs!$B$23+((C1135=TRUE)*(F1135-Calc!F24))+(IF(ArtifactsInput!$M$15,CHOOSE(ArtifactsInput!$N$15+1,25,30,35,40,45,50)/100*(Inputs!$B$11-Inputs!$B$11),0))))/100+(Inputs!$B$23+((C1135=TRUE)*(F1135-Calc!F24))+(IF(ArtifactsInput!$M$15,CHOOSE(ArtifactsInput!$N$15+1,25,30,35,40,45,50)/100*(Inputs!$B$11-Inputs!$B$11),0)))/100)/2</f>
        <v/>
      </c>
      <c r="M1118">
        <f>L1118*(1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8">
        <f>L1118*(1-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1118*(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8">
        <f>(1-Summary!$B$11)*T1118+Summary!$B$11*V1118</f>
        <v/>
      </c>
      <c r="P1118">
        <f>IF(B1148=0,0,O1118/B1148)</f>
        <v/>
      </c>
      <c r="Q1118">
        <f>IFERROR(1/(IF(Inputs!$B$38="pvp",15,MAX(0.1,Skills!D7-IF(Skills!E7=TRUE,Inputs!$B$32,0)))*(1-IF(AND(ArtifactsInput!$M$27,Inputs!$B$4="Chapter Hunt"),CHOOSE(ArtifactsInput!$N$27+1,20,24,28,32,36,40),0)/100)),0)</f>
        <v/>
      </c>
      <c r="R1118">
        <f>IF(AND(Inputs!$B$38&lt;&gt;"pvp",Inputs!$B$43&gt;0),IF(MAX(0,Inputs!$B$43-B1145)&lt;=0,0,(INT(MAX(0,Inputs!$B$43-B1145)/(IF(Inputs!$B$38="pvp",15,MAX(0.1,Skills!D7-IF(Skills!E7=TRUE,Inputs!$B$32,0)))*(1-IF(AND(ArtifactsInput!$M$27,Inputs!$B$4="Chapter Hunt"),CHOOSE(ArtifactsInput!$N$27+1,20,24,28,32,36,40),0)/100)))+1)),0)</f>
        <v/>
      </c>
      <c r="S1118">
        <f>IFERROR(O1118/N1118,0)</f>
        <v/>
      </c>
      <c r="T1118">
        <f>IF(C1118,(H1118*N1118*IF(AND(Inputs!$B$38&lt;&gt;"pvp",Inputs!$B$43&gt;0),((Skills!G7*((R1118-1)*IF(Skills!H7&gt;0,Skills!I7/Skills!H7,1)+IF(Skills!H7&gt;0,MIN(Skills!I7,MAX(0,MAX(0,Inputs!$B$43-B1145)-((R1118-1)*(IF(Inputs!$B$38="pvp",15,MAX(0.1,Skills!D7-IF(Skills!E7=TRUE,Inputs!$B$32,0)))*(1-IF(AND(ArtifactsInput!$M$27,Inputs!$B$4="Chapter Hunt"),CHOOSE(ArtifactsInput!$N$27+1,20,24,28,32,36,40),0)/100)))))/Skills!H7,1)))/Inputs!$B$43),G1118*Q1118)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1118*(1-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1118*(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1118*(1-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1118*(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8">
        <f>IF(C1118,(H1118*N1118*IF(AND(Inputs!$B$38&lt;&gt;"pvp",Inputs!$B$43&gt;0),((Skills!G7*((R1118-1)*IF(Skills!H7&gt;0,Skills!I7/Skills!H7,1)+IF(Skills!H7&gt;0,MIN(Skills!I7,MAX(0,MAX(0,Inputs!$B$43-B1145)-((R1118-1)*(IF(Inputs!$B$38="pvp",15,MAX(0.1,Skills!D7-IF(Skills!E7=TRUE,Inputs!$B$32,0)))*(1-IF(AND(ArtifactsInput!$M$27,Inputs!$B$4="Chapter Hunt"),CHOOSE(ArtifactsInput!$N$27+1,20,24,28,32,36,40),0)/100)))))/Skills!H7,1)))/Inputs!$B$43),G1118*Q1118))*IF(Inputs!$B$38="pvp",1,(1+(Inputs!$B$21+Skills!Q7+(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9">
      <c r="A1119">
        <f>Skills!A8</f>
        <v/>
      </c>
      <c r="B1119">
        <f>Skills!B8</f>
        <v/>
      </c>
      <c r="C1119">
        <f>Inputs!$B$3&gt;=107</f>
        <v/>
      </c>
      <c r="D1119">
        <f>IF(Skills!C8=1,60+Inputs!$B$25+Inputs!$B$29,IF(Skills!C8=2,90+Inputs!$B$26+Inputs!$B$29,IF(Skills!C8=3,120+Inputs!$B$27+Inputs!$B$29,MAX(0,(Inputs!$B$3-100)*3)+Inputs!$B$28+Inputs!$B$29)))</f>
        <v/>
      </c>
      <c r="E1119">
        <f>INDEX(FactorTable!$B$2:$Y$301, MATCH(ROUND(MIN(300,MAX(1,D1119)),0), FactorTable!$A$2:$A$301,0), Skills!M8+1)</f>
        <v/>
      </c>
      <c r="F1119">
        <f>IF(Skills!N8=TRUE,(Skills!L8/10)*(E1119/1000),Skills!L8/10)+Skills!O8</f>
        <v/>
      </c>
      <c r="G1119">
        <f>Skills!G8*IF(Skills!H8&gt;0,Skills!I8/Skills!H8,1)</f>
        <v/>
      </c>
      <c r="H1119">
        <f>1-(1-Skills!J8/100)^Skills!K8</f>
        <v/>
      </c>
      <c r="I1119" t="inlineStr">
        <is>
          <t>1</t>
        </is>
      </c>
      <c r="J1119">
        <f>((Inputs!$B$6*(1+Inputs!$B$7/100))+(((Inputs!$B$12*(1+Inputs!$B$13/100))-(Inputs!$B$12*(1+Inputs!$B$13/100)))+0.25*(Inputs!$B$14-Inputs!$B$14))*(1+Inputs!$B$7/100))*(F1119/100)</f>
        <v/>
      </c>
      <c r="K1119">
        <f>J1119*(1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1119)</f>
        <v/>
      </c>
      <c r="L1119">
        <f>K1119*(MIN(Inputs!$B$22+((C1133=TRUE)*(F1133-Calc!F22)),(Inputs!$B$23+((C1135=TRUE)*(F1135-Calc!F24))+(IF(ArtifactsInput!$M$15,CHOOSE(ArtifactsInput!$N$15+1,25,30,35,40,45,50)/100*(Inputs!$B$11-Inputs!$B$11),0))))/100+(Inputs!$B$23+((C1135=TRUE)*(F1135-Calc!F24))+(IF(ArtifactsInput!$M$15,CHOOSE(ArtifactsInput!$N$15+1,25,30,35,40,45,50)/100*(Inputs!$B$11-Inputs!$B$11),0)))/100)/2</f>
        <v/>
      </c>
      <c r="M1119">
        <f>L1119*(1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9">
        <f>L1119*(1-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1119*(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9">
        <f>(1-Summary!$B$11)*T1119+Summary!$B$11*V1119</f>
        <v/>
      </c>
      <c r="P1119">
        <f>IF(B1148=0,0,O1119/B1148)</f>
        <v/>
      </c>
      <c r="Q1119">
        <f>IFERROR(1/(IF(Inputs!$B$38="pvp",15,MAX(0.1,Skills!D8-IF(Skills!E8=TRUE,Inputs!$B$32,0)))*(1-IF(AND(ArtifactsInput!$M$27,Inputs!$B$4="Chapter Hunt"),CHOOSE(ArtifactsInput!$N$27+1,20,24,28,32,36,40),0)/100)),0)</f>
        <v/>
      </c>
      <c r="R1119">
        <f>IF(AND(Inputs!$B$38&lt;&gt;"pvp",Inputs!$B$43&gt;0),IF(MAX(0,Inputs!$B$43-B1145)&lt;=0,0,(INT(MAX(0,Inputs!$B$43-B1145)/(IF(Inputs!$B$38="pvp",15,MAX(0.1,Skills!D8-IF(Skills!E8=TRUE,Inputs!$B$32,0)))*(1-IF(AND(ArtifactsInput!$M$27,Inputs!$B$4="Chapter Hunt"),CHOOSE(ArtifactsInput!$N$27+1,20,24,28,32,36,40),0)/100)))+1)),0)</f>
        <v/>
      </c>
      <c r="S1119">
        <f>IFERROR(O1119/N1119,0)</f>
        <v/>
      </c>
      <c r="T1119">
        <f>IF(C1119,(H1119*N1119*IF(AND(Inputs!$B$38&lt;&gt;"pvp",Inputs!$B$43&gt;0),((Skills!G8*((R1119-1)*IF(Skills!H8&gt;0,Skills!I8/Skills!H8,1)+IF(Skills!H8&gt;0,MIN(Skills!I8,MAX(0,MAX(0,Inputs!$B$43-B1145)-((R1119-1)*(IF(Inputs!$B$38="pvp",15,MAX(0.1,Skills!D8-IF(Skills!E8=TRUE,Inputs!$B$32,0)))*(1-IF(AND(ArtifactsInput!$M$27,Inputs!$B$4="Chapter Hunt"),CHOOSE(ArtifactsInput!$N$27+1,20,24,28,32,36,40),0)/100)))))/Skills!H8,1)))/Inputs!$B$43),G1119*Q1119)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1119*(1-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1119*(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1119*(1-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1119*(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9">
        <f>IF(C1119,(H1119*N1119*IF(AND(Inputs!$B$38&lt;&gt;"pvp",Inputs!$B$43&gt;0),((Skills!G8*((R1119-1)*IF(Skills!H8&gt;0,Skills!I8/Skills!H8,1)+IF(Skills!H8&gt;0,MIN(Skills!I8,MAX(0,MAX(0,Inputs!$B$43-B1145)-((R1119-1)*(IF(Inputs!$B$38="pvp",15,MAX(0.1,Skills!D8-IF(Skills!E8=TRUE,Inputs!$B$32,0)))*(1-IF(AND(ArtifactsInput!$M$27,Inputs!$B$4="Chapter Hunt"),CHOOSE(ArtifactsInput!$N$27+1,20,24,28,32,36,40),0)/100)))))/Skills!H8,1)))/Inputs!$B$43),G1119*Q1119))*IF(Inputs!$B$38="pvp",1,(1+(Inputs!$B$21+Skills!Q8+(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0">
      <c r="A1120">
        <f>Skills!A9</f>
        <v/>
      </c>
      <c r="B1120">
        <f>Skills!B9</f>
        <v/>
      </c>
      <c r="C1120">
        <f>Inputs!$B$3&gt;=125</f>
        <v/>
      </c>
      <c r="D1120">
        <f>IF(Skills!C9=1,60+Inputs!$B$25+Inputs!$B$29,IF(Skills!C9=2,90+Inputs!$B$26+Inputs!$B$29,IF(Skills!C9=3,120+Inputs!$B$27+Inputs!$B$29,MAX(0,(Inputs!$B$3-100)*3)+Inputs!$B$28+Inputs!$B$29)))</f>
        <v/>
      </c>
      <c r="E1120">
        <f>INDEX(FactorTable!$B$2:$Y$301, MATCH(ROUND(MIN(300,MAX(1,D1120)),0), FactorTable!$A$2:$A$301,0), Skills!M9+1)</f>
        <v/>
      </c>
      <c r="F1120">
        <f>IF(Skills!N9=TRUE,(Skills!L9/10)*(E1120/1000),Skills!L9/10)+Skills!O9</f>
        <v/>
      </c>
      <c r="G1120">
        <f>Skills!G9*IF(Skills!H9&gt;0,Skills!I9/Skills!H9,1)</f>
        <v/>
      </c>
      <c r="H1120">
        <f>1-(1-Skills!J9/100)^Skills!K9</f>
        <v/>
      </c>
      <c r="I1120" t="inlineStr">
        <is>
          <t>1</t>
        </is>
      </c>
      <c r="J1120">
        <f>((Inputs!$B$6*(1+Inputs!$B$7/100))+(((Inputs!$B$12*(1+Inputs!$B$13/100))-(Inputs!$B$12*(1+Inputs!$B$13/100)))+0.25*(Inputs!$B$14-Inputs!$B$14))*(1+Inputs!$B$7/100))*(F1120/100)</f>
        <v/>
      </c>
      <c r="K1120">
        <f>J1120*(1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1120)</f>
        <v/>
      </c>
      <c r="L1120">
        <f>K1120*(MIN(Inputs!$B$22+((C1133=TRUE)*(F1133-Calc!F22)),(Inputs!$B$23+((C1135=TRUE)*(F1135-Calc!F24))+(IF(ArtifactsInput!$M$15,CHOOSE(ArtifactsInput!$N$15+1,25,30,35,40,45,50)/100*(Inputs!$B$11-Inputs!$B$11),0))))/100+(Inputs!$B$23+((C1135=TRUE)*(F1135-Calc!F24))+(IF(ArtifactsInput!$M$15,CHOOSE(ArtifactsInput!$N$15+1,25,30,35,40,45,50)/100*(Inputs!$B$11-Inputs!$B$11),0)))/100)/2</f>
        <v/>
      </c>
      <c r="M1120">
        <f>L1120*(1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0">
        <f>L1120*(1-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1120*(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0">
        <f>(1-Summary!$B$11)*T1120+Summary!$B$11*V1120</f>
        <v/>
      </c>
      <c r="P1120">
        <f>IF(B1148=0,0,O1120/B1148)</f>
        <v/>
      </c>
      <c r="Q1120">
        <f>IFERROR(1/(IF(Inputs!$B$38="pvp",15,MAX(0.1,Skills!D9-IF(Skills!E9=TRUE,Inputs!$B$32,0)))*(1-IF(AND(ArtifactsInput!$M$27,Inputs!$B$4="Chapter Hunt"),CHOOSE(ArtifactsInput!$N$27+1,20,24,28,32,36,40),0)/100)),0)</f>
        <v/>
      </c>
      <c r="R1120">
        <f>IF(AND(Inputs!$B$38&lt;&gt;"pvp",Inputs!$B$43&gt;0),IF(MAX(0,Inputs!$B$43-B1145)&lt;=0,0,(INT(MAX(0,Inputs!$B$43-B1145)/(IF(Inputs!$B$38="pvp",15,MAX(0.1,Skills!D9-IF(Skills!E9=TRUE,Inputs!$B$32,0)))*(1-IF(AND(ArtifactsInput!$M$27,Inputs!$B$4="Chapter Hunt"),CHOOSE(ArtifactsInput!$N$27+1,20,24,28,32,36,40),0)/100)))+1)),0)</f>
        <v/>
      </c>
      <c r="S1120">
        <f>IFERROR(O1120/N1120,0)</f>
        <v/>
      </c>
      <c r="T1120">
        <f>IF(C1120,(H1120*N1120*IF(AND(Inputs!$B$38&lt;&gt;"pvp",Inputs!$B$43&gt;0),((Skills!G9*((R1120-1)*IF(Skills!H9&gt;0,Skills!I9/Skills!H9,1)+IF(Skills!H9&gt;0,MIN(Skills!I9,MAX(0,MAX(0,Inputs!$B$43-B1145)-((R1120-1)*(IF(Inputs!$B$38="pvp",15,MAX(0.1,Skills!D9-IF(Skills!E9=TRUE,Inputs!$B$32,0)))*(1-IF(AND(ArtifactsInput!$M$27,Inputs!$B$4="Chapter Hunt"),CHOOSE(ArtifactsInput!$N$27+1,20,24,28,32,36,40),0)/100)))))/Skills!H9,1)))/Inputs!$B$43),G1120*Q1120)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1120*(1-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1120*(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1120*(1-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1120*(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0">
        <f>IF(C1120,(H1120*N1120*IF(AND(Inputs!$B$38&lt;&gt;"pvp",Inputs!$B$43&gt;0),((Skills!G9*((R1120-1)*IF(Skills!H9&gt;0,Skills!I9/Skills!H9,1)+IF(Skills!H9&gt;0,MIN(Skills!I9,MAX(0,MAX(0,Inputs!$B$43-B1145)-((R1120-1)*(IF(Inputs!$B$38="pvp",15,MAX(0.1,Skills!D9-IF(Skills!E9=TRUE,Inputs!$B$32,0)))*(1-IF(AND(ArtifactsInput!$M$27,Inputs!$B$4="Chapter Hunt"),CHOOSE(ArtifactsInput!$N$27+1,20,24,28,32,36,40),0)/100)))))/Skills!H9,1)))/Inputs!$B$43),G1120*Q1120))*IF(Inputs!$B$38="pvp",1,(1+(Inputs!$B$21+Skills!Q9+(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1">
      <c r="A1121">
        <f>Skills!A10</f>
        <v/>
      </c>
      <c r="B1121">
        <f>Skills!B10</f>
        <v/>
      </c>
      <c r="C1121">
        <f>Inputs!$B$3&gt;=117</f>
        <v/>
      </c>
      <c r="D1121">
        <f>IF(Skills!C10=1,60+Inputs!$B$25+Inputs!$B$29,IF(Skills!C10=2,90+Inputs!$B$26+Inputs!$B$29,IF(Skills!C10=3,120+Inputs!$B$27+Inputs!$B$29,MAX(0,(Inputs!$B$3-100)*3)+Inputs!$B$28+Inputs!$B$29)))</f>
        <v/>
      </c>
      <c r="E1121">
        <f>INDEX(FactorTable!$B$2:$Y$301, MATCH(ROUND(MIN(300,MAX(1,D1121)),0), FactorTable!$A$2:$A$301,0), Skills!M10+1)</f>
        <v/>
      </c>
      <c r="F1121">
        <f>IF(Skills!N10=TRUE,(Skills!L10/10)*(E1121/1000),Skills!L10/10)+Skills!O10</f>
        <v/>
      </c>
      <c r="G1121">
        <f>Skills!G10*IF(Skills!H10&gt;0,Skills!I10/Skills!H10,1)</f>
        <v/>
      </c>
      <c r="H1121">
        <f>1-(1-Skills!J10/100)^Skills!K10</f>
        <v/>
      </c>
      <c r="I1121" t="inlineStr">
        <is>
          <t>1</t>
        </is>
      </c>
      <c r="J1121">
        <f>((Inputs!$B$6*(1+Inputs!$B$7/100))+(((Inputs!$B$12*(1+Inputs!$B$13/100))-(Inputs!$B$12*(1+Inputs!$B$13/100)))+0.25*(Inputs!$B$14-Inputs!$B$14))*(1+Inputs!$B$7/100))*(F1121/100)</f>
        <v/>
      </c>
      <c r="K1121">
        <f>J1121*(1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1121)</f>
        <v/>
      </c>
      <c r="L1121">
        <f>K1121*(MIN(Inputs!$B$22+((C1133=TRUE)*(F1133-Calc!F22)),(Inputs!$B$23+((C1135=TRUE)*(F1135-Calc!F24))+(IF(ArtifactsInput!$M$15,CHOOSE(ArtifactsInput!$N$15+1,25,30,35,40,45,50)/100*(Inputs!$B$11-Inputs!$B$11),0))))/100+(Inputs!$B$23+((C1135=TRUE)*(F1135-Calc!F24))+(IF(ArtifactsInput!$M$15,CHOOSE(ArtifactsInput!$N$15+1,25,30,35,40,45,50)/100*(Inputs!$B$11-Inputs!$B$11),0)))/100)/2</f>
        <v/>
      </c>
      <c r="M1121">
        <f>L1121*(1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1">
        <f>L1121*(1-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1">
        <f>(1-Summary!$B$11)*T1121+Summary!$B$11*V1121</f>
        <v/>
      </c>
      <c r="P1121">
        <f>IF(B1148=0,0,O1121/B1148)</f>
        <v/>
      </c>
      <c r="Q1121">
        <f>IFERROR(1/(IF(Inputs!$B$38="pvp",15,MAX(0.1,Skills!D10-IF(Skills!E10=TRUE,Inputs!$B$32,0)))*(1-IF(AND(ArtifactsInput!$M$27,Inputs!$B$4="Chapter Hunt"),CHOOSE(ArtifactsInput!$N$27+1,20,24,28,32,36,40),0)/100)),0)</f>
        <v/>
      </c>
      <c r="R1121">
        <f>IF(AND(Inputs!$B$38&lt;&gt;"pvp",Inputs!$B$43&gt;0),IF(MAX(0,Inputs!$B$43-B1145)&lt;=0,0,(INT(MAX(0,Inputs!$B$43-B1145)/(IF(Inputs!$B$38="pvp",15,MAX(0.1,Skills!D10-IF(Skills!E10=TRUE,Inputs!$B$32,0)))*(1-IF(AND(ArtifactsInput!$M$27,Inputs!$B$4="Chapter Hunt"),CHOOSE(ArtifactsInput!$N$27+1,20,24,28,32,36,40),0)/100)))+1)),0)</f>
        <v/>
      </c>
      <c r="S1121">
        <f>IFERROR(O1121/N1121,0)</f>
        <v/>
      </c>
      <c r="T1121">
        <f>IF(C1121,(H1121*N1121*IF(AND(Inputs!$B$38&lt;&gt;"pvp",Inputs!$B$43&gt;0),((Skills!G10*((R1121-1)*IF(Skills!H10&gt;0,Skills!I10/Skills!H10,1)+IF(Skills!H10&gt;0,MIN(Skills!I10,MAX(0,MAX(0,Inputs!$B$43-B1145)-((R1121-1)*(IF(Inputs!$B$38="pvp",15,MAX(0.1,Skills!D10-IF(Skills!E10=TRUE,Inputs!$B$32,0)))*(1-IF(AND(ArtifactsInput!$M$27,Inputs!$B$4="Chapter Hunt"),CHOOSE(ArtifactsInput!$N$27+1,20,24,28,32,36,40),0)/100)))))/Skills!H10,1)))/Inputs!$B$43),G1121*Q1121)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1121*(1-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1121*(1-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1">
        <f>IF(C1121,(H1121*N1121*IF(AND(Inputs!$B$38&lt;&gt;"pvp",Inputs!$B$43&gt;0),((Skills!G10*((R1121-1)*IF(Skills!H10&gt;0,Skills!I10/Skills!H10,1)+IF(Skills!H10&gt;0,MIN(Skills!I10,MAX(0,MAX(0,Inputs!$B$43-B1145)-((R1121-1)*(IF(Inputs!$B$38="pvp",15,MAX(0.1,Skills!D10-IF(Skills!E10=TRUE,Inputs!$B$32,0)))*(1-IF(AND(ArtifactsInput!$M$27,Inputs!$B$4="Chapter Hunt"),CHOOSE(ArtifactsInput!$N$27+1,20,24,28,32,36,40),0)/100)))))/Skills!H10,1)))/Inputs!$B$43),G1121*Q1121))*IF(Inputs!$B$38="pvp",1,(1+(Inputs!$B$21+Skills!Q10+(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2">
      <c r="A1122">
        <f>Skills!A11</f>
        <v/>
      </c>
      <c r="B1122">
        <f>Skills!B11</f>
        <v/>
      </c>
      <c r="C1122">
        <f>Inputs!$B$3&gt;=63</f>
        <v/>
      </c>
      <c r="D1122">
        <f>IF(Skills!C11=1,60+Inputs!$B$25+Inputs!$B$29,IF(Skills!C11=2,90+Inputs!$B$26+Inputs!$B$29,IF(Skills!C11=3,120+Inputs!$B$27+Inputs!$B$29,MAX(0,(Inputs!$B$3-100)*3)+Inputs!$B$28+Inputs!$B$29)))</f>
        <v/>
      </c>
      <c r="E1122">
        <f>INDEX(FactorTable!$B$2:$Y$301, MATCH(ROUND(MIN(300,MAX(1,D1122)),0), FactorTable!$A$2:$A$301,0), Skills!M11+1)</f>
        <v/>
      </c>
      <c r="F1122">
        <f>IF(Skills!N11=TRUE,(Skills!L11/10)*(E1122/1000),Skills!L11/10)+Skills!O11</f>
        <v/>
      </c>
      <c r="G1122">
        <f>Skills!G11*IF(Skills!H11&gt;0,Skills!I11/Skills!H11,1)</f>
        <v/>
      </c>
      <c r="H1122">
        <f>1-(1-Skills!J11/100)^Skills!K11</f>
        <v/>
      </c>
      <c r="I1122" t="inlineStr">
        <is>
          <t>1</t>
        </is>
      </c>
      <c r="J1122">
        <f>((Inputs!$B$6*(1+Inputs!$B$7/100))+(((Inputs!$B$12*(1+Inputs!$B$13/100))-(Inputs!$B$12*(1+Inputs!$B$13/100)))+0.25*(Inputs!$B$14-Inputs!$B$14))*(1+Inputs!$B$7/100))*(F1122/100)</f>
        <v/>
      </c>
      <c r="K1122">
        <f>J1122*(1+((Inputs!$B$12*(1+Inputs!$B$13/100))*0.01+Inputs!$B$14*0.0025)/100)*(1+Inputs!$B$15/100)*(1+Inputs!$B$16/100)*(5000/(6000+Inputs!$B$42*(1-(Inputs!$B$19+0)/100)))*(1+(Inputs!$B$24+0+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1123=TRUE,F1123,0)/100)*(1+(IF(Skills!A11="BLAST",Inputs!$B$17+((C1132=TRUE)*(F1132-Calc!F21))+((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MIN(100,((Inputs!$B$9+0+B1138+(ArtifactsInput!$M$24-ArtifactsInput!$M$24)*CHOOSE(ArtifactsInput!$N$24+1,10,12,14,16,18,20)+IF(ArtifactsInput!$M$10,CHOOSE(ArtifactsInput!$N$10+1,15,18,21,24,27,30)*(IF(Inputs!$B$38="pvp",MIN(15,15)/15,IF(AND(Inputs!$B$38&lt;&gt;"pvp",Inputs!$B$43&gt;0),MIN(15,Inputs!$B$43)/(Inputs!$B$43),0))),0)))-100),0))*CHOOSE(ArtifactsInput!$N$42+1,0.6,0.72,0.84,0.96,1.08,1.2))),Inputs!$B$18+((C1134=TRUE)*(F1134-Calc!F23))+(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gt;=100),CHOOSE(ArtifactsInput!$N$42+1,40,48,56,64,72,80),0))))/100)*((1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1122)</f>
        <v/>
      </c>
      <c r="L1122">
        <f>K1122*(MIN(Inputs!$B$22+((C1133=TRUE)*(F1133-Calc!F22)),(Inputs!$B$23+((C1135=TRUE)*(F1135-Calc!F24))+(IF(ArtifactsInput!$M$15,CHOOSE(ArtifactsInput!$N$15+1,25,30,35,40,45,50)/100*(Inputs!$B$11-Inputs!$B$11),0))))/100+(Inputs!$B$23+((C1135=TRUE)*(F1135-Calc!F24))+(IF(ArtifactsInput!$M$15,CHOOSE(ArtifactsInput!$N$15+1,25,30,35,40,45,50)/100*(Inputs!$B$11-Inputs!$B$11),0)))/100)/2</f>
        <v/>
      </c>
      <c r="M1122">
        <f>L1122*(1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22">
        <f>L1122*(1-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1122*(MIN((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22">
        <f>(1-Summary!$B$11)*T1122+Summary!$B$11*V1122</f>
        <v/>
      </c>
      <c r="P1122">
        <f>IF(B1148=0,0,O1122/B1148)</f>
        <v/>
      </c>
      <c r="Q1122">
        <f>IFERROR(1/(IF(Inputs!$B$38="pvp",15,MAX(0.1,Skills!D11-IF(Skills!E11=TRUE,Inputs!$B$32,0)))*(1-IF(AND(ArtifactsInput!$M$27,Inputs!$B$4="Chapter Hunt"),CHOOSE(ArtifactsInput!$N$27+1,20,24,28,32,36,40),0)/100)),0)</f>
        <v/>
      </c>
      <c r="R1122">
        <f>IF(AND(Inputs!$B$38&lt;&gt;"pvp",Inputs!$B$43&gt;0),IF(MAX(0,Inputs!$B$43-B1145)&lt;=0,0,(INT(MAX(0,Inputs!$B$43-B1145)/(IF(Inputs!$B$38="pvp",15,MAX(0.1,Skills!D11-IF(Skills!E11=TRUE,Inputs!$B$32,0)))*(1-IF(AND(ArtifactsInput!$M$27,Inputs!$B$4="Chapter Hunt"),CHOOSE(ArtifactsInput!$N$27+1,20,24,28,32,36,40),0)/100)))+1)),0)</f>
        <v/>
      </c>
      <c r="S1122">
        <f>IFERROR(O1122/N1122,0)</f>
        <v/>
      </c>
      <c r="T1122">
        <f>IF(C1122,(H1122*N1122*IF(AND(Inputs!$B$38&lt;&gt;"pvp",Inputs!$B$43&gt;0),((Skills!G11*((R1122-1)*IF(Skills!H11&gt;0,Skills!I11/Skills!H11,1)+IF(Skills!H11&gt;0,MIN(Skills!I11,MAX(0,MAX(0,Inputs!$B$43-B1145)-((R1122-1)*(IF(Inputs!$B$38="pvp",15,MAX(0.1,Skills!D11-IF(Skills!E11=TRUE,Inputs!$B$32,0)))*(1-IF(AND(ArtifactsInput!$M$27,Inputs!$B$4="Chapter Hunt"),CHOOSE(ArtifactsInput!$N$27+1,20,24,28,32,36,40),0)/100)))))/Skills!H11,1)))/Inputs!$B$43),G1122*Q1122)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1122*(1-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1122*(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1122*(1-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1122*(MIN(100,(Inputs!$B$9+0+B1138+(ArtifactsInput!$M$24-ArtifactsInput!$M$24)*CHOOSE(ArtifactsInput!$N$24+1,10,12,14,16,18,20)+(IF(AND(Inputs!$B$38&lt;&gt;"pvp",Inputs!$B$43=0),1,IF(IF(Inputs!$B$38="pvp",15,Inputs!$B$43)-(B1145)&lt;=0,1,MAX(0,IF(Inputs!$B$38="pvp",15,Inputs!$B$43)-MAX(5,B1145))/(IF(Inputs!$B$38="pvp",15,Inputs!$B$43)-(B1145))))*IF(AND(ArtifactsInput!$M$42,((Inputs!$B$9+0+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22">
        <f>IF(C1122,(H1122*N1122*IF(AND(Inputs!$B$38&lt;&gt;"pvp",Inputs!$B$43&gt;0),((Skills!G11*((R1122-1)*IF(Skills!H11&gt;0,Skills!I11/Skills!H11,1)+IF(Skills!H11&gt;0,MIN(Skills!I11,MAX(0,MAX(0,Inputs!$B$43-B1145)-((R1122-1)*(IF(Inputs!$B$38="pvp",15,MAX(0.1,Skills!D11-IF(Skills!E11=TRUE,Inputs!$B$32,0)))*(1-IF(AND(ArtifactsInput!$M$27,Inputs!$B$4="Chapter Hunt"),CHOOSE(ArtifactsInput!$N$27+1,20,24,28,32,36,40),0)/100)))))/Skills!H11,1)))/Inputs!$B$43),G1122*Q1122))*IF(Inputs!$B$38="pvp",1,(1+(Inputs!$B$21+Skills!Q11+(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23">
      <c r="A1123">
        <f>Skills!A12</f>
        <v/>
      </c>
      <c r="B1123">
        <f>Skills!B12</f>
        <v/>
      </c>
      <c r="C1123">
        <f>Inputs!$B$3&gt;=100</f>
        <v/>
      </c>
      <c r="D1123">
        <f>IF(Skills!C12=1,60+Inputs!$B$25+Inputs!$B$29,IF(Skills!C12=2,90+Inputs!$B$26+Inputs!$B$29,IF(Skills!C12=3,120+Inputs!$B$27+Inputs!$B$29,MAX(0,(Inputs!$B$3-100)*3)+Inputs!$B$28+Inputs!$B$29)))</f>
        <v/>
      </c>
      <c r="E1123">
        <f>INDEX(FactorTable!$B$2:$Y$301, MATCH(ROUND(MIN(300,MAX(1,D1123)),0), FactorTable!$A$2:$A$301,0), Skills!M12+1)</f>
        <v/>
      </c>
      <c r="F1123">
        <f>IF(Skills!N12=TRUE,(Skills!L12/10)*(E1123/1000),Skills!L12/10)+Skills!O12</f>
        <v/>
      </c>
      <c r="G1123" t="inlineStr"/>
      <c r="H1123" t="inlineStr"/>
      <c r="I1123" t="inlineStr">
        <is>
          <t>1</t>
        </is>
      </c>
      <c r="J1123" t="inlineStr"/>
      <c r="K1123" t="inlineStr"/>
      <c r="L1123" t="inlineStr"/>
      <c r="M1123" t="inlineStr"/>
      <c r="N1123" t="inlineStr"/>
      <c r="O1123" t="inlineStr"/>
      <c r="P1123" t="inlineStr"/>
      <c r="Q1123" t="inlineStr"/>
      <c r="R1123" t="inlineStr"/>
      <c r="S1123" t="inlineStr"/>
    </row>
    <row r="1124">
      <c r="A1124">
        <f>Skills!A13</f>
        <v/>
      </c>
      <c r="B1124">
        <f>Skills!B13</f>
        <v/>
      </c>
      <c r="C1124">
        <f>Inputs!$B$3&gt;=45</f>
        <v/>
      </c>
      <c r="D1124">
        <f>IF(Skills!C13=1,60+Inputs!$B$25+Inputs!$B$29,IF(Skills!C13=2,90+Inputs!$B$26+Inputs!$B$29,IF(Skills!C13=3,120+Inputs!$B$27+Inputs!$B$29,MAX(0,(Inputs!$B$3-100)*3)+Inputs!$B$28+Inputs!$B$29)))</f>
        <v/>
      </c>
      <c r="E1124">
        <f>INDEX(FactorTable!$B$2:$Y$301, MATCH(ROUND(MIN(300,MAX(1,D1124)),0), FactorTable!$A$2:$A$301,0), Skills!M13+1)</f>
        <v/>
      </c>
      <c r="F1124">
        <f>IF(Skills!N13=TRUE,(Skills!L13/10)*(E1124/1000),Skills!L13/10)+Skills!O13</f>
        <v/>
      </c>
      <c r="G1124">
        <f>Skills!G13*IF(Skills!H13&gt;0,Skills!I13/Skills!H13,1)</f>
        <v/>
      </c>
      <c r="H1124">
        <f>1-(1-Skills!J13/100)^Skills!K13</f>
        <v/>
      </c>
      <c r="I1124" t="inlineStr">
        <is>
          <t>1</t>
        </is>
      </c>
      <c r="J1124" t="inlineStr"/>
      <c r="K1124" t="inlineStr"/>
      <c r="L1124" t="inlineStr"/>
      <c r="M1124" t="inlineStr"/>
      <c r="N1124" t="inlineStr"/>
      <c r="O1124">
        <f>(1-Summary!$B$11)*T1124+Summary!$B$11*V1124</f>
        <v/>
      </c>
      <c r="P1124">
        <f>IF(B1148=0,0,O1124/B1148)</f>
        <v/>
      </c>
      <c r="Q1124" t="n">
        <v>0</v>
      </c>
      <c r="R1124" t="n">
        <v>0</v>
      </c>
      <c r="S1124">
        <f>IFERROR(O1124/N1124,0)</f>
        <v/>
      </c>
      <c r="T1124" t="n">
        <v>0</v>
      </c>
      <c r="V1124" t="n">
        <v>0</v>
      </c>
    </row>
    <row r="1125">
      <c r="A1125">
        <f>Skills!A14</f>
        <v/>
      </c>
      <c r="B1125">
        <f>Skills!B14</f>
        <v/>
      </c>
      <c r="C1125">
        <f>Inputs!$B$3&gt;=110</f>
        <v/>
      </c>
      <c r="D1125">
        <f>IF(Skills!C14=1,60+Inputs!$B$25+Inputs!$B$29,IF(Skills!C14=2,90+Inputs!$B$26+Inputs!$B$29,IF(Skills!C14=3,120+Inputs!$B$27+Inputs!$B$29,MAX(0,(Inputs!$B$3-100)*3)+Inputs!$B$28+Inputs!$B$29)))</f>
        <v/>
      </c>
      <c r="E1125">
        <f>INDEX(FactorTable!$B$2:$Y$301, MATCH(ROUND(MIN(300,MAX(1,D1125)),0), FactorTable!$A$2:$A$301,0), Skills!M14+1)</f>
        <v/>
      </c>
      <c r="F1125">
        <f>IF(Skills!N14=TRUE,(Skills!L14/10)*(E1125/1000),Skills!L14/10)+Skills!O14</f>
        <v/>
      </c>
      <c r="G1125">
        <f>Skills!G14*IF(Skills!H14&gt;0,Skills!I14/Skills!H14,1)</f>
        <v/>
      </c>
      <c r="H1125">
        <f>1-(1-Skills!J14/100)^Skills!K14</f>
        <v/>
      </c>
      <c r="I1125" t="inlineStr">
        <is>
          <t>1</t>
        </is>
      </c>
      <c r="J1125" t="inlineStr"/>
      <c r="K1125" t="inlineStr"/>
      <c r="L1125" t="inlineStr"/>
      <c r="M1125" t="inlineStr"/>
      <c r="N1125" t="inlineStr"/>
      <c r="O1125">
        <f>(1-Summary!$B$11)*T1125+Summary!$B$11*V1125</f>
        <v/>
      </c>
      <c r="P1125">
        <f>IF(B1148=0,0,O1125/B1148)</f>
        <v/>
      </c>
      <c r="Q1125" t="n">
        <v>0</v>
      </c>
      <c r="R1125" t="n">
        <v>0</v>
      </c>
      <c r="S1125">
        <f>IFERROR(O1125/N1125,0)</f>
        <v/>
      </c>
      <c r="T1125" t="n">
        <v>0</v>
      </c>
      <c r="V1125" t="n">
        <v>0</v>
      </c>
    </row>
    <row r="1126">
      <c r="A1126">
        <f>Skills!A15</f>
        <v/>
      </c>
      <c r="B1126">
        <f>Skills!B15</f>
        <v/>
      </c>
      <c r="C1126">
        <f>Inputs!$B$3&gt;=75</f>
        <v/>
      </c>
      <c r="D1126">
        <f>IF(Skills!C15=1,60+Inputs!$B$25+Inputs!$B$29,IF(Skills!C15=2,90+Inputs!$B$26+Inputs!$B$29,IF(Skills!C15=3,120+Inputs!$B$27+Inputs!$B$29,MAX(0,(Inputs!$B$3-100)*3)+Inputs!$B$28+Inputs!$B$29)))</f>
        <v/>
      </c>
      <c r="E1126">
        <f>INDEX(FactorTable!$B$2:$Y$301, MATCH(ROUND(MIN(300,MAX(1,D1126)),0), FactorTable!$A$2:$A$301,0), Skills!M15+1)</f>
        <v/>
      </c>
      <c r="F1126">
        <f>IF(Skills!N15=TRUE,(Skills!L15/10)*(E1126/1000),Skills!L15/10)+Skills!O15</f>
        <v/>
      </c>
      <c r="G1126">
        <f>Skills!G15*IF(Skills!H15&gt;0,Skills!I15/Skills!H15,1)</f>
        <v/>
      </c>
      <c r="H1126">
        <f>1-(1-Skills!J15/100)^Skills!K15</f>
        <v/>
      </c>
      <c r="I1126" t="inlineStr">
        <is>
          <t>1</t>
        </is>
      </c>
      <c r="J1126" t="inlineStr"/>
      <c r="K1126" t="inlineStr"/>
      <c r="L1126" t="inlineStr"/>
      <c r="M1126" t="inlineStr"/>
      <c r="N1126" t="inlineStr"/>
      <c r="O1126">
        <f>(1-Summary!$B$11)*T1126+Summary!$B$11*V1126</f>
        <v/>
      </c>
      <c r="P1126">
        <f>IF(B1148=0,0,O1126/B1148)</f>
        <v/>
      </c>
      <c r="Q1126">
        <f>IFERROR(1/(IF(Inputs!$B$38="pvp",15,MAX(0.1,Skills!D15-IF(Skills!E15=TRUE,Inputs!$B$32,0)))*(1-IF(AND(ArtifactsInput!$M$27,Inputs!$B$4="Chapter Hunt"),CHOOSE(ArtifactsInput!$N$27+1,20,24,28,32,36,40),0)/100)),0)</f>
        <v/>
      </c>
      <c r="R1126">
        <f>IF(AND(Inputs!$B$38&lt;&gt;"pvp",Inputs!$B$43&gt;0),IF(Inputs!$B$43&lt;=0,0,(INT(Inputs!$B$43/(IF(Inputs!$B$38="pvp",15,MAX(0.1,Skills!D15-IF(Skills!E15=TRUE,Inputs!$B$32,0)))*(1-IF(AND(ArtifactsInput!$M$27,Inputs!$B$4="Chapter Hunt"),CHOOSE(ArtifactsInput!$N$27+1,20,24,28,32,36,40),0)/100)))+1)),0)</f>
        <v/>
      </c>
      <c r="S1126">
        <f>IFERROR(O1126/N1126,0)</f>
        <v/>
      </c>
      <c r="T1126" t="n">
        <v>0</v>
      </c>
      <c r="V1126" t="n">
        <v>0</v>
      </c>
    </row>
    <row r="1127">
      <c r="A1127">
        <f>Skills!A16</f>
        <v/>
      </c>
      <c r="B1127">
        <f>Skills!B16</f>
        <v/>
      </c>
      <c r="C1127">
        <f>Inputs!$B$3&gt;=105</f>
        <v/>
      </c>
      <c r="D1127">
        <f>IF(Skills!C16=1,60+Inputs!$B$25+Inputs!$B$29,IF(Skills!C16=2,90+Inputs!$B$26+Inputs!$B$29,IF(Skills!C16=3,120+Inputs!$B$27+Inputs!$B$29,MAX(0,(Inputs!$B$3-100)*3)+Inputs!$B$28+Inputs!$B$29)))</f>
        <v/>
      </c>
      <c r="E1127">
        <f>INDEX(FactorTable!$B$2:$Y$301, MATCH(ROUND(MIN(300,MAX(1,D1127)),0), FactorTable!$A$2:$A$301,0), Skills!M16+1)</f>
        <v/>
      </c>
      <c r="F1127">
        <f>IF(Skills!N16=TRUE,(Skills!L16/10)*(E1127/1000),Skills!L16/10)+Skills!O16</f>
        <v/>
      </c>
      <c r="G1127">
        <f>Skills!G16*IF(Skills!H16&gt;0,Skills!I16/Skills!H16,1)</f>
        <v/>
      </c>
      <c r="H1127">
        <f>1-(1-Skills!J16/100)^Skills!K16</f>
        <v/>
      </c>
      <c r="I1127" t="inlineStr">
        <is>
          <t>1</t>
        </is>
      </c>
      <c r="J1127" t="inlineStr"/>
      <c r="K1127" t="inlineStr"/>
      <c r="L1127" t="inlineStr"/>
      <c r="M1127" t="inlineStr"/>
      <c r="N1127" t="inlineStr"/>
      <c r="O1127">
        <f>(1-Summary!$B$11)*T1127+Summary!$B$11*V1127</f>
        <v/>
      </c>
      <c r="P1127">
        <f>IF(B1148=0,0,O1127/B1148)</f>
        <v/>
      </c>
      <c r="Q1127">
        <f>IFERROR(1/(IF(Inputs!$B$38="pvp",15,MAX(0.1,Skills!D16-IF(Skills!E16=TRUE,Inputs!$B$32,0)))*(1-IF(AND(ArtifactsInput!$M$27,Inputs!$B$4="Chapter Hunt"),CHOOSE(ArtifactsInput!$N$27+1,20,24,28,32,36,40),0)/100)),0)</f>
        <v/>
      </c>
      <c r="R1127">
        <f>IF(AND(Inputs!$B$38&lt;&gt;"pvp",Inputs!$B$43&gt;0),IF(Inputs!$B$43&lt;=0,0,(INT(Inputs!$B$43/(IF(Inputs!$B$38="pvp",15,MAX(0.1,Skills!D16-IF(Skills!E16=TRUE,Inputs!$B$32,0)))*(1-IF(AND(ArtifactsInput!$M$27,Inputs!$B$4="Chapter Hunt"),CHOOSE(ArtifactsInput!$N$27+1,20,24,28,32,36,40),0)/100)))+1)),0)</f>
        <v/>
      </c>
      <c r="S1127">
        <f>IFERROR(O1127/N1127,0)</f>
        <v/>
      </c>
      <c r="T1127" t="n">
        <v>0</v>
      </c>
      <c r="V1127" t="n">
        <v>0</v>
      </c>
    </row>
    <row r="1128">
      <c r="A1128">
        <f>Skills!A17</f>
        <v/>
      </c>
      <c r="B1128">
        <f>Skills!B17</f>
        <v/>
      </c>
      <c r="C1128">
        <f>Inputs!$B$3&gt;=115</f>
        <v/>
      </c>
      <c r="D1128">
        <f>IF(Skills!C17=1,60+Inputs!$B$25+Inputs!$B$29,IF(Skills!C17=2,90+Inputs!$B$26+Inputs!$B$29,IF(Skills!C17=3,120+Inputs!$B$27+Inputs!$B$29,MAX(0,(Inputs!$B$3-100)*3)+Inputs!$B$28+Inputs!$B$29)))</f>
        <v/>
      </c>
      <c r="E1128">
        <f>INDEX(FactorTable!$B$2:$Y$301, MATCH(ROUND(MIN(300,MAX(1,D1128)),0), FactorTable!$A$2:$A$301,0), Skills!M17+1)</f>
        <v/>
      </c>
      <c r="F1128">
        <f>IF(Skills!N17=TRUE,(Skills!L17/10)*(E1128/1000),Skills!L17/10)+Skills!O17</f>
        <v/>
      </c>
      <c r="G1128">
        <f>Skills!G17*IF(Skills!H17&gt;0,Skills!I17/Skills!H17,1)</f>
        <v/>
      </c>
      <c r="H1128">
        <f>1-(1-Skills!J17/100)^Skills!K17</f>
        <v/>
      </c>
      <c r="I1128" t="inlineStr">
        <is>
          <t>1</t>
        </is>
      </c>
      <c r="J1128" t="inlineStr"/>
      <c r="K1128" t="inlineStr"/>
      <c r="L1128" t="inlineStr"/>
      <c r="M1128" t="inlineStr"/>
      <c r="N1128" t="inlineStr"/>
      <c r="O1128">
        <f>(1-Summary!$B$11)*T1128+Summary!$B$11*V1128</f>
        <v/>
      </c>
      <c r="P1128">
        <f>IF(B1148=0,0,O1128/B1148)</f>
        <v/>
      </c>
      <c r="Q1128">
        <f>IFERROR(1/(IF(Inputs!$B$38="pvp",15,MAX(0.1,Skills!D17-IF(Skills!E17=TRUE,Inputs!$B$32,0)))*(1-IF(AND(ArtifactsInput!$M$27,Inputs!$B$4="Chapter Hunt"),CHOOSE(ArtifactsInput!$N$27+1,20,24,28,32,36,40),0)/100)),0)</f>
        <v/>
      </c>
      <c r="R1128">
        <f>IF(AND(Inputs!$B$38&lt;&gt;"pvp",Inputs!$B$43&gt;0),IF(Inputs!$B$43&lt;=0,0,(INT(Inputs!$B$43/(IF(Inputs!$B$38="pvp",15,MAX(0.1,Skills!D17-IF(Skills!E17=TRUE,Inputs!$B$32,0)))*(1-IF(AND(ArtifactsInput!$M$27,Inputs!$B$4="Chapter Hunt"),CHOOSE(ArtifactsInput!$N$27+1,20,24,28,32,36,40),0)/100)))+1)),0)</f>
        <v/>
      </c>
      <c r="S1128">
        <f>IFERROR(O1128/N1128,0)</f>
        <v/>
      </c>
      <c r="T1128" t="n">
        <v>0</v>
      </c>
      <c r="V1128" t="n">
        <v>0</v>
      </c>
    </row>
    <row r="1129">
      <c r="A1129">
        <f>Skills!A18</f>
        <v/>
      </c>
      <c r="B1129">
        <f>Skills!B18</f>
        <v/>
      </c>
      <c r="C1129">
        <f>Inputs!$B$3&gt;=74</f>
        <v/>
      </c>
      <c r="D1129">
        <f>IF(Skills!C18=1,60+Inputs!$B$25+Inputs!$B$29,IF(Skills!C18=2,90+Inputs!$B$26+Inputs!$B$29,IF(Skills!C18=3,120+Inputs!$B$27+Inputs!$B$29,MAX(0,(Inputs!$B$3-100)*3)+Inputs!$B$28+Inputs!$B$29)))</f>
        <v/>
      </c>
      <c r="E1129">
        <f>INDEX(FactorTable!$B$2:$Y$301, MATCH(ROUND(MIN(300,MAX(1,D1129)),0), FactorTable!$A$2:$A$301,0), Skills!M18+1)</f>
        <v/>
      </c>
      <c r="F1129">
        <f>IF(Skills!N18=TRUE,(Skills!L18/10)*(E1129/1000),Skills!L18/10)+Skills!O18</f>
        <v/>
      </c>
      <c r="G1129">
        <f>Skills!G18*IF(Skills!H18&gt;0,Skills!I18/Skills!H18,1)</f>
        <v/>
      </c>
      <c r="H1129">
        <f>1-(1-Skills!J18/100)^Skills!K18</f>
        <v/>
      </c>
      <c r="I1129" t="inlineStr">
        <is>
          <t>1</t>
        </is>
      </c>
      <c r="J1129" t="inlineStr"/>
      <c r="K1129" t="inlineStr"/>
      <c r="L1129" t="inlineStr"/>
      <c r="M1129" t="inlineStr"/>
      <c r="N1129" t="inlineStr"/>
      <c r="O1129">
        <f>(1-Summary!$B$11)*T1129+Summary!$B$11*V1129</f>
        <v/>
      </c>
      <c r="P1129">
        <f>IF(B1148=0,0,O1129/B1148)</f>
        <v/>
      </c>
      <c r="Q1129">
        <f>IFERROR(1/(IF(Inputs!$B$38="pvp",15,MAX(0.1,Skills!D18-IF(Skills!E18=TRUE,Inputs!$B$32,0)))*(1-IF(AND(ArtifactsInput!$M$27,Inputs!$B$4="Chapter Hunt"),CHOOSE(ArtifactsInput!$N$27+1,20,24,28,32,36,40),0)/100)),0)</f>
        <v/>
      </c>
      <c r="R1129">
        <f>IF(AND(Inputs!$B$38&lt;&gt;"pvp",Inputs!$B$43&gt;0),IF(Inputs!$B$43&lt;=0,0,(INT(Inputs!$B$43/(IF(Inputs!$B$38="pvp",15,MAX(0.1,Skills!D18-IF(Skills!E18=TRUE,Inputs!$B$32,0)))*(1-IF(AND(ArtifactsInput!$M$27,Inputs!$B$4="Chapter Hunt"),CHOOSE(ArtifactsInput!$N$27+1,20,24,28,32,36,40),0)/100)))+1)),0)</f>
        <v/>
      </c>
      <c r="S1129">
        <f>IFERROR(O1129/N1129,0)</f>
        <v/>
      </c>
      <c r="T1129" t="n">
        <v>0</v>
      </c>
      <c r="V1129" t="n">
        <v>0</v>
      </c>
    </row>
    <row r="1130">
      <c r="A1130">
        <f>Skills!A19</f>
        <v/>
      </c>
      <c r="B1130">
        <f>Skills!B19</f>
        <v/>
      </c>
      <c r="C1130">
        <f>TRUE</f>
        <v/>
      </c>
      <c r="D1130">
        <f>IF(Skills!C19=1,60+Inputs!$B$25+Inputs!$B$29,IF(Skills!C19=2,90+Inputs!$B$26+Inputs!$B$29,IF(Skills!C19=3,120+Inputs!$B$27+Inputs!$B$29,MAX(0,(Inputs!$B$3-100)*3)+Inputs!$B$28+Inputs!$B$29)))</f>
        <v/>
      </c>
      <c r="E1130">
        <f>INDEX(FactorTable!$B$2:$Y$301, MATCH(ROUND(MIN(300,MAX(1,D1130)),0), FactorTable!$A$2:$A$301,0), Skills!M19+1)</f>
        <v/>
      </c>
      <c r="F1130">
        <f>IF(Skills!N19=TRUE,(Skills!L19/10)*(E1130/1000),Skills!L19/10)+Skills!O19</f>
        <v/>
      </c>
      <c r="G1130">
        <f>Skills!G19*IF(Skills!H19&gt;0,Skills!I19/Skills!H19,1)</f>
        <v/>
      </c>
      <c r="H1130">
        <f>1-(1-Skills!J19/100)^Skills!K19</f>
        <v/>
      </c>
      <c r="I1130" t="inlineStr">
        <is>
          <t>1</t>
        </is>
      </c>
      <c r="J1130" t="inlineStr"/>
      <c r="K1130" t="inlineStr"/>
      <c r="L1130" t="inlineStr"/>
      <c r="M1130" t="inlineStr"/>
      <c r="N1130" t="inlineStr"/>
      <c r="O1130">
        <f>(1-Summary!$B$11)*T1130+Summary!$B$11*V1130</f>
        <v/>
      </c>
      <c r="P1130">
        <f>IF(B1148=0,0,O1130/B1148)</f>
        <v/>
      </c>
      <c r="Q1130">
        <f>IFERROR(1/(IF(Inputs!$B$38="pvp",15,MAX(0.1,Skills!D19-IF(Skills!E19=TRUE,Inputs!$B$32,0)))*(1-IF(AND(ArtifactsInput!$M$27,Inputs!$B$4="Chapter Hunt"),CHOOSE(ArtifactsInput!$N$27+1,20,24,28,32,36,40),0)/100)),0)</f>
        <v/>
      </c>
      <c r="R1130">
        <f>IF(AND(Inputs!$B$38&lt;&gt;"pvp",Inputs!$B$43&gt;0),IF(Inputs!$B$43&lt;=0,0,(INT(Inputs!$B$43/(IF(Inputs!$B$38="pvp",15,MAX(0.1,Skills!D19-IF(Skills!E19=TRUE,Inputs!$B$32,0)))*(1-IF(AND(ArtifactsInput!$M$27,Inputs!$B$4="Chapter Hunt"),CHOOSE(ArtifactsInput!$N$27+1,20,24,28,32,36,40),0)/100)))+1)),0)</f>
        <v/>
      </c>
      <c r="S1130">
        <f>IFERROR(O1130/N1130,0)</f>
        <v/>
      </c>
      <c r="T1130" t="n">
        <v>0</v>
      </c>
      <c r="V1130" t="n">
        <v>0</v>
      </c>
    </row>
    <row r="1131">
      <c r="A1131">
        <f>Skills!A20</f>
        <v/>
      </c>
      <c r="B1131">
        <f>Skills!B20</f>
        <v/>
      </c>
      <c r="C1131">
        <f>Inputs!$B$3&gt;=33</f>
        <v/>
      </c>
      <c r="D1131">
        <f>IF(Skills!C20=1,60+Inputs!$B$25+Inputs!$B$29,IF(Skills!C20=2,90+Inputs!$B$26+Inputs!$B$29,IF(Skills!C20=3,120+Inputs!$B$27+Inputs!$B$29,MAX(0,(Inputs!$B$3-100)*3)+Inputs!$B$28+Inputs!$B$29)))</f>
        <v/>
      </c>
      <c r="E1131">
        <f>INDEX(FactorTable!$B$2:$Y$301, MATCH(ROUND(MIN(300,MAX(1,D1131)),0), FactorTable!$A$2:$A$301,0), Skills!M20+1)</f>
        <v/>
      </c>
      <c r="F1131">
        <f>IF(Skills!N20=TRUE,(Skills!L20/10)*(E1131/1000),Skills!L20/10)+Skills!O20</f>
        <v/>
      </c>
      <c r="G1131">
        <f>Skills!G20*IF(Skills!H20&gt;0,Skills!I20/Skills!H20,1)</f>
        <v/>
      </c>
      <c r="H1131">
        <f>1-(1-Skills!J20/100)^Skills!K20</f>
        <v/>
      </c>
      <c r="I1131" t="inlineStr">
        <is>
          <t>1</t>
        </is>
      </c>
      <c r="J1131" t="inlineStr"/>
      <c r="K1131" t="inlineStr"/>
      <c r="L1131" t="inlineStr"/>
      <c r="M1131" t="inlineStr"/>
      <c r="N1131" t="inlineStr"/>
      <c r="O1131">
        <f>(1-Summary!$B$11)*T1131+Summary!$B$11*V1131</f>
        <v/>
      </c>
      <c r="P1131">
        <f>IF(B1148=0,0,O1131/B1148)</f>
        <v/>
      </c>
      <c r="Q1131" t="n">
        <v>0</v>
      </c>
      <c r="R1131" t="n">
        <v>0</v>
      </c>
      <c r="S1131">
        <f>IFERROR(O1131/N1131,0)</f>
        <v/>
      </c>
      <c r="T1131" t="n">
        <v>0</v>
      </c>
      <c r="V1131" t="n">
        <v>0</v>
      </c>
    </row>
    <row r="1132">
      <c r="A1132">
        <f>Skills!A21</f>
        <v/>
      </c>
      <c r="B1132">
        <f>Skills!B21</f>
        <v/>
      </c>
      <c r="C1132">
        <f>Inputs!$B$3&gt;=38</f>
        <v/>
      </c>
      <c r="D1132">
        <f>IF(Skills!C21=1,60+Inputs!$B$25+Inputs!$B$29,IF(Skills!C21=2,90+Inputs!$B$26+Inputs!$B$29,IF(Skills!C21=3,120+Inputs!$B$27+Inputs!$B$29,MAX(0,(Inputs!$B$3-100)*3)+Inputs!$B$28+Inputs!$B$29)))</f>
        <v/>
      </c>
      <c r="E1132">
        <f>INDEX(FactorTable!$B$2:$Y$301, MATCH(ROUND(MIN(300,MAX(1,D1132)),0), FactorTable!$A$2:$A$301,0), Skills!M21+1)</f>
        <v/>
      </c>
      <c r="F1132">
        <f>IF(Skills!N21=TRUE,(Skills!L21/10)*(E1132/1000),Skills!L21/10)+Skills!O21</f>
        <v/>
      </c>
      <c r="G1132">
        <f>Skills!G21*IF(Skills!H21&gt;0,Skills!I21/Skills!H21,1)</f>
        <v/>
      </c>
      <c r="H1132">
        <f>1-(1-Skills!J21/100)^Skills!K21</f>
        <v/>
      </c>
      <c r="I1132" t="inlineStr">
        <is>
          <t>1</t>
        </is>
      </c>
      <c r="J1132" t="inlineStr"/>
      <c r="K1132" t="inlineStr"/>
      <c r="L1132" t="inlineStr"/>
      <c r="M1132" t="inlineStr"/>
      <c r="N1132" t="inlineStr"/>
      <c r="O1132">
        <f>(1-Summary!$B$11)*T1132+Summary!$B$11*V1132</f>
        <v/>
      </c>
      <c r="P1132">
        <f>IF(B1148=0,0,O1132/B1148)</f>
        <v/>
      </c>
      <c r="Q1132" t="n">
        <v>0</v>
      </c>
      <c r="R1132" t="n">
        <v>0</v>
      </c>
      <c r="S1132">
        <f>IFERROR(O1132/N1132,0)</f>
        <v/>
      </c>
      <c r="T1132" t="n">
        <v>0</v>
      </c>
      <c r="V1132" t="n">
        <v>0</v>
      </c>
    </row>
    <row r="1133">
      <c r="A1133">
        <f>Skills!A22</f>
        <v/>
      </c>
      <c r="B1133">
        <f>Skills!B22</f>
        <v/>
      </c>
      <c r="C1133">
        <f>Inputs!$B$3&gt;=43</f>
        <v/>
      </c>
      <c r="D1133">
        <f>IF(Skills!C22=1,60+Inputs!$B$25+Inputs!$B$29,IF(Skills!C22=2,90+Inputs!$B$26+Inputs!$B$29,IF(Skills!C22=3,120+Inputs!$B$27+Inputs!$B$29,MAX(0,(Inputs!$B$3-100)*3)+Inputs!$B$28+Inputs!$B$29)))</f>
        <v/>
      </c>
      <c r="E1133">
        <f>INDEX(FactorTable!$B$2:$Y$301, MATCH(ROUND(MIN(300,MAX(1,D1133)),0), FactorTable!$A$2:$A$301,0), Skills!M22+1)</f>
        <v/>
      </c>
      <c r="F1133">
        <f>IF(Skills!N22=TRUE,(Skills!L22/10)*(E1133/1000),Skills!L22/10)+Skills!O22</f>
        <v/>
      </c>
      <c r="G1133">
        <f>Skills!G22*IF(Skills!H22&gt;0,Skills!I22/Skills!H22,1)</f>
        <v/>
      </c>
      <c r="H1133">
        <f>1-(1-Skills!J22/100)^Skills!K22</f>
        <v/>
      </c>
      <c r="I1133" t="inlineStr">
        <is>
          <t>1</t>
        </is>
      </c>
      <c r="J1133" t="inlineStr"/>
      <c r="K1133" t="inlineStr"/>
      <c r="L1133" t="inlineStr"/>
      <c r="M1133" t="inlineStr"/>
      <c r="N1133" t="inlineStr"/>
      <c r="O1133">
        <f>(1-Summary!$B$11)*T1133+Summary!$B$11*V1133</f>
        <v/>
      </c>
      <c r="P1133">
        <f>IF(B1148=0,0,O1133/B1148)</f>
        <v/>
      </c>
      <c r="Q1133" t="n">
        <v>0</v>
      </c>
      <c r="R1133" t="n">
        <v>0</v>
      </c>
      <c r="S1133">
        <f>IFERROR(O1133/N1133,0)</f>
        <v/>
      </c>
      <c r="T1133" t="n">
        <v>0</v>
      </c>
      <c r="V1133" t="n">
        <v>0</v>
      </c>
    </row>
    <row r="1134">
      <c r="A1134">
        <f>Skills!A23</f>
        <v/>
      </c>
      <c r="B1134">
        <f>Skills!B23</f>
        <v/>
      </c>
      <c r="C1134">
        <f>Inputs!$B$3&gt;=120</f>
        <v/>
      </c>
      <c r="D1134">
        <f>IF(Skills!C23=1,60+Inputs!$B$25+Inputs!$B$29,IF(Skills!C23=2,90+Inputs!$B$26+Inputs!$B$29,IF(Skills!C23=3,120+Inputs!$B$27+Inputs!$B$29,MAX(0,(Inputs!$B$3-100)*3)+Inputs!$B$28+Inputs!$B$29)))</f>
        <v/>
      </c>
      <c r="E1134">
        <f>INDEX(FactorTable!$B$2:$Y$301, MATCH(ROUND(MIN(300,MAX(1,D1134)),0), FactorTable!$A$2:$A$301,0), Skills!M23+1)</f>
        <v/>
      </c>
      <c r="F1134">
        <f>IF(Skills!N23=TRUE,(Skills!L23/10)*(E1134/1000),Skills!L23/10)+Skills!O23</f>
        <v/>
      </c>
      <c r="G1134">
        <f>Skills!G23*IF(Skills!H23&gt;0,Skills!I23/Skills!H23,1)</f>
        <v/>
      </c>
      <c r="H1134">
        <f>1-(1-Skills!J23/100)^Skills!K23</f>
        <v/>
      </c>
      <c r="I1134" t="inlineStr">
        <is>
          <t>1</t>
        </is>
      </c>
      <c r="J1134" t="inlineStr"/>
      <c r="K1134" t="inlineStr"/>
      <c r="L1134" t="inlineStr"/>
      <c r="M1134" t="inlineStr"/>
      <c r="N1134" t="inlineStr"/>
      <c r="O1134">
        <f>(1-Summary!$B$11)*T1134+Summary!$B$11*V1134</f>
        <v/>
      </c>
      <c r="P1134">
        <f>IF(B1148=0,0,O1134/B1148)</f>
        <v/>
      </c>
      <c r="Q1134" t="n">
        <v>0</v>
      </c>
      <c r="R1134" t="n">
        <v>0</v>
      </c>
      <c r="S1134">
        <f>IFERROR(O1134/N1134,0)</f>
        <v/>
      </c>
      <c r="T1134" t="n">
        <v>0</v>
      </c>
      <c r="V1134" t="n">
        <v>0</v>
      </c>
    </row>
    <row r="1135">
      <c r="A1135">
        <f>Skills!A24</f>
        <v/>
      </c>
      <c r="B1135">
        <f>Skills!B24</f>
        <v/>
      </c>
      <c r="C1135">
        <f>Inputs!$B$3&gt;=120</f>
        <v/>
      </c>
      <c r="D1135">
        <f>IF(Skills!C24=1,60+Inputs!$B$25+Inputs!$B$29,IF(Skills!C24=2,90+Inputs!$B$26+Inputs!$B$29,IF(Skills!C24=3,120+Inputs!$B$27+Inputs!$B$29,MAX(0,(Inputs!$B$3-100)*3)+Inputs!$B$28+Inputs!$B$29)))</f>
        <v/>
      </c>
      <c r="E1135">
        <f>INDEX(FactorTable!$B$2:$Y$301, MATCH(ROUND(MIN(300,MAX(1,D1135)),0), FactorTable!$A$2:$A$301,0), Skills!M24+1)</f>
        <v/>
      </c>
      <c r="F1135">
        <f>IF(Skills!N24=TRUE,(Skills!L24/10)*(E1135/1000),Skills!L24/10)+Skills!O24</f>
        <v/>
      </c>
      <c r="G1135">
        <f>Skills!G24*IF(Skills!H24&gt;0,Skills!I24/Skills!H24,1)</f>
        <v/>
      </c>
      <c r="H1135">
        <f>1-(1-Skills!J24/100)^Skills!K24</f>
        <v/>
      </c>
      <c r="I1135" t="inlineStr">
        <is>
          <t>1</t>
        </is>
      </c>
      <c r="J1135" t="inlineStr"/>
      <c r="K1135" t="inlineStr"/>
      <c r="L1135" t="inlineStr"/>
      <c r="M1135" t="inlineStr"/>
      <c r="N1135" t="inlineStr"/>
      <c r="O1135">
        <f>(1-Summary!$B$11)*T1135+Summary!$B$11*V1135</f>
        <v/>
      </c>
      <c r="P1135">
        <f>IF(B1148=0,0,O1135/B1148)</f>
        <v/>
      </c>
      <c r="Q1135" t="n">
        <v>0</v>
      </c>
      <c r="R1135" t="n">
        <v>0</v>
      </c>
      <c r="S1135">
        <f>IFERROR(O1135/N1135,0)</f>
        <v/>
      </c>
      <c r="T1135" t="n">
        <v>0</v>
      </c>
      <c r="V1135" t="n">
        <v>0</v>
      </c>
    </row>
    <row r="1137">
      <c r="A1137" t="inlineStr">
        <is>
          <t>Attack% Bucket Multiplier</t>
        </is>
      </c>
      <c r="B1137">
        <f>(1+(((C1124=TRUE)*F1124*MIN(1,Skills!T13*(Skills!J13/100)*B1142))+((C1129=TRUE)*F1129*IF(AND(Inputs!$B$38&lt;&gt;"pvp",Inputs!$B$43&gt;0),(((R1129-1)*(Skills!T18*(1+Inputs!$B$34/100))+MIN((Skills!T18*(1+Inputs!$B$34/100)),MAX(0,Inputs!$B$43-((R1129-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138">
      <c r="A1138" t="inlineStr">
        <is>
          <t>Global Crit Rate Bonus %</t>
        </is>
      </c>
      <c r="B1138" t="n">
        <v>0</v>
      </c>
    </row>
    <row r="1139">
      <c r="A1139" t="inlineStr">
        <is>
          <t>Attack Speed Buff Bonus %</t>
        </is>
      </c>
      <c r="B1139">
        <f>((C1130=TRUE)*F1130*IF(AND(Inputs!$B$38&lt;&gt;"pvp",Inputs!$B$43&gt;0),(((R1130-1)*(Skills!T19*(1+Inputs!$B$34/100))+MIN((Skills!T19*(1+Inputs!$B$34/100)),MAX(0,Inputs!$B$43-((R1130-1)*Skills!D19))))/Inputs!$B$43),IF(Inputs!$B$38="pvp",MIN((Skills!T19*(1+Inputs!$B$34/100)),15)/15,(Skills!T19*(1+Inputs!$B$34/100))/Skills!D19)))</f>
        <v/>
      </c>
    </row>
    <row r="1140">
      <c r="A1140" t="inlineStr">
        <is>
          <t>Actions Per Second</t>
        </is>
      </c>
      <c r="B1140">
        <f>1+MIN(150,150*(1-(1-(Inputs!$B$11+((C1131=TRUE)*(F1131-Calc!F20)))/150)*(1-B1139/150)))/100</f>
        <v/>
      </c>
    </row>
    <row r="1141">
      <c r="A1141" t="inlineStr">
        <is>
          <t>Skill + Buff Cast Rate</t>
        </is>
      </c>
      <c r="B1141">
        <f>IF(AND(Inputs!$B$38&lt;&gt;"pvp",Inputs!$B$43&gt;0),SUMPRODUCT((Skills!E2:E24=TRUE)*(C1113:C1135=TRUE)*R1113:R1135*Skills!F2:F24)/Inputs!$B$43,SUMPRODUCT((Skills!E2:E24=TRUE)*(C1113:C1135=TRUE)*Q1113:Q1135*Skills!F2:F24))</f>
        <v/>
      </c>
    </row>
    <row r="1142">
      <c r="A1142" t="inlineStr">
        <is>
          <t>Blast Casts Per Second</t>
        </is>
      </c>
      <c r="B1142">
        <f>MAX(0,B1140-B1141)</f>
        <v/>
      </c>
    </row>
    <row r="1143">
      <c r="A1143" t="inlineStr">
        <is>
          <t>Global Critical Damage Bonus % (unused)</t>
        </is>
      </c>
      <c r="B1143" t="n">
        <v>0</v>
      </c>
    </row>
    <row r="1144">
      <c r="A1144" t="inlineStr">
        <is>
          <t>Global Final Damage Bonus % (Divine Shield + Guardian + Divine Blessing + Greater Vessel of Light)</t>
        </is>
      </c>
      <c r="B1144">
        <f>((C1126=TRUE)*F1126*IF(AND(Inputs!$B$38&lt;&gt;"pvp",Inputs!$B$43&gt;0),(((R1126-1)*(Skills!T15*(1+Inputs!$B$34/100))+MIN((Skills!T15*(1+Inputs!$B$34/100)),MAX(0,Inputs!$B$43-((R1126-1)*Skills!D15))))/Inputs!$B$43),IF(Inputs!$B$38="pvp",MIN((Skills!T15*(1+Inputs!$B$34/100)),15)/15,(Skills!T15*(1+Inputs!$B$34/100))/Skills!D15)))+((C1127=TRUE)*F1127*IF(AND(Inputs!$B$38&lt;&gt;"pvp",Inputs!$B$43&gt;0),(((R1127-1)*(Skills!T16*(1+Inputs!$B$34/100))+MIN((Skills!T16*(1+Inputs!$B$34/100)),MAX(0,Inputs!$B$43-((R1127-1)*Skills!D16))))/Inputs!$B$43),IF(Inputs!$B$38="pvp",MIN((Skills!T16*(1+Inputs!$B$34/100)),15)/15,(Skills!T16*(1+Inputs!$B$34/100))/Skills!D16)))+((C1128=TRUE)*F1128*IF(AND(Inputs!$B$38&lt;&gt;"pvp",Inputs!$B$43&gt;0),(((R1128-1)*(Skills!T17*(1+Inputs!$B$34/100))+MIN((Skills!T17*(1+Inputs!$B$34/100)),MAX(0,Inputs!$B$43-((R1128-1)*Skills!D17))))/Inputs!$B$43),IF(Inputs!$B$38="pvp",MIN((Skills!T17*(1+Inputs!$B$34/100)),15)/15,(Skills!T17*(1+Inputs!$B$34/100))/Skills!D17)))+((C1125=TRUE)*F1125*MIN(1,Skills!T13*(Skills!J13/100)*B1142))</f>
        <v/>
      </c>
    </row>
    <row r="1145">
      <c r="A1145" t="inlineStr">
        <is>
          <t>Buff-Casting Startup Delay (s, fixed-duration only)</t>
        </is>
      </c>
      <c r="B1145">
        <f>IF(AND(Inputs!$B$38&lt;&gt;"pvp",Inputs!$B$43&gt;0),SUMPRODUCT((Skills!T2:T24&gt;0)*(Skills!E2:E24=TRUE)*(C1113:C1135=TRUE))/B1140,0)</f>
        <v/>
      </c>
    </row>
    <row r="1146">
      <c r="A1146" t="inlineStr">
        <is>
          <t>Boss-Only Total DPS (this block's swept value)</t>
        </is>
      </c>
      <c r="B1146">
        <f>SUM(T1113:T1135)</f>
        <v/>
      </c>
    </row>
    <row r="1147">
      <c r="A1147" t="inlineStr">
        <is>
          <t>Normal-Only Total DPS (this block's swept value)</t>
        </is>
      </c>
      <c r="B1147">
        <f>SUM(V1113:V1135)</f>
        <v/>
      </c>
    </row>
    <row r="1148">
      <c r="A1148" s="6" t="inlineStr">
        <is>
          <t>TOTAL DPS</t>
        </is>
      </c>
      <c r="B1148" s="6">
        <f>SUM(O1113:O1135)</f>
        <v/>
      </c>
    </row>
    <row r="1151">
      <c r="A1151" s="6" t="inlineStr">
        <is>
          <t>Stat: Pig's Ribbon (Equip)</t>
        </is>
      </c>
    </row>
    <row r="1152">
      <c r="A1152" s="5" t="inlineStr">
        <is>
          <t>Key</t>
        </is>
      </c>
      <c r="B1152" s="5" t="inlineStr">
        <is>
          <t>Name</t>
        </is>
      </c>
      <c r="C1152" s="5" t="inlineStr">
        <is>
          <t>Unlocked</t>
        </is>
      </c>
      <c r="D1152" s="5" t="inlineStr">
        <is>
          <t>InputLevel</t>
        </is>
      </c>
      <c r="E1152" s="5" t="inlineStr">
        <is>
          <t>Factor</t>
        </is>
      </c>
      <c r="F1152" s="5" t="inlineStr">
        <is>
          <t>CoefficientPercent</t>
        </is>
      </c>
      <c r="G1152" s="5" t="inlineStr">
        <is>
          <t>EffectiveHits</t>
        </is>
      </c>
      <c r="H1152" s="5" t="inlineStr">
        <is>
          <t>ProcProbability</t>
        </is>
      </c>
      <c r="I1152" s="5" t="inlineStr">
        <is>
          <t>MapleHeroMultiplier</t>
        </is>
      </c>
      <c r="J1152" s="5" t="inlineStr">
        <is>
          <t>BaseDamage</t>
        </is>
      </c>
      <c r="K1152" s="5" t="inlineStr">
        <is>
          <t>BaseHitDamage</t>
        </is>
      </c>
      <c r="L1152" s="5" t="inlineStr">
        <is>
          <t>NonCritAvg</t>
        </is>
      </c>
      <c r="M1152" s="5" t="inlineStr">
        <is>
          <t>CritAvg</t>
        </is>
      </c>
      <c r="N1152" s="5" t="inlineStr">
        <is>
          <t>ExpectedDamage(perHit)</t>
        </is>
      </c>
      <c r="O1152" s="5" t="inlineStr">
        <is>
          <t>DPS</t>
        </is>
      </c>
      <c r="P1152" s="5" t="inlineStr">
        <is>
          <t>% of Total</t>
        </is>
      </c>
      <c r="Q1152" s="5" t="inlineStr">
        <is>
          <t>InvCooldown</t>
        </is>
      </c>
      <c r="R1152" s="5" t="inlineStr">
        <is>
          <t>CastsInFight</t>
        </is>
      </c>
      <c r="S1152" s="5" t="inlineStr">
        <is>
          <t>HitRate(perSec)</t>
        </is>
      </c>
      <c r="U1152" t="inlineStr">
        <is>
          <t>helpers</t>
        </is>
      </c>
    </row>
    <row r="1153">
      <c r="A1153">
        <f>Skills!A2</f>
        <v/>
      </c>
      <c r="B1153">
        <f>Skills!B2</f>
        <v/>
      </c>
      <c r="C1153">
        <f>Inputs!$B$3&gt;=100</f>
        <v/>
      </c>
      <c r="D1153" t="inlineStr"/>
      <c r="E1153" t="inlineStr"/>
      <c r="F1153">
        <f>U1155+Skills!O2</f>
        <v/>
      </c>
      <c r="G1153">
        <f>Skills!G2*IF(Skills!H2&gt;0,Skills!I2/Skills!H2,1)</f>
        <v/>
      </c>
      <c r="H1153">
        <f>1-(1-Skills!J2/100)^Skills!K2</f>
        <v/>
      </c>
      <c r="I1153" t="inlineStr">
        <is>
          <t>1</t>
        </is>
      </c>
      <c r="J1153">
        <f>((Inputs!$B$6*(1+Inputs!$B$7/100))+(((Inputs!$B$12*(1+Inputs!$B$13/100))-(Inputs!$B$12*(1+Inputs!$B$13/100)))+0.25*(Inputs!$B$14-Inputs!$B$14))*(1+Inputs!$B$7/100))*(F1153/100)</f>
        <v/>
      </c>
      <c r="K1153">
        <f>J1153*(1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1153)</f>
        <v/>
      </c>
      <c r="L1153">
        <f>K1153*(MIN(Inputs!$B$22+((C1173=TRUE)*(F1173-Calc!F22)),(Inputs!$B$23+((C1175=TRUE)*(F1175-Calc!F24))+(IF(ArtifactsInput!$M$15,CHOOSE(ArtifactsInput!$N$15+1,25,30,35,40,45,50)/100*(Inputs!$B$11-Inputs!$B$11),0))))/100+(Inputs!$B$23+((C1175=TRUE)*(F1175-Calc!F24))+(IF(ArtifactsInput!$M$15,CHOOSE(ArtifactsInput!$N$15+1,25,30,35,40,45,50)/100*(Inputs!$B$11-Inputs!$B$11),0)))/100)/2</f>
        <v/>
      </c>
      <c r="M1153">
        <f>L1153*(1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3">
        <f>L1153*(1-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1153*(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3">
        <f>(1-Summary!$B$11)*T1153+Summary!$B$11*V1153</f>
        <v/>
      </c>
      <c r="P1153">
        <f>IF(B1188=0,0,O1153/B1188)</f>
        <v/>
      </c>
      <c r="Q1153" t="n">
        <v>0</v>
      </c>
      <c r="R1153" t="n">
        <v>0</v>
      </c>
      <c r="S1153">
        <f>IFERROR(O1153/N1153,0)</f>
        <v/>
      </c>
      <c r="T1153">
        <f>IF(C1153,(Skills!G2*N1153*B1182)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1153*(1-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1153*(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1153*(1-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1153*(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3">
        <f>MAX(0,(Inputs!$B$3-100)*3)+Inputs!$B$28+Inputs!$B$29</f>
        <v/>
      </c>
      <c r="V1153">
        <f>IF(C1153,(Skills!G2*N1153*B1182)*IF(Inputs!$B$38="pvp",1,(1+(Inputs!$B$21+Skills!Q2+(IF(ArtifactsInput!$M$33,CHOOSE(ArtifactsInput!$N$33+1,30,36,42,48,54,60),0))+(IF(AND(ArtifactsInput!$M$35,Inputs!$B$4&lt;&gt;"Chapter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4">
      <c r="A1154">
        <f>Skills!A3</f>
        <v/>
      </c>
      <c r="B1154">
        <f>Skills!B3</f>
        <v/>
      </c>
      <c r="C1154">
        <f>Inputs!$B$3&gt;=50</f>
        <v/>
      </c>
      <c r="D1154">
        <f>IF(Skills!C3=1,60+Inputs!$B$25+Inputs!$B$29,IF(Skills!C3=2,90+Inputs!$B$26+Inputs!$B$29,IF(Skills!C3=3,120+Inputs!$B$27+Inputs!$B$29,MAX(0,(Inputs!$B$3-100)*3)+Inputs!$B$28+Inputs!$B$29)))</f>
        <v/>
      </c>
      <c r="E1154">
        <f>INDEX(FactorTable!$B$2:$Y$301, MATCH(ROUND(MIN(300,MAX(1,D1154)),0), FactorTable!$A$2:$A$301,0), Skills!M3+1)</f>
        <v/>
      </c>
      <c r="F1154">
        <f>IF(Skills!N3=TRUE,(Skills!L3/10)*(E1154/1000),Skills!L3/10)+Skills!O3</f>
        <v/>
      </c>
      <c r="G1154" t="inlineStr"/>
      <c r="H1154" t="inlineStr"/>
      <c r="I1154" t="inlineStr">
        <is>
          <t>1</t>
        </is>
      </c>
      <c r="J1154" t="inlineStr"/>
      <c r="K1154" t="inlineStr"/>
      <c r="L1154" t="inlineStr"/>
      <c r="M1154" t="inlineStr"/>
      <c r="N1154" t="inlineStr"/>
      <c r="O1154" t="inlineStr"/>
      <c r="P1154" t="inlineStr"/>
      <c r="Q1154" t="inlineStr"/>
      <c r="R1154" t="inlineStr"/>
      <c r="S1154" t="inlineStr"/>
      <c r="U1154">
        <f>INDEX(FactorTable!$B$2:$Y$301, MATCH(ROUND(MIN(300,MAX(1,U1153)),0), FactorTable!$A$2:$A$301,0), 22)</f>
        <v/>
      </c>
    </row>
    <row r="1155">
      <c r="A1155">
        <f>Skills!A4</f>
        <v/>
      </c>
      <c r="B1155">
        <f>Skills!B4</f>
        <v/>
      </c>
      <c r="C1155">
        <f>Inputs!$B$3&gt;=35</f>
        <v/>
      </c>
      <c r="D1155">
        <f>IF(Skills!C4=1,60+Inputs!$B$25+Inputs!$B$29,IF(Skills!C4=2,90+Inputs!$B$26+Inputs!$B$29,IF(Skills!C4=3,120+Inputs!$B$27+Inputs!$B$29,MAX(0,(Inputs!$B$3-100)*3)+Inputs!$B$28+Inputs!$B$29)))</f>
        <v/>
      </c>
      <c r="E1155">
        <f>INDEX(FactorTable!$B$2:$Y$301, MATCH(ROUND(MIN(300,MAX(1,D1155)),0), FactorTable!$A$2:$A$301,0), Skills!M4+1)</f>
        <v/>
      </c>
      <c r="F1155">
        <f>IF(Skills!N4=TRUE,(Skills!L4/10)*(E1155/1000),Skills!L4/10)+Skills!O4</f>
        <v/>
      </c>
      <c r="G1155">
        <f>Skills!G4*IF(Skills!H4&gt;0,Skills!I4/Skills!H4,1)</f>
        <v/>
      </c>
      <c r="H1155">
        <f>1-(1-Skills!J4/100)^Skills!K4</f>
        <v/>
      </c>
      <c r="I1155" t="inlineStr">
        <is>
          <t>1</t>
        </is>
      </c>
      <c r="J1155">
        <f>((Inputs!$B$6*(1+Inputs!$B$7/100))+(((Inputs!$B$12*(1+Inputs!$B$13/100))-(Inputs!$B$12*(1+Inputs!$B$13/100)))+0.25*(Inputs!$B$14-Inputs!$B$14))*(1+Inputs!$B$7/100))*(F1155/100)</f>
        <v/>
      </c>
      <c r="K1155">
        <f>J1155*(1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1163=TRUE,F1163,0)/100)*(1+(IF(Skills!A4="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1155)</f>
        <v/>
      </c>
      <c r="L1155">
        <f>K1155*(MIN(Inputs!$B$22+((C1173=TRUE)*(F1173-Calc!F22)),(Inputs!$B$23+((C1175=TRUE)*(F1175-Calc!F24))+(IF(ArtifactsInput!$M$15,CHOOSE(ArtifactsInput!$N$15+1,25,30,35,40,45,50)/100*(Inputs!$B$11-Inputs!$B$11),0))))/100+(Inputs!$B$23+((C1175=TRUE)*(F1175-Calc!F24))+(IF(ArtifactsInput!$M$15,CHOOSE(ArtifactsInput!$N$15+1,25,30,35,40,45,50)/100*(Inputs!$B$11-Inputs!$B$11),0)))/100)/2</f>
        <v/>
      </c>
      <c r="M1155">
        <f>L1155*(1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5">
        <f>L1155*(1-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1155*(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5">
        <f>(1-Summary!$B$11)*T1155+Summary!$B$11*V1155</f>
        <v/>
      </c>
      <c r="P1155">
        <f>IF(B1188=0,0,O1155/B1188)</f>
        <v/>
      </c>
      <c r="Q1155">
        <f>IFERROR(1/(IF(Inputs!$B$38="pvp",15,MAX(0.1,Skills!D4-IF(Skills!E4=TRUE,Inputs!$B$32,0)))*(1-IF(AND(ArtifactsInput!$M$27,Inputs!$B$4="Chapter Hunt"),CHOOSE(ArtifactsInput!$N$27+1,20,24,28,32,36,40),0)/100)),0)</f>
        <v/>
      </c>
      <c r="R1155">
        <f>IF(AND(Inputs!$B$38&lt;&gt;"pvp",Inputs!$B$43&gt;0),IF(MAX(0,Inputs!$B$43-B1185)&lt;=0,0,(INT(MAX(0,Inputs!$B$43-B1185)/(IF(Inputs!$B$38="pvp",15,MAX(0.1,Skills!D4-IF(Skills!E4=TRUE,Inputs!$B$32,0)))*(1-IF(AND(ArtifactsInput!$M$27,Inputs!$B$4="Chapter Hunt"),CHOOSE(ArtifactsInput!$N$27+1,20,24,28,32,36,40),0)/100)))+1)),0)</f>
        <v/>
      </c>
      <c r="S1155">
        <f>IFERROR(O1155/N1155,0)</f>
        <v/>
      </c>
      <c r="T1155">
        <f>IF(C1155,(H1155*N1155*IF(AND(Inputs!$B$38&lt;&gt;"pvp",Inputs!$B$43&gt;0),((Skills!G4*((R1155-1)*IF(Skills!H4&gt;0,Skills!I4/Skills!H4,1)+IF(Skills!H4&gt;0,MIN(Skills!I4,MAX(0,MAX(0,Inputs!$B$43-B1185)-((R1155-1)*(IF(Inputs!$B$38="pvp",15,MAX(0.1,Skills!D4-IF(Skills!E4=TRUE,Inputs!$B$32,0)))*(1-IF(AND(ArtifactsInput!$M$27,Inputs!$B$4="Chapter Hunt"),CHOOSE(ArtifactsInput!$N$27+1,20,24,28,32,36,40),0)/100)))))/Skills!H4,1)))/Inputs!$B$43),G1155*Q1155)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1155*(1-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1155*(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1155*(1-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1155*(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5">
        <f>290*U1154/1000</f>
        <v/>
      </c>
      <c r="V1155">
        <f>IF(C1155,(H1155*N1155*IF(AND(Inputs!$B$38&lt;&gt;"pvp",Inputs!$B$43&gt;0),((Skills!G4*((R1155-1)*IF(Skills!H4&gt;0,Skills!I4/Skills!H4,1)+IF(Skills!H4&gt;0,MIN(Skills!I4,MAX(0,MAX(0,Inputs!$B$43-B1185)-((R1155-1)*(IF(Inputs!$B$38="pvp",15,MAX(0.1,Skills!D4-IF(Skills!E4=TRUE,Inputs!$B$32,0)))*(1-IF(AND(ArtifactsInput!$M$27,Inputs!$B$4="Chapter Hunt"),CHOOSE(ArtifactsInput!$N$27+1,20,24,28,32,36,40),0)/100)))))/Skills!H4,1)))/Inputs!$B$43),G1155*Q1155))*IF(Inputs!$B$38="pvp",1,(1+(Inputs!$B$21+Skills!Q4+(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6">
      <c r="A1156">
        <f>Skills!A5</f>
        <v/>
      </c>
      <c r="B1156">
        <f>Skills!B5</f>
        <v/>
      </c>
      <c r="C1156">
        <f>Inputs!$B$3&gt;=66</f>
        <v/>
      </c>
      <c r="D1156">
        <f>IF(Skills!C5=1,60+Inputs!$B$25+Inputs!$B$29,IF(Skills!C5=2,90+Inputs!$B$26+Inputs!$B$29,IF(Skills!C5=3,120+Inputs!$B$27+Inputs!$B$29,MAX(0,(Inputs!$B$3-100)*3)+Inputs!$B$28+Inputs!$B$29)))</f>
        <v/>
      </c>
      <c r="E1156">
        <f>INDEX(FactorTable!$B$2:$Y$301, MATCH(ROUND(MIN(300,MAX(1,D1156)),0), FactorTable!$A$2:$A$301,0), Skills!M5+1)</f>
        <v/>
      </c>
      <c r="F1156">
        <f>IF(Skills!N5=TRUE,(Skills!L5/10)*(E1156/1000),Skills!L5/10)+Skills!O5</f>
        <v/>
      </c>
      <c r="G1156">
        <f>Skills!G5*IF(Skills!H5&gt;0,Skills!I5/Skills!H5,1)</f>
        <v/>
      </c>
      <c r="H1156">
        <f>1-(1-Skills!J5/100)^Skills!K5</f>
        <v/>
      </c>
      <c r="I1156" t="inlineStr">
        <is>
          <t>1</t>
        </is>
      </c>
      <c r="J1156">
        <f>((Inputs!$B$6*(1+Inputs!$B$7/100))+(((Inputs!$B$12*(1+Inputs!$B$13/100))-(Inputs!$B$12*(1+Inputs!$B$13/100)))+0.25*(Inputs!$B$14-Inputs!$B$14))*(1+Inputs!$B$7/100))*(F1156/100)</f>
        <v/>
      </c>
      <c r="K1156">
        <f>J1156*(1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1163=TRUE,F1163,0)/100)*(1+(IF(Skills!A5="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1156)</f>
        <v/>
      </c>
      <c r="L1156">
        <f>K1156*(MIN(Inputs!$B$22+((C1173=TRUE)*(F1173-Calc!F22)),(Inputs!$B$23+((C1175=TRUE)*(F1175-Calc!F24))+(IF(ArtifactsInput!$M$15,CHOOSE(ArtifactsInput!$N$15+1,25,30,35,40,45,50)/100*(Inputs!$B$11-Inputs!$B$11),0))))/100+(Inputs!$B$23+((C1175=TRUE)*(F1175-Calc!F24))+(IF(ArtifactsInput!$M$15,CHOOSE(ArtifactsInput!$N$15+1,25,30,35,40,45,50)/100*(Inputs!$B$11-Inputs!$B$11),0)))/100)/2</f>
        <v/>
      </c>
      <c r="M1156">
        <f>L1156*(1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6">
        <f>L1156*(1-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1156*(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6">
        <f>(1-Summary!$B$11)*T1156+Summary!$B$11*V1156</f>
        <v/>
      </c>
      <c r="P1156">
        <f>IF(B1188=0,0,O1156/B1188)</f>
        <v/>
      </c>
      <c r="Q1156">
        <f>IFERROR(1/(IF(Inputs!$B$38="pvp",15,MAX(0.1,Skills!D5-IF(Skills!E5=TRUE,Inputs!$B$32,0)))*(1-IF(AND(ArtifactsInput!$M$27,Inputs!$B$4="Chapter Hunt"),CHOOSE(ArtifactsInput!$N$27+1,20,24,28,32,36,40),0)/100)),0)</f>
        <v/>
      </c>
      <c r="R1156">
        <f>IF(AND(Inputs!$B$38&lt;&gt;"pvp",Inputs!$B$43&gt;0),IF(MAX(0,Inputs!$B$43-B1185)&lt;=0,0,(INT(MAX(0,Inputs!$B$43-B1185)/(IF(Inputs!$B$38="pvp",15,MAX(0.1,Skills!D5-IF(Skills!E5=TRUE,Inputs!$B$32,0)))*(1-IF(AND(ArtifactsInput!$M$27,Inputs!$B$4="Chapter Hunt"),CHOOSE(ArtifactsInput!$N$27+1,20,24,28,32,36,40),0)/100)))+1)),0)</f>
        <v/>
      </c>
      <c r="S1156">
        <f>IFERROR(O1156/N1156,0)</f>
        <v/>
      </c>
      <c r="T1156">
        <f>IF(C1156,(H1156*N1156*IF(AND(Inputs!$B$38&lt;&gt;"pvp",Inputs!$B$43&gt;0),((Skills!G5*((R1156-1)*IF(Skills!H5&gt;0,Skills!I5/Skills!H5,1)+IF(Skills!H5&gt;0,MIN(Skills!I5,MAX(0,MAX(0,Inputs!$B$43-B1185)-((R1156-1)*(IF(Inputs!$B$38="pvp",15,MAX(0.1,Skills!D5-IF(Skills!E5=TRUE,Inputs!$B$32,0)))*(1-IF(AND(ArtifactsInput!$M$27,Inputs!$B$4="Chapter Hunt"),CHOOSE(ArtifactsInput!$N$27+1,20,24,28,32,36,40),0)/100)))))/Skills!H5,1)))/Inputs!$B$43),G1156*Q1156)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1156*(1-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1156*(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1156*(1-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1156*(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6">
        <f>IF(C1156,(H1156*N1156*IF(AND(Inputs!$B$38&lt;&gt;"pvp",Inputs!$B$43&gt;0),((Skills!G5*((R1156-1)*IF(Skills!H5&gt;0,Skills!I5/Skills!H5,1)+IF(Skills!H5&gt;0,MIN(Skills!I5,MAX(0,MAX(0,Inputs!$B$43-B1185)-((R1156-1)*(IF(Inputs!$B$38="pvp",15,MAX(0.1,Skills!D5-IF(Skills!E5=TRUE,Inputs!$B$32,0)))*(1-IF(AND(ArtifactsInput!$M$27,Inputs!$B$4="Chapter Hunt"),CHOOSE(ArtifactsInput!$N$27+1,20,24,28,32,36,40),0)/100)))))/Skills!H5,1)))/Inputs!$B$43),G1156*Q1156))*IF(Inputs!$B$38="pvp",1,(1+(Inputs!$B$21+Skills!Q5+(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7">
      <c r="A1157">
        <f>Skills!A6</f>
        <v/>
      </c>
      <c r="B1157">
        <f>Skills!B6</f>
        <v/>
      </c>
      <c r="C1157">
        <f>Inputs!$B$3&gt;=103</f>
        <v/>
      </c>
      <c r="D1157">
        <f>IF(Skills!C6=1,60+Inputs!$B$25+Inputs!$B$29,IF(Skills!C6=2,90+Inputs!$B$26+Inputs!$B$29,IF(Skills!C6=3,120+Inputs!$B$27+Inputs!$B$29,MAX(0,(Inputs!$B$3-100)*3)+Inputs!$B$28+Inputs!$B$29)))</f>
        <v/>
      </c>
      <c r="E1157">
        <f>INDEX(FactorTable!$B$2:$Y$301, MATCH(ROUND(MIN(300,MAX(1,D1157)),0), FactorTable!$A$2:$A$301,0), Skills!M6+1)</f>
        <v/>
      </c>
      <c r="F1157">
        <f>IF(Skills!N6=TRUE,(Skills!L6/10)*(E1157/1000),Skills!L6/10)+Skills!O6</f>
        <v/>
      </c>
      <c r="G1157">
        <f>Skills!G6*IF(Skills!H6&gt;0,Skills!I6/Skills!H6,1)</f>
        <v/>
      </c>
      <c r="H1157">
        <f>1-(1-Skills!J6/100)^Skills!K6</f>
        <v/>
      </c>
      <c r="I1157" t="inlineStr">
        <is>
          <t>1</t>
        </is>
      </c>
      <c r="J1157">
        <f>((Inputs!$B$6*(1+Inputs!$B$7/100))+(((Inputs!$B$12*(1+Inputs!$B$13/100))-(Inputs!$B$12*(1+Inputs!$B$13/100)))+0.25*(Inputs!$B$14-Inputs!$B$14))*(1+Inputs!$B$7/100))*(F1157/100)</f>
        <v/>
      </c>
      <c r="K1157">
        <f>J1157*(1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1157)</f>
        <v/>
      </c>
      <c r="L1157">
        <f>K1157*(MIN(Inputs!$B$22+((C1173=TRUE)*(F1173-Calc!F22)),(Inputs!$B$23+((C1175=TRUE)*(F1175-Calc!F24))+(IF(ArtifactsInput!$M$15,CHOOSE(ArtifactsInput!$N$15+1,25,30,35,40,45,50)/100*(Inputs!$B$11-Inputs!$B$11),0))))/100+(Inputs!$B$23+((C1175=TRUE)*(F1175-Calc!F24))+(IF(ArtifactsInput!$M$15,CHOOSE(ArtifactsInput!$N$15+1,25,30,35,40,45,50)/100*(Inputs!$B$11-Inputs!$B$11),0)))/100)/2</f>
        <v/>
      </c>
      <c r="M1157">
        <f>L1157*(1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7">
        <f>L1157*(1-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1157*(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7">
        <f>(1-Summary!$B$11)*T1157+Summary!$B$11*V1157</f>
        <v/>
      </c>
      <c r="P1157">
        <f>IF(B1188=0,0,O1157/B1188)</f>
        <v/>
      </c>
      <c r="Q1157">
        <f>IFERROR(1/(IF(Inputs!$B$38="pvp",15,MAX(0.1,Skills!D6-IF(Skills!E6=TRUE,Inputs!$B$32,0)))*(1-IF(AND(ArtifactsInput!$M$27,Inputs!$B$4="Chapter Hunt"),CHOOSE(ArtifactsInput!$N$27+1,20,24,28,32,36,40),0)/100)),0)</f>
        <v/>
      </c>
      <c r="R1157">
        <f>IF(AND(Inputs!$B$38&lt;&gt;"pvp",Inputs!$B$43&gt;0),IF(MAX(0,Inputs!$B$43-B1185)&lt;=0,0,(INT(MAX(0,Inputs!$B$43-B1185)/(IF(Inputs!$B$38="pvp",15,MAX(0.1,Skills!D6-IF(Skills!E6=TRUE,Inputs!$B$32,0)))*(1-IF(AND(ArtifactsInput!$M$27,Inputs!$B$4="Chapter Hunt"),CHOOSE(ArtifactsInput!$N$27+1,20,24,28,32,36,40),0)/100)))+1)),0)</f>
        <v/>
      </c>
      <c r="S1157">
        <f>IFERROR(O1157/N1157,0)</f>
        <v/>
      </c>
      <c r="T1157">
        <f>IF(C1157,(H1157*N1157*IF(AND(Inputs!$B$38&lt;&gt;"pvp",Inputs!$B$43&gt;0),((Skills!G6*((R1157-1)*IF(Skills!H6&gt;0,Skills!I6/Skills!H6,1)+IF(Skills!H6&gt;0,MIN(Skills!I6,MAX(0,MAX(0,Inputs!$B$43-B1185)-((R1157-1)*(IF(Inputs!$B$38="pvp",15,MAX(0.1,Skills!D6-IF(Skills!E6=TRUE,Inputs!$B$32,0)))*(1-IF(AND(ArtifactsInput!$M$27,Inputs!$B$4="Chapter Hunt"),CHOOSE(ArtifactsInput!$N$27+1,20,24,28,32,36,40),0)/100)))))/Skills!H6,1)))/Inputs!$B$43),G1157*Q1157)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1157*(1-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1157*(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1157*(1-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1157*(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7">
        <f>IF(C1157,(H1157*N1157*IF(AND(Inputs!$B$38&lt;&gt;"pvp",Inputs!$B$43&gt;0),((Skills!G6*((R1157-1)*IF(Skills!H6&gt;0,Skills!I6/Skills!H6,1)+IF(Skills!H6&gt;0,MIN(Skills!I6,MAX(0,MAX(0,Inputs!$B$43-B1185)-((R1157-1)*(IF(Inputs!$B$38="pvp",15,MAX(0.1,Skills!D6-IF(Skills!E6=TRUE,Inputs!$B$32,0)))*(1-IF(AND(ArtifactsInput!$M$27,Inputs!$B$4="Chapter Hunt"),CHOOSE(ArtifactsInput!$N$27+1,20,24,28,32,36,40),0)/100)))))/Skills!H6,1)))/Inputs!$B$43),G1157*Q1157))*IF(Inputs!$B$38="pvp",1,(1+(Inputs!$B$21+Skills!Q6+(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8">
      <c r="A1158">
        <f>Skills!A7</f>
        <v/>
      </c>
      <c r="B1158">
        <f>Skills!B7</f>
        <v/>
      </c>
      <c r="C1158">
        <f>Inputs!$B$3&gt;=107</f>
        <v/>
      </c>
      <c r="D1158">
        <f>IF(Skills!C7=1,60+Inputs!$B$25+Inputs!$B$29,IF(Skills!C7=2,90+Inputs!$B$26+Inputs!$B$29,IF(Skills!C7=3,120+Inputs!$B$27+Inputs!$B$29,MAX(0,(Inputs!$B$3-100)*3)+Inputs!$B$28+Inputs!$B$29)))</f>
        <v/>
      </c>
      <c r="E1158">
        <f>INDEX(FactorTable!$B$2:$Y$301, MATCH(ROUND(MIN(300,MAX(1,D1158)),0), FactorTable!$A$2:$A$301,0), Skills!M7+1)</f>
        <v/>
      </c>
      <c r="F1158">
        <f>IF(Skills!N7=TRUE,(Skills!L7/10)*(E1158/1000),Skills!L7/10)+Skills!O7</f>
        <v/>
      </c>
      <c r="G1158">
        <f>Skills!G7*IF(Skills!H7&gt;0,Skills!I7/Skills!H7,1)</f>
        <v/>
      </c>
      <c r="H1158">
        <f>1-(1-Skills!J7/100)^Skills!K7</f>
        <v/>
      </c>
      <c r="I1158" t="inlineStr">
        <is>
          <t>1</t>
        </is>
      </c>
      <c r="J1158">
        <f>((Inputs!$B$6*(1+Inputs!$B$7/100))+(((Inputs!$B$12*(1+Inputs!$B$13/100))-(Inputs!$B$12*(1+Inputs!$B$13/100)))+0.25*(Inputs!$B$14-Inputs!$B$14))*(1+Inputs!$B$7/100))*(F1158/100)</f>
        <v/>
      </c>
      <c r="K1158">
        <f>J1158*(1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1158)</f>
        <v/>
      </c>
      <c r="L1158">
        <f>K1158*(MIN(Inputs!$B$22+((C1173=TRUE)*(F1173-Calc!F22)),(Inputs!$B$23+((C1175=TRUE)*(F1175-Calc!F24))+(IF(ArtifactsInput!$M$15,CHOOSE(ArtifactsInput!$N$15+1,25,30,35,40,45,50)/100*(Inputs!$B$11-Inputs!$B$11),0))))/100+(Inputs!$B$23+((C1175=TRUE)*(F1175-Calc!F24))+(IF(ArtifactsInput!$M$15,CHOOSE(ArtifactsInput!$N$15+1,25,30,35,40,45,50)/100*(Inputs!$B$11-Inputs!$B$11),0)))/100)/2</f>
        <v/>
      </c>
      <c r="M1158">
        <f>L1158*(1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8">
        <f>L1158*(1-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1158*(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8">
        <f>(1-Summary!$B$11)*T1158+Summary!$B$11*V1158</f>
        <v/>
      </c>
      <c r="P1158">
        <f>IF(B1188=0,0,O1158/B1188)</f>
        <v/>
      </c>
      <c r="Q1158">
        <f>IFERROR(1/(IF(Inputs!$B$38="pvp",15,MAX(0.1,Skills!D7-IF(Skills!E7=TRUE,Inputs!$B$32,0)))*(1-IF(AND(ArtifactsInput!$M$27,Inputs!$B$4="Chapter Hunt"),CHOOSE(ArtifactsInput!$N$27+1,20,24,28,32,36,40),0)/100)),0)</f>
        <v/>
      </c>
      <c r="R1158">
        <f>IF(AND(Inputs!$B$38&lt;&gt;"pvp",Inputs!$B$43&gt;0),IF(MAX(0,Inputs!$B$43-B1185)&lt;=0,0,(INT(MAX(0,Inputs!$B$43-B1185)/(IF(Inputs!$B$38="pvp",15,MAX(0.1,Skills!D7-IF(Skills!E7=TRUE,Inputs!$B$32,0)))*(1-IF(AND(ArtifactsInput!$M$27,Inputs!$B$4="Chapter Hunt"),CHOOSE(ArtifactsInput!$N$27+1,20,24,28,32,36,40),0)/100)))+1)),0)</f>
        <v/>
      </c>
      <c r="S1158">
        <f>IFERROR(O1158/N1158,0)</f>
        <v/>
      </c>
      <c r="T1158">
        <f>IF(C1158,(H1158*N1158*IF(AND(Inputs!$B$38&lt;&gt;"pvp",Inputs!$B$43&gt;0),((Skills!G7*((R1158-1)*IF(Skills!H7&gt;0,Skills!I7/Skills!H7,1)+IF(Skills!H7&gt;0,MIN(Skills!I7,MAX(0,MAX(0,Inputs!$B$43-B1185)-((R1158-1)*(IF(Inputs!$B$38="pvp",15,MAX(0.1,Skills!D7-IF(Skills!E7=TRUE,Inputs!$B$32,0)))*(1-IF(AND(ArtifactsInput!$M$27,Inputs!$B$4="Chapter Hunt"),CHOOSE(ArtifactsInput!$N$27+1,20,24,28,32,36,40),0)/100)))))/Skills!H7,1)))/Inputs!$B$43),G1158*Q1158)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1158*(1-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1158*(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1158*(1-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1158*(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8">
        <f>IF(C1158,(H1158*N1158*IF(AND(Inputs!$B$38&lt;&gt;"pvp",Inputs!$B$43&gt;0),((Skills!G7*((R1158-1)*IF(Skills!H7&gt;0,Skills!I7/Skills!H7,1)+IF(Skills!H7&gt;0,MIN(Skills!I7,MAX(0,MAX(0,Inputs!$B$43-B1185)-((R1158-1)*(IF(Inputs!$B$38="pvp",15,MAX(0.1,Skills!D7-IF(Skills!E7=TRUE,Inputs!$B$32,0)))*(1-IF(AND(ArtifactsInput!$M$27,Inputs!$B$4="Chapter Hunt"),CHOOSE(ArtifactsInput!$N$27+1,20,24,28,32,36,40),0)/100)))))/Skills!H7,1)))/Inputs!$B$43),G1158*Q1158))*IF(Inputs!$B$38="pvp",1,(1+(Inputs!$B$21+Skills!Q7+(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9">
      <c r="A1159">
        <f>Skills!A8</f>
        <v/>
      </c>
      <c r="B1159">
        <f>Skills!B8</f>
        <v/>
      </c>
      <c r="C1159">
        <f>Inputs!$B$3&gt;=107</f>
        <v/>
      </c>
      <c r="D1159">
        <f>IF(Skills!C8=1,60+Inputs!$B$25+Inputs!$B$29,IF(Skills!C8=2,90+Inputs!$B$26+Inputs!$B$29,IF(Skills!C8=3,120+Inputs!$B$27+Inputs!$B$29,MAX(0,(Inputs!$B$3-100)*3)+Inputs!$B$28+Inputs!$B$29)))</f>
        <v/>
      </c>
      <c r="E1159">
        <f>INDEX(FactorTable!$B$2:$Y$301, MATCH(ROUND(MIN(300,MAX(1,D1159)),0), FactorTable!$A$2:$A$301,0), Skills!M8+1)</f>
        <v/>
      </c>
      <c r="F1159">
        <f>IF(Skills!N8=TRUE,(Skills!L8/10)*(E1159/1000),Skills!L8/10)+Skills!O8</f>
        <v/>
      </c>
      <c r="G1159">
        <f>Skills!G8*IF(Skills!H8&gt;0,Skills!I8/Skills!H8,1)</f>
        <v/>
      </c>
      <c r="H1159">
        <f>1-(1-Skills!J8/100)^Skills!K8</f>
        <v/>
      </c>
      <c r="I1159" t="inlineStr">
        <is>
          <t>1</t>
        </is>
      </c>
      <c r="J1159">
        <f>((Inputs!$B$6*(1+Inputs!$B$7/100))+(((Inputs!$B$12*(1+Inputs!$B$13/100))-(Inputs!$B$12*(1+Inputs!$B$13/100)))+0.25*(Inputs!$B$14-Inputs!$B$14))*(1+Inputs!$B$7/100))*(F1159/100)</f>
        <v/>
      </c>
      <c r="K1159">
        <f>J1159*(1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1159)</f>
        <v/>
      </c>
      <c r="L1159">
        <f>K1159*(MIN(Inputs!$B$22+((C1173=TRUE)*(F1173-Calc!F22)),(Inputs!$B$23+((C1175=TRUE)*(F1175-Calc!F24))+(IF(ArtifactsInput!$M$15,CHOOSE(ArtifactsInput!$N$15+1,25,30,35,40,45,50)/100*(Inputs!$B$11-Inputs!$B$11),0))))/100+(Inputs!$B$23+((C1175=TRUE)*(F1175-Calc!F24))+(IF(ArtifactsInput!$M$15,CHOOSE(ArtifactsInput!$N$15+1,25,30,35,40,45,50)/100*(Inputs!$B$11-Inputs!$B$11),0)))/100)/2</f>
        <v/>
      </c>
      <c r="M1159">
        <f>L1159*(1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9">
        <f>L1159*(1-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1159*(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9">
        <f>(1-Summary!$B$11)*T1159+Summary!$B$11*V1159</f>
        <v/>
      </c>
      <c r="P1159">
        <f>IF(B1188=0,0,O1159/B1188)</f>
        <v/>
      </c>
      <c r="Q1159">
        <f>IFERROR(1/(IF(Inputs!$B$38="pvp",15,MAX(0.1,Skills!D8-IF(Skills!E8=TRUE,Inputs!$B$32,0)))*(1-IF(AND(ArtifactsInput!$M$27,Inputs!$B$4="Chapter Hunt"),CHOOSE(ArtifactsInput!$N$27+1,20,24,28,32,36,40),0)/100)),0)</f>
        <v/>
      </c>
      <c r="R1159">
        <f>IF(AND(Inputs!$B$38&lt;&gt;"pvp",Inputs!$B$43&gt;0),IF(MAX(0,Inputs!$B$43-B1185)&lt;=0,0,(INT(MAX(0,Inputs!$B$43-B1185)/(IF(Inputs!$B$38="pvp",15,MAX(0.1,Skills!D8-IF(Skills!E8=TRUE,Inputs!$B$32,0)))*(1-IF(AND(ArtifactsInput!$M$27,Inputs!$B$4="Chapter Hunt"),CHOOSE(ArtifactsInput!$N$27+1,20,24,28,32,36,40),0)/100)))+1)),0)</f>
        <v/>
      </c>
      <c r="S1159">
        <f>IFERROR(O1159/N1159,0)</f>
        <v/>
      </c>
      <c r="T1159">
        <f>IF(C1159,(H1159*N1159*IF(AND(Inputs!$B$38&lt;&gt;"pvp",Inputs!$B$43&gt;0),((Skills!G8*((R1159-1)*IF(Skills!H8&gt;0,Skills!I8/Skills!H8,1)+IF(Skills!H8&gt;0,MIN(Skills!I8,MAX(0,MAX(0,Inputs!$B$43-B1185)-((R1159-1)*(IF(Inputs!$B$38="pvp",15,MAX(0.1,Skills!D8-IF(Skills!E8=TRUE,Inputs!$B$32,0)))*(1-IF(AND(ArtifactsInput!$M$27,Inputs!$B$4="Chapter Hunt"),CHOOSE(ArtifactsInput!$N$27+1,20,24,28,32,36,40),0)/100)))))/Skills!H8,1)))/Inputs!$B$43),G1159*Q1159)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1159*(1-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1159*(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1159*(1-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1159*(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9">
        <f>IF(C1159,(H1159*N1159*IF(AND(Inputs!$B$38&lt;&gt;"pvp",Inputs!$B$43&gt;0),((Skills!G8*((R1159-1)*IF(Skills!H8&gt;0,Skills!I8/Skills!H8,1)+IF(Skills!H8&gt;0,MIN(Skills!I8,MAX(0,MAX(0,Inputs!$B$43-B1185)-((R1159-1)*(IF(Inputs!$B$38="pvp",15,MAX(0.1,Skills!D8-IF(Skills!E8=TRUE,Inputs!$B$32,0)))*(1-IF(AND(ArtifactsInput!$M$27,Inputs!$B$4="Chapter Hunt"),CHOOSE(ArtifactsInput!$N$27+1,20,24,28,32,36,40),0)/100)))))/Skills!H8,1)))/Inputs!$B$43),G1159*Q1159))*IF(Inputs!$B$38="pvp",1,(1+(Inputs!$B$21+Skills!Q8+(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0">
      <c r="A1160">
        <f>Skills!A9</f>
        <v/>
      </c>
      <c r="B1160">
        <f>Skills!B9</f>
        <v/>
      </c>
      <c r="C1160">
        <f>Inputs!$B$3&gt;=125</f>
        <v/>
      </c>
      <c r="D1160">
        <f>IF(Skills!C9=1,60+Inputs!$B$25+Inputs!$B$29,IF(Skills!C9=2,90+Inputs!$B$26+Inputs!$B$29,IF(Skills!C9=3,120+Inputs!$B$27+Inputs!$B$29,MAX(0,(Inputs!$B$3-100)*3)+Inputs!$B$28+Inputs!$B$29)))</f>
        <v/>
      </c>
      <c r="E1160">
        <f>INDEX(FactorTable!$B$2:$Y$301, MATCH(ROUND(MIN(300,MAX(1,D1160)),0), FactorTable!$A$2:$A$301,0), Skills!M9+1)</f>
        <v/>
      </c>
      <c r="F1160">
        <f>IF(Skills!N9=TRUE,(Skills!L9/10)*(E1160/1000),Skills!L9/10)+Skills!O9</f>
        <v/>
      </c>
      <c r="G1160">
        <f>Skills!G9*IF(Skills!H9&gt;0,Skills!I9/Skills!H9,1)</f>
        <v/>
      </c>
      <c r="H1160">
        <f>1-(1-Skills!J9/100)^Skills!K9</f>
        <v/>
      </c>
      <c r="I1160" t="inlineStr">
        <is>
          <t>1</t>
        </is>
      </c>
      <c r="J1160">
        <f>((Inputs!$B$6*(1+Inputs!$B$7/100))+(((Inputs!$B$12*(1+Inputs!$B$13/100))-(Inputs!$B$12*(1+Inputs!$B$13/100)))+0.25*(Inputs!$B$14-Inputs!$B$14))*(1+Inputs!$B$7/100))*(F1160/100)</f>
        <v/>
      </c>
      <c r="K1160">
        <f>J1160*(1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1160)</f>
        <v/>
      </c>
      <c r="L1160">
        <f>K1160*(MIN(Inputs!$B$22+((C1173=TRUE)*(F1173-Calc!F22)),(Inputs!$B$23+((C1175=TRUE)*(F1175-Calc!F24))+(IF(ArtifactsInput!$M$15,CHOOSE(ArtifactsInput!$N$15+1,25,30,35,40,45,50)/100*(Inputs!$B$11-Inputs!$B$11),0))))/100+(Inputs!$B$23+((C1175=TRUE)*(F1175-Calc!F24))+(IF(ArtifactsInput!$M$15,CHOOSE(ArtifactsInput!$N$15+1,25,30,35,40,45,50)/100*(Inputs!$B$11-Inputs!$B$11),0)))/100)/2</f>
        <v/>
      </c>
      <c r="M1160">
        <f>L1160*(1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0">
        <f>L1160*(1-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1160*(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0">
        <f>(1-Summary!$B$11)*T1160+Summary!$B$11*V1160</f>
        <v/>
      </c>
      <c r="P1160">
        <f>IF(B1188=0,0,O1160/B1188)</f>
        <v/>
      </c>
      <c r="Q1160">
        <f>IFERROR(1/(IF(Inputs!$B$38="pvp",15,MAX(0.1,Skills!D9-IF(Skills!E9=TRUE,Inputs!$B$32,0)))*(1-IF(AND(ArtifactsInput!$M$27,Inputs!$B$4="Chapter Hunt"),CHOOSE(ArtifactsInput!$N$27+1,20,24,28,32,36,40),0)/100)),0)</f>
        <v/>
      </c>
      <c r="R1160">
        <f>IF(AND(Inputs!$B$38&lt;&gt;"pvp",Inputs!$B$43&gt;0),IF(MAX(0,Inputs!$B$43-B1185)&lt;=0,0,(INT(MAX(0,Inputs!$B$43-B1185)/(IF(Inputs!$B$38="pvp",15,MAX(0.1,Skills!D9-IF(Skills!E9=TRUE,Inputs!$B$32,0)))*(1-IF(AND(ArtifactsInput!$M$27,Inputs!$B$4="Chapter Hunt"),CHOOSE(ArtifactsInput!$N$27+1,20,24,28,32,36,40),0)/100)))+1)),0)</f>
        <v/>
      </c>
      <c r="S1160">
        <f>IFERROR(O1160/N1160,0)</f>
        <v/>
      </c>
      <c r="T1160">
        <f>IF(C1160,(H1160*N1160*IF(AND(Inputs!$B$38&lt;&gt;"pvp",Inputs!$B$43&gt;0),((Skills!G9*((R1160-1)*IF(Skills!H9&gt;0,Skills!I9/Skills!H9,1)+IF(Skills!H9&gt;0,MIN(Skills!I9,MAX(0,MAX(0,Inputs!$B$43-B1185)-((R1160-1)*(IF(Inputs!$B$38="pvp",15,MAX(0.1,Skills!D9-IF(Skills!E9=TRUE,Inputs!$B$32,0)))*(1-IF(AND(ArtifactsInput!$M$27,Inputs!$B$4="Chapter Hunt"),CHOOSE(ArtifactsInput!$N$27+1,20,24,28,32,36,40),0)/100)))))/Skills!H9,1)))/Inputs!$B$43),G1160*Q1160)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1160*(1-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1160*(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1160*(1-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1160*(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0">
        <f>IF(C1160,(H1160*N1160*IF(AND(Inputs!$B$38&lt;&gt;"pvp",Inputs!$B$43&gt;0),((Skills!G9*((R1160-1)*IF(Skills!H9&gt;0,Skills!I9/Skills!H9,1)+IF(Skills!H9&gt;0,MIN(Skills!I9,MAX(0,MAX(0,Inputs!$B$43-B1185)-((R1160-1)*(IF(Inputs!$B$38="pvp",15,MAX(0.1,Skills!D9-IF(Skills!E9=TRUE,Inputs!$B$32,0)))*(1-IF(AND(ArtifactsInput!$M$27,Inputs!$B$4="Chapter Hunt"),CHOOSE(ArtifactsInput!$N$27+1,20,24,28,32,36,40),0)/100)))))/Skills!H9,1)))/Inputs!$B$43),G1160*Q1160))*IF(Inputs!$B$38="pvp",1,(1+(Inputs!$B$21+Skills!Q9+(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1">
      <c r="A1161">
        <f>Skills!A10</f>
        <v/>
      </c>
      <c r="B1161">
        <f>Skills!B10</f>
        <v/>
      </c>
      <c r="C1161">
        <f>Inputs!$B$3&gt;=117</f>
        <v/>
      </c>
      <c r="D1161">
        <f>IF(Skills!C10=1,60+Inputs!$B$25+Inputs!$B$29,IF(Skills!C10=2,90+Inputs!$B$26+Inputs!$B$29,IF(Skills!C10=3,120+Inputs!$B$27+Inputs!$B$29,MAX(0,(Inputs!$B$3-100)*3)+Inputs!$B$28+Inputs!$B$29)))</f>
        <v/>
      </c>
      <c r="E1161">
        <f>INDEX(FactorTable!$B$2:$Y$301, MATCH(ROUND(MIN(300,MAX(1,D1161)),0), FactorTable!$A$2:$A$301,0), Skills!M10+1)</f>
        <v/>
      </c>
      <c r="F1161">
        <f>IF(Skills!N10=TRUE,(Skills!L10/10)*(E1161/1000),Skills!L10/10)+Skills!O10</f>
        <v/>
      </c>
      <c r="G1161">
        <f>Skills!G10*IF(Skills!H10&gt;0,Skills!I10/Skills!H10,1)</f>
        <v/>
      </c>
      <c r="H1161">
        <f>1-(1-Skills!J10/100)^Skills!K10</f>
        <v/>
      </c>
      <c r="I1161" t="inlineStr">
        <is>
          <t>1</t>
        </is>
      </c>
      <c r="J1161">
        <f>((Inputs!$B$6*(1+Inputs!$B$7/100))+(((Inputs!$B$12*(1+Inputs!$B$13/100))-(Inputs!$B$12*(1+Inputs!$B$13/100)))+0.25*(Inputs!$B$14-Inputs!$B$14))*(1+Inputs!$B$7/100))*(F1161/100)</f>
        <v/>
      </c>
      <c r="K1161">
        <f>J1161*(1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1161)</f>
        <v/>
      </c>
      <c r="L1161">
        <f>K1161*(MIN(Inputs!$B$22+((C1173=TRUE)*(F1173-Calc!F22)),(Inputs!$B$23+((C1175=TRUE)*(F1175-Calc!F24))+(IF(ArtifactsInput!$M$15,CHOOSE(ArtifactsInput!$N$15+1,25,30,35,40,45,50)/100*(Inputs!$B$11-Inputs!$B$11),0))))/100+(Inputs!$B$23+((C1175=TRUE)*(F1175-Calc!F24))+(IF(ArtifactsInput!$M$15,CHOOSE(ArtifactsInput!$N$15+1,25,30,35,40,45,50)/100*(Inputs!$B$11-Inputs!$B$11),0)))/100)/2</f>
        <v/>
      </c>
      <c r="M1161">
        <f>L1161*(1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1">
        <f>L1161*(1-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1">
        <f>(1-Summary!$B$11)*T1161+Summary!$B$11*V1161</f>
        <v/>
      </c>
      <c r="P1161">
        <f>IF(B1188=0,0,O1161/B1188)</f>
        <v/>
      </c>
      <c r="Q1161">
        <f>IFERROR(1/(IF(Inputs!$B$38="pvp",15,MAX(0.1,Skills!D10-IF(Skills!E10=TRUE,Inputs!$B$32,0)))*(1-IF(AND(ArtifactsInput!$M$27,Inputs!$B$4="Chapter Hunt"),CHOOSE(ArtifactsInput!$N$27+1,20,24,28,32,36,40),0)/100)),0)</f>
        <v/>
      </c>
      <c r="R1161">
        <f>IF(AND(Inputs!$B$38&lt;&gt;"pvp",Inputs!$B$43&gt;0),IF(MAX(0,Inputs!$B$43-B1185)&lt;=0,0,(INT(MAX(0,Inputs!$B$43-B1185)/(IF(Inputs!$B$38="pvp",15,MAX(0.1,Skills!D10-IF(Skills!E10=TRUE,Inputs!$B$32,0)))*(1-IF(AND(ArtifactsInput!$M$27,Inputs!$B$4="Chapter Hunt"),CHOOSE(ArtifactsInput!$N$27+1,20,24,28,32,36,40),0)/100)))+1)),0)</f>
        <v/>
      </c>
      <c r="S1161">
        <f>IFERROR(O1161/N1161,0)</f>
        <v/>
      </c>
      <c r="T1161">
        <f>IF(C1161,(H1161*N1161*IF(AND(Inputs!$B$38&lt;&gt;"pvp",Inputs!$B$43&gt;0),((Skills!G10*((R1161-1)*IF(Skills!H10&gt;0,Skills!I10/Skills!H10,1)+IF(Skills!H10&gt;0,MIN(Skills!I10,MAX(0,MAX(0,Inputs!$B$43-B1185)-((R1161-1)*(IF(Inputs!$B$38="pvp",15,MAX(0.1,Skills!D10-IF(Skills!E10=TRUE,Inputs!$B$32,0)))*(1-IF(AND(ArtifactsInput!$M$27,Inputs!$B$4="Chapter Hunt"),CHOOSE(ArtifactsInput!$N$27+1,20,24,28,32,36,40),0)/100)))))/Skills!H10,1)))/Inputs!$B$43),G1161*Q1161)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1161*(1-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1">
        <f>IF(C1161,(H1161*N1161*IF(AND(Inputs!$B$38&lt;&gt;"pvp",Inputs!$B$43&gt;0),((Skills!G10*((R1161-1)*IF(Skills!H10&gt;0,Skills!I10/Skills!H10,1)+IF(Skills!H10&gt;0,MIN(Skills!I10,MAX(0,MAX(0,Inputs!$B$43-B1185)-((R1161-1)*(IF(Inputs!$B$38="pvp",15,MAX(0.1,Skills!D10-IF(Skills!E10=TRUE,Inputs!$B$32,0)))*(1-IF(AND(ArtifactsInput!$M$27,Inputs!$B$4="Chapter Hunt"),CHOOSE(ArtifactsInput!$N$27+1,20,24,28,32,36,40),0)/100)))))/Skills!H10,1)))/Inputs!$B$43),G1161*Q1161))*IF(Inputs!$B$38="pvp",1,(1+(Inputs!$B$21+Skills!Q10+(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2">
      <c r="A1162">
        <f>Skills!A11</f>
        <v/>
      </c>
      <c r="B1162">
        <f>Skills!B11</f>
        <v/>
      </c>
      <c r="C1162">
        <f>Inputs!$B$3&gt;=63</f>
        <v/>
      </c>
      <c r="D1162">
        <f>IF(Skills!C11=1,60+Inputs!$B$25+Inputs!$B$29,IF(Skills!C11=2,90+Inputs!$B$26+Inputs!$B$29,IF(Skills!C11=3,120+Inputs!$B$27+Inputs!$B$29,MAX(0,(Inputs!$B$3-100)*3)+Inputs!$B$28+Inputs!$B$29)))</f>
        <v/>
      </c>
      <c r="E1162">
        <f>INDEX(FactorTable!$B$2:$Y$301, MATCH(ROUND(MIN(300,MAX(1,D1162)),0), FactorTable!$A$2:$A$301,0), Skills!M11+1)</f>
        <v/>
      </c>
      <c r="F1162">
        <f>IF(Skills!N11=TRUE,(Skills!L11/10)*(E1162/1000),Skills!L11/10)+Skills!O11</f>
        <v/>
      </c>
      <c r="G1162">
        <f>Skills!G11*IF(Skills!H11&gt;0,Skills!I11/Skills!H11,1)</f>
        <v/>
      </c>
      <c r="H1162">
        <f>1-(1-Skills!J11/100)^Skills!K11</f>
        <v/>
      </c>
      <c r="I1162" t="inlineStr">
        <is>
          <t>1</t>
        </is>
      </c>
      <c r="J1162">
        <f>((Inputs!$B$6*(1+Inputs!$B$7/100))+(((Inputs!$B$12*(1+Inputs!$B$13/100))-(Inputs!$B$12*(1+Inputs!$B$13/100)))+0.25*(Inputs!$B$14-Inputs!$B$14))*(1+Inputs!$B$7/100))*(F1162/100)</f>
        <v/>
      </c>
      <c r="K1162">
        <f>J1162*(1+((Inputs!$B$12*(1+Inputs!$B$13/100))*0.01+Inputs!$B$14*0.0025)/100)*(1+Inputs!$B$15/100)*(1+Inputs!$B$16/100)*(5000/(6000+Inputs!$B$42*(1-(Inputs!$B$19+0)/100)))*(1+(Inputs!$B$24+0+B1184)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1163=TRUE,F1163,0)/100)*(1+(IF(Skills!A11="BLAST",Inputs!$B$17+((C1172=TRUE)*(F1172-Calc!F21))+((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MIN(100,((Inputs!$B$9+0+B1178+(ArtifactsInput!$M$24-ArtifactsInput!$M$24)*CHOOSE(ArtifactsInput!$N$24+1,10,12,14,16,18,20)+IF(ArtifactsInput!$M$10,CHOOSE(ArtifactsInput!$N$10+1,15,18,21,24,27,30)*(IF(Inputs!$B$38="pvp",MIN(15,15)/15,IF(AND(Inputs!$B$38&lt;&gt;"pvp",Inputs!$B$43&gt;0),MIN(15,Inputs!$B$43)/(Inputs!$B$43),0))),0)))-100),0))*CHOOSE(ArtifactsInput!$N$42+1,0.6,0.72,0.84,0.96,1.08,1.2))),Inputs!$B$18+((C1174=TRUE)*(F1174-Calc!F23))+(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gt;=100),CHOOSE(ArtifactsInput!$N$42+1,40,48,56,64,72,80),0))))/100)*((1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1162)</f>
        <v/>
      </c>
      <c r="L1162">
        <f>K1162*(MIN(Inputs!$B$22+((C1173=TRUE)*(F1173-Calc!F22)),(Inputs!$B$23+((C1175=TRUE)*(F1175-Calc!F24))+(IF(ArtifactsInput!$M$15,CHOOSE(ArtifactsInput!$N$15+1,25,30,35,40,45,50)/100*(Inputs!$B$11-Inputs!$B$11),0))))/100+(Inputs!$B$23+((C1175=TRUE)*(F1175-Calc!F24))+(IF(ArtifactsInput!$M$15,CHOOSE(ArtifactsInput!$N$15+1,25,30,35,40,45,50)/100*(Inputs!$B$11-Inputs!$B$11),0)))/100)/2</f>
        <v/>
      </c>
      <c r="M1162">
        <f>L1162*(1+(Inputs!$B$10+0+B1183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2">
        <f>L1162*(1-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1162*(MIN((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2">
        <f>(1-Summary!$B$11)*T1162+Summary!$B$11*V1162</f>
        <v/>
      </c>
      <c r="P1162">
        <f>IF(B1188=0,0,O1162/B1188)</f>
        <v/>
      </c>
      <c r="Q1162">
        <f>IFERROR(1/(IF(Inputs!$B$38="pvp",15,MAX(0.1,Skills!D11-IF(Skills!E11=TRUE,Inputs!$B$32,0)))*(1-IF(AND(ArtifactsInput!$M$27,Inputs!$B$4="Chapter Hunt"),CHOOSE(ArtifactsInput!$N$27+1,20,24,28,32,36,40),0)/100)),0)</f>
        <v/>
      </c>
      <c r="R1162">
        <f>IF(AND(Inputs!$B$38&lt;&gt;"pvp",Inputs!$B$43&gt;0),IF(MAX(0,Inputs!$B$43-B1185)&lt;=0,0,(INT(MAX(0,Inputs!$B$43-B1185)/(IF(Inputs!$B$38="pvp",15,MAX(0.1,Skills!D11-IF(Skills!E11=TRUE,Inputs!$B$32,0)))*(1-IF(AND(ArtifactsInput!$M$27,Inputs!$B$4="Chapter Hunt"),CHOOSE(ArtifactsInput!$N$27+1,20,24,28,32,36,40),0)/100)))+1)),0)</f>
        <v/>
      </c>
      <c r="S1162">
        <f>IFERROR(O1162/N1162,0)</f>
        <v/>
      </c>
      <c r="T1162">
        <f>IF(C1162,(H1162*N1162*IF(AND(Inputs!$B$38&lt;&gt;"pvp",Inputs!$B$43&gt;0),((Skills!G11*((R1162-1)*IF(Skills!H11&gt;0,Skills!I11/Skills!H11,1)+IF(Skills!H11&gt;0,MIN(Skills!I11,MAX(0,MAX(0,Inputs!$B$43-B1185)-((R1162-1)*(IF(Inputs!$B$38="pvp",15,MAX(0.1,Skills!D11-IF(Skills!E11=TRUE,Inputs!$B$32,0)))*(1-IF(AND(ArtifactsInput!$M$27,Inputs!$B$4="Chapter Hunt"),CHOOSE(ArtifactsInput!$N$27+1,20,24,28,32,36,40),0)/100)))))/Skills!H11,1)))/Inputs!$B$43),G1162*Q1162)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1162*(1-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1162*(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1162*(1-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1162*(MIN(100,(Inputs!$B$9+0+B1178+(ArtifactsInput!$M$24-ArtifactsInput!$M$24)*CHOOSE(ArtifactsInput!$N$24+1,10,12,14,16,18,20)+(IF(AND(Inputs!$B$38&lt;&gt;"pvp",Inputs!$B$43=0),1,IF(IF(Inputs!$B$38="pvp",15,Inputs!$B$43)-(B1185)&lt;=0,1,MAX(0,IF(Inputs!$B$38="pvp",15,Inputs!$B$43)-MAX(5,B1185))/(IF(Inputs!$B$38="pvp",15,Inputs!$B$43)-(B1185))))*IF(AND(ArtifactsInput!$M$42,((Inputs!$B$9+0+B1178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2">
        <f>IF(C1162,(H1162*N1162*IF(AND(Inputs!$B$38&lt;&gt;"pvp",Inputs!$B$43&gt;0),((Skills!G11*((R1162-1)*IF(Skills!H11&gt;0,Skills!I11/Skills!H11,1)+IF(Skills!H11&gt;0,MIN(Skills!I11,MAX(0,MAX(0,Inputs!$B$43-B1185)-((R1162-1)*(IF(Inputs!$B$38="pvp",15,MAX(0.1,Skills!D11-IF(Skills!E11=TRUE,Inputs!$B$32,0)))*(1-IF(AND(ArtifactsInput!$M$27,Inputs!$B$4="Chapter Hunt"),CHOOSE(ArtifactsInput!$N$27+1,20,24,28,32,36,40),0)/100)))))/Skills!H11,1)))/Inputs!$B$43),G1162*Q1162))*IF(Inputs!$B$38="pvp",1,(1+(Inputs!$B$21+Skills!Q11+(IF(ArtifactsInput!$M$33,CHOOSE(ArtifactsInput!$N$33+1,30,36,42,48,54,60),0))+(IF(AND(ArtifactsInput!$M$35,Inputs!$B$4&lt;&gt;"Chapter Hunt"),CHOOSE(ArtifactsInput!$N$35+1,15,18,21,24,27,30)*(1-EXP(-(0.2*B1180)*5)),0)+IF(AND(ArtifactsInput!$M$22,Inputs!$B$4&lt;&gt;"Chapter Hunt"),CHOOSE(ArtifactsInput!$N$22+1,10,12,14,16,18,20)*((0*(((0.15*B1180*5))^0/1)+1*(((0.15*B1180*5))^1/1)+2*(((0.15*B1180*5))^2/2)+3*(((0.15*B1180*5))^3/6)+4*(((0.15*B1180*5))^4/24)+5*(((0.15*B1180*5))^5/120))/((((0.15*B1180*5))^0/1)+(((0.15*B1180*5))^1/1)+(((0.15*B1180*5))^2/2)+(((0.15*B1180*5))^3/6)+(((0.15*B1180*5))^4/24)+(((0.15*B1180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3">
      <c r="A1163">
        <f>Skills!A12</f>
        <v/>
      </c>
      <c r="B1163">
        <f>Skills!B12</f>
        <v/>
      </c>
      <c r="C1163">
        <f>Inputs!$B$3&gt;=100</f>
        <v/>
      </c>
      <c r="D1163">
        <f>IF(Skills!C12=1,60+Inputs!$B$25+Inputs!$B$29,IF(Skills!C12=2,90+Inputs!$B$26+Inputs!$B$29,IF(Skills!C12=3,120+Inputs!$B$27+Inputs!$B$29,MAX(0,(Inputs!$B$3-100)*3)+Inputs!$B$28+Inputs!$B$29)))</f>
        <v/>
      </c>
      <c r="E1163">
        <f>INDEX(FactorTable!$B$2:$Y$301, MATCH(ROUND(MIN(300,MAX(1,D1163)),0), FactorTable!$A$2:$A$301,0), Skills!M12+1)</f>
        <v/>
      </c>
      <c r="F1163">
        <f>IF(Skills!N12=TRUE,(Skills!L12/10)*(E1163/1000),Skills!L12/10)+Skills!O12</f>
        <v/>
      </c>
      <c r="G1163" t="inlineStr"/>
      <c r="H1163" t="inlineStr"/>
      <c r="I1163" t="inlineStr">
        <is>
          <t>1</t>
        </is>
      </c>
      <c r="J1163" t="inlineStr"/>
      <c r="K1163" t="inlineStr"/>
      <c r="L1163" t="inlineStr"/>
      <c r="M1163" t="inlineStr"/>
      <c r="N1163" t="inlineStr"/>
      <c r="O1163" t="inlineStr"/>
      <c r="P1163" t="inlineStr"/>
      <c r="Q1163" t="inlineStr"/>
      <c r="R1163" t="inlineStr"/>
      <c r="S1163" t="inlineStr"/>
    </row>
    <row r="1164">
      <c r="A1164">
        <f>Skills!A13</f>
        <v/>
      </c>
      <c r="B1164">
        <f>Skills!B13</f>
        <v/>
      </c>
      <c r="C1164">
        <f>Inputs!$B$3&gt;=45</f>
        <v/>
      </c>
      <c r="D1164">
        <f>IF(Skills!C13=1,60+Inputs!$B$25+Inputs!$B$29,IF(Skills!C13=2,90+Inputs!$B$26+Inputs!$B$29,IF(Skills!C13=3,120+Inputs!$B$27+Inputs!$B$29,MAX(0,(Inputs!$B$3-100)*3)+Inputs!$B$28+Inputs!$B$29)))</f>
        <v/>
      </c>
      <c r="E1164">
        <f>INDEX(FactorTable!$B$2:$Y$301, MATCH(ROUND(MIN(300,MAX(1,D1164)),0), FactorTable!$A$2:$A$301,0), Skills!M13+1)</f>
        <v/>
      </c>
      <c r="F1164">
        <f>IF(Skills!N13=TRUE,(Skills!L13/10)*(E1164/1000),Skills!L13/10)+Skills!O13</f>
        <v/>
      </c>
      <c r="G1164">
        <f>Skills!G13*IF(Skills!H13&gt;0,Skills!I13/Skills!H13,1)</f>
        <v/>
      </c>
      <c r="H1164">
        <f>1-(1-Skills!J13/100)^Skills!K13</f>
        <v/>
      </c>
      <c r="I1164" t="inlineStr">
        <is>
          <t>1</t>
        </is>
      </c>
      <c r="J1164" t="inlineStr"/>
      <c r="K1164" t="inlineStr"/>
      <c r="L1164" t="inlineStr"/>
      <c r="M1164" t="inlineStr"/>
      <c r="N1164" t="inlineStr"/>
      <c r="O1164">
        <f>(1-Summary!$B$11)*T1164+Summary!$B$11*V1164</f>
        <v/>
      </c>
      <c r="P1164">
        <f>IF(B1188=0,0,O1164/B1188)</f>
        <v/>
      </c>
      <c r="Q1164" t="n">
        <v>0</v>
      </c>
      <c r="R1164" t="n">
        <v>0</v>
      </c>
      <c r="S1164">
        <f>IFERROR(O1164/N1164,0)</f>
        <v/>
      </c>
      <c r="T1164" t="n">
        <v>0</v>
      </c>
      <c r="V1164" t="n">
        <v>0</v>
      </c>
    </row>
    <row r="1165">
      <c r="A1165">
        <f>Skills!A14</f>
        <v/>
      </c>
      <c r="B1165">
        <f>Skills!B14</f>
        <v/>
      </c>
      <c r="C1165">
        <f>Inputs!$B$3&gt;=110</f>
        <v/>
      </c>
      <c r="D1165">
        <f>IF(Skills!C14=1,60+Inputs!$B$25+Inputs!$B$29,IF(Skills!C14=2,90+Inputs!$B$26+Inputs!$B$29,IF(Skills!C14=3,120+Inputs!$B$27+Inputs!$B$29,MAX(0,(Inputs!$B$3-100)*3)+Inputs!$B$28+Inputs!$B$29)))</f>
        <v/>
      </c>
      <c r="E1165">
        <f>INDEX(FactorTable!$B$2:$Y$301, MATCH(ROUND(MIN(300,MAX(1,D1165)),0), FactorTable!$A$2:$A$301,0), Skills!M14+1)</f>
        <v/>
      </c>
      <c r="F1165">
        <f>IF(Skills!N14=TRUE,(Skills!L14/10)*(E1165/1000),Skills!L14/10)+Skills!O14</f>
        <v/>
      </c>
      <c r="G1165">
        <f>Skills!G14*IF(Skills!H14&gt;0,Skills!I14/Skills!H14,1)</f>
        <v/>
      </c>
      <c r="H1165">
        <f>1-(1-Skills!J14/100)^Skills!K14</f>
        <v/>
      </c>
      <c r="I1165" t="inlineStr">
        <is>
          <t>1</t>
        </is>
      </c>
      <c r="J1165" t="inlineStr"/>
      <c r="K1165" t="inlineStr"/>
      <c r="L1165" t="inlineStr"/>
      <c r="M1165" t="inlineStr"/>
      <c r="N1165" t="inlineStr"/>
      <c r="O1165">
        <f>(1-Summary!$B$11)*T1165+Summary!$B$11*V1165</f>
        <v/>
      </c>
      <c r="P1165">
        <f>IF(B1188=0,0,O1165/B1188)</f>
        <v/>
      </c>
      <c r="Q1165" t="n">
        <v>0</v>
      </c>
      <c r="R1165" t="n">
        <v>0</v>
      </c>
      <c r="S1165">
        <f>IFERROR(O1165/N1165,0)</f>
        <v/>
      </c>
      <c r="T1165" t="n">
        <v>0</v>
      </c>
      <c r="V1165" t="n">
        <v>0</v>
      </c>
    </row>
    <row r="1166">
      <c r="A1166">
        <f>Skills!A15</f>
        <v/>
      </c>
      <c r="B1166">
        <f>Skills!B15</f>
        <v/>
      </c>
      <c r="C1166">
        <f>Inputs!$B$3&gt;=75</f>
        <v/>
      </c>
      <c r="D1166">
        <f>IF(Skills!C15=1,60+Inputs!$B$25+Inputs!$B$29,IF(Skills!C15=2,90+Inputs!$B$26+Inputs!$B$29,IF(Skills!C15=3,120+Inputs!$B$27+Inputs!$B$29,MAX(0,(Inputs!$B$3-100)*3)+Inputs!$B$28+Inputs!$B$29)))</f>
        <v/>
      </c>
      <c r="E1166">
        <f>INDEX(FactorTable!$B$2:$Y$301, MATCH(ROUND(MIN(300,MAX(1,D1166)),0), FactorTable!$A$2:$A$301,0), Skills!M15+1)</f>
        <v/>
      </c>
      <c r="F1166">
        <f>IF(Skills!N15=TRUE,(Skills!L15/10)*(E1166/1000),Skills!L15/10)+Skills!O15</f>
        <v/>
      </c>
      <c r="G1166">
        <f>Skills!G15*IF(Skills!H15&gt;0,Skills!I15/Skills!H15,1)</f>
        <v/>
      </c>
      <c r="H1166">
        <f>1-(1-Skills!J15/100)^Skills!K15</f>
        <v/>
      </c>
      <c r="I1166" t="inlineStr">
        <is>
          <t>1</t>
        </is>
      </c>
      <c r="J1166" t="inlineStr"/>
      <c r="K1166" t="inlineStr"/>
      <c r="L1166" t="inlineStr"/>
      <c r="M1166" t="inlineStr"/>
      <c r="N1166" t="inlineStr"/>
      <c r="O1166">
        <f>(1-Summary!$B$11)*T1166+Summary!$B$11*V1166</f>
        <v/>
      </c>
      <c r="P1166">
        <f>IF(B1188=0,0,O1166/B1188)</f>
        <v/>
      </c>
      <c r="Q1166">
        <f>IFERROR(1/(IF(Inputs!$B$38="pvp",15,MAX(0.1,Skills!D15-IF(Skills!E15=TRUE,Inputs!$B$32,0)))*(1-IF(AND(ArtifactsInput!$M$27,Inputs!$B$4="Chapter Hunt"),CHOOSE(ArtifactsInput!$N$27+1,20,24,28,32,36,40),0)/100)),0)</f>
        <v/>
      </c>
      <c r="R1166">
        <f>IF(AND(Inputs!$B$38&lt;&gt;"pvp",Inputs!$B$43&gt;0),IF(Inputs!$B$43&lt;=0,0,(INT(Inputs!$B$43/(IF(Inputs!$B$38="pvp",15,MAX(0.1,Skills!D15-IF(Skills!E15=TRUE,Inputs!$B$32,0)))*(1-IF(AND(ArtifactsInput!$M$27,Inputs!$B$4="Chapter Hunt"),CHOOSE(ArtifactsInput!$N$27+1,20,24,28,32,36,40),0)/100)))+1)),0)</f>
        <v/>
      </c>
      <c r="S1166">
        <f>IFERROR(O1166/N1166,0)</f>
        <v/>
      </c>
      <c r="T1166" t="n">
        <v>0</v>
      </c>
      <c r="V1166" t="n">
        <v>0</v>
      </c>
    </row>
    <row r="1167">
      <c r="A1167">
        <f>Skills!A16</f>
        <v/>
      </c>
      <c r="B1167">
        <f>Skills!B16</f>
        <v/>
      </c>
      <c r="C1167">
        <f>Inputs!$B$3&gt;=105</f>
        <v/>
      </c>
      <c r="D1167">
        <f>IF(Skills!C16=1,60+Inputs!$B$25+Inputs!$B$29,IF(Skills!C16=2,90+Inputs!$B$26+Inputs!$B$29,IF(Skills!C16=3,120+Inputs!$B$27+Inputs!$B$29,MAX(0,(Inputs!$B$3-100)*3)+Inputs!$B$28+Inputs!$B$29)))</f>
        <v/>
      </c>
      <c r="E1167">
        <f>INDEX(FactorTable!$B$2:$Y$301, MATCH(ROUND(MIN(300,MAX(1,D1167)),0), FactorTable!$A$2:$A$301,0), Skills!M16+1)</f>
        <v/>
      </c>
      <c r="F1167">
        <f>IF(Skills!N16=TRUE,(Skills!L16/10)*(E1167/1000),Skills!L16/10)+Skills!O16</f>
        <v/>
      </c>
      <c r="G1167">
        <f>Skills!G16*IF(Skills!H16&gt;0,Skills!I16/Skills!H16,1)</f>
        <v/>
      </c>
      <c r="H1167">
        <f>1-(1-Skills!J16/100)^Skills!K16</f>
        <v/>
      </c>
      <c r="I1167" t="inlineStr">
        <is>
          <t>1</t>
        </is>
      </c>
      <c r="J1167" t="inlineStr"/>
      <c r="K1167" t="inlineStr"/>
      <c r="L1167" t="inlineStr"/>
      <c r="M1167" t="inlineStr"/>
      <c r="N1167" t="inlineStr"/>
      <c r="O1167">
        <f>(1-Summary!$B$11)*T1167+Summary!$B$11*V1167</f>
        <v/>
      </c>
      <c r="P1167">
        <f>IF(B1188=0,0,O1167/B1188)</f>
        <v/>
      </c>
      <c r="Q1167">
        <f>IFERROR(1/(IF(Inputs!$B$38="pvp",15,MAX(0.1,Skills!D16-IF(Skills!E16=TRUE,Inputs!$B$32,0)))*(1-IF(AND(ArtifactsInput!$M$27,Inputs!$B$4="Chapter Hunt"),CHOOSE(ArtifactsInput!$N$27+1,20,24,28,32,36,40),0)/100)),0)</f>
        <v/>
      </c>
      <c r="R1167">
        <f>IF(AND(Inputs!$B$38&lt;&gt;"pvp",Inputs!$B$43&gt;0),IF(Inputs!$B$43&lt;=0,0,(INT(Inputs!$B$43/(IF(Inputs!$B$38="pvp",15,MAX(0.1,Skills!D16-IF(Skills!E16=TRUE,Inputs!$B$32,0)))*(1-IF(AND(ArtifactsInput!$M$27,Inputs!$B$4="Chapter Hunt"),CHOOSE(ArtifactsInput!$N$27+1,20,24,28,32,36,40),0)/100)))+1)),0)</f>
        <v/>
      </c>
      <c r="S1167">
        <f>IFERROR(O1167/N1167,0)</f>
        <v/>
      </c>
      <c r="T1167" t="n">
        <v>0</v>
      </c>
      <c r="V1167" t="n">
        <v>0</v>
      </c>
    </row>
    <row r="1168">
      <c r="A1168">
        <f>Skills!A17</f>
        <v/>
      </c>
      <c r="B1168">
        <f>Skills!B17</f>
        <v/>
      </c>
      <c r="C1168">
        <f>Inputs!$B$3&gt;=115</f>
        <v/>
      </c>
      <c r="D1168">
        <f>IF(Skills!C17=1,60+Inputs!$B$25+Inputs!$B$29,IF(Skills!C17=2,90+Inputs!$B$26+Inputs!$B$29,IF(Skills!C17=3,120+Inputs!$B$27+Inputs!$B$29,MAX(0,(Inputs!$B$3-100)*3)+Inputs!$B$28+Inputs!$B$29)))</f>
        <v/>
      </c>
      <c r="E1168">
        <f>INDEX(FactorTable!$B$2:$Y$301, MATCH(ROUND(MIN(300,MAX(1,D1168)),0), FactorTable!$A$2:$A$301,0), Skills!M17+1)</f>
        <v/>
      </c>
      <c r="F1168">
        <f>IF(Skills!N17=TRUE,(Skills!L17/10)*(E1168/1000),Skills!L17/10)+Skills!O17</f>
        <v/>
      </c>
      <c r="G1168">
        <f>Skills!G17*IF(Skills!H17&gt;0,Skills!I17/Skills!H17,1)</f>
        <v/>
      </c>
      <c r="H1168">
        <f>1-(1-Skills!J17/100)^Skills!K17</f>
        <v/>
      </c>
      <c r="I1168" t="inlineStr">
        <is>
          <t>1</t>
        </is>
      </c>
      <c r="J1168" t="inlineStr"/>
      <c r="K1168" t="inlineStr"/>
      <c r="L1168" t="inlineStr"/>
      <c r="M1168" t="inlineStr"/>
      <c r="N1168" t="inlineStr"/>
      <c r="O1168">
        <f>(1-Summary!$B$11)*T1168+Summary!$B$11*V1168</f>
        <v/>
      </c>
      <c r="P1168">
        <f>IF(B1188=0,0,O1168/B1188)</f>
        <v/>
      </c>
      <c r="Q1168">
        <f>IFERROR(1/(IF(Inputs!$B$38="pvp",15,MAX(0.1,Skills!D17-IF(Skills!E17=TRUE,Inputs!$B$32,0)))*(1-IF(AND(ArtifactsInput!$M$27,Inputs!$B$4="Chapter Hunt"),CHOOSE(ArtifactsInput!$N$27+1,20,24,28,32,36,40),0)/100)),0)</f>
        <v/>
      </c>
      <c r="R1168">
        <f>IF(AND(Inputs!$B$38&lt;&gt;"pvp",Inputs!$B$43&gt;0),IF(Inputs!$B$43&lt;=0,0,(INT(Inputs!$B$43/(IF(Inputs!$B$38="pvp",15,MAX(0.1,Skills!D17-IF(Skills!E17=TRUE,Inputs!$B$32,0)))*(1-IF(AND(ArtifactsInput!$M$27,Inputs!$B$4="Chapter Hunt"),CHOOSE(ArtifactsInput!$N$27+1,20,24,28,32,36,40),0)/100)))+1)),0)</f>
        <v/>
      </c>
      <c r="S1168">
        <f>IFERROR(O1168/N1168,0)</f>
        <v/>
      </c>
      <c r="T1168" t="n">
        <v>0</v>
      </c>
      <c r="V1168" t="n">
        <v>0</v>
      </c>
    </row>
    <row r="1169">
      <c r="A1169">
        <f>Skills!A18</f>
        <v/>
      </c>
      <c r="B1169">
        <f>Skills!B18</f>
        <v/>
      </c>
      <c r="C1169">
        <f>Inputs!$B$3&gt;=74</f>
        <v/>
      </c>
      <c r="D1169">
        <f>IF(Skills!C18=1,60+Inputs!$B$25+Inputs!$B$29,IF(Skills!C18=2,90+Inputs!$B$26+Inputs!$B$29,IF(Skills!C18=3,120+Inputs!$B$27+Inputs!$B$29,MAX(0,(Inputs!$B$3-100)*3)+Inputs!$B$28+Inputs!$B$29)))</f>
        <v/>
      </c>
      <c r="E1169">
        <f>INDEX(FactorTable!$B$2:$Y$301, MATCH(ROUND(MIN(300,MAX(1,D1169)),0), FactorTable!$A$2:$A$301,0), Skills!M18+1)</f>
        <v/>
      </c>
      <c r="F1169">
        <f>IF(Skills!N18=TRUE,(Skills!L18/10)*(E1169/1000),Skills!L18/10)+Skills!O18</f>
        <v/>
      </c>
      <c r="G1169">
        <f>Skills!G18*IF(Skills!H18&gt;0,Skills!I18/Skills!H18,1)</f>
        <v/>
      </c>
      <c r="H1169">
        <f>1-(1-Skills!J18/100)^Skills!K18</f>
        <v/>
      </c>
      <c r="I1169" t="inlineStr">
        <is>
          <t>1</t>
        </is>
      </c>
      <c r="J1169" t="inlineStr"/>
      <c r="K1169" t="inlineStr"/>
      <c r="L1169" t="inlineStr"/>
      <c r="M1169" t="inlineStr"/>
      <c r="N1169" t="inlineStr"/>
      <c r="O1169">
        <f>(1-Summary!$B$11)*T1169+Summary!$B$11*V1169</f>
        <v/>
      </c>
      <c r="P1169">
        <f>IF(B1188=0,0,O1169/B1188)</f>
        <v/>
      </c>
      <c r="Q1169">
        <f>IFERROR(1/(IF(Inputs!$B$38="pvp",15,MAX(0.1,Skills!D18-IF(Skills!E18=TRUE,Inputs!$B$32,0)))*(1-IF(AND(ArtifactsInput!$M$27,Inputs!$B$4="Chapter Hunt"),CHOOSE(ArtifactsInput!$N$27+1,20,24,28,32,36,40),0)/100)),0)</f>
        <v/>
      </c>
      <c r="R1169">
        <f>IF(AND(Inputs!$B$38&lt;&gt;"pvp",Inputs!$B$43&gt;0),IF(Inputs!$B$43&lt;=0,0,(INT(Inputs!$B$43/(IF(Inputs!$B$38="pvp",15,MAX(0.1,Skills!D18-IF(Skills!E18=TRUE,Inputs!$B$32,0)))*(1-IF(AND(ArtifactsInput!$M$27,Inputs!$B$4="Chapter Hunt"),CHOOSE(ArtifactsInput!$N$27+1,20,24,28,32,36,40),0)/100)))+1)),0)</f>
        <v/>
      </c>
      <c r="S1169">
        <f>IFERROR(O1169/N1169,0)</f>
        <v/>
      </c>
      <c r="T1169" t="n">
        <v>0</v>
      </c>
      <c r="V1169" t="n">
        <v>0</v>
      </c>
    </row>
    <row r="1170">
      <c r="A1170">
        <f>Skills!A19</f>
        <v/>
      </c>
      <c r="B1170">
        <f>Skills!B19</f>
        <v/>
      </c>
      <c r="C1170">
        <f>TRUE</f>
        <v/>
      </c>
      <c r="D1170">
        <f>IF(Skills!C19=1,60+Inputs!$B$25+Inputs!$B$29,IF(Skills!C19=2,90+Inputs!$B$26+Inputs!$B$29,IF(Skills!C19=3,120+Inputs!$B$27+Inputs!$B$29,MAX(0,(Inputs!$B$3-100)*3)+Inputs!$B$28+Inputs!$B$29)))</f>
        <v/>
      </c>
      <c r="E1170">
        <f>INDEX(FactorTable!$B$2:$Y$301, MATCH(ROUND(MIN(300,MAX(1,D1170)),0), FactorTable!$A$2:$A$301,0), Skills!M19+1)</f>
        <v/>
      </c>
      <c r="F1170">
        <f>IF(Skills!N19=TRUE,(Skills!L19/10)*(E1170/1000),Skills!L19/10)+Skills!O19</f>
        <v/>
      </c>
      <c r="G1170">
        <f>Skills!G19*IF(Skills!H19&gt;0,Skills!I19/Skills!H19,1)</f>
        <v/>
      </c>
      <c r="H1170">
        <f>1-(1-Skills!J19/100)^Skills!K19</f>
        <v/>
      </c>
      <c r="I1170" t="inlineStr">
        <is>
          <t>1</t>
        </is>
      </c>
      <c r="J1170" t="inlineStr"/>
      <c r="K1170" t="inlineStr"/>
      <c r="L1170" t="inlineStr"/>
      <c r="M1170" t="inlineStr"/>
      <c r="N1170" t="inlineStr"/>
      <c r="O1170">
        <f>(1-Summary!$B$11)*T1170+Summary!$B$11*V1170</f>
        <v/>
      </c>
      <c r="P1170">
        <f>IF(B1188=0,0,O1170/B1188)</f>
        <v/>
      </c>
      <c r="Q1170">
        <f>IFERROR(1/(IF(Inputs!$B$38="pvp",15,MAX(0.1,Skills!D19-IF(Skills!E19=TRUE,Inputs!$B$32,0)))*(1-IF(AND(ArtifactsInput!$M$27,Inputs!$B$4="Chapter Hunt"),CHOOSE(ArtifactsInput!$N$27+1,20,24,28,32,36,40),0)/100)),0)</f>
        <v/>
      </c>
      <c r="R1170">
        <f>IF(AND(Inputs!$B$38&lt;&gt;"pvp",Inputs!$B$43&gt;0),IF(Inputs!$B$43&lt;=0,0,(INT(Inputs!$B$43/(IF(Inputs!$B$38="pvp",15,MAX(0.1,Skills!D19-IF(Skills!E19=TRUE,Inputs!$B$32,0)))*(1-IF(AND(ArtifactsInput!$M$27,Inputs!$B$4="Chapter Hunt"),CHOOSE(ArtifactsInput!$N$27+1,20,24,28,32,36,40),0)/100)))+1)),0)</f>
        <v/>
      </c>
      <c r="S1170">
        <f>IFERROR(O1170/N1170,0)</f>
        <v/>
      </c>
      <c r="T1170" t="n">
        <v>0</v>
      </c>
      <c r="V1170" t="n">
        <v>0</v>
      </c>
    </row>
    <row r="1171">
      <c r="A1171">
        <f>Skills!A20</f>
        <v/>
      </c>
      <c r="B1171">
        <f>Skills!B20</f>
        <v/>
      </c>
      <c r="C1171">
        <f>Inputs!$B$3&gt;=33</f>
        <v/>
      </c>
      <c r="D1171">
        <f>IF(Skills!C20=1,60+Inputs!$B$25+Inputs!$B$29,IF(Skills!C20=2,90+Inputs!$B$26+Inputs!$B$29,IF(Skills!C20=3,120+Inputs!$B$27+Inputs!$B$29,MAX(0,(Inputs!$B$3-100)*3)+Inputs!$B$28+Inputs!$B$29)))</f>
        <v/>
      </c>
      <c r="E1171">
        <f>INDEX(FactorTable!$B$2:$Y$301, MATCH(ROUND(MIN(300,MAX(1,D1171)),0), FactorTable!$A$2:$A$301,0), Skills!M20+1)</f>
        <v/>
      </c>
      <c r="F1171">
        <f>IF(Skills!N20=TRUE,(Skills!L20/10)*(E1171/1000),Skills!L20/10)+Skills!O20</f>
        <v/>
      </c>
      <c r="G1171">
        <f>Skills!G20*IF(Skills!H20&gt;0,Skills!I20/Skills!H20,1)</f>
        <v/>
      </c>
      <c r="H1171">
        <f>1-(1-Skills!J20/100)^Skills!K20</f>
        <v/>
      </c>
      <c r="I1171" t="inlineStr">
        <is>
          <t>1</t>
        </is>
      </c>
      <c r="J1171" t="inlineStr"/>
      <c r="K1171" t="inlineStr"/>
      <c r="L1171" t="inlineStr"/>
      <c r="M1171" t="inlineStr"/>
      <c r="N1171" t="inlineStr"/>
      <c r="O1171">
        <f>(1-Summary!$B$11)*T1171+Summary!$B$11*V1171</f>
        <v/>
      </c>
      <c r="P1171">
        <f>IF(B1188=0,0,O1171/B1188)</f>
        <v/>
      </c>
      <c r="Q1171" t="n">
        <v>0</v>
      </c>
      <c r="R1171" t="n">
        <v>0</v>
      </c>
      <c r="S1171">
        <f>IFERROR(O1171/N1171,0)</f>
        <v/>
      </c>
      <c r="T1171" t="n">
        <v>0</v>
      </c>
      <c r="V1171" t="n">
        <v>0</v>
      </c>
    </row>
    <row r="1172">
      <c r="A1172">
        <f>Skills!A21</f>
        <v/>
      </c>
      <c r="B1172">
        <f>Skills!B21</f>
        <v/>
      </c>
      <c r="C1172">
        <f>Inputs!$B$3&gt;=38</f>
        <v/>
      </c>
      <c r="D1172">
        <f>IF(Skills!C21=1,60+Inputs!$B$25+Inputs!$B$29,IF(Skills!C21=2,90+Inputs!$B$26+Inputs!$B$29,IF(Skills!C21=3,120+Inputs!$B$27+Inputs!$B$29,MAX(0,(Inputs!$B$3-100)*3)+Inputs!$B$28+Inputs!$B$29)))</f>
        <v/>
      </c>
      <c r="E1172">
        <f>INDEX(FactorTable!$B$2:$Y$301, MATCH(ROUND(MIN(300,MAX(1,D1172)),0), FactorTable!$A$2:$A$301,0), Skills!M21+1)</f>
        <v/>
      </c>
      <c r="F1172">
        <f>IF(Skills!N21=TRUE,(Skills!L21/10)*(E1172/1000),Skills!L21/10)+Skills!O21</f>
        <v/>
      </c>
      <c r="G1172">
        <f>Skills!G21*IF(Skills!H21&gt;0,Skills!I21/Skills!H21,1)</f>
        <v/>
      </c>
      <c r="H1172">
        <f>1-(1-Skills!J21/100)^Skills!K21</f>
        <v/>
      </c>
      <c r="I1172" t="inlineStr">
        <is>
          <t>1</t>
        </is>
      </c>
      <c r="J1172" t="inlineStr"/>
      <c r="K1172" t="inlineStr"/>
      <c r="L1172" t="inlineStr"/>
      <c r="M1172" t="inlineStr"/>
      <c r="N1172" t="inlineStr"/>
      <c r="O1172">
        <f>(1-Summary!$B$11)*T1172+Summary!$B$11*V1172</f>
        <v/>
      </c>
      <c r="P1172">
        <f>IF(B1188=0,0,O1172/B1188)</f>
        <v/>
      </c>
      <c r="Q1172" t="n">
        <v>0</v>
      </c>
      <c r="R1172" t="n">
        <v>0</v>
      </c>
      <c r="S1172">
        <f>IFERROR(O1172/N1172,0)</f>
        <v/>
      </c>
      <c r="T1172" t="n">
        <v>0</v>
      </c>
      <c r="V1172" t="n">
        <v>0</v>
      </c>
    </row>
    <row r="1173">
      <c r="A1173">
        <f>Skills!A22</f>
        <v/>
      </c>
      <c r="B1173">
        <f>Skills!B22</f>
        <v/>
      </c>
      <c r="C1173">
        <f>Inputs!$B$3&gt;=43</f>
        <v/>
      </c>
      <c r="D1173">
        <f>IF(Skills!C22=1,60+Inputs!$B$25+Inputs!$B$29,IF(Skills!C22=2,90+Inputs!$B$26+Inputs!$B$29,IF(Skills!C22=3,120+Inputs!$B$27+Inputs!$B$29,MAX(0,(Inputs!$B$3-100)*3)+Inputs!$B$28+Inputs!$B$29)))</f>
        <v/>
      </c>
      <c r="E1173">
        <f>INDEX(FactorTable!$B$2:$Y$301, MATCH(ROUND(MIN(300,MAX(1,D1173)),0), FactorTable!$A$2:$A$301,0), Skills!M22+1)</f>
        <v/>
      </c>
      <c r="F1173">
        <f>IF(Skills!N22=TRUE,(Skills!L22/10)*(E1173/1000),Skills!L22/10)+Skills!O22</f>
        <v/>
      </c>
      <c r="G1173">
        <f>Skills!G22*IF(Skills!H22&gt;0,Skills!I22/Skills!H22,1)</f>
        <v/>
      </c>
      <c r="H1173">
        <f>1-(1-Skills!J22/100)^Skills!K22</f>
        <v/>
      </c>
      <c r="I1173" t="inlineStr">
        <is>
          <t>1</t>
        </is>
      </c>
      <c r="J1173" t="inlineStr"/>
      <c r="K1173" t="inlineStr"/>
      <c r="L1173" t="inlineStr"/>
      <c r="M1173" t="inlineStr"/>
      <c r="N1173" t="inlineStr"/>
      <c r="O1173">
        <f>(1-Summary!$B$11)*T1173+Summary!$B$11*V1173</f>
        <v/>
      </c>
      <c r="P1173">
        <f>IF(B1188=0,0,O1173/B1188)</f>
        <v/>
      </c>
      <c r="Q1173" t="n">
        <v>0</v>
      </c>
      <c r="R1173" t="n">
        <v>0</v>
      </c>
      <c r="S1173">
        <f>IFERROR(O1173/N1173,0)</f>
        <v/>
      </c>
      <c r="T1173" t="n">
        <v>0</v>
      </c>
      <c r="V1173" t="n">
        <v>0</v>
      </c>
    </row>
    <row r="1174">
      <c r="A1174">
        <f>Skills!A23</f>
        <v/>
      </c>
      <c r="B1174">
        <f>Skills!B23</f>
        <v/>
      </c>
      <c r="C1174">
        <f>Inputs!$B$3&gt;=120</f>
        <v/>
      </c>
      <c r="D1174">
        <f>IF(Skills!C23=1,60+Inputs!$B$25+Inputs!$B$29,IF(Skills!C23=2,90+Inputs!$B$26+Inputs!$B$29,IF(Skills!C23=3,120+Inputs!$B$27+Inputs!$B$29,MAX(0,(Inputs!$B$3-100)*3)+Inputs!$B$28+Inputs!$B$29)))</f>
        <v/>
      </c>
      <c r="E1174">
        <f>INDEX(FactorTable!$B$2:$Y$301, MATCH(ROUND(MIN(300,MAX(1,D1174)),0), FactorTable!$A$2:$A$301,0), Skills!M23+1)</f>
        <v/>
      </c>
      <c r="F1174">
        <f>IF(Skills!N23=TRUE,(Skills!L23/10)*(E1174/1000),Skills!L23/10)+Skills!O23</f>
        <v/>
      </c>
      <c r="G1174">
        <f>Skills!G23*IF(Skills!H23&gt;0,Skills!I23/Skills!H23,1)</f>
        <v/>
      </c>
      <c r="H1174">
        <f>1-(1-Skills!J23/100)^Skills!K23</f>
        <v/>
      </c>
      <c r="I1174" t="inlineStr">
        <is>
          <t>1</t>
        </is>
      </c>
      <c r="J1174" t="inlineStr"/>
      <c r="K1174" t="inlineStr"/>
      <c r="L1174" t="inlineStr"/>
      <c r="M1174" t="inlineStr"/>
      <c r="N1174" t="inlineStr"/>
      <c r="O1174">
        <f>(1-Summary!$B$11)*T1174+Summary!$B$11*V1174</f>
        <v/>
      </c>
      <c r="P1174">
        <f>IF(B1188=0,0,O1174/B1188)</f>
        <v/>
      </c>
      <c r="Q1174" t="n">
        <v>0</v>
      </c>
      <c r="R1174" t="n">
        <v>0</v>
      </c>
      <c r="S1174">
        <f>IFERROR(O1174/N1174,0)</f>
        <v/>
      </c>
      <c r="T1174" t="n">
        <v>0</v>
      </c>
      <c r="V1174" t="n">
        <v>0</v>
      </c>
    </row>
    <row r="1175">
      <c r="A1175">
        <f>Skills!A24</f>
        <v/>
      </c>
      <c r="B1175">
        <f>Skills!B24</f>
        <v/>
      </c>
      <c r="C1175">
        <f>Inputs!$B$3&gt;=120</f>
        <v/>
      </c>
      <c r="D1175">
        <f>IF(Skills!C24=1,60+Inputs!$B$25+Inputs!$B$29,IF(Skills!C24=2,90+Inputs!$B$26+Inputs!$B$29,IF(Skills!C24=3,120+Inputs!$B$27+Inputs!$B$29,MAX(0,(Inputs!$B$3-100)*3)+Inputs!$B$28+Inputs!$B$29)))</f>
        <v/>
      </c>
      <c r="E1175">
        <f>INDEX(FactorTable!$B$2:$Y$301, MATCH(ROUND(MIN(300,MAX(1,D1175)),0), FactorTable!$A$2:$A$301,0), Skills!M24+1)</f>
        <v/>
      </c>
      <c r="F1175">
        <f>IF(Skills!N24=TRUE,(Skills!L24/10)*(E1175/1000),Skills!L24/10)+Skills!O24</f>
        <v/>
      </c>
      <c r="G1175">
        <f>Skills!G24*IF(Skills!H24&gt;0,Skills!I24/Skills!H24,1)</f>
        <v/>
      </c>
      <c r="H1175">
        <f>1-(1-Skills!J24/100)^Skills!K24</f>
        <v/>
      </c>
      <c r="I1175" t="inlineStr">
        <is>
          <t>1</t>
        </is>
      </c>
      <c r="J1175" t="inlineStr"/>
      <c r="K1175" t="inlineStr"/>
      <c r="L1175" t="inlineStr"/>
      <c r="M1175" t="inlineStr"/>
      <c r="N1175" t="inlineStr"/>
      <c r="O1175">
        <f>(1-Summary!$B$11)*T1175+Summary!$B$11*V1175</f>
        <v/>
      </c>
      <c r="P1175">
        <f>IF(B1188=0,0,O1175/B1188)</f>
        <v/>
      </c>
      <c r="Q1175" t="n">
        <v>0</v>
      </c>
      <c r="R1175" t="n">
        <v>0</v>
      </c>
      <c r="S1175">
        <f>IFERROR(O1175/N1175,0)</f>
        <v/>
      </c>
      <c r="T1175" t="n">
        <v>0</v>
      </c>
      <c r="V1175" t="n">
        <v>0</v>
      </c>
    </row>
    <row r="1177">
      <c r="A1177" t="inlineStr">
        <is>
          <t>Attack% Bucket Multiplier</t>
        </is>
      </c>
      <c r="B1177">
        <f>(1+(((C1164=TRUE)*F1164*MIN(1,Skills!T13*(Skills!J13/100)*B1182))+((C1169=TRUE)*F1169*IF(AND(Inputs!$B$38&lt;&gt;"pvp",Inputs!$B$43&gt;0),(((R1169-1)*(Skills!T18*(1+Inputs!$B$34/100))+MIN((Skills!T18*(1+Inputs!$B$34/100)),MAX(0,Inputs!$B$43-((R1169-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78">
      <c r="A1178" t="inlineStr">
        <is>
          <t>Global Crit Rate Bonus %</t>
        </is>
      </c>
      <c r="B1178" t="n">
        <v>0</v>
      </c>
    </row>
    <row r="1179">
      <c r="A1179" t="inlineStr">
        <is>
          <t>Attack Speed Buff Bonus %</t>
        </is>
      </c>
      <c r="B1179">
        <f>((C1170=TRUE)*F1170*IF(AND(Inputs!$B$38&lt;&gt;"pvp",Inputs!$B$43&gt;0),(((R1170-1)*(Skills!T19*(1+Inputs!$B$34/100))+MIN((Skills!T19*(1+Inputs!$B$34/100)),MAX(0,Inputs!$B$43-((R1170-1)*Skills!D19))))/Inputs!$B$43),IF(Inputs!$B$38="pvp",MIN((Skills!T19*(1+Inputs!$B$34/100)),15)/15,(Skills!T19*(1+Inputs!$B$34/100))/Skills!D19)))</f>
        <v/>
      </c>
    </row>
    <row r="1180">
      <c r="A1180" t="inlineStr">
        <is>
          <t>Actions Per Second</t>
        </is>
      </c>
      <c r="B1180">
        <f>1+MIN(150,150*(1-(1-(Inputs!$B$11+((C1171=TRUE)*(F1171-Calc!F20)))/150)*(1-B1179/150)))/100</f>
        <v/>
      </c>
    </row>
    <row r="1181">
      <c r="A1181" t="inlineStr">
        <is>
          <t>Skill + Buff Cast Rate</t>
        </is>
      </c>
      <c r="B1181">
        <f>IF(AND(Inputs!$B$38&lt;&gt;"pvp",Inputs!$B$43&gt;0),SUMPRODUCT((Skills!E2:E24=TRUE)*(C1153:C1175=TRUE)*R1153:R1175*Skills!F2:F24)/Inputs!$B$43,SUMPRODUCT((Skills!E2:E24=TRUE)*(C1153:C1175=TRUE)*Q1153:Q1175*Skills!F2:F24))</f>
        <v/>
      </c>
    </row>
    <row r="1182">
      <c r="A1182" t="inlineStr">
        <is>
          <t>Blast Casts Per Second</t>
        </is>
      </c>
      <c r="B1182">
        <f>MAX(0,B1180-B1181)</f>
        <v/>
      </c>
    </row>
    <row r="1183">
      <c r="A1183" t="inlineStr">
        <is>
          <t>Global Critical Damage Bonus % (unused)</t>
        </is>
      </c>
      <c r="B1183" t="n">
        <v>0</v>
      </c>
    </row>
    <row r="1184">
      <c r="A1184" t="inlineStr">
        <is>
          <t>Global Final Damage Bonus % (Divine Shield + Guardian + Divine Blessing + Greater Vessel of Light)</t>
        </is>
      </c>
      <c r="B1184">
        <f>((C1166=TRUE)*F1166*IF(AND(Inputs!$B$38&lt;&gt;"pvp",Inputs!$B$43&gt;0),(((R1166-1)*(Skills!T15*(1+Inputs!$B$34/100))+MIN((Skills!T15*(1+Inputs!$B$34/100)),MAX(0,Inputs!$B$43-((R1166-1)*Skills!D15))))/Inputs!$B$43),IF(Inputs!$B$38="pvp",MIN((Skills!T15*(1+Inputs!$B$34/100)),15)/15,(Skills!T15*(1+Inputs!$B$34/100))/Skills!D15)))+((C1167=TRUE)*F1167*IF(AND(Inputs!$B$38&lt;&gt;"pvp",Inputs!$B$43&gt;0),(((R1167-1)*(Skills!T16*(1+Inputs!$B$34/100))+MIN((Skills!T16*(1+Inputs!$B$34/100)),MAX(0,Inputs!$B$43-((R1167-1)*Skills!D16))))/Inputs!$B$43),IF(Inputs!$B$38="pvp",MIN((Skills!T16*(1+Inputs!$B$34/100)),15)/15,(Skills!T16*(1+Inputs!$B$34/100))/Skills!D16)))+((C1168=TRUE)*F1168*IF(AND(Inputs!$B$38&lt;&gt;"pvp",Inputs!$B$43&gt;0),(((R1168-1)*(Skills!T17*(1+Inputs!$B$34/100))+MIN((Skills!T17*(1+Inputs!$B$34/100)),MAX(0,Inputs!$B$43-((R1168-1)*Skills!D17))))/Inputs!$B$43),IF(Inputs!$B$38="pvp",MIN((Skills!T17*(1+Inputs!$B$34/100)),15)/15,(Skills!T17*(1+Inputs!$B$34/100))/Skills!D17)))+((C1165=TRUE)*F1165*MIN(1,Skills!T13*(Skills!J13/100)*B1182))</f>
        <v/>
      </c>
    </row>
    <row r="1185">
      <c r="A1185" t="inlineStr">
        <is>
          <t>Buff-Casting Startup Delay (s, fixed-duration only)</t>
        </is>
      </c>
      <c r="B1185">
        <f>IF(AND(Inputs!$B$38&lt;&gt;"pvp",Inputs!$B$43&gt;0),SUMPRODUCT((Skills!T2:T24&gt;0)*(Skills!E2:E24=TRUE)*(C1153:C1175=TRUE))/B1180,0)</f>
        <v/>
      </c>
    </row>
    <row r="1186">
      <c r="A1186" t="inlineStr">
        <is>
          <t>Boss-Only Total DPS (this block's swept value)</t>
        </is>
      </c>
      <c r="B1186">
        <f>SUM(T1153:T1175)</f>
        <v/>
      </c>
    </row>
    <row r="1187">
      <c r="A1187" t="inlineStr">
        <is>
          <t>Normal-Only Total DPS (this block's swept value)</t>
        </is>
      </c>
      <c r="B1187">
        <f>SUM(V1153:V1175)</f>
        <v/>
      </c>
    </row>
    <row r="1188">
      <c r="A1188" s="6" t="inlineStr">
        <is>
          <t>TOTAL DPS</t>
        </is>
      </c>
      <c r="B1188" s="6">
        <f>SUM(O1153:O1175)</f>
        <v/>
      </c>
    </row>
    <row r="1191">
      <c r="A1191" s="6" t="inlineStr">
        <is>
          <t>Stat: Shamaness Marble (Equip)</t>
        </is>
      </c>
    </row>
    <row r="1192">
      <c r="A1192" s="5" t="inlineStr">
        <is>
          <t>Key</t>
        </is>
      </c>
      <c r="B1192" s="5" t="inlineStr">
        <is>
          <t>Name</t>
        </is>
      </c>
      <c r="C1192" s="5" t="inlineStr">
        <is>
          <t>Unlocked</t>
        </is>
      </c>
      <c r="D1192" s="5" t="inlineStr">
        <is>
          <t>InputLevel</t>
        </is>
      </c>
      <c r="E1192" s="5" t="inlineStr">
        <is>
          <t>Factor</t>
        </is>
      </c>
      <c r="F1192" s="5" t="inlineStr">
        <is>
          <t>CoefficientPercent</t>
        </is>
      </c>
      <c r="G1192" s="5" t="inlineStr">
        <is>
          <t>EffectiveHits</t>
        </is>
      </c>
      <c r="H1192" s="5" t="inlineStr">
        <is>
          <t>ProcProbability</t>
        </is>
      </c>
      <c r="I1192" s="5" t="inlineStr">
        <is>
          <t>MapleHeroMultiplier</t>
        </is>
      </c>
      <c r="J1192" s="5" t="inlineStr">
        <is>
          <t>BaseDamage</t>
        </is>
      </c>
      <c r="K1192" s="5" t="inlineStr">
        <is>
          <t>BaseHitDamage</t>
        </is>
      </c>
      <c r="L1192" s="5" t="inlineStr">
        <is>
          <t>NonCritAvg</t>
        </is>
      </c>
      <c r="M1192" s="5" t="inlineStr">
        <is>
          <t>CritAvg</t>
        </is>
      </c>
      <c r="N1192" s="5" t="inlineStr">
        <is>
          <t>ExpectedDamage(perHit)</t>
        </is>
      </c>
      <c r="O1192" s="5" t="inlineStr">
        <is>
          <t>DPS</t>
        </is>
      </c>
      <c r="P1192" s="5" t="inlineStr">
        <is>
          <t>% of Total</t>
        </is>
      </c>
      <c r="Q1192" s="5" t="inlineStr">
        <is>
          <t>InvCooldown</t>
        </is>
      </c>
      <c r="R1192" s="5" t="inlineStr">
        <is>
          <t>CastsInFight</t>
        </is>
      </c>
      <c r="S1192" s="5" t="inlineStr">
        <is>
          <t>HitRate(perSec)</t>
        </is>
      </c>
      <c r="U1192" t="inlineStr">
        <is>
          <t>helpers</t>
        </is>
      </c>
    </row>
    <row r="1193">
      <c r="A1193">
        <f>Skills!A2</f>
        <v/>
      </c>
      <c r="B1193">
        <f>Skills!B2</f>
        <v/>
      </c>
      <c r="C1193">
        <f>Inputs!$B$3&gt;=100</f>
        <v/>
      </c>
      <c r="D1193" t="inlineStr"/>
      <c r="E1193" t="inlineStr"/>
      <c r="F1193">
        <f>U1195+Skills!O2</f>
        <v/>
      </c>
      <c r="G1193">
        <f>Skills!G2*IF(Skills!H2&gt;0,Skills!I2/Skills!H2,1)</f>
        <v/>
      </c>
      <c r="H1193">
        <f>1-(1-Skills!J2/100)^Skills!K2</f>
        <v/>
      </c>
      <c r="I1193" t="inlineStr">
        <is>
          <t>1</t>
        </is>
      </c>
      <c r="J1193">
        <f>((Inputs!$B$6*(1+Inputs!$B$7/100))+(((Inputs!$B$12*(1+Inputs!$B$13/100))-(Inputs!$B$12*(1+Inputs!$B$13/100)))+0.25*(Inputs!$B$14-Inputs!$B$14))*(1+Inputs!$B$7/100))*(F1193/100)</f>
        <v/>
      </c>
      <c r="K1193">
        <f>J1193*(1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1193)</f>
        <v/>
      </c>
      <c r="L1193">
        <f>K1193*(MIN(Inputs!$B$22+((C1213=TRUE)*(F1213-Calc!F22)),(Inputs!$B$23+((C1215=TRUE)*(F1215-Calc!F24))+(IF(ArtifactsInput!$M$15,CHOOSE(ArtifactsInput!$N$15+1,25,30,35,40,45,50)/100*(Inputs!$B$11-Inputs!$B$11),0))))/100+(Inputs!$B$23+((C1215=TRUE)*(F1215-Calc!F24))+(IF(ArtifactsInput!$M$15,CHOOSE(ArtifactsInput!$N$15+1,25,30,35,40,45,50)/100*(Inputs!$B$11-Inputs!$B$11),0)))/100)/2</f>
        <v/>
      </c>
      <c r="M1193">
        <f>L1193*(1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3">
        <f>L1193*(1-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1193*(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3">
        <f>(1-Summary!$B$11)*T1193+Summary!$B$11*V1193</f>
        <v/>
      </c>
      <c r="P1193">
        <f>IF(B1228=0,0,O1193/B1228)</f>
        <v/>
      </c>
      <c r="Q1193" t="n">
        <v>0</v>
      </c>
      <c r="R1193" t="n">
        <v>0</v>
      </c>
      <c r="S1193">
        <f>IFERROR(O1193/N1193,0)</f>
        <v/>
      </c>
      <c r="T1193">
        <f>IF(C1193,(Skills!G2*N1193*B1222)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1193*(1-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1193*(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1193*(1-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1193*(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3">
        <f>MAX(0,(Inputs!$B$3-100)*3)+Inputs!$B$28+Inputs!$B$29</f>
        <v/>
      </c>
      <c r="V1193">
        <f>IF(C1193,(Skills!G2*N1193*B1222)*IF(Inputs!$B$38="pvp",1,(1+(Inputs!$B$21+Skills!Q2+(IF(ArtifactsInput!$M$33,CHOOSE(ArtifactsInput!$N$33+1,30,36,42,48,54,60),0))+(IF(AND(ArtifactsInput!$M$35,Inputs!$B$4&lt;&gt;"Chapter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4">
      <c r="A1194">
        <f>Skills!A3</f>
        <v/>
      </c>
      <c r="B1194">
        <f>Skills!B3</f>
        <v/>
      </c>
      <c r="C1194">
        <f>Inputs!$B$3&gt;=50</f>
        <v/>
      </c>
      <c r="D1194">
        <f>IF(Skills!C3=1,60+Inputs!$B$25+Inputs!$B$29,IF(Skills!C3=2,90+Inputs!$B$26+Inputs!$B$29,IF(Skills!C3=3,120+Inputs!$B$27+Inputs!$B$29,MAX(0,(Inputs!$B$3-100)*3)+Inputs!$B$28+Inputs!$B$29)))</f>
        <v/>
      </c>
      <c r="E1194">
        <f>INDEX(FactorTable!$B$2:$Y$301, MATCH(ROUND(MIN(300,MAX(1,D1194)),0), FactorTable!$A$2:$A$301,0), Skills!M3+1)</f>
        <v/>
      </c>
      <c r="F1194">
        <f>IF(Skills!N3=TRUE,(Skills!L3/10)*(E1194/1000),Skills!L3/10)+Skills!O3</f>
        <v/>
      </c>
      <c r="G1194" t="inlineStr"/>
      <c r="H1194" t="inlineStr"/>
      <c r="I1194" t="inlineStr">
        <is>
          <t>1</t>
        </is>
      </c>
      <c r="J1194" t="inlineStr"/>
      <c r="K1194" t="inlineStr"/>
      <c r="L1194" t="inlineStr"/>
      <c r="M1194" t="inlineStr"/>
      <c r="N1194" t="inlineStr"/>
      <c r="O1194" t="inlineStr"/>
      <c r="P1194" t="inlineStr"/>
      <c r="Q1194" t="inlineStr"/>
      <c r="R1194" t="inlineStr"/>
      <c r="S1194" t="inlineStr"/>
      <c r="U1194">
        <f>INDEX(FactorTable!$B$2:$Y$301, MATCH(ROUND(MIN(300,MAX(1,U1193)),0), FactorTable!$A$2:$A$301,0), 22)</f>
        <v/>
      </c>
    </row>
    <row r="1195">
      <c r="A1195">
        <f>Skills!A4</f>
        <v/>
      </c>
      <c r="B1195">
        <f>Skills!B4</f>
        <v/>
      </c>
      <c r="C1195">
        <f>Inputs!$B$3&gt;=35</f>
        <v/>
      </c>
      <c r="D1195">
        <f>IF(Skills!C4=1,60+Inputs!$B$25+Inputs!$B$29,IF(Skills!C4=2,90+Inputs!$B$26+Inputs!$B$29,IF(Skills!C4=3,120+Inputs!$B$27+Inputs!$B$29,MAX(0,(Inputs!$B$3-100)*3)+Inputs!$B$28+Inputs!$B$29)))</f>
        <v/>
      </c>
      <c r="E1195">
        <f>INDEX(FactorTable!$B$2:$Y$301, MATCH(ROUND(MIN(300,MAX(1,D1195)),0), FactorTable!$A$2:$A$301,0), Skills!M4+1)</f>
        <v/>
      </c>
      <c r="F1195">
        <f>IF(Skills!N4=TRUE,(Skills!L4/10)*(E1195/1000),Skills!L4/10)+Skills!O4</f>
        <v/>
      </c>
      <c r="G1195">
        <f>Skills!G4*IF(Skills!H4&gt;0,Skills!I4/Skills!H4,1)</f>
        <v/>
      </c>
      <c r="H1195">
        <f>1-(1-Skills!J4/100)^Skills!K4</f>
        <v/>
      </c>
      <c r="I1195" t="inlineStr">
        <is>
          <t>1</t>
        </is>
      </c>
      <c r="J1195">
        <f>((Inputs!$B$6*(1+Inputs!$B$7/100))+(((Inputs!$B$12*(1+Inputs!$B$13/100))-(Inputs!$B$12*(1+Inputs!$B$13/100)))+0.25*(Inputs!$B$14-Inputs!$B$14))*(1+Inputs!$B$7/100))*(F1195/100)</f>
        <v/>
      </c>
      <c r="K1195">
        <f>J1195*(1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1203=TRUE,F1203,0)/100)*(1+(IF(Skills!A4="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1195)</f>
        <v/>
      </c>
      <c r="L1195">
        <f>K1195*(MIN(Inputs!$B$22+((C1213=TRUE)*(F1213-Calc!F22)),(Inputs!$B$23+((C1215=TRUE)*(F1215-Calc!F24))+(IF(ArtifactsInput!$M$15,CHOOSE(ArtifactsInput!$N$15+1,25,30,35,40,45,50)/100*(Inputs!$B$11-Inputs!$B$11),0))))/100+(Inputs!$B$23+((C1215=TRUE)*(F1215-Calc!F24))+(IF(ArtifactsInput!$M$15,CHOOSE(ArtifactsInput!$N$15+1,25,30,35,40,45,50)/100*(Inputs!$B$11-Inputs!$B$11),0)))/100)/2</f>
        <v/>
      </c>
      <c r="M1195">
        <f>L1195*(1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5">
        <f>L1195*(1-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1195*(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5">
        <f>(1-Summary!$B$11)*T1195+Summary!$B$11*V1195</f>
        <v/>
      </c>
      <c r="P1195">
        <f>IF(B1228=0,0,O1195/B1228)</f>
        <v/>
      </c>
      <c r="Q1195">
        <f>IFERROR(1/(IF(Inputs!$B$38="pvp",15,MAX(0.1,Skills!D4-IF(Skills!E4=TRUE,Inputs!$B$32,0)))*(1-IF(AND(ArtifactsInput!$M$27,Inputs!$B$4="Chapter Hunt"),CHOOSE(ArtifactsInput!$N$27+1,20,24,28,32,36,40),0)/100)),0)</f>
        <v/>
      </c>
      <c r="R1195">
        <f>IF(AND(Inputs!$B$38&lt;&gt;"pvp",Inputs!$B$43&gt;0),IF(MAX(0,Inputs!$B$43-B1225)&lt;=0,0,(INT(MAX(0,Inputs!$B$43-B1225)/(IF(Inputs!$B$38="pvp",15,MAX(0.1,Skills!D4-IF(Skills!E4=TRUE,Inputs!$B$32,0)))*(1-IF(AND(ArtifactsInput!$M$27,Inputs!$B$4="Chapter Hunt"),CHOOSE(ArtifactsInput!$N$27+1,20,24,28,32,36,40),0)/100)))+1)),0)</f>
        <v/>
      </c>
      <c r="S1195">
        <f>IFERROR(O1195/N1195,0)</f>
        <v/>
      </c>
      <c r="T1195">
        <f>IF(C1195,(H1195*N1195*IF(AND(Inputs!$B$38&lt;&gt;"pvp",Inputs!$B$43&gt;0),((Skills!G4*((R1195-1)*IF(Skills!H4&gt;0,Skills!I4/Skills!H4,1)+IF(Skills!H4&gt;0,MIN(Skills!I4,MAX(0,MAX(0,Inputs!$B$43-B1225)-((R1195-1)*(IF(Inputs!$B$38="pvp",15,MAX(0.1,Skills!D4-IF(Skills!E4=TRUE,Inputs!$B$32,0)))*(1-IF(AND(ArtifactsInput!$M$27,Inputs!$B$4="Chapter Hunt"),CHOOSE(ArtifactsInput!$N$27+1,20,24,28,32,36,40),0)/100)))))/Skills!H4,1)))/Inputs!$B$43),G1195*Q1195)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1195*(1-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1195*(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1195*(1-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1195*(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5">
        <f>290*U1194/1000</f>
        <v/>
      </c>
      <c r="V1195">
        <f>IF(C1195,(H1195*N1195*IF(AND(Inputs!$B$38&lt;&gt;"pvp",Inputs!$B$43&gt;0),((Skills!G4*((R1195-1)*IF(Skills!H4&gt;0,Skills!I4/Skills!H4,1)+IF(Skills!H4&gt;0,MIN(Skills!I4,MAX(0,MAX(0,Inputs!$B$43-B1225)-((R1195-1)*(IF(Inputs!$B$38="pvp",15,MAX(0.1,Skills!D4-IF(Skills!E4=TRUE,Inputs!$B$32,0)))*(1-IF(AND(ArtifactsInput!$M$27,Inputs!$B$4="Chapter Hunt"),CHOOSE(ArtifactsInput!$N$27+1,20,24,28,32,36,40),0)/100)))))/Skills!H4,1)))/Inputs!$B$43),G1195*Q1195))*IF(Inputs!$B$38="pvp",1,(1+(Inputs!$B$21+Skills!Q4+(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6">
      <c r="A1196">
        <f>Skills!A5</f>
        <v/>
      </c>
      <c r="B1196">
        <f>Skills!B5</f>
        <v/>
      </c>
      <c r="C1196">
        <f>Inputs!$B$3&gt;=66</f>
        <v/>
      </c>
      <c r="D1196">
        <f>IF(Skills!C5=1,60+Inputs!$B$25+Inputs!$B$29,IF(Skills!C5=2,90+Inputs!$B$26+Inputs!$B$29,IF(Skills!C5=3,120+Inputs!$B$27+Inputs!$B$29,MAX(0,(Inputs!$B$3-100)*3)+Inputs!$B$28+Inputs!$B$29)))</f>
        <v/>
      </c>
      <c r="E1196">
        <f>INDEX(FactorTable!$B$2:$Y$301, MATCH(ROUND(MIN(300,MAX(1,D1196)),0), FactorTable!$A$2:$A$301,0), Skills!M5+1)</f>
        <v/>
      </c>
      <c r="F1196">
        <f>IF(Skills!N5=TRUE,(Skills!L5/10)*(E1196/1000),Skills!L5/10)+Skills!O5</f>
        <v/>
      </c>
      <c r="G1196">
        <f>Skills!G5*IF(Skills!H5&gt;0,Skills!I5/Skills!H5,1)</f>
        <v/>
      </c>
      <c r="H1196">
        <f>1-(1-Skills!J5/100)^Skills!K5</f>
        <v/>
      </c>
      <c r="I1196" t="inlineStr">
        <is>
          <t>1</t>
        </is>
      </c>
      <c r="J1196">
        <f>((Inputs!$B$6*(1+Inputs!$B$7/100))+(((Inputs!$B$12*(1+Inputs!$B$13/100))-(Inputs!$B$12*(1+Inputs!$B$13/100)))+0.25*(Inputs!$B$14-Inputs!$B$14))*(1+Inputs!$B$7/100))*(F1196/100)</f>
        <v/>
      </c>
      <c r="K1196">
        <f>J1196*(1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1203=TRUE,F1203,0)/100)*(1+(IF(Skills!A5="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1196)</f>
        <v/>
      </c>
      <c r="L1196">
        <f>K1196*(MIN(Inputs!$B$22+((C1213=TRUE)*(F1213-Calc!F22)),(Inputs!$B$23+((C1215=TRUE)*(F1215-Calc!F24))+(IF(ArtifactsInput!$M$15,CHOOSE(ArtifactsInput!$N$15+1,25,30,35,40,45,50)/100*(Inputs!$B$11-Inputs!$B$11),0))))/100+(Inputs!$B$23+((C1215=TRUE)*(F1215-Calc!F24))+(IF(ArtifactsInput!$M$15,CHOOSE(ArtifactsInput!$N$15+1,25,30,35,40,45,50)/100*(Inputs!$B$11-Inputs!$B$11),0)))/100)/2</f>
        <v/>
      </c>
      <c r="M1196">
        <f>L1196*(1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6">
        <f>L1196*(1-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1196*(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6">
        <f>(1-Summary!$B$11)*T1196+Summary!$B$11*V1196</f>
        <v/>
      </c>
      <c r="P1196">
        <f>IF(B1228=0,0,O1196/B1228)</f>
        <v/>
      </c>
      <c r="Q1196">
        <f>IFERROR(1/(IF(Inputs!$B$38="pvp",15,MAX(0.1,Skills!D5-IF(Skills!E5=TRUE,Inputs!$B$32,0)))*(1-IF(AND(ArtifactsInput!$M$27,Inputs!$B$4="Chapter Hunt"),CHOOSE(ArtifactsInput!$N$27+1,20,24,28,32,36,40),0)/100)),0)</f>
        <v/>
      </c>
      <c r="R1196">
        <f>IF(AND(Inputs!$B$38&lt;&gt;"pvp",Inputs!$B$43&gt;0),IF(MAX(0,Inputs!$B$43-B1225)&lt;=0,0,(INT(MAX(0,Inputs!$B$43-B1225)/(IF(Inputs!$B$38="pvp",15,MAX(0.1,Skills!D5-IF(Skills!E5=TRUE,Inputs!$B$32,0)))*(1-IF(AND(ArtifactsInput!$M$27,Inputs!$B$4="Chapter Hunt"),CHOOSE(ArtifactsInput!$N$27+1,20,24,28,32,36,40),0)/100)))+1)),0)</f>
        <v/>
      </c>
      <c r="S1196">
        <f>IFERROR(O1196/N1196,0)</f>
        <v/>
      </c>
      <c r="T1196">
        <f>IF(C1196,(H1196*N1196*IF(AND(Inputs!$B$38&lt;&gt;"pvp",Inputs!$B$43&gt;0),((Skills!G5*((R1196-1)*IF(Skills!H5&gt;0,Skills!I5/Skills!H5,1)+IF(Skills!H5&gt;0,MIN(Skills!I5,MAX(0,MAX(0,Inputs!$B$43-B1225)-((R1196-1)*(IF(Inputs!$B$38="pvp",15,MAX(0.1,Skills!D5-IF(Skills!E5=TRUE,Inputs!$B$32,0)))*(1-IF(AND(ArtifactsInput!$M$27,Inputs!$B$4="Chapter Hunt"),CHOOSE(ArtifactsInput!$N$27+1,20,24,28,32,36,40),0)/100)))))/Skills!H5,1)))/Inputs!$B$43),G1196*Q1196)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1196*(1-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1196*(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1196*(1-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1196*(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6">
        <f>IF(C1196,(H1196*N1196*IF(AND(Inputs!$B$38&lt;&gt;"pvp",Inputs!$B$43&gt;0),((Skills!G5*((R1196-1)*IF(Skills!H5&gt;0,Skills!I5/Skills!H5,1)+IF(Skills!H5&gt;0,MIN(Skills!I5,MAX(0,MAX(0,Inputs!$B$43-B1225)-((R1196-1)*(IF(Inputs!$B$38="pvp",15,MAX(0.1,Skills!D5-IF(Skills!E5=TRUE,Inputs!$B$32,0)))*(1-IF(AND(ArtifactsInput!$M$27,Inputs!$B$4="Chapter Hunt"),CHOOSE(ArtifactsInput!$N$27+1,20,24,28,32,36,40),0)/100)))))/Skills!H5,1)))/Inputs!$B$43),G1196*Q1196))*IF(Inputs!$B$38="pvp",1,(1+(Inputs!$B$21+Skills!Q5+(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7">
      <c r="A1197">
        <f>Skills!A6</f>
        <v/>
      </c>
      <c r="B1197">
        <f>Skills!B6</f>
        <v/>
      </c>
      <c r="C1197">
        <f>Inputs!$B$3&gt;=103</f>
        <v/>
      </c>
      <c r="D1197">
        <f>IF(Skills!C6=1,60+Inputs!$B$25+Inputs!$B$29,IF(Skills!C6=2,90+Inputs!$B$26+Inputs!$B$29,IF(Skills!C6=3,120+Inputs!$B$27+Inputs!$B$29,MAX(0,(Inputs!$B$3-100)*3)+Inputs!$B$28+Inputs!$B$29)))</f>
        <v/>
      </c>
      <c r="E1197">
        <f>INDEX(FactorTable!$B$2:$Y$301, MATCH(ROUND(MIN(300,MAX(1,D1197)),0), FactorTable!$A$2:$A$301,0), Skills!M6+1)</f>
        <v/>
      </c>
      <c r="F1197">
        <f>IF(Skills!N6=TRUE,(Skills!L6/10)*(E1197/1000),Skills!L6/10)+Skills!O6</f>
        <v/>
      </c>
      <c r="G1197">
        <f>Skills!G6*IF(Skills!H6&gt;0,Skills!I6/Skills!H6,1)</f>
        <v/>
      </c>
      <c r="H1197">
        <f>1-(1-Skills!J6/100)^Skills!K6</f>
        <v/>
      </c>
      <c r="I1197" t="inlineStr">
        <is>
          <t>1</t>
        </is>
      </c>
      <c r="J1197">
        <f>((Inputs!$B$6*(1+Inputs!$B$7/100))+(((Inputs!$B$12*(1+Inputs!$B$13/100))-(Inputs!$B$12*(1+Inputs!$B$13/100)))+0.25*(Inputs!$B$14-Inputs!$B$14))*(1+Inputs!$B$7/100))*(F1197/100)</f>
        <v/>
      </c>
      <c r="K1197">
        <f>J1197*(1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1197)</f>
        <v/>
      </c>
      <c r="L1197">
        <f>K1197*(MIN(Inputs!$B$22+((C1213=TRUE)*(F1213-Calc!F22)),(Inputs!$B$23+((C1215=TRUE)*(F1215-Calc!F24))+(IF(ArtifactsInput!$M$15,CHOOSE(ArtifactsInput!$N$15+1,25,30,35,40,45,50)/100*(Inputs!$B$11-Inputs!$B$11),0))))/100+(Inputs!$B$23+((C1215=TRUE)*(F1215-Calc!F24))+(IF(ArtifactsInput!$M$15,CHOOSE(ArtifactsInput!$N$15+1,25,30,35,40,45,50)/100*(Inputs!$B$11-Inputs!$B$11),0)))/100)/2</f>
        <v/>
      </c>
      <c r="M1197">
        <f>L1197*(1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7">
        <f>L1197*(1-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1197*(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7">
        <f>(1-Summary!$B$11)*T1197+Summary!$B$11*V1197</f>
        <v/>
      </c>
      <c r="P1197">
        <f>IF(B1228=0,0,O1197/B1228)</f>
        <v/>
      </c>
      <c r="Q1197">
        <f>IFERROR(1/(IF(Inputs!$B$38="pvp",15,MAX(0.1,Skills!D6-IF(Skills!E6=TRUE,Inputs!$B$32,0)))*(1-IF(AND(ArtifactsInput!$M$27,Inputs!$B$4="Chapter Hunt"),CHOOSE(ArtifactsInput!$N$27+1,20,24,28,32,36,40),0)/100)),0)</f>
        <v/>
      </c>
      <c r="R1197">
        <f>IF(AND(Inputs!$B$38&lt;&gt;"pvp",Inputs!$B$43&gt;0),IF(MAX(0,Inputs!$B$43-B1225)&lt;=0,0,(INT(MAX(0,Inputs!$B$43-B1225)/(IF(Inputs!$B$38="pvp",15,MAX(0.1,Skills!D6-IF(Skills!E6=TRUE,Inputs!$B$32,0)))*(1-IF(AND(ArtifactsInput!$M$27,Inputs!$B$4="Chapter Hunt"),CHOOSE(ArtifactsInput!$N$27+1,20,24,28,32,36,40),0)/100)))+1)),0)</f>
        <v/>
      </c>
      <c r="S1197">
        <f>IFERROR(O1197/N1197,0)</f>
        <v/>
      </c>
      <c r="T1197">
        <f>IF(C1197,(H1197*N1197*IF(AND(Inputs!$B$38&lt;&gt;"pvp",Inputs!$B$43&gt;0),((Skills!G6*((R1197-1)*IF(Skills!H6&gt;0,Skills!I6/Skills!H6,1)+IF(Skills!H6&gt;0,MIN(Skills!I6,MAX(0,MAX(0,Inputs!$B$43-B1225)-((R1197-1)*(IF(Inputs!$B$38="pvp",15,MAX(0.1,Skills!D6-IF(Skills!E6=TRUE,Inputs!$B$32,0)))*(1-IF(AND(ArtifactsInput!$M$27,Inputs!$B$4="Chapter Hunt"),CHOOSE(ArtifactsInput!$N$27+1,20,24,28,32,36,40),0)/100)))))/Skills!H6,1)))/Inputs!$B$43),G1197*Q1197)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1197*(1-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1197*(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1197*(1-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1197*(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7">
        <f>IF(C1197,(H1197*N1197*IF(AND(Inputs!$B$38&lt;&gt;"pvp",Inputs!$B$43&gt;0),((Skills!G6*((R1197-1)*IF(Skills!H6&gt;0,Skills!I6/Skills!H6,1)+IF(Skills!H6&gt;0,MIN(Skills!I6,MAX(0,MAX(0,Inputs!$B$43-B1225)-((R1197-1)*(IF(Inputs!$B$38="pvp",15,MAX(0.1,Skills!D6-IF(Skills!E6=TRUE,Inputs!$B$32,0)))*(1-IF(AND(ArtifactsInput!$M$27,Inputs!$B$4="Chapter Hunt"),CHOOSE(ArtifactsInput!$N$27+1,20,24,28,32,36,40),0)/100)))))/Skills!H6,1)))/Inputs!$B$43),G1197*Q1197))*IF(Inputs!$B$38="pvp",1,(1+(Inputs!$B$21+Skills!Q6+(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8">
      <c r="A1198">
        <f>Skills!A7</f>
        <v/>
      </c>
      <c r="B1198">
        <f>Skills!B7</f>
        <v/>
      </c>
      <c r="C1198">
        <f>Inputs!$B$3&gt;=107</f>
        <v/>
      </c>
      <c r="D1198">
        <f>IF(Skills!C7=1,60+Inputs!$B$25+Inputs!$B$29,IF(Skills!C7=2,90+Inputs!$B$26+Inputs!$B$29,IF(Skills!C7=3,120+Inputs!$B$27+Inputs!$B$29,MAX(0,(Inputs!$B$3-100)*3)+Inputs!$B$28+Inputs!$B$29)))</f>
        <v/>
      </c>
      <c r="E1198">
        <f>INDEX(FactorTable!$B$2:$Y$301, MATCH(ROUND(MIN(300,MAX(1,D1198)),0), FactorTable!$A$2:$A$301,0), Skills!M7+1)</f>
        <v/>
      </c>
      <c r="F1198">
        <f>IF(Skills!N7=TRUE,(Skills!L7/10)*(E1198/1000),Skills!L7/10)+Skills!O7</f>
        <v/>
      </c>
      <c r="G1198">
        <f>Skills!G7*IF(Skills!H7&gt;0,Skills!I7/Skills!H7,1)</f>
        <v/>
      </c>
      <c r="H1198">
        <f>1-(1-Skills!J7/100)^Skills!K7</f>
        <v/>
      </c>
      <c r="I1198" t="inlineStr">
        <is>
          <t>1</t>
        </is>
      </c>
      <c r="J1198">
        <f>((Inputs!$B$6*(1+Inputs!$B$7/100))+(((Inputs!$B$12*(1+Inputs!$B$13/100))-(Inputs!$B$12*(1+Inputs!$B$13/100)))+0.25*(Inputs!$B$14-Inputs!$B$14))*(1+Inputs!$B$7/100))*(F1198/100)</f>
        <v/>
      </c>
      <c r="K1198">
        <f>J1198*(1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1198)</f>
        <v/>
      </c>
      <c r="L1198">
        <f>K1198*(MIN(Inputs!$B$22+((C1213=TRUE)*(F1213-Calc!F22)),(Inputs!$B$23+((C1215=TRUE)*(F1215-Calc!F24))+(IF(ArtifactsInput!$M$15,CHOOSE(ArtifactsInput!$N$15+1,25,30,35,40,45,50)/100*(Inputs!$B$11-Inputs!$B$11),0))))/100+(Inputs!$B$23+((C1215=TRUE)*(F1215-Calc!F24))+(IF(ArtifactsInput!$M$15,CHOOSE(ArtifactsInput!$N$15+1,25,30,35,40,45,50)/100*(Inputs!$B$11-Inputs!$B$11),0)))/100)/2</f>
        <v/>
      </c>
      <c r="M1198">
        <f>L1198*(1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8">
        <f>L1198*(1-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1198*(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8">
        <f>(1-Summary!$B$11)*T1198+Summary!$B$11*V1198</f>
        <v/>
      </c>
      <c r="P1198">
        <f>IF(B1228=0,0,O1198/B1228)</f>
        <v/>
      </c>
      <c r="Q1198">
        <f>IFERROR(1/(IF(Inputs!$B$38="pvp",15,MAX(0.1,Skills!D7-IF(Skills!E7=TRUE,Inputs!$B$32,0)))*(1-IF(AND(ArtifactsInput!$M$27,Inputs!$B$4="Chapter Hunt"),CHOOSE(ArtifactsInput!$N$27+1,20,24,28,32,36,40),0)/100)),0)</f>
        <v/>
      </c>
      <c r="R1198">
        <f>IF(AND(Inputs!$B$38&lt;&gt;"pvp",Inputs!$B$43&gt;0),IF(MAX(0,Inputs!$B$43-B1225)&lt;=0,0,(INT(MAX(0,Inputs!$B$43-B1225)/(IF(Inputs!$B$38="pvp",15,MAX(0.1,Skills!D7-IF(Skills!E7=TRUE,Inputs!$B$32,0)))*(1-IF(AND(ArtifactsInput!$M$27,Inputs!$B$4="Chapter Hunt"),CHOOSE(ArtifactsInput!$N$27+1,20,24,28,32,36,40),0)/100)))+1)),0)</f>
        <v/>
      </c>
      <c r="S1198">
        <f>IFERROR(O1198/N1198,0)</f>
        <v/>
      </c>
      <c r="T1198">
        <f>IF(C1198,(H1198*N1198*IF(AND(Inputs!$B$38&lt;&gt;"pvp",Inputs!$B$43&gt;0),((Skills!G7*((R1198-1)*IF(Skills!H7&gt;0,Skills!I7/Skills!H7,1)+IF(Skills!H7&gt;0,MIN(Skills!I7,MAX(0,MAX(0,Inputs!$B$43-B1225)-((R1198-1)*(IF(Inputs!$B$38="pvp",15,MAX(0.1,Skills!D7-IF(Skills!E7=TRUE,Inputs!$B$32,0)))*(1-IF(AND(ArtifactsInput!$M$27,Inputs!$B$4="Chapter Hunt"),CHOOSE(ArtifactsInput!$N$27+1,20,24,28,32,36,40),0)/100)))))/Skills!H7,1)))/Inputs!$B$43),G1198*Q1198)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1198*(1-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1198*(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1198*(1-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1198*(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8">
        <f>IF(C1198,(H1198*N1198*IF(AND(Inputs!$B$38&lt;&gt;"pvp",Inputs!$B$43&gt;0),((Skills!G7*((R1198-1)*IF(Skills!H7&gt;0,Skills!I7/Skills!H7,1)+IF(Skills!H7&gt;0,MIN(Skills!I7,MAX(0,MAX(0,Inputs!$B$43-B1225)-((R1198-1)*(IF(Inputs!$B$38="pvp",15,MAX(0.1,Skills!D7-IF(Skills!E7=TRUE,Inputs!$B$32,0)))*(1-IF(AND(ArtifactsInput!$M$27,Inputs!$B$4="Chapter Hunt"),CHOOSE(ArtifactsInput!$N$27+1,20,24,28,32,36,40),0)/100)))))/Skills!H7,1)))/Inputs!$B$43),G1198*Q1198))*IF(Inputs!$B$38="pvp",1,(1+(Inputs!$B$21+Skills!Q7+(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9">
      <c r="A1199">
        <f>Skills!A8</f>
        <v/>
      </c>
      <c r="B1199">
        <f>Skills!B8</f>
        <v/>
      </c>
      <c r="C1199">
        <f>Inputs!$B$3&gt;=107</f>
        <v/>
      </c>
      <c r="D1199">
        <f>IF(Skills!C8=1,60+Inputs!$B$25+Inputs!$B$29,IF(Skills!C8=2,90+Inputs!$B$26+Inputs!$B$29,IF(Skills!C8=3,120+Inputs!$B$27+Inputs!$B$29,MAX(0,(Inputs!$B$3-100)*3)+Inputs!$B$28+Inputs!$B$29)))</f>
        <v/>
      </c>
      <c r="E1199">
        <f>INDEX(FactorTable!$B$2:$Y$301, MATCH(ROUND(MIN(300,MAX(1,D1199)),0), FactorTable!$A$2:$A$301,0), Skills!M8+1)</f>
        <v/>
      </c>
      <c r="F1199">
        <f>IF(Skills!N8=TRUE,(Skills!L8/10)*(E1199/1000),Skills!L8/10)+Skills!O8</f>
        <v/>
      </c>
      <c r="G1199">
        <f>Skills!G8*IF(Skills!H8&gt;0,Skills!I8/Skills!H8,1)</f>
        <v/>
      </c>
      <c r="H1199">
        <f>1-(1-Skills!J8/100)^Skills!K8</f>
        <v/>
      </c>
      <c r="I1199" t="inlineStr">
        <is>
          <t>1</t>
        </is>
      </c>
      <c r="J1199">
        <f>((Inputs!$B$6*(1+Inputs!$B$7/100))+(((Inputs!$B$12*(1+Inputs!$B$13/100))-(Inputs!$B$12*(1+Inputs!$B$13/100)))+0.25*(Inputs!$B$14-Inputs!$B$14))*(1+Inputs!$B$7/100))*(F1199/100)</f>
        <v/>
      </c>
      <c r="K1199">
        <f>J1199*(1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1199)</f>
        <v/>
      </c>
      <c r="L1199">
        <f>K1199*(MIN(Inputs!$B$22+((C1213=TRUE)*(F1213-Calc!F22)),(Inputs!$B$23+((C1215=TRUE)*(F1215-Calc!F24))+(IF(ArtifactsInput!$M$15,CHOOSE(ArtifactsInput!$N$15+1,25,30,35,40,45,50)/100*(Inputs!$B$11-Inputs!$B$11),0))))/100+(Inputs!$B$23+((C1215=TRUE)*(F1215-Calc!F24))+(IF(ArtifactsInput!$M$15,CHOOSE(ArtifactsInput!$N$15+1,25,30,35,40,45,50)/100*(Inputs!$B$11-Inputs!$B$11),0)))/100)/2</f>
        <v/>
      </c>
      <c r="M1199">
        <f>L1199*(1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9">
        <f>L1199*(1-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1199*(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9">
        <f>(1-Summary!$B$11)*T1199+Summary!$B$11*V1199</f>
        <v/>
      </c>
      <c r="P1199">
        <f>IF(B1228=0,0,O1199/B1228)</f>
        <v/>
      </c>
      <c r="Q1199">
        <f>IFERROR(1/(IF(Inputs!$B$38="pvp",15,MAX(0.1,Skills!D8-IF(Skills!E8=TRUE,Inputs!$B$32,0)))*(1-IF(AND(ArtifactsInput!$M$27,Inputs!$B$4="Chapter Hunt"),CHOOSE(ArtifactsInput!$N$27+1,20,24,28,32,36,40),0)/100)),0)</f>
        <v/>
      </c>
      <c r="R1199">
        <f>IF(AND(Inputs!$B$38&lt;&gt;"pvp",Inputs!$B$43&gt;0),IF(MAX(0,Inputs!$B$43-B1225)&lt;=0,0,(INT(MAX(0,Inputs!$B$43-B1225)/(IF(Inputs!$B$38="pvp",15,MAX(0.1,Skills!D8-IF(Skills!E8=TRUE,Inputs!$B$32,0)))*(1-IF(AND(ArtifactsInput!$M$27,Inputs!$B$4="Chapter Hunt"),CHOOSE(ArtifactsInput!$N$27+1,20,24,28,32,36,40),0)/100)))+1)),0)</f>
        <v/>
      </c>
      <c r="S1199">
        <f>IFERROR(O1199/N1199,0)</f>
        <v/>
      </c>
      <c r="T1199">
        <f>IF(C1199,(H1199*N1199*IF(AND(Inputs!$B$38&lt;&gt;"pvp",Inputs!$B$43&gt;0),((Skills!G8*((R1199-1)*IF(Skills!H8&gt;0,Skills!I8/Skills!H8,1)+IF(Skills!H8&gt;0,MIN(Skills!I8,MAX(0,MAX(0,Inputs!$B$43-B1225)-((R1199-1)*(IF(Inputs!$B$38="pvp",15,MAX(0.1,Skills!D8-IF(Skills!E8=TRUE,Inputs!$B$32,0)))*(1-IF(AND(ArtifactsInput!$M$27,Inputs!$B$4="Chapter Hunt"),CHOOSE(ArtifactsInput!$N$27+1,20,24,28,32,36,40),0)/100)))))/Skills!H8,1)))/Inputs!$B$43),G1199*Q1199)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1199*(1-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1199*(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1199*(1-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1199*(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99">
        <f>IF(C1199,(H1199*N1199*IF(AND(Inputs!$B$38&lt;&gt;"pvp",Inputs!$B$43&gt;0),((Skills!G8*((R1199-1)*IF(Skills!H8&gt;0,Skills!I8/Skills!H8,1)+IF(Skills!H8&gt;0,MIN(Skills!I8,MAX(0,MAX(0,Inputs!$B$43-B1225)-((R1199-1)*(IF(Inputs!$B$38="pvp",15,MAX(0.1,Skills!D8-IF(Skills!E8=TRUE,Inputs!$B$32,0)))*(1-IF(AND(ArtifactsInput!$M$27,Inputs!$B$4="Chapter Hunt"),CHOOSE(ArtifactsInput!$N$27+1,20,24,28,32,36,40),0)/100)))))/Skills!H8,1)))/Inputs!$B$43),G1199*Q1199))*IF(Inputs!$B$38="pvp",1,(1+(Inputs!$B$21+Skills!Q8+(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0">
      <c r="A1200">
        <f>Skills!A9</f>
        <v/>
      </c>
      <c r="B1200">
        <f>Skills!B9</f>
        <v/>
      </c>
      <c r="C1200">
        <f>Inputs!$B$3&gt;=125</f>
        <v/>
      </c>
      <c r="D1200">
        <f>IF(Skills!C9=1,60+Inputs!$B$25+Inputs!$B$29,IF(Skills!C9=2,90+Inputs!$B$26+Inputs!$B$29,IF(Skills!C9=3,120+Inputs!$B$27+Inputs!$B$29,MAX(0,(Inputs!$B$3-100)*3)+Inputs!$B$28+Inputs!$B$29)))</f>
        <v/>
      </c>
      <c r="E1200">
        <f>INDEX(FactorTable!$B$2:$Y$301, MATCH(ROUND(MIN(300,MAX(1,D1200)),0), FactorTable!$A$2:$A$301,0), Skills!M9+1)</f>
        <v/>
      </c>
      <c r="F1200">
        <f>IF(Skills!N9=TRUE,(Skills!L9/10)*(E1200/1000),Skills!L9/10)+Skills!O9</f>
        <v/>
      </c>
      <c r="G1200">
        <f>Skills!G9*IF(Skills!H9&gt;0,Skills!I9/Skills!H9,1)</f>
        <v/>
      </c>
      <c r="H1200">
        <f>1-(1-Skills!J9/100)^Skills!K9</f>
        <v/>
      </c>
      <c r="I1200" t="inlineStr">
        <is>
          <t>1</t>
        </is>
      </c>
      <c r="J1200">
        <f>((Inputs!$B$6*(1+Inputs!$B$7/100))+(((Inputs!$B$12*(1+Inputs!$B$13/100))-(Inputs!$B$12*(1+Inputs!$B$13/100)))+0.25*(Inputs!$B$14-Inputs!$B$14))*(1+Inputs!$B$7/100))*(F1200/100)</f>
        <v/>
      </c>
      <c r="K1200">
        <f>J1200*(1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1200)</f>
        <v/>
      </c>
      <c r="L1200">
        <f>K1200*(MIN(Inputs!$B$22+((C1213=TRUE)*(F1213-Calc!F22)),(Inputs!$B$23+((C1215=TRUE)*(F1215-Calc!F24))+(IF(ArtifactsInput!$M$15,CHOOSE(ArtifactsInput!$N$15+1,25,30,35,40,45,50)/100*(Inputs!$B$11-Inputs!$B$11),0))))/100+(Inputs!$B$23+((C1215=TRUE)*(F1215-Calc!F24))+(IF(ArtifactsInput!$M$15,CHOOSE(ArtifactsInput!$N$15+1,25,30,35,40,45,50)/100*(Inputs!$B$11-Inputs!$B$11),0)))/100)/2</f>
        <v/>
      </c>
      <c r="M1200">
        <f>L1200*(1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0">
        <f>L1200*(1-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1200*(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0">
        <f>(1-Summary!$B$11)*T1200+Summary!$B$11*V1200</f>
        <v/>
      </c>
      <c r="P1200">
        <f>IF(B1228=0,0,O1200/B1228)</f>
        <v/>
      </c>
      <c r="Q1200">
        <f>IFERROR(1/(IF(Inputs!$B$38="pvp",15,MAX(0.1,Skills!D9-IF(Skills!E9=TRUE,Inputs!$B$32,0)))*(1-IF(AND(ArtifactsInput!$M$27,Inputs!$B$4="Chapter Hunt"),CHOOSE(ArtifactsInput!$N$27+1,20,24,28,32,36,40),0)/100)),0)</f>
        <v/>
      </c>
      <c r="R1200">
        <f>IF(AND(Inputs!$B$38&lt;&gt;"pvp",Inputs!$B$43&gt;0),IF(MAX(0,Inputs!$B$43-B1225)&lt;=0,0,(INT(MAX(0,Inputs!$B$43-B1225)/(IF(Inputs!$B$38="pvp",15,MAX(0.1,Skills!D9-IF(Skills!E9=TRUE,Inputs!$B$32,0)))*(1-IF(AND(ArtifactsInput!$M$27,Inputs!$B$4="Chapter Hunt"),CHOOSE(ArtifactsInput!$N$27+1,20,24,28,32,36,40),0)/100)))+1)),0)</f>
        <v/>
      </c>
      <c r="S1200">
        <f>IFERROR(O1200/N1200,0)</f>
        <v/>
      </c>
      <c r="T1200">
        <f>IF(C1200,(H1200*N1200*IF(AND(Inputs!$B$38&lt;&gt;"pvp",Inputs!$B$43&gt;0),((Skills!G9*((R1200-1)*IF(Skills!H9&gt;0,Skills!I9/Skills!H9,1)+IF(Skills!H9&gt;0,MIN(Skills!I9,MAX(0,MAX(0,Inputs!$B$43-B1225)-((R1200-1)*(IF(Inputs!$B$38="pvp",15,MAX(0.1,Skills!D9-IF(Skills!E9=TRUE,Inputs!$B$32,0)))*(1-IF(AND(ArtifactsInput!$M$27,Inputs!$B$4="Chapter Hunt"),CHOOSE(ArtifactsInput!$N$27+1,20,24,28,32,36,40),0)/100)))))/Skills!H9,1)))/Inputs!$B$43),G1200*Q1200)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1200*(1-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1200*(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1200*(1-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1200*(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0">
        <f>IF(C1200,(H1200*N1200*IF(AND(Inputs!$B$38&lt;&gt;"pvp",Inputs!$B$43&gt;0),((Skills!G9*((R1200-1)*IF(Skills!H9&gt;0,Skills!I9/Skills!H9,1)+IF(Skills!H9&gt;0,MIN(Skills!I9,MAX(0,MAX(0,Inputs!$B$43-B1225)-((R1200-1)*(IF(Inputs!$B$38="pvp",15,MAX(0.1,Skills!D9-IF(Skills!E9=TRUE,Inputs!$B$32,0)))*(1-IF(AND(ArtifactsInput!$M$27,Inputs!$B$4="Chapter Hunt"),CHOOSE(ArtifactsInput!$N$27+1,20,24,28,32,36,40),0)/100)))))/Skills!H9,1)))/Inputs!$B$43),G1200*Q1200))*IF(Inputs!$B$38="pvp",1,(1+(Inputs!$B$21+Skills!Q9+(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1">
      <c r="A1201">
        <f>Skills!A10</f>
        <v/>
      </c>
      <c r="B1201">
        <f>Skills!B10</f>
        <v/>
      </c>
      <c r="C1201">
        <f>Inputs!$B$3&gt;=117</f>
        <v/>
      </c>
      <c r="D1201">
        <f>IF(Skills!C10=1,60+Inputs!$B$25+Inputs!$B$29,IF(Skills!C10=2,90+Inputs!$B$26+Inputs!$B$29,IF(Skills!C10=3,120+Inputs!$B$27+Inputs!$B$29,MAX(0,(Inputs!$B$3-100)*3)+Inputs!$B$28+Inputs!$B$29)))</f>
        <v/>
      </c>
      <c r="E1201">
        <f>INDEX(FactorTable!$B$2:$Y$301, MATCH(ROUND(MIN(300,MAX(1,D1201)),0), FactorTable!$A$2:$A$301,0), Skills!M10+1)</f>
        <v/>
      </c>
      <c r="F1201">
        <f>IF(Skills!N10=TRUE,(Skills!L10/10)*(E1201/1000),Skills!L10/10)+Skills!O10</f>
        <v/>
      </c>
      <c r="G1201">
        <f>Skills!G10*IF(Skills!H10&gt;0,Skills!I10/Skills!H10,1)</f>
        <v/>
      </c>
      <c r="H1201">
        <f>1-(1-Skills!J10/100)^Skills!K10</f>
        <v/>
      </c>
      <c r="I1201" t="inlineStr">
        <is>
          <t>1</t>
        </is>
      </c>
      <c r="J1201">
        <f>((Inputs!$B$6*(1+Inputs!$B$7/100))+(((Inputs!$B$12*(1+Inputs!$B$13/100))-(Inputs!$B$12*(1+Inputs!$B$13/100)))+0.25*(Inputs!$B$14-Inputs!$B$14))*(1+Inputs!$B$7/100))*(F1201/100)</f>
        <v/>
      </c>
      <c r="K1201">
        <f>J1201*(1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1201)</f>
        <v/>
      </c>
      <c r="L1201">
        <f>K1201*(MIN(Inputs!$B$22+((C1213=TRUE)*(F1213-Calc!F22)),(Inputs!$B$23+((C1215=TRUE)*(F1215-Calc!F24))+(IF(ArtifactsInput!$M$15,CHOOSE(ArtifactsInput!$N$15+1,25,30,35,40,45,50)/100*(Inputs!$B$11-Inputs!$B$11),0))))/100+(Inputs!$B$23+((C1215=TRUE)*(F1215-Calc!F24))+(IF(ArtifactsInput!$M$15,CHOOSE(ArtifactsInput!$N$15+1,25,30,35,40,45,50)/100*(Inputs!$B$11-Inputs!$B$11),0)))/100)/2</f>
        <v/>
      </c>
      <c r="M1201">
        <f>L1201*(1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1">
        <f>L1201*(1-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1">
        <f>(1-Summary!$B$11)*T1201+Summary!$B$11*V1201</f>
        <v/>
      </c>
      <c r="P1201">
        <f>IF(B1228=0,0,O1201/B1228)</f>
        <v/>
      </c>
      <c r="Q1201">
        <f>IFERROR(1/(IF(Inputs!$B$38="pvp",15,MAX(0.1,Skills!D10-IF(Skills!E10=TRUE,Inputs!$B$32,0)))*(1-IF(AND(ArtifactsInput!$M$27,Inputs!$B$4="Chapter Hunt"),CHOOSE(ArtifactsInput!$N$27+1,20,24,28,32,36,40),0)/100)),0)</f>
        <v/>
      </c>
      <c r="R1201">
        <f>IF(AND(Inputs!$B$38&lt;&gt;"pvp",Inputs!$B$43&gt;0),IF(MAX(0,Inputs!$B$43-B1225)&lt;=0,0,(INT(MAX(0,Inputs!$B$43-B1225)/(IF(Inputs!$B$38="pvp",15,MAX(0.1,Skills!D10-IF(Skills!E10=TRUE,Inputs!$B$32,0)))*(1-IF(AND(ArtifactsInput!$M$27,Inputs!$B$4="Chapter Hunt"),CHOOSE(ArtifactsInput!$N$27+1,20,24,28,32,36,40),0)/100)))+1)),0)</f>
        <v/>
      </c>
      <c r="S1201">
        <f>IFERROR(O1201/N1201,0)</f>
        <v/>
      </c>
      <c r="T1201">
        <f>IF(C1201,(H1201*N1201*IF(AND(Inputs!$B$38&lt;&gt;"pvp",Inputs!$B$43&gt;0),((Skills!G10*((R1201-1)*IF(Skills!H10&gt;0,Skills!I10/Skills!H10,1)+IF(Skills!H10&gt;0,MIN(Skills!I10,MAX(0,MAX(0,Inputs!$B$43-B1225)-((R1201-1)*(IF(Inputs!$B$38="pvp",15,MAX(0.1,Skills!D10-IF(Skills!E10=TRUE,Inputs!$B$32,0)))*(1-IF(AND(ArtifactsInput!$M$27,Inputs!$B$4="Chapter Hunt"),CHOOSE(ArtifactsInput!$N$27+1,20,24,28,32,36,40),0)/100)))))/Skills!H10,1)))/Inputs!$B$43),G1201*Q1201)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1">
        <f>IF(C1201,(H1201*N1201*IF(AND(Inputs!$B$38&lt;&gt;"pvp",Inputs!$B$43&gt;0),((Skills!G10*((R1201-1)*IF(Skills!H10&gt;0,Skills!I10/Skills!H10,1)+IF(Skills!H10&gt;0,MIN(Skills!I10,MAX(0,MAX(0,Inputs!$B$43-B1225)-((R1201-1)*(IF(Inputs!$B$38="pvp",15,MAX(0.1,Skills!D10-IF(Skills!E10=TRUE,Inputs!$B$32,0)))*(1-IF(AND(ArtifactsInput!$M$27,Inputs!$B$4="Chapter Hunt"),CHOOSE(ArtifactsInput!$N$27+1,20,24,28,32,36,40),0)/100)))))/Skills!H10,1)))/Inputs!$B$43),G1201*Q1201))*IF(Inputs!$B$38="pvp",1,(1+(Inputs!$B$21+Skills!Q10+(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2">
      <c r="A1202">
        <f>Skills!A11</f>
        <v/>
      </c>
      <c r="B1202">
        <f>Skills!B11</f>
        <v/>
      </c>
      <c r="C1202">
        <f>Inputs!$B$3&gt;=63</f>
        <v/>
      </c>
      <c r="D1202">
        <f>IF(Skills!C11=1,60+Inputs!$B$25+Inputs!$B$29,IF(Skills!C11=2,90+Inputs!$B$26+Inputs!$B$29,IF(Skills!C11=3,120+Inputs!$B$27+Inputs!$B$29,MAX(0,(Inputs!$B$3-100)*3)+Inputs!$B$28+Inputs!$B$29)))</f>
        <v/>
      </c>
      <c r="E1202">
        <f>INDEX(FactorTable!$B$2:$Y$301, MATCH(ROUND(MIN(300,MAX(1,D1202)),0), FactorTable!$A$2:$A$301,0), Skills!M11+1)</f>
        <v/>
      </c>
      <c r="F1202">
        <f>IF(Skills!N11=TRUE,(Skills!L11/10)*(E1202/1000),Skills!L11/10)+Skills!O11</f>
        <v/>
      </c>
      <c r="G1202">
        <f>Skills!G11*IF(Skills!H11&gt;0,Skills!I11/Skills!H11,1)</f>
        <v/>
      </c>
      <c r="H1202">
        <f>1-(1-Skills!J11/100)^Skills!K11</f>
        <v/>
      </c>
      <c r="I1202" t="inlineStr">
        <is>
          <t>1</t>
        </is>
      </c>
      <c r="J1202">
        <f>((Inputs!$B$6*(1+Inputs!$B$7/100))+(((Inputs!$B$12*(1+Inputs!$B$13/100))-(Inputs!$B$12*(1+Inputs!$B$13/100)))+0.25*(Inputs!$B$14-Inputs!$B$14))*(1+Inputs!$B$7/100))*(F1202/100)</f>
        <v/>
      </c>
      <c r="K1202">
        <f>J1202*(1+((Inputs!$B$12*(1+Inputs!$B$13/100))*0.01+Inputs!$B$14*0.0025)/100)*(1+Inputs!$B$15/100)*(1+Inputs!$B$16/100)*(5000/(6000+Inputs!$B$42*(1-(Inputs!$B$19+0)/100)))*(1+(Inputs!$B$24+0+B1224)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1203=TRUE,F1203,0)/100)*(1+(IF(Skills!A11="BLAST",Inputs!$B$17+((C1212=TRUE)*(F1212-Calc!F21))+((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MIN(100,((Inputs!$B$9+0+B1218+(ArtifactsInput!$M$24-ArtifactsInput!$M$24)*CHOOSE(ArtifactsInput!$N$24+1,10,12,14,16,18,20)+IF(ArtifactsInput!$M$10,CHOOSE(ArtifactsInput!$N$10+1,15,18,21,24,27,30)*(IF(Inputs!$B$38="pvp",MIN(15,15)/15,IF(AND(Inputs!$B$38&lt;&gt;"pvp",Inputs!$B$43&gt;0),MIN(15,Inputs!$B$43)/(Inputs!$B$43),0))),0)))-100),0))*CHOOSE(ArtifactsInput!$N$42+1,0.6,0.72,0.84,0.96,1.08,1.2))),Inputs!$B$18+((C1214=TRUE)*(F1214-Calc!F23))+(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gt;=100),CHOOSE(ArtifactsInput!$N$42+1,40,48,56,64,72,80),0))))/100)*((1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1202)</f>
        <v/>
      </c>
      <c r="L1202">
        <f>K1202*(MIN(Inputs!$B$22+((C1213=TRUE)*(F1213-Calc!F22)),(Inputs!$B$23+((C1215=TRUE)*(F1215-Calc!F24))+(IF(ArtifactsInput!$M$15,CHOOSE(ArtifactsInput!$N$15+1,25,30,35,40,45,50)/100*(Inputs!$B$11-Inputs!$B$11),0))))/100+(Inputs!$B$23+((C1215=TRUE)*(F1215-Calc!F24))+(IF(ArtifactsInput!$M$15,CHOOSE(ArtifactsInput!$N$15+1,25,30,35,40,45,50)/100*(Inputs!$B$11-Inputs!$B$11),0)))/100)/2</f>
        <v/>
      </c>
      <c r="M1202">
        <f>L1202*(1+(Inputs!$B$10+0+B1223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2">
        <f>L1202*(1-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1202*(MIN((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2">
        <f>(1-Summary!$B$11)*T1202+Summary!$B$11*V1202</f>
        <v/>
      </c>
      <c r="P1202">
        <f>IF(B1228=0,0,O1202/B1228)</f>
        <v/>
      </c>
      <c r="Q1202">
        <f>IFERROR(1/(IF(Inputs!$B$38="pvp",15,MAX(0.1,Skills!D11-IF(Skills!E11=TRUE,Inputs!$B$32,0)))*(1-IF(AND(ArtifactsInput!$M$27,Inputs!$B$4="Chapter Hunt"),CHOOSE(ArtifactsInput!$N$27+1,20,24,28,32,36,40),0)/100)),0)</f>
        <v/>
      </c>
      <c r="R1202">
        <f>IF(AND(Inputs!$B$38&lt;&gt;"pvp",Inputs!$B$43&gt;0),IF(MAX(0,Inputs!$B$43-B1225)&lt;=0,0,(INT(MAX(0,Inputs!$B$43-B1225)/(IF(Inputs!$B$38="pvp",15,MAX(0.1,Skills!D11-IF(Skills!E11=TRUE,Inputs!$B$32,0)))*(1-IF(AND(ArtifactsInput!$M$27,Inputs!$B$4="Chapter Hunt"),CHOOSE(ArtifactsInput!$N$27+1,20,24,28,32,36,40),0)/100)))+1)),0)</f>
        <v/>
      </c>
      <c r="S1202">
        <f>IFERROR(O1202/N1202,0)</f>
        <v/>
      </c>
      <c r="T1202">
        <f>IF(C1202,(H1202*N1202*IF(AND(Inputs!$B$38&lt;&gt;"pvp",Inputs!$B$43&gt;0),((Skills!G11*((R1202-1)*IF(Skills!H11&gt;0,Skills!I11/Skills!H11,1)+IF(Skills!H11&gt;0,MIN(Skills!I11,MAX(0,MAX(0,Inputs!$B$43-B1225)-((R1202-1)*(IF(Inputs!$B$38="pvp",15,MAX(0.1,Skills!D11-IF(Skills!E11=TRUE,Inputs!$B$32,0)))*(1-IF(AND(ArtifactsInput!$M$27,Inputs!$B$4="Chapter Hunt"),CHOOSE(ArtifactsInput!$N$27+1,20,24,28,32,36,40),0)/100)))))/Skills!H11,1)))/Inputs!$B$43),G1202*Q1202)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1202*(1-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1202*(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1202*(1-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1202*(MIN(100,(Inputs!$B$9+0+B1218+(ArtifactsInput!$M$24-ArtifactsInput!$M$24)*CHOOSE(ArtifactsInput!$N$24+1,10,12,14,16,18,20)+(IF(AND(Inputs!$B$38&lt;&gt;"pvp",Inputs!$B$43=0),1,IF(IF(Inputs!$B$38="pvp",15,Inputs!$B$43)-(B1225)&lt;=0,1,MAX(0,IF(Inputs!$B$38="pvp",15,Inputs!$B$43)-MAX(5,B1225))/(IF(Inputs!$B$38="pvp",15,Inputs!$B$43)-(B1225))))*IF(AND(ArtifactsInput!$M$42,((Inputs!$B$9+0+B1218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2">
        <f>IF(C1202,(H1202*N1202*IF(AND(Inputs!$B$38&lt;&gt;"pvp",Inputs!$B$43&gt;0),((Skills!G11*((R1202-1)*IF(Skills!H11&gt;0,Skills!I11/Skills!H11,1)+IF(Skills!H11&gt;0,MIN(Skills!I11,MAX(0,MAX(0,Inputs!$B$43-B1225)-((R1202-1)*(IF(Inputs!$B$38="pvp",15,MAX(0.1,Skills!D11-IF(Skills!E11=TRUE,Inputs!$B$32,0)))*(1-IF(AND(ArtifactsInput!$M$27,Inputs!$B$4="Chapter Hunt"),CHOOSE(ArtifactsInput!$N$27+1,20,24,28,32,36,40),0)/100)))))/Skills!H11,1)))/Inputs!$B$43),G1202*Q1202))*IF(Inputs!$B$38="pvp",1,(1+(Inputs!$B$21+Skills!Q11+(IF(ArtifactsInput!$M$33,CHOOSE(ArtifactsInput!$N$33+1,30,36,42,48,54,60),0))+(IF(AND(ArtifactsInput!$M$35,Inputs!$B$4&lt;&gt;"Chapter Hunt"),CHOOSE(ArtifactsInput!$N$35+1,15,18,21,24,27,30)*(1-EXP(-(0.2*B1220)*5)),0)+IF(AND(ArtifactsInput!$M$22,Inputs!$B$4&lt;&gt;"Chapter Hunt"),CHOOSE(ArtifactsInput!$N$22+1,10,12,14,16,18,20)*((0*(((0.15*B1220*5))^0/1)+1*(((0.15*B1220*5))^1/1)+2*(((0.15*B1220*5))^2/2)+3*(((0.15*B1220*5))^3/6)+4*(((0.15*B1220*5))^4/24)+5*(((0.15*B1220*5))^5/120))/((((0.15*B1220*5))^0/1)+(((0.15*B1220*5))^1/1)+(((0.15*B1220*5))^2/2)+(((0.15*B1220*5))^3/6)+(((0.15*B1220*5))^4/24)+(((0.15*B1220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3">
      <c r="A1203">
        <f>Skills!A12</f>
        <v/>
      </c>
      <c r="B1203">
        <f>Skills!B12</f>
        <v/>
      </c>
      <c r="C1203">
        <f>Inputs!$B$3&gt;=100</f>
        <v/>
      </c>
      <c r="D1203">
        <f>IF(Skills!C12=1,60+Inputs!$B$25+Inputs!$B$29,IF(Skills!C12=2,90+Inputs!$B$26+Inputs!$B$29,IF(Skills!C12=3,120+Inputs!$B$27+Inputs!$B$29,MAX(0,(Inputs!$B$3-100)*3)+Inputs!$B$28+Inputs!$B$29)))</f>
        <v/>
      </c>
      <c r="E1203">
        <f>INDEX(FactorTable!$B$2:$Y$301, MATCH(ROUND(MIN(300,MAX(1,D1203)),0), FactorTable!$A$2:$A$301,0), Skills!M12+1)</f>
        <v/>
      </c>
      <c r="F1203">
        <f>IF(Skills!N12=TRUE,(Skills!L12/10)*(E1203/1000),Skills!L12/10)+Skills!O12</f>
        <v/>
      </c>
      <c r="G1203" t="inlineStr"/>
      <c r="H1203" t="inlineStr"/>
      <c r="I1203" t="inlineStr">
        <is>
          <t>1</t>
        </is>
      </c>
      <c r="J1203" t="inlineStr"/>
      <c r="K1203" t="inlineStr"/>
      <c r="L1203" t="inlineStr"/>
      <c r="M1203" t="inlineStr"/>
      <c r="N1203" t="inlineStr"/>
      <c r="O1203" t="inlineStr"/>
      <c r="P1203" t="inlineStr"/>
      <c r="Q1203" t="inlineStr"/>
      <c r="R1203" t="inlineStr"/>
      <c r="S1203" t="inlineStr"/>
    </row>
    <row r="1204">
      <c r="A1204">
        <f>Skills!A13</f>
        <v/>
      </c>
      <c r="B1204">
        <f>Skills!B13</f>
        <v/>
      </c>
      <c r="C1204">
        <f>Inputs!$B$3&gt;=45</f>
        <v/>
      </c>
      <c r="D1204">
        <f>IF(Skills!C13=1,60+Inputs!$B$25+Inputs!$B$29,IF(Skills!C13=2,90+Inputs!$B$26+Inputs!$B$29,IF(Skills!C13=3,120+Inputs!$B$27+Inputs!$B$29,MAX(0,(Inputs!$B$3-100)*3)+Inputs!$B$28+Inputs!$B$29)))</f>
        <v/>
      </c>
      <c r="E1204">
        <f>INDEX(FactorTable!$B$2:$Y$301, MATCH(ROUND(MIN(300,MAX(1,D1204)),0), FactorTable!$A$2:$A$301,0), Skills!M13+1)</f>
        <v/>
      </c>
      <c r="F1204">
        <f>IF(Skills!N13=TRUE,(Skills!L13/10)*(E1204/1000),Skills!L13/10)+Skills!O13</f>
        <v/>
      </c>
      <c r="G1204">
        <f>Skills!G13*IF(Skills!H13&gt;0,Skills!I13/Skills!H13,1)</f>
        <v/>
      </c>
      <c r="H1204">
        <f>1-(1-Skills!J13/100)^Skills!K13</f>
        <v/>
      </c>
      <c r="I1204" t="inlineStr">
        <is>
          <t>1</t>
        </is>
      </c>
      <c r="J1204" t="inlineStr"/>
      <c r="K1204" t="inlineStr"/>
      <c r="L1204" t="inlineStr"/>
      <c r="M1204" t="inlineStr"/>
      <c r="N1204" t="inlineStr"/>
      <c r="O1204">
        <f>(1-Summary!$B$11)*T1204+Summary!$B$11*V1204</f>
        <v/>
      </c>
      <c r="P1204">
        <f>IF(B1228=0,0,O1204/B1228)</f>
        <v/>
      </c>
      <c r="Q1204" t="n">
        <v>0</v>
      </c>
      <c r="R1204" t="n">
        <v>0</v>
      </c>
      <c r="S1204">
        <f>IFERROR(O1204/N1204,0)</f>
        <v/>
      </c>
      <c r="T1204" t="n">
        <v>0</v>
      </c>
      <c r="V1204" t="n">
        <v>0</v>
      </c>
    </row>
    <row r="1205">
      <c r="A1205">
        <f>Skills!A14</f>
        <v/>
      </c>
      <c r="B1205">
        <f>Skills!B14</f>
        <v/>
      </c>
      <c r="C1205">
        <f>Inputs!$B$3&gt;=110</f>
        <v/>
      </c>
      <c r="D1205">
        <f>IF(Skills!C14=1,60+Inputs!$B$25+Inputs!$B$29,IF(Skills!C14=2,90+Inputs!$B$26+Inputs!$B$29,IF(Skills!C14=3,120+Inputs!$B$27+Inputs!$B$29,MAX(0,(Inputs!$B$3-100)*3)+Inputs!$B$28+Inputs!$B$29)))</f>
        <v/>
      </c>
      <c r="E1205">
        <f>INDEX(FactorTable!$B$2:$Y$301, MATCH(ROUND(MIN(300,MAX(1,D1205)),0), FactorTable!$A$2:$A$301,0), Skills!M14+1)</f>
        <v/>
      </c>
      <c r="F1205">
        <f>IF(Skills!N14=TRUE,(Skills!L14/10)*(E1205/1000),Skills!L14/10)+Skills!O14</f>
        <v/>
      </c>
      <c r="G1205">
        <f>Skills!G14*IF(Skills!H14&gt;0,Skills!I14/Skills!H14,1)</f>
        <v/>
      </c>
      <c r="H1205">
        <f>1-(1-Skills!J14/100)^Skills!K14</f>
        <v/>
      </c>
      <c r="I1205" t="inlineStr">
        <is>
          <t>1</t>
        </is>
      </c>
      <c r="J1205" t="inlineStr"/>
      <c r="K1205" t="inlineStr"/>
      <c r="L1205" t="inlineStr"/>
      <c r="M1205" t="inlineStr"/>
      <c r="N1205" t="inlineStr"/>
      <c r="O1205">
        <f>(1-Summary!$B$11)*T1205+Summary!$B$11*V1205</f>
        <v/>
      </c>
      <c r="P1205">
        <f>IF(B1228=0,0,O1205/B1228)</f>
        <v/>
      </c>
      <c r="Q1205" t="n">
        <v>0</v>
      </c>
      <c r="R1205" t="n">
        <v>0</v>
      </c>
      <c r="S1205">
        <f>IFERROR(O1205/N1205,0)</f>
        <v/>
      </c>
      <c r="T1205" t="n">
        <v>0</v>
      </c>
      <c r="V1205" t="n">
        <v>0</v>
      </c>
    </row>
    <row r="1206">
      <c r="A1206">
        <f>Skills!A15</f>
        <v/>
      </c>
      <c r="B1206">
        <f>Skills!B15</f>
        <v/>
      </c>
      <c r="C1206">
        <f>Inputs!$B$3&gt;=75</f>
        <v/>
      </c>
      <c r="D1206">
        <f>IF(Skills!C15=1,60+Inputs!$B$25+Inputs!$B$29,IF(Skills!C15=2,90+Inputs!$B$26+Inputs!$B$29,IF(Skills!C15=3,120+Inputs!$B$27+Inputs!$B$29,MAX(0,(Inputs!$B$3-100)*3)+Inputs!$B$28+Inputs!$B$29)))</f>
        <v/>
      </c>
      <c r="E1206">
        <f>INDEX(FactorTable!$B$2:$Y$301, MATCH(ROUND(MIN(300,MAX(1,D1206)),0), FactorTable!$A$2:$A$301,0), Skills!M15+1)</f>
        <v/>
      </c>
      <c r="F1206">
        <f>IF(Skills!N15=TRUE,(Skills!L15/10)*(E1206/1000),Skills!L15/10)+Skills!O15</f>
        <v/>
      </c>
      <c r="G1206">
        <f>Skills!G15*IF(Skills!H15&gt;0,Skills!I15/Skills!H15,1)</f>
        <v/>
      </c>
      <c r="H1206">
        <f>1-(1-Skills!J15/100)^Skills!K15</f>
        <v/>
      </c>
      <c r="I1206" t="inlineStr">
        <is>
          <t>1</t>
        </is>
      </c>
      <c r="J1206" t="inlineStr"/>
      <c r="K1206" t="inlineStr"/>
      <c r="L1206" t="inlineStr"/>
      <c r="M1206" t="inlineStr"/>
      <c r="N1206" t="inlineStr"/>
      <c r="O1206">
        <f>(1-Summary!$B$11)*T1206+Summary!$B$11*V1206</f>
        <v/>
      </c>
      <c r="P1206">
        <f>IF(B1228=0,0,O1206/B1228)</f>
        <v/>
      </c>
      <c r="Q1206">
        <f>IFERROR(1/(IF(Inputs!$B$38="pvp",15,MAX(0.1,Skills!D15-IF(Skills!E15=TRUE,Inputs!$B$32,0)))*(1-IF(AND(ArtifactsInput!$M$27,Inputs!$B$4="Chapter Hunt"),CHOOSE(ArtifactsInput!$N$27+1,20,24,28,32,36,40),0)/100)),0)</f>
        <v/>
      </c>
      <c r="R1206">
        <f>IF(AND(Inputs!$B$38&lt;&gt;"pvp",Inputs!$B$43&gt;0),IF(Inputs!$B$43&lt;=0,0,(INT(Inputs!$B$43/(IF(Inputs!$B$38="pvp",15,MAX(0.1,Skills!D15-IF(Skills!E15=TRUE,Inputs!$B$32,0)))*(1-IF(AND(ArtifactsInput!$M$27,Inputs!$B$4="Chapter Hunt"),CHOOSE(ArtifactsInput!$N$27+1,20,24,28,32,36,40),0)/100)))+1)),0)</f>
        <v/>
      </c>
      <c r="S1206">
        <f>IFERROR(O1206/N1206,0)</f>
        <v/>
      </c>
      <c r="T1206" t="n">
        <v>0</v>
      </c>
      <c r="V1206" t="n">
        <v>0</v>
      </c>
    </row>
    <row r="1207">
      <c r="A1207">
        <f>Skills!A16</f>
        <v/>
      </c>
      <c r="B1207">
        <f>Skills!B16</f>
        <v/>
      </c>
      <c r="C1207">
        <f>Inputs!$B$3&gt;=105</f>
        <v/>
      </c>
      <c r="D1207">
        <f>IF(Skills!C16=1,60+Inputs!$B$25+Inputs!$B$29,IF(Skills!C16=2,90+Inputs!$B$26+Inputs!$B$29,IF(Skills!C16=3,120+Inputs!$B$27+Inputs!$B$29,MAX(0,(Inputs!$B$3-100)*3)+Inputs!$B$28+Inputs!$B$29)))</f>
        <v/>
      </c>
      <c r="E1207">
        <f>INDEX(FactorTable!$B$2:$Y$301, MATCH(ROUND(MIN(300,MAX(1,D1207)),0), FactorTable!$A$2:$A$301,0), Skills!M16+1)</f>
        <v/>
      </c>
      <c r="F1207">
        <f>IF(Skills!N16=TRUE,(Skills!L16/10)*(E1207/1000),Skills!L16/10)+Skills!O16</f>
        <v/>
      </c>
      <c r="G1207">
        <f>Skills!G16*IF(Skills!H16&gt;0,Skills!I16/Skills!H16,1)</f>
        <v/>
      </c>
      <c r="H1207">
        <f>1-(1-Skills!J16/100)^Skills!K16</f>
        <v/>
      </c>
      <c r="I1207" t="inlineStr">
        <is>
          <t>1</t>
        </is>
      </c>
      <c r="J1207" t="inlineStr"/>
      <c r="K1207" t="inlineStr"/>
      <c r="L1207" t="inlineStr"/>
      <c r="M1207" t="inlineStr"/>
      <c r="N1207" t="inlineStr"/>
      <c r="O1207">
        <f>(1-Summary!$B$11)*T1207+Summary!$B$11*V1207</f>
        <v/>
      </c>
      <c r="P1207">
        <f>IF(B1228=0,0,O1207/B1228)</f>
        <v/>
      </c>
      <c r="Q1207">
        <f>IFERROR(1/(IF(Inputs!$B$38="pvp",15,MAX(0.1,Skills!D16-IF(Skills!E16=TRUE,Inputs!$B$32,0)))*(1-IF(AND(ArtifactsInput!$M$27,Inputs!$B$4="Chapter Hunt"),CHOOSE(ArtifactsInput!$N$27+1,20,24,28,32,36,40),0)/100)),0)</f>
        <v/>
      </c>
      <c r="R1207">
        <f>IF(AND(Inputs!$B$38&lt;&gt;"pvp",Inputs!$B$43&gt;0),IF(Inputs!$B$43&lt;=0,0,(INT(Inputs!$B$43/(IF(Inputs!$B$38="pvp",15,MAX(0.1,Skills!D16-IF(Skills!E16=TRUE,Inputs!$B$32,0)))*(1-IF(AND(ArtifactsInput!$M$27,Inputs!$B$4="Chapter Hunt"),CHOOSE(ArtifactsInput!$N$27+1,20,24,28,32,36,40),0)/100)))+1)),0)</f>
        <v/>
      </c>
      <c r="S1207">
        <f>IFERROR(O1207/N1207,0)</f>
        <v/>
      </c>
      <c r="T1207" t="n">
        <v>0</v>
      </c>
      <c r="V1207" t="n">
        <v>0</v>
      </c>
    </row>
    <row r="1208">
      <c r="A1208">
        <f>Skills!A17</f>
        <v/>
      </c>
      <c r="B1208">
        <f>Skills!B17</f>
        <v/>
      </c>
      <c r="C1208">
        <f>Inputs!$B$3&gt;=115</f>
        <v/>
      </c>
      <c r="D1208">
        <f>IF(Skills!C17=1,60+Inputs!$B$25+Inputs!$B$29,IF(Skills!C17=2,90+Inputs!$B$26+Inputs!$B$29,IF(Skills!C17=3,120+Inputs!$B$27+Inputs!$B$29,MAX(0,(Inputs!$B$3-100)*3)+Inputs!$B$28+Inputs!$B$29)))</f>
        <v/>
      </c>
      <c r="E1208">
        <f>INDEX(FactorTable!$B$2:$Y$301, MATCH(ROUND(MIN(300,MAX(1,D1208)),0), FactorTable!$A$2:$A$301,0), Skills!M17+1)</f>
        <v/>
      </c>
      <c r="F1208">
        <f>IF(Skills!N17=TRUE,(Skills!L17/10)*(E1208/1000),Skills!L17/10)+Skills!O17</f>
        <v/>
      </c>
      <c r="G1208">
        <f>Skills!G17*IF(Skills!H17&gt;0,Skills!I17/Skills!H17,1)</f>
        <v/>
      </c>
      <c r="H1208">
        <f>1-(1-Skills!J17/100)^Skills!K17</f>
        <v/>
      </c>
      <c r="I1208" t="inlineStr">
        <is>
          <t>1</t>
        </is>
      </c>
      <c r="J1208" t="inlineStr"/>
      <c r="K1208" t="inlineStr"/>
      <c r="L1208" t="inlineStr"/>
      <c r="M1208" t="inlineStr"/>
      <c r="N1208" t="inlineStr"/>
      <c r="O1208">
        <f>(1-Summary!$B$11)*T1208+Summary!$B$11*V1208</f>
        <v/>
      </c>
      <c r="P1208">
        <f>IF(B1228=0,0,O1208/B1228)</f>
        <v/>
      </c>
      <c r="Q1208">
        <f>IFERROR(1/(IF(Inputs!$B$38="pvp",15,MAX(0.1,Skills!D17-IF(Skills!E17=TRUE,Inputs!$B$32,0)))*(1-IF(AND(ArtifactsInput!$M$27,Inputs!$B$4="Chapter Hunt"),CHOOSE(ArtifactsInput!$N$27+1,20,24,28,32,36,40),0)/100)),0)</f>
        <v/>
      </c>
      <c r="R1208">
        <f>IF(AND(Inputs!$B$38&lt;&gt;"pvp",Inputs!$B$43&gt;0),IF(Inputs!$B$43&lt;=0,0,(INT(Inputs!$B$43/(IF(Inputs!$B$38="pvp",15,MAX(0.1,Skills!D17-IF(Skills!E17=TRUE,Inputs!$B$32,0)))*(1-IF(AND(ArtifactsInput!$M$27,Inputs!$B$4="Chapter Hunt"),CHOOSE(ArtifactsInput!$N$27+1,20,24,28,32,36,40),0)/100)))+1)),0)</f>
        <v/>
      </c>
      <c r="S1208">
        <f>IFERROR(O1208/N1208,0)</f>
        <v/>
      </c>
      <c r="T1208" t="n">
        <v>0</v>
      </c>
      <c r="V1208" t="n">
        <v>0</v>
      </c>
    </row>
    <row r="1209">
      <c r="A1209">
        <f>Skills!A18</f>
        <v/>
      </c>
      <c r="B1209">
        <f>Skills!B18</f>
        <v/>
      </c>
      <c r="C1209">
        <f>Inputs!$B$3&gt;=74</f>
        <v/>
      </c>
      <c r="D1209">
        <f>IF(Skills!C18=1,60+Inputs!$B$25+Inputs!$B$29,IF(Skills!C18=2,90+Inputs!$B$26+Inputs!$B$29,IF(Skills!C18=3,120+Inputs!$B$27+Inputs!$B$29,MAX(0,(Inputs!$B$3-100)*3)+Inputs!$B$28+Inputs!$B$29)))</f>
        <v/>
      </c>
      <c r="E1209">
        <f>INDEX(FactorTable!$B$2:$Y$301, MATCH(ROUND(MIN(300,MAX(1,D1209)),0), FactorTable!$A$2:$A$301,0), Skills!M18+1)</f>
        <v/>
      </c>
      <c r="F1209">
        <f>IF(Skills!N18=TRUE,(Skills!L18/10)*(E1209/1000),Skills!L18/10)+Skills!O18</f>
        <v/>
      </c>
      <c r="G1209">
        <f>Skills!G18*IF(Skills!H18&gt;0,Skills!I18/Skills!H18,1)</f>
        <v/>
      </c>
      <c r="H1209">
        <f>1-(1-Skills!J18/100)^Skills!K18</f>
        <v/>
      </c>
      <c r="I1209" t="inlineStr">
        <is>
          <t>1</t>
        </is>
      </c>
      <c r="J1209" t="inlineStr"/>
      <c r="K1209" t="inlineStr"/>
      <c r="L1209" t="inlineStr"/>
      <c r="M1209" t="inlineStr"/>
      <c r="N1209" t="inlineStr"/>
      <c r="O1209">
        <f>(1-Summary!$B$11)*T1209+Summary!$B$11*V1209</f>
        <v/>
      </c>
      <c r="P1209">
        <f>IF(B1228=0,0,O1209/B1228)</f>
        <v/>
      </c>
      <c r="Q1209">
        <f>IFERROR(1/(IF(Inputs!$B$38="pvp",15,MAX(0.1,Skills!D18-IF(Skills!E18=TRUE,Inputs!$B$32,0)))*(1-IF(AND(ArtifactsInput!$M$27,Inputs!$B$4="Chapter Hunt"),CHOOSE(ArtifactsInput!$N$27+1,20,24,28,32,36,40),0)/100)),0)</f>
        <v/>
      </c>
      <c r="R1209">
        <f>IF(AND(Inputs!$B$38&lt;&gt;"pvp",Inputs!$B$43&gt;0),IF(Inputs!$B$43&lt;=0,0,(INT(Inputs!$B$43/(IF(Inputs!$B$38="pvp",15,MAX(0.1,Skills!D18-IF(Skills!E18=TRUE,Inputs!$B$32,0)))*(1-IF(AND(ArtifactsInput!$M$27,Inputs!$B$4="Chapter Hunt"),CHOOSE(ArtifactsInput!$N$27+1,20,24,28,32,36,40),0)/100)))+1)),0)</f>
        <v/>
      </c>
      <c r="S1209">
        <f>IFERROR(O1209/N1209,0)</f>
        <v/>
      </c>
      <c r="T1209" t="n">
        <v>0</v>
      </c>
      <c r="V1209" t="n">
        <v>0</v>
      </c>
    </row>
    <row r="1210">
      <c r="A1210">
        <f>Skills!A19</f>
        <v/>
      </c>
      <c r="B1210">
        <f>Skills!B19</f>
        <v/>
      </c>
      <c r="C1210">
        <f>TRUE</f>
        <v/>
      </c>
      <c r="D1210">
        <f>IF(Skills!C19=1,60+Inputs!$B$25+Inputs!$B$29,IF(Skills!C19=2,90+Inputs!$B$26+Inputs!$B$29,IF(Skills!C19=3,120+Inputs!$B$27+Inputs!$B$29,MAX(0,(Inputs!$B$3-100)*3)+Inputs!$B$28+Inputs!$B$29)))</f>
        <v/>
      </c>
      <c r="E1210">
        <f>INDEX(FactorTable!$B$2:$Y$301, MATCH(ROUND(MIN(300,MAX(1,D1210)),0), FactorTable!$A$2:$A$301,0), Skills!M19+1)</f>
        <v/>
      </c>
      <c r="F1210">
        <f>IF(Skills!N19=TRUE,(Skills!L19/10)*(E1210/1000),Skills!L19/10)+Skills!O19</f>
        <v/>
      </c>
      <c r="G1210">
        <f>Skills!G19*IF(Skills!H19&gt;0,Skills!I19/Skills!H19,1)</f>
        <v/>
      </c>
      <c r="H1210">
        <f>1-(1-Skills!J19/100)^Skills!K19</f>
        <v/>
      </c>
      <c r="I1210" t="inlineStr">
        <is>
          <t>1</t>
        </is>
      </c>
      <c r="J1210" t="inlineStr"/>
      <c r="K1210" t="inlineStr"/>
      <c r="L1210" t="inlineStr"/>
      <c r="M1210" t="inlineStr"/>
      <c r="N1210" t="inlineStr"/>
      <c r="O1210">
        <f>(1-Summary!$B$11)*T1210+Summary!$B$11*V1210</f>
        <v/>
      </c>
      <c r="P1210">
        <f>IF(B1228=0,0,O1210/B1228)</f>
        <v/>
      </c>
      <c r="Q1210">
        <f>IFERROR(1/(IF(Inputs!$B$38="pvp",15,MAX(0.1,Skills!D19-IF(Skills!E19=TRUE,Inputs!$B$32,0)))*(1-IF(AND(ArtifactsInput!$M$27,Inputs!$B$4="Chapter Hunt"),CHOOSE(ArtifactsInput!$N$27+1,20,24,28,32,36,40),0)/100)),0)</f>
        <v/>
      </c>
      <c r="R1210">
        <f>IF(AND(Inputs!$B$38&lt;&gt;"pvp",Inputs!$B$43&gt;0),IF(Inputs!$B$43&lt;=0,0,(INT(Inputs!$B$43/(IF(Inputs!$B$38="pvp",15,MAX(0.1,Skills!D19-IF(Skills!E19=TRUE,Inputs!$B$32,0)))*(1-IF(AND(ArtifactsInput!$M$27,Inputs!$B$4="Chapter Hunt"),CHOOSE(ArtifactsInput!$N$27+1,20,24,28,32,36,40),0)/100)))+1)),0)</f>
        <v/>
      </c>
      <c r="S1210">
        <f>IFERROR(O1210/N1210,0)</f>
        <v/>
      </c>
      <c r="T1210" t="n">
        <v>0</v>
      </c>
      <c r="V1210" t="n">
        <v>0</v>
      </c>
    </row>
    <row r="1211">
      <c r="A1211">
        <f>Skills!A20</f>
        <v/>
      </c>
      <c r="B1211">
        <f>Skills!B20</f>
        <v/>
      </c>
      <c r="C1211">
        <f>Inputs!$B$3&gt;=33</f>
        <v/>
      </c>
      <c r="D1211">
        <f>IF(Skills!C20=1,60+Inputs!$B$25+Inputs!$B$29,IF(Skills!C20=2,90+Inputs!$B$26+Inputs!$B$29,IF(Skills!C20=3,120+Inputs!$B$27+Inputs!$B$29,MAX(0,(Inputs!$B$3-100)*3)+Inputs!$B$28+Inputs!$B$29)))</f>
        <v/>
      </c>
      <c r="E1211">
        <f>INDEX(FactorTable!$B$2:$Y$301, MATCH(ROUND(MIN(300,MAX(1,D1211)),0), FactorTable!$A$2:$A$301,0), Skills!M20+1)</f>
        <v/>
      </c>
      <c r="F1211">
        <f>IF(Skills!N20=TRUE,(Skills!L20/10)*(E1211/1000),Skills!L20/10)+Skills!O20</f>
        <v/>
      </c>
      <c r="G1211">
        <f>Skills!G20*IF(Skills!H20&gt;0,Skills!I20/Skills!H20,1)</f>
        <v/>
      </c>
      <c r="H1211">
        <f>1-(1-Skills!J20/100)^Skills!K20</f>
        <v/>
      </c>
      <c r="I1211" t="inlineStr">
        <is>
          <t>1</t>
        </is>
      </c>
      <c r="J1211" t="inlineStr"/>
      <c r="K1211" t="inlineStr"/>
      <c r="L1211" t="inlineStr"/>
      <c r="M1211" t="inlineStr"/>
      <c r="N1211" t="inlineStr"/>
      <c r="O1211">
        <f>(1-Summary!$B$11)*T1211+Summary!$B$11*V1211</f>
        <v/>
      </c>
      <c r="P1211">
        <f>IF(B1228=0,0,O1211/B1228)</f>
        <v/>
      </c>
      <c r="Q1211" t="n">
        <v>0</v>
      </c>
      <c r="R1211" t="n">
        <v>0</v>
      </c>
      <c r="S1211">
        <f>IFERROR(O1211/N1211,0)</f>
        <v/>
      </c>
      <c r="T1211" t="n">
        <v>0</v>
      </c>
      <c r="V1211" t="n">
        <v>0</v>
      </c>
    </row>
    <row r="1212">
      <c r="A1212">
        <f>Skills!A21</f>
        <v/>
      </c>
      <c r="B1212">
        <f>Skills!B21</f>
        <v/>
      </c>
      <c r="C1212">
        <f>Inputs!$B$3&gt;=38</f>
        <v/>
      </c>
      <c r="D1212">
        <f>IF(Skills!C21=1,60+Inputs!$B$25+Inputs!$B$29,IF(Skills!C21=2,90+Inputs!$B$26+Inputs!$B$29,IF(Skills!C21=3,120+Inputs!$B$27+Inputs!$B$29,MAX(0,(Inputs!$B$3-100)*3)+Inputs!$B$28+Inputs!$B$29)))</f>
        <v/>
      </c>
      <c r="E1212">
        <f>INDEX(FactorTable!$B$2:$Y$301, MATCH(ROUND(MIN(300,MAX(1,D1212)),0), FactorTable!$A$2:$A$301,0), Skills!M21+1)</f>
        <v/>
      </c>
      <c r="F1212">
        <f>IF(Skills!N21=TRUE,(Skills!L21/10)*(E1212/1000),Skills!L21/10)+Skills!O21</f>
        <v/>
      </c>
      <c r="G1212">
        <f>Skills!G21*IF(Skills!H21&gt;0,Skills!I21/Skills!H21,1)</f>
        <v/>
      </c>
      <c r="H1212">
        <f>1-(1-Skills!J21/100)^Skills!K21</f>
        <v/>
      </c>
      <c r="I1212" t="inlineStr">
        <is>
          <t>1</t>
        </is>
      </c>
      <c r="J1212" t="inlineStr"/>
      <c r="K1212" t="inlineStr"/>
      <c r="L1212" t="inlineStr"/>
      <c r="M1212" t="inlineStr"/>
      <c r="N1212" t="inlineStr"/>
      <c r="O1212">
        <f>(1-Summary!$B$11)*T1212+Summary!$B$11*V1212</f>
        <v/>
      </c>
      <c r="P1212">
        <f>IF(B1228=0,0,O1212/B1228)</f>
        <v/>
      </c>
      <c r="Q1212" t="n">
        <v>0</v>
      </c>
      <c r="R1212" t="n">
        <v>0</v>
      </c>
      <c r="S1212">
        <f>IFERROR(O1212/N1212,0)</f>
        <v/>
      </c>
      <c r="T1212" t="n">
        <v>0</v>
      </c>
      <c r="V1212" t="n">
        <v>0</v>
      </c>
    </row>
    <row r="1213">
      <c r="A1213">
        <f>Skills!A22</f>
        <v/>
      </c>
      <c r="B1213">
        <f>Skills!B22</f>
        <v/>
      </c>
      <c r="C1213">
        <f>Inputs!$B$3&gt;=43</f>
        <v/>
      </c>
      <c r="D1213">
        <f>IF(Skills!C22=1,60+Inputs!$B$25+Inputs!$B$29,IF(Skills!C22=2,90+Inputs!$B$26+Inputs!$B$29,IF(Skills!C22=3,120+Inputs!$B$27+Inputs!$B$29,MAX(0,(Inputs!$B$3-100)*3)+Inputs!$B$28+Inputs!$B$29)))</f>
        <v/>
      </c>
      <c r="E1213">
        <f>INDEX(FactorTable!$B$2:$Y$301, MATCH(ROUND(MIN(300,MAX(1,D1213)),0), FactorTable!$A$2:$A$301,0), Skills!M22+1)</f>
        <v/>
      </c>
      <c r="F1213">
        <f>IF(Skills!N22=TRUE,(Skills!L22/10)*(E1213/1000),Skills!L22/10)+Skills!O22</f>
        <v/>
      </c>
      <c r="G1213">
        <f>Skills!G22*IF(Skills!H22&gt;0,Skills!I22/Skills!H22,1)</f>
        <v/>
      </c>
      <c r="H1213">
        <f>1-(1-Skills!J22/100)^Skills!K22</f>
        <v/>
      </c>
      <c r="I1213" t="inlineStr">
        <is>
          <t>1</t>
        </is>
      </c>
      <c r="J1213" t="inlineStr"/>
      <c r="K1213" t="inlineStr"/>
      <c r="L1213" t="inlineStr"/>
      <c r="M1213" t="inlineStr"/>
      <c r="N1213" t="inlineStr"/>
      <c r="O1213">
        <f>(1-Summary!$B$11)*T1213+Summary!$B$11*V1213</f>
        <v/>
      </c>
      <c r="P1213">
        <f>IF(B1228=0,0,O1213/B1228)</f>
        <v/>
      </c>
      <c r="Q1213" t="n">
        <v>0</v>
      </c>
      <c r="R1213" t="n">
        <v>0</v>
      </c>
      <c r="S1213">
        <f>IFERROR(O1213/N1213,0)</f>
        <v/>
      </c>
      <c r="T1213" t="n">
        <v>0</v>
      </c>
      <c r="V1213" t="n">
        <v>0</v>
      </c>
    </row>
    <row r="1214">
      <c r="A1214">
        <f>Skills!A23</f>
        <v/>
      </c>
      <c r="B1214">
        <f>Skills!B23</f>
        <v/>
      </c>
      <c r="C1214">
        <f>Inputs!$B$3&gt;=120</f>
        <v/>
      </c>
      <c r="D1214">
        <f>IF(Skills!C23=1,60+Inputs!$B$25+Inputs!$B$29,IF(Skills!C23=2,90+Inputs!$B$26+Inputs!$B$29,IF(Skills!C23=3,120+Inputs!$B$27+Inputs!$B$29,MAX(0,(Inputs!$B$3-100)*3)+Inputs!$B$28+Inputs!$B$29)))</f>
        <v/>
      </c>
      <c r="E1214">
        <f>INDEX(FactorTable!$B$2:$Y$301, MATCH(ROUND(MIN(300,MAX(1,D1214)),0), FactorTable!$A$2:$A$301,0), Skills!M23+1)</f>
        <v/>
      </c>
      <c r="F1214">
        <f>IF(Skills!N23=TRUE,(Skills!L23/10)*(E1214/1000),Skills!L23/10)+Skills!O23</f>
        <v/>
      </c>
      <c r="G1214">
        <f>Skills!G23*IF(Skills!H23&gt;0,Skills!I23/Skills!H23,1)</f>
        <v/>
      </c>
      <c r="H1214">
        <f>1-(1-Skills!J23/100)^Skills!K23</f>
        <v/>
      </c>
      <c r="I1214" t="inlineStr">
        <is>
          <t>1</t>
        </is>
      </c>
      <c r="J1214" t="inlineStr"/>
      <c r="K1214" t="inlineStr"/>
      <c r="L1214" t="inlineStr"/>
      <c r="M1214" t="inlineStr"/>
      <c r="N1214" t="inlineStr"/>
      <c r="O1214">
        <f>(1-Summary!$B$11)*T1214+Summary!$B$11*V1214</f>
        <v/>
      </c>
      <c r="P1214">
        <f>IF(B1228=0,0,O1214/B1228)</f>
        <v/>
      </c>
      <c r="Q1214" t="n">
        <v>0</v>
      </c>
      <c r="R1214" t="n">
        <v>0</v>
      </c>
      <c r="S1214">
        <f>IFERROR(O1214/N1214,0)</f>
        <v/>
      </c>
      <c r="T1214" t="n">
        <v>0</v>
      </c>
      <c r="V1214" t="n">
        <v>0</v>
      </c>
    </row>
    <row r="1215">
      <c r="A1215">
        <f>Skills!A24</f>
        <v/>
      </c>
      <c r="B1215">
        <f>Skills!B24</f>
        <v/>
      </c>
      <c r="C1215">
        <f>Inputs!$B$3&gt;=120</f>
        <v/>
      </c>
      <c r="D1215">
        <f>IF(Skills!C24=1,60+Inputs!$B$25+Inputs!$B$29,IF(Skills!C24=2,90+Inputs!$B$26+Inputs!$B$29,IF(Skills!C24=3,120+Inputs!$B$27+Inputs!$B$29,MAX(0,(Inputs!$B$3-100)*3)+Inputs!$B$28+Inputs!$B$29)))</f>
        <v/>
      </c>
      <c r="E1215">
        <f>INDEX(FactorTable!$B$2:$Y$301, MATCH(ROUND(MIN(300,MAX(1,D1215)),0), FactorTable!$A$2:$A$301,0), Skills!M24+1)</f>
        <v/>
      </c>
      <c r="F1215">
        <f>IF(Skills!N24=TRUE,(Skills!L24/10)*(E1215/1000),Skills!L24/10)+Skills!O24</f>
        <v/>
      </c>
      <c r="G1215">
        <f>Skills!G24*IF(Skills!H24&gt;0,Skills!I24/Skills!H24,1)</f>
        <v/>
      </c>
      <c r="H1215">
        <f>1-(1-Skills!J24/100)^Skills!K24</f>
        <v/>
      </c>
      <c r="I1215" t="inlineStr">
        <is>
          <t>1</t>
        </is>
      </c>
      <c r="J1215" t="inlineStr"/>
      <c r="K1215" t="inlineStr"/>
      <c r="L1215" t="inlineStr"/>
      <c r="M1215" t="inlineStr"/>
      <c r="N1215" t="inlineStr"/>
      <c r="O1215">
        <f>(1-Summary!$B$11)*T1215+Summary!$B$11*V1215</f>
        <v/>
      </c>
      <c r="P1215">
        <f>IF(B1228=0,0,O1215/B1228)</f>
        <v/>
      </c>
      <c r="Q1215" t="n">
        <v>0</v>
      </c>
      <c r="R1215" t="n">
        <v>0</v>
      </c>
      <c r="S1215">
        <f>IFERROR(O1215/N1215,0)</f>
        <v/>
      </c>
      <c r="T1215" t="n">
        <v>0</v>
      </c>
      <c r="V1215" t="n">
        <v>0</v>
      </c>
    </row>
    <row r="1217">
      <c r="A1217" t="inlineStr">
        <is>
          <t>Attack% Bucket Multiplier</t>
        </is>
      </c>
      <c r="B1217">
        <f>(1+(((C1204=TRUE)*F1204*MIN(1,Skills!T13*(Skills!J13/100)*B1222))+((C1209=TRUE)*F1209*IF(AND(Inputs!$B$38&lt;&gt;"pvp",Inputs!$B$43&gt;0),(((R1209-1)*(Skills!T18*(1+Inputs!$B$34/100))+MIN((Skills!T18*(1+Inputs!$B$34/100)),MAX(0,Inputs!$B$43-((R1209-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18">
      <c r="A1218" t="inlineStr">
        <is>
          <t>Global Crit Rate Bonus %</t>
        </is>
      </c>
      <c r="B1218" t="n">
        <v>0</v>
      </c>
    </row>
    <row r="1219">
      <c r="A1219" t="inlineStr">
        <is>
          <t>Attack Speed Buff Bonus %</t>
        </is>
      </c>
      <c r="B1219">
        <f>((C1210=TRUE)*F1210*IF(AND(Inputs!$B$38&lt;&gt;"pvp",Inputs!$B$43&gt;0),(((R1210-1)*(Skills!T19*(1+Inputs!$B$34/100))+MIN((Skills!T19*(1+Inputs!$B$34/100)),MAX(0,Inputs!$B$43-((R1210-1)*Skills!D19))))/Inputs!$B$43),IF(Inputs!$B$38="pvp",MIN((Skills!T19*(1+Inputs!$B$34/100)),15)/15,(Skills!T19*(1+Inputs!$B$34/100))/Skills!D19)))</f>
        <v/>
      </c>
    </row>
    <row r="1220">
      <c r="A1220" t="inlineStr">
        <is>
          <t>Actions Per Second</t>
        </is>
      </c>
      <c r="B1220">
        <f>1+MIN(150,150*(1-(1-(Inputs!$B$11+((C1211=TRUE)*(F1211-Calc!F20)))/150)*(1-B1219/150)))/100</f>
        <v/>
      </c>
    </row>
    <row r="1221">
      <c r="A1221" t="inlineStr">
        <is>
          <t>Skill + Buff Cast Rate</t>
        </is>
      </c>
      <c r="B1221">
        <f>IF(AND(Inputs!$B$38&lt;&gt;"pvp",Inputs!$B$43&gt;0),SUMPRODUCT((Skills!E2:E24=TRUE)*(C1193:C1215=TRUE)*R1193:R1215*Skills!F2:F24)/Inputs!$B$43,SUMPRODUCT((Skills!E2:E24=TRUE)*(C1193:C1215=TRUE)*Q1193:Q1215*Skills!F2:F24))</f>
        <v/>
      </c>
    </row>
    <row r="1222">
      <c r="A1222" t="inlineStr">
        <is>
          <t>Blast Casts Per Second</t>
        </is>
      </c>
      <c r="B1222">
        <f>MAX(0,B1220-B1221)</f>
        <v/>
      </c>
    </row>
    <row r="1223">
      <c r="A1223" t="inlineStr">
        <is>
          <t>Global Critical Damage Bonus % (unused)</t>
        </is>
      </c>
      <c r="B1223" t="n">
        <v>0</v>
      </c>
    </row>
    <row r="1224">
      <c r="A1224" t="inlineStr">
        <is>
          <t>Global Final Damage Bonus % (Divine Shield + Guardian + Divine Blessing + Greater Vessel of Light)</t>
        </is>
      </c>
      <c r="B1224">
        <f>((C1206=TRUE)*F1206*IF(AND(Inputs!$B$38&lt;&gt;"pvp",Inputs!$B$43&gt;0),(((R1206-1)*(Skills!T15*(1+Inputs!$B$34/100))+MIN((Skills!T15*(1+Inputs!$B$34/100)),MAX(0,Inputs!$B$43-((R1206-1)*Skills!D15))))/Inputs!$B$43),IF(Inputs!$B$38="pvp",MIN((Skills!T15*(1+Inputs!$B$34/100)),15)/15,(Skills!T15*(1+Inputs!$B$34/100))/Skills!D15)))+((C1207=TRUE)*F1207*IF(AND(Inputs!$B$38&lt;&gt;"pvp",Inputs!$B$43&gt;0),(((R1207-1)*(Skills!T16*(1+Inputs!$B$34/100))+MIN((Skills!T16*(1+Inputs!$B$34/100)),MAX(0,Inputs!$B$43-((R1207-1)*Skills!D16))))/Inputs!$B$43),IF(Inputs!$B$38="pvp",MIN((Skills!T16*(1+Inputs!$B$34/100)),15)/15,(Skills!T16*(1+Inputs!$B$34/100))/Skills!D16)))+((C1208=TRUE)*F1208*IF(AND(Inputs!$B$38&lt;&gt;"pvp",Inputs!$B$43&gt;0),(((R1208-1)*(Skills!T17*(1+Inputs!$B$34/100))+MIN((Skills!T17*(1+Inputs!$B$34/100)),MAX(0,Inputs!$B$43-((R1208-1)*Skills!D17))))/Inputs!$B$43),IF(Inputs!$B$38="pvp",MIN((Skills!T17*(1+Inputs!$B$34/100)),15)/15,(Skills!T17*(1+Inputs!$B$34/100))/Skills!D17)))+((C1205=TRUE)*F1205*MIN(1,Skills!T13*(Skills!J13/100)*B1222))</f>
        <v/>
      </c>
    </row>
    <row r="1225">
      <c r="A1225" t="inlineStr">
        <is>
          <t>Buff-Casting Startup Delay (s, fixed-duration only)</t>
        </is>
      </c>
      <c r="B1225">
        <f>IF(AND(Inputs!$B$38&lt;&gt;"pvp",Inputs!$B$43&gt;0),SUMPRODUCT((Skills!T2:T24&gt;0)*(Skills!E2:E24=TRUE)*(C1193:C1215=TRUE))/B1220,0)</f>
        <v/>
      </c>
    </row>
    <row r="1226">
      <c r="A1226" t="inlineStr">
        <is>
          <t>Boss-Only Total DPS (this block's swept value)</t>
        </is>
      </c>
      <c r="B1226">
        <f>SUM(T1193:T1215)</f>
        <v/>
      </c>
    </row>
    <row r="1227">
      <c r="A1227" t="inlineStr">
        <is>
          <t>Normal-Only Total DPS (this block's swept value)</t>
        </is>
      </c>
      <c r="B1227">
        <f>SUM(V1193:V1215)</f>
        <v/>
      </c>
    </row>
    <row r="1228">
      <c r="A1228" s="6" t="inlineStr">
        <is>
          <t>TOTAL DPS</t>
        </is>
      </c>
      <c r="B1228" s="6">
        <f>SUM(O1193:O1215)</f>
        <v/>
      </c>
    </row>
    <row r="1231">
      <c r="A1231" s="6" t="inlineStr">
        <is>
          <t>Stat: The Contract of Darkness (Equip)</t>
        </is>
      </c>
    </row>
    <row r="1232">
      <c r="A1232" s="5" t="inlineStr">
        <is>
          <t>Key</t>
        </is>
      </c>
      <c r="B1232" s="5" t="inlineStr">
        <is>
          <t>Name</t>
        </is>
      </c>
      <c r="C1232" s="5" t="inlineStr">
        <is>
          <t>Unlocked</t>
        </is>
      </c>
      <c r="D1232" s="5" t="inlineStr">
        <is>
          <t>InputLevel</t>
        </is>
      </c>
      <c r="E1232" s="5" t="inlineStr">
        <is>
          <t>Factor</t>
        </is>
      </c>
      <c r="F1232" s="5" t="inlineStr">
        <is>
          <t>CoefficientPercent</t>
        </is>
      </c>
      <c r="G1232" s="5" t="inlineStr">
        <is>
          <t>EffectiveHits</t>
        </is>
      </c>
      <c r="H1232" s="5" t="inlineStr">
        <is>
          <t>ProcProbability</t>
        </is>
      </c>
      <c r="I1232" s="5" t="inlineStr">
        <is>
          <t>MapleHeroMultiplier</t>
        </is>
      </c>
      <c r="J1232" s="5" t="inlineStr">
        <is>
          <t>BaseDamage</t>
        </is>
      </c>
      <c r="K1232" s="5" t="inlineStr">
        <is>
          <t>BaseHitDamage</t>
        </is>
      </c>
      <c r="L1232" s="5" t="inlineStr">
        <is>
          <t>NonCritAvg</t>
        </is>
      </c>
      <c r="M1232" s="5" t="inlineStr">
        <is>
          <t>CritAvg</t>
        </is>
      </c>
      <c r="N1232" s="5" t="inlineStr">
        <is>
          <t>ExpectedDamage(perHit)</t>
        </is>
      </c>
      <c r="O1232" s="5" t="inlineStr">
        <is>
          <t>DPS</t>
        </is>
      </c>
      <c r="P1232" s="5" t="inlineStr">
        <is>
          <t>% of Total</t>
        </is>
      </c>
      <c r="Q1232" s="5" t="inlineStr">
        <is>
          <t>InvCooldown</t>
        </is>
      </c>
      <c r="R1232" s="5" t="inlineStr">
        <is>
          <t>CastsInFight</t>
        </is>
      </c>
      <c r="S1232" s="5" t="inlineStr">
        <is>
          <t>HitRate(perSec)</t>
        </is>
      </c>
      <c r="U1232" t="inlineStr">
        <is>
          <t>helpers</t>
        </is>
      </c>
    </row>
    <row r="1233">
      <c r="A1233">
        <f>Skills!A2</f>
        <v/>
      </c>
      <c r="B1233">
        <f>Skills!B2</f>
        <v/>
      </c>
      <c r="C1233">
        <f>Inputs!$B$3&gt;=100</f>
        <v/>
      </c>
      <c r="D1233" t="inlineStr"/>
      <c r="E1233" t="inlineStr"/>
      <c r="F1233">
        <f>U1235+Skills!O2</f>
        <v/>
      </c>
      <c r="G1233">
        <f>Skills!G2*IF(Skills!H2&gt;0,Skills!I2/Skills!H2,1)</f>
        <v/>
      </c>
      <c r="H1233">
        <f>1-(1-Skills!J2/100)^Skills!K2</f>
        <v/>
      </c>
      <c r="I1233" t="inlineStr">
        <is>
          <t>1</t>
        </is>
      </c>
      <c r="J1233">
        <f>((Inputs!$B$6*(1+Inputs!$B$7/100))+(((Inputs!$B$12*(1+Inputs!$B$13/100))-(Inputs!$B$12*(1+Inputs!$B$13/100)))+0.25*(Inputs!$B$14-Inputs!$B$14))*(1+Inputs!$B$7/100))*(F1233/100)</f>
        <v/>
      </c>
      <c r="K1233">
        <f>J1233*(1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1233)</f>
        <v/>
      </c>
      <c r="L1233">
        <f>K1233*(MIN(Inputs!$B$22+((C1253=TRUE)*(F1253-Calc!F22)),(Inputs!$B$23+((C1255=TRUE)*(F1255-Calc!F24))+(IF(ArtifactsInput!$M$15,CHOOSE(ArtifactsInput!$N$15+1,25,30,35,40,45,50)/100*(Inputs!$B$11-Inputs!$B$11),0))))/100+(Inputs!$B$23+((C1255=TRUE)*(F1255-Calc!F24))+(IF(ArtifactsInput!$M$15,CHOOSE(ArtifactsInput!$N$15+1,25,30,35,40,45,50)/100*(Inputs!$B$11-Inputs!$B$11),0)))/100)/2</f>
        <v/>
      </c>
      <c r="M1233">
        <f>L1233*(1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3">
        <f>L1233*(1-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1233*(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3">
        <f>(1-Summary!$B$11)*T1233+Summary!$B$11*V1233</f>
        <v/>
      </c>
      <c r="P1233">
        <f>IF(B1268=0,0,O1233/B1268)</f>
        <v/>
      </c>
      <c r="Q1233" t="n">
        <v>0</v>
      </c>
      <c r="R1233" t="n">
        <v>0</v>
      </c>
      <c r="S1233">
        <f>IFERROR(O1233/N1233,0)</f>
        <v/>
      </c>
      <c r="T1233">
        <f>IF(C1233,(Skills!G2*N1233*B1262)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1233*(1-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1233*(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1233*(1-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1233*(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3">
        <f>MAX(0,(Inputs!$B$3-100)*3)+Inputs!$B$28+Inputs!$B$29</f>
        <v/>
      </c>
      <c r="V1233">
        <f>IF(C1233,(Skills!G2*N1233*B1262)*IF(Inputs!$B$38="pvp",1,(1+(Inputs!$B$21+Skills!Q2+(IF(ArtifactsInput!$M$33,CHOOSE(ArtifactsInput!$N$33+1,30,36,42,48,54,60),0))+(IF(AND(ArtifactsInput!$M$35,Inputs!$B$4&lt;&gt;"Chapter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4">
      <c r="A1234">
        <f>Skills!A3</f>
        <v/>
      </c>
      <c r="B1234">
        <f>Skills!B3</f>
        <v/>
      </c>
      <c r="C1234">
        <f>Inputs!$B$3&gt;=50</f>
        <v/>
      </c>
      <c r="D1234">
        <f>IF(Skills!C3=1,60+Inputs!$B$25+Inputs!$B$29,IF(Skills!C3=2,90+Inputs!$B$26+Inputs!$B$29,IF(Skills!C3=3,120+Inputs!$B$27+Inputs!$B$29,MAX(0,(Inputs!$B$3-100)*3)+Inputs!$B$28+Inputs!$B$29)))</f>
        <v/>
      </c>
      <c r="E1234">
        <f>INDEX(FactorTable!$B$2:$Y$301, MATCH(ROUND(MIN(300,MAX(1,D1234)),0), FactorTable!$A$2:$A$301,0), Skills!M3+1)</f>
        <v/>
      </c>
      <c r="F1234">
        <f>IF(Skills!N3=TRUE,(Skills!L3/10)*(E1234/1000),Skills!L3/10)+Skills!O3</f>
        <v/>
      </c>
      <c r="G1234" t="inlineStr"/>
      <c r="H1234" t="inlineStr"/>
      <c r="I1234" t="inlineStr">
        <is>
          <t>1</t>
        </is>
      </c>
      <c r="J1234" t="inlineStr"/>
      <c r="K1234" t="inlineStr"/>
      <c r="L1234" t="inlineStr"/>
      <c r="M1234" t="inlineStr"/>
      <c r="N1234" t="inlineStr"/>
      <c r="O1234" t="inlineStr"/>
      <c r="P1234" t="inlineStr"/>
      <c r="Q1234" t="inlineStr"/>
      <c r="R1234" t="inlineStr"/>
      <c r="S1234" t="inlineStr"/>
      <c r="U1234">
        <f>INDEX(FactorTable!$B$2:$Y$301, MATCH(ROUND(MIN(300,MAX(1,U1233)),0), FactorTable!$A$2:$A$301,0), 22)</f>
        <v/>
      </c>
    </row>
    <row r="1235">
      <c r="A1235">
        <f>Skills!A4</f>
        <v/>
      </c>
      <c r="B1235">
        <f>Skills!B4</f>
        <v/>
      </c>
      <c r="C1235">
        <f>Inputs!$B$3&gt;=35</f>
        <v/>
      </c>
      <c r="D1235">
        <f>IF(Skills!C4=1,60+Inputs!$B$25+Inputs!$B$29,IF(Skills!C4=2,90+Inputs!$B$26+Inputs!$B$29,IF(Skills!C4=3,120+Inputs!$B$27+Inputs!$B$29,MAX(0,(Inputs!$B$3-100)*3)+Inputs!$B$28+Inputs!$B$29)))</f>
        <v/>
      </c>
      <c r="E1235">
        <f>INDEX(FactorTable!$B$2:$Y$301, MATCH(ROUND(MIN(300,MAX(1,D1235)),0), FactorTable!$A$2:$A$301,0), Skills!M4+1)</f>
        <v/>
      </c>
      <c r="F1235">
        <f>IF(Skills!N4=TRUE,(Skills!L4/10)*(E1235/1000),Skills!L4/10)+Skills!O4</f>
        <v/>
      </c>
      <c r="G1235">
        <f>Skills!G4*IF(Skills!H4&gt;0,Skills!I4/Skills!H4,1)</f>
        <v/>
      </c>
      <c r="H1235">
        <f>1-(1-Skills!J4/100)^Skills!K4</f>
        <v/>
      </c>
      <c r="I1235" t="inlineStr">
        <is>
          <t>1</t>
        </is>
      </c>
      <c r="J1235">
        <f>((Inputs!$B$6*(1+Inputs!$B$7/100))+(((Inputs!$B$12*(1+Inputs!$B$13/100))-(Inputs!$B$12*(1+Inputs!$B$13/100)))+0.25*(Inputs!$B$14-Inputs!$B$14))*(1+Inputs!$B$7/100))*(F1235/100)</f>
        <v/>
      </c>
      <c r="K1235">
        <f>J1235*(1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1243=TRUE,F1243,0)/100)*(1+(IF(Skills!A4="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1235)</f>
        <v/>
      </c>
      <c r="L1235">
        <f>K1235*(MIN(Inputs!$B$22+((C1253=TRUE)*(F1253-Calc!F22)),(Inputs!$B$23+((C1255=TRUE)*(F1255-Calc!F24))+(IF(ArtifactsInput!$M$15,CHOOSE(ArtifactsInput!$N$15+1,25,30,35,40,45,50)/100*(Inputs!$B$11-Inputs!$B$11),0))))/100+(Inputs!$B$23+((C1255=TRUE)*(F1255-Calc!F24))+(IF(ArtifactsInput!$M$15,CHOOSE(ArtifactsInput!$N$15+1,25,30,35,40,45,50)/100*(Inputs!$B$11-Inputs!$B$11),0)))/100)/2</f>
        <v/>
      </c>
      <c r="M1235">
        <f>L1235*(1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5">
        <f>L1235*(1-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1235*(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5">
        <f>(1-Summary!$B$11)*T1235+Summary!$B$11*V1235</f>
        <v/>
      </c>
      <c r="P1235">
        <f>IF(B1268=0,0,O1235/B1268)</f>
        <v/>
      </c>
      <c r="Q1235">
        <f>IFERROR(1/(IF(Inputs!$B$38="pvp",15,MAX(0.1,Skills!D4-IF(Skills!E4=TRUE,Inputs!$B$32,0)))*(1-IF(AND(ArtifactsInput!$M$27,Inputs!$B$4="Chapter Hunt"),CHOOSE(ArtifactsInput!$N$27+1,20,24,28,32,36,40),0)/100)),0)</f>
        <v/>
      </c>
      <c r="R1235">
        <f>IF(AND(Inputs!$B$38&lt;&gt;"pvp",Inputs!$B$43&gt;0),IF(MAX(0,Inputs!$B$43-B1265)&lt;=0,0,(INT(MAX(0,Inputs!$B$43-B1265)/(IF(Inputs!$B$38="pvp",15,MAX(0.1,Skills!D4-IF(Skills!E4=TRUE,Inputs!$B$32,0)))*(1-IF(AND(ArtifactsInput!$M$27,Inputs!$B$4="Chapter Hunt"),CHOOSE(ArtifactsInput!$N$27+1,20,24,28,32,36,40),0)/100)))+1)),0)</f>
        <v/>
      </c>
      <c r="S1235">
        <f>IFERROR(O1235/N1235,0)</f>
        <v/>
      </c>
      <c r="T1235">
        <f>IF(C1235,(H1235*N1235*IF(AND(Inputs!$B$38&lt;&gt;"pvp",Inputs!$B$43&gt;0),((Skills!G4*((R1235-1)*IF(Skills!H4&gt;0,Skills!I4/Skills!H4,1)+IF(Skills!H4&gt;0,MIN(Skills!I4,MAX(0,MAX(0,Inputs!$B$43-B1265)-((R1235-1)*(IF(Inputs!$B$38="pvp",15,MAX(0.1,Skills!D4-IF(Skills!E4=TRUE,Inputs!$B$32,0)))*(1-IF(AND(ArtifactsInput!$M$27,Inputs!$B$4="Chapter Hunt"),CHOOSE(ArtifactsInput!$N$27+1,20,24,28,32,36,40),0)/100)))))/Skills!H4,1)))/Inputs!$B$43),G1235*Q1235)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1235*(1-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1235*(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1235*(1-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1235*(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5">
        <f>290*U1234/1000</f>
        <v/>
      </c>
      <c r="V1235">
        <f>IF(C1235,(H1235*N1235*IF(AND(Inputs!$B$38&lt;&gt;"pvp",Inputs!$B$43&gt;0),((Skills!G4*((R1235-1)*IF(Skills!H4&gt;0,Skills!I4/Skills!H4,1)+IF(Skills!H4&gt;0,MIN(Skills!I4,MAX(0,MAX(0,Inputs!$B$43-B1265)-((R1235-1)*(IF(Inputs!$B$38="pvp",15,MAX(0.1,Skills!D4-IF(Skills!E4=TRUE,Inputs!$B$32,0)))*(1-IF(AND(ArtifactsInput!$M$27,Inputs!$B$4="Chapter Hunt"),CHOOSE(ArtifactsInput!$N$27+1,20,24,28,32,36,40),0)/100)))))/Skills!H4,1)))/Inputs!$B$43),G1235*Q1235))*IF(Inputs!$B$38="pvp",1,(1+(Inputs!$B$21+Skills!Q4+(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6">
      <c r="A1236">
        <f>Skills!A5</f>
        <v/>
      </c>
      <c r="B1236">
        <f>Skills!B5</f>
        <v/>
      </c>
      <c r="C1236">
        <f>Inputs!$B$3&gt;=66</f>
        <v/>
      </c>
      <c r="D1236">
        <f>IF(Skills!C5=1,60+Inputs!$B$25+Inputs!$B$29,IF(Skills!C5=2,90+Inputs!$B$26+Inputs!$B$29,IF(Skills!C5=3,120+Inputs!$B$27+Inputs!$B$29,MAX(0,(Inputs!$B$3-100)*3)+Inputs!$B$28+Inputs!$B$29)))</f>
        <v/>
      </c>
      <c r="E1236">
        <f>INDEX(FactorTable!$B$2:$Y$301, MATCH(ROUND(MIN(300,MAX(1,D1236)),0), FactorTable!$A$2:$A$301,0), Skills!M5+1)</f>
        <v/>
      </c>
      <c r="F1236">
        <f>IF(Skills!N5=TRUE,(Skills!L5/10)*(E1236/1000),Skills!L5/10)+Skills!O5</f>
        <v/>
      </c>
      <c r="G1236">
        <f>Skills!G5*IF(Skills!H5&gt;0,Skills!I5/Skills!H5,1)</f>
        <v/>
      </c>
      <c r="H1236">
        <f>1-(1-Skills!J5/100)^Skills!K5</f>
        <v/>
      </c>
      <c r="I1236" t="inlineStr">
        <is>
          <t>1</t>
        </is>
      </c>
      <c r="J1236">
        <f>((Inputs!$B$6*(1+Inputs!$B$7/100))+(((Inputs!$B$12*(1+Inputs!$B$13/100))-(Inputs!$B$12*(1+Inputs!$B$13/100)))+0.25*(Inputs!$B$14-Inputs!$B$14))*(1+Inputs!$B$7/100))*(F1236/100)</f>
        <v/>
      </c>
      <c r="K1236">
        <f>J1236*(1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1243=TRUE,F1243,0)/100)*(1+(IF(Skills!A5="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1236)</f>
        <v/>
      </c>
      <c r="L1236">
        <f>K1236*(MIN(Inputs!$B$22+((C1253=TRUE)*(F1253-Calc!F22)),(Inputs!$B$23+((C1255=TRUE)*(F1255-Calc!F24))+(IF(ArtifactsInput!$M$15,CHOOSE(ArtifactsInput!$N$15+1,25,30,35,40,45,50)/100*(Inputs!$B$11-Inputs!$B$11),0))))/100+(Inputs!$B$23+((C1255=TRUE)*(F1255-Calc!F24))+(IF(ArtifactsInput!$M$15,CHOOSE(ArtifactsInput!$N$15+1,25,30,35,40,45,50)/100*(Inputs!$B$11-Inputs!$B$11),0)))/100)/2</f>
        <v/>
      </c>
      <c r="M1236">
        <f>L1236*(1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6">
        <f>L1236*(1-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1236*(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6">
        <f>(1-Summary!$B$11)*T1236+Summary!$B$11*V1236</f>
        <v/>
      </c>
      <c r="P1236">
        <f>IF(B1268=0,0,O1236/B1268)</f>
        <v/>
      </c>
      <c r="Q1236">
        <f>IFERROR(1/(IF(Inputs!$B$38="pvp",15,MAX(0.1,Skills!D5-IF(Skills!E5=TRUE,Inputs!$B$32,0)))*(1-IF(AND(ArtifactsInput!$M$27,Inputs!$B$4="Chapter Hunt"),CHOOSE(ArtifactsInput!$N$27+1,20,24,28,32,36,40),0)/100)),0)</f>
        <v/>
      </c>
      <c r="R1236">
        <f>IF(AND(Inputs!$B$38&lt;&gt;"pvp",Inputs!$B$43&gt;0),IF(MAX(0,Inputs!$B$43-B1265)&lt;=0,0,(INT(MAX(0,Inputs!$B$43-B1265)/(IF(Inputs!$B$38="pvp",15,MAX(0.1,Skills!D5-IF(Skills!E5=TRUE,Inputs!$B$32,0)))*(1-IF(AND(ArtifactsInput!$M$27,Inputs!$B$4="Chapter Hunt"),CHOOSE(ArtifactsInput!$N$27+1,20,24,28,32,36,40),0)/100)))+1)),0)</f>
        <v/>
      </c>
      <c r="S1236">
        <f>IFERROR(O1236/N1236,0)</f>
        <v/>
      </c>
      <c r="T1236">
        <f>IF(C1236,(H1236*N1236*IF(AND(Inputs!$B$38&lt;&gt;"pvp",Inputs!$B$43&gt;0),((Skills!G5*((R1236-1)*IF(Skills!H5&gt;0,Skills!I5/Skills!H5,1)+IF(Skills!H5&gt;0,MIN(Skills!I5,MAX(0,MAX(0,Inputs!$B$43-B1265)-((R1236-1)*(IF(Inputs!$B$38="pvp",15,MAX(0.1,Skills!D5-IF(Skills!E5=TRUE,Inputs!$B$32,0)))*(1-IF(AND(ArtifactsInput!$M$27,Inputs!$B$4="Chapter Hunt"),CHOOSE(ArtifactsInput!$N$27+1,20,24,28,32,36,40),0)/100)))))/Skills!H5,1)))/Inputs!$B$43),G1236*Q1236)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1236*(1-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1236*(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1236*(1-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1236*(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6">
        <f>IF(C1236,(H1236*N1236*IF(AND(Inputs!$B$38&lt;&gt;"pvp",Inputs!$B$43&gt;0),((Skills!G5*((R1236-1)*IF(Skills!H5&gt;0,Skills!I5/Skills!H5,1)+IF(Skills!H5&gt;0,MIN(Skills!I5,MAX(0,MAX(0,Inputs!$B$43-B1265)-((R1236-1)*(IF(Inputs!$B$38="pvp",15,MAX(0.1,Skills!D5-IF(Skills!E5=TRUE,Inputs!$B$32,0)))*(1-IF(AND(ArtifactsInput!$M$27,Inputs!$B$4="Chapter Hunt"),CHOOSE(ArtifactsInput!$N$27+1,20,24,28,32,36,40),0)/100)))))/Skills!H5,1)))/Inputs!$B$43),G1236*Q1236))*IF(Inputs!$B$38="pvp",1,(1+(Inputs!$B$21+Skills!Q5+(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7">
      <c r="A1237">
        <f>Skills!A6</f>
        <v/>
      </c>
      <c r="B1237">
        <f>Skills!B6</f>
        <v/>
      </c>
      <c r="C1237">
        <f>Inputs!$B$3&gt;=103</f>
        <v/>
      </c>
      <c r="D1237">
        <f>IF(Skills!C6=1,60+Inputs!$B$25+Inputs!$B$29,IF(Skills!C6=2,90+Inputs!$B$26+Inputs!$B$29,IF(Skills!C6=3,120+Inputs!$B$27+Inputs!$B$29,MAX(0,(Inputs!$B$3-100)*3)+Inputs!$B$28+Inputs!$B$29)))</f>
        <v/>
      </c>
      <c r="E1237">
        <f>INDEX(FactorTable!$B$2:$Y$301, MATCH(ROUND(MIN(300,MAX(1,D1237)),0), FactorTable!$A$2:$A$301,0), Skills!M6+1)</f>
        <v/>
      </c>
      <c r="F1237">
        <f>IF(Skills!N6=TRUE,(Skills!L6/10)*(E1237/1000),Skills!L6/10)+Skills!O6</f>
        <v/>
      </c>
      <c r="G1237">
        <f>Skills!G6*IF(Skills!H6&gt;0,Skills!I6/Skills!H6,1)</f>
        <v/>
      </c>
      <c r="H1237">
        <f>1-(1-Skills!J6/100)^Skills!K6</f>
        <v/>
      </c>
      <c r="I1237" t="inlineStr">
        <is>
          <t>1</t>
        </is>
      </c>
      <c r="J1237">
        <f>((Inputs!$B$6*(1+Inputs!$B$7/100))+(((Inputs!$B$12*(1+Inputs!$B$13/100))-(Inputs!$B$12*(1+Inputs!$B$13/100)))+0.25*(Inputs!$B$14-Inputs!$B$14))*(1+Inputs!$B$7/100))*(F1237/100)</f>
        <v/>
      </c>
      <c r="K1237">
        <f>J1237*(1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1237)</f>
        <v/>
      </c>
      <c r="L1237">
        <f>K1237*(MIN(Inputs!$B$22+((C1253=TRUE)*(F1253-Calc!F22)),(Inputs!$B$23+((C1255=TRUE)*(F1255-Calc!F24))+(IF(ArtifactsInput!$M$15,CHOOSE(ArtifactsInput!$N$15+1,25,30,35,40,45,50)/100*(Inputs!$B$11-Inputs!$B$11),0))))/100+(Inputs!$B$23+((C1255=TRUE)*(F1255-Calc!F24))+(IF(ArtifactsInput!$M$15,CHOOSE(ArtifactsInput!$N$15+1,25,30,35,40,45,50)/100*(Inputs!$B$11-Inputs!$B$11),0)))/100)/2</f>
        <v/>
      </c>
      <c r="M1237">
        <f>L1237*(1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7">
        <f>L1237*(1-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1237*(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7">
        <f>(1-Summary!$B$11)*T1237+Summary!$B$11*V1237</f>
        <v/>
      </c>
      <c r="P1237">
        <f>IF(B1268=0,0,O1237/B1268)</f>
        <v/>
      </c>
      <c r="Q1237">
        <f>IFERROR(1/(IF(Inputs!$B$38="pvp",15,MAX(0.1,Skills!D6-IF(Skills!E6=TRUE,Inputs!$B$32,0)))*(1-IF(AND(ArtifactsInput!$M$27,Inputs!$B$4="Chapter Hunt"),CHOOSE(ArtifactsInput!$N$27+1,20,24,28,32,36,40),0)/100)),0)</f>
        <v/>
      </c>
      <c r="R1237">
        <f>IF(AND(Inputs!$B$38&lt;&gt;"pvp",Inputs!$B$43&gt;0),IF(MAX(0,Inputs!$B$43-B1265)&lt;=0,0,(INT(MAX(0,Inputs!$B$43-B1265)/(IF(Inputs!$B$38="pvp",15,MAX(0.1,Skills!D6-IF(Skills!E6=TRUE,Inputs!$B$32,0)))*(1-IF(AND(ArtifactsInput!$M$27,Inputs!$B$4="Chapter Hunt"),CHOOSE(ArtifactsInput!$N$27+1,20,24,28,32,36,40),0)/100)))+1)),0)</f>
        <v/>
      </c>
      <c r="S1237">
        <f>IFERROR(O1237/N1237,0)</f>
        <v/>
      </c>
      <c r="T1237">
        <f>IF(C1237,(H1237*N1237*IF(AND(Inputs!$B$38&lt;&gt;"pvp",Inputs!$B$43&gt;0),((Skills!G6*((R1237-1)*IF(Skills!H6&gt;0,Skills!I6/Skills!H6,1)+IF(Skills!H6&gt;0,MIN(Skills!I6,MAX(0,MAX(0,Inputs!$B$43-B1265)-((R1237-1)*(IF(Inputs!$B$38="pvp",15,MAX(0.1,Skills!D6-IF(Skills!E6=TRUE,Inputs!$B$32,0)))*(1-IF(AND(ArtifactsInput!$M$27,Inputs!$B$4="Chapter Hunt"),CHOOSE(ArtifactsInput!$N$27+1,20,24,28,32,36,40),0)/100)))))/Skills!H6,1)))/Inputs!$B$43),G1237*Q1237)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1237*(1-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1237*(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1237*(1-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1237*(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7">
        <f>IF(C1237,(H1237*N1237*IF(AND(Inputs!$B$38&lt;&gt;"pvp",Inputs!$B$43&gt;0),((Skills!G6*((R1237-1)*IF(Skills!H6&gt;0,Skills!I6/Skills!H6,1)+IF(Skills!H6&gt;0,MIN(Skills!I6,MAX(0,MAX(0,Inputs!$B$43-B1265)-((R1237-1)*(IF(Inputs!$B$38="pvp",15,MAX(0.1,Skills!D6-IF(Skills!E6=TRUE,Inputs!$B$32,0)))*(1-IF(AND(ArtifactsInput!$M$27,Inputs!$B$4="Chapter Hunt"),CHOOSE(ArtifactsInput!$N$27+1,20,24,28,32,36,40),0)/100)))))/Skills!H6,1)))/Inputs!$B$43),G1237*Q1237))*IF(Inputs!$B$38="pvp",1,(1+(Inputs!$B$21+Skills!Q6+(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8">
      <c r="A1238">
        <f>Skills!A7</f>
        <v/>
      </c>
      <c r="B1238">
        <f>Skills!B7</f>
        <v/>
      </c>
      <c r="C1238">
        <f>Inputs!$B$3&gt;=107</f>
        <v/>
      </c>
      <c r="D1238">
        <f>IF(Skills!C7=1,60+Inputs!$B$25+Inputs!$B$29,IF(Skills!C7=2,90+Inputs!$B$26+Inputs!$B$29,IF(Skills!C7=3,120+Inputs!$B$27+Inputs!$B$29,MAX(0,(Inputs!$B$3-100)*3)+Inputs!$B$28+Inputs!$B$29)))</f>
        <v/>
      </c>
      <c r="E1238">
        <f>INDEX(FactorTable!$B$2:$Y$301, MATCH(ROUND(MIN(300,MAX(1,D1238)),0), FactorTable!$A$2:$A$301,0), Skills!M7+1)</f>
        <v/>
      </c>
      <c r="F1238">
        <f>IF(Skills!N7=TRUE,(Skills!L7/10)*(E1238/1000),Skills!L7/10)+Skills!O7</f>
        <v/>
      </c>
      <c r="G1238">
        <f>Skills!G7*IF(Skills!H7&gt;0,Skills!I7/Skills!H7,1)</f>
        <v/>
      </c>
      <c r="H1238">
        <f>1-(1-Skills!J7/100)^Skills!K7</f>
        <v/>
      </c>
      <c r="I1238" t="inlineStr">
        <is>
          <t>1</t>
        </is>
      </c>
      <c r="J1238">
        <f>((Inputs!$B$6*(1+Inputs!$B$7/100))+(((Inputs!$B$12*(1+Inputs!$B$13/100))-(Inputs!$B$12*(1+Inputs!$B$13/100)))+0.25*(Inputs!$B$14-Inputs!$B$14))*(1+Inputs!$B$7/100))*(F1238/100)</f>
        <v/>
      </c>
      <c r="K1238">
        <f>J1238*(1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1238)</f>
        <v/>
      </c>
      <c r="L1238">
        <f>K1238*(MIN(Inputs!$B$22+((C1253=TRUE)*(F1253-Calc!F22)),(Inputs!$B$23+((C1255=TRUE)*(F1255-Calc!F24))+(IF(ArtifactsInput!$M$15,CHOOSE(ArtifactsInput!$N$15+1,25,30,35,40,45,50)/100*(Inputs!$B$11-Inputs!$B$11),0))))/100+(Inputs!$B$23+((C1255=TRUE)*(F1255-Calc!F24))+(IF(ArtifactsInput!$M$15,CHOOSE(ArtifactsInput!$N$15+1,25,30,35,40,45,50)/100*(Inputs!$B$11-Inputs!$B$11),0)))/100)/2</f>
        <v/>
      </c>
      <c r="M1238">
        <f>L1238*(1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8">
        <f>L1238*(1-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1238*(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8">
        <f>(1-Summary!$B$11)*T1238+Summary!$B$11*V1238</f>
        <v/>
      </c>
      <c r="P1238">
        <f>IF(B1268=0,0,O1238/B1268)</f>
        <v/>
      </c>
      <c r="Q1238">
        <f>IFERROR(1/(IF(Inputs!$B$38="pvp",15,MAX(0.1,Skills!D7-IF(Skills!E7=TRUE,Inputs!$B$32,0)))*(1-IF(AND(ArtifactsInput!$M$27,Inputs!$B$4="Chapter Hunt"),CHOOSE(ArtifactsInput!$N$27+1,20,24,28,32,36,40),0)/100)),0)</f>
        <v/>
      </c>
      <c r="R1238">
        <f>IF(AND(Inputs!$B$38&lt;&gt;"pvp",Inputs!$B$43&gt;0),IF(MAX(0,Inputs!$B$43-B1265)&lt;=0,0,(INT(MAX(0,Inputs!$B$43-B1265)/(IF(Inputs!$B$38="pvp",15,MAX(0.1,Skills!D7-IF(Skills!E7=TRUE,Inputs!$B$32,0)))*(1-IF(AND(ArtifactsInput!$M$27,Inputs!$B$4="Chapter Hunt"),CHOOSE(ArtifactsInput!$N$27+1,20,24,28,32,36,40),0)/100)))+1)),0)</f>
        <v/>
      </c>
      <c r="S1238">
        <f>IFERROR(O1238/N1238,0)</f>
        <v/>
      </c>
      <c r="T1238">
        <f>IF(C1238,(H1238*N1238*IF(AND(Inputs!$B$38&lt;&gt;"pvp",Inputs!$B$43&gt;0),((Skills!G7*((R1238-1)*IF(Skills!H7&gt;0,Skills!I7/Skills!H7,1)+IF(Skills!H7&gt;0,MIN(Skills!I7,MAX(0,MAX(0,Inputs!$B$43-B1265)-((R1238-1)*(IF(Inputs!$B$38="pvp",15,MAX(0.1,Skills!D7-IF(Skills!E7=TRUE,Inputs!$B$32,0)))*(1-IF(AND(ArtifactsInput!$M$27,Inputs!$B$4="Chapter Hunt"),CHOOSE(ArtifactsInput!$N$27+1,20,24,28,32,36,40),0)/100)))))/Skills!H7,1)))/Inputs!$B$43),G1238*Q1238)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1238*(1-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1238*(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1238*(1-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1238*(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8">
        <f>IF(C1238,(H1238*N1238*IF(AND(Inputs!$B$38&lt;&gt;"pvp",Inputs!$B$43&gt;0),((Skills!G7*((R1238-1)*IF(Skills!H7&gt;0,Skills!I7/Skills!H7,1)+IF(Skills!H7&gt;0,MIN(Skills!I7,MAX(0,MAX(0,Inputs!$B$43-B1265)-((R1238-1)*(IF(Inputs!$B$38="pvp",15,MAX(0.1,Skills!D7-IF(Skills!E7=TRUE,Inputs!$B$32,0)))*(1-IF(AND(ArtifactsInput!$M$27,Inputs!$B$4="Chapter Hunt"),CHOOSE(ArtifactsInput!$N$27+1,20,24,28,32,36,40),0)/100)))))/Skills!H7,1)))/Inputs!$B$43),G1238*Q1238))*IF(Inputs!$B$38="pvp",1,(1+(Inputs!$B$21+Skills!Q7+(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9">
      <c r="A1239">
        <f>Skills!A8</f>
        <v/>
      </c>
      <c r="B1239">
        <f>Skills!B8</f>
        <v/>
      </c>
      <c r="C1239">
        <f>Inputs!$B$3&gt;=107</f>
        <v/>
      </c>
      <c r="D1239">
        <f>IF(Skills!C8=1,60+Inputs!$B$25+Inputs!$B$29,IF(Skills!C8=2,90+Inputs!$B$26+Inputs!$B$29,IF(Skills!C8=3,120+Inputs!$B$27+Inputs!$B$29,MAX(0,(Inputs!$B$3-100)*3)+Inputs!$B$28+Inputs!$B$29)))</f>
        <v/>
      </c>
      <c r="E1239">
        <f>INDEX(FactorTable!$B$2:$Y$301, MATCH(ROUND(MIN(300,MAX(1,D1239)),0), FactorTable!$A$2:$A$301,0), Skills!M8+1)</f>
        <v/>
      </c>
      <c r="F1239">
        <f>IF(Skills!N8=TRUE,(Skills!L8/10)*(E1239/1000),Skills!L8/10)+Skills!O8</f>
        <v/>
      </c>
      <c r="G1239">
        <f>Skills!G8*IF(Skills!H8&gt;0,Skills!I8/Skills!H8,1)</f>
        <v/>
      </c>
      <c r="H1239">
        <f>1-(1-Skills!J8/100)^Skills!K8</f>
        <v/>
      </c>
      <c r="I1239" t="inlineStr">
        <is>
          <t>1</t>
        </is>
      </c>
      <c r="J1239">
        <f>((Inputs!$B$6*(1+Inputs!$B$7/100))+(((Inputs!$B$12*(1+Inputs!$B$13/100))-(Inputs!$B$12*(1+Inputs!$B$13/100)))+0.25*(Inputs!$B$14-Inputs!$B$14))*(1+Inputs!$B$7/100))*(F1239/100)</f>
        <v/>
      </c>
      <c r="K1239">
        <f>J1239*(1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1239)</f>
        <v/>
      </c>
      <c r="L1239">
        <f>K1239*(MIN(Inputs!$B$22+((C1253=TRUE)*(F1253-Calc!F22)),(Inputs!$B$23+((C1255=TRUE)*(F1255-Calc!F24))+(IF(ArtifactsInput!$M$15,CHOOSE(ArtifactsInput!$N$15+1,25,30,35,40,45,50)/100*(Inputs!$B$11-Inputs!$B$11),0))))/100+(Inputs!$B$23+((C1255=TRUE)*(F1255-Calc!F24))+(IF(ArtifactsInput!$M$15,CHOOSE(ArtifactsInput!$N$15+1,25,30,35,40,45,50)/100*(Inputs!$B$11-Inputs!$B$11),0)))/100)/2</f>
        <v/>
      </c>
      <c r="M1239">
        <f>L1239*(1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9">
        <f>L1239*(1-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1239*(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9">
        <f>(1-Summary!$B$11)*T1239+Summary!$B$11*V1239</f>
        <v/>
      </c>
      <c r="P1239">
        <f>IF(B1268=0,0,O1239/B1268)</f>
        <v/>
      </c>
      <c r="Q1239">
        <f>IFERROR(1/(IF(Inputs!$B$38="pvp",15,MAX(0.1,Skills!D8-IF(Skills!E8=TRUE,Inputs!$B$32,0)))*(1-IF(AND(ArtifactsInput!$M$27,Inputs!$B$4="Chapter Hunt"),CHOOSE(ArtifactsInput!$N$27+1,20,24,28,32,36,40),0)/100)),0)</f>
        <v/>
      </c>
      <c r="R1239">
        <f>IF(AND(Inputs!$B$38&lt;&gt;"pvp",Inputs!$B$43&gt;0),IF(MAX(0,Inputs!$B$43-B1265)&lt;=0,0,(INT(MAX(0,Inputs!$B$43-B1265)/(IF(Inputs!$B$38="pvp",15,MAX(0.1,Skills!D8-IF(Skills!E8=TRUE,Inputs!$B$32,0)))*(1-IF(AND(ArtifactsInput!$M$27,Inputs!$B$4="Chapter Hunt"),CHOOSE(ArtifactsInput!$N$27+1,20,24,28,32,36,40),0)/100)))+1)),0)</f>
        <v/>
      </c>
      <c r="S1239">
        <f>IFERROR(O1239/N1239,0)</f>
        <v/>
      </c>
      <c r="T1239">
        <f>IF(C1239,(H1239*N1239*IF(AND(Inputs!$B$38&lt;&gt;"pvp",Inputs!$B$43&gt;0),((Skills!G8*((R1239-1)*IF(Skills!H8&gt;0,Skills!I8/Skills!H8,1)+IF(Skills!H8&gt;0,MIN(Skills!I8,MAX(0,MAX(0,Inputs!$B$43-B1265)-((R1239-1)*(IF(Inputs!$B$38="pvp",15,MAX(0.1,Skills!D8-IF(Skills!E8=TRUE,Inputs!$B$32,0)))*(1-IF(AND(ArtifactsInput!$M$27,Inputs!$B$4="Chapter Hunt"),CHOOSE(ArtifactsInput!$N$27+1,20,24,28,32,36,40),0)/100)))))/Skills!H8,1)))/Inputs!$B$43),G1239*Q1239)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1239*(1-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1239*(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1239*(1-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1239*(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9">
        <f>IF(C1239,(H1239*N1239*IF(AND(Inputs!$B$38&lt;&gt;"pvp",Inputs!$B$43&gt;0),((Skills!G8*((R1239-1)*IF(Skills!H8&gt;0,Skills!I8/Skills!H8,1)+IF(Skills!H8&gt;0,MIN(Skills!I8,MAX(0,MAX(0,Inputs!$B$43-B1265)-((R1239-1)*(IF(Inputs!$B$38="pvp",15,MAX(0.1,Skills!D8-IF(Skills!E8=TRUE,Inputs!$B$32,0)))*(1-IF(AND(ArtifactsInput!$M$27,Inputs!$B$4="Chapter Hunt"),CHOOSE(ArtifactsInput!$N$27+1,20,24,28,32,36,40),0)/100)))))/Skills!H8,1)))/Inputs!$B$43),G1239*Q1239))*IF(Inputs!$B$38="pvp",1,(1+(Inputs!$B$21+Skills!Q8+(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0">
      <c r="A1240">
        <f>Skills!A9</f>
        <v/>
      </c>
      <c r="B1240">
        <f>Skills!B9</f>
        <v/>
      </c>
      <c r="C1240">
        <f>Inputs!$B$3&gt;=125</f>
        <v/>
      </c>
      <c r="D1240">
        <f>IF(Skills!C9=1,60+Inputs!$B$25+Inputs!$B$29,IF(Skills!C9=2,90+Inputs!$B$26+Inputs!$B$29,IF(Skills!C9=3,120+Inputs!$B$27+Inputs!$B$29,MAX(0,(Inputs!$B$3-100)*3)+Inputs!$B$28+Inputs!$B$29)))</f>
        <v/>
      </c>
      <c r="E1240">
        <f>INDEX(FactorTable!$B$2:$Y$301, MATCH(ROUND(MIN(300,MAX(1,D1240)),0), FactorTable!$A$2:$A$301,0), Skills!M9+1)</f>
        <v/>
      </c>
      <c r="F1240">
        <f>IF(Skills!N9=TRUE,(Skills!L9/10)*(E1240/1000),Skills!L9/10)+Skills!O9</f>
        <v/>
      </c>
      <c r="G1240">
        <f>Skills!G9*IF(Skills!H9&gt;0,Skills!I9/Skills!H9,1)</f>
        <v/>
      </c>
      <c r="H1240">
        <f>1-(1-Skills!J9/100)^Skills!K9</f>
        <v/>
      </c>
      <c r="I1240" t="inlineStr">
        <is>
          <t>1</t>
        </is>
      </c>
      <c r="J1240">
        <f>((Inputs!$B$6*(1+Inputs!$B$7/100))+(((Inputs!$B$12*(1+Inputs!$B$13/100))-(Inputs!$B$12*(1+Inputs!$B$13/100)))+0.25*(Inputs!$B$14-Inputs!$B$14))*(1+Inputs!$B$7/100))*(F1240/100)</f>
        <v/>
      </c>
      <c r="K1240">
        <f>J1240*(1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1240)</f>
        <v/>
      </c>
      <c r="L1240">
        <f>K1240*(MIN(Inputs!$B$22+((C1253=TRUE)*(F1253-Calc!F22)),(Inputs!$B$23+((C1255=TRUE)*(F1255-Calc!F24))+(IF(ArtifactsInput!$M$15,CHOOSE(ArtifactsInput!$N$15+1,25,30,35,40,45,50)/100*(Inputs!$B$11-Inputs!$B$11),0))))/100+(Inputs!$B$23+((C1255=TRUE)*(F1255-Calc!F24))+(IF(ArtifactsInput!$M$15,CHOOSE(ArtifactsInput!$N$15+1,25,30,35,40,45,50)/100*(Inputs!$B$11-Inputs!$B$11),0)))/100)/2</f>
        <v/>
      </c>
      <c r="M1240">
        <f>L1240*(1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0">
        <f>L1240*(1-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1240*(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0">
        <f>(1-Summary!$B$11)*T1240+Summary!$B$11*V1240</f>
        <v/>
      </c>
      <c r="P1240">
        <f>IF(B1268=0,0,O1240/B1268)</f>
        <v/>
      </c>
      <c r="Q1240">
        <f>IFERROR(1/(IF(Inputs!$B$38="pvp",15,MAX(0.1,Skills!D9-IF(Skills!E9=TRUE,Inputs!$B$32,0)))*(1-IF(AND(ArtifactsInput!$M$27,Inputs!$B$4="Chapter Hunt"),CHOOSE(ArtifactsInput!$N$27+1,20,24,28,32,36,40),0)/100)),0)</f>
        <v/>
      </c>
      <c r="R1240">
        <f>IF(AND(Inputs!$B$38&lt;&gt;"pvp",Inputs!$B$43&gt;0),IF(MAX(0,Inputs!$B$43-B1265)&lt;=0,0,(INT(MAX(0,Inputs!$B$43-B1265)/(IF(Inputs!$B$38="pvp",15,MAX(0.1,Skills!D9-IF(Skills!E9=TRUE,Inputs!$B$32,0)))*(1-IF(AND(ArtifactsInput!$M$27,Inputs!$B$4="Chapter Hunt"),CHOOSE(ArtifactsInput!$N$27+1,20,24,28,32,36,40),0)/100)))+1)),0)</f>
        <v/>
      </c>
      <c r="S1240">
        <f>IFERROR(O1240/N1240,0)</f>
        <v/>
      </c>
      <c r="T1240">
        <f>IF(C1240,(H1240*N1240*IF(AND(Inputs!$B$38&lt;&gt;"pvp",Inputs!$B$43&gt;0),((Skills!G9*((R1240-1)*IF(Skills!H9&gt;0,Skills!I9/Skills!H9,1)+IF(Skills!H9&gt;0,MIN(Skills!I9,MAX(0,MAX(0,Inputs!$B$43-B1265)-((R1240-1)*(IF(Inputs!$B$38="pvp",15,MAX(0.1,Skills!D9-IF(Skills!E9=TRUE,Inputs!$B$32,0)))*(1-IF(AND(ArtifactsInput!$M$27,Inputs!$B$4="Chapter Hunt"),CHOOSE(ArtifactsInput!$N$27+1,20,24,28,32,36,40),0)/100)))))/Skills!H9,1)))/Inputs!$B$43),G1240*Q1240)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1240*(1-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1240*(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1240*(1-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1240*(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0">
        <f>IF(C1240,(H1240*N1240*IF(AND(Inputs!$B$38&lt;&gt;"pvp",Inputs!$B$43&gt;0),((Skills!G9*((R1240-1)*IF(Skills!H9&gt;0,Skills!I9/Skills!H9,1)+IF(Skills!H9&gt;0,MIN(Skills!I9,MAX(0,MAX(0,Inputs!$B$43-B1265)-((R1240-1)*(IF(Inputs!$B$38="pvp",15,MAX(0.1,Skills!D9-IF(Skills!E9=TRUE,Inputs!$B$32,0)))*(1-IF(AND(ArtifactsInput!$M$27,Inputs!$B$4="Chapter Hunt"),CHOOSE(ArtifactsInput!$N$27+1,20,24,28,32,36,40),0)/100)))))/Skills!H9,1)))/Inputs!$B$43),G1240*Q1240))*IF(Inputs!$B$38="pvp",1,(1+(Inputs!$B$21+Skills!Q9+(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1">
      <c r="A1241">
        <f>Skills!A10</f>
        <v/>
      </c>
      <c r="B1241">
        <f>Skills!B10</f>
        <v/>
      </c>
      <c r="C1241">
        <f>Inputs!$B$3&gt;=117</f>
        <v/>
      </c>
      <c r="D1241">
        <f>IF(Skills!C10=1,60+Inputs!$B$25+Inputs!$B$29,IF(Skills!C10=2,90+Inputs!$B$26+Inputs!$B$29,IF(Skills!C10=3,120+Inputs!$B$27+Inputs!$B$29,MAX(0,(Inputs!$B$3-100)*3)+Inputs!$B$28+Inputs!$B$29)))</f>
        <v/>
      </c>
      <c r="E1241">
        <f>INDEX(FactorTable!$B$2:$Y$301, MATCH(ROUND(MIN(300,MAX(1,D1241)),0), FactorTable!$A$2:$A$301,0), Skills!M10+1)</f>
        <v/>
      </c>
      <c r="F1241">
        <f>IF(Skills!N10=TRUE,(Skills!L10/10)*(E1241/1000),Skills!L10/10)+Skills!O10</f>
        <v/>
      </c>
      <c r="G1241">
        <f>Skills!G10*IF(Skills!H10&gt;0,Skills!I10/Skills!H10,1)</f>
        <v/>
      </c>
      <c r="H1241">
        <f>1-(1-Skills!J10/100)^Skills!K10</f>
        <v/>
      </c>
      <c r="I1241" t="inlineStr">
        <is>
          <t>1</t>
        </is>
      </c>
      <c r="J1241">
        <f>((Inputs!$B$6*(1+Inputs!$B$7/100))+(((Inputs!$B$12*(1+Inputs!$B$13/100))-(Inputs!$B$12*(1+Inputs!$B$13/100)))+0.25*(Inputs!$B$14-Inputs!$B$14))*(1+Inputs!$B$7/100))*(F1241/100)</f>
        <v/>
      </c>
      <c r="K1241">
        <f>J1241*(1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1241)</f>
        <v/>
      </c>
      <c r="L1241">
        <f>K1241*(MIN(Inputs!$B$22+((C1253=TRUE)*(F1253-Calc!F22)),(Inputs!$B$23+((C1255=TRUE)*(F1255-Calc!F24))+(IF(ArtifactsInput!$M$15,CHOOSE(ArtifactsInput!$N$15+1,25,30,35,40,45,50)/100*(Inputs!$B$11-Inputs!$B$11),0))))/100+(Inputs!$B$23+((C1255=TRUE)*(F1255-Calc!F24))+(IF(ArtifactsInput!$M$15,CHOOSE(ArtifactsInput!$N$15+1,25,30,35,40,45,50)/100*(Inputs!$B$11-Inputs!$B$11),0)))/100)/2</f>
        <v/>
      </c>
      <c r="M1241">
        <f>L1241*(1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1">
        <f>L1241*(1-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1">
        <f>(1-Summary!$B$11)*T1241+Summary!$B$11*V1241</f>
        <v/>
      </c>
      <c r="P1241">
        <f>IF(B1268=0,0,O1241/B1268)</f>
        <v/>
      </c>
      <c r="Q1241">
        <f>IFERROR(1/(IF(Inputs!$B$38="pvp",15,MAX(0.1,Skills!D10-IF(Skills!E10=TRUE,Inputs!$B$32,0)))*(1-IF(AND(ArtifactsInput!$M$27,Inputs!$B$4="Chapter Hunt"),CHOOSE(ArtifactsInput!$N$27+1,20,24,28,32,36,40),0)/100)),0)</f>
        <v/>
      </c>
      <c r="R1241">
        <f>IF(AND(Inputs!$B$38&lt;&gt;"pvp",Inputs!$B$43&gt;0),IF(MAX(0,Inputs!$B$43-B1265)&lt;=0,0,(INT(MAX(0,Inputs!$B$43-B1265)/(IF(Inputs!$B$38="pvp",15,MAX(0.1,Skills!D10-IF(Skills!E10=TRUE,Inputs!$B$32,0)))*(1-IF(AND(ArtifactsInput!$M$27,Inputs!$B$4="Chapter Hunt"),CHOOSE(ArtifactsInput!$N$27+1,20,24,28,32,36,40),0)/100)))+1)),0)</f>
        <v/>
      </c>
      <c r="S1241">
        <f>IFERROR(O1241/N1241,0)</f>
        <v/>
      </c>
      <c r="T1241">
        <f>IF(C1241,(H1241*N1241*IF(AND(Inputs!$B$38&lt;&gt;"pvp",Inputs!$B$43&gt;0),((Skills!G10*((R1241-1)*IF(Skills!H10&gt;0,Skills!I10/Skills!H10,1)+IF(Skills!H10&gt;0,MIN(Skills!I10,MAX(0,MAX(0,Inputs!$B$43-B1265)-((R1241-1)*(IF(Inputs!$B$38="pvp",15,MAX(0.1,Skills!D10-IF(Skills!E10=TRUE,Inputs!$B$32,0)))*(1-IF(AND(ArtifactsInput!$M$27,Inputs!$B$4="Chapter Hunt"),CHOOSE(ArtifactsInput!$N$27+1,20,24,28,32,36,40),0)/100)))))/Skills!H10,1)))/Inputs!$B$43),G1241*Q1241)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1241*(1-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1241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1241*(1-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1">
        <f>IF(C1241,(H1241*N1241*IF(AND(Inputs!$B$38&lt;&gt;"pvp",Inputs!$B$43&gt;0),((Skills!G10*((R1241-1)*IF(Skills!H10&gt;0,Skills!I10/Skills!H10,1)+IF(Skills!H10&gt;0,MIN(Skills!I10,MAX(0,MAX(0,Inputs!$B$43-B1265)-((R1241-1)*(IF(Inputs!$B$38="pvp",15,MAX(0.1,Skills!D10-IF(Skills!E10=TRUE,Inputs!$B$32,0)))*(1-IF(AND(ArtifactsInput!$M$27,Inputs!$B$4="Chapter Hunt"),CHOOSE(ArtifactsInput!$N$27+1,20,24,28,32,36,40),0)/100)))))/Skills!H10,1)))/Inputs!$B$43),G1241*Q1241))*IF(Inputs!$B$38="pvp",1,(1+(Inputs!$B$21+Skills!Q10+(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2">
      <c r="A1242">
        <f>Skills!A11</f>
        <v/>
      </c>
      <c r="B1242">
        <f>Skills!B11</f>
        <v/>
      </c>
      <c r="C1242">
        <f>Inputs!$B$3&gt;=63</f>
        <v/>
      </c>
      <c r="D1242">
        <f>IF(Skills!C11=1,60+Inputs!$B$25+Inputs!$B$29,IF(Skills!C11=2,90+Inputs!$B$26+Inputs!$B$29,IF(Skills!C11=3,120+Inputs!$B$27+Inputs!$B$29,MAX(0,(Inputs!$B$3-100)*3)+Inputs!$B$28+Inputs!$B$29)))</f>
        <v/>
      </c>
      <c r="E1242">
        <f>INDEX(FactorTable!$B$2:$Y$301, MATCH(ROUND(MIN(300,MAX(1,D1242)),0), FactorTable!$A$2:$A$301,0), Skills!M11+1)</f>
        <v/>
      </c>
      <c r="F1242">
        <f>IF(Skills!N11=TRUE,(Skills!L11/10)*(E1242/1000),Skills!L11/10)+Skills!O11</f>
        <v/>
      </c>
      <c r="G1242">
        <f>Skills!G11*IF(Skills!H11&gt;0,Skills!I11/Skills!H11,1)</f>
        <v/>
      </c>
      <c r="H1242">
        <f>1-(1-Skills!J11/100)^Skills!K11</f>
        <v/>
      </c>
      <c r="I1242" t="inlineStr">
        <is>
          <t>1</t>
        </is>
      </c>
      <c r="J1242">
        <f>((Inputs!$B$6*(1+Inputs!$B$7/100))+(((Inputs!$B$12*(1+Inputs!$B$13/100))-(Inputs!$B$12*(1+Inputs!$B$13/100)))+0.25*(Inputs!$B$14-Inputs!$B$14))*(1+Inputs!$B$7/100))*(F1242/100)</f>
        <v/>
      </c>
      <c r="K1242">
        <f>J1242*(1+((Inputs!$B$12*(1+Inputs!$B$13/100))*0.01+Inputs!$B$14*0.0025)/100)*(1+Inputs!$B$15/100)*(1+Inputs!$B$16/100)*(5000/(6000+Inputs!$B$42*(1-(Inputs!$B$19+0)/100)))*(1+(Inputs!$B$24+0+B1264)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1243=TRUE,F1243,0)/100)*(1+(IF(Skills!A11="BLAST",Inputs!$B$17+((C1252=TRUE)*(F1252-Calc!F21))+((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MIN(100,((Inputs!$B$9+0+B1258+(ArtifactsInput!$M$24-ArtifactsInput!$M$24)*CHOOSE(ArtifactsInput!$N$24+1,10,12,14,16,18,20)+IF(ArtifactsInput!$M$10,CHOOSE(ArtifactsInput!$N$10+1,15,18,21,24,27,30)*(IF(Inputs!$B$38="pvp",MIN(15,15)/15,IF(AND(Inputs!$B$38&lt;&gt;"pvp",Inputs!$B$43&gt;0),MIN(15,Inputs!$B$43)/(Inputs!$B$43),0))),0)))-100),0))*CHOOSE(ArtifactsInput!$N$42+1,0.6,0.72,0.84,0.96,1.08,1.2))),Inputs!$B$18+((C1254=TRUE)*(F1254-Calc!F23))+(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gt;=100),CHOOSE(ArtifactsInput!$N$42+1,40,48,56,64,72,80),0))))/100)*((1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1242)</f>
        <v/>
      </c>
      <c r="L1242">
        <f>K1242*(MIN(Inputs!$B$22+((C1253=TRUE)*(F1253-Calc!F22)),(Inputs!$B$23+((C1255=TRUE)*(F1255-Calc!F24))+(IF(ArtifactsInput!$M$15,CHOOSE(ArtifactsInput!$N$15+1,25,30,35,40,45,50)/100*(Inputs!$B$11-Inputs!$B$11),0))))/100+(Inputs!$B$23+((C1255=TRUE)*(F1255-Calc!F24))+(IF(ArtifactsInput!$M$15,CHOOSE(ArtifactsInput!$N$15+1,25,30,35,40,45,50)/100*(Inputs!$B$11-Inputs!$B$11),0)))/100)/2</f>
        <v/>
      </c>
      <c r="M1242">
        <f>L1242*(1+(Inputs!$B$10+0+B1263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2">
        <f>L1242*(1-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1242*(MIN((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2">
        <f>(1-Summary!$B$11)*T1242+Summary!$B$11*V1242</f>
        <v/>
      </c>
      <c r="P1242">
        <f>IF(B1268=0,0,O1242/B1268)</f>
        <v/>
      </c>
      <c r="Q1242">
        <f>IFERROR(1/(IF(Inputs!$B$38="pvp",15,MAX(0.1,Skills!D11-IF(Skills!E11=TRUE,Inputs!$B$32,0)))*(1-IF(AND(ArtifactsInput!$M$27,Inputs!$B$4="Chapter Hunt"),CHOOSE(ArtifactsInput!$N$27+1,20,24,28,32,36,40),0)/100)),0)</f>
        <v/>
      </c>
      <c r="R1242">
        <f>IF(AND(Inputs!$B$38&lt;&gt;"pvp",Inputs!$B$43&gt;0),IF(MAX(0,Inputs!$B$43-B1265)&lt;=0,0,(INT(MAX(0,Inputs!$B$43-B1265)/(IF(Inputs!$B$38="pvp",15,MAX(0.1,Skills!D11-IF(Skills!E11=TRUE,Inputs!$B$32,0)))*(1-IF(AND(ArtifactsInput!$M$27,Inputs!$B$4="Chapter Hunt"),CHOOSE(ArtifactsInput!$N$27+1,20,24,28,32,36,40),0)/100)))+1)),0)</f>
        <v/>
      </c>
      <c r="S1242">
        <f>IFERROR(O1242/N1242,0)</f>
        <v/>
      </c>
      <c r="T1242">
        <f>IF(C1242,(H1242*N1242*IF(AND(Inputs!$B$38&lt;&gt;"pvp",Inputs!$B$43&gt;0),((Skills!G11*((R1242-1)*IF(Skills!H11&gt;0,Skills!I11/Skills!H11,1)+IF(Skills!H11&gt;0,MIN(Skills!I11,MAX(0,MAX(0,Inputs!$B$43-B1265)-((R1242-1)*(IF(Inputs!$B$38="pvp",15,MAX(0.1,Skills!D11-IF(Skills!E11=TRUE,Inputs!$B$32,0)))*(1-IF(AND(ArtifactsInput!$M$27,Inputs!$B$4="Chapter Hunt"),CHOOSE(ArtifactsInput!$N$27+1,20,24,28,32,36,40),0)/100)))))/Skills!H11,1)))/Inputs!$B$43),G1242*Q1242)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1242*(1-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1242*(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1242*(1-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1242*(MIN(100,(Inputs!$B$9+0+B1258+(ArtifactsInput!$M$24-ArtifactsInput!$M$24)*CHOOSE(ArtifactsInput!$N$24+1,10,12,14,16,18,20)+(IF(AND(Inputs!$B$38&lt;&gt;"pvp",Inputs!$B$43=0),1,IF(IF(Inputs!$B$38="pvp",15,Inputs!$B$43)-(B1265)&lt;=0,1,MAX(0,IF(Inputs!$B$38="pvp",15,Inputs!$B$43)-MAX(5,B1265))/(IF(Inputs!$B$38="pvp",15,Inputs!$B$43)-(B1265))))*IF(AND(ArtifactsInput!$M$42,((Inputs!$B$9+0+B1258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2">
        <f>IF(C1242,(H1242*N1242*IF(AND(Inputs!$B$38&lt;&gt;"pvp",Inputs!$B$43&gt;0),((Skills!G11*((R1242-1)*IF(Skills!H11&gt;0,Skills!I11/Skills!H11,1)+IF(Skills!H11&gt;0,MIN(Skills!I11,MAX(0,MAX(0,Inputs!$B$43-B1265)-((R1242-1)*(IF(Inputs!$B$38="pvp",15,MAX(0.1,Skills!D11-IF(Skills!E11=TRUE,Inputs!$B$32,0)))*(1-IF(AND(ArtifactsInput!$M$27,Inputs!$B$4="Chapter Hunt"),CHOOSE(ArtifactsInput!$N$27+1,20,24,28,32,36,40),0)/100)))))/Skills!H11,1)))/Inputs!$B$43),G1242*Q1242))*IF(Inputs!$B$38="pvp",1,(1+(Inputs!$B$21+Skills!Q11+(IF(ArtifactsInput!$M$33,CHOOSE(ArtifactsInput!$N$33+1,30,36,42,48,54,60),0))+(IF(AND(ArtifactsInput!$M$35,Inputs!$B$4&lt;&gt;"Chapter Hunt"),CHOOSE(ArtifactsInput!$N$35+1,15,18,21,24,27,30)*(1-EXP(-(0.2*B1260)*5)),0)+IF(AND(ArtifactsInput!$M$22,Inputs!$B$4&lt;&gt;"Chapter Hunt"),CHOOSE(ArtifactsInput!$N$22+1,10,12,14,16,18,20)*((0*(((0.15*B1260*5))^0/1)+1*(((0.15*B1260*5))^1/1)+2*(((0.15*B1260*5))^2/2)+3*(((0.15*B1260*5))^3/6)+4*(((0.15*B1260*5))^4/24)+5*(((0.15*B1260*5))^5/120))/((((0.15*B1260*5))^0/1)+(((0.15*B1260*5))^1/1)+(((0.15*B1260*5))^2/2)+(((0.15*B1260*5))^3/6)+(((0.15*B1260*5))^4/24)+(((0.15*B1260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3">
      <c r="A1243">
        <f>Skills!A12</f>
        <v/>
      </c>
      <c r="B1243">
        <f>Skills!B12</f>
        <v/>
      </c>
      <c r="C1243">
        <f>Inputs!$B$3&gt;=100</f>
        <v/>
      </c>
      <c r="D1243">
        <f>IF(Skills!C12=1,60+Inputs!$B$25+Inputs!$B$29,IF(Skills!C12=2,90+Inputs!$B$26+Inputs!$B$29,IF(Skills!C12=3,120+Inputs!$B$27+Inputs!$B$29,MAX(0,(Inputs!$B$3-100)*3)+Inputs!$B$28+Inputs!$B$29)))</f>
        <v/>
      </c>
      <c r="E1243">
        <f>INDEX(FactorTable!$B$2:$Y$301, MATCH(ROUND(MIN(300,MAX(1,D1243)),0), FactorTable!$A$2:$A$301,0), Skills!M12+1)</f>
        <v/>
      </c>
      <c r="F1243">
        <f>IF(Skills!N12=TRUE,(Skills!L12/10)*(E1243/1000),Skills!L12/10)+Skills!O12</f>
        <v/>
      </c>
      <c r="G1243" t="inlineStr"/>
      <c r="H1243" t="inlineStr"/>
      <c r="I1243" t="inlineStr">
        <is>
          <t>1</t>
        </is>
      </c>
      <c r="J1243" t="inlineStr"/>
      <c r="K1243" t="inlineStr"/>
      <c r="L1243" t="inlineStr"/>
      <c r="M1243" t="inlineStr"/>
      <c r="N1243" t="inlineStr"/>
      <c r="O1243" t="inlineStr"/>
      <c r="P1243" t="inlineStr"/>
      <c r="Q1243" t="inlineStr"/>
      <c r="R1243" t="inlineStr"/>
      <c r="S1243" t="inlineStr"/>
    </row>
    <row r="1244">
      <c r="A1244">
        <f>Skills!A13</f>
        <v/>
      </c>
      <c r="B1244">
        <f>Skills!B13</f>
        <v/>
      </c>
      <c r="C1244">
        <f>Inputs!$B$3&gt;=45</f>
        <v/>
      </c>
      <c r="D1244">
        <f>IF(Skills!C13=1,60+Inputs!$B$25+Inputs!$B$29,IF(Skills!C13=2,90+Inputs!$B$26+Inputs!$B$29,IF(Skills!C13=3,120+Inputs!$B$27+Inputs!$B$29,MAX(0,(Inputs!$B$3-100)*3)+Inputs!$B$28+Inputs!$B$29)))</f>
        <v/>
      </c>
      <c r="E1244">
        <f>INDEX(FactorTable!$B$2:$Y$301, MATCH(ROUND(MIN(300,MAX(1,D1244)),0), FactorTable!$A$2:$A$301,0), Skills!M13+1)</f>
        <v/>
      </c>
      <c r="F1244">
        <f>IF(Skills!N13=TRUE,(Skills!L13/10)*(E1244/1000),Skills!L13/10)+Skills!O13</f>
        <v/>
      </c>
      <c r="G1244">
        <f>Skills!G13*IF(Skills!H13&gt;0,Skills!I13/Skills!H13,1)</f>
        <v/>
      </c>
      <c r="H1244">
        <f>1-(1-Skills!J13/100)^Skills!K13</f>
        <v/>
      </c>
      <c r="I1244" t="inlineStr">
        <is>
          <t>1</t>
        </is>
      </c>
      <c r="J1244" t="inlineStr"/>
      <c r="K1244" t="inlineStr"/>
      <c r="L1244" t="inlineStr"/>
      <c r="M1244" t="inlineStr"/>
      <c r="N1244" t="inlineStr"/>
      <c r="O1244">
        <f>(1-Summary!$B$11)*T1244+Summary!$B$11*V1244</f>
        <v/>
      </c>
      <c r="P1244">
        <f>IF(B1268=0,0,O1244/B1268)</f>
        <v/>
      </c>
      <c r="Q1244" t="n">
        <v>0</v>
      </c>
      <c r="R1244" t="n">
        <v>0</v>
      </c>
      <c r="S1244">
        <f>IFERROR(O1244/N1244,0)</f>
        <v/>
      </c>
      <c r="T1244" t="n">
        <v>0</v>
      </c>
      <c r="V1244" t="n">
        <v>0</v>
      </c>
    </row>
    <row r="1245">
      <c r="A1245">
        <f>Skills!A14</f>
        <v/>
      </c>
      <c r="B1245">
        <f>Skills!B14</f>
        <v/>
      </c>
      <c r="C1245">
        <f>Inputs!$B$3&gt;=110</f>
        <v/>
      </c>
      <c r="D1245">
        <f>IF(Skills!C14=1,60+Inputs!$B$25+Inputs!$B$29,IF(Skills!C14=2,90+Inputs!$B$26+Inputs!$B$29,IF(Skills!C14=3,120+Inputs!$B$27+Inputs!$B$29,MAX(0,(Inputs!$B$3-100)*3)+Inputs!$B$28+Inputs!$B$29)))</f>
        <v/>
      </c>
      <c r="E1245">
        <f>INDEX(FactorTable!$B$2:$Y$301, MATCH(ROUND(MIN(300,MAX(1,D1245)),0), FactorTable!$A$2:$A$301,0), Skills!M14+1)</f>
        <v/>
      </c>
      <c r="F1245">
        <f>IF(Skills!N14=TRUE,(Skills!L14/10)*(E1245/1000),Skills!L14/10)+Skills!O14</f>
        <v/>
      </c>
      <c r="G1245">
        <f>Skills!G14*IF(Skills!H14&gt;0,Skills!I14/Skills!H14,1)</f>
        <v/>
      </c>
      <c r="H1245">
        <f>1-(1-Skills!J14/100)^Skills!K14</f>
        <v/>
      </c>
      <c r="I1245" t="inlineStr">
        <is>
          <t>1</t>
        </is>
      </c>
      <c r="J1245" t="inlineStr"/>
      <c r="K1245" t="inlineStr"/>
      <c r="L1245" t="inlineStr"/>
      <c r="M1245" t="inlineStr"/>
      <c r="N1245" t="inlineStr"/>
      <c r="O1245">
        <f>(1-Summary!$B$11)*T1245+Summary!$B$11*V1245</f>
        <v/>
      </c>
      <c r="P1245">
        <f>IF(B1268=0,0,O1245/B1268)</f>
        <v/>
      </c>
      <c r="Q1245" t="n">
        <v>0</v>
      </c>
      <c r="R1245" t="n">
        <v>0</v>
      </c>
      <c r="S1245">
        <f>IFERROR(O1245/N1245,0)</f>
        <v/>
      </c>
      <c r="T1245" t="n">
        <v>0</v>
      </c>
      <c r="V1245" t="n">
        <v>0</v>
      </c>
    </row>
    <row r="1246">
      <c r="A1246">
        <f>Skills!A15</f>
        <v/>
      </c>
      <c r="B1246">
        <f>Skills!B15</f>
        <v/>
      </c>
      <c r="C1246">
        <f>Inputs!$B$3&gt;=75</f>
        <v/>
      </c>
      <c r="D1246">
        <f>IF(Skills!C15=1,60+Inputs!$B$25+Inputs!$B$29,IF(Skills!C15=2,90+Inputs!$B$26+Inputs!$B$29,IF(Skills!C15=3,120+Inputs!$B$27+Inputs!$B$29,MAX(0,(Inputs!$B$3-100)*3)+Inputs!$B$28+Inputs!$B$29)))</f>
        <v/>
      </c>
      <c r="E1246">
        <f>INDEX(FactorTable!$B$2:$Y$301, MATCH(ROUND(MIN(300,MAX(1,D1246)),0), FactorTable!$A$2:$A$301,0), Skills!M15+1)</f>
        <v/>
      </c>
      <c r="F1246">
        <f>IF(Skills!N15=TRUE,(Skills!L15/10)*(E1246/1000),Skills!L15/10)+Skills!O15</f>
        <v/>
      </c>
      <c r="G1246">
        <f>Skills!G15*IF(Skills!H15&gt;0,Skills!I15/Skills!H15,1)</f>
        <v/>
      </c>
      <c r="H1246">
        <f>1-(1-Skills!J15/100)^Skills!K15</f>
        <v/>
      </c>
      <c r="I1246" t="inlineStr">
        <is>
          <t>1</t>
        </is>
      </c>
      <c r="J1246" t="inlineStr"/>
      <c r="K1246" t="inlineStr"/>
      <c r="L1246" t="inlineStr"/>
      <c r="M1246" t="inlineStr"/>
      <c r="N1246" t="inlineStr"/>
      <c r="O1246">
        <f>(1-Summary!$B$11)*T1246+Summary!$B$11*V1246</f>
        <v/>
      </c>
      <c r="P1246">
        <f>IF(B1268=0,0,O1246/B1268)</f>
        <v/>
      </c>
      <c r="Q1246">
        <f>IFERROR(1/(IF(Inputs!$B$38="pvp",15,MAX(0.1,Skills!D15-IF(Skills!E15=TRUE,Inputs!$B$32,0)))*(1-IF(AND(ArtifactsInput!$M$27,Inputs!$B$4="Chapter Hunt"),CHOOSE(ArtifactsInput!$N$27+1,20,24,28,32,36,40),0)/100)),0)</f>
        <v/>
      </c>
      <c r="R1246">
        <f>IF(AND(Inputs!$B$38&lt;&gt;"pvp",Inputs!$B$43&gt;0),IF(Inputs!$B$43&lt;=0,0,(INT(Inputs!$B$43/(IF(Inputs!$B$38="pvp",15,MAX(0.1,Skills!D15-IF(Skills!E15=TRUE,Inputs!$B$32,0)))*(1-IF(AND(ArtifactsInput!$M$27,Inputs!$B$4="Chapter Hunt"),CHOOSE(ArtifactsInput!$N$27+1,20,24,28,32,36,40),0)/100)))+1)),0)</f>
        <v/>
      </c>
      <c r="S1246">
        <f>IFERROR(O1246/N1246,0)</f>
        <v/>
      </c>
      <c r="T1246" t="n">
        <v>0</v>
      </c>
      <c r="V1246" t="n">
        <v>0</v>
      </c>
    </row>
    <row r="1247">
      <c r="A1247">
        <f>Skills!A16</f>
        <v/>
      </c>
      <c r="B1247">
        <f>Skills!B16</f>
        <v/>
      </c>
      <c r="C1247">
        <f>Inputs!$B$3&gt;=105</f>
        <v/>
      </c>
      <c r="D1247">
        <f>IF(Skills!C16=1,60+Inputs!$B$25+Inputs!$B$29,IF(Skills!C16=2,90+Inputs!$B$26+Inputs!$B$29,IF(Skills!C16=3,120+Inputs!$B$27+Inputs!$B$29,MAX(0,(Inputs!$B$3-100)*3)+Inputs!$B$28+Inputs!$B$29)))</f>
        <v/>
      </c>
      <c r="E1247">
        <f>INDEX(FactorTable!$B$2:$Y$301, MATCH(ROUND(MIN(300,MAX(1,D1247)),0), FactorTable!$A$2:$A$301,0), Skills!M16+1)</f>
        <v/>
      </c>
      <c r="F1247">
        <f>IF(Skills!N16=TRUE,(Skills!L16/10)*(E1247/1000),Skills!L16/10)+Skills!O16</f>
        <v/>
      </c>
      <c r="G1247">
        <f>Skills!G16*IF(Skills!H16&gt;0,Skills!I16/Skills!H16,1)</f>
        <v/>
      </c>
      <c r="H1247">
        <f>1-(1-Skills!J16/100)^Skills!K16</f>
        <v/>
      </c>
      <c r="I1247" t="inlineStr">
        <is>
          <t>1</t>
        </is>
      </c>
      <c r="J1247" t="inlineStr"/>
      <c r="K1247" t="inlineStr"/>
      <c r="L1247" t="inlineStr"/>
      <c r="M1247" t="inlineStr"/>
      <c r="N1247" t="inlineStr"/>
      <c r="O1247">
        <f>(1-Summary!$B$11)*T1247+Summary!$B$11*V1247</f>
        <v/>
      </c>
      <c r="P1247">
        <f>IF(B1268=0,0,O1247/B1268)</f>
        <v/>
      </c>
      <c r="Q1247">
        <f>IFERROR(1/(IF(Inputs!$B$38="pvp",15,MAX(0.1,Skills!D16-IF(Skills!E16=TRUE,Inputs!$B$32,0)))*(1-IF(AND(ArtifactsInput!$M$27,Inputs!$B$4="Chapter Hunt"),CHOOSE(ArtifactsInput!$N$27+1,20,24,28,32,36,40),0)/100)),0)</f>
        <v/>
      </c>
      <c r="R1247">
        <f>IF(AND(Inputs!$B$38&lt;&gt;"pvp",Inputs!$B$43&gt;0),IF(Inputs!$B$43&lt;=0,0,(INT(Inputs!$B$43/(IF(Inputs!$B$38="pvp",15,MAX(0.1,Skills!D16-IF(Skills!E16=TRUE,Inputs!$B$32,0)))*(1-IF(AND(ArtifactsInput!$M$27,Inputs!$B$4="Chapter Hunt"),CHOOSE(ArtifactsInput!$N$27+1,20,24,28,32,36,40),0)/100)))+1)),0)</f>
        <v/>
      </c>
      <c r="S1247">
        <f>IFERROR(O1247/N1247,0)</f>
        <v/>
      </c>
      <c r="T1247" t="n">
        <v>0</v>
      </c>
      <c r="V1247" t="n">
        <v>0</v>
      </c>
    </row>
    <row r="1248">
      <c r="A1248">
        <f>Skills!A17</f>
        <v/>
      </c>
      <c r="B1248">
        <f>Skills!B17</f>
        <v/>
      </c>
      <c r="C1248">
        <f>Inputs!$B$3&gt;=115</f>
        <v/>
      </c>
      <c r="D1248">
        <f>IF(Skills!C17=1,60+Inputs!$B$25+Inputs!$B$29,IF(Skills!C17=2,90+Inputs!$B$26+Inputs!$B$29,IF(Skills!C17=3,120+Inputs!$B$27+Inputs!$B$29,MAX(0,(Inputs!$B$3-100)*3)+Inputs!$B$28+Inputs!$B$29)))</f>
        <v/>
      </c>
      <c r="E1248">
        <f>INDEX(FactorTable!$B$2:$Y$301, MATCH(ROUND(MIN(300,MAX(1,D1248)),0), FactorTable!$A$2:$A$301,0), Skills!M17+1)</f>
        <v/>
      </c>
      <c r="F1248">
        <f>IF(Skills!N17=TRUE,(Skills!L17/10)*(E1248/1000),Skills!L17/10)+Skills!O17</f>
        <v/>
      </c>
      <c r="G1248">
        <f>Skills!G17*IF(Skills!H17&gt;0,Skills!I17/Skills!H17,1)</f>
        <v/>
      </c>
      <c r="H1248">
        <f>1-(1-Skills!J17/100)^Skills!K17</f>
        <v/>
      </c>
      <c r="I1248" t="inlineStr">
        <is>
          <t>1</t>
        </is>
      </c>
      <c r="J1248" t="inlineStr"/>
      <c r="K1248" t="inlineStr"/>
      <c r="L1248" t="inlineStr"/>
      <c r="M1248" t="inlineStr"/>
      <c r="N1248" t="inlineStr"/>
      <c r="O1248">
        <f>(1-Summary!$B$11)*T1248+Summary!$B$11*V1248</f>
        <v/>
      </c>
      <c r="P1248">
        <f>IF(B1268=0,0,O1248/B1268)</f>
        <v/>
      </c>
      <c r="Q1248">
        <f>IFERROR(1/(IF(Inputs!$B$38="pvp",15,MAX(0.1,Skills!D17-IF(Skills!E17=TRUE,Inputs!$B$32,0)))*(1-IF(AND(ArtifactsInput!$M$27,Inputs!$B$4="Chapter Hunt"),CHOOSE(ArtifactsInput!$N$27+1,20,24,28,32,36,40),0)/100)),0)</f>
        <v/>
      </c>
      <c r="R1248">
        <f>IF(AND(Inputs!$B$38&lt;&gt;"pvp",Inputs!$B$43&gt;0),IF(Inputs!$B$43&lt;=0,0,(INT(Inputs!$B$43/(IF(Inputs!$B$38="pvp",15,MAX(0.1,Skills!D17-IF(Skills!E17=TRUE,Inputs!$B$32,0)))*(1-IF(AND(ArtifactsInput!$M$27,Inputs!$B$4="Chapter Hunt"),CHOOSE(ArtifactsInput!$N$27+1,20,24,28,32,36,40),0)/100)))+1)),0)</f>
        <v/>
      </c>
      <c r="S1248">
        <f>IFERROR(O1248/N1248,0)</f>
        <v/>
      </c>
      <c r="T1248" t="n">
        <v>0</v>
      </c>
      <c r="V1248" t="n">
        <v>0</v>
      </c>
    </row>
    <row r="1249">
      <c r="A1249">
        <f>Skills!A18</f>
        <v/>
      </c>
      <c r="B1249">
        <f>Skills!B18</f>
        <v/>
      </c>
      <c r="C1249">
        <f>Inputs!$B$3&gt;=74</f>
        <v/>
      </c>
      <c r="D1249">
        <f>IF(Skills!C18=1,60+Inputs!$B$25+Inputs!$B$29,IF(Skills!C18=2,90+Inputs!$B$26+Inputs!$B$29,IF(Skills!C18=3,120+Inputs!$B$27+Inputs!$B$29,MAX(0,(Inputs!$B$3-100)*3)+Inputs!$B$28+Inputs!$B$29)))</f>
        <v/>
      </c>
      <c r="E1249">
        <f>INDEX(FactorTable!$B$2:$Y$301, MATCH(ROUND(MIN(300,MAX(1,D1249)),0), FactorTable!$A$2:$A$301,0), Skills!M18+1)</f>
        <v/>
      </c>
      <c r="F1249">
        <f>IF(Skills!N18=TRUE,(Skills!L18/10)*(E1249/1000),Skills!L18/10)+Skills!O18</f>
        <v/>
      </c>
      <c r="G1249">
        <f>Skills!G18*IF(Skills!H18&gt;0,Skills!I18/Skills!H18,1)</f>
        <v/>
      </c>
      <c r="H1249">
        <f>1-(1-Skills!J18/100)^Skills!K18</f>
        <v/>
      </c>
      <c r="I1249" t="inlineStr">
        <is>
          <t>1</t>
        </is>
      </c>
      <c r="J1249" t="inlineStr"/>
      <c r="K1249" t="inlineStr"/>
      <c r="L1249" t="inlineStr"/>
      <c r="M1249" t="inlineStr"/>
      <c r="N1249" t="inlineStr"/>
      <c r="O1249">
        <f>(1-Summary!$B$11)*T1249+Summary!$B$11*V1249</f>
        <v/>
      </c>
      <c r="P1249">
        <f>IF(B1268=0,0,O1249/B1268)</f>
        <v/>
      </c>
      <c r="Q1249">
        <f>IFERROR(1/(IF(Inputs!$B$38="pvp",15,MAX(0.1,Skills!D18-IF(Skills!E18=TRUE,Inputs!$B$32,0)))*(1-IF(AND(ArtifactsInput!$M$27,Inputs!$B$4="Chapter Hunt"),CHOOSE(ArtifactsInput!$N$27+1,20,24,28,32,36,40),0)/100)),0)</f>
        <v/>
      </c>
      <c r="R1249">
        <f>IF(AND(Inputs!$B$38&lt;&gt;"pvp",Inputs!$B$43&gt;0),IF(Inputs!$B$43&lt;=0,0,(INT(Inputs!$B$43/(IF(Inputs!$B$38="pvp",15,MAX(0.1,Skills!D18-IF(Skills!E18=TRUE,Inputs!$B$32,0)))*(1-IF(AND(ArtifactsInput!$M$27,Inputs!$B$4="Chapter Hunt"),CHOOSE(ArtifactsInput!$N$27+1,20,24,28,32,36,40),0)/100)))+1)),0)</f>
        <v/>
      </c>
      <c r="S1249">
        <f>IFERROR(O1249/N1249,0)</f>
        <v/>
      </c>
      <c r="T1249" t="n">
        <v>0</v>
      </c>
      <c r="V1249" t="n">
        <v>0</v>
      </c>
    </row>
    <row r="1250">
      <c r="A1250">
        <f>Skills!A19</f>
        <v/>
      </c>
      <c r="B1250">
        <f>Skills!B19</f>
        <v/>
      </c>
      <c r="C1250">
        <f>TRUE</f>
        <v/>
      </c>
      <c r="D1250">
        <f>IF(Skills!C19=1,60+Inputs!$B$25+Inputs!$B$29,IF(Skills!C19=2,90+Inputs!$B$26+Inputs!$B$29,IF(Skills!C19=3,120+Inputs!$B$27+Inputs!$B$29,MAX(0,(Inputs!$B$3-100)*3)+Inputs!$B$28+Inputs!$B$29)))</f>
        <v/>
      </c>
      <c r="E1250">
        <f>INDEX(FactorTable!$B$2:$Y$301, MATCH(ROUND(MIN(300,MAX(1,D1250)),0), FactorTable!$A$2:$A$301,0), Skills!M19+1)</f>
        <v/>
      </c>
      <c r="F1250">
        <f>IF(Skills!N19=TRUE,(Skills!L19/10)*(E1250/1000),Skills!L19/10)+Skills!O19</f>
        <v/>
      </c>
      <c r="G1250">
        <f>Skills!G19*IF(Skills!H19&gt;0,Skills!I19/Skills!H19,1)</f>
        <v/>
      </c>
      <c r="H1250">
        <f>1-(1-Skills!J19/100)^Skills!K19</f>
        <v/>
      </c>
      <c r="I1250" t="inlineStr">
        <is>
          <t>1</t>
        </is>
      </c>
      <c r="J1250" t="inlineStr"/>
      <c r="K1250" t="inlineStr"/>
      <c r="L1250" t="inlineStr"/>
      <c r="M1250" t="inlineStr"/>
      <c r="N1250" t="inlineStr"/>
      <c r="O1250">
        <f>(1-Summary!$B$11)*T1250+Summary!$B$11*V1250</f>
        <v/>
      </c>
      <c r="P1250">
        <f>IF(B1268=0,0,O1250/B1268)</f>
        <v/>
      </c>
      <c r="Q1250">
        <f>IFERROR(1/(IF(Inputs!$B$38="pvp",15,MAX(0.1,Skills!D19-IF(Skills!E19=TRUE,Inputs!$B$32,0)))*(1-IF(AND(ArtifactsInput!$M$27,Inputs!$B$4="Chapter Hunt"),CHOOSE(ArtifactsInput!$N$27+1,20,24,28,32,36,40),0)/100)),0)</f>
        <v/>
      </c>
      <c r="R1250">
        <f>IF(AND(Inputs!$B$38&lt;&gt;"pvp",Inputs!$B$43&gt;0),IF(Inputs!$B$43&lt;=0,0,(INT(Inputs!$B$43/(IF(Inputs!$B$38="pvp",15,MAX(0.1,Skills!D19-IF(Skills!E19=TRUE,Inputs!$B$32,0)))*(1-IF(AND(ArtifactsInput!$M$27,Inputs!$B$4="Chapter Hunt"),CHOOSE(ArtifactsInput!$N$27+1,20,24,28,32,36,40),0)/100)))+1)),0)</f>
        <v/>
      </c>
      <c r="S1250">
        <f>IFERROR(O1250/N1250,0)</f>
        <v/>
      </c>
      <c r="T1250" t="n">
        <v>0</v>
      </c>
      <c r="V1250" t="n">
        <v>0</v>
      </c>
    </row>
    <row r="1251">
      <c r="A1251">
        <f>Skills!A20</f>
        <v/>
      </c>
      <c r="B1251">
        <f>Skills!B20</f>
        <v/>
      </c>
      <c r="C1251">
        <f>Inputs!$B$3&gt;=33</f>
        <v/>
      </c>
      <c r="D1251">
        <f>IF(Skills!C20=1,60+Inputs!$B$25+Inputs!$B$29,IF(Skills!C20=2,90+Inputs!$B$26+Inputs!$B$29,IF(Skills!C20=3,120+Inputs!$B$27+Inputs!$B$29,MAX(0,(Inputs!$B$3-100)*3)+Inputs!$B$28+Inputs!$B$29)))</f>
        <v/>
      </c>
      <c r="E1251">
        <f>INDEX(FactorTable!$B$2:$Y$301, MATCH(ROUND(MIN(300,MAX(1,D1251)),0), FactorTable!$A$2:$A$301,0), Skills!M20+1)</f>
        <v/>
      </c>
      <c r="F1251">
        <f>IF(Skills!N20=TRUE,(Skills!L20/10)*(E1251/1000),Skills!L20/10)+Skills!O20</f>
        <v/>
      </c>
      <c r="G1251">
        <f>Skills!G20*IF(Skills!H20&gt;0,Skills!I20/Skills!H20,1)</f>
        <v/>
      </c>
      <c r="H1251">
        <f>1-(1-Skills!J20/100)^Skills!K20</f>
        <v/>
      </c>
      <c r="I1251" t="inlineStr">
        <is>
          <t>1</t>
        </is>
      </c>
      <c r="J1251" t="inlineStr"/>
      <c r="K1251" t="inlineStr"/>
      <c r="L1251" t="inlineStr"/>
      <c r="M1251" t="inlineStr"/>
      <c r="N1251" t="inlineStr"/>
      <c r="O1251">
        <f>(1-Summary!$B$11)*T1251+Summary!$B$11*V1251</f>
        <v/>
      </c>
      <c r="P1251">
        <f>IF(B1268=0,0,O1251/B1268)</f>
        <v/>
      </c>
      <c r="Q1251" t="n">
        <v>0</v>
      </c>
      <c r="R1251" t="n">
        <v>0</v>
      </c>
      <c r="S1251">
        <f>IFERROR(O1251/N1251,0)</f>
        <v/>
      </c>
      <c r="T1251" t="n">
        <v>0</v>
      </c>
      <c r="V1251" t="n">
        <v>0</v>
      </c>
    </row>
    <row r="1252">
      <c r="A1252">
        <f>Skills!A21</f>
        <v/>
      </c>
      <c r="B1252">
        <f>Skills!B21</f>
        <v/>
      </c>
      <c r="C1252">
        <f>Inputs!$B$3&gt;=38</f>
        <v/>
      </c>
      <c r="D1252">
        <f>IF(Skills!C21=1,60+Inputs!$B$25+Inputs!$B$29,IF(Skills!C21=2,90+Inputs!$B$26+Inputs!$B$29,IF(Skills!C21=3,120+Inputs!$B$27+Inputs!$B$29,MAX(0,(Inputs!$B$3-100)*3)+Inputs!$B$28+Inputs!$B$29)))</f>
        <v/>
      </c>
      <c r="E1252">
        <f>INDEX(FactorTable!$B$2:$Y$301, MATCH(ROUND(MIN(300,MAX(1,D1252)),0), FactorTable!$A$2:$A$301,0), Skills!M21+1)</f>
        <v/>
      </c>
      <c r="F1252">
        <f>IF(Skills!N21=TRUE,(Skills!L21/10)*(E1252/1000),Skills!L21/10)+Skills!O21</f>
        <v/>
      </c>
      <c r="G1252">
        <f>Skills!G21*IF(Skills!H21&gt;0,Skills!I21/Skills!H21,1)</f>
        <v/>
      </c>
      <c r="H1252">
        <f>1-(1-Skills!J21/100)^Skills!K21</f>
        <v/>
      </c>
      <c r="I1252" t="inlineStr">
        <is>
          <t>1</t>
        </is>
      </c>
      <c r="J1252" t="inlineStr"/>
      <c r="K1252" t="inlineStr"/>
      <c r="L1252" t="inlineStr"/>
      <c r="M1252" t="inlineStr"/>
      <c r="N1252" t="inlineStr"/>
      <c r="O1252">
        <f>(1-Summary!$B$11)*T1252+Summary!$B$11*V1252</f>
        <v/>
      </c>
      <c r="P1252">
        <f>IF(B1268=0,0,O1252/B1268)</f>
        <v/>
      </c>
      <c r="Q1252" t="n">
        <v>0</v>
      </c>
      <c r="R1252" t="n">
        <v>0</v>
      </c>
      <c r="S1252">
        <f>IFERROR(O1252/N1252,0)</f>
        <v/>
      </c>
      <c r="T1252" t="n">
        <v>0</v>
      </c>
      <c r="V1252" t="n">
        <v>0</v>
      </c>
    </row>
    <row r="1253">
      <c r="A1253">
        <f>Skills!A22</f>
        <v/>
      </c>
      <c r="B1253">
        <f>Skills!B22</f>
        <v/>
      </c>
      <c r="C1253">
        <f>Inputs!$B$3&gt;=43</f>
        <v/>
      </c>
      <c r="D1253">
        <f>IF(Skills!C22=1,60+Inputs!$B$25+Inputs!$B$29,IF(Skills!C22=2,90+Inputs!$B$26+Inputs!$B$29,IF(Skills!C22=3,120+Inputs!$B$27+Inputs!$B$29,MAX(0,(Inputs!$B$3-100)*3)+Inputs!$B$28+Inputs!$B$29)))</f>
        <v/>
      </c>
      <c r="E1253">
        <f>INDEX(FactorTable!$B$2:$Y$301, MATCH(ROUND(MIN(300,MAX(1,D1253)),0), FactorTable!$A$2:$A$301,0), Skills!M22+1)</f>
        <v/>
      </c>
      <c r="F1253">
        <f>IF(Skills!N22=TRUE,(Skills!L22/10)*(E1253/1000),Skills!L22/10)+Skills!O22</f>
        <v/>
      </c>
      <c r="G1253">
        <f>Skills!G22*IF(Skills!H22&gt;0,Skills!I22/Skills!H22,1)</f>
        <v/>
      </c>
      <c r="H1253">
        <f>1-(1-Skills!J22/100)^Skills!K22</f>
        <v/>
      </c>
      <c r="I1253" t="inlineStr">
        <is>
          <t>1</t>
        </is>
      </c>
      <c r="J1253" t="inlineStr"/>
      <c r="K1253" t="inlineStr"/>
      <c r="L1253" t="inlineStr"/>
      <c r="M1253" t="inlineStr"/>
      <c r="N1253" t="inlineStr"/>
      <c r="O1253">
        <f>(1-Summary!$B$11)*T1253+Summary!$B$11*V1253</f>
        <v/>
      </c>
      <c r="P1253">
        <f>IF(B1268=0,0,O1253/B1268)</f>
        <v/>
      </c>
      <c r="Q1253" t="n">
        <v>0</v>
      </c>
      <c r="R1253" t="n">
        <v>0</v>
      </c>
      <c r="S1253">
        <f>IFERROR(O1253/N1253,0)</f>
        <v/>
      </c>
      <c r="T1253" t="n">
        <v>0</v>
      </c>
      <c r="V1253" t="n">
        <v>0</v>
      </c>
    </row>
    <row r="1254">
      <c r="A1254">
        <f>Skills!A23</f>
        <v/>
      </c>
      <c r="B1254">
        <f>Skills!B23</f>
        <v/>
      </c>
      <c r="C1254">
        <f>Inputs!$B$3&gt;=120</f>
        <v/>
      </c>
      <c r="D1254">
        <f>IF(Skills!C23=1,60+Inputs!$B$25+Inputs!$B$29,IF(Skills!C23=2,90+Inputs!$B$26+Inputs!$B$29,IF(Skills!C23=3,120+Inputs!$B$27+Inputs!$B$29,MAX(0,(Inputs!$B$3-100)*3)+Inputs!$B$28+Inputs!$B$29)))</f>
        <v/>
      </c>
      <c r="E1254">
        <f>INDEX(FactorTable!$B$2:$Y$301, MATCH(ROUND(MIN(300,MAX(1,D1254)),0), FactorTable!$A$2:$A$301,0), Skills!M23+1)</f>
        <v/>
      </c>
      <c r="F1254">
        <f>IF(Skills!N23=TRUE,(Skills!L23/10)*(E1254/1000),Skills!L23/10)+Skills!O23</f>
        <v/>
      </c>
      <c r="G1254">
        <f>Skills!G23*IF(Skills!H23&gt;0,Skills!I23/Skills!H23,1)</f>
        <v/>
      </c>
      <c r="H1254">
        <f>1-(1-Skills!J23/100)^Skills!K23</f>
        <v/>
      </c>
      <c r="I1254" t="inlineStr">
        <is>
          <t>1</t>
        </is>
      </c>
      <c r="J1254" t="inlineStr"/>
      <c r="K1254" t="inlineStr"/>
      <c r="L1254" t="inlineStr"/>
      <c r="M1254" t="inlineStr"/>
      <c r="N1254" t="inlineStr"/>
      <c r="O1254">
        <f>(1-Summary!$B$11)*T1254+Summary!$B$11*V1254</f>
        <v/>
      </c>
      <c r="P1254">
        <f>IF(B1268=0,0,O1254/B1268)</f>
        <v/>
      </c>
      <c r="Q1254" t="n">
        <v>0</v>
      </c>
      <c r="R1254" t="n">
        <v>0</v>
      </c>
      <c r="S1254">
        <f>IFERROR(O1254/N1254,0)</f>
        <v/>
      </c>
      <c r="T1254" t="n">
        <v>0</v>
      </c>
      <c r="V1254" t="n">
        <v>0</v>
      </c>
    </row>
    <row r="1255">
      <c r="A1255">
        <f>Skills!A24</f>
        <v/>
      </c>
      <c r="B1255">
        <f>Skills!B24</f>
        <v/>
      </c>
      <c r="C1255">
        <f>Inputs!$B$3&gt;=120</f>
        <v/>
      </c>
      <c r="D1255">
        <f>IF(Skills!C24=1,60+Inputs!$B$25+Inputs!$B$29,IF(Skills!C24=2,90+Inputs!$B$26+Inputs!$B$29,IF(Skills!C24=3,120+Inputs!$B$27+Inputs!$B$29,MAX(0,(Inputs!$B$3-100)*3)+Inputs!$B$28+Inputs!$B$29)))</f>
        <v/>
      </c>
      <c r="E1255">
        <f>INDEX(FactorTable!$B$2:$Y$301, MATCH(ROUND(MIN(300,MAX(1,D1255)),0), FactorTable!$A$2:$A$301,0), Skills!M24+1)</f>
        <v/>
      </c>
      <c r="F1255">
        <f>IF(Skills!N24=TRUE,(Skills!L24/10)*(E1255/1000),Skills!L24/10)+Skills!O24</f>
        <v/>
      </c>
      <c r="G1255">
        <f>Skills!G24*IF(Skills!H24&gt;0,Skills!I24/Skills!H24,1)</f>
        <v/>
      </c>
      <c r="H1255">
        <f>1-(1-Skills!J24/100)^Skills!K24</f>
        <v/>
      </c>
      <c r="I1255" t="inlineStr">
        <is>
          <t>1</t>
        </is>
      </c>
      <c r="J1255" t="inlineStr"/>
      <c r="K1255" t="inlineStr"/>
      <c r="L1255" t="inlineStr"/>
      <c r="M1255" t="inlineStr"/>
      <c r="N1255" t="inlineStr"/>
      <c r="O1255">
        <f>(1-Summary!$B$11)*T1255+Summary!$B$11*V1255</f>
        <v/>
      </c>
      <c r="P1255">
        <f>IF(B1268=0,0,O1255/B1268)</f>
        <v/>
      </c>
      <c r="Q1255" t="n">
        <v>0</v>
      </c>
      <c r="R1255" t="n">
        <v>0</v>
      </c>
      <c r="S1255">
        <f>IFERROR(O1255/N1255,0)</f>
        <v/>
      </c>
      <c r="T1255" t="n">
        <v>0</v>
      </c>
      <c r="V1255" t="n">
        <v>0</v>
      </c>
    </row>
    <row r="1257">
      <c r="A1257" t="inlineStr">
        <is>
          <t>Attack% Bucket Multiplier</t>
        </is>
      </c>
      <c r="B1257">
        <f>(1+(((C1244=TRUE)*F1244*MIN(1,Skills!T13*(Skills!J13/100)*B1262))+((C1249=TRUE)*F1249*IF(AND(Inputs!$B$38&lt;&gt;"pvp",Inputs!$B$43&gt;0),(((R1249-1)*(Skills!T18*(1+Inputs!$B$34/100))+MIN((Skills!T18*(1+Inputs!$B$34/100)),MAX(0,Inputs!$B$43-((R1249-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58">
      <c r="A1258" t="inlineStr">
        <is>
          <t>Global Crit Rate Bonus %</t>
        </is>
      </c>
      <c r="B1258" t="n">
        <v>0</v>
      </c>
    </row>
    <row r="1259">
      <c r="A1259" t="inlineStr">
        <is>
          <t>Attack Speed Buff Bonus %</t>
        </is>
      </c>
      <c r="B1259">
        <f>((C1250=TRUE)*F1250*IF(AND(Inputs!$B$38&lt;&gt;"pvp",Inputs!$B$43&gt;0),(((R1250-1)*(Skills!T19*(1+Inputs!$B$34/100))+MIN((Skills!T19*(1+Inputs!$B$34/100)),MAX(0,Inputs!$B$43-((R1250-1)*Skills!D19))))/Inputs!$B$43),IF(Inputs!$B$38="pvp",MIN((Skills!T19*(1+Inputs!$B$34/100)),15)/15,(Skills!T19*(1+Inputs!$B$34/100))/Skills!D19)))</f>
        <v/>
      </c>
    </row>
    <row r="1260">
      <c r="A1260" t="inlineStr">
        <is>
          <t>Actions Per Second</t>
        </is>
      </c>
      <c r="B1260">
        <f>1+MIN(150,150*(1-(1-(Inputs!$B$11+((C1251=TRUE)*(F1251-Calc!F20)))/150)*(1-B1259/150)))/100</f>
        <v/>
      </c>
    </row>
    <row r="1261">
      <c r="A1261" t="inlineStr">
        <is>
          <t>Skill + Buff Cast Rate</t>
        </is>
      </c>
      <c r="B1261">
        <f>IF(AND(Inputs!$B$38&lt;&gt;"pvp",Inputs!$B$43&gt;0),SUMPRODUCT((Skills!E2:E24=TRUE)*(C1233:C1255=TRUE)*R1233:R1255*Skills!F2:F24)/Inputs!$B$43,SUMPRODUCT((Skills!E2:E24=TRUE)*(C1233:C1255=TRUE)*Q1233:Q1255*Skills!F2:F24))</f>
        <v/>
      </c>
    </row>
    <row r="1262">
      <c r="A1262" t="inlineStr">
        <is>
          <t>Blast Casts Per Second</t>
        </is>
      </c>
      <c r="B1262">
        <f>MAX(0,B1260-B1261)</f>
        <v/>
      </c>
    </row>
    <row r="1263">
      <c r="A1263" t="inlineStr">
        <is>
          <t>Global Critical Damage Bonus % (unused)</t>
        </is>
      </c>
      <c r="B1263" t="n">
        <v>0</v>
      </c>
    </row>
    <row r="1264">
      <c r="A1264" t="inlineStr">
        <is>
          <t>Global Final Damage Bonus % (Divine Shield + Guardian + Divine Blessing + Greater Vessel of Light)</t>
        </is>
      </c>
      <c r="B1264">
        <f>((C1246=TRUE)*F1246*IF(AND(Inputs!$B$38&lt;&gt;"pvp",Inputs!$B$43&gt;0),(((R1246-1)*(Skills!T15*(1+Inputs!$B$34/100))+MIN((Skills!T15*(1+Inputs!$B$34/100)),MAX(0,Inputs!$B$43-((R1246-1)*Skills!D15))))/Inputs!$B$43),IF(Inputs!$B$38="pvp",MIN((Skills!T15*(1+Inputs!$B$34/100)),15)/15,(Skills!T15*(1+Inputs!$B$34/100))/Skills!D15)))+((C1247=TRUE)*F1247*IF(AND(Inputs!$B$38&lt;&gt;"pvp",Inputs!$B$43&gt;0),(((R1247-1)*(Skills!T16*(1+Inputs!$B$34/100))+MIN((Skills!T16*(1+Inputs!$B$34/100)),MAX(0,Inputs!$B$43-((R1247-1)*Skills!D16))))/Inputs!$B$43),IF(Inputs!$B$38="pvp",MIN((Skills!T16*(1+Inputs!$B$34/100)),15)/15,(Skills!T16*(1+Inputs!$B$34/100))/Skills!D16)))+((C1248=TRUE)*F1248*IF(AND(Inputs!$B$38&lt;&gt;"pvp",Inputs!$B$43&gt;0),(((R1248-1)*(Skills!T17*(1+Inputs!$B$34/100))+MIN((Skills!T17*(1+Inputs!$B$34/100)),MAX(0,Inputs!$B$43-((R1248-1)*Skills!D17))))/Inputs!$B$43),IF(Inputs!$B$38="pvp",MIN((Skills!T17*(1+Inputs!$B$34/100)),15)/15,(Skills!T17*(1+Inputs!$B$34/100))/Skills!D17)))+((C1245=TRUE)*F1245*MIN(1,Skills!T13*(Skills!J13/100)*B1262))</f>
        <v/>
      </c>
    </row>
    <row r="1265">
      <c r="A1265" t="inlineStr">
        <is>
          <t>Buff-Casting Startup Delay (s, fixed-duration only)</t>
        </is>
      </c>
      <c r="B1265">
        <f>IF(AND(Inputs!$B$38&lt;&gt;"pvp",Inputs!$B$43&gt;0),SUMPRODUCT((Skills!T2:T24&gt;0)*(Skills!E2:E24=TRUE)*(C1233:C1255=TRUE))/B1260,0)</f>
        <v/>
      </c>
    </row>
    <row r="1266">
      <c r="A1266" t="inlineStr">
        <is>
          <t>Boss-Only Total DPS (this block's swept value)</t>
        </is>
      </c>
      <c r="B1266">
        <f>SUM(T1233:T1255)</f>
        <v/>
      </c>
    </row>
    <row r="1267">
      <c r="A1267" t="inlineStr">
        <is>
          <t>Normal-Only Total DPS (this block's swept value)</t>
        </is>
      </c>
      <c r="B1267">
        <f>SUM(V1233:V1255)</f>
        <v/>
      </c>
    </row>
    <row r="1268">
      <c r="A1268" s="6" t="inlineStr">
        <is>
          <t>TOTAL DPS</t>
        </is>
      </c>
      <c r="B1268" s="6">
        <f>SUM(O1233:O1255)</f>
        <v/>
      </c>
    </row>
    <row r="1271">
      <c r="A1271" s="6" t="inlineStr">
        <is>
          <t>Stat: Rainbow-colored Snail Shell (Equip)</t>
        </is>
      </c>
    </row>
    <row r="1272">
      <c r="A1272" s="5" t="inlineStr">
        <is>
          <t>Key</t>
        </is>
      </c>
      <c r="B1272" s="5" t="inlineStr">
        <is>
          <t>Name</t>
        </is>
      </c>
      <c r="C1272" s="5" t="inlineStr">
        <is>
          <t>Unlocked</t>
        </is>
      </c>
      <c r="D1272" s="5" t="inlineStr">
        <is>
          <t>InputLevel</t>
        </is>
      </c>
      <c r="E1272" s="5" t="inlineStr">
        <is>
          <t>Factor</t>
        </is>
      </c>
      <c r="F1272" s="5" t="inlineStr">
        <is>
          <t>CoefficientPercent</t>
        </is>
      </c>
      <c r="G1272" s="5" t="inlineStr">
        <is>
          <t>EffectiveHits</t>
        </is>
      </c>
      <c r="H1272" s="5" t="inlineStr">
        <is>
          <t>ProcProbability</t>
        </is>
      </c>
      <c r="I1272" s="5" t="inlineStr">
        <is>
          <t>MapleHeroMultiplier</t>
        </is>
      </c>
      <c r="J1272" s="5" t="inlineStr">
        <is>
          <t>BaseDamage</t>
        </is>
      </c>
      <c r="K1272" s="5" t="inlineStr">
        <is>
          <t>BaseHitDamage</t>
        </is>
      </c>
      <c r="L1272" s="5" t="inlineStr">
        <is>
          <t>NonCritAvg</t>
        </is>
      </c>
      <c r="M1272" s="5" t="inlineStr">
        <is>
          <t>CritAvg</t>
        </is>
      </c>
      <c r="N1272" s="5" t="inlineStr">
        <is>
          <t>ExpectedDamage(perHit)</t>
        </is>
      </c>
      <c r="O1272" s="5" t="inlineStr">
        <is>
          <t>DPS</t>
        </is>
      </c>
      <c r="P1272" s="5" t="inlineStr">
        <is>
          <t>% of Total</t>
        </is>
      </c>
      <c r="Q1272" s="5" t="inlineStr">
        <is>
          <t>InvCooldown</t>
        </is>
      </c>
      <c r="R1272" s="5" t="inlineStr">
        <is>
          <t>CastsInFight</t>
        </is>
      </c>
      <c r="S1272" s="5" t="inlineStr">
        <is>
          <t>HitRate(perSec)</t>
        </is>
      </c>
      <c r="U1272" t="inlineStr">
        <is>
          <t>helpers</t>
        </is>
      </c>
    </row>
    <row r="1273">
      <c r="A1273">
        <f>Skills!A2</f>
        <v/>
      </c>
      <c r="B1273">
        <f>Skills!B2</f>
        <v/>
      </c>
      <c r="C1273">
        <f>Inputs!$B$3&gt;=100</f>
        <v/>
      </c>
      <c r="D1273" t="inlineStr"/>
      <c r="E1273" t="inlineStr"/>
      <c r="F1273">
        <f>U1275+Skills!O2</f>
        <v/>
      </c>
      <c r="G1273">
        <f>Skills!G2*IF(Skills!H2&gt;0,Skills!I2/Skills!H2,1)</f>
        <v/>
      </c>
      <c r="H1273">
        <f>1-(1-Skills!J2/100)^Skills!K2</f>
        <v/>
      </c>
      <c r="I1273" t="inlineStr">
        <is>
          <t>1</t>
        </is>
      </c>
      <c r="J1273">
        <f>((Inputs!$B$6*(1+Inputs!$B$7/100))+(((Inputs!$B$12*(1+Inputs!$B$13/100))-(Inputs!$B$12*(1+Inputs!$B$13/100)))+0.25*(Inputs!$B$14-Inputs!$B$14))*(1+Inputs!$B$7/100))*(F1273/100)</f>
        <v/>
      </c>
      <c r="K1273">
        <f>J1273*(1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1273)</f>
        <v/>
      </c>
      <c r="L1273">
        <f>K1273*(MIN(Inputs!$B$22+((C1293=TRUE)*(F1293-Calc!F22)),(Inputs!$B$23+((C1295=TRUE)*(F1295-Calc!F24))+(IF(ArtifactsInput!$M$15,CHOOSE(ArtifactsInput!$N$15+1,25,30,35,40,45,50)/100*(Inputs!$B$11-Inputs!$B$11),0))))/100+(Inputs!$B$23+((C1295=TRUE)*(F1295-Calc!F24))+(IF(ArtifactsInput!$M$15,CHOOSE(ArtifactsInput!$N$15+1,25,30,35,40,45,50)/100*(Inputs!$B$11-Inputs!$B$11),0)))/100)/2</f>
        <v/>
      </c>
      <c r="M1273">
        <f>L1273*(1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3">
        <f>L1273*(1-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1273*(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3">
        <f>(1-Summary!$B$11)*T1273+Summary!$B$11*V1273</f>
        <v/>
      </c>
      <c r="P1273">
        <f>IF(B1308=0,0,O1273/B1308)</f>
        <v/>
      </c>
      <c r="Q1273" t="n">
        <v>0</v>
      </c>
      <c r="R1273" t="n">
        <v>0</v>
      </c>
      <c r="S1273">
        <f>IFERROR(O1273/N1273,0)</f>
        <v/>
      </c>
      <c r="T1273">
        <f>IF(C1273,(Skills!G2*N1273*B1302)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1273*(1-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1273*(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1273*(1-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1273*(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3">
        <f>MAX(0,(Inputs!$B$3-100)*3)+Inputs!$B$28+Inputs!$B$29</f>
        <v/>
      </c>
      <c r="V1273">
        <f>IF(C1273,(Skills!G2*N1273*B1302)*IF(Inputs!$B$38="pvp",1,(1+(Inputs!$B$21+Skills!Q2+(IF(ArtifactsInput!$M$33,CHOOSE(ArtifactsInput!$N$33+1,30,36,42,48,54,60),0))+(IF(AND(ArtifactsInput!$M$35,Inputs!$B$4&lt;&gt;"Chapter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4">
      <c r="A1274">
        <f>Skills!A3</f>
        <v/>
      </c>
      <c r="B1274">
        <f>Skills!B3</f>
        <v/>
      </c>
      <c r="C1274">
        <f>Inputs!$B$3&gt;=50</f>
        <v/>
      </c>
      <c r="D1274">
        <f>IF(Skills!C3=1,60+Inputs!$B$25+Inputs!$B$29,IF(Skills!C3=2,90+Inputs!$B$26+Inputs!$B$29,IF(Skills!C3=3,120+Inputs!$B$27+Inputs!$B$29,MAX(0,(Inputs!$B$3-100)*3)+Inputs!$B$28+Inputs!$B$29)))</f>
        <v/>
      </c>
      <c r="E1274">
        <f>INDEX(FactorTable!$B$2:$Y$301, MATCH(ROUND(MIN(300,MAX(1,D1274)),0), FactorTable!$A$2:$A$301,0), Skills!M3+1)</f>
        <v/>
      </c>
      <c r="F1274">
        <f>IF(Skills!N3=TRUE,(Skills!L3/10)*(E1274/1000),Skills!L3/10)+Skills!O3</f>
        <v/>
      </c>
      <c r="G1274" t="inlineStr"/>
      <c r="H1274" t="inlineStr"/>
      <c r="I1274" t="inlineStr">
        <is>
          <t>1</t>
        </is>
      </c>
      <c r="J1274" t="inlineStr"/>
      <c r="K1274" t="inlineStr"/>
      <c r="L1274" t="inlineStr"/>
      <c r="M1274" t="inlineStr"/>
      <c r="N1274" t="inlineStr"/>
      <c r="O1274" t="inlineStr"/>
      <c r="P1274" t="inlineStr"/>
      <c r="Q1274" t="inlineStr"/>
      <c r="R1274" t="inlineStr"/>
      <c r="S1274" t="inlineStr"/>
      <c r="U1274">
        <f>INDEX(FactorTable!$B$2:$Y$301, MATCH(ROUND(MIN(300,MAX(1,U1273)),0), FactorTable!$A$2:$A$301,0), 22)</f>
        <v/>
      </c>
    </row>
    <row r="1275">
      <c r="A1275">
        <f>Skills!A4</f>
        <v/>
      </c>
      <c r="B1275">
        <f>Skills!B4</f>
        <v/>
      </c>
      <c r="C1275">
        <f>Inputs!$B$3&gt;=35</f>
        <v/>
      </c>
      <c r="D1275">
        <f>IF(Skills!C4=1,60+Inputs!$B$25+Inputs!$B$29,IF(Skills!C4=2,90+Inputs!$B$26+Inputs!$B$29,IF(Skills!C4=3,120+Inputs!$B$27+Inputs!$B$29,MAX(0,(Inputs!$B$3-100)*3)+Inputs!$B$28+Inputs!$B$29)))</f>
        <v/>
      </c>
      <c r="E1275">
        <f>INDEX(FactorTable!$B$2:$Y$301, MATCH(ROUND(MIN(300,MAX(1,D1275)),0), FactorTable!$A$2:$A$301,0), Skills!M4+1)</f>
        <v/>
      </c>
      <c r="F1275">
        <f>IF(Skills!N4=TRUE,(Skills!L4/10)*(E1275/1000),Skills!L4/10)+Skills!O4</f>
        <v/>
      </c>
      <c r="G1275">
        <f>Skills!G4*IF(Skills!H4&gt;0,Skills!I4/Skills!H4,1)</f>
        <v/>
      </c>
      <c r="H1275">
        <f>1-(1-Skills!J4/100)^Skills!K4</f>
        <v/>
      </c>
      <c r="I1275" t="inlineStr">
        <is>
          <t>1</t>
        </is>
      </c>
      <c r="J1275">
        <f>((Inputs!$B$6*(1+Inputs!$B$7/100))+(((Inputs!$B$12*(1+Inputs!$B$13/100))-(Inputs!$B$12*(1+Inputs!$B$13/100)))+0.25*(Inputs!$B$14-Inputs!$B$14))*(1+Inputs!$B$7/100))*(F1275/100)</f>
        <v/>
      </c>
      <c r="K1275">
        <f>J1275*(1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1283=TRUE,F1283,0)/100)*(1+(IF(Skills!A4="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1275)</f>
        <v/>
      </c>
      <c r="L1275">
        <f>K1275*(MIN(Inputs!$B$22+((C1293=TRUE)*(F1293-Calc!F22)),(Inputs!$B$23+((C1295=TRUE)*(F1295-Calc!F24))+(IF(ArtifactsInput!$M$15,CHOOSE(ArtifactsInput!$N$15+1,25,30,35,40,45,50)/100*(Inputs!$B$11-Inputs!$B$11),0))))/100+(Inputs!$B$23+((C1295=TRUE)*(F1295-Calc!F24))+(IF(ArtifactsInput!$M$15,CHOOSE(ArtifactsInput!$N$15+1,25,30,35,40,45,50)/100*(Inputs!$B$11-Inputs!$B$11),0)))/100)/2</f>
        <v/>
      </c>
      <c r="M1275">
        <f>L1275*(1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5">
        <f>L1275*(1-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1275*(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5">
        <f>(1-Summary!$B$11)*T1275+Summary!$B$11*V1275</f>
        <v/>
      </c>
      <c r="P1275">
        <f>IF(B1308=0,0,O1275/B1308)</f>
        <v/>
      </c>
      <c r="Q1275">
        <f>IFERROR(1/(IF(Inputs!$B$38="pvp",15,MAX(0.1,Skills!D4-IF(Skills!E4=TRUE,Inputs!$B$32,0)))*(1-IF(AND(ArtifactsInput!$M$27,Inputs!$B$4="Chapter Hunt"),CHOOSE(ArtifactsInput!$N$27+1,20,24,28,32,36,40),0)/100)),0)</f>
        <v/>
      </c>
      <c r="R1275">
        <f>IF(AND(Inputs!$B$38&lt;&gt;"pvp",Inputs!$B$43&gt;0),IF(MAX(0,Inputs!$B$43-B1305)&lt;=0,0,(INT(MAX(0,Inputs!$B$43-B1305)/(IF(Inputs!$B$38="pvp",15,MAX(0.1,Skills!D4-IF(Skills!E4=TRUE,Inputs!$B$32,0)))*(1-IF(AND(ArtifactsInput!$M$27,Inputs!$B$4="Chapter Hunt"),CHOOSE(ArtifactsInput!$N$27+1,20,24,28,32,36,40),0)/100)))+1)),0)</f>
        <v/>
      </c>
      <c r="S1275">
        <f>IFERROR(O1275/N1275,0)</f>
        <v/>
      </c>
      <c r="T1275">
        <f>IF(C1275,(H1275*N1275*IF(AND(Inputs!$B$38&lt;&gt;"pvp",Inputs!$B$43&gt;0),((Skills!G4*((R1275-1)*IF(Skills!H4&gt;0,Skills!I4/Skills!H4,1)+IF(Skills!H4&gt;0,MIN(Skills!I4,MAX(0,MAX(0,Inputs!$B$43-B1305)-((R1275-1)*(IF(Inputs!$B$38="pvp",15,MAX(0.1,Skills!D4-IF(Skills!E4=TRUE,Inputs!$B$32,0)))*(1-IF(AND(ArtifactsInput!$M$27,Inputs!$B$4="Chapter Hunt"),CHOOSE(ArtifactsInput!$N$27+1,20,24,28,32,36,40),0)/100)))))/Skills!H4,1)))/Inputs!$B$43),G1275*Q1275)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1275*(1-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1275*(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1275*(1-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1275*(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5">
        <f>290*U1274/1000</f>
        <v/>
      </c>
      <c r="V1275">
        <f>IF(C1275,(H1275*N1275*IF(AND(Inputs!$B$38&lt;&gt;"pvp",Inputs!$B$43&gt;0),((Skills!G4*((R1275-1)*IF(Skills!H4&gt;0,Skills!I4/Skills!H4,1)+IF(Skills!H4&gt;0,MIN(Skills!I4,MAX(0,MAX(0,Inputs!$B$43-B1305)-((R1275-1)*(IF(Inputs!$B$38="pvp",15,MAX(0.1,Skills!D4-IF(Skills!E4=TRUE,Inputs!$B$32,0)))*(1-IF(AND(ArtifactsInput!$M$27,Inputs!$B$4="Chapter Hunt"),CHOOSE(ArtifactsInput!$N$27+1,20,24,28,32,36,40),0)/100)))))/Skills!H4,1)))/Inputs!$B$43),G1275*Q1275))*IF(Inputs!$B$38="pvp",1,(1+(Inputs!$B$21+Skills!Q4+(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6">
      <c r="A1276">
        <f>Skills!A5</f>
        <v/>
      </c>
      <c r="B1276">
        <f>Skills!B5</f>
        <v/>
      </c>
      <c r="C1276">
        <f>Inputs!$B$3&gt;=66</f>
        <v/>
      </c>
      <c r="D1276">
        <f>IF(Skills!C5=1,60+Inputs!$B$25+Inputs!$B$29,IF(Skills!C5=2,90+Inputs!$B$26+Inputs!$B$29,IF(Skills!C5=3,120+Inputs!$B$27+Inputs!$B$29,MAX(0,(Inputs!$B$3-100)*3)+Inputs!$B$28+Inputs!$B$29)))</f>
        <v/>
      </c>
      <c r="E1276">
        <f>INDEX(FactorTable!$B$2:$Y$301, MATCH(ROUND(MIN(300,MAX(1,D1276)),0), FactorTable!$A$2:$A$301,0), Skills!M5+1)</f>
        <v/>
      </c>
      <c r="F1276">
        <f>IF(Skills!N5=TRUE,(Skills!L5/10)*(E1276/1000),Skills!L5/10)+Skills!O5</f>
        <v/>
      </c>
      <c r="G1276">
        <f>Skills!G5*IF(Skills!H5&gt;0,Skills!I5/Skills!H5,1)</f>
        <v/>
      </c>
      <c r="H1276">
        <f>1-(1-Skills!J5/100)^Skills!K5</f>
        <v/>
      </c>
      <c r="I1276" t="inlineStr">
        <is>
          <t>1</t>
        </is>
      </c>
      <c r="J1276">
        <f>((Inputs!$B$6*(1+Inputs!$B$7/100))+(((Inputs!$B$12*(1+Inputs!$B$13/100))-(Inputs!$B$12*(1+Inputs!$B$13/100)))+0.25*(Inputs!$B$14-Inputs!$B$14))*(1+Inputs!$B$7/100))*(F1276/100)</f>
        <v/>
      </c>
      <c r="K1276">
        <f>J1276*(1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1283=TRUE,F1283,0)/100)*(1+(IF(Skills!A5="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1276)</f>
        <v/>
      </c>
      <c r="L1276">
        <f>K1276*(MIN(Inputs!$B$22+((C1293=TRUE)*(F1293-Calc!F22)),(Inputs!$B$23+((C1295=TRUE)*(F1295-Calc!F24))+(IF(ArtifactsInput!$M$15,CHOOSE(ArtifactsInput!$N$15+1,25,30,35,40,45,50)/100*(Inputs!$B$11-Inputs!$B$11),0))))/100+(Inputs!$B$23+((C1295=TRUE)*(F1295-Calc!F24))+(IF(ArtifactsInput!$M$15,CHOOSE(ArtifactsInput!$N$15+1,25,30,35,40,45,50)/100*(Inputs!$B$11-Inputs!$B$11),0)))/100)/2</f>
        <v/>
      </c>
      <c r="M1276">
        <f>L1276*(1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6">
        <f>L1276*(1-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1276*(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6">
        <f>(1-Summary!$B$11)*T1276+Summary!$B$11*V1276</f>
        <v/>
      </c>
      <c r="P1276">
        <f>IF(B1308=0,0,O1276/B1308)</f>
        <v/>
      </c>
      <c r="Q1276">
        <f>IFERROR(1/(IF(Inputs!$B$38="pvp",15,MAX(0.1,Skills!D5-IF(Skills!E5=TRUE,Inputs!$B$32,0)))*(1-IF(AND(ArtifactsInput!$M$27,Inputs!$B$4="Chapter Hunt"),CHOOSE(ArtifactsInput!$N$27+1,20,24,28,32,36,40),0)/100)),0)</f>
        <v/>
      </c>
      <c r="R1276">
        <f>IF(AND(Inputs!$B$38&lt;&gt;"pvp",Inputs!$B$43&gt;0),IF(MAX(0,Inputs!$B$43-B1305)&lt;=0,0,(INT(MAX(0,Inputs!$B$43-B1305)/(IF(Inputs!$B$38="pvp",15,MAX(0.1,Skills!D5-IF(Skills!E5=TRUE,Inputs!$B$32,0)))*(1-IF(AND(ArtifactsInput!$M$27,Inputs!$B$4="Chapter Hunt"),CHOOSE(ArtifactsInput!$N$27+1,20,24,28,32,36,40),0)/100)))+1)),0)</f>
        <v/>
      </c>
      <c r="S1276">
        <f>IFERROR(O1276/N1276,0)</f>
        <v/>
      </c>
      <c r="T1276">
        <f>IF(C1276,(H1276*N1276*IF(AND(Inputs!$B$38&lt;&gt;"pvp",Inputs!$B$43&gt;0),((Skills!G5*((R1276-1)*IF(Skills!H5&gt;0,Skills!I5/Skills!H5,1)+IF(Skills!H5&gt;0,MIN(Skills!I5,MAX(0,MAX(0,Inputs!$B$43-B1305)-((R1276-1)*(IF(Inputs!$B$38="pvp",15,MAX(0.1,Skills!D5-IF(Skills!E5=TRUE,Inputs!$B$32,0)))*(1-IF(AND(ArtifactsInput!$M$27,Inputs!$B$4="Chapter Hunt"),CHOOSE(ArtifactsInput!$N$27+1,20,24,28,32,36,40),0)/100)))))/Skills!H5,1)))/Inputs!$B$43),G1276*Q1276)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1276*(1-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1276*(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1276*(1-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1276*(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6">
        <f>IF(C1276,(H1276*N1276*IF(AND(Inputs!$B$38&lt;&gt;"pvp",Inputs!$B$43&gt;0),((Skills!G5*((R1276-1)*IF(Skills!H5&gt;0,Skills!I5/Skills!H5,1)+IF(Skills!H5&gt;0,MIN(Skills!I5,MAX(0,MAX(0,Inputs!$B$43-B1305)-((R1276-1)*(IF(Inputs!$B$38="pvp",15,MAX(0.1,Skills!D5-IF(Skills!E5=TRUE,Inputs!$B$32,0)))*(1-IF(AND(ArtifactsInput!$M$27,Inputs!$B$4="Chapter Hunt"),CHOOSE(ArtifactsInput!$N$27+1,20,24,28,32,36,40),0)/100)))))/Skills!H5,1)))/Inputs!$B$43),G1276*Q1276))*IF(Inputs!$B$38="pvp",1,(1+(Inputs!$B$21+Skills!Q5+(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7">
      <c r="A1277">
        <f>Skills!A6</f>
        <v/>
      </c>
      <c r="B1277">
        <f>Skills!B6</f>
        <v/>
      </c>
      <c r="C1277">
        <f>Inputs!$B$3&gt;=103</f>
        <v/>
      </c>
      <c r="D1277">
        <f>IF(Skills!C6=1,60+Inputs!$B$25+Inputs!$B$29,IF(Skills!C6=2,90+Inputs!$B$26+Inputs!$B$29,IF(Skills!C6=3,120+Inputs!$B$27+Inputs!$B$29,MAX(0,(Inputs!$B$3-100)*3)+Inputs!$B$28+Inputs!$B$29)))</f>
        <v/>
      </c>
      <c r="E1277">
        <f>INDEX(FactorTable!$B$2:$Y$301, MATCH(ROUND(MIN(300,MAX(1,D1277)),0), FactorTable!$A$2:$A$301,0), Skills!M6+1)</f>
        <v/>
      </c>
      <c r="F1277">
        <f>IF(Skills!N6=TRUE,(Skills!L6/10)*(E1277/1000),Skills!L6/10)+Skills!O6</f>
        <v/>
      </c>
      <c r="G1277">
        <f>Skills!G6*IF(Skills!H6&gt;0,Skills!I6/Skills!H6,1)</f>
        <v/>
      </c>
      <c r="H1277">
        <f>1-(1-Skills!J6/100)^Skills!K6</f>
        <v/>
      </c>
      <c r="I1277" t="inlineStr">
        <is>
          <t>1</t>
        </is>
      </c>
      <c r="J1277">
        <f>((Inputs!$B$6*(1+Inputs!$B$7/100))+(((Inputs!$B$12*(1+Inputs!$B$13/100))-(Inputs!$B$12*(1+Inputs!$B$13/100)))+0.25*(Inputs!$B$14-Inputs!$B$14))*(1+Inputs!$B$7/100))*(F1277/100)</f>
        <v/>
      </c>
      <c r="K1277">
        <f>J1277*(1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1277)</f>
        <v/>
      </c>
      <c r="L1277">
        <f>K1277*(MIN(Inputs!$B$22+((C1293=TRUE)*(F1293-Calc!F22)),(Inputs!$B$23+((C1295=TRUE)*(F1295-Calc!F24))+(IF(ArtifactsInput!$M$15,CHOOSE(ArtifactsInput!$N$15+1,25,30,35,40,45,50)/100*(Inputs!$B$11-Inputs!$B$11),0))))/100+(Inputs!$B$23+((C1295=TRUE)*(F1295-Calc!F24))+(IF(ArtifactsInput!$M$15,CHOOSE(ArtifactsInput!$N$15+1,25,30,35,40,45,50)/100*(Inputs!$B$11-Inputs!$B$11),0)))/100)/2</f>
        <v/>
      </c>
      <c r="M1277">
        <f>L1277*(1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7">
        <f>L1277*(1-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1277*(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7">
        <f>(1-Summary!$B$11)*T1277+Summary!$B$11*V1277</f>
        <v/>
      </c>
      <c r="P1277">
        <f>IF(B1308=0,0,O1277/B1308)</f>
        <v/>
      </c>
      <c r="Q1277">
        <f>IFERROR(1/(IF(Inputs!$B$38="pvp",15,MAX(0.1,Skills!D6-IF(Skills!E6=TRUE,Inputs!$B$32,0)))*(1-IF(AND(ArtifactsInput!$M$27,Inputs!$B$4="Chapter Hunt"),CHOOSE(ArtifactsInput!$N$27+1,20,24,28,32,36,40),0)/100)),0)</f>
        <v/>
      </c>
      <c r="R1277">
        <f>IF(AND(Inputs!$B$38&lt;&gt;"pvp",Inputs!$B$43&gt;0),IF(MAX(0,Inputs!$B$43-B1305)&lt;=0,0,(INT(MAX(0,Inputs!$B$43-B1305)/(IF(Inputs!$B$38="pvp",15,MAX(0.1,Skills!D6-IF(Skills!E6=TRUE,Inputs!$B$32,0)))*(1-IF(AND(ArtifactsInput!$M$27,Inputs!$B$4="Chapter Hunt"),CHOOSE(ArtifactsInput!$N$27+1,20,24,28,32,36,40),0)/100)))+1)),0)</f>
        <v/>
      </c>
      <c r="S1277">
        <f>IFERROR(O1277/N1277,0)</f>
        <v/>
      </c>
      <c r="T1277">
        <f>IF(C1277,(H1277*N1277*IF(AND(Inputs!$B$38&lt;&gt;"pvp",Inputs!$B$43&gt;0),((Skills!G6*((R1277-1)*IF(Skills!H6&gt;0,Skills!I6/Skills!H6,1)+IF(Skills!H6&gt;0,MIN(Skills!I6,MAX(0,MAX(0,Inputs!$B$43-B1305)-((R1277-1)*(IF(Inputs!$B$38="pvp",15,MAX(0.1,Skills!D6-IF(Skills!E6=TRUE,Inputs!$B$32,0)))*(1-IF(AND(ArtifactsInput!$M$27,Inputs!$B$4="Chapter Hunt"),CHOOSE(ArtifactsInput!$N$27+1,20,24,28,32,36,40),0)/100)))))/Skills!H6,1)))/Inputs!$B$43),G1277*Q1277)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1277*(1-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1277*(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1277*(1-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1277*(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7">
        <f>IF(C1277,(H1277*N1277*IF(AND(Inputs!$B$38&lt;&gt;"pvp",Inputs!$B$43&gt;0),((Skills!G6*((R1277-1)*IF(Skills!H6&gt;0,Skills!I6/Skills!H6,1)+IF(Skills!H6&gt;0,MIN(Skills!I6,MAX(0,MAX(0,Inputs!$B$43-B1305)-((R1277-1)*(IF(Inputs!$B$38="pvp",15,MAX(0.1,Skills!D6-IF(Skills!E6=TRUE,Inputs!$B$32,0)))*(1-IF(AND(ArtifactsInput!$M$27,Inputs!$B$4="Chapter Hunt"),CHOOSE(ArtifactsInput!$N$27+1,20,24,28,32,36,40),0)/100)))))/Skills!H6,1)))/Inputs!$B$43),G1277*Q1277))*IF(Inputs!$B$38="pvp",1,(1+(Inputs!$B$21+Skills!Q6+(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8">
      <c r="A1278">
        <f>Skills!A7</f>
        <v/>
      </c>
      <c r="B1278">
        <f>Skills!B7</f>
        <v/>
      </c>
      <c r="C1278">
        <f>Inputs!$B$3&gt;=107</f>
        <v/>
      </c>
      <c r="D1278">
        <f>IF(Skills!C7=1,60+Inputs!$B$25+Inputs!$B$29,IF(Skills!C7=2,90+Inputs!$B$26+Inputs!$B$29,IF(Skills!C7=3,120+Inputs!$B$27+Inputs!$B$29,MAX(0,(Inputs!$B$3-100)*3)+Inputs!$B$28+Inputs!$B$29)))</f>
        <v/>
      </c>
      <c r="E1278">
        <f>INDEX(FactorTable!$B$2:$Y$301, MATCH(ROUND(MIN(300,MAX(1,D1278)),0), FactorTable!$A$2:$A$301,0), Skills!M7+1)</f>
        <v/>
      </c>
      <c r="F1278">
        <f>IF(Skills!N7=TRUE,(Skills!L7/10)*(E1278/1000),Skills!L7/10)+Skills!O7</f>
        <v/>
      </c>
      <c r="G1278">
        <f>Skills!G7*IF(Skills!H7&gt;0,Skills!I7/Skills!H7,1)</f>
        <v/>
      </c>
      <c r="H1278">
        <f>1-(1-Skills!J7/100)^Skills!K7</f>
        <v/>
      </c>
      <c r="I1278" t="inlineStr">
        <is>
          <t>1</t>
        </is>
      </c>
      <c r="J1278">
        <f>((Inputs!$B$6*(1+Inputs!$B$7/100))+(((Inputs!$B$12*(1+Inputs!$B$13/100))-(Inputs!$B$12*(1+Inputs!$B$13/100)))+0.25*(Inputs!$B$14-Inputs!$B$14))*(1+Inputs!$B$7/100))*(F1278/100)</f>
        <v/>
      </c>
      <c r="K1278">
        <f>J1278*(1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1278)</f>
        <v/>
      </c>
      <c r="L1278">
        <f>K1278*(MIN(Inputs!$B$22+((C1293=TRUE)*(F1293-Calc!F22)),(Inputs!$B$23+((C1295=TRUE)*(F1295-Calc!F24))+(IF(ArtifactsInput!$M$15,CHOOSE(ArtifactsInput!$N$15+1,25,30,35,40,45,50)/100*(Inputs!$B$11-Inputs!$B$11),0))))/100+(Inputs!$B$23+((C1295=TRUE)*(F1295-Calc!F24))+(IF(ArtifactsInput!$M$15,CHOOSE(ArtifactsInput!$N$15+1,25,30,35,40,45,50)/100*(Inputs!$B$11-Inputs!$B$11),0)))/100)/2</f>
        <v/>
      </c>
      <c r="M1278">
        <f>L1278*(1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8">
        <f>L1278*(1-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1278*(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8">
        <f>(1-Summary!$B$11)*T1278+Summary!$B$11*V1278</f>
        <v/>
      </c>
      <c r="P1278">
        <f>IF(B1308=0,0,O1278/B1308)</f>
        <v/>
      </c>
      <c r="Q1278">
        <f>IFERROR(1/(IF(Inputs!$B$38="pvp",15,MAX(0.1,Skills!D7-IF(Skills!E7=TRUE,Inputs!$B$32,0)))*(1-IF(AND(ArtifactsInput!$M$27,Inputs!$B$4="Chapter Hunt"),CHOOSE(ArtifactsInput!$N$27+1,20,24,28,32,36,40),0)/100)),0)</f>
        <v/>
      </c>
      <c r="R1278">
        <f>IF(AND(Inputs!$B$38&lt;&gt;"pvp",Inputs!$B$43&gt;0),IF(MAX(0,Inputs!$B$43-B1305)&lt;=0,0,(INT(MAX(0,Inputs!$B$43-B1305)/(IF(Inputs!$B$38="pvp",15,MAX(0.1,Skills!D7-IF(Skills!E7=TRUE,Inputs!$B$32,0)))*(1-IF(AND(ArtifactsInput!$M$27,Inputs!$B$4="Chapter Hunt"),CHOOSE(ArtifactsInput!$N$27+1,20,24,28,32,36,40),0)/100)))+1)),0)</f>
        <v/>
      </c>
      <c r="S1278">
        <f>IFERROR(O1278/N1278,0)</f>
        <v/>
      </c>
      <c r="T1278">
        <f>IF(C1278,(H1278*N1278*IF(AND(Inputs!$B$38&lt;&gt;"pvp",Inputs!$B$43&gt;0),((Skills!G7*((R1278-1)*IF(Skills!H7&gt;0,Skills!I7/Skills!H7,1)+IF(Skills!H7&gt;0,MIN(Skills!I7,MAX(0,MAX(0,Inputs!$B$43-B1305)-((R1278-1)*(IF(Inputs!$B$38="pvp",15,MAX(0.1,Skills!D7-IF(Skills!E7=TRUE,Inputs!$B$32,0)))*(1-IF(AND(ArtifactsInput!$M$27,Inputs!$B$4="Chapter Hunt"),CHOOSE(ArtifactsInput!$N$27+1,20,24,28,32,36,40),0)/100)))))/Skills!H7,1)))/Inputs!$B$43),G1278*Q1278)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1278*(1-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1278*(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1278*(1-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1278*(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8">
        <f>IF(C1278,(H1278*N1278*IF(AND(Inputs!$B$38&lt;&gt;"pvp",Inputs!$B$43&gt;0),((Skills!G7*((R1278-1)*IF(Skills!H7&gt;0,Skills!I7/Skills!H7,1)+IF(Skills!H7&gt;0,MIN(Skills!I7,MAX(0,MAX(0,Inputs!$B$43-B1305)-((R1278-1)*(IF(Inputs!$B$38="pvp",15,MAX(0.1,Skills!D7-IF(Skills!E7=TRUE,Inputs!$B$32,0)))*(1-IF(AND(ArtifactsInput!$M$27,Inputs!$B$4="Chapter Hunt"),CHOOSE(ArtifactsInput!$N$27+1,20,24,28,32,36,40),0)/100)))))/Skills!H7,1)))/Inputs!$B$43),G1278*Q1278))*IF(Inputs!$B$38="pvp",1,(1+(Inputs!$B$21+Skills!Q7+(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9">
      <c r="A1279">
        <f>Skills!A8</f>
        <v/>
      </c>
      <c r="B1279">
        <f>Skills!B8</f>
        <v/>
      </c>
      <c r="C1279">
        <f>Inputs!$B$3&gt;=107</f>
        <v/>
      </c>
      <c r="D1279">
        <f>IF(Skills!C8=1,60+Inputs!$B$25+Inputs!$B$29,IF(Skills!C8=2,90+Inputs!$B$26+Inputs!$B$29,IF(Skills!C8=3,120+Inputs!$B$27+Inputs!$B$29,MAX(0,(Inputs!$B$3-100)*3)+Inputs!$B$28+Inputs!$B$29)))</f>
        <v/>
      </c>
      <c r="E1279">
        <f>INDEX(FactorTable!$B$2:$Y$301, MATCH(ROUND(MIN(300,MAX(1,D1279)),0), FactorTable!$A$2:$A$301,0), Skills!M8+1)</f>
        <v/>
      </c>
      <c r="F1279">
        <f>IF(Skills!N8=TRUE,(Skills!L8/10)*(E1279/1000),Skills!L8/10)+Skills!O8</f>
        <v/>
      </c>
      <c r="G1279">
        <f>Skills!G8*IF(Skills!H8&gt;0,Skills!I8/Skills!H8,1)</f>
        <v/>
      </c>
      <c r="H1279">
        <f>1-(1-Skills!J8/100)^Skills!K8</f>
        <v/>
      </c>
      <c r="I1279" t="inlineStr">
        <is>
          <t>1</t>
        </is>
      </c>
      <c r="J1279">
        <f>((Inputs!$B$6*(1+Inputs!$B$7/100))+(((Inputs!$B$12*(1+Inputs!$B$13/100))-(Inputs!$B$12*(1+Inputs!$B$13/100)))+0.25*(Inputs!$B$14-Inputs!$B$14))*(1+Inputs!$B$7/100))*(F1279/100)</f>
        <v/>
      </c>
      <c r="K1279">
        <f>J1279*(1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1279)</f>
        <v/>
      </c>
      <c r="L1279">
        <f>K1279*(MIN(Inputs!$B$22+((C1293=TRUE)*(F1293-Calc!F22)),(Inputs!$B$23+((C1295=TRUE)*(F1295-Calc!F24))+(IF(ArtifactsInput!$M$15,CHOOSE(ArtifactsInput!$N$15+1,25,30,35,40,45,50)/100*(Inputs!$B$11-Inputs!$B$11),0))))/100+(Inputs!$B$23+((C1295=TRUE)*(F1295-Calc!F24))+(IF(ArtifactsInput!$M$15,CHOOSE(ArtifactsInput!$N$15+1,25,30,35,40,45,50)/100*(Inputs!$B$11-Inputs!$B$11),0)))/100)/2</f>
        <v/>
      </c>
      <c r="M1279">
        <f>L1279*(1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9">
        <f>L1279*(1-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1279*(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9">
        <f>(1-Summary!$B$11)*T1279+Summary!$B$11*V1279</f>
        <v/>
      </c>
      <c r="P1279">
        <f>IF(B1308=0,0,O1279/B1308)</f>
        <v/>
      </c>
      <c r="Q1279">
        <f>IFERROR(1/(IF(Inputs!$B$38="pvp",15,MAX(0.1,Skills!D8-IF(Skills!E8=TRUE,Inputs!$B$32,0)))*(1-IF(AND(ArtifactsInput!$M$27,Inputs!$B$4="Chapter Hunt"),CHOOSE(ArtifactsInput!$N$27+1,20,24,28,32,36,40),0)/100)),0)</f>
        <v/>
      </c>
      <c r="R1279">
        <f>IF(AND(Inputs!$B$38&lt;&gt;"pvp",Inputs!$B$43&gt;0),IF(MAX(0,Inputs!$B$43-B1305)&lt;=0,0,(INT(MAX(0,Inputs!$B$43-B1305)/(IF(Inputs!$B$38="pvp",15,MAX(0.1,Skills!D8-IF(Skills!E8=TRUE,Inputs!$B$32,0)))*(1-IF(AND(ArtifactsInput!$M$27,Inputs!$B$4="Chapter Hunt"),CHOOSE(ArtifactsInput!$N$27+1,20,24,28,32,36,40),0)/100)))+1)),0)</f>
        <v/>
      </c>
      <c r="S1279">
        <f>IFERROR(O1279/N1279,0)</f>
        <v/>
      </c>
      <c r="T1279">
        <f>IF(C1279,(H1279*N1279*IF(AND(Inputs!$B$38&lt;&gt;"pvp",Inputs!$B$43&gt;0),((Skills!G8*((R1279-1)*IF(Skills!H8&gt;0,Skills!I8/Skills!H8,1)+IF(Skills!H8&gt;0,MIN(Skills!I8,MAX(0,MAX(0,Inputs!$B$43-B1305)-((R1279-1)*(IF(Inputs!$B$38="pvp",15,MAX(0.1,Skills!D8-IF(Skills!E8=TRUE,Inputs!$B$32,0)))*(1-IF(AND(ArtifactsInput!$M$27,Inputs!$B$4="Chapter Hunt"),CHOOSE(ArtifactsInput!$N$27+1,20,24,28,32,36,40),0)/100)))))/Skills!H8,1)))/Inputs!$B$43),G1279*Q1279)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1279*(1-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1279*(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1279*(1-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1279*(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9">
        <f>IF(C1279,(H1279*N1279*IF(AND(Inputs!$B$38&lt;&gt;"pvp",Inputs!$B$43&gt;0),((Skills!G8*((R1279-1)*IF(Skills!H8&gt;0,Skills!I8/Skills!H8,1)+IF(Skills!H8&gt;0,MIN(Skills!I8,MAX(0,MAX(0,Inputs!$B$43-B1305)-((R1279-1)*(IF(Inputs!$B$38="pvp",15,MAX(0.1,Skills!D8-IF(Skills!E8=TRUE,Inputs!$B$32,0)))*(1-IF(AND(ArtifactsInput!$M$27,Inputs!$B$4="Chapter Hunt"),CHOOSE(ArtifactsInput!$N$27+1,20,24,28,32,36,40),0)/100)))))/Skills!H8,1)))/Inputs!$B$43),G1279*Q1279))*IF(Inputs!$B$38="pvp",1,(1+(Inputs!$B$21+Skills!Q8+(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0">
      <c r="A1280">
        <f>Skills!A9</f>
        <v/>
      </c>
      <c r="B1280">
        <f>Skills!B9</f>
        <v/>
      </c>
      <c r="C1280">
        <f>Inputs!$B$3&gt;=125</f>
        <v/>
      </c>
      <c r="D1280">
        <f>IF(Skills!C9=1,60+Inputs!$B$25+Inputs!$B$29,IF(Skills!C9=2,90+Inputs!$B$26+Inputs!$B$29,IF(Skills!C9=3,120+Inputs!$B$27+Inputs!$B$29,MAX(0,(Inputs!$B$3-100)*3)+Inputs!$B$28+Inputs!$B$29)))</f>
        <v/>
      </c>
      <c r="E1280">
        <f>INDEX(FactorTable!$B$2:$Y$301, MATCH(ROUND(MIN(300,MAX(1,D1280)),0), FactorTable!$A$2:$A$301,0), Skills!M9+1)</f>
        <v/>
      </c>
      <c r="F1280">
        <f>IF(Skills!N9=TRUE,(Skills!L9/10)*(E1280/1000),Skills!L9/10)+Skills!O9</f>
        <v/>
      </c>
      <c r="G1280">
        <f>Skills!G9*IF(Skills!H9&gt;0,Skills!I9/Skills!H9,1)</f>
        <v/>
      </c>
      <c r="H1280">
        <f>1-(1-Skills!J9/100)^Skills!K9</f>
        <v/>
      </c>
      <c r="I1280" t="inlineStr">
        <is>
          <t>1</t>
        </is>
      </c>
      <c r="J1280">
        <f>((Inputs!$B$6*(1+Inputs!$B$7/100))+(((Inputs!$B$12*(1+Inputs!$B$13/100))-(Inputs!$B$12*(1+Inputs!$B$13/100)))+0.25*(Inputs!$B$14-Inputs!$B$14))*(1+Inputs!$B$7/100))*(F1280/100)</f>
        <v/>
      </c>
      <c r="K1280">
        <f>J1280*(1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1280)</f>
        <v/>
      </c>
      <c r="L1280">
        <f>K1280*(MIN(Inputs!$B$22+((C1293=TRUE)*(F1293-Calc!F22)),(Inputs!$B$23+((C1295=TRUE)*(F1295-Calc!F24))+(IF(ArtifactsInput!$M$15,CHOOSE(ArtifactsInput!$N$15+1,25,30,35,40,45,50)/100*(Inputs!$B$11-Inputs!$B$11),0))))/100+(Inputs!$B$23+((C1295=TRUE)*(F1295-Calc!F24))+(IF(ArtifactsInput!$M$15,CHOOSE(ArtifactsInput!$N$15+1,25,30,35,40,45,50)/100*(Inputs!$B$11-Inputs!$B$11),0)))/100)/2</f>
        <v/>
      </c>
      <c r="M1280">
        <f>L1280*(1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80">
        <f>L1280*(1-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1280*(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80">
        <f>(1-Summary!$B$11)*T1280+Summary!$B$11*V1280</f>
        <v/>
      </c>
      <c r="P1280">
        <f>IF(B1308=0,0,O1280/B1308)</f>
        <v/>
      </c>
      <c r="Q1280">
        <f>IFERROR(1/(IF(Inputs!$B$38="pvp",15,MAX(0.1,Skills!D9-IF(Skills!E9=TRUE,Inputs!$B$32,0)))*(1-IF(AND(ArtifactsInput!$M$27,Inputs!$B$4="Chapter Hunt"),CHOOSE(ArtifactsInput!$N$27+1,20,24,28,32,36,40),0)/100)),0)</f>
        <v/>
      </c>
      <c r="R1280">
        <f>IF(AND(Inputs!$B$38&lt;&gt;"pvp",Inputs!$B$43&gt;0),IF(MAX(0,Inputs!$B$43-B1305)&lt;=0,0,(INT(MAX(0,Inputs!$B$43-B1305)/(IF(Inputs!$B$38="pvp",15,MAX(0.1,Skills!D9-IF(Skills!E9=TRUE,Inputs!$B$32,0)))*(1-IF(AND(ArtifactsInput!$M$27,Inputs!$B$4="Chapter Hunt"),CHOOSE(ArtifactsInput!$N$27+1,20,24,28,32,36,40),0)/100)))+1)),0)</f>
        <v/>
      </c>
      <c r="S1280">
        <f>IFERROR(O1280/N1280,0)</f>
        <v/>
      </c>
      <c r="T1280">
        <f>IF(C1280,(H1280*N1280*IF(AND(Inputs!$B$38&lt;&gt;"pvp",Inputs!$B$43&gt;0),((Skills!G9*((R1280-1)*IF(Skills!H9&gt;0,Skills!I9/Skills!H9,1)+IF(Skills!H9&gt;0,MIN(Skills!I9,MAX(0,MAX(0,Inputs!$B$43-B1305)-((R1280-1)*(IF(Inputs!$B$38="pvp",15,MAX(0.1,Skills!D9-IF(Skills!E9=TRUE,Inputs!$B$32,0)))*(1-IF(AND(ArtifactsInput!$M$27,Inputs!$B$4="Chapter Hunt"),CHOOSE(ArtifactsInput!$N$27+1,20,24,28,32,36,40),0)/100)))))/Skills!H9,1)))/Inputs!$B$43),G1280*Q1280)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1280*(1-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1280*(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1280*(1-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1280*(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0">
        <f>IF(C1280,(H1280*N1280*IF(AND(Inputs!$B$38&lt;&gt;"pvp",Inputs!$B$43&gt;0),((Skills!G9*((R1280-1)*IF(Skills!H9&gt;0,Skills!I9/Skills!H9,1)+IF(Skills!H9&gt;0,MIN(Skills!I9,MAX(0,MAX(0,Inputs!$B$43-B1305)-((R1280-1)*(IF(Inputs!$B$38="pvp",15,MAX(0.1,Skills!D9-IF(Skills!E9=TRUE,Inputs!$B$32,0)))*(1-IF(AND(ArtifactsInput!$M$27,Inputs!$B$4="Chapter Hunt"),CHOOSE(ArtifactsInput!$N$27+1,20,24,28,32,36,40),0)/100)))))/Skills!H9,1)))/Inputs!$B$43),G1280*Q1280))*IF(Inputs!$B$38="pvp",1,(1+(Inputs!$B$21+Skills!Q9+(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1">
      <c r="A1281">
        <f>Skills!A10</f>
        <v/>
      </c>
      <c r="B1281">
        <f>Skills!B10</f>
        <v/>
      </c>
      <c r="C1281">
        <f>Inputs!$B$3&gt;=117</f>
        <v/>
      </c>
      <c r="D1281">
        <f>IF(Skills!C10=1,60+Inputs!$B$25+Inputs!$B$29,IF(Skills!C10=2,90+Inputs!$B$26+Inputs!$B$29,IF(Skills!C10=3,120+Inputs!$B$27+Inputs!$B$29,MAX(0,(Inputs!$B$3-100)*3)+Inputs!$B$28+Inputs!$B$29)))</f>
        <v/>
      </c>
      <c r="E1281">
        <f>INDEX(FactorTable!$B$2:$Y$301, MATCH(ROUND(MIN(300,MAX(1,D1281)),0), FactorTable!$A$2:$A$301,0), Skills!M10+1)</f>
        <v/>
      </c>
      <c r="F1281">
        <f>IF(Skills!N10=TRUE,(Skills!L10/10)*(E1281/1000),Skills!L10/10)+Skills!O10</f>
        <v/>
      </c>
      <c r="G1281">
        <f>Skills!G10*IF(Skills!H10&gt;0,Skills!I10/Skills!H10,1)</f>
        <v/>
      </c>
      <c r="H1281">
        <f>1-(1-Skills!J10/100)^Skills!K10</f>
        <v/>
      </c>
      <c r="I1281" t="inlineStr">
        <is>
          <t>1</t>
        </is>
      </c>
      <c r="J1281">
        <f>((Inputs!$B$6*(1+Inputs!$B$7/100))+(((Inputs!$B$12*(1+Inputs!$B$13/100))-(Inputs!$B$12*(1+Inputs!$B$13/100)))+0.25*(Inputs!$B$14-Inputs!$B$14))*(1+Inputs!$B$7/100))*(F1281/100)</f>
        <v/>
      </c>
      <c r="K1281">
        <f>J1281*(1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1281)</f>
        <v/>
      </c>
      <c r="L1281">
        <f>K1281*(MIN(Inputs!$B$22+((C1293=TRUE)*(F1293-Calc!F22)),(Inputs!$B$23+((C1295=TRUE)*(F1295-Calc!F24))+(IF(ArtifactsInput!$M$15,CHOOSE(ArtifactsInput!$N$15+1,25,30,35,40,45,50)/100*(Inputs!$B$11-Inputs!$B$11),0))))/100+(Inputs!$B$23+((C1295=TRUE)*(F1295-Calc!F24))+(IF(ArtifactsInput!$M$15,CHOOSE(ArtifactsInput!$N$15+1,25,30,35,40,45,50)/100*(Inputs!$B$11-Inputs!$B$11),0)))/100)/2</f>
        <v/>
      </c>
      <c r="M1281">
        <f>L1281*(1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81">
        <f>L1281*(1-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1281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81">
        <f>(1-Summary!$B$11)*T1281+Summary!$B$11*V1281</f>
        <v/>
      </c>
      <c r="P1281">
        <f>IF(B1308=0,0,O1281/B1308)</f>
        <v/>
      </c>
      <c r="Q1281">
        <f>IFERROR(1/(IF(Inputs!$B$38="pvp",15,MAX(0.1,Skills!D10-IF(Skills!E10=TRUE,Inputs!$B$32,0)))*(1-IF(AND(ArtifactsInput!$M$27,Inputs!$B$4="Chapter Hunt"),CHOOSE(ArtifactsInput!$N$27+1,20,24,28,32,36,40),0)/100)),0)</f>
        <v/>
      </c>
      <c r="R1281">
        <f>IF(AND(Inputs!$B$38&lt;&gt;"pvp",Inputs!$B$43&gt;0),IF(MAX(0,Inputs!$B$43-B1305)&lt;=0,0,(INT(MAX(0,Inputs!$B$43-B1305)/(IF(Inputs!$B$38="pvp",15,MAX(0.1,Skills!D10-IF(Skills!E10=TRUE,Inputs!$B$32,0)))*(1-IF(AND(ArtifactsInput!$M$27,Inputs!$B$4="Chapter Hunt"),CHOOSE(ArtifactsInput!$N$27+1,20,24,28,32,36,40),0)/100)))+1)),0)</f>
        <v/>
      </c>
      <c r="S1281">
        <f>IFERROR(O1281/N1281,0)</f>
        <v/>
      </c>
      <c r="T1281">
        <f>IF(C1281,(H1281*N1281*IF(AND(Inputs!$B$38&lt;&gt;"pvp",Inputs!$B$43&gt;0),((Skills!G10*((R1281-1)*IF(Skills!H10&gt;0,Skills!I10/Skills!H10,1)+IF(Skills!H10&gt;0,MIN(Skills!I10,MAX(0,MAX(0,Inputs!$B$43-B1305)-((R1281-1)*(IF(Inputs!$B$38="pvp",15,MAX(0.1,Skills!D10-IF(Skills!E10=TRUE,Inputs!$B$32,0)))*(1-IF(AND(ArtifactsInput!$M$27,Inputs!$B$4="Chapter Hunt"),CHOOSE(ArtifactsInput!$N$27+1,20,24,28,32,36,40),0)/100)))))/Skills!H10,1)))/Inputs!$B$43),G1281*Q1281)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1281*(1-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1281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1281*(1-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1281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1">
        <f>IF(C1281,(H1281*N1281*IF(AND(Inputs!$B$38&lt;&gt;"pvp",Inputs!$B$43&gt;0),((Skills!G10*((R1281-1)*IF(Skills!H10&gt;0,Skills!I10/Skills!H10,1)+IF(Skills!H10&gt;0,MIN(Skills!I10,MAX(0,MAX(0,Inputs!$B$43-B1305)-((R1281-1)*(IF(Inputs!$B$38="pvp",15,MAX(0.1,Skills!D10-IF(Skills!E10=TRUE,Inputs!$B$32,0)))*(1-IF(AND(ArtifactsInput!$M$27,Inputs!$B$4="Chapter Hunt"),CHOOSE(ArtifactsInput!$N$27+1,20,24,28,32,36,40),0)/100)))))/Skills!H10,1)))/Inputs!$B$43),G1281*Q1281))*IF(Inputs!$B$38="pvp",1,(1+(Inputs!$B$21+Skills!Q10+(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2">
      <c r="A1282">
        <f>Skills!A11</f>
        <v/>
      </c>
      <c r="B1282">
        <f>Skills!B11</f>
        <v/>
      </c>
      <c r="C1282">
        <f>Inputs!$B$3&gt;=63</f>
        <v/>
      </c>
      <c r="D1282">
        <f>IF(Skills!C11=1,60+Inputs!$B$25+Inputs!$B$29,IF(Skills!C11=2,90+Inputs!$B$26+Inputs!$B$29,IF(Skills!C11=3,120+Inputs!$B$27+Inputs!$B$29,MAX(0,(Inputs!$B$3-100)*3)+Inputs!$B$28+Inputs!$B$29)))</f>
        <v/>
      </c>
      <c r="E1282">
        <f>INDEX(FactorTable!$B$2:$Y$301, MATCH(ROUND(MIN(300,MAX(1,D1282)),0), FactorTable!$A$2:$A$301,0), Skills!M11+1)</f>
        <v/>
      </c>
      <c r="F1282">
        <f>IF(Skills!N11=TRUE,(Skills!L11/10)*(E1282/1000),Skills!L11/10)+Skills!O11</f>
        <v/>
      </c>
      <c r="G1282">
        <f>Skills!G11*IF(Skills!H11&gt;0,Skills!I11/Skills!H11,1)</f>
        <v/>
      </c>
      <c r="H1282">
        <f>1-(1-Skills!J11/100)^Skills!K11</f>
        <v/>
      </c>
      <c r="I1282" t="inlineStr">
        <is>
          <t>1</t>
        </is>
      </c>
      <c r="J1282">
        <f>((Inputs!$B$6*(1+Inputs!$B$7/100))+(((Inputs!$B$12*(1+Inputs!$B$13/100))-(Inputs!$B$12*(1+Inputs!$B$13/100)))+0.25*(Inputs!$B$14-Inputs!$B$14))*(1+Inputs!$B$7/100))*(F1282/100)</f>
        <v/>
      </c>
      <c r="K1282">
        <f>J1282*(1+((Inputs!$B$12*(1+Inputs!$B$13/100))*0.01+Inputs!$B$14*0.0025)/100)*(1+Inputs!$B$15/100)*(1+Inputs!$B$16/100)*(5000/(6000+Inputs!$B$42*(1-(Inputs!$B$19+0)/100)))*(1+(Inputs!$B$24+0+B1304)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1283=TRUE,F1283,0)/100)*(1+(IF(Skills!A11="BLAST",Inputs!$B$17+((C1292=TRUE)*(F1292-Calc!F21))+((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MIN(100,((Inputs!$B$9+0+B1298+(ArtifactsInput!$M$24-ArtifactsInput!$M$24)*CHOOSE(ArtifactsInput!$N$24+1,10,12,14,16,18,20)+IF(IF(ArtifactsInput!$M$10,FALSE,TRUE),CHOOSE(ArtifactsInput!$N$10+1,15,18,21,24,27,30)*(IF(Inputs!$B$38="pvp",MIN(15,15)/15,IF(AND(Inputs!$B$38&lt;&gt;"pvp",Inputs!$B$43&gt;0),MIN(15,Inputs!$B$43)/(Inputs!$B$43),0))),0)))-100),0))*CHOOSE(ArtifactsInput!$N$42+1,0.6,0.72,0.84,0.96,1.08,1.2))),Inputs!$B$18+((C1294=TRUE)*(F1294-Calc!F23))+(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gt;=100),CHOOSE(ArtifactsInput!$N$42+1,40,48,56,64,72,80),0))))/100)*((1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1282)</f>
        <v/>
      </c>
      <c r="L1282">
        <f>K1282*(MIN(Inputs!$B$22+((C1293=TRUE)*(F1293-Calc!F22)),(Inputs!$B$23+((C1295=TRUE)*(F1295-Calc!F24))+(IF(ArtifactsInput!$M$15,CHOOSE(ArtifactsInput!$N$15+1,25,30,35,40,45,50)/100*(Inputs!$B$11-Inputs!$B$11),0))))/100+(Inputs!$B$23+((C1295=TRUE)*(F1295-Calc!F24))+(IF(ArtifactsInput!$M$15,CHOOSE(ArtifactsInput!$N$15+1,25,30,35,40,45,50)/100*(Inputs!$B$11-Inputs!$B$11),0)))/100)/2</f>
        <v/>
      </c>
      <c r="M1282">
        <f>L1282*(1+(Inputs!$B$10+0+B1303+(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82">
        <f>L1282*(1-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1282*(MIN((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82">
        <f>(1-Summary!$B$11)*T1282+Summary!$B$11*V1282</f>
        <v/>
      </c>
      <c r="P1282">
        <f>IF(B1308=0,0,O1282/B1308)</f>
        <v/>
      </c>
      <c r="Q1282">
        <f>IFERROR(1/(IF(Inputs!$B$38="pvp",15,MAX(0.1,Skills!D11-IF(Skills!E11=TRUE,Inputs!$B$32,0)))*(1-IF(AND(ArtifactsInput!$M$27,Inputs!$B$4="Chapter Hunt"),CHOOSE(ArtifactsInput!$N$27+1,20,24,28,32,36,40),0)/100)),0)</f>
        <v/>
      </c>
      <c r="R1282">
        <f>IF(AND(Inputs!$B$38&lt;&gt;"pvp",Inputs!$B$43&gt;0),IF(MAX(0,Inputs!$B$43-B1305)&lt;=0,0,(INT(MAX(0,Inputs!$B$43-B1305)/(IF(Inputs!$B$38="pvp",15,MAX(0.1,Skills!D11-IF(Skills!E11=TRUE,Inputs!$B$32,0)))*(1-IF(AND(ArtifactsInput!$M$27,Inputs!$B$4="Chapter Hunt"),CHOOSE(ArtifactsInput!$N$27+1,20,24,28,32,36,40),0)/100)))+1)),0)</f>
        <v/>
      </c>
      <c r="S1282">
        <f>IFERROR(O1282/N1282,0)</f>
        <v/>
      </c>
      <c r="T1282">
        <f>IF(C1282,(H1282*N1282*IF(AND(Inputs!$B$38&lt;&gt;"pvp",Inputs!$B$43&gt;0),((Skills!G11*((R1282-1)*IF(Skills!H11&gt;0,Skills!I11/Skills!H11,1)+IF(Skills!H11&gt;0,MIN(Skills!I11,MAX(0,MAX(0,Inputs!$B$43-B1305)-((R1282-1)*(IF(Inputs!$B$38="pvp",15,MAX(0.1,Skills!D11-IF(Skills!E11=TRUE,Inputs!$B$32,0)))*(1-IF(AND(ArtifactsInput!$M$27,Inputs!$B$4="Chapter Hunt"),CHOOSE(ArtifactsInput!$N$27+1,20,24,28,32,36,40),0)/100)))))/Skills!H11,1)))/Inputs!$B$43),G1282*Q1282)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1282*(1-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1282*(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1282*(1-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1282*(MIN(100,(Inputs!$B$9+0+B1298+(ArtifactsInput!$M$24-ArtifactsInput!$M$24)*CHOOSE(ArtifactsInput!$N$24+1,10,12,14,16,18,20)+(IF(AND(Inputs!$B$38&lt;&gt;"pvp",Inputs!$B$43=0),1,IF(IF(Inputs!$B$38="pvp",15,Inputs!$B$43)-(B1305)&lt;=0,1,MAX(0,IF(Inputs!$B$38="pvp",15,Inputs!$B$43)-MAX(5,B1305))/(IF(Inputs!$B$38="pvp",15,Inputs!$B$43)-(B1305))))*IF(AND(ArtifactsInput!$M$42,((Inputs!$B$9+0+B1298+(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82">
        <f>IF(C1282,(H1282*N1282*IF(AND(Inputs!$B$38&lt;&gt;"pvp",Inputs!$B$43&gt;0),((Skills!G11*((R1282-1)*IF(Skills!H11&gt;0,Skills!I11/Skills!H11,1)+IF(Skills!H11&gt;0,MIN(Skills!I11,MAX(0,MAX(0,Inputs!$B$43-B1305)-((R1282-1)*(IF(Inputs!$B$38="pvp",15,MAX(0.1,Skills!D11-IF(Skills!E11=TRUE,Inputs!$B$32,0)))*(1-IF(AND(ArtifactsInput!$M$27,Inputs!$B$4="Chapter Hunt"),CHOOSE(ArtifactsInput!$N$27+1,20,24,28,32,36,40),0)/100)))))/Skills!H11,1)))/Inputs!$B$43),G1282*Q1282))*IF(Inputs!$B$38="pvp",1,(1+(Inputs!$B$21+Skills!Q11+(IF(ArtifactsInput!$M$33,CHOOSE(ArtifactsInput!$N$33+1,30,36,42,48,54,60),0))+(IF(AND(ArtifactsInput!$M$35,Inputs!$B$4&lt;&gt;"Chapter Hunt"),CHOOSE(ArtifactsInput!$N$35+1,15,18,21,24,27,30)*(1-EXP(-(0.2*B1300)*5)),0)+IF(AND(ArtifactsInput!$M$22,Inputs!$B$4&lt;&gt;"Chapter Hunt"),CHOOSE(ArtifactsInput!$N$22+1,10,12,14,16,18,20)*((0*(((0.15*B1300*5))^0/1)+1*(((0.15*B1300*5))^1/1)+2*(((0.15*B1300*5))^2/2)+3*(((0.15*B1300*5))^3/6)+4*(((0.15*B1300*5))^4/24)+5*(((0.15*B1300*5))^5/120))/((((0.15*B1300*5))^0/1)+(((0.15*B1300*5))^1/1)+(((0.15*B1300*5))^2/2)+(((0.15*B1300*5))^3/6)+(((0.15*B1300*5))^4/24)+(((0.15*B1300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3">
      <c r="A1283">
        <f>Skills!A12</f>
        <v/>
      </c>
      <c r="B1283">
        <f>Skills!B12</f>
        <v/>
      </c>
      <c r="C1283">
        <f>Inputs!$B$3&gt;=100</f>
        <v/>
      </c>
      <c r="D1283">
        <f>IF(Skills!C12=1,60+Inputs!$B$25+Inputs!$B$29,IF(Skills!C12=2,90+Inputs!$B$26+Inputs!$B$29,IF(Skills!C12=3,120+Inputs!$B$27+Inputs!$B$29,MAX(0,(Inputs!$B$3-100)*3)+Inputs!$B$28+Inputs!$B$29)))</f>
        <v/>
      </c>
      <c r="E1283">
        <f>INDEX(FactorTable!$B$2:$Y$301, MATCH(ROUND(MIN(300,MAX(1,D1283)),0), FactorTable!$A$2:$A$301,0), Skills!M12+1)</f>
        <v/>
      </c>
      <c r="F1283">
        <f>IF(Skills!N12=TRUE,(Skills!L12/10)*(E1283/1000),Skills!L12/10)+Skills!O12</f>
        <v/>
      </c>
      <c r="G1283" t="inlineStr"/>
      <c r="H1283" t="inlineStr"/>
      <c r="I1283" t="inlineStr">
        <is>
          <t>1</t>
        </is>
      </c>
      <c r="J1283" t="inlineStr"/>
      <c r="K1283" t="inlineStr"/>
      <c r="L1283" t="inlineStr"/>
      <c r="M1283" t="inlineStr"/>
      <c r="N1283" t="inlineStr"/>
      <c r="O1283" t="inlineStr"/>
      <c r="P1283" t="inlineStr"/>
      <c r="Q1283" t="inlineStr"/>
      <c r="R1283" t="inlineStr"/>
      <c r="S1283" t="inlineStr"/>
    </row>
    <row r="1284">
      <c r="A1284">
        <f>Skills!A13</f>
        <v/>
      </c>
      <c r="B1284">
        <f>Skills!B13</f>
        <v/>
      </c>
      <c r="C1284">
        <f>Inputs!$B$3&gt;=45</f>
        <v/>
      </c>
      <c r="D1284">
        <f>IF(Skills!C13=1,60+Inputs!$B$25+Inputs!$B$29,IF(Skills!C13=2,90+Inputs!$B$26+Inputs!$B$29,IF(Skills!C13=3,120+Inputs!$B$27+Inputs!$B$29,MAX(0,(Inputs!$B$3-100)*3)+Inputs!$B$28+Inputs!$B$29)))</f>
        <v/>
      </c>
      <c r="E1284">
        <f>INDEX(FactorTable!$B$2:$Y$301, MATCH(ROUND(MIN(300,MAX(1,D1284)),0), FactorTable!$A$2:$A$301,0), Skills!M13+1)</f>
        <v/>
      </c>
      <c r="F1284">
        <f>IF(Skills!N13=TRUE,(Skills!L13/10)*(E1284/1000),Skills!L13/10)+Skills!O13</f>
        <v/>
      </c>
      <c r="G1284">
        <f>Skills!G13*IF(Skills!H13&gt;0,Skills!I13/Skills!H13,1)</f>
        <v/>
      </c>
      <c r="H1284">
        <f>1-(1-Skills!J13/100)^Skills!K13</f>
        <v/>
      </c>
      <c r="I1284" t="inlineStr">
        <is>
          <t>1</t>
        </is>
      </c>
      <c r="J1284" t="inlineStr"/>
      <c r="K1284" t="inlineStr"/>
      <c r="L1284" t="inlineStr"/>
      <c r="M1284" t="inlineStr"/>
      <c r="N1284" t="inlineStr"/>
      <c r="O1284">
        <f>(1-Summary!$B$11)*T1284+Summary!$B$11*V1284</f>
        <v/>
      </c>
      <c r="P1284">
        <f>IF(B1308=0,0,O1284/B1308)</f>
        <v/>
      </c>
      <c r="Q1284" t="n">
        <v>0</v>
      </c>
      <c r="R1284" t="n">
        <v>0</v>
      </c>
      <c r="S1284">
        <f>IFERROR(O1284/N1284,0)</f>
        <v/>
      </c>
      <c r="T1284" t="n">
        <v>0</v>
      </c>
      <c r="V1284" t="n">
        <v>0</v>
      </c>
    </row>
    <row r="1285">
      <c r="A1285">
        <f>Skills!A14</f>
        <v/>
      </c>
      <c r="B1285">
        <f>Skills!B14</f>
        <v/>
      </c>
      <c r="C1285">
        <f>Inputs!$B$3&gt;=110</f>
        <v/>
      </c>
      <c r="D1285">
        <f>IF(Skills!C14=1,60+Inputs!$B$25+Inputs!$B$29,IF(Skills!C14=2,90+Inputs!$B$26+Inputs!$B$29,IF(Skills!C14=3,120+Inputs!$B$27+Inputs!$B$29,MAX(0,(Inputs!$B$3-100)*3)+Inputs!$B$28+Inputs!$B$29)))</f>
        <v/>
      </c>
      <c r="E1285">
        <f>INDEX(FactorTable!$B$2:$Y$301, MATCH(ROUND(MIN(300,MAX(1,D1285)),0), FactorTable!$A$2:$A$301,0), Skills!M14+1)</f>
        <v/>
      </c>
      <c r="F1285">
        <f>IF(Skills!N14=TRUE,(Skills!L14/10)*(E1285/1000),Skills!L14/10)+Skills!O14</f>
        <v/>
      </c>
      <c r="G1285">
        <f>Skills!G14*IF(Skills!H14&gt;0,Skills!I14/Skills!H14,1)</f>
        <v/>
      </c>
      <c r="H1285">
        <f>1-(1-Skills!J14/100)^Skills!K14</f>
        <v/>
      </c>
      <c r="I1285" t="inlineStr">
        <is>
          <t>1</t>
        </is>
      </c>
      <c r="J1285" t="inlineStr"/>
      <c r="K1285" t="inlineStr"/>
      <c r="L1285" t="inlineStr"/>
      <c r="M1285" t="inlineStr"/>
      <c r="N1285" t="inlineStr"/>
      <c r="O1285">
        <f>(1-Summary!$B$11)*T1285+Summary!$B$11*V1285</f>
        <v/>
      </c>
      <c r="P1285">
        <f>IF(B1308=0,0,O1285/B1308)</f>
        <v/>
      </c>
      <c r="Q1285" t="n">
        <v>0</v>
      </c>
      <c r="R1285" t="n">
        <v>0</v>
      </c>
      <c r="S1285">
        <f>IFERROR(O1285/N1285,0)</f>
        <v/>
      </c>
      <c r="T1285" t="n">
        <v>0</v>
      </c>
      <c r="V1285" t="n">
        <v>0</v>
      </c>
    </row>
    <row r="1286">
      <c r="A1286">
        <f>Skills!A15</f>
        <v/>
      </c>
      <c r="B1286">
        <f>Skills!B15</f>
        <v/>
      </c>
      <c r="C1286">
        <f>Inputs!$B$3&gt;=75</f>
        <v/>
      </c>
      <c r="D1286">
        <f>IF(Skills!C15=1,60+Inputs!$B$25+Inputs!$B$29,IF(Skills!C15=2,90+Inputs!$B$26+Inputs!$B$29,IF(Skills!C15=3,120+Inputs!$B$27+Inputs!$B$29,MAX(0,(Inputs!$B$3-100)*3)+Inputs!$B$28+Inputs!$B$29)))</f>
        <v/>
      </c>
      <c r="E1286">
        <f>INDEX(FactorTable!$B$2:$Y$301, MATCH(ROUND(MIN(300,MAX(1,D1286)),0), FactorTable!$A$2:$A$301,0), Skills!M15+1)</f>
        <v/>
      </c>
      <c r="F1286">
        <f>IF(Skills!N15=TRUE,(Skills!L15/10)*(E1286/1000),Skills!L15/10)+Skills!O15</f>
        <v/>
      </c>
      <c r="G1286">
        <f>Skills!G15*IF(Skills!H15&gt;0,Skills!I15/Skills!H15,1)</f>
        <v/>
      </c>
      <c r="H1286">
        <f>1-(1-Skills!J15/100)^Skills!K15</f>
        <v/>
      </c>
      <c r="I1286" t="inlineStr">
        <is>
          <t>1</t>
        </is>
      </c>
      <c r="J1286" t="inlineStr"/>
      <c r="K1286" t="inlineStr"/>
      <c r="L1286" t="inlineStr"/>
      <c r="M1286" t="inlineStr"/>
      <c r="N1286" t="inlineStr"/>
      <c r="O1286">
        <f>(1-Summary!$B$11)*T1286+Summary!$B$11*V1286</f>
        <v/>
      </c>
      <c r="P1286">
        <f>IF(B1308=0,0,O1286/B1308)</f>
        <v/>
      </c>
      <c r="Q1286">
        <f>IFERROR(1/(IF(Inputs!$B$38="pvp",15,MAX(0.1,Skills!D15-IF(Skills!E15=TRUE,Inputs!$B$32,0)))*(1-IF(AND(ArtifactsInput!$M$27,Inputs!$B$4="Chapter Hunt"),CHOOSE(ArtifactsInput!$N$27+1,20,24,28,32,36,40),0)/100)),0)</f>
        <v/>
      </c>
      <c r="R1286">
        <f>IF(AND(Inputs!$B$38&lt;&gt;"pvp",Inputs!$B$43&gt;0),IF(Inputs!$B$43&lt;=0,0,(INT(Inputs!$B$43/(IF(Inputs!$B$38="pvp",15,MAX(0.1,Skills!D15-IF(Skills!E15=TRUE,Inputs!$B$32,0)))*(1-IF(AND(ArtifactsInput!$M$27,Inputs!$B$4="Chapter Hunt"),CHOOSE(ArtifactsInput!$N$27+1,20,24,28,32,36,40),0)/100)))+1)),0)</f>
        <v/>
      </c>
      <c r="S1286">
        <f>IFERROR(O1286/N1286,0)</f>
        <v/>
      </c>
      <c r="T1286" t="n">
        <v>0</v>
      </c>
      <c r="V1286" t="n">
        <v>0</v>
      </c>
    </row>
    <row r="1287">
      <c r="A1287">
        <f>Skills!A16</f>
        <v/>
      </c>
      <c r="B1287">
        <f>Skills!B16</f>
        <v/>
      </c>
      <c r="C1287">
        <f>Inputs!$B$3&gt;=105</f>
        <v/>
      </c>
      <c r="D1287">
        <f>IF(Skills!C16=1,60+Inputs!$B$25+Inputs!$B$29,IF(Skills!C16=2,90+Inputs!$B$26+Inputs!$B$29,IF(Skills!C16=3,120+Inputs!$B$27+Inputs!$B$29,MAX(0,(Inputs!$B$3-100)*3)+Inputs!$B$28+Inputs!$B$29)))</f>
        <v/>
      </c>
      <c r="E1287">
        <f>INDEX(FactorTable!$B$2:$Y$301, MATCH(ROUND(MIN(300,MAX(1,D1287)),0), FactorTable!$A$2:$A$301,0), Skills!M16+1)</f>
        <v/>
      </c>
      <c r="F1287">
        <f>IF(Skills!N16=TRUE,(Skills!L16/10)*(E1287/1000),Skills!L16/10)+Skills!O16</f>
        <v/>
      </c>
      <c r="G1287">
        <f>Skills!G16*IF(Skills!H16&gt;0,Skills!I16/Skills!H16,1)</f>
        <v/>
      </c>
      <c r="H1287">
        <f>1-(1-Skills!J16/100)^Skills!K16</f>
        <v/>
      </c>
      <c r="I1287" t="inlineStr">
        <is>
          <t>1</t>
        </is>
      </c>
      <c r="J1287" t="inlineStr"/>
      <c r="K1287" t="inlineStr"/>
      <c r="L1287" t="inlineStr"/>
      <c r="M1287" t="inlineStr"/>
      <c r="N1287" t="inlineStr"/>
      <c r="O1287">
        <f>(1-Summary!$B$11)*T1287+Summary!$B$11*V1287</f>
        <v/>
      </c>
      <c r="P1287">
        <f>IF(B1308=0,0,O1287/B1308)</f>
        <v/>
      </c>
      <c r="Q1287">
        <f>IFERROR(1/(IF(Inputs!$B$38="pvp",15,MAX(0.1,Skills!D16-IF(Skills!E16=TRUE,Inputs!$B$32,0)))*(1-IF(AND(ArtifactsInput!$M$27,Inputs!$B$4="Chapter Hunt"),CHOOSE(ArtifactsInput!$N$27+1,20,24,28,32,36,40),0)/100)),0)</f>
        <v/>
      </c>
      <c r="R1287">
        <f>IF(AND(Inputs!$B$38&lt;&gt;"pvp",Inputs!$B$43&gt;0),IF(Inputs!$B$43&lt;=0,0,(INT(Inputs!$B$43/(IF(Inputs!$B$38="pvp",15,MAX(0.1,Skills!D16-IF(Skills!E16=TRUE,Inputs!$B$32,0)))*(1-IF(AND(ArtifactsInput!$M$27,Inputs!$B$4="Chapter Hunt"),CHOOSE(ArtifactsInput!$N$27+1,20,24,28,32,36,40),0)/100)))+1)),0)</f>
        <v/>
      </c>
      <c r="S1287">
        <f>IFERROR(O1287/N1287,0)</f>
        <v/>
      </c>
      <c r="T1287" t="n">
        <v>0</v>
      </c>
      <c r="V1287" t="n">
        <v>0</v>
      </c>
    </row>
    <row r="1288">
      <c r="A1288">
        <f>Skills!A17</f>
        <v/>
      </c>
      <c r="B1288">
        <f>Skills!B17</f>
        <v/>
      </c>
      <c r="C1288">
        <f>Inputs!$B$3&gt;=115</f>
        <v/>
      </c>
      <c r="D1288">
        <f>IF(Skills!C17=1,60+Inputs!$B$25+Inputs!$B$29,IF(Skills!C17=2,90+Inputs!$B$26+Inputs!$B$29,IF(Skills!C17=3,120+Inputs!$B$27+Inputs!$B$29,MAX(0,(Inputs!$B$3-100)*3)+Inputs!$B$28+Inputs!$B$29)))</f>
        <v/>
      </c>
      <c r="E1288">
        <f>INDEX(FactorTable!$B$2:$Y$301, MATCH(ROUND(MIN(300,MAX(1,D1288)),0), FactorTable!$A$2:$A$301,0), Skills!M17+1)</f>
        <v/>
      </c>
      <c r="F1288">
        <f>IF(Skills!N17=TRUE,(Skills!L17/10)*(E1288/1000),Skills!L17/10)+Skills!O17</f>
        <v/>
      </c>
      <c r="G1288">
        <f>Skills!G17*IF(Skills!H17&gt;0,Skills!I17/Skills!H17,1)</f>
        <v/>
      </c>
      <c r="H1288">
        <f>1-(1-Skills!J17/100)^Skills!K17</f>
        <v/>
      </c>
      <c r="I1288" t="inlineStr">
        <is>
          <t>1</t>
        </is>
      </c>
      <c r="J1288" t="inlineStr"/>
      <c r="K1288" t="inlineStr"/>
      <c r="L1288" t="inlineStr"/>
      <c r="M1288" t="inlineStr"/>
      <c r="N1288" t="inlineStr"/>
      <c r="O1288">
        <f>(1-Summary!$B$11)*T1288+Summary!$B$11*V1288</f>
        <v/>
      </c>
      <c r="P1288">
        <f>IF(B1308=0,0,O1288/B1308)</f>
        <v/>
      </c>
      <c r="Q1288">
        <f>IFERROR(1/(IF(Inputs!$B$38="pvp",15,MAX(0.1,Skills!D17-IF(Skills!E17=TRUE,Inputs!$B$32,0)))*(1-IF(AND(ArtifactsInput!$M$27,Inputs!$B$4="Chapter Hunt"),CHOOSE(ArtifactsInput!$N$27+1,20,24,28,32,36,40),0)/100)),0)</f>
        <v/>
      </c>
      <c r="R1288">
        <f>IF(AND(Inputs!$B$38&lt;&gt;"pvp",Inputs!$B$43&gt;0),IF(Inputs!$B$43&lt;=0,0,(INT(Inputs!$B$43/(IF(Inputs!$B$38="pvp",15,MAX(0.1,Skills!D17-IF(Skills!E17=TRUE,Inputs!$B$32,0)))*(1-IF(AND(ArtifactsInput!$M$27,Inputs!$B$4="Chapter Hunt"),CHOOSE(ArtifactsInput!$N$27+1,20,24,28,32,36,40),0)/100)))+1)),0)</f>
        <v/>
      </c>
      <c r="S1288">
        <f>IFERROR(O1288/N1288,0)</f>
        <v/>
      </c>
      <c r="T1288" t="n">
        <v>0</v>
      </c>
      <c r="V1288" t="n">
        <v>0</v>
      </c>
    </row>
    <row r="1289">
      <c r="A1289">
        <f>Skills!A18</f>
        <v/>
      </c>
      <c r="B1289">
        <f>Skills!B18</f>
        <v/>
      </c>
      <c r="C1289">
        <f>Inputs!$B$3&gt;=74</f>
        <v/>
      </c>
      <c r="D1289">
        <f>IF(Skills!C18=1,60+Inputs!$B$25+Inputs!$B$29,IF(Skills!C18=2,90+Inputs!$B$26+Inputs!$B$29,IF(Skills!C18=3,120+Inputs!$B$27+Inputs!$B$29,MAX(0,(Inputs!$B$3-100)*3)+Inputs!$B$28+Inputs!$B$29)))</f>
        <v/>
      </c>
      <c r="E1289">
        <f>INDEX(FactorTable!$B$2:$Y$301, MATCH(ROUND(MIN(300,MAX(1,D1289)),0), FactorTable!$A$2:$A$301,0), Skills!M18+1)</f>
        <v/>
      </c>
      <c r="F1289">
        <f>IF(Skills!N18=TRUE,(Skills!L18/10)*(E1289/1000),Skills!L18/10)+Skills!O18</f>
        <v/>
      </c>
      <c r="G1289">
        <f>Skills!G18*IF(Skills!H18&gt;0,Skills!I18/Skills!H18,1)</f>
        <v/>
      </c>
      <c r="H1289">
        <f>1-(1-Skills!J18/100)^Skills!K18</f>
        <v/>
      </c>
      <c r="I1289" t="inlineStr">
        <is>
          <t>1</t>
        </is>
      </c>
      <c r="J1289" t="inlineStr"/>
      <c r="K1289" t="inlineStr"/>
      <c r="L1289" t="inlineStr"/>
      <c r="M1289" t="inlineStr"/>
      <c r="N1289" t="inlineStr"/>
      <c r="O1289">
        <f>(1-Summary!$B$11)*T1289+Summary!$B$11*V1289</f>
        <v/>
      </c>
      <c r="P1289">
        <f>IF(B1308=0,0,O1289/B1308)</f>
        <v/>
      </c>
      <c r="Q1289">
        <f>IFERROR(1/(IF(Inputs!$B$38="pvp",15,MAX(0.1,Skills!D18-IF(Skills!E18=TRUE,Inputs!$B$32,0)))*(1-IF(AND(ArtifactsInput!$M$27,Inputs!$B$4="Chapter Hunt"),CHOOSE(ArtifactsInput!$N$27+1,20,24,28,32,36,40),0)/100)),0)</f>
        <v/>
      </c>
      <c r="R1289">
        <f>IF(AND(Inputs!$B$38&lt;&gt;"pvp",Inputs!$B$43&gt;0),IF(Inputs!$B$43&lt;=0,0,(INT(Inputs!$B$43/(IF(Inputs!$B$38="pvp",15,MAX(0.1,Skills!D18-IF(Skills!E18=TRUE,Inputs!$B$32,0)))*(1-IF(AND(ArtifactsInput!$M$27,Inputs!$B$4="Chapter Hunt"),CHOOSE(ArtifactsInput!$N$27+1,20,24,28,32,36,40),0)/100)))+1)),0)</f>
        <v/>
      </c>
      <c r="S1289">
        <f>IFERROR(O1289/N1289,0)</f>
        <v/>
      </c>
      <c r="T1289" t="n">
        <v>0</v>
      </c>
      <c r="V1289" t="n">
        <v>0</v>
      </c>
    </row>
    <row r="1290">
      <c r="A1290">
        <f>Skills!A19</f>
        <v/>
      </c>
      <c r="B1290">
        <f>Skills!B19</f>
        <v/>
      </c>
      <c r="C1290">
        <f>TRUE</f>
        <v/>
      </c>
      <c r="D1290">
        <f>IF(Skills!C19=1,60+Inputs!$B$25+Inputs!$B$29,IF(Skills!C19=2,90+Inputs!$B$26+Inputs!$B$29,IF(Skills!C19=3,120+Inputs!$B$27+Inputs!$B$29,MAX(0,(Inputs!$B$3-100)*3)+Inputs!$B$28+Inputs!$B$29)))</f>
        <v/>
      </c>
      <c r="E1290">
        <f>INDEX(FactorTable!$B$2:$Y$301, MATCH(ROUND(MIN(300,MAX(1,D1290)),0), FactorTable!$A$2:$A$301,0), Skills!M19+1)</f>
        <v/>
      </c>
      <c r="F1290">
        <f>IF(Skills!N19=TRUE,(Skills!L19/10)*(E1290/1000),Skills!L19/10)+Skills!O19</f>
        <v/>
      </c>
      <c r="G1290">
        <f>Skills!G19*IF(Skills!H19&gt;0,Skills!I19/Skills!H19,1)</f>
        <v/>
      </c>
      <c r="H1290">
        <f>1-(1-Skills!J19/100)^Skills!K19</f>
        <v/>
      </c>
      <c r="I1290" t="inlineStr">
        <is>
          <t>1</t>
        </is>
      </c>
      <c r="J1290" t="inlineStr"/>
      <c r="K1290" t="inlineStr"/>
      <c r="L1290" t="inlineStr"/>
      <c r="M1290" t="inlineStr"/>
      <c r="N1290" t="inlineStr"/>
      <c r="O1290">
        <f>(1-Summary!$B$11)*T1290+Summary!$B$11*V1290</f>
        <v/>
      </c>
      <c r="P1290">
        <f>IF(B1308=0,0,O1290/B1308)</f>
        <v/>
      </c>
      <c r="Q1290">
        <f>IFERROR(1/(IF(Inputs!$B$38="pvp",15,MAX(0.1,Skills!D19-IF(Skills!E19=TRUE,Inputs!$B$32,0)))*(1-IF(AND(ArtifactsInput!$M$27,Inputs!$B$4="Chapter Hunt"),CHOOSE(ArtifactsInput!$N$27+1,20,24,28,32,36,40),0)/100)),0)</f>
        <v/>
      </c>
      <c r="R1290">
        <f>IF(AND(Inputs!$B$38&lt;&gt;"pvp",Inputs!$B$43&gt;0),IF(Inputs!$B$43&lt;=0,0,(INT(Inputs!$B$43/(IF(Inputs!$B$38="pvp",15,MAX(0.1,Skills!D19-IF(Skills!E19=TRUE,Inputs!$B$32,0)))*(1-IF(AND(ArtifactsInput!$M$27,Inputs!$B$4="Chapter Hunt"),CHOOSE(ArtifactsInput!$N$27+1,20,24,28,32,36,40),0)/100)))+1)),0)</f>
        <v/>
      </c>
      <c r="S1290">
        <f>IFERROR(O1290/N1290,0)</f>
        <v/>
      </c>
      <c r="T1290" t="n">
        <v>0</v>
      </c>
      <c r="V1290" t="n">
        <v>0</v>
      </c>
    </row>
    <row r="1291">
      <c r="A1291">
        <f>Skills!A20</f>
        <v/>
      </c>
      <c r="B1291">
        <f>Skills!B20</f>
        <v/>
      </c>
      <c r="C1291">
        <f>Inputs!$B$3&gt;=33</f>
        <v/>
      </c>
      <c r="D1291">
        <f>IF(Skills!C20=1,60+Inputs!$B$25+Inputs!$B$29,IF(Skills!C20=2,90+Inputs!$B$26+Inputs!$B$29,IF(Skills!C20=3,120+Inputs!$B$27+Inputs!$B$29,MAX(0,(Inputs!$B$3-100)*3)+Inputs!$B$28+Inputs!$B$29)))</f>
        <v/>
      </c>
      <c r="E1291">
        <f>INDEX(FactorTable!$B$2:$Y$301, MATCH(ROUND(MIN(300,MAX(1,D1291)),0), FactorTable!$A$2:$A$301,0), Skills!M20+1)</f>
        <v/>
      </c>
      <c r="F1291">
        <f>IF(Skills!N20=TRUE,(Skills!L20/10)*(E1291/1000),Skills!L20/10)+Skills!O20</f>
        <v/>
      </c>
      <c r="G1291">
        <f>Skills!G20*IF(Skills!H20&gt;0,Skills!I20/Skills!H20,1)</f>
        <v/>
      </c>
      <c r="H1291">
        <f>1-(1-Skills!J20/100)^Skills!K20</f>
        <v/>
      </c>
      <c r="I1291" t="inlineStr">
        <is>
          <t>1</t>
        </is>
      </c>
      <c r="J1291" t="inlineStr"/>
      <c r="K1291" t="inlineStr"/>
      <c r="L1291" t="inlineStr"/>
      <c r="M1291" t="inlineStr"/>
      <c r="N1291" t="inlineStr"/>
      <c r="O1291">
        <f>(1-Summary!$B$11)*T1291+Summary!$B$11*V1291</f>
        <v/>
      </c>
      <c r="P1291">
        <f>IF(B1308=0,0,O1291/B1308)</f>
        <v/>
      </c>
      <c r="Q1291" t="n">
        <v>0</v>
      </c>
      <c r="R1291" t="n">
        <v>0</v>
      </c>
      <c r="S1291">
        <f>IFERROR(O1291/N1291,0)</f>
        <v/>
      </c>
      <c r="T1291" t="n">
        <v>0</v>
      </c>
      <c r="V1291" t="n">
        <v>0</v>
      </c>
    </row>
    <row r="1292">
      <c r="A1292">
        <f>Skills!A21</f>
        <v/>
      </c>
      <c r="B1292">
        <f>Skills!B21</f>
        <v/>
      </c>
      <c r="C1292">
        <f>Inputs!$B$3&gt;=38</f>
        <v/>
      </c>
      <c r="D1292">
        <f>IF(Skills!C21=1,60+Inputs!$B$25+Inputs!$B$29,IF(Skills!C21=2,90+Inputs!$B$26+Inputs!$B$29,IF(Skills!C21=3,120+Inputs!$B$27+Inputs!$B$29,MAX(0,(Inputs!$B$3-100)*3)+Inputs!$B$28+Inputs!$B$29)))</f>
        <v/>
      </c>
      <c r="E1292">
        <f>INDEX(FactorTable!$B$2:$Y$301, MATCH(ROUND(MIN(300,MAX(1,D1292)),0), FactorTable!$A$2:$A$301,0), Skills!M21+1)</f>
        <v/>
      </c>
      <c r="F1292">
        <f>IF(Skills!N21=TRUE,(Skills!L21/10)*(E1292/1000),Skills!L21/10)+Skills!O21</f>
        <v/>
      </c>
      <c r="G1292">
        <f>Skills!G21*IF(Skills!H21&gt;0,Skills!I21/Skills!H21,1)</f>
        <v/>
      </c>
      <c r="H1292">
        <f>1-(1-Skills!J21/100)^Skills!K21</f>
        <v/>
      </c>
      <c r="I1292" t="inlineStr">
        <is>
          <t>1</t>
        </is>
      </c>
      <c r="J1292" t="inlineStr"/>
      <c r="K1292" t="inlineStr"/>
      <c r="L1292" t="inlineStr"/>
      <c r="M1292" t="inlineStr"/>
      <c r="N1292" t="inlineStr"/>
      <c r="O1292">
        <f>(1-Summary!$B$11)*T1292+Summary!$B$11*V1292</f>
        <v/>
      </c>
      <c r="P1292">
        <f>IF(B1308=0,0,O1292/B1308)</f>
        <v/>
      </c>
      <c r="Q1292" t="n">
        <v>0</v>
      </c>
      <c r="R1292" t="n">
        <v>0</v>
      </c>
      <c r="S1292">
        <f>IFERROR(O1292/N1292,0)</f>
        <v/>
      </c>
      <c r="T1292" t="n">
        <v>0</v>
      </c>
      <c r="V1292" t="n">
        <v>0</v>
      </c>
    </row>
    <row r="1293">
      <c r="A1293">
        <f>Skills!A22</f>
        <v/>
      </c>
      <c r="B1293">
        <f>Skills!B22</f>
        <v/>
      </c>
      <c r="C1293">
        <f>Inputs!$B$3&gt;=43</f>
        <v/>
      </c>
      <c r="D1293">
        <f>IF(Skills!C22=1,60+Inputs!$B$25+Inputs!$B$29,IF(Skills!C22=2,90+Inputs!$B$26+Inputs!$B$29,IF(Skills!C22=3,120+Inputs!$B$27+Inputs!$B$29,MAX(0,(Inputs!$B$3-100)*3)+Inputs!$B$28+Inputs!$B$29)))</f>
        <v/>
      </c>
      <c r="E1293">
        <f>INDEX(FactorTable!$B$2:$Y$301, MATCH(ROUND(MIN(300,MAX(1,D1293)),0), FactorTable!$A$2:$A$301,0), Skills!M22+1)</f>
        <v/>
      </c>
      <c r="F1293">
        <f>IF(Skills!N22=TRUE,(Skills!L22/10)*(E1293/1000),Skills!L22/10)+Skills!O22</f>
        <v/>
      </c>
      <c r="G1293">
        <f>Skills!G22*IF(Skills!H22&gt;0,Skills!I22/Skills!H22,1)</f>
        <v/>
      </c>
      <c r="H1293">
        <f>1-(1-Skills!J22/100)^Skills!K22</f>
        <v/>
      </c>
      <c r="I1293" t="inlineStr">
        <is>
          <t>1</t>
        </is>
      </c>
      <c r="J1293" t="inlineStr"/>
      <c r="K1293" t="inlineStr"/>
      <c r="L1293" t="inlineStr"/>
      <c r="M1293" t="inlineStr"/>
      <c r="N1293" t="inlineStr"/>
      <c r="O1293">
        <f>(1-Summary!$B$11)*T1293+Summary!$B$11*V1293</f>
        <v/>
      </c>
      <c r="P1293">
        <f>IF(B1308=0,0,O1293/B1308)</f>
        <v/>
      </c>
      <c r="Q1293" t="n">
        <v>0</v>
      </c>
      <c r="R1293" t="n">
        <v>0</v>
      </c>
      <c r="S1293">
        <f>IFERROR(O1293/N1293,0)</f>
        <v/>
      </c>
      <c r="T1293" t="n">
        <v>0</v>
      </c>
      <c r="V1293" t="n">
        <v>0</v>
      </c>
    </row>
    <row r="1294">
      <c r="A1294">
        <f>Skills!A23</f>
        <v/>
      </c>
      <c r="B1294">
        <f>Skills!B23</f>
        <v/>
      </c>
      <c r="C1294">
        <f>Inputs!$B$3&gt;=120</f>
        <v/>
      </c>
      <c r="D1294">
        <f>IF(Skills!C23=1,60+Inputs!$B$25+Inputs!$B$29,IF(Skills!C23=2,90+Inputs!$B$26+Inputs!$B$29,IF(Skills!C23=3,120+Inputs!$B$27+Inputs!$B$29,MAX(0,(Inputs!$B$3-100)*3)+Inputs!$B$28+Inputs!$B$29)))</f>
        <v/>
      </c>
      <c r="E1294">
        <f>INDEX(FactorTable!$B$2:$Y$301, MATCH(ROUND(MIN(300,MAX(1,D1294)),0), FactorTable!$A$2:$A$301,0), Skills!M23+1)</f>
        <v/>
      </c>
      <c r="F1294">
        <f>IF(Skills!N23=TRUE,(Skills!L23/10)*(E1294/1000),Skills!L23/10)+Skills!O23</f>
        <v/>
      </c>
      <c r="G1294">
        <f>Skills!G23*IF(Skills!H23&gt;0,Skills!I23/Skills!H23,1)</f>
        <v/>
      </c>
      <c r="H1294">
        <f>1-(1-Skills!J23/100)^Skills!K23</f>
        <v/>
      </c>
      <c r="I1294" t="inlineStr">
        <is>
          <t>1</t>
        </is>
      </c>
      <c r="J1294" t="inlineStr"/>
      <c r="K1294" t="inlineStr"/>
      <c r="L1294" t="inlineStr"/>
      <c r="M1294" t="inlineStr"/>
      <c r="N1294" t="inlineStr"/>
      <c r="O1294">
        <f>(1-Summary!$B$11)*T1294+Summary!$B$11*V1294</f>
        <v/>
      </c>
      <c r="P1294">
        <f>IF(B1308=0,0,O1294/B1308)</f>
        <v/>
      </c>
      <c r="Q1294" t="n">
        <v>0</v>
      </c>
      <c r="R1294" t="n">
        <v>0</v>
      </c>
      <c r="S1294">
        <f>IFERROR(O1294/N1294,0)</f>
        <v/>
      </c>
      <c r="T1294" t="n">
        <v>0</v>
      </c>
      <c r="V1294" t="n">
        <v>0</v>
      </c>
    </row>
    <row r="1295">
      <c r="A1295">
        <f>Skills!A24</f>
        <v/>
      </c>
      <c r="B1295">
        <f>Skills!B24</f>
        <v/>
      </c>
      <c r="C1295">
        <f>Inputs!$B$3&gt;=120</f>
        <v/>
      </c>
      <c r="D1295">
        <f>IF(Skills!C24=1,60+Inputs!$B$25+Inputs!$B$29,IF(Skills!C24=2,90+Inputs!$B$26+Inputs!$B$29,IF(Skills!C24=3,120+Inputs!$B$27+Inputs!$B$29,MAX(0,(Inputs!$B$3-100)*3)+Inputs!$B$28+Inputs!$B$29)))</f>
        <v/>
      </c>
      <c r="E1295">
        <f>INDEX(FactorTable!$B$2:$Y$301, MATCH(ROUND(MIN(300,MAX(1,D1295)),0), FactorTable!$A$2:$A$301,0), Skills!M24+1)</f>
        <v/>
      </c>
      <c r="F1295">
        <f>IF(Skills!N24=TRUE,(Skills!L24/10)*(E1295/1000),Skills!L24/10)+Skills!O24</f>
        <v/>
      </c>
      <c r="G1295">
        <f>Skills!G24*IF(Skills!H24&gt;0,Skills!I24/Skills!H24,1)</f>
        <v/>
      </c>
      <c r="H1295">
        <f>1-(1-Skills!J24/100)^Skills!K24</f>
        <v/>
      </c>
      <c r="I1295" t="inlineStr">
        <is>
          <t>1</t>
        </is>
      </c>
      <c r="J1295" t="inlineStr"/>
      <c r="K1295" t="inlineStr"/>
      <c r="L1295" t="inlineStr"/>
      <c r="M1295" t="inlineStr"/>
      <c r="N1295" t="inlineStr"/>
      <c r="O1295">
        <f>(1-Summary!$B$11)*T1295+Summary!$B$11*V1295</f>
        <v/>
      </c>
      <c r="P1295">
        <f>IF(B1308=0,0,O1295/B1308)</f>
        <v/>
      </c>
      <c r="Q1295" t="n">
        <v>0</v>
      </c>
      <c r="R1295" t="n">
        <v>0</v>
      </c>
      <c r="S1295">
        <f>IFERROR(O1295/N1295,0)</f>
        <v/>
      </c>
      <c r="T1295" t="n">
        <v>0</v>
      </c>
      <c r="V1295" t="n">
        <v>0</v>
      </c>
    </row>
    <row r="1297">
      <c r="A1297" t="inlineStr">
        <is>
          <t>Attack% Bucket Multiplier</t>
        </is>
      </c>
      <c r="B1297">
        <f>(1+(((C1284=TRUE)*F1284*MIN(1,Skills!T13*(Skills!J13/100)*B1302))+((C1289=TRUE)*F1289*IF(AND(Inputs!$B$38&lt;&gt;"pvp",Inputs!$B$43&gt;0),(((R1289-1)*(Skills!T18*(1+Inputs!$B$34/100))+MIN((Skills!T18*(1+Inputs!$B$34/100)),MAX(0,Inputs!$B$43-((R1289-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98">
      <c r="A1298" t="inlineStr">
        <is>
          <t>Global Crit Rate Bonus %</t>
        </is>
      </c>
      <c r="B1298" t="n">
        <v>0</v>
      </c>
    </row>
    <row r="1299">
      <c r="A1299" t="inlineStr">
        <is>
          <t>Attack Speed Buff Bonus %</t>
        </is>
      </c>
      <c r="B1299">
        <f>((C1290=TRUE)*F1290*IF(AND(Inputs!$B$38&lt;&gt;"pvp",Inputs!$B$43&gt;0),(((R1290-1)*(Skills!T19*(1+Inputs!$B$34/100))+MIN((Skills!T19*(1+Inputs!$B$34/100)),MAX(0,Inputs!$B$43-((R1290-1)*Skills!D19))))/Inputs!$B$43),IF(Inputs!$B$38="pvp",MIN((Skills!T19*(1+Inputs!$B$34/100)),15)/15,(Skills!T19*(1+Inputs!$B$34/100))/Skills!D19)))</f>
        <v/>
      </c>
    </row>
    <row r="1300">
      <c r="A1300" t="inlineStr">
        <is>
          <t>Actions Per Second</t>
        </is>
      </c>
      <c r="B1300">
        <f>1+MIN(150,150*(1-(1-(Inputs!$B$11+((C1291=TRUE)*(F1291-Calc!F20)))/150)*(1-B1299/150)))/100</f>
        <v/>
      </c>
    </row>
    <row r="1301">
      <c r="A1301" t="inlineStr">
        <is>
          <t>Skill + Buff Cast Rate</t>
        </is>
      </c>
      <c r="B1301">
        <f>IF(AND(Inputs!$B$38&lt;&gt;"pvp",Inputs!$B$43&gt;0),SUMPRODUCT((Skills!E2:E24=TRUE)*(C1273:C1295=TRUE)*R1273:R1295*Skills!F2:F24)/Inputs!$B$43,SUMPRODUCT((Skills!E2:E24=TRUE)*(C1273:C1295=TRUE)*Q1273:Q1295*Skills!F2:F24))</f>
        <v/>
      </c>
    </row>
    <row r="1302">
      <c r="A1302" t="inlineStr">
        <is>
          <t>Blast Casts Per Second</t>
        </is>
      </c>
      <c r="B1302">
        <f>MAX(0,B1300-B1301)</f>
        <v/>
      </c>
    </row>
    <row r="1303">
      <c r="A1303" t="inlineStr">
        <is>
          <t>Global Critical Damage Bonus % (unused)</t>
        </is>
      </c>
      <c r="B1303" t="n">
        <v>0</v>
      </c>
    </row>
    <row r="1304">
      <c r="A1304" t="inlineStr">
        <is>
          <t>Global Final Damage Bonus % (Divine Shield + Guardian + Divine Blessing + Greater Vessel of Light)</t>
        </is>
      </c>
      <c r="B1304">
        <f>((C1286=TRUE)*F1286*IF(AND(Inputs!$B$38&lt;&gt;"pvp",Inputs!$B$43&gt;0),(((R1286-1)*(Skills!T15*(1+Inputs!$B$34/100))+MIN((Skills!T15*(1+Inputs!$B$34/100)),MAX(0,Inputs!$B$43-((R1286-1)*Skills!D15))))/Inputs!$B$43),IF(Inputs!$B$38="pvp",MIN((Skills!T15*(1+Inputs!$B$34/100)),15)/15,(Skills!T15*(1+Inputs!$B$34/100))/Skills!D15)))+((C1287=TRUE)*F1287*IF(AND(Inputs!$B$38&lt;&gt;"pvp",Inputs!$B$43&gt;0),(((R1287-1)*(Skills!T16*(1+Inputs!$B$34/100))+MIN((Skills!T16*(1+Inputs!$B$34/100)),MAX(0,Inputs!$B$43-((R1287-1)*Skills!D16))))/Inputs!$B$43),IF(Inputs!$B$38="pvp",MIN((Skills!T16*(1+Inputs!$B$34/100)),15)/15,(Skills!T16*(1+Inputs!$B$34/100))/Skills!D16)))+((C1288=TRUE)*F1288*IF(AND(Inputs!$B$38&lt;&gt;"pvp",Inputs!$B$43&gt;0),(((R1288-1)*(Skills!T17*(1+Inputs!$B$34/100))+MIN((Skills!T17*(1+Inputs!$B$34/100)),MAX(0,Inputs!$B$43-((R1288-1)*Skills!D17))))/Inputs!$B$43),IF(Inputs!$B$38="pvp",MIN((Skills!T17*(1+Inputs!$B$34/100)),15)/15,(Skills!T17*(1+Inputs!$B$34/100))/Skills!D17)))+((C1285=TRUE)*F1285*MIN(1,Skills!T13*(Skills!J13/100)*B1302))</f>
        <v/>
      </c>
    </row>
    <row r="1305">
      <c r="A1305" t="inlineStr">
        <is>
          <t>Buff-Casting Startup Delay (s, fixed-duration only)</t>
        </is>
      </c>
      <c r="B1305">
        <f>IF(AND(Inputs!$B$38&lt;&gt;"pvp",Inputs!$B$43&gt;0),SUMPRODUCT((Skills!T2:T24&gt;0)*(Skills!E2:E24=TRUE)*(C1273:C1295=TRUE))/B1300,0)</f>
        <v/>
      </c>
    </row>
    <row r="1306">
      <c r="A1306" t="inlineStr">
        <is>
          <t>Boss-Only Total DPS (this block's swept value)</t>
        </is>
      </c>
      <c r="B1306">
        <f>SUM(T1273:T1295)</f>
        <v/>
      </c>
    </row>
    <row r="1307">
      <c r="A1307" t="inlineStr">
        <is>
          <t>Normal-Only Total DPS (this block's swept value)</t>
        </is>
      </c>
      <c r="B1307">
        <f>SUM(V1273:V1295)</f>
        <v/>
      </c>
    </row>
    <row r="1308">
      <c r="A1308" s="6" t="inlineStr">
        <is>
          <t>TOTAL DPS</t>
        </is>
      </c>
      <c r="B1308" s="6">
        <f>SUM(O1273:O1295)</f>
        <v/>
      </c>
    </row>
    <row r="1311">
      <c r="A1311" s="6" t="inlineStr">
        <is>
          <t>Stat: Hexagon Necklace (Equip)</t>
        </is>
      </c>
    </row>
    <row r="1312">
      <c r="A1312" s="5" t="inlineStr">
        <is>
          <t>Key</t>
        </is>
      </c>
      <c r="B1312" s="5" t="inlineStr">
        <is>
          <t>Name</t>
        </is>
      </c>
      <c r="C1312" s="5" t="inlineStr">
        <is>
          <t>Unlocked</t>
        </is>
      </c>
      <c r="D1312" s="5" t="inlineStr">
        <is>
          <t>InputLevel</t>
        </is>
      </c>
      <c r="E1312" s="5" t="inlineStr">
        <is>
          <t>Factor</t>
        </is>
      </c>
      <c r="F1312" s="5" t="inlineStr">
        <is>
          <t>CoefficientPercent</t>
        </is>
      </c>
      <c r="G1312" s="5" t="inlineStr">
        <is>
          <t>EffectiveHits</t>
        </is>
      </c>
      <c r="H1312" s="5" t="inlineStr">
        <is>
          <t>ProcProbability</t>
        </is>
      </c>
      <c r="I1312" s="5" t="inlineStr">
        <is>
          <t>MapleHeroMultiplier</t>
        </is>
      </c>
      <c r="J1312" s="5" t="inlineStr">
        <is>
          <t>BaseDamage</t>
        </is>
      </c>
      <c r="K1312" s="5" t="inlineStr">
        <is>
          <t>BaseHitDamage</t>
        </is>
      </c>
      <c r="L1312" s="5" t="inlineStr">
        <is>
          <t>NonCritAvg</t>
        </is>
      </c>
      <c r="M1312" s="5" t="inlineStr">
        <is>
          <t>CritAvg</t>
        </is>
      </c>
      <c r="N1312" s="5" t="inlineStr">
        <is>
          <t>ExpectedDamage(perHit)</t>
        </is>
      </c>
      <c r="O1312" s="5" t="inlineStr">
        <is>
          <t>DPS</t>
        </is>
      </c>
      <c r="P1312" s="5" t="inlineStr">
        <is>
          <t>% of Total</t>
        </is>
      </c>
      <c r="Q1312" s="5" t="inlineStr">
        <is>
          <t>InvCooldown</t>
        </is>
      </c>
      <c r="R1312" s="5" t="inlineStr">
        <is>
          <t>CastsInFight</t>
        </is>
      </c>
      <c r="S1312" s="5" t="inlineStr">
        <is>
          <t>HitRate(perSec)</t>
        </is>
      </c>
      <c r="U1312" t="inlineStr">
        <is>
          <t>helpers</t>
        </is>
      </c>
    </row>
    <row r="1313">
      <c r="A1313">
        <f>Skills!A2</f>
        <v/>
      </c>
      <c r="B1313">
        <f>Skills!B2</f>
        <v/>
      </c>
      <c r="C1313">
        <f>Inputs!$B$3&gt;=100</f>
        <v/>
      </c>
      <c r="D1313" t="inlineStr"/>
      <c r="E1313" t="inlineStr"/>
      <c r="F1313">
        <f>U1315+Skills!O2</f>
        <v/>
      </c>
      <c r="G1313">
        <f>Skills!G2*IF(Skills!H2&gt;0,Skills!I2/Skills!H2,1)</f>
        <v/>
      </c>
      <c r="H1313">
        <f>1-(1-Skills!J2/100)^Skills!K2</f>
        <v/>
      </c>
      <c r="I1313" t="inlineStr">
        <is>
          <t>1</t>
        </is>
      </c>
      <c r="J1313">
        <f>((Inputs!$B$6*(1+Inputs!$B$7/100))+(((Inputs!$B$12*(1+Inputs!$B$13/100))-(Inputs!$B$12*(1+Inputs!$B$13/100)))+0.25*(Inputs!$B$14-Inputs!$B$14))*(1+Inputs!$B$7/100))*(F1313/100)</f>
        <v/>
      </c>
      <c r="K1313">
        <f>J1313*(1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1313)</f>
        <v/>
      </c>
      <c r="L1313">
        <f>K1313*(MIN(Inputs!$B$22+((C1333=TRUE)*(F1333-Calc!F22)),(Inputs!$B$23+((C1335=TRUE)*(F1335-Calc!F24))+(IF(ArtifactsInput!$M$15,CHOOSE(ArtifactsInput!$N$15+1,25,30,35,40,45,50)/100*(Inputs!$B$11-Inputs!$B$11),0))))/100+(Inputs!$B$23+((C1335=TRUE)*(F1335-Calc!F24))+(IF(ArtifactsInput!$M$15,CHOOSE(ArtifactsInput!$N$15+1,25,30,35,40,45,50)/100*(Inputs!$B$11-Inputs!$B$11),0)))/100)/2</f>
        <v/>
      </c>
      <c r="M1313">
        <f>L1313*(1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3">
        <f>L1313*(1-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1313*(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3">
        <f>(1-Summary!$B$11)*T1313+Summary!$B$11*V1313</f>
        <v/>
      </c>
      <c r="P1313">
        <f>IF(B1348=0,0,O1313/B1348)</f>
        <v/>
      </c>
      <c r="Q1313" t="n">
        <v>0</v>
      </c>
      <c r="R1313" t="n">
        <v>0</v>
      </c>
      <c r="S1313">
        <f>IFERROR(O1313/N1313,0)</f>
        <v/>
      </c>
      <c r="T1313">
        <f>IF(C1313,(Skills!G2*N1313*B1342)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1313*(1-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1313*(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1313*(1-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1313*(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3">
        <f>MAX(0,(Inputs!$B$3-100)*3)+Inputs!$B$28+Inputs!$B$29</f>
        <v/>
      </c>
      <c r="V1313">
        <f>IF(C1313,(Skills!G2*N1313*B1342)*IF(Inputs!$B$38="pvp",1,(1+(Inputs!$B$21+Skills!Q2+(IF(ArtifactsInput!$M$33,CHOOSE(ArtifactsInput!$N$33+1,30,36,42,48,54,60),0))+(IF(AND(ArtifactsInput!$M$35,Inputs!$B$4&lt;&gt;"Chapter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4">
      <c r="A1314">
        <f>Skills!A3</f>
        <v/>
      </c>
      <c r="B1314">
        <f>Skills!B3</f>
        <v/>
      </c>
      <c r="C1314">
        <f>Inputs!$B$3&gt;=50</f>
        <v/>
      </c>
      <c r="D1314">
        <f>IF(Skills!C3=1,60+Inputs!$B$25+Inputs!$B$29,IF(Skills!C3=2,90+Inputs!$B$26+Inputs!$B$29,IF(Skills!C3=3,120+Inputs!$B$27+Inputs!$B$29,MAX(0,(Inputs!$B$3-100)*3)+Inputs!$B$28+Inputs!$B$29)))</f>
        <v/>
      </c>
      <c r="E1314">
        <f>INDEX(FactorTable!$B$2:$Y$301, MATCH(ROUND(MIN(300,MAX(1,D1314)),0), FactorTable!$A$2:$A$301,0), Skills!M3+1)</f>
        <v/>
      </c>
      <c r="F1314">
        <f>IF(Skills!N3=TRUE,(Skills!L3/10)*(E1314/1000),Skills!L3/10)+Skills!O3</f>
        <v/>
      </c>
      <c r="G1314" t="inlineStr"/>
      <c r="H1314" t="inlineStr"/>
      <c r="I1314" t="inlineStr">
        <is>
          <t>1</t>
        </is>
      </c>
      <c r="J1314" t="inlineStr"/>
      <c r="K1314" t="inlineStr"/>
      <c r="L1314" t="inlineStr"/>
      <c r="M1314" t="inlineStr"/>
      <c r="N1314" t="inlineStr"/>
      <c r="O1314" t="inlineStr"/>
      <c r="P1314" t="inlineStr"/>
      <c r="Q1314" t="inlineStr"/>
      <c r="R1314" t="inlineStr"/>
      <c r="S1314" t="inlineStr"/>
      <c r="U1314">
        <f>INDEX(FactorTable!$B$2:$Y$301, MATCH(ROUND(MIN(300,MAX(1,U1313)),0), FactorTable!$A$2:$A$301,0), 22)</f>
        <v/>
      </c>
    </row>
    <row r="1315">
      <c r="A1315">
        <f>Skills!A4</f>
        <v/>
      </c>
      <c r="B1315">
        <f>Skills!B4</f>
        <v/>
      </c>
      <c r="C1315">
        <f>Inputs!$B$3&gt;=35</f>
        <v/>
      </c>
      <c r="D1315">
        <f>IF(Skills!C4=1,60+Inputs!$B$25+Inputs!$B$29,IF(Skills!C4=2,90+Inputs!$B$26+Inputs!$B$29,IF(Skills!C4=3,120+Inputs!$B$27+Inputs!$B$29,MAX(0,(Inputs!$B$3-100)*3)+Inputs!$B$28+Inputs!$B$29)))</f>
        <v/>
      </c>
      <c r="E1315">
        <f>INDEX(FactorTable!$B$2:$Y$301, MATCH(ROUND(MIN(300,MAX(1,D1315)),0), FactorTable!$A$2:$A$301,0), Skills!M4+1)</f>
        <v/>
      </c>
      <c r="F1315">
        <f>IF(Skills!N4=TRUE,(Skills!L4/10)*(E1315/1000),Skills!L4/10)+Skills!O4</f>
        <v/>
      </c>
      <c r="G1315">
        <f>Skills!G4*IF(Skills!H4&gt;0,Skills!I4/Skills!H4,1)</f>
        <v/>
      </c>
      <c r="H1315">
        <f>1-(1-Skills!J4/100)^Skills!K4</f>
        <v/>
      </c>
      <c r="I1315" t="inlineStr">
        <is>
          <t>1</t>
        </is>
      </c>
      <c r="J1315">
        <f>((Inputs!$B$6*(1+Inputs!$B$7/100))+(((Inputs!$B$12*(1+Inputs!$B$13/100))-(Inputs!$B$12*(1+Inputs!$B$13/100)))+0.25*(Inputs!$B$14-Inputs!$B$14))*(1+Inputs!$B$7/100))*(F1315/100)</f>
        <v/>
      </c>
      <c r="K1315">
        <f>J1315*(1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1323=TRUE,F1323,0)/100)*(1+(IF(Skills!A4="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1315)</f>
        <v/>
      </c>
      <c r="L1315">
        <f>K1315*(MIN(Inputs!$B$22+((C1333=TRUE)*(F1333-Calc!F22)),(Inputs!$B$23+((C1335=TRUE)*(F1335-Calc!F24))+(IF(ArtifactsInput!$M$15,CHOOSE(ArtifactsInput!$N$15+1,25,30,35,40,45,50)/100*(Inputs!$B$11-Inputs!$B$11),0))))/100+(Inputs!$B$23+((C1335=TRUE)*(F1335-Calc!F24))+(IF(ArtifactsInput!$M$15,CHOOSE(ArtifactsInput!$N$15+1,25,30,35,40,45,50)/100*(Inputs!$B$11-Inputs!$B$11),0)))/100)/2</f>
        <v/>
      </c>
      <c r="M1315">
        <f>L1315*(1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5">
        <f>L1315*(1-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1315*(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5">
        <f>(1-Summary!$B$11)*T1315+Summary!$B$11*V1315</f>
        <v/>
      </c>
      <c r="P1315">
        <f>IF(B1348=0,0,O1315/B1348)</f>
        <v/>
      </c>
      <c r="Q1315">
        <f>IFERROR(1/(IF(Inputs!$B$38="pvp",15,MAX(0.1,Skills!D4-IF(Skills!E4=TRUE,Inputs!$B$32,0)))*(1-IF(AND(ArtifactsInput!$M$27,Inputs!$B$4="Chapter Hunt"),CHOOSE(ArtifactsInput!$N$27+1,20,24,28,32,36,40),0)/100)),0)</f>
        <v/>
      </c>
      <c r="R1315">
        <f>IF(AND(Inputs!$B$38&lt;&gt;"pvp",Inputs!$B$43&gt;0),IF(MAX(0,Inputs!$B$43-B1345)&lt;=0,0,(INT(MAX(0,Inputs!$B$43-B1345)/(IF(Inputs!$B$38="pvp",15,MAX(0.1,Skills!D4-IF(Skills!E4=TRUE,Inputs!$B$32,0)))*(1-IF(AND(ArtifactsInput!$M$27,Inputs!$B$4="Chapter Hunt"),CHOOSE(ArtifactsInput!$N$27+1,20,24,28,32,36,40),0)/100)))+1)),0)</f>
        <v/>
      </c>
      <c r="S1315">
        <f>IFERROR(O1315/N1315,0)</f>
        <v/>
      </c>
      <c r="T1315">
        <f>IF(C1315,(H1315*N1315*IF(AND(Inputs!$B$38&lt;&gt;"pvp",Inputs!$B$43&gt;0),((Skills!G4*((R1315-1)*IF(Skills!H4&gt;0,Skills!I4/Skills!H4,1)+IF(Skills!H4&gt;0,MIN(Skills!I4,MAX(0,MAX(0,Inputs!$B$43-B1345)-((R1315-1)*(IF(Inputs!$B$38="pvp",15,MAX(0.1,Skills!D4-IF(Skills!E4=TRUE,Inputs!$B$32,0)))*(1-IF(AND(ArtifactsInput!$M$27,Inputs!$B$4="Chapter Hunt"),CHOOSE(ArtifactsInput!$N$27+1,20,24,28,32,36,40),0)/100)))))/Skills!H4,1)))/Inputs!$B$43),G1315*Q1315)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1315*(1-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1315*(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1315*(1-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1315*(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5">
        <f>290*U1314/1000</f>
        <v/>
      </c>
      <c r="V1315">
        <f>IF(C1315,(H1315*N1315*IF(AND(Inputs!$B$38&lt;&gt;"pvp",Inputs!$B$43&gt;0),((Skills!G4*((R1315-1)*IF(Skills!H4&gt;0,Skills!I4/Skills!H4,1)+IF(Skills!H4&gt;0,MIN(Skills!I4,MAX(0,MAX(0,Inputs!$B$43-B1345)-((R1315-1)*(IF(Inputs!$B$38="pvp",15,MAX(0.1,Skills!D4-IF(Skills!E4=TRUE,Inputs!$B$32,0)))*(1-IF(AND(ArtifactsInput!$M$27,Inputs!$B$4="Chapter Hunt"),CHOOSE(ArtifactsInput!$N$27+1,20,24,28,32,36,40),0)/100)))))/Skills!H4,1)))/Inputs!$B$43),G1315*Q1315))*IF(Inputs!$B$38="pvp",1,(1+(Inputs!$B$21+Skills!Q4+(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6">
      <c r="A1316">
        <f>Skills!A5</f>
        <v/>
      </c>
      <c r="B1316">
        <f>Skills!B5</f>
        <v/>
      </c>
      <c r="C1316">
        <f>Inputs!$B$3&gt;=66</f>
        <v/>
      </c>
      <c r="D1316">
        <f>IF(Skills!C5=1,60+Inputs!$B$25+Inputs!$B$29,IF(Skills!C5=2,90+Inputs!$B$26+Inputs!$B$29,IF(Skills!C5=3,120+Inputs!$B$27+Inputs!$B$29,MAX(0,(Inputs!$B$3-100)*3)+Inputs!$B$28+Inputs!$B$29)))</f>
        <v/>
      </c>
      <c r="E1316">
        <f>INDEX(FactorTable!$B$2:$Y$301, MATCH(ROUND(MIN(300,MAX(1,D1316)),0), FactorTable!$A$2:$A$301,0), Skills!M5+1)</f>
        <v/>
      </c>
      <c r="F1316">
        <f>IF(Skills!N5=TRUE,(Skills!L5/10)*(E1316/1000),Skills!L5/10)+Skills!O5</f>
        <v/>
      </c>
      <c r="G1316">
        <f>Skills!G5*IF(Skills!H5&gt;0,Skills!I5/Skills!H5,1)</f>
        <v/>
      </c>
      <c r="H1316">
        <f>1-(1-Skills!J5/100)^Skills!K5</f>
        <v/>
      </c>
      <c r="I1316" t="inlineStr">
        <is>
          <t>1</t>
        </is>
      </c>
      <c r="J1316">
        <f>((Inputs!$B$6*(1+Inputs!$B$7/100))+(((Inputs!$B$12*(1+Inputs!$B$13/100))-(Inputs!$B$12*(1+Inputs!$B$13/100)))+0.25*(Inputs!$B$14-Inputs!$B$14))*(1+Inputs!$B$7/100))*(F1316/100)</f>
        <v/>
      </c>
      <c r="K1316">
        <f>J1316*(1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1323=TRUE,F1323,0)/100)*(1+(IF(Skills!A5="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1316)</f>
        <v/>
      </c>
      <c r="L1316">
        <f>K1316*(MIN(Inputs!$B$22+((C1333=TRUE)*(F1333-Calc!F22)),(Inputs!$B$23+((C1335=TRUE)*(F1335-Calc!F24))+(IF(ArtifactsInput!$M$15,CHOOSE(ArtifactsInput!$N$15+1,25,30,35,40,45,50)/100*(Inputs!$B$11-Inputs!$B$11),0))))/100+(Inputs!$B$23+((C1335=TRUE)*(F1335-Calc!F24))+(IF(ArtifactsInput!$M$15,CHOOSE(ArtifactsInput!$N$15+1,25,30,35,40,45,50)/100*(Inputs!$B$11-Inputs!$B$11),0)))/100)/2</f>
        <v/>
      </c>
      <c r="M1316">
        <f>L1316*(1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6">
        <f>L1316*(1-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1316*(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6">
        <f>(1-Summary!$B$11)*T1316+Summary!$B$11*V1316</f>
        <v/>
      </c>
      <c r="P1316">
        <f>IF(B1348=0,0,O1316/B1348)</f>
        <v/>
      </c>
      <c r="Q1316">
        <f>IFERROR(1/(IF(Inputs!$B$38="pvp",15,MAX(0.1,Skills!D5-IF(Skills!E5=TRUE,Inputs!$B$32,0)))*(1-IF(AND(ArtifactsInput!$M$27,Inputs!$B$4="Chapter Hunt"),CHOOSE(ArtifactsInput!$N$27+1,20,24,28,32,36,40),0)/100)),0)</f>
        <v/>
      </c>
      <c r="R1316">
        <f>IF(AND(Inputs!$B$38&lt;&gt;"pvp",Inputs!$B$43&gt;0),IF(MAX(0,Inputs!$B$43-B1345)&lt;=0,0,(INT(MAX(0,Inputs!$B$43-B1345)/(IF(Inputs!$B$38="pvp",15,MAX(0.1,Skills!D5-IF(Skills!E5=TRUE,Inputs!$B$32,0)))*(1-IF(AND(ArtifactsInput!$M$27,Inputs!$B$4="Chapter Hunt"),CHOOSE(ArtifactsInput!$N$27+1,20,24,28,32,36,40),0)/100)))+1)),0)</f>
        <v/>
      </c>
      <c r="S1316">
        <f>IFERROR(O1316/N1316,0)</f>
        <v/>
      </c>
      <c r="T1316">
        <f>IF(C1316,(H1316*N1316*IF(AND(Inputs!$B$38&lt;&gt;"pvp",Inputs!$B$43&gt;0),((Skills!G5*((R1316-1)*IF(Skills!H5&gt;0,Skills!I5/Skills!H5,1)+IF(Skills!H5&gt;0,MIN(Skills!I5,MAX(0,MAX(0,Inputs!$B$43-B1345)-((R1316-1)*(IF(Inputs!$B$38="pvp",15,MAX(0.1,Skills!D5-IF(Skills!E5=TRUE,Inputs!$B$32,0)))*(1-IF(AND(ArtifactsInput!$M$27,Inputs!$B$4="Chapter Hunt"),CHOOSE(ArtifactsInput!$N$27+1,20,24,28,32,36,40),0)/100)))))/Skills!H5,1)))/Inputs!$B$43),G1316*Q1316)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1316*(1-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1316*(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1316*(1-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1316*(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6">
        <f>IF(C1316,(H1316*N1316*IF(AND(Inputs!$B$38&lt;&gt;"pvp",Inputs!$B$43&gt;0),((Skills!G5*((R1316-1)*IF(Skills!H5&gt;0,Skills!I5/Skills!H5,1)+IF(Skills!H5&gt;0,MIN(Skills!I5,MAX(0,MAX(0,Inputs!$B$43-B1345)-((R1316-1)*(IF(Inputs!$B$38="pvp",15,MAX(0.1,Skills!D5-IF(Skills!E5=TRUE,Inputs!$B$32,0)))*(1-IF(AND(ArtifactsInput!$M$27,Inputs!$B$4="Chapter Hunt"),CHOOSE(ArtifactsInput!$N$27+1,20,24,28,32,36,40),0)/100)))))/Skills!H5,1)))/Inputs!$B$43),G1316*Q1316))*IF(Inputs!$B$38="pvp",1,(1+(Inputs!$B$21+Skills!Q5+(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7">
      <c r="A1317">
        <f>Skills!A6</f>
        <v/>
      </c>
      <c r="B1317">
        <f>Skills!B6</f>
        <v/>
      </c>
      <c r="C1317">
        <f>Inputs!$B$3&gt;=103</f>
        <v/>
      </c>
      <c r="D1317">
        <f>IF(Skills!C6=1,60+Inputs!$B$25+Inputs!$B$29,IF(Skills!C6=2,90+Inputs!$B$26+Inputs!$B$29,IF(Skills!C6=3,120+Inputs!$B$27+Inputs!$B$29,MAX(0,(Inputs!$B$3-100)*3)+Inputs!$B$28+Inputs!$B$29)))</f>
        <v/>
      </c>
      <c r="E1317">
        <f>INDEX(FactorTable!$B$2:$Y$301, MATCH(ROUND(MIN(300,MAX(1,D1317)),0), FactorTable!$A$2:$A$301,0), Skills!M6+1)</f>
        <v/>
      </c>
      <c r="F1317">
        <f>IF(Skills!N6=TRUE,(Skills!L6/10)*(E1317/1000),Skills!L6/10)+Skills!O6</f>
        <v/>
      </c>
      <c r="G1317">
        <f>Skills!G6*IF(Skills!H6&gt;0,Skills!I6/Skills!H6,1)</f>
        <v/>
      </c>
      <c r="H1317">
        <f>1-(1-Skills!J6/100)^Skills!K6</f>
        <v/>
      </c>
      <c r="I1317" t="inlineStr">
        <is>
          <t>1</t>
        </is>
      </c>
      <c r="J1317">
        <f>((Inputs!$B$6*(1+Inputs!$B$7/100))+(((Inputs!$B$12*(1+Inputs!$B$13/100))-(Inputs!$B$12*(1+Inputs!$B$13/100)))+0.25*(Inputs!$B$14-Inputs!$B$14))*(1+Inputs!$B$7/100))*(F1317/100)</f>
        <v/>
      </c>
      <c r="K1317">
        <f>J1317*(1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1317)</f>
        <v/>
      </c>
      <c r="L1317">
        <f>K1317*(MIN(Inputs!$B$22+((C1333=TRUE)*(F1333-Calc!F22)),(Inputs!$B$23+((C1335=TRUE)*(F1335-Calc!F24))+(IF(ArtifactsInput!$M$15,CHOOSE(ArtifactsInput!$N$15+1,25,30,35,40,45,50)/100*(Inputs!$B$11-Inputs!$B$11),0))))/100+(Inputs!$B$23+((C1335=TRUE)*(F1335-Calc!F24))+(IF(ArtifactsInput!$M$15,CHOOSE(ArtifactsInput!$N$15+1,25,30,35,40,45,50)/100*(Inputs!$B$11-Inputs!$B$11),0)))/100)/2</f>
        <v/>
      </c>
      <c r="M1317">
        <f>L1317*(1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7">
        <f>L1317*(1-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1317*(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7">
        <f>(1-Summary!$B$11)*T1317+Summary!$B$11*V1317</f>
        <v/>
      </c>
      <c r="P1317">
        <f>IF(B1348=0,0,O1317/B1348)</f>
        <v/>
      </c>
      <c r="Q1317">
        <f>IFERROR(1/(IF(Inputs!$B$38="pvp",15,MAX(0.1,Skills!D6-IF(Skills!E6=TRUE,Inputs!$B$32,0)))*(1-IF(AND(ArtifactsInput!$M$27,Inputs!$B$4="Chapter Hunt"),CHOOSE(ArtifactsInput!$N$27+1,20,24,28,32,36,40),0)/100)),0)</f>
        <v/>
      </c>
      <c r="R1317">
        <f>IF(AND(Inputs!$B$38&lt;&gt;"pvp",Inputs!$B$43&gt;0),IF(MAX(0,Inputs!$B$43-B1345)&lt;=0,0,(INT(MAX(0,Inputs!$B$43-B1345)/(IF(Inputs!$B$38="pvp",15,MAX(0.1,Skills!D6-IF(Skills!E6=TRUE,Inputs!$B$32,0)))*(1-IF(AND(ArtifactsInput!$M$27,Inputs!$B$4="Chapter Hunt"),CHOOSE(ArtifactsInput!$N$27+1,20,24,28,32,36,40),0)/100)))+1)),0)</f>
        <v/>
      </c>
      <c r="S1317">
        <f>IFERROR(O1317/N1317,0)</f>
        <v/>
      </c>
      <c r="T1317">
        <f>IF(C1317,(H1317*N1317*IF(AND(Inputs!$B$38&lt;&gt;"pvp",Inputs!$B$43&gt;0),((Skills!G6*((R1317-1)*IF(Skills!H6&gt;0,Skills!I6/Skills!H6,1)+IF(Skills!H6&gt;0,MIN(Skills!I6,MAX(0,MAX(0,Inputs!$B$43-B1345)-((R1317-1)*(IF(Inputs!$B$38="pvp",15,MAX(0.1,Skills!D6-IF(Skills!E6=TRUE,Inputs!$B$32,0)))*(1-IF(AND(ArtifactsInput!$M$27,Inputs!$B$4="Chapter Hunt"),CHOOSE(ArtifactsInput!$N$27+1,20,24,28,32,36,40),0)/100)))))/Skills!H6,1)))/Inputs!$B$43),G1317*Q1317)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1317*(1-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1317*(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1317*(1-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1317*(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7">
        <f>IF(C1317,(H1317*N1317*IF(AND(Inputs!$B$38&lt;&gt;"pvp",Inputs!$B$43&gt;0),((Skills!G6*((R1317-1)*IF(Skills!H6&gt;0,Skills!I6/Skills!H6,1)+IF(Skills!H6&gt;0,MIN(Skills!I6,MAX(0,MAX(0,Inputs!$B$43-B1345)-((R1317-1)*(IF(Inputs!$B$38="pvp",15,MAX(0.1,Skills!D6-IF(Skills!E6=TRUE,Inputs!$B$32,0)))*(1-IF(AND(ArtifactsInput!$M$27,Inputs!$B$4="Chapter Hunt"),CHOOSE(ArtifactsInput!$N$27+1,20,24,28,32,36,40),0)/100)))))/Skills!H6,1)))/Inputs!$B$43),G1317*Q1317))*IF(Inputs!$B$38="pvp",1,(1+(Inputs!$B$21+Skills!Q6+(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8">
      <c r="A1318">
        <f>Skills!A7</f>
        <v/>
      </c>
      <c r="B1318">
        <f>Skills!B7</f>
        <v/>
      </c>
      <c r="C1318">
        <f>Inputs!$B$3&gt;=107</f>
        <v/>
      </c>
      <c r="D1318">
        <f>IF(Skills!C7=1,60+Inputs!$B$25+Inputs!$B$29,IF(Skills!C7=2,90+Inputs!$B$26+Inputs!$B$29,IF(Skills!C7=3,120+Inputs!$B$27+Inputs!$B$29,MAX(0,(Inputs!$B$3-100)*3)+Inputs!$B$28+Inputs!$B$29)))</f>
        <v/>
      </c>
      <c r="E1318">
        <f>INDEX(FactorTable!$B$2:$Y$301, MATCH(ROUND(MIN(300,MAX(1,D1318)),0), FactorTable!$A$2:$A$301,0), Skills!M7+1)</f>
        <v/>
      </c>
      <c r="F1318">
        <f>IF(Skills!N7=TRUE,(Skills!L7/10)*(E1318/1000),Skills!L7/10)+Skills!O7</f>
        <v/>
      </c>
      <c r="G1318">
        <f>Skills!G7*IF(Skills!H7&gt;0,Skills!I7/Skills!H7,1)</f>
        <v/>
      </c>
      <c r="H1318">
        <f>1-(1-Skills!J7/100)^Skills!K7</f>
        <v/>
      </c>
      <c r="I1318" t="inlineStr">
        <is>
          <t>1</t>
        </is>
      </c>
      <c r="J1318">
        <f>((Inputs!$B$6*(1+Inputs!$B$7/100))+(((Inputs!$B$12*(1+Inputs!$B$13/100))-(Inputs!$B$12*(1+Inputs!$B$13/100)))+0.25*(Inputs!$B$14-Inputs!$B$14))*(1+Inputs!$B$7/100))*(F1318/100)</f>
        <v/>
      </c>
      <c r="K1318">
        <f>J1318*(1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1318)</f>
        <v/>
      </c>
      <c r="L1318">
        <f>K1318*(MIN(Inputs!$B$22+((C1333=TRUE)*(F1333-Calc!F22)),(Inputs!$B$23+((C1335=TRUE)*(F1335-Calc!F24))+(IF(ArtifactsInput!$M$15,CHOOSE(ArtifactsInput!$N$15+1,25,30,35,40,45,50)/100*(Inputs!$B$11-Inputs!$B$11),0))))/100+(Inputs!$B$23+((C1335=TRUE)*(F1335-Calc!F24))+(IF(ArtifactsInput!$M$15,CHOOSE(ArtifactsInput!$N$15+1,25,30,35,40,45,50)/100*(Inputs!$B$11-Inputs!$B$11),0)))/100)/2</f>
        <v/>
      </c>
      <c r="M1318">
        <f>L1318*(1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8">
        <f>L1318*(1-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1318*(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8">
        <f>(1-Summary!$B$11)*T1318+Summary!$B$11*V1318</f>
        <v/>
      </c>
      <c r="P1318">
        <f>IF(B1348=0,0,O1318/B1348)</f>
        <v/>
      </c>
      <c r="Q1318">
        <f>IFERROR(1/(IF(Inputs!$B$38="pvp",15,MAX(0.1,Skills!D7-IF(Skills!E7=TRUE,Inputs!$B$32,0)))*(1-IF(AND(ArtifactsInput!$M$27,Inputs!$B$4="Chapter Hunt"),CHOOSE(ArtifactsInput!$N$27+1,20,24,28,32,36,40),0)/100)),0)</f>
        <v/>
      </c>
      <c r="R1318">
        <f>IF(AND(Inputs!$B$38&lt;&gt;"pvp",Inputs!$B$43&gt;0),IF(MAX(0,Inputs!$B$43-B1345)&lt;=0,0,(INT(MAX(0,Inputs!$B$43-B1345)/(IF(Inputs!$B$38="pvp",15,MAX(0.1,Skills!D7-IF(Skills!E7=TRUE,Inputs!$B$32,0)))*(1-IF(AND(ArtifactsInput!$M$27,Inputs!$B$4="Chapter Hunt"),CHOOSE(ArtifactsInput!$N$27+1,20,24,28,32,36,40),0)/100)))+1)),0)</f>
        <v/>
      </c>
      <c r="S1318">
        <f>IFERROR(O1318/N1318,0)</f>
        <v/>
      </c>
      <c r="T1318">
        <f>IF(C1318,(H1318*N1318*IF(AND(Inputs!$B$38&lt;&gt;"pvp",Inputs!$B$43&gt;0),((Skills!G7*((R1318-1)*IF(Skills!H7&gt;0,Skills!I7/Skills!H7,1)+IF(Skills!H7&gt;0,MIN(Skills!I7,MAX(0,MAX(0,Inputs!$B$43-B1345)-((R1318-1)*(IF(Inputs!$B$38="pvp",15,MAX(0.1,Skills!D7-IF(Skills!E7=TRUE,Inputs!$B$32,0)))*(1-IF(AND(ArtifactsInput!$M$27,Inputs!$B$4="Chapter Hunt"),CHOOSE(ArtifactsInput!$N$27+1,20,24,28,32,36,40),0)/100)))))/Skills!H7,1)))/Inputs!$B$43),G1318*Q1318)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1318*(1-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1318*(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1318*(1-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1318*(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8">
        <f>IF(C1318,(H1318*N1318*IF(AND(Inputs!$B$38&lt;&gt;"pvp",Inputs!$B$43&gt;0),((Skills!G7*((R1318-1)*IF(Skills!H7&gt;0,Skills!I7/Skills!H7,1)+IF(Skills!H7&gt;0,MIN(Skills!I7,MAX(0,MAX(0,Inputs!$B$43-B1345)-((R1318-1)*(IF(Inputs!$B$38="pvp",15,MAX(0.1,Skills!D7-IF(Skills!E7=TRUE,Inputs!$B$32,0)))*(1-IF(AND(ArtifactsInput!$M$27,Inputs!$B$4="Chapter Hunt"),CHOOSE(ArtifactsInput!$N$27+1,20,24,28,32,36,40),0)/100)))))/Skills!H7,1)))/Inputs!$B$43),G1318*Q1318))*IF(Inputs!$B$38="pvp",1,(1+(Inputs!$B$21+Skills!Q7+(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9">
      <c r="A1319">
        <f>Skills!A8</f>
        <v/>
      </c>
      <c r="B1319">
        <f>Skills!B8</f>
        <v/>
      </c>
      <c r="C1319">
        <f>Inputs!$B$3&gt;=107</f>
        <v/>
      </c>
      <c r="D1319">
        <f>IF(Skills!C8=1,60+Inputs!$B$25+Inputs!$B$29,IF(Skills!C8=2,90+Inputs!$B$26+Inputs!$B$29,IF(Skills!C8=3,120+Inputs!$B$27+Inputs!$B$29,MAX(0,(Inputs!$B$3-100)*3)+Inputs!$B$28+Inputs!$B$29)))</f>
        <v/>
      </c>
      <c r="E1319">
        <f>INDEX(FactorTable!$B$2:$Y$301, MATCH(ROUND(MIN(300,MAX(1,D1319)),0), FactorTable!$A$2:$A$301,0), Skills!M8+1)</f>
        <v/>
      </c>
      <c r="F1319">
        <f>IF(Skills!N8=TRUE,(Skills!L8/10)*(E1319/1000),Skills!L8/10)+Skills!O8</f>
        <v/>
      </c>
      <c r="G1319">
        <f>Skills!G8*IF(Skills!H8&gt;0,Skills!I8/Skills!H8,1)</f>
        <v/>
      </c>
      <c r="H1319">
        <f>1-(1-Skills!J8/100)^Skills!K8</f>
        <v/>
      </c>
      <c r="I1319" t="inlineStr">
        <is>
          <t>1</t>
        </is>
      </c>
      <c r="J1319">
        <f>((Inputs!$B$6*(1+Inputs!$B$7/100))+(((Inputs!$B$12*(1+Inputs!$B$13/100))-(Inputs!$B$12*(1+Inputs!$B$13/100)))+0.25*(Inputs!$B$14-Inputs!$B$14))*(1+Inputs!$B$7/100))*(F1319/100)</f>
        <v/>
      </c>
      <c r="K1319">
        <f>J1319*(1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1319)</f>
        <v/>
      </c>
      <c r="L1319">
        <f>K1319*(MIN(Inputs!$B$22+((C1333=TRUE)*(F1333-Calc!F22)),(Inputs!$B$23+((C1335=TRUE)*(F1335-Calc!F24))+(IF(ArtifactsInput!$M$15,CHOOSE(ArtifactsInput!$N$15+1,25,30,35,40,45,50)/100*(Inputs!$B$11-Inputs!$B$11),0))))/100+(Inputs!$B$23+((C1335=TRUE)*(F1335-Calc!F24))+(IF(ArtifactsInput!$M$15,CHOOSE(ArtifactsInput!$N$15+1,25,30,35,40,45,50)/100*(Inputs!$B$11-Inputs!$B$11),0)))/100)/2</f>
        <v/>
      </c>
      <c r="M1319">
        <f>L1319*(1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9">
        <f>L1319*(1-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1319*(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9">
        <f>(1-Summary!$B$11)*T1319+Summary!$B$11*V1319</f>
        <v/>
      </c>
      <c r="P1319">
        <f>IF(B1348=0,0,O1319/B1348)</f>
        <v/>
      </c>
      <c r="Q1319">
        <f>IFERROR(1/(IF(Inputs!$B$38="pvp",15,MAX(0.1,Skills!D8-IF(Skills!E8=TRUE,Inputs!$B$32,0)))*(1-IF(AND(ArtifactsInput!$M$27,Inputs!$B$4="Chapter Hunt"),CHOOSE(ArtifactsInput!$N$27+1,20,24,28,32,36,40),0)/100)),0)</f>
        <v/>
      </c>
      <c r="R1319">
        <f>IF(AND(Inputs!$B$38&lt;&gt;"pvp",Inputs!$B$43&gt;0),IF(MAX(0,Inputs!$B$43-B1345)&lt;=0,0,(INT(MAX(0,Inputs!$B$43-B1345)/(IF(Inputs!$B$38="pvp",15,MAX(0.1,Skills!D8-IF(Skills!E8=TRUE,Inputs!$B$32,0)))*(1-IF(AND(ArtifactsInput!$M$27,Inputs!$B$4="Chapter Hunt"),CHOOSE(ArtifactsInput!$N$27+1,20,24,28,32,36,40),0)/100)))+1)),0)</f>
        <v/>
      </c>
      <c r="S1319">
        <f>IFERROR(O1319/N1319,0)</f>
        <v/>
      </c>
      <c r="T1319">
        <f>IF(C1319,(H1319*N1319*IF(AND(Inputs!$B$38&lt;&gt;"pvp",Inputs!$B$43&gt;0),((Skills!G8*((R1319-1)*IF(Skills!H8&gt;0,Skills!I8/Skills!H8,1)+IF(Skills!H8&gt;0,MIN(Skills!I8,MAX(0,MAX(0,Inputs!$B$43-B1345)-((R1319-1)*(IF(Inputs!$B$38="pvp",15,MAX(0.1,Skills!D8-IF(Skills!E8=TRUE,Inputs!$B$32,0)))*(1-IF(AND(ArtifactsInput!$M$27,Inputs!$B$4="Chapter Hunt"),CHOOSE(ArtifactsInput!$N$27+1,20,24,28,32,36,40),0)/100)))))/Skills!H8,1)))/Inputs!$B$43),G1319*Q1319)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1319*(1-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1319*(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1319*(1-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1319*(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19">
        <f>IF(C1319,(H1319*N1319*IF(AND(Inputs!$B$38&lt;&gt;"pvp",Inputs!$B$43&gt;0),((Skills!G8*((R1319-1)*IF(Skills!H8&gt;0,Skills!I8/Skills!H8,1)+IF(Skills!H8&gt;0,MIN(Skills!I8,MAX(0,MAX(0,Inputs!$B$43-B1345)-((R1319-1)*(IF(Inputs!$B$38="pvp",15,MAX(0.1,Skills!D8-IF(Skills!E8=TRUE,Inputs!$B$32,0)))*(1-IF(AND(ArtifactsInput!$M$27,Inputs!$B$4="Chapter Hunt"),CHOOSE(ArtifactsInput!$N$27+1,20,24,28,32,36,40),0)/100)))))/Skills!H8,1)))/Inputs!$B$43),G1319*Q1319))*IF(Inputs!$B$38="pvp",1,(1+(Inputs!$B$21+Skills!Q8+(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0">
      <c r="A1320">
        <f>Skills!A9</f>
        <v/>
      </c>
      <c r="B1320">
        <f>Skills!B9</f>
        <v/>
      </c>
      <c r="C1320">
        <f>Inputs!$B$3&gt;=125</f>
        <v/>
      </c>
      <c r="D1320">
        <f>IF(Skills!C9=1,60+Inputs!$B$25+Inputs!$B$29,IF(Skills!C9=2,90+Inputs!$B$26+Inputs!$B$29,IF(Skills!C9=3,120+Inputs!$B$27+Inputs!$B$29,MAX(0,(Inputs!$B$3-100)*3)+Inputs!$B$28+Inputs!$B$29)))</f>
        <v/>
      </c>
      <c r="E1320">
        <f>INDEX(FactorTable!$B$2:$Y$301, MATCH(ROUND(MIN(300,MAX(1,D1320)),0), FactorTable!$A$2:$A$301,0), Skills!M9+1)</f>
        <v/>
      </c>
      <c r="F1320">
        <f>IF(Skills!N9=TRUE,(Skills!L9/10)*(E1320/1000),Skills!L9/10)+Skills!O9</f>
        <v/>
      </c>
      <c r="G1320">
        <f>Skills!G9*IF(Skills!H9&gt;0,Skills!I9/Skills!H9,1)</f>
        <v/>
      </c>
      <c r="H1320">
        <f>1-(1-Skills!J9/100)^Skills!K9</f>
        <v/>
      </c>
      <c r="I1320" t="inlineStr">
        <is>
          <t>1</t>
        </is>
      </c>
      <c r="J1320">
        <f>((Inputs!$B$6*(1+Inputs!$B$7/100))+(((Inputs!$B$12*(1+Inputs!$B$13/100))-(Inputs!$B$12*(1+Inputs!$B$13/100)))+0.25*(Inputs!$B$14-Inputs!$B$14))*(1+Inputs!$B$7/100))*(F1320/100)</f>
        <v/>
      </c>
      <c r="K1320">
        <f>J1320*(1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1320)</f>
        <v/>
      </c>
      <c r="L1320">
        <f>K1320*(MIN(Inputs!$B$22+((C1333=TRUE)*(F1333-Calc!F22)),(Inputs!$B$23+((C1335=TRUE)*(F1335-Calc!F24))+(IF(ArtifactsInput!$M$15,CHOOSE(ArtifactsInput!$N$15+1,25,30,35,40,45,50)/100*(Inputs!$B$11-Inputs!$B$11),0))))/100+(Inputs!$B$23+((C1335=TRUE)*(F1335-Calc!F24))+(IF(ArtifactsInput!$M$15,CHOOSE(ArtifactsInput!$N$15+1,25,30,35,40,45,50)/100*(Inputs!$B$11-Inputs!$B$11),0)))/100)/2</f>
        <v/>
      </c>
      <c r="M1320">
        <f>L1320*(1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0">
        <f>L1320*(1-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1320*(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0">
        <f>(1-Summary!$B$11)*T1320+Summary!$B$11*V1320</f>
        <v/>
      </c>
      <c r="P1320">
        <f>IF(B1348=0,0,O1320/B1348)</f>
        <v/>
      </c>
      <c r="Q1320">
        <f>IFERROR(1/(IF(Inputs!$B$38="pvp",15,MAX(0.1,Skills!D9-IF(Skills!E9=TRUE,Inputs!$B$32,0)))*(1-IF(AND(ArtifactsInput!$M$27,Inputs!$B$4="Chapter Hunt"),CHOOSE(ArtifactsInput!$N$27+1,20,24,28,32,36,40),0)/100)),0)</f>
        <v/>
      </c>
      <c r="R1320">
        <f>IF(AND(Inputs!$B$38&lt;&gt;"pvp",Inputs!$B$43&gt;0),IF(MAX(0,Inputs!$B$43-B1345)&lt;=0,0,(INT(MAX(0,Inputs!$B$43-B1345)/(IF(Inputs!$B$38="pvp",15,MAX(0.1,Skills!D9-IF(Skills!E9=TRUE,Inputs!$B$32,0)))*(1-IF(AND(ArtifactsInput!$M$27,Inputs!$B$4="Chapter Hunt"),CHOOSE(ArtifactsInput!$N$27+1,20,24,28,32,36,40),0)/100)))+1)),0)</f>
        <v/>
      </c>
      <c r="S1320">
        <f>IFERROR(O1320/N1320,0)</f>
        <v/>
      </c>
      <c r="T1320">
        <f>IF(C1320,(H1320*N1320*IF(AND(Inputs!$B$38&lt;&gt;"pvp",Inputs!$B$43&gt;0),((Skills!G9*((R1320-1)*IF(Skills!H9&gt;0,Skills!I9/Skills!H9,1)+IF(Skills!H9&gt;0,MIN(Skills!I9,MAX(0,MAX(0,Inputs!$B$43-B1345)-((R1320-1)*(IF(Inputs!$B$38="pvp",15,MAX(0.1,Skills!D9-IF(Skills!E9=TRUE,Inputs!$B$32,0)))*(1-IF(AND(ArtifactsInput!$M$27,Inputs!$B$4="Chapter Hunt"),CHOOSE(ArtifactsInput!$N$27+1,20,24,28,32,36,40),0)/100)))))/Skills!H9,1)))/Inputs!$B$43),G1320*Q1320)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1320*(1-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1320*(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1320*(1-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1320*(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0">
        <f>IF(C1320,(H1320*N1320*IF(AND(Inputs!$B$38&lt;&gt;"pvp",Inputs!$B$43&gt;0),((Skills!G9*((R1320-1)*IF(Skills!H9&gt;0,Skills!I9/Skills!H9,1)+IF(Skills!H9&gt;0,MIN(Skills!I9,MAX(0,MAX(0,Inputs!$B$43-B1345)-((R1320-1)*(IF(Inputs!$B$38="pvp",15,MAX(0.1,Skills!D9-IF(Skills!E9=TRUE,Inputs!$B$32,0)))*(1-IF(AND(ArtifactsInput!$M$27,Inputs!$B$4="Chapter Hunt"),CHOOSE(ArtifactsInput!$N$27+1,20,24,28,32,36,40),0)/100)))))/Skills!H9,1)))/Inputs!$B$43),G1320*Q1320))*IF(Inputs!$B$38="pvp",1,(1+(Inputs!$B$21+Skills!Q9+(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1">
      <c r="A1321">
        <f>Skills!A10</f>
        <v/>
      </c>
      <c r="B1321">
        <f>Skills!B10</f>
        <v/>
      </c>
      <c r="C1321">
        <f>Inputs!$B$3&gt;=117</f>
        <v/>
      </c>
      <c r="D1321">
        <f>IF(Skills!C10=1,60+Inputs!$B$25+Inputs!$B$29,IF(Skills!C10=2,90+Inputs!$B$26+Inputs!$B$29,IF(Skills!C10=3,120+Inputs!$B$27+Inputs!$B$29,MAX(0,(Inputs!$B$3-100)*3)+Inputs!$B$28+Inputs!$B$29)))</f>
        <v/>
      </c>
      <c r="E1321">
        <f>INDEX(FactorTable!$B$2:$Y$301, MATCH(ROUND(MIN(300,MAX(1,D1321)),0), FactorTable!$A$2:$A$301,0), Skills!M10+1)</f>
        <v/>
      </c>
      <c r="F1321">
        <f>IF(Skills!N10=TRUE,(Skills!L10/10)*(E1321/1000),Skills!L10/10)+Skills!O10</f>
        <v/>
      </c>
      <c r="G1321">
        <f>Skills!G10*IF(Skills!H10&gt;0,Skills!I10/Skills!H10,1)</f>
        <v/>
      </c>
      <c r="H1321">
        <f>1-(1-Skills!J10/100)^Skills!K10</f>
        <v/>
      </c>
      <c r="I1321" t="inlineStr">
        <is>
          <t>1</t>
        </is>
      </c>
      <c r="J1321">
        <f>((Inputs!$B$6*(1+Inputs!$B$7/100))+(((Inputs!$B$12*(1+Inputs!$B$13/100))-(Inputs!$B$12*(1+Inputs!$B$13/100)))+0.25*(Inputs!$B$14-Inputs!$B$14))*(1+Inputs!$B$7/100))*(F1321/100)</f>
        <v/>
      </c>
      <c r="K1321">
        <f>J1321*(1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1321)</f>
        <v/>
      </c>
      <c r="L1321">
        <f>K1321*(MIN(Inputs!$B$22+((C1333=TRUE)*(F1333-Calc!F22)),(Inputs!$B$23+((C1335=TRUE)*(F1335-Calc!F24))+(IF(ArtifactsInput!$M$15,CHOOSE(ArtifactsInput!$N$15+1,25,30,35,40,45,50)/100*(Inputs!$B$11-Inputs!$B$11),0))))/100+(Inputs!$B$23+((C1335=TRUE)*(F1335-Calc!F24))+(IF(ArtifactsInput!$M$15,CHOOSE(ArtifactsInput!$N$15+1,25,30,35,40,45,50)/100*(Inputs!$B$11-Inputs!$B$11),0)))/100)/2</f>
        <v/>
      </c>
      <c r="M1321">
        <f>L1321*(1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1">
        <f>L1321*(1-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1">
        <f>(1-Summary!$B$11)*T1321+Summary!$B$11*V1321</f>
        <v/>
      </c>
      <c r="P1321">
        <f>IF(B1348=0,0,O1321/B1348)</f>
        <v/>
      </c>
      <c r="Q1321">
        <f>IFERROR(1/(IF(Inputs!$B$38="pvp",15,MAX(0.1,Skills!D10-IF(Skills!E10=TRUE,Inputs!$B$32,0)))*(1-IF(AND(ArtifactsInput!$M$27,Inputs!$B$4="Chapter Hunt"),CHOOSE(ArtifactsInput!$N$27+1,20,24,28,32,36,40),0)/100)),0)</f>
        <v/>
      </c>
      <c r="R1321">
        <f>IF(AND(Inputs!$B$38&lt;&gt;"pvp",Inputs!$B$43&gt;0),IF(MAX(0,Inputs!$B$43-B1345)&lt;=0,0,(INT(MAX(0,Inputs!$B$43-B1345)/(IF(Inputs!$B$38="pvp",15,MAX(0.1,Skills!D10-IF(Skills!E10=TRUE,Inputs!$B$32,0)))*(1-IF(AND(ArtifactsInput!$M$27,Inputs!$B$4="Chapter Hunt"),CHOOSE(ArtifactsInput!$N$27+1,20,24,28,32,36,40),0)/100)))+1)),0)</f>
        <v/>
      </c>
      <c r="S1321">
        <f>IFERROR(O1321/N1321,0)</f>
        <v/>
      </c>
      <c r="T1321">
        <f>IF(C1321,(H1321*N1321*IF(AND(Inputs!$B$38&lt;&gt;"pvp",Inputs!$B$43&gt;0),((Skills!G10*((R1321-1)*IF(Skills!H10&gt;0,Skills!I10/Skills!H10,1)+IF(Skills!H10&gt;0,MIN(Skills!I10,MAX(0,MAX(0,Inputs!$B$43-B1345)-((R1321-1)*(IF(Inputs!$B$38="pvp",15,MAX(0.1,Skills!D10-IF(Skills!E10=TRUE,Inputs!$B$32,0)))*(1-IF(AND(ArtifactsInput!$M$27,Inputs!$B$4="Chapter Hunt"),CHOOSE(ArtifactsInput!$N$27+1,20,24,28,32,36,40),0)/100)))))/Skills!H10,1)))/Inputs!$B$43),G1321*Q1321)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1321*(1-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1321*(1-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1">
        <f>IF(C1321,(H1321*N1321*IF(AND(Inputs!$B$38&lt;&gt;"pvp",Inputs!$B$43&gt;0),((Skills!G10*((R1321-1)*IF(Skills!H10&gt;0,Skills!I10/Skills!H10,1)+IF(Skills!H10&gt;0,MIN(Skills!I10,MAX(0,MAX(0,Inputs!$B$43-B1345)-((R1321-1)*(IF(Inputs!$B$38="pvp",15,MAX(0.1,Skills!D10-IF(Skills!E10=TRUE,Inputs!$B$32,0)))*(1-IF(AND(ArtifactsInput!$M$27,Inputs!$B$4="Chapter Hunt"),CHOOSE(ArtifactsInput!$N$27+1,20,24,28,32,36,40),0)/100)))))/Skills!H10,1)))/Inputs!$B$43),G1321*Q1321))*IF(Inputs!$B$38="pvp",1,(1+(Inputs!$B$21+Skills!Q10+(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2">
      <c r="A1322">
        <f>Skills!A11</f>
        <v/>
      </c>
      <c r="B1322">
        <f>Skills!B11</f>
        <v/>
      </c>
      <c r="C1322">
        <f>Inputs!$B$3&gt;=63</f>
        <v/>
      </c>
      <c r="D1322">
        <f>IF(Skills!C11=1,60+Inputs!$B$25+Inputs!$B$29,IF(Skills!C11=2,90+Inputs!$B$26+Inputs!$B$29,IF(Skills!C11=3,120+Inputs!$B$27+Inputs!$B$29,MAX(0,(Inputs!$B$3-100)*3)+Inputs!$B$28+Inputs!$B$29)))</f>
        <v/>
      </c>
      <c r="E1322">
        <f>INDEX(FactorTable!$B$2:$Y$301, MATCH(ROUND(MIN(300,MAX(1,D1322)),0), FactorTable!$A$2:$A$301,0), Skills!M11+1)</f>
        <v/>
      </c>
      <c r="F1322">
        <f>IF(Skills!N11=TRUE,(Skills!L11/10)*(E1322/1000),Skills!L11/10)+Skills!O11</f>
        <v/>
      </c>
      <c r="G1322">
        <f>Skills!G11*IF(Skills!H11&gt;0,Skills!I11/Skills!H11,1)</f>
        <v/>
      </c>
      <c r="H1322">
        <f>1-(1-Skills!J11/100)^Skills!K11</f>
        <v/>
      </c>
      <c r="I1322" t="inlineStr">
        <is>
          <t>1</t>
        </is>
      </c>
      <c r="J1322">
        <f>((Inputs!$B$6*(1+Inputs!$B$7/100))+(((Inputs!$B$12*(1+Inputs!$B$13/100))-(Inputs!$B$12*(1+Inputs!$B$13/100)))+0.25*(Inputs!$B$14-Inputs!$B$14))*(1+Inputs!$B$7/100))*(F1322/100)</f>
        <v/>
      </c>
      <c r="K1322">
        <f>J1322*(1+((Inputs!$B$12*(1+Inputs!$B$13/100))*0.01+Inputs!$B$14*0.0025)/100)*(1+Inputs!$B$15/100)*(1+Inputs!$B$16/100)*(5000/(6000+Inputs!$B$42*(1-(Inputs!$B$19+0)/100)))*(1+(Inputs!$B$24+0+B1344)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1323=TRUE,F1323,0)/100)*(1+(IF(Skills!A11="BLAST",Inputs!$B$17+((C1332=TRUE)*(F1332-Calc!F21))+((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MIN(100,((Inputs!$B$9+0+B1338+(ArtifactsInput!$M$24-ArtifactsInput!$M$24)*CHOOSE(ArtifactsInput!$N$24+1,10,12,14,16,18,20)+IF(ArtifactsInput!$M$10,CHOOSE(ArtifactsInput!$N$10+1,15,18,21,24,27,30)*(IF(Inputs!$B$38="pvp",MIN(15,15)/15,IF(AND(Inputs!$B$38&lt;&gt;"pvp",Inputs!$B$43&gt;0),MIN(15,Inputs!$B$43)/(Inputs!$B$43),0))),0)))-100),0))*CHOOSE(ArtifactsInput!$N$42+1,0.6,0.72,0.84,0.96,1.08,1.2))),Inputs!$B$18+((C1334=TRUE)*(F1334-Calc!F23))+(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gt;=100),CHOOSE(ArtifactsInput!$N$42+1,40,48,56,64,72,80),0))))/100)*((1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1322)</f>
        <v/>
      </c>
      <c r="L1322">
        <f>K1322*(MIN(Inputs!$B$22+((C1333=TRUE)*(F1333-Calc!F22)),(Inputs!$B$23+((C1335=TRUE)*(F1335-Calc!F24))+(IF(ArtifactsInput!$M$15,CHOOSE(ArtifactsInput!$N$15+1,25,30,35,40,45,50)/100*(Inputs!$B$11-Inputs!$B$11),0))))/100+(Inputs!$B$23+((C1335=TRUE)*(F1335-Calc!F24))+(IF(ArtifactsInput!$M$15,CHOOSE(ArtifactsInput!$N$15+1,25,30,35,40,45,50)/100*(Inputs!$B$11-Inputs!$B$11),0)))/100)/2</f>
        <v/>
      </c>
      <c r="M1322">
        <f>L1322*(1+(Inputs!$B$10+0+B1343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22">
        <f>L1322*(1-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1322*(MIN((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22">
        <f>(1-Summary!$B$11)*T1322+Summary!$B$11*V1322</f>
        <v/>
      </c>
      <c r="P1322">
        <f>IF(B1348=0,0,O1322/B1348)</f>
        <v/>
      </c>
      <c r="Q1322">
        <f>IFERROR(1/(IF(Inputs!$B$38="pvp",15,MAX(0.1,Skills!D11-IF(Skills!E11=TRUE,Inputs!$B$32,0)))*(1-IF(AND(ArtifactsInput!$M$27,Inputs!$B$4="Chapter Hunt"),CHOOSE(ArtifactsInput!$N$27+1,20,24,28,32,36,40),0)/100)),0)</f>
        <v/>
      </c>
      <c r="R1322">
        <f>IF(AND(Inputs!$B$38&lt;&gt;"pvp",Inputs!$B$43&gt;0),IF(MAX(0,Inputs!$B$43-B1345)&lt;=0,0,(INT(MAX(0,Inputs!$B$43-B1345)/(IF(Inputs!$B$38="pvp",15,MAX(0.1,Skills!D11-IF(Skills!E11=TRUE,Inputs!$B$32,0)))*(1-IF(AND(ArtifactsInput!$M$27,Inputs!$B$4="Chapter Hunt"),CHOOSE(ArtifactsInput!$N$27+1,20,24,28,32,36,40),0)/100)))+1)),0)</f>
        <v/>
      </c>
      <c r="S1322">
        <f>IFERROR(O1322/N1322,0)</f>
        <v/>
      </c>
      <c r="T1322">
        <f>IF(C1322,(H1322*N1322*IF(AND(Inputs!$B$38&lt;&gt;"pvp",Inputs!$B$43&gt;0),((Skills!G11*((R1322-1)*IF(Skills!H11&gt;0,Skills!I11/Skills!H11,1)+IF(Skills!H11&gt;0,MIN(Skills!I11,MAX(0,MAX(0,Inputs!$B$43-B1345)-((R1322-1)*(IF(Inputs!$B$38="pvp",15,MAX(0.1,Skills!D11-IF(Skills!E11=TRUE,Inputs!$B$32,0)))*(1-IF(AND(ArtifactsInput!$M$27,Inputs!$B$4="Chapter Hunt"),CHOOSE(ArtifactsInput!$N$27+1,20,24,28,32,36,40),0)/100)))))/Skills!H11,1)))/Inputs!$B$43),G1322*Q1322)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1322*(1-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1322*(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1322*(1-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1322*(MIN(100,(Inputs!$B$9+0+B1338+(ArtifactsInput!$M$24-ArtifactsInput!$M$24)*CHOOSE(ArtifactsInput!$N$24+1,10,12,14,16,18,20)+(IF(AND(Inputs!$B$38&lt;&gt;"pvp",Inputs!$B$43=0),1,IF(IF(Inputs!$B$38="pvp",15,Inputs!$B$43)-(B1345)&lt;=0,1,MAX(0,IF(Inputs!$B$38="pvp",15,Inputs!$B$43)-MAX(5,B1345))/(IF(Inputs!$B$38="pvp",15,Inputs!$B$43)-(B1345))))*IF(AND(ArtifactsInput!$M$42,((Inputs!$B$9+0+B1338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22">
        <f>IF(C1322,(H1322*N1322*IF(AND(Inputs!$B$38&lt;&gt;"pvp",Inputs!$B$43&gt;0),((Skills!G11*((R1322-1)*IF(Skills!H11&gt;0,Skills!I11/Skills!H11,1)+IF(Skills!H11&gt;0,MIN(Skills!I11,MAX(0,MAX(0,Inputs!$B$43-B1345)-((R1322-1)*(IF(Inputs!$B$38="pvp",15,MAX(0.1,Skills!D11-IF(Skills!E11=TRUE,Inputs!$B$32,0)))*(1-IF(AND(ArtifactsInput!$M$27,Inputs!$B$4="Chapter Hunt"),CHOOSE(ArtifactsInput!$N$27+1,20,24,28,32,36,40),0)/100)))))/Skills!H11,1)))/Inputs!$B$43),G1322*Q1322))*IF(Inputs!$B$38="pvp",1,(1+(Inputs!$B$21+Skills!Q11+(IF(ArtifactsInput!$M$33,CHOOSE(ArtifactsInput!$N$33+1,30,36,42,48,54,60),0))+(IF(AND(ArtifactsInput!$M$35,Inputs!$B$4&lt;&gt;"Chapter Hunt"),CHOOSE(ArtifactsInput!$N$35+1,15,18,21,24,27,30)*(1-EXP(-(0.2*B1340)*5)),0)+IF(AND(ArtifactsInput!$M$22,Inputs!$B$4&lt;&gt;"Chapter Hunt"),CHOOSE(ArtifactsInput!$N$22+1,10,12,14,16,18,20)*((0*(((0.15*B1340*5))^0/1)+1*(((0.15*B1340*5))^1/1)+2*(((0.15*B1340*5))^2/2)+3*(((0.15*B1340*5))^3/6)+4*(((0.15*B1340*5))^4/24)+5*(((0.15*B1340*5))^5/120))/((((0.15*B1340*5))^0/1)+(((0.15*B1340*5))^1/1)+(((0.15*B1340*5))^2/2)+(((0.15*B1340*5))^3/6)+(((0.15*B1340*5))^4/24)+(((0.15*B1340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23">
      <c r="A1323">
        <f>Skills!A12</f>
        <v/>
      </c>
      <c r="B1323">
        <f>Skills!B12</f>
        <v/>
      </c>
      <c r="C1323">
        <f>Inputs!$B$3&gt;=100</f>
        <v/>
      </c>
      <c r="D1323">
        <f>IF(Skills!C12=1,60+Inputs!$B$25+Inputs!$B$29,IF(Skills!C12=2,90+Inputs!$B$26+Inputs!$B$29,IF(Skills!C12=3,120+Inputs!$B$27+Inputs!$B$29,MAX(0,(Inputs!$B$3-100)*3)+Inputs!$B$28+Inputs!$B$29)))</f>
        <v/>
      </c>
      <c r="E1323">
        <f>INDEX(FactorTable!$B$2:$Y$301, MATCH(ROUND(MIN(300,MAX(1,D1323)),0), FactorTable!$A$2:$A$301,0), Skills!M12+1)</f>
        <v/>
      </c>
      <c r="F1323">
        <f>IF(Skills!N12=TRUE,(Skills!L12/10)*(E1323/1000),Skills!L12/10)+Skills!O12</f>
        <v/>
      </c>
      <c r="G1323" t="inlineStr"/>
      <c r="H1323" t="inlineStr"/>
      <c r="I1323" t="inlineStr">
        <is>
          <t>1</t>
        </is>
      </c>
      <c r="J1323" t="inlineStr"/>
      <c r="K1323" t="inlineStr"/>
      <c r="L1323" t="inlineStr"/>
      <c r="M1323" t="inlineStr"/>
      <c r="N1323" t="inlineStr"/>
      <c r="O1323" t="inlineStr"/>
      <c r="P1323" t="inlineStr"/>
      <c r="Q1323" t="inlineStr"/>
      <c r="R1323" t="inlineStr"/>
      <c r="S1323" t="inlineStr"/>
    </row>
    <row r="1324">
      <c r="A1324">
        <f>Skills!A13</f>
        <v/>
      </c>
      <c r="B1324">
        <f>Skills!B13</f>
        <v/>
      </c>
      <c r="C1324">
        <f>Inputs!$B$3&gt;=45</f>
        <v/>
      </c>
      <c r="D1324">
        <f>IF(Skills!C13=1,60+Inputs!$B$25+Inputs!$B$29,IF(Skills!C13=2,90+Inputs!$B$26+Inputs!$B$29,IF(Skills!C13=3,120+Inputs!$B$27+Inputs!$B$29,MAX(0,(Inputs!$B$3-100)*3)+Inputs!$B$28+Inputs!$B$29)))</f>
        <v/>
      </c>
      <c r="E1324">
        <f>INDEX(FactorTable!$B$2:$Y$301, MATCH(ROUND(MIN(300,MAX(1,D1324)),0), FactorTable!$A$2:$A$301,0), Skills!M13+1)</f>
        <v/>
      </c>
      <c r="F1324">
        <f>IF(Skills!N13=TRUE,(Skills!L13/10)*(E1324/1000),Skills!L13/10)+Skills!O13</f>
        <v/>
      </c>
      <c r="G1324">
        <f>Skills!G13*IF(Skills!H13&gt;0,Skills!I13/Skills!H13,1)</f>
        <v/>
      </c>
      <c r="H1324">
        <f>1-(1-Skills!J13/100)^Skills!K13</f>
        <v/>
      </c>
      <c r="I1324" t="inlineStr">
        <is>
          <t>1</t>
        </is>
      </c>
      <c r="J1324" t="inlineStr"/>
      <c r="K1324" t="inlineStr"/>
      <c r="L1324" t="inlineStr"/>
      <c r="M1324" t="inlineStr"/>
      <c r="N1324" t="inlineStr"/>
      <c r="O1324">
        <f>(1-Summary!$B$11)*T1324+Summary!$B$11*V1324</f>
        <v/>
      </c>
      <c r="P1324">
        <f>IF(B1348=0,0,O1324/B1348)</f>
        <v/>
      </c>
      <c r="Q1324" t="n">
        <v>0</v>
      </c>
      <c r="R1324" t="n">
        <v>0</v>
      </c>
      <c r="S1324">
        <f>IFERROR(O1324/N1324,0)</f>
        <v/>
      </c>
      <c r="T1324" t="n">
        <v>0</v>
      </c>
      <c r="V1324" t="n">
        <v>0</v>
      </c>
    </row>
    <row r="1325">
      <c r="A1325">
        <f>Skills!A14</f>
        <v/>
      </c>
      <c r="B1325">
        <f>Skills!B14</f>
        <v/>
      </c>
      <c r="C1325">
        <f>Inputs!$B$3&gt;=110</f>
        <v/>
      </c>
      <c r="D1325">
        <f>IF(Skills!C14=1,60+Inputs!$B$25+Inputs!$B$29,IF(Skills!C14=2,90+Inputs!$B$26+Inputs!$B$29,IF(Skills!C14=3,120+Inputs!$B$27+Inputs!$B$29,MAX(0,(Inputs!$B$3-100)*3)+Inputs!$B$28+Inputs!$B$29)))</f>
        <v/>
      </c>
      <c r="E1325">
        <f>INDEX(FactorTable!$B$2:$Y$301, MATCH(ROUND(MIN(300,MAX(1,D1325)),0), FactorTable!$A$2:$A$301,0), Skills!M14+1)</f>
        <v/>
      </c>
      <c r="F1325">
        <f>IF(Skills!N14=TRUE,(Skills!L14/10)*(E1325/1000),Skills!L14/10)+Skills!O14</f>
        <v/>
      </c>
      <c r="G1325">
        <f>Skills!G14*IF(Skills!H14&gt;0,Skills!I14/Skills!H14,1)</f>
        <v/>
      </c>
      <c r="H1325">
        <f>1-(1-Skills!J14/100)^Skills!K14</f>
        <v/>
      </c>
      <c r="I1325" t="inlineStr">
        <is>
          <t>1</t>
        </is>
      </c>
      <c r="J1325" t="inlineStr"/>
      <c r="K1325" t="inlineStr"/>
      <c r="L1325" t="inlineStr"/>
      <c r="M1325" t="inlineStr"/>
      <c r="N1325" t="inlineStr"/>
      <c r="O1325">
        <f>(1-Summary!$B$11)*T1325+Summary!$B$11*V1325</f>
        <v/>
      </c>
      <c r="P1325">
        <f>IF(B1348=0,0,O1325/B1348)</f>
        <v/>
      </c>
      <c r="Q1325" t="n">
        <v>0</v>
      </c>
      <c r="R1325" t="n">
        <v>0</v>
      </c>
      <c r="S1325">
        <f>IFERROR(O1325/N1325,0)</f>
        <v/>
      </c>
      <c r="T1325" t="n">
        <v>0</v>
      </c>
      <c r="V1325" t="n">
        <v>0</v>
      </c>
    </row>
    <row r="1326">
      <c r="A1326">
        <f>Skills!A15</f>
        <v/>
      </c>
      <c r="B1326">
        <f>Skills!B15</f>
        <v/>
      </c>
      <c r="C1326">
        <f>Inputs!$B$3&gt;=75</f>
        <v/>
      </c>
      <c r="D1326">
        <f>IF(Skills!C15=1,60+Inputs!$B$25+Inputs!$B$29,IF(Skills!C15=2,90+Inputs!$B$26+Inputs!$B$29,IF(Skills!C15=3,120+Inputs!$B$27+Inputs!$B$29,MAX(0,(Inputs!$B$3-100)*3)+Inputs!$B$28+Inputs!$B$29)))</f>
        <v/>
      </c>
      <c r="E1326">
        <f>INDEX(FactorTable!$B$2:$Y$301, MATCH(ROUND(MIN(300,MAX(1,D1326)),0), FactorTable!$A$2:$A$301,0), Skills!M15+1)</f>
        <v/>
      </c>
      <c r="F1326">
        <f>IF(Skills!N15=TRUE,(Skills!L15/10)*(E1326/1000),Skills!L15/10)+Skills!O15</f>
        <v/>
      </c>
      <c r="G1326">
        <f>Skills!G15*IF(Skills!H15&gt;0,Skills!I15/Skills!H15,1)</f>
        <v/>
      </c>
      <c r="H1326">
        <f>1-(1-Skills!J15/100)^Skills!K15</f>
        <v/>
      </c>
      <c r="I1326" t="inlineStr">
        <is>
          <t>1</t>
        </is>
      </c>
      <c r="J1326" t="inlineStr"/>
      <c r="K1326" t="inlineStr"/>
      <c r="L1326" t="inlineStr"/>
      <c r="M1326" t="inlineStr"/>
      <c r="N1326" t="inlineStr"/>
      <c r="O1326">
        <f>(1-Summary!$B$11)*T1326+Summary!$B$11*V1326</f>
        <v/>
      </c>
      <c r="P1326">
        <f>IF(B1348=0,0,O1326/B1348)</f>
        <v/>
      </c>
      <c r="Q1326">
        <f>IFERROR(1/(IF(Inputs!$B$38="pvp",15,MAX(0.1,Skills!D15-IF(Skills!E15=TRUE,Inputs!$B$32,0)))*(1-IF(AND(ArtifactsInput!$M$27,Inputs!$B$4="Chapter Hunt"),CHOOSE(ArtifactsInput!$N$27+1,20,24,28,32,36,40),0)/100)),0)</f>
        <v/>
      </c>
      <c r="R1326">
        <f>IF(AND(Inputs!$B$38&lt;&gt;"pvp",Inputs!$B$43&gt;0),IF(Inputs!$B$43&lt;=0,0,(INT(Inputs!$B$43/(IF(Inputs!$B$38="pvp",15,MAX(0.1,Skills!D15-IF(Skills!E15=TRUE,Inputs!$B$32,0)))*(1-IF(AND(ArtifactsInput!$M$27,Inputs!$B$4="Chapter Hunt"),CHOOSE(ArtifactsInput!$N$27+1,20,24,28,32,36,40),0)/100)))+1)),0)</f>
        <v/>
      </c>
      <c r="S1326">
        <f>IFERROR(O1326/N1326,0)</f>
        <v/>
      </c>
      <c r="T1326" t="n">
        <v>0</v>
      </c>
      <c r="V1326" t="n">
        <v>0</v>
      </c>
    </row>
    <row r="1327">
      <c r="A1327">
        <f>Skills!A16</f>
        <v/>
      </c>
      <c r="B1327">
        <f>Skills!B16</f>
        <v/>
      </c>
      <c r="C1327">
        <f>Inputs!$B$3&gt;=105</f>
        <v/>
      </c>
      <c r="D1327">
        <f>IF(Skills!C16=1,60+Inputs!$B$25+Inputs!$B$29,IF(Skills!C16=2,90+Inputs!$B$26+Inputs!$B$29,IF(Skills!C16=3,120+Inputs!$B$27+Inputs!$B$29,MAX(0,(Inputs!$B$3-100)*3)+Inputs!$B$28+Inputs!$B$29)))</f>
        <v/>
      </c>
      <c r="E1327">
        <f>INDEX(FactorTable!$B$2:$Y$301, MATCH(ROUND(MIN(300,MAX(1,D1327)),0), FactorTable!$A$2:$A$301,0), Skills!M16+1)</f>
        <v/>
      </c>
      <c r="F1327">
        <f>IF(Skills!N16=TRUE,(Skills!L16/10)*(E1327/1000),Skills!L16/10)+Skills!O16</f>
        <v/>
      </c>
      <c r="G1327">
        <f>Skills!G16*IF(Skills!H16&gt;0,Skills!I16/Skills!H16,1)</f>
        <v/>
      </c>
      <c r="H1327">
        <f>1-(1-Skills!J16/100)^Skills!K16</f>
        <v/>
      </c>
      <c r="I1327" t="inlineStr">
        <is>
          <t>1</t>
        </is>
      </c>
      <c r="J1327" t="inlineStr"/>
      <c r="K1327" t="inlineStr"/>
      <c r="L1327" t="inlineStr"/>
      <c r="M1327" t="inlineStr"/>
      <c r="N1327" t="inlineStr"/>
      <c r="O1327">
        <f>(1-Summary!$B$11)*T1327+Summary!$B$11*V1327</f>
        <v/>
      </c>
      <c r="P1327">
        <f>IF(B1348=0,0,O1327/B1348)</f>
        <v/>
      </c>
      <c r="Q1327">
        <f>IFERROR(1/(IF(Inputs!$B$38="pvp",15,MAX(0.1,Skills!D16-IF(Skills!E16=TRUE,Inputs!$B$32,0)))*(1-IF(AND(ArtifactsInput!$M$27,Inputs!$B$4="Chapter Hunt"),CHOOSE(ArtifactsInput!$N$27+1,20,24,28,32,36,40),0)/100)),0)</f>
        <v/>
      </c>
      <c r="R1327">
        <f>IF(AND(Inputs!$B$38&lt;&gt;"pvp",Inputs!$B$43&gt;0),IF(Inputs!$B$43&lt;=0,0,(INT(Inputs!$B$43/(IF(Inputs!$B$38="pvp",15,MAX(0.1,Skills!D16-IF(Skills!E16=TRUE,Inputs!$B$32,0)))*(1-IF(AND(ArtifactsInput!$M$27,Inputs!$B$4="Chapter Hunt"),CHOOSE(ArtifactsInput!$N$27+1,20,24,28,32,36,40),0)/100)))+1)),0)</f>
        <v/>
      </c>
      <c r="S1327">
        <f>IFERROR(O1327/N1327,0)</f>
        <v/>
      </c>
      <c r="T1327" t="n">
        <v>0</v>
      </c>
      <c r="V1327" t="n">
        <v>0</v>
      </c>
    </row>
    <row r="1328">
      <c r="A1328">
        <f>Skills!A17</f>
        <v/>
      </c>
      <c r="B1328">
        <f>Skills!B17</f>
        <v/>
      </c>
      <c r="C1328">
        <f>Inputs!$B$3&gt;=115</f>
        <v/>
      </c>
      <c r="D1328">
        <f>IF(Skills!C17=1,60+Inputs!$B$25+Inputs!$B$29,IF(Skills!C17=2,90+Inputs!$B$26+Inputs!$B$29,IF(Skills!C17=3,120+Inputs!$B$27+Inputs!$B$29,MAX(0,(Inputs!$B$3-100)*3)+Inputs!$B$28+Inputs!$B$29)))</f>
        <v/>
      </c>
      <c r="E1328">
        <f>INDEX(FactorTable!$B$2:$Y$301, MATCH(ROUND(MIN(300,MAX(1,D1328)),0), FactorTable!$A$2:$A$301,0), Skills!M17+1)</f>
        <v/>
      </c>
      <c r="F1328">
        <f>IF(Skills!N17=TRUE,(Skills!L17/10)*(E1328/1000),Skills!L17/10)+Skills!O17</f>
        <v/>
      </c>
      <c r="G1328">
        <f>Skills!G17*IF(Skills!H17&gt;0,Skills!I17/Skills!H17,1)</f>
        <v/>
      </c>
      <c r="H1328">
        <f>1-(1-Skills!J17/100)^Skills!K17</f>
        <v/>
      </c>
      <c r="I1328" t="inlineStr">
        <is>
          <t>1</t>
        </is>
      </c>
      <c r="J1328" t="inlineStr"/>
      <c r="K1328" t="inlineStr"/>
      <c r="L1328" t="inlineStr"/>
      <c r="M1328" t="inlineStr"/>
      <c r="N1328" t="inlineStr"/>
      <c r="O1328">
        <f>(1-Summary!$B$11)*T1328+Summary!$B$11*V1328</f>
        <v/>
      </c>
      <c r="P1328">
        <f>IF(B1348=0,0,O1328/B1348)</f>
        <v/>
      </c>
      <c r="Q1328">
        <f>IFERROR(1/(IF(Inputs!$B$38="pvp",15,MAX(0.1,Skills!D17-IF(Skills!E17=TRUE,Inputs!$B$32,0)))*(1-IF(AND(ArtifactsInput!$M$27,Inputs!$B$4="Chapter Hunt"),CHOOSE(ArtifactsInput!$N$27+1,20,24,28,32,36,40),0)/100)),0)</f>
        <v/>
      </c>
      <c r="R1328">
        <f>IF(AND(Inputs!$B$38&lt;&gt;"pvp",Inputs!$B$43&gt;0),IF(Inputs!$B$43&lt;=0,0,(INT(Inputs!$B$43/(IF(Inputs!$B$38="pvp",15,MAX(0.1,Skills!D17-IF(Skills!E17=TRUE,Inputs!$B$32,0)))*(1-IF(AND(ArtifactsInput!$M$27,Inputs!$B$4="Chapter Hunt"),CHOOSE(ArtifactsInput!$N$27+1,20,24,28,32,36,40),0)/100)))+1)),0)</f>
        <v/>
      </c>
      <c r="S1328">
        <f>IFERROR(O1328/N1328,0)</f>
        <v/>
      </c>
      <c r="T1328" t="n">
        <v>0</v>
      </c>
      <c r="V1328" t="n">
        <v>0</v>
      </c>
    </row>
    <row r="1329">
      <c r="A1329">
        <f>Skills!A18</f>
        <v/>
      </c>
      <c r="B1329">
        <f>Skills!B18</f>
        <v/>
      </c>
      <c r="C1329">
        <f>Inputs!$B$3&gt;=74</f>
        <v/>
      </c>
      <c r="D1329">
        <f>IF(Skills!C18=1,60+Inputs!$B$25+Inputs!$B$29,IF(Skills!C18=2,90+Inputs!$B$26+Inputs!$B$29,IF(Skills!C18=3,120+Inputs!$B$27+Inputs!$B$29,MAX(0,(Inputs!$B$3-100)*3)+Inputs!$B$28+Inputs!$B$29)))</f>
        <v/>
      </c>
      <c r="E1329">
        <f>INDEX(FactorTable!$B$2:$Y$301, MATCH(ROUND(MIN(300,MAX(1,D1329)),0), FactorTable!$A$2:$A$301,0), Skills!M18+1)</f>
        <v/>
      </c>
      <c r="F1329">
        <f>IF(Skills!N18=TRUE,(Skills!L18/10)*(E1329/1000),Skills!L18/10)+Skills!O18</f>
        <v/>
      </c>
      <c r="G1329">
        <f>Skills!G18*IF(Skills!H18&gt;0,Skills!I18/Skills!H18,1)</f>
        <v/>
      </c>
      <c r="H1329">
        <f>1-(1-Skills!J18/100)^Skills!K18</f>
        <v/>
      </c>
      <c r="I1329" t="inlineStr">
        <is>
          <t>1</t>
        </is>
      </c>
      <c r="J1329" t="inlineStr"/>
      <c r="K1329" t="inlineStr"/>
      <c r="L1329" t="inlineStr"/>
      <c r="M1329" t="inlineStr"/>
      <c r="N1329" t="inlineStr"/>
      <c r="O1329">
        <f>(1-Summary!$B$11)*T1329+Summary!$B$11*V1329</f>
        <v/>
      </c>
      <c r="P1329">
        <f>IF(B1348=0,0,O1329/B1348)</f>
        <v/>
      </c>
      <c r="Q1329">
        <f>IFERROR(1/(IF(Inputs!$B$38="pvp",15,MAX(0.1,Skills!D18-IF(Skills!E18=TRUE,Inputs!$B$32,0)))*(1-IF(AND(ArtifactsInput!$M$27,Inputs!$B$4="Chapter Hunt"),CHOOSE(ArtifactsInput!$N$27+1,20,24,28,32,36,40),0)/100)),0)</f>
        <v/>
      </c>
      <c r="R1329">
        <f>IF(AND(Inputs!$B$38&lt;&gt;"pvp",Inputs!$B$43&gt;0),IF(Inputs!$B$43&lt;=0,0,(INT(Inputs!$B$43/(IF(Inputs!$B$38="pvp",15,MAX(0.1,Skills!D18-IF(Skills!E18=TRUE,Inputs!$B$32,0)))*(1-IF(AND(ArtifactsInput!$M$27,Inputs!$B$4="Chapter Hunt"),CHOOSE(ArtifactsInput!$N$27+1,20,24,28,32,36,40),0)/100)))+1)),0)</f>
        <v/>
      </c>
      <c r="S1329">
        <f>IFERROR(O1329/N1329,0)</f>
        <v/>
      </c>
      <c r="T1329" t="n">
        <v>0</v>
      </c>
      <c r="V1329" t="n">
        <v>0</v>
      </c>
    </row>
    <row r="1330">
      <c r="A1330">
        <f>Skills!A19</f>
        <v/>
      </c>
      <c r="B1330">
        <f>Skills!B19</f>
        <v/>
      </c>
      <c r="C1330">
        <f>TRUE</f>
        <v/>
      </c>
      <c r="D1330">
        <f>IF(Skills!C19=1,60+Inputs!$B$25+Inputs!$B$29,IF(Skills!C19=2,90+Inputs!$B$26+Inputs!$B$29,IF(Skills!C19=3,120+Inputs!$B$27+Inputs!$B$29,MAX(0,(Inputs!$B$3-100)*3)+Inputs!$B$28+Inputs!$B$29)))</f>
        <v/>
      </c>
      <c r="E1330">
        <f>INDEX(FactorTable!$B$2:$Y$301, MATCH(ROUND(MIN(300,MAX(1,D1330)),0), FactorTable!$A$2:$A$301,0), Skills!M19+1)</f>
        <v/>
      </c>
      <c r="F1330">
        <f>IF(Skills!N19=TRUE,(Skills!L19/10)*(E1330/1000),Skills!L19/10)+Skills!O19</f>
        <v/>
      </c>
      <c r="G1330">
        <f>Skills!G19*IF(Skills!H19&gt;0,Skills!I19/Skills!H19,1)</f>
        <v/>
      </c>
      <c r="H1330">
        <f>1-(1-Skills!J19/100)^Skills!K19</f>
        <v/>
      </c>
      <c r="I1330" t="inlineStr">
        <is>
          <t>1</t>
        </is>
      </c>
      <c r="J1330" t="inlineStr"/>
      <c r="K1330" t="inlineStr"/>
      <c r="L1330" t="inlineStr"/>
      <c r="M1330" t="inlineStr"/>
      <c r="N1330" t="inlineStr"/>
      <c r="O1330">
        <f>(1-Summary!$B$11)*T1330+Summary!$B$11*V1330</f>
        <v/>
      </c>
      <c r="P1330">
        <f>IF(B1348=0,0,O1330/B1348)</f>
        <v/>
      </c>
      <c r="Q1330">
        <f>IFERROR(1/(IF(Inputs!$B$38="pvp",15,MAX(0.1,Skills!D19-IF(Skills!E19=TRUE,Inputs!$B$32,0)))*(1-IF(AND(ArtifactsInput!$M$27,Inputs!$B$4="Chapter Hunt"),CHOOSE(ArtifactsInput!$N$27+1,20,24,28,32,36,40),0)/100)),0)</f>
        <v/>
      </c>
      <c r="R1330">
        <f>IF(AND(Inputs!$B$38&lt;&gt;"pvp",Inputs!$B$43&gt;0),IF(Inputs!$B$43&lt;=0,0,(INT(Inputs!$B$43/(IF(Inputs!$B$38="pvp",15,MAX(0.1,Skills!D19-IF(Skills!E19=TRUE,Inputs!$B$32,0)))*(1-IF(AND(ArtifactsInput!$M$27,Inputs!$B$4="Chapter Hunt"),CHOOSE(ArtifactsInput!$N$27+1,20,24,28,32,36,40),0)/100)))+1)),0)</f>
        <v/>
      </c>
      <c r="S1330">
        <f>IFERROR(O1330/N1330,0)</f>
        <v/>
      </c>
      <c r="T1330" t="n">
        <v>0</v>
      </c>
      <c r="V1330" t="n">
        <v>0</v>
      </c>
    </row>
    <row r="1331">
      <c r="A1331">
        <f>Skills!A20</f>
        <v/>
      </c>
      <c r="B1331">
        <f>Skills!B20</f>
        <v/>
      </c>
      <c r="C1331">
        <f>Inputs!$B$3&gt;=33</f>
        <v/>
      </c>
      <c r="D1331">
        <f>IF(Skills!C20=1,60+Inputs!$B$25+Inputs!$B$29,IF(Skills!C20=2,90+Inputs!$B$26+Inputs!$B$29,IF(Skills!C20=3,120+Inputs!$B$27+Inputs!$B$29,MAX(0,(Inputs!$B$3-100)*3)+Inputs!$B$28+Inputs!$B$29)))</f>
        <v/>
      </c>
      <c r="E1331">
        <f>INDEX(FactorTable!$B$2:$Y$301, MATCH(ROUND(MIN(300,MAX(1,D1331)),0), FactorTable!$A$2:$A$301,0), Skills!M20+1)</f>
        <v/>
      </c>
      <c r="F1331">
        <f>IF(Skills!N20=TRUE,(Skills!L20/10)*(E1331/1000),Skills!L20/10)+Skills!O20</f>
        <v/>
      </c>
      <c r="G1331">
        <f>Skills!G20*IF(Skills!H20&gt;0,Skills!I20/Skills!H20,1)</f>
        <v/>
      </c>
      <c r="H1331">
        <f>1-(1-Skills!J20/100)^Skills!K20</f>
        <v/>
      </c>
      <c r="I1331" t="inlineStr">
        <is>
          <t>1</t>
        </is>
      </c>
      <c r="J1331" t="inlineStr"/>
      <c r="K1331" t="inlineStr"/>
      <c r="L1331" t="inlineStr"/>
      <c r="M1331" t="inlineStr"/>
      <c r="N1331" t="inlineStr"/>
      <c r="O1331">
        <f>(1-Summary!$B$11)*T1331+Summary!$B$11*V1331</f>
        <v/>
      </c>
      <c r="P1331">
        <f>IF(B1348=0,0,O1331/B1348)</f>
        <v/>
      </c>
      <c r="Q1331" t="n">
        <v>0</v>
      </c>
      <c r="R1331" t="n">
        <v>0</v>
      </c>
      <c r="S1331">
        <f>IFERROR(O1331/N1331,0)</f>
        <v/>
      </c>
      <c r="T1331" t="n">
        <v>0</v>
      </c>
      <c r="V1331" t="n">
        <v>0</v>
      </c>
    </row>
    <row r="1332">
      <c r="A1332">
        <f>Skills!A21</f>
        <v/>
      </c>
      <c r="B1332">
        <f>Skills!B21</f>
        <v/>
      </c>
      <c r="C1332">
        <f>Inputs!$B$3&gt;=38</f>
        <v/>
      </c>
      <c r="D1332">
        <f>IF(Skills!C21=1,60+Inputs!$B$25+Inputs!$B$29,IF(Skills!C21=2,90+Inputs!$B$26+Inputs!$B$29,IF(Skills!C21=3,120+Inputs!$B$27+Inputs!$B$29,MAX(0,(Inputs!$B$3-100)*3)+Inputs!$B$28+Inputs!$B$29)))</f>
        <v/>
      </c>
      <c r="E1332">
        <f>INDEX(FactorTable!$B$2:$Y$301, MATCH(ROUND(MIN(300,MAX(1,D1332)),0), FactorTable!$A$2:$A$301,0), Skills!M21+1)</f>
        <v/>
      </c>
      <c r="F1332">
        <f>IF(Skills!N21=TRUE,(Skills!L21/10)*(E1332/1000),Skills!L21/10)+Skills!O21</f>
        <v/>
      </c>
      <c r="G1332">
        <f>Skills!G21*IF(Skills!H21&gt;0,Skills!I21/Skills!H21,1)</f>
        <v/>
      </c>
      <c r="H1332">
        <f>1-(1-Skills!J21/100)^Skills!K21</f>
        <v/>
      </c>
      <c r="I1332" t="inlineStr">
        <is>
          <t>1</t>
        </is>
      </c>
      <c r="J1332" t="inlineStr"/>
      <c r="K1332" t="inlineStr"/>
      <c r="L1332" t="inlineStr"/>
      <c r="M1332" t="inlineStr"/>
      <c r="N1332" t="inlineStr"/>
      <c r="O1332">
        <f>(1-Summary!$B$11)*T1332+Summary!$B$11*V1332</f>
        <v/>
      </c>
      <c r="P1332">
        <f>IF(B1348=0,0,O1332/B1348)</f>
        <v/>
      </c>
      <c r="Q1332" t="n">
        <v>0</v>
      </c>
      <c r="R1332" t="n">
        <v>0</v>
      </c>
      <c r="S1332">
        <f>IFERROR(O1332/N1332,0)</f>
        <v/>
      </c>
      <c r="T1332" t="n">
        <v>0</v>
      </c>
      <c r="V1332" t="n">
        <v>0</v>
      </c>
    </row>
    <row r="1333">
      <c r="A1333">
        <f>Skills!A22</f>
        <v/>
      </c>
      <c r="B1333">
        <f>Skills!B22</f>
        <v/>
      </c>
      <c r="C1333">
        <f>Inputs!$B$3&gt;=43</f>
        <v/>
      </c>
      <c r="D1333">
        <f>IF(Skills!C22=1,60+Inputs!$B$25+Inputs!$B$29,IF(Skills!C22=2,90+Inputs!$B$26+Inputs!$B$29,IF(Skills!C22=3,120+Inputs!$B$27+Inputs!$B$29,MAX(0,(Inputs!$B$3-100)*3)+Inputs!$B$28+Inputs!$B$29)))</f>
        <v/>
      </c>
      <c r="E1333">
        <f>INDEX(FactorTable!$B$2:$Y$301, MATCH(ROUND(MIN(300,MAX(1,D1333)),0), FactorTable!$A$2:$A$301,0), Skills!M22+1)</f>
        <v/>
      </c>
      <c r="F1333">
        <f>IF(Skills!N22=TRUE,(Skills!L22/10)*(E1333/1000),Skills!L22/10)+Skills!O22</f>
        <v/>
      </c>
      <c r="G1333">
        <f>Skills!G22*IF(Skills!H22&gt;0,Skills!I22/Skills!H22,1)</f>
        <v/>
      </c>
      <c r="H1333">
        <f>1-(1-Skills!J22/100)^Skills!K22</f>
        <v/>
      </c>
      <c r="I1333" t="inlineStr">
        <is>
          <t>1</t>
        </is>
      </c>
      <c r="J1333" t="inlineStr"/>
      <c r="K1333" t="inlineStr"/>
      <c r="L1333" t="inlineStr"/>
      <c r="M1333" t="inlineStr"/>
      <c r="N1333" t="inlineStr"/>
      <c r="O1333">
        <f>(1-Summary!$B$11)*T1333+Summary!$B$11*V1333</f>
        <v/>
      </c>
      <c r="P1333">
        <f>IF(B1348=0,0,O1333/B1348)</f>
        <v/>
      </c>
      <c r="Q1333" t="n">
        <v>0</v>
      </c>
      <c r="R1333" t="n">
        <v>0</v>
      </c>
      <c r="S1333">
        <f>IFERROR(O1333/N1333,0)</f>
        <v/>
      </c>
      <c r="T1333" t="n">
        <v>0</v>
      </c>
      <c r="V1333" t="n">
        <v>0</v>
      </c>
    </row>
    <row r="1334">
      <c r="A1334">
        <f>Skills!A23</f>
        <v/>
      </c>
      <c r="B1334">
        <f>Skills!B23</f>
        <v/>
      </c>
      <c r="C1334">
        <f>Inputs!$B$3&gt;=120</f>
        <v/>
      </c>
      <c r="D1334">
        <f>IF(Skills!C23=1,60+Inputs!$B$25+Inputs!$B$29,IF(Skills!C23=2,90+Inputs!$B$26+Inputs!$B$29,IF(Skills!C23=3,120+Inputs!$B$27+Inputs!$B$29,MAX(0,(Inputs!$B$3-100)*3)+Inputs!$B$28+Inputs!$B$29)))</f>
        <v/>
      </c>
      <c r="E1334">
        <f>INDEX(FactorTable!$B$2:$Y$301, MATCH(ROUND(MIN(300,MAX(1,D1334)),0), FactorTable!$A$2:$A$301,0), Skills!M23+1)</f>
        <v/>
      </c>
      <c r="F1334">
        <f>IF(Skills!N23=TRUE,(Skills!L23/10)*(E1334/1000),Skills!L23/10)+Skills!O23</f>
        <v/>
      </c>
      <c r="G1334">
        <f>Skills!G23*IF(Skills!H23&gt;0,Skills!I23/Skills!H23,1)</f>
        <v/>
      </c>
      <c r="H1334">
        <f>1-(1-Skills!J23/100)^Skills!K23</f>
        <v/>
      </c>
      <c r="I1334" t="inlineStr">
        <is>
          <t>1</t>
        </is>
      </c>
      <c r="J1334" t="inlineStr"/>
      <c r="K1334" t="inlineStr"/>
      <c r="L1334" t="inlineStr"/>
      <c r="M1334" t="inlineStr"/>
      <c r="N1334" t="inlineStr"/>
      <c r="O1334">
        <f>(1-Summary!$B$11)*T1334+Summary!$B$11*V1334</f>
        <v/>
      </c>
      <c r="P1334">
        <f>IF(B1348=0,0,O1334/B1348)</f>
        <v/>
      </c>
      <c r="Q1334" t="n">
        <v>0</v>
      </c>
      <c r="R1334" t="n">
        <v>0</v>
      </c>
      <c r="S1334">
        <f>IFERROR(O1334/N1334,0)</f>
        <v/>
      </c>
      <c r="T1334" t="n">
        <v>0</v>
      </c>
      <c r="V1334" t="n">
        <v>0</v>
      </c>
    </row>
    <row r="1335">
      <c r="A1335">
        <f>Skills!A24</f>
        <v/>
      </c>
      <c r="B1335">
        <f>Skills!B24</f>
        <v/>
      </c>
      <c r="C1335">
        <f>Inputs!$B$3&gt;=120</f>
        <v/>
      </c>
      <c r="D1335">
        <f>IF(Skills!C24=1,60+Inputs!$B$25+Inputs!$B$29,IF(Skills!C24=2,90+Inputs!$B$26+Inputs!$B$29,IF(Skills!C24=3,120+Inputs!$B$27+Inputs!$B$29,MAX(0,(Inputs!$B$3-100)*3)+Inputs!$B$28+Inputs!$B$29)))</f>
        <v/>
      </c>
      <c r="E1335">
        <f>INDEX(FactorTable!$B$2:$Y$301, MATCH(ROUND(MIN(300,MAX(1,D1335)),0), FactorTable!$A$2:$A$301,0), Skills!M24+1)</f>
        <v/>
      </c>
      <c r="F1335">
        <f>IF(Skills!N24=TRUE,(Skills!L24/10)*(E1335/1000),Skills!L24/10)+Skills!O24</f>
        <v/>
      </c>
      <c r="G1335">
        <f>Skills!G24*IF(Skills!H24&gt;0,Skills!I24/Skills!H24,1)</f>
        <v/>
      </c>
      <c r="H1335">
        <f>1-(1-Skills!J24/100)^Skills!K24</f>
        <v/>
      </c>
      <c r="I1335" t="inlineStr">
        <is>
          <t>1</t>
        </is>
      </c>
      <c r="J1335" t="inlineStr"/>
      <c r="K1335" t="inlineStr"/>
      <c r="L1335" t="inlineStr"/>
      <c r="M1335" t="inlineStr"/>
      <c r="N1335" t="inlineStr"/>
      <c r="O1335">
        <f>(1-Summary!$B$11)*T1335+Summary!$B$11*V1335</f>
        <v/>
      </c>
      <c r="P1335">
        <f>IF(B1348=0,0,O1335/B1348)</f>
        <v/>
      </c>
      <c r="Q1335" t="n">
        <v>0</v>
      </c>
      <c r="R1335" t="n">
        <v>0</v>
      </c>
      <c r="S1335">
        <f>IFERROR(O1335/N1335,0)</f>
        <v/>
      </c>
      <c r="T1335" t="n">
        <v>0</v>
      </c>
      <c r="V1335" t="n">
        <v>0</v>
      </c>
    </row>
    <row r="1337">
      <c r="A1337" t="inlineStr">
        <is>
          <t>Attack% Bucket Multiplier</t>
        </is>
      </c>
      <c r="B1337">
        <f>(1+(((C1324=TRUE)*F1324*MIN(1,Skills!T13*(Skills!J13/100)*B1342))+((C1329=TRUE)*F1329*IF(AND(Inputs!$B$38&lt;&gt;"pvp",Inputs!$B$43&gt;0),(((R1329-1)*(Skills!T18*(1+Inputs!$B$34/100))+MIN((Skills!T18*(1+Inputs!$B$34/100)),MAX(0,Inputs!$B$43-((R1329-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38">
      <c r="A1338" t="inlineStr">
        <is>
          <t>Global Crit Rate Bonus %</t>
        </is>
      </c>
      <c r="B1338" t="n">
        <v>0</v>
      </c>
    </row>
    <row r="1339">
      <c r="A1339" t="inlineStr">
        <is>
          <t>Attack Speed Buff Bonus %</t>
        </is>
      </c>
      <c r="B1339">
        <f>((C1330=TRUE)*F1330*IF(AND(Inputs!$B$38&lt;&gt;"pvp",Inputs!$B$43&gt;0),(((R1330-1)*(Skills!T19*(1+Inputs!$B$34/100))+MIN((Skills!T19*(1+Inputs!$B$34/100)),MAX(0,Inputs!$B$43-((R1330-1)*Skills!D19))))/Inputs!$B$43),IF(Inputs!$B$38="pvp",MIN((Skills!T19*(1+Inputs!$B$34/100)),15)/15,(Skills!T19*(1+Inputs!$B$34/100))/Skills!D19)))</f>
        <v/>
      </c>
    </row>
    <row r="1340">
      <c r="A1340" t="inlineStr">
        <is>
          <t>Actions Per Second</t>
        </is>
      </c>
      <c r="B1340">
        <f>1+MIN(150,150*(1-(1-(Inputs!$B$11+((C1331=TRUE)*(F1331-Calc!F20)))/150)*(1-B1339/150)))/100</f>
        <v/>
      </c>
    </row>
    <row r="1341">
      <c r="A1341" t="inlineStr">
        <is>
          <t>Skill + Buff Cast Rate</t>
        </is>
      </c>
      <c r="B1341">
        <f>IF(AND(Inputs!$B$38&lt;&gt;"pvp",Inputs!$B$43&gt;0),SUMPRODUCT((Skills!E2:E24=TRUE)*(C1313:C1335=TRUE)*R1313:R1335*Skills!F2:F24)/Inputs!$B$43,SUMPRODUCT((Skills!E2:E24=TRUE)*(C1313:C1335=TRUE)*Q1313:Q1335*Skills!F2:F24))</f>
        <v/>
      </c>
    </row>
    <row r="1342">
      <c r="A1342" t="inlineStr">
        <is>
          <t>Blast Casts Per Second</t>
        </is>
      </c>
      <c r="B1342">
        <f>MAX(0,B1340-B1341)</f>
        <v/>
      </c>
    </row>
    <row r="1343">
      <c r="A1343" t="inlineStr">
        <is>
          <t>Global Critical Damage Bonus % (unused)</t>
        </is>
      </c>
      <c r="B1343" t="n">
        <v>0</v>
      </c>
    </row>
    <row r="1344">
      <c r="A1344" t="inlineStr">
        <is>
          <t>Global Final Damage Bonus % (Divine Shield + Guardian + Divine Blessing + Greater Vessel of Light)</t>
        </is>
      </c>
      <c r="B1344">
        <f>((C1326=TRUE)*F1326*IF(AND(Inputs!$B$38&lt;&gt;"pvp",Inputs!$B$43&gt;0),(((R1326-1)*(Skills!T15*(1+Inputs!$B$34/100))+MIN((Skills!T15*(1+Inputs!$B$34/100)),MAX(0,Inputs!$B$43-((R1326-1)*Skills!D15))))/Inputs!$B$43),IF(Inputs!$B$38="pvp",MIN((Skills!T15*(1+Inputs!$B$34/100)),15)/15,(Skills!T15*(1+Inputs!$B$34/100))/Skills!D15)))+((C1327=TRUE)*F1327*IF(AND(Inputs!$B$38&lt;&gt;"pvp",Inputs!$B$43&gt;0),(((R1327-1)*(Skills!T16*(1+Inputs!$B$34/100))+MIN((Skills!T16*(1+Inputs!$B$34/100)),MAX(0,Inputs!$B$43-((R1327-1)*Skills!D16))))/Inputs!$B$43),IF(Inputs!$B$38="pvp",MIN((Skills!T16*(1+Inputs!$B$34/100)),15)/15,(Skills!T16*(1+Inputs!$B$34/100))/Skills!D16)))+((C1328=TRUE)*F1328*IF(AND(Inputs!$B$38&lt;&gt;"pvp",Inputs!$B$43&gt;0),(((R1328-1)*(Skills!T17*(1+Inputs!$B$34/100))+MIN((Skills!T17*(1+Inputs!$B$34/100)),MAX(0,Inputs!$B$43-((R1328-1)*Skills!D17))))/Inputs!$B$43),IF(Inputs!$B$38="pvp",MIN((Skills!T17*(1+Inputs!$B$34/100)),15)/15,(Skills!T17*(1+Inputs!$B$34/100))/Skills!D17)))+((C1325=TRUE)*F1325*MIN(1,Skills!T13*(Skills!J13/100)*B1342))</f>
        <v/>
      </c>
    </row>
    <row r="1345">
      <c r="A1345" t="inlineStr">
        <is>
          <t>Buff-Casting Startup Delay (s, fixed-duration only)</t>
        </is>
      </c>
      <c r="B1345">
        <f>IF(AND(Inputs!$B$38&lt;&gt;"pvp",Inputs!$B$43&gt;0),SUMPRODUCT((Skills!T2:T24&gt;0)*(Skills!E2:E24=TRUE)*(C1313:C1335=TRUE))/B1340,0)</f>
        <v/>
      </c>
    </row>
    <row r="1346">
      <c r="A1346" t="inlineStr">
        <is>
          <t>Boss-Only Total DPS (this block's swept value)</t>
        </is>
      </c>
      <c r="B1346">
        <f>SUM(T1313:T1335)</f>
        <v/>
      </c>
    </row>
    <row r="1347">
      <c r="A1347" t="inlineStr">
        <is>
          <t>Normal-Only Total DPS (this block's swept value)</t>
        </is>
      </c>
      <c r="B1347">
        <f>SUM(V1313:V1335)</f>
        <v/>
      </c>
    </row>
    <row r="1348">
      <c r="A1348" s="6" t="inlineStr">
        <is>
          <t>TOTAL DPS</t>
        </is>
      </c>
      <c r="B1348" s="6">
        <f>SUM(O1313:O1335)</f>
        <v/>
      </c>
    </row>
    <row r="1351">
      <c r="A1351" s="6" t="inlineStr">
        <is>
          <t>Stat: Arwen's Glass Shoes (Equip)</t>
        </is>
      </c>
    </row>
    <row r="1352">
      <c r="A1352" s="5" t="inlineStr">
        <is>
          <t>Key</t>
        </is>
      </c>
      <c r="B1352" s="5" t="inlineStr">
        <is>
          <t>Name</t>
        </is>
      </c>
      <c r="C1352" s="5" t="inlineStr">
        <is>
          <t>Unlocked</t>
        </is>
      </c>
      <c r="D1352" s="5" t="inlineStr">
        <is>
          <t>InputLevel</t>
        </is>
      </c>
      <c r="E1352" s="5" t="inlineStr">
        <is>
          <t>Factor</t>
        </is>
      </c>
      <c r="F1352" s="5" t="inlineStr">
        <is>
          <t>CoefficientPercent</t>
        </is>
      </c>
      <c r="G1352" s="5" t="inlineStr">
        <is>
          <t>EffectiveHits</t>
        </is>
      </c>
      <c r="H1352" s="5" t="inlineStr">
        <is>
          <t>ProcProbability</t>
        </is>
      </c>
      <c r="I1352" s="5" t="inlineStr">
        <is>
          <t>MapleHeroMultiplier</t>
        </is>
      </c>
      <c r="J1352" s="5" t="inlineStr">
        <is>
          <t>BaseDamage</t>
        </is>
      </c>
      <c r="K1352" s="5" t="inlineStr">
        <is>
          <t>BaseHitDamage</t>
        </is>
      </c>
      <c r="L1352" s="5" t="inlineStr">
        <is>
          <t>NonCritAvg</t>
        </is>
      </c>
      <c r="M1352" s="5" t="inlineStr">
        <is>
          <t>CritAvg</t>
        </is>
      </c>
      <c r="N1352" s="5" t="inlineStr">
        <is>
          <t>ExpectedDamage(perHit)</t>
        </is>
      </c>
      <c r="O1352" s="5" t="inlineStr">
        <is>
          <t>DPS</t>
        </is>
      </c>
      <c r="P1352" s="5" t="inlineStr">
        <is>
          <t>% of Total</t>
        </is>
      </c>
      <c r="Q1352" s="5" t="inlineStr">
        <is>
          <t>InvCooldown</t>
        </is>
      </c>
      <c r="R1352" s="5" t="inlineStr">
        <is>
          <t>CastsInFight</t>
        </is>
      </c>
      <c r="S1352" s="5" t="inlineStr">
        <is>
          <t>HitRate(perSec)</t>
        </is>
      </c>
      <c r="U1352" t="inlineStr">
        <is>
          <t>helpers</t>
        </is>
      </c>
    </row>
    <row r="1353">
      <c r="A1353">
        <f>Skills!A2</f>
        <v/>
      </c>
      <c r="B1353">
        <f>Skills!B2</f>
        <v/>
      </c>
      <c r="C1353">
        <f>Inputs!$B$3&gt;=100</f>
        <v/>
      </c>
      <c r="D1353" t="inlineStr"/>
      <c r="E1353" t="inlineStr"/>
      <c r="F1353">
        <f>U1355+Skills!O2</f>
        <v/>
      </c>
      <c r="G1353">
        <f>Skills!G2*IF(Skills!H2&gt;0,Skills!I2/Skills!H2,1)</f>
        <v/>
      </c>
      <c r="H1353">
        <f>1-(1-Skills!J2/100)^Skills!K2</f>
        <v/>
      </c>
      <c r="I1353" t="inlineStr">
        <is>
          <t>1</t>
        </is>
      </c>
      <c r="J1353">
        <f>((Inputs!$B$6*(1+Inputs!$B$7/100))+(((Inputs!$B$12*(1+Inputs!$B$13/100))-(Inputs!$B$12*(1+Inputs!$B$13/100)))+0.25*(Inputs!$B$14-Inputs!$B$14))*(1+Inputs!$B$7/100))*(F1353/100)</f>
        <v/>
      </c>
      <c r="K1353">
        <f>J1353*(1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1353)</f>
        <v/>
      </c>
      <c r="L1353">
        <f>K1353*(MIN(Inputs!$B$22+((C1373=TRUE)*(F1373-Calc!F22)),(Inputs!$B$23+((C1375=TRUE)*(F1375-Calc!F24))+(IF(ArtifactsInput!$M$15,CHOOSE(ArtifactsInput!$N$15+1,25,30,35,40,45,50)/100*(Inputs!$B$11-Inputs!$B$11),0))))/100+(Inputs!$B$23+((C1375=TRUE)*(F1375-Calc!F24))+(IF(ArtifactsInput!$M$15,CHOOSE(ArtifactsInput!$N$15+1,25,30,35,40,45,50)/100*(Inputs!$B$11-Inputs!$B$11),0)))/100)/2</f>
        <v/>
      </c>
      <c r="M1353">
        <f>L1353*(1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3">
        <f>L1353*(1-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1353*(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3">
        <f>(1-Summary!$B$11)*T1353+Summary!$B$11*V1353</f>
        <v/>
      </c>
      <c r="P1353">
        <f>IF(B1388=0,0,O1353/B1388)</f>
        <v/>
      </c>
      <c r="Q1353" t="n">
        <v>0</v>
      </c>
      <c r="R1353" t="n">
        <v>0</v>
      </c>
      <c r="S1353">
        <f>IFERROR(O1353/N1353,0)</f>
        <v/>
      </c>
      <c r="T1353">
        <f>IF(C1353,(Skills!G2*N1353*B1382)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1353*(1-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1353*(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1353*(1-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1353*(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3">
        <f>MAX(0,(Inputs!$B$3-100)*3)+Inputs!$B$28+Inputs!$B$29</f>
        <v/>
      </c>
      <c r="V1353">
        <f>IF(C1353,(Skills!G2*N1353*B1382)*IF(Inputs!$B$38="pvp",1,(1+(Inputs!$B$21+Skills!Q2+(IF(ArtifactsInput!$M$33,CHOOSE(ArtifactsInput!$N$33+1,30,36,42,48,54,60),0))+(IF(AND(ArtifactsInput!$M$35,Inputs!$B$4&lt;&gt;"Chapter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4">
      <c r="A1354">
        <f>Skills!A3</f>
        <v/>
      </c>
      <c r="B1354">
        <f>Skills!B3</f>
        <v/>
      </c>
      <c r="C1354">
        <f>Inputs!$B$3&gt;=50</f>
        <v/>
      </c>
      <c r="D1354">
        <f>IF(Skills!C3=1,60+Inputs!$B$25+Inputs!$B$29,IF(Skills!C3=2,90+Inputs!$B$26+Inputs!$B$29,IF(Skills!C3=3,120+Inputs!$B$27+Inputs!$B$29,MAX(0,(Inputs!$B$3-100)*3)+Inputs!$B$28+Inputs!$B$29)))</f>
        <v/>
      </c>
      <c r="E1354">
        <f>INDEX(FactorTable!$B$2:$Y$301, MATCH(ROUND(MIN(300,MAX(1,D1354)),0), FactorTable!$A$2:$A$301,0), Skills!M3+1)</f>
        <v/>
      </c>
      <c r="F1354">
        <f>IF(Skills!N3=TRUE,(Skills!L3/10)*(E1354/1000),Skills!L3/10)+Skills!O3</f>
        <v/>
      </c>
      <c r="G1354" t="inlineStr"/>
      <c r="H1354" t="inlineStr"/>
      <c r="I1354" t="inlineStr">
        <is>
          <t>1</t>
        </is>
      </c>
      <c r="J1354" t="inlineStr"/>
      <c r="K1354" t="inlineStr"/>
      <c r="L1354" t="inlineStr"/>
      <c r="M1354" t="inlineStr"/>
      <c r="N1354" t="inlineStr"/>
      <c r="O1354" t="inlineStr"/>
      <c r="P1354" t="inlineStr"/>
      <c r="Q1354" t="inlineStr"/>
      <c r="R1354" t="inlineStr"/>
      <c r="S1354" t="inlineStr"/>
      <c r="U1354">
        <f>INDEX(FactorTable!$B$2:$Y$301, MATCH(ROUND(MIN(300,MAX(1,U1353)),0), FactorTable!$A$2:$A$301,0), 22)</f>
        <v/>
      </c>
    </row>
    <row r="1355">
      <c r="A1355">
        <f>Skills!A4</f>
        <v/>
      </c>
      <c r="B1355">
        <f>Skills!B4</f>
        <v/>
      </c>
      <c r="C1355">
        <f>Inputs!$B$3&gt;=35</f>
        <v/>
      </c>
      <c r="D1355">
        <f>IF(Skills!C4=1,60+Inputs!$B$25+Inputs!$B$29,IF(Skills!C4=2,90+Inputs!$B$26+Inputs!$B$29,IF(Skills!C4=3,120+Inputs!$B$27+Inputs!$B$29,MAX(0,(Inputs!$B$3-100)*3)+Inputs!$B$28+Inputs!$B$29)))</f>
        <v/>
      </c>
      <c r="E1355">
        <f>INDEX(FactorTable!$B$2:$Y$301, MATCH(ROUND(MIN(300,MAX(1,D1355)),0), FactorTable!$A$2:$A$301,0), Skills!M4+1)</f>
        <v/>
      </c>
      <c r="F1355">
        <f>IF(Skills!N4=TRUE,(Skills!L4/10)*(E1355/1000),Skills!L4/10)+Skills!O4</f>
        <v/>
      </c>
      <c r="G1355">
        <f>Skills!G4*IF(Skills!H4&gt;0,Skills!I4/Skills!H4,1)</f>
        <v/>
      </c>
      <c r="H1355">
        <f>1-(1-Skills!J4/100)^Skills!K4</f>
        <v/>
      </c>
      <c r="I1355" t="inlineStr">
        <is>
          <t>1</t>
        </is>
      </c>
      <c r="J1355">
        <f>((Inputs!$B$6*(1+Inputs!$B$7/100))+(((Inputs!$B$12*(1+Inputs!$B$13/100))-(Inputs!$B$12*(1+Inputs!$B$13/100)))+0.25*(Inputs!$B$14-Inputs!$B$14))*(1+Inputs!$B$7/100))*(F1355/100)</f>
        <v/>
      </c>
      <c r="K1355">
        <f>J1355*(1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1363=TRUE,F1363,0)/100)*(1+(IF(Skills!A4="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1355)</f>
        <v/>
      </c>
      <c r="L1355">
        <f>K1355*(MIN(Inputs!$B$22+((C1373=TRUE)*(F1373-Calc!F22)),(Inputs!$B$23+((C1375=TRUE)*(F1375-Calc!F24))+(IF(ArtifactsInput!$M$15,CHOOSE(ArtifactsInput!$N$15+1,25,30,35,40,45,50)/100*(Inputs!$B$11-Inputs!$B$11),0))))/100+(Inputs!$B$23+((C1375=TRUE)*(F1375-Calc!F24))+(IF(ArtifactsInput!$M$15,CHOOSE(ArtifactsInput!$N$15+1,25,30,35,40,45,50)/100*(Inputs!$B$11-Inputs!$B$11),0)))/100)/2</f>
        <v/>
      </c>
      <c r="M1355">
        <f>L1355*(1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5">
        <f>L1355*(1-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1355*(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5">
        <f>(1-Summary!$B$11)*T1355+Summary!$B$11*V1355</f>
        <v/>
      </c>
      <c r="P1355">
        <f>IF(B1388=0,0,O1355/B1388)</f>
        <v/>
      </c>
      <c r="Q1355">
        <f>IFERROR(1/(IF(Inputs!$B$38="pvp",15,MAX(0.1,Skills!D4-IF(Skills!E4=TRUE,Inputs!$B$32,0)))*(1-IF(AND(ArtifactsInput!$M$27,Inputs!$B$4="Chapter Hunt"),CHOOSE(ArtifactsInput!$N$27+1,20,24,28,32,36,40),0)/100)),0)</f>
        <v/>
      </c>
      <c r="R1355">
        <f>IF(AND(Inputs!$B$38&lt;&gt;"pvp",Inputs!$B$43&gt;0),IF(MAX(0,Inputs!$B$43-B1385)&lt;=0,0,(INT(MAX(0,Inputs!$B$43-B1385)/(IF(Inputs!$B$38="pvp",15,MAX(0.1,Skills!D4-IF(Skills!E4=TRUE,Inputs!$B$32,0)))*(1-IF(AND(ArtifactsInput!$M$27,Inputs!$B$4="Chapter Hunt"),CHOOSE(ArtifactsInput!$N$27+1,20,24,28,32,36,40),0)/100)))+1)),0)</f>
        <v/>
      </c>
      <c r="S1355">
        <f>IFERROR(O1355/N1355,0)</f>
        <v/>
      </c>
      <c r="T1355">
        <f>IF(C1355,(H1355*N1355*IF(AND(Inputs!$B$38&lt;&gt;"pvp",Inputs!$B$43&gt;0),((Skills!G4*((R1355-1)*IF(Skills!H4&gt;0,Skills!I4/Skills!H4,1)+IF(Skills!H4&gt;0,MIN(Skills!I4,MAX(0,MAX(0,Inputs!$B$43-B1385)-((R1355-1)*(IF(Inputs!$B$38="pvp",15,MAX(0.1,Skills!D4-IF(Skills!E4=TRUE,Inputs!$B$32,0)))*(1-IF(AND(ArtifactsInput!$M$27,Inputs!$B$4="Chapter Hunt"),CHOOSE(ArtifactsInput!$N$27+1,20,24,28,32,36,40),0)/100)))))/Skills!H4,1)))/Inputs!$B$43),G1355*Q1355)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1355*(1-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1355*(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1355*(1-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1355*(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5">
        <f>290*U1354/1000</f>
        <v/>
      </c>
      <c r="V1355">
        <f>IF(C1355,(H1355*N1355*IF(AND(Inputs!$B$38&lt;&gt;"pvp",Inputs!$B$43&gt;0),((Skills!G4*((R1355-1)*IF(Skills!H4&gt;0,Skills!I4/Skills!H4,1)+IF(Skills!H4&gt;0,MIN(Skills!I4,MAX(0,MAX(0,Inputs!$B$43-B1385)-((R1355-1)*(IF(Inputs!$B$38="pvp",15,MAX(0.1,Skills!D4-IF(Skills!E4=TRUE,Inputs!$B$32,0)))*(1-IF(AND(ArtifactsInput!$M$27,Inputs!$B$4="Chapter Hunt"),CHOOSE(ArtifactsInput!$N$27+1,20,24,28,32,36,40),0)/100)))))/Skills!H4,1)))/Inputs!$B$43),G1355*Q1355))*IF(Inputs!$B$38="pvp",1,(1+(Inputs!$B$21+Skills!Q4+(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6">
      <c r="A1356">
        <f>Skills!A5</f>
        <v/>
      </c>
      <c r="B1356">
        <f>Skills!B5</f>
        <v/>
      </c>
      <c r="C1356">
        <f>Inputs!$B$3&gt;=66</f>
        <v/>
      </c>
      <c r="D1356">
        <f>IF(Skills!C5=1,60+Inputs!$B$25+Inputs!$B$29,IF(Skills!C5=2,90+Inputs!$B$26+Inputs!$B$29,IF(Skills!C5=3,120+Inputs!$B$27+Inputs!$B$29,MAX(0,(Inputs!$B$3-100)*3)+Inputs!$B$28+Inputs!$B$29)))</f>
        <v/>
      </c>
      <c r="E1356">
        <f>INDEX(FactorTable!$B$2:$Y$301, MATCH(ROUND(MIN(300,MAX(1,D1356)),0), FactorTable!$A$2:$A$301,0), Skills!M5+1)</f>
        <v/>
      </c>
      <c r="F1356">
        <f>IF(Skills!N5=TRUE,(Skills!L5/10)*(E1356/1000),Skills!L5/10)+Skills!O5</f>
        <v/>
      </c>
      <c r="G1356">
        <f>Skills!G5*IF(Skills!H5&gt;0,Skills!I5/Skills!H5,1)</f>
        <v/>
      </c>
      <c r="H1356">
        <f>1-(1-Skills!J5/100)^Skills!K5</f>
        <v/>
      </c>
      <c r="I1356" t="inlineStr">
        <is>
          <t>1</t>
        </is>
      </c>
      <c r="J1356">
        <f>((Inputs!$B$6*(1+Inputs!$B$7/100))+(((Inputs!$B$12*(1+Inputs!$B$13/100))-(Inputs!$B$12*(1+Inputs!$B$13/100)))+0.25*(Inputs!$B$14-Inputs!$B$14))*(1+Inputs!$B$7/100))*(F1356/100)</f>
        <v/>
      </c>
      <c r="K1356">
        <f>J1356*(1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1363=TRUE,F1363,0)/100)*(1+(IF(Skills!A5="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1356)</f>
        <v/>
      </c>
      <c r="L1356">
        <f>K1356*(MIN(Inputs!$B$22+((C1373=TRUE)*(F1373-Calc!F22)),(Inputs!$B$23+((C1375=TRUE)*(F1375-Calc!F24))+(IF(ArtifactsInput!$M$15,CHOOSE(ArtifactsInput!$N$15+1,25,30,35,40,45,50)/100*(Inputs!$B$11-Inputs!$B$11),0))))/100+(Inputs!$B$23+((C1375=TRUE)*(F1375-Calc!F24))+(IF(ArtifactsInput!$M$15,CHOOSE(ArtifactsInput!$N$15+1,25,30,35,40,45,50)/100*(Inputs!$B$11-Inputs!$B$11),0)))/100)/2</f>
        <v/>
      </c>
      <c r="M1356">
        <f>L1356*(1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6">
        <f>L1356*(1-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1356*(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6">
        <f>(1-Summary!$B$11)*T1356+Summary!$B$11*V1356</f>
        <v/>
      </c>
      <c r="P1356">
        <f>IF(B1388=0,0,O1356/B1388)</f>
        <v/>
      </c>
      <c r="Q1356">
        <f>IFERROR(1/(IF(Inputs!$B$38="pvp",15,MAX(0.1,Skills!D5-IF(Skills!E5=TRUE,Inputs!$B$32,0)))*(1-IF(AND(ArtifactsInput!$M$27,Inputs!$B$4="Chapter Hunt"),CHOOSE(ArtifactsInput!$N$27+1,20,24,28,32,36,40),0)/100)),0)</f>
        <v/>
      </c>
      <c r="R1356">
        <f>IF(AND(Inputs!$B$38&lt;&gt;"pvp",Inputs!$B$43&gt;0),IF(MAX(0,Inputs!$B$43-B1385)&lt;=0,0,(INT(MAX(0,Inputs!$B$43-B1385)/(IF(Inputs!$B$38="pvp",15,MAX(0.1,Skills!D5-IF(Skills!E5=TRUE,Inputs!$B$32,0)))*(1-IF(AND(ArtifactsInput!$M$27,Inputs!$B$4="Chapter Hunt"),CHOOSE(ArtifactsInput!$N$27+1,20,24,28,32,36,40),0)/100)))+1)),0)</f>
        <v/>
      </c>
      <c r="S1356">
        <f>IFERROR(O1356/N1356,0)</f>
        <v/>
      </c>
      <c r="T1356">
        <f>IF(C1356,(H1356*N1356*IF(AND(Inputs!$B$38&lt;&gt;"pvp",Inputs!$B$43&gt;0),((Skills!G5*((R1356-1)*IF(Skills!H5&gt;0,Skills!I5/Skills!H5,1)+IF(Skills!H5&gt;0,MIN(Skills!I5,MAX(0,MAX(0,Inputs!$B$43-B1385)-((R1356-1)*(IF(Inputs!$B$38="pvp",15,MAX(0.1,Skills!D5-IF(Skills!E5=TRUE,Inputs!$B$32,0)))*(1-IF(AND(ArtifactsInput!$M$27,Inputs!$B$4="Chapter Hunt"),CHOOSE(ArtifactsInput!$N$27+1,20,24,28,32,36,40),0)/100)))))/Skills!H5,1)))/Inputs!$B$43),G1356*Q1356)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1356*(1-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1356*(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1356*(1-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1356*(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6">
        <f>IF(C1356,(H1356*N1356*IF(AND(Inputs!$B$38&lt;&gt;"pvp",Inputs!$B$43&gt;0),((Skills!G5*((R1356-1)*IF(Skills!H5&gt;0,Skills!I5/Skills!H5,1)+IF(Skills!H5&gt;0,MIN(Skills!I5,MAX(0,MAX(0,Inputs!$B$43-B1385)-((R1356-1)*(IF(Inputs!$B$38="pvp",15,MAX(0.1,Skills!D5-IF(Skills!E5=TRUE,Inputs!$B$32,0)))*(1-IF(AND(ArtifactsInput!$M$27,Inputs!$B$4="Chapter Hunt"),CHOOSE(ArtifactsInput!$N$27+1,20,24,28,32,36,40),0)/100)))))/Skills!H5,1)))/Inputs!$B$43),G1356*Q1356))*IF(Inputs!$B$38="pvp",1,(1+(Inputs!$B$21+Skills!Q5+(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7">
      <c r="A1357">
        <f>Skills!A6</f>
        <v/>
      </c>
      <c r="B1357">
        <f>Skills!B6</f>
        <v/>
      </c>
      <c r="C1357">
        <f>Inputs!$B$3&gt;=103</f>
        <v/>
      </c>
      <c r="D1357">
        <f>IF(Skills!C6=1,60+Inputs!$B$25+Inputs!$B$29,IF(Skills!C6=2,90+Inputs!$B$26+Inputs!$B$29,IF(Skills!C6=3,120+Inputs!$B$27+Inputs!$B$29,MAX(0,(Inputs!$B$3-100)*3)+Inputs!$B$28+Inputs!$B$29)))</f>
        <v/>
      </c>
      <c r="E1357">
        <f>INDEX(FactorTable!$B$2:$Y$301, MATCH(ROUND(MIN(300,MAX(1,D1357)),0), FactorTable!$A$2:$A$301,0), Skills!M6+1)</f>
        <v/>
      </c>
      <c r="F1357">
        <f>IF(Skills!N6=TRUE,(Skills!L6/10)*(E1357/1000),Skills!L6/10)+Skills!O6</f>
        <v/>
      </c>
      <c r="G1357">
        <f>Skills!G6*IF(Skills!H6&gt;0,Skills!I6/Skills!H6,1)</f>
        <v/>
      </c>
      <c r="H1357">
        <f>1-(1-Skills!J6/100)^Skills!K6</f>
        <v/>
      </c>
      <c r="I1357" t="inlineStr">
        <is>
          <t>1</t>
        </is>
      </c>
      <c r="J1357">
        <f>((Inputs!$B$6*(1+Inputs!$B$7/100))+(((Inputs!$B$12*(1+Inputs!$B$13/100))-(Inputs!$B$12*(1+Inputs!$B$13/100)))+0.25*(Inputs!$B$14-Inputs!$B$14))*(1+Inputs!$B$7/100))*(F1357/100)</f>
        <v/>
      </c>
      <c r="K1357">
        <f>J1357*(1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1357)</f>
        <v/>
      </c>
      <c r="L1357">
        <f>K1357*(MIN(Inputs!$B$22+((C1373=TRUE)*(F1373-Calc!F22)),(Inputs!$B$23+((C1375=TRUE)*(F1375-Calc!F24))+(IF(ArtifactsInput!$M$15,CHOOSE(ArtifactsInput!$N$15+1,25,30,35,40,45,50)/100*(Inputs!$B$11-Inputs!$B$11),0))))/100+(Inputs!$B$23+((C1375=TRUE)*(F1375-Calc!F24))+(IF(ArtifactsInput!$M$15,CHOOSE(ArtifactsInput!$N$15+1,25,30,35,40,45,50)/100*(Inputs!$B$11-Inputs!$B$11),0)))/100)/2</f>
        <v/>
      </c>
      <c r="M1357">
        <f>L1357*(1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7">
        <f>L1357*(1-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1357*(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7">
        <f>(1-Summary!$B$11)*T1357+Summary!$B$11*V1357</f>
        <v/>
      </c>
      <c r="P1357">
        <f>IF(B1388=0,0,O1357/B1388)</f>
        <v/>
      </c>
      <c r="Q1357">
        <f>IFERROR(1/(IF(Inputs!$B$38="pvp",15,MAX(0.1,Skills!D6-IF(Skills!E6=TRUE,Inputs!$B$32,0)))*(1-IF(AND(ArtifactsInput!$M$27,Inputs!$B$4="Chapter Hunt"),CHOOSE(ArtifactsInput!$N$27+1,20,24,28,32,36,40),0)/100)),0)</f>
        <v/>
      </c>
      <c r="R1357">
        <f>IF(AND(Inputs!$B$38&lt;&gt;"pvp",Inputs!$B$43&gt;0),IF(MAX(0,Inputs!$B$43-B1385)&lt;=0,0,(INT(MAX(0,Inputs!$B$43-B1385)/(IF(Inputs!$B$38="pvp",15,MAX(0.1,Skills!D6-IF(Skills!E6=TRUE,Inputs!$B$32,0)))*(1-IF(AND(ArtifactsInput!$M$27,Inputs!$B$4="Chapter Hunt"),CHOOSE(ArtifactsInput!$N$27+1,20,24,28,32,36,40),0)/100)))+1)),0)</f>
        <v/>
      </c>
      <c r="S1357">
        <f>IFERROR(O1357/N1357,0)</f>
        <v/>
      </c>
      <c r="T1357">
        <f>IF(C1357,(H1357*N1357*IF(AND(Inputs!$B$38&lt;&gt;"pvp",Inputs!$B$43&gt;0),((Skills!G6*((R1357-1)*IF(Skills!H6&gt;0,Skills!I6/Skills!H6,1)+IF(Skills!H6&gt;0,MIN(Skills!I6,MAX(0,MAX(0,Inputs!$B$43-B1385)-((R1357-1)*(IF(Inputs!$B$38="pvp",15,MAX(0.1,Skills!D6-IF(Skills!E6=TRUE,Inputs!$B$32,0)))*(1-IF(AND(ArtifactsInput!$M$27,Inputs!$B$4="Chapter Hunt"),CHOOSE(ArtifactsInput!$N$27+1,20,24,28,32,36,40),0)/100)))))/Skills!H6,1)))/Inputs!$B$43),G1357*Q1357)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1357*(1-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1357*(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1357*(1-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1357*(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7">
        <f>IF(C1357,(H1357*N1357*IF(AND(Inputs!$B$38&lt;&gt;"pvp",Inputs!$B$43&gt;0),((Skills!G6*((R1357-1)*IF(Skills!H6&gt;0,Skills!I6/Skills!H6,1)+IF(Skills!H6&gt;0,MIN(Skills!I6,MAX(0,MAX(0,Inputs!$B$43-B1385)-((R1357-1)*(IF(Inputs!$B$38="pvp",15,MAX(0.1,Skills!D6-IF(Skills!E6=TRUE,Inputs!$B$32,0)))*(1-IF(AND(ArtifactsInput!$M$27,Inputs!$B$4="Chapter Hunt"),CHOOSE(ArtifactsInput!$N$27+1,20,24,28,32,36,40),0)/100)))))/Skills!H6,1)))/Inputs!$B$43),G1357*Q1357))*IF(Inputs!$B$38="pvp",1,(1+(Inputs!$B$21+Skills!Q6+(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8">
      <c r="A1358">
        <f>Skills!A7</f>
        <v/>
      </c>
      <c r="B1358">
        <f>Skills!B7</f>
        <v/>
      </c>
      <c r="C1358">
        <f>Inputs!$B$3&gt;=107</f>
        <v/>
      </c>
      <c r="D1358">
        <f>IF(Skills!C7=1,60+Inputs!$B$25+Inputs!$B$29,IF(Skills!C7=2,90+Inputs!$B$26+Inputs!$B$29,IF(Skills!C7=3,120+Inputs!$B$27+Inputs!$B$29,MAX(0,(Inputs!$B$3-100)*3)+Inputs!$B$28+Inputs!$B$29)))</f>
        <v/>
      </c>
      <c r="E1358">
        <f>INDEX(FactorTable!$B$2:$Y$301, MATCH(ROUND(MIN(300,MAX(1,D1358)),0), FactorTable!$A$2:$A$301,0), Skills!M7+1)</f>
        <v/>
      </c>
      <c r="F1358">
        <f>IF(Skills!N7=TRUE,(Skills!L7/10)*(E1358/1000),Skills!L7/10)+Skills!O7</f>
        <v/>
      </c>
      <c r="G1358">
        <f>Skills!G7*IF(Skills!H7&gt;0,Skills!I7/Skills!H7,1)</f>
        <v/>
      </c>
      <c r="H1358">
        <f>1-(1-Skills!J7/100)^Skills!K7</f>
        <v/>
      </c>
      <c r="I1358" t="inlineStr">
        <is>
          <t>1</t>
        </is>
      </c>
      <c r="J1358">
        <f>((Inputs!$B$6*(1+Inputs!$B$7/100))+(((Inputs!$B$12*(1+Inputs!$B$13/100))-(Inputs!$B$12*(1+Inputs!$B$13/100)))+0.25*(Inputs!$B$14-Inputs!$B$14))*(1+Inputs!$B$7/100))*(F1358/100)</f>
        <v/>
      </c>
      <c r="K1358">
        <f>J1358*(1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1358)</f>
        <v/>
      </c>
      <c r="L1358">
        <f>K1358*(MIN(Inputs!$B$22+((C1373=TRUE)*(F1373-Calc!F22)),(Inputs!$B$23+((C1375=TRUE)*(F1375-Calc!F24))+(IF(ArtifactsInput!$M$15,CHOOSE(ArtifactsInput!$N$15+1,25,30,35,40,45,50)/100*(Inputs!$B$11-Inputs!$B$11),0))))/100+(Inputs!$B$23+((C1375=TRUE)*(F1375-Calc!F24))+(IF(ArtifactsInput!$M$15,CHOOSE(ArtifactsInput!$N$15+1,25,30,35,40,45,50)/100*(Inputs!$B$11-Inputs!$B$11),0)))/100)/2</f>
        <v/>
      </c>
      <c r="M1358">
        <f>L1358*(1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8">
        <f>L1358*(1-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1358*(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8">
        <f>(1-Summary!$B$11)*T1358+Summary!$B$11*V1358</f>
        <v/>
      </c>
      <c r="P1358">
        <f>IF(B1388=0,0,O1358/B1388)</f>
        <v/>
      </c>
      <c r="Q1358">
        <f>IFERROR(1/(IF(Inputs!$B$38="pvp",15,MAX(0.1,Skills!D7-IF(Skills!E7=TRUE,Inputs!$B$32,0)))*(1-IF(AND(ArtifactsInput!$M$27,Inputs!$B$4="Chapter Hunt"),CHOOSE(ArtifactsInput!$N$27+1,20,24,28,32,36,40),0)/100)),0)</f>
        <v/>
      </c>
      <c r="R1358">
        <f>IF(AND(Inputs!$B$38&lt;&gt;"pvp",Inputs!$B$43&gt;0),IF(MAX(0,Inputs!$B$43-B1385)&lt;=0,0,(INT(MAX(0,Inputs!$B$43-B1385)/(IF(Inputs!$B$38="pvp",15,MAX(0.1,Skills!D7-IF(Skills!E7=TRUE,Inputs!$B$32,0)))*(1-IF(AND(ArtifactsInput!$M$27,Inputs!$B$4="Chapter Hunt"),CHOOSE(ArtifactsInput!$N$27+1,20,24,28,32,36,40),0)/100)))+1)),0)</f>
        <v/>
      </c>
      <c r="S1358">
        <f>IFERROR(O1358/N1358,0)</f>
        <v/>
      </c>
      <c r="T1358">
        <f>IF(C1358,(H1358*N1358*IF(AND(Inputs!$B$38&lt;&gt;"pvp",Inputs!$B$43&gt;0),((Skills!G7*((R1358-1)*IF(Skills!H7&gt;0,Skills!I7/Skills!H7,1)+IF(Skills!H7&gt;0,MIN(Skills!I7,MAX(0,MAX(0,Inputs!$B$43-B1385)-((R1358-1)*(IF(Inputs!$B$38="pvp",15,MAX(0.1,Skills!D7-IF(Skills!E7=TRUE,Inputs!$B$32,0)))*(1-IF(AND(ArtifactsInput!$M$27,Inputs!$B$4="Chapter Hunt"),CHOOSE(ArtifactsInput!$N$27+1,20,24,28,32,36,40),0)/100)))))/Skills!H7,1)))/Inputs!$B$43),G1358*Q1358)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1358*(1-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1358*(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1358*(1-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1358*(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8">
        <f>IF(C1358,(H1358*N1358*IF(AND(Inputs!$B$38&lt;&gt;"pvp",Inputs!$B$43&gt;0),((Skills!G7*((R1358-1)*IF(Skills!H7&gt;0,Skills!I7/Skills!H7,1)+IF(Skills!H7&gt;0,MIN(Skills!I7,MAX(0,MAX(0,Inputs!$B$43-B1385)-((R1358-1)*(IF(Inputs!$B$38="pvp",15,MAX(0.1,Skills!D7-IF(Skills!E7=TRUE,Inputs!$B$32,0)))*(1-IF(AND(ArtifactsInput!$M$27,Inputs!$B$4="Chapter Hunt"),CHOOSE(ArtifactsInput!$N$27+1,20,24,28,32,36,40),0)/100)))))/Skills!H7,1)))/Inputs!$B$43),G1358*Q1358))*IF(Inputs!$B$38="pvp",1,(1+(Inputs!$B$21+Skills!Q7+(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9">
      <c r="A1359">
        <f>Skills!A8</f>
        <v/>
      </c>
      <c r="B1359">
        <f>Skills!B8</f>
        <v/>
      </c>
      <c r="C1359">
        <f>Inputs!$B$3&gt;=107</f>
        <v/>
      </c>
      <c r="D1359">
        <f>IF(Skills!C8=1,60+Inputs!$B$25+Inputs!$B$29,IF(Skills!C8=2,90+Inputs!$B$26+Inputs!$B$29,IF(Skills!C8=3,120+Inputs!$B$27+Inputs!$B$29,MAX(0,(Inputs!$B$3-100)*3)+Inputs!$B$28+Inputs!$B$29)))</f>
        <v/>
      </c>
      <c r="E1359">
        <f>INDEX(FactorTable!$B$2:$Y$301, MATCH(ROUND(MIN(300,MAX(1,D1359)),0), FactorTable!$A$2:$A$301,0), Skills!M8+1)</f>
        <v/>
      </c>
      <c r="F1359">
        <f>IF(Skills!N8=TRUE,(Skills!L8/10)*(E1359/1000),Skills!L8/10)+Skills!O8</f>
        <v/>
      </c>
      <c r="G1359">
        <f>Skills!G8*IF(Skills!H8&gt;0,Skills!I8/Skills!H8,1)</f>
        <v/>
      </c>
      <c r="H1359">
        <f>1-(1-Skills!J8/100)^Skills!K8</f>
        <v/>
      </c>
      <c r="I1359" t="inlineStr">
        <is>
          <t>1</t>
        </is>
      </c>
      <c r="J1359">
        <f>((Inputs!$B$6*(1+Inputs!$B$7/100))+(((Inputs!$B$12*(1+Inputs!$B$13/100))-(Inputs!$B$12*(1+Inputs!$B$13/100)))+0.25*(Inputs!$B$14-Inputs!$B$14))*(1+Inputs!$B$7/100))*(F1359/100)</f>
        <v/>
      </c>
      <c r="K1359">
        <f>J1359*(1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1359)</f>
        <v/>
      </c>
      <c r="L1359">
        <f>K1359*(MIN(Inputs!$B$22+((C1373=TRUE)*(F1373-Calc!F22)),(Inputs!$B$23+((C1375=TRUE)*(F1375-Calc!F24))+(IF(ArtifactsInput!$M$15,CHOOSE(ArtifactsInput!$N$15+1,25,30,35,40,45,50)/100*(Inputs!$B$11-Inputs!$B$11),0))))/100+(Inputs!$B$23+((C1375=TRUE)*(F1375-Calc!F24))+(IF(ArtifactsInput!$M$15,CHOOSE(ArtifactsInput!$N$15+1,25,30,35,40,45,50)/100*(Inputs!$B$11-Inputs!$B$11),0)))/100)/2</f>
        <v/>
      </c>
      <c r="M1359">
        <f>L1359*(1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9">
        <f>L1359*(1-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1359*(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9">
        <f>(1-Summary!$B$11)*T1359+Summary!$B$11*V1359</f>
        <v/>
      </c>
      <c r="P1359">
        <f>IF(B1388=0,0,O1359/B1388)</f>
        <v/>
      </c>
      <c r="Q1359">
        <f>IFERROR(1/(IF(Inputs!$B$38="pvp",15,MAX(0.1,Skills!D8-IF(Skills!E8=TRUE,Inputs!$B$32,0)))*(1-IF(AND(ArtifactsInput!$M$27,Inputs!$B$4="Chapter Hunt"),CHOOSE(ArtifactsInput!$N$27+1,20,24,28,32,36,40),0)/100)),0)</f>
        <v/>
      </c>
      <c r="R1359">
        <f>IF(AND(Inputs!$B$38&lt;&gt;"pvp",Inputs!$B$43&gt;0),IF(MAX(0,Inputs!$B$43-B1385)&lt;=0,0,(INT(MAX(0,Inputs!$B$43-B1385)/(IF(Inputs!$B$38="pvp",15,MAX(0.1,Skills!D8-IF(Skills!E8=TRUE,Inputs!$B$32,0)))*(1-IF(AND(ArtifactsInput!$M$27,Inputs!$B$4="Chapter Hunt"),CHOOSE(ArtifactsInput!$N$27+1,20,24,28,32,36,40),0)/100)))+1)),0)</f>
        <v/>
      </c>
      <c r="S1359">
        <f>IFERROR(O1359/N1359,0)</f>
        <v/>
      </c>
      <c r="T1359">
        <f>IF(C1359,(H1359*N1359*IF(AND(Inputs!$B$38&lt;&gt;"pvp",Inputs!$B$43&gt;0),((Skills!G8*((R1359-1)*IF(Skills!H8&gt;0,Skills!I8/Skills!H8,1)+IF(Skills!H8&gt;0,MIN(Skills!I8,MAX(0,MAX(0,Inputs!$B$43-B1385)-((R1359-1)*(IF(Inputs!$B$38="pvp",15,MAX(0.1,Skills!D8-IF(Skills!E8=TRUE,Inputs!$B$32,0)))*(1-IF(AND(ArtifactsInput!$M$27,Inputs!$B$4="Chapter Hunt"),CHOOSE(ArtifactsInput!$N$27+1,20,24,28,32,36,40),0)/100)))))/Skills!H8,1)))/Inputs!$B$43),G1359*Q1359)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1359*(1-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1359*(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1359*(1-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1359*(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59">
        <f>IF(C1359,(H1359*N1359*IF(AND(Inputs!$B$38&lt;&gt;"pvp",Inputs!$B$43&gt;0),((Skills!G8*((R1359-1)*IF(Skills!H8&gt;0,Skills!I8/Skills!H8,1)+IF(Skills!H8&gt;0,MIN(Skills!I8,MAX(0,MAX(0,Inputs!$B$43-B1385)-((R1359-1)*(IF(Inputs!$B$38="pvp",15,MAX(0.1,Skills!D8-IF(Skills!E8=TRUE,Inputs!$B$32,0)))*(1-IF(AND(ArtifactsInput!$M$27,Inputs!$B$4="Chapter Hunt"),CHOOSE(ArtifactsInput!$N$27+1,20,24,28,32,36,40),0)/100)))))/Skills!H8,1)))/Inputs!$B$43),G1359*Q1359))*IF(Inputs!$B$38="pvp",1,(1+(Inputs!$B$21+Skills!Q8+(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0">
      <c r="A1360">
        <f>Skills!A9</f>
        <v/>
      </c>
      <c r="B1360">
        <f>Skills!B9</f>
        <v/>
      </c>
      <c r="C1360">
        <f>Inputs!$B$3&gt;=125</f>
        <v/>
      </c>
      <c r="D1360">
        <f>IF(Skills!C9=1,60+Inputs!$B$25+Inputs!$B$29,IF(Skills!C9=2,90+Inputs!$B$26+Inputs!$B$29,IF(Skills!C9=3,120+Inputs!$B$27+Inputs!$B$29,MAX(0,(Inputs!$B$3-100)*3)+Inputs!$B$28+Inputs!$B$29)))</f>
        <v/>
      </c>
      <c r="E1360">
        <f>INDEX(FactorTable!$B$2:$Y$301, MATCH(ROUND(MIN(300,MAX(1,D1360)),0), FactorTable!$A$2:$A$301,0), Skills!M9+1)</f>
        <v/>
      </c>
      <c r="F1360">
        <f>IF(Skills!N9=TRUE,(Skills!L9/10)*(E1360/1000),Skills!L9/10)+Skills!O9</f>
        <v/>
      </c>
      <c r="G1360">
        <f>Skills!G9*IF(Skills!H9&gt;0,Skills!I9/Skills!H9,1)</f>
        <v/>
      </c>
      <c r="H1360">
        <f>1-(1-Skills!J9/100)^Skills!K9</f>
        <v/>
      </c>
      <c r="I1360" t="inlineStr">
        <is>
          <t>1</t>
        </is>
      </c>
      <c r="J1360">
        <f>((Inputs!$B$6*(1+Inputs!$B$7/100))+(((Inputs!$B$12*(1+Inputs!$B$13/100))-(Inputs!$B$12*(1+Inputs!$B$13/100)))+0.25*(Inputs!$B$14-Inputs!$B$14))*(1+Inputs!$B$7/100))*(F1360/100)</f>
        <v/>
      </c>
      <c r="K1360">
        <f>J1360*(1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1360)</f>
        <v/>
      </c>
      <c r="L1360">
        <f>K1360*(MIN(Inputs!$B$22+((C1373=TRUE)*(F1373-Calc!F22)),(Inputs!$B$23+((C1375=TRUE)*(F1375-Calc!F24))+(IF(ArtifactsInput!$M$15,CHOOSE(ArtifactsInput!$N$15+1,25,30,35,40,45,50)/100*(Inputs!$B$11-Inputs!$B$11),0))))/100+(Inputs!$B$23+((C1375=TRUE)*(F1375-Calc!F24))+(IF(ArtifactsInput!$M$15,CHOOSE(ArtifactsInput!$N$15+1,25,30,35,40,45,50)/100*(Inputs!$B$11-Inputs!$B$11),0)))/100)/2</f>
        <v/>
      </c>
      <c r="M1360">
        <f>L1360*(1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0">
        <f>L1360*(1-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1360*(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0">
        <f>(1-Summary!$B$11)*T1360+Summary!$B$11*V1360</f>
        <v/>
      </c>
      <c r="P1360">
        <f>IF(B1388=0,0,O1360/B1388)</f>
        <v/>
      </c>
      <c r="Q1360">
        <f>IFERROR(1/(IF(Inputs!$B$38="pvp",15,MAX(0.1,Skills!D9-IF(Skills!E9=TRUE,Inputs!$B$32,0)))*(1-IF(AND(ArtifactsInput!$M$27,Inputs!$B$4="Chapter Hunt"),CHOOSE(ArtifactsInput!$N$27+1,20,24,28,32,36,40),0)/100)),0)</f>
        <v/>
      </c>
      <c r="R1360">
        <f>IF(AND(Inputs!$B$38&lt;&gt;"pvp",Inputs!$B$43&gt;0),IF(MAX(0,Inputs!$B$43-B1385)&lt;=0,0,(INT(MAX(0,Inputs!$B$43-B1385)/(IF(Inputs!$B$38="pvp",15,MAX(0.1,Skills!D9-IF(Skills!E9=TRUE,Inputs!$B$32,0)))*(1-IF(AND(ArtifactsInput!$M$27,Inputs!$B$4="Chapter Hunt"),CHOOSE(ArtifactsInput!$N$27+1,20,24,28,32,36,40),0)/100)))+1)),0)</f>
        <v/>
      </c>
      <c r="S1360">
        <f>IFERROR(O1360/N1360,0)</f>
        <v/>
      </c>
      <c r="T1360">
        <f>IF(C1360,(H1360*N1360*IF(AND(Inputs!$B$38&lt;&gt;"pvp",Inputs!$B$43&gt;0),((Skills!G9*((R1360-1)*IF(Skills!H9&gt;0,Skills!I9/Skills!H9,1)+IF(Skills!H9&gt;0,MIN(Skills!I9,MAX(0,MAX(0,Inputs!$B$43-B1385)-((R1360-1)*(IF(Inputs!$B$38="pvp",15,MAX(0.1,Skills!D9-IF(Skills!E9=TRUE,Inputs!$B$32,0)))*(1-IF(AND(ArtifactsInput!$M$27,Inputs!$B$4="Chapter Hunt"),CHOOSE(ArtifactsInput!$N$27+1,20,24,28,32,36,40),0)/100)))))/Skills!H9,1)))/Inputs!$B$43),G1360*Q1360)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1360*(1-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1360*(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1360*(1-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1360*(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0">
        <f>IF(C1360,(H1360*N1360*IF(AND(Inputs!$B$38&lt;&gt;"pvp",Inputs!$B$43&gt;0),((Skills!G9*((R1360-1)*IF(Skills!H9&gt;0,Skills!I9/Skills!H9,1)+IF(Skills!H9&gt;0,MIN(Skills!I9,MAX(0,MAX(0,Inputs!$B$43-B1385)-((R1360-1)*(IF(Inputs!$B$38="pvp",15,MAX(0.1,Skills!D9-IF(Skills!E9=TRUE,Inputs!$B$32,0)))*(1-IF(AND(ArtifactsInput!$M$27,Inputs!$B$4="Chapter Hunt"),CHOOSE(ArtifactsInput!$N$27+1,20,24,28,32,36,40),0)/100)))))/Skills!H9,1)))/Inputs!$B$43),G1360*Q1360))*IF(Inputs!$B$38="pvp",1,(1+(Inputs!$B$21+Skills!Q9+(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1">
      <c r="A1361">
        <f>Skills!A10</f>
        <v/>
      </c>
      <c r="B1361">
        <f>Skills!B10</f>
        <v/>
      </c>
      <c r="C1361">
        <f>Inputs!$B$3&gt;=117</f>
        <v/>
      </c>
      <c r="D1361">
        <f>IF(Skills!C10=1,60+Inputs!$B$25+Inputs!$B$29,IF(Skills!C10=2,90+Inputs!$B$26+Inputs!$B$29,IF(Skills!C10=3,120+Inputs!$B$27+Inputs!$B$29,MAX(0,(Inputs!$B$3-100)*3)+Inputs!$B$28+Inputs!$B$29)))</f>
        <v/>
      </c>
      <c r="E1361">
        <f>INDEX(FactorTable!$B$2:$Y$301, MATCH(ROUND(MIN(300,MAX(1,D1361)),0), FactorTable!$A$2:$A$301,0), Skills!M10+1)</f>
        <v/>
      </c>
      <c r="F1361">
        <f>IF(Skills!N10=TRUE,(Skills!L10/10)*(E1361/1000),Skills!L10/10)+Skills!O10</f>
        <v/>
      </c>
      <c r="G1361">
        <f>Skills!G10*IF(Skills!H10&gt;0,Skills!I10/Skills!H10,1)</f>
        <v/>
      </c>
      <c r="H1361">
        <f>1-(1-Skills!J10/100)^Skills!K10</f>
        <v/>
      </c>
      <c r="I1361" t="inlineStr">
        <is>
          <t>1</t>
        </is>
      </c>
      <c r="J1361">
        <f>((Inputs!$B$6*(1+Inputs!$B$7/100))+(((Inputs!$B$12*(1+Inputs!$B$13/100))-(Inputs!$B$12*(1+Inputs!$B$13/100)))+0.25*(Inputs!$B$14-Inputs!$B$14))*(1+Inputs!$B$7/100))*(F1361/100)</f>
        <v/>
      </c>
      <c r="K1361">
        <f>J1361*(1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1361)</f>
        <v/>
      </c>
      <c r="L1361">
        <f>K1361*(MIN(Inputs!$B$22+((C1373=TRUE)*(F1373-Calc!F22)),(Inputs!$B$23+((C1375=TRUE)*(F1375-Calc!F24))+(IF(ArtifactsInput!$M$15,CHOOSE(ArtifactsInput!$N$15+1,25,30,35,40,45,50)/100*(Inputs!$B$11-Inputs!$B$11),0))))/100+(Inputs!$B$23+((C1375=TRUE)*(F1375-Calc!F24))+(IF(ArtifactsInput!$M$15,CHOOSE(ArtifactsInput!$N$15+1,25,30,35,40,45,50)/100*(Inputs!$B$11-Inputs!$B$11),0)))/100)/2</f>
        <v/>
      </c>
      <c r="M1361">
        <f>L1361*(1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1">
        <f>L1361*(1-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1">
        <f>(1-Summary!$B$11)*T1361+Summary!$B$11*V1361</f>
        <v/>
      </c>
      <c r="P1361">
        <f>IF(B1388=0,0,O1361/B1388)</f>
        <v/>
      </c>
      <c r="Q1361">
        <f>IFERROR(1/(IF(Inputs!$B$38="pvp",15,MAX(0.1,Skills!D10-IF(Skills!E10=TRUE,Inputs!$B$32,0)))*(1-IF(AND(ArtifactsInput!$M$27,Inputs!$B$4="Chapter Hunt"),CHOOSE(ArtifactsInput!$N$27+1,20,24,28,32,36,40),0)/100)),0)</f>
        <v/>
      </c>
      <c r="R1361">
        <f>IF(AND(Inputs!$B$38&lt;&gt;"pvp",Inputs!$B$43&gt;0),IF(MAX(0,Inputs!$B$43-B1385)&lt;=0,0,(INT(MAX(0,Inputs!$B$43-B1385)/(IF(Inputs!$B$38="pvp",15,MAX(0.1,Skills!D10-IF(Skills!E10=TRUE,Inputs!$B$32,0)))*(1-IF(AND(ArtifactsInput!$M$27,Inputs!$B$4="Chapter Hunt"),CHOOSE(ArtifactsInput!$N$27+1,20,24,28,32,36,40),0)/100)))+1)),0)</f>
        <v/>
      </c>
      <c r="S1361">
        <f>IFERROR(O1361/N1361,0)</f>
        <v/>
      </c>
      <c r="T1361">
        <f>IF(C1361,(H1361*N1361*IF(AND(Inputs!$B$38&lt;&gt;"pvp",Inputs!$B$43&gt;0),((Skills!G10*((R1361-1)*IF(Skills!H10&gt;0,Skills!I10/Skills!H10,1)+IF(Skills!H10&gt;0,MIN(Skills!I10,MAX(0,MAX(0,Inputs!$B$43-B1385)-((R1361-1)*(IF(Inputs!$B$38="pvp",15,MAX(0.1,Skills!D10-IF(Skills!E10=TRUE,Inputs!$B$32,0)))*(1-IF(AND(ArtifactsInput!$M$27,Inputs!$B$4="Chapter Hunt"),CHOOSE(ArtifactsInput!$N$27+1,20,24,28,32,36,40),0)/100)))))/Skills!H10,1)))/Inputs!$B$43),G1361*Q1361)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1361*(1-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1361*(1-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1">
        <f>IF(C1361,(H1361*N1361*IF(AND(Inputs!$B$38&lt;&gt;"pvp",Inputs!$B$43&gt;0),((Skills!G10*((R1361-1)*IF(Skills!H10&gt;0,Skills!I10/Skills!H10,1)+IF(Skills!H10&gt;0,MIN(Skills!I10,MAX(0,MAX(0,Inputs!$B$43-B1385)-((R1361-1)*(IF(Inputs!$B$38="pvp",15,MAX(0.1,Skills!D10-IF(Skills!E10=TRUE,Inputs!$B$32,0)))*(1-IF(AND(ArtifactsInput!$M$27,Inputs!$B$4="Chapter Hunt"),CHOOSE(ArtifactsInput!$N$27+1,20,24,28,32,36,40),0)/100)))))/Skills!H10,1)))/Inputs!$B$43),G1361*Q1361))*IF(Inputs!$B$38="pvp",1,(1+(Inputs!$B$21+Skills!Q10+(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2">
      <c r="A1362">
        <f>Skills!A11</f>
        <v/>
      </c>
      <c r="B1362">
        <f>Skills!B11</f>
        <v/>
      </c>
      <c r="C1362">
        <f>Inputs!$B$3&gt;=63</f>
        <v/>
      </c>
      <c r="D1362">
        <f>IF(Skills!C11=1,60+Inputs!$B$25+Inputs!$B$29,IF(Skills!C11=2,90+Inputs!$B$26+Inputs!$B$29,IF(Skills!C11=3,120+Inputs!$B$27+Inputs!$B$29,MAX(0,(Inputs!$B$3-100)*3)+Inputs!$B$28+Inputs!$B$29)))</f>
        <v/>
      </c>
      <c r="E1362">
        <f>INDEX(FactorTable!$B$2:$Y$301, MATCH(ROUND(MIN(300,MAX(1,D1362)),0), FactorTable!$A$2:$A$301,0), Skills!M11+1)</f>
        <v/>
      </c>
      <c r="F1362">
        <f>IF(Skills!N11=TRUE,(Skills!L11/10)*(E1362/1000),Skills!L11/10)+Skills!O11</f>
        <v/>
      </c>
      <c r="G1362">
        <f>Skills!G11*IF(Skills!H11&gt;0,Skills!I11/Skills!H11,1)</f>
        <v/>
      </c>
      <c r="H1362">
        <f>1-(1-Skills!J11/100)^Skills!K11</f>
        <v/>
      </c>
      <c r="I1362" t="inlineStr">
        <is>
          <t>1</t>
        </is>
      </c>
      <c r="J1362">
        <f>((Inputs!$B$6*(1+Inputs!$B$7/100))+(((Inputs!$B$12*(1+Inputs!$B$13/100))-(Inputs!$B$12*(1+Inputs!$B$13/100)))+0.25*(Inputs!$B$14-Inputs!$B$14))*(1+Inputs!$B$7/100))*(F1362/100)</f>
        <v/>
      </c>
      <c r="K1362">
        <f>J1362*(1+((Inputs!$B$12*(1+Inputs!$B$13/100))*0.01+Inputs!$B$14*0.0025)/100)*(1+Inputs!$B$15/100)*(1+Inputs!$B$16/100)*(5000/(6000+Inputs!$B$42*(1-(Inputs!$B$19+0)/100)))*(1+(Inputs!$B$24+0+B1384)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1363=TRUE,F1363,0)/100)*(1+(IF(Skills!A11="BLAST",Inputs!$B$17+((C1372=TRUE)*(F1372-Calc!F21))+((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MIN(100,((Inputs!$B$9+0+B1378+(ArtifactsInput!$M$24-ArtifactsInput!$M$24)*CHOOSE(ArtifactsInput!$N$24+1,10,12,14,16,18,20)+IF(ArtifactsInput!$M$10,CHOOSE(ArtifactsInput!$N$10+1,15,18,21,24,27,30)*(IF(Inputs!$B$38="pvp",MIN(15,15)/15,IF(AND(Inputs!$B$38&lt;&gt;"pvp",Inputs!$B$43&gt;0),MIN(15,Inputs!$B$43)/(Inputs!$B$43),0))),0)))-100),0))*CHOOSE(ArtifactsInput!$N$42+1,0.6,0.72,0.84,0.96,1.08,1.2))),Inputs!$B$18+((C1374=TRUE)*(F1374-Calc!F23))+(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gt;=100),CHOOSE(ArtifactsInput!$N$42+1,40,48,56,64,72,80),0))))/100)*((1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1362)</f>
        <v/>
      </c>
      <c r="L1362">
        <f>K1362*(MIN(Inputs!$B$22+((C1373=TRUE)*(F1373-Calc!F22)),(Inputs!$B$23+((C1375=TRUE)*(F1375-Calc!F24))+(IF(ArtifactsInput!$M$15,CHOOSE(ArtifactsInput!$N$15+1,25,30,35,40,45,50)/100*(Inputs!$B$11-Inputs!$B$11),0))))/100+(Inputs!$B$23+((C1375=TRUE)*(F1375-Calc!F24))+(IF(ArtifactsInput!$M$15,CHOOSE(ArtifactsInput!$N$15+1,25,30,35,40,45,50)/100*(Inputs!$B$11-Inputs!$B$11),0)))/100)/2</f>
        <v/>
      </c>
      <c r="M1362">
        <f>L1362*(1+(Inputs!$B$10+0+B1383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62">
        <f>L1362*(1-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1362*(MIN((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62">
        <f>(1-Summary!$B$11)*T1362+Summary!$B$11*V1362</f>
        <v/>
      </c>
      <c r="P1362">
        <f>IF(B1388=0,0,O1362/B1388)</f>
        <v/>
      </c>
      <c r="Q1362">
        <f>IFERROR(1/(IF(Inputs!$B$38="pvp",15,MAX(0.1,Skills!D11-IF(Skills!E11=TRUE,Inputs!$B$32,0)))*(1-IF(AND(ArtifactsInput!$M$27,Inputs!$B$4="Chapter Hunt"),CHOOSE(ArtifactsInput!$N$27+1,20,24,28,32,36,40),0)/100)),0)</f>
        <v/>
      </c>
      <c r="R1362">
        <f>IF(AND(Inputs!$B$38&lt;&gt;"pvp",Inputs!$B$43&gt;0),IF(MAX(0,Inputs!$B$43-B1385)&lt;=0,0,(INT(MAX(0,Inputs!$B$43-B1385)/(IF(Inputs!$B$38="pvp",15,MAX(0.1,Skills!D11-IF(Skills!E11=TRUE,Inputs!$B$32,0)))*(1-IF(AND(ArtifactsInput!$M$27,Inputs!$B$4="Chapter Hunt"),CHOOSE(ArtifactsInput!$N$27+1,20,24,28,32,36,40),0)/100)))+1)),0)</f>
        <v/>
      </c>
      <c r="S1362">
        <f>IFERROR(O1362/N1362,0)</f>
        <v/>
      </c>
      <c r="T1362">
        <f>IF(C1362,(H1362*N1362*IF(AND(Inputs!$B$38&lt;&gt;"pvp",Inputs!$B$43&gt;0),((Skills!G11*((R1362-1)*IF(Skills!H11&gt;0,Skills!I11/Skills!H11,1)+IF(Skills!H11&gt;0,MIN(Skills!I11,MAX(0,MAX(0,Inputs!$B$43-B1385)-((R1362-1)*(IF(Inputs!$B$38="pvp",15,MAX(0.1,Skills!D11-IF(Skills!E11=TRUE,Inputs!$B$32,0)))*(1-IF(AND(ArtifactsInput!$M$27,Inputs!$B$4="Chapter Hunt"),CHOOSE(ArtifactsInput!$N$27+1,20,24,28,32,36,40),0)/100)))))/Skills!H11,1)))/Inputs!$B$43),G1362*Q1362)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1362*(1-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1362*(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1362*(1-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1362*(MIN(100,(Inputs!$B$9+0+B1378+(ArtifactsInput!$M$24-ArtifactsInput!$M$24)*CHOOSE(ArtifactsInput!$N$24+1,10,12,14,16,18,20)+(IF(AND(Inputs!$B$38&lt;&gt;"pvp",Inputs!$B$43=0),1,IF(IF(Inputs!$B$38="pvp",15,Inputs!$B$43)-(B1385)&lt;=0,1,MAX(0,IF(Inputs!$B$38="pvp",15,Inputs!$B$43)-MAX(5,B1385))/(IF(Inputs!$B$38="pvp",15,Inputs!$B$43)-(B1385))))*IF(AND(ArtifactsInput!$M$42,((Inputs!$B$9+0+B1378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62">
        <f>IF(C1362,(H1362*N1362*IF(AND(Inputs!$B$38&lt;&gt;"pvp",Inputs!$B$43&gt;0),((Skills!G11*((R1362-1)*IF(Skills!H11&gt;0,Skills!I11/Skills!H11,1)+IF(Skills!H11&gt;0,MIN(Skills!I11,MAX(0,MAX(0,Inputs!$B$43-B1385)-((R1362-1)*(IF(Inputs!$B$38="pvp",15,MAX(0.1,Skills!D11-IF(Skills!E11=TRUE,Inputs!$B$32,0)))*(1-IF(AND(ArtifactsInput!$M$27,Inputs!$B$4="Chapter Hunt"),CHOOSE(ArtifactsInput!$N$27+1,20,24,28,32,36,40),0)/100)))))/Skills!H11,1)))/Inputs!$B$43),G1362*Q1362))*IF(Inputs!$B$38="pvp",1,(1+(Inputs!$B$21+Skills!Q11+(IF(ArtifactsInput!$M$33,CHOOSE(ArtifactsInput!$N$33+1,30,36,42,48,54,60),0))+(IF(AND(ArtifactsInput!$M$35,Inputs!$B$4&lt;&gt;"Chapter Hunt"),CHOOSE(ArtifactsInput!$N$35+1,15,18,21,24,27,30)*(1-EXP(-(0.2*B1380)*5)),0)+IF(AND(ArtifactsInput!$M$22,Inputs!$B$4&lt;&gt;"Chapter Hunt"),CHOOSE(ArtifactsInput!$N$22+1,10,12,14,16,18,20)*((0*(((0.15*B1380*5))^0/1)+1*(((0.15*B1380*5))^1/1)+2*(((0.15*B1380*5))^2/2)+3*(((0.15*B1380*5))^3/6)+4*(((0.15*B1380*5))^4/24)+5*(((0.15*B1380*5))^5/120))/((((0.15*B1380*5))^0/1)+(((0.15*B1380*5))^1/1)+(((0.15*B1380*5))^2/2)+(((0.15*B1380*5))^3/6)+(((0.15*B1380*5))^4/24)+(((0.15*B1380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63">
      <c r="A1363">
        <f>Skills!A12</f>
        <v/>
      </c>
      <c r="B1363">
        <f>Skills!B12</f>
        <v/>
      </c>
      <c r="C1363">
        <f>Inputs!$B$3&gt;=100</f>
        <v/>
      </c>
      <c r="D1363">
        <f>IF(Skills!C12=1,60+Inputs!$B$25+Inputs!$B$29,IF(Skills!C12=2,90+Inputs!$B$26+Inputs!$B$29,IF(Skills!C12=3,120+Inputs!$B$27+Inputs!$B$29,MAX(0,(Inputs!$B$3-100)*3)+Inputs!$B$28+Inputs!$B$29)))</f>
        <v/>
      </c>
      <c r="E1363">
        <f>INDEX(FactorTable!$B$2:$Y$301, MATCH(ROUND(MIN(300,MAX(1,D1363)),0), FactorTable!$A$2:$A$301,0), Skills!M12+1)</f>
        <v/>
      </c>
      <c r="F1363">
        <f>IF(Skills!N12=TRUE,(Skills!L12/10)*(E1363/1000),Skills!L12/10)+Skills!O12</f>
        <v/>
      </c>
      <c r="G1363" t="inlineStr"/>
      <c r="H1363" t="inlineStr"/>
      <c r="I1363" t="inlineStr">
        <is>
          <t>1</t>
        </is>
      </c>
      <c r="J1363" t="inlineStr"/>
      <c r="K1363" t="inlineStr"/>
      <c r="L1363" t="inlineStr"/>
      <c r="M1363" t="inlineStr"/>
      <c r="N1363" t="inlineStr"/>
      <c r="O1363" t="inlineStr"/>
      <c r="P1363" t="inlineStr"/>
      <c r="Q1363" t="inlineStr"/>
      <c r="R1363" t="inlineStr"/>
      <c r="S1363" t="inlineStr"/>
    </row>
    <row r="1364">
      <c r="A1364">
        <f>Skills!A13</f>
        <v/>
      </c>
      <c r="B1364">
        <f>Skills!B13</f>
        <v/>
      </c>
      <c r="C1364">
        <f>Inputs!$B$3&gt;=45</f>
        <v/>
      </c>
      <c r="D1364">
        <f>IF(Skills!C13=1,60+Inputs!$B$25+Inputs!$B$29,IF(Skills!C13=2,90+Inputs!$B$26+Inputs!$B$29,IF(Skills!C13=3,120+Inputs!$B$27+Inputs!$B$29,MAX(0,(Inputs!$B$3-100)*3)+Inputs!$B$28+Inputs!$B$29)))</f>
        <v/>
      </c>
      <c r="E1364">
        <f>INDEX(FactorTable!$B$2:$Y$301, MATCH(ROUND(MIN(300,MAX(1,D1364)),0), FactorTable!$A$2:$A$301,0), Skills!M13+1)</f>
        <v/>
      </c>
      <c r="F1364">
        <f>IF(Skills!N13=TRUE,(Skills!L13/10)*(E1364/1000),Skills!L13/10)+Skills!O13</f>
        <v/>
      </c>
      <c r="G1364">
        <f>Skills!G13*IF(Skills!H13&gt;0,Skills!I13/Skills!H13,1)</f>
        <v/>
      </c>
      <c r="H1364">
        <f>1-(1-Skills!J13/100)^Skills!K13</f>
        <v/>
      </c>
      <c r="I1364" t="inlineStr">
        <is>
          <t>1</t>
        </is>
      </c>
      <c r="J1364" t="inlineStr"/>
      <c r="K1364" t="inlineStr"/>
      <c r="L1364" t="inlineStr"/>
      <c r="M1364" t="inlineStr"/>
      <c r="N1364" t="inlineStr"/>
      <c r="O1364">
        <f>(1-Summary!$B$11)*T1364+Summary!$B$11*V1364</f>
        <v/>
      </c>
      <c r="P1364">
        <f>IF(B1388=0,0,O1364/B1388)</f>
        <v/>
      </c>
      <c r="Q1364" t="n">
        <v>0</v>
      </c>
      <c r="R1364" t="n">
        <v>0</v>
      </c>
      <c r="S1364">
        <f>IFERROR(O1364/N1364,0)</f>
        <v/>
      </c>
      <c r="T1364" t="n">
        <v>0</v>
      </c>
      <c r="V1364" t="n">
        <v>0</v>
      </c>
    </row>
    <row r="1365">
      <c r="A1365">
        <f>Skills!A14</f>
        <v/>
      </c>
      <c r="B1365">
        <f>Skills!B14</f>
        <v/>
      </c>
      <c r="C1365">
        <f>Inputs!$B$3&gt;=110</f>
        <v/>
      </c>
      <c r="D1365">
        <f>IF(Skills!C14=1,60+Inputs!$B$25+Inputs!$B$29,IF(Skills!C14=2,90+Inputs!$B$26+Inputs!$B$29,IF(Skills!C14=3,120+Inputs!$B$27+Inputs!$B$29,MAX(0,(Inputs!$B$3-100)*3)+Inputs!$B$28+Inputs!$B$29)))</f>
        <v/>
      </c>
      <c r="E1365">
        <f>INDEX(FactorTable!$B$2:$Y$301, MATCH(ROUND(MIN(300,MAX(1,D1365)),0), FactorTable!$A$2:$A$301,0), Skills!M14+1)</f>
        <v/>
      </c>
      <c r="F1365">
        <f>IF(Skills!N14=TRUE,(Skills!L14/10)*(E1365/1000),Skills!L14/10)+Skills!O14</f>
        <v/>
      </c>
      <c r="G1365">
        <f>Skills!G14*IF(Skills!H14&gt;0,Skills!I14/Skills!H14,1)</f>
        <v/>
      </c>
      <c r="H1365">
        <f>1-(1-Skills!J14/100)^Skills!K14</f>
        <v/>
      </c>
      <c r="I1365" t="inlineStr">
        <is>
          <t>1</t>
        </is>
      </c>
      <c r="J1365" t="inlineStr"/>
      <c r="K1365" t="inlineStr"/>
      <c r="L1365" t="inlineStr"/>
      <c r="M1365" t="inlineStr"/>
      <c r="N1365" t="inlineStr"/>
      <c r="O1365">
        <f>(1-Summary!$B$11)*T1365+Summary!$B$11*V1365</f>
        <v/>
      </c>
      <c r="P1365">
        <f>IF(B1388=0,0,O1365/B1388)</f>
        <v/>
      </c>
      <c r="Q1365" t="n">
        <v>0</v>
      </c>
      <c r="R1365" t="n">
        <v>0</v>
      </c>
      <c r="S1365">
        <f>IFERROR(O1365/N1365,0)</f>
        <v/>
      </c>
      <c r="T1365" t="n">
        <v>0</v>
      </c>
      <c r="V1365" t="n">
        <v>0</v>
      </c>
    </row>
    <row r="1366">
      <c r="A1366">
        <f>Skills!A15</f>
        <v/>
      </c>
      <c r="B1366">
        <f>Skills!B15</f>
        <v/>
      </c>
      <c r="C1366">
        <f>Inputs!$B$3&gt;=75</f>
        <v/>
      </c>
      <c r="D1366">
        <f>IF(Skills!C15=1,60+Inputs!$B$25+Inputs!$B$29,IF(Skills!C15=2,90+Inputs!$B$26+Inputs!$B$29,IF(Skills!C15=3,120+Inputs!$B$27+Inputs!$B$29,MAX(0,(Inputs!$B$3-100)*3)+Inputs!$B$28+Inputs!$B$29)))</f>
        <v/>
      </c>
      <c r="E1366">
        <f>INDEX(FactorTable!$B$2:$Y$301, MATCH(ROUND(MIN(300,MAX(1,D1366)),0), FactorTable!$A$2:$A$301,0), Skills!M15+1)</f>
        <v/>
      </c>
      <c r="F1366">
        <f>IF(Skills!N15=TRUE,(Skills!L15/10)*(E1366/1000),Skills!L15/10)+Skills!O15</f>
        <v/>
      </c>
      <c r="G1366">
        <f>Skills!G15*IF(Skills!H15&gt;0,Skills!I15/Skills!H15,1)</f>
        <v/>
      </c>
      <c r="H1366">
        <f>1-(1-Skills!J15/100)^Skills!K15</f>
        <v/>
      </c>
      <c r="I1366" t="inlineStr">
        <is>
          <t>1</t>
        </is>
      </c>
      <c r="J1366" t="inlineStr"/>
      <c r="K1366" t="inlineStr"/>
      <c r="L1366" t="inlineStr"/>
      <c r="M1366" t="inlineStr"/>
      <c r="N1366" t="inlineStr"/>
      <c r="O1366">
        <f>(1-Summary!$B$11)*T1366+Summary!$B$11*V1366</f>
        <v/>
      </c>
      <c r="P1366">
        <f>IF(B1388=0,0,O1366/B1388)</f>
        <v/>
      </c>
      <c r="Q1366">
        <f>IFERROR(1/(IF(Inputs!$B$38="pvp",15,MAX(0.1,Skills!D15-IF(Skills!E15=TRUE,Inputs!$B$32,0)))*(1-IF(AND(ArtifactsInput!$M$27,Inputs!$B$4="Chapter Hunt"),CHOOSE(ArtifactsInput!$N$27+1,20,24,28,32,36,40),0)/100)),0)</f>
        <v/>
      </c>
      <c r="R1366">
        <f>IF(AND(Inputs!$B$38&lt;&gt;"pvp",Inputs!$B$43&gt;0),IF(Inputs!$B$43&lt;=0,0,(INT(Inputs!$B$43/(IF(Inputs!$B$38="pvp",15,MAX(0.1,Skills!D15-IF(Skills!E15=TRUE,Inputs!$B$32,0)))*(1-IF(AND(ArtifactsInput!$M$27,Inputs!$B$4="Chapter Hunt"),CHOOSE(ArtifactsInput!$N$27+1,20,24,28,32,36,40),0)/100)))+1)),0)</f>
        <v/>
      </c>
      <c r="S1366">
        <f>IFERROR(O1366/N1366,0)</f>
        <v/>
      </c>
      <c r="T1366" t="n">
        <v>0</v>
      </c>
      <c r="V1366" t="n">
        <v>0</v>
      </c>
    </row>
    <row r="1367">
      <c r="A1367">
        <f>Skills!A16</f>
        <v/>
      </c>
      <c r="B1367">
        <f>Skills!B16</f>
        <v/>
      </c>
      <c r="C1367">
        <f>Inputs!$B$3&gt;=105</f>
        <v/>
      </c>
      <c r="D1367">
        <f>IF(Skills!C16=1,60+Inputs!$B$25+Inputs!$B$29,IF(Skills!C16=2,90+Inputs!$B$26+Inputs!$B$29,IF(Skills!C16=3,120+Inputs!$B$27+Inputs!$B$29,MAX(0,(Inputs!$B$3-100)*3)+Inputs!$B$28+Inputs!$B$29)))</f>
        <v/>
      </c>
      <c r="E1367">
        <f>INDEX(FactorTable!$B$2:$Y$301, MATCH(ROUND(MIN(300,MAX(1,D1367)),0), FactorTable!$A$2:$A$301,0), Skills!M16+1)</f>
        <v/>
      </c>
      <c r="F1367">
        <f>IF(Skills!N16=TRUE,(Skills!L16/10)*(E1367/1000),Skills!L16/10)+Skills!O16</f>
        <v/>
      </c>
      <c r="G1367">
        <f>Skills!G16*IF(Skills!H16&gt;0,Skills!I16/Skills!H16,1)</f>
        <v/>
      </c>
      <c r="H1367">
        <f>1-(1-Skills!J16/100)^Skills!K16</f>
        <v/>
      </c>
      <c r="I1367" t="inlineStr">
        <is>
          <t>1</t>
        </is>
      </c>
      <c r="J1367" t="inlineStr"/>
      <c r="K1367" t="inlineStr"/>
      <c r="L1367" t="inlineStr"/>
      <c r="M1367" t="inlineStr"/>
      <c r="N1367" t="inlineStr"/>
      <c r="O1367">
        <f>(1-Summary!$B$11)*T1367+Summary!$B$11*V1367</f>
        <v/>
      </c>
      <c r="P1367">
        <f>IF(B1388=0,0,O1367/B1388)</f>
        <v/>
      </c>
      <c r="Q1367">
        <f>IFERROR(1/(IF(Inputs!$B$38="pvp",15,MAX(0.1,Skills!D16-IF(Skills!E16=TRUE,Inputs!$B$32,0)))*(1-IF(AND(ArtifactsInput!$M$27,Inputs!$B$4="Chapter Hunt"),CHOOSE(ArtifactsInput!$N$27+1,20,24,28,32,36,40),0)/100)),0)</f>
        <v/>
      </c>
      <c r="R1367">
        <f>IF(AND(Inputs!$B$38&lt;&gt;"pvp",Inputs!$B$43&gt;0),IF(Inputs!$B$43&lt;=0,0,(INT(Inputs!$B$43/(IF(Inputs!$B$38="pvp",15,MAX(0.1,Skills!D16-IF(Skills!E16=TRUE,Inputs!$B$32,0)))*(1-IF(AND(ArtifactsInput!$M$27,Inputs!$B$4="Chapter Hunt"),CHOOSE(ArtifactsInput!$N$27+1,20,24,28,32,36,40),0)/100)))+1)),0)</f>
        <v/>
      </c>
      <c r="S1367">
        <f>IFERROR(O1367/N1367,0)</f>
        <v/>
      </c>
      <c r="T1367" t="n">
        <v>0</v>
      </c>
      <c r="V1367" t="n">
        <v>0</v>
      </c>
    </row>
    <row r="1368">
      <c r="A1368">
        <f>Skills!A17</f>
        <v/>
      </c>
      <c r="B1368">
        <f>Skills!B17</f>
        <v/>
      </c>
      <c r="C1368">
        <f>Inputs!$B$3&gt;=115</f>
        <v/>
      </c>
      <c r="D1368">
        <f>IF(Skills!C17=1,60+Inputs!$B$25+Inputs!$B$29,IF(Skills!C17=2,90+Inputs!$B$26+Inputs!$B$29,IF(Skills!C17=3,120+Inputs!$B$27+Inputs!$B$29,MAX(0,(Inputs!$B$3-100)*3)+Inputs!$B$28+Inputs!$B$29)))</f>
        <v/>
      </c>
      <c r="E1368">
        <f>INDEX(FactorTable!$B$2:$Y$301, MATCH(ROUND(MIN(300,MAX(1,D1368)),0), FactorTable!$A$2:$A$301,0), Skills!M17+1)</f>
        <v/>
      </c>
      <c r="F1368">
        <f>IF(Skills!N17=TRUE,(Skills!L17/10)*(E1368/1000),Skills!L17/10)+Skills!O17</f>
        <v/>
      </c>
      <c r="G1368">
        <f>Skills!G17*IF(Skills!H17&gt;0,Skills!I17/Skills!H17,1)</f>
        <v/>
      </c>
      <c r="H1368">
        <f>1-(1-Skills!J17/100)^Skills!K17</f>
        <v/>
      </c>
      <c r="I1368" t="inlineStr">
        <is>
          <t>1</t>
        </is>
      </c>
      <c r="J1368" t="inlineStr"/>
      <c r="K1368" t="inlineStr"/>
      <c r="L1368" t="inlineStr"/>
      <c r="M1368" t="inlineStr"/>
      <c r="N1368" t="inlineStr"/>
      <c r="O1368">
        <f>(1-Summary!$B$11)*T1368+Summary!$B$11*V1368</f>
        <v/>
      </c>
      <c r="P1368">
        <f>IF(B1388=0,0,O1368/B1388)</f>
        <v/>
      </c>
      <c r="Q1368">
        <f>IFERROR(1/(IF(Inputs!$B$38="pvp",15,MAX(0.1,Skills!D17-IF(Skills!E17=TRUE,Inputs!$B$32,0)))*(1-IF(AND(ArtifactsInput!$M$27,Inputs!$B$4="Chapter Hunt"),CHOOSE(ArtifactsInput!$N$27+1,20,24,28,32,36,40),0)/100)),0)</f>
        <v/>
      </c>
      <c r="R1368">
        <f>IF(AND(Inputs!$B$38&lt;&gt;"pvp",Inputs!$B$43&gt;0),IF(Inputs!$B$43&lt;=0,0,(INT(Inputs!$B$43/(IF(Inputs!$B$38="pvp",15,MAX(0.1,Skills!D17-IF(Skills!E17=TRUE,Inputs!$B$32,0)))*(1-IF(AND(ArtifactsInput!$M$27,Inputs!$B$4="Chapter Hunt"),CHOOSE(ArtifactsInput!$N$27+1,20,24,28,32,36,40),0)/100)))+1)),0)</f>
        <v/>
      </c>
      <c r="S1368">
        <f>IFERROR(O1368/N1368,0)</f>
        <v/>
      </c>
      <c r="T1368" t="n">
        <v>0</v>
      </c>
      <c r="V1368" t="n">
        <v>0</v>
      </c>
    </row>
    <row r="1369">
      <c r="A1369">
        <f>Skills!A18</f>
        <v/>
      </c>
      <c r="B1369">
        <f>Skills!B18</f>
        <v/>
      </c>
      <c r="C1369">
        <f>Inputs!$B$3&gt;=74</f>
        <v/>
      </c>
      <c r="D1369">
        <f>IF(Skills!C18=1,60+Inputs!$B$25+Inputs!$B$29,IF(Skills!C18=2,90+Inputs!$B$26+Inputs!$B$29,IF(Skills!C18=3,120+Inputs!$B$27+Inputs!$B$29,MAX(0,(Inputs!$B$3-100)*3)+Inputs!$B$28+Inputs!$B$29)))</f>
        <v/>
      </c>
      <c r="E1369">
        <f>INDEX(FactorTable!$B$2:$Y$301, MATCH(ROUND(MIN(300,MAX(1,D1369)),0), FactorTable!$A$2:$A$301,0), Skills!M18+1)</f>
        <v/>
      </c>
      <c r="F1369">
        <f>IF(Skills!N18=TRUE,(Skills!L18/10)*(E1369/1000),Skills!L18/10)+Skills!O18</f>
        <v/>
      </c>
      <c r="G1369">
        <f>Skills!G18*IF(Skills!H18&gt;0,Skills!I18/Skills!H18,1)</f>
        <v/>
      </c>
      <c r="H1369">
        <f>1-(1-Skills!J18/100)^Skills!K18</f>
        <v/>
      </c>
      <c r="I1369" t="inlineStr">
        <is>
          <t>1</t>
        </is>
      </c>
      <c r="J1369" t="inlineStr"/>
      <c r="K1369" t="inlineStr"/>
      <c r="L1369" t="inlineStr"/>
      <c r="M1369" t="inlineStr"/>
      <c r="N1369" t="inlineStr"/>
      <c r="O1369">
        <f>(1-Summary!$B$11)*T1369+Summary!$B$11*V1369</f>
        <v/>
      </c>
      <c r="P1369">
        <f>IF(B1388=0,0,O1369/B1388)</f>
        <v/>
      </c>
      <c r="Q1369">
        <f>IFERROR(1/(IF(Inputs!$B$38="pvp",15,MAX(0.1,Skills!D18-IF(Skills!E18=TRUE,Inputs!$B$32,0)))*(1-IF(AND(ArtifactsInput!$M$27,Inputs!$B$4="Chapter Hunt"),CHOOSE(ArtifactsInput!$N$27+1,20,24,28,32,36,40),0)/100)),0)</f>
        <v/>
      </c>
      <c r="R1369">
        <f>IF(AND(Inputs!$B$38&lt;&gt;"pvp",Inputs!$B$43&gt;0),IF(Inputs!$B$43&lt;=0,0,(INT(Inputs!$B$43/(IF(Inputs!$B$38="pvp",15,MAX(0.1,Skills!D18-IF(Skills!E18=TRUE,Inputs!$B$32,0)))*(1-IF(AND(ArtifactsInput!$M$27,Inputs!$B$4="Chapter Hunt"),CHOOSE(ArtifactsInput!$N$27+1,20,24,28,32,36,40),0)/100)))+1)),0)</f>
        <v/>
      </c>
      <c r="S1369">
        <f>IFERROR(O1369/N1369,0)</f>
        <v/>
      </c>
      <c r="T1369" t="n">
        <v>0</v>
      </c>
      <c r="V1369" t="n">
        <v>0</v>
      </c>
    </row>
    <row r="1370">
      <c r="A1370">
        <f>Skills!A19</f>
        <v/>
      </c>
      <c r="B1370">
        <f>Skills!B19</f>
        <v/>
      </c>
      <c r="C1370">
        <f>TRUE</f>
        <v/>
      </c>
      <c r="D1370">
        <f>IF(Skills!C19=1,60+Inputs!$B$25+Inputs!$B$29,IF(Skills!C19=2,90+Inputs!$B$26+Inputs!$B$29,IF(Skills!C19=3,120+Inputs!$B$27+Inputs!$B$29,MAX(0,(Inputs!$B$3-100)*3)+Inputs!$B$28+Inputs!$B$29)))</f>
        <v/>
      </c>
      <c r="E1370">
        <f>INDEX(FactorTable!$B$2:$Y$301, MATCH(ROUND(MIN(300,MAX(1,D1370)),0), FactorTable!$A$2:$A$301,0), Skills!M19+1)</f>
        <v/>
      </c>
      <c r="F1370">
        <f>IF(Skills!N19=TRUE,(Skills!L19/10)*(E1370/1000),Skills!L19/10)+Skills!O19</f>
        <v/>
      </c>
      <c r="G1370">
        <f>Skills!G19*IF(Skills!H19&gt;0,Skills!I19/Skills!H19,1)</f>
        <v/>
      </c>
      <c r="H1370">
        <f>1-(1-Skills!J19/100)^Skills!K19</f>
        <v/>
      </c>
      <c r="I1370" t="inlineStr">
        <is>
          <t>1</t>
        </is>
      </c>
      <c r="J1370" t="inlineStr"/>
      <c r="K1370" t="inlineStr"/>
      <c r="L1370" t="inlineStr"/>
      <c r="M1370" t="inlineStr"/>
      <c r="N1370" t="inlineStr"/>
      <c r="O1370">
        <f>(1-Summary!$B$11)*T1370+Summary!$B$11*V1370</f>
        <v/>
      </c>
      <c r="P1370">
        <f>IF(B1388=0,0,O1370/B1388)</f>
        <v/>
      </c>
      <c r="Q1370">
        <f>IFERROR(1/(IF(Inputs!$B$38="pvp",15,MAX(0.1,Skills!D19-IF(Skills!E19=TRUE,Inputs!$B$32,0)))*(1-IF(AND(ArtifactsInput!$M$27,Inputs!$B$4="Chapter Hunt"),CHOOSE(ArtifactsInput!$N$27+1,20,24,28,32,36,40),0)/100)),0)</f>
        <v/>
      </c>
      <c r="R1370">
        <f>IF(AND(Inputs!$B$38&lt;&gt;"pvp",Inputs!$B$43&gt;0),IF(Inputs!$B$43&lt;=0,0,(INT(Inputs!$B$43/(IF(Inputs!$B$38="pvp",15,MAX(0.1,Skills!D19-IF(Skills!E19=TRUE,Inputs!$B$32,0)))*(1-IF(AND(ArtifactsInput!$M$27,Inputs!$B$4="Chapter Hunt"),CHOOSE(ArtifactsInput!$N$27+1,20,24,28,32,36,40),0)/100)))+1)),0)</f>
        <v/>
      </c>
      <c r="S1370">
        <f>IFERROR(O1370/N1370,0)</f>
        <v/>
      </c>
      <c r="T1370" t="n">
        <v>0</v>
      </c>
      <c r="V1370" t="n">
        <v>0</v>
      </c>
    </row>
    <row r="1371">
      <c r="A1371">
        <f>Skills!A20</f>
        <v/>
      </c>
      <c r="B1371">
        <f>Skills!B20</f>
        <v/>
      </c>
      <c r="C1371">
        <f>Inputs!$B$3&gt;=33</f>
        <v/>
      </c>
      <c r="D1371">
        <f>IF(Skills!C20=1,60+Inputs!$B$25+Inputs!$B$29,IF(Skills!C20=2,90+Inputs!$B$26+Inputs!$B$29,IF(Skills!C20=3,120+Inputs!$B$27+Inputs!$B$29,MAX(0,(Inputs!$B$3-100)*3)+Inputs!$B$28+Inputs!$B$29)))</f>
        <v/>
      </c>
      <c r="E1371">
        <f>INDEX(FactorTable!$B$2:$Y$301, MATCH(ROUND(MIN(300,MAX(1,D1371)),0), FactorTable!$A$2:$A$301,0), Skills!M20+1)</f>
        <v/>
      </c>
      <c r="F1371">
        <f>IF(Skills!N20=TRUE,(Skills!L20/10)*(E1371/1000),Skills!L20/10)+Skills!O20</f>
        <v/>
      </c>
      <c r="G1371">
        <f>Skills!G20*IF(Skills!H20&gt;0,Skills!I20/Skills!H20,1)</f>
        <v/>
      </c>
      <c r="H1371">
        <f>1-(1-Skills!J20/100)^Skills!K20</f>
        <v/>
      </c>
      <c r="I1371" t="inlineStr">
        <is>
          <t>1</t>
        </is>
      </c>
      <c r="J1371" t="inlineStr"/>
      <c r="K1371" t="inlineStr"/>
      <c r="L1371" t="inlineStr"/>
      <c r="M1371" t="inlineStr"/>
      <c r="N1371" t="inlineStr"/>
      <c r="O1371">
        <f>(1-Summary!$B$11)*T1371+Summary!$B$11*V1371</f>
        <v/>
      </c>
      <c r="P1371">
        <f>IF(B1388=0,0,O1371/B1388)</f>
        <v/>
      </c>
      <c r="Q1371" t="n">
        <v>0</v>
      </c>
      <c r="R1371" t="n">
        <v>0</v>
      </c>
      <c r="S1371">
        <f>IFERROR(O1371/N1371,0)</f>
        <v/>
      </c>
      <c r="T1371" t="n">
        <v>0</v>
      </c>
      <c r="V1371" t="n">
        <v>0</v>
      </c>
    </row>
    <row r="1372">
      <c r="A1372">
        <f>Skills!A21</f>
        <v/>
      </c>
      <c r="B1372">
        <f>Skills!B21</f>
        <v/>
      </c>
      <c r="C1372">
        <f>Inputs!$B$3&gt;=38</f>
        <v/>
      </c>
      <c r="D1372">
        <f>IF(Skills!C21=1,60+Inputs!$B$25+Inputs!$B$29,IF(Skills!C21=2,90+Inputs!$B$26+Inputs!$B$29,IF(Skills!C21=3,120+Inputs!$B$27+Inputs!$B$29,MAX(0,(Inputs!$B$3-100)*3)+Inputs!$B$28+Inputs!$B$29)))</f>
        <v/>
      </c>
      <c r="E1372">
        <f>INDEX(FactorTable!$B$2:$Y$301, MATCH(ROUND(MIN(300,MAX(1,D1372)),0), FactorTable!$A$2:$A$301,0), Skills!M21+1)</f>
        <v/>
      </c>
      <c r="F1372">
        <f>IF(Skills!N21=TRUE,(Skills!L21/10)*(E1372/1000),Skills!L21/10)+Skills!O21</f>
        <v/>
      </c>
      <c r="G1372">
        <f>Skills!G21*IF(Skills!H21&gt;0,Skills!I21/Skills!H21,1)</f>
        <v/>
      </c>
      <c r="H1372">
        <f>1-(1-Skills!J21/100)^Skills!K21</f>
        <v/>
      </c>
      <c r="I1372" t="inlineStr">
        <is>
          <t>1</t>
        </is>
      </c>
      <c r="J1372" t="inlineStr"/>
      <c r="K1372" t="inlineStr"/>
      <c r="L1372" t="inlineStr"/>
      <c r="M1372" t="inlineStr"/>
      <c r="N1372" t="inlineStr"/>
      <c r="O1372">
        <f>(1-Summary!$B$11)*T1372+Summary!$B$11*V1372</f>
        <v/>
      </c>
      <c r="P1372">
        <f>IF(B1388=0,0,O1372/B1388)</f>
        <v/>
      </c>
      <c r="Q1372" t="n">
        <v>0</v>
      </c>
      <c r="R1372" t="n">
        <v>0</v>
      </c>
      <c r="S1372">
        <f>IFERROR(O1372/N1372,0)</f>
        <v/>
      </c>
      <c r="T1372" t="n">
        <v>0</v>
      </c>
      <c r="V1372" t="n">
        <v>0</v>
      </c>
    </row>
    <row r="1373">
      <c r="A1373">
        <f>Skills!A22</f>
        <v/>
      </c>
      <c r="B1373">
        <f>Skills!B22</f>
        <v/>
      </c>
      <c r="C1373">
        <f>Inputs!$B$3&gt;=43</f>
        <v/>
      </c>
      <c r="D1373">
        <f>IF(Skills!C22=1,60+Inputs!$B$25+Inputs!$B$29,IF(Skills!C22=2,90+Inputs!$B$26+Inputs!$B$29,IF(Skills!C22=3,120+Inputs!$B$27+Inputs!$B$29,MAX(0,(Inputs!$B$3-100)*3)+Inputs!$B$28+Inputs!$B$29)))</f>
        <v/>
      </c>
      <c r="E1373">
        <f>INDEX(FactorTable!$B$2:$Y$301, MATCH(ROUND(MIN(300,MAX(1,D1373)),0), FactorTable!$A$2:$A$301,0), Skills!M22+1)</f>
        <v/>
      </c>
      <c r="F1373">
        <f>IF(Skills!N22=TRUE,(Skills!L22/10)*(E1373/1000),Skills!L22/10)+Skills!O22</f>
        <v/>
      </c>
      <c r="G1373">
        <f>Skills!G22*IF(Skills!H22&gt;0,Skills!I22/Skills!H22,1)</f>
        <v/>
      </c>
      <c r="H1373">
        <f>1-(1-Skills!J22/100)^Skills!K22</f>
        <v/>
      </c>
      <c r="I1373" t="inlineStr">
        <is>
          <t>1</t>
        </is>
      </c>
      <c r="J1373" t="inlineStr"/>
      <c r="K1373" t="inlineStr"/>
      <c r="L1373" t="inlineStr"/>
      <c r="M1373" t="inlineStr"/>
      <c r="N1373" t="inlineStr"/>
      <c r="O1373">
        <f>(1-Summary!$B$11)*T1373+Summary!$B$11*V1373</f>
        <v/>
      </c>
      <c r="P1373">
        <f>IF(B1388=0,0,O1373/B1388)</f>
        <v/>
      </c>
      <c r="Q1373" t="n">
        <v>0</v>
      </c>
      <c r="R1373" t="n">
        <v>0</v>
      </c>
      <c r="S1373">
        <f>IFERROR(O1373/N1373,0)</f>
        <v/>
      </c>
      <c r="T1373" t="n">
        <v>0</v>
      </c>
      <c r="V1373" t="n">
        <v>0</v>
      </c>
    </row>
    <row r="1374">
      <c r="A1374">
        <f>Skills!A23</f>
        <v/>
      </c>
      <c r="B1374">
        <f>Skills!B23</f>
        <v/>
      </c>
      <c r="C1374">
        <f>Inputs!$B$3&gt;=120</f>
        <v/>
      </c>
      <c r="D1374">
        <f>IF(Skills!C23=1,60+Inputs!$B$25+Inputs!$B$29,IF(Skills!C23=2,90+Inputs!$B$26+Inputs!$B$29,IF(Skills!C23=3,120+Inputs!$B$27+Inputs!$B$29,MAX(0,(Inputs!$B$3-100)*3)+Inputs!$B$28+Inputs!$B$29)))</f>
        <v/>
      </c>
      <c r="E1374">
        <f>INDEX(FactorTable!$B$2:$Y$301, MATCH(ROUND(MIN(300,MAX(1,D1374)),0), FactorTable!$A$2:$A$301,0), Skills!M23+1)</f>
        <v/>
      </c>
      <c r="F1374">
        <f>IF(Skills!N23=TRUE,(Skills!L23/10)*(E1374/1000),Skills!L23/10)+Skills!O23</f>
        <v/>
      </c>
      <c r="G1374">
        <f>Skills!G23*IF(Skills!H23&gt;0,Skills!I23/Skills!H23,1)</f>
        <v/>
      </c>
      <c r="H1374">
        <f>1-(1-Skills!J23/100)^Skills!K23</f>
        <v/>
      </c>
      <c r="I1374" t="inlineStr">
        <is>
          <t>1</t>
        </is>
      </c>
      <c r="J1374" t="inlineStr"/>
      <c r="K1374" t="inlineStr"/>
      <c r="L1374" t="inlineStr"/>
      <c r="M1374" t="inlineStr"/>
      <c r="N1374" t="inlineStr"/>
      <c r="O1374">
        <f>(1-Summary!$B$11)*T1374+Summary!$B$11*V1374</f>
        <v/>
      </c>
      <c r="P1374">
        <f>IF(B1388=0,0,O1374/B1388)</f>
        <v/>
      </c>
      <c r="Q1374" t="n">
        <v>0</v>
      </c>
      <c r="R1374" t="n">
        <v>0</v>
      </c>
      <c r="S1374">
        <f>IFERROR(O1374/N1374,0)</f>
        <v/>
      </c>
      <c r="T1374" t="n">
        <v>0</v>
      </c>
      <c r="V1374" t="n">
        <v>0</v>
      </c>
    </row>
    <row r="1375">
      <c r="A1375">
        <f>Skills!A24</f>
        <v/>
      </c>
      <c r="B1375">
        <f>Skills!B24</f>
        <v/>
      </c>
      <c r="C1375">
        <f>Inputs!$B$3&gt;=120</f>
        <v/>
      </c>
      <c r="D1375">
        <f>IF(Skills!C24=1,60+Inputs!$B$25+Inputs!$B$29,IF(Skills!C24=2,90+Inputs!$B$26+Inputs!$B$29,IF(Skills!C24=3,120+Inputs!$B$27+Inputs!$B$29,MAX(0,(Inputs!$B$3-100)*3)+Inputs!$B$28+Inputs!$B$29)))</f>
        <v/>
      </c>
      <c r="E1375">
        <f>INDEX(FactorTable!$B$2:$Y$301, MATCH(ROUND(MIN(300,MAX(1,D1375)),0), FactorTable!$A$2:$A$301,0), Skills!M24+1)</f>
        <v/>
      </c>
      <c r="F1375">
        <f>IF(Skills!N24=TRUE,(Skills!L24/10)*(E1375/1000),Skills!L24/10)+Skills!O24</f>
        <v/>
      </c>
      <c r="G1375">
        <f>Skills!G24*IF(Skills!H24&gt;0,Skills!I24/Skills!H24,1)</f>
        <v/>
      </c>
      <c r="H1375">
        <f>1-(1-Skills!J24/100)^Skills!K24</f>
        <v/>
      </c>
      <c r="I1375" t="inlineStr">
        <is>
          <t>1</t>
        </is>
      </c>
      <c r="J1375" t="inlineStr"/>
      <c r="K1375" t="inlineStr"/>
      <c r="L1375" t="inlineStr"/>
      <c r="M1375" t="inlineStr"/>
      <c r="N1375" t="inlineStr"/>
      <c r="O1375">
        <f>(1-Summary!$B$11)*T1375+Summary!$B$11*V1375</f>
        <v/>
      </c>
      <c r="P1375">
        <f>IF(B1388=0,0,O1375/B1388)</f>
        <v/>
      </c>
      <c r="Q1375" t="n">
        <v>0</v>
      </c>
      <c r="R1375" t="n">
        <v>0</v>
      </c>
      <c r="S1375">
        <f>IFERROR(O1375/N1375,0)</f>
        <v/>
      </c>
      <c r="T1375" t="n">
        <v>0</v>
      </c>
      <c r="V1375" t="n">
        <v>0</v>
      </c>
    </row>
    <row r="1377">
      <c r="A1377" t="inlineStr">
        <is>
          <t>Attack% Bucket Multiplier</t>
        </is>
      </c>
      <c r="B1377">
        <f>(1+(((C1364=TRUE)*F1364*MIN(1,Skills!T13*(Skills!J13/100)*B1382))+((C1369=TRUE)*F1369*IF(AND(Inputs!$B$38&lt;&gt;"pvp",Inputs!$B$43&gt;0),(((R1369-1)*(Skills!T18*(1+Inputs!$B$34/100))+MIN((Skills!T18*(1+Inputs!$B$34/100)),MAX(0,Inputs!$B$43-((R1369-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78">
      <c r="A1378" t="inlineStr">
        <is>
          <t>Global Crit Rate Bonus %</t>
        </is>
      </c>
      <c r="B1378" t="n">
        <v>0</v>
      </c>
    </row>
    <row r="1379">
      <c r="A1379" t="inlineStr">
        <is>
          <t>Attack Speed Buff Bonus %</t>
        </is>
      </c>
      <c r="B1379">
        <f>((C1370=TRUE)*F1370*IF(AND(Inputs!$B$38&lt;&gt;"pvp",Inputs!$B$43&gt;0),(((R1370-1)*(Skills!T19*(1+Inputs!$B$34/100))+MIN((Skills!T19*(1+Inputs!$B$34/100)),MAX(0,Inputs!$B$43-((R1370-1)*Skills!D19))))/Inputs!$B$43),IF(Inputs!$B$38="pvp",MIN((Skills!T19*(1+Inputs!$B$34/100)),15)/15,(Skills!T19*(1+Inputs!$B$34/100))/Skills!D19)))</f>
        <v/>
      </c>
    </row>
    <row r="1380">
      <c r="A1380" t="inlineStr">
        <is>
          <t>Actions Per Second</t>
        </is>
      </c>
      <c r="B1380">
        <f>1+MIN(150,150*(1-(1-(Inputs!$B$11+((C1371=TRUE)*(F1371-Calc!F20)))/150)*(1-B1379/150)))/100</f>
        <v/>
      </c>
    </row>
    <row r="1381">
      <c r="A1381" t="inlineStr">
        <is>
          <t>Skill + Buff Cast Rate</t>
        </is>
      </c>
      <c r="B1381">
        <f>IF(AND(Inputs!$B$38&lt;&gt;"pvp",Inputs!$B$43&gt;0),SUMPRODUCT((Skills!E2:E24=TRUE)*(C1353:C1375=TRUE)*R1353:R1375*Skills!F2:F24)/Inputs!$B$43,SUMPRODUCT((Skills!E2:E24=TRUE)*(C1353:C1375=TRUE)*Q1353:Q1375*Skills!F2:F24))</f>
        <v/>
      </c>
    </row>
    <row r="1382">
      <c r="A1382" t="inlineStr">
        <is>
          <t>Blast Casts Per Second</t>
        </is>
      </c>
      <c r="B1382">
        <f>MAX(0,B1380-B1381)</f>
        <v/>
      </c>
    </row>
    <row r="1383">
      <c r="A1383" t="inlineStr">
        <is>
          <t>Global Critical Damage Bonus % (unused)</t>
        </is>
      </c>
      <c r="B1383" t="n">
        <v>0</v>
      </c>
    </row>
    <row r="1384">
      <c r="A1384" t="inlineStr">
        <is>
          <t>Global Final Damage Bonus % (Divine Shield + Guardian + Divine Blessing + Greater Vessel of Light)</t>
        </is>
      </c>
      <c r="B1384">
        <f>((C1366=TRUE)*F1366*IF(AND(Inputs!$B$38&lt;&gt;"pvp",Inputs!$B$43&gt;0),(((R1366-1)*(Skills!T15*(1+Inputs!$B$34/100))+MIN((Skills!T15*(1+Inputs!$B$34/100)),MAX(0,Inputs!$B$43-((R1366-1)*Skills!D15))))/Inputs!$B$43),IF(Inputs!$B$38="pvp",MIN((Skills!T15*(1+Inputs!$B$34/100)),15)/15,(Skills!T15*(1+Inputs!$B$34/100))/Skills!D15)))+((C1367=TRUE)*F1367*IF(AND(Inputs!$B$38&lt;&gt;"pvp",Inputs!$B$43&gt;0),(((R1367-1)*(Skills!T16*(1+Inputs!$B$34/100))+MIN((Skills!T16*(1+Inputs!$B$34/100)),MAX(0,Inputs!$B$43-((R1367-1)*Skills!D16))))/Inputs!$B$43),IF(Inputs!$B$38="pvp",MIN((Skills!T16*(1+Inputs!$B$34/100)),15)/15,(Skills!T16*(1+Inputs!$B$34/100))/Skills!D16)))+((C1368=TRUE)*F1368*IF(AND(Inputs!$B$38&lt;&gt;"pvp",Inputs!$B$43&gt;0),(((R1368-1)*(Skills!T17*(1+Inputs!$B$34/100))+MIN((Skills!T17*(1+Inputs!$B$34/100)),MAX(0,Inputs!$B$43-((R1368-1)*Skills!D17))))/Inputs!$B$43),IF(Inputs!$B$38="pvp",MIN((Skills!T17*(1+Inputs!$B$34/100)),15)/15,(Skills!T17*(1+Inputs!$B$34/100))/Skills!D17)))+((C1365=TRUE)*F1365*MIN(1,Skills!T13*(Skills!J13/100)*B1382))</f>
        <v/>
      </c>
    </row>
    <row r="1385">
      <c r="A1385" t="inlineStr">
        <is>
          <t>Buff-Casting Startup Delay (s, fixed-duration only)</t>
        </is>
      </c>
      <c r="B1385">
        <f>IF(AND(Inputs!$B$38&lt;&gt;"pvp",Inputs!$B$43&gt;0),SUMPRODUCT((Skills!T2:T24&gt;0)*(Skills!E2:E24=TRUE)*(C1353:C1375=TRUE))/B1380,0)</f>
        <v/>
      </c>
    </row>
    <row r="1386">
      <c r="A1386" t="inlineStr">
        <is>
          <t>Boss-Only Total DPS (this block's swept value)</t>
        </is>
      </c>
      <c r="B1386">
        <f>SUM(T1353:T1375)</f>
        <v/>
      </c>
    </row>
    <row r="1387">
      <c r="A1387" t="inlineStr">
        <is>
          <t>Normal-Only Total DPS (this block's swept value)</t>
        </is>
      </c>
      <c r="B1387">
        <f>SUM(V1353:V1375)</f>
        <v/>
      </c>
    </row>
    <row r="1388">
      <c r="A1388" s="6" t="inlineStr">
        <is>
          <t>TOTAL DPS</t>
        </is>
      </c>
      <c r="B1388" s="6">
        <f>SUM(O1353:O1375)</f>
        <v/>
      </c>
    </row>
    <row r="1391">
      <c r="A1391" s="6" t="inlineStr">
        <is>
          <t>Stat: Mushmom's Cap (Equip)</t>
        </is>
      </c>
    </row>
    <row r="1392">
      <c r="A1392" s="5" t="inlineStr">
        <is>
          <t>Key</t>
        </is>
      </c>
      <c r="B1392" s="5" t="inlineStr">
        <is>
          <t>Name</t>
        </is>
      </c>
      <c r="C1392" s="5" t="inlineStr">
        <is>
          <t>Unlocked</t>
        </is>
      </c>
      <c r="D1392" s="5" t="inlineStr">
        <is>
          <t>InputLevel</t>
        </is>
      </c>
      <c r="E1392" s="5" t="inlineStr">
        <is>
          <t>Factor</t>
        </is>
      </c>
      <c r="F1392" s="5" t="inlineStr">
        <is>
          <t>CoefficientPercent</t>
        </is>
      </c>
      <c r="G1392" s="5" t="inlineStr">
        <is>
          <t>EffectiveHits</t>
        </is>
      </c>
      <c r="H1392" s="5" t="inlineStr">
        <is>
          <t>ProcProbability</t>
        </is>
      </c>
      <c r="I1392" s="5" t="inlineStr">
        <is>
          <t>MapleHeroMultiplier</t>
        </is>
      </c>
      <c r="J1392" s="5" t="inlineStr">
        <is>
          <t>BaseDamage</t>
        </is>
      </c>
      <c r="K1392" s="5" t="inlineStr">
        <is>
          <t>BaseHitDamage</t>
        </is>
      </c>
      <c r="L1392" s="5" t="inlineStr">
        <is>
          <t>NonCritAvg</t>
        </is>
      </c>
      <c r="M1392" s="5" t="inlineStr">
        <is>
          <t>CritAvg</t>
        </is>
      </c>
      <c r="N1392" s="5" t="inlineStr">
        <is>
          <t>ExpectedDamage(perHit)</t>
        </is>
      </c>
      <c r="O1392" s="5" t="inlineStr">
        <is>
          <t>DPS</t>
        </is>
      </c>
      <c r="P1392" s="5" t="inlineStr">
        <is>
          <t>% of Total</t>
        </is>
      </c>
      <c r="Q1392" s="5" t="inlineStr">
        <is>
          <t>InvCooldown</t>
        </is>
      </c>
      <c r="R1392" s="5" t="inlineStr">
        <is>
          <t>CastsInFight</t>
        </is>
      </c>
      <c r="S1392" s="5" t="inlineStr">
        <is>
          <t>HitRate(perSec)</t>
        </is>
      </c>
      <c r="U1392" t="inlineStr">
        <is>
          <t>helpers</t>
        </is>
      </c>
    </row>
    <row r="1393">
      <c r="A1393">
        <f>Skills!A2</f>
        <v/>
      </c>
      <c r="B1393">
        <f>Skills!B2</f>
        <v/>
      </c>
      <c r="C1393">
        <f>Inputs!$B$3&gt;=100</f>
        <v/>
      </c>
      <c r="D1393" t="inlineStr"/>
      <c r="E1393" t="inlineStr"/>
      <c r="F1393">
        <f>U1395+Skills!O2</f>
        <v/>
      </c>
      <c r="G1393">
        <f>Skills!G2*IF(Skills!H2&gt;0,Skills!I2/Skills!H2,1)</f>
        <v/>
      </c>
      <c r="H1393">
        <f>1-(1-Skills!J2/100)^Skills!K2</f>
        <v/>
      </c>
      <c r="I1393" t="inlineStr">
        <is>
          <t>1</t>
        </is>
      </c>
      <c r="J1393">
        <f>((Inputs!$B$6*(1+Inputs!$B$7/100))+(((Inputs!$B$12*(1+Inputs!$B$13/100))-(Inputs!$B$12*(1+Inputs!$B$13/100)))+0.25*(Inputs!$B$14-Inputs!$B$14))*(1+Inputs!$B$7/100))*(F1393/100)</f>
        <v/>
      </c>
      <c r="K1393">
        <f>J1393*(1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1393)</f>
        <v/>
      </c>
      <c r="L1393">
        <f>K1393*(MIN(Inputs!$B$22+((C1413=TRUE)*(F1413-Calc!F22)),(Inputs!$B$23+((C1415=TRUE)*(F1415-Calc!F24))+(IF(ArtifactsInput!$M$15,CHOOSE(ArtifactsInput!$N$15+1,25,30,35,40,45,50)/100*(Inputs!$B$11-Inputs!$B$11),0))))/100+(Inputs!$B$23+((C1415=TRUE)*(F1415-Calc!F24))+(IF(ArtifactsInput!$M$15,CHOOSE(ArtifactsInput!$N$15+1,25,30,35,40,45,50)/100*(Inputs!$B$11-Inputs!$B$11),0)))/100)/2</f>
        <v/>
      </c>
      <c r="M1393">
        <f>L1393*(1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3">
        <f>L1393*(1-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1393*(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3">
        <f>(1-Summary!$B$11)*T1393+Summary!$B$11*V1393</f>
        <v/>
      </c>
      <c r="P1393">
        <f>IF(B1428=0,0,O1393/B1428)</f>
        <v/>
      </c>
      <c r="Q1393" t="n">
        <v>0</v>
      </c>
      <c r="R1393" t="n">
        <v>0</v>
      </c>
      <c r="S1393">
        <f>IFERROR(O1393/N1393,0)</f>
        <v/>
      </c>
      <c r="T1393">
        <f>IF(C1393,(Skills!G2*N1393*B1422)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1393*(1-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1393*(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1393*(1-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1393*(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3">
        <f>MAX(0,(Inputs!$B$3-100)*3)+Inputs!$B$28+Inputs!$B$29</f>
        <v/>
      </c>
      <c r="V1393">
        <f>IF(C1393,(Skills!G2*N1393*B1422)*IF(Inputs!$B$38="pvp",1,(1+(Inputs!$B$21+Skills!Q2+(IF(ArtifactsInput!$M$33,CHOOSE(ArtifactsInput!$N$33+1,30,36,42,48,54,60),0))+(IF(AND(ArtifactsInput!$M$35,Inputs!$B$4&lt;&gt;"Chapter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4">
      <c r="A1394">
        <f>Skills!A3</f>
        <v/>
      </c>
      <c r="B1394">
        <f>Skills!B3</f>
        <v/>
      </c>
      <c r="C1394">
        <f>Inputs!$B$3&gt;=50</f>
        <v/>
      </c>
      <c r="D1394">
        <f>IF(Skills!C3=1,60+Inputs!$B$25+Inputs!$B$29,IF(Skills!C3=2,90+Inputs!$B$26+Inputs!$B$29,IF(Skills!C3=3,120+Inputs!$B$27+Inputs!$B$29,MAX(0,(Inputs!$B$3-100)*3)+Inputs!$B$28+Inputs!$B$29)))</f>
        <v/>
      </c>
      <c r="E1394">
        <f>INDEX(FactorTable!$B$2:$Y$301, MATCH(ROUND(MIN(300,MAX(1,D1394)),0), FactorTable!$A$2:$A$301,0), Skills!M3+1)</f>
        <v/>
      </c>
      <c r="F1394">
        <f>IF(Skills!N3=TRUE,(Skills!L3/10)*(E1394/1000),Skills!L3/10)+Skills!O3</f>
        <v/>
      </c>
      <c r="G1394" t="inlineStr"/>
      <c r="H1394" t="inlineStr"/>
      <c r="I1394" t="inlineStr">
        <is>
          <t>1</t>
        </is>
      </c>
      <c r="J1394" t="inlineStr"/>
      <c r="K1394" t="inlineStr"/>
      <c r="L1394" t="inlineStr"/>
      <c r="M1394" t="inlineStr"/>
      <c r="N1394" t="inlineStr"/>
      <c r="O1394" t="inlineStr"/>
      <c r="P1394" t="inlineStr"/>
      <c r="Q1394" t="inlineStr"/>
      <c r="R1394" t="inlineStr"/>
      <c r="S1394" t="inlineStr"/>
      <c r="U1394">
        <f>INDEX(FactorTable!$B$2:$Y$301, MATCH(ROUND(MIN(300,MAX(1,U1393)),0), FactorTable!$A$2:$A$301,0), 22)</f>
        <v/>
      </c>
    </row>
    <row r="1395">
      <c r="A1395">
        <f>Skills!A4</f>
        <v/>
      </c>
      <c r="B1395">
        <f>Skills!B4</f>
        <v/>
      </c>
      <c r="C1395">
        <f>Inputs!$B$3&gt;=35</f>
        <v/>
      </c>
      <c r="D1395">
        <f>IF(Skills!C4=1,60+Inputs!$B$25+Inputs!$B$29,IF(Skills!C4=2,90+Inputs!$B$26+Inputs!$B$29,IF(Skills!C4=3,120+Inputs!$B$27+Inputs!$B$29,MAX(0,(Inputs!$B$3-100)*3)+Inputs!$B$28+Inputs!$B$29)))</f>
        <v/>
      </c>
      <c r="E1395">
        <f>INDEX(FactorTable!$B$2:$Y$301, MATCH(ROUND(MIN(300,MAX(1,D1395)),0), FactorTable!$A$2:$A$301,0), Skills!M4+1)</f>
        <v/>
      </c>
      <c r="F1395">
        <f>IF(Skills!N4=TRUE,(Skills!L4/10)*(E1395/1000),Skills!L4/10)+Skills!O4</f>
        <v/>
      </c>
      <c r="G1395">
        <f>Skills!G4*IF(Skills!H4&gt;0,Skills!I4/Skills!H4,1)</f>
        <v/>
      </c>
      <c r="H1395">
        <f>1-(1-Skills!J4/100)^Skills!K4</f>
        <v/>
      </c>
      <c r="I1395" t="inlineStr">
        <is>
          <t>1</t>
        </is>
      </c>
      <c r="J1395">
        <f>((Inputs!$B$6*(1+Inputs!$B$7/100))+(((Inputs!$B$12*(1+Inputs!$B$13/100))-(Inputs!$B$12*(1+Inputs!$B$13/100)))+0.25*(Inputs!$B$14-Inputs!$B$14))*(1+Inputs!$B$7/100))*(F1395/100)</f>
        <v/>
      </c>
      <c r="K1395">
        <f>J1395*(1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1403=TRUE,F1403,0)/100)*(1+(IF(Skills!A4="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1395)</f>
        <v/>
      </c>
      <c r="L1395">
        <f>K1395*(MIN(Inputs!$B$22+((C1413=TRUE)*(F1413-Calc!F22)),(Inputs!$B$23+((C1415=TRUE)*(F1415-Calc!F24))+(IF(ArtifactsInput!$M$15,CHOOSE(ArtifactsInput!$N$15+1,25,30,35,40,45,50)/100*(Inputs!$B$11-Inputs!$B$11),0))))/100+(Inputs!$B$23+((C1415=TRUE)*(F1415-Calc!F24))+(IF(ArtifactsInput!$M$15,CHOOSE(ArtifactsInput!$N$15+1,25,30,35,40,45,50)/100*(Inputs!$B$11-Inputs!$B$11),0)))/100)/2</f>
        <v/>
      </c>
      <c r="M1395">
        <f>L1395*(1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5">
        <f>L1395*(1-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1395*(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5">
        <f>(1-Summary!$B$11)*T1395+Summary!$B$11*V1395</f>
        <v/>
      </c>
      <c r="P1395">
        <f>IF(B1428=0,0,O1395/B1428)</f>
        <v/>
      </c>
      <c r="Q1395">
        <f>IFERROR(1/(IF(Inputs!$B$38="pvp",15,MAX(0.1,Skills!D4-IF(Skills!E4=TRUE,Inputs!$B$32,0)))*(1-IF(AND(ArtifactsInput!$M$27,Inputs!$B$4="Chapter Hunt"),CHOOSE(ArtifactsInput!$N$27+1,20,24,28,32,36,40),0)/100)),0)</f>
        <v/>
      </c>
      <c r="R1395">
        <f>IF(AND(Inputs!$B$38&lt;&gt;"pvp",Inputs!$B$43&gt;0),IF(MAX(0,Inputs!$B$43-B1425)&lt;=0,0,(INT(MAX(0,Inputs!$B$43-B1425)/(IF(Inputs!$B$38="pvp",15,MAX(0.1,Skills!D4-IF(Skills!E4=TRUE,Inputs!$B$32,0)))*(1-IF(AND(ArtifactsInput!$M$27,Inputs!$B$4="Chapter Hunt"),CHOOSE(ArtifactsInput!$N$27+1,20,24,28,32,36,40),0)/100)))+1)),0)</f>
        <v/>
      </c>
      <c r="S1395">
        <f>IFERROR(O1395/N1395,0)</f>
        <v/>
      </c>
      <c r="T1395">
        <f>IF(C1395,(H1395*N1395*IF(AND(Inputs!$B$38&lt;&gt;"pvp",Inputs!$B$43&gt;0),((Skills!G4*((R1395-1)*IF(Skills!H4&gt;0,Skills!I4/Skills!H4,1)+IF(Skills!H4&gt;0,MIN(Skills!I4,MAX(0,MAX(0,Inputs!$B$43-B1425)-((R1395-1)*(IF(Inputs!$B$38="pvp",15,MAX(0.1,Skills!D4-IF(Skills!E4=TRUE,Inputs!$B$32,0)))*(1-IF(AND(ArtifactsInput!$M$27,Inputs!$B$4="Chapter Hunt"),CHOOSE(ArtifactsInput!$N$27+1,20,24,28,32,36,40),0)/100)))))/Skills!H4,1)))/Inputs!$B$43),G1395*Q1395)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1395*(1-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1395*(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1395*(1-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1395*(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5">
        <f>290*U1394/1000</f>
        <v/>
      </c>
      <c r="V1395">
        <f>IF(C1395,(H1395*N1395*IF(AND(Inputs!$B$38&lt;&gt;"pvp",Inputs!$B$43&gt;0),((Skills!G4*((R1395-1)*IF(Skills!H4&gt;0,Skills!I4/Skills!H4,1)+IF(Skills!H4&gt;0,MIN(Skills!I4,MAX(0,MAX(0,Inputs!$B$43-B1425)-((R1395-1)*(IF(Inputs!$B$38="pvp",15,MAX(0.1,Skills!D4-IF(Skills!E4=TRUE,Inputs!$B$32,0)))*(1-IF(AND(ArtifactsInput!$M$27,Inputs!$B$4="Chapter Hunt"),CHOOSE(ArtifactsInput!$N$27+1,20,24,28,32,36,40),0)/100)))))/Skills!H4,1)))/Inputs!$B$43),G1395*Q1395))*IF(Inputs!$B$38="pvp",1,(1+(Inputs!$B$21+Skills!Q4+(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6">
      <c r="A1396">
        <f>Skills!A5</f>
        <v/>
      </c>
      <c r="B1396">
        <f>Skills!B5</f>
        <v/>
      </c>
      <c r="C1396">
        <f>Inputs!$B$3&gt;=66</f>
        <v/>
      </c>
      <c r="D1396">
        <f>IF(Skills!C5=1,60+Inputs!$B$25+Inputs!$B$29,IF(Skills!C5=2,90+Inputs!$B$26+Inputs!$B$29,IF(Skills!C5=3,120+Inputs!$B$27+Inputs!$B$29,MAX(0,(Inputs!$B$3-100)*3)+Inputs!$B$28+Inputs!$B$29)))</f>
        <v/>
      </c>
      <c r="E1396">
        <f>INDEX(FactorTable!$B$2:$Y$301, MATCH(ROUND(MIN(300,MAX(1,D1396)),0), FactorTable!$A$2:$A$301,0), Skills!M5+1)</f>
        <v/>
      </c>
      <c r="F1396">
        <f>IF(Skills!N5=TRUE,(Skills!L5/10)*(E1396/1000),Skills!L5/10)+Skills!O5</f>
        <v/>
      </c>
      <c r="G1396">
        <f>Skills!G5*IF(Skills!H5&gt;0,Skills!I5/Skills!H5,1)</f>
        <v/>
      </c>
      <c r="H1396">
        <f>1-(1-Skills!J5/100)^Skills!K5</f>
        <v/>
      </c>
      <c r="I1396" t="inlineStr">
        <is>
          <t>1</t>
        </is>
      </c>
      <c r="J1396">
        <f>((Inputs!$B$6*(1+Inputs!$B$7/100))+(((Inputs!$B$12*(1+Inputs!$B$13/100))-(Inputs!$B$12*(1+Inputs!$B$13/100)))+0.25*(Inputs!$B$14-Inputs!$B$14))*(1+Inputs!$B$7/100))*(F1396/100)</f>
        <v/>
      </c>
      <c r="K1396">
        <f>J1396*(1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1403=TRUE,F1403,0)/100)*(1+(IF(Skills!A5="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1396)</f>
        <v/>
      </c>
      <c r="L1396">
        <f>K1396*(MIN(Inputs!$B$22+((C1413=TRUE)*(F1413-Calc!F22)),(Inputs!$B$23+((C1415=TRUE)*(F1415-Calc!F24))+(IF(ArtifactsInput!$M$15,CHOOSE(ArtifactsInput!$N$15+1,25,30,35,40,45,50)/100*(Inputs!$B$11-Inputs!$B$11),0))))/100+(Inputs!$B$23+((C1415=TRUE)*(F1415-Calc!F24))+(IF(ArtifactsInput!$M$15,CHOOSE(ArtifactsInput!$N$15+1,25,30,35,40,45,50)/100*(Inputs!$B$11-Inputs!$B$11),0)))/100)/2</f>
        <v/>
      </c>
      <c r="M1396">
        <f>L1396*(1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6">
        <f>L1396*(1-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1396*(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6">
        <f>(1-Summary!$B$11)*T1396+Summary!$B$11*V1396</f>
        <v/>
      </c>
      <c r="P1396">
        <f>IF(B1428=0,0,O1396/B1428)</f>
        <v/>
      </c>
      <c r="Q1396">
        <f>IFERROR(1/(IF(Inputs!$B$38="pvp",15,MAX(0.1,Skills!D5-IF(Skills!E5=TRUE,Inputs!$B$32,0)))*(1-IF(AND(ArtifactsInput!$M$27,Inputs!$B$4="Chapter Hunt"),CHOOSE(ArtifactsInput!$N$27+1,20,24,28,32,36,40),0)/100)),0)</f>
        <v/>
      </c>
      <c r="R1396">
        <f>IF(AND(Inputs!$B$38&lt;&gt;"pvp",Inputs!$B$43&gt;0),IF(MAX(0,Inputs!$B$43-B1425)&lt;=0,0,(INT(MAX(0,Inputs!$B$43-B1425)/(IF(Inputs!$B$38="pvp",15,MAX(0.1,Skills!D5-IF(Skills!E5=TRUE,Inputs!$B$32,0)))*(1-IF(AND(ArtifactsInput!$M$27,Inputs!$B$4="Chapter Hunt"),CHOOSE(ArtifactsInput!$N$27+1,20,24,28,32,36,40),0)/100)))+1)),0)</f>
        <v/>
      </c>
      <c r="S1396">
        <f>IFERROR(O1396/N1396,0)</f>
        <v/>
      </c>
      <c r="T1396">
        <f>IF(C1396,(H1396*N1396*IF(AND(Inputs!$B$38&lt;&gt;"pvp",Inputs!$B$43&gt;0),((Skills!G5*((R1396-1)*IF(Skills!H5&gt;0,Skills!I5/Skills!H5,1)+IF(Skills!H5&gt;0,MIN(Skills!I5,MAX(0,MAX(0,Inputs!$B$43-B1425)-((R1396-1)*(IF(Inputs!$B$38="pvp",15,MAX(0.1,Skills!D5-IF(Skills!E5=TRUE,Inputs!$B$32,0)))*(1-IF(AND(ArtifactsInput!$M$27,Inputs!$B$4="Chapter Hunt"),CHOOSE(ArtifactsInput!$N$27+1,20,24,28,32,36,40),0)/100)))))/Skills!H5,1)))/Inputs!$B$43),G1396*Q1396)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1396*(1-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1396*(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1396*(1-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1396*(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6">
        <f>IF(C1396,(H1396*N1396*IF(AND(Inputs!$B$38&lt;&gt;"pvp",Inputs!$B$43&gt;0),((Skills!G5*((R1396-1)*IF(Skills!H5&gt;0,Skills!I5/Skills!H5,1)+IF(Skills!H5&gt;0,MIN(Skills!I5,MAX(0,MAX(0,Inputs!$B$43-B1425)-((R1396-1)*(IF(Inputs!$B$38="pvp",15,MAX(0.1,Skills!D5-IF(Skills!E5=TRUE,Inputs!$B$32,0)))*(1-IF(AND(ArtifactsInput!$M$27,Inputs!$B$4="Chapter Hunt"),CHOOSE(ArtifactsInput!$N$27+1,20,24,28,32,36,40),0)/100)))))/Skills!H5,1)))/Inputs!$B$43),G1396*Q1396))*IF(Inputs!$B$38="pvp",1,(1+(Inputs!$B$21+Skills!Q5+(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7">
      <c r="A1397">
        <f>Skills!A6</f>
        <v/>
      </c>
      <c r="B1397">
        <f>Skills!B6</f>
        <v/>
      </c>
      <c r="C1397">
        <f>Inputs!$B$3&gt;=103</f>
        <v/>
      </c>
      <c r="D1397">
        <f>IF(Skills!C6=1,60+Inputs!$B$25+Inputs!$B$29,IF(Skills!C6=2,90+Inputs!$B$26+Inputs!$B$29,IF(Skills!C6=3,120+Inputs!$B$27+Inputs!$B$29,MAX(0,(Inputs!$B$3-100)*3)+Inputs!$B$28+Inputs!$B$29)))</f>
        <v/>
      </c>
      <c r="E1397">
        <f>INDEX(FactorTable!$B$2:$Y$301, MATCH(ROUND(MIN(300,MAX(1,D1397)),0), FactorTable!$A$2:$A$301,0), Skills!M6+1)</f>
        <v/>
      </c>
      <c r="F1397">
        <f>IF(Skills!N6=TRUE,(Skills!L6/10)*(E1397/1000),Skills!L6/10)+Skills!O6</f>
        <v/>
      </c>
      <c r="G1397">
        <f>Skills!G6*IF(Skills!H6&gt;0,Skills!I6/Skills!H6,1)</f>
        <v/>
      </c>
      <c r="H1397">
        <f>1-(1-Skills!J6/100)^Skills!K6</f>
        <v/>
      </c>
      <c r="I1397" t="inlineStr">
        <is>
          <t>1</t>
        </is>
      </c>
      <c r="J1397">
        <f>((Inputs!$B$6*(1+Inputs!$B$7/100))+(((Inputs!$B$12*(1+Inputs!$B$13/100))-(Inputs!$B$12*(1+Inputs!$B$13/100)))+0.25*(Inputs!$B$14-Inputs!$B$14))*(1+Inputs!$B$7/100))*(F1397/100)</f>
        <v/>
      </c>
      <c r="K1397">
        <f>J1397*(1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1397)</f>
        <v/>
      </c>
      <c r="L1397">
        <f>K1397*(MIN(Inputs!$B$22+((C1413=TRUE)*(F1413-Calc!F22)),(Inputs!$B$23+((C1415=TRUE)*(F1415-Calc!F24))+(IF(ArtifactsInput!$M$15,CHOOSE(ArtifactsInput!$N$15+1,25,30,35,40,45,50)/100*(Inputs!$B$11-Inputs!$B$11),0))))/100+(Inputs!$B$23+((C1415=TRUE)*(F1415-Calc!F24))+(IF(ArtifactsInput!$M$15,CHOOSE(ArtifactsInput!$N$15+1,25,30,35,40,45,50)/100*(Inputs!$B$11-Inputs!$B$11),0)))/100)/2</f>
        <v/>
      </c>
      <c r="M1397">
        <f>L1397*(1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7">
        <f>L1397*(1-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1397*(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7">
        <f>(1-Summary!$B$11)*T1397+Summary!$B$11*V1397</f>
        <v/>
      </c>
      <c r="P1397">
        <f>IF(B1428=0,0,O1397/B1428)</f>
        <v/>
      </c>
      <c r="Q1397">
        <f>IFERROR(1/(IF(Inputs!$B$38="pvp",15,MAX(0.1,Skills!D6-IF(Skills!E6=TRUE,Inputs!$B$32,0)))*(1-IF(AND(ArtifactsInput!$M$27,Inputs!$B$4="Chapter Hunt"),CHOOSE(ArtifactsInput!$N$27+1,20,24,28,32,36,40),0)/100)),0)</f>
        <v/>
      </c>
      <c r="R1397">
        <f>IF(AND(Inputs!$B$38&lt;&gt;"pvp",Inputs!$B$43&gt;0),IF(MAX(0,Inputs!$B$43-B1425)&lt;=0,0,(INT(MAX(0,Inputs!$B$43-B1425)/(IF(Inputs!$B$38="pvp",15,MAX(0.1,Skills!D6-IF(Skills!E6=TRUE,Inputs!$B$32,0)))*(1-IF(AND(ArtifactsInput!$M$27,Inputs!$B$4="Chapter Hunt"),CHOOSE(ArtifactsInput!$N$27+1,20,24,28,32,36,40),0)/100)))+1)),0)</f>
        <v/>
      </c>
      <c r="S1397">
        <f>IFERROR(O1397/N1397,0)</f>
        <v/>
      </c>
      <c r="T1397">
        <f>IF(C1397,(H1397*N1397*IF(AND(Inputs!$B$38&lt;&gt;"pvp",Inputs!$B$43&gt;0),((Skills!G6*((R1397-1)*IF(Skills!H6&gt;0,Skills!I6/Skills!H6,1)+IF(Skills!H6&gt;0,MIN(Skills!I6,MAX(0,MAX(0,Inputs!$B$43-B1425)-((R1397-1)*(IF(Inputs!$B$38="pvp",15,MAX(0.1,Skills!D6-IF(Skills!E6=TRUE,Inputs!$B$32,0)))*(1-IF(AND(ArtifactsInput!$M$27,Inputs!$B$4="Chapter Hunt"),CHOOSE(ArtifactsInput!$N$27+1,20,24,28,32,36,40),0)/100)))))/Skills!H6,1)))/Inputs!$B$43),G1397*Q1397)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1397*(1-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1397*(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1397*(1-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1397*(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7">
        <f>IF(C1397,(H1397*N1397*IF(AND(Inputs!$B$38&lt;&gt;"pvp",Inputs!$B$43&gt;0),((Skills!G6*((R1397-1)*IF(Skills!H6&gt;0,Skills!I6/Skills!H6,1)+IF(Skills!H6&gt;0,MIN(Skills!I6,MAX(0,MAX(0,Inputs!$B$43-B1425)-((R1397-1)*(IF(Inputs!$B$38="pvp",15,MAX(0.1,Skills!D6-IF(Skills!E6=TRUE,Inputs!$B$32,0)))*(1-IF(AND(ArtifactsInput!$M$27,Inputs!$B$4="Chapter Hunt"),CHOOSE(ArtifactsInput!$N$27+1,20,24,28,32,36,40),0)/100)))))/Skills!H6,1)))/Inputs!$B$43),G1397*Q1397))*IF(Inputs!$B$38="pvp",1,(1+(Inputs!$B$21+Skills!Q6+(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8">
      <c r="A1398">
        <f>Skills!A7</f>
        <v/>
      </c>
      <c r="B1398">
        <f>Skills!B7</f>
        <v/>
      </c>
      <c r="C1398">
        <f>Inputs!$B$3&gt;=107</f>
        <v/>
      </c>
      <c r="D1398">
        <f>IF(Skills!C7=1,60+Inputs!$B$25+Inputs!$B$29,IF(Skills!C7=2,90+Inputs!$B$26+Inputs!$B$29,IF(Skills!C7=3,120+Inputs!$B$27+Inputs!$B$29,MAX(0,(Inputs!$B$3-100)*3)+Inputs!$B$28+Inputs!$B$29)))</f>
        <v/>
      </c>
      <c r="E1398">
        <f>INDEX(FactorTable!$B$2:$Y$301, MATCH(ROUND(MIN(300,MAX(1,D1398)),0), FactorTable!$A$2:$A$301,0), Skills!M7+1)</f>
        <v/>
      </c>
      <c r="F1398">
        <f>IF(Skills!N7=TRUE,(Skills!L7/10)*(E1398/1000),Skills!L7/10)+Skills!O7</f>
        <v/>
      </c>
      <c r="G1398">
        <f>Skills!G7*IF(Skills!H7&gt;0,Skills!I7/Skills!H7,1)</f>
        <v/>
      </c>
      <c r="H1398">
        <f>1-(1-Skills!J7/100)^Skills!K7</f>
        <v/>
      </c>
      <c r="I1398" t="inlineStr">
        <is>
          <t>1</t>
        </is>
      </c>
      <c r="J1398">
        <f>((Inputs!$B$6*(1+Inputs!$B$7/100))+(((Inputs!$B$12*(1+Inputs!$B$13/100))-(Inputs!$B$12*(1+Inputs!$B$13/100)))+0.25*(Inputs!$B$14-Inputs!$B$14))*(1+Inputs!$B$7/100))*(F1398/100)</f>
        <v/>
      </c>
      <c r="K1398">
        <f>J1398*(1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1398)</f>
        <v/>
      </c>
      <c r="L1398">
        <f>K1398*(MIN(Inputs!$B$22+((C1413=TRUE)*(F1413-Calc!F22)),(Inputs!$B$23+((C1415=TRUE)*(F1415-Calc!F24))+(IF(ArtifactsInput!$M$15,CHOOSE(ArtifactsInput!$N$15+1,25,30,35,40,45,50)/100*(Inputs!$B$11-Inputs!$B$11),0))))/100+(Inputs!$B$23+((C1415=TRUE)*(F1415-Calc!F24))+(IF(ArtifactsInput!$M$15,CHOOSE(ArtifactsInput!$N$15+1,25,30,35,40,45,50)/100*(Inputs!$B$11-Inputs!$B$11),0)))/100)/2</f>
        <v/>
      </c>
      <c r="M1398">
        <f>L1398*(1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8">
        <f>L1398*(1-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1398*(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8">
        <f>(1-Summary!$B$11)*T1398+Summary!$B$11*V1398</f>
        <v/>
      </c>
      <c r="P1398">
        <f>IF(B1428=0,0,O1398/B1428)</f>
        <v/>
      </c>
      <c r="Q1398">
        <f>IFERROR(1/(IF(Inputs!$B$38="pvp",15,MAX(0.1,Skills!D7-IF(Skills!E7=TRUE,Inputs!$B$32,0)))*(1-IF(AND(ArtifactsInput!$M$27,Inputs!$B$4="Chapter Hunt"),CHOOSE(ArtifactsInput!$N$27+1,20,24,28,32,36,40),0)/100)),0)</f>
        <v/>
      </c>
      <c r="R1398">
        <f>IF(AND(Inputs!$B$38&lt;&gt;"pvp",Inputs!$B$43&gt;0),IF(MAX(0,Inputs!$B$43-B1425)&lt;=0,0,(INT(MAX(0,Inputs!$B$43-B1425)/(IF(Inputs!$B$38="pvp",15,MAX(0.1,Skills!D7-IF(Skills!E7=TRUE,Inputs!$B$32,0)))*(1-IF(AND(ArtifactsInput!$M$27,Inputs!$B$4="Chapter Hunt"),CHOOSE(ArtifactsInput!$N$27+1,20,24,28,32,36,40),0)/100)))+1)),0)</f>
        <v/>
      </c>
      <c r="S1398">
        <f>IFERROR(O1398/N1398,0)</f>
        <v/>
      </c>
      <c r="T1398">
        <f>IF(C1398,(H1398*N1398*IF(AND(Inputs!$B$38&lt;&gt;"pvp",Inputs!$B$43&gt;0),((Skills!G7*((R1398-1)*IF(Skills!H7&gt;0,Skills!I7/Skills!H7,1)+IF(Skills!H7&gt;0,MIN(Skills!I7,MAX(0,MAX(0,Inputs!$B$43-B1425)-((R1398-1)*(IF(Inputs!$B$38="pvp",15,MAX(0.1,Skills!D7-IF(Skills!E7=TRUE,Inputs!$B$32,0)))*(1-IF(AND(ArtifactsInput!$M$27,Inputs!$B$4="Chapter Hunt"),CHOOSE(ArtifactsInput!$N$27+1,20,24,28,32,36,40),0)/100)))))/Skills!H7,1)))/Inputs!$B$43),G1398*Q1398)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1398*(1-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1398*(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1398*(1-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1398*(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8">
        <f>IF(C1398,(H1398*N1398*IF(AND(Inputs!$B$38&lt;&gt;"pvp",Inputs!$B$43&gt;0),((Skills!G7*((R1398-1)*IF(Skills!H7&gt;0,Skills!I7/Skills!H7,1)+IF(Skills!H7&gt;0,MIN(Skills!I7,MAX(0,MAX(0,Inputs!$B$43-B1425)-((R1398-1)*(IF(Inputs!$B$38="pvp",15,MAX(0.1,Skills!D7-IF(Skills!E7=TRUE,Inputs!$B$32,0)))*(1-IF(AND(ArtifactsInput!$M$27,Inputs!$B$4="Chapter Hunt"),CHOOSE(ArtifactsInput!$N$27+1,20,24,28,32,36,40),0)/100)))))/Skills!H7,1)))/Inputs!$B$43),G1398*Q1398))*IF(Inputs!$B$38="pvp",1,(1+(Inputs!$B$21+Skills!Q7+(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9">
      <c r="A1399">
        <f>Skills!A8</f>
        <v/>
      </c>
      <c r="B1399">
        <f>Skills!B8</f>
        <v/>
      </c>
      <c r="C1399">
        <f>Inputs!$B$3&gt;=107</f>
        <v/>
      </c>
      <c r="D1399">
        <f>IF(Skills!C8=1,60+Inputs!$B$25+Inputs!$B$29,IF(Skills!C8=2,90+Inputs!$B$26+Inputs!$B$29,IF(Skills!C8=3,120+Inputs!$B$27+Inputs!$B$29,MAX(0,(Inputs!$B$3-100)*3)+Inputs!$B$28+Inputs!$B$29)))</f>
        <v/>
      </c>
      <c r="E1399">
        <f>INDEX(FactorTable!$B$2:$Y$301, MATCH(ROUND(MIN(300,MAX(1,D1399)),0), FactorTable!$A$2:$A$301,0), Skills!M8+1)</f>
        <v/>
      </c>
      <c r="F1399">
        <f>IF(Skills!N8=TRUE,(Skills!L8/10)*(E1399/1000),Skills!L8/10)+Skills!O8</f>
        <v/>
      </c>
      <c r="G1399">
        <f>Skills!G8*IF(Skills!H8&gt;0,Skills!I8/Skills!H8,1)</f>
        <v/>
      </c>
      <c r="H1399">
        <f>1-(1-Skills!J8/100)^Skills!K8</f>
        <v/>
      </c>
      <c r="I1399" t="inlineStr">
        <is>
          <t>1</t>
        </is>
      </c>
      <c r="J1399">
        <f>((Inputs!$B$6*(1+Inputs!$B$7/100))+(((Inputs!$B$12*(1+Inputs!$B$13/100))-(Inputs!$B$12*(1+Inputs!$B$13/100)))+0.25*(Inputs!$B$14-Inputs!$B$14))*(1+Inputs!$B$7/100))*(F1399/100)</f>
        <v/>
      </c>
      <c r="K1399">
        <f>J1399*(1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1399)</f>
        <v/>
      </c>
      <c r="L1399">
        <f>K1399*(MIN(Inputs!$B$22+((C1413=TRUE)*(F1413-Calc!F22)),(Inputs!$B$23+((C1415=TRUE)*(F1415-Calc!F24))+(IF(ArtifactsInput!$M$15,CHOOSE(ArtifactsInput!$N$15+1,25,30,35,40,45,50)/100*(Inputs!$B$11-Inputs!$B$11),0))))/100+(Inputs!$B$23+((C1415=TRUE)*(F1415-Calc!F24))+(IF(ArtifactsInput!$M$15,CHOOSE(ArtifactsInput!$N$15+1,25,30,35,40,45,50)/100*(Inputs!$B$11-Inputs!$B$11),0)))/100)/2</f>
        <v/>
      </c>
      <c r="M1399">
        <f>L1399*(1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9">
        <f>L1399*(1-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1399*(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9">
        <f>(1-Summary!$B$11)*T1399+Summary!$B$11*V1399</f>
        <v/>
      </c>
      <c r="P1399">
        <f>IF(B1428=0,0,O1399/B1428)</f>
        <v/>
      </c>
      <c r="Q1399">
        <f>IFERROR(1/(IF(Inputs!$B$38="pvp",15,MAX(0.1,Skills!D8-IF(Skills!E8=TRUE,Inputs!$B$32,0)))*(1-IF(AND(ArtifactsInput!$M$27,Inputs!$B$4="Chapter Hunt"),CHOOSE(ArtifactsInput!$N$27+1,20,24,28,32,36,40),0)/100)),0)</f>
        <v/>
      </c>
      <c r="R1399">
        <f>IF(AND(Inputs!$B$38&lt;&gt;"pvp",Inputs!$B$43&gt;0),IF(MAX(0,Inputs!$B$43-B1425)&lt;=0,0,(INT(MAX(0,Inputs!$B$43-B1425)/(IF(Inputs!$B$38="pvp",15,MAX(0.1,Skills!D8-IF(Skills!E8=TRUE,Inputs!$B$32,0)))*(1-IF(AND(ArtifactsInput!$M$27,Inputs!$B$4="Chapter Hunt"),CHOOSE(ArtifactsInput!$N$27+1,20,24,28,32,36,40),0)/100)))+1)),0)</f>
        <v/>
      </c>
      <c r="S1399">
        <f>IFERROR(O1399/N1399,0)</f>
        <v/>
      </c>
      <c r="T1399">
        <f>IF(C1399,(H1399*N1399*IF(AND(Inputs!$B$38&lt;&gt;"pvp",Inputs!$B$43&gt;0),((Skills!G8*((R1399-1)*IF(Skills!H8&gt;0,Skills!I8/Skills!H8,1)+IF(Skills!H8&gt;0,MIN(Skills!I8,MAX(0,MAX(0,Inputs!$B$43-B1425)-((R1399-1)*(IF(Inputs!$B$38="pvp",15,MAX(0.1,Skills!D8-IF(Skills!E8=TRUE,Inputs!$B$32,0)))*(1-IF(AND(ArtifactsInput!$M$27,Inputs!$B$4="Chapter Hunt"),CHOOSE(ArtifactsInput!$N$27+1,20,24,28,32,36,40),0)/100)))))/Skills!H8,1)))/Inputs!$B$43),G1399*Q1399)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1399*(1-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1399*(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1399*(1-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1399*(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99">
        <f>IF(C1399,(H1399*N1399*IF(AND(Inputs!$B$38&lt;&gt;"pvp",Inputs!$B$43&gt;0),((Skills!G8*((R1399-1)*IF(Skills!H8&gt;0,Skills!I8/Skills!H8,1)+IF(Skills!H8&gt;0,MIN(Skills!I8,MAX(0,MAX(0,Inputs!$B$43-B1425)-((R1399-1)*(IF(Inputs!$B$38="pvp",15,MAX(0.1,Skills!D8-IF(Skills!E8=TRUE,Inputs!$B$32,0)))*(1-IF(AND(ArtifactsInput!$M$27,Inputs!$B$4="Chapter Hunt"),CHOOSE(ArtifactsInput!$N$27+1,20,24,28,32,36,40),0)/100)))))/Skills!H8,1)))/Inputs!$B$43),G1399*Q1399))*IF(Inputs!$B$38="pvp",1,(1+(Inputs!$B$21+Skills!Q8+(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0">
      <c r="A1400">
        <f>Skills!A9</f>
        <v/>
      </c>
      <c r="B1400">
        <f>Skills!B9</f>
        <v/>
      </c>
      <c r="C1400">
        <f>Inputs!$B$3&gt;=125</f>
        <v/>
      </c>
      <c r="D1400">
        <f>IF(Skills!C9=1,60+Inputs!$B$25+Inputs!$B$29,IF(Skills!C9=2,90+Inputs!$B$26+Inputs!$B$29,IF(Skills!C9=3,120+Inputs!$B$27+Inputs!$B$29,MAX(0,(Inputs!$B$3-100)*3)+Inputs!$B$28+Inputs!$B$29)))</f>
        <v/>
      </c>
      <c r="E1400">
        <f>INDEX(FactorTable!$B$2:$Y$301, MATCH(ROUND(MIN(300,MAX(1,D1400)),0), FactorTable!$A$2:$A$301,0), Skills!M9+1)</f>
        <v/>
      </c>
      <c r="F1400">
        <f>IF(Skills!N9=TRUE,(Skills!L9/10)*(E1400/1000),Skills!L9/10)+Skills!O9</f>
        <v/>
      </c>
      <c r="G1400">
        <f>Skills!G9*IF(Skills!H9&gt;0,Skills!I9/Skills!H9,1)</f>
        <v/>
      </c>
      <c r="H1400">
        <f>1-(1-Skills!J9/100)^Skills!K9</f>
        <v/>
      </c>
      <c r="I1400" t="inlineStr">
        <is>
          <t>1</t>
        </is>
      </c>
      <c r="J1400">
        <f>((Inputs!$B$6*(1+Inputs!$B$7/100))+(((Inputs!$B$12*(1+Inputs!$B$13/100))-(Inputs!$B$12*(1+Inputs!$B$13/100)))+0.25*(Inputs!$B$14-Inputs!$B$14))*(1+Inputs!$B$7/100))*(F1400/100)</f>
        <v/>
      </c>
      <c r="K1400">
        <f>J1400*(1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1400)</f>
        <v/>
      </c>
      <c r="L1400">
        <f>K1400*(MIN(Inputs!$B$22+((C1413=TRUE)*(F1413-Calc!F22)),(Inputs!$B$23+((C1415=TRUE)*(F1415-Calc!F24))+(IF(ArtifactsInput!$M$15,CHOOSE(ArtifactsInput!$N$15+1,25,30,35,40,45,50)/100*(Inputs!$B$11-Inputs!$B$11),0))))/100+(Inputs!$B$23+((C1415=TRUE)*(F1415-Calc!F24))+(IF(ArtifactsInput!$M$15,CHOOSE(ArtifactsInput!$N$15+1,25,30,35,40,45,50)/100*(Inputs!$B$11-Inputs!$B$11),0)))/100)/2</f>
        <v/>
      </c>
      <c r="M1400">
        <f>L1400*(1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0">
        <f>L1400*(1-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1400*(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0">
        <f>(1-Summary!$B$11)*T1400+Summary!$B$11*V1400</f>
        <v/>
      </c>
      <c r="P1400">
        <f>IF(B1428=0,0,O1400/B1428)</f>
        <v/>
      </c>
      <c r="Q1400">
        <f>IFERROR(1/(IF(Inputs!$B$38="pvp",15,MAX(0.1,Skills!D9-IF(Skills!E9=TRUE,Inputs!$B$32,0)))*(1-IF(AND(ArtifactsInput!$M$27,Inputs!$B$4="Chapter Hunt"),CHOOSE(ArtifactsInput!$N$27+1,20,24,28,32,36,40),0)/100)),0)</f>
        <v/>
      </c>
      <c r="R1400">
        <f>IF(AND(Inputs!$B$38&lt;&gt;"pvp",Inputs!$B$43&gt;0),IF(MAX(0,Inputs!$B$43-B1425)&lt;=0,0,(INT(MAX(0,Inputs!$B$43-B1425)/(IF(Inputs!$B$38="pvp",15,MAX(0.1,Skills!D9-IF(Skills!E9=TRUE,Inputs!$B$32,0)))*(1-IF(AND(ArtifactsInput!$M$27,Inputs!$B$4="Chapter Hunt"),CHOOSE(ArtifactsInput!$N$27+1,20,24,28,32,36,40),0)/100)))+1)),0)</f>
        <v/>
      </c>
      <c r="S1400">
        <f>IFERROR(O1400/N1400,0)</f>
        <v/>
      </c>
      <c r="T1400">
        <f>IF(C1400,(H1400*N1400*IF(AND(Inputs!$B$38&lt;&gt;"pvp",Inputs!$B$43&gt;0),((Skills!G9*((R1400-1)*IF(Skills!H9&gt;0,Skills!I9/Skills!H9,1)+IF(Skills!H9&gt;0,MIN(Skills!I9,MAX(0,MAX(0,Inputs!$B$43-B1425)-((R1400-1)*(IF(Inputs!$B$38="pvp",15,MAX(0.1,Skills!D9-IF(Skills!E9=TRUE,Inputs!$B$32,0)))*(1-IF(AND(ArtifactsInput!$M$27,Inputs!$B$4="Chapter Hunt"),CHOOSE(ArtifactsInput!$N$27+1,20,24,28,32,36,40),0)/100)))))/Skills!H9,1)))/Inputs!$B$43),G1400*Q1400)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1400*(1-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1400*(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1400*(1-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1400*(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00">
        <f>IF(C1400,(H1400*N1400*IF(AND(Inputs!$B$38&lt;&gt;"pvp",Inputs!$B$43&gt;0),((Skills!G9*((R1400-1)*IF(Skills!H9&gt;0,Skills!I9/Skills!H9,1)+IF(Skills!H9&gt;0,MIN(Skills!I9,MAX(0,MAX(0,Inputs!$B$43-B1425)-((R1400-1)*(IF(Inputs!$B$38="pvp",15,MAX(0.1,Skills!D9-IF(Skills!E9=TRUE,Inputs!$B$32,0)))*(1-IF(AND(ArtifactsInput!$M$27,Inputs!$B$4="Chapter Hunt"),CHOOSE(ArtifactsInput!$N$27+1,20,24,28,32,36,40),0)/100)))))/Skills!H9,1)))/Inputs!$B$43),G1400*Q1400))*IF(Inputs!$B$38="pvp",1,(1+(Inputs!$B$21+Skills!Q9+(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1">
      <c r="A1401">
        <f>Skills!A10</f>
        <v/>
      </c>
      <c r="B1401">
        <f>Skills!B10</f>
        <v/>
      </c>
      <c r="C1401">
        <f>Inputs!$B$3&gt;=117</f>
        <v/>
      </c>
      <c r="D1401">
        <f>IF(Skills!C10=1,60+Inputs!$B$25+Inputs!$B$29,IF(Skills!C10=2,90+Inputs!$B$26+Inputs!$B$29,IF(Skills!C10=3,120+Inputs!$B$27+Inputs!$B$29,MAX(0,(Inputs!$B$3-100)*3)+Inputs!$B$28+Inputs!$B$29)))</f>
        <v/>
      </c>
      <c r="E1401">
        <f>INDEX(FactorTable!$B$2:$Y$301, MATCH(ROUND(MIN(300,MAX(1,D1401)),0), FactorTable!$A$2:$A$301,0), Skills!M10+1)</f>
        <v/>
      </c>
      <c r="F1401">
        <f>IF(Skills!N10=TRUE,(Skills!L10/10)*(E1401/1000),Skills!L10/10)+Skills!O10</f>
        <v/>
      </c>
      <c r="G1401">
        <f>Skills!G10*IF(Skills!H10&gt;0,Skills!I10/Skills!H10,1)</f>
        <v/>
      </c>
      <c r="H1401">
        <f>1-(1-Skills!J10/100)^Skills!K10</f>
        <v/>
      </c>
      <c r="I1401" t="inlineStr">
        <is>
          <t>1</t>
        </is>
      </c>
      <c r="J1401">
        <f>((Inputs!$B$6*(1+Inputs!$B$7/100))+(((Inputs!$B$12*(1+Inputs!$B$13/100))-(Inputs!$B$12*(1+Inputs!$B$13/100)))+0.25*(Inputs!$B$14-Inputs!$B$14))*(1+Inputs!$B$7/100))*(F1401/100)</f>
        <v/>
      </c>
      <c r="K1401">
        <f>J1401*(1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1401)</f>
        <v/>
      </c>
      <c r="L1401">
        <f>K1401*(MIN(Inputs!$B$22+((C1413=TRUE)*(F1413-Calc!F22)),(Inputs!$B$23+((C1415=TRUE)*(F1415-Calc!F24))+(IF(ArtifactsInput!$M$15,CHOOSE(ArtifactsInput!$N$15+1,25,30,35,40,45,50)/100*(Inputs!$B$11-Inputs!$B$11),0))))/100+(Inputs!$B$23+((C1415=TRUE)*(F1415-Calc!F24))+(IF(ArtifactsInput!$M$15,CHOOSE(ArtifactsInput!$N$15+1,25,30,35,40,45,50)/100*(Inputs!$B$11-Inputs!$B$11),0)))/100)/2</f>
        <v/>
      </c>
      <c r="M1401">
        <f>L1401*(1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1">
        <f>L1401*(1-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1">
        <f>(1-Summary!$B$11)*T1401+Summary!$B$11*V1401</f>
        <v/>
      </c>
      <c r="P1401">
        <f>IF(B1428=0,0,O1401/B1428)</f>
        <v/>
      </c>
      <c r="Q1401">
        <f>IFERROR(1/(IF(Inputs!$B$38="pvp",15,MAX(0.1,Skills!D10-IF(Skills!E10=TRUE,Inputs!$B$32,0)))*(1-IF(AND(ArtifactsInput!$M$27,Inputs!$B$4="Chapter Hunt"),CHOOSE(ArtifactsInput!$N$27+1,20,24,28,32,36,40),0)/100)),0)</f>
        <v/>
      </c>
      <c r="R1401">
        <f>IF(AND(Inputs!$B$38&lt;&gt;"pvp",Inputs!$B$43&gt;0),IF(MAX(0,Inputs!$B$43-B1425)&lt;=0,0,(INT(MAX(0,Inputs!$B$43-B1425)/(IF(Inputs!$B$38="pvp",15,MAX(0.1,Skills!D10-IF(Skills!E10=TRUE,Inputs!$B$32,0)))*(1-IF(AND(ArtifactsInput!$M$27,Inputs!$B$4="Chapter Hunt"),CHOOSE(ArtifactsInput!$N$27+1,20,24,28,32,36,40),0)/100)))+1)),0)</f>
        <v/>
      </c>
      <c r="S1401">
        <f>IFERROR(O1401/N1401,0)</f>
        <v/>
      </c>
      <c r="T1401">
        <f>IF(C1401,(H1401*N1401*IF(AND(Inputs!$B$38&lt;&gt;"pvp",Inputs!$B$43&gt;0),((Skills!G10*((R1401-1)*IF(Skills!H10&gt;0,Skills!I10/Skills!H10,1)+IF(Skills!H10&gt;0,MIN(Skills!I10,MAX(0,MAX(0,Inputs!$B$43-B1425)-((R1401-1)*(IF(Inputs!$B$38="pvp",15,MAX(0.1,Skills!D10-IF(Skills!E10=TRUE,Inputs!$B$32,0)))*(1-IF(AND(ArtifactsInput!$M$27,Inputs!$B$4="Chapter Hunt"),CHOOSE(ArtifactsInput!$N$27+1,20,24,28,32,36,40),0)/100)))))/Skills!H10,1)))/Inputs!$B$43),G1401*Q1401)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1401*(1-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1401*(1-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01">
        <f>IF(C1401,(H1401*N1401*IF(AND(Inputs!$B$38&lt;&gt;"pvp",Inputs!$B$43&gt;0),((Skills!G10*((R1401-1)*IF(Skills!H10&gt;0,Skills!I10/Skills!H10,1)+IF(Skills!H10&gt;0,MIN(Skills!I10,MAX(0,MAX(0,Inputs!$B$43-B1425)-((R1401-1)*(IF(Inputs!$B$38="pvp",15,MAX(0.1,Skills!D10-IF(Skills!E10=TRUE,Inputs!$B$32,0)))*(1-IF(AND(ArtifactsInput!$M$27,Inputs!$B$4="Chapter Hunt"),CHOOSE(ArtifactsInput!$N$27+1,20,24,28,32,36,40),0)/100)))))/Skills!H10,1)))/Inputs!$B$43),G1401*Q1401))*IF(Inputs!$B$38="pvp",1,(1+(Inputs!$B$21+Skills!Q10+(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2">
      <c r="A1402">
        <f>Skills!A11</f>
        <v/>
      </c>
      <c r="B1402">
        <f>Skills!B11</f>
        <v/>
      </c>
      <c r="C1402">
        <f>Inputs!$B$3&gt;=63</f>
        <v/>
      </c>
      <c r="D1402">
        <f>IF(Skills!C11=1,60+Inputs!$B$25+Inputs!$B$29,IF(Skills!C11=2,90+Inputs!$B$26+Inputs!$B$29,IF(Skills!C11=3,120+Inputs!$B$27+Inputs!$B$29,MAX(0,(Inputs!$B$3-100)*3)+Inputs!$B$28+Inputs!$B$29)))</f>
        <v/>
      </c>
      <c r="E1402">
        <f>INDEX(FactorTable!$B$2:$Y$301, MATCH(ROUND(MIN(300,MAX(1,D1402)),0), FactorTable!$A$2:$A$301,0), Skills!M11+1)</f>
        <v/>
      </c>
      <c r="F1402">
        <f>IF(Skills!N11=TRUE,(Skills!L11/10)*(E1402/1000),Skills!L11/10)+Skills!O11</f>
        <v/>
      </c>
      <c r="G1402">
        <f>Skills!G11*IF(Skills!H11&gt;0,Skills!I11/Skills!H11,1)</f>
        <v/>
      </c>
      <c r="H1402">
        <f>1-(1-Skills!J11/100)^Skills!K11</f>
        <v/>
      </c>
      <c r="I1402" t="inlineStr">
        <is>
          <t>1</t>
        </is>
      </c>
      <c r="J1402">
        <f>((Inputs!$B$6*(1+Inputs!$B$7/100))+(((Inputs!$B$12*(1+Inputs!$B$13/100))-(Inputs!$B$12*(1+Inputs!$B$13/100)))+0.25*(Inputs!$B$14-Inputs!$B$14))*(1+Inputs!$B$7/100))*(F1402/100)</f>
        <v/>
      </c>
      <c r="K1402">
        <f>J1402*(1+((Inputs!$B$12*(1+Inputs!$B$13/100))*0.01+Inputs!$B$14*0.0025)/100)*(1+Inputs!$B$15/100)*(1+Inputs!$B$16/100)*(5000/(6000+Inputs!$B$42*(1-(Inputs!$B$19+0)/100)))*(1+(Inputs!$B$24+0+B1424)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1403=TRUE,F1403,0)/100)*(1+(IF(Skills!A11="BLAST",Inputs!$B$17+((C1412=TRUE)*(F1412-Calc!F21))+((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MIN(100,((Inputs!$B$9+0+B1418+(ArtifactsInput!$M$24-ArtifactsInput!$M$24)*CHOOSE(ArtifactsInput!$N$24+1,10,12,14,16,18,20)+IF(ArtifactsInput!$M$10,CHOOSE(ArtifactsInput!$N$10+1,15,18,21,24,27,30)*(IF(Inputs!$B$38="pvp",MIN(15,15)/15,IF(AND(Inputs!$B$38&lt;&gt;"pvp",Inputs!$B$43&gt;0),MIN(15,Inputs!$B$43)/(Inputs!$B$43),0))),0)))-100),0))*CHOOSE(ArtifactsInput!$N$42+1,0.6,0.72,0.84,0.96,1.08,1.2))),Inputs!$B$18+((C1414=TRUE)*(F1414-Calc!F23))+(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gt;=100),CHOOSE(ArtifactsInput!$N$42+1,40,48,56,64,72,80),0))))/100)*((1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1402)</f>
        <v/>
      </c>
      <c r="L1402">
        <f>K1402*(MIN(Inputs!$B$22+((C1413=TRUE)*(F1413-Calc!F22)),(Inputs!$B$23+((C1415=TRUE)*(F1415-Calc!F24))+(IF(ArtifactsInput!$M$15,CHOOSE(ArtifactsInput!$N$15+1,25,30,35,40,45,50)/100*(Inputs!$B$11-Inputs!$B$11),0))))/100+(Inputs!$B$23+((C1415=TRUE)*(F1415-Calc!F24))+(IF(ArtifactsInput!$M$15,CHOOSE(ArtifactsInput!$N$15+1,25,30,35,40,45,50)/100*(Inputs!$B$11-Inputs!$B$11),0)))/100)/2</f>
        <v/>
      </c>
      <c r="M1402">
        <f>L1402*(1+(Inputs!$B$10+0+B1423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02">
        <f>L1402*(1-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1402*(MIN((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02">
        <f>(1-Summary!$B$11)*T1402+Summary!$B$11*V1402</f>
        <v/>
      </c>
      <c r="P1402">
        <f>IF(B1428=0,0,O1402/B1428)</f>
        <v/>
      </c>
      <c r="Q1402">
        <f>IFERROR(1/(IF(Inputs!$B$38="pvp",15,MAX(0.1,Skills!D11-IF(Skills!E11=TRUE,Inputs!$B$32,0)))*(1-IF(AND(ArtifactsInput!$M$27,Inputs!$B$4="Chapter Hunt"),CHOOSE(ArtifactsInput!$N$27+1,20,24,28,32,36,40),0)/100)),0)</f>
        <v/>
      </c>
      <c r="R1402">
        <f>IF(AND(Inputs!$B$38&lt;&gt;"pvp",Inputs!$B$43&gt;0),IF(MAX(0,Inputs!$B$43-B1425)&lt;=0,0,(INT(MAX(0,Inputs!$B$43-B1425)/(IF(Inputs!$B$38="pvp",15,MAX(0.1,Skills!D11-IF(Skills!E11=TRUE,Inputs!$B$32,0)))*(1-IF(AND(ArtifactsInput!$M$27,Inputs!$B$4="Chapter Hunt"),CHOOSE(ArtifactsInput!$N$27+1,20,24,28,32,36,40),0)/100)))+1)),0)</f>
        <v/>
      </c>
      <c r="S1402">
        <f>IFERROR(O1402/N1402,0)</f>
        <v/>
      </c>
      <c r="T1402">
        <f>IF(C1402,(H1402*N1402*IF(AND(Inputs!$B$38&lt;&gt;"pvp",Inputs!$B$43&gt;0),((Skills!G11*((R1402-1)*IF(Skills!H11&gt;0,Skills!I11/Skills!H11,1)+IF(Skills!H11&gt;0,MIN(Skills!I11,MAX(0,MAX(0,Inputs!$B$43-B1425)-((R1402-1)*(IF(Inputs!$B$38="pvp",15,MAX(0.1,Skills!D11-IF(Skills!E11=TRUE,Inputs!$B$32,0)))*(1-IF(AND(ArtifactsInput!$M$27,Inputs!$B$4="Chapter Hunt"),CHOOSE(ArtifactsInput!$N$27+1,20,24,28,32,36,40),0)/100)))))/Skills!H11,1)))/Inputs!$B$43),G1402*Q1402)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1402*(1-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1402*(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1402*(1-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1402*(MIN(100,(Inputs!$B$9+0+B1418+(ArtifactsInput!$M$24-ArtifactsInput!$M$24)*CHOOSE(ArtifactsInput!$N$24+1,10,12,14,16,18,20)+(IF(AND(Inputs!$B$38&lt;&gt;"pvp",Inputs!$B$43=0),1,IF(IF(Inputs!$B$38="pvp",15,Inputs!$B$43)-(B1425)&lt;=0,1,MAX(0,IF(Inputs!$B$38="pvp",15,Inputs!$B$43)-MAX(5,B1425))/(IF(Inputs!$B$38="pvp",15,Inputs!$B$43)-(B1425))))*IF(AND(ArtifactsInput!$M$42,((Inputs!$B$9+0+B1418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02">
        <f>IF(C1402,(H1402*N1402*IF(AND(Inputs!$B$38&lt;&gt;"pvp",Inputs!$B$43&gt;0),((Skills!G11*((R1402-1)*IF(Skills!H11&gt;0,Skills!I11/Skills!H11,1)+IF(Skills!H11&gt;0,MIN(Skills!I11,MAX(0,MAX(0,Inputs!$B$43-B1425)-((R1402-1)*(IF(Inputs!$B$38="pvp",15,MAX(0.1,Skills!D11-IF(Skills!E11=TRUE,Inputs!$B$32,0)))*(1-IF(AND(ArtifactsInput!$M$27,Inputs!$B$4="Chapter Hunt"),CHOOSE(ArtifactsInput!$N$27+1,20,24,28,32,36,40),0)/100)))))/Skills!H11,1)))/Inputs!$B$43),G1402*Q1402))*IF(Inputs!$B$38="pvp",1,(1+(Inputs!$B$21+Skills!Q11+(IF(ArtifactsInput!$M$33,CHOOSE(ArtifactsInput!$N$33+1,30,36,42,48,54,60),0))+(IF(AND(ArtifactsInput!$M$35,Inputs!$B$4&lt;&gt;"Chapter Hunt"),CHOOSE(ArtifactsInput!$N$35+1,15,18,21,24,27,30)*(1-EXP(-(0.2*B1420)*5)),0)+IF(AND(ArtifactsInput!$M$22,Inputs!$B$4&lt;&gt;"Chapter Hunt"),CHOOSE(ArtifactsInput!$N$22+1,10,12,14,16,18,20)*((0*(((0.15*B1420*5))^0/1)+1*(((0.15*B1420*5))^1/1)+2*(((0.15*B1420*5))^2/2)+3*(((0.15*B1420*5))^3/6)+4*(((0.15*B1420*5))^4/24)+5*(((0.15*B1420*5))^5/120))/((((0.15*B1420*5))^0/1)+(((0.15*B1420*5))^1/1)+(((0.15*B1420*5))^2/2)+(((0.15*B1420*5))^3/6)+(((0.15*B1420*5))^4/24)+(((0.15*B1420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03">
      <c r="A1403">
        <f>Skills!A12</f>
        <v/>
      </c>
      <c r="B1403">
        <f>Skills!B12</f>
        <v/>
      </c>
      <c r="C1403">
        <f>Inputs!$B$3&gt;=100</f>
        <v/>
      </c>
      <c r="D1403">
        <f>IF(Skills!C12=1,60+Inputs!$B$25+Inputs!$B$29,IF(Skills!C12=2,90+Inputs!$B$26+Inputs!$B$29,IF(Skills!C12=3,120+Inputs!$B$27+Inputs!$B$29,MAX(0,(Inputs!$B$3-100)*3)+Inputs!$B$28+Inputs!$B$29)))</f>
        <v/>
      </c>
      <c r="E1403">
        <f>INDEX(FactorTable!$B$2:$Y$301, MATCH(ROUND(MIN(300,MAX(1,D1403)),0), FactorTable!$A$2:$A$301,0), Skills!M12+1)</f>
        <v/>
      </c>
      <c r="F1403">
        <f>IF(Skills!N12=TRUE,(Skills!L12/10)*(E1403/1000),Skills!L12/10)+Skills!O12</f>
        <v/>
      </c>
      <c r="G1403" t="inlineStr"/>
      <c r="H1403" t="inlineStr"/>
      <c r="I1403" t="inlineStr">
        <is>
          <t>1</t>
        </is>
      </c>
      <c r="J1403" t="inlineStr"/>
      <c r="K1403" t="inlineStr"/>
      <c r="L1403" t="inlineStr"/>
      <c r="M1403" t="inlineStr"/>
      <c r="N1403" t="inlineStr"/>
      <c r="O1403" t="inlineStr"/>
      <c r="P1403" t="inlineStr"/>
      <c r="Q1403" t="inlineStr"/>
      <c r="R1403" t="inlineStr"/>
      <c r="S1403" t="inlineStr"/>
    </row>
    <row r="1404">
      <c r="A1404">
        <f>Skills!A13</f>
        <v/>
      </c>
      <c r="B1404">
        <f>Skills!B13</f>
        <v/>
      </c>
      <c r="C1404">
        <f>Inputs!$B$3&gt;=45</f>
        <v/>
      </c>
      <c r="D1404">
        <f>IF(Skills!C13=1,60+Inputs!$B$25+Inputs!$B$29,IF(Skills!C13=2,90+Inputs!$B$26+Inputs!$B$29,IF(Skills!C13=3,120+Inputs!$B$27+Inputs!$B$29,MAX(0,(Inputs!$B$3-100)*3)+Inputs!$B$28+Inputs!$B$29)))</f>
        <v/>
      </c>
      <c r="E1404">
        <f>INDEX(FactorTable!$B$2:$Y$301, MATCH(ROUND(MIN(300,MAX(1,D1404)),0), FactorTable!$A$2:$A$301,0), Skills!M13+1)</f>
        <v/>
      </c>
      <c r="F1404">
        <f>IF(Skills!N13=TRUE,(Skills!L13/10)*(E1404/1000),Skills!L13/10)+Skills!O13</f>
        <v/>
      </c>
      <c r="G1404">
        <f>Skills!G13*IF(Skills!H13&gt;0,Skills!I13/Skills!H13,1)</f>
        <v/>
      </c>
      <c r="H1404">
        <f>1-(1-Skills!J13/100)^Skills!K13</f>
        <v/>
      </c>
      <c r="I1404" t="inlineStr">
        <is>
          <t>1</t>
        </is>
      </c>
      <c r="J1404" t="inlineStr"/>
      <c r="K1404" t="inlineStr"/>
      <c r="L1404" t="inlineStr"/>
      <c r="M1404" t="inlineStr"/>
      <c r="N1404" t="inlineStr"/>
      <c r="O1404">
        <f>(1-Summary!$B$11)*T1404+Summary!$B$11*V1404</f>
        <v/>
      </c>
      <c r="P1404">
        <f>IF(B1428=0,0,O1404/B1428)</f>
        <v/>
      </c>
      <c r="Q1404" t="n">
        <v>0</v>
      </c>
      <c r="R1404" t="n">
        <v>0</v>
      </c>
      <c r="S1404">
        <f>IFERROR(O1404/N1404,0)</f>
        <v/>
      </c>
      <c r="T1404" t="n">
        <v>0</v>
      </c>
      <c r="V1404" t="n">
        <v>0</v>
      </c>
    </row>
    <row r="1405">
      <c r="A1405">
        <f>Skills!A14</f>
        <v/>
      </c>
      <c r="B1405">
        <f>Skills!B14</f>
        <v/>
      </c>
      <c r="C1405">
        <f>Inputs!$B$3&gt;=110</f>
        <v/>
      </c>
      <c r="D1405">
        <f>IF(Skills!C14=1,60+Inputs!$B$25+Inputs!$B$29,IF(Skills!C14=2,90+Inputs!$B$26+Inputs!$B$29,IF(Skills!C14=3,120+Inputs!$B$27+Inputs!$B$29,MAX(0,(Inputs!$B$3-100)*3)+Inputs!$B$28+Inputs!$B$29)))</f>
        <v/>
      </c>
      <c r="E1405">
        <f>INDEX(FactorTable!$B$2:$Y$301, MATCH(ROUND(MIN(300,MAX(1,D1405)),0), FactorTable!$A$2:$A$301,0), Skills!M14+1)</f>
        <v/>
      </c>
      <c r="F1405">
        <f>IF(Skills!N14=TRUE,(Skills!L14/10)*(E1405/1000),Skills!L14/10)+Skills!O14</f>
        <v/>
      </c>
      <c r="G1405">
        <f>Skills!G14*IF(Skills!H14&gt;0,Skills!I14/Skills!H14,1)</f>
        <v/>
      </c>
      <c r="H1405">
        <f>1-(1-Skills!J14/100)^Skills!K14</f>
        <v/>
      </c>
      <c r="I1405" t="inlineStr">
        <is>
          <t>1</t>
        </is>
      </c>
      <c r="J1405" t="inlineStr"/>
      <c r="K1405" t="inlineStr"/>
      <c r="L1405" t="inlineStr"/>
      <c r="M1405" t="inlineStr"/>
      <c r="N1405" t="inlineStr"/>
      <c r="O1405">
        <f>(1-Summary!$B$11)*T1405+Summary!$B$11*V1405</f>
        <v/>
      </c>
      <c r="P1405">
        <f>IF(B1428=0,0,O1405/B1428)</f>
        <v/>
      </c>
      <c r="Q1405" t="n">
        <v>0</v>
      </c>
      <c r="R1405" t="n">
        <v>0</v>
      </c>
      <c r="S1405">
        <f>IFERROR(O1405/N1405,0)</f>
        <v/>
      </c>
      <c r="T1405" t="n">
        <v>0</v>
      </c>
      <c r="V1405" t="n">
        <v>0</v>
      </c>
    </row>
    <row r="1406">
      <c r="A1406">
        <f>Skills!A15</f>
        <v/>
      </c>
      <c r="B1406">
        <f>Skills!B15</f>
        <v/>
      </c>
      <c r="C1406">
        <f>Inputs!$B$3&gt;=75</f>
        <v/>
      </c>
      <c r="D1406">
        <f>IF(Skills!C15=1,60+Inputs!$B$25+Inputs!$B$29,IF(Skills!C15=2,90+Inputs!$B$26+Inputs!$B$29,IF(Skills!C15=3,120+Inputs!$B$27+Inputs!$B$29,MAX(0,(Inputs!$B$3-100)*3)+Inputs!$B$28+Inputs!$B$29)))</f>
        <v/>
      </c>
      <c r="E1406">
        <f>INDEX(FactorTable!$B$2:$Y$301, MATCH(ROUND(MIN(300,MAX(1,D1406)),0), FactorTable!$A$2:$A$301,0), Skills!M15+1)</f>
        <v/>
      </c>
      <c r="F1406">
        <f>IF(Skills!N15=TRUE,(Skills!L15/10)*(E1406/1000),Skills!L15/10)+Skills!O15</f>
        <v/>
      </c>
      <c r="G1406">
        <f>Skills!G15*IF(Skills!H15&gt;0,Skills!I15/Skills!H15,1)</f>
        <v/>
      </c>
      <c r="H1406">
        <f>1-(1-Skills!J15/100)^Skills!K15</f>
        <v/>
      </c>
      <c r="I1406" t="inlineStr">
        <is>
          <t>1</t>
        </is>
      </c>
      <c r="J1406" t="inlineStr"/>
      <c r="K1406" t="inlineStr"/>
      <c r="L1406" t="inlineStr"/>
      <c r="M1406" t="inlineStr"/>
      <c r="N1406" t="inlineStr"/>
      <c r="O1406">
        <f>(1-Summary!$B$11)*T1406+Summary!$B$11*V1406</f>
        <v/>
      </c>
      <c r="P1406">
        <f>IF(B1428=0,0,O1406/B1428)</f>
        <v/>
      </c>
      <c r="Q1406">
        <f>IFERROR(1/(IF(Inputs!$B$38="pvp",15,MAX(0.1,Skills!D15-IF(Skills!E15=TRUE,Inputs!$B$32,0)))*(1-IF(AND(ArtifactsInput!$M$27,Inputs!$B$4="Chapter Hunt"),CHOOSE(ArtifactsInput!$N$27+1,20,24,28,32,36,40),0)/100)),0)</f>
        <v/>
      </c>
      <c r="R1406">
        <f>IF(AND(Inputs!$B$38&lt;&gt;"pvp",Inputs!$B$43&gt;0),IF(Inputs!$B$43&lt;=0,0,(INT(Inputs!$B$43/(IF(Inputs!$B$38="pvp",15,MAX(0.1,Skills!D15-IF(Skills!E15=TRUE,Inputs!$B$32,0)))*(1-IF(AND(ArtifactsInput!$M$27,Inputs!$B$4="Chapter Hunt"),CHOOSE(ArtifactsInput!$N$27+1,20,24,28,32,36,40),0)/100)))+1)),0)</f>
        <v/>
      </c>
      <c r="S1406">
        <f>IFERROR(O1406/N1406,0)</f>
        <v/>
      </c>
      <c r="T1406" t="n">
        <v>0</v>
      </c>
      <c r="V1406" t="n">
        <v>0</v>
      </c>
    </row>
    <row r="1407">
      <c r="A1407">
        <f>Skills!A16</f>
        <v/>
      </c>
      <c r="B1407">
        <f>Skills!B16</f>
        <v/>
      </c>
      <c r="C1407">
        <f>Inputs!$B$3&gt;=105</f>
        <v/>
      </c>
      <c r="D1407">
        <f>IF(Skills!C16=1,60+Inputs!$B$25+Inputs!$B$29,IF(Skills!C16=2,90+Inputs!$B$26+Inputs!$B$29,IF(Skills!C16=3,120+Inputs!$B$27+Inputs!$B$29,MAX(0,(Inputs!$B$3-100)*3)+Inputs!$B$28+Inputs!$B$29)))</f>
        <v/>
      </c>
      <c r="E1407">
        <f>INDEX(FactorTable!$B$2:$Y$301, MATCH(ROUND(MIN(300,MAX(1,D1407)),0), FactorTable!$A$2:$A$301,0), Skills!M16+1)</f>
        <v/>
      </c>
      <c r="F1407">
        <f>IF(Skills!N16=TRUE,(Skills!L16/10)*(E1407/1000),Skills!L16/10)+Skills!O16</f>
        <v/>
      </c>
      <c r="G1407">
        <f>Skills!G16*IF(Skills!H16&gt;0,Skills!I16/Skills!H16,1)</f>
        <v/>
      </c>
      <c r="H1407">
        <f>1-(1-Skills!J16/100)^Skills!K16</f>
        <v/>
      </c>
      <c r="I1407" t="inlineStr">
        <is>
          <t>1</t>
        </is>
      </c>
      <c r="J1407" t="inlineStr"/>
      <c r="K1407" t="inlineStr"/>
      <c r="L1407" t="inlineStr"/>
      <c r="M1407" t="inlineStr"/>
      <c r="N1407" t="inlineStr"/>
      <c r="O1407">
        <f>(1-Summary!$B$11)*T1407+Summary!$B$11*V1407</f>
        <v/>
      </c>
      <c r="P1407">
        <f>IF(B1428=0,0,O1407/B1428)</f>
        <v/>
      </c>
      <c r="Q1407">
        <f>IFERROR(1/(IF(Inputs!$B$38="pvp",15,MAX(0.1,Skills!D16-IF(Skills!E16=TRUE,Inputs!$B$32,0)))*(1-IF(AND(ArtifactsInput!$M$27,Inputs!$B$4="Chapter Hunt"),CHOOSE(ArtifactsInput!$N$27+1,20,24,28,32,36,40),0)/100)),0)</f>
        <v/>
      </c>
      <c r="R1407">
        <f>IF(AND(Inputs!$B$38&lt;&gt;"pvp",Inputs!$B$43&gt;0),IF(Inputs!$B$43&lt;=0,0,(INT(Inputs!$B$43/(IF(Inputs!$B$38="pvp",15,MAX(0.1,Skills!D16-IF(Skills!E16=TRUE,Inputs!$B$32,0)))*(1-IF(AND(ArtifactsInput!$M$27,Inputs!$B$4="Chapter Hunt"),CHOOSE(ArtifactsInput!$N$27+1,20,24,28,32,36,40),0)/100)))+1)),0)</f>
        <v/>
      </c>
      <c r="S1407">
        <f>IFERROR(O1407/N1407,0)</f>
        <v/>
      </c>
      <c r="T1407" t="n">
        <v>0</v>
      </c>
      <c r="V1407" t="n">
        <v>0</v>
      </c>
    </row>
    <row r="1408">
      <c r="A1408">
        <f>Skills!A17</f>
        <v/>
      </c>
      <c r="B1408">
        <f>Skills!B17</f>
        <v/>
      </c>
      <c r="C1408">
        <f>Inputs!$B$3&gt;=115</f>
        <v/>
      </c>
      <c r="D1408">
        <f>IF(Skills!C17=1,60+Inputs!$B$25+Inputs!$B$29,IF(Skills!C17=2,90+Inputs!$B$26+Inputs!$B$29,IF(Skills!C17=3,120+Inputs!$B$27+Inputs!$B$29,MAX(0,(Inputs!$B$3-100)*3)+Inputs!$B$28+Inputs!$B$29)))</f>
        <v/>
      </c>
      <c r="E1408">
        <f>INDEX(FactorTable!$B$2:$Y$301, MATCH(ROUND(MIN(300,MAX(1,D1408)),0), FactorTable!$A$2:$A$301,0), Skills!M17+1)</f>
        <v/>
      </c>
      <c r="F1408">
        <f>IF(Skills!N17=TRUE,(Skills!L17/10)*(E1408/1000),Skills!L17/10)+Skills!O17</f>
        <v/>
      </c>
      <c r="G1408">
        <f>Skills!G17*IF(Skills!H17&gt;0,Skills!I17/Skills!H17,1)</f>
        <v/>
      </c>
      <c r="H1408">
        <f>1-(1-Skills!J17/100)^Skills!K17</f>
        <v/>
      </c>
      <c r="I1408" t="inlineStr">
        <is>
          <t>1</t>
        </is>
      </c>
      <c r="J1408" t="inlineStr"/>
      <c r="K1408" t="inlineStr"/>
      <c r="L1408" t="inlineStr"/>
      <c r="M1408" t="inlineStr"/>
      <c r="N1408" t="inlineStr"/>
      <c r="O1408">
        <f>(1-Summary!$B$11)*T1408+Summary!$B$11*V1408</f>
        <v/>
      </c>
      <c r="P1408">
        <f>IF(B1428=0,0,O1408/B1428)</f>
        <v/>
      </c>
      <c r="Q1408">
        <f>IFERROR(1/(IF(Inputs!$B$38="pvp",15,MAX(0.1,Skills!D17-IF(Skills!E17=TRUE,Inputs!$B$32,0)))*(1-IF(AND(ArtifactsInput!$M$27,Inputs!$B$4="Chapter Hunt"),CHOOSE(ArtifactsInput!$N$27+1,20,24,28,32,36,40),0)/100)),0)</f>
        <v/>
      </c>
      <c r="R1408">
        <f>IF(AND(Inputs!$B$38&lt;&gt;"pvp",Inputs!$B$43&gt;0),IF(Inputs!$B$43&lt;=0,0,(INT(Inputs!$B$43/(IF(Inputs!$B$38="pvp",15,MAX(0.1,Skills!D17-IF(Skills!E17=TRUE,Inputs!$B$32,0)))*(1-IF(AND(ArtifactsInput!$M$27,Inputs!$B$4="Chapter Hunt"),CHOOSE(ArtifactsInput!$N$27+1,20,24,28,32,36,40),0)/100)))+1)),0)</f>
        <v/>
      </c>
      <c r="S1408">
        <f>IFERROR(O1408/N1408,0)</f>
        <v/>
      </c>
      <c r="T1408" t="n">
        <v>0</v>
      </c>
      <c r="V1408" t="n">
        <v>0</v>
      </c>
    </row>
    <row r="1409">
      <c r="A1409">
        <f>Skills!A18</f>
        <v/>
      </c>
      <c r="B1409">
        <f>Skills!B18</f>
        <v/>
      </c>
      <c r="C1409">
        <f>Inputs!$B$3&gt;=74</f>
        <v/>
      </c>
      <c r="D1409">
        <f>IF(Skills!C18=1,60+Inputs!$B$25+Inputs!$B$29,IF(Skills!C18=2,90+Inputs!$B$26+Inputs!$B$29,IF(Skills!C18=3,120+Inputs!$B$27+Inputs!$B$29,MAX(0,(Inputs!$B$3-100)*3)+Inputs!$B$28+Inputs!$B$29)))</f>
        <v/>
      </c>
      <c r="E1409">
        <f>INDEX(FactorTable!$B$2:$Y$301, MATCH(ROUND(MIN(300,MAX(1,D1409)),0), FactorTable!$A$2:$A$301,0), Skills!M18+1)</f>
        <v/>
      </c>
      <c r="F1409">
        <f>IF(Skills!N18=TRUE,(Skills!L18/10)*(E1409/1000),Skills!L18/10)+Skills!O18</f>
        <v/>
      </c>
      <c r="G1409">
        <f>Skills!G18*IF(Skills!H18&gt;0,Skills!I18/Skills!H18,1)</f>
        <v/>
      </c>
      <c r="H1409">
        <f>1-(1-Skills!J18/100)^Skills!K18</f>
        <v/>
      </c>
      <c r="I1409" t="inlineStr">
        <is>
          <t>1</t>
        </is>
      </c>
      <c r="J1409" t="inlineStr"/>
      <c r="K1409" t="inlineStr"/>
      <c r="L1409" t="inlineStr"/>
      <c r="M1409" t="inlineStr"/>
      <c r="N1409" t="inlineStr"/>
      <c r="O1409">
        <f>(1-Summary!$B$11)*T1409+Summary!$B$11*V1409</f>
        <v/>
      </c>
      <c r="P1409">
        <f>IF(B1428=0,0,O1409/B1428)</f>
        <v/>
      </c>
      <c r="Q1409">
        <f>IFERROR(1/(IF(Inputs!$B$38="pvp",15,MAX(0.1,Skills!D18-IF(Skills!E18=TRUE,Inputs!$B$32,0)))*(1-IF(AND(ArtifactsInput!$M$27,Inputs!$B$4="Chapter Hunt"),CHOOSE(ArtifactsInput!$N$27+1,20,24,28,32,36,40),0)/100)),0)</f>
        <v/>
      </c>
      <c r="R1409">
        <f>IF(AND(Inputs!$B$38&lt;&gt;"pvp",Inputs!$B$43&gt;0),IF(Inputs!$B$43&lt;=0,0,(INT(Inputs!$B$43/(IF(Inputs!$B$38="pvp",15,MAX(0.1,Skills!D18-IF(Skills!E18=TRUE,Inputs!$B$32,0)))*(1-IF(AND(ArtifactsInput!$M$27,Inputs!$B$4="Chapter Hunt"),CHOOSE(ArtifactsInput!$N$27+1,20,24,28,32,36,40),0)/100)))+1)),0)</f>
        <v/>
      </c>
      <c r="S1409">
        <f>IFERROR(O1409/N1409,0)</f>
        <v/>
      </c>
      <c r="T1409" t="n">
        <v>0</v>
      </c>
      <c r="V1409" t="n">
        <v>0</v>
      </c>
    </row>
    <row r="1410">
      <c r="A1410">
        <f>Skills!A19</f>
        <v/>
      </c>
      <c r="B1410">
        <f>Skills!B19</f>
        <v/>
      </c>
      <c r="C1410">
        <f>TRUE</f>
        <v/>
      </c>
      <c r="D1410">
        <f>IF(Skills!C19=1,60+Inputs!$B$25+Inputs!$B$29,IF(Skills!C19=2,90+Inputs!$B$26+Inputs!$B$29,IF(Skills!C19=3,120+Inputs!$B$27+Inputs!$B$29,MAX(0,(Inputs!$B$3-100)*3)+Inputs!$B$28+Inputs!$B$29)))</f>
        <v/>
      </c>
      <c r="E1410">
        <f>INDEX(FactorTable!$B$2:$Y$301, MATCH(ROUND(MIN(300,MAX(1,D1410)),0), FactorTable!$A$2:$A$301,0), Skills!M19+1)</f>
        <v/>
      </c>
      <c r="F1410">
        <f>IF(Skills!N19=TRUE,(Skills!L19/10)*(E1410/1000),Skills!L19/10)+Skills!O19</f>
        <v/>
      </c>
      <c r="G1410">
        <f>Skills!G19*IF(Skills!H19&gt;0,Skills!I19/Skills!H19,1)</f>
        <v/>
      </c>
      <c r="H1410">
        <f>1-(1-Skills!J19/100)^Skills!K19</f>
        <v/>
      </c>
      <c r="I1410" t="inlineStr">
        <is>
          <t>1</t>
        </is>
      </c>
      <c r="J1410" t="inlineStr"/>
      <c r="K1410" t="inlineStr"/>
      <c r="L1410" t="inlineStr"/>
      <c r="M1410" t="inlineStr"/>
      <c r="N1410" t="inlineStr"/>
      <c r="O1410">
        <f>(1-Summary!$B$11)*T1410+Summary!$B$11*V1410</f>
        <v/>
      </c>
      <c r="P1410">
        <f>IF(B1428=0,0,O1410/B1428)</f>
        <v/>
      </c>
      <c r="Q1410">
        <f>IFERROR(1/(IF(Inputs!$B$38="pvp",15,MAX(0.1,Skills!D19-IF(Skills!E19=TRUE,Inputs!$B$32,0)))*(1-IF(AND(ArtifactsInput!$M$27,Inputs!$B$4="Chapter Hunt"),CHOOSE(ArtifactsInput!$N$27+1,20,24,28,32,36,40),0)/100)),0)</f>
        <v/>
      </c>
      <c r="R1410">
        <f>IF(AND(Inputs!$B$38&lt;&gt;"pvp",Inputs!$B$43&gt;0),IF(Inputs!$B$43&lt;=0,0,(INT(Inputs!$B$43/(IF(Inputs!$B$38="pvp",15,MAX(0.1,Skills!D19-IF(Skills!E19=TRUE,Inputs!$B$32,0)))*(1-IF(AND(ArtifactsInput!$M$27,Inputs!$B$4="Chapter Hunt"),CHOOSE(ArtifactsInput!$N$27+1,20,24,28,32,36,40),0)/100)))+1)),0)</f>
        <v/>
      </c>
      <c r="S1410">
        <f>IFERROR(O1410/N1410,0)</f>
        <v/>
      </c>
      <c r="T1410" t="n">
        <v>0</v>
      </c>
      <c r="V1410" t="n">
        <v>0</v>
      </c>
    </row>
    <row r="1411">
      <c r="A1411">
        <f>Skills!A20</f>
        <v/>
      </c>
      <c r="B1411">
        <f>Skills!B20</f>
        <v/>
      </c>
      <c r="C1411">
        <f>Inputs!$B$3&gt;=33</f>
        <v/>
      </c>
      <c r="D1411">
        <f>IF(Skills!C20=1,60+Inputs!$B$25+Inputs!$B$29,IF(Skills!C20=2,90+Inputs!$B$26+Inputs!$B$29,IF(Skills!C20=3,120+Inputs!$B$27+Inputs!$B$29,MAX(0,(Inputs!$B$3-100)*3)+Inputs!$B$28+Inputs!$B$29)))</f>
        <v/>
      </c>
      <c r="E1411">
        <f>INDEX(FactorTable!$B$2:$Y$301, MATCH(ROUND(MIN(300,MAX(1,D1411)),0), FactorTable!$A$2:$A$301,0), Skills!M20+1)</f>
        <v/>
      </c>
      <c r="F1411">
        <f>IF(Skills!N20=TRUE,(Skills!L20/10)*(E1411/1000),Skills!L20/10)+Skills!O20</f>
        <v/>
      </c>
      <c r="G1411">
        <f>Skills!G20*IF(Skills!H20&gt;0,Skills!I20/Skills!H20,1)</f>
        <v/>
      </c>
      <c r="H1411">
        <f>1-(1-Skills!J20/100)^Skills!K20</f>
        <v/>
      </c>
      <c r="I1411" t="inlineStr">
        <is>
          <t>1</t>
        </is>
      </c>
      <c r="J1411" t="inlineStr"/>
      <c r="K1411" t="inlineStr"/>
      <c r="L1411" t="inlineStr"/>
      <c r="M1411" t="inlineStr"/>
      <c r="N1411" t="inlineStr"/>
      <c r="O1411">
        <f>(1-Summary!$B$11)*T1411+Summary!$B$11*V1411</f>
        <v/>
      </c>
      <c r="P1411">
        <f>IF(B1428=0,0,O1411/B1428)</f>
        <v/>
      </c>
      <c r="Q1411" t="n">
        <v>0</v>
      </c>
      <c r="R1411" t="n">
        <v>0</v>
      </c>
      <c r="S1411">
        <f>IFERROR(O1411/N1411,0)</f>
        <v/>
      </c>
      <c r="T1411" t="n">
        <v>0</v>
      </c>
      <c r="V1411" t="n">
        <v>0</v>
      </c>
    </row>
    <row r="1412">
      <c r="A1412">
        <f>Skills!A21</f>
        <v/>
      </c>
      <c r="B1412">
        <f>Skills!B21</f>
        <v/>
      </c>
      <c r="C1412">
        <f>Inputs!$B$3&gt;=38</f>
        <v/>
      </c>
      <c r="D1412">
        <f>IF(Skills!C21=1,60+Inputs!$B$25+Inputs!$B$29,IF(Skills!C21=2,90+Inputs!$B$26+Inputs!$B$29,IF(Skills!C21=3,120+Inputs!$B$27+Inputs!$B$29,MAX(0,(Inputs!$B$3-100)*3)+Inputs!$B$28+Inputs!$B$29)))</f>
        <v/>
      </c>
      <c r="E1412">
        <f>INDEX(FactorTable!$B$2:$Y$301, MATCH(ROUND(MIN(300,MAX(1,D1412)),0), FactorTable!$A$2:$A$301,0), Skills!M21+1)</f>
        <v/>
      </c>
      <c r="F1412">
        <f>IF(Skills!N21=TRUE,(Skills!L21/10)*(E1412/1000),Skills!L21/10)+Skills!O21</f>
        <v/>
      </c>
      <c r="G1412">
        <f>Skills!G21*IF(Skills!H21&gt;0,Skills!I21/Skills!H21,1)</f>
        <v/>
      </c>
      <c r="H1412">
        <f>1-(1-Skills!J21/100)^Skills!K21</f>
        <v/>
      </c>
      <c r="I1412" t="inlineStr">
        <is>
          <t>1</t>
        </is>
      </c>
      <c r="J1412" t="inlineStr"/>
      <c r="K1412" t="inlineStr"/>
      <c r="L1412" t="inlineStr"/>
      <c r="M1412" t="inlineStr"/>
      <c r="N1412" t="inlineStr"/>
      <c r="O1412">
        <f>(1-Summary!$B$11)*T1412+Summary!$B$11*V1412</f>
        <v/>
      </c>
      <c r="P1412">
        <f>IF(B1428=0,0,O1412/B1428)</f>
        <v/>
      </c>
      <c r="Q1412" t="n">
        <v>0</v>
      </c>
      <c r="R1412" t="n">
        <v>0</v>
      </c>
      <c r="S1412">
        <f>IFERROR(O1412/N1412,0)</f>
        <v/>
      </c>
      <c r="T1412" t="n">
        <v>0</v>
      </c>
      <c r="V1412" t="n">
        <v>0</v>
      </c>
    </row>
    <row r="1413">
      <c r="A1413">
        <f>Skills!A22</f>
        <v/>
      </c>
      <c r="B1413">
        <f>Skills!B22</f>
        <v/>
      </c>
      <c r="C1413">
        <f>Inputs!$B$3&gt;=43</f>
        <v/>
      </c>
      <c r="D1413">
        <f>IF(Skills!C22=1,60+Inputs!$B$25+Inputs!$B$29,IF(Skills!C22=2,90+Inputs!$B$26+Inputs!$B$29,IF(Skills!C22=3,120+Inputs!$B$27+Inputs!$B$29,MAX(0,(Inputs!$B$3-100)*3)+Inputs!$B$28+Inputs!$B$29)))</f>
        <v/>
      </c>
      <c r="E1413">
        <f>INDEX(FactorTable!$B$2:$Y$301, MATCH(ROUND(MIN(300,MAX(1,D1413)),0), FactorTable!$A$2:$A$301,0), Skills!M22+1)</f>
        <v/>
      </c>
      <c r="F1413">
        <f>IF(Skills!N22=TRUE,(Skills!L22/10)*(E1413/1000),Skills!L22/10)+Skills!O22</f>
        <v/>
      </c>
      <c r="G1413">
        <f>Skills!G22*IF(Skills!H22&gt;0,Skills!I22/Skills!H22,1)</f>
        <v/>
      </c>
      <c r="H1413">
        <f>1-(1-Skills!J22/100)^Skills!K22</f>
        <v/>
      </c>
      <c r="I1413" t="inlineStr">
        <is>
          <t>1</t>
        </is>
      </c>
      <c r="J1413" t="inlineStr"/>
      <c r="K1413" t="inlineStr"/>
      <c r="L1413" t="inlineStr"/>
      <c r="M1413" t="inlineStr"/>
      <c r="N1413" t="inlineStr"/>
      <c r="O1413">
        <f>(1-Summary!$B$11)*T1413+Summary!$B$11*V1413</f>
        <v/>
      </c>
      <c r="P1413">
        <f>IF(B1428=0,0,O1413/B1428)</f>
        <v/>
      </c>
      <c r="Q1413" t="n">
        <v>0</v>
      </c>
      <c r="R1413" t="n">
        <v>0</v>
      </c>
      <c r="S1413">
        <f>IFERROR(O1413/N1413,0)</f>
        <v/>
      </c>
      <c r="T1413" t="n">
        <v>0</v>
      </c>
      <c r="V1413" t="n">
        <v>0</v>
      </c>
    </row>
    <row r="1414">
      <c r="A1414">
        <f>Skills!A23</f>
        <v/>
      </c>
      <c r="B1414">
        <f>Skills!B23</f>
        <v/>
      </c>
      <c r="C1414">
        <f>Inputs!$B$3&gt;=120</f>
        <v/>
      </c>
      <c r="D1414">
        <f>IF(Skills!C23=1,60+Inputs!$B$25+Inputs!$B$29,IF(Skills!C23=2,90+Inputs!$B$26+Inputs!$B$29,IF(Skills!C23=3,120+Inputs!$B$27+Inputs!$B$29,MAX(0,(Inputs!$B$3-100)*3)+Inputs!$B$28+Inputs!$B$29)))</f>
        <v/>
      </c>
      <c r="E1414">
        <f>INDEX(FactorTable!$B$2:$Y$301, MATCH(ROUND(MIN(300,MAX(1,D1414)),0), FactorTable!$A$2:$A$301,0), Skills!M23+1)</f>
        <v/>
      </c>
      <c r="F1414">
        <f>IF(Skills!N23=TRUE,(Skills!L23/10)*(E1414/1000),Skills!L23/10)+Skills!O23</f>
        <v/>
      </c>
      <c r="G1414">
        <f>Skills!G23*IF(Skills!H23&gt;0,Skills!I23/Skills!H23,1)</f>
        <v/>
      </c>
      <c r="H1414">
        <f>1-(1-Skills!J23/100)^Skills!K23</f>
        <v/>
      </c>
      <c r="I1414" t="inlineStr">
        <is>
          <t>1</t>
        </is>
      </c>
      <c r="J1414" t="inlineStr"/>
      <c r="K1414" t="inlineStr"/>
      <c r="L1414" t="inlineStr"/>
      <c r="M1414" t="inlineStr"/>
      <c r="N1414" t="inlineStr"/>
      <c r="O1414">
        <f>(1-Summary!$B$11)*T1414+Summary!$B$11*V1414</f>
        <v/>
      </c>
      <c r="P1414">
        <f>IF(B1428=0,0,O1414/B1428)</f>
        <v/>
      </c>
      <c r="Q1414" t="n">
        <v>0</v>
      </c>
      <c r="R1414" t="n">
        <v>0</v>
      </c>
      <c r="S1414">
        <f>IFERROR(O1414/N1414,0)</f>
        <v/>
      </c>
      <c r="T1414" t="n">
        <v>0</v>
      </c>
      <c r="V1414" t="n">
        <v>0</v>
      </c>
    </row>
    <row r="1415">
      <c r="A1415">
        <f>Skills!A24</f>
        <v/>
      </c>
      <c r="B1415">
        <f>Skills!B24</f>
        <v/>
      </c>
      <c r="C1415">
        <f>Inputs!$B$3&gt;=120</f>
        <v/>
      </c>
      <c r="D1415">
        <f>IF(Skills!C24=1,60+Inputs!$B$25+Inputs!$B$29,IF(Skills!C24=2,90+Inputs!$B$26+Inputs!$B$29,IF(Skills!C24=3,120+Inputs!$B$27+Inputs!$B$29,MAX(0,(Inputs!$B$3-100)*3)+Inputs!$B$28+Inputs!$B$29)))</f>
        <v/>
      </c>
      <c r="E1415">
        <f>INDEX(FactorTable!$B$2:$Y$301, MATCH(ROUND(MIN(300,MAX(1,D1415)),0), FactorTable!$A$2:$A$301,0), Skills!M24+1)</f>
        <v/>
      </c>
      <c r="F1415">
        <f>IF(Skills!N24=TRUE,(Skills!L24/10)*(E1415/1000),Skills!L24/10)+Skills!O24</f>
        <v/>
      </c>
      <c r="G1415">
        <f>Skills!G24*IF(Skills!H24&gt;0,Skills!I24/Skills!H24,1)</f>
        <v/>
      </c>
      <c r="H1415">
        <f>1-(1-Skills!J24/100)^Skills!K24</f>
        <v/>
      </c>
      <c r="I1415" t="inlineStr">
        <is>
          <t>1</t>
        </is>
      </c>
      <c r="J1415" t="inlineStr"/>
      <c r="K1415" t="inlineStr"/>
      <c r="L1415" t="inlineStr"/>
      <c r="M1415" t="inlineStr"/>
      <c r="N1415" t="inlineStr"/>
      <c r="O1415">
        <f>(1-Summary!$B$11)*T1415+Summary!$B$11*V1415</f>
        <v/>
      </c>
      <c r="P1415">
        <f>IF(B1428=0,0,O1415/B1428)</f>
        <v/>
      </c>
      <c r="Q1415" t="n">
        <v>0</v>
      </c>
      <c r="R1415" t="n">
        <v>0</v>
      </c>
      <c r="S1415">
        <f>IFERROR(O1415/N1415,0)</f>
        <v/>
      </c>
      <c r="T1415" t="n">
        <v>0</v>
      </c>
      <c r="V1415" t="n">
        <v>0</v>
      </c>
    </row>
    <row r="1417">
      <c r="A1417" t="inlineStr">
        <is>
          <t>Attack% Bucket Multiplier</t>
        </is>
      </c>
      <c r="B1417">
        <f>(1+(((C1404=TRUE)*F1404*MIN(1,Skills!T13*(Skills!J13/100)*B1422))+((C1409=TRUE)*F1409*IF(AND(Inputs!$B$38&lt;&gt;"pvp",Inputs!$B$43&gt;0),(((R1409-1)*(Skills!T18*(1+Inputs!$B$34/100))+MIN((Skills!T18*(1+Inputs!$B$34/100)),MAX(0,Inputs!$B$43-((R1409-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18">
      <c r="A1418" t="inlineStr">
        <is>
          <t>Global Crit Rate Bonus %</t>
        </is>
      </c>
      <c r="B1418" t="n">
        <v>0</v>
      </c>
    </row>
    <row r="1419">
      <c r="A1419" t="inlineStr">
        <is>
          <t>Attack Speed Buff Bonus %</t>
        </is>
      </c>
      <c r="B1419">
        <f>((C1410=TRUE)*F1410*IF(AND(Inputs!$B$38&lt;&gt;"pvp",Inputs!$B$43&gt;0),(((R1410-1)*(Skills!T19*(1+Inputs!$B$34/100))+MIN((Skills!T19*(1+Inputs!$B$34/100)),MAX(0,Inputs!$B$43-((R1410-1)*Skills!D19))))/Inputs!$B$43),IF(Inputs!$B$38="pvp",MIN((Skills!T19*(1+Inputs!$B$34/100)),15)/15,(Skills!T19*(1+Inputs!$B$34/100))/Skills!D19)))</f>
        <v/>
      </c>
    </row>
    <row r="1420">
      <c r="A1420" t="inlineStr">
        <is>
          <t>Actions Per Second</t>
        </is>
      </c>
      <c r="B1420">
        <f>1+MIN(150,150*(1-(1-(Inputs!$B$11+((C1411=TRUE)*(F1411-Calc!F20)))/150)*(1-B1419/150)))/100</f>
        <v/>
      </c>
    </row>
    <row r="1421">
      <c r="A1421" t="inlineStr">
        <is>
          <t>Skill + Buff Cast Rate</t>
        </is>
      </c>
      <c r="B1421">
        <f>IF(AND(Inputs!$B$38&lt;&gt;"pvp",Inputs!$B$43&gt;0),SUMPRODUCT((Skills!E2:E24=TRUE)*(C1393:C1415=TRUE)*R1393:R1415*Skills!F2:F24)/Inputs!$B$43,SUMPRODUCT((Skills!E2:E24=TRUE)*(C1393:C1415=TRUE)*Q1393:Q1415*Skills!F2:F24))</f>
        <v/>
      </c>
    </row>
    <row r="1422">
      <c r="A1422" t="inlineStr">
        <is>
          <t>Blast Casts Per Second</t>
        </is>
      </c>
      <c r="B1422">
        <f>MAX(0,B1420-B1421)</f>
        <v/>
      </c>
    </row>
    <row r="1423">
      <c r="A1423" t="inlineStr">
        <is>
          <t>Global Critical Damage Bonus % (unused)</t>
        </is>
      </c>
      <c r="B1423" t="n">
        <v>0</v>
      </c>
    </row>
    <row r="1424">
      <c r="A1424" t="inlineStr">
        <is>
          <t>Global Final Damage Bonus % (Divine Shield + Guardian + Divine Blessing + Greater Vessel of Light)</t>
        </is>
      </c>
      <c r="B1424">
        <f>((C1406=TRUE)*F1406*IF(AND(Inputs!$B$38&lt;&gt;"pvp",Inputs!$B$43&gt;0),(((R1406-1)*(Skills!T15*(1+Inputs!$B$34/100))+MIN((Skills!T15*(1+Inputs!$B$34/100)),MAX(0,Inputs!$B$43-((R1406-1)*Skills!D15))))/Inputs!$B$43),IF(Inputs!$B$38="pvp",MIN((Skills!T15*(1+Inputs!$B$34/100)),15)/15,(Skills!T15*(1+Inputs!$B$34/100))/Skills!D15)))+((C1407=TRUE)*F1407*IF(AND(Inputs!$B$38&lt;&gt;"pvp",Inputs!$B$43&gt;0),(((R1407-1)*(Skills!T16*(1+Inputs!$B$34/100))+MIN((Skills!T16*(1+Inputs!$B$34/100)),MAX(0,Inputs!$B$43-((R1407-1)*Skills!D16))))/Inputs!$B$43),IF(Inputs!$B$38="pvp",MIN((Skills!T16*(1+Inputs!$B$34/100)),15)/15,(Skills!T16*(1+Inputs!$B$34/100))/Skills!D16)))+((C1408=TRUE)*F1408*IF(AND(Inputs!$B$38&lt;&gt;"pvp",Inputs!$B$43&gt;0),(((R1408-1)*(Skills!T17*(1+Inputs!$B$34/100))+MIN((Skills!T17*(1+Inputs!$B$34/100)),MAX(0,Inputs!$B$43-((R1408-1)*Skills!D17))))/Inputs!$B$43),IF(Inputs!$B$38="pvp",MIN((Skills!T17*(1+Inputs!$B$34/100)),15)/15,(Skills!T17*(1+Inputs!$B$34/100))/Skills!D17)))+((C1405=TRUE)*F1405*MIN(1,Skills!T13*(Skills!J13/100)*B1422))</f>
        <v/>
      </c>
    </row>
    <row r="1425">
      <c r="A1425" t="inlineStr">
        <is>
          <t>Buff-Casting Startup Delay (s, fixed-duration only)</t>
        </is>
      </c>
      <c r="B1425">
        <f>IF(AND(Inputs!$B$38&lt;&gt;"pvp",Inputs!$B$43&gt;0),SUMPRODUCT((Skills!T2:T24&gt;0)*(Skills!E2:E24=TRUE)*(C1393:C1415=TRUE))/B1420,0)</f>
        <v/>
      </c>
    </row>
    <row r="1426">
      <c r="A1426" t="inlineStr">
        <is>
          <t>Boss-Only Total DPS (this block's swept value)</t>
        </is>
      </c>
      <c r="B1426">
        <f>SUM(T1393:T1415)</f>
        <v/>
      </c>
    </row>
    <row r="1427">
      <c r="A1427" t="inlineStr">
        <is>
          <t>Normal-Only Total DPS (this block's swept value)</t>
        </is>
      </c>
      <c r="B1427">
        <f>SUM(V1393:V1415)</f>
        <v/>
      </c>
    </row>
    <row r="1428">
      <c r="A1428" s="6" t="inlineStr">
        <is>
          <t>TOTAL DPS</t>
        </is>
      </c>
      <c r="B1428" s="6">
        <f>SUM(O1393:O1415)</f>
        <v/>
      </c>
    </row>
    <row r="1431">
      <c r="A1431" s="6" t="inlineStr">
        <is>
          <t>Stat: Clear Spring Water (Equip)</t>
        </is>
      </c>
    </row>
    <row r="1432">
      <c r="A1432" s="5" t="inlineStr">
        <is>
          <t>Key</t>
        </is>
      </c>
      <c r="B1432" s="5" t="inlineStr">
        <is>
          <t>Name</t>
        </is>
      </c>
      <c r="C1432" s="5" t="inlineStr">
        <is>
          <t>Unlocked</t>
        </is>
      </c>
      <c r="D1432" s="5" t="inlineStr">
        <is>
          <t>InputLevel</t>
        </is>
      </c>
      <c r="E1432" s="5" t="inlineStr">
        <is>
          <t>Factor</t>
        </is>
      </c>
      <c r="F1432" s="5" t="inlineStr">
        <is>
          <t>CoefficientPercent</t>
        </is>
      </c>
      <c r="G1432" s="5" t="inlineStr">
        <is>
          <t>EffectiveHits</t>
        </is>
      </c>
      <c r="H1432" s="5" t="inlineStr">
        <is>
          <t>ProcProbability</t>
        </is>
      </c>
      <c r="I1432" s="5" t="inlineStr">
        <is>
          <t>MapleHeroMultiplier</t>
        </is>
      </c>
      <c r="J1432" s="5" t="inlineStr">
        <is>
          <t>BaseDamage</t>
        </is>
      </c>
      <c r="K1432" s="5" t="inlineStr">
        <is>
          <t>BaseHitDamage</t>
        </is>
      </c>
      <c r="L1432" s="5" t="inlineStr">
        <is>
          <t>NonCritAvg</t>
        </is>
      </c>
      <c r="M1432" s="5" t="inlineStr">
        <is>
          <t>CritAvg</t>
        </is>
      </c>
      <c r="N1432" s="5" t="inlineStr">
        <is>
          <t>ExpectedDamage(perHit)</t>
        </is>
      </c>
      <c r="O1432" s="5" t="inlineStr">
        <is>
          <t>DPS</t>
        </is>
      </c>
      <c r="P1432" s="5" t="inlineStr">
        <is>
          <t>% of Total</t>
        </is>
      </c>
      <c r="Q1432" s="5" t="inlineStr">
        <is>
          <t>InvCooldown</t>
        </is>
      </c>
      <c r="R1432" s="5" t="inlineStr">
        <is>
          <t>CastsInFight</t>
        </is>
      </c>
      <c r="S1432" s="5" t="inlineStr">
        <is>
          <t>HitRate(perSec)</t>
        </is>
      </c>
      <c r="U1432" t="inlineStr">
        <is>
          <t>helpers</t>
        </is>
      </c>
    </row>
    <row r="1433">
      <c r="A1433">
        <f>Skills!A2</f>
        <v/>
      </c>
      <c r="B1433">
        <f>Skills!B2</f>
        <v/>
      </c>
      <c r="C1433">
        <f>Inputs!$B$3&gt;=100</f>
        <v/>
      </c>
      <c r="D1433" t="inlineStr"/>
      <c r="E1433" t="inlineStr"/>
      <c r="F1433">
        <f>U1435+Skills!O2</f>
        <v/>
      </c>
      <c r="G1433">
        <f>Skills!G2*IF(Skills!H2&gt;0,Skills!I2/Skills!H2,1)</f>
        <v/>
      </c>
      <c r="H1433">
        <f>1-(1-Skills!J2/100)^Skills!K2</f>
        <v/>
      </c>
      <c r="I1433" t="inlineStr">
        <is>
          <t>1</t>
        </is>
      </c>
      <c r="J1433">
        <f>((Inputs!$B$6*(1+Inputs!$B$7/100))+(((Inputs!$B$12*(1+Inputs!$B$13/100))-(Inputs!$B$12*(1+Inputs!$B$13/100)))+0.25*(Inputs!$B$14-Inputs!$B$14))*(1+Inputs!$B$7/100))*(F1433/100)</f>
        <v/>
      </c>
      <c r="K1433">
        <f>J1433*(1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1433)</f>
        <v/>
      </c>
      <c r="L1433">
        <f>K1433*(MIN(Inputs!$B$22+((C1453=TRUE)*(F1453-Calc!F22)),(Inputs!$B$23+((C1455=TRUE)*(F1455-Calc!F24))+(IF(ArtifactsInput!$M$15,CHOOSE(ArtifactsInput!$N$15+1,25,30,35,40,45,50)/100*(Inputs!$B$11-Inputs!$B$11),0))))/100+(Inputs!$B$23+((C1455=TRUE)*(F1455-Calc!F24))+(IF(ArtifactsInput!$M$15,CHOOSE(ArtifactsInput!$N$15+1,25,30,35,40,45,50)/100*(Inputs!$B$11-Inputs!$B$11),0)))/100)/2</f>
        <v/>
      </c>
      <c r="M1433">
        <f>L1433*(1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3">
        <f>L1433*(1-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1433*(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3">
        <f>(1-Summary!$B$11)*T1433+Summary!$B$11*V1433</f>
        <v/>
      </c>
      <c r="P1433">
        <f>IF(B1468=0,0,O1433/B1468)</f>
        <v/>
      </c>
      <c r="Q1433" t="n">
        <v>0</v>
      </c>
      <c r="R1433" t="n">
        <v>0</v>
      </c>
      <c r="S1433">
        <f>IFERROR(O1433/N1433,0)</f>
        <v/>
      </c>
      <c r="T1433">
        <f>IF(C1433,(Skills!G2*N1433*B1462)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1433*(1-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1433*(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1433*(1-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1433*(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3">
        <f>MAX(0,(Inputs!$B$3-100)*3)+Inputs!$B$28+Inputs!$B$29</f>
        <v/>
      </c>
      <c r="V1433">
        <f>IF(C1433,(Skills!G2*N1433*B1462)*IF(Inputs!$B$38="pvp",1,(1+(Inputs!$B$21+Skills!Q2+(IF(ArtifactsInput!$M$33,CHOOSE(ArtifactsInput!$N$33+1,30,36,42,48,54,60),0))+(IF(AND(ArtifactsInput!$M$35,Inputs!$B$4&lt;&gt;"Chapter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4">
      <c r="A1434">
        <f>Skills!A3</f>
        <v/>
      </c>
      <c r="B1434">
        <f>Skills!B3</f>
        <v/>
      </c>
      <c r="C1434">
        <f>Inputs!$B$3&gt;=50</f>
        <v/>
      </c>
      <c r="D1434">
        <f>IF(Skills!C3=1,60+Inputs!$B$25+Inputs!$B$29,IF(Skills!C3=2,90+Inputs!$B$26+Inputs!$B$29,IF(Skills!C3=3,120+Inputs!$B$27+Inputs!$B$29,MAX(0,(Inputs!$B$3-100)*3)+Inputs!$B$28+Inputs!$B$29)))</f>
        <v/>
      </c>
      <c r="E1434">
        <f>INDEX(FactorTable!$B$2:$Y$301, MATCH(ROUND(MIN(300,MAX(1,D1434)),0), FactorTable!$A$2:$A$301,0), Skills!M3+1)</f>
        <v/>
      </c>
      <c r="F1434">
        <f>IF(Skills!N3=TRUE,(Skills!L3/10)*(E1434/1000),Skills!L3/10)+Skills!O3</f>
        <v/>
      </c>
      <c r="G1434" t="inlineStr"/>
      <c r="H1434" t="inlineStr"/>
      <c r="I1434" t="inlineStr">
        <is>
          <t>1</t>
        </is>
      </c>
      <c r="J1434" t="inlineStr"/>
      <c r="K1434" t="inlineStr"/>
      <c r="L1434" t="inlineStr"/>
      <c r="M1434" t="inlineStr"/>
      <c r="N1434" t="inlineStr"/>
      <c r="O1434" t="inlineStr"/>
      <c r="P1434" t="inlineStr"/>
      <c r="Q1434" t="inlineStr"/>
      <c r="R1434" t="inlineStr"/>
      <c r="S1434" t="inlineStr"/>
      <c r="U1434">
        <f>INDEX(FactorTable!$B$2:$Y$301, MATCH(ROUND(MIN(300,MAX(1,U1433)),0), FactorTable!$A$2:$A$301,0), 22)</f>
        <v/>
      </c>
    </row>
    <row r="1435">
      <c r="A1435">
        <f>Skills!A4</f>
        <v/>
      </c>
      <c r="B1435">
        <f>Skills!B4</f>
        <v/>
      </c>
      <c r="C1435">
        <f>Inputs!$B$3&gt;=35</f>
        <v/>
      </c>
      <c r="D1435">
        <f>IF(Skills!C4=1,60+Inputs!$B$25+Inputs!$B$29,IF(Skills!C4=2,90+Inputs!$B$26+Inputs!$B$29,IF(Skills!C4=3,120+Inputs!$B$27+Inputs!$B$29,MAX(0,(Inputs!$B$3-100)*3)+Inputs!$B$28+Inputs!$B$29)))</f>
        <v/>
      </c>
      <c r="E1435">
        <f>INDEX(FactorTable!$B$2:$Y$301, MATCH(ROUND(MIN(300,MAX(1,D1435)),0), FactorTable!$A$2:$A$301,0), Skills!M4+1)</f>
        <v/>
      </c>
      <c r="F1435">
        <f>IF(Skills!N4=TRUE,(Skills!L4/10)*(E1435/1000),Skills!L4/10)+Skills!O4</f>
        <v/>
      </c>
      <c r="G1435">
        <f>Skills!G4*IF(Skills!H4&gt;0,Skills!I4/Skills!H4,1)</f>
        <v/>
      </c>
      <c r="H1435">
        <f>1-(1-Skills!J4/100)^Skills!K4</f>
        <v/>
      </c>
      <c r="I1435" t="inlineStr">
        <is>
          <t>1</t>
        </is>
      </c>
      <c r="J1435">
        <f>((Inputs!$B$6*(1+Inputs!$B$7/100))+(((Inputs!$B$12*(1+Inputs!$B$13/100))-(Inputs!$B$12*(1+Inputs!$B$13/100)))+0.25*(Inputs!$B$14-Inputs!$B$14))*(1+Inputs!$B$7/100))*(F1435/100)</f>
        <v/>
      </c>
      <c r="K1435">
        <f>J1435*(1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1443=TRUE,F1443,0)/100)*(1+(IF(Skills!A4="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1435)</f>
        <v/>
      </c>
      <c r="L1435">
        <f>K1435*(MIN(Inputs!$B$22+((C1453=TRUE)*(F1453-Calc!F22)),(Inputs!$B$23+((C1455=TRUE)*(F1455-Calc!F24))+(IF(ArtifactsInput!$M$15,CHOOSE(ArtifactsInput!$N$15+1,25,30,35,40,45,50)/100*(Inputs!$B$11-Inputs!$B$11),0))))/100+(Inputs!$B$23+((C1455=TRUE)*(F1455-Calc!F24))+(IF(ArtifactsInput!$M$15,CHOOSE(ArtifactsInput!$N$15+1,25,30,35,40,45,50)/100*(Inputs!$B$11-Inputs!$B$11),0)))/100)/2</f>
        <v/>
      </c>
      <c r="M1435">
        <f>L1435*(1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5">
        <f>L1435*(1-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1435*(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5">
        <f>(1-Summary!$B$11)*T1435+Summary!$B$11*V1435</f>
        <v/>
      </c>
      <c r="P1435">
        <f>IF(B1468=0,0,O1435/B1468)</f>
        <v/>
      </c>
      <c r="Q1435">
        <f>IFERROR(1/(IF(Inputs!$B$38="pvp",15,MAX(0.1,Skills!D4-IF(Skills!E4=TRUE,Inputs!$B$32,0)))*(1-IF(AND(ArtifactsInput!$M$27,Inputs!$B$4="Chapter Hunt"),CHOOSE(ArtifactsInput!$N$27+1,20,24,28,32,36,40),0)/100)),0)</f>
        <v/>
      </c>
      <c r="R1435">
        <f>IF(AND(Inputs!$B$38&lt;&gt;"pvp",Inputs!$B$43&gt;0),IF(MAX(0,Inputs!$B$43-B1465)&lt;=0,0,(INT(MAX(0,Inputs!$B$43-B1465)/(IF(Inputs!$B$38="pvp",15,MAX(0.1,Skills!D4-IF(Skills!E4=TRUE,Inputs!$B$32,0)))*(1-IF(AND(ArtifactsInput!$M$27,Inputs!$B$4="Chapter Hunt"),CHOOSE(ArtifactsInput!$N$27+1,20,24,28,32,36,40),0)/100)))+1)),0)</f>
        <v/>
      </c>
      <c r="S1435">
        <f>IFERROR(O1435/N1435,0)</f>
        <v/>
      </c>
      <c r="T1435">
        <f>IF(C1435,(H1435*N1435*IF(AND(Inputs!$B$38&lt;&gt;"pvp",Inputs!$B$43&gt;0),((Skills!G4*((R1435-1)*IF(Skills!H4&gt;0,Skills!I4/Skills!H4,1)+IF(Skills!H4&gt;0,MIN(Skills!I4,MAX(0,MAX(0,Inputs!$B$43-B1465)-((R1435-1)*(IF(Inputs!$B$38="pvp",15,MAX(0.1,Skills!D4-IF(Skills!E4=TRUE,Inputs!$B$32,0)))*(1-IF(AND(ArtifactsInput!$M$27,Inputs!$B$4="Chapter Hunt"),CHOOSE(ArtifactsInput!$N$27+1,20,24,28,32,36,40),0)/100)))))/Skills!H4,1)))/Inputs!$B$43),G1435*Q1435)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1435*(1-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1435*(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1435*(1-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1435*(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5">
        <f>290*U1434/1000</f>
        <v/>
      </c>
      <c r="V1435">
        <f>IF(C1435,(H1435*N1435*IF(AND(Inputs!$B$38&lt;&gt;"pvp",Inputs!$B$43&gt;0),((Skills!G4*((R1435-1)*IF(Skills!H4&gt;0,Skills!I4/Skills!H4,1)+IF(Skills!H4&gt;0,MIN(Skills!I4,MAX(0,MAX(0,Inputs!$B$43-B1465)-((R1435-1)*(IF(Inputs!$B$38="pvp",15,MAX(0.1,Skills!D4-IF(Skills!E4=TRUE,Inputs!$B$32,0)))*(1-IF(AND(ArtifactsInput!$M$27,Inputs!$B$4="Chapter Hunt"),CHOOSE(ArtifactsInput!$N$27+1,20,24,28,32,36,40),0)/100)))))/Skills!H4,1)))/Inputs!$B$43),G1435*Q1435))*IF(Inputs!$B$38="pvp",1,(1+(Inputs!$B$21+Skills!Q4+(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6">
      <c r="A1436">
        <f>Skills!A5</f>
        <v/>
      </c>
      <c r="B1436">
        <f>Skills!B5</f>
        <v/>
      </c>
      <c r="C1436">
        <f>Inputs!$B$3&gt;=66</f>
        <v/>
      </c>
      <c r="D1436">
        <f>IF(Skills!C5=1,60+Inputs!$B$25+Inputs!$B$29,IF(Skills!C5=2,90+Inputs!$B$26+Inputs!$B$29,IF(Skills!C5=3,120+Inputs!$B$27+Inputs!$B$29,MAX(0,(Inputs!$B$3-100)*3)+Inputs!$B$28+Inputs!$B$29)))</f>
        <v/>
      </c>
      <c r="E1436">
        <f>INDEX(FactorTable!$B$2:$Y$301, MATCH(ROUND(MIN(300,MAX(1,D1436)),0), FactorTable!$A$2:$A$301,0), Skills!M5+1)</f>
        <v/>
      </c>
      <c r="F1436">
        <f>IF(Skills!N5=TRUE,(Skills!L5/10)*(E1436/1000),Skills!L5/10)+Skills!O5</f>
        <v/>
      </c>
      <c r="G1436">
        <f>Skills!G5*IF(Skills!H5&gt;0,Skills!I5/Skills!H5,1)</f>
        <v/>
      </c>
      <c r="H1436">
        <f>1-(1-Skills!J5/100)^Skills!K5</f>
        <v/>
      </c>
      <c r="I1436" t="inlineStr">
        <is>
          <t>1</t>
        </is>
      </c>
      <c r="J1436">
        <f>((Inputs!$B$6*(1+Inputs!$B$7/100))+(((Inputs!$B$12*(1+Inputs!$B$13/100))-(Inputs!$B$12*(1+Inputs!$B$13/100)))+0.25*(Inputs!$B$14-Inputs!$B$14))*(1+Inputs!$B$7/100))*(F1436/100)</f>
        <v/>
      </c>
      <c r="K1436">
        <f>J1436*(1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1443=TRUE,F1443,0)/100)*(1+(IF(Skills!A5="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1436)</f>
        <v/>
      </c>
      <c r="L1436">
        <f>K1436*(MIN(Inputs!$B$22+((C1453=TRUE)*(F1453-Calc!F22)),(Inputs!$B$23+((C1455=TRUE)*(F1455-Calc!F24))+(IF(ArtifactsInput!$M$15,CHOOSE(ArtifactsInput!$N$15+1,25,30,35,40,45,50)/100*(Inputs!$B$11-Inputs!$B$11),0))))/100+(Inputs!$B$23+((C1455=TRUE)*(F1455-Calc!F24))+(IF(ArtifactsInput!$M$15,CHOOSE(ArtifactsInput!$N$15+1,25,30,35,40,45,50)/100*(Inputs!$B$11-Inputs!$B$11),0)))/100)/2</f>
        <v/>
      </c>
      <c r="M1436">
        <f>L1436*(1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6">
        <f>L1436*(1-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1436*(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6">
        <f>(1-Summary!$B$11)*T1436+Summary!$B$11*V1436</f>
        <v/>
      </c>
      <c r="P1436">
        <f>IF(B1468=0,0,O1436/B1468)</f>
        <v/>
      </c>
      <c r="Q1436">
        <f>IFERROR(1/(IF(Inputs!$B$38="pvp",15,MAX(0.1,Skills!D5-IF(Skills!E5=TRUE,Inputs!$B$32,0)))*(1-IF(AND(ArtifactsInput!$M$27,Inputs!$B$4="Chapter Hunt"),CHOOSE(ArtifactsInput!$N$27+1,20,24,28,32,36,40),0)/100)),0)</f>
        <v/>
      </c>
      <c r="R1436">
        <f>IF(AND(Inputs!$B$38&lt;&gt;"pvp",Inputs!$B$43&gt;0),IF(MAX(0,Inputs!$B$43-B1465)&lt;=0,0,(INT(MAX(0,Inputs!$B$43-B1465)/(IF(Inputs!$B$38="pvp",15,MAX(0.1,Skills!D5-IF(Skills!E5=TRUE,Inputs!$B$32,0)))*(1-IF(AND(ArtifactsInput!$M$27,Inputs!$B$4="Chapter Hunt"),CHOOSE(ArtifactsInput!$N$27+1,20,24,28,32,36,40),0)/100)))+1)),0)</f>
        <v/>
      </c>
      <c r="S1436">
        <f>IFERROR(O1436/N1436,0)</f>
        <v/>
      </c>
      <c r="T1436">
        <f>IF(C1436,(H1436*N1436*IF(AND(Inputs!$B$38&lt;&gt;"pvp",Inputs!$B$43&gt;0),((Skills!G5*((R1436-1)*IF(Skills!H5&gt;0,Skills!I5/Skills!H5,1)+IF(Skills!H5&gt;0,MIN(Skills!I5,MAX(0,MAX(0,Inputs!$B$43-B1465)-((R1436-1)*(IF(Inputs!$B$38="pvp",15,MAX(0.1,Skills!D5-IF(Skills!E5=TRUE,Inputs!$B$32,0)))*(1-IF(AND(ArtifactsInput!$M$27,Inputs!$B$4="Chapter Hunt"),CHOOSE(ArtifactsInput!$N$27+1,20,24,28,32,36,40),0)/100)))))/Skills!H5,1)))/Inputs!$B$43),G1436*Q1436)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1436*(1-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1436*(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1436*(1-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1436*(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6">
        <f>IF(C1436,(H1436*N1436*IF(AND(Inputs!$B$38&lt;&gt;"pvp",Inputs!$B$43&gt;0),((Skills!G5*((R1436-1)*IF(Skills!H5&gt;0,Skills!I5/Skills!H5,1)+IF(Skills!H5&gt;0,MIN(Skills!I5,MAX(0,MAX(0,Inputs!$B$43-B1465)-((R1436-1)*(IF(Inputs!$B$38="pvp",15,MAX(0.1,Skills!D5-IF(Skills!E5=TRUE,Inputs!$B$32,0)))*(1-IF(AND(ArtifactsInput!$M$27,Inputs!$B$4="Chapter Hunt"),CHOOSE(ArtifactsInput!$N$27+1,20,24,28,32,36,40),0)/100)))))/Skills!H5,1)))/Inputs!$B$43),G1436*Q1436))*IF(Inputs!$B$38="pvp",1,(1+(Inputs!$B$21+Skills!Q5+(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7">
      <c r="A1437">
        <f>Skills!A6</f>
        <v/>
      </c>
      <c r="B1437">
        <f>Skills!B6</f>
        <v/>
      </c>
      <c r="C1437">
        <f>Inputs!$B$3&gt;=103</f>
        <v/>
      </c>
      <c r="D1437">
        <f>IF(Skills!C6=1,60+Inputs!$B$25+Inputs!$B$29,IF(Skills!C6=2,90+Inputs!$B$26+Inputs!$B$29,IF(Skills!C6=3,120+Inputs!$B$27+Inputs!$B$29,MAX(0,(Inputs!$B$3-100)*3)+Inputs!$B$28+Inputs!$B$29)))</f>
        <v/>
      </c>
      <c r="E1437">
        <f>INDEX(FactorTable!$B$2:$Y$301, MATCH(ROUND(MIN(300,MAX(1,D1437)),0), FactorTable!$A$2:$A$301,0), Skills!M6+1)</f>
        <v/>
      </c>
      <c r="F1437">
        <f>IF(Skills!N6=TRUE,(Skills!L6/10)*(E1437/1000),Skills!L6/10)+Skills!O6</f>
        <v/>
      </c>
      <c r="G1437">
        <f>Skills!G6*IF(Skills!H6&gt;0,Skills!I6/Skills!H6,1)</f>
        <v/>
      </c>
      <c r="H1437">
        <f>1-(1-Skills!J6/100)^Skills!K6</f>
        <v/>
      </c>
      <c r="I1437" t="inlineStr">
        <is>
          <t>1</t>
        </is>
      </c>
      <c r="J1437">
        <f>((Inputs!$B$6*(1+Inputs!$B$7/100))+(((Inputs!$B$12*(1+Inputs!$B$13/100))-(Inputs!$B$12*(1+Inputs!$B$13/100)))+0.25*(Inputs!$B$14-Inputs!$B$14))*(1+Inputs!$B$7/100))*(F1437/100)</f>
        <v/>
      </c>
      <c r="K1437">
        <f>J1437*(1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1437)</f>
        <v/>
      </c>
      <c r="L1437">
        <f>K1437*(MIN(Inputs!$B$22+((C1453=TRUE)*(F1453-Calc!F22)),(Inputs!$B$23+((C1455=TRUE)*(F1455-Calc!F24))+(IF(ArtifactsInput!$M$15,CHOOSE(ArtifactsInput!$N$15+1,25,30,35,40,45,50)/100*(Inputs!$B$11-Inputs!$B$11),0))))/100+(Inputs!$B$23+((C1455=TRUE)*(F1455-Calc!F24))+(IF(ArtifactsInput!$M$15,CHOOSE(ArtifactsInput!$N$15+1,25,30,35,40,45,50)/100*(Inputs!$B$11-Inputs!$B$11),0)))/100)/2</f>
        <v/>
      </c>
      <c r="M1437">
        <f>L1437*(1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7">
        <f>L1437*(1-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1437*(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7">
        <f>(1-Summary!$B$11)*T1437+Summary!$B$11*V1437</f>
        <v/>
      </c>
      <c r="P1437">
        <f>IF(B1468=0,0,O1437/B1468)</f>
        <v/>
      </c>
      <c r="Q1437">
        <f>IFERROR(1/(IF(Inputs!$B$38="pvp",15,MAX(0.1,Skills!D6-IF(Skills!E6=TRUE,Inputs!$B$32,0)))*(1-IF(AND(ArtifactsInput!$M$27,Inputs!$B$4="Chapter Hunt"),CHOOSE(ArtifactsInput!$N$27+1,20,24,28,32,36,40),0)/100)),0)</f>
        <v/>
      </c>
      <c r="R1437">
        <f>IF(AND(Inputs!$B$38&lt;&gt;"pvp",Inputs!$B$43&gt;0),IF(MAX(0,Inputs!$B$43-B1465)&lt;=0,0,(INT(MAX(0,Inputs!$B$43-B1465)/(IF(Inputs!$B$38="pvp",15,MAX(0.1,Skills!D6-IF(Skills!E6=TRUE,Inputs!$B$32,0)))*(1-IF(AND(ArtifactsInput!$M$27,Inputs!$B$4="Chapter Hunt"),CHOOSE(ArtifactsInput!$N$27+1,20,24,28,32,36,40),0)/100)))+1)),0)</f>
        <v/>
      </c>
      <c r="S1437">
        <f>IFERROR(O1437/N1437,0)</f>
        <v/>
      </c>
      <c r="T1437">
        <f>IF(C1437,(H1437*N1437*IF(AND(Inputs!$B$38&lt;&gt;"pvp",Inputs!$B$43&gt;0),((Skills!G6*((R1437-1)*IF(Skills!H6&gt;0,Skills!I6/Skills!H6,1)+IF(Skills!H6&gt;0,MIN(Skills!I6,MAX(0,MAX(0,Inputs!$B$43-B1465)-((R1437-1)*(IF(Inputs!$B$38="pvp",15,MAX(0.1,Skills!D6-IF(Skills!E6=TRUE,Inputs!$B$32,0)))*(1-IF(AND(ArtifactsInput!$M$27,Inputs!$B$4="Chapter Hunt"),CHOOSE(ArtifactsInput!$N$27+1,20,24,28,32,36,40),0)/100)))))/Skills!H6,1)))/Inputs!$B$43),G1437*Q1437)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1437*(1-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1437*(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1437*(1-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1437*(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7">
        <f>IF(C1437,(H1437*N1437*IF(AND(Inputs!$B$38&lt;&gt;"pvp",Inputs!$B$43&gt;0),((Skills!G6*((R1437-1)*IF(Skills!H6&gt;0,Skills!I6/Skills!H6,1)+IF(Skills!H6&gt;0,MIN(Skills!I6,MAX(0,MAX(0,Inputs!$B$43-B1465)-((R1437-1)*(IF(Inputs!$B$38="pvp",15,MAX(0.1,Skills!D6-IF(Skills!E6=TRUE,Inputs!$B$32,0)))*(1-IF(AND(ArtifactsInput!$M$27,Inputs!$B$4="Chapter Hunt"),CHOOSE(ArtifactsInput!$N$27+1,20,24,28,32,36,40),0)/100)))))/Skills!H6,1)))/Inputs!$B$43),G1437*Q1437))*IF(Inputs!$B$38="pvp",1,(1+(Inputs!$B$21+Skills!Q6+(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8">
      <c r="A1438">
        <f>Skills!A7</f>
        <v/>
      </c>
      <c r="B1438">
        <f>Skills!B7</f>
        <v/>
      </c>
      <c r="C1438">
        <f>Inputs!$B$3&gt;=107</f>
        <v/>
      </c>
      <c r="D1438">
        <f>IF(Skills!C7=1,60+Inputs!$B$25+Inputs!$B$29,IF(Skills!C7=2,90+Inputs!$B$26+Inputs!$B$29,IF(Skills!C7=3,120+Inputs!$B$27+Inputs!$B$29,MAX(0,(Inputs!$B$3-100)*3)+Inputs!$B$28+Inputs!$B$29)))</f>
        <v/>
      </c>
      <c r="E1438">
        <f>INDEX(FactorTable!$B$2:$Y$301, MATCH(ROUND(MIN(300,MAX(1,D1438)),0), FactorTable!$A$2:$A$301,0), Skills!M7+1)</f>
        <v/>
      </c>
      <c r="F1438">
        <f>IF(Skills!N7=TRUE,(Skills!L7/10)*(E1438/1000),Skills!L7/10)+Skills!O7</f>
        <v/>
      </c>
      <c r="G1438">
        <f>Skills!G7*IF(Skills!H7&gt;0,Skills!I7/Skills!H7,1)</f>
        <v/>
      </c>
      <c r="H1438">
        <f>1-(1-Skills!J7/100)^Skills!K7</f>
        <v/>
      </c>
      <c r="I1438" t="inlineStr">
        <is>
          <t>1</t>
        </is>
      </c>
      <c r="J1438">
        <f>((Inputs!$B$6*(1+Inputs!$B$7/100))+(((Inputs!$B$12*(1+Inputs!$B$13/100))-(Inputs!$B$12*(1+Inputs!$B$13/100)))+0.25*(Inputs!$B$14-Inputs!$B$14))*(1+Inputs!$B$7/100))*(F1438/100)</f>
        <v/>
      </c>
      <c r="K1438">
        <f>J1438*(1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1438)</f>
        <v/>
      </c>
      <c r="L1438">
        <f>K1438*(MIN(Inputs!$B$22+((C1453=TRUE)*(F1453-Calc!F22)),(Inputs!$B$23+((C1455=TRUE)*(F1455-Calc!F24))+(IF(ArtifactsInput!$M$15,CHOOSE(ArtifactsInput!$N$15+1,25,30,35,40,45,50)/100*(Inputs!$B$11-Inputs!$B$11),0))))/100+(Inputs!$B$23+((C1455=TRUE)*(F1455-Calc!F24))+(IF(ArtifactsInput!$M$15,CHOOSE(ArtifactsInput!$N$15+1,25,30,35,40,45,50)/100*(Inputs!$B$11-Inputs!$B$11),0)))/100)/2</f>
        <v/>
      </c>
      <c r="M1438">
        <f>L1438*(1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8">
        <f>L1438*(1-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1438*(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8">
        <f>(1-Summary!$B$11)*T1438+Summary!$B$11*V1438</f>
        <v/>
      </c>
      <c r="P1438">
        <f>IF(B1468=0,0,O1438/B1468)</f>
        <v/>
      </c>
      <c r="Q1438">
        <f>IFERROR(1/(IF(Inputs!$B$38="pvp",15,MAX(0.1,Skills!D7-IF(Skills!E7=TRUE,Inputs!$B$32,0)))*(1-IF(AND(ArtifactsInput!$M$27,Inputs!$B$4="Chapter Hunt"),CHOOSE(ArtifactsInput!$N$27+1,20,24,28,32,36,40),0)/100)),0)</f>
        <v/>
      </c>
      <c r="R1438">
        <f>IF(AND(Inputs!$B$38&lt;&gt;"pvp",Inputs!$B$43&gt;0),IF(MAX(0,Inputs!$B$43-B1465)&lt;=0,0,(INT(MAX(0,Inputs!$B$43-B1465)/(IF(Inputs!$B$38="pvp",15,MAX(0.1,Skills!D7-IF(Skills!E7=TRUE,Inputs!$B$32,0)))*(1-IF(AND(ArtifactsInput!$M$27,Inputs!$B$4="Chapter Hunt"),CHOOSE(ArtifactsInput!$N$27+1,20,24,28,32,36,40),0)/100)))+1)),0)</f>
        <v/>
      </c>
      <c r="S1438">
        <f>IFERROR(O1438/N1438,0)</f>
        <v/>
      </c>
      <c r="T1438">
        <f>IF(C1438,(H1438*N1438*IF(AND(Inputs!$B$38&lt;&gt;"pvp",Inputs!$B$43&gt;0),((Skills!G7*((R1438-1)*IF(Skills!H7&gt;0,Skills!I7/Skills!H7,1)+IF(Skills!H7&gt;0,MIN(Skills!I7,MAX(0,MAX(0,Inputs!$B$43-B1465)-((R1438-1)*(IF(Inputs!$B$38="pvp",15,MAX(0.1,Skills!D7-IF(Skills!E7=TRUE,Inputs!$B$32,0)))*(1-IF(AND(ArtifactsInput!$M$27,Inputs!$B$4="Chapter Hunt"),CHOOSE(ArtifactsInput!$N$27+1,20,24,28,32,36,40),0)/100)))))/Skills!H7,1)))/Inputs!$B$43),G1438*Q1438)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1438*(1-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1438*(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1438*(1-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1438*(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8">
        <f>IF(C1438,(H1438*N1438*IF(AND(Inputs!$B$38&lt;&gt;"pvp",Inputs!$B$43&gt;0),((Skills!G7*((R1438-1)*IF(Skills!H7&gt;0,Skills!I7/Skills!H7,1)+IF(Skills!H7&gt;0,MIN(Skills!I7,MAX(0,MAX(0,Inputs!$B$43-B1465)-((R1438-1)*(IF(Inputs!$B$38="pvp",15,MAX(0.1,Skills!D7-IF(Skills!E7=TRUE,Inputs!$B$32,0)))*(1-IF(AND(ArtifactsInput!$M$27,Inputs!$B$4="Chapter Hunt"),CHOOSE(ArtifactsInput!$N$27+1,20,24,28,32,36,40),0)/100)))))/Skills!H7,1)))/Inputs!$B$43),G1438*Q1438))*IF(Inputs!$B$38="pvp",1,(1+(Inputs!$B$21+Skills!Q7+(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9">
      <c r="A1439">
        <f>Skills!A8</f>
        <v/>
      </c>
      <c r="B1439">
        <f>Skills!B8</f>
        <v/>
      </c>
      <c r="C1439">
        <f>Inputs!$B$3&gt;=107</f>
        <v/>
      </c>
      <c r="D1439">
        <f>IF(Skills!C8=1,60+Inputs!$B$25+Inputs!$B$29,IF(Skills!C8=2,90+Inputs!$B$26+Inputs!$B$29,IF(Skills!C8=3,120+Inputs!$B$27+Inputs!$B$29,MAX(0,(Inputs!$B$3-100)*3)+Inputs!$B$28+Inputs!$B$29)))</f>
        <v/>
      </c>
      <c r="E1439">
        <f>INDEX(FactorTable!$B$2:$Y$301, MATCH(ROUND(MIN(300,MAX(1,D1439)),0), FactorTable!$A$2:$A$301,0), Skills!M8+1)</f>
        <v/>
      </c>
      <c r="F1439">
        <f>IF(Skills!N8=TRUE,(Skills!L8/10)*(E1439/1000),Skills!L8/10)+Skills!O8</f>
        <v/>
      </c>
      <c r="G1439">
        <f>Skills!G8*IF(Skills!H8&gt;0,Skills!I8/Skills!H8,1)</f>
        <v/>
      </c>
      <c r="H1439">
        <f>1-(1-Skills!J8/100)^Skills!K8</f>
        <v/>
      </c>
      <c r="I1439" t="inlineStr">
        <is>
          <t>1</t>
        </is>
      </c>
      <c r="J1439">
        <f>((Inputs!$B$6*(1+Inputs!$B$7/100))+(((Inputs!$B$12*(1+Inputs!$B$13/100))-(Inputs!$B$12*(1+Inputs!$B$13/100)))+0.25*(Inputs!$B$14-Inputs!$B$14))*(1+Inputs!$B$7/100))*(F1439/100)</f>
        <v/>
      </c>
      <c r="K1439">
        <f>J1439*(1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1439)</f>
        <v/>
      </c>
      <c r="L1439">
        <f>K1439*(MIN(Inputs!$B$22+((C1453=TRUE)*(F1453-Calc!F22)),(Inputs!$B$23+((C1455=TRUE)*(F1455-Calc!F24))+(IF(ArtifactsInput!$M$15,CHOOSE(ArtifactsInput!$N$15+1,25,30,35,40,45,50)/100*(Inputs!$B$11-Inputs!$B$11),0))))/100+(Inputs!$B$23+((C1455=TRUE)*(F1455-Calc!F24))+(IF(ArtifactsInput!$M$15,CHOOSE(ArtifactsInput!$N$15+1,25,30,35,40,45,50)/100*(Inputs!$B$11-Inputs!$B$11),0)))/100)/2</f>
        <v/>
      </c>
      <c r="M1439">
        <f>L1439*(1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9">
        <f>L1439*(1-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1439*(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9">
        <f>(1-Summary!$B$11)*T1439+Summary!$B$11*V1439</f>
        <v/>
      </c>
      <c r="P1439">
        <f>IF(B1468=0,0,O1439/B1468)</f>
        <v/>
      </c>
      <c r="Q1439">
        <f>IFERROR(1/(IF(Inputs!$B$38="pvp",15,MAX(0.1,Skills!D8-IF(Skills!E8=TRUE,Inputs!$B$32,0)))*(1-IF(AND(ArtifactsInput!$M$27,Inputs!$B$4="Chapter Hunt"),CHOOSE(ArtifactsInput!$N$27+1,20,24,28,32,36,40),0)/100)),0)</f>
        <v/>
      </c>
      <c r="R1439">
        <f>IF(AND(Inputs!$B$38&lt;&gt;"pvp",Inputs!$B$43&gt;0),IF(MAX(0,Inputs!$B$43-B1465)&lt;=0,0,(INT(MAX(0,Inputs!$B$43-B1465)/(IF(Inputs!$B$38="pvp",15,MAX(0.1,Skills!D8-IF(Skills!E8=TRUE,Inputs!$B$32,0)))*(1-IF(AND(ArtifactsInput!$M$27,Inputs!$B$4="Chapter Hunt"),CHOOSE(ArtifactsInput!$N$27+1,20,24,28,32,36,40),0)/100)))+1)),0)</f>
        <v/>
      </c>
      <c r="S1439">
        <f>IFERROR(O1439/N1439,0)</f>
        <v/>
      </c>
      <c r="T1439">
        <f>IF(C1439,(H1439*N1439*IF(AND(Inputs!$B$38&lt;&gt;"pvp",Inputs!$B$43&gt;0),((Skills!G8*((R1439-1)*IF(Skills!H8&gt;0,Skills!I8/Skills!H8,1)+IF(Skills!H8&gt;0,MIN(Skills!I8,MAX(0,MAX(0,Inputs!$B$43-B1465)-((R1439-1)*(IF(Inputs!$B$38="pvp",15,MAX(0.1,Skills!D8-IF(Skills!E8=TRUE,Inputs!$B$32,0)))*(1-IF(AND(ArtifactsInput!$M$27,Inputs!$B$4="Chapter Hunt"),CHOOSE(ArtifactsInput!$N$27+1,20,24,28,32,36,40),0)/100)))))/Skills!H8,1)))/Inputs!$B$43),G1439*Q1439)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1439*(1-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1439*(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1439*(1-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1439*(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9">
        <f>IF(C1439,(H1439*N1439*IF(AND(Inputs!$B$38&lt;&gt;"pvp",Inputs!$B$43&gt;0),((Skills!G8*((R1439-1)*IF(Skills!H8&gt;0,Skills!I8/Skills!H8,1)+IF(Skills!H8&gt;0,MIN(Skills!I8,MAX(0,MAX(0,Inputs!$B$43-B1465)-((R1439-1)*(IF(Inputs!$B$38="pvp",15,MAX(0.1,Skills!D8-IF(Skills!E8=TRUE,Inputs!$B$32,0)))*(1-IF(AND(ArtifactsInput!$M$27,Inputs!$B$4="Chapter Hunt"),CHOOSE(ArtifactsInput!$N$27+1,20,24,28,32,36,40),0)/100)))))/Skills!H8,1)))/Inputs!$B$43),G1439*Q1439))*IF(Inputs!$B$38="pvp",1,(1+(Inputs!$B$21+Skills!Q8+(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0">
      <c r="A1440">
        <f>Skills!A9</f>
        <v/>
      </c>
      <c r="B1440">
        <f>Skills!B9</f>
        <v/>
      </c>
      <c r="C1440">
        <f>Inputs!$B$3&gt;=125</f>
        <v/>
      </c>
      <c r="D1440">
        <f>IF(Skills!C9=1,60+Inputs!$B$25+Inputs!$B$29,IF(Skills!C9=2,90+Inputs!$B$26+Inputs!$B$29,IF(Skills!C9=3,120+Inputs!$B$27+Inputs!$B$29,MAX(0,(Inputs!$B$3-100)*3)+Inputs!$B$28+Inputs!$B$29)))</f>
        <v/>
      </c>
      <c r="E1440">
        <f>INDEX(FactorTable!$B$2:$Y$301, MATCH(ROUND(MIN(300,MAX(1,D1440)),0), FactorTable!$A$2:$A$301,0), Skills!M9+1)</f>
        <v/>
      </c>
      <c r="F1440">
        <f>IF(Skills!N9=TRUE,(Skills!L9/10)*(E1440/1000),Skills!L9/10)+Skills!O9</f>
        <v/>
      </c>
      <c r="G1440">
        <f>Skills!G9*IF(Skills!H9&gt;0,Skills!I9/Skills!H9,1)</f>
        <v/>
      </c>
      <c r="H1440">
        <f>1-(1-Skills!J9/100)^Skills!K9</f>
        <v/>
      </c>
      <c r="I1440" t="inlineStr">
        <is>
          <t>1</t>
        </is>
      </c>
      <c r="J1440">
        <f>((Inputs!$B$6*(1+Inputs!$B$7/100))+(((Inputs!$B$12*(1+Inputs!$B$13/100))-(Inputs!$B$12*(1+Inputs!$B$13/100)))+0.25*(Inputs!$B$14-Inputs!$B$14))*(1+Inputs!$B$7/100))*(F1440/100)</f>
        <v/>
      </c>
      <c r="K1440">
        <f>J1440*(1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1440)</f>
        <v/>
      </c>
      <c r="L1440">
        <f>K1440*(MIN(Inputs!$B$22+((C1453=TRUE)*(F1453-Calc!F22)),(Inputs!$B$23+((C1455=TRUE)*(F1455-Calc!F24))+(IF(ArtifactsInput!$M$15,CHOOSE(ArtifactsInput!$N$15+1,25,30,35,40,45,50)/100*(Inputs!$B$11-Inputs!$B$11),0))))/100+(Inputs!$B$23+((C1455=TRUE)*(F1455-Calc!F24))+(IF(ArtifactsInput!$M$15,CHOOSE(ArtifactsInput!$N$15+1,25,30,35,40,45,50)/100*(Inputs!$B$11-Inputs!$B$11),0)))/100)/2</f>
        <v/>
      </c>
      <c r="M1440">
        <f>L1440*(1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0">
        <f>L1440*(1-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1440*(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0">
        <f>(1-Summary!$B$11)*T1440+Summary!$B$11*V1440</f>
        <v/>
      </c>
      <c r="P1440">
        <f>IF(B1468=0,0,O1440/B1468)</f>
        <v/>
      </c>
      <c r="Q1440">
        <f>IFERROR(1/(IF(Inputs!$B$38="pvp",15,MAX(0.1,Skills!D9-IF(Skills!E9=TRUE,Inputs!$B$32,0)))*(1-IF(AND(ArtifactsInput!$M$27,Inputs!$B$4="Chapter Hunt"),CHOOSE(ArtifactsInput!$N$27+1,20,24,28,32,36,40),0)/100)),0)</f>
        <v/>
      </c>
      <c r="R1440">
        <f>IF(AND(Inputs!$B$38&lt;&gt;"pvp",Inputs!$B$43&gt;0),IF(MAX(0,Inputs!$B$43-B1465)&lt;=0,0,(INT(MAX(0,Inputs!$B$43-B1465)/(IF(Inputs!$B$38="pvp",15,MAX(0.1,Skills!D9-IF(Skills!E9=TRUE,Inputs!$B$32,0)))*(1-IF(AND(ArtifactsInput!$M$27,Inputs!$B$4="Chapter Hunt"),CHOOSE(ArtifactsInput!$N$27+1,20,24,28,32,36,40),0)/100)))+1)),0)</f>
        <v/>
      </c>
      <c r="S1440">
        <f>IFERROR(O1440/N1440,0)</f>
        <v/>
      </c>
      <c r="T1440">
        <f>IF(C1440,(H1440*N1440*IF(AND(Inputs!$B$38&lt;&gt;"pvp",Inputs!$B$43&gt;0),((Skills!G9*((R1440-1)*IF(Skills!H9&gt;0,Skills!I9/Skills!H9,1)+IF(Skills!H9&gt;0,MIN(Skills!I9,MAX(0,MAX(0,Inputs!$B$43-B1465)-((R1440-1)*(IF(Inputs!$B$38="pvp",15,MAX(0.1,Skills!D9-IF(Skills!E9=TRUE,Inputs!$B$32,0)))*(1-IF(AND(ArtifactsInput!$M$27,Inputs!$B$4="Chapter Hunt"),CHOOSE(ArtifactsInput!$N$27+1,20,24,28,32,36,40),0)/100)))))/Skills!H9,1)))/Inputs!$B$43),G1440*Q1440)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1440*(1-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1440*(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1440*(1-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1440*(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0">
        <f>IF(C1440,(H1440*N1440*IF(AND(Inputs!$B$38&lt;&gt;"pvp",Inputs!$B$43&gt;0),((Skills!G9*((R1440-1)*IF(Skills!H9&gt;0,Skills!I9/Skills!H9,1)+IF(Skills!H9&gt;0,MIN(Skills!I9,MAX(0,MAX(0,Inputs!$B$43-B1465)-((R1440-1)*(IF(Inputs!$B$38="pvp",15,MAX(0.1,Skills!D9-IF(Skills!E9=TRUE,Inputs!$B$32,0)))*(1-IF(AND(ArtifactsInput!$M$27,Inputs!$B$4="Chapter Hunt"),CHOOSE(ArtifactsInput!$N$27+1,20,24,28,32,36,40),0)/100)))))/Skills!H9,1)))/Inputs!$B$43),G1440*Q1440))*IF(Inputs!$B$38="pvp",1,(1+(Inputs!$B$21+Skills!Q9+(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1">
      <c r="A1441">
        <f>Skills!A10</f>
        <v/>
      </c>
      <c r="B1441">
        <f>Skills!B10</f>
        <v/>
      </c>
      <c r="C1441">
        <f>Inputs!$B$3&gt;=117</f>
        <v/>
      </c>
      <c r="D1441">
        <f>IF(Skills!C10=1,60+Inputs!$B$25+Inputs!$B$29,IF(Skills!C10=2,90+Inputs!$B$26+Inputs!$B$29,IF(Skills!C10=3,120+Inputs!$B$27+Inputs!$B$29,MAX(0,(Inputs!$B$3-100)*3)+Inputs!$B$28+Inputs!$B$29)))</f>
        <v/>
      </c>
      <c r="E1441">
        <f>INDEX(FactorTable!$B$2:$Y$301, MATCH(ROUND(MIN(300,MAX(1,D1441)),0), FactorTable!$A$2:$A$301,0), Skills!M10+1)</f>
        <v/>
      </c>
      <c r="F1441">
        <f>IF(Skills!N10=TRUE,(Skills!L10/10)*(E1441/1000),Skills!L10/10)+Skills!O10</f>
        <v/>
      </c>
      <c r="G1441">
        <f>Skills!G10*IF(Skills!H10&gt;0,Skills!I10/Skills!H10,1)</f>
        <v/>
      </c>
      <c r="H1441">
        <f>1-(1-Skills!J10/100)^Skills!K10</f>
        <v/>
      </c>
      <c r="I1441" t="inlineStr">
        <is>
          <t>1</t>
        </is>
      </c>
      <c r="J1441">
        <f>((Inputs!$B$6*(1+Inputs!$B$7/100))+(((Inputs!$B$12*(1+Inputs!$B$13/100))-(Inputs!$B$12*(1+Inputs!$B$13/100)))+0.25*(Inputs!$B$14-Inputs!$B$14))*(1+Inputs!$B$7/100))*(F1441/100)</f>
        <v/>
      </c>
      <c r="K1441">
        <f>J1441*(1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1441)</f>
        <v/>
      </c>
      <c r="L1441">
        <f>K1441*(MIN(Inputs!$B$22+((C1453=TRUE)*(F1453-Calc!F22)),(Inputs!$B$23+((C1455=TRUE)*(F1455-Calc!F24))+(IF(ArtifactsInput!$M$15,CHOOSE(ArtifactsInput!$N$15+1,25,30,35,40,45,50)/100*(Inputs!$B$11-Inputs!$B$11),0))))/100+(Inputs!$B$23+((C1455=TRUE)*(F1455-Calc!F24))+(IF(ArtifactsInput!$M$15,CHOOSE(ArtifactsInput!$N$15+1,25,30,35,40,45,50)/100*(Inputs!$B$11-Inputs!$B$11),0)))/100)/2</f>
        <v/>
      </c>
      <c r="M1441">
        <f>L1441*(1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1">
        <f>L1441*(1-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1">
        <f>(1-Summary!$B$11)*T1441+Summary!$B$11*V1441</f>
        <v/>
      </c>
      <c r="P1441">
        <f>IF(B1468=0,0,O1441/B1468)</f>
        <v/>
      </c>
      <c r="Q1441">
        <f>IFERROR(1/(IF(Inputs!$B$38="pvp",15,MAX(0.1,Skills!D10-IF(Skills!E10=TRUE,Inputs!$B$32,0)))*(1-IF(AND(ArtifactsInput!$M$27,Inputs!$B$4="Chapter Hunt"),CHOOSE(ArtifactsInput!$N$27+1,20,24,28,32,36,40),0)/100)),0)</f>
        <v/>
      </c>
      <c r="R1441">
        <f>IF(AND(Inputs!$B$38&lt;&gt;"pvp",Inputs!$B$43&gt;0),IF(MAX(0,Inputs!$B$43-B1465)&lt;=0,0,(INT(MAX(0,Inputs!$B$43-B1465)/(IF(Inputs!$B$38="pvp",15,MAX(0.1,Skills!D10-IF(Skills!E10=TRUE,Inputs!$B$32,0)))*(1-IF(AND(ArtifactsInput!$M$27,Inputs!$B$4="Chapter Hunt"),CHOOSE(ArtifactsInput!$N$27+1,20,24,28,32,36,40),0)/100)))+1)),0)</f>
        <v/>
      </c>
      <c r="S1441">
        <f>IFERROR(O1441/N1441,0)</f>
        <v/>
      </c>
      <c r="T1441">
        <f>IF(C1441,(H1441*N1441*IF(AND(Inputs!$B$38&lt;&gt;"pvp",Inputs!$B$43&gt;0),((Skills!G10*((R1441-1)*IF(Skills!H10&gt;0,Skills!I10/Skills!H10,1)+IF(Skills!H10&gt;0,MIN(Skills!I10,MAX(0,MAX(0,Inputs!$B$43-B1465)-((R1441-1)*(IF(Inputs!$B$38="pvp",15,MAX(0.1,Skills!D10-IF(Skills!E10=TRUE,Inputs!$B$32,0)))*(1-IF(AND(ArtifactsInput!$M$27,Inputs!$B$4="Chapter Hunt"),CHOOSE(ArtifactsInput!$N$27+1,20,24,28,32,36,40),0)/100)))))/Skills!H10,1)))/Inputs!$B$43),G1441*Q1441)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1441*(1-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1441*(1-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1">
        <f>IF(C1441,(H1441*N1441*IF(AND(Inputs!$B$38&lt;&gt;"pvp",Inputs!$B$43&gt;0),((Skills!G10*((R1441-1)*IF(Skills!H10&gt;0,Skills!I10/Skills!H10,1)+IF(Skills!H10&gt;0,MIN(Skills!I10,MAX(0,MAX(0,Inputs!$B$43-B1465)-((R1441-1)*(IF(Inputs!$B$38="pvp",15,MAX(0.1,Skills!D10-IF(Skills!E10=TRUE,Inputs!$B$32,0)))*(1-IF(AND(ArtifactsInput!$M$27,Inputs!$B$4="Chapter Hunt"),CHOOSE(ArtifactsInput!$N$27+1,20,24,28,32,36,40),0)/100)))))/Skills!H10,1)))/Inputs!$B$43),G1441*Q1441))*IF(Inputs!$B$38="pvp",1,(1+(Inputs!$B$21+Skills!Q10+(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2">
      <c r="A1442">
        <f>Skills!A11</f>
        <v/>
      </c>
      <c r="B1442">
        <f>Skills!B11</f>
        <v/>
      </c>
      <c r="C1442">
        <f>Inputs!$B$3&gt;=63</f>
        <v/>
      </c>
      <c r="D1442">
        <f>IF(Skills!C11=1,60+Inputs!$B$25+Inputs!$B$29,IF(Skills!C11=2,90+Inputs!$B$26+Inputs!$B$29,IF(Skills!C11=3,120+Inputs!$B$27+Inputs!$B$29,MAX(0,(Inputs!$B$3-100)*3)+Inputs!$B$28+Inputs!$B$29)))</f>
        <v/>
      </c>
      <c r="E1442">
        <f>INDEX(FactorTable!$B$2:$Y$301, MATCH(ROUND(MIN(300,MAX(1,D1442)),0), FactorTable!$A$2:$A$301,0), Skills!M11+1)</f>
        <v/>
      </c>
      <c r="F1442">
        <f>IF(Skills!N11=TRUE,(Skills!L11/10)*(E1442/1000),Skills!L11/10)+Skills!O11</f>
        <v/>
      </c>
      <c r="G1442">
        <f>Skills!G11*IF(Skills!H11&gt;0,Skills!I11/Skills!H11,1)</f>
        <v/>
      </c>
      <c r="H1442">
        <f>1-(1-Skills!J11/100)^Skills!K11</f>
        <v/>
      </c>
      <c r="I1442" t="inlineStr">
        <is>
          <t>1</t>
        </is>
      </c>
      <c r="J1442">
        <f>((Inputs!$B$6*(1+Inputs!$B$7/100))+(((Inputs!$B$12*(1+Inputs!$B$13/100))-(Inputs!$B$12*(1+Inputs!$B$13/100)))+0.25*(Inputs!$B$14-Inputs!$B$14))*(1+Inputs!$B$7/100))*(F1442/100)</f>
        <v/>
      </c>
      <c r="K1442">
        <f>J1442*(1+((Inputs!$B$12*(1+Inputs!$B$13/100))*0.01+Inputs!$B$14*0.0025)/100)*(1+Inputs!$B$15/100)*(1+Inputs!$B$16/100)*(5000/(6000+Inputs!$B$42*(1-(Inputs!$B$19+0)/100)))*(1+(Inputs!$B$24+0+B1464)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1443=TRUE,F1443,0)/100)*(1+(IF(Skills!A11="BLAST",Inputs!$B$17+((C1452=TRUE)*(F1452-Calc!F21))+((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MIN(100,((Inputs!$B$9+0+B1458+(ArtifactsInput!$M$24-ArtifactsInput!$M$24)*CHOOSE(ArtifactsInput!$N$24+1,10,12,14,16,18,20)+IF(ArtifactsInput!$M$10,CHOOSE(ArtifactsInput!$N$10+1,15,18,21,24,27,30)*(IF(Inputs!$B$38="pvp",MIN(15,15)/15,IF(AND(Inputs!$B$38&lt;&gt;"pvp",Inputs!$B$43&gt;0),MIN(15,Inputs!$B$43)/(Inputs!$B$43),0))),0)))-100),0))*CHOOSE(ArtifactsInput!$N$42+1,0.6,0.72,0.84,0.96,1.08,1.2))),Inputs!$B$18+((C1454=TRUE)*(F1454-Calc!F23))+(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gt;=100),CHOOSE(ArtifactsInput!$N$42+1,40,48,56,64,72,80),0))))/100)*((1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1442)</f>
        <v/>
      </c>
      <c r="L1442">
        <f>K1442*(MIN(Inputs!$B$22+((C1453=TRUE)*(F1453-Calc!F22)),(Inputs!$B$23+((C1455=TRUE)*(F1455-Calc!F24))+(IF(ArtifactsInput!$M$15,CHOOSE(ArtifactsInput!$N$15+1,25,30,35,40,45,50)/100*(Inputs!$B$11-Inputs!$B$11),0))))/100+(Inputs!$B$23+((C1455=TRUE)*(F1455-Calc!F24))+(IF(ArtifactsInput!$M$15,CHOOSE(ArtifactsInput!$N$15+1,25,30,35,40,45,50)/100*(Inputs!$B$11-Inputs!$B$11),0)))/100)/2</f>
        <v/>
      </c>
      <c r="M1442">
        <f>L1442*(1+(Inputs!$B$10+0+B1463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42">
        <f>L1442*(1-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1442*(MIN((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42">
        <f>(1-Summary!$B$11)*T1442+Summary!$B$11*V1442</f>
        <v/>
      </c>
      <c r="P1442">
        <f>IF(B1468=0,0,O1442/B1468)</f>
        <v/>
      </c>
      <c r="Q1442">
        <f>IFERROR(1/(IF(Inputs!$B$38="pvp",15,MAX(0.1,Skills!D11-IF(Skills!E11=TRUE,Inputs!$B$32,0)))*(1-IF(AND(ArtifactsInput!$M$27,Inputs!$B$4="Chapter Hunt"),CHOOSE(ArtifactsInput!$N$27+1,20,24,28,32,36,40),0)/100)),0)</f>
        <v/>
      </c>
      <c r="R1442">
        <f>IF(AND(Inputs!$B$38&lt;&gt;"pvp",Inputs!$B$43&gt;0),IF(MAX(0,Inputs!$B$43-B1465)&lt;=0,0,(INT(MAX(0,Inputs!$B$43-B1465)/(IF(Inputs!$B$38="pvp",15,MAX(0.1,Skills!D11-IF(Skills!E11=TRUE,Inputs!$B$32,0)))*(1-IF(AND(ArtifactsInput!$M$27,Inputs!$B$4="Chapter Hunt"),CHOOSE(ArtifactsInput!$N$27+1,20,24,28,32,36,40),0)/100)))+1)),0)</f>
        <v/>
      </c>
      <c r="S1442">
        <f>IFERROR(O1442/N1442,0)</f>
        <v/>
      </c>
      <c r="T1442">
        <f>IF(C1442,(H1442*N1442*IF(AND(Inputs!$B$38&lt;&gt;"pvp",Inputs!$B$43&gt;0),((Skills!G11*((R1442-1)*IF(Skills!H11&gt;0,Skills!I11/Skills!H11,1)+IF(Skills!H11&gt;0,MIN(Skills!I11,MAX(0,MAX(0,Inputs!$B$43-B1465)-((R1442-1)*(IF(Inputs!$B$38="pvp",15,MAX(0.1,Skills!D11-IF(Skills!E11=TRUE,Inputs!$B$32,0)))*(1-IF(AND(ArtifactsInput!$M$27,Inputs!$B$4="Chapter Hunt"),CHOOSE(ArtifactsInput!$N$27+1,20,24,28,32,36,40),0)/100)))))/Skills!H11,1)))/Inputs!$B$43),G1442*Q1442)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1442*(1-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1442*(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1442*(1-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1442*(MIN(100,(Inputs!$B$9+0+B1458+(ArtifactsInput!$M$24-ArtifactsInput!$M$24)*CHOOSE(ArtifactsInput!$N$24+1,10,12,14,16,18,20)+(IF(AND(Inputs!$B$38&lt;&gt;"pvp",Inputs!$B$43=0),1,IF(IF(Inputs!$B$38="pvp",15,Inputs!$B$43)-(B1465)&lt;=0,1,MAX(0,IF(Inputs!$B$38="pvp",15,Inputs!$B$43)-MAX(5,B1465))/(IF(Inputs!$B$38="pvp",15,Inputs!$B$43)-(B1465))))*IF(AND(ArtifactsInput!$M$42,((Inputs!$B$9+0+B1458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42">
        <f>IF(C1442,(H1442*N1442*IF(AND(Inputs!$B$38&lt;&gt;"pvp",Inputs!$B$43&gt;0),((Skills!G11*((R1442-1)*IF(Skills!H11&gt;0,Skills!I11/Skills!H11,1)+IF(Skills!H11&gt;0,MIN(Skills!I11,MAX(0,MAX(0,Inputs!$B$43-B1465)-((R1442-1)*(IF(Inputs!$B$38="pvp",15,MAX(0.1,Skills!D11-IF(Skills!E11=TRUE,Inputs!$B$32,0)))*(1-IF(AND(ArtifactsInput!$M$27,Inputs!$B$4="Chapter Hunt"),CHOOSE(ArtifactsInput!$N$27+1,20,24,28,32,36,40),0)/100)))))/Skills!H11,1)))/Inputs!$B$43),G1442*Q1442))*IF(Inputs!$B$38="pvp",1,(1+(Inputs!$B$21+Skills!Q11+(IF(ArtifactsInput!$M$33,CHOOSE(ArtifactsInput!$N$33+1,30,36,42,48,54,60),0))+(IF(AND(ArtifactsInput!$M$35,Inputs!$B$4&lt;&gt;"Chapter Hunt"),CHOOSE(ArtifactsInput!$N$35+1,15,18,21,24,27,30)*(1-EXP(-(0.2*B1460)*5)),0)+IF(AND(ArtifactsInput!$M$22,Inputs!$B$4&lt;&gt;"Chapter Hunt"),CHOOSE(ArtifactsInput!$N$22+1,10,12,14,16,18,20)*((0*(((0.15*B1460*5))^0/1)+1*(((0.15*B1460*5))^1/1)+2*(((0.15*B1460*5))^2/2)+3*(((0.15*B1460*5))^3/6)+4*(((0.15*B1460*5))^4/24)+5*(((0.15*B1460*5))^5/120))/((((0.15*B1460*5))^0/1)+(((0.15*B1460*5))^1/1)+(((0.15*B1460*5))^2/2)+(((0.15*B1460*5))^3/6)+(((0.15*B1460*5))^4/24)+(((0.15*B1460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43">
      <c r="A1443">
        <f>Skills!A12</f>
        <v/>
      </c>
      <c r="B1443">
        <f>Skills!B12</f>
        <v/>
      </c>
      <c r="C1443">
        <f>Inputs!$B$3&gt;=100</f>
        <v/>
      </c>
      <c r="D1443">
        <f>IF(Skills!C12=1,60+Inputs!$B$25+Inputs!$B$29,IF(Skills!C12=2,90+Inputs!$B$26+Inputs!$B$29,IF(Skills!C12=3,120+Inputs!$B$27+Inputs!$B$29,MAX(0,(Inputs!$B$3-100)*3)+Inputs!$B$28+Inputs!$B$29)))</f>
        <v/>
      </c>
      <c r="E1443">
        <f>INDEX(FactorTable!$B$2:$Y$301, MATCH(ROUND(MIN(300,MAX(1,D1443)),0), FactorTable!$A$2:$A$301,0), Skills!M12+1)</f>
        <v/>
      </c>
      <c r="F1443">
        <f>IF(Skills!N12=TRUE,(Skills!L12/10)*(E1443/1000),Skills!L12/10)+Skills!O12</f>
        <v/>
      </c>
      <c r="G1443" t="inlineStr"/>
      <c r="H1443" t="inlineStr"/>
      <c r="I1443" t="inlineStr">
        <is>
          <t>1</t>
        </is>
      </c>
      <c r="J1443" t="inlineStr"/>
      <c r="K1443" t="inlineStr"/>
      <c r="L1443" t="inlineStr"/>
      <c r="M1443" t="inlineStr"/>
      <c r="N1443" t="inlineStr"/>
      <c r="O1443" t="inlineStr"/>
      <c r="P1443" t="inlineStr"/>
      <c r="Q1443" t="inlineStr"/>
      <c r="R1443" t="inlineStr"/>
      <c r="S1443" t="inlineStr"/>
    </row>
    <row r="1444">
      <c r="A1444">
        <f>Skills!A13</f>
        <v/>
      </c>
      <c r="B1444">
        <f>Skills!B13</f>
        <v/>
      </c>
      <c r="C1444">
        <f>Inputs!$B$3&gt;=45</f>
        <v/>
      </c>
      <c r="D1444">
        <f>IF(Skills!C13=1,60+Inputs!$B$25+Inputs!$B$29,IF(Skills!C13=2,90+Inputs!$B$26+Inputs!$B$29,IF(Skills!C13=3,120+Inputs!$B$27+Inputs!$B$29,MAX(0,(Inputs!$B$3-100)*3)+Inputs!$B$28+Inputs!$B$29)))</f>
        <v/>
      </c>
      <c r="E1444">
        <f>INDEX(FactorTable!$B$2:$Y$301, MATCH(ROUND(MIN(300,MAX(1,D1444)),0), FactorTable!$A$2:$A$301,0), Skills!M13+1)</f>
        <v/>
      </c>
      <c r="F1444">
        <f>IF(Skills!N13=TRUE,(Skills!L13/10)*(E1444/1000),Skills!L13/10)+Skills!O13</f>
        <v/>
      </c>
      <c r="G1444">
        <f>Skills!G13*IF(Skills!H13&gt;0,Skills!I13/Skills!H13,1)</f>
        <v/>
      </c>
      <c r="H1444">
        <f>1-(1-Skills!J13/100)^Skills!K13</f>
        <v/>
      </c>
      <c r="I1444" t="inlineStr">
        <is>
          <t>1</t>
        </is>
      </c>
      <c r="J1444" t="inlineStr"/>
      <c r="K1444" t="inlineStr"/>
      <c r="L1444" t="inlineStr"/>
      <c r="M1444" t="inlineStr"/>
      <c r="N1444" t="inlineStr"/>
      <c r="O1444">
        <f>(1-Summary!$B$11)*T1444+Summary!$B$11*V1444</f>
        <v/>
      </c>
      <c r="P1444">
        <f>IF(B1468=0,0,O1444/B1468)</f>
        <v/>
      </c>
      <c r="Q1444" t="n">
        <v>0</v>
      </c>
      <c r="R1444" t="n">
        <v>0</v>
      </c>
      <c r="S1444">
        <f>IFERROR(O1444/N1444,0)</f>
        <v/>
      </c>
      <c r="T1444" t="n">
        <v>0</v>
      </c>
      <c r="V1444" t="n">
        <v>0</v>
      </c>
    </row>
    <row r="1445">
      <c r="A1445">
        <f>Skills!A14</f>
        <v/>
      </c>
      <c r="B1445">
        <f>Skills!B14</f>
        <v/>
      </c>
      <c r="C1445">
        <f>Inputs!$B$3&gt;=110</f>
        <v/>
      </c>
      <c r="D1445">
        <f>IF(Skills!C14=1,60+Inputs!$B$25+Inputs!$B$29,IF(Skills!C14=2,90+Inputs!$B$26+Inputs!$B$29,IF(Skills!C14=3,120+Inputs!$B$27+Inputs!$B$29,MAX(0,(Inputs!$B$3-100)*3)+Inputs!$B$28+Inputs!$B$29)))</f>
        <v/>
      </c>
      <c r="E1445">
        <f>INDEX(FactorTable!$B$2:$Y$301, MATCH(ROUND(MIN(300,MAX(1,D1445)),0), FactorTable!$A$2:$A$301,0), Skills!M14+1)</f>
        <v/>
      </c>
      <c r="F1445">
        <f>IF(Skills!N14=TRUE,(Skills!L14/10)*(E1445/1000),Skills!L14/10)+Skills!O14</f>
        <v/>
      </c>
      <c r="G1445">
        <f>Skills!G14*IF(Skills!H14&gt;0,Skills!I14/Skills!H14,1)</f>
        <v/>
      </c>
      <c r="H1445">
        <f>1-(1-Skills!J14/100)^Skills!K14</f>
        <v/>
      </c>
      <c r="I1445" t="inlineStr">
        <is>
          <t>1</t>
        </is>
      </c>
      <c r="J1445" t="inlineStr"/>
      <c r="K1445" t="inlineStr"/>
      <c r="L1445" t="inlineStr"/>
      <c r="M1445" t="inlineStr"/>
      <c r="N1445" t="inlineStr"/>
      <c r="O1445">
        <f>(1-Summary!$B$11)*T1445+Summary!$B$11*V1445</f>
        <v/>
      </c>
      <c r="P1445">
        <f>IF(B1468=0,0,O1445/B1468)</f>
        <v/>
      </c>
      <c r="Q1445" t="n">
        <v>0</v>
      </c>
      <c r="R1445" t="n">
        <v>0</v>
      </c>
      <c r="S1445">
        <f>IFERROR(O1445/N1445,0)</f>
        <v/>
      </c>
      <c r="T1445" t="n">
        <v>0</v>
      </c>
      <c r="V1445" t="n">
        <v>0</v>
      </c>
    </row>
    <row r="1446">
      <c r="A1446">
        <f>Skills!A15</f>
        <v/>
      </c>
      <c r="B1446">
        <f>Skills!B15</f>
        <v/>
      </c>
      <c r="C1446">
        <f>Inputs!$B$3&gt;=75</f>
        <v/>
      </c>
      <c r="D1446">
        <f>IF(Skills!C15=1,60+Inputs!$B$25+Inputs!$B$29,IF(Skills!C15=2,90+Inputs!$B$26+Inputs!$B$29,IF(Skills!C15=3,120+Inputs!$B$27+Inputs!$B$29,MAX(0,(Inputs!$B$3-100)*3)+Inputs!$B$28+Inputs!$B$29)))</f>
        <v/>
      </c>
      <c r="E1446">
        <f>INDEX(FactorTable!$B$2:$Y$301, MATCH(ROUND(MIN(300,MAX(1,D1446)),0), FactorTable!$A$2:$A$301,0), Skills!M15+1)</f>
        <v/>
      </c>
      <c r="F1446">
        <f>IF(Skills!N15=TRUE,(Skills!L15/10)*(E1446/1000),Skills!L15/10)+Skills!O15</f>
        <v/>
      </c>
      <c r="G1446">
        <f>Skills!G15*IF(Skills!H15&gt;0,Skills!I15/Skills!H15,1)</f>
        <v/>
      </c>
      <c r="H1446">
        <f>1-(1-Skills!J15/100)^Skills!K15</f>
        <v/>
      </c>
      <c r="I1446" t="inlineStr">
        <is>
          <t>1</t>
        </is>
      </c>
      <c r="J1446" t="inlineStr"/>
      <c r="K1446" t="inlineStr"/>
      <c r="L1446" t="inlineStr"/>
      <c r="M1446" t="inlineStr"/>
      <c r="N1446" t="inlineStr"/>
      <c r="O1446">
        <f>(1-Summary!$B$11)*T1446+Summary!$B$11*V1446</f>
        <v/>
      </c>
      <c r="P1446">
        <f>IF(B1468=0,0,O1446/B1468)</f>
        <v/>
      </c>
      <c r="Q1446">
        <f>IFERROR(1/(IF(Inputs!$B$38="pvp",15,MAX(0.1,Skills!D15-IF(Skills!E15=TRUE,Inputs!$B$32,0)))*(1-IF(AND(ArtifactsInput!$M$27,Inputs!$B$4="Chapter Hunt"),CHOOSE(ArtifactsInput!$N$27+1,20,24,28,32,36,40),0)/100)),0)</f>
        <v/>
      </c>
      <c r="R1446">
        <f>IF(AND(Inputs!$B$38&lt;&gt;"pvp",Inputs!$B$43&gt;0),IF(Inputs!$B$43&lt;=0,0,(INT(Inputs!$B$43/(IF(Inputs!$B$38="pvp",15,MAX(0.1,Skills!D15-IF(Skills!E15=TRUE,Inputs!$B$32,0)))*(1-IF(AND(ArtifactsInput!$M$27,Inputs!$B$4="Chapter Hunt"),CHOOSE(ArtifactsInput!$N$27+1,20,24,28,32,36,40),0)/100)))+1)),0)</f>
        <v/>
      </c>
      <c r="S1446">
        <f>IFERROR(O1446/N1446,0)</f>
        <v/>
      </c>
      <c r="T1446" t="n">
        <v>0</v>
      </c>
      <c r="V1446" t="n">
        <v>0</v>
      </c>
    </row>
    <row r="1447">
      <c r="A1447">
        <f>Skills!A16</f>
        <v/>
      </c>
      <c r="B1447">
        <f>Skills!B16</f>
        <v/>
      </c>
      <c r="C1447">
        <f>Inputs!$B$3&gt;=105</f>
        <v/>
      </c>
      <c r="D1447">
        <f>IF(Skills!C16=1,60+Inputs!$B$25+Inputs!$B$29,IF(Skills!C16=2,90+Inputs!$B$26+Inputs!$B$29,IF(Skills!C16=3,120+Inputs!$B$27+Inputs!$B$29,MAX(0,(Inputs!$B$3-100)*3)+Inputs!$B$28+Inputs!$B$29)))</f>
        <v/>
      </c>
      <c r="E1447">
        <f>INDEX(FactorTable!$B$2:$Y$301, MATCH(ROUND(MIN(300,MAX(1,D1447)),0), FactorTable!$A$2:$A$301,0), Skills!M16+1)</f>
        <v/>
      </c>
      <c r="F1447">
        <f>IF(Skills!N16=TRUE,(Skills!L16/10)*(E1447/1000),Skills!L16/10)+Skills!O16</f>
        <v/>
      </c>
      <c r="G1447">
        <f>Skills!G16*IF(Skills!H16&gt;0,Skills!I16/Skills!H16,1)</f>
        <v/>
      </c>
      <c r="H1447">
        <f>1-(1-Skills!J16/100)^Skills!K16</f>
        <v/>
      </c>
      <c r="I1447" t="inlineStr">
        <is>
          <t>1</t>
        </is>
      </c>
      <c r="J1447" t="inlineStr"/>
      <c r="K1447" t="inlineStr"/>
      <c r="L1447" t="inlineStr"/>
      <c r="M1447" t="inlineStr"/>
      <c r="N1447" t="inlineStr"/>
      <c r="O1447">
        <f>(1-Summary!$B$11)*T1447+Summary!$B$11*V1447</f>
        <v/>
      </c>
      <c r="P1447">
        <f>IF(B1468=0,0,O1447/B1468)</f>
        <v/>
      </c>
      <c r="Q1447">
        <f>IFERROR(1/(IF(Inputs!$B$38="pvp",15,MAX(0.1,Skills!D16-IF(Skills!E16=TRUE,Inputs!$B$32,0)))*(1-IF(AND(ArtifactsInput!$M$27,Inputs!$B$4="Chapter Hunt"),CHOOSE(ArtifactsInput!$N$27+1,20,24,28,32,36,40),0)/100)),0)</f>
        <v/>
      </c>
      <c r="R1447">
        <f>IF(AND(Inputs!$B$38&lt;&gt;"pvp",Inputs!$B$43&gt;0),IF(Inputs!$B$43&lt;=0,0,(INT(Inputs!$B$43/(IF(Inputs!$B$38="pvp",15,MAX(0.1,Skills!D16-IF(Skills!E16=TRUE,Inputs!$B$32,0)))*(1-IF(AND(ArtifactsInput!$M$27,Inputs!$B$4="Chapter Hunt"),CHOOSE(ArtifactsInput!$N$27+1,20,24,28,32,36,40),0)/100)))+1)),0)</f>
        <v/>
      </c>
      <c r="S1447">
        <f>IFERROR(O1447/N1447,0)</f>
        <v/>
      </c>
      <c r="T1447" t="n">
        <v>0</v>
      </c>
      <c r="V1447" t="n">
        <v>0</v>
      </c>
    </row>
    <row r="1448">
      <c r="A1448">
        <f>Skills!A17</f>
        <v/>
      </c>
      <c r="B1448">
        <f>Skills!B17</f>
        <v/>
      </c>
      <c r="C1448">
        <f>Inputs!$B$3&gt;=115</f>
        <v/>
      </c>
      <c r="D1448">
        <f>IF(Skills!C17=1,60+Inputs!$B$25+Inputs!$B$29,IF(Skills!C17=2,90+Inputs!$B$26+Inputs!$B$29,IF(Skills!C17=3,120+Inputs!$B$27+Inputs!$B$29,MAX(0,(Inputs!$B$3-100)*3)+Inputs!$B$28+Inputs!$B$29)))</f>
        <v/>
      </c>
      <c r="E1448">
        <f>INDEX(FactorTable!$B$2:$Y$301, MATCH(ROUND(MIN(300,MAX(1,D1448)),0), FactorTable!$A$2:$A$301,0), Skills!M17+1)</f>
        <v/>
      </c>
      <c r="F1448">
        <f>IF(Skills!N17=TRUE,(Skills!L17/10)*(E1448/1000),Skills!L17/10)+Skills!O17</f>
        <v/>
      </c>
      <c r="G1448">
        <f>Skills!G17*IF(Skills!H17&gt;0,Skills!I17/Skills!H17,1)</f>
        <v/>
      </c>
      <c r="H1448">
        <f>1-(1-Skills!J17/100)^Skills!K17</f>
        <v/>
      </c>
      <c r="I1448" t="inlineStr">
        <is>
          <t>1</t>
        </is>
      </c>
      <c r="J1448" t="inlineStr"/>
      <c r="K1448" t="inlineStr"/>
      <c r="L1448" t="inlineStr"/>
      <c r="M1448" t="inlineStr"/>
      <c r="N1448" t="inlineStr"/>
      <c r="O1448">
        <f>(1-Summary!$B$11)*T1448+Summary!$B$11*V1448</f>
        <v/>
      </c>
      <c r="P1448">
        <f>IF(B1468=0,0,O1448/B1468)</f>
        <v/>
      </c>
      <c r="Q1448">
        <f>IFERROR(1/(IF(Inputs!$B$38="pvp",15,MAX(0.1,Skills!D17-IF(Skills!E17=TRUE,Inputs!$B$32,0)))*(1-IF(AND(ArtifactsInput!$M$27,Inputs!$B$4="Chapter Hunt"),CHOOSE(ArtifactsInput!$N$27+1,20,24,28,32,36,40),0)/100)),0)</f>
        <v/>
      </c>
      <c r="R1448">
        <f>IF(AND(Inputs!$B$38&lt;&gt;"pvp",Inputs!$B$43&gt;0),IF(Inputs!$B$43&lt;=0,0,(INT(Inputs!$B$43/(IF(Inputs!$B$38="pvp",15,MAX(0.1,Skills!D17-IF(Skills!E17=TRUE,Inputs!$B$32,0)))*(1-IF(AND(ArtifactsInput!$M$27,Inputs!$B$4="Chapter Hunt"),CHOOSE(ArtifactsInput!$N$27+1,20,24,28,32,36,40),0)/100)))+1)),0)</f>
        <v/>
      </c>
      <c r="S1448">
        <f>IFERROR(O1448/N1448,0)</f>
        <v/>
      </c>
      <c r="T1448" t="n">
        <v>0</v>
      </c>
      <c r="V1448" t="n">
        <v>0</v>
      </c>
    </row>
    <row r="1449">
      <c r="A1449">
        <f>Skills!A18</f>
        <v/>
      </c>
      <c r="B1449">
        <f>Skills!B18</f>
        <v/>
      </c>
      <c r="C1449">
        <f>Inputs!$B$3&gt;=74</f>
        <v/>
      </c>
      <c r="D1449">
        <f>IF(Skills!C18=1,60+Inputs!$B$25+Inputs!$B$29,IF(Skills!C18=2,90+Inputs!$B$26+Inputs!$B$29,IF(Skills!C18=3,120+Inputs!$B$27+Inputs!$B$29,MAX(0,(Inputs!$B$3-100)*3)+Inputs!$B$28+Inputs!$B$29)))</f>
        <v/>
      </c>
      <c r="E1449">
        <f>INDEX(FactorTable!$B$2:$Y$301, MATCH(ROUND(MIN(300,MAX(1,D1449)),0), FactorTable!$A$2:$A$301,0), Skills!M18+1)</f>
        <v/>
      </c>
      <c r="F1449">
        <f>IF(Skills!N18=TRUE,(Skills!L18/10)*(E1449/1000),Skills!L18/10)+Skills!O18</f>
        <v/>
      </c>
      <c r="G1449">
        <f>Skills!G18*IF(Skills!H18&gt;0,Skills!I18/Skills!H18,1)</f>
        <v/>
      </c>
      <c r="H1449">
        <f>1-(1-Skills!J18/100)^Skills!K18</f>
        <v/>
      </c>
      <c r="I1449" t="inlineStr">
        <is>
          <t>1</t>
        </is>
      </c>
      <c r="J1449" t="inlineStr"/>
      <c r="K1449" t="inlineStr"/>
      <c r="L1449" t="inlineStr"/>
      <c r="M1449" t="inlineStr"/>
      <c r="N1449" t="inlineStr"/>
      <c r="O1449">
        <f>(1-Summary!$B$11)*T1449+Summary!$B$11*V1449</f>
        <v/>
      </c>
      <c r="P1449">
        <f>IF(B1468=0,0,O1449/B1468)</f>
        <v/>
      </c>
      <c r="Q1449">
        <f>IFERROR(1/(IF(Inputs!$B$38="pvp",15,MAX(0.1,Skills!D18-IF(Skills!E18=TRUE,Inputs!$B$32,0)))*(1-IF(AND(ArtifactsInput!$M$27,Inputs!$B$4="Chapter Hunt"),CHOOSE(ArtifactsInput!$N$27+1,20,24,28,32,36,40),0)/100)),0)</f>
        <v/>
      </c>
      <c r="R1449">
        <f>IF(AND(Inputs!$B$38&lt;&gt;"pvp",Inputs!$B$43&gt;0),IF(Inputs!$B$43&lt;=0,0,(INT(Inputs!$B$43/(IF(Inputs!$B$38="pvp",15,MAX(0.1,Skills!D18-IF(Skills!E18=TRUE,Inputs!$B$32,0)))*(1-IF(AND(ArtifactsInput!$M$27,Inputs!$B$4="Chapter Hunt"),CHOOSE(ArtifactsInput!$N$27+1,20,24,28,32,36,40),0)/100)))+1)),0)</f>
        <v/>
      </c>
      <c r="S1449">
        <f>IFERROR(O1449/N1449,0)</f>
        <v/>
      </c>
      <c r="T1449" t="n">
        <v>0</v>
      </c>
      <c r="V1449" t="n">
        <v>0</v>
      </c>
    </row>
    <row r="1450">
      <c r="A1450">
        <f>Skills!A19</f>
        <v/>
      </c>
      <c r="B1450">
        <f>Skills!B19</f>
        <v/>
      </c>
      <c r="C1450">
        <f>TRUE</f>
        <v/>
      </c>
      <c r="D1450">
        <f>IF(Skills!C19=1,60+Inputs!$B$25+Inputs!$B$29,IF(Skills!C19=2,90+Inputs!$B$26+Inputs!$B$29,IF(Skills!C19=3,120+Inputs!$B$27+Inputs!$B$29,MAX(0,(Inputs!$B$3-100)*3)+Inputs!$B$28+Inputs!$B$29)))</f>
        <v/>
      </c>
      <c r="E1450">
        <f>INDEX(FactorTable!$B$2:$Y$301, MATCH(ROUND(MIN(300,MAX(1,D1450)),0), FactorTable!$A$2:$A$301,0), Skills!M19+1)</f>
        <v/>
      </c>
      <c r="F1450">
        <f>IF(Skills!N19=TRUE,(Skills!L19/10)*(E1450/1000),Skills!L19/10)+Skills!O19</f>
        <v/>
      </c>
      <c r="G1450">
        <f>Skills!G19*IF(Skills!H19&gt;0,Skills!I19/Skills!H19,1)</f>
        <v/>
      </c>
      <c r="H1450">
        <f>1-(1-Skills!J19/100)^Skills!K19</f>
        <v/>
      </c>
      <c r="I1450" t="inlineStr">
        <is>
          <t>1</t>
        </is>
      </c>
      <c r="J1450" t="inlineStr"/>
      <c r="K1450" t="inlineStr"/>
      <c r="L1450" t="inlineStr"/>
      <c r="M1450" t="inlineStr"/>
      <c r="N1450" t="inlineStr"/>
      <c r="O1450">
        <f>(1-Summary!$B$11)*T1450+Summary!$B$11*V1450</f>
        <v/>
      </c>
      <c r="P1450">
        <f>IF(B1468=0,0,O1450/B1468)</f>
        <v/>
      </c>
      <c r="Q1450">
        <f>IFERROR(1/(IF(Inputs!$B$38="pvp",15,MAX(0.1,Skills!D19-IF(Skills!E19=TRUE,Inputs!$B$32,0)))*(1-IF(AND(ArtifactsInput!$M$27,Inputs!$B$4="Chapter Hunt"),CHOOSE(ArtifactsInput!$N$27+1,20,24,28,32,36,40),0)/100)),0)</f>
        <v/>
      </c>
      <c r="R1450">
        <f>IF(AND(Inputs!$B$38&lt;&gt;"pvp",Inputs!$B$43&gt;0),IF(Inputs!$B$43&lt;=0,0,(INT(Inputs!$B$43/(IF(Inputs!$B$38="pvp",15,MAX(0.1,Skills!D19-IF(Skills!E19=TRUE,Inputs!$B$32,0)))*(1-IF(AND(ArtifactsInput!$M$27,Inputs!$B$4="Chapter Hunt"),CHOOSE(ArtifactsInput!$N$27+1,20,24,28,32,36,40),0)/100)))+1)),0)</f>
        <v/>
      </c>
      <c r="S1450">
        <f>IFERROR(O1450/N1450,0)</f>
        <v/>
      </c>
      <c r="T1450" t="n">
        <v>0</v>
      </c>
      <c r="V1450" t="n">
        <v>0</v>
      </c>
    </row>
    <row r="1451">
      <c r="A1451">
        <f>Skills!A20</f>
        <v/>
      </c>
      <c r="B1451">
        <f>Skills!B20</f>
        <v/>
      </c>
      <c r="C1451">
        <f>Inputs!$B$3&gt;=33</f>
        <v/>
      </c>
      <c r="D1451">
        <f>IF(Skills!C20=1,60+Inputs!$B$25+Inputs!$B$29,IF(Skills!C20=2,90+Inputs!$B$26+Inputs!$B$29,IF(Skills!C20=3,120+Inputs!$B$27+Inputs!$B$29,MAX(0,(Inputs!$B$3-100)*3)+Inputs!$B$28+Inputs!$B$29)))</f>
        <v/>
      </c>
      <c r="E1451">
        <f>INDEX(FactorTable!$B$2:$Y$301, MATCH(ROUND(MIN(300,MAX(1,D1451)),0), FactorTable!$A$2:$A$301,0), Skills!M20+1)</f>
        <v/>
      </c>
      <c r="F1451">
        <f>IF(Skills!N20=TRUE,(Skills!L20/10)*(E1451/1000),Skills!L20/10)+Skills!O20</f>
        <v/>
      </c>
      <c r="G1451">
        <f>Skills!G20*IF(Skills!H20&gt;0,Skills!I20/Skills!H20,1)</f>
        <v/>
      </c>
      <c r="H1451">
        <f>1-(1-Skills!J20/100)^Skills!K20</f>
        <v/>
      </c>
      <c r="I1451" t="inlineStr">
        <is>
          <t>1</t>
        </is>
      </c>
      <c r="J1451" t="inlineStr"/>
      <c r="K1451" t="inlineStr"/>
      <c r="L1451" t="inlineStr"/>
      <c r="M1451" t="inlineStr"/>
      <c r="N1451" t="inlineStr"/>
      <c r="O1451">
        <f>(1-Summary!$B$11)*T1451+Summary!$B$11*V1451</f>
        <v/>
      </c>
      <c r="P1451">
        <f>IF(B1468=0,0,O1451/B1468)</f>
        <v/>
      </c>
      <c r="Q1451" t="n">
        <v>0</v>
      </c>
      <c r="R1451" t="n">
        <v>0</v>
      </c>
      <c r="S1451">
        <f>IFERROR(O1451/N1451,0)</f>
        <v/>
      </c>
      <c r="T1451" t="n">
        <v>0</v>
      </c>
      <c r="V1451" t="n">
        <v>0</v>
      </c>
    </row>
    <row r="1452">
      <c r="A1452">
        <f>Skills!A21</f>
        <v/>
      </c>
      <c r="B1452">
        <f>Skills!B21</f>
        <v/>
      </c>
      <c r="C1452">
        <f>Inputs!$B$3&gt;=38</f>
        <v/>
      </c>
      <c r="D1452">
        <f>IF(Skills!C21=1,60+Inputs!$B$25+Inputs!$B$29,IF(Skills!C21=2,90+Inputs!$B$26+Inputs!$B$29,IF(Skills!C21=3,120+Inputs!$B$27+Inputs!$B$29,MAX(0,(Inputs!$B$3-100)*3)+Inputs!$B$28+Inputs!$B$29)))</f>
        <v/>
      </c>
      <c r="E1452">
        <f>INDEX(FactorTable!$B$2:$Y$301, MATCH(ROUND(MIN(300,MAX(1,D1452)),0), FactorTable!$A$2:$A$301,0), Skills!M21+1)</f>
        <v/>
      </c>
      <c r="F1452">
        <f>IF(Skills!N21=TRUE,(Skills!L21/10)*(E1452/1000),Skills!L21/10)+Skills!O21</f>
        <v/>
      </c>
      <c r="G1452">
        <f>Skills!G21*IF(Skills!H21&gt;0,Skills!I21/Skills!H21,1)</f>
        <v/>
      </c>
      <c r="H1452">
        <f>1-(1-Skills!J21/100)^Skills!K21</f>
        <v/>
      </c>
      <c r="I1452" t="inlineStr">
        <is>
          <t>1</t>
        </is>
      </c>
      <c r="J1452" t="inlineStr"/>
      <c r="K1452" t="inlineStr"/>
      <c r="L1452" t="inlineStr"/>
      <c r="M1452" t="inlineStr"/>
      <c r="N1452" t="inlineStr"/>
      <c r="O1452">
        <f>(1-Summary!$B$11)*T1452+Summary!$B$11*V1452</f>
        <v/>
      </c>
      <c r="P1452">
        <f>IF(B1468=0,0,O1452/B1468)</f>
        <v/>
      </c>
      <c r="Q1452" t="n">
        <v>0</v>
      </c>
      <c r="R1452" t="n">
        <v>0</v>
      </c>
      <c r="S1452">
        <f>IFERROR(O1452/N1452,0)</f>
        <v/>
      </c>
      <c r="T1452" t="n">
        <v>0</v>
      </c>
      <c r="V1452" t="n">
        <v>0</v>
      </c>
    </row>
    <row r="1453">
      <c r="A1453">
        <f>Skills!A22</f>
        <v/>
      </c>
      <c r="B1453">
        <f>Skills!B22</f>
        <v/>
      </c>
      <c r="C1453">
        <f>Inputs!$B$3&gt;=43</f>
        <v/>
      </c>
      <c r="D1453">
        <f>IF(Skills!C22=1,60+Inputs!$B$25+Inputs!$B$29,IF(Skills!C22=2,90+Inputs!$B$26+Inputs!$B$29,IF(Skills!C22=3,120+Inputs!$B$27+Inputs!$B$29,MAX(0,(Inputs!$B$3-100)*3)+Inputs!$B$28+Inputs!$B$29)))</f>
        <v/>
      </c>
      <c r="E1453">
        <f>INDEX(FactorTable!$B$2:$Y$301, MATCH(ROUND(MIN(300,MAX(1,D1453)),0), FactorTable!$A$2:$A$301,0), Skills!M22+1)</f>
        <v/>
      </c>
      <c r="F1453">
        <f>IF(Skills!N22=TRUE,(Skills!L22/10)*(E1453/1000),Skills!L22/10)+Skills!O22</f>
        <v/>
      </c>
      <c r="G1453">
        <f>Skills!G22*IF(Skills!H22&gt;0,Skills!I22/Skills!H22,1)</f>
        <v/>
      </c>
      <c r="H1453">
        <f>1-(1-Skills!J22/100)^Skills!K22</f>
        <v/>
      </c>
      <c r="I1453" t="inlineStr">
        <is>
          <t>1</t>
        </is>
      </c>
      <c r="J1453" t="inlineStr"/>
      <c r="K1453" t="inlineStr"/>
      <c r="L1453" t="inlineStr"/>
      <c r="M1453" t="inlineStr"/>
      <c r="N1453" t="inlineStr"/>
      <c r="O1453">
        <f>(1-Summary!$B$11)*T1453+Summary!$B$11*V1453</f>
        <v/>
      </c>
      <c r="P1453">
        <f>IF(B1468=0,0,O1453/B1468)</f>
        <v/>
      </c>
      <c r="Q1453" t="n">
        <v>0</v>
      </c>
      <c r="R1453" t="n">
        <v>0</v>
      </c>
      <c r="S1453">
        <f>IFERROR(O1453/N1453,0)</f>
        <v/>
      </c>
      <c r="T1453" t="n">
        <v>0</v>
      </c>
      <c r="V1453" t="n">
        <v>0</v>
      </c>
    </row>
    <row r="1454">
      <c r="A1454">
        <f>Skills!A23</f>
        <v/>
      </c>
      <c r="B1454">
        <f>Skills!B23</f>
        <v/>
      </c>
      <c r="C1454">
        <f>Inputs!$B$3&gt;=120</f>
        <v/>
      </c>
      <c r="D1454">
        <f>IF(Skills!C23=1,60+Inputs!$B$25+Inputs!$B$29,IF(Skills!C23=2,90+Inputs!$B$26+Inputs!$B$29,IF(Skills!C23=3,120+Inputs!$B$27+Inputs!$B$29,MAX(0,(Inputs!$B$3-100)*3)+Inputs!$B$28+Inputs!$B$29)))</f>
        <v/>
      </c>
      <c r="E1454">
        <f>INDEX(FactorTable!$B$2:$Y$301, MATCH(ROUND(MIN(300,MAX(1,D1454)),0), FactorTable!$A$2:$A$301,0), Skills!M23+1)</f>
        <v/>
      </c>
      <c r="F1454">
        <f>IF(Skills!N23=TRUE,(Skills!L23/10)*(E1454/1000),Skills!L23/10)+Skills!O23</f>
        <v/>
      </c>
      <c r="G1454">
        <f>Skills!G23*IF(Skills!H23&gt;0,Skills!I23/Skills!H23,1)</f>
        <v/>
      </c>
      <c r="H1454">
        <f>1-(1-Skills!J23/100)^Skills!K23</f>
        <v/>
      </c>
      <c r="I1454" t="inlineStr">
        <is>
          <t>1</t>
        </is>
      </c>
      <c r="J1454" t="inlineStr"/>
      <c r="K1454" t="inlineStr"/>
      <c r="L1454" t="inlineStr"/>
      <c r="M1454" t="inlineStr"/>
      <c r="N1454" t="inlineStr"/>
      <c r="O1454">
        <f>(1-Summary!$B$11)*T1454+Summary!$B$11*V1454</f>
        <v/>
      </c>
      <c r="P1454">
        <f>IF(B1468=0,0,O1454/B1468)</f>
        <v/>
      </c>
      <c r="Q1454" t="n">
        <v>0</v>
      </c>
      <c r="R1454" t="n">
        <v>0</v>
      </c>
      <c r="S1454">
        <f>IFERROR(O1454/N1454,0)</f>
        <v/>
      </c>
      <c r="T1454" t="n">
        <v>0</v>
      </c>
      <c r="V1454" t="n">
        <v>0</v>
      </c>
    </row>
    <row r="1455">
      <c r="A1455">
        <f>Skills!A24</f>
        <v/>
      </c>
      <c r="B1455">
        <f>Skills!B24</f>
        <v/>
      </c>
      <c r="C1455">
        <f>Inputs!$B$3&gt;=120</f>
        <v/>
      </c>
      <c r="D1455">
        <f>IF(Skills!C24=1,60+Inputs!$B$25+Inputs!$B$29,IF(Skills!C24=2,90+Inputs!$B$26+Inputs!$B$29,IF(Skills!C24=3,120+Inputs!$B$27+Inputs!$B$29,MAX(0,(Inputs!$B$3-100)*3)+Inputs!$B$28+Inputs!$B$29)))</f>
        <v/>
      </c>
      <c r="E1455">
        <f>INDEX(FactorTable!$B$2:$Y$301, MATCH(ROUND(MIN(300,MAX(1,D1455)),0), FactorTable!$A$2:$A$301,0), Skills!M24+1)</f>
        <v/>
      </c>
      <c r="F1455">
        <f>IF(Skills!N24=TRUE,(Skills!L24/10)*(E1455/1000),Skills!L24/10)+Skills!O24</f>
        <v/>
      </c>
      <c r="G1455">
        <f>Skills!G24*IF(Skills!H24&gt;0,Skills!I24/Skills!H24,1)</f>
        <v/>
      </c>
      <c r="H1455">
        <f>1-(1-Skills!J24/100)^Skills!K24</f>
        <v/>
      </c>
      <c r="I1455" t="inlineStr">
        <is>
          <t>1</t>
        </is>
      </c>
      <c r="J1455" t="inlineStr"/>
      <c r="K1455" t="inlineStr"/>
      <c r="L1455" t="inlineStr"/>
      <c r="M1455" t="inlineStr"/>
      <c r="N1455" t="inlineStr"/>
      <c r="O1455">
        <f>(1-Summary!$B$11)*T1455+Summary!$B$11*V1455</f>
        <v/>
      </c>
      <c r="P1455">
        <f>IF(B1468=0,0,O1455/B1468)</f>
        <v/>
      </c>
      <c r="Q1455" t="n">
        <v>0</v>
      </c>
      <c r="R1455" t="n">
        <v>0</v>
      </c>
      <c r="S1455">
        <f>IFERROR(O1455/N1455,0)</f>
        <v/>
      </c>
      <c r="T1455" t="n">
        <v>0</v>
      </c>
      <c r="V1455" t="n">
        <v>0</v>
      </c>
    </row>
    <row r="1457">
      <c r="A1457" t="inlineStr">
        <is>
          <t>Attack% Bucket Multiplier</t>
        </is>
      </c>
      <c r="B1457">
        <f>(1+(((C1444=TRUE)*F1444*MIN(1,Skills!T13*(Skills!J13/100)*B1462))+((C1449=TRUE)*F1449*IF(AND(Inputs!$B$38&lt;&gt;"pvp",Inputs!$B$43&gt;0),(((R1449-1)*(Skills!T18*(1+Inputs!$B$34/100))+MIN((Skills!T18*(1+Inputs!$B$34/100)),MAX(0,Inputs!$B$43-((R1449-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58">
      <c r="A1458" t="inlineStr">
        <is>
          <t>Global Crit Rate Bonus %</t>
        </is>
      </c>
      <c r="B1458" t="n">
        <v>0</v>
      </c>
    </row>
    <row r="1459">
      <c r="A1459" t="inlineStr">
        <is>
          <t>Attack Speed Buff Bonus %</t>
        </is>
      </c>
      <c r="B1459">
        <f>((C1450=TRUE)*F1450*IF(AND(Inputs!$B$38&lt;&gt;"pvp",Inputs!$B$43&gt;0),(((R1450-1)*(Skills!T19*(1+Inputs!$B$34/100))+MIN((Skills!T19*(1+Inputs!$B$34/100)),MAX(0,Inputs!$B$43-((R1450-1)*Skills!D19))))/Inputs!$B$43),IF(Inputs!$B$38="pvp",MIN((Skills!T19*(1+Inputs!$B$34/100)),15)/15,(Skills!T19*(1+Inputs!$B$34/100))/Skills!D19)))</f>
        <v/>
      </c>
    </row>
    <row r="1460">
      <c r="A1460" t="inlineStr">
        <is>
          <t>Actions Per Second</t>
        </is>
      </c>
      <c r="B1460">
        <f>1+MIN(150,150*(1-(1-(Inputs!$B$11+((C1451=TRUE)*(F1451-Calc!F20)))/150)*(1-B1459/150)))/100</f>
        <v/>
      </c>
    </row>
    <row r="1461">
      <c r="A1461" t="inlineStr">
        <is>
          <t>Skill + Buff Cast Rate</t>
        </is>
      </c>
      <c r="B1461">
        <f>IF(AND(Inputs!$B$38&lt;&gt;"pvp",Inputs!$B$43&gt;0),SUMPRODUCT((Skills!E2:E24=TRUE)*(C1433:C1455=TRUE)*R1433:R1455*Skills!F2:F24)/Inputs!$B$43,SUMPRODUCT((Skills!E2:E24=TRUE)*(C1433:C1455=TRUE)*Q1433:Q1455*Skills!F2:F24))</f>
        <v/>
      </c>
    </row>
    <row r="1462">
      <c r="A1462" t="inlineStr">
        <is>
          <t>Blast Casts Per Second</t>
        </is>
      </c>
      <c r="B1462">
        <f>MAX(0,B1460-B1461)</f>
        <v/>
      </c>
    </row>
    <row r="1463">
      <c r="A1463" t="inlineStr">
        <is>
          <t>Global Critical Damage Bonus % (unused)</t>
        </is>
      </c>
      <c r="B1463" t="n">
        <v>0</v>
      </c>
    </row>
    <row r="1464">
      <c r="A1464" t="inlineStr">
        <is>
          <t>Global Final Damage Bonus % (Divine Shield + Guardian + Divine Blessing + Greater Vessel of Light)</t>
        </is>
      </c>
      <c r="B1464">
        <f>((C1446=TRUE)*F1446*IF(AND(Inputs!$B$38&lt;&gt;"pvp",Inputs!$B$43&gt;0),(((R1446-1)*(Skills!T15*(1+Inputs!$B$34/100))+MIN((Skills!T15*(1+Inputs!$B$34/100)),MAX(0,Inputs!$B$43-((R1446-1)*Skills!D15))))/Inputs!$B$43),IF(Inputs!$B$38="pvp",MIN((Skills!T15*(1+Inputs!$B$34/100)),15)/15,(Skills!T15*(1+Inputs!$B$34/100))/Skills!D15)))+((C1447=TRUE)*F1447*IF(AND(Inputs!$B$38&lt;&gt;"pvp",Inputs!$B$43&gt;0),(((R1447-1)*(Skills!T16*(1+Inputs!$B$34/100))+MIN((Skills!T16*(1+Inputs!$B$34/100)),MAX(0,Inputs!$B$43-((R1447-1)*Skills!D16))))/Inputs!$B$43),IF(Inputs!$B$38="pvp",MIN((Skills!T16*(1+Inputs!$B$34/100)),15)/15,(Skills!T16*(1+Inputs!$B$34/100))/Skills!D16)))+((C1448=TRUE)*F1448*IF(AND(Inputs!$B$38&lt;&gt;"pvp",Inputs!$B$43&gt;0),(((R1448-1)*(Skills!T17*(1+Inputs!$B$34/100))+MIN((Skills!T17*(1+Inputs!$B$34/100)),MAX(0,Inputs!$B$43-((R1448-1)*Skills!D17))))/Inputs!$B$43),IF(Inputs!$B$38="pvp",MIN((Skills!T17*(1+Inputs!$B$34/100)),15)/15,(Skills!T17*(1+Inputs!$B$34/100))/Skills!D17)))+((C1445=TRUE)*F1445*MIN(1,Skills!T13*(Skills!J13/100)*B1462))</f>
        <v/>
      </c>
    </row>
    <row r="1465">
      <c r="A1465" t="inlineStr">
        <is>
          <t>Buff-Casting Startup Delay (s, fixed-duration only)</t>
        </is>
      </c>
      <c r="B1465">
        <f>IF(AND(Inputs!$B$38&lt;&gt;"pvp",Inputs!$B$43&gt;0),SUMPRODUCT((Skills!T2:T24&gt;0)*(Skills!E2:E24=TRUE)*(C1433:C1455=TRUE))/B1460,0)</f>
        <v/>
      </c>
    </row>
    <row r="1466">
      <c r="A1466" t="inlineStr">
        <is>
          <t>Boss-Only Total DPS (this block's swept value)</t>
        </is>
      </c>
      <c r="B1466">
        <f>SUM(T1433:T1455)</f>
        <v/>
      </c>
    </row>
    <row r="1467">
      <c r="A1467" t="inlineStr">
        <is>
          <t>Normal-Only Total DPS (this block's swept value)</t>
        </is>
      </c>
      <c r="B1467">
        <f>SUM(V1433:V1455)</f>
        <v/>
      </c>
    </row>
    <row r="1468">
      <c r="A1468" s="6" t="inlineStr">
        <is>
          <t>TOTAL DPS</t>
        </is>
      </c>
      <c r="B1468" s="6">
        <f>SUM(O1433:O1455)</f>
        <v/>
      </c>
    </row>
    <row r="1471">
      <c r="A1471" s="6" t="inlineStr">
        <is>
          <t>Stat: Athena Pierce's Old Gloves (Equip)</t>
        </is>
      </c>
    </row>
    <row r="1472">
      <c r="A1472" s="5" t="inlineStr">
        <is>
          <t>Key</t>
        </is>
      </c>
      <c r="B1472" s="5" t="inlineStr">
        <is>
          <t>Name</t>
        </is>
      </c>
      <c r="C1472" s="5" t="inlineStr">
        <is>
          <t>Unlocked</t>
        </is>
      </c>
      <c r="D1472" s="5" t="inlineStr">
        <is>
          <t>InputLevel</t>
        </is>
      </c>
      <c r="E1472" s="5" t="inlineStr">
        <is>
          <t>Factor</t>
        </is>
      </c>
      <c r="F1472" s="5" t="inlineStr">
        <is>
          <t>CoefficientPercent</t>
        </is>
      </c>
      <c r="G1472" s="5" t="inlineStr">
        <is>
          <t>EffectiveHits</t>
        </is>
      </c>
      <c r="H1472" s="5" t="inlineStr">
        <is>
          <t>ProcProbability</t>
        </is>
      </c>
      <c r="I1472" s="5" t="inlineStr">
        <is>
          <t>MapleHeroMultiplier</t>
        </is>
      </c>
      <c r="J1472" s="5" t="inlineStr">
        <is>
          <t>BaseDamage</t>
        </is>
      </c>
      <c r="K1472" s="5" t="inlineStr">
        <is>
          <t>BaseHitDamage</t>
        </is>
      </c>
      <c r="L1472" s="5" t="inlineStr">
        <is>
          <t>NonCritAvg</t>
        </is>
      </c>
      <c r="M1472" s="5" t="inlineStr">
        <is>
          <t>CritAvg</t>
        </is>
      </c>
      <c r="N1472" s="5" t="inlineStr">
        <is>
          <t>ExpectedDamage(perHit)</t>
        </is>
      </c>
      <c r="O1472" s="5" t="inlineStr">
        <is>
          <t>DPS</t>
        </is>
      </c>
      <c r="P1472" s="5" t="inlineStr">
        <is>
          <t>% of Total</t>
        </is>
      </c>
      <c r="Q1472" s="5" t="inlineStr">
        <is>
          <t>InvCooldown</t>
        </is>
      </c>
      <c r="R1472" s="5" t="inlineStr">
        <is>
          <t>CastsInFight</t>
        </is>
      </c>
      <c r="S1472" s="5" t="inlineStr">
        <is>
          <t>HitRate(perSec)</t>
        </is>
      </c>
      <c r="U1472" t="inlineStr">
        <is>
          <t>helpers</t>
        </is>
      </c>
    </row>
    <row r="1473">
      <c r="A1473">
        <f>Skills!A2</f>
        <v/>
      </c>
      <c r="B1473">
        <f>Skills!B2</f>
        <v/>
      </c>
      <c r="C1473">
        <f>Inputs!$B$3&gt;=100</f>
        <v/>
      </c>
      <c r="D1473" t="inlineStr"/>
      <c r="E1473" t="inlineStr"/>
      <c r="F1473">
        <f>U1475+Skills!O2</f>
        <v/>
      </c>
      <c r="G1473">
        <f>Skills!G2*IF(Skills!H2&gt;0,Skills!I2/Skills!H2,1)</f>
        <v/>
      </c>
      <c r="H1473">
        <f>1-(1-Skills!J2/100)^Skills!K2</f>
        <v/>
      </c>
      <c r="I1473" t="inlineStr">
        <is>
          <t>1</t>
        </is>
      </c>
      <c r="J1473">
        <f>((Inputs!$B$6*(1+Inputs!$B$7/100))+(((Inputs!$B$12*(1+Inputs!$B$13/100))-(Inputs!$B$12*(1+Inputs!$B$13/100)))+0.25*(Inputs!$B$14-Inputs!$B$14))*(1+Inputs!$B$7/100))*(F1473/100)</f>
        <v/>
      </c>
      <c r="K1473">
        <f>J1473*(1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1473)</f>
        <v/>
      </c>
      <c r="L1473">
        <f>K1473*(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3">
        <f>L1473*(1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3">
        <f>L1473*(1-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1473*(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3">
        <f>(1-Summary!$B$11)*T1473+Summary!$B$11*V1473</f>
        <v/>
      </c>
      <c r="P1473">
        <f>IF(B1508=0,0,O1473/B1508)</f>
        <v/>
      </c>
      <c r="Q1473" t="n">
        <v>0</v>
      </c>
      <c r="R1473" t="n">
        <v>0</v>
      </c>
      <c r="S1473">
        <f>IFERROR(O1473/N1473,0)</f>
        <v/>
      </c>
      <c r="T1473">
        <f>IF(C1473,(Skills!G2*N1473*B1502)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1473*(1-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1473*(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1473*(1-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1473*(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3">
        <f>MAX(0,(Inputs!$B$3-100)*3)+Inputs!$B$28+Inputs!$B$29</f>
        <v/>
      </c>
      <c r="V1473">
        <f>IF(C1473,(Skills!G2*N1473*B1502)*IF(Inputs!$B$38="pvp",1,(1+(Inputs!$B$21+Skills!Q2+(IF(ArtifactsInput!$M$33,CHOOSE(ArtifactsInput!$N$33+1,30,36,42,48,54,60),0))+(IF(AND(ArtifactsInput!$M$35,Inputs!$B$4&lt;&gt;"Chapter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4">
      <c r="A1474">
        <f>Skills!A3</f>
        <v/>
      </c>
      <c r="B1474">
        <f>Skills!B3</f>
        <v/>
      </c>
      <c r="C1474">
        <f>Inputs!$B$3&gt;=50</f>
        <v/>
      </c>
      <c r="D1474">
        <f>IF(Skills!C3=1,60+Inputs!$B$25+Inputs!$B$29,IF(Skills!C3=2,90+Inputs!$B$26+Inputs!$B$29,IF(Skills!C3=3,120+Inputs!$B$27+Inputs!$B$29,MAX(0,(Inputs!$B$3-100)*3)+Inputs!$B$28+Inputs!$B$29)))</f>
        <v/>
      </c>
      <c r="E1474">
        <f>INDEX(FactorTable!$B$2:$Y$301, MATCH(ROUND(MIN(300,MAX(1,D1474)),0), FactorTable!$A$2:$A$301,0), Skills!M3+1)</f>
        <v/>
      </c>
      <c r="F1474">
        <f>IF(Skills!N3=TRUE,(Skills!L3/10)*(E1474/1000),Skills!L3/10)+Skills!O3</f>
        <v/>
      </c>
      <c r="G1474" t="inlineStr"/>
      <c r="H1474" t="inlineStr"/>
      <c r="I1474" t="inlineStr">
        <is>
          <t>1</t>
        </is>
      </c>
      <c r="J1474" t="inlineStr"/>
      <c r="K1474" t="inlineStr"/>
      <c r="L1474" t="inlineStr"/>
      <c r="M1474" t="inlineStr"/>
      <c r="N1474" t="inlineStr"/>
      <c r="O1474" t="inlineStr"/>
      <c r="P1474" t="inlineStr"/>
      <c r="Q1474" t="inlineStr"/>
      <c r="R1474" t="inlineStr"/>
      <c r="S1474" t="inlineStr"/>
      <c r="U1474">
        <f>INDEX(FactorTable!$B$2:$Y$301, MATCH(ROUND(MIN(300,MAX(1,U1473)),0), FactorTable!$A$2:$A$301,0), 22)</f>
        <v/>
      </c>
    </row>
    <row r="1475">
      <c r="A1475">
        <f>Skills!A4</f>
        <v/>
      </c>
      <c r="B1475">
        <f>Skills!B4</f>
        <v/>
      </c>
      <c r="C1475">
        <f>Inputs!$B$3&gt;=35</f>
        <v/>
      </c>
      <c r="D1475">
        <f>IF(Skills!C4=1,60+Inputs!$B$25+Inputs!$B$29,IF(Skills!C4=2,90+Inputs!$B$26+Inputs!$B$29,IF(Skills!C4=3,120+Inputs!$B$27+Inputs!$B$29,MAX(0,(Inputs!$B$3-100)*3)+Inputs!$B$28+Inputs!$B$29)))</f>
        <v/>
      </c>
      <c r="E1475">
        <f>INDEX(FactorTable!$B$2:$Y$301, MATCH(ROUND(MIN(300,MAX(1,D1475)),0), FactorTable!$A$2:$A$301,0), Skills!M4+1)</f>
        <v/>
      </c>
      <c r="F1475">
        <f>IF(Skills!N4=TRUE,(Skills!L4/10)*(E1475/1000),Skills!L4/10)+Skills!O4</f>
        <v/>
      </c>
      <c r="G1475">
        <f>Skills!G4*IF(Skills!H4&gt;0,Skills!I4/Skills!H4,1)</f>
        <v/>
      </c>
      <c r="H1475">
        <f>1-(1-Skills!J4/100)^Skills!K4</f>
        <v/>
      </c>
      <c r="I1475" t="inlineStr">
        <is>
          <t>1</t>
        </is>
      </c>
      <c r="J1475">
        <f>((Inputs!$B$6*(1+Inputs!$B$7/100))+(((Inputs!$B$12*(1+Inputs!$B$13/100))-(Inputs!$B$12*(1+Inputs!$B$13/100)))+0.25*(Inputs!$B$14-Inputs!$B$14))*(1+Inputs!$B$7/100))*(F1475/100)</f>
        <v/>
      </c>
      <c r="K1475">
        <f>J1475*(1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1483=TRUE,F1483,0)/100)*(1+(IF(Skills!A4="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1475)</f>
        <v/>
      </c>
      <c r="L1475">
        <f>K1475*(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5">
        <f>L1475*(1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5">
        <f>L1475*(1-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1475*(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5">
        <f>(1-Summary!$B$11)*T1475+Summary!$B$11*V1475</f>
        <v/>
      </c>
      <c r="P1475">
        <f>IF(B1508=0,0,O1475/B1508)</f>
        <v/>
      </c>
      <c r="Q1475">
        <f>IFERROR(1/(IF(Inputs!$B$38="pvp",15,MAX(0.1,Skills!D4-IF(Skills!E4=TRUE,Inputs!$B$32,0)))*(1-IF(AND(ArtifactsInput!$M$27,Inputs!$B$4="Chapter Hunt"),CHOOSE(ArtifactsInput!$N$27+1,20,24,28,32,36,40),0)/100)),0)</f>
        <v/>
      </c>
      <c r="R1475">
        <f>IF(AND(Inputs!$B$38&lt;&gt;"pvp",Inputs!$B$43&gt;0),IF(MAX(0,Inputs!$B$43-B1505)&lt;=0,0,(INT(MAX(0,Inputs!$B$43-B1505)/(IF(Inputs!$B$38="pvp",15,MAX(0.1,Skills!D4-IF(Skills!E4=TRUE,Inputs!$B$32,0)))*(1-IF(AND(ArtifactsInput!$M$27,Inputs!$B$4="Chapter Hunt"),CHOOSE(ArtifactsInput!$N$27+1,20,24,28,32,36,40),0)/100)))+1)),0)</f>
        <v/>
      </c>
      <c r="S1475">
        <f>IFERROR(O1475/N1475,0)</f>
        <v/>
      </c>
      <c r="T1475">
        <f>IF(C1475,(H1475*N1475*IF(AND(Inputs!$B$38&lt;&gt;"pvp",Inputs!$B$43&gt;0),((Skills!G4*((R1475-1)*IF(Skills!H4&gt;0,Skills!I4/Skills!H4,1)+IF(Skills!H4&gt;0,MIN(Skills!I4,MAX(0,MAX(0,Inputs!$B$43-B1505)-((R1475-1)*(IF(Inputs!$B$38="pvp",15,MAX(0.1,Skills!D4-IF(Skills!E4=TRUE,Inputs!$B$32,0)))*(1-IF(AND(ArtifactsInput!$M$27,Inputs!$B$4="Chapter Hunt"),CHOOSE(ArtifactsInput!$N$27+1,20,24,28,32,36,40),0)/100)))))/Skills!H4,1)))/Inputs!$B$43),G1475*Q1475)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1475*(1-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1475*(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1475*(1-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1475*(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5">
        <f>290*U1474/1000</f>
        <v/>
      </c>
      <c r="V1475">
        <f>IF(C1475,(H1475*N1475*IF(AND(Inputs!$B$38&lt;&gt;"pvp",Inputs!$B$43&gt;0),((Skills!G4*((R1475-1)*IF(Skills!H4&gt;0,Skills!I4/Skills!H4,1)+IF(Skills!H4&gt;0,MIN(Skills!I4,MAX(0,MAX(0,Inputs!$B$43-B1505)-((R1475-1)*(IF(Inputs!$B$38="pvp",15,MAX(0.1,Skills!D4-IF(Skills!E4=TRUE,Inputs!$B$32,0)))*(1-IF(AND(ArtifactsInput!$M$27,Inputs!$B$4="Chapter Hunt"),CHOOSE(ArtifactsInput!$N$27+1,20,24,28,32,36,40),0)/100)))))/Skills!H4,1)))/Inputs!$B$43),G1475*Q1475))*IF(Inputs!$B$38="pvp",1,(1+(Inputs!$B$21+Skills!Q4+(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6">
      <c r="A1476">
        <f>Skills!A5</f>
        <v/>
      </c>
      <c r="B1476">
        <f>Skills!B5</f>
        <v/>
      </c>
      <c r="C1476">
        <f>Inputs!$B$3&gt;=66</f>
        <v/>
      </c>
      <c r="D1476">
        <f>IF(Skills!C5=1,60+Inputs!$B$25+Inputs!$B$29,IF(Skills!C5=2,90+Inputs!$B$26+Inputs!$B$29,IF(Skills!C5=3,120+Inputs!$B$27+Inputs!$B$29,MAX(0,(Inputs!$B$3-100)*3)+Inputs!$B$28+Inputs!$B$29)))</f>
        <v/>
      </c>
      <c r="E1476">
        <f>INDEX(FactorTable!$B$2:$Y$301, MATCH(ROUND(MIN(300,MAX(1,D1476)),0), FactorTable!$A$2:$A$301,0), Skills!M5+1)</f>
        <v/>
      </c>
      <c r="F1476">
        <f>IF(Skills!N5=TRUE,(Skills!L5/10)*(E1476/1000),Skills!L5/10)+Skills!O5</f>
        <v/>
      </c>
      <c r="G1476">
        <f>Skills!G5*IF(Skills!H5&gt;0,Skills!I5/Skills!H5,1)</f>
        <v/>
      </c>
      <c r="H1476">
        <f>1-(1-Skills!J5/100)^Skills!K5</f>
        <v/>
      </c>
      <c r="I1476" t="inlineStr">
        <is>
          <t>1</t>
        </is>
      </c>
      <c r="J1476">
        <f>((Inputs!$B$6*(1+Inputs!$B$7/100))+(((Inputs!$B$12*(1+Inputs!$B$13/100))-(Inputs!$B$12*(1+Inputs!$B$13/100)))+0.25*(Inputs!$B$14-Inputs!$B$14))*(1+Inputs!$B$7/100))*(F1476/100)</f>
        <v/>
      </c>
      <c r="K1476">
        <f>J1476*(1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1483=TRUE,F1483,0)/100)*(1+(IF(Skills!A5="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1476)</f>
        <v/>
      </c>
      <c r="L1476">
        <f>K1476*(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6">
        <f>L1476*(1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6">
        <f>L1476*(1-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1476*(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6">
        <f>(1-Summary!$B$11)*T1476+Summary!$B$11*V1476</f>
        <v/>
      </c>
      <c r="P1476">
        <f>IF(B1508=0,0,O1476/B1508)</f>
        <v/>
      </c>
      <c r="Q1476">
        <f>IFERROR(1/(IF(Inputs!$B$38="pvp",15,MAX(0.1,Skills!D5-IF(Skills!E5=TRUE,Inputs!$B$32,0)))*(1-IF(AND(ArtifactsInput!$M$27,Inputs!$B$4="Chapter Hunt"),CHOOSE(ArtifactsInput!$N$27+1,20,24,28,32,36,40),0)/100)),0)</f>
        <v/>
      </c>
      <c r="R1476">
        <f>IF(AND(Inputs!$B$38&lt;&gt;"pvp",Inputs!$B$43&gt;0),IF(MAX(0,Inputs!$B$43-B1505)&lt;=0,0,(INT(MAX(0,Inputs!$B$43-B1505)/(IF(Inputs!$B$38="pvp",15,MAX(0.1,Skills!D5-IF(Skills!E5=TRUE,Inputs!$B$32,0)))*(1-IF(AND(ArtifactsInput!$M$27,Inputs!$B$4="Chapter Hunt"),CHOOSE(ArtifactsInput!$N$27+1,20,24,28,32,36,40),0)/100)))+1)),0)</f>
        <v/>
      </c>
      <c r="S1476">
        <f>IFERROR(O1476/N1476,0)</f>
        <v/>
      </c>
      <c r="T1476">
        <f>IF(C1476,(H1476*N1476*IF(AND(Inputs!$B$38&lt;&gt;"pvp",Inputs!$B$43&gt;0),((Skills!G5*((R1476-1)*IF(Skills!H5&gt;0,Skills!I5/Skills!H5,1)+IF(Skills!H5&gt;0,MIN(Skills!I5,MAX(0,MAX(0,Inputs!$B$43-B1505)-((R1476-1)*(IF(Inputs!$B$38="pvp",15,MAX(0.1,Skills!D5-IF(Skills!E5=TRUE,Inputs!$B$32,0)))*(1-IF(AND(ArtifactsInput!$M$27,Inputs!$B$4="Chapter Hunt"),CHOOSE(ArtifactsInput!$N$27+1,20,24,28,32,36,40),0)/100)))))/Skills!H5,1)))/Inputs!$B$43),G1476*Q1476)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1476*(1-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1476*(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1476*(1-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1476*(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6">
        <f>IF(C1476,(H1476*N1476*IF(AND(Inputs!$B$38&lt;&gt;"pvp",Inputs!$B$43&gt;0),((Skills!G5*((R1476-1)*IF(Skills!H5&gt;0,Skills!I5/Skills!H5,1)+IF(Skills!H5&gt;0,MIN(Skills!I5,MAX(0,MAX(0,Inputs!$B$43-B1505)-((R1476-1)*(IF(Inputs!$B$38="pvp",15,MAX(0.1,Skills!D5-IF(Skills!E5=TRUE,Inputs!$B$32,0)))*(1-IF(AND(ArtifactsInput!$M$27,Inputs!$B$4="Chapter Hunt"),CHOOSE(ArtifactsInput!$N$27+1,20,24,28,32,36,40),0)/100)))))/Skills!H5,1)))/Inputs!$B$43),G1476*Q1476))*IF(Inputs!$B$38="pvp",1,(1+(Inputs!$B$21+Skills!Q5+(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7">
      <c r="A1477">
        <f>Skills!A6</f>
        <v/>
      </c>
      <c r="B1477">
        <f>Skills!B6</f>
        <v/>
      </c>
      <c r="C1477">
        <f>Inputs!$B$3&gt;=103</f>
        <v/>
      </c>
      <c r="D1477">
        <f>IF(Skills!C6=1,60+Inputs!$B$25+Inputs!$B$29,IF(Skills!C6=2,90+Inputs!$B$26+Inputs!$B$29,IF(Skills!C6=3,120+Inputs!$B$27+Inputs!$B$29,MAX(0,(Inputs!$B$3-100)*3)+Inputs!$B$28+Inputs!$B$29)))</f>
        <v/>
      </c>
      <c r="E1477">
        <f>INDEX(FactorTable!$B$2:$Y$301, MATCH(ROUND(MIN(300,MAX(1,D1477)),0), FactorTable!$A$2:$A$301,0), Skills!M6+1)</f>
        <v/>
      </c>
      <c r="F1477">
        <f>IF(Skills!N6=TRUE,(Skills!L6/10)*(E1477/1000),Skills!L6/10)+Skills!O6</f>
        <v/>
      </c>
      <c r="G1477">
        <f>Skills!G6*IF(Skills!H6&gt;0,Skills!I6/Skills!H6,1)</f>
        <v/>
      </c>
      <c r="H1477">
        <f>1-(1-Skills!J6/100)^Skills!K6</f>
        <v/>
      </c>
      <c r="I1477" t="inlineStr">
        <is>
          <t>1</t>
        </is>
      </c>
      <c r="J1477">
        <f>((Inputs!$B$6*(1+Inputs!$B$7/100))+(((Inputs!$B$12*(1+Inputs!$B$13/100))-(Inputs!$B$12*(1+Inputs!$B$13/100)))+0.25*(Inputs!$B$14-Inputs!$B$14))*(1+Inputs!$B$7/100))*(F1477/100)</f>
        <v/>
      </c>
      <c r="K1477">
        <f>J1477*(1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1477)</f>
        <v/>
      </c>
      <c r="L1477">
        <f>K1477*(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7">
        <f>L1477*(1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7">
        <f>L1477*(1-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1477*(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7">
        <f>(1-Summary!$B$11)*T1477+Summary!$B$11*V1477</f>
        <v/>
      </c>
      <c r="P1477">
        <f>IF(B1508=0,0,O1477/B1508)</f>
        <v/>
      </c>
      <c r="Q1477">
        <f>IFERROR(1/(IF(Inputs!$B$38="pvp",15,MAX(0.1,Skills!D6-IF(Skills!E6=TRUE,Inputs!$B$32,0)))*(1-IF(AND(ArtifactsInput!$M$27,Inputs!$B$4="Chapter Hunt"),CHOOSE(ArtifactsInput!$N$27+1,20,24,28,32,36,40),0)/100)),0)</f>
        <v/>
      </c>
      <c r="R1477">
        <f>IF(AND(Inputs!$B$38&lt;&gt;"pvp",Inputs!$B$43&gt;0),IF(MAX(0,Inputs!$B$43-B1505)&lt;=0,0,(INT(MAX(0,Inputs!$B$43-B1505)/(IF(Inputs!$B$38="pvp",15,MAX(0.1,Skills!D6-IF(Skills!E6=TRUE,Inputs!$B$32,0)))*(1-IF(AND(ArtifactsInput!$M$27,Inputs!$B$4="Chapter Hunt"),CHOOSE(ArtifactsInput!$N$27+1,20,24,28,32,36,40),0)/100)))+1)),0)</f>
        <v/>
      </c>
      <c r="S1477">
        <f>IFERROR(O1477/N1477,0)</f>
        <v/>
      </c>
      <c r="T1477">
        <f>IF(C1477,(H1477*N1477*IF(AND(Inputs!$B$38&lt;&gt;"pvp",Inputs!$B$43&gt;0),((Skills!G6*((R1477-1)*IF(Skills!H6&gt;0,Skills!I6/Skills!H6,1)+IF(Skills!H6&gt;0,MIN(Skills!I6,MAX(0,MAX(0,Inputs!$B$43-B1505)-((R1477-1)*(IF(Inputs!$B$38="pvp",15,MAX(0.1,Skills!D6-IF(Skills!E6=TRUE,Inputs!$B$32,0)))*(1-IF(AND(ArtifactsInput!$M$27,Inputs!$B$4="Chapter Hunt"),CHOOSE(ArtifactsInput!$N$27+1,20,24,28,32,36,40),0)/100)))))/Skills!H6,1)))/Inputs!$B$43),G1477*Q1477)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1477*(1-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1477*(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1477*(1-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1477*(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7">
        <f>IF(C1477,(H1477*N1477*IF(AND(Inputs!$B$38&lt;&gt;"pvp",Inputs!$B$43&gt;0),((Skills!G6*((R1477-1)*IF(Skills!H6&gt;0,Skills!I6/Skills!H6,1)+IF(Skills!H6&gt;0,MIN(Skills!I6,MAX(0,MAX(0,Inputs!$B$43-B1505)-((R1477-1)*(IF(Inputs!$B$38="pvp",15,MAX(0.1,Skills!D6-IF(Skills!E6=TRUE,Inputs!$B$32,0)))*(1-IF(AND(ArtifactsInput!$M$27,Inputs!$B$4="Chapter Hunt"),CHOOSE(ArtifactsInput!$N$27+1,20,24,28,32,36,40),0)/100)))))/Skills!H6,1)))/Inputs!$B$43),G1477*Q1477))*IF(Inputs!$B$38="pvp",1,(1+(Inputs!$B$21+Skills!Q6+(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8">
      <c r="A1478">
        <f>Skills!A7</f>
        <v/>
      </c>
      <c r="B1478">
        <f>Skills!B7</f>
        <v/>
      </c>
      <c r="C1478">
        <f>Inputs!$B$3&gt;=107</f>
        <v/>
      </c>
      <c r="D1478">
        <f>IF(Skills!C7=1,60+Inputs!$B$25+Inputs!$B$29,IF(Skills!C7=2,90+Inputs!$B$26+Inputs!$B$29,IF(Skills!C7=3,120+Inputs!$B$27+Inputs!$B$29,MAX(0,(Inputs!$B$3-100)*3)+Inputs!$B$28+Inputs!$B$29)))</f>
        <v/>
      </c>
      <c r="E1478">
        <f>INDEX(FactorTable!$B$2:$Y$301, MATCH(ROUND(MIN(300,MAX(1,D1478)),0), FactorTable!$A$2:$A$301,0), Skills!M7+1)</f>
        <v/>
      </c>
      <c r="F1478">
        <f>IF(Skills!N7=TRUE,(Skills!L7/10)*(E1478/1000),Skills!L7/10)+Skills!O7</f>
        <v/>
      </c>
      <c r="G1478">
        <f>Skills!G7*IF(Skills!H7&gt;0,Skills!I7/Skills!H7,1)</f>
        <v/>
      </c>
      <c r="H1478">
        <f>1-(1-Skills!J7/100)^Skills!K7</f>
        <v/>
      </c>
      <c r="I1478" t="inlineStr">
        <is>
          <t>1</t>
        </is>
      </c>
      <c r="J1478">
        <f>((Inputs!$B$6*(1+Inputs!$B$7/100))+(((Inputs!$B$12*(1+Inputs!$B$13/100))-(Inputs!$B$12*(1+Inputs!$B$13/100)))+0.25*(Inputs!$B$14-Inputs!$B$14))*(1+Inputs!$B$7/100))*(F1478/100)</f>
        <v/>
      </c>
      <c r="K1478">
        <f>J1478*(1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1478)</f>
        <v/>
      </c>
      <c r="L1478">
        <f>K1478*(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8">
        <f>L1478*(1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8">
        <f>L1478*(1-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1478*(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8">
        <f>(1-Summary!$B$11)*T1478+Summary!$B$11*V1478</f>
        <v/>
      </c>
      <c r="P1478">
        <f>IF(B1508=0,0,O1478/B1508)</f>
        <v/>
      </c>
      <c r="Q1478">
        <f>IFERROR(1/(IF(Inputs!$B$38="pvp",15,MAX(0.1,Skills!D7-IF(Skills!E7=TRUE,Inputs!$B$32,0)))*(1-IF(AND(ArtifactsInput!$M$27,Inputs!$B$4="Chapter Hunt"),CHOOSE(ArtifactsInput!$N$27+1,20,24,28,32,36,40),0)/100)),0)</f>
        <v/>
      </c>
      <c r="R1478">
        <f>IF(AND(Inputs!$B$38&lt;&gt;"pvp",Inputs!$B$43&gt;0),IF(MAX(0,Inputs!$B$43-B1505)&lt;=0,0,(INT(MAX(0,Inputs!$B$43-B1505)/(IF(Inputs!$B$38="pvp",15,MAX(0.1,Skills!D7-IF(Skills!E7=TRUE,Inputs!$B$32,0)))*(1-IF(AND(ArtifactsInput!$M$27,Inputs!$B$4="Chapter Hunt"),CHOOSE(ArtifactsInput!$N$27+1,20,24,28,32,36,40),0)/100)))+1)),0)</f>
        <v/>
      </c>
      <c r="S1478">
        <f>IFERROR(O1478/N1478,0)</f>
        <v/>
      </c>
      <c r="T1478">
        <f>IF(C1478,(H1478*N1478*IF(AND(Inputs!$B$38&lt;&gt;"pvp",Inputs!$B$43&gt;0),((Skills!G7*((R1478-1)*IF(Skills!H7&gt;0,Skills!I7/Skills!H7,1)+IF(Skills!H7&gt;0,MIN(Skills!I7,MAX(0,MAX(0,Inputs!$B$43-B1505)-((R1478-1)*(IF(Inputs!$B$38="pvp",15,MAX(0.1,Skills!D7-IF(Skills!E7=TRUE,Inputs!$B$32,0)))*(1-IF(AND(ArtifactsInput!$M$27,Inputs!$B$4="Chapter Hunt"),CHOOSE(ArtifactsInput!$N$27+1,20,24,28,32,36,40),0)/100)))))/Skills!H7,1)))/Inputs!$B$43),G1478*Q1478)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1478*(1-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1478*(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1478*(1-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1478*(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8">
        <f>IF(C1478,(H1478*N1478*IF(AND(Inputs!$B$38&lt;&gt;"pvp",Inputs!$B$43&gt;0),((Skills!G7*((R1478-1)*IF(Skills!H7&gt;0,Skills!I7/Skills!H7,1)+IF(Skills!H7&gt;0,MIN(Skills!I7,MAX(0,MAX(0,Inputs!$B$43-B1505)-((R1478-1)*(IF(Inputs!$B$38="pvp",15,MAX(0.1,Skills!D7-IF(Skills!E7=TRUE,Inputs!$B$32,0)))*(1-IF(AND(ArtifactsInput!$M$27,Inputs!$B$4="Chapter Hunt"),CHOOSE(ArtifactsInput!$N$27+1,20,24,28,32,36,40),0)/100)))))/Skills!H7,1)))/Inputs!$B$43),G1478*Q1478))*IF(Inputs!$B$38="pvp",1,(1+(Inputs!$B$21+Skills!Q7+(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9">
      <c r="A1479">
        <f>Skills!A8</f>
        <v/>
      </c>
      <c r="B1479">
        <f>Skills!B8</f>
        <v/>
      </c>
      <c r="C1479">
        <f>Inputs!$B$3&gt;=107</f>
        <v/>
      </c>
      <c r="D1479">
        <f>IF(Skills!C8=1,60+Inputs!$B$25+Inputs!$B$29,IF(Skills!C8=2,90+Inputs!$B$26+Inputs!$B$29,IF(Skills!C8=3,120+Inputs!$B$27+Inputs!$B$29,MAX(0,(Inputs!$B$3-100)*3)+Inputs!$B$28+Inputs!$B$29)))</f>
        <v/>
      </c>
      <c r="E1479">
        <f>INDEX(FactorTable!$B$2:$Y$301, MATCH(ROUND(MIN(300,MAX(1,D1479)),0), FactorTable!$A$2:$A$301,0), Skills!M8+1)</f>
        <v/>
      </c>
      <c r="F1479">
        <f>IF(Skills!N8=TRUE,(Skills!L8/10)*(E1479/1000),Skills!L8/10)+Skills!O8</f>
        <v/>
      </c>
      <c r="G1479">
        <f>Skills!G8*IF(Skills!H8&gt;0,Skills!I8/Skills!H8,1)</f>
        <v/>
      </c>
      <c r="H1479">
        <f>1-(1-Skills!J8/100)^Skills!K8</f>
        <v/>
      </c>
      <c r="I1479" t="inlineStr">
        <is>
          <t>1</t>
        </is>
      </c>
      <c r="J1479">
        <f>((Inputs!$B$6*(1+Inputs!$B$7/100))+(((Inputs!$B$12*(1+Inputs!$B$13/100))-(Inputs!$B$12*(1+Inputs!$B$13/100)))+0.25*(Inputs!$B$14-Inputs!$B$14))*(1+Inputs!$B$7/100))*(F1479/100)</f>
        <v/>
      </c>
      <c r="K1479">
        <f>J1479*(1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1479)</f>
        <v/>
      </c>
      <c r="L1479">
        <f>K1479*(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79">
        <f>L1479*(1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9">
        <f>L1479*(1-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1479*(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9">
        <f>(1-Summary!$B$11)*T1479+Summary!$B$11*V1479</f>
        <v/>
      </c>
      <c r="P1479">
        <f>IF(B1508=0,0,O1479/B1508)</f>
        <v/>
      </c>
      <c r="Q1479">
        <f>IFERROR(1/(IF(Inputs!$B$38="pvp",15,MAX(0.1,Skills!D8-IF(Skills!E8=TRUE,Inputs!$B$32,0)))*(1-IF(AND(ArtifactsInput!$M$27,Inputs!$B$4="Chapter Hunt"),CHOOSE(ArtifactsInput!$N$27+1,20,24,28,32,36,40),0)/100)),0)</f>
        <v/>
      </c>
      <c r="R1479">
        <f>IF(AND(Inputs!$B$38&lt;&gt;"pvp",Inputs!$B$43&gt;0),IF(MAX(0,Inputs!$B$43-B1505)&lt;=0,0,(INT(MAX(0,Inputs!$B$43-B1505)/(IF(Inputs!$B$38="pvp",15,MAX(0.1,Skills!D8-IF(Skills!E8=TRUE,Inputs!$B$32,0)))*(1-IF(AND(ArtifactsInput!$M$27,Inputs!$B$4="Chapter Hunt"),CHOOSE(ArtifactsInput!$N$27+1,20,24,28,32,36,40),0)/100)))+1)),0)</f>
        <v/>
      </c>
      <c r="S1479">
        <f>IFERROR(O1479/N1479,0)</f>
        <v/>
      </c>
      <c r="T1479">
        <f>IF(C1479,(H1479*N1479*IF(AND(Inputs!$B$38&lt;&gt;"pvp",Inputs!$B$43&gt;0),((Skills!G8*((R1479-1)*IF(Skills!H8&gt;0,Skills!I8/Skills!H8,1)+IF(Skills!H8&gt;0,MIN(Skills!I8,MAX(0,MAX(0,Inputs!$B$43-B1505)-((R1479-1)*(IF(Inputs!$B$38="pvp",15,MAX(0.1,Skills!D8-IF(Skills!E8=TRUE,Inputs!$B$32,0)))*(1-IF(AND(ArtifactsInput!$M$27,Inputs!$B$4="Chapter Hunt"),CHOOSE(ArtifactsInput!$N$27+1,20,24,28,32,36,40),0)/100)))))/Skills!H8,1)))/Inputs!$B$43),G1479*Q1479)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1479*(1-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1479*(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1479*(1-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1479*(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9">
        <f>IF(C1479,(H1479*N1479*IF(AND(Inputs!$B$38&lt;&gt;"pvp",Inputs!$B$43&gt;0),((Skills!G8*((R1479-1)*IF(Skills!H8&gt;0,Skills!I8/Skills!H8,1)+IF(Skills!H8&gt;0,MIN(Skills!I8,MAX(0,MAX(0,Inputs!$B$43-B1505)-((R1479-1)*(IF(Inputs!$B$38="pvp",15,MAX(0.1,Skills!D8-IF(Skills!E8=TRUE,Inputs!$B$32,0)))*(1-IF(AND(ArtifactsInput!$M$27,Inputs!$B$4="Chapter Hunt"),CHOOSE(ArtifactsInput!$N$27+1,20,24,28,32,36,40),0)/100)))))/Skills!H8,1)))/Inputs!$B$43),G1479*Q1479))*IF(Inputs!$B$38="pvp",1,(1+(Inputs!$B$21+Skills!Q8+(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0">
      <c r="A1480">
        <f>Skills!A9</f>
        <v/>
      </c>
      <c r="B1480">
        <f>Skills!B9</f>
        <v/>
      </c>
      <c r="C1480">
        <f>Inputs!$B$3&gt;=125</f>
        <v/>
      </c>
      <c r="D1480">
        <f>IF(Skills!C9=1,60+Inputs!$B$25+Inputs!$B$29,IF(Skills!C9=2,90+Inputs!$B$26+Inputs!$B$29,IF(Skills!C9=3,120+Inputs!$B$27+Inputs!$B$29,MAX(0,(Inputs!$B$3-100)*3)+Inputs!$B$28+Inputs!$B$29)))</f>
        <v/>
      </c>
      <c r="E1480">
        <f>INDEX(FactorTable!$B$2:$Y$301, MATCH(ROUND(MIN(300,MAX(1,D1480)),0), FactorTable!$A$2:$A$301,0), Skills!M9+1)</f>
        <v/>
      </c>
      <c r="F1480">
        <f>IF(Skills!N9=TRUE,(Skills!L9/10)*(E1480/1000),Skills!L9/10)+Skills!O9</f>
        <v/>
      </c>
      <c r="G1480">
        <f>Skills!G9*IF(Skills!H9&gt;0,Skills!I9/Skills!H9,1)</f>
        <v/>
      </c>
      <c r="H1480">
        <f>1-(1-Skills!J9/100)^Skills!K9</f>
        <v/>
      </c>
      <c r="I1480" t="inlineStr">
        <is>
          <t>1</t>
        </is>
      </c>
      <c r="J1480">
        <f>((Inputs!$B$6*(1+Inputs!$B$7/100))+(((Inputs!$B$12*(1+Inputs!$B$13/100))-(Inputs!$B$12*(1+Inputs!$B$13/100)))+0.25*(Inputs!$B$14-Inputs!$B$14))*(1+Inputs!$B$7/100))*(F1480/100)</f>
        <v/>
      </c>
      <c r="K1480">
        <f>J1480*(1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1480)</f>
        <v/>
      </c>
      <c r="L1480">
        <f>K1480*(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80">
        <f>L1480*(1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0">
        <f>L1480*(1-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1480*(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0">
        <f>(1-Summary!$B$11)*T1480+Summary!$B$11*V1480</f>
        <v/>
      </c>
      <c r="P1480">
        <f>IF(B1508=0,0,O1480/B1508)</f>
        <v/>
      </c>
      <c r="Q1480">
        <f>IFERROR(1/(IF(Inputs!$B$38="pvp",15,MAX(0.1,Skills!D9-IF(Skills!E9=TRUE,Inputs!$B$32,0)))*(1-IF(AND(ArtifactsInput!$M$27,Inputs!$B$4="Chapter Hunt"),CHOOSE(ArtifactsInput!$N$27+1,20,24,28,32,36,40),0)/100)),0)</f>
        <v/>
      </c>
      <c r="R1480">
        <f>IF(AND(Inputs!$B$38&lt;&gt;"pvp",Inputs!$B$43&gt;0),IF(MAX(0,Inputs!$B$43-B1505)&lt;=0,0,(INT(MAX(0,Inputs!$B$43-B1505)/(IF(Inputs!$B$38="pvp",15,MAX(0.1,Skills!D9-IF(Skills!E9=TRUE,Inputs!$B$32,0)))*(1-IF(AND(ArtifactsInput!$M$27,Inputs!$B$4="Chapter Hunt"),CHOOSE(ArtifactsInput!$N$27+1,20,24,28,32,36,40),0)/100)))+1)),0)</f>
        <v/>
      </c>
      <c r="S1480">
        <f>IFERROR(O1480/N1480,0)</f>
        <v/>
      </c>
      <c r="T1480">
        <f>IF(C1480,(H1480*N1480*IF(AND(Inputs!$B$38&lt;&gt;"pvp",Inputs!$B$43&gt;0),((Skills!G9*((R1480-1)*IF(Skills!H9&gt;0,Skills!I9/Skills!H9,1)+IF(Skills!H9&gt;0,MIN(Skills!I9,MAX(0,MAX(0,Inputs!$B$43-B1505)-((R1480-1)*(IF(Inputs!$B$38="pvp",15,MAX(0.1,Skills!D9-IF(Skills!E9=TRUE,Inputs!$B$32,0)))*(1-IF(AND(ArtifactsInput!$M$27,Inputs!$B$4="Chapter Hunt"),CHOOSE(ArtifactsInput!$N$27+1,20,24,28,32,36,40),0)/100)))))/Skills!H9,1)))/Inputs!$B$43),G1480*Q1480)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1480*(1-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1480*(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1480*(1-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1480*(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0">
        <f>IF(C1480,(H1480*N1480*IF(AND(Inputs!$B$38&lt;&gt;"pvp",Inputs!$B$43&gt;0),((Skills!G9*((R1480-1)*IF(Skills!H9&gt;0,Skills!I9/Skills!H9,1)+IF(Skills!H9&gt;0,MIN(Skills!I9,MAX(0,MAX(0,Inputs!$B$43-B1505)-((R1480-1)*(IF(Inputs!$B$38="pvp",15,MAX(0.1,Skills!D9-IF(Skills!E9=TRUE,Inputs!$B$32,0)))*(1-IF(AND(ArtifactsInput!$M$27,Inputs!$B$4="Chapter Hunt"),CHOOSE(ArtifactsInput!$N$27+1,20,24,28,32,36,40),0)/100)))))/Skills!H9,1)))/Inputs!$B$43),G1480*Q1480))*IF(Inputs!$B$38="pvp",1,(1+(Inputs!$B$21+Skills!Q9+(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1">
      <c r="A1481">
        <f>Skills!A10</f>
        <v/>
      </c>
      <c r="B1481">
        <f>Skills!B10</f>
        <v/>
      </c>
      <c r="C1481">
        <f>Inputs!$B$3&gt;=117</f>
        <v/>
      </c>
      <c r="D1481">
        <f>IF(Skills!C10=1,60+Inputs!$B$25+Inputs!$B$29,IF(Skills!C10=2,90+Inputs!$B$26+Inputs!$B$29,IF(Skills!C10=3,120+Inputs!$B$27+Inputs!$B$29,MAX(0,(Inputs!$B$3-100)*3)+Inputs!$B$28+Inputs!$B$29)))</f>
        <v/>
      </c>
      <c r="E1481">
        <f>INDEX(FactorTable!$B$2:$Y$301, MATCH(ROUND(MIN(300,MAX(1,D1481)),0), FactorTable!$A$2:$A$301,0), Skills!M10+1)</f>
        <v/>
      </c>
      <c r="F1481">
        <f>IF(Skills!N10=TRUE,(Skills!L10/10)*(E1481/1000),Skills!L10/10)+Skills!O10</f>
        <v/>
      </c>
      <c r="G1481">
        <f>Skills!G10*IF(Skills!H10&gt;0,Skills!I10/Skills!H10,1)</f>
        <v/>
      </c>
      <c r="H1481">
        <f>1-(1-Skills!J10/100)^Skills!K10</f>
        <v/>
      </c>
      <c r="I1481" t="inlineStr">
        <is>
          <t>1</t>
        </is>
      </c>
      <c r="J1481">
        <f>((Inputs!$B$6*(1+Inputs!$B$7/100))+(((Inputs!$B$12*(1+Inputs!$B$13/100))-(Inputs!$B$12*(1+Inputs!$B$13/100)))+0.25*(Inputs!$B$14-Inputs!$B$14))*(1+Inputs!$B$7/100))*(F1481/100)</f>
        <v/>
      </c>
      <c r="K1481">
        <f>J1481*(1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1481)</f>
        <v/>
      </c>
      <c r="L1481">
        <f>K1481*(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81">
        <f>L1481*(1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1">
        <f>L1481*(1-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1">
        <f>(1-Summary!$B$11)*T1481+Summary!$B$11*V1481</f>
        <v/>
      </c>
      <c r="P1481">
        <f>IF(B1508=0,0,O1481/B1508)</f>
        <v/>
      </c>
      <c r="Q1481">
        <f>IFERROR(1/(IF(Inputs!$B$38="pvp",15,MAX(0.1,Skills!D10-IF(Skills!E10=TRUE,Inputs!$B$32,0)))*(1-IF(AND(ArtifactsInput!$M$27,Inputs!$B$4="Chapter Hunt"),CHOOSE(ArtifactsInput!$N$27+1,20,24,28,32,36,40),0)/100)),0)</f>
        <v/>
      </c>
      <c r="R1481">
        <f>IF(AND(Inputs!$B$38&lt;&gt;"pvp",Inputs!$B$43&gt;0),IF(MAX(0,Inputs!$B$43-B1505)&lt;=0,0,(INT(MAX(0,Inputs!$B$43-B1505)/(IF(Inputs!$B$38="pvp",15,MAX(0.1,Skills!D10-IF(Skills!E10=TRUE,Inputs!$B$32,0)))*(1-IF(AND(ArtifactsInput!$M$27,Inputs!$B$4="Chapter Hunt"),CHOOSE(ArtifactsInput!$N$27+1,20,24,28,32,36,40),0)/100)))+1)),0)</f>
        <v/>
      </c>
      <c r="S1481">
        <f>IFERROR(O1481/N1481,0)</f>
        <v/>
      </c>
      <c r="T1481">
        <f>IF(C1481,(H1481*N1481*IF(AND(Inputs!$B$38&lt;&gt;"pvp",Inputs!$B$43&gt;0),((Skills!G10*((R1481-1)*IF(Skills!H10&gt;0,Skills!I10/Skills!H10,1)+IF(Skills!H10&gt;0,MIN(Skills!I10,MAX(0,MAX(0,Inputs!$B$43-B1505)-((R1481-1)*(IF(Inputs!$B$38="pvp",15,MAX(0.1,Skills!D10-IF(Skills!E10=TRUE,Inputs!$B$32,0)))*(1-IF(AND(ArtifactsInput!$M$27,Inputs!$B$4="Chapter Hunt"),CHOOSE(ArtifactsInput!$N$27+1,20,24,28,32,36,40),0)/100)))))/Skills!H10,1)))/Inputs!$B$43),G1481*Q1481)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1481*(1-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1481*(1-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1">
        <f>IF(C1481,(H1481*N1481*IF(AND(Inputs!$B$38&lt;&gt;"pvp",Inputs!$B$43&gt;0),((Skills!G10*((R1481-1)*IF(Skills!H10&gt;0,Skills!I10/Skills!H10,1)+IF(Skills!H10&gt;0,MIN(Skills!I10,MAX(0,MAX(0,Inputs!$B$43-B1505)-((R1481-1)*(IF(Inputs!$B$38="pvp",15,MAX(0.1,Skills!D10-IF(Skills!E10=TRUE,Inputs!$B$32,0)))*(1-IF(AND(ArtifactsInput!$M$27,Inputs!$B$4="Chapter Hunt"),CHOOSE(ArtifactsInput!$N$27+1,20,24,28,32,36,40),0)/100)))))/Skills!H10,1)))/Inputs!$B$43),G1481*Q1481))*IF(Inputs!$B$38="pvp",1,(1+(Inputs!$B$21+Skills!Q10+(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2">
      <c r="A1482">
        <f>Skills!A11</f>
        <v/>
      </c>
      <c r="B1482">
        <f>Skills!B11</f>
        <v/>
      </c>
      <c r="C1482">
        <f>Inputs!$B$3&gt;=63</f>
        <v/>
      </c>
      <c r="D1482">
        <f>IF(Skills!C11=1,60+Inputs!$B$25+Inputs!$B$29,IF(Skills!C11=2,90+Inputs!$B$26+Inputs!$B$29,IF(Skills!C11=3,120+Inputs!$B$27+Inputs!$B$29,MAX(0,(Inputs!$B$3-100)*3)+Inputs!$B$28+Inputs!$B$29)))</f>
        <v/>
      </c>
      <c r="E1482">
        <f>INDEX(FactorTable!$B$2:$Y$301, MATCH(ROUND(MIN(300,MAX(1,D1482)),0), FactorTable!$A$2:$A$301,0), Skills!M11+1)</f>
        <v/>
      </c>
      <c r="F1482">
        <f>IF(Skills!N11=TRUE,(Skills!L11/10)*(E1482/1000),Skills!L11/10)+Skills!O11</f>
        <v/>
      </c>
      <c r="G1482">
        <f>Skills!G11*IF(Skills!H11&gt;0,Skills!I11/Skills!H11,1)</f>
        <v/>
      </c>
      <c r="H1482">
        <f>1-(1-Skills!J11/100)^Skills!K11</f>
        <v/>
      </c>
      <c r="I1482" t="inlineStr">
        <is>
          <t>1</t>
        </is>
      </c>
      <c r="J1482">
        <f>((Inputs!$B$6*(1+Inputs!$B$7/100))+(((Inputs!$B$12*(1+Inputs!$B$13/100))-(Inputs!$B$12*(1+Inputs!$B$13/100)))+0.25*(Inputs!$B$14-Inputs!$B$14))*(1+Inputs!$B$7/100))*(F1482/100)</f>
        <v/>
      </c>
      <c r="K1482">
        <f>J1482*(1+((Inputs!$B$12*(1+Inputs!$B$13/100))*0.01+Inputs!$B$14*0.0025)/100)*(1+Inputs!$B$15/100)*(1+Inputs!$B$16/100)*(5000/(6000+Inputs!$B$42*(1-(Inputs!$B$19+0)/100)))*(1+(Inputs!$B$24+0+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1483=TRUE,F1483,0)/100)*(1+(IF(Skills!A11="BLAST",Inputs!$B$17+((C1492=TRUE)*(F1492-Calc!F21))+((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MIN(100,((Inputs!$B$9+0+B1498+(ArtifactsInput!$M$24-ArtifactsInput!$M$24)*CHOOSE(ArtifactsInput!$N$24+1,10,12,14,16,18,20)+IF(ArtifactsInput!$M$10,CHOOSE(ArtifactsInput!$N$10+1,15,18,21,24,27,30)*(IF(Inputs!$B$38="pvp",MIN(15,15)/15,IF(AND(Inputs!$B$38&lt;&gt;"pvp",Inputs!$B$43&gt;0),MIN(15,Inputs!$B$43)/(Inputs!$B$43),0))),0)))-100),0))*CHOOSE(ArtifactsInput!$N$42+1,0.6,0.72,0.84,0.96,1.08,1.2))),Inputs!$B$18+((C1494=TRUE)*(F1494-Calc!F23))+(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gt;=100),CHOOSE(ArtifactsInput!$N$42+1,40,48,56,64,72,80),0))))/100)*((1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1482)</f>
        <v/>
      </c>
      <c r="L1482">
        <f>K1482*(MIN(Inputs!$B$22+((C1493=TRUE)*(F1493-Calc!F22)),(Inputs!$B$23+((C1495=TRUE)*(F1495-Calc!F24))+((IF(IF(ArtifactsInput!$M$15,FALSE,TRUE),1,-1)*CHOOSE(ArtifactsInput!$N$15+1,25,30,35,40,45,50)/100*IF(IF(ArtifactsInput!$M$15,FALSE,TRUE),(Inputs!$B$11+((C1491=TRUE)*(F1491-Calc!F20))+(IF(ArtifactsInput!$M$15,FALSE,TRUE)-ArtifactsInput!$M$15)*CHOOSE(ArtifactsInput!$N$15+1,8,9.6,11.2,12.8,14.4,16)),Inputs!$B$11)))))/100+(Inputs!$B$23+((C1495=TRUE)*(F1495-Calc!F24))+((IF(IF(ArtifactsInput!$M$15,FALSE,TRUE),1,-1)*CHOOSE(ArtifactsInput!$N$15+1,25,30,35,40,45,50)/100*IF(IF(ArtifactsInput!$M$15,FALSE,TRUE),(Inputs!$B$11+((C1491=TRUE)*(F1491-Calc!F20))+(IF(ArtifactsInput!$M$15,FALSE,TRUE)-ArtifactsInput!$M$15)*CHOOSE(ArtifactsInput!$N$15+1,8,9.6,11.2,12.8,14.4,16)),Inputs!$B$11))))/100)/2</f>
        <v/>
      </c>
      <c r="M1482">
        <f>L1482*(1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82">
        <f>L1482*(1-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1482*(MIN((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82">
        <f>(1-Summary!$B$11)*T1482+Summary!$B$11*V1482</f>
        <v/>
      </c>
      <c r="P1482">
        <f>IF(B1508=0,0,O1482/B1508)</f>
        <v/>
      </c>
      <c r="Q1482">
        <f>IFERROR(1/(IF(Inputs!$B$38="pvp",15,MAX(0.1,Skills!D11-IF(Skills!E11=TRUE,Inputs!$B$32,0)))*(1-IF(AND(ArtifactsInput!$M$27,Inputs!$B$4="Chapter Hunt"),CHOOSE(ArtifactsInput!$N$27+1,20,24,28,32,36,40),0)/100)),0)</f>
        <v/>
      </c>
      <c r="R1482">
        <f>IF(AND(Inputs!$B$38&lt;&gt;"pvp",Inputs!$B$43&gt;0),IF(MAX(0,Inputs!$B$43-B1505)&lt;=0,0,(INT(MAX(0,Inputs!$B$43-B1505)/(IF(Inputs!$B$38="pvp",15,MAX(0.1,Skills!D11-IF(Skills!E11=TRUE,Inputs!$B$32,0)))*(1-IF(AND(ArtifactsInput!$M$27,Inputs!$B$4="Chapter Hunt"),CHOOSE(ArtifactsInput!$N$27+1,20,24,28,32,36,40),0)/100)))+1)),0)</f>
        <v/>
      </c>
      <c r="S1482">
        <f>IFERROR(O1482/N1482,0)</f>
        <v/>
      </c>
      <c r="T1482">
        <f>IF(C1482,(H1482*N1482*IF(AND(Inputs!$B$38&lt;&gt;"pvp",Inputs!$B$43&gt;0),((Skills!G11*((R1482-1)*IF(Skills!H11&gt;0,Skills!I11/Skills!H11,1)+IF(Skills!H11&gt;0,MIN(Skills!I11,MAX(0,MAX(0,Inputs!$B$43-B1505)-((R1482-1)*(IF(Inputs!$B$38="pvp",15,MAX(0.1,Skills!D11-IF(Skills!E11=TRUE,Inputs!$B$32,0)))*(1-IF(AND(ArtifactsInput!$M$27,Inputs!$B$4="Chapter Hunt"),CHOOSE(ArtifactsInput!$N$27+1,20,24,28,32,36,40),0)/100)))))/Skills!H11,1)))/Inputs!$B$43),G1482*Q1482)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1482*(1-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1482*(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1482*(1-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1482*(MIN(100,(Inputs!$B$9+0+B1498+(ArtifactsInput!$M$24-ArtifactsInput!$M$24)*CHOOSE(ArtifactsInput!$N$24+1,10,12,14,16,18,20)+(IF(AND(Inputs!$B$38&lt;&gt;"pvp",Inputs!$B$43=0),1,IF(IF(Inputs!$B$38="pvp",15,Inputs!$B$43)-(B1505)&lt;=0,1,MAX(0,IF(Inputs!$B$38="pvp",15,Inputs!$B$43)-MAX(5,B1505))/(IF(Inputs!$B$38="pvp",15,Inputs!$B$43)-(B1505))))*IF(AND(ArtifactsInput!$M$42,((Inputs!$B$9+0+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82">
        <f>IF(C1482,(H1482*N1482*IF(AND(Inputs!$B$38&lt;&gt;"pvp",Inputs!$B$43&gt;0),((Skills!G11*((R1482-1)*IF(Skills!H11&gt;0,Skills!I11/Skills!H11,1)+IF(Skills!H11&gt;0,MIN(Skills!I11,MAX(0,MAX(0,Inputs!$B$43-B1505)-((R1482-1)*(IF(Inputs!$B$38="pvp",15,MAX(0.1,Skills!D11-IF(Skills!E11=TRUE,Inputs!$B$32,0)))*(1-IF(AND(ArtifactsInput!$M$27,Inputs!$B$4="Chapter Hunt"),CHOOSE(ArtifactsInput!$N$27+1,20,24,28,32,36,40),0)/100)))))/Skills!H11,1)))/Inputs!$B$43),G1482*Q1482))*IF(Inputs!$B$38="pvp",1,(1+(Inputs!$B$21+Skills!Q11+(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83">
      <c r="A1483">
        <f>Skills!A12</f>
        <v/>
      </c>
      <c r="B1483">
        <f>Skills!B12</f>
        <v/>
      </c>
      <c r="C1483">
        <f>Inputs!$B$3&gt;=100</f>
        <v/>
      </c>
      <c r="D1483">
        <f>IF(Skills!C12=1,60+Inputs!$B$25+Inputs!$B$29,IF(Skills!C12=2,90+Inputs!$B$26+Inputs!$B$29,IF(Skills!C12=3,120+Inputs!$B$27+Inputs!$B$29,MAX(0,(Inputs!$B$3-100)*3)+Inputs!$B$28+Inputs!$B$29)))</f>
        <v/>
      </c>
      <c r="E1483">
        <f>INDEX(FactorTable!$B$2:$Y$301, MATCH(ROUND(MIN(300,MAX(1,D1483)),0), FactorTable!$A$2:$A$301,0), Skills!M12+1)</f>
        <v/>
      </c>
      <c r="F1483">
        <f>IF(Skills!N12=TRUE,(Skills!L12/10)*(E1483/1000),Skills!L12/10)+Skills!O12</f>
        <v/>
      </c>
      <c r="G1483" t="inlineStr"/>
      <c r="H1483" t="inlineStr"/>
      <c r="I1483" t="inlineStr">
        <is>
          <t>1</t>
        </is>
      </c>
      <c r="J1483" t="inlineStr"/>
      <c r="K1483" t="inlineStr"/>
      <c r="L1483" t="inlineStr"/>
      <c r="M1483" t="inlineStr"/>
      <c r="N1483" t="inlineStr"/>
      <c r="O1483" t="inlineStr"/>
      <c r="P1483" t="inlineStr"/>
      <c r="Q1483" t="inlineStr"/>
      <c r="R1483" t="inlineStr"/>
      <c r="S1483" t="inlineStr"/>
    </row>
    <row r="1484">
      <c r="A1484">
        <f>Skills!A13</f>
        <v/>
      </c>
      <c r="B1484">
        <f>Skills!B13</f>
        <v/>
      </c>
      <c r="C1484">
        <f>Inputs!$B$3&gt;=45</f>
        <v/>
      </c>
      <c r="D1484">
        <f>IF(Skills!C13=1,60+Inputs!$B$25+Inputs!$B$29,IF(Skills!C13=2,90+Inputs!$B$26+Inputs!$B$29,IF(Skills!C13=3,120+Inputs!$B$27+Inputs!$B$29,MAX(0,(Inputs!$B$3-100)*3)+Inputs!$B$28+Inputs!$B$29)))</f>
        <v/>
      </c>
      <c r="E1484">
        <f>INDEX(FactorTable!$B$2:$Y$301, MATCH(ROUND(MIN(300,MAX(1,D1484)),0), FactorTable!$A$2:$A$301,0), Skills!M13+1)</f>
        <v/>
      </c>
      <c r="F1484">
        <f>IF(Skills!N13=TRUE,(Skills!L13/10)*(E1484/1000),Skills!L13/10)+Skills!O13</f>
        <v/>
      </c>
      <c r="G1484">
        <f>Skills!G13*IF(Skills!H13&gt;0,Skills!I13/Skills!H13,1)</f>
        <v/>
      </c>
      <c r="H1484">
        <f>1-(1-Skills!J13/100)^Skills!K13</f>
        <v/>
      </c>
      <c r="I1484" t="inlineStr">
        <is>
          <t>1</t>
        </is>
      </c>
      <c r="J1484" t="inlineStr"/>
      <c r="K1484" t="inlineStr"/>
      <c r="L1484" t="inlineStr"/>
      <c r="M1484" t="inlineStr"/>
      <c r="N1484" t="inlineStr"/>
      <c r="O1484">
        <f>(1-Summary!$B$11)*T1484+Summary!$B$11*V1484</f>
        <v/>
      </c>
      <c r="P1484">
        <f>IF(B1508=0,0,O1484/B1508)</f>
        <v/>
      </c>
      <c r="Q1484" t="n">
        <v>0</v>
      </c>
      <c r="R1484" t="n">
        <v>0</v>
      </c>
      <c r="S1484">
        <f>IFERROR(O1484/N1484,0)</f>
        <v/>
      </c>
      <c r="T1484" t="n">
        <v>0</v>
      </c>
      <c r="V1484" t="n">
        <v>0</v>
      </c>
    </row>
    <row r="1485">
      <c r="A1485">
        <f>Skills!A14</f>
        <v/>
      </c>
      <c r="B1485">
        <f>Skills!B14</f>
        <v/>
      </c>
      <c r="C1485">
        <f>Inputs!$B$3&gt;=110</f>
        <v/>
      </c>
      <c r="D1485">
        <f>IF(Skills!C14=1,60+Inputs!$B$25+Inputs!$B$29,IF(Skills!C14=2,90+Inputs!$B$26+Inputs!$B$29,IF(Skills!C14=3,120+Inputs!$B$27+Inputs!$B$29,MAX(0,(Inputs!$B$3-100)*3)+Inputs!$B$28+Inputs!$B$29)))</f>
        <v/>
      </c>
      <c r="E1485">
        <f>INDEX(FactorTable!$B$2:$Y$301, MATCH(ROUND(MIN(300,MAX(1,D1485)),0), FactorTable!$A$2:$A$301,0), Skills!M14+1)</f>
        <v/>
      </c>
      <c r="F1485">
        <f>IF(Skills!N14=TRUE,(Skills!L14/10)*(E1485/1000),Skills!L14/10)+Skills!O14</f>
        <v/>
      </c>
      <c r="G1485">
        <f>Skills!G14*IF(Skills!H14&gt;0,Skills!I14/Skills!H14,1)</f>
        <v/>
      </c>
      <c r="H1485">
        <f>1-(1-Skills!J14/100)^Skills!K14</f>
        <v/>
      </c>
      <c r="I1485" t="inlineStr">
        <is>
          <t>1</t>
        </is>
      </c>
      <c r="J1485" t="inlineStr"/>
      <c r="K1485" t="inlineStr"/>
      <c r="L1485" t="inlineStr"/>
      <c r="M1485" t="inlineStr"/>
      <c r="N1485" t="inlineStr"/>
      <c r="O1485">
        <f>(1-Summary!$B$11)*T1485+Summary!$B$11*V1485</f>
        <v/>
      </c>
      <c r="P1485">
        <f>IF(B1508=0,0,O1485/B1508)</f>
        <v/>
      </c>
      <c r="Q1485" t="n">
        <v>0</v>
      </c>
      <c r="R1485" t="n">
        <v>0</v>
      </c>
      <c r="S1485">
        <f>IFERROR(O1485/N1485,0)</f>
        <v/>
      </c>
      <c r="T1485" t="n">
        <v>0</v>
      </c>
      <c r="V1485" t="n">
        <v>0</v>
      </c>
    </row>
    <row r="1486">
      <c r="A1486">
        <f>Skills!A15</f>
        <v/>
      </c>
      <c r="B1486">
        <f>Skills!B15</f>
        <v/>
      </c>
      <c r="C1486">
        <f>Inputs!$B$3&gt;=75</f>
        <v/>
      </c>
      <c r="D1486">
        <f>IF(Skills!C15=1,60+Inputs!$B$25+Inputs!$B$29,IF(Skills!C15=2,90+Inputs!$B$26+Inputs!$B$29,IF(Skills!C15=3,120+Inputs!$B$27+Inputs!$B$29,MAX(0,(Inputs!$B$3-100)*3)+Inputs!$B$28+Inputs!$B$29)))</f>
        <v/>
      </c>
      <c r="E1486">
        <f>INDEX(FactorTable!$B$2:$Y$301, MATCH(ROUND(MIN(300,MAX(1,D1486)),0), FactorTable!$A$2:$A$301,0), Skills!M15+1)</f>
        <v/>
      </c>
      <c r="F1486">
        <f>IF(Skills!N15=TRUE,(Skills!L15/10)*(E1486/1000),Skills!L15/10)+Skills!O15</f>
        <v/>
      </c>
      <c r="G1486">
        <f>Skills!G15*IF(Skills!H15&gt;0,Skills!I15/Skills!H15,1)</f>
        <v/>
      </c>
      <c r="H1486">
        <f>1-(1-Skills!J15/100)^Skills!K15</f>
        <v/>
      </c>
      <c r="I1486" t="inlineStr">
        <is>
          <t>1</t>
        </is>
      </c>
      <c r="J1486" t="inlineStr"/>
      <c r="K1486" t="inlineStr"/>
      <c r="L1486" t="inlineStr"/>
      <c r="M1486" t="inlineStr"/>
      <c r="N1486" t="inlineStr"/>
      <c r="O1486">
        <f>(1-Summary!$B$11)*T1486+Summary!$B$11*V1486</f>
        <v/>
      </c>
      <c r="P1486">
        <f>IF(B1508=0,0,O1486/B1508)</f>
        <v/>
      </c>
      <c r="Q1486">
        <f>IFERROR(1/(IF(Inputs!$B$38="pvp",15,MAX(0.1,Skills!D15-IF(Skills!E15=TRUE,Inputs!$B$32,0)))*(1-IF(AND(ArtifactsInput!$M$27,Inputs!$B$4="Chapter Hunt"),CHOOSE(ArtifactsInput!$N$27+1,20,24,28,32,36,40),0)/100)),0)</f>
        <v/>
      </c>
      <c r="R1486">
        <f>IF(AND(Inputs!$B$38&lt;&gt;"pvp",Inputs!$B$43&gt;0),IF(Inputs!$B$43&lt;=0,0,(INT(Inputs!$B$43/(IF(Inputs!$B$38="pvp",15,MAX(0.1,Skills!D15-IF(Skills!E15=TRUE,Inputs!$B$32,0)))*(1-IF(AND(ArtifactsInput!$M$27,Inputs!$B$4="Chapter Hunt"),CHOOSE(ArtifactsInput!$N$27+1,20,24,28,32,36,40),0)/100)))+1)),0)</f>
        <v/>
      </c>
      <c r="S1486">
        <f>IFERROR(O1486/N1486,0)</f>
        <v/>
      </c>
      <c r="T1486" t="n">
        <v>0</v>
      </c>
      <c r="V1486" t="n">
        <v>0</v>
      </c>
    </row>
    <row r="1487">
      <c r="A1487">
        <f>Skills!A16</f>
        <v/>
      </c>
      <c r="B1487">
        <f>Skills!B16</f>
        <v/>
      </c>
      <c r="C1487">
        <f>Inputs!$B$3&gt;=105</f>
        <v/>
      </c>
      <c r="D1487">
        <f>IF(Skills!C16=1,60+Inputs!$B$25+Inputs!$B$29,IF(Skills!C16=2,90+Inputs!$B$26+Inputs!$B$29,IF(Skills!C16=3,120+Inputs!$B$27+Inputs!$B$29,MAX(0,(Inputs!$B$3-100)*3)+Inputs!$B$28+Inputs!$B$29)))</f>
        <v/>
      </c>
      <c r="E1487">
        <f>INDEX(FactorTable!$B$2:$Y$301, MATCH(ROUND(MIN(300,MAX(1,D1487)),0), FactorTable!$A$2:$A$301,0), Skills!M16+1)</f>
        <v/>
      </c>
      <c r="F1487">
        <f>IF(Skills!N16=TRUE,(Skills!L16/10)*(E1487/1000),Skills!L16/10)+Skills!O16</f>
        <v/>
      </c>
      <c r="G1487">
        <f>Skills!G16*IF(Skills!H16&gt;0,Skills!I16/Skills!H16,1)</f>
        <v/>
      </c>
      <c r="H1487">
        <f>1-(1-Skills!J16/100)^Skills!K16</f>
        <v/>
      </c>
      <c r="I1487" t="inlineStr">
        <is>
          <t>1</t>
        </is>
      </c>
      <c r="J1487" t="inlineStr"/>
      <c r="K1487" t="inlineStr"/>
      <c r="L1487" t="inlineStr"/>
      <c r="M1487" t="inlineStr"/>
      <c r="N1487" t="inlineStr"/>
      <c r="O1487">
        <f>(1-Summary!$B$11)*T1487+Summary!$B$11*V1487</f>
        <v/>
      </c>
      <c r="P1487">
        <f>IF(B1508=0,0,O1487/B1508)</f>
        <v/>
      </c>
      <c r="Q1487">
        <f>IFERROR(1/(IF(Inputs!$B$38="pvp",15,MAX(0.1,Skills!D16-IF(Skills!E16=TRUE,Inputs!$B$32,0)))*(1-IF(AND(ArtifactsInput!$M$27,Inputs!$B$4="Chapter Hunt"),CHOOSE(ArtifactsInput!$N$27+1,20,24,28,32,36,40),0)/100)),0)</f>
        <v/>
      </c>
      <c r="R1487">
        <f>IF(AND(Inputs!$B$38&lt;&gt;"pvp",Inputs!$B$43&gt;0),IF(Inputs!$B$43&lt;=0,0,(INT(Inputs!$B$43/(IF(Inputs!$B$38="pvp",15,MAX(0.1,Skills!D16-IF(Skills!E16=TRUE,Inputs!$B$32,0)))*(1-IF(AND(ArtifactsInput!$M$27,Inputs!$B$4="Chapter Hunt"),CHOOSE(ArtifactsInput!$N$27+1,20,24,28,32,36,40),0)/100)))+1)),0)</f>
        <v/>
      </c>
      <c r="S1487">
        <f>IFERROR(O1487/N1487,0)</f>
        <v/>
      </c>
      <c r="T1487" t="n">
        <v>0</v>
      </c>
      <c r="V1487" t="n">
        <v>0</v>
      </c>
    </row>
    <row r="1488">
      <c r="A1488">
        <f>Skills!A17</f>
        <v/>
      </c>
      <c r="B1488">
        <f>Skills!B17</f>
        <v/>
      </c>
      <c r="C1488">
        <f>Inputs!$B$3&gt;=115</f>
        <v/>
      </c>
      <c r="D1488">
        <f>IF(Skills!C17=1,60+Inputs!$B$25+Inputs!$B$29,IF(Skills!C17=2,90+Inputs!$B$26+Inputs!$B$29,IF(Skills!C17=3,120+Inputs!$B$27+Inputs!$B$29,MAX(0,(Inputs!$B$3-100)*3)+Inputs!$B$28+Inputs!$B$29)))</f>
        <v/>
      </c>
      <c r="E1488">
        <f>INDEX(FactorTable!$B$2:$Y$301, MATCH(ROUND(MIN(300,MAX(1,D1488)),0), FactorTable!$A$2:$A$301,0), Skills!M17+1)</f>
        <v/>
      </c>
      <c r="F1488">
        <f>IF(Skills!N17=TRUE,(Skills!L17/10)*(E1488/1000),Skills!L17/10)+Skills!O17</f>
        <v/>
      </c>
      <c r="G1488">
        <f>Skills!G17*IF(Skills!H17&gt;0,Skills!I17/Skills!H17,1)</f>
        <v/>
      </c>
      <c r="H1488">
        <f>1-(1-Skills!J17/100)^Skills!K17</f>
        <v/>
      </c>
      <c r="I1488" t="inlineStr">
        <is>
          <t>1</t>
        </is>
      </c>
      <c r="J1488" t="inlineStr"/>
      <c r="K1488" t="inlineStr"/>
      <c r="L1488" t="inlineStr"/>
      <c r="M1488" t="inlineStr"/>
      <c r="N1488" t="inlineStr"/>
      <c r="O1488">
        <f>(1-Summary!$B$11)*T1488+Summary!$B$11*V1488</f>
        <v/>
      </c>
      <c r="P1488">
        <f>IF(B1508=0,0,O1488/B1508)</f>
        <v/>
      </c>
      <c r="Q1488">
        <f>IFERROR(1/(IF(Inputs!$B$38="pvp",15,MAX(0.1,Skills!D17-IF(Skills!E17=TRUE,Inputs!$B$32,0)))*(1-IF(AND(ArtifactsInput!$M$27,Inputs!$B$4="Chapter Hunt"),CHOOSE(ArtifactsInput!$N$27+1,20,24,28,32,36,40),0)/100)),0)</f>
        <v/>
      </c>
      <c r="R1488">
        <f>IF(AND(Inputs!$B$38&lt;&gt;"pvp",Inputs!$B$43&gt;0),IF(Inputs!$B$43&lt;=0,0,(INT(Inputs!$B$43/(IF(Inputs!$B$38="pvp",15,MAX(0.1,Skills!D17-IF(Skills!E17=TRUE,Inputs!$B$32,0)))*(1-IF(AND(ArtifactsInput!$M$27,Inputs!$B$4="Chapter Hunt"),CHOOSE(ArtifactsInput!$N$27+1,20,24,28,32,36,40),0)/100)))+1)),0)</f>
        <v/>
      </c>
      <c r="S1488">
        <f>IFERROR(O1488/N1488,0)</f>
        <v/>
      </c>
      <c r="T1488" t="n">
        <v>0</v>
      </c>
      <c r="V1488" t="n">
        <v>0</v>
      </c>
    </row>
    <row r="1489">
      <c r="A1489">
        <f>Skills!A18</f>
        <v/>
      </c>
      <c r="B1489">
        <f>Skills!B18</f>
        <v/>
      </c>
      <c r="C1489">
        <f>Inputs!$B$3&gt;=74</f>
        <v/>
      </c>
      <c r="D1489">
        <f>IF(Skills!C18=1,60+Inputs!$B$25+Inputs!$B$29,IF(Skills!C18=2,90+Inputs!$B$26+Inputs!$B$29,IF(Skills!C18=3,120+Inputs!$B$27+Inputs!$B$29,MAX(0,(Inputs!$B$3-100)*3)+Inputs!$B$28+Inputs!$B$29)))</f>
        <v/>
      </c>
      <c r="E1489">
        <f>INDEX(FactorTable!$B$2:$Y$301, MATCH(ROUND(MIN(300,MAX(1,D1489)),0), FactorTable!$A$2:$A$301,0), Skills!M18+1)</f>
        <v/>
      </c>
      <c r="F1489">
        <f>IF(Skills!N18=TRUE,(Skills!L18/10)*(E1489/1000),Skills!L18/10)+Skills!O18</f>
        <v/>
      </c>
      <c r="G1489">
        <f>Skills!G18*IF(Skills!H18&gt;0,Skills!I18/Skills!H18,1)</f>
        <v/>
      </c>
      <c r="H1489">
        <f>1-(1-Skills!J18/100)^Skills!K18</f>
        <v/>
      </c>
      <c r="I1489" t="inlineStr">
        <is>
          <t>1</t>
        </is>
      </c>
      <c r="J1489" t="inlineStr"/>
      <c r="K1489" t="inlineStr"/>
      <c r="L1489" t="inlineStr"/>
      <c r="M1489" t="inlineStr"/>
      <c r="N1489" t="inlineStr"/>
      <c r="O1489">
        <f>(1-Summary!$B$11)*T1489+Summary!$B$11*V1489</f>
        <v/>
      </c>
      <c r="P1489">
        <f>IF(B1508=0,0,O1489/B1508)</f>
        <v/>
      </c>
      <c r="Q1489">
        <f>IFERROR(1/(IF(Inputs!$B$38="pvp",15,MAX(0.1,Skills!D18-IF(Skills!E18=TRUE,Inputs!$B$32,0)))*(1-IF(AND(ArtifactsInput!$M$27,Inputs!$B$4="Chapter Hunt"),CHOOSE(ArtifactsInput!$N$27+1,20,24,28,32,36,40),0)/100)),0)</f>
        <v/>
      </c>
      <c r="R1489">
        <f>IF(AND(Inputs!$B$38&lt;&gt;"pvp",Inputs!$B$43&gt;0),IF(Inputs!$B$43&lt;=0,0,(INT(Inputs!$B$43/(IF(Inputs!$B$38="pvp",15,MAX(0.1,Skills!D18-IF(Skills!E18=TRUE,Inputs!$B$32,0)))*(1-IF(AND(ArtifactsInput!$M$27,Inputs!$B$4="Chapter Hunt"),CHOOSE(ArtifactsInput!$N$27+1,20,24,28,32,36,40),0)/100)))+1)),0)</f>
        <v/>
      </c>
      <c r="S1489">
        <f>IFERROR(O1489/N1489,0)</f>
        <v/>
      </c>
      <c r="T1489" t="n">
        <v>0</v>
      </c>
      <c r="V1489" t="n">
        <v>0</v>
      </c>
    </row>
    <row r="1490">
      <c r="A1490">
        <f>Skills!A19</f>
        <v/>
      </c>
      <c r="B1490">
        <f>Skills!B19</f>
        <v/>
      </c>
      <c r="C1490">
        <f>TRUE</f>
        <v/>
      </c>
      <c r="D1490">
        <f>IF(Skills!C19=1,60+Inputs!$B$25+Inputs!$B$29,IF(Skills!C19=2,90+Inputs!$B$26+Inputs!$B$29,IF(Skills!C19=3,120+Inputs!$B$27+Inputs!$B$29,MAX(0,(Inputs!$B$3-100)*3)+Inputs!$B$28+Inputs!$B$29)))</f>
        <v/>
      </c>
      <c r="E1490">
        <f>INDEX(FactorTable!$B$2:$Y$301, MATCH(ROUND(MIN(300,MAX(1,D1490)),0), FactorTable!$A$2:$A$301,0), Skills!M19+1)</f>
        <v/>
      </c>
      <c r="F1490">
        <f>IF(Skills!N19=TRUE,(Skills!L19/10)*(E1490/1000),Skills!L19/10)+Skills!O19</f>
        <v/>
      </c>
      <c r="G1490">
        <f>Skills!G19*IF(Skills!H19&gt;0,Skills!I19/Skills!H19,1)</f>
        <v/>
      </c>
      <c r="H1490">
        <f>1-(1-Skills!J19/100)^Skills!K19</f>
        <v/>
      </c>
      <c r="I1490" t="inlineStr">
        <is>
          <t>1</t>
        </is>
      </c>
      <c r="J1490" t="inlineStr"/>
      <c r="K1490" t="inlineStr"/>
      <c r="L1490" t="inlineStr"/>
      <c r="M1490" t="inlineStr"/>
      <c r="N1490" t="inlineStr"/>
      <c r="O1490">
        <f>(1-Summary!$B$11)*T1490+Summary!$B$11*V1490</f>
        <v/>
      </c>
      <c r="P1490">
        <f>IF(B1508=0,0,O1490/B1508)</f>
        <v/>
      </c>
      <c r="Q1490">
        <f>IFERROR(1/(IF(Inputs!$B$38="pvp",15,MAX(0.1,Skills!D19-IF(Skills!E19=TRUE,Inputs!$B$32,0)))*(1-IF(AND(ArtifactsInput!$M$27,Inputs!$B$4="Chapter Hunt"),CHOOSE(ArtifactsInput!$N$27+1,20,24,28,32,36,40),0)/100)),0)</f>
        <v/>
      </c>
      <c r="R1490">
        <f>IF(AND(Inputs!$B$38&lt;&gt;"pvp",Inputs!$B$43&gt;0),IF(Inputs!$B$43&lt;=0,0,(INT(Inputs!$B$43/(IF(Inputs!$B$38="pvp",15,MAX(0.1,Skills!D19-IF(Skills!E19=TRUE,Inputs!$B$32,0)))*(1-IF(AND(ArtifactsInput!$M$27,Inputs!$B$4="Chapter Hunt"),CHOOSE(ArtifactsInput!$N$27+1,20,24,28,32,36,40),0)/100)))+1)),0)</f>
        <v/>
      </c>
      <c r="S1490">
        <f>IFERROR(O1490/N1490,0)</f>
        <v/>
      </c>
      <c r="T1490" t="n">
        <v>0</v>
      </c>
      <c r="V1490" t="n">
        <v>0</v>
      </c>
    </row>
    <row r="1491">
      <c r="A1491">
        <f>Skills!A20</f>
        <v/>
      </c>
      <c r="B1491">
        <f>Skills!B20</f>
        <v/>
      </c>
      <c r="C1491">
        <f>Inputs!$B$3&gt;=33</f>
        <v/>
      </c>
      <c r="D1491">
        <f>IF(Skills!C20=1,60+Inputs!$B$25+Inputs!$B$29,IF(Skills!C20=2,90+Inputs!$B$26+Inputs!$B$29,IF(Skills!C20=3,120+Inputs!$B$27+Inputs!$B$29,MAX(0,(Inputs!$B$3-100)*3)+Inputs!$B$28+Inputs!$B$29)))</f>
        <v/>
      </c>
      <c r="E1491">
        <f>INDEX(FactorTable!$B$2:$Y$301, MATCH(ROUND(MIN(300,MAX(1,D1491)),0), FactorTable!$A$2:$A$301,0), Skills!M20+1)</f>
        <v/>
      </c>
      <c r="F1491">
        <f>IF(Skills!N20=TRUE,(Skills!L20/10)*(E1491/1000),Skills!L20/10)+Skills!O20</f>
        <v/>
      </c>
      <c r="G1491">
        <f>Skills!G20*IF(Skills!H20&gt;0,Skills!I20/Skills!H20,1)</f>
        <v/>
      </c>
      <c r="H1491">
        <f>1-(1-Skills!J20/100)^Skills!K20</f>
        <v/>
      </c>
      <c r="I1491" t="inlineStr">
        <is>
          <t>1</t>
        </is>
      </c>
      <c r="J1491" t="inlineStr"/>
      <c r="K1491" t="inlineStr"/>
      <c r="L1491" t="inlineStr"/>
      <c r="M1491" t="inlineStr"/>
      <c r="N1491" t="inlineStr"/>
      <c r="O1491">
        <f>(1-Summary!$B$11)*T1491+Summary!$B$11*V1491</f>
        <v/>
      </c>
      <c r="P1491">
        <f>IF(B1508=0,0,O1491/B1508)</f>
        <v/>
      </c>
      <c r="Q1491" t="n">
        <v>0</v>
      </c>
      <c r="R1491" t="n">
        <v>0</v>
      </c>
      <c r="S1491">
        <f>IFERROR(O1491/N1491,0)</f>
        <v/>
      </c>
      <c r="T1491" t="n">
        <v>0</v>
      </c>
      <c r="V1491" t="n">
        <v>0</v>
      </c>
    </row>
    <row r="1492">
      <c r="A1492">
        <f>Skills!A21</f>
        <v/>
      </c>
      <c r="B1492">
        <f>Skills!B21</f>
        <v/>
      </c>
      <c r="C1492">
        <f>Inputs!$B$3&gt;=38</f>
        <v/>
      </c>
      <c r="D1492">
        <f>IF(Skills!C21=1,60+Inputs!$B$25+Inputs!$B$29,IF(Skills!C21=2,90+Inputs!$B$26+Inputs!$B$29,IF(Skills!C21=3,120+Inputs!$B$27+Inputs!$B$29,MAX(0,(Inputs!$B$3-100)*3)+Inputs!$B$28+Inputs!$B$29)))</f>
        <v/>
      </c>
      <c r="E1492">
        <f>INDEX(FactorTable!$B$2:$Y$301, MATCH(ROUND(MIN(300,MAX(1,D1492)),0), FactorTable!$A$2:$A$301,0), Skills!M21+1)</f>
        <v/>
      </c>
      <c r="F1492">
        <f>IF(Skills!N21=TRUE,(Skills!L21/10)*(E1492/1000),Skills!L21/10)+Skills!O21</f>
        <v/>
      </c>
      <c r="G1492">
        <f>Skills!G21*IF(Skills!H21&gt;0,Skills!I21/Skills!H21,1)</f>
        <v/>
      </c>
      <c r="H1492">
        <f>1-(1-Skills!J21/100)^Skills!K21</f>
        <v/>
      </c>
      <c r="I1492" t="inlineStr">
        <is>
          <t>1</t>
        </is>
      </c>
      <c r="J1492" t="inlineStr"/>
      <c r="K1492" t="inlineStr"/>
      <c r="L1492" t="inlineStr"/>
      <c r="M1492" t="inlineStr"/>
      <c r="N1492" t="inlineStr"/>
      <c r="O1492">
        <f>(1-Summary!$B$11)*T1492+Summary!$B$11*V1492</f>
        <v/>
      </c>
      <c r="P1492">
        <f>IF(B1508=0,0,O1492/B1508)</f>
        <v/>
      </c>
      <c r="Q1492" t="n">
        <v>0</v>
      </c>
      <c r="R1492" t="n">
        <v>0</v>
      </c>
      <c r="S1492">
        <f>IFERROR(O1492/N1492,0)</f>
        <v/>
      </c>
      <c r="T1492" t="n">
        <v>0</v>
      </c>
      <c r="V1492" t="n">
        <v>0</v>
      </c>
    </row>
    <row r="1493">
      <c r="A1493">
        <f>Skills!A22</f>
        <v/>
      </c>
      <c r="B1493">
        <f>Skills!B22</f>
        <v/>
      </c>
      <c r="C1493">
        <f>Inputs!$B$3&gt;=43</f>
        <v/>
      </c>
      <c r="D1493">
        <f>IF(Skills!C22=1,60+Inputs!$B$25+Inputs!$B$29,IF(Skills!C22=2,90+Inputs!$B$26+Inputs!$B$29,IF(Skills!C22=3,120+Inputs!$B$27+Inputs!$B$29,MAX(0,(Inputs!$B$3-100)*3)+Inputs!$B$28+Inputs!$B$29)))</f>
        <v/>
      </c>
      <c r="E1493">
        <f>INDEX(FactorTable!$B$2:$Y$301, MATCH(ROUND(MIN(300,MAX(1,D1493)),0), FactorTable!$A$2:$A$301,0), Skills!M22+1)</f>
        <v/>
      </c>
      <c r="F1493">
        <f>IF(Skills!N22=TRUE,(Skills!L22/10)*(E1493/1000),Skills!L22/10)+Skills!O22</f>
        <v/>
      </c>
      <c r="G1493">
        <f>Skills!G22*IF(Skills!H22&gt;0,Skills!I22/Skills!H22,1)</f>
        <v/>
      </c>
      <c r="H1493">
        <f>1-(1-Skills!J22/100)^Skills!K22</f>
        <v/>
      </c>
      <c r="I1493" t="inlineStr">
        <is>
          <t>1</t>
        </is>
      </c>
      <c r="J1493" t="inlineStr"/>
      <c r="K1493" t="inlineStr"/>
      <c r="L1493" t="inlineStr"/>
      <c r="M1493" t="inlineStr"/>
      <c r="N1493" t="inlineStr"/>
      <c r="O1493">
        <f>(1-Summary!$B$11)*T1493+Summary!$B$11*V1493</f>
        <v/>
      </c>
      <c r="P1493">
        <f>IF(B1508=0,0,O1493/B1508)</f>
        <v/>
      </c>
      <c r="Q1493" t="n">
        <v>0</v>
      </c>
      <c r="R1493" t="n">
        <v>0</v>
      </c>
      <c r="S1493">
        <f>IFERROR(O1493/N1493,0)</f>
        <v/>
      </c>
      <c r="T1493" t="n">
        <v>0</v>
      </c>
      <c r="V1493" t="n">
        <v>0</v>
      </c>
    </row>
    <row r="1494">
      <c r="A1494">
        <f>Skills!A23</f>
        <v/>
      </c>
      <c r="B1494">
        <f>Skills!B23</f>
        <v/>
      </c>
      <c r="C1494">
        <f>Inputs!$B$3&gt;=120</f>
        <v/>
      </c>
      <c r="D1494">
        <f>IF(Skills!C23=1,60+Inputs!$B$25+Inputs!$B$29,IF(Skills!C23=2,90+Inputs!$B$26+Inputs!$B$29,IF(Skills!C23=3,120+Inputs!$B$27+Inputs!$B$29,MAX(0,(Inputs!$B$3-100)*3)+Inputs!$B$28+Inputs!$B$29)))</f>
        <v/>
      </c>
      <c r="E1494">
        <f>INDEX(FactorTable!$B$2:$Y$301, MATCH(ROUND(MIN(300,MAX(1,D1494)),0), FactorTable!$A$2:$A$301,0), Skills!M23+1)</f>
        <v/>
      </c>
      <c r="F1494">
        <f>IF(Skills!N23=TRUE,(Skills!L23/10)*(E1494/1000),Skills!L23/10)+Skills!O23</f>
        <v/>
      </c>
      <c r="G1494">
        <f>Skills!G23*IF(Skills!H23&gt;0,Skills!I23/Skills!H23,1)</f>
        <v/>
      </c>
      <c r="H1494">
        <f>1-(1-Skills!J23/100)^Skills!K23</f>
        <v/>
      </c>
      <c r="I1494" t="inlineStr">
        <is>
          <t>1</t>
        </is>
      </c>
      <c r="J1494" t="inlineStr"/>
      <c r="K1494" t="inlineStr"/>
      <c r="L1494" t="inlineStr"/>
      <c r="M1494" t="inlineStr"/>
      <c r="N1494" t="inlineStr"/>
      <c r="O1494">
        <f>(1-Summary!$B$11)*T1494+Summary!$B$11*V1494</f>
        <v/>
      </c>
      <c r="P1494">
        <f>IF(B1508=0,0,O1494/B1508)</f>
        <v/>
      </c>
      <c r="Q1494" t="n">
        <v>0</v>
      </c>
      <c r="R1494" t="n">
        <v>0</v>
      </c>
      <c r="S1494">
        <f>IFERROR(O1494/N1494,0)</f>
        <v/>
      </c>
      <c r="T1494" t="n">
        <v>0</v>
      </c>
      <c r="V1494" t="n">
        <v>0</v>
      </c>
    </row>
    <row r="1495">
      <c r="A1495">
        <f>Skills!A24</f>
        <v/>
      </c>
      <c r="B1495">
        <f>Skills!B24</f>
        <v/>
      </c>
      <c r="C1495">
        <f>Inputs!$B$3&gt;=120</f>
        <v/>
      </c>
      <c r="D1495">
        <f>IF(Skills!C24=1,60+Inputs!$B$25+Inputs!$B$29,IF(Skills!C24=2,90+Inputs!$B$26+Inputs!$B$29,IF(Skills!C24=3,120+Inputs!$B$27+Inputs!$B$29,MAX(0,(Inputs!$B$3-100)*3)+Inputs!$B$28+Inputs!$B$29)))</f>
        <v/>
      </c>
      <c r="E1495">
        <f>INDEX(FactorTable!$B$2:$Y$301, MATCH(ROUND(MIN(300,MAX(1,D1495)),0), FactorTable!$A$2:$A$301,0), Skills!M24+1)</f>
        <v/>
      </c>
      <c r="F1495">
        <f>IF(Skills!N24=TRUE,(Skills!L24/10)*(E1495/1000),Skills!L24/10)+Skills!O24</f>
        <v/>
      </c>
      <c r="G1495">
        <f>Skills!G24*IF(Skills!H24&gt;0,Skills!I24/Skills!H24,1)</f>
        <v/>
      </c>
      <c r="H1495">
        <f>1-(1-Skills!J24/100)^Skills!K24</f>
        <v/>
      </c>
      <c r="I1495" t="inlineStr">
        <is>
          <t>1</t>
        </is>
      </c>
      <c r="J1495" t="inlineStr"/>
      <c r="K1495" t="inlineStr"/>
      <c r="L1495" t="inlineStr"/>
      <c r="M1495" t="inlineStr"/>
      <c r="N1495" t="inlineStr"/>
      <c r="O1495">
        <f>(1-Summary!$B$11)*T1495+Summary!$B$11*V1495</f>
        <v/>
      </c>
      <c r="P1495">
        <f>IF(B1508=0,0,O1495/B1508)</f>
        <v/>
      </c>
      <c r="Q1495" t="n">
        <v>0</v>
      </c>
      <c r="R1495" t="n">
        <v>0</v>
      </c>
      <c r="S1495">
        <f>IFERROR(O1495/N1495,0)</f>
        <v/>
      </c>
      <c r="T1495" t="n">
        <v>0</v>
      </c>
      <c r="V1495" t="n">
        <v>0</v>
      </c>
    </row>
    <row r="1497">
      <c r="A1497" t="inlineStr">
        <is>
          <t>Attack% Bucket Multiplier</t>
        </is>
      </c>
      <c r="B1497">
        <f>(1+(((C1484=TRUE)*F1484*MIN(1,Skills!T13*(Skills!J13/100)*B1502))+((C1489=TRUE)*F1489*IF(AND(Inputs!$B$38&lt;&gt;"pvp",Inputs!$B$43&gt;0),(((R1489-1)*(Skills!T18*(1+Inputs!$B$34/100))+MIN((Skills!T18*(1+Inputs!$B$34/100)),MAX(0,Inputs!$B$43-((R1489-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98">
      <c r="A1498" t="inlineStr">
        <is>
          <t>Global Crit Rate Bonus %</t>
        </is>
      </c>
      <c r="B1498" t="n">
        <v>0</v>
      </c>
    </row>
    <row r="1499">
      <c r="A1499" t="inlineStr">
        <is>
          <t>Attack Speed Buff Bonus %</t>
        </is>
      </c>
      <c r="B1499">
        <f>((C1490=TRUE)*F1490*IF(AND(Inputs!$B$38&lt;&gt;"pvp",Inputs!$B$43&gt;0),(((R1490-1)*(Skills!T19*(1+Inputs!$B$34/100))+MIN((Skills!T19*(1+Inputs!$B$34/100)),MAX(0,Inputs!$B$43-((R1490-1)*Skills!D19))))/Inputs!$B$43),IF(Inputs!$B$38="pvp",MIN((Skills!T19*(1+Inputs!$B$34/100)),15)/15,(Skills!T19*(1+Inputs!$B$34/100))/Skills!D19)))</f>
        <v/>
      </c>
    </row>
    <row r="1500">
      <c r="A1500" t="inlineStr">
        <is>
          <t>Actions Per Second</t>
        </is>
      </c>
      <c r="B1500">
        <f>1+MIN(150,150*(1-(1-(Inputs!$B$11+((C1491=TRUE)*(F1491-Calc!F20)))/150)*(1-B1499/150)))/100</f>
        <v/>
      </c>
    </row>
    <row r="1501">
      <c r="A1501" t="inlineStr">
        <is>
          <t>Skill + Buff Cast Rate</t>
        </is>
      </c>
      <c r="B1501">
        <f>IF(AND(Inputs!$B$38&lt;&gt;"pvp",Inputs!$B$43&gt;0),SUMPRODUCT((Skills!E2:E24=TRUE)*(C1473:C1495=TRUE)*R1473:R1495*Skills!F2:F24)/Inputs!$B$43,SUMPRODUCT((Skills!E2:E24=TRUE)*(C1473:C1495=TRUE)*Q1473:Q1495*Skills!F2:F24))</f>
        <v/>
      </c>
    </row>
    <row r="1502">
      <c r="A1502" t="inlineStr">
        <is>
          <t>Blast Casts Per Second</t>
        </is>
      </c>
      <c r="B1502">
        <f>MAX(0,B1500-B1501)</f>
        <v/>
      </c>
    </row>
    <row r="1503">
      <c r="A1503" t="inlineStr">
        <is>
          <t>Global Critical Damage Bonus % (unused)</t>
        </is>
      </c>
      <c r="B1503" t="n">
        <v>0</v>
      </c>
    </row>
    <row r="1504">
      <c r="A1504" t="inlineStr">
        <is>
          <t>Global Final Damage Bonus % (Divine Shield + Guardian + Divine Blessing + Greater Vessel of Light)</t>
        </is>
      </c>
      <c r="B1504">
        <f>((C1486=TRUE)*F1486*IF(AND(Inputs!$B$38&lt;&gt;"pvp",Inputs!$B$43&gt;0),(((R1486-1)*(Skills!T15*(1+Inputs!$B$34/100))+MIN((Skills!T15*(1+Inputs!$B$34/100)),MAX(0,Inputs!$B$43-((R1486-1)*Skills!D15))))/Inputs!$B$43),IF(Inputs!$B$38="pvp",MIN((Skills!T15*(1+Inputs!$B$34/100)),15)/15,(Skills!T15*(1+Inputs!$B$34/100))/Skills!D15)))+((C1487=TRUE)*F1487*IF(AND(Inputs!$B$38&lt;&gt;"pvp",Inputs!$B$43&gt;0),(((R1487-1)*(Skills!T16*(1+Inputs!$B$34/100))+MIN((Skills!T16*(1+Inputs!$B$34/100)),MAX(0,Inputs!$B$43-((R1487-1)*Skills!D16))))/Inputs!$B$43),IF(Inputs!$B$38="pvp",MIN((Skills!T16*(1+Inputs!$B$34/100)),15)/15,(Skills!T16*(1+Inputs!$B$34/100))/Skills!D16)))+((C1488=TRUE)*F1488*IF(AND(Inputs!$B$38&lt;&gt;"pvp",Inputs!$B$43&gt;0),(((R1488-1)*(Skills!T17*(1+Inputs!$B$34/100))+MIN((Skills!T17*(1+Inputs!$B$34/100)),MAX(0,Inputs!$B$43-((R1488-1)*Skills!D17))))/Inputs!$B$43),IF(Inputs!$B$38="pvp",MIN((Skills!T17*(1+Inputs!$B$34/100)),15)/15,(Skills!T17*(1+Inputs!$B$34/100))/Skills!D17)))+((C1485=TRUE)*F1485*MIN(1,Skills!T13*(Skills!J13/100)*B1502))</f>
        <v/>
      </c>
    </row>
    <row r="1505">
      <c r="A1505" t="inlineStr">
        <is>
          <t>Buff-Casting Startup Delay (s, fixed-duration only)</t>
        </is>
      </c>
      <c r="B1505">
        <f>IF(AND(Inputs!$B$38&lt;&gt;"pvp",Inputs!$B$43&gt;0),SUMPRODUCT((Skills!T2:T24&gt;0)*(Skills!E2:E24=TRUE)*(C1473:C1495=TRUE))/B1500,0)</f>
        <v/>
      </c>
    </row>
    <row r="1506">
      <c r="A1506" t="inlineStr">
        <is>
          <t>Boss-Only Total DPS (this block's swept value)</t>
        </is>
      </c>
      <c r="B1506">
        <f>SUM(T1473:T1495)</f>
        <v/>
      </c>
    </row>
    <row r="1507">
      <c r="A1507" t="inlineStr">
        <is>
          <t>Normal-Only Total DPS (this block's swept value)</t>
        </is>
      </c>
      <c r="B1507">
        <f>SUM(V1473:V1495)</f>
        <v/>
      </c>
    </row>
    <row r="1508">
      <c r="A1508" s="6" t="inlineStr">
        <is>
          <t>TOTAL DPS</t>
        </is>
      </c>
      <c r="B1508" s="6">
        <f>SUM(O1473:O1495)</f>
        <v/>
      </c>
    </row>
    <row r="1511">
      <c r="A1511" s="6" t="inlineStr">
        <is>
          <t>Stat: Zakum's Stone Piece (Equip)</t>
        </is>
      </c>
    </row>
    <row r="1512">
      <c r="A1512" s="5" t="inlineStr">
        <is>
          <t>Key</t>
        </is>
      </c>
      <c r="B1512" s="5" t="inlineStr">
        <is>
          <t>Name</t>
        </is>
      </c>
      <c r="C1512" s="5" t="inlineStr">
        <is>
          <t>Unlocked</t>
        </is>
      </c>
      <c r="D1512" s="5" t="inlineStr">
        <is>
          <t>InputLevel</t>
        </is>
      </c>
      <c r="E1512" s="5" t="inlineStr">
        <is>
          <t>Factor</t>
        </is>
      </c>
      <c r="F1512" s="5" t="inlineStr">
        <is>
          <t>CoefficientPercent</t>
        </is>
      </c>
      <c r="G1512" s="5" t="inlineStr">
        <is>
          <t>EffectiveHits</t>
        </is>
      </c>
      <c r="H1512" s="5" t="inlineStr">
        <is>
          <t>ProcProbability</t>
        </is>
      </c>
      <c r="I1512" s="5" t="inlineStr">
        <is>
          <t>MapleHeroMultiplier</t>
        </is>
      </c>
      <c r="J1512" s="5" t="inlineStr">
        <is>
          <t>BaseDamage</t>
        </is>
      </c>
      <c r="K1512" s="5" t="inlineStr">
        <is>
          <t>BaseHitDamage</t>
        </is>
      </c>
      <c r="L1512" s="5" t="inlineStr">
        <is>
          <t>NonCritAvg</t>
        </is>
      </c>
      <c r="M1512" s="5" t="inlineStr">
        <is>
          <t>CritAvg</t>
        </is>
      </c>
      <c r="N1512" s="5" t="inlineStr">
        <is>
          <t>ExpectedDamage(perHit)</t>
        </is>
      </c>
      <c r="O1512" s="5" t="inlineStr">
        <is>
          <t>DPS</t>
        </is>
      </c>
      <c r="P1512" s="5" t="inlineStr">
        <is>
          <t>% of Total</t>
        </is>
      </c>
      <c r="Q1512" s="5" t="inlineStr">
        <is>
          <t>InvCooldown</t>
        </is>
      </c>
      <c r="R1512" s="5" t="inlineStr">
        <is>
          <t>CastsInFight</t>
        </is>
      </c>
      <c r="S1512" s="5" t="inlineStr">
        <is>
          <t>HitRate(perSec)</t>
        </is>
      </c>
      <c r="U1512" t="inlineStr">
        <is>
          <t>helpers</t>
        </is>
      </c>
    </row>
    <row r="1513">
      <c r="A1513">
        <f>Skills!A2</f>
        <v/>
      </c>
      <c r="B1513">
        <f>Skills!B2</f>
        <v/>
      </c>
      <c r="C1513">
        <f>Inputs!$B$3&gt;=100</f>
        <v/>
      </c>
      <c r="D1513" t="inlineStr"/>
      <c r="E1513" t="inlineStr"/>
      <c r="F1513">
        <f>U1515+Skills!O2</f>
        <v/>
      </c>
      <c r="G1513">
        <f>Skills!G2*IF(Skills!H2&gt;0,Skills!I2/Skills!H2,1)</f>
        <v/>
      </c>
      <c r="H1513">
        <f>1-(1-Skills!J2/100)^Skills!K2</f>
        <v/>
      </c>
      <c r="I1513" t="inlineStr">
        <is>
          <t>1</t>
        </is>
      </c>
      <c r="J1513">
        <f>((Inputs!$B$6*(1+Inputs!$B$7/100))+(((Inputs!$B$12*(1+Inputs!$B$13/100))-(Inputs!$B$12*(1+Inputs!$B$13/100)))+0.25*(Inputs!$B$14-Inputs!$B$14))*(1+Inputs!$B$7/100))*(F1513/100)</f>
        <v/>
      </c>
      <c r="K1513">
        <f>J1513*(1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1513)</f>
        <v/>
      </c>
      <c r="L1513">
        <f>K1513*(MIN(Inputs!$B$22+((C1533=TRUE)*(F1533-Calc!F22)),(Inputs!$B$23+((C1535=TRUE)*(F1535-Calc!F24))+(IF(ArtifactsInput!$M$15,CHOOSE(ArtifactsInput!$N$15+1,25,30,35,40,45,50)/100*(Inputs!$B$11-Inputs!$B$11),0))))/100+(Inputs!$B$23+((C1535=TRUE)*(F1535-Calc!F24))+(IF(ArtifactsInput!$M$15,CHOOSE(ArtifactsInput!$N$15+1,25,30,35,40,45,50)/100*(Inputs!$B$11-Inputs!$B$11),0)))/100)/2</f>
        <v/>
      </c>
      <c r="M1513">
        <f>L1513*(1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3">
        <f>L1513*(1-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1513*(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3">
        <f>(1-Summary!$B$11)*T1513+Summary!$B$11*V1513</f>
        <v/>
      </c>
      <c r="P1513">
        <f>IF(B1548=0,0,O1513/B1548)</f>
        <v/>
      </c>
      <c r="Q1513" t="n">
        <v>0</v>
      </c>
      <c r="R1513" t="n">
        <v>0</v>
      </c>
      <c r="S1513">
        <f>IFERROR(O1513/N1513,0)</f>
        <v/>
      </c>
      <c r="T1513">
        <f>IF(C1513,(Skills!G2*N1513*B1542)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1513*(1-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1513*(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1513*(1-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1513*(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3">
        <f>MAX(0,(Inputs!$B$3-100)*3)+Inputs!$B$28+Inputs!$B$29</f>
        <v/>
      </c>
      <c r="V1513">
        <f>IF(C1513,(Skills!G2*N1513*B1542)*IF(Inputs!$B$38="pvp",1,(1+(Inputs!$B$21+Skills!Q2+(IF(ArtifactsInput!$M$33,CHOOSE(ArtifactsInput!$N$33+1,30,36,42,48,54,60),0))+(IF(AND(ArtifactsInput!$M$35,Inputs!$B$4&lt;&gt;"Chapter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4">
      <c r="A1514">
        <f>Skills!A3</f>
        <v/>
      </c>
      <c r="B1514">
        <f>Skills!B3</f>
        <v/>
      </c>
      <c r="C1514">
        <f>Inputs!$B$3&gt;=50</f>
        <v/>
      </c>
      <c r="D1514">
        <f>IF(Skills!C3=1,60+Inputs!$B$25+Inputs!$B$29,IF(Skills!C3=2,90+Inputs!$B$26+Inputs!$B$29,IF(Skills!C3=3,120+Inputs!$B$27+Inputs!$B$29,MAX(0,(Inputs!$B$3-100)*3)+Inputs!$B$28+Inputs!$B$29)))</f>
        <v/>
      </c>
      <c r="E1514">
        <f>INDEX(FactorTable!$B$2:$Y$301, MATCH(ROUND(MIN(300,MAX(1,D1514)),0), FactorTable!$A$2:$A$301,0), Skills!M3+1)</f>
        <v/>
      </c>
      <c r="F1514">
        <f>IF(Skills!N3=TRUE,(Skills!L3/10)*(E1514/1000),Skills!L3/10)+Skills!O3</f>
        <v/>
      </c>
      <c r="G1514" t="inlineStr"/>
      <c r="H1514" t="inlineStr"/>
      <c r="I1514" t="inlineStr">
        <is>
          <t>1</t>
        </is>
      </c>
      <c r="J1514" t="inlineStr"/>
      <c r="K1514" t="inlineStr"/>
      <c r="L1514" t="inlineStr"/>
      <c r="M1514" t="inlineStr"/>
      <c r="N1514" t="inlineStr"/>
      <c r="O1514" t="inlineStr"/>
      <c r="P1514" t="inlineStr"/>
      <c r="Q1514" t="inlineStr"/>
      <c r="R1514" t="inlineStr"/>
      <c r="S1514" t="inlineStr"/>
      <c r="U1514">
        <f>INDEX(FactorTable!$B$2:$Y$301, MATCH(ROUND(MIN(300,MAX(1,U1513)),0), FactorTable!$A$2:$A$301,0), 22)</f>
        <v/>
      </c>
    </row>
    <row r="1515">
      <c r="A1515">
        <f>Skills!A4</f>
        <v/>
      </c>
      <c r="B1515">
        <f>Skills!B4</f>
        <v/>
      </c>
      <c r="C1515">
        <f>Inputs!$B$3&gt;=35</f>
        <v/>
      </c>
      <c r="D1515">
        <f>IF(Skills!C4=1,60+Inputs!$B$25+Inputs!$B$29,IF(Skills!C4=2,90+Inputs!$B$26+Inputs!$B$29,IF(Skills!C4=3,120+Inputs!$B$27+Inputs!$B$29,MAX(0,(Inputs!$B$3-100)*3)+Inputs!$B$28+Inputs!$B$29)))</f>
        <v/>
      </c>
      <c r="E1515">
        <f>INDEX(FactorTable!$B$2:$Y$301, MATCH(ROUND(MIN(300,MAX(1,D1515)),0), FactorTable!$A$2:$A$301,0), Skills!M4+1)</f>
        <v/>
      </c>
      <c r="F1515">
        <f>IF(Skills!N4=TRUE,(Skills!L4/10)*(E1515/1000),Skills!L4/10)+Skills!O4</f>
        <v/>
      </c>
      <c r="G1515">
        <f>Skills!G4*IF(Skills!H4&gt;0,Skills!I4/Skills!H4,1)</f>
        <v/>
      </c>
      <c r="H1515">
        <f>1-(1-Skills!J4/100)^Skills!K4</f>
        <v/>
      </c>
      <c r="I1515" t="inlineStr">
        <is>
          <t>1</t>
        </is>
      </c>
      <c r="J1515">
        <f>((Inputs!$B$6*(1+Inputs!$B$7/100))+(((Inputs!$B$12*(1+Inputs!$B$13/100))-(Inputs!$B$12*(1+Inputs!$B$13/100)))+0.25*(Inputs!$B$14-Inputs!$B$14))*(1+Inputs!$B$7/100))*(F1515/100)</f>
        <v/>
      </c>
      <c r="K1515">
        <f>J1515*(1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1523=TRUE,F1523,0)/100)*(1+(IF(Skills!A4="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1515)</f>
        <v/>
      </c>
      <c r="L1515">
        <f>K1515*(MIN(Inputs!$B$22+((C1533=TRUE)*(F1533-Calc!F22)),(Inputs!$B$23+((C1535=TRUE)*(F1535-Calc!F24))+(IF(ArtifactsInput!$M$15,CHOOSE(ArtifactsInput!$N$15+1,25,30,35,40,45,50)/100*(Inputs!$B$11-Inputs!$B$11),0))))/100+(Inputs!$B$23+((C1535=TRUE)*(F1535-Calc!F24))+(IF(ArtifactsInput!$M$15,CHOOSE(ArtifactsInput!$N$15+1,25,30,35,40,45,50)/100*(Inputs!$B$11-Inputs!$B$11),0)))/100)/2</f>
        <v/>
      </c>
      <c r="M1515">
        <f>L1515*(1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5">
        <f>L1515*(1-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1515*(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5">
        <f>(1-Summary!$B$11)*T1515+Summary!$B$11*V1515</f>
        <v/>
      </c>
      <c r="P1515">
        <f>IF(B1548=0,0,O1515/B1548)</f>
        <v/>
      </c>
      <c r="Q1515">
        <f>IFERROR(1/(IF(Inputs!$B$38="pvp",15,MAX(0.1,Skills!D4-IF(Skills!E4=TRUE,Inputs!$B$32,0)))*(1-IF(AND(ArtifactsInput!$M$27,Inputs!$B$4="Chapter Hunt"),CHOOSE(ArtifactsInput!$N$27+1,20,24,28,32,36,40),0)/100)),0)</f>
        <v/>
      </c>
      <c r="R1515">
        <f>IF(AND(Inputs!$B$38&lt;&gt;"pvp",Inputs!$B$43&gt;0),IF(MAX(0,Inputs!$B$43-B1545)&lt;=0,0,(INT(MAX(0,Inputs!$B$43-B1545)/(IF(Inputs!$B$38="pvp",15,MAX(0.1,Skills!D4-IF(Skills!E4=TRUE,Inputs!$B$32,0)))*(1-IF(AND(ArtifactsInput!$M$27,Inputs!$B$4="Chapter Hunt"),CHOOSE(ArtifactsInput!$N$27+1,20,24,28,32,36,40),0)/100)))+1)),0)</f>
        <v/>
      </c>
      <c r="S1515">
        <f>IFERROR(O1515/N1515,0)</f>
        <v/>
      </c>
      <c r="T1515">
        <f>IF(C1515,(H1515*N1515*IF(AND(Inputs!$B$38&lt;&gt;"pvp",Inputs!$B$43&gt;0),((Skills!G4*((R1515-1)*IF(Skills!H4&gt;0,Skills!I4/Skills!H4,1)+IF(Skills!H4&gt;0,MIN(Skills!I4,MAX(0,MAX(0,Inputs!$B$43-B1545)-((R1515-1)*(IF(Inputs!$B$38="pvp",15,MAX(0.1,Skills!D4-IF(Skills!E4=TRUE,Inputs!$B$32,0)))*(1-IF(AND(ArtifactsInput!$M$27,Inputs!$B$4="Chapter Hunt"),CHOOSE(ArtifactsInput!$N$27+1,20,24,28,32,36,40),0)/100)))))/Skills!H4,1)))/Inputs!$B$43),G1515*Q1515)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1515*(1-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1515*(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1515*(1-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1515*(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5">
        <f>290*U1514/1000</f>
        <v/>
      </c>
      <c r="V1515">
        <f>IF(C1515,(H1515*N1515*IF(AND(Inputs!$B$38&lt;&gt;"pvp",Inputs!$B$43&gt;0),((Skills!G4*((R1515-1)*IF(Skills!H4&gt;0,Skills!I4/Skills!H4,1)+IF(Skills!H4&gt;0,MIN(Skills!I4,MAX(0,MAX(0,Inputs!$B$43-B1545)-((R1515-1)*(IF(Inputs!$B$38="pvp",15,MAX(0.1,Skills!D4-IF(Skills!E4=TRUE,Inputs!$B$32,0)))*(1-IF(AND(ArtifactsInput!$M$27,Inputs!$B$4="Chapter Hunt"),CHOOSE(ArtifactsInput!$N$27+1,20,24,28,32,36,40),0)/100)))))/Skills!H4,1)))/Inputs!$B$43),G1515*Q1515))*IF(Inputs!$B$38="pvp",1,(1+(Inputs!$B$21+Skills!Q4+(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6">
      <c r="A1516">
        <f>Skills!A5</f>
        <v/>
      </c>
      <c r="B1516">
        <f>Skills!B5</f>
        <v/>
      </c>
      <c r="C1516">
        <f>Inputs!$B$3&gt;=66</f>
        <v/>
      </c>
      <c r="D1516">
        <f>IF(Skills!C5=1,60+Inputs!$B$25+Inputs!$B$29,IF(Skills!C5=2,90+Inputs!$B$26+Inputs!$B$29,IF(Skills!C5=3,120+Inputs!$B$27+Inputs!$B$29,MAX(0,(Inputs!$B$3-100)*3)+Inputs!$B$28+Inputs!$B$29)))</f>
        <v/>
      </c>
      <c r="E1516">
        <f>INDEX(FactorTable!$B$2:$Y$301, MATCH(ROUND(MIN(300,MAX(1,D1516)),0), FactorTable!$A$2:$A$301,0), Skills!M5+1)</f>
        <v/>
      </c>
      <c r="F1516">
        <f>IF(Skills!N5=TRUE,(Skills!L5/10)*(E1516/1000),Skills!L5/10)+Skills!O5</f>
        <v/>
      </c>
      <c r="G1516">
        <f>Skills!G5*IF(Skills!H5&gt;0,Skills!I5/Skills!H5,1)</f>
        <v/>
      </c>
      <c r="H1516">
        <f>1-(1-Skills!J5/100)^Skills!K5</f>
        <v/>
      </c>
      <c r="I1516" t="inlineStr">
        <is>
          <t>1</t>
        </is>
      </c>
      <c r="J1516">
        <f>((Inputs!$B$6*(1+Inputs!$B$7/100))+(((Inputs!$B$12*(1+Inputs!$B$13/100))-(Inputs!$B$12*(1+Inputs!$B$13/100)))+0.25*(Inputs!$B$14-Inputs!$B$14))*(1+Inputs!$B$7/100))*(F1516/100)</f>
        <v/>
      </c>
      <c r="K1516">
        <f>J1516*(1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1523=TRUE,F1523,0)/100)*(1+(IF(Skills!A5="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1516)</f>
        <v/>
      </c>
      <c r="L1516">
        <f>K1516*(MIN(Inputs!$B$22+((C1533=TRUE)*(F1533-Calc!F22)),(Inputs!$B$23+((C1535=TRUE)*(F1535-Calc!F24))+(IF(ArtifactsInput!$M$15,CHOOSE(ArtifactsInput!$N$15+1,25,30,35,40,45,50)/100*(Inputs!$B$11-Inputs!$B$11),0))))/100+(Inputs!$B$23+((C1535=TRUE)*(F1535-Calc!F24))+(IF(ArtifactsInput!$M$15,CHOOSE(ArtifactsInput!$N$15+1,25,30,35,40,45,50)/100*(Inputs!$B$11-Inputs!$B$11),0)))/100)/2</f>
        <v/>
      </c>
      <c r="M1516">
        <f>L1516*(1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6">
        <f>L1516*(1-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1516*(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6">
        <f>(1-Summary!$B$11)*T1516+Summary!$B$11*V1516</f>
        <v/>
      </c>
      <c r="P1516">
        <f>IF(B1548=0,0,O1516/B1548)</f>
        <v/>
      </c>
      <c r="Q1516">
        <f>IFERROR(1/(IF(Inputs!$B$38="pvp",15,MAX(0.1,Skills!D5-IF(Skills!E5=TRUE,Inputs!$B$32,0)))*(1-IF(AND(ArtifactsInput!$M$27,Inputs!$B$4="Chapter Hunt"),CHOOSE(ArtifactsInput!$N$27+1,20,24,28,32,36,40),0)/100)),0)</f>
        <v/>
      </c>
      <c r="R1516">
        <f>IF(AND(Inputs!$B$38&lt;&gt;"pvp",Inputs!$B$43&gt;0),IF(MAX(0,Inputs!$B$43-B1545)&lt;=0,0,(INT(MAX(0,Inputs!$B$43-B1545)/(IF(Inputs!$B$38="pvp",15,MAX(0.1,Skills!D5-IF(Skills!E5=TRUE,Inputs!$B$32,0)))*(1-IF(AND(ArtifactsInput!$M$27,Inputs!$B$4="Chapter Hunt"),CHOOSE(ArtifactsInput!$N$27+1,20,24,28,32,36,40),0)/100)))+1)),0)</f>
        <v/>
      </c>
      <c r="S1516">
        <f>IFERROR(O1516/N1516,0)</f>
        <v/>
      </c>
      <c r="T1516">
        <f>IF(C1516,(H1516*N1516*IF(AND(Inputs!$B$38&lt;&gt;"pvp",Inputs!$B$43&gt;0),((Skills!G5*((R1516-1)*IF(Skills!H5&gt;0,Skills!I5/Skills!H5,1)+IF(Skills!H5&gt;0,MIN(Skills!I5,MAX(0,MAX(0,Inputs!$B$43-B1545)-((R1516-1)*(IF(Inputs!$B$38="pvp",15,MAX(0.1,Skills!D5-IF(Skills!E5=TRUE,Inputs!$B$32,0)))*(1-IF(AND(ArtifactsInput!$M$27,Inputs!$B$4="Chapter Hunt"),CHOOSE(ArtifactsInput!$N$27+1,20,24,28,32,36,40),0)/100)))))/Skills!H5,1)))/Inputs!$B$43),G1516*Q1516)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1516*(1-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1516*(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1516*(1-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1516*(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6">
        <f>IF(C1516,(H1516*N1516*IF(AND(Inputs!$B$38&lt;&gt;"pvp",Inputs!$B$43&gt;0),((Skills!G5*((R1516-1)*IF(Skills!H5&gt;0,Skills!I5/Skills!H5,1)+IF(Skills!H5&gt;0,MIN(Skills!I5,MAX(0,MAX(0,Inputs!$B$43-B1545)-((R1516-1)*(IF(Inputs!$B$38="pvp",15,MAX(0.1,Skills!D5-IF(Skills!E5=TRUE,Inputs!$B$32,0)))*(1-IF(AND(ArtifactsInput!$M$27,Inputs!$B$4="Chapter Hunt"),CHOOSE(ArtifactsInput!$N$27+1,20,24,28,32,36,40),0)/100)))))/Skills!H5,1)))/Inputs!$B$43),G1516*Q1516))*IF(Inputs!$B$38="pvp",1,(1+(Inputs!$B$21+Skills!Q5+(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7">
      <c r="A1517">
        <f>Skills!A6</f>
        <v/>
      </c>
      <c r="B1517">
        <f>Skills!B6</f>
        <v/>
      </c>
      <c r="C1517">
        <f>Inputs!$B$3&gt;=103</f>
        <v/>
      </c>
      <c r="D1517">
        <f>IF(Skills!C6=1,60+Inputs!$B$25+Inputs!$B$29,IF(Skills!C6=2,90+Inputs!$B$26+Inputs!$B$29,IF(Skills!C6=3,120+Inputs!$B$27+Inputs!$B$29,MAX(0,(Inputs!$B$3-100)*3)+Inputs!$B$28+Inputs!$B$29)))</f>
        <v/>
      </c>
      <c r="E1517">
        <f>INDEX(FactorTable!$B$2:$Y$301, MATCH(ROUND(MIN(300,MAX(1,D1517)),0), FactorTable!$A$2:$A$301,0), Skills!M6+1)</f>
        <v/>
      </c>
      <c r="F1517">
        <f>IF(Skills!N6=TRUE,(Skills!L6/10)*(E1517/1000),Skills!L6/10)+Skills!O6</f>
        <v/>
      </c>
      <c r="G1517">
        <f>Skills!G6*IF(Skills!H6&gt;0,Skills!I6/Skills!H6,1)</f>
        <v/>
      </c>
      <c r="H1517">
        <f>1-(1-Skills!J6/100)^Skills!K6</f>
        <v/>
      </c>
      <c r="I1517" t="inlineStr">
        <is>
          <t>1</t>
        </is>
      </c>
      <c r="J1517">
        <f>((Inputs!$B$6*(1+Inputs!$B$7/100))+(((Inputs!$B$12*(1+Inputs!$B$13/100))-(Inputs!$B$12*(1+Inputs!$B$13/100)))+0.25*(Inputs!$B$14-Inputs!$B$14))*(1+Inputs!$B$7/100))*(F1517/100)</f>
        <v/>
      </c>
      <c r="K1517">
        <f>J1517*(1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1517)</f>
        <v/>
      </c>
      <c r="L1517">
        <f>K1517*(MIN(Inputs!$B$22+((C1533=TRUE)*(F1533-Calc!F22)),(Inputs!$B$23+((C1535=TRUE)*(F1535-Calc!F24))+(IF(ArtifactsInput!$M$15,CHOOSE(ArtifactsInput!$N$15+1,25,30,35,40,45,50)/100*(Inputs!$B$11-Inputs!$B$11),0))))/100+(Inputs!$B$23+((C1535=TRUE)*(F1535-Calc!F24))+(IF(ArtifactsInput!$M$15,CHOOSE(ArtifactsInput!$N$15+1,25,30,35,40,45,50)/100*(Inputs!$B$11-Inputs!$B$11),0)))/100)/2</f>
        <v/>
      </c>
      <c r="M1517">
        <f>L1517*(1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7">
        <f>L1517*(1-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1517*(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7">
        <f>(1-Summary!$B$11)*T1517+Summary!$B$11*V1517</f>
        <v/>
      </c>
      <c r="P1517">
        <f>IF(B1548=0,0,O1517/B1548)</f>
        <v/>
      </c>
      <c r="Q1517">
        <f>IFERROR(1/(IF(Inputs!$B$38="pvp",15,MAX(0.1,Skills!D6-IF(Skills!E6=TRUE,Inputs!$B$32,0)))*(1-IF(AND(ArtifactsInput!$M$27,Inputs!$B$4="Chapter Hunt"),CHOOSE(ArtifactsInput!$N$27+1,20,24,28,32,36,40),0)/100)),0)</f>
        <v/>
      </c>
      <c r="R1517">
        <f>IF(AND(Inputs!$B$38&lt;&gt;"pvp",Inputs!$B$43&gt;0),IF(MAX(0,Inputs!$B$43-B1545)&lt;=0,0,(INT(MAX(0,Inputs!$B$43-B1545)/(IF(Inputs!$B$38="pvp",15,MAX(0.1,Skills!D6-IF(Skills!E6=TRUE,Inputs!$B$32,0)))*(1-IF(AND(ArtifactsInput!$M$27,Inputs!$B$4="Chapter Hunt"),CHOOSE(ArtifactsInput!$N$27+1,20,24,28,32,36,40),0)/100)))+1)),0)</f>
        <v/>
      </c>
      <c r="S1517">
        <f>IFERROR(O1517/N1517,0)</f>
        <v/>
      </c>
      <c r="T1517">
        <f>IF(C1517,(H1517*N1517*IF(AND(Inputs!$B$38&lt;&gt;"pvp",Inputs!$B$43&gt;0),((Skills!G6*((R1517-1)*IF(Skills!H6&gt;0,Skills!I6/Skills!H6,1)+IF(Skills!H6&gt;0,MIN(Skills!I6,MAX(0,MAX(0,Inputs!$B$43-B1545)-((R1517-1)*(IF(Inputs!$B$38="pvp",15,MAX(0.1,Skills!D6-IF(Skills!E6=TRUE,Inputs!$B$32,0)))*(1-IF(AND(ArtifactsInput!$M$27,Inputs!$B$4="Chapter Hunt"),CHOOSE(ArtifactsInput!$N$27+1,20,24,28,32,36,40),0)/100)))))/Skills!H6,1)))/Inputs!$B$43),G1517*Q1517)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1517*(1-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1517*(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1517*(1-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1517*(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7">
        <f>IF(C1517,(H1517*N1517*IF(AND(Inputs!$B$38&lt;&gt;"pvp",Inputs!$B$43&gt;0),((Skills!G6*((R1517-1)*IF(Skills!H6&gt;0,Skills!I6/Skills!H6,1)+IF(Skills!H6&gt;0,MIN(Skills!I6,MAX(0,MAX(0,Inputs!$B$43-B1545)-((R1517-1)*(IF(Inputs!$B$38="pvp",15,MAX(0.1,Skills!D6-IF(Skills!E6=TRUE,Inputs!$B$32,0)))*(1-IF(AND(ArtifactsInput!$M$27,Inputs!$B$4="Chapter Hunt"),CHOOSE(ArtifactsInput!$N$27+1,20,24,28,32,36,40),0)/100)))))/Skills!H6,1)))/Inputs!$B$43),G1517*Q1517))*IF(Inputs!$B$38="pvp",1,(1+(Inputs!$B$21+Skills!Q6+(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8">
      <c r="A1518">
        <f>Skills!A7</f>
        <v/>
      </c>
      <c r="B1518">
        <f>Skills!B7</f>
        <v/>
      </c>
      <c r="C1518">
        <f>Inputs!$B$3&gt;=107</f>
        <v/>
      </c>
      <c r="D1518">
        <f>IF(Skills!C7=1,60+Inputs!$B$25+Inputs!$B$29,IF(Skills!C7=2,90+Inputs!$B$26+Inputs!$B$29,IF(Skills!C7=3,120+Inputs!$B$27+Inputs!$B$29,MAX(0,(Inputs!$B$3-100)*3)+Inputs!$B$28+Inputs!$B$29)))</f>
        <v/>
      </c>
      <c r="E1518">
        <f>INDEX(FactorTable!$B$2:$Y$301, MATCH(ROUND(MIN(300,MAX(1,D1518)),0), FactorTable!$A$2:$A$301,0), Skills!M7+1)</f>
        <v/>
      </c>
      <c r="F1518">
        <f>IF(Skills!N7=TRUE,(Skills!L7/10)*(E1518/1000),Skills!L7/10)+Skills!O7</f>
        <v/>
      </c>
      <c r="G1518">
        <f>Skills!G7*IF(Skills!H7&gt;0,Skills!I7/Skills!H7,1)</f>
        <v/>
      </c>
      <c r="H1518">
        <f>1-(1-Skills!J7/100)^Skills!K7</f>
        <v/>
      </c>
      <c r="I1518" t="inlineStr">
        <is>
          <t>1</t>
        </is>
      </c>
      <c r="J1518">
        <f>((Inputs!$B$6*(1+Inputs!$B$7/100))+(((Inputs!$B$12*(1+Inputs!$B$13/100))-(Inputs!$B$12*(1+Inputs!$B$13/100)))+0.25*(Inputs!$B$14-Inputs!$B$14))*(1+Inputs!$B$7/100))*(F1518/100)</f>
        <v/>
      </c>
      <c r="K1518">
        <f>J1518*(1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1518)</f>
        <v/>
      </c>
      <c r="L1518">
        <f>K1518*(MIN(Inputs!$B$22+((C1533=TRUE)*(F1533-Calc!F22)),(Inputs!$B$23+((C1535=TRUE)*(F1535-Calc!F24))+(IF(ArtifactsInput!$M$15,CHOOSE(ArtifactsInput!$N$15+1,25,30,35,40,45,50)/100*(Inputs!$B$11-Inputs!$B$11),0))))/100+(Inputs!$B$23+((C1535=TRUE)*(F1535-Calc!F24))+(IF(ArtifactsInput!$M$15,CHOOSE(ArtifactsInput!$N$15+1,25,30,35,40,45,50)/100*(Inputs!$B$11-Inputs!$B$11),0)))/100)/2</f>
        <v/>
      </c>
      <c r="M1518">
        <f>L1518*(1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8">
        <f>L1518*(1-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1518*(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8">
        <f>(1-Summary!$B$11)*T1518+Summary!$B$11*V1518</f>
        <v/>
      </c>
      <c r="P1518">
        <f>IF(B1548=0,0,O1518/B1548)</f>
        <v/>
      </c>
      <c r="Q1518">
        <f>IFERROR(1/(IF(Inputs!$B$38="pvp",15,MAX(0.1,Skills!D7-IF(Skills!E7=TRUE,Inputs!$B$32,0)))*(1-IF(AND(ArtifactsInput!$M$27,Inputs!$B$4="Chapter Hunt"),CHOOSE(ArtifactsInput!$N$27+1,20,24,28,32,36,40),0)/100)),0)</f>
        <v/>
      </c>
      <c r="R1518">
        <f>IF(AND(Inputs!$B$38&lt;&gt;"pvp",Inputs!$B$43&gt;0),IF(MAX(0,Inputs!$B$43-B1545)&lt;=0,0,(INT(MAX(0,Inputs!$B$43-B1545)/(IF(Inputs!$B$38="pvp",15,MAX(0.1,Skills!D7-IF(Skills!E7=TRUE,Inputs!$B$32,0)))*(1-IF(AND(ArtifactsInput!$M$27,Inputs!$B$4="Chapter Hunt"),CHOOSE(ArtifactsInput!$N$27+1,20,24,28,32,36,40),0)/100)))+1)),0)</f>
        <v/>
      </c>
      <c r="S1518">
        <f>IFERROR(O1518/N1518,0)</f>
        <v/>
      </c>
      <c r="T1518">
        <f>IF(C1518,(H1518*N1518*IF(AND(Inputs!$B$38&lt;&gt;"pvp",Inputs!$B$43&gt;0),((Skills!G7*((R1518-1)*IF(Skills!H7&gt;0,Skills!I7/Skills!H7,1)+IF(Skills!H7&gt;0,MIN(Skills!I7,MAX(0,MAX(0,Inputs!$B$43-B1545)-((R1518-1)*(IF(Inputs!$B$38="pvp",15,MAX(0.1,Skills!D7-IF(Skills!E7=TRUE,Inputs!$B$32,0)))*(1-IF(AND(ArtifactsInput!$M$27,Inputs!$B$4="Chapter Hunt"),CHOOSE(ArtifactsInput!$N$27+1,20,24,28,32,36,40),0)/100)))))/Skills!H7,1)))/Inputs!$B$43),G1518*Q1518)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1518*(1-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1518*(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1518*(1-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1518*(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8">
        <f>IF(C1518,(H1518*N1518*IF(AND(Inputs!$B$38&lt;&gt;"pvp",Inputs!$B$43&gt;0),((Skills!G7*((R1518-1)*IF(Skills!H7&gt;0,Skills!I7/Skills!H7,1)+IF(Skills!H7&gt;0,MIN(Skills!I7,MAX(0,MAX(0,Inputs!$B$43-B1545)-((R1518-1)*(IF(Inputs!$B$38="pvp",15,MAX(0.1,Skills!D7-IF(Skills!E7=TRUE,Inputs!$B$32,0)))*(1-IF(AND(ArtifactsInput!$M$27,Inputs!$B$4="Chapter Hunt"),CHOOSE(ArtifactsInput!$N$27+1,20,24,28,32,36,40),0)/100)))))/Skills!H7,1)))/Inputs!$B$43),G1518*Q1518))*IF(Inputs!$B$38="pvp",1,(1+(Inputs!$B$21+Skills!Q7+(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9">
      <c r="A1519">
        <f>Skills!A8</f>
        <v/>
      </c>
      <c r="B1519">
        <f>Skills!B8</f>
        <v/>
      </c>
      <c r="C1519">
        <f>Inputs!$B$3&gt;=107</f>
        <v/>
      </c>
      <c r="D1519">
        <f>IF(Skills!C8=1,60+Inputs!$B$25+Inputs!$B$29,IF(Skills!C8=2,90+Inputs!$B$26+Inputs!$B$29,IF(Skills!C8=3,120+Inputs!$B$27+Inputs!$B$29,MAX(0,(Inputs!$B$3-100)*3)+Inputs!$B$28+Inputs!$B$29)))</f>
        <v/>
      </c>
      <c r="E1519">
        <f>INDEX(FactorTable!$B$2:$Y$301, MATCH(ROUND(MIN(300,MAX(1,D1519)),0), FactorTable!$A$2:$A$301,0), Skills!M8+1)</f>
        <v/>
      </c>
      <c r="F1519">
        <f>IF(Skills!N8=TRUE,(Skills!L8/10)*(E1519/1000),Skills!L8/10)+Skills!O8</f>
        <v/>
      </c>
      <c r="G1519">
        <f>Skills!G8*IF(Skills!H8&gt;0,Skills!I8/Skills!H8,1)</f>
        <v/>
      </c>
      <c r="H1519">
        <f>1-(1-Skills!J8/100)^Skills!K8</f>
        <v/>
      </c>
      <c r="I1519" t="inlineStr">
        <is>
          <t>1</t>
        </is>
      </c>
      <c r="J1519">
        <f>((Inputs!$B$6*(1+Inputs!$B$7/100))+(((Inputs!$B$12*(1+Inputs!$B$13/100))-(Inputs!$B$12*(1+Inputs!$B$13/100)))+0.25*(Inputs!$B$14-Inputs!$B$14))*(1+Inputs!$B$7/100))*(F1519/100)</f>
        <v/>
      </c>
      <c r="K1519">
        <f>J1519*(1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1519)</f>
        <v/>
      </c>
      <c r="L1519">
        <f>K1519*(MIN(Inputs!$B$22+((C1533=TRUE)*(F1533-Calc!F22)),(Inputs!$B$23+((C1535=TRUE)*(F1535-Calc!F24))+(IF(ArtifactsInput!$M$15,CHOOSE(ArtifactsInput!$N$15+1,25,30,35,40,45,50)/100*(Inputs!$B$11-Inputs!$B$11),0))))/100+(Inputs!$B$23+((C1535=TRUE)*(F1535-Calc!F24))+(IF(ArtifactsInput!$M$15,CHOOSE(ArtifactsInput!$N$15+1,25,30,35,40,45,50)/100*(Inputs!$B$11-Inputs!$B$11),0)))/100)/2</f>
        <v/>
      </c>
      <c r="M1519">
        <f>L1519*(1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9">
        <f>L1519*(1-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1519*(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9">
        <f>(1-Summary!$B$11)*T1519+Summary!$B$11*V1519</f>
        <v/>
      </c>
      <c r="P1519">
        <f>IF(B1548=0,0,O1519/B1548)</f>
        <v/>
      </c>
      <c r="Q1519">
        <f>IFERROR(1/(IF(Inputs!$B$38="pvp",15,MAX(0.1,Skills!D8-IF(Skills!E8=TRUE,Inputs!$B$32,0)))*(1-IF(AND(ArtifactsInput!$M$27,Inputs!$B$4="Chapter Hunt"),CHOOSE(ArtifactsInput!$N$27+1,20,24,28,32,36,40),0)/100)),0)</f>
        <v/>
      </c>
      <c r="R1519">
        <f>IF(AND(Inputs!$B$38&lt;&gt;"pvp",Inputs!$B$43&gt;0),IF(MAX(0,Inputs!$B$43-B1545)&lt;=0,0,(INT(MAX(0,Inputs!$B$43-B1545)/(IF(Inputs!$B$38="pvp",15,MAX(0.1,Skills!D8-IF(Skills!E8=TRUE,Inputs!$B$32,0)))*(1-IF(AND(ArtifactsInput!$M$27,Inputs!$B$4="Chapter Hunt"),CHOOSE(ArtifactsInput!$N$27+1,20,24,28,32,36,40),0)/100)))+1)),0)</f>
        <v/>
      </c>
      <c r="S1519">
        <f>IFERROR(O1519/N1519,0)</f>
        <v/>
      </c>
      <c r="T1519">
        <f>IF(C1519,(H1519*N1519*IF(AND(Inputs!$B$38&lt;&gt;"pvp",Inputs!$B$43&gt;0),((Skills!G8*((R1519-1)*IF(Skills!H8&gt;0,Skills!I8/Skills!H8,1)+IF(Skills!H8&gt;0,MIN(Skills!I8,MAX(0,MAX(0,Inputs!$B$43-B1545)-((R1519-1)*(IF(Inputs!$B$38="pvp",15,MAX(0.1,Skills!D8-IF(Skills!E8=TRUE,Inputs!$B$32,0)))*(1-IF(AND(ArtifactsInput!$M$27,Inputs!$B$4="Chapter Hunt"),CHOOSE(ArtifactsInput!$N$27+1,20,24,28,32,36,40),0)/100)))))/Skills!H8,1)))/Inputs!$B$43),G1519*Q1519)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1519*(1-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1519*(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1519*(1-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1519*(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9">
        <f>IF(C1519,(H1519*N1519*IF(AND(Inputs!$B$38&lt;&gt;"pvp",Inputs!$B$43&gt;0),((Skills!G8*((R1519-1)*IF(Skills!H8&gt;0,Skills!I8/Skills!H8,1)+IF(Skills!H8&gt;0,MIN(Skills!I8,MAX(0,MAX(0,Inputs!$B$43-B1545)-((R1519-1)*(IF(Inputs!$B$38="pvp",15,MAX(0.1,Skills!D8-IF(Skills!E8=TRUE,Inputs!$B$32,0)))*(1-IF(AND(ArtifactsInput!$M$27,Inputs!$B$4="Chapter Hunt"),CHOOSE(ArtifactsInput!$N$27+1,20,24,28,32,36,40),0)/100)))))/Skills!H8,1)))/Inputs!$B$43),G1519*Q1519))*IF(Inputs!$B$38="pvp",1,(1+(Inputs!$B$21+Skills!Q8+(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0">
      <c r="A1520">
        <f>Skills!A9</f>
        <v/>
      </c>
      <c r="B1520">
        <f>Skills!B9</f>
        <v/>
      </c>
      <c r="C1520">
        <f>Inputs!$B$3&gt;=125</f>
        <v/>
      </c>
      <c r="D1520">
        <f>IF(Skills!C9=1,60+Inputs!$B$25+Inputs!$B$29,IF(Skills!C9=2,90+Inputs!$B$26+Inputs!$B$29,IF(Skills!C9=3,120+Inputs!$B$27+Inputs!$B$29,MAX(0,(Inputs!$B$3-100)*3)+Inputs!$B$28+Inputs!$B$29)))</f>
        <v/>
      </c>
      <c r="E1520">
        <f>INDEX(FactorTable!$B$2:$Y$301, MATCH(ROUND(MIN(300,MAX(1,D1520)),0), FactorTable!$A$2:$A$301,0), Skills!M9+1)</f>
        <v/>
      </c>
      <c r="F1520">
        <f>IF(Skills!N9=TRUE,(Skills!L9/10)*(E1520/1000),Skills!L9/10)+Skills!O9</f>
        <v/>
      </c>
      <c r="G1520">
        <f>Skills!G9*IF(Skills!H9&gt;0,Skills!I9/Skills!H9,1)</f>
        <v/>
      </c>
      <c r="H1520">
        <f>1-(1-Skills!J9/100)^Skills!K9</f>
        <v/>
      </c>
      <c r="I1520" t="inlineStr">
        <is>
          <t>1</t>
        </is>
      </c>
      <c r="J1520">
        <f>((Inputs!$B$6*(1+Inputs!$B$7/100))+(((Inputs!$B$12*(1+Inputs!$B$13/100))-(Inputs!$B$12*(1+Inputs!$B$13/100)))+0.25*(Inputs!$B$14-Inputs!$B$14))*(1+Inputs!$B$7/100))*(F1520/100)</f>
        <v/>
      </c>
      <c r="K1520">
        <f>J1520*(1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1520)</f>
        <v/>
      </c>
      <c r="L1520">
        <f>K1520*(MIN(Inputs!$B$22+((C1533=TRUE)*(F1533-Calc!F22)),(Inputs!$B$23+((C1535=TRUE)*(F1535-Calc!F24))+(IF(ArtifactsInput!$M$15,CHOOSE(ArtifactsInput!$N$15+1,25,30,35,40,45,50)/100*(Inputs!$B$11-Inputs!$B$11),0))))/100+(Inputs!$B$23+((C1535=TRUE)*(F1535-Calc!F24))+(IF(ArtifactsInput!$M$15,CHOOSE(ArtifactsInput!$N$15+1,25,30,35,40,45,50)/100*(Inputs!$B$11-Inputs!$B$11),0)))/100)/2</f>
        <v/>
      </c>
      <c r="M1520">
        <f>L1520*(1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0">
        <f>L1520*(1-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1520*(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0">
        <f>(1-Summary!$B$11)*T1520+Summary!$B$11*V1520</f>
        <v/>
      </c>
      <c r="P1520">
        <f>IF(B1548=0,0,O1520/B1548)</f>
        <v/>
      </c>
      <c r="Q1520">
        <f>IFERROR(1/(IF(Inputs!$B$38="pvp",15,MAX(0.1,Skills!D9-IF(Skills!E9=TRUE,Inputs!$B$32,0)))*(1-IF(AND(ArtifactsInput!$M$27,Inputs!$B$4="Chapter Hunt"),CHOOSE(ArtifactsInput!$N$27+1,20,24,28,32,36,40),0)/100)),0)</f>
        <v/>
      </c>
      <c r="R1520">
        <f>IF(AND(Inputs!$B$38&lt;&gt;"pvp",Inputs!$B$43&gt;0),IF(MAX(0,Inputs!$B$43-B1545)&lt;=0,0,(INT(MAX(0,Inputs!$B$43-B1545)/(IF(Inputs!$B$38="pvp",15,MAX(0.1,Skills!D9-IF(Skills!E9=TRUE,Inputs!$B$32,0)))*(1-IF(AND(ArtifactsInput!$M$27,Inputs!$B$4="Chapter Hunt"),CHOOSE(ArtifactsInput!$N$27+1,20,24,28,32,36,40),0)/100)))+1)),0)</f>
        <v/>
      </c>
      <c r="S1520">
        <f>IFERROR(O1520/N1520,0)</f>
        <v/>
      </c>
      <c r="T1520">
        <f>IF(C1520,(H1520*N1520*IF(AND(Inputs!$B$38&lt;&gt;"pvp",Inputs!$B$43&gt;0),((Skills!G9*((R1520-1)*IF(Skills!H9&gt;0,Skills!I9/Skills!H9,1)+IF(Skills!H9&gt;0,MIN(Skills!I9,MAX(0,MAX(0,Inputs!$B$43-B1545)-((R1520-1)*(IF(Inputs!$B$38="pvp",15,MAX(0.1,Skills!D9-IF(Skills!E9=TRUE,Inputs!$B$32,0)))*(1-IF(AND(ArtifactsInput!$M$27,Inputs!$B$4="Chapter Hunt"),CHOOSE(ArtifactsInput!$N$27+1,20,24,28,32,36,40),0)/100)))))/Skills!H9,1)))/Inputs!$B$43),G1520*Q1520)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1520*(1-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1520*(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1520*(1-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1520*(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0">
        <f>IF(C1520,(H1520*N1520*IF(AND(Inputs!$B$38&lt;&gt;"pvp",Inputs!$B$43&gt;0),((Skills!G9*((R1520-1)*IF(Skills!H9&gt;0,Skills!I9/Skills!H9,1)+IF(Skills!H9&gt;0,MIN(Skills!I9,MAX(0,MAX(0,Inputs!$B$43-B1545)-((R1520-1)*(IF(Inputs!$B$38="pvp",15,MAX(0.1,Skills!D9-IF(Skills!E9=TRUE,Inputs!$B$32,0)))*(1-IF(AND(ArtifactsInput!$M$27,Inputs!$B$4="Chapter Hunt"),CHOOSE(ArtifactsInput!$N$27+1,20,24,28,32,36,40),0)/100)))))/Skills!H9,1)))/Inputs!$B$43),G1520*Q1520))*IF(Inputs!$B$38="pvp",1,(1+(Inputs!$B$21+Skills!Q9+(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1">
      <c r="A1521">
        <f>Skills!A10</f>
        <v/>
      </c>
      <c r="B1521">
        <f>Skills!B10</f>
        <v/>
      </c>
      <c r="C1521">
        <f>Inputs!$B$3&gt;=117</f>
        <v/>
      </c>
      <c r="D1521">
        <f>IF(Skills!C10=1,60+Inputs!$B$25+Inputs!$B$29,IF(Skills!C10=2,90+Inputs!$B$26+Inputs!$B$29,IF(Skills!C10=3,120+Inputs!$B$27+Inputs!$B$29,MAX(0,(Inputs!$B$3-100)*3)+Inputs!$B$28+Inputs!$B$29)))</f>
        <v/>
      </c>
      <c r="E1521">
        <f>INDEX(FactorTable!$B$2:$Y$301, MATCH(ROUND(MIN(300,MAX(1,D1521)),0), FactorTable!$A$2:$A$301,0), Skills!M10+1)</f>
        <v/>
      </c>
      <c r="F1521">
        <f>IF(Skills!N10=TRUE,(Skills!L10/10)*(E1521/1000),Skills!L10/10)+Skills!O10</f>
        <v/>
      </c>
      <c r="G1521">
        <f>Skills!G10*IF(Skills!H10&gt;0,Skills!I10/Skills!H10,1)</f>
        <v/>
      </c>
      <c r="H1521">
        <f>1-(1-Skills!J10/100)^Skills!K10</f>
        <v/>
      </c>
      <c r="I1521" t="inlineStr">
        <is>
          <t>1</t>
        </is>
      </c>
      <c r="J1521">
        <f>((Inputs!$B$6*(1+Inputs!$B$7/100))+(((Inputs!$B$12*(1+Inputs!$B$13/100))-(Inputs!$B$12*(1+Inputs!$B$13/100)))+0.25*(Inputs!$B$14-Inputs!$B$14))*(1+Inputs!$B$7/100))*(F1521/100)</f>
        <v/>
      </c>
      <c r="K1521">
        <f>J1521*(1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1521)</f>
        <v/>
      </c>
      <c r="L1521">
        <f>K1521*(MIN(Inputs!$B$22+((C1533=TRUE)*(F1533-Calc!F22)),(Inputs!$B$23+((C1535=TRUE)*(F1535-Calc!F24))+(IF(ArtifactsInput!$M$15,CHOOSE(ArtifactsInput!$N$15+1,25,30,35,40,45,50)/100*(Inputs!$B$11-Inputs!$B$11),0))))/100+(Inputs!$B$23+((C1535=TRUE)*(F1535-Calc!F24))+(IF(ArtifactsInput!$M$15,CHOOSE(ArtifactsInput!$N$15+1,25,30,35,40,45,50)/100*(Inputs!$B$11-Inputs!$B$11),0)))/100)/2</f>
        <v/>
      </c>
      <c r="M1521">
        <f>L1521*(1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1">
        <f>L1521*(1-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1">
        <f>(1-Summary!$B$11)*T1521+Summary!$B$11*V1521</f>
        <v/>
      </c>
      <c r="P1521">
        <f>IF(B1548=0,0,O1521/B1548)</f>
        <v/>
      </c>
      <c r="Q1521">
        <f>IFERROR(1/(IF(Inputs!$B$38="pvp",15,MAX(0.1,Skills!D10-IF(Skills!E10=TRUE,Inputs!$B$32,0)))*(1-IF(AND(ArtifactsInput!$M$27,Inputs!$B$4="Chapter Hunt"),CHOOSE(ArtifactsInput!$N$27+1,20,24,28,32,36,40),0)/100)),0)</f>
        <v/>
      </c>
      <c r="R1521">
        <f>IF(AND(Inputs!$B$38&lt;&gt;"pvp",Inputs!$B$43&gt;0),IF(MAX(0,Inputs!$B$43-B1545)&lt;=0,0,(INT(MAX(0,Inputs!$B$43-B1545)/(IF(Inputs!$B$38="pvp",15,MAX(0.1,Skills!D10-IF(Skills!E10=TRUE,Inputs!$B$32,0)))*(1-IF(AND(ArtifactsInput!$M$27,Inputs!$B$4="Chapter Hunt"),CHOOSE(ArtifactsInput!$N$27+1,20,24,28,32,36,40),0)/100)))+1)),0)</f>
        <v/>
      </c>
      <c r="S1521">
        <f>IFERROR(O1521/N1521,0)</f>
        <v/>
      </c>
      <c r="T1521">
        <f>IF(C1521,(H1521*N1521*IF(AND(Inputs!$B$38&lt;&gt;"pvp",Inputs!$B$43&gt;0),((Skills!G10*((R1521-1)*IF(Skills!H10&gt;0,Skills!I10/Skills!H10,1)+IF(Skills!H10&gt;0,MIN(Skills!I10,MAX(0,MAX(0,Inputs!$B$43-B1545)-((R1521-1)*(IF(Inputs!$B$38="pvp",15,MAX(0.1,Skills!D10-IF(Skills!E10=TRUE,Inputs!$B$32,0)))*(1-IF(AND(ArtifactsInput!$M$27,Inputs!$B$4="Chapter Hunt"),CHOOSE(ArtifactsInput!$N$27+1,20,24,28,32,36,40),0)/100)))))/Skills!H10,1)))/Inputs!$B$43),G1521*Q1521)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1521*(1-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1521*(1-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1">
        <f>IF(C1521,(H1521*N1521*IF(AND(Inputs!$B$38&lt;&gt;"pvp",Inputs!$B$43&gt;0),((Skills!G10*((R1521-1)*IF(Skills!H10&gt;0,Skills!I10/Skills!H10,1)+IF(Skills!H10&gt;0,MIN(Skills!I10,MAX(0,MAX(0,Inputs!$B$43-B1545)-((R1521-1)*(IF(Inputs!$B$38="pvp",15,MAX(0.1,Skills!D10-IF(Skills!E10=TRUE,Inputs!$B$32,0)))*(1-IF(AND(ArtifactsInput!$M$27,Inputs!$B$4="Chapter Hunt"),CHOOSE(ArtifactsInput!$N$27+1,20,24,28,32,36,40),0)/100)))))/Skills!H10,1)))/Inputs!$B$43),G1521*Q1521))*IF(Inputs!$B$38="pvp",1,(1+(Inputs!$B$21+Skills!Q10+(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2">
      <c r="A1522">
        <f>Skills!A11</f>
        <v/>
      </c>
      <c r="B1522">
        <f>Skills!B11</f>
        <v/>
      </c>
      <c r="C1522">
        <f>Inputs!$B$3&gt;=63</f>
        <v/>
      </c>
      <c r="D1522">
        <f>IF(Skills!C11=1,60+Inputs!$B$25+Inputs!$B$29,IF(Skills!C11=2,90+Inputs!$B$26+Inputs!$B$29,IF(Skills!C11=3,120+Inputs!$B$27+Inputs!$B$29,MAX(0,(Inputs!$B$3-100)*3)+Inputs!$B$28+Inputs!$B$29)))</f>
        <v/>
      </c>
      <c r="E1522">
        <f>INDEX(FactorTable!$B$2:$Y$301, MATCH(ROUND(MIN(300,MAX(1,D1522)),0), FactorTable!$A$2:$A$301,0), Skills!M11+1)</f>
        <v/>
      </c>
      <c r="F1522">
        <f>IF(Skills!N11=TRUE,(Skills!L11/10)*(E1522/1000),Skills!L11/10)+Skills!O11</f>
        <v/>
      </c>
      <c r="G1522">
        <f>Skills!G11*IF(Skills!H11&gt;0,Skills!I11/Skills!H11,1)</f>
        <v/>
      </c>
      <c r="H1522">
        <f>1-(1-Skills!J11/100)^Skills!K11</f>
        <v/>
      </c>
      <c r="I1522" t="inlineStr">
        <is>
          <t>1</t>
        </is>
      </c>
      <c r="J1522">
        <f>((Inputs!$B$6*(1+Inputs!$B$7/100))+(((Inputs!$B$12*(1+Inputs!$B$13/100))-(Inputs!$B$12*(1+Inputs!$B$13/100)))+0.25*(Inputs!$B$14-Inputs!$B$14))*(1+Inputs!$B$7/100))*(F1522/100)</f>
        <v/>
      </c>
      <c r="K1522">
        <f>J1522*(1+((Inputs!$B$12*(1+Inputs!$B$13/100))*0.01+Inputs!$B$14*0.0025)/100)*(1+Inputs!$B$15/100)*(1+Inputs!$B$16/100)*(5000/(6000+Inputs!$B$42*(1-(Inputs!$B$19+0)/100)))*(1+(Inputs!$B$24+0+B1544)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1523=TRUE,F1523,0)/100)*(1+(IF(Skills!A11="BLAST",Inputs!$B$17+((C1532=TRUE)*(F1532-Calc!F21))+((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MIN(100,((Inputs!$B$9+0+B1538+(ArtifactsInput!$M$24-ArtifactsInput!$M$24)*CHOOSE(ArtifactsInput!$N$24+1,10,12,14,16,18,20)+IF(ArtifactsInput!$M$10,CHOOSE(ArtifactsInput!$N$10+1,15,18,21,24,27,30)*(IF(Inputs!$B$38="pvp",MIN(15,15)/15,IF(AND(Inputs!$B$38&lt;&gt;"pvp",Inputs!$B$43&gt;0),MIN(15,Inputs!$B$43)/(Inputs!$B$43),0))),0)))-100),0))*CHOOSE(ArtifactsInput!$N$42+1,0.6,0.72,0.84,0.96,1.08,1.2))),Inputs!$B$18+((C1534=TRUE)*(F1534-Calc!F23))+(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gt;=100),CHOOSE(ArtifactsInput!$N$42+1,40,48,56,64,72,80),0))))/100)*((1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1522)</f>
        <v/>
      </c>
      <c r="L1522">
        <f>K1522*(MIN(Inputs!$B$22+((C1533=TRUE)*(F1533-Calc!F22)),(Inputs!$B$23+((C1535=TRUE)*(F1535-Calc!F24))+(IF(ArtifactsInput!$M$15,CHOOSE(ArtifactsInput!$N$15+1,25,30,35,40,45,50)/100*(Inputs!$B$11-Inputs!$B$11),0))))/100+(Inputs!$B$23+((C1535=TRUE)*(F1535-Calc!F24))+(IF(ArtifactsInput!$M$15,CHOOSE(ArtifactsInput!$N$15+1,25,30,35,40,45,50)/100*(Inputs!$B$11-Inputs!$B$11),0)))/100)/2</f>
        <v/>
      </c>
      <c r="M1522">
        <f>L1522*(1+(Inputs!$B$10+0+B1543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2">
        <f>L1522*(1-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1522*(MIN((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2">
        <f>(1-Summary!$B$11)*T1522+Summary!$B$11*V1522</f>
        <v/>
      </c>
      <c r="P1522">
        <f>IF(B1548=0,0,O1522/B1548)</f>
        <v/>
      </c>
      <c r="Q1522">
        <f>IFERROR(1/(IF(Inputs!$B$38="pvp",15,MAX(0.1,Skills!D11-IF(Skills!E11=TRUE,Inputs!$B$32,0)))*(1-IF(AND(ArtifactsInput!$M$27,Inputs!$B$4="Chapter Hunt"),CHOOSE(ArtifactsInput!$N$27+1,20,24,28,32,36,40),0)/100)),0)</f>
        <v/>
      </c>
      <c r="R1522">
        <f>IF(AND(Inputs!$B$38&lt;&gt;"pvp",Inputs!$B$43&gt;0),IF(MAX(0,Inputs!$B$43-B1545)&lt;=0,0,(INT(MAX(0,Inputs!$B$43-B1545)/(IF(Inputs!$B$38="pvp",15,MAX(0.1,Skills!D11-IF(Skills!E11=TRUE,Inputs!$B$32,0)))*(1-IF(AND(ArtifactsInput!$M$27,Inputs!$B$4="Chapter Hunt"),CHOOSE(ArtifactsInput!$N$27+1,20,24,28,32,36,40),0)/100)))+1)),0)</f>
        <v/>
      </c>
      <c r="S1522">
        <f>IFERROR(O1522/N1522,0)</f>
        <v/>
      </c>
      <c r="T1522">
        <f>IF(C1522,(H1522*N1522*IF(AND(Inputs!$B$38&lt;&gt;"pvp",Inputs!$B$43&gt;0),((Skills!G11*((R1522-1)*IF(Skills!H11&gt;0,Skills!I11/Skills!H11,1)+IF(Skills!H11&gt;0,MIN(Skills!I11,MAX(0,MAX(0,Inputs!$B$43-B1545)-((R1522-1)*(IF(Inputs!$B$38="pvp",15,MAX(0.1,Skills!D11-IF(Skills!E11=TRUE,Inputs!$B$32,0)))*(1-IF(AND(ArtifactsInput!$M$27,Inputs!$B$4="Chapter Hunt"),CHOOSE(ArtifactsInput!$N$27+1,20,24,28,32,36,40),0)/100)))))/Skills!H11,1)))/Inputs!$B$43),G1522*Q1522)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1522*(1-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1522*(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1522*(1-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1522*(MIN(100,(Inputs!$B$9+0+B1538+(ArtifactsInput!$M$24-ArtifactsInput!$M$24)*CHOOSE(ArtifactsInput!$N$24+1,10,12,14,16,18,20)+(IF(AND(Inputs!$B$38&lt;&gt;"pvp",Inputs!$B$43=0),1,IF(IF(Inputs!$B$38="pvp",15,Inputs!$B$43)-(B1545)&lt;=0,1,MAX(0,IF(Inputs!$B$38="pvp",15,Inputs!$B$43)-MAX(5,B1545))/(IF(Inputs!$B$38="pvp",15,Inputs!$B$43)-(B1545))))*IF(AND(ArtifactsInput!$M$42,((Inputs!$B$9+0+B1538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2">
        <f>IF(C1522,(H1522*N1522*IF(AND(Inputs!$B$38&lt;&gt;"pvp",Inputs!$B$43&gt;0),((Skills!G11*((R1522-1)*IF(Skills!H11&gt;0,Skills!I11/Skills!H11,1)+IF(Skills!H11&gt;0,MIN(Skills!I11,MAX(0,MAX(0,Inputs!$B$43-B1545)-((R1522-1)*(IF(Inputs!$B$38="pvp",15,MAX(0.1,Skills!D11-IF(Skills!E11=TRUE,Inputs!$B$32,0)))*(1-IF(AND(ArtifactsInput!$M$27,Inputs!$B$4="Chapter Hunt"),CHOOSE(ArtifactsInput!$N$27+1,20,24,28,32,36,40),0)/100)))))/Skills!H11,1)))/Inputs!$B$43),G1522*Q1522))*IF(Inputs!$B$38="pvp",1,(1+(Inputs!$B$21+Skills!Q11+(IF(ArtifactsInput!$M$33,CHOOSE(ArtifactsInput!$N$33+1,30,36,42,48,54,60),0))+(IF(AND(ArtifactsInput!$M$35,Inputs!$B$4&lt;&gt;"Chapter Hunt"),CHOOSE(ArtifactsInput!$N$35+1,15,18,21,24,27,30)*(1-EXP(-(0.2*B1540)*5)),0)+IF(AND(ArtifactsInput!$M$22,Inputs!$B$4&lt;&gt;"Chapter Hunt"),CHOOSE(ArtifactsInput!$N$22+1,10,12,14,16,18,20)*((0*(((0.15*B1540*5))^0/1)+1*(((0.15*B1540*5))^1/1)+2*(((0.15*B1540*5))^2/2)+3*(((0.15*B1540*5))^3/6)+4*(((0.15*B1540*5))^4/24)+5*(((0.15*B1540*5))^5/120))/((((0.15*B1540*5))^0/1)+(((0.15*B1540*5))^1/1)+(((0.15*B1540*5))^2/2)+(((0.15*B1540*5))^3/6)+(((0.15*B1540*5))^4/24)+(((0.15*B1540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3">
      <c r="A1523">
        <f>Skills!A12</f>
        <v/>
      </c>
      <c r="B1523">
        <f>Skills!B12</f>
        <v/>
      </c>
      <c r="C1523">
        <f>Inputs!$B$3&gt;=100</f>
        <v/>
      </c>
      <c r="D1523">
        <f>IF(Skills!C12=1,60+Inputs!$B$25+Inputs!$B$29,IF(Skills!C12=2,90+Inputs!$B$26+Inputs!$B$29,IF(Skills!C12=3,120+Inputs!$B$27+Inputs!$B$29,MAX(0,(Inputs!$B$3-100)*3)+Inputs!$B$28+Inputs!$B$29)))</f>
        <v/>
      </c>
      <c r="E1523">
        <f>INDEX(FactorTable!$B$2:$Y$301, MATCH(ROUND(MIN(300,MAX(1,D1523)),0), FactorTable!$A$2:$A$301,0), Skills!M12+1)</f>
        <v/>
      </c>
      <c r="F1523">
        <f>IF(Skills!N12=TRUE,(Skills!L12/10)*(E1523/1000),Skills!L12/10)+Skills!O12</f>
        <v/>
      </c>
      <c r="G1523" t="inlineStr"/>
      <c r="H1523" t="inlineStr"/>
      <c r="I1523" t="inlineStr">
        <is>
          <t>1</t>
        </is>
      </c>
      <c r="J1523" t="inlineStr"/>
      <c r="K1523" t="inlineStr"/>
      <c r="L1523" t="inlineStr"/>
      <c r="M1523" t="inlineStr"/>
      <c r="N1523" t="inlineStr"/>
      <c r="O1523" t="inlineStr"/>
      <c r="P1523" t="inlineStr"/>
      <c r="Q1523" t="inlineStr"/>
      <c r="R1523" t="inlineStr"/>
      <c r="S1523" t="inlineStr"/>
    </row>
    <row r="1524">
      <c r="A1524">
        <f>Skills!A13</f>
        <v/>
      </c>
      <c r="B1524">
        <f>Skills!B13</f>
        <v/>
      </c>
      <c r="C1524">
        <f>Inputs!$B$3&gt;=45</f>
        <v/>
      </c>
      <c r="D1524">
        <f>IF(Skills!C13=1,60+Inputs!$B$25+Inputs!$B$29,IF(Skills!C13=2,90+Inputs!$B$26+Inputs!$B$29,IF(Skills!C13=3,120+Inputs!$B$27+Inputs!$B$29,MAX(0,(Inputs!$B$3-100)*3)+Inputs!$B$28+Inputs!$B$29)))</f>
        <v/>
      </c>
      <c r="E1524">
        <f>INDEX(FactorTable!$B$2:$Y$301, MATCH(ROUND(MIN(300,MAX(1,D1524)),0), FactorTable!$A$2:$A$301,0), Skills!M13+1)</f>
        <v/>
      </c>
      <c r="F1524">
        <f>IF(Skills!N13=TRUE,(Skills!L13/10)*(E1524/1000),Skills!L13/10)+Skills!O13</f>
        <v/>
      </c>
      <c r="G1524">
        <f>Skills!G13*IF(Skills!H13&gt;0,Skills!I13/Skills!H13,1)</f>
        <v/>
      </c>
      <c r="H1524">
        <f>1-(1-Skills!J13/100)^Skills!K13</f>
        <v/>
      </c>
      <c r="I1524" t="inlineStr">
        <is>
          <t>1</t>
        </is>
      </c>
      <c r="J1524" t="inlineStr"/>
      <c r="K1524" t="inlineStr"/>
      <c r="L1524" t="inlineStr"/>
      <c r="M1524" t="inlineStr"/>
      <c r="N1524" t="inlineStr"/>
      <c r="O1524">
        <f>(1-Summary!$B$11)*T1524+Summary!$B$11*V1524</f>
        <v/>
      </c>
      <c r="P1524">
        <f>IF(B1548=0,0,O1524/B1548)</f>
        <v/>
      </c>
      <c r="Q1524" t="n">
        <v>0</v>
      </c>
      <c r="R1524" t="n">
        <v>0</v>
      </c>
      <c r="S1524">
        <f>IFERROR(O1524/N1524,0)</f>
        <v/>
      </c>
      <c r="T1524" t="n">
        <v>0</v>
      </c>
      <c r="V1524" t="n">
        <v>0</v>
      </c>
    </row>
    <row r="1525">
      <c r="A1525">
        <f>Skills!A14</f>
        <v/>
      </c>
      <c r="B1525">
        <f>Skills!B14</f>
        <v/>
      </c>
      <c r="C1525">
        <f>Inputs!$B$3&gt;=110</f>
        <v/>
      </c>
      <c r="D1525">
        <f>IF(Skills!C14=1,60+Inputs!$B$25+Inputs!$B$29,IF(Skills!C14=2,90+Inputs!$B$26+Inputs!$B$29,IF(Skills!C14=3,120+Inputs!$B$27+Inputs!$B$29,MAX(0,(Inputs!$B$3-100)*3)+Inputs!$B$28+Inputs!$B$29)))</f>
        <v/>
      </c>
      <c r="E1525">
        <f>INDEX(FactorTable!$B$2:$Y$301, MATCH(ROUND(MIN(300,MAX(1,D1525)),0), FactorTable!$A$2:$A$301,0), Skills!M14+1)</f>
        <v/>
      </c>
      <c r="F1525">
        <f>IF(Skills!N14=TRUE,(Skills!L14/10)*(E1525/1000),Skills!L14/10)+Skills!O14</f>
        <v/>
      </c>
      <c r="G1525">
        <f>Skills!G14*IF(Skills!H14&gt;0,Skills!I14/Skills!H14,1)</f>
        <v/>
      </c>
      <c r="H1525">
        <f>1-(1-Skills!J14/100)^Skills!K14</f>
        <v/>
      </c>
      <c r="I1525" t="inlineStr">
        <is>
          <t>1</t>
        </is>
      </c>
      <c r="J1525" t="inlineStr"/>
      <c r="K1525" t="inlineStr"/>
      <c r="L1525" t="inlineStr"/>
      <c r="M1525" t="inlineStr"/>
      <c r="N1525" t="inlineStr"/>
      <c r="O1525">
        <f>(1-Summary!$B$11)*T1525+Summary!$B$11*V1525</f>
        <v/>
      </c>
      <c r="P1525">
        <f>IF(B1548=0,0,O1525/B1548)</f>
        <v/>
      </c>
      <c r="Q1525" t="n">
        <v>0</v>
      </c>
      <c r="R1525" t="n">
        <v>0</v>
      </c>
      <c r="S1525">
        <f>IFERROR(O1525/N1525,0)</f>
        <v/>
      </c>
      <c r="T1525" t="n">
        <v>0</v>
      </c>
      <c r="V1525" t="n">
        <v>0</v>
      </c>
    </row>
    <row r="1526">
      <c r="A1526">
        <f>Skills!A15</f>
        <v/>
      </c>
      <c r="B1526">
        <f>Skills!B15</f>
        <v/>
      </c>
      <c r="C1526">
        <f>Inputs!$B$3&gt;=75</f>
        <v/>
      </c>
      <c r="D1526">
        <f>IF(Skills!C15=1,60+Inputs!$B$25+Inputs!$B$29,IF(Skills!C15=2,90+Inputs!$B$26+Inputs!$B$29,IF(Skills!C15=3,120+Inputs!$B$27+Inputs!$B$29,MAX(0,(Inputs!$B$3-100)*3)+Inputs!$B$28+Inputs!$B$29)))</f>
        <v/>
      </c>
      <c r="E1526">
        <f>INDEX(FactorTable!$B$2:$Y$301, MATCH(ROUND(MIN(300,MAX(1,D1526)),0), FactorTable!$A$2:$A$301,0), Skills!M15+1)</f>
        <v/>
      </c>
      <c r="F1526">
        <f>IF(Skills!N15=TRUE,(Skills!L15/10)*(E1526/1000),Skills!L15/10)+Skills!O15</f>
        <v/>
      </c>
      <c r="G1526">
        <f>Skills!G15*IF(Skills!H15&gt;0,Skills!I15/Skills!H15,1)</f>
        <v/>
      </c>
      <c r="H1526">
        <f>1-(1-Skills!J15/100)^Skills!K15</f>
        <v/>
      </c>
      <c r="I1526" t="inlineStr">
        <is>
          <t>1</t>
        </is>
      </c>
      <c r="J1526" t="inlineStr"/>
      <c r="K1526" t="inlineStr"/>
      <c r="L1526" t="inlineStr"/>
      <c r="M1526" t="inlineStr"/>
      <c r="N1526" t="inlineStr"/>
      <c r="O1526">
        <f>(1-Summary!$B$11)*T1526+Summary!$B$11*V1526</f>
        <v/>
      </c>
      <c r="P1526">
        <f>IF(B1548=0,0,O1526/B1548)</f>
        <v/>
      </c>
      <c r="Q1526">
        <f>IFERROR(1/(IF(Inputs!$B$38="pvp",15,MAX(0.1,Skills!D15-IF(Skills!E15=TRUE,Inputs!$B$32,0)))*(1-IF(AND(ArtifactsInput!$M$27,Inputs!$B$4="Chapter Hunt"),CHOOSE(ArtifactsInput!$N$27+1,20,24,28,32,36,40),0)/100)),0)</f>
        <v/>
      </c>
      <c r="R1526">
        <f>IF(AND(Inputs!$B$38&lt;&gt;"pvp",Inputs!$B$43&gt;0),IF(Inputs!$B$43&lt;=0,0,(INT(Inputs!$B$43/(IF(Inputs!$B$38="pvp",15,MAX(0.1,Skills!D15-IF(Skills!E15=TRUE,Inputs!$B$32,0)))*(1-IF(AND(ArtifactsInput!$M$27,Inputs!$B$4="Chapter Hunt"),CHOOSE(ArtifactsInput!$N$27+1,20,24,28,32,36,40),0)/100)))+1)),0)</f>
        <v/>
      </c>
      <c r="S1526">
        <f>IFERROR(O1526/N1526,0)</f>
        <v/>
      </c>
      <c r="T1526" t="n">
        <v>0</v>
      </c>
      <c r="V1526" t="n">
        <v>0</v>
      </c>
    </row>
    <row r="1527">
      <c r="A1527">
        <f>Skills!A16</f>
        <v/>
      </c>
      <c r="B1527">
        <f>Skills!B16</f>
        <v/>
      </c>
      <c r="C1527">
        <f>Inputs!$B$3&gt;=105</f>
        <v/>
      </c>
      <c r="D1527">
        <f>IF(Skills!C16=1,60+Inputs!$B$25+Inputs!$B$29,IF(Skills!C16=2,90+Inputs!$B$26+Inputs!$B$29,IF(Skills!C16=3,120+Inputs!$B$27+Inputs!$B$29,MAX(0,(Inputs!$B$3-100)*3)+Inputs!$B$28+Inputs!$B$29)))</f>
        <v/>
      </c>
      <c r="E1527">
        <f>INDEX(FactorTable!$B$2:$Y$301, MATCH(ROUND(MIN(300,MAX(1,D1527)),0), FactorTable!$A$2:$A$301,0), Skills!M16+1)</f>
        <v/>
      </c>
      <c r="F1527">
        <f>IF(Skills!N16=TRUE,(Skills!L16/10)*(E1527/1000),Skills!L16/10)+Skills!O16</f>
        <v/>
      </c>
      <c r="G1527">
        <f>Skills!G16*IF(Skills!H16&gt;0,Skills!I16/Skills!H16,1)</f>
        <v/>
      </c>
      <c r="H1527">
        <f>1-(1-Skills!J16/100)^Skills!K16</f>
        <v/>
      </c>
      <c r="I1527" t="inlineStr">
        <is>
          <t>1</t>
        </is>
      </c>
      <c r="J1527" t="inlineStr"/>
      <c r="K1527" t="inlineStr"/>
      <c r="L1527" t="inlineStr"/>
      <c r="M1527" t="inlineStr"/>
      <c r="N1527" t="inlineStr"/>
      <c r="O1527">
        <f>(1-Summary!$B$11)*T1527+Summary!$B$11*V1527</f>
        <v/>
      </c>
      <c r="P1527">
        <f>IF(B1548=0,0,O1527/B1548)</f>
        <v/>
      </c>
      <c r="Q1527">
        <f>IFERROR(1/(IF(Inputs!$B$38="pvp",15,MAX(0.1,Skills!D16-IF(Skills!E16=TRUE,Inputs!$B$32,0)))*(1-IF(AND(ArtifactsInput!$M$27,Inputs!$B$4="Chapter Hunt"),CHOOSE(ArtifactsInput!$N$27+1,20,24,28,32,36,40),0)/100)),0)</f>
        <v/>
      </c>
      <c r="R1527">
        <f>IF(AND(Inputs!$B$38&lt;&gt;"pvp",Inputs!$B$43&gt;0),IF(Inputs!$B$43&lt;=0,0,(INT(Inputs!$B$43/(IF(Inputs!$B$38="pvp",15,MAX(0.1,Skills!D16-IF(Skills!E16=TRUE,Inputs!$B$32,0)))*(1-IF(AND(ArtifactsInput!$M$27,Inputs!$B$4="Chapter Hunt"),CHOOSE(ArtifactsInput!$N$27+1,20,24,28,32,36,40),0)/100)))+1)),0)</f>
        <v/>
      </c>
      <c r="S1527">
        <f>IFERROR(O1527/N1527,0)</f>
        <v/>
      </c>
      <c r="T1527" t="n">
        <v>0</v>
      </c>
      <c r="V1527" t="n">
        <v>0</v>
      </c>
    </row>
    <row r="1528">
      <c r="A1528">
        <f>Skills!A17</f>
        <v/>
      </c>
      <c r="B1528">
        <f>Skills!B17</f>
        <v/>
      </c>
      <c r="C1528">
        <f>Inputs!$B$3&gt;=115</f>
        <v/>
      </c>
      <c r="D1528">
        <f>IF(Skills!C17=1,60+Inputs!$B$25+Inputs!$B$29,IF(Skills!C17=2,90+Inputs!$B$26+Inputs!$B$29,IF(Skills!C17=3,120+Inputs!$B$27+Inputs!$B$29,MAX(0,(Inputs!$B$3-100)*3)+Inputs!$B$28+Inputs!$B$29)))</f>
        <v/>
      </c>
      <c r="E1528">
        <f>INDEX(FactorTable!$B$2:$Y$301, MATCH(ROUND(MIN(300,MAX(1,D1528)),0), FactorTable!$A$2:$A$301,0), Skills!M17+1)</f>
        <v/>
      </c>
      <c r="F1528">
        <f>IF(Skills!N17=TRUE,(Skills!L17/10)*(E1528/1000),Skills!L17/10)+Skills!O17</f>
        <v/>
      </c>
      <c r="G1528">
        <f>Skills!G17*IF(Skills!H17&gt;0,Skills!I17/Skills!H17,1)</f>
        <v/>
      </c>
      <c r="H1528">
        <f>1-(1-Skills!J17/100)^Skills!K17</f>
        <v/>
      </c>
      <c r="I1528" t="inlineStr">
        <is>
          <t>1</t>
        </is>
      </c>
      <c r="J1528" t="inlineStr"/>
      <c r="K1528" t="inlineStr"/>
      <c r="L1528" t="inlineStr"/>
      <c r="M1528" t="inlineStr"/>
      <c r="N1528" t="inlineStr"/>
      <c r="O1528">
        <f>(1-Summary!$B$11)*T1528+Summary!$B$11*V1528</f>
        <v/>
      </c>
      <c r="P1528">
        <f>IF(B1548=0,0,O1528/B1548)</f>
        <v/>
      </c>
      <c r="Q1528">
        <f>IFERROR(1/(IF(Inputs!$B$38="pvp",15,MAX(0.1,Skills!D17-IF(Skills!E17=TRUE,Inputs!$B$32,0)))*(1-IF(AND(ArtifactsInput!$M$27,Inputs!$B$4="Chapter Hunt"),CHOOSE(ArtifactsInput!$N$27+1,20,24,28,32,36,40),0)/100)),0)</f>
        <v/>
      </c>
      <c r="R1528">
        <f>IF(AND(Inputs!$B$38&lt;&gt;"pvp",Inputs!$B$43&gt;0),IF(Inputs!$B$43&lt;=0,0,(INT(Inputs!$B$43/(IF(Inputs!$B$38="pvp",15,MAX(0.1,Skills!D17-IF(Skills!E17=TRUE,Inputs!$B$32,0)))*(1-IF(AND(ArtifactsInput!$M$27,Inputs!$B$4="Chapter Hunt"),CHOOSE(ArtifactsInput!$N$27+1,20,24,28,32,36,40),0)/100)))+1)),0)</f>
        <v/>
      </c>
      <c r="S1528">
        <f>IFERROR(O1528/N1528,0)</f>
        <v/>
      </c>
      <c r="T1528" t="n">
        <v>0</v>
      </c>
      <c r="V1528" t="n">
        <v>0</v>
      </c>
    </row>
    <row r="1529">
      <c r="A1529">
        <f>Skills!A18</f>
        <v/>
      </c>
      <c r="B1529">
        <f>Skills!B18</f>
        <v/>
      </c>
      <c r="C1529">
        <f>Inputs!$B$3&gt;=74</f>
        <v/>
      </c>
      <c r="D1529">
        <f>IF(Skills!C18=1,60+Inputs!$B$25+Inputs!$B$29,IF(Skills!C18=2,90+Inputs!$B$26+Inputs!$B$29,IF(Skills!C18=3,120+Inputs!$B$27+Inputs!$B$29,MAX(0,(Inputs!$B$3-100)*3)+Inputs!$B$28+Inputs!$B$29)))</f>
        <v/>
      </c>
      <c r="E1529">
        <f>INDEX(FactorTable!$B$2:$Y$301, MATCH(ROUND(MIN(300,MAX(1,D1529)),0), FactorTable!$A$2:$A$301,0), Skills!M18+1)</f>
        <v/>
      </c>
      <c r="F1529">
        <f>IF(Skills!N18=TRUE,(Skills!L18/10)*(E1529/1000),Skills!L18/10)+Skills!O18</f>
        <v/>
      </c>
      <c r="G1529">
        <f>Skills!G18*IF(Skills!H18&gt;0,Skills!I18/Skills!H18,1)</f>
        <v/>
      </c>
      <c r="H1529">
        <f>1-(1-Skills!J18/100)^Skills!K18</f>
        <v/>
      </c>
      <c r="I1529" t="inlineStr">
        <is>
          <t>1</t>
        </is>
      </c>
      <c r="J1529" t="inlineStr"/>
      <c r="K1529" t="inlineStr"/>
      <c r="L1529" t="inlineStr"/>
      <c r="M1529" t="inlineStr"/>
      <c r="N1529" t="inlineStr"/>
      <c r="O1529">
        <f>(1-Summary!$B$11)*T1529+Summary!$B$11*V1529</f>
        <v/>
      </c>
      <c r="P1529">
        <f>IF(B1548=0,0,O1529/B1548)</f>
        <v/>
      </c>
      <c r="Q1529">
        <f>IFERROR(1/(IF(Inputs!$B$38="pvp",15,MAX(0.1,Skills!D18-IF(Skills!E18=TRUE,Inputs!$B$32,0)))*(1-IF(AND(ArtifactsInput!$M$27,Inputs!$B$4="Chapter Hunt"),CHOOSE(ArtifactsInput!$N$27+1,20,24,28,32,36,40),0)/100)),0)</f>
        <v/>
      </c>
      <c r="R1529">
        <f>IF(AND(Inputs!$B$38&lt;&gt;"pvp",Inputs!$B$43&gt;0),IF(Inputs!$B$43&lt;=0,0,(INT(Inputs!$B$43/(IF(Inputs!$B$38="pvp",15,MAX(0.1,Skills!D18-IF(Skills!E18=TRUE,Inputs!$B$32,0)))*(1-IF(AND(ArtifactsInput!$M$27,Inputs!$B$4="Chapter Hunt"),CHOOSE(ArtifactsInput!$N$27+1,20,24,28,32,36,40),0)/100)))+1)),0)</f>
        <v/>
      </c>
      <c r="S1529">
        <f>IFERROR(O1529/N1529,0)</f>
        <v/>
      </c>
      <c r="T1529" t="n">
        <v>0</v>
      </c>
      <c r="V1529" t="n">
        <v>0</v>
      </c>
    </row>
    <row r="1530">
      <c r="A1530">
        <f>Skills!A19</f>
        <v/>
      </c>
      <c r="B1530">
        <f>Skills!B19</f>
        <v/>
      </c>
      <c r="C1530">
        <f>TRUE</f>
        <v/>
      </c>
      <c r="D1530">
        <f>IF(Skills!C19=1,60+Inputs!$B$25+Inputs!$B$29,IF(Skills!C19=2,90+Inputs!$B$26+Inputs!$B$29,IF(Skills!C19=3,120+Inputs!$B$27+Inputs!$B$29,MAX(0,(Inputs!$B$3-100)*3)+Inputs!$B$28+Inputs!$B$29)))</f>
        <v/>
      </c>
      <c r="E1530">
        <f>INDEX(FactorTable!$B$2:$Y$301, MATCH(ROUND(MIN(300,MAX(1,D1530)),0), FactorTable!$A$2:$A$301,0), Skills!M19+1)</f>
        <v/>
      </c>
      <c r="F1530">
        <f>IF(Skills!N19=TRUE,(Skills!L19/10)*(E1530/1000),Skills!L19/10)+Skills!O19</f>
        <v/>
      </c>
      <c r="G1530">
        <f>Skills!G19*IF(Skills!H19&gt;0,Skills!I19/Skills!H19,1)</f>
        <v/>
      </c>
      <c r="H1530">
        <f>1-(1-Skills!J19/100)^Skills!K19</f>
        <v/>
      </c>
      <c r="I1530" t="inlineStr">
        <is>
          <t>1</t>
        </is>
      </c>
      <c r="J1530" t="inlineStr"/>
      <c r="K1530" t="inlineStr"/>
      <c r="L1530" t="inlineStr"/>
      <c r="M1530" t="inlineStr"/>
      <c r="N1530" t="inlineStr"/>
      <c r="O1530">
        <f>(1-Summary!$B$11)*T1530+Summary!$B$11*V1530</f>
        <v/>
      </c>
      <c r="P1530">
        <f>IF(B1548=0,0,O1530/B1548)</f>
        <v/>
      </c>
      <c r="Q1530">
        <f>IFERROR(1/(IF(Inputs!$B$38="pvp",15,MAX(0.1,Skills!D19-IF(Skills!E19=TRUE,Inputs!$B$32,0)))*(1-IF(AND(ArtifactsInput!$M$27,Inputs!$B$4="Chapter Hunt"),CHOOSE(ArtifactsInput!$N$27+1,20,24,28,32,36,40),0)/100)),0)</f>
        <v/>
      </c>
      <c r="R1530">
        <f>IF(AND(Inputs!$B$38&lt;&gt;"pvp",Inputs!$B$43&gt;0),IF(Inputs!$B$43&lt;=0,0,(INT(Inputs!$B$43/(IF(Inputs!$B$38="pvp",15,MAX(0.1,Skills!D19-IF(Skills!E19=TRUE,Inputs!$B$32,0)))*(1-IF(AND(ArtifactsInput!$M$27,Inputs!$B$4="Chapter Hunt"),CHOOSE(ArtifactsInput!$N$27+1,20,24,28,32,36,40),0)/100)))+1)),0)</f>
        <v/>
      </c>
      <c r="S1530">
        <f>IFERROR(O1530/N1530,0)</f>
        <v/>
      </c>
      <c r="T1530" t="n">
        <v>0</v>
      </c>
      <c r="V1530" t="n">
        <v>0</v>
      </c>
    </row>
    <row r="1531">
      <c r="A1531">
        <f>Skills!A20</f>
        <v/>
      </c>
      <c r="B1531">
        <f>Skills!B20</f>
        <v/>
      </c>
      <c r="C1531">
        <f>Inputs!$B$3&gt;=33</f>
        <v/>
      </c>
      <c r="D1531">
        <f>IF(Skills!C20=1,60+Inputs!$B$25+Inputs!$B$29,IF(Skills!C20=2,90+Inputs!$B$26+Inputs!$B$29,IF(Skills!C20=3,120+Inputs!$B$27+Inputs!$B$29,MAX(0,(Inputs!$B$3-100)*3)+Inputs!$B$28+Inputs!$B$29)))</f>
        <v/>
      </c>
      <c r="E1531">
        <f>INDEX(FactorTable!$B$2:$Y$301, MATCH(ROUND(MIN(300,MAX(1,D1531)),0), FactorTable!$A$2:$A$301,0), Skills!M20+1)</f>
        <v/>
      </c>
      <c r="F1531">
        <f>IF(Skills!N20=TRUE,(Skills!L20/10)*(E1531/1000),Skills!L20/10)+Skills!O20</f>
        <v/>
      </c>
      <c r="G1531">
        <f>Skills!G20*IF(Skills!H20&gt;0,Skills!I20/Skills!H20,1)</f>
        <v/>
      </c>
      <c r="H1531">
        <f>1-(1-Skills!J20/100)^Skills!K20</f>
        <v/>
      </c>
      <c r="I1531" t="inlineStr">
        <is>
          <t>1</t>
        </is>
      </c>
      <c r="J1531" t="inlineStr"/>
      <c r="K1531" t="inlineStr"/>
      <c r="L1531" t="inlineStr"/>
      <c r="M1531" t="inlineStr"/>
      <c r="N1531" t="inlineStr"/>
      <c r="O1531">
        <f>(1-Summary!$B$11)*T1531+Summary!$B$11*V1531</f>
        <v/>
      </c>
      <c r="P1531">
        <f>IF(B1548=0,0,O1531/B1548)</f>
        <v/>
      </c>
      <c r="Q1531" t="n">
        <v>0</v>
      </c>
      <c r="R1531" t="n">
        <v>0</v>
      </c>
      <c r="S1531">
        <f>IFERROR(O1531/N1531,0)</f>
        <v/>
      </c>
      <c r="T1531" t="n">
        <v>0</v>
      </c>
      <c r="V1531" t="n">
        <v>0</v>
      </c>
    </row>
    <row r="1532">
      <c r="A1532">
        <f>Skills!A21</f>
        <v/>
      </c>
      <c r="B1532">
        <f>Skills!B21</f>
        <v/>
      </c>
      <c r="C1532">
        <f>Inputs!$B$3&gt;=38</f>
        <v/>
      </c>
      <c r="D1532">
        <f>IF(Skills!C21=1,60+Inputs!$B$25+Inputs!$B$29,IF(Skills!C21=2,90+Inputs!$B$26+Inputs!$B$29,IF(Skills!C21=3,120+Inputs!$B$27+Inputs!$B$29,MAX(0,(Inputs!$B$3-100)*3)+Inputs!$B$28+Inputs!$B$29)))</f>
        <v/>
      </c>
      <c r="E1532">
        <f>INDEX(FactorTable!$B$2:$Y$301, MATCH(ROUND(MIN(300,MAX(1,D1532)),0), FactorTable!$A$2:$A$301,0), Skills!M21+1)</f>
        <v/>
      </c>
      <c r="F1532">
        <f>IF(Skills!N21=TRUE,(Skills!L21/10)*(E1532/1000),Skills!L21/10)+Skills!O21</f>
        <v/>
      </c>
      <c r="G1532">
        <f>Skills!G21*IF(Skills!H21&gt;0,Skills!I21/Skills!H21,1)</f>
        <v/>
      </c>
      <c r="H1532">
        <f>1-(1-Skills!J21/100)^Skills!K21</f>
        <v/>
      </c>
      <c r="I1532" t="inlineStr">
        <is>
          <t>1</t>
        </is>
      </c>
      <c r="J1532" t="inlineStr"/>
      <c r="K1532" t="inlineStr"/>
      <c r="L1532" t="inlineStr"/>
      <c r="M1532" t="inlineStr"/>
      <c r="N1532" t="inlineStr"/>
      <c r="O1532">
        <f>(1-Summary!$B$11)*T1532+Summary!$B$11*V1532</f>
        <v/>
      </c>
      <c r="P1532">
        <f>IF(B1548=0,0,O1532/B1548)</f>
        <v/>
      </c>
      <c r="Q1532" t="n">
        <v>0</v>
      </c>
      <c r="R1532" t="n">
        <v>0</v>
      </c>
      <c r="S1532">
        <f>IFERROR(O1532/N1532,0)</f>
        <v/>
      </c>
      <c r="T1532" t="n">
        <v>0</v>
      </c>
      <c r="V1532" t="n">
        <v>0</v>
      </c>
    </row>
    <row r="1533">
      <c r="A1533">
        <f>Skills!A22</f>
        <v/>
      </c>
      <c r="B1533">
        <f>Skills!B22</f>
        <v/>
      </c>
      <c r="C1533">
        <f>Inputs!$B$3&gt;=43</f>
        <v/>
      </c>
      <c r="D1533">
        <f>IF(Skills!C22=1,60+Inputs!$B$25+Inputs!$B$29,IF(Skills!C22=2,90+Inputs!$B$26+Inputs!$B$29,IF(Skills!C22=3,120+Inputs!$B$27+Inputs!$B$29,MAX(0,(Inputs!$B$3-100)*3)+Inputs!$B$28+Inputs!$B$29)))</f>
        <v/>
      </c>
      <c r="E1533">
        <f>INDEX(FactorTable!$B$2:$Y$301, MATCH(ROUND(MIN(300,MAX(1,D1533)),0), FactorTable!$A$2:$A$301,0), Skills!M22+1)</f>
        <v/>
      </c>
      <c r="F1533">
        <f>IF(Skills!N22=TRUE,(Skills!L22/10)*(E1533/1000),Skills!L22/10)+Skills!O22</f>
        <v/>
      </c>
      <c r="G1533">
        <f>Skills!G22*IF(Skills!H22&gt;0,Skills!I22/Skills!H22,1)</f>
        <v/>
      </c>
      <c r="H1533">
        <f>1-(1-Skills!J22/100)^Skills!K22</f>
        <v/>
      </c>
      <c r="I1533" t="inlineStr">
        <is>
          <t>1</t>
        </is>
      </c>
      <c r="J1533" t="inlineStr"/>
      <c r="K1533" t="inlineStr"/>
      <c r="L1533" t="inlineStr"/>
      <c r="M1533" t="inlineStr"/>
      <c r="N1533" t="inlineStr"/>
      <c r="O1533">
        <f>(1-Summary!$B$11)*T1533+Summary!$B$11*V1533</f>
        <v/>
      </c>
      <c r="P1533">
        <f>IF(B1548=0,0,O1533/B1548)</f>
        <v/>
      </c>
      <c r="Q1533" t="n">
        <v>0</v>
      </c>
      <c r="R1533" t="n">
        <v>0</v>
      </c>
      <c r="S1533">
        <f>IFERROR(O1533/N1533,0)</f>
        <v/>
      </c>
      <c r="T1533" t="n">
        <v>0</v>
      </c>
      <c r="V1533" t="n">
        <v>0</v>
      </c>
    </row>
    <row r="1534">
      <c r="A1534">
        <f>Skills!A23</f>
        <v/>
      </c>
      <c r="B1534">
        <f>Skills!B23</f>
        <v/>
      </c>
      <c r="C1534">
        <f>Inputs!$B$3&gt;=120</f>
        <v/>
      </c>
      <c r="D1534">
        <f>IF(Skills!C23=1,60+Inputs!$B$25+Inputs!$B$29,IF(Skills!C23=2,90+Inputs!$B$26+Inputs!$B$29,IF(Skills!C23=3,120+Inputs!$B$27+Inputs!$B$29,MAX(0,(Inputs!$B$3-100)*3)+Inputs!$B$28+Inputs!$B$29)))</f>
        <v/>
      </c>
      <c r="E1534">
        <f>INDEX(FactorTable!$B$2:$Y$301, MATCH(ROUND(MIN(300,MAX(1,D1534)),0), FactorTable!$A$2:$A$301,0), Skills!M23+1)</f>
        <v/>
      </c>
      <c r="F1534">
        <f>IF(Skills!N23=TRUE,(Skills!L23/10)*(E1534/1000),Skills!L23/10)+Skills!O23</f>
        <v/>
      </c>
      <c r="G1534">
        <f>Skills!G23*IF(Skills!H23&gt;0,Skills!I23/Skills!H23,1)</f>
        <v/>
      </c>
      <c r="H1534">
        <f>1-(1-Skills!J23/100)^Skills!K23</f>
        <v/>
      </c>
      <c r="I1534" t="inlineStr">
        <is>
          <t>1</t>
        </is>
      </c>
      <c r="J1534" t="inlineStr"/>
      <c r="K1534" t="inlineStr"/>
      <c r="L1534" t="inlineStr"/>
      <c r="M1534" t="inlineStr"/>
      <c r="N1534" t="inlineStr"/>
      <c r="O1534">
        <f>(1-Summary!$B$11)*T1534+Summary!$B$11*V1534</f>
        <v/>
      </c>
      <c r="P1534">
        <f>IF(B1548=0,0,O1534/B1548)</f>
        <v/>
      </c>
      <c r="Q1534" t="n">
        <v>0</v>
      </c>
      <c r="R1534" t="n">
        <v>0</v>
      </c>
      <c r="S1534">
        <f>IFERROR(O1534/N1534,0)</f>
        <v/>
      </c>
      <c r="T1534" t="n">
        <v>0</v>
      </c>
      <c r="V1534" t="n">
        <v>0</v>
      </c>
    </row>
    <row r="1535">
      <c r="A1535">
        <f>Skills!A24</f>
        <v/>
      </c>
      <c r="B1535">
        <f>Skills!B24</f>
        <v/>
      </c>
      <c r="C1535">
        <f>Inputs!$B$3&gt;=120</f>
        <v/>
      </c>
      <c r="D1535">
        <f>IF(Skills!C24=1,60+Inputs!$B$25+Inputs!$B$29,IF(Skills!C24=2,90+Inputs!$B$26+Inputs!$B$29,IF(Skills!C24=3,120+Inputs!$B$27+Inputs!$B$29,MAX(0,(Inputs!$B$3-100)*3)+Inputs!$B$28+Inputs!$B$29)))</f>
        <v/>
      </c>
      <c r="E1535">
        <f>INDEX(FactorTable!$B$2:$Y$301, MATCH(ROUND(MIN(300,MAX(1,D1535)),0), FactorTable!$A$2:$A$301,0), Skills!M24+1)</f>
        <v/>
      </c>
      <c r="F1535">
        <f>IF(Skills!N24=TRUE,(Skills!L24/10)*(E1535/1000),Skills!L24/10)+Skills!O24</f>
        <v/>
      </c>
      <c r="G1535">
        <f>Skills!G24*IF(Skills!H24&gt;0,Skills!I24/Skills!H24,1)</f>
        <v/>
      </c>
      <c r="H1535">
        <f>1-(1-Skills!J24/100)^Skills!K24</f>
        <v/>
      </c>
      <c r="I1535" t="inlineStr">
        <is>
          <t>1</t>
        </is>
      </c>
      <c r="J1535" t="inlineStr"/>
      <c r="K1535" t="inlineStr"/>
      <c r="L1535" t="inlineStr"/>
      <c r="M1535" t="inlineStr"/>
      <c r="N1535" t="inlineStr"/>
      <c r="O1535">
        <f>(1-Summary!$B$11)*T1535+Summary!$B$11*V1535</f>
        <v/>
      </c>
      <c r="P1535">
        <f>IF(B1548=0,0,O1535/B1548)</f>
        <v/>
      </c>
      <c r="Q1535" t="n">
        <v>0</v>
      </c>
      <c r="R1535" t="n">
        <v>0</v>
      </c>
      <c r="S1535">
        <f>IFERROR(O1535/N1535,0)</f>
        <v/>
      </c>
      <c r="T1535" t="n">
        <v>0</v>
      </c>
      <c r="V1535" t="n">
        <v>0</v>
      </c>
    </row>
    <row r="1537">
      <c r="A1537" t="inlineStr">
        <is>
          <t>Attack% Bucket Multiplier</t>
        </is>
      </c>
      <c r="B1537">
        <f>(1+(((C1524=TRUE)*F1524*MIN(1,Skills!T13*(Skills!J13/100)*B1542))+((C1529=TRUE)*F1529*IF(AND(Inputs!$B$38&lt;&gt;"pvp",Inputs!$B$43&gt;0),(((R1529-1)*(Skills!T18*(1+Inputs!$B$34/100))+MIN((Skills!T18*(1+Inputs!$B$34/100)),MAX(0,Inputs!$B$43-((R1529-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38">
      <c r="A1538" t="inlineStr">
        <is>
          <t>Global Crit Rate Bonus %</t>
        </is>
      </c>
      <c r="B1538" t="n">
        <v>0</v>
      </c>
    </row>
    <row r="1539">
      <c r="A1539" t="inlineStr">
        <is>
          <t>Attack Speed Buff Bonus %</t>
        </is>
      </c>
      <c r="B1539">
        <f>((C1530=TRUE)*F1530*IF(AND(Inputs!$B$38&lt;&gt;"pvp",Inputs!$B$43&gt;0),(((R1530-1)*(Skills!T19*(1+Inputs!$B$34/100))+MIN((Skills!T19*(1+Inputs!$B$34/100)),MAX(0,Inputs!$B$43-((R1530-1)*Skills!D19))))/Inputs!$B$43),IF(Inputs!$B$38="pvp",MIN((Skills!T19*(1+Inputs!$B$34/100)),15)/15,(Skills!T19*(1+Inputs!$B$34/100))/Skills!D19)))</f>
        <v/>
      </c>
    </row>
    <row r="1540">
      <c r="A1540" t="inlineStr">
        <is>
          <t>Actions Per Second</t>
        </is>
      </c>
      <c r="B1540">
        <f>1+MIN(150,150*(1-(1-(Inputs!$B$11+((C1531=TRUE)*(F1531-Calc!F20)))/150)*(1-B1539/150)))/100</f>
        <v/>
      </c>
    </row>
    <row r="1541">
      <c r="A1541" t="inlineStr">
        <is>
          <t>Skill + Buff Cast Rate</t>
        </is>
      </c>
      <c r="B1541">
        <f>IF(AND(Inputs!$B$38&lt;&gt;"pvp",Inputs!$B$43&gt;0),SUMPRODUCT((Skills!E2:E24=TRUE)*(C1513:C1535=TRUE)*R1513:R1535*Skills!F2:F24)/Inputs!$B$43,SUMPRODUCT((Skills!E2:E24=TRUE)*(C1513:C1535=TRUE)*Q1513:Q1535*Skills!F2:F24))</f>
        <v/>
      </c>
    </row>
    <row r="1542">
      <c r="A1542" t="inlineStr">
        <is>
          <t>Blast Casts Per Second</t>
        </is>
      </c>
      <c r="B1542">
        <f>MAX(0,B1540-B1541)</f>
        <v/>
      </c>
    </row>
    <row r="1543">
      <c r="A1543" t="inlineStr">
        <is>
          <t>Global Critical Damage Bonus % (unused)</t>
        </is>
      </c>
      <c r="B1543" t="n">
        <v>0</v>
      </c>
    </row>
    <row r="1544">
      <c r="A1544" t="inlineStr">
        <is>
          <t>Global Final Damage Bonus % (Divine Shield + Guardian + Divine Blessing + Greater Vessel of Light)</t>
        </is>
      </c>
      <c r="B1544">
        <f>((C1526=TRUE)*F1526*IF(AND(Inputs!$B$38&lt;&gt;"pvp",Inputs!$B$43&gt;0),(((R1526-1)*(Skills!T15*(1+Inputs!$B$34/100))+MIN((Skills!T15*(1+Inputs!$B$34/100)),MAX(0,Inputs!$B$43-((R1526-1)*Skills!D15))))/Inputs!$B$43),IF(Inputs!$B$38="pvp",MIN((Skills!T15*(1+Inputs!$B$34/100)),15)/15,(Skills!T15*(1+Inputs!$B$34/100))/Skills!D15)))+((C1527=TRUE)*F1527*IF(AND(Inputs!$B$38&lt;&gt;"pvp",Inputs!$B$43&gt;0),(((R1527-1)*(Skills!T16*(1+Inputs!$B$34/100))+MIN((Skills!T16*(1+Inputs!$B$34/100)),MAX(0,Inputs!$B$43-((R1527-1)*Skills!D16))))/Inputs!$B$43),IF(Inputs!$B$38="pvp",MIN((Skills!T16*(1+Inputs!$B$34/100)),15)/15,(Skills!T16*(1+Inputs!$B$34/100))/Skills!D16)))+((C1528=TRUE)*F1528*IF(AND(Inputs!$B$38&lt;&gt;"pvp",Inputs!$B$43&gt;0),(((R1528-1)*(Skills!T17*(1+Inputs!$B$34/100))+MIN((Skills!T17*(1+Inputs!$B$34/100)),MAX(0,Inputs!$B$43-((R1528-1)*Skills!D17))))/Inputs!$B$43),IF(Inputs!$B$38="pvp",MIN((Skills!T17*(1+Inputs!$B$34/100)),15)/15,(Skills!T17*(1+Inputs!$B$34/100))/Skills!D17)))+((C1525=TRUE)*F1525*MIN(1,Skills!T13*(Skills!J13/100)*B1542))</f>
        <v/>
      </c>
    </row>
    <row r="1545">
      <c r="A1545" t="inlineStr">
        <is>
          <t>Buff-Casting Startup Delay (s, fixed-duration only)</t>
        </is>
      </c>
      <c r="B1545">
        <f>IF(AND(Inputs!$B$38&lt;&gt;"pvp",Inputs!$B$43&gt;0),SUMPRODUCT((Skills!T2:T24&gt;0)*(Skills!E2:E24=TRUE)*(C1513:C1535=TRUE))/B1540,0)</f>
        <v/>
      </c>
    </row>
    <row r="1546">
      <c r="A1546" t="inlineStr">
        <is>
          <t>Boss-Only Total DPS (this block's swept value)</t>
        </is>
      </c>
      <c r="B1546">
        <f>SUM(T1513:T1535)</f>
        <v/>
      </c>
    </row>
    <row r="1547">
      <c r="A1547" t="inlineStr">
        <is>
          <t>Normal-Only Total DPS (this block's swept value)</t>
        </is>
      </c>
      <c r="B1547">
        <f>SUM(V1513:V1535)</f>
        <v/>
      </c>
    </row>
    <row r="1548">
      <c r="A1548" s="6" t="inlineStr">
        <is>
          <t>TOTAL DPS</t>
        </is>
      </c>
      <c r="B1548" s="6">
        <f>SUM(O1513:O1535)</f>
        <v/>
      </c>
    </row>
    <row r="1551">
      <c r="A1551" s="6" t="inlineStr">
        <is>
          <t>Stat: Horntail's Scale (Equip)</t>
        </is>
      </c>
    </row>
    <row r="1552">
      <c r="A1552" s="5" t="inlineStr">
        <is>
          <t>Key</t>
        </is>
      </c>
      <c r="B1552" s="5" t="inlineStr">
        <is>
          <t>Name</t>
        </is>
      </c>
      <c r="C1552" s="5" t="inlineStr">
        <is>
          <t>Unlocked</t>
        </is>
      </c>
      <c r="D1552" s="5" t="inlineStr">
        <is>
          <t>InputLevel</t>
        </is>
      </c>
      <c r="E1552" s="5" t="inlineStr">
        <is>
          <t>Factor</t>
        </is>
      </c>
      <c r="F1552" s="5" t="inlineStr">
        <is>
          <t>CoefficientPercent</t>
        </is>
      </c>
      <c r="G1552" s="5" t="inlineStr">
        <is>
          <t>EffectiveHits</t>
        </is>
      </c>
      <c r="H1552" s="5" t="inlineStr">
        <is>
          <t>ProcProbability</t>
        </is>
      </c>
      <c r="I1552" s="5" t="inlineStr">
        <is>
          <t>MapleHeroMultiplier</t>
        </is>
      </c>
      <c r="J1552" s="5" t="inlineStr">
        <is>
          <t>BaseDamage</t>
        </is>
      </c>
      <c r="K1552" s="5" t="inlineStr">
        <is>
          <t>BaseHitDamage</t>
        </is>
      </c>
      <c r="L1552" s="5" t="inlineStr">
        <is>
          <t>NonCritAvg</t>
        </is>
      </c>
      <c r="M1552" s="5" t="inlineStr">
        <is>
          <t>CritAvg</t>
        </is>
      </c>
      <c r="N1552" s="5" t="inlineStr">
        <is>
          <t>ExpectedDamage(perHit)</t>
        </is>
      </c>
      <c r="O1552" s="5" t="inlineStr">
        <is>
          <t>DPS</t>
        </is>
      </c>
      <c r="P1552" s="5" t="inlineStr">
        <is>
          <t>% of Total</t>
        </is>
      </c>
      <c r="Q1552" s="5" t="inlineStr">
        <is>
          <t>InvCooldown</t>
        </is>
      </c>
      <c r="R1552" s="5" t="inlineStr">
        <is>
          <t>CastsInFight</t>
        </is>
      </c>
      <c r="S1552" s="5" t="inlineStr">
        <is>
          <t>HitRate(perSec)</t>
        </is>
      </c>
      <c r="U1552" t="inlineStr">
        <is>
          <t>helpers</t>
        </is>
      </c>
    </row>
    <row r="1553">
      <c r="A1553">
        <f>Skills!A2</f>
        <v/>
      </c>
      <c r="B1553">
        <f>Skills!B2</f>
        <v/>
      </c>
      <c r="C1553">
        <f>Inputs!$B$3&gt;=100</f>
        <v/>
      </c>
      <c r="D1553" t="inlineStr"/>
      <c r="E1553" t="inlineStr"/>
      <c r="F1553">
        <f>U1555+Skills!O2</f>
        <v/>
      </c>
      <c r="G1553">
        <f>Skills!G2*IF(Skills!H2&gt;0,Skills!I2/Skills!H2,1)</f>
        <v/>
      </c>
      <c r="H1553">
        <f>1-(1-Skills!J2/100)^Skills!K2</f>
        <v/>
      </c>
      <c r="I1553" t="inlineStr">
        <is>
          <t>1</t>
        </is>
      </c>
      <c r="J1553">
        <f>((Inputs!$B$6*(1+Inputs!$B$7/100))+(((Inputs!$B$12*(1+Inputs!$B$13/100))-(Inputs!$B$12*(1+Inputs!$B$13/100)))+0.25*(Inputs!$B$14-Inputs!$B$14))*(1+Inputs!$B$7/100))*(F1553/100)</f>
        <v/>
      </c>
      <c r="K1553">
        <f>J1553*(1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1553)</f>
        <v/>
      </c>
      <c r="L1553">
        <f>K1553*(MIN(Inputs!$B$22+((C1573=TRUE)*(F1573-Calc!F22)),(Inputs!$B$23+((C1575=TRUE)*(F1575-Calc!F24))+(IF(ArtifactsInput!$M$15,CHOOSE(ArtifactsInput!$N$15+1,25,30,35,40,45,50)/100*(Inputs!$B$11-Inputs!$B$11),0))))/100+(Inputs!$B$23+((C1575=TRUE)*(F1575-Calc!F24))+(IF(ArtifactsInput!$M$15,CHOOSE(ArtifactsInput!$N$15+1,25,30,35,40,45,50)/100*(Inputs!$B$11-Inputs!$B$11),0)))/100)/2</f>
        <v/>
      </c>
      <c r="M1553">
        <f>L1553*(1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3">
        <f>L1553*(1-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1553*(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3">
        <f>(1-Summary!$B$11)*T1553+Summary!$B$11*V1553</f>
        <v/>
      </c>
      <c r="P1553">
        <f>IF(B1588=0,0,O1553/B1588)</f>
        <v/>
      </c>
      <c r="Q1553" t="n">
        <v>0</v>
      </c>
      <c r="R1553" t="n">
        <v>0</v>
      </c>
      <c r="S1553">
        <f>IFERROR(O1553/N1553,0)</f>
        <v/>
      </c>
      <c r="T1553">
        <f>IF(C1553,(Skills!G2*N1553*B1582)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1553*(1-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1553*(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1553*(1-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1553*(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3">
        <f>MAX(0,(Inputs!$B$3-100)*3)+Inputs!$B$28+Inputs!$B$29</f>
        <v/>
      </c>
      <c r="V1553">
        <f>IF(C1553,(Skills!G2*N1553*B1582)*IF(Inputs!$B$38="pvp",1,(1+(Inputs!$B$21+Skills!Q2+(IF(ArtifactsInput!$M$33,CHOOSE(ArtifactsInput!$N$33+1,30,36,42,48,54,60),0))+(IF(AND(ArtifactsInput!$M$35,Inputs!$B$4&lt;&gt;"Chapter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4">
      <c r="A1554">
        <f>Skills!A3</f>
        <v/>
      </c>
      <c r="B1554">
        <f>Skills!B3</f>
        <v/>
      </c>
      <c r="C1554">
        <f>Inputs!$B$3&gt;=50</f>
        <v/>
      </c>
      <c r="D1554">
        <f>IF(Skills!C3=1,60+Inputs!$B$25+Inputs!$B$29,IF(Skills!C3=2,90+Inputs!$B$26+Inputs!$B$29,IF(Skills!C3=3,120+Inputs!$B$27+Inputs!$B$29,MAX(0,(Inputs!$B$3-100)*3)+Inputs!$B$28+Inputs!$B$29)))</f>
        <v/>
      </c>
      <c r="E1554">
        <f>INDEX(FactorTable!$B$2:$Y$301, MATCH(ROUND(MIN(300,MAX(1,D1554)),0), FactorTable!$A$2:$A$301,0), Skills!M3+1)</f>
        <v/>
      </c>
      <c r="F1554">
        <f>IF(Skills!N3=TRUE,(Skills!L3/10)*(E1554/1000),Skills!L3/10)+Skills!O3</f>
        <v/>
      </c>
      <c r="G1554" t="inlineStr"/>
      <c r="H1554" t="inlineStr"/>
      <c r="I1554" t="inlineStr">
        <is>
          <t>1</t>
        </is>
      </c>
      <c r="J1554" t="inlineStr"/>
      <c r="K1554" t="inlineStr"/>
      <c r="L1554" t="inlineStr"/>
      <c r="M1554" t="inlineStr"/>
      <c r="N1554" t="inlineStr"/>
      <c r="O1554" t="inlineStr"/>
      <c r="P1554" t="inlineStr"/>
      <c r="Q1554" t="inlineStr"/>
      <c r="R1554" t="inlineStr"/>
      <c r="S1554" t="inlineStr"/>
      <c r="U1554">
        <f>INDEX(FactorTable!$B$2:$Y$301, MATCH(ROUND(MIN(300,MAX(1,U1553)),0), FactorTable!$A$2:$A$301,0), 22)</f>
        <v/>
      </c>
    </row>
    <row r="1555">
      <c r="A1555">
        <f>Skills!A4</f>
        <v/>
      </c>
      <c r="B1555">
        <f>Skills!B4</f>
        <v/>
      </c>
      <c r="C1555">
        <f>Inputs!$B$3&gt;=35</f>
        <v/>
      </c>
      <c r="D1555">
        <f>IF(Skills!C4=1,60+Inputs!$B$25+Inputs!$B$29,IF(Skills!C4=2,90+Inputs!$B$26+Inputs!$B$29,IF(Skills!C4=3,120+Inputs!$B$27+Inputs!$B$29,MAX(0,(Inputs!$B$3-100)*3)+Inputs!$B$28+Inputs!$B$29)))</f>
        <v/>
      </c>
      <c r="E1555">
        <f>INDEX(FactorTable!$B$2:$Y$301, MATCH(ROUND(MIN(300,MAX(1,D1555)),0), FactorTable!$A$2:$A$301,0), Skills!M4+1)</f>
        <v/>
      </c>
      <c r="F1555">
        <f>IF(Skills!N4=TRUE,(Skills!L4/10)*(E1555/1000),Skills!L4/10)+Skills!O4</f>
        <v/>
      </c>
      <c r="G1555">
        <f>Skills!G4*IF(Skills!H4&gt;0,Skills!I4/Skills!H4,1)</f>
        <v/>
      </c>
      <c r="H1555">
        <f>1-(1-Skills!J4/100)^Skills!K4</f>
        <v/>
      </c>
      <c r="I1555" t="inlineStr">
        <is>
          <t>1</t>
        </is>
      </c>
      <c r="J1555">
        <f>((Inputs!$B$6*(1+Inputs!$B$7/100))+(((Inputs!$B$12*(1+Inputs!$B$13/100))-(Inputs!$B$12*(1+Inputs!$B$13/100)))+0.25*(Inputs!$B$14-Inputs!$B$14))*(1+Inputs!$B$7/100))*(F1555/100)</f>
        <v/>
      </c>
      <c r="K1555">
        <f>J1555*(1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1563=TRUE,F1563,0)/100)*(1+(IF(Skills!A4="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1555)</f>
        <v/>
      </c>
      <c r="L1555">
        <f>K1555*(MIN(Inputs!$B$22+((C1573=TRUE)*(F1573-Calc!F22)),(Inputs!$B$23+((C1575=TRUE)*(F1575-Calc!F24))+(IF(ArtifactsInput!$M$15,CHOOSE(ArtifactsInput!$N$15+1,25,30,35,40,45,50)/100*(Inputs!$B$11-Inputs!$B$11),0))))/100+(Inputs!$B$23+((C1575=TRUE)*(F1575-Calc!F24))+(IF(ArtifactsInput!$M$15,CHOOSE(ArtifactsInput!$N$15+1,25,30,35,40,45,50)/100*(Inputs!$B$11-Inputs!$B$11),0)))/100)/2</f>
        <v/>
      </c>
      <c r="M1555">
        <f>L1555*(1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5">
        <f>L1555*(1-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1555*(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5">
        <f>(1-Summary!$B$11)*T1555+Summary!$B$11*V1555</f>
        <v/>
      </c>
      <c r="P1555">
        <f>IF(B1588=0,0,O1555/B1588)</f>
        <v/>
      </c>
      <c r="Q1555">
        <f>IFERROR(1/(IF(Inputs!$B$38="pvp",15,MAX(0.1,Skills!D4-IF(Skills!E4=TRUE,Inputs!$B$32,0)))*(1-IF(AND(ArtifactsInput!$M$27,Inputs!$B$4="Chapter Hunt"),CHOOSE(ArtifactsInput!$N$27+1,20,24,28,32,36,40),0)/100)),0)</f>
        <v/>
      </c>
      <c r="R1555">
        <f>IF(AND(Inputs!$B$38&lt;&gt;"pvp",Inputs!$B$43&gt;0),IF(MAX(0,Inputs!$B$43-B1585)&lt;=0,0,(INT(MAX(0,Inputs!$B$43-B1585)/(IF(Inputs!$B$38="pvp",15,MAX(0.1,Skills!D4-IF(Skills!E4=TRUE,Inputs!$B$32,0)))*(1-IF(AND(ArtifactsInput!$M$27,Inputs!$B$4="Chapter Hunt"),CHOOSE(ArtifactsInput!$N$27+1,20,24,28,32,36,40),0)/100)))+1)),0)</f>
        <v/>
      </c>
      <c r="S1555">
        <f>IFERROR(O1555/N1555,0)</f>
        <v/>
      </c>
      <c r="T1555">
        <f>IF(C1555,(H1555*N1555*IF(AND(Inputs!$B$38&lt;&gt;"pvp",Inputs!$B$43&gt;0),((Skills!G4*((R1555-1)*IF(Skills!H4&gt;0,Skills!I4/Skills!H4,1)+IF(Skills!H4&gt;0,MIN(Skills!I4,MAX(0,MAX(0,Inputs!$B$43-B1585)-((R1555-1)*(IF(Inputs!$B$38="pvp",15,MAX(0.1,Skills!D4-IF(Skills!E4=TRUE,Inputs!$B$32,0)))*(1-IF(AND(ArtifactsInput!$M$27,Inputs!$B$4="Chapter Hunt"),CHOOSE(ArtifactsInput!$N$27+1,20,24,28,32,36,40),0)/100)))))/Skills!H4,1)))/Inputs!$B$43),G1555*Q1555)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1555*(1-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1555*(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1555*(1-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1555*(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5">
        <f>290*U1554/1000</f>
        <v/>
      </c>
      <c r="V1555">
        <f>IF(C1555,(H1555*N1555*IF(AND(Inputs!$B$38&lt;&gt;"pvp",Inputs!$B$43&gt;0),((Skills!G4*((R1555-1)*IF(Skills!H4&gt;0,Skills!I4/Skills!H4,1)+IF(Skills!H4&gt;0,MIN(Skills!I4,MAX(0,MAX(0,Inputs!$B$43-B1585)-((R1555-1)*(IF(Inputs!$B$38="pvp",15,MAX(0.1,Skills!D4-IF(Skills!E4=TRUE,Inputs!$B$32,0)))*(1-IF(AND(ArtifactsInput!$M$27,Inputs!$B$4="Chapter Hunt"),CHOOSE(ArtifactsInput!$N$27+1,20,24,28,32,36,40),0)/100)))))/Skills!H4,1)))/Inputs!$B$43),G1555*Q1555))*IF(Inputs!$B$38="pvp",1,(1+(Inputs!$B$21+Skills!Q4+(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6">
      <c r="A1556">
        <f>Skills!A5</f>
        <v/>
      </c>
      <c r="B1556">
        <f>Skills!B5</f>
        <v/>
      </c>
      <c r="C1556">
        <f>Inputs!$B$3&gt;=66</f>
        <v/>
      </c>
      <c r="D1556">
        <f>IF(Skills!C5=1,60+Inputs!$B$25+Inputs!$B$29,IF(Skills!C5=2,90+Inputs!$B$26+Inputs!$B$29,IF(Skills!C5=3,120+Inputs!$B$27+Inputs!$B$29,MAX(0,(Inputs!$B$3-100)*3)+Inputs!$B$28+Inputs!$B$29)))</f>
        <v/>
      </c>
      <c r="E1556">
        <f>INDEX(FactorTable!$B$2:$Y$301, MATCH(ROUND(MIN(300,MAX(1,D1556)),0), FactorTable!$A$2:$A$301,0), Skills!M5+1)</f>
        <v/>
      </c>
      <c r="F1556">
        <f>IF(Skills!N5=TRUE,(Skills!L5/10)*(E1556/1000),Skills!L5/10)+Skills!O5</f>
        <v/>
      </c>
      <c r="G1556">
        <f>Skills!G5*IF(Skills!H5&gt;0,Skills!I5/Skills!H5,1)</f>
        <v/>
      </c>
      <c r="H1556">
        <f>1-(1-Skills!J5/100)^Skills!K5</f>
        <v/>
      </c>
      <c r="I1556" t="inlineStr">
        <is>
          <t>1</t>
        </is>
      </c>
      <c r="J1556">
        <f>((Inputs!$B$6*(1+Inputs!$B$7/100))+(((Inputs!$B$12*(1+Inputs!$B$13/100))-(Inputs!$B$12*(1+Inputs!$B$13/100)))+0.25*(Inputs!$B$14-Inputs!$B$14))*(1+Inputs!$B$7/100))*(F1556/100)</f>
        <v/>
      </c>
      <c r="K1556">
        <f>J1556*(1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1563=TRUE,F1563,0)/100)*(1+(IF(Skills!A5="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1556)</f>
        <v/>
      </c>
      <c r="L1556">
        <f>K1556*(MIN(Inputs!$B$22+((C1573=TRUE)*(F1573-Calc!F22)),(Inputs!$B$23+((C1575=TRUE)*(F1575-Calc!F24))+(IF(ArtifactsInput!$M$15,CHOOSE(ArtifactsInput!$N$15+1,25,30,35,40,45,50)/100*(Inputs!$B$11-Inputs!$B$11),0))))/100+(Inputs!$B$23+((C1575=TRUE)*(F1575-Calc!F24))+(IF(ArtifactsInput!$M$15,CHOOSE(ArtifactsInput!$N$15+1,25,30,35,40,45,50)/100*(Inputs!$B$11-Inputs!$B$11),0)))/100)/2</f>
        <v/>
      </c>
      <c r="M1556">
        <f>L1556*(1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6">
        <f>L1556*(1-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1556*(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6">
        <f>(1-Summary!$B$11)*T1556+Summary!$B$11*V1556</f>
        <v/>
      </c>
      <c r="P1556">
        <f>IF(B1588=0,0,O1556/B1588)</f>
        <v/>
      </c>
      <c r="Q1556">
        <f>IFERROR(1/(IF(Inputs!$B$38="pvp",15,MAX(0.1,Skills!D5-IF(Skills!E5=TRUE,Inputs!$B$32,0)))*(1-IF(AND(ArtifactsInput!$M$27,Inputs!$B$4="Chapter Hunt"),CHOOSE(ArtifactsInput!$N$27+1,20,24,28,32,36,40),0)/100)),0)</f>
        <v/>
      </c>
      <c r="R1556">
        <f>IF(AND(Inputs!$B$38&lt;&gt;"pvp",Inputs!$B$43&gt;0),IF(MAX(0,Inputs!$B$43-B1585)&lt;=0,0,(INT(MAX(0,Inputs!$B$43-B1585)/(IF(Inputs!$B$38="pvp",15,MAX(0.1,Skills!D5-IF(Skills!E5=TRUE,Inputs!$B$32,0)))*(1-IF(AND(ArtifactsInput!$M$27,Inputs!$B$4="Chapter Hunt"),CHOOSE(ArtifactsInput!$N$27+1,20,24,28,32,36,40),0)/100)))+1)),0)</f>
        <v/>
      </c>
      <c r="S1556">
        <f>IFERROR(O1556/N1556,0)</f>
        <v/>
      </c>
      <c r="T1556">
        <f>IF(C1556,(H1556*N1556*IF(AND(Inputs!$B$38&lt;&gt;"pvp",Inputs!$B$43&gt;0),((Skills!G5*((R1556-1)*IF(Skills!H5&gt;0,Skills!I5/Skills!H5,1)+IF(Skills!H5&gt;0,MIN(Skills!I5,MAX(0,MAX(0,Inputs!$B$43-B1585)-((R1556-1)*(IF(Inputs!$B$38="pvp",15,MAX(0.1,Skills!D5-IF(Skills!E5=TRUE,Inputs!$B$32,0)))*(1-IF(AND(ArtifactsInput!$M$27,Inputs!$B$4="Chapter Hunt"),CHOOSE(ArtifactsInput!$N$27+1,20,24,28,32,36,40),0)/100)))))/Skills!H5,1)))/Inputs!$B$43),G1556*Q1556)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1556*(1-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1556*(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1556*(1-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1556*(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6">
        <f>IF(C1556,(H1556*N1556*IF(AND(Inputs!$B$38&lt;&gt;"pvp",Inputs!$B$43&gt;0),((Skills!G5*((R1556-1)*IF(Skills!H5&gt;0,Skills!I5/Skills!H5,1)+IF(Skills!H5&gt;0,MIN(Skills!I5,MAX(0,MAX(0,Inputs!$B$43-B1585)-((R1556-1)*(IF(Inputs!$B$38="pvp",15,MAX(0.1,Skills!D5-IF(Skills!E5=TRUE,Inputs!$B$32,0)))*(1-IF(AND(ArtifactsInput!$M$27,Inputs!$B$4="Chapter Hunt"),CHOOSE(ArtifactsInput!$N$27+1,20,24,28,32,36,40),0)/100)))))/Skills!H5,1)))/Inputs!$B$43),G1556*Q1556))*IF(Inputs!$B$38="pvp",1,(1+(Inputs!$B$21+Skills!Q5+(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7">
      <c r="A1557">
        <f>Skills!A6</f>
        <v/>
      </c>
      <c r="B1557">
        <f>Skills!B6</f>
        <v/>
      </c>
      <c r="C1557">
        <f>Inputs!$B$3&gt;=103</f>
        <v/>
      </c>
      <c r="D1557">
        <f>IF(Skills!C6=1,60+Inputs!$B$25+Inputs!$B$29,IF(Skills!C6=2,90+Inputs!$B$26+Inputs!$B$29,IF(Skills!C6=3,120+Inputs!$B$27+Inputs!$B$29,MAX(0,(Inputs!$B$3-100)*3)+Inputs!$B$28+Inputs!$B$29)))</f>
        <v/>
      </c>
      <c r="E1557">
        <f>INDEX(FactorTable!$B$2:$Y$301, MATCH(ROUND(MIN(300,MAX(1,D1557)),0), FactorTable!$A$2:$A$301,0), Skills!M6+1)</f>
        <v/>
      </c>
      <c r="F1557">
        <f>IF(Skills!N6=TRUE,(Skills!L6/10)*(E1557/1000),Skills!L6/10)+Skills!O6</f>
        <v/>
      </c>
      <c r="G1557">
        <f>Skills!G6*IF(Skills!H6&gt;0,Skills!I6/Skills!H6,1)</f>
        <v/>
      </c>
      <c r="H1557">
        <f>1-(1-Skills!J6/100)^Skills!K6</f>
        <v/>
      </c>
      <c r="I1557" t="inlineStr">
        <is>
          <t>1</t>
        </is>
      </c>
      <c r="J1557">
        <f>((Inputs!$B$6*(1+Inputs!$B$7/100))+(((Inputs!$B$12*(1+Inputs!$B$13/100))-(Inputs!$B$12*(1+Inputs!$B$13/100)))+0.25*(Inputs!$B$14-Inputs!$B$14))*(1+Inputs!$B$7/100))*(F1557/100)</f>
        <v/>
      </c>
      <c r="K1557">
        <f>J1557*(1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1557)</f>
        <v/>
      </c>
      <c r="L1557">
        <f>K1557*(MIN(Inputs!$B$22+((C1573=TRUE)*(F1573-Calc!F22)),(Inputs!$B$23+((C1575=TRUE)*(F1575-Calc!F24))+(IF(ArtifactsInput!$M$15,CHOOSE(ArtifactsInput!$N$15+1,25,30,35,40,45,50)/100*(Inputs!$B$11-Inputs!$B$11),0))))/100+(Inputs!$B$23+((C1575=TRUE)*(F1575-Calc!F24))+(IF(ArtifactsInput!$M$15,CHOOSE(ArtifactsInput!$N$15+1,25,30,35,40,45,50)/100*(Inputs!$B$11-Inputs!$B$11),0)))/100)/2</f>
        <v/>
      </c>
      <c r="M1557">
        <f>L1557*(1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7">
        <f>L1557*(1-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1557*(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7">
        <f>(1-Summary!$B$11)*T1557+Summary!$B$11*V1557</f>
        <v/>
      </c>
      <c r="P1557">
        <f>IF(B1588=0,0,O1557/B1588)</f>
        <v/>
      </c>
      <c r="Q1557">
        <f>IFERROR(1/(IF(Inputs!$B$38="pvp",15,MAX(0.1,Skills!D6-IF(Skills!E6=TRUE,Inputs!$B$32,0)))*(1-IF(AND(ArtifactsInput!$M$27,Inputs!$B$4="Chapter Hunt"),CHOOSE(ArtifactsInput!$N$27+1,20,24,28,32,36,40),0)/100)),0)</f>
        <v/>
      </c>
      <c r="R1557">
        <f>IF(AND(Inputs!$B$38&lt;&gt;"pvp",Inputs!$B$43&gt;0),IF(MAX(0,Inputs!$B$43-B1585)&lt;=0,0,(INT(MAX(0,Inputs!$B$43-B1585)/(IF(Inputs!$B$38="pvp",15,MAX(0.1,Skills!D6-IF(Skills!E6=TRUE,Inputs!$B$32,0)))*(1-IF(AND(ArtifactsInput!$M$27,Inputs!$B$4="Chapter Hunt"),CHOOSE(ArtifactsInput!$N$27+1,20,24,28,32,36,40),0)/100)))+1)),0)</f>
        <v/>
      </c>
      <c r="S1557">
        <f>IFERROR(O1557/N1557,0)</f>
        <v/>
      </c>
      <c r="T1557">
        <f>IF(C1557,(H1557*N1557*IF(AND(Inputs!$B$38&lt;&gt;"pvp",Inputs!$B$43&gt;0),((Skills!G6*((R1557-1)*IF(Skills!H6&gt;0,Skills!I6/Skills!H6,1)+IF(Skills!H6&gt;0,MIN(Skills!I6,MAX(0,MAX(0,Inputs!$B$43-B1585)-((R1557-1)*(IF(Inputs!$B$38="pvp",15,MAX(0.1,Skills!D6-IF(Skills!E6=TRUE,Inputs!$B$32,0)))*(1-IF(AND(ArtifactsInput!$M$27,Inputs!$B$4="Chapter Hunt"),CHOOSE(ArtifactsInput!$N$27+1,20,24,28,32,36,40),0)/100)))))/Skills!H6,1)))/Inputs!$B$43),G1557*Q1557)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1557*(1-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1557*(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1557*(1-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1557*(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7">
        <f>IF(C1557,(H1557*N1557*IF(AND(Inputs!$B$38&lt;&gt;"pvp",Inputs!$B$43&gt;0),((Skills!G6*((R1557-1)*IF(Skills!H6&gt;0,Skills!I6/Skills!H6,1)+IF(Skills!H6&gt;0,MIN(Skills!I6,MAX(0,MAX(0,Inputs!$B$43-B1585)-((R1557-1)*(IF(Inputs!$B$38="pvp",15,MAX(0.1,Skills!D6-IF(Skills!E6=TRUE,Inputs!$B$32,0)))*(1-IF(AND(ArtifactsInput!$M$27,Inputs!$B$4="Chapter Hunt"),CHOOSE(ArtifactsInput!$N$27+1,20,24,28,32,36,40),0)/100)))))/Skills!H6,1)))/Inputs!$B$43),G1557*Q1557))*IF(Inputs!$B$38="pvp",1,(1+(Inputs!$B$21+Skills!Q6+(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8">
      <c r="A1558">
        <f>Skills!A7</f>
        <v/>
      </c>
      <c r="B1558">
        <f>Skills!B7</f>
        <v/>
      </c>
      <c r="C1558">
        <f>Inputs!$B$3&gt;=107</f>
        <v/>
      </c>
      <c r="D1558">
        <f>IF(Skills!C7=1,60+Inputs!$B$25+Inputs!$B$29,IF(Skills!C7=2,90+Inputs!$B$26+Inputs!$B$29,IF(Skills!C7=3,120+Inputs!$B$27+Inputs!$B$29,MAX(0,(Inputs!$B$3-100)*3)+Inputs!$B$28+Inputs!$B$29)))</f>
        <v/>
      </c>
      <c r="E1558">
        <f>INDEX(FactorTable!$B$2:$Y$301, MATCH(ROUND(MIN(300,MAX(1,D1558)),0), FactorTable!$A$2:$A$301,0), Skills!M7+1)</f>
        <v/>
      </c>
      <c r="F1558">
        <f>IF(Skills!N7=TRUE,(Skills!L7/10)*(E1558/1000),Skills!L7/10)+Skills!O7</f>
        <v/>
      </c>
      <c r="G1558">
        <f>Skills!G7*IF(Skills!H7&gt;0,Skills!I7/Skills!H7,1)</f>
        <v/>
      </c>
      <c r="H1558">
        <f>1-(1-Skills!J7/100)^Skills!K7</f>
        <v/>
      </c>
      <c r="I1558" t="inlineStr">
        <is>
          <t>1</t>
        </is>
      </c>
      <c r="J1558">
        <f>((Inputs!$B$6*(1+Inputs!$B$7/100))+(((Inputs!$B$12*(1+Inputs!$B$13/100))-(Inputs!$B$12*(1+Inputs!$B$13/100)))+0.25*(Inputs!$B$14-Inputs!$B$14))*(1+Inputs!$B$7/100))*(F1558/100)</f>
        <v/>
      </c>
      <c r="K1558">
        <f>J1558*(1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1558)</f>
        <v/>
      </c>
      <c r="L1558">
        <f>K1558*(MIN(Inputs!$B$22+((C1573=TRUE)*(F1573-Calc!F22)),(Inputs!$B$23+((C1575=TRUE)*(F1575-Calc!F24))+(IF(ArtifactsInput!$M$15,CHOOSE(ArtifactsInput!$N$15+1,25,30,35,40,45,50)/100*(Inputs!$B$11-Inputs!$B$11),0))))/100+(Inputs!$B$23+((C1575=TRUE)*(F1575-Calc!F24))+(IF(ArtifactsInput!$M$15,CHOOSE(ArtifactsInput!$N$15+1,25,30,35,40,45,50)/100*(Inputs!$B$11-Inputs!$B$11),0)))/100)/2</f>
        <v/>
      </c>
      <c r="M1558">
        <f>L1558*(1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8">
        <f>L1558*(1-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1558*(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8">
        <f>(1-Summary!$B$11)*T1558+Summary!$B$11*V1558</f>
        <v/>
      </c>
      <c r="P1558">
        <f>IF(B1588=0,0,O1558/B1588)</f>
        <v/>
      </c>
      <c r="Q1558">
        <f>IFERROR(1/(IF(Inputs!$B$38="pvp",15,MAX(0.1,Skills!D7-IF(Skills!E7=TRUE,Inputs!$B$32,0)))*(1-IF(AND(ArtifactsInput!$M$27,Inputs!$B$4="Chapter Hunt"),CHOOSE(ArtifactsInput!$N$27+1,20,24,28,32,36,40),0)/100)),0)</f>
        <v/>
      </c>
      <c r="R1558">
        <f>IF(AND(Inputs!$B$38&lt;&gt;"pvp",Inputs!$B$43&gt;0),IF(MAX(0,Inputs!$B$43-B1585)&lt;=0,0,(INT(MAX(0,Inputs!$B$43-B1585)/(IF(Inputs!$B$38="pvp",15,MAX(0.1,Skills!D7-IF(Skills!E7=TRUE,Inputs!$B$32,0)))*(1-IF(AND(ArtifactsInput!$M$27,Inputs!$B$4="Chapter Hunt"),CHOOSE(ArtifactsInput!$N$27+1,20,24,28,32,36,40),0)/100)))+1)),0)</f>
        <v/>
      </c>
      <c r="S1558">
        <f>IFERROR(O1558/N1558,0)</f>
        <v/>
      </c>
      <c r="T1558">
        <f>IF(C1558,(H1558*N1558*IF(AND(Inputs!$B$38&lt;&gt;"pvp",Inputs!$B$43&gt;0),((Skills!G7*((R1558-1)*IF(Skills!H7&gt;0,Skills!I7/Skills!H7,1)+IF(Skills!H7&gt;0,MIN(Skills!I7,MAX(0,MAX(0,Inputs!$B$43-B1585)-((R1558-1)*(IF(Inputs!$B$38="pvp",15,MAX(0.1,Skills!D7-IF(Skills!E7=TRUE,Inputs!$B$32,0)))*(1-IF(AND(ArtifactsInput!$M$27,Inputs!$B$4="Chapter Hunt"),CHOOSE(ArtifactsInput!$N$27+1,20,24,28,32,36,40),0)/100)))))/Skills!H7,1)))/Inputs!$B$43),G1558*Q1558)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1558*(1-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1558*(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1558*(1-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1558*(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8">
        <f>IF(C1558,(H1558*N1558*IF(AND(Inputs!$B$38&lt;&gt;"pvp",Inputs!$B$43&gt;0),((Skills!G7*((R1558-1)*IF(Skills!H7&gt;0,Skills!I7/Skills!H7,1)+IF(Skills!H7&gt;0,MIN(Skills!I7,MAX(0,MAX(0,Inputs!$B$43-B1585)-((R1558-1)*(IF(Inputs!$B$38="pvp",15,MAX(0.1,Skills!D7-IF(Skills!E7=TRUE,Inputs!$B$32,0)))*(1-IF(AND(ArtifactsInput!$M$27,Inputs!$B$4="Chapter Hunt"),CHOOSE(ArtifactsInput!$N$27+1,20,24,28,32,36,40),0)/100)))))/Skills!H7,1)))/Inputs!$B$43),G1558*Q1558))*IF(Inputs!$B$38="pvp",1,(1+(Inputs!$B$21+Skills!Q7+(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9">
      <c r="A1559">
        <f>Skills!A8</f>
        <v/>
      </c>
      <c r="B1559">
        <f>Skills!B8</f>
        <v/>
      </c>
      <c r="C1559">
        <f>Inputs!$B$3&gt;=107</f>
        <v/>
      </c>
      <c r="D1559">
        <f>IF(Skills!C8=1,60+Inputs!$B$25+Inputs!$B$29,IF(Skills!C8=2,90+Inputs!$B$26+Inputs!$B$29,IF(Skills!C8=3,120+Inputs!$B$27+Inputs!$B$29,MAX(0,(Inputs!$B$3-100)*3)+Inputs!$B$28+Inputs!$B$29)))</f>
        <v/>
      </c>
      <c r="E1559">
        <f>INDEX(FactorTable!$B$2:$Y$301, MATCH(ROUND(MIN(300,MAX(1,D1559)),0), FactorTable!$A$2:$A$301,0), Skills!M8+1)</f>
        <v/>
      </c>
      <c r="F1559">
        <f>IF(Skills!N8=TRUE,(Skills!L8/10)*(E1559/1000),Skills!L8/10)+Skills!O8</f>
        <v/>
      </c>
      <c r="G1559">
        <f>Skills!G8*IF(Skills!H8&gt;0,Skills!I8/Skills!H8,1)</f>
        <v/>
      </c>
      <c r="H1559">
        <f>1-(1-Skills!J8/100)^Skills!K8</f>
        <v/>
      </c>
      <c r="I1559" t="inlineStr">
        <is>
          <t>1</t>
        </is>
      </c>
      <c r="J1559">
        <f>((Inputs!$B$6*(1+Inputs!$B$7/100))+(((Inputs!$B$12*(1+Inputs!$B$13/100))-(Inputs!$B$12*(1+Inputs!$B$13/100)))+0.25*(Inputs!$B$14-Inputs!$B$14))*(1+Inputs!$B$7/100))*(F1559/100)</f>
        <v/>
      </c>
      <c r="K1559">
        <f>J1559*(1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1559)</f>
        <v/>
      </c>
      <c r="L1559">
        <f>K1559*(MIN(Inputs!$B$22+((C1573=TRUE)*(F1573-Calc!F22)),(Inputs!$B$23+((C1575=TRUE)*(F1575-Calc!F24))+(IF(ArtifactsInput!$M$15,CHOOSE(ArtifactsInput!$N$15+1,25,30,35,40,45,50)/100*(Inputs!$B$11-Inputs!$B$11),0))))/100+(Inputs!$B$23+((C1575=TRUE)*(F1575-Calc!F24))+(IF(ArtifactsInput!$M$15,CHOOSE(ArtifactsInput!$N$15+1,25,30,35,40,45,50)/100*(Inputs!$B$11-Inputs!$B$11),0)))/100)/2</f>
        <v/>
      </c>
      <c r="M1559">
        <f>L1559*(1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9">
        <f>L1559*(1-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1559*(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9">
        <f>(1-Summary!$B$11)*T1559+Summary!$B$11*V1559</f>
        <v/>
      </c>
      <c r="P1559">
        <f>IF(B1588=0,0,O1559/B1588)</f>
        <v/>
      </c>
      <c r="Q1559">
        <f>IFERROR(1/(IF(Inputs!$B$38="pvp",15,MAX(0.1,Skills!D8-IF(Skills!E8=TRUE,Inputs!$B$32,0)))*(1-IF(AND(ArtifactsInput!$M$27,Inputs!$B$4="Chapter Hunt"),CHOOSE(ArtifactsInput!$N$27+1,20,24,28,32,36,40),0)/100)),0)</f>
        <v/>
      </c>
      <c r="R1559">
        <f>IF(AND(Inputs!$B$38&lt;&gt;"pvp",Inputs!$B$43&gt;0),IF(MAX(0,Inputs!$B$43-B1585)&lt;=0,0,(INT(MAX(0,Inputs!$B$43-B1585)/(IF(Inputs!$B$38="pvp",15,MAX(0.1,Skills!D8-IF(Skills!E8=TRUE,Inputs!$B$32,0)))*(1-IF(AND(ArtifactsInput!$M$27,Inputs!$B$4="Chapter Hunt"),CHOOSE(ArtifactsInput!$N$27+1,20,24,28,32,36,40),0)/100)))+1)),0)</f>
        <v/>
      </c>
      <c r="S1559">
        <f>IFERROR(O1559/N1559,0)</f>
        <v/>
      </c>
      <c r="T1559">
        <f>IF(C1559,(H1559*N1559*IF(AND(Inputs!$B$38&lt;&gt;"pvp",Inputs!$B$43&gt;0),((Skills!G8*((R1559-1)*IF(Skills!H8&gt;0,Skills!I8/Skills!H8,1)+IF(Skills!H8&gt;0,MIN(Skills!I8,MAX(0,MAX(0,Inputs!$B$43-B1585)-((R1559-1)*(IF(Inputs!$B$38="pvp",15,MAX(0.1,Skills!D8-IF(Skills!E8=TRUE,Inputs!$B$32,0)))*(1-IF(AND(ArtifactsInput!$M$27,Inputs!$B$4="Chapter Hunt"),CHOOSE(ArtifactsInput!$N$27+1,20,24,28,32,36,40),0)/100)))))/Skills!H8,1)))/Inputs!$B$43),G1559*Q1559)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1559*(1-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1559*(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1559*(1-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1559*(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59">
        <f>IF(C1559,(H1559*N1559*IF(AND(Inputs!$B$38&lt;&gt;"pvp",Inputs!$B$43&gt;0),((Skills!G8*((R1559-1)*IF(Skills!H8&gt;0,Skills!I8/Skills!H8,1)+IF(Skills!H8&gt;0,MIN(Skills!I8,MAX(0,MAX(0,Inputs!$B$43-B1585)-((R1559-1)*(IF(Inputs!$B$38="pvp",15,MAX(0.1,Skills!D8-IF(Skills!E8=TRUE,Inputs!$B$32,0)))*(1-IF(AND(ArtifactsInput!$M$27,Inputs!$B$4="Chapter Hunt"),CHOOSE(ArtifactsInput!$N$27+1,20,24,28,32,36,40),0)/100)))))/Skills!H8,1)))/Inputs!$B$43),G1559*Q1559))*IF(Inputs!$B$38="pvp",1,(1+(Inputs!$B$21+Skills!Q8+(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0">
      <c r="A1560">
        <f>Skills!A9</f>
        <v/>
      </c>
      <c r="B1560">
        <f>Skills!B9</f>
        <v/>
      </c>
      <c r="C1560">
        <f>Inputs!$B$3&gt;=125</f>
        <v/>
      </c>
      <c r="D1560">
        <f>IF(Skills!C9=1,60+Inputs!$B$25+Inputs!$B$29,IF(Skills!C9=2,90+Inputs!$B$26+Inputs!$B$29,IF(Skills!C9=3,120+Inputs!$B$27+Inputs!$B$29,MAX(0,(Inputs!$B$3-100)*3)+Inputs!$B$28+Inputs!$B$29)))</f>
        <v/>
      </c>
      <c r="E1560">
        <f>INDEX(FactorTable!$B$2:$Y$301, MATCH(ROUND(MIN(300,MAX(1,D1560)),0), FactorTable!$A$2:$A$301,0), Skills!M9+1)</f>
        <v/>
      </c>
      <c r="F1560">
        <f>IF(Skills!N9=TRUE,(Skills!L9/10)*(E1560/1000),Skills!L9/10)+Skills!O9</f>
        <v/>
      </c>
      <c r="G1560">
        <f>Skills!G9*IF(Skills!H9&gt;0,Skills!I9/Skills!H9,1)</f>
        <v/>
      </c>
      <c r="H1560">
        <f>1-(1-Skills!J9/100)^Skills!K9</f>
        <v/>
      </c>
      <c r="I1560" t="inlineStr">
        <is>
          <t>1</t>
        </is>
      </c>
      <c r="J1560">
        <f>((Inputs!$B$6*(1+Inputs!$B$7/100))+(((Inputs!$B$12*(1+Inputs!$B$13/100))-(Inputs!$B$12*(1+Inputs!$B$13/100)))+0.25*(Inputs!$B$14-Inputs!$B$14))*(1+Inputs!$B$7/100))*(F1560/100)</f>
        <v/>
      </c>
      <c r="K1560">
        <f>J1560*(1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1560)</f>
        <v/>
      </c>
      <c r="L1560">
        <f>K1560*(MIN(Inputs!$B$22+((C1573=TRUE)*(F1573-Calc!F22)),(Inputs!$B$23+((C1575=TRUE)*(F1575-Calc!F24))+(IF(ArtifactsInput!$M$15,CHOOSE(ArtifactsInput!$N$15+1,25,30,35,40,45,50)/100*(Inputs!$B$11-Inputs!$B$11),0))))/100+(Inputs!$B$23+((C1575=TRUE)*(F1575-Calc!F24))+(IF(ArtifactsInput!$M$15,CHOOSE(ArtifactsInput!$N$15+1,25,30,35,40,45,50)/100*(Inputs!$B$11-Inputs!$B$11),0)))/100)/2</f>
        <v/>
      </c>
      <c r="M1560">
        <f>L1560*(1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0">
        <f>L1560*(1-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1560*(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0">
        <f>(1-Summary!$B$11)*T1560+Summary!$B$11*V1560</f>
        <v/>
      </c>
      <c r="P1560">
        <f>IF(B1588=0,0,O1560/B1588)</f>
        <v/>
      </c>
      <c r="Q1560">
        <f>IFERROR(1/(IF(Inputs!$B$38="pvp",15,MAX(0.1,Skills!D9-IF(Skills!E9=TRUE,Inputs!$B$32,0)))*(1-IF(AND(ArtifactsInput!$M$27,Inputs!$B$4="Chapter Hunt"),CHOOSE(ArtifactsInput!$N$27+1,20,24,28,32,36,40),0)/100)),0)</f>
        <v/>
      </c>
      <c r="R1560">
        <f>IF(AND(Inputs!$B$38&lt;&gt;"pvp",Inputs!$B$43&gt;0),IF(MAX(0,Inputs!$B$43-B1585)&lt;=0,0,(INT(MAX(0,Inputs!$B$43-B1585)/(IF(Inputs!$B$38="pvp",15,MAX(0.1,Skills!D9-IF(Skills!E9=TRUE,Inputs!$B$32,0)))*(1-IF(AND(ArtifactsInput!$M$27,Inputs!$B$4="Chapter Hunt"),CHOOSE(ArtifactsInput!$N$27+1,20,24,28,32,36,40),0)/100)))+1)),0)</f>
        <v/>
      </c>
      <c r="S1560">
        <f>IFERROR(O1560/N1560,0)</f>
        <v/>
      </c>
      <c r="T1560">
        <f>IF(C1560,(H1560*N1560*IF(AND(Inputs!$B$38&lt;&gt;"pvp",Inputs!$B$43&gt;0),((Skills!G9*((R1560-1)*IF(Skills!H9&gt;0,Skills!I9/Skills!H9,1)+IF(Skills!H9&gt;0,MIN(Skills!I9,MAX(0,MAX(0,Inputs!$B$43-B1585)-((R1560-1)*(IF(Inputs!$B$38="pvp",15,MAX(0.1,Skills!D9-IF(Skills!E9=TRUE,Inputs!$B$32,0)))*(1-IF(AND(ArtifactsInput!$M$27,Inputs!$B$4="Chapter Hunt"),CHOOSE(ArtifactsInput!$N$27+1,20,24,28,32,36,40),0)/100)))))/Skills!H9,1)))/Inputs!$B$43),G1560*Q1560)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1560*(1-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1560*(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1560*(1-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1560*(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0">
        <f>IF(C1560,(H1560*N1560*IF(AND(Inputs!$B$38&lt;&gt;"pvp",Inputs!$B$43&gt;0),((Skills!G9*((R1560-1)*IF(Skills!H9&gt;0,Skills!I9/Skills!H9,1)+IF(Skills!H9&gt;0,MIN(Skills!I9,MAX(0,MAX(0,Inputs!$B$43-B1585)-((R1560-1)*(IF(Inputs!$B$38="pvp",15,MAX(0.1,Skills!D9-IF(Skills!E9=TRUE,Inputs!$B$32,0)))*(1-IF(AND(ArtifactsInput!$M$27,Inputs!$B$4="Chapter Hunt"),CHOOSE(ArtifactsInput!$N$27+1,20,24,28,32,36,40),0)/100)))))/Skills!H9,1)))/Inputs!$B$43),G1560*Q1560))*IF(Inputs!$B$38="pvp",1,(1+(Inputs!$B$21+Skills!Q9+(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1">
      <c r="A1561">
        <f>Skills!A10</f>
        <v/>
      </c>
      <c r="B1561">
        <f>Skills!B10</f>
        <v/>
      </c>
      <c r="C1561">
        <f>Inputs!$B$3&gt;=117</f>
        <v/>
      </c>
      <c r="D1561">
        <f>IF(Skills!C10=1,60+Inputs!$B$25+Inputs!$B$29,IF(Skills!C10=2,90+Inputs!$B$26+Inputs!$B$29,IF(Skills!C10=3,120+Inputs!$B$27+Inputs!$B$29,MAX(0,(Inputs!$B$3-100)*3)+Inputs!$B$28+Inputs!$B$29)))</f>
        <v/>
      </c>
      <c r="E1561">
        <f>INDEX(FactorTable!$B$2:$Y$301, MATCH(ROUND(MIN(300,MAX(1,D1561)),0), FactorTable!$A$2:$A$301,0), Skills!M10+1)</f>
        <v/>
      </c>
      <c r="F1561">
        <f>IF(Skills!N10=TRUE,(Skills!L10/10)*(E1561/1000),Skills!L10/10)+Skills!O10</f>
        <v/>
      </c>
      <c r="G1561">
        <f>Skills!G10*IF(Skills!H10&gt;0,Skills!I10/Skills!H10,1)</f>
        <v/>
      </c>
      <c r="H1561">
        <f>1-(1-Skills!J10/100)^Skills!K10</f>
        <v/>
      </c>
      <c r="I1561" t="inlineStr">
        <is>
          <t>1</t>
        </is>
      </c>
      <c r="J1561">
        <f>((Inputs!$B$6*(1+Inputs!$B$7/100))+(((Inputs!$B$12*(1+Inputs!$B$13/100))-(Inputs!$B$12*(1+Inputs!$B$13/100)))+0.25*(Inputs!$B$14-Inputs!$B$14))*(1+Inputs!$B$7/100))*(F1561/100)</f>
        <v/>
      </c>
      <c r="K1561">
        <f>J1561*(1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1561)</f>
        <v/>
      </c>
      <c r="L1561">
        <f>K1561*(MIN(Inputs!$B$22+((C1573=TRUE)*(F1573-Calc!F22)),(Inputs!$B$23+((C1575=TRUE)*(F1575-Calc!F24))+(IF(ArtifactsInput!$M$15,CHOOSE(ArtifactsInput!$N$15+1,25,30,35,40,45,50)/100*(Inputs!$B$11-Inputs!$B$11),0))))/100+(Inputs!$B$23+((C1575=TRUE)*(F1575-Calc!F24))+(IF(ArtifactsInput!$M$15,CHOOSE(ArtifactsInput!$N$15+1,25,30,35,40,45,50)/100*(Inputs!$B$11-Inputs!$B$11),0)))/100)/2</f>
        <v/>
      </c>
      <c r="M1561">
        <f>L1561*(1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1">
        <f>L1561*(1-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1">
        <f>(1-Summary!$B$11)*T1561+Summary!$B$11*V1561</f>
        <v/>
      </c>
      <c r="P1561">
        <f>IF(B1588=0,0,O1561/B1588)</f>
        <v/>
      </c>
      <c r="Q1561">
        <f>IFERROR(1/(IF(Inputs!$B$38="pvp",15,MAX(0.1,Skills!D10-IF(Skills!E10=TRUE,Inputs!$B$32,0)))*(1-IF(AND(ArtifactsInput!$M$27,Inputs!$B$4="Chapter Hunt"),CHOOSE(ArtifactsInput!$N$27+1,20,24,28,32,36,40),0)/100)),0)</f>
        <v/>
      </c>
      <c r="R1561">
        <f>IF(AND(Inputs!$B$38&lt;&gt;"pvp",Inputs!$B$43&gt;0),IF(MAX(0,Inputs!$B$43-B1585)&lt;=0,0,(INT(MAX(0,Inputs!$B$43-B1585)/(IF(Inputs!$B$38="pvp",15,MAX(0.1,Skills!D10-IF(Skills!E10=TRUE,Inputs!$B$32,0)))*(1-IF(AND(ArtifactsInput!$M$27,Inputs!$B$4="Chapter Hunt"),CHOOSE(ArtifactsInput!$N$27+1,20,24,28,32,36,40),0)/100)))+1)),0)</f>
        <v/>
      </c>
      <c r="S1561">
        <f>IFERROR(O1561/N1561,0)</f>
        <v/>
      </c>
      <c r="T1561">
        <f>IF(C1561,(H1561*N1561*IF(AND(Inputs!$B$38&lt;&gt;"pvp",Inputs!$B$43&gt;0),((Skills!G10*((R1561-1)*IF(Skills!H10&gt;0,Skills!I10/Skills!H10,1)+IF(Skills!H10&gt;0,MIN(Skills!I10,MAX(0,MAX(0,Inputs!$B$43-B1585)-((R1561-1)*(IF(Inputs!$B$38="pvp",15,MAX(0.1,Skills!D10-IF(Skills!E10=TRUE,Inputs!$B$32,0)))*(1-IF(AND(ArtifactsInput!$M$27,Inputs!$B$4="Chapter Hunt"),CHOOSE(ArtifactsInput!$N$27+1,20,24,28,32,36,40),0)/100)))))/Skills!H10,1)))/Inputs!$B$43),G1561*Q1561)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1561*(1-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1561*(1-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1">
        <f>IF(C1561,(H1561*N1561*IF(AND(Inputs!$B$38&lt;&gt;"pvp",Inputs!$B$43&gt;0),((Skills!G10*((R1561-1)*IF(Skills!H10&gt;0,Skills!I10/Skills!H10,1)+IF(Skills!H10&gt;0,MIN(Skills!I10,MAX(0,MAX(0,Inputs!$B$43-B1585)-((R1561-1)*(IF(Inputs!$B$38="pvp",15,MAX(0.1,Skills!D10-IF(Skills!E10=TRUE,Inputs!$B$32,0)))*(1-IF(AND(ArtifactsInput!$M$27,Inputs!$B$4="Chapter Hunt"),CHOOSE(ArtifactsInput!$N$27+1,20,24,28,32,36,40),0)/100)))))/Skills!H10,1)))/Inputs!$B$43),G1561*Q1561))*IF(Inputs!$B$38="pvp",1,(1+(Inputs!$B$21+Skills!Q10+(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2">
      <c r="A1562">
        <f>Skills!A11</f>
        <v/>
      </c>
      <c r="B1562">
        <f>Skills!B11</f>
        <v/>
      </c>
      <c r="C1562">
        <f>Inputs!$B$3&gt;=63</f>
        <v/>
      </c>
      <c r="D1562">
        <f>IF(Skills!C11=1,60+Inputs!$B$25+Inputs!$B$29,IF(Skills!C11=2,90+Inputs!$B$26+Inputs!$B$29,IF(Skills!C11=3,120+Inputs!$B$27+Inputs!$B$29,MAX(0,(Inputs!$B$3-100)*3)+Inputs!$B$28+Inputs!$B$29)))</f>
        <v/>
      </c>
      <c r="E1562">
        <f>INDEX(FactorTable!$B$2:$Y$301, MATCH(ROUND(MIN(300,MAX(1,D1562)),0), FactorTable!$A$2:$A$301,0), Skills!M11+1)</f>
        <v/>
      </c>
      <c r="F1562">
        <f>IF(Skills!N11=TRUE,(Skills!L11/10)*(E1562/1000),Skills!L11/10)+Skills!O11</f>
        <v/>
      </c>
      <c r="G1562">
        <f>Skills!G11*IF(Skills!H11&gt;0,Skills!I11/Skills!H11,1)</f>
        <v/>
      </c>
      <c r="H1562">
        <f>1-(1-Skills!J11/100)^Skills!K11</f>
        <v/>
      </c>
      <c r="I1562" t="inlineStr">
        <is>
          <t>1</t>
        </is>
      </c>
      <c r="J1562">
        <f>((Inputs!$B$6*(1+Inputs!$B$7/100))+(((Inputs!$B$12*(1+Inputs!$B$13/100))-(Inputs!$B$12*(1+Inputs!$B$13/100)))+0.25*(Inputs!$B$14-Inputs!$B$14))*(1+Inputs!$B$7/100))*(F1562/100)</f>
        <v/>
      </c>
      <c r="K1562">
        <f>J1562*(1+((Inputs!$B$12*(1+Inputs!$B$13/100))*0.01+Inputs!$B$14*0.0025)/100)*(1+Inputs!$B$15/100)*(1+Inputs!$B$16/100)*(5000/(6000+Inputs!$B$42*(1-(Inputs!$B$19+0)/100)))*(1+(Inputs!$B$24+0+B1584)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1563=TRUE,F1563,0)/100)*(1+(IF(Skills!A11="BLAST",Inputs!$B$17+((C1572=TRUE)*(F1572-Calc!F21))+((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MIN(100,((Inputs!$B$9+0+B1578+(ArtifactsInput!$M$24-ArtifactsInput!$M$24)*CHOOSE(ArtifactsInput!$N$24+1,10,12,14,16,18,20)+IF(ArtifactsInput!$M$10,CHOOSE(ArtifactsInput!$N$10+1,15,18,21,24,27,30)*(IF(Inputs!$B$38="pvp",MIN(15,15)/15,IF(AND(Inputs!$B$38&lt;&gt;"pvp",Inputs!$B$43&gt;0),MIN(15,Inputs!$B$43)/(Inputs!$B$43),0))),0)))-100),0))*CHOOSE(ArtifactsInput!$N$42+1,0.6,0.72,0.84,0.96,1.08,1.2))),Inputs!$B$18+((C1574=TRUE)*(F1574-Calc!F23))+(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gt;=100),CHOOSE(ArtifactsInput!$N$42+1,40,48,56,64,72,80),0))))/100)*((1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1562)</f>
        <v/>
      </c>
      <c r="L1562">
        <f>K1562*(MIN(Inputs!$B$22+((C1573=TRUE)*(F1573-Calc!F22)),(Inputs!$B$23+((C1575=TRUE)*(F1575-Calc!F24))+(IF(ArtifactsInput!$M$15,CHOOSE(ArtifactsInput!$N$15+1,25,30,35,40,45,50)/100*(Inputs!$B$11-Inputs!$B$11),0))))/100+(Inputs!$B$23+((C1575=TRUE)*(F1575-Calc!F24))+(IF(ArtifactsInput!$M$15,CHOOSE(ArtifactsInput!$N$15+1,25,30,35,40,45,50)/100*(Inputs!$B$11-Inputs!$B$11),0)))/100)/2</f>
        <v/>
      </c>
      <c r="M1562">
        <f>L1562*(1+(Inputs!$B$10+0+B1583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2">
        <f>L1562*(1-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1562*(MIN((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2">
        <f>(1-Summary!$B$11)*T1562+Summary!$B$11*V1562</f>
        <v/>
      </c>
      <c r="P1562">
        <f>IF(B1588=0,0,O1562/B1588)</f>
        <v/>
      </c>
      <c r="Q1562">
        <f>IFERROR(1/(IF(Inputs!$B$38="pvp",15,MAX(0.1,Skills!D11-IF(Skills!E11=TRUE,Inputs!$B$32,0)))*(1-IF(AND(ArtifactsInput!$M$27,Inputs!$B$4="Chapter Hunt"),CHOOSE(ArtifactsInput!$N$27+1,20,24,28,32,36,40),0)/100)),0)</f>
        <v/>
      </c>
      <c r="R1562">
        <f>IF(AND(Inputs!$B$38&lt;&gt;"pvp",Inputs!$B$43&gt;0),IF(MAX(0,Inputs!$B$43-B1585)&lt;=0,0,(INT(MAX(0,Inputs!$B$43-B1585)/(IF(Inputs!$B$38="pvp",15,MAX(0.1,Skills!D11-IF(Skills!E11=TRUE,Inputs!$B$32,0)))*(1-IF(AND(ArtifactsInput!$M$27,Inputs!$B$4="Chapter Hunt"),CHOOSE(ArtifactsInput!$N$27+1,20,24,28,32,36,40),0)/100)))+1)),0)</f>
        <v/>
      </c>
      <c r="S1562">
        <f>IFERROR(O1562/N1562,0)</f>
        <v/>
      </c>
      <c r="T1562">
        <f>IF(C1562,(H1562*N1562*IF(AND(Inputs!$B$38&lt;&gt;"pvp",Inputs!$B$43&gt;0),((Skills!G11*((R1562-1)*IF(Skills!H11&gt;0,Skills!I11/Skills!H11,1)+IF(Skills!H11&gt;0,MIN(Skills!I11,MAX(0,MAX(0,Inputs!$B$43-B1585)-((R1562-1)*(IF(Inputs!$B$38="pvp",15,MAX(0.1,Skills!D11-IF(Skills!E11=TRUE,Inputs!$B$32,0)))*(1-IF(AND(ArtifactsInput!$M$27,Inputs!$B$4="Chapter Hunt"),CHOOSE(ArtifactsInput!$N$27+1,20,24,28,32,36,40),0)/100)))))/Skills!H11,1)))/Inputs!$B$43),G1562*Q1562)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1562*(1-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1562*(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1562*(1-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1562*(MIN(100,(Inputs!$B$9+0+B1578+(ArtifactsInput!$M$24-ArtifactsInput!$M$24)*CHOOSE(ArtifactsInput!$N$24+1,10,12,14,16,18,20)+(IF(AND(Inputs!$B$38&lt;&gt;"pvp",Inputs!$B$43=0),1,IF(IF(Inputs!$B$38="pvp",15,Inputs!$B$43)-(B1585)&lt;=0,1,MAX(0,IF(Inputs!$B$38="pvp",15,Inputs!$B$43)-MAX(5,B1585))/(IF(Inputs!$B$38="pvp",15,Inputs!$B$43)-(B1585))))*IF(AND(ArtifactsInput!$M$42,((Inputs!$B$9+0+B1578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2">
        <f>IF(C1562,(H1562*N1562*IF(AND(Inputs!$B$38&lt;&gt;"pvp",Inputs!$B$43&gt;0),((Skills!G11*((R1562-1)*IF(Skills!H11&gt;0,Skills!I11/Skills!H11,1)+IF(Skills!H11&gt;0,MIN(Skills!I11,MAX(0,MAX(0,Inputs!$B$43-B1585)-((R1562-1)*(IF(Inputs!$B$38="pvp",15,MAX(0.1,Skills!D11-IF(Skills!E11=TRUE,Inputs!$B$32,0)))*(1-IF(AND(ArtifactsInput!$M$27,Inputs!$B$4="Chapter Hunt"),CHOOSE(ArtifactsInput!$N$27+1,20,24,28,32,36,40),0)/100)))))/Skills!H11,1)))/Inputs!$B$43),G1562*Q1562))*IF(Inputs!$B$38="pvp",1,(1+(Inputs!$B$21+Skills!Q11+(IF(ArtifactsInput!$M$33,CHOOSE(ArtifactsInput!$N$33+1,30,36,42,48,54,60),0))+(IF(AND(ArtifactsInput!$M$35,Inputs!$B$4&lt;&gt;"Chapter Hunt"),CHOOSE(ArtifactsInput!$N$35+1,15,18,21,24,27,30)*(1-EXP(-(0.2*B1580)*5)),0)+IF(AND(ArtifactsInput!$M$22,Inputs!$B$4&lt;&gt;"Chapter Hunt"),CHOOSE(ArtifactsInput!$N$22+1,10,12,14,16,18,20)*((0*(((0.15*B1580*5))^0/1)+1*(((0.15*B1580*5))^1/1)+2*(((0.15*B1580*5))^2/2)+3*(((0.15*B1580*5))^3/6)+4*(((0.15*B1580*5))^4/24)+5*(((0.15*B1580*5))^5/120))/((((0.15*B1580*5))^0/1)+(((0.15*B1580*5))^1/1)+(((0.15*B1580*5))^2/2)+(((0.15*B1580*5))^3/6)+(((0.15*B1580*5))^4/24)+(((0.15*B1580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3">
      <c r="A1563">
        <f>Skills!A12</f>
        <v/>
      </c>
      <c r="B1563">
        <f>Skills!B12</f>
        <v/>
      </c>
      <c r="C1563">
        <f>Inputs!$B$3&gt;=100</f>
        <v/>
      </c>
      <c r="D1563">
        <f>IF(Skills!C12=1,60+Inputs!$B$25+Inputs!$B$29,IF(Skills!C12=2,90+Inputs!$B$26+Inputs!$B$29,IF(Skills!C12=3,120+Inputs!$B$27+Inputs!$B$29,MAX(0,(Inputs!$B$3-100)*3)+Inputs!$B$28+Inputs!$B$29)))</f>
        <v/>
      </c>
      <c r="E1563">
        <f>INDEX(FactorTable!$B$2:$Y$301, MATCH(ROUND(MIN(300,MAX(1,D1563)),0), FactorTable!$A$2:$A$301,0), Skills!M12+1)</f>
        <v/>
      </c>
      <c r="F1563">
        <f>IF(Skills!N12=TRUE,(Skills!L12/10)*(E1563/1000),Skills!L12/10)+Skills!O12</f>
        <v/>
      </c>
      <c r="G1563" t="inlineStr"/>
      <c r="H1563" t="inlineStr"/>
      <c r="I1563" t="inlineStr">
        <is>
          <t>1</t>
        </is>
      </c>
      <c r="J1563" t="inlineStr"/>
      <c r="K1563" t="inlineStr"/>
      <c r="L1563" t="inlineStr"/>
      <c r="M1563" t="inlineStr"/>
      <c r="N1563" t="inlineStr"/>
      <c r="O1563" t="inlineStr"/>
      <c r="P1563" t="inlineStr"/>
      <c r="Q1563" t="inlineStr"/>
      <c r="R1563" t="inlineStr"/>
      <c r="S1563" t="inlineStr"/>
    </row>
    <row r="1564">
      <c r="A1564">
        <f>Skills!A13</f>
        <v/>
      </c>
      <c r="B1564">
        <f>Skills!B13</f>
        <v/>
      </c>
      <c r="C1564">
        <f>Inputs!$B$3&gt;=45</f>
        <v/>
      </c>
      <c r="D1564">
        <f>IF(Skills!C13=1,60+Inputs!$B$25+Inputs!$B$29,IF(Skills!C13=2,90+Inputs!$B$26+Inputs!$B$29,IF(Skills!C13=3,120+Inputs!$B$27+Inputs!$B$29,MAX(0,(Inputs!$B$3-100)*3)+Inputs!$B$28+Inputs!$B$29)))</f>
        <v/>
      </c>
      <c r="E1564">
        <f>INDEX(FactorTable!$B$2:$Y$301, MATCH(ROUND(MIN(300,MAX(1,D1564)),0), FactorTable!$A$2:$A$301,0), Skills!M13+1)</f>
        <v/>
      </c>
      <c r="F1564">
        <f>IF(Skills!N13=TRUE,(Skills!L13/10)*(E1564/1000),Skills!L13/10)+Skills!O13</f>
        <v/>
      </c>
      <c r="G1564">
        <f>Skills!G13*IF(Skills!H13&gt;0,Skills!I13/Skills!H13,1)</f>
        <v/>
      </c>
      <c r="H1564">
        <f>1-(1-Skills!J13/100)^Skills!K13</f>
        <v/>
      </c>
      <c r="I1564" t="inlineStr">
        <is>
          <t>1</t>
        </is>
      </c>
      <c r="J1564" t="inlineStr"/>
      <c r="K1564" t="inlineStr"/>
      <c r="L1564" t="inlineStr"/>
      <c r="M1564" t="inlineStr"/>
      <c r="N1564" t="inlineStr"/>
      <c r="O1564">
        <f>(1-Summary!$B$11)*T1564+Summary!$B$11*V1564</f>
        <v/>
      </c>
      <c r="P1564">
        <f>IF(B1588=0,0,O1564/B1588)</f>
        <v/>
      </c>
      <c r="Q1564" t="n">
        <v>0</v>
      </c>
      <c r="R1564" t="n">
        <v>0</v>
      </c>
      <c r="S1564">
        <f>IFERROR(O1564/N1564,0)</f>
        <v/>
      </c>
      <c r="T1564" t="n">
        <v>0</v>
      </c>
      <c r="V1564" t="n">
        <v>0</v>
      </c>
    </row>
    <row r="1565">
      <c r="A1565">
        <f>Skills!A14</f>
        <v/>
      </c>
      <c r="B1565">
        <f>Skills!B14</f>
        <v/>
      </c>
      <c r="C1565">
        <f>Inputs!$B$3&gt;=110</f>
        <v/>
      </c>
      <c r="D1565">
        <f>IF(Skills!C14=1,60+Inputs!$B$25+Inputs!$B$29,IF(Skills!C14=2,90+Inputs!$B$26+Inputs!$B$29,IF(Skills!C14=3,120+Inputs!$B$27+Inputs!$B$29,MAX(0,(Inputs!$B$3-100)*3)+Inputs!$B$28+Inputs!$B$29)))</f>
        <v/>
      </c>
      <c r="E1565">
        <f>INDEX(FactorTable!$B$2:$Y$301, MATCH(ROUND(MIN(300,MAX(1,D1565)),0), FactorTable!$A$2:$A$301,0), Skills!M14+1)</f>
        <v/>
      </c>
      <c r="F1565">
        <f>IF(Skills!N14=TRUE,(Skills!L14/10)*(E1565/1000),Skills!L14/10)+Skills!O14</f>
        <v/>
      </c>
      <c r="G1565">
        <f>Skills!G14*IF(Skills!H14&gt;0,Skills!I14/Skills!H14,1)</f>
        <v/>
      </c>
      <c r="H1565">
        <f>1-(1-Skills!J14/100)^Skills!K14</f>
        <v/>
      </c>
      <c r="I1565" t="inlineStr">
        <is>
          <t>1</t>
        </is>
      </c>
      <c r="J1565" t="inlineStr"/>
      <c r="K1565" t="inlineStr"/>
      <c r="L1565" t="inlineStr"/>
      <c r="M1565" t="inlineStr"/>
      <c r="N1565" t="inlineStr"/>
      <c r="O1565">
        <f>(1-Summary!$B$11)*T1565+Summary!$B$11*V1565</f>
        <v/>
      </c>
      <c r="P1565">
        <f>IF(B1588=0,0,O1565/B1588)</f>
        <v/>
      </c>
      <c r="Q1565" t="n">
        <v>0</v>
      </c>
      <c r="R1565" t="n">
        <v>0</v>
      </c>
      <c r="S1565">
        <f>IFERROR(O1565/N1565,0)</f>
        <v/>
      </c>
      <c r="T1565" t="n">
        <v>0</v>
      </c>
      <c r="V1565" t="n">
        <v>0</v>
      </c>
    </row>
    <row r="1566">
      <c r="A1566">
        <f>Skills!A15</f>
        <v/>
      </c>
      <c r="B1566">
        <f>Skills!B15</f>
        <v/>
      </c>
      <c r="C1566">
        <f>Inputs!$B$3&gt;=75</f>
        <v/>
      </c>
      <c r="D1566">
        <f>IF(Skills!C15=1,60+Inputs!$B$25+Inputs!$B$29,IF(Skills!C15=2,90+Inputs!$B$26+Inputs!$B$29,IF(Skills!C15=3,120+Inputs!$B$27+Inputs!$B$29,MAX(0,(Inputs!$B$3-100)*3)+Inputs!$B$28+Inputs!$B$29)))</f>
        <v/>
      </c>
      <c r="E1566">
        <f>INDEX(FactorTable!$B$2:$Y$301, MATCH(ROUND(MIN(300,MAX(1,D1566)),0), FactorTable!$A$2:$A$301,0), Skills!M15+1)</f>
        <v/>
      </c>
      <c r="F1566">
        <f>IF(Skills!N15=TRUE,(Skills!L15/10)*(E1566/1000),Skills!L15/10)+Skills!O15</f>
        <v/>
      </c>
      <c r="G1566">
        <f>Skills!G15*IF(Skills!H15&gt;0,Skills!I15/Skills!H15,1)</f>
        <v/>
      </c>
      <c r="H1566">
        <f>1-(1-Skills!J15/100)^Skills!K15</f>
        <v/>
      </c>
      <c r="I1566" t="inlineStr">
        <is>
          <t>1</t>
        </is>
      </c>
      <c r="J1566" t="inlineStr"/>
      <c r="K1566" t="inlineStr"/>
      <c r="L1566" t="inlineStr"/>
      <c r="M1566" t="inlineStr"/>
      <c r="N1566" t="inlineStr"/>
      <c r="O1566">
        <f>(1-Summary!$B$11)*T1566+Summary!$B$11*V1566</f>
        <v/>
      </c>
      <c r="P1566">
        <f>IF(B1588=0,0,O1566/B1588)</f>
        <v/>
      </c>
      <c r="Q1566">
        <f>IFERROR(1/(IF(Inputs!$B$38="pvp",15,MAX(0.1,Skills!D15-IF(Skills!E15=TRUE,Inputs!$B$32,0)))*(1-IF(AND(ArtifactsInput!$M$27,Inputs!$B$4="Chapter Hunt"),CHOOSE(ArtifactsInput!$N$27+1,20,24,28,32,36,40),0)/100)),0)</f>
        <v/>
      </c>
      <c r="R1566">
        <f>IF(AND(Inputs!$B$38&lt;&gt;"pvp",Inputs!$B$43&gt;0),IF(Inputs!$B$43&lt;=0,0,(INT(Inputs!$B$43/(IF(Inputs!$B$38="pvp",15,MAX(0.1,Skills!D15-IF(Skills!E15=TRUE,Inputs!$B$32,0)))*(1-IF(AND(ArtifactsInput!$M$27,Inputs!$B$4="Chapter Hunt"),CHOOSE(ArtifactsInput!$N$27+1,20,24,28,32,36,40),0)/100)))+1)),0)</f>
        <v/>
      </c>
      <c r="S1566">
        <f>IFERROR(O1566/N1566,0)</f>
        <v/>
      </c>
      <c r="T1566" t="n">
        <v>0</v>
      </c>
      <c r="V1566" t="n">
        <v>0</v>
      </c>
    </row>
    <row r="1567">
      <c r="A1567">
        <f>Skills!A16</f>
        <v/>
      </c>
      <c r="B1567">
        <f>Skills!B16</f>
        <v/>
      </c>
      <c r="C1567">
        <f>Inputs!$B$3&gt;=105</f>
        <v/>
      </c>
      <c r="D1567">
        <f>IF(Skills!C16=1,60+Inputs!$B$25+Inputs!$B$29,IF(Skills!C16=2,90+Inputs!$B$26+Inputs!$B$29,IF(Skills!C16=3,120+Inputs!$B$27+Inputs!$B$29,MAX(0,(Inputs!$B$3-100)*3)+Inputs!$B$28+Inputs!$B$29)))</f>
        <v/>
      </c>
      <c r="E1567">
        <f>INDEX(FactorTable!$B$2:$Y$301, MATCH(ROUND(MIN(300,MAX(1,D1567)),0), FactorTable!$A$2:$A$301,0), Skills!M16+1)</f>
        <v/>
      </c>
      <c r="F1567">
        <f>IF(Skills!N16=TRUE,(Skills!L16/10)*(E1567/1000),Skills!L16/10)+Skills!O16</f>
        <v/>
      </c>
      <c r="G1567">
        <f>Skills!G16*IF(Skills!H16&gt;0,Skills!I16/Skills!H16,1)</f>
        <v/>
      </c>
      <c r="H1567">
        <f>1-(1-Skills!J16/100)^Skills!K16</f>
        <v/>
      </c>
      <c r="I1567" t="inlineStr">
        <is>
          <t>1</t>
        </is>
      </c>
      <c r="J1567" t="inlineStr"/>
      <c r="K1567" t="inlineStr"/>
      <c r="L1567" t="inlineStr"/>
      <c r="M1567" t="inlineStr"/>
      <c r="N1567" t="inlineStr"/>
      <c r="O1567">
        <f>(1-Summary!$B$11)*T1567+Summary!$B$11*V1567</f>
        <v/>
      </c>
      <c r="P1567">
        <f>IF(B1588=0,0,O1567/B1588)</f>
        <v/>
      </c>
      <c r="Q1567">
        <f>IFERROR(1/(IF(Inputs!$B$38="pvp",15,MAX(0.1,Skills!D16-IF(Skills!E16=TRUE,Inputs!$B$32,0)))*(1-IF(AND(ArtifactsInput!$M$27,Inputs!$B$4="Chapter Hunt"),CHOOSE(ArtifactsInput!$N$27+1,20,24,28,32,36,40),0)/100)),0)</f>
        <v/>
      </c>
      <c r="R1567">
        <f>IF(AND(Inputs!$B$38&lt;&gt;"pvp",Inputs!$B$43&gt;0),IF(Inputs!$B$43&lt;=0,0,(INT(Inputs!$B$43/(IF(Inputs!$B$38="pvp",15,MAX(0.1,Skills!D16-IF(Skills!E16=TRUE,Inputs!$B$32,0)))*(1-IF(AND(ArtifactsInput!$M$27,Inputs!$B$4="Chapter Hunt"),CHOOSE(ArtifactsInput!$N$27+1,20,24,28,32,36,40),0)/100)))+1)),0)</f>
        <v/>
      </c>
      <c r="S1567">
        <f>IFERROR(O1567/N1567,0)</f>
        <v/>
      </c>
      <c r="T1567" t="n">
        <v>0</v>
      </c>
      <c r="V1567" t="n">
        <v>0</v>
      </c>
    </row>
    <row r="1568">
      <c r="A1568">
        <f>Skills!A17</f>
        <v/>
      </c>
      <c r="B1568">
        <f>Skills!B17</f>
        <v/>
      </c>
      <c r="C1568">
        <f>Inputs!$B$3&gt;=115</f>
        <v/>
      </c>
      <c r="D1568">
        <f>IF(Skills!C17=1,60+Inputs!$B$25+Inputs!$B$29,IF(Skills!C17=2,90+Inputs!$B$26+Inputs!$B$29,IF(Skills!C17=3,120+Inputs!$B$27+Inputs!$B$29,MAX(0,(Inputs!$B$3-100)*3)+Inputs!$B$28+Inputs!$B$29)))</f>
        <v/>
      </c>
      <c r="E1568">
        <f>INDEX(FactorTable!$B$2:$Y$301, MATCH(ROUND(MIN(300,MAX(1,D1568)),0), FactorTable!$A$2:$A$301,0), Skills!M17+1)</f>
        <v/>
      </c>
      <c r="F1568">
        <f>IF(Skills!N17=TRUE,(Skills!L17/10)*(E1568/1000),Skills!L17/10)+Skills!O17</f>
        <v/>
      </c>
      <c r="G1568">
        <f>Skills!G17*IF(Skills!H17&gt;0,Skills!I17/Skills!H17,1)</f>
        <v/>
      </c>
      <c r="H1568">
        <f>1-(1-Skills!J17/100)^Skills!K17</f>
        <v/>
      </c>
      <c r="I1568" t="inlineStr">
        <is>
          <t>1</t>
        </is>
      </c>
      <c r="J1568" t="inlineStr"/>
      <c r="K1568" t="inlineStr"/>
      <c r="L1568" t="inlineStr"/>
      <c r="M1568" t="inlineStr"/>
      <c r="N1568" t="inlineStr"/>
      <c r="O1568">
        <f>(1-Summary!$B$11)*T1568+Summary!$B$11*V1568</f>
        <v/>
      </c>
      <c r="P1568">
        <f>IF(B1588=0,0,O1568/B1588)</f>
        <v/>
      </c>
      <c r="Q1568">
        <f>IFERROR(1/(IF(Inputs!$B$38="pvp",15,MAX(0.1,Skills!D17-IF(Skills!E17=TRUE,Inputs!$B$32,0)))*(1-IF(AND(ArtifactsInput!$M$27,Inputs!$B$4="Chapter Hunt"),CHOOSE(ArtifactsInput!$N$27+1,20,24,28,32,36,40),0)/100)),0)</f>
        <v/>
      </c>
      <c r="R1568">
        <f>IF(AND(Inputs!$B$38&lt;&gt;"pvp",Inputs!$B$43&gt;0),IF(Inputs!$B$43&lt;=0,0,(INT(Inputs!$B$43/(IF(Inputs!$B$38="pvp",15,MAX(0.1,Skills!D17-IF(Skills!E17=TRUE,Inputs!$B$32,0)))*(1-IF(AND(ArtifactsInput!$M$27,Inputs!$B$4="Chapter Hunt"),CHOOSE(ArtifactsInput!$N$27+1,20,24,28,32,36,40),0)/100)))+1)),0)</f>
        <v/>
      </c>
      <c r="S1568">
        <f>IFERROR(O1568/N1568,0)</f>
        <v/>
      </c>
      <c r="T1568" t="n">
        <v>0</v>
      </c>
      <c r="V1568" t="n">
        <v>0</v>
      </c>
    </row>
    <row r="1569">
      <c r="A1569">
        <f>Skills!A18</f>
        <v/>
      </c>
      <c r="B1569">
        <f>Skills!B18</f>
        <v/>
      </c>
      <c r="C1569">
        <f>Inputs!$B$3&gt;=74</f>
        <v/>
      </c>
      <c r="D1569">
        <f>IF(Skills!C18=1,60+Inputs!$B$25+Inputs!$B$29,IF(Skills!C18=2,90+Inputs!$B$26+Inputs!$B$29,IF(Skills!C18=3,120+Inputs!$B$27+Inputs!$B$29,MAX(0,(Inputs!$B$3-100)*3)+Inputs!$B$28+Inputs!$B$29)))</f>
        <v/>
      </c>
      <c r="E1569">
        <f>INDEX(FactorTable!$B$2:$Y$301, MATCH(ROUND(MIN(300,MAX(1,D1569)),0), FactorTable!$A$2:$A$301,0), Skills!M18+1)</f>
        <v/>
      </c>
      <c r="F1569">
        <f>IF(Skills!N18=TRUE,(Skills!L18/10)*(E1569/1000),Skills!L18/10)+Skills!O18</f>
        <v/>
      </c>
      <c r="G1569">
        <f>Skills!G18*IF(Skills!H18&gt;0,Skills!I18/Skills!H18,1)</f>
        <v/>
      </c>
      <c r="H1569">
        <f>1-(1-Skills!J18/100)^Skills!K18</f>
        <v/>
      </c>
      <c r="I1569" t="inlineStr">
        <is>
          <t>1</t>
        </is>
      </c>
      <c r="J1569" t="inlineStr"/>
      <c r="K1569" t="inlineStr"/>
      <c r="L1569" t="inlineStr"/>
      <c r="M1569" t="inlineStr"/>
      <c r="N1569" t="inlineStr"/>
      <c r="O1569">
        <f>(1-Summary!$B$11)*T1569+Summary!$B$11*V1569</f>
        <v/>
      </c>
      <c r="P1569">
        <f>IF(B1588=0,0,O1569/B1588)</f>
        <v/>
      </c>
      <c r="Q1569">
        <f>IFERROR(1/(IF(Inputs!$B$38="pvp",15,MAX(0.1,Skills!D18-IF(Skills!E18=TRUE,Inputs!$B$32,0)))*(1-IF(AND(ArtifactsInput!$M$27,Inputs!$B$4="Chapter Hunt"),CHOOSE(ArtifactsInput!$N$27+1,20,24,28,32,36,40),0)/100)),0)</f>
        <v/>
      </c>
      <c r="R1569">
        <f>IF(AND(Inputs!$B$38&lt;&gt;"pvp",Inputs!$B$43&gt;0),IF(Inputs!$B$43&lt;=0,0,(INT(Inputs!$B$43/(IF(Inputs!$B$38="pvp",15,MAX(0.1,Skills!D18-IF(Skills!E18=TRUE,Inputs!$B$32,0)))*(1-IF(AND(ArtifactsInput!$M$27,Inputs!$B$4="Chapter Hunt"),CHOOSE(ArtifactsInput!$N$27+1,20,24,28,32,36,40),0)/100)))+1)),0)</f>
        <v/>
      </c>
      <c r="S1569">
        <f>IFERROR(O1569/N1569,0)</f>
        <v/>
      </c>
      <c r="T1569" t="n">
        <v>0</v>
      </c>
      <c r="V1569" t="n">
        <v>0</v>
      </c>
    </row>
    <row r="1570">
      <c r="A1570">
        <f>Skills!A19</f>
        <v/>
      </c>
      <c r="B1570">
        <f>Skills!B19</f>
        <v/>
      </c>
      <c r="C1570">
        <f>TRUE</f>
        <v/>
      </c>
      <c r="D1570">
        <f>IF(Skills!C19=1,60+Inputs!$B$25+Inputs!$B$29,IF(Skills!C19=2,90+Inputs!$B$26+Inputs!$B$29,IF(Skills!C19=3,120+Inputs!$B$27+Inputs!$B$29,MAX(0,(Inputs!$B$3-100)*3)+Inputs!$B$28+Inputs!$B$29)))</f>
        <v/>
      </c>
      <c r="E1570">
        <f>INDEX(FactorTable!$B$2:$Y$301, MATCH(ROUND(MIN(300,MAX(1,D1570)),0), FactorTable!$A$2:$A$301,0), Skills!M19+1)</f>
        <v/>
      </c>
      <c r="F1570">
        <f>IF(Skills!N19=TRUE,(Skills!L19/10)*(E1570/1000),Skills!L19/10)+Skills!O19</f>
        <v/>
      </c>
      <c r="G1570">
        <f>Skills!G19*IF(Skills!H19&gt;0,Skills!I19/Skills!H19,1)</f>
        <v/>
      </c>
      <c r="H1570">
        <f>1-(1-Skills!J19/100)^Skills!K19</f>
        <v/>
      </c>
      <c r="I1570" t="inlineStr">
        <is>
          <t>1</t>
        </is>
      </c>
      <c r="J1570" t="inlineStr"/>
      <c r="K1570" t="inlineStr"/>
      <c r="L1570" t="inlineStr"/>
      <c r="M1570" t="inlineStr"/>
      <c r="N1570" t="inlineStr"/>
      <c r="O1570">
        <f>(1-Summary!$B$11)*T1570+Summary!$B$11*V1570</f>
        <v/>
      </c>
      <c r="P1570">
        <f>IF(B1588=0,0,O1570/B1588)</f>
        <v/>
      </c>
      <c r="Q1570">
        <f>IFERROR(1/(IF(Inputs!$B$38="pvp",15,MAX(0.1,Skills!D19-IF(Skills!E19=TRUE,Inputs!$B$32,0)))*(1-IF(AND(ArtifactsInput!$M$27,Inputs!$B$4="Chapter Hunt"),CHOOSE(ArtifactsInput!$N$27+1,20,24,28,32,36,40),0)/100)),0)</f>
        <v/>
      </c>
      <c r="R1570">
        <f>IF(AND(Inputs!$B$38&lt;&gt;"pvp",Inputs!$B$43&gt;0),IF(Inputs!$B$43&lt;=0,0,(INT(Inputs!$B$43/(IF(Inputs!$B$38="pvp",15,MAX(0.1,Skills!D19-IF(Skills!E19=TRUE,Inputs!$B$32,0)))*(1-IF(AND(ArtifactsInput!$M$27,Inputs!$B$4="Chapter Hunt"),CHOOSE(ArtifactsInput!$N$27+1,20,24,28,32,36,40),0)/100)))+1)),0)</f>
        <v/>
      </c>
      <c r="S1570">
        <f>IFERROR(O1570/N1570,0)</f>
        <v/>
      </c>
      <c r="T1570" t="n">
        <v>0</v>
      </c>
      <c r="V1570" t="n">
        <v>0</v>
      </c>
    </row>
    <row r="1571">
      <c r="A1571">
        <f>Skills!A20</f>
        <v/>
      </c>
      <c r="B1571">
        <f>Skills!B20</f>
        <v/>
      </c>
      <c r="C1571">
        <f>Inputs!$B$3&gt;=33</f>
        <v/>
      </c>
      <c r="D1571">
        <f>IF(Skills!C20=1,60+Inputs!$B$25+Inputs!$B$29,IF(Skills!C20=2,90+Inputs!$B$26+Inputs!$B$29,IF(Skills!C20=3,120+Inputs!$B$27+Inputs!$B$29,MAX(0,(Inputs!$B$3-100)*3)+Inputs!$B$28+Inputs!$B$29)))</f>
        <v/>
      </c>
      <c r="E1571">
        <f>INDEX(FactorTable!$B$2:$Y$301, MATCH(ROUND(MIN(300,MAX(1,D1571)),0), FactorTable!$A$2:$A$301,0), Skills!M20+1)</f>
        <v/>
      </c>
      <c r="F1571">
        <f>IF(Skills!N20=TRUE,(Skills!L20/10)*(E1571/1000),Skills!L20/10)+Skills!O20</f>
        <v/>
      </c>
      <c r="G1571">
        <f>Skills!G20*IF(Skills!H20&gt;0,Skills!I20/Skills!H20,1)</f>
        <v/>
      </c>
      <c r="H1571">
        <f>1-(1-Skills!J20/100)^Skills!K20</f>
        <v/>
      </c>
      <c r="I1571" t="inlineStr">
        <is>
          <t>1</t>
        </is>
      </c>
      <c r="J1571" t="inlineStr"/>
      <c r="K1571" t="inlineStr"/>
      <c r="L1571" t="inlineStr"/>
      <c r="M1571" t="inlineStr"/>
      <c r="N1571" t="inlineStr"/>
      <c r="O1571">
        <f>(1-Summary!$B$11)*T1571+Summary!$B$11*V1571</f>
        <v/>
      </c>
      <c r="P1571">
        <f>IF(B1588=0,0,O1571/B1588)</f>
        <v/>
      </c>
      <c r="Q1571" t="n">
        <v>0</v>
      </c>
      <c r="R1571" t="n">
        <v>0</v>
      </c>
      <c r="S1571">
        <f>IFERROR(O1571/N1571,0)</f>
        <v/>
      </c>
      <c r="T1571" t="n">
        <v>0</v>
      </c>
      <c r="V1571" t="n">
        <v>0</v>
      </c>
    </row>
    <row r="1572">
      <c r="A1572">
        <f>Skills!A21</f>
        <v/>
      </c>
      <c r="B1572">
        <f>Skills!B21</f>
        <v/>
      </c>
      <c r="C1572">
        <f>Inputs!$B$3&gt;=38</f>
        <v/>
      </c>
      <c r="D1572">
        <f>IF(Skills!C21=1,60+Inputs!$B$25+Inputs!$B$29,IF(Skills!C21=2,90+Inputs!$B$26+Inputs!$B$29,IF(Skills!C21=3,120+Inputs!$B$27+Inputs!$B$29,MAX(0,(Inputs!$B$3-100)*3)+Inputs!$B$28+Inputs!$B$29)))</f>
        <v/>
      </c>
      <c r="E1572">
        <f>INDEX(FactorTable!$B$2:$Y$301, MATCH(ROUND(MIN(300,MAX(1,D1572)),0), FactorTable!$A$2:$A$301,0), Skills!M21+1)</f>
        <v/>
      </c>
      <c r="F1572">
        <f>IF(Skills!N21=TRUE,(Skills!L21/10)*(E1572/1000),Skills!L21/10)+Skills!O21</f>
        <v/>
      </c>
      <c r="G1572">
        <f>Skills!G21*IF(Skills!H21&gt;0,Skills!I21/Skills!H21,1)</f>
        <v/>
      </c>
      <c r="H1572">
        <f>1-(1-Skills!J21/100)^Skills!K21</f>
        <v/>
      </c>
      <c r="I1572" t="inlineStr">
        <is>
          <t>1</t>
        </is>
      </c>
      <c r="J1572" t="inlineStr"/>
      <c r="K1572" t="inlineStr"/>
      <c r="L1572" t="inlineStr"/>
      <c r="M1572" t="inlineStr"/>
      <c r="N1572" t="inlineStr"/>
      <c r="O1572">
        <f>(1-Summary!$B$11)*T1572+Summary!$B$11*V1572</f>
        <v/>
      </c>
      <c r="P1572">
        <f>IF(B1588=0,0,O1572/B1588)</f>
        <v/>
      </c>
      <c r="Q1572" t="n">
        <v>0</v>
      </c>
      <c r="R1572" t="n">
        <v>0</v>
      </c>
      <c r="S1572">
        <f>IFERROR(O1572/N1572,0)</f>
        <v/>
      </c>
      <c r="T1572" t="n">
        <v>0</v>
      </c>
      <c r="V1572" t="n">
        <v>0</v>
      </c>
    </row>
    <row r="1573">
      <c r="A1573">
        <f>Skills!A22</f>
        <v/>
      </c>
      <c r="B1573">
        <f>Skills!B22</f>
        <v/>
      </c>
      <c r="C1573">
        <f>Inputs!$B$3&gt;=43</f>
        <v/>
      </c>
      <c r="D1573">
        <f>IF(Skills!C22=1,60+Inputs!$B$25+Inputs!$B$29,IF(Skills!C22=2,90+Inputs!$B$26+Inputs!$B$29,IF(Skills!C22=3,120+Inputs!$B$27+Inputs!$B$29,MAX(0,(Inputs!$B$3-100)*3)+Inputs!$B$28+Inputs!$B$29)))</f>
        <v/>
      </c>
      <c r="E1573">
        <f>INDEX(FactorTable!$B$2:$Y$301, MATCH(ROUND(MIN(300,MAX(1,D1573)),0), FactorTable!$A$2:$A$301,0), Skills!M22+1)</f>
        <v/>
      </c>
      <c r="F1573">
        <f>IF(Skills!N22=TRUE,(Skills!L22/10)*(E1573/1000),Skills!L22/10)+Skills!O22</f>
        <v/>
      </c>
      <c r="G1573">
        <f>Skills!G22*IF(Skills!H22&gt;0,Skills!I22/Skills!H22,1)</f>
        <v/>
      </c>
      <c r="H1573">
        <f>1-(1-Skills!J22/100)^Skills!K22</f>
        <v/>
      </c>
      <c r="I1573" t="inlineStr">
        <is>
          <t>1</t>
        </is>
      </c>
      <c r="J1573" t="inlineStr"/>
      <c r="K1573" t="inlineStr"/>
      <c r="L1573" t="inlineStr"/>
      <c r="M1573" t="inlineStr"/>
      <c r="N1573" t="inlineStr"/>
      <c r="O1573">
        <f>(1-Summary!$B$11)*T1573+Summary!$B$11*V1573</f>
        <v/>
      </c>
      <c r="P1573">
        <f>IF(B1588=0,0,O1573/B1588)</f>
        <v/>
      </c>
      <c r="Q1573" t="n">
        <v>0</v>
      </c>
      <c r="R1573" t="n">
        <v>0</v>
      </c>
      <c r="S1573">
        <f>IFERROR(O1573/N1573,0)</f>
        <v/>
      </c>
      <c r="T1573" t="n">
        <v>0</v>
      </c>
      <c r="V1573" t="n">
        <v>0</v>
      </c>
    </row>
    <row r="1574">
      <c r="A1574">
        <f>Skills!A23</f>
        <v/>
      </c>
      <c r="B1574">
        <f>Skills!B23</f>
        <v/>
      </c>
      <c r="C1574">
        <f>Inputs!$B$3&gt;=120</f>
        <v/>
      </c>
      <c r="D1574">
        <f>IF(Skills!C23=1,60+Inputs!$B$25+Inputs!$B$29,IF(Skills!C23=2,90+Inputs!$B$26+Inputs!$B$29,IF(Skills!C23=3,120+Inputs!$B$27+Inputs!$B$29,MAX(0,(Inputs!$B$3-100)*3)+Inputs!$B$28+Inputs!$B$29)))</f>
        <v/>
      </c>
      <c r="E1574">
        <f>INDEX(FactorTable!$B$2:$Y$301, MATCH(ROUND(MIN(300,MAX(1,D1574)),0), FactorTable!$A$2:$A$301,0), Skills!M23+1)</f>
        <v/>
      </c>
      <c r="F1574">
        <f>IF(Skills!N23=TRUE,(Skills!L23/10)*(E1574/1000),Skills!L23/10)+Skills!O23</f>
        <v/>
      </c>
      <c r="G1574">
        <f>Skills!G23*IF(Skills!H23&gt;0,Skills!I23/Skills!H23,1)</f>
        <v/>
      </c>
      <c r="H1574">
        <f>1-(1-Skills!J23/100)^Skills!K23</f>
        <v/>
      </c>
      <c r="I1574" t="inlineStr">
        <is>
          <t>1</t>
        </is>
      </c>
      <c r="J1574" t="inlineStr"/>
      <c r="K1574" t="inlineStr"/>
      <c r="L1574" t="inlineStr"/>
      <c r="M1574" t="inlineStr"/>
      <c r="N1574" t="inlineStr"/>
      <c r="O1574">
        <f>(1-Summary!$B$11)*T1574+Summary!$B$11*V1574</f>
        <v/>
      </c>
      <c r="P1574">
        <f>IF(B1588=0,0,O1574/B1588)</f>
        <v/>
      </c>
      <c r="Q1574" t="n">
        <v>0</v>
      </c>
      <c r="R1574" t="n">
        <v>0</v>
      </c>
      <c r="S1574">
        <f>IFERROR(O1574/N1574,0)</f>
        <v/>
      </c>
      <c r="T1574" t="n">
        <v>0</v>
      </c>
      <c r="V1574" t="n">
        <v>0</v>
      </c>
    </row>
    <row r="1575">
      <c r="A1575">
        <f>Skills!A24</f>
        <v/>
      </c>
      <c r="B1575">
        <f>Skills!B24</f>
        <v/>
      </c>
      <c r="C1575">
        <f>Inputs!$B$3&gt;=120</f>
        <v/>
      </c>
      <c r="D1575">
        <f>IF(Skills!C24=1,60+Inputs!$B$25+Inputs!$B$29,IF(Skills!C24=2,90+Inputs!$B$26+Inputs!$B$29,IF(Skills!C24=3,120+Inputs!$B$27+Inputs!$B$29,MAX(0,(Inputs!$B$3-100)*3)+Inputs!$B$28+Inputs!$B$29)))</f>
        <v/>
      </c>
      <c r="E1575">
        <f>INDEX(FactorTable!$B$2:$Y$301, MATCH(ROUND(MIN(300,MAX(1,D1575)),0), FactorTable!$A$2:$A$301,0), Skills!M24+1)</f>
        <v/>
      </c>
      <c r="F1575">
        <f>IF(Skills!N24=TRUE,(Skills!L24/10)*(E1575/1000),Skills!L24/10)+Skills!O24</f>
        <v/>
      </c>
      <c r="G1575">
        <f>Skills!G24*IF(Skills!H24&gt;0,Skills!I24/Skills!H24,1)</f>
        <v/>
      </c>
      <c r="H1575">
        <f>1-(1-Skills!J24/100)^Skills!K24</f>
        <v/>
      </c>
      <c r="I1575" t="inlineStr">
        <is>
          <t>1</t>
        </is>
      </c>
      <c r="J1575" t="inlineStr"/>
      <c r="K1575" t="inlineStr"/>
      <c r="L1575" t="inlineStr"/>
      <c r="M1575" t="inlineStr"/>
      <c r="N1575" t="inlineStr"/>
      <c r="O1575">
        <f>(1-Summary!$B$11)*T1575+Summary!$B$11*V1575</f>
        <v/>
      </c>
      <c r="P1575">
        <f>IF(B1588=0,0,O1575/B1588)</f>
        <v/>
      </c>
      <c r="Q1575" t="n">
        <v>0</v>
      </c>
      <c r="R1575" t="n">
        <v>0</v>
      </c>
      <c r="S1575">
        <f>IFERROR(O1575/N1575,0)</f>
        <v/>
      </c>
      <c r="T1575" t="n">
        <v>0</v>
      </c>
      <c r="V1575" t="n">
        <v>0</v>
      </c>
    </row>
    <row r="1577">
      <c r="A1577" t="inlineStr">
        <is>
          <t>Attack% Bucket Multiplier</t>
        </is>
      </c>
      <c r="B1577">
        <f>(1+(((C1564=TRUE)*F1564*MIN(1,Skills!T13*(Skills!J13/100)*B1582))+((C1569=TRUE)*F1569*IF(AND(Inputs!$B$38&lt;&gt;"pvp",Inputs!$B$43&gt;0),(((R1569-1)*(Skills!T18*(1+Inputs!$B$34/100))+MIN((Skills!T18*(1+Inputs!$B$34/100)),MAX(0,Inputs!$B$43-((R1569-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78">
      <c r="A1578" t="inlineStr">
        <is>
          <t>Global Crit Rate Bonus %</t>
        </is>
      </c>
      <c r="B1578" t="n">
        <v>0</v>
      </c>
    </row>
    <row r="1579">
      <c r="A1579" t="inlineStr">
        <is>
          <t>Attack Speed Buff Bonus %</t>
        </is>
      </c>
      <c r="B1579">
        <f>((C1570=TRUE)*F1570*IF(AND(Inputs!$B$38&lt;&gt;"pvp",Inputs!$B$43&gt;0),(((R1570-1)*(Skills!T19*(1+Inputs!$B$34/100))+MIN((Skills!T19*(1+Inputs!$B$34/100)),MAX(0,Inputs!$B$43-((R1570-1)*Skills!D19))))/Inputs!$B$43),IF(Inputs!$B$38="pvp",MIN((Skills!T19*(1+Inputs!$B$34/100)),15)/15,(Skills!T19*(1+Inputs!$B$34/100))/Skills!D19)))</f>
        <v/>
      </c>
    </row>
    <row r="1580">
      <c r="A1580" t="inlineStr">
        <is>
          <t>Actions Per Second</t>
        </is>
      </c>
      <c r="B1580">
        <f>1+MIN(150,150*(1-(1-(Inputs!$B$11+((C1571=TRUE)*(F1571-Calc!F20)))/150)*(1-B1579/150)))/100</f>
        <v/>
      </c>
    </row>
    <row r="1581">
      <c r="A1581" t="inlineStr">
        <is>
          <t>Skill + Buff Cast Rate</t>
        </is>
      </c>
      <c r="B1581">
        <f>IF(AND(Inputs!$B$38&lt;&gt;"pvp",Inputs!$B$43&gt;0),SUMPRODUCT((Skills!E2:E24=TRUE)*(C1553:C1575=TRUE)*R1553:R1575*Skills!F2:F24)/Inputs!$B$43,SUMPRODUCT((Skills!E2:E24=TRUE)*(C1553:C1575=TRUE)*Q1553:Q1575*Skills!F2:F24))</f>
        <v/>
      </c>
    </row>
    <row r="1582">
      <c r="A1582" t="inlineStr">
        <is>
          <t>Blast Casts Per Second</t>
        </is>
      </c>
      <c r="B1582">
        <f>MAX(0,B1580-B1581)</f>
        <v/>
      </c>
    </row>
    <row r="1583">
      <c r="A1583" t="inlineStr">
        <is>
          <t>Global Critical Damage Bonus % (unused)</t>
        </is>
      </c>
      <c r="B1583" t="n">
        <v>0</v>
      </c>
    </row>
    <row r="1584">
      <c r="A1584" t="inlineStr">
        <is>
          <t>Global Final Damage Bonus % (Divine Shield + Guardian + Divine Blessing + Greater Vessel of Light)</t>
        </is>
      </c>
      <c r="B1584">
        <f>((C1566=TRUE)*F1566*IF(AND(Inputs!$B$38&lt;&gt;"pvp",Inputs!$B$43&gt;0),(((R1566-1)*(Skills!T15*(1+Inputs!$B$34/100))+MIN((Skills!T15*(1+Inputs!$B$34/100)),MAX(0,Inputs!$B$43-((R1566-1)*Skills!D15))))/Inputs!$B$43),IF(Inputs!$B$38="pvp",MIN((Skills!T15*(1+Inputs!$B$34/100)),15)/15,(Skills!T15*(1+Inputs!$B$34/100))/Skills!D15)))+((C1567=TRUE)*F1567*IF(AND(Inputs!$B$38&lt;&gt;"pvp",Inputs!$B$43&gt;0),(((R1567-1)*(Skills!T16*(1+Inputs!$B$34/100))+MIN((Skills!T16*(1+Inputs!$B$34/100)),MAX(0,Inputs!$B$43-((R1567-1)*Skills!D16))))/Inputs!$B$43),IF(Inputs!$B$38="pvp",MIN((Skills!T16*(1+Inputs!$B$34/100)),15)/15,(Skills!T16*(1+Inputs!$B$34/100))/Skills!D16)))+((C1568=TRUE)*F1568*IF(AND(Inputs!$B$38&lt;&gt;"pvp",Inputs!$B$43&gt;0),(((R1568-1)*(Skills!T17*(1+Inputs!$B$34/100))+MIN((Skills!T17*(1+Inputs!$B$34/100)),MAX(0,Inputs!$B$43-((R1568-1)*Skills!D17))))/Inputs!$B$43),IF(Inputs!$B$38="pvp",MIN((Skills!T17*(1+Inputs!$B$34/100)),15)/15,(Skills!T17*(1+Inputs!$B$34/100))/Skills!D17)))+((C1565=TRUE)*F1565*MIN(1,Skills!T13*(Skills!J13/100)*B1582))</f>
        <v/>
      </c>
    </row>
    <row r="1585">
      <c r="A1585" t="inlineStr">
        <is>
          <t>Buff-Casting Startup Delay (s, fixed-duration only)</t>
        </is>
      </c>
      <c r="B1585">
        <f>IF(AND(Inputs!$B$38&lt;&gt;"pvp",Inputs!$B$43&gt;0),SUMPRODUCT((Skills!T2:T24&gt;0)*(Skills!E2:E24=TRUE)*(C1553:C1575=TRUE))/B1580,0)</f>
        <v/>
      </c>
    </row>
    <row r="1586">
      <c r="A1586" t="inlineStr">
        <is>
          <t>Boss-Only Total DPS (this block's swept value)</t>
        </is>
      </c>
      <c r="B1586">
        <f>SUM(T1553:T1575)</f>
        <v/>
      </c>
    </row>
    <row r="1587">
      <c r="A1587" t="inlineStr">
        <is>
          <t>Normal-Only Total DPS (this block's swept value)</t>
        </is>
      </c>
      <c r="B1587">
        <f>SUM(V1553:V1575)</f>
        <v/>
      </c>
    </row>
    <row r="1588">
      <c r="A1588" s="6" t="inlineStr">
        <is>
          <t>TOTAL DPS</t>
        </is>
      </c>
      <c r="B1588" s="6">
        <f>SUM(O1553:O1575)</f>
        <v/>
      </c>
    </row>
    <row r="1591">
      <c r="A1591" s="6" t="inlineStr">
        <is>
          <t>Stat: Pink Bean's Giant Rib (Equip)</t>
        </is>
      </c>
    </row>
    <row r="1592">
      <c r="A1592" s="5" t="inlineStr">
        <is>
          <t>Key</t>
        </is>
      </c>
      <c r="B1592" s="5" t="inlineStr">
        <is>
          <t>Name</t>
        </is>
      </c>
      <c r="C1592" s="5" t="inlineStr">
        <is>
          <t>Unlocked</t>
        </is>
      </c>
      <c r="D1592" s="5" t="inlineStr">
        <is>
          <t>InputLevel</t>
        </is>
      </c>
      <c r="E1592" s="5" t="inlineStr">
        <is>
          <t>Factor</t>
        </is>
      </c>
      <c r="F1592" s="5" t="inlineStr">
        <is>
          <t>CoefficientPercent</t>
        </is>
      </c>
      <c r="G1592" s="5" t="inlineStr">
        <is>
          <t>EffectiveHits</t>
        </is>
      </c>
      <c r="H1592" s="5" t="inlineStr">
        <is>
          <t>ProcProbability</t>
        </is>
      </c>
      <c r="I1592" s="5" t="inlineStr">
        <is>
          <t>MapleHeroMultiplier</t>
        </is>
      </c>
      <c r="J1592" s="5" t="inlineStr">
        <is>
          <t>BaseDamage</t>
        </is>
      </c>
      <c r="K1592" s="5" t="inlineStr">
        <is>
          <t>BaseHitDamage</t>
        </is>
      </c>
      <c r="L1592" s="5" t="inlineStr">
        <is>
          <t>NonCritAvg</t>
        </is>
      </c>
      <c r="M1592" s="5" t="inlineStr">
        <is>
          <t>CritAvg</t>
        </is>
      </c>
      <c r="N1592" s="5" t="inlineStr">
        <is>
          <t>ExpectedDamage(perHit)</t>
        </is>
      </c>
      <c r="O1592" s="5" t="inlineStr">
        <is>
          <t>DPS</t>
        </is>
      </c>
      <c r="P1592" s="5" t="inlineStr">
        <is>
          <t>% of Total</t>
        </is>
      </c>
      <c r="Q1592" s="5" t="inlineStr">
        <is>
          <t>InvCooldown</t>
        </is>
      </c>
      <c r="R1592" s="5" t="inlineStr">
        <is>
          <t>CastsInFight</t>
        </is>
      </c>
      <c r="S1592" s="5" t="inlineStr">
        <is>
          <t>HitRate(perSec)</t>
        </is>
      </c>
      <c r="U1592" t="inlineStr">
        <is>
          <t>helpers</t>
        </is>
      </c>
    </row>
    <row r="1593">
      <c r="A1593">
        <f>Skills!A2</f>
        <v/>
      </c>
      <c r="B1593">
        <f>Skills!B2</f>
        <v/>
      </c>
      <c r="C1593">
        <f>Inputs!$B$3&gt;=100</f>
        <v/>
      </c>
      <c r="D1593" t="inlineStr"/>
      <c r="E1593" t="inlineStr"/>
      <c r="F1593">
        <f>U1595+Skills!O2</f>
        <v/>
      </c>
      <c r="G1593">
        <f>Skills!G2*IF(Skills!H2&gt;0,Skills!I2/Skills!H2,1)</f>
        <v/>
      </c>
      <c r="H1593">
        <f>1-(1-Skills!J2/100)^Skills!K2</f>
        <v/>
      </c>
      <c r="I1593" t="inlineStr">
        <is>
          <t>1</t>
        </is>
      </c>
      <c r="J1593">
        <f>((Inputs!$B$6*(1+Inputs!$B$7/100))+(((Inputs!$B$12*(1+Inputs!$B$13/100))-(Inputs!$B$12*(1+Inputs!$B$13/100)))+0.25*(Inputs!$B$14-Inputs!$B$14))*(1+Inputs!$B$7/100))*(F1593/100)</f>
        <v/>
      </c>
      <c r="K1593">
        <f>J1593*(1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1593)</f>
        <v/>
      </c>
      <c r="L1593">
        <f>K1593*(MIN(Inputs!$B$22+((C1613=TRUE)*(F1613-Calc!F22)),(Inputs!$B$23+((C1615=TRUE)*(F1615-Calc!F24))+(IF(ArtifactsInput!$M$15,CHOOSE(ArtifactsInput!$N$15+1,25,30,35,40,45,50)/100*(Inputs!$B$11-Inputs!$B$11),0))))/100+(Inputs!$B$23+((C1615=TRUE)*(F1615-Calc!F24))+(IF(ArtifactsInput!$M$15,CHOOSE(ArtifactsInput!$N$15+1,25,30,35,40,45,50)/100*(Inputs!$B$11-Inputs!$B$11),0)))/100)/2</f>
        <v/>
      </c>
      <c r="M1593">
        <f>L1593*(1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3">
        <f>L1593*(1-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1593*(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3">
        <f>(1-Summary!$B$11)*T1593+Summary!$B$11*V1593</f>
        <v/>
      </c>
      <c r="P1593">
        <f>IF(B1628=0,0,O1593/B1628)</f>
        <v/>
      </c>
      <c r="Q1593" t="n">
        <v>0</v>
      </c>
      <c r="R1593" t="n">
        <v>0</v>
      </c>
      <c r="S1593">
        <f>IFERROR(O1593/N1593,0)</f>
        <v/>
      </c>
      <c r="T1593">
        <f>IF(C1593,(Skills!G2*N1593*B1622)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1593*(1-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1593*(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1593*(1-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1593*(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3">
        <f>MAX(0,(Inputs!$B$3-100)*3)+Inputs!$B$28+Inputs!$B$29</f>
        <v/>
      </c>
      <c r="V1593">
        <f>IF(C1593,(Skills!G2*N1593*B1622)*IF(Inputs!$B$38="pvp",1,(1+(Inputs!$B$21+Skills!Q2+(IF(ArtifactsInput!$M$33,CHOOSE(ArtifactsInput!$N$33+1,30,36,42,48,54,60),0))+(IF(AND(ArtifactsInput!$M$35,Inputs!$B$4&lt;&gt;"Chapter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4">
      <c r="A1594">
        <f>Skills!A3</f>
        <v/>
      </c>
      <c r="B1594">
        <f>Skills!B3</f>
        <v/>
      </c>
      <c r="C1594">
        <f>Inputs!$B$3&gt;=50</f>
        <v/>
      </c>
      <c r="D1594">
        <f>IF(Skills!C3=1,60+Inputs!$B$25+Inputs!$B$29,IF(Skills!C3=2,90+Inputs!$B$26+Inputs!$B$29,IF(Skills!C3=3,120+Inputs!$B$27+Inputs!$B$29,MAX(0,(Inputs!$B$3-100)*3)+Inputs!$B$28+Inputs!$B$29)))</f>
        <v/>
      </c>
      <c r="E1594">
        <f>INDEX(FactorTable!$B$2:$Y$301, MATCH(ROUND(MIN(300,MAX(1,D1594)),0), FactorTable!$A$2:$A$301,0), Skills!M3+1)</f>
        <v/>
      </c>
      <c r="F1594">
        <f>IF(Skills!N3=TRUE,(Skills!L3/10)*(E1594/1000),Skills!L3/10)+Skills!O3</f>
        <v/>
      </c>
      <c r="G1594" t="inlineStr"/>
      <c r="H1594" t="inlineStr"/>
      <c r="I1594" t="inlineStr">
        <is>
          <t>1</t>
        </is>
      </c>
      <c r="J1594" t="inlineStr"/>
      <c r="K1594" t="inlineStr"/>
      <c r="L1594" t="inlineStr"/>
      <c r="M1594" t="inlineStr"/>
      <c r="N1594" t="inlineStr"/>
      <c r="O1594" t="inlineStr"/>
      <c r="P1594" t="inlineStr"/>
      <c r="Q1594" t="inlineStr"/>
      <c r="R1594" t="inlineStr"/>
      <c r="S1594" t="inlineStr"/>
      <c r="U1594">
        <f>INDEX(FactorTable!$B$2:$Y$301, MATCH(ROUND(MIN(300,MAX(1,U1593)),0), FactorTable!$A$2:$A$301,0), 22)</f>
        <v/>
      </c>
    </row>
    <row r="1595">
      <c r="A1595">
        <f>Skills!A4</f>
        <v/>
      </c>
      <c r="B1595">
        <f>Skills!B4</f>
        <v/>
      </c>
      <c r="C1595">
        <f>Inputs!$B$3&gt;=35</f>
        <v/>
      </c>
      <c r="D1595">
        <f>IF(Skills!C4=1,60+Inputs!$B$25+Inputs!$B$29,IF(Skills!C4=2,90+Inputs!$B$26+Inputs!$B$29,IF(Skills!C4=3,120+Inputs!$B$27+Inputs!$B$29,MAX(0,(Inputs!$B$3-100)*3)+Inputs!$B$28+Inputs!$B$29)))</f>
        <v/>
      </c>
      <c r="E1595">
        <f>INDEX(FactorTable!$B$2:$Y$301, MATCH(ROUND(MIN(300,MAX(1,D1595)),0), FactorTable!$A$2:$A$301,0), Skills!M4+1)</f>
        <v/>
      </c>
      <c r="F1595">
        <f>IF(Skills!N4=TRUE,(Skills!L4/10)*(E1595/1000),Skills!L4/10)+Skills!O4</f>
        <v/>
      </c>
      <c r="G1595">
        <f>Skills!G4*IF(Skills!H4&gt;0,Skills!I4/Skills!H4,1)</f>
        <v/>
      </c>
      <c r="H1595">
        <f>1-(1-Skills!J4/100)^Skills!K4</f>
        <v/>
      </c>
      <c r="I1595" t="inlineStr">
        <is>
          <t>1</t>
        </is>
      </c>
      <c r="J1595">
        <f>((Inputs!$B$6*(1+Inputs!$B$7/100))+(((Inputs!$B$12*(1+Inputs!$B$13/100))-(Inputs!$B$12*(1+Inputs!$B$13/100)))+0.25*(Inputs!$B$14-Inputs!$B$14))*(1+Inputs!$B$7/100))*(F1595/100)</f>
        <v/>
      </c>
      <c r="K1595">
        <f>J1595*(1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1603=TRUE,F1603,0)/100)*(1+(IF(Skills!A4="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1595)</f>
        <v/>
      </c>
      <c r="L1595">
        <f>K1595*(MIN(Inputs!$B$22+((C1613=TRUE)*(F1613-Calc!F22)),(Inputs!$B$23+((C1615=TRUE)*(F1615-Calc!F24))+(IF(ArtifactsInput!$M$15,CHOOSE(ArtifactsInput!$N$15+1,25,30,35,40,45,50)/100*(Inputs!$B$11-Inputs!$B$11),0))))/100+(Inputs!$B$23+((C1615=TRUE)*(F1615-Calc!F24))+(IF(ArtifactsInput!$M$15,CHOOSE(ArtifactsInput!$N$15+1,25,30,35,40,45,50)/100*(Inputs!$B$11-Inputs!$B$11),0)))/100)/2</f>
        <v/>
      </c>
      <c r="M1595">
        <f>L1595*(1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5">
        <f>L1595*(1-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1595*(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5">
        <f>(1-Summary!$B$11)*T1595+Summary!$B$11*V1595</f>
        <v/>
      </c>
      <c r="P1595">
        <f>IF(B1628=0,0,O1595/B1628)</f>
        <v/>
      </c>
      <c r="Q1595">
        <f>IFERROR(1/(IF(Inputs!$B$38="pvp",15,MAX(0.1,Skills!D4-IF(Skills!E4=TRUE,Inputs!$B$32,0)))*(1-IF(AND(ArtifactsInput!$M$27,Inputs!$B$4="Chapter Hunt"),CHOOSE(ArtifactsInput!$N$27+1,20,24,28,32,36,40),0)/100)),0)</f>
        <v/>
      </c>
      <c r="R1595">
        <f>IF(AND(Inputs!$B$38&lt;&gt;"pvp",Inputs!$B$43&gt;0),IF(MAX(0,Inputs!$B$43-B1625)&lt;=0,0,(INT(MAX(0,Inputs!$B$43-B1625)/(IF(Inputs!$B$38="pvp",15,MAX(0.1,Skills!D4-IF(Skills!E4=TRUE,Inputs!$B$32,0)))*(1-IF(AND(ArtifactsInput!$M$27,Inputs!$B$4="Chapter Hunt"),CHOOSE(ArtifactsInput!$N$27+1,20,24,28,32,36,40),0)/100)))+1)),0)</f>
        <v/>
      </c>
      <c r="S1595">
        <f>IFERROR(O1595/N1595,0)</f>
        <v/>
      </c>
      <c r="T1595">
        <f>IF(C1595,(H1595*N1595*IF(AND(Inputs!$B$38&lt;&gt;"pvp",Inputs!$B$43&gt;0),((Skills!G4*((R1595-1)*IF(Skills!H4&gt;0,Skills!I4/Skills!H4,1)+IF(Skills!H4&gt;0,MIN(Skills!I4,MAX(0,MAX(0,Inputs!$B$43-B1625)-((R1595-1)*(IF(Inputs!$B$38="pvp",15,MAX(0.1,Skills!D4-IF(Skills!E4=TRUE,Inputs!$B$32,0)))*(1-IF(AND(ArtifactsInput!$M$27,Inputs!$B$4="Chapter Hunt"),CHOOSE(ArtifactsInput!$N$27+1,20,24,28,32,36,40),0)/100)))))/Skills!H4,1)))/Inputs!$B$43),G1595*Q1595)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1595*(1-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1595*(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1595*(1-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1595*(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5">
        <f>290*U1594/1000</f>
        <v/>
      </c>
      <c r="V1595">
        <f>IF(C1595,(H1595*N1595*IF(AND(Inputs!$B$38&lt;&gt;"pvp",Inputs!$B$43&gt;0),((Skills!G4*((R1595-1)*IF(Skills!H4&gt;0,Skills!I4/Skills!H4,1)+IF(Skills!H4&gt;0,MIN(Skills!I4,MAX(0,MAX(0,Inputs!$B$43-B1625)-((R1595-1)*(IF(Inputs!$B$38="pvp",15,MAX(0.1,Skills!D4-IF(Skills!E4=TRUE,Inputs!$B$32,0)))*(1-IF(AND(ArtifactsInput!$M$27,Inputs!$B$4="Chapter Hunt"),CHOOSE(ArtifactsInput!$N$27+1,20,24,28,32,36,40),0)/100)))))/Skills!H4,1)))/Inputs!$B$43),G1595*Q1595))*IF(Inputs!$B$38="pvp",1,(1+(Inputs!$B$21+Skills!Q4+(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6">
      <c r="A1596">
        <f>Skills!A5</f>
        <v/>
      </c>
      <c r="B1596">
        <f>Skills!B5</f>
        <v/>
      </c>
      <c r="C1596">
        <f>Inputs!$B$3&gt;=66</f>
        <v/>
      </c>
      <c r="D1596">
        <f>IF(Skills!C5=1,60+Inputs!$B$25+Inputs!$B$29,IF(Skills!C5=2,90+Inputs!$B$26+Inputs!$B$29,IF(Skills!C5=3,120+Inputs!$B$27+Inputs!$B$29,MAX(0,(Inputs!$B$3-100)*3)+Inputs!$B$28+Inputs!$B$29)))</f>
        <v/>
      </c>
      <c r="E1596">
        <f>INDEX(FactorTable!$B$2:$Y$301, MATCH(ROUND(MIN(300,MAX(1,D1596)),0), FactorTable!$A$2:$A$301,0), Skills!M5+1)</f>
        <v/>
      </c>
      <c r="F1596">
        <f>IF(Skills!N5=TRUE,(Skills!L5/10)*(E1596/1000),Skills!L5/10)+Skills!O5</f>
        <v/>
      </c>
      <c r="G1596">
        <f>Skills!G5*IF(Skills!H5&gt;0,Skills!I5/Skills!H5,1)</f>
        <v/>
      </c>
      <c r="H1596">
        <f>1-(1-Skills!J5/100)^Skills!K5</f>
        <v/>
      </c>
      <c r="I1596" t="inlineStr">
        <is>
          <t>1</t>
        </is>
      </c>
      <c r="J1596">
        <f>((Inputs!$B$6*(1+Inputs!$B$7/100))+(((Inputs!$B$12*(1+Inputs!$B$13/100))-(Inputs!$B$12*(1+Inputs!$B$13/100)))+0.25*(Inputs!$B$14-Inputs!$B$14))*(1+Inputs!$B$7/100))*(F1596/100)</f>
        <v/>
      </c>
      <c r="K1596">
        <f>J1596*(1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1603=TRUE,F1603,0)/100)*(1+(IF(Skills!A5="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1596)</f>
        <v/>
      </c>
      <c r="L1596">
        <f>K1596*(MIN(Inputs!$B$22+((C1613=TRUE)*(F1613-Calc!F22)),(Inputs!$B$23+((C1615=TRUE)*(F1615-Calc!F24))+(IF(ArtifactsInput!$M$15,CHOOSE(ArtifactsInput!$N$15+1,25,30,35,40,45,50)/100*(Inputs!$B$11-Inputs!$B$11),0))))/100+(Inputs!$B$23+((C1615=TRUE)*(F1615-Calc!F24))+(IF(ArtifactsInput!$M$15,CHOOSE(ArtifactsInput!$N$15+1,25,30,35,40,45,50)/100*(Inputs!$B$11-Inputs!$B$11),0)))/100)/2</f>
        <v/>
      </c>
      <c r="M1596">
        <f>L1596*(1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6">
        <f>L1596*(1-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1596*(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6">
        <f>(1-Summary!$B$11)*T1596+Summary!$B$11*V1596</f>
        <v/>
      </c>
      <c r="P1596">
        <f>IF(B1628=0,0,O1596/B1628)</f>
        <v/>
      </c>
      <c r="Q1596">
        <f>IFERROR(1/(IF(Inputs!$B$38="pvp",15,MAX(0.1,Skills!D5-IF(Skills!E5=TRUE,Inputs!$B$32,0)))*(1-IF(AND(ArtifactsInput!$M$27,Inputs!$B$4="Chapter Hunt"),CHOOSE(ArtifactsInput!$N$27+1,20,24,28,32,36,40),0)/100)),0)</f>
        <v/>
      </c>
      <c r="R1596">
        <f>IF(AND(Inputs!$B$38&lt;&gt;"pvp",Inputs!$B$43&gt;0),IF(MAX(0,Inputs!$B$43-B1625)&lt;=0,0,(INT(MAX(0,Inputs!$B$43-B1625)/(IF(Inputs!$B$38="pvp",15,MAX(0.1,Skills!D5-IF(Skills!E5=TRUE,Inputs!$B$32,0)))*(1-IF(AND(ArtifactsInput!$M$27,Inputs!$B$4="Chapter Hunt"),CHOOSE(ArtifactsInput!$N$27+1,20,24,28,32,36,40),0)/100)))+1)),0)</f>
        <v/>
      </c>
      <c r="S1596">
        <f>IFERROR(O1596/N1596,0)</f>
        <v/>
      </c>
      <c r="T1596">
        <f>IF(C1596,(H1596*N1596*IF(AND(Inputs!$B$38&lt;&gt;"pvp",Inputs!$B$43&gt;0),((Skills!G5*((R1596-1)*IF(Skills!H5&gt;0,Skills!I5/Skills!H5,1)+IF(Skills!H5&gt;0,MIN(Skills!I5,MAX(0,MAX(0,Inputs!$B$43-B1625)-((R1596-1)*(IF(Inputs!$B$38="pvp",15,MAX(0.1,Skills!D5-IF(Skills!E5=TRUE,Inputs!$B$32,0)))*(1-IF(AND(ArtifactsInput!$M$27,Inputs!$B$4="Chapter Hunt"),CHOOSE(ArtifactsInput!$N$27+1,20,24,28,32,36,40),0)/100)))))/Skills!H5,1)))/Inputs!$B$43),G1596*Q1596)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1596*(1-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1596*(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1596*(1-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1596*(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6">
        <f>IF(C1596,(H1596*N1596*IF(AND(Inputs!$B$38&lt;&gt;"pvp",Inputs!$B$43&gt;0),((Skills!G5*((R1596-1)*IF(Skills!H5&gt;0,Skills!I5/Skills!H5,1)+IF(Skills!H5&gt;0,MIN(Skills!I5,MAX(0,MAX(0,Inputs!$B$43-B1625)-((R1596-1)*(IF(Inputs!$B$38="pvp",15,MAX(0.1,Skills!D5-IF(Skills!E5=TRUE,Inputs!$B$32,0)))*(1-IF(AND(ArtifactsInput!$M$27,Inputs!$B$4="Chapter Hunt"),CHOOSE(ArtifactsInput!$N$27+1,20,24,28,32,36,40),0)/100)))))/Skills!H5,1)))/Inputs!$B$43),G1596*Q1596))*IF(Inputs!$B$38="pvp",1,(1+(Inputs!$B$21+Skills!Q5+(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7">
      <c r="A1597">
        <f>Skills!A6</f>
        <v/>
      </c>
      <c r="B1597">
        <f>Skills!B6</f>
        <v/>
      </c>
      <c r="C1597">
        <f>Inputs!$B$3&gt;=103</f>
        <v/>
      </c>
      <c r="D1597">
        <f>IF(Skills!C6=1,60+Inputs!$B$25+Inputs!$B$29,IF(Skills!C6=2,90+Inputs!$B$26+Inputs!$B$29,IF(Skills!C6=3,120+Inputs!$B$27+Inputs!$B$29,MAX(0,(Inputs!$B$3-100)*3)+Inputs!$B$28+Inputs!$B$29)))</f>
        <v/>
      </c>
      <c r="E1597">
        <f>INDEX(FactorTable!$B$2:$Y$301, MATCH(ROUND(MIN(300,MAX(1,D1597)),0), FactorTable!$A$2:$A$301,0), Skills!M6+1)</f>
        <v/>
      </c>
      <c r="F1597">
        <f>IF(Skills!N6=TRUE,(Skills!L6/10)*(E1597/1000),Skills!L6/10)+Skills!O6</f>
        <v/>
      </c>
      <c r="G1597">
        <f>Skills!G6*IF(Skills!H6&gt;0,Skills!I6/Skills!H6,1)</f>
        <v/>
      </c>
      <c r="H1597">
        <f>1-(1-Skills!J6/100)^Skills!K6</f>
        <v/>
      </c>
      <c r="I1597" t="inlineStr">
        <is>
          <t>1</t>
        </is>
      </c>
      <c r="J1597">
        <f>((Inputs!$B$6*(1+Inputs!$B$7/100))+(((Inputs!$B$12*(1+Inputs!$B$13/100))-(Inputs!$B$12*(1+Inputs!$B$13/100)))+0.25*(Inputs!$B$14-Inputs!$B$14))*(1+Inputs!$B$7/100))*(F1597/100)</f>
        <v/>
      </c>
      <c r="K1597">
        <f>J1597*(1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1597)</f>
        <v/>
      </c>
      <c r="L1597">
        <f>K1597*(MIN(Inputs!$B$22+((C1613=TRUE)*(F1613-Calc!F22)),(Inputs!$B$23+((C1615=TRUE)*(F1615-Calc!F24))+(IF(ArtifactsInput!$M$15,CHOOSE(ArtifactsInput!$N$15+1,25,30,35,40,45,50)/100*(Inputs!$B$11-Inputs!$B$11),0))))/100+(Inputs!$B$23+((C1615=TRUE)*(F1615-Calc!F24))+(IF(ArtifactsInput!$M$15,CHOOSE(ArtifactsInput!$N$15+1,25,30,35,40,45,50)/100*(Inputs!$B$11-Inputs!$B$11),0)))/100)/2</f>
        <v/>
      </c>
      <c r="M1597">
        <f>L1597*(1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7">
        <f>L1597*(1-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1597*(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7">
        <f>(1-Summary!$B$11)*T1597+Summary!$B$11*V1597</f>
        <v/>
      </c>
      <c r="P1597">
        <f>IF(B1628=0,0,O1597/B1628)</f>
        <v/>
      </c>
      <c r="Q1597">
        <f>IFERROR(1/(IF(Inputs!$B$38="pvp",15,MAX(0.1,Skills!D6-IF(Skills!E6=TRUE,Inputs!$B$32,0)))*(1-IF(AND(ArtifactsInput!$M$27,Inputs!$B$4="Chapter Hunt"),CHOOSE(ArtifactsInput!$N$27+1,20,24,28,32,36,40),0)/100)),0)</f>
        <v/>
      </c>
      <c r="R1597">
        <f>IF(AND(Inputs!$B$38&lt;&gt;"pvp",Inputs!$B$43&gt;0),IF(MAX(0,Inputs!$B$43-B1625)&lt;=0,0,(INT(MAX(0,Inputs!$B$43-B1625)/(IF(Inputs!$B$38="pvp",15,MAX(0.1,Skills!D6-IF(Skills!E6=TRUE,Inputs!$B$32,0)))*(1-IF(AND(ArtifactsInput!$M$27,Inputs!$B$4="Chapter Hunt"),CHOOSE(ArtifactsInput!$N$27+1,20,24,28,32,36,40),0)/100)))+1)),0)</f>
        <v/>
      </c>
      <c r="S1597">
        <f>IFERROR(O1597/N1597,0)</f>
        <v/>
      </c>
      <c r="T1597">
        <f>IF(C1597,(H1597*N1597*IF(AND(Inputs!$B$38&lt;&gt;"pvp",Inputs!$B$43&gt;0),((Skills!G6*((R1597-1)*IF(Skills!H6&gt;0,Skills!I6/Skills!H6,1)+IF(Skills!H6&gt;0,MIN(Skills!I6,MAX(0,MAX(0,Inputs!$B$43-B1625)-((R1597-1)*(IF(Inputs!$B$38="pvp",15,MAX(0.1,Skills!D6-IF(Skills!E6=TRUE,Inputs!$B$32,0)))*(1-IF(AND(ArtifactsInput!$M$27,Inputs!$B$4="Chapter Hunt"),CHOOSE(ArtifactsInput!$N$27+1,20,24,28,32,36,40),0)/100)))))/Skills!H6,1)))/Inputs!$B$43),G1597*Q1597)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1597*(1-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1597*(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1597*(1-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1597*(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7">
        <f>IF(C1597,(H1597*N1597*IF(AND(Inputs!$B$38&lt;&gt;"pvp",Inputs!$B$43&gt;0),((Skills!G6*((R1597-1)*IF(Skills!H6&gt;0,Skills!I6/Skills!H6,1)+IF(Skills!H6&gt;0,MIN(Skills!I6,MAX(0,MAX(0,Inputs!$B$43-B1625)-((R1597-1)*(IF(Inputs!$B$38="pvp",15,MAX(0.1,Skills!D6-IF(Skills!E6=TRUE,Inputs!$B$32,0)))*(1-IF(AND(ArtifactsInput!$M$27,Inputs!$B$4="Chapter Hunt"),CHOOSE(ArtifactsInput!$N$27+1,20,24,28,32,36,40),0)/100)))))/Skills!H6,1)))/Inputs!$B$43),G1597*Q1597))*IF(Inputs!$B$38="pvp",1,(1+(Inputs!$B$21+Skills!Q6+(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8">
      <c r="A1598">
        <f>Skills!A7</f>
        <v/>
      </c>
      <c r="B1598">
        <f>Skills!B7</f>
        <v/>
      </c>
      <c r="C1598">
        <f>Inputs!$B$3&gt;=107</f>
        <v/>
      </c>
      <c r="D1598">
        <f>IF(Skills!C7=1,60+Inputs!$B$25+Inputs!$B$29,IF(Skills!C7=2,90+Inputs!$B$26+Inputs!$B$29,IF(Skills!C7=3,120+Inputs!$B$27+Inputs!$B$29,MAX(0,(Inputs!$B$3-100)*3)+Inputs!$B$28+Inputs!$B$29)))</f>
        <v/>
      </c>
      <c r="E1598">
        <f>INDEX(FactorTable!$B$2:$Y$301, MATCH(ROUND(MIN(300,MAX(1,D1598)),0), FactorTable!$A$2:$A$301,0), Skills!M7+1)</f>
        <v/>
      </c>
      <c r="F1598">
        <f>IF(Skills!N7=TRUE,(Skills!L7/10)*(E1598/1000),Skills!L7/10)+Skills!O7</f>
        <v/>
      </c>
      <c r="G1598">
        <f>Skills!G7*IF(Skills!H7&gt;0,Skills!I7/Skills!H7,1)</f>
        <v/>
      </c>
      <c r="H1598">
        <f>1-(1-Skills!J7/100)^Skills!K7</f>
        <v/>
      </c>
      <c r="I1598" t="inlineStr">
        <is>
          <t>1</t>
        </is>
      </c>
      <c r="J1598">
        <f>((Inputs!$B$6*(1+Inputs!$B$7/100))+(((Inputs!$B$12*(1+Inputs!$B$13/100))-(Inputs!$B$12*(1+Inputs!$B$13/100)))+0.25*(Inputs!$B$14-Inputs!$B$14))*(1+Inputs!$B$7/100))*(F1598/100)</f>
        <v/>
      </c>
      <c r="K1598">
        <f>J1598*(1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1598)</f>
        <v/>
      </c>
      <c r="L1598">
        <f>K1598*(MIN(Inputs!$B$22+((C1613=TRUE)*(F1613-Calc!F22)),(Inputs!$B$23+((C1615=TRUE)*(F1615-Calc!F24))+(IF(ArtifactsInput!$M$15,CHOOSE(ArtifactsInput!$N$15+1,25,30,35,40,45,50)/100*(Inputs!$B$11-Inputs!$B$11),0))))/100+(Inputs!$B$23+((C1615=TRUE)*(F1615-Calc!F24))+(IF(ArtifactsInput!$M$15,CHOOSE(ArtifactsInput!$N$15+1,25,30,35,40,45,50)/100*(Inputs!$B$11-Inputs!$B$11),0)))/100)/2</f>
        <v/>
      </c>
      <c r="M1598">
        <f>L1598*(1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8">
        <f>L1598*(1-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1598*(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8">
        <f>(1-Summary!$B$11)*T1598+Summary!$B$11*V1598</f>
        <v/>
      </c>
      <c r="P1598">
        <f>IF(B1628=0,0,O1598/B1628)</f>
        <v/>
      </c>
      <c r="Q1598">
        <f>IFERROR(1/(IF(Inputs!$B$38="pvp",15,MAX(0.1,Skills!D7-IF(Skills!E7=TRUE,Inputs!$B$32,0)))*(1-IF(AND(ArtifactsInput!$M$27,Inputs!$B$4="Chapter Hunt"),CHOOSE(ArtifactsInput!$N$27+1,20,24,28,32,36,40),0)/100)),0)</f>
        <v/>
      </c>
      <c r="R1598">
        <f>IF(AND(Inputs!$B$38&lt;&gt;"pvp",Inputs!$B$43&gt;0),IF(MAX(0,Inputs!$B$43-B1625)&lt;=0,0,(INT(MAX(0,Inputs!$B$43-B1625)/(IF(Inputs!$B$38="pvp",15,MAX(0.1,Skills!D7-IF(Skills!E7=TRUE,Inputs!$B$32,0)))*(1-IF(AND(ArtifactsInput!$M$27,Inputs!$B$4="Chapter Hunt"),CHOOSE(ArtifactsInput!$N$27+1,20,24,28,32,36,40),0)/100)))+1)),0)</f>
        <v/>
      </c>
      <c r="S1598">
        <f>IFERROR(O1598/N1598,0)</f>
        <v/>
      </c>
      <c r="T1598">
        <f>IF(C1598,(H1598*N1598*IF(AND(Inputs!$B$38&lt;&gt;"pvp",Inputs!$B$43&gt;0),((Skills!G7*((R1598-1)*IF(Skills!H7&gt;0,Skills!I7/Skills!H7,1)+IF(Skills!H7&gt;0,MIN(Skills!I7,MAX(0,MAX(0,Inputs!$B$43-B1625)-((R1598-1)*(IF(Inputs!$B$38="pvp",15,MAX(0.1,Skills!D7-IF(Skills!E7=TRUE,Inputs!$B$32,0)))*(1-IF(AND(ArtifactsInput!$M$27,Inputs!$B$4="Chapter Hunt"),CHOOSE(ArtifactsInput!$N$27+1,20,24,28,32,36,40),0)/100)))))/Skills!H7,1)))/Inputs!$B$43),G1598*Q1598)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1598*(1-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1598*(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1598*(1-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1598*(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8">
        <f>IF(C1598,(H1598*N1598*IF(AND(Inputs!$B$38&lt;&gt;"pvp",Inputs!$B$43&gt;0),((Skills!G7*((R1598-1)*IF(Skills!H7&gt;0,Skills!I7/Skills!H7,1)+IF(Skills!H7&gt;0,MIN(Skills!I7,MAX(0,MAX(0,Inputs!$B$43-B1625)-((R1598-1)*(IF(Inputs!$B$38="pvp",15,MAX(0.1,Skills!D7-IF(Skills!E7=TRUE,Inputs!$B$32,0)))*(1-IF(AND(ArtifactsInput!$M$27,Inputs!$B$4="Chapter Hunt"),CHOOSE(ArtifactsInput!$N$27+1,20,24,28,32,36,40),0)/100)))))/Skills!H7,1)))/Inputs!$B$43),G1598*Q1598))*IF(Inputs!$B$38="pvp",1,(1+(Inputs!$B$21+Skills!Q7+(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9">
      <c r="A1599">
        <f>Skills!A8</f>
        <v/>
      </c>
      <c r="B1599">
        <f>Skills!B8</f>
        <v/>
      </c>
      <c r="C1599">
        <f>Inputs!$B$3&gt;=107</f>
        <v/>
      </c>
      <c r="D1599">
        <f>IF(Skills!C8=1,60+Inputs!$B$25+Inputs!$B$29,IF(Skills!C8=2,90+Inputs!$B$26+Inputs!$B$29,IF(Skills!C8=3,120+Inputs!$B$27+Inputs!$B$29,MAX(0,(Inputs!$B$3-100)*3)+Inputs!$B$28+Inputs!$B$29)))</f>
        <v/>
      </c>
      <c r="E1599">
        <f>INDEX(FactorTable!$B$2:$Y$301, MATCH(ROUND(MIN(300,MAX(1,D1599)),0), FactorTable!$A$2:$A$301,0), Skills!M8+1)</f>
        <v/>
      </c>
      <c r="F1599">
        <f>IF(Skills!N8=TRUE,(Skills!L8/10)*(E1599/1000),Skills!L8/10)+Skills!O8</f>
        <v/>
      </c>
      <c r="G1599">
        <f>Skills!G8*IF(Skills!H8&gt;0,Skills!I8/Skills!H8,1)</f>
        <v/>
      </c>
      <c r="H1599">
        <f>1-(1-Skills!J8/100)^Skills!K8</f>
        <v/>
      </c>
      <c r="I1599" t="inlineStr">
        <is>
          <t>1</t>
        </is>
      </c>
      <c r="J1599">
        <f>((Inputs!$B$6*(1+Inputs!$B$7/100))+(((Inputs!$B$12*(1+Inputs!$B$13/100))-(Inputs!$B$12*(1+Inputs!$B$13/100)))+0.25*(Inputs!$B$14-Inputs!$B$14))*(1+Inputs!$B$7/100))*(F1599/100)</f>
        <v/>
      </c>
      <c r="K1599">
        <f>J1599*(1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1599)</f>
        <v/>
      </c>
      <c r="L1599">
        <f>K1599*(MIN(Inputs!$B$22+((C1613=TRUE)*(F1613-Calc!F22)),(Inputs!$B$23+((C1615=TRUE)*(F1615-Calc!F24))+(IF(ArtifactsInput!$M$15,CHOOSE(ArtifactsInput!$N$15+1,25,30,35,40,45,50)/100*(Inputs!$B$11-Inputs!$B$11),0))))/100+(Inputs!$B$23+((C1615=TRUE)*(F1615-Calc!F24))+(IF(ArtifactsInput!$M$15,CHOOSE(ArtifactsInput!$N$15+1,25,30,35,40,45,50)/100*(Inputs!$B$11-Inputs!$B$11),0)))/100)/2</f>
        <v/>
      </c>
      <c r="M1599">
        <f>L1599*(1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9">
        <f>L1599*(1-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1599*(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9">
        <f>(1-Summary!$B$11)*T1599+Summary!$B$11*V1599</f>
        <v/>
      </c>
      <c r="P1599">
        <f>IF(B1628=0,0,O1599/B1628)</f>
        <v/>
      </c>
      <c r="Q1599">
        <f>IFERROR(1/(IF(Inputs!$B$38="pvp",15,MAX(0.1,Skills!D8-IF(Skills!E8=TRUE,Inputs!$B$32,0)))*(1-IF(AND(ArtifactsInput!$M$27,Inputs!$B$4="Chapter Hunt"),CHOOSE(ArtifactsInput!$N$27+1,20,24,28,32,36,40),0)/100)),0)</f>
        <v/>
      </c>
      <c r="R1599">
        <f>IF(AND(Inputs!$B$38&lt;&gt;"pvp",Inputs!$B$43&gt;0),IF(MAX(0,Inputs!$B$43-B1625)&lt;=0,0,(INT(MAX(0,Inputs!$B$43-B1625)/(IF(Inputs!$B$38="pvp",15,MAX(0.1,Skills!D8-IF(Skills!E8=TRUE,Inputs!$B$32,0)))*(1-IF(AND(ArtifactsInput!$M$27,Inputs!$B$4="Chapter Hunt"),CHOOSE(ArtifactsInput!$N$27+1,20,24,28,32,36,40),0)/100)))+1)),0)</f>
        <v/>
      </c>
      <c r="S1599">
        <f>IFERROR(O1599/N1599,0)</f>
        <v/>
      </c>
      <c r="T1599">
        <f>IF(C1599,(H1599*N1599*IF(AND(Inputs!$B$38&lt;&gt;"pvp",Inputs!$B$43&gt;0),((Skills!G8*((R1599-1)*IF(Skills!H8&gt;0,Skills!I8/Skills!H8,1)+IF(Skills!H8&gt;0,MIN(Skills!I8,MAX(0,MAX(0,Inputs!$B$43-B1625)-((R1599-1)*(IF(Inputs!$B$38="pvp",15,MAX(0.1,Skills!D8-IF(Skills!E8=TRUE,Inputs!$B$32,0)))*(1-IF(AND(ArtifactsInput!$M$27,Inputs!$B$4="Chapter Hunt"),CHOOSE(ArtifactsInput!$N$27+1,20,24,28,32,36,40),0)/100)))))/Skills!H8,1)))/Inputs!$B$43),G1599*Q1599)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1599*(1-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1599*(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1599*(1-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1599*(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99">
        <f>IF(C1599,(H1599*N1599*IF(AND(Inputs!$B$38&lt;&gt;"pvp",Inputs!$B$43&gt;0),((Skills!G8*((R1599-1)*IF(Skills!H8&gt;0,Skills!I8/Skills!H8,1)+IF(Skills!H8&gt;0,MIN(Skills!I8,MAX(0,MAX(0,Inputs!$B$43-B1625)-((R1599-1)*(IF(Inputs!$B$38="pvp",15,MAX(0.1,Skills!D8-IF(Skills!E8=TRUE,Inputs!$B$32,0)))*(1-IF(AND(ArtifactsInput!$M$27,Inputs!$B$4="Chapter Hunt"),CHOOSE(ArtifactsInput!$N$27+1,20,24,28,32,36,40),0)/100)))))/Skills!H8,1)))/Inputs!$B$43),G1599*Q1599))*IF(Inputs!$B$38="pvp",1,(1+(Inputs!$B$21+Skills!Q8+(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0">
      <c r="A1600">
        <f>Skills!A9</f>
        <v/>
      </c>
      <c r="B1600">
        <f>Skills!B9</f>
        <v/>
      </c>
      <c r="C1600">
        <f>Inputs!$B$3&gt;=125</f>
        <v/>
      </c>
      <c r="D1600">
        <f>IF(Skills!C9=1,60+Inputs!$B$25+Inputs!$B$29,IF(Skills!C9=2,90+Inputs!$B$26+Inputs!$B$29,IF(Skills!C9=3,120+Inputs!$B$27+Inputs!$B$29,MAX(0,(Inputs!$B$3-100)*3)+Inputs!$B$28+Inputs!$B$29)))</f>
        <v/>
      </c>
      <c r="E1600">
        <f>INDEX(FactorTable!$B$2:$Y$301, MATCH(ROUND(MIN(300,MAX(1,D1600)),0), FactorTable!$A$2:$A$301,0), Skills!M9+1)</f>
        <v/>
      </c>
      <c r="F1600">
        <f>IF(Skills!N9=TRUE,(Skills!L9/10)*(E1600/1000),Skills!L9/10)+Skills!O9</f>
        <v/>
      </c>
      <c r="G1600">
        <f>Skills!G9*IF(Skills!H9&gt;0,Skills!I9/Skills!H9,1)</f>
        <v/>
      </c>
      <c r="H1600">
        <f>1-(1-Skills!J9/100)^Skills!K9</f>
        <v/>
      </c>
      <c r="I1600" t="inlineStr">
        <is>
          <t>1</t>
        </is>
      </c>
      <c r="J1600">
        <f>((Inputs!$B$6*(1+Inputs!$B$7/100))+(((Inputs!$B$12*(1+Inputs!$B$13/100))-(Inputs!$B$12*(1+Inputs!$B$13/100)))+0.25*(Inputs!$B$14-Inputs!$B$14))*(1+Inputs!$B$7/100))*(F1600/100)</f>
        <v/>
      </c>
      <c r="K1600">
        <f>J1600*(1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1600)</f>
        <v/>
      </c>
      <c r="L1600">
        <f>K1600*(MIN(Inputs!$B$22+((C1613=TRUE)*(F1613-Calc!F22)),(Inputs!$B$23+((C1615=TRUE)*(F1615-Calc!F24))+(IF(ArtifactsInput!$M$15,CHOOSE(ArtifactsInput!$N$15+1,25,30,35,40,45,50)/100*(Inputs!$B$11-Inputs!$B$11),0))))/100+(Inputs!$B$23+((C1615=TRUE)*(F1615-Calc!F24))+(IF(ArtifactsInput!$M$15,CHOOSE(ArtifactsInput!$N$15+1,25,30,35,40,45,50)/100*(Inputs!$B$11-Inputs!$B$11),0)))/100)/2</f>
        <v/>
      </c>
      <c r="M1600">
        <f>L1600*(1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0">
        <f>L1600*(1-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1600*(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0">
        <f>(1-Summary!$B$11)*T1600+Summary!$B$11*V1600</f>
        <v/>
      </c>
      <c r="P1600">
        <f>IF(B1628=0,0,O1600/B1628)</f>
        <v/>
      </c>
      <c r="Q1600">
        <f>IFERROR(1/(IF(Inputs!$B$38="pvp",15,MAX(0.1,Skills!D9-IF(Skills!E9=TRUE,Inputs!$B$32,0)))*(1-IF(AND(ArtifactsInput!$M$27,Inputs!$B$4="Chapter Hunt"),CHOOSE(ArtifactsInput!$N$27+1,20,24,28,32,36,40),0)/100)),0)</f>
        <v/>
      </c>
      <c r="R1600">
        <f>IF(AND(Inputs!$B$38&lt;&gt;"pvp",Inputs!$B$43&gt;0),IF(MAX(0,Inputs!$B$43-B1625)&lt;=0,0,(INT(MAX(0,Inputs!$B$43-B1625)/(IF(Inputs!$B$38="pvp",15,MAX(0.1,Skills!D9-IF(Skills!E9=TRUE,Inputs!$B$32,0)))*(1-IF(AND(ArtifactsInput!$M$27,Inputs!$B$4="Chapter Hunt"),CHOOSE(ArtifactsInput!$N$27+1,20,24,28,32,36,40),0)/100)))+1)),0)</f>
        <v/>
      </c>
      <c r="S1600">
        <f>IFERROR(O1600/N1600,0)</f>
        <v/>
      </c>
      <c r="T1600">
        <f>IF(C1600,(H1600*N1600*IF(AND(Inputs!$B$38&lt;&gt;"pvp",Inputs!$B$43&gt;0),((Skills!G9*((R1600-1)*IF(Skills!H9&gt;0,Skills!I9/Skills!H9,1)+IF(Skills!H9&gt;0,MIN(Skills!I9,MAX(0,MAX(0,Inputs!$B$43-B1625)-((R1600-1)*(IF(Inputs!$B$38="pvp",15,MAX(0.1,Skills!D9-IF(Skills!E9=TRUE,Inputs!$B$32,0)))*(1-IF(AND(ArtifactsInput!$M$27,Inputs!$B$4="Chapter Hunt"),CHOOSE(ArtifactsInput!$N$27+1,20,24,28,32,36,40),0)/100)))))/Skills!H9,1)))/Inputs!$B$43),G1600*Q1600)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1600*(1-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1600*(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1600*(1-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1600*(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0">
        <f>IF(C1600,(H1600*N1600*IF(AND(Inputs!$B$38&lt;&gt;"pvp",Inputs!$B$43&gt;0),((Skills!G9*((R1600-1)*IF(Skills!H9&gt;0,Skills!I9/Skills!H9,1)+IF(Skills!H9&gt;0,MIN(Skills!I9,MAX(0,MAX(0,Inputs!$B$43-B1625)-((R1600-1)*(IF(Inputs!$B$38="pvp",15,MAX(0.1,Skills!D9-IF(Skills!E9=TRUE,Inputs!$B$32,0)))*(1-IF(AND(ArtifactsInput!$M$27,Inputs!$B$4="Chapter Hunt"),CHOOSE(ArtifactsInput!$N$27+1,20,24,28,32,36,40),0)/100)))))/Skills!H9,1)))/Inputs!$B$43),G1600*Q1600))*IF(Inputs!$B$38="pvp",1,(1+(Inputs!$B$21+Skills!Q9+(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1">
      <c r="A1601">
        <f>Skills!A10</f>
        <v/>
      </c>
      <c r="B1601">
        <f>Skills!B10</f>
        <v/>
      </c>
      <c r="C1601">
        <f>Inputs!$B$3&gt;=117</f>
        <v/>
      </c>
      <c r="D1601">
        <f>IF(Skills!C10=1,60+Inputs!$B$25+Inputs!$B$29,IF(Skills!C10=2,90+Inputs!$B$26+Inputs!$B$29,IF(Skills!C10=3,120+Inputs!$B$27+Inputs!$B$29,MAX(0,(Inputs!$B$3-100)*3)+Inputs!$B$28+Inputs!$B$29)))</f>
        <v/>
      </c>
      <c r="E1601">
        <f>INDEX(FactorTable!$B$2:$Y$301, MATCH(ROUND(MIN(300,MAX(1,D1601)),0), FactorTable!$A$2:$A$301,0), Skills!M10+1)</f>
        <v/>
      </c>
      <c r="F1601">
        <f>IF(Skills!N10=TRUE,(Skills!L10/10)*(E1601/1000),Skills!L10/10)+Skills!O10</f>
        <v/>
      </c>
      <c r="G1601">
        <f>Skills!G10*IF(Skills!H10&gt;0,Skills!I10/Skills!H10,1)</f>
        <v/>
      </c>
      <c r="H1601">
        <f>1-(1-Skills!J10/100)^Skills!K10</f>
        <v/>
      </c>
      <c r="I1601" t="inlineStr">
        <is>
          <t>1</t>
        </is>
      </c>
      <c r="J1601">
        <f>((Inputs!$B$6*(1+Inputs!$B$7/100))+(((Inputs!$B$12*(1+Inputs!$B$13/100))-(Inputs!$B$12*(1+Inputs!$B$13/100)))+0.25*(Inputs!$B$14-Inputs!$B$14))*(1+Inputs!$B$7/100))*(F1601/100)</f>
        <v/>
      </c>
      <c r="K1601">
        <f>J1601*(1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1601)</f>
        <v/>
      </c>
      <c r="L1601">
        <f>K1601*(MIN(Inputs!$B$22+((C1613=TRUE)*(F1613-Calc!F22)),(Inputs!$B$23+((C1615=TRUE)*(F1615-Calc!F24))+(IF(ArtifactsInput!$M$15,CHOOSE(ArtifactsInput!$N$15+1,25,30,35,40,45,50)/100*(Inputs!$B$11-Inputs!$B$11),0))))/100+(Inputs!$B$23+((C1615=TRUE)*(F1615-Calc!F24))+(IF(ArtifactsInput!$M$15,CHOOSE(ArtifactsInput!$N$15+1,25,30,35,40,45,50)/100*(Inputs!$B$11-Inputs!$B$11),0)))/100)/2</f>
        <v/>
      </c>
      <c r="M1601">
        <f>L1601*(1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1">
        <f>L1601*(1-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1">
        <f>(1-Summary!$B$11)*T1601+Summary!$B$11*V1601</f>
        <v/>
      </c>
      <c r="P1601">
        <f>IF(B1628=0,0,O1601/B1628)</f>
        <v/>
      </c>
      <c r="Q1601">
        <f>IFERROR(1/(IF(Inputs!$B$38="pvp",15,MAX(0.1,Skills!D10-IF(Skills!E10=TRUE,Inputs!$B$32,0)))*(1-IF(AND(ArtifactsInput!$M$27,Inputs!$B$4="Chapter Hunt"),CHOOSE(ArtifactsInput!$N$27+1,20,24,28,32,36,40),0)/100)),0)</f>
        <v/>
      </c>
      <c r="R1601">
        <f>IF(AND(Inputs!$B$38&lt;&gt;"pvp",Inputs!$B$43&gt;0),IF(MAX(0,Inputs!$B$43-B1625)&lt;=0,0,(INT(MAX(0,Inputs!$B$43-B1625)/(IF(Inputs!$B$38="pvp",15,MAX(0.1,Skills!D10-IF(Skills!E10=TRUE,Inputs!$B$32,0)))*(1-IF(AND(ArtifactsInput!$M$27,Inputs!$B$4="Chapter Hunt"),CHOOSE(ArtifactsInput!$N$27+1,20,24,28,32,36,40),0)/100)))+1)),0)</f>
        <v/>
      </c>
      <c r="S1601">
        <f>IFERROR(O1601/N1601,0)</f>
        <v/>
      </c>
      <c r="T1601">
        <f>IF(C1601,(H1601*N1601*IF(AND(Inputs!$B$38&lt;&gt;"pvp",Inputs!$B$43&gt;0),((Skills!G10*((R1601-1)*IF(Skills!H10&gt;0,Skills!I10/Skills!H10,1)+IF(Skills!H10&gt;0,MIN(Skills!I10,MAX(0,MAX(0,Inputs!$B$43-B1625)-((R1601-1)*(IF(Inputs!$B$38="pvp",15,MAX(0.1,Skills!D10-IF(Skills!E10=TRUE,Inputs!$B$32,0)))*(1-IF(AND(ArtifactsInput!$M$27,Inputs!$B$4="Chapter Hunt"),CHOOSE(ArtifactsInput!$N$27+1,20,24,28,32,36,40),0)/100)))))/Skills!H10,1)))/Inputs!$B$43),G1601*Q1601)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1601*(1-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1">
        <f>IF(C1601,(H1601*N1601*IF(AND(Inputs!$B$38&lt;&gt;"pvp",Inputs!$B$43&gt;0),((Skills!G10*((R1601-1)*IF(Skills!H10&gt;0,Skills!I10/Skills!H10,1)+IF(Skills!H10&gt;0,MIN(Skills!I10,MAX(0,MAX(0,Inputs!$B$43-B1625)-((R1601-1)*(IF(Inputs!$B$38="pvp",15,MAX(0.1,Skills!D10-IF(Skills!E10=TRUE,Inputs!$B$32,0)))*(1-IF(AND(ArtifactsInput!$M$27,Inputs!$B$4="Chapter Hunt"),CHOOSE(ArtifactsInput!$N$27+1,20,24,28,32,36,40),0)/100)))))/Skills!H10,1)))/Inputs!$B$43),G1601*Q1601))*IF(Inputs!$B$38="pvp",1,(1+(Inputs!$B$21+Skills!Q10+(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2">
      <c r="A1602">
        <f>Skills!A11</f>
        <v/>
      </c>
      <c r="B1602">
        <f>Skills!B11</f>
        <v/>
      </c>
      <c r="C1602">
        <f>Inputs!$B$3&gt;=63</f>
        <v/>
      </c>
      <c r="D1602">
        <f>IF(Skills!C11=1,60+Inputs!$B$25+Inputs!$B$29,IF(Skills!C11=2,90+Inputs!$B$26+Inputs!$B$29,IF(Skills!C11=3,120+Inputs!$B$27+Inputs!$B$29,MAX(0,(Inputs!$B$3-100)*3)+Inputs!$B$28+Inputs!$B$29)))</f>
        <v/>
      </c>
      <c r="E1602">
        <f>INDEX(FactorTable!$B$2:$Y$301, MATCH(ROUND(MIN(300,MAX(1,D1602)),0), FactorTable!$A$2:$A$301,0), Skills!M11+1)</f>
        <v/>
      </c>
      <c r="F1602">
        <f>IF(Skills!N11=TRUE,(Skills!L11/10)*(E1602/1000),Skills!L11/10)+Skills!O11</f>
        <v/>
      </c>
      <c r="G1602">
        <f>Skills!G11*IF(Skills!H11&gt;0,Skills!I11/Skills!H11,1)</f>
        <v/>
      </c>
      <c r="H1602">
        <f>1-(1-Skills!J11/100)^Skills!K11</f>
        <v/>
      </c>
      <c r="I1602" t="inlineStr">
        <is>
          <t>1</t>
        </is>
      </c>
      <c r="J1602">
        <f>((Inputs!$B$6*(1+Inputs!$B$7/100))+(((Inputs!$B$12*(1+Inputs!$B$13/100))-(Inputs!$B$12*(1+Inputs!$B$13/100)))+0.25*(Inputs!$B$14-Inputs!$B$14))*(1+Inputs!$B$7/100))*(F1602/100)</f>
        <v/>
      </c>
      <c r="K1602">
        <f>J1602*(1+((Inputs!$B$12*(1+Inputs!$B$13/100))*0.01+Inputs!$B$14*0.0025)/100)*(1+Inputs!$B$15/100)*(1+Inputs!$B$16/100)*(5000/(6000+Inputs!$B$42*(1-(Inputs!$B$19+0)/100)))*(1+(Inputs!$B$24+0+B1624)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1603=TRUE,F1603,0)/100)*(1+(IF(Skills!A11="BLAST",Inputs!$B$17+((C1612=TRUE)*(F1612-Calc!F21))+((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MIN(100,((Inputs!$B$9+0+B1618+(ArtifactsInput!$M$24-ArtifactsInput!$M$24)*CHOOSE(ArtifactsInput!$N$24+1,10,12,14,16,18,20)+IF(ArtifactsInput!$M$10,CHOOSE(ArtifactsInput!$N$10+1,15,18,21,24,27,30)*(IF(Inputs!$B$38="pvp",MIN(15,15)/15,IF(AND(Inputs!$B$38&lt;&gt;"pvp",Inputs!$B$43&gt;0),MIN(15,Inputs!$B$43)/(Inputs!$B$43),0))),0)))-100),0))*CHOOSE(ArtifactsInput!$N$42+1,0.6,0.72,0.84,0.96,1.08,1.2))),Inputs!$B$18+((C1614=TRUE)*(F1614-Calc!F23))+(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gt;=100),CHOOSE(ArtifactsInput!$N$42+1,40,48,56,64,72,80),0))))/100)*((1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1602)</f>
        <v/>
      </c>
      <c r="L1602">
        <f>K1602*(MIN(Inputs!$B$22+((C1613=TRUE)*(F1613-Calc!F22)),(Inputs!$B$23+((C1615=TRUE)*(F1615-Calc!F24))+(IF(ArtifactsInput!$M$15,CHOOSE(ArtifactsInput!$N$15+1,25,30,35,40,45,50)/100*(Inputs!$B$11-Inputs!$B$11),0))))/100+(Inputs!$B$23+((C1615=TRUE)*(F1615-Calc!F24))+(IF(ArtifactsInput!$M$15,CHOOSE(ArtifactsInput!$N$15+1,25,30,35,40,45,50)/100*(Inputs!$B$11-Inputs!$B$11),0)))/100)/2</f>
        <v/>
      </c>
      <c r="M1602">
        <f>L1602*(1+(Inputs!$B$10+0+B1623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2">
        <f>L1602*(1-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1602*(MIN((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2">
        <f>(1-Summary!$B$11)*T1602+Summary!$B$11*V1602</f>
        <v/>
      </c>
      <c r="P1602">
        <f>IF(B1628=0,0,O1602/B1628)</f>
        <v/>
      </c>
      <c r="Q1602">
        <f>IFERROR(1/(IF(Inputs!$B$38="pvp",15,MAX(0.1,Skills!D11-IF(Skills!E11=TRUE,Inputs!$B$32,0)))*(1-IF(AND(ArtifactsInput!$M$27,Inputs!$B$4="Chapter Hunt"),CHOOSE(ArtifactsInput!$N$27+1,20,24,28,32,36,40),0)/100)),0)</f>
        <v/>
      </c>
      <c r="R1602">
        <f>IF(AND(Inputs!$B$38&lt;&gt;"pvp",Inputs!$B$43&gt;0),IF(MAX(0,Inputs!$B$43-B1625)&lt;=0,0,(INT(MAX(0,Inputs!$B$43-B1625)/(IF(Inputs!$B$38="pvp",15,MAX(0.1,Skills!D11-IF(Skills!E11=TRUE,Inputs!$B$32,0)))*(1-IF(AND(ArtifactsInput!$M$27,Inputs!$B$4="Chapter Hunt"),CHOOSE(ArtifactsInput!$N$27+1,20,24,28,32,36,40),0)/100)))+1)),0)</f>
        <v/>
      </c>
      <c r="S1602">
        <f>IFERROR(O1602/N1602,0)</f>
        <v/>
      </c>
      <c r="T1602">
        <f>IF(C1602,(H1602*N1602*IF(AND(Inputs!$B$38&lt;&gt;"pvp",Inputs!$B$43&gt;0),((Skills!G11*((R1602-1)*IF(Skills!H11&gt;0,Skills!I11/Skills!H11,1)+IF(Skills!H11&gt;0,MIN(Skills!I11,MAX(0,MAX(0,Inputs!$B$43-B1625)-((R1602-1)*(IF(Inputs!$B$38="pvp",15,MAX(0.1,Skills!D11-IF(Skills!E11=TRUE,Inputs!$B$32,0)))*(1-IF(AND(ArtifactsInput!$M$27,Inputs!$B$4="Chapter Hunt"),CHOOSE(ArtifactsInput!$N$27+1,20,24,28,32,36,40),0)/100)))))/Skills!H11,1)))/Inputs!$B$43),G1602*Q1602)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1602*(1-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1602*(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1602*(1-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1602*(MIN(100,(Inputs!$B$9+0+B1618+(ArtifactsInput!$M$24-ArtifactsInput!$M$24)*CHOOSE(ArtifactsInput!$N$24+1,10,12,14,16,18,20)+(IF(AND(Inputs!$B$38&lt;&gt;"pvp",Inputs!$B$43=0),1,IF(IF(Inputs!$B$38="pvp",15,Inputs!$B$43)-(B1625)&lt;=0,1,MAX(0,IF(Inputs!$B$38="pvp",15,Inputs!$B$43)-MAX(5,B1625))/(IF(Inputs!$B$38="pvp",15,Inputs!$B$43)-(B1625))))*IF(AND(ArtifactsInput!$M$42,((Inputs!$B$9+0+B1618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2">
        <f>IF(C1602,(H1602*N1602*IF(AND(Inputs!$B$38&lt;&gt;"pvp",Inputs!$B$43&gt;0),((Skills!G11*((R1602-1)*IF(Skills!H11&gt;0,Skills!I11/Skills!H11,1)+IF(Skills!H11&gt;0,MIN(Skills!I11,MAX(0,MAX(0,Inputs!$B$43-B1625)-((R1602-1)*(IF(Inputs!$B$38="pvp",15,MAX(0.1,Skills!D11-IF(Skills!E11=TRUE,Inputs!$B$32,0)))*(1-IF(AND(ArtifactsInput!$M$27,Inputs!$B$4="Chapter Hunt"),CHOOSE(ArtifactsInput!$N$27+1,20,24,28,32,36,40),0)/100)))))/Skills!H11,1)))/Inputs!$B$43),G1602*Q1602))*IF(Inputs!$B$38="pvp",1,(1+(Inputs!$B$21+Skills!Q11+(IF(ArtifactsInput!$M$33,CHOOSE(ArtifactsInput!$N$33+1,30,36,42,48,54,60),0))+(IF(AND(ArtifactsInput!$M$35,Inputs!$B$4&lt;&gt;"Chapter Hunt"),CHOOSE(ArtifactsInput!$N$35+1,15,18,21,24,27,30)*(1-EXP(-(0.2*B1620)*5)),0)+IF(AND(ArtifactsInput!$M$22,Inputs!$B$4&lt;&gt;"Chapter Hunt"),CHOOSE(ArtifactsInput!$N$22+1,10,12,14,16,18,20)*((0*(((0.15*B1620*5))^0/1)+1*(((0.15*B1620*5))^1/1)+2*(((0.15*B1620*5))^2/2)+3*(((0.15*B1620*5))^3/6)+4*(((0.15*B1620*5))^4/24)+5*(((0.15*B1620*5))^5/120))/((((0.15*B1620*5))^0/1)+(((0.15*B1620*5))^1/1)+(((0.15*B1620*5))^2/2)+(((0.15*B1620*5))^3/6)+(((0.15*B1620*5))^4/24)+(((0.15*B1620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3">
      <c r="A1603">
        <f>Skills!A12</f>
        <v/>
      </c>
      <c r="B1603">
        <f>Skills!B12</f>
        <v/>
      </c>
      <c r="C1603">
        <f>Inputs!$B$3&gt;=100</f>
        <v/>
      </c>
      <c r="D1603">
        <f>IF(Skills!C12=1,60+Inputs!$B$25+Inputs!$B$29,IF(Skills!C12=2,90+Inputs!$B$26+Inputs!$B$29,IF(Skills!C12=3,120+Inputs!$B$27+Inputs!$B$29,MAX(0,(Inputs!$B$3-100)*3)+Inputs!$B$28+Inputs!$B$29)))</f>
        <v/>
      </c>
      <c r="E1603">
        <f>INDEX(FactorTable!$B$2:$Y$301, MATCH(ROUND(MIN(300,MAX(1,D1603)),0), FactorTable!$A$2:$A$301,0), Skills!M12+1)</f>
        <v/>
      </c>
      <c r="F1603">
        <f>IF(Skills!N12=TRUE,(Skills!L12/10)*(E1603/1000),Skills!L12/10)+Skills!O12</f>
        <v/>
      </c>
      <c r="G1603" t="inlineStr"/>
      <c r="H1603" t="inlineStr"/>
      <c r="I1603" t="inlineStr">
        <is>
          <t>1</t>
        </is>
      </c>
      <c r="J1603" t="inlineStr"/>
      <c r="K1603" t="inlineStr"/>
      <c r="L1603" t="inlineStr"/>
      <c r="M1603" t="inlineStr"/>
      <c r="N1603" t="inlineStr"/>
      <c r="O1603" t="inlineStr"/>
      <c r="P1603" t="inlineStr"/>
      <c r="Q1603" t="inlineStr"/>
      <c r="R1603" t="inlineStr"/>
      <c r="S1603" t="inlineStr"/>
    </row>
    <row r="1604">
      <c r="A1604">
        <f>Skills!A13</f>
        <v/>
      </c>
      <c r="B1604">
        <f>Skills!B13</f>
        <v/>
      </c>
      <c r="C1604">
        <f>Inputs!$B$3&gt;=45</f>
        <v/>
      </c>
      <c r="D1604">
        <f>IF(Skills!C13=1,60+Inputs!$B$25+Inputs!$B$29,IF(Skills!C13=2,90+Inputs!$B$26+Inputs!$B$29,IF(Skills!C13=3,120+Inputs!$B$27+Inputs!$B$29,MAX(0,(Inputs!$B$3-100)*3)+Inputs!$B$28+Inputs!$B$29)))</f>
        <v/>
      </c>
      <c r="E1604">
        <f>INDEX(FactorTable!$B$2:$Y$301, MATCH(ROUND(MIN(300,MAX(1,D1604)),0), FactorTable!$A$2:$A$301,0), Skills!M13+1)</f>
        <v/>
      </c>
      <c r="F1604">
        <f>IF(Skills!N13=TRUE,(Skills!L13/10)*(E1604/1000),Skills!L13/10)+Skills!O13</f>
        <v/>
      </c>
      <c r="G1604">
        <f>Skills!G13*IF(Skills!H13&gt;0,Skills!I13/Skills!H13,1)</f>
        <v/>
      </c>
      <c r="H1604">
        <f>1-(1-Skills!J13/100)^Skills!K13</f>
        <v/>
      </c>
      <c r="I1604" t="inlineStr">
        <is>
          <t>1</t>
        </is>
      </c>
      <c r="J1604" t="inlineStr"/>
      <c r="K1604" t="inlineStr"/>
      <c r="L1604" t="inlineStr"/>
      <c r="M1604" t="inlineStr"/>
      <c r="N1604" t="inlineStr"/>
      <c r="O1604">
        <f>(1-Summary!$B$11)*T1604+Summary!$B$11*V1604</f>
        <v/>
      </c>
      <c r="P1604">
        <f>IF(B1628=0,0,O1604/B1628)</f>
        <v/>
      </c>
      <c r="Q1604" t="n">
        <v>0</v>
      </c>
      <c r="R1604" t="n">
        <v>0</v>
      </c>
      <c r="S1604">
        <f>IFERROR(O1604/N1604,0)</f>
        <v/>
      </c>
      <c r="T1604" t="n">
        <v>0</v>
      </c>
      <c r="V1604" t="n">
        <v>0</v>
      </c>
    </row>
    <row r="1605">
      <c r="A1605">
        <f>Skills!A14</f>
        <v/>
      </c>
      <c r="B1605">
        <f>Skills!B14</f>
        <v/>
      </c>
      <c r="C1605">
        <f>Inputs!$B$3&gt;=110</f>
        <v/>
      </c>
      <c r="D1605">
        <f>IF(Skills!C14=1,60+Inputs!$B$25+Inputs!$B$29,IF(Skills!C14=2,90+Inputs!$B$26+Inputs!$B$29,IF(Skills!C14=3,120+Inputs!$B$27+Inputs!$B$29,MAX(0,(Inputs!$B$3-100)*3)+Inputs!$B$28+Inputs!$B$29)))</f>
        <v/>
      </c>
      <c r="E1605">
        <f>INDEX(FactorTable!$B$2:$Y$301, MATCH(ROUND(MIN(300,MAX(1,D1605)),0), FactorTable!$A$2:$A$301,0), Skills!M14+1)</f>
        <v/>
      </c>
      <c r="F1605">
        <f>IF(Skills!N14=TRUE,(Skills!L14/10)*(E1605/1000),Skills!L14/10)+Skills!O14</f>
        <v/>
      </c>
      <c r="G1605">
        <f>Skills!G14*IF(Skills!H14&gt;0,Skills!I14/Skills!H14,1)</f>
        <v/>
      </c>
      <c r="H1605">
        <f>1-(1-Skills!J14/100)^Skills!K14</f>
        <v/>
      </c>
      <c r="I1605" t="inlineStr">
        <is>
          <t>1</t>
        </is>
      </c>
      <c r="J1605" t="inlineStr"/>
      <c r="K1605" t="inlineStr"/>
      <c r="L1605" t="inlineStr"/>
      <c r="M1605" t="inlineStr"/>
      <c r="N1605" t="inlineStr"/>
      <c r="O1605">
        <f>(1-Summary!$B$11)*T1605+Summary!$B$11*V1605</f>
        <v/>
      </c>
      <c r="P1605">
        <f>IF(B1628=0,0,O1605/B1628)</f>
        <v/>
      </c>
      <c r="Q1605" t="n">
        <v>0</v>
      </c>
      <c r="R1605" t="n">
        <v>0</v>
      </c>
      <c r="S1605">
        <f>IFERROR(O1605/N1605,0)</f>
        <v/>
      </c>
      <c r="T1605" t="n">
        <v>0</v>
      </c>
      <c r="V1605" t="n">
        <v>0</v>
      </c>
    </row>
    <row r="1606">
      <c r="A1606">
        <f>Skills!A15</f>
        <v/>
      </c>
      <c r="B1606">
        <f>Skills!B15</f>
        <v/>
      </c>
      <c r="C1606">
        <f>Inputs!$B$3&gt;=75</f>
        <v/>
      </c>
      <c r="D1606">
        <f>IF(Skills!C15=1,60+Inputs!$B$25+Inputs!$B$29,IF(Skills!C15=2,90+Inputs!$B$26+Inputs!$B$29,IF(Skills!C15=3,120+Inputs!$B$27+Inputs!$B$29,MAX(0,(Inputs!$B$3-100)*3)+Inputs!$B$28+Inputs!$B$29)))</f>
        <v/>
      </c>
      <c r="E1606">
        <f>INDEX(FactorTable!$B$2:$Y$301, MATCH(ROUND(MIN(300,MAX(1,D1606)),0), FactorTable!$A$2:$A$301,0), Skills!M15+1)</f>
        <v/>
      </c>
      <c r="F1606">
        <f>IF(Skills!N15=TRUE,(Skills!L15/10)*(E1606/1000),Skills!L15/10)+Skills!O15</f>
        <v/>
      </c>
      <c r="G1606">
        <f>Skills!G15*IF(Skills!H15&gt;0,Skills!I15/Skills!H15,1)</f>
        <v/>
      </c>
      <c r="H1606">
        <f>1-(1-Skills!J15/100)^Skills!K15</f>
        <v/>
      </c>
      <c r="I1606" t="inlineStr">
        <is>
          <t>1</t>
        </is>
      </c>
      <c r="J1606" t="inlineStr"/>
      <c r="K1606" t="inlineStr"/>
      <c r="L1606" t="inlineStr"/>
      <c r="M1606" t="inlineStr"/>
      <c r="N1606" t="inlineStr"/>
      <c r="O1606">
        <f>(1-Summary!$B$11)*T1606+Summary!$B$11*V1606</f>
        <v/>
      </c>
      <c r="P1606">
        <f>IF(B1628=0,0,O1606/B1628)</f>
        <v/>
      </c>
      <c r="Q1606">
        <f>IFERROR(1/(IF(Inputs!$B$38="pvp",15,MAX(0.1,Skills!D15-IF(Skills!E15=TRUE,Inputs!$B$32,0)))*(1-IF(AND(ArtifactsInput!$M$27,Inputs!$B$4="Chapter Hunt"),CHOOSE(ArtifactsInput!$N$27+1,20,24,28,32,36,40),0)/100)),0)</f>
        <v/>
      </c>
      <c r="R1606">
        <f>IF(AND(Inputs!$B$38&lt;&gt;"pvp",Inputs!$B$43&gt;0),IF(Inputs!$B$43&lt;=0,0,(INT(Inputs!$B$43/(IF(Inputs!$B$38="pvp",15,MAX(0.1,Skills!D15-IF(Skills!E15=TRUE,Inputs!$B$32,0)))*(1-IF(AND(ArtifactsInput!$M$27,Inputs!$B$4="Chapter Hunt"),CHOOSE(ArtifactsInput!$N$27+1,20,24,28,32,36,40),0)/100)))+1)),0)</f>
        <v/>
      </c>
      <c r="S1606">
        <f>IFERROR(O1606/N1606,0)</f>
        <v/>
      </c>
      <c r="T1606" t="n">
        <v>0</v>
      </c>
      <c r="V1606" t="n">
        <v>0</v>
      </c>
    </row>
    <row r="1607">
      <c r="A1607">
        <f>Skills!A16</f>
        <v/>
      </c>
      <c r="B1607">
        <f>Skills!B16</f>
        <v/>
      </c>
      <c r="C1607">
        <f>Inputs!$B$3&gt;=105</f>
        <v/>
      </c>
      <c r="D1607">
        <f>IF(Skills!C16=1,60+Inputs!$B$25+Inputs!$B$29,IF(Skills!C16=2,90+Inputs!$B$26+Inputs!$B$29,IF(Skills!C16=3,120+Inputs!$B$27+Inputs!$B$29,MAX(0,(Inputs!$B$3-100)*3)+Inputs!$B$28+Inputs!$B$29)))</f>
        <v/>
      </c>
      <c r="E1607">
        <f>INDEX(FactorTable!$B$2:$Y$301, MATCH(ROUND(MIN(300,MAX(1,D1607)),0), FactorTable!$A$2:$A$301,0), Skills!M16+1)</f>
        <v/>
      </c>
      <c r="F1607">
        <f>IF(Skills!N16=TRUE,(Skills!L16/10)*(E1607/1000),Skills!L16/10)+Skills!O16</f>
        <v/>
      </c>
      <c r="G1607">
        <f>Skills!G16*IF(Skills!H16&gt;0,Skills!I16/Skills!H16,1)</f>
        <v/>
      </c>
      <c r="H1607">
        <f>1-(1-Skills!J16/100)^Skills!K16</f>
        <v/>
      </c>
      <c r="I1607" t="inlineStr">
        <is>
          <t>1</t>
        </is>
      </c>
      <c r="J1607" t="inlineStr"/>
      <c r="K1607" t="inlineStr"/>
      <c r="L1607" t="inlineStr"/>
      <c r="M1607" t="inlineStr"/>
      <c r="N1607" t="inlineStr"/>
      <c r="O1607">
        <f>(1-Summary!$B$11)*T1607+Summary!$B$11*V1607</f>
        <v/>
      </c>
      <c r="P1607">
        <f>IF(B1628=0,0,O1607/B1628)</f>
        <v/>
      </c>
      <c r="Q1607">
        <f>IFERROR(1/(IF(Inputs!$B$38="pvp",15,MAX(0.1,Skills!D16-IF(Skills!E16=TRUE,Inputs!$B$32,0)))*(1-IF(AND(ArtifactsInput!$M$27,Inputs!$B$4="Chapter Hunt"),CHOOSE(ArtifactsInput!$N$27+1,20,24,28,32,36,40),0)/100)),0)</f>
        <v/>
      </c>
      <c r="R1607">
        <f>IF(AND(Inputs!$B$38&lt;&gt;"pvp",Inputs!$B$43&gt;0),IF(Inputs!$B$43&lt;=0,0,(INT(Inputs!$B$43/(IF(Inputs!$B$38="pvp",15,MAX(0.1,Skills!D16-IF(Skills!E16=TRUE,Inputs!$B$32,0)))*(1-IF(AND(ArtifactsInput!$M$27,Inputs!$B$4="Chapter Hunt"),CHOOSE(ArtifactsInput!$N$27+1,20,24,28,32,36,40),0)/100)))+1)),0)</f>
        <v/>
      </c>
      <c r="S1607">
        <f>IFERROR(O1607/N1607,0)</f>
        <v/>
      </c>
      <c r="T1607" t="n">
        <v>0</v>
      </c>
      <c r="V1607" t="n">
        <v>0</v>
      </c>
    </row>
    <row r="1608">
      <c r="A1608">
        <f>Skills!A17</f>
        <v/>
      </c>
      <c r="B1608">
        <f>Skills!B17</f>
        <v/>
      </c>
      <c r="C1608">
        <f>Inputs!$B$3&gt;=115</f>
        <v/>
      </c>
      <c r="D1608">
        <f>IF(Skills!C17=1,60+Inputs!$B$25+Inputs!$B$29,IF(Skills!C17=2,90+Inputs!$B$26+Inputs!$B$29,IF(Skills!C17=3,120+Inputs!$B$27+Inputs!$B$29,MAX(0,(Inputs!$B$3-100)*3)+Inputs!$B$28+Inputs!$B$29)))</f>
        <v/>
      </c>
      <c r="E1608">
        <f>INDEX(FactorTable!$B$2:$Y$301, MATCH(ROUND(MIN(300,MAX(1,D1608)),0), FactorTable!$A$2:$A$301,0), Skills!M17+1)</f>
        <v/>
      </c>
      <c r="F1608">
        <f>IF(Skills!N17=TRUE,(Skills!L17/10)*(E1608/1000),Skills!L17/10)+Skills!O17</f>
        <v/>
      </c>
      <c r="G1608">
        <f>Skills!G17*IF(Skills!H17&gt;0,Skills!I17/Skills!H17,1)</f>
        <v/>
      </c>
      <c r="H1608">
        <f>1-(1-Skills!J17/100)^Skills!K17</f>
        <v/>
      </c>
      <c r="I1608" t="inlineStr">
        <is>
          <t>1</t>
        </is>
      </c>
      <c r="J1608" t="inlineStr"/>
      <c r="K1608" t="inlineStr"/>
      <c r="L1608" t="inlineStr"/>
      <c r="M1608" t="inlineStr"/>
      <c r="N1608" t="inlineStr"/>
      <c r="O1608">
        <f>(1-Summary!$B$11)*T1608+Summary!$B$11*V1608</f>
        <v/>
      </c>
      <c r="P1608">
        <f>IF(B1628=0,0,O1608/B1628)</f>
        <v/>
      </c>
      <c r="Q1608">
        <f>IFERROR(1/(IF(Inputs!$B$38="pvp",15,MAX(0.1,Skills!D17-IF(Skills!E17=TRUE,Inputs!$B$32,0)))*(1-IF(AND(ArtifactsInput!$M$27,Inputs!$B$4="Chapter Hunt"),CHOOSE(ArtifactsInput!$N$27+1,20,24,28,32,36,40),0)/100)),0)</f>
        <v/>
      </c>
      <c r="R1608">
        <f>IF(AND(Inputs!$B$38&lt;&gt;"pvp",Inputs!$B$43&gt;0),IF(Inputs!$B$43&lt;=0,0,(INT(Inputs!$B$43/(IF(Inputs!$B$38="pvp",15,MAX(0.1,Skills!D17-IF(Skills!E17=TRUE,Inputs!$B$32,0)))*(1-IF(AND(ArtifactsInput!$M$27,Inputs!$B$4="Chapter Hunt"),CHOOSE(ArtifactsInput!$N$27+1,20,24,28,32,36,40),0)/100)))+1)),0)</f>
        <v/>
      </c>
      <c r="S1608">
        <f>IFERROR(O1608/N1608,0)</f>
        <v/>
      </c>
      <c r="T1608" t="n">
        <v>0</v>
      </c>
      <c r="V1608" t="n">
        <v>0</v>
      </c>
    </row>
    <row r="1609">
      <c r="A1609">
        <f>Skills!A18</f>
        <v/>
      </c>
      <c r="B1609">
        <f>Skills!B18</f>
        <v/>
      </c>
      <c r="C1609">
        <f>Inputs!$B$3&gt;=74</f>
        <v/>
      </c>
      <c r="D1609">
        <f>IF(Skills!C18=1,60+Inputs!$B$25+Inputs!$B$29,IF(Skills!C18=2,90+Inputs!$B$26+Inputs!$B$29,IF(Skills!C18=3,120+Inputs!$B$27+Inputs!$B$29,MAX(0,(Inputs!$B$3-100)*3)+Inputs!$B$28+Inputs!$B$29)))</f>
        <v/>
      </c>
      <c r="E1609">
        <f>INDEX(FactorTable!$B$2:$Y$301, MATCH(ROUND(MIN(300,MAX(1,D1609)),0), FactorTable!$A$2:$A$301,0), Skills!M18+1)</f>
        <v/>
      </c>
      <c r="F1609">
        <f>IF(Skills!N18=TRUE,(Skills!L18/10)*(E1609/1000),Skills!L18/10)+Skills!O18</f>
        <v/>
      </c>
      <c r="G1609">
        <f>Skills!G18*IF(Skills!H18&gt;0,Skills!I18/Skills!H18,1)</f>
        <v/>
      </c>
      <c r="H1609">
        <f>1-(1-Skills!J18/100)^Skills!K18</f>
        <v/>
      </c>
      <c r="I1609" t="inlineStr">
        <is>
          <t>1</t>
        </is>
      </c>
      <c r="J1609" t="inlineStr"/>
      <c r="K1609" t="inlineStr"/>
      <c r="L1609" t="inlineStr"/>
      <c r="M1609" t="inlineStr"/>
      <c r="N1609" t="inlineStr"/>
      <c r="O1609">
        <f>(1-Summary!$B$11)*T1609+Summary!$B$11*V1609</f>
        <v/>
      </c>
      <c r="P1609">
        <f>IF(B1628=0,0,O1609/B1628)</f>
        <v/>
      </c>
      <c r="Q1609">
        <f>IFERROR(1/(IF(Inputs!$B$38="pvp",15,MAX(0.1,Skills!D18-IF(Skills!E18=TRUE,Inputs!$B$32,0)))*(1-IF(AND(ArtifactsInput!$M$27,Inputs!$B$4="Chapter Hunt"),CHOOSE(ArtifactsInput!$N$27+1,20,24,28,32,36,40),0)/100)),0)</f>
        <v/>
      </c>
      <c r="R1609">
        <f>IF(AND(Inputs!$B$38&lt;&gt;"pvp",Inputs!$B$43&gt;0),IF(Inputs!$B$43&lt;=0,0,(INT(Inputs!$B$43/(IF(Inputs!$B$38="pvp",15,MAX(0.1,Skills!D18-IF(Skills!E18=TRUE,Inputs!$B$32,0)))*(1-IF(AND(ArtifactsInput!$M$27,Inputs!$B$4="Chapter Hunt"),CHOOSE(ArtifactsInput!$N$27+1,20,24,28,32,36,40),0)/100)))+1)),0)</f>
        <v/>
      </c>
      <c r="S1609">
        <f>IFERROR(O1609/N1609,0)</f>
        <v/>
      </c>
      <c r="T1609" t="n">
        <v>0</v>
      </c>
      <c r="V1609" t="n">
        <v>0</v>
      </c>
    </row>
    <row r="1610">
      <c r="A1610">
        <f>Skills!A19</f>
        <v/>
      </c>
      <c r="B1610">
        <f>Skills!B19</f>
        <v/>
      </c>
      <c r="C1610">
        <f>TRUE</f>
        <v/>
      </c>
      <c r="D1610">
        <f>IF(Skills!C19=1,60+Inputs!$B$25+Inputs!$B$29,IF(Skills!C19=2,90+Inputs!$B$26+Inputs!$B$29,IF(Skills!C19=3,120+Inputs!$B$27+Inputs!$B$29,MAX(0,(Inputs!$B$3-100)*3)+Inputs!$B$28+Inputs!$B$29)))</f>
        <v/>
      </c>
      <c r="E1610">
        <f>INDEX(FactorTable!$B$2:$Y$301, MATCH(ROUND(MIN(300,MAX(1,D1610)),0), FactorTable!$A$2:$A$301,0), Skills!M19+1)</f>
        <v/>
      </c>
      <c r="F1610">
        <f>IF(Skills!N19=TRUE,(Skills!L19/10)*(E1610/1000),Skills!L19/10)+Skills!O19</f>
        <v/>
      </c>
      <c r="G1610">
        <f>Skills!G19*IF(Skills!H19&gt;0,Skills!I19/Skills!H19,1)</f>
        <v/>
      </c>
      <c r="H1610">
        <f>1-(1-Skills!J19/100)^Skills!K19</f>
        <v/>
      </c>
      <c r="I1610" t="inlineStr">
        <is>
          <t>1</t>
        </is>
      </c>
      <c r="J1610" t="inlineStr"/>
      <c r="K1610" t="inlineStr"/>
      <c r="L1610" t="inlineStr"/>
      <c r="M1610" t="inlineStr"/>
      <c r="N1610" t="inlineStr"/>
      <c r="O1610">
        <f>(1-Summary!$B$11)*T1610+Summary!$B$11*V1610</f>
        <v/>
      </c>
      <c r="P1610">
        <f>IF(B1628=0,0,O1610/B1628)</f>
        <v/>
      </c>
      <c r="Q1610">
        <f>IFERROR(1/(IF(Inputs!$B$38="pvp",15,MAX(0.1,Skills!D19-IF(Skills!E19=TRUE,Inputs!$B$32,0)))*(1-IF(AND(ArtifactsInput!$M$27,Inputs!$B$4="Chapter Hunt"),CHOOSE(ArtifactsInput!$N$27+1,20,24,28,32,36,40),0)/100)),0)</f>
        <v/>
      </c>
      <c r="R1610">
        <f>IF(AND(Inputs!$B$38&lt;&gt;"pvp",Inputs!$B$43&gt;0),IF(Inputs!$B$43&lt;=0,0,(INT(Inputs!$B$43/(IF(Inputs!$B$38="pvp",15,MAX(0.1,Skills!D19-IF(Skills!E19=TRUE,Inputs!$B$32,0)))*(1-IF(AND(ArtifactsInput!$M$27,Inputs!$B$4="Chapter Hunt"),CHOOSE(ArtifactsInput!$N$27+1,20,24,28,32,36,40),0)/100)))+1)),0)</f>
        <v/>
      </c>
      <c r="S1610">
        <f>IFERROR(O1610/N1610,0)</f>
        <v/>
      </c>
      <c r="T1610" t="n">
        <v>0</v>
      </c>
      <c r="V1610" t="n">
        <v>0</v>
      </c>
    </row>
    <row r="1611">
      <c r="A1611">
        <f>Skills!A20</f>
        <v/>
      </c>
      <c r="B1611">
        <f>Skills!B20</f>
        <v/>
      </c>
      <c r="C1611">
        <f>Inputs!$B$3&gt;=33</f>
        <v/>
      </c>
      <c r="D1611">
        <f>IF(Skills!C20=1,60+Inputs!$B$25+Inputs!$B$29,IF(Skills!C20=2,90+Inputs!$B$26+Inputs!$B$29,IF(Skills!C20=3,120+Inputs!$B$27+Inputs!$B$29,MAX(0,(Inputs!$B$3-100)*3)+Inputs!$B$28+Inputs!$B$29)))</f>
        <v/>
      </c>
      <c r="E1611">
        <f>INDEX(FactorTable!$B$2:$Y$301, MATCH(ROUND(MIN(300,MAX(1,D1611)),0), FactorTable!$A$2:$A$301,0), Skills!M20+1)</f>
        <v/>
      </c>
      <c r="F1611">
        <f>IF(Skills!N20=TRUE,(Skills!L20/10)*(E1611/1000),Skills!L20/10)+Skills!O20</f>
        <v/>
      </c>
      <c r="G1611">
        <f>Skills!G20*IF(Skills!H20&gt;0,Skills!I20/Skills!H20,1)</f>
        <v/>
      </c>
      <c r="H1611">
        <f>1-(1-Skills!J20/100)^Skills!K20</f>
        <v/>
      </c>
      <c r="I1611" t="inlineStr">
        <is>
          <t>1</t>
        </is>
      </c>
      <c r="J1611" t="inlineStr"/>
      <c r="K1611" t="inlineStr"/>
      <c r="L1611" t="inlineStr"/>
      <c r="M1611" t="inlineStr"/>
      <c r="N1611" t="inlineStr"/>
      <c r="O1611">
        <f>(1-Summary!$B$11)*T1611+Summary!$B$11*V1611</f>
        <v/>
      </c>
      <c r="P1611">
        <f>IF(B1628=0,0,O1611/B1628)</f>
        <v/>
      </c>
      <c r="Q1611" t="n">
        <v>0</v>
      </c>
      <c r="R1611" t="n">
        <v>0</v>
      </c>
      <c r="S1611">
        <f>IFERROR(O1611/N1611,0)</f>
        <v/>
      </c>
      <c r="T1611" t="n">
        <v>0</v>
      </c>
      <c r="V1611" t="n">
        <v>0</v>
      </c>
    </row>
    <row r="1612">
      <c r="A1612">
        <f>Skills!A21</f>
        <v/>
      </c>
      <c r="B1612">
        <f>Skills!B21</f>
        <v/>
      </c>
      <c r="C1612">
        <f>Inputs!$B$3&gt;=38</f>
        <v/>
      </c>
      <c r="D1612">
        <f>IF(Skills!C21=1,60+Inputs!$B$25+Inputs!$B$29,IF(Skills!C21=2,90+Inputs!$B$26+Inputs!$B$29,IF(Skills!C21=3,120+Inputs!$B$27+Inputs!$B$29,MAX(0,(Inputs!$B$3-100)*3)+Inputs!$B$28+Inputs!$B$29)))</f>
        <v/>
      </c>
      <c r="E1612">
        <f>INDEX(FactorTable!$B$2:$Y$301, MATCH(ROUND(MIN(300,MAX(1,D1612)),0), FactorTable!$A$2:$A$301,0), Skills!M21+1)</f>
        <v/>
      </c>
      <c r="F1612">
        <f>IF(Skills!N21=TRUE,(Skills!L21/10)*(E1612/1000),Skills!L21/10)+Skills!O21</f>
        <v/>
      </c>
      <c r="G1612">
        <f>Skills!G21*IF(Skills!H21&gt;0,Skills!I21/Skills!H21,1)</f>
        <v/>
      </c>
      <c r="H1612">
        <f>1-(1-Skills!J21/100)^Skills!K21</f>
        <v/>
      </c>
      <c r="I1612" t="inlineStr">
        <is>
          <t>1</t>
        </is>
      </c>
      <c r="J1612" t="inlineStr"/>
      <c r="K1612" t="inlineStr"/>
      <c r="L1612" t="inlineStr"/>
      <c r="M1612" t="inlineStr"/>
      <c r="N1612" t="inlineStr"/>
      <c r="O1612">
        <f>(1-Summary!$B$11)*T1612+Summary!$B$11*V1612</f>
        <v/>
      </c>
      <c r="P1612">
        <f>IF(B1628=0,0,O1612/B1628)</f>
        <v/>
      </c>
      <c r="Q1612" t="n">
        <v>0</v>
      </c>
      <c r="R1612" t="n">
        <v>0</v>
      </c>
      <c r="S1612">
        <f>IFERROR(O1612/N1612,0)</f>
        <v/>
      </c>
      <c r="T1612" t="n">
        <v>0</v>
      </c>
      <c r="V1612" t="n">
        <v>0</v>
      </c>
    </row>
    <row r="1613">
      <c r="A1613">
        <f>Skills!A22</f>
        <v/>
      </c>
      <c r="B1613">
        <f>Skills!B22</f>
        <v/>
      </c>
      <c r="C1613">
        <f>Inputs!$B$3&gt;=43</f>
        <v/>
      </c>
      <c r="D1613">
        <f>IF(Skills!C22=1,60+Inputs!$B$25+Inputs!$B$29,IF(Skills!C22=2,90+Inputs!$B$26+Inputs!$B$29,IF(Skills!C22=3,120+Inputs!$B$27+Inputs!$B$29,MAX(0,(Inputs!$B$3-100)*3)+Inputs!$B$28+Inputs!$B$29)))</f>
        <v/>
      </c>
      <c r="E1613">
        <f>INDEX(FactorTable!$B$2:$Y$301, MATCH(ROUND(MIN(300,MAX(1,D1613)),0), FactorTable!$A$2:$A$301,0), Skills!M22+1)</f>
        <v/>
      </c>
      <c r="F1613">
        <f>IF(Skills!N22=TRUE,(Skills!L22/10)*(E1613/1000),Skills!L22/10)+Skills!O22</f>
        <v/>
      </c>
      <c r="G1613">
        <f>Skills!G22*IF(Skills!H22&gt;0,Skills!I22/Skills!H22,1)</f>
        <v/>
      </c>
      <c r="H1613">
        <f>1-(1-Skills!J22/100)^Skills!K22</f>
        <v/>
      </c>
      <c r="I1613" t="inlineStr">
        <is>
          <t>1</t>
        </is>
      </c>
      <c r="J1613" t="inlineStr"/>
      <c r="K1613" t="inlineStr"/>
      <c r="L1613" t="inlineStr"/>
      <c r="M1613" t="inlineStr"/>
      <c r="N1613" t="inlineStr"/>
      <c r="O1613">
        <f>(1-Summary!$B$11)*T1613+Summary!$B$11*V1613</f>
        <v/>
      </c>
      <c r="P1613">
        <f>IF(B1628=0,0,O1613/B1628)</f>
        <v/>
      </c>
      <c r="Q1613" t="n">
        <v>0</v>
      </c>
      <c r="R1613" t="n">
        <v>0</v>
      </c>
      <c r="S1613">
        <f>IFERROR(O1613/N1613,0)</f>
        <v/>
      </c>
      <c r="T1613" t="n">
        <v>0</v>
      </c>
      <c r="V1613" t="n">
        <v>0</v>
      </c>
    </row>
    <row r="1614">
      <c r="A1614">
        <f>Skills!A23</f>
        <v/>
      </c>
      <c r="B1614">
        <f>Skills!B23</f>
        <v/>
      </c>
      <c r="C1614">
        <f>Inputs!$B$3&gt;=120</f>
        <v/>
      </c>
      <c r="D1614">
        <f>IF(Skills!C23=1,60+Inputs!$B$25+Inputs!$B$29,IF(Skills!C23=2,90+Inputs!$B$26+Inputs!$B$29,IF(Skills!C23=3,120+Inputs!$B$27+Inputs!$B$29,MAX(0,(Inputs!$B$3-100)*3)+Inputs!$B$28+Inputs!$B$29)))</f>
        <v/>
      </c>
      <c r="E1614">
        <f>INDEX(FactorTable!$B$2:$Y$301, MATCH(ROUND(MIN(300,MAX(1,D1614)),0), FactorTable!$A$2:$A$301,0), Skills!M23+1)</f>
        <v/>
      </c>
      <c r="F1614">
        <f>IF(Skills!N23=TRUE,(Skills!L23/10)*(E1614/1000),Skills!L23/10)+Skills!O23</f>
        <v/>
      </c>
      <c r="G1614">
        <f>Skills!G23*IF(Skills!H23&gt;0,Skills!I23/Skills!H23,1)</f>
        <v/>
      </c>
      <c r="H1614">
        <f>1-(1-Skills!J23/100)^Skills!K23</f>
        <v/>
      </c>
      <c r="I1614" t="inlineStr">
        <is>
          <t>1</t>
        </is>
      </c>
      <c r="J1614" t="inlineStr"/>
      <c r="K1614" t="inlineStr"/>
      <c r="L1614" t="inlineStr"/>
      <c r="M1614" t="inlineStr"/>
      <c r="N1614" t="inlineStr"/>
      <c r="O1614">
        <f>(1-Summary!$B$11)*T1614+Summary!$B$11*V1614</f>
        <v/>
      </c>
      <c r="P1614">
        <f>IF(B1628=0,0,O1614/B1628)</f>
        <v/>
      </c>
      <c r="Q1614" t="n">
        <v>0</v>
      </c>
      <c r="R1614" t="n">
        <v>0</v>
      </c>
      <c r="S1614">
        <f>IFERROR(O1614/N1614,0)</f>
        <v/>
      </c>
      <c r="T1614" t="n">
        <v>0</v>
      </c>
      <c r="V1614" t="n">
        <v>0</v>
      </c>
    </row>
    <row r="1615">
      <c r="A1615">
        <f>Skills!A24</f>
        <v/>
      </c>
      <c r="B1615">
        <f>Skills!B24</f>
        <v/>
      </c>
      <c r="C1615">
        <f>Inputs!$B$3&gt;=120</f>
        <v/>
      </c>
      <c r="D1615">
        <f>IF(Skills!C24=1,60+Inputs!$B$25+Inputs!$B$29,IF(Skills!C24=2,90+Inputs!$B$26+Inputs!$B$29,IF(Skills!C24=3,120+Inputs!$B$27+Inputs!$B$29,MAX(0,(Inputs!$B$3-100)*3)+Inputs!$B$28+Inputs!$B$29)))</f>
        <v/>
      </c>
      <c r="E1615">
        <f>INDEX(FactorTable!$B$2:$Y$301, MATCH(ROUND(MIN(300,MAX(1,D1615)),0), FactorTable!$A$2:$A$301,0), Skills!M24+1)</f>
        <v/>
      </c>
      <c r="F1615">
        <f>IF(Skills!N24=TRUE,(Skills!L24/10)*(E1615/1000),Skills!L24/10)+Skills!O24</f>
        <v/>
      </c>
      <c r="G1615">
        <f>Skills!G24*IF(Skills!H24&gt;0,Skills!I24/Skills!H24,1)</f>
        <v/>
      </c>
      <c r="H1615">
        <f>1-(1-Skills!J24/100)^Skills!K24</f>
        <v/>
      </c>
      <c r="I1615" t="inlineStr">
        <is>
          <t>1</t>
        </is>
      </c>
      <c r="J1615" t="inlineStr"/>
      <c r="K1615" t="inlineStr"/>
      <c r="L1615" t="inlineStr"/>
      <c r="M1615" t="inlineStr"/>
      <c r="N1615" t="inlineStr"/>
      <c r="O1615">
        <f>(1-Summary!$B$11)*T1615+Summary!$B$11*V1615</f>
        <v/>
      </c>
      <c r="P1615">
        <f>IF(B1628=0,0,O1615/B1628)</f>
        <v/>
      </c>
      <c r="Q1615" t="n">
        <v>0</v>
      </c>
      <c r="R1615" t="n">
        <v>0</v>
      </c>
      <c r="S1615">
        <f>IFERROR(O1615/N1615,0)</f>
        <v/>
      </c>
      <c r="T1615" t="n">
        <v>0</v>
      </c>
      <c r="V1615" t="n">
        <v>0</v>
      </c>
    </row>
    <row r="1617">
      <c r="A1617" t="inlineStr">
        <is>
          <t>Attack% Bucket Multiplier</t>
        </is>
      </c>
      <c r="B1617">
        <f>(1+(((C1604=TRUE)*F1604*MIN(1,Skills!T13*(Skills!J13/100)*B1622))+((C1609=TRUE)*F1609*IF(AND(Inputs!$B$38&lt;&gt;"pvp",Inputs!$B$43&gt;0),(((R1609-1)*(Skills!T18*(1+Inputs!$B$34/100))+MIN((Skills!T18*(1+Inputs!$B$34/100)),MAX(0,Inputs!$B$43-((R1609-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18">
      <c r="A1618" t="inlineStr">
        <is>
          <t>Global Crit Rate Bonus %</t>
        </is>
      </c>
      <c r="B1618" t="n">
        <v>0</v>
      </c>
    </row>
    <row r="1619">
      <c r="A1619" t="inlineStr">
        <is>
          <t>Attack Speed Buff Bonus %</t>
        </is>
      </c>
      <c r="B1619">
        <f>((C1610=TRUE)*F1610*IF(AND(Inputs!$B$38&lt;&gt;"pvp",Inputs!$B$43&gt;0),(((R1610-1)*(Skills!T19*(1+Inputs!$B$34/100))+MIN((Skills!T19*(1+Inputs!$B$34/100)),MAX(0,Inputs!$B$43-((R1610-1)*Skills!D19))))/Inputs!$B$43),IF(Inputs!$B$38="pvp",MIN((Skills!T19*(1+Inputs!$B$34/100)),15)/15,(Skills!T19*(1+Inputs!$B$34/100))/Skills!D19)))</f>
        <v/>
      </c>
    </row>
    <row r="1620">
      <c r="A1620" t="inlineStr">
        <is>
          <t>Actions Per Second</t>
        </is>
      </c>
      <c r="B1620">
        <f>1+MIN(150,150*(1-(1-(Inputs!$B$11+((C1611=TRUE)*(F1611-Calc!F20)))/150)*(1-B1619/150)))/100</f>
        <v/>
      </c>
    </row>
    <row r="1621">
      <c r="A1621" t="inlineStr">
        <is>
          <t>Skill + Buff Cast Rate</t>
        </is>
      </c>
      <c r="B1621">
        <f>IF(AND(Inputs!$B$38&lt;&gt;"pvp",Inputs!$B$43&gt;0),SUMPRODUCT((Skills!E2:E24=TRUE)*(C1593:C1615=TRUE)*R1593:R1615*Skills!F2:F24)/Inputs!$B$43,SUMPRODUCT((Skills!E2:E24=TRUE)*(C1593:C1615=TRUE)*Q1593:Q1615*Skills!F2:F24))</f>
        <v/>
      </c>
    </row>
    <row r="1622">
      <c r="A1622" t="inlineStr">
        <is>
          <t>Blast Casts Per Second</t>
        </is>
      </c>
      <c r="B1622">
        <f>MAX(0,B1620-B1621)</f>
        <v/>
      </c>
    </row>
    <row r="1623">
      <c r="A1623" t="inlineStr">
        <is>
          <t>Global Critical Damage Bonus % (unused)</t>
        </is>
      </c>
      <c r="B1623" t="n">
        <v>0</v>
      </c>
    </row>
    <row r="1624">
      <c r="A1624" t="inlineStr">
        <is>
          <t>Global Final Damage Bonus % (Divine Shield + Guardian + Divine Blessing + Greater Vessel of Light)</t>
        </is>
      </c>
      <c r="B1624">
        <f>((C1606=TRUE)*F1606*IF(AND(Inputs!$B$38&lt;&gt;"pvp",Inputs!$B$43&gt;0),(((R1606-1)*(Skills!T15*(1+Inputs!$B$34/100))+MIN((Skills!T15*(1+Inputs!$B$34/100)),MAX(0,Inputs!$B$43-((R1606-1)*Skills!D15))))/Inputs!$B$43),IF(Inputs!$B$38="pvp",MIN((Skills!T15*(1+Inputs!$B$34/100)),15)/15,(Skills!T15*(1+Inputs!$B$34/100))/Skills!D15)))+((C1607=TRUE)*F1607*IF(AND(Inputs!$B$38&lt;&gt;"pvp",Inputs!$B$43&gt;0),(((R1607-1)*(Skills!T16*(1+Inputs!$B$34/100))+MIN((Skills!T16*(1+Inputs!$B$34/100)),MAX(0,Inputs!$B$43-((R1607-1)*Skills!D16))))/Inputs!$B$43),IF(Inputs!$B$38="pvp",MIN((Skills!T16*(1+Inputs!$B$34/100)),15)/15,(Skills!T16*(1+Inputs!$B$34/100))/Skills!D16)))+((C1608=TRUE)*F1608*IF(AND(Inputs!$B$38&lt;&gt;"pvp",Inputs!$B$43&gt;0),(((R1608-1)*(Skills!T17*(1+Inputs!$B$34/100))+MIN((Skills!T17*(1+Inputs!$B$34/100)),MAX(0,Inputs!$B$43-((R1608-1)*Skills!D17))))/Inputs!$B$43),IF(Inputs!$B$38="pvp",MIN((Skills!T17*(1+Inputs!$B$34/100)),15)/15,(Skills!T17*(1+Inputs!$B$34/100))/Skills!D17)))+((C1605=TRUE)*F1605*MIN(1,Skills!T13*(Skills!J13/100)*B1622))</f>
        <v/>
      </c>
    </row>
    <row r="1625">
      <c r="A1625" t="inlineStr">
        <is>
          <t>Buff-Casting Startup Delay (s, fixed-duration only)</t>
        </is>
      </c>
      <c r="B1625">
        <f>IF(AND(Inputs!$B$38&lt;&gt;"pvp",Inputs!$B$43&gt;0),SUMPRODUCT((Skills!T2:T24&gt;0)*(Skills!E2:E24=TRUE)*(C1593:C1615=TRUE))/B1620,0)</f>
        <v/>
      </c>
    </row>
    <row r="1626">
      <c r="A1626" t="inlineStr">
        <is>
          <t>Boss-Only Total DPS (this block's swept value)</t>
        </is>
      </c>
      <c r="B1626">
        <f>SUM(T1593:T1615)</f>
        <v/>
      </c>
    </row>
    <row r="1627">
      <c r="A1627" t="inlineStr">
        <is>
          <t>Normal-Only Total DPS (this block's swept value)</t>
        </is>
      </c>
      <c r="B1627">
        <f>SUM(V1593:V1615)</f>
        <v/>
      </c>
    </row>
    <row r="1628">
      <c r="A1628" s="6" t="inlineStr">
        <is>
          <t>TOTAL DPS</t>
        </is>
      </c>
      <c r="B1628" s="6">
        <f>SUM(O1593:O1615)</f>
        <v/>
      </c>
    </row>
    <row r="1631">
      <c r="A1631" s="6" t="inlineStr">
        <is>
          <t>Stat: Chalice (Equip)</t>
        </is>
      </c>
    </row>
    <row r="1632">
      <c r="A1632" s="5" t="inlineStr">
        <is>
          <t>Key</t>
        </is>
      </c>
      <c r="B1632" s="5" t="inlineStr">
        <is>
          <t>Name</t>
        </is>
      </c>
      <c r="C1632" s="5" t="inlineStr">
        <is>
          <t>Unlocked</t>
        </is>
      </c>
      <c r="D1632" s="5" t="inlineStr">
        <is>
          <t>InputLevel</t>
        </is>
      </c>
      <c r="E1632" s="5" t="inlineStr">
        <is>
          <t>Factor</t>
        </is>
      </c>
      <c r="F1632" s="5" t="inlineStr">
        <is>
          <t>CoefficientPercent</t>
        </is>
      </c>
      <c r="G1632" s="5" t="inlineStr">
        <is>
          <t>EffectiveHits</t>
        </is>
      </c>
      <c r="H1632" s="5" t="inlineStr">
        <is>
          <t>ProcProbability</t>
        </is>
      </c>
      <c r="I1632" s="5" t="inlineStr">
        <is>
          <t>MapleHeroMultiplier</t>
        </is>
      </c>
      <c r="J1632" s="5" t="inlineStr">
        <is>
          <t>BaseDamage</t>
        </is>
      </c>
      <c r="K1632" s="5" t="inlineStr">
        <is>
          <t>BaseHitDamage</t>
        </is>
      </c>
      <c r="L1632" s="5" t="inlineStr">
        <is>
          <t>NonCritAvg</t>
        </is>
      </c>
      <c r="M1632" s="5" t="inlineStr">
        <is>
          <t>CritAvg</t>
        </is>
      </c>
      <c r="N1632" s="5" t="inlineStr">
        <is>
          <t>ExpectedDamage(perHit)</t>
        </is>
      </c>
      <c r="O1632" s="5" t="inlineStr">
        <is>
          <t>DPS</t>
        </is>
      </c>
      <c r="P1632" s="5" t="inlineStr">
        <is>
          <t>% of Total</t>
        </is>
      </c>
      <c r="Q1632" s="5" t="inlineStr">
        <is>
          <t>InvCooldown</t>
        </is>
      </c>
      <c r="R1632" s="5" t="inlineStr">
        <is>
          <t>CastsInFight</t>
        </is>
      </c>
      <c r="S1632" s="5" t="inlineStr">
        <is>
          <t>HitRate(perSec)</t>
        </is>
      </c>
      <c r="U1632" t="inlineStr">
        <is>
          <t>helpers</t>
        </is>
      </c>
    </row>
    <row r="1633">
      <c r="A1633">
        <f>Skills!A2</f>
        <v/>
      </c>
      <c r="B1633">
        <f>Skills!B2</f>
        <v/>
      </c>
      <c r="C1633">
        <f>Inputs!$B$3&gt;=100</f>
        <v/>
      </c>
      <c r="D1633" t="inlineStr"/>
      <c r="E1633" t="inlineStr"/>
      <c r="F1633">
        <f>U1635+Skills!O2</f>
        <v/>
      </c>
      <c r="G1633">
        <f>Skills!G2*IF(Skills!H2&gt;0,Skills!I2/Skills!H2,1)</f>
        <v/>
      </c>
      <c r="H1633">
        <f>1-(1-Skills!J2/100)^Skills!K2</f>
        <v/>
      </c>
      <c r="I1633" t="inlineStr">
        <is>
          <t>1</t>
        </is>
      </c>
      <c r="J1633">
        <f>((Inputs!$B$6*(1+Inputs!$B$7/100))+(((Inputs!$B$12*(1+Inputs!$B$13/100))-(Inputs!$B$12*(1+Inputs!$B$13/100)))+0.25*(Inputs!$B$14-Inputs!$B$14))*(1+Inputs!$B$7/100))*(F1633/100)</f>
        <v/>
      </c>
      <c r="K1633">
        <f>J1633*(1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1633)</f>
        <v/>
      </c>
      <c r="L1633">
        <f>K1633*(MIN(Inputs!$B$22+((C1653=TRUE)*(F1653-Calc!F22)),(Inputs!$B$23+((C1655=TRUE)*(F1655-Calc!F24))+(IF(ArtifactsInput!$M$15,CHOOSE(ArtifactsInput!$N$15+1,25,30,35,40,45,50)/100*(Inputs!$B$11-Inputs!$B$11),0))))/100+(Inputs!$B$23+((C1655=TRUE)*(F1655-Calc!F24))+(IF(ArtifactsInput!$M$15,CHOOSE(ArtifactsInput!$N$15+1,25,30,35,40,45,50)/100*(Inputs!$B$11-Inputs!$B$11),0)))/100)/2</f>
        <v/>
      </c>
      <c r="M1633">
        <f>L1633*(1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3">
        <f>L1633*(1-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1633*(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3">
        <f>(1-Summary!$B$11)*T1633+Summary!$B$11*V1633</f>
        <v/>
      </c>
      <c r="P1633">
        <f>IF(B1668=0,0,O1633/B1668)</f>
        <v/>
      </c>
      <c r="Q1633" t="n">
        <v>0</v>
      </c>
      <c r="R1633" t="n">
        <v>0</v>
      </c>
      <c r="S1633">
        <f>IFERROR(O1633/N1633,0)</f>
        <v/>
      </c>
      <c r="T1633">
        <f>IF(C1633,(Skills!G2*N1633*B1662)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1633*(1-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1633*(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1633*(1-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1633*(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3">
        <f>MAX(0,(Inputs!$B$3-100)*3)+Inputs!$B$28+Inputs!$B$29</f>
        <v/>
      </c>
      <c r="V1633">
        <f>IF(C1633,(Skills!G2*N1633*B1662)*IF(Inputs!$B$38="pvp",1,(1+(Inputs!$B$21+Skills!Q2+(IF(ArtifactsInput!$M$33,CHOOSE(ArtifactsInput!$N$33+1,30,36,42,48,54,60),0))+(IF(AND(ArtifactsInput!$M$35,Inputs!$B$4&lt;&gt;"Chapter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4">
      <c r="A1634">
        <f>Skills!A3</f>
        <v/>
      </c>
      <c r="B1634">
        <f>Skills!B3</f>
        <v/>
      </c>
      <c r="C1634">
        <f>Inputs!$B$3&gt;=50</f>
        <v/>
      </c>
      <c r="D1634">
        <f>IF(Skills!C3=1,60+Inputs!$B$25+Inputs!$B$29,IF(Skills!C3=2,90+Inputs!$B$26+Inputs!$B$29,IF(Skills!C3=3,120+Inputs!$B$27+Inputs!$B$29,MAX(0,(Inputs!$B$3-100)*3)+Inputs!$B$28+Inputs!$B$29)))</f>
        <v/>
      </c>
      <c r="E1634">
        <f>INDEX(FactorTable!$B$2:$Y$301, MATCH(ROUND(MIN(300,MAX(1,D1634)),0), FactorTable!$A$2:$A$301,0), Skills!M3+1)</f>
        <v/>
      </c>
      <c r="F1634">
        <f>IF(Skills!N3=TRUE,(Skills!L3/10)*(E1634/1000),Skills!L3/10)+Skills!O3</f>
        <v/>
      </c>
      <c r="G1634" t="inlineStr"/>
      <c r="H1634" t="inlineStr"/>
      <c r="I1634" t="inlineStr">
        <is>
          <t>1</t>
        </is>
      </c>
      <c r="J1634" t="inlineStr"/>
      <c r="K1634" t="inlineStr"/>
      <c r="L1634" t="inlineStr"/>
      <c r="M1634" t="inlineStr"/>
      <c r="N1634" t="inlineStr"/>
      <c r="O1634" t="inlineStr"/>
      <c r="P1634" t="inlineStr"/>
      <c r="Q1634" t="inlineStr"/>
      <c r="R1634" t="inlineStr"/>
      <c r="S1634" t="inlineStr"/>
      <c r="U1634">
        <f>INDEX(FactorTable!$B$2:$Y$301, MATCH(ROUND(MIN(300,MAX(1,U1633)),0), FactorTable!$A$2:$A$301,0), 22)</f>
        <v/>
      </c>
    </row>
    <row r="1635">
      <c r="A1635">
        <f>Skills!A4</f>
        <v/>
      </c>
      <c r="B1635">
        <f>Skills!B4</f>
        <v/>
      </c>
      <c r="C1635">
        <f>Inputs!$B$3&gt;=35</f>
        <v/>
      </c>
      <c r="D1635">
        <f>IF(Skills!C4=1,60+Inputs!$B$25+Inputs!$B$29,IF(Skills!C4=2,90+Inputs!$B$26+Inputs!$B$29,IF(Skills!C4=3,120+Inputs!$B$27+Inputs!$B$29,MAX(0,(Inputs!$B$3-100)*3)+Inputs!$B$28+Inputs!$B$29)))</f>
        <v/>
      </c>
      <c r="E1635">
        <f>INDEX(FactorTable!$B$2:$Y$301, MATCH(ROUND(MIN(300,MAX(1,D1635)),0), FactorTable!$A$2:$A$301,0), Skills!M4+1)</f>
        <v/>
      </c>
      <c r="F1635">
        <f>IF(Skills!N4=TRUE,(Skills!L4/10)*(E1635/1000),Skills!L4/10)+Skills!O4</f>
        <v/>
      </c>
      <c r="G1635">
        <f>Skills!G4*IF(Skills!H4&gt;0,Skills!I4/Skills!H4,1)</f>
        <v/>
      </c>
      <c r="H1635">
        <f>1-(1-Skills!J4/100)^Skills!K4</f>
        <v/>
      </c>
      <c r="I1635" t="inlineStr">
        <is>
          <t>1</t>
        </is>
      </c>
      <c r="J1635">
        <f>((Inputs!$B$6*(1+Inputs!$B$7/100))+(((Inputs!$B$12*(1+Inputs!$B$13/100))-(Inputs!$B$12*(1+Inputs!$B$13/100)))+0.25*(Inputs!$B$14-Inputs!$B$14))*(1+Inputs!$B$7/100))*(F1635/100)</f>
        <v/>
      </c>
      <c r="K1635">
        <f>J1635*(1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1643=TRUE,F1643,0)/100)*(1+(IF(Skills!A4="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1635)</f>
        <v/>
      </c>
      <c r="L1635">
        <f>K1635*(MIN(Inputs!$B$22+((C1653=TRUE)*(F1653-Calc!F22)),(Inputs!$B$23+((C1655=TRUE)*(F1655-Calc!F24))+(IF(ArtifactsInput!$M$15,CHOOSE(ArtifactsInput!$N$15+1,25,30,35,40,45,50)/100*(Inputs!$B$11-Inputs!$B$11),0))))/100+(Inputs!$B$23+((C1655=TRUE)*(F1655-Calc!F24))+(IF(ArtifactsInput!$M$15,CHOOSE(ArtifactsInput!$N$15+1,25,30,35,40,45,50)/100*(Inputs!$B$11-Inputs!$B$11),0)))/100)/2</f>
        <v/>
      </c>
      <c r="M1635">
        <f>L1635*(1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5">
        <f>L1635*(1-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1635*(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5">
        <f>(1-Summary!$B$11)*T1635+Summary!$B$11*V1635</f>
        <v/>
      </c>
      <c r="P1635">
        <f>IF(B1668=0,0,O1635/B1668)</f>
        <v/>
      </c>
      <c r="Q1635">
        <f>IFERROR(1/(IF(Inputs!$B$38="pvp",15,MAX(0.1,Skills!D4-IF(Skills!E4=TRUE,Inputs!$B$32,0)))*(1-IF(AND(ArtifactsInput!$M$27,Inputs!$B$4="Chapter Hunt"),CHOOSE(ArtifactsInput!$N$27+1,20,24,28,32,36,40),0)/100)),0)</f>
        <v/>
      </c>
      <c r="R1635">
        <f>IF(AND(Inputs!$B$38&lt;&gt;"pvp",Inputs!$B$43&gt;0),IF(MAX(0,Inputs!$B$43-B1665)&lt;=0,0,(INT(MAX(0,Inputs!$B$43-B1665)/(IF(Inputs!$B$38="pvp",15,MAX(0.1,Skills!D4-IF(Skills!E4=TRUE,Inputs!$B$32,0)))*(1-IF(AND(ArtifactsInput!$M$27,Inputs!$B$4="Chapter Hunt"),CHOOSE(ArtifactsInput!$N$27+1,20,24,28,32,36,40),0)/100)))+1)),0)</f>
        <v/>
      </c>
      <c r="S1635">
        <f>IFERROR(O1635/N1635,0)</f>
        <v/>
      </c>
      <c r="T1635">
        <f>IF(C1635,(H1635*N1635*IF(AND(Inputs!$B$38&lt;&gt;"pvp",Inputs!$B$43&gt;0),((Skills!G4*((R1635-1)*IF(Skills!H4&gt;0,Skills!I4/Skills!H4,1)+IF(Skills!H4&gt;0,MIN(Skills!I4,MAX(0,MAX(0,Inputs!$B$43-B1665)-((R1635-1)*(IF(Inputs!$B$38="pvp",15,MAX(0.1,Skills!D4-IF(Skills!E4=TRUE,Inputs!$B$32,0)))*(1-IF(AND(ArtifactsInput!$M$27,Inputs!$B$4="Chapter Hunt"),CHOOSE(ArtifactsInput!$N$27+1,20,24,28,32,36,40),0)/100)))))/Skills!H4,1)))/Inputs!$B$43),G1635*Q1635)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1635*(1-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1635*(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1635*(1-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1635*(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5">
        <f>290*U1634/1000</f>
        <v/>
      </c>
      <c r="V1635">
        <f>IF(C1635,(H1635*N1635*IF(AND(Inputs!$B$38&lt;&gt;"pvp",Inputs!$B$43&gt;0),((Skills!G4*((R1635-1)*IF(Skills!H4&gt;0,Skills!I4/Skills!H4,1)+IF(Skills!H4&gt;0,MIN(Skills!I4,MAX(0,MAX(0,Inputs!$B$43-B1665)-((R1635-1)*(IF(Inputs!$B$38="pvp",15,MAX(0.1,Skills!D4-IF(Skills!E4=TRUE,Inputs!$B$32,0)))*(1-IF(AND(ArtifactsInput!$M$27,Inputs!$B$4="Chapter Hunt"),CHOOSE(ArtifactsInput!$N$27+1,20,24,28,32,36,40),0)/100)))))/Skills!H4,1)))/Inputs!$B$43),G1635*Q1635))*IF(Inputs!$B$38="pvp",1,(1+(Inputs!$B$21+Skills!Q4+(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6">
      <c r="A1636">
        <f>Skills!A5</f>
        <v/>
      </c>
      <c r="B1636">
        <f>Skills!B5</f>
        <v/>
      </c>
      <c r="C1636">
        <f>Inputs!$B$3&gt;=66</f>
        <v/>
      </c>
      <c r="D1636">
        <f>IF(Skills!C5=1,60+Inputs!$B$25+Inputs!$B$29,IF(Skills!C5=2,90+Inputs!$B$26+Inputs!$B$29,IF(Skills!C5=3,120+Inputs!$B$27+Inputs!$B$29,MAX(0,(Inputs!$B$3-100)*3)+Inputs!$B$28+Inputs!$B$29)))</f>
        <v/>
      </c>
      <c r="E1636">
        <f>INDEX(FactorTable!$B$2:$Y$301, MATCH(ROUND(MIN(300,MAX(1,D1636)),0), FactorTable!$A$2:$A$301,0), Skills!M5+1)</f>
        <v/>
      </c>
      <c r="F1636">
        <f>IF(Skills!N5=TRUE,(Skills!L5/10)*(E1636/1000),Skills!L5/10)+Skills!O5</f>
        <v/>
      </c>
      <c r="G1636">
        <f>Skills!G5*IF(Skills!H5&gt;0,Skills!I5/Skills!H5,1)</f>
        <v/>
      </c>
      <c r="H1636">
        <f>1-(1-Skills!J5/100)^Skills!K5</f>
        <v/>
      </c>
      <c r="I1636" t="inlineStr">
        <is>
          <t>1</t>
        </is>
      </c>
      <c r="J1636">
        <f>((Inputs!$B$6*(1+Inputs!$B$7/100))+(((Inputs!$B$12*(1+Inputs!$B$13/100))-(Inputs!$B$12*(1+Inputs!$B$13/100)))+0.25*(Inputs!$B$14-Inputs!$B$14))*(1+Inputs!$B$7/100))*(F1636/100)</f>
        <v/>
      </c>
      <c r="K1636">
        <f>J1636*(1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1643=TRUE,F1643,0)/100)*(1+(IF(Skills!A5="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1636)</f>
        <v/>
      </c>
      <c r="L1636">
        <f>K1636*(MIN(Inputs!$B$22+((C1653=TRUE)*(F1653-Calc!F22)),(Inputs!$B$23+((C1655=TRUE)*(F1655-Calc!F24))+(IF(ArtifactsInput!$M$15,CHOOSE(ArtifactsInput!$N$15+1,25,30,35,40,45,50)/100*(Inputs!$B$11-Inputs!$B$11),0))))/100+(Inputs!$B$23+((C1655=TRUE)*(F1655-Calc!F24))+(IF(ArtifactsInput!$M$15,CHOOSE(ArtifactsInput!$N$15+1,25,30,35,40,45,50)/100*(Inputs!$B$11-Inputs!$B$11),0)))/100)/2</f>
        <v/>
      </c>
      <c r="M1636">
        <f>L1636*(1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6">
        <f>L1636*(1-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1636*(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6">
        <f>(1-Summary!$B$11)*T1636+Summary!$B$11*V1636</f>
        <v/>
      </c>
      <c r="P1636">
        <f>IF(B1668=0,0,O1636/B1668)</f>
        <v/>
      </c>
      <c r="Q1636">
        <f>IFERROR(1/(IF(Inputs!$B$38="pvp",15,MAX(0.1,Skills!D5-IF(Skills!E5=TRUE,Inputs!$B$32,0)))*(1-IF(AND(ArtifactsInput!$M$27,Inputs!$B$4="Chapter Hunt"),CHOOSE(ArtifactsInput!$N$27+1,20,24,28,32,36,40),0)/100)),0)</f>
        <v/>
      </c>
      <c r="R1636">
        <f>IF(AND(Inputs!$B$38&lt;&gt;"pvp",Inputs!$B$43&gt;0),IF(MAX(0,Inputs!$B$43-B1665)&lt;=0,0,(INT(MAX(0,Inputs!$B$43-B1665)/(IF(Inputs!$B$38="pvp",15,MAX(0.1,Skills!D5-IF(Skills!E5=TRUE,Inputs!$B$32,0)))*(1-IF(AND(ArtifactsInput!$M$27,Inputs!$B$4="Chapter Hunt"),CHOOSE(ArtifactsInput!$N$27+1,20,24,28,32,36,40),0)/100)))+1)),0)</f>
        <v/>
      </c>
      <c r="S1636">
        <f>IFERROR(O1636/N1636,0)</f>
        <v/>
      </c>
      <c r="T1636">
        <f>IF(C1636,(H1636*N1636*IF(AND(Inputs!$B$38&lt;&gt;"pvp",Inputs!$B$43&gt;0),((Skills!G5*((R1636-1)*IF(Skills!H5&gt;0,Skills!I5/Skills!H5,1)+IF(Skills!H5&gt;0,MIN(Skills!I5,MAX(0,MAX(0,Inputs!$B$43-B1665)-((R1636-1)*(IF(Inputs!$B$38="pvp",15,MAX(0.1,Skills!D5-IF(Skills!E5=TRUE,Inputs!$B$32,0)))*(1-IF(AND(ArtifactsInput!$M$27,Inputs!$B$4="Chapter Hunt"),CHOOSE(ArtifactsInput!$N$27+1,20,24,28,32,36,40),0)/100)))))/Skills!H5,1)))/Inputs!$B$43),G1636*Q1636)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1636*(1-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1636*(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1636*(1-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1636*(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6">
        <f>IF(C1636,(H1636*N1636*IF(AND(Inputs!$B$38&lt;&gt;"pvp",Inputs!$B$43&gt;0),((Skills!G5*((R1636-1)*IF(Skills!H5&gt;0,Skills!I5/Skills!H5,1)+IF(Skills!H5&gt;0,MIN(Skills!I5,MAX(0,MAX(0,Inputs!$B$43-B1665)-((R1636-1)*(IF(Inputs!$B$38="pvp",15,MAX(0.1,Skills!D5-IF(Skills!E5=TRUE,Inputs!$B$32,0)))*(1-IF(AND(ArtifactsInput!$M$27,Inputs!$B$4="Chapter Hunt"),CHOOSE(ArtifactsInput!$N$27+1,20,24,28,32,36,40),0)/100)))))/Skills!H5,1)))/Inputs!$B$43),G1636*Q1636))*IF(Inputs!$B$38="pvp",1,(1+(Inputs!$B$21+Skills!Q5+(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7">
      <c r="A1637">
        <f>Skills!A6</f>
        <v/>
      </c>
      <c r="B1637">
        <f>Skills!B6</f>
        <v/>
      </c>
      <c r="C1637">
        <f>Inputs!$B$3&gt;=103</f>
        <v/>
      </c>
      <c r="D1637">
        <f>IF(Skills!C6=1,60+Inputs!$B$25+Inputs!$B$29,IF(Skills!C6=2,90+Inputs!$B$26+Inputs!$B$29,IF(Skills!C6=3,120+Inputs!$B$27+Inputs!$B$29,MAX(0,(Inputs!$B$3-100)*3)+Inputs!$B$28+Inputs!$B$29)))</f>
        <v/>
      </c>
      <c r="E1637">
        <f>INDEX(FactorTable!$B$2:$Y$301, MATCH(ROUND(MIN(300,MAX(1,D1637)),0), FactorTable!$A$2:$A$301,0), Skills!M6+1)</f>
        <v/>
      </c>
      <c r="F1637">
        <f>IF(Skills!N6=TRUE,(Skills!L6/10)*(E1637/1000),Skills!L6/10)+Skills!O6</f>
        <v/>
      </c>
      <c r="G1637">
        <f>Skills!G6*IF(Skills!H6&gt;0,Skills!I6/Skills!H6,1)</f>
        <v/>
      </c>
      <c r="H1637">
        <f>1-(1-Skills!J6/100)^Skills!K6</f>
        <v/>
      </c>
      <c r="I1637" t="inlineStr">
        <is>
          <t>1</t>
        </is>
      </c>
      <c r="J1637">
        <f>((Inputs!$B$6*(1+Inputs!$B$7/100))+(((Inputs!$B$12*(1+Inputs!$B$13/100))-(Inputs!$B$12*(1+Inputs!$B$13/100)))+0.25*(Inputs!$B$14-Inputs!$B$14))*(1+Inputs!$B$7/100))*(F1637/100)</f>
        <v/>
      </c>
      <c r="K1637">
        <f>J1637*(1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1637)</f>
        <v/>
      </c>
      <c r="L1637">
        <f>K1637*(MIN(Inputs!$B$22+((C1653=TRUE)*(F1653-Calc!F22)),(Inputs!$B$23+((C1655=TRUE)*(F1655-Calc!F24))+(IF(ArtifactsInput!$M$15,CHOOSE(ArtifactsInput!$N$15+1,25,30,35,40,45,50)/100*(Inputs!$B$11-Inputs!$B$11),0))))/100+(Inputs!$B$23+((C1655=TRUE)*(F1655-Calc!F24))+(IF(ArtifactsInput!$M$15,CHOOSE(ArtifactsInput!$N$15+1,25,30,35,40,45,50)/100*(Inputs!$B$11-Inputs!$B$11),0)))/100)/2</f>
        <v/>
      </c>
      <c r="M1637">
        <f>L1637*(1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7">
        <f>L1637*(1-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1637*(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7">
        <f>(1-Summary!$B$11)*T1637+Summary!$B$11*V1637</f>
        <v/>
      </c>
      <c r="P1637">
        <f>IF(B1668=0,0,O1637/B1668)</f>
        <v/>
      </c>
      <c r="Q1637">
        <f>IFERROR(1/(IF(Inputs!$B$38="pvp",15,MAX(0.1,Skills!D6-IF(Skills!E6=TRUE,Inputs!$B$32,0)))*(1-IF(AND(ArtifactsInput!$M$27,Inputs!$B$4="Chapter Hunt"),CHOOSE(ArtifactsInput!$N$27+1,20,24,28,32,36,40),0)/100)),0)</f>
        <v/>
      </c>
      <c r="R1637">
        <f>IF(AND(Inputs!$B$38&lt;&gt;"pvp",Inputs!$B$43&gt;0),IF(MAX(0,Inputs!$B$43-B1665)&lt;=0,0,(INT(MAX(0,Inputs!$B$43-B1665)/(IF(Inputs!$B$38="pvp",15,MAX(0.1,Skills!D6-IF(Skills!E6=TRUE,Inputs!$B$32,0)))*(1-IF(AND(ArtifactsInput!$M$27,Inputs!$B$4="Chapter Hunt"),CHOOSE(ArtifactsInput!$N$27+1,20,24,28,32,36,40),0)/100)))+1)),0)</f>
        <v/>
      </c>
      <c r="S1637">
        <f>IFERROR(O1637/N1637,0)</f>
        <v/>
      </c>
      <c r="T1637">
        <f>IF(C1637,(H1637*N1637*IF(AND(Inputs!$B$38&lt;&gt;"pvp",Inputs!$B$43&gt;0),((Skills!G6*((R1637-1)*IF(Skills!H6&gt;0,Skills!I6/Skills!H6,1)+IF(Skills!H6&gt;0,MIN(Skills!I6,MAX(0,MAX(0,Inputs!$B$43-B1665)-((R1637-1)*(IF(Inputs!$B$38="pvp",15,MAX(0.1,Skills!D6-IF(Skills!E6=TRUE,Inputs!$B$32,0)))*(1-IF(AND(ArtifactsInput!$M$27,Inputs!$B$4="Chapter Hunt"),CHOOSE(ArtifactsInput!$N$27+1,20,24,28,32,36,40),0)/100)))))/Skills!H6,1)))/Inputs!$B$43),G1637*Q1637)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1637*(1-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1637*(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1637*(1-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1637*(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7">
        <f>IF(C1637,(H1637*N1637*IF(AND(Inputs!$B$38&lt;&gt;"pvp",Inputs!$B$43&gt;0),((Skills!G6*((R1637-1)*IF(Skills!H6&gt;0,Skills!I6/Skills!H6,1)+IF(Skills!H6&gt;0,MIN(Skills!I6,MAX(0,MAX(0,Inputs!$B$43-B1665)-((R1637-1)*(IF(Inputs!$B$38="pvp",15,MAX(0.1,Skills!D6-IF(Skills!E6=TRUE,Inputs!$B$32,0)))*(1-IF(AND(ArtifactsInput!$M$27,Inputs!$B$4="Chapter Hunt"),CHOOSE(ArtifactsInput!$N$27+1,20,24,28,32,36,40),0)/100)))))/Skills!H6,1)))/Inputs!$B$43),G1637*Q1637))*IF(Inputs!$B$38="pvp",1,(1+(Inputs!$B$21+Skills!Q6+(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8">
      <c r="A1638">
        <f>Skills!A7</f>
        <v/>
      </c>
      <c r="B1638">
        <f>Skills!B7</f>
        <v/>
      </c>
      <c r="C1638">
        <f>Inputs!$B$3&gt;=107</f>
        <v/>
      </c>
      <c r="D1638">
        <f>IF(Skills!C7=1,60+Inputs!$B$25+Inputs!$B$29,IF(Skills!C7=2,90+Inputs!$B$26+Inputs!$B$29,IF(Skills!C7=3,120+Inputs!$B$27+Inputs!$B$29,MAX(0,(Inputs!$B$3-100)*3)+Inputs!$B$28+Inputs!$B$29)))</f>
        <v/>
      </c>
      <c r="E1638">
        <f>INDEX(FactorTable!$B$2:$Y$301, MATCH(ROUND(MIN(300,MAX(1,D1638)),0), FactorTable!$A$2:$A$301,0), Skills!M7+1)</f>
        <v/>
      </c>
      <c r="F1638">
        <f>IF(Skills!N7=TRUE,(Skills!L7/10)*(E1638/1000),Skills!L7/10)+Skills!O7</f>
        <v/>
      </c>
      <c r="G1638">
        <f>Skills!G7*IF(Skills!H7&gt;0,Skills!I7/Skills!H7,1)</f>
        <v/>
      </c>
      <c r="H1638">
        <f>1-(1-Skills!J7/100)^Skills!K7</f>
        <v/>
      </c>
      <c r="I1638" t="inlineStr">
        <is>
          <t>1</t>
        </is>
      </c>
      <c r="J1638">
        <f>((Inputs!$B$6*(1+Inputs!$B$7/100))+(((Inputs!$B$12*(1+Inputs!$B$13/100))-(Inputs!$B$12*(1+Inputs!$B$13/100)))+0.25*(Inputs!$B$14-Inputs!$B$14))*(1+Inputs!$B$7/100))*(F1638/100)</f>
        <v/>
      </c>
      <c r="K1638">
        <f>J1638*(1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1638)</f>
        <v/>
      </c>
      <c r="L1638">
        <f>K1638*(MIN(Inputs!$B$22+((C1653=TRUE)*(F1653-Calc!F22)),(Inputs!$B$23+((C1655=TRUE)*(F1655-Calc!F24))+(IF(ArtifactsInput!$M$15,CHOOSE(ArtifactsInput!$N$15+1,25,30,35,40,45,50)/100*(Inputs!$B$11-Inputs!$B$11),0))))/100+(Inputs!$B$23+((C1655=TRUE)*(F1655-Calc!F24))+(IF(ArtifactsInput!$M$15,CHOOSE(ArtifactsInput!$N$15+1,25,30,35,40,45,50)/100*(Inputs!$B$11-Inputs!$B$11),0)))/100)/2</f>
        <v/>
      </c>
      <c r="M1638">
        <f>L1638*(1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8">
        <f>L1638*(1-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1638*(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8">
        <f>(1-Summary!$B$11)*T1638+Summary!$B$11*V1638</f>
        <v/>
      </c>
      <c r="P1638">
        <f>IF(B1668=0,0,O1638/B1668)</f>
        <v/>
      </c>
      <c r="Q1638">
        <f>IFERROR(1/(IF(Inputs!$B$38="pvp",15,MAX(0.1,Skills!D7-IF(Skills!E7=TRUE,Inputs!$B$32,0)))*(1-IF(AND(ArtifactsInput!$M$27,Inputs!$B$4="Chapter Hunt"),CHOOSE(ArtifactsInput!$N$27+1,20,24,28,32,36,40),0)/100)),0)</f>
        <v/>
      </c>
      <c r="R1638">
        <f>IF(AND(Inputs!$B$38&lt;&gt;"pvp",Inputs!$B$43&gt;0),IF(MAX(0,Inputs!$B$43-B1665)&lt;=0,0,(INT(MAX(0,Inputs!$B$43-B1665)/(IF(Inputs!$B$38="pvp",15,MAX(0.1,Skills!D7-IF(Skills!E7=TRUE,Inputs!$B$32,0)))*(1-IF(AND(ArtifactsInput!$M$27,Inputs!$B$4="Chapter Hunt"),CHOOSE(ArtifactsInput!$N$27+1,20,24,28,32,36,40),0)/100)))+1)),0)</f>
        <v/>
      </c>
      <c r="S1638">
        <f>IFERROR(O1638/N1638,0)</f>
        <v/>
      </c>
      <c r="T1638">
        <f>IF(C1638,(H1638*N1638*IF(AND(Inputs!$B$38&lt;&gt;"pvp",Inputs!$B$43&gt;0),((Skills!G7*((R1638-1)*IF(Skills!H7&gt;0,Skills!I7/Skills!H7,1)+IF(Skills!H7&gt;0,MIN(Skills!I7,MAX(0,MAX(0,Inputs!$B$43-B1665)-((R1638-1)*(IF(Inputs!$B$38="pvp",15,MAX(0.1,Skills!D7-IF(Skills!E7=TRUE,Inputs!$B$32,0)))*(1-IF(AND(ArtifactsInput!$M$27,Inputs!$B$4="Chapter Hunt"),CHOOSE(ArtifactsInput!$N$27+1,20,24,28,32,36,40),0)/100)))))/Skills!H7,1)))/Inputs!$B$43),G1638*Q1638)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1638*(1-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1638*(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1638*(1-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1638*(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8">
        <f>IF(C1638,(H1638*N1638*IF(AND(Inputs!$B$38&lt;&gt;"pvp",Inputs!$B$43&gt;0),((Skills!G7*((R1638-1)*IF(Skills!H7&gt;0,Skills!I7/Skills!H7,1)+IF(Skills!H7&gt;0,MIN(Skills!I7,MAX(0,MAX(0,Inputs!$B$43-B1665)-((R1638-1)*(IF(Inputs!$B$38="pvp",15,MAX(0.1,Skills!D7-IF(Skills!E7=TRUE,Inputs!$B$32,0)))*(1-IF(AND(ArtifactsInput!$M$27,Inputs!$B$4="Chapter Hunt"),CHOOSE(ArtifactsInput!$N$27+1,20,24,28,32,36,40),0)/100)))))/Skills!H7,1)))/Inputs!$B$43),G1638*Q1638))*IF(Inputs!$B$38="pvp",1,(1+(Inputs!$B$21+Skills!Q7+(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9">
      <c r="A1639">
        <f>Skills!A8</f>
        <v/>
      </c>
      <c r="B1639">
        <f>Skills!B8</f>
        <v/>
      </c>
      <c r="C1639">
        <f>Inputs!$B$3&gt;=107</f>
        <v/>
      </c>
      <c r="D1639">
        <f>IF(Skills!C8=1,60+Inputs!$B$25+Inputs!$B$29,IF(Skills!C8=2,90+Inputs!$B$26+Inputs!$B$29,IF(Skills!C8=3,120+Inputs!$B$27+Inputs!$B$29,MAX(0,(Inputs!$B$3-100)*3)+Inputs!$B$28+Inputs!$B$29)))</f>
        <v/>
      </c>
      <c r="E1639">
        <f>INDEX(FactorTable!$B$2:$Y$301, MATCH(ROUND(MIN(300,MAX(1,D1639)),0), FactorTable!$A$2:$A$301,0), Skills!M8+1)</f>
        <v/>
      </c>
      <c r="F1639">
        <f>IF(Skills!N8=TRUE,(Skills!L8/10)*(E1639/1000),Skills!L8/10)+Skills!O8</f>
        <v/>
      </c>
      <c r="G1639">
        <f>Skills!G8*IF(Skills!H8&gt;0,Skills!I8/Skills!H8,1)</f>
        <v/>
      </c>
      <c r="H1639">
        <f>1-(1-Skills!J8/100)^Skills!K8</f>
        <v/>
      </c>
      <c r="I1639" t="inlineStr">
        <is>
          <t>1</t>
        </is>
      </c>
      <c r="J1639">
        <f>((Inputs!$B$6*(1+Inputs!$B$7/100))+(((Inputs!$B$12*(1+Inputs!$B$13/100))-(Inputs!$B$12*(1+Inputs!$B$13/100)))+0.25*(Inputs!$B$14-Inputs!$B$14))*(1+Inputs!$B$7/100))*(F1639/100)</f>
        <v/>
      </c>
      <c r="K1639">
        <f>J1639*(1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1639)</f>
        <v/>
      </c>
      <c r="L1639">
        <f>K1639*(MIN(Inputs!$B$22+((C1653=TRUE)*(F1653-Calc!F22)),(Inputs!$B$23+((C1655=TRUE)*(F1655-Calc!F24))+(IF(ArtifactsInput!$M$15,CHOOSE(ArtifactsInput!$N$15+1,25,30,35,40,45,50)/100*(Inputs!$B$11-Inputs!$B$11),0))))/100+(Inputs!$B$23+((C1655=TRUE)*(F1655-Calc!F24))+(IF(ArtifactsInput!$M$15,CHOOSE(ArtifactsInput!$N$15+1,25,30,35,40,45,50)/100*(Inputs!$B$11-Inputs!$B$11),0)))/100)/2</f>
        <v/>
      </c>
      <c r="M1639">
        <f>L1639*(1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9">
        <f>L1639*(1-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1639*(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9">
        <f>(1-Summary!$B$11)*T1639+Summary!$B$11*V1639</f>
        <v/>
      </c>
      <c r="P1639">
        <f>IF(B1668=0,0,O1639/B1668)</f>
        <v/>
      </c>
      <c r="Q1639">
        <f>IFERROR(1/(IF(Inputs!$B$38="pvp",15,MAX(0.1,Skills!D8-IF(Skills!E8=TRUE,Inputs!$B$32,0)))*(1-IF(AND(ArtifactsInput!$M$27,Inputs!$B$4="Chapter Hunt"),CHOOSE(ArtifactsInput!$N$27+1,20,24,28,32,36,40),0)/100)),0)</f>
        <v/>
      </c>
      <c r="R1639">
        <f>IF(AND(Inputs!$B$38&lt;&gt;"pvp",Inputs!$B$43&gt;0),IF(MAX(0,Inputs!$B$43-B1665)&lt;=0,0,(INT(MAX(0,Inputs!$B$43-B1665)/(IF(Inputs!$B$38="pvp",15,MAX(0.1,Skills!D8-IF(Skills!E8=TRUE,Inputs!$B$32,0)))*(1-IF(AND(ArtifactsInput!$M$27,Inputs!$B$4="Chapter Hunt"),CHOOSE(ArtifactsInput!$N$27+1,20,24,28,32,36,40),0)/100)))+1)),0)</f>
        <v/>
      </c>
      <c r="S1639">
        <f>IFERROR(O1639/N1639,0)</f>
        <v/>
      </c>
      <c r="T1639">
        <f>IF(C1639,(H1639*N1639*IF(AND(Inputs!$B$38&lt;&gt;"pvp",Inputs!$B$43&gt;0),((Skills!G8*((R1639-1)*IF(Skills!H8&gt;0,Skills!I8/Skills!H8,1)+IF(Skills!H8&gt;0,MIN(Skills!I8,MAX(0,MAX(0,Inputs!$B$43-B1665)-((R1639-1)*(IF(Inputs!$B$38="pvp",15,MAX(0.1,Skills!D8-IF(Skills!E8=TRUE,Inputs!$B$32,0)))*(1-IF(AND(ArtifactsInput!$M$27,Inputs!$B$4="Chapter Hunt"),CHOOSE(ArtifactsInput!$N$27+1,20,24,28,32,36,40),0)/100)))))/Skills!H8,1)))/Inputs!$B$43),G1639*Q1639)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1639*(1-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1639*(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1639*(1-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1639*(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39">
        <f>IF(C1639,(H1639*N1639*IF(AND(Inputs!$B$38&lt;&gt;"pvp",Inputs!$B$43&gt;0),((Skills!G8*((R1639-1)*IF(Skills!H8&gt;0,Skills!I8/Skills!H8,1)+IF(Skills!H8&gt;0,MIN(Skills!I8,MAX(0,MAX(0,Inputs!$B$43-B1665)-((R1639-1)*(IF(Inputs!$B$38="pvp",15,MAX(0.1,Skills!D8-IF(Skills!E8=TRUE,Inputs!$B$32,0)))*(1-IF(AND(ArtifactsInput!$M$27,Inputs!$B$4="Chapter Hunt"),CHOOSE(ArtifactsInput!$N$27+1,20,24,28,32,36,40),0)/100)))))/Skills!H8,1)))/Inputs!$B$43),G1639*Q1639))*IF(Inputs!$B$38="pvp",1,(1+(Inputs!$B$21+Skills!Q8+(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0">
      <c r="A1640">
        <f>Skills!A9</f>
        <v/>
      </c>
      <c r="B1640">
        <f>Skills!B9</f>
        <v/>
      </c>
      <c r="C1640">
        <f>Inputs!$B$3&gt;=125</f>
        <v/>
      </c>
      <c r="D1640">
        <f>IF(Skills!C9=1,60+Inputs!$B$25+Inputs!$B$29,IF(Skills!C9=2,90+Inputs!$B$26+Inputs!$B$29,IF(Skills!C9=3,120+Inputs!$B$27+Inputs!$B$29,MAX(0,(Inputs!$B$3-100)*3)+Inputs!$B$28+Inputs!$B$29)))</f>
        <v/>
      </c>
      <c r="E1640">
        <f>INDEX(FactorTable!$B$2:$Y$301, MATCH(ROUND(MIN(300,MAX(1,D1640)),0), FactorTable!$A$2:$A$301,0), Skills!M9+1)</f>
        <v/>
      </c>
      <c r="F1640">
        <f>IF(Skills!N9=TRUE,(Skills!L9/10)*(E1640/1000),Skills!L9/10)+Skills!O9</f>
        <v/>
      </c>
      <c r="G1640">
        <f>Skills!G9*IF(Skills!H9&gt;0,Skills!I9/Skills!H9,1)</f>
        <v/>
      </c>
      <c r="H1640">
        <f>1-(1-Skills!J9/100)^Skills!K9</f>
        <v/>
      </c>
      <c r="I1640" t="inlineStr">
        <is>
          <t>1</t>
        </is>
      </c>
      <c r="J1640">
        <f>((Inputs!$B$6*(1+Inputs!$B$7/100))+(((Inputs!$B$12*(1+Inputs!$B$13/100))-(Inputs!$B$12*(1+Inputs!$B$13/100)))+0.25*(Inputs!$B$14-Inputs!$B$14))*(1+Inputs!$B$7/100))*(F1640/100)</f>
        <v/>
      </c>
      <c r="K1640">
        <f>J1640*(1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1640)</f>
        <v/>
      </c>
      <c r="L1640">
        <f>K1640*(MIN(Inputs!$B$22+((C1653=TRUE)*(F1653-Calc!F22)),(Inputs!$B$23+((C1655=TRUE)*(F1655-Calc!F24))+(IF(ArtifactsInput!$M$15,CHOOSE(ArtifactsInput!$N$15+1,25,30,35,40,45,50)/100*(Inputs!$B$11-Inputs!$B$11),0))))/100+(Inputs!$B$23+((C1655=TRUE)*(F1655-Calc!F24))+(IF(ArtifactsInput!$M$15,CHOOSE(ArtifactsInput!$N$15+1,25,30,35,40,45,50)/100*(Inputs!$B$11-Inputs!$B$11),0)))/100)/2</f>
        <v/>
      </c>
      <c r="M1640">
        <f>L1640*(1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0">
        <f>L1640*(1-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1640*(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0">
        <f>(1-Summary!$B$11)*T1640+Summary!$B$11*V1640</f>
        <v/>
      </c>
      <c r="P1640">
        <f>IF(B1668=0,0,O1640/B1668)</f>
        <v/>
      </c>
      <c r="Q1640">
        <f>IFERROR(1/(IF(Inputs!$B$38="pvp",15,MAX(0.1,Skills!D9-IF(Skills!E9=TRUE,Inputs!$B$32,0)))*(1-IF(AND(ArtifactsInput!$M$27,Inputs!$B$4="Chapter Hunt"),CHOOSE(ArtifactsInput!$N$27+1,20,24,28,32,36,40),0)/100)),0)</f>
        <v/>
      </c>
      <c r="R1640">
        <f>IF(AND(Inputs!$B$38&lt;&gt;"pvp",Inputs!$B$43&gt;0),IF(MAX(0,Inputs!$B$43-B1665)&lt;=0,0,(INT(MAX(0,Inputs!$B$43-B1665)/(IF(Inputs!$B$38="pvp",15,MAX(0.1,Skills!D9-IF(Skills!E9=TRUE,Inputs!$B$32,0)))*(1-IF(AND(ArtifactsInput!$M$27,Inputs!$B$4="Chapter Hunt"),CHOOSE(ArtifactsInput!$N$27+1,20,24,28,32,36,40),0)/100)))+1)),0)</f>
        <v/>
      </c>
      <c r="S1640">
        <f>IFERROR(O1640/N1640,0)</f>
        <v/>
      </c>
      <c r="T1640">
        <f>IF(C1640,(H1640*N1640*IF(AND(Inputs!$B$38&lt;&gt;"pvp",Inputs!$B$43&gt;0),((Skills!G9*((R1640-1)*IF(Skills!H9&gt;0,Skills!I9/Skills!H9,1)+IF(Skills!H9&gt;0,MIN(Skills!I9,MAX(0,MAX(0,Inputs!$B$43-B1665)-((R1640-1)*(IF(Inputs!$B$38="pvp",15,MAX(0.1,Skills!D9-IF(Skills!E9=TRUE,Inputs!$B$32,0)))*(1-IF(AND(ArtifactsInput!$M$27,Inputs!$B$4="Chapter Hunt"),CHOOSE(ArtifactsInput!$N$27+1,20,24,28,32,36,40),0)/100)))))/Skills!H9,1)))/Inputs!$B$43),G1640*Q1640)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1640*(1-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1640*(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1640*(1-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1640*(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0">
        <f>IF(C1640,(H1640*N1640*IF(AND(Inputs!$B$38&lt;&gt;"pvp",Inputs!$B$43&gt;0),((Skills!G9*((R1640-1)*IF(Skills!H9&gt;0,Skills!I9/Skills!H9,1)+IF(Skills!H9&gt;0,MIN(Skills!I9,MAX(0,MAX(0,Inputs!$B$43-B1665)-((R1640-1)*(IF(Inputs!$B$38="pvp",15,MAX(0.1,Skills!D9-IF(Skills!E9=TRUE,Inputs!$B$32,0)))*(1-IF(AND(ArtifactsInput!$M$27,Inputs!$B$4="Chapter Hunt"),CHOOSE(ArtifactsInput!$N$27+1,20,24,28,32,36,40),0)/100)))))/Skills!H9,1)))/Inputs!$B$43),G1640*Q1640))*IF(Inputs!$B$38="pvp",1,(1+(Inputs!$B$21+Skills!Q9+(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1">
      <c r="A1641">
        <f>Skills!A10</f>
        <v/>
      </c>
      <c r="B1641">
        <f>Skills!B10</f>
        <v/>
      </c>
      <c r="C1641">
        <f>Inputs!$B$3&gt;=117</f>
        <v/>
      </c>
      <c r="D1641">
        <f>IF(Skills!C10=1,60+Inputs!$B$25+Inputs!$B$29,IF(Skills!C10=2,90+Inputs!$B$26+Inputs!$B$29,IF(Skills!C10=3,120+Inputs!$B$27+Inputs!$B$29,MAX(0,(Inputs!$B$3-100)*3)+Inputs!$B$28+Inputs!$B$29)))</f>
        <v/>
      </c>
      <c r="E1641">
        <f>INDEX(FactorTable!$B$2:$Y$301, MATCH(ROUND(MIN(300,MAX(1,D1641)),0), FactorTable!$A$2:$A$301,0), Skills!M10+1)</f>
        <v/>
      </c>
      <c r="F1641">
        <f>IF(Skills!N10=TRUE,(Skills!L10/10)*(E1641/1000),Skills!L10/10)+Skills!O10</f>
        <v/>
      </c>
      <c r="G1641">
        <f>Skills!G10*IF(Skills!H10&gt;0,Skills!I10/Skills!H10,1)</f>
        <v/>
      </c>
      <c r="H1641">
        <f>1-(1-Skills!J10/100)^Skills!K10</f>
        <v/>
      </c>
      <c r="I1641" t="inlineStr">
        <is>
          <t>1</t>
        </is>
      </c>
      <c r="J1641">
        <f>((Inputs!$B$6*(1+Inputs!$B$7/100))+(((Inputs!$B$12*(1+Inputs!$B$13/100))-(Inputs!$B$12*(1+Inputs!$B$13/100)))+0.25*(Inputs!$B$14-Inputs!$B$14))*(1+Inputs!$B$7/100))*(F1641/100)</f>
        <v/>
      </c>
      <c r="K1641">
        <f>J1641*(1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1641)</f>
        <v/>
      </c>
      <c r="L1641">
        <f>K1641*(MIN(Inputs!$B$22+((C1653=TRUE)*(F1653-Calc!F22)),(Inputs!$B$23+((C1655=TRUE)*(F1655-Calc!F24))+(IF(ArtifactsInput!$M$15,CHOOSE(ArtifactsInput!$N$15+1,25,30,35,40,45,50)/100*(Inputs!$B$11-Inputs!$B$11),0))))/100+(Inputs!$B$23+((C1655=TRUE)*(F1655-Calc!F24))+(IF(ArtifactsInput!$M$15,CHOOSE(ArtifactsInput!$N$15+1,25,30,35,40,45,50)/100*(Inputs!$B$11-Inputs!$B$11),0)))/100)/2</f>
        <v/>
      </c>
      <c r="M1641">
        <f>L1641*(1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1">
        <f>L1641*(1-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1">
        <f>(1-Summary!$B$11)*T1641+Summary!$B$11*V1641</f>
        <v/>
      </c>
      <c r="P1641">
        <f>IF(B1668=0,0,O1641/B1668)</f>
        <v/>
      </c>
      <c r="Q1641">
        <f>IFERROR(1/(IF(Inputs!$B$38="pvp",15,MAX(0.1,Skills!D10-IF(Skills!E10=TRUE,Inputs!$B$32,0)))*(1-IF(AND(ArtifactsInput!$M$27,Inputs!$B$4="Chapter Hunt"),CHOOSE(ArtifactsInput!$N$27+1,20,24,28,32,36,40),0)/100)),0)</f>
        <v/>
      </c>
      <c r="R1641">
        <f>IF(AND(Inputs!$B$38&lt;&gt;"pvp",Inputs!$B$43&gt;0),IF(MAX(0,Inputs!$B$43-B1665)&lt;=0,0,(INT(MAX(0,Inputs!$B$43-B1665)/(IF(Inputs!$B$38="pvp",15,MAX(0.1,Skills!D10-IF(Skills!E10=TRUE,Inputs!$B$32,0)))*(1-IF(AND(ArtifactsInput!$M$27,Inputs!$B$4="Chapter Hunt"),CHOOSE(ArtifactsInput!$N$27+1,20,24,28,32,36,40),0)/100)))+1)),0)</f>
        <v/>
      </c>
      <c r="S1641">
        <f>IFERROR(O1641/N1641,0)</f>
        <v/>
      </c>
      <c r="T1641">
        <f>IF(C1641,(H1641*N1641*IF(AND(Inputs!$B$38&lt;&gt;"pvp",Inputs!$B$43&gt;0),((Skills!G10*((R1641-1)*IF(Skills!H10&gt;0,Skills!I10/Skills!H10,1)+IF(Skills!H10&gt;0,MIN(Skills!I10,MAX(0,MAX(0,Inputs!$B$43-B1665)-((R1641-1)*(IF(Inputs!$B$38="pvp",15,MAX(0.1,Skills!D10-IF(Skills!E10=TRUE,Inputs!$B$32,0)))*(1-IF(AND(ArtifactsInput!$M$27,Inputs!$B$4="Chapter Hunt"),CHOOSE(ArtifactsInput!$N$27+1,20,24,28,32,36,40),0)/100)))))/Skills!H10,1)))/Inputs!$B$43),G1641*Q1641)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1641*(1-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1641*(1-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1">
        <f>IF(C1641,(H1641*N1641*IF(AND(Inputs!$B$38&lt;&gt;"pvp",Inputs!$B$43&gt;0),((Skills!G10*((R1641-1)*IF(Skills!H10&gt;0,Skills!I10/Skills!H10,1)+IF(Skills!H10&gt;0,MIN(Skills!I10,MAX(0,MAX(0,Inputs!$B$43-B1665)-((R1641-1)*(IF(Inputs!$B$38="pvp",15,MAX(0.1,Skills!D10-IF(Skills!E10=TRUE,Inputs!$B$32,0)))*(1-IF(AND(ArtifactsInput!$M$27,Inputs!$B$4="Chapter Hunt"),CHOOSE(ArtifactsInput!$N$27+1,20,24,28,32,36,40),0)/100)))))/Skills!H10,1)))/Inputs!$B$43),G1641*Q1641))*IF(Inputs!$B$38="pvp",1,(1+(Inputs!$B$21+Skills!Q10+(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2">
      <c r="A1642">
        <f>Skills!A11</f>
        <v/>
      </c>
      <c r="B1642">
        <f>Skills!B11</f>
        <v/>
      </c>
      <c r="C1642">
        <f>Inputs!$B$3&gt;=63</f>
        <v/>
      </c>
      <c r="D1642">
        <f>IF(Skills!C11=1,60+Inputs!$B$25+Inputs!$B$29,IF(Skills!C11=2,90+Inputs!$B$26+Inputs!$B$29,IF(Skills!C11=3,120+Inputs!$B$27+Inputs!$B$29,MAX(0,(Inputs!$B$3-100)*3)+Inputs!$B$28+Inputs!$B$29)))</f>
        <v/>
      </c>
      <c r="E1642">
        <f>INDEX(FactorTable!$B$2:$Y$301, MATCH(ROUND(MIN(300,MAX(1,D1642)),0), FactorTable!$A$2:$A$301,0), Skills!M11+1)</f>
        <v/>
      </c>
      <c r="F1642">
        <f>IF(Skills!N11=TRUE,(Skills!L11/10)*(E1642/1000),Skills!L11/10)+Skills!O11</f>
        <v/>
      </c>
      <c r="G1642">
        <f>Skills!G11*IF(Skills!H11&gt;0,Skills!I11/Skills!H11,1)</f>
        <v/>
      </c>
      <c r="H1642">
        <f>1-(1-Skills!J11/100)^Skills!K11</f>
        <v/>
      </c>
      <c r="I1642" t="inlineStr">
        <is>
          <t>1</t>
        </is>
      </c>
      <c r="J1642">
        <f>((Inputs!$B$6*(1+Inputs!$B$7/100))+(((Inputs!$B$12*(1+Inputs!$B$13/100))-(Inputs!$B$12*(1+Inputs!$B$13/100)))+0.25*(Inputs!$B$14-Inputs!$B$14))*(1+Inputs!$B$7/100))*(F1642/100)</f>
        <v/>
      </c>
      <c r="K1642">
        <f>J1642*(1+((Inputs!$B$12*(1+Inputs!$B$13/100))*0.01+Inputs!$B$14*0.0025)/100)*(1+Inputs!$B$15/100)*(1+Inputs!$B$16/100)*(5000/(6000+Inputs!$B$42*(1-(Inputs!$B$19+0)/100)))*(1+(Inputs!$B$24+0+B1664)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1643=TRUE,F1643,0)/100)*(1+(IF(Skills!A11="BLAST",Inputs!$B$17+((C1652=TRUE)*(F1652-Calc!F21))+((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MIN(100,((Inputs!$B$9+0+B1658+(ArtifactsInput!$M$24-ArtifactsInput!$M$24)*CHOOSE(ArtifactsInput!$N$24+1,10,12,14,16,18,20)+IF(ArtifactsInput!$M$10,CHOOSE(ArtifactsInput!$N$10+1,15,18,21,24,27,30)*(IF(Inputs!$B$38="pvp",MIN(15,15)/15,IF(AND(Inputs!$B$38&lt;&gt;"pvp",Inputs!$B$43&gt;0),MIN(15,Inputs!$B$43)/(Inputs!$B$43),0))),0)))-100),0))*CHOOSE(ArtifactsInput!$N$42+1,0.6,0.72,0.84,0.96,1.08,1.2))),Inputs!$B$18+((C1654=TRUE)*(F1654-Calc!F23))+(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gt;=100),CHOOSE(ArtifactsInput!$N$42+1,40,48,56,64,72,80),0))))/100)*((1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1642)</f>
        <v/>
      </c>
      <c r="L1642">
        <f>K1642*(MIN(Inputs!$B$22+((C1653=TRUE)*(F1653-Calc!F22)),(Inputs!$B$23+((C1655=TRUE)*(F1655-Calc!F24))+(IF(ArtifactsInput!$M$15,CHOOSE(ArtifactsInput!$N$15+1,25,30,35,40,45,50)/100*(Inputs!$B$11-Inputs!$B$11),0))))/100+(Inputs!$B$23+((C1655=TRUE)*(F1655-Calc!F24))+(IF(ArtifactsInput!$M$15,CHOOSE(ArtifactsInput!$N$15+1,25,30,35,40,45,50)/100*(Inputs!$B$11-Inputs!$B$11),0)))/100)/2</f>
        <v/>
      </c>
      <c r="M1642">
        <f>L1642*(1+(Inputs!$B$10+0+B1663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2">
        <f>L1642*(1-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1642*(MIN((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2">
        <f>(1-Summary!$B$11)*T1642+Summary!$B$11*V1642</f>
        <v/>
      </c>
      <c r="P1642">
        <f>IF(B1668=0,0,O1642/B1668)</f>
        <v/>
      </c>
      <c r="Q1642">
        <f>IFERROR(1/(IF(Inputs!$B$38="pvp",15,MAX(0.1,Skills!D11-IF(Skills!E11=TRUE,Inputs!$B$32,0)))*(1-IF(AND(ArtifactsInput!$M$27,Inputs!$B$4="Chapter Hunt"),CHOOSE(ArtifactsInput!$N$27+1,20,24,28,32,36,40),0)/100)),0)</f>
        <v/>
      </c>
      <c r="R1642">
        <f>IF(AND(Inputs!$B$38&lt;&gt;"pvp",Inputs!$B$43&gt;0),IF(MAX(0,Inputs!$B$43-B1665)&lt;=0,0,(INT(MAX(0,Inputs!$B$43-B1665)/(IF(Inputs!$B$38="pvp",15,MAX(0.1,Skills!D11-IF(Skills!E11=TRUE,Inputs!$B$32,0)))*(1-IF(AND(ArtifactsInput!$M$27,Inputs!$B$4="Chapter Hunt"),CHOOSE(ArtifactsInput!$N$27+1,20,24,28,32,36,40),0)/100)))+1)),0)</f>
        <v/>
      </c>
      <c r="S1642">
        <f>IFERROR(O1642/N1642,0)</f>
        <v/>
      </c>
      <c r="T1642">
        <f>IF(C1642,(H1642*N1642*IF(AND(Inputs!$B$38&lt;&gt;"pvp",Inputs!$B$43&gt;0),((Skills!G11*((R1642-1)*IF(Skills!H11&gt;0,Skills!I11/Skills!H11,1)+IF(Skills!H11&gt;0,MIN(Skills!I11,MAX(0,MAX(0,Inputs!$B$43-B1665)-((R1642-1)*(IF(Inputs!$B$38="pvp",15,MAX(0.1,Skills!D11-IF(Skills!E11=TRUE,Inputs!$B$32,0)))*(1-IF(AND(ArtifactsInput!$M$27,Inputs!$B$4="Chapter Hunt"),CHOOSE(ArtifactsInput!$N$27+1,20,24,28,32,36,40),0)/100)))))/Skills!H11,1)))/Inputs!$B$43),G1642*Q1642)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1642*(1-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1642*(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1642*(1-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1642*(MIN(100,(Inputs!$B$9+0+B1658+(ArtifactsInput!$M$24-ArtifactsInput!$M$24)*CHOOSE(ArtifactsInput!$N$24+1,10,12,14,16,18,20)+(IF(AND(Inputs!$B$38&lt;&gt;"pvp",Inputs!$B$43=0),1,IF(IF(Inputs!$B$38="pvp",15,Inputs!$B$43)-(B1665)&lt;=0,1,MAX(0,IF(Inputs!$B$38="pvp",15,Inputs!$B$43)-MAX(5,B1665))/(IF(Inputs!$B$38="pvp",15,Inputs!$B$43)-(B1665))))*IF(AND(ArtifactsInput!$M$42,((Inputs!$B$9+0+B1658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42">
        <f>IF(C1642,(H1642*N1642*IF(AND(Inputs!$B$38&lt;&gt;"pvp",Inputs!$B$43&gt;0),((Skills!G11*((R1642-1)*IF(Skills!H11&gt;0,Skills!I11/Skills!H11,1)+IF(Skills!H11&gt;0,MIN(Skills!I11,MAX(0,MAX(0,Inputs!$B$43-B1665)-((R1642-1)*(IF(Inputs!$B$38="pvp",15,MAX(0.1,Skills!D11-IF(Skills!E11=TRUE,Inputs!$B$32,0)))*(1-IF(AND(ArtifactsInput!$M$27,Inputs!$B$4="Chapter Hunt"),CHOOSE(ArtifactsInput!$N$27+1,20,24,28,32,36,40),0)/100)))))/Skills!H11,1)))/Inputs!$B$43),G1642*Q1642))*IF(Inputs!$B$38="pvp",1,(1+(Inputs!$B$21+Skills!Q11+(IF(ArtifactsInput!$M$33,CHOOSE(ArtifactsInput!$N$33+1,30,36,42,48,54,60),0))+(IF(AND(ArtifactsInput!$M$35,Inputs!$B$4&lt;&gt;"Chapter Hunt"),CHOOSE(ArtifactsInput!$N$35+1,15,18,21,24,27,30)*(1-EXP(-(0.2*B1660)*5)),0)+IF(AND(ArtifactsInput!$M$22,Inputs!$B$4&lt;&gt;"Chapter Hunt"),CHOOSE(ArtifactsInput!$N$22+1,10,12,14,16,18,20)*((0*(((0.15*B1660*5))^0/1)+1*(((0.15*B1660*5))^1/1)+2*(((0.15*B1660*5))^2/2)+3*(((0.15*B1660*5))^3/6)+4*(((0.15*B1660*5))^4/24)+5*(((0.15*B1660*5))^5/120))/((((0.15*B1660*5))^0/1)+(((0.15*B1660*5))^1/1)+(((0.15*B1660*5))^2/2)+(((0.15*B1660*5))^3/6)+(((0.15*B1660*5))^4/24)+(((0.15*B1660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3">
      <c r="A1643">
        <f>Skills!A12</f>
        <v/>
      </c>
      <c r="B1643">
        <f>Skills!B12</f>
        <v/>
      </c>
      <c r="C1643">
        <f>Inputs!$B$3&gt;=100</f>
        <v/>
      </c>
      <c r="D1643">
        <f>IF(Skills!C12=1,60+Inputs!$B$25+Inputs!$B$29,IF(Skills!C12=2,90+Inputs!$B$26+Inputs!$B$29,IF(Skills!C12=3,120+Inputs!$B$27+Inputs!$B$29,MAX(0,(Inputs!$B$3-100)*3)+Inputs!$B$28+Inputs!$B$29)))</f>
        <v/>
      </c>
      <c r="E1643">
        <f>INDEX(FactorTable!$B$2:$Y$301, MATCH(ROUND(MIN(300,MAX(1,D1643)),0), FactorTable!$A$2:$A$301,0), Skills!M12+1)</f>
        <v/>
      </c>
      <c r="F1643">
        <f>IF(Skills!N12=TRUE,(Skills!L12/10)*(E1643/1000),Skills!L12/10)+Skills!O12</f>
        <v/>
      </c>
      <c r="G1643" t="inlineStr"/>
      <c r="H1643" t="inlineStr"/>
      <c r="I1643" t="inlineStr">
        <is>
          <t>1</t>
        </is>
      </c>
      <c r="J1643" t="inlineStr"/>
      <c r="K1643" t="inlineStr"/>
      <c r="L1643" t="inlineStr"/>
      <c r="M1643" t="inlineStr"/>
      <c r="N1643" t="inlineStr"/>
      <c r="O1643" t="inlineStr"/>
      <c r="P1643" t="inlineStr"/>
      <c r="Q1643" t="inlineStr"/>
      <c r="R1643" t="inlineStr"/>
      <c r="S1643" t="inlineStr"/>
    </row>
    <row r="1644">
      <c r="A1644">
        <f>Skills!A13</f>
        <v/>
      </c>
      <c r="B1644">
        <f>Skills!B13</f>
        <v/>
      </c>
      <c r="C1644">
        <f>Inputs!$B$3&gt;=45</f>
        <v/>
      </c>
      <c r="D1644">
        <f>IF(Skills!C13=1,60+Inputs!$B$25+Inputs!$B$29,IF(Skills!C13=2,90+Inputs!$B$26+Inputs!$B$29,IF(Skills!C13=3,120+Inputs!$B$27+Inputs!$B$29,MAX(0,(Inputs!$B$3-100)*3)+Inputs!$B$28+Inputs!$B$29)))</f>
        <v/>
      </c>
      <c r="E1644">
        <f>INDEX(FactorTable!$B$2:$Y$301, MATCH(ROUND(MIN(300,MAX(1,D1644)),0), FactorTable!$A$2:$A$301,0), Skills!M13+1)</f>
        <v/>
      </c>
      <c r="F1644">
        <f>IF(Skills!N13=TRUE,(Skills!L13/10)*(E1644/1000),Skills!L13/10)+Skills!O13</f>
        <v/>
      </c>
      <c r="G1644">
        <f>Skills!G13*IF(Skills!H13&gt;0,Skills!I13/Skills!H13,1)</f>
        <v/>
      </c>
      <c r="H1644">
        <f>1-(1-Skills!J13/100)^Skills!K13</f>
        <v/>
      </c>
      <c r="I1644" t="inlineStr">
        <is>
          <t>1</t>
        </is>
      </c>
      <c r="J1644" t="inlineStr"/>
      <c r="K1644" t="inlineStr"/>
      <c r="L1644" t="inlineStr"/>
      <c r="M1644" t="inlineStr"/>
      <c r="N1644" t="inlineStr"/>
      <c r="O1644">
        <f>(1-Summary!$B$11)*T1644+Summary!$B$11*V1644</f>
        <v/>
      </c>
      <c r="P1644">
        <f>IF(B1668=0,0,O1644/B1668)</f>
        <v/>
      </c>
      <c r="Q1644" t="n">
        <v>0</v>
      </c>
      <c r="R1644" t="n">
        <v>0</v>
      </c>
      <c r="S1644">
        <f>IFERROR(O1644/N1644,0)</f>
        <v/>
      </c>
      <c r="T1644" t="n">
        <v>0</v>
      </c>
      <c r="V1644" t="n">
        <v>0</v>
      </c>
    </row>
    <row r="1645">
      <c r="A1645">
        <f>Skills!A14</f>
        <v/>
      </c>
      <c r="B1645">
        <f>Skills!B14</f>
        <v/>
      </c>
      <c r="C1645">
        <f>Inputs!$B$3&gt;=110</f>
        <v/>
      </c>
      <c r="D1645">
        <f>IF(Skills!C14=1,60+Inputs!$B$25+Inputs!$B$29,IF(Skills!C14=2,90+Inputs!$B$26+Inputs!$B$29,IF(Skills!C14=3,120+Inputs!$B$27+Inputs!$B$29,MAX(0,(Inputs!$B$3-100)*3)+Inputs!$B$28+Inputs!$B$29)))</f>
        <v/>
      </c>
      <c r="E1645">
        <f>INDEX(FactorTable!$B$2:$Y$301, MATCH(ROUND(MIN(300,MAX(1,D1645)),0), FactorTable!$A$2:$A$301,0), Skills!M14+1)</f>
        <v/>
      </c>
      <c r="F1645">
        <f>IF(Skills!N14=TRUE,(Skills!L14/10)*(E1645/1000),Skills!L14/10)+Skills!O14</f>
        <v/>
      </c>
      <c r="G1645">
        <f>Skills!G14*IF(Skills!H14&gt;0,Skills!I14/Skills!H14,1)</f>
        <v/>
      </c>
      <c r="H1645">
        <f>1-(1-Skills!J14/100)^Skills!K14</f>
        <v/>
      </c>
      <c r="I1645" t="inlineStr">
        <is>
          <t>1</t>
        </is>
      </c>
      <c r="J1645" t="inlineStr"/>
      <c r="K1645" t="inlineStr"/>
      <c r="L1645" t="inlineStr"/>
      <c r="M1645" t="inlineStr"/>
      <c r="N1645" t="inlineStr"/>
      <c r="O1645">
        <f>(1-Summary!$B$11)*T1645+Summary!$B$11*V1645</f>
        <v/>
      </c>
      <c r="P1645">
        <f>IF(B1668=0,0,O1645/B1668)</f>
        <v/>
      </c>
      <c r="Q1645" t="n">
        <v>0</v>
      </c>
      <c r="R1645" t="n">
        <v>0</v>
      </c>
      <c r="S1645">
        <f>IFERROR(O1645/N1645,0)</f>
        <v/>
      </c>
      <c r="T1645" t="n">
        <v>0</v>
      </c>
      <c r="V1645" t="n">
        <v>0</v>
      </c>
    </row>
    <row r="1646">
      <c r="A1646">
        <f>Skills!A15</f>
        <v/>
      </c>
      <c r="B1646">
        <f>Skills!B15</f>
        <v/>
      </c>
      <c r="C1646">
        <f>Inputs!$B$3&gt;=75</f>
        <v/>
      </c>
      <c r="D1646">
        <f>IF(Skills!C15=1,60+Inputs!$B$25+Inputs!$B$29,IF(Skills!C15=2,90+Inputs!$B$26+Inputs!$B$29,IF(Skills!C15=3,120+Inputs!$B$27+Inputs!$B$29,MAX(0,(Inputs!$B$3-100)*3)+Inputs!$B$28+Inputs!$B$29)))</f>
        <v/>
      </c>
      <c r="E1646">
        <f>INDEX(FactorTable!$B$2:$Y$301, MATCH(ROUND(MIN(300,MAX(1,D1646)),0), FactorTable!$A$2:$A$301,0), Skills!M15+1)</f>
        <v/>
      </c>
      <c r="F1646">
        <f>IF(Skills!N15=TRUE,(Skills!L15/10)*(E1646/1000),Skills!L15/10)+Skills!O15</f>
        <v/>
      </c>
      <c r="G1646">
        <f>Skills!G15*IF(Skills!H15&gt;0,Skills!I15/Skills!H15,1)</f>
        <v/>
      </c>
      <c r="H1646">
        <f>1-(1-Skills!J15/100)^Skills!K15</f>
        <v/>
      </c>
      <c r="I1646" t="inlineStr">
        <is>
          <t>1</t>
        </is>
      </c>
      <c r="J1646" t="inlineStr"/>
      <c r="K1646" t="inlineStr"/>
      <c r="L1646" t="inlineStr"/>
      <c r="M1646" t="inlineStr"/>
      <c r="N1646" t="inlineStr"/>
      <c r="O1646">
        <f>(1-Summary!$B$11)*T1646+Summary!$B$11*V1646</f>
        <v/>
      </c>
      <c r="P1646">
        <f>IF(B1668=0,0,O1646/B1668)</f>
        <v/>
      </c>
      <c r="Q1646">
        <f>IFERROR(1/(IF(Inputs!$B$38="pvp",15,MAX(0.1,Skills!D15-IF(Skills!E15=TRUE,Inputs!$B$32,0)))*(1-IF(AND(ArtifactsInput!$M$27,Inputs!$B$4="Chapter Hunt"),CHOOSE(ArtifactsInput!$N$27+1,20,24,28,32,36,40),0)/100)),0)</f>
        <v/>
      </c>
      <c r="R1646">
        <f>IF(AND(Inputs!$B$38&lt;&gt;"pvp",Inputs!$B$43&gt;0),IF(Inputs!$B$43&lt;=0,0,(INT(Inputs!$B$43/(IF(Inputs!$B$38="pvp",15,MAX(0.1,Skills!D15-IF(Skills!E15=TRUE,Inputs!$B$32,0)))*(1-IF(AND(ArtifactsInput!$M$27,Inputs!$B$4="Chapter Hunt"),CHOOSE(ArtifactsInput!$N$27+1,20,24,28,32,36,40),0)/100)))+1)),0)</f>
        <v/>
      </c>
      <c r="S1646">
        <f>IFERROR(O1646/N1646,0)</f>
        <v/>
      </c>
      <c r="T1646" t="n">
        <v>0</v>
      </c>
      <c r="V1646" t="n">
        <v>0</v>
      </c>
    </row>
    <row r="1647">
      <c r="A1647">
        <f>Skills!A16</f>
        <v/>
      </c>
      <c r="B1647">
        <f>Skills!B16</f>
        <v/>
      </c>
      <c r="C1647">
        <f>Inputs!$B$3&gt;=105</f>
        <v/>
      </c>
      <c r="D1647">
        <f>IF(Skills!C16=1,60+Inputs!$B$25+Inputs!$B$29,IF(Skills!C16=2,90+Inputs!$B$26+Inputs!$B$29,IF(Skills!C16=3,120+Inputs!$B$27+Inputs!$B$29,MAX(0,(Inputs!$B$3-100)*3)+Inputs!$B$28+Inputs!$B$29)))</f>
        <v/>
      </c>
      <c r="E1647">
        <f>INDEX(FactorTable!$B$2:$Y$301, MATCH(ROUND(MIN(300,MAX(1,D1647)),0), FactorTable!$A$2:$A$301,0), Skills!M16+1)</f>
        <v/>
      </c>
      <c r="F1647">
        <f>IF(Skills!N16=TRUE,(Skills!L16/10)*(E1647/1000),Skills!L16/10)+Skills!O16</f>
        <v/>
      </c>
      <c r="G1647">
        <f>Skills!G16*IF(Skills!H16&gt;0,Skills!I16/Skills!H16,1)</f>
        <v/>
      </c>
      <c r="H1647">
        <f>1-(1-Skills!J16/100)^Skills!K16</f>
        <v/>
      </c>
      <c r="I1647" t="inlineStr">
        <is>
          <t>1</t>
        </is>
      </c>
      <c r="J1647" t="inlineStr"/>
      <c r="K1647" t="inlineStr"/>
      <c r="L1647" t="inlineStr"/>
      <c r="M1647" t="inlineStr"/>
      <c r="N1647" t="inlineStr"/>
      <c r="O1647">
        <f>(1-Summary!$B$11)*T1647+Summary!$B$11*V1647</f>
        <v/>
      </c>
      <c r="P1647">
        <f>IF(B1668=0,0,O1647/B1668)</f>
        <v/>
      </c>
      <c r="Q1647">
        <f>IFERROR(1/(IF(Inputs!$B$38="pvp",15,MAX(0.1,Skills!D16-IF(Skills!E16=TRUE,Inputs!$B$32,0)))*(1-IF(AND(ArtifactsInput!$M$27,Inputs!$B$4="Chapter Hunt"),CHOOSE(ArtifactsInput!$N$27+1,20,24,28,32,36,40),0)/100)),0)</f>
        <v/>
      </c>
      <c r="R1647">
        <f>IF(AND(Inputs!$B$38&lt;&gt;"pvp",Inputs!$B$43&gt;0),IF(Inputs!$B$43&lt;=0,0,(INT(Inputs!$B$43/(IF(Inputs!$B$38="pvp",15,MAX(0.1,Skills!D16-IF(Skills!E16=TRUE,Inputs!$B$32,0)))*(1-IF(AND(ArtifactsInput!$M$27,Inputs!$B$4="Chapter Hunt"),CHOOSE(ArtifactsInput!$N$27+1,20,24,28,32,36,40),0)/100)))+1)),0)</f>
        <v/>
      </c>
      <c r="S1647">
        <f>IFERROR(O1647/N1647,0)</f>
        <v/>
      </c>
      <c r="T1647" t="n">
        <v>0</v>
      </c>
      <c r="V1647" t="n">
        <v>0</v>
      </c>
    </row>
    <row r="1648">
      <c r="A1648">
        <f>Skills!A17</f>
        <v/>
      </c>
      <c r="B1648">
        <f>Skills!B17</f>
        <v/>
      </c>
      <c r="C1648">
        <f>Inputs!$B$3&gt;=115</f>
        <v/>
      </c>
      <c r="D1648">
        <f>IF(Skills!C17=1,60+Inputs!$B$25+Inputs!$B$29,IF(Skills!C17=2,90+Inputs!$B$26+Inputs!$B$29,IF(Skills!C17=3,120+Inputs!$B$27+Inputs!$B$29,MAX(0,(Inputs!$B$3-100)*3)+Inputs!$B$28+Inputs!$B$29)))</f>
        <v/>
      </c>
      <c r="E1648">
        <f>INDEX(FactorTable!$B$2:$Y$301, MATCH(ROUND(MIN(300,MAX(1,D1648)),0), FactorTable!$A$2:$A$301,0), Skills!M17+1)</f>
        <v/>
      </c>
      <c r="F1648">
        <f>IF(Skills!N17=TRUE,(Skills!L17/10)*(E1648/1000),Skills!L17/10)+Skills!O17</f>
        <v/>
      </c>
      <c r="G1648">
        <f>Skills!G17*IF(Skills!H17&gt;0,Skills!I17/Skills!H17,1)</f>
        <v/>
      </c>
      <c r="H1648">
        <f>1-(1-Skills!J17/100)^Skills!K17</f>
        <v/>
      </c>
      <c r="I1648" t="inlineStr">
        <is>
          <t>1</t>
        </is>
      </c>
      <c r="J1648" t="inlineStr"/>
      <c r="K1648" t="inlineStr"/>
      <c r="L1648" t="inlineStr"/>
      <c r="M1648" t="inlineStr"/>
      <c r="N1648" t="inlineStr"/>
      <c r="O1648">
        <f>(1-Summary!$B$11)*T1648+Summary!$B$11*V1648</f>
        <v/>
      </c>
      <c r="P1648">
        <f>IF(B1668=0,0,O1648/B1668)</f>
        <v/>
      </c>
      <c r="Q1648">
        <f>IFERROR(1/(IF(Inputs!$B$38="pvp",15,MAX(0.1,Skills!D17-IF(Skills!E17=TRUE,Inputs!$B$32,0)))*(1-IF(AND(ArtifactsInput!$M$27,Inputs!$B$4="Chapter Hunt"),CHOOSE(ArtifactsInput!$N$27+1,20,24,28,32,36,40),0)/100)),0)</f>
        <v/>
      </c>
      <c r="R1648">
        <f>IF(AND(Inputs!$B$38&lt;&gt;"pvp",Inputs!$B$43&gt;0),IF(Inputs!$B$43&lt;=0,0,(INT(Inputs!$B$43/(IF(Inputs!$B$38="pvp",15,MAX(0.1,Skills!D17-IF(Skills!E17=TRUE,Inputs!$B$32,0)))*(1-IF(AND(ArtifactsInput!$M$27,Inputs!$B$4="Chapter Hunt"),CHOOSE(ArtifactsInput!$N$27+1,20,24,28,32,36,40),0)/100)))+1)),0)</f>
        <v/>
      </c>
      <c r="S1648">
        <f>IFERROR(O1648/N1648,0)</f>
        <v/>
      </c>
      <c r="T1648" t="n">
        <v>0</v>
      </c>
      <c r="V1648" t="n">
        <v>0</v>
      </c>
    </row>
    <row r="1649">
      <c r="A1649">
        <f>Skills!A18</f>
        <v/>
      </c>
      <c r="B1649">
        <f>Skills!B18</f>
        <v/>
      </c>
      <c r="C1649">
        <f>Inputs!$B$3&gt;=74</f>
        <v/>
      </c>
      <c r="D1649">
        <f>IF(Skills!C18=1,60+Inputs!$B$25+Inputs!$B$29,IF(Skills!C18=2,90+Inputs!$B$26+Inputs!$B$29,IF(Skills!C18=3,120+Inputs!$B$27+Inputs!$B$29,MAX(0,(Inputs!$B$3-100)*3)+Inputs!$B$28+Inputs!$B$29)))</f>
        <v/>
      </c>
      <c r="E1649">
        <f>INDEX(FactorTable!$B$2:$Y$301, MATCH(ROUND(MIN(300,MAX(1,D1649)),0), FactorTable!$A$2:$A$301,0), Skills!M18+1)</f>
        <v/>
      </c>
      <c r="F1649">
        <f>IF(Skills!N18=TRUE,(Skills!L18/10)*(E1649/1000),Skills!L18/10)+Skills!O18</f>
        <v/>
      </c>
      <c r="G1649">
        <f>Skills!G18*IF(Skills!H18&gt;0,Skills!I18/Skills!H18,1)</f>
        <v/>
      </c>
      <c r="H1649">
        <f>1-(1-Skills!J18/100)^Skills!K18</f>
        <v/>
      </c>
      <c r="I1649" t="inlineStr">
        <is>
          <t>1</t>
        </is>
      </c>
      <c r="J1649" t="inlineStr"/>
      <c r="K1649" t="inlineStr"/>
      <c r="L1649" t="inlineStr"/>
      <c r="M1649" t="inlineStr"/>
      <c r="N1649" t="inlineStr"/>
      <c r="O1649">
        <f>(1-Summary!$B$11)*T1649+Summary!$B$11*V1649</f>
        <v/>
      </c>
      <c r="P1649">
        <f>IF(B1668=0,0,O1649/B1668)</f>
        <v/>
      </c>
      <c r="Q1649">
        <f>IFERROR(1/(IF(Inputs!$B$38="pvp",15,MAX(0.1,Skills!D18-IF(Skills!E18=TRUE,Inputs!$B$32,0)))*(1-IF(AND(ArtifactsInput!$M$27,Inputs!$B$4="Chapter Hunt"),CHOOSE(ArtifactsInput!$N$27+1,20,24,28,32,36,40),0)/100)),0)</f>
        <v/>
      </c>
      <c r="R1649">
        <f>IF(AND(Inputs!$B$38&lt;&gt;"pvp",Inputs!$B$43&gt;0),IF(Inputs!$B$43&lt;=0,0,(INT(Inputs!$B$43/(IF(Inputs!$B$38="pvp",15,MAX(0.1,Skills!D18-IF(Skills!E18=TRUE,Inputs!$B$32,0)))*(1-IF(AND(ArtifactsInput!$M$27,Inputs!$B$4="Chapter Hunt"),CHOOSE(ArtifactsInput!$N$27+1,20,24,28,32,36,40),0)/100)))+1)),0)</f>
        <v/>
      </c>
      <c r="S1649">
        <f>IFERROR(O1649/N1649,0)</f>
        <v/>
      </c>
      <c r="T1649" t="n">
        <v>0</v>
      </c>
      <c r="V1649" t="n">
        <v>0</v>
      </c>
    </row>
    <row r="1650">
      <c r="A1650">
        <f>Skills!A19</f>
        <v/>
      </c>
      <c r="B1650">
        <f>Skills!B19</f>
        <v/>
      </c>
      <c r="C1650">
        <f>TRUE</f>
        <v/>
      </c>
      <c r="D1650">
        <f>IF(Skills!C19=1,60+Inputs!$B$25+Inputs!$B$29,IF(Skills!C19=2,90+Inputs!$B$26+Inputs!$B$29,IF(Skills!C19=3,120+Inputs!$B$27+Inputs!$B$29,MAX(0,(Inputs!$B$3-100)*3)+Inputs!$B$28+Inputs!$B$29)))</f>
        <v/>
      </c>
      <c r="E1650">
        <f>INDEX(FactorTable!$B$2:$Y$301, MATCH(ROUND(MIN(300,MAX(1,D1650)),0), FactorTable!$A$2:$A$301,0), Skills!M19+1)</f>
        <v/>
      </c>
      <c r="F1650">
        <f>IF(Skills!N19=TRUE,(Skills!L19/10)*(E1650/1000),Skills!L19/10)+Skills!O19</f>
        <v/>
      </c>
      <c r="G1650">
        <f>Skills!G19*IF(Skills!H19&gt;0,Skills!I19/Skills!H19,1)</f>
        <v/>
      </c>
      <c r="H1650">
        <f>1-(1-Skills!J19/100)^Skills!K19</f>
        <v/>
      </c>
      <c r="I1650" t="inlineStr">
        <is>
          <t>1</t>
        </is>
      </c>
      <c r="J1650" t="inlineStr"/>
      <c r="K1650" t="inlineStr"/>
      <c r="L1650" t="inlineStr"/>
      <c r="M1650" t="inlineStr"/>
      <c r="N1650" t="inlineStr"/>
      <c r="O1650">
        <f>(1-Summary!$B$11)*T1650+Summary!$B$11*V1650</f>
        <v/>
      </c>
      <c r="P1650">
        <f>IF(B1668=0,0,O1650/B1668)</f>
        <v/>
      </c>
      <c r="Q1650">
        <f>IFERROR(1/(IF(Inputs!$B$38="pvp",15,MAX(0.1,Skills!D19-IF(Skills!E19=TRUE,Inputs!$B$32,0)))*(1-IF(AND(ArtifactsInput!$M$27,Inputs!$B$4="Chapter Hunt"),CHOOSE(ArtifactsInput!$N$27+1,20,24,28,32,36,40),0)/100)),0)</f>
        <v/>
      </c>
      <c r="R1650">
        <f>IF(AND(Inputs!$B$38&lt;&gt;"pvp",Inputs!$B$43&gt;0),IF(Inputs!$B$43&lt;=0,0,(INT(Inputs!$B$43/(IF(Inputs!$B$38="pvp",15,MAX(0.1,Skills!D19-IF(Skills!E19=TRUE,Inputs!$B$32,0)))*(1-IF(AND(ArtifactsInput!$M$27,Inputs!$B$4="Chapter Hunt"),CHOOSE(ArtifactsInput!$N$27+1,20,24,28,32,36,40),0)/100)))+1)),0)</f>
        <v/>
      </c>
      <c r="S1650">
        <f>IFERROR(O1650/N1650,0)</f>
        <v/>
      </c>
      <c r="T1650" t="n">
        <v>0</v>
      </c>
      <c r="V1650" t="n">
        <v>0</v>
      </c>
    </row>
    <row r="1651">
      <c r="A1651">
        <f>Skills!A20</f>
        <v/>
      </c>
      <c r="B1651">
        <f>Skills!B20</f>
        <v/>
      </c>
      <c r="C1651">
        <f>Inputs!$B$3&gt;=33</f>
        <v/>
      </c>
      <c r="D1651">
        <f>IF(Skills!C20=1,60+Inputs!$B$25+Inputs!$B$29,IF(Skills!C20=2,90+Inputs!$B$26+Inputs!$B$29,IF(Skills!C20=3,120+Inputs!$B$27+Inputs!$B$29,MAX(0,(Inputs!$B$3-100)*3)+Inputs!$B$28+Inputs!$B$29)))</f>
        <v/>
      </c>
      <c r="E1651">
        <f>INDEX(FactorTable!$B$2:$Y$301, MATCH(ROUND(MIN(300,MAX(1,D1651)),0), FactorTable!$A$2:$A$301,0), Skills!M20+1)</f>
        <v/>
      </c>
      <c r="F1651">
        <f>IF(Skills!N20=TRUE,(Skills!L20/10)*(E1651/1000),Skills!L20/10)+Skills!O20</f>
        <v/>
      </c>
      <c r="G1651">
        <f>Skills!G20*IF(Skills!H20&gt;0,Skills!I20/Skills!H20,1)</f>
        <v/>
      </c>
      <c r="H1651">
        <f>1-(1-Skills!J20/100)^Skills!K20</f>
        <v/>
      </c>
      <c r="I1651" t="inlineStr">
        <is>
          <t>1</t>
        </is>
      </c>
      <c r="J1651" t="inlineStr"/>
      <c r="K1651" t="inlineStr"/>
      <c r="L1651" t="inlineStr"/>
      <c r="M1651" t="inlineStr"/>
      <c r="N1651" t="inlineStr"/>
      <c r="O1651">
        <f>(1-Summary!$B$11)*T1651+Summary!$B$11*V1651</f>
        <v/>
      </c>
      <c r="P1651">
        <f>IF(B1668=0,0,O1651/B1668)</f>
        <v/>
      </c>
      <c r="Q1651" t="n">
        <v>0</v>
      </c>
      <c r="R1651" t="n">
        <v>0</v>
      </c>
      <c r="S1651">
        <f>IFERROR(O1651/N1651,0)</f>
        <v/>
      </c>
      <c r="T1651" t="n">
        <v>0</v>
      </c>
      <c r="V1651" t="n">
        <v>0</v>
      </c>
    </row>
    <row r="1652">
      <c r="A1652">
        <f>Skills!A21</f>
        <v/>
      </c>
      <c r="B1652">
        <f>Skills!B21</f>
        <v/>
      </c>
      <c r="C1652">
        <f>Inputs!$B$3&gt;=38</f>
        <v/>
      </c>
      <c r="D1652">
        <f>IF(Skills!C21=1,60+Inputs!$B$25+Inputs!$B$29,IF(Skills!C21=2,90+Inputs!$B$26+Inputs!$B$29,IF(Skills!C21=3,120+Inputs!$B$27+Inputs!$B$29,MAX(0,(Inputs!$B$3-100)*3)+Inputs!$B$28+Inputs!$B$29)))</f>
        <v/>
      </c>
      <c r="E1652">
        <f>INDEX(FactorTable!$B$2:$Y$301, MATCH(ROUND(MIN(300,MAX(1,D1652)),0), FactorTable!$A$2:$A$301,0), Skills!M21+1)</f>
        <v/>
      </c>
      <c r="F1652">
        <f>IF(Skills!N21=TRUE,(Skills!L21/10)*(E1652/1000),Skills!L21/10)+Skills!O21</f>
        <v/>
      </c>
      <c r="G1652">
        <f>Skills!G21*IF(Skills!H21&gt;0,Skills!I21/Skills!H21,1)</f>
        <v/>
      </c>
      <c r="H1652">
        <f>1-(1-Skills!J21/100)^Skills!K21</f>
        <v/>
      </c>
      <c r="I1652" t="inlineStr">
        <is>
          <t>1</t>
        </is>
      </c>
      <c r="J1652" t="inlineStr"/>
      <c r="K1652" t="inlineStr"/>
      <c r="L1652" t="inlineStr"/>
      <c r="M1652" t="inlineStr"/>
      <c r="N1652" t="inlineStr"/>
      <c r="O1652">
        <f>(1-Summary!$B$11)*T1652+Summary!$B$11*V1652</f>
        <v/>
      </c>
      <c r="P1652">
        <f>IF(B1668=0,0,O1652/B1668)</f>
        <v/>
      </c>
      <c r="Q1652" t="n">
        <v>0</v>
      </c>
      <c r="R1652" t="n">
        <v>0</v>
      </c>
      <c r="S1652">
        <f>IFERROR(O1652/N1652,0)</f>
        <v/>
      </c>
      <c r="T1652" t="n">
        <v>0</v>
      </c>
      <c r="V1652" t="n">
        <v>0</v>
      </c>
    </row>
    <row r="1653">
      <c r="A1653">
        <f>Skills!A22</f>
        <v/>
      </c>
      <c r="B1653">
        <f>Skills!B22</f>
        <v/>
      </c>
      <c r="C1653">
        <f>Inputs!$B$3&gt;=43</f>
        <v/>
      </c>
      <c r="D1653">
        <f>IF(Skills!C22=1,60+Inputs!$B$25+Inputs!$B$29,IF(Skills!C22=2,90+Inputs!$B$26+Inputs!$B$29,IF(Skills!C22=3,120+Inputs!$B$27+Inputs!$B$29,MAX(0,(Inputs!$B$3-100)*3)+Inputs!$B$28+Inputs!$B$29)))</f>
        <v/>
      </c>
      <c r="E1653">
        <f>INDEX(FactorTable!$B$2:$Y$301, MATCH(ROUND(MIN(300,MAX(1,D1653)),0), FactorTable!$A$2:$A$301,0), Skills!M22+1)</f>
        <v/>
      </c>
      <c r="F1653">
        <f>IF(Skills!N22=TRUE,(Skills!L22/10)*(E1653/1000),Skills!L22/10)+Skills!O22</f>
        <v/>
      </c>
      <c r="G1653">
        <f>Skills!G22*IF(Skills!H22&gt;0,Skills!I22/Skills!H22,1)</f>
        <v/>
      </c>
      <c r="H1653">
        <f>1-(1-Skills!J22/100)^Skills!K22</f>
        <v/>
      </c>
      <c r="I1653" t="inlineStr">
        <is>
          <t>1</t>
        </is>
      </c>
      <c r="J1653" t="inlineStr"/>
      <c r="K1653" t="inlineStr"/>
      <c r="L1653" t="inlineStr"/>
      <c r="M1653" t="inlineStr"/>
      <c r="N1653" t="inlineStr"/>
      <c r="O1653">
        <f>(1-Summary!$B$11)*T1653+Summary!$B$11*V1653</f>
        <v/>
      </c>
      <c r="P1653">
        <f>IF(B1668=0,0,O1653/B1668)</f>
        <v/>
      </c>
      <c r="Q1653" t="n">
        <v>0</v>
      </c>
      <c r="R1653" t="n">
        <v>0</v>
      </c>
      <c r="S1653">
        <f>IFERROR(O1653/N1653,0)</f>
        <v/>
      </c>
      <c r="T1653" t="n">
        <v>0</v>
      </c>
      <c r="V1653" t="n">
        <v>0</v>
      </c>
    </row>
    <row r="1654">
      <c r="A1654">
        <f>Skills!A23</f>
        <v/>
      </c>
      <c r="B1654">
        <f>Skills!B23</f>
        <v/>
      </c>
      <c r="C1654">
        <f>Inputs!$B$3&gt;=120</f>
        <v/>
      </c>
      <c r="D1654">
        <f>IF(Skills!C23=1,60+Inputs!$B$25+Inputs!$B$29,IF(Skills!C23=2,90+Inputs!$B$26+Inputs!$B$29,IF(Skills!C23=3,120+Inputs!$B$27+Inputs!$B$29,MAX(0,(Inputs!$B$3-100)*3)+Inputs!$B$28+Inputs!$B$29)))</f>
        <v/>
      </c>
      <c r="E1654">
        <f>INDEX(FactorTable!$B$2:$Y$301, MATCH(ROUND(MIN(300,MAX(1,D1654)),0), FactorTable!$A$2:$A$301,0), Skills!M23+1)</f>
        <v/>
      </c>
      <c r="F1654">
        <f>IF(Skills!N23=TRUE,(Skills!L23/10)*(E1654/1000),Skills!L23/10)+Skills!O23</f>
        <v/>
      </c>
      <c r="G1654">
        <f>Skills!G23*IF(Skills!H23&gt;0,Skills!I23/Skills!H23,1)</f>
        <v/>
      </c>
      <c r="H1654">
        <f>1-(1-Skills!J23/100)^Skills!K23</f>
        <v/>
      </c>
      <c r="I1654" t="inlineStr">
        <is>
          <t>1</t>
        </is>
      </c>
      <c r="J1654" t="inlineStr"/>
      <c r="K1654" t="inlineStr"/>
      <c r="L1654" t="inlineStr"/>
      <c r="M1654" t="inlineStr"/>
      <c r="N1654" t="inlineStr"/>
      <c r="O1654">
        <f>(1-Summary!$B$11)*T1654+Summary!$B$11*V1654</f>
        <v/>
      </c>
      <c r="P1654">
        <f>IF(B1668=0,0,O1654/B1668)</f>
        <v/>
      </c>
      <c r="Q1654" t="n">
        <v>0</v>
      </c>
      <c r="R1654" t="n">
        <v>0</v>
      </c>
      <c r="S1654">
        <f>IFERROR(O1654/N1654,0)</f>
        <v/>
      </c>
      <c r="T1654" t="n">
        <v>0</v>
      </c>
      <c r="V1654" t="n">
        <v>0</v>
      </c>
    </row>
    <row r="1655">
      <c r="A1655">
        <f>Skills!A24</f>
        <v/>
      </c>
      <c r="B1655">
        <f>Skills!B24</f>
        <v/>
      </c>
      <c r="C1655">
        <f>Inputs!$B$3&gt;=120</f>
        <v/>
      </c>
      <c r="D1655">
        <f>IF(Skills!C24=1,60+Inputs!$B$25+Inputs!$B$29,IF(Skills!C24=2,90+Inputs!$B$26+Inputs!$B$29,IF(Skills!C24=3,120+Inputs!$B$27+Inputs!$B$29,MAX(0,(Inputs!$B$3-100)*3)+Inputs!$B$28+Inputs!$B$29)))</f>
        <v/>
      </c>
      <c r="E1655">
        <f>INDEX(FactorTable!$B$2:$Y$301, MATCH(ROUND(MIN(300,MAX(1,D1655)),0), FactorTable!$A$2:$A$301,0), Skills!M24+1)</f>
        <v/>
      </c>
      <c r="F1655">
        <f>IF(Skills!N24=TRUE,(Skills!L24/10)*(E1655/1000),Skills!L24/10)+Skills!O24</f>
        <v/>
      </c>
      <c r="G1655">
        <f>Skills!G24*IF(Skills!H24&gt;0,Skills!I24/Skills!H24,1)</f>
        <v/>
      </c>
      <c r="H1655">
        <f>1-(1-Skills!J24/100)^Skills!K24</f>
        <v/>
      </c>
      <c r="I1655" t="inlineStr">
        <is>
          <t>1</t>
        </is>
      </c>
      <c r="J1655" t="inlineStr"/>
      <c r="K1655" t="inlineStr"/>
      <c r="L1655" t="inlineStr"/>
      <c r="M1655" t="inlineStr"/>
      <c r="N1655" t="inlineStr"/>
      <c r="O1655">
        <f>(1-Summary!$B$11)*T1655+Summary!$B$11*V1655</f>
        <v/>
      </c>
      <c r="P1655">
        <f>IF(B1668=0,0,O1655/B1668)</f>
        <v/>
      </c>
      <c r="Q1655" t="n">
        <v>0</v>
      </c>
      <c r="R1655" t="n">
        <v>0</v>
      </c>
      <c r="S1655">
        <f>IFERROR(O1655/N1655,0)</f>
        <v/>
      </c>
      <c r="T1655" t="n">
        <v>0</v>
      </c>
      <c r="V1655" t="n">
        <v>0</v>
      </c>
    </row>
    <row r="1657">
      <c r="A1657" t="inlineStr">
        <is>
          <t>Attack% Bucket Multiplier</t>
        </is>
      </c>
      <c r="B1657">
        <f>(1+(((C1644=TRUE)*F1644*MIN(1,Skills!T13*(Skills!J13/100)*B1662))+((C1649=TRUE)*F1649*IF(AND(Inputs!$B$38&lt;&gt;"pvp",Inputs!$B$43&gt;0),(((R1649-1)*(Skills!T18*(1+Inputs!$B$34/100))+MIN((Skills!T18*(1+Inputs!$B$34/100)),MAX(0,Inputs!$B$43-((R1649-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58">
      <c r="A1658" t="inlineStr">
        <is>
          <t>Global Crit Rate Bonus %</t>
        </is>
      </c>
      <c r="B1658" t="n">
        <v>0</v>
      </c>
    </row>
    <row r="1659">
      <c r="A1659" t="inlineStr">
        <is>
          <t>Attack Speed Buff Bonus %</t>
        </is>
      </c>
      <c r="B1659">
        <f>((C1650=TRUE)*F1650*IF(AND(Inputs!$B$38&lt;&gt;"pvp",Inputs!$B$43&gt;0),(((R1650-1)*(Skills!T19*(1+Inputs!$B$34/100))+MIN((Skills!T19*(1+Inputs!$B$34/100)),MAX(0,Inputs!$B$43-((R1650-1)*Skills!D19))))/Inputs!$B$43),IF(Inputs!$B$38="pvp",MIN((Skills!T19*(1+Inputs!$B$34/100)),15)/15,(Skills!T19*(1+Inputs!$B$34/100))/Skills!D19)))</f>
        <v/>
      </c>
    </row>
    <row r="1660">
      <c r="A1660" t="inlineStr">
        <is>
          <t>Actions Per Second</t>
        </is>
      </c>
      <c r="B1660">
        <f>1+MIN(150,150*(1-(1-(Inputs!$B$11+((C1651=TRUE)*(F1651-Calc!F20)))/150)*(1-B1659/150)))/100</f>
        <v/>
      </c>
    </row>
    <row r="1661">
      <c r="A1661" t="inlineStr">
        <is>
          <t>Skill + Buff Cast Rate</t>
        </is>
      </c>
      <c r="B1661">
        <f>IF(AND(Inputs!$B$38&lt;&gt;"pvp",Inputs!$B$43&gt;0),SUMPRODUCT((Skills!E2:E24=TRUE)*(C1633:C1655=TRUE)*R1633:R1655*Skills!F2:F24)/Inputs!$B$43,SUMPRODUCT((Skills!E2:E24=TRUE)*(C1633:C1655=TRUE)*Q1633:Q1655*Skills!F2:F24))</f>
        <v/>
      </c>
    </row>
    <row r="1662">
      <c r="A1662" t="inlineStr">
        <is>
          <t>Blast Casts Per Second</t>
        </is>
      </c>
      <c r="B1662">
        <f>MAX(0,B1660-B1661)</f>
        <v/>
      </c>
    </row>
    <row r="1663">
      <c r="A1663" t="inlineStr">
        <is>
          <t>Global Critical Damage Bonus % (unused)</t>
        </is>
      </c>
      <c r="B1663" t="n">
        <v>0</v>
      </c>
    </row>
    <row r="1664">
      <c r="A1664" t="inlineStr">
        <is>
          <t>Global Final Damage Bonus % (Divine Shield + Guardian + Divine Blessing + Greater Vessel of Light)</t>
        </is>
      </c>
      <c r="B1664">
        <f>((C1646=TRUE)*F1646*IF(AND(Inputs!$B$38&lt;&gt;"pvp",Inputs!$B$43&gt;0),(((R1646-1)*(Skills!T15*(1+Inputs!$B$34/100))+MIN((Skills!T15*(1+Inputs!$B$34/100)),MAX(0,Inputs!$B$43-((R1646-1)*Skills!D15))))/Inputs!$B$43),IF(Inputs!$B$38="pvp",MIN((Skills!T15*(1+Inputs!$B$34/100)),15)/15,(Skills!T15*(1+Inputs!$B$34/100))/Skills!D15)))+((C1647=TRUE)*F1647*IF(AND(Inputs!$B$38&lt;&gt;"pvp",Inputs!$B$43&gt;0),(((R1647-1)*(Skills!T16*(1+Inputs!$B$34/100))+MIN((Skills!T16*(1+Inputs!$B$34/100)),MAX(0,Inputs!$B$43-((R1647-1)*Skills!D16))))/Inputs!$B$43),IF(Inputs!$B$38="pvp",MIN((Skills!T16*(1+Inputs!$B$34/100)),15)/15,(Skills!T16*(1+Inputs!$B$34/100))/Skills!D16)))+((C1648=TRUE)*F1648*IF(AND(Inputs!$B$38&lt;&gt;"pvp",Inputs!$B$43&gt;0),(((R1648-1)*(Skills!T17*(1+Inputs!$B$34/100))+MIN((Skills!T17*(1+Inputs!$B$34/100)),MAX(0,Inputs!$B$43-((R1648-1)*Skills!D17))))/Inputs!$B$43),IF(Inputs!$B$38="pvp",MIN((Skills!T17*(1+Inputs!$B$34/100)),15)/15,(Skills!T17*(1+Inputs!$B$34/100))/Skills!D17)))+((C1645=TRUE)*F1645*MIN(1,Skills!T13*(Skills!J13/100)*B1662))</f>
        <v/>
      </c>
    </row>
    <row r="1665">
      <c r="A1665" t="inlineStr">
        <is>
          <t>Buff-Casting Startup Delay (s, fixed-duration only)</t>
        </is>
      </c>
      <c r="B1665">
        <f>IF(AND(Inputs!$B$38&lt;&gt;"pvp",Inputs!$B$43&gt;0),SUMPRODUCT((Skills!T2:T24&gt;0)*(Skills!E2:E24=TRUE)*(C1633:C1655=TRUE))/B1660,0)</f>
        <v/>
      </c>
    </row>
    <row r="1666">
      <c r="A1666" t="inlineStr">
        <is>
          <t>Boss-Only Total DPS (this block's swept value)</t>
        </is>
      </c>
      <c r="B1666">
        <f>SUM(T1633:T1655)</f>
        <v/>
      </c>
    </row>
    <row r="1667">
      <c r="A1667" t="inlineStr">
        <is>
          <t>Normal-Only Total DPS (this block's swept value)</t>
        </is>
      </c>
      <c r="B1667">
        <f>SUM(V1633:V1655)</f>
        <v/>
      </c>
    </row>
    <row r="1668">
      <c r="A1668" s="6" t="inlineStr">
        <is>
          <t>TOTAL DPS</t>
        </is>
      </c>
      <c r="B1668" s="6">
        <f>SUM(O1633:O1655)</f>
        <v/>
      </c>
    </row>
    <row r="1671">
      <c r="A1671" s="6" t="inlineStr">
        <is>
          <t>Stat: Old Music Box (Equip)</t>
        </is>
      </c>
    </row>
    <row r="1672">
      <c r="A1672" s="5" t="inlineStr">
        <is>
          <t>Key</t>
        </is>
      </c>
      <c r="B1672" s="5" t="inlineStr">
        <is>
          <t>Name</t>
        </is>
      </c>
      <c r="C1672" s="5" t="inlineStr">
        <is>
          <t>Unlocked</t>
        </is>
      </c>
      <c r="D1672" s="5" t="inlineStr">
        <is>
          <t>InputLevel</t>
        </is>
      </c>
      <c r="E1672" s="5" t="inlineStr">
        <is>
          <t>Factor</t>
        </is>
      </c>
      <c r="F1672" s="5" t="inlineStr">
        <is>
          <t>CoefficientPercent</t>
        </is>
      </c>
      <c r="G1672" s="5" t="inlineStr">
        <is>
          <t>EffectiveHits</t>
        </is>
      </c>
      <c r="H1672" s="5" t="inlineStr">
        <is>
          <t>ProcProbability</t>
        </is>
      </c>
      <c r="I1672" s="5" t="inlineStr">
        <is>
          <t>MapleHeroMultiplier</t>
        </is>
      </c>
      <c r="J1672" s="5" t="inlineStr">
        <is>
          <t>BaseDamage</t>
        </is>
      </c>
      <c r="K1672" s="5" t="inlineStr">
        <is>
          <t>BaseHitDamage</t>
        </is>
      </c>
      <c r="L1672" s="5" t="inlineStr">
        <is>
          <t>NonCritAvg</t>
        </is>
      </c>
      <c r="M1672" s="5" t="inlineStr">
        <is>
          <t>CritAvg</t>
        </is>
      </c>
      <c r="N1672" s="5" t="inlineStr">
        <is>
          <t>ExpectedDamage(perHit)</t>
        </is>
      </c>
      <c r="O1672" s="5" t="inlineStr">
        <is>
          <t>DPS</t>
        </is>
      </c>
      <c r="P1672" s="5" t="inlineStr">
        <is>
          <t>% of Total</t>
        </is>
      </c>
      <c r="Q1672" s="5" t="inlineStr">
        <is>
          <t>InvCooldown</t>
        </is>
      </c>
      <c r="R1672" s="5" t="inlineStr">
        <is>
          <t>CastsInFight</t>
        </is>
      </c>
      <c r="S1672" s="5" t="inlineStr">
        <is>
          <t>HitRate(perSec)</t>
        </is>
      </c>
      <c r="U1672" t="inlineStr">
        <is>
          <t>helpers</t>
        </is>
      </c>
    </row>
    <row r="1673">
      <c r="A1673">
        <f>Skills!A2</f>
        <v/>
      </c>
      <c r="B1673">
        <f>Skills!B2</f>
        <v/>
      </c>
      <c r="C1673">
        <f>Inputs!$B$3&gt;=100</f>
        <v/>
      </c>
      <c r="D1673" t="inlineStr"/>
      <c r="E1673" t="inlineStr"/>
      <c r="F1673">
        <f>U1675+Skills!O2</f>
        <v/>
      </c>
      <c r="G1673">
        <f>Skills!G2*IF(Skills!H2&gt;0,Skills!I2/Skills!H2,1)</f>
        <v/>
      </c>
      <c r="H1673">
        <f>1-(1-Skills!J2/100)^Skills!K2</f>
        <v/>
      </c>
      <c r="I1673" t="inlineStr">
        <is>
          <t>1</t>
        </is>
      </c>
      <c r="J1673">
        <f>((Inputs!$B$6*(1+Inputs!$B$7/100))+(((Inputs!$B$12*(1+Inputs!$B$13/100))-(Inputs!$B$12*(1+Inputs!$B$13/100)))+0.25*(Inputs!$B$14-Inputs!$B$14))*(1+Inputs!$B$7/100))*(F1673/100)</f>
        <v/>
      </c>
      <c r="K1673">
        <f>J1673*(1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1673)</f>
        <v/>
      </c>
      <c r="L1673">
        <f>K1673*(MIN(Inputs!$B$22+((C1693=TRUE)*(F1693-Calc!F22)),(Inputs!$B$23+((C1695=TRUE)*(F1695-Calc!F24))+(IF(ArtifactsInput!$M$15,CHOOSE(ArtifactsInput!$N$15+1,25,30,35,40,45,50)/100*(Inputs!$B$11-Inputs!$B$11),0))))/100+(Inputs!$B$23+((C1695=TRUE)*(F1695-Calc!F24))+(IF(ArtifactsInput!$M$15,CHOOSE(ArtifactsInput!$N$15+1,25,30,35,40,45,50)/100*(Inputs!$B$11-Inputs!$B$11),0)))/100)/2</f>
        <v/>
      </c>
      <c r="M1673">
        <f>L1673*(1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3">
        <f>L1673*(1-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1673*(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3">
        <f>(1-Summary!$B$11)*T1673+Summary!$B$11*V1673</f>
        <v/>
      </c>
      <c r="P1673">
        <f>IF(B1708=0,0,O1673/B1708)</f>
        <v/>
      </c>
      <c r="Q1673" t="n">
        <v>0</v>
      </c>
      <c r="R1673" t="n">
        <v>0</v>
      </c>
      <c r="S1673">
        <f>IFERROR(O1673/N1673,0)</f>
        <v/>
      </c>
      <c r="T1673">
        <f>IF(C1673,(Skills!G2*N1673*B1702)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1673*(1-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1673*(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1673*(1-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1673*(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3">
        <f>MAX(0,(Inputs!$B$3-100)*3)+Inputs!$B$28+Inputs!$B$29</f>
        <v/>
      </c>
      <c r="V1673">
        <f>IF(C1673,(Skills!G2*N1673*B1702)*IF(Inputs!$B$38="pvp",1,(1+(Inputs!$B$21+Skills!Q2+(IF(ArtifactsInput!$M$33,CHOOSE(ArtifactsInput!$N$33+1,30,36,42,48,54,60),0))+(IF(AND(ArtifactsInput!$M$35,Inputs!$B$4&lt;&gt;"Chapter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4">
      <c r="A1674">
        <f>Skills!A3</f>
        <v/>
      </c>
      <c r="B1674">
        <f>Skills!B3</f>
        <v/>
      </c>
      <c r="C1674">
        <f>Inputs!$B$3&gt;=50</f>
        <v/>
      </c>
      <c r="D1674">
        <f>IF(Skills!C3=1,60+Inputs!$B$25+Inputs!$B$29,IF(Skills!C3=2,90+Inputs!$B$26+Inputs!$B$29,IF(Skills!C3=3,120+Inputs!$B$27+Inputs!$B$29,MAX(0,(Inputs!$B$3-100)*3)+Inputs!$B$28+Inputs!$B$29)))</f>
        <v/>
      </c>
      <c r="E1674">
        <f>INDEX(FactorTable!$B$2:$Y$301, MATCH(ROUND(MIN(300,MAX(1,D1674)),0), FactorTable!$A$2:$A$301,0), Skills!M3+1)</f>
        <v/>
      </c>
      <c r="F1674">
        <f>IF(Skills!N3=TRUE,(Skills!L3/10)*(E1674/1000),Skills!L3/10)+Skills!O3</f>
        <v/>
      </c>
      <c r="G1674" t="inlineStr"/>
      <c r="H1674" t="inlineStr"/>
      <c r="I1674" t="inlineStr">
        <is>
          <t>1</t>
        </is>
      </c>
      <c r="J1674" t="inlineStr"/>
      <c r="K1674" t="inlineStr"/>
      <c r="L1674" t="inlineStr"/>
      <c r="M1674" t="inlineStr"/>
      <c r="N1674" t="inlineStr"/>
      <c r="O1674" t="inlineStr"/>
      <c r="P1674" t="inlineStr"/>
      <c r="Q1674" t="inlineStr"/>
      <c r="R1674" t="inlineStr"/>
      <c r="S1674" t="inlineStr"/>
      <c r="U1674">
        <f>INDEX(FactorTable!$B$2:$Y$301, MATCH(ROUND(MIN(300,MAX(1,U1673)),0), FactorTable!$A$2:$A$301,0), 22)</f>
        <v/>
      </c>
    </row>
    <row r="1675">
      <c r="A1675">
        <f>Skills!A4</f>
        <v/>
      </c>
      <c r="B1675">
        <f>Skills!B4</f>
        <v/>
      </c>
      <c r="C1675">
        <f>Inputs!$B$3&gt;=35</f>
        <v/>
      </c>
      <c r="D1675">
        <f>IF(Skills!C4=1,60+Inputs!$B$25+Inputs!$B$29,IF(Skills!C4=2,90+Inputs!$B$26+Inputs!$B$29,IF(Skills!C4=3,120+Inputs!$B$27+Inputs!$B$29,MAX(0,(Inputs!$B$3-100)*3)+Inputs!$B$28+Inputs!$B$29)))</f>
        <v/>
      </c>
      <c r="E1675">
        <f>INDEX(FactorTable!$B$2:$Y$301, MATCH(ROUND(MIN(300,MAX(1,D1675)),0), FactorTable!$A$2:$A$301,0), Skills!M4+1)</f>
        <v/>
      </c>
      <c r="F1675">
        <f>IF(Skills!N4=TRUE,(Skills!L4/10)*(E1675/1000),Skills!L4/10)+Skills!O4</f>
        <v/>
      </c>
      <c r="G1675">
        <f>Skills!G4*IF(Skills!H4&gt;0,Skills!I4/Skills!H4,1)</f>
        <v/>
      </c>
      <c r="H1675">
        <f>1-(1-Skills!J4/100)^Skills!K4</f>
        <v/>
      </c>
      <c r="I1675" t="inlineStr">
        <is>
          <t>1</t>
        </is>
      </c>
      <c r="J1675">
        <f>((Inputs!$B$6*(1+Inputs!$B$7/100))+(((Inputs!$B$12*(1+Inputs!$B$13/100))-(Inputs!$B$12*(1+Inputs!$B$13/100)))+0.25*(Inputs!$B$14-Inputs!$B$14))*(1+Inputs!$B$7/100))*(F1675/100)</f>
        <v/>
      </c>
      <c r="K1675">
        <f>J1675*(1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1683=TRUE,F1683,0)/100)*(1+(IF(Skills!A4="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1675)</f>
        <v/>
      </c>
      <c r="L1675">
        <f>K1675*(MIN(Inputs!$B$22+((C1693=TRUE)*(F1693-Calc!F22)),(Inputs!$B$23+((C1695=TRUE)*(F1695-Calc!F24))+(IF(ArtifactsInput!$M$15,CHOOSE(ArtifactsInput!$N$15+1,25,30,35,40,45,50)/100*(Inputs!$B$11-Inputs!$B$11),0))))/100+(Inputs!$B$23+((C1695=TRUE)*(F1695-Calc!F24))+(IF(ArtifactsInput!$M$15,CHOOSE(ArtifactsInput!$N$15+1,25,30,35,40,45,50)/100*(Inputs!$B$11-Inputs!$B$11),0)))/100)/2</f>
        <v/>
      </c>
      <c r="M1675">
        <f>L1675*(1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5">
        <f>L1675*(1-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1675*(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5">
        <f>(1-Summary!$B$11)*T1675+Summary!$B$11*V1675</f>
        <v/>
      </c>
      <c r="P1675">
        <f>IF(B1708=0,0,O1675/B1708)</f>
        <v/>
      </c>
      <c r="Q1675">
        <f>IFERROR(1/(IF(Inputs!$B$38="pvp",15,MAX(0.1,Skills!D4-IF(Skills!E4=TRUE,Inputs!$B$32,0)))*(1-IF(AND(ArtifactsInput!$M$27,Inputs!$B$4="Chapter Hunt"),CHOOSE(ArtifactsInput!$N$27+1,20,24,28,32,36,40),0)/100)),0)</f>
        <v/>
      </c>
      <c r="R1675">
        <f>IF(AND(Inputs!$B$38&lt;&gt;"pvp",Inputs!$B$43&gt;0),IF(MAX(0,Inputs!$B$43-B1705)&lt;=0,0,(INT(MAX(0,Inputs!$B$43-B1705)/(IF(Inputs!$B$38="pvp",15,MAX(0.1,Skills!D4-IF(Skills!E4=TRUE,Inputs!$B$32,0)))*(1-IF(AND(ArtifactsInput!$M$27,Inputs!$B$4="Chapter Hunt"),CHOOSE(ArtifactsInput!$N$27+1,20,24,28,32,36,40),0)/100)))+1)),0)</f>
        <v/>
      </c>
      <c r="S1675">
        <f>IFERROR(O1675/N1675,0)</f>
        <v/>
      </c>
      <c r="T1675">
        <f>IF(C1675,(H1675*N1675*IF(AND(Inputs!$B$38&lt;&gt;"pvp",Inputs!$B$43&gt;0),((Skills!G4*((R1675-1)*IF(Skills!H4&gt;0,Skills!I4/Skills!H4,1)+IF(Skills!H4&gt;0,MIN(Skills!I4,MAX(0,MAX(0,Inputs!$B$43-B1705)-((R1675-1)*(IF(Inputs!$B$38="pvp",15,MAX(0.1,Skills!D4-IF(Skills!E4=TRUE,Inputs!$B$32,0)))*(1-IF(AND(ArtifactsInput!$M$27,Inputs!$B$4="Chapter Hunt"),CHOOSE(ArtifactsInput!$N$27+1,20,24,28,32,36,40),0)/100)))))/Skills!H4,1)))/Inputs!$B$43),G1675*Q1675)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1675*(1-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1675*(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1675*(1-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1675*(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5">
        <f>290*U1674/1000</f>
        <v/>
      </c>
      <c r="V1675">
        <f>IF(C1675,(H1675*N1675*IF(AND(Inputs!$B$38&lt;&gt;"pvp",Inputs!$B$43&gt;0),((Skills!G4*((R1675-1)*IF(Skills!H4&gt;0,Skills!I4/Skills!H4,1)+IF(Skills!H4&gt;0,MIN(Skills!I4,MAX(0,MAX(0,Inputs!$B$43-B1705)-((R1675-1)*(IF(Inputs!$B$38="pvp",15,MAX(0.1,Skills!D4-IF(Skills!E4=TRUE,Inputs!$B$32,0)))*(1-IF(AND(ArtifactsInput!$M$27,Inputs!$B$4="Chapter Hunt"),CHOOSE(ArtifactsInput!$N$27+1,20,24,28,32,36,40),0)/100)))))/Skills!H4,1)))/Inputs!$B$43),G1675*Q1675))*IF(Inputs!$B$38="pvp",1,(1+(Inputs!$B$21+Skills!Q4+(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6">
      <c r="A1676">
        <f>Skills!A5</f>
        <v/>
      </c>
      <c r="B1676">
        <f>Skills!B5</f>
        <v/>
      </c>
      <c r="C1676">
        <f>Inputs!$B$3&gt;=66</f>
        <v/>
      </c>
      <c r="D1676">
        <f>IF(Skills!C5=1,60+Inputs!$B$25+Inputs!$B$29,IF(Skills!C5=2,90+Inputs!$B$26+Inputs!$B$29,IF(Skills!C5=3,120+Inputs!$B$27+Inputs!$B$29,MAX(0,(Inputs!$B$3-100)*3)+Inputs!$B$28+Inputs!$B$29)))</f>
        <v/>
      </c>
      <c r="E1676">
        <f>INDEX(FactorTable!$B$2:$Y$301, MATCH(ROUND(MIN(300,MAX(1,D1676)),0), FactorTable!$A$2:$A$301,0), Skills!M5+1)</f>
        <v/>
      </c>
      <c r="F1676">
        <f>IF(Skills!N5=TRUE,(Skills!L5/10)*(E1676/1000),Skills!L5/10)+Skills!O5</f>
        <v/>
      </c>
      <c r="G1676">
        <f>Skills!G5*IF(Skills!H5&gt;0,Skills!I5/Skills!H5,1)</f>
        <v/>
      </c>
      <c r="H1676">
        <f>1-(1-Skills!J5/100)^Skills!K5</f>
        <v/>
      </c>
      <c r="I1676" t="inlineStr">
        <is>
          <t>1</t>
        </is>
      </c>
      <c r="J1676">
        <f>((Inputs!$B$6*(1+Inputs!$B$7/100))+(((Inputs!$B$12*(1+Inputs!$B$13/100))-(Inputs!$B$12*(1+Inputs!$B$13/100)))+0.25*(Inputs!$B$14-Inputs!$B$14))*(1+Inputs!$B$7/100))*(F1676/100)</f>
        <v/>
      </c>
      <c r="K1676">
        <f>J1676*(1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1683=TRUE,F1683,0)/100)*(1+(IF(Skills!A5="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1676)</f>
        <v/>
      </c>
      <c r="L1676">
        <f>K1676*(MIN(Inputs!$B$22+((C1693=TRUE)*(F1693-Calc!F22)),(Inputs!$B$23+((C1695=TRUE)*(F1695-Calc!F24))+(IF(ArtifactsInput!$M$15,CHOOSE(ArtifactsInput!$N$15+1,25,30,35,40,45,50)/100*(Inputs!$B$11-Inputs!$B$11),0))))/100+(Inputs!$B$23+((C1695=TRUE)*(F1695-Calc!F24))+(IF(ArtifactsInput!$M$15,CHOOSE(ArtifactsInput!$N$15+1,25,30,35,40,45,50)/100*(Inputs!$B$11-Inputs!$B$11),0)))/100)/2</f>
        <v/>
      </c>
      <c r="M1676">
        <f>L1676*(1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6">
        <f>L1676*(1-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1676*(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6">
        <f>(1-Summary!$B$11)*T1676+Summary!$B$11*V1676</f>
        <v/>
      </c>
      <c r="P1676">
        <f>IF(B1708=0,0,O1676/B1708)</f>
        <v/>
      </c>
      <c r="Q1676">
        <f>IFERROR(1/(IF(Inputs!$B$38="pvp",15,MAX(0.1,Skills!D5-IF(Skills!E5=TRUE,Inputs!$B$32,0)))*(1-IF(AND(ArtifactsInput!$M$27,Inputs!$B$4="Chapter Hunt"),CHOOSE(ArtifactsInput!$N$27+1,20,24,28,32,36,40),0)/100)),0)</f>
        <v/>
      </c>
      <c r="R1676">
        <f>IF(AND(Inputs!$B$38&lt;&gt;"pvp",Inputs!$B$43&gt;0),IF(MAX(0,Inputs!$B$43-B1705)&lt;=0,0,(INT(MAX(0,Inputs!$B$43-B1705)/(IF(Inputs!$B$38="pvp",15,MAX(0.1,Skills!D5-IF(Skills!E5=TRUE,Inputs!$B$32,0)))*(1-IF(AND(ArtifactsInput!$M$27,Inputs!$B$4="Chapter Hunt"),CHOOSE(ArtifactsInput!$N$27+1,20,24,28,32,36,40),0)/100)))+1)),0)</f>
        <v/>
      </c>
      <c r="S1676">
        <f>IFERROR(O1676/N1676,0)</f>
        <v/>
      </c>
      <c r="T1676">
        <f>IF(C1676,(H1676*N1676*IF(AND(Inputs!$B$38&lt;&gt;"pvp",Inputs!$B$43&gt;0),((Skills!G5*((R1676-1)*IF(Skills!H5&gt;0,Skills!I5/Skills!H5,1)+IF(Skills!H5&gt;0,MIN(Skills!I5,MAX(0,MAX(0,Inputs!$B$43-B1705)-((R1676-1)*(IF(Inputs!$B$38="pvp",15,MAX(0.1,Skills!D5-IF(Skills!E5=TRUE,Inputs!$B$32,0)))*(1-IF(AND(ArtifactsInput!$M$27,Inputs!$B$4="Chapter Hunt"),CHOOSE(ArtifactsInput!$N$27+1,20,24,28,32,36,40),0)/100)))))/Skills!H5,1)))/Inputs!$B$43),G1676*Q1676)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1676*(1-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1676*(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1676*(1-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1676*(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6">
        <f>IF(C1676,(H1676*N1676*IF(AND(Inputs!$B$38&lt;&gt;"pvp",Inputs!$B$43&gt;0),((Skills!G5*((R1676-1)*IF(Skills!H5&gt;0,Skills!I5/Skills!H5,1)+IF(Skills!H5&gt;0,MIN(Skills!I5,MAX(0,MAX(0,Inputs!$B$43-B1705)-((R1676-1)*(IF(Inputs!$B$38="pvp",15,MAX(0.1,Skills!D5-IF(Skills!E5=TRUE,Inputs!$B$32,0)))*(1-IF(AND(ArtifactsInput!$M$27,Inputs!$B$4="Chapter Hunt"),CHOOSE(ArtifactsInput!$N$27+1,20,24,28,32,36,40),0)/100)))))/Skills!H5,1)))/Inputs!$B$43),G1676*Q1676))*IF(Inputs!$B$38="pvp",1,(1+(Inputs!$B$21+Skills!Q5+(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7">
      <c r="A1677">
        <f>Skills!A6</f>
        <v/>
      </c>
      <c r="B1677">
        <f>Skills!B6</f>
        <v/>
      </c>
      <c r="C1677">
        <f>Inputs!$B$3&gt;=103</f>
        <v/>
      </c>
      <c r="D1677">
        <f>IF(Skills!C6=1,60+Inputs!$B$25+Inputs!$B$29,IF(Skills!C6=2,90+Inputs!$B$26+Inputs!$B$29,IF(Skills!C6=3,120+Inputs!$B$27+Inputs!$B$29,MAX(0,(Inputs!$B$3-100)*3)+Inputs!$B$28+Inputs!$B$29)))</f>
        <v/>
      </c>
      <c r="E1677">
        <f>INDEX(FactorTable!$B$2:$Y$301, MATCH(ROUND(MIN(300,MAX(1,D1677)),0), FactorTable!$A$2:$A$301,0), Skills!M6+1)</f>
        <v/>
      </c>
      <c r="F1677">
        <f>IF(Skills!N6=TRUE,(Skills!L6/10)*(E1677/1000),Skills!L6/10)+Skills!O6</f>
        <v/>
      </c>
      <c r="G1677">
        <f>Skills!G6*IF(Skills!H6&gt;0,Skills!I6/Skills!H6,1)</f>
        <v/>
      </c>
      <c r="H1677">
        <f>1-(1-Skills!J6/100)^Skills!K6</f>
        <v/>
      </c>
      <c r="I1677" t="inlineStr">
        <is>
          <t>1</t>
        </is>
      </c>
      <c r="J1677">
        <f>((Inputs!$B$6*(1+Inputs!$B$7/100))+(((Inputs!$B$12*(1+Inputs!$B$13/100))-(Inputs!$B$12*(1+Inputs!$B$13/100)))+0.25*(Inputs!$B$14-Inputs!$B$14))*(1+Inputs!$B$7/100))*(F1677/100)</f>
        <v/>
      </c>
      <c r="K1677">
        <f>J1677*(1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1677)</f>
        <v/>
      </c>
      <c r="L1677">
        <f>K1677*(MIN(Inputs!$B$22+((C1693=TRUE)*(F1693-Calc!F22)),(Inputs!$B$23+((C1695=TRUE)*(F1695-Calc!F24))+(IF(ArtifactsInput!$M$15,CHOOSE(ArtifactsInput!$N$15+1,25,30,35,40,45,50)/100*(Inputs!$B$11-Inputs!$B$11),0))))/100+(Inputs!$B$23+((C1695=TRUE)*(F1695-Calc!F24))+(IF(ArtifactsInput!$M$15,CHOOSE(ArtifactsInput!$N$15+1,25,30,35,40,45,50)/100*(Inputs!$B$11-Inputs!$B$11),0)))/100)/2</f>
        <v/>
      </c>
      <c r="M1677">
        <f>L1677*(1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7">
        <f>L1677*(1-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1677*(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7">
        <f>(1-Summary!$B$11)*T1677+Summary!$B$11*V1677</f>
        <v/>
      </c>
      <c r="P1677">
        <f>IF(B1708=0,0,O1677/B1708)</f>
        <v/>
      </c>
      <c r="Q1677">
        <f>IFERROR(1/(IF(Inputs!$B$38="pvp",15,MAX(0.1,Skills!D6-IF(Skills!E6=TRUE,Inputs!$B$32,0)))*(1-IF(AND(ArtifactsInput!$M$27,Inputs!$B$4="Chapter Hunt"),CHOOSE(ArtifactsInput!$N$27+1,20,24,28,32,36,40),0)/100)),0)</f>
        <v/>
      </c>
      <c r="R1677">
        <f>IF(AND(Inputs!$B$38&lt;&gt;"pvp",Inputs!$B$43&gt;0),IF(MAX(0,Inputs!$B$43-B1705)&lt;=0,0,(INT(MAX(0,Inputs!$B$43-B1705)/(IF(Inputs!$B$38="pvp",15,MAX(0.1,Skills!D6-IF(Skills!E6=TRUE,Inputs!$B$32,0)))*(1-IF(AND(ArtifactsInput!$M$27,Inputs!$B$4="Chapter Hunt"),CHOOSE(ArtifactsInput!$N$27+1,20,24,28,32,36,40),0)/100)))+1)),0)</f>
        <v/>
      </c>
      <c r="S1677">
        <f>IFERROR(O1677/N1677,0)</f>
        <v/>
      </c>
      <c r="T1677">
        <f>IF(C1677,(H1677*N1677*IF(AND(Inputs!$B$38&lt;&gt;"pvp",Inputs!$B$43&gt;0),((Skills!G6*((R1677-1)*IF(Skills!H6&gt;0,Skills!I6/Skills!H6,1)+IF(Skills!H6&gt;0,MIN(Skills!I6,MAX(0,MAX(0,Inputs!$B$43-B1705)-((R1677-1)*(IF(Inputs!$B$38="pvp",15,MAX(0.1,Skills!D6-IF(Skills!E6=TRUE,Inputs!$B$32,0)))*(1-IF(AND(ArtifactsInput!$M$27,Inputs!$B$4="Chapter Hunt"),CHOOSE(ArtifactsInput!$N$27+1,20,24,28,32,36,40),0)/100)))))/Skills!H6,1)))/Inputs!$B$43),G1677*Q1677)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1677*(1-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1677*(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1677*(1-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1677*(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7">
        <f>IF(C1677,(H1677*N1677*IF(AND(Inputs!$B$38&lt;&gt;"pvp",Inputs!$B$43&gt;0),((Skills!G6*((R1677-1)*IF(Skills!H6&gt;0,Skills!I6/Skills!H6,1)+IF(Skills!H6&gt;0,MIN(Skills!I6,MAX(0,MAX(0,Inputs!$B$43-B1705)-((R1677-1)*(IF(Inputs!$B$38="pvp",15,MAX(0.1,Skills!D6-IF(Skills!E6=TRUE,Inputs!$B$32,0)))*(1-IF(AND(ArtifactsInput!$M$27,Inputs!$B$4="Chapter Hunt"),CHOOSE(ArtifactsInput!$N$27+1,20,24,28,32,36,40),0)/100)))))/Skills!H6,1)))/Inputs!$B$43),G1677*Q1677))*IF(Inputs!$B$38="pvp",1,(1+(Inputs!$B$21+Skills!Q6+(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8">
      <c r="A1678">
        <f>Skills!A7</f>
        <v/>
      </c>
      <c r="B1678">
        <f>Skills!B7</f>
        <v/>
      </c>
      <c r="C1678">
        <f>Inputs!$B$3&gt;=107</f>
        <v/>
      </c>
      <c r="D1678">
        <f>IF(Skills!C7=1,60+Inputs!$B$25+Inputs!$B$29,IF(Skills!C7=2,90+Inputs!$B$26+Inputs!$B$29,IF(Skills!C7=3,120+Inputs!$B$27+Inputs!$B$29,MAX(0,(Inputs!$B$3-100)*3)+Inputs!$B$28+Inputs!$B$29)))</f>
        <v/>
      </c>
      <c r="E1678">
        <f>INDEX(FactorTable!$B$2:$Y$301, MATCH(ROUND(MIN(300,MAX(1,D1678)),0), FactorTable!$A$2:$A$301,0), Skills!M7+1)</f>
        <v/>
      </c>
      <c r="F1678">
        <f>IF(Skills!N7=TRUE,(Skills!L7/10)*(E1678/1000),Skills!L7/10)+Skills!O7</f>
        <v/>
      </c>
      <c r="G1678">
        <f>Skills!G7*IF(Skills!H7&gt;0,Skills!I7/Skills!H7,1)</f>
        <v/>
      </c>
      <c r="H1678">
        <f>1-(1-Skills!J7/100)^Skills!K7</f>
        <v/>
      </c>
      <c r="I1678" t="inlineStr">
        <is>
          <t>1</t>
        </is>
      </c>
      <c r="J1678">
        <f>((Inputs!$B$6*(1+Inputs!$B$7/100))+(((Inputs!$B$12*(1+Inputs!$B$13/100))-(Inputs!$B$12*(1+Inputs!$B$13/100)))+0.25*(Inputs!$B$14-Inputs!$B$14))*(1+Inputs!$B$7/100))*(F1678/100)</f>
        <v/>
      </c>
      <c r="K1678">
        <f>J1678*(1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1678)</f>
        <v/>
      </c>
      <c r="L1678">
        <f>K1678*(MIN(Inputs!$B$22+((C1693=TRUE)*(F1693-Calc!F22)),(Inputs!$B$23+((C1695=TRUE)*(F1695-Calc!F24))+(IF(ArtifactsInput!$M$15,CHOOSE(ArtifactsInput!$N$15+1,25,30,35,40,45,50)/100*(Inputs!$B$11-Inputs!$B$11),0))))/100+(Inputs!$B$23+((C1695=TRUE)*(F1695-Calc!F24))+(IF(ArtifactsInput!$M$15,CHOOSE(ArtifactsInput!$N$15+1,25,30,35,40,45,50)/100*(Inputs!$B$11-Inputs!$B$11),0)))/100)/2</f>
        <v/>
      </c>
      <c r="M1678">
        <f>L1678*(1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8">
        <f>L1678*(1-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1678*(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8">
        <f>(1-Summary!$B$11)*T1678+Summary!$B$11*V1678</f>
        <v/>
      </c>
      <c r="P1678">
        <f>IF(B1708=0,0,O1678/B1708)</f>
        <v/>
      </c>
      <c r="Q1678">
        <f>IFERROR(1/(IF(Inputs!$B$38="pvp",15,MAX(0.1,Skills!D7-IF(Skills!E7=TRUE,Inputs!$B$32,0)))*(1-IF(AND(ArtifactsInput!$M$27,Inputs!$B$4="Chapter Hunt"),CHOOSE(ArtifactsInput!$N$27+1,20,24,28,32,36,40),0)/100)),0)</f>
        <v/>
      </c>
      <c r="R1678">
        <f>IF(AND(Inputs!$B$38&lt;&gt;"pvp",Inputs!$B$43&gt;0),IF(MAX(0,Inputs!$B$43-B1705)&lt;=0,0,(INT(MAX(0,Inputs!$B$43-B1705)/(IF(Inputs!$B$38="pvp",15,MAX(0.1,Skills!D7-IF(Skills!E7=TRUE,Inputs!$B$32,0)))*(1-IF(AND(ArtifactsInput!$M$27,Inputs!$B$4="Chapter Hunt"),CHOOSE(ArtifactsInput!$N$27+1,20,24,28,32,36,40),0)/100)))+1)),0)</f>
        <v/>
      </c>
      <c r="S1678">
        <f>IFERROR(O1678/N1678,0)</f>
        <v/>
      </c>
      <c r="T1678">
        <f>IF(C1678,(H1678*N1678*IF(AND(Inputs!$B$38&lt;&gt;"pvp",Inputs!$B$43&gt;0),((Skills!G7*((R1678-1)*IF(Skills!H7&gt;0,Skills!I7/Skills!H7,1)+IF(Skills!H7&gt;0,MIN(Skills!I7,MAX(0,MAX(0,Inputs!$B$43-B1705)-((R1678-1)*(IF(Inputs!$B$38="pvp",15,MAX(0.1,Skills!D7-IF(Skills!E7=TRUE,Inputs!$B$32,0)))*(1-IF(AND(ArtifactsInput!$M$27,Inputs!$B$4="Chapter Hunt"),CHOOSE(ArtifactsInput!$N$27+1,20,24,28,32,36,40),0)/100)))))/Skills!H7,1)))/Inputs!$B$43),G1678*Q1678)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1678*(1-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1678*(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1678*(1-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1678*(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8">
        <f>IF(C1678,(H1678*N1678*IF(AND(Inputs!$B$38&lt;&gt;"pvp",Inputs!$B$43&gt;0),((Skills!G7*((R1678-1)*IF(Skills!H7&gt;0,Skills!I7/Skills!H7,1)+IF(Skills!H7&gt;0,MIN(Skills!I7,MAX(0,MAX(0,Inputs!$B$43-B1705)-((R1678-1)*(IF(Inputs!$B$38="pvp",15,MAX(0.1,Skills!D7-IF(Skills!E7=TRUE,Inputs!$B$32,0)))*(1-IF(AND(ArtifactsInput!$M$27,Inputs!$B$4="Chapter Hunt"),CHOOSE(ArtifactsInput!$N$27+1,20,24,28,32,36,40),0)/100)))))/Skills!H7,1)))/Inputs!$B$43),G1678*Q1678))*IF(Inputs!$B$38="pvp",1,(1+(Inputs!$B$21+Skills!Q7+(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9">
      <c r="A1679">
        <f>Skills!A8</f>
        <v/>
      </c>
      <c r="B1679">
        <f>Skills!B8</f>
        <v/>
      </c>
      <c r="C1679">
        <f>Inputs!$B$3&gt;=107</f>
        <v/>
      </c>
      <c r="D1679">
        <f>IF(Skills!C8=1,60+Inputs!$B$25+Inputs!$B$29,IF(Skills!C8=2,90+Inputs!$B$26+Inputs!$B$29,IF(Skills!C8=3,120+Inputs!$B$27+Inputs!$B$29,MAX(0,(Inputs!$B$3-100)*3)+Inputs!$B$28+Inputs!$B$29)))</f>
        <v/>
      </c>
      <c r="E1679">
        <f>INDEX(FactorTable!$B$2:$Y$301, MATCH(ROUND(MIN(300,MAX(1,D1679)),0), FactorTable!$A$2:$A$301,0), Skills!M8+1)</f>
        <v/>
      </c>
      <c r="F1679">
        <f>IF(Skills!N8=TRUE,(Skills!L8/10)*(E1679/1000),Skills!L8/10)+Skills!O8</f>
        <v/>
      </c>
      <c r="G1679">
        <f>Skills!G8*IF(Skills!H8&gt;0,Skills!I8/Skills!H8,1)</f>
        <v/>
      </c>
      <c r="H1679">
        <f>1-(1-Skills!J8/100)^Skills!K8</f>
        <v/>
      </c>
      <c r="I1679" t="inlineStr">
        <is>
          <t>1</t>
        </is>
      </c>
      <c r="J1679">
        <f>((Inputs!$B$6*(1+Inputs!$B$7/100))+(((Inputs!$B$12*(1+Inputs!$B$13/100))-(Inputs!$B$12*(1+Inputs!$B$13/100)))+0.25*(Inputs!$B$14-Inputs!$B$14))*(1+Inputs!$B$7/100))*(F1679/100)</f>
        <v/>
      </c>
      <c r="K1679">
        <f>J1679*(1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1679)</f>
        <v/>
      </c>
      <c r="L1679">
        <f>K1679*(MIN(Inputs!$B$22+((C1693=TRUE)*(F1693-Calc!F22)),(Inputs!$B$23+((C1695=TRUE)*(F1695-Calc!F24))+(IF(ArtifactsInput!$M$15,CHOOSE(ArtifactsInput!$N$15+1,25,30,35,40,45,50)/100*(Inputs!$B$11-Inputs!$B$11),0))))/100+(Inputs!$B$23+((C1695=TRUE)*(F1695-Calc!F24))+(IF(ArtifactsInput!$M$15,CHOOSE(ArtifactsInput!$N$15+1,25,30,35,40,45,50)/100*(Inputs!$B$11-Inputs!$B$11),0)))/100)/2</f>
        <v/>
      </c>
      <c r="M1679">
        <f>L1679*(1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9">
        <f>L1679*(1-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1679*(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9">
        <f>(1-Summary!$B$11)*T1679+Summary!$B$11*V1679</f>
        <v/>
      </c>
      <c r="P1679">
        <f>IF(B1708=0,0,O1679/B1708)</f>
        <v/>
      </c>
      <c r="Q1679">
        <f>IFERROR(1/(IF(Inputs!$B$38="pvp",15,MAX(0.1,Skills!D8-IF(Skills!E8=TRUE,Inputs!$B$32,0)))*(1-IF(AND(ArtifactsInput!$M$27,Inputs!$B$4="Chapter Hunt"),CHOOSE(ArtifactsInput!$N$27+1,20,24,28,32,36,40),0)/100)),0)</f>
        <v/>
      </c>
      <c r="R1679">
        <f>IF(AND(Inputs!$B$38&lt;&gt;"pvp",Inputs!$B$43&gt;0),IF(MAX(0,Inputs!$B$43-B1705)&lt;=0,0,(INT(MAX(0,Inputs!$B$43-B1705)/(IF(Inputs!$B$38="pvp",15,MAX(0.1,Skills!D8-IF(Skills!E8=TRUE,Inputs!$B$32,0)))*(1-IF(AND(ArtifactsInput!$M$27,Inputs!$B$4="Chapter Hunt"),CHOOSE(ArtifactsInput!$N$27+1,20,24,28,32,36,40),0)/100)))+1)),0)</f>
        <v/>
      </c>
      <c r="S1679">
        <f>IFERROR(O1679/N1679,0)</f>
        <v/>
      </c>
      <c r="T1679">
        <f>IF(C1679,(H1679*N1679*IF(AND(Inputs!$B$38&lt;&gt;"pvp",Inputs!$B$43&gt;0),((Skills!G8*((R1679-1)*IF(Skills!H8&gt;0,Skills!I8/Skills!H8,1)+IF(Skills!H8&gt;0,MIN(Skills!I8,MAX(0,MAX(0,Inputs!$B$43-B1705)-((R1679-1)*(IF(Inputs!$B$38="pvp",15,MAX(0.1,Skills!D8-IF(Skills!E8=TRUE,Inputs!$B$32,0)))*(1-IF(AND(ArtifactsInput!$M$27,Inputs!$B$4="Chapter Hunt"),CHOOSE(ArtifactsInput!$N$27+1,20,24,28,32,36,40),0)/100)))))/Skills!H8,1)))/Inputs!$B$43),G1679*Q1679)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1679*(1-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1679*(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1679*(1-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1679*(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9">
        <f>IF(C1679,(H1679*N1679*IF(AND(Inputs!$B$38&lt;&gt;"pvp",Inputs!$B$43&gt;0),((Skills!G8*((R1679-1)*IF(Skills!H8&gt;0,Skills!I8/Skills!H8,1)+IF(Skills!H8&gt;0,MIN(Skills!I8,MAX(0,MAX(0,Inputs!$B$43-B1705)-((R1679-1)*(IF(Inputs!$B$38="pvp",15,MAX(0.1,Skills!D8-IF(Skills!E8=TRUE,Inputs!$B$32,0)))*(1-IF(AND(ArtifactsInput!$M$27,Inputs!$B$4="Chapter Hunt"),CHOOSE(ArtifactsInput!$N$27+1,20,24,28,32,36,40),0)/100)))))/Skills!H8,1)))/Inputs!$B$43),G1679*Q1679))*IF(Inputs!$B$38="pvp",1,(1+(Inputs!$B$21+Skills!Q8+(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0">
      <c r="A1680">
        <f>Skills!A9</f>
        <v/>
      </c>
      <c r="B1680">
        <f>Skills!B9</f>
        <v/>
      </c>
      <c r="C1680">
        <f>Inputs!$B$3&gt;=125</f>
        <v/>
      </c>
      <c r="D1680">
        <f>IF(Skills!C9=1,60+Inputs!$B$25+Inputs!$B$29,IF(Skills!C9=2,90+Inputs!$B$26+Inputs!$B$29,IF(Skills!C9=3,120+Inputs!$B$27+Inputs!$B$29,MAX(0,(Inputs!$B$3-100)*3)+Inputs!$B$28+Inputs!$B$29)))</f>
        <v/>
      </c>
      <c r="E1680">
        <f>INDEX(FactorTable!$B$2:$Y$301, MATCH(ROUND(MIN(300,MAX(1,D1680)),0), FactorTable!$A$2:$A$301,0), Skills!M9+1)</f>
        <v/>
      </c>
      <c r="F1680">
        <f>IF(Skills!N9=TRUE,(Skills!L9/10)*(E1680/1000),Skills!L9/10)+Skills!O9</f>
        <v/>
      </c>
      <c r="G1680">
        <f>Skills!G9*IF(Skills!H9&gt;0,Skills!I9/Skills!H9,1)</f>
        <v/>
      </c>
      <c r="H1680">
        <f>1-(1-Skills!J9/100)^Skills!K9</f>
        <v/>
      </c>
      <c r="I1680" t="inlineStr">
        <is>
          <t>1</t>
        </is>
      </c>
      <c r="J1680">
        <f>((Inputs!$B$6*(1+Inputs!$B$7/100))+(((Inputs!$B$12*(1+Inputs!$B$13/100))-(Inputs!$B$12*(1+Inputs!$B$13/100)))+0.25*(Inputs!$B$14-Inputs!$B$14))*(1+Inputs!$B$7/100))*(F1680/100)</f>
        <v/>
      </c>
      <c r="K1680">
        <f>J1680*(1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1680)</f>
        <v/>
      </c>
      <c r="L1680">
        <f>K1680*(MIN(Inputs!$B$22+((C1693=TRUE)*(F1693-Calc!F22)),(Inputs!$B$23+((C1695=TRUE)*(F1695-Calc!F24))+(IF(ArtifactsInput!$M$15,CHOOSE(ArtifactsInput!$N$15+1,25,30,35,40,45,50)/100*(Inputs!$B$11-Inputs!$B$11),0))))/100+(Inputs!$B$23+((C1695=TRUE)*(F1695-Calc!F24))+(IF(ArtifactsInput!$M$15,CHOOSE(ArtifactsInput!$N$15+1,25,30,35,40,45,50)/100*(Inputs!$B$11-Inputs!$B$11),0)))/100)/2</f>
        <v/>
      </c>
      <c r="M1680">
        <f>L1680*(1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0">
        <f>L1680*(1-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1680*(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0">
        <f>(1-Summary!$B$11)*T1680+Summary!$B$11*V1680</f>
        <v/>
      </c>
      <c r="P1680">
        <f>IF(B1708=0,0,O1680/B1708)</f>
        <v/>
      </c>
      <c r="Q1680">
        <f>IFERROR(1/(IF(Inputs!$B$38="pvp",15,MAX(0.1,Skills!D9-IF(Skills!E9=TRUE,Inputs!$B$32,0)))*(1-IF(AND(ArtifactsInput!$M$27,Inputs!$B$4="Chapter Hunt"),CHOOSE(ArtifactsInput!$N$27+1,20,24,28,32,36,40),0)/100)),0)</f>
        <v/>
      </c>
      <c r="R1680">
        <f>IF(AND(Inputs!$B$38&lt;&gt;"pvp",Inputs!$B$43&gt;0),IF(MAX(0,Inputs!$B$43-B1705)&lt;=0,0,(INT(MAX(0,Inputs!$B$43-B1705)/(IF(Inputs!$B$38="pvp",15,MAX(0.1,Skills!D9-IF(Skills!E9=TRUE,Inputs!$B$32,0)))*(1-IF(AND(ArtifactsInput!$M$27,Inputs!$B$4="Chapter Hunt"),CHOOSE(ArtifactsInput!$N$27+1,20,24,28,32,36,40),0)/100)))+1)),0)</f>
        <v/>
      </c>
      <c r="S1680">
        <f>IFERROR(O1680/N1680,0)</f>
        <v/>
      </c>
      <c r="T1680">
        <f>IF(C1680,(H1680*N1680*IF(AND(Inputs!$B$38&lt;&gt;"pvp",Inputs!$B$43&gt;0),((Skills!G9*((R1680-1)*IF(Skills!H9&gt;0,Skills!I9/Skills!H9,1)+IF(Skills!H9&gt;0,MIN(Skills!I9,MAX(0,MAX(0,Inputs!$B$43-B1705)-((R1680-1)*(IF(Inputs!$B$38="pvp",15,MAX(0.1,Skills!D9-IF(Skills!E9=TRUE,Inputs!$B$32,0)))*(1-IF(AND(ArtifactsInput!$M$27,Inputs!$B$4="Chapter Hunt"),CHOOSE(ArtifactsInput!$N$27+1,20,24,28,32,36,40),0)/100)))))/Skills!H9,1)))/Inputs!$B$43),G1680*Q1680)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1680*(1-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1680*(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1680*(1-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1680*(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0">
        <f>IF(C1680,(H1680*N1680*IF(AND(Inputs!$B$38&lt;&gt;"pvp",Inputs!$B$43&gt;0),((Skills!G9*((R1680-1)*IF(Skills!H9&gt;0,Skills!I9/Skills!H9,1)+IF(Skills!H9&gt;0,MIN(Skills!I9,MAX(0,MAX(0,Inputs!$B$43-B1705)-((R1680-1)*(IF(Inputs!$B$38="pvp",15,MAX(0.1,Skills!D9-IF(Skills!E9=TRUE,Inputs!$B$32,0)))*(1-IF(AND(ArtifactsInput!$M$27,Inputs!$B$4="Chapter Hunt"),CHOOSE(ArtifactsInput!$N$27+1,20,24,28,32,36,40),0)/100)))))/Skills!H9,1)))/Inputs!$B$43),G1680*Q1680))*IF(Inputs!$B$38="pvp",1,(1+(Inputs!$B$21+Skills!Q9+(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1">
      <c r="A1681">
        <f>Skills!A10</f>
        <v/>
      </c>
      <c r="B1681">
        <f>Skills!B10</f>
        <v/>
      </c>
      <c r="C1681">
        <f>Inputs!$B$3&gt;=117</f>
        <v/>
      </c>
      <c r="D1681">
        <f>IF(Skills!C10=1,60+Inputs!$B$25+Inputs!$B$29,IF(Skills!C10=2,90+Inputs!$B$26+Inputs!$B$29,IF(Skills!C10=3,120+Inputs!$B$27+Inputs!$B$29,MAX(0,(Inputs!$B$3-100)*3)+Inputs!$B$28+Inputs!$B$29)))</f>
        <v/>
      </c>
      <c r="E1681">
        <f>INDEX(FactorTable!$B$2:$Y$301, MATCH(ROUND(MIN(300,MAX(1,D1681)),0), FactorTable!$A$2:$A$301,0), Skills!M10+1)</f>
        <v/>
      </c>
      <c r="F1681">
        <f>IF(Skills!N10=TRUE,(Skills!L10/10)*(E1681/1000),Skills!L10/10)+Skills!O10</f>
        <v/>
      </c>
      <c r="G1681">
        <f>Skills!G10*IF(Skills!H10&gt;0,Skills!I10/Skills!H10,1)</f>
        <v/>
      </c>
      <c r="H1681">
        <f>1-(1-Skills!J10/100)^Skills!K10</f>
        <v/>
      </c>
      <c r="I1681" t="inlineStr">
        <is>
          <t>1</t>
        </is>
      </c>
      <c r="J1681">
        <f>((Inputs!$B$6*(1+Inputs!$B$7/100))+(((Inputs!$B$12*(1+Inputs!$B$13/100))-(Inputs!$B$12*(1+Inputs!$B$13/100)))+0.25*(Inputs!$B$14-Inputs!$B$14))*(1+Inputs!$B$7/100))*(F1681/100)</f>
        <v/>
      </c>
      <c r="K1681">
        <f>J1681*(1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1681)</f>
        <v/>
      </c>
      <c r="L1681">
        <f>K1681*(MIN(Inputs!$B$22+((C1693=TRUE)*(F1693-Calc!F22)),(Inputs!$B$23+((C1695=TRUE)*(F1695-Calc!F24))+(IF(ArtifactsInput!$M$15,CHOOSE(ArtifactsInput!$N$15+1,25,30,35,40,45,50)/100*(Inputs!$B$11-Inputs!$B$11),0))))/100+(Inputs!$B$23+((C1695=TRUE)*(F1695-Calc!F24))+(IF(ArtifactsInput!$M$15,CHOOSE(ArtifactsInput!$N$15+1,25,30,35,40,45,50)/100*(Inputs!$B$11-Inputs!$B$11),0)))/100)/2</f>
        <v/>
      </c>
      <c r="M1681">
        <f>L1681*(1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1">
        <f>L1681*(1-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1">
        <f>(1-Summary!$B$11)*T1681+Summary!$B$11*V1681</f>
        <v/>
      </c>
      <c r="P1681">
        <f>IF(B1708=0,0,O1681/B1708)</f>
        <v/>
      </c>
      <c r="Q1681">
        <f>IFERROR(1/(IF(Inputs!$B$38="pvp",15,MAX(0.1,Skills!D10-IF(Skills!E10=TRUE,Inputs!$B$32,0)))*(1-IF(AND(ArtifactsInput!$M$27,Inputs!$B$4="Chapter Hunt"),CHOOSE(ArtifactsInput!$N$27+1,20,24,28,32,36,40),0)/100)),0)</f>
        <v/>
      </c>
      <c r="R1681">
        <f>IF(AND(Inputs!$B$38&lt;&gt;"pvp",Inputs!$B$43&gt;0),IF(MAX(0,Inputs!$B$43-B1705)&lt;=0,0,(INT(MAX(0,Inputs!$B$43-B1705)/(IF(Inputs!$B$38="pvp",15,MAX(0.1,Skills!D10-IF(Skills!E10=TRUE,Inputs!$B$32,0)))*(1-IF(AND(ArtifactsInput!$M$27,Inputs!$B$4="Chapter Hunt"),CHOOSE(ArtifactsInput!$N$27+1,20,24,28,32,36,40),0)/100)))+1)),0)</f>
        <v/>
      </c>
      <c r="S1681">
        <f>IFERROR(O1681/N1681,0)</f>
        <v/>
      </c>
      <c r="T1681">
        <f>IF(C1681,(H1681*N1681*IF(AND(Inputs!$B$38&lt;&gt;"pvp",Inputs!$B$43&gt;0),((Skills!G10*((R1681-1)*IF(Skills!H10&gt;0,Skills!I10/Skills!H10,1)+IF(Skills!H10&gt;0,MIN(Skills!I10,MAX(0,MAX(0,Inputs!$B$43-B1705)-((R1681-1)*(IF(Inputs!$B$38="pvp",15,MAX(0.1,Skills!D10-IF(Skills!E10=TRUE,Inputs!$B$32,0)))*(1-IF(AND(ArtifactsInput!$M$27,Inputs!$B$4="Chapter Hunt"),CHOOSE(ArtifactsInput!$N$27+1,20,24,28,32,36,40),0)/100)))))/Skills!H10,1)))/Inputs!$B$43),G1681*Q1681)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1681*(1-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1">
        <f>IF(C1681,(H1681*N1681*IF(AND(Inputs!$B$38&lt;&gt;"pvp",Inputs!$B$43&gt;0),((Skills!G10*((R1681-1)*IF(Skills!H10&gt;0,Skills!I10/Skills!H10,1)+IF(Skills!H10&gt;0,MIN(Skills!I10,MAX(0,MAX(0,Inputs!$B$43-B1705)-((R1681-1)*(IF(Inputs!$B$38="pvp",15,MAX(0.1,Skills!D10-IF(Skills!E10=TRUE,Inputs!$B$32,0)))*(1-IF(AND(ArtifactsInput!$M$27,Inputs!$B$4="Chapter Hunt"),CHOOSE(ArtifactsInput!$N$27+1,20,24,28,32,36,40),0)/100)))))/Skills!H10,1)))/Inputs!$B$43),G1681*Q1681))*IF(Inputs!$B$38="pvp",1,(1+(Inputs!$B$21+Skills!Q10+(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2">
      <c r="A1682">
        <f>Skills!A11</f>
        <v/>
      </c>
      <c r="B1682">
        <f>Skills!B11</f>
        <v/>
      </c>
      <c r="C1682">
        <f>Inputs!$B$3&gt;=63</f>
        <v/>
      </c>
      <c r="D1682">
        <f>IF(Skills!C11=1,60+Inputs!$B$25+Inputs!$B$29,IF(Skills!C11=2,90+Inputs!$B$26+Inputs!$B$29,IF(Skills!C11=3,120+Inputs!$B$27+Inputs!$B$29,MAX(0,(Inputs!$B$3-100)*3)+Inputs!$B$28+Inputs!$B$29)))</f>
        <v/>
      </c>
      <c r="E1682">
        <f>INDEX(FactorTable!$B$2:$Y$301, MATCH(ROUND(MIN(300,MAX(1,D1682)),0), FactorTable!$A$2:$A$301,0), Skills!M11+1)</f>
        <v/>
      </c>
      <c r="F1682">
        <f>IF(Skills!N11=TRUE,(Skills!L11/10)*(E1682/1000),Skills!L11/10)+Skills!O11</f>
        <v/>
      </c>
      <c r="G1682">
        <f>Skills!G11*IF(Skills!H11&gt;0,Skills!I11/Skills!H11,1)</f>
        <v/>
      </c>
      <c r="H1682">
        <f>1-(1-Skills!J11/100)^Skills!K11</f>
        <v/>
      </c>
      <c r="I1682" t="inlineStr">
        <is>
          <t>1</t>
        </is>
      </c>
      <c r="J1682">
        <f>((Inputs!$B$6*(1+Inputs!$B$7/100))+(((Inputs!$B$12*(1+Inputs!$B$13/100))-(Inputs!$B$12*(1+Inputs!$B$13/100)))+0.25*(Inputs!$B$14-Inputs!$B$14))*(1+Inputs!$B$7/100))*(F1682/100)</f>
        <v/>
      </c>
      <c r="K1682">
        <f>J1682*(1+((Inputs!$B$12*(1+Inputs!$B$13/100))*0.01+Inputs!$B$14*0.0025)/100)*(1+Inputs!$B$15/100)*(1+Inputs!$B$16/100)*(5000/(6000+Inputs!$B$42*(1-(Inputs!$B$19+0)/100)))*(1+(Inputs!$B$24+0+B1704)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1683=TRUE,F1683,0)/100)*(1+(IF(Skills!A11="BLAST",Inputs!$B$17+((C1692=TRUE)*(F1692-Calc!F21))+((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MIN(100,((Inputs!$B$9+0+B1698+(ArtifactsInput!$M$24-ArtifactsInput!$M$24)*CHOOSE(ArtifactsInput!$N$24+1,10,12,14,16,18,20)+IF(ArtifactsInput!$M$10,CHOOSE(ArtifactsInput!$N$10+1,15,18,21,24,27,30)*(IF(Inputs!$B$38="pvp",MIN(15,15)/15,IF(AND(Inputs!$B$38&lt;&gt;"pvp",Inputs!$B$43&gt;0),MIN(15,Inputs!$B$43)/(Inputs!$B$43),0))),0)))-100),0))*CHOOSE(ArtifactsInput!$N$42+1,0.6,0.72,0.84,0.96,1.08,1.2))),Inputs!$B$18+((C1694=TRUE)*(F1694-Calc!F23))+(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gt;=100),CHOOSE(ArtifactsInput!$N$42+1,40,48,56,64,72,80),0))))/100)*((1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1682)</f>
        <v/>
      </c>
      <c r="L1682">
        <f>K1682*(MIN(Inputs!$B$22+((C1693=TRUE)*(F1693-Calc!F22)),(Inputs!$B$23+((C1695=TRUE)*(F1695-Calc!F24))+(IF(ArtifactsInput!$M$15,CHOOSE(ArtifactsInput!$N$15+1,25,30,35,40,45,50)/100*(Inputs!$B$11-Inputs!$B$11),0))))/100+(Inputs!$B$23+((C1695=TRUE)*(F1695-Calc!F24))+(IF(ArtifactsInput!$M$15,CHOOSE(ArtifactsInput!$N$15+1,25,30,35,40,45,50)/100*(Inputs!$B$11-Inputs!$B$11),0)))/100)/2</f>
        <v/>
      </c>
      <c r="M1682">
        <f>L1682*(1+(Inputs!$B$10+0+B1703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2">
        <f>L1682*(1-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1682*(MIN((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2">
        <f>(1-Summary!$B$11)*T1682+Summary!$B$11*V1682</f>
        <v/>
      </c>
      <c r="P1682">
        <f>IF(B1708=0,0,O1682/B1708)</f>
        <v/>
      </c>
      <c r="Q1682">
        <f>IFERROR(1/(IF(Inputs!$B$38="pvp",15,MAX(0.1,Skills!D11-IF(Skills!E11=TRUE,Inputs!$B$32,0)))*(1-IF(AND(ArtifactsInput!$M$27,Inputs!$B$4="Chapter Hunt"),CHOOSE(ArtifactsInput!$N$27+1,20,24,28,32,36,40),0)/100)),0)</f>
        <v/>
      </c>
      <c r="R1682">
        <f>IF(AND(Inputs!$B$38&lt;&gt;"pvp",Inputs!$B$43&gt;0),IF(MAX(0,Inputs!$B$43-B1705)&lt;=0,0,(INT(MAX(0,Inputs!$B$43-B1705)/(IF(Inputs!$B$38="pvp",15,MAX(0.1,Skills!D11-IF(Skills!E11=TRUE,Inputs!$B$32,0)))*(1-IF(AND(ArtifactsInput!$M$27,Inputs!$B$4="Chapter Hunt"),CHOOSE(ArtifactsInput!$N$27+1,20,24,28,32,36,40),0)/100)))+1)),0)</f>
        <v/>
      </c>
      <c r="S1682">
        <f>IFERROR(O1682/N1682,0)</f>
        <v/>
      </c>
      <c r="T1682">
        <f>IF(C1682,(H1682*N1682*IF(AND(Inputs!$B$38&lt;&gt;"pvp",Inputs!$B$43&gt;0),((Skills!G11*((R1682-1)*IF(Skills!H11&gt;0,Skills!I11/Skills!H11,1)+IF(Skills!H11&gt;0,MIN(Skills!I11,MAX(0,MAX(0,Inputs!$B$43-B1705)-((R1682-1)*(IF(Inputs!$B$38="pvp",15,MAX(0.1,Skills!D11-IF(Skills!E11=TRUE,Inputs!$B$32,0)))*(1-IF(AND(ArtifactsInput!$M$27,Inputs!$B$4="Chapter Hunt"),CHOOSE(ArtifactsInput!$N$27+1,20,24,28,32,36,40),0)/100)))))/Skills!H11,1)))/Inputs!$B$43),G1682*Q1682)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1682*(1-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1682*(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1682*(1-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1682*(MIN(100,(Inputs!$B$9+0+B1698+(ArtifactsInput!$M$24-ArtifactsInput!$M$24)*CHOOSE(ArtifactsInput!$N$24+1,10,12,14,16,18,20)+(IF(AND(Inputs!$B$38&lt;&gt;"pvp",Inputs!$B$43=0),1,IF(IF(Inputs!$B$38="pvp",15,Inputs!$B$43)-(B1705)&lt;=0,1,MAX(0,IF(Inputs!$B$38="pvp",15,Inputs!$B$43)-MAX(5,B1705))/(IF(Inputs!$B$38="pvp",15,Inputs!$B$43)-(B1705))))*IF(AND(ArtifactsInput!$M$42,((Inputs!$B$9+0+B1698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2">
        <f>IF(C1682,(H1682*N1682*IF(AND(Inputs!$B$38&lt;&gt;"pvp",Inputs!$B$43&gt;0),((Skills!G11*((R1682-1)*IF(Skills!H11&gt;0,Skills!I11/Skills!H11,1)+IF(Skills!H11&gt;0,MIN(Skills!I11,MAX(0,MAX(0,Inputs!$B$43-B1705)-((R1682-1)*(IF(Inputs!$B$38="pvp",15,MAX(0.1,Skills!D11-IF(Skills!E11=TRUE,Inputs!$B$32,0)))*(1-IF(AND(ArtifactsInput!$M$27,Inputs!$B$4="Chapter Hunt"),CHOOSE(ArtifactsInput!$N$27+1,20,24,28,32,36,40),0)/100)))))/Skills!H11,1)))/Inputs!$B$43),G1682*Q1682))*IF(Inputs!$B$38="pvp",1,(1+(Inputs!$B$21+Skills!Q11+(IF(ArtifactsInput!$M$33,CHOOSE(ArtifactsInput!$N$33+1,30,36,42,48,54,60),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3">
      <c r="A1683">
        <f>Skills!A12</f>
        <v/>
      </c>
      <c r="B1683">
        <f>Skills!B12</f>
        <v/>
      </c>
      <c r="C1683">
        <f>Inputs!$B$3&gt;=100</f>
        <v/>
      </c>
      <c r="D1683">
        <f>IF(Skills!C12=1,60+Inputs!$B$25+Inputs!$B$29,IF(Skills!C12=2,90+Inputs!$B$26+Inputs!$B$29,IF(Skills!C12=3,120+Inputs!$B$27+Inputs!$B$29,MAX(0,(Inputs!$B$3-100)*3)+Inputs!$B$28+Inputs!$B$29)))</f>
        <v/>
      </c>
      <c r="E1683">
        <f>INDEX(FactorTable!$B$2:$Y$301, MATCH(ROUND(MIN(300,MAX(1,D1683)),0), FactorTable!$A$2:$A$301,0), Skills!M12+1)</f>
        <v/>
      </c>
      <c r="F1683">
        <f>IF(Skills!N12=TRUE,(Skills!L12/10)*(E1683/1000),Skills!L12/10)+Skills!O12</f>
        <v/>
      </c>
      <c r="G1683" t="inlineStr"/>
      <c r="H1683" t="inlineStr"/>
      <c r="I1683" t="inlineStr">
        <is>
          <t>1</t>
        </is>
      </c>
      <c r="J1683" t="inlineStr"/>
      <c r="K1683" t="inlineStr"/>
      <c r="L1683" t="inlineStr"/>
      <c r="M1683" t="inlineStr"/>
      <c r="N1683" t="inlineStr"/>
      <c r="O1683" t="inlineStr"/>
      <c r="P1683" t="inlineStr"/>
      <c r="Q1683" t="inlineStr"/>
      <c r="R1683" t="inlineStr"/>
      <c r="S1683" t="inlineStr"/>
    </row>
    <row r="1684">
      <c r="A1684">
        <f>Skills!A13</f>
        <v/>
      </c>
      <c r="B1684">
        <f>Skills!B13</f>
        <v/>
      </c>
      <c r="C1684">
        <f>Inputs!$B$3&gt;=45</f>
        <v/>
      </c>
      <c r="D1684">
        <f>IF(Skills!C13=1,60+Inputs!$B$25+Inputs!$B$29,IF(Skills!C13=2,90+Inputs!$B$26+Inputs!$B$29,IF(Skills!C13=3,120+Inputs!$B$27+Inputs!$B$29,MAX(0,(Inputs!$B$3-100)*3)+Inputs!$B$28+Inputs!$B$29)))</f>
        <v/>
      </c>
      <c r="E1684">
        <f>INDEX(FactorTable!$B$2:$Y$301, MATCH(ROUND(MIN(300,MAX(1,D1684)),0), FactorTable!$A$2:$A$301,0), Skills!M13+1)</f>
        <v/>
      </c>
      <c r="F1684">
        <f>IF(Skills!N13=TRUE,(Skills!L13/10)*(E1684/1000),Skills!L13/10)+Skills!O13</f>
        <v/>
      </c>
      <c r="G1684">
        <f>Skills!G13*IF(Skills!H13&gt;0,Skills!I13/Skills!H13,1)</f>
        <v/>
      </c>
      <c r="H1684">
        <f>1-(1-Skills!J13/100)^Skills!K13</f>
        <v/>
      </c>
      <c r="I1684" t="inlineStr">
        <is>
          <t>1</t>
        </is>
      </c>
      <c r="J1684" t="inlineStr"/>
      <c r="K1684" t="inlineStr"/>
      <c r="L1684" t="inlineStr"/>
      <c r="M1684" t="inlineStr"/>
      <c r="N1684" t="inlineStr"/>
      <c r="O1684">
        <f>(1-Summary!$B$11)*T1684+Summary!$B$11*V1684</f>
        <v/>
      </c>
      <c r="P1684">
        <f>IF(B1708=0,0,O1684/B1708)</f>
        <v/>
      </c>
      <c r="Q1684" t="n">
        <v>0</v>
      </c>
      <c r="R1684" t="n">
        <v>0</v>
      </c>
      <c r="S1684">
        <f>IFERROR(O1684/N1684,0)</f>
        <v/>
      </c>
      <c r="T1684" t="n">
        <v>0</v>
      </c>
      <c r="V1684" t="n">
        <v>0</v>
      </c>
    </row>
    <row r="1685">
      <c r="A1685">
        <f>Skills!A14</f>
        <v/>
      </c>
      <c r="B1685">
        <f>Skills!B14</f>
        <v/>
      </c>
      <c r="C1685">
        <f>Inputs!$B$3&gt;=110</f>
        <v/>
      </c>
      <c r="D1685">
        <f>IF(Skills!C14=1,60+Inputs!$B$25+Inputs!$B$29,IF(Skills!C14=2,90+Inputs!$B$26+Inputs!$B$29,IF(Skills!C14=3,120+Inputs!$B$27+Inputs!$B$29,MAX(0,(Inputs!$B$3-100)*3)+Inputs!$B$28+Inputs!$B$29)))</f>
        <v/>
      </c>
      <c r="E1685">
        <f>INDEX(FactorTable!$B$2:$Y$301, MATCH(ROUND(MIN(300,MAX(1,D1685)),0), FactorTable!$A$2:$A$301,0), Skills!M14+1)</f>
        <v/>
      </c>
      <c r="F1685">
        <f>IF(Skills!N14=TRUE,(Skills!L14/10)*(E1685/1000),Skills!L14/10)+Skills!O14</f>
        <v/>
      </c>
      <c r="G1685">
        <f>Skills!G14*IF(Skills!H14&gt;0,Skills!I14/Skills!H14,1)</f>
        <v/>
      </c>
      <c r="H1685">
        <f>1-(1-Skills!J14/100)^Skills!K14</f>
        <v/>
      </c>
      <c r="I1685" t="inlineStr">
        <is>
          <t>1</t>
        </is>
      </c>
      <c r="J1685" t="inlineStr"/>
      <c r="K1685" t="inlineStr"/>
      <c r="L1685" t="inlineStr"/>
      <c r="M1685" t="inlineStr"/>
      <c r="N1685" t="inlineStr"/>
      <c r="O1685">
        <f>(1-Summary!$B$11)*T1685+Summary!$B$11*V1685</f>
        <v/>
      </c>
      <c r="P1685">
        <f>IF(B1708=0,0,O1685/B1708)</f>
        <v/>
      </c>
      <c r="Q1685" t="n">
        <v>0</v>
      </c>
      <c r="R1685" t="n">
        <v>0</v>
      </c>
      <c r="S1685">
        <f>IFERROR(O1685/N1685,0)</f>
        <v/>
      </c>
      <c r="T1685" t="n">
        <v>0</v>
      </c>
      <c r="V1685" t="n">
        <v>0</v>
      </c>
    </row>
    <row r="1686">
      <c r="A1686">
        <f>Skills!A15</f>
        <v/>
      </c>
      <c r="B1686">
        <f>Skills!B15</f>
        <v/>
      </c>
      <c r="C1686">
        <f>Inputs!$B$3&gt;=75</f>
        <v/>
      </c>
      <c r="D1686">
        <f>IF(Skills!C15=1,60+Inputs!$B$25+Inputs!$B$29,IF(Skills!C15=2,90+Inputs!$B$26+Inputs!$B$29,IF(Skills!C15=3,120+Inputs!$B$27+Inputs!$B$29,MAX(0,(Inputs!$B$3-100)*3)+Inputs!$B$28+Inputs!$B$29)))</f>
        <v/>
      </c>
      <c r="E1686">
        <f>INDEX(FactorTable!$B$2:$Y$301, MATCH(ROUND(MIN(300,MAX(1,D1686)),0), FactorTable!$A$2:$A$301,0), Skills!M15+1)</f>
        <v/>
      </c>
      <c r="F1686">
        <f>IF(Skills!N15=TRUE,(Skills!L15/10)*(E1686/1000),Skills!L15/10)+Skills!O15</f>
        <v/>
      </c>
      <c r="G1686">
        <f>Skills!G15*IF(Skills!H15&gt;0,Skills!I15/Skills!H15,1)</f>
        <v/>
      </c>
      <c r="H1686">
        <f>1-(1-Skills!J15/100)^Skills!K15</f>
        <v/>
      </c>
      <c r="I1686" t="inlineStr">
        <is>
          <t>1</t>
        </is>
      </c>
      <c r="J1686" t="inlineStr"/>
      <c r="K1686" t="inlineStr"/>
      <c r="L1686" t="inlineStr"/>
      <c r="M1686" t="inlineStr"/>
      <c r="N1686" t="inlineStr"/>
      <c r="O1686">
        <f>(1-Summary!$B$11)*T1686+Summary!$B$11*V1686</f>
        <v/>
      </c>
      <c r="P1686">
        <f>IF(B1708=0,0,O1686/B1708)</f>
        <v/>
      </c>
      <c r="Q1686">
        <f>IFERROR(1/(IF(Inputs!$B$38="pvp",15,MAX(0.1,Skills!D15-IF(Skills!E15=TRUE,Inputs!$B$32,0)))*(1-IF(AND(ArtifactsInput!$M$27,Inputs!$B$4="Chapter Hunt"),CHOOSE(ArtifactsInput!$N$27+1,20,24,28,32,36,40),0)/100)),0)</f>
        <v/>
      </c>
      <c r="R1686">
        <f>IF(AND(Inputs!$B$38&lt;&gt;"pvp",Inputs!$B$43&gt;0),IF(Inputs!$B$43&lt;=0,0,(INT(Inputs!$B$43/(IF(Inputs!$B$38="pvp",15,MAX(0.1,Skills!D15-IF(Skills!E15=TRUE,Inputs!$B$32,0)))*(1-IF(AND(ArtifactsInput!$M$27,Inputs!$B$4="Chapter Hunt"),CHOOSE(ArtifactsInput!$N$27+1,20,24,28,32,36,40),0)/100)))+1)),0)</f>
        <v/>
      </c>
      <c r="S1686">
        <f>IFERROR(O1686/N1686,0)</f>
        <v/>
      </c>
      <c r="T1686" t="n">
        <v>0</v>
      </c>
      <c r="V1686" t="n">
        <v>0</v>
      </c>
    </row>
    <row r="1687">
      <c r="A1687">
        <f>Skills!A16</f>
        <v/>
      </c>
      <c r="B1687">
        <f>Skills!B16</f>
        <v/>
      </c>
      <c r="C1687">
        <f>Inputs!$B$3&gt;=105</f>
        <v/>
      </c>
      <c r="D1687">
        <f>IF(Skills!C16=1,60+Inputs!$B$25+Inputs!$B$29,IF(Skills!C16=2,90+Inputs!$B$26+Inputs!$B$29,IF(Skills!C16=3,120+Inputs!$B$27+Inputs!$B$29,MAX(0,(Inputs!$B$3-100)*3)+Inputs!$B$28+Inputs!$B$29)))</f>
        <v/>
      </c>
      <c r="E1687">
        <f>INDEX(FactorTable!$B$2:$Y$301, MATCH(ROUND(MIN(300,MAX(1,D1687)),0), FactorTable!$A$2:$A$301,0), Skills!M16+1)</f>
        <v/>
      </c>
      <c r="F1687">
        <f>IF(Skills!N16=TRUE,(Skills!L16/10)*(E1687/1000),Skills!L16/10)+Skills!O16</f>
        <v/>
      </c>
      <c r="G1687">
        <f>Skills!G16*IF(Skills!H16&gt;0,Skills!I16/Skills!H16,1)</f>
        <v/>
      </c>
      <c r="H1687">
        <f>1-(1-Skills!J16/100)^Skills!K16</f>
        <v/>
      </c>
      <c r="I1687" t="inlineStr">
        <is>
          <t>1</t>
        </is>
      </c>
      <c r="J1687" t="inlineStr"/>
      <c r="K1687" t="inlineStr"/>
      <c r="L1687" t="inlineStr"/>
      <c r="M1687" t="inlineStr"/>
      <c r="N1687" t="inlineStr"/>
      <c r="O1687">
        <f>(1-Summary!$B$11)*T1687+Summary!$B$11*V1687</f>
        <v/>
      </c>
      <c r="P1687">
        <f>IF(B1708=0,0,O1687/B1708)</f>
        <v/>
      </c>
      <c r="Q1687">
        <f>IFERROR(1/(IF(Inputs!$B$38="pvp",15,MAX(0.1,Skills!D16-IF(Skills!E16=TRUE,Inputs!$B$32,0)))*(1-IF(AND(ArtifactsInput!$M$27,Inputs!$B$4="Chapter Hunt"),CHOOSE(ArtifactsInput!$N$27+1,20,24,28,32,36,40),0)/100)),0)</f>
        <v/>
      </c>
      <c r="R1687">
        <f>IF(AND(Inputs!$B$38&lt;&gt;"pvp",Inputs!$B$43&gt;0),IF(Inputs!$B$43&lt;=0,0,(INT(Inputs!$B$43/(IF(Inputs!$B$38="pvp",15,MAX(0.1,Skills!D16-IF(Skills!E16=TRUE,Inputs!$B$32,0)))*(1-IF(AND(ArtifactsInput!$M$27,Inputs!$B$4="Chapter Hunt"),CHOOSE(ArtifactsInput!$N$27+1,20,24,28,32,36,40),0)/100)))+1)),0)</f>
        <v/>
      </c>
      <c r="S1687">
        <f>IFERROR(O1687/N1687,0)</f>
        <v/>
      </c>
      <c r="T1687" t="n">
        <v>0</v>
      </c>
      <c r="V1687" t="n">
        <v>0</v>
      </c>
    </row>
    <row r="1688">
      <c r="A1688">
        <f>Skills!A17</f>
        <v/>
      </c>
      <c r="B1688">
        <f>Skills!B17</f>
        <v/>
      </c>
      <c r="C1688">
        <f>Inputs!$B$3&gt;=115</f>
        <v/>
      </c>
      <c r="D1688">
        <f>IF(Skills!C17=1,60+Inputs!$B$25+Inputs!$B$29,IF(Skills!C17=2,90+Inputs!$B$26+Inputs!$B$29,IF(Skills!C17=3,120+Inputs!$B$27+Inputs!$B$29,MAX(0,(Inputs!$B$3-100)*3)+Inputs!$B$28+Inputs!$B$29)))</f>
        <v/>
      </c>
      <c r="E1688">
        <f>INDEX(FactorTable!$B$2:$Y$301, MATCH(ROUND(MIN(300,MAX(1,D1688)),0), FactorTable!$A$2:$A$301,0), Skills!M17+1)</f>
        <v/>
      </c>
      <c r="F1688">
        <f>IF(Skills!N17=TRUE,(Skills!L17/10)*(E1688/1000),Skills!L17/10)+Skills!O17</f>
        <v/>
      </c>
      <c r="G1688">
        <f>Skills!G17*IF(Skills!H17&gt;0,Skills!I17/Skills!H17,1)</f>
        <v/>
      </c>
      <c r="H1688">
        <f>1-(1-Skills!J17/100)^Skills!K17</f>
        <v/>
      </c>
      <c r="I1688" t="inlineStr">
        <is>
          <t>1</t>
        </is>
      </c>
      <c r="J1688" t="inlineStr"/>
      <c r="K1688" t="inlineStr"/>
      <c r="L1688" t="inlineStr"/>
      <c r="M1688" t="inlineStr"/>
      <c r="N1688" t="inlineStr"/>
      <c r="O1688">
        <f>(1-Summary!$B$11)*T1688+Summary!$B$11*V1688</f>
        <v/>
      </c>
      <c r="P1688">
        <f>IF(B1708=0,0,O1688/B1708)</f>
        <v/>
      </c>
      <c r="Q1688">
        <f>IFERROR(1/(IF(Inputs!$B$38="pvp",15,MAX(0.1,Skills!D17-IF(Skills!E17=TRUE,Inputs!$B$32,0)))*(1-IF(AND(ArtifactsInput!$M$27,Inputs!$B$4="Chapter Hunt"),CHOOSE(ArtifactsInput!$N$27+1,20,24,28,32,36,40),0)/100)),0)</f>
        <v/>
      </c>
      <c r="R1688">
        <f>IF(AND(Inputs!$B$38&lt;&gt;"pvp",Inputs!$B$43&gt;0),IF(Inputs!$B$43&lt;=0,0,(INT(Inputs!$B$43/(IF(Inputs!$B$38="pvp",15,MAX(0.1,Skills!D17-IF(Skills!E17=TRUE,Inputs!$B$32,0)))*(1-IF(AND(ArtifactsInput!$M$27,Inputs!$B$4="Chapter Hunt"),CHOOSE(ArtifactsInput!$N$27+1,20,24,28,32,36,40),0)/100)))+1)),0)</f>
        <v/>
      </c>
      <c r="S1688">
        <f>IFERROR(O1688/N1688,0)</f>
        <v/>
      </c>
      <c r="T1688" t="n">
        <v>0</v>
      </c>
      <c r="V1688" t="n">
        <v>0</v>
      </c>
    </row>
    <row r="1689">
      <c r="A1689">
        <f>Skills!A18</f>
        <v/>
      </c>
      <c r="B1689">
        <f>Skills!B18</f>
        <v/>
      </c>
      <c r="C1689">
        <f>Inputs!$B$3&gt;=74</f>
        <v/>
      </c>
      <c r="D1689">
        <f>IF(Skills!C18=1,60+Inputs!$B$25+Inputs!$B$29,IF(Skills!C18=2,90+Inputs!$B$26+Inputs!$B$29,IF(Skills!C18=3,120+Inputs!$B$27+Inputs!$B$29,MAX(0,(Inputs!$B$3-100)*3)+Inputs!$B$28+Inputs!$B$29)))</f>
        <v/>
      </c>
      <c r="E1689">
        <f>INDEX(FactorTable!$B$2:$Y$301, MATCH(ROUND(MIN(300,MAX(1,D1689)),0), FactorTable!$A$2:$A$301,0), Skills!M18+1)</f>
        <v/>
      </c>
      <c r="F1689">
        <f>IF(Skills!N18=TRUE,(Skills!L18/10)*(E1689/1000),Skills!L18/10)+Skills!O18</f>
        <v/>
      </c>
      <c r="G1689">
        <f>Skills!G18*IF(Skills!H18&gt;0,Skills!I18/Skills!H18,1)</f>
        <v/>
      </c>
      <c r="H1689">
        <f>1-(1-Skills!J18/100)^Skills!K18</f>
        <v/>
      </c>
      <c r="I1689" t="inlineStr">
        <is>
          <t>1</t>
        </is>
      </c>
      <c r="J1689" t="inlineStr"/>
      <c r="K1689" t="inlineStr"/>
      <c r="L1689" t="inlineStr"/>
      <c r="M1689" t="inlineStr"/>
      <c r="N1689" t="inlineStr"/>
      <c r="O1689">
        <f>(1-Summary!$B$11)*T1689+Summary!$B$11*V1689</f>
        <v/>
      </c>
      <c r="P1689">
        <f>IF(B1708=0,0,O1689/B1708)</f>
        <v/>
      </c>
      <c r="Q1689">
        <f>IFERROR(1/(IF(Inputs!$B$38="pvp",15,MAX(0.1,Skills!D18-IF(Skills!E18=TRUE,Inputs!$B$32,0)))*(1-IF(AND(ArtifactsInput!$M$27,Inputs!$B$4="Chapter Hunt"),CHOOSE(ArtifactsInput!$N$27+1,20,24,28,32,36,40),0)/100)),0)</f>
        <v/>
      </c>
      <c r="R1689">
        <f>IF(AND(Inputs!$B$38&lt;&gt;"pvp",Inputs!$B$43&gt;0),IF(Inputs!$B$43&lt;=0,0,(INT(Inputs!$B$43/(IF(Inputs!$B$38="pvp",15,MAX(0.1,Skills!D18-IF(Skills!E18=TRUE,Inputs!$B$32,0)))*(1-IF(AND(ArtifactsInput!$M$27,Inputs!$B$4="Chapter Hunt"),CHOOSE(ArtifactsInput!$N$27+1,20,24,28,32,36,40),0)/100)))+1)),0)</f>
        <v/>
      </c>
      <c r="S1689">
        <f>IFERROR(O1689/N1689,0)</f>
        <v/>
      </c>
      <c r="T1689" t="n">
        <v>0</v>
      </c>
      <c r="V1689" t="n">
        <v>0</v>
      </c>
    </row>
    <row r="1690">
      <c r="A1690">
        <f>Skills!A19</f>
        <v/>
      </c>
      <c r="B1690">
        <f>Skills!B19</f>
        <v/>
      </c>
      <c r="C1690">
        <f>TRUE</f>
        <v/>
      </c>
      <c r="D1690">
        <f>IF(Skills!C19=1,60+Inputs!$B$25+Inputs!$B$29,IF(Skills!C19=2,90+Inputs!$B$26+Inputs!$B$29,IF(Skills!C19=3,120+Inputs!$B$27+Inputs!$B$29,MAX(0,(Inputs!$B$3-100)*3)+Inputs!$B$28+Inputs!$B$29)))</f>
        <v/>
      </c>
      <c r="E1690">
        <f>INDEX(FactorTable!$B$2:$Y$301, MATCH(ROUND(MIN(300,MAX(1,D1690)),0), FactorTable!$A$2:$A$301,0), Skills!M19+1)</f>
        <v/>
      </c>
      <c r="F1690">
        <f>IF(Skills!N19=TRUE,(Skills!L19/10)*(E1690/1000),Skills!L19/10)+Skills!O19</f>
        <v/>
      </c>
      <c r="G1690">
        <f>Skills!G19*IF(Skills!H19&gt;0,Skills!I19/Skills!H19,1)</f>
        <v/>
      </c>
      <c r="H1690">
        <f>1-(1-Skills!J19/100)^Skills!K19</f>
        <v/>
      </c>
      <c r="I1690" t="inlineStr">
        <is>
          <t>1</t>
        </is>
      </c>
      <c r="J1690" t="inlineStr"/>
      <c r="K1690" t="inlineStr"/>
      <c r="L1690" t="inlineStr"/>
      <c r="M1690" t="inlineStr"/>
      <c r="N1690" t="inlineStr"/>
      <c r="O1690">
        <f>(1-Summary!$B$11)*T1690+Summary!$B$11*V1690</f>
        <v/>
      </c>
      <c r="P1690">
        <f>IF(B1708=0,0,O1690/B1708)</f>
        <v/>
      </c>
      <c r="Q1690">
        <f>IFERROR(1/(IF(Inputs!$B$38="pvp",15,MAX(0.1,Skills!D19-IF(Skills!E19=TRUE,Inputs!$B$32,0)))*(1-IF(AND(ArtifactsInput!$M$27,Inputs!$B$4="Chapter Hunt"),CHOOSE(ArtifactsInput!$N$27+1,20,24,28,32,36,40),0)/100)),0)</f>
        <v/>
      </c>
      <c r="R1690">
        <f>IF(AND(Inputs!$B$38&lt;&gt;"pvp",Inputs!$B$43&gt;0),IF(Inputs!$B$43&lt;=0,0,(INT(Inputs!$B$43/(IF(Inputs!$B$38="pvp",15,MAX(0.1,Skills!D19-IF(Skills!E19=TRUE,Inputs!$B$32,0)))*(1-IF(AND(ArtifactsInput!$M$27,Inputs!$B$4="Chapter Hunt"),CHOOSE(ArtifactsInput!$N$27+1,20,24,28,32,36,40),0)/100)))+1)),0)</f>
        <v/>
      </c>
      <c r="S1690">
        <f>IFERROR(O1690/N1690,0)</f>
        <v/>
      </c>
      <c r="T1690" t="n">
        <v>0</v>
      </c>
      <c r="V1690" t="n">
        <v>0</v>
      </c>
    </row>
    <row r="1691">
      <c r="A1691">
        <f>Skills!A20</f>
        <v/>
      </c>
      <c r="B1691">
        <f>Skills!B20</f>
        <v/>
      </c>
      <c r="C1691">
        <f>Inputs!$B$3&gt;=33</f>
        <v/>
      </c>
      <c r="D1691">
        <f>IF(Skills!C20=1,60+Inputs!$B$25+Inputs!$B$29,IF(Skills!C20=2,90+Inputs!$B$26+Inputs!$B$29,IF(Skills!C20=3,120+Inputs!$B$27+Inputs!$B$29,MAX(0,(Inputs!$B$3-100)*3)+Inputs!$B$28+Inputs!$B$29)))</f>
        <v/>
      </c>
      <c r="E1691">
        <f>INDEX(FactorTable!$B$2:$Y$301, MATCH(ROUND(MIN(300,MAX(1,D1691)),0), FactorTable!$A$2:$A$301,0), Skills!M20+1)</f>
        <v/>
      </c>
      <c r="F1691">
        <f>IF(Skills!N20=TRUE,(Skills!L20/10)*(E1691/1000),Skills!L20/10)+Skills!O20</f>
        <v/>
      </c>
      <c r="G1691">
        <f>Skills!G20*IF(Skills!H20&gt;0,Skills!I20/Skills!H20,1)</f>
        <v/>
      </c>
      <c r="H1691">
        <f>1-(1-Skills!J20/100)^Skills!K20</f>
        <v/>
      </c>
      <c r="I1691" t="inlineStr">
        <is>
          <t>1</t>
        </is>
      </c>
      <c r="J1691" t="inlineStr"/>
      <c r="K1691" t="inlineStr"/>
      <c r="L1691" t="inlineStr"/>
      <c r="M1691" t="inlineStr"/>
      <c r="N1691" t="inlineStr"/>
      <c r="O1691">
        <f>(1-Summary!$B$11)*T1691+Summary!$B$11*V1691</f>
        <v/>
      </c>
      <c r="P1691">
        <f>IF(B1708=0,0,O1691/B1708)</f>
        <v/>
      </c>
      <c r="Q1691" t="n">
        <v>0</v>
      </c>
      <c r="R1691" t="n">
        <v>0</v>
      </c>
      <c r="S1691">
        <f>IFERROR(O1691/N1691,0)</f>
        <v/>
      </c>
      <c r="T1691" t="n">
        <v>0</v>
      </c>
      <c r="V1691" t="n">
        <v>0</v>
      </c>
    </row>
    <row r="1692">
      <c r="A1692">
        <f>Skills!A21</f>
        <v/>
      </c>
      <c r="B1692">
        <f>Skills!B21</f>
        <v/>
      </c>
      <c r="C1692">
        <f>Inputs!$B$3&gt;=38</f>
        <v/>
      </c>
      <c r="D1692">
        <f>IF(Skills!C21=1,60+Inputs!$B$25+Inputs!$B$29,IF(Skills!C21=2,90+Inputs!$B$26+Inputs!$B$29,IF(Skills!C21=3,120+Inputs!$B$27+Inputs!$B$29,MAX(0,(Inputs!$B$3-100)*3)+Inputs!$B$28+Inputs!$B$29)))</f>
        <v/>
      </c>
      <c r="E1692">
        <f>INDEX(FactorTable!$B$2:$Y$301, MATCH(ROUND(MIN(300,MAX(1,D1692)),0), FactorTable!$A$2:$A$301,0), Skills!M21+1)</f>
        <v/>
      </c>
      <c r="F1692">
        <f>IF(Skills!N21=TRUE,(Skills!L21/10)*(E1692/1000),Skills!L21/10)+Skills!O21</f>
        <v/>
      </c>
      <c r="G1692">
        <f>Skills!G21*IF(Skills!H21&gt;0,Skills!I21/Skills!H21,1)</f>
        <v/>
      </c>
      <c r="H1692">
        <f>1-(1-Skills!J21/100)^Skills!K21</f>
        <v/>
      </c>
      <c r="I1692" t="inlineStr">
        <is>
          <t>1</t>
        </is>
      </c>
      <c r="J1692" t="inlineStr"/>
      <c r="K1692" t="inlineStr"/>
      <c r="L1692" t="inlineStr"/>
      <c r="M1692" t="inlineStr"/>
      <c r="N1692" t="inlineStr"/>
      <c r="O1692">
        <f>(1-Summary!$B$11)*T1692+Summary!$B$11*V1692</f>
        <v/>
      </c>
      <c r="P1692">
        <f>IF(B1708=0,0,O1692/B1708)</f>
        <v/>
      </c>
      <c r="Q1692" t="n">
        <v>0</v>
      </c>
      <c r="R1692" t="n">
        <v>0</v>
      </c>
      <c r="S1692">
        <f>IFERROR(O1692/N1692,0)</f>
        <v/>
      </c>
      <c r="T1692" t="n">
        <v>0</v>
      </c>
      <c r="V1692" t="n">
        <v>0</v>
      </c>
    </row>
    <row r="1693">
      <c r="A1693">
        <f>Skills!A22</f>
        <v/>
      </c>
      <c r="B1693">
        <f>Skills!B22</f>
        <v/>
      </c>
      <c r="C1693">
        <f>Inputs!$B$3&gt;=43</f>
        <v/>
      </c>
      <c r="D1693">
        <f>IF(Skills!C22=1,60+Inputs!$B$25+Inputs!$B$29,IF(Skills!C22=2,90+Inputs!$B$26+Inputs!$B$29,IF(Skills!C22=3,120+Inputs!$B$27+Inputs!$B$29,MAX(0,(Inputs!$B$3-100)*3)+Inputs!$B$28+Inputs!$B$29)))</f>
        <v/>
      </c>
      <c r="E1693">
        <f>INDEX(FactorTable!$B$2:$Y$301, MATCH(ROUND(MIN(300,MAX(1,D1693)),0), FactorTable!$A$2:$A$301,0), Skills!M22+1)</f>
        <v/>
      </c>
      <c r="F1693">
        <f>IF(Skills!N22=TRUE,(Skills!L22/10)*(E1693/1000),Skills!L22/10)+Skills!O22</f>
        <v/>
      </c>
      <c r="G1693">
        <f>Skills!G22*IF(Skills!H22&gt;0,Skills!I22/Skills!H22,1)</f>
        <v/>
      </c>
      <c r="H1693">
        <f>1-(1-Skills!J22/100)^Skills!K22</f>
        <v/>
      </c>
      <c r="I1693" t="inlineStr">
        <is>
          <t>1</t>
        </is>
      </c>
      <c r="J1693" t="inlineStr"/>
      <c r="K1693" t="inlineStr"/>
      <c r="L1693" t="inlineStr"/>
      <c r="M1693" t="inlineStr"/>
      <c r="N1693" t="inlineStr"/>
      <c r="O1693">
        <f>(1-Summary!$B$11)*T1693+Summary!$B$11*V1693</f>
        <v/>
      </c>
      <c r="P1693">
        <f>IF(B1708=0,0,O1693/B1708)</f>
        <v/>
      </c>
      <c r="Q1693" t="n">
        <v>0</v>
      </c>
      <c r="R1693" t="n">
        <v>0</v>
      </c>
      <c r="S1693">
        <f>IFERROR(O1693/N1693,0)</f>
        <v/>
      </c>
      <c r="T1693" t="n">
        <v>0</v>
      </c>
      <c r="V1693" t="n">
        <v>0</v>
      </c>
    </row>
    <row r="1694">
      <c r="A1694">
        <f>Skills!A23</f>
        <v/>
      </c>
      <c r="B1694">
        <f>Skills!B23</f>
        <v/>
      </c>
      <c r="C1694">
        <f>Inputs!$B$3&gt;=120</f>
        <v/>
      </c>
      <c r="D1694">
        <f>IF(Skills!C23=1,60+Inputs!$B$25+Inputs!$B$29,IF(Skills!C23=2,90+Inputs!$B$26+Inputs!$B$29,IF(Skills!C23=3,120+Inputs!$B$27+Inputs!$B$29,MAX(0,(Inputs!$B$3-100)*3)+Inputs!$B$28+Inputs!$B$29)))</f>
        <v/>
      </c>
      <c r="E1694">
        <f>INDEX(FactorTable!$B$2:$Y$301, MATCH(ROUND(MIN(300,MAX(1,D1694)),0), FactorTable!$A$2:$A$301,0), Skills!M23+1)</f>
        <v/>
      </c>
      <c r="F1694">
        <f>IF(Skills!N23=TRUE,(Skills!L23/10)*(E1694/1000),Skills!L23/10)+Skills!O23</f>
        <v/>
      </c>
      <c r="G1694">
        <f>Skills!G23*IF(Skills!H23&gt;0,Skills!I23/Skills!H23,1)</f>
        <v/>
      </c>
      <c r="H1694">
        <f>1-(1-Skills!J23/100)^Skills!K23</f>
        <v/>
      </c>
      <c r="I1694" t="inlineStr">
        <is>
          <t>1</t>
        </is>
      </c>
      <c r="J1694" t="inlineStr"/>
      <c r="K1694" t="inlineStr"/>
      <c r="L1694" t="inlineStr"/>
      <c r="M1694" t="inlineStr"/>
      <c r="N1694" t="inlineStr"/>
      <c r="O1694">
        <f>(1-Summary!$B$11)*T1694+Summary!$B$11*V1694</f>
        <v/>
      </c>
      <c r="P1694">
        <f>IF(B1708=0,0,O1694/B1708)</f>
        <v/>
      </c>
      <c r="Q1694" t="n">
        <v>0</v>
      </c>
      <c r="R1694" t="n">
        <v>0</v>
      </c>
      <c r="S1694">
        <f>IFERROR(O1694/N1694,0)</f>
        <v/>
      </c>
      <c r="T1694" t="n">
        <v>0</v>
      </c>
      <c r="V1694" t="n">
        <v>0</v>
      </c>
    </row>
    <row r="1695">
      <c r="A1695">
        <f>Skills!A24</f>
        <v/>
      </c>
      <c r="B1695">
        <f>Skills!B24</f>
        <v/>
      </c>
      <c r="C1695">
        <f>Inputs!$B$3&gt;=120</f>
        <v/>
      </c>
      <c r="D1695">
        <f>IF(Skills!C24=1,60+Inputs!$B$25+Inputs!$B$29,IF(Skills!C24=2,90+Inputs!$B$26+Inputs!$B$29,IF(Skills!C24=3,120+Inputs!$B$27+Inputs!$B$29,MAX(0,(Inputs!$B$3-100)*3)+Inputs!$B$28+Inputs!$B$29)))</f>
        <v/>
      </c>
      <c r="E1695">
        <f>INDEX(FactorTable!$B$2:$Y$301, MATCH(ROUND(MIN(300,MAX(1,D1695)),0), FactorTable!$A$2:$A$301,0), Skills!M24+1)</f>
        <v/>
      </c>
      <c r="F1695">
        <f>IF(Skills!N24=TRUE,(Skills!L24/10)*(E1695/1000),Skills!L24/10)+Skills!O24</f>
        <v/>
      </c>
      <c r="G1695">
        <f>Skills!G24*IF(Skills!H24&gt;0,Skills!I24/Skills!H24,1)</f>
        <v/>
      </c>
      <c r="H1695">
        <f>1-(1-Skills!J24/100)^Skills!K24</f>
        <v/>
      </c>
      <c r="I1695" t="inlineStr">
        <is>
          <t>1</t>
        </is>
      </c>
      <c r="J1695" t="inlineStr"/>
      <c r="K1695" t="inlineStr"/>
      <c r="L1695" t="inlineStr"/>
      <c r="M1695" t="inlineStr"/>
      <c r="N1695" t="inlineStr"/>
      <c r="O1695">
        <f>(1-Summary!$B$11)*T1695+Summary!$B$11*V1695</f>
        <v/>
      </c>
      <c r="P1695">
        <f>IF(B1708=0,0,O1695/B1708)</f>
        <v/>
      </c>
      <c r="Q1695" t="n">
        <v>0</v>
      </c>
      <c r="R1695" t="n">
        <v>0</v>
      </c>
      <c r="S1695">
        <f>IFERROR(O1695/N1695,0)</f>
        <v/>
      </c>
      <c r="T1695" t="n">
        <v>0</v>
      </c>
      <c r="V1695" t="n">
        <v>0</v>
      </c>
    </row>
    <row r="1697">
      <c r="A1697" t="inlineStr">
        <is>
          <t>Attack% Bucket Multiplier</t>
        </is>
      </c>
      <c r="B1697">
        <f>(1+(((C1684=TRUE)*F1684*MIN(1,Skills!T13*(Skills!J13/100)*B1702))+((C1689=TRUE)*F1689*IF(AND(Inputs!$B$38&lt;&gt;"pvp",Inputs!$B$43&gt;0),(((R1689-1)*(Skills!T18*(1+Inputs!$B$34/100))+MIN((Skills!T18*(1+Inputs!$B$34/100)),MAX(0,Inputs!$B$43-((R1689-1)*Skills!D18))))/Inputs!$B$43),IF(Inputs!$B$38="pvp",MIN((Skills!T18*(1+Inputs!$B$34/100)),15)/15,(Skills!T18*(1+Inputs!$B$34/100))/Skills!D18)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98">
      <c r="A1698" t="inlineStr">
        <is>
          <t>Global Crit Rate Bonus %</t>
        </is>
      </c>
      <c r="B1698" t="n">
        <v>0</v>
      </c>
    </row>
    <row r="1699">
      <c r="A1699" t="inlineStr">
        <is>
          <t>Attack Speed Buff Bonus %</t>
        </is>
      </c>
      <c r="B1699">
        <f>((C1690=TRUE)*F1690*IF(AND(Inputs!$B$38&lt;&gt;"pvp",Inputs!$B$43&gt;0),(((R1690-1)*(Skills!T19*(1+Inputs!$B$34/100))+MIN((Skills!T19*(1+Inputs!$B$34/100)),MAX(0,Inputs!$B$43-((R1690-1)*Skills!D19))))/Inputs!$B$43),IF(Inputs!$B$38="pvp",MIN((Skills!T19*(1+Inputs!$B$34/100)),15)/15,(Skills!T19*(1+Inputs!$B$34/100))/Skills!D19)))</f>
        <v/>
      </c>
    </row>
    <row r="1700">
      <c r="A1700" t="inlineStr">
        <is>
          <t>Actions Per Second</t>
        </is>
      </c>
      <c r="B1700">
        <f>1+MIN(150,150*(1-(1-(Inputs!$B$11+((C1691=TRUE)*(F1691-Calc!F20)))/150)*(1-B1699/150)))/100</f>
        <v/>
      </c>
    </row>
    <row r="1701">
      <c r="A1701" t="inlineStr">
        <is>
          <t>Skill + Buff Cast Rate</t>
        </is>
      </c>
      <c r="B1701">
        <f>IF(AND(Inputs!$B$38&lt;&gt;"pvp",Inputs!$B$43&gt;0),SUMPRODUCT((Skills!E2:E24=TRUE)*(C1673:C1695=TRUE)*R1673:R1695*Skills!F2:F24)/Inputs!$B$43,SUMPRODUCT((Skills!E2:E24=TRUE)*(C1673:C1695=TRUE)*Q1673:Q1695*Skills!F2:F24))</f>
        <v/>
      </c>
    </row>
    <row r="1702">
      <c r="A1702" t="inlineStr">
        <is>
          <t>Blast Casts Per Second</t>
        </is>
      </c>
      <c r="B1702">
        <f>MAX(0,B1700-B1701)</f>
        <v/>
      </c>
    </row>
    <row r="1703">
      <c r="A1703" t="inlineStr">
        <is>
          <t>Global Critical Damage Bonus % (unused)</t>
        </is>
      </c>
      <c r="B1703" t="n">
        <v>0</v>
      </c>
    </row>
    <row r="1704">
      <c r="A1704" t="inlineStr">
        <is>
          <t>Global Final Damage Bonus % (Divine Shield + Guardian + Divine Blessing + Greater Vessel of Light)</t>
        </is>
      </c>
      <c r="B1704">
        <f>((C1686=TRUE)*F1686*IF(AND(Inputs!$B$38&lt;&gt;"pvp",Inputs!$B$43&gt;0),(((R1686-1)*(Skills!T15*(1+Inputs!$B$34/100))+MIN((Skills!T15*(1+Inputs!$B$34/100)),MAX(0,Inputs!$B$43-((R1686-1)*Skills!D15))))/Inputs!$B$43),IF(Inputs!$B$38="pvp",MIN((Skills!T15*(1+Inputs!$B$34/100)),15)/15,(Skills!T15*(1+Inputs!$B$34/100))/Skills!D15)))+((C1687=TRUE)*F1687*IF(AND(Inputs!$B$38&lt;&gt;"pvp",Inputs!$B$43&gt;0),(((R1687-1)*(Skills!T16*(1+Inputs!$B$34/100))+MIN((Skills!T16*(1+Inputs!$B$34/100)),MAX(0,Inputs!$B$43-((R1687-1)*Skills!D16))))/Inputs!$B$43),IF(Inputs!$B$38="pvp",MIN((Skills!T16*(1+Inputs!$B$34/100)),15)/15,(Skills!T16*(1+Inputs!$B$34/100))/Skills!D16)))+((C1688=TRUE)*F1688*IF(AND(Inputs!$B$38&lt;&gt;"pvp",Inputs!$B$43&gt;0),(((R1688-1)*(Skills!T17*(1+Inputs!$B$34/100))+MIN((Skills!T17*(1+Inputs!$B$34/100)),MAX(0,Inputs!$B$43-((R1688-1)*Skills!D17))))/Inputs!$B$43),IF(Inputs!$B$38="pvp",MIN((Skills!T17*(1+Inputs!$B$34/100)),15)/15,(Skills!T17*(1+Inputs!$B$34/100))/Skills!D17)))+((C1685=TRUE)*F1685*MIN(1,Skills!T13*(Skills!J13/100)*B1702))</f>
        <v/>
      </c>
    </row>
    <row r="1705">
      <c r="A1705" t="inlineStr">
        <is>
          <t>Buff-Casting Startup Delay (s, fixed-duration only)</t>
        </is>
      </c>
      <c r="B1705">
        <f>IF(AND(Inputs!$B$38&lt;&gt;"pvp",Inputs!$B$43&gt;0),SUMPRODUCT((Skills!T2:T24&gt;0)*(Skills!E2:E24=TRUE)*(C1673:C1695=TRUE))/B1700,0)</f>
        <v/>
      </c>
    </row>
    <row r="1706">
      <c r="A1706" t="inlineStr">
        <is>
          <t>Boss-Only Total DPS (this block's swept value)</t>
        </is>
      </c>
      <c r="B1706">
        <f>SUM(T1673:T1695)</f>
        <v/>
      </c>
    </row>
    <row r="1707">
      <c r="A1707" t="inlineStr">
        <is>
          <t>Normal-Only Total DPS (this block's swept value)</t>
        </is>
      </c>
      <c r="B1707">
        <f>SUM(V1673:V1695)</f>
        <v/>
      </c>
    </row>
    <row r="1708">
      <c r="A1708" s="6" t="inlineStr">
        <is>
          <t>TOTAL DPS</t>
        </is>
      </c>
      <c r="B1708" s="6">
        <f>SUM(O1673:O1695)</f>
        <v/>
      </c>
    </row>
    <row r="1711">
      <c r="A1711" s="6" t="inlineStr">
        <is>
          <t>Stat: Silver Pendant (Equip)</t>
        </is>
      </c>
    </row>
    <row r="1712">
      <c r="A1712" s="5" t="inlineStr">
        <is>
          <t>Key</t>
        </is>
      </c>
      <c r="B1712" s="5" t="inlineStr">
        <is>
          <t>Name</t>
        </is>
      </c>
      <c r="C1712" s="5" t="inlineStr">
        <is>
          <t>Unlocked</t>
        </is>
      </c>
      <c r="D1712" s="5" t="inlineStr">
        <is>
          <t>InputLevel</t>
        </is>
      </c>
      <c r="E1712" s="5" t="inlineStr">
        <is>
          <t>Factor</t>
        </is>
      </c>
      <c r="F1712" s="5" t="inlineStr">
        <is>
          <t>CoefficientPercent</t>
        </is>
      </c>
      <c r="G1712" s="5" t="inlineStr">
        <is>
          <t>EffectiveHits</t>
        </is>
      </c>
      <c r="H1712" s="5" t="inlineStr">
        <is>
          <t>ProcProbability</t>
        </is>
      </c>
      <c r="I1712" s="5" t="inlineStr">
        <is>
          <t>MapleHeroMultiplier</t>
        </is>
      </c>
      <c r="J1712" s="5" t="inlineStr">
        <is>
          <t>BaseDamage</t>
        </is>
      </c>
      <c r="K1712" s="5" t="inlineStr">
        <is>
          <t>BaseHitDamage</t>
        </is>
      </c>
      <c r="L1712" s="5" t="inlineStr">
        <is>
          <t>NonCritAvg</t>
        </is>
      </c>
      <c r="M1712" s="5" t="inlineStr">
        <is>
          <t>CritAvg</t>
        </is>
      </c>
      <c r="N1712" s="5" t="inlineStr">
        <is>
          <t>ExpectedDamage(perHit)</t>
        </is>
      </c>
      <c r="O1712" s="5" t="inlineStr">
        <is>
          <t>DPS</t>
        </is>
      </c>
      <c r="P1712" s="5" t="inlineStr">
        <is>
          <t>% of Total</t>
        </is>
      </c>
      <c r="Q1712" s="5" t="inlineStr">
        <is>
          <t>InvCooldown</t>
        </is>
      </c>
      <c r="R1712" s="5" t="inlineStr">
        <is>
          <t>CastsInFight</t>
        </is>
      </c>
      <c r="S1712" s="5" t="inlineStr">
        <is>
          <t>HitRate(perSec)</t>
        </is>
      </c>
      <c r="U1712" t="inlineStr">
        <is>
          <t>helpers</t>
        </is>
      </c>
    </row>
    <row r="1713">
      <c r="A1713">
        <f>Skills!A2</f>
        <v/>
      </c>
      <c r="B1713">
        <f>Skills!B2</f>
        <v/>
      </c>
      <c r="C1713">
        <f>Inputs!$B$3&gt;=100</f>
        <v/>
      </c>
      <c r="D1713" t="inlineStr"/>
      <c r="E1713" t="inlineStr"/>
      <c r="F1713">
        <f>U1715+Skills!O2</f>
        <v/>
      </c>
      <c r="G1713">
        <f>Skills!G2*IF(Skills!H2&gt;0,Skills!I2/Skills!H2,1)</f>
        <v/>
      </c>
      <c r="H1713">
        <f>1-(1-Skills!J2/100)^Skills!K2</f>
        <v/>
      </c>
      <c r="I1713" t="inlineStr">
        <is>
          <t>1</t>
        </is>
      </c>
      <c r="J1713">
        <f>((Inputs!$B$6*(1+Inputs!$B$7/100))+(((Inputs!$B$12*(1+Inputs!$B$13/100))-(Inputs!$B$12*(1+Inputs!$B$13/100)))+0.25*(Inputs!$B$14-Inputs!$B$14))*(1+Inputs!$B$7/100))*(F1713/100)</f>
        <v/>
      </c>
      <c r="K1713">
        <f>J1713*(1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1713)</f>
        <v/>
      </c>
      <c r="L1713">
        <f>K1713*(MIN(Inputs!$B$22+((C1733=TRUE)*(F1733-Calc!F22)),(Inputs!$B$23+((C1735=TRUE)*(F1735-Calc!F24))+(IF(ArtifactsInput!$M$15,CHOOSE(ArtifactsInput!$N$15+1,25,30,35,40,45,50)/100*(Inputs!$B$11-Inputs!$B$11),0))))/100+(Inputs!$B$23+((C1735=TRUE)*(F1735-Calc!F24))+(IF(ArtifactsInput!$M$15,CHOOSE(ArtifactsInput!$N$15+1,25,30,35,40,45,50)/100*(Inputs!$B$11-Inputs!$B$11),0)))/100)/2</f>
        <v/>
      </c>
      <c r="M1713">
        <f>L1713*(1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3">
        <f>L1713*(1-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1713*(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3">
        <f>(1-Summary!$B$11)*T1713+Summary!$B$11*V1713</f>
        <v/>
      </c>
      <c r="P1713">
        <f>IF(B1748=0,0,O1713/B1748)</f>
        <v/>
      </c>
      <c r="Q1713" t="n">
        <v>0</v>
      </c>
      <c r="R1713" t="n">
        <v>0</v>
      </c>
      <c r="S1713">
        <f>IFERROR(O1713/N1713,0)</f>
        <v/>
      </c>
      <c r="T1713">
        <f>IF(C1713,(Skills!G2*N1713*B1742)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1713*(1-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1713*(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1713*(1-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1713*(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3">
        <f>MAX(0,(Inputs!$B$3-100)*3)+Inputs!$B$28+Inputs!$B$29</f>
        <v/>
      </c>
      <c r="V1713">
        <f>IF(C1713,(Skills!G2*N1713*B1742)*IF(Inputs!$B$38="pvp",1,(1+(Inputs!$B$21+Skills!Q2+(IF(ArtifactsInput!$M$33,CHOOSE(ArtifactsInput!$N$33+1,30,36,42,48,54,60),0))+(IF(AND(ArtifactsInput!$M$35,Inputs!$B$4&lt;&gt;"Chapter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4">
      <c r="A1714">
        <f>Skills!A3</f>
        <v/>
      </c>
      <c r="B1714">
        <f>Skills!B3</f>
        <v/>
      </c>
      <c r="C1714">
        <f>Inputs!$B$3&gt;=50</f>
        <v/>
      </c>
      <c r="D1714">
        <f>IF(Skills!C3=1,60+Inputs!$B$25+Inputs!$B$29,IF(Skills!C3=2,90+Inputs!$B$26+Inputs!$B$29,IF(Skills!C3=3,120+Inputs!$B$27+Inputs!$B$29,MAX(0,(Inputs!$B$3-100)*3)+Inputs!$B$28+Inputs!$B$29)))</f>
        <v/>
      </c>
      <c r="E1714">
        <f>INDEX(FactorTable!$B$2:$Y$301, MATCH(ROUND(MIN(300,MAX(1,D1714)),0), FactorTable!$A$2:$A$301,0), Skills!M3+1)</f>
        <v/>
      </c>
      <c r="F1714">
        <f>IF(Skills!N3=TRUE,(Skills!L3/10)*(E1714/1000),Skills!L3/10)+Skills!O3</f>
        <v/>
      </c>
      <c r="G1714" t="inlineStr"/>
      <c r="H1714" t="inlineStr"/>
      <c r="I1714" t="inlineStr">
        <is>
          <t>1</t>
        </is>
      </c>
      <c r="J1714" t="inlineStr"/>
      <c r="K1714" t="inlineStr"/>
      <c r="L1714" t="inlineStr"/>
      <c r="M1714" t="inlineStr"/>
      <c r="N1714" t="inlineStr"/>
      <c r="O1714" t="inlineStr"/>
      <c r="P1714" t="inlineStr"/>
      <c r="Q1714" t="inlineStr"/>
      <c r="R1714" t="inlineStr"/>
      <c r="S1714" t="inlineStr"/>
      <c r="U1714">
        <f>INDEX(FactorTable!$B$2:$Y$301, MATCH(ROUND(MIN(300,MAX(1,U1713)),0), FactorTable!$A$2:$A$301,0), 22)</f>
        <v/>
      </c>
    </row>
    <row r="1715">
      <c r="A1715">
        <f>Skills!A4</f>
        <v/>
      </c>
      <c r="B1715">
        <f>Skills!B4</f>
        <v/>
      </c>
      <c r="C1715">
        <f>Inputs!$B$3&gt;=35</f>
        <v/>
      </c>
      <c r="D1715">
        <f>IF(Skills!C4=1,60+Inputs!$B$25+Inputs!$B$29,IF(Skills!C4=2,90+Inputs!$B$26+Inputs!$B$29,IF(Skills!C4=3,120+Inputs!$B$27+Inputs!$B$29,MAX(0,(Inputs!$B$3-100)*3)+Inputs!$B$28+Inputs!$B$29)))</f>
        <v/>
      </c>
      <c r="E1715">
        <f>INDEX(FactorTable!$B$2:$Y$301, MATCH(ROUND(MIN(300,MAX(1,D1715)),0), FactorTable!$A$2:$A$301,0), Skills!M4+1)</f>
        <v/>
      </c>
      <c r="F1715">
        <f>IF(Skills!N4=TRUE,(Skills!L4/10)*(E1715/1000),Skills!L4/10)+Skills!O4</f>
        <v/>
      </c>
      <c r="G1715">
        <f>Skills!G4*IF(Skills!H4&gt;0,Skills!I4/Skills!H4,1)</f>
        <v/>
      </c>
      <c r="H1715">
        <f>1-(1-Skills!J4/100)^Skills!K4</f>
        <v/>
      </c>
      <c r="I1715" t="inlineStr">
        <is>
          <t>1</t>
        </is>
      </c>
      <c r="J1715">
        <f>((Inputs!$B$6*(1+Inputs!$B$7/100))+(((Inputs!$B$12*(1+Inputs!$B$13/100))-(Inputs!$B$12*(1+Inputs!$B$13/100)))+0.25*(Inputs!$B$14-Inputs!$B$14))*(1+Inputs!$B$7/100))*(F1715/100)</f>
        <v/>
      </c>
      <c r="K1715">
        <f>J1715*(1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1723=TRUE,F1723,0)/100)*(1+(IF(Skills!A4="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1715)</f>
        <v/>
      </c>
      <c r="L1715">
        <f>K1715*(MIN(Inputs!$B$22+((C1733=TRUE)*(F1733-Calc!F22)),(Inputs!$B$23+((C1735=TRUE)*(F1735-Calc!F24))+(IF(ArtifactsInput!$M$15,CHOOSE(ArtifactsInput!$N$15+1,25,30,35,40,45,50)/100*(Inputs!$B$11-Inputs!$B$11),0))))/100+(Inputs!$B$23+((C1735=TRUE)*(F1735-Calc!F24))+(IF(ArtifactsInput!$M$15,CHOOSE(ArtifactsInput!$N$15+1,25,30,35,40,45,50)/100*(Inputs!$B$11-Inputs!$B$11),0)))/100)/2</f>
        <v/>
      </c>
      <c r="M1715">
        <f>L1715*(1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5">
        <f>L1715*(1-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1715*(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5">
        <f>(1-Summary!$B$11)*T1715+Summary!$B$11*V1715</f>
        <v/>
      </c>
      <c r="P1715">
        <f>IF(B1748=0,0,O1715/B1748)</f>
        <v/>
      </c>
      <c r="Q1715">
        <f>IFERROR(1/(IF(Inputs!$B$38="pvp",15,MAX(0.1,Skills!D4-IF(Skills!E4=TRUE,Inputs!$B$32,0)))*(1-IF(AND(ArtifactsInput!$M$27,Inputs!$B$4="Chapter Hunt"),CHOOSE(ArtifactsInput!$N$27+1,20,24,28,32,36,40),0)/100)),0)</f>
        <v/>
      </c>
      <c r="R1715">
        <f>IF(AND(Inputs!$B$38&lt;&gt;"pvp",Inputs!$B$43&gt;0),IF(MAX(0,Inputs!$B$43-B1745)&lt;=0,0,(INT(MAX(0,Inputs!$B$43-B1745)/(IF(Inputs!$B$38="pvp",15,MAX(0.1,Skills!D4-IF(Skills!E4=TRUE,Inputs!$B$32,0)))*(1-IF(AND(ArtifactsInput!$M$27,Inputs!$B$4="Chapter Hunt"),CHOOSE(ArtifactsInput!$N$27+1,20,24,28,32,36,40),0)/100)))+1)),0)</f>
        <v/>
      </c>
      <c r="S1715">
        <f>IFERROR(O1715/N1715,0)</f>
        <v/>
      </c>
      <c r="T1715">
        <f>IF(C1715,(H1715*N1715*IF(AND(Inputs!$B$38&lt;&gt;"pvp",Inputs!$B$43&gt;0),((Skills!G4*((R1715-1)*IF(Skills!H4&gt;0,Skills!I4/Skills!H4,1)+IF(Skills!H4&gt;0,MIN(Skills!I4,MAX(0,MAX(0,Inputs!$B$43-B1745)-((R1715-1)*(IF(Inputs!$B$38="pvp",15,MAX(0.1,Skills!D4-IF(Skills!E4=TRUE,Inputs!$B$32,0)))*(1-IF(AND(ArtifactsInput!$M$27,Inputs!$B$4="Chapter Hunt"),CHOOSE(ArtifactsInput!$N$27+1,20,24,28,32,36,40),0)/100)))))/Skills!H4,1)))/Inputs!$B$43),G1715*Q1715)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1715*(1-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1715*(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1715*(1-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1715*(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5">
        <f>290*U1714/1000</f>
        <v/>
      </c>
      <c r="V1715">
        <f>IF(C1715,(H1715*N1715*IF(AND(Inputs!$B$38&lt;&gt;"pvp",Inputs!$B$43&gt;0),((Skills!G4*((R1715-1)*IF(Skills!H4&gt;0,Skills!I4/Skills!H4,1)+IF(Skills!H4&gt;0,MIN(Skills!I4,MAX(0,MAX(0,Inputs!$B$43-B1745)-((R1715-1)*(IF(Inputs!$B$38="pvp",15,MAX(0.1,Skills!D4-IF(Skills!E4=TRUE,Inputs!$B$32,0)))*(1-IF(AND(ArtifactsInput!$M$27,Inputs!$B$4="Chapter Hunt"),CHOOSE(ArtifactsInput!$N$27+1,20,24,28,32,36,40),0)/100)))))/Skills!H4,1)))/Inputs!$B$43),G1715*Q1715))*IF(Inputs!$B$38="pvp",1,(1+(Inputs!$B$21+Skills!Q4+(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6">
      <c r="A1716">
        <f>Skills!A5</f>
        <v/>
      </c>
      <c r="B1716">
        <f>Skills!B5</f>
        <v/>
      </c>
      <c r="C1716">
        <f>Inputs!$B$3&gt;=66</f>
        <v/>
      </c>
      <c r="D1716">
        <f>IF(Skills!C5=1,60+Inputs!$B$25+Inputs!$B$29,IF(Skills!C5=2,90+Inputs!$B$26+Inputs!$B$29,IF(Skills!C5=3,120+Inputs!$B$27+Inputs!$B$29,MAX(0,(Inputs!$B$3-100)*3)+Inputs!$B$28+Inputs!$B$29)))</f>
        <v/>
      </c>
      <c r="E1716">
        <f>INDEX(FactorTable!$B$2:$Y$301, MATCH(ROUND(MIN(300,MAX(1,D1716)),0), FactorTable!$A$2:$A$301,0), Skills!M5+1)</f>
        <v/>
      </c>
      <c r="F1716">
        <f>IF(Skills!N5=TRUE,(Skills!L5/10)*(E1716/1000),Skills!L5/10)+Skills!O5</f>
        <v/>
      </c>
      <c r="G1716">
        <f>Skills!G5*IF(Skills!H5&gt;0,Skills!I5/Skills!H5,1)</f>
        <v/>
      </c>
      <c r="H1716">
        <f>1-(1-Skills!J5/100)^Skills!K5</f>
        <v/>
      </c>
      <c r="I1716" t="inlineStr">
        <is>
          <t>1</t>
        </is>
      </c>
      <c r="J1716">
        <f>((Inputs!$B$6*(1+Inputs!$B$7/100))+(((Inputs!$B$12*(1+Inputs!$B$13/100))-(Inputs!$B$12*(1+Inputs!$B$13/100)))+0.25*(Inputs!$B$14-Inputs!$B$14))*(1+Inputs!$B$7/100))*(F1716/100)</f>
        <v/>
      </c>
      <c r="K1716">
        <f>J1716*(1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1723=TRUE,F1723,0)/100)*(1+(IF(Skills!A5="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1716)</f>
        <v/>
      </c>
      <c r="L1716">
        <f>K1716*(MIN(Inputs!$B$22+((C1733=TRUE)*(F1733-Calc!F22)),(Inputs!$B$23+((C1735=TRUE)*(F1735-Calc!F24))+(IF(ArtifactsInput!$M$15,CHOOSE(ArtifactsInput!$N$15+1,25,30,35,40,45,50)/100*(Inputs!$B$11-Inputs!$B$11),0))))/100+(Inputs!$B$23+((C1735=TRUE)*(F1735-Calc!F24))+(IF(ArtifactsInput!$M$15,CHOOSE(ArtifactsInput!$N$15+1,25,30,35,40,45,50)/100*(Inputs!$B$11-Inputs!$B$11),0)))/100)/2</f>
        <v/>
      </c>
      <c r="M1716">
        <f>L1716*(1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6">
        <f>L1716*(1-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1716*(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6">
        <f>(1-Summary!$B$11)*T1716+Summary!$B$11*V1716</f>
        <v/>
      </c>
      <c r="P1716">
        <f>IF(B1748=0,0,O1716/B1748)</f>
        <v/>
      </c>
      <c r="Q1716">
        <f>IFERROR(1/(IF(Inputs!$B$38="pvp",15,MAX(0.1,Skills!D5-IF(Skills!E5=TRUE,Inputs!$B$32,0)))*(1-IF(AND(ArtifactsInput!$M$27,Inputs!$B$4="Chapter Hunt"),CHOOSE(ArtifactsInput!$N$27+1,20,24,28,32,36,40),0)/100)),0)</f>
        <v/>
      </c>
      <c r="R1716">
        <f>IF(AND(Inputs!$B$38&lt;&gt;"pvp",Inputs!$B$43&gt;0),IF(MAX(0,Inputs!$B$43-B1745)&lt;=0,0,(INT(MAX(0,Inputs!$B$43-B1745)/(IF(Inputs!$B$38="pvp",15,MAX(0.1,Skills!D5-IF(Skills!E5=TRUE,Inputs!$B$32,0)))*(1-IF(AND(ArtifactsInput!$M$27,Inputs!$B$4="Chapter Hunt"),CHOOSE(ArtifactsInput!$N$27+1,20,24,28,32,36,40),0)/100)))+1)),0)</f>
        <v/>
      </c>
      <c r="S1716">
        <f>IFERROR(O1716/N1716,0)</f>
        <v/>
      </c>
      <c r="T1716">
        <f>IF(C1716,(H1716*N1716*IF(AND(Inputs!$B$38&lt;&gt;"pvp",Inputs!$B$43&gt;0),((Skills!G5*((R1716-1)*IF(Skills!H5&gt;0,Skills!I5/Skills!H5,1)+IF(Skills!H5&gt;0,MIN(Skills!I5,MAX(0,MAX(0,Inputs!$B$43-B1745)-((R1716-1)*(IF(Inputs!$B$38="pvp",15,MAX(0.1,Skills!D5-IF(Skills!E5=TRUE,Inputs!$B$32,0)))*(1-IF(AND(ArtifactsInput!$M$27,Inputs!$B$4="Chapter Hunt"),CHOOSE(ArtifactsInput!$N$27+1,20,24,28,32,36,40),0)/100)))))/Skills!H5,1)))/Inputs!$B$43),G1716*Q1716)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1716*(1-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1716*(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1716*(1-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1716*(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6">
        <f>IF(C1716,(H1716*N1716*IF(AND(Inputs!$B$38&lt;&gt;"pvp",Inputs!$B$43&gt;0),((Skills!G5*((R1716-1)*IF(Skills!H5&gt;0,Skills!I5/Skills!H5,1)+IF(Skills!H5&gt;0,MIN(Skills!I5,MAX(0,MAX(0,Inputs!$B$43-B1745)-((R1716-1)*(IF(Inputs!$B$38="pvp",15,MAX(0.1,Skills!D5-IF(Skills!E5=TRUE,Inputs!$B$32,0)))*(1-IF(AND(ArtifactsInput!$M$27,Inputs!$B$4="Chapter Hunt"),CHOOSE(ArtifactsInput!$N$27+1,20,24,28,32,36,40),0)/100)))))/Skills!H5,1)))/Inputs!$B$43),G1716*Q1716))*IF(Inputs!$B$38="pvp",1,(1+(Inputs!$B$21+Skills!Q5+(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7">
      <c r="A1717">
        <f>Skills!A6</f>
        <v/>
      </c>
      <c r="B1717">
        <f>Skills!B6</f>
        <v/>
      </c>
      <c r="C1717">
        <f>Inputs!$B$3&gt;=103</f>
        <v/>
      </c>
      <c r="D1717">
        <f>IF(Skills!C6=1,60+Inputs!$B$25+Inputs!$B$29,IF(Skills!C6=2,90+Inputs!$B$26+Inputs!$B$29,IF(Skills!C6=3,120+Inputs!$B$27+Inputs!$B$29,MAX(0,(Inputs!$B$3-100)*3)+Inputs!$B$28+Inputs!$B$29)))</f>
        <v/>
      </c>
      <c r="E1717">
        <f>INDEX(FactorTable!$B$2:$Y$301, MATCH(ROUND(MIN(300,MAX(1,D1717)),0), FactorTable!$A$2:$A$301,0), Skills!M6+1)</f>
        <v/>
      </c>
      <c r="F1717">
        <f>IF(Skills!N6=TRUE,(Skills!L6/10)*(E1717/1000),Skills!L6/10)+Skills!O6</f>
        <v/>
      </c>
      <c r="G1717">
        <f>Skills!G6*IF(Skills!H6&gt;0,Skills!I6/Skills!H6,1)</f>
        <v/>
      </c>
      <c r="H1717">
        <f>1-(1-Skills!J6/100)^Skills!K6</f>
        <v/>
      </c>
      <c r="I1717" t="inlineStr">
        <is>
          <t>1</t>
        </is>
      </c>
      <c r="J1717">
        <f>((Inputs!$B$6*(1+Inputs!$B$7/100))+(((Inputs!$B$12*(1+Inputs!$B$13/100))-(Inputs!$B$12*(1+Inputs!$B$13/100)))+0.25*(Inputs!$B$14-Inputs!$B$14))*(1+Inputs!$B$7/100))*(F1717/100)</f>
        <v/>
      </c>
      <c r="K1717">
        <f>J1717*(1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1717)</f>
        <v/>
      </c>
      <c r="L1717">
        <f>K1717*(MIN(Inputs!$B$22+((C1733=TRUE)*(F1733-Calc!F22)),(Inputs!$B$23+((C1735=TRUE)*(F1735-Calc!F24))+(IF(ArtifactsInput!$M$15,CHOOSE(ArtifactsInput!$N$15+1,25,30,35,40,45,50)/100*(Inputs!$B$11-Inputs!$B$11),0))))/100+(Inputs!$B$23+((C1735=TRUE)*(F1735-Calc!F24))+(IF(ArtifactsInput!$M$15,CHOOSE(ArtifactsInput!$N$15+1,25,30,35,40,45,50)/100*(Inputs!$B$11-Inputs!$B$11),0)))/100)/2</f>
        <v/>
      </c>
      <c r="M1717">
        <f>L1717*(1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7">
        <f>L1717*(1-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1717*(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7">
        <f>(1-Summary!$B$11)*T1717+Summary!$B$11*V1717</f>
        <v/>
      </c>
      <c r="P1717">
        <f>IF(B1748=0,0,O1717/B1748)</f>
        <v/>
      </c>
      <c r="Q1717">
        <f>IFERROR(1/(IF(Inputs!$B$38="pvp",15,MAX(0.1,Skills!D6-IF(Skills!E6=TRUE,Inputs!$B$32,0)))*(1-IF(AND(ArtifactsInput!$M$27,Inputs!$B$4="Chapter Hunt"),CHOOSE(ArtifactsInput!$N$27+1,20,24,28,32,36,40),0)/100)),0)</f>
        <v/>
      </c>
      <c r="R1717">
        <f>IF(AND(Inputs!$B$38&lt;&gt;"pvp",Inputs!$B$43&gt;0),IF(MAX(0,Inputs!$B$43-B1745)&lt;=0,0,(INT(MAX(0,Inputs!$B$43-B1745)/(IF(Inputs!$B$38="pvp",15,MAX(0.1,Skills!D6-IF(Skills!E6=TRUE,Inputs!$B$32,0)))*(1-IF(AND(ArtifactsInput!$M$27,Inputs!$B$4="Chapter Hunt"),CHOOSE(ArtifactsInput!$N$27+1,20,24,28,32,36,40),0)/100)))+1)),0)</f>
        <v/>
      </c>
      <c r="S1717">
        <f>IFERROR(O1717/N1717,0)</f>
        <v/>
      </c>
      <c r="T1717">
        <f>IF(C1717,(H1717*N1717*IF(AND(Inputs!$B$38&lt;&gt;"pvp",Inputs!$B$43&gt;0),((Skills!G6*((R1717-1)*IF(Skills!H6&gt;0,Skills!I6/Skills!H6,1)+IF(Skills!H6&gt;0,MIN(Skills!I6,MAX(0,MAX(0,Inputs!$B$43-B1745)-((R1717-1)*(IF(Inputs!$B$38="pvp",15,MAX(0.1,Skills!D6-IF(Skills!E6=TRUE,Inputs!$B$32,0)))*(1-IF(AND(ArtifactsInput!$M$27,Inputs!$B$4="Chapter Hunt"),CHOOSE(ArtifactsInput!$N$27+1,20,24,28,32,36,40),0)/100)))))/Skills!H6,1)))/Inputs!$B$43),G1717*Q1717)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1717*(1-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1717*(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1717*(1-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1717*(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7">
        <f>IF(C1717,(H1717*N1717*IF(AND(Inputs!$B$38&lt;&gt;"pvp",Inputs!$B$43&gt;0),((Skills!G6*((R1717-1)*IF(Skills!H6&gt;0,Skills!I6/Skills!H6,1)+IF(Skills!H6&gt;0,MIN(Skills!I6,MAX(0,MAX(0,Inputs!$B$43-B1745)-((R1717-1)*(IF(Inputs!$B$38="pvp",15,MAX(0.1,Skills!D6-IF(Skills!E6=TRUE,Inputs!$B$32,0)))*(1-IF(AND(ArtifactsInput!$M$27,Inputs!$B$4="Chapter Hunt"),CHOOSE(ArtifactsInput!$N$27+1,20,24,28,32,36,40),0)/100)))))/Skills!H6,1)))/Inputs!$B$43),G1717*Q1717))*IF(Inputs!$B$38="pvp",1,(1+(Inputs!$B$21+Skills!Q6+(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8">
      <c r="A1718">
        <f>Skills!A7</f>
        <v/>
      </c>
      <c r="B1718">
        <f>Skills!B7</f>
        <v/>
      </c>
      <c r="C1718">
        <f>Inputs!$B$3&gt;=107</f>
        <v/>
      </c>
      <c r="D1718">
        <f>IF(Skills!C7=1,60+Inputs!$B$25+Inputs!$B$29,IF(Skills!C7=2,90+Inputs!$B$26+Inputs!$B$29,IF(Skills!C7=3,120+Inputs!$B$27+Inputs!$B$29,MAX(0,(Inputs!$B$3-100)*3)+Inputs!$B$28+Inputs!$B$29)))</f>
        <v/>
      </c>
      <c r="E1718">
        <f>INDEX(FactorTable!$B$2:$Y$301, MATCH(ROUND(MIN(300,MAX(1,D1718)),0), FactorTable!$A$2:$A$301,0), Skills!M7+1)</f>
        <v/>
      </c>
      <c r="F1718">
        <f>IF(Skills!N7=TRUE,(Skills!L7/10)*(E1718/1000),Skills!L7/10)+Skills!O7</f>
        <v/>
      </c>
      <c r="G1718">
        <f>Skills!G7*IF(Skills!H7&gt;0,Skills!I7/Skills!H7,1)</f>
        <v/>
      </c>
      <c r="H1718">
        <f>1-(1-Skills!J7/100)^Skills!K7</f>
        <v/>
      </c>
      <c r="I1718" t="inlineStr">
        <is>
          <t>1</t>
        </is>
      </c>
      <c r="J1718">
        <f>((Inputs!$B$6*(1+Inputs!$B$7/100))+(((Inputs!$B$12*(1+Inputs!$B$13/100))-(Inputs!$B$12*(1+Inputs!$B$13/100)))+0.25*(Inputs!$B$14-Inputs!$B$14))*(1+Inputs!$B$7/100))*(F1718/100)</f>
        <v/>
      </c>
      <c r="K1718">
        <f>J1718*(1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1718)</f>
        <v/>
      </c>
      <c r="L1718">
        <f>K1718*(MIN(Inputs!$B$22+((C1733=TRUE)*(F1733-Calc!F22)),(Inputs!$B$23+((C1735=TRUE)*(F1735-Calc!F24))+(IF(ArtifactsInput!$M$15,CHOOSE(ArtifactsInput!$N$15+1,25,30,35,40,45,50)/100*(Inputs!$B$11-Inputs!$B$11),0))))/100+(Inputs!$B$23+((C1735=TRUE)*(F1735-Calc!F24))+(IF(ArtifactsInput!$M$15,CHOOSE(ArtifactsInput!$N$15+1,25,30,35,40,45,50)/100*(Inputs!$B$11-Inputs!$B$11),0)))/100)/2</f>
        <v/>
      </c>
      <c r="M1718">
        <f>L1718*(1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8">
        <f>L1718*(1-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1718*(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8">
        <f>(1-Summary!$B$11)*T1718+Summary!$B$11*V1718</f>
        <v/>
      </c>
      <c r="P1718">
        <f>IF(B1748=0,0,O1718/B1748)</f>
        <v/>
      </c>
      <c r="Q1718">
        <f>IFERROR(1/(IF(Inputs!$B$38="pvp",15,MAX(0.1,Skills!D7-IF(Skills!E7=TRUE,Inputs!$B$32,0)))*(1-IF(AND(ArtifactsInput!$M$27,Inputs!$B$4="Chapter Hunt"),CHOOSE(ArtifactsInput!$N$27+1,20,24,28,32,36,40),0)/100)),0)</f>
        <v/>
      </c>
      <c r="R1718">
        <f>IF(AND(Inputs!$B$38&lt;&gt;"pvp",Inputs!$B$43&gt;0),IF(MAX(0,Inputs!$B$43-B1745)&lt;=0,0,(INT(MAX(0,Inputs!$B$43-B1745)/(IF(Inputs!$B$38="pvp",15,MAX(0.1,Skills!D7-IF(Skills!E7=TRUE,Inputs!$B$32,0)))*(1-IF(AND(ArtifactsInput!$M$27,Inputs!$B$4="Chapter Hunt"),CHOOSE(ArtifactsInput!$N$27+1,20,24,28,32,36,40),0)/100)))+1)),0)</f>
        <v/>
      </c>
      <c r="S1718">
        <f>IFERROR(O1718/N1718,0)</f>
        <v/>
      </c>
      <c r="T1718">
        <f>IF(C1718,(H1718*N1718*IF(AND(Inputs!$B$38&lt;&gt;"pvp",Inputs!$B$43&gt;0),((Skills!G7*((R1718-1)*IF(Skills!H7&gt;0,Skills!I7/Skills!H7,1)+IF(Skills!H7&gt;0,MIN(Skills!I7,MAX(0,MAX(0,Inputs!$B$43-B1745)-((R1718-1)*(IF(Inputs!$B$38="pvp",15,MAX(0.1,Skills!D7-IF(Skills!E7=TRUE,Inputs!$B$32,0)))*(1-IF(AND(ArtifactsInput!$M$27,Inputs!$B$4="Chapter Hunt"),CHOOSE(ArtifactsInput!$N$27+1,20,24,28,32,36,40),0)/100)))))/Skills!H7,1)))/Inputs!$B$43),G1718*Q1718)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1718*(1-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1718*(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1718*(1-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1718*(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8">
        <f>IF(C1718,(H1718*N1718*IF(AND(Inputs!$B$38&lt;&gt;"pvp",Inputs!$B$43&gt;0),((Skills!G7*((R1718-1)*IF(Skills!H7&gt;0,Skills!I7/Skills!H7,1)+IF(Skills!H7&gt;0,MIN(Skills!I7,MAX(0,MAX(0,Inputs!$B$43-B1745)-((R1718-1)*(IF(Inputs!$B$38="pvp",15,MAX(0.1,Skills!D7-IF(Skills!E7=TRUE,Inputs!$B$32,0)))*(1-IF(AND(ArtifactsInput!$M$27,Inputs!$B$4="Chapter Hunt"),CHOOSE(ArtifactsInput!$N$27+1,20,24,28,32,36,40),0)/100)))))/Skills!H7,1)))/Inputs!$B$43),G1718*Q1718))*IF(Inputs!$B$38="pvp",1,(1+(Inputs!$B$21+Skills!Q7+(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9">
      <c r="A1719">
        <f>Skills!A8</f>
        <v/>
      </c>
      <c r="B1719">
        <f>Skills!B8</f>
        <v/>
      </c>
      <c r="C1719">
        <f>Inputs!$B$3&gt;=107</f>
        <v/>
      </c>
      <c r="D1719">
        <f>IF(Skills!C8=1,60+Inputs!$B$25+Inputs!$B$29,IF(Skills!C8=2,90+Inputs!$B$26+Inputs!$B$29,IF(Skills!C8=3,120+Inputs!$B$27+Inputs!$B$29,MAX(0,(Inputs!$B$3-100)*3)+Inputs!$B$28+Inputs!$B$29)))</f>
        <v/>
      </c>
      <c r="E1719">
        <f>INDEX(FactorTable!$B$2:$Y$301, MATCH(ROUND(MIN(300,MAX(1,D1719)),0), FactorTable!$A$2:$A$301,0), Skills!M8+1)</f>
        <v/>
      </c>
      <c r="F1719">
        <f>IF(Skills!N8=TRUE,(Skills!L8/10)*(E1719/1000),Skills!L8/10)+Skills!O8</f>
        <v/>
      </c>
      <c r="G1719">
        <f>Skills!G8*IF(Skills!H8&gt;0,Skills!I8/Skills!H8,1)</f>
        <v/>
      </c>
      <c r="H1719">
        <f>1-(1-Skills!J8/100)^Skills!K8</f>
        <v/>
      </c>
      <c r="I1719" t="inlineStr">
        <is>
          <t>1</t>
        </is>
      </c>
      <c r="J1719">
        <f>((Inputs!$B$6*(1+Inputs!$B$7/100))+(((Inputs!$B$12*(1+Inputs!$B$13/100))-(Inputs!$B$12*(1+Inputs!$B$13/100)))+0.25*(Inputs!$B$14-Inputs!$B$14))*(1+Inputs!$B$7/100))*(F1719/100)</f>
        <v/>
      </c>
      <c r="K1719">
        <f>J1719*(1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1719)</f>
        <v/>
      </c>
      <c r="L1719">
        <f>K1719*(MIN(Inputs!$B$22+((C1733=TRUE)*(F1733-Calc!F22)),(Inputs!$B$23+((C1735=TRUE)*(F1735-Calc!F24))+(IF(ArtifactsInput!$M$15,CHOOSE(ArtifactsInput!$N$15+1,25,30,35,40,45,50)/100*(Inputs!$B$11-Inputs!$B$11),0))))/100+(Inputs!$B$23+((C1735=TRUE)*(F1735-Calc!F24))+(IF(ArtifactsInput!$M$15,CHOOSE(ArtifactsInput!$N$15+1,25,30,35,40,45,50)/100*(Inputs!$B$11-Inputs!$B$11),0)))/100)/2</f>
        <v/>
      </c>
      <c r="M1719">
        <f>L1719*(1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9">
        <f>L1719*(1-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1719*(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9">
        <f>(1-Summary!$B$11)*T1719+Summary!$B$11*V1719</f>
        <v/>
      </c>
      <c r="P1719">
        <f>IF(B1748=0,0,O1719/B1748)</f>
        <v/>
      </c>
      <c r="Q1719">
        <f>IFERROR(1/(IF(Inputs!$B$38="pvp",15,MAX(0.1,Skills!D8-IF(Skills!E8=TRUE,Inputs!$B$32,0)))*(1-IF(AND(ArtifactsInput!$M$27,Inputs!$B$4="Chapter Hunt"),CHOOSE(ArtifactsInput!$N$27+1,20,24,28,32,36,40),0)/100)),0)</f>
        <v/>
      </c>
      <c r="R1719">
        <f>IF(AND(Inputs!$B$38&lt;&gt;"pvp",Inputs!$B$43&gt;0),IF(MAX(0,Inputs!$B$43-B1745)&lt;=0,0,(INT(MAX(0,Inputs!$B$43-B1745)/(IF(Inputs!$B$38="pvp",15,MAX(0.1,Skills!D8-IF(Skills!E8=TRUE,Inputs!$B$32,0)))*(1-IF(AND(ArtifactsInput!$M$27,Inputs!$B$4="Chapter Hunt"),CHOOSE(ArtifactsInput!$N$27+1,20,24,28,32,36,40),0)/100)))+1)),0)</f>
        <v/>
      </c>
      <c r="S1719">
        <f>IFERROR(O1719/N1719,0)</f>
        <v/>
      </c>
      <c r="T1719">
        <f>IF(C1719,(H1719*N1719*IF(AND(Inputs!$B$38&lt;&gt;"pvp",Inputs!$B$43&gt;0),((Skills!G8*((R1719-1)*IF(Skills!H8&gt;0,Skills!I8/Skills!H8,1)+IF(Skills!H8&gt;0,MIN(Skills!I8,MAX(0,MAX(0,Inputs!$B$43-B1745)-((R1719-1)*(IF(Inputs!$B$38="pvp",15,MAX(0.1,Skills!D8-IF(Skills!E8=TRUE,Inputs!$B$32,0)))*(1-IF(AND(ArtifactsInput!$M$27,Inputs!$B$4="Chapter Hunt"),CHOOSE(ArtifactsInput!$N$27+1,20,24,28,32,36,40),0)/100)))))/Skills!H8,1)))/Inputs!$B$43),G1719*Q1719)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1719*(1-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1719*(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1719*(1-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1719*(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9">
        <f>IF(C1719,(H1719*N1719*IF(AND(Inputs!$B$38&lt;&gt;"pvp",Inputs!$B$43&gt;0),((Skills!G8*((R1719-1)*IF(Skills!H8&gt;0,Skills!I8/Skills!H8,1)+IF(Skills!H8&gt;0,MIN(Skills!I8,MAX(0,MAX(0,Inputs!$B$43-B1745)-((R1719-1)*(IF(Inputs!$B$38="pvp",15,MAX(0.1,Skills!D8-IF(Skills!E8=TRUE,Inputs!$B$32,0)))*(1-IF(AND(ArtifactsInput!$M$27,Inputs!$B$4="Chapter Hunt"),CHOOSE(ArtifactsInput!$N$27+1,20,24,28,32,36,40),0)/100)))))/Skills!H8,1)))/Inputs!$B$43),G1719*Q1719))*IF(Inputs!$B$38="pvp",1,(1+(Inputs!$B$21+Skills!Q8+(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0">
      <c r="A1720">
        <f>Skills!A9</f>
        <v/>
      </c>
      <c r="B1720">
        <f>Skills!B9</f>
        <v/>
      </c>
      <c r="C1720">
        <f>Inputs!$B$3&gt;=125</f>
        <v/>
      </c>
      <c r="D1720">
        <f>IF(Skills!C9=1,60+Inputs!$B$25+Inputs!$B$29,IF(Skills!C9=2,90+Inputs!$B$26+Inputs!$B$29,IF(Skills!C9=3,120+Inputs!$B$27+Inputs!$B$29,MAX(0,(Inputs!$B$3-100)*3)+Inputs!$B$28+Inputs!$B$29)))</f>
        <v/>
      </c>
      <c r="E1720">
        <f>INDEX(FactorTable!$B$2:$Y$301, MATCH(ROUND(MIN(300,MAX(1,D1720)),0), FactorTable!$A$2:$A$301,0), Skills!M9+1)</f>
        <v/>
      </c>
      <c r="F1720">
        <f>IF(Skills!N9=TRUE,(Skills!L9/10)*(E1720/1000),Skills!L9/10)+Skills!O9</f>
        <v/>
      </c>
      <c r="G1720">
        <f>Skills!G9*IF(Skills!H9&gt;0,Skills!I9/Skills!H9,1)</f>
        <v/>
      </c>
      <c r="H1720">
        <f>1-(1-Skills!J9/100)^Skills!K9</f>
        <v/>
      </c>
      <c r="I1720" t="inlineStr">
        <is>
          <t>1</t>
        </is>
      </c>
      <c r="J1720">
        <f>((Inputs!$B$6*(1+Inputs!$B$7/100))+(((Inputs!$B$12*(1+Inputs!$B$13/100))-(Inputs!$B$12*(1+Inputs!$B$13/100)))+0.25*(Inputs!$B$14-Inputs!$B$14))*(1+Inputs!$B$7/100))*(F1720/100)</f>
        <v/>
      </c>
      <c r="K1720">
        <f>J1720*(1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1720)</f>
        <v/>
      </c>
      <c r="L1720">
        <f>K1720*(MIN(Inputs!$B$22+((C1733=TRUE)*(F1733-Calc!F22)),(Inputs!$B$23+((C1735=TRUE)*(F1735-Calc!F24))+(IF(ArtifactsInput!$M$15,CHOOSE(ArtifactsInput!$N$15+1,25,30,35,40,45,50)/100*(Inputs!$B$11-Inputs!$B$11),0))))/100+(Inputs!$B$23+((C1735=TRUE)*(F1735-Calc!F24))+(IF(ArtifactsInput!$M$15,CHOOSE(ArtifactsInput!$N$15+1,25,30,35,40,45,50)/100*(Inputs!$B$11-Inputs!$B$11),0)))/100)/2</f>
        <v/>
      </c>
      <c r="M1720">
        <f>L1720*(1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0">
        <f>L1720*(1-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1720*(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0">
        <f>(1-Summary!$B$11)*T1720+Summary!$B$11*V1720</f>
        <v/>
      </c>
      <c r="P1720">
        <f>IF(B1748=0,0,O1720/B1748)</f>
        <v/>
      </c>
      <c r="Q1720">
        <f>IFERROR(1/(IF(Inputs!$B$38="pvp",15,MAX(0.1,Skills!D9-IF(Skills!E9=TRUE,Inputs!$B$32,0)))*(1-IF(AND(ArtifactsInput!$M$27,Inputs!$B$4="Chapter Hunt"),CHOOSE(ArtifactsInput!$N$27+1,20,24,28,32,36,40),0)/100)),0)</f>
        <v/>
      </c>
      <c r="R1720">
        <f>IF(AND(Inputs!$B$38&lt;&gt;"pvp",Inputs!$B$43&gt;0),IF(MAX(0,Inputs!$B$43-B1745)&lt;=0,0,(INT(MAX(0,Inputs!$B$43-B1745)/(IF(Inputs!$B$38="pvp",15,MAX(0.1,Skills!D9-IF(Skills!E9=TRUE,Inputs!$B$32,0)))*(1-IF(AND(ArtifactsInput!$M$27,Inputs!$B$4="Chapter Hunt"),CHOOSE(ArtifactsInput!$N$27+1,20,24,28,32,36,40),0)/100)))+1)),0)</f>
        <v/>
      </c>
      <c r="S1720">
        <f>IFERROR(O1720/N1720,0)</f>
        <v/>
      </c>
      <c r="T1720">
        <f>IF(C1720,(H1720*N1720*IF(AND(Inputs!$B$38&lt;&gt;"pvp",Inputs!$B$43&gt;0),((Skills!G9*((R1720-1)*IF(Skills!H9&gt;0,Skills!I9/Skills!H9,1)+IF(Skills!H9&gt;0,MIN(Skills!I9,MAX(0,MAX(0,Inputs!$B$43-B1745)-((R1720-1)*(IF(Inputs!$B$38="pvp",15,MAX(0.1,Skills!D9-IF(Skills!E9=TRUE,Inputs!$B$32,0)))*(1-IF(AND(ArtifactsInput!$M$27,Inputs!$B$4="Chapter Hunt"),CHOOSE(ArtifactsInput!$N$27+1,20,24,28,32,36,40),0)/100)))))/Skills!H9,1)))/Inputs!$B$43),G1720*Q1720)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1720*(1-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1720*(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1720*(1-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1720*(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0">
        <f>IF(C1720,(H1720*N1720*IF(AND(Inputs!$B$38&lt;&gt;"pvp",Inputs!$B$43&gt;0),((Skills!G9*((R1720-1)*IF(Skills!H9&gt;0,Skills!I9/Skills!H9,1)+IF(Skills!H9&gt;0,MIN(Skills!I9,MAX(0,MAX(0,Inputs!$B$43-B1745)-((R1720-1)*(IF(Inputs!$B$38="pvp",15,MAX(0.1,Skills!D9-IF(Skills!E9=TRUE,Inputs!$B$32,0)))*(1-IF(AND(ArtifactsInput!$M$27,Inputs!$B$4="Chapter Hunt"),CHOOSE(ArtifactsInput!$N$27+1,20,24,28,32,36,40),0)/100)))))/Skills!H9,1)))/Inputs!$B$43),G1720*Q1720))*IF(Inputs!$B$38="pvp",1,(1+(Inputs!$B$21+Skills!Q9+(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1">
      <c r="A1721">
        <f>Skills!A10</f>
        <v/>
      </c>
      <c r="B1721">
        <f>Skills!B10</f>
        <v/>
      </c>
      <c r="C1721">
        <f>Inputs!$B$3&gt;=117</f>
        <v/>
      </c>
      <c r="D1721">
        <f>IF(Skills!C10=1,60+Inputs!$B$25+Inputs!$B$29,IF(Skills!C10=2,90+Inputs!$B$26+Inputs!$B$29,IF(Skills!C10=3,120+Inputs!$B$27+Inputs!$B$29,MAX(0,(Inputs!$B$3-100)*3)+Inputs!$B$28+Inputs!$B$29)))</f>
        <v/>
      </c>
      <c r="E1721">
        <f>INDEX(FactorTable!$B$2:$Y$301, MATCH(ROUND(MIN(300,MAX(1,D1721)),0), FactorTable!$A$2:$A$301,0), Skills!M10+1)</f>
        <v/>
      </c>
      <c r="F1721">
        <f>IF(Skills!N10=TRUE,(Skills!L10/10)*(E1721/1000),Skills!L10/10)+Skills!O10</f>
        <v/>
      </c>
      <c r="G1721">
        <f>Skills!G10*IF(Skills!H10&gt;0,Skills!I10/Skills!H10,1)</f>
        <v/>
      </c>
      <c r="H1721">
        <f>1-(1-Skills!J10/100)^Skills!K10</f>
        <v/>
      </c>
      <c r="I1721" t="inlineStr">
        <is>
          <t>1</t>
        </is>
      </c>
      <c r="J1721">
        <f>((Inputs!$B$6*(1+Inputs!$B$7/100))+(((Inputs!$B$12*(1+Inputs!$B$13/100))-(Inputs!$B$12*(1+Inputs!$B$13/100)))+0.25*(Inputs!$B$14-Inputs!$B$14))*(1+Inputs!$B$7/100))*(F1721/100)</f>
        <v/>
      </c>
      <c r="K1721">
        <f>J1721*(1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1721)</f>
        <v/>
      </c>
      <c r="L1721">
        <f>K1721*(MIN(Inputs!$B$22+((C1733=TRUE)*(F1733-Calc!F22)),(Inputs!$B$23+((C1735=TRUE)*(F1735-Calc!F24))+(IF(ArtifactsInput!$M$15,CHOOSE(ArtifactsInput!$N$15+1,25,30,35,40,45,50)/100*(Inputs!$B$11-Inputs!$B$11),0))))/100+(Inputs!$B$23+((C1735=TRUE)*(F1735-Calc!F24))+(IF(ArtifactsInput!$M$15,CHOOSE(ArtifactsInput!$N$15+1,25,30,35,40,45,50)/100*(Inputs!$B$11-Inputs!$B$11),0)))/100)/2</f>
        <v/>
      </c>
      <c r="M1721">
        <f>L1721*(1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1">
        <f>L1721*(1-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1">
        <f>(1-Summary!$B$11)*T1721+Summary!$B$11*V1721</f>
        <v/>
      </c>
      <c r="P1721">
        <f>IF(B1748=0,0,O1721/B1748)</f>
        <v/>
      </c>
      <c r="Q1721">
        <f>IFERROR(1/(IF(Inputs!$B$38="pvp",15,MAX(0.1,Skills!D10-IF(Skills!E10=TRUE,Inputs!$B$32,0)))*(1-IF(AND(ArtifactsInput!$M$27,Inputs!$B$4="Chapter Hunt"),CHOOSE(ArtifactsInput!$N$27+1,20,24,28,32,36,40),0)/100)),0)</f>
        <v/>
      </c>
      <c r="R1721">
        <f>IF(AND(Inputs!$B$38&lt;&gt;"pvp",Inputs!$B$43&gt;0),IF(MAX(0,Inputs!$B$43-B1745)&lt;=0,0,(INT(MAX(0,Inputs!$B$43-B1745)/(IF(Inputs!$B$38="pvp",15,MAX(0.1,Skills!D10-IF(Skills!E10=TRUE,Inputs!$B$32,0)))*(1-IF(AND(ArtifactsInput!$M$27,Inputs!$B$4="Chapter Hunt"),CHOOSE(ArtifactsInput!$N$27+1,20,24,28,32,36,40),0)/100)))+1)),0)</f>
        <v/>
      </c>
      <c r="S1721">
        <f>IFERROR(O1721/N1721,0)</f>
        <v/>
      </c>
      <c r="T1721">
        <f>IF(C1721,(H1721*N1721*IF(AND(Inputs!$B$38&lt;&gt;"pvp",Inputs!$B$43&gt;0),((Skills!G10*((R1721-1)*IF(Skills!H10&gt;0,Skills!I10/Skills!H10,1)+IF(Skills!H10&gt;0,MIN(Skills!I10,MAX(0,MAX(0,Inputs!$B$43-B1745)-((R1721-1)*(IF(Inputs!$B$38="pvp",15,MAX(0.1,Skills!D10-IF(Skills!E10=TRUE,Inputs!$B$32,0)))*(1-IF(AND(ArtifactsInput!$M$27,Inputs!$B$4="Chapter Hunt"),CHOOSE(ArtifactsInput!$N$27+1,20,24,28,32,36,40),0)/100)))))/Skills!H10,1)))/Inputs!$B$43),G1721*Q1721)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1721*(1-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1">
        <f>IF(C1721,(H1721*N1721*IF(AND(Inputs!$B$38&lt;&gt;"pvp",Inputs!$B$43&gt;0),((Skills!G10*((R1721-1)*IF(Skills!H10&gt;0,Skills!I10/Skills!H10,1)+IF(Skills!H10&gt;0,MIN(Skills!I10,MAX(0,MAX(0,Inputs!$B$43-B1745)-((R1721-1)*(IF(Inputs!$B$38="pvp",15,MAX(0.1,Skills!D10-IF(Skills!E10=TRUE,Inputs!$B$32,0)))*(1-IF(AND(ArtifactsInput!$M$27,Inputs!$B$4="Chapter Hunt"),CHOOSE(ArtifactsInput!$N$27+1,20,24,28,32,36,40),0)/100)))))/Skills!H10,1)))/Inputs!$B$43),G1721*Q1721))*IF(Inputs!$B$38="pvp",1,(1+(Inputs!$B$21+Skills!Q10+(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2">
      <c r="A1722">
        <f>Skills!A11</f>
        <v/>
      </c>
      <c r="B1722">
        <f>Skills!B11</f>
        <v/>
      </c>
      <c r="C1722">
        <f>Inputs!$B$3&gt;=63</f>
        <v/>
      </c>
      <c r="D1722">
        <f>IF(Skills!C11=1,60+Inputs!$B$25+Inputs!$B$29,IF(Skills!C11=2,90+Inputs!$B$26+Inputs!$B$29,IF(Skills!C11=3,120+Inputs!$B$27+Inputs!$B$29,MAX(0,(Inputs!$B$3-100)*3)+Inputs!$B$28+Inputs!$B$29)))</f>
        <v/>
      </c>
      <c r="E1722">
        <f>INDEX(FactorTable!$B$2:$Y$301, MATCH(ROUND(MIN(300,MAX(1,D1722)),0), FactorTable!$A$2:$A$301,0), Skills!M11+1)</f>
        <v/>
      </c>
      <c r="F1722">
        <f>IF(Skills!N11=TRUE,(Skills!L11/10)*(E1722/1000),Skills!L11/10)+Skills!O11</f>
        <v/>
      </c>
      <c r="G1722">
        <f>Skills!G11*IF(Skills!H11&gt;0,Skills!I11/Skills!H11,1)</f>
        <v/>
      </c>
      <c r="H1722">
        <f>1-(1-Skills!J11/100)^Skills!K11</f>
        <v/>
      </c>
      <c r="I1722" t="inlineStr">
        <is>
          <t>1</t>
        </is>
      </c>
      <c r="J1722">
        <f>((Inputs!$B$6*(1+Inputs!$B$7/100))+(((Inputs!$B$12*(1+Inputs!$B$13/100))-(Inputs!$B$12*(1+Inputs!$B$13/100)))+0.25*(Inputs!$B$14-Inputs!$B$14))*(1+Inputs!$B$7/100))*(F1722/100)</f>
        <v/>
      </c>
      <c r="K1722">
        <f>J1722*(1+((Inputs!$B$12*(1+Inputs!$B$13/100))*0.01+Inputs!$B$14*0.0025)/100)*(1+Inputs!$B$15/100)*(1+Inputs!$B$16/100)*(5000/(6000+Inputs!$B$42*(1-(Inputs!$B$19+0)/100)))*(1+(Inputs!$B$24+0+B1744)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1723=TRUE,F1723,0)/100)*(1+(IF(Skills!A11="BLAST",Inputs!$B$17+((C1732=TRUE)*(F1732-Calc!F21))+((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MIN(100,((Inputs!$B$9+0+B1738+(ArtifactsInput!$M$24-ArtifactsInput!$M$24)*CHOOSE(ArtifactsInput!$N$24+1,10,12,14,16,18,20)+IF(ArtifactsInput!$M$10,CHOOSE(ArtifactsInput!$N$10+1,15,18,21,24,27,30)*(IF(Inputs!$B$38="pvp",MIN(15,15)/15,IF(AND(Inputs!$B$38&lt;&gt;"pvp",Inputs!$B$43&gt;0),MIN(15,Inputs!$B$43)/(Inputs!$B$43),0))),0)))-100),0))*CHOOSE(ArtifactsInput!$N$42+1,0.6,0.72,0.84,0.96,1.08,1.2))),Inputs!$B$18+((C1734=TRUE)*(F1734-Calc!F23))+(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gt;=100),CHOOSE(ArtifactsInput!$N$42+1,40,48,56,64,72,80),0))))/100)*((1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1722)</f>
        <v/>
      </c>
      <c r="L1722">
        <f>K1722*(MIN(Inputs!$B$22+((C1733=TRUE)*(F1733-Calc!F22)),(Inputs!$B$23+((C1735=TRUE)*(F1735-Calc!F24))+(IF(ArtifactsInput!$M$15,CHOOSE(ArtifactsInput!$N$15+1,25,30,35,40,45,50)/100*(Inputs!$B$11-Inputs!$B$11),0))))/100+(Inputs!$B$23+((C1735=TRUE)*(F1735-Calc!F24))+(IF(ArtifactsInput!$M$15,CHOOSE(ArtifactsInput!$N$15+1,25,30,35,40,45,50)/100*(Inputs!$B$11-Inputs!$B$11),0)))/100)/2</f>
        <v/>
      </c>
      <c r="M1722">
        <f>L1722*(1+(Inputs!$B$10+0+B1743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2">
        <f>L1722*(1-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1722*(MIN((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2">
        <f>(1-Summary!$B$11)*T1722+Summary!$B$11*V1722</f>
        <v/>
      </c>
      <c r="P1722">
        <f>IF(B1748=0,0,O1722/B1748)</f>
        <v/>
      </c>
      <c r="Q1722">
        <f>IFERROR(1/(IF(Inputs!$B$38="pvp",15,MAX(0.1,Skills!D11-IF(Skills!E11=TRUE,Inputs!$B$32,0)))*(1-IF(AND(ArtifactsInput!$M$27,Inputs!$B$4="Chapter Hunt"),CHOOSE(ArtifactsInput!$N$27+1,20,24,28,32,36,40),0)/100)),0)</f>
        <v/>
      </c>
      <c r="R1722">
        <f>IF(AND(Inputs!$B$38&lt;&gt;"pvp",Inputs!$B$43&gt;0),IF(MAX(0,Inputs!$B$43-B1745)&lt;=0,0,(INT(MAX(0,Inputs!$B$43-B1745)/(IF(Inputs!$B$38="pvp",15,MAX(0.1,Skills!D11-IF(Skills!E11=TRUE,Inputs!$B$32,0)))*(1-IF(AND(ArtifactsInput!$M$27,Inputs!$B$4="Chapter Hunt"),CHOOSE(ArtifactsInput!$N$27+1,20,24,28,32,36,40),0)/100)))+1)),0)</f>
        <v/>
      </c>
      <c r="S1722">
        <f>IFERROR(O1722/N1722,0)</f>
        <v/>
      </c>
      <c r="T1722">
        <f>IF(C1722,(H1722*N1722*IF(AND(Inputs!$B$38&lt;&gt;"pvp",Inputs!$B$43&gt;0),((Skills!G11*((R1722-1)*IF(Skills!H11&gt;0,Skills!I11/Skills!H11,1)+IF(Skills!H11&gt;0,MIN(Skills!I11,MAX(0,MAX(0,Inputs!$B$43-B1745)-((R1722-1)*(IF(Inputs!$B$38="pvp",15,MAX(0.1,Skills!D11-IF(Skills!E11=TRUE,Inputs!$B$32,0)))*(1-IF(AND(ArtifactsInput!$M$27,Inputs!$B$4="Chapter Hunt"),CHOOSE(ArtifactsInput!$N$27+1,20,24,28,32,36,40),0)/100)))))/Skills!H11,1)))/Inputs!$B$43),G1722*Q1722)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1722*(1-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1722*(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1722*(1-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1722*(MIN(100,(Inputs!$B$9+0+B1738+(ArtifactsInput!$M$24-ArtifactsInput!$M$24)*CHOOSE(ArtifactsInput!$N$24+1,10,12,14,16,18,20)+(IF(AND(Inputs!$B$38&lt;&gt;"pvp",Inputs!$B$43=0),1,IF(IF(Inputs!$B$38="pvp",15,Inputs!$B$43)-(B1745)&lt;=0,1,MAX(0,IF(Inputs!$B$38="pvp",15,Inputs!$B$43)-MAX(5,B1745))/(IF(Inputs!$B$38="pvp",15,Inputs!$B$43)-(B1745))))*IF(AND(ArtifactsInput!$M$42,((Inputs!$B$9+0+B1738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2">
        <f>IF(C1722,(H1722*N1722*IF(AND(Inputs!$B$38&lt;&gt;"pvp",Inputs!$B$43&gt;0),((Skills!G11*((R1722-1)*IF(Skills!H11&gt;0,Skills!I11/Skills!H11,1)+IF(Skills!H11&gt;0,MIN(Skills!I11,MAX(0,MAX(0,Inputs!$B$43-B1745)-((R1722-1)*(IF(Inputs!$B$38="pvp",15,MAX(0.1,Skills!D11-IF(Skills!E11=TRUE,Inputs!$B$32,0)))*(1-IF(AND(ArtifactsInput!$M$27,Inputs!$B$4="Chapter Hunt"),CHOOSE(ArtifactsInput!$N$27+1,20,24,28,32,36,40),0)/100)))))/Skills!H11,1)))/Inputs!$B$43),G1722*Q1722))*IF(Inputs!$B$38="pvp",1,(1+(Inputs!$B$21+Skills!Q11+(IF(ArtifactsInput!$M$33,CHOOSE(ArtifactsInput!$N$33+1,30,36,42,48,54,60),0))+(IF(AND(ArtifactsInput!$M$35,Inputs!$B$4&lt;&gt;"Chapter Hunt"),CHOOSE(ArtifactsInput!$N$35+1,15,18,21,24,27,30)*(1-EXP(-(0.2*B1740)*5)),0)+IF(AND(IF(ArtifactsInput!$M$22,FALSE,TRUE),Inputs!$B$4&lt;&gt;"Chapter Hunt"),CHOOSE(ArtifactsInput!$N$22+1,10,12,14,16,18,20)*((0*(((0.15*B1740*5))^0/1)+1*(((0.15*B1740*5))^1/1)+2*(((0.15*B1740*5))^2/2)+3*(((0.15*B1740*5))^3/6)+4*(((0.15*B1740*5))^4/24)+5*(((0.15*B1740*5))^5/120))/((((0.15*B1740*5))^0/1)+(((0.15*B1740*5))^1/1)+(((0.15*B1740*5))^2/2)+(((0.15*B1740*5))^3/6)+(((0.15*B1740*5))^4/24)+(((0.15*B1740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3">
      <c r="A1723">
        <f>Skills!A12</f>
        <v/>
      </c>
      <c r="B1723">
        <f>Skills!B12</f>
        <v/>
      </c>
      <c r="C1723">
        <f>Inputs!$B$3&gt;=100</f>
        <v/>
      </c>
      <c r="D1723">
        <f>IF(Skills!C12=1,60+Inputs!$B$25+Inputs!$B$29,IF(Skills!C12=2,90+Inputs!$B$26+Inputs!$B$29,IF(Skills!C12=3,120+Inputs!$B$27+Inputs!$B$29,MAX(0,(Inputs!$B$3-100)*3)+Inputs!$B$28+Inputs!$B$29)))</f>
        <v/>
      </c>
      <c r="E1723">
        <f>INDEX(FactorTable!$B$2:$Y$301, MATCH(ROUND(MIN(300,MAX(1,D1723)),0), FactorTable!$A$2:$A$301,0), Skills!M12+1)</f>
        <v/>
      </c>
      <c r="F1723">
        <f>IF(Skills!N12=TRUE,(Skills!L12/10)*(E1723/1000),Skills!L12/10)+Skills!O12</f>
        <v/>
      </c>
      <c r="G1723" t="inlineStr"/>
      <c r="H1723" t="inlineStr"/>
      <c r="I1723" t="inlineStr">
        <is>
          <t>1</t>
        </is>
      </c>
      <c r="J1723" t="inlineStr"/>
      <c r="K1723" t="inlineStr"/>
      <c r="L1723" t="inlineStr"/>
      <c r="M1723" t="inlineStr"/>
      <c r="N1723" t="inlineStr"/>
      <c r="O1723" t="inlineStr"/>
      <c r="P1723" t="inlineStr"/>
      <c r="Q1723" t="inlineStr"/>
      <c r="R1723" t="inlineStr"/>
      <c r="S1723" t="inlineStr"/>
    </row>
    <row r="1724">
      <c r="A1724">
        <f>Skills!A13</f>
        <v/>
      </c>
      <c r="B1724">
        <f>Skills!B13</f>
        <v/>
      </c>
      <c r="C1724">
        <f>Inputs!$B$3&gt;=45</f>
        <v/>
      </c>
      <c r="D1724">
        <f>IF(Skills!C13=1,60+Inputs!$B$25+Inputs!$B$29,IF(Skills!C13=2,90+Inputs!$B$26+Inputs!$B$29,IF(Skills!C13=3,120+Inputs!$B$27+Inputs!$B$29,MAX(0,(Inputs!$B$3-100)*3)+Inputs!$B$28+Inputs!$B$29)))</f>
        <v/>
      </c>
      <c r="E1724">
        <f>INDEX(FactorTable!$B$2:$Y$301, MATCH(ROUND(MIN(300,MAX(1,D1724)),0), FactorTable!$A$2:$A$301,0), Skills!M13+1)</f>
        <v/>
      </c>
      <c r="F1724">
        <f>IF(Skills!N13=TRUE,(Skills!L13/10)*(E1724/1000),Skills!L13/10)+Skills!O13</f>
        <v/>
      </c>
      <c r="G1724">
        <f>Skills!G13*IF(Skills!H13&gt;0,Skills!I13/Skills!H13,1)</f>
        <v/>
      </c>
      <c r="H1724">
        <f>1-(1-Skills!J13/100)^Skills!K13</f>
        <v/>
      </c>
      <c r="I1724" t="inlineStr">
        <is>
          <t>1</t>
        </is>
      </c>
      <c r="J1724" t="inlineStr"/>
      <c r="K1724" t="inlineStr"/>
      <c r="L1724" t="inlineStr"/>
      <c r="M1724" t="inlineStr"/>
      <c r="N1724" t="inlineStr"/>
      <c r="O1724">
        <f>(1-Summary!$B$11)*T1724+Summary!$B$11*V1724</f>
        <v/>
      </c>
      <c r="P1724">
        <f>IF(B1748=0,0,O1724/B1748)</f>
        <v/>
      </c>
      <c r="Q1724" t="n">
        <v>0</v>
      </c>
      <c r="R1724" t="n">
        <v>0</v>
      </c>
      <c r="S1724">
        <f>IFERROR(O1724/N1724,0)</f>
        <v/>
      </c>
      <c r="T1724" t="n">
        <v>0</v>
      </c>
      <c r="V1724" t="n">
        <v>0</v>
      </c>
    </row>
    <row r="1725">
      <c r="A1725">
        <f>Skills!A14</f>
        <v/>
      </c>
      <c r="B1725">
        <f>Skills!B14</f>
        <v/>
      </c>
      <c r="C1725">
        <f>Inputs!$B$3&gt;=110</f>
        <v/>
      </c>
      <c r="D1725">
        <f>IF(Skills!C14=1,60+Inputs!$B$25+Inputs!$B$29,IF(Skills!C14=2,90+Inputs!$B$26+Inputs!$B$29,IF(Skills!C14=3,120+Inputs!$B$27+Inputs!$B$29,MAX(0,(Inputs!$B$3-100)*3)+Inputs!$B$28+Inputs!$B$29)))</f>
        <v/>
      </c>
      <c r="E1725">
        <f>INDEX(FactorTable!$B$2:$Y$301, MATCH(ROUND(MIN(300,MAX(1,D1725)),0), FactorTable!$A$2:$A$301,0), Skills!M14+1)</f>
        <v/>
      </c>
      <c r="F1725">
        <f>IF(Skills!N14=TRUE,(Skills!L14/10)*(E1725/1000),Skills!L14/10)+Skills!O14</f>
        <v/>
      </c>
      <c r="G1725">
        <f>Skills!G14*IF(Skills!H14&gt;0,Skills!I14/Skills!H14,1)</f>
        <v/>
      </c>
      <c r="H1725">
        <f>1-(1-Skills!J14/100)^Skills!K14</f>
        <v/>
      </c>
      <c r="I1725" t="inlineStr">
        <is>
          <t>1</t>
        </is>
      </c>
      <c r="J1725" t="inlineStr"/>
      <c r="K1725" t="inlineStr"/>
      <c r="L1725" t="inlineStr"/>
      <c r="M1725" t="inlineStr"/>
      <c r="N1725" t="inlineStr"/>
      <c r="O1725">
        <f>(1-Summary!$B$11)*T1725+Summary!$B$11*V1725</f>
        <v/>
      </c>
      <c r="P1725">
        <f>IF(B1748=0,0,O1725/B1748)</f>
        <v/>
      </c>
      <c r="Q1725" t="n">
        <v>0</v>
      </c>
      <c r="R1725" t="n">
        <v>0</v>
      </c>
      <c r="S1725">
        <f>IFERROR(O1725/N1725,0)</f>
        <v/>
      </c>
      <c r="T1725" t="n">
        <v>0</v>
      </c>
      <c r="V1725" t="n">
        <v>0</v>
      </c>
    </row>
    <row r="1726">
      <c r="A1726">
        <f>Skills!A15</f>
        <v/>
      </c>
      <c r="B1726">
        <f>Skills!B15</f>
        <v/>
      </c>
      <c r="C1726">
        <f>Inputs!$B$3&gt;=75</f>
        <v/>
      </c>
      <c r="D1726">
        <f>IF(Skills!C15=1,60+Inputs!$B$25+Inputs!$B$29,IF(Skills!C15=2,90+Inputs!$B$26+Inputs!$B$29,IF(Skills!C15=3,120+Inputs!$B$27+Inputs!$B$29,MAX(0,(Inputs!$B$3-100)*3)+Inputs!$B$28+Inputs!$B$29)))</f>
        <v/>
      </c>
      <c r="E1726">
        <f>INDEX(FactorTable!$B$2:$Y$301, MATCH(ROUND(MIN(300,MAX(1,D1726)),0), FactorTable!$A$2:$A$301,0), Skills!M15+1)</f>
        <v/>
      </c>
      <c r="F1726">
        <f>IF(Skills!N15=TRUE,(Skills!L15/10)*(E1726/1000),Skills!L15/10)+Skills!O15</f>
        <v/>
      </c>
      <c r="G1726">
        <f>Skills!G15*IF(Skills!H15&gt;0,Skills!I15/Skills!H15,1)</f>
        <v/>
      </c>
      <c r="H1726">
        <f>1-(1-Skills!J15/100)^Skills!K15</f>
        <v/>
      </c>
      <c r="I1726" t="inlineStr">
        <is>
          <t>1</t>
        </is>
      </c>
      <c r="J1726" t="inlineStr"/>
      <c r="K1726" t="inlineStr"/>
      <c r="L1726" t="inlineStr"/>
      <c r="M1726" t="inlineStr"/>
      <c r="N1726" t="inlineStr"/>
      <c r="O1726">
        <f>(1-Summary!$B$11)*T1726+Summary!$B$11*V1726</f>
        <v/>
      </c>
      <c r="P1726">
        <f>IF(B1748=0,0,O1726/B1748)</f>
        <v/>
      </c>
      <c r="Q1726">
        <f>IFERROR(1/(IF(Inputs!$B$38="pvp",15,MAX(0.1,Skills!D15-IF(Skills!E15=TRUE,Inputs!$B$32,0)))*(1-IF(AND(ArtifactsInput!$M$27,Inputs!$B$4="Chapter Hunt"),CHOOSE(ArtifactsInput!$N$27+1,20,24,28,32,36,40),0)/100)),0)</f>
        <v/>
      </c>
      <c r="R1726">
        <f>IF(AND(Inputs!$B$38&lt;&gt;"pvp",Inputs!$B$43&gt;0),IF(Inputs!$B$43&lt;=0,0,(INT(Inputs!$B$43/(IF(Inputs!$B$38="pvp",15,MAX(0.1,Skills!D15-IF(Skills!E15=TRUE,Inputs!$B$32,0)))*(1-IF(AND(ArtifactsInput!$M$27,Inputs!$B$4="Chapter Hunt"),CHOOSE(ArtifactsInput!$N$27+1,20,24,28,32,36,40),0)/100)))+1)),0)</f>
        <v/>
      </c>
      <c r="S1726">
        <f>IFERROR(O1726/N1726,0)</f>
        <v/>
      </c>
      <c r="T1726" t="n">
        <v>0</v>
      </c>
      <c r="V1726" t="n">
        <v>0</v>
      </c>
    </row>
    <row r="1727">
      <c r="A1727">
        <f>Skills!A16</f>
        <v/>
      </c>
      <c r="B1727">
        <f>Skills!B16</f>
        <v/>
      </c>
      <c r="C1727">
        <f>Inputs!$B$3&gt;=105</f>
        <v/>
      </c>
      <c r="D1727">
        <f>IF(Skills!C16=1,60+Inputs!$B$25+Inputs!$B$29,IF(Skills!C16=2,90+Inputs!$B$26+Inputs!$B$29,IF(Skills!C16=3,120+Inputs!$B$27+Inputs!$B$29,MAX(0,(Inputs!$B$3-100)*3)+Inputs!$B$28+Inputs!$B$29)))</f>
        <v/>
      </c>
      <c r="E1727">
        <f>INDEX(FactorTable!$B$2:$Y$301, MATCH(ROUND(MIN(300,MAX(1,D1727)),0), FactorTable!$A$2:$A$301,0), Skills!M16+1)</f>
        <v/>
      </c>
      <c r="F1727">
        <f>IF(Skills!N16=TRUE,(Skills!L16/10)*(E1727/1000),Skills!L16/10)+Skills!O16</f>
        <v/>
      </c>
      <c r="G1727">
        <f>Skills!G16*IF(Skills!H16&gt;0,Skills!I16/Skills!H16,1)</f>
        <v/>
      </c>
      <c r="H1727">
        <f>1-(1-Skills!J16/100)^Skills!K16</f>
        <v/>
      </c>
      <c r="I1727" t="inlineStr">
        <is>
          <t>1</t>
        </is>
      </c>
      <c r="J1727" t="inlineStr"/>
      <c r="K1727" t="inlineStr"/>
      <c r="L1727" t="inlineStr"/>
      <c r="M1727" t="inlineStr"/>
      <c r="N1727" t="inlineStr"/>
      <c r="O1727">
        <f>(1-Summary!$B$11)*T1727+Summary!$B$11*V1727</f>
        <v/>
      </c>
      <c r="P1727">
        <f>IF(B1748=0,0,O1727/B1748)</f>
        <v/>
      </c>
      <c r="Q1727">
        <f>IFERROR(1/(IF(Inputs!$B$38="pvp",15,MAX(0.1,Skills!D16-IF(Skills!E16=TRUE,Inputs!$B$32,0)))*(1-IF(AND(ArtifactsInput!$M$27,Inputs!$B$4="Chapter Hunt"),CHOOSE(ArtifactsInput!$N$27+1,20,24,28,32,36,40),0)/100)),0)</f>
        <v/>
      </c>
      <c r="R1727">
        <f>IF(AND(Inputs!$B$38&lt;&gt;"pvp",Inputs!$B$43&gt;0),IF(Inputs!$B$43&lt;=0,0,(INT(Inputs!$B$43/(IF(Inputs!$B$38="pvp",15,MAX(0.1,Skills!D16-IF(Skills!E16=TRUE,Inputs!$B$32,0)))*(1-IF(AND(ArtifactsInput!$M$27,Inputs!$B$4="Chapter Hunt"),CHOOSE(ArtifactsInput!$N$27+1,20,24,28,32,36,40),0)/100)))+1)),0)</f>
        <v/>
      </c>
      <c r="S1727">
        <f>IFERROR(O1727/N1727,0)</f>
        <v/>
      </c>
      <c r="T1727" t="n">
        <v>0</v>
      </c>
      <c r="V1727" t="n">
        <v>0</v>
      </c>
    </row>
    <row r="1728">
      <c r="A1728">
        <f>Skills!A17</f>
        <v/>
      </c>
      <c r="B1728">
        <f>Skills!B17</f>
        <v/>
      </c>
      <c r="C1728">
        <f>Inputs!$B$3&gt;=115</f>
        <v/>
      </c>
      <c r="D1728">
        <f>IF(Skills!C17=1,60+Inputs!$B$25+Inputs!$B$29,IF(Skills!C17=2,90+Inputs!$B$26+Inputs!$B$29,IF(Skills!C17=3,120+Inputs!$B$27+Inputs!$B$29,MAX(0,(Inputs!$B$3-100)*3)+Inputs!$B$28+Inputs!$B$29)))</f>
        <v/>
      </c>
      <c r="E1728">
        <f>INDEX(FactorTable!$B$2:$Y$301, MATCH(ROUND(MIN(300,MAX(1,D1728)),0), FactorTable!$A$2:$A$301,0), Skills!M17+1)</f>
        <v/>
      </c>
      <c r="F1728">
        <f>IF(Skills!N17=TRUE,(Skills!L17/10)*(E1728/1000),Skills!L17/10)+Skills!O17</f>
        <v/>
      </c>
      <c r="G1728">
        <f>Skills!G17*IF(Skills!H17&gt;0,Skills!I17/Skills!H17,1)</f>
        <v/>
      </c>
      <c r="H1728">
        <f>1-(1-Skills!J17/100)^Skills!K17</f>
        <v/>
      </c>
      <c r="I1728" t="inlineStr">
        <is>
          <t>1</t>
        </is>
      </c>
      <c r="J1728" t="inlineStr"/>
      <c r="K1728" t="inlineStr"/>
      <c r="L1728" t="inlineStr"/>
      <c r="M1728" t="inlineStr"/>
      <c r="N1728" t="inlineStr"/>
      <c r="O1728">
        <f>(1-Summary!$B$11)*T1728+Summary!$B$11*V1728</f>
        <v/>
      </c>
      <c r="P1728">
        <f>IF(B1748=0,0,O1728/B1748)</f>
        <v/>
      </c>
      <c r="Q1728">
        <f>IFERROR(1/(IF(Inputs!$B$38="pvp",15,MAX(0.1,Skills!D17-IF(Skills!E17=TRUE,Inputs!$B$32,0)))*(1-IF(AND(ArtifactsInput!$M$27,Inputs!$B$4="Chapter Hunt"),CHOOSE(ArtifactsInput!$N$27+1,20,24,28,32,36,40),0)/100)),0)</f>
        <v/>
      </c>
      <c r="R1728">
        <f>IF(AND(Inputs!$B$38&lt;&gt;"pvp",Inputs!$B$43&gt;0),IF(Inputs!$B$43&lt;=0,0,(INT(Inputs!$B$43/(IF(Inputs!$B$38="pvp",15,MAX(0.1,Skills!D17-IF(Skills!E17=TRUE,Inputs!$B$32,0)))*(1-IF(AND(ArtifactsInput!$M$27,Inputs!$B$4="Chapter Hunt"),CHOOSE(ArtifactsInput!$N$27+1,20,24,28,32,36,40),0)/100)))+1)),0)</f>
        <v/>
      </c>
      <c r="S1728">
        <f>IFERROR(O1728/N1728,0)</f>
        <v/>
      </c>
      <c r="T1728" t="n">
        <v>0</v>
      </c>
      <c r="V1728" t="n">
        <v>0</v>
      </c>
    </row>
    <row r="1729">
      <c r="A1729">
        <f>Skills!A18</f>
        <v/>
      </c>
      <c r="B1729">
        <f>Skills!B18</f>
        <v/>
      </c>
      <c r="C1729">
        <f>Inputs!$B$3&gt;=74</f>
        <v/>
      </c>
      <c r="D1729">
        <f>IF(Skills!C18=1,60+Inputs!$B$25+Inputs!$B$29,IF(Skills!C18=2,90+Inputs!$B$26+Inputs!$B$29,IF(Skills!C18=3,120+Inputs!$B$27+Inputs!$B$29,MAX(0,(Inputs!$B$3-100)*3)+Inputs!$B$28+Inputs!$B$29)))</f>
        <v/>
      </c>
      <c r="E1729">
        <f>INDEX(FactorTable!$B$2:$Y$301, MATCH(ROUND(MIN(300,MAX(1,D1729)),0), FactorTable!$A$2:$A$301,0), Skills!M18+1)</f>
        <v/>
      </c>
      <c r="F1729">
        <f>IF(Skills!N18=TRUE,(Skills!L18/10)*(E1729/1000),Skills!L18/10)+Skills!O18</f>
        <v/>
      </c>
      <c r="G1729">
        <f>Skills!G18*IF(Skills!H18&gt;0,Skills!I18/Skills!H18,1)</f>
        <v/>
      </c>
      <c r="H1729">
        <f>1-(1-Skills!J18/100)^Skills!K18</f>
        <v/>
      </c>
      <c r="I1729" t="inlineStr">
        <is>
          <t>1</t>
        </is>
      </c>
      <c r="J1729" t="inlineStr"/>
      <c r="K1729" t="inlineStr"/>
      <c r="L1729" t="inlineStr"/>
      <c r="M1729" t="inlineStr"/>
      <c r="N1729" t="inlineStr"/>
      <c r="O1729">
        <f>(1-Summary!$B$11)*T1729+Summary!$B$11*V1729</f>
        <v/>
      </c>
      <c r="P1729">
        <f>IF(B1748=0,0,O1729/B1748)</f>
        <v/>
      </c>
      <c r="Q1729">
        <f>IFERROR(1/(IF(Inputs!$B$38="pvp",15,MAX(0.1,Skills!D18-IF(Skills!E18=TRUE,Inputs!$B$32,0)))*(1-IF(AND(ArtifactsInput!$M$27,Inputs!$B$4="Chapter Hunt"),CHOOSE(ArtifactsInput!$N$27+1,20,24,28,32,36,40),0)/100)),0)</f>
        <v/>
      </c>
      <c r="R1729">
        <f>IF(AND(Inputs!$B$38&lt;&gt;"pvp",Inputs!$B$43&gt;0),IF(Inputs!$B$43&lt;=0,0,(INT(Inputs!$B$43/(IF(Inputs!$B$38="pvp",15,MAX(0.1,Skills!D18-IF(Skills!E18=TRUE,Inputs!$B$32,0)))*(1-IF(AND(ArtifactsInput!$M$27,Inputs!$B$4="Chapter Hunt"),CHOOSE(ArtifactsInput!$N$27+1,20,24,28,32,36,40),0)/100)))+1)),0)</f>
        <v/>
      </c>
      <c r="S1729">
        <f>IFERROR(O1729/N1729,0)</f>
        <v/>
      </c>
      <c r="T1729" t="n">
        <v>0</v>
      </c>
      <c r="V1729" t="n">
        <v>0</v>
      </c>
    </row>
    <row r="1730">
      <c r="A1730">
        <f>Skills!A19</f>
        <v/>
      </c>
      <c r="B1730">
        <f>Skills!B19</f>
        <v/>
      </c>
      <c r="C1730">
        <f>TRUE</f>
        <v/>
      </c>
      <c r="D1730">
        <f>IF(Skills!C19=1,60+Inputs!$B$25+Inputs!$B$29,IF(Skills!C19=2,90+Inputs!$B$26+Inputs!$B$29,IF(Skills!C19=3,120+Inputs!$B$27+Inputs!$B$29,MAX(0,(Inputs!$B$3-100)*3)+Inputs!$B$28+Inputs!$B$29)))</f>
        <v/>
      </c>
      <c r="E1730">
        <f>INDEX(FactorTable!$B$2:$Y$301, MATCH(ROUND(MIN(300,MAX(1,D1730)),0), FactorTable!$A$2:$A$301,0), Skills!M19+1)</f>
        <v/>
      </c>
      <c r="F1730">
        <f>IF(Skills!N19=TRUE,(Skills!L19/10)*(E1730/1000),Skills!L19/10)+Skills!O19</f>
        <v/>
      </c>
      <c r="G1730">
        <f>Skills!G19*IF(Skills!H19&gt;0,Skills!I19/Skills!H19,1)</f>
        <v/>
      </c>
      <c r="H1730">
        <f>1-(1-Skills!J19/100)^Skills!K19</f>
        <v/>
      </c>
      <c r="I1730" t="inlineStr">
        <is>
          <t>1</t>
        </is>
      </c>
      <c r="J1730" t="inlineStr"/>
      <c r="K1730" t="inlineStr"/>
      <c r="L1730" t="inlineStr"/>
      <c r="M1730" t="inlineStr"/>
      <c r="N1730" t="inlineStr"/>
      <c r="O1730">
        <f>(1-Summary!$B$11)*T1730+Summary!$B$11*V1730</f>
        <v/>
      </c>
      <c r="P1730">
        <f>IF(B1748=0,0,O1730/B1748)</f>
        <v/>
      </c>
      <c r="Q1730">
        <f>IFERROR(1/(IF(Inputs!$B$38="pvp",15,MAX(0.1,Skills!D19-IF(Skills!E19=TRUE,Inputs!$B$32,0)))*(1-IF(AND(ArtifactsInput!$M$27,Inputs!$B$4="Chapter Hunt"),CHOOSE(ArtifactsInput!$N$27+1,20,24,28,32,36,40),0)/100)),0)</f>
        <v/>
      </c>
      <c r="R1730">
        <f>IF(AND(Inputs!$B$38&lt;&gt;"pvp",Inputs!$B$43&gt;0),IF(Inputs!$B$43&lt;=0,0,(INT(Inputs!$B$43/(IF(Inputs!$B$38="pvp",15,MAX(0.1,Skills!D19-IF(Skills!E19=TRUE,Inputs!$B$32,0)))*(1-IF(AND(ArtifactsInput!$M$27,Inputs!$B$4="Chapter Hunt"),CHOOSE(ArtifactsInput!$N$27+1,20,24,28,32,36,40),0)/100)))+1)),0)</f>
        <v/>
      </c>
      <c r="S1730">
        <f>IFERROR(O1730/N1730,0)</f>
        <v/>
      </c>
      <c r="T1730" t="n">
        <v>0</v>
      </c>
      <c r="V1730" t="n">
        <v>0</v>
      </c>
    </row>
    <row r="1731">
      <c r="A1731">
        <f>Skills!A20</f>
        <v/>
      </c>
      <c r="B1731">
        <f>Skills!B20</f>
        <v/>
      </c>
      <c r="C1731">
        <f>Inputs!$B$3&gt;=33</f>
        <v/>
      </c>
      <c r="D1731">
        <f>IF(Skills!C20=1,60+Inputs!$B$25+Inputs!$B$29,IF(Skills!C20=2,90+Inputs!$B$26+Inputs!$B$29,IF(Skills!C20=3,120+Inputs!$B$27+Inputs!$B$29,MAX(0,(Inputs!$B$3-100)*3)+Inputs!$B$28+Inputs!$B$29)))</f>
        <v/>
      </c>
      <c r="E1731">
        <f>INDEX(FactorTable!$B$2:$Y$301, MATCH(ROUND(MIN(300,MAX(1,D1731)),0), FactorTable!$A$2:$A$301,0), Skills!M20+1)</f>
        <v/>
      </c>
      <c r="F1731">
        <f>IF(Skills!N20=TRUE,(Skills!L20/10)*(E1731/1000),Skills!L20/10)+Skills!O20</f>
        <v/>
      </c>
      <c r="G1731">
        <f>Skills!G20*IF(Skills!H20&gt;0,Skills!I20/Skills!H20,1)</f>
        <v/>
      </c>
      <c r="H1731">
        <f>1-(1-Skills!J20/100)^Skills!K20</f>
        <v/>
      </c>
      <c r="I1731" t="inlineStr">
        <is>
          <t>1</t>
        </is>
      </c>
      <c r="J1731" t="inlineStr"/>
      <c r="K1731" t="inlineStr"/>
      <c r="L1731" t="inlineStr"/>
      <c r="M1731" t="inlineStr"/>
      <c r="N1731" t="inlineStr"/>
      <c r="O1731">
        <f>(1-Summary!$B$11)*T1731+Summary!$B$11*V1731</f>
        <v/>
      </c>
      <c r="P1731">
        <f>IF(B1748=0,0,O1731/B1748)</f>
        <v/>
      </c>
      <c r="Q1731" t="n">
        <v>0</v>
      </c>
      <c r="R1731" t="n">
        <v>0</v>
      </c>
      <c r="S1731">
        <f>IFERROR(O1731/N1731,0)</f>
        <v/>
      </c>
      <c r="T1731" t="n">
        <v>0</v>
      </c>
      <c r="V1731" t="n">
        <v>0</v>
      </c>
    </row>
    <row r="1732">
      <c r="A1732">
        <f>Skills!A21</f>
        <v/>
      </c>
      <c r="B1732">
        <f>Skills!B21</f>
        <v/>
      </c>
      <c r="C1732">
        <f>Inputs!$B$3&gt;=38</f>
        <v/>
      </c>
      <c r="D1732">
        <f>IF(Skills!C21=1,60+Inputs!$B$25+Inputs!$B$29,IF(Skills!C21=2,90+Inputs!$B$26+Inputs!$B$29,IF(Skills!C21=3,120+Inputs!$B$27+Inputs!$B$29,MAX(0,(Inputs!$B$3-100)*3)+Inputs!$B$28+Inputs!$B$29)))</f>
        <v/>
      </c>
      <c r="E1732">
        <f>INDEX(FactorTable!$B$2:$Y$301, MATCH(ROUND(MIN(300,MAX(1,D1732)),0), FactorTable!$A$2:$A$301,0), Skills!M21+1)</f>
        <v/>
      </c>
      <c r="F1732">
        <f>IF(Skills!N21=TRUE,(Skills!L21/10)*(E1732/1000),Skills!L21/10)+Skills!O21</f>
        <v/>
      </c>
      <c r="G1732">
        <f>Skills!G21*IF(Skills!H21&gt;0,Skills!I21/Skills!H21,1)</f>
        <v/>
      </c>
      <c r="H1732">
        <f>1-(1-Skills!J21/100)^Skills!K21</f>
        <v/>
      </c>
      <c r="I1732" t="inlineStr">
        <is>
          <t>1</t>
        </is>
      </c>
      <c r="J1732" t="inlineStr"/>
      <c r="K1732" t="inlineStr"/>
      <c r="L1732" t="inlineStr"/>
      <c r="M1732" t="inlineStr"/>
      <c r="N1732" t="inlineStr"/>
      <c r="O1732">
        <f>(1-Summary!$B$11)*T1732+Summary!$B$11*V1732</f>
        <v/>
      </c>
      <c r="P1732">
        <f>IF(B1748=0,0,O1732/B1748)</f>
        <v/>
      </c>
      <c r="Q1732" t="n">
        <v>0</v>
      </c>
      <c r="R1732" t="n">
        <v>0</v>
      </c>
      <c r="S1732">
        <f>IFERROR(O1732/N1732,0)</f>
        <v/>
      </c>
      <c r="T1732" t="n">
        <v>0</v>
      </c>
      <c r="V1732" t="n">
        <v>0</v>
      </c>
    </row>
    <row r="1733">
      <c r="A1733">
        <f>Skills!A22</f>
        <v/>
      </c>
      <c r="B1733">
        <f>Skills!B22</f>
        <v/>
      </c>
      <c r="C1733">
        <f>Inputs!$B$3&gt;=43</f>
        <v/>
      </c>
      <c r="D1733">
        <f>IF(Skills!C22=1,60+Inputs!$B$25+Inputs!$B$29,IF(Skills!C22=2,90+Inputs!$B$26+Inputs!$B$29,IF(Skills!C22=3,120+Inputs!$B$27+Inputs!$B$29,MAX(0,(Inputs!$B$3-100)*3)+Inputs!$B$28+Inputs!$B$29)))</f>
        <v/>
      </c>
      <c r="E1733">
        <f>INDEX(FactorTable!$B$2:$Y$301, MATCH(ROUND(MIN(300,MAX(1,D1733)),0), FactorTable!$A$2:$A$301,0), Skills!M22+1)</f>
        <v/>
      </c>
      <c r="F1733">
        <f>IF(Skills!N22=TRUE,(Skills!L22/10)*(E1733/1000),Skills!L22/10)+Skills!O22</f>
        <v/>
      </c>
      <c r="G1733">
        <f>Skills!G22*IF(Skills!H22&gt;0,Skills!I22/Skills!H22,1)</f>
        <v/>
      </c>
      <c r="H1733">
        <f>1-(1-Skills!J22/100)^Skills!K22</f>
        <v/>
      </c>
      <c r="I1733" t="inlineStr">
        <is>
          <t>1</t>
        </is>
      </c>
      <c r="J1733" t="inlineStr"/>
      <c r="K1733" t="inlineStr"/>
      <c r="L1733" t="inlineStr"/>
      <c r="M1733" t="inlineStr"/>
      <c r="N1733" t="inlineStr"/>
      <c r="O1733">
        <f>(1-Summary!$B$11)*T1733+Summary!$B$11*V1733</f>
        <v/>
      </c>
      <c r="P1733">
        <f>IF(B1748=0,0,O1733/B1748)</f>
        <v/>
      </c>
      <c r="Q1733" t="n">
        <v>0</v>
      </c>
      <c r="R1733" t="n">
        <v>0</v>
      </c>
      <c r="S1733">
        <f>IFERROR(O1733/N1733,0)</f>
        <v/>
      </c>
      <c r="T1733" t="n">
        <v>0</v>
      </c>
      <c r="V1733" t="n">
        <v>0</v>
      </c>
    </row>
    <row r="1734">
      <c r="A1734">
        <f>Skills!A23</f>
        <v/>
      </c>
      <c r="B1734">
        <f>Skills!B23</f>
        <v/>
      </c>
      <c r="C1734">
        <f>Inputs!$B$3&gt;=120</f>
        <v/>
      </c>
      <c r="D1734">
        <f>IF(Skills!C23=1,60+Inputs!$B$25+Inputs!$B$29,IF(Skills!C23=2,90+Inputs!$B$26+Inputs!$B$29,IF(Skills!C23=3,120+Inputs!$B$27+Inputs!$B$29,MAX(0,(Inputs!$B$3-100)*3)+Inputs!$B$28+Inputs!$B$29)))</f>
        <v/>
      </c>
      <c r="E1734">
        <f>INDEX(FactorTable!$B$2:$Y$301, MATCH(ROUND(MIN(300,MAX(1,D1734)),0), FactorTable!$A$2:$A$301,0), Skills!M23+1)</f>
        <v/>
      </c>
      <c r="F1734">
        <f>IF(Skills!N23=TRUE,(Skills!L23/10)*(E1734/1000),Skills!L23/10)+Skills!O23</f>
        <v/>
      </c>
      <c r="G1734">
        <f>Skills!G23*IF(Skills!H23&gt;0,Skills!I23/Skills!H23,1)</f>
        <v/>
      </c>
      <c r="H1734">
        <f>1-(1-Skills!J23/100)^Skills!K23</f>
        <v/>
      </c>
      <c r="I1734" t="inlineStr">
        <is>
          <t>1</t>
        </is>
      </c>
      <c r="J1734" t="inlineStr"/>
      <c r="K1734" t="inlineStr"/>
      <c r="L1734" t="inlineStr"/>
      <c r="M1734" t="inlineStr"/>
      <c r="N1734" t="inlineStr"/>
      <c r="O1734">
        <f>(1-Summary!$B$11)*T1734+Summary!$B$11*V1734</f>
        <v/>
      </c>
      <c r="P1734">
        <f>IF(B1748=0,0,O1734/B1748)</f>
        <v/>
      </c>
      <c r="Q1734" t="n">
        <v>0</v>
      </c>
      <c r="R1734" t="n">
        <v>0</v>
      </c>
      <c r="S1734">
        <f>IFERROR(O1734/N1734,0)</f>
        <v/>
      </c>
      <c r="T1734" t="n">
        <v>0</v>
      </c>
      <c r="V1734" t="n">
        <v>0</v>
      </c>
    </row>
    <row r="1735">
      <c r="A1735">
        <f>Skills!A24</f>
        <v/>
      </c>
      <c r="B1735">
        <f>Skills!B24</f>
        <v/>
      </c>
      <c r="C1735">
        <f>Inputs!$B$3&gt;=120</f>
        <v/>
      </c>
      <c r="D1735">
        <f>IF(Skills!C24=1,60+Inputs!$B$25+Inputs!$B$29,IF(Skills!C24=2,90+Inputs!$B$26+Inputs!$B$29,IF(Skills!C24=3,120+Inputs!$B$27+Inputs!$B$29,MAX(0,(Inputs!$B$3-100)*3)+Inputs!$B$28+Inputs!$B$29)))</f>
        <v/>
      </c>
      <c r="E1735">
        <f>INDEX(FactorTable!$B$2:$Y$301, MATCH(ROUND(MIN(300,MAX(1,D1735)),0), FactorTable!$A$2:$A$301,0), Skills!M24+1)</f>
        <v/>
      </c>
      <c r="F1735">
        <f>IF(Skills!N24=TRUE,(Skills!L24/10)*(E1735/1000),Skills!L24/10)+Skills!O24</f>
        <v/>
      </c>
      <c r="G1735">
        <f>Skills!G24*IF(Skills!H24&gt;0,Skills!I24/Skills!H24,1)</f>
        <v/>
      </c>
      <c r="H1735">
        <f>1-(1-Skills!J24/100)^Skills!K24</f>
        <v/>
      </c>
      <c r="I1735" t="inlineStr">
        <is>
          <t>1</t>
        </is>
      </c>
      <c r="J1735" t="inlineStr"/>
      <c r="K1735" t="inlineStr"/>
      <c r="L1735" t="inlineStr"/>
      <c r="M1735" t="inlineStr"/>
      <c r="N1735" t="inlineStr"/>
      <c r="O1735">
        <f>(1-Summary!$B$11)*T1735+Summary!$B$11*V1735</f>
        <v/>
      </c>
      <c r="P1735">
        <f>IF(B1748=0,0,O1735/B1748)</f>
        <v/>
      </c>
      <c r="Q1735" t="n">
        <v>0</v>
      </c>
      <c r="R1735" t="n">
        <v>0</v>
      </c>
      <c r="S1735">
        <f>IFERROR(O1735/N1735,0)</f>
        <v/>
      </c>
      <c r="T1735" t="n">
        <v>0</v>
      </c>
      <c r="V1735" t="n">
        <v>0</v>
      </c>
    </row>
    <row r="1737">
      <c r="A1737" t="inlineStr">
        <is>
          <t>Attack% Bucket Multiplier</t>
        </is>
      </c>
      <c r="B1737">
        <f>(1+(((C1724=TRUE)*F1724*MIN(1,Skills!T13*(Skills!J13/100)*B1742))+((C1729=TRUE)*F1729*IF(AND(Inputs!$B$38&lt;&gt;"pvp",Inputs!$B$43&gt;0),(((R1729-1)*(Skills!T18*(1+Inputs!$B$34/100))+MIN((Skills!T18*(1+Inputs!$B$34/100)),MAX(0,Inputs!$B$43-((R1729-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38">
      <c r="A1738" t="inlineStr">
        <is>
          <t>Global Crit Rate Bonus %</t>
        </is>
      </c>
      <c r="B1738" t="n">
        <v>0</v>
      </c>
    </row>
    <row r="1739">
      <c r="A1739" t="inlineStr">
        <is>
          <t>Attack Speed Buff Bonus %</t>
        </is>
      </c>
      <c r="B1739">
        <f>((C1730=TRUE)*F1730*IF(AND(Inputs!$B$38&lt;&gt;"pvp",Inputs!$B$43&gt;0),(((R1730-1)*(Skills!T19*(1+Inputs!$B$34/100))+MIN((Skills!T19*(1+Inputs!$B$34/100)),MAX(0,Inputs!$B$43-((R1730-1)*Skills!D19))))/Inputs!$B$43),IF(Inputs!$B$38="pvp",MIN((Skills!T19*(1+Inputs!$B$34/100)),15)/15,(Skills!T19*(1+Inputs!$B$34/100))/Skills!D19)))</f>
        <v/>
      </c>
    </row>
    <row r="1740">
      <c r="A1740" t="inlineStr">
        <is>
          <t>Actions Per Second</t>
        </is>
      </c>
      <c r="B1740">
        <f>1+MIN(150,150*(1-(1-(Inputs!$B$11+((C1731=TRUE)*(F1731-Calc!F20)))/150)*(1-B1739/150)))/100</f>
        <v/>
      </c>
    </row>
    <row r="1741">
      <c r="A1741" t="inlineStr">
        <is>
          <t>Skill + Buff Cast Rate</t>
        </is>
      </c>
      <c r="B1741">
        <f>IF(AND(Inputs!$B$38&lt;&gt;"pvp",Inputs!$B$43&gt;0),SUMPRODUCT((Skills!E2:E24=TRUE)*(C1713:C1735=TRUE)*R1713:R1735*Skills!F2:F24)/Inputs!$B$43,SUMPRODUCT((Skills!E2:E24=TRUE)*(C1713:C1735=TRUE)*Q1713:Q1735*Skills!F2:F24))</f>
        <v/>
      </c>
    </row>
    <row r="1742">
      <c r="A1742" t="inlineStr">
        <is>
          <t>Blast Casts Per Second</t>
        </is>
      </c>
      <c r="B1742">
        <f>MAX(0,B1740-B1741)</f>
        <v/>
      </c>
    </row>
    <row r="1743">
      <c r="A1743" t="inlineStr">
        <is>
          <t>Global Critical Damage Bonus % (unused)</t>
        </is>
      </c>
      <c r="B1743" t="n">
        <v>0</v>
      </c>
    </row>
    <row r="1744">
      <c r="A1744" t="inlineStr">
        <is>
          <t>Global Final Damage Bonus % (Divine Shield + Guardian + Divine Blessing + Greater Vessel of Light)</t>
        </is>
      </c>
      <c r="B1744">
        <f>((C1726=TRUE)*F1726*IF(AND(Inputs!$B$38&lt;&gt;"pvp",Inputs!$B$43&gt;0),(((R1726-1)*(Skills!T15*(1+Inputs!$B$34/100))+MIN((Skills!T15*(1+Inputs!$B$34/100)),MAX(0,Inputs!$B$43-((R1726-1)*Skills!D15))))/Inputs!$B$43),IF(Inputs!$B$38="pvp",MIN((Skills!T15*(1+Inputs!$B$34/100)),15)/15,(Skills!T15*(1+Inputs!$B$34/100))/Skills!D15)))+((C1727=TRUE)*F1727*IF(AND(Inputs!$B$38&lt;&gt;"pvp",Inputs!$B$43&gt;0),(((R1727-1)*(Skills!T16*(1+Inputs!$B$34/100))+MIN((Skills!T16*(1+Inputs!$B$34/100)),MAX(0,Inputs!$B$43-((R1727-1)*Skills!D16))))/Inputs!$B$43),IF(Inputs!$B$38="pvp",MIN((Skills!T16*(1+Inputs!$B$34/100)),15)/15,(Skills!T16*(1+Inputs!$B$34/100))/Skills!D16)))+((C1728=TRUE)*F1728*IF(AND(Inputs!$B$38&lt;&gt;"pvp",Inputs!$B$43&gt;0),(((R1728-1)*(Skills!T17*(1+Inputs!$B$34/100))+MIN((Skills!T17*(1+Inputs!$B$34/100)),MAX(0,Inputs!$B$43-((R1728-1)*Skills!D17))))/Inputs!$B$43),IF(Inputs!$B$38="pvp",MIN((Skills!T17*(1+Inputs!$B$34/100)),15)/15,(Skills!T17*(1+Inputs!$B$34/100))/Skills!D17)))+((C1725=TRUE)*F1725*MIN(1,Skills!T13*(Skills!J13/100)*B1742))</f>
        <v/>
      </c>
    </row>
    <row r="1745">
      <c r="A1745" t="inlineStr">
        <is>
          <t>Buff-Casting Startup Delay (s, fixed-duration only)</t>
        </is>
      </c>
      <c r="B1745">
        <f>IF(AND(Inputs!$B$38&lt;&gt;"pvp",Inputs!$B$43&gt;0),SUMPRODUCT((Skills!T2:T24&gt;0)*(Skills!E2:E24=TRUE)*(C1713:C1735=TRUE))/B1740,0)</f>
        <v/>
      </c>
    </row>
    <row r="1746">
      <c r="A1746" t="inlineStr">
        <is>
          <t>Boss-Only Total DPS (this block's swept value)</t>
        </is>
      </c>
      <c r="B1746">
        <f>SUM(T1713:T1735)</f>
        <v/>
      </c>
    </row>
    <row r="1747">
      <c r="A1747" t="inlineStr">
        <is>
          <t>Normal-Only Total DPS (this block's swept value)</t>
        </is>
      </c>
      <c r="B1747">
        <f>SUM(V1713:V1735)</f>
        <v/>
      </c>
    </row>
    <row r="1748">
      <c r="A1748" s="6" t="inlineStr">
        <is>
          <t>TOTAL DPS</t>
        </is>
      </c>
      <c r="B1748" s="6">
        <f>SUM(O1713:O1735)</f>
        <v/>
      </c>
    </row>
    <row r="1751">
      <c r="A1751" s="6" t="inlineStr">
        <is>
          <t>Stat: Star Rock (Equip)</t>
        </is>
      </c>
    </row>
    <row r="1752">
      <c r="A1752" s="5" t="inlineStr">
        <is>
          <t>Key</t>
        </is>
      </c>
      <c r="B1752" s="5" t="inlineStr">
        <is>
          <t>Name</t>
        </is>
      </c>
      <c r="C1752" s="5" t="inlineStr">
        <is>
          <t>Unlocked</t>
        </is>
      </c>
      <c r="D1752" s="5" t="inlineStr">
        <is>
          <t>InputLevel</t>
        </is>
      </c>
      <c r="E1752" s="5" t="inlineStr">
        <is>
          <t>Factor</t>
        </is>
      </c>
      <c r="F1752" s="5" t="inlineStr">
        <is>
          <t>CoefficientPercent</t>
        </is>
      </c>
      <c r="G1752" s="5" t="inlineStr">
        <is>
          <t>EffectiveHits</t>
        </is>
      </c>
      <c r="H1752" s="5" t="inlineStr">
        <is>
          <t>ProcProbability</t>
        </is>
      </c>
      <c r="I1752" s="5" t="inlineStr">
        <is>
          <t>MapleHeroMultiplier</t>
        </is>
      </c>
      <c r="J1752" s="5" t="inlineStr">
        <is>
          <t>BaseDamage</t>
        </is>
      </c>
      <c r="K1752" s="5" t="inlineStr">
        <is>
          <t>BaseHitDamage</t>
        </is>
      </c>
      <c r="L1752" s="5" t="inlineStr">
        <is>
          <t>NonCritAvg</t>
        </is>
      </c>
      <c r="M1752" s="5" t="inlineStr">
        <is>
          <t>CritAvg</t>
        </is>
      </c>
      <c r="N1752" s="5" t="inlineStr">
        <is>
          <t>ExpectedDamage(perHit)</t>
        </is>
      </c>
      <c r="O1752" s="5" t="inlineStr">
        <is>
          <t>DPS</t>
        </is>
      </c>
      <c r="P1752" s="5" t="inlineStr">
        <is>
          <t>% of Total</t>
        </is>
      </c>
      <c r="Q1752" s="5" t="inlineStr">
        <is>
          <t>InvCooldown</t>
        </is>
      </c>
      <c r="R1752" s="5" t="inlineStr">
        <is>
          <t>CastsInFight</t>
        </is>
      </c>
      <c r="S1752" s="5" t="inlineStr">
        <is>
          <t>HitRate(perSec)</t>
        </is>
      </c>
      <c r="U1752" t="inlineStr">
        <is>
          <t>helpers</t>
        </is>
      </c>
    </row>
    <row r="1753">
      <c r="A1753">
        <f>Skills!A2</f>
        <v/>
      </c>
      <c r="B1753">
        <f>Skills!B2</f>
        <v/>
      </c>
      <c r="C1753">
        <f>Inputs!$B$3&gt;=100</f>
        <v/>
      </c>
      <c r="D1753" t="inlineStr"/>
      <c r="E1753" t="inlineStr"/>
      <c r="F1753">
        <f>U1755+Skills!O2</f>
        <v/>
      </c>
      <c r="G1753">
        <f>Skills!G2*IF(Skills!H2&gt;0,Skills!I2/Skills!H2,1)</f>
        <v/>
      </c>
      <c r="H1753">
        <f>1-(1-Skills!J2/100)^Skills!K2</f>
        <v/>
      </c>
      <c r="I1753" t="inlineStr">
        <is>
          <t>1</t>
        </is>
      </c>
      <c r="J1753">
        <f>((Inputs!$B$6*(1+Inputs!$B$7/100))+(((Inputs!$B$12*(1+Inputs!$B$13/100))-(Inputs!$B$12*(1+Inputs!$B$13/100)))+0.25*(Inputs!$B$14-Inputs!$B$14))*(1+Inputs!$B$7/100))*(F1753/100)</f>
        <v/>
      </c>
      <c r="K1753">
        <f>J1753*(1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1753)</f>
        <v/>
      </c>
      <c r="L1753">
        <f>K1753*(MIN(Inputs!$B$22+((C1773=TRUE)*(F1773-Calc!F22)),(Inputs!$B$23+((C1775=TRUE)*(F1775-Calc!F24))+(IF(ArtifactsInput!$M$15,CHOOSE(ArtifactsInput!$N$15+1,25,30,35,40,45,50)/100*(Inputs!$B$11-Inputs!$B$11),0))))/100+(Inputs!$B$23+((C1775=TRUE)*(F1775-Calc!F24))+(IF(ArtifactsInput!$M$15,CHOOSE(ArtifactsInput!$N$15+1,25,30,35,40,45,50)/100*(Inputs!$B$11-Inputs!$B$11),0)))/100)/2</f>
        <v/>
      </c>
      <c r="M1753">
        <f>L1753*(1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3">
        <f>L1753*(1-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1753*(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3">
        <f>(1-Summary!$B$11)*T1753+Summary!$B$11*V1753</f>
        <v/>
      </c>
      <c r="P1753">
        <f>IF(B1788=0,0,O1753/B1788)</f>
        <v/>
      </c>
      <c r="Q1753" t="n">
        <v>0</v>
      </c>
      <c r="R1753" t="n">
        <v>0</v>
      </c>
      <c r="S1753">
        <f>IFERROR(O1753/N1753,0)</f>
        <v/>
      </c>
      <c r="T1753">
        <f>IF(C1753,(Skills!G2*N1753*B1782)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1753*(1-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1753*(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1753*(1-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1753*(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3">
        <f>MAX(0,(Inputs!$B$3-100)*3)+Inputs!$B$28+Inputs!$B$29</f>
        <v/>
      </c>
      <c r="V1753">
        <f>IF(C1753,(Skills!G2*N1753*B1782)*IF(Inputs!$B$38="pvp",1,(1+(Inputs!$B$21+Skills!Q2+(IF(ArtifactsInput!$M$33,CHOOSE(ArtifactsInput!$N$33+1,30,36,42,48,54,60),0))+(IF(AND(ArtifactsInput!$M$35,Inputs!$B$4&lt;&gt;"Chapter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4">
      <c r="A1754">
        <f>Skills!A3</f>
        <v/>
      </c>
      <c r="B1754">
        <f>Skills!B3</f>
        <v/>
      </c>
      <c r="C1754">
        <f>Inputs!$B$3&gt;=50</f>
        <v/>
      </c>
      <c r="D1754">
        <f>IF(Skills!C3=1,60+Inputs!$B$25+Inputs!$B$29,IF(Skills!C3=2,90+Inputs!$B$26+Inputs!$B$29,IF(Skills!C3=3,120+Inputs!$B$27+Inputs!$B$29,MAX(0,(Inputs!$B$3-100)*3)+Inputs!$B$28+Inputs!$B$29)))</f>
        <v/>
      </c>
      <c r="E1754">
        <f>INDEX(FactorTable!$B$2:$Y$301, MATCH(ROUND(MIN(300,MAX(1,D1754)),0), FactorTable!$A$2:$A$301,0), Skills!M3+1)</f>
        <v/>
      </c>
      <c r="F1754">
        <f>IF(Skills!N3=TRUE,(Skills!L3/10)*(E1754/1000),Skills!L3/10)+Skills!O3</f>
        <v/>
      </c>
      <c r="G1754" t="inlineStr"/>
      <c r="H1754" t="inlineStr"/>
      <c r="I1754" t="inlineStr">
        <is>
          <t>1</t>
        </is>
      </c>
      <c r="J1754" t="inlineStr"/>
      <c r="K1754" t="inlineStr"/>
      <c r="L1754" t="inlineStr"/>
      <c r="M1754" t="inlineStr"/>
      <c r="N1754" t="inlineStr"/>
      <c r="O1754" t="inlineStr"/>
      <c r="P1754" t="inlineStr"/>
      <c r="Q1754" t="inlineStr"/>
      <c r="R1754" t="inlineStr"/>
      <c r="S1754" t="inlineStr"/>
      <c r="U1754">
        <f>INDEX(FactorTable!$B$2:$Y$301, MATCH(ROUND(MIN(300,MAX(1,U1753)),0), FactorTable!$A$2:$A$301,0), 22)</f>
        <v/>
      </c>
    </row>
    <row r="1755">
      <c r="A1755">
        <f>Skills!A4</f>
        <v/>
      </c>
      <c r="B1755">
        <f>Skills!B4</f>
        <v/>
      </c>
      <c r="C1755">
        <f>Inputs!$B$3&gt;=35</f>
        <v/>
      </c>
      <c r="D1755">
        <f>IF(Skills!C4=1,60+Inputs!$B$25+Inputs!$B$29,IF(Skills!C4=2,90+Inputs!$B$26+Inputs!$B$29,IF(Skills!C4=3,120+Inputs!$B$27+Inputs!$B$29,MAX(0,(Inputs!$B$3-100)*3)+Inputs!$B$28+Inputs!$B$29)))</f>
        <v/>
      </c>
      <c r="E1755">
        <f>INDEX(FactorTable!$B$2:$Y$301, MATCH(ROUND(MIN(300,MAX(1,D1755)),0), FactorTable!$A$2:$A$301,0), Skills!M4+1)</f>
        <v/>
      </c>
      <c r="F1755">
        <f>IF(Skills!N4=TRUE,(Skills!L4/10)*(E1755/1000),Skills!L4/10)+Skills!O4</f>
        <v/>
      </c>
      <c r="G1755">
        <f>Skills!G4*IF(Skills!H4&gt;0,Skills!I4/Skills!H4,1)</f>
        <v/>
      </c>
      <c r="H1755">
        <f>1-(1-Skills!J4/100)^Skills!K4</f>
        <v/>
      </c>
      <c r="I1755" t="inlineStr">
        <is>
          <t>1</t>
        </is>
      </c>
      <c r="J1755">
        <f>((Inputs!$B$6*(1+Inputs!$B$7/100))+(((Inputs!$B$12*(1+Inputs!$B$13/100))-(Inputs!$B$12*(1+Inputs!$B$13/100)))+0.25*(Inputs!$B$14-Inputs!$B$14))*(1+Inputs!$B$7/100))*(F1755/100)</f>
        <v/>
      </c>
      <c r="K1755">
        <f>J1755*(1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1763=TRUE,F1763,0)/100)*(1+(IF(Skills!A4="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1755)</f>
        <v/>
      </c>
      <c r="L1755">
        <f>K1755*(MIN(Inputs!$B$22+((C1773=TRUE)*(F1773-Calc!F22)),(Inputs!$B$23+((C1775=TRUE)*(F1775-Calc!F24))+(IF(ArtifactsInput!$M$15,CHOOSE(ArtifactsInput!$N$15+1,25,30,35,40,45,50)/100*(Inputs!$B$11-Inputs!$B$11),0))))/100+(Inputs!$B$23+((C1775=TRUE)*(F1775-Calc!F24))+(IF(ArtifactsInput!$M$15,CHOOSE(ArtifactsInput!$N$15+1,25,30,35,40,45,50)/100*(Inputs!$B$11-Inputs!$B$11),0)))/100)/2</f>
        <v/>
      </c>
      <c r="M1755">
        <f>L1755*(1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5">
        <f>L1755*(1-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1755*(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5">
        <f>(1-Summary!$B$11)*T1755+Summary!$B$11*V1755</f>
        <v/>
      </c>
      <c r="P1755">
        <f>IF(B1788=0,0,O1755/B1788)</f>
        <v/>
      </c>
      <c r="Q1755">
        <f>IFERROR(1/(IF(Inputs!$B$38="pvp",15,MAX(0.1,Skills!D4-IF(Skills!E4=TRUE,Inputs!$B$32,0)))*(1-IF(AND(ArtifactsInput!$M$27,Inputs!$B$4="Chapter Hunt"),CHOOSE(ArtifactsInput!$N$27+1,20,24,28,32,36,40),0)/100)),0)</f>
        <v/>
      </c>
      <c r="R1755">
        <f>IF(AND(Inputs!$B$38&lt;&gt;"pvp",Inputs!$B$43&gt;0),IF(MAX(0,Inputs!$B$43-B1785)&lt;=0,0,(INT(MAX(0,Inputs!$B$43-B1785)/(IF(Inputs!$B$38="pvp",15,MAX(0.1,Skills!D4-IF(Skills!E4=TRUE,Inputs!$B$32,0)))*(1-IF(AND(ArtifactsInput!$M$27,Inputs!$B$4="Chapter Hunt"),CHOOSE(ArtifactsInput!$N$27+1,20,24,28,32,36,40),0)/100)))+1)),0)</f>
        <v/>
      </c>
      <c r="S1755">
        <f>IFERROR(O1755/N1755,0)</f>
        <v/>
      </c>
      <c r="T1755">
        <f>IF(C1755,(H1755*N1755*IF(AND(Inputs!$B$38&lt;&gt;"pvp",Inputs!$B$43&gt;0),((Skills!G4*((R1755-1)*IF(Skills!H4&gt;0,Skills!I4/Skills!H4,1)+IF(Skills!H4&gt;0,MIN(Skills!I4,MAX(0,MAX(0,Inputs!$B$43-B1785)-((R1755-1)*(IF(Inputs!$B$38="pvp",15,MAX(0.1,Skills!D4-IF(Skills!E4=TRUE,Inputs!$B$32,0)))*(1-IF(AND(ArtifactsInput!$M$27,Inputs!$B$4="Chapter Hunt"),CHOOSE(ArtifactsInput!$N$27+1,20,24,28,32,36,40),0)/100)))))/Skills!H4,1)))/Inputs!$B$43),G1755*Q1755)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1755*(1-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1755*(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1755*(1-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1755*(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5">
        <f>290*U1754/1000</f>
        <v/>
      </c>
      <c r="V1755">
        <f>IF(C1755,(H1755*N1755*IF(AND(Inputs!$B$38&lt;&gt;"pvp",Inputs!$B$43&gt;0),((Skills!G4*((R1755-1)*IF(Skills!H4&gt;0,Skills!I4/Skills!H4,1)+IF(Skills!H4&gt;0,MIN(Skills!I4,MAX(0,MAX(0,Inputs!$B$43-B1785)-((R1755-1)*(IF(Inputs!$B$38="pvp",15,MAX(0.1,Skills!D4-IF(Skills!E4=TRUE,Inputs!$B$32,0)))*(1-IF(AND(ArtifactsInput!$M$27,Inputs!$B$4="Chapter Hunt"),CHOOSE(ArtifactsInput!$N$27+1,20,24,28,32,36,40),0)/100)))))/Skills!H4,1)))/Inputs!$B$43),G1755*Q1755))*IF(Inputs!$B$38="pvp",1,(1+(Inputs!$B$21+Skills!Q4+(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6">
      <c r="A1756">
        <f>Skills!A5</f>
        <v/>
      </c>
      <c r="B1756">
        <f>Skills!B5</f>
        <v/>
      </c>
      <c r="C1756">
        <f>Inputs!$B$3&gt;=66</f>
        <v/>
      </c>
      <c r="D1756">
        <f>IF(Skills!C5=1,60+Inputs!$B$25+Inputs!$B$29,IF(Skills!C5=2,90+Inputs!$B$26+Inputs!$B$29,IF(Skills!C5=3,120+Inputs!$B$27+Inputs!$B$29,MAX(0,(Inputs!$B$3-100)*3)+Inputs!$B$28+Inputs!$B$29)))</f>
        <v/>
      </c>
      <c r="E1756">
        <f>INDEX(FactorTable!$B$2:$Y$301, MATCH(ROUND(MIN(300,MAX(1,D1756)),0), FactorTable!$A$2:$A$301,0), Skills!M5+1)</f>
        <v/>
      </c>
      <c r="F1756">
        <f>IF(Skills!N5=TRUE,(Skills!L5/10)*(E1756/1000),Skills!L5/10)+Skills!O5</f>
        <v/>
      </c>
      <c r="G1756">
        <f>Skills!G5*IF(Skills!H5&gt;0,Skills!I5/Skills!H5,1)</f>
        <v/>
      </c>
      <c r="H1756">
        <f>1-(1-Skills!J5/100)^Skills!K5</f>
        <v/>
      </c>
      <c r="I1756" t="inlineStr">
        <is>
          <t>1</t>
        </is>
      </c>
      <c r="J1756">
        <f>((Inputs!$B$6*(1+Inputs!$B$7/100))+(((Inputs!$B$12*(1+Inputs!$B$13/100))-(Inputs!$B$12*(1+Inputs!$B$13/100)))+0.25*(Inputs!$B$14-Inputs!$B$14))*(1+Inputs!$B$7/100))*(F1756/100)</f>
        <v/>
      </c>
      <c r="K1756">
        <f>J1756*(1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1763=TRUE,F1763,0)/100)*(1+(IF(Skills!A5="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1756)</f>
        <v/>
      </c>
      <c r="L1756">
        <f>K1756*(MIN(Inputs!$B$22+((C1773=TRUE)*(F1773-Calc!F22)),(Inputs!$B$23+((C1775=TRUE)*(F1775-Calc!F24))+(IF(ArtifactsInput!$M$15,CHOOSE(ArtifactsInput!$N$15+1,25,30,35,40,45,50)/100*(Inputs!$B$11-Inputs!$B$11),0))))/100+(Inputs!$B$23+((C1775=TRUE)*(F1775-Calc!F24))+(IF(ArtifactsInput!$M$15,CHOOSE(ArtifactsInput!$N$15+1,25,30,35,40,45,50)/100*(Inputs!$B$11-Inputs!$B$11),0)))/100)/2</f>
        <v/>
      </c>
      <c r="M1756">
        <f>L1756*(1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6">
        <f>L1756*(1-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1756*(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6">
        <f>(1-Summary!$B$11)*T1756+Summary!$B$11*V1756</f>
        <v/>
      </c>
      <c r="P1756">
        <f>IF(B1788=0,0,O1756/B1788)</f>
        <v/>
      </c>
      <c r="Q1756">
        <f>IFERROR(1/(IF(Inputs!$B$38="pvp",15,MAX(0.1,Skills!D5-IF(Skills!E5=TRUE,Inputs!$B$32,0)))*(1-IF(AND(ArtifactsInput!$M$27,Inputs!$B$4="Chapter Hunt"),CHOOSE(ArtifactsInput!$N$27+1,20,24,28,32,36,40),0)/100)),0)</f>
        <v/>
      </c>
      <c r="R1756">
        <f>IF(AND(Inputs!$B$38&lt;&gt;"pvp",Inputs!$B$43&gt;0),IF(MAX(0,Inputs!$B$43-B1785)&lt;=0,0,(INT(MAX(0,Inputs!$B$43-B1785)/(IF(Inputs!$B$38="pvp",15,MAX(0.1,Skills!D5-IF(Skills!E5=TRUE,Inputs!$B$32,0)))*(1-IF(AND(ArtifactsInput!$M$27,Inputs!$B$4="Chapter Hunt"),CHOOSE(ArtifactsInput!$N$27+1,20,24,28,32,36,40),0)/100)))+1)),0)</f>
        <v/>
      </c>
      <c r="S1756">
        <f>IFERROR(O1756/N1756,0)</f>
        <v/>
      </c>
      <c r="T1756">
        <f>IF(C1756,(H1756*N1756*IF(AND(Inputs!$B$38&lt;&gt;"pvp",Inputs!$B$43&gt;0),((Skills!G5*((R1756-1)*IF(Skills!H5&gt;0,Skills!I5/Skills!H5,1)+IF(Skills!H5&gt;0,MIN(Skills!I5,MAX(0,MAX(0,Inputs!$B$43-B1785)-((R1756-1)*(IF(Inputs!$B$38="pvp",15,MAX(0.1,Skills!D5-IF(Skills!E5=TRUE,Inputs!$B$32,0)))*(1-IF(AND(ArtifactsInput!$M$27,Inputs!$B$4="Chapter Hunt"),CHOOSE(ArtifactsInput!$N$27+1,20,24,28,32,36,40),0)/100)))))/Skills!H5,1)))/Inputs!$B$43),G1756*Q1756)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1756*(1-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1756*(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1756*(1-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1756*(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6">
        <f>IF(C1756,(H1756*N1756*IF(AND(Inputs!$B$38&lt;&gt;"pvp",Inputs!$B$43&gt;0),((Skills!G5*((R1756-1)*IF(Skills!H5&gt;0,Skills!I5/Skills!H5,1)+IF(Skills!H5&gt;0,MIN(Skills!I5,MAX(0,MAX(0,Inputs!$B$43-B1785)-((R1756-1)*(IF(Inputs!$B$38="pvp",15,MAX(0.1,Skills!D5-IF(Skills!E5=TRUE,Inputs!$B$32,0)))*(1-IF(AND(ArtifactsInput!$M$27,Inputs!$B$4="Chapter Hunt"),CHOOSE(ArtifactsInput!$N$27+1,20,24,28,32,36,40),0)/100)))))/Skills!H5,1)))/Inputs!$B$43),G1756*Q1756))*IF(Inputs!$B$38="pvp",1,(1+(Inputs!$B$21+Skills!Q5+(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7">
      <c r="A1757">
        <f>Skills!A6</f>
        <v/>
      </c>
      <c r="B1757">
        <f>Skills!B6</f>
        <v/>
      </c>
      <c r="C1757">
        <f>Inputs!$B$3&gt;=103</f>
        <v/>
      </c>
      <c r="D1757">
        <f>IF(Skills!C6=1,60+Inputs!$B$25+Inputs!$B$29,IF(Skills!C6=2,90+Inputs!$B$26+Inputs!$B$29,IF(Skills!C6=3,120+Inputs!$B$27+Inputs!$B$29,MAX(0,(Inputs!$B$3-100)*3)+Inputs!$B$28+Inputs!$B$29)))</f>
        <v/>
      </c>
      <c r="E1757">
        <f>INDEX(FactorTable!$B$2:$Y$301, MATCH(ROUND(MIN(300,MAX(1,D1757)),0), FactorTable!$A$2:$A$301,0), Skills!M6+1)</f>
        <v/>
      </c>
      <c r="F1757">
        <f>IF(Skills!N6=TRUE,(Skills!L6/10)*(E1757/1000),Skills!L6/10)+Skills!O6</f>
        <v/>
      </c>
      <c r="G1757">
        <f>Skills!G6*IF(Skills!H6&gt;0,Skills!I6/Skills!H6,1)</f>
        <v/>
      </c>
      <c r="H1757">
        <f>1-(1-Skills!J6/100)^Skills!K6</f>
        <v/>
      </c>
      <c r="I1757" t="inlineStr">
        <is>
          <t>1</t>
        </is>
      </c>
      <c r="J1757">
        <f>((Inputs!$B$6*(1+Inputs!$B$7/100))+(((Inputs!$B$12*(1+Inputs!$B$13/100))-(Inputs!$B$12*(1+Inputs!$B$13/100)))+0.25*(Inputs!$B$14-Inputs!$B$14))*(1+Inputs!$B$7/100))*(F1757/100)</f>
        <v/>
      </c>
      <c r="K1757">
        <f>J1757*(1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1757)</f>
        <v/>
      </c>
      <c r="L1757">
        <f>K1757*(MIN(Inputs!$B$22+((C1773=TRUE)*(F1773-Calc!F22)),(Inputs!$B$23+((C1775=TRUE)*(F1775-Calc!F24))+(IF(ArtifactsInput!$M$15,CHOOSE(ArtifactsInput!$N$15+1,25,30,35,40,45,50)/100*(Inputs!$B$11-Inputs!$B$11),0))))/100+(Inputs!$B$23+((C1775=TRUE)*(F1775-Calc!F24))+(IF(ArtifactsInput!$M$15,CHOOSE(ArtifactsInput!$N$15+1,25,30,35,40,45,50)/100*(Inputs!$B$11-Inputs!$B$11),0)))/100)/2</f>
        <v/>
      </c>
      <c r="M1757">
        <f>L1757*(1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7">
        <f>L1757*(1-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1757*(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7">
        <f>(1-Summary!$B$11)*T1757+Summary!$B$11*V1757</f>
        <v/>
      </c>
      <c r="P1757">
        <f>IF(B1788=0,0,O1757/B1788)</f>
        <v/>
      </c>
      <c r="Q1757">
        <f>IFERROR(1/(IF(Inputs!$B$38="pvp",15,MAX(0.1,Skills!D6-IF(Skills!E6=TRUE,Inputs!$B$32,0)))*(1-IF(AND(ArtifactsInput!$M$27,Inputs!$B$4="Chapter Hunt"),CHOOSE(ArtifactsInput!$N$27+1,20,24,28,32,36,40),0)/100)),0)</f>
        <v/>
      </c>
      <c r="R1757">
        <f>IF(AND(Inputs!$B$38&lt;&gt;"pvp",Inputs!$B$43&gt;0),IF(MAX(0,Inputs!$B$43-B1785)&lt;=0,0,(INT(MAX(0,Inputs!$B$43-B1785)/(IF(Inputs!$B$38="pvp",15,MAX(0.1,Skills!D6-IF(Skills!E6=TRUE,Inputs!$B$32,0)))*(1-IF(AND(ArtifactsInput!$M$27,Inputs!$B$4="Chapter Hunt"),CHOOSE(ArtifactsInput!$N$27+1,20,24,28,32,36,40),0)/100)))+1)),0)</f>
        <v/>
      </c>
      <c r="S1757">
        <f>IFERROR(O1757/N1757,0)</f>
        <v/>
      </c>
      <c r="T1757">
        <f>IF(C1757,(H1757*N1757*IF(AND(Inputs!$B$38&lt;&gt;"pvp",Inputs!$B$43&gt;0),((Skills!G6*((R1757-1)*IF(Skills!H6&gt;0,Skills!I6/Skills!H6,1)+IF(Skills!H6&gt;0,MIN(Skills!I6,MAX(0,MAX(0,Inputs!$B$43-B1785)-((R1757-1)*(IF(Inputs!$B$38="pvp",15,MAX(0.1,Skills!D6-IF(Skills!E6=TRUE,Inputs!$B$32,0)))*(1-IF(AND(ArtifactsInput!$M$27,Inputs!$B$4="Chapter Hunt"),CHOOSE(ArtifactsInput!$N$27+1,20,24,28,32,36,40),0)/100)))))/Skills!H6,1)))/Inputs!$B$43),G1757*Q1757)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1757*(1-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1757*(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1757*(1-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1757*(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7">
        <f>IF(C1757,(H1757*N1757*IF(AND(Inputs!$B$38&lt;&gt;"pvp",Inputs!$B$43&gt;0),((Skills!G6*((R1757-1)*IF(Skills!H6&gt;0,Skills!I6/Skills!H6,1)+IF(Skills!H6&gt;0,MIN(Skills!I6,MAX(0,MAX(0,Inputs!$B$43-B1785)-((R1757-1)*(IF(Inputs!$B$38="pvp",15,MAX(0.1,Skills!D6-IF(Skills!E6=TRUE,Inputs!$B$32,0)))*(1-IF(AND(ArtifactsInput!$M$27,Inputs!$B$4="Chapter Hunt"),CHOOSE(ArtifactsInput!$N$27+1,20,24,28,32,36,40),0)/100)))))/Skills!H6,1)))/Inputs!$B$43),G1757*Q1757))*IF(Inputs!$B$38="pvp",1,(1+(Inputs!$B$21+Skills!Q6+(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8">
      <c r="A1758">
        <f>Skills!A7</f>
        <v/>
      </c>
      <c r="B1758">
        <f>Skills!B7</f>
        <v/>
      </c>
      <c r="C1758">
        <f>Inputs!$B$3&gt;=107</f>
        <v/>
      </c>
      <c r="D1758">
        <f>IF(Skills!C7=1,60+Inputs!$B$25+Inputs!$B$29,IF(Skills!C7=2,90+Inputs!$B$26+Inputs!$B$29,IF(Skills!C7=3,120+Inputs!$B$27+Inputs!$B$29,MAX(0,(Inputs!$B$3-100)*3)+Inputs!$B$28+Inputs!$B$29)))</f>
        <v/>
      </c>
      <c r="E1758">
        <f>INDEX(FactorTable!$B$2:$Y$301, MATCH(ROUND(MIN(300,MAX(1,D1758)),0), FactorTable!$A$2:$A$301,0), Skills!M7+1)</f>
        <v/>
      </c>
      <c r="F1758">
        <f>IF(Skills!N7=TRUE,(Skills!L7/10)*(E1758/1000),Skills!L7/10)+Skills!O7</f>
        <v/>
      </c>
      <c r="G1758">
        <f>Skills!G7*IF(Skills!H7&gt;0,Skills!I7/Skills!H7,1)</f>
        <v/>
      </c>
      <c r="H1758">
        <f>1-(1-Skills!J7/100)^Skills!K7</f>
        <v/>
      </c>
      <c r="I1758" t="inlineStr">
        <is>
          <t>1</t>
        </is>
      </c>
      <c r="J1758">
        <f>((Inputs!$B$6*(1+Inputs!$B$7/100))+(((Inputs!$B$12*(1+Inputs!$B$13/100))-(Inputs!$B$12*(1+Inputs!$B$13/100)))+0.25*(Inputs!$B$14-Inputs!$B$14))*(1+Inputs!$B$7/100))*(F1758/100)</f>
        <v/>
      </c>
      <c r="K1758">
        <f>J1758*(1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1758)</f>
        <v/>
      </c>
      <c r="L1758">
        <f>K1758*(MIN(Inputs!$B$22+((C1773=TRUE)*(F1773-Calc!F22)),(Inputs!$B$23+((C1775=TRUE)*(F1775-Calc!F24))+(IF(ArtifactsInput!$M$15,CHOOSE(ArtifactsInput!$N$15+1,25,30,35,40,45,50)/100*(Inputs!$B$11-Inputs!$B$11),0))))/100+(Inputs!$B$23+((C1775=TRUE)*(F1775-Calc!F24))+(IF(ArtifactsInput!$M$15,CHOOSE(ArtifactsInput!$N$15+1,25,30,35,40,45,50)/100*(Inputs!$B$11-Inputs!$B$11),0)))/100)/2</f>
        <v/>
      </c>
      <c r="M1758">
        <f>L1758*(1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8">
        <f>L1758*(1-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1758*(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8">
        <f>(1-Summary!$B$11)*T1758+Summary!$B$11*V1758</f>
        <v/>
      </c>
      <c r="P1758">
        <f>IF(B1788=0,0,O1758/B1788)</f>
        <v/>
      </c>
      <c r="Q1758">
        <f>IFERROR(1/(IF(Inputs!$B$38="pvp",15,MAX(0.1,Skills!D7-IF(Skills!E7=TRUE,Inputs!$B$32,0)))*(1-IF(AND(ArtifactsInput!$M$27,Inputs!$B$4="Chapter Hunt"),CHOOSE(ArtifactsInput!$N$27+1,20,24,28,32,36,40),0)/100)),0)</f>
        <v/>
      </c>
      <c r="R1758">
        <f>IF(AND(Inputs!$B$38&lt;&gt;"pvp",Inputs!$B$43&gt;0),IF(MAX(0,Inputs!$B$43-B1785)&lt;=0,0,(INT(MAX(0,Inputs!$B$43-B1785)/(IF(Inputs!$B$38="pvp",15,MAX(0.1,Skills!D7-IF(Skills!E7=TRUE,Inputs!$B$32,0)))*(1-IF(AND(ArtifactsInput!$M$27,Inputs!$B$4="Chapter Hunt"),CHOOSE(ArtifactsInput!$N$27+1,20,24,28,32,36,40),0)/100)))+1)),0)</f>
        <v/>
      </c>
      <c r="S1758">
        <f>IFERROR(O1758/N1758,0)</f>
        <v/>
      </c>
      <c r="T1758">
        <f>IF(C1758,(H1758*N1758*IF(AND(Inputs!$B$38&lt;&gt;"pvp",Inputs!$B$43&gt;0),((Skills!G7*((R1758-1)*IF(Skills!H7&gt;0,Skills!I7/Skills!H7,1)+IF(Skills!H7&gt;0,MIN(Skills!I7,MAX(0,MAX(0,Inputs!$B$43-B1785)-((R1758-1)*(IF(Inputs!$B$38="pvp",15,MAX(0.1,Skills!D7-IF(Skills!E7=TRUE,Inputs!$B$32,0)))*(1-IF(AND(ArtifactsInput!$M$27,Inputs!$B$4="Chapter Hunt"),CHOOSE(ArtifactsInput!$N$27+1,20,24,28,32,36,40),0)/100)))))/Skills!H7,1)))/Inputs!$B$43),G1758*Q1758)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1758*(1-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1758*(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1758*(1-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1758*(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8">
        <f>IF(C1758,(H1758*N1758*IF(AND(Inputs!$B$38&lt;&gt;"pvp",Inputs!$B$43&gt;0),((Skills!G7*((R1758-1)*IF(Skills!H7&gt;0,Skills!I7/Skills!H7,1)+IF(Skills!H7&gt;0,MIN(Skills!I7,MAX(0,MAX(0,Inputs!$B$43-B1785)-((R1758-1)*(IF(Inputs!$B$38="pvp",15,MAX(0.1,Skills!D7-IF(Skills!E7=TRUE,Inputs!$B$32,0)))*(1-IF(AND(ArtifactsInput!$M$27,Inputs!$B$4="Chapter Hunt"),CHOOSE(ArtifactsInput!$N$27+1,20,24,28,32,36,40),0)/100)))))/Skills!H7,1)))/Inputs!$B$43),G1758*Q1758))*IF(Inputs!$B$38="pvp",1,(1+(Inputs!$B$21+Skills!Q7+(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9">
      <c r="A1759">
        <f>Skills!A8</f>
        <v/>
      </c>
      <c r="B1759">
        <f>Skills!B8</f>
        <v/>
      </c>
      <c r="C1759">
        <f>Inputs!$B$3&gt;=107</f>
        <v/>
      </c>
      <c r="D1759">
        <f>IF(Skills!C8=1,60+Inputs!$B$25+Inputs!$B$29,IF(Skills!C8=2,90+Inputs!$B$26+Inputs!$B$29,IF(Skills!C8=3,120+Inputs!$B$27+Inputs!$B$29,MAX(0,(Inputs!$B$3-100)*3)+Inputs!$B$28+Inputs!$B$29)))</f>
        <v/>
      </c>
      <c r="E1759">
        <f>INDEX(FactorTable!$B$2:$Y$301, MATCH(ROUND(MIN(300,MAX(1,D1759)),0), FactorTable!$A$2:$A$301,0), Skills!M8+1)</f>
        <v/>
      </c>
      <c r="F1759">
        <f>IF(Skills!N8=TRUE,(Skills!L8/10)*(E1759/1000),Skills!L8/10)+Skills!O8</f>
        <v/>
      </c>
      <c r="G1759">
        <f>Skills!G8*IF(Skills!H8&gt;0,Skills!I8/Skills!H8,1)</f>
        <v/>
      </c>
      <c r="H1759">
        <f>1-(1-Skills!J8/100)^Skills!K8</f>
        <v/>
      </c>
      <c r="I1759" t="inlineStr">
        <is>
          <t>1</t>
        </is>
      </c>
      <c r="J1759">
        <f>((Inputs!$B$6*(1+Inputs!$B$7/100))+(((Inputs!$B$12*(1+Inputs!$B$13/100))-(Inputs!$B$12*(1+Inputs!$B$13/100)))+0.25*(Inputs!$B$14-Inputs!$B$14))*(1+Inputs!$B$7/100))*(F1759/100)</f>
        <v/>
      </c>
      <c r="K1759">
        <f>J1759*(1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1759)</f>
        <v/>
      </c>
      <c r="L1759">
        <f>K1759*(MIN(Inputs!$B$22+((C1773=TRUE)*(F1773-Calc!F22)),(Inputs!$B$23+((C1775=TRUE)*(F1775-Calc!F24))+(IF(ArtifactsInput!$M$15,CHOOSE(ArtifactsInput!$N$15+1,25,30,35,40,45,50)/100*(Inputs!$B$11-Inputs!$B$11),0))))/100+(Inputs!$B$23+((C1775=TRUE)*(F1775-Calc!F24))+(IF(ArtifactsInput!$M$15,CHOOSE(ArtifactsInput!$N$15+1,25,30,35,40,45,50)/100*(Inputs!$B$11-Inputs!$B$11),0)))/100)/2</f>
        <v/>
      </c>
      <c r="M1759">
        <f>L1759*(1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9">
        <f>L1759*(1-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1759*(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9">
        <f>(1-Summary!$B$11)*T1759+Summary!$B$11*V1759</f>
        <v/>
      </c>
      <c r="P1759">
        <f>IF(B1788=0,0,O1759/B1788)</f>
        <v/>
      </c>
      <c r="Q1759">
        <f>IFERROR(1/(IF(Inputs!$B$38="pvp",15,MAX(0.1,Skills!D8-IF(Skills!E8=TRUE,Inputs!$B$32,0)))*(1-IF(AND(ArtifactsInput!$M$27,Inputs!$B$4="Chapter Hunt"),CHOOSE(ArtifactsInput!$N$27+1,20,24,28,32,36,40),0)/100)),0)</f>
        <v/>
      </c>
      <c r="R1759">
        <f>IF(AND(Inputs!$B$38&lt;&gt;"pvp",Inputs!$B$43&gt;0),IF(MAX(0,Inputs!$B$43-B1785)&lt;=0,0,(INT(MAX(0,Inputs!$B$43-B1785)/(IF(Inputs!$B$38="pvp",15,MAX(0.1,Skills!D8-IF(Skills!E8=TRUE,Inputs!$B$32,0)))*(1-IF(AND(ArtifactsInput!$M$27,Inputs!$B$4="Chapter Hunt"),CHOOSE(ArtifactsInput!$N$27+1,20,24,28,32,36,40),0)/100)))+1)),0)</f>
        <v/>
      </c>
      <c r="S1759">
        <f>IFERROR(O1759/N1759,0)</f>
        <v/>
      </c>
      <c r="T1759">
        <f>IF(C1759,(H1759*N1759*IF(AND(Inputs!$B$38&lt;&gt;"pvp",Inputs!$B$43&gt;0),((Skills!G8*((R1759-1)*IF(Skills!H8&gt;0,Skills!I8/Skills!H8,1)+IF(Skills!H8&gt;0,MIN(Skills!I8,MAX(0,MAX(0,Inputs!$B$43-B1785)-((R1759-1)*(IF(Inputs!$B$38="pvp",15,MAX(0.1,Skills!D8-IF(Skills!E8=TRUE,Inputs!$B$32,0)))*(1-IF(AND(ArtifactsInput!$M$27,Inputs!$B$4="Chapter Hunt"),CHOOSE(ArtifactsInput!$N$27+1,20,24,28,32,36,40),0)/100)))))/Skills!H8,1)))/Inputs!$B$43),G1759*Q1759)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1759*(1-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1759*(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1759*(1-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1759*(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59">
        <f>IF(C1759,(H1759*N1759*IF(AND(Inputs!$B$38&lt;&gt;"pvp",Inputs!$B$43&gt;0),((Skills!G8*((R1759-1)*IF(Skills!H8&gt;0,Skills!I8/Skills!H8,1)+IF(Skills!H8&gt;0,MIN(Skills!I8,MAX(0,MAX(0,Inputs!$B$43-B1785)-((R1759-1)*(IF(Inputs!$B$38="pvp",15,MAX(0.1,Skills!D8-IF(Skills!E8=TRUE,Inputs!$B$32,0)))*(1-IF(AND(ArtifactsInput!$M$27,Inputs!$B$4="Chapter Hunt"),CHOOSE(ArtifactsInput!$N$27+1,20,24,28,32,36,40),0)/100)))))/Skills!H8,1)))/Inputs!$B$43),G1759*Q1759))*IF(Inputs!$B$38="pvp",1,(1+(Inputs!$B$21+Skills!Q8+(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0">
      <c r="A1760">
        <f>Skills!A9</f>
        <v/>
      </c>
      <c r="B1760">
        <f>Skills!B9</f>
        <v/>
      </c>
      <c r="C1760">
        <f>Inputs!$B$3&gt;=125</f>
        <v/>
      </c>
      <c r="D1760">
        <f>IF(Skills!C9=1,60+Inputs!$B$25+Inputs!$B$29,IF(Skills!C9=2,90+Inputs!$B$26+Inputs!$B$29,IF(Skills!C9=3,120+Inputs!$B$27+Inputs!$B$29,MAX(0,(Inputs!$B$3-100)*3)+Inputs!$B$28+Inputs!$B$29)))</f>
        <v/>
      </c>
      <c r="E1760">
        <f>INDEX(FactorTable!$B$2:$Y$301, MATCH(ROUND(MIN(300,MAX(1,D1760)),0), FactorTable!$A$2:$A$301,0), Skills!M9+1)</f>
        <v/>
      </c>
      <c r="F1760">
        <f>IF(Skills!N9=TRUE,(Skills!L9/10)*(E1760/1000),Skills!L9/10)+Skills!O9</f>
        <v/>
      </c>
      <c r="G1760">
        <f>Skills!G9*IF(Skills!H9&gt;0,Skills!I9/Skills!H9,1)</f>
        <v/>
      </c>
      <c r="H1760">
        <f>1-(1-Skills!J9/100)^Skills!K9</f>
        <v/>
      </c>
      <c r="I1760" t="inlineStr">
        <is>
          <t>1</t>
        </is>
      </c>
      <c r="J1760">
        <f>((Inputs!$B$6*(1+Inputs!$B$7/100))+(((Inputs!$B$12*(1+Inputs!$B$13/100))-(Inputs!$B$12*(1+Inputs!$B$13/100)))+0.25*(Inputs!$B$14-Inputs!$B$14))*(1+Inputs!$B$7/100))*(F1760/100)</f>
        <v/>
      </c>
      <c r="K1760">
        <f>J1760*(1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1760)</f>
        <v/>
      </c>
      <c r="L1760">
        <f>K1760*(MIN(Inputs!$B$22+((C1773=TRUE)*(F1773-Calc!F22)),(Inputs!$B$23+((C1775=TRUE)*(F1775-Calc!F24))+(IF(ArtifactsInput!$M$15,CHOOSE(ArtifactsInput!$N$15+1,25,30,35,40,45,50)/100*(Inputs!$B$11-Inputs!$B$11),0))))/100+(Inputs!$B$23+((C1775=TRUE)*(F1775-Calc!F24))+(IF(ArtifactsInput!$M$15,CHOOSE(ArtifactsInput!$N$15+1,25,30,35,40,45,50)/100*(Inputs!$B$11-Inputs!$B$11),0)))/100)/2</f>
        <v/>
      </c>
      <c r="M1760">
        <f>L1760*(1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0">
        <f>L1760*(1-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1760*(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0">
        <f>(1-Summary!$B$11)*T1760+Summary!$B$11*V1760</f>
        <v/>
      </c>
      <c r="P1760">
        <f>IF(B1788=0,0,O1760/B1788)</f>
        <v/>
      </c>
      <c r="Q1760">
        <f>IFERROR(1/(IF(Inputs!$B$38="pvp",15,MAX(0.1,Skills!D9-IF(Skills!E9=TRUE,Inputs!$B$32,0)))*(1-IF(AND(ArtifactsInput!$M$27,Inputs!$B$4="Chapter Hunt"),CHOOSE(ArtifactsInput!$N$27+1,20,24,28,32,36,40),0)/100)),0)</f>
        <v/>
      </c>
      <c r="R1760">
        <f>IF(AND(Inputs!$B$38&lt;&gt;"pvp",Inputs!$B$43&gt;0),IF(MAX(0,Inputs!$B$43-B1785)&lt;=0,0,(INT(MAX(0,Inputs!$B$43-B1785)/(IF(Inputs!$B$38="pvp",15,MAX(0.1,Skills!D9-IF(Skills!E9=TRUE,Inputs!$B$32,0)))*(1-IF(AND(ArtifactsInput!$M$27,Inputs!$B$4="Chapter Hunt"),CHOOSE(ArtifactsInput!$N$27+1,20,24,28,32,36,40),0)/100)))+1)),0)</f>
        <v/>
      </c>
      <c r="S1760">
        <f>IFERROR(O1760/N1760,0)</f>
        <v/>
      </c>
      <c r="T1760">
        <f>IF(C1760,(H1760*N1760*IF(AND(Inputs!$B$38&lt;&gt;"pvp",Inputs!$B$43&gt;0),((Skills!G9*((R1760-1)*IF(Skills!H9&gt;0,Skills!I9/Skills!H9,1)+IF(Skills!H9&gt;0,MIN(Skills!I9,MAX(0,MAX(0,Inputs!$B$43-B1785)-((R1760-1)*(IF(Inputs!$B$38="pvp",15,MAX(0.1,Skills!D9-IF(Skills!E9=TRUE,Inputs!$B$32,0)))*(1-IF(AND(ArtifactsInput!$M$27,Inputs!$B$4="Chapter Hunt"),CHOOSE(ArtifactsInput!$N$27+1,20,24,28,32,36,40),0)/100)))))/Skills!H9,1)))/Inputs!$B$43),G1760*Q1760)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1760*(1-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1760*(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1760*(1-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1760*(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0">
        <f>IF(C1760,(H1760*N1760*IF(AND(Inputs!$B$38&lt;&gt;"pvp",Inputs!$B$43&gt;0),((Skills!G9*((R1760-1)*IF(Skills!H9&gt;0,Skills!I9/Skills!H9,1)+IF(Skills!H9&gt;0,MIN(Skills!I9,MAX(0,MAX(0,Inputs!$B$43-B1785)-((R1760-1)*(IF(Inputs!$B$38="pvp",15,MAX(0.1,Skills!D9-IF(Skills!E9=TRUE,Inputs!$B$32,0)))*(1-IF(AND(ArtifactsInput!$M$27,Inputs!$B$4="Chapter Hunt"),CHOOSE(ArtifactsInput!$N$27+1,20,24,28,32,36,40),0)/100)))))/Skills!H9,1)))/Inputs!$B$43),G1760*Q1760))*IF(Inputs!$B$38="pvp",1,(1+(Inputs!$B$21+Skills!Q9+(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1">
      <c r="A1761">
        <f>Skills!A10</f>
        <v/>
      </c>
      <c r="B1761">
        <f>Skills!B10</f>
        <v/>
      </c>
      <c r="C1761">
        <f>Inputs!$B$3&gt;=117</f>
        <v/>
      </c>
      <c r="D1761">
        <f>IF(Skills!C10=1,60+Inputs!$B$25+Inputs!$B$29,IF(Skills!C10=2,90+Inputs!$B$26+Inputs!$B$29,IF(Skills!C10=3,120+Inputs!$B$27+Inputs!$B$29,MAX(0,(Inputs!$B$3-100)*3)+Inputs!$B$28+Inputs!$B$29)))</f>
        <v/>
      </c>
      <c r="E1761">
        <f>INDEX(FactorTable!$B$2:$Y$301, MATCH(ROUND(MIN(300,MAX(1,D1761)),0), FactorTable!$A$2:$A$301,0), Skills!M10+1)</f>
        <v/>
      </c>
      <c r="F1761">
        <f>IF(Skills!N10=TRUE,(Skills!L10/10)*(E1761/1000),Skills!L10/10)+Skills!O10</f>
        <v/>
      </c>
      <c r="G1761">
        <f>Skills!G10*IF(Skills!H10&gt;0,Skills!I10/Skills!H10,1)</f>
        <v/>
      </c>
      <c r="H1761">
        <f>1-(1-Skills!J10/100)^Skills!K10</f>
        <v/>
      </c>
      <c r="I1761" t="inlineStr">
        <is>
          <t>1</t>
        </is>
      </c>
      <c r="J1761">
        <f>((Inputs!$B$6*(1+Inputs!$B$7/100))+(((Inputs!$B$12*(1+Inputs!$B$13/100))-(Inputs!$B$12*(1+Inputs!$B$13/100)))+0.25*(Inputs!$B$14-Inputs!$B$14))*(1+Inputs!$B$7/100))*(F1761/100)</f>
        <v/>
      </c>
      <c r="K1761">
        <f>J1761*(1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1761)</f>
        <v/>
      </c>
      <c r="L1761">
        <f>K1761*(MIN(Inputs!$B$22+((C1773=TRUE)*(F1773-Calc!F22)),(Inputs!$B$23+((C1775=TRUE)*(F1775-Calc!F24))+(IF(ArtifactsInput!$M$15,CHOOSE(ArtifactsInput!$N$15+1,25,30,35,40,45,50)/100*(Inputs!$B$11-Inputs!$B$11),0))))/100+(Inputs!$B$23+((C1775=TRUE)*(F1775-Calc!F24))+(IF(ArtifactsInput!$M$15,CHOOSE(ArtifactsInput!$N$15+1,25,30,35,40,45,50)/100*(Inputs!$B$11-Inputs!$B$11),0)))/100)/2</f>
        <v/>
      </c>
      <c r="M1761">
        <f>L1761*(1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1">
        <f>L1761*(1-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1">
        <f>(1-Summary!$B$11)*T1761+Summary!$B$11*V1761</f>
        <v/>
      </c>
      <c r="P1761">
        <f>IF(B1788=0,0,O1761/B1788)</f>
        <v/>
      </c>
      <c r="Q1761">
        <f>IFERROR(1/(IF(Inputs!$B$38="pvp",15,MAX(0.1,Skills!D10-IF(Skills!E10=TRUE,Inputs!$B$32,0)))*(1-IF(AND(ArtifactsInput!$M$27,Inputs!$B$4="Chapter Hunt"),CHOOSE(ArtifactsInput!$N$27+1,20,24,28,32,36,40),0)/100)),0)</f>
        <v/>
      </c>
      <c r="R1761">
        <f>IF(AND(Inputs!$B$38&lt;&gt;"pvp",Inputs!$B$43&gt;0),IF(MAX(0,Inputs!$B$43-B1785)&lt;=0,0,(INT(MAX(0,Inputs!$B$43-B1785)/(IF(Inputs!$B$38="pvp",15,MAX(0.1,Skills!D10-IF(Skills!E10=TRUE,Inputs!$B$32,0)))*(1-IF(AND(ArtifactsInput!$M$27,Inputs!$B$4="Chapter Hunt"),CHOOSE(ArtifactsInput!$N$27+1,20,24,28,32,36,40),0)/100)))+1)),0)</f>
        <v/>
      </c>
      <c r="S1761">
        <f>IFERROR(O1761/N1761,0)</f>
        <v/>
      </c>
      <c r="T1761">
        <f>IF(C1761,(H1761*N1761*IF(AND(Inputs!$B$38&lt;&gt;"pvp",Inputs!$B$43&gt;0),((Skills!G10*((R1761-1)*IF(Skills!H10&gt;0,Skills!I10/Skills!H10,1)+IF(Skills!H10&gt;0,MIN(Skills!I10,MAX(0,MAX(0,Inputs!$B$43-B1785)-((R1761-1)*(IF(Inputs!$B$38="pvp",15,MAX(0.1,Skills!D10-IF(Skills!E10=TRUE,Inputs!$B$32,0)))*(1-IF(AND(ArtifactsInput!$M$27,Inputs!$B$4="Chapter Hunt"),CHOOSE(ArtifactsInput!$N$27+1,20,24,28,32,36,40),0)/100)))))/Skills!H10,1)))/Inputs!$B$43),G1761*Q1761)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1761*(1-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1761*(1-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1">
        <f>IF(C1761,(H1761*N1761*IF(AND(Inputs!$B$38&lt;&gt;"pvp",Inputs!$B$43&gt;0),((Skills!G10*((R1761-1)*IF(Skills!H10&gt;0,Skills!I10/Skills!H10,1)+IF(Skills!H10&gt;0,MIN(Skills!I10,MAX(0,MAX(0,Inputs!$B$43-B1785)-((R1761-1)*(IF(Inputs!$B$38="pvp",15,MAX(0.1,Skills!D10-IF(Skills!E10=TRUE,Inputs!$B$32,0)))*(1-IF(AND(ArtifactsInput!$M$27,Inputs!$B$4="Chapter Hunt"),CHOOSE(ArtifactsInput!$N$27+1,20,24,28,32,36,40),0)/100)))))/Skills!H10,1)))/Inputs!$B$43),G1761*Q1761))*IF(Inputs!$B$38="pvp",1,(1+(Inputs!$B$21+Skills!Q10+(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2">
      <c r="A1762">
        <f>Skills!A11</f>
        <v/>
      </c>
      <c r="B1762">
        <f>Skills!B11</f>
        <v/>
      </c>
      <c r="C1762">
        <f>Inputs!$B$3&gt;=63</f>
        <v/>
      </c>
      <c r="D1762">
        <f>IF(Skills!C11=1,60+Inputs!$B$25+Inputs!$B$29,IF(Skills!C11=2,90+Inputs!$B$26+Inputs!$B$29,IF(Skills!C11=3,120+Inputs!$B$27+Inputs!$B$29,MAX(0,(Inputs!$B$3-100)*3)+Inputs!$B$28+Inputs!$B$29)))</f>
        <v/>
      </c>
      <c r="E1762">
        <f>INDEX(FactorTable!$B$2:$Y$301, MATCH(ROUND(MIN(300,MAX(1,D1762)),0), FactorTable!$A$2:$A$301,0), Skills!M11+1)</f>
        <v/>
      </c>
      <c r="F1762">
        <f>IF(Skills!N11=TRUE,(Skills!L11/10)*(E1762/1000),Skills!L11/10)+Skills!O11</f>
        <v/>
      </c>
      <c r="G1762">
        <f>Skills!G11*IF(Skills!H11&gt;0,Skills!I11/Skills!H11,1)</f>
        <v/>
      </c>
      <c r="H1762">
        <f>1-(1-Skills!J11/100)^Skills!K11</f>
        <v/>
      </c>
      <c r="I1762" t="inlineStr">
        <is>
          <t>1</t>
        </is>
      </c>
      <c r="J1762">
        <f>((Inputs!$B$6*(1+Inputs!$B$7/100))+(((Inputs!$B$12*(1+Inputs!$B$13/100))-(Inputs!$B$12*(1+Inputs!$B$13/100)))+0.25*(Inputs!$B$14-Inputs!$B$14))*(1+Inputs!$B$7/100))*(F1762/100)</f>
        <v/>
      </c>
      <c r="K1762">
        <f>J1762*(1+((Inputs!$B$12*(1+Inputs!$B$13/100))*0.01+Inputs!$B$14*0.0025)/100)*(1+Inputs!$B$15/100)*(1+Inputs!$B$16/100)*(5000/(6000+Inputs!$B$42*(1-(Inputs!$B$19+0)/100)))*(1+(Inputs!$B$24+0+B1784)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1763=TRUE,F1763,0)/100)*(1+(IF(Skills!A11="BLAST",Inputs!$B$17+((C1772=TRUE)*(F1772-Calc!F21))+((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MIN(100,((Inputs!$B$9+0+B1778+(ArtifactsInput!$M$24-ArtifactsInput!$M$24)*CHOOSE(ArtifactsInput!$N$24+1,10,12,14,16,18,20)+IF(ArtifactsInput!$M$10,CHOOSE(ArtifactsInput!$N$10+1,15,18,21,24,27,30)*(IF(Inputs!$B$38="pvp",MIN(15,15)/15,IF(AND(Inputs!$B$38&lt;&gt;"pvp",Inputs!$B$43&gt;0),MIN(15,Inputs!$B$43)/(Inputs!$B$43),0))),0)))-100),0))*CHOOSE(ArtifactsInput!$N$42+1,0.6,0.72,0.84,0.96,1.08,1.2))),Inputs!$B$18+((C1774=TRUE)*(F1774-Calc!F23))+(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gt;=100),CHOOSE(ArtifactsInput!$N$42+1,40,48,56,64,72,80),0))))/100)*((1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1762)</f>
        <v/>
      </c>
      <c r="L1762">
        <f>K1762*(MIN(Inputs!$B$22+((C1773=TRUE)*(F1773-Calc!F22)),(Inputs!$B$23+((C1775=TRUE)*(F1775-Calc!F24))+(IF(ArtifactsInput!$M$15,CHOOSE(ArtifactsInput!$N$15+1,25,30,35,40,45,50)/100*(Inputs!$B$11-Inputs!$B$11),0))))/100+(Inputs!$B$23+((C1775=TRUE)*(F1775-Calc!F24))+(IF(ArtifactsInput!$M$15,CHOOSE(ArtifactsInput!$N$15+1,25,30,35,40,45,50)/100*(Inputs!$B$11-Inputs!$B$11),0)))/100)/2</f>
        <v/>
      </c>
      <c r="M1762">
        <f>L1762*(1+(Inputs!$B$10+0+B1783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2">
        <f>L1762*(1-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1762*(MIN((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2">
        <f>(1-Summary!$B$11)*T1762+Summary!$B$11*V1762</f>
        <v/>
      </c>
      <c r="P1762">
        <f>IF(B1788=0,0,O1762/B1788)</f>
        <v/>
      </c>
      <c r="Q1762">
        <f>IFERROR(1/(IF(Inputs!$B$38="pvp",15,MAX(0.1,Skills!D11-IF(Skills!E11=TRUE,Inputs!$B$32,0)))*(1-IF(AND(ArtifactsInput!$M$27,Inputs!$B$4="Chapter Hunt"),CHOOSE(ArtifactsInput!$N$27+1,20,24,28,32,36,40),0)/100)),0)</f>
        <v/>
      </c>
      <c r="R1762">
        <f>IF(AND(Inputs!$B$38&lt;&gt;"pvp",Inputs!$B$43&gt;0),IF(MAX(0,Inputs!$B$43-B1785)&lt;=0,0,(INT(MAX(0,Inputs!$B$43-B1785)/(IF(Inputs!$B$38="pvp",15,MAX(0.1,Skills!D11-IF(Skills!E11=TRUE,Inputs!$B$32,0)))*(1-IF(AND(ArtifactsInput!$M$27,Inputs!$B$4="Chapter Hunt"),CHOOSE(ArtifactsInput!$N$27+1,20,24,28,32,36,40),0)/100)))+1)),0)</f>
        <v/>
      </c>
      <c r="S1762">
        <f>IFERROR(O1762/N1762,0)</f>
        <v/>
      </c>
      <c r="T1762">
        <f>IF(C1762,(H1762*N1762*IF(AND(Inputs!$B$38&lt;&gt;"pvp",Inputs!$B$43&gt;0),((Skills!G11*((R1762-1)*IF(Skills!H11&gt;0,Skills!I11/Skills!H11,1)+IF(Skills!H11&gt;0,MIN(Skills!I11,MAX(0,MAX(0,Inputs!$B$43-B1785)-((R1762-1)*(IF(Inputs!$B$38="pvp",15,MAX(0.1,Skills!D11-IF(Skills!E11=TRUE,Inputs!$B$32,0)))*(1-IF(AND(ArtifactsInput!$M$27,Inputs!$B$4="Chapter Hunt"),CHOOSE(ArtifactsInput!$N$27+1,20,24,28,32,36,40),0)/100)))))/Skills!H11,1)))/Inputs!$B$43),G1762*Q1762)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1762*(1-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1762*(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1762*(1-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1762*(MIN(100,(Inputs!$B$9+0+B1778+(ArtifactsInput!$M$24-ArtifactsInput!$M$24)*CHOOSE(ArtifactsInput!$N$24+1,10,12,14,16,18,20)+(IF(AND(Inputs!$B$38&lt;&gt;"pvp",Inputs!$B$43=0),1,IF(IF(Inputs!$B$38="pvp",15,Inputs!$B$43)-(B1785)&lt;=0,1,MAX(0,IF(Inputs!$B$38="pvp",15,Inputs!$B$43)-MAX(5,B1785))/(IF(Inputs!$B$38="pvp",15,Inputs!$B$43)-(B1785))))*IF(AND(ArtifactsInput!$M$42,((Inputs!$B$9+0+B1778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62">
        <f>IF(C1762,(H1762*N1762*IF(AND(Inputs!$B$38&lt;&gt;"pvp",Inputs!$B$43&gt;0),((Skills!G11*((R1762-1)*IF(Skills!H11&gt;0,Skills!I11/Skills!H11,1)+IF(Skills!H11&gt;0,MIN(Skills!I11,MAX(0,MAX(0,Inputs!$B$43-B1785)-((R1762-1)*(IF(Inputs!$B$38="pvp",15,MAX(0.1,Skills!D11-IF(Skills!E11=TRUE,Inputs!$B$32,0)))*(1-IF(AND(ArtifactsInput!$M$27,Inputs!$B$4="Chapter Hunt"),CHOOSE(ArtifactsInput!$N$27+1,20,24,28,32,36,40),0)/100)))))/Skills!H11,1)))/Inputs!$B$43),G1762*Q1762))*IF(Inputs!$B$38="pvp",1,(1+(Inputs!$B$21+Skills!Q11+(IF(ArtifactsInput!$M$33,CHOOSE(ArtifactsInput!$N$33+1,30,36,42,48,54,60),0))+(IF(AND(ArtifactsInput!$M$35,Inputs!$B$4&lt;&gt;"Chapter Hunt"),CHOOSE(ArtifactsInput!$N$35+1,15,18,21,24,27,30)*(1-EXP(-(0.2*B1780)*5)),0)+IF(AND(ArtifactsInput!$M$22,Inputs!$B$4&lt;&gt;"Chapter Hunt"),CHOOSE(ArtifactsInput!$N$22+1,10,12,14,16,18,20)*((0*(((0.15*B1780*5))^0/1)+1*(((0.15*B1780*5))^1/1)+2*(((0.15*B1780*5))^2/2)+3*(((0.15*B1780*5))^3/6)+4*(((0.15*B1780*5))^4/24)+5*(((0.15*B1780*5))^5/120))/((((0.15*B1780*5))^0/1)+(((0.15*B1780*5))^1/1)+(((0.15*B1780*5))^2/2)+(((0.15*B1780*5))^3/6)+(((0.15*B1780*5))^4/24)+(((0.15*B1780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3">
      <c r="A1763">
        <f>Skills!A12</f>
        <v/>
      </c>
      <c r="B1763">
        <f>Skills!B12</f>
        <v/>
      </c>
      <c r="C1763">
        <f>Inputs!$B$3&gt;=100</f>
        <v/>
      </c>
      <c r="D1763">
        <f>IF(Skills!C12=1,60+Inputs!$B$25+Inputs!$B$29,IF(Skills!C12=2,90+Inputs!$B$26+Inputs!$B$29,IF(Skills!C12=3,120+Inputs!$B$27+Inputs!$B$29,MAX(0,(Inputs!$B$3-100)*3)+Inputs!$B$28+Inputs!$B$29)))</f>
        <v/>
      </c>
      <c r="E1763">
        <f>INDEX(FactorTable!$B$2:$Y$301, MATCH(ROUND(MIN(300,MAX(1,D1763)),0), FactorTable!$A$2:$A$301,0), Skills!M12+1)</f>
        <v/>
      </c>
      <c r="F1763">
        <f>IF(Skills!N12=TRUE,(Skills!L12/10)*(E1763/1000),Skills!L12/10)+Skills!O12</f>
        <v/>
      </c>
      <c r="G1763" t="inlineStr"/>
      <c r="H1763" t="inlineStr"/>
      <c r="I1763" t="inlineStr">
        <is>
          <t>1</t>
        </is>
      </c>
      <c r="J1763" t="inlineStr"/>
      <c r="K1763" t="inlineStr"/>
      <c r="L1763" t="inlineStr"/>
      <c r="M1763" t="inlineStr"/>
      <c r="N1763" t="inlineStr"/>
      <c r="O1763" t="inlineStr"/>
      <c r="P1763" t="inlineStr"/>
      <c r="Q1763" t="inlineStr"/>
      <c r="R1763" t="inlineStr"/>
      <c r="S1763" t="inlineStr"/>
    </row>
    <row r="1764">
      <c r="A1764">
        <f>Skills!A13</f>
        <v/>
      </c>
      <c r="B1764">
        <f>Skills!B13</f>
        <v/>
      </c>
      <c r="C1764">
        <f>Inputs!$B$3&gt;=45</f>
        <v/>
      </c>
      <c r="D1764">
        <f>IF(Skills!C13=1,60+Inputs!$B$25+Inputs!$B$29,IF(Skills!C13=2,90+Inputs!$B$26+Inputs!$B$29,IF(Skills!C13=3,120+Inputs!$B$27+Inputs!$B$29,MAX(0,(Inputs!$B$3-100)*3)+Inputs!$B$28+Inputs!$B$29)))</f>
        <v/>
      </c>
      <c r="E1764">
        <f>INDEX(FactorTable!$B$2:$Y$301, MATCH(ROUND(MIN(300,MAX(1,D1764)),0), FactorTable!$A$2:$A$301,0), Skills!M13+1)</f>
        <v/>
      </c>
      <c r="F1764">
        <f>IF(Skills!N13=TRUE,(Skills!L13/10)*(E1764/1000),Skills!L13/10)+Skills!O13</f>
        <v/>
      </c>
      <c r="G1764">
        <f>Skills!G13*IF(Skills!H13&gt;0,Skills!I13/Skills!H13,1)</f>
        <v/>
      </c>
      <c r="H1764">
        <f>1-(1-Skills!J13/100)^Skills!K13</f>
        <v/>
      </c>
      <c r="I1764" t="inlineStr">
        <is>
          <t>1</t>
        </is>
      </c>
      <c r="J1764" t="inlineStr"/>
      <c r="K1764" t="inlineStr"/>
      <c r="L1764" t="inlineStr"/>
      <c r="M1764" t="inlineStr"/>
      <c r="N1764" t="inlineStr"/>
      <c r="O1764">
        <f>(1-Summary!$B$11)*T1764+Summary!$B$11*V1764</f>
        <v/>
      </c>
      <c r="P1764">
        <f>IF(B1788=0,0,O1764/B1788)</f>
        <v/>
      </c>
      <c r="Q1764" t="n">
        <v>0</v>
      </c>
      <c r="R1764" t="n">
        <v>0</v>
      </c>
      <c r="S1764">
        <f>IFERROR(O1764/N1764,0)</f>
        <v/>
      </c>
      <c r="T1764" t="n">
        <v>0</v>
      </c>
      <c r="V1764" t="n">
        <v>0</v>
      </c>
    </row>
    <row r="1765">
      <c r="A1765">
        <f>Skills!A14</f>
        <v/>
      </c>
      <c r="B1765">
        <f>Skills!B14</f>
        <v/>
      </c>
      <c r="C1765">
        <f>Inputs!$B$3&gt;=110</f>
        <v/>
      </c>
      <c r="D1765">
        <f>IF(Skills!C14=1,60+Inputs!$B$25+Inputs!$B$29,IF(Skills!C14=2,90+Inputs!$B$26+Inputs!$B$29,IF(Skills!C14=3,120+Inputs!$B$27+Inputs!$B$29,MAX(0,(Inputs!$B$3-100)*3)+Inputs!$B$28+Inputs!$B$29)))</f>
        <v/>
      </c>
      <c r="E1765">
        <f>INDEX(FactorTable!$B$2:$Y$301, MATCH(ROUND(MIN(300,MAX(1,D1765)),0), FactorTable!$A$2:$A$301,0), Skills!M14+1)</f>
        <v/>
      </c>
      <c r="F1765">
        <f>IF(Skills!N14=TRUE,(Skills!L14/10)*(E1765/1000),Skills!L14/10)+Skills!O14</f>
        <v/>
      </c>
      <c r="G1765">
        <f>Skills!G14*IF(Skills!H14&gt;0,Skills!I14/Skills!H14,1)</f>
        <v/>
      </c>
      <c r="H1765">
        <f>1-(1-Skills!J14/100)^Skills!K14</f>
        <v/>
      </c>
      <c r="I1765" t="inlineStr">
        <is>
          <t>1</t>
        </is>
      </c>
      <c r="J1765" t="inlineStr"/>
      <c r="K1765" t="inlineStr"/>
      <c r="L1765" t="inlineStr"/>
      <c r="M1765" t="inlineStr"/>
      <c r="N1765" t="inlineStr"/>
      <c r="O1765">
        <f>(1-Summary!$B$11)*T1765+Summary!$B$11*V1765</f>
        <v/>
      </c>
      <c r="P1765">
        <f>IF(B1788=0,0,O1765/B1788)</f>
        <v/>
      </c>
      <c r="Q1765" t="n">
        <v>0</v>
      </c>
      <c r="R1765" t="n">
        <v>0</v>
      </c>
      <c r="S1765">
        <f>IFERROR(O1765/N1765,0)</f>
        <v/>
      </c>
      <c r="T1765" t="n">
        <v>0</v>
      </c>
      <c r="V1765" t="n">
        <v>0</v>
      </c>
    </row>
    <row r="1766">
      <c r="A1766">
        <f>Skills!A15</f>
        <v/>
      </c>
      <c r="B1766">
        <f>Skills!B15</f>
        <v/>
      </c>
      <c r="C1766">
        <f>Inputs!$B$3&gt;=75</f>
        <v/>
      </c>
      <c r="D1766">
        <f>IF(Skills!C15=1,60+Inputs!$B$25+Inputs!$B$29,IF(Skills!C15=2,90+Inputs!$B$26+Inputs!$B$29,IF(Skills!C15=3,120+Inputs!$B$27+Inputs!$B$29,MAX(0,(Inputs!$B$3-100)*3)+Inputs!$B$28+Inputs!$B$29)))</f>
        <v/>
      </c>
      <c r="E1766">
        <f>INDEX(FactorTable!$B$2:$Y$301, MATCH(ROUND(MIN(300,MAX(1,D1766)),0), FactorTable!$A$2:$A$301,0), Skills!M15+1)</f>
        <v/>
      </c>
      <c r="F1766">
        <f>IF(Skills!N15=TRUE,(Skills!L15/10)*(E1766/1000),Skills!L15/10)+Skills!O15</f>
        <v/>
      </c>
      <c r="G1766">
        <f>Skills!G15*IF(Skills!H15&gt;0,Skills!I15/Skills!H15,1)</f>
        <v/>
      </c>
      <c r="H1766">
        <f>1-(1-Skills!J15/100)^Skills!K15</f>
        <v/>
      </c>
      <c r="I1766" t="inlineStr">
        <is>
          <t>1</t>
        </is>
      </c>
      <c r="J1766" t="inlineStr"/>
      <c r="K1766" t="inlineStr"/>
      <c r="L1766" t="inlineStr"/>
      <c r="M1766" t="inlineStr"/>
      <c r="N1766" t="inlineStr"/>
      <c r="O1766">
        <f>(1-Summary!$B$11)*T1766+Summary!$B$11*V1766</f>
        <v/>
      </c>
      <c r="P1766">
        <f>IF(B1788=0,0,O1766/B1788)</f>
        <v/>
      </c>
      <c r="Q1766">
        <f>IFERROR(1/(IF(Inputs!$B$38="pvp",15,MAX(0.1,Skills!D15-IF(Skills!E15=TRUE,Inputs!$B$32,0)))*(1-IF(AND(ArtifactsInput!$M$27,Inputs!$B$4="Chapter Hunt"),CHOOSE(ArtifactsInput!$N$27+1,20,24,28,32,36,40),0)/100)),0)</f>
        <v/>
      </c>
      <c r="R1766">
        <f>IF(AND(Inputs!$B$38&lt;&gt;"pvp",Inputs!$B$43&gt;0),IF(Inputs!$B$43&lt;=0,0,(INT(Inputs!$B$43/(IF(Inputs!$B$38="pvp",15,MAX(0.1,Skills!D15-IF(Skills!E15=TRUE,Inputs!$B$32,0)))*(1-IF(AND(ArtifactsInput!$M$27,Inputs!$B$4="Chapter Hunt"),CHOOSE(ArtifactsInput!$N$27+1,20,24,28,32,36,40),0)/100)))+1)),0)</f>
        <v/>
      </c>
      <c r="S1766">
        <f>IFERROR(O1766/N1766,0)</f>
        <v/>
      </c>
      <c r="T1766" t="n">
        <v>0</v>
      </c>
      <c r="V1766" t="n">
        <v>0</v>
      </c>
    </row>
    <row r="1767">
      <c r="A1767">
        <f>Skills!A16</f>
        <v/>
      </c>
      <c r="B1767">
        <f>Skills!B16</f>
        <v/>
      </c>
      <c r="C1767">
        <f>Inputs!$B$3&gt;=105</f>
        <v/>
      </c>
      <c r="D1767">
        <f>IF(Skills!C16=1,60+Inputs!$B$25+Inputs!$B$29,IF(Skills!C16=2,90+Inputs!$B$26+Inputs!$B$29,IF(Skills!C16=3,120+Inputs!$B$27+Inputs!$B$29,MAX(0,(Inputs!$B$3-100)*3)+Inputs!$B$28+Inputs!$B$29)))</f>
        <v/>
      </c>
      <c r="E1767">
        <f>INDEX(FactorTable!$B$2:$Y$301, MATCH(ROUND(MIN(300,MAX(1,D1767)),0), FactorTable!$A$2:$A$301,0), Skills!M16+1)</f>
        <v/>
      </c>
      <c r="F1767">
        <f>IF(Skills!N16=TRUE,(Skills!L16/10)*(E1767/1000),Skills!L16/10)+Skills!O16</f>
        <v/>
      </c>
      <c r="G1767">
        <f>Skills!G16*IF(Skills!H16&gt;0,Skills!I16/Skills!H16,1)</f>
        <v/>
      </c>
      <c r="H1767">
        <f>1-(1-Skills!J16/100)^Skills!K16</f>
        <v/>
      </c>
      <c r="I1767" t="inlineStr">
        <is>
          <t>1</t>
        </is>
      </c>
      <c r="J1767" t="inlineStr"/>
      <c r="K1767" t="inlineStr"/>
      <c r="L1767" t="inlineStr"/>
      <c r="M1767" t="inlineStr"/>
      <c r="N1767" t="inlineStr"/>
      <c r="O1767">
        <f>(1-Summary!$B$11)*T1767+Summary!$B$11*V1767</f>
        <v/>
      </c>
      <c r="P1767">
        <f>IF(B1788=0,0,O1767/B1788)</f>
        <v/>
      </c>
      <c r="Q1767">
        <f>IFERROR(1/(IF(Inputs!$B$38="pvp",15,MAX(0.1,Skills!D16-IF(Skills!E16=TRUE,Inputs!$B$32,0)))*(1-IF(AND(ArtifactsInput!$M$27,Inputs!$B$4="Chapter Hunt"),CHOOSE(ArtifactsInput!$N$27+1,20,24,28,32,36,40),0)/100)),0)</f>
        <v/>
      </c>
      <c r="R1767">
        <f>IF(AND(Inputs!$B$38&lt;&gt;"pvp",Inputs!$B$43&gt;0),IF(Inputs!$B$43&lt;=0,0,(INT(Inputs!$B$43/(IF(Inputs!$B$38="pvp",15,MAX(0.1,Skills!D16-IF(Skills!E16=TRUE,Inputs!$B$32,0)))*(1-IF(AND(ArtifactsInput!$M$27,Inputs!$B$4="Chapter Hunt"),CHOOSE(ArtifactsInput!$N$27+1,20,24,28,32,36,40),0)/100)))+1)),0)</f>
        <v/>
      </c>
      <c r="S1767">
        <f>IFERROR(O1767/N1767,0)</f>
        <v/>
      </c>
      <c r="T1767" t="n">
        <v>0</v>
      </c>
      <c r="V1767" t="n">
        <v>0</v>
      </c>
    </row>
    <row r="1768">
      <c r="A1768">
        <f>Skills!A17</f>
        <v/>
      </c>
      <c r="B1768">
        <f>Skills!B17</f>
        <v/>
      </c>
      <c r="C1768">
        <f>Inputs!$B$3&gt;=115</f>
        <v/>
      </c>
      <c r="D1768">
        <f>IF(Skills!C17=1,60+Inputs!$B$25+Inputs!$B$29,IF(Skills!C17=2,90+Inputs!$B$26+Inputs!$B$29,IF(Skills!C17=3,120+Inputs!$B$27+Inputs!$B$29,MAX(0,(Inputs!$B$3-100)*3)+Inputs!$B$28+Inputs!$B$29)))</f>
        <v/>
      </c>
      <c r="E1768">
        <f>INDEX(FactorTable!$B$2:$Y$301, MATCH(ROUND(MIN(300,MAX(1,D1768)),0), FactorTable!$A$2:$A$301,0), Skills!M17+1)</f>
        <v/>
      </c>
      <c r="F1768">
        <f>IF(Skills!N17=TRUE,(Skills!L17/10)*(E1768/1000),Skills!L17/10)+Skills!O17</f>
        <v/>
      </c>
      <c r="G1768">
        <f>Skills!G17*IF(Skills!H17&gt;0,Skills!I17/Skills!H17,1)</f>
        <v/>
      </c>
      <c r="H1768">
        <f>1-(1-Skills!J17/100)^Skills!K17</f>
        <v/>
      </c>
      <c r="I1768" t="inlineStr">
        <is>
          <t>1</t>
        </is>
      </c>
      <c r="J1768" t="inlineStr"/>
      <c r="K1768" t="inlineStr"/>
      <c r="L1768" t="inlineStr"/>
      <c r="M1768" t="inlineStr"/>
      <c r="N1768" t="inlineStr"/>
      <c r="O1768">
        <f>(1-Summary!$B$11)*T1768+Summary!$B$11*V1768</f>
        <v/>
      </c>
      <c r="P1768">
        <f>IF(B1788=0,0,O1768/B1788)</f>
        <v/>
      </c>
      <c r="Q1768">
        <f>IFERROR(1/(IF(Inputs!$B$38="pvp",15,MAX(0.1,Skills!D17-IF(Skills!E17=TRUE,Inputs!$B$32,0)))*(1-IF(AND(ArtifactsInput!$M$27,Inputs!$B$4="Chapter Hunt"),CHOOSE(ArtifactsInput!$N$27+1,20,24,28,32,36,40),0)/100)),0)</f>
        <v/>
      </c>
      <c r="R1768">
        <f>IF(AND(Inputs!$B$38&lt;&gt;"pvp",Inputs!$B$43&gt;0),IF(Inputs!$B$43&lt;=0,0,(INT(Inputs!$B$43/(IF(Inputs!$B$38="pvp",15,MAX(0.1,Skills!D17-IF(Skills!E17=TRUE,Inputs!$B$32,0)))*(1-IF(AND(ArtifactsInput!$M$27,Inputs!$B$4="Chapter Hunt"),CHOOSE(ArtifactsInput!$N$27+1,20,24,28,32,36,40),0)/100)))+1)),0)</f>
        <v/>
      </c>
      <c r="S1768">
        <f>IFERROR(O1768/N1768,0)</f>
        <v/>
      </c>
      <c r="T1768" t="n">
        <v>0</v>
      </c>
      <c r="V1768" t="n">
        <v>0</v>
      </c>
    </row>
    <row r="1769">
      <c r="A1769">
        <f>Skills!A18</f>
        <v/>
      </c>
      <c r="B1769">
        <f>Skills!B18</f>
        <v/>
      </c>
      <c r="C1769">
        <f>Inputs!$B$3&gt;=74</f>
        <v/>
      </c>
      <c r="D1769">
        <f>IF(Skills!C18=1,60+Inputs!$B$25+Inputs!$B$29,IF(Skills!C18=2,90+Inputs!$B$26+Inputs!$B$29,IF(Skills!C18=3,120+Inputs!$B$27+Inputs!$B$29,MAX(0,(Inputs!$B$3-100)*3)+Inputs!$B$28+Inputs!$B$29)))</f>
        <v/>
      </c>
      <c r="E1769">
        <f>INDEX(FactorTable!$B$2:$Y$301, MATCH(ROUND(MIN(300,MAX(1,D1769)),0), FactorTable!$A$2:$A$301,0), Skills!M18+1)</f>
        <v/>
      </c>
      <c r="F1769">
        <f>IF(Skills!N18=TRUE,(Skills!L18/10)*(E1769/1000),Skills!L18/10)+Skills!O18</f>
        <v/>
      </c>
      <c r="G1769">
        <f>Skills!G18*IF(Skills!H18&gt;0,Skills!I18/Skills!H18,1)</f>
        <v/>
      </c>
      <c r="H1769">
        <f>1-(1-Skills!J18/100)^Skills!K18</f>
        <v/>
      </c>
      <c r="I1769" t="inlineStr">
        <is>
          <t>1</t>
        </is>
      </c>
      <c r="J1769" t="inlineStr"/>
      <c r="K1769" t="inlineStr"/>
      <c r="L1769" t="inlineStr"/>
      <c r="M1769" t="inlineStr"/>
      <c r="N1769" t="inlineStr"/>
      <c r="O1769">
        <f>(1-Summary!$B$11)*T1769+Summary!$B$11*V1769</f>
        <v/>
      </c>
      <c r="P1769">
        <f>IF(B1788=0,0,O1769/B1788)</f>
        <v/>
      </c>
      <c r="Q1769">
        <f>IFERROR(1/(IF(Inputs!$B$38="pvp",15,MAX(0.1,Skills!D18-IF(Skills!E18=TRUE,Inputs!$B$32,0)))*(1-IF(AND(ArtifactsInput!$M$27,Inputs!$B$4="Chapter Hunt"),CHOOSE(ArtifactsInput!$N$27+1,20,24,28,32,36,40),0)/100)),0)</f>
        <v/>
      </c>
      <c r="R1769">
        <f>IF(AND(Inputs!$B$38&lt;&gt;"pvp",Inputs!$B$43&gt;0),IF(Inputs!$B$43&lt;=0,0,(INT(Inputs!$B$43/(IF(Inputs!$B$38="pvp",15,MAX(0.1,Skills!D18-IF(Skills!E18=TRUE,Inputs!$B$32,0)))*(1-IF(AND(ArtifactsInput!$M$27,Inputs!$B$4="Chapter Hunt"),CHOOSE(ArtifactsInput!$N$27+1,20,24,28,32,36,40),0)/100)))+1)),0)</f>
        <v/>
      </c>
      <c r="S1769">
        <f>IFERROR(O1769/N1769,0)</f>
        <v/>
      </c>
      <c r="T1769" t="n">
        <v>0</v>
      </c>
      <c r="V1769" t="n">
        <v>0</v>
      </c>
    </row>
    <row r="1770">
      <c r="A1770">
        <f>Skills!A19</f>
        <v/>
      </c>
      <c r="B1770">
        <f>Skills!B19</f>
        <v/>
      </c>
      <c r="C1770">
        <f>TRUE</f>
        <v/>
      </c>
      <c r="D1770">
        <f>IF(Skills!C19=1,60+Inputs!$B$25+Inputs!$B$29,IF(Skills!C19=2,90+Inputs!$B$26+Inputs!$B$29,IF(Skills!C19=3,120+Inputs!$B$27+Inputs!$B$29,MAX(0,(Inputs!$B$3-100)*3)+Inputs!$B$28+Inputs!$B$29)))</f>
        <v/>
      </c>
      <c r="E1770">
        <f>INDEX(FactorTable!$B$2:$Y$301, MATCH(ROUND(MIN(300,MAX(1,D1770)),0), FactorTable!$A$2:$A$301,0), Skills!M19+1)</f>
        <v/>
      </c>
      <c r="F1770">
        <f>IF(Skills!N19=TRUE,(Skills!L19/10)*(E1770/1000),Skills!L19/10)+Skills!O19</f>
        <v/>
      </c>
      <c r="G1770">
        <f>Skills!G19*IF(Skills!H19&gt;0,Skills!I19/Skills!H19,1)</f>
        <v/>
      </c>
      <c r="H1770">
        <f>1-(1-Skills!J19/100)^Skills!K19</f>
        <v/>
      </c>
      <c r="I1770" t="inlineStr">
        <is>
          <t>1</t>
        </is>
      </c>
      <c r="J1770" t="inlineStr"/>
      <c r="K1770" t="inlineStr"/>
      <c r="L1770" t="inlineStr"/>
      <c r="M1770" t="inlineStr"/>
      <c r="N1770" t="inlineStr"/>
      <c r="O1770">
        <f>(1-Summary!$B$11)*T1770+Summary!$B$11*V1770</f>
        <v/>
      </c>
      <c r="P1770">
        <f>IF(B1788=0,0,O1770/B1788)</f>
        <v/>
      </c>
      <c r="Q1770">
        <f>IFERROR(1/(IF(Inputs!$B$38="pvp",15,MAX(0.1,Skills!D19-IF(Skills!E19=TRUE,Inputs!$B$32,0)))*(1-IF(AND(ArtifactsInput!$M$27,Inputs!$B$4="Chapter Hunt"),CHOOSE(ArtifactsInput!$N$27+1,20,24,28,32,36,40),0)/100)),0)</f>
        <v/>
      </c>
      <c r="R1770">
        <f>IF(AND(Inputs!$B$38&lt;&gt;"pvp",Inputs!$B$43&gt;0),IF(Inputs!$B$43&lt;=0,0,(INT(Inputs!$B$43/(IF(Inputs!$B$38="pvp",15,MAX(0.1,Skills!D19-IF(Skills!E19=TRUE,Inputs!$B$32,0)))*(1-IF(AND(ArtifactsInput!$M$27,Inputs!$B$4="Chapter Hunt"),CHOOSE(ArtifactsInput!$N$27+1,20,24,28,32,36,40),0)/100)))+1)),0)</f>
        <v/>
      </c>
      <c r="S1770">
        <f>IFERROR(O1770/N1770,0)</f>
        <v/>
      </c>
      <c r="T1770" t="n">
        <v>0</v>
      </c>
      <c r="V1770" t="n">
        <v>0</v>
      </c>
    </row>
    <row r="1771">
      <c r="A1771">
        <f>Skills!A20</f>
        <v/>
      </c>
      <c r="B1771">
        <f>Skills!B20</f>
        <v/>
      </c>
      <c r="C1771">
        <f>Inputs!$B$3&gt;=33</f>
        <v/>
      </c>
      <c r="D1771">
        <f>IF(Skills!C20=1,60+Inputs!$B$25+Inputs!$B$29,IF(Skills!C20=2,90+Inputs!$B$26+Inputs!$B$29,IF(Skills!C20=3,120+Inputs!$B$27+Inputs!$B$29,MAX(0,(Inputs!$B$3-100)*3)+Inputs!$B$28+Inputs!$B$29)))</f>
        <v/>
      </c>
      <c r="E1771">
        <f>INDEX(FactorTable!$B$2:$Y$301, MATCH(ROUND(MIN(300,MAX(1,D1771)),0), FactorTable!$A$2:$A$301,0), Skills!M20+1)</f>
        <v/>
      </c>
      <c r="F1771">
        <f>IF(Skills!N20=TRUE,(Skills!L20/10)*(E1771/1000),Skills!L20/10)+Skills!O20</f>
        <v/>
      </c>
      <c r="G1771">
        <f>Skills!G20*IF(Skills!H20&gt;0,Skills!I20/Skills!H20,1)</f>
        <v/>
      </c>
      <c r="H1771">
        <f>1-(1-Skills!J20/100)^Skills!K20</f>
        <v/>
      </c>
      <c r="I1771" t="inlineStr">
        <is>
          <t>1</t>
        </is>
      </c>
      <c r="J1771" t="inlineStr"/>
      <c r="K1771" t="inlineStr"/>
      <c r="L1771" t="inlineStr"/>
      <c r="M1771" t="inlineStr"/>
      <c r="N1771" t="inlineStr"/>
      <c r="O1771">
        <f>(1-Summary!$B$11)*T1771+Summary!$B$11*V1771</f>
        <v/>
      </c>
      <c r="P1771">
        <f>IF(B1788=0,0,O1771/B1788)</f>
        <v/>
      </c>
      <c r="Q1771" t="n">
        <v>0</v>
      </c>
      <c r="R1771" t="n">
        <v>0</v>
      </c>
      <c r="S1771">
        <f>IFERROR(O1771/N1771,0)</f>
        <v/>
      </c>
      <c r="T1771" t="n">
        <v>0</v>
      </c>
      <c r="V1771" t="n">
        <v>0</v>
      </c>
    </row>
    <row r="1772">
      <c r="A1772">
        <f>Skills!A21</f>
        <v/>
      </c>
      <c r="B1772">
        <f>Skills!B21</f>
        <v/>
      </c>
      <c r="C1772">
        <f>Inputs!$B$3&gt;=38</f>
        <v/>
      </c>
      <c r="D1772">
        <f>IF(Skills!C21=1,60+Inputs!$B$25+Inputs!$B$29,IF(Skills!C21=2,90+Inputs!$B$26+Inputs!$B$29,IF(Skills!C21=3,120+Inputs!$B$27+Inputs!$B$29,MAX(0,(Inputs!$B$3-100)*3)+Inputs!$B$28+Inputs!$B$29)))</f>
        <v/>
      </c>
      <c r="E1772">
        <f>INDEX(FactorTable!$B$2:$Y$301, MATCH(ROUND(MIN(300,MAX(1,D1772)),0), FactorTable!$A$2:$A$301,0), Skills!M21+1)</f>
        <v/>
      </c>
      <c r="F1772">
        <f>IF(Skills!N21=TRUE,(Skills!L21/10)*(E1772/1000),Skills!L21/10)+Skills!O21</f>
        <v/>
      </c>
      <c r="G1772">
        <f>Skills!G21*IF(Skills!H21&gt;0,Skills!I21/Skills!H21,1)</f>
        <v/>
      </c>
      <c r="H1772">
        <f>1-(1-Skills!J21/100)^Skills!K21</f>
        <v/>
      </c>
      <c r="I1772" t="inlineStr">
        <is>
          <t>1</t>
        </is>
      </c>
      <c r="J1772" t="inlineStr"/>
      <c r="K1772" t="inlineStr"/>
      <c r="L1772" t="inlineStr"/>
      <c r="M1772" t="inlineStr"/>
      <c r="N1772" t="inlineStr"/>
      <c r="O1772">
        <f>(1-Summary!$B$11)*T1772+Summary!$B$11*V1772</f>
        <v/>
      </c>
      <c r="P1772">
        <f>IF(B1788=0,0,O1772/B1788)</f>
        <v/>
      </c>
      <c r="Q1772" t="n">
        <v>0</v>
      </c>
      <c r="R1772" t="n">
        <v>0</v>
      </c>
      <c r="S1772">
        <f>IFERROR(O1772/N1772,0)</f>
        <v/>
      </c>
      <c r="T1772" t="n">
        <v>0</v>
      </c>
      <c r="V1772" t="n">
        <v>0</v>
      </c>
    </row>
    <row r="1773">
      <c r="A1773">
        <f>Skills!A22</f>
        <v/>
      </c>
      <c r="B1773">
        <f>Skills!B22</f>
        <v/>
      </c>
      <c r="C1773">
        <f>Inputs!$B$3&gt;=43</f>
        <v/>
      </c>
      <c r="D1773">
        <f>IF(Skills!C22=1,60+Inputs!$B$25+Inputs!$B$29,IF(Skills!C22=2,90+Inputs!$B$26+Inputs!$B$29,IF(Skills!C22=3,120+Inputs!$B$27+Inputs!$B$29,MAX(0,(Inputs!$B$3-100)*3)+Inputs!$B$28+Inputs!$B$29)))</f>
        <v/>
      </c>
      <c r="E1773">
        <f>INDEX(FactorTable!$B$2:$Y$301, MATCH(ROUND(MIN(300,MAX(1,D1773)),0), FactorTable!$A$2:$A$301,0), Skills!M22+1)</f>
        <v/>
      </c>
      <c r="F1773">
        <f>IF(Skills!N22=TRUE,(Skills!L22/10)*(E1773/1000),Skills!L22/10)+Skills!O22</f>
        <v/>
      </c>
      <c r="G1773">
        <f>Skills!G22*IF(Skills!H22&gt;0,Skills!I22/Skills!H22,1)</f>
        <v/>
      </c>
      <c r="H1773">
        <f>1-(1-Skills!J22/100)^Skills!K22</f>
        <v/>
      </c>
      <c r="I1773" t="inlineStr">
        <is>
          <t>1</t>
        </is>
      </c>
      <c r="J1773" t="inlineStr"/>
      <c r="K1773" t="inlineStr"/>
      <c r="L1773" t="inlineStr"/>
      <c r="M1773" t="inlineStr"/>
      <c r="N1773" t="inlineStr"/>
      <c r="O1773">
        <f>(1-Summary!$B$11)*T1773+Summary!$B$11*V1773</f>
        <v/>
      </c>
      <c r="P1773">
        <f>IF(B1788=0,0,O1773/B1788)</f>
        <v/>
      </c>
      <c r="Q1773" t="n">
        <v>0</v>
      </c>
      <c r="R1773" t="n">
        <v>0</v>
      </c>
      <c r="S1773">
        <f>IFERROR(O1773/N1773,0)</f>
        <v/>
      </c>
      <c r="T1773" t="n">
        <v>0</v>
      </c>
      <c r="V1773" t="n">
        <v>0</v>
      </c>
    </row>
    <row r="1774">
      <c r="A1774">
        <f>Skills!A23</f>
        <v/>
      </c>
      <c r="B1774">
        <f>Skills!B23</f>
        <v/>
      </c>
      <c r="C1774">
        <f>Inputs!$B$3&gt;=120</f>
        <v/>
      </c>
      <c r="D1774">
        <f>IF(Skills!C23=1,60+Inputs!$B$25+Inputs!$B$29,IF(Skills!C23=2,90+Inputs!$B$26+Inputs!$B$29,IF(Skills!C23=3,120+Inputs!$B$27+Inputs!$B$29,MAX(0,(Inputs!$B$3-100)*3)+Inputs!$B$28+Inputs!$B$29)))</f>
        <v/>
      </c>
      <c r="E1774">
        <f>INDEX(FactorTable!$B$2:$Y$301, MATCH(ROUND(MIN(300,MAX(1,D1774)),0), FactorTable!$A$2:$A$301,0), Skills!M23+1)</f>
        <v/>
      </c>
      <c r="F1774">
        <f>IF(Skills!N23=TRUE,(Skills!L23/10)*(E1774/1000),Skills!L23/10)+Skills!O23</f>
        <v/>
      </c>
      <c r="G1774">
        <f>Skills!G23*IF(Skills!H23&gt;0,Skills!I23/Skills!H23,1)</f>
        <v/>
      </c>
      <c r="H1774">
        <f>1-(1-Skills!J23/100)^Skills!K23</f>
        <v/>
      </c>
      <c r="I1774" t="inlineStr">
        <is>
          <t>1</t>
        </is>
      </c>
      <c r="J1774" t="inlineStr"/>
      <c r="K1774" t="inlineStr"/>
      <c r="L1774" t="inlineStr"/>
      <c r="M1774" t="inlineStr"/>
      <c r="N1774" t="inlineStr"/>
      <c r="O1774">
        <f>(1-Summary!$B$11)*T1774+Summary!$B$11*V1774</f>
        <v/>
      </c>
      <c r="P1774">
        <f>IF(B1788=0,0,O1774/B1788)</f>
        <v/>
      </c>
      <c r="Q1774" t="n">
        <v>0</v>
      </c>
      <c r="R1774" t="n">
        <v>0</v>
      </c>
      <c r="S1774">
        <f>IFERROR(O1774/N1774,0)</f>
        <v/>
      </c>
      <c r="T1774" t="n">
        <v>0</v>
      </c>
      <c r="V1774" t="n">
        <v>0</v>
      </c>
    </row>
    <row r="1775">
      <c r="A1775">
        <f>Skills!A24</f>
        <v/>
      </c>
      <c r="B1775">
        <f>Skills!B24</f>
        <v/>
      </c>
      <c r="C1775">
        <f>Inputs!$B$3&gt;=120</f>
        <v/>
      </c>
      <c r="D1775">
        <f>IF(Skills!C24=1,60+Inputs!$B$25+Inputs!$B$29,IF(Skills!C24=2,90+Inputs!$B$26+Inputs!$B$29,IF(Skills!C24=3,120+Inputs!$B$27+Inputs!$B$29,MAX(0,(Inputs!$B$3-100)*3)+Inputs!$B$28+Inputs!$B$29)))</f>
        <v/>
      </c>
      <c r="E1775">
        <f>INDEX(FactorTable!$B$2:$Y$301, MATCH(ROUND(MIN(300,MAX(1,D1775)),0), FactorTable!$A$2:$A$301,0), Skills!M24+1)</f>
        <v/>
      </c>
      <c r="F1775">
        <f>IF(Skills!N24=TRUE,(Skills!L24/10)*(E1775/1000),Skills!L24/10)+Skills!O24</f>
        <v/>
      </c>
      <c r="G1775">
        <f>Skills!G24*IF(Skills!H24&gt;0,Skills!I24/Skills!H24,1)</f>
        <v/>
      </c>
      <c r="H1775">
        <f>1-(1-Skills!J24/100)^Skills!K24</f>
        <v/>
      </c>
      <c r="I1775" t="inlineStr">
        <is>
          <t>1</t>
        </is>
      </c>
      <c r="J1775" t="inlineStr"/>
      <c r="K1775" t="inlineStr"/>
      <c r="L1775" t="inlineStr"/>
      <c r="M1775" t="inlineStr"/>
      <c r="N1775" t="inlineStr"/>
      <c r="O1775">
        <f>(1-Summary!$B$11)*T1775+Summary!$B$11*V1775</f>
        <v/>
      </c>
      <c r="P1775">
        <f>IF(B1788=0,0,O1775/B1788)</f>
        <v/>
      </c>
      <c r="Q1775" t="n">
        <v>0</v>
      </c>
      <c r="R1775" t="n">
        <v>0</v>
      </c>
      <c r="S1775">
        <f>IFERROR(O1775/N1775,0)</f>
        <v/>
      </c>
      <c r="T1775" t="n">
        <v>0</v>
      </c>
      <c r="V1775" t="n">
        <v>0</v>
      </c>
    </row>
    <row r="1777">
      <c r="A1777" t="inlineStr">
        <is>
          <t>Attack% Bucket Multiplier</t>
        </is>
      </c>
      <c r="B1777">
        <f>(1+(((C1764=TRUE)*F1764*MIN(1,Skills!T13*(Skills!J13/100)*B1782))+((C1769=TRUE)*F1769*IF(AND(Inputs!$B$38&lt;&gt;"pvp",Inputs!$B$43&gt;0),(((R1769-1)*(Skills!T18*(1+Inputs!$B$34/100))+MIN((Skills!T18*(1+Inputs!$B$34/100)),MAX(0,Inputs!$B$43-((R1769-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78">
      <c r="A1778" t="inlineStr">
        <is>
          <t>Global Crit Rate Bonus %</t>
        </is>
      </c>
      <c r="B1778" t="n">
        <v>0</v>
      </c>
    </row>
    <row r="1779">
      <c r="A1779" t="inlineStr">
        <is>
          <t>Attack Speed Buff Bonus %</t>
        </is>
      </c>
      <c r="B1779">
        <f>((C1770=TRUE)*F1770*IF(AND(Inputs!$B$38&lt;&gt;"pvp",Inputs!$B$43&gt;0),(((R1770-1)*(Skills!T19*(1+Inputs!$B$34/100))+MIN((Skills!T19*(1+Inputs!$B$34/100)),MAX(0,Inputs!$B$43-((R1770-1)*Skills!D19))))/Inputs!$B$43),IF(Inputs!$B$38="pvp",MIN((Skills!T19*(1+Inputs!$B$34/100)),15)/15,(Skills!T19*(1+Inputs!$B$34/100))/Skills!D19)))</f>
        <v/>
      </c>
    </row>
    <row r="1780">
      <c r="A1780" t="inlineStr">
        <is>
          <t>Actions Per Second</t>
        </is>
      </c>
      <c r="B1780">
        <f>1+MIN(150,150*(1-(1-(Inputs!$B$11+((C1771=TRUE)*(F1771-Calc!F20)))/150)*(1-B1779/150)))/100</f>
        <v/>
      </c>
    </row>
    <row r="1781">
      <c r="A1781" t="inlineStr">
        <is>
          <t>Skill + Buff Cast Rate</t>
        </is>
      </c>
      <c r="B1781">
        <f>IF(AND(Inputs!$B$38&lt;&gt;"pvp",Inputs!$B$43&gt;0),SUMPRODUCT((Skills!E2:E24=TRUE)*(C1753:C1775=TRUE)*R1753:R1775*Skills!F2:F24)/Inputs!$B$43,SUMPRODUCT((Skills!E2:E24=TRUE)*(C1753:C1775=TRUE)*Q1753:Q1775*Skills!F2:F24))</f>
        <v/>
      </c>
    </row>
    <row r="1782">
      <c r="A1782" t="inlineStr">
        <is>
          <t>Blast Casts Per Second</t>
        </is>
      </c>
      <c r="B1782">
        <f>MAX(0,B1780-B1781)</f>
        <v/>
      </c>
    </row>
    <row r="1783">
      <c r="A1783" t="inlineStr">
        <is>
          <t>Global Critical Damage Bonus % (unused)</t>
        </is>
      </c>
      <c r="B1783" t="n">
        <v>0</v>
      </c>
    </row>
    <row r="1784">
      <c r="A1784" t="inlineStr">
        <is>
          <t>Global Final Damage Bonus % (Divine Shield + Guardian + Divine Blessing + Greater Vessel of Light)</t>
        </is>
      </c>
      <c r="B1784">
        <f>((C1766=TRUE)*F1766*IF(AND(Inputs!$B$38&lt;&gt;"pvp",Inputs!$B$43&gt;0),(((R1766-1)*(Skills!T15*(1+Inputs!$B$34/100))+MIN((Skills!T15*(1+Inputs!$B$34/100)),MAX(0,Inputs!$B$43-((R1766-1)*Skills!D15))))/Inputs!$B$43),IF(Inputs!$B$38="pvp",MIN((Skills!T15*(1+Inputs!$B$34/100)),15)/15,(Skills!T15*(1+Inputs!$B$34/100))/Skills!D15)))+((C1767=TRUE)*F1767*IF(AND(Inputs!$B$38&lt;&gt;"pvp",Inputs!$B$43&gt;0),(((R1767-1)*(Skills!T16*(1+Inputs!$B$34/100))+MIN((Skills!T16*(1+Inputs!$B$34/100)),MAX(0,Inputs!$B$43-((R1767-1)*Skills!D16))))/Inputs!$B$43),IF(Inputs!$B$38="pvp",MIN((Skills!T16*(1+Inputs!$B$34/100)),15)/15,(Skills!T16*(1+Inputs!$B$34/100))/Skills!D16)))+((C1768=TRUE)*F1768*IF(AND(Inputs!$B$38&lt;&gt;"pvp",Inputs!$B$43&gt;0),(((R1768-1)*(Skills!T17*(1+Inputs!$B$34/100))+MIN((Skills!T17*(1+Inputs!$B$34/100)),MAX(0,Inputs!$B$43-((R1768-1)*Skills!D17))))/Inputs!$B$43),IF(Inputs!$B$38="pvp",MIN((Skills!T17*(1+Inputs!$B$34/100)),15)/15,(Skills!T17*(1+Inputs!$B$34/100))/Skills!D17)))+((C1765=TRUE)*F1765*MIN(1,Skills!T13*(Skills!J13/100)*B1782))</f>
        <v/>
      </c>
    </row>
    <row r="1785">
      <c r="A1785" t="inlineStr">
        <is>
          <t>Buff-Casting Startup Delay (s, fixed-duration only)</t>
        </is>
      </c>
      <c r="B1785">
        <f>IF(AND(Inputs!$B$38&lt;&gt;"pvp",Inputs!$B$43&gt;0),SUMPRODUCT((Skills!T2:T24&gt;0)*(Skills!E2:E24=TRUE)*(C1753:C1775=TRUE))/B1780,0)</f>
        <v/>
      </c>
    </row>
    <row r="1786">
      <c r="A1786" t="inlineStr">
        <is>
          <t>Boss-Only Total DPS (this block's swept value)</t>
        </is>
      </c>
      <c r="B1786">
        <f>SUM(T1753:T1775)</f>
        <v/>
      </c>
    </row>
    <row r="1787">
      <c r="A1787" t="inlineStr">
        <is>
          <t>Normal-Only Total DPS (this block's swept value)</t>
        </is>
      </c>
      <c r="B1787">
        <f>SUM(V1753:V1775)</f>
        <v/>
      </c>
    </row>
    <row r="1788">
      <c r="A1788" s="6" t="inlineStr">
        <is>
          <t>TOTAL DPS</t>
        </is>
      </c>
      <c r="B1788" s="6">
        <f>SUM(O1753:O1775)</f>
        <v/>
      </c>
    </row>
    <row r="1791">
      <c r="A1791" s="6" t="inlineStr">
        <is>
          <t>Stat: Book of Ancient (Equip)</t>
        </is>
      </c>
    </row>
    <row r="1792">
      <c r="A1792" s="5" t="inlineStr">
        <is>
          <t>Key</t>
        </is>
      </c>
      <c r="B1792" s="5" t="inlineStr">
        <is>
          <t>Name</t>
        </is>
      </c>
      <c r="C1792" s="5" t="inlineStr">
        <is>
          <t>Unlocked</t>
        </is>
      </c>
      <c r="D1792" s="5" t="inlineStr">
        <is>
          <t>InputLevel</t>
        </is>
      </c>
      <c r="E1792" s="5" t="inlineStr">
        <is>
          <t>Factor</t>
        </is>
      </c>
      <c r="F1792" s="5" t="inlineStr">
        <is>
          <t>CoefficientPercent</t>
        </is>
      </c>
      <c r="G1792" s="5" t="inlineStr">
        <is>
          <t>EffectiveHits</t>
        </is>
      </c>
      <c r="H1792" s="5" t="inlineStr">
        <is>
          <t>ProcProbability</t>
        </is>
      </c>
      <c r="I1792" s="5" t="inlineStr">
        <is>
          <t>MapleHeroMultiplier</t>
        </is>
      </c>
      <c r="J1792" s="5" t="inlineStr">
        <is>
          <t>BaseDamage</t>
        </is>
      </c>
      <c r="K1792" s="5" t="inlineStr">
        <is>
          <t>BaseHitDamage</t>
        </is>
      </c>
      <c r="L1792" s="5" t="inlineStr">
        <is>
          <t>NonCritAvg</t>
        </is>
      </c>
      <c r="M1792" s="5" t="inlineStr">
        <is>
          <t>CritAvg</t>
        </is>
      </c>
      <c r="N1792" s="5" t="inlineStr">
        <is>
          <t>ExpectedDamage(perHit)</t>
        </is>
      </c>
      <c r="O1792" s="5" t="inlineStr">
        <is>
          <t>DPS</t>
        </is>
      </c>
      <c r="P1792" s="5" t="inlineStr">
        <is>
          <t>% of Total</t>
        </is>
      </c>
      <c r="Q1792" s="5" t="inlineStr">
        <is>
          <t>InvCooldown</t>
        </is>
      </c>
      <c r="R1792" s="5" t="inlineStr">
        <is>
          <t>CastsInFight</t>
        </is>
      </c>
      <c r="S1792" s="5" t="inlineStr">
        <is>
          <t>HitRate(perSec)</t>
        </is>
      </c>
      <c r="U1792" t="inlineStr">
        <is>
          <t>helpers</t>
        </is>
      </c>
    </row>
    <row r="1793">
      <c r="A1793">
        <f>Skills!A2</f>
        <v/>
      </c>
      <c r="B1793">
        <f>Skills!B2</f>
        <v/>
      </c>
      <c r="C1793">
        <f>Inputs!$B$3&gt;=100</f>
        <v/>
      </c>
      <c r="D1793" t="inlineStr"/>
      <c r="E1793" t="inlineStr"/>
      <c r="F1793">
        <f>U1795+Skills!O2</f>
        <v/>
      </c>
      <c r="G1793">
        <f>Skills!G2*IF(Skills!H2&gt;0,Skills!I2/Skills!H2,1)</f>
        <v/>
      </c>
      <c r="H1793">
        <f>1-(1-Skills!J2/100)^Skills!K2</f>
        <v/>
      </c>
      <c r="I1793" t="inlineStr">
        <is>
          <t>1</t>
        </is>
      </c>
      <c r="J1793">
        <f>((Inputs!$B$6*(1+Inputs!$B$7/100))+(((Inputs!$B$12*(1+Inputs!$B$13/100))-(Inputs!$B$12*(1+Inputs!$B$13/100)))+0.25*(Inputs!$B$14-Inputs!$B$14))*(1+Inputs!$B$7/100))*(F1793/100)</f>
        <v/>
      </c>
      <c r="K1793">
        <f>J1793*(1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1793)</f>
        <v/>
      </c>
      <c r="L1793">
        <f>K1793*(MIN(Inputs!$B$22+((C1813=TRUE)*(F1813-Calc!F22)),(Inputs!$B$23+((C1815=TRUE)*(F1815-Calc!F24))+(IF(ArtifactsInput!$M$15,CHOOSE(ArtifactsInput!$N$15+1,25,30,35,40,45,50)/100*(Inputs!$B$11-Inputs!$B$11),0))))/100+(Inputs!$B$23+((C1815=TRUE)*(F1815-Calc!F24))+(IF(ArtifactsInput!$M$15,CHOOSE(ArtifactsInput!$N$15+1,25,30,35,40,45,50)/100*(Inputs!$B$11-Inputs!$B$11),0)))/100)/2</f>
        <v/>
      </c>
      <c r="M1793">
        <f>L1793*(1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3">
        <f>L1793*(1-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1793*(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3">
        <f>(1-Summary!$B$11)*T1793+Summary!$B$11*V1793</f>
        <v/>
      </c>
      <c r="P1793">
        <f>IF(B1828=0,0,O1793/B1828)</f>
        <v/>
      </c>
      <c r="Q1793" t="n">
        <v>0</v>
      </c>
      <c r="R1793" t="n">
        <v>0</v>
      </c>
      <c r="S1793">
        <f>IFERROR(O1793/N1793,0)</f>
        <v/>
      </c>
      <c r="T1793">
        <f>IF(C1793,(Skills!G2*N1793*B1822)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1793*(1-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1793*(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1793*(1-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1793*(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3">
        <f>MAX(0,(Inputs!$B$3-100)*3)+Inputs!$B$28+Inputs!$B$29</f>
        <v/>
      </c>
      <c r="V1793">
        <f>IF(C1793,(Skills!G2*N1793*B1822)*IF(Inputs!$B$38="pvp",1,(1+(Inputs!$B$21+Skills!Q2+(IF(ArtifactsInput!$M$33,CHOOSE(ArtifactsInput!$N$33+1,30,36,42,48,54,60),0))+(IF(AND(ArtifactsInput!$M$35,Inputs!$B$4&lt;&gt;"Chapter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4">
      <c r="A1794">
        <f>Skills!A3</f>
        <v/>
      </c>
      <c r="B1794">
        <f>Skills!B3</f>
        <v/>
      </c>
      <c r="C1794">
        <f>Inputs!$B$3&gt;=50</f>
        <v/>
      </c>
      <c r="D1794">
        <f>IF(Skills!C3=1,60+Inputs!$B$25+Inputs!$B$29,IF(Skills!C3=2,90+Inputs!$B$26+Inputs!$B$29,IF(Skills!C3=3,120+Inputs!$B$27+Inputs!$B$29,MAX(0,(Inputs!$B$3-100)*3)+Inputs!$B$28+Inputs!$B$29)))</f>
        <v/>
      </c>
      <c r="E1794">
        <f>INDEX(FactorTable!$B$2:$Y$301, MATCH(ROUND(MIN(300,MAX(1,D1794)),0), FactorTable!$A$2:$A$301,0), Skills!M3+1)</f>
        <v/>
      </c>
      <c r="F1794">
        <f>IF(Skills!N3=TRUE,(Skills!L3/10)*(E1794/1000),Skills!L3/10)+Skills!O3</f>
        <v/>
      </c>
      <c r="G1794" t="inlineStr"/>
      <c r="H1794" t="inlineStr"/>
      <c r="I1794" t="inlineStr">
        <is>
          <t>1</t>
        </is>
      </c>
      <c r="J1794" t="inlineStr"/>
      <c r="K1794" t="inlineStr"/>
      <c r="L1794" t="inlineStr"/>
      <c r="M1794" t="inlineStr"/>
      <c r="N1794" t="inlineStr"/>
      <c r="O1794" t="inlineStr"/>
      <c r="P1794" t="inlineStr"/>
      <c r="Q1794" t="inlineStr"/>
      <c r="R1794" t="inlineStr"/>
      <c r="S1794" t="inlineStr"/>
      <c r="U1794">
        <f>INDEX(FactorTable!$B$2:$Y$301, MATCH(ROUND(MIN(300,MAX(1,U1793)),0), FactorTable!$A$2:$A$301,0), 22)</f>
        <v/>
      </c>
    </row>
    <row r="1795">
      <c r="A1795">
        <f>Skills!A4</f>
        <v/>
      </c>
      <c r="B1795">
        <f>Skills!B4</f>
        <v/>
      </c>
      <c r="C1795">
        <f>Inputs!$B$3&gt;=35</f>
        <v/>
      </c>
      <c r="D1795">
        <f>IF(Skills!C4=1,60+Inputs!$B$25+Inputs!$B$29,IF(Skills!C4=2,90+Inputs!$B$26+Inputs!$B$29,IF(Skills!C4=3,120+Inputs!$B$27+Inputs!$B$29,MAX(0,(Inputs!$B$3-100)*3)+Inputs!$B$28+Inputs!$B$29)))</f>
        <v/>
      </c>
      <c r="E1795">
        <f>INDEX(FactorTable!$B$2:$Y$301, MATCH(ROUND(MIN(300,MAX(1,D1795)),0), FactorTable!$A$2:$A$301,0), Skills!M4+1)</f>
        <v/>
      </c>
      <c r="F1795">
        <f>IF(Skills!N4=TRUE,(Skills!L4/10)*(E1795/1000),Skills!L4/10)+Skills!O4</f>
        <v/>
      </c>
      <c r="G1795">
        <f>Skills!G4*IF(Skills!H4&gt;0,Skills!I4/Skills!H4,1)</f>
        <v/>
      </c>
      <c r="H1795">
        <f>1-(1-Skills!J4/100)^Skills!K4</f>
        <v/>
      </c>
      <c r="I1795" t="inlineStr">
        <is>
          <t>1</t>
        </is>
      </c>
      <c r="J1795">
        <f>((Inputs!$B$6*(1+Inputs!$B$7/100))+(((Inputs!$B$12*(1+Inputs!$B$13/100))-(Inputs!$B$12*(1+Inputs!$B$13/100)))+0.25*(Inputs!$B$14-Inputs!$B$14))*(1+Inputs!$B$7/100))*(F1795/100)</f>
        <v/>
      </c>
      <c r="K1795">
        <f>J1795*(1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1803=TRUE,F1803,0)/100)*(1+(IF(Skills!A4="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1795)</f>
        <v/>
      </c>
      <c r="L1795">
        <f>K1795*(MIN(Inputs!$B$22+((C1813=TRUE)*(F1813-Calc!F22)),(Inputs!$B$23+((C1815=TRUE)*(F1815-Calc!F24))+(IF(ArtifactsInput!$M$15,CHOOSE(ArtifactsInput!$N$15+1,25,30,35,40,45,50)/100*(Inputs!$B$11-Inputs!$B$11),0))))/100+(Inputs!$B$23+((C1815=TRUE)*(F1815-Calc!F24))+(IF(ArtifactsInput!$M$15,CHOOSE(ArtifactsInput!$N$15+1,25,30,35,40,45,50)/100*(Inputs!$B$11-Inputs!$B$11),0)))/100)/2</f>
        <v/>
      </c>
      <c r="M1795">
        <f>L1795*(1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5">
        <f>L1795*(1-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1795*(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5">
        <f>(1-Summary!$B$11)*T1795+Summary!$B$11*V1795</f>
        <v/>
      </c>
      <c r="P1795">
        <f>IF(B1828=0,0,O1795/B1828)</f>
        <v/>
      </c>
      <c r="Q1795">
        <f>IFERROR(1/(IF(Inputs!$B$38="pvp",15,MAX(0.1,Skills!D4-IF(Skills!E4=TRUE,Inputs!$B$32,0)))*(1-IF(AND(ArtifactsInput!$M$27,Inputs!$B$4="Chapter Hunt"),CHOOSE(ArtifactsInput!$N$27+1,20,24,28,32,36,40),0)/100)),0)</f>
        <v/>
      </c>
      <c r="R1795">
        <f>IF(AND(Inputs!$B$38&lt;&gt;"pvp",Inputs!$B$43&gt;0),IF(MAX(0,Inputs!$B$43-B1825)&lt;=0,0,(INT(MAX(0,Inputs!$B$43-B1825)/(IF(Inputs!$B$38="pvp",15,MAX(0.1,Skills!D4-IF(Skills!E4=TRUE,Inputs!$B$32,0)))*(1-IF(AND(ArtifactsInput!$M$27,Inputs!$B$4="Chapter Hunt"),CHOOSE(ArtifactsInput!$N$27+1,20,24,28,32,36,40),0)/100)))+1)),0)</f>
        <v/>
      </c>
      <c r="S1795">
        <f>IFERROR(O1795/N1795,0)</f>
        <v/>
      </c>
      <c r="T1795">
        <f>IF(C1795,(H1795*N1795*IF(AND(Inputs!$B$38&lt;&gt;"pvp",Inputs!$B$43&gt;0),((Skills!G4*((R1795-1)*IF(Skills!H4&gt;0,Skills!I4/Skills!H4,1)+IF(Skills!H4&gt;0,MIN(Skills!I4,MAX(0,MAX(0,Inputs!$B$43-B1825)-((R1795-1)*(IF(Inputs!$B$38="pvp",15,MAX(0.1,Skills!D4-IF(Skills!E4=TRUE,Inputs!$B$32,0)))*(1-IF(AND(ArtifactsInput!$M$27,Inputs!$B$4="Chapter Hunt"),CHOOSE(ArtifactsInput!$N$27+1,20,24,28,32,36,40),0)/100)))))/Skills!H4,1)))/Inputs!$B$43),G1795*Q1795)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1795*(1-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1795*(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1795*(1-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1795*(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5">
        <f>290*U1794/1000</f>
        <v/>
      </c>
      <c r="V1795">
        <f>IF(C1795,(H1795*N1795*IF(AND(Inputs!$B$38&lt;&gt;"pvp",Inputs!$B$43&gt;0),((Skills!G4*((R1795-1)*IF(Skills!H4&gt;0,Skills!I4/Skills!H4,1)+IF(Skills!H4&gt;0,MIN(Skills!I4,MAX(0,MAX(0,Inputs!$B$43-B1825)-((R1795-1)*(IF(Inputs!$B$38="pvp",15,MAX(0.1,Skills!D4-IF(Skills!E4=TRUE,Inputs!$B$32,0)))*(1-IF(AND(ArtifactsInput!$M$27,Inputs!$B$4="Chapter Hunt"),CHOOSE(ArtifactsInput!$N$27+1,20,24,28,32,36,40),0)/100)))))/Skills!H4,1)))/Inputs!$B$43),G1795*Q1795))*IF(Inputs!$B$38="pvp",1,(1+(Inputs!$B$21+Skills!Q4+(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6">
      <c r="A1796">
        <f>Skills!A5</f>
        <v/>
      </c>
      <c r="B1796">
        <f>Skills!B5</f>
        <v/>
      </c>
      <c r="C1796">
        <f>Inputs!$B$3&gt;=66</f>
        <v/>
      </c>
      <c r="D1796">
        <f>IF(Skills!C5=1,60+Inputs!$B$25+Inputs!$B$29,IF(Skills!C5=2,90+Inputs!$B$26+Inputs!$B$29,IF(Skills!C5=3,120+Inputs!$B$27+Inputs!$B$29,MAX(0,(Inputs!$B$3-100)*3)+Inputs!$B$28+Inputs!$B$29)))</f>
        <v/>
      </c>
      <c r="E1796">
        <f>INDEX(FactorTable!$B$2:$Y$301, MATCH(ROUND(MIN(300,MAX(1,D1796)),0), FactorTable!$A$2:$A$301,0), Skills!M5+1)</f>
        <v/>
      </c>
      <c r="F1796">
        <f>IF(Skills!N5=TRUE,(Skills!L5/10)*(E1796/1000),Skills!L5/10)+Skills!O5</f>
        <v/>
      </c>
      <c r="G1796">
        <f>Skills!G5*IF(Skills!H5&gt;0,Skills!I5/Skills!H5,1)</f>
        <v/>
      </c>
      <c r="H1796">
        <f>1-(1-Skills!J5/100)^Skills!K5</f>
        <v/>
      </c>
      <c r="I1796" t="inlineStr">
        <is>
          <t>1</t>
        </is>
      </c>
      <c r="J1796">
        <f>((Inputs!$B$6*(1+Inputs!$B$7/100))+(((Inputs!$B$12*(1+Inputs!$B$13/100))-(Inputs!$B$12*(1+Inputs!$B$13/100)))+0.25*(Inputs!$B$14-Inputs!$B$14))*(1+Inputs!$B$7/100))*(F1796/100)</f>
        <v/>
      </c>
      <c r="K1796">
        <f>J1796*(1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1803=TRUE,F1803,0)/100)*(1+(IF(Skills!A5="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1796)</f>
        <v/>
      </c>
      <c r="L1796">
        <f>K1796*(MIN(Inputs!$B$22+((C1813=TRUE)*(F1813-Calc!F22)),(Inputs!$B$23+((C1815=TRUE)*(F1815-Calc!F24))+(IF(ArtifactsInput!$M$15,CHOOSE(ArtifactsInput!$N$15+1,25,30,35,40,45,50)/100*(Inputs!$B$11-Inputs!$B$11),0))))/100+(Inputs!$B$23+((C1815=TRUE)*(F1815-Calc!F24))+(IF(ArtifactsInput!$M$15,CHOOSE(ArtifactsInput!$N$15+1,25,30,35,40,45,50)/100*(Inputs!$B$11-Inputs!$B$11),0)))/100)/2</f>
        <v/>
      </c>
      <c r="M1796">
        <f>L1796*(1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6">
        <f>L1796*(1-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1796*(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6">
        <f>(1-Summary!$B$11)*T1796+Summary!$B$11*V1796</f>
        <v/>
      </c>
      <c r="P1796">
        <f>IF(B1828=0,0,O1796/B1828)</f>
        <v/>
      </c>
      <c r="Q1796">
        <f>IFERROR(1/(IF(Inputs!$B$38="pvp",15,MAX(0.1,Skills!D5-IF(Skills!E5=TRUE,Inputs!$B$32,0)))*(1-IF(AND(ArtifactsInput!$M$27,Inputs!$B$4="Chapter Hunt"),CHOOSE(ArtifactsInput!$N$27+1,20,24,28,32,36,40),0)/100)),0)</f>
        <v/>
      </c>
      <c r="R1796">
        <f>IF(AND(Inputs!$B$38&lt;&gt;"pvp",Inputs!$B$43&gt;0),IF(MAX(0,Inputs!$B$43-B1825)&lt;=0,0,(INT(MAX(0,Inputs!$B$43-B1825)/(IF(Inputs!$B$38="pvp",15,MAX(0.1,Skills!D5-IF(Skills!E5=TRUE,Inputs!$B$32,0)))*(1-IF(AND(ArtifactsInput!$M$27,Inputs!$B$4="Chapter Hunt"),CHOOSE(ArtifactsInput!$N$27+1,20,24,28,32,36,40),0)/100)))+1)),0)</f>
        <v/>
      </c>
      <c r="S1796">
        <f>IFERROR(O1796/N1796,0)</f>
        <v/>
      </c>
      <c r="T1796">
        <f>IF(C1796,(H1796*N1796*IF(AND(Inputs!$B$38&lt;&gt;"pvp",Inputs!$B$43&gt;0),((Skills!G5*((R1796-1)*IF(Skills!H5&gt;0,Skills!I5/Skills!H5,1)+IF(Skills!H5&gt;0,MIN(Skills!I5,MAX(0,MAX(0,Inputs!$B$43-B1825)-((R1796-1)*(IF(Inputs!$B$38="pvp",15,MAX(0.1,Skills!D5-IF(Skills!E5=TRUE,Inputs!$B$32,0)))*(1-IF(AND(ArtifactsInput!$M$27,Inputs!$B$4="Chapter Hunt"),CHOOSE(ArtifactsInput!$N$27+1,20,24,28,32,36,40),0)/100)))))/Skills!H5,1)))/Inputs!$B$43),G1796*Q1796)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1796*(1-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1796*(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1796*(1-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1796*(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6">
        <f>IF(C1796,(H1796*N1796*IF(AND(Inputs!$B$38&lt;&gt;"pvp",Inputs!$B$43&gt;0),((Skills!G5*((R1796-1)*IF(Skills!H5&gt;0,Skills!I5/Skills!H5,1)+IF(Skills!H5&gt;0,MIN(Skills!I5,MAX(0,MAX(0,Inputs!$B$43-B1825)-((R1796-1)*(IF(Inputs!$B$38="pvp",15,MAX(0.1,Skills!D5-IF(Skills!E5=TRUE,Inputs!$B$32,0)))*(1-IF(AND(ArtifactsInput!$M$27,Inputs!$B$4="Chapter Hunt"),CHOOSE(ArtifactsInput!$N$27+1,20,24,28,32,36,40),0)/100)))))/Skills!H5,1)))/Inputs!$B$43),G1796*Q1796))*IF(Inputs!$B$38="pvp",1,(1+(Inputs!$B$21+Skills!Q5+(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7">
      <c r="A1797">
        <f>Skills!A6</f>
        <v/>
      </c>
      <c r="B1797">
        <f>Skills!B6</f>
        <v/>
      </c>
      <c r="C1797">
        <f>Inputs!$B$3&gt;=103</f>
        <v/>
      </c>
      <c r="D1797">
        <f>IF(Skills!C6=1,60+Inputs!$B$25+Inputs!$B$29,IF(Skills!C6=2,90+Inputs!$B$26+Inputs!$B$29,IF(Skills!C6=3,120+Inputs!$B$27+Inputs!$B$29,MAX(0,(Inputs!$B$3-100)*3)+Inputs!$B$28+Inputs!$B$29)))</f>
        <v/>
      </c>
      <c r="E1797">
        <f>INDEX(FactorTable!$B$2:$Y$301, MATCH(ROUND(MIN(300,MAX(1,D1797)),0), FactorTable!$A$2:$A$301,0), Skills!M6+1)</f>
        <v/>
      </c>
      <c r="F1797">
        <f>IF(Skills!N6=TRUE,(Skills!L6/10)*(E1797/1000),Skills!L6/10)+Skills!O6</f>
        <v/>
      </c>
      <c r="G1797">
        <f>Skills!G6*IF(Skills!H6&gt;0,Skills!I6/Skills!H6,1)</f>
        <v/>
      </c>
      <c r="H1797">
        <f>1-(1-Skills!J6/100)^Skills!K6</f>
        <v/>
      </c>
      <c r="I1797" t="inlineStr">
        <is>
          <t>1</t>
        </is>
      </c>
      <c r="J1797">
        <f>((Inputs!$B$6*(1+Inputs!$B$7/100))+(((Inputs!$B$12*(1+Inputs!$B$13/100))-(Inputs!$B$12*(1+Inputs!$B$13/100)))+0.25*(Inputs!$B$14-Inputs!$B$14))*(1+Inputs!$B$7/100))*(F1797/100)</f>
        <v/>
      </c>
      <c r="K1797">
        <f>J1797*(1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1797)</f>
        <v/>
      </c>
      <c r="L1797">
        <f>K1797*(MIN(Inputs!$B$22+((C1813=TRUE)*(F1813-Calc!F22)),(Inputs!$B$23+((C1815=TRUE)*(F1815-Calc!F24))+(IF(ArtifactsInput!$M$15,CHOOSE(ArtifactsInput!$N$15+1,25,30,35,40,45,50)/100*(Inputs!$B$11-Inputs!$B$11),0))))/100+(Inputs!$B$23+((C1815=TRUE)*(F1815-Calc!F24))+(IF(ArtifactsInput!$M$15,CHOOSE(ArtifactsInput!$N$15+1,25,30,35,40,45,50)/100*(Inputs!$B$11-Inputs!$B$11),0)))/100)/2</f>
        <v/>
      </c>
      <c r="M1797">
        <f>L1797*(1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7">
        <f>L1797*(1-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1797*(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7">
        <f>(1-Summary!$B$11)*T1797+Summary!$B$11*V1797</f>
        <v/>
      </c>
      <c r="P1797">
        <f>IF(B1828=0,0,O1797/B1828)</f>
        <v/>
      </c>
      <c r="Q1797">
        <f>IFERROR(1/(IF(Inputs!$B$38="pvp",15,MAX(0.1,Skills!D6-IF(Skills!E6=TRUE,Inputs!$B$32,0)))*(1-IF(AND(ArtifactsInput!$M$27,Inputs!$B$4="Chapter Hunt"),CHOOSE(ArtifactsInput!$N$27+1,20,24,28,32,36,40),0)/100)),0)</f>
        <v/>
      </c>
      <c r="R1797">
        <f>IF(AND(Inputs!$B$38&lt;&gt;"pvp",Inputs!$B$43&gt;0),IF(MAX(0,Inputs!$B$43-B1825)&lt;=0,0,(INT(MAX(0,Inputs!$B$43-B1825)/(IF(Inputs!$B$38="pvp",15,MAX(0.1,Skills!D6-IF(Skills!E6=TRUE,Inputs!$B$32,0)))*(1-IF(AND(ArtifactsInput!$M$27,Inputs!$B$4="Chapter Hunt"),CHOOSE(ArtifactsInput!$N$27+1,20,24,28,32,36,40),0)/100)))+1)),0)</f>
        <v/>
      </c>
      <c r="S1797">
        <f>IFERROR(O1797/N1797,0)</f>
        <v/>
      </c>
      <c r="T1797">
        <f>IF(C1797,(H1797*N1797*IF(AND(Inputs!$B$38&lt;&gt;"pvp",Inputs!$B$43&gt;0),((Skills!G6*((R1797-1)*IF(Skills!H6&gt;0,Skills!I6/Skills!H6,1)+IF(Skills!H6&gt;0,MIN(Skills!I6,MAX(0,MAX(0,Inputs!$B$43-B1825)-((R1797-1)*(IF(Inputs!$B$38="pvp",15,MAX(0.1,Skills!D6-IF(Skills!E6=TRUE,Inputs!$B$32,0)))*(1-IF(AND(ArtifactsInput!$M$27,Inputs!$B$4="Chapter Hunt"),CHOOSE(ArtifactsInput!$N$27+1,20,24,28,32,36,40),0)/100)))))/Skills!H6,1)))/Inputs!$B$43),G1797*Q1797)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1797*(1-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1797*(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1797*(1-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1797*(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7">
        <f>IF(C1797,(H1797*N1797*IF(AND(Inputs!$B$38&lt;&gt;"pvp",Inputs!$B$43&gt;0),((Skills!G6*((R1797-1)*IF(Skills!H6&gt;0,Skills!I6/Skills!H6,1)+IF(Skills!H6&gt;0,MIN(Skills!I6,MAX(0,MAX(0,Inputs!$B$43-B1825)-((R1797-1)*(IF(Inputs!$B$38="pvp",15,MAX(0.1,Skills!D6-IF(Skills!E6=TRUE,Inputs!$B$32,0)))*(1-IF(AND(ArtifactsInput!$M$27,Inputs!$B$4="Chapter Hunt"),CHOOSE(ArtifactsInput!$N$27+1,20,24,28,32,36,40),0)/100)))))/Skills!H6,1)))/Inputs!$B$43),G1797*Q1797))*IF(Inputs!$B$38="pvp",1,(1+(Inputs!$B$21+Skills!Q6+(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8">
      <c r="A1798">
        <f>Skills!A7</f>
        <v/>
      </c>
      <c r="B1798">
        <f>Skills!B7</f>
        <v/>
      </c>
      <c r="C1798">
        <f>Inputs!$B$3&gt;=107</f>
        <v/>
      </c>
      <c r="D1798">
        <f>IF(Skills!C7=1,60+Inputs!$B$25+Inputs!$B$29,IF(Skills!C7=2,90+Inputs!$B$26+Inputs!$B$29,IF(Skills!C7=3,120+Inputs!$B$27+Inputs!$B$29,MAX(0,(Inputs!$B$3-100)*3)+Inputs!$B$28+Inputs!$B$29)))</f>
        <v/>
      </c>
      <c r="E1798">
        <f>INDEX(FactorTable!$B$2:$Y$301, MATCH(ROUND(MIN(300,MAX(1,D1798)),0), FactorTable!$A$2:$A$301,0), Skills!M7+1)</f>
        <v/>
      </c>
      <c r="F1798">
        <f>IF(Skills!N7=TRUE,(Skills!L7/10)*(E1798/1000),Skills!L7/10)+Skills!O7</f>
        <v/>
      </c>
      <c r="G1798">
        <f>Skills!G7*IF(Skills!H7&gt;0,Skills!I7/Skills!H7,1)</f>
        <v/>
      </c>
      <c r="H1798">
        <f>1-(1-Skills!J7/100)^Skills!K7</f>
        <v/>
      </c>
      <c r="I1798" t="inlineStr">
        <is>
          <t>1</t>
        </is>
      </c>
      <c r="J1798">
        <f>((Inputs!$B$6*(1+Inputs!$B$7/100))+(((Inputs!$B$12*(1+Inputs!$B$13/100))-(Inputs!$B$12*(1+Inputs!$B$13/100)))+0.25*(Inputs!$B$14-Inputs!$B$14))*(1+Inputs!$B$7/100))*(F1798/100)</f>
        <v/>
      </c>
      <c r="K1798">
        <f>J1798*(1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1798)</f>
        <v/>
      </c>
      <c r="L1798">
        <f>K1798*(MIN(Inputs!$B$22+((C1813=TRUE)*(F1813-Calc!F22)),(Inputs!$B$23+((C1815=TRUE)*(F1815-Calc!F24))+(IF(ArtifactsInput!$M$15,CHOOSE(ArtifactsInput!$N$15+1,25,30,35,40,45,50)/100*(Inputs!$B$11-Inputs!$B$11),0))))/100+(Inputs!$B$23+((C1815=TRUE)*(F1815-Calc!F24))+(IF(ArtifactsInput!$M$15,CHOOSE(ArtifactsInput!$N$15+1,25,30,35,40,45,50)/100*(Inputs!$B$11-Inputs!$B$11),0)))/100)/2</f>
        <v/>
      </c>
      <c r="M1798">
        <f>L1798*(1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8">
        <f>L1798*(1-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1798*(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8">
        <f>(1-Summary!$B$11)*T1798+Summary!$B$11*V1798</f>
        <v/>
      </c>
      <c r="P1798">
        <f>IF(B1828=0,0,O1798/B1828)</f>
        <v/>
      </c>
      <c r="Q1798">
        <f>IFERROR(1/(IF(Inputs!$B$38="pvp",15,MAX(0.1,Skills!D7-IF(Skills!E7=TRUE,Inputs!$B$32,0)))*(1-IF(AND(ArtifactsInput!$M$27,Inputs!$B$4="Chapter Hunt"),CHOOSE(ArtifactsInput!$N$27+1,20,24,28,32,36,40),0)/100)),0)</f>
        <v/>
      </c>
      <c r="R1798">
        <f>IF(AND(Inputs!$B$38&lt;&gt;"pvp",Inputs!$B$43&gt;0),IF(MAX(0,Inputs!$B$43-B1825)&lt;=0,0,(INT(MAX(0,Inputs!$B$43-B1825)/(IF(Inputs!$B$38="pvp",15,MAX(0.1,Skills!D7-IF(Skills!E7=TRUE,Inputs!$B$32,0)))*(1-IF(AND(ArtifactsInput!$M$27,Inputs!$B$4="Chapter Hunt"),CHOOSE(ArtifactsInput!$N$27+1,20,24,28,32,36,40),0)/100)))+1)),0)</f>
        <v/>
      </c>
      <c r="S1798">
        <f>IFERROR(O1798/N1798,0)</f>
        <v/>
      </c>
      <c r="T1798">
        <f>IF(C1798,(H1798*N1798*IF(AND(Inputs!$B$38&lt;&gt;"pvp",Inputs!$B$43&gt;0),((Skills!G7*((R1798-1)*IF(Skills!H7&gt;0,Skills!I7/Skills!H7,1)+IF(Skills!H7&gt;0,MIN(Skills!I7,MAX(0,MAX(0,Inputs!$B$43-B1825)-((R1798-1)*(IF(Inputs!$B$38="pvp",15,MAX(0.1,Skills!D7-IF(Skills!E7=TRUE,Inputs!$B$32,0)))*(1-IF(AND(ArtifactsInput!$M$27,Inputs!$B$4="Chapter Hunt"),CHOOSE(ArtifactsInput!$N$27+1,20,24,28,32,36,40),0)/100)))))/Skills!H7,1)))/Inputs!$B$43),G1798*Q1798)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1798*(1-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1798*(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1798*(1-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1798*(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8">
        <f>IF(C1798,(H1798*N1798*IF(AND(Inputs!$B$38&lt;&gt;"pvp",Inputs!$B$43&gt;0),((Skills!G7*((R1798-1)*IF(Skills!H7&gt;0,Skills!I7/Skills!H7,1)+IF(Skills!H7&gt;0,MIN(Skills!I7,MAX(0,MAX(0,Inputs!$B$43-B1825)-((R1798-1)*(IF(Inputs!$B$38="pvp",15,MAX(0.1,Skills!D7-IF(Skills!E7=TRUE,Inputs!$B$32,0)))*(1-IF(AND(ArtifactsInput!$M$27,Inputs!$B$4="Chapter Hunt"),CHOOSE(ArtifactsInput!$N$27+1,20,24,28,32,36,40),0)/100)))))/Skills!H7,1)))/Inputs!$B$43),G1798*Q1798))*IF(Inputs!$B$38="pvp",1,(1+(Inputs!$B$21+Skills!Q7+(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9">
      <c r="A1799">
        <f>Skills!A8</f>
        <v/>
      </c>
      <c r="B1799">
        <f>Skills!B8</f>
        <v/>
      </c>
      <c r="C1799">
        <f>Inputs!$B$3&gt;=107</f>
        <v/>
      </c>
      <c r="D1799">
        <f>IF(Skills!C8=1,60+Inputs!$B$25+Inputs!$B$29,IF(Skills!C8=2,90+Inputs!$B$26+Inputs!$B$29,IF(Skills!C8=3,120+Inputs!$B$27+Inputs!$B$29,MAX(0,(Inputs!$B$3-100)*3)+Inputs!$B$28+Inputs!$B$29)))</f>
        <v/>
      </c>
      <c r="E1799">
        <f>INDEX(FactorTable!$B$2:$Y$301, MATCH(ROUND(MIN(300,MAX(1,D1799)),0), FactorTable!$A$2:$A$301,0), Skills!M8+1)</f>
        <v/>
      </c>
      <c r="F1799">
        <f>IF(Skills!N8=TRUE,(Skills!L8/10)*(E1799/1000),Skills!L8/10)+Skills!O8</f>
        <v/>
      </c>
      <c r="G1799">
        <f>Skills!G8*IF(Skills!H8&gt;0,Skills!I8/Skills!H8,1)</f>
        <v/>
      </c>
      <c r="H1799">
        <f>1-(1-Skills!J8/100)^Skills!K8</f>
        <v/>
      </c>
      <c r="I1799" t="inlineStr">
        <is>
          <t>1</t>
        </is>
      </c>
      <c r="J1799">
        <f>((Inputs!$B$6*(1+Inputs!$B$7/100))+(((Inputs!$B$12*(1+Inputs!$B$13/100))-(Inputs!$B$12*(1+Inputs!$B$13/100)))+0.25*(Inputs!$B$14-Inputs!$B$14))*(1+Inputs!$B$7/100))*(F1799/100)</f>
        <v/>
      </c>
      <c r="K1799">
        <f>J1799*(1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1799)</f>
        <v/>
      </c>
      <c r="L1799">
        <f>K1799*(MIN(Inputs!$B$22+((C1813=TRUE)*(F1813-Calc!F22)),(Inputs!$B$23+((C1815=TRUE)*(F1815-Calc!F24))+(IF(ArtifactsInput!$M$15,CHOOSE(ArtifactsInput!$N$15+1,25,30,35,40,45,50)/100*(Inputs!$B$11-Inputs!$B$11),0))))/100+(Inputs!$B$23+((C1815=TRUE)*(F1815-Calc!F24))+(IF(ArtifactsInput!$M$15,CHOOSE(ArtifactsInput!$N$15+1,25,30,35,40,45,50)/100*(Inputs!$B$11-Inputs!$B$11),0)))/100)/2</f>
        <v/>
      </c>
      <c r="M1799">
        <f>L1799*(1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799">
        <f>L1799*(1-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1799*(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9">
        <f>(1-Summary!$B$11)*T1799+Summary!$B$11*V1799</f>
        <v/>
      </c>
      <c r="P1799">
        <f>IF(B1828=0,0,O1799/B1828)</f>
        <v/>
      </c>
      <c r="Q1799">
        <f>IFERROR(1/(IF(Inputs!$B$38="pvp",15,MAX(0.1,Skills!D8-IF(Skills!E8=TRUE,Inputs!$B$32,0)))*(1-IF(AND(ArtifactsInput!$M$27,Inputs!$B$4="Chapter Hunt"),CHOOSE(ArtifactsInput!$N$27+1,20,24,28,32,36,40),0)/100)),0)</f>
        <v/>
      </c>
      <c r="R1799">
        <f>IF(AND(Inputs!$B$38&lt;&gt;"pvp",Inputs!$B$43&gt;0),IF(MAX(0,Inputs!$B$43-B1825)&lt;=0,0,(INT(MAX(0,Inputs!$B$43-B1825)/(IF(Inputs!$B$38="pvp",15,MAX(0.1,Skills!D8-IF(Skills!E8=TRUE,Inputs!$B$32,0)))*(1-IF(AND(ArtifactsInput!$M$27,Inputs!$B$4="Chapter Hunt"),CHOOSE(ArtifactsInput!$N$27+1,20,24,28,32,36,40),0)/100)))+1)),0)</f>
        <v/>
      </c>
      <c r="S1799">
        <f>IFERROR(O1799/N1799,0)</f>
        <v/>
      </c>
      <c r="T1799">
        <f>IF(C1799,(H1799*N1799*IF(AND(Inputs!$B$38&lt;&gt;"pvp",Inputs!$B$43&gt;0),((Skills!G8*((R1799-1)*IF(Skills!H8&gt;0,Skills!I8/Skills!H8,1)+IF(Skills!H8&gt;0,MIN(Skills!I8,MAX(0,MAX(0,Inputs!$B$43-B1825)-((R1799-1)*(IF(Inputs!$B$38="pvp",15,MAX(0.1,Skills!D8-IF(Skills!E8=TRUE,Inputs!$B$32,0)))*(1-IF(AND(ArtifactsInput!$M$27,Inputs!$B$4="Chapter Hunt"),CHOOSE(ArtifactsInput!$N$27+1,20,24,28,32,36,40),0)/100)))))/Skills!H8,1)))/Inputs!$B$43),G1799*Q1799)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1799*(1-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1799*(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1799*(1-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1799*(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9">
        <f>IF(C1799,(H1799*N1799*IF(AND(Inputs!$B$38&lt;&gt;"pvp",Inputs!$B$43&gt;0),((Skills!G8*((R1799-1)*IF(Skills!H8&gt;0,Skills!I8/Skills!H8,1)+IF(Skills!H8&gt;0,MIN(Skills!I8,MAX(0,MAX(0,Inputs!$B$43-B1825)-((R1799-1)*(IF(Inputs!$B$38="pvp",15,MAX(0.1,Skills!D8-IF(Skills!E8=TRUE,Inputs!$B$32,0)))*(1-IF(AND(ArtifactsInput!$M$27,Inputs!$B$4="Chapter Hunt"),CHOOSE(ArtifactsInput!$N$27+1,20,24,28,32,36,40),0)/100)))))/Skills!H8,1)))/Inputs!$B$43),G1799*Q1799))*IF(Inputs!$B$38="pvp",1,(1+(Inputs!$B$21+Skills!Q8+(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0">
      <c r="A1800">
        <f>Skills!A9</f>
        <v/>
      </c>
      <c r="B1800">
        <f>Skills!B9</f>
        <v/>
      </c>
      <c r="C1800">
        <f>Inputs!$B$3&gt;=125</f>
        <v/>
      </c>
      <c r="D1800">
        <f>IF(Skills!C9=1,60+Inputs!$B$25+Inputs!$B$29,IF(Skills!C9=2,90+Inputs!$B$26+Inputs!$B$29,IF(Skills!C9=3,120+Inputs!$B$27+Inputs!$B$29,MAX(0,(Inputs!$B$3-100)*3)+Inputs!$B$28+Inputs!$B$29)))</f>
        <v/>
      </c>
      <c r="E1800">
        <f>INDEX(FactorTable!$B$2:$Y$301, MATCH(ROUND(MIN(300,MAX(1,D1800)),0), FactorTable!$A$2:$A$301,0), Skills!M9+1)</f>
        <v/>
      </c>
      <c r="F1800">
        <f>IF(Skills!N9=TRUE,(Skills!L9/10)*(E1800/1000),Skills!L9/10)+Skills!O9</f>
        <v/>
      </c>
      <c r="G1800">
        <f>Skills!G9*IF(Skills!H9&gt;0,Skills!I9/Skills!H9,1)</f>
        <v/>
      </c>
      <c r="H1800">
        <f>1-(1-Skills!J9/100)^Skills!K9</f>
        <v/>
      </c>
      <c r="I1800" t="inlineStr">
        <is>
          <t>1</t>
        </is>
      </c>
      <c r="J1800">
        <f>((Inputs!$B$6*(1+Inputs!$B$7/100))+(((Inputs!$B$12*(1+Inputs!$B$13/100))-(Inputs!$B$12*(1+Inputs!$B$13/100)))+0.25*(Inputs!$B$14-Inputs!$B$14))*(1+Inputs!$B$7/100))*(F1800/100)</f>
        <v/>
      </c>
      <c r="K1800">
        <f>J1800*(1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1800)</f>
        <v/>
      </c>
      <c r="L1800">
        <f>K1800*(MIN(Inputs!$B$22+((C1813=TRUE)*(F1813-Calc!F22)),(Inputs!$B$23+((C1815=TRUE)*(F1815-Calc!F24))+(IF(ArtifactsInput!$M$15,CHOOSE(ArtifactsInput!$N$15+1,25,30,35,40,45,50)/100*(Inputs!$B$11-Inputs!$B$11),0))))/100+(Inputs!$B$23+((C1815=TRUE)*(F1815-Calc!F24))+(IF(ArtifactsInput!$M$15,CHOOSE(ArtifactsInput!$N$15+1,25,30,35,40,45,50)/100*(Inputs!$B$11-Inputs!$B$11),0)))/100)/2</f>
        <v/>
      </c>
      <c r="M1800">
        <f>L1800*(1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800">
        <f>L1800*(1-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1800*(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0">
        <f>(1-Summary!$B$11)*T1800+Summary!$B$11*V1800</f>
        <v/>
      </c>
      <c r="P1800">
        <f>IF(B1828=0,0,O1800/B1828)</f>
        <v/>
      </c>
      <c r="Q1800">
        <f>IFERROR(1/(IF(Inputs!$B$38="pvp",15,MAX(0.1,Skills!D9-IF(Skills!E9=TRUE,Inputs!$B$32,0)))*(1-IF(AND(ArtifactsInput!$M$27,Inputs!$B$4="Chapter Hunt"),CHOOSE(ArtifactsInput!$N$27+1,20,24,28,32,36,40),0)/100)),0)</f>
        <v/>
      </c>
      <c r="R1800">
        <f>IF(AND(Inputs!$B$38&lt;&gt;"pvp",Inputs!$B$43&gt;0),IF(MAX(0,Inputs!$B$43-B1825)&lt;=0,0,(INT(MAX(0,Inputs!$B$43-B1825)/(IF(Inputs!$B$38="pvp",15,MAX(0.1,Skills!D9-IF(Skills!E9=TRUE,Inputs!$B$32,0)))*(1-IF(AND(ArtifactsInput!$M$27,Inputs!$B$4="Chapter Hunt"),CHOOSE(ArtifactsInput!$N$27+1,20,24,28,32,36,40),0)/100)))+1)),0)</f>
        <v/>
      </c>
      <c r="S1800">
        <f>IFERROR(O1800/N1800,0)</f>
        <v/>
      </c>
      <c r="T1800">
        <f>IF(C1800,(H1800*N1800*IF(AND(Inputs!$B$38&lt;&gt;"pvp",Inputs!$B$43&gt;0),((Skills!G9*((R1800-1)*IF(Skills!H9&gt;0,Skills!I9/Skills!H9,1)+IF(Skills!H9&gt;0,MIN(Skills!I9,MAX(0,MAX(0,Inputs!$B$43-B1825)-((R1800-1)*(IF(Inputs!$B$38="pvp",15,MAX(0.1,Skills!D9-IF(Skills!E9=TRUE,Inputs!$B$32,0)))*(1-IF(AND(ArtifactsInput!$M$27,Inputs!$B$4="Chapter Hunt"),CHOOSE(ArtifactsInput!$N$27+1,20,24,28,32,36,40),0)/100)))))/Skills!H9,1)))/Inputs!$B$43),G1800*Q1800)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1800*(1-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1800*(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1800*(1-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1800*(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0">
        <f>IF(C1800,(H1800*N1800*IF(AND(Inputs!$B$38&lt;&gt;"pvp",Inputs!$B$43&gt;0),((Skills!G9*((R1800-1)*IF(Skills!H9&gt;0,Skills!I9/Skills!H9,1)+IF(Skills!H9&gt;0,MIN(Skills!I9,MAX(0,MAX(0,Inputs!$B$43-B1825)-((R1800-1)*(IF(Inputs!$B$38="pvp",15,MAX(0.1,Skills!D9-IF(Skills!E9=TRUE,Inputs!$B$32,0)))*(1-IF(AND(ArtifactsInput!$M$27,Inputs!$B$4="Chapter Hunt"),CHOOSE(ArtifactsInput!$N$27+1,20,24,28,32,36,40),0)/100)))))/Skills!H9,1)))/Inputs!$B$43),G1800*Q1800))*IF(Inputs!$B$38="pvp",1,(1+(Inputs!$B$21+Skills!Q9+(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1">
      <c r="A1801">
        <f>Skills!A10</f>
        <v/>
      </c>
      <c r="B1801">
        <f>Skills!B10</f>
        <v/>
      </c>
      <c r="C1801">
        <f>Inputs!$B$3&gt;=117</f>
        <v/>
      </c>
      <c r="D1801">
        <f>IF(Skills!C10=1,60+Inputs!$B$25+Inputs!$B$29,IF(Skills!C10=2,90+Inputs!$B$26+Inputs!$B$29,IF(Skills!C10=3,120+Inputs!$B$27+Inputs!$B$29,MAX(0,(Inputs!$B$3-100)*3)+Inputs!$B$28+Inputs!$B$29)))</f>
        <v/>
      </c>
      <c r="E1801">
        <f>INDEX(FactorTable!$B$2:$Y$301, MATCH(ROUND(MIN(300,MAX(1,D1801)),0), FactorTable!$A$2:$A$301,0), Skills!M10+1)</f>
        <v/>
      </c>
      <c r="F1801">
        <f>IF(Skills!N10=TRUE,(Skills!L10/10)*(E1801/1000),Skills!L10/10)+Skills!O10</f>
        <v/>
      </c>
      <c r="G1801">
        <f>Skills!G10*IF(Skills!H10&gt;0,Skills!I10/Skills!H10,1)</f>
        <v/>
      </c>
      <c r="H1801">
        <f>1-(1-Skills!J10/100)^Skills!K10</f>
        <v/>
      </c>
      <c r="I1801" t="inlineStr">
        <is>
          <t>1</t>
        </is>
      </c>
      <c r="J1801">
        <f>((Inputs!$B$6*(1+Inputs!$B$7/100))+(((Inputs!$B$12*(1+Inputs!$B$13/100))-(Inputs!$B$12*(1+Inputs!$B$13/100)))+0.25*(Inputs!$B$14-Inputs!$B$14))*(1+Inputs!$B$7/100))*(F1801/100)</f>
        <v/>
      </c>
      <c r="K1801">
        <f>J1801*(1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1801)</f>
        <v/>
      </c>
      <c r="L1801">
        <f>K1801*(MIN(Inputs!$B$22+((C1813=TRUE)*(F1813-Calc!F22)),(Inputs!$B$23+((C1815=TRUE)*(F1815-Calc!F24))+(IF(ArtifactsInput!$M$15,CHOOSE(ArtifactsInput!$N$15+1,25,30,35,40,45,50)/100*(Inputs!$B$11-Inputs!$B$11),0))))/100+(Inputs!$B$23+((C1815=TRUE)*(F1815-Calc!F24))+(IF(ArtifactsInput!$M$15,CHOOSE(ArtifactsInput!$N$15+1,25,30,35,40,45,50)/100*(Inputs!$B$11-Inputs!$B$11),0)))/100)/2</f>
        <v/>
      </c>
      <c r="M1801">
        <f>L1801*(1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801">
        <f>L1801*(1-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1">
        <f>(1-Summary!$B$11)*T1801+Summary!$B$11*V1801</f>
        <v/>
      </c>
      <c r="P1801">
        <f>IF(B1828=0,0,O1801/B1828)</f>
        <v/>
      </c>
      <c r="Q1801">
        <f>IFERROR(1/(IF(Inputs!$B$38="pvp",15,MAX(0.1,Skills!D10-IF(Skills!E10=TRUE,Inputs!$B$32,0)))*(1-IF(AND(ArtifactsInput!$M$27,Inputs!$B$4="Chapter Hunt"),CHOOSE(ArtifactsInput!$N$27+1,20,24,28,32,36,40),0)/100)),0)</f>
        <v/>
      </c>
      <c r="R1801">
        <f>IF(AND(Inputs!$B$38&lt;&gt;"pvp",Inputs!$B$43&gt;0),IF(MAX(0,Inputs!$B$43-B1825)&lt;=0,0,(INT(MAX(0,Inputs!$B$43-B1825)/(IF(Inputs!$B$38="pvp",15,MAX(0.1,Skills!D10-IF(Skills!E10=TRUE,Inputs!$B$32,0)))*(1-IF(AND(ArtifactsInput!$M$27,Inputs!$B$4="Chapter Hunt"),CHOOSE(ArtifactsInput!$N$27+1,20,24,28,32,36,40),0)/100)))+1)),0)</f>
        <v/>
      </c>
      <c r="S1801">
        <f>IFERROR(O1801/N1801,0)</f>
        <v/>
      </c>
      <c r="T1801">
        <f>IF(C1801,(H1801*N1801*IF(AND(Inputs!$B$38&lt;&gt;"pvp",Inputs!$B$43&gt;0),((Skills!G10*((R1801-1)*IF(Skills!H10&gt;0,Skills!I10/Skills!H10,1)+IF(Skills!H10&gt;0,MIN(Skills!I10,MAX(0,MAX(0,Inputs!$B$43-B1825)-((R1801-1)*(IF(Inputs!$B$38="pvp",15,MAX(0.1,Skills!D10-IF(Skills!E10=TRUE,Inputs!$B$32,0)))*(1-IF(AND(ArtifactsInput!$M$27,Inputs!$B$4="Chapter Hunt"),CHOOSE(ArtifactsInput!$N$27+1,20,24,28,32,36,40),0)/100)))))/Skills!H10,1)))/Inputs!$B$43),G1801*Q1801)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1801*(1-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1801*(1-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1">
        <f>IF(C1801,(H1801*N1801*IF(AND(Inputs!$B$38&lt;&gt;"pvp",Inputs!$B$43&gt;0),((Skills!G10*((R1801-1)*IF(Skills!H10&gt;0,Skills!I10/Skills!H10,1)+IF(Skills!H10&gt;0,MIN(Skills!I10,MAX(0,MAX(0,Inputs!$B$43-B1825)-((R1801-1)*(IF(Inputs!$B$38="pvp",15,MAX(0.1,Skills!D10-IF(Skills!E10=TRUE,Inputs!$B$32,0)))*(1-IF(AND(ArtifactsInput!$M$27,Inputs!$B$4="Chapter Hunt"),CHOOSE(ArtifactsInput!$N$27+1,20,24,28,32,36,40),0)/100)))))/Skills!H10,1)))/Inputs!$B$43),G1801*Q1801))*IF(Inputs!$B$38="pvp",1,(1+(Inputs!$B$21+Skills!Q10+(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2">
      <c r="A1802">
        <f>Skills!A11</f>
        <v/>
      </c>
      <c r="B1802">
        <f>Skills!B11</f>
        <v/>
      </c>
      <c r="C1802">
        <f>Inputs!$B$3&gt;=63</f>
        <v/>
      </c>
      <c r="D1802">
        <f>IF(Skills!C11=1,60+Inputs!$B$25+Inputs!$B$29,IF(Skills!C11=2,90+Inputs!$B$26+Inputs!$B$29,IF(Skills!C11=3,120+Inputs!$B$27+Inputs!$B$29,MAX(0,(Inputs!$B$3-100)*3)+Inputs!$B$28+Inputs!$B$29)))</f>
        <v/>
      </c>
      <c r="E1802">
        <f>INDEX(FactorTable!$B$2:$Y$301, MATCH(ROUND(MIN(300,MAX(1,D1802)),0), FactorTable!$A$2:$A$301,0), Skills!M11+1)</f>
        <v/>
      </c>
      <c r="F1802">
        <f>IF(Skills!N11=TRUE,(Skills!L11/10)*(E1802/1000),Skills!L11/10)+Skills!O11</f>
        <v/>
      </c>
      <c r="G1802">
        <f>Skills!G11*IF(Skills!H11&gt;0,Skills!I11/Skills!H11,1)</f>
        <v/>
      </c>
      <c r="H1802">
        <f>1-(1-Skills!J11/100)^Skills!K11</f>
        <v/>
      </c>
      <c r="I1802" t="inlineStr">
        <is>
          <t>1</t>
        </is>
      </c>
      <c r="J1802">
        <f>((Inputs!$B$6*(1+Inputs!$B$7/100))+(((Inputs!$B$12*(1+Inputs!$B$13/100))-(Inputs!$B$12*(1+Inputs!$B$13/100)))+0.25*(Inputs!$B$14-Inputs!$B$14))*(1+Inputs!$B$7/100))*(F1802/100)</f>
        <v/>
      </c>
      <c r="K1802">
        <f>J1802*(1+((Inputs!$B$12*(1+Inputs!$B$13/100))*0.01+Inputs!$B$14*0.0025)/100)*(1+Inputs!$B$15/100)*(1+Inputs!$B$16/100)*(5000/(6000+Inputs!$B$42*(1-(Inputs!$B$19+0)/100)))*(1+(Inputs!$B$24+0+B1824)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1803=TRUE,F1803,0)/100)*(1+(IF(Skills!A11="BLAST",Inputs!$B$17+((C1812=TRUE)*(F1812-Calc!F21))+((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MIN(100,((Inputs!$B$9+0+B1818+(IF(ArtifactsInput!$M$24,FALSE,TRUE)-ArtifactsInput!$M$24)*CHOOSE(ArtifactsInput!$N$24+1,10,12,14,16,18,20)+IF(ArtifactsInput!$M$10,CHOOSE(ArtifactsInput!$N$10+1,15,18,21,24,27,30)*(IF(Inputs!$B$38="pvp",MIN(15,15)/15,IF(AND(Inputs!$B$38&lt;&gt;"pvp",Inputs!$B$43&gt;0),MIN(15,Inputs!$B$43)/(Inputs!$B$43),0))),0)))-100),0))*CHOOSE(ArtifactsInput!$N$42+1,0.6,0.72,0.84,0.96,1.08,1.2))),Inputs!$B$18+((C1814=TRUE)*(F1814-Calc!F23))+(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gt;=100),CHOOSE(ArtifactsInput!$N$42+1,40,48,56,64,72,80),0))))/100)*((1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1802)</f>
        <v/>
      </c>
      <c r="L1802">
        <f>K1802*(MIN(Inputs!$B$22+((C1813=TRUE)*(F1813-Calc!F22)),(Inputs!$B$23+((C1815=TRUE)*(F1815-Calc!F24))+(IF(ArtifactsInput!$M$15,CHOOSE(ArtifactsInput!$N$15+1,25,30,35,40,45,50)/100*(Inputs!$B$11-Inputs!$B$11),0))))/100+(Inputs!$B$23+((C1815=TRUE)*(F1815-Calc!F24))+(IF(ArtifactsInput!$M$15,CHOOSE(ArtifactsInput!$N$15+1,25,30,35,40,45,50)/100*(Inputs!$B$11-Inputs!$B$11),0)))/100)/2</f>
        <v/>
      </c>
      <c r="M1802">
        <f>L1802*(1+(Inputs!$B$10+0+B1823+((IF(IF(ArtifactsInput!$M$24,FALSE,TRUE),1,-1)*CHOOSE(ArtifactsInput!$N$24+1,30,36,42,48,54,60)/100*IF(IF(ArtifactsInput!$M$24,FALSE,TRUE),(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1802">
        <f>L1802*(1-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1802*(MIN((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2">
        <f>(1-Summary!$B$11)*T1802+Summary!$B$11*V1802</f>
        <v/>
      </c>
      <c r="P1802">
        <f>IF(B1828=0,0,O1802/B1828)</f>
        <v/>
      </c>
      <c r="Q1802">
        <f>IFERROR(1/(IF(Inputs!$B$38="pvp",15,MAX(0.1,Skills!D11-IF(Skills!E11=TRUE,Inputs!$B$32,0)))*(1-IF(AND(ArtifactsInput!$M$27,Inputs!$B$4="Chapter Hunt"),CHOOSE(ArtifactsInput!$N$27+1,20,24,28,32,36,40),0)/100)),0)</f>
        <v/>
      </c>
      <c r="R1802">
        <f>IF(AND(Inputs!$B$38&lt;&gt;"pvp",Inputs!$B$43&gt;0),IF(MAX(0,Inputs!$B$43-B1825)&lt;=0,0,(INT(MAX(0,Inputs!$B$43-B1825)/(IF(Inputs!$B$38="pvp",15,MAX(0.1,Skills!D11-IF(Skills!E11=TRUE,Inputs!$B$32,0)))*(1-IF(AND(ArtifactsInput!$M$27,Inputs!$B$4="Chapter Hunt"),CHOOSE(ArtifactsInput!$N$27+1,20,24,28,32,36,40),0)/100)))+1)),0)</f>
        <v/>
      </c>
      <c r="S1802">
        <f>IFERROR(O1802/N1802,0)</f>
        <v/>
      </c>
      <c r="T1802">
        <f>IF(C1802,(H1802*N1802*IF(AND(Inputs!$B$38&lt;&gt;"pvp",Inputs!$B$43&gt;0),((Skills!G11*((R1802-1)*IF(Skills!H11&gt;0,Skills!I11/Skills!H11,1)+IF(Skills!H11&gt;0,MIN(Skills!I11,MAX(0,MAX(0,Inputs!$B$43-B1825)-((R1802-1)*(IF(Inputs!$B$38="pvp",15,MAX(0.1,Skills!D11-IF(Skills!E11=TRUE,Inputs!$B$32,0)))*(1-IF(AND(ArtifactsInput!$M$27,Inputs!$B$4="Chapter Hunt"),CHOOSE(ArtifactsInput!$N$27+1,20,24,28,32,36,40),0)/100)))))/Skills!H11,1)))/Inputs!$B$43),G1802*Q1802)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1802*(1-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1802*(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1802*(1-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1802*(MIN(100,(Inputs!$B$9+0+B1818+(IF(ArtifactsInput!$M$24,FALSE,TRUE)-ArtifactsInput!$M$24)*CHOOSE(ArtifactsInput!$N$24+1,10,12,14,16,18,20)+(IF(AND(Inputs!$B$38&lt;&gt;"pvp",Inputs!$B$43=0),1,IF(IF(Inputs!$B$38="pvp",15,Inputs!$B$43)-(B1825)&lt;=0,1,MAX(0,IF(Inputs!$B$38="pvp",15,Inputs!$B$43)-MAX(5,B1825))/(IF(Inputs!$B$38="pvp",15,Inputs!$B$43)-(B1825))))*IF(AND(ArtifactsInput!$M$42,((Inputs!$B$9+0+B1818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02">
        <f>IF(C1802,(H1802*N1802*IF(AND(Inputs!$B$38&lt;&gt;"pvp",Inputs!$B$43&gt;0),((Skills!G11*((R1802-1)*IF(Skills!H11&gt;0,Skills!I11/Skills!H11,1)+IF(Skills!H11&gt;0,MIN(Skills!I11,MAX(0,MAX(0,Inputs!$B$43-B1825)-((R1802-1)*(IF(Inputs!$B$38="pvp",15,MAX(0.1,Skills!D11-IF(Skills!E11=TRUE,Inputs!$B$32,0)))*(1-IF(AND(ArtifactsInput!$M$27,Inputs!$B$4="Chapter Hunt"),CHOOSE(ArtifactsInput!$N$27+1,20,24,28,32,36,40),0)/100)))))/Skills!H11,1)))/Inputs!$B$43),G1802*Q1802))*IF(Inputs!$B$38="pvp",1,(1+(Inputs!$B$21+Skills!Q11+(IF(ArtifactsInput!$M$33,CHOOSE(ArtifactsInput!$N$33+1,30,36,42,48,54,60),0))+(IF(AND(ArtifactsInput!$M$35,Inputs!$B$4&lt;&gt;"Chapter Hunt"),CHOOSE(ArtifactsInput!$N$35+1,15,18,21,24,27,30)*(1-EXP(-(0.2*B1820)*5)),0)+IF(AND(ArtifactsInput!$M$22,Inputs!$B$4&lt;&gt;"Chapter Hunt"),CHOOSE(ArtifactsInput!$N$22+1,10,12,14,16,18,20)*((0*(((0.15*B1820*5))^0/1)+1*(((0.15*B1820*5))^1/1)+2*(((0.15*B1820*5))^2/2)+3*(((0.15*B1820*5))^3/6)+4*(((0.15*B1820*5))^4/24)+5*(((0.15*B1820*5))^5/120))/((((0.15*B1820*5))^0/1)+(((0.15*B1820*5))^1/1)+(((0.15*B1820*5))^2/2)+(((0.15*B1820*5))^3/6)+(((0.15*B1820*5))^4/24)+(((0.15*B1820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3">
      <c r="A1803">
        <f>Skills!A12</f>
        <v/>
      </c>
      <c r="B1803">
        <f>Skills!B12</f>
        <v/>
      </c>
      <c r="C1803">
        <f>Inputs!$B$3&gt;=100</f>
        <v/>
      </c>
      <c r="D1803">
        <f>IF(Skills!C12=1,60+Inputs!$B$25+Inputs!$B$29,IF(Skills!C12=2,90+Inputs!$B$26+Inputs!$B$29,IF(Skills!C12=3,120+Inputs!$B$27+Inputs!$B$29,MAX(0,(Inputs!$B$3-100)*3)+Inputs!$B$28+Inputs!$B$29)))</f>
        <v/>
      </c>
      <c r="E1803">
        <f>INDEX(FactorTable!$B$2:$Y$301, MATCH(ROUND(MIN(300,MAX(1,D1803)),0), FactorTable!$A$2:$A$301,0), Skills!M12+1)</f>
        <v/>
      </c>
      <c r="F1803">
        <f>IF(Skills!N12=TRUE,(Skills!L12/10)*(E1803/1000),Skills!L12/10)+Skills!O12</f>
        <v/>
      </c>
      <c r="G1803" t="inlineStr"/>
      <c r="H1803" t="inlineStr"/>
      <c r="I1803" t="inlineStr">
        <is>
          <t>1</t>
        </is>
      </c>
      <c r="J1803" t="inlineStr"/>
      <c r="K1803" t="inlineStr"/>
      <c r="L1803" t="inlineStr"/>
      <c r="M1803" t="inlineStr"/>
      <c r="N1803" t="inlineStr"/>
      <c r="O1803" t="inlineStr"/>
      <c r="P1803" t="inlineStr"/>
      <c r="Q1803" t="inlineStr"/>
      <c r="R1803" t="inlineStr"/>
      <c r="S1803" t="inlineStr"/>
    </row>
    <row r="1804">
      <c r="A1804">
        <f>Skills!A13</f>
        <v/>
      </c>
      <c r="B1804">
        <f>Skills!B13</f>
        <v/>
      </c>
      <c r="C1804">
        <f>Inputs!$B$3&gt;=45</f>
        <v/>
      </c>
      <c r="D1804">
        <f>IF(Skills!C13=1,60+Inputs!$B$25+Inputs!$B$29,IF(Skills!C13=2,90+Inputs!$B$26+Inputs!$B$29,IF(Skills!C13=3,120+Inputs!$B$27+Inputs!$B$29,MAX(0,(Inputs!$B$3-100)*3)+Inputs!$B$28+Inputs!$B$29)))</f>
        <v/>
      </c>
      <c r="E1804">
        <f>INDEX(FactorTable!$B$2:$Y$301, MATCH(ROUND(MIN(300,MAX(1,D1804)),0), FactorTable!$A$2:$A$301,0), Skills!M13+1)</f>
        <v/>
      </c>
      <c r="F1804">
        <f>IF(Skills!N13=TRUE,(Skills!L13/10)*(E1804/1000),Skills!L13/10)+Skills!O13</f>
        <v/>
      </c>
      <c r="G1804">
        <f>Skills!G13*IF(Skills!H13&gt;0,Skills!I13/Skills!H13,1)</f>
        <v/>
      </c>
      <c r="H1804">
        <f>1-(1-Skills!J13/100)^Skills!K13</f>
        <v/>
      </c>
      <c r="I1804" t="inlineStr">
        <is>
          <t>1</t>
        </is>
      </c>
      <c r="J1804" t="inlineStr"/>
      <c r="K1804" t="inlineStr"/>
      <c r="L1804" t="inlineStr"/>
      <c r="M1804" t="inlineStr"/>
      <c r="N1804" t="inlineStr"/>
      <c r="O1804">
        <f>(1-Summary!$B$11)*T1804+Summary!$B$11*V1804</f>
        <v/>
      </c>
      <c r="P1804">
        <f>IF(B1828=0,0,O1804/B1828)</f>
        <v/>
      </c>
      <c r="Q1804" t="n">
        <v>0</v>
      </c>
      <c r="R1804" t="n">
        <v>0</v>
      </c>
      <c r="S1804">
        <f>IFERROR(O1804/N1804,0)</f>
        <v/>
      </c>
      <c r="T1804" t="n">
        <v>0</v>
      </c>
      <c r="V1804" t="n">
        <v>0</v>
      </c>
    </row>
    <row r="1805">
      <c r="A1805">
        <f>Skills!A14</f>
        <v/>
      </c>
      <c r="B1805">
        <f>Skills!B14</f>
        <v/>
      </c>
      <c r="C1805">
        <f>Inputs!$B$3&gt;=110</f>
        <v/>
      </c>
      <c r="D1805">
        <f>IF(Skills!C14=1,60+Inputs!$B$25+Inputs!$B$29,IF(Skills!C14=2,90+Inputs!$B$26+Inputs!$B$29,IF(Skills!C14=3,120+Inputs!$B$27+Inputs!$B$29,MAX(0,(Inputs!$B$3-100)*3)+Inputs!$B$28+Inputs!$B$29)))</f>
        <v/>
      </c>
      <c r="E1805">
        <f>INDEX(FactorTable!$B$2:$Y$301, MATCH(ROUND(MIN(300,MAX(1,D1805)),0), FactorTable!$A$2:$A$301,0), Skills!M14+1)</f>
        <v/>
      </c>
      <c r="F1805">
        <f>IF(Skills!N14=TRUE,(Skills!L14/10)*(E1805/1000),Skills!L14/10)+Skills!O14</f>
        <v/>
      </c>
      <c r="G1805">
        <f>Skills!G14*IF(Skills!H14&gt;0,Skills!I14/Skills!H14,1)</f>
        <v/>
      </c>
      <c r="H1805">
        <f>1-(1-Skills!J14/100)^Skills!K14</f>
        <v/>
      </c>
      <c r="I1805" t="inlineStr">
        <is>
          <t>1</t>
        </is>
      </c>
      <c r="J1805" t="inlineStr"/>
      <c r="K1805" t="inlineStr"/>
      <c r="L1805" t="inlineStr"/>
      <c r="M1805" t="inlineStr"/>
      <c r="N1805" t="inlineStr"/>
      <c r="O1805">
        <f>(1-Summary!$B$11)*T1805+Summary!$B$11*V1805</f>
        <v/>
      </c>
      <c r="P1805">
        <f>IF(B1828=0,0,O1805/B1828)</f>
        <v/>
      </c>
      <c r="Q1805" t="n">
        <v>0</v>
      </c>
      <c r="R1805" t="n">
        <v>0</v>
      </c>
      <c r="S1805">
        <f>IFERROR(O1805/N1805,0)</f>
        <v/>
      </c>
      <c r="T1805" t="n">
        <v>0</v>
      </c>
      <c r="V1805" t="n">
        <v>0</v>
      </c>
    </row>
    <row r="1806">
      <c r="A1806">
        <f>Skills!A15</f>
        <v/>
      </c>
      <c r="B1806">
        <f>Skills!B15</f>
        <v/>
      </c>
      <c r="C1806">
        <f>Inputs!$B$3&gt;=75</f>
        <v/>
      </c>
      <c r="D1806">
        <f>IF(Skills!C15=1,60+Inputs!$B$25+Inputs!$B$29,IF(Skills!C15=2,90+Inputs!$B$26+Inputs!$B$29,IF(Skills!C15=3,120+Inputs!$B$27+Inputs!$B$29,MAX(0,(Inputs!$B$3-100)*3)+Inputs!$B$28+Inputs!$B$29)))</f>
        <v/>
      </c>
      <c r="E1806">
        <f>INDEX(FactorTable!$B$2:$Y$301, MATCH(ROUND(MIN(300,MAX(1,D1806)),0), FactorTable!$A$2:$A$301,0), Skills!M15+1)</f>
        <v/>
      </c>
      <c r="F1806">
        <f>IF(Skills!N15=TRUE,(Skills!L15/10)*(E1806/1000),Skills!L15/10)+Skills!O15</f>
        <v/>
      </c>
      <c r="G1806">
        <f>Skills!G15*IF(Skills!H15&gt;0,Skills!I15/Skills!H15,1)</f>
        <v/>
      </c>
      <c r="H1806">
        <f>1-(1-Skills!J15/100)^Skills!K15</f>
        <v/>
      </c>
      <c r="I1806" t="inlineStr">
        <is>
          <t>1</t>
        </is>
      </c>
      <c r="J1806" t="inlineStr"/>
      <c r="K1806" t="inlineStr"/>
      <c r="L1806" t="inlineStr"/>
      <c r="M1806" t="inlineStr"/>
      <c r="N1806" t="inlineStr"/>
      <c r="O1806">
        <f>(1-Summary!$B$11)*T1806+Summary!$B$11*V1806</f>
        <v/>
      </c>
      <c r="P1806">
        <f>IF(B1828=0,0,O1806/B1828)</f>
        <v/>
      </c>
      <c r="Q1806">
        <f>IFERROR(1/(IF(Inputs!$B$38="pvp",15,MAX(0.1,Skills!D15-IF(Skills!E15=TRUE,Inputs!$B$32,0)))*(1-IF(AND(ArtifactsInput!$M$27,Inputs!$B$4="Chapter Hunt"),CHOOSE(ArtifactsInput!$N$27+1,20,24,28,32,36,40),0)/100)),0)</f>
        <v/>
      </c>
      <c r="R1806">
        <f>IF(AND(Inputs!$B$38&lt;&gt;"pvp",Inputs!$B$43&gt;0),IF(Inputs!$B$43&lt;=0,0,(INT(Inputs!$B$43/(IF(Inputs!$B$38="pvp",15,MAX(0.1,Skills!D15-IF(Skills!E15=TRUE,Inputs!$B$32,0)))*(1-IF(AND(ArtifactsInput!$M$27,Inputs!$B$4="Chapter Hunt"),CHOOSE(ArtifactsInput!$N$27+1,20,24,28,32,36,40),0)/100)))+1)),0)</f>
        <v/>
      </c>
      <c r="S1806">
        <f>IFERROR(O1806/N1806,0)</f>
        <v/>
      </c>
      <c r="T1806" t="n">
        <v>0</v>
      </c>
      <c r="V1806" t="n">
        <v>0</v>
      </c>
    </row>
    <row r="1807">
      <c r="A1807">
        <f>Skills!A16</f>
        <v/>
      </c>
      <c r="B1807">
        <f>Skills!B16</f>
        <v/>
      </c>
      <c r="C1807">
        <f>Inputs!$B$3&gt;=105</f>
        <v/>
      </c>
      <c r="D1807">
        <f>IF(Skills!C16=1,60+Inputs!$B$25+Inputs!$B$29,IF(Skills!C16=2,90+Inputs!$B$26+Inputs!$B$29,IF(Skills!C16=3,120+Inputs!$B$27+Inputs!$B$29,MAX(0,(Inputs!$B$3-100)*3)+Inputs!$B$28+Inputs!$B$29)))</f>
        <v/>
      </c>
      <c r="E1807">
        <f>INDEX(FactorTable!$B$2:$Y$301, MATCH(ROUND(MIN(300,MAX(1,D1807)),0), FactorTable!$A$2:$A$301,0), Skills!M16+1)</f>
        <v/>
      </c>
      <c r="F1807">
        <f>IF(Skills!N16=TRUE,(Skills!L16/10)*(E1807/1000),Skills!L16/10)+Skills!O16</f>
        <v/>
      </c>
      <c r="G1807">
        <f>Skills!G16*IF(Skills!H16&gt;0,Skills!I16/Skills!H16,1)</f>
        <v/>
      </c>
      <c r="H1807">
        <f>1-(1-Skills!J16/100)^Skills!K16</f>
        <v/>
      </c>
      <c r="I1807" t="inlineStr">
        <is>
          <t>1</t>
        </is>
      </c>
      <c r="J1807" t="inlineStr"/>
      <c r="K1807" t="inlineStr"/>
      <c r="L1807" t="inlineStr"/>
      <c r="M1807" t="inlineStr"/>
      <c r="N1807" t="inlineStr"/>
      <c r="O1807">
        <f>(1-Summary!$B$11)*T1807+Summary!$B$11*V1807</f>
        <v/>
      </c>
      <c r="P1807">
        <f>IF(B1828=0,0,O1807/B1828)</f>
        <v/>
      </c>
      <c r="Q1807">
        <f>IFERROR(1/(IF(Inputs!$B$38="pvp",15,MAX(0.1,Skills!D16-IF(Skills!E16=TRUE,Inputs!$B$32,0)))*(1-IF(AND(ArtifactsInput!$M$27,Inputs!$B$4="Chapter Hunt"),CHOOSE(ArtifactsInput!$N$27+1,20,24,28,32,36,40),0)/100)),0)</f>
        <v/>
      </c>
      <c r="R1807">
        <f>IF(AND(Inputs!$B$38&lt;&gt;"pvp",Inputs!$B$43&gt;0),IF(Inputs!$B$43&lt;=0,0,(INT(Inputs!$B$43/(IF(Inputs!$B$38="pvp",15,MAX(0.1,Skills!D16-IF(Skills!E16=TRUE,Inputs!$B$32,0)))*(1-IF(AND(ArtifactsInput!$M$27,Inputs!$B$4="Chapter Hunt"),CHOOSE(ArtifactsInput!$N$27+1,20,24,28,32,36,40),0)/100)))+1)),0)</f>
        <v/>
      </c>
      <c r="S1807">
        <f>IFERROR(O1807/N1807,0)</f>
        <v/>
      </c>
      <c r="T1807" t="n">
        <v>0</v>
      </c>
      <c r="V1807" t="n">
        <v>0</v>
      </c>
    </row>
    <row r="1808">
      <c r="A1808">
        <f>Skills!A17</f>
        <v/>
      </c>
      <c r="B1808">
        <f>Skills!B17</f>
        <v/>
      </c>
      <c r="C1808">
        <f>Inputs!$B$3&gt;=115</f>
        <v/>
      </c>
      <c r="D1808">
        <f>IF(Skills!C17=1,60+Inputs!$B$25+Inputs!$B$29,IF(Skills!C17=2,90+Inputs!$B$26+Inputs!$B$29,IF(Skills!C17=3,120+Inputs!$B$27+Inputs!$B$29,MAX(0,(Inputs!$B$3-100)*3)+Inputs!$B$28+Inputs!$B$29)))</f>
        <v/>
      </c>
      <c r="E1808">
        <f>INDEX(FactorTable!$B$2:$Y$301, MATCH(ROUND(MIN(300,MAX(1,D1808)),0), FactorTable!$A$2:$A$301,0), Skills!M17+1)</f>
        <v/>
      </c>
      <c r="F1808">
        <f>IF(Skills!N17=TRUE,(Skills!L17/10)*(E1808/1000),Skills!L17/10)+Skills!O17</f>
        <v/>
      </c>
      <c r="G1808">
        <f>Skills!G17*IF(Skills!H17&gt;0,Skills!I17/Skills!H17,1)</f>
        <v/>
      </c>
      <c r="H1808">
        <f>1-(1-Skills!J17/100)^Skills!K17</f>
        <v/>
      </c>
      <c r="I1808" t="inlineStr">
        <is>
          <t>1</t>
        </is>
      </c>
      <c r="J1808" t="inlineStr"/>
      <c r="K1808" t="inlineStr"/>
      <c r="L1808" t="inlineStr"/>
      <c r="M1808" t="inlineStr"/>
      <c r="N1808" t="inlineStr"/>
      <c r="O1808">
        <f>(1-Summary!$B$11)*T1808+Summary!$B$11*V1808</f>
        <v/>
      </c>
      <c r="P1808">
        <f>IF(B1828=0,0,O1808/B1828)</f>
        <v/>
      </c>
      <c r="Q1808">
        <f>IFERROR(1/(IF(Inputs!$B$38="pvp",15,MAX(0.1,Skills!D17-IF(Skills!E17=TRUE,Inputs!$B$32,0)))*(1-IF(AND(ArtifactsInput!$M$27,Inputs!$B$4="Chapter Hunt"),CHOOSE(ArtifactsInput!$N$27+1,20,24,28,32,36,40),0)/100)),0)</f>
        <v/>
      </c>
      <c r="R1808">
        <f>IF(AND(Inputs!$B$38&lt;&gt;"pvp",Inputs!$B$43&gt;0),IF(Inputs!$B$43&lt;=0,0,(INT(Inputs!$B$43/(IF(Inputs!$B$38="pvp",15,MAX(0.1,Skills!D17-IF(Skills!E17=TRUE,Inputs!$B$32,0)))*(1-IF(AND(ArtifactsInput!$M$27,Inputs!$B$4="Chapter Hunt"),CHOOSE(ArtifactsInput!$N$27+1,20,24,28,32,36,40),0)/100)))+1)),0)</f>
        <v/>
      </c>
      <c r="S1808">
        <f>IFERROR(O1808/N1808,0)</f>
        <v/>
      </c>
      <c r="T1808" t="n">
        <v>0</v>
      </c>
      <c r="V1808" t="n">
        <v>0</v>
      </c>
    </row>
    <row r="1809">
      <c r="A1809">
        <f>Skills!A18</f>
        <v/>
      </c>
      <c r="B1809">
        <f>Skills!B18</f>
        <v/>
      </c>
      <c r="C1809">
        <f>Inputs!$B$3&gt;=74</f>
        <v/>
      </c>
      <c r="D1809">
        <f>IF(Skills!C18=1,60+Inputs!$B$25+Inputs!$B$29,IF(Skills!C18=2,90+Inputs!$B$26+Inputs!$B$29,IF(Skills!C18=3,120+Inputs!$B$27+Inputs!$B$29,MAX(0,(Inputs!$B$3-100)*3)+Inputs!$B$28+Inputs!$B$29)))</f>
        <v/>
      </c>
      <c r="E1809">
        <f>INDEX(FactorTable!$B$2:$Y$301, MATCH(ROUND(MIN(300,MAX(1,D1809)),0), FactorTable!$A$2:$A$301,0), Skills!M18+1)</f>
        <v/>
      </c>
      <c r="F1809">
        <f>IF(Skills!N18=TRUE,(Skills!L18/10)*(E1809/1000),Skills!L18/10)+Skills!O18</f>
        <v/>
      </c>
      <c r="G1809">
        <f>Skills!G18*IF(Skills!H18&gt;0,Skills!I18/Skills!H18,1)</f>
        <v/>
      </c>
      <c r="H1809">
        <f>1-(1-Skills!J18/100)^Skills!K18</f>
        <v/>
      </c>
      <c r="I1809" t="inlineStr">
        <is>
          <t>1</t>
        </is>
      </c>
      <c r="J1809" t="inlineStr"/>
      <c r="K1809" t="inlineStr"/>
      <c r="L1809" t="inlineStr"/>
      <c r="M1809" t="inlineStr"/>
      <c r="N1809" t="inlineStr"/>
      <c r="O1809">
        <f>(1-Summary!$B$11)*T1809+Summary!$B$11*V1809</f>
        <v/>
      </c>
      <c r="P1809">
        <f>IF(B1828=0,0,O1809/B1828)</f>
        <v/>
      </c>
      <c r="Q1809">
        <f>IFERROR(1/(IF(Inputs!$B$38="pvp",15,MAX(0.1,Skills!D18-IF(Skills!E18=TRUE,Inputs!$B$32,0)))*(1-IF(AND(ArtifactsInput!$M$27,Inputs!$B$4="Chapter Hunt"),CHOOSE(ArtifactsInput!$N$27+1,20,24,28,32,36,40),0)/100)),0)</f>
        <v/>
      </c>
      <c r="R1809">
        <f>IF(AND(Inputs!$B$38&lt;&gt;"pvp",Inputs!$B$43&gt;0),IF(Inputs!$B$43&lt;=0,0,(INT(Inputs!$B$43/(IF(Inputs!$B$38="pvp",15,MAX(0.1,Skills!D18-IF(Skills!E18=TRUE,Inputs!$B$32,0)))*(1-IF(AND(ArtifactsInput!$M$27,Inputs!$B$4="Chapter Hunt"),CHOOSE(ArtifactsInput!$N$27+1,20,24,28,32,36,40),0)/100)))+1)),0)</f>
        <v/>
      </c>
      <c r="S1809">
        <f>IFERROR(O1809/N1809,0)</f>
        <v/>
      </c>
      <c r="T1809" t="n">
        <v>0</v>
      </c>
      <c r="V1809" t="n">
        <v>0</v>
      </c>
    </row>
    <row r="1810">
      <c r="A1810">
        <f>Skills!A19</f>
        <v/>
      </c>
      <c r="B1810">
        <f>Skills!B19</f>
        <v/>
      </c>
      <c r="C1810">
        <f>TRUE</f>
        <v/>
      </c>
      <c r="D1810">
        <f>IF(Skills!C19=1,60+Inputs!$B$25+Inputs!$B$29,IF(Skills!C19=2,90+Inputs!$B$26+Inputs!$B$29,IF(Skills!C19=3,120+Inputs!$B$27+Inputs!$B$29,MAX(0,(Inputs!$B$3-100)*3)+Inputs!$B$28+Inputs!$B$29)))</f>
        <v/>
      </c>
      <c r="E1810">
        <f>INDEX(FactorTable!$B$2:$Y$301, MATCH(ROUND(MIN(300,MAX(1,D1810)),0), FactorTable!$A$2:$A$301,0), Skills!M19+1)</f>
        <v/>
      </c>
      <c r="F1810">
        <f>IF(Skills!N19=TRUE,(Skills!L19/10)*(E1810/1000),Skills!L19/10)+Skills!O19</f>
        <v/>
      </c>
      <c r="G1810">
        <f>Skills!G19*IF(Skills!H19&gt;0,Skills!I19/Skills!H19,1)</f>
        <v/>
      </c>
      <c r="H1810">
        <f>1-(1-Skills!J19/100)^Skills!K19</f>
        <v/>
      </c>
      <c r="I1810" t="inlineStr">
        <is>
          <t>1</t>
        </is>
      </c>
      <c r="J1810" t="inlineStr"/>
      <c r="K1810" t="inlineStr"/>
      <c r="L1810" t="inlineStr"/>
      <c r="M1810" t="inlineStr"/>
      <c r="N1810" t="inlineStr"/>
      <c r="O1810">
        <f>(1-Summary!$B$11)*T1810+Summary!$B$11*V1810</f>
        <v/>
      </c>
      <c r="P1810">
        <f>IF(B1828=0,0,O1810/B1828)</f>
        <v/>
      </c>
      <c r="Q1810">
        <f>IFERROR(1/(IF(Inputs!$B$38="pvp",15,MAX(0.1,Skills!D19-IF(Skills!E19=TRUE,Inputs!$B$32,0)))*(1-IF(AND(ArtifactsInput!$M$27,Inputs!$B$4="Chapter Hunt"),CHOOSE(ArtifactsInput!$N$27+1,20,24,28,32,36,40),0)/100)),0)</f>
        <v/>
      </c>
      <c r="R1810">
        <f>IF(AND(Inputs!$B$38&lt;&gt;"pvp",Inputs!$B$43&gt;0),IF(Inputs!$B$43&lt;=0,0,(INT(Inputs!$B$43/(IF(Inputs!$B$38="pvp",15,MAX(0.1,Skills!D19-IF(Skills!E19=TRUE,Inputs!$B$32,0)))*(1-IF(AND(ArtifactsInput!$M$27,Inputs!$B$4="Chapter Hunt"),CHOOSE(ArtifactsInput!$N$27+1,20,24,28,32,36,40),0)/100)))+1)),0)</f>
        <v/>
      </c>
      <c r="S1810">
        <f>IFERROR(O1810/N1810,0)</f>
        <v/>
      </c>
      <c r="T1810" t="n">
        <v>0</v>
      </c>
      <c r="V1810" t="n">
        <v>0</v>
      </c>
    </row>
    <row r="1811">
      <c r="A1811">
        <f>Skills!A20</f>
        <v/>
      </c>
      <c r="B1811">
        <f>Skills!B20</f>
        <v/>
      </c>
      <c r="C1811">
        <f>Inputs!$B$3&gt;=33</f>
        <v/>
      </c>
      <c r="D1811">
        <f>IF(Skills!C20=1,60+Inputs!$B$25+Inputs!$B$29,IF(Skills!C20=2,90+Inputs!$B$26+Inputs!$B$29,IF(Skills!C20=3,120+Inputs!$B$27+Inputs!$B$29,MAX(0,(Inputs!$B$3-100)*3)+Inputs!$B$28+Inputs!$B$29)))</f>
        <v/>
      </c>
      <c r="E1811">
        <f>INDEX(FactorTable!$B$2:$Y$301, MATCH(ROUND(MIN(300,MAX(1,D1811)),0), FactorTable!$A$2:$A$301,0), Skills!M20+1)</f>
        <v/>
      </c>
      <c r="F1811">
        <f>IF(Skills!N20=TRUE,(Skills!L20/10)*(E1811/1000),Skills!L20/10)+Skills!O20</f>
        <v/>
      </c>
      <c r="G1811">
        <f>Skills!G20*IF(Skills!H20&gt;0,Skills!I20/Skills!H20,1)</f>
        <v/>
      </c>
      <c r="H1811">
        <f>1-(1-Skills!J20/100)^Skills!K20</f>
        <v/>
      </c>
      <c r="I1811" t="inlineStr">
        <is>
          <t>1</t>
        </is>
      </c>
      <c r="J1811" t="inlineStr"/>
      <c r="K1811" t="inlineStr"/>
      <c r="L1811" t="inlineStr"/>
      <c r="M1811" t="inlineStr"/>
      <c r="N1811" t="inlineStr"/>
      <c r="O1811">
        <f>(1-Summary!$B$11)*T1811+Summary!$B$11*V1811</f>
        <v/>
      </c>
      <c r="P1811">
        <f>IF(B1828=0,0,O1811/B1828)</f>
        <v/>
      </c>
      <c r="Q1811" t="n">
        <v>0</v>
      </c>
      <c r="R1811" t="n">
        <v>0</v>
      </c>
      <c r="S1811">
        <f>IFERROR(O1811/N1811,0)</f>
        <v/>
      </c>
      <c r="T1811" t="n">
        <v>0</v>
      </c>
      <c r="V1811" t="n">
        <v>0</v>
      </c>
    </row>
    <row r="1812">
      <c r="A1812">
        <f>Skills!A21</f>
        <v/>
      </c>
      <c r="B1812">
        <f>Skills!B21</f>
        <v/>
      </c>
      <c r="C1812">
        <f>Inputs!$B$3&gt;=38</f>
        <v/>
      </c>
      <c r="D1812">
        <f>IF(Skills!C21=1,60+Inputs!$B$25+Inputs!$B$29,IF(Skills!C21=2,90+Inputs!$B$26+Inputs!$B$29,IF(Skills!C21=3,120+Inputs!$B$27+Inputs!$B$29,MAX(0,(Inputs!$B$3-100)*3)+Inputs!$B$28+Inputs!$B$29)))</f>
        <v/>
      </c>
      <c r="E1812">
        <f>INDEX(FactorTable!$B$2:$Y$301, MATCH(ROUND(MIN(300,MAX(1,D1812)),0), FactorTable!$A$2:$A$301,0), Skills!M21+1)</f>
        <v/>
      </c>
      <c r="F1812">
        <f>IF(Skills!N21=TRUE,(Skills!L21/10)*(E1812/1000),Skills!L21/10)+Skills!O21</f>
        <v/>
      </c>
      <c r="G1812">
        <f>Skills!G21*IF(Skills!H21&gt;0,Skills!I21/Skills!H21,1)</f>
        <v/>
      </c>
      <c r="H1812">
        <f>1-(1-Skills!J21/100)^Skills!K21</f>
        <v/>
      </c>
      <c r="I1812" t="inlineStr">
        <is>
          <t>1</t>
        </is>
      </c>
      <c r="J1812" t="inlineStr"/>
      <c r="K1812" t="inlineStr"/>
      <c r="L1812" t="inlineStr"/>
      <c r="M1812" t="inlineStr"/>
      <c r="N1812" t="inlineStr"/>
      <c r="O1812">
        <f>(1-Summary!$B$11)*T1812+Summary!$B$11*V1812</f>
        <v/>
      </c>
      <c r="P1812">
        <f>IF(B1828=0,0,O1812/B1828)</f>
        <v/>
      </c>
      <c r="Q1812" t="n">
        <v>0</v>
      </c>
      <c r="R1812" t="n">
        <v>0</v>
      </c>
      <c r="S1812">
        <f>IFERROR(O1812/N1812,0)</f>
        <v/>
      </c>
      <c r="T1812" t="n">
        <v>0</v>
      </c>
      <c r="V1812" t="n">
        <v>0</v>
      </c>
    </row>
    <row r="1813">
      <c r="A1813">
        <f>Skills!A22</f>
        <v/>
      </c>
      <c r="B1813">
        <f>Skills!B22</f>
        <v/>
      </c>
      <c r="C1813">
        <f>Inputs!$B$3&gt;=43</f>
        <v/>
      </c>
      <c r="D1813">
        <f>IF(Skills!C22=1,60+Inputs!$B$25+Inputs!$B$29,IF(Skills!C22=2,90+Inputs!$B$26+Inputs!$B$29,IF(Skills!C22=3,120+Inputs!$B$27+Inputs!$B$29,MAX(0,(Inputs!$B$3-100)*3)+Inputs!$B$28+Inputs!$B$29)))</f>
        <v/>
      </c>
      <c r="E1813">
        <f>INDEX(FactorTable!$B$2:$Y$301, MATCH(ROUND(MIN(300,MAX(1,D1813)),0), FactorTable!$A$2:$A$301,0), Skills!M22+1)</f>
        <v/>
      </c>
      <c r="F1813">
        <f>IF(Skills!N22=TRUE,(Skills!L22/10)*(E1813/1000),Skills!L22/10)+Skills!O22</f>
        <v/>
      </c>
      <c r="G1813">
        <f>Skills!G22*IF(Skills!H22&gt;0,Skills!I22/Skills!H22,1)</f>
        <v/>
      </c>
      <c r="H1813">
        <f>1-(1-Skills!J22/100)^Skills!K22</f>
        <v/>
      </c>
      <c r="I1813" t="inlineStr">
        <is>
          <t>1</t>
        </is>
      </c>
      <c r="J1813" t="inlineStr"/>
      <c r="K1813" t="inlineStr"/>
      <c r="L1813" t="inlineStr"/>
      <c r="M1813" t="inlineStr"/>
      <c r="N1813" t="inlineStr"/>
      <c r="O1813">
        <f>(1-Summary!$B$11)*T1813+Summary!$B$11*V1813</f>
        <v/>
      </c>
      <c r="P1813">
        <f>IF(B1828=0,0,O1813/B1828)</f>
        <v/>
      </c>
      <c r="Q1813" t="n">
        <v>0</v>
      </c>
      <c r="R1813" t="n">
        <v>0</v>
      </c>
      <c r="S1813">
        <f>IFERROR(O1813/N1813,0)</f>
        <v/>
      </c>
      <c r="T1813" t="n">
        <v>0</v>
      </c>
      <c r="V1813" t="n">
        <v>0</v>
      </c>
    </row>
    <row r="1814">
      <c r="A1814">
        <f>Skills!A23</f>
        <v/>
      </c>
      <c r="B1814">
        <f>Skills!B23</f>
        <v/>
      </c>
      <c r="C1814">
        <f>Inputs!$B$3&gt;=120</f>
        <v/>
      </c>
      <c r="D1814">
        <f>IF(Skills!C23=1,60+Inputs!$B$25+Inputs!$B$29,IF(Skills!C23=2,90+Inputs!$B$26+Inputs!$B$29,IF(Skills!C23=3,120+Inputs!$B$27+Inputs!$B$29,MAX(0,(Inputs!$B$3-100)*3)+Inputs!$B$28+Inputs!$B$29)))</f>
        <v/>
      </c>
      <c r="E1814">
        <f>INDEX(FactorTable!$B$2:$Y$301, MATCH(ROUND(MIN(300,MAX(1,D1814)),0), FactorTable!$A$2:$A$301,0), Skills!M23+1)</f>
        <v/>
      </c>
      <c r="F1814">
        <f>IF(Skills!N23=TRUE,(Skills!L23/10)*(E1814/1000),Skills!L23/10)+Skills!O23</f>
        <v/>
      </c>
      <c r="G1814">
        <f>Skills!G23*IF(Skills!H23&gt;0,Skills!I23/Skills!H23,1)</f>
        <v/>
      </c>
      <c r="H1814">
        <f>1-(1-Skills!J23/100)^Skills!K23</f>
        <v/>
      </c>
      <c r="I1814" t="inlineStr">
        <is>
          <t>1</t>
        </is>
      </c>
      <c r="J1814" t="inlineStr"/>
      <c r="K1814" t="inlineStr"/>
      <c r="L1814" t="inlineStr"/>
      <c r="M1814" t="inlineStr"/>
      <c r="N1814" t="inlineStr"/>
      <c r="O1814">
        <f>(1-Summary!$B$11)*T1814+Summary!$B$11*V1814</f>
        <v/>
      </c>
      <c r="P1814">
        <f>IF(B1828=0,0,O1814/B1828)</f>
        <v/>
      </c>
      <c r="Q1814" t="n">
        <v>0</v>
      </c>
      <c r="R1814" t="n">
        <v>0</v>
      </c>
      <c r="S1814">
        <f>IFERROR(O1814/N1814,0)</f>
        <v/>
      </c>
      <c r="T1814" t="n">
        <v>0</v>
      </c>
      <c r="V1814" t="n">
        <v>0</v>
      </c>
    </row>
    <row r="1815">
      <c r="A1815">
        <f>Skills!A24</f>
        <v/>
      </c>
      <c r="B1815">
        <f>Skills!B24</f>
        <v/>
      </c>
      <c r="C1815">
        <f>Inputs!$B$3&gt;=120</f>
        <v/>
      </c>
      <c r="D1815">
        <f>IF(Skills!C24=1,60+Inputs!$B$25+Inputs!$B$29,IF(Skills!C24=2,90+Inputs!$B$26+Inputs!$B$29,IF(Skills!C24=3,120+Inputs!$B$27+Inputs!$B$29,MAX(0,(Inputs!$B$3-100)*3)+Inputs!$B$28+Inputs!$B$29)))</f>
        <v/>
      </c>
      <c r="E1815">
        <f>INDEX(FactorTable!$B$2:$Y$301, MATCH(ROUND(MIN(300,MAX(1,D1815)),0), FactorTable!$A$2:$A$301,0), Skills!M24+1)</f>
        <v/>
      </c>
      <c r="F1815">
        <f>IF(Skills!N24=TRUE,(Skills!L24/10)*(E1815/1000),Skills!L24/10)+Skills!O24</f>
        <v/>
      </c>
      <c r="G1815">
        <f>Skills!G24*IF(Skills!H24&gt;0,Skills!I24/Skills!H24,1)</f>
        <v/>
      </c>
      <c r="H1815">
        <f>1-(1-Skills!J24/100)^Skills!K24</f>
        <v/>
      </c>
      <c r="I1815" t="inlineStr">
        <is>
          <t>1</t>
        </is>
      </c>
      <c r="J1815" t="inlineStr"/>
      <c r="K1815" t="inlineStr"/>
      <c r="L1815" t="inlineStr"/>
      <c r="M1815" t="inlineStr"/>
      <c r="N1815" t="inlineStr"/>
      <c r="O1815">
        <f>(1-Summary!$B$11)*T1815+Summary!$B$11*V1815</f>
        <v/>
      </c>
      <c r="P1815">
        <f>IF(B1828=0,0,O1815/B1828)</f>
        <v/>
      </c>
      <c r="Q1815" t="n">
        <v>0</v>
      </c>
      <c r="R1815" t="n">
        <v>0</v>
      </c>
      <c r="S1815">
        <f>IFERROR(O1815/N1815,0)</f>
        <v/>
      </c>
      <c r="T1815" t="n">
        <v>0</v>
      </c>
      <c r="V1815" t="n">
        <v>0</v>
      </c>
    </row>
    <row r="1817">
      <c r="A1817" t="inlineStr">
        <is>
          <t>Attack% Bucket Multiplier</t>
        </is>
      </c>
      <c r="B1817">
        <f>(1+(((C1804=TRUE)*F1804*MIN(1,Skills!T13*(Skills!J13/100)*B1822))+((C1809=TRUE)*F1809*IF(AND(Inputs!$B$38&lt;&gt;"pvp",Inputs!$B$43&gt;0),(((R1809-1)*(Skills!T18*(1+Inputs!$B$34/100))+MIN((Skills!T18*(1+Inputs!$B$34/100)),MAX(0,Inputs!$B$43-((R1809-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18">
      <c r="A1818" t="inlineStr">
        <is>
          <t>Global Crit Rate Bonus %</t>
        </is>
      </c>
      <c r="B1818" t="n">
        <v>0</v>
      </c>
    </row>
    <row r="1819">
      <c r="A1819" t="inlineStr">
        <is>
          <t>Attack Speed Buff Bonus %</t>
        </is>
      </c>
      <c r="B1819">
        <f>((C1810=TRUE)*F1810*IF(AND(Inputs!$B$38&lt;&gt;"pvp",Inputs!$B$43&gt;0),(((R1810-1)*(Skills!T19*(1+Inputs!$B$34/100))+MIN((Skills!T19*(1+Inputs!$B$34/100)),MAX(0,Inputs!$B$43-((R1810-1)*Skills!D19))))/Inputs!$B$43),IF(Inputs!$B$38="pvp",MIN((Skills!T19*(1+Inputs!$B$34/100)),15)/15,(Skills!T19*(1+Inputs!$B$34/100))/Skills!D19)))</f>
        <v/>
      </c>
    </row>
    <row r="1820">
      <c r="A1820" t="inlineStr">
        <is>
          <t>Actions Per Second</t>
        </is>
      </c>
      <c r="B1820">
        <f>1+MIN(150,150*(1-(1-(Inputs!$B$11+((C1811=TRUE)*(F1811-Calc!F20)))/150)*(1-B1819/150)))/100</f>
        <v/>
      </c>
    </row>
    <row r="1821">
      <c r="A1821" t="inlineStr">
        <is>
          <t>Skill + Buff Cast Rate</t>
        </is>
      </c>
      <c r="B1821">
        <f>IF(AND(Inputs!$B$38&lt;&gt;"pvp",Inputs!$B$43&gt;0),SUMPRODUCT((Skills!E2:E24=TRUE)*(C1793:C1815=TRUE)*R1793:R1815*Skills!F2:F24)/Inputs!$B$43,SUMPRODUCT((Skills!E2:E24=TRUE)*(C1793:C1815=TRUE)*Q1793:Q1815*Skills!F2:F24))</f>
        <v/>
      </c>
    </row>
    <row r="1822">
      <c r="A1822" t="inlineStr">
        <is>
          <t>Blast Casts Per Second</t>
        </is>
      </c>
      <c r="B1822">
        <f>MAX(0,B1820-B1821)</f>
        <v/>
      </c>
    </row>
    <row r="1823">
      <c r="A1823" t="inlineStr">
        <is>
          <t>Global Critical Damage Bonus % (unused)</t>
        </is>
      </c>
      <c r="B1823" t="n">
        <v>0</v>
      </c>
    </row>
    <row r="1824">
      <c r="A1824" t="inlineStr">
        <is>
          <t>Global Final Damage Bonus % (Divine Shield + Guardian + Divine Blessing + Greater Vessel of Light)</t>
        </is>
      </c>
      <c r="B1824">
        <f>((C1806=TRUE)*F1806*IF(AND(Inputs!$B$38&lt;&gt;"pvp",Inputs!$B$43&gt;0),(((R1806-1)*(Skills!T15*(1+Inputs!$B$34/100))+MIN((Skills!T15*(1+Inputs!$B$34/100)),MAX(0,Inputs!$B$43-((R1806-1)*Skills!D15))))/Inputs!$B$43),IF(Inputs!$B$38="pvp",MIN((Skills!T15*(1+Inputs!$B$34/100)),15)/15,(Skills!T15*(1+Inputs!$B$34/100))/Skills!D15)))+((C1807=TRUE)*F1807*IF(AND(Inputs!$B$38&lt;&gt;"pvp",Inputs!$B$43&gt;0),(((R1807-1)*(Skills!T16*(1+Inputs!$B$34/100))+MIN((Skills!T16*(1+Inputs!$B$34/100)),MAX(0,Inputs!$B$43-((R1807-1)*Skills!D16))))/Inputs!$B$43),IF(Inputs!$B$38="pvp",MIN((Skills!T16*(1+Inputs!$B$34/100)),15)/15,(Skills!T16*(1+Inputs!$B$34/100))/Skills!D16)))+((C1808=TRUE)*F1808*IF(AND(Inputs!$B$38&lt;&gt;"pvp",Inputs!$B$43&gt;0),(((R1808-1)*(Skills!T17*(1+Inputs!$B$34/100))+MIN((Skills!T17*(1+Inputs!$B$34/100)),MAX(0,Inputs!$B$43-((R1808-1)*Skills!D17))))/Inputs!$B$43),IF(Inputs!$B$38="pvp",MIN((Skills!T17*(1+Inputs!$B$34/100)),15)/15,(Skills!T17*(1+Inputs!$B$34/100))/Skills!D17)))+((C1805=TRUE)*F1805*MIN(1,Skills!T13*(Skills!J13/100)*B1822))</f>
        <v/>
      </c>
    </row>
    <row r="1825">
      <c r="A1825" t="inlineStr">
        <is>
          <t>Buff-Casting Startup Delay (s, fixed-duration only)</t>
        </is>
      </c>
      <c r="B1825">
        <f>IF(AND(Inputs!$B$38&lt;&gt;"pvp",Inputs!$B$43&gt;0),SUMPRODUCT((Skills!T2:T24&gt;0)*(Skills!E2:E24=TRUE)*(C1793:C1815=TRUE))/B1820,0)</f>
        <v/>
      </c>
    </row>
    <row r="1826">
      <c r="A1826" t="inlineStr">
        <is>
          <t>Boss-Only Total DPS (this block's swept value)</t>
        </is>
      </c>
      <c r="B1826">
        <f>SUM(T1793:T1815)</f>
        <v/>
      </c>
    </row>
    <row r="1827">
      <c r="A1827" t="inlineStr">
        <is>
          <t>Normal-Only Total DPS (this block's swept value)</t>
        </is>
      </c>
      <c r="B1827">
        <f>SUM(V1793:V1815)</f>
        <v/>
      </c>
    </row>
    <row r="1828">
      <c r="A1828" s="6" t="inlineStr">
        <is>
          <t>TOTAL DPS</t>
        </is>
      </c>
      <c r="B1828" s="6">
        <f>SUM(O1793:O1815)</f>
        <v/>
      </c>
    </row>
    <row r="1831">
      <c r="A1831" s="6" t="inlineStr">
        <is>
          <t>Stat: Lunar Dew (Equip)</t>
        </is>
      </c>
    </row>
    <row r="1832">
      <c r="A1832" s="5" t="inlineStr">
        <is>
          <t>Key</t>
        </is>
      </c>
      <c r="B1832" s="5" t="inlineStr">
        <is>
          <t>Name</t>
        </is>
      </c>
      <c r="C1832" s="5" t="inlineStr">
        <is>
          <t>Unlocked</t>
        </is>
      </c>
      <c r="D1832" s="5" t="inlineStr">
        <is>
          <t>InputLevel</t>
        </is>
      </c>
      <c r="E1832" s="5" t="inlineStr">
        <is>
          <t>Factor</t>
        </is>
      </c>
      <c r="F1832" s="5" t="inlineStr">
        <is>
          <t>CoefficientPercent</t>
        </is>
      </c>
      <c r="G1832" s="5" t="inlineStr">
        <is>
          <t>EffectiveHits</t>
        </is>
      </c>
      <c r="H1832" s="5" t="inlineStr">
        <is>
          <t>ProcProbability</t>
        </is>
      </c>
      <c r="I1832" s="5" t="inlineStr">
        <is>
          <t>MapleHeroMultiplier</t>
        </is>
      </c>
      <c r="J1832" s="5" t="inlineStr">
        <is>
          <t>BaseDamage</t>
        </is>
      </c>
      <c r="K1832" s="5" t="inlineStr">
        <is>
          <t>BaseHitDamage</t>
        </is>
      </c>
      <c r="L1832" s="5" t="inlineStr">
        <is>
          <t>NonCritAvg</t>
        </is>
      </c>
      <c r="M1832" s="5" t="inlineStr">
        <is>
          <t>CritAvg</t>
        </is>
      </c>
      <c r="N1832" s="5" t="inlineStr">
        <is>
          <t>ExpectedDamage(perHit)</t>
        </is>
      </c>
      <c r="O1832" s="5" t="inlineStr">
        <is>
          <t>DPS</t>
        </is>
      </c>
      <c r="P1832" s="5" t="inlineStr">
        <is>
          <t>% of Total</t>
        </is>
      </c>
      <c r="Q1832" s="5" t="inlineStr">
        <is>
          <t>InvCooldown</t>
        </is>
      </c>
      <c r="R1832" s="5" t="inlineStr">
        <is>
          <t>CastsInFight</t>
        </is>
      </c>
      <c r="S1832" s="5" t="inlineStr">
        <is>
          <t>HitRate(perSec)</t>
        </is>
      </c>
      <c r="U1832" t="inlineStr">
        <is>
          <t>helpers</t>
        </is>
      </c>
    </row>
    <row r="1833">
      <c r="A1833">
        <f>Skills!A2</f>
        <v/>
      </c>
      <c r="B1833">
        <f>Skills!B2</f>
        <v/>
      </c>
      <c r="C1833">
        <f>Inputs!$B$3&gt;=100</f>
        <v/>
      </c>
      <c r="D1833" t="inlineStr"/>
      <c r="E1833" t="inlineStr"/>
      <c r="F1833">
        <f>U1835+Skills!O2</f>
        <v/>
      </c>
      <c r="G1833">
        <f>Skills!G2*IF(Skills!H2&gt;0,Skills!I2/Skills!H2,1)</f>
        <v/>
      </c>
      <c r="H1833">
        <f>1-(1-Skills!J2/100)^Skills!K2</f>
        <v/>
      </c>
      <c r="I1833" t="inlineStr">
        <is>
          <t>1</t>
        </is>
      </c>
      <c r="J1833">
        <f>((Inputs!$B$6*(1+Inputs!$B$7/100))+(((Inputs!$B$12*(1+Inputs!$B$13/100))-(Inputs!$B$12*(1+Inputs!$B$13/100)))+0.25*(Inputs!$B$14-Inputs!$B$14))*(1+Inputs!$B$7/100))*(F1833/100)</f>
        <v/>
      </c>
      <c r="K1833">
        <f>J1833*(1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1833)</f>
        <v/>
      </c>
      <c r="L1833">
        <f>K1833*(MIN(Inputs!$B$22+((C1853=TRUE)*(F1853-Calc!F22)),(Inputs!$B$23+((C1855=TRUE)*(F1855-Calc!F24))+(IF(ArtifactsInput!$M$15,CHOOSE(ArtifactsInput!$N$15+1,25,30,35,40,45,50)/100*(Inputs!$B$11-Inputs!$B$11),0))))/100+(Inputs!$B$23+((C1855=TRUE)*(F1855-Calc!F24))+(IF(ArtifactsInput!$M$15,CHOOSE(ArtifactsInput!$N$15+1,25,30,35,40,45,50)/100*(Inputs!$B$11-Inputs!$B$11),0)))/100)/2</f>
        <v/>
      </c>
      <c r="M1833">
        <f>L1833*(1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3">
        <f>L1833*(1-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1833*(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3">
        <f>(1-Summary!$B$11)*T1833+Summary!$B$11*V1833</f>
        <v/>
      </c>
      <c r="P1833">
        <f>IF(B1868=0,0,O1833/B1868)</f>
        <v/>
      </c>
      <c r="Q1833" t="n">
        <v>0</v>
      </c>
      <c r="R1833" t="n">
        <v>0</v>
      </c>
      <c r="S1833">
        <f>IFERROR(O1833/N1833,0)</f>
        <v/>
      </c>
      <c r="T1833">
        <f>IF(C1833,(Skills!G2*N1833*B1862)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1833*(1-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1833*(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1833*(1-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1833*(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3">
        <f>MAX(0,(Inputs!$B$3-100)*3)+Inputs!$B$28+Inputs!$B$29</f>
        <v/>
      </c>
      <c r="V1833">
        <f>IF(C1833,(Skills!G2*N1833*B1862)*IF(Inputs!$B$38="pvp",1,(1+(Inputs!$B$21+Skills!Q2+(IF(ArtifactsInput!$M$33,CHOOSE(ArtifactsInput!$N$33+1,30,36,42,48,54,60),0))+(IF(AND(ArtifactsInput!$M$35,Inputs!$B$4&lt;&gt;"Chapter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4">
      <c r="A1834">
        <f>Skills!A3</f>
        <v/>
      </c>
      <c r="B1834">
        <f>Skills!B3</f>
        <v/>
      </c>
      <c r="C1834">
        <f>Inputs!$B$3&gt;=50</f>
        <v/>
      </c>
      <c r="D1834">
        <f>IF(Skills!C3=1,60+Inputs!$B$25+Inputs!$B$29,IF(Skills!C3=2,90+Inputs!$B$26+Inputs!$B$29,IF(Skills!C3=3,120+Inputs!$B$27+Inputs!$B$29,MAX(0,(Inputs!$B$3-100)*3)+Inputs!$B$28+Inputs!$B$29)))</f>
        <v/>
      </c>
      <c r="E1834">
        <f>INDEX(FactorTable!$B$2:$Y$301, MATCH(ROUND(MIN(300,MAX(1,D1834)),0), FactorTable!$A$2:$A$301,0), Skills!M3+1)</f>
        <v/>
      </c>
      <c r="F1834">
        <f>IF(Skills!N3=TRUE,(Skills!L3/10)*(E1834/1000),Skills!L3/10)+Skills!O3</f>
        <v/>
      </c>
      <c r="G1834" t="inlineStr"/>
      <c r="H1834" t="inlineStr"/>
      <c r="I1834" t="inlineStr">
        <is>
          <t>1</t>
        </is>
      </c>
      <c r="J1834" t="inlineStr"/>
      <c r="K1834" t="inlineStr"/>
      <c r="L1834" t="inlineStr"/>
      <c r="M1834" t="inlineStr"/>
      <c r="N1834" t="inlineStr"/>
      <c r="O1834" t="inlineStr"/>
      <c r="P1834" t="inlineStr"/>
      <c r="Q1834" t="inlineStr"/>
      <c r="R1834" t="inlineStr"/>
      <c r="S1834" t="inlineStr"/>
      <c r="U1834">
        <f>INDEX(FactorTable!$B$2:$Y$301, MATCH(ROUND(MIN(300,MAX(1,U1833)),0), FactorTable!$A$2:$A$301,0), 22)</f>
        <v/>
      </c>
    </row>
    <row r="1835">
      <c r="A1835">
        <f>Skills!A4</f>
        <v/>
      </c>
      <c r="B1835">
        <f>Skills!B4</f>
        <v/>
      </c>
      <c r="C1835">
        <f>Inputs!$B$3&gt;=35</f>
        <v/>
      </c>
      <c r="D1835">
        <f>IF(Skills!C4=1,60+Inputs!$B$25+Inputs!$B$29,IF(Skills!C4=2,90+Inputs!$B$26+Inputs!$B$29,IF(Skills!C4=3,120+Inputs!$B$27+Inputs!$B$29,MAX(0,(Inputs!$B$3-100)*3)+Inputs!$B$28+Inputs!$B$29)))</f>
        <v/>
      </c>
      <c r="E1835">
        <f>INDEX(FactorTable!$B$2:$Y$301, MATCH(ROUND(MIN(300,MAX(1,D1835)),0), FactorTable!$A$2:$A$301,0), Skills!M4+1)</f>
        <v/>
      </c>
      <c r="F1835">
        <f>IF(Skills!N4=TRUE,(Skills!L4/10)*(E1835/1000),Skills!L4/10)+Skills!O4</f>
        <v/>
      </c>
      <c r="G1835">
        <f>Skills!G4*IF(Skills!H4&gt;0,Skills!I4/Skills!H4,1)</f>
        <v/>
      </c>
      <c r="H1835">
        <f>1-(1-Skills!J4/100)^Skills!K4</f>
        <v/>
      </c>
      <c r="I1835" t="inlineStr">
        <is>
          <t>1</t>
        </is>
      </c>
      <c r="J1835">
        <f>((Inputs!$B$6*(1+Inputs!$B$7/100))+(((Inputs!$B$12*(1+Inputs!$B$13/100))-(Inputs!$B$12*(1+Inputs!$B$13/100)))+0.25*(Inputs!$B$14-Inputs!$B$14))*(1+Inputs!$B$7/100))*(F1835/100)</f>
        <v/>
      </c>
      <c r="K1835">
        <f>J1835*(1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1843=TRUE,F1843,0)/100)*(1+(IF(Skills!A4="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1835)</f>
        <v/>
      </c>
      <c r="L1835">
        <f>K1835*(MIN(Inputs!$B$22+((C1853=TRUE)*(F1853-Calc!F22)),(Inputs!$B$23+((C1855=TRUE)*(F1855-Calc!F24))+(IF(ArtifactsInput!$M$15,CHOOSE(ArtifactsInput!$N$15+1,25,30,35,40,45,50)/100*(Inputs!$B$11-Inputs!$B$11),0))))/100+(Inputs!$B$23+((C1855=TRUE)*(F1855-Calc!F24))+(IF(ArtifactsInput!$M$15,CHOOSE(ArtifactsInput!$N$15+1,25,30,35,40,45,50)/100*(Inputs!$B$11-Inputs!$B$11),0)))/100)/2</f>
        <v/>
      </c>
      <c r="M1835">
        <f>L1835*(1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5">
        <f>L1835*(1-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1835*(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5">
        <f>(1-Summary!$B$11)*T1835+Summary!$B$11*V1835</f>
        <v/>
      </c>
      <c r="P1835">
        <f>IF(B1868=0,0,O1835/B1868)</f>
        <v/>
      </c>
      <c r="Q1835">
        <f>IFERROR(1/(IF(Inputs!$B$38="pvp",15,MAX(0.1,Skills!D4-IF(Skills!E4=TRUE,Inputs!$B$32,0)))*(1-IF(AND(ArtifactsInput!$M$27,Inputs!$B$4="Chapter Hunt"),CHOOSE(ArtifactsInput!$N$27+1,20,24,28,32,36,40),0)/100)),0)</f>
        <v/>
      </c>
      <c r="R1835">
        <f>IF(AND(Inputs!$B$38&lt;&gt;"pvp",Inputs!$B$43&gt;0),IF(MAX(0,Inputs!$B$43-B1865)&lt;=0,0,(INT(MAX(0,Inputs!$B$43-B1865)/(IF(Inputs!$B$38="pvp",15,MAX(0.1,Skills!D4-IF(Skills!E4=TRUE,Inputs!$B$32,0)))*(1-IF(AND(ArtifactsInput!$M$27,Inputs!$B$4="Chapter Hunt"),CHOOSE(ArtifactsInput!$N$27+1,20,24,28,32,36,40),0)/100)))+1)),0)</f>
        <v/>
      </c>
      <c r="S1835">
        <f>IFERROR(O1835/N1835,0)</f>
        <v/>
      </c>
      <c r="T1835">
        <f>IF(C1835,(H1835*N1835*IF(AND(Inputs!$B$38&lt;&gt;"pvp",Inputs!$B$43&gt;0),((Skills!G4*((R1835-1)*IF(Skills!H4&gt;0,Skills!I4/Skills!H4,1)+IF(Skills!H4&gt;0,MIN(Skills!I4,MAX(0,MAX(0,Inputs!$B$43-B1865)-((R1835-1)*(IF(Inputs!$B$38="pvp",15,MAX(0.1,Skills!D4-IF(Skills!E4=TRUE,Inputs!$B$32,0)))*(1-IF(AND(ArtifactsInput!$M$27,Inputs!$B$4="Chapter Hunt"),CHOOSE(ArtifactsInput!$N$27+1,20,24,28,32,36,40),0)/100)))))/Skills!H4,1)))/Inputs!$B$43),G1835*Q1835)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1835*(1-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1835*(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1835*(1-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1835*(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5">
        <f>290*U1834/1000</f>
        <v/>
      </c>
      <c r="V1835">
        <f>IF(C1835,(H1835*N1835*IF(AND(Inputs!$B$38&lt;&gt;"pvp",Inputs!$B$43&gt;0),((Skills!G4*((R1835-1)*IF(Skills!H4&gt;0,Skills!I4/Skills!H4,1)+IF(Skills!H4&gt;0,MIN(Skills!I4,MAX(0,MAX(0,Inputs!$B$43-B1865)-((R1835-1)*(IF(Inputs!$B$38="pvp",15,MAX(0.1,Skills!D4-IF(Skills!E4=TRUE,Inputs!$B$32,0)))*(1-IF(AND(ArtifactsInput!$M$27,Inputs!$B$4="Chapter Hunt"),CHOOSE(ArtifactsInput!$N$27+1,20,24,28,32,36,40),0)/100)))))/Skills!H4,1)))/Inputs!$B$43),G1835*Q1835))*IF(Inputs!$B$38="pvp",1,(1+(Inputs!$B$21+Skills!Q4+(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6">
      <c r="A1836">
        <f>Skills!A5</f>
        <v/>
      </c>
      <c r="B1836">
        <f>Skills!B5</f>
        <v/>
      </c>
      <c r="C1836">
        <f>Inputs!$B$3&gt;=66</f>
        <v/>
      </c>
      <c r="D1836">
        <f>IF(Skills!C5=1,60+Inputs!$B$25+Inputs!$B$29,IF(Skills!C5=2,90+Inputs!$B$26+Inputs!$B$29,IF(Skills!C5=3,120+Inputs!$B$27+Inputs!$B$29,MAX(0,(Inputs!$B$3-100)*3)+Inputs!$B$28+Inputs!$B$29)))</f>
        <v/>
      </c>
      <c r="E1836">
        <f>INDEX(FactorTable!$B$2:$Y$301, MATCH(ROUND(MIN(300,MAX(1,D1836)),0), FactorTable!$A$2:$A$301,0), Skills!M5+1)</f>
        <v/>
      </c>
      <c r="F1836">
        <f>IF(Skills!N5=TRUE,(Skills!L5/10)*(E1836/1000),Skills!L5/10)+Skills!O5</f>
        <v/>
      </c>
      <c r="G1836">
        <f>Skills!G5*IF(Skills!H5&gt;0,Skills!I5/Skills!H5,1)</f>
        <v/>
      </c>
      <c r="H1836">
        <f>1-(1-Skills!J5/100)^Skills!K5</f>
        <v/>
      </c>
      <c r="I1836" t="inlineStr">
        <is>
          <t>1</t>
        </is>
      </c>
      <c r="J1836">
        <f>((Inputs!$B$6*(1+Inputs!$B$7/100))+(((Inputs!$B$12*(1+Inputs!$B$13/100))-(Inputs!$B$12*(1+Inputs!$B$13/100)))+0.25*(Inputs!$B$14-Inputs!$B$14))*(1+Inputs!$B$7/100))*(F1836/100)</f>
        <v/>
      </c>
      <c r="K1836">
        <f>J1836*(1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1843=TRUE,F1843,0)/100)*(1+(IF(Skills!A5="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1836)</f>
        <v/>
      </c>
      <c r="L1836">
        <f>K1836*(MIN(Inputs!$B$22+((C1853=TRUE)*(F1853-Calc!F22)),(Inputs!$B$23+((C1855=TRUE)*(F1855-Calc!F24))+(IF(ArtifactsInput!$M$15,CHOOSE(ArtifactsInput!$N$15+1,25,30,35,40,45,50)/100*(Inputs!$B$11-Inputs!$B$11),0))))/100+(Inputs!$B$23+((C1855=TRUE)*(F1855-Calc!F24))+(IF(ArtifactsInput!$M$15,CHOOSE(ArtifactsInput!$N$15+1,25,30,35,40,45,50)/100*(Inputs!$B$11-Inputs!$B$11),0)))/100)/2</f>
        <v/>
      </c>
      <c r="M1836">
        <f>L1836*(1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6">
        <f>L1836*(1-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1836*(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6">
        <f>(1-Summary!$B$11)*T1836+Summary!$B$11*V1836</f>
        <v/>
      </c>
      <c r="P1836">
        <f>IF(B1868=0,0,O1836/B1868)</f>
        <v/>
      </c>
      <c r="Q1836">
        <f>IFERROR(1/(IF(Inputs!$B$38="pvp",15,MAX(0.1,Skills!D5-IF(Skills!E5=TRUE,Inputs!$B$32,0)))*(1-IF(AND(ArtifactsInput!$M$27,Inputs!$B$4="Chapter Hunt"),CHOOSE(ArtifactsInput!$N$27+1,20,24,28,32,36,40),0)/100)),0)</f>
        <v/>
      </c>
      <c r="R1836">
        <f>IF(AND(Inputs!$B$38&lt;&gt;"pvp",Inputs!$B$43&gt;0),IF(MAX(0,Inputs!$B$43-B1865)&lt;=0,0,(INT(MAX(0,Inputs!$B$43-B1865)/(IF(Inputs!$B$38="pvp",15,MAX(0.1,Skills!D5-IF(Skills!E5=TRUE,Inputs!$B$32,0)))*(1-IF(AND(ArtifactsInput!$M$27,Inputs!$B$4="Chapter Hunt"),CHOOSE(ArtifactsInput!$N$27+1,20,24,28,32,36,40),0)/100)))+1)),0)</f>
        <v/>
      </c>
      <c r="S1836">
        <f>IFERROR(O1836/N1836,0)</f>
        <v/>
      </c>
      <c r="T1836">
        <f>IF(C1836,(H1836*N1836*IF(AND(Inputs!$B$38&lt;&gt;"pvp",Inputs!$B$43&gt;0),((Skills!G5*((R1836-1)*IF(Skills!H5&gt;0,Skills!I5/Skills!H5,1)+IF(Skills!H5&gt;0,MIN(Skills!I5,MAX(0,MAX(0,Inputs!$B$43-B1865)-((R1836-1)*(IF(Inputs!$B$38="pvp",15,MAX(0.1,Skills!D5-IF(Skills!E5=TRUE,Inputs!$B$32,0)))*(1-IF(AND(ArtifactsInput!$M$27,Inputs!$B$4="Chapter Hunt"),CHOOSE(ArtifactsInput!$N$27+1,20,24,28,32,36,40),0)/100)))))/Skills!H5,1)))/Inputs!$B$43),G1836*Q1836)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1836*(1-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1836*(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1836*(1-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1836*(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6">
        <f>IF(C1836,(H1836*N1836*IF(AND(Inputs!$B$38&lt;&gt;"pvp",Inputs!$B$43&gt;0),((Skills!G5*((R1836-1)*IF(Skills!H5&gt;0,Skills!I5/Skills!H5,1)+IF(Skills!H5&gt;0,MIN(Skills!I5,MAX(0,MAX(0,Inputs!$B$43-B1865)-((R1836-1)*(IF(Inputs!$B$38="pvp",15,MAX(0.1,Skills!D5-IF(Skills!E5=TRUE,Inputs!$B$32,0)))*(1-IF(AND(ArtifactsInput!$M$27,Inputs!$B$4="Chapter Hunt"),CHOOSE(ArtifactsInput!$N$27+1,20,24,28,32,36,40),0)/100)))))/Skills!H5,1)))/Inputs!$B$43),G1836*Q1836))*IF(Inputs!$B$38="pvp",1,(1+(Inputs!$B$21+Skills!Q5+(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7">
      <c r="A1837">
        <f>Skills!A6</f>
        <v/>
      </c>
      <c r="B1837">
        <f>Skills!B6</f>
        <v/>
      </c>
      <c r="C1837">
        <f>Inputs!$B$3&gt;=103</f>
        <v/>
      </c>
      <c r="D1837">
        <f>IF(Skills!C6=1,60+Inputs!$B$25+Inputs!$B$29,IF(Skills!C6=2,90+Inputs!$B$26+Inputs!$B$29,IF(Skills!C6=3,120+Inputs!$B$27+Inputs!$B$29,MAX(0,(Inputs!$B$3-100)*3)+Inputs!$B$28+Inputs!$B$29)))</f>
        <v/>
      </c>
      <c r="E1837">
        <f>INDEX(FactorTable!$B$2:$Y$301, MATCH(ROUND(MIN(300,MAX(1,D1837)),0), FactorTable!$A$2:$A$301,0), Skills!M6+1)</f>
        <v/>
      </c>
      <c r="F1837">
        <f>IF(Skills!N6=TRUE,(Skills!L6/10)*(E1837/1000),Skills!L6/10)+Skills!O6</f>
        <v/>
      </c>
      <c r="G1837">
        <f>Skills!G6*IF(Skills!H6&gt;0,Skills!I6/Skills!H6,1)</f>
        <v/>
      </c>
      <c r="H1837">
        <f>1-(1-Skills!J6/100)^Skills!K6</f>
        <v/>
      </c>
      <c r="I1837" t="inlineStr">
        <is>
          <t>1</t>
        </is>
      </c>
      <c r="J1837">
        <f>((Inputs!$B$6*(1+Inputs!$B$7/100))+(((Inputs!$B$12*(1+Inputs!$B$13/100))-(Inputs!$B$12*(1+Inputs!$B$13/100)))+0.25*(Inputs!$B$14-Inputs!$B$14))*(1+Inputs!$B$7/100))*(F1837/100)</f>
        <v/>
      </c>
      <c r="K1837">
        <f>J1837*(1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1837)</f>
        <v/>
      </c>
      <c r="L1837">
        <f>K1837*(MIN(Inputs!$B$22+((C1853=TRUE)*(F1853-Calc!F22)),(Inputs!$B$23+((C1855=TRUE)*(F1855-Calc!F24))+(IF(ArtifactsInput!$M$15,CHOOSE(ArtifactsInput!$N$15+1,25,30,35,40,45,50)/100*(Inputs!$B$11-Inputs!$B$11),0))))/100+(Inputs!$B$23+((C1855=TRUE)*(F1855-Calc!F24))+(IF(ArtifactsInput!$M$15,CHOOSE(ArtifactsInput!$N$15+1,25,30,35,40,45,50)/100*(Inputs!$B$11-Inputs!$B$11),0)))/100)/2</f>
        <v/>
      </c>
      <c r="M1837">
        <f>L1837*(1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7">
        <f>L1837*(1-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1837*(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7">
        <f>(1-Summary!$B$11)*T1837+Summary!$B$11*V1837</f>
        <v/>
      </c>
      <c r="P1837">
        <f>IF(B1868=0,0,O1837/B1868)</f>
        <v/>
      </c>
      <c r="Q1837">
        <f>IFERROR(1/(IF(Inputs!$B$38="pvp",15,MAX(0.1,Skills!D6-IF(Skills!E6=TRUE,Inputs!$B$32,0)))*(1-IF(AND(ArtifactsInput!$M$27,Inputs!$B$4="Chapter Hunt"),CHOOSE(ArtifactsInput!$N$27+1,20,24,28,32,36,40),0)/100)),0)</f>
        <v/>
      </c>
      <c r="R1837">
        <f>IF(AND(Inputs!$B$38&lt;&gt;"pvp",Inputs!$B$43&gt;0),IF(MAX(0,Inputs!$B$43-B1865)&lt;=0,0,(INT(MAX(0,Inputs!$B$43-B1865)/(IF(Inputs!$B$38="pvp",15,MAX(0.1,Skills!D6-IF(Skills!E6=TRUE,Inputs!$B$32,0)))*(1-IF(AND(ArtifactsInput!$M$27,Inputs!$B$4="Chapter Hunt"),CHOOSE(ArtifactsInput!$N$27+1,20,24,28,32,36,40),0)/100)))+1)),0)</f>
        <v/>
      </c>
      <c r="S1837">
        <f>IFERROR(O1837/N1837,0)</f>
        <v/>
      </c>
      <c r="T1837">
        <f>IF(C1837,(H1837*N1837*IF(AND(Inputs!$B$38&lt;&gt;"pvp",Inputs!$B$43&gt;0),((Skills!G6*((R1837-1)*IF(Skills!H6&gt;0,Skills!I6/Skills!H6,1)+IF(Skills!H6&gt;0,MIN(Skills!I6,MAX(0,MAX(0,Inputs!$B$43-B1865)-((R1837-1)*(IF(Inputs!$B$38="pvp",15,MAX(0.1,Skills!D6-IF(Skills!E6=TRUE,Inputs!$B$32,0)))*(1-IF(AND(ArtifactsInput!$M$27,Inputs!$B$4="Chapter Hunt"),CHOOSE(ArtifactsInput!$N$27+1,20,24,28,32,36,40),0)/100)))))/Skills!H6,1)))/Inputs!$B$43),G1837*Q1837)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1837*(1-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1837*(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1837*(1-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1837*(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7">
        <f>IF(C1837,(H1837*N1837*IF(AND(Inputs!$B$38&lt;&gt;"pvp",Inputs!$B$43&gt;0),((Skills!G6*((R1837-1)*IF(Skills!H6&gt;0,Skills!I6/Skills!H6,1)+IF(Skills!H6&gt;0,MIN(Skills!I6,MAX(0,MAX(0,Inputs!$B$43-B1865)-((R1837-1)*(IF(Inputs!$B$38="pvp",15,MAX(0.1,Skills!D6-IF(Skills!E6=TRUE,Inputs!$B$32,0)))*(1-IF(AND(ArtifactsInput!$M$27,Inputs!$B$4="Chapter Hunt"),CHOOSE(ArtifactsInput!$N$27+1,20,24,28,32,36,40),0)/100)))))/Skills!H6,1)))/Inputs!$B$43),G1837*Q1837))*IF(Inputs!$B$38="pvp",1,(1+(Inputs!$B$21+Skills!Q6+(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8">
      <c r="A1838">
        <f>Skills!A7</f>
        <v/>
      </c>
      <c r="B1838">
        <f>Skills!B7</f>
        <v/>
      </c>
      <c r="C1838">
        <f>Inputs!$B$3&gt;=107</f>
        <v/>
      </c>
      <c r="D1838">
        <f>IF(Skills!C7=1,60+Inputs!$B$25+Inputs!$B$29,IF(Skills!C7=2,90+Inputs!$B$26+Inputs!$B$29,IF(Skills!C7=3,120+Inputs!$B$27+Inputs!$B$29,MAX(0,(Inputs!$B$3-100)*3)+Inputs!$B$28+Inputs!$B$29)))</f>
        <v/>
      </c>
      <c r="E1838">
        <f>INDEX(FactorTable!$B$2:$Y$301, MATCH(ROUND(MIN(300,MAX(1,D1838)),0), FactorTable!$A$2:$A$301,0), Skills!M7+1)</f>
        <v/>
      </c>
      <c r="F1838">
        <f>IF(Skills!N7=TRUE,(Skills!L7/10)*(E1838/1000),Skills!L7/10)+Skills!O7</f>
        <v/>
      </c>
      <c r="G1838">
        <f>Skills!G7*IF(Skills!H7&gt;0,Skills!I7/Skills!H7,1)</f>
        <v/>
      </c>
      <c r="H1838">
        <f>1-(1-Skills!J7/100)^Skills!K7</f>
        <v/>
      </c>
      <c r="I1838" t="inlineStr">
        <is>
          <t>1</t>
        </is>
      </c>
      <c r="J1838">
        <f>((Inputs!$B$6*(1+Inputs!$B$7/100))+(((Inputs!$B$12*(1+Inputs!$B$13/100))-(Inputs!$B$12*(1+Inputs!$B$13/100)))+0.25*(Inputs!$B$14-Inputs!$B$14))*(1+Inputs!$B$7/100))*(F1838/100)</f>
        <v/>
      </c>
      <c r="K1838">
        <f>J1838*(1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1838)</f>
        <v/>
      </c>
      <c r="L1838">
        <f>K1838*(MIN(Inputs!$B$22+((C1853=TRUE)*(F1853-Calc!F22)),(Inputs!$B$23+((C1855=TRUE)*(F1855-Calc!F24))+(IF(ArtifactsInput!$M$15,CHOOSE(ArtifactsInput!$N$15+1,25,30,35,40,45,50)/100*(Inputs!$B$11-Inputs!$B$11),0))))/100+(Inputs!$B$23+((C1855=TRUE)*(F1855-Calc!F24))+(IF(ArtifactsInput!$M$15,CHOOSE(ArtifactsInput!$N$15+1,25,30,35,40,45,50)/100*(Inputs!$B$11-Inputs!$B$11),0)))/100)/2</f>
        <v/>
      </c>
      <c r="M1838">
        <f>L1838*(1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8">
        <f>L1838*(1-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1838*(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8">
        <f>(1-Summary!$B$11)*T1838+Summary!$B$11*V1838</f>
        <v/>
      </c>
      <c r="P1838">
        <f>IF(B1868=0,0,O1838/B1868)</f>
        <v/>
      </c>
      <c r="Q1838">
        <f>IFERROR(1/(IF(Inputs!$B$38="pvp",15,MAX(0.1,Skills!D7-IF(Skills!E7=TRUE,Inputs!$B$32,0)))*(1-IF(AND(ArtifactsInput!$M$27,Inputs!$B$4="Chapter Hunt"),CHOOSE(ArtifactsInput!$N$27+1,20,24,28,32,36,40),0)/100)),0)</f>
        <v/>
      </c>
      <c r="R1838">
        <f>IF(AND(Inputs!$B$38&lt;&gt;"pvp",Inputs!$B$43&gt;0),IF(MAX(0,Inputs!$B$43-B1865)&lt;=0,0,(INT(MAX(0,Inputs!$B$43-B1865)/(IF(Inputs!$B$38="pvp",15,MAX(0.1,Skills!D7-IF(Skills!E7=TRUE,Inputs!$B$32,0)))*(1-IF(AND(ArtifactsInput!$M$27,Inputs!$B$4="Chapter Hunt"),CHOOSE(ArtifactsInput!$N$27+1,20,24,28,32,36,40),0)/100)))+1)),0)</f>
        <v/>
      </c>
      <c r="S1838">
        <f>IFERROR(O1838/N1838,0)</f>
        <v/>
      </c>
      <c r="T1838">
        <f>IF(C1838,(H1838*N1838*IF(AND(Inputs!$B$38&lt;&gt;"pvp",Inputs!$B$43&gt;0),((Skills!G7*((R1838-1)*IF(Skills!H7&gt;0,Skills!I7/Skills!H7,1)+IF(Skills!H7&gt;0,MIN(Skills!I7,MAX(0,MAX(0,Inputs!$B$43-B1865)-((R1838-1)*(IF(Inputs!$B$38="pvp",15,MAX(0.1,Skills!D7-IF(Skills!E7=TRUE,Inputs!$B$32,0)))*(1-IF(AND(ArtifactsInput!$M$27,Inputs!$B$4="Chapter Hunt"),CHOOSE(ArtifactsInput!$N$27+1,20,24,28,32,36,40),0)/100)))))/Skills!H7,1)))/Inputs!$B$43),G1838*Q1838)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1838*(1-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1838*(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1838*(1-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1838*(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8">
        <f>IF(C1838,(H1838*N1838*IF(AND(Inputs!$B$38&lt;&gt;"pvp",Inputs!$B$43&gt;0),((Skills!G7*((R1838-1)*IF(Skills!H7&gt;0,Skills!I7/Skills!H7,1)+IF(Skills!H7&gt;0,MIN(Skills!I7,MAX(0,MAX(0,Inputs!$B$43-B1865)-((R1838-1)*(IF(Inputs!$B$38="pvp",15,MAX(0.1,Skills!D7-IF(Skills!E7=TRUE,Inputs!$B$32,0)))*(1-IF(AND(ArtifactsInput!$M$27,Inputs!$B$4="Chapter Hunt"),CHOOSE(ArtifactsInput!$N$27+1,20,24,28,32,36,40),0)/100)))))/Skills!H7,1)))/Inputs!$B$43),G1838*Q1838))*IF(Inputs!$B$38="pvp",1,(1+(Inputs!$B$21+Skills!Q7+(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9">
      <c r="A1839">
        <f>Skills!A8</f>
        <v/>
      </c>
      <c r="B1839">
        <f>Skills!B8</f>
        <v/>
      </c>
      <c r="C1839">
        <f>Inputs!$B$3&gt;=107</f>
        <v/>
      </c>
      <c r="D1839">
        <f>IF(Skills!C8=1,60+Inputs!$B$25+Inputs!$B$29,IF(Skills!C8=2,90+Inputs!$B$26+Inputs!$B$29,IF(Skills!C8=3,120+Inputs!$B$27+Inputs!$B$29,MAX(0,(Inputs!$B$3-100)*3)+Inputs!$B$28+Inputs!$B$29)))</f>
        <v/>
      </c>
      <c r="E1839">
        <f>INDEX(FactorTable!$B$2:$Y$301, MATCH(ROUND(MIN(300,MAX(1,D1839)),0), FactorTable!$A$2:$A$301,0), Skills!M8+1)</f>
        <v/>
      </c>
      <c r="F1839">
        <f>IF(Skills!N8=TRUE,(Skills!L8/10)*(E1839/1000),Skills!L8/10)+Skills!O8</f>
        <v/>
      </c>
      <c r="G1839">
        <f>Skills!G8*IF(Skills!H8&gt;0,Skills!I8/Skills!H8,1)</f>
        <v/>
      </c>
      <c r="H1839">
        <f>1-(1-Skills!J8/100)^Skills!K8</f>
        <v/>
      </c>
      <c r="I1839" t="inlineStr">
        <is>
          <t>1</t>
        </is>
      </c>
      <c r="J1839">
        <f>((Inputs!$B$6*(1+Inputs!$B$7/100))+(((Inputs!$B$12*(1+Inputs!$B$13/100))-(Inputs!$B$12*(1+Inputs!$B$13/100)))+0.25*(Inputs!$B$14-Inputs!$B$14))*(1+Inputs!$B$7/100))*(F1839/100)</f>
        <v/>
      </c>
      <c r="K1839">
        <f>J1839*(1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1839)</f>
        <v/>
      </c>
      <c r="L1839">
        <f>K1839*(MIN(Inputs!$B$22+((C1853=TRUE)*(F1853-Calc!F22)),(Inputs!$B$23+((C1855=TRUE)*(F1855-Calc!F24))+(IF(ArtifactsInput!$M$15,CHOOSE(ArtifactsInput!$N$15+1,25,30,35,40,45,50)/100*(Inputs!$B$11-Inputs!$B$11),0))))/100+(Inputs!$B$23+((C1855=TRUE)*(F1855-Calc!F24))+(IF(ArtifactsInput!$M$15,CHOOSE(ArtifactsInput!$N$15+1,25,30,35,40,45,50)/100*(Inputs!$B$11-Inputs!$B$11),0)))/100)/2</f>
        <v/>
      </c>
      <c r="M1839">
        <f>L1839*(1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9">
        <f>L1839*(1-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1839*(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9">
        <f>(1-Summary!$B$11)*T1839+Summary!$B$11*V1839</f>
        <v/>
      </c>
      <c r="P1839">
        <f>IF(B1868=0,0,O1839/B1868)</f>
        <v/>
      </c>
      <c r="Q1839">
        <f>IFERROR(1/(IF(Inputs!$B$38="pvp",15,MAX(0.1,Skills!D8-IF(Skills!E8=TRUE,Inputs!$B$32,0)))*(1-IF(AND(ArtifactsInput!$M$27,Inputs!$B$4="Chapter Hunt"),CHOOSE(ArtifactsInput!$N$27+1,20,24,28,32,36,40),0)/100)),0)</f>
        <v/>
      </c>
      <c r="R1839">
        <f>IF(AND(Inputs!$B$38&lt;&gt;"pvp",Inputs!$B$43&gt;0),IF(MAX(0,Inputs!$B$43-B1865)&lt;=0,0,(INT(MAX(0,Inputs!$B$43-B1865)/(IF(Inputs!$B$38="pvp",15,MAX(0.1,Skills!D8-IF(Skills!E8=TRUE,Inputs!$B$32,0)))*(1-IF(AND(ArtifactsInput!$M$27,Inputs!$B$4="Chapter Hunt"),CHOOSE(ArtifactsInput!$N$27+1,20,24,28,32,36,40),0)/100)))+1)),0)</f>
        <v/>
      </c>
      <c r="S1839">
        <f>IFERROR(O1839/N1839,0)</f>
        <v/>
      </c>
      <c r="T1839">
        <f>IF(C1839,(H1839*N1839*IF(AND(Inputs!$B$38&lt;&gt;"pvp",Inputs!$B$43&gt;0),((Skills!G8*((R1839-1)*IF(Skills!H8&gt;0,Skills!I8/Skills!H8,1)+IF(Skills!H8&gt;0,MIN(Skills!I8,MAX(0,MAX(0,Inputs!$B$43-B1865)-((R1839-1)*(IF(Inputs!$B$38="pvp",15,MAX(0.1,Skills!D8-IF(Skills!E8=TRUE,Inputs!$B$32,0)))*(1-IF(AND(ArtifactsInput!$M$27,Inputs!$B$4="Chapter Hunt"),CHOOSE(ArtifactsInput!$N$27+1,20,24,28,32,36,40),0)/100)))))/Skills!H8,1)))/Inputs!$B$43),G1839*Q1839)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1839*(1-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1839*(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1839*(1-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1839*(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9">
        <f>IF(C1839,(H1839*N1839*IF(AND(Inputs!$B$38&lt;&gt;"pvp",Inputs!$B$43&gt;0),((Skills!G8*((R1839-1)*IF(Skills!H8&gt;0,Skills!I8/Skills!H8,1)+IF(Skills!H8&gt;0,MIN(Skills!I8,MAX(0,MAX(0,Inputs!$B$43-B1865)-((R1839-1)*(IF(Inputs!$B$38="pvp",15,MAX(0.1,Skills!D8-IF(Skills!E8=TRUE,Inputs!$B$32,0)))*(1-IF(AND(ArtifactsInput!$M$27,Inputs!$B$4="Chapter Hunt"),CHOOSE(ArtifactsInput!$N$27+1,20,24,28,32,36,40),0)/100)))))/Skills!H8,1)))/Inputs!$B$43),G1839*Q1839))*IF(Inputs!$B$38="pvp",1,(1+(Inputs!$B$21+Skills!Q8+(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0">
      <c r="A1840">
        <f>Skills!A9</f>
        <v/>
      </c>
      <c r="B1840">
        <f>Skills!B9</f>
        <v/>
      </c>
      <c r="C1840">
        <f>Inputs!$B$3&gt;=125</f>
        <v/>
      </c>
      <c r="D1840">
        <f>IF(Skills!C9=1,60+Inputs!$B$25+Inputs!$B$29,IF(Skills!C9=2,90+Inputs!$B$26+Inputs!$B$29,IF(Skills!C9=3,120+Inputs!$B$27+Inputs!$B$29,MAX(0,(Inputs!$B$3-100)*3)+Inputs!$B$28+Inputs!$B$29)))</f>
        <v/>
      </c>
      <c r="E1840">
        <f>INDEX(FactorTable!$B$2:$Y$301, MATCH(ROUND(MIN(300,MAX(1,D1840)),0), FactorTable!$A$2:$A$301,0), Skills!M9+1)</f>
        <v/>
      </c>
      <c r="F1840">
        <f>IF(Skills!N9=TRUE,(Skills!L9/10)*(E1840/1000),Skills!L9/10)+Skills!O9</f>
        <v/>
      </c>
      <c r="G1840">
        <f>Skills!G9*IF(Skills!H9&gt;0,Skills!I9/Skills!H9,1)</f>
        <v/>
      </c>
      <c r="H1840">
        <f>1-(1-Skills!J9/100)^Skills!K9</f>
        <v/>
      </c>
      <c r="I1840" t="inlineStr">
        <is>
          <t>1</t>
        </is>
      </c>
      <c r="J1840">
        <f>((Inputs!$B$6*(1+Inputs!$B$7/100))+(((Inputs!$B$12*(1+Inputs!$B$13/100))-(Inputs!$B$12*(1+Inputs!$B$13/100)))+0.25*(Inputs!$B$14-Inputs!$B$14))*(1+Inputs!$B$7/100))*(F1840/100)</f>
        <v/>
      </c>
      <c r="K1840">
        <f>J1840*(1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1840)</f>
        <v/>
      </c>
      <c r="L1840">
        <f>K1840*(MIN(Inputs!$B$22+((C1853=TRUE)*(F1853-Calc!F22)),(Inputs!$B$23+((C1855=TRUE)*(F1855-Calc!F24))+(IF(ArtifactsInput!$M$15,CHOOSE(ArtifactsInput!$N$15+1,25,30,35,40,45,50)/100*(Inputs!$B$11-Inputs!$B$11),0))))/100+(Inputs!$B$23+((C1855=TRUE)*(F1855-Calc!F24))+(IF(ArtifactsInput!$M$15,CHOOSE(ArtifactsInput!$N$15+1,25,30,35,40,45,50)/100*(Inputs!$B$11-Inputs!$B$11),0)))/100)/2</f>
        <v/>
      </c>
      <c r="M1840">
        <f>L1840*(1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0">
        <f>L1840*(1-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1840*(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0">
        <f>(1-Summary!$B$11)*T1840+Summary!$B$11*V1840</f>
        <v/>
      </c>
      <c r="P1840">
        <f>IF(B1868=0,0,O1840/B1868)</f>
        <v/>
      </c>
      <c r="Q1840">
        <f>IFERROR(1/(IF(Inputs!$B$38="pvp",15,MAX(0.1,Skills!D9-IF(Skills!E9=TRUE,Inputs!$B$32,0)))*(1-IF(AND(ArtifactsInput!$M$27,Inputs!$B$4="Chapter Hunt"),CHOOSE(ArtifactsInput!$N$27+1,20,24,28,32,36,40),0)/100)),0)</f>
        <v/>
      </c>
      <c r="R1840">
        <f>IF(AND(Inputs!$B$38&lt;&gt;"pvp",Inputs!$B$43&gt;0),IF(MAX(0,Inputs!$B$43-B1865)&lt;=0,0,(INT(MAX(0,Inputs!$B$43-B1865)/(IF(Inputs!$B$38="pvp",15,MAX(0.1,Skills!D9-IF(Skills!E9=TRUE,Inputs!$B$32,0)))*(1-IF(AND(ArtifactsInput!$M$27,Inputs!$B$4="Chapter Hunt"),CHOOSE(ArtifactsInput!$N$27+1,20,24,28,32,36,40),0)/100)))+1)),0)</f>
        <v/>
      </c>
      <c r="S1840">
        <f>IFERROR(O1840/N1840,0)</f>
        <v/>
      </c>
      <c r="T1840">
        <f>IF(C1840,(H1840*N1840*IF(AND(Inputs!$B$38&lt;&gt;"pvp",Inputs!$B$43&gt;0),((Skills!G9*((R1840-1)*IF(Skills!H9&gt;0,Skills!I9/Skills!H9,1)+IF(Skills!H9&gt;0,MIN(Skills!I9,MAX(0,MAX(0,Inputs!$B$43-B1865)-((R1840-1)*(IF(Inputs!$B$38="pvp",15,MAX(0.1,Skills!D9-IF(Skills!E9=TRUE,Inputs!$B$32,0)))*(1-IF(AND(ArtifactsInput!$M$27,Inputs!$B$4="Chapter Hunt"),CHOOSE(ArtifactsInput!$N$27+1,20,24,28,32,36,40),0)/100)))))/Skills!H9,1)))/Inputs!$B$43),G1840*Q1840)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1840*(1-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1840*(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1840*(1-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1840*(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0">
        <f>IF(C1840,(H1840*N1840*IF(AND(Inputs!$B$38&lt;&gt;"pvp",Inputs!$B$43&gt;0),((Skills!G9*((R1840-1)*IF(Skills!H9&gt;0,Skills!I9/Skills!H9,1)+IF(Skills!H9&gt;0,MIN(Skills!I9,MAX(0,MAX(0,Inputs!$B$43-B1865)-((R1840-1)*(IF(Inputs!$B$38="pvp",15,MAX(0.1,Skills!D9-IF(Skills!E9=TRUE,Inputs!$B$32,0)))*(1-IF(AND(ArtifactsInput!$M$27,Inputs!$B$4="Chapter Hunt"),CHOOSE(ArtifactsInput!$N$27+1,20,24,28,32,36,40),0)/100)))))/Skills!H9,1)))/Inputs!$B$43),G1840*Q1840))*IF(Inputs!$B$38="pvp",1,(1+(Inputs!$B$21+Skills!Q9+(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1">
      <c r="A1841">
        <f>Skills!A10</f>
        <v/>
      </c>
      <c r="B1841">
        <f>Skills!B10</f>
        <v/>
      </c>
      <c r="C1841">
        <f>Inputs!$B$3&gt;=117</f>
        <v/>
      </c>
      <c r="D1841">
        <f>IF(Skills!C10=1,60+Inputs!$B$25+Inputs!$B$29,IF(Skills!C10=2,90+Inputs!$B$26+Inputs!$B$29,IF(Skills!C10=3,120+Inputs!$B$27+Inputs!$B$29,MAX(0,(Inputs!$B$3-100)*3)+Inputs!$B$28+Inputs!$B$29)))</f>
        <v/>
      </c>
      <c r="E1841">
        <f>INDEX(FactorTable!$B$2:$Y$301, MATCH(ROUND(MIN(300,MAX(1,D1841)),0), FactorTable!$A$2:$A$301,0), Skills!M10+1)</f>
        <v/>
      </c>
      <c r="F1841">
        <f>IF(Skills!N10=TRUE,(Skills!L10/10)*(E1841/1000),Skills!L10/10)+Skills!O10</f>
        <v/>
      </c>
      <c r="G1841">
        <f>Skills!G10*IF(Skills!H10&gt;0,Skills!I10/Skills!H10,1)</f>
        <v/>
      </c>
      <c r="H1841">
        <f>1-(1-Skills!J10/100)^Skills!K10</f>
        <v/>
      </c>
      <c r="I1841" t="inlineStr">
        <is>
          <t>1</t>
        </is>
      </c>
      <c r="J1841">
        <f>((Inputs!$B$6*(1+Inputs!$B$7/100))+(((Inputs!$B$12*(1+Inputs!$B$13/100))-(Inputs!$B$12*(1+Inputs!$B$13/100)))+0.25*(Inputs!$B$14-Inputs!$B$14))*(1+Inputs!$B$7/100))*(F1841/100)</f>
        <v/>
      </c>
      <c r="K1841">
        <f>J1841*(1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1841)</f>
        <v/>
      </c>
      <c r="L1841">
        <f>K1841*(MIN(Inputs!$B$22+((C1853=TRUE)*(F1853-Calc!F22)),(Inputs!$B$23+((C1855=TRUE)*(F1855-Calc!F24))+(IF(ArtifactsInput!$M$15,CHOOSE(ArtifactsInput!$N$15+1,25,30,35,40,45,50)/100*(Inputs!$B$11-Inputs!$B$11),0))))/100+(Inputs!$B$23+((C1855=TRUE)*(F1855-Calc!F24))+(IF(ArtifactsInput!$M$15,CHOOSE(ArtifactsInput!$N$15+1,25,30,35,40,45,50)/100*(Inputs!$B$11-Inputs!$B$11),0)))/100)/2</f>
        <v/>
      </c>
      <c r="M1841">
        <f>L1841*(1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1">
        <f>L1841*(1-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1">
        <f>(1-Summary!$B$11)*T1841+Summary!$B$11*V1841</f>
        <v/>
      </c>
      <c r="P1841">
        <f>IF(B1868=0,0,O1841/B1868)</f>
        <v/>
      </c>
      <c r="Q1841">
        <f>IFERROR(1/(IF(Inputs!$B$38="pvp",15,MAX(0.1,Skills!D10-IF(Skills!E10=TRUE,Inputs!$B$32,0)))*(1-IF(AND(ArtifactsInput!$M$27,Inputs!$B$4="Chapter Hunt"),CHOOSE(ArtifactsInput!$N$27+1,20,24,28,32,36,40),0)/100)),0)</f>
        <v/>
      </c>
      <c r="R1841">
        <f>IF(AND(Inputs!$B$38&lt;&gt;"pvp",Inputs!$B$43&gt;0),IF(MAX(0,Inputs!$B$43-B1865)&lt;=0,0,(INT(MAX(0,Inputs!$B$43-B1865)/(IF(Inputs!$B$38="pvp",15,MAX(0.1,Skills!D10-IF(Skills!E10=TRUE,Inputs!$B$32,0)))*(1-IF(AND(ArtifactsInput!$M$27,Inputs!$B$4="Chapter Hunt"),CHOOSE(ArtifactsInput!$N$27+1,20,24,28,32,36,40),0)/100)))+1)),0)</f>
        <v/>
      </c>
      <c r="S1841">
        <f>IFERROR(O1841/N1841,0)</f>
        <v/>
      </c>
      <c r="T1841">
        <f>IF(C1841,(H1841*N1841*IF(AND(Inputs!$B$38&lt;&gt;"pvp",Inputs!$B$43&gt;0),((Skills!G10*((R1841-1)*IF(Skills!H10&gt;0,Skills!I10/Skills!H10,1)+IF(Skills!H10&gt;0,MIN(Skills!I10,MAX(0,MAX(0,Inputs!$B$43-B1865)-((R1841-1)*(IF(Inputs!$B$38="pvp",15,MAX(0.1,Skills!D10-IF(Skills!E10=TRUE,Inputs!$B$32,0)))*(1-IF(AND(ArtifactsInput!$M$27,Inputs!$B$4="Chapter Hunt"),CHOOSE(ArtifactsInput!$N$27+1,20,24,28,32,36,40),0)/100)))))/Skills!H10,1)))/Inputs!$B$43),G1841*Q1841)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1841*(1-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1841*(1-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1">
        <f>IF(C1841,(H1841*N1841*IF(AND(Inputs!$B$38&lt;&gt;"pvp",Inputs!$B$43&gt;0),((Skills!G10*((R1841-1)*IF(Skills!H10&gt;0,Skills!I10/Skills!H10,1)+IF(Skills!H10&gt;0,MIN(Skills!I10,MAX(0,MAX(0,Inputs!$B$43-B1865)-((R1841-1)*(IF(Inputs!$B$38="pvp",15,MAX(0.1,Skills!D10-IF(Skills!E10=TRUE,Inputs!$B$32,0)))*(1-IF(AND(ArtifactsInput!$M$27,Inputs!$B$4="Chapter Hunt"),CHOOSE(ArtifactsInput!$N$27+1,20,24,28,32,36,40),0)/100)))))/Skills!H10,1)))/Inputs!$B$43),G1841*Q1841))*IF(Inputs!$B$38="pvp",1,(1+(Inputs!$B$21+Skills!Q10+(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2">
      <c r="A1842">
        <f>Skills!A11</f>
        <v/>
      </c>
      <c r="B1842">
        <f>Skills!B11</f>
        <v/>
      </c>
      <c r="C1842">
        <f>Inputs!$B$3&gt;=63</f>
        <v/>
      </c>
      <c r="D1842">
        <f>IF(Skills!C11=1,60+Inputs!$B$25+Inputs!$B$29,IF(Skills!C11=2,90+Inputs!$B$26+Inputs!$B$29,IF(Skills!C11=3,120+Inputs!$B$27+Inputs!$B$29,MAX(0,(Inputs!$B$3-100)*3)+Inputs!$B$28+Inputs!$B$29)))</f>
        <v/>
      </c>
      <c r="E1842">
        <f>INDEX(FactorTable!$B$2:$Y$301, MATCH(ROUND(MIN(300,MAX(1,D1842)),0), FactorTable!$A$2:$A$301,0), Skills!M11+1)</f>
        <v/>
      </c>
      <c r="F1842">
        <f>IF(Skills!N11=TRUE,(Skills!L11/10)*(E1842/1000),Skills!L11/10)+Skills!O11</f>
        <v/>
      </c>
      <c r="G1842">
        <f>Skills!G11*IF(Skills!H11&gt;0,Skills!I11/Skills!H11,1)</f>
        <v/>
      </c>
      <c r="H1842">
        <f>1-(1-Skills!J11/100)^Skills!K11</f>
        <v/>
      </c>
      <c r="I1842" t="inlineStr">
        <is>
          <t>1</t>
        </is>
      </c>
      <c r="J1842">
        <f>((Inputs!$B$6*(1+Inputs!$B$7/100))+(((Inputs!$B$12*(1+Inputs!$B$13/100))-(Inputs!$B$12*(1+Inputs!$B$13/100)))+0.25*(Inputs!$B$14-Inputs!$B$14))*(1+Inputs!$B$7/100))*(F1842/100)</f>
        <v/>
      </c>
      <c r="K1842">
        <f>J1842*(1+((Inputs!$B$12*(1+Inputs!$B$13/100))*0.01+Inputs!$B$14*0.0025)/100)*(1+Inputs!$B$15/100)*(1+Inputs!$B$16/100)*(5000/(6000+Inputs!$B$42*(1-(Inputs!$B$19+0)/100)))*(1+(Inputs!$B$24+0+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1843=TRUE,F1843,0)/100)*(1+(IF(Skills!A11="BLAST",Inputs!$B$17+((C1852=TRUE)*(F1852-Calc!F21))+((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MIN(100,((Inputs!$B$9+0+B1858+(ArtifactsInput!$M$24-ArtifactsInput!$M$24)*CHOOSE(ArtifactsInput!$N$24+1,10,12,14,16,18,20)+IF(ArtifactsInput!$M$10,CHOOSE(ArtifactsInput!$N$10+1,15,18,21,24,27,30)*(IF(Inputs!$B$38="pvp",MIN(15,15)/15,IF(AND(Inputs!$B$38&lt;&gt;"pvp",Inputs!$B$43&gt;0),MIN(15,Inputs!$B$43)/(Inputs!$B$43),0))),0)))-100),0))*CHOOSE(ArtifactsInput!$N$42+1,0.6,0.72,0.84,0.96,1.08,1.2))),Inputs!$B$18+((C1854=TRUE)*(F1854-Calc!F23))+(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gt;=100),CHOOSE(ArtifactsInput!$N$42+1,40,48,56,64,72,80),0))))/100)*((1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1842)</f>
        <v/>
      </c>
      <c r="L1842">
        <f>K1842*(MIN(Inputs!$B$22+((C1853=TRUE)*(F1853-Calc!F22)),(Inputs!$B$23+((C1855=TRUE)*(F1855-Calc!F24))+(IF(ArtifactsInput!$M$15,CHOOSE(ArtifactsInput!$N$15+1,25,30,35,40,45,50)/100*(Inputs!$B$11-Inputs!$B$11),0))))/100+(Inputs!$B$23+((C1855=TRUE)*(F1855-Calc!F24))+(IF(ArtifactsInput!$M$15,CHOOSE(ArtifactsInput!$N$15+1,25,30,35,40,45,50)/100*(Inputs!$B$11-Inputs!$B$11),0)))/100)/2</f>
        <v/>
      </c>
      <c r="M1842">
        <f>L1842*(1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2">
        <f>L1842*(1-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1842*(MIN((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2">
        <f>(1-Summary!$B$11)*T1842+Summary!$B$11*V1842</f>
        <v/>
      </c>
      <c r="P1842">
        <f>IF(B1868=0,0,O1842/B1868)</f>
        <v/>
      </c>
      <c r="Q1842">
        <f>IFERROR(1/(IF(Inputs!$B$38="pvp",15,MAX(0.1,Skills!D11-IF(Skills!E11=TRUE,Inputs!$B$32,0)))*(1-IF(AND(ArtifactsInput!$M$27,Inputs!$B$4="Chapter Hunt"),CHOOSE(ArtifactsInput!$N$27+1,20,24,28,32,36,40),0)/100)),0)</f>
        <v/>
      </c>
      <c r="R1842">
        <f>IF(AND(Inputs!$B$38&lt;&gt;"pvp",Inputs!$B$43&gt;0),IF(MAX(0,Inputs!$B$43-B1865)&lt;=0,0,(INT(MAX(0,Inputs!$B$43-B1865)/(IF(Inputs!$B$38="pvp",15,MAX(0.1,Skills!D11-IF(Skills!E11=TRUE,Inputs!$B$32,0)))*(1-IF(AND(ArtifactsInput!$M$27,Inputs!$B$4="Chapter Hunt"),CHOOSE(ArtifactsInput!$N$27+1,20,24,28,32,36,40),0)/100)))+1)),0)</f>
        <v/>
      </c>
      <c r="S1842">
        <f>IFERROR(O1842/N1842,0)</f>
        <v/>
      </c>
      <c r="T1842">
        <f>IF(C1842,(H1842*N1842*IF(AND(Inputs!$B$38&lt;&gt;"pvp",Inputs!$B$43&gt;0),((Skills!G11*((R1842-1)*IF(Skills!H11&gt;0,Skills!I11/Skills!H11,1)+IF(Skills!H11&gt;0,MIN(Skills!I11,MAX(0,MAX(0,Inputs!$B$43-B1865)-((R1842-1)*(IF(Inputs!$B$38="pvp",15,MAX(0.1,Skills!D11-IF(Skills!E11=TRUE,Inputs!$B$32,0)))*(1-IF(AND(ArtifactsInput!$M$27,Inputs!$B$4="Chapter Hunt"),CHOOSE(ArtifactsInput!$N$27+1,20,24,28,32,36,40),0)/100)))))/Skills!H11,1)))/Inputs!$B$43),G1842*Q1842)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1842*(1-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1842*(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1842*(1-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1842*(MIN(100,(Inputs!$B$9+0+B1858+(ArtifactsInput!$M$24-ArtifactsInput!$M$24)*CHOOSE(ArtifactsInput!$N$24+1,10,12,14,16,18,20)+(IF(AND(Inputs!$B$38&lt;&gt;"pvp",Inputs!$B$43=0),1,IF(IF(Inputs!$B$38="pvp",15,Inputs!$B$43)-(B1865)&lt;=0,1,MAX(0,IF(Inputs!$B$38="pvp",15,Inputs!$B$43)-MAX(5,B1865))/(IF(Inputs!$B$38="pvp",15,Inputs!$B$43)-(B1865))))*IF(AND(ArtifactsInput!$M$42,((Inputs!$B$9+0+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42">
        <f>IF(C1842,(H1842*N1842*IF(AND(Inputs!$B$38&lt;&gt;"pvp",Inputs!$B$43&gt;0),((Skills!G11*((R1842-1)*IF(Skills!H11&gt;0,Skills!I11/Skills!H11,1)+IF(Skills!H11&gt;0,MIN(Skills!I11,MAX(0,MAX(0,Inputs!$B$43-B1865)-((R1842-1)*(IF(Inputs!$B$38="pvp",15,MAX(0.1,Skills!D11-IF(Skills!E11=TRUE,Inputs!$B$32,0)))*(1-IF(AND(ArtifactsInput!$M$27,Inputs!$B$4="Chapter Hunt"),CHOOSE(ArtifactsInput!$N$27+1,20,24,28,32,36,40),0)/100)))))/Skills!H11,1)))/Inputs!$B$43),G1842*Q1842))*IF(Inputs!$B$38="pvp",1,(1+(Inputs!$B$21+Skills!Q11+(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3">
      <c r="A1843">
        <f>Skills!A12</f>
        <v/>
      </c>
      <c r="B1843">
        <f>Skills!B12</f>
        <v/>
      </c>
      <c r="C1843">
        <f>Inputs!$B$3&gt;=100</f>
        <v/>
      </c>
      <c r="D1843">
        <f>IF(Skills!C12=1,60+Inputs!$B$25+Inputs!$B$29,IF(Skills!C12=2,90+Inputs!$B$26+Inputs!$B$29,IF(Skills!C12=3,120+Inputs!$B$27+Inputs!$B$29,MAX(0,(Inputs!$B$3-100)*3)+Inputs!$B$28+Inputs!$B$29)))</f>
        <v/>
      </c>
      <c r="E1843">
        <f>INDEX(FactorTable!$B$2:$Y$301, MATCH(ROUND(MIN(300,MAX(1,D1843)),0), FactorTable!$A$2:$A$301,0), Skills!M12+1)</f>
        <v/>
      </c>
      <c r="F1843">
        <f>IF(Skills!N12=TRUE,(Skills!L12/10)*(E1843/1000),Skills!L12/10)+Skills!O12</f>
        <v/>
      </c>
      <c r="G1843" t="inlineStr"/>
      <c r="H1843" t="inlineStr"/>
      <c r="I1843" t="inlineStr">
        <is>
          <t>1</t>
        </is>
      </c>
      <c r="J1843" t="inlineStr"/>
      <c r="K1843" t="inlineStr"/>
      <c r="L1843" t="inlineStr"/>
      <c r="M1843" t="inlineStr"/>
      <c r="N1843" t="inlineStr"/>
      <c r="O1843" t="inlineStr"/>
      <c r="P1843" t="inlineStr"/>
      <c r="Q1843" t="inlineStr"/>
      <c r="R1843" t="inlineStr"/>
      <c r="S1843" t="inlineStr"/>
    </row>
    <row r="1844">
      <c r="A1844">
        <f>Skills!A13</f>
        <v/>
      </c>
      <c r="B1844">
        <f>Skills!B13</f>
        <v/>
      </c>
      <c r="C1844">
        <f>Inputs!$B$3&gt;=45</f>
        <v/>
      </c>
      <c r="D1844">
        <f>IF(Skills!C13=1,60+Inputs!$B$25+Inputs!$B$29,IF(Skills!C13=2,90+Inputs!$B$26+Inputs!$B$29,IF(Skills!C13=3,120+Inputs!$B$27+Inputs!$B$29,MAX(0,(Inputs!$B$3-100)*3)+Inputs!$B$28+Inputs!$B$29)))</f>
        <v/>
      </c>
      <c r="E1844">
        <f>INDEX(FactorTable!$B$2:$Y$301, MATCH(ROUND(MIN(300,MAX(1,D1844)),0), FactorTable!$A$2:$A$301,0), Skills!M13+1)</f>
        <v/>
      </c>
      <c r="F1844">
        <f>IF(Skills!N13=TRUE,(Skills!L13/10)*(E1844/1000),Skills!L13/10)+Skills!O13</f>
        <v/>
      </c>
      <c r="G1844">
        <f>Skills!G13*IF(Skills!H13&gt;0,Skills!I13/Skills!H13,1)</f>
        <v/>
      </c>
      <c r="H1844">
        <f>1-(1-Skills!J13/100)^Skills!K13</f>
        <v/>
      </c>
      <c r="I1844" t="inlineStr">
        <is>
          <t>1</t>
        </is>
      </c>
      <c r="J1844" t="inlineStr"/>
      <c r="K1844" t="inlineStr"/>
      <c r="L1844" t="inlineStr"/>
      <c r="M1844" t="inlineStr"/>
      <c r="N1844" t="inlineStr"/>
      <c r="O1844">
        <f>(1-Summary!$B$11)*T1844+Summary!$B$11*V1844</f>
        <v/>
      </c>
      <c r="P1844">
        <f>IF(B1868=0,0,O1844/B1868)</f>
        <v/>
      </c>
      <c r="Q1844" t="n">
        <v>0</v>
      </c>
      <c r="R1844" t="n">
        <v>0</v>
      </c>
      <c r="S1844">
        <f>IFERROR(O1844/N1844,0)</f>
        <v/>
      </c>
      <c r="T1844" t="n">
        <v>0</v>
      </c>
      <c r="V1844" t="n">
        <v>0</v>
      </c>
    </row>
    <row r="1845">
      <c r="A1845">
        <f>Skills!A14</f>
        <v/>
      </c>
      <c r="B1845">
        <f>Skills!B14</f>
        <v/>
      </c>
      <c r="C1845">
        <f>Inputs!$B$3&gt;=110</f>
        <v/>
      </c>
      <c r="D1845">
        <f>IF(Skills!C14=1,60+Inputs!$B$25+Inputs!$B$29,IF(Skills!C14=2,90+Inputs!$B$26+Inputs!$B$29,IF(Skills!C14=3,120+Inputs!$B$27+Inputs!$B$29,MAX(0,(Inputs!$B$3-100)*3)+Inputs!$B$28+Inputs!$B$29)))</f>
        <v/>
      </c>
      <c r="E1845">
        <f>INDEX(FactorTable!$B$2:$Y$301, MATCH(ROUND(MIN(300,MAX(1,D1845)),0), FactorTable!$A$2:$A$301,0), Skills!M14+1)</f>
        <v/>
      </c>
      <c r="F1845">
        <f>IF(Skills!N14=TRUE,(Skills!L14/10)*(E1845/1000),Skills!L14/10)+Skills!O14</f>
        <v/>
      </c>
      <c r="G1845">
        <f>Skills!G14*IF(Skills!H14&gt;0,Skills!I14/Skills!H14,1)</f>
        <v/>
      </c>
      <c r="H1845">
        <f>1-(1-Skills!J14/100)^Skills!K14</f>
        <v/>
      </c>
      <c r="I1845" t="inlineStr">
        <is>
          <t>1</t>
        </is>
      </c>
      <c r="J1845" t="inlineStr"/>
      <c r="K1845" t="inlineStr"/>
      <c r="L1845" t="inlineStr"/>
      <c r="M1845" t="inlineStr"/>
      <c r="N1845" t="inlineStr"/>
      <c r="O1845">
        <f>(1-Summary!$B$11)*T1845+Summary!$B$11*V1845</f>
        <v/>
      </c>
      <c r="P1845">
        <f>IF(B1868=0,0,O1845/B1868)</f>
        <v/>
      </c>
      <c r="Q1845" t="n">
        <v>0</v>
      </c>
      <c r="R1845" t="n">
        <v>0</v>
      </c>
      <c r="S1845">
        <f>IFERROR(O1845/N1845,0)</f>
        <v/>
      </c>
      <c r="T1845" t="n">
        <v>0</v>
      </c>
      <c r="V1845" t="n">
        <v>0</v>
      </c>
    </row>
    <row r="1846">
      <c r="A1846">
        <f>Skills!A15</f>
        <v/>
      </c>
      <c r="B1846">
        <f>Skills!B15</f>
        <v/>
      </c>
      <c r="C1846">
        <f>Inputs!$B$3&gt;=75</f>
        <v/>
      </c>
      <c r="D1846">
        <f>IF(Skills!C15=1,60+Inputs!$B$25+Inputs!$B$29,IF(Skills!C15=2,90+Inputs!$B$26+Inputs!$B$29,IF(Skills!C15=3,120+Inputs!$B$27+Inputs!$B$29,MAX(0,(Inputs!$B$3-100)*3)+Inputs!$B$28+Inputs!$B$29)))</f>
        <v/>
      </c>
      <c r="E1846">
        <f>INDEX(FactorTable!$B$2:$Y$301, MATCH(ROUND(MIN(300,MAX(1,D1846)),0), FactorTable!$A$2:$A$301,0), Skills!M15+1)</f>
        <v/>
      </c>
      <c r="F1846">
        <f>IF(Skills!N15=TRUE,(Skills!L15/10)*(E1846/1000),Skills!L15/10)+Skills!O15</f>
        <v/>
      </c>
      <c r="G1846">
        <f>Skills!G15*IF(Skills!H15&gt;0,Skills!I15/Skills!H15,1)</f>
        <v/>
      </c>
      <c r="H1846">
        <f>1-(1-Skills!J15/100)^Skills!K15</f>
        <v/>
      </c>
      <c r="I1846" t="inlineStr">
        <is>
          <t>1</t>
        </is>
      </c>
      <c r="J1846" t="inlineStr"/>
      <c r="K1846" t="inlineStr"/>
      <c r="L1846" t="inlineStr"/>
      <c r="M1846" t="inlineStr"/>
      <c r="N1846" t="inlineStr"/>
      <c r="O1846">
        <f>(1-Summary!$B$11)*T1846+Summary!$B$11*V1846</f>
        <v/>
      </c>
      <c r="P1846">
        <f>IF(B1868=0,0,O1846/B1868)</f>
        <v/>
      </c>
      <c r="Q1846">
        <f>IFERROR(1/(IF(Inputs!$B$38="pvp",15,MAX(0.1,Skills!D15-IF(Skills!E15=TRUE,Inputs!$B$32,0)))*(1-IF(AND(ArtifactsInput!$M$27,Inputs!$B$4="Chapter Hunt"),CHOOSE(ArtifactsInput!$N$27+1,20,24,28,32,36,40),0)/100)),0)</f>
        <v/>
      </c>
      <c r="R1846">
        <f>IF(AND(Inputs!$B$38&lt;&gt;"pvp",Inputs!$B$43&gt;0),IF(Inputs!$B$43&lt;=0,0,(INT(Inputs!$B$43/(IF(Inputs!$B$38="pvp",15,MAX(0.1,Skills!D15-IF(Skills!E15=TRUE,Inputs!$B$32,0)))*(1-IF(AND(ArtifactsInput!$M$27,Inputs!$B$4="Chapter Hunt"),CHOOSE(ArtifactsInput!$N$27+1,20,24,28,32,36,40),0)/100)))+1)),0)</f>
        <v/>
      </c>
      <c r="S1846">
        <f>IFERROR(O1846/N1846,0)</f>
        <v/>
      </c>
      <c r="T1846" t="n">
        <v>0</v>
      </c>
      <c r="V1846" t="n">
        <v>0</v>
      </c>
    </row>
    <row r="1847">
      <c r="A1847">
        <f>Skills!A16</f>
        <v/>
      </c>
      <c r="B1847">
        <f>Skills!B16</f>
        <v/>
      </c>
      <c r="C1847">
        <f>Inputs!$B$3&gt;=105</f>
        <v/>
      </c>
      <c r="D1847">
        <f>IF(Skills!C16=1,60+Inputs!$B$25+Inputs!$B$29,IF(Skills!C16=2,90+Inputs!$B$26+Inputs!$B$29,IF(Skills!C16=3,120+Inputs!$B$27+Inputs!$B$29,MAX(0,(Inputs!$B$3-100)*3)+Inputs!$B$28+Inputs!$B$29)))</f>
        <v/>
      </c>
      <c r="E1847">
        <f>INDEX(FactorTable!$B$2:$Y$301, MATCH(ROUND(MIN(300,MAX(1,D1847)),0), FactorTable!$A$2:$A$301,0), Skills!M16+1)</f>
        <v/>
      </c>
      <c r="F1847">
        <f>IF(Skills!N16=TRUE,(Skills!L16/10)*(E1847/1000),Skills!L16/10)+Skills!O16</f>
        <v/>
      </c>
      <c r="G1847">
        <f>Skills!G16*IF(Skills!H16&gt;0,Skills!I16/Skills!H16,1)</f>
        <v/>
      </c>
      <c r="H1847">
        <f>1-(1-Skills!J16/100)^Skills!K16</f>
        <v/>
      </c>
      <c r="I1847" t="inlineStr">
        <is>
          <t>1</t>
        </is>
      </c>
      <c r="J1847" t="inlineStr"/>
      <c r="K1847" t="inlineStr"/>
      <c r="L1847" t="inlineStr"/>
      <c r="M1847" t="inlineStr"/>
      <c r="N1847" t="inlineStr"/>
      <c r="O1847">
        <f>(1-Summary!$B$11)*T1847+Summary!$B$11*V1847</f>
        <v/>
      </c>
      <c r="P1847">
        <f>IF(B1868=0,0,O1847/B1868)</f>
        <v/>
      </c>
      <c r="Q1847">
        <f>IFERROR(1/(IF(Inputs!$B$38="pvp",15,MAX(0.1,Skills!D16-IF(Skills!E16=TRUE,Inputs!$B$32,0)))*(1-IF(AND(ArtifactsInput!$M$27,Inputs!$B$4="Chapter Hunt"),CHOOSE(ArtifactsInput!$N$27+1,20,24,28,32,36,40),0)/100)),0)</f>
        <v/>
      </c>
      <c r="R1847">
        <f>IF(AND(Inputs!$B$38&lt;&gt;"pvp",Inputs!$B$43&gt;0),IF(Inputs!$B$43&lt;=0,0,(INT(Inputs!$B$43/(IF(Inputs!$B$38="pvp",15,MAX(0.1,Skills!D16-IF(Skills!E16=TRUE,Inputs!$B$32,0)))*(1-IF(AND(ArtifactsInput!$M$27,Inputs!$B$4="Chapter Hunt"),CHOOSE(ArtifactsInput!$N$27+1,20,24,28,32,36,40),0)/100)))+1)),0)</f>
        <v/>
      </c>
      <c r="S1847">
        <f>IFERROR(O1847/N1847,0)</f>
        <v/>
      </c>
      <c r="T1847" t="n">
        <v>0</v>
      </c>
      <c r="V1847" t="n">
        <v>0</v>
      </c>
    </row>
    <row r="1848">
      <c r="A1848">
        <f>Skills!A17</f>
        <v/>
      </c>
      <c r="B1848">
        <f>Skills!B17</f>
        <v/>
      </c>
      <c r="C1848">
        <f>Inputs!$B$3&gt;=115</f>
        <v/>
      </c>
      <c r="D1848">
        <f>IF(Skills!C17=1,60+Inputs!$B$25+Inputs!$B$29,IF(Skills!C17=2,90+Inputs!$B$26+Inputs!$B$29,IF(Skills!C17=3,120+Inputs!$B$27+Inputs!$B$29,MAX(0,(Inputs!$B$3-100)*3)+Inputs!$B$28+Inputs!$B$29)))</f>
        <v/>
      </c>
      <c r="E1848">
        <f>INDEX(FactorTable!$B$2:$Y$301, MATCH(ROUND(MIN(300,MAX(1,D1848)),0), FactorTable!$A$2:$A$301,0), Skills!M17+1)</f>
        <v/>
      </c>
      <c r="F1848">
        <f>IF(Skills!N17=TRUE,(Skills!L17/10)*(E1848/1000),Skills!L17/10)+Skills!O17</f>
        <v/>
      </c>
      <c r="G1848">
        <f>Skills!G17*IF(Skills!H17&gt;0,Skills!I17/Skills!H17,1)</f>
        <v/>
      </c>
      <c r="H1848">
        <f>1-(1-Skills!J17/100)^Skills!K17</f>
        <v/>
      </c>
      <c r="I1848" t="inlineStr">
        <is>
          <t>1</t>
        </is>
      </c>
      <c r="J1848" t="inlineStr"/>
      <c r="K1848" t="inlineStr"/>
      <c r="L1848" t="inlineStr"/>
      <c r="M1848" t="inlineStr"/>
      <c r="N1848" t="inlineStr"/>
      <c r="O1848">
        <f>(1-Summary!$B$11)*T1848+Summary!$B$11*V1848</f>
        <v/>
      </c>
      <c r="P1848">
        <f>IF(B1868=0,0,O1848/B1868)</f>
        <v/>
      </c>
      <c r="Q1848">
        <f>IFERROR(1/(IF(Inputs!$B$38="pvp",15,MAX(0.1,Skills!D17-IF(Skills!E17=TRUE,Inputs!$B$32,0)))*(1-IF(AND(ArtifactsInput!$M$27,Inputs!$B$4="Chapter Hunt"),CHOOSE(ArtifactsInput!$N$27+1,20,24,28,32,36,40),0)/100)),0)</f>
        <v/>
      </c>
      <c r="R1848">
        <f>IF(AND(Inputs!$B$38&lt;&gt;"pvp",Inputs!$B$43&gt;0),IF(Inputs!$B$43&lt;=0,0,(INT(Inputs!$B$43/(IF(Inputs!$B$38="pvp",15,MAX(0.1,Skills!D17-IF(Skills!E17=TRUE,Inputs!$B$32,0)))*(1-IF(AND(ArtifactsInput!$M$27,Inputs!$B$4="Chapter Hunt"),CHOOSE(ArtifactsInput!$N$27+1,20,24,28,32,36,40),0)/100)))+1)),0)</f>
        <v/>
      </c>
      <c r="S1848">
        <f>IFERROR(O1848/N1848,0)</f>
        <v/>
      </c>
      <c r="T1848" t="n">
        <v>0</v>
      </c>
      <c r="V1848" t="n">
        <v>0</v>
      </c>
    </row>
    <row r="1849">
      <c r="A1849">
        <f>Skills!A18</f>
        <v/>
      </c>
      <c r="B1849">
        <f>Skills!B18</f>
        <v/>
      </c>
      <c r="C1849">
        <f>Inputs!$B$3&gt;=74</f>
        <v/>
      </c>
      <c r="D1849">
        <f>IF(Skills!C18=1,60+Inputs!$B$25+Inputs!$B$29,IF(Skills!C18=2,90+Inputs!$B$26+Inputs!$B$29,IF(Skills!C18=3,120+Inputs!$B$27+Inputs!$B$29,MAX(0,(Inputs!$B$3-100)*3)+Inputs!$B$28+Inputs!$B$29)))</f>
        <v/>
      </c>
      <c r="E1849">
        <f>INDEX(FactorTable!$B$2:$Y$301, MATCH(ROUND(MIN(300,MAX(1,D1849)),0), FactorTable!$A$2:$A$301,0), Skills!M18+1)</f>
        <v/>
      </c>
      <c r="F1849">
        <f>IF(Skills!N18=TRUE,(Skills!L18/10)*(E1849/1000),Skills!L18/10)+Skills!O18</f>
        <v/>
      </c>
      <c r="G1849">
        <f>Skills!G18*IF(Skills!H18&gt;0,Skills!I18/Skills!H18,1)</f>
        <v/>
      </c>
      <c r="H1849">
        <f>1-(1-Skills!J18/100)^Skills!K18</f>
        <v/>
      </c>
      <c r="I1849" t="inlineStr">
        <is>
          <t>1</t>
        </is>
      </c>
      <c r="J1849" t="inlineStr"/>
      <c r="K1849" t="inlineStr"/>
      <c r="L1849" t="inlineStr"/>
      <c r="M1849" t="inlineStr"/>
      <c r="N1849" t="inlineStr"/>
      <c r="O1849">
        <f>(1-Summary!$B$11)*T1849+Summary!$B$11*V1849</f>
        <v/>
      </c>
      <c r="P1849">
        <f>IF(B1868=0,0,O1849/B1868)</f>
        <v/>
      </c>
      <c r="Q1849">
        <f>IFERROR(1/(IF(Inputs!$B$38="pvp",15,MAX(0.1,Skills!D18-IF(Skills!E18=TRUE,Inputs!$B$32,0)))*(1-IF(AND(ArtifactsInput!$M$27,Inputs!$B$4="Chapter Hunt"),CHOOSE(ArtifactsInput!$N$27+1,20,24,28,32,36,40),0)/100)),0)</f>
        <v/>
      </c>
      <c r="R1849">
        <f>IF(AND(Inputs!$B$38&lt;&gt;"pvp",Inputs!$B$43&gt;0),IF(Inputs!$B$43&lt;=0,0,(INT(Inputs!$B$43/(IF(Inputs!$B$38="pvp",15,MAX(0.1,Skills!D18-IF(Skills!E18=TRUE,Inputs!$B$32,0)))*(1-IF(AND(ArtifactsInput!$M$27,Inputs!$B$4="Chapter Hunt"),CHOOSE(ArtifactsInput!$N$27+1,20,24,28,32,36,40),0)/100)))+1)),0)</f>
        <v/>
      </c>
      <c r="S1849">
        <f>IFERROR(O1849/N1849,0)</f>
        <v/>
      </c>
      <c r="T1849" t="n">
        <v>0</v>
      </c>
      <c r="V1849" t="n">
        <v>0</v>
      </c>
    </row>
    <row r="1850">
      <c r="A1850">
        <f>Skills!A19</f>
        <v/>
      </c>
      <c r="B1850">
        <f>Skills!B19</f>
        <v/>
      </c>
      <c r="C1850">
        <f>TRUE</f>
        <v/>
      </c>
      <c r="D1850">
        <f>IF(Skills!C19=1,60+Inputs!$B$25+Inputs!$B$29,IF(Skills!C19=2,90+Inputs!$B$26+Inputs!$B$29,IF(Skills!C19=3,120+Inputs!$B$27+Inputs!$B$29,MAX(0,(Inputs!$B$3-100)*3)+Inputs!$B$28+Inputs!$B$29)))</f>
        <v/>
      </c>
      <c r="E1850">
        <f>INDEX(FactorTable!$B$2:$Y$301, MATCH(ROUND(MIN(300,MAX(1,D1850)),0), FactorTable!$A$2:$A$301,0), Skills!M19+1)</f>
        <v/>
      </c>
      <c r="F1850">
        <f>IF(Skills!N19=TRUE,(Skills!L19/10)*(E1850/1000),Skills!L19/10)+Skills!O19</f>
        <v/>
      </c>
      <c r="G1850">
        <f>Skills!G19*IF(Skills!H19&gt;0,Skills!I19/Skills!H19,1)</f>
        <v/>
      </c>
      <c r="H1850">
        <f>1-(1-Skills!J19/100)^Skills!K19</f>
        <v/>
      </c>
      <c r="I1850" t="inlineStr">
        <is>
          <t>1</t>
        </is>
      </c>
      <c r="J1850" t="inlineStr"/>
      <c r="K1850" t="inlineStr"/>
      <c r="L1850" t="inlineStr"/>
      <c r="M1850" t="inlineStr"/>
      <c r="N1850" t="inlineStr"/>
      <c r="O1850">
        <f>(1-Summary!$B$11)*T1850+Summary!$B$11*V1850</f>
        <v/>
      </c>
      <c r="P1850">
        <f>IF(B1868=0,0,O1850/B1868)</f>
        <v/>
      </c>
      <c r="Q1850">
        <f>IFERROR(1/(IF(Inputs!$B$38="pvp",15,MAX(0.1,Skills!D19-IF(Skills!E19=TRUE,Inputs!$B$32,0)))*(1-IF(AND(ArtifactsInput!$M$27,Inputs!$B$4="Chapter Hunt"),CHOOSE(ArtifactsInput!$N$27+1,20,24,28,32,36,40),0)/100)),0)</f>
        <v/>
      </c>
      <c r="R1850">
        <f>IF(AND(Inputs!$B$38&lt;&gt;"pvp",Inputs!$B$43&gt;0),IF(Inputs!$B$43&lt;=0,0,(INT(Inputs!$B$43/(IF(Inputs!$B$38="pvp",15,MAX(0.1,Skills!D19-IF(Skills!E19=TRUE,Inputs!$B$32,0)))*(1-IF(AND(ArtifactsInput!$M$27,Inputs!$B$4="Chapter Hunt"),CHOOSE(ArtifactsInput!$N$27+1,20,24,28,32,36,40),0)/100)))+1)),0)</f>
        <v/>
      </c>
      <c r="S1850">
        <f>IFERROR(O1850/N1850,0)</f>
        <v/>
      </c>
      <c r="T1850" t="n">
        <v>0</v>
      </c>
      <c r="V1850" t="n">
        <v>0</v>
      </c>
    </row>
    <row r="1851">
      <c r="A1851">
        <f>Skills!A20</f>
        <v/>
      </c>
      <c r="B1851">
        <f>Skills!B20</f>
        <v/>
      </c>
      <c r="C1851">
        <f>Inputs!$B$3&gt;=33</f>
        <v/>
      </c>
      <c r="D1851">
        <f>IF(Skills!C20=1,60+Inputs!$B$25+Inputs!$B$29,IF(Skills!C20=2,90+Inputs!$B$26+Inputs!$B$29,IF(Skills!C20=3,120+Inputs!$B$27+Inputs!$B$29,MAX(0,(Inputs!$B$3-100)*3)+Inputs!$B$28+Inputs!$B$29)))</f>
        <v/>
      </c>
      <c r="E1851">
        <f>INDEX(FactorTable!$B$2:$Y$301, MATCH(ROUND(MIN(300,MAX(1,D1851)),0), FactorTable!$A$2:$A$301,0), Skills!M20+1)</f>
        <v/>
      </c>
      <c r="F1851">
        <f>IF(Skills!N20=TRUE,(Skills!L20/10)*(E1851/1000),Skills!L20/10)+Skills!O20</f>
        <v/>
      </c>
      <c r="G1851">
        <f>Skills!G20*IF(Skills!H20&gt;0,Skills!I20/Skills!H20,1)</f>
        <v/>
      </c>
      <c r="H1851">
        <f>1-(1-Skills!J20/100)^Skills!K20</f>
        <v/>
      </c>
      <c r="I1851" t="inlineStr">
        <is>
          <t>1</t>
        </is>
      </c>
      <c r="J1851" t="inlineStr"/>
      <c r="K1851" t="inlineStr"/>
      <c r="L1851" t="inlineStr"/>
      <c r="M1851" t="inlineStr"/>
      <c r="N1851" t="inlineStr"/>
      <c r="O1851">
        <f>(1-Summary!$B$11)*T1851+Summary!$B$11*V1851</f>
        <v/>
      </c>
      <c r="P1851">
        <f>IF(B1868=0,0,O1851/B1868)</f>
        <v/>
      </c>
      <c r="Q1851" t="n">
        <v>0</v>
      </c>
      <c r="R1851" t="n">
        <v>0</v>
      </c>
      <c r="S1851">
        <f>IFERROR(O1851/N1851,0)</f>
        <v/>
      </c>
      <c r="T1851" t="n">
        <v>0</v>
      </c>
      <c r="V1851" t="n">
        <v>0</v>
      </c>
    </row>
    <row r="1852">
      <c r="A1852">
        <f>Skills!A21</f>
        <v/>
      </c>
      <c r="B1852">
        <f>Skills!B21</f>
        <v/>
      </c>
      <c r="C1852">
        <f>Inputs!$B$3&gt;=38</f>
        <v/>
      </c>
      <c r="D1852">
        <f>IF(Skills!C21=1,60+Inputs!$B$25+Inputs!$B$29,IF(Skills!C21=2,90+Inputs!$B$26+Inputs!$B$29,IF(Skills!C21=3,120+Inputs!$B$27+Inputs!$B$29,MAX(0,(Inputs!$B$3-100)*3)+Inputs!$B$28+Inputs!$B$29)))</f>
        <v/>
      </c>
      <c r="E1852">
        <f>INDEX(FactorTable!$B$2:$Y$301, MATCH(ROUND(MIN(300,MAX(1,D1852)),0), FactorTable!$A$2:$A$301,0), Skills!M21+1)</f>
        <v/>
      </c>
      <c r="F1852">
        <f>IF(Skills!N21=TRUE,(Skills!L21/10)*(E1852/1000),Skills!L21/10)+Skills!O21</f>
        <v/>
      </c>
      <c r="G1852">
        <f>Skills!G21*IF(Skills!H21&gt;0,Skills!I21/Skills!H21,1)</f>
        <v/>
      </c>
      <c r="H1852">
        <f>1-(1-Skills!J21/100)^Skills!K21</f>
        <v/>
      </c>
      <c r="I1852" t="inlineStr">
        <is>
          <t>1</t>
        </is>
      </c>
      <c r="J1852" t="inlineStr"/>
      <c r="K1852" t="inlineStr"/>
      <c r="L1852" t="inlineStr"/>
      <c r="M1852" t="inlineStr"/>
      <c r="N1852" t="inlineStr"/>
      <c r="O1852">
        <f>(1-Summary!$B$11)*T1852+Summary!$B$11*V1852</f>
        <v/>
      </c>
      <c r="P1852">
        <f>IF(B1868=0,0,O1852/B1868)</f>
        <v/>
      </c>
      <c r="Q1852" t="n">
        <v>0</v>
      </c>
      <c r="R1852" t="n">
        <v>0</v>
      </c>
      <c r="S1852">
        <f>IFERROR(O1852/N1852,0)</f>
        <v/>
      </c>
      <c r="T1852" t="n">
        <v>0</v>
      </c>
      <c r="V1852" t="n">
        <v>0</v>
      </c>
    </row>
    <row r="1853">
      <c r="A1853">
        <f>Skills!A22</f>
        <v/>
      </c>
      <c r="B1853">
        <f>Skills!B22</f>
        <v/>
      </c>
      <c r="C1853">
        <f>Inputs!$B$3&gt;=43</f>
        <v/>
      </c>
      <c r="D1853">
        <f>IF(Skills!C22=1,60+Inputs!$B$25+Inputs!$B$29,IF(Skills!C22=2,90+Inputs!$B$26+Inputs!$B$29,IF(Skills!C22=3,120+Inputs!$B$27+Inputs!$B$29,MAX(0,(Inputs!$B$3-100)*3)+Inputs!$B$28+Inputs!$B$29)))</f>
        <v/>
      </c>
      <c r="E1853">
        <f>INDEX(FactorTable!$B$2:$Y$301, MATCH(ROUND(MIN(300,MAX(1,D1853)),0), FactorTable!$A$2:$A$301,0), Skills!M22+1)</f>
        <v/>
      </c>
      <c r="F1853">
        <f>IF(Skills!N22=TRUE,(Skills!L22/10)*(E1853/1000),Skills!L22/10)+Skills!O22</f>
        <v/>
      </c>
      <c r="G1853">
        <f>Skills!G22*IF(Skills!H22&gt;0,Skills!I22/Skills!H22,1)</f>
        <v/>
      </c>
      <c r="H1853">
        <f>1-(1-Skills!J22/100)^Skills!K22</f>
        <v/>
      </c>
      <c r="I1853" t="inlineStr">
        <is>
          <t>1</t>
        </is>
      </c>
      <c r="J1853" t="inlineStr"/>
      <c r="K1853" t="inlineStr"/>
      <c r="L1853" t="inlineStr"/>
      <c r="M1853" t="inlineStr"/>
      <c r="N1853" t="inlineStr"/>
      <c r="O1853">
        <f>(1-Summary!$B$11)*T1853+Summary!$B$11*V1853</f>
        <v/>
      </c>
      <c r="P1853">
        <f>IF(B1868=0,0,O1853/B1868)</f>
        <v/>
      </c>
      <c r="Q1853" t="n">
        <v>0</v>
      </c>
      <c r="R1853" t="n">
        <v>0</v>
      </c>
      <c r="S1853">
        <f>IFERROR(O1853/N1853,0)</f>
        <v/>
      </c>
      <c r="T1853" t="n">
        <v>0</v>
      </c>
      <c r="V1853" t="n">
        <v>0</v>
      </c>
    </row>
    <row r="1854">
      <c r="A1854">
        <f>Skills!A23</f>
        <v/>
      </c>
      <c r="B1854">
        <f>Skills!B23</f>
        <v/>
      </c>
      <c r="C1854">
        <f>Inputs!$B$3&gt;=120</f>
        <v/>
      </c>
      <c r="D1854">
        <f>IF(Skills!C23=1,60+Inputs!$B$25+Inputs!$B$29,IF(Skills!C23=2,90+Inputs!$B$26+Inputs!$B$29,IF(Skills!C23=3,120+Inputs!$B$27+Inputs!$B$29,MAX(0,(Inputs!$B$3-100)*3)+Inputs!$B$28+Inputs!$B$29)))</f>
        <v/>
      </c>
      <c r="E1854">
        <f>INDEX(FactorTable!$B$2:$Y$301, MATCH(ROUND(MIN(300,MAX(1,D1854)),0), FactorTable!$A$2:$A$301,0), Skills!M23+1)</f>
        <v/>
      </c>
      <c r="F1854">
        <f>IF(Skills!N23=TRUE,(Skills!L23/10)*(E1854/1000),Skills!L23/10)+Skills!O23</f>
        <v/>
      </c>
      <c r="G1854">
        <f>Skills!G23*IF(Skills!H23&gt;0,Skills!I23/Skills!H23,1)</f>
        <v/>
      </c>
      <c r="H1854">
        <f>1-(1-Skills!J23/100)^Skills!K23</f>
        <v/>
      </c>
      <c r="I1854" t="inlineStr">
        <is>
          <t>1</t>
        </is>
      </c>
      <c r="J1854" t="inlineStr"/>
      <c r="K1854" t="inlineStr"/>
      <c r="L1854" t="inlineStr"/>
      <c r="M1854" t="inlineStr"/>
      <c r="N1854" t="inlineStr"/>
      <c r="O1854">
        <f>(1-Summary!$B$11)*T1854+Summary!$B$11*V1854</f>
        <v/>
      </c>
      <c r="P1854">
        <f>IF(B1868=0,0,O1854/B1868)</f>
        <v/>
      </c>
      <c r="Q1854" t="n">
        <v>0</v>
      </c>
      <c r="R1854" t="n">
        <v>0</v>
      </c>
      <c r="S1854">
        <f>IFERROR(O1854/N1854,0)</f>
        <v/>
      </c>
      <c r="T1854" t="n">
        <v>0</v>
      </c>
      <c r="V1854" t="n">
        <v>0</v>
      </c>
    </row>
    <row r="1855">
      <c r="A1855">
        <f>Skills!A24</f>
        <v/>
      </c>
      <c r="B1855">
        <f>Skills!B24</f>
        <v/>
      </c>
      <c r="C1855">
        <f>Inputs!$B$3&gt;=120</f>
        <v/>
      </c>
      <c r="D1855">
        <f>IF(Skills!C24=1,60+Inputs!$B$25+Inputs!$B$29,IF(Skills!C24=2,90+Inputs!$B$26+Inputs!$B$29,IF(Skills!C24=3,120+Inputs!$B$27+Inputs!$B$29,MAX(0,(Inputs!$B$3-100)*3)+Inputs!$B$28+Inputs!$B$29)))</f>
        <v/>
      </c>
      <c r="E1855">
        <f>INDEX(FactorTable!$B$2:$Y$301, MATCH(ROUND(MIN(300,MAX(1,D1855)),0), FactorTable!$A$2:$A$301,0), Skills!M24+1)</f>
        <v/>
      </c>
      <c r="F1855">
        <f>IF(Skills!N24=TRUE,(Skills!L24/10)*(E1855/1000),Skills!L24/10)+Skills!O24</f>
        <v/>
      </c>
      <c r="G1855">
        <f>Skills!G24*IF(Skills!H24&gt;0,Skills!I24/Skills!H24,1)</f>
        <v/>
      </c>
      <c r="H1855">
        <f>1-(1-Skills!J24/100)^Skills!K24</f>
        <v/>
      </c>
      <c r="I1855" t="inlineStr">
        <is>
          <t>1</t>
        </is>
      </c>
      <c r="J1855" t="inlineStr"/>
      <c r="K1855" t="inlineStr"/>
      <c r="L1855" t="inlineStr"/>
      <c r="M1855" t="inlineStr"/>
      <c r="N1855" t="inlineStr"/>
      <c r="O1855">
        <f>(1-Summary!$B$11)*T1855+Summary!$B$11*V1855</f>
        <v/>
      </c>
      <c r="P1855">
        <f>IF(B1868=0,0,O1855/B1868)</f>
        <v/>
      </c>
      <c r="Q1855" t="n">
        <v>0</v>
      </c>
      <c r="R1855" t="n">
        <v>0</v>
      </c>
      <c r="S1855">
        <f>IFERROR(O1855/N1855,0)</f>
        <v/>
      </c>
      <c r="T1855" t="n">
        <v>0</v>
      </c>
      <c r="V1855" t="n">
        <v>0</v>
      </c>
    </row>
    <row r="1857">
      <c r="A1857" t="inlineStr">
        <is>
          <t>Attack% Bucket Multiplier</t>
        </is>
      </c>
      <c r="B1857">
        <f>(1+(((C1844=TRUE)*F1844*MIN(1,Skills!T13*(Skills!J13/100)*B1862))+((C1849=TRUE)*F1849*IF(AND(Inputs!$B$38&lt;&gt;"pvp",Inputs!$B$43&gt;0),(((R1849-1)*(Skills!T18*(1+Inputs!$B$34/100))+MIN((Skills!T18*(1+Inputs!$B$34/100)),MAX(0,Inputs!$B$43-((R1849-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58">
      <c r="A1858" t="inlineStr">
        <is>
          <t>Global Crit Rate Bonus %</t>
        </is>
      </c>
      <c r="B1858" t="n">
        <v>0</v>
      </c>
    </row>
    <row r="1859">
      <c r="A1859" t="inlineStr">
        <is>
          <t>Attack Speed Buff Bonus %</t>
        </is>
      </c>
      <c r="B1859">
        <f>((C1850=TRUE)*F1850*IF(AND(Inputs!$B$38&lt;&gt;"pvp",Inputs!$B$43&gt;0),(((R1850-1)*(Skills!T19*(1+Inputs!$B$34/100))+MIN((Skills!T19*(1+Inputs!$B$34/100)),MAX(0,Inputs!$B$43-((R1850-1)*Skills!D19))))/Inputs!$B$43),IF(Inputs!$B$38="pvp",MIN((Skills!T19*(1+Inputs!$B$34/100)),15)/15,(Skills!T19*(1+Inputs!$B$34/100))/Skills!D19)))</f>
        <v/>
      </c>
    </row>
    <row r="1860">
      <c r="A1860" t="inlineStr">
        <is>
          <t>Actions Per Second</t>
        </is>
      </c>
      <c r="B1860">
        <f>1+MIN(150,150*(1-(1-(Inputs!$B$11+((C1851=TRUE)*(F1851-Calc!F20)))/150)*(1-B1859/150)))/100</f>
        <v/>
      </c>
    </row>
    <row r="1861">
      <c r="A1861" t="inlineStr">
        <is>
          <t>Skill + Buff Cast Rate</t>
        </is>
      </c>
      <c r="B1861">
        <f>IF(AND(Inputs!$B$38&lt;&gt;"pvp",Inputs!$B$43&gt;0),SUMPRODUCT((Skills!E2:E24=TRUE)*(C1833:C1855=TRUE)*R1833:R1855*Skills!F2:F24)/Inputs!$B$43,SUMPRODUCT((Skills!E2:E24=TRUE)*(C1833:C1855=TRUE)*Q1833:Q1855*Skills!F2:F24))</f>
        <v/>
      </c>
    </row>
    <row r="1862">
      <c r="A1862" t="inlineStr">
        <is>
          <t>Blast Casts Per Second</t>
        </is>
      </c>
      <c r="B1862">
        <f>MAX(0,B1860-B1861)</f>
        <v/>
      </c>
    </row>
    <row r="1863">
      <c r="A1863" t="inlineStr">
        <is>
          <t>Global Critical Damage Bonus % (unused)</t>
        </is>
      </c>
      <c r="B1863" t="n">
        <v>0</v>
      </c>
    </row>
    <row r="1864">
      <c r="A1864" t="inlineStr">
        <is>
          <t>Global Final Damage Bonus % (Divine Shield + Guardian + Divine Blessing + Greater Vessel of Light)</t>
        </is>
      </c>
      <c r="B1864">
        <f>((C1846=TRUE)*F1846*IF(AND(Inputs!$B$38&lt;&gt;"pvp",Inputs!$B$43&gt;0),(((R1846-1)*(Skills!T15*(1+Inputs!$B$34/100))+MIN((Skills!T15*(1+Inputs!$B$34/100)),MAX(0,Inputs!$B$43-((R1846-1)*Skills!D15))))/Inputs!$B$43),IF(Inputs!$B$38="pvp",MIN((Skills!T15*(1+Inputs!$B$34/100)),15)/15,(Skills!T15*(1+Inputs!$B$34/100))/Skills!D15)))+((C1847=TRUE)*F1847*IF(AND(Inputs!$B$38&lt;&gt;"pvp",Inputs!$B$43&gt;0),(((R1847-1)*(Skills!T16*(1+Inputs!$B$34/100))+MIN((Skills!T16*(1+Inputs!$B$34/100)),MAX(0,Inputs!$B$43-((R1847-1)*Skills!D16))))/Inputs!$B$43),IF(Inputs!$B$38="pvp",MIN((Skills!T16*(1+Inputs!$B$34/100)),15)/15,(Skills!T16*(1+Inputs!$B$34/100))/Skills!D16)))+((C1848=TRUE)*F1848*IF(AND(Inputs!$B$38&lt;&gt;"pvp",Inputs!$B$43&gt;0),(((R1848-1)*(Skills!T17*(1+Inputs!$B$34/100))+MIN((Skills!T17*(1+Inputs!$B$34/100)),MAX(0,Inputs!$B$43-((R1848-1)*Skills!D17))))/Inputs!$B$43),IF(Inputs!$B$38="pvp",MIN((Skills!T17*(1+Inputs!$B$34/100)),15)/15,(Skills!T17*(1+Inputs!$B$34/100))/Skills!D17)))+((C1845=TRUE)*F1845*MIN(1,Skills!T13*(Skills!J13/100)*B1862))</f>
        <v/>
      </c>
    </row>
    <row r="1865">
      <c r="A1865" t="inlineStr">
        <is>
          <t>Buff-Casting Startup Delay (s, fixed-duration only)</t>
        </is>
      </c>
      <c r="B1865">
        <f>IF(AND(Inputs!$B$38&lt;&gt;"pvp",Inputs!$B$43&gt;0),SUMPRODUCT((Skills!T2:T24&gt;0)*(Skills!E2:E24=TRUE)*(C1833:C1855=TRUE))/B1860,0)</f>
        <v/>
      </c>
    </row>
    <row r="1866">
      <c r="A1866" t="inlineStr">
        <is>
          <t>Boss-Only Total DPS (this block's swept value)</t>
        </is>
      </c>
      <c r="B1866">
        <f>SUM(T1833:T1855)</f>
        <v/>
      </c>
    </row>
    <row r="1867">
      <c r="A1867" t="inlineStr">
        <is>
          <t>Normal-Only Total DPS (this block's swept value)</t>
        </is>
      </c>
      <c r="B1867">
        <f>SUM(V1833:V1855)</f>
        <v/>
      </c>
    </row>
    <row r="1868">
      <c r="A1868" s="6" t="inlineStr">
        <is>
          <t>TOTAL DPS</t>
        </is>
      </c>
      <c r="B1868" s="6">
        <f>SUM(O1833:O1855)</f>
        <v/>
      </c>
    </row>
    <row r="1871">
      <c r="A1871" s="6" t="inlineStr">
        <is>
          <t>Stat: Fire Flower (Equip)</t>
        </is>
      </c>
    </row>
    <row r="1872">
      <c r="A1872" s="5" t="inlineStr">
        <is>
          <t>Key</t>
        </is>
      </c>
      <c r="B1872" s="5" t="inlineStr">
        <is>
          <t>Name</t>
        </is>
      </c>
      <c r="C1872" s="5" t="inlineStr">
        <is>
          <t>Unlocked</t>
        </is>
      </c>
      <c r="D1872" s="5" t="inlineStr">
        <is>
          <t>InputLevel</t>
        </is>
      </c>
      <c r="E1872" s="5" t="inlineStr">
        <is>
          <t>Factor</t>
        </is>
      </c>
      <c r="F1872" s="5" t="inlineStr">
        <is>
          <t>CoefficientPercent</t>
        </is>
      </c>
      <c r="G1872" s="5" t="inlineStr">
        <is>
          <t>EffectiveHits</t>
        </is>
      </c>
      <c r="H1872" s="5" t="inlineStr">
        <is>
          <t>ProcProbability</t>
        </is>
      </c>
      <c r="I1872" s="5" t="inlineStr">
        <is>
          <t>MapleHeroMultiplier</t>
        </is>
      </c>
      <c r="J1872" s="5" t="inlineStr">
        <is>
          <t>BaseDamage</t>
        </is>
      </c>
      <c r="K1872" s="5" t="inlineStr">
        <is>
          <t>BaseHitDamage</t>
        </is>
      </c>
      <c r="L1872" s="5" t="inlineStr">
        <is>
          <t>NonCritAvg</t>
        </is>
      </c>
      <c r="M1872" s="5" t="inlineStr">
        <is>
          <t>CritAvg</t>
        </is>
      </c>
      <c r="N1872" s="5" t="inlineStr">
        <is>
          <t>ExpectedDamage(perHit)</t>
        </is>
      </c>
      <c r="O1872" s="5" t="inlineStr">
        <is>
          <t>DPS</t>
        </is>
      </c>
      <c r="P1872" s="5" t="inlineStr">
        <is>
          <t>% of Total</t>
        </is>
      </c>
      <c r="Q1872" s="5" t="inlineStr">
        <is>
          <t>InvCooldown</t>
        </is>
      </c>
      <c r="R1872" s="5" t="inlineStr">
        <is>
          <t>CastsInFight</t>
        </is>
      </c>
      <c r="S1872" s="5" t="inlineStr">
        <is>
          <t>HitRate(perSec)</t>
        </is>
      </c>
      <c r="U1872" t="inlineStr">
        <is>
          <t>helpers</t>
        </is>
      </c>
    </row>
    <row r="1873">
      <c r="A1873">
        <f>Skills!A2</f>
        <v/>
      </c>
      <c r="B1873">
        <f>Skills!B2</f>
        <v/>
      </c>
      <c r="C1873">
        <f>Inputs!$B$3&gt;=100</f>
        <v/>
      </c>
      <c r="D1873" t="inlineStr"/>
      <c r="E1873" t="inlineStr"/>
      <c r="F1873">
        <f>U1875+Skills!O2</f>
        <v/>
      </c>
      <c r="G1873">
        <f>Skills!G2*IF(Skills!H2&gt;0,Skills!I2/Skills!H2,1)</f>
        <v/>
      </c>
      <c r="H1873">
        <f>1-(1-Skills!J2/100)^Skills!K2</f>
        <v/>
      </c>
      <c r="I1873" t="inlineStr">
        <is>
          <t>1</t>
        </is>
      </c>
      <c r="J1873">
        <f>((Inputs!$B$6*(1+Inputs!$B$7/100))+(((Inputs!$B$12*(1+Inputs!$B$13/100))-(Inputs!$B$12*(1+Inputs!$B$13/100)))+0.25*(Inputs!$B$14-Inputs!$B$14))*(1+Inputs!$B$7/100))*(F1873/100)</f>
        <v/>
      </c>
      <c r="K1873">
        <f>J1873*(1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1873)</f>
        <v/>
      </c>
      <c r="L1873">
        <f>K1873*(MIN(Inputs!$B$22+((C1893=TRUE)*(F1893-Calc!F22)),(Inputs!$B$23+((C1895=TRUE)*(F1895-Calc!F24))+(IF(ArtifactsInput!$M$15,CHOOSE(ArtifactsInput!$N$15+1,25,30,35,40,45,50)/100*(Inputs!$B$11-Inputs!$B$11),0))))/100+(Inputs!$B$23+((C1895=TRUE)*(F1895-Calc!F24))+(IF(ArtifactsInput!$M$15,CHOOSE(ArtifactsInput!$N$15+1,25,30,35,40,45,50)/100*(Inputs!$B$11-Inputs!$B$11),0)))/100)/2</f>
        <v/>
      </c>
      <c r="M1873">
        <f>L1873*(1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3">
        <f>L1873*(1-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1873*(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3">
        <f>(1-Summary!$B$11)*T1873+Summary!$B$11*V1873</f>
        <v/>
      </c>
      <c r="P1873">
        <f>IF(B1908=0,0,O1873/B1908)</f>
        <v/>
      </c>
      <c r="Q1873" t="n">
        <v>0</v>
      </c>
      <c r="R1873" t="n">
        <v>0</v>
      </c>
      <c r="S1873">
        <f>IFERROR(O1873/N1873,0)</f>
        <v/>
      </c>
      <c r="T1873">
        <f>IF(C1873,(Skills!G2*N1873*B1902)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1873*(1-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1873*(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1873*(1-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1873*(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3">
        <f>MAX(0,(Inputs!$B$3-100)*3)+Inputs!$B$28+Inputs!$B$29</f>
        <v/>
      </c>
      <c r="V1873">
        <f>IF(C1873,(Skills!G2*N1873*B1902)*IF(Inputs!$B$38="pvp",1,(1+(Inputs!$B$21+Skills!Q2+(IF(ArtifactsInput!$M$33,CHOOSE(ArtifactsInput!$N$33+1,30,36,42,48,54,60),0))+(IF(AND(ArtifactsInput!$M$35,Inputs!$B$4&lt;&gt;"Chapter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4">
      <c r="A1874">
        <f>Skills!A3</f>
        <v/>
      </c>
      <c r="B1874">
        <f>Skills!B3</f>
        <v/>
      </c>
      <c r="C1874">
        <f>Inputs!$B$3&gt;=50</f>
        <v/>
      </c>
      <c r="D1874">
        <f>IF(Skills!C3=1,60+Inputs!$B$25+Inputs!$B$29,IF(Skills!C3=2,90+Inputs!$B$26+Inputs!$B$29,IF(Skills!C3=3,120+Inputs!$B$27+Inputs!$B$29,MAX(0,(Inputs!$B$3-100)*3)+Inputs!$B$28+Inputs!$B$29)))</f>
        <v/>
      </c>
      <c r="E1874">
        <f>INDEX(FactorTable!$B$2:$Y$301, MATCH(ROUND(MIN(300,MAX(1,D1874)),0), FactorTable!$A$2:$A$301,0), Skills!M3+1)</f>
        <v/>
      </c>
      <c r="F1874">
        <f>IF(Skills!N3=TRUE,(Skills!L3/10)*(E1874/1000),Skills!L3/10)+Skills!O3</f>
        <v/>
      </c>
      <c r="G1874" t="inlineStr"/>
      <c r="H1874" t="inlineStr"/>
      <c r="I1874" t="inlineStr">
        <is>
          <t>1</t>
        </is>
      </c>
      <c r="J1874" t="inlineStr"/>
      <c r="K1874" t="inlineStr"/>
      <c r="L1874" t="inlineStr"/>
      <c r="M1874" t="inlineStr"/>
      <c r="N1874" t="inlineStr"/>
      <c r="O1874" t="inlineStr"/>
      <c r="P1874" t="inlineStr"/>
      <c r="Q1874" t="inlineStr"/>
      <c r="R1874" t="inlineStr"/>
      <c r="S1874" t="inlineStr"/>
      <c r="U1874">
        <f>INDEX(FactorTable!$B$2:$Y$301, MATCH(ROUND(MIN(300,MAX(1,U1873)),0), FactorTable!$A$2:$A$301,0), 22)</f>
        <v/>
      </c>
    </row>
    <row r="1875">
      <c r="A1875">
        <f>Skills!A4</f>
        <v/>
      </c>
      <c r="B1875">
        <f>Skills!B4</f>
        <v/>
      </c>
      <c r="C1875">
        <f>Inputs!$B$3&gt;=35</f>
        <v/>
      </c>
      <c r="D1875">
        <f>IF(Skills!C4=1,60+Inputs!$B$25+Inputs!$B$29,IF(Skills!C4=2,90+Inputs!$B$26+Inputs!$B$29,IF(Skills!C4=3,120+Inputs!$B$27+Inputs!$B$29,MAX(0,(Inputs!$B$3-100)*3)+Inputs!$B$28+Inputs!$B$29)))</f>
        <v/>
      </c>
      <c r="E1875">
        <f>INDEX(FactorTable!$B$2:$Y$301, MATCH(ROUND(MIN(300,MAX(1,D1875)),0), FactorTable!$A$2:$A$301,0), Skills!M4+1)</f>
        <v/>
      </c>
      <c r="F1875">
        <f>IF(Skills!N4=TRUE,(Skills!L4/10)*(E1875/1000),Skills!L4/10)+Skills!O4</f>
        <v/>
      </c>
      <c r="G1875">
        <f>Skills!G4*IF(Skills!H4&gt;0,Skills!I4/Skills!H4,1)</f>
        <v/>
      </c>
      <c r="H1875">
        <f>1-(1-Skills!J4/100)^Skills!K4</f>
        <v/>
      </c>
      <c r="I1875" t="inlineStr">
        <is>
          <t>1</t>
        </is>
      </c>
      <c r="J1875">
        <f>((Inputs!$B$6*(1+Inputs!$B$7/100))+(((Inputs!$B$12*(1+Inputs!$B$13/100))-(Inputs!$B$12*(1+Inputs!$B$13/100)))+0.25*(Inputs!$B$14-Inputs!$B$14))*(1+Inputs!$B$7/100))*(F1875/100)</f>
        <v/>
      </c>
      <c r="K1875">
        <f>J1875*(1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1883=TRUE,F1883,0)/100)*(1+(IF(Skills!A4="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1875)</f>
        <v/>
      </c>
      <c r="L1875">
        <f>K1875*(MIN(Inputs!$B$22+((C1893=TRUE)*(F1893-Calc!F22)),(Inputs!$B$23+((C1895=TRUE)*(F1895-Calc!F24))+(IF(ArtifactsInput!$M$15,CHOOSE(ArtifactsInput!$N$15+1,25,30,35,40,45,50)/100*(Inputs!$B$11-Inputs!$B$11),0))))/100+(Inputs!$B$23+((C1895=TRUE)*(F1895-Calc!F24))+(IF(ArtifactsInput!$M$15,CHOOSE(ArtifactsInput!$N$15+1,25,30,35,40,45,50)/100*(Inputs!$B$11-Inputs!$B$11),0)))/100)/2</f>
        <v/>
      </c>
      <c r="M1875">
        <f>L1875*(1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5">
        <f>L1875*(1-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1875*(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5">
        <f>(1-Summary!$B$11)*T1875+Summary!$B$11*V1875</f>
        <v/>
      </c>
      <c r="P1875">
        <f>IF(B1908=0,0,O1875/B1908)</f>
        <v/>
      </c>
      <c r="Q1875">
        <f>IFERROR(1/(IF(Inputs!$B$38="pvp",15,MAX(0.1,Skills!D4-IF(Skills!E4=TRUE,Inputs!$B$32,0)))*(1-IF(AND(ArtifactsInput!$M$27,Inputs!$B$4="Chapter Hunt"),CHOOSE(ArtifactsInput!$N$27+1,20,24,28,32,36,40),0)/100)),0)</f>
        <v/>
      </c>
      <c r="R1875">
        <f>IF(AND(Inputs!$B$38&lt;&gt;"pvp",Inputs!$B$43&gt;0),IF(MAX(0,Inputs!$B$43-B1905)&lt;=0,0,(INT(MAX(0,Inputs!$B$43-B1905)/(IF(Inputs!$B$38="pvp",15,MAX(0.1,Skills!D4-IF(Skills!E4=TRUE,Inputs!$B$32,0)))*(1-IF(AND(ArtifactsInput!$M$27,Inputs!$B$4="Chapter Hunt"),CHOOSE(ArtifactsInput!$N$27+1,20,24,28,32,36,40),0)/100)))+1)),0)</f>
        <v/>
      </c>
      <c r="S1875">
        <f>IFERROR(O1875/N1875,0)</f>
        <v/>
      </c>
      <c r="T1875">
        <f>IF(C1875,(H1875*N1875*IF(AND(Inputs!$B$38&lt;&gt;"pvp",Inputs!$B$43&gt;0),((Skills!G4*((R1875-1)*IF(Skills!H4&gt;0,Skills!I4/Skills!H4,1)+IF(Skills!H4&gt;0,MIN(Skills!I4,MAX(0,MAX(0,Inputs!$B$43-B1905)-((R1875-1)*(IF(Inputs!$B$38="pvp",15,MAX(0.1,Skills!D4-IF(Skills!E4=TRUE,Inputs!$B$32,0)))*(1-IF(AND(ArtifactsInput!$M$27,Inputs!$B$4="Chapter Hunt"),CHOOSE(ArtifactsInput!$N$27+1,20,24,28,32,36,40),0)/100)))))/Skills!H4,1)))/Inputs!$B$43),G1875*Q1875)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1875*(1-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1875*(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1875*(1-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1875*(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5">
        <f>290*U1874/1000</f>
        <v/>
      </c>
      <c r="V1875">
        <f>IF(C1875,(H1875*N1875*IF(AND(Inputs!$B$38&lt;&gt;"pvp",Inputs!$B$43&gt;0),((Skills!G4*((R1875-1)*IF(Skills!H4&gt;0,Skills!I4/Skills!H4,1)+IF(Skills!H4&gt;0,MIN(Skills!I4,MAX(0,MAX(0,Inputs!$B$43-B1905)-((R1875-1)*(IF(Inputs!$B$38="pvp",15,MAX(0.1,Skills!D4-IF(Skills!E4=TRUE,Inputs!$B$32,0)))*(1-IF(AND(ArtifactsInput!$M$27,Inputs!$B$4="Chapter Hunt"),CHOOSE(ArtifactsInput!$N$27+1,20,24,28,32,36,40),0)/100)))))/Skills!H4,1)))/Inputs!$B$43),G1875*Q1875))*IF(Inputs!$B$38="pvp",1,(1+(Inputs!$B$21+Skills!Q4+(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6">
      <c r="A1876">
        <f>Skills!A5</f>
        <v/>
      </c>
      <c r="B1876">
        <f>Skills!B5</f>
        <v/>
      </c>
      <c r="C1876">
        <f>Inputs!$B$3&gt;=66</f>
        <v/>
      </c>
      <c r="D1876">
        <f>IF(Skills!C5=1,60+Inputs!$B$25+Inputs!$B$29,IF(Skills!C5=2,90+Inputs!$B$26+Inputs!$B$29,IF(Skills!C5=3,120+Inputs!$B$27+Inputs!$B$29,MAX(0,(Inputs!$B$3-100)*3)+Inputs!$B$28+Inputs!$B$29)))</f>
        <v/>
      </c>
      <c r="E1876">
        <f>INDEX(FactorTable!$B$2:$Y$301, MATCH(ROUND(MIN(300,MAX(1,D1876)),0), FactorTable!$A$2:$A$301,0), Skills!M5+1)</f>
        <v/>
      </c>
      <c r="F1876">
        <f>IF(Skills!N5=TRUE,(Skills!L5/10)*(E1876/1000),Skills!L5/10)+Skills!O5</f>
        <v/>
      </c>
      <c r="G1876">
        <f>Skills!G5*IF(Skills!H5&gt;0,Skills!I5/Skills!H5,1)</f>
        <v/>
      </c>
      <c r="H1876">
        <f>1-(1-Skills!J5/100)^Skills!K5</f>
        <v/>
      </c>
      <c r="I1876" t="inlineStr">
        <is>
          <t>1</t>
        </is>
      </c>
      <c r="J1876">
        <f>((Inputs!$B$6*(1+Inputs!$B$7/100))+(((Inputs!$B$12*(1+Inputs!$B$13/100))-(Inputs!$B$12*(1+Inputs!$B$13/100)))+0.25*(Inputs!$B$14-Inputs!$B$14))*(1+Inputs!$B$7/100))*(F1876/100)</f>
        <v/>
      </c>
      <c r="K1876">
        <f>J1876*(1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1883=TRUE,F1883,0)/100)*(1+(IF(Skills!A5="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1876)</f>
        <v/>
      </c>
      <c r="L1876">
        <f>K1876*(MIN(Inputs!$B$22+((C1893=TRUE)*(F1893-Calc!F22)),(Inputs!$B$23+((C1895=TRUE)*(F1895-Calc!F24))+(IF(ArtifactsInput!$M$15,CHOOSE(ArtifactsInput!$N$15+1,25,30,35,40,45,50)/100*(Inputs!$B$11-Inputs!$B$11),0))))/100+(Inputs!$B$23+((C1895=TRUE)*(F1895-Calc!F24))+(IF(ArtifactsInput!$M$15,CHOOSE(ArtifactsInput!$N$15+1,25,30,35,40,45,50)/100*(Inputs!$B$11-Inputs!$B$11),0)))/100)/2</f>
        <v/>
      </c>
      <c r="M1876">
        <f>L1876*(1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6">
        <f>L1876*(1-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1876*(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6">
        <f>(1-Summary!$B$11)*T1876+Summary!$B$11*V1876</f>
        <v/>
      </c>
      <c r="P1876">
        <f>IF(B1908=0,0,O1876/B1908)</f>
        <v/>
      </c>
      <c r="Q1876">
        <f>IFERROR(1/(IF(Inputs!$B$38="pvp",15,MAX(0.1,Skills!D5-IF(Skills!E5=TRUE,Inputs!$B$32,0)))*(1-IF(AND(ArtifactsInput!$M$27,Inputs!$B$4="Chapter Hunt"),CHOOSE(ArtifactsInput!$N$27+1,20,24,28,32,36,40),0)/100)),0)</f>
        <v/>
      </c>
      <c r="R1876">
        <f>IF(AND(Inputs!$B$38&lt;&gt;"pvp",Inputs!$B$43&gt;0),IF(MAX(0,Inputs!$B$43-B1905)&lt;=0,0,(INT(MAX(0,Inputs!$B$43-B1905)/(IF(Inputs!$B$38="pvp",15,MAX(0.1,Skills!D5-IF(Skills!E5=TRUE,Inputs!$B$32,0)))*(1-IF(AND(ArtifactsInput!$M$27,Inputs!$B$4="Chapter Hunt"),CHOOSE(ArtifactsInput!$N$27+1,20,24,28,32,36,40),0)/100)))+1)),0)</f>
        <v/>
      </c>
      <c r="S1876">
        <f>IFERROR(O1876/N1876,0)</f>
        <v/>
      </c>
      <c r="T1876">
        <f>IF(C1876,(H1876*N1876*IF(AND(Inputs!$B$38&lt;&gt;"pvp",Inputs!$B$43&gt;0),((Skills!G5*((R1876-1)*IF(Skills!H5&gt;0,Skills!I5/Skills!H5,1)+IF(Skills!H5&gt;0,MIN(Skills!I5,MAX(0,MAX(0,Inputs!$B$43-B1905)-((R1876-1)*(IF(Inputs!$B$38="pvp",15,MAX(0.1,Skills!D5-IF(Skills!E5=TRUE,Inputs!$B$32,0)))*(1-IF(AND(ArtifactsInput!$M$27,Inputs!$B$4="Chapter Hunt"),CHOOSE(ArtifactsInput!$N$27+1,20,24,28,32,36,40),0)/100)))))/Skills!H5,1)))/Inputs!$B$43),G1876*Q1876)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1876*(1-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1876*(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1876*(1-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1876*(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6">
        <f>IF(C1876,(H1876*N1876*IF(AND(Inputs!$B$38&lt;&gt;"pvp",Inputs!$B$43&gt;0),((Skills!G5*((R1876-1)*IF(Skills!H5&gt;0,Skills!I5/Skills!H5,1)+IF(Skills!H5&gt;0,MIN(Skills!I5,MAX(0,MAX(0,Inputs!$B$43-B1905)-((R1876-1)*(IF(Inputs!$B$38="pvp",15,MAX(0.1,Skills!D5-IF(Skills!E5=TRUE,Inputs!$B$32,0)))*(1-IF(AND(ArtifactsInput!$M$27,Inputs!$B$4="Chapter Hunt"),CHOOSE(ArtifactsInput!$N$27+1,20,24,28,32,36,40),0)/100)))))/Skills!H5,1)))/Inputs!$B$43),G1876*Q1876))*IF(Inputs!$B$38="pvp",1,(1+(Inputs!$B$21+Skills!Q5+(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7">
      <c r="A1877">
        <f>Skills!A6</f>
        <v/>
      </c>
      <c r="B1877">
        <f>Skills!B6</f>
        <v/>
      </c>
      <c r="C1877">
        <f>Inputs!$B$3&gt;=103</f>
        <v/>
      </c>
      <c r="D1877">
        <f>IF(Skills!C6=1,60+Inputs!$B$25+Inputs!$B$29,IF(Skills!C6=2,90+Inputs!$B$26+Inputs!$B$29,IF(Skills!C6=3,120+Inputs!$B$27+Inputs!$B$29,MAX(0,(Inputs!$B$3-100)*3)+Inputs!$B$28+Inputs!$B$29)))</f>
        <v/>
      </c>
      <c r="E1877">
        <f>INDEX(FactorTable!$B$2:$Y$301, MATCH(ROUND(MIN(300,MAX(1,D1877)),0), FactorTable!$A$2:$A$301,0), Skills!M6+1)</f>
        <v/>
      </c>
      <c r="F1877">
        <f>IF(Skills!N6=TRUE,(Skills!L6/10)*(E1877/1000),Skills!L6/10)+Skills!O6</f>
        <v/>
      </c>
      <c r="G1877">
        <f>Skills!G6*IF(Skills!H6&gt;0,Skills!I6/Skills!H6,1)</f>
        <v/>
      </c>
      <c r="H1877">
        <f>1-(1-Skills!J6/100)^Skills!K6</f>
        <v/>
      </c>
      <c r="I1877" t="inlineStr">
        <is>
          <t>1</t>
        </is>
      </c>
      <c r="J1877">
        <f>((Inputs!$B$6*(1+Inputs!$B$7/100))+(((Inputs!$B$12*(1+Inputs!$B$13/100))-(Inputs!$B$12*(1+Inputs!$B$13/100)))+0.25*(Inputs!$B$14-Inputs!$B$14))*(1+Inputs!$B$7/100))*(F1877/100)</f>
        <v/>
      </c>
      <c r="K1877">
        <f>J1877*(1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1877)</f>
        <v/>
      </c>
      <c r="L1877">
        <f>K1877*(MIN(Inputs!$B$22+((C1893=TRUE)*(F1893-Calc!F22)),(Inputs!$B$23+((C1895=TRUE)*(F1895-Calc!F24))+(IF(ArtifactsInput!$M$15,CHOOSE(ArtifactsInput!$N$15+1,25,30,35,40,45,50)/100*(Inputs!$B$11-Inputs!$B$11),0))))/100+(Inputs!$B$23+((C1895=TRUE)*(F1895-Calc!F24))+(IF(ArtifactsInput!$M$15,CHOOSE(ArtifactsInput!$N$15+1,25,30,35,40,45,50)/100*(Inputs!$B$11-Inputs!$B$11),0)))/100)/2</f>
        <v/>
      </c>
      <c r="M1877">
        <f>L1877*(1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7">
        <f>L1877*(1-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1877*(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7">
        <f>(1-Summary!$B$11)*T1877+Summary!$B$11*V1877</f>
        <v/>
      </c>
      <c r="P1877">
        <f>IF(B1908=0,0,O1877/B1908)</f>
        <v/>
      </c>
      <c r="Q1877">
        <f>IFERROR(1/(IF(Inputs!$B$38="pvp",15,MAX(0.1,Skills!D6-IF(Skills!E6=TRUE,Inputs!$B$32,0)))*(1-IF(AND(ArtifactsInput!$M$27,Inputs!$B$4="Chapter Hunt"),CHOOSE(ArtifactsInput!$N$27+1,20,24,28,32,36,40),0)/100)),0)</f>
        <v/>
      </c>
      <c r="R1877">
        <f>IF(AND(Inputs!$B$38&lt;&gt;"pvp",Inputs!$B$43&gt;0),IF(MAX(0,Inputs!$B$43-B1905)&lt;=0,0,(INT(MAX(0,Inputs!$B$43-B1905)/(IF(Inputs!$B$38="pvp",15,MAX(0.1,Skills!D6-IF(Skills!E6=TRUE,Inputs!$B$32,0)))*(1-IF(AND(ArtifactsInput!$M$27,Inputs!$B$4="Chapter Hunt"),CHOOSE(ArtifactsInput!$N$27+1,20,24,28,32,36,40),0)/100)))+1)),0)</f>
        <v/>
      </c>
      <c r="S1877">
        <f>IFERROR(O1877/N1877,0)</f>
        <v/>
      </c>
      <c r="T1877">
        <f>IF(C1877,(H1877*N1877*IF(AND(Inputs!$B$38&lt;&gt;"pvp",Inputs!$B$43&gt;0),((Skills!G6*((R1877-1)*IF(Skills!H6&gt;0,Skills!I6/Skills!H6,1)+IF(Skills!H6&gt;0,MIN(Skills!I6,MAX(0,MAX(0,Inputs!$B$43-B1905)-((R1877-1)*(IF(Inputs!$B$38="pvp",15,MAX(0.1,Skills!D6-IF(Skills!E6=TRUE,Inputs!$B$32,0)))*(1-IF(AND(ArtifactsInput!$M$27,Inputs!$B$4="Chapter Hunt"),CHOOSE(ArtifactsInput!$N$27+1,20,24,28,32,36,40),0)/100)))))/Skills!H6,1)))/Inputs!$B$43),G1877*Q1877)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1877*(1-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1877*(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1877*(1-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1877*(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7">
        <f>IF(C1877,(H1877*N1877*IF(AND(Inputs!$B$38&lt;&gt;"pvp",Inputs!$B$43&gt;0),((Skills!G6*((R1877-1)*IF(Skills!H6&gt;0,Skills!I6/Skills!H6,1)+IF(Skills!H6&gt;0,MIN(Skills!I6,MAX(0,MAX(0,Inputs!$B$43-B1905)-((R1877-1)*(IF(Inputs!$B$38="pvp",15,MAX(0.1,Skills!D6-IF(Skills!E6=TRUE,Inputs!$B$32,0)))*(1-IF(AND(ArtifactsInput!$M$27,Inputs!$B$4="Chapter Hunt"),CHOOSE(ArtifactsInput!$N$27+1,20,24,28,32,36,40),0)/100)))))/Skills!H6,1)))/Inputs!$B$43),G1877*Q1877))*IF(Inputs!$B$38="pvp",1,(1+(Inputs!$B$21+Skills!Q6+(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8">
      <c r="A1878">
        <f>Skills!A7</f>
        <v/>
      </c>
      <c r="B1878">
        <f>Skills!B7</f>
        <v/>
      </c>
      <c r="C1878">
        <f>Inputs!$B$3&gt;=107</f>
        <v/>
      </c>
      <c r="D1878">
        <f>IF(Skills!C7=1,60+Inputs!$B$25+Inputs!$B$29,IF(Skills!C7=2,90+Inputs!$B$26+Inputs!$B$29,IF(Skills!C7=3,120+Inputs!$B$27+Inputs!$B$29,MAX(0,(Inputs!$B$3-100)*3)+Inputs!$B$28+Inputs!$B$29)))</f>
        <v/>
      </c>
      <c r="E1878">
        <f>INDEX(FactorTable!$B$2:$Y$301, MATCH(ROUND(MIN(300,MAX(1,D1878)),0), FactorTable!$A$2:$A$301,0), Skills!M7+1)</f>
        <v/>
      </c>
      <c r="F1878">
        <f>IF(Skills!N7=TRUE,(Skills!L7/10)*(E1878/1000),Skills!L7/10)+Skills!O7</f>
        <v/>
      </c>
      <c r="G1878">
        <f>Skills!G7*IF(Skills!H7&gt;0,Skills!I7/Skills!H7,1)</f>
        <v/>
      </c>
      <c r="H1878">
        <f>1-(1-Skills!J7/100)^Skills!K7</f>
        <v/>
      </c>
      <c r="I1878" t="inlineStr">
        <is>
          <t>1</t>
        </is>
      </c>
      <c r="J1878">
        <f>((Inputs!$B$6*(1+Inputs!$B$7/100))+(((Inputs!$B$12*(1+Inputs!$B$13/100))-(Inputs!$B$12*(1+Inputs!$B$13/100)))+0.25*(Inputs!$B$14-Inputs!$B$14))*(1+Inputs!$B$7/100))*(F1878/100)</f>
        <v/>
      </c>
      <c r="K1878">
        <f>J1878*(1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1878)</f>
        <v/>
      </c>
      <c r="L1878">
        <f>K1878*(MIN(Inputs!$B$22+((C1893=TRUE)*(F1893-Calc!F22)),(Inputs!$B$23+((C1895=TRUE)*(F1895-Calc!F24))+(IF(ArtifactsInput!$M$15,CHOOSE(ArtifactsInput!$N$15+1,25,30,35,40,45,50)/100*(Inputs!$B$11-Inputs!$B$11),0))))/100+(Inputs!$B$23+((C1895=TRUE)*(F1895-Calc!F24))+(IF(ArtifactsInput!$M$15,CHOOSE(ArtifactsInput!$N$15+1,25,30,35,40,45,50)/100*(Inputs!$B$11-Inputs!$B$11),0)))/100)/2</f>
        <v/>
      </c>
      <c r="M1878">
        <f>L1878*(1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8">
        <f>L1878*(1-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1878*(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8">
        <f>(1-Summary!$B$11)*T1878+Summary!$B$11*V1878</f>
        <v/>
      </c>
      <c r="P1878">
        <f>IF(B1908=0,0,O1878/B1908)</f>
        <v/>
      </c>
      <c r="Q1878">
        <f>IFERROR(1/(IF(Inputs!$B$38="pvp",15,MAX(0.1,Skills!D7-IF(Skills!E7=TRUE,Inputs!$B$32,0)))*(1-IF(AND(ArtifactsInput!$M$27,Inputs!$B$4="Chapter Hunt"),CHOOSE(ArtifactsInput!$N$27+1,20,24,28,32,36,40),0)/100)),0)</f>
        <v/>
      </c>
      <c r="R1878">
        <f>IF(AND(Inputs!$B$38&lt;&gt;"pvp",Inputs!$B$43&gt;0),IF(MAX(0,Inputs!$B$43-B1905)&lt;=0,0,(INT(MAX(0,Inputs!$B$43-B1905)/(IF(Inputs!$B$38="pvp",15,MAX(0.1,Skills!D7-IF(Skills!E7=TRUE,Inputs!$B$32,0)))*(1-IF(AND(ArtifactsInput!$M$27,Inputs!$B$4="Chapter Hunt"),CHOOSE(ArtifactsInput!$N$27+1,20,24,28,32,36,40),0)/100)))+1)),0)</f>
        <v/>
      </c>
      <c r="S1878">
        <f>IFERROR(O1878/N1878,0)</f>
        <v/>
      </c>
      <c r="T1878">
        <f>IF(C1878,(H1878*N1878*IF(AND(Inputs!$B$38&lt;&gt;"pvp",Inputs!$B$43&gt;0),((Skills!G7*((R1878-1)*IF(Skills!H7&gt;0,Skills!I7/Skills!H7,1)+IF(Skills!H7&gt;0,MIN(Skills!I7,MAX(0,MAX(0,Inputs!$B$43-B1905)-((R1878-1)*(IF(Inputs!$B$38="pvp",15,MAX(0.1,Skills!D7-IF(Skills!E7=TRUE,Inputs!$B$32,0)))*(1-IF(AND(ArtifactsInput!$M$27,Inputs!$B$4="Chapter Hunt"),CHOOSE(ArtifactsInput!$N$27+1,20,24,28,32,36,40),0)/100)))))/Skills!H7,1)))/Inputs!$B$43),G1878*Q1878)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1878*(1-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1878*(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1878*(1-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1878*(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8">
        <f>IF(C1878,(H1878*N1878*IF(AND(Inputs!$B$38&lt;&gt;"pvp",Inputs!$B$43&gt;0),((Skills!G7*((R1878-1)*IF(Skills!H7&gt;0,Skills!I7/Skills!H7,1)+IF(Skills!H7&gt;0,MIN(Skills!I7,MAX(0,MAX(0,Inputs!$B$43-B1905)-((R1878-1)*(IF(Inputs!$B$38="pvp",15,MAX(0.1,Skills!D7-IF(Skills!E7=TRUE,Inputs!$B$32,0)))*(1-IF(AND(ArtifactsInput!$M$27,Inputs!$B$4="Chapter Hunt"),CHOOSE(ArtifactsInput!$N$27+1,20,24,28,32,36,40),0)/100)))))/Skills!H7,1)))/Inputs!$B$43),G1878*Q1878))*IF(Inputs!$B$38="pvp",1,(1+(Inputs!$B$21+Skills!Q7+(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9">
      <c r="A1879">
        <f>Skills!A8</f>
        <v/>
      </c>
      <c r="B1879">
        <f>Skills!B8</f>
        <v/>
      </c>
      <c r="C1879">
        <f>Inputs!$B$3&gt;=107</f>
        <v/>
      </c>
      <c r="D1879">
        <f>IF(Skills!C8=1,60+Inputs!$B$25+Inputs!$B$29,IF(Skills!C8=2,90+Inputs!$B$26+Inputs!$B$29,IF(Skills!C8=3,120+Inputs!$B$27+Inputs!$B$29,MAX(0,(Inputs!$B$3-100)*3)+Inputs!$B$28+Inputs!$B$29)))</f>
        <v/>
      </c>
      <c r="E1879">
        <f>INDEX(FactorTable!$B$2:$Y$301, MATCH(ROUND(MIN(300,MAX(1,D1879)),0), FactorTable!$A$2:$A$301,0), Skills!M8+1)</f>
        <v/>
      </c>
      <c r="F1879">
        <f>IF(Skills!N8=TRUE,(Skills!L8/10)*(E1879/1000),Skills!L8/10)+Skills!O8</f>
        <v/>
      </c>
      <c r="G1879">
        <f>Skills!G8*IF(Skills!H8&gt;0,Skills!I8/Skills!H8,1)</f>
        <v/>
      </c>
      <c r="H1879">
        <f>1-(1-Skills!J8/100)^Skills!K8</f>
        <v/>
      </c>
      <c r="I1879" t="inlineStr">
        <is>
          <t>1</t>
        </is>
      </c>
      <c r="J1879">
        <f>((Inputs!$B$6*(1+Inputs!$B$7/100))+(((Inputs!$B$12*(1+Inputs!$B$13/100))-(Inputs!$B$12*(1+Inputs!$B$13/100)))+0.25*(Inputs!$B$14-Inputs!$B$14))*(1+Inputs!$B$7/100))*(F1879/100)</f>
        <v/>
      </c>
      <c r="K1879">
        <f>J1879*(1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1879)</f>
        <v/>
      </c>
      <c r="L1879">
        <f>K1879*(MIN(Inputs!$B$22+((C1893=TRUE)*(F1893-Calc!F22)),(Inputs!$B$23+((C1895=TRUE)*(F1895-Calc!F24))+(IF(ArtifactsInput!$M$15,CHOOSE(ArtifactsInput!$N$15+1,25,30,35,40,45,50)/100*(Inputs!$B$11-Inputs!$B$11),0))))/100+(Inputs!$B$23+((C1895=TRUE)*(F1895-Calc!F24))+(IF(ArtifactsInput!$M$15,CHOOSE(ArtifactsInput!$N$15+1,25,30,35,40,45,50)/100*(Inputs!$B$11-Inputs!$B$11),0)))/100)/2</f>
        <v/>
      </c>
      <c r="M1879">
        <f>L1879*(1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9">
        <f>L1879*(1-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(1-Summary!$B$11)*T1879+Summary!$B$11*V1879</f>
        <v/>
      </c>
      <c r="P1879">
        <f>IF(B1908=0,0,O1879/B1908)</f>
        <v/>
      </c>
      <c r="Q1879">
        <f>IFERROR(1/(IF(Inputs!$B$38="pvp",15,MAX(0.1,Skills!D8-IF(Skills!E8=TRUE,Inputs!$B$32,0)))*(1-IF(AND(ArtifactsInput!$M$27,Inputs!$B$4="Chapter Hunt"),CHOOSE(ArtifactsInput!$N$27+1,20,24,28,32,36,40),0)/100)),0)</f>
        <v/>
      </c>
      <c r="R1879">
        <f>IF(AND(Inputs!$B$38&lt;&gt;"pvp",Inputs!$B$43&gt;0),IF(MAX(0,Inputs!$B$43-B1905)&lt;=0,0,(INT(MAX(0,Inputs!$B$43-B1905)/(IF(Inputs!$B$38="pvp",15,MAX(0.1,Skills!D8-IF(Skills!E8=TRUE,Inputs!$B$32,0)))*(1-IF(AND(ArtifactsInput!$M$27,Inputs!$B$4="Chapter Hunt"),CHOOSE(ArtifactsInput!$N$27+1,20,24,28,32,36,40),0)/100)))+1)),0)</f>
        <v/>
      </c>
      <c r="S1879">
        <f>IFERROR(O1879/N1879,0)</f>
        <v/>
      </c>
      <c r="T1879">
        <f>IF(C1879,(H1879*N1879*IF(AND(Inputs!$B$38&lt;&gt;"pvp",Inputs!$B$43&gt;0),((Skills!G8*((R1879-1)*IF(Skills!H8&gt;0,Skills!I8/Skills!H8,1)+IF(Skills!H8&gt;0,MIN(Skills!I8,MAX(0,MAX(0,Inputs!$B$43-B1905)-((R1879-1)*(IF(Inputs!$B$38="pvp",15,MAX(0.1,Skills!D8-IF(Skills!E8=TRUE,Inputs!$B$32,0)))*(1-IF(AND(ArtifactsInput!$M$27,Inputs!$B$4="Chapter Hunt"),CHOOSE(ArtifactsInput!$N$27+1,20,24,28,32,36,40),0)/100)))))/Skills!H8,1)))/Inputs!$B$43),G1879*Q1879)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1879*(1-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9">
        <f>IF(C1879,(H1879*N1879*IF(AND(Inputs!$B$38&lt;&gt;"pvp",Inputs!$B$43&gt;0),((Skills!G8*((R1879-1)*IF(Skills!H8&gt;0,Skills!I8/Skills!H8,1)+IF(Skills!H8&gt;0,MIN(Skills!I8,MAX(0,MAX(0,Inputs!$B$43-B1905)-((R1879-1)*(IF(Inputs!$B$38="pvp",15,MAX(0.1,Skills!D8-IF(Skills!E8=TRUE,Inputs!$B$32,0)))*(1-IF(AND(ArtifactsInput!$M$27,Inputs!$B$4="Chapter Hunt"),CHOOSE(ArtifactsInput!$N$27+1,20,24,28,32,36,40),0)/100)))))/Skills!H8,1)))/Inputs!$B$43),G1879*Q1879))*IF(Inputs!$B$38="pvp",1,(1+(Inputs!$B$21+Skills!Q8+(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Skills!A9</f>
        <v/>
      </c>
      <c r="B1880">
        <f>Skills!B9</f>
        <v/>
      </c>
      <c r="C1880">
        <f>Inputs!$B$3&gt;=125</f>
        <v/>
      </c>
      <c r="D1880">
        <f>IF(Skills!C9=1,60+Inputs!$B$25+Inputs!$B$29,IF(Skills!C9=2,90+Inputs!$B$26+Inputs!$B$29,IF(Skills!C9=3,120+Inputs!$B$27+Inputs!$B$29,MAX(0,(Inputs!$B$3-100)*3)+Inputs!$B$28+Inputs!$B$29)))</f>
        <v/>
      </c>
      <c r="E1880">
        <f>INDEX(FactorTable!$B$2:$Y$301, MATCH(ROUND(MIN(300,MAX(1,D1880)),0), FactorTable!$A$2:$A$301,0), Skills!M9+1)</f>
        <v/>
      </c>
      <c r="F1880">
        <f>IF(Skills!N9=TRUE,(Skills!L9/10)*(E1880/1000),Skills!L9/10)+Skills!O9</f>
        <v/>
      </c>
      <c r="G1880">
        <f>Skills!G9*IF(Skills!H9&gt;0,Skills!I9/Skills!H9,1)</f>
        <v/>
      </c>
      <c r="H1880">
        <f>1-(1-Skills!J9/100)^Skills!K9</f>
        <v/>
      </c>
      <c r="I1880" t="inlineStr">
        <is>
          <t>1</t>
        </is>
      </c>
      <c r="J1880">
        <f>((Inputs!$B$6*(1+Inputs!$B$7/100))+(((Inputs!$B$12*(1+Inputs!$B$13/100))-(Inputs!$B$12*(1+Inputs!$B$13/100)))+0.25*(Inputs!$B$14-Inputs!$B$14))*(1+Inputs!$B$7/100))*(F1880/100)</f>
        <v/>
      </c>
      <c r="K1880">
        <f>J1880*(1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1880)</f>
        <v/>
      </c>
      <c r="L1880">
        <f>K1880*(MIN(Inputs!$B$22+((C1893=TRUE)*(F1893-Calc!F22)),(Inputs!$B$23+((C1895=TRUE)*(F1895-Calc!F24))+(IF(ArtifactsInput!$M$15,CHOOSE(ArtifactsInput!$N$15+1,25,30,35,40,45,50)/100*(Inputs!$B$11-Inputs!$B$11),0))))/100+(Inputs!$B$23+((C1895=TRUE)*(F1895-Calc!F24))+(IF(ArtifactsInput!$M$15,CHOOSE(ArtifactsInput!$N$15+1,25,30,35,40,45,50)/100*(Inputs!$B$11-Inputs!$B$11),0)))/100)/2</f>
        <v/>
      </c>
      <c r="M1880">
        <f>L1880*(1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0">
        <f>L1880*(1-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1880*(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0">
        <f>(1-Summary!$B$11)*T1880+Summary!$B$11*V1880</f>
        <v/>
      </c>
      <c r="P1880">
        <f>IF(B1908=0,0,O1880/B1908)</f>
        <v/>
      </c>
      <c r="Q1880">
        <f>IFERROR(1/(IF(Inputs!$B$38="pvp",15,MAX(0.1,Skills!D9-IF(Skills!E9=TRUE,Inputs!$B$32,0)))*(1-IF(AND(ArtifactsInput!$M$27,Inputs!$B$4="Chapter Hunt"),CHOOSE(ArtifactsInput!$N$27+1,20,24,28,32,36,40),0)/100)),0)</f>
        <v/>
      </c>
      <c r="R1880">
        <f>IF(AND(Inputs!$B$38&lt;&gt;"pvp",Inputs!$B$43&gt;0),IF(MAX(0,Inputs!$B$43-B1905)&lt;=0,0,(INT(MAX(0,Inputs!$B$43-B1905)/(IF(Inputs!$B$38="pvp",15,MAX(0.1,Skills!D9-IF(Skills!E9=TRUE,Inputs!$B$32,0)))*(1-IF(AND(ArtifactsInput!$M$27,Inputs!$B$4="Chapter Hunt"),CHOOSE(ArtifactsInput!$N$27+1,20,24,28,32,36,40),0)/100)))+1)),0)</f>
        <v/>
      </c>
      <c r="S1880">
        <f>IFERROR(O1880/N1880,0)</f>
        <v/>
      </c>
      <c r="T1880">
        <f>IF(C1880,(H1880*N1880*IF(AND(Inputs!$B$38&lt;&gt;"pvp",Inputs!$B$43&gt;0),((Skills!G9*((R1880-1)*IF(Skills!H9&gt;0,Skills!I9/Skills!H9,1)+IF(Skills!H9&gt;0,MIN(Skills!I9,MAX(0,MAX(0,Inputs!$B$43-B1905)-((R1880-1)*(IF(Inputs!$B$38="pvp",15,MAX(0.1,Skills!D9-IF(Skills!E9=TRUE,Inputs!$B$32,0)))*(1-IF(AND(ArtifactsInput!$M$27,Inputs!$B$4="Chapter Hunt"),CHOOSE(ArtifactsInput!$N$27+1,20,24,28,32,36,40),0)/100)))))/Skills!H9,1)))/Inputs!$B$43),G1880*Q1880)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1880*(1-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1880*(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1880*(1-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1880*(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0">
        <f>IF(C1880,(H1880*N1880*IF(AND(Inputs!$B$38&lt;&gt;"pvp",Inputs!$B$43&gt;0),((Skills!G9*((R1880-1)*IF(Skills!H9&gt;0,Skills!I9/Skills!H9,1)+IF(Skills!H9&gt;0,MIN(Skills!I9,MAX(0,MAX(0,Inputs!$B$43-B1905)-((R1880-1)*(IF(Inputs!$B$38="pvp",15,MAX(0.1,Skills!D9-IF(Skills!E9=TRUE,Inputs!$B$32,0)))*(1-IF(AND(ArtifactsInput!$M$27,Inputs!$B$4="Chapter Hunt"),CHOOSE(ArtifactsInput!$N$27+1,20,24,28,32,36,40),0)/100)))))/Skills!H9,1)))/Inputs!$B$43),G1880*Q1880))*IF(Inputs!$B$38="pvp",1,(1+(Inputs!$B$21+Skills!Q9+(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1">
      <c r="A1881">
        <f>Skills!A10</f>
        <v/>
      </c>
      <c r="B1881">
        <f>Skills!B10</f>
        <v/>
      </c>
      <c r="C1881">
        <f>Inputs!$B$3&gt;=117</f>
        <v/>
      </c>
      <c r="D1881">
        <f>IF(Skills!C10=1,60+Inputs!$B$25+Inputs!$B$29,IF(Skills!C10=2,90+Inputs!$B$26+Inputs!$B$29,IF(Skills!C10=3,120+Inputs!$B$27+Inputs!$B$29,MAX(0,(Inputs!$B$3-100)*3)+Inputs!$B$28+Inputs!$B$29)))</f>
        <v/>
      </c>
      <c r="E1881">
        <f>INDEX(FactorTable!$B$2:$Y$301, MATCH(ROUND(MIN(300,MAX(1,D1881)),0), FactorTable!$A$2:$A$301,0), Skills!M10+1)</f>
        <v/>
      </c>
      <c r="F1881">
        <f>IF(Skills!N10=TRUE,(Skills!L10/10)*(E1881/1000),Skills!L10/10)+Skills!O10</f>
        <v/>
      </c>
      <c r="G1881">
        <f>Skills!G10*IF(Skills!H10&gt;0,Skills!I10/Skills!H10,1)</f>
        <v/>
      </c>
      <c r="H1881">
        <f>1-(1-Skills!J10/100)^Skills!K10</f>
        <v/>
      </c>
      <c r="I1881" t="inlineStr">
        <is>
          <t>1</t>
        </is>
      </c>
      <c r="J1881">
        <f>((Inputs!$B$6*(1+Inputs!$B$7/100))+(((Inputs!$B$12*(1+Inputs!$B$13/100))-(Inputs!$B$12*(1+Inputs!$B$13/100)))+0.25*(Inputs!$B$14-Inputs!$B$14))*(1+Inputs!$B$7/100))*(F1881/100)</f>
        <v/>
      </c>
      <c r="K1881">
        <f>J1881*(1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1881)</f>
        <v/>
      </c>
      <c r="L1881">
        <f>K1881*(MIN(Inputs!$B$22+((C1893=TRUE)*(F1893-Calc!F22)),(Inputs!$B$23+((C1895=TRUE)*(F1895-Calc!F24))+(IF(ArtifactsInput!$M$15,CHOOSE(ArtifactsInput!$N$15+1,25,30,35,40,45,50)/100*(Inputs!$B$11-Inputs!$B$11),0))))/100+(Inputs!$B$23+((C1895=TRUE)*(F1895-Calc!F24))+(IF(ArtifactsInput!$M$15,CHOOSE(ArtifactsInput!$N$15+1,25,30,35,40,45,50)/100*(Inputs!$B$11-Inputs!$B$11),0)))/100)/2</f>
        <v/>
      </c>
      <c r="M1881">
        <f>L1881*(1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1">
        <f>L1881*(1-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1">
        <f>(1-Summary!$B$11)*T1881+Summary!$B$11*V1881</f>
        <v/>
      </c>
      <c r="P1881">
        <f>IF(B1908=0,0,O1881/B1908)</f>
        <v/>
      </c>
      <c r="Q1881">
        <f>IFERROR(1/(IF(Inputs!$B$38="pvp",15,MAX(0.1,Skills!D10-IF(Skills!E10=TRUE,Inputs!$B$32,0)))*(1-IF(AND(ArtifactsInput!$M$27,Inputs!$B$4="Chapter Hunt"),CHOOSE(ArtifactsInput!$N$27+1,20,24,28,32,36,40),0)/100)),0)</f>
        <v/>
      </c>
      <c r="R1881">
        <f>IF(AND(Inputs!$B$38&lt;&gt;"pvp",Inputs!$B$43&gt;0),IF(MAX(0,Inputs!$B$43-B1905)&lt;=0,0,(INT(MAX(0,Inputs!$B$43-B1905)/(IF(Inputs!$B$38="pvp",15,MAX(0.1,Skills!D10-IF(Skills!E10=TRUE,Inputs!$B$32,0)))*(1-IF(AND(ArtifactsInput!$M$27,Inputs!$B$4="Chapter Hunt"),CHOOSE(ArtifactsInput!$N$27+1,20,24,28,32,36,40),0)/100)))+1)),0)</f>
        <v/>
      </c>
      <c r="S1881">
        <f>IFERROR(O1881/N1881,0)</f>
        <v/>
      </c>
      <c r="T1881">
        <f>IF(C1881,(H1881*N1881*IF(AND(Inputs!$B$38&lt;&gt;"pvp",Inputs!$B$43&gt;0),((Skills!G10*((R1881-1)*IF(Skills!H10&gt;0,Skills!I10/Skills!H10,1)+IF(Skills!H10&gt;0,MIN(Skills!I10,MAX(0,MAX(0,Inputs!$B$43-B1905)-((R1881-1)*(IF(Inputs!$B$38="pvp",15,MAX(0.1,Skills!D10-IF(Skills!E10=TRUE,Inputs!$B$32,0)))*(1-IF(AND(ArtifactsInput!$M$27,Inputs!$B$4="Chapter Hunt"),CHOOSE(ArtifactsInput!$N$27+1,20,24,28,32,36,40),0)/100)))))/Skills!H10,1)))/Inputs!$B$43),G1881*Q1881)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1881*(1-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1881*(1-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1">
        <f>IF(C1881,(H1881*N1881*IF(AND(Inputs!$B$38&lt;&gt;"pvp",Inputs!$B$43&gt;0),((Skills!G10*((R1881-1)*IF(Skills!H10&gt;0,Skills!I10/Skills!H10,1)+IF(Skills!H10&gt;0,MIN(Skills!I10,MAX(0,MAX(0,Inputs!$B$43-B1905)-((R1881-1)*(IF(Inputs!$B$38="pvp",15,MAX(0.1,Skills!D10-IF(Skills!E10=TRUE,Inputs!$B$32,0)))*(1-IF(AND(ArtifactsInput!$M$27,Inputs!$B$4="Chapter Hunt"),CHOOSE(ArtifactsInput!$N$27+1,20,24,28,32,36,40),0)/100)))))/Skills!H10,1)))/Inputs!$B$43),G1881*Q1881))*IF(Inputs!$B$38="pvp",1,(1+(Inputs!$B$21+Skills!Q10+(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2">
      <c r="A1882">
        <f>Skills!A11</f>
        <v/>
      </c>
      <c r="B1882">
        <f>Skills!B11</f>
        <v/>
      </c>
      <c r="C1882">
        <f>Inputs!$B$3&gt;=63</f>
        <v/>
      </c>
      <c r="D1882">
        <f>IF(Skills!C11=1,60+Inputs!$B$25+Inputs!$B$29,IF(Skills!C11=2,90+Inputs!$B$26+Inputs!$B$29,IF(Skills!C11=3,120+Inputs!$B$27+Inputs!$B$29,MAX(0,(Inputs!$B$3-100)*3)+Inputs!$B$28+Inputs!$B$29)))</f>
        <v/>
      </c>
      <c r="E1882">
        <f>INDEX(FactorTable!$B$2:$Y$301, MATCH(ROUND(MIN(300,MAX(1,D1882)),0), FactorTable!$A$2:$A$301,0), Skills!M11+1)</f>
        <v/>
      </c>
      <c r="F1882">
        <f>IF(Skills!N11=TRUE,(Skills!L11/10)*(E1882/1000),Skills!L11/10)+Skills!O11</f>
        <v/>
      </c>
      <c r="G1882">
        <f>Skills!G11*IF(Skills!H11&gt;0,Skills!I11/Skills!H11,1)</f>
        <v/>
      </c>
      <c r="H1882">
        <f>1-(1-Skills!J11/100)^Skills!K11</f>
        <v/>
      </c>
      <c r="I1882" t="inlineStr">
        <is>
          <t>1</t>
        </is>
      </c>
      <c r="J1882">
        <f>((Inputs!$B$6*(1+Inputs!$B$7/100))+(((Inputs!$B$12*(1+Inputs!$B$13/100))-(Inputs!$B$12*(1+Inputs!$B$13/100)))+0.25*(Inputs!$B$14-Inputs!$B$14))*(1+Inputs!$B$7/100))*(F1882/100)</f>
        <v/>
      </c>
      <c r="K1882">
        <f>J1882*(1+((Inputs!$B$12*(1+Inputs!$B$13/100))*0.01+Inputs!$B$14*0.0025)/100)*(1+Inputs!$B$15/100)*(1+Inputs!$B$16/100)*(5000/(6000+Inputs!$B$42*(1-(Inputs!$B$19+0)/100)))*(1+(Inputs!$B$24+0+B1904)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1883=TRUE,F1883,0)/100)*(1+(IF(Skills!A11="BLAST",Inputs!$B$17+((C1892=TRUE)*(F1892-Calc!F21))+((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MIN(100,((Inputs!$B$9+0+B1898+(ArtifactsInput!$M$24-ArtifactsInput!$M$24)*CHOOSE(ArtifactsInput!$N$24+1,10,12,14,16,18,20)+IF(ArtifactsInput!$M$10,CHOOSE(ArtifactsInput!$N$10+1,15,18,21,24,27,30)*(IF(Inputs!$B$38="pvp",MIN(15,15)/15,IF(AND(Inputs!$B$38&lt;&gt;"pvp",Inputs!$B$43&gt;0),MIN(15,Inputs!$B$43)/(Inputs!$B$43),0))),0)))-100),0))*CHOOSE(ArtifactsInput!$N$42+1,0.6,0.72,0.84,0.96,1.08,1.2))),Inputs!$B$18+((C1894=TRUE)*(F1894-Calc!F23))+(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gt;=100),CHOOSE(ArtifactsInput!$N$42+1,40,48,56,64,72,80),0))))/100)*((1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1882)</f>
        <v/>
      </c>
      <c r="L1882">
        <f>K1882*(MIN(Inputs!$B$22+((C1893=TRUE)*(F1893-Calc!F22)),(Inputs!$B$23+((C1895=TRUE)*(F1895-Calc!F24))+(IF(ArtifactsInput!$M$15,CHOOSE(ArtifactsInput!$N$15+1,25,30,35,40,45,50)/100*(Inputs!$B$11-Inputs!$B$11),0))))/100+(Inputs!$B$23+((C1895=TRUE)*(F1895-Calc!F24))+(IF(ArtifactsInput!$M$15,CHOOSE(ArtifactsInput!$N$15+1,25,30,35,40,45,50)/100*(Inputs!$B$11-Inputs!$B$11),0)))/100)/2</f>
        <v/>
      </c>
      <c r="M1882">
        <f>L1882*(1+(Inputs!$B$10+0+B1903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2">
        <f>L1882*(1-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(1-Summary!$B$11)*T1882+Summary!$B$11*V1882</f>
        <v/>
      </c>
      <c r="P1882">
        <f>IF(B1908=0,0,O1882/B1908)</f>
        <v/>
      </c>
      <c r="Q1882">
        <f>IFERROR(1/(IF(Inputs!$B$38="pvp",15,MAX(0.1,Skills!D11-IF(Skills!E11=TRUE,Inputs!$B$32,0)))*(1-IF(AND(ArtifactsInput!$M$27,Inputs!$B$4="Chapter Hunt"),CHOOSE(ArtifactsInput!$N$27+1,20,24,28,32,36,40),0)/100)),0)</f>
        <v/>
      </c>
      <c r="R1882">
        <f>IF(AND(Inputs!$B$38&lt;&gt;"pvp",Inputs!$B$43&gt;0),IF(MAX(0,Inputs!$B$43-B1905)&lt;=0,0,(INT(MAX(0,Inputs!$B$43-B1905)/(IF(Inputs!$B$38="pvp",15,MAX(0.1,Skills!D11-IF(Skills!E11=TRUE,Inputs!$B$32,0)))*(1-IF(AND(ArtifactsInput!$M$27,Inputs!$B$4="Chapter Hunt"),CHOOSE(ArtifactsInput!$N$27+1,20,24,28,32,36,40),0)/100)))+1)),0)</f>
        <v/>
      </c>
      <c r="S1882">
        <f>IFERROR(O1882/N1882,0)</f>
        <v/>
      </c>
      <c r="T1882">
        <f>IF(C1882,(H1882*N1882*IF(AND(Inputs!$B$38&lt;&gt;"pvp",Inputs!$B$43&gt;0),((Skills!G11*((R1882-1)*IF(Skills!H11&gt;0,Skills!I11/Skills!H11,1)+IF(Skills!H11&gt;0,MIN(Skills!I11,MAX(0,MAX(0,Inputs!$B$43-B1905)-((R1882-1)*(IF(Inputs!$B$38="pvp",15,MAX(0.1,Skills!D11-IF(Skills!E11=TRUE,Inputs!$B$32,0)))*(1-IF(AND(ArtifactsInput!$M$27,Inputs!$B$4="Chapter Hunt"),CHOOSE(ArtifactsInput!$N$27+1,20,24,28,32,36,40),0)/100)))))/Skills!H11,1)))/Inputs!$B$43),G1882*Q1882)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1882*(1-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+0+B1898+(ArtifactsInput!$M$24-ArtifactsInput!$M$24)*CHOOSE(ArtifactsInput!$N$24+1,10,12,14,16,18,20)+(IF(AND(Inputs!$B$38&lt;&gt;"pvp",Inputs!$B$43=0),1,IF(IF(Inputs!$B$38="pvp",15,Inputs!$B$43)-(B1905)&lt;=0,1,MAX(0,IF(Inputs!$B$38="pvp",15,Inputs!$B$43)-MAX(5,B1905))/(IF(Inputs!$B$38="pvp",15,Inputs!$B$43)-(B1905))))*IF(AND(ArtifactsInput!$M$42,((Inputs!$B$9+0+B1898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2">
        <f>IF(C1882,(H1882*N1882*IF(AND(Inputs!$B$38&lt;&gt;"pvp",Inputs!$B$43&gt;0),((Skills!G11*((R1882-1)*IF(Skills!H11&gt;0,Skills!I11/Skills!H11,1)+IF(Skills!H11&gt;0,MIN(Skills!I11,MAX(0,MAX(0,Inputs!$B$43-B1905)-((R1882-1)*(IF(Inputs!$B$38="pvp",15,MAX(0.1,Skills!D11-IF(Skills!E11=TRUE,Inputs!$B$32,0)))*(1-IF(AND(ArtifactsInput!$M$27,Inputs!$B$4="Chapter Hunt"),CHOOSE(ArtifactsInput!$N$27+1,20,24,28,32,36,40),0)/100)))))/Skills!H11,1)))/Inputs!$B$43),G1882*Q1882))*IF(Inputs!$B$38="pvp",1,(1+(Inputs!$B$21+Skills!Q11+(IF(ArtifactsInput!$M$33,CHOOSE(ArtifactsInput!$N$33+1,30,36,42,48,54,60),0))+(IF(AND(ArtifactsInput!$M$35,Inputs!$B$4&lt;&gt;"Chapter Hunt"),CHOOSE(ArtifactsInput!$N$35+1,15,18,21,24,27,30)*(1-EXP(-(0.2*B1900)*5)),0)+IF(AND(ArtifactsInput!$M$22,Inputs!$B$4&lt;&gt;"Chapter Hunt"),CHOOSE(ArtifactsInput!$N$22+1,10,12,14,16,18,20)*((0*(((0.15*B1900*5))^0/1)+1*(((0.15*B1900*5))^1/1)+2*(((0.15*B1900*5))^2/2)+3*(((0.15*B1900*5))^3/6)+4*(((0.15*B1900*5))^4/24)+5*(((0.15*B1900*5))^5/120))/((((0.15*B1900*5))^0/1)+(((0.15*B1900*5))^1/1)+(((0.15*B1900*5))^2/2)+(((0.15*B1900*5))^3/6)+(((0.15*B1900*5))^4/24)+(((0.15*B1900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Skills!A12</f>
        <v/>
      </c>
      <c r="B1883">
        <f>Skills!B12</f>
        <v/>
      </c>
      <c r="C1883">
        <f>Inputs!$B$3&gt;=100</f>
        <v/>
      </c>
      <c r="D1883">
        <f>IF(Skills!C12=1,60+Inputs!$B$25+Inputs!$B$29,IF(Skills!C12=2,90+Inputs!$B$26+Inputs!$B$29,IF(Skills!C12=3,120+Inputs!$B$27+Inputs!$B$29,MAX(0,(Inputs!$B$3-100)*3)+Inputs!$B$28+Inputs!$B$29)))</f>
        <v/>
      </c>
      <c r="E1883">
        <f>INDEX(FactorTable!$B$2:$Y$301, MATCH(ROUND(MIN(300,MAX(1,D1883)),0), FactorTable!$A$2:$A$301,0), Skills!M12+1)</f>
        <v/>
      </c>
      <c r="F1883">
        <f>IF(Skills!N12=TRUE,(Skills!L12/10)*(E1883/1000),Skills!L12/10)+Skills!O12</f>
        <v/>
      </c>
      <c r="G1883" t="inlineStr"/>
      <c r="H1883" t="inlineStr"/>
      <c r="I1883" t="inlineStr">
        <is>
          <t>1</t>
        </is>
      </c>
      <c r="J1883" t="inlineStr"/>
      <c r="K1883" t="inlineStr"/>
      <c r="L1883" t="inlineStr"/>
      <c r="M1883" t="inlineStr"/>
      <c r="N1883" t="inlineStr"/>
      <c r="O1883" t="inlineStr"/>
      <c r="P1883" t="inlineStr"/>
      <c r="Q1883" t="inlineStr"/>
      <c r="R1883" t="inlineStr"/>
      <c r="S1883" t="inlineStr"/>
    </row>
    <row r="1884">
      <c r="A1884">
        <f>Skills!A13</f>
        <v/>
      </c>
      <c r="B1884">
        <f>Skills!B13</f>
        <v/>
      </c>
      <c r="C1884">
        <f>Inputs!$B$3&gt;=45</f>
        <v/>
      </c>
      <c r="D1884">
        <f>IF(Skills!C13=1,60+Inputs!$B$25+Inputs!$B$29,IF(Skills!C13=2,90+Inputs!$B$26+Inputs!$B$29,IF(Skills!C13=3,120+Inputs!$B$27+Inputs!$B$29,MAX(0,(Inputs!$B$3-100)*3)+Inputs!$B$28+Inputs!$B$29)))</f>
        <v/>
      </c>
      <c r="E1884">
        <f>INDEX(FactorTable!$B$2:$Y$301, MATCH(ROUND(MIN(300,MAX(1,D1884)),0), FactorTable!$A$2:$A$301,0), Skills!M13+1)</f>
        <v/>
      </c>
      <c r="F1884">
        <f>IF(Skills!N13=TRUE,(Skills!L13/10)*(E1884/1000),Skills!L13/10)+Skills!O13</f>
        <v/>
      </c>
      <c r="G1884">
        <f>Skills!G13*IF(Skills!H13&gt;0,Skills!I13/Skills!H13,1)</f>
        <v/>
      </c>
      <c r="H1884">
        <f>1-(1-Skills!J13/100)^Skills!K13</f>
        <v/>
      </c>
      <c r="I1884" t="inlineStr">
        <is>
          <t>1</t>
        </is>
      </c>
      <c r="J1884" t="inlineStr"/>
      <c r="K1884" t="inlineStr"/>
      <c r="L1884" t="inlineStr"/>
      <c r="M1884" t="inlineStr"/>
      <c r="N1884" t="inlineStr"/>
      <c r="O1884">
        <f>(1-Summary!$B$11)*T1884+Summary!$B$11*V1884</f>
        <v/>
      </c>
      <c r="P1884">
        <f>IF(B1908=0,0,O1884/B1908)</f>
        <v/>
      </c>
      <c r="Q1884" t="n">
        <v>0</v>
      </c>
      <c r="R1884" t="n">
        <v>0</v>
      </c>
      <c r="S1884">
        <f>IFERROR(O1884/N1884,0)</f>
        <v/>
      </c>
      <c r="T1884" t="n">
        <v>0</v>
      </c>
      <c r="V1884" t="n">
        <v>0</v>
      </c>
    </row>
    <row r="1885">
      <c r="A1885">
        <f>Skills!A14</f>
        <v/>
      </c>
      <c r="B1885">
        <f>Skills!B14</f>
        <v/>
      </c>
      <c r="C1885">
        <f>Inputs!$B$3&gt;=110</f>
        <v/>
      </c>
      <c r="D1885">
        <f>IF(Skills!C14=1,60+Inputs!$B$25+Inputs!$B$29,IF(Skills!C14=2,90+Inputs!$B$26+Inputs!$B$29,IF(Skills!C14=3,120+Inputs!$B$27+Inputs!$B$29,MAX(0,(Inputs!$B$3-100)*3)+Inputs!$B$28+Inputs!$B$29)))</f>
        <v/>
      </c>
      <c r="E1885">
        <f>INDEX(FactorTable!$B$2:$Y$301, MATCH(ROUND(MIN(300,MAX(1,D1885)),0), FactorTable!$A$2:$A$301,0), Skills!M14+1)</f>
        <v/>
      </c>
      <c r="F1885">
        <f>IF(Skills!N14=TRUE,(Skills!L14/10)*(E1885/1000),Skills!L14/10)+Skills!O14</f>
        <v/>
      </c>
      <c r="G1885">
        <f>Skills!G14*IF(Skills!H14&gt;0,Skills!I14/Skills!H14,1)</f>
        <v/>
      </c>
      <c r="H1885">
        <f>1-(1-Skills!J14/100)^Skills!K14</f>
        <v/>
      </c>
      <c r="I1885" t="inlineStr">
        <is>
          <t>1</t>
        </is>
      </c>
      <c r="J1885" t="inlineStr"/>
      <c r="K1885" t="inlineStr"/>
      <c r="L1885" t="inlineStr"/>
      <c r="M1885" t="inlineStr"/>
      <c r="N1885" t="inlineStr"/>
      <c r="O1885">
        <f>(1-Summary!$B$11)*T1885+Summary!$B$11*V1885</f>
        <v/>
      </c>
      <c r="P1885">
        <f>IF(B1908=0,0,O1885/B1908)</f>
        <v/>
      </c>
      <c r="Q1885" t="n">
        <v>0</v>
      </c>
      <c r="R1885" t="n">
        <v>0</v>
      </c>
      <c r="S1885">
        <f>IFERROR(O1885/N1885,0)</f>
        <v/>
      </c>
      <c r="T1885" t="n">
        <v>0</v>
      </c>
      <c r="V1885" t="n">
        <v>0</v>
      </c>
    </row>
    <row r="1886">
      <c r="A1886">
        <f>Skills!A15</f>
        <v/>
      </c>
      <c r="B1886">
        <f>Skills!B15</f>
        <v/>
      </c>
      <c r="C1886">
        <f>Inputs!$B$3&gt;=75</f>
        <v/>
      </c>
      <c r="D1886">
        <f>IF(Skills!C15=1,60+Inputs!$B$25+Inputs!$B$29,IF(Skills!C15=2,90+Inputs!$B$26+Inputs!$B$29,IF(Skills!C15=3,120+Inputs!$B$27+Inputs!$B$29,MAX(0,(Inputs!$B$3-100)*3)+Inputs!$B$28+Inputs!$B$29)))</f>
        <v/>
      </c>
      <c r="E1886">
        <f>INDEX(FactorTable!$B$2:$Y$301, MATCH(ROUND(MIN(300,MAX(1,D1886)),0), FactorTable!$A$2:$A$301,0), Skills!M15+1)</f>
        <v/>
      </c>
      <c r="F1886">
        <f>IF(Skills!N15=TRUE,(Skills!L15/10)*(E1886/1000),Skills!L15/10)+Skills!O15</f>
        <v/>
      </c>
      <c r="G1886">
        <f>Skills!G15*IF(Skills!H15&gt;0,Skills!I15/Skills!H15,1)</f>
        <v/>
      </c>
      <c r="H1886">
        <f>1-(1-Skills!J15/100)^Skills!K15</f>
        <v/>
      </c>
      <c r="I1886" t="inlineStr">
        <is>
          <t>1</t>
        </is>
      </c>
      <c r="J1886" t="inlineStr"/>
      <c r="K1886" t="inlineStr"/>
      <c r="L1886" t="inlineStr"/>
      <c r="M1886" t="inlineStr"/>
      <c r="N1886" t="inlineStr"/>
      <c r="O1886">
        <f>(1-Summary!$B$11)*T1886+Summary!$B$11*V1886</f>
        <v/>
      </c>
      <c r="P1886">
        <f>IF(B1908=0,0,O1886/B1908)</f>
        <v/>
      </c>
      <c r="Q1886">
        <f>IFERROR(1/(IF(Inputs!$B$38="pvp",15,MAX(0.1,Skills!D15-IF(Skills!E15=TRUE,Inputs!$B$32,0)))*(1-IF(AND(ArtifactsInput!$M$27,Inputs!$B$4="Chapter Hunt"),CHOOSE(ArtifactsInput!$N$27+1,20,24,28,32,36,40),0)/100)),0)</f>
        <v/>
      </c>
      <c r="R1886">
        <f>IF(AND(Inputs!$B$38&lt;&gt;"pvp",Inputs!$B$43&gt;0),IF(Inputs!$B$43&lt;=0,0,(INT(Inputs!$B$43/(IF(Inputs!$B$38="pvp",15,MAX(0.1,Skills!D15-IF(Skills!E15=TRUE,Inputs!$B$32,0)))*(1-IF(AND(ArtifactsInput!$M$27,Inputs!$B$4="Chapter Hunt"),CHOOSE(ArtifactsInput!$N$27+1,20,24,28,32,36,40),0)/100)))+1)),0)</f>
        <v/>
      </c>
      <c r="S1886">
        <f>IFERROR(O1886/N1886,0)</f>
        <v/>
      </c>
      <c r="T1886" t="n">
        <v>0</v>
      </c>
      <c r="V1886" t="n">
        <v>0</v>
      </c>
    </row>
    <row r="1887">
      <c r="A1887">
        <f>Skills!A16</f>
        <v/>
      </c>
      <c r="B1887">
        <f>Skills!B16</f>
        <v/>
      </c>
      <c r="C1887">
        <f>Inputs!$B$3&gt;=105</f>
        <v/>
      </c>
      <c r="D1887">
        <f>IF(Skills!C16=1,60+Inputs!$B$25+Inputs!$B$29,IF(Skills!C16=2,90+Inputs!$B$26+Inputs!$B$29,IF(Skills!C16=3,120+Inputs!$B$27+Inputs!$B$29,MAX(0,(Inputs!$B$3-100)*3)+Inputs!$B$28+Inputs!$B$29)))</f>
        <v/>
      </c>
      <c r="E1887">
        <f>INDEX(FactorTable!$B$2:$Y$301, MATCH(ROUND(MIN(300,MAX(1,D1887)),0), FactorTable!$A$2:$A$301,0), Skills!M16+1)</f>
        <v/>
      </c>
      <c r="F1887">
        <f>IF(Skills!N16=TRUE,(Skills!L16/10)*(E1887/1000),Skills!L16/10)+Skills!O16</f>
        <v/>
      </c>
      <c r="G1887">
        <f>Skills!G16*IF(Skills!H16&gt;0,Skills!I16/Skills!H16,1)</f>
        <v/>
      </c>
      <c r="H1887">
        <f>1-(1-Skills!J16/100)^Skills!K16</f>
        <v/>
      </c>
      <c r="I1887" t="inlineStr">
        <is>
          <t>1</t>
        </is>
      </c>
      <c r="J1887" t="inlineStr"/>
      <c r="K1887" t="inlineStr"/>
      <c r="L1887" t="inlineStr"/>
      <c r="M1887" t="inlineStr"/>
      <c r="N1887" t="inlineStr"/>
      <c r="O1887">
        <f>(1-Summary!$B$11)*T1887+Summary!$B$11*V1887</f>
        <v/>
      </c>
      <c r="P1887">
        <f>IF(B1908=0,0,O1887/B1908)</f>
        <v/>
      </c>
      <c r="Q1887">
        <f>IFERROR(1/(IF(Inputs!$B$38="pvp",15,MAX(0.1,Skills!D16-IF(Skills!E16=TRUE,Inputs!$B$32,0)))*(1-IF(AND(ArtifactsInput!$M$27,Inputs!$B$4="Chapter Hunt"),CHOOSE(ArtifactsInput!$N$27+1,20,24,28,32,36,40),0)/100)),0)</f>
        <v/>
      </c>
      <c r="R1887">
        <f>IF(AND(Inputs!$B$38&lt;&gt;"pvp",Inputs!$B$43&gt;0),IF(Inputs!$B$43&lt;=0,0,(INT(Inputs!$B$43/(IF(Inputs!$B$38="pvp",15,MAX(0.1,Skills!D16-IF(Skills!E16=TRUE,Inputs!$B$32,0)))*(1-IF(AND(ArtifactsInput!$M$27,Inputs!$B$4="Chapter Hunt"),CHOOSE(ArtifactsInput!$N$27+1,20,24,28,32,36,40),0)/100)))+1)),0)</f>
        <v/>
      </c>
      <c r="S1887">
        <f>IFERROR(O1887/N1887,0)</f>
        <v/>
      </c>
      <c r="T1887" t="n">
        <v>0</v>
      </c>
      <c r="V1887" t="n">
        <v>0</v>
      </c>
    </row>
    <row r="1888">
      <c r="A1888">
        <f>Skills!A17</f>
        <v/>
      </c>
      <c r="B1888">
        <f>Skills!B17</f>
        <v/>
      </c>
      <c r="C1888">
        <f>Inputs!$B$3&gt;=115</f>
        <v/>
      </c>
      <c r="D1888">
        <f>IF(Skills!C17=1,60+Inputs!$B$25+Inputs!$B$29,IF(Skills!C17=2,90+Inputs!$B$26+Inputs!$B$29,IF(Skills!C17=3,120+Inputs!$B$27+Inputs!$B$29,MAX(0,(Inputs!$B$3-100)*3)+Inputs!$B$28+Inputs!$B$29)))</f>
        <v/>
      </c>
      <c r="E1888">
        <f>INDEX(FactorTable!$B$2:$Y$301, MATCH(ROUND(MIN(300,MAX(1,D1888)),0), FactorTable!$A$2:$A$301,0), Skills!M17+1)</f>
        <v/>
      </c>
      <c r="F1888">
        <f>IF(Skills!N17=TRUE,(Skills!L17/10)*(E1888/1000),Skills!L17/10)+Skills!O17</f>
        <v/>
      </c>
      <c r="G1888">
        <f>Skills!G17*IF(Skills!H17&gt;0,Skills!I17/Skills!H17,1)</f>
        <v/>
      </c>
      <c r="H1888">
        <f>1-(1-Skills!J17/100)^Skills!K17</f>
        <v/>
      </c>
      <c r="I1888" t="inlineStr">
        <is>
          <t>1</t>
        </is>
      </c>
      <c r="J1888" t="inlineStr"/>
      <c r="K1888" t="inlineStr"/>
      <c r="L1888" t="inlineStr"/>
      <c r="M1888" t="inlineStr"/>
      <c r="N1888" t="inlineStr"/>
      <c r="O1888">
        <f>(1-Summary!$B$11)*T1888+Summary!$B$11*V1888</f>
        <v/>
      </c>
      <c r="P1888">
        <f>IF(B1908=0,0,O1888/B1908)</f>
        <v/>
      </c>
      <c r="Q1888">
        <f>IFERROR(1/(IF(Inputs!$B$38="pvp",15,MAX(0.1,Skills!D17-IF(Skills!E17=TRUE,Inputs!$B$32,0)))*(1-IF(AND(ArtifactsInput!$M$27,Inputs!$B$4="Chapter Hunt"),CHOOSE(ArtifactsInput!$N$27+1,20,24,28,32,36,40),0)/100)),0)</f>
        <v/>
      </c>
      <c r="R1888">
        <f>IF(AND(Inputs!$B$38&lt;&gt;"pvp",Inputs!$B$43&gt;0),IF(Inputs!$B$43&lt;=0,0,(INT(Inputs!$B$43/(IF(Inputs!$B$38="pvp",15,MAX(0.1,Skills!D17-IF(Skills!E17=TRUE,Inputs!$B$32,0)))*(1-IF(AND(ArtifactsInput!$M$27,Inputs!$B$4="Chapter Hunt"),CHOOSE(ArtifactsInput!$N$27+1,20,24,28,32,36,40),0)/100)))+1)),0)</f>
        <v/>
      </c>
      <c r="S1888">
        <f>IFERROR(O1888/N1888,0)</f>
        <v/>
      </c>
      <c r="T1888" t="n">
        <v>0</v>
      </c>
      <c r="V1888" t="n">
        <v>0</v>
      </c>
    </row>
    <row r="1889">
      <c r="A1889">
        <f>Skills!A18</f>
        <v/>
      </c>
      <c r="B1889">
        <f>Skills!B18</f>
        <v/>
      </c>
      <c r="C1889">
        <f>Inputs!$B$3&gt;=74</f>
        <v/>
      </c>
      <c r="D1889">
        <f>IF(Skills!C18=1,60+Inputs!$B$25+Inputs!$B$29,IF(Skills!C18=2,90+Inputs!$B$26+Inputs!$B$29,IF(Skills!C18=3,120+Inputs!$B$27+Inputs!$B$29,MAX(0,(Inputs!$B$3-100)*3)+Inputs!$B$28+Inputs!$B$29)))</f>
        <v/>
      </c>
      <c r="E1889">
        <f>INDEX(FactorTable!$B$2:$Y$301, MATCH(ROUND(MIN(300,MAX(1,D1889)),0), FactorTable!$A$2:$A$301,0), Skills!M18+1)</f>
        <v/>
      </c>
      <c r="F1889">
        <f>IF(Skills!N18=TRUE,(Skills!L18/10)*(E1889/1000),Skills!L18/10)+Skills!O18</f>
        <v/>
      </c>
      <c r="G1889">
        <f>Skills!G18*IF(Skills!H18&gt;0,Skills!I18/Skills!H18,1)</f>
        <v/>
      </c>
      <c r="H1889">
        <f>1-(1-Skills!J18/100)^Skills!K18</f>
        <v/>
      </c>
      <c r="I1889" t="inlineStr">
        <is>
          <t>1</t>
        </is>
      </c>
      <c r="J1889" t="inlineStr"/>
      <c r="K1889" t="inlineStr"/>
      <c r="L1889" t="inlineStr"/>
      <c r="M1889" t="inlineStr"/>
      <c r="N1889" t="inlineStr"/>
      <c r="O1889">
        <f>(1-Summary!$B$11)*T1889+Summary!$B$11*V1889</f>
        <v/>
      </c>
      <c r="P1889">
        <f>IF(B1908=0,0,O1889/B1908)</f>
        <v/>
      </c>
      <c r="Q1889">
        <f>IFERROR(1/(IF(Inputs!$B$38="pvp",15,MAX(0.1,Skills!D18-IF(Skills!E18=TRUE,Inputs!$B$32,0)))*(1-IF(AND(ArtifactsInput!$M$27,Inputs!$B$4="Chapter Hunt"),CHOOSE(ArtifactsInput!$N$27+1,20,24,28,32,36,40),0)/100)),0)</f>
        <v/>
      </c>
      <c r="R1889">
        <f>IF(AND(Inputs!$B$38&lt;&gt;"pvp",Inputs!$B$43&gt;0),IF(Inputs!$B$43&lt;=0,0,(INT(Inputs!$B$43/(IF(Inputs!$B$38="pvp",15,MAX(0.1,Skills!D18-IF(Skills!E18=TRUE,Inputs!$B$32,0)))*(1-IF(AND(ArtifactsInput!$M$27,Inputs!$B$4="Chapter Hunt"),CHOOSE(ArtifactsInput!$N$27+1,20,24,28,32,36,40),0)/100)))+1)),0)</f>
        <v/>
      </c>
      <c r="S1889">
        <f>IFERROR(O1889/N1889,0)</f>
        <v/>
      </c>
      <c r="T1889" t="n">
        <v>0</v>
      </c>
      <c r="V1889" t="n">
        <v>0</v>
      </c>
    </row>
    <row r="1890">
      <c r="A1890">
        <f>Skills!A19</f>
        <v/>
      </c>
      <c r="B1890">
        <f>Skills!B19</f>
        <v/>
      </c>
      <c r="C1890">
        <f>TRUE</f>
        <v/>
      </c>
      <c r="D1890">
        <f>IF(Skills!C19=1,60+Inputs!$B$25+Inputs!$B$29,IF(Skills!C19=2,90+Inputs!$B$26+Inputs!$B$29,IF(Skills!C19=3,120+Inputs!$B$27+Inputs!$B$29,MAX(0,(Inputs!$B$3-100)*3)+Inputs!$B$28+Inputs!$B$29)))</f>
        <v/>
      </c>
      <c r="E1890">
        <f>INDEX(FactorTable!$B$2:$Y$301, MATCH(ROUND(MIN(300,MAX(1,D1890)),0), FactorTable!$A$2:$A$301,0), Skills!M19+1)</f>
        <v/>
      </c>
      <c r="F1890">
        <f>IF(Skills!N19=TRUE,(Skills!L19/10)*(E1890/1000),Skills!L19/10)+Skills!O19</f>
        <v/>
      </c>
      <c r="G1890">
        <f>Skills!G19*IF(Skills!H19&gt;0,Skills!I19/Skills!H19,1)</f>
        <v/>
      </c>
      <c r="H1890">
        <f>1-(1-Skills!J19/100)^Skills!K19</f>
        <v/>
      </c>
      <c r="I1890" t="inlineStr">
        <is>
          <t>1</t>
        </is>
      </c>
      <c r="J1890" t="inlineStr"/>
      <c r="K1890" t="inlineStr"/>
      <c r="L1890" t="inlineStr"/>
      <c r="M1890" t="inlineStr"/>
      <c r="N1890" t="inlineStr"/>
      <c r="O1890">
        <f>(1-Summary!$B$11)*T1890+Summary!$B$11*V1890</f>
        <v/>
      </c>
      <c r="P1890">
        <f>IF(B1908=0,0,O1890/B1908)</f>
        <v/>
      </c>
      <c r="Q1890">
        <f>IFERROR(1/(IF(Inputs!$B$38="pvp",15,MAX(0.1,Skills!D19-IF(Skills!E19=TRUE,Inputs!$B$32,0)))*(1-IF(AND(ArtifactsInput!$M$27,Inputs!$B$4="Chapter Hunt"),CHOOSE(ArtifactsInput!$N$27+1,20,24,28,32,36,40),0)/100)),0)</f>
        <v/>
      </c>
      <c r="R1890">
        <f>IF(AND(Inputs!$B$38&lt;&gt;"pvp",Inputs!$B$43&gt;0),IF(Inputs!$B$43&lt;=0,0,(INT(Inputs!$B$43/(IF(Inputs!$B$38="pvp",15,MAX(0.1,Skills!D19-IF(Skills!E19=TRUE,Inputs!$B$32,0)))*(1-IF(AND(ArtifactsInput!$M$27,Inputs!$B$4="Chapter Hunt"),CHOOSE(ArtifactsInput!$N$27+1,20,24,28,32,36,40),0)/100)))+1)),0)</f>
        <v/>
      </c>
      <c r="S1890">
        <f>IFERROR(O1890/N1890,0)</f>
        <v/>
      </c>
      <c r="T1890" t="n">
        <v>0</v>
      </c>
      <c r="V1890" t="n">
        <v>0</v>
      </c>
    </row>
    <row r="1891">
      <c r="A1891">
        <f>Skills!A20</f>
        <v/>
      </c>
      <c r="B1891">
        <f>Skills!B20</f>
        <v/>
      </c>
      <c r="C1891">
        <f>Inputs!$B$3&gt;=33</f>
        <v/>
      </c>
      <c r="D1891">
        <f>IF(Skills!C20=1,60+Inputs!$B$25+Inputs!$B$29,IF(Skills!C20=2,90+Inputs!$B$26+Inputs!$B$29,IF(Skills!C20=3,120+Inputs!$B$27+Inputs!$B$29,MAX(0,(Inputs!$B$3-100)*3)+Inputs!$B$28+Inputs!$B$29)))</f>
        <v/>
      </c>
      <c r="E1891">
        <f>INDEX(FactorTable!$B$2:$Y$301, MATCH(ROUND(MIN(300,MAX(1,D1891)),0), FactorTable!$A$2:$A$301,0), Skills!M20+1)</f>
        <v/>
      </c>
      <c r="F1891">
        <f>IF(Skills!N20=TRUE,(Skills!L20/10)*(E1891/1000),Skills!L20/10)+Skills!O20</f>
        <v/>
      </c>
      <c r="G1891">
        <f>Skills!G20*IF(Skills!H20&gt;0,Skills!I20/Skills!H20,1)</f>
        <v/>
      </c>
      <c r="H1891">
        <f>1-(1-Skills!J20/100)^Skills!K20</f>
        <v/>
      </c>
      <c r="I1891" t="inlineStr">
        <is>
          <t>1</t>
        </is>
      </c>
      <c r="J1891" t="inlineStr"/>
      <c r="K1891" t="inlineStr"/>
      <c r="L1891" t="inlineStr"/>
      <c r="M1891" t="inlineStr"/>
      <c r="N1891" t="inlineStr"/>
      <c r="O1891">
        <f>(1-Summary!$B$11)*T1891+Summary!$B$11*V1891</f>
        <v/>
      </c>
      <c r="P1891">
        <f>IF(B1908=0,0,O1891/B1908)</f>
        <v/>
      </c>
      <c r="Q1891" t="n">
        <v>0</v>
      </c>
      <c r="R1891" t="n">
        <v>0</v>
      </c>
      <c r="S1891">
        <f>IFERROR(O1891/N1891,0)</f>
        <v/>
      </c>
      <c r="T1891" t="n">
        <v>0</v>
      </c>
      <c r="V1891" t="n">
        <v>0</v>
      </c>
    </row>
    <row r="1892">
      <c r="A1892">
        <f>Skills!A21</f>
        <v/>
      </c>
      <c r="B1892">
        <f>Skills!B21</f>
        <v/>
      </c>
      <c r="C1892">
        <f>Inputs!$B$3&gt;=38</f>
        <v/>
      </c>
      <c r="D1892">
        <f>IF(Skills!C21=1,60+Inputs!$B$25+Inputs!$B$29,IF(Skills!C21=2,90+Inputs!$B$26+Inputs!$B$29,IF(Skills!C21=3,120+Inputs!$B$27+Inputs!$B$29,MAX(0,(Inputs!$B$3-100)*3)+Inputs!$B$28+Inputs!$B$29)))</f>
        <v/>
      </c>
      <c r="E1892">
        <f>INDEX(FactorTable!$B$2:$Y$301, MATCH(ROUND(MIN(300,MAX(1,D1892)),0), FactorTable!$A$2:$A$301,0), Skills!M21+1)</f>
        <v/>
      </c>
      <c r="F1892">
        <f>IF(Skills!N21=TRUE,(Skills!L21/10)*(E1892/1000),Skills!L21/10)+Skills!O21</f>
        <v/>
      </c>
      <c r="G1892">
        <f>Skills!G21*IF(Skills!H21&gt;0,Skills!I21/Skills!H21,1)</f>
        <v/>
      </c>
      <c r="H1892">
        <f>1-(1-Skills!J21/100)^Skills!K21</f>
        <v/>
      </c>
      <c r="I1892" t="inlineStr">
        <is>
          <t>1</t>
        </is>
      </c>
      <c r="J1892" t="inlineStr"/>
      <c r="K1892" t="inlineStr"/>
      <c r="L1892" t="inlineStr"/>
      <c r="M1892" t="inlineStr"/>
      <c r="N1892" t="inlineStr"/>
      <c r="O1892">
        <f>(1-Summary!$B$11)*T1892+Summary!$B$11*V1892</f>
        <v/>
      </c>
      <c r="P1892">
        <f>IF(B1908=0,0,O1892/B1908)</f>
        <v/>
      </c>
      <c r="Q1892" t="n">
        <v>0</v>
      </c>
      <c r="R1892" t="n">
        <v>0</v>
      </c>
      <c r="S1892">
        <f>IFERROR(O1892/N1892,0)</f>
        <v/>
      </c>
      <c r="T1892" t="n">
        <v>0</v>
      </c>
      <c r="V1892" t="n">
        <v>0</v>
      </c>
    </row>
    <row r="1893">
      <c r="A1893">
        <f>Skills!A22</f>
        <v/>
      </c>
      <c r="B1893">
        <f>Skills!B22</f>
        <v/>
      </c>
      <c r="C1893">
        <f>Inputs!$B$3&gt;=43</f>
        <v/>
      </c>
      <c r="D1893">
        <f>IF(Skills!C22=1,60+Inputs!$B$25+Inputs!$B$29,IF(Skills!C22=2,90+Inputs!$B$26+Inputs!$B$29,IF(Skills!C22=3,120+Inputs!$B$27+Inputs!$B$29,MAX(0,(Inputs!$B$3-100)*3)+Inputs!$B$28+Inputs!$B$29)))</f>
        <v/>
      </c>
      <c r="E1893">
        <f>INDEX(FactorTable!$B$2:$Y$301, MATCH(ROUND(MIN(300,MAX(1,D1893)),0), FactorTable!$A$2:$A$301,0), Skills!M22+1)</f>
        <v/>
      </c>
      <c r="F1893">
        <f>IF(Skills!N22=TRUE,(Skills!L22/10)*(E1893/1000),Skills!L22/10)+Skills!O22</f>
        <v/>
      </c>
      <c r="G1893">
        <f>Skills!G22*IF(Skills!H22&gt;0,Skills!I22/Skills!H22,1)</f>
        <v/>
      </c>
      <c r="H1893">
        <f>1-(1-Skills!J22/100)^Skills!K22</f>
        <v/>
      </c>
      <c r="I1893" t="inlineStr">
        <is>
          <t>1</t>
        </is>
      </c>
      <c r="J1893" t="inlineStr"/>
      <c r="K1893" t="inlineStr"/>
      <c r="L1893" t="inlineStr"/>
      <c r="M1893" t="inlineStr"/>
      <c r="N1893" t="inlineStr"/>
      <c r="O1893">
        <f>(1-Summary!$B$11)*T1893+Summary!$B$11*V1893</f>
        <v/>
      </c>
      <c r="P1893">
        <f>IF(B1908=0,0,O1893/B1908)</f>
        <v/>
      </c>
      <c r="Q1893" t="n">
        <v>0</v>
      </c>
      <c r="R1893" t="n">
        <v>0</v>
      </c>
      <c r="S1893">
        <f>IFERROR(O1893/N1893,0)</f>
        <v/>
      </c>
      <c r="T1893" t="n">
        <v>0</v>
      </c>
      <c r="V1893" t="n">
        <v>0</v>
      </c>
    </row>
    <row r="1894">
      <c r="A1894">
        <f>Skills!A23</f>
        <v/>
      </c>
      <c r="B1894">
        <f>Skills!B23</f>
        <v/>
      </c>
      <c r="C1894">
        <f>Inputs!$B$3&gt;=120</f>
        <v/>
      </c>
      <c r="D1894">
        <f>IF(Skills!C23=1,60+Inputs!$B$25+Inputs!$B$29,IF(Skills!C23=2,90+Inputs!$B$26+Inputs!$B$29,IF(Skills!C23=3,120+Inputs!$B$27+Inputs!$B$29,MAX(0,(Inputs!$B$3-100)*3)+Inputs!$B$28+Inputs!$B$29)))</f>
        <v/>
      </c>
      <c r="E1894">
        <f>INDEX(FactorTable!$B$2:$Y$301, MATCH(ROUND(MIN(300,MAX(1,D1894)),0), FactorTable!$A$2:$A$301,0), Skills!M23+1)</f>
        <v/>
      </c>
      <c r="F1894">
        <f>IF(Skills!N23=TRUE,(Skills!L23/10)*(E1894/1000),Skills!L23/10)+Skills!O23</f>
        <v/>
      </c>
      <c r="G1894">
        <f>Skills!G23*IF(Skills!H23&gt;0,Skills!I23/Skills!H23,1)</f>
        <v/>
      </c>
      <c r="H1894">
        <f>1-(1-Skills!J23/100)^Skills!K23</f>
        <v/>
      </c>
      <c r="I1894" t="inlineStr">
        <is>
          <t>1</t>
        </is>
      </c>
      <c r="J1894" t="inlineStr"/>
      <c r="K1894" t="inlineStr"/>
      <c r="L1894" t="inlineStr"/>
      <c r="M1894" t="inlineStr"/>
      <c r="N1894" t="inlineStr"/>
      <c r="O1894">
        <f>(1-Summary!$B$11)*T1894+Summary!$B$11*V1894</f>
        <v/>
      </c>
      <c r="P1894">
        <f>IF(B1908=0,0,O1894/B1908)</f>
        <v/>
      </c>
      <c r="Q1894" t="n">
        <v>0</v>
      </c>
      <c r="R1894" t="n">
        <v>0</v>
      </c>
      <c r="S1894">
        <f>IFERROR(O1894/N1894,0)</f>
        <v/>
      </c>
      <c r="T1894" t="n">
        <v>0</v>
      </c>
      <c r="V1894" t="n">
        <v>0</v>
      </c>
    </row>
    <row r="1895">
      <c r="A1895">
        <f>Skills!A24</f>
        <v/>
      </c>
      <c r="B1895">
        <f>Skills!B24</f>
        <v/>
      </c>
      <c r="C1895">
        <f>Inputs!$B$3&gt;=120</f>
        <v/>
      </c>
      <c r="D1895">
        <f>IF(Skills!C24=1,60+Inputs!$B$25+Inputs!$B$29,IF(Skills!C24=2,90+Inputs!$B$26+Inputs!$B$29,IF(Skills!C24=3,120+Inputs!$B$27+Inputs!$B$29,MAX(0,(Inputs!$B$3-100)*3)+Inputs!$B$28+Inputs!$B$29)))</f>
        <v/>
      </c>
      <c r="E1895">
        <f>INDEX(FactorTable!$B$2:$Y$301, MATCH(ROUND(MIN(300,MAX(1,D1895)),0), FactorTable!$A$2:$A$301,0), Skills!M24+1)</f>
        <v/>
      </c>
      <c r="F1895">
        <f>IF(Skills!N24=TRUE,(Skills!L24/10)*(E1895/1000),Skills!L24/10)+Skills!O24</f>
        <v/>
      </c>
      <c r="G1895">
        <f>Skills!G24*IF(Skills!H24&gt;0,Skills!I24/Skills!H24,1)</f>
        <v/>
      </c>
      <c r="H1895">
        <f>1-(1-Skills!J24/100)^Skills!K24</f>
        <v/>
      </c>
      <c r="I1895" t="inlineStr">
        <is>
          <t>1</t>
        </is>
      </c>
      <c r="J1895" t="inlineStr"/>
      <c r="K1895" t="inlineStr"/>
      <c r="L1895" t="inlineStr"/>
      <c r="M1895" t="inlineStr"/>
      <c r="N1895" t="inlineStr"/>
      <c r="O1895">
        <f>(1-Summary!$B$11)*T1895+Summary!$B$11*V1895</f>
        <v/>
      </c>
      <c r="P1895">
        <f>IF(B1908=0,0,O1895/B1908)</f>
        <v/>
      </c>
      <c r="Q1895" t="n">
        <v>0</v>
      </c>
      <c r="R1895" t="n">
        <v>0</v>
      </c>
      <c r="S1895">
        <f>IFERROR(O1895/N1895,0)</f>
        <v/>
      </c>
      <c r="T1895" t="n">
        <v>0</v>
      </c>
      <c r="V1895" t="n">
        <v>0</v>
      </c>
    </row>
    <row r="1897">
      <c r="A1897" t="inlineStr">
        <is>
          <t>Attack% Bucket Multiplier</t>
        </is>
      </c>
      <c r="B1897">
        <f>(1+(((C1884=TRUE)*F1884*MIN(1,Skills!T13*(Skills!J13/100)*B1902))+((C1889=TRUE)*F1889*IF(AND(Inputs!$B$38&lt;&gt;"pvp",Inputs!$B$43&gt;0),(((R1889-1)*(Skills!T18*(1+Inputs!$B$34/100))+MIN((Skills!T18*(1+Inputs!$B$34/100)),MAX(0,Inputs!$B$43-((R1889-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98">
      <c r="A1898" t="inlineStr">
        <is>
          <t>Global Crit Rate Bonus %</t>
        </is>
      </c>
      <c r="B1898" t="n">
        <v>0</v>
      </c>
    </row>
    <row r="1899">
      <c r="A1899" t="inlineStr">
        <is>
          <t>Attack Speed Buff Bonus %</t>
        </is>
      </c>
      <c r="B1899">
        <f>((C1890=TRUE)*F1890*IF(AND(Inputs!$B$38&lt;&gt;"pvp",Inputs!$B$43&gt;0),(((R1890-1)*(Skills!T19*(1+Inputs!$B$34/100))+MIN((Skills!T19*(1+Inputs!$B$34/100)),MAX(0,Inputs!$B$43-((R1890-1)*Skills!D19))))/Inputs!$B$43),IF(Inputs!$B$38="pvp",MIN((Skills!T19*(1+Inputs!$B$34/100)),15)/15,(Skills!T19*(1+Inputs!$B$34/100))/Skills!D19)))</f>
        <v/>
      </c>
    </row>
    <row r="1900">
      <c r="A1900" t="inlineStr">
        <is>
          <t>Actions Per Second</t>
        </is>
      </c>
      <c r="B1900">
        <f>1+MIN(150,150*(1-(1-(Inputs!$B$11+((C1891=TRUE)*(F1891-Calc!F20)))/150)*(1-B1899/150)))/100</f>
        <v/>
      </c>
    </row>
    <row r="1901">
      <c r="A1901" t="inlineStr">
        <is>
          <t>Skill + Buff Cast Rate</t>
        </is>
      </c>
      <c r="B1901">
        <f>IF(AND(Inputs!$B$38&lt;&gt;"pvp",Inputs!$B$43&gt;0),SUMPRODUCT((Skills!E2:E24=TRUE)*(C1873:C1895=TRUE)*R1873:R1895*Skills!F2:F24)/Inputs!$B$43,SUMPRODUCT((Skills!E2:E24=TRUE)*(C1873:C1895=TRUE)*Q1873:Q1895*Skills!F2:F24))</f>
        <v/>
      </c>
    </row>
    <row r="1902">
      <c r="A1902" t="inlineStr">
        <is>
          <t>Blast Casts Per Second</t>
        </is>
      </c>
      <c r="B1902">
        <f>MAX(0,B1900-B1901)</f>
        <v/>
      </c>
    </row>
    <row r="1903">
      <c r="A1903" t="inlineStr">
        <is>
          <t>Global Critical Damage Bonus % (unused)</t>
        </is>
      </c>
      <c r="B1903" t="n">
        <v>0</v>
      </c>
    </row>
    <row r="1904">
      <c r="A1904" t="inlineStr">
        <is>
          <t>Global Final Damage Bonus % (Divine Shield + Guardian + Divine Blessing + Greater Vessel of Light)</t>
        </is>
      </c>
      <c r="B1904">
        <f>((C1886=TRUE)*F1886*IF(AND(Inputs!$B$38&lt;&gt;"pvp",Inputs!$B$43&gt;0),(((R1886-1)*(Skills!T15*(1+Inputs!$B$34/100))+MIN((Skills!T15*(1+Inputs!$B$34/100)),MAX(0,Inputs!$B$43-((R1886-1)*Skills!D15))))/Inputs!$B$43),IF(Inputs!$B$38="pvp",MIN((Skills!T15*(1+Inputs!$B$34/100)),15)/15,(Skills!T15*(1+Inputs!$B$34/100))/Skills!D15)))+((C1887=TRUE)*F1887*IF(AND(Inputs!$B$38&lt;&gt;"pvp",Inputs!$B$43&gt;0),(((R1887-1)*(Skills!T16*(1+Inputs!$B$34/100))+MIN((Skills!T16*(1+Inputs!$B$34/100)),MAX(0,Inputs!$B$43-((R1887-1)*Skills!D16))))/Inputs!$B$43),IF(Inputs!$B$38="pvp",MIN((Skills!T16*(1+Inputs!$B$34/100)),15)/15,(Skills!T16*(1+Inputs!$B$34/100))/Skills!D16)))+((C1888=TRUE)*F1888*IF(AND(Inputs!$B$38&lt;&gt;"pvp",Inputs!$B$43&gt;0),(((R1888-1)*(Skills!T17*(1+Inputs!$B$34/100))+MIN((Skills!T17*(1+Inputs!$B$34/100)),MAX(0,Inputs!$B$43-((R1888-1)*Skills!D17))))/Inputs!$B$43),IF(Inputs!$B$38="pvp",MIN((Skills!T17*(1+Inputs!$B$34/100)),15)/15,(Skills!T17*(1+Inputs!$B$34/100))/Skills!D17)))+((C1885=TRUE)*F1885*MIN(1,Skills!T13*(Skills!J13/100)*B1902))</f>
        <v/>
      </c>
    </row>
    <row r="1905">
      <c r="A1905" t="inlineStr">
        <is>
          <t>Buff-Casting Startup Delay (s, fixed-duration only)</t>
        </is>
      </c>
      <c r="B1905">
        <f>IF(AND(Inputs!$B$38&lt;&gt;"pvp",Inputs!$B$43&gt;0),SUMPRODUCT((Skills!T2:T24&gt;0)*(Skills!E2:E24=TRUE)*(C1873:C1895=TRUE))/B1900,0)</f>
        <v/>
      </c>
    </row>
    <row r="1906">
      <c r="A1906" t="inlineStr">
        <is>
          <t>Boss-Only Total DPS (this block's swept value)</t>
        </is>
      </c>
      <c r="B1906">
        <f>SUM(T1873:T1895)</f>
        <v/>
      </c>
    </row>
    <row r="1907">
      <c r="A1907" t="inlineStr">
        <is>
          <t>Normal-Only Total DPS (this block's swept value)</t>
        </is>
      </c>
      <c r="B1907">
        <f>SUM(V1873:V1895)</f>
        <v/>
      </c>
    </row>
    <row r="1908">
      <c r="A1908" s="6" t="inlineStr">
        <is>
          <t>TOTAL DPS</t>
        </is>
      </c>
      <c r="B1908" s="6">
        <f>SUM(O1873:O1895)</f>
        <v/>
      </c>
    </row>
    <row r="1911">
      <c r="A1911" s="6" t="inlineStr">
        <is>
          <t>Stat: Soul Contract (Equip)</t>
        </is>
      </c>
    </row>
    <row r="1912">
      <c r="A1912" s="5" t="inlineStr">
        <is>
          <t>Key</t>
        </is>
      </c>
      <c r="B1912" s="5" t="inlineStr">
        <is>
          <t>Name</t>
        </is>
      </c>
      <c r="C1912" s="5" t="inlineStr">
        <is>
          <t>Unlocked</t>
        </is>
      </c>
      <c r="D1912" s="5" t="inlineStr">
        <is>
          <t>InputLevel</t>
        </is>
      </c>
      <c r="E1912" s="5" t="inlineStr">
        <is>
          <t>Factor</t>
        </is>
      </c>
      <c r="F1912" s="5" t="inlineStr">
        <is>
          <t>CoefficientPercent</t>
        </is>
      </c>
      <c r="G1912" s="5" t="inlineStr">
        <is>
          <t>EffectiveHits</t>
        </is>
      </c>
      <c r="H1912" s="5" t="inlineStr">
        <is>
          <t>ProcProbability</t>
        </is>
      </c>
      <c r="I1912" s="5" t="inlineStr">
        <is>
          <t>MapleHeroMultiplier</t>
        </is>
      </c>
      <c r="J1912" s="5" t="inlineStr">
        <is>
          <t>BaseDamage</t>
        </is>
      </c>
      <c r="K1912" s="5" t="inlineStr">
        <is>
          <t>BaseHitDamage</t>
        </is>
      </c>
      <c r="L1912" s="5" t="inlineStr">
        <is>
          <t>NonCritAvg</t>
        </is>
      </c>
      <c r="M1912" s="5" t="inlineStr">
        <is>
          <t>CritAvg</t>
        </is>
      </c>
      <c r="N1912" s="5" t="inlineStr">
        <is>
          <t>ExpectedDamage(perHit)</t>
        </is>
      </c>
      <c r="O1912" s="5" t="inlineStr">
        <is>
          <t>DPS</t>
        </is>
      </c>
      <c r="P1912" s="5" t="inlineStr">
        <is>
          <t>% of Total</t>
        </is>
      </c>
      <c r="Q1912" s="5" t="inlineStr">
        <is>
          <t>InvCooldown</t>
        </is>
      </c>
      <c r="R1912" s="5" t="inlineStr">
        <is>
          <t>CastsInFight</t>
        </is>
      </c>
      <c r="S1912" s="5" t="inlineStr">
        <is>
          <t>HitRate(perSec)</t>
        </is>
      </c>
      <c r="U1912" t="inlineStr">
        <is>
          <t>helpers</t>
        </is>
      </c>
    </row>
    <row r="1913">
      <c r="A1913">
        <f>Skills!A2</f>
        <v/>
      </c>
      <c r="B1913">
        <f>Skills!B2</f>
        <v/>
      </c>
      <c r="C1913">
        <f>Inputs!$B$3&gt;=100</f>
        <v/>
      </c>
      <c r="D1913" t="inlineStr"/>
      <c r="E1913" t="inlineStr"/>
      <c r="F1913">
        <f>U1915+Skills!O2</f>
        <v/>
      </c>
      <c r="G1913">
        <f>Skills!G2*IF(Skills!H2&gt;0,Skills!I2/Skills!H2,1)</f>
        <v/>
      </c>
      <c r="H1913">
        <f>1-(1-Skills!J2/100)^Skills!K2</f>
        <v/>
      </c>
      <c r="I1913" t="inlineStr">
        <is>
          <t>1</t>
        </is>
      </c>
      <c r="J1913">
        <f>((Inputs!$B$6*(1+Inputs!$B$7/100))+(((Inputs!$B$12*(1+Inputs!$B$13/100))-(Inputs!$B$12*(1+Inputs!$B$13/100)))+0.25*(Inputs!$B$14-Inputs!$B$14))*(1+Inputs!$B$7/100))*(F1913/100)</f>
        <v/>
      </c>
      <c r="K1913">
        <f>J1913*(1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1913)</f>
        <v/>
      </c>
      <c r="L1913">
        <f>K1913*(MIN(Inputs!$B$22+((C1933=TRUE)*(F1933-Calc!F22)),(Inputs!$B$23+((C1935=TRUE)*(F1935-Calc!F24))+(IF(ArtifactsInput!$M$15,CHOOSE(ArtifactsInput!$N$15+1,25,30,35,40,45,50)/100*(Inputs!$B$11-Inputs!$B$11),0))))/100+(Inputs!$B$23+((C1935=TRUE)*(F1935-Calc!F24))+(IF(ArtifactsInput!$M$15,CHOOSE(ArtifactsInput!$N$15+1,25,30,35,40,45,50)/100*(Inputs!$B$11-Inputs!$B$11),0)))/100)/2</f>
        <v/>
      </c>
      <c r="M1913">
        <f>L1913*(1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3">
        <f>L1913*(1-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1913*(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3">
        <f>(1-Summary!$B$11)*T1913+Summary!$B$11*V1913</f>
        <v/>
      </c>
      <c r="P1913">
        <f>IF(B1948=0,0,O1913/B1948)</f>
        <v/>
      </c>
      <c r="Q1913" t="n">
        <v>0</v>
      </c>
      <c r="R1913" t="n">
        <v>0</v>
      </c>
      <c r="S1913">
        <f>IFERROR(O1913/N1913,0)</f>
        <v/>
      </c>
      <c r="T1913">
        <f>IF(C1913,(Skills!G2*N1913*B1942)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1913*(1-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1913*(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1913*(1-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1913*(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3">
        <f>MAX(0,(Inputs!$B$3-100)*3)+Inputs!$B$28+Inputs!$B$29</f>
        <v/>
      </c>
      <c r="V1913">
        <f>IF(C1913,(Skills!G2*N1913*B1942)*IF(Inputs!$B$38="pvp",1,(1+(Inputs!$B$21+Skills!Q2+(IF(ArtifactsInput!$M$33,CHOOSE(ArtifactsInput!$N$33+1,30,36,42,48,54,60),0))+(IF(AND(ArtifactsInput!$M$35,Inputs!$B$4&lt;&gt;"Chapter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4">
      <c r="A1914">
        <f>Skills!A3</f>
        <v/>
      </c>
      <c r="B1914">
        <f>Skills!B3</f>
        <v/>
      </c>
      <c r="C1914">
        <f>Inputs!$B$3&gt;=50</f>
        <v/>
      </c>
      <c r="D1914">
        <f>IF(Skills!C3=1,60+Inputs!$B$25+Inputs!$B$29,IF(Skills!C3=2,90+Inputs!$B$26+Inputs!$B$29,IF(Skills!C3=3,120+Inputs!$B$27+Inputs!$B$29,MAX(0,(Inputs!$B$3-100)*3)+Inputs!$B$28+Inputs!$B$29)))</f>
        <v/>
      </c>
      <c r="E1914">
        <f>INDEX(FactorTable!$B$2:$Y$301, MATCH(ROUND(MIN(300,MAX(1,D1914)),0), FactorTable!$A$2:$A$301,0), Skills!M3+1)</f>
        <v/>
      </c>
      <c r="F1914">
        <f>IF(Skills!N3=TRUE,(Skills!L3/10)*(E1914/1000),Skills!L3/10)+Skills!O3</f>
        <v/>
      </c>
      <c r="G1914" t="inlineStr"/>
      <c r="H1914" t="inlineStr"/>
      <c r="I1914" t="inlineStr">
        <is>
          <t>1</t>
        </is>
      </c>
      <c r="J1914" t="inlineStr"/>
      <c r="K1914" t="inlineStr"/>
      <c r="L1914" t="inlineStr"/>
      <c r="M1914" t="inlineStr"/>
      <c r="N1914" t="inlineStr"/>
      <c r="O1914" t="inlineStr"/>
      <c r="P1914" t="inlineStr"/>
      <c r="Q1914" t="inlineStr"/>
      <c r="R1914" t="inlineStr"/>
      <c r="S1914" t="inlineStr"/>
      <c r="U1914">
        <f>INDEX(FactorTable!$B$2:$Y$301, MATCH(ROUND(MIN(300,MAX(1,U1913)),0), FactorTable!$A$2:$A$301,0), 22)</f>
        <v/>
      </c>
    </row>
    <row r="1915">
      <c r="A1915">
        <f>Skills!A4</f>
        <v/>
      </c>
      <c r="B1915">
        <f>Skills!B4</f>
        <v/>
      </c>
      <c r="C1915">
        <f>Inputs!$B$3&gt;=35</f>
        <v/>
      </c>
      <c r="D1915">
        <f>IF(Skills!C4=1,60+Inputs!$B$25+Inputs!$B$29,IF(Skills!C4=2,90+Inputs!$B$26+Inputs!$B$29,IF(Skills!C4=3,120+Inputs!$B$27+Inputs!$B$29,MAX(0,(Inputs!$B$3-100)*3)+Inputs!$B$28+Inputs!$B$29)))</f>
        <v/>
      </c>
      <c r="E1915">
        <f>INDEX(FactorTable!$B$2:$Y$301, MATCH(ROUND(MIN(300,MAX(1,D1915)),0), FactorTable!$A$2:$A$301,0), Skills!M4+1)</f>
        <v/>
      </c>
      <c r="F1915">
        <f>IF(Skills!N4=TRUE,(Skills!L4/10)*(E1915/1000),Skills!L4/10)+Skills!O4</f>
        <v/>
      </c>
      <c r="G1915">
        <f>Skills!G4*IF(Skills!H4&gt;0,Skills!I4/Skills!H4,1)</f>
        <v/>
      </c>
      <c r="H1915">
        <f>1-(1-Skills!J4/100)^Skills!K4</f>
        <v/>
      </c>
      <c r="I1915" t="inlineStr">
        <is>
          <t>1</t>
        </is>
      </c>
      <c r="J1915">
        <f>((Inputs!$B$6*(1+Inputs!$B$7/100))+(((Inputs!$B$12*(1+Inputs!$B$13/100))-(Inputs!$B$12*(1+Inputs!$B$13/100)))+0.25*(Inputs!$B$14-Inputs!$B$14))*(1+Inputs!$B$7/100))*(F1915/100)</f>
        <v/>
      </c>
      <c r="K1915">
        <f>J1915*(1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1923=TRUE,F1923,0)/100)*(1+(IF(Skills!A4="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1915)</f>
        <v/>
      </c>
      <c r="L1915">
        <f>K1915*(MIN(Inputs!$B$22+((C1933=TRUE)*(F1933-Calc!F22)),(Inputs!$B$23+((C1935=TRUE)*(F1935-Calc!F24))+(IF(ArtifactsInput!$M$15,CHOOSE(ArtifactsInput!$N$15+1,25,30,35,40,45,50)/100*(Inputs!$B$11-Inputs!$B$11),0))))/100+(Inputs!$B$23+((C1935=TRUE)*(F1935-Calc!F24))+(IF(ArtifactsInput!$M$15,CHOOSE(ArtifactsInput!$N$15+1,25,30,35,40,45,50)/100*(Inputs!$B$11-Inputs!$B$11),0)))/100)/2</f>
        <v/>
      </c>
      <c r="M1915">
        <f>L1915*(1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5">
        <f>L1915*(1-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1915*(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5">
        <f>(1-Summary!$B$11)*T1915+Summary!$B$11*V1915</f>
        <v/>
      </c>
      <c r="P1915">
        <f>IF(B1948=0,0,O1915/B1948)</f>
        <v/>
      </c>
      <c r="Q1915">
        <f>IFERROR(1/(IF(Inputs!$B$38="pvp",15,MAX(0.1,Skills!D4-IF(Skills!E4=TRUE,Inputs!$B$32,0)))*(1-IF(AND(IF(ArtifactsInput!$M$27,FALSE,TRUE),Inputs!$B$4="Chapter Hunt"),CHOOSE(ArtifactsInput!$N$27+1,20,24,28,32,36,40),0)/100)),0)</f>
        <v/>
      </c>
      <c r="R1915">
        <f>IF(AND(Inputs!$B$38&lt;&gt;"pvp",Inputs!$B$43&gt;0),IF(MAX(0,Inputs!$B$43-B1945)&lt;=0,0,(INT(MAX(0,Inputs!$B$43-B1945)/(IF(Inputs!$B$38="pvp",15,MAX(0.1,Skills!D4-IF(Skills!E4=TRUE,Inputs!$B$32,0)))*(1-IF(AND(IF(ArtifactsInput!$M$27,FALSE,TRUE),Inputs!$B$4="Chapter Hunt"),CHOOSE(ArtifactsInput!$N$27+1,20,24,28,32,36,40),0)/100)))+1)),0)</f>
        <v/>
      </c>
      <c r="S1915">
        <f>IFERROR(O1915/N1915,0)</f>
        <v/>
      </c>
      <c r="T1915">
        <f>IF(C1915,(H1915*N1915*IF(AND(Inputs!$B$38&lt;&gt;"pvp",Inputs!$B$43&gt;0),((Skills!G4*((R1915-1)*IF(Skills!H4&gt;0,Skills!I4/Skills!H4,1)+IF(Skills!H4&gt;0,MIN(Skills!I4,MAX(0,MAX(0,Inputs!$B$43-B1945)-((R1915-1)*(IF(Inputs!$B$38="pvp",15,MAX(0.1,Skills!D4-IF(Skills!E4=TRUE,Inputs!$B$32,0)))*(1-IF(AND(IF(ArtifactsInput!$M$27,FALSE,TRUE),Inputs!$B$4="Chapter Hunt"),CHOOSE(ArtifactsInput!$N$27+1,20,24,28,32,36,40),0)/100)))))/Skills!H4,1)))/Inputs!$B$43),G1915*Q1915)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1915*(1-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1915*(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1915*(1-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1915*(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5">
        <f>290*U1914/1000</f>
        <v/>
      </c>
      <c r="V1915">
        <f>IF(C1915,(H1915*N1915*IF(AND(Inputs!$B$38&lt;&gt;"pvp",Inputs!$B$43&gt;0),((Skills!G4*((R1915-1)*IF(Skills!H4&gt;0,Skills!I4/Skills!H4,1)+IF(Skills!H4&gt;0,MIN(Skills!I4,MAX(0,MAX(0,Inputs!$B$43-B1945)-((R1915-1)*(IF(Inputs!$B$38="pvp",15,MAX(0.1,Skills!D4-IF(Skills!E4=TRUE,Inputs!$B$32,0)))*(1-IF(AND(IF(ArtifactsInput!$M$27,FALSE,TRUE),Inputs!$B$4="Chapter Hunt"),CHOOSE(ArtifactsInput!$N$27+1,20,24,28,32,36,40),0)/100)))))/Skills!H4,1)))/Inputs!$B$43),G1915*Q1915))*IF(Inputs!$B$38="pvp",1,(1+(Inputs!$B$21+Skills!Q4+(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6">
      <c r="A1916">
        <f>Skills!A5</f>
        <v/>
      </c>
      <c r="B1916">
        <f>Skills!B5</f>
        <v/>
      </c>
      <c r="C1916">
        <f>Inputs!$B$3&gt;=66</f>
        <v/>
      </c>
      <c r="D1916">
        <f>IF(Skills!C5=1,60+Inputs!$B$25+Inputs!$B$29,IF(Skills!C5=2,90+Inputs!$B$26+Inputs!$B$29,IF(Skills!C5=3,120+Inputs!$B$27+Inputs!$B$29,MAX(0,(Inputs!$B$3-100)*3)+Inputs!$B$28+Inputs!$B$29)))</f>
        <v/>
      </c>
      <c r="E1916">
        <f>INDEX(FactorTable!$B$2:$Y$301, MATCH(ROUND(MIN(300,MAX(1,D1916)),0), FactorTable!$A$2:$A$301,0), Skills!M5+1)</f>
        <v/>
      </c>
      <c r="F1916">
        <f>IF(Skills!N5=TRUE,(Skills!L5/10)*(E1916/1000),Skills!L5/10)+Skills!O5</f>
        <v/>
      </c>
      <c r="G1916">
        <f>Skills!G5*IF(Skills!H5&gt;0,Skills!I5/Skills!H5,1)</f>
        <v/>
      </c>
      <c r="H1916">
        <f>1-(1-Skills!J5/100)^Skills!K5</f>
        <v/>
      </c>
      <c r="I1916" t="inlineStr">
        <is>
          <t>1</t>
        </is>
      </c>
      <c r="J1916">
        <f>((Inputs!$B$6*(1+Inputs!$B$7/100))+(((Inputs!$B$12*(1+Inputs!$B$13/100))-(Inputs!$B$12*(1+Inputs!$B$13/100)))+0.25*(Inputs!$B$14-Inputs!$B$14))*(1+Inputs!$B$7/100))*(F1916/100)</f>
        <v/>
      </c>
      <c r="K1916">
        <f>J1916*(1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1923=TRUE,F1923,0)/100)*(1+(IF(Skills!A5="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1916)</f>
        <v/>
      </c>
      <c r="L1916">
        <f>K1916*(MIN(Inputs!$B$22+((C1933=TRUE)*(F1933-Calc!F22)),(Inputs!$B$23+((C1935=TRUE)*(F1935-Calc!F24))+(IF(ArtifactsInput!$M$15,CHOOSE(ArtifactsInput!$N$15+1,25,30,35,40,45,50)/100*(Inputs!$B$11-Inputs!$B$11),0))))/100+(Inputs!$B$23+((C1935=TRUE)*(F1935-Calc!F24))+(IF(ArtifactsInput!$M$15,CHOOSE(ArtifactsInput!$N$15+1,25,30,35,40,45,50)/100*(Inputs!$B$11-Inputs!$B$11),0)))/100)/2</f>
        <v/>
      </c>
      <c r="M1916">
        <f>L1916*(1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6">
        <f>L1916*(1-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1916*(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6">
        <f>(1-Summary!$B$11)*T1916+Summary!$B$11*V1916</f>
        <v/>
      </c>
      <c r="P1916">
        <f>IF(B1948=0,0,O1916/B1948)</f>
        <v/>
      </c>
      <c r="Q1916">
        <f>IFERROR(1/(IF(Inputs!$B$38="pvp",15,MAX(0.1,Skills!D5-IF(Skills!E5=TRUE,Inputs!$B$32,0)))*(1-IF(AND(IF(ArtifactsInput!$M$27,FALSE,TRUE),Inputs!$B$4="Chapter Hunt"),CHOOSE(ArtifactsInput!$N$27+1,20,24,28,32,36,40),0)/100)),0)</f>
        <v/>
      </c>
      <c r="R1916">
        <f>IF(AND(Inputs!$B$38&lt;&gt;"pvp",Inputs!$B$43&gt;0),IF(MAX(0,Inputs!$B$43-B1945)&lt;=0,0,(INT(MAX(0,Inputs!$B$43-B1945)/(IF(Inputs!$B$38="pvp",15,MAX(0.1,Skills!D5-IF(Skills!E5=TRUE,Inputs!$B$32,0)))*(1-IF(AND(IF(ArtifactsInput!$M$27,FALSE,TRUE),Inputs!$B$4="Chapter Hunt"),CHOOSE(ArtifactsInput!$N$27+1,20,24,28,32,36,40),0)/100)))+1)),0)</f>
        <v/>
      </c>
      <c r="S1916">
        <f>IFERROR(O1916/N1916,0)</f>
        <v/>
      </c>
      <c r="T1916">
        <f>IF(C1916,(H1916*N1916*IF(AND(Inputs!$B$38&lt;&gt;"pvp",Inputs!$B$43&gt;0),((Skills!G5*((R1916-1)*IF(Skills!H5&gt;0,Skills!I5/Skills!H5,1)+IF(Skills!H5&gt;0,MIN(Skills!I5,MAX(0,MAX(0,Inputs!$B$43-B1945)-((R1916-1)*(IF(Inputs!$B$38="pvp",15,MAX(0.1,Skills!D5-IF(Skills!E5=TRUE,Inputs!$B$32,0)))*(1-IF(AND(IF(ArtifactsInput!$M$27,FALSE,TRUE),Inputs!$B$4="Chapter Hunt"),CHOOSE(ArtifactsInput!$N$27+1,20,24,28,32,36,40),0)/100)))))/Skills!H5,1)))/Inputs!$B$43),G1916*Q1916)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1916*(1-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1916*(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1916*(1-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1916*(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6">
        <f>IF(C1916,(H1916*N1916*IF(AND(Inputs!$B$38&lt;&gt;"pvp",Inputs!$B$43&gt;0),((Skills!G5*((R1916-1)*IF(Skills!H5&gt;0,Skills!I5/Skills!H5,1)+IF(Skills!H5&gt;0,MIN(Skills!I5,MAX(0,MAX(0,Inputs!$B$43-B1945)-((R1916-1)*(IF(Inputs!$B$38="pvp",15,MAX(0.1,Skills!D5-IF(Skills!E5=TRUE,Inputs!$B$32,0)))*(1-IF(AND(IF(ArtifactsInput!$M$27,FALSE,TRUE),Inputs!$B$4="Chapter Hunt"),CHOOSE(ArtifactsInput!$N$27+1,20,24,28,32,36,40),0)/100)))))/Skills!H5,1)))/Inputs!$B$43),G1916*Q1916))*IF(Inputs!$B$38="pvp",1,(1+(Inputs!$B$21+Skills!Q5+(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7">
      <c r="A1917">
        <f>Skills!A6</f>
        <v/>
      </c>
      <c r="B1917">
        <f>Skills!B6</f>
        <v/>
      </c>
      <c r="C1917">
        <f>Inputs!$B$3&gt;=103</f>
        <v/>
      </c>
      <c r="D1917">
        <f>IF(Skills!C6=1,60+Inputs!$B$25+Inputs!$B$29,IF(Skills!C6=2,90+Inputs!$B$26+Inputs!$B$29,IF(Skills!C6=3,120+Inputs!$B$27+Inputs!$B$29,MAX(0,(Inputs!$B$3-100)*3)+Inputs!$B$28+Inputs!$B$29)))</f>
        <v/>
      </c>
      <c r="E1917">
        <f>INDEX(FactorTable!$B$2:$Y$301, MATCH(ROUND(MIN(300,MAX(1,D1917)),0), FactorTable!$A$2:$A$301,0), Skills!M6+1)</f>
        <v/>
      </c>
      <c r="F1917">
        <f>IF(Skills!N6=TRUE,(Skills!L6/10)*(E1917/1000),Skills!L6/10)+Skills!O6</f>
        <v/>
      </c>
      <c r="G1917">
        <f>Skills!G6*IF(Skills!H6&gt;0,Skills!I6/Skills!H6,1)</f>
        <v/>
      </c>
      <c r="H1917">
        <f>1-(1-Skills!J6/100)^Skills!K6</f>
        <v/>
      </c>
      <c r="I1917" t="inlineStr">
        <is>
          <t>1</t>
        </is>
      </c>
      <c r="J1917">
        <f>((Inputs!$B$6*(1+Inputs!$B$7/100))+(((Inputs!$B$12*(1+Inputs!$B$13/100))-(Inputs!$B$12*(1+Inputs!$B$13/100)))+0.25*(Inputs!$B$14-Inputs!$B$14))*(1+Inputs!$B$7/100))*(F1917/100)</f>
        <v/>
      </c>
      <c r="K1917">
        <f>J1917*(1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1917)</f>
        <v/>
      </c>
      <c r="L1917">
        <f>K1917*(MIN(Inputs!$B$22+((C1933=TRUE)*(F1933-Calc!F22)),(Inputs!$B$23+((C1935=TRUE)*(F1935-Calc!F24))+(IF(ArtifactsInput!$M$15,CHOOSE(ArtifactsInput!$N$15+1,25,30,35,40,45,50)/100*(Inputs!$B$11-Inputs!$B$11),0))))/100+(Inputs!$B$23+((C1935=TRUE)*(F1935-Calc!F24))+(IF(ArtifactsInput!$M$15,CHOOSE(ArtifactsInput!$N$15+1,25,30,35,40,45,50)/100*(Inputs!$B$11-Inputs!$B$11),0)))/100)/2</f>
        <v/>
      </c>
      <c r="M1917">
        <f>L1917*(1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7">
        <f>L1917*(1-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1917*(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7">
        <f>(1-Summary!$B$11)*T1917+Summary!$B$11*V1917</f>
        <v/>
      </c>
      <c r="P1917">
        <f>IF(B1948=0,0,O1917/B1948)</f>
        <v/>
      </c>
      <c r="Q1917">
        <f>IFERROR(1/(IF(Inputs!$B$38="pvp",15,MAX(0.1,Skills!D6-IF(Skills!E6=TRUE,Inputs!$B$32,0)))*(1-IF(AND(IF(ArtifactsInput!$M$27,FALSE,TRUE),Inputs!$B$4="Chapter Hunt"),CHOOSE(ArtifactsInput!$N$27+1,20,24,28,32,36,40),0)/100)),0)</f>
        <v/>
      </c>
      <c r="R1917">
        <f>IF(AND(Inputs!$B$38&lt;&gt;"pvp",Inputs!$B$43&gt;0),IF(MAX(0,Inputs!$B$43-B1945)&lt;=0,0,(INT(MAX(0,Inputs!$B$43-B1945)/(IF(Inputs!$B$38="pvp",15,MAX(0.1,Skills!D6-IF(Skills!E6=TRUE,Inputs!$B$32,0)))*(1-IF(AND(IF(ArtifactsInput!$M$27,FALSE,TRUE),Inputs!$B$4="Chapter Hunt"),CHOOSE(ArtifactsInput!$N$27+1,20,24,28,32,36,40),0)/100)))+1)),0)</f>
        <v/>
      </c>
      <c r="S1917">
        <f>IFERROR(O1917/N1917,0)</f>
        <v/>
      </c>
      <c r="T1917">
        <f>IF(C1917,(H1917*N1917*IF(AND(Inputs!$B$38&lt;&gt;"pvp",Inputs!$B$43&gt;0),((Skills!G6*((R1917-1)*IF(Skills!H6&gt;0,Skills!I6/Skills!H6,1)+IF(Skills!H6&gt;0,MIN(Skills!I6,MAX(0,MAX(0,Inputs!$B$43-B1945)-((R1917-1)*(IF(Inputs!$B$38="pvp",15,MAX(0.1,Skills!D6-IF(Skills!E6=TRUE,Inputs!$B$32,0)))*(1-IF(AND(IF(ArtifactsInput!$M$27,FALSE,TRUE),Inputs!$B$4="Chapter Hunt"),CHOOSE(ArtifactsInput!$N$27+1,20,24,28,32,36,40),0)/100)))))/Skills!H6,1)))/Inputs!$B$43),G1917*Q1917)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1917*(1-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1917*(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1917*(1-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1917*(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7">
        <f>IF(C1917,(H1917*N1917*IF(AND(Inputs!$B$38&lt;&gt;"pvp",Inputs!$B$43&gt;0),((Skills!G6*((R1917-1)*IF(Skills!H6&gt;0,Skills!I6/Skills!H6,1)+IF(Skills!H6&gt;0,MIN(Skills!I6,MAX(0,MAX(0,Inputs!$B$43-B1945)-((R1917-1)*(IF(Inputs!$B$38="pvp",15,MAX(0.1,Skills!D6-IF(Skills!E6=TRUE,Inputs!$B$32,0)))*(1-IF(AND(IF(ArtifactsInput!$M$27,FALSE,TRUE),Inputs!$B$4="Chapter Hunt"),CHOOSE(ArtifactsInput!$N$27+1,20,24,28,32,36,40),0)/100)))))/Skills!H6,1)))/Inputs!$B$43),G1917*Q1917))*IF(Inputs!$B$38="pvp",1,(1+(Inputs!$B$21+Skills!Q6+(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8">
      <c r="A1918">
        <f>Skills!A7</f>
        <v/>
      </c>
      <c r="B1918">
        <f>Skills!B7</f>
        <v/>
      </c>
      <c r="C1918">
        <f>Inputs!$B$3&gt;=107</f>
        <v/>
      </c>
      <c r="D1918">
        <f>IF(Skills!C7=1,60+Inputs!$B$25+Inputs!$B$29,IF(Skills!C7=2,90+Inputs!$B$26+Inputs!$B$29,IF(Skills!C7=3,120+Inputs!$B$27+Inputs!$B$29,MAX(0,(Inputs!$B$3-100)*3)+Inputs!$B$28+Inputs!$B$29)))</f>
        <v/>
      </c>
      <c r="E1918">
        <f>INDEX(FactorTable!$B$2:$Y$301, MATCH(ROUND(MIN(300,MAX(1,D1918)),0), FactorTable!$A$2:$A$301,0), Skills!M7+1)</f>
        <v/>
      </c>
      <c r="F1918">
        <f>IF(Skills!N7=TRUE,(Skills!L7/10)*(E1918/1000),Skills!L7/10)+Skills!O7</f>
        <v/>
      </c>
      <c r="G1918">
        <f>Skills!G7*IF(Skills!H7&gt;0,Skills!I7/Skills!H7,1)</f>
        <v/>
      </c>
      <c r="H1918">
        <f>1-(1-Skills!J7/100)^Skills!K7</f>
        <v/>
      </c>
      <c r="I1918" t="inlineStr">
        <is>
          <t>1</t>
        </is>
      </c>
      <c r="J1918">
        <f>((Inputs!$B$6*(1+Inputs!$B$7/100))+(((Inputs!$B$12*(1+Inputs!$B$13/100))-(Inputs!$B$12*(1+Inputs!$B$13/100)))+0.25*(Inputs!$B$14-Inputs!$B$14))*(1+Inputs!$B$7/100))*(F1918/100)</f>
        <v/>
      </c>
      <c r="K1918">
        <f>J1918*(1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1918)</f>
        <v/>
      </c>
      <c r="L1918">
        <f>K1918*(MIN(Inputs!$B$22+((C1933=TRUE)*(F1933-Calc!F22)),(Inputs!$B$23+((C1935=TRUE)*(F1935-Calc!F24))+(IF(ArtifactsInput!$M$15,CHOOSE(ArtifactsInput!$N$15+1,25,30,35,40,45,50)/100*(Inputs!$B$11-Inputs!$B$11),0))))/100+(Inputs!$B$23+((C1935=TRUE)*(F1935-Calc!F24))+(IF(ArtifactsInput!$M$15,CHOOSE(ArtifactsInput!$N$15+1,25,30,35,40,45,50)/100*(Inputs!$B$11-Inputs!$B$11),0)))/100)/2</f>
        <v/>
      </c>
      <c r="M1918">
        <f>L1918*(1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8">
        <f>L1918*(1-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1918*(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8">
        <f>(1-Summary!$B$11)*T1918+Summary!$B$11*V1918</f>
        <v/>
      </c>
      <c r="P1918">
        <f>IF(B1948=0,0,O1918/B1948)</f>
        <v/>
      </c>
      <c r="Q1918">
        <f>IFERROR(1/(IF(Inputs!$B$38="pvp",15,MAX(0.1,Skills!D7-IF(Skills!E7=TRUE,Inputs!$B$32,0)))*(1-IF(AND(IF(ArtifactsInput!$M$27,FALSE,TRUE),Inputs!$B$4="Chapter Hunt"),CHOOSE(ArtifactsInput!$N$27+1,20,24,28,32,36,40),0)/100)),0)</f>
        <v/>
      </c>
      <c r="R1918">
        <f>IF(AND(Inputs!$B$38&lt;&gt;"pvp",Inputs!$B$43&gt;0),IF(MAX(0,Inputs!$B$43-B1945)&lt;=0,0,(INT(MAX(0,Inputs!$B$43-B1945)/(IF(Inputs!$B$38="pvp",15,MAX(0.1,Skills!D7-IF(Skills!E7=TRUE,Inputs!$B$32,0)))*(1-IF(AND(IF(ArtifactsInput!$M$27,FALSE,TRUE),Inputs!$B$4="Chapter Hunt"),CHOOSE(ArtifactsInput!$N$27+1,20,24,28,32,36,40),0)/100)))+1)),0)</f>
        <v/>
      </c>
      <c r="S1918">
        <f>IFERROR(O1918/N1918,0)</f>
        <v/>
      </c>
      <c r="T1918">
        <f>IF(C1918,(H1918*N1918*IF(AND(Inputs!$B$38&lt;&gt;"pvp",Inputs!$B$43&gt;0),((Skills!G7*((R1918-1)*IF(Skills!H7&gt;0,Skills!I7/Skills!H7,1)+IF(Skills!H7&gt;0,MIN(Skills!I7,MAX(0,MAX(0,Inputs!$B$43-B1945)-((R1918-1)*(IF(Inputs!$B$38="pvp",15,MAX(0.1,Skills!D7-IF(Skills!E7=TRUE,Inputs!$B$32,0)))*(1-IF(AND(IF(ArtifactsInput!$M$27,FALSE,TRUE),Inputs!$B$4="Chapter Hunt"),CHOOSE(ArtifactsInput!$N$27+1,20,24,28,32,36,40),0)/100)))))/Skills!H7,1)))/Inputs!$B$43),G1918*Q1918)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1918*(1-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1918*(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1918*(1-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1918*(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8">
        <f>IF(C1918,(H1918*N1918*IF(AND(Inputs!$B$38&lt;&gt;"pvp",Inputs!$B$43&gt;0),((Skills!G7*((R1918-1)*IF(Skills!H7&gt;0,Skills!I7/Skills!H7,1)+IF(Skills!H7&gt;0,MIN(Skills!I7,MAX(0,MAX(0,Inputs!$B$43-B1945)-((R1918-1)*(IF(Inputs!$B$38="pvp",15,MAX(0.1,Skills!D7-IF(Skills!E7=TRUE,Inputs!$B$32,0)))*(1-IF(AND(IF(ArtifactsInput!$M$27,FALSE,TRUE),Inputs!$B$4="Chapter Hunt"),CHOOSE(ArtifactsInput!$N$27+1,20,24,28,32,36,40),0)/100)))))/Skills!H7,1)))/Inputs!$B$43),G1918*Q1918))*IF(Inputs!$B$38="pvp",1,(1+(Inputs!$B$21+Skills!Q7+(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9">
      <c r="A1919">
        <f>Skills!A8</f>
        <v/>
      </c>
      <c r="B1919">
        <f>Skills!B8</f>
        <v/>
      </c>
      <c r="C1919">
        <f>Inputs!$B$3&gt;=107</f>
        <v/>
      </c>
      <c r="D1919">
        <f>IF(Skills!C8=1,60+Inputs!$B$25+Inputs!$B$29,IF(Skills!C8=2,90+Inputs!$B$26+Inputs!$B$29,IF(Skills!C8=3,120+Inputs!$B$27+Inputs!$B$29,MAX(0,(Inputs!$B$3-100)*3)+Inputs!$B$28+Inputs!$B$29)))</f>
        <v/>
      </c>
      <c r="E1919">
        <f>INDEX(FactorTable!$B$2:$Y$301, MATCH(ROUND(MIN(300,MAX(1,D1919)),0), FactorTable!$A$2:$A$301,0), Skills!M8+1)</f>
        <v/>
      </c>
      <c r="F1919">
        <f>IF(Skills!N8=TRUE,(Skills!L8/10)*(E1919/1000),Skills!L8/10)+Skills!O8</f>
        <v/>
      </c>
      <c r="G1919">
        <f>Skills!G8*IF(Skills!H8&gt;0,Skills!I8/Skills!H8,1)</f>
        <v/>
      </c>
      <c r="H1919">
        <f>1-(1-Skills!J8/100)^Skills!K8</f>
        <v/>
      </c>
      <c r="I1919" t="inlineStr">
        <is>
          <t>1</t>
        </is>
      </c>
      <c r="J1919">
        <f>((Inputs!$B$6*(1+Inputs!$B$7/100))+(((Inputs!$B$12*(1+Inputs!$B$13/100))-(Inputs!$B$12*(1+Inputs!$B$13/100)))+0.25*(Inputs!$B$14-Inputs!$B$14))*(1+Inputs!$B$7/100))*(F1919/100)</f>
        <v/>
      </c>
      <c r="K1919">
        <f>J1919*(1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1919)</f>
        <v/>
      </c>
      <c r="L1919">
        <f>K1919*(MIN(Inputs!$B$22+((C1933=TRUE)*(F1933-Calc!F22)),(Inputs!$B$23+((C1935=TRUE)*(F1935-Calc!F24))+(IF(ArtifactsInput!$M$15,CHOOSE(ArtifactsInput!$N$15+1,25,30,35,40,45,50)/100*(Inputs!$B$11-Inputs!$B$11),0))))/100+(Inputs!$B$23+((C1935=TRUE)*(F1935-Calc!F24))+(IF(ArtifactsInput!$M$15,CHOOSE(ArtifactsInput!$N$15+1,25,30,35,40,45,50)/100*(Inputs!$B$11-Inputs!$B$11),0)))/100)/2</f>
        <v/>
      </c>
      <c r="M1919">
        <f>L1919*(1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9">
        <f>L1919*(1-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1919*(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9">
        <f>(1-Summary!$B$11)*T1919+Summary!$B$11*V1919</f>
        <v/>
      </c>
      <c r="P1919">
        <f>IF(B1948=0,0,O1919/B1948)</f>
        <v/>
      </c>
      <c r="Q1919">
        <f>IFERROR(1/(IF(Inputs!$B$38="pvp",15,MAX(0.1,Skills!D8-IF(Skills!E8=TRUE,Inputs!$B$32,0)))*(1-IF(AND(IF(ArtifactsInput!$M$27,FALSE,TRUE),Inputs!$B$4="Chapter Hunt"),CHOOSE(ArtifactsInput!$N$27+1,20,24,28,32,36,40),0)/100)),0)</f>
        <v/>
      </c>
      <c r="R1919">
        <f>IF(AND(Inputs!$B$38&lt;&gt;"pvp",Inputs!$B$43&gt;0),IF(MAX(0,Inputs!$B$43-B1945)&lt;=0,0,(INT(MAX(0,Inputs!$B$43-B1945)/(IF(Inputs!$B$38="pvp",15,MAX(0.1,Skills!D8-IF(Skills!E8=TRUE,Inputs!$B$32,0)))*(1-IF(AND(IF(ArtifactsInput!$M$27,FALSE,TRUE),Inputs!$B$4="Chapter Hunt"),CHOOSE(ArtifactsInput!$N$27+1,20,24,28,32,36,40),0)/100)))+1)),0)</f>
        <v/>
      </c>
      <c r="S1919">
        <f>IFERROR(O1919/N1919,0)</f>
        <v/>
      </c>
      <c r="T1919">
        <f>IF(C1919,(H1919*N1919*IF(AND(Inputs!$B$38&lt;&gt;"pvp",Inputs!$B$43&gt;0),((Skills!G8*((R1919-1)*IF(Skills!H8&gt;0,Skills!I8/Skills!H8,1)+IF(Skills!H8&gt;0,MIN(Skills!I8,MAX(0,MAX(0,Inputs!$B$43-B1945)-((R1919-1)*(IF(Inputs!$B$38="pvp",15,MAX(0.1,Skills!D8-IF(Skills!E8=TRUE,Inputs!$B$32,0)))*(1-IF(AND(IF(ArtifactsInput!$M$27,FALSE,TRUE),Inputs!$B$4="Chapter Hunt"),CHOOSE(ArtifactsInput!$N$27+1,20,24,28,32,36,40),0)/100)))))/Skills!H8,1)))/Inputs!$B$43),G1919*Q1919)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1919*(1-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1919*(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1919*(1-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1919*(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19">
        <f>IF(C1919,(H1919*N1919*IF(AND(Inputs!$B$38&lt;&gt;"pvp",Inputs!$B$43&gt;0),((Skills!G8*((R1919-1)*IF(Skills!H8&gt;0,Skills!I8/Skills!H8,1)+IF(Skills!H8&gt;0,MIN(Skills!I8,MAX(0,MAX(0,Inputs!$B$43-B1945)-((R1919-1)*(IF(Inputs!$B$38="pvp",15,MAX(0.1,Skills!D8-IF(Skills!E8=TRUE,Inputs!$B$32,0)))*(1-IF(AND(IF(ArtifactsInput!$M$27,FALSE,TRUE),Inputs!$B$4="Chapter Hunt"),CHOOSE(ArtifactsInput!$N$27+1,20,24,28,32,36,40),0)/100)))))/Skills!H8,1)))/Inputs!$B$43),G1919*Q1919))*IF(Inputs!$B$38="pvp",1,(1+(Inputs!$B$21+Skills!Q8+(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0">
      <c r="A1920">
        <f>Skills!A9</f>
        <v/>
      </c>
      <c r="B1920">
        <f>Skills!B9</f>
        <v/>
      </c>
      <c r="C1920">
        <f>Inputs!$B$3&gt;=125</f>
        <v/>
      </c>
      <c r="D1920">
        <f>IF(Skills!C9=1,60+Inputs!$B$25+Inputs!$B$29,IF(Skills!C9=2,90+Inputs!$B$26+Inputs!$B$29,IF(Skills!C9=3,120+Inputs!$B$27+Inputs!$B$29,MAX(0,(Inputs!$B$3-100)*3)+Inputs!$B$28+Inputs!$B$29)))</f>
        <v/>
      </c>
      <c r="E1920">
        <f>INDEX(FactorTable!$B$2:$Y$301, MATCH(ROUND(MIN(300,MAX(1,D1920)),0), FactorTable!$A$2:$A$301,0), Skills!M9+1)</f>
        <v/>
      </c>
      <c r="F1920">
        <f>IF(Skills!N9=TRUE,(Skills!L9/10)*(E1920/1000),Skills!L9/10)+Skills!O9</f>
        <v/>
      </c>
      <c r="G1920">
        <f>Skills!G9*IF(Skills!H9&gt;0,Skills!I9/Skills!H9,1)</f>
        <v/>
      </c>
      <c r="H1920">
        <f>1-(1-Skills!J9/100)^Skills!K9</f>
        <v/>
      </c>
      <c r="I1920" t="inlineStr">
        <is>
          <t>1</t>
        </is>
      </c>
      <c r="J1920">
        <f>((Inputs!$B$6*(1+Inputs!$B$7/100))+(((Inputs!$B$12*(1+Inputs!$B$13/100))-(Inputs!$B$12*(1+Inputs!$B$13/100)))+0.25*(Inputs!$B$14-Inputs!$B$14))*(1+Inputs!$B$7/100))*(F1920/100)</f>
        <v/>
      </c>
      <c r="K1920">
        <f>J1920*(1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1920)</f>
        <v/>
      </c>
      <c r="L1920">
        <f>K1920*(MIN(Inputs!$B$22+((C1933=TRUE)*(F1933-Calc!F22)),(Inputs!$B$23+((C1935=TRUE)*(F1935-Calc!F24))+(IF(ArtifactsInput!$M$15,CHOOSE(ArtifactsInput!$N$15+1,25,30,35,40,45,50)/100*(Inputs!$B$11-Inputs!$B$11),0))))/100+(Inputs!$B$23+((C1935=TRUE)*(F1935-Calc!F24))+(IF(ArtifactsInput!$M$15,CHOOSE(ArtifactsInput!$N$15+1,25,30,35,40,45,50)/100*(Inputs!$B$11-Inputs!$B$11),0)))/100)/2</f>
        <v/>
      </c>
      <c r="M1920">
        <f>L1920*(1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0">
        <f>L1920*(1-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1920*(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0">
        <f>(1-Summary!$B$11)*T1920+Summary!$B$11*V1920</f>
        <v/>
      </c>
      <c r="P1920">
        <f>IF(B1948=0,0,O1920/B1948)</f>
        <v/>
      </c>
      <c r="Q1920">
        <f>IFERROR(1/(IF(Inputs!$B$38="pvp",15,MAX(0.1,Skills!D9-IF(Skills!E9=TRUE,Inputs!$B$32,0)))*(1-IF(AND(IF(ArtifactsInput!$M$27,FALSE,TRUE),Inputs!$B$4="Chapter Hunt"),CHOOSE(ArtifactsInput!$N$27+1,20,24,28,32,36,40),0)/100)),0)</f>
        <v/>
      </c>
      <c r="R1920">
        <f>IF(AND(Inputs!$B$38&lt;&gt;"pvp",Inputs!$B$43&gt;0),IF(MAX(0,Inputs!$B$43-B1945)&lt;=0,0,(INT(MAX(0,Inputs!$B$43-B1945)/(IF(Inputs!$B$38="pvp",15,MAX(0.1,Skills!D9-IF(Skills!E9=TRUE,Inputs!$B$32,0)))*(1-IF(AND(IF(ArtifactsInput!$M$27,FALSE,TRUE),Inputs!$B$4="Chapter Hunt"),CHOOSE(ArtifactsInput!$N$27+1,20,24,28,32,36,40),0)/100)))+1)),0)</f>
        <v/>
      </c>
      <c r="S1920">
        <f>IFERROR(O1920/N1920,0)</f>
        <v/>
      </c>
      <c r="T1920">
        <f>IF(C1920,(H1920*N1920*IF(AND(Inputs!$B$38&lt;&gt;"pvp",Inputs!$B$43&gt;0),((Skills!G9*((R1920-1)*IF(Skills!H9&gt;0,Skills!I9/Skills!H9,1)+IF(Skills!H9&gt;0,MIN(Skills!I9,MAX(0,MAX(0,Inputs!$B$43-B1945)-((R1920-1)*(IF(Inputs!$B$38="pvp",15,MAX(0.1,Skills!D9-IF(Skills!E9=TRUE,Inputs!$B$32,0)))*(1-IF(AND(IF(ArtifactsInput!$M$27,FALSE,TRUE),Inputs!$B$4="Chapter Hunt"),CHOOSE(ArtifactsInput!$N$27+1,20,24,28,32,36,40),0)/100)))))/Skills!H9,1)))/Inputs!$B$43),G1920*Q1920)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1920*(1-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1920*(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1920*(1-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1920*(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0">
        <f>IF(C1920,(H1920*N1920*IF(AND(Inputs!$B$38&lt;&gt;"pvp",Inputs!$B$43&gt;0),((Skills!G9*((R1920-1)*IF(Skills!H9&gt;0,Skills!I9/Skills!H9,1)+IF(Skills!H9&gt;0,MIN(Skills!I9,MAX(0,MAX(0,Inputs!$B$43-B1945)-((R1920-1)*(IF(Inputs!$B$38="pvp",15,MAX(0.1,Skills!D9-IF(Skills!E9=TRUE,Inputs!$B$32,0)))*(1-IF(AND(IF(ArtifactsInput!$M$27,FALSE,TRUE),Inputs!$B$4="Chapter Hunt"),CHOOSE(ArtifactsInput!$N$27+1,20,24,28,32,36,40),0)/100)))))/Skills!H9,1)))/Inputs!$B$43),G1920*Q1920))*IF(Inputs!$B$38="pvp",1,(1+(Inputs!$B$21+Skills!Q9+(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1">
      <c r="A1921">
        <f>Skills!A10</f>
        <v/>
      </c>
      <c r="B1921">
        <f>Skills!B10</f>
        <v/>
      </c>
      <c r="C1921">
        <f>Inputs!$B$3&gt;=117</f>
        <v/>
      </c>
      <c r="D1921">
        <f>IF(Skills!C10=1,60+Inputs!$B$25+Inputs!$B$29,IF(Skills!C10=2,90+Inputs!$B$26+Inputs!$B$29,IF(Skills!C10=3,120+Inputs!$B$27+Inputs!$B$29,MAX(0,(Inputs!$B$3-100)*3)+Inputs!$B$28+Inputs!$B$29)))</f>
        <v/>
      </c>
      <c r="E1921">
        <f>INDEX(FactorTable!$B$2:$Y$301, MATCH(ROUND(MIN(300,MAX(1,D1921)),0), FactorTable!$A$2:$A$301,0), Skills!M10+1)</f>
        <v/>
      </c>
      <c r="F1921">
        <f>IF(Skills!N10=TRUE,(Skills!L10/10)*(E1921/1000),Skills!L10/10)+Skills!O10</f>
        <v/>
      </c>
      <c r="G1921">
        <f>Skills!G10*IF(Skills!H10&gt;0,Skills!I10/Skills!H10,1)</f>
        <v/>
      </c>
      <c r="H1921">
        <f>1-(1-Skills!J10/100)^Skills!K10</f>
        <v/>
      </c>
      <c r="I1921" t="inlineStr">
        <is>
          <t>1</t>
        </is>
      </c>
      <c r="J1921">
        <f>((Inputs!$B$6*(1+Inputs!$B$7/100))+(((Inputs!$B$12*(1+Inputs!$B$13/100))-(Inputs!$B$12*(1+Inputs!$B$13/100)))+0.25*(Inputs!$B$14-Inputs!$B$14))*(1+Inputs!$B$7/100))*(F1921/100)</f>
        <v/>
      </c>
      <c r="K1921">
        <f>J1921*(1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1921)</f>
        <v/>
      </c>
      <c r="L1921">
        <f>K1921*(MIN(Inputs!$B$22+((C1933=TRUE)*(F1933-Calc!F22)),(Inputs!$B$23+((C1935=TRUE)*(F1935-Calc!F24))+(IF(ArtifactsInput!$M$15,CHOOSE(ArtifactsInput!$N$15+1,25,30,35,40,45,50)/100*(Inputs!$B$11-Inputs!$B$11),0))))/100+(Inputs!$B$23+((C1935=TRUE)*(F1935-Calc!F24))+(IF(ArtifactsInput!$M$15,CHOOSE(ArtifactsInput!$N$15+1,25,30,35,40,45,50)/100*(Inputs!$B$11-Inputs!$B$11),0)))/100)/2</f>
        <v/>
      </c>
      <c r="M1921">
        <f>L1921*(1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1">
        <f>L1921*(1-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(1-Summary!$B$11)*T1921+Summary!$B$11*V1921</f>
        <v/>
      </c>
      <c r="P1921">
        <f>IF(B1948=0,0,O1921/B1948)</f>
        <v/>
      </c>
      <c r="Q1921">
        <f>IFERROR(1/(IF(Inputs!$B$38="pvp",15,MAX(0.1,Skills!D10-IF(Skills!E10=TRUE,Inputs!$B$32,0)))*(1-IF(AND(IF(ArtifactsInput!$M$27,FALSE,TRUE),Inputs!$B$4="Chapter Hunt"),CHOOSE(ArtifactsInput!$N$27+1,20,24,28,32,36,40),0)/100)),0)</f>
        <v/>
      </c>
      <c r="R1921">
        <f>IF(AND(Inputs!$B$38&lt;&gt;"pvp",Inputs!$B$43&gt;0),IF(MAX(0,Inputs!$B$43-B1945)&lt;=0,0,(INT(MAX(0,Inputs!$B$43-B1945)/(IF(Inputs!$B$38="pvp",15,MAX(0.1,Skills!D10-IF(Skills!E10=TRUE,Inputs!$B$32,0)))*(1-IF(AND(IF(ArtifactsInput!$M$27,FALSE,TRUE),Inputs!$B$4="Chapter Hunt"),CHOOSE(ArtifactsInput!$N$27+1,20,24,28,32,36,40),0)/100)))+1)),0)</f>
        <v/>
      </c>
      <c r="S1921">
        <f>IFERROR(O1921/N1921,0)</f>
        <v/>
      </c>
      <c r="T1921">
        <f>IF(C1921,(H1921*N1921*IF(AND(Inputs!$B$38&lt;&gt;"pvp",Inputs!$B$43&gt;0),((Skills!G10*((R1921-1)*IF(Skills!H10&gt;0,Skills!I10/Skills!H10,1)+IF(Skills!H10&gt;0,MIN(Skills!I10,MAX(0,MAX(0,Inputs!$B$43-B1945)-((R1921-1)*(IF(Inputs!$B$38="pvp",15,MAX(0.1,Skills!D10-IF(Skills!E10=TRUE,Inputs!$B$32,0)))*(1-IF(AND(IF(ArtifactsInput!$M$27,FALSE,TRUE),Inputs!$B$4="Chapter Hunt"),CHOOSE(ArtifactsInput!$N$27+1,20,24,28,32,36,40),0)/100)))))/Skills!H10,1)))/Inputs!$B$43),G1921*Q1921)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1921*(1-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1">
        <f>IF(C1921,(H1921*N1921*IF(AND(Inputs!$B$38&lt;&gt;"pvp",Inputs!$B$43&gt;0),((Skills!G10*((R1921-1)*IF(Skills!H10&gt;0,Skills!I10/Skills!H10,1)+IF(Skills!H10&gt;0,MIN(Skills!I10,MAX(0,MAX(0,Inputs!$B$43-B1945)-((R1921-1)*(IF(Inputs!$B$38="pvp",15,MAX(0.1,Skills!D10-IF(Skills!E10=TRUE,Inputs!$B$32,0)))*(1-IF(AND(IF(ArtifactsInput!$M$27,FALSE,TRUE),Inputs!$B$4="Chapter Hunt"),CHOOSE(ArtifactsInput!$N$27+1,20,24,28,32,36,40),0)/100)))))/Skills!H10,1)))/Inputs!$B$43),G1921*Q1921))*IF(Inputs!$B$38="pvp",1,(1+(Inputs!$B$21+Skills!Q10+(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2">
      <c r="A1922">
        <f>Skills!A11</f>
        <v/>
      </c>
      <c r="B1922">
        <f>Skills!B11</f>
        <v/>
      </c>
      <c r="C1922">
        <f>Inputs!$B$3&gt;=63</f>
        <v/>
      </c>
      <c r="D1922">
        <f>IF(Skills!C11=1,60+Inputs!$B$25+Inputs!$B$29,IF(Skills!C11=2,90+Inputs!$B$26+Inputs!$B$29,IF(Skills!C11=3,120+Inputs!$B$27+Inputs!$B$29,MAX(0,(Inputs!$B$3-100)*3)+Inputs!$B$28+Inputs!$B$29)))</f>
        <v/>
      </c>
      <c r="E1922">
        <f>INDEX(FactorTable!$B$2:$Y$301, MATCH(ROUND(MIN(300,MAX(1,D1922)),0), FactorTable!$A$2:$A$301,0), Skills!M11+1)</f>
        <v/>
      </c>
      <c r="F1922">
        <f>IF(Skills!N11=TRUE,(Skills!L11/10)*(E1922/1000),Skills!L11/10)+Skills!O11</f>
        <v/>
      </c>
      <c r="G1922">
        <f>Skills!G11*IF(Skills!H11&gt;0,Skills!I11/Skills!H11,1)</f>
        <v/>
      </c>
      <c r="H1922">
        <f>1-(1-Skills!J11/100)^Skills!K11</f>
        <v/>
      </c>
      <c r="I1922" t="inlineStr">
        <is>
          <t>1</t>
        </is>
      </c>
      <c r="J1922">
        <f>((Inputs!$B$6*(1+Inputs!$B$7/100))+(((Inputs!$B$12*(1+Inputs!$B$13/100))-(Inputs!$B$12*(1+Inputs!$B$13/100)))+0.25*(Inputs!$B$14-Inputs!$B$14))*(1+Inputs!$B$7/100))*(F1922/100)</f>
        <v/>
      </c>
      <c r="K1922">
        <f>J1922*(1+((Inputs!$B$12*(1+Inputs!$B$13/100))*0.01+Inputs!$B$14*0.0025)/100)*(1+Inputs!$B$15/100)*(1+Inputs!$B$16/100)*(5000/(6000+Inputs!$B$42*(1-(Inputs!$B$19+0)/100)))*(1+(Inputs!$B$24+0+B1944)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1923=TRUE,F1923,0)/100)*(1+(IF(Skills!A11="BLAST",Inputs!$B$17+((C1932=TRUE)*(F1932-Calc!F21))+((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MIN(100,((Inputs!$B$9+0+B1938+(ArtifactsInput!$M$24-ArtifactsInput!$M$24)*CHOOSE(ArtifactsInput!$N$24+1,10,12,14,16,18,20)+IF(ArtifactsInput!$M$10,CHOOSE(ArtifactsInput!$N$10+1,15,18,21,24,27,30)*(IF(Inputs!$B$38="pvp",MIN(15,15)/15,IF(AND(Inputs!$B$38&lt;&gt;"pvp",Inputs!$B$43&gt;0),MIN(15,Inputs!$B$43)/(Inputs!$B$43),0))),0)))-100),0))*CHOOSE(ArtifactsInput!$N$42+1,0.6,0.72,0.84,0.96,1.08,1.2))),Inputs!$B$18+((C1934=TRUE)*(F1934-Calc!F23))+(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gt;=100),CHOOSE(ArtifactsInput!$N$42+1,40,48,56,64,72,80),0))))/100)*((1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C1933=TRUE)*(F1933-Calc!F22)),(Inputs!$B$23+((C1935=TRUE)*(F1935-Calc!F24))+(IF(ArtifactsInput!$M$15,CHOOSE(ArtifactsInput!$N$15+1,25,30,35,40,45,50)/100*(Inputs!$B$11-Inputs!$B$11),0))))/100+(Inputs!$B$23+((C1935=TRUE)*(F1935-Calc!F24))+(IF(ArtifactsInput!$M$15,CHOOSE(ArtifactsInput!$N$15+1,25,30,35,40,45,50)/100*(Inputs!$B$11-Inputs!$B$11),0)))/100)/2</f>
        <v/>
      </c>
      <c r="M1922">
        <f>L1922*(1+(Inputs!$B$10+0+B1943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2">
        <f>L1922*(1-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(1-Summary!$B$11)*T1922+Summary!$B$11*V1922</f>
        <v/>
      </c>
      <c r="P1922">
        <f>IF(B1948=0,0,O1922/B1948)</f>
        <v/>
      </c>
      <c r="Q1922">
        <f>IFERROR(1/(IF(Inputs!$B$38="pvp",15,MAX(0.1,Skills!D11-IF(Skills!E11=TRUE,Inputs!$B$32,0)))*(1-IF(AND(IF(ArtifactsInput!$M$27,FALSE,TRUE),Inputs!$B$4="Chapter Hunt"),CHOOSE(ArtifactsInput!$N$27+1,20,24,28,32,36,40),0)/100)),0)</f>
        <v/>
      </c>
      <c r="R1922">
        <f>IF(AND(Inputs!$B$38&lt;&gt;"pvp",Inputs!$B$43&gt;0),IF(MAX(0,Inputs!$B$43-B1945)&lt;=0,0,(INT(MAX(0,Inputs!$B$43-B1945)/(IF(Inputs!$B$38="pvp",15,MAX(0.1,Skills!D11-IF(Skills!E11=TRUE,Inputs!$B$32,0)))*(1-IF(AND(IF(ArtifactsInput!$M$27,FALSE,TRUE),Inputs!$B$4="Chapter Hunt"),CHOOSE(ArtifactsInput!$N$27+1,20,24,28,32,36,40),0)/100)))+1)),0)</f>
        <v/>
      </c>
      <c r="S1922">
        <f>IFERROR(O1922/N1922,0)</f>
        <v/>
      </c>
      <c r="T1922">
        <f>IF(C1922,(H1922*N1922*IF(AND(Inputs!$B$38&lt;&gt;"pvp",Inputs!$B$43&gt;0),((Skills!G11*((R1922-1)*IF(Skills!H11&gt;0,Skills!I11/Skills!H11,1)+IF(Skills!H11&gt;0,MIN(Skills!I11,MAX(0,MAX(0,Inputs!$B$43-B1945)-((R1922-1)*(IF(Inputs!$B$38="pvp",15,MAX(0.1,Skills!D11-IF(Skills!E11=TRUE,Inputs!$B$32,0)))*(1-IF(AND(IF(ArtifactsInput!$M$27,FALSE,TRUE),Inputs!$B$4="Chapter Hunt"),CHOOSE(ArtifactsInput!$N$27+1,20,24,28,32,36,40),0)/100)))))/Skills!H11,1)))/Inputs!$B$43),G1922*Q1922)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1922*(1-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+0+B1938+(ArtifactsInput!$M$24-ArtifactsInput!$M$24)*CHOOSE(ArtifactsInput!$N$24+1,10,12,14,16,18,20)+(IF(AND(Inputs!$B$38&lt;&gt;"pvp",Inputs!$B$43=0),1,IF(IF(Inputs!$B$38="pvp",15,Inputs!$B$43)-(B1945)&lt;=0,1,MAX(0,IF(Inputs!$B$38="pvp",15,Inputs!$B$43)-MAX(5,B1945))/(IF(Inputs!$B$38="pvp",15,Inputs!$B$43)-(B1945))))*IF(AND(ArtifactsInput!$M$42,((Inputs!$B$9+0+B1938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2">
        <f>IF(C1922,(H1922*N1922*IF(AND(Inputs!$B$38&lt;&gt;"pvp",Inputs!$B$43&gt;0),((Skills!G11*((R1922-1)*IF(Skills!H11&gt;0,Skills!I11/Skills!H11,1)+IF(Skills!H11&gt;0,MIN(Skills!I11,MAX(0,MAX(0,Inputs!$B$43-B1945)-((R1922-1)*(IF(Inputs!$B$38="pvp",15,MAX(0.1,Skills!D11-IF(Skills!E11=TRUE,Inputs!$B$32,0)))*(1-IF(AND(IF(ArtifactsInput!$M$27,FALSE,TRUE),Inputs!$B$4="Chapter Hunt"),CHOOSE(ArtifactsInput!$N$27+1,20,24,28,32,36,40),0)/100)))))/Skills!H11,1)))/Inputs!$B$43),G1922*Q1922))*IF(Inputs!$B$38="pvp",1,(1+(Inputs!$B$21+Skills!Q11+(IF(ArtifactsInput!$M$33,CHOOSE(ArtifactsInput!$N$33+1,30,36,42,48,54,60),0))+(IF(AND(ArtifactsInput!$M$35,Inputs!$B$4&lt;&gt;"Chapter Hunt"),CHOOSE(ArtifactsInput!$N$35+1,15,18,21,24,27,30)*(1-EXP(-(0.2*B1940)*5)),0)+IF(AND(ArtifactsInput!$M$22,Inputs!$B$4&lt;&gt;"Chapter Hunt"),CHOOSE(ArtifactsInput!$N$22+1,10,12,14,16,18,20)*((0*(((0.15*B1940*5))^0/1)+1*(((0.15*B1940*5))^1/1)+2*(((0.15*B1940*5))^2/2)+3*(((0.15*B1940*5))^3/6)+4*(((0.15*B1940*5))^4/24)+5*(((0.15*B1940*5))^5/120))/((((0.15*B1940*5))^0/1)+(((0.15*B1940*5))^1/1)+(((0.15*B1940*5))^2/2)+(((0.15*B1940*5))^3/6)+(((0.15*B1940*5))^4/24)+(((0.15*B1940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Skills!A12</f>
        <v/>
      </c>
      <c r="B1923">
        <f>Skills!B12</f>
        <v/>
      </c>
      <c r="C1923">
        <f>Inputs!$B$3&gt;=100</f>
        <v/>
      </c>
      <c r="D1923">
        <f>IF(Skills!C12=1,60+Inputs!$B$25+Inputs!$B$29,IF(Skills!C12=2,90+Inputs!$B$26+Inputs!$B$29,IF(Skills!C12=3,120+Inputs!$B$27+Inputs!$B$29,MAX(0,(Inputs!$B$3-100)*3)+Inputs!$B$28+Inputs!$B$29)))</f>
        <v/>
      </c>
      <c r="E1923">
        <f>INDEX(FactorTable!$B$2:$Y$301, MATCH(ROUND(MIN(300,MAX(1,D1923)),0), FactorTable!$A$2:$A$301,0), Skills!M12+1)</f>
        <v/>
      </c>
      <c r="F1923">
        <f>IF(Skills!N12=TRUE,(Skills!L12/10)*(E1923/1000),Skills!L12/10)+Skills!O12</f>
        <v/>
      </c>
      <c r="G1923" t="inlineStr"/>
      <c r="H1923" t="inlineStr"/>
      <c r="I1923" t="inlineStr">
        <is>
          <t>1</t>
        </is>
      </c>
      <c r="J1923" t="inlineStr"/>
      <c r="K1923" t="inlineStr"/>
      <c r="L1923" t="inlineStr"/>
      <c r="M1923" t="inlineStr"/>
      <c r="N1923" t="inlineStr"/>
      <c r="O1923" t="inlineStr"/>
      <c r="P1923" t="inlineStr"/>
      <c r="Q1923" t="inlineStr"/>
      <c r="R1923" t="inlineStr"/>
      <c r="S1923" t="inlineStr"/>
    </row>
    <row r="1924">
      <c r="A1924">
        <f>Skills!A13</f>
        <v/>
      </c>
      <c r="B1924">
        <f>Skills!B13</f>
        <v/>
      </c>
      <c r="C1924">
        <f>Inputs!$B$3&gt;=45</f>
        <v/>
      </c>
      <c r="D1924">
        <f>IF(Skills!C13=1,60+Inputs!$B$25+Inputs!$B$29,IF(Skills!C13=2,90+Inputs!$B$26+Inputs!$B$29,IF(Skills!C13=3,120+Inputs!$B$27+Inputs!$B$29,MAX(0,(Inputs!$B$3-100)*3)+Inputs!$B$28+Inputs!$B$29)))</f>
        <v/>
      </c>
      <c r="E1924">
        <f>INDEX(FactorTable!$B$2:$Y$301, MATCH(ROUND(MIN(300,MAX(1,D1924)),0), FactorTable!$A$2:$A$301,0), Skills!M13+1)</f>
        <v/>
      </c>
      <c r="F1924">
        <f>IF(Skills!N13=TRUE,(Skills!L13/10)*(E1924/1000),Skills!L13/10)+Skills!O13</f>
        <v/>
      </c>
      <c r="G1924">
        <f>Skills!G13*IF(Skills!H13&gt;0,Skills!I13/Skills!H13,1)</f>
        <v/>
      </c>
      <c r="H1924">
        <f>1-(1-Skills!J13/100)^Skills!K13</f>
        <v/>
      </c>
      <c r="I1924" t="inlineStr">
        <is>
          <t>1</t>
        </is>
      </c>
      <c r="J1924" t="inlineStr"/>
      <c r="K1924" t="inlineStr"/>
      <c r="L1924" t="inlineStr"/>
      <c r="M1924" t="inlineStr"/>
      <c r="N1924" t="inlineStr"/>
      <c r="O1924">
        <f>(1-Summary!$B$11)*T1924+Summary!$B$11*V1924</f>
        <v/>
      </c>
      <c r="P1924">
        <f>IF(B1948=0,0,O1924/B1948)</f>
        <v/>
      </c>
      <c r="Q1924" t="n">
        <v>0</v>
      </c>
      <c r="R1924" t="n">
        <v>0</v>
      </c>
      <c r="S1924">
        <f>IFERROR(O1924/N1924,0)</f>
        <v/>
      </c>
      <c r="T1924" t="n">
        <v>0</v>
      </c>
      <c r="V1924" t="n">
        <v>0</v>
      </c>
    </row>
    <row r="1925">
      <c r="A1925">
        <f>Skills!A14</f>
        <v/>
      </c>
      <c r="B1925">
        <f>Skills!B14</f>
        <v/>
      </c>
      <c r="C1925">
        <f>Inputs!$B$3&gt;=110</f>
        <v/>
      </c>
      <c r="D1925">
        <f>IF(Skills!C14=1,60+Inputs!$B$25+Inputs!$B$29,IF(Skills!C14=2,90+Inputs!$B$26+Inputs!$B$29,IF(Skills!C14=3,120+Inputs!$B$27+Inputs!$B$29,MAX(0,(Inputs!$B$3-100)*3)+Inputs!$B$28+Inputs!$B$29)))</f>
        <v/>
      </c>
      <c r="E1925">
        <f>INDEX(FactorTable!$B$2:$Y$301, MATCH(ROUND(MIN(300,MAX(1,D1925)),0), FactorTable!$A$2:$A$301,0), Skills!M14+1)</f>
        <v/>
      </c>
      <c r="F1925">
        <f>IF(Skills!N14=TRUE,(Skills!L14/10)*(E1925/1000),Skills!L14/10)+Skills!O14</f>
        <v/>
      </c>
      <c r="G1925">
        <f>Skills!G14*IF(Skills!H14&gt;0,Skills!I14/Skills!H14,1)</f>
        <v/>
      </c>
      <c r="H1925">
        <f>1-(1-Skills!J14/100)^Skills!K14</f>
        <v/>
      </c>
      <c r="I1925" t="inlineStr">
        <is>
          <t>1</t>
        </is>
      </c>
      <c r="J1925" t="inlineStr"/>
      <c r="K1925" t="inlineStr"/>
      <c r="L1925" t="inlineStr"/>
      <c r="M1925" t="inlineStr"/>
      <c r="N1925" t="inlineStr"/>
      <c r="O1925">
        <f>(1-Summary!$B$11)*T1925+Summary!$B$11*V1925</f>
        <v/>
      </c>
      <c r="P1925">
        <f>IF(B1948=0,0,O1925/B1948)</f>
        <v/>
      </c>
      <c r="Q1925" t="n">
        <v>0</v>
      </c>
      <c r="R1925" t="n">
        <v>0</v>
      </c>
      <c r="S1925">
        <f>IFERROR(O1925/N1925,0)</f>
        <v/>
      </c>
      <c r="T1925" t="n">
        <v>0</v>
      </c>
      <c r="V1925" t="n">
        <v>0</v>
      </c>
    </row>
    <row r="1926">
      <c r="A1926">
        <f>Skills!A15</f>
        <v/>
      </c>
      <c r="B1926">
        <f>Skills!B15</f>
        <v/>
      </c>
      <c r="C1926">
        <f>Inputs!$B$3&gt;=75</f>
        <v/>
      </c>
      <c r="D1926">
        <f>IF(Skills!C15=1,60+Inputs!$B$25+Inputs!$B$29,IF(Skills!C15=2,90+Inputs!$B$26+Inputs!$B$29,IF(Skills!C15=3,120+Inputs!$B$27+Inputs!$B$29,MAX(0,(Inputs!$B$3-100)*3)+Inputs!$B$28+Inputs!$B$29)))</f>
        <v/>
      </c>
      <c r="E1926">
        <f>INDEX(FactorTable!$B$2:$Y$301, MATCH(ROUND(MIN(300,MAX(1,D1926)),0), FactorTable!$A$2:$A$301,0), Skills!M15+1)</f>
        <v/>
      </c>
      <c r="F1926">
        <f>IF(Skills!N15=TRUE,(Skills!L15/10)*(E1926/1000),Skills!L15/10)+Skills!O15</f>
        <v/>
      </c>
      <c r="G1926">
        <f>Skills!G15*IF(Skills!H15&gt;0,Skills!I15/Skills!H15,1)</f>
        <v/>
      </c>
      <c r="H1926">
        <f>1-(1-Skills!J15/100)^Skills!K15</f>
        <v/>
      </c>
      <c r="I1926" t="inlineStr">
        <is>
          <t>1</t>
        </is>
      </c>
      <c r="J1926" t="inlineStr"/>
      <c r="K1926" t="inlineStr"/>
      <c r="L1926" t="inlineStr"/>
      <c r="M1926" t="inlineStr"/>
      <c r="N1926" t="inlineStr"/>
      <c r="O1926">
        <f>(1-Summary!$B$11)*T1926+Summary!$B$11*V1926</f>
        <v/>
      </c>
      <c r="P1926">
        <f>IF(B1948=0,0,O1926/B1948)</f>
        <v/>
      </c>
      <c r="Q1926">
        <f>IFERROR(1/(IF(Inputs!$B$38="pvp",15,MAX(0.1,Skills!D15-IF(Skills!E15=TRUE,Inputs!$B$32,0)))*(1-IF(AND(IF(ArtifactsInput!$M$27,FALSE,TRUE),Inputs!$B$4="Chapter Hunt"),CHOOSE(ArtifactsInput!$N$27+1,20,24,28,32,36,40),0)/100)),0)</f>
        <v/>
      </c>
      <c r="R1926">
        <f>IF(AND(Inputs!$B$38&lt;&gt;"pvp",Inputs!$B$43&gt;0),IF(Inputs!$B$43&lt;=0,0,(INT(Inputs!$B$43/(IF(Inputs!$B$38="pvp",15,MAX(0.1,Skills!D15-IF(Skills!E15=TRUE,Inputs!$B$32,0)))*(1-IF(AND(IF(ArtifactsInput!$M$27,FALSE,TRUE),Inputs!$B$4="Chapter Hunt"),CHOOSE(ArtifactsInput!$N$27+1,20,24,28,32,36,40),0)/100)))+1)),0)</f>
        <v/>
      </c>
      <c r="S1926">
        <f>IFERROR(O1926/N1926,0)</f>
        <v/>
      </c>
      <c r="T1926" t="n">
        <v>0</v>
      </c>
      <c r="V1926" t="n">
        <v>0</v>
      </c>
    </row>
    <row r="1927">
      <c r="A1927">
        <f>Skills!A16</f>
        <v/>
      </c>
      <c r="B1927">
        <f>Skills!B16</f>
        <v/>
      </c>
      <c r="C1927">
        <f>Inputs!$B$3&gt;=105</f>
        <v/>
      </c>
      <c r="D1927">
        <f>IF(Skills!C16=1,60+Inputs!$B$25+Inputs!$B$29,IF(Skills!C16=2,90+Inputs!$B$26+Inputs!$B$29,IF(Skills!C16=3,120+Inputs!$B$27+Inputs!$B$29,MAX(0,(Inputs!$B$3-100)*3)+Inputs!$B$28+Inputs!$B$29)))</f>
        <v/>
      </c>
      <c r="E1927">
        <f>INDEX(FactorTable!$B$2:$Y$301, MATCH(ROUND(MIN(300,MAX(1,D1927)),0), FactorTable!$A$2:$A$301,0), Skills!M16+1)</f>
        <v/>
      </c>
      <c r="F1927">
        <f>IF(Skills!N16=TRUE,(Skills!L16/10)*(E1927/1000),Skills!L16/10)+Skills!O16</f>
        <v/>
      </c>
      <c r="G1927">
        <f>Skills!G16*IF(Skills!H16&gt;0,Skills!I16/Skills!H16,1)</f>
        <v/>
      </c>
      <c r="H1927">
        <f>1-(1-Skills!J16/100)^Skills!K16</f>
        <v/>
      </c>
      <c r="I1927" t="inlineStr">
        <is>
          <t>1</t>
        </is>
      </c>
      <c r="J1927" t="inlineStr"/>
      <c r="K1927" t="inlineStr"/>
      <c r="L1927" t="inlineStr"/>
      <c r="M1927" t="inlineStr"/>
      <c r="N1927" t="inlineStr"/>
      <c r="O1927">
        <f>(1-Summary!$B$11)*T1927+Summary!$B$11*V1927</f>
        <v/>
      </c>
      <c r="P1927">
        <f>IF(B1948=0,0,O1927/B1948)</f>
        <v/>
      </c>
      <c r="Q1927">
        <f>IFERROR(1/(IF(Inputs!$B$38="pvp",15,MAX(0.1,Skills!D16-IF(Skills!E16=TRUE,Inputs!$B$32,0)))*(1-IF(AND(IF(ArtifactsInput!$M$27,FALSE,TRUE),Inputs!$B$4="Chapter Hunt"),CHOOSE(ArtifactsInput!$N$27+1,20,24,28,32,36,40),0)/100)),0)</f>
        <v/>
      </c>
      <c r="R1927">
        <f>IF(AND(Inputs!$B$38&lt;&gt;"pvp",Inputs!$B$43&gt;0),IF(Inputs!$B$43&lt;=0,0,(INT(Inputs!$B$43/(IF(Inputs!$B$38="pvp",15,MAX(0.1,Skills!D16-IF(Skills!E16=TRUE,Inputs!$B$32,0)))*(1-IF(AND(IF(ArtifactsInput!$M$27,FALSE,TRUE),Inputs!$B$4="Chapter Hunt"),CHOOSE(ArtifactsInput!$N$27+1,20,24,28,32,36,40),0)/100)))+1)),0)</f>
        <v/>
      </c>
      <c r="S1927">
        <f>IFERROR(O1927/N1927,0)</f>
        <v/>
      </c>
      <c r="T1927" t="n">
        <v>0</v>
      </c>
      <c r="V1927" t="n">
        <v>0</v>
      </c>
    </row>
    <row r="1928">
      <c r="A1928">
        <f>Skills!A17</f>
        <v/>
      </c>
      <c r="B1928">
        <f>Skills!B17</f>
        <v/>
      </c>
      <c r="C1928">
        <f>Inputs!$B$3&gt;=115</f>
        <v/>
      </c>
      <c r="D1928">
        <f>IF(Skills!C17=1,60+Inputs!$B$25+Inputs!$B$29,IF(Skills!C17=2,90+Inputs!$B$26+Inputs!$B$29,IF(Skills!C17=3,120+Inputs!$B$27+Inputs!$B$29,MAX(0,(Inputs!$B$3-100)*3)+Inputs!$B$28+Inputs!$B$29)))</f>
        <v/>
      </c>
      <c r="E1928">
        <f>INDEX(FactorTable!$B$2:$Y$301, MATCH(ROUND(MIN(300,MAX(1,D1928)),0), FactorTable!$A$2:$A$301,0), Skills!M17+1)</f>
        <v/>
      </c>
      <c r="F1928">
        <f>IF(Skills!N17=TRUE,(Skills!L17/10)*(E1928/1000),Skills!L17/10)+Skills!O17</f>
        <v/>
      </c>
      <c r="G1928">
        <f>Skills!G17*IF(Skills!H17&gt;0,Skills!I17/Skills!H17,1)</f>
        <v/>
      </c>
      <c r="H1928">
        <f>1-(1-Skills!J17/100)^Skills!K17</f>
        <v/>
      </c>
      <c r="I1928" t="inlineStr">
        <is>
          <t>1</t>
        </is>
      </c>
      <c r="J1928" t="inlineStr"/>
      <c r="K1928" t="inlineStr"/>
      <c r="L1928" t="inlineStr"/>
      <c r="M1928" t="inlineStr"/>
      <c r="N1928" t="inlineStr"/>
      <c r="O1928">
        <f>(1-Summary!$B$11)*T1928+Summary!$B$11*V1928</f>
        <v/>
      </c>
      <c r="P1928">
        <f>IF(B1948=0,0,O1928/B1948)</f>
        <v/>
      </c>
      <c r="Q1928">
        <f>IFERROR(1/(IF(Inputs!$B$38="pvp",15,MAX(0.1,Skills!D17-IF(Skills!E17=TRUE,Inputs!$B$32,0)))*(1-IF(AND(IF(ArtifactsInput!$M$27,FALSE,TRUE),Inputs!$B$4="Chapter Hunt"),CHOOSE(ArtifactsInput!$N$27+1,20,24,28,32,36,40),0)/100)),0)</f>
        <v/>
      </c>
      <c r="R1928">
        <f>IF(AND(Inputs!$B$38&lt;&gt;"pvp",Inputs!$B$43&gt;0),IF(Inputs!$B$43&lt;=0,0,(INT(Inputs!$B$43/(IF(Inputs!$B$38="pvp",15,MAX(0.1,Skills!D17-IF(Skills!E17=TRUE,Inputs!$B$32,0)))*(1-IF(AND(IF(ArtifactsInput!$M$27,FALSE,TRUE),Inputs!$B$4="Chapter Hunt"),CHOOSE(ArtifactsInput!$N$27+1,20,24,28,32,36,40),0)/100)))+1)),0)</f>
        <v/>
      </c>
      <c r="S1928">
        <f>IFERROR(O1928/N1928,0)</f>
        <v/>
      </c>
      <c r="T1928" t="n">
        <v>0</v>
      </c>
      <c r="V1928" t="n">
        <v>0</v>
      </c>
    </row>
    <row r="1929">
      <c r="A1929">
        <f>Skills!A18</f>
        <v/>
      </c>
      <c r="B1929">
        <f>Skills!B18</f>
        <v/>
      </c>
      <c r="C1929">
        <f>Inputs!$B$3&gt;=74</f>
        <v/>
      </c>
      <c r="D1929">
        <f>IF(Skills!C18=1,60+Inputs!$B$25+Inputs!$B$29,IF(Skills!C18=2,90+Inputs!$B$26+Inputs!$B$29,IF(Skills!C18=3,120+Inputs!$B$27+Inputs!$B$29,MAX(0,(Inputs!$B$3-100)*3)+Inputs!$B$28+Inputs!$B$29)))</f>
        <v/>
      </c>
      <c r="E1929">
        <f>INDEX(FactorTable!$B$2:$Y$301, MATCH(ROUND(MIN(300,MAX(1,D1929)),0), FactorTable!$A$2:$A$301,0), Skills!M18+1)</f>
        <v/>
      </c>
      <c r="F1929">
        <f>IF(Skills!N18=TRUE,(Skills!L18/10)*(E1929/1000),Skills!L18/10)+Skills!O18</f>
        <v/>
      </c>
      <c r="G1929">
        <f>Skills!G18*IF(Skills!H18&gt;0,Skills!I18/Skills!H18,1)</f>
        <v/>
      </c>
      <c r="H1929">
        <f>1-(1-Skills!J18/100)^Skills!K18</f>
        <v/>
      </c>
      <c r="I1929" t="inlineStr">
        <is>
          <t>1</t>
        </is>
      </c>
      <c r="J1929" t="inlineStr"/>
      <c r="K1929" t="inlineStr"/>
      <c r="L1929" t="inlineStr"/>
      <c r="M1929" t="inlineStr"/>
      <c r="N1929" t="inlineStr"/>
      <c r="O1929">
        <f>(1-Summary!$B$11)*T1929+Summary!$B$11*V1929</f>
        <v/>
      </c>
      <c r="P1929">
        <f>IF(B1948=0,0,O1929/B1948)</f>
        <v/>
      </c>
      <c r="Q1929">
        <f>IFERROR(1/(IF(Inputs!$B$38="pvp",15,MAX(0.1,Skills!D18-IF(Skills!E18=TRUE,Inputs!$B$32,0)))*(1-IF(AND(IF(ArtifactsInput!$M$27,FALSE,TRUE),Inputs!$B$4="Chapter Hunt"),CHOOSE(ArtifactsInput!$N$27+1,20,24,28,32,36,40),0)/100)),0)</f>
        <v/>
      </c>
      <c r="R1929">
        <f>IF(AND(Inputs!$B$38&lt;&gt;"pvp",Inputs!$B$43&gt;0),IF(Inputs!$B$43&lt;=0,0,(INT(Inputs!$B$43/(IF(Inputs!$B$38="pvp",15,MAX(0.1,Skills!D18-IF(Skills!E18=TRUE,Inputs!$B$32,0)))*(1-IF(AND(IF(ArtifactsInput!$M$27,FALSE,TRUE),Inputs!$B$4="Chapter Hunt"),CHOOSE(ArtifactsInput!$N$27+1,20,24,28,32,36,40),0)/100)))+1)),0)</f>
        <v/>
      </c>
      <c r="S1929">
        <f>IFERROR(O1929/N1929,0)</f>
        <v/>
      </c>
      <c r="T1929" t="n">
        <v>0</v>
      </c>
      <c r="V1929" t="n">
        <v>0</v>
      </c>
    </row>
    <row r="1930">
      <c r="A1930">
        <f>Skills!A19</f>
        <v/>
      </c>
      <c r="B1930">
        <f>Skills!B19</f>
        <v/>
      </c>
      <c r="C1930">
        <f>TRUE</f>
        <v/>
      </c>
      <c r="D1930">
        <f>IF(Skills!C19=1,60+Inputs!$B$25+Inputs!$B$29,IF(Skills!C19=2,90+Inputs!$B$26+Inputs!$B$29,IF(Skills!C19=3,120+Inputs!$B$27+Inputs!$B$29,MAX(0,(Inputs!$B$3-100)*3)+Inputs!$B$28+Inputs!$B$29)))</f>
        <v/>
      </c>
      <c r="E1930">
        <f>INDEX(FactorTable!$B$2:$Y$301, MATCH(ROUND(MIN(300,MAX(1,D1930)),0), FactorTable!$A$2:$A$301,0), Skills!M19+1)</f>
        <v/>
      </c>
      <c r="F1930">
        <f>IF(Skills!N19=TRUE,(Skills!L19/10)*(E1930/1000),Skills!L19/10)+Skills!O19</f>
        <v/>
      </c>
      <c r="G1930">
        <f>Skills!G19*IF(Skills!H19&gt;0,Skills!I19/Skills!H19,1)</f>
        <v/>
      </c>
      <c r="H1930">
        <f>1-(1-Skills!J19/100)^Skills!K19</f>
        <v/>
      </c>
      <c r="I1930" t="inlineStr">
        <is>
          <t>1</t>
        </is>
      </c>
      <c r="J1930" t="inlineStr"/>
      <c r="K1930" t="inlineStr"/>
      <c r="L1930" t="inlineStr"/>
      <c r="M1930" t="inlineStr"/>
      <c r="N1930" t="inlineStr"/>
      <c r="O1930">
        <f>(1-Summary!$B$11)*T1930+Summary!$B$11*V1930</f>
        <v/>
      </c>
      <c r="P1930">
        <f>IF(B1948=0,0,O1930/B1948)</f>
        <v/>
      </c>
      <c r="Q1930">
        <f>IFERROR(1/(IF(Inputs!$B$38="pvp",15,MAX(0.1,Skills!D19-IF(Skills!E19=TRUE,Inputs!$B$32,0)))*(1-IF(AND(IF(ArtifactsInput!$M$27,FALSE,TRUE),Inputs!$B$4="Chapter Hunt"),CHOOSE(ArtifactsInput!$N$27+1,20,24,28,32,36,40),0)/100)),0)</f>
        <v/>
      </c>
      <c r="R1930">
        <f>IF(AND(Inputs!$B$38&lt;&gt;"pvp",Inputs!$B$43&gt;0),IF(Inputs!$B$43&lt;=0,0,(INT(Inputs!$B$43/(IF(Inputs!$B$38="pvp",15,MAX(0.1,Skills!D19-IF(Skills!E19=TRUE,Inputs!$B$32,0)))*(1-IF(AND(IF(ArtifactsInput!$M$27,FALSE,TRUE),Inputs!$B$4="Chapter Hunt"),CHOOSE(ArtifactsInput!$N$27+1,20,24,28,32,36,40),0)/100)))+1)),0)</f>
        <v/>
      </c>
      <c r="S1930">
        <f>IFERROR(O1930/N1930,0)</f>
        <v/>
      </c>
      <c r="T1930" t="n">
        <v>0</v>
      </c>
      <c r="V1930" t="n">
        <v>0</v>
      </c>
    </row>
    <row r="1931">
      <c r="A1931">
        <f>Skills!A20</f>
        <v/>
      </c>
      <c r="B1931">
        <f>Skills!B20</f>
        <v/>
      </c>
      <c r="C1931">
        <f>Inputs!$B$3&gt;=33</f>
        <v/>
      </c>
      <c r="D1931">
        <f>IF(Skills!C20=1,60+Inputs!$B$25+Inputs!$B$29,IF(Skills!C20=2,90+Inputs!$B$26+Inputs!$B$29,IF(Skills!C20=3,120+Inputs!$B$27+Inputs!$B$29,MAX(0,(Inputs!$B$3-100)*3)+Inputs!$B$28+Inputs!$B$29)))</f>
        <v/>
      </c>
      <c r="E1931">
        <f>INDEX(FactorTable!$B$2:$Y$301, MATCH(ROUND(MIN(300,MAX(1,D1931)),0), FactorTable!$A$2:$A$301,0), Skills!M20+1)</f>
        <v/>
      </c>
      <c r="F1931">
        <f>IF(Skills!N20=TRUE,(Skills!L20/10)*(E1931/1000),Skills!L20/10)+Skills!O20</f>
        <v/>
      </c>
      <c r="G1931">
        <f>Skills!G20*IF(Skills!H20&gt;0,Skills!I20/Skills!H20,1)</f>
        <v/>
      </c>
      <c r="H1931">
        <f>1-(1-Skills!J20/100)^Skills!K20</f>
        <v/>
      </c>
      <c r="I1931" t="inlineStr">
        <is>
          <t>1</t>
        </is>
      </c>
      <c r="J1931" t="inlineStr"/>
      <c r="K1931" t="inlineStr"/>
      <c r="L1931" t="inlineStr"/>
      <c r="M1931" t="inlineStr"/>
      <c r="N1931" t="inlineStr"/>
      <c r="O1931">
        <f>(1-Summary!$B$11)*T1931+Summary!$B$11*V1931</f>
        <v/>
      </c>
      <c r="P1931">
        <f>IF(B1948=0,0,O1931/B1948)</f>
        <v/>
      </c>
      <c r="Q1931" t="n">
        <v>0</v>
      </c>
      <c r="R1931" t="n">
        <v>0</v>
      </c>
      <c r="S1931">
        <f>IFERROR(O1931/N1931,0)</f>
        <v/>
      </c>
      <c r="T1931" t="n">
        <v>0</v>
      </c>
      <c r="V1931" t="n">
        <v>0</v>
      </c>
    </row>
    <row r="1932">
      <c r="A1932">
        <f>Skills!A21</f>
        <v/>
      </c>
      <c r="B1932">
        <f>Skills!B21</f>
        <v/>
      </c>
      <c r="C1932">
        <f>Inputs!$B$3&gt;=38</f>
        <v/>
      </c>
      <c r="D1932">
        <f>IF(Skills!C21=1,60+Inputs!$B$25+Inputs!$B$29,IF(Skills!C21=2,90+Inputs!$B$26+Inputs!$B$29,IF(Skills!C21=3,120+Inputs!$B$27+Inputs!$B$29,MAX(0,(Inputs!$B$3-100)*3)+Inputs!$B$28+Inputs!$B$29)))</f>
        <v/>
      </c>
      <c r="E1932">
        <f>INDEX(FactorTable!$B$2:$Y$301, MATCH(ROUND(MIN(300,MAX(1,D1932)),0), FactorTable!$A$2:$A$301,0), Skills!M21+1)</f>
        <v/>
      </c>
      <c r="F1932">
        <f>IF(Skills!N21=TRUE,(Skills!L21/10)*(E1932/1000),Skills!L21/10)+Skills!O21</f>
        <v/>
      </c>
      <c r="G1932">
        <f>Skills!G21*IF(Skills!H21&gt;0,Skills!I21/Skills!H21,1)</f>
        <v/>
      </c>
      <c r="H1932">
        <f>1-(1-Skills!J21/100)^Skills!K21</f>
        <v/>
      </c>
      <c r="I1932" t="inlineStr">
        <is>
          <t>1</t>
        </is>
      </c>
      <c r="J1932" t="inlineStr"/>
      <c r="K1932" t="inlineStr"/>
      <c r="L1932" t="inlineStr"/>
      <c r="M1932" t="inlineStr"/>
      <c r="N1932" t="inlineStr"/>
      <c r="O1932">
        <f>(1-Summary!$B$11)*T1932+Summary!$B$11*V1932</f>
        <v/>
      </c>
      <c r="P1932">
        <f>IF(B1948=0,0,O1932/B1948)</f>
        <v/>
      </c>
      <c r="Q1932" t="n">
        <v>0</v>
      </c>
      <c r="R1932" t="n">
        <v>0</v>
      </c>
      <c r="S1932">
        <f>IFERROR(O1932/N1932,0)</f>
        <v/>
      </c>
      <c r="T1932" t="n">
        <v>0</v>
      </c>
      <c r="V1932" t="n">
        <v>0</v>
      </c>
    </row>
    <row r="1933">
      <c r="A1933">
        <f>Skills!A22</f>
        <v/>
      </c>
      <c r="B1933">
        <f>Skills!B22</f>
        <v/>
      </c>
      <c r="C1933">
        <f>Inputs!$B$3&gt;=43</f>
        <v/>
      </c>
      <c r="D1933">
        <f>IF(Skills!C22=1,60+Inputs!$B$25+Inputs!$B$29,IF(Skills!C22=2,90+Inputs!$B$26+Inputs!$B$29,IF(Skills!C22=3,120+Inputs!$B$27+Inputs!$B$29,MAX(0,(Inputs!$B$3-100)*3)+Inputs!$B$28+Inputs!$B$29)))</f>
        <v/>
      </c>
      <c r="E1933">
        <f>INDEX(FactorTable!$B$2:$Y$301, MATCH(ROUND(MIN(300,MAX(1,D1933)),0), FactorTable!$A$2:$A$301,0), Skills!M22+1)</f>
        <v/>
      </c>
      <c r="F1933">
        <f>IF(Skills!N22=TRUE,(Skills!L22/10)*(E1933/1000),Skills!L22/10)+Skills!O22</f>
        <v/>
      </c>
      <c r="G1933">
        <f>Skills!G22*IF(Skills!H22&gt;0,Skills!I22/Skills!H22,1)</f>
        <v/>
      </c>
      <c r="H1933">
        <f>1-(1-Skills!J22/100)^Skills!K22</f>
        <v/>
      </c>
      <c r="I1933" t="inlineStr">
        <is>
          <t>1</t>
        </is>
      </c>
      <c r="J1933" t="inlineStr"/>
      <c r="K1933" t="inlineStr"/>
      <c r="L1933" t="inlineStr"/>
      <c r="M1933" t="inlineStr"/>
      <c r="N1933" t="inlineStr"/>
      <c r="O1933">
        <f>(1-Summary!$B$11)*T1933+Summary!$B$11*V1933</f>
        <v/>
      </c>
      <c r="P1933">
        <f>IF(B1948=0,0,O1933/B1948)</f>
        <v/>
      </c>
      <c r="Q1933" t="n">
        <v>0</v>
      </c>
      <c r="R1933" t="n">
        <v>0</v>
      </c>
      <c r="S1933">
        <f>IFERROR(O1933/N1933,0)</f>
        <v/>
      </c>
      <c r="T1933" t="n">
        <v>0</v>
      </c>
      <c r="V1933" t="n">
        <v>0</v>
      </c>
    </row>
    <row r="1934">
      <c r="A1934">
        <f>Skills!A23</f>
        <v/>
      </c>
      <c r="B1934">
        <f>Skills!B23</f>
        <v/>
      </c>
      <c r="C1934">
        <f>Inputs!$B$3&gt;=120</f>
        <v/>
      </c>
      <c r="D1934">
        <f>IF(Skills!C23=1,60+Inputs!$B$25+Inputs!$B$29,IF(Skills!C23=2,90+Inputs!$B$26+Inputs!$B$29,IF(Skills!C23=3,120+Inputs!$B$27+Inputs!$B$29,MAX(0,(Inputs!$B$3-100)*3)+Inputs!$B$28+Inputs!$B$29)))</f>
        <v/>
      </c>
      <c r="E1934">
        <f>INDEX(FactorTable!$B$2:$Y$301, MATCH(ROUND(MIN(300,MAX(1,D1934)),0), FactorTable!$A$2:$A$301,0), Skills!M23+1)</f>
        <v/>
      </c>
      <c r="F1934">
        <f>IF(Skills!N23=TRUE,(Skills!L23/10)*(E1934/1000),Skills!L23/10)+Skills!O23</f>
        <v/>
      </c>
      <c r="G1934">
        <f>Skills!G23*IF(Skills!H23&gt;0,Skills!I23/Skills!H23,1)</f>
        <v/>
      </c>
      <c r="H1934">
        <f>1-(1-Skills!J23/100)^Skills!K23</f>
        <v/>
      </c>
      <c r="I1934" t="inlineStr">
        <is>
          <t>1</t>
        </is>
      </c>
      <c r="J1934" t="inlineStr"/>
      <c r="K1934" t="inlineStr"/>
      <c r="L1934" t="inlineStr"/>
      <c r="M1934" t="inlineStr"/>
      <c r="N1934" t="inlineStr"/>
      <c r="O1934">
        <f>(1-Summary!$B$11)*T1934+Summary!$B$11*V1934</f>
        <v/>
      </c>
      <c r="P1934">
        <f>IF(B1948=0,0,O1934/B1948)</f>
        <v/>
      </c>
      <c r="Q1934" t="n">
        <v>0</v>
      </c>
      <c r="R1934" t="n">
        <v>0</v>
      </c>
      <c r="S1934">
        <f>IFERROR(O1934/N1934,0)</f>
        <v/>
      </c>
      <c r="T1934" t="n">
        <v>0</v>
      </c>
      <c r="V1934" t="n">
        <v>0</v>
      </c>
    </row>
    <row r="1935">
      <c r="A1935">
        <f>Skills!A24</f>
        <v/>
      </c>
      <c r="B1935">
        <f>Skills!B24</f>
        <v/>
      </c>
      <c r="C1935">
        <f>Inputs!$B$3&gt;=120</f>
        <v/>
      </c>
      <c r="D1935">
        <f>IF(Skills!C24=1,60+Inputs!$B$25+Inputs!$B$29,IF(Skills!C24=2,90+Inputs!$B$26+Inputs!$B$29,IF(Skills!C24=3,120+Inputs!$B$27+Inputs!$B$29,MAX(0,(Inputs!$B$3-100)*3)+Inputs!$B$28+Inputs!$B$29)))</f>
        <v/>
      </c>
      <c r="E1935">
        <f>INDEX(FactorTable!$B$2:$Y$301, MATCH(ROUND(MIN(300,MAX(1,D1935)),0), FactorTable!$A$2:$A$301,0), Skills!M24+1)</f>
        <v/>
      </c>
      <c r="F1935">
        <f>IF(Skills!N24=TRUE,(Skills!L24/10)*(E1935/1000),Skills!L24/10)+Skills!O24</f>
        <v/>
      </c>
      <c r="G1935">
        <f>Skills!G24*IF(Skills!H24&gt;0,Skills!I24/Skills!H24,1)</f>
        <v/>
      </c>
      <c r="H1935">
        <f>1-(1-Skills!J24/100)^Skills!K24</f>
        <v/>
      </c>
      <c r="I1935" t="inlineStr">
        <is>
          <t>1</t>
        </is>
      </c>
      <c r="J1935" t="inlineStr"/>
      <c r="K1935" t="inlineStr"/>
      <c r="L1935" t="inlineStr"/>
      <c r="M1935" t="inlineStr"/>
      <c r="N1935" t="inlineStr"/>
      <c r="O1935">
        <f>(1-Summary!$B$11)*T1935+Summary!$B$11*V1935</f>
        <v/>
      </c>
      <c r="P1935">
        <f>IF(B1948=0,0,O1935/B1948)</f>
        <v/>
      </c>
      <c r="Q1935" t="n">
        <v>0</v>
      </c>
      <c r="R1935" t="n">
        <v>0</v>
      </c>
      <c r="S1935">
        <f>IFERROR(O1935/N1935,0)</f>
        <v/>
      </c>
      <c r="T1935" t="n">
        <v>0</v>
      </c>
      <c r="V1935" t="n">
        <v>0</v>
      </c>
    </row>
    <row r="1937">
      <c r="A1937" t="inlineStr">
        <is>
          <t>Attack% Bucket Multiplier</t>
        </is>
      </c>
      <c r="B1937">
        <f>(1+(((C1924=TRUE)*F1924*MIN(1,Skills!T13*(Skills!J13/100)*B1942))+((C1929=TRUE)*F1929*IF(AND(Inputs!$B$38&lt;&gt;"pvp",Inputs!$B$43&gt;0),(((R1929-1)*(Skills!T18*(1+Inputs!$B$34/100))+MIN((Skills!T18*(1+Inputs!$B$34/100)),MAX(0,Inputs!$B$43-((R1929-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38">
      <c r="A1938" t="inlineStr">
        <is>
          <t>Global Crit Rate Bonus %</t>
        </is>
      </c>
      <c r="B1938" t="n">
        <v>0</v>
      </c>
    </row>
    <row r="1939">
      <c r="A1939" t="inlineStr">
        <is>
          <t>Attack Speed Buff Bonus %</t>
        </is>
      </c>
      <c r="B1939">
        <f>((C1930=TRUE)*F1930*IF(AND(Inputs!$B$38&lt;&gt;"pvp",Inputs!$B$43&gt;0),(((R1930-1)*(Skills!T19*(1+Inputs!$B$34/100))+MIN((Skills!T19*(1+Inputs!$B$34/100)),MAX(0,Inputs!$B$43-((R1930-1)*Skills!D19))))/Inputs!$B$43),IF(Inputs!$B$38="pvp",MIN((Skills!T19*(1+Inputs!$B$34/100)),15)/15,(Skills!T19*(1+Inputs!$B$34/100))/Skills!D19)))</f>
        <v/>
      </c>
    </row>
    <row r="1940">
      <c r="A1940" t="inlineStr">
        <is>
          <t>Actions Per Second</t>
        </is>
      </c>
      <c r="B1940">
        <f>1+MIN(150,150*(1-(1-(Inputs!$B$11+((C1931=TRUE)*(F1931-Calc!F20)))/150)*(1-B1939/150)))/100</f>
        <v/>
      </c>
    </row>
    <row r="1941">
      <c r="A1941" t="inlineStr">
        <is>
          <t>Skill + Buff Cast Rate</t>
        </is>
      </c>
      <c r="B1941">
        <f>IF(AND(Inputs!$B$38&lt;&gt;"pvp",Inputs!$B$43&gt;0),SUMPRODUCT((Skills!E2:E24=TRUE)*(C1913:C1935=TRUE)*R1913:R1935*Skills!F2:F24)/Inputs!$B$43,SUMPRODUCT((Skills!E2:E24=TRUE)*(C1913:C1935=TRUE)*Q1913:Q1935*Skills!F2:F24))</f>
        <v/>
      </c>
    </row>
    <row r="1942">
      <c r="A1942" t="inlineStr">
        <is>
          <t>Blast Casts Per Second</t>
        </is>
      </c>
      <c r="B1942">
        <f>MAX(0,B1940-B1941)</f>
        <v/>
      </c>
    </row>
    <row r="1943">
      <c r="A1943" t="inlineStr">
        <is>
          <t>Global Critical Damage Bonus % (unused)</t>
        </is>
      </c>
      <c r="B1943" t="n">
        <v>0</v>
      </c>
    </row>
    <row r="1944">
      <c r="A1944" t="inlineStr">
        <is>
          <t>Global Final Damage Bonus % (Divine Shield + Guardian + Divine Blessing + Greater Vessel of Light)</t>
        </is>
      </c>
      <c r="B1944">
        <f>((C1926=TRUE)*F1926*IF(AND(Inputs!$B$38&lt;&gt;"pvp",Inputs!$B$43&gt;0),(((R1926-1)*(Skills!T15*(1+Inputs!$B$34/100))+MIN((Skills!T15*(1+Inputs!$B$34/100)),MAX(0,Inputs!$B$43-((R1926-1)*Skills!D15))))/Inputs!$B$43),IF(Inputs!$B$38="pvp",MIN((Skills!T15*(1+Inputs!$B$34/100)),15)/15,(Skills!T15*(1+Inputs!$B$34/100))/Skills!D15)))+((C1927=TRUE)*F1927*IF(AND(Inputs!$B$38&lt;&gt;"pvp",Inputs!$B$43&gt;0),(((R1927-1)*(Skills!T16*(1+Inputs!$B$34/100))+MIN((Skills!T16*(1+Inputs!$B$34/100)),MAX(0,Inputs!$B$43-((R1927-1)*Skills!D16))))/Inputs!$B$43),IF(Inputs!$B$38="pvp",MIN((Skills!T16*(1+Inputs!$B$34/100)),15)/15,(Skills!T16*(1+Inputs!$B$34/100))/Skills!D16)))+((C1928=TRUE)*F1928*IF(AND(Inputs!$B$38&lt;&gt;"pvp",Inputs!$B$43&gt;0),(((R1928-1)*(Skills!T17*(1+Inputs!$B$34/100))+MIN((Skills!T17*(1+Inputs!$B$34/100)),MAX(0,Inputs!$B$43-((R1928-1)*Skills!D17))))/Inputs!$B$43),IF(Inputs!$B$38="pvp",MIN((Skills!T17*(1+Inputs!$B$34/100)),15)/15,(Skills!T17*(1+Inputs!$B$34/100))/Skills!D17)))+((C1925=TRUE)*F1925*MIN(1,Skills!T13*(Skills!J13/100)*B1942))</f>
        <v/>
      </c>
    </row>
    <row r="1945">
      <c r="A1945" t="inlineStr">
        <is>
          <t>Buff-Casting Startup Delay (s, fixed-duration only)</t>
        </is>
      </c>
      <c r="B1945">
        <f>IF(AND(Inputs!$B$38&lt;&gt;"pvp",Inputs!$B$43&gt;0),SUMPRODUCT((Skills!T2:T24&gt;0)*(Skills!E2:E24=TRUE)*(C1913:C1935=TRUE))/B1940,0)</f>
        <v/>
      </c>
    </row>
    <row r="1946">
      <c r="A1946" t="inlineStr">
        <is>
          <t>Boss-Only Total DPS (this block's swept value)</t>
        </is>
      </c>
      <c r="B1946">
        <f>SUM(T1913:T1935)</f>
        <v/>
      </c>
    </row>
    <row r="1947">
      <c r="A1947" t="inlineStr">
        <is>
          <t>Normal-Only Total DPS (this block's swept value)</t>
        </is>
      </c>
      <c r="B1947">
        <f>SUM(V1913:V1935)</f>
        <v/>
      </c>
    </row>
    <row r="1948">
      <c r="A1948" s="6" t="inlineStr">
        <is>
          <t>TOTAL DPS</t>
        </is>
      </c>
      <c r="B1948" s="6">
        <f>SUM(O1913:O1935)</f>
        <v/>
      </c>
    </row>
    <row r="1951">
      <c r="A1951" s="6" t="inlineStr">
        <is>
          <t>Stat: Lit Lamp (Equip)</t>
        </is>
      </c>
    </row>
    <row r="1952">
      <c r="A1952" s="5" t="inlineStr">
        <is>
          <t>Key</t>
        </is>
      </c>
      <c r="B1952" s="5" t="inlineStr">
        <is>
          <t>Name</t>
        </is>
      </c>
      <c r="C1952" s="5" t="inlineStr">
        <is>
          <t>Unlocked</t>
        </is>
      </c>
      <c r="D1952" s="5" t="inlineStr">
        <is>
          <t>InputLevel</t>
        </is>
      </c>
      <c r="E1952" s="5" t="inlineStr">
        <is>
          <t>Factor</t>
        </is>
      </c>
      <c r="F1952" s="5" t="inlineStr">
        <is>
          <t>CoefficientPercent</t>
        </is>
      </c>
      <c r="G1952" s="5" t="inlineStr">
        <is>
          <t>EffectiveHits</t>
        </is>
      </c>
      <c r="H1952" s="5" t="inlineStr">
        <is>
          <t>ProcProbability</t>
        </is>
      </c>
      <c r="I1952" s="5" t="inlineStr">
        <is>
          <t>MapleHeroMultiplier</t>
        </is>
      </c>
      <c r="J1952" s="5" t="inlineStr">
        <is>
          <t>BaseDamage</t>
        </is>
      </c>
      <c r="K1952" s="5" t="inlineStr">
        <is>
          <t>BaseHitDamage</t>
        </is>
      </c>
      <c r="L1952" s="5" t="inlineStr">
        <is>
          <t>NonCritAvg</t>
        </is>
      </c>
      <c r="M1952" s="5" t="inlineStr">
        <is>
          <t>CritAvg</t>
        </is>
      </c>
      <c r="N1952" s="5" t="inlineStr">
        <is>
          <t>ExpectedDamage(perHit)</t>
        </is>
      </c>
      <c r="O1952" s="5" t="inlineStr">
        <is>
          <t>DPS</t>
        </is>
      </c>
      <c r="P1952" s="5" t="inlineStr">
        <is>
          <t>% of Total</t>
        </is>
      </c>
      <c r="Q1952" s="5" t="inlineStr">
        <is>
          <t>InvCooldown</t>
        </is>
      </c>
      <c r="R1952" s="5" t="inlineStr">
        <is>
          <t>CastsInFight</t>
        </is>
      </c>
      <c r="S1952" s="5" t="inlineStr">
        <is>
          <t>HitRate(perSec)</t>
        </is>
      </c>
      <c r="U1952" t="inlineStr">
        <is>
          <t>helpers</t>
        </is>
      </c>
    </row>
    <row r="1953">
      <c r="A1953">
        <f>Skills!A2</f>
        <v/>
      </c>
      <c r="B1953">
        <f>Skills!B2</f>
        <v/>
      </c>
      <c r="C1953">
        <f>Inputs!$B$3&gt;=100</f>
        <v/>
      </c>
      <c r="D1953" t="inlineStr"/>
      <c r="E1953" t="inlineStr"/>
      <c r="F1953">
        <f>U1955+Skills!O2</f>
        <v/>
      </c>
      <c r="G1953">
        <f>Skills!G2*IF(Skills!H2&gt;0,Skills!I2/Skills!H2,1)</f>
        <v/>
      </c>
      <c r="H1953">
        <f>1-(1-Skills!J2/100)^Skills!K2</f>
        <v/>
      </c>
      <c r="I1953" t="inlineStr">
        <is>
          <t>1</t>
        </is>
      </c>
      <c r="J1953">
        <f>((Inputs!$B$6*(1+Inputs!$B$7/100))+(((Inputs!$B$12*(1+Inputs!$B$13/100))-(Inputs!$B$12*(1+Inputs!$B$13/100)))+0.25*(Inputs!$B$14-Inputs!$B$14))*(1+Inputs!$B$7/100))*(F1953/100)</f>
        <v/>
      </c>
      <c r="K1953">
        <f>J1953*(1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1953)</f>
        <v/>
      </c>
      <c r="L1953">
        <f>K1953*(MIN(Inputs!$B$22+((C1973=TRUE)*(F1973-Calc!F22)),(Inputs!$B$23+((C1975=TRUE)*(F1975-Calc!F24))+(IF(ArtifactsInput!$M$15,CHOOSE(ArtifactsInput!$N$15+1,25,30,35,40,45,50)/100*(Inputs!$B$11-Inputs!$B$11),0))))/100+(Inputs!$B$23+((C1975=TRUE)*(F1975-Calc!F24))+(IF(ArtifactsInput!$M$15,CHOOSE(ArtifactsInput!$N$15+1,25,30,35,40,45,50)/100*(Inputs!$B$11-Inputs!$B$11),0)))/100)/2</f>
        <v/>
      </c>
      <c r="M1953">
        <f>L1953*(1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3">
        <f>L1953*(1-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1953*(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3">
        <f>(1-Summary!$B$11)*T1953+Summary!$B$11*V1953</f>
        <v/>
      </c>
      <c r="P1953">
        <f>IF(B1988=0,0,O1953/B1988)</f>
        <v/>
      </c>
      <c r="Q1953" t="n">
        <v>0</v>
      </c>
      <c r="R1953" t="n">
        <v>0</v>
      </c>
      <c r="S1953">
        <f>IFERROR(O1953/N1953,0)</f>
        <v/>
      </c>
      <c r="T1953">
        <f>IF(C1953,(Skills!G2*N1953*B1982)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1953*(1-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1953*(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1953*(1-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1953*(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3">
        <f>MAX(0,(Inputs!$B$3-100)*3)+Inputs!$B$28+Inputs!$B$29</f>
        <v/>
      </c>
      <c r="V1953">
        <f>IF(C1953,(Skills!G2*N1953*B1982)*IF(Inputs!$B$38="pvp",1,(1+(Inputs!$B$21+Skills!Q2+(IF(ArtifactsInput!$M$33,CHOOSE(ArtifactsInput!$N$33+1,30,36,42,48,54,60),0))+(IF(AND(ArtifactsInput!$M$35,Inputs!$B$4&lt;&gt;"Chapter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4">
      <c r="A1954">
        <f>Skills!A3</f>
        <v/>
      </c>
      <c r="B1954">
        <f>Skills!B3</f>
        <v/>
      </c>
      <c r="C1954">
        <f>Inputs!$B$3&gt;=50</f>
        <v/>
      </c>
      <c r="D1954">
        <f>IF(Skills!C3=1,60+Inputs!$B$25+Inputs!$B$29,IF(Skills!C3=2,90+Inputs!$B$26+Inputs!$B$29,IF(Skills!C3=3,120+Inputs!$B$27+Inputs!$B$29,MAX(0,(Inputs!$B$3-100)*3)+Inputs!$B$28+Inputs!$B$29)))</f>
        <v/>
      </c>
      <c r="E1954">
        <f>INDEX(FactorTable!$B$2:$Y$301, MATCH(ROUND(MIN(300,MAX(1,D1954)),0), FactorTable!$A$2:$A$301,0), Skills!M3+1)</f>
        <v/>
      </c>
      <c r="F1954">
        <f>IF(Skills!N3=TRUE,(Skills!L3/10)*(E1954/1000),Skills!L3/10)+Skills!O3</f>
        <v/>
      </c>
      <c r="G1954" t="inlineStr"/>
      <c r="H1954" t="inlineStr"/>
      <c r="I1954" t="inlineStr">
        <is>
          <t>1</t>
        </is>
      </c>
      <c r="J1954" t="inlineStr"/>
      <c r="K1954" t="inlineStr"/>
      <c r="L1954" t="inlineStr"/>
      <c r="M1954" t="inlineStr"/>
      <c r="N1954" t="inlineStr"/>
      <c r="O1954" t="inlineStr"/>
      <c r="P1954" t="inlineStr"/>
      <c r="Q1954" t="inlineStr"/>
      <c r="R1954" t="inlineStr"/>
      <c r="S1954" t="inlineStr"/>
      <c r="U1954">
        <f>INDEX(FactorTable!$B$2:$Y$301, MATCH(ROUND(MIN(300,MAX(1,U1953)),0), FactorTable!$A$2:$A$301,0), 22)</f>
        <v/>
      </c>
    </row>
    <row r="1955">
      <c r="A1955">
        <f>Skills!A4</f>
        <v/>
      </c>
      <c r="B1955">
        <f>Skills!B4</f>
        <v/>
      </c>
      <c r="C1955">
        <f>Inputs!$B$3&gt;=35</f>
        <v/>
      </c>
      <c r="D1955">
        <f>IF(Skills!C4=1,60+Inputs!$B$25+Inputs!$B$29,IF(Skills!C4=2,90+Inputs!$B$26+Inputs!$B$29,IF(Skills!C4=3,120+Inputs!$B$27+Inputs!$B$29,MAX(0,(Inputs!$B$3-100)*3)+Inputs!$B$28+Inputs!$B$29)))</f>
        <v/>
      </c>
      <c r="E1955">
        <f>INDEX(FactorTable!$B$2:$Y$301, MATCH(ROUND(MIN(300,MAX(1,D1955)),0), FactorTable!$A$2:$A$301,0), Skills!M4+1)</f>
        <v/>
      </c>
      <c r="F1955">
        <f>IF(Skills!N4=TRUE,(Skills!L4/10)*(E1955/1000),Skills!L4/10)+Skills!O4</f>
        <v/>
      </c>
      <c r="G1955">
        <f>Skills!G4*IF(Skills!H4&gt;0,Skills!I4/Skills!H4,1)</f>
        <v/>
      </c>
      <c r="H1955">
        <f>1-(1-Skills!J4/100)^Skills!K4</f>
        <v/>
      </c>
      <c r="I1955" t="inlineStr">
        <is>
          <t>1</t>
        </is>
      </c>
      <c r="J1955">
        <f>((Inputs!$B$6*(1+Inputs!$B$7/100))+(((Inputs!$B$12*(1+Inputs!$B$13/100))-(Inputs!$B$12*(1+Inputs!$B$13/100)))+0.25*(Inputs!$B$14-Inputs!$B$14))*(1+Inputs!$B$7/100))*(F1955/100)</f>
        <v/>
      </c>
      <c r="K1955">
        <f>J1955*(1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1963=TRUE,F1963,0)/100)*(1+(IF(Skills!A4="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1955)</f>
        <v/>
      </c>
      <c r="L1955">
        <f>K1955*(MIN(Inputs!$B$22+((C1973=TRUE)*(F1973-Calc!F22)),(Inputs!$B$23+((C1975=TRUE)*(F1975-Calc!F24))+(IF(ArtifactsInput!$M$15,CHOOSE(ArtifactsInput!$N$15+1,25,30,35,40,45,50)/100*(Inputs!$B$11-Inputs!$B$11),0))))/100+(Inputs!$B$23+((C1975=TRUE)*(F1975-Calc!F24))+(IF(ArtifactsInput!$M$15,CHOOSE(ArtifactsInput!$N$15+1,25,30,35,40,45,50)/100*(Inputs!$B$11-Inputs!$B$11),0)))/100)/2</f>
        <v/>
      </c>
      <c r="M1955">
        <f>L1955*(1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5">
        <f>L1955*(1-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1955*(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5">
        <f>(1-Summary!$B$11)*T1955+Summary!$B$11*V1955</f>
        <v/>
      </c>
      <c r="P1955">
        <f>IF(B1988=0,0,O1955/B1988)</f>
        <v/>
      </c>
      <c r="Q1955">
        <f>IFERROR(1/(IF(Inputs!$B$38="pvp",15,MAX(0.1,Skills!D4-IF(Skills!E4=TRUE,Inputs!$B$32,0)))*(1-IF(AND(ArtifactsInput!$M$27,Inputs!$B$4="Chapter Hunt"),CHOOSE(ArtifactsInput!$N$27+1,20,24,28,32,36,40),0)/100)),0)</f>
        <v/>
      </c>
      <c r="R1955">
        <f>IF(AND(Inputs!$B$38&lt;&gt;"pvp",Inputs!$B$43&gt;0),IF(MAX(0,Inputs!$B$43-B1985)&lt;=0,0,(INT(MAX(0,Inputs!$B$43-B1985)/(IF(Inputs!$B$38="pvp",15,MAX(0.1,Skills!D4-IF(Skills!E4=TRUE,Inputs!$B$32,0)))*(1-IF(AND(ArtifactsInput!$M$27,Inputs!$B$4="Chapter Hunt"),CHOOSE(ArtifactsInput!$N$27+1,20,24,28,32,36,40),0)/100)))+1)),0)</f>
        <v/>
      </c>
      <c r="S1955">
        <f>IFERROR(O1955/N1955,0)</f>
        <v/>
      </c>
      <c r="T1955">
        <f>IF(C1955,(H1955*N1955*IF(AND(Inputs!$B$38&lt;&gt;"pvp",Inputs!$B$43&gt;0),((Skills!G4*((R1955-1)*IF(Skills!H4&gt;0,Skills!I4/Skills!H4,1)+IF(Skills!H4&gt;0,MIN(Skills!I4,MAX(0,MAX(0,Inputs!$B$43-B1985)-((R1955-1)*(IF(Inputs!$B$38="pvp",15,MAX(0.1,Skills!D4-IF(Skills!E4=TRUE,Inputs!$B$32,0)))*(1-IF(AND(ArtifactsInput!$M$27,Inputs!$B$4="Chapter Hunt"),CHOOSE(ArtifactsInput!$N$27+1,20,24,28,32,36,40),0)/100)))))/Skills!H4,1)))/Inputs!$B$43),G1955*Q1955)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1955*(1-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1955*(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1955*(1-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1955*(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55">
        <f>290*U1954/1000</f>
        <v/>
      </c>
      <c r="V1955">
        <f>IF(C1955,(H1955*N1955*IF(AND(Inputs!$B$38&lt;&gt;"pvp",Inputs!$B$43&gt;0),((Skills!G4*((R1955-1)*IF(Skills!H4&gt;0,Skills!I4/Skills!H4,1)+IF(Skills!H4&gt;0,MIN(Skills!I4,MAX(0,MAX(0,Inputs!$B$43-B1985)-((R1955-1)*(IF(Inputs!$B$38="pvp",15,MAX(0.1,Skills!D4-IF(Skills!E4=TRUE,Inputs!$B$32,0)))*(1-IF(AND(ArtifactsInput!$M$27,Inputs!$B$4="Chapter Hunt"),CHOOSE(ArtifactsInput!$N$27+1,20,24,28,32,36,40),0)/100)))))/Skills!H4,1)))/Inputs!$B$43),G1955*Q1955))*IF(Inputs!$B$38="pvp",1,(1+(Inputs!$B$21+Skills!Q4+(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6">
      <c r="A1956">
        <f>Skills!A5</f>
        <v/>
      </c>
      <c r="B1956">
        <f>Skills!B5</f>
        <v/>
      </c>
      <c r="C1956">
        <f>Inputs!$B$3&gt;=66</f>
        <v/>
      </c>
      <c r="D1956">
        <f>IF(Skills!C5=1,60+Inputs!$B$25+Inputs!$B$29,IF(Skills!C5=2,90+Inputs!$B$26+Inputs!$B$29,IF(Skills!C5=3,120+Inputs!$B$27+Inputs!$B$29,MAX(0,(Inputs!$B$3-100)*3)+Inputs!$B$28+Inputs!$B$29)))</f>
        <v/>
      </c>
      <c r="E1956">
        <f>INDEX(FactorTable!$B$2:$Y$301, MATCH(ROUND(MIN(300,MAX(1,D1956)),0), FactorTable!$A$2:$A$301,0), Skills!M5+1)</f>
        <v/>
      </c>
      <c r="F1956">
        <f>IF(Skills!N5=TRUE,(Skills!L5/10)*(E1956/1000),Skills!L5/10)+Skills!O5</f>
        <v/>
      </c>
      <c r="G1956">
        <f>Skills!G5*IF(Skills!H5&gt;0,Skills!I5/Skills!H5,1)</f>
        <v/>
      </c>
      <c r="H1956">
        <f>1-(1-Skills!J5/100)^Skills!K5</f>
        <v/>
      </c>
      <c r="I1956" t="inlineStr">
        <is>
          <t>1</t>
        </is>
      </c>
      <c r="J1956">
        <f>((Inputs!$B$6*(1+Inputs!$B$7/100))+(((Inputs!$B$12*(1+Inputs!$B$13/100))-(Inputs!$B$12*(1+Inputs!$B$13/100)))+0.25*(Inputs!$B$14-Inputs!$B$14))*(1+Inputs!$B$7/100))*(F1956/100)</f>
        <v/>
      </c>
      <c r="K1956">
        <f>J1956*(1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1963=TRUE,F1963,0)/100)*(1+(IF(Skills!A5="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1956)</f>
        <v/>
      </c>
      <c r="L1956">
        <f>K1956*(MIN(Inputs!$B$22+((C1973=TRUE)*(F1973-Calc!F22)),(Inputs!$B$23+((C1975=TRUE)*(F1975-Calc!F24))+(IF(ArtifactsInput!$M$15,CHOOSE(ArtifactsInput!$N$15+1,25,30,35,40,45,50)/100*(Inputs!$B$11-Inputs!$B$11),0))))/100+(Inputs!$B$23+((C1975=TRUE)*(F1975-Calc!F24))+(IF(ArtifactsInput!$M$15,CHOOSE(ArtifactsInput!$N$15+1,25,30,35,40,45,50)/100*(Inputs!$B$11-Inputs!$B$11),0)))/100)/2</f>
        <v/>
      </c>
      <c r="M1956">
        <f>L1956*(1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6">
        <f>L1956*(1-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1956*(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6">
        <f>(1-Summary!$B$11)*T1956+Summary!$B$11*V1956</f>
        <v/>
      </c>
      <c r="P1956">
        <f>IF(B1988=0,0,O1956/B1988)</f>
        <v/>
      </c>
      <c r="Q1956">
        <f>IFERROR(1/(IF(Inputs!$B$38="pvp",15,MAX(0.1,Skills!D5-IF(Skills!E5=TRUE,Inputs!$B$32,0)))*(1-IF(AND(ArtifactsInput!$M$27,Inputs!$B$4="Chapter Hunt"),CHOOSE(ArtifactsInput!$N$27+1,20,24,28,32,36,40),0)/100)),0)</f>
        <v/>
      </c>
      <c r="R1956">
        <f>IF(AND(Inputs!$B$38&lt;&gt;"pvp",Inputs!$B$43&gt;0),IF(MAX(0,Inputs!$B$43-B1985)&lt;=0,0,(INT(MAX(0,Inputs!$B$43-B1985)/(IF(Inputs!$B$38="pvp",15,MAX(0.1,Skills!D5-IF(Skills!E5=TRUE,Inputs!$B$32,0)))*(1-IF(AND(ArtifactsInput!$M$27,Inputs!$B$4="Chapter Hunt"),CHOOSE(ArtifactsInput!$N$27+1,20,24,28,32,36,40),0)/100)))+1)),0)</f>
        <v/>
      </c>
      <c r="S1956">
        <f>IFERROR(O1956/N1956,0)</f>
        <v/>
      </c>
      <c r="T1956">
        <f>IF(C1956,(H1956*N1956*IF(AND(Inputs!$B$38&lt;&gt;"pvp",Inputs!$B$43&gt;0),((Skills!G5*((R1956-1)*IF(Skills!H5&gt;0,Skills!I5/Skills!H5,1)+IF(Skills!H5&gt;0,MIN(Skills!I5,MAX(0,MAX(0,Inputs!$B$43-B1985)-((R1956-1)*(IF(Inputs!$B$38="pvp",15,MAX(0.1,Skills!D5-IF(Skills!E5=TRUE,Inputs!$B$32,0)))*(1-IF(AND(ArtifactsInput!$M$27,Inputs!$B$4="Chapter Hunt"),CHOOSE(ArtifactsInput!$N$27+1,20,24,28,32,36,40),0)/100)))))/Skills!H5,1)))/Inputs!$B$43),G1956*Q1956)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1956*(1-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1956*(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1956*(1-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1956*(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6">
        <f>IF(C1956,(H1956*N1956*IF(AND(Inputs!$B$38&lt;&gt;"pvp",Inputs!$B$43&gt;0),((Skills!G5*((R1956-1)*IF(Skills!H5&gt;0,Skills!I5/Skills!H5,1)+IF(Skills!H5&gt;0,MIN(Skills!I5,MAX(0,MAX(0,Inputs!$B$43-B1985)-((R1956-1)*(IF(Inputs!$B$38="pvp",15,MAX(0.1,Skills!D5-IF(Skills!E5=TRUE,Inputs!$B$32,0)))*(1-IF(AND(ArtifactsInput!$M$27,Inputs!$B$4="Chapter Hunt"),CHOOSE(ArtifactsInput!$N$27+1,20,24,28,32,36,40),0)/100)))))/Skills!H5,1)))/Inputs!$B$43),G1956*Q1956))*IF(Inputs!$B$38="pvp",1,(1+(Inputs!$B$21+Skills!Q5+(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7">
      <c r="A1957">
        <f>Skills!A6</f>
        <v/>
      </c>
      <c r="B1957">
        <f>Skills!B6</f>
        <v/>
      </c>
      <c r="C1957">
        <f>Inputs!$B$3&gt;=103</f>
        <v/>
      </c>
      <c r="D1957">
        <f>IF(Skills!C6=1,60+Inputs!$B$25+Inputs!$B$29,IF(Skills!C6=2,90+Inputs!$B$26+Inputs!$B$29,IF(Skills!C6=3,120+Inputs!$B$27+Inputs!$B$29,MAX(0,(Inputs!$B$3-100)*3)+Inputs!$B$28+Inputs!$B$29)))</f>
        <v/>
      </c>
      <c r="E1957">
        <f>INDEX(FactorTable!$B$2:$Y$301, MATCH(ROUND(MIN(300,MAX(1,D1957)),0), FactorTable!$A$2:$A$301,0), Skills!M6+1)</f>
        <v/>
      </c>
      <c r="F1957">
        <f>IF(Skills!N6=TRUE,(Skills!L6/10)*(E1957/1000),Skills!L6/10)+Skills!O6</f>
        <v/>
      </c>
      <c r="G1957">
        <f>Skills!G6*IF(Skills!H6&gt;0,Skills!I6/Skills!H6,1)</f>
        <v/>
      </c>
      <c r="H1957">
        <f>1-(1-Skills!J6/100)^Skills!K6</f>
        <v/>
      </c>
      <c r="I1957" t="inlineStr">
        <is>
          <t>1</t>
        </is>
      </c>
      <c r="J1957">
        <f>((Inputs!$B$6*(1+Inputs!$B$7/100))+(((Inputs!$B$12*(1+Inputs!$B$13/100))-(Inputs!$B$12*(1+Inputs!$B$13/100)))+0.25*(Inputs!$B$14-Inputs!$B$14))*(1+Inputs!$B$7/100))*(F1957/100)</f>
        <v/>
      </c>
      <c r="K1957">
        <f>J1957*(1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1957)</f>
        <v/>
      </c>
      <c r="L1957">
        <f>K1957*(MIN(Inputs!$B$22+((C1973=TRUE)*(F1973-Calc!F22)),(Inputs!$B$23+((C1975=TRUE)*(F1975-Calc!F24))+(IF(ArtifactsInput!$M$15,CHOOSE(ArtifactsInput!$N$15+1,25,30,35,40,45,50)/100*(Inputs!$B$11-Inputs!$B$11),0))))/100+(Inputs!$B$23+((C1975=TRUE)*(F1975-Calc!F24))+(IF(ArtifactsInput!$M$15,CHOOSE(ArtifactsInput!$N$15+1,25,30,35,40,45,50)/100*(Inputs!$B$11-Inputs!$B$11),0)))/100)/2</f>
        <v/>
      </c>
      <c r="M1957">
        <f>L1957*(1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7">
        <f>L1957*(1-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1957*(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7">
        <f>(1-Summary!$B$11)*T1957+Summary!$B$11*V1957</f>
        <v/>
      </c>
      <c r="P1957">
        <f>IF(B1988=0,0,O1957/B1988)</f>
        <v/>
      </c>
      <c r="Q1957">
        <f>IFERROR(1/(IF(Inputs!$B$38="pvp",15,MAX(0.1,Skills!D6-IF(Skills!E6=TRUE,Inputs!$B$32,0)))*(1-IF(AND(ArtifactsInput!$M$27,Inputs!$B$4="Chapter Hunt"),CHOOSE(ArtifactsInput!$N$27+1,20,24,28,32,36,40),0)/100)),0)</f>
        <v/>
      </c>
      <c r="R1957">
        <f>IF(AND(Inputs!$B$38&lt;&gt;"pvp",Inputs!$B$43&gt;0),IF(MAX(0,Inputs!$B$43-B1985)&lt;=0,0,(INT(MAX(0,Inputs!$B$43-B1985)/(IF(Inputs!$B$38="pvp",15,MAX(0.1,Skills!D6-IF(Skills!E6=TRUE,Inputs!$B$32,0)))*(1-IF(AND(ArtifactsInput!$M$27,Inputs!$B$4="Chapter Hunt"),CHOOSE(ArtifactsInput!$N$27+1,20,24,28,32,36,40),0)/100)))+1)),0)</f>
        <v/>
      </c>
      <c r="S1957">
        <f>IFERROR(O1957/N1957,0)</f>
        <v/>
      </c>
      <c r="T1957">
        <f>IF(C1957,(H1957*N1957*IF(AND(Inputs!$B$38&lt;&gt;"pvp",Inputs!$B$43&gt;0),((Skills!G6*((R1957-1)*IF(Skills!H6&gt;0,Skills!I6/Skills!H6,1)+IF(Skills!H6&gt;0,MIN(Skills!I6,MAX(0,MAX(0,Inputs!$B$43-B1985)-((R1957-1)*(IF(Inputs!$B$38="pvp",15,MAX(0.1,Skills!D6-IF(Skills!E6=TRUE,Inputs!$B$32,0)))*(1-IF(AND(ArtifactsInput!$M$27,Inputs!$B$4="Chapter Hunt"),CHOOSE(ArtifactsInput!$N$27+1,20,24,28,32,36,40),0)/100)))))/Skills!H6,1)))/Inputs!$B$43),G1957*Q1957)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1957*(1-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1957*(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1957*(1-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1957*(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7">
        <f>IF(C1957,(H1957*N1957*IF(AND(Inputs!$B$38&lt;&gt;"pvp",Inputs!$B$43&gt;0),((Skills!G6*((R1957-1)*IF(Skills!H6&gt;0,Skills!I6/Skills!H6,1)+IF(Skills!H6&gt;0,MIN(Skills!I6,MAX(0,MAX(0,Inputs!$B$43-B1985)-((R1957-1)*(IF(Inputs!$B$38="pvp",15,MAX(0.1,Skills!D6-IF(Skills!E6=TRUE,Inputs!$B$32,0)))*(1-IF(AND(ArtifactsInput!$M$27,Inputs!$B$4="Chapter Hunt"),CHOOSE(ArtifactsInput!$N$27+1,20,24,28,32,36,40),0)/100)))))/Skills!H6,1)))/Inputs!$B$43),G1957*Q1957))*IF(Inputs!$B$38="pvp",1,(1+(Inputs!$B$21+Skills!Q6+(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8">
      <c r="A1958">
        <f>Skills!A7</f>
        <v/>
      </c>
      <c r="B1958">
        <f>Skills!B7</f>
        <v/>
      </c>
      <c r="C1958">
        <f>Inputs!$B$3&gt;=107</f>
        <v/>
      </c>
      <c r="D1958">
        <f>IF(Skills!C7=1,60+Inputs!$B$25+Inputs!$B$29,IF(Skills!C7=2,90+Inputs!$B$26+Inputs!$B$29,IF(Skills!C7=3,120+Inputs!$B$27+Inputs!$B$29,MAX(0,(Inputs!$B$3-100)*3)+Inputs!$B$28+Inputs!$B$29)))</f>
        <v/>
      </c>
      <c r="E1958">
        <f>INDEX(FactorTable!$B$2:$Y$301, MATCH(ROUND(MIN(300,MAX(1,D1958)),0), FactorTable!$A$2:$A$301,0), Skills!M7+1)</f>
        <v/>
      </c>
      <c r="F1958">
        <f>IF(Skills!N7=TRUE,(Skills!L7/10)*(E1958/1000),Skills!L7/10)+Skills!O7</f>
        <v/>
      </c>
      <c r="G1958">
        <f>Skills!G7*IF(Skills!H7&gt;0,Skills!I7/Skills!H7,1)</f>
        <v/>
      </c>
      <c r="H1958">
        <f>1-(1-Skills!J7/100)^Skills!K7</f>
        <v/>
      </c>
      <c r="I1958" t="inlineStr">
        <is>
          <t>1</t>
        </is>
      </c>
      <c r="J1958">
        <f>((Inputs!$B$6*(1+Inputs!$B$7/100))+(((Inputs!$B$12*(1+Inputs!$B$13/100))-(Inputs!$B$12*(1+Inputs!$B$13/100)))+0.25*(Inputs!$B$14-Inputs!$B$14))*(1+Inputs!$B$7/100))*(F1958/100)</f>
        <v/>
      </c>
      <c r="K1958">
        <f>J1958*(1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1958)</f>
        <v/>
      </c>
      <c r="L1958">
        <f>K1958*(MIN(Inputs!$B$22+((C1973=TRUE)*(F1973-Calc!F22)),(Inputs!$B$23+((C1975=TRUE)*(F1975-Calc!F24))+(IF(ArtifactsInput!$M$15,CHOOSE(ArtifactsInput!$N$15+1,25,30,35,40,45,50)/100*(Inputs!$B$11-Inputs!$B$11),0))))/100+(Inputs!$B$23+((C1975=TRUE)*(F1975-Calc!F24))+(IF(ArtifactsInput!$M$15,CHOOSE(ArtifactsInput!$N$15+1,25,30,35,40,45,50)/100*(Inputs!$B$11-Inputs!$B$11),0)))/100)/2</f>
        <v/>
      </c>
      <c r="M1958">
        <f>L1958*(1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8">
        <f>L1958*(1-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1958*(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8">
        <f>(1-Summary!$B$11)*T1958+Summary!$B$11*V1958</f>
        <v/>
      </c>
      <c r="P1958">
        <f>IF(B1988=0,0,O1958/B1988)</f>
        <v/>
      </c>
      <c r="Q1958">
        <f>IFERROR(1/(IF(Inputs!$B$38="pvp",15,MAX(0.1,Skills!D7-IF(Skills!E7=TRUE,Inputs!$B$32,0)))*(1-IF(AND(ArtifactsInput!$M$27,Inputs!$B$4="Chapter Hunt"),CHOOSE(ArtifactsInput!$N$27+1,20,24,28,32,36,40),0)/100)),0)</f>
        <v/>
      </c>
      <c r="R1958">
        <f>IF(AND(Inputs!$B$38&lt;&gt;"pvp",Inputs!$B$43&gt;0),IF(MAX(0,Inputs!$B$43-B1985)&lt;=0,0,(INT(MAX(0,Inputs!$B$43-B1985)/(IF(Inputs!$B$38="pvp",15,MAX(0.1,Skills!D7-IF(Skills!E7=TRUE,Inputs!$B$32,0)))*(1-IF(AND(ArtifactsInput!$M$27,Inputs!$B$4="Chapter Hunt"),CHOOSE(ArtifactsInput!$N$27+1,20,24,28,32,36,40),0)/100)))+1)),0)</f>
        <v/>
      </c>
      <c r="S1958">
        <f>IFERROR(O1958/N1958,0)</f>
        <v/>
      </c>
      <c r="T1958">
        <f>IF(C1958,(H1958*N1958*IF(AND(Inputs!$B$38&lt;&gt;"pvp",Inputs!$B$43&gt;0),((Skills!G7*((R1958-1)*IF(Skills!H7&gt;0,Skills!I7/Skills!H7,1)+IF(Skills!H7&gt;0,MIN(Skills!I7,MAX(0,MAX(0,Inputs!$B$43-B1985)-((R1958-1)*(IF(Inputs!$B$38="pvp",15,MAX(0.1,Skills!D7-IF(Skills!E7=TRUE,Inputs!$B$32,0)))*(1-IF(AND(ArtifactsInput!$M$27,Inputs!$B$4="Chapter Hunt"),CHOOSE(ArtifactsInput!$N$27+1,20,24,28,32,36,40),0)/100)))))/Skills!H7,1)))/Inputs!$B$43),G1958*Q1958)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1958*(1-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1958*(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1958*(1-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1958*(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8">
        <f>IF(C1958,(H1958*N1958*IF(AND(Inputs!$B$38&lt;&gt;"pvp",Inputs!$B$43&gt;0),((Skills!G7*((R1958-1)*IF(Skills!H7&gt;0,Skills!I7/Skills!H7,1)+IF(Skills!H7&gt;0,MIN(Skills!I7,MAX(0,MAX(0,Inputs!$B$43-B1985)-((R1958-1)*(IF(Inputs!$B$38="pvp",15,MAX(0.1,Skills!D7-IF(Skills!E7=TRUE,Inputs!$B$32,0)))*(1-IF(AND(ArtifactsInput!$M$27,Inputs!$B$4="Chapter Hunt"),CHOOSE(ArtifactsInput!$N$27+1,20,24,28,32,36,40),0)/100)))))/Skills!H7,1)))/Inputs!$B$43),G1958*Q1958))*IF(Inputs!$B$38="pvp",1,(1+(Inputs!$B$21+Skills!Q7+(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59">
      <c r="A1959">
        <f>Skills!A8</f>
        <v/>
      </c>
      <c r="B1959">
        <f>Skills!B8</f>
        <v/>
      </c>
      <c r="C1959">
        <f>Inputs!$B$3&gt;=107</f>
        <v/>
      </c>
      <c r="D1959">
        <f>IF(Skills!C8=1,60+Inputs!$B$25+Inputs!$B$29,IF(Skills!C8=2,90+Inputs!$B$26+Inputs!$B$29,IF(Skills!C8=3,120+Inputs!$B$27+Inputs!$B$29,MAX(0,(Inputs!$B$3-100)*3)+Inputs!$B$28+Inputs!$B$29)))</f>
        <v/>
      </c>
      <c r="E1959">
        <f>INDEX(FactorTable!$B$2:$Y$301, MATCH(ROUND(MIN(300,MAX(1,D1959)),0), FactorTable!$A$2:$A$301,0), Skills!M8+1)</f>
        <v/>
      </c>
      <c r="F1959">
        <f>IF(Skills!N8=TRUE,(Skills!L8/10)*(E1959/1000),Skills!L8/10)+Skills!O8</f>
        <v/>
      </c>
      <c r="G1959">
        <f>Skills!G8*IF(Skills!H8&gt;0,Skills!I8/Skills!H8,1)</f>
        <v/>
      </c>
      <c r="H1959">
        <f>1-(1-Skills!J8/100)^Skills!K8</f>
        <v/>
      </c>
      <c r="I1959" t="inlineStr">
        <is>
          <t>1</t>
        </is>
      </c>
      <c r="J1959">
        <f>((Inputs!$B$6*(1+Inputs!$B$7/100))+(((Inputs!$B$12*(1+Inputs!$B$13/100))-(Inputs!$B$12*(1+Inputs!$B$13/100)))+0.25*(Inputs!$B$14-Inputs!$B$14))*(1+Inputs!$B$7/100))*(F1959/100)</f>
        <v/>
      </c>
      <c r="K1959">
        <f>J1959*(1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1959)</f>
        <v/>
      </c>
      <c r="L1959">
        <f>K1959*(MIN(Inputs!$B$22+((C1973=TRUE)*(F1973-Calc!F22)),(Inputs!$B$23+((C1975=TRUE)*(F1975-Calc!F24))+(IF(ArtifactsInput!$M$15,CHOOSE(ArtifactsInput!$N$15+1,25,30,35,40,45,50)/100*(Inputs!$B$11-Inputs!$B$11),0))))/100+(Inputs!$B$23+((C1975=TRUE)*(F1975-Calc!F24))+(IF(ArtifactsInput!$M$15,CHOOSE(ArtifactsInput!$N$15+1,25,30,35,40,45,50)/100*(Inputs!$B$11-Inputs!$B$11),0)))/100)/2</f>
        <v/>
      </c>
      <c r="M1959">
        <f>L1959*(1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9">
        <f>L1959*(1-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1959*(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9">
        <f>(1-Summary!$B$11)*T1959+Summary!$B$11*V1959</f>
        <v/>
      </c>
      <c r="P1959">
        <f>IF(B1988=0,0,O1959/B1988)</f>
        <v/>
      </c>
      <c r="Q1959">
        <f>IFERROR(1/(IF(Inputs!$B$38="pvp",15,MAX(0.1,Skills!D8-IF(Skills!E8=TRUE,Inputs!$B$32,0)))*(1-IF(AND(ArtifactsInput!$M$27,Inputs!$B$4="Chapter Hunt"),CHOOSE(ArtifactsInput!$N$27+1,20,24,28,32,36,40),0)/100)),0)</f>
        <v/>
      </c>
      <c r="R1959">
        <f>IF(AND(Inputs!$B$38&lt;&gt;"pvp",Inputs!$B$43&gt;0),IF(MAX(0,Inputs!$B$43-B1985)&lt;=0,0,(INT(MAX(0,Inputs!$B$43-B1985)/(IF(Inputs!$B$38="pvp",15,MAX(0.1,Skills!D8-IF(Skills!E8=TRUE,Inputs!$B$32,0)))*(1-IF(AND(ArtifactsInput!$M$27,Inputs!$B$4="Chapter Hunt"),CHOOSE(ArtifactsInput!$N$27+1,20,24,28,32,36,40),0)/100)))+1)),0)</f>
        <v/>
      </c>
      <c r="S1959">
        <f>IFERROR(O1959/N1959,0)</f>
        <v/>
      </c>
      <c r="T1959">
        <f>IF(C1959,(H1959*N1959*IF(AND(Inputs!$B$38&lt;&gt;"pvp",Inputs!$B$43&gt;0),((Skills!G8*((R1959-1)*IF(Skills!H8&gt;0,Skills!I8/Skills!H8,1)+IF(Skills!H8&gt;0,MIN(Skills!I8,MAX(0,MAX(0,Inputs!$B$43-B1985)-((R1959-1)*(IF(Inputs!$B$38="pvp",15,MAX(0.1,Skills!D8-IF(Skills!E8=TRUE,Inputs!$B$32,0)))*(1-IF(AND(ArtifactsInput!$M$27,Inputs!$B$4="Chapter Hunt"),CHOOSE(ArtifactsInput!$N$27+1,20,24,28,32,36,40),0)/100)))))/Skills!H8,1)))/Inputs!$B$43),G1959*Q1959)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1959*(1-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1959*(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1959*(1-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1959*(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59">
        <f>IF(C1959,(H1959*N1959*IF(AND(Inputs!$B$38&lt;&gt;"pvp",Inputs!$B$43&gt;0),((Skills!G8*((R1959-1)*IF(Skills!H8&gt;0,Skills!I8/Skills!H8,1)+IF(Skills!H8&gt;0,MIN(Skills!I8,MAX(0,MAX(0,Inputs!$B$43-B1985)-((R1959-1)*(IF(Inputs!$B$38="pvp",15,MAX(0.1,Skills!D8-IF(Skills!E8=TRUE,Inputs!$B$32,0)))*(1-IF(AND(ArtifactsInput!$M$27,Inputs!$B$4="Chapter Hunt"),CHOOSE(ArtifactsInput!$N$27+1,20,24,28,32,36,40),0)/100)))))/Skills!H8,1)))/Inputs!$B$43),G1959*Q1959))*IF(Inputs!$B$38="pvp",1,(1+(Inputs!$B$21+Skills!Q8+(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0">
      <c r="A1960">
        <f>Skills!A9</f>
        <v/>
      </c>
      <c r="B1960">
        <f>Skills!B9</f>
        <v/>
      </c>
      <c r="C1960">
        <f>Inputs!$B$3&gt;=125</f>
        <v/>
      </c>
      <c r="D1960">
        <f>IF(Skills!C9=1,60+Inputs!$B$25+Inputs!$B$29,IF(Skills!C9=2,90+Inputs!$B$26+Inputs!$B$29,IF(Skills!C9=3,120+Inputs!$B$27+Inputs!$B$29,MAX(0,(Inputs!$B$3-100)*3)+Inputs!$B$28+Inputs!$B$29)))</f>
        <v/>
      </c>
      <c r="E1960">
        <f>INDEX(FactorTable!$B$2:$Y$301, MATCH(ROUND(MIN(300,MAX(1,D1960)),0), FactorTable!$A$2:$A$301,0), Skills!M9+1)</f>
        <v/>
      </c>
      <c r="F1960">
        <f>IF(Skills!N9=TRUE,(Skills!L9/10)*(E1960/1000),Skills!L9/10)+Skills!O9</f>
        <v/>
      </c>
      <c r="G1960">
        <f>Skills!G9*IF(Skills!H9&gt;0,Skills!I9/Skills!H9,1)</f>
        <v/>
      </c>
      <c r="H1960">
        <f>1-(1-Skills!J9/100)^Skills!K9</f>
        <v/>
      </c>
      <c r="I1960" t="inlineStr">
        <is>
          <t>1</t>
        </is>
      </c>
      <c r="J1960">
        <f>((Inputs!$B$6*(1+Inputs!$B$7/100))+(((Inputs!$B$12*(1+Inputs!$B$13/100))-(Inputs!$B$12*(1+Inputs!$B$13/100)))+0.25*(Inputs!$B$14-Inputs!$B$14))*(1+Inputs!$B$7/100))*(F1960/100)</f>
        <v/>
      </c>
      <c r="K1960">
        <f>J1960*(1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1960)</f>
        <v/>
      </c>
      <c r="L1960">
        <f>K1960*(MIN(Inputs!$B$22+((C1973=TRUE)*(F1973-Calc!F22)),(Inputs!$B$23+((C1975=TRUE)*(F1975-Calc!F24))+(IF(ArtifactsInput!$M$15,CHOOSE(ArtifactsInput!$N$15+1,25,30,35,40,45,50)/100*(Inputs!$B$11-Inputs!$B$11),0))))/100+(Inputs!$B$23+((C1975=TRUE)*(F1975-Calc!F24))+(IF(ArtifactsInput!$M$15,CHOOSE(ArtifactsInput!$N$15+1,25,30,35,40,45,50)/100*(Inputs!$B$11-Inputs!$B$11),0)))/100)/2</f>
        <v/>
      </c>
      <c r="M1960">
        <f>L1960*(1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0">
        <f>L1960*(1-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1960*(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0">
        <f>(1-Summary!$B$11)*T1960+Summary!$B$11*V1960</f>
        <v/>
      </c>
      <c r="P1960">
        <f>IF(B1988=0,0,O1960/B1988)</f>
        <v/>
      </c>
      <c r="Q1960">
        <f>IFERROR(1/(IF(Inputs!$B$38="pvp",15,MAX(0.1,Skills!D9-IF(Skills!E9=TRUE,Inputs!$B$32,0)))*(1-IF(AND(ArtifactsInput!$M$27,Inputs!$B$4="Chapter Hunt"),CHOOSE(ArtifactsInput!$N$27+1,20,24,28,32,36,40),0)/100)),0)</f>
        <v/>
      </c>
      <c r="R1960">
        <f>IF(AND(Inputs!$B$38&lt;&gt;"pvp",Inputs!$B$43&gt;0),IF(MAX(0,Inputs!$B$43-B1985)&lt;=0,0,(INT(MAX(0,Inputs!$B$43-B1985)/(IF(Inputs!$B$38="pvp",15,MAX(0.1,Skills!D9-IF(Skills!E9=TRUE,Inputs!$B$32,0)))*(1-IF(AND(ArtifactsInput!$M$27,Inputs!$B$4="Chapter Hunt"),CHOOSE(ArtifactsInput!$N$27+1,20,24,28,32,36,40),0)/100)))+1)),0)</f>
        <v/>
      </c>
      <c r="S1960">
        <f>IFERROR(O1960/N1960,0)</f>
        <v/>
      </c>
      <c r="T1960">
        <f>IF(C1960,(H1960*N1960*IF(AND(Inputs!$B$38&lt;&gt;"pvp",Inputs!$B$43&gt;0),((Skills!G9*((R1960-1)*IF(Skills!H9&gt;0,Skills!I9/Skills!H9,1)+IF(Skills!H9&gt;0,MIN(Skills!I9,MAX(0,MAX(0,Inputs!$B$43-B1985)-((R1960-1)*(IF(Inputs!$B$38="pvp",15,MAX(0.1,Skills!D9-IF(Skills!E9=TRUE,Inputs!$B$32,0)))*(1-IF(AND(ArtifactsInput!$M$27,Inputs!$B$4="Chapter Hunt"),CHOOSE(ArtifactsInput!$N$27+1,20,24,28,32,36,40),0)/100)))))/Skills!H9,1)))/Inputs!$B$43),G1960*Q1960)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1960*(1-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1960*(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1960*(1-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1960*(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0">
        <f>IF(C1960,(H1960*N1960*IF(AND(Inputs!$B$38&lt;&gt;"pvp",Inputs!$B$43&gt;0),((Skills!G9*((R1960-1)*IF(Skills!H9&gt;0,Skills!I9/Skills!H9,1)+IF(Skills!H9&gt;0,MIN(Skills!I9,MAX(0,MAX(0,Inputs!$B$43-B1985)-((R1960-1)*(IF(Inputs!$B$38="pvp",15,MAX(0.1,Skills!D9-IF(Skills!E9=TRUE,Inputs!$B$32,0)))*(1-IF(AND(ArtifactsInput!$M$27,Inputs!$B$4="Chapter Hunt"),CHOOSE(ArtifactsInput!$N$27+1,20,24,28,32,36,40),0)/100)))))/Skills!H9,1)))/Inputs!$B$43),G1960*Q1960))*IF(Inputs!$B$38="pvp",1,(1+(Inputs!$B$21+Skills!Q9+(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1">
      <c r="A1961">
        <f>Skills!A10</f>
        <v/>
      </c>
      <c r="B1961">
        <f>Skills!B10</f>
        <v/>
      </c>
      <c r="C1961">
        <f>Inputs!$B$3&gt;=117</f>
        <v/>
      </c>
      <c r="D1961">
        <f>IF(Skills!C10=1,60+Inputs!$B$25+Inputs!$B$29,IF(Skills!C10=2,90+Inputs!$B$26+Inputs!$B$29,IF(Skills!C10=3,120+Inputs!$B$27+Inputs!$B$29,MAX(0,(Inputs!$B$3-100)*3)+Inputs!$B$28+Inputs!$B$29)))</f>
        <v/>
      </c>
      <c r="E1961">
        <f>INDEX(FactorTable!$B$2:$Y$301, MATCH(ROUND(MIN(300,MAX(1,D1961)),0), FactorTable!$A$2:$A$301,0), Skills!M10+1)</f>
        <v/>
      </c>
      <c r="F1961">
        <f>IF(Skills!N10=TRUE,(Skills!L10/10)*(E1961/1000),Skills!L10/10)+Skills!O10</f>
        <v/>
      </c>
      <c r="G1961">
        <f>Skills!G10*IF(Skills!H10&gt;0,Skills!I10/Skills!H10,1)</f>
        <v/>
      </c>
      <c r="H1961">
        <f>1-(1-Skills!J10/100)^Skills!K10</f>
        <v/>
      </c>
      <c r="I1961" t="inlineStr">
        <is>
          <t>1</t>
        </is>
      </c>
      <c r="J1961">
        <f>((Inputs!$B$6*(1+Inputs!$B$7/100))+(((Inputs!$B$12*(1+Inputs!$B$13/100))-(Inputs!$B$12*(1+Inputs!$B$13/100)))+0.25*(Inputs!$B$14-Inputs!$B$14))*(1+Inputs!$B$7/100))*(F1961/100)</f>
        <v/>
      </c>
      <c r="K1961">
        <f>J1961*(1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1961)</f>
        <v/>
      </c>
      <c r="L1961">
        <f>K1961*(MIN(Inputs!$B$22+((C1973=TRUE)*(F1973-Calc!F22)),(Inputs!$B$23+((C1975=TRUE)*(F1975-Calc!F24))+(IF(ArtifactsInput!$M$15,CHOOSE(ArtifactsInput!$N$15+1,25,30,35,40,45,50)/100*(Inputs!$B$11-Inputs!$B$11),0))))/100+(Inputs!$B$23+((C1975=TRUE)*(F1975-Calc!F24))+(IF(ArtifactsInput!$M$15,CHOOSE(ArtifactsInput!$N$15+1,25,30,35,40,45,50)/100*(Inputs!$B$11-Inputs!$B$11),0)))/100)/2</f>
        <v/>
      </c>
      <c r="M1961">
        <f>L1961*(1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1">
        <f>L1961*(1-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1">
        <f>(1-Summary!$B$11)*T1961+Summary!$B$11*V1961</f>
        <v/>
      </c>
      <c r="P1961">
        <f>IF(B1988=0,0,O1961/B1988)</f>
        <v/>
      </c>
      <c r="Q1961">
        <f>IFERROR(1/(IF(Inputs!$B$38="pvp",15,MAX(0.1,Skills!D10-IF(Skills!E10=TRUE,Inputs!$B$32,0)))*(1-IF(AND(ArtifactsInput!$M$27,Inputs!$B$4="Chapter Hunt"),CHOOSE(ArtifactsInput!$N$27+1,20,24,28,32,36,40),0)/100)),0)</f>
        <v/>
      </c>
      <c r="R1961">
        <f>IF(AND(Inputs!$B$38&lt;&gt;"pvp",Inputs!$B$43&gt;0),IF(MAX(0,Inputs!$B$43-B1985)&lt;=0,0,(INT(MAX(0,Inputs!$B$43-B1985)/(IF(Inputs!$B$38="pvp",15,MAX(0.1,Skills!D10-IF(Skills!E10=TRUE,Inputs!$B$32,0)))*(1-IF(AND(ArtifactsInput!$M$27,Inputs!$B$4="Chapter Hunt"),CHOOSE(ArtifactsInput!$N$27+1,20,24,28,32,36,40),0)/100)))+1)),0)</f>
        <v/>
      </c>
      <c r="S1961">
        <f>IFERROR(O1961/N1961,0)</f>
        <v/>
      </c>
      <c r="T1961">
        <f>IF(C1961,(H1961*N1961*IF(AND(Inputs!$B$38&lt;&gt;"pvp",Inputs!$B$43&gt;0),((Skills!G10*((R1961-1)*IF(Skills!H10&gt;0,Skills!I10/Skills!H10,1)+IF(Skills!H10&gt;0,MIN(Skills!I10,MAX(0,MAX(0,Inputs!$B$43-B1985)-((R1961-1)*(IF(Inputs!$B$38="pvp",15,MAX(0.1,Skills!D10-IF(Skills!E10=TRUE,Inputs!$B$32,0)))*(1-IF(AND(ArtifactsInput!$M$27,Inputs!$B$4="Chapter Hunt"),CHOOSE(ArtifactsInput!$N$27+1,20,24,28,32,36,40),0)/100)))))/Skills!H10,1)))/Inputs!$B$43),G1961*Q1961)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1961*(1-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1961*(1-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1">
        <f>IF(C1961,(H1961*N1961*IF(AND(Inputs!$B$38&lt;&gt;"pvp",Inputs!$B$43&gt;0),((Skills!G10*((R1961-1)*IF(Skills!H10&gt;0,Skills!I10/Skills!H10,1)+IF(Skills!H10&gt;0,MIN(Skills!I10,MAX(0,MAX(0,Inputs!$B$43-B1985)-((R1961-1)*(IF(Inputs!$B$38="pvp",15,MAX(0.1,Skills!D10-IF(Skills!E10=TRUE,Inputs!$B$32,0)))*(1-IF(AND(ArtifactsInput!$M$27,Inputs!$B$4="Chapter Hunt"),CHOOSE(ArtifactsInput!$N$27+1,20,24,28,32,36,40),0)/100)))))/Skills!H10,1)))/Inputs!$B$43),G1961*Q1961))*IF(Inputs!$B$38="pvp",1,(1+(Inputs!$B$21+Skills!Q10+(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2">
      <c r="A1962">
        <f>Skills!A11</f>
        <v/>
      </c>
      <c r="B1962">
        <f>Skills!B11</f>
        <v/>
      </c>
      <c r="C1962">
        <f>Inputs!$B$3&gt;=63</f>
        <v/>
      </c>
      <c r="D1962">
        <f>IF(Skills!C11=1,60+Inputs!$B$25+Inputs!$B$29,IF(Skills!C11=2,90+Inputs!$B$26+Inputs!$B$29,IF(Skills!C11=3,120+Inputs!$B$27+Inputs!$B$29,MAX(0,(Inputs!$B$3-100)*3)+Inputs!$B$28+Inputs!$B$29)))</f>
        <v/>
      </c>
      <c r="E1962">
        <f>INDEX(FactorTable!$B$2:$Y$301, MATCH(ROUND(MIN(300,MAX(1,D1962)),0), FactorTable!$A$2:$A$301,0), Skills!M11+1)</f>
        <v/>
      </c>
      <c r="F1962">
        <f>IF(Skills!N11=TRUE,(Skills!L11/10)*(E1962/1000),Skills!L11/10)+Skills!O11</f>
        <v/>
      </c>
      <c r="G1962">
        <f>Skills!G11*IF(Skills!H11&gt;0,Skills!I11/Skills!H11,1)</f>
        <v/>
      </c>
      <c r="H1962">
        <f>1-(1-Skills!J11/100)^Skills!K11</f>
        <v/>
      </c>
      <c r="I1962" t="inlineStr">
        <is>
          <t>1</t>
        </is>
      </c>
      <c r="J1962">
        <f>((Inputs!$B$6*(1+Inputs!$B$7/100))+(((Inputs!$B$12*(1+Inputs!$B$13/100))-(Inputs!$B$12*(1+Inputs!$B$13/100)))+0.25*(Inputs!$B$14-Inputs!$B$14))*(1+Inputs!$B$7/100))*(F1962/100)</f>
        <v/>
      </c>
      <c r="K1962">
        <f>J1962*(1+((Inputs!$B$12*(1+Inputs!$B$13/100))*0.01+Inputs!$B$14*0.0025)/100)*(1+Inputs!$B$15/100)*(1+Inputs!$B$16/100)*(5000/(6000+Inputs!$B$42*(1-(Inputs!$B$19+0)/100)))*(1+(Inputs!$B$24+0+B1984)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1963=TRUE,F1963,0)/100)*(1+(IF(Skills!A11="BLAST",Inputs!$B$17+((C1972=TRUE)*(F1972-Calc!F21))+((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MIN(100,((Inputs!$B$9+0+B1978+(ArtifactsInput!$M$24-ArtifactsInput!$M$24)*CHOOSE(ArtifactsInput!$N$24+1,10,12,14,16,18,20)+IF(ArtifactsInput!$M$10,CHOOSE(ArtifactsInput!$N$10+1,15,18,21,24,27,30)*(IF(Inputs!$B$38="pvp",MIN(15,15)/15,IF(AND(Inputs!$B$38&lt;&gt;"pvp",Inputs!$B$43&gt;0),MIN(15,Inputs!$B$43)/(Inputs!$B$43),0))),0)))-100),0))*CHOOSE(ArtifactsInput!$N$42+1,0.6,0.72,0.84,0.96,1.08,1.2))),Inputs!$B$18+((C1974=TRUE)*(F1974-Calc!F23))+(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gt;=100),CHOOSE(ArtifactsInput!$N$42+1,40,48,56,64,72,80),0))))/100)*((1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1962)</f>
        <v/>
      </c>
      <c r="L1962">
        <f>K1962*(MIN(Inputs!$B$22+((C1973=TRUE)*(F1973-Calc!F22)),(Inputs!$B$23+((C1975=TRUE)*(F1975-Calc!F24))+(IF(ArtifactsInput!$M$15,CHOOSE(ArtifactsInput!$N$15+1,25,30,35,40,45,50)/100*(Inputs!$B$11-Inputs!$B$11),0))))/100+(Inputs!$B$23+((C1975=TRUE)*(F1975-Calc!F24))+(IF(ArtifactsInput!$M$15,CHOOSE(ArtifactsInput!$N$15+1,25,30,35,40,45,50)/100*(Inputs!$B$11-Inputs!$B$11),0)))/100)/2</f>
        <v/>
      </c>
      <c r="M1962">
        <f>L1962*(1+(Inputs!$B$10+0+B1983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2">
        <f>L1962*(1-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1962*(MIN((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2">
        <f>(1-Summary!$B$11)*T1962+Summary!$B$11*V1962</f>
        <v/>
      </c>
      <c r="P1962">
        <f>IF(B1988=0,0,O1962/B1988)</f>
        <v/>
      </c>
      <c r="Q1962">
        <f>IFERROR(1/(IF(Inputs!$B$38="pvp",15,MAX(0.1,Skills!D11-IF(Skills!E11=TRUE,Inputs!$B$32,0)))*(1-IF(AND(ArtifactsInput!$M$27,Inputs!$B$4="Chapter Hunt"),CHOOSE(ArtifactsInput!$N$27+1,20,24,28,32,36,40),0)/100)),0)</f>
        <v/>
      </c>
      <c r="R1962">
        <f>IF(AND(Inputs!$B$38&lt;&gt;"pvp",Inputs!$B$43&gt;0),IF(MAX(0,Inputs!$B$43-B1985)&lt;=0,0,(INT(MAX(0,Inputs!$B$43-B1985)/(IF(Inputs!$B$38="pvp",15,MAX(0.1,Skills!D11-IF(Skills!E11=TRUE,Inputs!$B$32,0)))*(1-IF(AND(ArtifactsInput!$M$27,Inputs!$B$4="Chapter Hunt"),CHOOSE(ArtifactsInput!$N$27+1,20,24,28,32,36,40),0)/100)))+1)),0)</f>
        <v/>
      </c>
      <c r="S1962">
        <f>IFERROR(O1962/N1962,0)</f>
        <v/>
      </c>
      <c r="T1962">
        <f>IF(C1962,(H1962*N1962*IF(AND(Inputs!$B$38&lt;&gt;"pvp",Inputs!$B$43&gt;0),((Skills!G11*((R1962-1)*IF(Skills!H11&gt;0,Skills!I11/Skills!H11,1)+IF(Skills!H11&gt;0,MIN(Skills!I11,MAX(0,MAX(0,Inputs!$B$43-B1985)-((R1962-1)*(IF(Inputs!$B$38="pvp",15,MAX(0.1,Skills!D11-IF(Skills!E11=TRUE,Inputs!$B$32,0)))*(1-IF(AND(ArtifactsInput!$M$27,Inputs!$B$4="Chapter Hunt"),CHOOSE(ArtifactsInput!$N$27+1,20,24,28,32,36,40),0)/100)))))/Skills!H11,1)))/Inputs!$B$43),G1962*Q1962)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1962*(1-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1962*(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1962*(1-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1962*(MIN(100,(Inputs!$B$9+0+B1978+(ArtifactsInput!$M$24-ArtifactsInput!$M$24)*CHOOSE(ArtifactsInput!$N$24+1,10,12,14,16,18,20)+(IF(AND(Inputs!$B$38&lt;&gt;"pvp",Inputs!$B$43=0),1,IF(IF(Inputs!$B$38="pvp",15,Inputs!$B$43)-(B1985)&lt;=0,1,MAX(0,IF(Inputs!$B$38="pvp",15,Inputs!$B$43)-MAX(5,B1985))/(IF(Inputs!$B$38="pvp",15,Inputs!$B$43)-(B1985))))*IF(AND(ArtifactsInput!$M$42,((Inputs!$B$9+0+B1978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2">
        <f>IF(C1962,(H1962*N1962*IF(AND(Inputs!$B$38&lt;&gt;"pvp",Inputs!$B$43&gt;0),((Skills!G11*((R1962-1)*IF(Skills!H11&gt;0,Skills!I11/Skills!H11,1)+IF(Skills!H11&gt;0,MIN(Skills!I11,MAX(0,MAX(0,Inputs!$B$43-B1985)-((R1962-1)*(IF(Inputs!$B$38="pvp",15,MAX(0.1,Skills!D11-IF(Skills!E11=TRUE,Inputs!$B$32,0)))*(1-IF(AND(ArtifactsInput!$M$27,Inputs!$B$4="Chapter Hunt"),CHOOSE(ArtifactsInput!$N$27+1,20,24,28,32,36,40),0)/100)))))/Skills!H11,1)))/Inputs!$B$43),G1962*Q1962))*IF(Inputs!$B$38="pvp",1,(1+(Inputs!$B$21+Skills!Q11+(IF(ArtifactsInput!$M$33,CHOOSE(ArtifactsInput!$N$33+1,30,36,42,48,54,60),0))+(IF(AND(ArtifactsInput!$M$35,Inputs!$B$4&lt;&gt;"Chapter Hunt"),CHOOSE(ArtifactsInput!$N$35+1,15,18,21,24,27,30)*(1-EXP(-(0.2*B1980)*5)),0)+IF(AND(ArtifactsInput!$M$22,Inputs!$B$4&lt;&gt;"Chapter Hunt"),CHOOSE(ArtifactsInput!$N$22+1,10,12,14,16,18,20)*((0*(((0.15*B1980*5))^0/1)+1*(((0.15*B1980*5))^1/1)+2*(((0.15*B1980*5))^2/2)+3*(((0.15*B1980*5))^3/6)+4*(((0.15*B1980*5))^4/24)+5*(((0.15*B1980*5))^5/120))/((((0.15*B1980*5))^0/1)+(((0.15*B1980*5))^1/1)+(((0.15*B1980*5))^2/2)+(((0.15*B1980*5))^3/6)+(((0.15*B1980*5))^4/24)+(((0.15*B1980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3">
      <c r="A1963">
        <f>Skills!A12</f>
        <v/>
      </c>
      <c r="B1963">
        <f>Skills!B12</f>
        <v/>
      </c>
      <c r="C1963">
        <f>Inputs!$B$3&gt;=100</f>
        <v/>
      </c>
      <c r="D1963">
        <f>IF(Skills!C12=1,60+Inputs!$B$25+Inputs!$B$29,IF(Skills!C12=2,90+Inputs!$B$26+Inputs!$B$29,IF(Skills!C12=3,120+Inputs!$B$27+Inputs!$B$29,MAX(0,(Inputs!$B$3-100)*3)+Inputs!$B$28+Inputs!$B$29)))</f>
        <v/>
      </c>
      <c r="E1963">
        <f>INDEX(FactorTable!$B$2:$Y$301, MATCH(ROUND(MIN(300,MAX(1,D1963)),0), FactorTable!$A$2:$A$301,0), Skills!M12+1)</f>
        <v/>
      </c>
      <c r="F1963">
        <f>IF(Skills!N12=TRUE,(Skills!L12/10)*(E1963/1000),Skills!L12/10)+Skills!O12</f>
        <v/>
      </c>
      <c r="G1963" t="inlineStr"/>
      <c r="H1963" t="inlineStr"/>
      <c r="I1963" t="inlineStr">
        <is>
          <t>1</t>
        </is>
      </c>
      <c r="J1963" t="inlineStr"/>
      <c r="K1963" t="inlineStr"/>
      <c r="L1963" t="inlineStr"/>
      <c r="M1963" t="inlineStr"/>
      <c r="N1963" t="inlineStr"/>
      <c r="O1963" t="inlineStr"/>
      <c r="P1963" t="inlineStr"/>
      <c r="Q1963" t="inlineStr"/>
      <c r="R1963" t="inlineStr"/>
      <c r="S1963" t="inlineStr"/>
    </row>
    <row r="1964">
      <c r="A1964">
        <f>Skills!A13</f>
        <v/>
      </c>
      <c r="B1964">
        <f>Skills!B13</f>
        <v/>
      </c>
      <c r="C1964">
        <f>Inputs!$B$3&gt;=45</f>
        <v/>
      </c>
      <c r="D1964">
        <f>IF(Skills!C13=1,60+Inputs!$B$25+Inputs!$B$29,IF(Skills!C13=2,90+Inputs!$B$26+Inputs!$B$29,IF(Skills!C13=3,120+Inputs!$B$27+Inputs!$B$29,MAX(0,(Inputs!$B$3-100)*3)+Inputs!$B$28+Inputs!$B$29)))</f>
        <v/>
      </c>
      <c r="E1964">
        <f>INDEX(FactorTable!$B$2:$Y$301, MATCH(ROUND(MIN(300,MAX(1,D1964)),0), FactorTable!$A$2:$A$301,0), Skills!M13+1)</f>
        <v/>
      </c>
      <c r="F1964">
        <f>IF(Skills!N13=TRUE,(Skills!L13/10)*(E1964/1000),Skills!L13/10)+Skills!O13</f>
        <v/>
      </c>
      <c r="G1964">
        <f>Skills!G13*IF(Skills!H13&gt;0,Skills!I13/Skills!H13,1)</f>
        <v/>
      </c>
      <c r="H1964">
        <f>1-(1-Skills!J13/100)^Skills!K13</f>
        <v/>
      </c>
      <c r="I1964" t="inlineStr">
        <is>
          <t>1</t>
        </is>
      </c>
      <c r="J1964" t="inlineStr"/>
      <c r="K1964" t="inlineStr"/>
      <c r="L1964" t="inlineStr"/>
      <c r="M1964" t="inlineStr"/>
      <c r="N1964" t="inlineStr"/>
      <c r="O1964">
        <f>(1-Summary!$B$11)*T1964+Summary!$B$11*V1964</f>
        <v/>
      </c>
      <c r="P1964">
        <f>IF(B1988=0,0,O1964/B1988)</f>
        <v/>
      </c>
      <c r="Q1964" t="n">
        <v>0</v>
      </c>
      <c r="R1964" t="n">
        <v>0</v>
      </c>
      <c r="S1964">
        <f>IFERROR(O1964/N1964,0)</f>
        <v/>
      </c>
      <c r="T1964" t="n">
        <v>0</v>
      </c>
      <c r="V1964" t="n">
        <v>0</v>
      </c>
    </row>
    <row r="1965">
      <c r="A1965">
        <f>Skills!A14</f>
        <v/>
      </c>
      <c r="B1965">
        <f>Skills!B14</f>
        <v/>
      </c>
      <c r="C1965">
        <f>Inputs!$B$3&gt;=110</f>
        <v/>
      </c>
      <c r="D1965">
        <f>IF(Skills!C14=1,60+Inputs!$B$25+Inputs!$B$29,IF(Skills!C14=2,90+Inputs!$B$26+Inputs!$B$29,IF(Skills!C14=3,120+Inputs!$B$27+Inputs!$B$29,MAX(0,(Inputs!$B$3-100)*3)+Inputs!$B$28+Inputs!$B$29)))</f>
        <v/>
      </c>
      <c r="E1965">
        <f>INDEX(FactorTable!$B$2:$Y$301, MATCH(ROUND(MIN(300,MAX(1,D1965)),0), FactorTable!$A$2:$A$301,0), Skills!M14+1)</f>
        <v/>
      </c>
      <c r="F1965">
        <f>IF(Skills!N14=TRUE,(Skills!L14/10)*(E1965/1000),Skills!L14/10)+Skills!O14</f>
        <v/>
      </c>
      <c r="G1965">
        <f>Skills!G14*IF(Skills!H14&gt;0,Skills!I14/Skills!H14,1)</f>
        <v/>
      </c>
      <c r="H1965">
        <f>1-(1-Skills!J14/100)^Skills!K14</f>
        <v/>
      </c>
      <c r="I1965" t="inlineStr">
        <is>
          <t>1</t>
        </is>
      </c>
      <c r="J1965" t="inlineStr"/>
      <c r="K1965" t="inlineStr"/>
      <c r="L1965" t="inlineStr"/>
      <c r="M1965" t="inlineStr"/>
      <c r="N1965" t="inlineStr"/>
      <c r="O1965">
        <f>(1-Summary!$B$11)*T1965+Summary!$B$11*V1965</f>
        <v/>
      </c>
      <c r="P1965">
        <f>IF(B1988=0,0,O1965/B1988)</f>
        <v/>
      </c>
      <c r="Q1965" t="n">
        <v>0</v>
      </c>
      <c r="R1965" t="n">
        <v>0</v>
      </c>
      <c r="S1965">
        <f>IFERROR(O1965/N1965,0)</f>
        <v/>
      </c>
      <c r="T1965" t="n">
        <v>0</v>
      </c>
      <c r="V1965" t="n">
        <v>0</v>
      </c>
    </row>
    <row r="1966">
      <c r="A1966">
        <f>Skills!A15</f>
        <v/>
      </c>
      <c r="B1966">
        <f>Skills!B15</f>
        <v/>
      </c>
      <c r="C1966">
        <f>Inputs!$B$3&gt;=75</f>
        <v/>
      </c>
      <c r="D1966">
        <f>IF(Skills!C15=1,60+Inputs!$B$25+Inputs!$B$29,IF(Skills!C15=2,90+Inputs!$B$26+Inputs!$B$29,IF(Skills!C15=3,120+Inputs!$B$27+Inputs!$B$29,MAX(0,(Inputs!$B$3-100)*3)+Inputs!$B$28+Inputs!$B$29)))</f>
        <v/>
      </c>
      <c r="E1966">
        <f>INDEX(FactorTable!$B$2:$Y$301, MATCH(ROUND(MIN(300,MAX(1,D1966)),0), FactorTable!$A$2:$A$301,0), Skills!M15+1)</f>
        <v/>
      </c>
      <c r="F1966">
        <f>IF(Skills!N15=TRUE,(Skills!L15/10)*(E1966/1000),Skills!L15/10)+Skills!O15</f>
        <v/>
      </c>
      <c r="G1966">
        <f>Skills!G15*IF(Skills!H15&gt;0,Skills!I15/Skills!H15,1)</f>
        <v/>
      </c>
      <c r="H1966">
        <f>1-(1-Skills!J15/100)^Skills!K15</f>
        <v/>
      </c>
      <c r="I1966" t="inlineStr">
        <is>
          <t>1</t>
        </is>
      </c>
      <c r="J1966" t="inlineStr"/>
      <c r="K1966" t="inlineStr"/>
      <c r="L1966" t="inlineStr"/>
      <c r="M1966" t="inlineStr"/>
      <c r="N1966" t="inlineStr"/>
      <c r="O1966">
        <f>(1-Summary!$B$11)*T1966+Summary!$B$11*V1966</f>
        <v/>
      </c>
      <c r="P1966">
        <f>IF(B1988=0,0,O1966/B1988)</f>
        <v/>
      </c>
      <c r="Q1966">
        <f>IFERROR(1/(IF(Inputs!$B$38="pvp",15,MAX(0.1,Skills!D15-IF(Skills!E15=TRUE,Inputs!$B$32,0)))*(1-IF(AND(ArtifactsInput!$M$27,Inputs!$B$4="Chapter Hunt"),CHOOSE(ArtifactsInput!$N$27+1,20,24,28,32,36,40),0)/100)),0)</f>
        <v/>
      </c>
      <c r="R1966">
        <f>IF(AND(Inputs!$B$38&lt;&gt;"pvp",Inputs!$B$43&gt;0),IF(Inputs!$B$43&lt;=0,0,(INT(Inputs!$B$43/(IF(Inputs!$B$38="pvp",15,MAX(0.1,Skills!D15-IF(Skills!E15=TRUE,Inputs!$B$32,0)))*(1-IF(AND(ArtifactsInput!$M$27,Inputs!$B$4="Chapter Hunt"),CHOOSE(ArtifactsInput!$N$27+1,20,24,28,32,36,40),0)/100)))+1)),0)</f>
        <v/>
      </c>
      <c r="S1966">
        <f>IFERROR(O1966/N1966,0)</f>
        <v/>
      </c>
      <c r="T1966" t="n">
        <v>0</v>
      </c>
      <c r="V1966" t="n">
        <v>0</v>
      </c>
    </row>
    <row r="1967">
      <c r="A1967">
        <f>Skills!A16</f>
        <v/>
      </c>
      <c r="B1967">
        <f>Skills!B16</f>
        <v/>
      </c>
      <c r="C1967">
        <f>Inputs!$B$3&gt;=105</f>
        <v/>
      </c>
      <c r="D1967">
        <f>IF(Skills!C16=1,60+Inputs!$B$25+Inputs!$B$29,IF(Skills!C16=2,90+Inputs!$B$26+Inputs!$B$29,IF(Skills!C16=3,120+Inputs!$B$27+Inputs!$B$29,MAX(0,(Inputs!$B$3-100)*3)+Inputs!$B$28+Inputs!$B$29)))</f>
        <v/>
      </c>
      <c r="E1967">
        <f>INDEX(FactorTable!$B$2:$Y$301, MATCH(ROUND(MIN(300,MAX(1,D1967)),0), FactorTable!$A$2:$A$301,0), Skills!M16+1)</f>
        <v/>
      </c>
      <c r="F1967">
        <f>IF(Skills!N16=TRUE,(Skills!L16/10)*(E1967/1000),Skills!L16/10)+Skills!O16</f>
        <v/>
      </c>
      <c r="G1967">
        <f>Skills!G16*IF(Skills!H16&gt;0,Skills!I16/Skills!H16,1)</f>
        <v/>
      </c>
      <c r="H1967">
        <f>1-(1-Skills!J16/100)^Skills!K16</f>
        <v/>
      </c>
      <c r="I1967" t="inlineStr">
        <is>
          <t>1</t>
        </is>
      </c>
      <c r="J1967" t="inlineStr"/>
      <c r="K1967" t="inlineStr"/>
      <c r="L1967" t="inlineStr"/>
      <c r="M1967" t="inlineStr"/>
      <c r="N1967" t="inlineStr"/>
      <c r="O1967">
        <f>(1-Summary!$B$11)*T1967+Summary!$B$11*V1967</f>
        <v/>
      </c>
      <c r="P1967">
        <f>IF(B1988=0,0,O1967/B1988)</f>
        <v/>
      </c>
      <c r="Q1967">
        <f>IFERROR(1/(IF(Inputs!$B$38="pvp",15,MAX(0.1,Skills!D16-IF(Skills!E16=TRUE,Inputs!$B$32,0)))*(1-IF(AND(ArtifactsInput!$M$27,Inputs!$B$4="Chapter Hunt"),CHOOSE(ArtifactsInput!$N$27+1,20,24,28,32,36,40),0)/100)),0)</f>
        <v/>
      </c>
      <c r="R1967">
        <f>IF(AND(Inputs!$B$38&lt;&gt;"pvp",Inputs!$B$43&gt;0),IF(Inputs!$B$43&lt;=0,0,(INT(Inputs!$B$43/(IF(Inputs!$B$38="pvp",15,MAX(0.1,Skills!D16-IF(Skills!E16=TRUE,Inputs!$B$32,0)))*(1-IF(AND(ArtifactsInput!$M$27,Inputs!$B$4="Chapter Hunt"),CHOOSE(ArtifactsInput!$N$27+1,20,24,28,32,36,40),0)/100)))+1)),0)</f>
        <v/>
      </c>
      <c r="S1967">
        <f>IFERROR(O1967/N1967,0)</f>
        <v/>
      </c>
      <c r="T1967" t="n">
        <v>0</v>
      </c>
      <c r="V1967" t="n">
        <v>0</v>
      </c>
    </row>
    <row r="1968">
      <c r="A1968">
        <f>Skills!A17</f>
        <v/>
      </c>
      <c r="B1968">
        <f>Skills!B17</f>
        <v/>
      </c>
      <c r="C1968">
        <f>Inputs!$B$3&gt;=115</f>
        <v/>
      </c>
      <c r="D1968">
        <f>IF(Skills!C17=1,60+Inputs!$B$25+Inputs!$B$29,IF(Skills!C17=2,90+Inputs!$B$26+Inputs!$B$29,IF(Skills!C17=3,120+Inputs!$B$27+Inputs!$B$29,MAX(0,(Inputs!$B$3-100)*3)+Inputs!$B$28+Inputs!$B$29)))</f>
        <v/>
      </c>
      <c r="E1968">
        <f>INDEX(FactorTable!$B$2:$Y$301, MATCH(ROUND(MIN(300,MAX(1,D1968)),0), FactorTable!$A$2:$A$301,0), Skills!M17+1)</f>
        <v/>
      </c>
      <c r="F1968">
        <f>IF(Skills!N17=TRUE,(Skills!L17/10)*(E1968/1000),Skills!L17/10)+Skills!O17</f>
        <v/>
      </c>
      <c r="G1968">
        <f>Skills!G17*IF(Skills!H17&gt;0,Skills!I17/Skills!H17,1)</f>
        <v/>
      </c>
      <c r="H1968">
        <f>1-(1-Skills!J17/100)^Skills!K17</f>
        <v/>
      </c>
      <c r="I1968" t="inlineStr">
        <is>
          <t>1</t>
        </is>
      </c>
      <c r="J1968" t="inlineStr"/>
      <c r="K1968" t="inlineStr"/>
      <c r="L1968" t="inlineStr"/>
      <c r="M1968" t="inlineStr"/>
      <c r="N1968" t="inlineStr"/>
      <c r="O1968">
        <f>(1-Summary!$B$11)*T1968+Summary!$B$11*V1968</f>
        <v/>
      </c>
      <c r="P1968">
        <f>IF(B1988=0,0,O1968/B1988)</f>
        <v/>
      </c>
      <c r="Q1968">
        <f>IFERROR(1/(IF(Inputs!$B$38="pvp",15,MAX(0.1,Skills!D17-IF(Skills!E17=TRUE,Inputs!$B$32,0)))*(1-IF(AND(ArtifactsInput!$M$27,Inputs!$B$4="Chapter Hunt"),CHOOSE(ArtifactsInput!$N$27+1,20,24,28,32,36,40),0)/100)),0)</f>
        <v/>
      </c>
      <c r="R1968">
        <f>IF(AND(Inputs!$B$38&lt;&gt;"pvp",Inputs!$B$43&gt;0),IF(Inputs!$B$43&lt;=0,0,(INT(Inputs!$B$43/(IF(Inputs!$B$38="pvp",15,MAX(0.1,Skills!D17-IF(Skills!E17=TRUE,Inputs!$B$32,0)))*(1-IF(AND(ArtifactsInput!$M$27,Inputs!$B$4="Chapter Hunt"),CHOOSE(ArtifactsInput!$N$27+1,20,24,28,32,36,40),0)/100)))+1)),0)</f>
        <v/>
      </c>
      <c r="S1968">
        <f>IFERROR(O1968/N1968,0)</f>
        <v/>
      </c>
      <c r="T1968" t="n">
        <v>0</v>
      </c>
      <c r="V1968" t="n">
        <v>0</v>
      </c>
    </row>
    <row r="1969">
      <c r="A1969">
        <f>Skills!A18</f>
        <v/>
      </c>
      <c r="B1969">
        <f>Skills!B18</f>
        <v/>
      </c>
      <c r="C1969">
        <f>Inputs!$B$3&gt;=74</f>
        <v/>
      </c>
      <c r="D1969">
        <f>IF(Skills!C18=1,60+Inputs!$B$25+Inputs!$B$29,IF(Skills!C18=2,90+Inputs!$B$26+Inputs!$B$29,IF(Skills!C18=3,120+Inputs!$B$27+Inputs!$B$29,MAX(0,(Inputs!$B$3-100)*3)+Inputs!$B$28+Inputs!$B$29)))</f>
        <v/>
      </c>
      <c r="E1969">
        <f>INDEX(FactorTable!$B$2:$Y$301, MATCH(ROUND(MIN(300,MAX(1,D1969)),0), FactorTable!$A$2:$A$301,0), Skills!M18+1)</f>
        <v/>
      </c>
      <c r="F1969">
        <f>IF(Skills!N18=TRUE,(Skills!L18/10)*(E1969/1000),Skills!L18/10)+Skills!O18</f>
        <v/>
      </c>
      <c r="G1969">
        <f>Skills!G18*IF(Skills!H18&gt;0,Skills!I18/Skills!H18,1)</f>
        <v/>
      </c>
      <c r="H1969">
        <f>1-(1-Skills!J18/100)^Skills!K18</f>
        <v/>
      </c>
      <c r="I1969" t="inlineStr">
        <is>
          <t>1</t>
        </is>
      </c>
      <c r="J1969" t="inlineStr"/>
      <c r="K1969" t="inlineStr"/>
      <c r="L1969" t="inlineStr"/>
      <c r="M1969" t="inlineStr"/>
      <c r="N1969" t="inlineStr"/>
      <c r="O1969">
        <f>(1-Summary!$B$11)*T1969+Summary!$B$11*V1969</f>
        <v/>
      </c>
      <c r="P1969">
        <f>IF(B1988=0,0,O1969/B1988)</f>
        <v/>
      </c>
      <c r="Q1969">
        <f>IFERROR(1/(IF(Inputs!$B$38="pvp",15,MAX(0.1,Skills!D18-IF(Skills!E18=TRUE,Inputs!$B$32,0)))*(1-IF(AND(ArtifactsInput!$M$27,Inputs!$B$4="Chapter Hunt"),CHOOSE(ArtifactsInput!$N$27+1,20,24,28,32,36,40),0)/100)),0)</f>
        <v/>
      </c>
      <c r="R1969">
        <f>IF(AND(Inputs!$B$38&lt;&gt;"pvp",Inputs!$B$43&gt;0),IF(Inputs!$B$43&lt;=0,0,(INT(Inputs!$B$43/(IF(Inputs!$B$38="pvp",15,MAX(0.1,Skills!D18-IF(Skills!E18=TRUE,Inputs!$B$32,0)))*(1-IF(AND(ArtifactsInput!$M$27,Inputs!$B$4="Chapter Hunt"),CHOOSE(ArtifactsInput!$N$27+1,20,24,28,32,36,40),0)/100)))+1)),0)</f>
        <v/>
      </c>
      <c r="S1969">
        <f>IFERROR(O1969/N1969,0)</f>
        <v/>
      </c>
      <c r="T1969" t="n">
        <v>0</v>
      </c>
      <c r="V1969" t="n">
        <v>0</v>
      </c>
    </row>
    <row r="1970">
      <c r="A1970">
        <f>Skills!A19</f>
        <v/>
      </c>
      <c r="B1970">
        <f>Skills!B19</f>
        <v/>
      </c>
      <c r="C1970">
        <f>TRUE</f>
        <v/>
      </c>
      <c r="D1970">
        <f>IF(Skills!C19=1,60+Inputs!$B$25+Inputs!$B$29,IF(Skills!C19=2,90+Inputs!$B$26+Inputs!$B$29,IF(Skills!C19=3,120+Inputs!$B$27+Inputs!$B$29,MAX(0,(Inputs!$B$3-100)*3)+Inputs!$B$28+Inputs!$B$29)))</f>
        <v/>
      </c>
      <c r="E1970">
        <f>INDEX(FactorTable!$B$2:$Y$301, MATCH(ROUND(MIN(300,MAX(1,D1970)),0), FactorTable!$A$2:$A$301,0), Skills!M19+1)</f>
        <v/>
      </c>
      <c r="F1970">
        <f>IF(Skills!N19=TRUE,(Skills!L19/10)*(E1970/1000),Skills!L19/10)+Skills!O19</f>
        <v/>
      </c>
      <c r="G1970">
        <f>Skills!G19*IF(Skills!H19&gt;0,Skills!I19/Skills!H19,1)</f>
        <v/>
      </c>
      <c r="H1970">
        <f>1-(1-Skills!J19/100)^Skills!K19</f>
        <v/>
      </c>
      <c r="I1970" t="inlineStr">
        <is>
          <t>1</t>
        </is>
      </c>
      <c r="J1970" t="inlineStr"/>
      <c r="K1970" t="inlineStr"/>
      <c r="L1970" t="inlineStr"/>
      <c r="M1970" t="inlineStr"/>
      <c r="N1970" t="inlineStr"/>
      <c r="O1970">
        <f>(1-Summary!$B$11)*T1970+Summary!$B$11*V1970</f>
        <v/>
      </c>
      <c r="P1970">
        <f>IF(B1988=0,0,O1970/B1988)</f>
        <v/>
      </c>
      <c r="Q1970">
        <f>IFERROR(1/(IF(Inputs!$B$38="pvp",15,MAX(0.1,Skills!D19-IF(Skills!E19=TRUE,Inputs!$B$32,0)))*(1-IF(AND(ArtifactsInput!$M$27,Inputs!$B$4="Chapter Hunt"),CHOOSE(ArtifactsInput!$N$27+1,20,24,28,32,36,40),0)/100)),0)</f>
        <v/>
      </c>
      <c r="R1970">
        <f>IF(AND(Inputs!$B$38&lt;&gt;"pvp",Inputs!$B$43&gt;0),IF(Inputs!$B$43&lt;=0,0,(INT(Inputs!$B$43/(IF(Inputs!$B$38="pvp",15,MAX(0.1,Skills!D19-IF(Skills!E19=TRUE,Inputs!$B$32,0)))*(1-IF(AND(ArtifactsInput!$M$27,Inputs!$B$4="Chapter Hunt"),CHOOSE(ArtifactsInput!$N$27+1,20,24,28,32,36,40),0)/100)))+1)),0)</f>
        <v/>
      </c>
      <c r="S1970">
        <f>IFERROR(O1970/N1970,0)</f>
        <v/>
      </c>
      <c r="T1970" t="n">
        <v>0</v>
      </c>
      <c r="V1970" t="n">
        <v>0</v>
      </c>
    </row>
    <row r="1971">
      <c r="A1971">
        <f>Skills!A20</f>
        <v/>
      </c>
      <c r="B1971">
        <f>Skills!B20</f>
        <v/>
      </c>
      <c r="C1971">
        <f>Inputs!$B$3&gt;=33</f>
        <v/>
      </c>
      <c r="D1971">
        <f>IF(Skills!C20=1,60+Inputs!$B$25+Inputs!$B$29,IF(Skills!C20=2,90+Inputs!$B$26+Inputs!$B$29,IF(Skills!C20=3,120+Inputs!$B$27+Inputs!$B$29,MAX(0,(Inputs!$B$3-100)*3)+Inputs!$B$28+Inputs!$B$29)))</f>
        <v/>
      </c>
      <c r="E1971">
        <f>INDEX(FactorTable!$B$2:$Y$301, MATCH(ROUND(MIN(300,MAX(1,D1971)),0), FactorTable!$A$2:$A$301,0), Skills!M20+1)</f>
        <v/>
      </c>
      <c r="F1971">
        <f>IF(Skills!N20=TRUE,(Skills!L20/10)*(E1971/1000),Skills!L20/10)+Skills!O20</f>
        <v/>
      </c>
      <c r="G1971">
        <f>Skills!G20*IF(Skills!H20&gt;0,Skills!I20/Skills!H20,1)</f>
        <v/>
      </c>
      <c r="H1971">
        <f>1-(1-Skills!J20/100)^Skills!K20</f>
        <v/>
      </c>
      <c r="I1971" t="inlineStr">
        <is>
          <t>1</t>
        </is>
      </c>
      <c r="J1971" t="inlineStr"/>
      <c r="K1971" t="inlineStr"/>
      <c r="L1971" t="inlineStr"/>
      <c r="M1971" t="inlineStr"/>
      <c r="N1971" t="inlineStr"/>
      <c r="O1971">
        <f>(1-Summary!$B$11)*T1971+Summary!$B$11*V1971</f>
        <v/>
      </c>
      <c r="P1971">
        <f>IF(B1988=0,0,O1971/B1988)</f>
        <v/>
      </c>
      <c r="Q1971" t="n">
        <v>0</v>
      </c>
      <c r="R1971" t="n">
        <v>0</v>
      </c>
      <c r="S1971">
        <f>IFERROR(O1971/N1971,0)</f>
        <v/>
      </c>
      <c r="T1971" t="n">
        <v>0</v>
      </c>
      <c r="V1971" t="n">
        <v>0</v>
      </c>
    </row>
    <row r="1972">
      <c r="A1972">
        <f>Skills!A21</f>
        <v/>
      </c>
      <c r="B1972">
        <f>Skills!B21</f>
        <v/>
      </c>
      <c r="C1972">
        <f>Inputs!$B$3&gt;=38</f>
        <v/>
      </c>
      <c r="D1972">
        <f>IF(Skills!C21=1,60+Inputs!$B$25+Inputs!$B$29,IF(Skills!C21=2,90+Inputs!$B$26+Inputs!$B$29,IF(Skills!C21=3,120+Inputs!$B$27+Inputs!$B$29,MAX(0,(Inputs!$B$3-100)*3)+Inputs!$B$28+Inputs!$B$29)))</f>
        <v/>
      </c>
      <c r="E1972">
        <f>INDEX(FactorTable!$B$2:$Y$301, MATCH(ROUND(MIN(300,MAX(1,D1972)),0), FactorTable!$A$2:$A$301,0), Skills!M21+1)</f>
        <v/>
      </c>
      <c r="F1972">
        <f>IF(Skills!N21=TRUE,(Skills!L21/10)*(E1972/1000),Skills!L21/10)+Skills!O21</f>
        <v/>
      </c>
      <c r="G1972">
        <f>Skills!G21*IF(Skills!H21&gt;0,Skills!I21/Skills!H21,1)</f>
        <v/>
      </c>
      <c r="H1972">
        <f>1-(1-Skills!J21/100)^Skills!K21</f>
        <v/>
      </c>
      <c r="I1972" t="inlineStr">
        <is>
          <t>1</t>
        </is>
      </c>
      <c r="J1972" t="inlineStr"/>
      <c r="K1972" t="inlineStr"/>
      <c r="L1972" t="inlineStr"/>
      <c r="M1972" t="inlineStr"/>
      <c r="N1972" t="inlineStr"/>
      <c r="O1972">
        <f>(1-Summary!$B$11)*T1972+Summary!$B$11*V1972</f>
        <v/>
      </c>
      <c r="P1972">
        <f>IF(B1988=0,0,O1972/B1988)</f>
        <v/>
      </c>
      <c r="Q1972" t="n">
        <v>0</v>
      </c>
      <c r="R1972" t="n">
        <v>0</v>
      </c>
      <c r="S1972">
        <f>IFERROR(O1972/N1972,0)</f>
        <v/>
      </c>
      <c r="T1972" t="n">
        <v>0</v>
      </c>
      <c r="V1972" t="n">
        <v>0</v>
      </c>
    </row>
    <row r="1973">
      <c r="A1973">
        <f>Skills!A22</f>
        <v/>
      </c>
      <c r="B1973">
        <f>Skills!B22</f>
        <v/>
      </c>
      <c r="C1973">
        <f>Inputs!$B$3&gt;=43</f>
        <v/>
      </c>
      <c r="D1973">
        <f>IF(Skills!C22=1,60+Inputs!$B$25+Inputs!$B$29,IF(Skills!C22=2,90+Inputs!$B$26+Inputs!$B$29,IF(Skills!C22=3,120+Inputs!$B$27+Inputs!$B$29,MAX(0,(Inputs!$B$3-100)*3)+Inputs!$B$28+Inputs!$B$29)))</f>
        <v/>
      </c>
      <c r="E1973">
        <f>INDEX(FactorTable!$B$2:$Y$301, MATCH(ROUND(MIN(300,MAX(1,D1973)),0), FactorTable!$A$2:$A$301,0), Skills!M22+1)</f>
        <v/>
      </c>
      <c r="F1973">
        <f>IF(Skills!N22=TRUE,(Skills!L22/10)*(E1973/1000),Skills!L22/10)+Skills!O22</f>
        <v/>
      </c>
      <c r="G1973">
        <f>Skills!G22*IF(Skills!H22&gt;0,Skills!I22/Skills!H22,1)</f>
        <v/>
      </c>
      <c r="H1973">
        <f>1-(1-Skills!J22/100)^Skills!K22</f>
        <v/>
      </c>
      <c r="I1973" t="inlineStr">
        <is>
          <t>1</t>
        </is>
      </c>
      <c r="J1973" t="inlineStr"/>
      <c r="K1973" t="inlineStr"/>
      <c r="L1973" t="inlineStr"/>
      <c r="M1973" t="inlineStr"/>
      <c r="N1973" t="inlineStr"/>
      <c r="O1973">
        <f>(1-Summary!$B$11)*T1973+Summary!$B$11*V1973</f>
        <v/>
      </c>
      <c r="P1973">
        <f>IF(B1988=0,0,O1973/B1988)</f>
        <v/>
      </c>
      <c r="Q1973" t="n">
        <v>0</v>
      </c>
      <c r="R1973" t="n">
        <v>0</v>
      </c>
      <c r="S1973">
        <f>IFERROR(O1973/N1973,0)</f>
        <v/>
      </c>
      <c r="T1973" t="n">
        <v>0</v>
      </c>
      <c r="V1973" t="n">
        <v>0</v>
      </c>
    </row>
    <row r="1974">
      <c r="A1974">
        <f>Skills!A23</f>
        <v/>
      </c>
      <c r="B1974">
        <f>Skills!B23</f>
        <v/>
      </c>
      <c r="C1974">
        <f>Inputs!$B$3&gt;=120</f>
        <v/>
      </c>
      <c r="D1974">
        <f>IF(Skills!C23=1,60+Inputs!$B$25+Inputs!$B$29,IF(Skills!C23=2,90+Inputs!$B$26+Inputs!$B$29,IF(Skills!C23=3,120+Inputs!$B$27+Inputs!$B$29,MAX(0,(Inputs!$B$3-100)*3)+Inputs!$B$28+Inputs!$B$29)))</f>
        <v/>
      </c>
      <c r="E1974">
        <f>INDEX(FactorTable!$B$2:$Y$301, MATCH(ROUND(MIN(300,MAX(1,D1974)),0), FactorTable!$A$2:$A$301,0), Skills!M23+1)</f>
        <v/>
      </c>
      <c r="F1974">
        <f>IF(Skills!N23=TRUE,(Skills!L23/10)*(E1974/1000),Skills!L23/10)+Skills!O23</f>
        <v/>
      </c>
      <c r="G1974">
        <f>Skills!G23*IF(Skills!H23&gt;0,Skills!I23/Skills!H23,1)</f>
        <v/>
      </c>
      <c r="H1974">
        <f>1-(1-Skills!J23/100)^Skills!K23</f>
        <v/>
      </c>
      <c r="I1974" t="inlineStr">
        <is>
          <t>1</t>
        </is>
      </c>
      <c r="J1974" t="inlineStr"/>
      <c r="K1974" t="inlineStr"/>
      <c r="L1974" t="inlineStr"/>
      <c r="M1974" t="inlineStr"/>
      <c r="N1974" t="inlineStr"/>
      <c r="O1974">
        <f>(1-Summary!$B$11)*T1974+Summary!$B$11*V1974</f>
        <v/>
      </c>
      <c r="P1974">
        <f>IF(B1988=0,0,O1974/B1988)</f>
        <v/>
      </c>
      <c r="Q1974" t="n">
        <v>0</v>
      </c>
      <c r="R1974" t="n">
        <v>0</v>
      </c>
      <c r="S1974">
        <f>IFERROR(O1974/N1974,0)</f>
        <v/>
      </c>
      <c r="T1974" t="n">
        <v>0</v>
      </c>
      <c r="V1974" t="n">
        <v>0</v>
      </c>
    </row>
    <row r="1975">
      <c r="A1975">
        <f>Skills!A24</f>
        <v/>
      </c>
      <c r="B1975">
        <f>Skills!B24</f>
        <v/>
      </c>
      <c r="C1975">
        <f>Inputs!$B$3&gt;=120</f>
        <v/>
      </c>
      <c r="D1975">
        <f>IF(Skills!C24=1,60+Inputs!$B$25+Inputs!$B$29,IF(Skills!C24=2,90+Inputs!$B$26+Inputs!$B$29,IF(Skills!C24=3,120+Inputs!$B$27+Inputs!$B$29,MAX(0,(Inputs!$B$3-100)*3)+Inputs!$B$28+Inputs!$B$29)))</f>
        <v/>
      </c>
      <c r="E1975">
        <f>INDEX(FactorTable!$B$2:$Y$301, MATCH(ROUND(MIN(300,MAX(1,D1975)),0), FactorTable!$A$2:$A$301,0), Skills!M24+1)</f>
        <v/>
      </c>
      <c r="F1975">
        <f>IF(Skills!N24=TRUE,(Skills!L24/10)*(E1975/1000),Skills!L24/10)+Skills!O24</f>
        <v/>
      </c>
      <c r="G1975">
        <f>Skills!G24*IF(Skills!H24&gt;0,Skills!I24/Skills!H24,1)</f>
        <v/>
      </c>
      <c r="H1975">
        <f>1-(1-Skills!J24/100)^Skills!K24</f>
        <v/>
      </c>
      <c r="I1975" t="inlineStr">
        <is>
          <t>1</t>
        </is>
      </c>
      <c r="J1975" t="inlineStr"/>
      <c r="K1975" t="inlineStr"/>
      <c r="L1975" t="inlineStr"/>
      <c r="M1975" t="inlineStr"/>
      <c r="N1975" t="inlineStr"/>
      <c r="O1975">
        <f>(1-Summary!$B$11)*T1975+Summary!$B$11*V1975</f>
        <v/>
      </c>
      <c r="P1975">
        <f>IF(B1988=0,0,O1975/B1988)</f>
        <v/>
      </c>
      <c r="Q1975" t="n">
        <v>0</v>
      </c>
      <c r="R1975" t="n">
        <v>0</v>
      </c>
      <c r="S1975">
        <f>IFERROR(O1975/N1975,0)</f>
        <v/>
      </c>
      <c r="T1975" t="n">
        <v>0</v>
      </c>
      <c r="V1975" t="n">
        <v>0</v>
      </c>
    </row>
    <row r="1977">
      <c r="A1977" t="inlineStr">
        <is>
          <t>Attack% Bucket Multiplier</t>
        </is>
      </c>
      <c r="B1977">
        <f>(1+(((C1964=TRUE)*F1964*MIN(1,Skills!T13*(Skills!J13/100)*B1982))+((C1969=TRUE)*F1969*IF(AND(Inputs!$B$38&lt;&gt;"pvp",Inputs!$B$43&gt;0),(((R1969-1)*(Skills!T18*(1+Inputs!$B$34/100))+MIN((Skills!T18*(1+Inputs!$B$34/100)),MAX(0,Inputs!$B$43-((R1969-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78">
      <c r="A1978" t="inlineStr">
        <is>
          <t>Global Crit Rate Bonus %</t>
        </is>
      </c>
      <c r="B1978" t="n">
        <v>0</v>
      </c>
    </row>
    <row r="1979">
      <c r="A1979" t="inlineStr">
        <is>
          <t>Attack Speed Buff Bonus %</t>
        </is>
      </c>
      <c r="B1979">
        <f>((C1970=TRUE)*F1970*IF(AND(Inputs!$B$38&lt;&gt;"pvp",Inputs!$B$43&gt;0),(((R1970-1)*(Skills!T19*(1+Inputs!$B$34/100))+MIN((Skills!T19*(1+Inputs!$B$34/100)),MAX(0,Inputs!$B$43-((R1970-1)*Skills!D19))))/Inputs!$B$43),IF(Inputs!$B$38="pvp",MIN((Skills!T19*(1+Inputs!$B$34/100)),15)/15,(Skills!T19*(1+Inputs!$B$34/100))/Skills!D19)))</f>
        <v/>
      </c>
    </row>
    <row r="1980">
      <c r="A1980" t="inlineStr">
        <is>
          <t>Actions Per Second</t>
        </is>
      </c>
      <c r="B1980">
        <f>1+MIN(150,150*(1-(1-(Inputs!$B$11+((C1971=TRUE)*(F1971-Calc!F20)))/150)*(1-B1979/150)))/100</f>
        <v/>
      </c>
    </row>
    <row r="1981">
      <c r="A1981" t="inlineStr">
        <is>
          <t>Skill + Buff Cast Rate</t>
        </is>
      </c>
      <c r="B1981">
        <f>IF(AND(Inputs!$B$38&lt;&gt;"pvp",Inputs!$B$43&gt;0),SUMPRODUCT((Skills!E2:E24=TRUE)*(C1953:C1975=TRUE)*R1953:R1975*Skills!F2:F24)/Inputs!$B$43,SUMPRODUCT((Skills!E2:E24=TRUE)*(C1953:C1975=TRUE)*Q1953:Q1975*Skills!F2:F24))</f>
        <v/>
      </c>
    </row>
    <row r="1982">
      <c r="A1982" t="inlineStr">
        <is>
          <t>Blast Casts Per Second</t>
        </is>
      </c>
      <c r="B1982">
        <f>MAX(0,B1980-B1981)</f>
        <v/>
      </c>
    </row>
    <row r="1983">
      <c r="A1983" t="inlineStr">
        <is>
          <t>Global Critical Damage Bonus % (unused)</t>
        </is>
      </c>
      <c r="B1983" t="n">
        <v>0</v>
      </c>
    </row>
    <row r="1984">
      <c r="A1984" t="inlineStr">
        <is>
          <t>Global Final Damage Bonus % (Divine Shield + Guardian + Divine Blessing + Greater Vessel of Light)</t>
        </is>
      </c>
      <c r="B1984">
        <f>((C1966=TRUE)*F1966*IF(AND(Inputs!$B$38&lt;&gt;"pvp",Inputs!$B$43&gt;0),(((R1966-1)*(Skills!T15*(1+Inputs!$B$34/100))+MIN((Skills!T15*(1+Inputs!$B$34/100)),MAX(0,Inputs!$B$43-((R1966-1)*Skills!D15))))/Inputs!$B$43),IF(Inputs!$B$38="pvp",MIN((Skills!T15*(1+Inputs!$B$34/100)),15)/15,(Skills!T15*(1+Inputs!$B$34/100))/Skills!D15)))+((C1967=TRUE)*F1967*IF(AND(Inputs!$B$38&lt;&gt;"pvp",Inputs!$B$43&gt;0),(((R1967-1)*(Skills!T16*(1+Inputs!$B$34/100))+MIN((Skills!T16*(1+Inputs!$B$34/100)),MAX(0,Inputs!$B$43-((R1967-1)*Skills!D16))))/Inputs!$B$43),IF(Inputs!$B$38="pvp",MIN((Skills!T16*(1+Inputs!$B$34/100)),15)/15,(Skills!T16*(1+Inputs!$B$34/100))/Skills!D16)))+((C1968=TRUE)*F1968*IF(AND(Inputs!$B$38&lt;&gt;"pvp",Inputs!$B$43&gt;0),(((R1968-1)*(Skills!T17*(1+Inputs!$B$34/100))+MIN((Skills!T17*(1+Inputs!$B$34/100)),MAX(0,Inputs!$B$43-((R1968-1)*Skills!D17))))/Inputs!$B$43),IF(Inputs!$B$38="pvp",MIN((Skills!T17*(1+Inputs!$B$34/100)),15)/15,(Skills!T17*(1+Inputs!$B$34/100))/Skills!D17)))+((C1965=TRUE)*F1965*MIN(1,Skills!T13*(Skills!J13/100)*B1982))</f>
        <v/>
      </c>
    </row>
    <row r="1985">
      <c r="A1985" t="inlineStr">
        <is>
          <t>Buff-Casting Startup Delay (s, fixed-duration only)</t>
        </is>
      </c>
      <c r="B1985">
        <f>IF(AND(Inputs!$B$38&lt;&gt;"pvp",Inputs!$B$43&gt;0),SUMPRODUCT((Skills!T2:T24&gt;0)*(Skills!E2:E24=TRUE)*(C1953:C1975=TRUE))/B1980,0)</f>
        <v/>
      </c>
    </row>
    <row r="1986">
      <c r="A1986" t="inlineStr">
        <is>
          <t>Boss-Only Total DPS (this block's swept value)</t>
        </is>
      </c>
      <c r="B1986">
        <f>SUM(T1953:T1975)</f>
        <v/>
      </c>
    </row>
    <row r="1987">
      <c r="A1987" t="inlineStr">
        <is>
          <t>Normal-Only Total DPS (this block's swept value)</t>
        </is>
      </c>
      <c r="B1987">
        <f>SUM(V1953:V1975)</f>
        <v/>
      </c>
    </row>
    <row r="1988">
      <c r="A1988" s="6" t="inlineStr">
        <is>
          <t>TOTAL DPS</t>
        </is>
      </c>
      <c r="B1988" s="6">
        <f>SUM(O1953:O1975)</f>
        <v/>
      </c>
    </row>
    <row r="1991">
      <c r="A1991" s="6" t="inlineStr">
        <is>
          <t>Stat: Soul Pouch (Equip)</t>
        </is>
      </c>
    </row>
    <row r="1992">
      <c r="A1992" s="5" t="inlineStr">
        <is>
          <t>Key</t>
        </is>
      </c>
      <c r="B1992" s="5" t="inlineStr">
        <is>
          <t>Name</t>
        </is>
      </c>
      <c r="C1992" s="5" t="inlineStr">
        <is>
          <t>Unlocked</t>
        </is>
      </c>
      <c r="D1992" s="5" t="inlineStr">
        <is>
          <t>InputLevel</t>
        </is>
      </c>
      <c r="E1992" s="5" t="inlineStr">
        <is>
          <t>Factor</t>
        </is>
      </c>
      <c r="F1992" s="5" t="inlineStr">
        <is>
          <t>CoefficientPercent</t>
        </is>
      </c>
      <c r="G1992" s="5" t="inlineStr">
        <is>
          <t>EffectiveHits</t>
        </is>
      </c>
      <c r="H1992" s="5" t="inlineStr">
        <is>
          <t>ProcProbability</t>
        </is>
      </c>
      <c r="I1992" s="5" t="inlineStr">
        <is>
          <t>MapleHeroMultiplier</t>
        </is>
      </c>
      <c r="J1992" s="5" t="inlineStr">
        <is>
          <t>BaseDamage</t>
        </is>
      </c>
      <c r="K1992" s="5" t="inlineStr">
        <is>
          <t>BaseHitDamage</t>
        </is>
      </c>
      <c r="L1992" s="5" t="inlineStr">
        <is>
          <t>NonCritAvg</t>
        </is>
      </c>
      <c r="M1992" s="5" t="inlineStr">
        <is>
          <t>CritAvg</t>
        </is>
      </c>
      <c r="N1992" s="5" t="inlineStr">
        <is>
          <t>ExpectedDamage(perHit)</t>
        </is>
      </c>
      <c r="O1992" s="5" t="inlineStr">
        <is>
          <t>DPS</t>
        </is>
      </c>
      <c r="P1992" s="5" t="inlineStr">
        <is>
          <t>% of Total</t>
        </is>
      </c>
      <c r="Q1992" s="5" t="inlineStr">
        <is>
          <t>InvCooldown</t>
        </is>
      </c>
      <c r="R1992" s="5" t="inlineStr">
        <is>
          <t>CastsInFight</t>
        </is>
      </c>
      <c r="S1992" s="5" t="inlineStr">
        <is>
          <t>HitRate(perSec)</t>
        </is>
      </c>
      <c r="U1992" t="inlineStr">
        <is>
          <t>helpers</t>
        </is>
      </c>
    </row>
    <row r="1993">
      <c r="A1993">
        <f>Skills!A2</f>
        <v/>
      </c>
      <c r="B1993">
        <f>Skills!B2</f>
        <v/>
      </c>
      <c r="C1993">
        <f>Inputs!$B$3&gt;=100</f>
        <v/>
      </c>
      <c r="D1993" t="inlineStr"/>
      <c r="E1993" t="inlineStr"/>
      <c r="F1993">
        <f>U1995+Skills!O2</f>
        <v/>
      </c>
      <c r="G1993">
        <f>Skills!G2*IF(Skills!H2&gt;0,Skills!I2/Skills!H2,1)</f>
        <v/>
      </c>
      <c r="H1993">
        <f>1-(1-Skills!J2/100)^Skills!K2</f>
        <v/>
      </c>
      <c r="I1993" t="inlineStr">
        <is>
          <t>1</t>
        </is>
      </c>
      <c r="J1993">
        <f>((Inputs!$B$6*(1+Inputs!$B$7/100))+(((Inputs!$B$12*(1+Inputs!$B$13/100))-(Inputs!$B$12*(1+Inputs!$B$13/100)))+0.25*(Inputs!$B$14-Inputs!$B$14))*(1+Inputs!$B$7/100))*(F1993/100)</f>
        <v/>
      </c>
      <c r="K1993">
        <f>J1993*(1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1993)</f>
        <v/>
      </c>
      <c r="L1993">
        <f>K1993*(MIN(Inputs!$B$22+((C2013=TRUE)*(F2013-Calc!F22)),(Inputs!$B$23+((C2015=TRUE)*(F2015-Calc!F24))+(IF(ArtifactsInput!$M$15,CHOOSE(ArtifactsInput!$N$15+1,25,30,35,40,45,50)/100*(Inputs!$B$11-Inputs!$B$11),0))))/100+(Inputs!$B$23+((C2015=TRUE)*(F2015-Calc!F24))+(IF(ArtifactsInput!$M$15,CHOOSE(ArtifactsInput!$N$15+1,25,30,35,40,45,50)/100*(Inputs!$B$11-Inputs!$B$11),0)))/100)/2</f>
        <v/>
      </c>
      <c r="M1993">
        <f>L1993*(1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3">
        <f>L1993*(1-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1993*(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3">
        <f>(1-Summary!$B$11)*T1993+Summary!$B$11*V1993</f>
        <v/>
      </c>
      <c r="P1993">
        <f>IF(B2028=0,0,O1993/B2028)</f>
        <v/>
      </c>
      <c r="Q1993" t="n">
        <v>0</v>
      </c>
      <c r="R1993" t="n">
        <v>0</v>
      </c>
      <c r="S1993">
        <f>IFERROR(O1993/N1993,0)</f>
        <v/>
      </c>
      <c r="T1993">
        <f>IF(C1993,(Skills!G2*N1993*B2022)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1993*(1-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1993*(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1993*(1-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1993*(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93">
        <f>MAX(0,(Inputs!$B$3-100)*3)+Inputs!$B$28+Inputs!$B$29</f>
        <v/>
      </c>
      <c r="V1993">
        <f>IF(C1993,(Skills!G2*N1993*B2022)*IF(Inputs!$B$38="pvp",1,(1+(Inputs!$B$21+Skills!Q2+(IF(ArtifactsInput!$M$33,CHOOSE(ArtifactsInput!$N$33+1,30,36,42,48,54,60),0))+(IF(AND(ArtifactsInput!$M$35,Inputs!$B$4&lt;&gt;"Chapter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4">
      <c r="A1994">
        <f>Skills!A3</f>
        <v/>
      </c>
      <c r="B1994">
        <f>Skills!B3</f>
        <v/>
      </c>
      <c r="C1994">
        <f>Inputs!$B$3&gt;=50</f>
        <v/>
      </c>
      <c r="D1994">
        <f>IF(Skills!C3=1,60+Inputs!$B$25+Inputs!$B$29,IF(Skills!C3=2,90+Inputs!$B$26+Inputs!$B$29,IF(Skills!C3=3,120+Inputs!$B$27+Inputs!$B$29,MAX(0,(Inputs!$B$3-100)*3)+Inputs!$B$28+Inputs!$B$29)))</f>
        <v/>
      </c>
      <c r="E1994">
        <f>INDEX(FactorTable!$B$2:$Y$301, MATCH(ROUND(MIN(300,MAX(1,D1994)),0), FactorTable!$A$2:$A$301,0), Skills!M3+1)</f>
        <v/>
      </c>
      <c r="F1994">
        <f>IF(Skills!N3=TRUE,(Skills!L3/10)*(E1994/1000),Skills!L3/10)+Skills!O3</f>
        <v/>
      </c>
      <c r="G1994" t="inlineStr"/>
      <c r="H1994" t="inlineStr"/>
      <c r="I1994" t="inlineStr">
        <is>
          <t>1</t>
        </is>
      </c>
      <c r="J1994" t="inlineStr"/>
      <c r="K1994" t="inlineStr"/>
      <c r="L1994" t="inlineStr"/>
      <c r="M1994" t="inlineStr"/>
      <c r="N1994" t="inlineStr"/>
      <c r="O1994" t="inlineStr"/>
      <c r="P1994" t="inlineStr"/>
      <c r="Q1994" t="inlineStr"/>
      <c r="R1994" t="inlineStr"/>
      <c r="S1994" t="inlineStr"/>
      <c r="U1994">
        <f>INDEX(FactorTable!$B$2:$Y$301, MATCH(ROUND(MIN(300,MAX(1,U1993)),0), FactorTable!$A$2:$A$301,0), 22)</f>
        <v/>
      </c>
    </row>
    <row r="1995">
      <c r="A1995">
        <f>Skills!A4</f>
        <v/>
      </c>
      <c r="B1995">
        <f>Skills!B4</f>
        <v/>
      </c>
      <c r="C1995">
        <f>Inputs!$B$3&gt;=35</f>
        <v/>
      </c>
      <c r="D1995">
        <f>IF(Skills!C4=1,60+Inputs!$B$25+Inputs!$B$29,IF(Skills!C4=2,90+Inputs!$B$26+Inputs!$B$29,IF(Skills!C4=3,120+Inputs!$B$27+Inputs!$B$29,MAX(0,(Inputs!$B$3-100)*3)+Inputs!$B$28+Inputs!$B$29)))</f>
        <v/>
      </c>
      <c r="E1995">
        <f>INDEX(FactorTable!$B$2:$Y$301, MATCH(ROUND(MIN(300,MAX(1,D1995)),0), FactorTable!$A$2:$A$301,0), Skills!M4+1)</f>
        <v/>
      </c>
      <c r="F1995">
        <f>IF(Skills!N4=TRUE,(Skills!L4/10)*(E1995/1000),Skills!L4/10)+Skills!O4</f>
        <v/>
      </c>
      <c r="G1995">
        <f>Skills!G4*IF(Skills!H4&gt;0,Skills!I4/Skills!H4,1)</f>
        <v/>
      </c>
      <c r="H1995">
        <f>1-(1-Skills!J4/100)^Skills!K4</f>
        <v/>
      </c>
      <c r="I1995" t="inlineStr">
        <is>
          <t>1</t>
        </is>
      </c>
      <c r="J1995">
        <f>((Inputs!$B$6*(1+Inputs!$B$7/100))+(((Inputs!$B$12*(1+Inputs!$B$13/100))-(Inputs!$B$12*(1+Inputs!$B$13/100)))+0.25*(Inputs!$B$14-Inputs!$B$14))*(1+Inputs!$B$7/100))*(F1995/100)</f>
        <v/>
      </c>
      <c r="K1995">
        <f>J1995*(1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2003=TRUE,F2003,0)/100)*(1+(IF(Skills!A4="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1995)</f>
        <v/>
      </c>
      <c r="L1995">
        <f>K1995*(MIN(Inputs!$B$22+((C2013=TRUE)*(F2013-Calc!F22)),(Inputs!$B$23+((C2015=TRUE)*(F2015-Calc!F24))+(IF(ArtifactsInput!$M$15,CHOOSE(ArtifactsInput!$N$15+1,25,30,35,40,45,50)/100*(Inputs!$B$11-Inputs!$B$11),0))))/100+(Inputs!$B$23+((C2015=TRUE)*(F2015-Calc!F24))+(IF(ArtifactsInput!$M$15,CHOOSE(ArtifactsInput!$N$15+1,25,30,35,40,45,50)/100*(Inputs!$B$11-Inputs!$B$11),0)))/100)/2</f>
        <v/>
      </c>
      <c r="M1995">
        <f>L1995*(1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5">
        <f>L1995*(1-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1995*(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5">
        <f>(1-Summary!$B$11)*T1995+Summary!$B$11*V1995</f>
        <v/>
      </c>
      <c r="P1995">
        <f>IF(B2028=0,0,O1995/B2028)</f>
        <v/>
      </c>
      <c r="Q1995">
        <f>IFERROR(1/(IF(Inputs!$B$38="pvp",15,MAX(0.1,Skills!D4-IF(Skills!E4=TRUE,Inputs!$B$32,0)))*(1-IF(AND(ArtifactsInput!$M$27,Inputs!$B$4="Chapter Hunt"),CHOOSE(ArtifactsInput!$N$27+1,20,24,28,32,36,40),0)/100)),0)</f>
        <v/>
      </c>
      <c r="R1995">
        <f>IF(AND(Inputs!$B$38&lt;&gt;"pvp",Inputs!$B$43&gt;0),IF(MAX(0,Inputs!$B$43-B2025)&lt;=0,0,(INT(MAX(0,Inputs!$B$43-B2025)/(IF(Inputs!$B$38="pvp",15,MAX(0.1,Skills!D4-IF(Skills!E4=TRUE,Inputs!$B$32,0)))*(1-IF(AND(ArtifactsInput!$M$27,Inputs!$B$4="Chapter Hunt"),CHOOSE(ArtifactsInput!$N$27+1,20,24,28,32,36,40),0)/100)))+1)),0)</f>
        <v/>
      </c>
      <c r="S1995">
        <f>IFERROR(O1995/N1995,0)</f>
        <v/>
      </c>
      <c r="T1995">
        <f>IF(C1995,(H1995*N1995*IF(AND(Inputs!$B$38&lt;&gt;"pvp",Inputs!$B$43&gt;0),((Skills!G4*((R1995-1)*IF(Skills!H4&gt;0,Skills!I4/Skills!H4,1)+IF(Skills!H4&gt;0,MIN(Skills!I4,MAX(0,MAX(0,Inputs!$B$43-B2025)-((R1995-1)*(IF(Inputs!$B$38="pvp",15,MAX(0.1,Skills!D4-IF(Skills!E4=TRUE,Inputs!$B$32,0)))*(1-IF(AND(ArtifactsInput!$M$27,Inputs!$B$4="Chapter Hunt"),CHOOSE(ArtifactsInput!$N$27+1,20,24,28,32,36,40),0)/100)))))/Skills!H4,1)))/Inputs!$B$43),G1995*Q1995)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1995*(1-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1995*(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1995*(1-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1995*(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95">
        <f>290*U1994/1000</f>
        <v/>
      </c>
      <c r="V1995">
        <f>IF(C1995,(H1995*N1995*IF(AND(Inputs!$B$38&lt;&gt;"pvp",Inputs!$B$43&gt;0),((Skills!G4*((R1995-1)*IF(Skills!H4&gt;0,Skills!I4/Skills!H4,1)+IF(Skills!H4&gt;0,MIN(Skills!I4,MAX(0,MAX(0,Inputs!$B$43-B2025)-((R1995-1)*(IF(Inputs!$B$38="pvp",15,MAX(0.1,Skills!D4-IF(Skills!E4=TRUE,Inputs!$B$32,0)))*(1-IF(AND(ArtifactsInput!$M$27,Inputs!$B$4="Chapter Hunt"),CHOOSE(ArtifactsInput!$N$27+1,20,24,28,32,36,40),0)/100)))))/Skills!H4,1)))/Inputs!$B$43),G1995*Q1995))*IF(Inputs!$B$38="pvp",1,(1+(Inputs!$B$21+Skills!Q4+(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6">
      <c r="A1996">
        <f>Skills!A5</f>
        <v/>
      </c>
      <c r="B1996">
        <f>Skills!B5</f>
        <v/>
      </c>
      <c r="C1996">
        <f>Inputs!$B$3&gt;=66</f>
        <v/>
      </c>
      <c r="D1996">
        <f>IF(Skills!C5=1,60+Inputs!$B$25+Inputs!$B$29,IF(Skills!C5=2,90+Inputs!$B$26+Inputs!$B$29,IF(Skills!C5=3,120+Inputs!$B$27+Inputs!$B$29,MAX(0,(Inputs!$B$3-100)*3)+Inputs!$B$28+Inputs!$B$29)))</f>
        <v/>
      </c>
      <c r="E1996">
        <f>INDEX(FactorTable!$B$2:$Y$301, MATCH(ROUND(MIN(300,MAX(1,D1996)),0), FactorTable!$A$2:$A$301,0), Skills!M5+1)</f>
        <v/>
      </c>
      <c r="F1996">
        <f>IF(Skills!N5=TRUE,(Skills!L5/10)*(E1996/1000),Skills!L5/10)+Skills!O5</f>
        <v/>
      </c>
      <c r="G1996">
        <f>Skills!G5*IF(Skills!H5&gt;0,Skills!I5/Skills!H5,1)</f>
        <v/>
      </c>
      <c r="H1996">
        <f>1-(1-Skills!J5/100)^Skills!K5</f>
        <v/>
      </c>
      <c r="I1996" t="inlineStr">
        <is>
          <t>1</t>
        </is>
      </c>
      <c r="J1996">
        <f>((Inputs!$B$6*(1+Inputs!$B$7/100))+(((Inputs!$B$12*(1+Inputs!$B$13/100))-(Inputs!$B$12*(1+Inputs!$B$13/100)))+0.25*(Inputs!$B$14-Inputs!$B$14))*(1+Inputs!$B$7/100))*(F1996/100)</f>
        <v/>
      </c>
      <c r="K1996">
        <f>J1996*(1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2003=TRUE,F2003,0)/100)*(1+(IF(Skills!A5="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1996)</f>
        <v/>
      </c>
      <c r="L1996">
        <f>K1996*(MIN(Inputs!$B$22+((C2013=TRUE)*(F2013-Calc!F22)),(Inputs!$B$23+((C2015=TRUE)*(F2015-Calc!F24))+(IF(ArtifactsInput!$M$15,CHOOSE(ArtifactsInput!$N$15+1,25,30,35,40,45,50)/100*(Inputs!$B$11-Inputs!$B$11),0))))/100+(Inputs!$B$23+((C2015=TRUE)*(F2015-Calc!F24))+(IF(ArtifactsInput!$M$15,CHOOSE(ArtifactsInput!$N$15+1,25,30,35,40,45,50)/100*(Inputs!$B$11-Inputs!$B$11),0)))/100)/2</f>
        <v/>
      </c>
      <c r="M1996">
        <f>L1996*(1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6">
        <f>L1996*(1-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1996*(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6">
        <f>(1-Summary!$B$11)*T1996+Summary!$B$11*V1996</f>
        <v/>
      </c>
      <c r="P1996">
        <f>IF(B2028=0,0,O1996/B2028)</f>
        <v/>
      </c>
      <c r="Q1996">
        <f>IFERROR(1/(IF(Inputs!$B$38="pvp",15,MAX(0.1,Skills!D5-IF(Skills!E5=TRUE,Inputs!$B$32,0)))*(1-IF(AND(ArtifactsInput!$M$27,Inputs!$B$4="Chapter Hunt"),CHOOSE(ArtifactsInput!$N$27+1,20,24,28,32,36,40),0)/100)),0)</f>
        <v/>
      </c>
      <c r="R1996">
        <f>IF(AND(Inputs!$B$38&lt;&gt;"pvp",Inputs!$B$43&gt;0),IF(MAX(0,Inputs!$B$43-B2025)&lt;=0,0,(INT(MAX(0,Inputs!$B$43-B2025)/(IF(Inputs!$B$38="pvp",15,MAX(0.1,Skills!D5-IF(Skills!E5=TRUE,Inputs!$B$32,0)))*(1-IF(AND(ArtifactsInput!$M$27,Inputs!$B$4="Chapter Hunt"),CHOOSE(ArtifactsInput!$N$27+1,20,24,28,32,36,40),0)/100)))+1)),0)</f>
        <v/>
      </c>
      <c r="S1996">
        <f>IFERROR(O1996/N1996,0)</f>
        <v/>
      </c>
      <c r="T1996">
        <f>IF(C1996,(H1996*N1996*IF(AND(Inputs!$B$38&lt;&gt;"pvp",Inputs!$B$43&gt;0),((Skills!G5*((R1996-1)*IF(Skills!H5&gt;0,Skills!I5/Skills!H5,1)+IF(Skills!H5&gt;0,MIN(Skills!I5,MAX(0,MAX(0,Inputs!$B$43-B2025)-((R1996-1)*(IF(Inputs!$B$38="pvp",15,MAX(0.1,Skills!D5-IF(Skills!E5=TRUE,Inputs!$B$32,0)))*(1-IF(AND(ArtifactsInput!$M$27,Inputs!$B$4="Chapter Hunt"),CHOOSE(ArtifactsInput!$N$27+1,20,24,28,32,36,40),0)/100)))))/Skills!H5,1)))/Inputs!$B$43),G1996*Q1996)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1996*(1-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1996*(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1996*(1-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1996*(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96">
        <f>IF(C1996,(H1996*N1996*IF(AND(Inputs!$B$38&lt;&gt;"pvp",Inputs!$B$43&gt;0),((Skills!G5*((R1996-1)*IF(Skills!H5&gt;0,Skills!I5/Skills!H5,1)+IF(Skills!H5&gt;0,MIN(Skills!I5,MAX(0,MAX(0,Inputs!$B$43-B2025)-((R1996-1)*(IF(Inputs!$B$38="pvp",15,MAX(0.1,Skills!D5-IF(Skills!E5=TRUE,Inputs!$B$32,0)))*(1-IF(AND(ArtifactsInput!$M$27,Inputs!$B$4="Chapter Hunt"),CHOOSE(ArtifactsInput!$N$27+1,20,24,28,32,36,40),0)/100)))))/Skills!H5,1)))/Inputs!$B$43),G1996*Q1996))*IF(Inputs!$B$38="pvp",1,(1+(Inputs!$B$21+Skills!Q5+(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7">
      <c r="A1997">
        <f>Skills!A6</f>
        <v/>
      </c>
      <c r="B1997">
        <f>Skills!B6</f>
        <v/>
      </c>
      <c r="C1997">
        <f>Inputs!$B$3&gt;=103</f>
        <v/>
      </c>
      <c r="D1997">
        <f>IF(Skills!C6=1,60+Inputs!$B$25+Inputs!$B$29,IF(Skills!C6=2,90+Inputs!$B$26+Inputs!$B$29,IF(Skills!C6=3,120+Inputs!$B$27+Inputs!$B$29,MAX(0,(Inputs!$B$3-100)*3)+Inputs!$B$28+Inputs!$B$29)))</f>
        <v/>
      </c>
      <c r="E1997">
        <f>INDEX(FactorTable!$B$2:$Y$301, MATCH(ROUND(MIN(300,MAX(1,D1997)),0), FactorTable!$A$2:$A$301,0), Skills!M6+1)</f>
        <v/>
      </c>
      <c r="F1997">
        <f>IF(Skills!N6=TRUE,(Skills!L6/10)*(E1997/1000),Skills!L6/10)+Skills!O6</f>
        <v/>
      </c>
      <c r="G1997">
        <f>Skills!G6*IF(Skills!H6&gt;0,Skills!I6/Skills!H6,1)</f>
        <v/>
      </c>
      <c r="H1997">
        <f>1-(1-Skills!J6/100)^Skills!K6</f>
        <v/>
      </c>
      <c r="I1997" t="inlineStr">
        <is>
          <t>1</t>
        </is>
      </c>
      <c r="J1997">
        <f>((Inputs!$B$6*(1+Inputs!$B$7/100))+(((Inputs!$B$12*(1+Inputs!$B$13/100))-(Inputs!$B$12*(1+Inputs!$B$13/100)))+0.25*(Inputs!$B$14-Inputs!$B$14))*(1+Inputs!$B$7/100))*(F1997/100)</f>
        <v/>
      </c>
      <c r="K1997">
        <f>J1997*(1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1997)</f>
        <v/>
      </c>
      <c r="L1997">
        <f>K1997*(MIN(Inputs!$B$22+((C2013=TRUE)*(F2013-Calc!F22)),(Inputs!$B$23+((C2015=TRUE)*(F2015-Calc!F24))+(IF(ArtifactsInput!$M$15,CHOOSE(ArtifactsInput!$N$15+1,25,30,35,40,45,50)/100*(Inputs!$B$11-Inputs!$B$11),0))))/100+(Inputs!$B$23+((C2015=TRUE)*(F2015-Calc!F24))+(IF(ArtifactsInput!$M$15,CHOOSE(ArtifactsInput!$N$15+1,25,30,35,40,45,50)/100*(Inputs!$B$11-Inputs!$B$11),0)))/100)/2</f>
        <v/>
      </c>
      <c r="M1997">
        <f>L1997*(1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7">
        <f>L1997*(1-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1997*(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7">
        <f>(1-Summary!$B$11)*T1997+Summary!$B$11*V1997</f>
        <v/>
      </c>
      <c r="P1997">
        <f>IF(B2028=0,0,O1997/B2028)</f>
        <v/>
      </c>
      <c r="Q1997">
        <f>IFERROR(1/(IF(Inputs!$B$38="pvp",15,MAX(0.1,Skills!D6-IF(Skills!E6=TRUE,Inputs!$B$32,0)))*(1-IF(AND(ArtifactsInput!$M$27,Inputs!$B$4="Chapter Hunt"),CHOOSE(ArtifactsInput!$N$27+1,20,24,28,32,36,40),0)/100)),0)</f>
        <v/>
      </c>
      <c r="R1997">
        <f>IF(AND(Inputs!$B$38&lt;&gt;"pvp",Inputs!$B$43&gt;0),IF(MAX(0,Inputs!$B$43-B2025)&lt;=0,0,(INT(MAX(0,Inputs!$B$43-B2025)/(IF(Inputs!$B$38="pvp",15,MAX(0.1,Skills!D6-IF(Skills!E6=TRUE,Inputs!$B$32,0)))*(1-IF(AND(ArtifactsInput!$M$27,Inputs!$B$4="Chapter Hunt"),CHOOSE(ArtifactsInput!$N$27+1,20,24,28,32,36,40),0)/100)))+1)),0)</f>
        <v/>
      </c>
      <c r="S1997">
        <f>IFERROR(O1997/N1997,0)</f>
        <v/>
      </c>
      <c r="T1997">
        <f>IF(C1997,(H1997*N1997*IF(AND(Inputs!$B$38&lt;&gt;"pvp",Inputs!$B$43&gt;0),((Skills!G6*((R1997-1)*IF(Skills!H6&gt;0,Skills!I6/Skills!H6,1)+IF(Skills!H6&gt;0,MIN(Skills!I6,MAX(0,MAX(0,Inputs!$B$43-B2025)-((R1997-1)*(IF(Inputs!$B$38="pvp",15,MAX(0.1,Skills!D6-IF(Skills!E6=TRUE,Inputs!$B$32,0)))*(1-IF(AND(ArtifactsInput!$M$27,Inputs!$B$4="Chapter Hunt"),CHOOSE(ArtifactsInput!$N$27+1,20,24,28,32,36,40),0)/100)))))/Skills!H6,1)))/Inputs!$B$43),G1997*Q1997)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1997*(1-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1997*(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1997*(1-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1997*(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97">
        <f>IF(C1997,(H1997*N1997*IF(AND(Inputs!$B$38&lt;&gt;"pvp",Inputs!$B$43&gt;0),((Skills!G6*((R1997-1)*IF(Skills!H6&gt;0,Skills!I6/Skills!H6,1)+IF(Skills!H6&gt;0,MIN(Skills!I6,MAX(0,MAX(0,Inputs!$B$43-B2025)-((R1997-1)*(IF(Inputs!$B$38="pvp",15,MAX(0.1,Skills!D6-IF(Skills!E6=TRUE,Inputs!$B$32,0)))*(1-IF(AND(ArtifactsInput!$M$27,Inputs!$B$4="Chapter Hunt"),CHOOSE(ArtifactsInput!$N$27+1,20,24,28,32,36,40),0)/100)))))/Skills!H6,1)))/Inputs!$B$43),G1997*Q1997))*IF(Inputs!$B$38="pvp",1,(1+(Inputs!$B$21+Skills!Q6+(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8">
      <c r="A1998">
        <f>Skills!A7</f>
        <v/>
      </c>
      <c r="B1998">
        <f>Skills!B7</f>
        <v/>
      </c>
      <c r="C1998">
        <f>Inputs!$B$3&gt;=107</f>
        <v/>
      </c>
      <c r="D1998">
        <f>IF(Skills!C7=1,60+Inputs!$B$25+Inputs!$B$29,IF(Skills!C7=2,90+Inputs!$B$26+Inputs!$B$29,IF(Skills!C7=3,120+Inputs!$B$27+Inputs!$B$29,MAX(0,(Inputs!$B$3-100)*3)+Inputs!$B$28+Inputs!$B$29)))</f>
        <v/>
      </c>
      <c r="E1998">
        <f>INDEX(FactorTable!$B$2:$Y$301, MATCH(ROUND(MIN(300,MAX(1,D1998)),0), FactorTable!$A$2:$A$301,0), Skills!M7+1)</f>
        <v/>
      </c>
      <c r="F1998">
        <f>IF(Skills!N7=TRUE,(Skills!L7/10)*(E1998/1000),Skills!L7/10)+Skills!O7</f>
        <v/>
      </c>
      <c r="G1998">
        <f>Skills!G7*IF(Skills!H7&gt;0,Skills!I7/Skills!H7,1)</f>
        <v/>
      </c>
      <c r="H1998">
        <f>1-(1-Skills!J7/100)^Skills!K7</f>
        <v/>
      </c>
      <c r="I1998" t="inlineStr">
        <is>
          <t>1</t>
        </is>
      </c>
      <c r="J1998">
        <f>((Inputs!$B$6*(1+Inputs!$B$7/100))+(((Inputs!$B$12*(1+Inputs!$B$13/100))-(Inputs!$B$12*(1+Inputs!$B$13/100)))+0.25*(Inputs!$B$14-Inputs!$B$14))*(1+Inputs!$B$7/100))*(F1998/100)</f>
        <v/>
      </c>
      <c r="K1998">
        <f>J1998*(1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1998)</f>
        <v/>
      </c>
      <c r="L1998">
        <f>K1998*(MIN(Inputs!$B$22+((C2013=TRUE)*(F2013-Calc!F22)),(Inputs!$B$23+((C2015=TRUE)*(F2015-Calc!F24))+(IF(ArtifactsInput!$M$15,CHOOSE(ArtifactsInput!$N$15+1,25,30,35,40,45,50)/100*(Inputs!$B$11-Inputs!$B$11),0))))/100+(Inputs!$B$23+((C2015=TRUE)*(F2015-Calc!F24))+(IF(ArtifactsInput!$M$15,CHOOSE(ArtifactsInput!$N$15+1,25,30,35,40,45,50)/100*(Inputs!$B$11-Inputs!$B$11),0)))/100)/2</f>
        <v/>
      </c>
      <c r="M1998">
        <f>L1998*(1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8">
        <f>L1998*(1-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1998*(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8">
        <f>(1-Summary!$B$11)*T1998+Summary!$B$11*V1998</f>
        <v/>
      </c>
      <c r="P1998">
        <f>IF(B2028=0,0,O1998/B2028)</f>
        <v/>
      </c>
      <c r="Q1998">
        <f>IFERROR(1/(IF(Inputs!$B$38="pvp",15,MAX(0.1,Skills!D7-IF(Skills!E7=TRUE,Inputs!$B$32,0)))*(1-IF(AND(ArtifactsInput!$M$27,Inputs!$B$4="Chapter Hunt"),CHOOSE(ArtifactsInput!$N$27+1,20,24,28,32,36,40),0)/100)),0)</f>
        <v/>
      </c>
      <c r="R1998">
        <f>IF(AND(Inputs!$B$38&lt;&gt;"pvp",Inputs!$B$43&gt;0),IF(MAX(0,Inputs!$B$43-B2025)&lt;=0,0,(INT(MAX(0,Inputs!$B$43-B2025)/(IF(Inputs!$B$38="pvp",15,MAX(0.1,Skills!D7-IF(Skills!E7=TRUE,Inputs!$B$32,0)))*(1-IF(AND(ArtifactsInput!$M$27,Inputs!$B$4="Chapter Hunt"),CHOOSE(ArtifactsInput!$N$27+1,20,24,28,32,36,40),0)/100)))+1)),0)</f>
        <v/>
      </c>
      <c r="S1998">
        <f>IFERROR(O1998/N1998,0)</f>
        <v/>
      </c>
      <c r="T1998">
        <f>IF(C1998,(H1998*N1998*IF(AND(Inputs!$B$38&lt;&gt;"pvp",Inputs!$B$43&gt;0),((Skills!G7*((R1998-1)*IF(Skills!H7&gt;0,Skills!I7/Skills!H7,1)+IF(Skills!H7&gt;0,MIN(Skills!I7,MAX(0,MAX(0,Inputs!$B$43-B2025)-((R1998-1)*(IF(Inputs!$B$38="pvp",15,MAX(0.1,Skills!D7-IF(Skills!E7=TRUE,Inputs!$B$32,0)))*(1-IF(AND(ArtifactsInput!$M$27,Inputs!$B$4="Chapter Hunt"),CHOOSE(ArtifactsInput!$N$27+1,20,24,28,32,36,40),0)/100)))))/Skills!H7,1)))/Inputs!$B$43),G1998*Q1998)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1998*(1-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1998*(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1998*(1-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1998*(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98">
        <f>IF(C1998,(H1998*N1998*IF(AND(Inputs!$B$38&lt;&gt;"pvp",Inputs!$B$43&gt;0),((Skills!G7*((R1998-1)*IF(Skills!H7&gt;0,Skills!I7/Skills!H7,1)+IF(Skills!H7&gt;0,MIN(Skills!I7,MAX(0,MAX(0,Inputs!$B$43-B2025)-((R1998-1)*(IF(Inputs!$B$38="pvp",15,MAX(0.1,Skills!D7-IF(Skills!E7=TRUE,Inputs!$B$32,0)))*(1-IF(AND(ArtifactsInput!$M$27,Inputs!$B$4="Chapter Hunt"),CHOOSE(ArtifactsInput!$N$27+1,20,24,28,32,36,40),0)/100)))))/Skills!H7,1)))/Inputs!$B$43),G1998*Q1998))*IF(Inputs!$B$38="pvp",1,(1+(Inputs!$B$21+Skills!Q7+(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9">
      <c r="A1999">
        <f>Skills!A8</f>
        <v/>
      </c>
      <c r="B1999">
        <f>Skills!B8</f>
        <v/>
      </c>
      <c r="C1999">
        <f>Inputs!$B$3&gt;=107</f>
        <v/>
      </c>
      <c r="D1999">
        <f>IF(Skills!C8=1,60+Inputs!$B$25+Inputs!$B$29,IF(Skills!C8=2,90+Inputs!$B$26+Inputs!$B$29,IF(Skills!C8=3,120+Inputs!$B$27+Inputs!$B$29,MAX(0,(Inputs!$B$3-100)*3)+Inputs!$B$28+Inputs!$B$29)))</f>
        <v/>
      </c>
      <c r="E1999">
        <f>INDEX(FactorTable!$B$2:$Y$301, MATCH(ROUND(MIN(300,MAX(1,D1999)),0), FactorTable!$A$2:$A$301,0), Skills!M8+1)</f>
        <v/>
      </c>
      <c r="F1999">
        <f>IF(Skills!N8=TRUE,(Skills!L8/10)*(E1999/1000),Skills!L8/10)+Skills!O8</f>
        <v/>
      </c>
      <c r="G1999">
        <f>Skills!G8*IF(Skills!H8&gt;0,Skills!I8/Skills!H8,1)</f>
        <v/>
      </c>
      <c r="H1999">
        <f>1-(1-Skills!J8/100)^Skills!K8</f>
        <v/>
      </c>
      <c r="I1999" t="inlineStr">
        <is>
          <t>1</t>
        </is>
      </c>
      <c r="J1999">
        <f>((Inputs!$B$6*(1+Inputs!$B$7/100))+(((Inputs!$B$12*(1+Inputs!$B$13/100))-(Inputs!$B$12*(1+Inputs!$B$13/100)))+0.25*(Inputs!$B$14-Inputs!$B$14))*(1+Inputs!$B$7/100))*(F1999/100)</f>
        <v/>
      </c>
      <c r="K1999">
        <f>J1999*(1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1999)</f>
        <v/>
      </c>
      <c r="L1999">
        <f>K1999*(MIN(Inputs!$B$22+((C2013=TRUE)*(F2013-Calc!F22)),(Inputs!$B$23+((C2015=TRUE)*(F2015-Calc!F24))+(IF(ArtifactsInput!$M$15,CHOOSE(ArtifactsInput!$N$15+1,25,30,35,40,45,50)/100*(Inputs!$B$11-Inputs!$B$11),0))))/100+(Inputs!$B$23+((C2015=TRUE)*(F2015-Calc!F24))+(IF(ArtifactsInput!$M$15,CHOOSE(ArtifactsInput!$N$15+1,25,30,35,40,45,50)/100*(Inputs!$B$11-Inputs!$B$11),0)))/100)/2</f>
        <v/>
      </c>
      <c r="M1999">
        <f>L1999*(1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9">
        <f>L1999*(1-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1999*(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9">
        <f>(1-Summary!$B$11)*T1999+Summary!$B$11*V1999</f>
        <v/>
      </c>
      <c r="P1999">
        <f>IF(B2028=0,0,O1999/B2028)</f>
        <v/>
      </c>
      <c r="Q1999">
        <f>IFERROR(1/(IF(Inputs!$B$38="pvp",15,MAX(0.1,Skills!D8-IF(Skills!E8=TRUE,Inputs!$B$32,0)))*(1-IF(AND(ArtifactsInput!$M$27,Inputs!$B$4="Chapter Hunt"),CHOOSE(ArtifactsInput!$N$27+1,20,24,28,32,36,40),0)/100)),0)</f>
        <v/>
      </c>
      <c r="R1999">
        <f>IF(AND(Inputs!$B$38&lt;&gt;"pvp",Inputs!$B$43&gt;0),IF(MAX(0,Inputs!$B$43-B2025)&lt;=0,0,(INT(MAX(0,Inputs!$B$43-B2025)/(IF(Inputs!$B$38="pvp",15,MAX(0.1,Skills!D8-IF(Skills!E8=TRUE,Inputs!$B$32,0)))*(1-IF(AND(ArtifactsInput!$M$27,Inputs!$B$4="Chapter Hunt"),CHOOSE(ArtifactsInput!$N$27+1,20,24,28,32,36,40),0)/100)))+1)),0)</f>
        <v/>
      </c>
      <c r="S1999">
        <f>IFERROR(O1999/N1999,0)</f>
        <v/>
      </c>
      <c r="T1999">
        <f>IF(C1999,(H1999*N1999*IF(AND(Inputs!$B$38&lt;&gt;"pvp",Inputs!$B$43&gt;0),((Skills!G8*((R1999-1)*IF(Skills!H8&gt;0,Skills!I8/Skills!H8,1)+IF(Skills!H8&gt;0,MIN(Skills!I8,MAX(0,MAX(0,Inputs!$B$43-B2025)-((R1999-1)*(IF(Inputs!$B$38="pvp",15,MAX(0.1,Skills!D8-IF(Skills!E8=TRUE,Inputs!$B$32,0)))*(1-IF(AND(ArtifactsInput!$M$27,Inputs!$B$4="Chapter Hunt"),CHOOSE(ArtifactsInput!$N$27+1,20,24,28,32,36,40),0)/100)))))/Skills!H8,1)))/Inputs!$B$43),G1999*Q1999)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1999*(1-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1999*(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1999*(1-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1999*(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99">
        <f>IF(C1999,(H1999*N1999*IF(AND(Inputs!$B$38&lt;&gt;"pvp",Inputs!$B$43&gt;0),((Skills!G8*((R1999-1)*IF(Skills!H8&gt;0,Skills!I8/Skills!H8,1)+IF(Skills!H8&gt;0,MIN(Skills!I8,MAX(0,MAX(0,Inputs!$B$43-B2025)-((R1999-1)*(IF(Inputs!$B$38="pvp",15,MAX(0.1,Skills!D8-IF(Skills!E8=TRUE,Inputs!$B$32,0)))*(1-IF(AND(ArtifactsInput!$M$27,Inputs!$B$4="Chapter Hunt"),CHOOSE(ArtifactsInput!$N$27+1,20,24,28,32,36,40),0)/100)))))/Skills!H8,1)))/Inputs!$B$43),G1999*Q1999))*IF(Inputs!$B$38="pvp",1,(1+(Inputs!$B$21+Skills!Q8+(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0">
      <c r="A2000">
        <f>Skills!A9</f>
        <v/>
      </c>
      <c r="B2000">
        <f>Skills!B9</f>
        <v/>
      </c>
      <c r="C2000">
        <f>Inputs!$B$3&gt;=125</f>
        <v/>
      </c>
      <c r="D2000">
        <f>IF(Skills!C9=1,60+Inputs!$B$25+Inputs!$B$29,IF(Skills!C9=2,90+Inputs!$B$26+Inputs!$B$29,IF(Skills!C9=3,120+Inputs!$B$27+Inputs!$B$29,MAX(0,(Inputs!$B$3-100)*3)+Inputs!$B$28+Inputs!$B$29)))</f>
        <v/>
      </c>
      <c r="E2000">
        <f>INDEX(FactorTable!$B$2:$Y$301, MATCH(ROUND(MIN(300,MAX(1,D2000)),0), FactorTable!$A$2:$A$301,0), Skills!M9+1)</f>
        <v/>
      </c>
      <c r="F2000">
        <f>IF(Skills!N9=TRUE,(Skills!L9/10)*(E2000/1000),Skills!L9/10)+Skills!O9</f>
        <v/>
      </c>
      <c r="G2000">
        <f>Skills!G9*IF(Skills!H9&gt;0,Skills!I9/Skills!H9,1)</f>
        <v/>
      </c>
      <c r="H2000">
        <f>1-(1-Skills!J9/100)^Skills!K9</f>
        <v/>
      </c>
      <c r="I2000" t="inlineStr">
        <is>
          <t>1</t>
        </is>
      </c>
      <c r="J2000">
        <f>((Inputs!$B$6*(1+Inputs!$B$7/100))+(((Inputs!$B$12*(1+Inputs!$B$13/100))-(Inputs!$B$12*(1+Inputs!$B$13/100)))+0.25*(Inputs!$B$14-Inputs!$B$14))*(1+Inputs!$B$7/100))*(F2000/100)</f>
        <v/>
      </c>
      <c r="K2000">
        <f>J2000*(1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2000)</f>
        <v/>
      </c>
      <c r="L2000">
        <f>K2000*(MIN(Inputs!$B$22+((C2013=TRUE)*(F2013-Calc!F22)),(Inputs!$B$23+((C2015=TRUE)*(F2015-Calc!F24))+(IF(ArtifactsInput!$M$15,CHOOSE(ArtifactsInput!$N$15+1,25,30,35,40,45,50)/100*(Inputs!$B$11-Inputs!$B$11),0))))/100+(Inputs!$B$23+((C2015=TRUE)*(F2015-Calc!F24))+(IF(ArtifactsInput!$M$15,CHOOSE(ArtifactsInput!$N$15+1,25,30,35,40,45,50)/100*(Inputs!$B$11-Inputs!$B$11),0)))/100)/2</f>
        <v/>
      </c>
      <c r="M2000">
        <f>L2000*(1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0">
        <f>L2000*(1-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2000*(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0">
        <f>(1-Summary!$B$11)*T2000+Summary!$B$11*V2000</f>
        <v/>
      </c>
      <c r="P2000">
        <f>IF(B2028=0,0,O2000/B2028)</f>
        <v/>
      </c>
      <c r="Q2000">
        <f>IFERROR(1/(IF(Inputs!$B$38="pvp",15,MAX(0.1,Skills!D9-IF(Skills!E9=TRUE,Inputs!$B$32,0)))*(1-IF(AND(ArtifactsInput!$M$27,Inputs!$B$4="Chapter Hunt"),CHOOSE(ArtifactsInput!$N$27+1,20,24,28,32,36,40),0)/100)),0)</f>
        <v/>
      </c>
      <c r="R2000">
        <f>IF(AND(Inputs!$B$38&lt;&gt;"pvp",Inputs!$B$43&gt;0),IF(MAX(0,Inputs!$B$43-B2025)&lt;=0,0,(INT(MAX(0,Inputs!$B$43-B2025)/(IF(Inputs!$B$38="pvp",15,MAX(0.1,Skills!D9-IF(Skills!E9=TRUE,Inputs!$B$32,0)))*(1-IF(AND(ArtifactsInput!$M$27,Inputs!$B$4="Chapter Hunt"),CHOOSE(ArtifactsInput!$N$27+1,20,24,28,32,36,40),0)/100)))+1)),0)</f>
        <v/>
      </c>
      <c r="S2000">
        <f>IFERROR(O2000/N2000,0)</f>
        <v/>
      </c>
      <c r="T2000">
        <f>IF(C2000,(H2000*N2000*IF(AND(Inputs!$B$38&lt;&gt;"pvp",Inputs!$B$43&gt;0),((Skills!G9*((R2000-1)*IF(Skills!H9&gt;0,Skills!I9/Skills!H9,1)+IF(Skills!H9&gt;0,MIN(Skills!I9,MAX(0,MAX(0,Inputs!$B$43-B2025)-((R2000-1)*(IF(Inputs!$B$38="pvp",15,MAX(0.1,Skills!D9-IF(Skills!E9=TRUE,Inputs!$B$32,0)))*(1-IF(AND(ArtifactsInput!$M$27,Inputs!$B$4="Chapter Hunt"),CHOOSE(ArtifactsInput!$N$27+1,20,24,28,32,36,40),0)/100)))))/Skills!H9,1)))/Inputs!$B$43),G2000*Q2000)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2000*(1-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2000*(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2000*(1-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2000*(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0">
        <f>IF(C2000,(H2000*N2000*IF(AND(Inputs!$B$38&lt;&gt;"pvp",Inputs!$B$43&gt;0),((Skills!G9*((R2000-1)*IF(Skills!H9&gt;0,Skills!I9/Skills!H9,1)+IF(Skills!H9&gt;0,MIN(Skills!I9,MAX(0,MAX(0,Inputs!$B$43-B2025)-((R2000-1)*(IF(Inputs!$B$38="pvp",15,MAX(0.1,Skills!D9-IF(Skills!E9=TRUE,Inputs!$B$32,0)))*(1-IF(AND(ArtifactsInput!$M$27,Inputs!$B$4="Chapter Hunt"),CHOOSE(ArtifactsInput!$N$27+1,20,24,28,32,36,40),0)/100)))))/Skills!H9,1)))/Inputs!$B$43),G2000*Q2000))*IF(Inputs!$B$38="pvp",1,(1+(Inputs!$B$21+Skills!Q9+(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1">
      <c r="A2001">
        <f>Skills!A10</f>
        <v/>
      </c>
      <c r="B2001">
        <f>Skills!B10</f>
        <v/>
      </c>
      <c r="C2001">
        <f>Inputs!$B$3&gt;=117</f>
        <v/>
      </c>
      <c r="D2001">
        <f>IF(Skills!C10=1,60+Inputs!$B$25+Inputs!$B$29,IF(Skills!C10=2,90+Inputs!$B$26+Inputs!$B$29,IF(Skills!C10=3,120+Inputs!$B$27+Inputs!$B$29,MAX(0,(Inputs!$B$3-100)*3)+Inputs!$B$28+Inputs!$B$29)))</f>
        <v/>
      </c>
      <c r="E2001">
        <f>INDEX(FactorTable!$B$2:$Y$301, MATCH(ROUND(MIN(300,MAX(1,D2001)),0), FactorTable!$A$2:$A$301,0), Skills!M10+1)</f>
        <v/>
      </c>
      <c r="F2001">
        <f>IF(Skills!N10=TRUE,(Skills!L10/10)*(E2001/1000),Skills!L10/10)+Skills!O10</f>
        <v/>
      </c>
      <c r="G2001">
        <f>Skills!G10*IF(Skills!H10&gt;0,Skills!I10/Skills!H10,1)</f>
        <v/>
      </c>
      <c r="H2001">
        <f>1-(1-Skills!J10/100)^Skills!K10</f>
        <v/>
      </c>
      <c r="I2001" t="inlineStr">
        <is>
          <t>1</t>
        </is>
      </c>
      <c r="J2001">
        <f>((Inputs!$B$6*(1+Inputs!$B$7/100))+(((Inputs!$B$12*(1+Inputs!$B$13/100))-(Inputs!$B$12*(1+Inputs!$B$13/100)))+0.25*(Inputs!$B$14-Inputs!$B$14))*(1+Inputs!$B$7/100))*(F2001/100)</f>
        <v/>
      </c>
      <c r="K2001">
        <f>J2001*(1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2001)</f>
        <v/>
      </c>
      <c r="L2001">
        <f>K2001*(MIN(Inputs!$B$22+((C2013=TRUE)*(F2013-Calc!F22)),(Inputs!$B$23+((C2015=TRUE)*(F2015-Calc!F24))+(IF(ArtifactsInput!$M$15,CHOOSE(ArtifactsInput!$N$15+1,25,30,35,40,45,50)/100*(Inputs!$B$11-Inputs!$B$11),0))))/100+(Inputs!$B$23+((C2015=TRUE)*(F2015-Calc!F24))+(IF(ArtifactsInput!$M$15,CHOOSE(ArtifactsInput!$N$15+1,25,30,35,40,45,50)/100*(Inputs!$B$11-Inputs!$B$11),0)))/100)/2</f>
        <v/>
      </c>
      <c r="M2001">
        <f>L2001*(1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1">
        <f>L2001*(1-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1">
        <f>(1-Summary!$B$11)*T2001+Summary!$B$11*V2001</f>
        <v/>
      </c>
      <c r="P2001">
        <f>IF(B2028=0,0,O2001/B2028)</f>
        <v/>
      </c>
      <c r="Q2001">
        <f>IFERROR(1/(IF(Inputs!$B$38="pvp",15,MAX(0.1,Skills!D10-IF(Skills!E10=TRUE,Inputs!$B$32,0)))*(1-IF(AND(ArtifactsInput!$M$27,Inputs!$B$4="Chapter Hunt"),CHOOSE(ArtifactsInput!$N$27+1,20,24,28,32,36,40),0)/100)),0)</f>
        <v/>
      </c>
      <c r="R2001">
        <f>IF(AND(Inputs!$B$38&lt;&gt;"pvp",Inputs!$B$43&gt;0),IF(MAX(0,Inputs!$B$43-B2025)&lt;=0,0,(INT(MAX(0,Inputs!$B$43-B2025)/(IF(Inputs!$B$38="pvp",15,MAX(0.1,Skills!D10-IF(Skills!E10=TRUE,Inputs!$B$32,0)))*(1-IF(AND(ArtifactsInput!$M$27,Inputs!$B$4="Chapter Hunt"),CHOOSE(ArtifactsInput!$N$27+1,20,24,28,32,36,40),0)/100)))+1)),0)</f>
        <v/>
      </c>
      <c r="S2001">
        <f>IFERROR(O2001/N2001,0)</f>
        <v/>
      </c>
      <c r="T2001">
        <f>IF(C2001,(H2001*N2001*IF(AND(Inputs!$B$38&lt;&gt;"pvp",Inputs!$B$43&gt;0),((Skills!G10*((R2001-1)*IF(Skills!H10&gt;0,Skills!I10/Skills!H10,1)+IF(Skills!H10&gt;0,MIN(Skills!I10,MAX(0,MAX(0,Inputs!$B$43-B2025)-((R2001-1)*(IF(Inputs!$B$38="pvp",15,MAX(0.1,Skills!D10-IF(Skills!E10=TRUE,Inputs!$B$32,0)))*(1-IF(AND(ArtifactsInput!$M$27,Inputs!$B$4="Chapter Hunt"),CHOOSE(ArtifactsInput!$N$27+1,20,24,28,32,36,40),0)/100)))))/Skills!H10,1)))/Inputs!$B$43),G2001*Q2001)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2001*(1-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2001*(1-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1">
        <f>IF(C2001,(H2001*N2001*IF(AND(Inputs!$B$38&lt;&gt;"pvp",Inputs!$B$43&gt;0),((Skills!G10*((R2001-1)*IF(Skills!H10&gt;0,Skills!I10/Skills!H10,1)+IF(Skills!H10&gt;0,MIN(Skills!I10,MAX(0,MAX(0,Inputs!$B$43-B2025)-((R2001-1)*(IF(Inputs!$B$38="pvp",15,MAX(0.1,Skills!D10-IF(Skills!E10=TRUE,Inputs!$B$32,0)))*(1-IF(AND(ArtifactsInput!$M$27,Inputs!$B$4="Chapter Hunt"),CHOOSE(ArtifactsInput!$N$27+1,20,24,28,32,36,40),0)/100)))))/Skills!H10,1)))/Inputs!$B$43),G2001*Q2001))*IF(Inputs!$B$38="pvp",1,(1+(Inputs!$B$21+Skills!Q10+(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2">
      <c r="A2002">
        <f>Skills!A11</f>
        <v/>
      </c>
      <c r="B2002">
        <f>Skills!B11</f>
        <v/>
      </c>
      <c r="C2002">
        <f>Inputs!$B$3&gt;=63</f>
        <v/>
      </c>
      <c r="D2002">
        <f>IF(Skills!C11=1,60+Inputs!$B$25+Inputs!$B$29,IF(Skills!C11=2,90+Inputs!$B$26+Inputs!$B$29,IF(Skills!C11=3,120+Inputs!$B$27+Inputs!$B$29,MAX(0,(Inputs!$B$3-100)*3)+Inputs!$B$28+Inputs!$B$29)))</f>
        <v/>
      </c>
      <c r="E2002">
        <f>INDEX(FactorTable!$B$2:$Y$301, MATCH(ROUND(MIN(300,MAX(1,D2002)),0), FactorTable!$A$2:$A$301,0), Skills!M11+1)</f>
        <v/>
      </c>
      <c r="F2002">
        <f>IF(Skills!N11=TRUE,(Skills!L11/10)*(E2002/1000),Skills!L11/10)+Skills!O11</f>
        <v/>
      </c>
      <c r="G2002">
        <f>Skills!G11*IF(Skills!H11&gt;0,Skills!I11/Skills!H11,1)</f>
        <v/>
      </c>
      <c r="H2002">
        <f>1-(1-Skills!J11/100)^Skills!K11</f>
        <v/>
      </c>
      <c r="I2002" t="inlineStr">
        <is>
          <t>1</t>
        </is>
      </c>
      <c r="J2002">
        <f>((Inputs!$B$6*(1+Inputs!$B$7/100))+(((Inputs!$B$12*(1+Inputs!$B$13/100))-(Inputs!$B$12*(1+Inputs!$B$13/100)))+0.25*(Inputs!$B$14-Inputs!$B$14))*(1+Inputs!$B$7/100))*(F2002/100)</f>
        <v/>
      </c>
      <c r="K2002">
        <f>J2002*(1+((Inputs!$B$12*(1+Inputs!$B$13/100))*0.01+Inputs!$B$14*0.0025)/100)*(1+Inputs!$B$15/100)*(1+Inputs!$B$16/100)*(5000/(6000+Inputs!$B$42*(1-(Inputs!$B$19+0)/100)))*(1+(Inputs!$B$24+0+B2024)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2003=TRUE,F2003,0)/100)*(1+(IF(Skills!A11="BLAST",Inputs!$B$17+((C2012=TRUE)*(F2012-Calc!F21))+((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MIN(100,((Inputs!$B$9+0+B2018+(ArtifactsInput!$M$24-ArtifactsInput!$M$24)*CHOOSE(ArtifactsInput!$N$24+1,10,12,14,16,18,20)+IF(ArtifactsInput!$M$10,CHOOSE(ArtifactsInput!$N$10+1,15,18,21,24,27,30)*(IF(Inputs!$B$38="pvp",MIN(15,15)/15,IF(AND(Inputs!$B$38&lt;&gt;"pvp",Inputs!$B$43&gt;0),MIN(15,Inputs!$B$43)/(Inputs!$B$43),0))),0)))-100),0))*CHOOSE(ArtifactsInput!$N$42+1,0.6,0.72,0.84,0.96,1.08,1.2))),Inputs!$B$18+((C2014=TRUE)*(F2014-Calc!F23))+(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gt;=100),CHOOSE(ArtifactsInput!$N$42+1,40,48,56,64,72,80),0))))/100)*((1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2002)</f>
        <v/>
      </c>
      <c r="L2002">
        <f>K2002*(MIN(Inputs!$B$22+((C2013=TRUE)*(F2013-Calc!F22)),(Inputs!$B$23+((C2015=TRUE)*(F2015-Calc!F24))+(IF(ArtifactsInput!$M$15,CHOOSE(ArtifactsInput!$N$15+1,25,30,35,40,45,50)/100*(Inputs!$B$11-Inputs!$B$11),0))))/100+(Inputs!$B$23+((C2015=TRUE)*(F2015-Calc!F24))+(IF(ArtifactsInput!$M$15,CHOOSE(ArtifactsInput!$N$15+1,25,30,35,40,45,50)/100*(Inputs!$B$11-Inputs!$B$11),0)))/100)/2</f>
        <v/>
      </c>
      <c r="M2002">
        <f>L2002*(1+(Inputs!$B$10+0+B2023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2">
        <f>L2002*(1-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2002*(MIN((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2">
        <f>(1-Summary!$B$11)*T2002+Summary!$B$11*V2002</f>
        <v/>
      </c>
      <c r="P2002">
        <f>IF(B2028=0,0,O2002/B2028)</f>
        <v/>
      </c>
      <c r="Q2002">
        <f>IFERROR(1/(IF(Inputs!$B$38="pvp",15,MAX(0.1,Skills!D11-IF(Skills!E11=TRUE,Inputs!$B$32,0)))*(1-IF(AND(ArtifactsInput!$M$27,Inputs!$B$4="Chapter Hunt"),CHOOSE(ArtifactsInput!$N$27+1,20,24,28,32,36,40),0)/100)),0)</f>
        <v/>
      </c>
      <c r="R2002">
        <f>IF(AND(Inputs!$B$38&lt;&gt;"pvp",Inputs!$B$43&gt;0),IF(MAX(0,Inputs!$B$43-B2025)&lt;=0,0,(INT(MAX(0,Inputs!$B$43-B2025)/(IF(Inputs!$B$38="pvp",15,MAX(0.1,Skills!D11-IF(Skills!E11=TRUE,Inputs!$B$32,0)))*(1-IF(AND(ArtifactsInput!$M$27,Inputs!$B$4="Chapter Hunt"),CHOOSE(ArtifactsInput!$N$27+1,20,24,28,32,36,40),0)/100)))+1)),0)</f>
        <v/>
      </c>
      <c r="S2002">
        <f>IFERROR(O2002/N2002,0)</f>
        <v/>
      </c>
      <c r="T2002">
        <f>IF(C2002,(H2002*N2002*IF(AND(Inputs!$B$38&lt;&gt;"pvp",Inputs!$B$43&gt;0),((Skills!G11*((R2002-1)*IF(Skills!H11&gt;0,Skills!I11/Skills!H11,1)+IF(Skills!H11&gt;0,MIN(Skills!I11,MAX(0,MAX(0,Inputs!$B$43-B2025)-((R2002-1)*(IF(Inputs!$B$38="pvp",15,MAX(0.1,Skills!D11-IF(Skills!E11=TRUE,Inputs!$B$32,0)))*(1-IF(AND(ArtifactsInput!$M$27,Inputs!$B$4="Chapter Hunt"),CHOOSE(ArtifactsInput!$N$27+1,20,24,28,32,36,40),0)/100)))))/Skills!H11,1)))/Inputs!$B$43),G2002*Q2002)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2002*(1-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2002*(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2002*(1-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2002*(MIN(100,(Inputs!$B$9+0+B2018+(ArtifactsInput!$M$24-ArtifactsInput!$M$24)*CHOOSE(ArtifactsInput!$N$24+1,10,12,14,16,18,20)+(IF(AND(Inputs!$B$38&lt;&gt;"pvp",Inputs!$B$43=0),1,IF(IF(Inputs!$B$38="pvp",15,Inputs!$B$43)-(B2025)&lt;=0,1,MAX(0,IF(Inputs!$B$38="pvp",15,Inputs!$B$43)-MAX(5,B2025))/(IF(Inputs!$B$38="pvp",15,Inputs!$B$43)-(B2025))))*IF(AND(ArtifactsInput!$M$42,((Inputs!$B$9+0+B2018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02">
        <f>IF(C2002,(H2002*N2002*IF(AND(Inputs!$B$38&lt;&gt;"pvp",Inputs!$B$43&gt;0),((Skills!G11*((R2002-1)*IF(Skills!H11&gt;0,Skills!I11/Skills!H11,1)+IF(Skills!H11&gt;0,MIN(Skills!I11,MAX(0,MAX(0,Inputs!$B$43-B2025)-((R2002-1)*(IF(Inputs!$B$38="pvp",15,MAX(0.1,Skills!D11-IF(Skills!E11=TRUE,Inputs!$B$32,0)))*(1-IF(AND(ArtifactsInput!$M$27,Inputs!$B$4="Chapter Hunt"),CHOOSE(ArtifactsInput!$N$27+1,20,24,28,32,36,40),0)/100)))))/Skills!H11,1)))/Inputs!$B$43),G2002*Q2002))*IF(Inputs!$B$38="pvp",1,(1+(Inputs!$B$21+Skills!Q11+(IF(ArtifactsInput!$M$33,CHOOSE(ArtifactsInput!$N$33+1,30,36,42,48,54,60),0))+(IF(AND(ArtifactsInput!$M$35,Inputs!$B$4&lt;&gt;"Chapter Hunt"),CHOOSE(ArtifactsInput!$N$35+1,15,18,21,24,27,30)*(1-EXP(-(0.2*B2020)*5)),0)+IF(AND(ArtifactsInput!$M$22,Inputs!$B$4&lt;&gt;"Chapter Hunt"),CHOOSE(ArtifactsInput!$N$22+1,10,12,14,16,18,20)*((0*(((0.15*B2020*5))^0/1)+1*(((0.15*B2020*5))^1/1)+2*(((0.15*B2020*5))^2/2)+3*(((0.15*B2020*5))^3/6)+4*(((0.15*B2020*5))^4/24)+5*(((0.15*B2020*5))^5/120))/((((0.15*B2020*5))^0/1)+(((0.15*B2020*5))^1/1)+(((0.15*B2020*5))^2/2)+(((0.15*B2020*5))^3/6)+(((0.15*B2020*5))^4/24)+(((0.15*B2020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3">
      <c r="A2003">
        <f>Skills!A12</f>
        <v/>
      </c>
      <c r="B2003">
        <f>Skills!B12</f>
        <v/>
      </c>
      <c r="C2003">
        <f>Inputs!$B$3&gt;=100</f>
        <v/>
      </c>
      <c r="D2003">
        <f>IF(Skills!C12=1,60+Inputs!$B$25+Inputs!$B$29,IF(Skills!C12=2,90+Inputs!$B$26+Inputs!$B$29,IF(Skills!C12=3,120+Inputs!$B$27+Inputs!$B$29,MAX(0,(Inputs!$B$3-100)*3)+Inputs!$B$28+Inputs!$B$29)))</f>
        <v/>
      </c>
      <c r="E2003">
        <f>INDEX(FactorTable!$B$2:$Y$301, MATCH(ROUND(MIN(300,MAX(1,D2003)),0), FactorTable!$A$2:$A$301,0), Skills!M12+1)</f>
        <v/>
      </c>
      <c r="F2003">
        <f>IF(Skills!N12=TRUE,(Skills!L12/10)*(E2003/1000),Skills!L12/10)+Skills!O12</f>
        <v/>
      </c>
      <c r="G2003" t="inlineStr"/>
      <c r="H2003" t="inlineStr"/>
      <c r="I2003" t="inlineStr">
        <is>
          <t>1</t>
        </is>
      </c>
      <c r="J2003" t="inlineStr"/>
      <c r="K2003" t="inlineStr"/>
      <c r="L2003" t="inlineStr"/>
      <c r="M2003" t="inlineStr"/>
      <c r="N2003" t="inlineStr"/>
      <c r="O2003" t="inlineStr"/>
      <c r="P2003" t="inlineStr"/>
      <c r="Q2003" t="inlineStr"/>
      <c r="R2003" t="inlineStr"/>
      <c r="S2003" t="inlineStr"/>
    </row>
    <row r="2004">
      <c r="A2004">
        <f>Skills!A13</f>
        <v/>
      </c>
      <c r="B2004">
        <f>Skills!B13</f>
        <v/>
      </c>
      <c r="C2004">
        <f>Inputs!$B$3&gt;=45</f>
        <v/>
      </c>
      <c r="D2004">
        <f>IF(Skills!C13=1,60+Inputs!$B$25+Inputs!$B$29,IF(Skills!C13=2,90+Inputs!$B$26+Inputs!$B$29,IF(Skills!C13=3,120+Inputs!$B$27+Inputs!$B$29,MAX(0,(Inputs!$B$3-100)*3)+Inputs!$B$28+Inputs!$B$29)))</f>
        <v/>
      </c>
      <c r="E2004">
        <f>INDEX(FactorTable!$B$2:$Y$301, MATCH(ROUND(MIN(300,MAX(1,D2004)),0), FactorTable!$A$2:$A$301,0), Skills!M13+1)</f>
        <v/>
      </c>
      <c r="F2004">
        <f>IF(Skills!N13=TRUE,(Skills!L13/10)*(E2004/1000),Skills!L13/10)+Skills!O13</f>
        <v/>
      </c>
      <c r="G2004">
        <f>Skills!G13*IF(Skills!H13&gt;0,Skills!I13/Skills!H13,1)</f>
        <v/>
      </c>
      <c r="H2004">
        <f>1-(1-Skills!J13/100)^Skills!K13</f>
        <v/>
      </c>
      <c r="I2004" t="inlineStr">
        <is>
          <t>1</t>
        </is>
      </c>
      <c r="J2004" t="inlineStr"/>
      <c r="K2004" t="inlineStr"/>
      <c r="L2004" t="inlineStr"/>
      <c r="M2004" t="inlineStr"/>
      <c r="N2004" t="inlineStr"/>
      <c r="O2004">
        <f>(1-Summary!$B$11)*T2004+Summary!$B$11*V2004</f>
        <v/>
      </c>
      <c r="P2004">
        <f>IF(B2028=0,0,O2004/B2028)</f>
        <v/>
      </c>
      <c r="Q2004" t="n">
        <v>0</v>
      </c>
      <c r="R2004" t="n">
        <v>0</v>
      </c>
      <c r="S2004">
        <f>IFERROR(O2004/N2004,0)</f>
        <v/>
      </c>
      <c r="T2004" t="n">
        <v>0</v>
      </c>
      <c r="V2004" t="n">
        <v>0</v>
      </c>
    </row>
    <row r="2005">
      <c r="A2005">
        <f>Skills!A14</f>
        <v/>
      </c>
      <c r="B2005">
        <f>Skills!B14</f>
        <v/>
      </c>
      <c r="C2005">
        <f>Inputs!$B$3&gt;=110</f>
        <v/>
      </c>
      <c r="D2005">
        <f>IF(Skills!C14=1,60+Inputs!$B$25+Inputs!$B$29,IF(Skills!C14=2,90+Inputs!$B$26+Inputs!$B$29,IF(Skills!C14=3,120+Inputs!$B$27+Inputs!$B$29,MAX(0,(Inputs!$B$3-100)*3)+Inputs!$B$28+Inputs!$B$29)))</f>
        <v/>
      </c>
      <c r="E2005">
        <f>INDEX(FactorTable!$B$2:$Y$301, MATCH(ROUND(MIN(300,MAX(1,D2005)),0), FactorTable!$A$2:$A$301,0), Skills!M14+1)</f>
        <v/>
      </c>
      <c r="F2005">
        <f>IF(Skills!N14=TRUE,(Skills!L14/10)*(E2005/1000),Skills!L14/10)+Skills!O14</f>
        <v/>
      </c>
      <c r="G2005">
        <f>Skills!G14*IF(Skills!H14&gt;0,Skills!I14/Skills!H14,1)</f>
        <v/>
      </c>
      <c r="H2005">
        <f>1-(1-Skills!J14/100)^Skills!K14</f>
        <v/>
      </c>
      <c r="I2005" t="inlineStr">
        <is>
          <t>1</t>
        </is>
      </c>
      <c r="J2005" t="inlineStr"/>
      <c r="K2005" t="inlineStr"/>
      <c r="L2005" t="inlineStr"/>
      <c r="M2005" t="inlineStr"/>
      <c r="N2005" t="inlineStr"/>
      <c r="O2005">
        <f>(1-Summary!$B$11)*T2005+Summary!$B$11*V2005</f>
        <v/>
      </c>
      <c r="P2005">
        <f>IF(B2028=0,0,O2005/B2028)</f>
        <v/>
      </c>
      <c r="Q2005" t="n">
        <v>0</v>
      </c>
      <c r="R2005" t="n">
        <v>0</v>
      </c>
      <c r="S2005">
        <f>IFERROR(O2005/N2005,0)</f>
        <v/>
      </c>
      <c r="T2005" t="n">
        <v>0</v>
      </c>
      <c r="V2005" t="n">
        <v>0</v>
      </c>
    </row>
    <row r="2006">
      <c r="A2006">
        <f>Skills!A15</f>
        <v/>
      </c>
      <c r="B2006">
        <f>Skills!B15</f>
        <v/>
      </c>
      <c r="C2006">
        <f>Inputs!$B$3&gt;=75</f>
        <v/>
      </c>
      <c r="D2006">
        <f>IF(Skills!C15=1,60+Inputs!$B$25+Inputs!$B$29,IF(Skills!C15=2,90+Inputs!$B$26+Inputs!$B$29,IF(Skills!C15=3,120+Inputs!$B$27+Inputs!$B$29,MAX(0,(Inputs!$B$3-100)*3)+Inputs!$B$28+Inputs!$B$29)))</f>
        <v/>
      </c>
      <c r="E2006">
        <f>INDEX(FactorTable!$B$2:$Y$301, MATCH(ROUND(MIN(300,MAX(1,D2006)),0), FactorTable!$A$2:$A$301,0), Skills!M15+1)</f>
        <v/>
      </c>
      <c r="F2006">
        <f>IF(Skills!N15=TRUE,(Skills!L15/10)*(E2006/1000),Skills!L15/10)+Skills!O15</f>
        <v/>
      </c>
      <c r="G2006">
        <f>Skills!G15*IF(Skills!H15&gt;0,Skills!I15/Skills!H15,1)</f>
        <v/>
      </c>
      <c r="H2006">
        <f>1-(1-Skills!J15/100)^Skills!K15</f>
        <v/>
      </c>
      <c r="I2006" t="inlineStr">
        <is>
          <t>1</t>
        </is>
      </c>
      <c r="J2006" t="inlineStr"/>
      <c r="K2006" t="inlineStr"/>
      <c r="L2006" t="inlineStr"/>
      <c r="M2006" t="inlineStr"/>
      <c r="N2006" t="inlineStr"/>
      <c r="O2006">
        <f>(1-Summary!$B$11)*T2006+Summary!$B$11*V2006</f>
        <v/>
      </c>
      <c r="P2006">
        <f>IF(B2028=0,0,O2006/B2028)</f>
        <v/>
      </c>
      <c r="Q2006">
        <f>IFERROR(1/(IF(Inputs!$B$38="pvp",15,MAX(0.1,Skills!D15-IF(Skills!E15=TRUE,Inputs!$B$32,0)))*(1-IF(AND(ArtifactsInput!$M$27,Inputs!$B$4="Chapter Hunt"),CHOOSE(ArtifactsInput!$N$27+1,20,24,28,32,36,40),0)/100)),0)</f>
        <v/>
      </c>
      <c r="R2006">
        <f>IF(AND(Inputs!$B$38&lt;&gt;"pvp",Inputs!$B$43&gt;0),IF(Inputs!$B$43&lt;=0,0,(INT(Inputs!$B$43/(IF(Inputs!$B$38="pvp",15,MAX(0.1,Skills!D15-IF(Skills!E15=TRUE,Inputs!$B$32,0)))*(1-IF(AND(ArtifactsInput!$M$27,Inputs!$B$4="Chapter Hunt"),CHOOSE(ArtifactsInput!$N$27+1,20,24,28,32,36,40),0)/100)))+1)),0)</f>
        <v/>
      </c>
      <c r="S2006">
        <f>IFERROR(O2006/N2006,0)</f>
        <v/>
      </c>
      <c r="T2006" t="n">
        <v>0</v>
      </c>
      <c r="V2006" t="n">
        <v>0</v>
      </c>
    </row>
    <row r="2007">
      <c r="A2007">
        <f>Skills!A16</f>
        <v/>
      </c>
      <c r="B2007">
        <f>Skills!B16</f>
        <v/>
      </c>
      <c r="C2007">
        <f>Inputs!$B$3&gt;=105</f>
        <v/>
      </c>
      <c r="D2007">
        <f>IF(Skills!C16=1,60+Inputs!$B$25+Inputs!$B$29,IF(Skills!C16=2,90+Inputs!$B$26+Inputs!$B$29,IF(Skills!C16=3,120+Inputs!$B$27+Inputs!$B$29,MAX(0,(Inputs!$B$3-100)*3)+Inputs!$B$28+Inputs!$B$29)))</f>
        <v/>
      </c>
      <c r="E2007">
        <f>INDEX(FactorTable!$B$2:$Y$301, MATCH(ROUND(MIN(300,MAX(1,D2007)),0), FactorTable!$A$2:$A$301,0), Skills!M16+1)</f>
        <v/>
      </c>
      <c r="F2007">
        <f>IF(Skills!N16=TRUE,(Skills!L16/10)*(E2007/1000),Skills!L16/10)+Skills!O16</f>
        <v/>
      </c>
      <c r="G2007">
        <f>Skills!G16*IF(Skills!H16&gt;0,Skills!I16/Skills!H16,1)</f>
        <v/>
      </c>
      <c r="H2007">
        <f>1-(1-Skills!J16/100)^Skills!K16</f>
        <v/>
      </c>
      <c r="I2007" t="inlineStr">
        <is>
          <t>1</t>
        </is>
      </c>
      <c r="J2007" t="inlineStr"/>
      <c r="K2007" t="inlineStr"/>
      <c r="L2007" t="inlineStr"/>
      <c r="M2007" t="inlineStr"/>
      <c r="N2007" t="inlineStr"/>
      <c r="O2007">
        <f>(1-Summary!$B$11)*T2007+Summary!$B$11*V2007</f>
        <v/>
      </c>
      <c r="P2007">
        <f>IF(B2028=0,0,O2007/B2028)</f>
        <v/>
      </c>
      <c r="Q2007">
        <f>IFERROR(1/(IF(Inputs!$B$38="pvp",15,MAX(0.1,Skills!D16-IF(Skills!E16=TRUE,Inputs!$B$32,0)))*(1-IF(AND(ArtifactsInput!$M$27,Inputs!$B$4="Chapter Hunt"),CHOOSE(ArtifactsInput!$N$27+1,20,24,28,32,36,40),0)/100)),0)</f>
        <v/>
      </c>
      <c r="R2007">
        <f>IF(AND(Inputs!$B$38&lt;&gt;"pvp",Inputs!$B$43&gt;0),IF(Inputs!$B$43&lt;=0,0,(INT(Inputs!$B$43/(IF(Inputs!$B$38="pvp",15,MAX(0.1,Skills!D16-IF(Skills!E16=TRUE,Inputs!$B$32,0)))*(1-IF(AND(ArtifactsInput!$M$27,Inputs!$B$4="Chapter Hunt"),CHOOSE(ArtifactsInput!$N$27+1,20,24,28,32,36,40),0)/100)))+1)),0)</f>
        <v/>
      </c>
      <c r="S2007">
        <f>IFERROR(O2007/N2007,0)</f>
        <v/>
      </c>
      <c r="T2007" t="n">
        <v>0</v>
      </c>
      <c r="V2007" t="n">
        <v>0</v>
      </c>
    </row>
    <row r="2008">
      <c r="A2008">
        <f>Skills!A17</f>
        <v/>
      </c>
      <c r="B2008">
        <f>Skills!B17</f>
        <v/>
      </c>
      <c r="C2008">
        <f>Inputs!$B$3&gt;=115</f>
        <v/>
      </c>
      <c r="D2008">
        <f>IF(Skills!C17=1,60+Inputs!$B$25+Inputs!$B$29,IF(Skills!C17=2,90+Inputs!$B$26+Inputs!$B$29,IF(Skills!C17=3,120+Inputs!$B$27+Inputs!$B$29,MAX(0,(Inputs!$B$3-100)*3)+Inputs!$B$28+Inputs!$B$29)))</f>
        <v/>
      </c>
      <c r="E2008">
        <f>INDEX(FactorTable!$B$2:$Y$301, MATCH(ROUND(MIN(300,MAX(1,D2008)),0), FactorTable!$A$2:$A$301,0), Skills!M17+1)</f>
        <v/>
      </c>
      <c r="F2008">
        <f>IF(Skills!N17=TRUE,(Skills!L17/10)*(E2008/1000),Skills!L17/10)+Skills!O17</f>
        <v/>
      </c>
      <c r="G2008">
        <f>Skills!G17*IF(Skills!H17&gt;0,Skills!I17/Skills!H17,1)</f>
        <v/>
      </c>
      <c r="H2008">
        <f>1-(1-Skills!J17/100)^Skills!K17</f>
        <v/>
      </c>
      <c r="I2008" t="inlineStr">
        <is>
          <t>1</t>
        </is>
      </c>
      <c r="J2008" t="inlineStr"/>
      <c r="K2008" t="inlineStr"/>
      <c r="L2008" t="inlineStr"/>
      <c r="M2008" t="inlineStr"/>
      <c r="N2008" t="inlineStr"/>
      <c r="O2008">
        <f>(1-Summary!$B$11)*T2008+Summary!$B$11*V2008</f>
        <v/>
      </c>
      <c r="P2008">
        <f>IF(B2028=0,0,O2008/B2028)</f>
        <v/>
      </c>
      <c r="Q2008">
        <f>IFERROR(1/(IF(Inputs!$B$38="pvp",15,MAX(0.1,Skills!D17-IF(Skills!E17=TRUE,Inputs!$B$32,0)))*(1-IF(AND(ArtifactsInput!$M$27,Inputs!$B$4="Chapter Hunt"),CHOOSE(ArtifactsInput!$N$27+1,20,24,28,32,36,40),0)/100)),0)</f>
        <v/>
      </c>
      <c r="R2008">
        <f>IF(AND(Inputs!$B$38&lt;&gt;"pvp",Inputs!$B$43&gt;0),IF(Inputs!$B$43&lt;=0,0,(INT(Inputs!$B$43/(IF(Inputs!$B$38="pvp",15,MAX(0.1,Skills!D17-IF(Skills!E17=TRUE,Inputs!$B$32,0)))*(1-IF(AND(ArtifactsInput!$M$27,Inputs!$B$4="Chapter Hunt"),CHOOSE(ArtifactsInput!$N$27+1,20,24,28,32,36,40),0)/100)))+1)),0)</f>
        <v/>
      </c>
      <c r="S2008">
        <f>IFERROR(O2008/N2008,0)</f>
        <v/>
      </c>
      <c r="T2008" t="n">
        <v>0</v>
      </c>
      <c r="V2008" t="n">
        <v>0</v>
      </c>
    </row>
    <row r="2009">
      <c r="A2009">
        <f>Skills!A18</f>
        <v/>
      </c>
      <c r="B2009">
        <f>Skills!B18</f>
        <v/>
      </c>
      <c r="C2009">
        <f>Inputs!$B$3&gt;=74</f>
        <v/>
      </c>
      <c r="D2009">
        <f>IF(Skills!C18=1,60+Inputs!$B$25+Inputs!$B$29,IF(Skills!C18=2,90+Inputs!$B$26+Inputs!$B$29,IF(Skills!C18=3,120+Inputs!$B$27+Inputs!$B$29,MAX(0,(Inputs!$B$3-100)*3)+Inputs!$B$28+Inputs!$B$29)))</f>
        <v/>
      </c>
      <c r="E2009">
        <f>INDEX(FactorTable!$B$2:$Y$301, MATCH(ROUND(MIN(300,MAX(1,D2009)),0), FactorTable!$A$2:$A$301,0), Skills!M18+1)</f>
        <v/>
      </c>
      <c r="F2009">
        <f>IF(Skills!N18=TRUE,(Skills!L18/10)*(E2009/1000),Skills!L18/10)+Skills!O18</f>
        <v/>
      </c>
      <c r="G2009">
        <f>Skills!G18*IF(Skills!H18&gt;0,Skills!I18/Skills!H18,1)</f>
        <v/>
      </c>
      <c r="H2009">
        <f>1-(1-Skills!J18/100)^Skills!K18</f>
        <v/>
      </c>
      <c r="I2009" t="inlineStr">
        <is>
          <t>1</t>
        </is>
      </c>
      <c r="J2009" t="inlineStr"/>
      <c r="K2009" t="inlineStr"/>
      <c r="L2009" t="inlineStr"/>
      <c r="M2009" t="inlineStr"/>
      <c r="N2009" t="inlineStr"/>
      <c r="O2009">
        <f>(1-Summary!$B$11)*T2009+Summary!$B$11*V2009</f>
        <v/>
      </c>
      <c r="P2009">
        <f>IF(B2028=0,0,O2009/B2028)</f>
        <v/>
      </c>
      <c r="Q2009">
        <f>IFERROR(1/(IF(Inputs!$B$38="pvp",15,MAX(0.1,Skills!D18-IF(Skills!E18=TRUE,Inputs!$B$32,0)))*(1-IF(AND(ArtifactsInput!$M$27,Inputs!$B$4="Chapter Hunt"),CHOOSE(ArtifactsInput!$N$27+1,20,24,28,32,36,40),0)/100)),0)</f>
        <v/>
      </c>
      <c r="R2009">
        <f>IF(AND(Inputs!$B$38&lt;&gt;"pvp",Inputs!$B$43&gt;0),IF(Inputs!$B$43&lt;=0,0,(INT(Inputs!$B$43/(IF(Inputs!$B$38="pvp",15,MAX(0.1,Skills!D18-IF(Skills!E18=TRUE,Inputs!$B$32,0)))*(1-IF(AND(ArtifactsInput!$M$27,Inputs!$B$4="Chapter Hunt"),CHOOSE(ArtifactsInput!$N$27+1,20,24,28,32,36,40),0)/100)))+1)),0)</f>
        <v/>
      </c>
      <c r="S2009">
        <f>IFERROR(O2009/N2009,0)</f>
        <v/>
      </c>
      <c r="T2009" t="n">
        <v>0</v>
      </c>
      <c r="V2009" t="n">
        <v>0</v>
      </c>
    </row>
    <row r="2010">
      <c r="A2010">
        <f>Skills!A19</f>
        <v/>
      </c>
      <c r="B2010">
        <f>Skills!B19</f>
        <v/>
      </c>
      <c r="C2010">
        <f>TRUE</f>
        <v/>
      </c>
      <c r="D2010">
        <f>IF(Skills!C19=1,60+Inputs!$B$25+Inputs!$B$29,IF(Skills!C19=2,90+Inputs!$B$26+Inputs!$B$29,IF(Skills!C19=3,120+Inputs!$B$27+Inputs!$B$29,MAX(0,(Inputs!$B$3-100)*3)+Inputs!$B$28+Inputs!$B$29)))</f>
        <v/>
      </c>
      <c r="E2010">
        <f>INDEX(FactorTable!$B$2:$Y$301, MATCH(ROUND(MIN(300,MAX(1,D2010)),0), FactorTable!$A$2:$A$301,0), Skills!M19+1)</f>
        <v/>
      </c>
      <c r="F2010">
        <f>IF(Skills!N19=TRUE,(Skills!L19/10)*(E2010/1000),Skills!L19/10)+Skills!O19</f>
        <v/>
      </c>
      <c r="G2010">
        <f>Skills!G19*IF(Skills!H19&gt;0,Skills!I19/Skills!H19,1)</f>
        <v/>
      </c>
      <c r="H2010">
        <f>1-(1-Skills!J19/100)^Skills!K19</f>
        <v/>
      </c>
      <c r="I2010" t="inlineStr">
        <is>
          <t>1</t>
        </is>
      </c>
      <c r="J2010" t="inlineStr"/>
      <c r="K2010" t="inlineStr"/>
      <c r="L2010" t="inlineStr"/>
      <c r="M2010" t="inlineStr"/>
      <c r="N2010" t="inlineStr"/>
      <c r="O2010">
        <f>(1-Summary!$B$11)*T2010+Summary!$B$11*V2010</f>
        <v/>
      </c>
      <c r="P2010">
        <f>IF(B2028=0,0,O2010/B2028)</f>
        <v/>
      </c>
      <c r="Q2010">
        <f>IFERROR(1/(IF(Inputs!$B$38="pvp",15,MAX(0.1,Skills!D19-IF(Skills!E19=TRUE,Inputs!$B$32,0)))*(1-IF(AND(ArtifactsInput!$M$27,Inputs!$B$4="Chapter Hunt"),CHOOSE(ArtifactsInput!$N$27+1,20,24,28,32,36,40),0)/100)),0)</f>
        <v/>
      </c>
      <c r="R2010">
        <f>IF(AND(Inputs!$B$38&lt;&gt;"pvp",Inputs!$B$43&gt;0),IF(Inputs!$B$43&lt;=0,0,(INT(Inputs!$B$43/(IF(Inputs!$B$38="pvp",15,MAX(0.1,Skills!D19-IF(Skills!E19=TRUE,Inputs!$B$32,0)))*(1-IF(AND(ArtifactsInput!$M$27,Inputs!$B$4="Chapter Hunt"),CHOOSE(ArtifactsInput!$N$27+1,20,24,28,32,36,40),0)/100)))+1)),0)</f>
        <v/>
      </c>
      <c r="S2010">
        <f>IFERROR(O2010/N2010,0)</f>
        <v/>
      </c>
      <c r="T2010" t="n">
        <v>0</v>
      </c>
      <c r="V2010" t="n">
        <v>0</v>
      </c>
    </row>
    <row r="2011">
      <c r="A2011">
        <f>Skills!A20</f>
        <v/>
      </c>
      <c r="B2011">
        <f>Skills!B20</f>
        <v/>
      </c>
      <c r="C2011">
        <f>Inputs!$B$3&gt;=33</f>
        <v/>
      </c>
      <c r="D2011">
        <f>IF(Skills!C20=1,60+Inputs!$B$25+Inputs!$B$29,IF(Skills!C20=2,90+Inputs!$B$26+Inputs!$B$29,IF(Skills!C20=3,120+Inputs!$B$27+Inputs!$B$29,MAX(0,(Inputs!$B$3-100)*3)+Inputs!$B$28+Inputs!$B$29)))</f>
        <v/>
      </c>
      <c r="E2011">
        <f>INDEX(FactorTable!$B$2:$Y$301, MATCH(ROUND(MIN(300,MAX(1,D2011)),0), FactorTable!$A$2:$A$301,0), Skills!M20+1)</f>
        <v/>
      </c>
      <c r="F2011">
        <f>IF(Skills!N20=TRUE,(Skills!L20/10)*(E2011/1000),Skills!L20/10)+Skills!O20</f>
        <v/>
      </c>
      <c r="G2011">
        <f>Skills!G20*IF(Skills!H20&gt;0,Skills!I20/Skills!H20,1)</f>
        <v/>
      </c>
      <c r="H2011">
        <f>1-(1-Skills!J20/100)^Skills!K20</f>
        <v/>
      </c>
      <c r="I2011" t="inlineStr">
        <is>
          <t>1</t>
        </is>
      </c>
      <c r="J2011" t="inlineStr"/>
      <c r="K2011" t="inlineStr"/>
      <c r="L2011" t="inlineStr"/>
      <c r="M2011" t="inlineStr"/>
      <c r="N2011" t="inlineStr"/>
      <c r="O2011">
        <f>(1-Summary!$B$11)*T2011+Summary!$B$11*V2011</f>
        <v/>
      </c>
      <c r="P2011">
        <f>IF(B2028=0,0,O2011/B2028)</f>
        <v/>
      </c>
      <c r="Q2011" t="n">
        <v>0</v>
      </c>
      <c r="R2011" t="n">
        <v>0</v>
      </c>
      <c r="S2011">
        <f>IFERROR(O2011/N2011,0)</f>
        <v/>
      </c>
      <c r="T2011" t="n">
        <v>0</v>
      </c>
      <c r="V2011" t="n">
        <v>0</v>
      </c>
    </row>
    <row r="2012">
      <c r="A2012">
        <f>Skills!A21</f>
        <v/>
      </c>
      <c r="B2012">
        <f>Skills!B21</f>
        <v/>
      </c>
      <c r="C2012">
        <f>Inputs!$B$3&gt;=38</f>
        <v/>
      </c>
      <c r="D2012">
        <f>IF(Skills!C21=1,60+Inputs!$B$25+Inputs!$B$29,IF(Skills!C21=2,90+Inputs!$B$26+Inputs!$B$29,IF(Skills!C21=3,120+Inputs!$B$27+Inputs!$B$29,MAX(0,(Inputs!$B$3-100)*3)+Inputs!$B$28+Inputs!$B$29)))</f>
        <v/>
      </c>
      <c r="E2012">
        <f>INDEX(FactorTable!$B$2:$Y$301, MATCH(ROUND(MIN(300,MAX(1,D2012)),0), FactorTable!$A$2:$A$301,0), Skills!M21+1)</f>
        <v/>
      </c>
      <c r="F2012">
        <f>IF(Skills!N21=TRUE,(Skills!L21/10)*(E2012/1000),Skills!L21/10)+Skills!O21</f>
        <v/>
      </c>
      <c r="G2012">
        <f>Skills!G21*IF(Skills!H21&gt;0,Skills!I21/Skills!H21,1)</f>
        <v/>
      </c>
      <c r="H2012">
        <f>1-(1-Skills!J21/100)^Skills!K21</f>
        <v/>
      </c>
      <c r="I2012" t="inlineStr">
        <is>
          <t>1</t>
        </is>
      </c>
      <c r="J2012" t="inlineStr"/>
      <c r="K2012" t="inlineStr"/>
      <c r="L2012" t="inlineStr"/>
      <c r="M2012" t="inlineStr"/>
      <c r="N2012" t="inlineStr"/>
      <c r="O2012">
        <f>(1-Summary!$B$11)*T2012+Summary!$B$11*V2012</f>
        <v/>
      </c>
      <c r="P2012">
        <f>IF(B2028=0,0,O2012/B2028)</f>
        <v/>
      </c>
      <c r="Q2012" t="n">
        <v>0</v>
      </c>
      <c r="R2012" t="n">
        <v>0</v>
      </c>
      <c r="S2012">
        <f>IFERROR(O2012/N2012,0)</f>
        <v/>
      </c>
      <c r="T2012" t="n">
        <v>0</v>
      </c>
      <c r="V2012" t="n">
        <v>0</v>
      </c>
    </row>
    <row r="2013">
      <c r="A2013">
        <f>Skills!A22</f>
        <v/>
      </c>
      <c r="B2013">
        <f>Skills!B22</f>
        <v/>
      </c>
      <c r="C2013">
        <f>Inputs!$B$3&gt;=43</f>
        <v/>
      </c>
      <c r="D2013">
        <f>IF(Skills!C22=1,60+Inputs!$B$25+Inputs!$B$29,IF(Skills!C22=2,90+Inputs!$B$26+Inputs!$B$29,IF(Skills!C22=3,120+Inputs!$B$27+Inputs!$B$29,MAX(0,(Inputs!$B$3-100)*3)+Inputs!$B$28+Inputs!$B$29)))</f>
        <v/>
      </c>
      <c r="E2013">
        <f>INDEX(FactorTable!$B$2:$Y$301, MATCH(ROUND(MIN(300,MAX(1,D2013)),0), FactorTable!$A$2:$A$301,0), Skills!M22+1)</f>
        <v/>
      </c>
      <c r="F2013">
        <f>IF(Skills!N22=TRUE,(Skills!L22/10)*(E2013/1000),Skills!L22/10)+Skills!O22</f>
        <v/>
      </c>
      <c r="G2013">
        <f>Skills!G22*IF(Skills!H22&gt;0,Skills!I22/Skills!H22,1)</f>
        <v/>
      </c>
      <c r="H2013">
        <f>1-(1-Skills!J22/100)^Skills!K22</f>
        <v/>
      </c>
      <c r="I2013" t="inlineStr">
        <is>
          <t>1</t>
        </is>
      </c>
      <c r="J2013" t="inlineStr"/>
      <c r="K2013" t="inlineStr"/>
      <c r="L2013" t="inlineStr"/>
      <c r="M2013" t="inlineStr"/>
      <c r="N2013" t="inlineStr"/>
      <c r="O2013">
        <f>(1-Summary!$B$11)*T2013+Summary!$B$11*V2013</f>
        <v/>
      </c>
      <c r="P2013">
        <f>IF(B2028=0,0,O2013/B2028)</f>
        <v/>
      </c>
      <c r="Q2013" t="n">
        <v>0</v>
      </c>
      <c r="R2013" t="n">
        <v>0</v>
      </c>
      <c r="S2013">
        <f>IFERROR(O2013/N2013,0)</f>
        <v/>
      </c>
      <c r="T2013" t="n">
        <v>0</v>
      </c>
      <c r="V2013" t="n">
        <v>0</v>
      </c>
    </row>
    <row r="2014">
      <c r="A2014">
        <f>Skills!A23</f>
        <v/>
      </c>
      <c r="B2014">
        <f>Skills!B23</f>
        <v/>
      </c>
      <c r="C2014">
        <f>Inputs!$B$3&gt;=120</f>
        <v/>
      </c>
      <c r="D2014">
        <f>IF(Skills!C23=1,60+Inputs!$B$25+Inputs!$B$29,IF(Skills!C23=2,90+Inputs!$B$26+Inputs!$B$29,IF(Skills!C23=3,120+Inputs!$B$27+Inputs!$B$29,MAX(0,(Inputs!$B$3-100)*3)+Inputs!$B$28+Inputs!$B$29)))</f>
        <v/>
      </c>
      <c r="E2014">
        <f>INDEX(FactorTable!$B$2:$Y$301, MATCH(ROUND(MIN(300,MAX(1,D2014)),0), FactorTable!$A$2:$A$301,0), Skills!M23+1)</f>
        <v/>
      </c>
      <c r="F2014">
        <f>IF(Skills!N23=TRUE,(Skills!L23/10)*(E2014/1000),Skills!L23/10)+Skills!O23</f>
        <v/>
      </c>
      <c r="G2014">
        <f>Skills!G23*IF(Skills!H23&gt;0,Skills!I23/Skills!H23,1)</f>
        <v/>
      </c>
      <c r="H2014">
        <f>1-(1-Skills!J23/100)^Skills!K23</f>
        <v/>
      </c>
      <c r="I2014" t="inlineStr">
        <is>
          <t>1</t>
        </is>
      </c>
      <c r="J2014" t="inlineStr"/>
      <c r="K2014" t="inlineStr"/>
      <c r="L2014" t="inlineStr"/>
      <c r="M2014" t="inlineStr"/>
      <c r="N2014" t="inlineStr"/>
      <c r="O2014">
        <f>(1-Summary!$B$11)*T2014+Summary!$B$11*V2014</f>
        <v/>
      </c>
      <c r="P2014">
        <f>IF(B2028=0,0,O2014/B2028)</f>
        <v/>
      </c>
      <c r="Q2014" t="n">
        <v>0</v>
      </c>
      <c r="R2014" t="n">
        <v>0</v>
      </c>
      <c r="S2014">
        <f>IFERROR(O2014/N2014,0)</f>
        <v/>
      </c>
      <c r="T2014" t="n">
        <v>0</v>
      </c>
      <c r="V2014" t="n">
        <v>0</v>
      </c>
    </row>
    <row r="2015">
      <c r="A2015">
        <f>Skills!A24</f>
        <v/>
      </c>
      <c r="B2015">
        <f>Skills!B24</f>
        <v/>
      </c>
      <c r="C2015">
        <f>Inputs!$B$3&gt;=120</f>
        <v/>
      </c>
      <c r="D2015">
        <f>IF(Skills!C24=1,60+Inputs!$B$25+Inputs!$B$29,IF(Skills!C24=2,90+Inputs!$B$26+Inputs!$B$29,IF(Skills!C24=3,120+Inputs!$B$27+Inputs!$B$29,MAX(0,(Inputs!$B$3-100)*3)+Inputs!$B$28+Inputs!$B$29)))</f>
        <v/>
      </c>
      <c r="E2015">
        <f>INDEX(FactorTable!$B$2:$Y$301, MATCH(ROUND(MIN(300,MAX(1,D2015)),0), FactorTable!$A$2:$A$301,0), Skills!M24+1)</f>
        <v/>
      </c>
      <c r="F2015">
        <f>IF(Skills!N24=TRUE,(Skills!L24/10)*(E2015/1000),Skills!L24/10)+Skills!O24</f>
        <v/>
      </c>
      <c r="G2015">
        <f>Skills!G24*IF(Skills!H24&gt;0,Skills!I24/Skills!H24,1)</f>
        <v/>
      </c>
      <c r="H2015">
        <f>1-(1-Skills!J24/100)^Skills!K24</f>
        <v/>
      </c>
      <c r="I2015" t="inlineStr">
        <is>
          <t>1</t>
        </is>
      </c>
      <c r="J2015" t="inlineStr"/>
      <c r="K2015" t="inlineStr"/>
      <c r="L2015" t="inlineStr"/>
      <c r="M2015" t="inlineStr"/>
      <c r="N2015" t="inlineStr"/>
      <c r="O2015">
        <f>(1-Summary!$B$11)*T2015+Summary!$B$11*V2015</f>
        <v/>
      </c>
      <c r="P2015">
        <f>IF(B2028=0,0,O2015/B2028)</f>
        <v/>
      </c>
      <c r="Q2015" t="n">
        <v>0</v>
      </c>
      <c r="R2015" t="n">
        <v>0</v>
      </c>
      <c r="S2015">
        <f>IFERROR(O2015/N2015,0)</f>
        <v/>
      </c>
      <c r="T2015" t="n">
        <v>0</v>
      </c>
      <c r="V2015" t="n">
        <v>0</v>
      </c>
    </row>
    <row r="2017">
      <c r="A2017" t="inlineStr">
        <is>
          <t>Attack% Bucket Multiplier</t>
        </is>
      </c>
      <c r="B2017">
        <f>(1+(((C2004=TRUE)*F2004*MIN(1,Skills!T13*(Skills!J13/100)*B2022))+((C2009=TRUE)*F2009*IF(AND(Inputs!$B$38&lt;&gt;"pvp",Inputs!$B$43&gt;0),(((R2009-1)*(Skills!T18*(1+Inputs!$B$34/100))+MIN((Skills!T18*(1+Inputs!$B$34/100)),MAX(0,Inputs!$B$43-((R2009-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18">
      <c r="A2018" t="inlineStr">
        <is>
          <t>Global Crit Rate Bonus %</t>
        </is>
      </c>
      <c r="B2018" t="n">
        <v>0</v>
      </c>
    </row>
    <row r="2019">
      <c r="A2019" t="inlineStr">
        <is>
          <t>Attack Speed Buff Bonus %</t>
        </is>
      </c>
      <c r="B2019">
        <f>((C2010=TRUE)*F2010*IF(AND(Inputs!$B$38&lt;&gt;"pvp",Inputs!$B$43&gt;0),(((R2010-1)*(Skills!T19*(1+Inputs!$B$34/100))+MIN((Skills!T19*(1+Inputs!$B$34/100)),MAX(0,Inputs!$B$43-((R2010-1)*Skills!D19))))/Inputs!$B$43),IF(Inputs!$B$38="pvp",MIN((Skills!T19*(1+Inputs!$B$34/100)),15)/15,(Skills!T19*(1+Inputs!$B$34/100))/Skills!D19)))</f>
        <v/>
      </c>
    </row>
    <row r="2020">
      <c r="A2020" t="inlineStr">
        <is>
          <t>Actions Per Second</t>
        </is>
      </c>
      <c r="B2020">
        <f>1+MIN(150,150*(1-(1-(Inputs!$B$11+((C2011=TRUE)*(F2011-Calc!F20)))/150)*(1-B2019/150)))/100</f>
        <v/>
      </c>
    </row>
    <row r="2021">
      <c r="A2021" t="inlineStr">
        <is>
          <t>Skill + Buff Cast Rate</t>
        </is>
      </c>
      <c r="B2021">
        <f>IF(AND(Inputs!$B$38&lt;&gt;"pvp",Inputs!$B$43&gt;0),SUMPRODUCT((Skills!E2:E24=TRUE)*(C1993:C2015=TRUE)*R1993:R2015*Skills!F2:F24)/Inputs!$B$43,SUMPRODUCT((Skills!E2:E24=TRUE)*(C1993:C2015=TRUE)*Q1993:Q2015*Skills!F2:F24))</f>
        <v/>
      </c>
    </row>
    <row r="2022">
      <c r="A2022" t="inlineStr">
        <is>
          <t>Blast Casts Per Second</t>
        </is>
      </c>
      <c r="B2022">
        <f>MAX(0,B2020-B2021)</f>
        <v/>
      </c>
    </row>
    <row r="2023">
      <c r="A2023" t="inlineStr">
        <is>
          <t>Global Critical Damage Bonus % (unused)</t>
        </is>
      </c>
      <c r="B2023" t="n">
        <v>0</v>
      </c>
    </row>
    <row r="2024">
      <c r="A2024" t="inlineStr">
        <is>
          <t>Global Final Damage Bonus % (Divine Shield + Guardian + Divine Blessing + Greater Vessel of Light)</t>
        </is>
      </c>
      <c r="B2024">
        <f>((C2006=TRUE)*F2006*IF(AND(Inputs!$B$38&lt;&gt;"pvp",Inputs!$B$43&gt;0),(((R2006-1)*(Skills!T15*(1+Inputs!$B$34/100))+MIN((Skills!T15*(1+Inputs!$B$34/100)),MAX(0,Inputs!$B$43-((R2006-1)*Skills!D15))))/Inputs!$B$43),IF(Inputs!$B$38="pvp",MIN((Skills!T15*(1+Inputs!$B$34/100)),15)/15,(Skills!T15*(1+Inputs!$B$34/100))/Skills!D15)))+((C2007=TRUE)*F2007*IF(AND(Inputs!$B$38&lt;&gt;"pvp",Inputs!$B$43&gt;0),(((R2007-1)*(Skills!T16*(1+Inputs!$B$34/100))+MIN((Skills!T16*(1+Inputs!$B$34/100)),MAX(0,Inputs!$B$43-((R2007-1)*Skills!D16))))/Inputs!$B$43),IF(Inputs!$B$38="pvp",MIN((Skills!T16*(1+Inputs!$B$34/100)),15)/15,(Skills!T16*(1+Inputs!$B$34/100))/Skills!D16)))+((C2008=TRUE)*F2008*IF(AND(Inputs!$B$38&lt;&gt;"pvp",Inputs!$B$43&gt;0),(((R2008-1)*(Skills!T17*(1+Inputs!$B$34/100))+MIN((Skills!T17*(1+Inputs!$B$34/100)),MAX(0,Inputs!$B$43-((R2008-1)*Skills!D17))))/Inputs!$B$43),IF(Inputs!$B$38="pvp",MIN((Skills!T17*(1+Inputs!$B$34/100)),15)/15,(Skills!T17*(1+Inputs!$B$34/100))/Skills!D17)))+((C2005=TRUE)*F2005*MIN(1,Skills!T13*(Skills!J13/100)*B2022))</f>
        <v/>
      </c>
    </row>
    <row r="2025">
      <c r="A2025" t="inlineStr">
        <is>
          <t>Buff-Casting Startup Delay (s, fixed-duration only)</t>
        </is>
      </c>
      <c r="B2025">
        <f>IF(AND(Inputs!$B$38&lt;&gt;"pvp",Inputs!$B$43&gt;0),SUMPRODUCT((Skills!T2:T24&gt;0)*(Skills!E2:E24=TRUE)*(C1993:C2015=TRUE))/B2020,0)</f>
        <v/>
      </c>
    </row>
    <row r="2026">
      <c r="A2026" t="inlineStr">
        <is>
          <t>Boss-Only Total DPS (this block's swept value)</t>
        </is>
      </c>
      <c r="B2026">
        <f>SUM(T1993:T2015)</f>
        <v/>
      </c>
    </row>
    <row r="2027">
      <c r="A2027" t="inlineStr">
        <is>
          <t>Normal-Only Total DPS (this block's swept value)</t>
        </is>
      </c>
      <c r="B2027">
        <f>SUM(V1993:V2015)</f>
        <v/>
      </c>
    </row>
    <row r="2028">
      <c r="A2028" s="6" t="inlineStr">
        <is>
          <t>TOTAL DPS</t>
        </is>
      </c>
      <c r="B2028" s="6">
        <f>SUM(O1993:O2015)</f>
        <v/>
      </c>
    </row>
    <row r="2031">
      <c r="A2031" s="6" t="inlineStr">
        <is>
          <t>Stat: Ancient Text Piece (Equip)</t>
        </is>
      </c>
    </row>
    <row r="2032">
      <c r="A2032" s="5" t="inlineStr">
        <is>
          <t>Key</t>
        </is>
      </c>
      <c r="B2032" s="5" t="inlineStr">
        <is>
          <t>Name</t>
        </is>
      </c>
      <c r="C2032" s="5" t="inlineStr">
        <is>
          <t>Unlocked</t>
        </is>
      </c>
      <c r="D2032" s="5" t="inlineStr">
        <is>
          <t>InputLevel</t>
        </is>
      </c>
      <c r="E2032" s="5" t="inlineStr">
        <is>
          <t>Factor</t>
        </is>
      </c>
      <c r="F2032" s="5" t="inlineStr">
        <is>
          <t>CoefficientPercent</t>
        </is>
      </c>
      <c r="G2032" s="5" t="inlineStr">
        <is>
          <t>EffectiveHits</t>
        </is>
      </c>
      <c r="H2032" s="5" t="inlineStr">
        <is>
          <t>ProcProbability</t>
        </is>
      </c>
      <c r="I2032" s="5" t="inlineStr">
        <is>
          <t>MapleHeroMultiplier</t>
        </is>
      </c>
      <c r="J2032" s="5" t="inlineStr">
        <is>
          <t>BaseDamage</t>
        </is>
      </c>
      <c r="K2032" s="5" t="inlineStr">
        <is>
          <t>BaseHitDamage</t>
        </is>
      </c>
      <c r="L2032" s="5" t="inlineStr">
        <is>
          <t>NonCritAvg</t>
        </is>
      </c>
      <c r="M2032" s="5" t="inlineStr">
        <is>
          <t>CritAvg</t>
        </is>
      </c>
      <c r="N2032" s="5" t="inlineStr">
        <is>
          <t>ExpectedDamage(perHit)</t>
        </is>
      </c>
      <c r="O2032" s="5" t="inlineStr">
        <is>
          <t>DPS</t>
        </is>
      </c>
      <c r="P2032" s="5" t="inlineStr">
        <is>
          <t>% of Total</t>
        </is>
      </c>
      <c r="Q2032" s="5" t="inlineStr">
        <is>
          <t>InvCooldown</t>
        </is>
      </c>
      <c r="R2032" s="5" t="inlineStr">
        <is>
          <t>CastsInFight</t>
        </is>
      </c>
      <c r="S2032" s="5" t="inlineStr">
        <is>
          <t>HitRate(perSec)</t>
        </is>
      </c>
      <c r="U2032" t="inlineStr">
        <is>
          <t>helpers</t>
        </is>
      </c>
    </row>
    <row r="2033">
      <c r="A2033">
        <f>Skills!A2</f>
        <v/>
      </c>
      <c r="B2033">
        <f>Skills!B2</f>
        <v/>
      </c>
      <c r="C2033">
        <f>Inputs!$B$3&gt;=100</f>
        <v/>
      </c>
      <c r="D2033" t="inlineStr"/>
      <c r="E2033" t="inlineStr"/>
      <c r="F2033">
        <f>U2035+Skills!O2</f>
        <v/>
      </c>
      <c r="G2033">
        <f>Skills!G2*IF(Skills!H2&gt;0,Skills!I2/Skills!H2,1)</f>
        <v/>
      </c>
      <c r="H2033">
        <f>1-(1-Skills!J2/100)^Skills!K2</f>
        <v/>
      </c>
      <c r="I2033" t="inlineStr">
        <is>
          <t>1</t>
        </is>
      </c>
      <c r="J2033">
        <f>((Inputs!$B$6*(1+Inputs!$B$7/100))+(((Inputs!$B$12*(1+Inputs!$B$13/100))-(Inputs!$B$12*(1+Inputs!$B$13/100)))+0.25*(Inputs!$B$14-Inputs!$B$14))*(1+Inputs!$B$7/100))*(F2033/100)</f>
        <v/>
      </c>
      <c r="K2033">
        <f>J2033*(1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2033)</f>
        <v/>
      </c>
      <c r="L2033">
        <f>K2033*(MIN(Inputs!$B$22+((C2053=TRUE)*(F2053-Calc!F22)),(Inputs!$B$23+((C2055=TRUE)*(F2055-Calc!F24))+(IF(ArtifactsInput!$M$15,CHOOSE(ArtifactsInput!$N$15+1,25,30,35,40,45,50)/100*(Inputs!$B$11-Inputs!$B$11),0))))/100+(Inputs!$B$23+((C2055=TRUE)*(F2055-Calc!F24))+(IF(ArtifactsInput!$M$15,CHOOSE(ArtifactsInput!$N$15+1,25,30,35,40,45,50)/100*(Inputs!$B$11-Inputs!$B$11),0)))/100)/2</f>
        <v/>
      </c>
      <c r="M2033">
        <f>L2033*(1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3">
        <f>L2033*(1-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2033*(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3">
        <f>(1-Summary!$B$11)*T2033+Summary!$B$11*V2033</f>
        <v/>
      </c>
      <c r="P2033">
        <f>IF(B2068=0,0,O2033/B2068)</f>
        <v/>
      </c>
      <c r="Q2033" t="n">
        <v>0</v>
      </c>
      <c r="R2033" t="n">
        <v>0</v>
      </c>
      <c r="S2033">
        <f>IFERROR(O2033/N2033,0)</f>
        <v/>
      </c>
      <c r="T2033">
        <f>IF(C2033,(Skills!G2*N2033*B2062)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2033*(1-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2033*(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2033*(1-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2033*(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33">
        <f>MAX(0,(Inputs!$B$3-100)*3)+Inputs!$B$28+Inputs!$B$29</f>
        <v/>
      </c>
      <c r="V2033">
        <f>IF(C2033,(Skills!G2*N2033*B2062)*IF(Inputs!$B$38="pvp",1,(1+(Inputs!$B$21+Skills!Q2+(IF(ArtifactsInput!$M$33,CHOOSE(ArtifactsInput!$N$33+1,30,36,42,48,54,60),0))+(IF(AND(ArtifactsInput!$M$35,Inputs!$B$4&lt;&gt;"Chapter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4">
      <c r="A2034">
        <f>Skills!A3</f>
        <v/>
      </c>
      <c r="B2034">
        <f>Skills!B3</f>
        <v/>
      </c>
      <c r="C2034">
        <f>Inputs!$B$3&gt;=50</f>
        <v/>
      </c>
      <c r="D2034">
        <f>IF(Skills!C3=1,60+Inputs!$B$25+Inputs!$B$29,IF(Skills!C3=2,90+Inputs!$B$26+Inputs!$B$29,IF(Skills!C3=3,120+Inputs!$B$27+Inputs!$B$29,MAX(0,(Inputs!$B$3-100)*3)+Inputs!$B$28+Inputs!$B$29)))</f>
        <v/>
      </c>
      <c r="E2034">
        <f>INDEX(FactorTable!$B$2:$Y$301, MATCH(ROUND(MIN(300,MAX(1,D2034)),0), FactorTable!$A$2:$A$301,0), Skills!M3+1)</f>
        <v/>
      </c>
      <c r="F2034">
        <f>IF(Skills!N3=TRUE,(Skills!L3/10)*(E2034/1000),Skills!L3/10)+Skills!O3</f>
        <v/>
      </c>
      <c r="G2034" t="inlineStr"/>
      <c r="H2034" t="inlineStr"/>
      <c r="I2034" t="inlineStr">
        <is>
          <t>1</t>
        </is>
      </c>
      <c r="J2034" t="inlineStr"/>
      <c r="K2034" t="inlineStr"/>
      <c r="L2034" t="inlineStr"/>
      <c r="M2034" t="inlineStr"/>
      <c r="N2034" t="inlineStr"/>
      <c r="O2034" t="inlineStr"/>
      <c r="P2034" t="inlineStr"/>
      <c r="Q2034" t="inlineStr"/>
      <c r="R2034" t="inlineStr"/>
      <c r="S2034" t="inlineStr"/>
      <c r="U2034">
        <f>INDEX(FactorTable!$B$2:$Y$301, MATCH(ROUND(MIN(300,MAX(1,U2033)),0), FactorTable!$A$2:$A$301,0), 22)</f>
        <v/>
      </c>
    </row>
    <row r="2035">
      <c r="A2035">
        <f>Skills!A4</f>
        <v/>
      </c>
      <c r="B2035">
        <f>Skills!B4</f>
        <v/>
      </c>
      <c r="C2035">
        <f>Inputs!$B$3&gt;=35</f>
        <v/>
      </c>
      <c r="D2035">
        <f>IF(Skills!C4=1,60+Inputs!$B$25+Inputs!$B$29,IF(Skills!C4=2,90+Inputs!$B$26+Inputs!$B$29,IF(Skills!C4=3,120+Inputs!$B$27+Inputs!$B$29,MAX(0,(Inputs!$B$3-100)*3)+Inputs!$B$28+Inputs!$B$29)))</f>
        <v/>
      </c>
      <c r="E2035">
        <f>INDEX(FactorTable!$B$2:$Y$301, MATCH(ROUND(MIN(300,MAX(1,D2035)),0), FactorTable!$A$2:$A$301,0), Skills!M4+1)</f>
        <v/>
      </c>
      <c r="F2035">
        <f>IF(Skills!N4=TRUE,(Skills!L4/10)*(E2035/1000),Skills!L4/10)+Skills!O4</f>
        <v/>
      </c>
      <c r="G2035">
        <f>Skills!G4*IF(Skills!H4&gt;0,Skills!I4/Skills!H4,1)</f>
        <v/>
      </c>
      <c r="H2035">
        <f>1-(1-Skills!J4/100)^Skills!K4</f>
        <v/>
      </c>
      <c r="I2035" t="inlineStr">
        <is>
          <t>1</t>
        </is>
      </c>
      <c r="J2035">
        <f>((Inputs!$B$6*(1+Inputs!$B$7/100))+(((Inputs!$B$12*(1+Inputs!$B$13/100))-(Inputs!$B$12*(1+Inputs!$B$13/100)))+0.25*(Inputs!$B$14-Inputs!$B$14))*(1+Inputs!$B$7/100))*(F2035/100)</f>
        <v/>
      </c>
      <c r="K2035">
        <f>J2035*(1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2043=TRUE,F2043,0)/100)*(1+(IF(Skills!A4="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2035)</f>
        <v/>
      </c>
      <c r="L2035">
        <f>K2035*(MIN(Inputs!$B$22+((C2053=TRUE)*(F2053-Calc!F22)),(Inputs!$B$23+((C2055=TRUE)*(F2055-Calc!F24))+(IF(ArtifactsInput!$M$15,CHOOSE(ArtifactsInput!$N$15+1,25,30,35,40,45,50)/100*(Inputs!$B$11-Inputs!$B$11),0))))/100+(Inputs!$B$23+((C2055=TRUE)*(F2055-Calc!F24))+(IF(ArtifactsInput!$M$15,CHOOSE(ArtifactsInput!$N$15+1,25,30,35,40,45,50)/100*(Inputs!$B$11-Inputs!$B$11),0)))/100)/2</f>
        <v/>
      </c>
      <c r="M2035">
        <f>L2035*(1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5">
        <f>L2035*(1-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2035*(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5">
        <f>(1-Summary!$B$11)*T2035+Summary!$B$11*V2035</f>
        <v/>
      </c>
      <c r="P2035">
        <f>IF(B2068=0,0,O2035/B2068)</f>
        <v/>
      </c>
      <c r="Q2035">
        <f>IFERROR(1/(IF(Inputs!$B$38="pvp",15,MAX(0.1,Skills!D4-IF(Skills!E4=TRUE,Inputs!$B$32,0)))*(1-IF(AND(ArtifactsInput!$M$27,Inputs!$B$4="Chapter Hunt"),CHOOSE(ArtifactsInput!$N$27+1,20,24,28,32,36,40),0)/100)),0)</f>
        <v/>
      </c>
      <c r="R2035">
        <f>IF(AND(Inputs!$B$38&lt;&gt;"pvp",Inputs!$B$43&gt;0),IF(MAX(0,Inputs!$B$43-B2065)&lt;=0,0,(INT(MAX(0,Inputs!$B$43-B2065)/(IF(Inputs!$B$38="pvp",15,MAX(0.1,Skills!D4-IF(Skills!E4=TRUE,Inputs!$B$32,0)))*(1-IF(AND(ArtifactsInput!$M$27,Inputs!$B$4="Chapter Hunt"),CHOOSE(ArtifactsInput!$N$27+1,20,24,28,32,36,40),0)/100)))+1)),0)</f>
        <v/>
      </c>
      <c r="S2035">
        <f>IFERROR(O2035/N2035,0)</f>
        <v/>
      </c>
      <c r="T2035">
        <f>IF(C2035,(H2035*N2035*IF(AND(Inputs!$B$38&lt;&gt;"pvp",Inputs!$B$43&gt;0),((Skills!G4*((R2035-1)*IF(Skills!H4&gt;0,Skills!I4/Skills!H4,1)+IF(Skills!H4&gt;0,MIN(Skills!I4,MAX(0,MAX(0,Inputs!$B$43-B2065)-((R2035-1)*(IF(Inputs!$B$38="pvp",15,MAX(0.1,Skills!D4-IF(Skills!E4=TRUE,Inputs!$B$32,0)))*(1-IF(AND(ArtifactsInput!$M$27,Inputs!$B$4="Chapter Hunt"),CHOOSE(ArtifactsInput!$N$27+1,20,24,28,32,36,40),0)/100)))))/Skills!H4,1)))/Inputs!$B$43),G2035*Q2035)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2035*(1-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2035*(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2035*(1-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2035*(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35">
        <f>290*U2034/1000</f>
        <v/>
      </c>
      <c r="V2035">
        <f>IF(C2035,(H2035*N2035*IF(AND(Inputs!$B$38&lt;&gt;"pvp",Inputs!$B$43&gt;0),((Skills!G4*((R2035-1)*IF(Skills!H4&gt;0,Skills!I4/Skills!H4,1)+IF(Skills!H4&gt;0,MIN(Skills!I4,MAX(0,MAX(0,Inputs!$B$43-B2065)-((R2035-1)*(IF(Inputs!$B$38="pvp",15,MAX(0.1,Skills!D4-IF(Skills!E4=TRUE,Inputs!$B$32,0)))*(1-IF(AND(ArtifactsInput!$M$27,Inputs!$B$4="Chapter Hunt"),CHOOSE(ArtifactsInput!$N$27+1,20,24,28,32,36,40),0)/100)))))/Skills!H4,1)))/Inputs!$B$43),G2035*Q2035))*IF(Inputs!$B$38="pvp",1,(1+(Inputs!$B$21+Skills!Q4+(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6">
      <c r="A2036">
        <f>Skills!A5</f>
        <v/>
      </c>
      <c r="B2036">
        <f>Skills!B5</f>
        <v/>
      </c>
      <c r="C2036">
        <f>Inputs!$B$3&gt;=66</f>
        <v/>
      </c>
      <c r="D2036">
        <f>IF(Skills!C5=1,60+Inputs!$B$25+Inputs!$B$29,IF(Skills!C5=2,90+Inputs!$B$26+Inputs!$B$29,IF(Skills!C5=3,120+Inputs!$B$27+Inputs!$B$29,MAX(0,(Inputs!$B$3-100)*3)+Inputs!$B$28+Inputs!$B$29)))</f>
        <v/>
      </c>
      <c r="E2036">
        <f>INDEX(FactorTable!$B$2:$Y$301, MATCH(ROUND(MIN(300,MAX(1,D2036)),0), FactorTable!$A$2:$A$301,0), Skills!M5+1)</f>
        <v/>
      </c>
      <c r="F2036">
        <f>IF(Skills!N5=TRUE,(Skills!L5/10)*(E2036/1000),Skills!L5/10)+Skills!O5</f>
        <v/>
      </c>
      <c r="G2036">
        <f>Skills!G5*IF(Skills!H5&gt;0,Skills!I5/Skills!H5,1)</f>
        <v/>
      </c>
      <c r="H2036">
        <f>1-(1-Skills!J5/100)^Skills!K5</f>
        <v/>
      </c>
      <c r="I2036" t="inlineStr">
        <is>
          <t>1</t>
        </is>
      </c>
      <c r="J2036">
        <f>((Inputs!$B$6*(1+Inputs!$B$7/100))+(((Inputs!$B$12*(1+Inputs!$B$13/100))-(Inputs!$B$12*(1+Inputs!$B$13/100)))+0.25*(Inputs!$B$14-Inputs!$B$14))*(1+Inputs!$B$7/100))*(F2036/100)</f>
        <v/>
      </c>
      <c r="K2036">
        <f>J2036*(1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2043=TRUE,F2043,0)/100)*(1+(IF(Skills!A5="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2036)</f>
        <v/>
      </c>
      <c r="L2036">
        <f>K2036*(MIN(Inputs!$B$22+((C2053=TRUE)*(F2053-Calc!F22)),(Inputs!$B$23+((C2055=TRUE)*(F2055-Calc!F24))+(IF(ArtifactsInput!$M$15,CHOOSE(ArtifactsInput!$N$15+1,25,30,35,40,45,50)/100*(Inputs!$B$11-Inputs!$B$11),0))))/100+(Inputs!$B$23+((C2055=TRUE)*(F2055-Calc!F24))+(IF(ArtifactsInput!$M$15,CHOOSE(ArtifactsInput!$N$15+1,25,30,35,40,45,50)/100*(Inputs!$B$11-Inputs!$B$11),0)))/100)/2</f>
        <v/>
      </c>
      <c r="M2036">
        <f>L2036*(1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6">
        <f>L2036*(1-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2036*(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6">
        <f>(1-Summary!$B$11)*T2036+Summary!$B$11*V2036</f>
        <v/>
      </c>
      <c r="P2036">
        <f>IF(B2068=0,0,O2036/B2068)</f>
        <v/>
      </c>
      <c r="Q2036">
        <f>IFERROR(1/(IF(Inputs!$B$38="pvp",15,MAX(0.1,Skills!D5-IF(Skills!E5=TRUE,Inputs!$B$32,0)))*(1-IF(AND(ArtifactsInput!$M$27,Inputs!$B$4="Chapter Hunt"),CHOOSE(ArtifactsInput!$N$27+1,20,24,28,32,36,40),0)/100)),0)</f>
        <v/>
      </c>
      <c r="R2036">
        <f>IF(AND(Inputs!$B$38&lt;&gt;"pvp",Inputs!$B$43&gt;0),IF(MAX(0,Inputs!$B$43-B2065)&lt;=0,0,(INT(MAX(0,Inputs!$B$43-B2065)/(IF(Inputs!$B$38="pvp",15,MAX(0.1,Skills!D5-IF(Skills!E5=TRUE,Inputs!$B$32,0)))*(1-IF(AND(ArtifactsInput!$M$27,Inputs!$B$4="Chapter Hunt"),CHOOSE(ArtifactsInput!$N$27+1,20,24,28,32,36,40),0)/100)))+1)),0)</f>
        <v/>
      </c>
      <c r="S2036">
        <f>IFERROR(O2036/N2036,0)</f>
        <v/>
      </c>
      <c r="T2036">
        <f>IF(C2036,(H2036*N2036*IF(AND(Inputs!$B$38&lt;&gt;"pvp",Inputs!$B$43&gt;0),((Skills!G5*((R2036-1)*IF(Skills!H5&gt;0,Skills!I5/Skills!H5,1)+IF(Skills!H5&gt;0,MIN(Skills!I5,MAX(0,MAX(0,Inputs!$B$43-B2065)-((R2036-1)*(IF(Inputs!$B$38="pvp",15,MAX(0.1,Skills!D5-IF(Skills!E5=TRUE,Inputs!$B$32,0)))*(1-IF(AND(ArtifactsInput!$M$27,Inputs!$B$4="Chapter Hunt"),CHOOSE(ArtifactsInput!$N$27+1,20,24,28,32,36,40),0)/100)))))/Skills!H5,1)))/Inputs!$B$43),G2036*Q2036)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2036*(1-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2036*(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2036*(1-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2036*(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36">
        <f>IF(C2036,(H2036*N2036*IF(AND(Inputs!$B$38&lt;&gt;"pvp",Inputs!$B$43&gt;0),((Skills!G5*((R2036-1)*IF(Skills!H5&gt;0,Skills!I5/Skills!H5,1)+IF(Skills!H5&gt;0,MIN(Skills!I5,MAX(0,MAX(0,Inputs!$B$43-B2065)-((R2036-1)*(IF(Inputs!$B$38="pvp",15,MAX(0.1,Skills!D5-IF(Skills!E5=TRUE,Inputs!$B$32,0)))*(1-IF(AND(ArtifactsInput!$M$27,Inputs!$B$4="Chapter Hunt"),CHOOSE(ArtifactsInput!$N$27+1,20,24,28,32,36,40),0)/100)))))/Skills!H5,1)))/Inputs!$B$43),G2036*Q2036))*IF(Inputs!$B$38="pvp",1,(1+(Inputs!$B$21+Skills!Q5+(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7">
      <c r="A2037">
        <f>Skills!A6</f>
        <v/>
      </c>
      <c r="B2037">
        <f>Skills!B6</f>
        <v/>
      </c>
      <c r="C2037">
        <f>Inputs!$B$3&gt;=103</f>
        <v/>
      </c>
      <c r="D2037">
        <f>IF(Skills!C6=1,60+Inputs!$B$25+Inputs!$B$29,IF(Skills!C6=2,90+Inputs!$B$26+Inputs!$B$29,IF(Skills!C6=3,120+Inputs!$B$27+Inputs!$B$29,MAX(0,(Inputs!$B$3-100)*3)+Inputs!$B$28+Inputs!$B$29)))</f>
        <v/>
      </c>
      <c r="E2037">
        <f>INDEX(FactorTable!$B$2:$Y$301, MATCH(ROUND(MIN(300,MAX(1,D2037)),0), FactorTable!$A$2:$A$301,0), Skills!M6+1)</f>
        <v/>
      </c>
      <c r="F2037">
        <f>IF(Skills!N6=TRUE,(Skills!L6/10)*(E2037/1000),Skills!L6/10)+Skills!O6</f>
        <v/>
      </c>
      <c r="G2037">
        <f>Skills!G6*IF(Skills!H6&gt;0,Skills!I6/Skills!H6,1)</f>
        <v/>
      </c>
      <c r="H2037">
        <f>1-(1-Skills!J6/100)^Skills!K6</f>
        <v/>
      </c>
      <c r="I2037" t="inlineStr">
        <is>
          <t>1</t>
        </is>
      </c>
      <c r="J2037">
        <f>((Inputs!$B$6*(1+Inputs!$B$7/100))+(((Inputs!$B$12*(1+Inputs!$B$13/100))-(Inputs!$B$12*(1+Inputs!$B$13/100)))+0.25*(Inputs!$B$14-Inputs!$B$14))*(1+Inputs!$B$7/100))*(F2037/100)</f>
        <v/>
      </c>
      <c r="K2037">
        <f>J2037*(1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2037)</f>
        <v/>
      </c>
      <c r="L2037">
        <f>K2037*(MIN(Inputs!$B$22+((C2053=TRUE)*(F2053-Calc!F22)),(Inputs!$B$23+((C2055=TRUE)*(F2055-Calc!F24))+(IF(ArtifactsInput!$M$15,CHOOSE(ArtifactsInput!$N$15+1,25,30,35,40,45,50)/100*(Inputs!$B$11-Inputs!$B$11),0))))/100+(Inputs!$B$23+((C2055=TRUE)*(F2055-Calc!F24))+(IF(ArtifactsInput!$M$15,CHOOSE(ArtifactsInput!$N$15+1,25,30,35,40,45,50)/100*(Inputs!$B$11-Inputs!$B$11),0)))/100)/2</f>
        <v/>
      </c>
      <c r="M2037">
        <f>L2037*(1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7">
        <f>L2037*(1-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2037*(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7">
        <f>(1-Summary!$B$11)*T2037+Summary!$B$11*V2037</f>
        <v/>
      </c>
      <c r="P2037">
        <f>IF(B2068=0,0,O2037/B2068)</f>
        <v/>
      </c>
      <c r="Q2037">
        <f>IFERROR(1/(IF(Inputs!$B$38="pvp",15,MAX(0.1,Skills!D6-IF(Skills!E6=TRUE,Inputs!$B$32,0)))*(1-IF(AND(ArtifactsInput!$M$27,Inputs!$B$4="Chapter Hunt"),CHOOSE(ArtifactsInput!$N$27+1,20,24,28,32,36,40),0)/100)),0)</f>
        <v/>
      </c>
      <c r="R2037">
        <f>IF(AND(Inputs!$B$38&lt;&gt;"pvp",Inputs!$B$43&gt;0),IF(MAX(0,Inputs!$B$43-B2065)&lt;=0,0,(INT(MAX(0,Inputs!$B$43-B2065)/(IF(Inputs!$B$38="pvp",15,MAX(0.1,Skills!D6-IF(Skills!E6=TRUE,Inputs!$B$32,0)))*(1-IF(AND(ArtifactsInput!$M$27,Inputs!$B$4="Chapter Hunt"),CHOOSE(ArtifactsInput!$N$27+1,20,24,28,32,36,40),0)/100)))+1)),0)</f>
        <v/>
      </c>
      <c r="S2037">
        <f>IFERROR(O2037/N2037,0)</f>
        <v/>
      </c>
      <c r="T2037">
        <f>IF(C2037,(H2037*N2037*IF(AND(Inputs!$B$38&lt;&gt;"pvp",Inputs!$B$43&gt;0),((Skills!G6*((R2037-1)*IF(Skills!H6&gt;0,Skills!I6/Skills!H6,1)+IF(Skills!H6&gt;0,MIN(Skills!I6,MAX(0,MAX(0,Inputs!$B$43-B2065)-((R2037-1)*(IF(Inputs!$B$38="pvp",15,MAX(0.1,Skills!D6-IF(Skills!E6=TRUE,Inputs!$B$32,0)))*(1-IF(AND(ArtifactsInput!$M$27,Inputs!$B$4="Chapter Hunt"),CHOOSE(ArtifactsInput!$N$27+1,20,24,28,32,36,40),0)/100)))))/Skills!H6,1)))/Inputs!$B$43),G2037*Q2037)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2037*(1-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2037*(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2037*(1-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2037*(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37">
        <f>IF(C2037,(H2037*N2037*IF(AND(Inputs!$B$38&lt;&gt;"pvp",Inputs!$B$43&gt;0),((Skills!G6*((R2037-1)*IF(Skills!H6&gt;0,Skills!I6/Skills!H6,1)+IF(Skills!H6&gt;0,MIN(Skills!I6,MAX(0,MAX(0,Inputs!$B$43-B2065)-((R2037-1)*(IF(Inputs!$B$38="pvp",15,MAX(0.1,Skills!D6-IF(Skills!E6=TRUE,Inputs!$B$32,0)))*(1-IF(AND(ArtifactsInput!$M$27,Inputs!$B$4="Chapter Hunt"),CHOOSE(ArtifactsInput!$N$27+1,20,24,28,32,36,40),0)/100)))))/Skills!H6,1)))/Inputs!$B$43),G2037*Q2037))*IF(Inputs!$B$38="pvp",1,(1+(Inputs!$B$21+Skills!Q6+(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8">
      <c r="A2038">
        <f>Skills!A7</f>
        <v/>
      </c>
      <c r="B2038">
        <f>Skills!B7</f>
        <v/>
      </c>
      <c r="C2038">
        <f>Inputs!$B$3&gt;=107</f>
        <v/>
      </c>
      <c r="D2038">
        <f>IF(Skills!C7=1,60+Inputs!$B$25+Inputs!$B$29,IF(Skills!C7=2,90+Inputs!$B$26+Inputs!$B$29,IF(Skills!C7=3,120+Inputs!$B$27+Inputs!$B$29,MAX(0,(Inputs!$B$3-100)*3)+Inputs!$B$28+Inputs!$B$29)))</f>
        <v/>
      </c>
      <c r="E2038">
        <f>INDEX(FactorTable!$B$2:$Y$301, MATCH(ROUND(MIN(300,MAX(1,D2038)),0), FactorTable!$A$2:$A$301,0), Skills!M7+1)</f>
        <v/>
      </c>
      <c r="F2038">
        <f>IF(Skills!N7=TRUE,(Skills!L7/10)*(E2038/1000),Skills!L7/10)+Skills!O7</f>
        <v/>
      </c>
      <c r="G2038">
        <f>Skills!G7*IF(Skills!H7&gt;0,Skills!I7/Skills!H7,1)</f>
        <v/>
      </c>
      <c r="H2038">
        <f>1-(1-Skills!J7/100)^Skills!K7</f>
        <v/>
      </c>
      <c r="I2038" t="inlineStr">
        <is>
          <t>1</t>
        </is>
      </c>
      <c r="J2038">
        <f>((Inputs!$B$6*(1+Inputs!$B$7/100))+(((Inputs!$B$12*(1+Inputs!$B$13/100))-(Inputs!$B$12*(1+Inputs!$B$13/100)))+0.25*(Inputs!$B$14-Inputs!$B$14))*(1+Inputs!$B$7/100))*(F2038/100)</f>
        <v/>
      </c>
      <c r="K2038">
        <f>J2038*(1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2038)</f>
        <v/>
      </c>
      <c r="L2038">
        <f>K2038*(MIN(Inputs!$B$22+((C2053=TRUE)*(F2053-Calc!F22)),(Inputs!$B$23+((C2055=TRUE)*(F2055-Calc!F24))+(IF(ArtifactsInput!$M$15,CHOOSE(ArtifactsInput!$N$15+1,25,30,35,40,45,50)/100*(Inputs!$B$11-Inputs!$B$11),0))))/100+(Inputs!$B$23+((C2055=TRUE)*(F2055-Calc!F24))+(IF(ArtifactsInput!$M$15,CHOOSE(ArtifactsInput!$N$15+1,25,30,35,40,45,50)/100*(Inputs!$B$11-Inputs!$B$11),0)))/100)/2</f>
        <v/>
      </c>
      <c r="M2038">
        <f>L2038*(1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8">
        <f>L2038*(1-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2038*(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8">
        <f>(1-Summary!$B$11)*T2038+Summary!$B$11*V2038</f>
        <v/>
      </c>
      <c r="P2038">
        <f>IF(B2068=0,0,O2038/B2068)</f>
        <v/>
      </c>
      <c r="Q2038">
        <f>IFERROR(1/(IF(Inputs!$B$38="pvp",15,MAX(0.1,Skills!D7-IF(Skills!E7=TRUE,Inputs!$B$32,0)))*(1-IF(AND(ArtifactsInput!$M$27,Inputs!$B$4="Chapter Hunt"),CHOOSE(ArtifactsInput!$N$27+1,20,24,28,32,36,40),0)/100)),0)</f>
        <v/>
      </c>
      <c r="R2038">
        <f>IF(AND(Inputs!$B$38&lt;&gt;"pvp",Inputs!$B$43&gt;0),IF(MAX(0,Inputs!$B$43-B2065)&lt;=0,0,(INT(MAX(0,Inputs!$B$43-B2065)/(IF(Inputs!$B$38="pvp",15,MAX(0.1,Skills!D7-IF(Skills!E7=TRUE,Inputs!$B$32,0)))*(1-IF(AND(ArtifactsInput!$M$27,Inputs!$B$4="Chapter Hunt"),CHOOSE(ArtifactsInput!$N$27+1,20,24,28,32,36,40),0)/100)))+1)),0)</f>
        <v/>
      </c>
      <c r="S2038">
        <f>IFERROR(O2038/N2038,0)</f>
        <v/>
      </c>
      <c r="T2038">
        <f>IF(C2038,(H2038*N2038*IF(AND(Inputs!$B$38&lt;&gt;"pvp",Inputs!$B$43&gt;0),((Skills!G7*((R2038-1)*IF(Skills!H7&gt;0,Skills!I7/Skills!H7,1)+IF(Skills!H7&gt;0,MIN(Skills!I7,MAX(0,MAX(0,Inputs!$B$43-B2065)-((R2038-1)*(IF(Inputs!$B$38="pvp",15,MAX(0.1,Skills!D7-IF(Skills!E7=TRUE,Inputs!$B$32,0)))*(1-IF(AND(ArtifactsInput!$M$27,Inputs!$B$4="Chapter Hunt"),CHOOSE(ArtifactsInput!$N$27+1,20,24,28,32,36,40),0)/100)))))/Skills!H7,1)))/Inputs!$B$43),G2038*Q2038)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2038*(1-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2038*(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2038*(1-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2038*(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38">
        <f>IF(C2038,(H2038*N2038*IF(AND(Inputs!$B$38&lt;&gt;"pvp",Inputs!$B$43&gt;0),((Skills!G7*((R2038-1)*IF(Skills!H7&gt;0,Skills!I7/Skills!H7,1)+IF(Skills!H7&gt;0,MIN(Skills!I7,MAX(0,MAX(0,Inputs!$B$43-B2065)-((R2038-1)*(IF(Inputs!$B$38="pvp",15,MAX(0.1,Skills!D7-IF(Skills!E7=TRUE,Inputs!$B$32,0)))*(1-IF(AND(ArtifactsInput!$M$27,Inputs!$B$4="Chapter Hunt"),CHOOSE(ArtifactsInput!$N$27+1,20,24,28,32,36,40),0)/100)))))/Skills!H7,1)))/Inputs!$B$43),G2038*Q2038))*IF(Inputs!$B$38="pvp",1,(1+(Inputs!$B$21+Skills!Q7+(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9">
      <c r="A2039">
        <f>Skills!A8</f>
        <v/>
      </c>
      <c r="B2039">
        <f>Skills!B8</f>
        <v/>
      </c>
      <c r="C2039">
        <f>Inputs!$B$3&gt;=107</f>
        <v/>
      </c>
      <c r="D2039">
        <f>IF(Skills!C8=1,60+Inputs!$B$25+Inputs!$B$29,IF(Skills!C8=2,90+Inputs!$B$26+Inputs!$B$29,IF(Skills!C8=3,120+Inputs!$B$27+Inputs!$B$29,MAX(0,(Inputs!$B$3-100)*3)+Inputs!$B$28+Inputs!$B$29)))</f>
        <v/>
      </c>
      <c r="E2039">
        <f>INDEX(FactorTable!$B$2:$Y$301, MATCH(ROUND(MIN(300,MAX(1,D2039)),0), FactorTable!$A$2:$A$301,0), Skills!M8+1)</f>
        <v/>
      </c>
      <c r="F2039">
        <f>IF(Skills!N8=TRUE,(Skills!L8/10)*(E2039/1000),Skills!L8/10)+Skills!O8</f>
        <v/>
      </c>
      <c r="G2039">
        <f>Skills!G8*IF(Skills!H8&gt;0,Skills!I8/Skills!H8,1)</f>
        <v/>
      </c>
      <c r="H2039">
        <f>1-(1-Skills!J8/100)^Skills!K8</f>
        <v/>
      </c>
      <c r="I2039" t="inlineStr">
        <is>
          <t>1</t>
        </is>
      </c>
      <c r="J2039">
        <f>((Inputs!$B$6*(1+Inputs!$B$7/100))+(((Inputs!$B$12*(1+Inputs!$B$13/100))-(Inputs!$B$12*(1+Inputs!$B$13/100)))+0.25*(Inputs!$B$14-Inputs!$B$14))*(1+Inputs!$B$7/100))*(F2039/100)</f>
        <v/>
      </c>
      <c r="K2039">
        <f>J2039*(1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2039)</f>
        <v/>
      </c>
      <c r="L2039">
        <f>K2039*(MIN(Inputs!$B$22+((C2053=TRUE)*(F2053-Calc!F22)),(Inputs!$B$23+((C2055=TRUE)*(F2055-Calc!F24))+(IF(ArtifactsInput!$M$15,CHOOSE(ArtifactsInput!$N$15+1,25,30,35,40,45,50)/100*(Inputs!$B$11-Inputs!$B$11),0))))/100+(Inputs!$B$23+((C2055=TRUE)*(F2055-Calc!F24))+(IF(ArtifactsInput!$M$15,CHOOSE(ArtifactsInput!$N$15+1,25,30,35,40,45,50)/100*(Inputs!$B$11-Inputs!$B$11),0)))/100)/2</f>
        <v/>
      </c>
      <c r="M2039">
        <f>L2039*(1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9">
        <f>L2039*(1-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2039*(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9">
        <f>(1-Summary!$B$11)*T2039+Summary!$B$11*V2039</f>
        <v/>
      </c>
      <c r="P2039">
        <f>IF(B2068=0,0,O2039/B2068)</f>
        <v/>
      </c>
      <c r="Q2039">
        <f>IFERROR(1/(IF(Inputs!$B$38="pvp",15,MAX(0.1,Skills!D8-IF(Skills!E8=TRUE,Inputs!$B$32,0)))*(1-IF(AND(ArtifactsInput!$M$27,Inputs!$B$4="Chapter Hunt"),CHOOSE(ArtifactsInput!$N$27+1,20,24,28,32,36,40),0)/100)),0)</f>
        <v/>
      </c>
      <c r="R2039">
        <f>IF(AND(Inputs!$B$38&lt;&gt;"pvp",Inputs!$B$43&gt;0),IF(MAX(0,Inputs!$B$43-B2065)&lt;=0,0,(INT(MAX(0,Inputs!$B$43-B2065)/(IF(Inputs!$B$38="pvp",15,MAX(0.1,Skills!D8-IF(Skills!E8=TRUE,Inputs!$B$32,0)))*(1-IF(AND(ArtifactsInput!$M$27,Inputs!$B$4="Chapter Hunt"),CHOOSE(ArtifactsInput!$N$27+1,20,24,28,32,36,40),0)/100)))+1)),0)</f>
        <v/>
      </c>
      <c r="S2039">
        <f>IFERROR(O2039/N2039,0)</f>
        <v/>
      </c>
      <c r="T2039">
        <f>IF(C2039,(H2039*N2039*IF(AND(Inputs!$B$38&lt;&gt;"pvp",Inputs!$B$43&gt;0),((Skills!G8*((R2039-1)*IF(Skills!H8&gt;0,Skills!I8/Skills!H8,1)+IF(Skills!H8&gt;0,MIN(Skills!I8,MAX(0,MAX(0,Inputs!$B$43-B2065)-((R2039-1)*(IF(Inputs!$B$38="pvp",15,MAX(0.1,Skills!D8-IF(Skills!E8=TRUE,Inputs!$B$32,0)))*(1-IF(AND(ArtifactsInput!$M$27,Inputs!$B$4="Chapter Hunt"),CHOOSE(ArtifactsInput!$N$27+1,20,24,28,32,36,40),0)/100)))))/Skills!H8,1)))/Inputs!$B$43),G2039*Q2039)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2039*(1-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2039*(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2039*(1-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2039*(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39">
        <f>IF(C2039,(H2039*N2039*IF(AND(Inputs!$B$38&lt;&gt;"pvp",Inputs!$B$43&gt;0),((Skills!G8*((R2039-1)*IF(Skills!H8&gt;0,Skills!I8/Skills!H8,1)+IF(Skills!H8&gt;0,MIN(Skills!I8,MAX(0,MAX(0,Inputs!$B$43-B2065)-((R2039-1)*(IF(Inputs!$B$38="pvp",15,MAX(0.1,Skills!D8-IF(Skills!E8=TRUE,Inputs!$B$32,0)))*(1-IF(AND(ArtifactsInput!$M$27,Inputs!$B$4="Chapter Hunt"),CHOOSE(ArtifactsInput!$N$27+1,20,24,28,32,36,40),0)/100)))))/Skills!H8,1)))/Inputs!$B$43),G2039*Q2039))*IF(Inputs!$B$38="pvp",1,(1+(Inputs!$B$21+Skills!Q8+(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0">
      <c r="A2040">
        <f>Skills!A9</f>
        <v/>
      </c>
      <c r="B2040">
        <f>Skills!B9</f>
        <v/>
      </c>
      <c r="C2040">
        <f>Inputs!$B$3&gt;=125</f>
        <v/>
      </c>
      <c r="D2040">
        <f>IF(Skills!C9=1,60+Inputs!$B$25+Inputs!$B$29,IF(Skills!C9=2,90+Inputs!$B$26+Inputs!$B$29,IF(Skills!C9=3,120+Inputs!$B$27+Inputs!$B$29,MAX(0,(Inputs!$B$3-100)*3)+Inputs!$B$28+Inputs!$B$29)))</f>
        <v/>
      </c>
      <c r="E2040">
        <f>INDEX(FactorTable!$B$2:$Y$301, MATCH(ROUND(MIN(300,MAX(1,D2040)),0), FactorTable!$A$2:$A$301,0), Skills!M9+1)</f>
        <v/>
      </c>
      <c r="F2040">
        <f>IF(Skills!N9=TRUE,(Skills!L9/10)*(E2040/1000),Skills!L9/10)+Skills!O9</f>
        <v/>
      </c>
      <c r="G2040">
        <f>Skills!G9*IF(Skills!H9&gt;0,Skills!I9/Skills!H9,1)</f>
        <v/>
      </c>
      <c r="H2040">
        <f>1-(1-Skills!J9/100)^Skills!K9</f>
        <v/>
      </c>
      <c r="I2040" t="inlineStr">
        <is>
          <t>1</t>
        </is>
      </c>
      <c r="J2040">
        <f>((Inputs!$B$6*(1+Inputs!$B$7/100))+(((Inputs!$B$12*(1+Inputs!$B$13/100))-(Inputs!$B$12*(1+Inputs!$B$13/100)))+0.25*(Inputs!$B$14-Inputs!$B$14))*(1+Inputs!$B$7/100))*(F2040/100)</f>
        <v/>
      </c>
      <c r="K2040">
        <f>J2040*(1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2040)</f>
        <v/>
      </c>
      <c r="L2040">
        <f>K2040*(MIN(Inputs!$B$22+((C2053=TRUE)*(F2053-Calc!F22)),(Inputs!$B$23+((C2055=TRUE)*(F2055-Calc!F24))+(IF(ArtifactsInput!$M$15,CHOOSE(ArtifactsInput!$N$15+1,25,30,35,40,45,50)/100*(Inputs!$B$11-Inputs!$B$11),0))))/100+(Inputs!$B$23+((C2055=TRUE)*(F2055-Calc!F24))+(IF(ArtifactsInput!$M$15,CHOOSE(ArtifactsInput!$N$15+1,25,30,35,40,45,50)/100*(Inputs!$B$11-Inputs!$B$11),0)))/100)/2</f>
        <v/>
      </c>
      <c r="M2040">
        <f>L2040*(1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0">
        <f>L2040*(1-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2040*(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0">
        <f>(1-Summary!$B$11)*T2040+Summary!$B$11*V2040</f>
        <v/>
      </c>
      <c r="P2040">
        <f>IF(B2068=0,0,O2040/B2068)</f>
        <v/>
      </c>
      <c r="Q2040">
        <f>IFERROR(1/(IF(Inputs!$B$38="pvp",15,MAX(0.1,Skills!D9-IF(Skills!E9=TRUE,Inputs!$B$32,0)))*(1-IF(AND(ArtifactsInput!$M$27,Inputs!$B$4="Chapter Hunt"),CHOOSE(ArtifactsInput!$N$27+1,20,24,28,32,36,40),0)/100)),0)</f>
        <v/>
      </c>
      <c r="R2040">
        <f>IF(AND(Inputs!$B$38&lt;&gt;"pvp",Inputs!$B$43&gt;0),IF(MAX(0,Inputs!$B$43-B2065)&lt;=0,0,(INT(MAX(0,Inputs!$B$43-B2065)/(IF(Inputs!$B$38="pvp",15,MAX(0.1,Skills!D9-IF(Skills!E9=TRUE,Inputs!$B$32,0)))*(1-IF(AND(ArtifactsInput!$M$27,Inputs!$B$4="Chapter Hunt"),CHOOSE(ArtifactsInput!$N$27+1,20,24,28,32,36,40),0)/100)))+1)),0)</f>
        <v/>
      </c>
      <c r="S2040">
        <f>IFERROR(O2040/N2040,0)</f>
        <v/>
      </c>
      <c r="T2040">
        <f>IF(C2040,(H2040*N2040*IF(AND(Inputs!$B$38&lt;&gt;"pvp",Inputs!$B$43&gt;0),((Skills!G9*((R2040-1)*IF(Skills!H9&gt;0,Skills!I9/Skills!H9,1)+IF(Skills!H9&gt;0,MIN(Skills!I9,MAX(0,MAX(0,Inputs!$B$43-B2065)-((R2040-1)*(IF(Inputs!$B$38="pvp",15,MAX(0.1,Skills!D9-IF(Skills!E9=TRUE,Inputs!$B$32,0)))*(1-IF(AND(ArtifactsInput!$M$27,Inputs!$B$4="Chapter Hunt"),CHOOSE(ArtifactsInput!$N$27+1,20,24,28,32,36,40),0)/100)))))/Skills!H9,1)))/Inputs!$B$43),G2040*Q2040)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2040*(1-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2040*(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2040*(1-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2040*(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40">
        <f>IF(C2040,(H2040*N2040*IF(AND(Inputs!$B$38&lt;&gt;"pvp",Inputs!$B$43&gt;0),((Skills!G9*((R2040-1)*IF(Skills!H9&gt;0,Skills!I9/Skills!H9,1)+IF(Skills!H9&gt;0,MIN(Skills!I9,MAX(0,MAX(0,Inputs!$B$43-B2065)-((R2040-1)*(IF(Inputs!$B$38="pvp",15,MAX(0.1,Skills!D9-IF(Skills!E9=TRUE,Inputs!$B$32,0)))*(1-IF(AND(ArtifactsInput!$M$27,Inputs!$B$4="Chapter Hunt"),CHOOSE(ArtifactsInput!$N$27+1,20,24,28,32,36,40),0)/100)))))/Skills!H9,1)))/Inputs!$B$43),G2040*Q2040))*IF(Inputs!$B$38="pvp",1,(1+(Inputs!$B$21+Skills!Q9+(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1">
      <c r="A2041">
        <f>Skills!A10</f>
        <v/>
      </c>
      <c r="B2041">
        <f>Skills!B10</f>
        <v/>
      </c>
      <c r="C2041">
        <f>Inputs!$B$3&gt;=117</f>
        <v/>
      </c>
      <c r="D2041">
        <f>IF(Skills!C10=1,60+Inputs!$B$25+Inputs!$B$29,IF(Skills!C10=2,90+Inputs!$B$26+Inputs!$B$29,IF(Skills!C10=3,120+Inputs!$B$27+Inputs!$B$29,MAX(0,(Inputs!$B$3-100)*3)+Inputs!$B$28+Inputs!$B$29)))</f>
        <v/>
      </c>
      <c r="E2041">
        <f>INDEX(FactorTable!$B$2:$Y$301, MATCH(ROUND(MIN(300,MAX(1,D2041)),0), FactorTable!$A$2:$A$301,0), Skills!M10+1)</f>
        <v/>
      </c>
      <c r="F2041">
        <f>IF(Skills!N10=TRUE,(Skills!L10/10)*(E2041/1000),Skills!L10/10)+Skills!O10</f>
        <v/>
      </c>
      <c r="G2041">
        <f>Skills!G10*IF(Skills!H10&gt;0,Skills!I10/Skills!H10,1)</f>
        <v/>
      </c>
      <c r="H2041">
        <f>1-(1-Skills!J10/100)^Skills!K10</f>
        <v/>
      </c>
      <c r="I2041" t="inlineStr">
        <is>
          <t>1</t>
        </is>
      </c>
      <c r="J2041">
        <f>((Inputs!$B$6*(1+Inputs!$B$7/100))+(((Inputs!$B$12*(1+Inputs!$B$13/100))-(Inputs!$B$12*(1+Inputs!$B$13/100)))+0.25*(Inputs!$B$14-Inputs!$B$14))*(1+Inputs!$B$7/100))*(F2041/100)</f>
        <v/>
      </c>
      <c r="K2041">
        <f>J2041*(1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2041)</f>
        <v/>
      </c>
      <c r="L2041">
        <f>K2041*(MIN(Inputs!$B$22+((C2053=TRUE)*(F2053-Calc!F22)),(Inputs!$B$23+((C2055=TRUE)*(F2055-Calc!F24))+(IF(ArtifactsInput!$M$15,CHOOSE(ArtifactsInput!$N$15+1,25,30,35,40,45,50)/100*(Inputs!$B$11-Inputs!$B$11),0))))/100+(Inputs!$B$23+((C2055=TRUE)*(F2055-Calc!F24))+(IF(ArtifactsInput!$M$15,CHOOSE(ArtifactsInput!$N$15+1,25,30,35,40,45,50)/100*(Inputs!$B$11-Inputs!$B$11),0)))/100)/2</f>
        <v/>
      </c>
      <c r="M2041">
        <f>L2041*(1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1">
        <f>L2041*(1-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1">
        <f>(1-Summary!$B$11)*T2041+Summary!$B$11*V2041</f>
        <v/>
      </c>
      <c r="P2041">
        <f>IF(B2068=0,0,O2041/B2068)</f>
        <v/>
      </c>
      <c r="Q2041">
        <f>IFERROR(1/(IF(Inputs!$B$38="pvp",15,MAX(0.1,Skills!D10-IF(Skills!E10=TRUE,Inputs!$B$32,0)))*(1-IF(AND(ArtifactsInput!$M$27,Inputs!$B$4="Chapter Hunt"),CHOOSE(ArtifactsInput!$N$27+1,20,24,28,32,36,40),0)/100)),0)</f>
        <v/>
      </c>
      <c r="R2041">
        <f>IF(AND(Inputs!$B$38&lt;&gt;"pvp",Inputs!$B$43&gt;0),IF(MAX(0,Inputs!$B$43-B2065)&lt;=0,0,(INT(MAX(0,Inputs!$B$43-B2065)/(IF(Inputs!$B$38="pvp",15,MAX(0.1,Skills!D10-IF(Skills!E10=TRUE,Inputs!$B$32,0)))*(1-IF(AND(ArtifactsInput!$M$27,Inputs!$B$4="Chapter Hunt"),CHOOSE(ArtifactsInput!$N$27+1,20,24,28,32,36,40),0)/100)))+1)),0)</f>
        <v/>
      </c>
      <c r="S2041">
        <f>IFERROR(O2041/N2041,0)</f>
        <v/>
      </c>
      <c r="T2041">
        <f>IF(C2041,(H2041*N2041*IF(AND(Inputs!$B$38&lt;&gt;"pvp",Inputs!$B$43&gt;0),((Skills!G10*((R2041-1)*IF(Skills!H10&gt;0,Skills!I10/Skills!H10,1)+IF(Skills!H10&gt;0,MIN(Skills!I10,MAX(0,MAX(0,Inputs!$B$43-B2065)-((R2041-1)*(IF(Inputs!$B$38="pvp",15,MAX(0.1,Skills!D10-IF(Skills!E10=TRUE,Inputs!$B$32,0)))*(1-IF(AND(ArtifactsInput!$M$27,Inputs!$B$4="Chapter Hunt"),CHOOSE(ArtifactsInput!$N$27+1,20,24,28,32,36,40),0)/100)))))/Skills!H10,1)))/Inputs!$B$43),G2041*Q2041)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2041*(1-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2041*(1-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41">
        <f>IF(C2041,(H2041*N2041*IF(AND(Inputs!$B$38&lt;&gt;"pvp",Inputs!$B$43&gt;0),((Skills!G10*((R2041-1)*IF(Skills!H10&gt;0,Skills!I10/Skills!H10,1)+IF(Skills!H10&gt;0,MIN(Skills!I10,MAX(0,MAX(0,Inputs!$B$43-B2065)-((R2041-1)*(IF(Inputs!$B$38="pvp",15,MAX(0.1,Skills!D10-IF(Skills!E10=TRUE,Inputs!$B$32,0)))*(1-IF(AND(ArtifactsInput!$M$27,Inputs!$B$4="Chapter Hunt"),CHOOSE(ArtifactsInput!$N$27+1,20,24,28,32,36,40),0)/100)))))/Skills!H10,1)))/Inputs!$B$43),G2041*Q2041))*IF(Inputs!$B$38="pvp",1,(1+(Inputs!$B$21+Skills!Q10+(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2">
      <c r="A2042">
        <f>Skills!A11</f>
        <v/>
      </c>
      <c r="B2042">
        <f>Skills!B11</f>
        <v/>
      </c>
      <c r="C2042">
        <f>Inputs!$B$3&gt;=63</f>
        <v/>
      </c>
      <c r="D2042">
        <f>IF(Skills!C11=1,60+Inputs!$B$25+Inputs!$B$29,IF(Skills!C11=2,90+Inputs!$B$26+Inputs!$B$29,IF(Skills!C11=3,120+Inputs!$B$27+Inputs!$B$29,MAX(0,(Inputs!$B$3-100)*3)+Inputs!$B$28+Inputs!$B$29)))</f>
        <v/>
      </c>
      <c r="E2042">
        <f>INDEX(FactorTable!$B$2:$Y$301, MATCH(ROUND(MIN(300,MAX(1,D2042)),0), FactorTable!$A$2:$A$301,0), Skills!M11+1)</f>
        <v/>
      </c>
      <c r="F2042">
        <f>IF(Skills!N11=TRUE,(Skills!L11/10)*(E2042/1000),Skills!L11/10)+Skills!O11</f>
        <v/>
      </c>
      <c r="G2042">
        <f>Skills!G11*IF(Skills!H11&gt;0,Skills!I11/Skills!H11,1)</f>
        <v/>
      </c>
      <c r="H2042">
        <f>1-(1-Skills!J11/100)^Skills!K11</f>
        <v/>
      </c>
      <c r="I2042" t="inlineStr">
        <is>
          <t>1</t>
        </is>
      </c>
      <c r="J2042">
        <f>((Inputs!$B$6*(1+Inputs!$B$7/100))+(((Inputs!$B$12*(1+Inputs!$B$13/100))-(Inputs!$B$12*(1+Inputs!$B$13/100)))+0.25*(Inputs!$B$14-Inputs!$B$14))*(1+Inputs!$B$7/100))*(F2042/100)</f>
        <v/>
      </c>
      <c r="K2042">
        <f>J2042*(1+((Inputs!$B$12*(1+Inputs!$B$13/100))*0.01+Inputs!$B$14*0.0025)/100)*(1+Inputs!$B$15/100)*(1+Inputs!$B$16/100)*(5000/(6000+Inputs!$B$42*(1-(Inputs!$B$19+0)/100)))*(1+(Inputs!$B$24+0+B2064)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2043=TRUE,F2043,0)/100)*(1+(IF(Skills!A11="BLAST",Inputs!$B$17+((C2052=TRUE)*(F2052-Calc!F21))+((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MIN(100,((Inputs!$B$9+0+B2058+(ArtifactsInput!$M$24-ArtifactsInput!$M$24)*CHOOSE(ArtifactsInput!$N$24+1,10,12,14,16,18,20)+IF(ArtifactsInput!$M$10,CHOOSE(ArtifactsInput!$N$10+1,15,18,21,24,27,30)*(IF(Inputs!$B$38="pvp",MIN(15,15)/15,IF(AND(Inputs!$B$38&lt;&gt;"pvp",Inputs!$B$43&gt;0),MIN(15,Inputs!$B$43)/(Inputs!$B$43),0))),0)))-100),0))*CHOOSE(ArtifactsInput!$N$42+1,0.6,0.72,0.84,0.96,1.08,1.2))),Inputs!$B$18+((C2054=TRUE)*(F2054-Calc!F23))+(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gt;=100),CHOOSE(ArtifactsInput!$N$42+1,40,48,56,64,72,80),0))))/100)*((1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2042)</f>
        <v/>
      </c>
      <c r="L2042">
        <f>K2042*(MIN(Inputs!$B$22+((C2053=TRUE)*(F2053-Calc!F22)),(Inputs!$B$23+((C2055=TRUE)*(F2055-Calc!F24))+(IF(ArtifactsInput!$M$15,CHOOSE(ArtifactsInput!$N$15+1,25,30,35,40,45,50)/100*(Inputs!$B$11-Inputs!$B$11),0))))/100+(Inputs!$B$23+((C2055=TRUE)*(F2055-Calc!F24))+(IF(ArtifactsInput!$M$15,CHOOSE(ArtifactsInput!$N$15+1,25,30,35,40,45,50)/100*(Inputs!$B$11-Inputs!$B$11),0)))/100)/2</f>
        <v/>
      </c>
      <c r="M2042">
        <f>L2042*(1+(Inputs!$B$10+0+B2063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2">
        <f>L2042*(1-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2042*(MIN((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2">
        <f>(1-Summary!$B$11)*T2042+Summary!$B$11*V2042</f>
        <v/>
      </c>
      <c r="P2042">
        <f>IF(B2068=0,0,O2042/B2068)</f>
        <v/>
      </c>
      <c r="Q2042">
        <f>IFERROR(1/(IF(Inputs!$B$38="pvp",15,MAX(0.1,Skills!D11-IF(Skills!E11=TRUE,Inputs!$B$32,0)))*(1-IF(AND(ArtifactsInput!$M$27,Inputs!$B$4="Chapter Hunt"),CHOOSE(ArtifactsInput!$N$27+1,20,24,28,32,36,40),0)/100)),0)</f>
        <v/>
      </c>
      <c r="R2042">
        <f>IF(AND(Inputs!$B$38&lt;&gt;"pvp",Inputs!$B$43&gt;0),IF(MAX(0,Inputs!$B$43-B2065)&lt;=0,0,(INT(MAX(0,Inputs!$B$43-B2065)/(IF(Inputs!$B$38="pvp",15,MAX(0.1,Skills!D11-IF(Skills!E11=TRUE,Inputs!$B$32,0)))*(1-IF(AND(ArtifactsInput!$M$27,Inputs!$B$4="Chapter Hunt"),CHOOSE(ArtifactsInput!$N$27+1,20,24,28,32,36,40),0)/100)))+1)),0)</f>
        <v/>
      </c>
      <c r="S2042">
        <f>IFERROR(O2042/N2042,0)</f>
        <v/>
      </c>
      <c r="T2042">
        <f>IF(C2042,(H2042*N2042*IF(AND(Inputs!$B$38&lt;&gt;"pvp",Inputs!$B$43&gt;0),((Skills!G11*((R2042-1)*IF(Skills!H11&gt;0,Skills!I11/Skills!H11,1)+IF(Skills!H11&gt;0,MIN(Skills!I11,MAX(0,MAX(0,Inputs!$B$43-B2065)-((R2042-1)*(IF(Inputs!$B$38="pvp",15,MAX(0.1,Skills!D11-IF(Skills!E11=TRUE,Inputs!$B$32,0)))*(1-IF(AND(ArtifactsInput!$M$27,Inputs!$B$4="Chapter Hunt"),CHOOSE(ArtifactsInput!$N$27+1,20,24,28,32,36,40),0)/100)))))/Skills!H11,1)))/Inputs!$B$43),G2042*Q2042)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2042*(1-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2042*(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2042*(1-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2042*(MIN(100,(Inputs!$B$9+0+B2058+(ArtifactsInput!$M$24-ArtifactsInput!$M$24)*CHOOSE(ArtifactsInput!$N$24+1,10,12,14,16,18,20)+(IF(AND(Inputs!$B$38&lt;&gt;"pvp",Inputs!$B$43=0),1,IF(IF(Inputs!$B$38="pvp",15,Inputs!$B$43)-(B2065)&lt;=0,1,MAX(0,IF(Inputs!$B$38="pvp",15,Inputs!$B$43)-MAX(5,B2065))/(IF(Inputs!$B$38="pvp",15,Inputs!$B$43)-(B2065))))*IF(AND(ArtifactsInput!$M$42,((Inputs!$B$9+0+B2058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42">
        <f>IF(C2042,(H2042*N2042*IF(AND(Inputs!$B$38&lt;&gt;"pvp",Inputs!$B$43&gt;0),((Skills!G11*((R2042-1)*IF(Skills!H11&gt;0,Skills!I11/Skills!H11,1)+IF(Skills!H11&gt;0,MIN(Skills!I11,MAX(0,MAX(0,Inputs!$B$43-B2065)-((R2042-1)*(IF(Inputs!$B$38="pvp",15,MAX(0.1,Skills!D11-IF(Skills!E11=TRUE,Inputs!$B$32,0)))*(1-IF(AND(ArtifactsInput!$M$27,Inputs!$B$4="Chapter Hunt"),CHOOSE(ArtifactsInput!$N$27+1,20,24,28,32,36,40),0)/100)))))/Skills!H11,1)))/Inputs!$B$43),G2042*Q2042))*IF(Inputs!$B$38="pvp",1,(1+(Inputs!$B$21+Skills!Q11+(IF(ArtifactsInput!$M$33,CHOOSE(ArtifactsInput!$N$33+1,30,36,42,48,54,60),0))+(IF(AND(ArtifactsInput!$M$35,Inputs!$B$4&lt;&gt;"Chapter Hunt"),CHOOSE(ArtifactsInput!$N$35+1,15,18,21,24,27,30)*(1-EXP(-(0.2*B2060)*5)),0)+IF(AND(ArtifactsInput!$M$22,Inputs!$B$4&lt;&gt;"Chapter Hunt"),CHOOSE(ArtifactsInput!$N$22+1,10,12,14,16,18,20)*((0*(((0.15*B2060*5))^0/1)+1*(((0.15*B2060*5))^1/1)+2*(((0.15*B2060*5))^2/2)+3*(((0.15*B2060*5))^3/6)+4*(((0.15*B2060*5))^4/24)+5*(((0.15*B2060*5))^5/120))/((((0.15*B2060*5))^0/1)+(((0.15*B2060*5))^1/1)+(((0.15*B2060*5))^2/2)+(((0.15*B2060*5))^3/6)+(((0.15*B2060*5))^4/24)+(((0.15*B2060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3">
      <c r="A2043">
        <f>Skills!A12</f>
        <v/>
      </c>
      <c r="B2043">
        <f>Skills!B12</f>
        <v/>
      </c>
      <c r="C2043">
        <f>Inputs!$B$3&gt;=100</f>
        <v/>
      </c>
      <c r="D2043">
        <f>IF(Skills!C12=1,60+Inputs!$B$25+Inputs!$B$29,IF(Skills!C12=2,90+Inputs!$B$26+Inputs!$B$29,IF(Skills!C12=3,120+Inputs!$B$27+Inputs!$B$29,MAX(0,(Inputs!$B$3-100)*3)+Inputs!$B$28+Inputs!$B$29)))</f>
        <v/>
      </c>
      <c r="E2043">
        <f>INDEX(FactorTable!$B$2:$Y$301, MATCH(ROUND(MIN(300,MAX(1,D2043)),0), FactorTable!$A$2:$A$301,0), Skills!M12+1)</f>
        <v/>
      </c>
      <c r="F2043">
        <f>IF(Skills!N12=TRUE,(Skills!L12/10)*(E2043/1000),Skills!L12/10)+Skills!O12</f>
        <v/>
      </c>
      <c r="G2043" t="inlineStr"/>
      <c r="H2043" t="inlineStr"/>
      <c r="I2043" t="inlineStr">
        <is>
          <t>1</t>
        </is>
      </c>
      <c r="J2043" t="inlineStr"/>
      <c r="K2043" t="inlineStr"/>
      <c r="L2043" t="inlineStr"/>
      <c r="M2043" t="inlineStr"/>
      <c r="N2043" t="inlineStr"/>
      <c r="O2043" t="inlineStr"/>
      <c r="P2043" t="inlineStr"/>
      <c r="Q2043" t="inlineStr"/>
      <c r="R2043" t="inlineStr"/>
      <c r="S2043" t="inlineStr"/>
    </row>
    <row r="2044">
      <c r="A2044">
        <f>Skills!A13</f>
        <v/>
      </c>
      <c r="B2044">
        <f>Skills!B13</f>
        <v/>
      </c>
      <c r="C2044">
        <f>Inputs!$B$3&gt;=45</f>
        <v/>
      </c>
      <c r="D2044">
        <f>IF(Skills!C13=1,60+Inputs!$B$25+Inputs!$B$29,IF(Skills!C13=2,90+Inputs!$B$26+Inputs!$B$29,IF(Skills!C13=3,120+Inputs!$B$27+Inputs!$B$29,MAX(0,(Inputs!$B$3-100)*3)+Inputs!$B$28+Inputs!$B$29)))</f>
        <v/>
      </c>
      <c r="E2044">
        <f>INDEX(FactorTable!$B$2:$Y$301, MATCH(ROUND(MIN(300,MAX(1,D2044)),0), FactorTable!$A$2:$A$301,0), Skills!M13+1)</f>
        <v/>
      </c>
      <c r="F2044">
        <f>IF(Skills!N13=TRUE,(Skills!L13/10)*(E2044/1000),Skills!L13/10)+Skills!O13</f>
        <v/>
      </c>
      <c r="G2044">
        <f>Skills!G13*IF(Skills!H13&gt;0,Skills!I13/Skills!H13,1)</f>
        <v/>
      </c>
      <c r="H2044">
        <f>1-(1-Skills!J13/100)^Skills!K13</f>
        <v/>
      </c>
      <c r="I2044" t="inlineStr">
        <is>
          <t>1</t>
        </is>
      </c>
      <c r="J2044" t="inlineStr"/>
      <c r="K2044" t="inlineStr"/>
      <c r="L2044" t="inlineStr"/>
      <c r="M2044" t="inlineStr"/>
      <c r="N2044" t="inlineStr"/>
      <c r="O2044">
        <f>(1-Summary!$B$11)*T2044+Summary!$B$11*V2044</f>
        <v/>
      </c>
      <c r="P2044">
        <f>IF(B2068=0,0,O2044/B2068)</f>
        <v/>
      </c>
      <c r="Q2044" t="n">
        <v>0</v>
      </c>
      <c r="R2044" t="n">
        <v>0</v>
      </c>
      <c r="S2044">
        <f>IFERROR(O2044/N2044,0)</f>
        <v/>
      </c>
      <c r="T2044" t="n">
        <v>0</v>
      </c>
      <c r="V2044" t="n">
        <v>0</v>
      </c>
    </row>
    <row r="2045">
      <c r="A2045">
        <f>Skills!A14</f>
        <v/>
      </c>
      <c r="B2045">
        <f>Skills!B14</f>
        <v/>
      </c>
      <c r="C2045">
        <f>Inputs!$B$3&gt;=110</f>
        <v/>
      </c>
      <c r="D2045">
        <f>IF(Skills!C14=1,60+Inputs!$B$25+Inputs!$B$29,IF(Skills!C14=2,90+Inputs!$B$26+Inputs!$B$29,IF(Skills!C14=3,120+Inputs!$B$27+Inputs!$B$29,MAX(0,(Inputs!$B$3-100)*3)+Inputs!$B$28+Inputs!$B$29)))</f>
        <v/>
      </c>
      <c r="E2045">
        <f>INDEX(FactorTable!$B$2:$Y$301, MATCH(ROUND(MIN(300,MAX(1,D2045)),0), FactorTable!$A$2:$A$301,0), Skills!M14+1)</f>
        <v/>
      </c>
      <c r="F2045">
        <f>IF(Skills!N14=TRUE,(Skills!L14/10)*(E2045/1000),Skills!L14/10)+Skills!O14</f>
        <v/>
      </c>
      <c r="G2045">
        <f>Skills!G14*IF(Skills!H14&gt;0,Skills!I14/Skills!H14,1)</f>
        <v/>
      </c>
      <c r="H2045">
        <f>1-(1-Skills!J14/100)^Skills!K14</f>
        <v/>
      </c>
      <c r="I2045" t="inlineStr">
        <is>
          <t>1</t>
        </is>
      </c>
      <c r="J2045" t="inlineStr"/>
      <c r="K2045" t="inlineStr"/>
      <c r="L2045" t="inlineStr"/>
      <c r="M2045" t="inlineStr"/>
      <c r="N2045" t="inlineStr"/>
      <c r="O2045">
        <f>(1-Summary!$B$11)*T2045+Summary!$B$11*V2045</f>
        <v/>
      </c>
      <c r="P2045">
        <f>IF(B2068=0,0,O2045/B2068)</f>
        <v/>
      </c>
      <c r="Q2045" t="n">
        <v>0</v>
      </c>
      <c r="R2045" t="n">
        <v>0</v>
      </c>
      <c r="S2045">
        <f>IFERROR(O2045/N2045,0)</f>
        <v/>
      </c>
      <c r="T2045" t="n">
        <v>0</v>
      </c>
      <c r="V2045" t="n">
        <v>0</v>
      </c>
    </row>
    <row r="2046">
      <c r="A2046">
        <f>Skills!A15</f>
        <v/>
      </c>
      <c r="B2046">
        <f>Skills!B15</f>
        <v/>
      </c>
      <c r="C2046">
        <f>Inputs!$B$3&gt;=75</f>
        <v/>
      </c>
      <c r="D2046">
        <f>IF(Skills!C15=1,60+Inputs!$B$25+Inputs!$B$29,IF(Skills!C15=2,90+Inputs!$B$26+Inputs!$B$29,IF(Skills!C15=3,120+Inputs!$B$27+Inputs!$B$29,MAX(0,(Inputs!$B$3-100)*3)+Inputs!$B$28+Inputs!$B$29)))</f>
        <v/>
      </c>
      <c r="E2046">
        <f>INDEX(FactorTable!$B$2:$Y$301, MATCH(ROUND(MIN(300,MAX(1,D2046)),0), FactorTable!$A$2:$A$301,0), Skills!M15+1)</f>
        <v/>
      </c>
      <c r="F2046">
        <f>IF(Skills!N15=TRUE,(Skills!L15/10)*(E2046/1000),Skills!L15/10)+Skills!O15</f>
        <v/>
      </c>
      <c r="G2046">
        <f>Skills!G15*IF(Skills!H15&gt;0,Skills!I15/Skills!H15,1)</f>
        <v/>
      </c>
      <c r="H2046">
        <f>1-(1-Skills!J15/100)^Skills!K15</f>
        <v/>
      </c>
      <c r="I2046" t="inlineStr">
        <is>
          <t>1</t>
        </is>
      </c>
      <c r="J2046" t="inlineStr"/>
      <c r="K2046" t="inlineStr"/>
      <c r="L2046" t="inlineStr"/>
      <c r="M2046" t="inlineStr"/>
      <c r="N2046" t="inlineStr"/>
      <c r="O2046">
        <f>(1-Summary!$B$11)*T2046+Summary!$B$11*V2046</f>
        <v/>
      </c>
      <c r="P2046">
        <f>IF(B2068=0,0,O2046/B2068)</f>
        <v/>
      </c>
      <c r="Q2046">
        <f>IFERROR(1/(IF(Inputs!$B$38="pvp",15,MAX(0.1,Skills!D15-IF(Skills!E15=TRUE,Inputs!$B$32,0)))*(1-IF(AND(ArtifactsInput!$M$27,Inputs!$B$4="Chapter Hunt"),CHOOSE(ArtifactsInput!$N$27+1,20,24,28,32,36,40),0)/100)),0)</f>
        <v/>
      </c>
      <c r="R2046">
        <f>IF(AND(Inputs!$B$38&lt;&gt;"pvp",Inputs!$B$43&gt;0),IF(Inputs!$B$43&lt;=0,0,(INT(Inputs!$B$43/(IF(Inputs!$B$38="pvp",15,MAX(0.1,Skills!D15-IF(Skills!E15=TRUE,Inputs!$B$32,0)))*(1-IF(AND(ArtifactsInput!$M$27,Inputs!$B$4="Chapter Hunt"),CHOOSE(ArtifactsInput!$N$27+1,20,24,28,32,36,40),0)/100)))+1)),0)</f>
        <v/>
      </c>
      <c r="S2046">
        <f>IFERROR(O2046/N2046,0)</f>
        <v/>
      </c>
      <c r="T2046" t="n">
        <v>0</v>
      </c>
      <c r="V2046" t="n">
        <v>0</v>
      </c>
    </row>
    <row r="2047">
      <c r="A2047">
        <f>Skills!A16</f>
        <v/>
      </c>
      <c r="B2047">
        <f>Skills!B16</f>
        <v/>
      </c>
      <c r="C2047">
        <f>Inputs!$B$3&gt;=105</f>
        <v/>
      </c>
      <c r="D2047">
        <f>IF(Skills!C16=1,60+Inputs!$B$25+Inputs!$B$29,IF(Skills!C16=2,90+Inputs!$B$26+Inputs!$B$29,IF(Skills!C16=3,120+Inputs!$B$27+Inputs!$B$29,MAX(0,(Inputs!$B$3-100)*3)+Inputs!$B$28+Inputs!$B$29)))</f>
        <v/>
      </c>
      <c r="E2047">
        <f>INDEX(FactorTable!$B$2:$Y$301, MATCH(ROUND(MIN(300,MAX(1,D2047)),0), FactorTable!$A$2:$A$301,0), Skills!M16+1)</f>
        <v/>
      </c>
      <c r="F2047">
        <f>IF(Skills!N16=TRUE,(Skills!L16/10)*(E2047/1000),Skills!L16/10)+Skills!O16</f>
        <v/>
      </c>
      <c r="G2047">
        <f>Skills!G16*IF(Skills!H16&gt;0,Skills!I16/Skills!H16,1)</f>
        <v/>
      </c>
      <c r="H2047">
        <f>1-(1-Skills!J16/100)^Skills!K16</f>
        <v/>
      </c>
      <c r="I2047" t="inlineStr">
        <is>
          <t>1</t>
        </is>
      </c>
      <c r="J2047" t="inlineStr"/>
      <c r="K2047" t="inlineStr"/>
      <c r="L2047" t="inlineStr"/>
      <c r="M2047" t="inlineStr"/>
      <c r="N2047" t="inlineStr"/>
      <c r="O2047">
        <f>(1-Summary!$B$11)*T2047+Summary!$B$11*V2047</f>
        <v/>
      </c>
      <c r="P2047">
        <f>IF(B2068=0,0,O2047/B2068)</f>
        <v/>
      </c>
      <c r="Q2047">
        <f>IFERROR(1/(IF(Inputs!$B$38="pvp",15,MAX(0.1,Skills!D16-IF(Skills!E16=TRUE,Inputs!$B$32,0)))*(1-IF(AND(ArtifactsInput!$M$27,Inputs!$B$4="Chapter Hunt"),CHOOSE(ArtifactsInput!$N$27+1,20,24,28,32,36,40),0)/100)),0)</f>
        <v/>
      </c>
      <c r="R2047">
        <f>IF(AND(Inputs!$B$38&lt;&gt;"pvp",Inputs!$B$43&gt;0),IF(Inputs!$B$43&lt;=0,0,(INT(Inputs!$B$43/(IF(Inputs!$B$38="pvp",15,MAX(0.1,Skills!D16-IF(Skills!E16=TRUE,Inputs!$B$32,0)))*(1-IF(AND(ArtifactsInput!$M$27,Inputs!$B$4="Chapter Hunt"),CHOOSE(ArtifactsInput!$N$27+1,20,24,28,32,36,40),0)/100)))+1)),0)</f>
        <v/>
      </c>
      <c r="S2047">
        <f>IFERROR(O2047/N2047,0)</f>
        <v/>
      </c>
      <c r="T2047" t="n">
        <v>0</v>
      </c>
      <c r="V2047" t="n">
        <v>0</v>
      </c>
    </row>
    <row r="2048">
      <c r="A2048">
        <f>Skills!A17</f>
        <v/>
      </c>
      <c r="B2048">
        <f>Skills!B17</f>
        <v/>
      </c>
      <c r="C2048">
        <f>Inputs!$B$3&gt;=115</f>
        <v/>
      </c>
      <c r="D2048">
        <f>IF(Skills!C17=1,60+Inputs!$B$25+Inputs!$B$29,IF(Skills!C17=2,90+Inputs!$B$26+Inputs!$B$29,IF(Skills!C17=3,120+Inputs!$B$27+Inputs!$B$29,MAX(0,(Inputs!$B$3-100)*3)+Inputs!$B$28+Inputs!$B$29)))</f>
        <v/>
      </c>
      <c r="E2048">
        <f>INDEX(FactorTable!$B$2:$Y$301, MATCH(ROUND(MIN(300,MAX(1,D2048)),0), FactorTable!$A$2:$A$301,0), Skills!M17+1)</f>
        <v/>
      </c>
      <c r="F2048">
        <f>IF(Skills!N17=TRUE,(Skills!L17/10)*(E2048/1000),Skills!L17/10)+Skills!O17</f>
        <v/>
      </c>
      <c r="G2048">
        <f>Skills!G17*IF(Skills!H17&gt;0,Skills!I17/Skills!H17,1)</f>
        <v/>
      </c>
      <c r="H2048">
        <f>1-(1-Skills!J17/100)^Skills!K17</f>
        <v/>
      </c>
      <c r="I2048" t="inlineStr">
        <is>
          <t>1</t>
        </is>
      </c>
      <c r="J2048" t="inlineStr"/>
      <c r="K2048" t="inlineStr"/>
      <c r="L2048" t="inlineStr"/>
      <c r="M2048" t="inlineStr"/>
      <c r="N2048" t="inlineStr"/>
      <c r="O2048">
        <f>(1-Summary!$B$11)*T2048+Summary!$B$11*V2048</f>
        <v/>
      </c>
      <c r="P2048">
        <f>IF(B2068=0,0,O2048/B2068)</f>
        <v/>
      </c>
      <c r="Q2048">
        <f>IFERROR(1/(IF(Inputs!$B$38="pvp",15,MAX(0.1,Skills!D17-IF(Skills!E17=TRUE,Inputs!$B$32,0)))*(1-IF(AND(ArtifactsInput!$M$27,Inputs!$B$4="Chapter Hunt"),CHOOSE(ArtifactsInput!$N$27+1,20,24,28,32,36,40),0)/100)),0)</f>
        <v/>
      </c>
      <c r="R2048">
        <f>IF(AND(Inputs!$B$38&lt;&gt;"pvp",Inputs!$B$43&gt;0),IF(Inputs!$B$43&lt;=0,0,(INT(Inputs!$B$43/(IF(Inputs!$B$38="pvp",15,MAX(0.1,Skills!D17-IF(Skills!E17=TRUE,Inputs!$B$32,0)))*(1-IF(AND(ArtifactsInput!$M$27,Inputs!$B$4="Chapter Hunt"),CHOOSE(ArtifactsInput!$N$27+1,20,24,28,32,36,40),0)/100)))+1)),0)</f>
        <v/>
      </c>
      <c r="S2048">
        <f>IFERROR(O2048/N2048,0)</f>
        <v/>
      </c>
      <c r="T2048" t="n">
        <v>0</v>
      </c>
      <c r="V2048" t="n">
        <v>0</v>
      </c>
    </row>
    <row r="2049">
      <c r="A2049">
        <f>Skills!A18</f>
        <v/>
      </c>
      <c r="B2049">
        <f>Skills!B18</f>
        <v/>
      </c>
      <c r="C2049">
        <f>Inputs!$B$3&gt;=74</f>
        <v/>
      </c>
      <c r="D2049">
        <f>IF(Skills!C18=1,60+Inputs!$B$25+Inputs!$B$29,IF(Skills!C18=2,90+Inputs!$B$26+Inputs!$B$29,IF(Skills!C18=3,120+Inputs!$B$27+Inputs!$B$29,MAX(0,(Inputs!$B$3-100)*3)+Inputs!$B$28+Inputs!$B$29)))</f>
        <v/>
      </c>
      <c r="E2049">
        <f>INDEX(FactorTable!$B$2:$Y$301, MATCH(ROUND(MIN(300,MAX(1,D2049)),0), FactorTable!$A$2:$A$301,0), Skills!M18+1)</f>
        <v/>
      </c>
      <c r="F2049">
        <f>IF(Skills!N18=TRUE,(Skills!L18/10)*(E2049/1000),Skills!L18/10)+Skills!O18</f>
        <v/>
      </c>
      <c r="G2049">
        <f>Skills!G18*IF(Skills!H18&gt;0,Skills!I18/Skills!H18,1)</f>
        <v/>
      </c>
      <c r="H2049">
        <f>1-(1-Skills!J18/100)^Skills!K18</f>
        <v/>
      </c>
      <c r="I2049" t="inlineStr">
        <is>
          <t>1</t>
        </is>
      </c>
      <c r="J2049" t="inlineStr"/>
      <c r="K2049" t="inlineStr"/>
      <c r="L2049" t="inlineStr"/>
      <c r="M2049" t="inlineStr"/>
      <c r="N2049" t="inlineStr"/>
      <c r="O2049">
        <f>(1-Summary!$B$11)*T2049+Summary!$B$11*V2049</f>
        <v/>
      </c>
      <c r="P2049">
        <f>IF(B2068=0,0,O2049/B2068)</f>
        <v/>
      </c>
      <c r="Q2049">
        <f>IFERROR(1/(IF(Inputs!$B$38="pvp",15,MAX(0.1,Skills!D18-IF(Skills!E18=TRUE,Inputs!$B$32,0)))*(1-IF(AND(ArtifactsInput!$M$27,Inputs!$B$4="Chapter Hunt"),CHOOSE(ArtifactsInput!$N$27+1,20,24,28,32,36,40),0)/100)),0)</f>
        <v/>
      </c>
      <c r="R2049">
        <f>IF(AND(Inputs!$B$38&lt;&gt;"pvp",Inputs!$B$43&gt;0),IF(Inputs!$B$43&lt;=0,0,(INT(Inputs!$B$43/(IF(Inputs!$B$38="pvp",15,MAX(0.1,Skills!D18-IF(Skills!E18=TRUE,Inputs!$B$32,0)))*(1-IF(AND(ArtifactsInput!$M$27,Inputs!$B$4="Chapter Hunt"),CHOOSE(ArtifactsInput!$N$27+1,20,24,28,32,36,40),0)/100)))+1)),0)</f>
        <v/>
      </c>
      <c r="S2049">
        <f>IFERROR(O2049/N2049,0)</f>
        <v/>
      </c>
      <c r="T2049" t="n">
        <v>0</v>
      </c>
      <c r="V2049" t="n">
        <v>0</v>
      </c>
    </row>
    <row r="2050">
      <c r="A2050">
        <f>Skills!A19</f>
        <v/>
      </c>
      <c r="B2050">
        <f>Skills!B19</f>
        <v/>
      </c>
      <c r="C2050">
        <f>TRUE</f>
        <v/>
      </c>
      <c r="D2050">
        <f>IF(Skills!C19=1,60+Inputs!$B$25+Inputs!$B$29,IF(Skills!C19=2,90+Inputs!$B$26+Inputs!$B$29,IF(Skills!C19=3,120+Inputs!$B$27+Inputs!$B$29,MAX(0,(Inputs!$B$3-100)*3)+Inputs!$B$28+Inputs!$B$29)))</f>
        <v/>
      </c>
      <c r="E2050">
        <f>INDEX(FactorTable!$B$2:$Y$301, MATCH(ROUND(MIN(300,MAX(1,D2050)),0), FactorTable!$A$2:$A$301,0), Skills!M19+1)</f>
        <v/>
      </c>
      <c r="F2050">
        <f>IF(Skills!N19=TRUE,(Skills!L19/10)*(E2050/1000),Skills!L19/10)+Skills!O19</f>
        <v/>
      </c>
      <c r="G2050">
        <f>Skills!G19*IF(Skills!H19&gt;0,Skills!I19/Skills!H19,1)</f>
        <v/>
      </c>
      <c r="H2050">
        <f>1-(1-Skills!J19/100)^Skills!K19</f>
        <v/>
      </c>
      <c r="I2050" t="inlineStr">
        <is>
          <t>1</t>
        </is>
      </c>
      <c r="J2050" t="inlineStr"/>
      <c r="K2050" t="inlineStr"/>
      <c r="L2050" t="inlineStr"/>
      <c r="M2050" t="inlineStr"/>
      <c r="N2050" t="inlineStr"/>
      <c r="O2050">
        <f>(1-Summary!$B$11)*T2050+Summary!$B$11*V2050</f>
        <v/>
      </c>
      <c r="P2050">
        <f>IF(B2068=0,0,O2050/B2068)</f>
        <v/>
      </c>
      <c r="Q2050">
        <f>IFERROR(1/(IF(Inputs!$B$38="pvp",15,MAX(0.1,Skills!D19-IF(Skills!E19=TRUE,Inputs!$B$32,0)))*(1-IF(AND(ArtifactsInput!$M$27,Inputs!$B$4="Chapter Hunt"),CHOOSE(ArtifactsInput!$N$27+1,20,24,28,32,36,40),0)/100)),0)</f>
        <v/>
      </c>
      <c r="R2050">
        <f>IF(AND(Inputs!$B$38&lt;&gt;"pvp",Inputs!$B$43&gt;0),IF(Inputs!$B$43&lt;=0,0,(INT(Inputs!$B$43/(IF(Inputs!$B$38="pvp",15,MAX(0.1,Skills!D19-IF(Skills!E19=TRUE,Inputs!$B$32,0)))*(1-IF(AND(ArtifactsInput!$M$27,Inputs!$B$4="Chapter Hunt"),CHOOSE(ArtifactsInput!$N$27+1,20,24,28,32,36,40),0)/100)))+1)),0)</f>
        <v/>
      </c>
      <c r="S2050">
        <f>IFERROR(O2050/N2050,0)</f>
        <v/>
      </c>
      <c r="T2050" t="n">
        <v>0</v>
      </c>
      <c r="V2050" t="n">
        <v>0</v>
      </c>
    </row>
    <row r="2051">
      <c r="A2051">
        <f>Skills!A20</f>
        <v/>
      </c>
      <c r="B2051">
        <f>Skills!B20</f>
        <v/>
      </c>
      <c r="C2051">
        <f>Inputs!$B$3&gt;=33</f>
        <v/>
      </c>
      <c r="D2051">
        <f>IF(Skills!C20=1,60+Inputs!$B$25+Inputs!$B$29,IF(Skills!C20=2,90+Inputs!$B$26+Inputs!$B$29,IF(Skills!C20=3,120+Inputs!$B$27+Inputs!$B$29,MAX(0,(Inputs!$B$3-100)*3)+Inputs!$B$28+Inputs!$B$29)))</f>
        <v/>
      </c>
      <c r="E2051">
        <f>INDEX(FactorTable!$B$2:$Y$301, MATCH(ROUND(MIN(300,MAX(1,D2051)),0), FactorTable!$A$2:$A$301,0), Skills!M20+1)</f>
        <v/>
      </c>
      <c r="F2051">
        <f>IF(Skills!N20=TRUE,(Skills!L20/10)*(E2051/1000),Skills!L20/10)+Skills!O20</f>
        <v/>
      </c>
      <c r="G2051">
        <f>Skills!G20*IF(Skills!H20&gt;0,Skills!I20/Skills!H20,1)</f>
        <v/>
      </c>
      <c r="H2051">
        <f>1-(1-Skills!J20/100)^Skills!K20</f>
        <v/>
      </c>
      <c r="I2051" t="inlineStr">
        <is>
          <t>1</t>
        </is>
      </c>
      <c r="J2051" t="inlineStr"/>
      <c r="K2051" t="inlineStr"/>
      <c r="L2051" t="inlineStr"/>
      <c r="M2051" t="inlineStr"/>
      <c r="N2051" t="inlineStr"/>
      <c r="O2051">
        <f>(1-Summary!$B$11)*T2051+Summary!$B$11*V2051</f>
        <v/>
      </c>
      <c r="P2051">
        <f>IF(B2068=0,0,O2051/B2068)</f>
        <v/>
      </c>
      <c r="Q2051" t="n">
        <v>0</v>
      </c>
      <c r="R2051" t="n">
        <v>0</v>
      </c>
      <c r="S2051">
        <f>IFERROR(O2051/N2051,0)</f>
        <v/>
      </c>
      <c r="T2051" t="n">
        <v>0</v>
      </c>
      <c r="V2051" t="n">
        <v>0</v>
      </c>
    </row>
    <row r="2052">
      <c r="A2052">
        <f>Skills!A21</f>
        <v/>
      </c>
      <c r="B2052">
        <f>Skills!B21</f>
        <v/>
      </c>
      <c r="C2052">
        <f>Inputs!$B$3&gt;=38</f>
        <v/>
      </c>
      <c r="D2052">
        <f>IF(Skills!C21=1,60+Inputs!$B$25+Inputs!$B$29,IF(Skills!C21=2,90+Inputs!$B$26+Inputs!$B$29,IF(Skills!C21=3,120+Inputs!$B$27+Inputs!$B$29,MAX(0,(Inputs!$B$3-100)*3)+Inputs!$B$28+Inputs!$B$29)))</f>
        <v/>
      </c>
      <c r="E2052">
        <f>INDEX(FactorTable!$B$2:$Y$301, MATCH(ROUND(MIN(300,MAX(1,D2052)),0), FactorTable!$A$2:$A$301,0), Skills!M21+1)</f>
        <v/>
      </c>
      <c r="F2052">
        <f>IF(Skills!N21=TRUE,(Skills!L21/10)*(E2052/1000),Skills!L21/10)+Skills!O21</f>
        <v/>
      </c>
      <c r="G2052">
        <f>Skills!G21*IF(Skills!H21&gt;0,Skills!I21/Skills!H21,1)</f>
        <v/>
      </c>
      <c r="H2052">
        <f>1-(1-Skills!J21/100)^Skills!K21</f>
        <v/>
      </c>
      <c r="I2052" t="inlineStr">
        <is>
          <t>1</t>
        </is>
      </c>
      <c r="J2052" t="inlineStr"/>
      <c r="K2052" t="inlineStr"/>
      <c r="L2052" t="inlineStr"/>
      <c r="M2052" t="inlineStr"/>
      <c r="N2052" t="inlineStr"/>
      <c r="O2052">
        <f>(1-Summary!$B$11)*T2052+Summary!$B$11*V2052</f>
        <v/>
      </c>
      <c r="P2052">
        <f>IF(B2068=0,0,O2052/B2068)</f>
        <v/>
      </c>
      <c r="Q2052" t="n">
        <v>0</v>
      </c>
      <c r="R2052" t="n">
        <v>0</v>
      </c>
      <c r="S2052">
        <f>IFERROR(O2052/N2052,0)</f>
        <v/>
      </c>
      <c r="T2052" t="n">
        <v>0</v>
      </c>
      <c r="V2052" t="n">
        <v>0</v>
      </c>
    </row>
    <row r="2053">
      <c r="A2053">
        <f>Skills!A22</f>
        <v/>
      </c>
      <c r="B2053">
        <f>Skills!B22</f>
        <v/>
      </c>
      <c r="C2053">
        <f>Inputs!$B$3&gt;=43</f>
        <v/>
      </c>
      <c r="D2053">
        <f>IF(Skills!C22=1,60+Inputs!$B$25+Inputs!$B$29,IF(Skills!C22=2,90+Inputs!$B$26+Inputs!$B$29,IF(Skills!C22=3,120+Inputs!$B$27+Inputs!$B$29,MAX(0,(Inputs!$B$3-100)*3)+Inputs!$B$28+Inputs!$B$29)))</f>
        <v/>
      </c>
      <c r="E2053">
        <f>INDEX(FactorTable!$B$2:$Y$301, MATCH(ROUND(MIN(300,MAX(1,D2053)),0), FactorTable!$A$2:$A$301,0), Skills!M22+1)</f>
        <v/>
      </c>
      <c r="F2053">
        <f>IF(Skills!N22=TRUE,(Skills!L22/10)*(E2053/1000),Skills!L22/10)+Skills!O22</f>
        <v/>
      </c>
      <c r="G2053">
        <f>Skills!G22*IF(Skills!H22&gt;0,Skills!I22/Skills!H22,1)</f>
        <v/>
      </c>
      <c r="H2053">
        <f>1-(1-Skills!J22/100)^Skills!K22</f>
        <v/>
      </c>
      <c r="I2053" t="inlineStr">
        <is>
          <t>1</t>
        </is>
      </c>
      <c r="J2053" t="inlineStr"/>
      <c r="K2053" t="inlineStr"/>
      <c r="L2053" t="inlineStr"/>
      <c r="M2053" t="inlineStr"/>
      <c r="N2053" t="inlineStr"/>
      <c r="O2053">
        <f>(1-Summary!$B$11)*T2053+Summary!$B$11*V2053</f>
        <v/>
      </c>
      <c r="P2053">
        <f>IF(B2068=0,0,O2053/B2068)</f>
        <v/>
      </c>
      <c r="Q2053" t="n">
        <v>0</v>
      </c>
      <c r="R2053" t="n">
        <v>0</v>
      </c>
      <c r="S2053">
        <f>IFERROR(O2053/N2053,0)</f>
        <v/>
      </c>
      <c r="T2053" t="n">
        <v>0</v>
      </c>
      <c r="V2053" t="n">
        <v>0</v>
      </c>
    </row>
    <row r="2054">
      <c r="A2054">
        <f>Skills!A23</f>
        <v/>
      </c>
      <c r="B2054">
        <f>Skills!B23</f>
        <v/>
      </c>
      <c r="C2054">
        <f>Inputs!$B$3&gt;=120</f>
        <v/>
      </c>
      <c r="D2054">
        <f>IF(Skills!C23=1,60+Inputs!$B$25+Inputs!$B$29,IF(Skills!C23=2,90+Inputs!$B$26+Inputs!$B$29,IF(Skills!C23=3,120+Inputs!$B$27+Inputs!$B$29,MAX(0,(Inputs!$B$3-100)*3)+Inputs!$B$28+Inputs!$B$29)))</f>
        <v/>
      </c>
      <c r="E2054">
        <f>INDEX(FactorTable!$B$2:$Y$301, MATCH(ROUND(MIN(300,MAX(1,D2054)),0), FactorTable!$A$2:$A$301,0), Skills!M23+1)</f>
        <v/>
      </c>
      <c r="F2054">
        <f>IF(Skills!N23=TRUE,(Skills!L23/10)*(E2054/1000),Skills!L23/10)+Skills!O23</f>
        <v/>
      </c>
      <c r="G2054">
        <f>Skills!G23*IF(Skills!H23&gt;0,Skills!I23/Skills!H23,1)</f>
        <v/>
      </c>
      <c r="H2054">
        <f>1-(1-Skills!J23/100)^Skills!K23</f>
        <v/>
      </c>
      <c r="I2054" t="inlineStr">
        <is>
          <t>1</t>
        </is>
      </c>
      <c r="J2054" t="inlineStr"/>
      <c r="K2054" t="inlineStr"/>
      <c r="L2054" t="inlineStr"/>
      <c r="M2054" t="inlineStr"/>
      <c r="N2054" t="inlineStr"/>
      <c r="O2054">
        <f>(1-Summary!$B$11)*T2054+Summary!$B$11*V2054</f>
        <v/>
      </c>
      <c r="P2054">
        <f>IF(B2068=0,0,O2054/B2068)</f>
        <v/>
      </c>
      <c r="Q2054" t="n">
        <v>0</v>
      </c>
      <c r="R2054" t="n">
        <v>0</v>
      </c>
      <c r="S2054">
        <f>IFERROR(O2054/N2054,0)</f>
        <v/>
      </c>
      <c r="T2054" t="n">
        <v>0</v>
      </c>
      <c r="V2054" t="n">
        <v>0</v>
      </c>
    </row>
    <row r="2055">
      <c r="A2055">
        <f>Skills!A24</f>
        <v/>
      </c>
      <c r="B2055">
        <f>Skills!B24</f>
        <v/>
      </c>
      <c r="C2055">
        <f>Inputs!$B$3&gt;=120</f>
        <v/>
      </c>
      <c r="D2055">
        <f>IF(Skills!C24=1,60+Inputs!$B$25+Inputs!$B$29,IF(Skills!C24=2,90+Inputs!$B$26+Inputs!$B$29,IF(Skills!C24=3,120+Inputs!$B$27+Inputs!$B$29,MAX(0,(Inputs!$B$3-100)*3)+Inputs!$B$28+Inputs!$B$29)))</f>
        <v/>
      </c>
      <c r="E2055">
        <f>INDEX(FactorTable!$B$2:$Y$301, MATCH(ROUND(MIN(300,MAX(1,D2055)),0), FactorTable!$A$2:$A$301,0), Skills!M24+1)</f>
        <v/>
      </c>
      <c r="F2055">
        <f>IF(Skills!N24=TRUE,(Skills!L24/10)*(E2055/1000),Skills!L24/10)+Skills!O24</f>
        <v/>
      </c>
      <c r="G2055">
        <f>Skills!G24*IF(Skills!H24&gt;0,Skills!I24/Skills!H24,1)</f>
        <v/>
      </c>
      <c r="H2055">
        <f>1-(1-Skills!J24/100)^Skills!K24</f>
        <v/>
      </c>
      <c r="I2055" t="inlineStr">
        <is>
          <t>1</t>
        </is>
      </c>
      <c r="J2055" t="inlineStr"/>
      <c r="K2055" t="inlineStr"/>
      <c r="L2055" t="inlineStr"/>
      <c r="M2055" t="inlineStr"/>
      <c r="N2055" t="inlineStr"/>
      <c r="O2055">
        <f>(1-Summary!$B$11)*T2055+Summary!$B$11*V2055</f>
        <v/>
      </c>
      <c r="P2055">
        <f>IF(B2068=0,0,O2055/B2068)</f>
        <v/>
      </c>
      <c r="Q2055" t="n">
        <v>0</v>
      </c>
      <c r="R2055" t="n">
        <v>0</v>
      </c>
      <c r="S2055">
        <f>IFERROR(O2055/N2055,0)</f>
        <v/>
      </c>
      <c r="T2055" t="n">
        <v>0</v>
      </c>
      <c r="V2055" t="n">
        <v>0</v>
      </c>
    </row>
    <row r="2057">
      <c r="A2057" t="inlineStr">
        <is>
          <t>Attack% Bucket Multiplier</t>
        </is>
      </c>
      <c r="B2057">
        <f>(1+(((C2044=TRUE)*F2044*MIN(1,Skills!T13*(Skills!J13/100)*B2062))+((C2049=TRUE)*F2049*IF(AND(Inputs!$B$38&lt;&gt;"pvp",Inputs!$B$43&gt;0),(((R2049-1)*(Skills!T18*(1+Inputs!$B$34/100))+MIN((Skills!T18*(1+Inputs!$B$34/100)),MAX(0,Inputs!$B$43-((R2049-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58">
      <c r="A2058" t="inlineStr">
        <is>
          <t>Global Crit Rate Bonus %</t>
        </is>
      </c>
      <c r="B2058" t="n">
        <v>0</v>
      </c>
    </row>
    <row r="2059">
      <c r="A2059" t="inlineStr">
        <is>
          <t>Attack Speed Buff Bonus %</t>
        </is>
      </c>
      <c r="B2059">
        <f>((C2050=TRUE)*F2050*IF(AND(Inputs!$B$38&lt;&gt;"pvp",Inputs!$B$43&gt;0),(((R2050-1)*(Skills!T19*(1+Inputs!$B$34/100))+MIN((Skills!T19*(1+Inputs!$B$34/100)),MAX(0,Inputs!$B$43-((R2050-1)*Skills!D19))))/Inputs!$B$43),IF(Inputs!$B$38="pvp",MIN((Skills!T19*(1+Inputs!$B$34/100)),15)/15,(Skills!T19*(1+Inputs!$B$34/100))/Skills!D19)))</f>
        <v/>
      </c>
    </row>
    <row r="2060">
      <c r="A2060" t="inlineStr">
        <is>
          <t>Actions Per Second</t>
        </is>
      </c>
      <c r="B2060">
        <f>1+MIN(150,150*(1-(1-(Inputs!$B$11+((C2051=TRUE)*(F2051-Calc!F20)))/150)*(1-B2059/150)))/100</f>
        <v/>
      </c>
    </row>
    <row r="2061">
      <c r="A2061" t="inlineStr">
        <is>
          <t>Skill + Buff Cast Rate</t>
        </is>
      </c>
      <c r="B2061">
        <f>IF(AND(Inputs!$B$38&lt;&gt;"pvp",Inputs!$B$43&gt;0),SUMPRODUCT((Skills!E2:E24=TRUE)*(C2033:C2055=TRUE)*R2033:R2055*Skills!F2:F24)/Inputs!$B$43,SUMPRODUCT((Skills!E2:E24=TRUE)*(C2033:C2055=TRUE)*Q2033:Q2055*Skills!F2:F24))</f>
        <v/>
      </c>
    </row>
    <row r="2062">
      <c r="A2062" t="inlineStr">
        <is>
          <t>Blast Casts Per Second</t>
        </is>
      </c>
      <c r="B2062">
        <f>MAX(0,B2060-B2061)</f>
        <v/>
      </c>
    </row>
    <row r="2063">
      <c r="A2063" t="inlineStr">
        <is>
          <t>Global Critical Damage Bonus % (unused)</t>
        </is>
      </c>
      <c r="B2063" t="n">
        <v>0</v>
      </c>
    </row>
    <row r="2064">
      <c r="A2064" t="inlineStr">
        <is>
          <t>Global Final Damage Bonus % (Divine Shield + Guardian + Divine Blessing + Greater Vessel of Light)</t>
        </is>
      </c>
      <c r="B2064">
        <f>((C2046=TRUE)*F2046*IF(AND(Inputs!$B$38&lt;&gt;"pvp",Inputs!$B$43&gt;0),(((R2046-1)*(Skills!T15*(1+Inputs!$B$34/100))+MIN((Skills!T15*(1+Inputs!$B$34/100)),MAX(0,Inputs!$B$43-((R2046-1)*Skills!D15))))/Inputs!$B$43),IF(Inputs!$B$38="pvp",MIN((Skills!T15*(1+Inputs!$B$34/100)),15)/15,(Skills!T15*(1+Inputs!$B$34/100))/Skills!D15)))+((C2047=TRUE)*F2047*IF(AND(Inputs!$B$38&lt;&gt;"pvp",Inputs!$B$43&gt;0),(((R2047-1)*(Skills!T16*(1+Inputs!$B$34/100))+MIN((Skills!T16*(1+Inputs!$B$34/100)),MAX(0,Inputs!$B$43-((R2047-1)*Skills!D16))))/Inputs!$B$43),IF(Inputs!$B$38="pvp",MIN((Skills!T16*(1+Inputs!$B$34/100)),15)/15,(Skills!T16*(1+Inputs!$B$34/100))/Skills!D16)))+((C2048=TRUE)*F2048*IF(AND(Inputs!$B$38&lt;&gt;"pvp",Inputs!$B$43&gt;0),(((R2048-1)*(Skills!T17*(1+Inputs!$B$34/100))+MIN((Skills!T17*(1+Inputs!$B$34/100)),MAX(0,Inputs!$B$43-((R2048-1)*Skills!D17))))/Inputs!$B$43),IF(Inputs!$B$38="pvp",MIN((Skills!T17*(1+Inputs!$B$34/100)),15)/15,(Skills!T17*(1+Inputs!$B$34/100))/Skills!D17)))+((C2045=TRUE)*F2045*MIN(1,Skills!T13*(Skills!J13/100)*B2062))</f>
        <v/>
      </c>
    </row>
    <row r="2065">
      <c r="A2065" t="inlineStr">
        <is>
          <t>Buff-Casting Startup Delay (s, fixed-duration only)</t>
        </is>
      </c>
      <c r="B2065">
        <f>IF(AND(Inputs!$B$38&lt;&gt;"pvp",Inputs!$B$43&gt;0),SUMPRODUCT((Skills!T2:T24&gt;0)*(Skills!E2:E24=TRUE)*(C2033:C2055=TRUE))/B2060,0)</f>
        <v/>
      </c>
    </row>
    <row r="2066">
      <c r="A2066" t="inlineStr">
        <is>
          <t>Boss-Only Total DPS (this block's swept value)</t>
        </is>
      </c>
      <c r="B2066">
        <f>SUM(T2033:T2055)</f>
        <v/>
      </c>
    </row>
    <row r="2067">
      <c r="A2067" t="inlineStr">
        <is>
          <t>Normal-Only Total DPS (this block's swept value)</t>
        </is>
      </c>
      <c r="B2067">
        <f>SUM(V2033:V2055)</f>
        <v/>
      </c>
    </row>
    <row r="2068">
      <c r="A2068" s="6" t="inlineStr">
        <is>
          <t>TOTAL DPS</t>
        </is>
      </c>
      <c r="B2068" s="6">
        <f>SUM(O2033:O2055)</f>
        <v/>
      </c>
    </row>
    <row r="2071">
      <c r="A2071" s="6" t="inlineStr">
        <is>
          <t>Stat: Icy Soul Rock (Equip)</t>
        </is>
      </c>
    </row>
    <row r="2072">
      <c r="A2072" s="5" t="inlineStr">
        <is>
          <t>Key</t>
        </is>
      </c>
      <c r="B2072" s="5" t="inlineStr">
        <is>
          <t>Name</t>
        </is>
      </c>
      <c r="C2072" s="5" t="inlineStr">
        <is>
          <t>Unlocked</t>
        </is>
      </c>
      <c r="D2072" s="5" t="inlineStr">
        <is>
          <t>InputLevel</t>
        </is>
      </c>
      <c r="E2072" s="5" t="inlineStr">
        <is>
          <t>Factor</t>
        </is>
      </c>
      <c r="F2072" s="5" t="inlineStr">
        <is>
          <t>CoefficientPercent</t>
        </is>
      </c>
      <c r="G2072" s="5" t="inlineStr">
        <is>
          <t>EffectiveHits</t>
        </is>
      </c>
      <c r="H2072" s="5" t="inlineStr">
        <is>
          <t>ProcProbability</t>
        </is>
      </c>
      <c r="I2072" s="5" t="inlineStr">
        <is>
          <t>MapleHeroMultiplier</t>
        </is>
      </c>
      <c r="J2072" s="5" t="inlineStr">
        <is>
          <t>BaseDamage</t>
        </is>
      </c>
      <c r="K2072" s="5" t="inlineStr">
        <is>
          <t>BaseHitDamage</t>
        </is>
      </c>
      <c r="L2072" s="5" t="inlineStr">
        <is>
          <t>NonCritAvg</t>
        </is>
      </c>
      <c r="M2072" s="5" t="inlineStr">
        <is>
          <t>CritAvg</t>
        </is>
      </c>
      <c r="N2072" s="5" t="inlineStr">
        <is>
          <t>ExpectedDamage(perHit)</t>
        </is>
      </c>
      <c r="O2072" s="5" t="inlineStr">
        <is>
          <t>DPS</t>
        </is>
      </c>
      <c r="P2072" s="5" t="inlineStr">
        <is>
          <t>% of Total</t>
        </is>
      </c>
      <c r="Q2072" s="5" t="inlineStr">
        <is>
          <t>InvCooldown</t>
        </is>
      </c>
      <c r="R2072" s="5" t="inlineStr">
        <is>
          <t>CastsInFight</t>
        </is>
      </c>
      <c r="S2072" s="5" t="inlineStr">
        <is>
          <t>HitRate(perSec)</t>
        </is>
      </c>
      <c r="U2072" t="inlineStr">
        <is>
          <t>helpers</t>
        </is>
      </c>
    </row>
    <row r="2073">
      <c r="A2073">
        <f>Skills!A2</f>
        <v/>
      </c>
      <c r="B2073">
        <f>Skills!B2</f>
        <v/>
      </c>
      <c r="C2073">
        <f>Inputs!$B$3&gt;=100</f>
        <v/>
      </c>
      <c r="D2073" t="inlineStr"/>
      <c r="E2073" t="inlineStr"/>
      <c r="F2073">
        <f>U2075+Skills!O2</f>
        <v/>
      </c>
      <c r="G2073">
        <f>Skills!G2*IF(Skills!H2&gt;0,Skills!I2/Skills!H2,1)</f>
        <v/>
      </c>
      <c r="H2073">
        <f>1-(1-Skills!J2/100)^Skills!K2</f>
        <v/>
      </c>
      <c r="I2073" t="inlineStr">
        <is>
          <t>1</t>
        </is>
      </c>
      <c r="J2073">
        <f>((Inputs!$B$6*(1+Inputs!$B$7/100))+(((Inputs!$B$12*(1+Inputs!$B$13/100))-(Inputs!$B$12*(1+Inputs!$B$13/100)))+0.25*(Inputs!$B$14-Inputs!$B$14))*(1+Inputs!$B$7/100))*(F2073/100)</f>
        <v/>
      </c>
      <c r="K2073">
        <f>J2073*(1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2073)</f>
        <v/>
      </c>
      <c r="L2073">
        <f>K2073*(MIN(Inputs!$B$22+((C2093=TRUE)*(F2093-Calc!F22)),(Inputs!$B$23+((C2095=TRUE)*(F2095-Calc!F24))+(IF(ArtifactsInput!$M$15,CHOOSE(ArtifactsInput!$N$15+1,25,30,35,40,45,50)/100*(Inputs!$B$11-Inputs!$B$11),0))))/100+(Inputs!$B$23+((C2095=TRUE)*(F2095-Calc!F24))+(IF(ArtifactsInput!$M$15,CHOOSE(ArtifactsInput!$N$15+1,25,30,35,40,45,50)/100*(Inputs!$B$11-Inputs!$B$11),0)))/100)/2</f>
        <v/>
      </c>
      <c r="M2073">
        <f>L2073*(1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3">
        <f>L2073*(1-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2073*(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3">
        <f>(1-Summary!$B$11)*T2073+Summary!$B$11*V2073</f>
        <v/>
      </c>
      <c r="P2073">
        <f>IF(B2108=0,0,O2073/B2108)</f>
        <v/>
      </c>
      <c r="Q2073" t="n">
        <v>0</v>
      </c>
      <c r="R2073" t="n">
        <v>0</v>
      </c>
      <c r="S2073">
        <f>IFERROR(O2073/N2073,0)</f>
        <v/>
      </c>
      <c r="T2073">
        <f>IF(C2073,(Skills!G2*N2073*B2102)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2073*(1-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2073*(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2073*(1-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2073*(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73">
        <f>MAX(0,(Inputs!$B$3-100)*3)+Inputs!$B$28+Inputs!$B$29</f>
        <v/>
      </c>
      <c r="V2073">
        <f>IF(C2073,(Skills!G2*N2073*B2102)*IF(Inputs!$B$38="pvp",1,(1+(Inputs!$B$21+Skills!Q2+(IF(ArtifactsInput!$M$33,CHOOSE(ArtifactsInput!$N$33+1,30,36,42,48,54,60),0))+(IF(AND(ArtifactsInput!$M$35,Inputs!$B$4&lt;&gt;"Chapter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4">
      <c r="A2074">
        <f>Skills!A3</f>
        <v/>
      </c>
      <c r="B2074">
        <f>Skills!B3</f>
        <v/>
      </c>
      <c r="C2074">
        <f>Inputs!$B$3&gt;=50</f>
        <v/>
      </c>
      <c r="D2074">
        <f>IF(Skills!C3=1,60+Inputs!$B$25+Inputs!$B$29,IF(Skills!C3=2,90+Inputs!$B$26+Inputs!$B$29,IF(Skills!C3=3,120+Inputs!$B$27+Inputs!$B$29,MAX(0,(Inputs!$B$3-100)*3)+Inputs!$B$28+Inputs!$B$29)))</f>
        <v/>
      </c>
      <c r="E2074">
        <f>INDEX(FactorTable!$B$2:$Y$301, MATCH(ROUND(MIN(300,MAX(1,D2074)),0), FactorTable!$A$2:$A$301,0), Skills!M3+1)</f>
        <v/>
      </c>
      <c r="F2074">
        <f>IF(Skills!N3=TRUE,(Skills!L3/10)*(E2074/1000),Skills!L3/10)+Skills!O3</f>
        <v/>
      </c>
      <c r="G2074" t="inlineStr"/>
      <c r="H2074" t="inlineStr"/>
      <c r="I2074" t="inlineStr">
        <is>
          <t>1</t>
        </is>
      </c>
      <c r="J2074" t="inlineStr"/>
      <c r="K2074" t="inlineStr"/>
      <c r="L2074" t="inlineStr"/>
      <c r="M2074" t="inlineStr"/>
      <c r="N2074" t="inlineStr"/>
      <c r="O2074" t="inlineStr"/>
      <c r="P2074" t="inlineStr"/>
      <c r="Q2074" t="inlineStr"/>
      <c r="R2074" t="inlineStr"/>
      <c r="S2074" t="inlineStr"/>
      <c r="U2074">
        <f>INDEX(FactorTable!$B$2:$Y$301, MATCH(ROUND(MIN(300,MAX(1,U2073)),0), FactorTable!$A$2:$A$301,0), 22)</f>
        <v/>
      </c>
    </row>
    <row r="2075">
      <c r="A2075">
        <f>Skills!A4</f>
        <v/>
      </c>
      <c r="B2075">
        <f>Skills!B4</f>
        <v/>
      </c>
      <c r="C2075">
        <f>Inputs!$B$3&gt;=35</f>
        <v/>
      </c>
      <c r="D2075">
        <f>IF(Skills!C4=1,60+Inputs!$B$25+Inputs!$B$29,IF(Skills!C4=2,90+Inputs!$B$26+Inputs!$B$29,IF(Skills!C4=3,120+Inputs!$B$27+Inputs!$B$29,MAX(0,(Inputs!$B$3-100)*3)+Inputs!$B$28+Inputs!$B$29)))</f>
        <v/>
      </c>
      <c r="E2075">
        <f>INDEX(FactorTable!$B$2:$Y$301, MATCH(ROUND(MIN(300,MAX(1,D2075)),0), FactorTable!$A$2:$A$301,0), Skills!M4+1)</f>
        <v/>
      </c>
      <c r="F2075">
        <f>IF(Skills!N4=TRUE,(Skills!L4/10)*(E2075/1000),Skills!L4/10)+Skills!O4</f>
        <v/>
      </c>
      <c r="G2075">
        <f>Skills!G4*IF(Skills!H4&gt;0,Skills!I4/Skills!H4,1)</f>
        <v/>
      </c>
      <c r="H2075">
        <f>1-(1-Skills!J4/100)^Skills!K4</f>
        <v/>
      </c>
      <c r="I2075" t="inlineStr">
        <is>
          <t>1</t>
        </is>
      </c>
      <c r="J2075">
        <f>((Inputs!$B$6*(1+Inputs!$B$7/100))+(((Inputs!$B$12*(1+Inputs!$B$13/100))-(Inputs!$B$12*(1+Inputs!$B$13/100)))+0.25*(Inputs!$B$14-Inputs!$B$14))*(1+Inputs!$B$7/100))*(F2075/100)</f>
        <v/>
      </c>
      <c r="K2075">
        <f>J2075*(1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2083=TRUE,F2083,0)/100)*(1+(IF(Skills!A4="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2075)</f>
        <v/>
      </c>
      <c r="L2075">
        <f>K2075*(MIN(Inputs!$B$22+((C2093=TRUE)*(F2093-Calc!F22)),(Inputs!$B$23+((C2095=TRUE)*(F2095-Calc!F24))+(IF(ArtifactsInput!$M$15,CHOOSE(ArtifactsInput!$N$15+1,25,30,35,40,45,50)/100*(Inputs!$B$11-Inputs!$B$11),0))))/100+(Inputs!$B$23+((C2095=TRUE)*(F2095-Calc!F24))+(IF(ArtifactsInput!$M$15,CHOOSE(ArtifactsInput!$N$15+1,25,30,35,40,45,50)/100*(Inputs!$B$11-Inputs!$B$11),0)))/100)/2</f>
        <v/>
      </c>
      <c r="M2075">
        <f>L2075*(1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5">
        <f>L2075*(1-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2075*(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5">
        <f>(1-Summary!$B$11)*T2075+Summary!$B$11*V2075</f>
        <v/>
      </c>
      <c r="P2075">
        <f>IF(B2108=0,0,O2075/B2108)</f>
        <v/>
      </c>
      <c r="Q2075">
        <f>IFERROR(1/(IF(Inputs!$B$38="pvp",15,MAX(0.1,Skills!D4-IF(Skills!E4=TRUE,Inputs!$B$32,0)))*(1-IF(AND(ArtifactsInput!$M$27,Inputs!$B$4="Chapter Hunt"),CHOOSE(ArtifactsInput!$N$27+1,20,24,28,32,36,40),0)/100)),0)</f>
        <v/>
      </c>
      <c r="R2075">
        <f>IF(AND(Inputs!$B$38&lt;&gt;"pvp",Inputs!$B$43&gt;0),IF(MAX(0,Inputs!$B$43-B2105)&lt;=0,0,(INT(MAX(0,Inputs!$B$43-B2105)/(IF(Inputs!$B$38="pvp",15,MAX(0.1,Skills!D4-IF(Skills!E4=TRUE,Inputs!$B$32,0)))*(1-IF(AND(ArtifactsInput!$M$27,Inputs!$B$4="Chapter Hunt"),CHOOSE(ArtifactsInput!$N$27+1,20,24,28,32,36,40),0)/100)))+1)),0)</f>
        <v/>
      </c>
      <c r="S2075">
        <f>IFERROR(O2075/N2075,0)</f>
        <v/>
      </c>
      <c r="T2075">
        <f>IF(C2075,(H2075*N2075*IF(AND(Inputs!$B$38&lt;&gt;"pvp",Inputs!$B$43&gt;0),((Skills!G4*((R2075-1)*IF(Skills!H4&gt;0,Skills!I4/Skills!H4,1)+IF(Skills!H4&gt;0,MIN(Skills!I4,MAX(0,MAX(0,Inputs!$B$43-B2105)-((R2075-1)*(IF(Inputs!$B$38="pvp",15,MAX(0.1,Skills!D4-IF(Skills!E4=TRUE,Inputs!$B$32,0)))*(1-IF(AND(ArtifactsInput!$M$27,Inputs!$B$4="Chapter Hunt"),CHOOSE(ArtifactsInput!$N$27+1,20,24,28,32,36,40),0)/100)))))/Skills!H4,1)))/Inputs!$B$43),G2075*Q2075)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2075*(1-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2075*(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2075*(1-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2075*(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75">
        <f>290*U2074/1000</f>
        <v/>
      </c>
      <c r="V2075">
        <f>IF(C2075,(H2075*N2075*IF(AND(Inputs!$B$38&lt;&gt;"pvp",Inputs!$B$43&gt;0),((Skills!G4*((R2075-1)*IF(Skills!H4&gt;0,Skills!I4/Skills!H4,1)+IF(Skills!H4&gt;0,MIN(Skills!I4,MAX(0,MAX(0,Inputs!$B$43-B2105)-((R2075-1)*(IF(Inputs!$B$38="pvp",15,MAX(0.1,Skills!D4-IF(Skills!E4=TRUE,Inputs!$B$32,0)))*(1-IF(AND(ArtifactsInput!$M$27,Inputs!$B$4="Chapter Hunt"),CHOOSE(ArtifactsInput!$N$27+1,20,24,28,32,36,40),0)/100)))))/Skills!H4,1)))/Inputs!$B$43),G2075*Q2075))*IF(Inputs!$B$38="pvp",1,(1+(Inputs!$B$21+Skills!Q4+(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6">
      <c r="A2076">
        <f>Skills!A5</f>
        <v/>
      </c>
      <c r="B2076">
        <f>Skills!B5</f>
        <v/>
      </c>
      <c r="C2076">
        <f>Inputs!$B$3&gt;=66</f>
        <v/>
      </c>
      <c r="D2076">
        <f>IF(Skills!C5=1,60+Inputs!$B$25+Inputs!$B$29,IF(Skills!C5=2,90+Inputs!$B$26+Inputs!$B$29,IF(Skills!C5=3,120+Inputs!$B$27+Inputs!$B$29,MAX(0,(Inputs!$B$3-100)*3)+Inputs!$B$28+Inputs!$B$29)))</f>
        <v/>
      </c>
      <c r="E2076">
        <f>INDEX(FactorTable!$B$2:$Y$301, MATCH(ROUND(MIN(300,MAX(1,D2076)),0), FactorTable!$A$2:$A$301,0), Skills!M5+1)</f>
        <v/>
      </c>
      <c r="F2076">
        <f>IF(Skills!N5=TRUE,(Skills!L5/10)*(E2076/1000),Skills!L5/10)+Skills!O5</f>
        <v/>
      </c>
      <c r="G2076">
        <f>Skills!G5*IF(Skills!H5&gt;0,Skills!I5/Skills!H5,1)</f>
        <v/>
      </c>
      <c r="H2076">
        <f>1-(1-Skills!J5/100)^Skills!K5</f>
        <v/>
      </c>
      <c r="I2076" t="inlineStr">
        <is>
          <t>1</t>
        </is>
      </c>
      <c r="J2076">
        <f>((Inputs!$B$6*(1+Inputs!$B$7/100))+(((Inputs!$B$12*(1+Inputs!$B$13/100))-(Inputs!$B$12*(1+Inputs!$B$13/100)))+0.25*(Inputs!$B$14-Inputs!$B$14))*(1+Inputs!$B$7/100))*(F2076/100)</f>
        <v/>
      </c>
      <c r="K2076">
        <f>J2076*(1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2083=TRUE,F2083,0)/100)*(1+(IF(Skills!A5="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2076)</f>
        <v/>
      </c>
      <c r="L2076">
        <f>K2076*(MIN(Inputs!$B$22+((C2093=TRUE)*(F2093-Calc!F22)),(Inputs!$B$23+((C2095=TRUE)*(F2095-Calc!F24))+(IF(ArtifactsInput!$M$15,CHOOSE(ArtifactsInput!$N$15+1,25,30,35,40,45,50)/100*(Inputs!$B$11-Inputs!$B$11),0))))/100+(Inputs!$B$23+((C2095=TRUE)*(F2095-Calc!F24))+(IF(ArtifactsInput!$M$15,CHOOSE(ArtifactsInput!$N$15+1,25,30,35,40,45,50)/100*(Inputs!$B$11-Inputs!$B$11),0)))/100)/2</f>
        <v/>
      </c>
      <c r="M2076">
        <f>L2076*(1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6">
        <f>L2076*(1-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2076*(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6">
        <f>(1-Summary!$B$11)*T2076+Summary!$B$11*V2076</f>
        <v/>
      </c>
      <c r="P2076">
        <f>IF(B2108=0,0,O2076/B2108)</f>
        <v/>
      </c>
      <c r="Q2076">
        <f>IFERROR(1/(IF(Inputs!$B$38="pvp",15,MAX(0.1,Skills!D5-IF(Skills!E5=TRUE,Inputs!$B$32,0)))*(1-IF(AND(ArtifactsInput!$M$27,Inputs!$B$4="Chapter Hunt"),CHOOSE(ArtifactsInput!$N$27+1,20,24,28,32,36,40),0)/100)),0)</f>
        <v/>
      </c>
      <c r="R2076">
        <f>IF(AND(Inputs!$B$38&lt;&gt;"pvp",Inputs!$B$43&gt;0),IF(MAX(0,Inputs!$B$43-B2105)&lt;=0,0,(INT(MAX(0,Inputs!$B$43-B2105)/(IF(Inputs!$B$38="pvp",15,MAX(0.1,Skills!D5-IF(Skills!E5=TRUE,Inputs!$B$32,0)))*(1-IF(AND(ArtifactsInput!$M$27,Inputs!$B$4="Chapter Hunt"),CHOOSE(ArtifactsInput!$N$27+1,20,24,28,32,36,40),0)/100)))+1)),0)</f>
        <v/>
      </c>
      <c r="S2076">
        <f>IFERROR(O2076/N2076,0)</f>
        <v/>
      </c>
      <c r="T2076">
        <f>IF(C2076,(H2076*N2076*IF(AND(Inputs!$B$38&lt;&gt;"pvp",Inputs!$B$43&gt;0),((Skills!G5*((R2076-1)*IF(Skills!H5&gt;0,Skills!I5/Skills!H5,1)+IF(Skills!H5&gt;0,MIN(Skills!I5,MAX(0,MAX(0,Inputs!$B$43-B2105)-((R2076-1)*(IF(Inputs!$B$38="pvp",15,MAX(0.1,Skills!D5-IF(Skills!E5=TRUE,Inputs!$B$32,0)))*(1-IF(AND(ArtifactsInput!$M$27,Inputs!$B$4="Chapter Hunt"),CHOOSE(ArtifactsInput!$N$27+1,20,24,28,32,36,40),0)/100)))))/Skills!H5,1)))/Inputs!$B$43),G2076*Q2076)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2076*(1-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2076*(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2076*(1-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2076*(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76">
        <f>IF(C2076,(H2076*N2076*IF(AND(Inputs!$B$38&lt;&gt;"pvp",Inputs!$B$43&gt;0),((Skills!G5*((R2076-1)*IF(Skills!H5&gt;0,Skills!I5/Skills!H5,1)+IF(Skills!H5&gt;0,MIN(Skills!I5,MAX(0,MAX(0,Inputs!$B$43-B2105)-((R2076-1)*(IF(Inputs!$B$38="pvp",15,MAX(0.1,Skills!D5-IF(Skills!E5=TRUE,Inputs!$B$32,0)))*(1-IF(AND(ArtifactsInput!$M$27,Inputs!$B$4="Chapter Hunt"),CHOOSE(ArtifactsInput!$N$27+1,20,24,28,32,36,40),0)/100)))))/Skills!H5,1)))/Inputs!$B$43),G2076*Q2076))*IF(Inputs!$B$38="pvp",1,(1+(Inputs!$B$21+Skills!Q5+(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7">
      <c r="A2077">
        <f>Skills!A6</f>
        <v/>
      </c>
      <c r="B2077">
        <f>Skills!B6</f>
        <v/>
      </c>
      <c r="C2077">
        <f>Inputs!$B$3&gt;=103</f>
        <v/>
      </c>
      <c r="D2077">
        <f>IF(Skills!C6=1,60+Inputs!$B$25+Inputs!$B$29,IF(Skills!C6=2,90+Inputs!$B$26+Inputs!$B$29,IF(Skills!C6=3,120+Inputs!$B$27+Inputs!$B$29,MAX(0,(Inputs!$B$3-100)*3)+Inputs!$B$28+Inputs!$B$29)))</f>
        <v/>
      </c>
      <c r="E2077">
        <f>INDEX(FactorTable!$B$2:$Y$301, MATCH(ROUND(MIN(300,MAX(1,D2077)),0), FactorTable!$A$2:$A$301,0), Skills!M6+1)</f>
        <v/>
      </c>
      <c r="F2077">
        <f>IF(Skills!N6=TRUE,(Skills!L6/10)*(E2077/1000),Skills!L6/10)+Skills!O6</f>
        <v/>
      </c>
      <c r="G2077">
        <f>Skills!G6*IF(Skills!H6&gt;0,Skills!I6/Skills!H6,1)</f>
        <v/>
      </c>
      <c r="H2077">
        <f>1-(1-Skills!J6/100)^Skills!K6</f>
        <v/>
      </c>
      <c r="I2077" t="inlineStr">
        <is>
          <t>1</t>
        </is>
      </c>
      <c r="J2077">
        <f>((Inputs!$B$6*(1+Inputs!$B$7/100))+(((Inputs!$B$12*(1+Inputs!$B$13/100))-(Inputs!$B$12*(1+Inputs!$B$13/100)))+0.25*(Inputs!$B$14-Inputs!$B$14))*(1+Inputs!$B$7/100))*(F2077/100)</f>
        <v/>
      </c>
      <c r="K2077">
        <f>J2077*(1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2077)</f>
        <v/>
      </c>
      <c r="L2077">
        <f>K2077*(MIN(Inputs!$B$22+((C2093=TRUE)*(F2093-Calc!F22)),(Inputs!$B$23+((C2095=TRUE)*(F2095-Calc!F24))+(IF(ArtifactsInput!$M$15,CHOOSE(ArtifactsInput!$N$15+1,25,30,35,40,45,50)/100*(Inputs!$B$11-Inputs!$B$11),0))))/100+(Inputs!$B$23+((C2095=TRUE)*(F2095-Calc!F24))+(IF(ArtifactsInput!$M$15,CHOOSE(ArtifactsInput!$N$15+1,25,30,35,40,45,50)/100*(Inputs!$B$11-Inputs!$B$11),0)))/100)/2</f>
        <v/>
      </c>
      <c r="M2077">
        <f>L2077*(1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7">
        <f>L2077*(1-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2077*(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7">
        <f>(1-Summary!$B$11)*T2077+Summary!$B$11*V2077</f>
        <v/>
      </c>
      <c r="P2077">
        <f>IF(B2108=0,0,O2077/B2108)</f>
        <v/>
      </c>
      <c r="Q2077">
        <f>IFERROR(1/(IF(Inputs!$B$38="pvp",15,MAX(0.1,Skills!D6-IF(Skills!E6=TRUE,Inputs!$B$32,0)))*(1-IF(AND(ArtifactsInput!$M$27,Inputs!$B$4="Chapter Hunt"),CHOOSE(ArtifactsInput!$N$27+1,20,24,28,32,36,40),0)/100)),0)</f>
        <v/>
      </c>
      <c r="R2077">
        <f>IF(AND(Inputs!$B$38&lt;&gt;"pvp",Inputs!$B$43&gt;0),IF(MAX(0,Inputs!$B$43-B2105)&lt;=0,0,(INT(MAX(0,Inputs!$B$43-B2105)/(IF(Inputs!$B$38="pvp",15,MAX(0.1,Skills!D6-IF(Skills!E6=TRUE,Inputs!$B$32,0)))*(1-IF(AND(ArtifactsInput!$M$27,Inputs!$B$4="Chapter Hunt"),CHOOSE(ArtifactsInput!$N$27+1,20,24,28,32,36,40),0)/100)))+1)),0)</f>
        <v/>
      </c>
      <c r="S2077">
        <f>IFERROR(O2077/N2077,0)</f>
        <v/>
      </c>
      <c r="T2077">
        <f>IF(C2077,(H2077*N2077*IF(AND(Inputs!$B$38&lt;&gt;"pvp",Inputs!$B$43&gt;0),((Skills!G6*((R2077-1)*IF(Skills!H6&gt;0,Skills!I6/Skills!H6,1)+IF(Skills!H6&gt;0,MIN(Skills!I6,MAX(0,MAX(0,Inputs!$B$43-B2105)-((R2077-1)*(IF(Inputs!$B$38="pvp",15,MAX(0.1,Skills!D6-IF(Skills!E6=TRUE,Inputs!$B$32,0)))*(1-IF(AND(ArtifactsInput!$M$27,Inputs!$B$4="Chapter Hunt"),CHOOSE(ArtifactsInput!$N$27+1,20,24,28,32,36,40),0)/100)))))/Skills!H6,1)))/Inputs!$B$43),G2077*Q2077)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2077*(1-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2077*(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2077*(1-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2077*(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77">
        <f>IF(C2077,(H2077*N2077*IF(AND(Inputs!$B$38&lt;&gt;"pvp",Inputs!$B$43&gt;0),((Skills!G6*((R2077-1)*IF(Skills!H6&gt;0,Skills!I6/Skills!H6,1)+IF(Skills!H6&gt;0,MIN(Skills!I6,MAX(0,MAX(0,Inputs!$B$43-B2105)-((R2077-1)*(IF(Inputs!$B$38="pvp",15,MAX(0.1,Skills!D6-IF(Skills!E6=TRUE,Inputs!$B$32,0)))*(1-IF(AND(ArtifactsInput!$M$27,Inputs!$B$4="Chapter Hunt"),CHOOSE(ArtifactsInput!$N$27+1,20,24,28,32,36,40),0)/100)))))/Skills!H6,1)))/Inputs!$B$43),G2077*Q2077))*IF(Inputs!$B$38="pvp",1,(1+(Inputs!$B$21+Skills!Q6+(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8">
      <c r="A2078">
        <f>Skills!A7</f>
        <v/>
      </c>
      <c r="B2078">
        <f>Skills!B7</f>
        <v/>
      </c>
      <c r="C2078">
        <f>Inputs!$B$3&gt;=107</f>
        <v/>
      </c>
      <c r="D2078">
        <f>IF(Skills!C7=1,60+Inputs!$B$25+Inputs!$B$29,IF(Skills!C7=2,90+Inputs!$B$26+Inputs!$B$29,IF(Skills!C7=3,120+Inputs!$B$27+Inputs!$B$29,MAX(0,(Inputs!$B$3-100)*3)+Inputs!$B$28+Inputs!$B$29)))</f>
        <v/>
      </c>
      <c r="E2078">
        <f>INDEX(FactorTable!$B$2:$Y$301, MATCH(ROUND(MIN(300,MAX(1,D2078)),0), FactorTable!$A$2:$A$301,0), Skills!M7+1)</f>
        <v/>
      </c>
      <c r="F2078">
        <f>IF(Skills!N7=TRUE,(Skills!L7/10)*(E2078/1000),Skills!L7/10)+Skills!O7</f>
        <v/>
      </c>
      <c r="G2078">
        <f>Skills!G7*IF(Skills!H7&gt;0,Skills!I7/Skills!H7,1)</f>
        <v/>
      </c>
      <c r="H2078">
        <f>1-(1-Skills!J7/100)^Skills!K7</f>
        <v/>
      </c>
      <c r="I2078" t="inlineStr">
        <is>
          <t>1</t>
        </is>
      </c>
      <c r="J2078">
        <f>((Inputs!$B$6*(1+Inputs!$B$7/100))+(((Inputs!$B$12*(1+Inputs!$B$13/100))-(Inputs!$B$12*(1+Inputs!$B$13/100)))+0.25*(Inputs!$B$14-Inputs!$B$14))*(1+Inputs!$B$7/100))*(F2078/100)</f>
        <v/>
      </c>
      <c r="K2078">
        <f>J2078*(1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2078)</f>
        <v/>
      </c>
      <c r="L2078">
        <f>K2078*(MIN(Inputs!$B$22+((C2093=TRUE)*(F2093-Calc!F22)),(Inputs!$B$23+((C2095=TRUE)*(F2095-Calc!F24))+(IF(ArtifactsInput!$M$15,CHOOSE(ArtifactsInput!$N$15+1,25,30,35,40,45,50)/100*(Inputs!$B$11-Inputs!$B$11),0))))/100+(Inputs!$B$23+((C2095=TRUE)*(F2095-Calc!F24))+(IF(ArtifactsInput!$M$15,CHOOSE(ArtifactsInput!$N$15+1,25,30,35,40,45,50)/100*(Inputs!$B$11-Inputs!$B$11),0)))/100)/2</f>
        <v/>
      </c>
      <c r="M2078">
        <f>L2078*(1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8">
        <f>L2078*(1-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2078*(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8">
        <f>(1-Summary!$B$11)*T2078+Summary!$B$11*V2078</f>
        <v/>
      </c>
      <c r="P2078">
        <f>IF(B2108=0,0,O2078/B2108)</f>
        <v/>
      </c>
      <c r="Q2078">
        <f>IFERROR(1/(IF(Inputs!$B$38="pvp",15,MAX(0.1,Skills!D7-IF(Skills!E7=TRUE,Inputs!$B$32,0)))*(1-IF(AND(ArtifactsInput!$M$27,Inputs!$B$4="Chapter Hunt"),CHOOSE(ArtifactsInput!$N$27+1,20,24,28,32,36,40),0)/100)),0)</f>
        <v/>
      </c>
      <c r="R2078">
        <f>IF(AND(Inputs!$B$38&lt;&gt;"pvp",Inputs!$B$43&gt;0),IF(MAX(0,Inputs!$B$43-B2105)&lt;=0,0,(INT(MAX(0,Inputs!$B$43-B2105)/(IF(Inputs!$B$38="pvp",15,MAX(0.1,Skills!D7-IF(Skills!E7=TRUE,Inputs!$B$32,0)))*(1-IF(AND(ArtifactsInput!$M$27,Inputs!$B$4="Chapter Hunt"),CHOOSE(ArtifactsInput!$N$27+1,20,24,28,32,36,40),0)/100)))+1)),0)</f>
        <v/>
      </c>
      <c r="S2078">
        <f>IFERROR(O2078/N2078,0)</f>
        <v/>
      </c>
      <c r="T2078">
        <f>IF(C2078,(H2078*N2078*IF(AND(Inputs!$B$38&lt;&gt;"pvp",Inputs!$B$43&gt;0),((Skills!G7*((R2078-1)*IF(Skills!H7&gt;0,Skills!I7/Skills!H7,1)+IF(Skills!H7&gt;0,MIN(Skills!I7,MAX(0,MAX(0,Inputs!$B$43-B2105)-((R2078-1)*(IF(Inputs!$B$38="pvp",15,MAX(0.1,Skills!D7-IF(Skills!E7=TRUE,Inputs!$B$32,0)))*(1-IF(AND(ArtifactsInput!$M$27,Inputs!$B$4="Chapter Hunt"),CHOOSE(ArtifactsInput!$N$27+1,20,24,28,32,36,40),0)/100)))))/Skills!H7,1)))/Inputs!$B$43),G2078*Q2078)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2078*(1-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2078*(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2078*(1-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2078*(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78">
        <f>IF(C2078,(H2078*N2078*IF(AND(Inputs!$B$38&lt;&gt;"pvp",Inputs!$B$43&gt;0),((Skills!G7*((R2078-1)*IF(Skills!H7&gt;0,Skills!I7/Skills!H7,1)+IF(Skills!H7&gt;0,MIN(Skills!I7,MAX(0,MAX(0,Inputs!$B$43-B2105)-((R2078-1)*(IF(Inputs!$B$38="pvp",15,MAX(0.1,Skills!D7-IF(Skills!E7=TRUE,Inputs!$B$32,0)))*(1-IF(AND(ArtifactsInput!$M$27,Inputs!$B$4="Chapter Hunt"),CHOOSE(ArtifactsInput!$N$27+1,20,24,28,32,36,40),0)/100)))))/Skills!H7,1)))/Inputs!$B$43),G2078*Q2078))*IF(Inputs!$B$38="pvp",1,(1+(Inputs!$B$21+Skills!Q7+(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79">
      <c r="A2079">
        <f>Skills!A8</f>
        <v/>
      </c>
      <c r="B2079">
        <f>Skills!B8</f>
        <v/>
      </c>
      <c r="C2079">
        <f>Inputs!$B$3&gt;=107</f>
        <v/>
      </c>
      <c r="D2079">
        <f>IF(Skills!C8=1,60+Inputs!$B$25+Inputs!$B$29,IF(Skills!C8=2,90+Inputs!$B$26+Inputs!$B$29,IF(Skills!C8=3,120+Inputs!$B$27+Inputs!$B$29,MAX(0,(Inputs!$B$3-100)*3)+Inputs!$B$28+Inputs!$B$29)))</f>
        <v/>
      </c>
      <c r="E2079">
        <f>INDEX(FactorTable!$B$2:$Y$301, MATCH(ROUND(MIN(300,MAX(1,D2079)),0), FactorTable!$A$2:$A$301,0), Skills!M8+1)</f>
        <v/>
      </c>
      <c r="F2079">
        <f>IF(Skills!N8=TRUE,(Skills!L8/10)*(E2079/1000),Skills!L8/10)+Skills!O8</f>
        <v/>
      </c>
      <c r="G2079">
        <f>Skills!G8*IF(Skills!H8&gt;0,Skills!I8/Skills!H8,1)</f>
        <v/>
      </c>
      <c r="H2079">
        <f>1-(1-Skills!J8/100)^Skills!K8</f>
        <v/>
      </c>
      <c r="I2079" t="inlineStr">
        <is>
          <t>1</t>
        </is>
      </c>
      <c r="J2079">
        <f>((Inputs!$B$6*(1+Inputs!$B$7/100))+(((Inputs!$B$12*(1+Inputs!$B$13/100))-(Inputs!$B$12*(1+Inputs!$B$13/100)))+0.25*(Inputs!$B$14-Inputs!$B$14))*(1+Inputs!$B$7/100))*(F2079/100)</f>
        <v/>
      </c>
      <c r="K2079">
        <f>J2079*(1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2079)</f>
        <v/>
      </c>
      <c r="L2079">
        <f>K2079*(MIN(Inputs!$B$22+((C2093=TRUE)*(F2093-Calc!F22)),(Inputs!$B$23+((C2095=TRUE)*(F2095-Calc!F24))+(IF(ArtifactsInput!$M$15,CHOOSE(ArtifactsInput!$N$15+1,25,30,35,40,45,50)/100*(Inputs!$B$11-Inputs!$B$11),0))))/100+(Inputs!$B$23+((C2095=TRUE)*(F2095-Calc!F24))+(IF(ArtifactsInput!$M$15,CHOOSE(ArtifactsInput!$N$15+1,25,30,35,40,45,50)/100*(Inputs!$B$11-Inputs!$B$11),0)))/100)/2</f>
        <v/>
      </c>
      <c r="M2079">
        <f>L2079*(1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79">
        <f>L2079*(1-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2079*(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79">
        <f>(1-Summary!$B$11)*T2079+Summary!$B$11*V2079</f>
        <v/>
      </c>
      <c r="P2079">
        <f>IF(B2108=0,0,O2079/B2108)</f>
        <v/>
      </c>
      <c r="Q2079">
        <f>IFERROR(1/(IF(Inputs!$B$38="pvp",15,MAX(0.1,Skills!D8-IF(Skills!E8=TRUE,Inputs!$B$32,0)))*(1-IF(AND(ArtifactsInput!$M$27,Inputs!$B$4="Chapter Hunt"),CHOOSE(ArtifactsInput!$N$27+1,20,24,28,32,36,40),0)/100)),0)</f>
        <v/>
      </c>
      <c r="R2079">
        <f>IF(AND(Inputs!$B$38&lt;&gt;"pvp",Inputs!$B$43&gt;0),IF(MAX(0,Inputs!$B$43-B2105)&lt;=0,0,(INT(MAX(0,Inputs!$B$43-B2105)/(IF(Inputs!$B$38="pvp",15,MAX(0.1,Skills!D8-IF(Skills!E8=TRUE,Inputs!$B$32,0)))*(1-IF(AND(ArtifactsInput!$M$27,Inputs!$B$4="Chapter Hunt"),CHOOSE(ArtifactsInput!$N$27+1,20,24,28,32,36,40),0)/100)))+1)),0)</f>
        <v/>
      </c>
      <c r="S2079">
        <f>IFERROR(O2079/N2079,0)</f>
        <v/>
      </c>
      <c r="T2079">
        <f>IF(C2079,(H2079*N2079*IF(AND(Inputs!$B$38&lt;&gt;"pvp",Inputs!$B$43&gt;0),((Skills!G8*((R2079-1)*IF(Skills!H8&gt;0,Skills!I8/Skills!H8,1)+IF(Skills!H8&gt;0,MIN(Skills!I8,MAX(0,MAX(0,Inputs!$B$43-B2105)-((R2079-1)*(IF(Inputs!$B$38="pvp",15,MAX(0.1,Skills!D8-IF(Skills!E8=TRUE,Inputs!$B$32,0)))*(1-IF(AND(ArtifactsInput!$M$27,Inputs!$B$4="Chapter Hunt"),CHOOSE(ArtifactsInput!$N$27+1,20,24,28,32,36,40),0)/100)))))/Skills!H8,1)))/Inputs!$B$43),G2079*Q2079)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2079*(1-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2079*(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2079*(1-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2079*(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79">
        <f>IF(C2079,(H2079*N2079*IF(AND(Inputs!$B$38&lt;&gt;"pvp",Inputs!$B$43&gt;0),((Skills!G8*((R2079-1)*IF(Skills!H8&gt;0,Skills!I8/Skills!H8,1)+IF(Skills!H8&gt;0,MIN(Skills!I8,MAX(0,MAX(0,Inputs!$B$43-B2105)-((R2079-1)*(IF(Inputs!$B$38="pvp",15,MAX(0.1,Skills!D8-IF(Skills!E8=TRUE,Inputs!$B$32,0)))*(1-IF(AND(ArtifactsInput!$M$27,Inputs!$B$4="Chapter Hunt"),CHOOSE(ArtifactsInput!$N$27+1,20,24,28,32,36,40),0)/100)))))/Skills!H8,1)))/Inputs!$B$43),G2079*Q2079))*IF(Inputs!$B$38="pvp",1,(1+(Inputs!$B$21+Skills!Q8+(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0">
      <c r="A2080">
        <f>Skills!A9</f>
        <v/>
      </c>
      <c r="B2080">
        <f>Skills!B9</f>
        <v/>
      </c>
      <c r="C2080">
        <f>Inputs!$B$3&gt;=125</f>
        <v/>
      </c>
      <c r="D2080">
        <f>IF(Skills!C9=1,60+Inputs!$B$25+Inputs!$B$29,IF(Skills!C9=2,90+Inputs!$B$26+Inputs!$B$29,IF(Skills!C9=3,120+Inputs!$B$27+Inputs!$B$29,MAX(0,(Inputs!$B$3-100)*3)+Inputs!$B$28+Inputs!$B$29)))</f>
        <v/>
      </c>
      <c r="E2080">
        <f>INDEX(FactorTable!$B$2:$Y$301, MATCH(ROUND(MIN(300,MAX(1,D2080)),0), FactorTable!$A$2:$A$301,0), Skills!M9+1)</f>
        <v/>
      </c>
      <c r="F2080">
        <f>IF(Skills!N9=TRUE,(Skills!L9/10)*(E2080/1000),Skills!L9/10)+Skills!O9</f>
        <v/>
      </c>
      <c r="G2080">
        <f>Skills!G9*IF(Skills!H9&gt;0,Skills!I9/Skills!H9,1)</f>
        <v/>
      </c>
      <c r="H2080">
        <f>1-(1-Skills!J9/100)^Skills!K9</f>
        <v/>
      </c>
      <c r="I2080" t="inlineStr">
        <is>
          <t>1</t>
        </is>
      </c>
      <c r="J2080">
        <f>((Inputs!$B$6*(1+Inputs!$B$7/100))+(((Inputs!$B$12*(1+Inputs!$B$13/100))-(Inputs!$B$12*(1+Inputs!$B$13/100)))+0.25*(Inputs!$B$14-Inputs!$B$14))*(1+Inputs!$B$7/100))*(F2080/100)</f>
        <v/>
      </c>
      <c r="K2080">
        <f>J2080*(1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2080)</f>
        <v/>
      </c>
      <c r="L2080">
        <f>K2080*(MIN(Inputs!$B$22+((C2093=TRUE)*(F2093-Calc!F22)),(Inputs!$B$23+((C2095=TRUE)*(F2095-Calc!F24))+(IF(ArtifactsInput!$M$15,CHOOSE(ArtifactsInput!$N$15+1,25,30,35,40,45,50)/100*(Inputs!$B$11-Inputs!$B$11),0))))/100+(Inputs!$B$23+((C2095=TRUE)*(F2095-Calc!F24))+(IF(ArtifactsInput!$M$15,CHOOSE(ArtifactsInput!$N$15+1,25,30,35,40,45,50)/100*(Inputs!$B$11-Inputs!$B$11),0)))/100)/2</f>
        <v/>
      </c>
      <c r="M2080">
        <f>L2080*(1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0">
        <f>L2080*(1-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2080*(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0">
        <f>(1-Summary!$B$11)*T2080+Summary!$B$11*V2080</f>
        <v/>
      </c>
      <c r="P2080">
        <f>IF(B2108=0,0,O2080/B2108)</f>
        <v/>
      </c>
      <c r="Q2080">
        <f>IFERROR(1/(IF(Inputs!$B$38="pvp",15,MAX(0.1,Skills!D9-IF(Skills!E9=TRUE,Inputs!$B$32,0)))*(1-IF(AND(ArtifactsInput!$M$27,Inputs!$B$4="Chapter Hunt"),CHOOSE(ArtifactsInput!$N$27+1,20,24,28,32,36,40),0)/100)),0)</f>
        <v/>
      </c>
      <c r="R2080">
        <f>IF(AND(Inputs!$B$38&lt;&gt;"pvp",Inputs!$B$43&gt;0),IF(MAX(0,Inputs!$B$43-B2105)&lt;=0,0,(INT(MAX(0,Inputs!$B$43-B2105)/(IF(Inputs!$B$38="pvp",15,MAX(0.1,Skills!D9-IF(Skills!E9=TRUE,Inputs!$B$32,0)))*(1-IF(AND(ArtifactsInput!$M$27,Inputs!$B$4="Chapter Hunt"),CHOOSE(ArtifactsInput!$N$27+1,20,24,28,32,36,40),0)/100)))+1)),0)</f>
        <v/>
      </c>
      <c r="S2080">
        <f>IFERROR(O2080/N2080,0)</f>
        <v/>
      </c>
      <c r="T2080">
        <f>IF(C2080,(H2080*N2080*IF(AND(Inputs!$B$38&lt;&gt;"pvp",Inputs!$B$43&gt;0),((Skills!G9*((R2080-1)*IF(Skills!H9&gt;0,Skills!I9/Skills!H9,1)+IF(Skills!H9&gt;0,MIN(Skills!I9,MAX(0,MAX(0,Inputs!$B$43-B2105)-((R2080-1)*(IF(Inputs!$B$38="pvp",15,MAX(0.1,Skills!D9-IF(Skills!E9=TRUE,Inputs!$B$32,0)))*(1-IF(AND(ArtifactsInput!$M$27,Inputs!$B$4="Chapter Hunt"),CHOOSE(ArtifactsInput!$N$27+1,20,24,28,32,36,40),0)/100)))))/Skills!H9,1)))/Inputs!$B$43),G2080*Q2080)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2080*(1-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2080*(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2080*(1-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2080*(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80">
        <f>IF(C2080,(H2080*N2080*IF(AND(Inputs!$B$38&lt;&gt;"pvp",Inputs!$B$43&gt;0),((Skills!G9*((R2080-1)*IF(Skills!H9&gt;0,Skills!I9/Skills!H9,1)+IF(Skills!H9&gt;0,MIN(Skills!I9,MAX(0,MAX(0,Inputs!$B$43-B2105)-((R2080-1)*(IF(Inputs!$B$38="pvp",15,MAX(0.1,Skills!D9-IF(Skills!E9=TRUE,Inputs!$B$32,0)))*(1-IF(AND(ArtifactsInput!$M$27,Inputs!$B$4="Chapter Hunt"),CHOOSE(ArtifactsInput!$N$27+1,20,24,28,32,36,40),0)/100)))))/Skills!H9,1)))/Inputs!$B$43),G2080*Q2080))*IF(Inputs!$B$38="pvp",1,(1+(Inputs!$B$21+Skills!Q9+(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1">
      <c r="A2081">
        <f>Skills!A10</f>
        <v/>
      </c>
      <c r="B2081">
        <f>Skills!B10</f>
        <v/>
      </c>
      <c r="C2081">
        <f>Inputs!$B$3&gt;=117</f>
        <v/>
      </c>
      <c r="D2081">
        <f>IF(Skills!C10=1,60+Inputs!$B$25+Inputs!$B$29,IF(Skills!C10=2,90+Inputs!$B$26+Inputs!$B$29,IF(Skills!C10=3,120+Inputs!$B$27+Inputs!$B$29,MAX(0,(Inputs!$B$3-100)*3)+Inputs!$B$28+Inputs!$B$29)))</f>
        <v/>
      </c>
      <c r="E2081">
        <f>INDEX(FactorTable!$B$2:$Y$301, MATCH(ROUND(MIN(300,MAX(1,D2081)),0), FactorTable!$A$2:$A$301,0), Skills!M10+1)</f>
        <v/>
      </c>
      <c r="F2081">
        <f>IF(Skills!N10=TRUE,(Skills!L10/10)*(E2081/1000),Skills!L10/10)+Skills!O10</f>
        <v/>
      </c>
      <c r="G2081">
        <f>Skills!G10*IF(Skills!H10&gt;0,Skills!I10/Skills!H10,1)</f>
        <v/>
      </c>
      <c r="H2081">
        <f>1-(1-Skills!J10/100)^Skills!K10</f>
        <v/>
      </c>
      <c r="I2081" t="inlineStr">
        <is>
          <t>1</t>
        </is>
      </c>
      <c r="J2081">
        <f>((Inputs!$B$6*(1+Inputs!$B$7/100))+(((Inputs!$B$12*(1+Inputs!$B$13/100))-(Inputs!$B$12*(1+Inputs!$B$13/100)))+0.25*(Inputs!$B$14-Inputs!$B$14))*(1+Inputs!$B$7/100))*(F2081/100)</f>
        <v/>
      </c>
      <c r="K2081">
        <f>J2081*(1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2081)</f>
        <v/>
      </c>
      <c r="L2081">
        <f>K2081*(MIN(Inputs!$B$22+((C2093=TRUE)*(F2093-Calc!F22)),(Inputs!$B$23+((C2095=TRUE)*(F2095-Calc!F24))+(IF(ArtifactsInput!$M$15,CHOOSE(ArtifactsInput!$N$15+1,25,30,35,40,45,50)/100*(Inputs!$B$11-Inputs!$B$11),0))))/100+(Inputs!$B$23+((C2095=TRUE)*(F2095-Calc!F24))+(IF(ArtifactsInput!$M$15,CHOOSE(ArtifactsInput!$N$15+1,25,30,35,40,45,50)/100*(Inputs!$B$11-Inputs!$B$11),0)))/100)/2</f>
        <v/>
      </c>
      <c r="M2081">
        <f>L2081*(1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1">
        <f>L2081*(1-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1">
        <f>(1-Summary!$B$11)*T2081+Summary!$B$11*V2081</f>
        <v/>
      </c>
      <c r="P2081">
        <f>IF(B2108=0,0,O2081/B2108)</f>
        <v/>
      </c>
      <c r="Q2081">
        <f>IFERROR(1/(IF(Inputs!$B$38="pvp",15,MAX(0.1,Skills!D10-IF(Skills!E10=TRUE,Inputs!$B$32,0)))*(1-IF(AND(ArtifactsInput!$M$27,Inputs!$B$4="Chapter Hunt"),CHOOSE(ArtifactsInput!$N$27+1,20,24,28,32,36,40),0)/100)),0)</f>
        <v/>
      </c>
      <c r="R2081">
        <f>IF(AND(Inputs!$B$38&lt;&gt;"pvp",Inputs!$B$43&gt;0),IF(MAX(0,Inputs!$B$43-B2105)&lt;=0,0,(INT(MAX(0,Inputs!$B$43-B2105)/(IF(Inputs!$B$38="pvp",15,MAX(0.1,Skills!D10-IF(Skills!E10=TRUE,Inputs!$B$32,0)))*(1-IF(AND(ArtifactsInput!$M$27,Inputs!$B$4="Chapter Hunt"),CHOOSE(ArtifactsInput!$N$27+1,20,24,28,32,36,40),0)/100)))+1)),0)</f>
        <v/>
      </c>
      <c r="S2081">
        <f>IFERROR(O2081/N2081,0)</f>
        <v/>
      </c>
      <c r="T2081">
        <f>IF(C2081,(H2081*N2081*IF(AND(Inputs!$B$38&lt;&gt;"pvp",Inputs!$B$43&gt;0),((Skills!G10*((R2081-1)*IF(Skills!H10&gt;0,Skills!I10/Skills!H10,1)+IF(Skills!H10&gt;0,MIN(Skills!I10,MAX(0,MAX(0,Inputs!$B$43-B2105)-((R2081-1)*(IF(Inputs!$B$38="pvp",15,MAX(0.1,Skills!D10-IF(Skills!E10=TRUE,Inputs!$B$32,0)))*(1-IF(AND(ArtifactsInput!$M$27,Inputs!$B$4="Chapter Hunt"),CHOOSE(ArtifactsInput!$N$27+1,20,24,28,32,36,40),0)/100)))))/Skills!H10,1)))/Inputs!$B$43),G2081*Q2081)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2081*(1-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2081*(1-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81">
        <f>IF(C2081,(H2081*N2081*IF(AND(Inputs!$B$38&lt;&gt;"pvp",Inputs!$B$43&gt;0),((Skills!G10*((R2081-1)*IF(Skills!H10&gt;0,Skills!I10/Skills!H10,1)+IF(Skills!H10&gt;0,MIN(Skills!I10,MAX(0,MAX(0,Inputs!$B$43-B2105)-((R2081-1)*(IF(Inputs!$B$38="pvp",15,MAX(0.1,Skills!D10-IF(Skills!E10=TRUE,Inputs!$B$32,0)))*(1-IF(AND(ArtifactsInput!$M$27,Inputs!$B$4="Chapter Hunt"),CHOOSE(ArtifactsInput!$N$27+1,20,24,28,32,36,40),0)/100)))))/Skills!H10,1)))/Inputs!$B$43),G2081*Q2081))*IF(Inputs!$B$38="pvp",1,(1+(Inputs!$B$21+Skills!Q10+(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2">
      <c r="A2082">
        <f>Skills!A11</f>
        <v/>
      </c>
      <c r="B2082">
        <f>Skills!B11</f>
        <v/>
      </c>
      <c r="C2082">
        <f>Inputs!$B$3&gt;=63</f>
        <v/>
      </c>
      <c r="D2082">
        <f>IF(Skills!C11=1,60+Inputs!$B$25+Inputs!$B$29,IF(Skills!C11=2,90+Inputs!$B$26+Inputs!$B$29,IF(Skills!C11=3,120+Inputs!$B$27+Inputs!$B$29,MAX(0,(Inputs!$B$3-100)*3)+Inputs!$B$28+Inputs!$B$29)))</f>
        <v/>
      </c>
      <c r="E2082">
        <f>INDEX(FactorTable!$B$2:$Y$301, MATCH(ROUND(MIN(300,MAX(1,D2082)),0), FactorTable!$A$2:$A$301,0), Skills!M11+1)</f>
        <v/>
      </c>
      <c r="F2082">
        <f>IF(Skills!N11=TRUE,(Skills!L11/10)*(E2082/1000),Skills!L11/10)+Skills!O11</f>
        <v/>
      </c>
      <c r="G2082">
        <f>Skills!G11*IF(Skills!H11&gt;0,Skills!I11/Skills!H11,1)</f>
        <v/>
      </c>
      <c r="H2082">
        <f>1-(1-Skills!J11/100)^Skills!K11</f>
        <v/>
      </c>
      <c r="I2082" t="inlineStr">
        <is>
          <t>1</t>
        </is>
      </c>
      <c r="J2082">
        <f>((Inputs!$B$6*(1+Inputs!$B$7/100))+(((Inputs!$B$12*(1+Inputs!$B$13/100))-(Inputs!$B$12*(1+Inputs!$B$13/100)))+0.25*(Inputs!$B$14-Inputs!$B$14))*(1+Inputs!$B$7/100))*(F2082/100)</f>
        <v/>
      </c>
      <c r="K2082">
        <f>J2082*(1+((Inputs!$B$12*(1+Inputs!$B$13/100))*0.01+Inputs!$B$14*0.0025)/100)*(1+Inputs!$B$15/100)*(1+Inputs!$B$16/100)*(5000/(6000+Inputs!$B$42*(1-(Inputs!$B$19+0)/100)))*(1+(Inputs!$B$24+0+B2104)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2083=TRUE,F2083,0)/100)*(1+(IF(Skills!A11="BLAST",Inputs!$B$17+((C2092=TRUE)*(F2092-Calc!F21))+((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MIN(100,((Inputs!$B$9+0+B2098+(ArtifactsInput!$M$24-ArtifactsInput!$M$24)*CHOOSE(ArtifactsInput!$N$24+1,10,12,14,16,18,20)+IF(ArtifactsInput!$M$10,CHOOSE(ArtifactsInput!$N$10+1,15,18,21,24,27,30)*(IF(Inputs!$B$38="pvp",MIN(15,15)/15,IF(AND(Inputs!$B$38&lt;&gt;"pvp",Inputs!$B$43&gt;0),MIN(15,Inputs!$B$43)/(Inputs!$B$43),0))),0)))-100),0))*CHOOSE(ArtifactsInput!$N$42+1,0.6,0.72,0.84,0.96,1.08,1.2))),Inputs!$B$18+((C2094=TRUE)*(F2094-Calc!F23))+(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gt;=100),CHOOSE(ArtifactsInput!$N$42+1,40,48,56,64,72,80),0))))/100)*((1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2082)</f>
        <v/>
      </c>
      <c r="L2082">
        <f>K2082*(MIN(Inputs!$B$22+((C2093=TRUE)*(F2093-Calc!F22)),(Inputs!$B$23+((C2095=TRUE)*(F2095-Calc!F24))+(IF(ArtifactsInput!$M$15,CHOOSE(ArtifactsInput!$N$15+1,25,30,35,40,45,50)/100*(Inputs!$B$11-Inputs!$B$11),0))))/100+(Inputs!$B$23+((C2095=TRUE)*(F2095-Calc!F24))+(IF(ArtifactsInput!$M$15,CHOOSE(ArtifactsInput!$N$15+1,25,30,35,40,45,50)/100*(Inputs!$B$11-Inputs!$B$11),0)))/100)/2</f>
        <v/>
      </c>
      <c r="M2082">
        <f>L2082*(1+(Inputs!$B$10+0+B2103+(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2">
        <f>L2082*(1-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2082*(MIN((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2">
        <f>(1-Summary!$B$11)*T2082+Summary!$B$11*V2082</f>
        <v/>
      </c>
      <c r="P2082">
        <f>IF(B2108=0,0,O2082/B2108)</f>
        <v/>
      </c>
      <c r="Q2082">
        <f>IFERROR(1/(IF(Inputs!$B$38="pvp",15,MAX(0.1,Skills!D11-IF(Skills!E11=TRUE,Inputs!$B$32,0)))*(1-IF(AND(ArtifactsInput!$M$27,Inputs!$B$4="Chapter Hunt"),CHOOSE(ArtifactsInput!$N$27+1,20,24,28,32,36,40),0)/100)),0)</f>
        <v/>
      </c>
      <c r="R2082">
        <f>IF(AND(Inputs!$B$38&lt;&gt;"pvp",Inputs!$B$43&gt;0),IF(MAX(0,Inputs!$B$43-B2105)&lt;=0,0,(INT(MAX(0,Inputs!$B$43-B2105)/(IF(Inputs!$B$38="pvp",15,MAX(0.1,Skills!D11-IF(Skills!E11=TRUE,Inputs!$B$32,0)))*(1-IF(AND(ArtifactsInput!$M$27,Inputs!$B$4="Chapter Hunt"),CHOOSE(ArtifactsInput!$N$27+1,20,24,28,32,36,40),0)/100)))+1)),0)</f>
        <v/>
      </c>
      <c r="S2082">
        <f>IFERROR(O2082/N2082,0)</f>
        <v/>
      </c>
      <c r="T2082">
        <f>IF(C2082,(H2082*N2082*IF(AND(Inputs!$B$38&lt;&gt;"pvp",Inputs!$B$43&gt;0),((Skills!G11*((R2082-1)*IF(Skills!H11&gt;0,Skills!I11/Skills!H11,1)+IF(Skills!H11&gt;0,MIN(Skills!I11,MAX(0,MAX(0,Inputs!$B$43-B2105)-((R2082-1)*(IF(Inputs!$B$38="pvp",15,MAX(0.1,Skills!D11-IF(Skills!E11=TRUE,Inputs!$B$32,0)))*(1-IF(AND(ArtifactsInput!$M$27,Inputs!$B$4="Chapter Hunt"),CHOOSE(ArtifactsInput!$N$27+1,20,24,28,32,36,40),0)/100)))))/Skills!H11,1)))/Inputs!$B$43),G2082*Q2082)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2082*(1-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2082*(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2082*(1-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2082*(MIN(100,(Inputs!$B$9+0+B2098+(ArtifactsInput!$M$24-ArtifactsInput!$M$24)*CHOOSE(ArtifactsInput!$N$24+1,10,12,14,16,18,20)+(IF(AND(Inputs!$B$38&lt;&gt;"pvp",Inputs!$B$43=0),1,IF(IF(Inputs!$B$38="pvp",15,Inputs!$B$43)-(B2105)&lt;=0,1,MAX(0,IF(Inputs!$B$38="pvp",15,Inputs!$B$43)-MAX(5,B2105))/(IF(Inputs!$B$38="pvp",15,Inputs!$B$43)-(B2105))))*IF(AND(ArtifactsInput!$M$42,((Inputs!$B$9+0+B2098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82">
        <f>IF(C2082,(H2082*N2082*IF(AND(Inputs!$B$38&lt;&gt;"pvp",Inputs!$B$43&gt;0),((Skills!G11*((R2082-1)*IF(Skills!H11&gt;0,Skills!I11/Skills!H11,1)+IF(Skills!H11&gt;0,MIN(Skills!I11,MAX(0,MAX(0,Inputs!$B$43-B2105)-((R2082-1)*(IF(Inputs!$B$38="pvp",15,MAX(0.1,Skills!D11-IF(Skills!E11=TRUE,Inputs!$B$32,0)))*(1-IF(AND(ArtifactsInput!$M$27,Inputs!$B$4="Chapter Hunt"),CHOOSE(ArtifactsInput!$N$27+1,20,24,28,32,36,40),0)/100)))))/Skills!H11,1)))/Inputs!$B$43),G2082*Q2082))*IF(Inputs!$B$38="pvp",1,(1+(Inputs!$B$21+Skills!Q11+(IF(ArtifactsInput!$M$33,CHOOSE(ArtifactsInput!$N$33+1,30,36,42,48,54,60),0))+(IF(AND(ArtifactsInput!$M$35,Inputs!$B$4&lt;&gt;"Chapter Hunt"),CHOOSE(ArtifactsInput!$N$35+1,15,18,21,24,27,30)*(1-EXP(-(0.2*B2100)*5)),0)+IF(AND(ArtifactsInput!$M$22,Inputs!$B$4&lt;&gt;"Chapter Hunt"),CHOOSE(ArtifactsInput!$N$22+1,10,12,14,16,18,20)*((0*(((0.15*B2100*5))^0/1)+1*(((0.15*B2100*5))^1/1)+2*(((0.15*B2100*5))^2/2)+3*(((0.15*B2100*5))^3/6)+4*(((0.15*B2100*5))^4/24)+5*(((0.15*B2100*5))^5/120))/((((0.15*B2100*5))^0/1)+(((0.15*B2100*5))^1/1)+(((0.15*B2100*5))^2/2)+(((0.15*B2100*5))^3/6)+(((0.15*B2100*5))^4/24)+(((0.15*B2100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3">
      <c r="A2083">
        <f>Skills!A12</f>
        <v/>
      </c>
      <c r="B2083">
        <f>Skills!B12</f>
        <v/>
      </c>
      <c r="C2083">
        <f>Inputs!$B$3&gt;=100</f>
        <v/>
      </c>
      <c r="D2083">
        <f>IF(Skills!C12=1,60+Inputs!$B$25+Inputs!$B$29,IF(Skills!C12=2,90+Inputs!$B$26+Inputs!$B$29,IF(Skills!C12=3,120+Inputs!$B$27+Inputs!$B$29,MAX(0,(Inputs!$B$3-100)*3)+Inputs!$B$28+Inputs!$B$29)))</f>
        <v/>
      </c>
      <c r="E2083">
        <f>INDEX(FactorTable!$B$2:$Y$301, MATCH(ROUND(MIN(300,MAX(1,D2083)),0), FactorTable!$A$2:$A$301,0), Skills!M12+1)</f>
        <v/>
      </c>
      <c r="F2083">
        <f>IF(Skills!N12=TRUE,(Skills!L12/10)*(E2083/1000),Skills!L12/10)+Skills!O12</f>
        <v/>
      </c>
      <c r="G2083" t="inlineStr"/>
      <c r="H2083" t="inlineStr"/>
      <c r="I2083" t="inlineStr">
        <is>
          <t>1</t>
        </is>
      </c>
      <c r="J2083" t="inlineStr"/>
      <c r="K2083" t="inlineStr"/>
      <c r="L2083" t="inlineStr"/>
      <c r="M2083" t="inlineStr"/>
      <c r="N2083" t="inlineStr"/>
      <c r="O2083" t="inlineStr"/>
      <c r="P2083" t="inlineStr"/>
      <c r="Q2083" t="inlineStr"/>
      <c r="R2083" t="inlineStr"/>
      <c r="S2083" t="inlineStr"/>
    </row>
    <row r="2084">
      <c r="A2084">
        <f>Skills!A13</f>
        <v/>
      </c>
      <c r="B2084">
        <f>Skills!B13</f>
        <v/>
      </c>
      <c r="C2084">
        <f>Inputs!$B$3&gt;=45</f>
        <v/>
      </c>
      <c r="D2084">
        <f>IF(Skills!C13=1,60+Inputs!$B$25+Inputs!$B$29,IF(Skills!C13=2,90+Inputs!$B$26+Inputs!$B$29,IF(Skills!C13=3,120+Inputs!$B$27+Inputs!$B$29,MAX(0,(Inputs!$B$3-100)*3)+Inputs!$B$28+Inputs!$B$29)))</f>
        <v/>
      </c>
      <c r="E2084">
        <f>INDEX(FactorTable!$B$2:$Y$301, MATCH(ROUND(MIN(300,MAX(1,D2084)),0), FactorTable!$A$2:$A$301,0), Skills!M13+1)</f>
        <v/>
      </c>
      <c r="F2084">
        <f>IF(Skills!N13=TRUE,(Skills!L13/10)*(E2084/1000),Skills!L13/10)+Skills!O13</f>
        <v/>
      </c>
      <c r="G2084">
        <f>Skills!G13*IF(Skills!H13&gt;0,Skills!I13/Skills!H13,1)</f>
        <v/>
      </c>
      <c r="H2084">
        <f>1-(1-Skills!J13/100)^Skills!K13</f>
        <v/>
      </c>
      <c r="I2084" t="inlineStr">
        <is>
          <t>1</t>
        </is>
      </c>
      <c r="J2084" t="inlineStr"/>
      <c r="K2084" t="inlineStr"/>
      <c r="L2084" t="inlineStr"/>
      <c r="M2084" t="inlineStr"/>
      <c r="N2084" t="inlineStr"/>
      <c r="O2084">
        <f>(1-Summary!$B$11)*T2084+Summary!$B$11*V2084</f>
        <v/>
      </c>
      <c r="P2084">
        <f>IF(B2108=0,0,O2084/B2108)</f>
        <v/>
      </c>
      <c r="Q2084" t="n">
        <v>0</v>
      </c>
      <c r="R2084" t="n">
        <v>0</v>
      </c>
      <c r="S2084">
        <f>IFERROR(O2084/N2084,0)</f>
        <v/>
      </c>
      <c r="T2084" t="n">
        <v>0</v>
      </c>
      <c r="V2084" t="n">
        <v>0</v>
      </c>
    </row>
    <row r="2085">
      <c r="A2085">
        <f>Skills!A14</f>
        <v/>
      </c>
      <c r="B2085">
        <f>Skills!B14</f>
        <v/>
      </c>
      <c r="C2085">
        <f>Inputs!$B$3&gt;=110</f>
        <v/>
      </c>
      <c r="D2085">
        <f>IF(Skills!C14=1,60+Inputs!$B$25+Inputs!$B$29,IF(Skills!C14=2,90+Inputs!$B$26+Inputs!$B$29,IF(Skills!C14=3,120+Inputs!$B$27+Inputs!$B$29,MAX(0,(Inputs!$B$3-100)*3)+Inputs!$B$28+Inputs!$B$29)))</f>
        <v/>
      </c>
      <c r="E2085">
        <f>INDEX(FactorTable!$B$2:$Y$301, MATCH(ROUND(MIN(300,MAX(1,D2085)),0), FactorTable!$A$2:$A$301,0), Skills!M14+1)</f>
        <v/>
      </c>
      <c r="F2085">
        <f>IF(Skills!N14=TRUE,(Skills!L14/10)*(E2085/1000),Skills!L14/10)+Skills!O14</f>
        <v/>
      </c>
      <c r="G2085">
        <f>Skills!G14*IF(Skills!H14&gt;0,Skills!I14/Skills!H14,1)</f>
        <v/>
      </c>
      <c r="H2085">
        <f>1-(1-Skills!J14/100)^Skills!K14</f>
        <v/>
      </c>
      <c r="I2085" t="inlineStr">
        <is>
          <t>1</t>
        </is>
      </c>
      <c r="J2085" t="inlineStr"/>
      <c r="K2085" t="inlineStr"/>
      <c r="L2085" t="inlineStr"/>
      <c r="M2085" t="inlineStr"/>
      <c r="N2085" t="inlineStr"/>
      <c r="O2085">
        <f>(1-Summary!$B$11)*T2085+Summary!$B$11*V2085</f>
        <v/>
      </c>
      <c r="P2085">
        <f>IF(B2108=0,0,O2085/B2108)</f>
        <v/>
      </c>
      <c r="Q2085" t="n">
        <v>0</v>
      </c>
      <c r="R2085" t="n">
        <v>0</v>
      </c>
      <c r="S2085">
        <f>IFERROR(O2085/N2085,0)</f>
        <v/>
      </c>
      <c r="T2085" t="n">
        <v>0</v>
      </c>
      <c r="V2085" t="n">
        <v>0</v>
      </c>
    </row>
    <row r="2086">
      <c r="A2086">
        <f>Skills!A15</f>
        <v/>
      </c>
      <c r="B2086">
        <f>Skills!B15</f>
        <v/>
      </c>
      <c r="C2086">
        <f>Inputs!$B$3&gt;=75</f>
        <v/>
      </c>
      <c r="D2086">
        <f>IF(Skills!C15=1,60+Inputs!$B$25+Inputs!$B$29,IF(Skills!C15=2,90+Inputs!$B$26+Inputs!$B$29,IF(Skills!C15=3,120+Inputs!$B$27+Inputs!$B$29,MAX(0,(Inputs!$B$3-100)*3)+Inputs!$B$28+Inputs!$B$29)))</f>
        <v/>
      </c>
      <c r="E2086">
        <f>INDEX(FactorTable!$B$2:$Y$301, MATCH(ROUND(MIN(300,MAX(1,D2086)),0), FactorTable!$A$2:$A$301,0), Skills!M15+1)</f>
        <v/>
      </c>
      <c r="F2086">
        <f>IF(Skills!N15=TRUE,(Skills!L15/10)*(E2086/1000),Skills!L15/10)+Skills!O15</f>
        <v/>
      </c>
      <c r="G2086">
        <f>Skills!G15*IF(Skills!H15&gt;0,Skills!I15/Skills!H15,1)</f>
        <v/>
      </c>
      <c r="H2086">
        <f>1-(1-Skills!J15/100)^Skills!K15</f>
        <v/>
      </c>
      <c r="I2086" t="inlineStr">
        <is>
          <t>1</t>
        </is>
      </c>
      <c r="J2086" t="inlineStr"/>
      <c r="K2086" t="inlineStr"/>
      <c r="L2086" t="inlineStr"/>
      <c r="M2086" t="inlineStr"/>
      <c r="N2086" t="inlineStr"/>
      <c r="O2086">
        <f>(1-Summary!$B$11)*T2086+Summary!$B$11*V2086</f>
        <v/>
      </c>
      <c r="P2086">
        <f>IF(B2108=0,0,O2086/B2108)</f>
        <v/>
      </c>
      <c r="Q2086">
        <f>IFERROR(1/(IF(Inputs!$B$38="pvp",15,MAX(0.1,Skills!D15-IF(Skills!E15=TRUE,Inputs!$B$32,0)))*(1-IF(AND(ArtifactsInput!$M$27,Inputs!$B$4="Chapter Hunt"),CHOOSE(ArtifactsInput!$N$27+1,20,24,28,32,36,40),0)/100)),0)</f>
        <v/>
      </c>
      <c r="R2086">
        <f>IF(AND(Inputs!$B$38&lt;&gt;"pvp",Inputs!$B$43&gt;0),IF(Inputs!$B$43&lt;=0,0,(INT(Inputs!$B$43/(IF(Inputs!$B$38="pvp",15,MAX(0.1,Skills!D15-IF(Skills!E15=TRUE,Inputs!$B$32,0)))*(1-IF(AND(ArtifactsInput!$M$27,Inputs!$B$4="Chapter Hunt"),CHOOSE(ArtifactsInput!$N$27+1,20,24,28,32,36,40),0)/100)))+1)),0)</f>
        <v/>
      </c>
      <c r="S2086">
        <f>IFERROR(O2086/N2086,0)</f>
        <v/>
      </c>
      <c r="T2086" t="n">
        <v>0</v>
      </c>
      <c r="V2086" t="n">
        <v>0</v>
      </c>
    </row>
    <row r="2087">
      <c r="A2087">
        <f>Skills!A16</f>
        <v/>
      </c>
      <c r="B2087">
        <f>Skills!B16</f>
        <v/>
      </c>
      <c r="C2087">
        <f>Inputs!$B$3&gt;=105</f>
        <v/>
      </c>
      <c r="D2087">
        <f>IF(Skills!C16=1,60+Inputs!$B$25+Inputs!$B$29,IF(Skills!C16=2,90+Inputs!$B$26+Inputs!$B$29,IF(Skills!C16=3,120+Inputs!$B$27+Inputs!$B$29,MAX(0,(Inputs!$B$3-100)*3)+Inputs!$B$28+Inputs!$B$29)))</f>
        <v/>
      </c>
      <c r="E2087">
        <f>INDEX(FactorTable!$B$2:$Y$301, MATCH(ROUND(MIN(300,MAX(1,D2087)),0), FactorTable!$A$2:$A$301,0), Skills!M16+1)</f>
        <v/>
      </c>
      <c r="F2087">
        <f>IF(Skills!N16=TRUE,(Skills!L16/10)*(E2087/1000),Skills!L16/10)+Skills!O16</f>
        <v/>
      </c>
      <c r="G2087">
        <f>Skills!G16*IF(Skills!H16&gt;0,Skills!I16/Skills!H16,1)</f>
        <v/>
      </c>
      <c r="H2087">
        <f>1-(1-Skills!J16/100)^Skills!K16</f>
        <v/>
      </c>
      <c r="I2087" t="inlineStr">
        <is>
          <t>1</t>
        </is>
      </c>
      <c r="J2087" t="inlineStr"/>
      <c r="K2087" t="inlineStr"/>
      <c r="L2087" t="inlineStr"/>
      <c r="M2087" t="inlineStr"/>
      <c r="N2087" t="inlineStr"/>
      <c r="O2087">
        <f>(1-Summary!$B$11)*T2087+Summary!$B$11*V2087</f>
        <v/>
      </c>
      <c r="P2087">
        <f>IF(B2108=0,0,O2087/B2108)</f>
        <v/>
      </c>
      <c r="Q2087">
        <f>IFERROR(1/(IF(Inputs!$B$38="pvp",15,MAX(0.1,Skills!D16-IF(Skills!E16=TRUE,Inputs!$B$32,0)))*(1-IF(AND(ArtifactsInput!$M$27,Inputs!$B$4="Chapter Hunt"),CHOOSE(ArtifactsInput!$N$27+1,20,24,28,32,36,40),0)/100)),0)</f>
        <v/>
      </c>
      <c r="R2087">
        <f>IF(AND(Inputs!$B$38&lt;&gt;"pvp",Inputs!$B$43&gt;0),IF(Inputs!$B$43&lt;=0,0,(INT(Inputs!$B$43/(IF(Inputs!$B$38="pvp",15,MAX(0.1,Skills!D16-IF(Skills!E16=TRUE,Inputs!$B$32,0)))*(1-IF(AND(ArtifactsInput!$M$27,Inputs!$B$4="Chapter Hunt"),CHOOSE(ArtifactsInput!$N$27+1,20,24,28,32,36,40),0)/100)))+1)),0)</f>
        <v/>
      </c>
      <c r="S2087">
        <f>IFERROR(O2087/N2087,0)</f>
        <v/>
      </c>
      <c r="T2087" t="n">
        <v>0</v>
      </c>
      <c r="V2087" t="n">
        <v>0</v>
      </c>
    </row>
    <row r="2088">
      <c r="A2088">
        <f>Skills!A17</f>
        <v/>
      </c>
      <c r="B2088">
        <f>Skills!B17</f>
        <v/>
      </c>
      <c r="C2088">
        <f>Inputs!$B$3&gt;=115</f>
        <v/>
      </c>
      <c r="D2088">
        <f>IF(Skills!C17=1,60+Inputs!$B$25+Inputs!$B$29,IF(Skills!C17=2,90+Inputs!$B$26+Inputs!$B$29,IF(Skills!C17=3,120+Inputs!$B$27+Inputs!$B$29,MAX(0,(Inputs!$B$3-100)*3)+Inputs!$B$28+Inputs!$B$29)))</f>
        <v/>
      </c>
      <c r="E2088">
        <f>INDEX(FactorTable!$B$2:$Y$301, MATCH(ROUND(MIN(300,MAX(1,D2088)),0), FactorTable!$A$2:$A$301,0), Skills!M17+1)</f>
        <v/>
      </c>
      <c r="F2088">
        <f>IF(Skills!N17=TRUE,(Skills!L17/10)*(E2088/1000),Skills!L17/10)+Skills!O17</f>
        <v/>
      </c>
      <c r="G2088">
        <f>Skills!G17*IF(Skills!H17&gt;0,Skills!I17/Skills!H17,1)</f>
        <v/>
      </c>
      <c r="H2088">
        <f>1-(1-Skills!J17/100)^Skills!K17</f>
        <v/>
      </c>
      <c r="I2088" t="inlineStr">
        <is>
          <t>1</t>
        </is>
      </c>
      <c r="J2088" t="inlineStr"/>
      <c r="K2088" t="inlineStr"/>
      <c r="L2088" t="inlineStr"/>
      <c r="M2088" t="inlineStr"/>
      <c r="N2088" t="inlineStr"/>
      <c r="O2088">
        <f>(1-Summary!$B$11)*T2088+Summary!$B$11*V2088</f>
        <v/>
      </c>
      <c r="P2088">
        <f>IF(B2108=0,0,O2088/B2108)</f>
        <v/>
      </c>
      <c r="Q2088">
        <f>IFERROR(1/(IF(Inputs!$B$38="pvp",15,MAX(0.1,Skills!D17-IF(Skills!E17=TRUE,Inputs!$B$32,0)))*(1-IF(AND(ArtifactsInput!$M$27,Inputs!$B$4="Chapter Hunt"),CHOOSE(ArtifactsInput!$N$27+1,20,24,28,32,36,40),0)/100)),0)</f>
        <v/>
      </c>
      <c r="R2088">
        <f>IF(AND(Inputs!$B$38&lt;&gt;"pvp",Inputs!$B$43&gt;0),IF(Inputs!$B$43&lt;=0,0,(INT(Inputs!$B$43/(IF(Inputs!$B$38="pvp",15,MAX(0.1,Skills!D17-IF(Skills!E17=TRUE,Inputs!$B$32,0)))*(1-IF(AND(ArtifactsInput!$M$27,Inputs!$B$4="Chapter Hunt"),CHOOSE(ArtifactsInput!$N$27+1,20,24,28,32,36,40),0)/100)))+1)),0)</f>
        <v/>
      </c>
      <c r="S2088">
        <f>IFERROR(O2088/N2088,0)</f>
        <v/>
      </c>
      <c r="T2088" t="n">
        <v>0</v>
      </c>
      <c r="V2088" t="n">
        <v>0</v>
      </c>
    </row>
    <row r="2089">
      <c r="A2089">
        <f>Skills!A18</f>
        <v/>
      </c>
      <c r="B2089">
        <f>Skills!B18</f>
        <v/>
      </c>
      <c r="C2089">
        <f>Inputs!$B$3&gt;=74</f>
        <v/>
      </c>
      <c r="D2089">
        <f>IF(Skills!C18=1,60+Inputs!$B$25+Inputs!$B$29,IF(Skills!C18=2,90+Inputs!$B$26+Inputs!$B$29,IF(Skills!C18=3,120+Inputs!$B$27+Inputs!$B$29,MAX(0,(Inputs!$B$3-100)*3)+Inputs!$B$28+Inputs!$B$29)))</f>
        <v/>
      </c>
      <c r="E2089">
        <f>INDEX(FactorTable!$B$2:$Y$301, MATCH(ROUND(MIN(300,MAX(1,D2089)),0), FactorTable!$A$2:$A$301,0), Skills!M18+1)</f>
        <v/>
      </c>
      <c r="F2089">
        <f>IF(Skills!N18=TRUE,(Skills!L18/10)*(E2089/1000),Skills!L18/10)+Skills!O18</f>
        <v/>
      </c>
      <c r="G2089">
        <f>Skills!G18*IF(Skills!H18&gt;0,Skills!I18/Skills!H18,1)</f>
        <v/>
      </c>
      <c r="H2089">
        <f>1-(1-Skills!J18/100)^Skills!K18</f>
        <v/>
      </c>
      <c r="I2089" t="inlineStr">
        <is>
          <t>1</t>
        </is>
      </c>
      <c r="J2089" t="inlineStr"/>
      <c r="K2089" t="inlineStr"/>
      <c r="L2089" t="inlineStr"/>
      <c r="M2089" t="inlineStr"/>
      <c r="N2089" t="inlineStr"/>
      <c r="O2089">
        <f>(1-Summary!$B$11)*T2089+Summary!$B$11*V2089</f>
        <v/>
      </c>
      <c r="P2089">
        <f>IF(B2108=0,0,O2089/B2108)</f>
        <v/>
      </c>
      <c r="Q2089">
        <f>IFERROR(1/(IF(Inputs!$B$38="pvp",15,MAX(0.1,Skills!D18-IF(Skills!E18=TRUE,Inputs!$B$32,0)))*(1-IF(AND(ArtifactsInput!$M$27,Inputs!$B$4="Chapter Hunt"),CHOOSE(ArtifactsInput!$N$27+1,20,24,28,32,36,40),0)/100)),0)</f>
        <v/>
      </c>
      <c r="R2089">
        <f>IF(AND(Inputs!$B$38&lt;&gt;"pvp",Inputs!$B$43&gt;0),IF(Inputs!$B$43&lt;=0,0,(INT(Inputs!$B$43/(IF(Inputs!$B$38="pvp",15,MAX(0.1,Skills!D18-IF(Skills!E18=TRUE,Inputs!$B$32,0)))*(1-IF(AND(ArtifactsInput!$M$27,Inputs!$B$4="Chapter Hunt"),CHOOSE(ArtifactsInput!$N$27+1,20,24,28,32,36,40),0)/100)))+1)),0)</f>
        <v/>
      </c>
      <c r="S2089">
        <f>IFERROR(O2089/N2089,0)</f>
        <v/>
      </c>
      <c r="T2089" t="n">
        <v>0</v>
      </c>
      <c r="V2089" t="n">
        <v>0</v>
      </c>
    </row>
    <row r="2090">
      <c r="A2090">
        <f>Skills!A19</f>
        <v/>
      </c>
      <c r="B2090">
        <f>Skills!B19</f>
        <v/>
      </c>
      <c r="C2090">
        <f>TRUE</f>
        <v/>
      </c>
      <c r="D2090">
        <f>IF(Skills!C19=1,60+Inputs!$B$25+Inputs!$B$29,IF(Skills!C19=2,90+Inputs!$B$26+Inputs!$B$29,IF(Skills!C19=3,120+Inputs!$B$27+Inputs!$B$29,MAX(0,(Inputs!$B$3-100)*3)+Inputs!$B$28+Inputs!$B$29)))</f>
        <v/>
      </c>
      <c r="E2090">
        <f>INDEX(FactorTable!$B$2:$Y$301, MATCH(ROUND(MIN(300,MAX(1,D2090)),0), FactorTable!$A$2:$A$301,0), Skills!M19+1)</f>
        <v/>
      </c>
      <c r="F2090">
        <f>IF(Skills!N19=TRUE,(Skills!L19/10)*(E2090/1000),Skills!L19/10)+Skills!O19</f>
        <v/>
      </c>
      <c r="G2090">
        <f>Skills!G19*IF(Skills!H19&gt;0,Skills!I19/Skills!H19,1)</f>
        <v/>
      </c>
      <c r="H2090">
        <f>1-(1-Skills!J19/100)^Skills!K19</f>
        <v/>
      </c>
      <c r="I2090" t="inlineStr">
        <is>
          <t>1</t>
        </is>
      </c>
      <c r="J2090" t="inlineStr"/>
      <c r="K2090" t="inlineStr"/>
      <c r="L2090" t="inlineStr"/>
      <c r="M2090" t="inlineStr"/>
      <c r="N2090" t="inlineStr"/>
      <c r="O2090">
        <f>(1-Summary!$B$11)*T2090+Summary!$B$11*V2090</f>
        <v/>
      </c>
      <c r="P2090">
        <f>IF(B2108=0,0,O2090/B2108)</f>
        <v/>
      </c>
      <c r="Q2090">
        <f>IFERROR(1/(IF(Inputs!$B$38="pvp",15,MAX(0.1,Skills!D19-IF(Skills!E19=TRUE,Inputs!$B$32,0)))*(1-IF(AND(ArtifactsInput!$M$27,Inputs!$B$4="Chapter Hunt"),CHOOSE(ArtifactsInput!$N$27+1,20,24,28,32,36,40),0)/100)),0)</f>
        <v/>
      </c>
      <c r="R2090">
        <f>IF(AND(Inputs!$B$38&lt;&gt;"pvp",Inputs!$B$43&gt;0),IF(Inputs!$B$43&lt;=0,0,(INT(Inputs!$B$43/(IF(Inputs!$B$38="pvp",15,MAX(0.1,Skills!D19-IF(Skills!E19=TRUE,Inputs!$B$32,0)))*(1-IF(AND(ArtifactsInput!$M$27,Inputs!$B$4="Chapter Hunt"),CHOOSE(ArtifactsInput!$N$27+1,20,24,28,32,36,40),0)/100)))+1)),0)</f>
        <v/>
      </c>
      <c r="S2090">
        <f>IFERROR(O2090/N2090,0)</f>
        <v/>
      </c>
      <c r="T2090" t="n">
        <v>0</v>
      </c>
      <c r="V2090" t="n">
        <v>0</v>
      </c>
    </row>
    <row r="2091">
      <c r="A2091">
        <f>Skills!A20</f>
        <v/>
      </c>
      <c r="B2091">
        <f>Skills!B20</f>
        <v/>
      </c>
      <c r="C2091">
        <f>Inputs!$B$3&gt;=33</f>
        <v/>
      </c>
      <c r="D2091">
        <f>IF(Skills!C20=1,60+Inputs!$B$25+Inputs!$B$29,IF(Skills!C20=2,90+Inputs!$B$26+Inputs!$B$29,IF(Skills!C20=3,120+Inputs!$B$27+Inputs!$B$29,MAX(0,(Inputs!$B$3-100)*3)+Inputs!$B$28+Inputs!$B$29)))</f>
        <v/>
      </c>
      <c r="E2091">
        <f>INDEX(FactorTable!$B$2:$Y$301, MATCH(ROUND(MIN(300,MAX(1,D2091)),0), FactorTable!$A$2:$A$301,0), Skills!M20+1)</f>
        <v/>
      </c>
      <c r="F2091">
        <f>IF(Skills!N20=TRUE,(Skills!L20/10)*(E2091/1000),Skills!L20/10)+Skills!O20</f>
        <v/>
      </c>
      <c r="G2091">
        <f>Skills!G20*IF(Skills!H20&gt;0,Skills!I20/Skills!H20,1)</f>
        <v/>
      </c>
      <c r="H2091">
        <f>1-(1-Skills!J20/100)^Skills!K20</f>
        <v/>
      </c>
      <c r="I2091" t="inlineStr">
        <is>
          <t>1</t>
        </is>
      </c>
      <c r="J2091" t="inlineStr"/>
      <c r="K2091" t="inlineStr"/>
      <c r="L2091" t="inlineStr"/>
      <c r="M2091" t="inlineStr"/>
      <c r="N2091" t="inlineStr"/>
      <c r="O2091">
        <f>(1-Summary!$B$11)*T2091+Summary!$B$11*V2091</f>
        <v/>
      </c>
      <c r="P2091">
        <f>IF(B2108=0,0,O2091/B2108)</f>
        <v/>
      </c>
      <c r="Q2091" t="n">
        <v>0</v>
      </c>
      <c r="R2091" t="n">
        <v>0</v>
      </c>
      <c r="S2091">
        <f>IFERROR(O2091/N2091,0)</f>
        <v/>
      </c>
      <c r="T2091" t="n">
        <v>0</v>
      </c>
      <c r="V2091" t="n">
        <v>0</v>
      </c>
    </row>
    <row r="2092">
      <c r="A2092">
        <f>Skills!A21</f>
        <v/>
      </c>
      <c r="B2092">
        <f>Skills!B21</f>
        <v/>
      </c>
      <c r="C2092">
        <f>Inputs!$B$3&gt;=38</f>
        <v/>
      </c>
      <c r="D2092">
        <f>IF(Skills!C21=1,60+Inputs!$B$25+Inputs!$B$29,IF(Skills!C21=2,90+Inputs!$B$26+Inputs!$B$29,IF(Skills!C21=3,120+Inputs!$B$27+Inputs!$B$29,MAX(0,(Inputs!$B$3-100)*3)+Inputs!$B$28+Inputs!$B$29)))</f>
        <v/>
      </c>
      <c r="E2092">
        <f>INDEX(FactorTable!$B$2:$Y$301, MATCH(ROUND(MIN(300,MAX(1,D2092)),0), FactorTable!$A$2:$A$301,0), Skills!M21+1)</f>
        <v/>
      </c>
      <c r="F2092">
        <f>IF(Skills!N21=TRUE,(Skills!L21/10)*(E2092/1000),Skills!L21/10)+Skills!O21</f>
        <v/>
      </c>
      <c r="G2092">
        <f>Skills!G21*IF(Skills!H21&gt;0,Skills!I21/Skills!H21,1)</f>
        <v/>
      </c>
      <c r="H2092">
        <f>1-(1-Skills!J21/100)^Skills!K21</f>
        <v/>
      </c>
      <c r="I2092" t="inlineStr">
        <is>
          <t>1</t>
        </is>
      </c>
      <c r="J2092" t="inlineStr"/>
      <c r="K2092" t="inlineStr"/>
      <c r="L2092" t="inlineStr"/>
      <c r="M2092" t="inlineStr"/>
      <c r="N2092" t="inlineStr"/>
      <c r="O2092">
        <f>(1-Summary!$B$11)*T2092+Summary!$B$11*V2092</f>
        <v/>
      </c>
      <c r="P2092">
        <f>IF(B2108=0,0,O2092/B2108)</f>
        <v/>
      </c>
      <c r="Q2092" t="n">
        <v>0</v>
      </c>
      <c r="R2092" t="n">
        <v>0</v>
      </c>
      <c r="S2092">
        <f>IFERROR(O2092/N2092,0)</f>
        <v/>
      </c>
      <c r="T2092" t="n">
        <v>0</v>
      </c>
      <c r="V2092" t="n">
        <v>0</v>
      </c>
    </row>
    <row r="2093">
      <c r="A2093">
        <f>Skills!A22</f>
        <v/>
      </c>
      <c r="B2093">
        <f>Skills!B22</f>
        <v/>
      </c>
      <c r="C2093">
        <f>Inputs!$B$3&gt;=43</f>
        <v/>
      </c>
      <c r="D2093">
        <f>IF(Skills!C22=1,60+Inputs!$B$25+Inputs!$B$29,IF(Skills!C22=2,90+Inputs!$B$26+Inputs!$B$29,IF(Skills!C22=3,120+Inputs!$B$27+Inputs!$B$29,MAX(0,(Inputs!$B$3-100)*3)+Inputs!$B$28+Inputs!$B$29)))</f>
        <v/>
      </c>
      <c r="E2093">
        <f>INDEX(FactorTable!$B$2:$Y$301, MATCH(ROUND(MIN(300,MAX(1,D2093)),0), FactorTable!$A$2:$A$301,0), Skills!M22+1)</f>
        <v/>
      </c>
      <c r="F2093">
        <f>IF(Skills!N22=TRUE,(Skills!L22/10)*(E2093/1000),Skills!L22/10)+Skills!O22</f>
        <v/>
      </c>
      <c r="G2093">
        <f>Skills!G22*IF(Skills!H22&gt;0,Skills!I22/Skills!H22,1)</f>
        <v/>
      </c>
      <c r="H2093">
        <f>1-(1-Skills!J22/100)^Skills!K22</f>
        <v/>
      </c>
      <c r="I2093" t="inlineStr">
        <is>
          <t>1</t>
        </is>
      </c>
      <c r="J2093" t="inlineStr"/>
      <c r="K2093" t="inlineStr"/>
      <c r="L2093" t="inlineStr"/>
      <c r="M2093" t="inlineStr"/>
      <c r="N2093" t="inlineStr"/>
      <c r="O2093">
        <f>(1-Summary!$B$11)*T2093+Summary!$B$11*V2093</f>
        <v/>
      </c>
      <c r="P2093">
        <f>IF(B2108=0,0,O2093/B2108)</f>
        <v/>
      </c>
      <c r="Q2093" t="n">
        <v>0</v>
      </c>
      <c r="R2093" t="n">
        <v>0</v>
      </c>
      <c r="S2093">
        <f>IFERROR(O2093/N2093,0)</f>
        <v/>
      </c>
      <c r="T2093" t="n">
        <v>0</v>
      </c>
      <c r="V2093" t="n">
        <v>0</v>
      </c>
    </row>
    <row r="2094">
      <c r="A2094">
        <f>Skills!A23</f>
        <v/>
      </c>
      <c r="B2094">
        <f>Skills!B23</f>
        <v/>
      </c>
      <c r="C2094">
        <f>Inputs!$B$3&gt;=120</f>
        <v/>
      </c>
      <c r="D2094">
        <f>IF(Skills!C23=1,60+Inputs!$B$25+Inputs!$B$29,IF(Skills!C23=2,90+Inputs!$B$26+Inputs!$B$29,IF(Skills!C23=3,120+Inputs!$B$27+Inputs!$B$29,MAX(0,(Inputs!$B$3-100)*3)+Inputs!$B$28+Inputs!$B$29)))</f>
        <v/>
      </c>
      <c r="E2094">
        <f>INDEX(FactorTable!$B$2:$Y$301, MATCH(ROUND(MIN(300,MAX(1,D2094)),0), FactorTable!$A$2:$A$301,0), Skills!M23+1)</f>
        <v/>
      </c>
      <c r="F2094">
        <f>IF(Skills!N23=TRUE,(Skills!L23/10)*(E2094/1000),Skills!L23/10)+Skills!O23</f>
        <v/>
      </c>
      <c r="G2094">
        <f>Skills!G23*IF(Skills!H23&gt;0,Skills!I23/Skills!H23,1)</f>
        <v/>
      </c>
      <c r="H2094">
        <f>1-(1-Skills!J23/100)^Skills!K23</f>
        <v/>
      </c>
      <c r="I2094" t="inlineStr">
        <is>
          <t>1</t>
        </is>
      </c>
      <c r="J2094" t="inlineStr"/>
      <c r="K2094" t="inlineStr"/>
      <c r="L2094" t="inlineStr"/>
      <c r="M2094" t="inlineStr"/>
      <c r="N2094" t="inlineStr"/>
      <c r="O2094">
        <f>(1-Summary!$B$11)*T2094+Summary!$B$11*V2094</f>
        <v/>
      </c>
      <c r="P2094">
        <f>IF(B2108=0,0,O2094/B2108)</f>
        <v/>
      </c>
      <c r="Q2094" t="n">
        <v>0</v>
      </c>
      <c r="R2094" t="n">
        <v>0</v>
      </c>
      <c r="S2094">
        <f>IFERROR(O2094/N2094,0)</f>
        <v/>
      </c>
      <c r="T2094" t="n">
        <v>0</v>
      </c>
      <c r="V2094" t="n">
        <v>0</v>
      </c>
    </row>
    <row r="2095">
      <c r="A2095">
        <f>Skills!A24</f>
        <v/>
      </c>
      <c r="B2095">
        <f>Skills!B24</f>
        <v/>
      </c>
      <c r="C2095">
        <f>Inputs!$B$3&gt;=120</f>
        <v/>
      </c>
      <c r="D2095">
        <f>IF(Skills!C24=1,60+Inputs!$B$25+Inputs!$B$29,IF(Skills!C24=2,90+Inputs!$B$26+Inputs!$B$29,IF(Skills!C24=3,120+Inputs!$B$27+Inputs!$B$29,MAX(0,(Inputs!$B$3-100)*3)+Inputs!$B$28+Inputs!$B$29)))</f>
        <v/>
      </c>
      <c r="E2095">
        <f>INDEX(FactorTable!$B$2:$Y$301, MATCH(ROUND(MIN(300,MAX(1,D2095)),0), FactorTable!$A$2:$A$301,0), Skills!M24+1)</f>
        <v/>
      </c>
      <c r="F2095">
        <f>IF(Skills!N24=TRUE,(Skills!L24/10)*(E2095/1000),Skills!L24/10)+Skills!O24</f>
        <v/>
      </c>
      <c r="G2095">
        <f>Skills!G24*IF(Skills!H24&gt;0,Skills!I24/Skills!H24,1)</f>
        <v/>
      </c>
      <c r="H2095">
        <f>1-(1-Skills!J24/100)^Skills!K24</f>
        <v/>
      </c>
      <c r="I2095" t="inlineStr">
        <is>
          <t>1</t>
        </is>
      </c>
      <c r="J2095" t="inlineStr"/>
      <c r="K2095" t="inlineStr"/>
      <c r="L2095" t="inlineStr"/>
      <c r="M2095" t="inlineStr"/>
      <c r="N2095" t="inlineStr"/>
      <c r="O2095">
        <f>(1-Summary!$B$11)*T2095+Summary!$B$11*V2095</f>
        <v/>
      </c>
      <c r="P2095">
        <f>IF(B2108=0,0,O2095/B2108)</f>
        <v/>
      </c>
      <c r="Q2095" t="n">
        <v>0</v>
      </c>
      <c r="R2095" t="n">
        <v>0</v>
      </c>
      <c r="S2095">
        <f>IFERROR(O2095/N2095,0)</f>
        <v/>
      </c>
      <c r="T2095" t="n">
        <v>0</v>
      </c>
      <c r="V2095" t="n">
        <v>0</v>
      </c>
    </row>
    <row r="2097">
      <c r="A2097" t="inlineStr">
        <is>
          <t>Attack% Bucket Multiplier</t>
        </is>
      </c>
      <c r="B2097">
        <f>(1+(((C2084=TRUE)*F2084*MIN(1,Skills!T13*(Skills!J13/100)*B2102))+((C2089=TRUE)*F2089*IF(AND(Inputs!$B$38&lt;&gt;"pvp",Inputs!$B$43&gt;0),(((R2089-1)*(Skills!T18*(1+Inputs!$B$34/100))+MIN((Skills!T18*(1+Inputs!$B$34/100)),MAX(0,Inputs!$B$43-((R2089-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98">
      <c r="A2098" t="inlineStr">
        <is>
          <t>Global Crit Rate Bonus %</t>
        </is>
      </c>
      <c r="B2098" t="n">
        <v>0</v>
      </c>
    </row>
    <row r="2099">
      <c r="A2099" t="inlineStr">
        <is>
          <t>Attack Speed Buff Bonus %</t>
        </is>
      </c>
      <c r="B2099">
        <f>((C2090=TRUE)*F2090*IF(AND(Inputs!$B$38&lt;&gt;"pvp",Inputs!$B$43&gt;0),(((R2090-1)*(Skills!T19*(1+Inputs!$B$34/100))+MIN((Skills!T19*(1+Inputs!$B$34/100)),MAX(0,Inputs!$B$43-((R2090-1)*Skills!D19))))/Inputs!$B$43),IF(Inputs!$B$38="pvp",MIN((Skills!T19*(1+Inputs!$B$34/100)),15)/15,(Skills!T19*(1+Inputs!$B$34/100))/Skills!D19)))</f>
        <v/>
      </c>
    </row>
    <row r="2100">
      <c r="A2100" t="inlineStr">
        <is>
          <t>Actions Per Second</t>
        </is>
      </c>
      <c r="B2100">
        <f>1+MIN(150,150*(1-(1-(Inputs!$B$11+((C2091=TRUE)*(F2091-Calc!F20)))/150)*(1-B2099/150)))/100</f>
        <v/>
      </c>
    </row>
    <row r="2101">
      <c r="A2101" t="inlineStr">
        <is>
          <t>Skill + Buff Cast Rate</t>
        </is>
      </c>
      <c r="B2101">
        <f>IF(AND(Inputs!$B$38&lt;&gt;"pvp",Inputs!$B$43&gt;0),SUMPRODUCT((Skills!E2:E24=TRUE)*(C2073:C2095=TRUE)*R2073:R2095*Skills!F2:F24)/Inputs!$B$43,SUMPRODUCT((Skills!E2:E24=TRUE)*(C2073:C2095=TRUE)*Q2073:Q2095*Skills!F2:F24))</f>
        <v/>
      </c>
    </row>
    <row r="2102">
      <c r="A2102" t="inlineStr">
        <is>
          <t>Blast Casts Per Second</t>
        </is>
      </c>
      <c r="B2102">
        <f>MAX(0,B2100-B2101)</f>
        <v/>
      </c>
    </row>
    <row r="2103">
      <c r="A2103" t="inlineStr">
        <is>
          <t>Global Critical Damage Bonus % (unused)</t>
        </is>
      </c>
      <c r="B2103" t="n">
        <v>0</v>
      </c>
    </row>
    <row r="2104">
      <c r="A2104" t="inlineStr">
        <is>
          <t>Global Final Damage Bonus % (Divine Shield + Guardian + Divine Blessing + Greater Vessel of Light)</t>
        </is>
      </c>
      <c r="B2104">
        <f>((C2086=TRUE)*F2086*IF(AND(Inputs!$B$38&lt;&gt;"pvp",Inputs!$B$43&gt;0),(((R2086-1)*(Skills!T15*(1+Inputs!$B$34/100))+MIN((Skills!T15*(1+Inputs!$B$34/100)),MAX(0,Inputs!$B$43-((R2086-1)*Skills!D15))))/Inputs!$B$43),IF(Inputs!$B$38="pvp",MIN((Skills!T15*(1+Inputs!$B$34/100)),15)/15,(Skills!T15*(1+Inputs!$B$34/100))/Skills!D15)))+((C2087=TRUE)*F2087*IF(AND(Inputs!$B$38&lt;&gt;"pvp",Inputs!$B$43&gt;0),(((R2087-1)*(Skills!T16*(1+Inputs!$B$34/100))+MIN((Skills!T16*(1+Inputs!$B$34/100)),MAX(0,Inputs!$B$43-((R2087-1)*Skills!D16))))/Inputs!$B$43),IF(Inputs!$B$38="pvp",MIN((Skills!T16*(1+Inputs!$B$34/100)),15)/15,(Skills!T16*(1+Inputs!$B$34/100))/Skills!D16)))+((C2088=TRUE)*F2088*IF(AND(Inputs!$B$38&lt;&gt;"pvp",Inputs!$B$43&gt;0),(((R2088-1)*(Skills!T17*(1+Inputs!$B$34/100))+MIN((Skills!T17*(1+Inputs!$B$34/100)),MAX(0,Inputs!$B$43-((R2088-1)*Skills!D17))))/Inputs!$B$43),IF(Inputs!$B$38="pvp",MIN((Skills!T17*(1+Inputs!$B$34/100)),15)/15,(Skills!T17*(1+Inputs!$B$34/100))/Skills!D17)))+((C2085=TRUE)*F2085*MIN(1,Skills!T13*(Skills!J13/100)*B2102))</f>
        <v/>
      </c>
    </row>
    <row r="2105">
      <c r="A2105" t="inlineStr">
        <is>
          <t>Buff-Casting Startup Delay (s, fixed-duration only)</t>
        </is>
      </c>
      <c r="B2105">
        <f>IF(AND(Inputs!$B$38&lt;&gt;"pvp",Inputs!$B$43&gt;0),SUMPRODUCT((Skills!T2:T24&gt;0)*(Skills!E2:E24=TRUE)*(C2073:C2095=TRUE))/B2100,0)</f>
        <v/>
      </c>
    </row>
    <row r="2106">
      <c r="A2106" t="inlineStr">
        <is>
          <t>Boss-Only Total DPS (this block's swept value)</t>
        </is>
      </c>
      <c r="B2106">
        <f>SUM(T2073:T2095)</f>
        <v/>
      </c>
    </row>
    <row r="2107">
      <c r="A2107" t="inlineStr">
        <is>
          <t>Normal-Only Total DPS (this block's swept value)</t>
        </is>
      </c>
      <c r="B2107">
        <f>SUM(V2073:V2095)</f>
        <v/>
      </c>
    </row>
    <row r="2108">
      <c r="A2108" s="6" t="inlineStr">
        <is>
          <t>TOTAL DPS</t>
        </is>
      </c>
      <c r="B2108" s="6">
        <f>SUM(O2073:O2095)</f>
        <v/>
      </c>
    </row>
    <row r="2111">
      <c r="A2111" s="6" t="inlineStr">
        <is>
          <t>Stat: Flaming Lava (Equip)</t>
        </is>
      </c>
    </row>
    <row r="2112">
      <c r="A2112" s="5" t="inlineStr">
        <is>
          <t>Key</t>
        </is>
      </c>
      <c r="B2112" s="5" t="inlineStr">
        <is>
          <t>Name</t>
        </is>
      </c>
      <c r="C2112" s="5" t="inlineStr">
        <is>
          <t>Unlocked</t>
        </is>
      </c>
      <c r="D2112" s="5" t="inlineStr">
        <is>
          <t>InputLevel</t>
        </is>
      </c>
      <c r="E2112" s="5" t="inlineStr">
        <is>
          <t>Factor</t>
        </is>
      </c>
      <c r="F2112" s="5" t="inlineStr">
        <is>
          <t>CoefficientPercent</t>
        </is>
      </c>
      <c r="G2112" s="5" t="inlineStr">
        <is>
          <t>EffectiveHits</t>
        </is>
      </c>
      <c r="H2112" s="5" t="inlineStr">
        <is>
          <t>ProcProbability</t>
        </is>
      </c>
      <c r="I2112" s="5" t="inlineStr">
        <is>
          <t>MapleHeroMultiplier</t>
        </is>
      </c>
      <c r="J2112" s="5" t="inlineStr">
        <is>
          <t>BaseDamage</t>
        </is>
      </c>
      <c r="K2112" s="5" t="inlineStr">
        <is>
          <t>BaseHitDamage</t>
        </is>
      </c>
      <c r="L2112" s="5" t="inlineStr">
        <is>
          <t>NonCritAvg</t>
        </is>
      </c>
      <c r="M2112" s="5" t="inlineStr">
        <is>
          <t>CritAvg</t>
        </is>
      </c>
      <c r="N2112" s="5" t="inlineStr">
        <is>
          <t>ExpectedDamage(perHit)</t>
        </is>
      </c>
      <c r="O2112" s="5" t="inlineStr">
        <is>
          <t>DPS</t>
        </is>
      </c>
      <c r="P2112" s="5" t="inlineStr">
        <is>
          <t>% of Total</t>
        </is>
      </c>
      <c r="Q2112" s="5" t="inlineStr">
        <is>
          <t>InvCooldown</t>
        </is>
      </c>
      <c r="R2112" s="5" t="inlineStr">
        <is>
          <t>CastsInFight</t>
        </is>
      </c>
      <c r="S2112" s="5" t="inlineStr">
        <is>
          <t>HitRate(perSec)</t>
        </is>
      </c>
      <c r="U2112" t="inlineStr">
        <is>
          <t>helpers</t>
        </is>
      </c>
    </row>
    <row r="2113">
      <c r="A2113">
        <f>Skills!A2</f>
        <v/>
      </c>
      <c r="B2113">
        <f>Skills!B2</f>
        <v/>
      </c>
      <c r="C2113">
        <f>Inputs!$B$3&gt;=100</f>
        <v/>
      </c>
      <c r="D2113" t="inlineStr"/>
      <c r="E2113" t="inlineStr"/>
      <c r="F2113">
        <f>U2115+Skills!O2</f>
        <v/>
      </c>
      <c r="G2113">
        <f>Skills!G2*IF(Skills!H2&gt;0,Skills!I2/Skills!H2,1)</f>
        <v/>
      </c>
      <c r="H2113">
        <f>1-(1-Skills!J2/100)^Skills!K2</f>
        <v/>
      </c>
      <c r="I2113" t="inlineStr">
        <is>
          <t>1</t>
        </is>
      </c>
      <c r="J2113">
        <f>((Inputs!$B$6*(1+Inputs!$B$7/100))+(((Inputs!$B$12*(1+Inputs!$B$13/100))-(Inputs!$B$12*(1+Inputs!$B$13/100)))+0.25*(Inputs!$B$14-Inputs!$B$14))*(1+Inputs!$B$7/100))*(F2113/100)</f>
        <v/>
      </c>
      <c r="K2113">
        <f>J2113*(1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2113)</f>
        <v/>
      </c>
      <c r="L2113">
        <f>K2113*(MIN(Inputs!$B$22+((C2133=TRUE)*(F2133-Calc!F22)),(Inputs!$B$23+((C2135=TRUE)*(F2135-Calc!F24))+(IF(ArtifactsInput!$M$15,CHOOSE(ArtifactsInput!$N$15+1,25,30,35,40,45,50)/100*(Inputs!$B$11-Inputs!$B$11),0))))/100+(Inputs!$B$23+((C2135=TRUE)*(F2135-Calc!F24))+(IF(ArtifactsInput!$M$15,CHOOSE(ArtifactsInput!$N$15+1,25,30,35,40,45,50)/100*(Inputs!$B$11-Inputs!$B$11),0)))/100)/2</f>
        <v/>
      </c>
      <c r="M2113">
        <f>L2113*(1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3">
        <f>L2113*(1-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2113*(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3">
        <f>(1-Summary!$B$11)*T2113+Summary!$B$11*V2113</f>
        <v/>
      </c>
      <c r="P2113">
        <f>IF(B2148=0,0,O2113/B2148)</f>
        <v/>
      </c>
      <c r="Q2113" t="n">
        <v>0</v>
      </c>
      <c r="R2113" t="n">
        <v>0</v>
      </c>
      <c r="S2113">
        <f>IFERROR(O2113/N2113,0)</f>
        <v/>
      </c>
      <c r="T2113">
        <f>IF(C2113,(Skills!G2*N2113*B2142)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2113*(1-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2113*(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2113*(1-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2113*(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3">
        <f>MAX(0,(Inputs!$B$3-100)*3)+Inputs!$B$28+Inputs!$B$29</f>
        <v/>
      </c>
      <c r="V2113">
        <f>IF(C2113,(Skills!G2*N2113*B2142)*IF(Inputs!$B$38="pvp",1,(1+(Inputs!$B$21+Skills!Q2+(IF(ArtifactsInput!$M$33,CHOOSE(ArtifactsInput!$N$33+1,30,36,42,48,54,60),0))+(IF(AND(ArtifactsInput!$M$35,Inputs!$B$4&lt;&gt;"Chapter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4">
      <c r="A2114">
        <f>Skills!A3</f>
        <v/>
      </c>
      <c r="B2114">
        <f>Skills!B3</f>
        <v/>
      </c>
      <c r="C2114">
        <f>Inputs!$B$3&gt;=50</f>
        <v/>
      </c>
      <c r="D2114">
        <f>IF(Skills!C3=1,60+Inputs!$B$25+Inputs!$B$29,IF(Skills!C3=2,90+Inputs!$B$26+Inputs!$B$29,IF(Skills!C3=3,120+Inputs!$B$27+Inputs!$B$29,MAX(0,(Inputs!$B$3-100)*3)+Inputs!$B$28+Inputs!$B$29)))</f>
        <v/>
      </c>
      <c r="E2114">
        <f>INDEX(FactorTable!$B$2:$Y$301, MATCH(ROUND(MIN(300,MAX(1,D2114)),0), FactorTable!$A$2:$A$301,0), Skills!M3+1)</f>
        <v/>
      </c>
      <c r="F2114">
        <f>IF(Skills!N3=TRUE,(Skills!L3/10)*(E2114/1000),Skills!L3/10)+Skills!O3</f>
        <v/>
      </c>
      <c r="G2114" t="inlineStr"/>
      <c r="H2114" t="inlineStr"/>
      <c r="I2114" t="inlineStr">
        <is>
          <t>1</t>
        </is>
      </c>
      <c r="J2114" t="inlineStr"/>
      <c r="K2114" t="inlineStr"/>
      <c r="L2114" t="inlineStr"/>
      <c r="M2114" t="inlineStr"/>
      <c r="N2114" t="inlineStr"/>
      <c r="O2114" t="inlineStr"/>
      <c r="P2114" t="inlineStr"/>
      <c r="Q2114" t="inlineStr"/>
      <c r="R2114" t="inlineStr"/>
      <c r="S2114" t="inlineStr"/>
      <c r="U2114">
        <f>INDEX(FactorTable!$B$2:$Y$301, MATCH(ROUND(MIN(300,MAX(1,U2113)),0), FactorTable!$A$2:$A$301,0), 22)</f>
        <v/>
      </c>
    </row>
    <row r="2115">
      <c r="A2115">
        <f>Skills!A4</f>
        <v/>
      </c>
      <c r="B2115">
        <f>Skills!B4</f>
        <v/>
      </c>
      <c r="C2115">
        <f>Inputs!$B$3&gt;=35</f>
        <v/>
      </c>
      <c r="D2115">
        <f>IF(Skills!C4=1,60+Inputs!$B$25+Inputs!$B$29,IF(Skills!C4=2,90+Inputs!$B$26+Inputs!$B$29,IF(Skills!C4=3,120+Inputs!$B$27+Inputs!$B$29,MAX(0,(Inputs!$B$3-100)*3)+Inputs!$B$28+Inputs!$B$29)))</f>
        <v/>
      </c>
      <c r="E2115">
        <f>INDEX(FactorTable!$B$2:$Y$301, MATCH(ROUND(MIN(300,MAX(1,D2115)),0), FactorTable!$A$2:$A$301,0), Skills!M4+1)</f>
        <v/>
      </c>
      <c r="F2115">
        <f>IF(Skills!N4=TRUE,(Skills!L4/10)*(E2115/1000),Skills!L4/10)+Skills!O4</f>
        <v/>
      </c>
      <c r="G2115">
        <f>Skills!G4*IF(Skills!H4&gt;0,Skills!I4/Skills!H4,1)</f>
        <v/>
      </c>
      <c r="H2115">
        <f>1-(1-Skills!J4/100)^Skills!K4</f>
        <v/>
      </c>
      <c r="I2115" t="inlineStr">
        <is>
          <t>1</t>
        </is>
      </c>
      <c r="J2115">
        <f>((Inputs!$B$6*(1+Inputs!$B$7/100))+(((Inputs!$B$12*(1+Inputs!$B$13/100))-(Inputs!$B$12*(1+Inputs!$B$13/100)))+0.25*(Inputs!$B$14-Inputs!$B$14))*(1+Inputs!$B$7/100))*(F2115/100)</f>
        <v/>
      </c>
      <c r="K2115">
        <f>J2115*(1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2123=TRUE,F2123,0)/100)*(1+(IF(Skills!A4="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2115)</f>
        <v/>
      </c>
      <c r="L2115">
        <f>K2115*(MIN(Inputs!$B$22+((C2133=TRUE)*(F2133-Calc!F22)),(Inputs!$B$23+((C2135=TRUE)*(F2135-Calc!F24))+(IF(ArtifactsInput!$M$15,CHOOSE(ArtifactsInput!$N$15+1,25,30,35,40,45,50)/100*(Inputs!$B$11-Inputs!$B$11),0))))/100+(Inputs!$B$23+((C2135=TRUE)*(F2135-Calc!F24))+(IF(ArtifactsInput!$M$15,CHOOSE(ArtifactsInput!$N$15+1,25,30,35,40,45,50)/100*(Inputs!$B$11-Inputs!$B$11),0)))/100)/2</f>
        <v/>
      </c>
      <c r="M2115">
        <f>L2115*(1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5">
        <f>L2115*(1-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2115*(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5">
        <f>(1-Summary!$B$11)*T2115+Summary!$B$11*V2115</f>
        <v/>
      </c>
      <c r="P2115">
        <f>IF(B2148=0,0,O2115/B2148)</f>
        <v/>
      </c>
      <c r="Q2115">
        <f>IFERROR(1/(IF(Inputs!$B$38="pvp",15,MAX(0.1,Skills!D4-IF(Skills!E4=TRUE,Inputs!$B$32,0)))*(1-IF(AND(ArtifactsInput!$M$27,Inputs!$B$4="Chapter Hunt"),CHOOSE(ArtifactsInput!$N$27+1,20,24,28,32,36,40),0)/100)),0)</f>
        <v/>
      </c>
      <c r="R2115">
        <f>IF(AND(Inputs!$B$38&lt;&gt;"pvp",Inputs!$B$43&gt;0),IF(MAX(0,Inputs!$B$43-B2145)&lt;=0,0,(INT(MAX(0,Inputs!$B$43-B2145)/(IF(Inputs!$B$38="pvp",15,MAX(0.1,Skills!D4-IF(Skills!E4=TRUE,Inputs!$B$32,0)))*(1-IF(AND(ArtifactsInput!$M$27,Inputs!$B$4="Chapter Hunt"),CHOOSE(ArtifactsInput!$N$27+1,20,24,28,32,36,40),0)/100)))+1)),0)</f>
        <v/>
      </c>
      <c r="S2115">
        <f>IFERROR(O2115/N2115,0)</f>
        <v/>
      </c>
      <c r="T2115">
        <f>IF(C2115,(H2115*N2115*IF(AND(Inputs!$B$38&lt;&gt;"pvp",Inputs!$B$43&gt;0),((Skills!G4*((R2115-1)*IF(Skills!H4&gt;0,Skills!I4/Skills!H4,1)+IF(Skills!H4&gt;0,MIN(Skills!I4,MAX(0,MAX(0,Inputs!$B$43-B2145)-((R2115-1)*(IF(Inputs!$B$38="pvp",15,MAX(0.1,Skills!D4-IF(Skills!E4=TRUE,Inputs!$B$32,0)))*(1-IF(AND(ArtifactsInput!$M$27,Inputs!$B$4="Chapter Hunt"),CHOOSE(ArtifactsInput!$N$27+1,20,24,28,32,36,40),0)/100)))))/Skills!H4,1)))/Inputs!$B$43),G2115*Q2115)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2115*(1-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2115*(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2115*(1-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2115*(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15">
        <f>290*U2114/1000</f>
        <v/>
      </c>
      <c r="V2115">
        <f>IF(C2115,(H2115*N2115*IF(AND(Inputs!$B$38&lt;&gt;"pvp",Inputs!$B$43&gt;0),((Skills!G4*((R2115-1)*IF(Skills!H4&gt;0,Skills!I4/Skills!H4,1)+IF(Skills!H4&gt;0,MIN(Skills!I4,MAX(0,MAX(0,Inputs!$B$43-B2145)-((R2115-1)*(IF(Inputs!$B$38="pvp",15,MAX(0.1,Skills!D4-IF(Skills!E4=TRUE,Inputs!$B$32,0)))*(1-IF(AND(ArtifactsInput!$M$27,Inputs!$B$4="Chapter Hunt"),CHOOSE(ArtifactsInput!$N$27+1,20,24,28,32,36,40),0)/100)))))/Skills!H4,1)))/Inputs!$B$43),G2115*Q2115))*IF(Inputs!$B$38="pvp",1,(1+(Inputs!$B$21+Skills!Q4+(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6">
      <c r="A2116">
        <f>Skills!A5</f>
        <v/>
      </c>
      <c r="B2116">
        <f>Skills!B5</f>
        <v/>
      </c>
      <c r="C2116">
        <f>Inputs!$B$3&gt;=66</f>
        <v/>
      </c>
      <c r="D2116">
        <f>IF(Skills!C5=1,60+Inputs!$B$25+Inputs!$B$29,IF(Skills!C5=2,90+Inputs!$B$26+Inputs!$B$29,IF(Skills!C5=3,120+Inputs!$B$27+Inputs!$B$29,MAX(0,(Inputs!$B$3-100)*3)+Inputs!$B$28+Inputs!$B$29)))</f>
        <v/>
      </c>
      <c r="E2116">
        <f>INDEX(FactorTable!$B$2:$Y$301, MATCH(ROUND(MIN(300,MAX(1,D2116)),0), FactorTable!$A$2:$A$301,0), Skills!M5+1)</f>
        <v/>
      </c>
      <c r="F2116">
        <f>IF(Skills!N5=TRUE,(Skills!L5/10)*(E2116/1000),Skills!L5/10)+Skills!O5</f>
        <v/>
      </c>
      <c r="G2116">
        <f>Skills!G5*IF(Skills!H5&gt;0,Skills!I5/Skills!H5,1)</f>
        <v/>
      </c>
      <c r="H2116">
        <f>1-(1-Skills!J5/100)^Skills!K5</f>
        <v/>
      </c>
      <c r="I2116" t="inlineStr">
        <is>
          <t>1</t>
        </is>
      </c>
      <c r="J2116">
        <f>((Inputs!$B$6*(1+Inputs!$B$7/100))+(((Inputs!$B$12*(1+Inputs!$B$13/100))-(Inputs!$B$12*(1+Inputs!$B$13/100)))+0.25*(Inputs!$B$14-Inputs!$B$14))*(1+Inputs!$B$7/100))*(F2116/100)</f>
        <v/>
      </c>
      <c r="K2116">
        <f>J2116*(1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2123=TRUE,F2123,0)/100)*(1+(IF(Skills!A5="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2116)</f>
        <v/>
      </c>
      <c r="L2116">
        <f>K2116*(MIN(Inputs!$B$22+((C2133=TRUE)*(F2133-Calc!F22)),(Inputs!$B$23+((C2135=TRUE)*(F2135-Calc!F24))+(IF(ArtifactsInput!$M$15,CHOOSE(ArtifactsInput!$N$15+1,25,30,35,40,45,50)/100*(Inputs!$B$11-Inputs!$B$11),0))))/100+(Inputs!$B$23+((C2135=TRUE)*(F2135-Calc!F24))+(IF(ArtifactsInput!$M$15,CHOOSE(ArtifactsInput!$N$15+1,25,30,35,40,45,50)/100*(Inputs!$B$11-Inputs!$B$11),0)))/100)/2</f>
        <v/>
      </c>
      <c r="M2116">
        <f>L2116*(1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6">
        <f>L2116*(1-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2116*(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6">
        <f>(1-Summary!$B$11)*T2116+Summary!$B$11*V2116</f>
        <v/>
      </c>
      <c r="P2116">
        <f>IF(B2148=0,0,O2116/B2148)</f>
        <v/>
      </c>
      <c r="Q2116">
        <f>IFERROR(1/(IF(Inputs!$B$38="pvp",15,MAX(0.1,Skills!D5-IF(Skills!E5=TRUE,Inputs!$B$32,0)))*(1-IF(AND(ArtifactsInput!$M$27,Inputs!$B$4="Chapter Hunt"),CHOOSE(ArtifactsInput!$N$27+1,20,24,28,32,36,40),0)/100)),0)</f>
        <v/>
      </c>
      <c r="R2116">
        <f>IF(AND(Inputs!$B$38&lt;&gt;"pvp",Inputs!$B$43&gt;0),IF(MAX(0,Inputs!$B$43-B2145)&lt;=0,0,(INT(MAX(0,Inputs!$B$43-B2145)/(IF(Inputs!$B$38="pvp",15,MAX(0.1,Skills!D5-IF(Skills!E5=TRUE,Inputs!$B$32,0)))*(1-IF(AND(ArtifactsInput!$M$27,Inputs!$B$4="Chapter Hunt"),CHOOSE(ArtifactsInput!$N$27+1,20,24,28,32,36,40),0)/100)))+1)),0)</f>
        <v/>
      </c>
      <c r="S2116">
        <f>IFERROR(O2116/N2116,0)</f>
        <v/>
      </c>
      <c r="T2116">
        <f>IF(C2116,(H2116*N2116*IF(AND(Inputs!$B$38&lt;&gt;"pvp",Inputs!$B$43&gt;0),((Skills!G5*((R2116-1)*IF(Skills!H5&gt;0,Skills!I5/Skills!H5,1)+IF(Skills!H5&gt;0,MIN(Skills!I5,MAX(0,MAX(0,Inputs!$B$43-B2145)-((R2116-1)*(IF(Inputs!$B$38="pvp",15,MAX(0.1,Skills!D5-IF(Skills!E5=TRUE,Inputs!$B$32,0)))*(1-IF(AND(ArtifactsInput!$M$27,Inputs!$B$4="Chapter Hunt"),CHOOSE(ArtifactsInput!$N$27+1,20,24,28,32,36,40),0)/100)))))/Skills!H5,1)))/Inputs!$B$43),G2116*Q2116)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2116*(1-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2116*(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2116*(1-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2116*(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16">
        <f>IF(C2116,(H2116*N2116*IF(AND(Inputs!$B$38&lt;&gt;"pvp",Inputs!$B$43&gt;0),((Skills!G5*((R2116-1)*IF(Skills!H5&gt;0,Skills!I5/Skills!H5,1)+IF(Skills!H5&gt;0,MIN(Skills!I5,MAX(0,MAX(0,Inputs!$B$43-B2145)-((R2116-1)*(IF(Inputs!$B$38="pvp",15,MAX(0.1,Skills!D5-IF(Skills!E5=TRUE,Inputs!$B$32,0)))*(1-IF(AND(ArtifactsInput!$M$27,Inputs!$B$4="Chapter Hunt"),CHOOSE(ArtifactsInput!$N$27+1,20,24,28,32,36,40),0)/100)))))/Skills!H5,1)))/Inputs!$B$43),G2116*Q2116))*IF(Inputs!$B$38="pvp",1,(1+(Inputs!$B$21+Skills!Q5+(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7">
      <c r="A2117">
        <f>Skills!A6</f>
        <v/>
      </c>
      <c r="B2117">
        <f>Skills!B6</f>
        <v/>
      </c>
      <c r="C2117">
        <f>Inputs!$B$3&gt;=103</f>
        <v/>
      </c>
      <c r="D2117">
        <f>IF(Skills!C6=1,60+Inputs!$B$25+Inputs!$B$29,IF(Skills!C6=2,90+Inputs!$B$26+Inputs!$B$29,IF(Skills!C6=3,120+Inputs!$B$27+Inputs!$B$29,MAX(0,(Inputs!$B$3-100)*3)+Inputs!$B$28+Inputs!$B$29)))</f>
        <v/>
      </c>
      <c r="E2117">
        <f>INDEX(FactorTable!$B$2:$Y$301, MATCH(ROUND(MIN(300,MAX(1,D2117)),0), FactorTable!$A$2:$A$301,0), Skills!M6+1)</f>
        <v/>
      </c>
      <c r="F2117">
        <f>IF(Skills!N6=TRUE,(Skills!L6/10)*(E2117/1000),Skills!L6/10)+Skills!O6</f>
        <v/>
      </c>
      <c r="G2117">
        <f>Skills!G6*IF(Skills!H6&gt;0,Skills!I6/Skills!H6,1)</f>
        <v/>
      </c>
      <c r="H2117">
        <f>1-(1-Skills!J6/100)^Skills!K6</f>
        <v/>
      </c>
      <c r="I2117" t="inlineStr">
        <is>
          <t>1</t>
        </is>
      </c>
      <c r="J2117">
        <f>((Inputs!$B$6*(1+Inputs!$B$7/100))+(((Inputs!$B$12*(1+Inputs!$B$13/100))-(Inputs!$B$12*(1+Inputs!$B$13/100)))+0.25*(Inputs!$B$14-Inputs!$B$14))*(1+Inputs!$B$7/100))*(F2117/100)</f>
        <v/>
      </c>
      <c r="K2117">
        <f>J2117*(1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2117)</f>
        <v/>
      </c>
      <c r="L2117">
        <f>K2117*(MIN(Inputs!$B$22+((C2133=TRUE)*(F2133-Calc!F22)),(Inputs!$B$23+((C2135=TRUE)*(F2135-Calc!F24))+(IF(ArtifactsInput!$M$15,CHOOSE(ArtifactsInput!$N$15+1,25,30,35,40,45,50)/100*(Inputs!$B$11-Inputs!$B$11),0))))/100+(Inputs!$B$23+((C2135=TRUE)*(F2135-Calc!F24))+(IF(ArtifactsInput!$M$15,CHOOSE(ArtifactsInput!$N$15+1,25,30,35,40,45,50)/100*(Inputs!$B$11-Inputs!$B$11),0)))/100)/2</f>
        <v/>
      </c>
      <c r="M2117">
        <f>L2117*(1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7">
        <f>L2117*(1-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2117*(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7">
        <f>(1-Summary!$B$11)*T2117+Summary!$B$11*V2117</f>
        <v/>
      </c>
      <c r="P2117">
        <f>IF(B2148=0,0,O2117/B2148)</f>
        <v/>
      </c>
      <c r="Q2117">
        <f>IFERROR(1/(IF(Inputs!$B$38="pvp",15,MAX(0.1,Skills!D6-IF(Skills!E6=TRUE,Inputs!$B$32,0)))*(1-IF(AND(ArtifactsInput!$M$27,Inputs!$B$4="Chapter Hunt"),CHOOSE(ArtifactsInput!$N$27+1,20,24,28,32,36,40),0)/100)),0)</f>
        <v/>
      </c>
      <c r="R2117">
        <f>IF(AND(Inputs!$B$38&lt;&gt;"pvp",Inputs!$B$43&gt;0),IF(MAX(0,Inputs!$B$43-B2145)&lt;=0,0,(INT(MAX(0,Inputs!$B$43-B2145)/(IF(Inputs!$B$38="pvp",15,MAX(0.1,Skills!D6-IF(Skills!E6=TRUE,Inputs!$B$32,0)))*(1-IF(AND(ArtifactsInput!$M$27,Inputs!$B$4="Chapter Hunt"),CHOOSE(ArtifactsInput!$N$27+1,20,24,28,32,36,40),0)/100)))+1)),0)</f>
        <v/>
      </c>
      <c r="S2117">
        <f>IFERROR(O2117/N2117,0)</f>
        <v/>
      </c>
      <c r="T2117">
        <f>IF(C2117,(H2117*N2117*IF(AND(Inputs!$B$38&lt;&gt;"pvp",Inputs!$B$43&gt;0),((Skills!G6*((R2117-1)*IF(Skills!H6&gt;0,Skills!I6/Skills!H6,1)+IF(Skills!H6&gt;0,MIN(Skills!I6,MAX(0,MAX(0,Inputs!$B$43-B2145)-((R2117-1)*(IF(Inputs!$B$38="pvp",15,MAX(0.1,Skills!D6-IF(Skills!E6=TRUE,Inputs!$B$32,0)))*(1-IF(AND(ArtifactsInput!$M$27,Inputs!$B$4="Chapter Hunt"),CHOOSE(ArtifactsInput!$N$27+1,20,24,28,32,36,40),0)/100)))))/Skills!H6,1)))/Inputs!$B$43),G2117*Q2117)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2117*(1-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2117*(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2117*(1-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2117*(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17">
        <f>IF(C2117,(H2117*N2117*IF(AND(Inputs!$B$38&lt;&gt;"pvp",Inputs!$B$43&gt;0),((Skills!G6*((R2117-1)*IF(Skills!H6&gt;0,Skills!I6/Skills!H6,1)+IF(Skills!H6&gt;0,MIN(Skills!I6,MAX(0,MAX(0,Inputs!$B$43-B2145)-((R2117-1)*(IF(Inputs!$B$38="pvp",15,MAX(0.1,Skills!D6-IF(Skills!E6=TRUE,Inputs!$B$32,0)))*(1-IF(AND(ArtifactsInput!$M$27,Inputs!$B$4="Chapter Hunt"),CHOOSE(ArtifactsInput!$N$27+1,20,24,28,32,36,40),0)/100)))))/Skills!H6,1)))/Inputs!$B$43),G2117*Q2117))*IF(Inputs!$B$38="pvp",1,(1+(Inputs!$B$21+Skills!Q6+(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8">
      <c r="A2118">
        <f>Skills!A7</f>
        <v/>
      </c>
      <c r="B2118">
        <f>Skills!B7</f>
        <v/>
      </c>
      <c r="C2118">
        <f>Inputs!$B$3&gt;=107</f>
        <v/>
      </c>
      <c r="D2118">
        <f>IF(Skills!C7=1,60+Inputs!$B$25+Inputs!$B$29,IF(Skills!C7=2,90+Inputs!$B$26+Inputs!$B$29,IF(Skills!C7=3,120+Inputs!$B$27+Inputs!$B$29,MAX(0,(Inputs!$B$3-100)*3)+Inputs!$B$28+Inputs!$B$29)))</f>
        <v/>
      </c>
      <c r="E2118">
        <f>INDEX(FactorTable!$B$2:$Y$301, MATCH(ROUND(MIN(300,MAX(1,D2118)),0), FactorTable!$A$2:$A$301,0), Skills!M7+1)</f>
        <v/>
      </c>
      <c r="F2118">
        <f>IF(Skills!N7=TRUE,(Skills!L7/10)*(E2118/1000),Skills!L7/10)+Skills!O7</f>
        <v/>
      </c>
      <c r="G2118">
        <f>Skills!G7*IF(Skills!H7&gt;0,Skills!I7/Skills!H7,1)</f>
        <v/>
      </c>
      <c r="H2118">
        <f>1-(1-Skills!J7/100)^Skills!K7</f>
        <v/>
      </c>
      <c r="I2118" t="inlineStr">
        <is>
          <t>1</t>
        </is>
      </c>
      <c r="J2118">
        <f>((Inputs!$B$6*(1+Inputs!$B$7/100))+(((Inputs!$B$12*(1+Inputs!$B$13/100))-(Inputs!$B$12*(1+Inputs!$B$13/100)))+0.25*(Inputs!$B$14-Inputs!$B$14))*(1+Inputs!$B$7/100))*(F2118/100)</f>
        <v/>
      </c>
      <c r="K2118">
        <f>J2118*(1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2118)</f>
        <v/>
      </c>
      <c r="L2118">
        <f>K2118*(MIN(Inputs!$B$22+((C2133=TRUE)*(F2133-Calc!F22)),(Inputs!$B$23+((C2135=TRUE)*(F2135-Calc!F24))+(IF(ArtifactsInput!$M$15,CHOOSE(ArtifactsInput!$N$15+1,25,30,35,40,45,50)/100*(Inputs!$B$11-Inputs!$B$11),0))))/100+(Inputs!$B$23+((C2135=TRUE)*(F2135-Calc!F24))+(IF(ArtifactsInput!$M$15,CHOOSE(ArtifactsInput!$N$15+1,25,30,35,40,45,50)/100*(Inputs!$B$11-Inputs!$B$11),0)))/100)/2</f>
        <v/>
      </c>
      <c r="M2118">
        <f>L2118*(1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8">
        <f>L2118*(1-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2118*(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8">
        <f>(1-Summary!$B$11)*T2118+Summary!$B$11*V2118</f>
        <v/>
      </c>
      <c r="P2118">
        <f>IF(B2148=0,0,O2118/B2148)</f>
        <v/>
      </c>
      <c r="Q2118">
        <f>IFERROR(1/(IF(Inputs!$B$38="pvp",15,MAX(0.1,Skills!D7-IF(Skills!E7=TRUE,Inputs!$B$32,0)))*(1-IF(AND(ArtifactsInput!$M$27,Inputs!$B$4="Chapter Hunt"),CHOOSE(ArtifactsInput!$N$27+1,20,24,28,32,36,40),0)/100)),0)</f>
        <v/>
      </c>
      <c r="R2118">
        <f>IF(AND(Inputs!$B$38&lt;&gt;"pvp",Inputs!$B$43&gt;0),IF(MAX(0,Inputs!$B$43-B2145)&lt;=0,0,(INT(MAX(0,Inputs!$B$43-B2145)/(IF(Inputs!$B$38="pvp",15,MAX(0.1,Skills!D7-IF(Skills!E7=TRUE,Inputs!$B$32,0)))*(1-IF(AND(ArtifactsInput!$M$27,Inputs!$B$4="Chapter Hunt"),CHOOSE(ArtifactsInput!$N$27+1,20,24,28,32,36,40),0)/100)))+1)),0)</f>
        <v/>
      </c>
      <c r="S2118">
        <f>IFERROR(O2118/N2118,0)</f>
        <v/>
      </c>
      <c r="T2118">
        <f>IF(C2118,(H2118*N2118*IF(AND(Inputs!$B$38&lt;&gt;"pvp",Inputs!$B$43&gt;0),((Skills!G7*((R2118-1)*IF(Skills!H7&gt;0,Skills!I7/Skills!H7,1)+IF(Skills!H7&gt;0,MIN(Skills!I7,MAX(0,MAX(0,Inputs!$B$43-B2145)-((R2118-1)*(IF(Inputs!$B$38="pvp",15,MAX(0.1,Skills!D7-IF(Skills!E7=TRUE,Inputs!$B$32,0)))*(1-IF(AND(ArtifactsInput!$M$27,Inputs!$B$4="Chapter Hunt"),CHOOSE(ArtifactsInput!$N$27+1,20,24,28,32,36,40),0)/100)))))/Skills!H7,1)))/Inputs!$B$43),G2118*Q2118)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2118*(1-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2118*(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2118*(1-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2118*(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18">
        <f>IF(C2118,(H2118*N2118*IF(AND(Inputs!$B$38&lt;&gt;"pvp",Inputs!$B$43&gt;0),((Skills!G7*((R2118-1)*IF(Skills!H7&gt;0,Skills!I7/Skills!H7,1)+IF(Skills!H7&gt;0,MIN(Skills!I7,MAX(0,MAX(0,Inputs!$B$43-B2145)-((R2118-1)*(IF(Inputs!$B$38="pvp",15,MAX(0.1,Skills!D7-IF(Skills!E7=TRUE,Inputs!$B$32,0)))*(1-IF(AND(ArtifactsInput!$M$27,Inputs!$B$4="Chapter Hunt"),CHOOSE(ArtifactsInput!$N$27+1,20,24,28,32,36,40),0)/100)))))/Skills!H7,1)))/Inputs!$B$43),G2118*Q2118))*IF(Inputs!$B$38="pvp",1,(1+(Inputs!$B$21+Skills!Q7+(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19">
      <c r="A2119">
        <f>Skills!A8</f>
        <v/>
      </c>
      <c r="B2119">
        <f>Skills!B8</f>
        <v/>
      </c>
      <c r="C2119">
        <f>Inputs!$B$3&gt;=107</f>
        <v/>
      </c>
      <c r="D2119">
        <f>IF(Skills!C8=1,60+Inputs!$B$25+Inputs!$B$29,IF(Skills!C8=2,90+Inputs!$B$26+Inputs!$B$29,IF(Skills!C8=3,120+Inputs!$B$27+Inputs!$B$29,MAX(0,(Inputs!$B$3-100)*3)+Inputs!$B$28+Inputs!$B$29)))</f>
        <v/>
      </c>
      <c r="E2119">
        <f>INDEX(FactorTable!$B$2:$Y$301, MATCH(ROUND(MIN(300,MAX(1,D2119)),0), FactorTable!$A$2:$A$301,0), Skills!M8+1)</f>
        <v/>
      </c>
      <c r="F2119">
        <f>IF(Skills!N8=TRUE,(Skills!L8/10)*(E2119/1000),Skills!L8/10)+Skills!O8</f>
        <v/>
      </c>
      <c r="G2119">
        <f>Skills!G8*IF(Skills!H8&gt;0,Skills!I8/Skills!H8,1)</f>
        <v/>
      </c>
      <c r="H2119">
        <f>1-(1-Skills!J8/100)^Skills!K8</f>
        <v/>
      </c>
      <c r="I2119" t="inlineStr">
        <is>
          <t>1</t>
        </is>
      </c>
      <c r="J2119">
        <f>((Inputs!$B$6*(1+Inputs!$B$7/100))+(((Inputs!$B$12*(1+Inputs!$B$13/100))-(Inputs!$B$12*(1+Inputs!$B$13/100)))+0.25*(Inputs!$B$14-Inputs!$B$14))*(1+Inputs!$B$7/100))*(F2119/100)</f>
        <v/>
      </c>
      <c r="K2119">
        <f>J2119*(1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2119)</f>
        <v/>
      </c>
      <c r="L2119">
        <f>K2119*(MIN(Inputs!$B$22+((C2133=TRUE)*(F2133-Calc!F22)),(Inputs!$B$23+((C2135=TRUE)*(F2135-Calc!F24))+(IF(ArtifactsInput!$M$15,CHOOSE(ArtifactsInput!$N$15+1,25,30,35,40,45,50)/100*(Inputs!$B$11-Inputs!$B$11),0))))/100+(Inputs!$B$23+((C2135=TRUE)*(F2135-Calc!F24))+(IF(ArtifactsInput!$M$15,CHOOSE(ArtifactsInput!$N$15+1,25,30,35,40,45,50)/100*(Inputs!$B$11-Inputs!$B$11),0)))/100)/2</f>
        <v/>
      </c>
      <c r="M2119">
        <f>L2119*(1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9">
        <f>L2119*(1-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2119*(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9">
        <f>(1-Summary!$B$11)*T2119+Summary!$B$11*V2119</f>
        <v/>
      </c>
      <c r="P2119">
        <f>IF(B2148=0,0,O2119/B2148)</f>
        <v/>
      </c>
      <c r="Q2119">
        <f>IFERROR(1/(IF(Inputs!$B$38="pvp",15,MAX(0.1,Skills!D8-IF(Skills!E8=TRUE,Inputs!$B$32,0)))*(1-IF(AND(ArtifactsInput!$M$27,Inputs!$B$4="Chapter Hunt"),CHOOSE(ArtifactsInput!$N$27+1,20,24,28,32,36,40),0)/100)),0)</f>
        <v/>
      </c>
      <c r="R2119">
        <f>IF(AND(Inputs!$B$38&lt;&gt;"pvp",Inputs!$B$43&gt;0),IF(MAX(0,Inputs!$B$43-B2145)&lt;=0,0,(INT(MAX(0,Inputs!$B$43-B2145)/(IF(Inputs!$B$38="pvp",15,MAX(0.1,Skills!D8-IF(Skills!E8=TRUE,Inputs!$B$32,0)))*(1-IF(AND(ArtifactsInput!$M$27,Inputs!$B$4="Chapter Hunt"),CHOOSE(ArtifactsInput!$N$27+1,20,24,28,32,36,40),0)/100)))+1)),0)</f>
        <v/>
      </c>
      <c r="S2119">
        <f>IFERROR(O2119/N2119,0)</f>
        <v/>
      </c>
      <c r="T2119">
        <f>IF(C2119,(H2119*N2119*IF(AND(Inputs!$B$38&lt;&gt;"pvp",Inputs!$B$43&gt;0),((Skills!G8*((R2119-1)*IF(Skills!H8&gt;0,Skills!I8/Skills!H8,1)+IF(Skills!H8&gt;0,MIN(Skills!I8,MAX(0,MAX(0,Inputs!$B$43-B2145)-((R2119-1)*(IF(Inputs!$B$38="pvp",15,MAX(0.1,Skills!D8-IF(Skills!E8=TRUE,Inputs!$B$32,0)))*(1-IF(AND(ArtifactsInput!$M$27,Inputs!$B$4="Chapter Hunt"),CHOOSE(ArtifactsInput!$N$27+1,20,24,28,32,36,40),0)/100)))))/Skills!H8,1)))/Inputs!$B$43),G2119*Q2119)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2119*(1-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2119*(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2119*(1-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2119*(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19">
        <f>IF(C2119,(H2119*N2119*IF(AND(Inputs!$B$38&lt;&gt;"pvp",Inputs!$B$43&gt;0),((Skills!G8*((R2119-1)*IF(Skills!H8&gt;0,Skills!I8/Skills!H8,1)+IF(Skills!H8&gt;0,MIN(Skills!I8,MAX(0,MAX(0,Inputs!$B$43-B2145)-((R2119-1)*(IF(Inputs!$B$38="pvp",15,MAX(0.1,Skills!D8-IF(Skills!E8=TRUE,Inputs!$B$32,0)))*(1-IF(AND(ArtifactsInput!$M$27,Inputs!$B$4="Chapter Hunt"),CHOOSE(ArtifactsInput!$N$27+1,20,24,28,32,36,40),0)/100)))))/Skills!H8,1)))/Inputs!$B$43),G2119*Q2119))*IF(Inputs!$B$38="pvp",1,(1+(Inputs!$B$21+Skills!Q8+(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0">
      <c r="A2120">
        <f>Skills!A9</f>
        <v/>
      </c>
      <c r="B2120">
        <f>Skills!B9</f>
        <v/>
      </c>
      <c r="C2120">
        <f>Inputs!$B$3&gt;=125</f>
        <v/>
      </c>
      <c r="D2120">
        <f>IF(Skills!C9=1,60+Inputs!$B$25+Inputs!$B$29,IF(Skills!C9=2,90+Inputs!$B$26+Inputs!$B$29,IF(Skills!C9=3,120+Inputs!$B$27+Inputs!$B$29,MAX(0,(Inputs!$B$3-100)*3)+Inputs!$B$28+Inputs!$B$29)))</f>
        <v/>
      </c>
      <c r="E2120">
        <f>INDEX(FactorTable!$B$2:$Y$301, MATCH(ROUND(MIN(300,MAX(1,D2120)),0), FactorTable!$A$2:$A$301,0), Skills!M9+1)</f>
        <v/>
      </c>
      <c r="F2120">
        <f>IF(Skills!N9=TRUE,(Skills!L9/10)*(E2120/1000),Skills!L9/10)+Skills!O9</f>
        <v/>
      </c>
      <c r="G2120">
        <f>Skills!G9*IF(Skills!H9&gt;0,Skills!I9/Skills!H9,1)</f>
        <v/>
      </c>
      <c r="H2120">
        <f>1-(1-Skills!J9/100)^Skills!K9</f>
        <v/>
      </c>
      <c r="I2120" t="inlineStr">
        <is>
          <t>1</t>
        </is>
      </c>
      <c r="J2120">
        <f>((Inputs!$B$6*(1+Inputs!$B$7/100))+(((Inputs!$B$12*(1+Inputs!$B$13/100))-(Inputs!$B$12*(1+Inputs!$B$13/100)))+0.25*(Inputs!$B$14-Inputs!$B$14))*(1+Inputs!$B$7/100))*(F2120/100)</f>
        <v/>
      </c>
      <c r="K2120">
        <f>J2120*(1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2120)</f>
        <v/>
      </c>
      <c r="L2120">
        <f>K2120*(MIN(Inputs!$B$22+((C2133=TRUE)*(F2133-Calc!F22)),(Inputs!$B$23+((C2135=TRUE)*(F2135-Calc!F24))+(IF(ArtifactsInput!$M$15,CHOOSE(ArtifactsInput!$N$15+1,25,30,35,40,45,50)/100*(Inputs!$B$11-Inputs!$B$11),0))))/100+(Inputs!$B$23+((C2135=TRUE)*(F2135-Calc!F24))+(IF(ArtifactsInput!$M$15,CHOOSE(ArtifactsInput!$N$15+1,25,30,35,40,45,50)/100*(Inputs!$B$11-Inputs!$B$11),0)))/100)/2</f>
        <v/>
      </c>
      <c r="M2120">
        <f>L2120*(1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0">
        <f>L2120*(1-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2120*(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0">
        <f>(1-Summary!$B$11)*T2120+Summary!$B$11*V2120</f>
        <v/>
      </c>
      <c r="P2120">
        <f>IF(B2148=0,0,O2120/B2148)</f>
        <v/>
      </c>
      <c r="Q2120">
        <f>IFERROR(1/(IF(Inputs!$B$38="pvp",15,MAX(0.1,Skills!D9-IF(Skills!E9=TRUE,Inputs!$B$32,0)))*(1-IF(AND(ArtifactsInput!$M$27,Inputs!$B$4="Chapter Hunt"),CHOOSE(ArtifactsInput!$N$27+1,20,24,28,32,36,40),0)/100)),0)</f>
        <v/>
      </c>
      <c r="R2120">
        <f>IF(AND(Inputs!$B$38&lt;&gt;"pvp",Inputs!$B$43&gt;0),IF(MAX(0,Inputs!$B$43-B2145)&lt;=0,0,(INT(MAX(0,Inputs!$B$43-B2145)/(IF(Inputs!$B$38="pvp",15,MAX(0.1,Skills!D9-IF(Skills!E9=TRUE,Inputs!$B$32,0)))*(1-IF(AND(ArtifactsInput!$M$27,Inputs!$B$4="Chapter Hunt"),CHOOSE(ArtifactsInput!$N$27+1,20,24,28,32,36,40),0)/100)))+1)),0)</f>
        <v/>
      </c>
      <c r="S2120">
        <f>IFERROR(O2120/N2120,0)</f>
        <v/>
      </c>
      <c r="T2120">
        <f>IF(C2120,(H2120*N2120*IF(AND(Inputs!$B$38&lt;&gt;"pvp",Inputs!$B$43&gt;0),((Skills!G9*((R2120-1)*IF(Skills!H9&gt;0,Skills!I9/Skills!H9,1)+IF(Skills!H9&gt;0,MIN(Skills!I9,MAX(0,MAX(0,Inputs!$B$43-B2145)-((R2120-1)*(IF(Inputs!$B$38="pvp",15,MAX(0.1,Skills!D9-IF(Skills!E9=TRUE,Inputs!$B$32,0)))*(1-IF(AND(ArtifactsInput!$M$27,Inputs!$B$4="Chapter Hunt"),CHOOSE(ArtifactsInput!$N$27+1,20,24,28,32,36,40),0)/100)))))/Skills!H9,1)))/Inputs!$B$43),G2120*Q2120)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2120*(1-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2120*(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2120*(1-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2120*(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20">
        <f>IF(C2120,(H2120*N2120*IF(AND(Inputs!$B$38&lt;&gt;"pvp",Inputs!$B$43&gt;0),((Skills!G9*((R2120-1)*IF(Skills!H9&gt;0,Skills!I9/Skills!H9,1)+IF(Skills!H9&gt;0,MIN(Skills!I9,MAX(0,MAX(0,Inputs!$B$43-B2145)-((R2120-1)*(IF(Inputs!$B$38="pvp",15,MAX(0.1,Skills!D9-IF(Skills!E9=TRUE,Inputs!$B$32,0)))*(1-IF(AND(ArtifactsInput!$M$27,Inputs!$B$4="Chapter Hunt"),CHOOSE(ArtifactsInput!$N$27+1,20,24,28,32,36,40),0)/100)))))/Skills!H9,1)))/Inputs!$B$43),G2120*Q2120))*IF(Inputs!$B$38="pvp",1,(1+(Inputs!$B$21+Skills!Q9+(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1">
      <c r="A2121">
        <f>Skills!A10</f>
        <v/>
      </c>
      <c r="B2121">
        <f>Skills!B10</f>
        <v/>
      </c>
      <c r="C2121">
        <f>Inputs!$B$3&gt;=117</f>
        <v/>
      </c>
      <c r="D2121">
        <f>IF(Skills!C10=1,60+Inputs!$B$25+Inputs!$B$29,IF(Skills!C10=2,90+Inputs!$B$26+Inputs!$B$29,IF(Skills!C10=3,120+Inputs!$B$27+Inputs!$B$29,MAX(0,(Inputs!$B$3-100)*3)+Inputs!$B$28+Inputs!$B$29)))</f>
        <v/>
      </c>
      <c r="E2121">
        <f>INDEX(FactorTable!$B$2:$Y$301, MATCH(ROUND(MIN(300,MAX(1,D2121)),0), FactorTable!$A$2:$A$301,0), Skills!M10+1)</f>
        <v/>
      </c>
      <c r="F2121">
        <f>IF(Skills!N10=TRUE,(Skills!L10/10)*(E2121/1000),Skills!L10/10)+Skills!O10</f>
        <v/>
      </c>
      <c r="G2121">
        <f>Skills!G10*IF(Skills!H10&gt;0,Skills!I10/Skills!H10,1)</f>
        <v/>
      </c>
      <c r="H2121">
        <f>1-(1-Skills!J10/100)^Skills!K10</f>
        <v/>
      </c>
      <c r="I2121" t="inlineStr">
        <is>
          <t>1</t>
        </is>
      </c>
      <c r="J2121">
        <f>((Inputs!$B$6*(1+Inputs!$B$7/100))+(((Inputs!$B$12*(1+Inputs!$B$13/100))-(Inputs!$B$12*(1+Inputs!$B$13/100)))+0.25*(Inputs!$B$14-Inputs!$B$14))*(1+Inputs!$B$7/100))*(F2121/100)</f>
        <v/>
      </c>
      <c r="K2121">
        <f>J2121*(1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2121)</f>
        <v/>
      </c>
      <c r="L2121">
        <f>K2121*(MIN(Inputs!$B$22+((C2133=TRUE)*(F2133-Calc!F22)),(Inputs!$B$23+((C2135=TRUE)*(F2135-Calc!F24))+(IF(ArtifactsInput!$M$15,CHOOSE(ArtifactsInput!$N$15+1,25,30,35,40,45,50)/100*(Inputs!$B$11-Inputs!$B$11),0))))/100+(Inputs!$B$23+((C2135=TRUE)*(F2135-Calc!F24))+(IF(ArtifactsInput!$M$15,CHOOSE(ArtifactsInput!$N$15+1,25,30,35,40,45,50)/100*(Inputs!$B$11-Inputs!$B$11),0)))/100)/2</f>
        <v/>
      </c>
      <c r="M2121">
        <f>L2121*(1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1">
        <f>L2121*(1-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1">
        <f>(1-Summary!$B$11)*T2121+Summary!$B$11*V2121</f>
        <v/>
      </c>
      <c r="P2121">
        <f>IF(B2148=0,0,O2121/B2148)</f>
        <v/>
      </c>
      <c r="Q2121">
        <f>IFERROR(1/(IF(Inputs!$B$38="pvp",15,MAX(0.1,Skills!D10-IF(Skills!E10=TRUE,Inputs!$B$32,0)))*(1-IF(AND(ArtifactsInput!$M$27,Inputs!$B$4="Chapter Hunt"),CHOOSE(ArtifactsInput!$N$27+1,20,24,28,32,36,40),0)/100)),0)</f>
        <v/>
      </c>
      <c r="R2121">
        <f>IF(AND(Inputs!$B$38&lt;&gt;"pvp",Inputs!$B$43&gt;0),IF(MAX(0,Inputs!$B$43-B2145)&lt;=0,0,(INT(MAX(0,Inputs!$B$43-B2145)/(IF(Inputs!$B$38="pvp",15,MAX(0.1,Skills!D10-IF(Skills!E10=TRUE,Inputs!$B$32,0)))*(1-IF(AND(ArtifactsInput!$M$27,Inputs!$B$4="Chapter Hunt"),CHOOSE(ArtifactsInput!$N$27+1,20,24,28,32,36,40),0)/100)))+1)),0)</f>
        <v/>
      </c>
      <c r="S2121">
        <f>IFERROR(O2121/N2121,0)</f>
        <v/>
      </c>
      <c r="T2121">
        <f>IF(C2121,(H2121*N2121*IF(AND(Inputs!$B$38&lt;&gt;"pvp",Inputs!$B$43&gt;0),((Skills!G10*((R2121-1)*IF(Skills!H10&gt;0,Skills!I10/Skills!H10,1)+IF(Skills!H10&gt;0,MIN(Skills!I10,MAX(0,MAX(0,Inputs!$B$43-B2145)-((R2121-1)*(IF(Inputs!$B$38="pvp",15,MAX(0.1,Skills!D10-IF(Skills!E10=TRUE,Inputs!$B$32,0)))*(1-IF(AND(ArtifactsInput!$M$27,Inputs!$B$4="Chapter Hunt"),CHOOSE(ArtifactsInput!$N$27+1,20,24,28,32,36,40),0)/100)))))/Skills!H10,1)))/Inputs!$B$43),G2121*Q2121)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2121*(1-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2121*(1-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21">
        <f>IF(C2121,(H2121*N2121*IF(AND(Inputs!$B$38&lt;&gt;"pvp",Inputs!$B$43&gt;0),((Skills!G10*((R2121-1)*IF(Skills!H10&gt;0,Skills!I10/Skills!H10,1)+IF(Skills!H10&gt;0,MIN(Skills!I10,MAX(0,MAX(0,Inputs!$B$43-B2145)-((R2121-1)*(IF(Inputs!$B$38="pvp",15,MAX(0.1,Skills!D10-IF(Skills!E10=TRUE,Inputs!$B$32,0)))*(1-IF(AND(ArtifactsInput!$M$27,Inputs!$B$4="Chapter Hunt"),CHOOSE(ArtifactsInput!$N$27+1,20,24,28,32,36,40),0)/100)))))/Skills!H10,1)))/Inputs!$B$43),G2121*Q2121))*IF(Inputs!$B$38="pvp",1,(1+(Inputs!$B$21+Skills!Q10+(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2">
      <c r="A2122">
        <f>Skills!A11</f>
        <v/>
      </c>
      <c r="B2122">
        <f>Skills!B11</f>
        <v/>
      </c>
      <c r="C2122">
        <f>Inputs!$B$3&gt;=63</f>
        <v/>
      </c>
      <c r="D2122">
        <f>IF(Skills!C11=1,60+Inputs!$B$25+Inputs!$B$29,IF(Skills!C11=2,90+Inputs!$B$26+Inputs!$B$29,IF(Skills!C11=3,120+Inputs!$B$27+Inputs!$B$29,MAX(0,(Inputs!$B$3-100)*3)+Inputs!$B$28+Inputs!$B$29)))</f>
        <v/>
      </c>
      <c r="E2122">
        <f>INDEX(FactorTable!$B$2:$Y$301, MATCH(ROUND(MIN(300,MAX(1,D2122)),0), FactorTable!$A$2:$A$301,0), Skills!M11+1)</f>
        <v/>
      </c>
      <c r="F2122">
        <f>IF(Skills!N11=TRUE,(Skills!L11/10)*(E2122/1000),Skills!L11/10)+Skills!O11</f>
        <v/>
      </c>
      <c r="G2122">
        <f>Skills!G11*IF(Skills!H11&gt;0,Skills!I11/Skills!H11,1)</f>
        <v/>
      </c>
      <c r="H2122">
        <f>1-(1-Skills!J11/100)^Skills!K11</f>
        <v/>
      </c>
      <c r="I2122" t="inlineStr">
        <is>
          <t>1</t>
        </is>
      </c>
      <c r="J2122">
        <f>((Inputs!$B$6*(1+Inputs!$B$7/100))+(((Inputs!$B$12*(1+Inputs!$B$13/100))-(Inputs!$B$12*(1+Inputs!$B$13/100)))+0.25*(Inputs!$B$14-Inputs!$B$14))*(1+Inputs!$B$7/100))*(F2122/100)</f>
        <v/>
      </c>
      <c r="K2122">
        <f>J2122*(1+((Inputs!$B$12*(1+Inputs!$B$13/100))*0.01+Inputs!$B$14*0.0025)/100)*(1+Inputs!$B$15/100)*(1+Inputs!$B$16/100)*(5000/(6000+Inputs!$B$42*(1-(Inputs!$B$19+0)/100)))*(1+(Inputs!$B$24+0+B2144)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2123=TRUE,F2123,0)/100)*(1+(IF(Skills!A11="BLAST",Inputs!$B$17+((C2132=TRUE)*(F2132-Calc!F21))+((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MIN(100,((Inputs!$B$9+0+B2138+(ArtifactsInput!$M$24-ArtifactsInput!$M$24)*CHOOSE(ArtifactsInput!$N$24+1,10,12,14,16,18,20)+IF(ArtifactsInput!$M$10,CHOOSE(ArtifactsInput!$N$10+1,15,18,21,24,27,30)*(IF(Inputs!$B$38="pvp",MIN(15,15)/15,IF(AND(Inputs!$B$38&lt;&gt;"pvp",Inputs!$B$43&gt;0),MIN(15,Inputs!$B$43)/(Inputs!$B$43),0))),0)))-100),0))*CHOOSE(ArtifactsInput!$N$42+1,0.6,0.72,0.84,0.96,1.08,1.2))),Inputs!$B$18+((C2134=TRUE)*(F2134-Calc!F23))+(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gt;=100),CHOOSE(ArtifactsInput!$N$42+1,40,48,56,64,72,80),0))))/100)*((1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2122)</f>
        <v/>
      </c>
      <c r="L2122">
        <f>K2122*(MIN(Inputs!$B$22+((C2133=TRUE)*(F2133-Calc!F22)),(Inputs!$B$23+((C2135=TRUE)*(F2135-Calc!F24))+(IF(ArtifactsInput!$M$15,CHOOSE(ArtifactsInput!$N$15+1,25,30,35,40,45,50)/100*(Inputs!$B$11-Inputs!$B$11),0))))/100+(Inputs!$B$23+((C2135=TRUE)*(F2135-Calc!F24))+(IF(ArtifactsInput!$M$15,CHOOSE(ArtifactsInput!$N$15+1,25,30,35,40,45,50)/100*(Inputs!$B$11-Inputs!$B$11),0)))/100)/2</f>
        <v/>
      </c>
      <c r="M2122">
        <f>L2122*(1+(Inputs!$B$10+0+B2143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2">
        <f>L2122*(1-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2122*(MIN((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2">
        <f>(1-Summary!$B$11)*T2122+Summary!$B$11*V2122</f>
        <v/>
      </c>
      <c r="P2122">
        <f>IF(B2148=0,0,O2122/B2148)</f>
        <v/>
      </c>
      <c r="Q2122">
        <f>IFERROR(1/(IF(Inputs!$B$38="pvp",15,MAX(0.1,Skills!D11-IF(Skills!E11=TRUE,Inputs!$B$32,0)))*(1-IF(AND(ArtifactsInput!$M$27,Inputs!$B$4="Chapter Hunt"),CHOOSE(ArtifactsInput!$N$27+1,20,24,28,32,36,40),0)/100)),0)</f>
        <v/>
      </c>
      <c r="R2122">
        <f>IF(AND(Inputs!$B$38&lt;&gt;"pvp",Inputs!$B$43&gt;0),IF(MAX(0,Inputs!$B$43-B2145)&lt;=0,0,(INT(MAX(0,Inputs!$B$43-B2145)/(IF(Inputs!$B$38="pvp",15,MAX(0.1,Skills!D11-IF(Skills!E11=TRUE,Inputs!$B$32,0)))*(1-IF(AND(ArtifactsInput!$M$27,Inputs!$B$4="Chapter Hunt"),CHOOSE(ArtifactsInput!$N$27+1,20,24,28,32,36,40),0)/100)))+1)),0)</f>
        <v/>
      </c>
      <c r="S2122">
        <f>IFERROR(O2122/N2122,0)</f>
        <v/>
      </c>
      <c r="T2122">
        <f>IF(C2122,(H2122*N2122*IF(AND(Inputs!$B$38&lt;&gt;"pvp",Inputs!$B$43&gt;0),((Skills!G11*((R2122-1)*IF(Skills!H11&gt;0,Skills!I11/Skills!H11,1)+IF(Skills!H11&gt;0,MIN(Skills!I11,MAX(0,MAX(0,Inputs!$B$43-B2145)-((R2122-1)*(IF(Inputs!$B$38="pvp",15,MAX(0.1,Skills!D11-IF(Skills!E11=TRUE,Inputs!$B$32,0)))*(1-IF(AND(ArtifactsInput!$M$27,Inputs!$B$4="Chapter Hunt"),CHOOSE(ArtifactsInput!$N$27+1,20,24,28,32,36,40),0)/100)))))/Skills!H11,1)))/Inputs!$B$43),G2122*Q2122)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2122*(1-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2122*(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2122*(1-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2122*(MIN(100,(Inputs!$B$9+0+B2138+(ArtifactsInput!$M$24-ArtifactsInput!$M$24)*CHOOSE(ArtifactsInput!$N$24+1,10,12,14,16,18,20)+(IF(AND(Inputs!$B$38&lt;&gt;"pvp",Inputs!$B$43=0),1,IF(IF(Inputs!$B$38="pvp",15,Inputs!$B$43)-(B2145)&lt;=0,1,MAX(0,IF(Inputs!$B$38="pvp",15,Inputs!$B$43)-MAX(5,B2145))/(IF(Inputs!$B$38="pvp",15,Inputs!$B$43)-(B2145))))*IF(AND(ArtifactsInput!$M$42,((Inputs!$B$9+0+B2138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22">
        <f>IF(C2122,(H2122*N2122*IF(AND(Inputs!$B$38&lt;&gt;"pvp",Inputs!$B$43&gt;0),((Skills!G11*((R2122-1)*IF(Skills!H11&gt;0,Skills!I11/Skills!H11,1)+IF(Skills!H11&gt;0,MIN(Skills!I11,MAX(0,MAX(0,Inputs!$B$43-B2145)-((R2122-1)*(IF(Inputs!$B$38="pvp",15,MAX(0.1,Skills!D11-IF(Skills!E11=TRUE,Inputs!$B$32,0)))*(1-IF(AND(ArtifactsInput!$M$27,Inputs!$B$4="Chapter Hunt"),CHOOSE(ArtifactsInput!$N$27+1,20,24,28,32,36,40),0)/100)))))/Skills!H11,1)))/Inputs!$B$43),G2122*Q2122))*IF(Inputs!$B$38="pvp",1,(1+(Inputs!$B$21+Skills!Q11+(IF(ArtifactsInput!$M$33,CHOOSE(ArtifactsInput!$N$33+1,30,36,42,48,54,60),0))+(IF(AND(ArtifactsInput!$M$35,Inputs!$B$4&lt;&gt;"Chapter Hunt"),CHOOSE(ArtifactsInput!$N$35+1,15,18,21,24,27,30)*(1-EXP(-(0.2*B2140)*5)),0)+IF(AND(ArtifactsInput!$M$22,Inputs!$B$4&lt;&gt;"Chapter Hunt"),CHOOSE(ArtifactsInput!$N$22+1,10,12,14,16,18,20)*((0*(((0.15*B2140*5))^0/1)+1*(((0.15*B2140*5))^1/1)+2*(((0.15*B2140*5))^2/2)+3*(((0.15*B2140*5))^3/6)+4*(((0.15*B2140*5))^4/24)+5*(((0.15*B2140*5))^5/120))/((((0.15*B2140*5))^0/1)+(((0.15*B2140*5))^1/1)+(((0.15*B2140*5))^2/2)+(((0.15*B2140*5))^3/6)+(((0.15*B2140*5))^4/24)+(((0.15*B2140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3">
      <c r="A2123">
        <f>Skills!A12</f>
        <v/>
      </c>
      <c r="B2123">
        <f>Skills!B12</f>
        <v/>
      </c>
      <c r="C2123">
        <f>Inputs!$B$3&gt;=100</f>
        <v/>
      </c>
      <c r="D2123">
        <f>IF(Skills!C12=1,60+Inputs!$B$25+Inputs!$B$29,IF(Skills!C12=2,90+Inputs!$B$26+Inputs!$B$29,IF(Skills!C12=3,120+Inputs!$B$27+Inputs!$B$29,MAX(0,(Inputs!$B$3-100)*3)+Inputs!$B$28+Inputs!$B$29)))</f>
        <v/>
      </c>
      <c r="E2123">
        <f>INDEX(FactorTable!$B$2:$Y$301, MATCH(ROUND(MIN(300,MAX(1,D2123)),0), FactorTable!$A$2:$A$301,0), Skills!M12+1)</f>
        <v/>
      </c>
      <c r="F2123">
        <f>IF(Skills!N12=TRUE,(Skills!L12/10)*(E2123/1000),Skills!L12/10)+Skills!O12</f>
        <v/>
      </c>
      <c r="G2123" t="inlineStr"/>
      <c r="H2123" t="inlineStr"/>
      <c r="I2123" t="inlineStr">
        <is>
          <t>1</t>
        </is>
      </c>
      <c r="J2123" t="inlineStr"/>
      <c r="K2123" t="inlineStr"/>
      <c r="L2123" t="inlineStr"/>
      <c r="M2123" t="inlineStr"/>
      <c r="N2123" t="inlineStr"/>
      <c r="O2123" t="inlineStr"/>
      <c r="P2123" t="inlineStr"/>
      <c r="Q2123" t="inlineStr"/>
      <c r="R2123" t="inlineStr"/>
      <c r="S2123" t="inlineStr"/>
    </row>
    <row r="2124">
      <c r="A2124">
        <f>Skills!A13</f>
        <v/>
      </c>
      <c r="B2124">
        <f>Skills!B13</f>
        <v/>
      </c>
      <c r="C2124">
        <f>Inputs!$B$3&gt;=45</f>
        <v/>
      </c>
      <c r="D2124">
        <f>IF(Skills!C13=1,60+Inputs!$B$25+Inputs!$B$29,IF(Skills!C13=2,90+Inputs!$B$26+Inputs!$B$29,IF(Skills!C13=3,120+Inputs!$B$27+Inputs!$B$29,MAX(0,(Inputs!$B$3-100)*3)+Inputs!$B$28+Inputs!$B$29)))</f>
        <v/>
      </c>
      <c r="E2124">
        <f>INDEX(FactorTable!$B$2:$Y$301, MATCH(ROUND(MIN(300,MAX(1,D2124)),0), FactorTable!$A$2:$A$301,0), Skills!M13+1)</f>
        <v/>
      </c>
      <c r="F2124">
        <f>IF(Skills!N13=TRUE,(Skills!L13/10)*(E2124/1000),Skills!L13/10)+Skills!O13</f>
        <v/>
      </c>
      <c r="G2124">
        <f>Skills!G13*IF(Skills!H13&gt;0,Skills!I13/Skills!H13,1)</f>
        <v/>
      </c>
      <c r="H2124">
        <f>1-(1-Skills!J13/100)^Skills!K13</f>
        <v/>
      </c>
      <c r="I2124" t="inlineStr">
        <is>
          <t>1</t>
        </is>
      </c>
      <c r="J2124" t="inlineStr"/>
      <c r="K2124" t="inlineStr"/>
      <c r="L2124" t="inlineStr"/>
      <c r="M2124" t="inlineStr"/>
      <c r="N2124" t="inlineStr"/>
      <c r="O2124">
        <f>(1-Summary!$B$11)*T2124+Summary!$B$11*V2124</f>
        <v/>
      </c>
      <c r="P2124">
        <f>IF(B2148=0,0,O2124/B2148)</f>
        <v/>
      </c>
      <c r="Q2124" t="n">
        <v>0</v>
      </c>
      <c r="R2124" t="n">
        <v>0</v>
      </c>
      <c r="S2124">
        <f>IFERROR(O2124/N2124,0)</f>
        <v/>
      </c>
      <c r="T2124" t="n">
        <v>0</v>
      </c>
      <c r="V2124" t="n">
        <v>0</v>
      </c>
    </row>
    <row r="2125">
      <c r="A2125">
        <f>Skills!A14</f>
        <v/>
      </c>
      <c r="B2125">
        <f>Skills!B14</f>
        <v/>
      </c>
      <c r="C2125">
        <f>Inputs!$B$3&gt;=110</f>
        <v/>
      </c>
      <c r="D2125">
        <f>IF(Skills!C14=1,60+Inputs!$B$25+Inputs!$B$29,IF(Skills!C14=2,90+Inputs!$B$26+Inputs!$B$29,IF(Skills!C14=3,120+Inputs!$B$27+Inputs!$B$29,MAX(0,(Inputs!$B$3-100)*3)+Inputs!$B$28+Inputs!$B$29)))</f>
        <v/>
      </c>
      <c r="E2125">
        <f>INDEX(FactorTable!$B$2:$Y$301, MATCH(ROUND(MIN(300,MAX(1,D2125)),0), FactorTable!$A$2:$A$301,0), Skills!M14+1)</f>
        <v/>
      </c>
      <c r="F2125">
        <f>IF(Skills!N14=TRUE,(Skills!L14/10)*(E2125/1000),Skills!L14/10)+Skills!O14</f>
        <v/>
      </c>
      <c r="G2125">
        <f>Skills!G14*IF(Skills!H14&gt;0,Skills!I14/Skills!H14,1)</f>
        <v/>
      </c>
      <c r="H2125">
        <f>1-(1-Skills!J14/100)^Skills!K14</f>
        <v/>
      </c>
      <c r="I2125" t="inlineStr">
        <is>
          <t>1</t>
        </is>
      </c>
      <c r="J2125" t="inlineStr"/>
      <c r="K2125" t="inlineStr"/>
      <c r="L2125" t="inlineStr"/>
      <c r="M2125" t="inlineStr"/>
      <c r="N2125" t="inlineStr"/>
      <c r="O2125">
        <f>(1-Summary!$B$11)*T2125+Summary!$B$11*V2125</f>
        <v/>
      </c>
      <c r="P2125">
        <f>IF(B2148=0,0,O2125/B2148)</f>
        <v/>
      </c>
      <c r="Q2125" t="n">
        <v>0</v>
      </c>
      <c r="R2125" t="n">
        <v>0</v>
      </c>
      <c r="S2125">
        <f>IFERROR(O2125/N2125,0)</f>
        <v/>
      </c>
      <c r="T2125" t="n">
        <v>0</v>
      </c>
      <c r="V2125" t="n">
        <v>0</v>
      </c>
    </row>
    <row r="2126">
      <c r="A2126">
        <f>Skills!A15</f>
        <v/>
      </c>
      <c r="B2126">
        <f>Skills!B15</f>
        <v/>
      </c>
      <c r="C2126">
        <f>Inputs!$B$3&gt;=75</f>
        <v/>
      </c>
      <c r="D2126">
        <f>IF(Skills!C15=1,60+Inputs!$B$25+Inputs!$B$29,IF(Skills!C15=2,90+Inputs!$B$26+Inputs!$B$29,IF(Skills!C15=3,120+Inputs!$B$27+Inputs!$B$29,MAX(0,(Inputs!$B$3-100)*3)+Inputs!$B$28+Inputs!$B$29)))</f>
        <v/>
      </c>
      <c r="E2126">
        <f>INDEX(FactorTable!$B$2:$Y$301, MATCH(ROUND(MIN(300,MAX(1,D2126)),0), FactorTable!$A$2:$A$301,0), Skills!M15+1)</f>
        <v/>
      </c>
      <c r="F2126">
        <f>IF(Skills!N15=TRUE,(Skills!L15/10)*(E2126/1000),Skills!L15/10)+Skills!O15</f>
        <v/>
      </c>
      <c r="G2126">
        <f>Skills!G15*IF(Skills!H15&gt;0,Skills!I15/Skills!H15,1)</f>
        <v/>
      </c>
      <c r="H2126">
        <f>1-(1-Skills!J15/100)^Skills!K15</f>
        <v/>
      </c>
      <c r="I2126" t="inlineStr">
        <is>
          <t>1</t>
        </is>
      </c>
      <c r="J2126" t="inlineStr"/>
      <c r="K2126" t="inlineStr"/>
      <c r="L2126" t="inlineStr"/>
      <c r="M2126" t="inlineStr"/>
      <c r="N2126" t="inlineStr"/>
      <c r="O2126">
        <f>(1-Summary!$B$11)*T2126+Summary!$B$11*V2126</f>
        <v/>
      </c>
      <c r="P2126">
        <f>IF(B2148=0,0,O2126/B2148)</f>
        <v/>
      </c>
      <c r="Q2126">
        <f>IFERROR(1/(IF(Inputs!$B$38="pvp",15,MAX(0.1,Skills!D15-IF(Skills!E15=TRUE,Inputs!$B$32,0)))*(1-IF(AND(ArtifactsInput!$M$27,Inputs!$B$4="Chapter Hunt"),CHOOSE(ArtifactsInput!$N$27+1,20,24,28,32,36,40),0)/100)),0)</f>
        <v/>
      </c>
      <c r="R2126">
        <f>IF(AND(Inputs!$B$38&lt;&gt;"pvp",Inputs!$B$43&gt;0),IF(Inputs!$B$43&lt;=0,0,(INT(Inputs!$B$43/(IF(Inputs!$B$38="pvp",15,MAX(0.1,Skills!D15-IF(Skills!E15=TRUE,Inputs!$B$32,0)))*(1-IF(AND(ArtifactsInput!$M$27,Inputs!$B$4="Chapter Hunt"),CHOOSE(ArtifactsInput!$N$27+1,20,24,28,32,36,40),0)/100)))+1)),0)</f>
        <v/>
      </c>
      <c r="S2126">
        <f>IFERROR(O2126/N2126,0)</f>
        <v/>
      </c>
      <c r="T2126" t="n">
        <v>0</v>
      </c>
      <c r="V2126" t="n">
        <v>0</v>
      </c>
    </row>
    <row r="2127">
      <c r="A2127">
        <f>Skills!A16</f>
        <v/>
      </c>
      <c r="B2127">
        <f>Skills!B16</f>
        <v/>
      </c>
      <c r="C2127">
        <f>Inputs!$B$3&gt;=105</f>
        <v/>
      </c>
      <c r="D2127">
        <f>IF(Skills!C16=1,60+Inputs!$B$25+Inputs!$B$29,IF(Skills!C16=2,90+Inputs!$B$26+Inputs!$B$29,IF(Skills!C16=3,120+Inputs!$B$27+Inputs!$B$29,MAX(0,(Inputs!$B$3-100)*3)+Inputs!$B$28+Inputs!$B$29)))</f>
        <v/>
      </c>
      <c r="E2127">
        <f>INDEX(FactorTable!$B$2:$Y$301, MATCH(ROUND(MIN(300,MAX(1,D2127)),0), FactorTable!$A$2:$A$301,0), Skills!M16+1)</f>
        <v/>
      </c>
      <c r="F2127">
        <f>IF(Skills!N16=TRUE,(Skills!L16/10)*(E2127/1000),Skills!L16/10)+Skills!O16</f>
        <v/>
      </c>
      <c r="G2127">
        <f>Skills!G16*IF(Skills!H16&gt;0,Skills!I16/Skills!H16,1)</f>
        <v/>
      </c>
      <c r="H2127">
        <f>1-(1-Skills!J16/100)^Skills!K16</f>
        <v/>
      </c>
      <c r="I2127" t="inlineStr">
        <is>
          <t>1</t>
        </is>
      </c>
      <c r="J2127" t="inlineStr"/>
      <c r="K2127" t="inlineStr"/>
      <c r="L2127" t="inlineStr"/>
      <c r="M2127" t="inlineStr"/>
      <c r="N2127" t="inlineStr"/>
      <c r="O2127">
        <f>(1-Summary!$B$11)*T2127+Summary!$B$11*V2127</f>
        <v/>
      </c>
      <c r="P2127">
        <f>IF(B2148=0,0,O2127/B2148)</f>
        <v/>
      </c>
      <c r="Q2127">
        <f>IFERROR(1/(IF(Inputs!$B$38="pvp",15,MAX(0.1,Skills!D16-IF(Skills!E16=TRUE,Inputs!$B$32,0)))*(1-IF(AND(ArtifactsInput!$M$27,Inputs!$B$4="Chapter Hunt"),CHOOSE(ArtifactsInput!$N$27+1,20,24,28,32,36,40),0)/100)),0)</f>
        <v/>
      </c>
      <c r="R2127">
        <f>IF(AND(Inputs!$B$38&lt;&gt;"pvp",Inputs!$B$43&gt;0),IF(Inputs!$B$43&lt;=0,0,(INT(Inputs!$B$43/(IF(Inputs!$B$38="pvp",15,MAX(0.1,Skills!D16-IF(Skills!E16=TRUE,Inputs!$B$32,0)))*(1-IF(AND(ArtifactsInput!$M$27,Inputs!$B$4="Chapter Hunt"),CHOOSE(ArtifactsInput!$N$27+1,20,24,28,32,36,40),0)/100)))+1)),0)</f>
        <v/>
      </c>
      <c r="S2127">
        <f>IFERROR(O2127/N2127,0)</f>
        <v/>
      </c>
      <c r="T2127" t="n">
        <v>0</v>
      </c>
      <c r="V2127" t="n">
        <v>0</v>
      </c>
    </row>
    <row r="2128">
      <c r="A2128">
        <f>Skills!A17</f>
        <v/>
      </c>
      <c r="B2128">
        <f>Skills!B17</f>
        <v/>
      </c>
      <c r="C2128">
        <f>Inputs!$B$3&gt;=115</f>
        <v/>
      </c>
      <c r="D2128">
        <f>IF(Skills!C17=1,60+Inputs!$B$25+Inputs!$B$29,IF(Skills!C17=2,90+Inputs!$B$26+Inputs!$B$29,IF(Skills!C17=3,120+Inputs!$B$27+Inputs!$B$29,MAX(0,(Inputs!$B$3-100)*3)+Inputs!$B$28+Inputs!$B$29)))</f>
        <v/>
      </c>
      <c r="E2128">
        <f>INDEX(FactorTable!$B$2:$Y$301, MATCH(ROUND(MIN(300,MAX(1,D2128)),0), FactorTable!$A$2:$A$301,0), Skills!M17+1)</f>
        <v/>
      </c>
      <c r="F2128">
        <f>IF(Skills!N17=TRUE,(Skills!L17/10)*(E2128/1000),Skills!L17/10)+Skills!O17</f>
        <v/>
      </c>
      <c r="G2128">
        <f>Skills!G17*IF(Skills!H17&gt;0,Skills!I17/Skills!H17,1)</f>
        <v/>
      </c>
      <c r="H2128">
        <f>1-(1-Skills!J17/100)^Skills!K17</f>
        <v/>
      </c>
      <c r="I2128" t="inlineStr">
        <is>
          <t>1</t>
        </is>
      </c>
      <c r="J2128" t="inlineStr"/>
      <c r="K2128" t="inlineStr"/>
      <c r="L2128" t="inlineStr"/>
      <c r="M2128" t="inlineStr"/>
      <c r="N2128" t="inlineStr"/>
      <c r="O2128">
        <f>(1-Summary!$B$11)*T2128+Summary!$B$11*V2128</f>
        <v/>
      </c>
      <c r="P2128">
        <f>IF(B2148=0,0,O2128/B2148)</f>
        <v/>
      </c>
      <c r="Q2128">
        <f>IFERROR(1/(IF(Inputs!$B$38="pvp",15,MAX(0.1,Skills!D17-IF(Skills!E17=TRUE,Inputs!$B$32,0)))*(1-IF(AND(ArtifactsInput!$M$27,Inputs!$B$4="Chapter Hunt"),CHOOSE(ArtifactsInput!$N$27+1,20,24,28,32,36,40),0)/100)),0)</f>
        <v/>
      </c>
      <c r="R2128">
        <f>IF(AND(Inputs!$B$38&lt;&gt;"pvp",Inputs!$B$43&gt;0),IF(Inputs!$B$43&lt;=0,0,(INT(Inputs!$B$43/(IF(Inputs!$B$38="pvp",15,MAX(0.1,Skills!D17-IF(Skills!E17=TRUE,Inputs!$B$32,0)))*(1-IF(AND(ArtifactsInput!$M$27,Inputs!$B$4="Chapter Hunt"),CHOOSE(ArtifactsInput!$N$27+1,20,24,28,32,36,40),0)/100)))+1)),0)</f>
        <v/>
      </c>
      <c r="S2128">
        <f>IFERROR(O2128/N2128,0)</f>
        <v/>
      </c>
      <c r="T2128" t="n">
        <v>0</v>
      </c>
      <c r="V2128" t="n">
        <v>0</v>
      </c>
    </row>
    <row r="2129">
      <c r="A2129">
        <f>Skills!A18</f>
        <v/>
      </c>
      <c r="B2129">
        <f>Skills!B18</f>
        <v/>
      </c>
      <c r="C2129">
        <f>Inputs!$B$3&gt;=74</f>
        <v/>
      </c>
      <c r="D2129">
        <f>IF(Skills!C18=1,60+Inputs!$B$25+Inputs!$B$29,IF(Skills!C18=2,90+Inputs!$B$26+Inputs!$B$29,IF(Skills!C18=3,120+Inputs!$B$27+Inputs!$B$29,MAX(0,(Inputs!$B$3-100)*3)+Inputs!$B$28+Inputs!$B$29)))</f>
        <v/>
      </c>
      <c r="E2129">
        <f>INDEX(FactorTable!$B$2:$Y$301, MATCH(ROUND(MIN(300,MAX(1,D2129)),0), FactorTable!$A$2:$A$301,0), Skills!M18+1)</f>
        <v/>
      </c>
      <c r="F2129">
        <f>IF(Skills!N18=TRUE,(Skills!L18/10)*(E2129/1000),Skills!L18/10)+Skills!O18</f>
        <v/>
      </c>
      <c r="G2129">
        <f>Skills!G18*IF(Skills!H18&gt;0,Skills!I18/Skills!H18,1)</f>
        <v/>
      </c>
      <c r="H2129">
        <f>1-(1-Skills!J18/100)^Skills!K18</f>
        <v/>
      </c>
      <c r="I2129" t="inlineStr">
        <is>
          <t>1</t>
        </is>
      </c>
      <c r="J2129" t="inlineStr"/>
      <c r="K2129" t="inlineStr"/>
      <c r="L2129" t="inlineStr"/>
      <c r="M2129" t="inlineStr"/>
      <c r="N2129" t="inlineStr"/>
      <c r="O2129">
        <f>(1-Summary!$B$11)*T2129+Summary!$B$11*V2129</f>
        <v/>
      </c>
      <c r="P2129">
        <f>IF(B2148=0,0,O2129/B2148)</f>
        <v/>
      </c>
      <c r="Q2129">
        <f>IFERROR(1/(IF(Inputs!$B$38="pvp",15,MAX(0.1,Skills!D18-IF(Skills!E18=TRUE,Inputs!$B$32,0)))*(1-IF(AND(ArtifactsInput!$M$27,Inputs!$B$4="Chapter Hunt"),CHOOSE(ArtifactsInput!$N$27+1,20,24,28,32,36,40),0)/100)),0)</f>
        <v/>
      </c>
      <c r="R2129">
        <f>IF(AND(Inputs!$B$38&lt;&gt;"pvp",Inputs!$B$43&gt;0),IF(Inputs!$B$43&lt;=0,0,(INT(Inputs!$B$43/(IF(Inputs!$B$38="pvp",15,MAX(0.1,Skills!D18-IF(Skills!E18=TRUE,Inputs!$B$32,0)))*(1-IF(AND(ArtifactsInput!$M$27,Inputs!$B$4="Chapter Hunt"),CHOOSE(ArtifactsInput!$N$27+1,20,24,28,32,36,40),0)/100)))+1)),0)</f>
        <v/>
      </c>
      <c r="S2129">
        <f>IFERROR(O2129/N2129,0)</f>
        <v/>
      </c>
      <c r="T2129" t="n">
        <v>0</v>
      </c>
      <c r="V2129" t="n">
        <v>0</v>
      </c>
    </row>
    <row r="2130">
      <c r="A2130">
        <f>Skills!A19</f>
        <v/>
      </c>
      <c r="B2130">
        <f>Skills!B19</f>
        <v/>
      </c>
      <c r="C2130">
        <f>TRUE</f>
        <v/>
      </c>
      <c r="D2130">
        <f>IF(Skills!C19=1,60+Inputs!$B$25+Inputs!$B$29,IF(Skills!C19=2,90+Inputs!$B$26+Inputs!$B$29,IF(Skills!C19=3,120+Inputs!$B$27+Inputs!$B$29,MAX(0,(Inputs!$B$3-100)*3)+Inputs!$B$28+Inputs!$B$29)))</f>
        <v/>
      </c>
      <c r="E2130">
        <f>INDEX(FactorTable!$B$2:$Y$301, MATCH(ROUND(MIN(300,MAX(1,D2130)),0), FactorTable!$A$2:$A$301,0), Skills!M19+1)</f>
        <v/>
      </c>
      <c r="F2130">
        <f>IF(Skills!N19=TRUE,(Skills!L19/10)*(E2130/1000),Skills!L19/10)+Skills!O19</f>
        <v/>
      </c>
      <c r="G2130">
        <f>Skills!G19*IF(Skills!H19&gt;0,Skills!I19/Skills!H19,1)</f>
        <v/>
      </c>
      <c r="H2130">
        <f>1-(1-Skills!J19/100)^Skills!K19</f>
        <v/>
      </c>
      <c r="I2130" t="inlineStr">
        <is>
          <t>1</t>
        </is>
      </c>
      <c r="J2130" t="inlineStr"/>
      <c r="K2130" t="inlineStr"/>
      <c r="L2130" t="inlineStr"/>
      <c r="M2130" t="inlineStr"/>
      <c r="N2130" t="inlineStr"/>
      <c r="O2130">
        <f>(1-Summary!$B$11)*T2130+Summary!$B$11*V2130</f>
        <v/>
      </c>
      <c r="P2130">
        <f>IF(B2148=0,0,O2130/B2148)</f>
        <v/>
      </c>
      <c r="Q2130">
        <f>IFERROR(1/(IF(Inputs!$B$38="pvp",15,MAX(0.1,Skills!D19-IF(Skills!E19=TRUE,Inputs!$B$32,0)))*(1-IF(AND(ArtifactsInput!$M$27,Inputs!$B$4="Chapter Hunt"),CHOOSE(ArtifactsInput!$N$27+1,20,24,28,32,36,40),0)/100)),0)</f>
        <v/>
      </c>
      <c r="R2130">
        <f>IF(AND(Inputs!$B$38&lt;&gt;"pvp",Inputs!$B$43&gt;0),IF(Inputs!$B$43&lt;=0,0,(INT(Inputs!$B$43/(IF(Inputs!$B$38="pvp",15,MAX(0.1,Skills!D19-IF(Skills!E19=TRUE,Inputs!$B$32,0)))*(1-IF(AND(ArtifactsInput!$M$27,Inputs!$B$4="Chapter Hunt"),CHOOSE(ArtifactsInput!$N$27+1,20,24,28,32,36,40),0)/100)))+1)),0)</f>
        <v/>
      </c>
      <c r="S2130">
        <f>IFERROR(O2130/N2130,0)</f>
        <v/>
      </c>
      <c r="T2130" t="n">
        <v>0</v>
      </c>
      <c r="V2130" t="n">
        <v>0</v>
      </c>
    </row>
    <row r="2131">
      <c r="A2131">
        <f>Skills!A20</f>
        <v/>
      </c>
      <c r="B2131">
        <f>Skills!B20</f>
        <v/>
      </c>
      <c r="C2131">
        <f>Inputs!$B$3&gt;=33</f>
        <v/>
      </c>
      <c r="D2131">
        <f>IF(Skills!C20=1,60+Inputs!$B$25+Inputs!$B$29,IF(Skills!C20=2,90+Inputs!$B$26+Inputs!$B$29,IF(Skills!C20=3,120+Inputs!$B$27+Inputs!$B$29,MAX(0,(Inputs!$B$3-100)*3)+Inputs!$B$28+Inputs!$B$29)))</f>
        <v/>
      </c>
      <c r="E2131">
        <f>INDEX(FactorTable!$B$2:$Y$301, MATCH(ROUND(MIN(300,MAX(1,D2131)),0), FactorTable!$A$2:$A$301,0), Skills!M20+1)</f>
        <v/>
      </c>
      <c r="F2131">
        <f>IF(Skills!N20=TRUE,(Skills!L20/10)*(E2131/1000),Skills!L20/10)+Skills!O20</f>
        <v/>
      </c>
      <c r="G2131">
        <f>Skills!G20*IF(Skills!H20&gt;0,Skills!I20/Skills!H20,1)</f>
        <v/>
      </c>
      <c r="H2131">
        <f>1-(1-Skills!J20/100)^Skills!K20</f>
        <v/>
      </c>
      <c r="I2131" t="inlineStr">
        <is>
          <t>1</t>
        </is>
      </c>
      <c r="J2131" t="inlineStr"/>
      <c r="K2131" t="inlineStr"/>
      <c r="L2131" t="inlineStr"/>
      <c r="M2131" t="inlineStr"/>
      <c r="N2131" t="inlineStr"/>
      <c r="O2131">
        <f>(1-Summary!$B$11)*T2131+Summary!$B$11*V2131</f>
        <v/>
      </c>
      <c r="P2131">
        <f>IF(B2148=0,0,O2131/B2148)</f>
        <v/>
      </c>
      <c r="Q2131" t="n">
        <v>0</v>
      </c>
      <c r="R2131" t="n">
        <v>0</v>
      </c>
      <c r="S2131">
        <f>IFERROR(O2131/N2131,0)</f>
        <v/>
      </c>
      <c r="T2131" t="n">
        <v>0</v>
      </c>
      <c r="V2131" t="n">
        <v>0</v>
      </c>
    </row>
    <row r="2132">
      <c r="A2132">
        <f>Skills!A21</f>
        <v/>
      </c>
      <c r="B2132">
        <f>Skills!B21</f>
        <v/>
      </c>
      <c r="C2132">
        <f>Inputs!$B$3&gt;=38</f>
        <v/>
      </c>
      <c r="D2132">
        <f>IF(Skills!C21=1,60+Inputs!$B$25+Inputs!$B$29,IF(Skills!C21=2,90+Inputs!$B$26+Inputs!$B$29,IF(Skills!C21=3,120+Inputs!$B$27+Inputs!$B$29,MAX(0,(Inputs!$B$3-100)*3)+Inputs!$B$28+Inputs!$B$29)))</f>
        <v/>
      </c>
      <c r="E2132">
        <f>INDEX(FactorTable!$B$2:$Y$301, MATCH(ROUND(MIN(300,MAX(1,D2132)),0), FactorTable!$A$2:$A$301,0), Skills!M21+1)</f>
        <v/>
      </c>
      <c r="F2132">
        <f>IF(Skills!N21=TRUE,(Skills!L21/10)*(E2132/1000),Skills!L21/10)+Skills!O21</f>
        <v/>
      </c>
      <c r="G2132">
        <f>Skills!G21*IF(Skills!H21&gt;0,Skills!I21/Skills!H21,1)</f>
        <v/>
      </c>
      <c r="H2132">
        <f>1-(1-Skills!J21/100)^Skills!K21</f>
        <v/>
      </c>
      <c r="I2132" t="inlineStr">
        <is>
          <t>1</t>
        </is>
      </c>
      <c r="J2132" t="inlineStr"/>
      <c r="K2132" t="inlineStr"/>
      <c r="L2132" t="inlineStr"/>
      <c r="M2132" t="inlineStr"/>
      <c r="N2132" t="inlineStr"/>
      <c r="O2132">
        <f>(1-Summary!$B$11)*T2132+Summary!$B$11*V2132</f>
        <v/>
      </c>
      <c r="P2132">
        <f>IF(B2148=0,0,O2132/B2148)</f>
        <v/>
      </c>
      <c r="Q2132" t="n">
        <v>0</v>
      </c>
      <c r="R2132" t="n">
        <v>0</v>
      </c>
      <c r="S2132">
        <f>IFERROR(O2132/N2132,0)</f>
        <v/>
      </c>
      <c r="T2132" t="n">
        <v>0</v>
      </c>
      <c r="V2132" t="n">
        <v>0</v>
      </c>
    </row>
    <row r="2133">
      <c r="A2133">
        <f>Skills!A22</f>
        <v/>
      </c>
      <c r="B2133">
        <f>Skills!B22</f>
        <v/>
      </c>
      <c r="C2133">
        <f>Inputs!$B$3&gt;=43</f>
        <v/>
      </c>
      <c r="D2133">
        <f>IF(Skills!C22=1,60+Inputs!$B$25+Inputs!$B$29,IF(Skills!C22=2,90+Inputs!$B$26+Inputs!$B$29,IF(Skills!C22=3,120+Inputs!$B$27+Inputs!$B$29,MAX(0,(Inputs!$B$3-100)*3)+Inputs!$B$28+Inputs!$B$29)))</f>
        <v/>
      </c>
      <c r="E2133">
        <f>INDEX(FactorTable!$B$2:$Y$301, MATCH(ROUND(MIN(300,MAX(1,D2133)),0), FactorTable!$A$2:$A$301,0), Skills!M22+1)</f>
        <v/>
      </c>
      <c r="F2133">
        <f>IF(Skills!N22=TRUE,(Skills!L22/10)*(E2133/1000),Skills!L22/10)+Skills!O22</f>
        <v/>
      </c>
      <c r="G2133">
        <f>Skills!G22*IF(Skills!H22&gt;0,Skills!I22/Skills!H22,1)</f>
        <v/>
      </c>
      <c r="H2133">
        <f>1-(1-Skills!J22/100)^Skills!K22</f>
        <v/>
      </c>
      <c r="I2133" t="inlineStr">
        <is>
          <t>1</t>
        </is>
      </c>
      <c r="J2133" t="inlineStr"/>
      <c r="K2133" t="inlineStr"/>
      <c r="L2133" t="inlineStr"/>
      <c r="M2133" t="inlineStr"/>
      <c r="N2133" t="inlineStr"/>
      <c r="O2133">
        <f>(1-Summary!$B$11)*T2133+Summary!$B$11*V2133</f>
        <v/>
      </c>
      <c r="P2133">
        <f>IF(B2148=0,0,O2133/B2148)</f>
        <v/>
      </c>
      <c r="Q2133" t="n">
        <v>0</v>
      </c>
      <c r="R2133" t="n">
        <v>0</v>
      </c>
      <c r="S2133">
        <f>IFERROR(O2133/N2133,0)</f>
        <v/>
      </c>
      <c r="T2133" t="n">
        <v>0</v>
      </c>
      <c r="V2133" t="n">
        <v>0</v>
      </c>
    </row>
    <row r="2134">
      <c r="A2134">
        <f>Skills!A23</f>
        <v/>
      </c>
      <c r="B2134">
        <f>Skills!B23</f>
        <v/>
      </c>
      <c r="C2134">
        <f>Inputs!$B$3&gt;=120</f>
        <v/>
      </c>
      <c r="D2134">
        <f>IF(Skills!C23=1,60+Inputs!$B$25+Inputs!$B$29,IF(Skills!C23=2,90+Inputs!$B$26+Inputs!$B$29,IF(Skills!C23=3,120+Inputs!$B$27+Inputs!$B$29,MAX(0,(Inputs!$B$3-100)*3)+Inputs!$B$28+Inputs!$B$29)))</f>
        <v/>
      </c>
      <c r="E2134">
        <f>INDEX(FactorTable!$B$2:$Y$301, MATCH(ROUND(MIN(300,MAX(1,D2134)),0), FactorTable!$A$2:$A$301,0), Skills!M23+1)</f>
        <v/>
      </c>
      <c r="F2134">
        <f>IF(Skills!N23=TRUE,(Skills!L23/10)*(E2134/1000),Skills!L23/10)+Skills!O23</f>
        <v/>
      </c>
      <c r="G2134">
        <f>Skills!G23*IF(Skills!H23&gt;0,Skills!I23/Skills!H23,1)</f>
        <v/>
      </c>
      <c r="H2134">
        <f>1-(1-Skills!J23/100)^Skills!K23</f>
        <v/>
      </c>
      <c r="I2134" t="inlineStr">
        <is>
          <t>1</t>
        </is>
      </c>
      <c r="J2134" t="inlineStr"/>
      <c r="K2134" t="inlineStr"/>
      <c r="L2134" t="inlineStr"/>
      <c r="M2134" t="inlineStr"/>
      <c r="N2134" t="inlineStr"/>
      <c r="O2134">
        <f>(1-Summary!$B$11)*T2134+Summary!$B$11*V2134</f>
        <v/>
      </c>
      <c r="P2134">
        <f>IF(B2148=0,0,O2134/B2148)</f>
        <v/>
      </c>
      <c r="Q2134" t="n">
        <v>0</v>
      </c>
      <c r="R2134" t="n">
        <v>0</v>
      </c>
      <c r="S2134">
        <f>IFERROR(O2134/N2134,0)</f>
        <v/>
      </c>
      <c r="T2134" t="n">
        <v>0</v>
      </c>
      <c r="V2134" t="n">
        <v>0</v>
      </c>
    </row>
    <row r="2135">
      <c r="A2135">
        <f>Skills!A24</f>
        <v/>
      </c>
      <c r="B2135">
        <f>Skills!B24</f>
        <v/>
      </c>
      <c r="C2135">
        <f>Inputs!$B$3&gt;=120</f>
        <v/>
      </c>
      <c r="D2135">
        <f>IF(Skills!C24=1,60+Inputs!$B$25+Inputs!$B$29,IF(Skills!C24=2,90+Inputs!$B$26+Inputs!$B$29,IF(Skills!C24=3,120+Inputs!$B$27+Inputs!$B$29,MAX(0,(Inputs!$B$3-100)*3)+Inputs!$B$28+Inputs!$B$29)))</f>
        <v/>
      </c>
      <c r="E2135">
        <f>INDEX(FactorTable!$B$2:$Y$301, MATCH(ROUND(MIN(300,MAX(1,D2135)),0), FactorTable!$A$2:$A$301,0), Skills!M24+1)</f>
        <v/>
      </c>
      <c r="F2135">
        <f>IF(Skills!N24=TRUE,(Skills!L24/10)*(E2135/1000),Skills!L24/10)+Skills!O24</f>
        <v/>
      </c>
      <c r="G2135">
        <f>Skills!G24*IF(Skills!H24&gt;0,Skills!I24/Skills!H24,1)</f>
        <v/>
      </c>
      <c r="H2135">
        <f>1-(1-Skills!J24/100)^Skills!K24</f>
        <v/>
      </c>
      <c r="I2135" t="inlineStr">
        <is>
          <t>1</t>
        </is>
      </c>
      <c r="J2135" t="inlineStr"/>
      <c r="K2135" t="inlineStr"/>
      <c r="L2135" t="inlineStr"/>
      <c r="M2135" t="inlineStr"/>
      <c r="N2135" t="inlineStr"/>
      <c r="O2135">
        <f>(1-Summary!$B$11)*T2135+Summary!$B$11*V2135</f>
        <v/>
      </c>
      <c r="P2135">
        <f>IF(B2148=0,0,O2135/B2148)</f>
        <v/>
      </c>
      <c r="Q2135" t="n">
        <v>0</v>
      </c>
      <c r="R2135" t="n">
        <v>0</v>
      </c>
      <c r="S2135">
        <f>IFERROR(O2135/N2135,0)</f>
        <v/>
      </c>
      <c r="T2135" t="n">
        <v>0</v>
      </c>
      <c r="V2135" t="n">
        <v>0</v>
      </c>
    </row>
    <row r="2137">
      <c r="A2137" t="inlineStr">
        <is>
          <t>Attack% Bucket Multiplier</t>
        </is>
      </c>
      <c r="B2137">
        <f>(1+(((C2124=TRUE)*F2124*MIN(1,Skills!T13*(Skills!J13/100)*B2142))+((C2129=TRUE)*F2129*IF(AND(Inputs!$B$38&lt;&gt;"pvp",Inputs!$B$43&gt;0),(((R2129-1)*(Skills!T18*(1+Inputs!$B$34/100))+MIN((Skills!T18*(1+Inputs!$B$34/100)),MAX(0,Inputs!$B$43-((R2129-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38">
      <c r="A2138" t="inlineStr">
        <is>
          <t>Global Crit Rate Bonus %</t>
        </is>
      </c>
      <c r="B2138" t="n">
        <v>0</v>
      </c>
    </row>
    <row r="2139">
      <c r="A2139" t="inlineStr">
        <is>
          <t>Attack Speed Buff Bonus %</t>
        </is>
      </c>
      <c r="B2139">
        <f>((C2130=TRUE)*F2130*IF(AND(Inputs!$B$38&lt;&gt;"pvp",Inputs!$B$43&gt;0),(((R2130-1)*(Skills!T19*(1+Inputs!$B$34/100))+MIN((Skills!T19*(1+Inputs!$B$34/100)),MAX(0,Inputs!$B$43-((R2130-1)*Skills!D19))))/Inputs!$B$43),IF(Inputs!$B$38="pvp",MIN((Skills!T19*(1+Inputs!$B$34/100)),15)/15,(Skills!T19*(1+Inputs!$B$34/100))/Skills!D19)))</f>
        <v/>
      </c>
    </row>
    <row r="2140">
      <c r="A2140" t="inlineStr">
        <is>
          <t>Actions Per Second</t>
        </is>
      </c>
      <c r="B2140">
        <f>1+MIN(150,150*(1-(1-(Inputs!$B$11+((C2131=TRUE)*(F2131-Calc!F20)))/150)*(1-B2139/150)))/100</f>
        <v/>
      </c>
    </row>
    <row r="2141">
      <c r="A2141" t="inlineStr">
        <is>
          <t>Skill + Buff Cast Rate</t>
        </is>
      </c>
      <c r="B2141">
        <f>IF(AND(Inputs!$B$38&lt;&gt;"pvp",Inputs!$B$43&gt;0),SUMPRODUCT((Skills!E2:E24=TRUE)*(C2113:C2135=TRUE)*R2113:R2135*Skills!F2:F24)/Inputs!$B$43,SUMPRODUCT((Skills!E2:E24=TRUE)*(C2113:C2135=TRUE)*Q2113:Q2135*Skills!F2:F24))</f>
        <v/>
      </c>
    </row>
    <row r="2142">
      <c r="A2142" t="inlineStr">
        <is>
          <t>Blast Casts Per Second</t>
        </is>
      </c>
      <c r="B2142">
        <f>MAX(0,B2140-B2141)</f>
        <v/>
      </c>
    </row>
    <row r="2143">
      <c r="A2143" t="inlineStr">
        <is>
          <t>Global Critical Damage Bonus % (unused)</t>
        </is>
      </c>
      <c r="B2143" t="n">
        <v>0</v>
      </c>
    </row>
    <row r="2144">
      <c r="A2144" t="inlineStr">
        <is>
          <t>Global Final Damage Bonus % (Divine Shield + Guardian + Divine Blessing + Greater Vessel of Light)</t>
        </is>
      </c>
      <c r="B2144">
        <f>((C2126=TRUE)*F2126*IF(AND(Inputs!$B$38&lt;&gt;"pvp",Inputs!$B$43&gt;0),(((R2126-1)*(Skills!T15*(1+Inputs!$B$34/100))+MIN((Skills!T15*(1+Inputs!$B$34/100)),MAX(0,Inputs!$B$43-((R2126-1)*Skills!D15))))/Inputs!$B$43),IF(Inputs!$B$38="pvp",MIN((Skills!T15*(1+Inputs!$B$34/100)),15)/15,(Skills!T15*(1+Inputs!$B$34/100))/Skills!D15)))+((C2127=TRUE)*F2127*IF(AND(Inputs!$B$38&lt;&gt;"pvp",Inputs!$B$43&gt;0),(((R2127-1)*(Skills!T16*(1+Inputs!$B$34/100))+MIN((Skills!T16*(1+Inputs!$B$34/100)),MAX(0,Inputs!$B$43-((R2127-1)*Skills!D16))))/Inputs!$B$43),IF(Inputs!$B$38="pvp",MIN((Skills!T16*(1+Inputs!$B$34/100)),15)/15,(Skills!T16*(1+Inputs!$B$34/100))/Skills!D16)))+((C2128=TRUE)*F2128*IF(AND(Inputs!$B$38&lt;&gt;"pvp",Inputs!$B$43&gt;0),(((R2128-1)*(Skills!T17*(1+Inputs!$B$34/100))+MIN((Skills!T17*(1+Inputs!$B$34/100)),MAX(0,Inputs!$B$43-((R2128-1)*Skills!D17))))/Inputs!$B$43),IF(Inputs!$B$38="pvp",MIN((Skills!T17*(1+Inputs!$B$34/100)),15)/15,(Skills!T17*(1+Inputs!$B$34/100))/Skills!D17)))+((C2125=TRUE)*F2125*MIN(1,Skills!T13*(Skills!J13/100)*B2142))</f>
        <v/>
      </c>
    </row>
    <row r="2145">
      <c r="A2145" t="inlineStr">
        <is>
          <t>Buff-Casting Startup Delay (s, fixed-duration only)</t>
        </is>
      </c>
      <c r="B2145">
        <f>IF(AND(Inputs!$B$38&lt;&gt;"pvp",Inputs!$B$43&gt;0),SUMPRODUCT((Skills!T2:T24&gt;0)*(Skills!E2:E24=TRUE)*(C2113:C2135=TRUE))/B2140,0)</f>
        <v/>
      </c>
    </row>
    <row r="2146">
      <c r="A2146" t="inlineStr">
        <is>
          <t>Boss-Only Total DPS (this block's swept value)</t>
        </is>
      </c>
      <c r="B2146">
        <f>SUM(T2113:T2135)</f>
        <v/>
      </c>
    </row>
    <row r="2147">
      <c r="A2147" t="inlineStr">
        <is>
          <t>Normal-Only Total DPS (this block's swept value)</t>
        </is>
      </c>
      <c r="B2147">
        <f>SUM(V2113:V2135)</f>
        <v/>
      </c>
    </row>
    <row r="2148">
      <c r="A2148" s="6" t="inlineStr">
        <is>
          <t>TOTAL DPS</t>
        </is>
      </c>
      <c r="B2148" s="6">
        <f>SUM(O2113:O2135)</f>
        <v/>
      </c>
    </row>
    <row r="2151">
      <c r="A2151" s="6" t="inlineStr">
        <is>
          <t>Stat: Sayram's Necklace (Equip)</t>
        </is>
      </c>
    </row>
    <row r="2152">
      <c r="A2152" s="5" t="inlineStr">
        <is>
          <t>Key</t>
        </is>
      </c>
      <c r="B2152" s="5" t="inlineStr">
        <is>
          <t>Name</t>
        </is>
      </c>
      <c r="C2152" s="5" t="inlineStr">
        <is>
          <t>Unlocked</t>
        </is>
      </c>
      <c r="D2152" s="5" t="inlineStr">
        <is>
          <t>InputLevel</t>
        </is>
      </c>
      <c r="E2152" s="5" t="inlineStr">
        <is>
          <t>Factor</t>
        </is>
      </c>
      <c r="F2152" s="5" t="inlineStr">
        <is>
          <t>CoefficientPercent</t>
        </is>
      </c>
      <c r="G2152" s="5" t="inlineStr">
        <is>
          <t>EffectiveHits</t>
        </is>
      </c>
      <c r="H2152" s="5" t="inlineStr">
        <is>
          <t>ProcProbability</t>
        </is>
      </c>
      <c r="I2152" s="5" t="inlineStr">
        <is>
          <t>MapleHeroMultiplier</t>
        </is>
      </c>
      <c r="J2152" s="5" t="inlineStr">
        <is>
          <t>BaseDamage</t>
        </is>
      </c>
      <c r="K2152" s="5" t="inlineStr">
        <is>
          <t>BaseHitDamage</t>
        </is>
      </c>
      <c r="L2152" s="5" t="inlineStr">
        <is>
          <t>NonCritAvg</t>
        </is>
      </c>
      <c r="M2152" s="5" t="inlineStr">
        <is>
          <t>CritAvg</t>
        </is>
      </c>
      <c r="N2152" s="5" t="inlineStr">
        <is>
          <t>ExpectedDamage(perHit)</t>
        </is>
      </c>
      <c r="O2152" s="5" t="inlineStr">
        <is>
          <t>DPS</t>
        </is>
      </c>
      <c r="P2152" s="5" t="inlineStr">
        <is>
          <t>% of Total</t>
        </is>
      </c>
      <c r="Q2152" s="5" t="inlineStr">
        <is>
          <t>InvCooldown</t>
        </is>
      </c>
      <c r="R2152" s="5" t="inlineStr">
        <is>
          <t>CastsInFight</t>
        </is>
      </c>
      <c r="S2152" s="5" t="inlineStr">
        <is>
          <t>HitRate(perSec)</t>
        </is>
      </c>
      <c r="U2152" t="inlineStr">
        <is>
          <t>helpers</t>
        </is>
      </c>
    </row>
    <row r="2153">
      <c r="A2153">
        <f>Skills!A2</f>
        <v/>
      </c>
      <c r="B2153">
        <f>Skills!B2</f>
        <v/>
      </c>
      <c r="C2153">
        <f>Inputs!$B$3&gt;=100</f>
        <v/>
      </c>
      <c r="D2153" t="inlineStr"/>
      <c r="E2153" t="inlineStr"/>
      <c r="F2153">
        <f>U2155+Skills!O2</f>
        <v/>
      </c>
      <c r="G2153">
        <f>Skills!G2*IF(Skills!H2&gt;0,Skills!I2/Skills!H2,1)</f>
        <v/>
      </c>
      <c r="H2153">
        <f>1-(1-Skills!J2/100)^Skills!K2</f>
        <v/>
      </c>
      <c r="I2153" t="inlineStr">
        <is>
          <t>1</t>
        </is>
      </c>
      <c r="J2153">
        <f>((Inputs!$B$6*(1+Inputs!$B$7/100))+(((Inputs!$B$12*(1+Inputs!$B$13/100))-(Inputs!$B$12*(1+Inputs!$B$13/100)))+0.25*(Inputs!$B$14-Inputs!$B$14))*(1+Inputs!$B$7/100))*(F2153/100)</f>
        <v/>
      </c>
      <c r="K2153">
        <f>J2153*(1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2153)</f>
        <v/>
      </c>
      <c r="L2153">
        <f>K2153*(MIN(Inputs!$B$22+((C2173=TRUE)*(F2173-Calc!F22)),(Inputs!$B$23+((C2175=TRUE)*(F2175-Calc!F24))+(IF(ArtifactsInput!$M$15,CHOOSE(ArtifactsInput!$N$15+1,25,30,35,40,45,50)/100*(Inputs!$B$11-Inputs!$B$11),0))))/100+(Inputs!$B$23+((C2175=TRUE)*(F2175-Calc!F24))+(IF(ArtifactsInput!$M$15,CHOOSE(ArtifactsInput!$N$15+1,25,30,35,40,45,50)/100*(Inputs!$B$11-Inputs!$B$11),0)))/100)/2</f>
        <v/>
      </c>
      <c r="M2153">
        <f>L2153*(1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3">
        <f>L2153*(1-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2153*(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3">
        <f>(1-Summary!$B$11)*T2153+Summary!$B$11*V2153</f>
        <v/>
      </c>
      <c r="P2153">
        <f>IF(B2188=0,0,O2153/B2188)</f>
        <v/>
      </c>
      <c r="Q2153" t="n">
        <v>0</v>
      </c>
      <c r="R2153" t="n">
        <v>0</v>
      </c>
      <c r="S2153">
        <f>IFERROR(O2153/N2153,0)</f>
        <v/>
      </c>
      <c r="T2153">
        <f>IF(C2153,(Skills!G2*N2153*B2182)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2153*(1-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2153*(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2153*(1-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2153*(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3">
        <f>MAX(0,(Inputs!$B$3-100)*3)+Inputs!$B$28+Inputs!$B$29</f>
        <v/>
      </c>
      <c r="V2153">
        <f>IF(C2153,(Skills!G2*N2153*B2182)*IF(Inputs!$B$38="pvp",1,(1+(Inputs!$B$21+Skills!Q2+(IF(IF(ArtifactsInput!$M$33,FALSE,TRUE),CHOOSE(ArtifactsInput!$N$33+1,30,36,42,48,54,60),0))+(IF(AND(ArtifactsInput!$M$35,Inputs!$B$4&lt;&gt;"Chapter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4">
      <c r="A2154">
        <f>Skills!A3</f>
        <v/>
      </c>
      <c r="B2154">
        <f>Skills!B3</f>
        <v/>
      </c>
      <c r="C2154">
        <f>Inputs!$B$3&gt;=50</f>
        <v/>
      </c>
      <c r="D2154">
        <f>IF(Skills!C3=1,60+Inputs!$B$25+Inputs!$B$29,IF(Skills!C3=2,90+Inputs!$B$26+Inputs!$B$29,IF(Skills!C3=3,120+Inputs!$B$27+Inputs!$B$29,MAX(0,(Inputs!$B$3-100)*3)+Inputs!$B$28+Inputs!$B$29)))</f>
        <v/>
      </c>
      <c r="E2154">
        <f>INDEX(FactorTable!$B$2:$Y$301, MATCH(ROUND(MIN(300,MAX(1,D2154)),0), FactorTable!$A$2:$A$301,0), Skills!M3+1)</f>
        <v/>
      </c>
      <c r="F2154">
        <f>IF(Skills!N3=TRUE,(Skills!L3/10)*(E2154/1000),Skills!L3/10)+Skills!O3</f>
        <v/>
      </c>
      <c r="G2154" t="inlineStr"/>
      <c r="H2154" t="inlineStr"/>
      <c r="I2154" t="inlineStr">
        <is>
          <t>1</t>
        </is>
      </c>
      <c r="J2154" t="inlineStr"/>
      <c r="K2154" t="inlineStr"/>
      <c r="L2154" t="inlineStr"/>
      <c r="M2154" t="inlineStr"/>
      <c r="N2154" t="inlineStr"/>
      <c r="O2154" t="inlineStr"/>
      <c r="P2154" t="inlineStr"/>
      <c r="Q2154" t="inlineStr"/>
      <c r="R2154" t="inlineStr"/>
      <c r="S2154" t="inlineStr"/>
      <c r="U2154">
        <f>INDEX(FactorTable!$B$2:$Y$301, MATCH(ROUND(MIN(300,MAX(1,U2153)),0), FactorTable!$A$2:$A$301,0), 22)</f>
        <v/>
      </c>
    </row>
    <row r="2155">
      <c r="A2155">
        <f>Skills!A4</f>
        <v/>
      </c>
      <c r="B2155">
        <f>Skills!B4</f>
        <v/>
      </c>
      <c r="C2155">
        <f>Inputs!$B$3&gt;=35</f>
        <v/>
      </c>
      <c r="D2155">
        <f>IF(Skills!C4=1,60+Inputs!$B$25+Inputs!$B$29,IF(Skills!C4=2,90+Inputs!$B$26+Inputs!$B$29,IF(Skills!C4=3,120+Inputs!$B$27+Inputs!$B$29,MAX(0,(Inputs!$B$3-100)*3)+Inputs!$B$28+Inputs!$B$29)))</f>
        <v/>
      </c>
      <c r="E2155">
        <f>INDEX(FactorTable!$B$2:$Y$301, MATCH(ROUND(MIN(300,MAX(1,D2155)),0), FactorTable!$A$2:$A$301,0), Skills!M4+1)</f>
        <v/>
      </c>
      <c r="F2155">
        <f>IF(Skills!N4=TRUE,(Skills!L4/10)*(E2155/1000),Skills!L4/10)+Skills!O4</f>
        <v/>
      </c>
      <c r="G2155">
        <f>Skills!G4*IF(Skills!H4&gt;0,Skills!I4/Skills!H4,1)</f>
        <v/>
      </c>
      <c r="H2155">
        <f>1-(1-Skills!J4/100)^Skills!K4</f>
        <v/>
      </c>
      <c r="I2155" t="inlineStr">
        <is>
          <t>1</t>
        </is>
      </c>
      <c r="J2155">
        <f>((Inputs!$B$6*(1+Inputs!$B$7/100))+(((Inputs!$B$12*(1+Inputs!$B$13/100))-(Inputs!$B$12*(1+Inputs!$B$13/100)))+0.25*(Inputs!$B$14-Inputs!$B$14))*(1+Inputs!$B$7/100))*(F2155/100)</f>
        <v/>
      </c>
      <c r="K2155">
        <f>J2155*(1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2163=TRUE,F2163,0)/100)*(1+(IF(Skills!A4="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2155)</f>
        <v/>
      </c>
      <c r="L2155">
        <f>K2155*(MIN(Inputs!$B$22+((C2173=TRUE)*(F2173-Calc!F22)),(Inputs!$B$23+((C2175=TRUE)*(F2175-Calc!F24))+(IF(ArtifactsInput!$M$15,CHOOSE(ArtifactsInput!$N$15+1,25,30,35,40,45,50)/100*(Inputs!$B$11-Inputs!$B$11),0))))/100+(Inputs!$B$23+((C2175=TRUE)*(F2175-Calc!F24))+(IF(ArtifactsInput!$M$15,CHOOSE(ArtifactsInput!$N$15+1,25,30,35,40,45,50)/100*(Inputs!$B$11-Inputs!$B$11),0)))/100)/2</f>
        <v/>
      </c>
      <c r="M2155">
        <f>L2155*(1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5">
        <f>L2155*(1-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2155*(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5">
        <f>(1-Summary!$B$11)*T2155+Summary!$B$11*V2155</f>
        <v/>
      </c>
      <c r="P2155">
        <f>IF(B2188=0,0,O2155/B2188)</f>
        <v/>
      </c>
      <c r="Q2155">
        <f>IFERROR(1/(IF(Inputs!$B$38="pvp",15,MAX(0.1,Skills!D4-IF(Skills!E4=TRUE,Inputs!$B$32,0)))*(1-IF(AND(ArtifactsInput!$M$27,Inputs!$B$4="Chapter Hunt"),CHOOSE(ArtifactsInput!$N$27+1,20,24,28,32,36,40),0)/100)),0)</f>
        <v/>
      </c>
      <c r="R2155">
        <f>IF(AND(Inputs!$B$38&lt;&gt;"pvp",Inputs!$B$43&gt;0),IF(MAX(0,Inputs!$B$43-B2185)&lt;=0,0,(INT(MAX(0,Inputs!$B$43-B2185)/(IF(Inputs!$B$38="pvp",15,MAX(0.1,Skills!D4-IF(Skills!E4=TRUE,Inputs!$B$32,0)))*(1-IF(AND(ArtifactsInput!$M$27,Inputs!$B$4="Chapter Hunt"),CHOOSE(ArtifactsInput!$N$27+1,20,24,28,32,36,40),0)/100)))+1)),0)</f>
        <v/>
      </c>
      <c r="S2155">
        <f>IFERROR(O2155/N2155,0)</f>
        <v/>
      </c>
      <c r="T2155">
        <f>IF(C2155,(H2155*N2155*IF(AND(Inputs!$B$38&lt;&gt;"pvp",Inputs!$B$43&gt;0),((Skills!G4*((R2155-1)*IF(Skills!H4&gt;0,Skills!I4/Skills!H4,1)+IF(Skills!H4&gt;0,MIN(Skills!I4,MAX(0,MAX(0,Inputs!$B$43-B2185)-((R2155-1)*(IF(Inputs!$B$38="pvp",15,MAX(0.1,Skills!D4-IF(Skills!E4=TRUE,Inputs!$B$32,0)))*(1-IF(AND(ArtifactsInput!$M$27,Inputs!$B$4="Chapter Hunt"),CHOOSE(ArtifactsInput!$N$27+1,20,24,28,32,36,40),0)/100)))))/Skills!H4,1)))/Inputs!$B$43),G2155*Q2155)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2155*(1-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2155*(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2155*(1-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2155*(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55">
        <f>290*U2154/1000</f>
        <v/>
      </c>
      <c r="V2155">
        <f>IF(C2155,(H2155*N2155*IF(AND(Inputs!$B$38&lt;&gt;"pvp",Inputs!$B$43&gt;0),((Skills!G4*((R2155-1)*IF(Skills!H4&gt;0,Skills!I4/Skills!H4,1)+IF(Skills!H4&gt;0,MIN(Skills!I4,MAX(0,MAX(0,Inputs!$B$43-B2185)-((R2155-1)*(IF(Inputs!$B$38="pvp",15,MAX(0.1,Skills!D4-IF(Skills!E4=TRUE,Inputs!$B$32,0)))*(1-IF(AND(ArtifactsInput!$M$27,Inputs!$B$4="Chapter Hunt"),CHOOSE(ArtifactsInput!$N$27+1,20,24,28,32,36,40),0)/100)))))/Skills!H4,1)))/Inputs!$B$43),G2155*Q2155))*IF(Inputs!$B$38="pvp",1,(1+(Inputs!$B$21+Skills!Q4+(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6">
      <c r="A2156">
        <f>Skills!A5</f>
        <v/>
      </c>
      <c r="B2156">
        <f>Skills!B5</f>
        <v/>
      </c>
      <c r="C2156">
        <f>Inputs!$B$3&gt;=66</f>
        <v/>
      </c>
      <c r="D2156">
        <f>IF(Skills!C5=1,60+Inputs!$B$25+Inputs!$B$29,IF(Skills!C5=2,90+Inputs!$B$26+Inputs!$B$29,IF(Skills!C5=3,120+Inputs!$B$27+Inputs!$B$29,MAX(0,(Inputs!$B$3-100)*3)+Inputs!$B$28+Inputs!$B$29)))</f>
        <v/>
      </c>
      <c r="E2156">
        <f>INDEX(FactorTable!$B$2:$Y$301, MATCH(ROUND(MIN(300,MAX(1,D2156)),0), FactorTable!$A$2:$A$301,0), Skills!M5+1)</f>
        <v/>
      </c>
      <c r="F2156">
        <f>IF(Skills!N5=TRUE,(Skills!L5/10)*(E2156/1000),Skills!L5/10)+Skills!O5</f>
        <v/>
      </c>
      <c r="G2156">
        <f>Skills!G5*IF(Skills!H5&gt;0,Skills!I5/Skills!H5,1)</f>
        <v/>
      </c>
      <c r="H2156">
        <f>1-(1-Skills!J5/100)^Skills!K5</f>
        <v/>
      </c>
      <c r="I2156" t="inlineStr">
        <is>
          <t>1</t>
        </is>
      </c>
      <c r="J2156">
        <f>((Inputs!$B$6*(1+Inputs!$B$7/100))+(((Inputs!$B$12*(1+Inputs!$B$13/100))-(Inputs!$B$12*(1+Inputs!$B$13/100)))+0.25*(Inputs!$B$14-Inputs!$B$14))*(1+Inputs!$B$7/100))*(F2156/100)</f>
        <v/>
      </c>
      <c r="K2156">
        <f>J2156*(1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2163=TRUE,F2163,0)/100)*(1+(IF(Skills!A5="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2156)</f>
        <v/>
      </c>
      <c r="L2156">
        <f>K2156*(MIN(Inputs!$B$22+((C2173=TRUE)*(F2173-Calc!F22)),(Inputs!$B$23+((C2175=TRUE)*(F2175-Calc!F24))+(IF(ArtifactsInput!$M$15,CHOOSE(ArtifactsInput!$N$15+1,25,30,35,40,45,50)/100*(Inputs!$B$11-Inputs!$B$11),0))))/100+(Inputs!$B$23+((C2175=TRUE)*(F2175-Calc!F24))+(IF(ArtifactsInput!$M$15,CHOOSE(ArtifactsInput!$N$15+1,25,30,35,40,45,50)/100*(Inputs!$B$11-Inputs!$B$11),0)))/100)/2</f>
        <v/>
      </c>
      <c r="M2156">
        <f>L2156*(1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6">
        <f>L2156*(1-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2156*(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6">
        <f>(1-Summary!$B$11)*T2156+Summary!$B$11*V2156</f>
        <v/>
      </c>
      <c r="P2156">
        <f>IF(B2188=0,0,O2156/B2188)</f>
        <v/>
      </c>
      <c r="Q2156">
        <f>IFERROR(1/(IF(Inputs!$B$38="pvp",15,MAX(0.1,Skills!D5-IF(Skills!E5=TRUE,Inputs!$B$32,0)))*(1-IF(AND(ArtifactsInput!$M$27,Inputs!$B$4="Chapter Hunt"),CHOOSE(ArtifactsInput!$N$27+1,20,24,28,32,36,40),0)/100)),0)</f>
        <v/>
      </c>
      <c r="R2156">
        <f>IF(AND(Inputs!$B$38&lt;&gt;"pvp",Inputs!$B$43&gt;0),IF(MAX(0,Inputs!$B$43-B2185)&lt;=0,0,(INT(MAX(0,Inputs!$B$43-B2185)/(IF(Inputs!$B$38="pvp",15,MAX(0.1,Skills!D5-IF(Skills!E5=TRUE,Inputs!$B$32,0)))*(1-IF(AND(ArtifactsInput!$M$27,Inputs!$B$4="Chapter Hunt"),CHOOSE(ArtifactsInput!$N$27+1,20,24,28,32,36,40),0)/100)))+1)),0)</f>
        <v/>
      </c>
      <c r="S2156">
        <f>IFERROR(O2156/N2156,0)</f>
        <v/>
      </c>
      <c r="T2156">
        <f>IF(C2156,(H2156*N2156*IF(AND(Inputs!$B$38&lt;&gt;"pvp",Inputs!$B$43&gt;0),((Skills!G5*((R2156-1)*IF(Skills!H5&gt;0,Skills!I5/Skills!H5,1)+IF(Skills!H5&gt;0,MIN(Skills!I5,MAX(0,MAX(0,Inputs!$B$43-B2185)-((R2156-1)*(IF(Inputs!$B$38="pvp",15,MAX(0.1,Skills!D5-IF(Skills!E5=TRUE,Inputs!$B$32,0)))*(1-IF(AND(ArtifactsInput!$M$27,Inputs!$B$4="Chapter Hunt"),CHOOSE(ArtifactsInput!$N$27+1,20,24,28,32,36,40),0)/100)))))/Skills!H5,1)))/Inputs!$B$43),G2156*Q2156)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2156*(1-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2156*(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2156*(1-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2156*(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6">
        <f>IF(C2156,(H2156*N2156*IF(AND(Inputs!$B$38&lt;&gt;"pvp",Inputs!$B$43&gt;0),((Skills!G5*((R2156-1)*IF(Skills!H5&gt;0,Skills!I5/Skills!H5,1)+IF(Skills!H5&gt;0,MIN(Skills!I5,MAX(0,MAX(0,Inputs!$B$43-B2185)-((R2156-1)*(IF(Inputs!$B$38="pvp",15,MAX(0.1,Skills!D5-IF(Skills!E5=TRUE,Inputs!$B$32,0)))*(1-IF(AND(ArtifactsInput!$M$27,Inputs!$B$4="Chapter Hunt"),CHOOSE(ArtifactsInput!$N$27+1,20,24,28,32,36,40),0)/100)))))/Skills!H5,1)))/Inputs!$B$43),G2156*Q2156))*IF(Inputs!$B$38="pvp",1,(1+(Inputs!$B$21+Skills!Q5+(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7">
      <c r="A2157">
        <f>Skills!A6</f>
        <v/>
      </c>
      <c r="B2157">
        <f>Skills!B6</f>
        <v/>
      </c>
      <c r="C2157">
        <f>Inputs!$B$3&gt;=103</f>
        <v/>
      </c>
      <c r="D2157">
        <f>IF(Skills!C6=1,60+Inputs!$B$25+Inputs!$B$29,IF(Skills!C6=2,90+Inputs!$B$26+Inputs!$B$29,IF(Skills!C6=3,120+Inputs!$B$27+Inputs!$B$29,MAX(0,(Inputs!$B$3-100)*3)+Inputs!$B$28+Inputs!$B$29)))</f>
        <v/>
      </c>
      <c r="E2157">
        <f>INDEX(FactorTable!$B$2:$Y$301, MATCH(ROUND(MIN(300,MAX(1,D2157)),0), FactorTable!$A$2:$A$301,0), Skills!M6+1)</f>
        <v/>
      </c>
      <c r="F2157">
        <f>IF(Skills!N6=TRUE,(Skills!L6/10)*(E2157/1000),Skills!L6/10)+Skills!O6</f>
        <v/>
      </c>
      <c r="G2157">
        <f>Skills!G6*IF(Skills!H6&gt;0,Skills!I6/Skills!H6,1)</f>
        <v/>
      </c>
      <c r="H2157">
        <f>1-(1-Skills!J6/100)^Skills!K6</f>
        <v/>
      </c>
      <c r="I2157" t="inlineStr">
        <is>
          <t>1</t>
        </is>
      </c>
      <c r="J2157">
        <f>((Inputs!$B$6*(1+Inputs!$B$7/100))+(((Inputs!$B$12*(1+Inputs!$B$13/100))-(Inputs!$B$12*(1+Inputs!$B$13/100)))+0.25*(Inputs!$B$14-Inputs!$B$14))*(1+Inputs!$B$7/100))*(F2157/100)</f>
        <v/>
      </c>
      <c r="K2157">
        <f>J2157*(1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2157)</f>
        <v/>
      </c>
      <c r="L2157">
        <f>K2157*(MIN(Inputs!$B$22+((C2173=TRUE)*(F2173-Calc!F22)),(Inputs!$B$23+((C2175=TRUE)*(F2175-Calc!F24))+(IF(ArtifactsInput!$M$15,CHOOSE(ArtifactsInput!$N$15+1,25,30,35,40,45,50)/100*(Inputs!$B$11-Inputs!$B$11),0))))/100+(Inputs!$B$23+((C2175=TRUE)*(F2175-Calc!F24))+(IF(ArtifactsInput!$M$15,CHOOSE(ArtifactsInput!$N$15+1,25,30,35,40,45,50)/100*(Inputs!$B$11-Inputs!$B$11),0)))/100)/2</f>
        <v/>
      </c>
      <c r="M2157">
        <f>L2157*(1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7">
        <f>L2157*(1-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2157*(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7">
        <f>(1-Summary!$B$11)*T2157+Summary!$B$11*V2157</f>
        <v/>
      </c>
      <c r="P2157">
        <f>IF(B2188=0,0,O2157/B2188)</f>
        <v/>
      </c>
      <c r="Q2157">
        <f>IFERROR(1/(IF(Inputs!$B$38="pvp",15,MAX(0.1,Skills!D6-IF(Skills!E6=TRUE,Inputs!$B$32,0)))*(1-IF(AND(ArtifactsInput!$M$27,Inputs!$B$4="Chapter Hunt"),CHOOSE(ArtifactsInput!$N$27+1,20,24,28,32,36,40),0)/100)),0)</f>
        <v/>
      </c>
      <c r="R2157">
        <f>IF(AND(Inputs!$B$38&lt;&gt;"pvp",Inputs!$B$43&gt;0),IF(MAX(0,Inputs!$B$43-B2185)&lt;=0,0,(INT(MAX(0,Inputs!$B$43-B2185)/(IF(Inputs!$B$38="pvp",15,MAX(0.1,Skills!D6-IF(Skills!E6=TRUE,Inputs!$B$32,0)))*(1-IF(AND(ArtifactsInput!$M$27,Inputs!$B$4="Chapter Hunt"),CHOOSE(ArtifactsInput!$N$27+1,20,24,28,32,36,40),0)/100)))+1)),0)</f>
        <v/>
      </c>
      <c r="S2157">
        <f>IFERROR(O2157/N2157,0)</f>
        <v/>
      </c>
      <c r="T2157">
        <f>IF(C2157,(H2157*N2157*IF(AND(Inputs!$B$38&lt;&gt;"pvp",Inputs!$B$43&gt;0),((Skills!G6*((R2157-1)*IF(Skills!H6&gt;0,Skills!I6/Skills!H6,1)+IF(Skills!H6&gt;0,MIN(Skills!I6,MAX(0,MAX(0,Inputs!$B$43-B2185)-((R2157-1)*(IF(Inputs!$B$38="pvp",15,MAX(0.1,Skills!D6-IF(Skills!E6=TRUE,Inputs!$B$32,0)))*(1-IF(AND(ArtifactsInput!$M$27,Inputs!$B$4="Chapter Hunt"),CHOOSE(ArtifactsInput!$N$27+1,20,24,28,32,36,40),0)/100)))))/Skills!H6,1)))/Inputs!$B$43),G2157*Q2157)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2157*(1-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2157*(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2157*(1-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2157*(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7">
        <f>IF(C2157,(H2157*N2157*IF(AND(Inputs!$B$38&lt;&gt;"pvp",Inputs!$B$43&gt;0),((Skills!G6*((R2157-1)*IF(Skills!H6&gt;0,Skills!I6/Skills!H6,1)+IF(Skills!H6&gt;0,MIN(Skills!I6,MAX(0,MAX(0,Inputs!$B$43-B2185)-((R2157-1)*(IF(Inputs!$B$38="pvp",15,MAX(0.1,Skills!D6-IF(Skills!E6=TRUE,Inputs!$B$32,0)))*(1-IF(AND(ArtifactsInput!$M$27,Inputs!$B$4="Chapter Hunt"),CHOOSE(ArtifactsInput!$N$27+1,20,24,28,32,36,40),0)/100)))))/Skills!H6,1)))/Inputs!$B$43),G2157*Q2157))*IF(Inputs!$B$38="pvp",1,(1+(Inputs!$B$21+Skills!Q6+(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8">
      <c r="A2158">
        <f>Skills!A7</f>
        <v/>
      </c>
      <c r="B2158">
        <f>Skills!B7</f>
        <v/>
      </c>
      <c r="C2158">
        <f>Inputs!$B$3&gt;=107</f>
        <v/>
      </c>
      <c r="D2158">
        <f>IF(Skills!C7=1,60+Inputs!$B$25+Inputs!$B$29,IF(Skills!C7=2,90+Inputs!$B$26+Inputs!$B$29,IF(Skills!C7=3,120+Inputs!$B$27+Inputs!$B$29,MAX(0,(Inputs!$B$3-100)*3)+Inputs!$B$28+Inputs!$B$29)))</f>
        <v/>
      </c>
      <c r="E2158">
        <f>INDEX(FactorTable!$B$2:$Y$301, MATCH(ROUND(MIN(300,MAX(1,D2158)),0), FactorTable!$A$2:$A$301,0), Skills!M7+1)</f>
        <v/>
      </c>
      <c r="F2158">
        <f>IF(Skills!N7=TRUE,(Skills!L7/10)*(E2158/1000),Skills!L7/10)+Skills!O7</f>
        <v/>
      </c>
      <c r="G2158">
        <f>Skills!G7*IF(Skills!H7&gt;0,Skills!I7/Skills!H7,1)</f>
        <v/>
      </c>
      <c r="H2158">
        <f>1-(1-Skills!J7/100)^Skills!K7</f>
        <v/>
      </c>
      <c r="I2158" t="inlineStr">
        <is>
          <t>1</t>
        </is>
      </c>
      <c r="J2158">
        <f>((Inputs!$B$6*(1+Inputs!$B$7/100))+(((Inputs!$B$12*(1+Inputs!$B$13/100))-(Inputs!$B$12*(1+Inputs!$B$13/100)))+0.25*(Inputs!$B$14-Inputs!$B$14))*(1+Inputs!$B$7/100))*(F2158/100)</f>
        <v/>
      </c>
      <c r="K2158">
        <f>J2158*(1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2158)</f>
        <v/>
      </c>
      <c r="L2158">
        <f>K2158*(MIN(Inputs!$B$22+((C2173=TRUE)*(F2173-Calc!F22)),(Inputs!$B$23+((C2175=TRUE)*(F2175-Calc!F24))+(IF(ArtifactsInput!$M$15,CHOOSE(ArtifactsInput!$N$15+1,25,30,35,40,45,50)/100*(Inputs!$B$11-Inputs!$B$11),0))))/100+(Inputs!$B$23+((C2175=TRUE)*(F2175-Calc!F24))+(IF(ArtifactsInput!$M$15,CHOOSE(ArtifactsInput!$N$15+1,25,30,35,40,45,50)/100*(Inputs!$B$11-Inputs!$B$11),0)))/100)/2</f>
        <v/>
      </c>
      <c r="M2158">
        <f>L2158*(1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8">
        <f>L2158*(1-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2158*(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8">
        <f>(1-Summary!$B$11)*T2158+Summary!$B$11*V2158</f>
        <v/>
      </c>
      <c r="P2158">
        <f>IF(B2188=0,0,O2158/B2188)</f>
        <v/>
      </c>
      <c r="Q2158">
        <f>IFERROR(1/(IF(Inputs!$B$38="pvp",15,MAX(0.1,Skills!D7-IF(Skills!E7=TRUE,Inputs!$B$32,0)))*(1-IF(AND(ArtifactsInput!$M$27,Inputs!$B$4="Chapter Hunt"),CHOOSE(ArtifactsInput!$N$27+1,20,24,28,32,36,40),0)/100)),0)</f>
        <v/>
      </c>
      <c r="R2158">
        <f>IF(AND(Inputs!$B$38&lt;&gt;"pvp",Inputs!$B$43&gt;0),IF(MAX(0,Inputs!$B$43-B2185)&lt;=0,0,(INT(MAX(0,Inputs!$B$43-B2185)/(IF(Inputs!$B$38="pvp",15,MAX(0.1,Skills!D7-IF(Skills!E7=TRUE,Inputs!$B$32,0)))*(1-IF(AND(ArtifactsInput!$M$27,Inputs!$B$4="Chapter Hunt"),CHOOSE(ArtifactsInput!$N$27+1,20,24,28,32,36,40),0)/100)))+1)),0)</f>
        <v/>
      </c>
      <c r="S2158">
        <f>IFERROR(O2158/N2158,0)</f>
        <v/>
      </c>
      <c r="T2158">
        <f>IF(C2158,(H2158*N2158*IF(AND(Inputs!$B$38&lt;&gt;"pvp",Inputs!$B$43&gt;0),((Skills!G7*((R2158-1)*IF(Skills!H7&gt;0,Skills!I7/Skills!H7,1)+IF(Skills!H7&gt;0,MIN(Skills!I7,MAX(0,MAX(0,Inputs!$B$43-B2185)-((R2158-1)*(IF(Inputs!$B$38="pvp",15,MAX(0.1,Skills!D7-IF(Skills!E7=TRUE,Inputs!$B$32,0)))*(1-IF(AND(ArtifactsInput!$M$27,Inputs!$B$4="Chapter Hunt"),CHOOSE(ArtifactsInput!$N$27+1,20,24,28,32,36,40),0)/100)))))/Skills!H7,1)))/Inputs!$B$43),G2158*Q2158)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2158*(1-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2158*(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2158*(1-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2158*(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8">
        <f>IF(C2158,(H2158*N2158*IF(AND(Inputs!$B$38&lt;&gt;"pvp",Inputs!$B$43&gt;0),((Skills!G7*((R2158-1)*IF(Skills!H7&gt;0,Skills!I7/Skills!H7,1)+IF(Skills!H7&gt;0,MIN(Skills!I7,MAX(0,MAX(0,Inputs!$B$43-B2185)-((R2158-1)*(IF(Inputs!$B$38="pvp",15,MAX(0.1,Skills!D7-IF(Skills!E7=TRUE,Inputs!$B$32,0)))*(1-IF(AND(ArtifactsInput!$M$27,Inputs!$B$4="Chapter Hunt"),CHOOSE(ArtifactsInput!$N$27+1,20,24,28,32,36,40),0)/100)))))/Skills!H7,1)))/Inputs!$B$43),G2158*Q2158))*IF(Inputs!$B$38="pvp",1,(1+(Inputs!$B$21+Skills!Q7+(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9">
      <c r="A2159">
        <f>Skills!A8</f>
        <v/>
      </c>
      <c r="B2159">
        <f>Skills!B8</f>
        <v/>
      </c>
      <c r="C2159">
        <f>Inputs!$B$3&gt;=107</f>
        <v/>
      </c>
      <c r="D2159">
        <f>IF(Skills!C8=1,60+Inputs!$B$25+Inputs!$B$29,IF(Skills!C8=2,90+Inputs!$B$26+Inputs!$B$29,IF(Skills!C8=3,120+Inputs!$B$27+Inputs!$B$29,MAX(0,(Inputs!$B$3-100)*3)+Inputs!$B$28+Inputs!$B$29)))</f>
        <v/>
      </c>
      <c r="E2159">
        <f>INDEX(FactorTable!$B$2:$Y$301, MATCH(ROUND(MIN(300,MAX(1,D2159)),0), FactorTable!$A$2:$A$301,0), Skills!M8+1)</f>
        <v/>
      </c>
      <c r="F2159">
        <f>IF(Skills!N8=TRUE,(Skills!L8/10)*(E2159/1000),Skills!L8/10)+Skills!O8</f>
        <v/>
      </c>
      <c r="G2159">
        <f>Skills!G8*IF(Skills!H8&gt;0,Skills!I8/Skills!H8,1)</f>
        <v/>
      </c>
      <c r="H2159">
        <f>1-(1-Skills!J8/100)^Skills!K8</f>
        <v/>
      </c>
      <c r="I2159" t="inlineStr">
        <is>
          <t>1</t>
        </is>
      </c>
      <c r="J2159">
        <f>((Inputs!$B$6*(1+Inputs!$B$7/100))+(((Inputs!$B$12*(1+Inputs!$B$13/100))-(Inputs!$B$12*(1+Inputs!$B$13/100)))+0.25*(Inputs!$B$14-Inputs!$B$14))*(1+Inputs!$B$7/100))*(F2159/100)</f>
        <v/>
      </c>
      <c r="K2159">
        <f>J2159*(1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2159)</f>
        <v/>
      </c>
      <c r="L2159">
        <f>K2159*(MIN(Inputs!$B$22+((C2173=TRUE)*(F2173-Calc!F22)),(Inputs!$B$23+((C2175=TRUE)*(F2175-Calc!F24))+(IF(ArtifactsInput!$M$15,CHOOSE(ArtifactsInput!$N$15+1,25,30,35,40,45,50)/100*(Inputs!$B$11-Inputs!$B$11),0))))/100+(Inputs!$B$23+((C2175=TRUE)*(F2175-Calc!F24))+(IF(ArtifactsInput!$M$15,CHOOSE(ArtifactsInput!$N$15+1,25,30,35,40,45,50)/100*(Inputs!$B$11-Inputs!$B$11),0)))/100)/2</f>
        <v/>
      </c>
      <c r="M2159">
        <f>L2159*(1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9">
        <f>L2159*(1-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2159*(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9">
        <f>(1-Summary!$B$11)*T2159+Summary!$B$11*V2159</f>
        <v/>
      </c>
      <c r="P2159">
        <f>IF(B2188=0,0,O2159/B2188)</f>
        <v/>
      </c>
      <c r="Q2159">
        <f>IFERROR(1/(IF(Inputs!$B$38="pvp",15,MAX(0.1,Skills!D8-IF(Skills!E8=TRUE,Inputs!$B$32,0)))*(1-IF(AND(ArtifactsInput!$M$27,Inputs!$B$4="Chapter Hunt"),CHOOSE(ArtifactsInput!$N$27+1,20,24,28,32,36,40),0)/100)),0)</f>
        <v/>
      </c>
      <c r="R2159">
        <f>IF(AND(Inputs!$B$38&lt;&gt;"pvp",Inputs!$B$43&gt;0),IF(MAX(0,Inputs!$B$43-B2185)&lt;=0,0,(INT(MAX(0,Inputs!$B$43-B2185)/(IF(Inputs!$B$38="pvp",15,MAX(0.1,Skills!D8-IF(Skills!E8=TRUE,Inputs!$B$32,0)))*(1-IF(AND(ArtifactsInput!$M$27,Inputs!$B$4="Chapter Hunt"),CHOOSE(ArtifactsInput!$N$27+1,20,24,28,32,36,40),0)/100)))+1)),0)</f>
        <v/>
      </c>
      <c r="S2159">
        <f>IFERROR(O2159/N2159,0)</f>
        <v/>
      </c>
      <c r="T2159">
        <f>IF(C2159,(H2159*N2159*IF(AND(Inputs!$B$38&lt;&gt;"pvp",Inputs!$B$43&gt;0),((Skills!G8*((R2159-1)*IF(Skills!H8&gt;0,Skills!I8/Skills!H8,1)+IF(Skills!H8&gt;0,MIN(Skills!I8,MAX(0,MAX(0,Inputs!$B$43-B2185)-((R2159-1)*(IF(Inputs!$B$38="pvp",15,MAX(0.1,Skills!D8-IF(Skills!E8=TRUE,Inputs!$B$32,0)))*(1-IF(AND(ArtifactsInput!$M$27,Inputs!$B$4="Chapter Hunt"),CHOOSE(ArtifactsInput!$N$27+1,20,24,28,32,36,40),0)/100)))))/Skills!H8,1)))/Inputs!$B$43),G2159*Q2159)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2159*(1-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2159*(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2159*(1-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2159*(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9">
        <f>IF(C2159,(H2159*N2159*IF(AND(Inputs!$B$38&lt;&gt;"pvp",Inputs!$B$43&gt;0),((Skills!G8*((R2159-1)*IF(Skills!H8&gt;0,Skills!I8/Skills!H8,1)+IF(Skills!H8&gt;0,MIN(Skills!I8,MAX(0,MAX(0,Inputs!$B$43-B2185)-((R2159-1)*(IF(Inputs!$B$38="pvp",15,MAX(0.1,Skills!D8-IF(Skills!E8=TRUE,Inputs!$B$32,0)))*(1-IF(AND(ArtifactsInput!$M$27,Inputs!$B$4="Chapter Hunt"),CHOOSE(ArtifactsInput!$N$27+1,20,24,28,32,36,40),0)/100)))))/Skills!H8,1)))/Inputs!$B$43),G2159*Q2159))*IF(Inputs!$B$38="pvp",1,(1+(Inputs!$B$21+Skills!Q8+(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0">
      <c r="A2160">
        <f>Skills!A9</f>
        <v/>
      </c>
      <c r="B2160">
        <f>Skills!B9</f>
        <v/>
      </c>
      <c r="C2160">
        <f>Inputs!$B$3&gt;=125</f>
        <v/>
      </c>
      <c r="D2160">
        <f>IF(Skills!C9=1,60+Inputs!$B$25+Inputs!$B$29,IF(Skills!C9=2,90+Inputs!$B$26+Inputs!$B$29,IF(Skills!C9=3,120+Inputs!$B$27+Inputs!$B$29,MAX(0,(Inputs!$B$3-100)*3)+Inputs!$B$28+Inputs!$B$29)))</f>
        <v/>
      </c>
      <c r="E2160">
        <f>INDEX(FactorTable!$B$2:$Y$301, MATCH(ROUND(MIN(300,MAX(1,D2160)),0), FactorTable!$A$2:$A$301,0), Skills!M9+1)</f>
        <v/>
      </c>
      <c r="F2160">
        <f>IF(Skills!N9=TRUE,(Skills!L9/10)*(E2160/1000),Skills!L9/10)+Skills!O9</f>
        <v/>
      </c>
      <c r="G2160">
        <f>Skills!G9*IF(Skills!H9&gt;0,Skills!I9/Skills!H9,1)</f>
        <v/>
      </c>
      <c r="H2160">
        <f>1-(1-Skills!J9/100)^Skills!K9</f>
        <v/>
      </c>
      <c r="I2160" t="inlineStr">
        <is>
          <t>1</t>
        </is>
      </c>
      <c r="J2160">
        <f>((Inputs!$B$6*(1+Inputs!$B$7/100))+(((Inputs!$B$12*(1+Inputs!$B$13/100))-(Inputs!$B$12*(1+Inputs!$B$13/100)))+0.25*(Inputs!$B$14-Inputs!$B$14))*(1+Inputs!$B$7/100))*(F2160/100)</f>
        <v/>
      </c>
      <c r="K2160">
        <f>J2160*(1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2160)</f>
        <v/>
      </c>
      <c r="L2160">
        <f>K2160*(MIN(Inputs!$B$22+((C2173=TRUE)*(F2173-Calc!F22)),(Inputs!$B$23+((C2175=TRUE)*(F2175-Calc!F24))+(IF(ArtifactsInput!$M$15,CHOOSE(ArtifactsInput!$N$15+1,25,30,35,40,45,50)/100*(Inputs!$B$11-Inputs!$B$11),0))))/100+(Inputs!$B$23+((C2175=TRUE)*(F2175-Calc!F24))+(IF(ArtifactsInput!$M$15,CHOOSE(ArtifactsInput!$N$15+1,25,30,35,40,45,50)/100*(Inputs!$B$11-Inputs!$B$11),0)))/100)/2</f>
        <v/>
      </c>
      <c r="M2160">
        <f>L2160*(1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0">
        <f>L2160*(1-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2160*(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0">
        <f>(1-Summary!$B$11)*T2160+Summary!$B$11*V2160</f>
        <v/>
      </c>
      <c r="P2160">
        <f>IF(B2188=0,0,O2160/B2188)</f>
        <v/>
      </c>
      <c r="Q2160">
        <f>IFERROR(1/(IF(Inputs!$B$38="pvp",15,MAX(0.1,Skills!D9-IF(Skills!E9=TRUE,Inputs!$B$32,0)))*(1-IF(AND(ArtifactsInput!$M$27,Inputs!$B$4="Chapter Hunt"),CHOOSE(ArtifactsInput!$N$27+1,20,24,28,32,36,40),0)/100)),0)</f>
        <v/>
      </c>
      <c r="R2160">
        <f>IF(AND(Inputs!$B$38&lt;&gt;"pvp",Inputs!$B$43&gt;0),IF(MAX(0,Inputs!$B$43-B2185)&lt;=0,0,(INT(MAX(0,Inputs!$B$43-B2185)/(IF(Inputs!$B$38="pvp",15,MAX(0.1,Skills!D9-IF(Skills!E9=TRUE,Inputs!$B$32,0)))*(1-IF(AND(ArtifactsInput!$M$27,Inputs!$B$4="Chapter Hunt"),CHOOSE(ArtifactsInput!$N$27+1,20,24,28,32,36,40),0)/100)))+1)),0)</f>
        <v/>
      </c>
      <c r="S2160">
        <f>IFERROR(O2160/N2160,0)</f>
        <v/>
      </c>
      <c r="T2160">
        <f>IF(C2160,(H2160*N2160*IF(AND(Inputs!$B$38&lt;&gt;"pvp",Inputs!$B$43&gt;0),((Skills!G9*((R2160-1)*IF(Skills!H9&gt;0,Skills!I9/Skills!H9,1)+IF(Skills!H9&gt;0,MIN(Skills!I9,MAX(0,MAX(0,Inputs!$B$43-B2185)-((R2160-1)*(IF(Inputs!$B$38="pvp",15,MAX(0.1,Skills!D9-IF(Skills!E9=TRUE,Inputs!$B$32,0)))*(1-IF(AND(ArtifactsInput!$M$27,Inputs!$B$4="Chapter Hunt"),CHOOSE(ArtifactsInput!$N$27+1,20,24,28,32,36,40),0)/100)))))/Skills!H9,1)))/Inputs!$B$43),G2160*Q2160)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2160*(1-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2160*(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2160*(1-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2160*(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0">
        <f>IF(C2160,(H2160*N2160*IF(AND(Inputs!$B$38&lt;&gt;"pvp",Inputs!$B$43&gt;0),((Skills!G9*((R2160-1)*IF(Skills!H9&gt;0,Skills!I9/Skills!H9,1)+IF(Skills!H9&gt;0,MIN(Skills!I9,MAX(0,MAX(0,Inputs!$B$43-B2185)-((R2160-1)*(IF(Inputs!$B$38="pvp",15,MAX(0.1,Skills!D9-IF(Skills!E9=TRUE,Inputs!$B$32,0)))*(1-IF(AND(ArtifactsInput!$M$27,Inputs!$B$4="Chapter Hunt"),CHOOSE(ArtifactsInput!$N$27+1,20,24,28,32,36,40),0)/100)))))/Skills!H9,1)))/Inputs!$B$43),G2160*Q2160))*IF(Inputs!$B$38="pvp",1,(1+(Inputs!$B$21+Skills!Q9+(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1">
      <c r="A2161">
        <f>Skills!A10</f>
        <v/>
      </c>
      <c r="B2161">
        <f>Skills!B10</f>
        <v/>
      </c>
      <c r="C2161">
        <f>Inputs!$B$3&gt;=117</f>
        <v/>
      </c>
      <c r="D2161">
        <f>IF(Skills!C10=1,60+Inputs!$B$25+Inputs!$B$29,IF(Skills!C10=2,90+Inputs!$B$26+Inputs!$B$29,IF(Skills!C10=3,120+Inputs!$B$27+Inputs!$B$29,MAX(0,(Inputs!$B$3-100)*3)+Inputs!$B$28+Inputs!$B$29)))</f>
        <v/>
      </c>
      <c r="E2161">
        <f>INDEX(FactorTable!$B$2:$Y$301, MATCH(ROUND(MIN(300,MAX(1,D2161)),0), FactorTable!$A$2:$A$301,0), Skills!M10+1)</f>
        <v/>
      </c>
      <c r="F2161">
        <f>IF(Skills!N10=TRUE,(Skills!L10/10)*(E2161/1000),Skills!L10/10)+Skills!O10</f>
        <v/>
      </c>
      <c r="G2161">
        <f>Skills!G10*IF(Skills!H10&gt;0,Skills!I10/Skills!H10,1)</f>
        <v/>
      </c>
      <c r="H2161">
        <f>1-(1-Skills!J10/100)^Skills!K10</f>
        <v/>
      </c>
      <c r="I2161" t="inlineStr">
        <is>
          <t>1</t>
        </is>
      </c>
      <c r="J2161">
        <f>((Inputs!$B$6*(1+Inputs!$B$7/100))+(((Inputs!$B$12*(1+Inputs!$B$13/100))-(Inputs!$B$12*(1+Inputs!$B$13/100)))+0.25*(Inputs!$B$14-Inputs!$B$14))*(1+Inputs!$B$7/100))*(F2161/100)</f>
        <v/>
      </c>
      <c r="K2161">
        <f>J2161*(1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2161)</f>
        <v/>
      </c>
      <c r="L2161">
        <f>K2161*(MIN(Inputs!$B$22+((C2173=TRUE)*(F2173-Calc!F22)),(Inputs!$B$23+((C2175=TRUE)*(F2175-Calc!F24))+(IF(ArtifactsInput!$M$15,CHOOSE(ArtifactsInput!$N$15+1,25,30,35,40,45,50)/100*(Inputs!$B$11-Inputs!$B$11),0))))/100+(Inputs!$B$23+((C2175=TRUE)*(F2175-Calc!F24))+(IF(ArtifactsInput!$M$15,CHOOSE(ArtifactsInput!$N$15+1,25,30,35,40,45,50)/100*(Inputs!$B$11-Inputs!$B$11),0)))/100)/2</f>
        <v/>
      </c>
      <c r="M2161">
        <f>L2161*(1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1">
        <f>L2161*(1-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1">
        <f>(1-Summary!$B$11)*T2161+Summary!$B$11*V2161</f>
        <v/>
      </c>
      <c r="P2161">
        <f>IF(B2188=0,0,O2161/B2188)</f>
        <v/>
      </c>
      <c r="Q2161">
        <f>IFERROR(1/(IF(Inputs!$B$38="pvp",15,MAX(0.1,Skills!D10-IF(Skills!E10=TRUE,Inputs!$B$32,0)))*(1-IF(AND(ArtifactsInput!$M$27,Inputs!$B$4="Chapter Hunt"),CHOOSE(ArtifactsInput!$N$27+1,20,24,28,32,36,40),0)/100)),0)</f>
        <v/>
      </c>
      <c r="R2161">
        <f>IF(AND(Inputs!$B$38&lt;&gt;"pvp",Inputs!$B$43&gt;0),IF(MAX(0,Inputs!$B$43-B2185)&lt;=0,0,(INT(MAX(0,Inputs!$B$43-B2185)/(IF(Inputs!$B$38="pvp",15,MAX(0.1,Skills!D10-IF(Skills!E10=TRUE,Inputs!$B$32,0)))*(1-IF(AND(ArtifactsInput!$M$27,Inputs!$B$4="Chapter Hunt"),CHOOSE(ArtifactsInput!$N$27+1,20,24,28,32,36,40),0)/100)))+1)),0)</f>
        <v/>
      </c>
      <c r="S2161">
        <f>IFERROR(O2161/N2161,0)</f>
        <v/>
      </c>
      <c r="T2161">
        <f>IF(C2161,(H2161*N2161*IF(AND(Inputs!$B$38&lt;&gt;"pvp",Inputs!$B$43&gt;0),((Skills!G10*((R2161-1)*IF(Skills!H10&gt;0,Skills!I10/Skills!H10,1)+IF(Skills!H10&gt;0,MIN(Skills!I10,MAX(0,MAX(0,Inputs!$B$43-B2185)-((R2161-1)*(IF(Inputs!$B$38="pvp",15,MAX(0.1,Skills!D10-IF(Skills!E10=TRUE,Inputs!$B$32,0)))*(1-IF(AND(ArtifactsInput!$M$27,Inputs!$B$4="Chapter Hunt"),CHOOSE(ArtifactsInput!$N$27+1,20,24,28,32,36,40),0)/100)))))/Skills!H10,1)))/Inputs!$B$43),G2161*Q2161)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2161*(1-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2161*(1-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1">
        <f>IF(C2161,(H2161*N2161*IF(AND(Inputs!$B$38&lt;&gt;"pvp",Inputs!$B$43&gt;0),((Skills!G10*((R2161-1)*IF(Skills!H10&gt;0,Skills!I10/Skills!H10,1)+IF(Skills!H10&gt;0,MIN(Skills!I10,MAX(0,MAX(0,Inputs!$B$43-B2185)-((R2161-1)*(IF(Inputs!$B$38="pvp",15,MAX(0.1,Skills!D10-IF(Skills!E10=TRUE,Inputs!$B$32,0)))*(1-IF(AND(ArtifactsInput!$M$27,Inputs!$B$4="Chapter Hunt"),CHOOSE(ArtifactsInput!$N$27+1,20,24,28,32,36,40),0)/100)))))/Skills!H10,1)))/Inputs!$B$43),G2161*Q2161))*IF(Inputs!$B$38="pvp",1,(1+(Inputs!$B$21+Skills!Q10+(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2">
      <c r="A2162">
        <f>Skills!A11</f>
        <v/>
      </c>
      <c r="B2162">
        <f>Skills!B11</f>
        <v/>
      </c>
      <c r="C2162">
        <f>Inputs!$B$3&gt;=63</f>
        <v/>
      </c>
      <c r="D2162">
        <f>IF(Skills!C11=1,60+Inputs!$B$25+Inputs!$B$29,IF(Skills!C11=2,90+Inputs!$B$26+Inputs!$B$29,IF(Skills!C11=3,120+Inputs!$B$27+Inputs!$B$29,MAX(0,(Inputs!$B$3-100)*3)+Inputs!$B$28+Inputs!$B$29)))</f>
        <v/>
      </c>
      <c r="E2162">
        <f>INDEX(FactorTable!$B$2:$Y$301, MATCH(ROUND(MIN(300,MAX(1,D2162)),0), FactorTable!$A$2:$A$301,0), Skills!M11+1)</f>
        <v/>
      </c>
      <c r="F2162">
        <f>IF(Skills!N11=TRUE,(Skills!L11/10)*(E2162/1000),Skills!L11/10)+Skills!O11</f>
        <v/>
      </c>
      <c r="G2162">
        <f>Skills!G11*IF(Skills!H11&gt;0,Skills!I11/Skills!H11,1)</f>
        <v/>
      </c>
      <c r="H2162">
        <f>1-(1-Skills!J11/100)^Skills!K11</f>
        <v/>
      </c>
      <c r="I2162" t="inlineStr">
        <is>
          <t>1</t>
        </is>
      </c>
      <c r="J2162">
        <f>((Inputs!$B$6*(1+Inputs!$B$7/100))+(((Inputs!$B$12*(1+Inputs!$B$13/100))-(Inputs!$B$12*(1+Inputs!$B$13/100)))+0.25*(Inputs!$B$14-Inputs!$B$14))*(1+Inputs!$B$7/100))*(F2162/100)</f>
        <v/>
      </c>
      <c r="K2162">
        <f>J2162*(1+((Inputs!$B$12*(1+Inputs!$B$13/100))*0.01+Inputs!$B$14*0.0025)/100)*(1+Inputs!$B$15/100)*(1+Inputs!$B$16/100)*(5000/(6000+Inputs!$B$42*(1-(Inputs!$B$19+0)/100)))*(1+(Inputs!$B$24+0+B2184)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2163=TRUE,F2163,0)/100)*(1+(IF(Skills!A11="BLAST",Inputs!$B$17+((C2172=TRUE)*(F2172-Calc!F21))+((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MIN(100,((Inputs!$B$9+0+B2178+(ArtifactsInput!$M$24-ArtifactsInput!$M$24)*CHOOSE(ArtifactsInput!$N$24+1,10,12,14,16,18,20)+IF(ArtifactsInput!$M$10,CHOOSE(ArtifactsInput!$N$10+1,15,18,21,24,27,30)*(IF(Inputs!$B$38="pvp",MIN(15,15)/15,IF(AND(Inputs!$B$38&lt;&gt;"pvp",Inputs!$B$43&gt;0),MIN(15,Inputs!$B$43)/(Inputs!$B$43),0))),0)))-100),0))*CHOOSE(ArtifactsInput!$N$42+1,0.6,0.72,0.84,0.96,1.08,1.2))),Inputs!$B$18+((C2174=TRUE)*(F2174-Calc!F23))+(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gt;=100),CHOOSE(ArtifactsInput!$N$42+1,40,48,56,64,72,80),0))))/100)*((1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2162)</f>
        <v/>
      </c>
      <c r="L2162">
        <f>K2162*(MIN(Inputs!$B$22+((C2173=TRUE)*(F2173-Calc!F22)),(Inputs!$B$23+((C2175=TRUE)*(F2175-Calc!F24))+(IF(ArtifactsInput!$M$15,CHOOSE(ArtifactsInput!$N$15+1,25,30,35,40,45,50)/100*(Inputs!$B$11-Inputs!$B$11),0))))/100+(Inputs!$B$23+((C2175=TRUE)*(F2175-Calc!F24))+(IF(ArtifactsInput!$M$15,CHOOSE(ArtifactsInput!$N$15+1,25,30,35,40,45,50)/100*(Inputs!$B$11-Inputs!$B$11),0)))/100)/2</f>
        <v/>
      </c>
      <c r="M2162">
        <f>L2162*(1+(Inputs!$B$10+0+B2183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2">
        <f>L2162*(1-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2162*(MIN((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2">
        <f>(1-Summary!$B$11)*T2162+Summary!$B$11*V2162</f>
        <v/>
      </c>
      <c r="P2162">
        <f>IF(B2188=0,0,O2162/B2188)</f>
        <v/>
      </c>
      <c r="Q2162">
        <f>IFERROR(1/(IF(Inputs!$B$38="pvp",15,MAX(0.1,Skills!D11-IF(Skills!E11=TRUE,Inputs!$B$32,0)))*(1-IF(AND(ArtifactsInput!$M$27,Inputs!$B$4="Chapter Hunt"),CHOOSE(ArtifactsInput!$N$27+1,20,24,28,32,36,40),0)/100)),0)</f>
        <v/>
      </c>
      <c r="R2162">
        <f>IF(AND(Inputs!$B$38&lt;&gt;"pvp",Inputs!$B$43&gt;0),IF(MAX(0,Inputs!$B$43-B2185)&lt;=0,0,(INT(MAX(0,Inputs!$B$43-B2185)/(IF(Inputs!$B$38="pvp",15,MAX(0.1,Skills!D11-IF(Skills!E11=TRUE,Inputs!$B$32,0)))*(1-IF(AND(ArtifactsInput!$M$27,Inputs!$B$4="Chapter Hunt"),CHOOSE(ArtifactsInput!$N$27+1,20,24,28,32,36,40),0)/100)))+1)),0)</f>
        <v/>
      </c>
      <c r="S2162">
        <f>IFERROR(O2162/N2162,0)</f>
        <v/>
      </c>
      <c r="T2162">
        <f>IF(C2162,(H2162*N2162*IF(AND(Inputs!$B$38&lt;&gt;"pvp",Inputs!$B$43&gt;0),((Skills!G11*((R2162-1)*IF(Skills!H11&gt;0,Skills!I11/Skills!H11,1)+IF(Skills!H11&gt;0,MIN(Skills!I11,MAX(0,MAX(0,Inputs!$B$43-B2185)-((R2162-1)*(IF(Inputs!$B$38="pvp",15,MAX(0.1,Skills!D11-IF(Skills!E11=TRUE,Inputs!$B$32,0)))*(1-IF(AND(ArtifactsInput!$M$27,Inputs!$B$4="Chapter Hunt"),CHOOSE(ArtifactsInput!$N$27+1,20,24,28,32,36,40),0)/100)))))/Skills!H11,1)))/Inputs!$B$43),G2162*Q2162)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2162*(1-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2162*(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2162*(1-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2162*(MIN(100,(Inputs!$B$9+0+B2178+(ArtifactsInput!$M$24-ArtifactsInput!$M$24)*CHOOSE(ArtifactsInput!$N$24+1,10,12,14,16,18,20)+(IF(AND(Inputs!$B$38&lt;&gt;"pvp",Inputs!$B$43=0),1,IF(IF(Inputs!$B$38="pvp",15,Inputs!$B$43)-(B2185)&lt;=0,1,MAX(0,IF(Inputs!$B$38="pvp",15,Inputs!$B$43)-MAX(5,B2185))/(IF(Inputs!$B$38="pvp",15,Inputs!$B$43)-(B2185))))*IF(AND(ArtifactsInput!$M$42,((Inputs!$B$9+0+B2178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2">
        <f>IF(C2162,(H2162*N2162*IF(AND(Inputs!$B$38&lt;&gt;"pvp",Inputs!$B$43&gt;0),((Skills!G11*((R2162-1)*IF(Skills!H11&gt;0,Skills!I11/Skills!H11,1)+IF(Skills!H11&gt;0,MIN(Skills!I11,MAX(0,MAX(0,Inputs!$B$43-B2185)-((R2162-1)*(IF(Inputs!$B$38="pvp",15,MAX(0.1,Skills!D11-IF(Skills!E11=TRUE,Inputs!$B$32,0)))*(1-IF(AND(ArtifactsInput!$M$27,Inputs!$B$4="Chapter Hunt"),CHOOSE(ArtifactsInput!$N$27+1,20,24,28,32,36,40),0)/100)))))/Skills!H11,1)))/Inputs!$B$43),G2162*Q2162))*IF(Inputs!$B$38="pvp",1,(1+(Inputs!$B$21+Skills!Q11+(IF(IF(ArtifactsInput!$M$33,FALSE,TRUE),CHOOSE(ArtifactsInput!$N$33+1,30,36,42,48,54,60),0))+(IF(AND(ArtifactsInput!$M$35,Inputs!$B$4&lt;&gt;"Chapter Hunt"),CHOOSE(ArtifactsInput!$N$35+1,15,18,21,24,27,30)*(1-EXP(-(0.2*B2180)*5)),0)+IF(AND(ArtifactsInput!$M$22,Inputs!$B$4&lt;&gt;"Chapter Hunt"),CHOOSE(ArtifactsInput!$N$22+1,10,12,14,16,18,20)*((0*(((0.15*B2180*5))^0/1)+1*(((0.15*B2180*5))^1/1)+2*(((0.15*B2180*5))^2/2)+3*(((0.15*B2180*5))^3/6)+4*(((0.15*B2180*5))^4/24)+5*(((0.15*B2180*5))^5/120))/((((0.15*B2180*5))^0/1)+(((0.15*B2180*5))^1/1)+(((0.15*B2180*5))^2/2)+(((0.15*B2180*5))^3/6)+(((0.15*B2180*5))^4/24)+(((0.15*B2180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3">
      <c r="A2163">
        <f>Skills!A12</f>
        <v/>
      </c>
      <c r="B2163">
        <f>Skills!B12</f>
        <v/>
      </c>
      <c r="C2163">
        <f>Inputs!$B$3&gt;=100</f>
        <v/>
      </c>
      <c r="D2163">
        <f>IF(Skills!C12=1,60+Inputs!$B$25+Inputs!$B$29,IF(Skills!C12=2,90+Inputs!$B$26+Inputs!$B$29,IF(Skills!C12=3,120+Inputs!$B$27+Inputs!$B$29,MAX(0,(Inputs!$B$3-100)*3)+Inputs!$B$28+Inputs!$B$29)))</f>
        <v/>
      </c>
      <c r="E2163">
        <f>INDEX(FactorTable!$B$2:$Y$301, MATCH(ROUND(MIN(300,MAX(1,D2163)),0), FactorTable!$A$2:$A$301,0), Skills!M12+1)</f>
        <v/>
      </c>
      <c r="F2163">
        <f>IF(Skills!N12=TRUE,(Skills!L12/10)*(E2163/1000),Skills!L12/10)+Skills!O12</f>
        <v/>
      </c>
      <c r="G2163" t="inlineStr"/>
      <c r="H2163" t="inlineStr"/>
      <c r="I2163" t="inlineStr">
        <is>
          <t>1</t>
        </is>
      </c>
      <c r="J2163" t="inlineStr"/>
      <c r="K2163" t="inlineStr"/>
      <c r="L2163" t="inlineStr"/>
      <c r="M2163" t="inlineStr"/>
      <c r="N2163" t="inlineStr"/>
      <c r="O2163" t="inlineStr"/>
      <c r="P2163" t="inlineStr"/>
      <c r="Q2163" t="inlineStr"/>
      <c r="R2163" t="inlineStr"/>
      <c r="S2163" t="inlineStr"/>
    </row>
    <row r="2164">
      <c r="A2164">
        <f>Skills!A13</f>
        <v/>
      </c>
      <c r="B2164">
        <f>Skills!B13</f>
        <v/>
      </c>
      <c r="C2164">
        <f>Inputs!$B$3&gt;=45</f>
        <v/>
      </c>
      <c r="D2164">
        <f>IF(Skills!C13=1,60+Inputs!$B$25+Inputs!$B$29,IF(Skills!C13=2,90+Inputs!$B$26+Inputs!$B$29,IF(Skills!C13=3,120+Inputs!$B$27+Inputs!$B$29,MAX(0,(Inputs!$B$3-100)*3)+Inputs!$B$28+Inputs!$B$29)))</f>
        <v/>
      </c>
      <c r="E2164">
        <f>INDEX(FactorTable!$B$2:$Y$301, MATCH(ROUND(MIN(300,MAX(1,D2164)),0), FactorTable!$A$2:$A$301,0), Skills!M13+1)</f>
        <v/>
      </c>
      <c r="F2164">
        <f>IF(Skills!N13=TRUE,(Skills!L13/10)*(E2164/1000),Skills!L13/10)+Skills!O13</f>
        <v/>
      </c>
      <c r="G2164">
        <f>Skills!G13*IF(Skills!H13&gt;0,Skills!I13/Skills!H13,1)</f>
        <v/>
      </c>
      <c r="H2164">
        <f>1-(1-Skills!J13/100)^Skills!K13</f>
        <v/>
      </c>
      <c r="I2164" t="inlineStr">
        <is>
          <t>1</t>
        </is>
      </c>
      <c r="J2164" t="inlineStr"/>
      <c r="K2164" t="inlineStr"/>
      <c r="L2164" t="inlineStr"/>
      <c r="M2164" t="inlineStr"/>
      <c r="N2164" t="inlineStr"/>
      <c r="O2164">
        <f>(1-Summary!$B$11)*T2164+Summary!$B$11*V2164</f>
        <v/>
      </c>
      <c r="P2164">
        <f>IF(B2188=0,0,O2164/B2188)</f>
        <v/>
      </c>
      <c r="Q2164" t="n">
        <v>0</v>
      </c>
      <c r="R2164" t="n">
        <v>0</v>
      </c>
      <c r="S2164">
        <f>IFERROR(O2164/N2164,0)</f>
        <v/>
      </c>
      <c r="T2164" t="n">
        <v>0</v>
      </c>
      <c r="V2164" t="n">
        <v>0</v>
      </c>
    </row>
    <row r="2165">
      <c r="A2165">
        <f>Skills!A14</f>
        <v/>
      </c>
      <c r="B2165">
        <f>Skills!B14</f>
        <v/>
      </c>
      <c r="C2165">
        <f>Inputs!$B$3&gt;=110</f>
        <v/>
      </c>
      <c r="D2165">
        <f>IF(Skills!C14=1,60+Inputs!$B$25+Inputs!$B$29,IF(Skills!C14=2,90+Inputs!$B$26+Inputs!$B$29,IF(Skills!C14=3,120+Inputs!$B$27+Inputs!$B$29,MAX(0,(Inputs!$B$3-100)*3)+Inputs!$B$28+Inputs!$B$29)))</f>
        <v/>
      </c>
      <c r="E2165">
        <f>INDEX(FactorTable!$B$2:$Y$301, MATCH(ROUND(MIN(300,MAX(1,D2165)),0), FactorTable!$A$2:$A$301,0), Skills!M14+1)</f>
        <v/>
      </c>
      <c r="F2165">
        <f>IF(Skills!N14=TRUE,(Skills!L14/10)*(E2165/1000),Skills!L14/10)+Skills!O14</f>
        <v/>
      </c>
      <c r="G2165">
        <f>Skills!G14*IF(Skills!H14&gt;0,Skills!I14/Skills!H14,1)</f>
        <v/>
      </c>
      <c r="H2165">
        <f>1-(1-Skills!J14/100)^Skills!K14</f>
        <v/>
      </c>
      <c r="I2165" t="inlineStr">
        <is>
          <t>1</t>
        </is>
      </c>
      <c r="J2165" t="inlineStr"/>
      <c r="K2165" t="inlineStr"/>
      <c r="L2165" t="inlineStr"/>
      <c r="M2165" t="inlineStr"/>
      <c r="N2165" t="inlineStr"/>
      <c r="O2165">
        <f>(1-Summary!$B$11)*T2165+Summary!$B$11*V2165</f>
        <v/>
      </c>
      <c r="P2165">
        <f>IF(B2188=0,0,O2165/B2188)</f>
        <v/>
      </c>
      <c r="Q2165" t="n">
        <v>0</v>
      </c>
      <c r="R2165" t="n">
        <v>0</v>
      </c>
      <c r="S2165">
        <f>IFERROR(O2165/N2165,0)</f>
        <v/>
      </c>
      <c r="T2165" t="n">
        <v>0</v>
      </c>
      <c r="V2165" t="n">
        <v>0</v>
      </c>
    </row>
    <row r="2166">
      <c r="A2166">
        <f>Skills!A15</f>
        <v/>
      </c>
      <c r="B2166">
        <f>Skills!B15</f>
        <v/>
      </c>
      <c r="C2166">
        <f>Inputs!$B$3&gt;=75</f>
        <v/>
      </c>
      <c r="D2166">
        <f>IF(Skills!C15=1,60+Inputs!$B$25+Inputs!$B$29,IF(Skills!C15=2,90+Inputs!$B$26+Inputs!$B$29,IF(Skills!C15=3,120+Inputs!$B$27+Inputs!$B$29,MAX(0,(Inputs!$B$3-100)*3)+Inputs!$B$28+Inputs!$B$29)))</f>
        <v/>
      </c>
      <c r="E2166">
        <f>INDEX(FactorTable!$B$2:$Y$301, MATCH(ROUND(MIN(300,MAX(1,D2166)),0), FactorTable!$A$2:$A$301,0), Skills!M15+1)</f>
        <v/>
      </c>
      <c r="F2166">
        <f>IF(Skills!N15=TRUE,(Skills!L15/10)*(E2166/1000),Skills!L15/10)+Skills!O15</f>
        <v/>
      </c>
      <c r="G2166">
        <f>Skills!G15*IF(Skills!H15&gt;0,Skills!I15/Skills!H15,1)</f>
        <v/>
      </c>
      <c r="H2166">
        <f>1-(1-Skills!J15/100)^Skills!K15</f>
        <v/>
      </c>
      <c r="I2166" t="inlineStr">
        <is>
          <t>1</t>
        </is>
      </c>
      <c r="J2166" t="inlineStr"/>
      <c r="K2166" t="inlineStr"/>
      <c r="L2166" t="inlineStr"/>
      <c r="M2166" t="inlineStr"/>
      <c r="N2166" t="inlineStr"/>
      <c r="O2166">
        <f>(1-Summary!$B$11)*T2166+Summary!$B$11*V2166</f>
        <v/>
      </c>
      <c r="P2166">
        <f>IF(B2188=0,0,O2166/B2188)</f>
        <v/>
      </c>
      <c r="Q2166">
        <f>IFERROR(1/(IF(Inputs!$B$38="pvp",15,MAX(0.1,Skills!D15-IF(Skills!E15=TRUE,Inputs!$B$32,0)))*(1-IF(AND(ArtifactsInput!$M$27,Inputs!$B$4="Chapter Hunt"),CHOOSE(ArtifactsInput!$N$27+1,20,24,28,32,36,40),0)/100)),0)</f>
        <v/>
      </c>
      <c r="R2166">
        <f>IF(AND(Inputs!$B$38&lt;&gt;"pvp",Inputs!$B$43&gt;0),IF(Inputs!$B$43&lt;=0,0,(INT(Inputs!$B$43/(IF(Inputs!$B$38="pvp",15,MAX(0.1,Skills!D15-IF(Skills!E15=TRUE,Inputs!$B$32,0)))*(1-IF(AND(ArtifactsInput!$M$27,Inputs!$B$4="Chapter Hunt"),CHOOSE(ArtifactsInput!$N$27+1,20,24,28,32,36,40),0)/100)))+1)),0)</f>
        <v/>
      </c>
      <c r="S2166">
        <f>IFERROR(O2166/N2166,0)</f>
        <v/>
      </c>
      <c r="T2166" t="n">
        <v>0</v>
      </c>
      <c r="V2166" t="n">
        <v>0</v>
      </c>
    </row>
    <row r="2167">
      <c r="A2167">
        <f>Skills!A16</f>
        <v/>
      </c>
      <c r="B2167">
        <f>Skills!B16</f>
        <v/>
      </c>
      <c r="C2167">
        <f>Inputs!$B$3&gt;=105</f>
        <v/>
      </c>
      <c r="D2167">
        <f>IF(Skills!C16=1,60+Inputs!$B$25+Inputs!$B$29,IF(Skills!C16=2,90+Inputs!$B$26+Inputs!$B$29,IF(Skills!C16=3,120+Inputs!$B$27+Inputs!$B$29,MAX(0,(Inputs!$B$3-100)*3)+Inputs!$B$28+Inputs!$B$29)))</f>
        <v/>
      </c>
      <c r="E2167">
        <f>INDEX(FactorTable!$B$2:$Y$301, MATCH(ROUND(MIN(300,MAX(1,D2167)),0), FactorTable!$A$2:$A$301,0), Skills!M16+1)</f>
        <v/>
      </c>
      <c r="F2167">
        <f>IF(Skills!N16=TRUE,(Skills!L16/10)*(E2167/1000),Skills!L16/10)+Skills!O16</f>
        <v/>
      </c>
      <c r="G2167">
        <f>Skills!G16*IF(Skills!H16&gt;0,Skills!I16/Skills!H16,1)</f>
        <v/>
      </c>
      <c r="H2167">
        <f>1-(1-Skills!J16/100)^Skills!K16</f>
        <v/>
      </c>
      <c r="I2167" t="inlineStr">
        <is>
          <t>1</t>
        </is>
      </c>
      <c r="J2167" t="inlineStr"/>
      <c r="K2167" t="inlineStr"/>
      <c r="L2167" t="inlineStr"/>
      <c r="M2167" t="inlineStr"/>
      <c r="N2167" t="inlineStr"/>
      <c r="O2167">
        <f>(1-Summary!$B$11)*T2167+Summary!$B$11*V2167</f>
        <v/>
      </c>
      <c r="P2167">
        <f>IF(B2188=0,0,O2167/B2188)</f>
        <v/>
      </c>
      <c r="Q2167">
        <f>IFERROR(1/(IF(Inputs!$B$38="pvp",15,MAX(0.1,Skills!D16-IF(Skills!E16=TRUE,Inputs!$B$32,0)))*(1-IF(AND(ArtifactsInput!$M$27,Inputs!$B$4="Chapter Hunt"),CHOOSE(ArtifactsInput!$N$27+1,20,24,28,32,36,40),0)/100)),0)</f>
        <v/>
      </c>
      <c r="R2167">
        <f>IF(AND(Inputs!$B$38&lt;&gt;"pvp",Inputs!$B$43&gt;0),IF(Inputs!$B$43&lt;=0,0,(INT(Inputs!$B$43/(IF(Inputs!$B$38="pvp",15,MAX(0.1,Skills!D16-IF(Skills!E16=TRUE,Inputs!$B$32,0)))*(1-IF(AND(ArtifactsInput!$M$27,Inputs!$B$4="Chapter Hunt"),CHOOSE(ArtifactsInput!$N$27+1,20,24,28,32,36,40),0)/100)))+1)),0)</f>
        <v/>
      </c>
      <c r="S2167">
        <f>IFERROR(O2167/N2167,0)</f>
        <v/>
      </c>
      <c r="T2167" t="n">
        <v>0</v>
      </c>
      <c r="V2167" t="n">
        <v>0</v>
      </c>
    </row>
    <row r="2168">
      <c r="A2168">
        <f>Skills!A17</f>
        <v/>
      </c>
      <c r="B2168">
        <f>Skills!B17</f>
        <v/>
      </c>
      <c r="C2168">
        <f>Inputs!$B$3&gt;=115</f>
        <v/>
      </c>
      <c r="D2168">
        <f>IF(Skills!C17=1,60+Inputs!$B$25+Inputs!$B$29,IF(Skills!C17=2,90+Inputs!$B$26+Inputs!$B$29,IF(Skills!C17=3,120+Inputs!$B$27+Inputs!$B$29,MAX(0,(Inputs!$B$3-100)*3)+Inputs!$B$28+Inputs!$B$29)))</f>
        <v/>
      </c>
      <c r="E2168">
        <f>INDEX(FactorTable!$B$2:$Y$301, MATCH(ROUND(MIN(300,MAX(1,D2168)),0), FactorTable!$A$2:$A$301,0), Skills!M17+1)</f>
        <v/>
      </c>
      <c r="F2168">
        <f>IF(Skills!N17=TRUE,(Skills!L17/10)*(E2168/1000),Skills!L17/10)+Skills!O17</f>
        <v/>
      </c>
      <c r="G2168">
        <f>Skills!G17*IF(Skills!H17&gt;0,Skills!I17/Skills!H17,1)</f>
        <v/>
      </c>
      <c r="H2168">
        <f>1-(1-Skills!J17/100)^Skills!K17</f>
        <v/>
      </c>
      <c r="I2168" t="inlineStr">
        <is>
          <t>1</t>
        </is>
      </c>
      <c r="J2168" t="inlineStr"/>
      <c r="K2168" t="inlineStr"/>
      <c r="L2168" t="inlineStr"/>
      <c r="M2168" t="inlineStr"/>
      <c r="N2168" t="inlineStr"/>
      <c r="O2168">
        <f>(1-Summary!$B$11)*T2168+Summary!$B$11*V2168</f>
        <v/>
      </c>
      <c r="P2168">
        <f>IF(B2188=0,0,O2168/B2188)</f>
        <v/>
      </c>
      <c r="Q2168">
        <f>IFERROR(1/(IF(Inputs!$B$38="pvp",15,MAX(0.1,Skills!D17-IF(Skills!E17=TRUE,Inputs!$B$32,0)))*(1-IF(AND(ArtifactsInput!$M$27,Inputs!$B$4="Chapter Hunt"),CHOOSE(ArtifactsInput!$N$27+1,20,24,28,32,36,40),0)/100)),0)</f>
        <v/>
      </c>
      <c r="R2168">
        <f>IF(AND(Inputs!$B$38&lt;&gt;"pvp",Inputs!$B$43&gt;0),IF(Inputs!$B$43&lt;=0,0,(INT(Inputs!$B$43/(IF(Inputs!$B$38="pvp",15,MAX(0.1,Skills!D17-IF(Skills!E17=TRUE,Inputs!$B$32,0)))*(1-IF(AND(ArtifactsInput!$M$27,Inputs!$B$4="Chapter Hunt"),CHOOSE(ArtifactsInput!$N$27+1,20,24,28,32,36,40),0)/100)))+1)),0)</f>
        <v/>
      </c>
      <c r="S2168">
        <f>IFERROR(O2168/N2168,0)</f>
        <v/>
      </c>
      <c r="T2168" t="n">
        <v>0</v>
      </c>
      <c r="V2168" t="n">
        <v>0</v>
      </c>
    </row>
    <row r="2169">
      <c r="A2169">
        <f>Skills!A18</f>
        <v/>
      </c>
      <c r="B2169">
        <f>Skills!B18</f>
        <v/>
      </c>
      <c r="C2169">
        <f>Inputs!$B$3&gt;=74</f>
        <v/>
      </c>
      <c r="D2169">
        <f>IF(Skills!C18=1,60+Inputs!$B$25+Inputs!$B$29,IF(Skills!C18=2,90+Inputs!$B$26+Inputs!$B$29,IF(Skills!C18=3,120+Inputs!$B$27+Inputs!$B$29,MAX(0,(Inputs!$B$3-100)*3)+Inputs!$B$28+Inputs!$B$29)))</f>
        <v/>
      </c>
      <c r="E2169">
        <f>INDEX(FactorTable!$B$2:$Y$301, MATCH(ROUND(MIN(300,MAX(1,D2169)),0), FactorTable!$A$2:$A$301,0), Skills!M18+1)</f>
        <v/>
      </c>
      <c r="F2169">
        <f>IF(Skills!N18=TRUE,(Skills!L18/10)*(E2169/1000),Skills!L18/10)+Skills!O18</f>
        <v/>
      </c>
      <c r="G2169">
        <f>Skills!G18*IF(Skills!H18&gt;0,Skills!I18/Skills!H18,1)</f>
        <v/>
      </c>
      <c r="H2169">
        <f>1-(1-Skills!J18/100)^Skills!K18</f>
        <v/>
      </c>
      <c r="I2169" t="inlineStr">
        <is>
          <t>1</t>
        </is>
      </c>
      <c r="J2169" t="inlineStr"/>
      <c r="K2169" t="inlineStr"/>
      <c r="L2169" t="inlineStr"/>
      <c r="M2169" t="inlineStr"/>
      <c r="N2169" t="inlineStr"/>
      <c r="O2169">
        <f>(1-Summary!$B$11)*T2169+Summary!$B$11*V2169</f>
        <v/>
      </c>
      <c r="P2169">
        <f>IF(B2188=0,0,O2169/B2188)</f>
        <v/>
      </c>
      <c r="Q2169">
        <f>IFERROR(1/(IF(Inputs!$B$38="pvp",15,MAX(0.1,Skills!D18-IF(Skills!E18=TRUE,Inputs!$B$32,0)))*(1-IF(AND(ArtifactsInput!$M$27,Inputs!$B$4="Chapter Hunt"),CHOOSE(ArtifactsInput!$N$27+1,20,24,28,32,36,40),0)/100)),0)</f>
        <v/>
      </c>
      <c r="R2169">
        <f>IF(AND(Inputs!$B$38&lt;&gt;"pvp",Inputs!$B$43&gt;0),IF(Inputs!$B$43&lt;=0,0,(INT(Inputs!$B$43/(IF(Inputs!$B$38="pvp",15,MAX(0.1,Skills!D18-IF(Skills!E18=TRUE,Inputs!$B$32,0)))*(1-IF(AND(ArtifactsInput!$M$27,Inputs!$B$4="Chapter Hunt"),CHOOSE(ArtifactsInput!$N$27+1,20,24,28,32,36,40),0)/100)))+1)),0)</f>
        <v/>
      </c>
      <c r="S2169">
        <f>IFERROR(O2169/N2169,0)</f>
        <v/>
      </c>
      <c r="T2169" t="n">
        <v>0</v>
      </c>
      <c r="V2169" t="n">
        <v>0</v>
      </c>
    </row>
    <row r="2170">
      <c r="A2170">
        <f>Skills!A19</f>
        <v/>
      </c>
      <c r="B2170">
        <f>Skills!B19</f>
        <v/>
      </c>
      <c r="C2170">
        <f>TRUE</f>
        <v/>
      </c>
      <c r="D2170">
        <f>IF(Skills!C19=1,60+Inputs!$B$25+Inputs!$B$29,IF(Skills!C19=2,90+Inputs!$B$26+Inputs!$B$29,IF(Skills!C19=3,120+Inputs!$B$27+Inputs!$B$29,MAX(0,(Inputs!$B$3-100)*3)+Inputs!$B$28+Inputs!$B$29)))</f>
        <v/>
      </c>
      <c r="E2170">
        <f>INDEX(FactorTable!$B$2:$Y$301, MATCH(ROUND(MIN(300,MAX(1,D2170)),0), FactorTable!$A$2:$A$301,0), Skills!M19+1)</f>
        <v/>
      </c>
      <c r="F2170">
        <f>IF(Skills!N19=TRUE,(Skills!L19/10)*(E2170/1000),Skills!L19/10)+Skills!O19</f>
        <v/>
      </c>
      <c r="G2170">
        <f>Skills!G19*IF(Skills!H19&gt;0,Skills!I19/Skills!H19,1)</f>
        <v/>
      </c>
      <c r="H2170">
        <f>1-(1-Skills!J19/100)^Skills!K19</f>
        <v/>
      </c>
      <c r="I2170" t="inlineStr">
        <is>
          <t>1</t>
        </is>
      </c>
      <c r="J2170" t="inlineStr"/>
      <c r="K2170" t="inlineStr"/>
      <c r="L2170" t="inlineStr"/>
      <c r="M2170" t="inlineStr"/>
      <c r="N2170" t="inlineStr"/>
      <c r="O2170">
        <f>(1-Summary!$B$11)*T2170+Summary!$B$11*V2170</f>
        <v/>
      </c>
      <c r="P2170">
        <f>IF(B2188=0,0,O2170/B2188)</f>
        <v/>
      </c>
      <c r="Q2170">
        <f>IFERROR(1/(IF(Inputs!$B$38="pvp",15,MAX(0.1,Skills!D19-IF(Skills!E19=TRUE,Inputs!$B$32,0)))*(1-IF(AND(ArtifactsInput!$M$27,Inputs!$B$4="Chapter Hunt"),CHOOSE(ArtifactsInput!$N$27+1,20,24,28,32,36,40),0)/100)),0)</f>
        <v/>
      </c>
      <c r="R2170">
        <f>IF(AND(Inputs!$B$38&lt;&gt;"pvp",Inputs!$B$43&gt;0),IF(Inputs!$B$43&lt;=0,0,(INT(Inputs!$B$43/(IF(Inputs!$B$38="pvp",15,MAX(0.1,Skills!D19-IF(Skills!E19=TRUE,Inputs!$B$32,0)))*(1-IF(AND(ArtifactsInput!$M$27,Inputs!$B$4="Chapter Hunt"),CHOOSE(ArtifactsInput!$N$27+1,20,24,28,32,36,40),0)/100)))+1)),0)</f>
        <v/>
      </c>
      <c r="S2170">
        <f>IFERROR(O2170/N2170,0)</f>
        <v/>
      </c>
      <c r="T2170" t="n">
        <v>0</v>
      </c>
      <c r="V2170" t="n">
        <v>0</v>
      </c>
    </row>
    <row r="2171">
      <c r="A2171">
        <f>Skills!A20</f>
        <v/>
      </c>
      <c r="B2171">
        <f>Skills!B20</f>
        <v/>
      </c>
      <c r="C2171">
        <f>Inputs!$B$3&gt;=33</f>
        <v/>
      </c>
      <c r="D2171">
        <f>IF(Skills!C20=1,60+Inputs!$B$25+Inputs!$B$29,IF(Skills!C20=2,90+Inputs!$B$26+Inputs!$B$29,IF(Skills!C20=3,120+Inputs!$B$27+Inputs!$B$29,MAX(0,(Inputs!$B$3-100)*3)+Inputs!$B$28+Inputs!$B$29)))</f>
        <v/>
      </c>
      <c r="E2171">
        <f>INDEX(FactorTable!$B$2:$Y$301, MATCH(ROUND(MIN(300,MAX(1,D2171)),0), FactorTable!$A$2:$A$301,0), Skills!M20+1)</f>
        <v/>
      </c>
      <c r="F2171">
        <f>IF(Skills!N20=TRUE,(Skills!L20/10)*(E2171/1000),Skills!L20/10)+Skills!O20</f>
        <v/>
      </c>
      <c r="G2171">
        <f>Skills!G20*IF(Skills!H20&gt;0,Skills!I20/Skills!H20,1)</f>
        <v/>
      </c>
      <c r="H2171">
        <f>1-(1-Skills!J20/100)^Skills!K20</f>
        <v/>
      </c>
      <c r="I2171" t="inlineStr">
        <is>
          <t>1</t>
        </is>
      </c>
      <c r="J2171" t="inlineStr"/>
      <c r="K2171" t="inlineStr"/>
      <c r="L2171" t="inlineStr"/>
      <c r="M2171" t="inlineStr"/>
      <c r="N2171" t="inlineStr"/>
      <c r="O2171">
        <f>(1-Summary!$B$11)*T2171+Summary!$B$11*V2171</f>
        <v/>
      </c>
      <c r="P2171">
        <f>IF(B2188=0,0,O2171/B2188)</f>
        <v/>
      </c>
      <c r="Q2171" t="n">
        <v>0</v>
      </c>
      <c r="R2171" t="n">
        <v>0</v>
      </c>
      <c r="S2171">
        <f>IFERROR(O2171/N2171,0)</f>
        <v/>
      </c>
      <c r="T2171" t="n">
        <v>0</v>
      </c>
      <c r="V2171" t="n">
        <v>0</v>
      </c>
    </row>
    <row r="2172">
      <c r="A2172">
        <f>Skills!A21</f>
        <v/>
      </c>
      <c r="B2172">
        <f>Skills!B21</f>
        <v/>
      </c>
      <c r="C2172">
        <f>Inputs!$B$3&gt;=38</f>
        <v/>
      </c>
      <c r="D2172">
        <f>IF(Skills!C21=1,60+Inputs!$B$25+Inputs!$B$29,IF(Skills!C21=2,90+Inputs!$B$26+Inputs!$B$29,IF(Skills!C21=3,120+Inputs!$B$27+Inputs!$B$29,MAX(0,(Inputs!$B$3-100)*3)+Inputs!$B$28+Inputs!$B$29)))</f>
        <v/>
      </c>
      <c r="E2172">
        <f>INDEX(FactorTable!$B$2:$Y$301, MATCH(ROUND(MIN(300,MAX(1,D2172)),0), FactorTable!$A$2:$A$301,0), Skills!M21+1)</f>
        <v/>
      </c>
      <c r="F2172">
        <f>IF(Skills!N21=TRUE,(Skills!L21/10)*(E2172/1000),Skills!L21/10)+Skills!O21</f>
        <v/>
      </c>
      <c r="G2172">
        <f>Skills!G21*IF(Skills!H21&gt;0,Skills!I21/Skills!H21,1)</f>
        <v/>
      </c>
      <c r="H2172">
        <f>1-(1-Skills!J21/100)^Skills!K21</f>
        <v/>
      </c>
      <c r="I2172" t="inlineStr">
        <is>
          <t>1</t>
        </is>
      </c>
      <c r="J2172" t="inlineStr"/>
      <c r="K2172" t="inlineStr"/>
      <c r="L2172" t="inlineStr"/>
      <c r="M2172" t="inlineStr"/>
      <c r="N2172" t="inlineStr"/>
      <c r="O2172">
        <f>(1-Summary!$B$11)*T2172+Summary!$B$11*V2172</f>
        <v/>
      </c>
      <c r="P2172">
        <f>IF(B2188=0,0,O2172/B2188)</f>
        <v/>
      </c>
      <c r="Q2172" t="n">
        <v>0</v>
      </c>
      <c r="R2172" t="n">
        <v>0</v>
      </c>
      <c r="S2172">
        <f>IFERROR(O2172/N2172,0)</f>
        <v/>
      </c>
      <c r="T2172" t="n">
        <v>0</v>
      </c>
      <c r="V2172" t="n">
        <v>0</v>
      </c>
    </row>
    <row r="2173">
      <c r="A2173">
        <f>Skills!A22</f>
        <v/>
      </c>
      <c r="B2173">
        <f>Skills!B22</f>
        <v/>
      </c>
      <c r="C2173">
        <f>Inputs!$B$3&gt;=43</f>
        <v/>
      </c>
      <c r="D2173">
        <f>IF(Skills!C22=1,60+Inputs!$B$25+Inputs!$B$29,IF(Skills!C22=2,90+Inputs!$B$26+Inputs!$B$29,IF(Skills!C22=3,120+Inputs!$B$27+Inputs!$B$29,MAX(0,(Inputs!$B$3-100)*3)+Inputs!$B$28+Inputs!$B$29)))</f>
        <v/>
      </c>
      <c r="E2173">
        <f>INDEX(FactorTable!$B$2:$Y$301, MATCH(ROUND(MIN(300,MAX(1,D2173)),0), FactorTable!$A$2:$A$301,0), Skills!M22+1)</f>
        <v/>
      </c>
      <c r="F2173">
        <f>IF(Skills!N22=TRUE,(Skills!L22/10)*(E2173/1000),Skills!L22/10)+Skills!O22</f>
        <v/>
      </c>
      <c r="G2173">
        <f>Skills!G22*IF(Skills!H22&gt;0,Skills!I22/Skills!H22,1)</f>
        <v/>
      </c>
      <c r="H2173">
        <f>1-(1-Skills!J22/100)^Skills!K22</f>
        <v/>
      </c>
      <c r="I2173" t="inlineStr">
        <is>
          <t>1</t>
        </is>
      </c>
      <c r="J2173" t="inlineStr"/>
      <c r="K2173" t="inlineStr"/>
      <c r="L2173" t="inlineStr"/>
      <c r="M2173" t="inlineStr"/>
      <c r="N2173" t="inlineStr"/>
      <c r="O2173">
        <f>(1-Summary!$B$11)*T2173+Summary!$B$11*V2173</f>
        <v/>
      </c>
      <c r="P2173">
        <f>IF(B2188=0,0,O2173/B2188)</f>
        <v/>
      </c>
      <c r="Q2173" t="n">
        <v>0</v>
      </c>
      <c r="R2173" t="n">
        <v>0</v>
      </c>
      <c r="S2173">
        <f>IFERROR(O2173/N2173,0)</f>
        <v/>
      </c>
      <c r="T2173" t="n">
        <v>0</v>
      </c>
      <c r="V2173" t="n">
        <v>0</v>
      </c>
    </row>
    <row r="2174">
      <c r="A2174">
        <f>Skills!A23</f>
        <v/>
      </c>
      <c r="B2174">
        <f>Skills!B23</f>
        <v/>
      </c>
      <c r="C2174">
        <f>Inputs!$B$3&gt;=120</f>
        <v/>
      </c>
      <c r="D2174">
        <f>IF(Skills!C23=1,60+Inputs!$B$25+Inputs!$B$29,IF(Skills!C23=2,90+Inputs!$B$26+Inputs!$B$29,IF(Skills!C23=3,120+Inputs!$B$27+Inputs!$B$29,MAX(0,(Inputs!$B$3-100)*3)+Inputs!$B$28+Inputs!$B$29)))</f>
        <v/>
      </c>
      <c r="E2174">
        <f>INDEX(FactorTable!$B$2:$Y$301, MATCH(ROUND(MIN(300,MAX(1,D2174)),0), FactorTable!$A$2:$A$301,0), Skills!M23+1)</f>
        <v/>
      </c>
      <c r="F2174">
        <f>IF(Skills!N23=TRUE,(Skills!L23/10)*(E2174/1000),Skills!L23/10)+Skills!O23</f>
        <v/>
      </c>
      <c r="G2174">
        <f>Skills!G23*IF(Skills!H23&gt;0,Skills!I23/Skills!H23,1)</f>
        <v/>
      </c>
      <c r="H2174">
        <f>1-(1-Skills!J23/100)^Skills!K23</f>
        <v/>
      </c>
      <c r="I2174" t="inlineStr">
        <is>
          <t>1</t>
        </is>
      </c>
      <c r="J2174" t="inlineStr"/>
      <c r="K2174" t="inlineStr"/>
      <c r="L2174" t="inlineStr"/>
      <c r="M2174" t="inlineStr"/>
      <c r="N2174" t="inlineStr"/>
      <c r="O2174">
        <f>(1-Summary!$B$11)*T2174+Summary!$B$11*V2174</f>
        <v/>
      </c>
      <c r="P2174">
        <f>IF(B2188=0,0,O2174/B2188)</f>
        <v/>
      </c>
      <c r="Q2174" t="n">
        <v>0</v>
      </c>
      <c r="R2174" t="n">
        <v>0</v>
      </c>
      <c r="S2174">
        <f>IFERROR(O2174/N2174,0)</f>
        <v/>
      </c>
      <c r="T2174" t="n">
        <v>0</v>
      </c>
      <c r="V2174" t="n">
        <v>0</v>
      </c>
    </row>
    <row r="2175">
      <c r="A2175">
        <f>Skills!A24</f>
        <v/>
      </c>
      <c r="B2175">
        <f>Skills!B24</f>
        <v/>
      </c>
      <c r="C2175">
        <f>Inputs!$B$3&gt;=120</f>
        <v/>
      </c>
      <c r="D2175">
        <f>IF(Skills!C24=1,60+Inputs!$B$25+Inputs!$B$29,IF(Skills!C24=2,90+Inputs!$B$26+Inputs!$B$29,IF(Skills!C24=3,120+Inputs!$B$27+Inputs!$B$29,MAX(0,(Inputs!$B$3-100)*3)+Inputs!$B$28+Inputs!$B$29)))</f>
        <v/>
      </c>
      <c r="E2175">
        <f>INDEX(FactorTable!$B$2:$Y$301, MATCH(ROUND(MIN(300,MAX(1,D2175)),0), FactorTable!$A$2:$A$301,0), Skills!M24+1)</f>
        <v/>
      </c>
      <c r="F2175">
        <f>IF(Skills!N24=TRUE,(Skills!L24/10)*(E2175/1000),Skills!L24/10)+Skills!O24</f>
        <v/>
      </c>
      <c r="G2175">
        <f>Skills!G24*IF(Skills!H24&gt;0,Skills!I24/Skills!H24,1)</f>
        <v/>
      </c>
      <c r="H2175">
        <f>1-(1-Skills!J24/100)^Skills!K24</f>
        <v/>
      </c>
      <c r="I2175" t="inlineStr">
        <is>
          <t>1</t>
        </is>
      </c>
      <c r="J2175" t="inlineStr"/>
      <c r="K2175" t="inlineStr"/>
      <c r="L2175" t="inlineStr"/>
      <c r="M2175" t="inlineStr"/>
      <c r="N2175" t="inlineStr"/>
      <c r="O2175">
        <f>(1-Summary!$B$11)*T2175+Summary!$B$11*V2175</f>
        <v/>
      </c>
      <c r="P2175">
        <f>IF(B2188=0,0,O2175/B2188)</f>
        <v/>
      </c>
      <c r="Q2175" t="n">
        <v>0</v>
      </c>
      <c r="R2175" t="n">
        <v>0</v>
      </c>
      <c r="S2175">
        <f>IFERROR(O2175/N2175,0)</f>
        <v/>
      </c>
      <c r="T2175" t="n">
        <v>0</v>
      </c>
      <c r="V2175" t="n">
        <v>0</v>
      </c>
    </row>
    <row r="2177">
      <c r="A2177" t="inlineStr">
        <is>
          <t>Attack% Bucket Multiplier</t>
        </is>
      </c>
      <c r="B2177">
        <f>(1+(((C2164=TRUE)*F2164*MIN(1,Skills!T13*(Skills!J13/100)*B2182))+((C2169=TRUE)*F2169*IF(AND(Inputs!$B$38&lt;&gt;"pvp",Inputs!$B$43&gt;0),(((R2169-1)*(Skills!T18*(1+Inputs!$B$34/100))+MIN((Skills!T18*(1+Inputs!$B$34/100)),MAX(0,Inputs!$B$43-((R2169-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78">
      <c r="A2178" t="inlineStr">
        <is>
          <t>Global Crit Rate Bonus %</t>
        </is>
      </c>
      <c r="B2178" t="n">
        <v>0</v>
      </c>
    </row>
    <row r="2179">
      <c r="A2179" t="inlineStr">
        <is>
          <t>Attack Speed Buff Bonus %</t>
        </is>
      </c>
      <c r="B2179">
        <f>((C2170=TRUE)*F2170*IF(AND(Inputs!$B$38&lt;&gt;"pvp",Inputs!$B$43&gt;0),(((R2170-1)*(Skills!T19*(1+Inputs!$B$34/100))+MIN((Skills!T19*(1+Inputs!$B$34/100)),MAX(0,Inputs!$B$43-((R2170-1)*Skills!D19))))/Inputs!$B$43),IF(Inputs!$B$38="pvp",MIN((Skills!T19*(1+Inputs!$B$34/100)),15)/15,(Skills!T19*(1+Inputs!$B$34/100))/Skills!D19)))</f>
        <v/>
      </c>
    </row>
    <row r="2180">
      <c r="A2180" t="inlineStr">
        <is>
          <t>Actions Per Second</t>
        </is>
      </c>
      <c r="B2180">
        <f>1+MIN(150,150*(1-(1-(Inputs!$B$11+((C2171=TRUE)*(F2171-Calc!F20)))/150)*(1-B2179/150)))/100</f>
        <v/>
      </c>
    </row>
    <row r="2181">
      <c r="A2181" t="inlineStr">
        <is>
          <t>Skill + Buff Cast Rate</t>
        </is>
      </c>
      <c r="B2181">
        <f>IF(AND(Inputs!$B$38&lt;&gt;"pvp",Inputs!$B$43&gt;0),SUMPRODUCT((Skills!E2:E24=TRUE)*(C2153:C2175=TRUE)*R2153:R2175*Skills!F2:F24)/Inputs!$B$43,SUMPRODUCT((Skills!E2:E24=TRUE)*(C2153:C2175=TRUE)*Q2153:Q2175*Skills!F2:F24))</f>
        <v/>
      </c>
    </row>
    <row r="2182">
      <c r="A2182" t="inlineStr">
        <is>
          <t>Blast Casts Per Second</t>
        </is>
      </c>
      <c r="B2182">
        <f>MAX(0,B2180-B2181)</f>
        <v/>
      </c>
    </row>
    <row r="2183">
      <c r="A2183" t="inlineStr">
        <is>
          <t>Global Critical Damage Bonus % (unused)</t>
        </is>
      </c>
      <c r="B2183" t="n">
        <v>0</v>
      </c>
    </row>
    <row r="2184">
      <c r="A2184" t="inlineStr">
        <is>
          <t>Global Final Damage Bonus % (Divine Shield + Guardian + Divine Blessing + Greater Vessel of Light)</t>
        </is>
      </c>
      <c r="B2184">
        <f>((C2166=TRUE)*F2166*IF(AND(Inputs!$B$38&lt;&gt;"pvp",Inputs!$B$43&gt;0),(((R2166-1)*(Skills!T15*(1+Inputs!$B$34/100))+MIN((Skills!T15*(1+Inputs!$B$34/100)),MAX(0,Inputs!$B$43-((R2166-1)*Skills!D15))))/Inputs!$B$43),IF(Inputs!$B$38="pvp",MIN((Skills!T15*(1+Inputs!$B$34/100)),15)/15,(Skills!T15*(1+Inputs!$B$34/100))/Skills!D15)))+((C2167=TRUE)*F2167*IF(AND(Inputs!$B$38&lt;&gt;"pvp",Inputs!$B$43&gt;0),(((R2167-1)*(Skills!T16*(1+Inputs!$B$34/100))+MIN((Skills!T16*(1+Inputs!$B$34/100)),MAX(0,Inputs!$B$43-((R2167-1)*Skills!D16))))/Inputs!$B$43),IF(Inputs!$B$38="pvp",MIN((Skills!T16*(1+Inputs!$B$34/100)),15)/15,(Skills!T16*(1+Inputs!$B$34/100))/Skills!D16)))+((C2168=TRUE)*F2168*IF(AND(Inputs!$B$38&lt;&gt;"pvp",Inputs!$B$43&gt;0),(((R2168-1)*(Skills!T17*(1+Inputs!$B$34/100))+MIN((Skills!T17*(1+Inputs!$B$34/100)),MAX(0,Inputs!$B$43-((R2168-1)*Skills!D17))))/Inputs!$B$43),IF(Inputs!$B$38="pvp",MIN((Skills!T17*(1+Inputs!$B$34/100)),15)/15,(Skills!T17*(1+Inputs!$B$34/100))/Skills!D17)))+((C2165=TRUE)*F2165*MIN(1,Skills!T13*(Skills!J13/100)*B2182))</f>
        <v/>
      </c>
    </row>
    <row r="2185">
      <c r="A2185" t="inlineStr">
        <is>
          <t>Buff-Casting Startup Delay (s, fixed-duration only)</t>
        </is>
      </c>
      <c r="B2185">
        <f>IF(AND(Inputs!$B$38&lt;&gt;"pvp",Inputs!$B$43&gt;0),SUMPRODUCT((Skills!T2:T24&gt;0)*(Skills!E2:E24=TRUE)*(C2153:C2175=TRUE))/B2180,0)</f>
        <v/>
      </c>
    </row>
    <row r="2186">
      <c r="A2186" t="inlineStr">
        <is>
          <t>Boss-Only Total DPS (this block's swept value)</t>
        </is>
      </c>
      <c r="B2186">
        <f>SUM(T2153:T2175)</f>
        <v/>
      </c>
    </row>
    <row r="2187">
      <c r="A2187" t="inlineStr">
        <is>
          <t>Normal-Only Total DPS (this block's swept value)</t>
        </is>
      </c>
      <c r="B2187">
        <f>SUM(V2153:V2175)</f>
        <v/>
      </c>
    </row>
    <row r="2188">
      <c r="A2188" s="6" t="inlineStr">
        <is>
          <t>TOTAL DPS</t>
        </is>
      </c>
      <c r="B2188" s="6">
        <f>SUM(O2153:O2175)</f>
        <v/>
      </c>
    </row>
    <row r="2191">
      <c r="A2191" s="6" t="inlineStr">
        <is>
          <t>Stat: Bottle of Emotion (Equip)</t>
        </is>
      </c>
    </row>
    <row r="2192">
      <c r="A2192" s="5" t="inlineStr">
        <is>
          <t>Key</t>
        </is>
      </c>
      <c r="B2192" s="5" t="inlineStr">
        <is>
          <t>Name</t>
        </is>
      </c>
      <c r="C2192" s="5" t="inlineStr">
        <is>
          <t>Unlocked</t>
        </is>
      </c>
      <c r="D2192" s="5" t="inlineStr">
        <is>
          <t>InputLevel</t>
        </is>
      </c>
      <c r="E2192" s="5" t="inlineStr">
        <is>
          <t>Factor</t>
        </is>
      </c>
      <c r="F2192" s="5" t="inlineStr">
        <is>
          <t>CoefficientPercent</t>
        </is>
      </c>
      <c r="G2192" s="5" t="inlineStr">
        <is>
          <t>EffectiveHits</t>
        </is>
      </c>
      <c r="H2192" s="5" t="inlineStr">
        <is>
          <t>ProcProbability</t>
        </is>
      </c>
      <c r="I2192" s="5" t="inlineStr">
        <is>
          <t>MapleHeroMultiplier</t>
        </is>
      </c>
      <c r="J2192" s="5" t="inlineStr">
        <is>
          <t>BaseDamage</t>
        </is>
      </c>
      <c r="K2192" s="5" t="inlineStr">
        <is>
          <t>BaseHitDamage</t>
        </is>
      </c>
      <c r="L2192" s="5" t="inlineStr">
        <is>
          <t>NonCritAvg</t>
        </is>
      </c>
      <c r="M2192" s="5" t="inlineStr">
        <is>
          <t>CritAvg</t>
        </is>
      </c>
      <c r="N2192" s="5" t="inlineStr">
        <is>
          <t>ExpectedDamage(perHit)</t>
        </is>
      </c>
      <c r="O2192" s="5" t="inlineStr">
        <is>
          <t>DPS</t>
        </is>
      </c>
      <c r="P2192" s="5" t="inlineStr">
        <is>
          <t>% of Total</t>
        </is>
      </c>
      <c r="Q2192" s="5" t="inlineStr">
        <is>
          <t>InvCooldown</t>
        </is>
      </c>
      <c r="R2192" s="5" t="inlineStr">
        <is>
          <t>CastsInFight</t>
        </is>
      </c>
      <c r="S2192" s="5" t="inlineStr">
        <is>
          <t>HitRate(perSec)</t>
        </is>
      </c>
      <c r="U2192" t="inlineStr">
        <is>
          <t>helpers</t>
        </is>
      </c>
    </row>
    <row r="2193">
      <c r="A2193">
        <f>Skills!A2</f>
        <v/>
      </c>
      <c r="B2193">
        <f>Skills!B2</f>
        <v/>
      </c>
      <c r="C2193">
        <f>Inputs!$B$3&gt;=100</f>
        <v/>
      </c>
      <c r="D2193" t="inlineStr"/>
      <c r="E2193" t="inlineStr"/>
      <c r="F2193">
        <f>U2195+Skills!O2</f>
        <v/>
      </c>
      <c r="G2193">
        <f>Skills!G2*IF(Skills!H2&gt;0,Skills!I2/Skills!H2,1)</f>
        <v/>
      </c>
      <c r="H2193">
        <f>1-(1-Skills!J2/100)^Skills!K2</f>
        <v/>
      </c>
      <c r="I2193" t="inlineStr">
        <is>
          <t>1</t>
        </is>
      </c>
      <c r="J2193">
        <f>((Inputs!$B$6*(1+Inputs!$B$7/100))+(((Inputs!$B$12*(1+Inputs!$B$13/100))-(Inputs!$B$12*(1+Inputs!$B$13/100)))+0.25*(Inputs!$B$14-Inputs!$B$14))*(1+Inputs!$B$7/100))*(F2193/100)</f>
        <v/>
      </c>
      <c r="K2193">
        <f>J2193*(1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2193)</f>
        <v/>
      </c>
      <c r="L2193">
        <f>K2193*(MIN(Inputs!$B$22+((C2213=TRUE)*(F2213-Calc!F22)),(Inputs!$B$23+((C2215=TRUE)*(F2215-Calc!F24))+(IF(ArtifactsInput!$M$15,CHOOSE(ArtifactsInput!$N$15+1,25,30,35,40,45,50)/100*(Inputs!$B$11-Inputs!$B$11),0))))/100+(Inputs!$B$23+((C2215=TRUE)*(F2215-Calc!F24))+(IF(ArtifactsInput!$M$15,CHOOSE(ArtifactsInput!$N$15+1,25,30,35,40,45,50)/100*(Inputs!$B$11-Inputs!$B$11),0)))/100)/2</f>
        <v/>
      </c>
      <c r="M2193">
        <f>L2193*(1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3">
        <f>L2193*(1-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2193*(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3">
        <f>(1-Summary!$B$11)*T2193+Summary!$B$11*V2193</f>
        <v/>
      </c>
      <c r="P2193">
        <f>IF(B2228=0,0,O2193/B2228)</f>
        <v/>
      </c>
      <c r="Q2193" t="n">
        <v>0</v>
      </c>
      <c r="R2193" t="n">
        <v>0</v>
      </c>
      <c r="S2193">
        <f>IFERROR(O2193/N2193,0)</f>
        <v/>
      </c>
      <c r="T2193">
        <f>IF(C2193,(Skills!G2*N2193*B2222)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2193*(1-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2193*(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2193*(1-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2193*(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3">
        <f>MAX(0,(Inputs!$B$3-100)*3)+Inputs!$B$28+Inputs!$B$29</f>
        <v/>
      </c>
      <c r="V2193">
        <f>IF(C2193,(Skills!G2*N2193*B2222)*IF(Inputs!$B$38="pvp",1,(1+(Inputs!$B$21+Skills!Q2+(IF(ArtifactsInput!$M$33,CHOOSE(ArtifactsInput!$N$33+1,30,36,42,48,54,60),0))+(IF(AND(ArtifactsInput!$M$35,Inputs!$B$4&lt;&gt;"Chapter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4">
      <c r="A2194">
        <f>Skills!A3</f>
        <v/>
      </c>
      <c r="B2194">
        <f>Skills!B3</f>
        <v/>
      </c>
      <c r="C2194">
        <f>Inputs!$B$3&gt;=50</f>
        <v/>
      </c>
      <c r="D2194">
        <f>IF(Skills!C3=1,60+Inputs!$B$25+Inputs!$B$29,IF(Skills!C3=2,90+Inputs!$B$26+Inputs!$B$29,IF(Skills!C3=3,120+Inputs!$B$27+Inputs!$B$29,MAX(0,(Inputs!$B$3-100)*3)+Inputs!$B$28+Inputs!$B$29)))</f>
        <v/>
      </c>
      <c r="E2194">
        <f>INDEX(FactorTable!$B$2:$Y$301, MATCH(ROUND(MIN(300,MAX(1,D2194)),0), FactorTable!$A$2:$A$301,0), Skills!M3+1)</f>
        <v/>
      </c>
      <c r="F2194">
        <f>IF(Skills!N3=TRUE,(Skills!L3/10)*(E2194/1000),Skills!L3/10)+Skills!O3</f>
        <v/>
      </c>
      <c r="G2194" t="inlineStr"/>
      <c r="H2194" t="inlineStr"/>
      <c r="I2194" t="inlineStr">
        <is>
          <t>1</t>
        </is>
      </c>
      <c r="J2194" t="inlineStr"/>
      <c r="K2194" t="inlineStr"/>
      <c r="L2194" t="inlineStr"/>
      <c r="M2194" t="inlineStr"/>
      <c r="N2194" t="inlineStr"/>
      <c r="O2194" t="inlineStr"/>
      <c r="P2194" t="inlineStr"/>
      <c r="Q2194" t="inlineStr"/>
      <c r="R2194" t="inlineStr"/>
      <c r="S2194" t="inlineStr"/>
      <c r="U2194">
        <f>INDEX(FactorTable!$B$2:$Y$301, MATCH(ROUND(MIN(300,MAX(1,U2193)),0), FactorTable!$A$2:$A$301,0), 22)</f>
        <v/>
      </c>
    </row>
    <row r="2195">
      <c r="A2195">
        <f>Skills!A4</f>
        <v/>
      </c>
      <c r="B2195">
        <f>Skills!B4</f>
        <v/>
      </c>
      <c r="C2195">
        <f>Inputs!$B$3&gt;=35</f>
        <v/>
      </c>
      <c r="D2195">
        <f>IF(Skills!C4=1,60+Inputs!$B$25+Inputs!$B$29,IF(Skills!C4=2,90+Inputs!$B$26+Inputs!$B$29,IF(Skills!C4=3,120+Inputs!$B$27+Inputs!$B$29,MAX(0,(Inputs!$B$3-100)*3)+Inputs!$B$28+Inputs!$B$29)))</f>
        <v/>
      </c>
      <c r="E2195">
        <f>INDEX(FactorTable!$B$2:$Y$301, MATCH(ROUND(MIN(300,MAX(1,D2195)),0), FactorTable!$A$2:$A$301,0), Skills!M4+1)</f>
        <v/>
      </c>
      <c r="F2195">
        <f>IF(Skills!N4=TRUE,(Skills!L4/10)*(E2195/1000),Skills!L4/10)+Skills!O4</f>
        <v/>
      </c>
      <c r="G2195">
        <f>Skills!G4*IF(Skills!H4&gt;0,Skills!I4/Skills!H4,1)</f>
        <v/>
      </c>
      <c r="H2195">
        <f>1-(1-Skills!J4/100)^Skills!K4</f>
        <v/>
      </c>
      <c r="I2195" t="inlineStr">
        <is>
          <t>1</t>
        </is>
      </c>
      <c r="J2195">
        <f>((Inputs!$B$6*(1+Inputs!$B$7/100))+(((Inputs!$B$12*(1+Inputs!$B$13/100))-(Inputs!$B$12*(1+Inputs!$B$13/100)))+0.25*(Inputs!$B$14-Inputs!$B$14))*(1+Inputs!$B$7/100))*(F2195/100)</f>
        <v/>
      </c>
      <c r="K2195">
        <f>J2195*(1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+4.0*IF(C2203=TRUE,F2203,0)/100)*(1+(IF(Skills!A4="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C2213=TRUE)*(F2213-Calc!F22)),(Inputs!$B$23+((C2215=TRUE)*(F2215-Calc!F24))+(IF(ArtifactsInput!$M$15,CHOOSE(ArtifactsInput!$N$15+1,25,30,35,40,45,50)/100*(Inputs!$B$11-Inputs!$B$11),0))))/100+(Inputs!$B$23+((C2215=TRUE)*(F2215-Calc!F24))+(IF(ArtifactsInput!$M$15,CHOOSE(ArtifactsInput!$N$15+1,25,30,35,40,45,50)/100*(Inputs!$B$11-Inputs!$B$11),0)))/100)/2</f>
        <v/>
      </c>
      <c r="M2195">
        <f>L2195*(1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(1-Summary!$B$11)*T2195+Summary!$B$11*V2195</f>
        <v/>
      </c>
      <c r="P2195">
        <f>IF(B2228=0,0,O2195/B2228)</f>
        <v/>
      </c>
      <c r="Q2195">
        <f>IFERROR(1/(IF(Inputs!$B$38="pvp",15,MAX(0.1,Skills!D4-IF(Skills!E4=TRUE,Inputs!$B$32,0)))*(1-IF(AND(ArtifactsInput!$M$27,Inputs!$B$4="Chapter Hunt"),CHOOSE(ArtifactsInput!$N$27+1,20,24,28,32,36,40),0)/100)),0)</f>
        <v/>
      </c>
      <c r="R2195">
        <f>IF(AND(Inputs!$B$38&lt;&gt;"pvp",Inputs!$B$43&gt;0),IF(MAX(0,Inputs!$B$43-B2225)&lt;=0,0,(INT(MAX(0,Inputs!$B$43-B2225)/(IF(Inputs!$B$38="pvp",15,MAX(0.1,Skills!D4-IF(Skills!E4=TRUE,Inputs!$B$32,0)))*(1-IF(AND(ArtifactsInput!$M$27,Inputs!$B$4="Chapter Hunt"),CHOOSE(ArtifactsInput!$N$27+1,20,24,28,32,36,40),0)/100)))+1)),0)</f>
        <v/>
      </c>
      <c r="S2195">
        <f>IFERROR(O2195/N2195,0)</f>
        <v/>
      </c>
      <c r="T2195">
        <f>IF(C2195,(H2195*N2195*IF(AND(Inputs!$B$38&lt;&gt;"pvp",Inputs!$B$43&gt;0),((Skills!G4*((R2195-1)*IF(Skills!H4&gt;0,Skills!I4/Skills!H4,1)+IF(Skills!H4&gt;0,MIN(Skills!I4,MAX(0,MAX(0,Inputs!$B$43-B2225)-((R2195-1)*(IF(Inputs!$B$38="pvp",15,MAX(0.1,Skills!D4-IF(Skills!E4=TRUE,Inputs!$B$32,0)))*(1-IF(AND(ArtifactsInput!$M$27,Inputs!$B$4="Chapter Hunt"),CHOOSE(ArtifactsInput!$N$27+1,20,24,28,32,36,40),0)/100)))))/Skills!H4,1)))/Inputs!$B$43),G2195*Q2195)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2195*(1-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95">
        <f>290*U2194/1000</f>
        <v/>
      </c>
      <c r="V2195">
        <f>IF(C2195,(H2195*N2195*IF(AND(Inputs!$B$38&lt;&gt;"pvp",Inputs!$B$43&gt;0),((Skills!G4*((R2195-1)*IF(Skills!H4&gt;0,Skills!I4/Skills!H4,1)+IF(Skills!H4&gt;0,MIN(Skills!I4,MAX(0,MAX(0,Inputs!$B$43-B2225)-((R2195-1)*(IF(Inputs!$B$38="pvp",15,MAX(0.1,Skills!D4-IF(Skills!E4=TRUE,Inputs!$B$32,0)))*(1-IF(AND(ArtifactsInput!$M$27,Inputs!$B$4="Chapter Hunt"),CHOOSE(ArtifactsInput!$N$27+1,20,24,28,32,36,40),0)/100)))))/Skills!H4,1)))/Inputs!$B$43),G2195*Q2195))*IF(Inputs!$B$38="pvp",1,(1+(Inputs!$B$21+Skills!Q4+(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Skills!A5</f>
        <v/>
      </c>
      <c r="B2196">
        <f>Skills!B5</f>
        <v/>
      </c>
      <c r="C2196">
        <f>Inputs!$B$3&gt;=66</f>
        <v/>
      </c>
      <c r="D2196">
        <f>IF(Skills!C5=1,60+Inputs!$B$25+Inputs!$B$29,IF(Skills!C5=2,90+Inputs!$B$26+Inputs!$B$29,IF(Skills!C5=3,120+Inputs!$B$27+Inputs!$B$29,MAX(0,(Inputs!$B$3-100)*3)+Inputs!$B$28+Inputs!$B$29)))</f>
        <v/>
      </c>
      <c r="E2196">
        <f>INDEX(FactorTable!$B$2:$Y$301, MATCH(ROUND(MIN(300,MAX(1,D2196)),0), FactorTable!$A$2:$A$301,0), Skills!M5+1)</f>
        <v/>
      </c>
      <c r="F2196">
        <f>IF(Skills!N5=TRUE,(Skills!L5/10)*(E2196/1000),Skills!L5/10)+Skills!O5</f>
        <v/>
      </c>
      <c r="G2196">
        <f>Skills!G5*IF(Skills!H5&gt;0,Skills!I5/Skills!H5,1)</f>
        <v/>
      </c>
      <c r="H2196">
        <f>1-(1-Skills!J5/100)^Skills!K5</f>
        <v/>
      </c>
      <c r="I2196" t="inlineStr">
        <is>
          <t>1</t>
        </is>
      </c>
      <c r="J2196">
        <f>((Inputs!$B$6*(1+Inputs!$B$7/100))+(((Inputs!$B$12*(1+Inputs!$B$13/100))-(Inputs!$B$12*(1+Inputs!$B$13/100)))+0.25*(Inputs!$B$14-Inputs!$B$14))*(1+Inputs!$B$7/100))*(F2196/100)</f>
        <v/>
      </c>
      <c r="K2196">
        <f>J2196*(1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2203=TRUE,F2203,0)/100)*(1+(IF(Skills!A5="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C2213=TRUE)*(F2213-Calc!F22)),(Inputs!$B$23+((C2215=TRUE)*(F2215-Calc!F24))+(IF(ArtifactsInput!$M$15,CHOOSE(ArtifactsInput!$N$15+1,25,30,35,40,45,50)/100*(Inputs!$B$11-Inputs!$B$11),0))))/100+(Inputs!$B$23+((C2215=TRUE)*(F2215-Calc!F24))+(IF(ArtifactsInput!$M$15,CHOOSE(ArtifactsInput!$N$15+1,25,30,35,40,45,50)/100*(Inputs!$B$11-Inputs!$B$11),0)))/100)/2</f>
        <v/>
      </c>
      <c r="M2196">
        <f>L2196*(1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(1-Summary!$B$11)*T2196+Summary!$B$11*V2196</f>
        <v/>
      </c>
      <c r="P2196">
        <f>IF(B2228=0,0,O2196/B2228)</f>
        <v/>
      </c>
      <c r="Q2196">
        <f>IFERROR(1/(IF(Inputs!$B$38="pvp",15,MAX(0.1,Skills!D5-IF(Skills!E5=TRUE,Inputs!$B$32,0)))*(1-IF(AND(ArtifactsInput!$M$27,Inputs!$B$4="Chapter Hunt"),CHOOSE(ArtifactsInput!$N$27+1,20,24,28,32,36,40),0)/100)),0)</f>
        <v/>
      </c>
      <c r="R2196">
        <f>IF(AND(Inputs!$B$38&lt;&gt;"pvp",Inputs!$B$43&gt;0),IF(MAX(0,Inputs!$B$43-B2225)&lt;=0,0,(INT(MAX(0,Inputs!$B$43-B2225)/(IF(Inputs!$B$38="pvp",15,MAX(0.1,Skills!D5-IF(Skills!E5=TRUE,Inputs!$B$32,0)))*(1-IF(AND(ArtifactsInput!$M$27,Inputs!$B$4="Chapter Hunt"),CHOOSE(ArtifactsInput!$N$27+1,20,24,28,32,36,40),0)/100)))+1)),0)</f>
        <v/>
      </c>
      <c r="S2196">
        <f>IFERROR(O2196/N2196,0)</f>
        <v/>
      </c>
      <c r="T2196">
        <f>IF(C2196,(H2196*N2196*IF(AND(Inputs!$B$38&lt;&gt;"pvp",Inputs!$B$43&gt;0),((Skills!G5*((R2196-1)*IF(Skills!H5&gt;0,Skills!I5/Skills!H5,1)+IF(Skills!H5&gt;0,MIN(Skills!I5,MAX(0,MAX(0,Inputs!$B$43-B2225)-((R2196-1)*(IF(Inputs!$B$38="pvp",15,MAX(0.1,Skills!D5-IF(Skills!E5=TRUE,Inputs!$B$32,0)))*(1-IF(AND(ArtifactsInput!$M$27,Inputs!$B$4="Chapter Hunt"),CHOOSE(ArtifactsInput!$N$27+1,20,24,28,32,36,40),0)/100)))))/Skills!H5,1)))/Inputs!$B$43),G2196*Q2196)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2196*(1-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6">
        <f>IF(C2196,(H2196*N2196*IF(AND(Inputs!$B$38&lt;&gt;"pvp",Inputs!$B$43&gt;0),((Skills!G5*((R2196-1)*IF(Skills!H5&gt;0,Skills!I5/Skills!H5,1)+IF(Skills!H5&gt;0,MIN(Skills!I5,MAX(0,MAX(0,Inputs!$B$43-B2225)-((R2196-1)*(IF(Inputs!$B$38="pvp",15,MAX(0.1,Skills!D5-IF(Skills!E5=TRUE,Inputs!$B$32,0)))*(1-IF(AND(ArtifactsInput!$M$27,Inputs!$B$4="Chapter Hunt"),CHOOSE(ArtifactsInput!$N$27+1,20,24,28,32,36,40),0)/100)))))/Skills!H5,1)))/Inputs!$B$43),G2196*Q2196))*IF(Inputs!$B$38="pvp",1,(1+(Inputs!$B$21+Skills!Q5+(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Skills!A6</f>
        <v/>
      </c>
      <c r="B2197">
        <f>Skills!B6</f>
        <v/>
      </c>
      <c r="C2197">
        <f>Inputs!$B$3&gt;=103</f>
        <v/>
      </c>
      <c r="D2197">
        <f>IF(Skills!C6=1,60+Inputs!$B$25+Inputs!$B$29,IF(Skills!C6=2,90+Inputs!$B$26+Inputs!$B$29,IF(Skills!C6=3,120+Inputs!$B$27+Inputs!$B$29,MAX(0,(Inputs!$B$3-100)*3)+Inputs!$B$28+Inputs!$B$29)))</f>
        <v/>
      </c>
      <c r="E2197">
        <f>INDEX(FactorTable!$B$2:$Y$301, MATCH(ROUND(MIN(300,MAX(1,D2197)),0), FactorTable!$A$2:$A$301,0), Skills!M6+1)</f>
        <v/>
      </c>
      <c r="F2197">
        <f>IF(Skills!N6=TRUE,(Skills!L6/10)*(E2197/1000),Skills!L6/10)+Skills!O6</f>
        <v/>
      </c>
      <c r="G2197">
        <f>Skills!G6*IF(Skills!H6&gt;0,Skills!I6/Skills!H6,1)</f>
        <v/>
      </c>
      <c r="H2197">
        <f>1-(1-Skills!J6/100)^Skills!K6</f>
        <v/>
      </c>
      <c r="I2197" t="inlineStr">
        <is>
          <t>1</t>
        </is>
      </c>
      <c r="J2197">
        <f>((Inputs!$B$6*(1+Inputs!$B$7/100))+(((Inputs!$B$12*(1+Inputs!$B$13/100))-(Inputs!$B$12*(1+Inputs!$B$13/100)))+0.25*(Inputs!$B$14-Inputs!$B$14))*(1+Inputs!$B$7/100))*(F2197/100)</f>
        <v/>
      </c>
      <c r="K2197">
        <f>J2197*(1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6="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2197)</f>
        <v/>
      </c>
      <c r="L2197">
        <f>K2197*(MIN(Inputs!$B$22+((C2213=TRUE)*(F2213-Calc!F22)),(Inputs!$B$23+((C2215=TRUE)*(F2215-Calc!F24))+(IF(ArtifactsInput!$M$15,CHOOSE(ArtifactsInput!$N$15+1,25,30,35,40,45,50)/100*(Inputs!$B$11-Inputs!$B$11),0))))/100+(Inputs!$B$23+((C2215=TRUE)*(F2215-Calc!F24))+(IF(ArtifactsInput!$M$15,CHOOSE(ArtifactsInput!$N$15+1,25,30,35,40,45,50)/100*(Inputs!$B$11-Inputs!$B$11),0)))/100)/2</f>
        <v/>
      </c>
      <c r="M2197">
        <f>L2197*(1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7">
        <f>L2197*(1-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2197*(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7">
        <f>(1-Summary!$B$11)*T2197+Summary!$B$11*V2197</f>
        <v/>
      </c>
      <c r="P2197">
        <f>IF(B2228=0,0,O2197/B2228)</f>
        <v/>
      </c>
      <c r="Q2197">
        <f>IFERROR(1/(IF(Inputs!$B$38="pvp",15,MAX(0.1,Skills!D6-IF(Skills!E6=TRUE,Inputs!$B$32,0)))*(1-IF(AND(ArtifactsInput!$M$27,Inputs!$B$4="Chapter Hunt"),CHOOSE(ArtifactsInput!$N$27+1,20,24,28,32,36,40),0)/100)),0)</f>
        <v/>
      </c>
      <c r="R2197">
        <f>IF(AND(Inputs!$B$38&lt;&gt;"pvp",Inputs!$B$43&gt;0),IF(MAX(0,Inputs!$B$43-B2225)&lt;=0,0,(INT(MAX(0,Inputs!$B$43-B2225)/(IF(Inputs!$B$38="pvp",15,MAX(0.1,Skills!D6-IF(Skills!E6=TRUE,Inputs!$B$32,0)))*(1-IF(AND(ArtifactsInput!$M$27,Inputs!$B$4="Chapter Hunt"),CHOOSE(ArtifactsInput!$N$27+1,20,24,28,32,36,40),0)/100)))+1)),0)</f>
        <v/>
      </c>
      <c r="S2197">
        <f>IFERROR(O2197/N2197,0)</f>
        <v/>
      </c>
      <c r="T2197">
        <f>IF(C2197,(H2197*N2197*IF(AND(Inputs!$B$38&lt;&gt;"pvp",Inputs!$B$43&gt;0),((Skills!G6*((R2197-1)*IF(Skills!H6&gt;0,Skills!I6/Skills!H6,1)+IF(Skills!H6&gt;0,MIN(Skills!I6,MAX(0,MAX(0,Inputs!$B$43-B2225)-((R2197-1)*(IF(Inputs!$B$38="pvp",15,MAX(0.1,Skills!D6-IF(Skills!E6=TRUE,Inputs!$B$32,0)))*(1-IF(AND(ArtifactsInput!$M$27,Inputs!$B$4="Chapter Hunt"),CHOOSE(ArtifactsInput!$N$27+1,20,24,28,32,36,40),0)/100)))))/Skills!H6,1)))/Inputs!$B$43),G2197*Q2197)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2197*(1-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2197*(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2197*(1-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2197*(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7">
        <f>IF(C2197,(H2197*N2197*IF(AND(Inputs!$B$38&lt;&gt;"pvp",Inputs!$B$43&gt;0),((Skills!G6*((R2197-1)*IF(Skills!H6&gt;0,Skills!I6/Skills!H6,1)+IF(Skills!H6&gt;0,MIN(Skills!I6,MAX(0,MAX(0,Inputs!$B$43-B2225)-((R2197-1)*(IF(Inputs!$B$38="pvp",15,MAX(0.1,Skills!D6-IF(Skills!E6=TRUE,Inputs!$B$32,0)))*(1-IF(AND(ArtifactsInput!$M$27,Inputs!$B$4="Chapter Hunt"),CHOOSE(ArtifactsInput!$N$27+1,20,24,28,32,36,40),0)/100)))))/Skills!H6,1)))/Inputs!$B$43),G2197*Q2197))*IF(Inputs!$B$38="pvp",1,(1+(Inputs!$B$21+Skills!Q6+(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8">
      <c r="A2198">
        <f>Skills!A7</f>
        <v/>
      </c>
      <c r="B2198">
        <f>Skills!B7</f>
        <v/>
      </c>
      <c r="C2198">
        <f>Inputs!$B$3&gt;=107</f>
        <v/>
      </c>
      <c r="D2198">
        <f>IF(Skills!C7=1,60+Inputs!$B$25+Inputs!$B$29,IF(Skills!C7=2,90+Inputs!$B$26+Inputs!$B$29,IF(Skills!C7=3,120+Inputs!$B$27+Inputs!$B$29,MAX(0,(Inputs!$B$3-100)*3)+Inputs!$B$28+Inputs!$B$29)))</f>
        <v/>
      </c>
      <c r="E2198">
        <f>INDEX(FactorTable!$B$2:$Y$301, MATCH(ROUND(MIN(300,MAX(1,D2198)),0), FactorTable!$A$2:$A$301,0), Skills!M7+1)</f>
        <v/>
      </c>
      <c r="F2198">
        <f>IF(Skills!N7=TRUE,(Skills!L7/10)*(E2198/1000),Skills!L7/10)+Skills!O7</f>
        <v/>
      </c>
      <c r="G2198">
        <f>Skills!G7*IF(Skills!H7&gt;0,Skills!I7/Skills!H7,1)</f>
        <v/>
      </c>
      <c r="H2198">
        <f>1-(1-Skills!J7/100)^Skills!K7</f>
        <v/>
      </c>
      <c r="I2198" t="inlineStr">
        <is>
          <t>1</t>
        </is>
      </c>
      <c r="J2198">
        <f>((Inputs!$B$6*(1+Inputs!$B$7/100))+(((Inputs!$B$12*(1+Inputs!$B$13/100))-(Inputs!$B$12*(1+Inputs!$B$13/100)))+0.25*(Inputs!$B$14-Inputs!$B$14))*(1+Inputs!$B$7/100))*(F2198/100)</f>
        <v/>
      </c>
      <c r="K2198">
        <f>J2198*(1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7="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2198)</f>
        <v/>
      </c>
      <c r="L2198">
        <f>K2198*(MIN(Inputs!$B$22+((C2213=TRUE)*(F2213-Calc!F22)),(Inputs!$B$23+((C2215=TRUE)*(F2215-Calc!F24))+(IF(ArtifactsInput!$M$15,CHOOSE(ArtifactsInput!$N$15+1,25,30,35,40,45,50)/100*(Inputs!$B$11-Inputs!$B$11),0))))/100+(Inputs!$B$23+((C2215=TRUE)*(F2215-Calc!F24))+(IF(ArtifactsInput!$M$15,CHOOSE(ArtifactsInput!$N$15+1,25,30,35,40,45,50)/100*(Inputs!$B$11-Inputs!$B$11),0)))/100)/2</f>
        <v/>
      </c>
      <c r="M2198">
        <f>L2198*(1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8">
        <f>L2198*(1-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2198*(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8">
        <f>(1-Summary!$B$11)*T2198+Summary!$B$11*V2198</f>
        <v/>
      </c>
      <c r="P2198">
        <f>IF(B2228=0,0,O2198/B2228)</f>
        <v/>
      </c>
      <c r="Q2198">
        <f>IFERROR(1/(IF(Inputs!$B$38="pvp",15,MAX(0.1,Skills!D7-IF(Skills!E7=TRUE,Inputs!$B$32,0)))*(1-IF(AND(ArtifactsInput!$M$27,Inputs!$B$4="Chapter Hunt"),CHOOSE(ArtifactsInput!$N$27+1,20,24,28,32,36,40),0)/100)),0)</f>
        <v/>
      </c>
      <c r="R2198">
        <f>IF(AND(Inputs!$B$38&lt;&gt;"pvp",Inputs!$B$43&gt;0),IF(MAX(0,Inputs!$B$43-B2225)&lt;=0,0,(INT(MAX(0,Inputs!$B$43-B2225)/(IF(Inputs!$B$38="pvp",15,MAX(0.1,Skills!D7-IF(Skills!E7=TRUE,Inputs!$B$32,0)))*(1-IF(AND(ArtifactsInput!$M$27,Inputs!$B$4="Chapter Hunt"),CHOOSE(ArtifactsInput!$N$27+1,20,24,28,32,36,40),0)/100)))+1)),0)</f>
        <v/>
      </c>
      <c r="S2198">
        <f>IFERROR(O2198/N2198,0)</f>
        <v/>
      </c>
      <c r="T2198">
        <f>IF(C2198,(H2198*N2198*IF(AND(Inputs!$B$38&lt;&gt;"pvp",Inputs!$B$43&gt;0),((Skills!G7*((R2198-1)*IF(Skills!H7&gt;0,Skills!I7/Skills!H7,1)+IF(Skills!H7&gt;0,MIN(Skills!I7,MAX(0,MAX(0,Inputs!$B$43-B2225)-((R2198-1)*(IF(Inputs!$B$38="pvp",15,MAX(0.1,Skills!D7-IF(Skills!E7=TRUE,Inputs!$B$32,0)))*(1-IF(AND(ArtifactsInput!$M$27,Inputs!$B$4="Chapter Hunt"),CHOOSE(ArtifactsInput!$N$27+1,20,24,28,32,36,40),0)/100)))))/Skills!H7,1)))/Inputs!$B$43),G2198*Q2198)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2198*(1-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2198*(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2198*(1-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2198*(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8">
        <f>IF(C2198,(H2198*N2198*IF(AND(Inputs!$B$38&lt;&gt;"pvp",Inputs!$B$43&gt;0),((Skills!G7*((R2198-1)*IF(Skills!H7&gt;0,Skills!I7/Skills!H7,1)+IF(Skills!H7&gt;0,MIN(Skills!I7,MAX(0,MAX(0,Inputs!$B$43-B2225)-((R2198-1)*(IF(Inputs!$B$38="pvp",15,MAX(0.1,Skills!D7-IF(Skills!E7=TRUE,Inputs!$B$32,0)))*(1-IF(AND(ArtifactsInput!$M$27,Inputs!$B$4="Chapter Hunt"),CHOOSE(ArtifactsInput!$N$27+1,20,24,28,32,36,40),0)/100)))))/Skills!H7,1)))/Inputs!$B$43),G2198*Q2198))*IF(Inputs!$B$38="pvp",1,(1+(Inputs!$B$21+Skills!Q7+(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9">
      <c r="A2199">
        <f>Skills!A8</f>
        <v/>
      </c>
      <c r="B2199">
        <f>Skills!B8</f>
        <v/>
      </c>
      <c r="C2199">
        <f>Inputs!$B$3&gt;=107</f>
        <v/>
      </c>
      <c r="D2199">
        <f>IF(Skills!C8=1,60+Inputs!$B$25+Inputs!$B$29,IF(Skills!C8=2,90+Inputs!$B$26+Inputs!$B$29,IF(Skills!C8=3,120+Inputs!$B$27+Inputs!$B$29,MAX(0,(Inputs!$B$3-100)*3)+Inputs!$B$28+Inputs!$B$29)))</f>
        <v/>
      </c>
      <c r="E2199">
        <f>INDEX(FactorTable!$B$2:$Y$301, MATCH(ROUND(MIN(300,MAX(1,D2199)),0), FactorTable!$A$2:$A$301,0), Skills!M8+1)</f>
        <v/>
      </c>
      <c r="F2199">
        <f>IF(Skills!N8=TRUE,(Skills!L8/10)*(E2199/1000),Skills!L8/10)+Skills!O8</f>
        <v/>
      </c>
      <c r="G2199">
        <f>Skills!G8*IF(Skills!H8&gt;0,Skills!I8/Skills!H8,1)</f>
        <v/>
      </c>
      <c r="H2199">
        <f>1-(1-Skills!J8/100)^Skills!K8</f>
        <v/>
      </c>
      <c r="I2199" t="inlineStr">
        <is>
          <t>1</t>
        </is>
      </c>
      <c r="J2199">
        <f>((Inputs!$B$6*(1+Inputs!$B$7/100))+(((Inputs!$B$12*(1+Inputs!$B$13/100))-(Inputs!$B$12*(1+Inputs!$B$13/100)))+0.25*(Inputs!$B$14-Inputs!$B$14))*(1+Inputs!$B$7/100))*(F2199/100)</f>
        <v/>
      </c>
      <c r="K2199">
        <f>J2199*(1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8="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2199)</f>
        <v/>
      </c>
      <c r="L2199">
        <f>K2199*(MIN(Inputs!$B$22+((C2213=TRUE)*(F2213-Calc!F22)),(Inputs!$B$23+((C2215=TRUE)*(F2215-Calc!F24))+(IF(ArtifactsInput!$M$15,CHOOSE(ArtifactsInput!$N$15+1,25,30,35,40,45,50)/100*(Inputs!$B$11-Inputs!$B$11),0))))/100+(Inputs!$B$23+((C2215=TRUE)*(F2215-Calc!F24))+(IF(ArtifactsInput!$M$15,CHOOSE(ArtifactsInput!$N$15+1,25,30,35,40,45,50)/100*(Inputs!$B$11-Inputs!$B$11),0)))/100)/2</f>
        <v/>
      </c>
      <c r="M2199">
        <f>L2199*(1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9">
        <f>L2199*(1-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2199*(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9">
        <f>(1-Summary!$B$11)*T2199+Summary!$B$11*V2199</f>
        <v/>
      </c>
      <c r="P2199">
        <f>IF(B2228=0,0,O2199/B2228)</f>
        <v/>
      </c>
      <c r="Q2199">
        <f>IFERROR(1/(IF(Inputs!$B$38="pvp",15,MAX(0.1,Skills!D8-IF(Skills!E8=TRUE,Inputs!$B$32,0)))*(1-IF(AND(ArtifactsInput!$M$27,Inputs!$B$4="Chapter Hunt"),CHOOSE(ArtifactsInput!$N$27+1,20,24,28,32,36,40),0)/100)),0)</f>
        <v/>
      </c>
      <c r="R2199">
        <f>IF(AND(Inputs!$B$38&lt;&gt;"pvp",Inputs!$B$43&gt;0),IF(MAX(0,Inputs!$B$43-B2225)&lt;=0,0,(INT(MAX(0,Inputs!$B$43-B2225)/(IF(Inputs!$B$38="pvp",15,MAX(0.1,Skills!D8-IF(Skills!E8=TRUE,Inputs!$B$32,0)))*(1-IF(AND(ArtifactsInput!$M$27,Inputs!$B$4="Chapter Hunt"),CHOOSE(ArtifactsInput!$N$27+1,20,24,28,32,36,40),0)/100)))+1)),0)</f>
        <v/>
      </c>
      <c r="S2199">
        <f>IFERROR(O2199/N2199,0)</f>
        <v/>
      </c>
      <c r="T2199">
        <f>IF(C2199,(H2199*N2199*IF(AND(Inputs!$B$38&lt;&gt;"pvp",Inputs!$B$43&gt;0),((Skills!G8*((R2199-1)*IF(Skills!H8&gt;0,Skills!I8/Skills!H8,1)+IF(Skills!H8&gt;0,MIN(Skills!I8,MAX(0,MAX(0,Inputs!$B$43-B2225)-((R2199-1)*(IF(Inputs!$B$38="pvp",15,MAX(0.1,Skills!D8-IF(Skills!E8=TRUE,Inputs!$B$32,0)))*(1-IF(AND(ArtifactsInput!$M$27,Inputs!$B$4="Chapter Hunt"),CHOOSE(ArtifactsInput!$N$27+1,20,24,28,32,36,40),0)/100)))))/Skills!H8,1)))/Inputs!$B$43),G2199*Q2199)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2199*(1-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2199*(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2199*(1-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2199*(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9">
        <f>IF(C2199,(H2199*N2199*IF(AND(Inputs!$B$38&lt;&gt;"pvp",Inputs!$B$43&gt;0),((Skills!G8*((R2199-1)*IF(Skills!H8&gt;0,Skills!I8/Skills!H8,1)+IF(Skills!H8&gt;0,MIN(Skills!I8,MAX(0,MAX(0,Inputs!$B$43-B2225)-((R2199-1)*(IF(Inputs!$B$38="pvp",15,MAX(0.1,Skills!D8-IF(Skills!E8=TRUE,Inputs!$B$32,0)))*(1-IF(AND(ArtifactsInput!$M$27,Inputs!$B$4="Chapter Hunt"),CHOOSE(ArtifactsInput!$N$27+1,20,24,28,32,36,40),0)/100)))))/Skills!H8,1)))/Inputs!$B$43),G2199*Q2199))*IF(Inputs!$B$38="pvp",1,(1+(Inputs!$B$21+Skills!Q8+(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0">
      <c r="A2200">
        <f>Skills!A9</f>
        <v/>
      </c>
      <c r="B2200">
        <f>Skills!B9</f>
        <v/>
      </c>
      <c r="C2200">
        <f>Inputs!$B$3&gt;=125</f>
        <v/>
      </c>
      <c r="D2200">
        <f>IF(Skills!C9=1,60+Inputs!$B$25+Inputs!$B$29,IF(Skills!C9=2,90+Inputs!$B$26+Inputs!$B$29,IF(Skills!C9=3,120+Inputs!$B$27+Inputs!$B$29,MAX(0,(Inputs!$B$3-100)*3)+Inputs!$B$28+Inputs!$B$29)))</f>
        <v/>
      </c>
      <c r="E2200">
        <f>INDEX(FactorTable!$B$2:$Y$301, MATCH(ROUND(MIN(300,MAX(1,D2200)),0), FactorTable!$A$2:$A$301,0), Skills!M9+1)</f>
        <v/>
      </c>
      <c r="F2200">
        <f>IF(Skills!N9=TRUE,(Skills!L9/10)*(E2200/1000),Skills!L9/10)+Skills!O9</f>
        <v/>
      </c>
      <c r="G2200">
        <f>Skills!G9*IF(Skills!H9&gt;0,Skills!I9/Skills!H9,1)</f>
        <v/>
      </c>
      <c r="H2200">
        <f>1-(1-Skills!J9/100)^Skills!K9</f>
        <v/>
      </c>
      <c r="I2200" t="inlineStr">
        <is>
          <t>1</t>
        </is>
      </c>
      <c r="J2200">
        <f>((Inputs!$B$6*(1+Inputs!$B$7/100))+(((Inputs!$B$12*(1+Inputs!$B$13/100))-(Inputs!$B$12*(1+Inputs!$B$13/100)))+0.25*(Inputs!$B$14-Inputs!$B$14))*(1+Inputs!$B$7/100))*(F2200/100)</f>
        <v/>
      </c>
      <c r="K2200">
        <f>J2200*(1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9="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2200)</f>
        <v/>
      </c>
      <c r="L2200">
        <f>K2200*(MIN(Inputs!$B$22+((C2213=TRUE)*(F2213-Calc!F22)),(Inputs!$B$23+((C2215=TRUE)*(F2215-Calc!F24))+(IF(ArtifactsInput!$M$15,CHOOSE(ArtifactsInput!$N$15+1,25,30,35,40,45,50)/100*(Inputs!$B$11-Inputs!$B$11),0))))/100+(Inputs!$B$23+((C2215=TRUE)*(F2215-Calc!F24))+(IF(ArtifactsInput!$M$15,CHOOSE(ArtifactsInput!$N$15+1,25,30,35,40,45,50)/100*(Inputs!$B$11-Inputs!$B$11),0)))/100)/2</f>
        <v/>
      </c>
      <c r="M2200">
        <f>L2200*(1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0">
        <f>L2200*(1-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2200*(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0">
        <f>(1-Summary!$B$11)*T2200+Summary!$B$11*V2200</f>
        <v/>
      </c>
      <c r="P2200">
        <f>IF(B2228=0,0,O2200/B2228)</f>
        <v/>
      </c>
      <c r="Q2200">
        <f>IFERROR(1/(IF(Inputs!$B$38="pvp",15,MAX(0.1,Skills!D9-IF(Skills!E9=TRUE,Inputs!$B$32,0)))*(1-IF(AND(ArtifactsInput!$M$27,Inputs!$B$4="Chapter Hunt"),CHOOSE(ArtifactsInput!$N$27+1,20,24,28,32,36,40),0)/100)),0)</f>
        <v/>
      </c>
      <c r="R2200">
        <f>IF(AND(Inputs!$B$38&lt;&gt;"pvp",Inputs!$B$43&gt;0),IF(MAX(0,Inputs!$B$43-B2225)&lt;=0,0,(INT(MAX(0,Inputs!$B$43-B2225)/(IF(Inputs!$B$38="pvp",15,MAX(0.1,Skills!D9-IF(Skills!E9=TRUE,Inputs!$B$32,0)))*(1-IF(AND(ArtifactsInput!$M$27,Inputs!$B$4="Chapter Hunt"),CHOOSE(ArtifactsInput!$N$27+1,20,24,28,32,36,40),0)/100)))+1)),0)</f>
        <v/>
      </c>
      <c r="S2200">
        <f>IFERROR(O2200/N2200,0)</f>
        <v/>
      </c>
      <c r="T2200">
        <f>IF(C2200,(H2200*N2200*IF(AND(Inputs!$B$38&lt;&gt;"pvp",Inputs!$B$43&gt;0),((Skills!G9*((R2200-1)*IF(Skills!H9&gt;0,Skills!I9/Skills!H9,1)+IF(Skills!H9&gt;0,MIN(Skills!I9,MAX(0,MAX(0,Inputs!$B$43-B2225)-((R2200-1)*(IF(Inputs!$B$38="pvp",15,MAX(0.1,Skills!D9-IF(Skills!E9=TRUE,Inputs!$B$32,0)))*(1-IF(AND(ArtifactsInput!$M$27,Inputs!$B$4="Chapter Hunt"),CHOOSE(ArtifactsInput!$N$27+1,20,24,28,32,36,40),0)/100)))))/Skills!H9,1)))/Inputs!$B$43),G2200*Q2200)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2200*(1-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2200*(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2200*(1-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2200*(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0">
        <f>IF(C2200,(H2200*N2200*IF(AND(Inputs!$B$38&lt;&gt;"pvp",Inputs!$B$43&gt;0),((Skills!G9*((R2200-1)*IF(Skills!H9&gt;0,Skills!I9/Skills!H9,1)+IF(Skills!H9&gt;0,MIN(Skills!I9,MAX(0,MAX(0,Inputs!$B$43-B2225)-((R2200-1)*(IF(Inputs!$B$38="pvp",15,MAX(0.1,Skills!D9-IF(Skills!E9=TRUE,Inputs!$B$32,0)))*(1-IF(AND(ArtifactsInput!$M$27,Inputs!$B$4="Chapter Hunt"),CHOOSE(ArtifactsInput!$N$27+1,20,24,28,32,36,40),0)/100)))))/Skills!H9,1)))/Inputs!$B$43),G2200*Q2200))*IF(Inputs!$B$38="pvp",1,(1+(Inputs!$B$21+Skills!Q9+(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1">
      <c r="A2201">
        <f>Skills!A10</f>
        <v/>
      </c>
      <c r="B2201">
        <f>Skills!B10</f>
        <v/>
      </c>
      <c r="C2201">
        <f>Inputs!$B$3&gt;=117</f>
        <v/>
      </c>
      <c r="D2201">
        <f>IF(Skills!C10=1,60+Inputs!$B$25+Inputs!$B$29,IF(Skills!C10=2,90+Inputs!$B$26+Inputs!$B$29,IF(Skills!C10=3,120+Inputs!$B$27+Inputs!$B$29,MAX(0,(Inputs!$B$3-100)*3)+Inputs!$B$28+Inputs!$B$29)))</f>
        <v/>
      </c>
      <c r="E2201">
        <f>INDEX(FactorTable!$B$2:$Y$301, MATCH(ROUND(MIN(300,MAX(1,D2201)),0), FactorTable!$A$2:$A$301,0), Skills!M10+1)</f>
        <v/>
      </c>
      <c r="F2201">
        <f>IF(Skills!N10=TRUE,(Skills!L10/10)*(E2201/1000),Skills!L10/10)+Skills!O10</f>
        <v/>
      </c>
      <c r="G2201">
        <f>Skills!G10*IF(Skills!H10&gt;0,Skills!I10/Skills!H10,1)</f>
        <v/>
      </c>
      <c r="H2201">
        <f>1-(1-Skills!J10/100)^Skills!K10</f>
        <v/>
      </c>
      <c r="I2201" t="inlineStr">
        <is>
          <t>1</t>
        </is>
      </c>
      <c r="J2201">
        <f>((Inputs!$B$6*(1+Inputs!$B$7/100))+(((Inputs!$B$12*(1+Inputs!$B$13/100))-(Inputs!$B$12*(1+Inputs!$B$13/100)))+0.25*(Inputs!$B$14-Inputs!$B$14))*(1+Inputs!$B$7/100))*(F2201/100)</f>
        <v/>
      </c>
      <c r="K2201">
        <f>J2201*(1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2201)</f>
        <v/>
      </c>
      <c r="L2201">
        <f>K2201*(MIN(Inputs!$B$22+((C2213=TRUE)*(F2213-Calc!F22)),(Inputs!$B$23+((C2215=TRUE)*(F2215-Calc!F24))+(IF(ArtifactsInput!$M$15,CHOOSE(ArtifactsInput!$N$15+1,25,30,35,40,45,50)/100*(Inputs!$B$11-Inputs!$B$11),0))))/100+(Inputs!$B$23+((C2215=TRUE)*(F2215-Calc!F24))+(IF(ArtifactsInput!$M$15,CHOOSE(ArtifactsInput!$N$15+1,25,30,35,40,45,50)/100*(Inputs!$B$11-Inputs!$B$11),0)))/100)/2</f>
        <v/>
      </c>
      <c r="M2201">
        <f>L2201*(1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1">
        <f>L2201*(1-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1">
        <f>(1-Summary!$B$11)*T2201+Summary!$B$11*V2201</f>
        <v/>
      </c>
      <c r="P2201">
        <f>IF(B2228=0,0,O2201/B2228)</f>
        <v/>
      </c>
      <c r="Q2201">
        <f>IFERROR(1/(IF(Inputs!$B$38="pvp",15,MAX(0.1,Skills!D10-IF(Skills!E10=TRUE,Inputs!$B$32,0)))*(1-IF(AND(ArtifactsInput!$M$27,Inputs!$B$4="Chapter Hunt"),CHOOSE(ArtifactsInput!$N$27+1,20,24,28,32,36,40),0)/100)),0)</f>
        <v/>
      </c>
      <c r="R2201">
        <f>IF(AND(Inputs!$B$38&lt;&gt;"pvp",Inputs!$B$43&gt;0),IF(MAX(0,Inputs!$B$43-B2225)&lt;=0,0,(INT(MAX(0,Inputs!$B$43-B2225)/(IF(Inputs!$B$38="pvp",15,MAX(0.1,Skills!D10-IF(Skills!E10=TRUE,Inputs!$B$32,0)))*(1-IF(AND(ArtifactsInput!$M$27,Inputs!$B$4="Chapter Hunt"),CHOOSE(ArtifactsInput!$N$27+1,20,24,28,32,36,40),0)/100)))+1)),0)</f>
        <v/>
      </c>
      <c r="S2201">
        <f>IFERROR(O2201/N2201,0)</f>
        <v/>
      </c>
      <c r="T2201">
        <f>IF(C2201,(H2201*N2201*IF(AND(Inputs!$B$38&lt;&gt;"pvp",Inputs!$B$43&gt;0),((Skills!G10*((R2201-1)*IF(Skills!H10&gt;0,Skills!I10/Skills!H10,1)+IF(Skills!H10&gt;0,MIN(Skills!I10,MAX(0,MAX(0,Inputs!$B$43-B2225)-((R2201-1)*(IF(Inputs!$B$38="pvp",15,MAX(0.1,Skills!D10-IF(Skills!E10=TRUE,Inputs!$B$32,0)))*(1-IF(AND(ArtifactsInput!$M$27,Inputs!$B$4="Chapter Hunt"),CHOOSE(ArtifactsInput!$N$27+1,20,24,28,32,36,40),0)/100)))))/Skills!H10,1)))/Inputs!$B$43),G2201*Q2201)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2201*(1-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2201*(1-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1">
        <f>IF(C2201,(H2201*N2201*IF(AND(Inputs!$B$38&lt;&gt;"pvp",Inputs!$B$43&gt;0),((Skills!G10*((R2201-1)*IF(Skills!H10&gt;0,Skills!I10/Skills!H10,1)+IF(Skills!H10&gt;0,MIN(Skills!I10,MAX(0,MAX(0,Inputs!$B$43-B2225)-((R2201-1)*(IF(Inputs!$B$38="pvp",15,MAX(0.1,Skills!D10-IF(Skills!E10=TRUE,Inputs!$B$32,0)))*(1-IF(AND(ArtifactsInput!$M$27,Inputs!$B$4="Chapter Hunt"),CHOOSE(ArtifactsInput!$N$27+1,20,24,28,32,36,40),0)/100)))))/Skills!H10,1)))/Inputs!$B$43),G2201*Q2201))*IF(Inputs!$B$38="pvp",1,(1+(Inputs!$B$21+Skills!Q10+(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2">
      <c r="A2202">
        <f>Skills!A11</f>
        <v/>
      </c>
      <c r="B2202">
        <f>Skills!B11</f>
        <v/>
      </c>
      <c r="C2202">
        <f>Inputs!$B$3&gt;=63</f>
        <v/>
      </c>
      <c r="D2202">
        <f>IF(Skills!C11=1,60+Inputs!$B$25+Inputs!$B$29,IF(Skills!C11=2,90+Inputs!$B$26+Inputs!$B$29,IF(Skills!C11=3,120+Inputs!$B$27+Inputs!$B$29,MAX(0,(Inputs!$B$3-100)*3)+Inputs!$B$28+Inputs!$B$29)))</f>
        <v/>
      </c>
      <c r="E2202">
        <f>INDEX(FactorTable!$B$2:$Y$301, MATCH(ROUND(MIN(300,MAX(1,D2202)),0), FactorTable!$A$2:$A$301,0), Skills!M11+1)</f>
        <v/>
      </c>
      <c r="F2202">
        <f>IF(Skills!N11=TRUE,(Skills!L11/10)*(E2202/1000),Skills!L11/10)+Skills!O11</f>
        <v/>
      </c>
      <c r="G2202">
        <f>Skills!G11*IF(Skills!H11&gt;0,Skills!I11/Skills!H11,1)</f>
        <v/>
      </c>
      <c r="H2202">
        <f>1-(1-Skills!J11/100)^Skills!K11</f>
        <v/>
      </c>
      <c r="I2202" t="inlineStr">
        <is>
          <t>1</t>
        </is>
      </c>
      <c r="J2202">
        <f>((Inputs!$B$6*(1+Inputs!$B$7/100))+(((Inputs!$B$12*(1+Inputs!$B$13/100))-(Inputs!$B$12*(1+Inputs!$B$13/100)))+0.25*(Inputs!$B$14-Inputs!$B$14))*(1+Inputs!$B$7/100))*(F2202/100)</f>
        <v/>
      </c>
      <c r="K2202">
        <f>J2202*(1+((Inputs!$B$12*(1+Inputs!$B$13/100))*0.01+Inputs!$B$14*0.0025)/100)*(1+Inputs!$B$15/100)*(1+Inputs!$B$16/100)*(5000/(6000+Inputs!$B$42*(1-(Inputs!$B$19+0)/100)))*(1+(Inputs!$B$24+0+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+1.5*IF(C2203=TRUE,F2203,0)/100)*(1+(IF(Skills!A11="BLAST",Inputs!$B$17+((C2212=TRUE)*(F2212-Calc!F21))+((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MIN(100,((Inputs!$B$9+0+B2218+(ArtifactsInput!$M$24-ArtifactsInput!$M$24)*CHOOSE(ArtifactsInput!$N$24+1,10,12,14,16,18,20)+IF(ArtifactsInput!$M$10,CHOOSE(ArtifactsInput!$N$10+1,15,18,21,24,27,30)*(IF(Inputs!$B$38="pvp",MIN(15,15)/15,IF(AND(Inputs!$B$38&lt;&gt;"pvp",Inputs!$B$43&gt;0),MIN(15,Inputs!$B$43)/(Inputs!$B$43),0))),0)))-100),0))*CHOOSE(ArtifactsInput!$N$42+1,0.6,0.72,0.84,0.96,1.08,1.2))),Inputs!$B$18+((C2214=TRUE)*(F2214-Calc!F23))+(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gt;=100),CHOOSE(ArtifactsInput!$N$42+1,40,48,56,64,72,80),0))))/100)*((1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2202)</f>
        <v/>
      </c>
      <c r="L2202">
        <f>K2202*(MIN(Inputs!$B$22+((C2213=TRUE)*(F2213-Calc!F22)),(Inputs!$B$23+((C2215=TRUE)*(F2215-Calc!F24))+(IF(ArtifactsInput!$M$15,CHOOSE(ArtifactsInput!$N$15+1,25,30,35,40,45,50)/100*(Inputs!$B$11-Inputs!$B$11),0))))/100+(Inputs!$B$23+((C2215=TRUE)*(F2215-Calc!F24))+(IF(ArtifactsInput!$M$15,CHOOSE(ArtifactsInput!$N$15+1,25,30,35,40,45,50)/100*(Inputs!$B$11-Inputs!$B$11),0)))/100)/2</f>
        <v/>
      </c>
      <c r="M2202">
        <f>L2202*(1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2">
        <f>L2202*(1-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2202*(MIN((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2">
        <f>(1-Summary!$B$11)*T2202+Summary!$B$11*V2202</f>
        <v/>
      </c>
      <c r="P2202">
        <f>IF(B2228=0,0,O2202/B2228)</f>
        <v/>
      </c>
      <c r="Q2202">
        <f>IFERROR(1/(IF(Inputs!$B$38="pvp",15,MAX(0.1,Skills!D11-IF(Skills!E11=TRUE,Inputs!$B$32,0)))*(1-IF(AND(ArtifactsInput!$M$27,Inputs!$B$4="Chapter Hunt"),CHOOSE(ArtifactsInput!$N$27+1,20,24,28,32,36,40),0)/100)),0)</f>
        <v/>
      </c>
      <c r="R2202">
        <f>IF(AND(Inputs!$B$38&lt;&gt;"pvp",Inputs!$B$43&gt;0),IF(MAX(0,Inputs!$B$43-B2225)&lt;=0,0,(INT(MAX(0,Inputs!$B$43-B2225)/(IF(Inputs!$B$38="pvp",15,MAX(0.1,Skills!D11-IF(Skills!E11=TRUE,Inputs!$B$32,0)))*(1-IF(AND(ArtifactsInput!$M$27,Inputs!$B$4="Chapter Hunt"),CHOOSE(ArtifactsInput!$N$27+1,20,24,28,32,36,40),0)/100)))+1)),0)</f>
        <v/>
      </c>
      <c r="S2202">
        <f>IFERROR(O2202/N2202,0)</f>
        <v/>
      </c>
      <c r="T2202">
        <f>IF(C2202,(H2202*N2202*IF(AND(Inputs!$B$38&lt;&gt;"pvp",Inputs!$B$43&gt;0),((Skills!G11*((R2202-1)*IF(Skills!H11&gt;0,Skills!I11/Skills!H11,1)+IF(Skills!H11&gt;0,MIN(Skills!I11,MAX(0,MAX(0,Inputs!$B$43-B2225)-((R2202-1)*(IF(Inputs!$B$38="pvp",15,MAX(0.1,Skills!D11-IF(Skills!E11=TRUE,Inputs!$B$32,0)))*(1-IF(AND(ArtifactsInput!$M$27,Inputs!$B$4="Chapter Hunt"),CHOOSE(ArtifactsInput!$N$27+1,20,24,28,32,36,40),0)/100)))))/Skills!H11,1)))/Inputs!$B$43),G2202*Q2202)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2202*(1-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2202*(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2202*(1-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2202*(MIN(100,(Inputs!$B$9+0+B2218+(ArtifactsInput!$M$24-ArtifactsInput!$M$24)*CHOOSE(ArtifactsInput!$N$24+1,10,12,14,16,18,20)+(IF(AND(Inputs!$B$38&lt;&gt;"pvp",Inputs!$B$43=0),1,IF(IF(Inputs!$B$38="pvp",15,Inputs!$B$43)-(B2225)&lt;=0,1,MAX(0,IF(Inputs!$B$38="pvp",15,Inputs!$B$43)-MAX(5,B2225))/(IF(Inputs!$B$38="pvp",15,Inputs!$B$43)-(B2225))))*IF(AND(ArtifactsInput!$M$42,((Inputs!$B$9+0+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02">
        <f>IF(C2202,(H2202*N2202*IF(AND(Inputs!$B$38&lt;&gt;"pvp",Inputs!$B$43&gt;0),((Skills!G11*((R2202-1)*IF(Skills!H11&gt;0,Skills!I11/Skills!H11,1)+IF(Skills!H11&gt;0,MIN(Skills!I11,MAX(0,MAX(0,Inputs!$B$43-B2225)-((R2202-1)*(IF(Inputs!$B$38="pvp",15,MAX(0.1,Skills!D11-IF(Skills!E11=TRUE,Inputs!$B$32,0)))*(1-IF(AND(ArtifactsInput!$M$27,Inputs!$B$4="Chapter Hunt"),CHOOSE(ArtifactsInput!$N$27+1,20,24,28,32,36,40),0)/100)))))/Skills!H11,1)))/Inputs!$B$43),G2202*Q2202))*IF(Inputs!$B$38="pvp",1,(1+(Inputs!$B$21+Skills!Q11+(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3">
      <c r="A2203">
        <f>Skills!A12</f>
        <v/>
      </c>
      <c r="B2203">
        <f>Skills!B12</f>
        <v/>
      </c>
      <c r="C2203">
        <f>Inputs!$B$3&gt;=100</f>
        <v/>
      </c>
      <c r="D2203">
        <f>IF(Skills!C12=1,60+Inputs!$B$25+Inputs!$B$29,IF(Skills!C12=2,90+Inputs!$B$26+Inputs!$B$29,IF(Skills!C12=3,120+Inputs!$B$27+Inputs!$B$29,MAX(0,(Inputs!$B$3-100)*3)+Inputs!$B$28+Inputs!$B$29)))</f>
        <v/>
      </c>
      <c r="E2203">
        <f>INDEX(FactorTable!$B$2:$Y$301, MATCH(ROUND(MIN(300,MAX(1,D2203)),0), FactorTable!$A$2:$A$301,0), Skills!M12+1)</f>
        <v/>
      </c>
      <c r="F2203">
        <f>IF(Skills!N12=TRUE,(Skills!L12/10)*(E2203/1000),Skills!L12/10)+Skills!O12</f>
        <v/>
      </c>
      <c r="G2203" t="inlineStr"/>
      <c r="H2203" t="inlineStr"/>
      <c r="I2203" t="inlineStr">
        <is>
          <t>1</t>
        </is>
      </c>
      <c r="J2203" t="inlineStr"/>
      <c r="K2203" t="inlineStr"/>
      <c r="L2203" t="inlineStr"/>
      <c r="M2203" t="inlineStr"/>
      <c r="N2203" t="inlineStr"/>
      <c r="O2203" t="inlineStr"/>
      <c r="P2203" t="inlineStr"/>
      <c r="Q2203" t="inlineStr"/>
      <c r="R2203" t="inlineStr"/>
      <c r="S2203" t="inlineStr"/>
    </row>
    <row r="2204">
      <c r="A2204">
        <f>Skills!A13</f>
        <v/>
      </c>
      <c r="B2204">
        <f>Skills!B13</f>
        <v/>
      </c>
      <c r="C2204">
        <f>Inputs!$B$3&gt;=45</f>
        <v/>
      </c>
      <c r="D2204">
        <f>IF(Skills!C13=1,60+Inputs!$B$25+Inputs!$B$29,IF(Skills!C13=2,90+Inputs!$B$26+Inputs!$B$29,IF(Skills!C13=3,120+Inputs!$B$27+Inputs!$B$29,MAX(0,(Inputs!$B$3-100)*3)+Inputs!$B$28+Inputs!$B$29)))</f>
        <v/>
      </c>
      <c r="E2204">
        <f>INDEX(FactorTable!$B$2:$Y$301, MATCH(ROUND(MIN(300,MAX(1,D2204)),0), FactorTable!$A$2:$A$301,0), Skills!M13+1)</f>
        <v/>
      </c>
      <c r="F2204">
        <f>IF(Skills!N13=TRUE,(Skills!L13/10)*(E2204/1000),Skills!L13/10)+Skills!O13</f>
        <v/>
      </c>
      <c r="G2204">
        <f>Skills!G13*IF(Skills!H13&gt;0,Skills!I13/Skills!H13,1)</f>
        <v/>
      </c>
      <c r="H2204">
        <f>1-(1-Skills!J13/100)^Skills!K13</f>
        <v/>
      </c>
      <c r="I2204" t="inlineStr">
        <is>
          <t>1</t>
        </is>
      </c>
      <c r="J2204" t="inlineStr"/>
      <c r="K2204" t="inlineStr"/>
      <c r="L2204" t="inlineStr"/>
      <c r="M2204" t="inlineStr"/>
      <c r="N2204" t="inlineStr"/>
      <c r="O2204">
        <f>(1-Summary!$B$11)*T2204+Summary!$B$11*V2204</f>
        <v/>
      </c>
      <c r="P2204">
        <f>IF(B2228=0,0,O2204/B2228)</f>
        <v/>
      </c>
      <c r="Q2204" t="n">
        <v>0</v>
      </c>
      <c r="R2204" t="n">
        <v>0</v>
      </c>
      <c r="S2204">
        <f>IFERROR(O2204/N2204,0)</f>
        <v/>
      </c>
      <c r="T2204" t="n">
        <v>0</v>
      </c>
      <c r="V2204" t="n">
        <v>0</v>
      </c>
    </row>
    <row r="2205">
      <c r="A2205">
        <f>Skills!A14</f>
        <v/>
      </c>
      <c r="B2205">
        <f>Skills!B14</f>
        <v/>
      </c>
      <c r="C2205">
        <f>Inputs!$B$3&gt;=110</f>
        <v/>
      </c>
      <c r="D2205">
        <f>IF(Skills!C14=1,60+Inputs!$B$25+Inputs!$B$29,IF(Skills!C14=2,90+Inputs!$B$26+Inputs!$B$29,IF(Skills!C14=3,120+Inputs!$B$27+Inputs!$B$29,MAX(0,(Inputs!$B$3-100)*3)+Inputs!$B$28+Inputs!$B$29)))</f>
        <v/>
      </c>
      <c r="E2205">
        <f>INDEX(FactorTable!$B$2:$Y$301, MATCH(ROUND(MIN(300,MAX(1,D2205)),0), FactorTable!$A$2:$A$301,0), Skills!M14+1)</f>
        <v/>
      </c>
      <c r="F2205">
        <f>IF(Skills!N14=TRUE,(Skills!L14/10)*(E2205/1000),Skills!L14/10)+Skills!O14</f>
        <v/>
      </c>
      <c r="G2205">
        <f>Skills!G14*IF(Skills!H14&gt;0,Skills!I14/Skills!H14,1)</f>
        <v/>
      </c>
      <c r="H2205">
        <f>1-(1-Skills!J14/100)^Skills!K14</f>
        <v/>
      </c>
      <c r="I2205" t="inlineStr">
        <is>
          <t>1</t>
        </is>
      </c>
      <c r="J2205" t="inlineStr"/>
      <c r="K2205" t="inlineStr"/>
      <c r="L2205" t="inlineStr"/>
      <c r="M2205" t="inlineStr"/>
      <c r="N2205" t="inlineStr"/>
      <c r="O2205">
        <f>(1-Summary!$B$11)*T2205+Summary!$B$11*V2205</f>
        <v/>
      </c>
      <c r="P2205">
        <f>IF(B2228=0,0,O2205/B2228)</f>
        <v/>
      </c>
      <c r="Q2205" t="n">
        <v>0</v>
      </c>
      <c r="R2205" t="n">
        <v>0</v>
      </c>
      <c r="S2205">
        <f>IFERROR(O2205/N2205,0)</f>
        <v/>
      </c>
      <c r="T2205" t="n">
        <v>0</v>
      </c>
      <c r="V2205" t="n">
        <v>0</v>
      </c>
    </row>
    <row r="2206">
      <c r="A2206">
        <f>Skills!A15</f>
        <v/>
      </c>
      <c r="B2206">
        <f>Skills!B15</f>
        <v/>
      </c>
      <c r="C2206">
        <f>Inputs!$B$3&gt;=75</f>
        <v/>
      </c>
      <c r="D2206">
        <f>IF(Skills!C15=1,60+Inputs!$B$25+Inputs!$B$29,IF(Skills!C15=2,90+Inputs!$B$26+Inputs!$B$29,IF(Skills!C15=3,120+Inputs!$B$27+Inputs!$B$29,MAX(0,(Inputs!$B$3-100)*3)+Inputs!$B$28+Inputs!$B$29)))</f>
        <v/>
      </c>
      <c r="E2206">
        <f>INDEX(FactorTable!$B$2:$Y$301, MATCH(ROUND(MIN(300,MAX(1,D2206)),0), FactorTable!$A$2:$A$301,0), Skills!M15+1)</f>
        <v/>
      </c>
      <c r="F2206">
        <f>IF(Skills!N15=TRUE,(Skills!L15/10)*(E2206/1000),Skills!L15/10)+Skills!O15</f>
        <v/>
      </c>
      <c r="G2206">
        <f>Skills!G15*IF(Skills!H15&gt;0,Skills!I15/Skills!H15,1)</f>
        <v/>
      </c>
      <c r="H2206">
        <f>1-(1-Skills!J15/100)^Skills!K15</f>
        <v/>
      </c>
      <c r="I2206" t="inlineStr">
        <is>
          <t>1</t>
        </is>
      </c>
      <c r="J2206" t="inlineStr"/>
      <c r="K2206" t="inlineStr"/>
      <c r="L2206" t="inlineStr"/>
      <c r="M2206" t="inlineStr"/>
      <c r="N2206" t="inlineStr"/>
      <c r="O2206">
        <f>(1-Summary!$B$11)*T2206+Summary!$B$11*V2206</f>
        <v/>
      </c>
      <c r="P2206">
        <f>IF(B2228=0,0,O2206/B2228)</f>
        <v/>
      </c>
      <c r="Q2206">
        <f>IFERROR(1/(IF(Inputs!$B$38="pvp",15,MAX(0.1,Skills!D15-IF(Skills!E15=TRUE,Inputs!$B$32,0)))*(1-IF(AND(ArtifactsInput!$M$27,Inputs!$B$4="Chapter Hunt"),CHOOSE(ArtifactsInput!$N$27+1,20,24,28,32,36,40),0)/100)),0)</f>
        <v/>
      </c>
      <c r="R2206">
        <f>IF(AND(Inputs!$B$38&lt;&gt;"pvp",Inputs!$B$43&gt;0),IF(Inputs!$B$43&lt;=0,0,(INT(Inputs!$B$43/(IF(Inputs!$B$38="pvp",15,MAX(0.1,Skills!D15-IF(Skills!E15=TRUE,Inputs!$B$32,0)))*(1-IF(AND(ArtifactsInput!$M$27,Inputs!$B$4="Chapter Hunt"),CHOOSE(ArtifactsInput!$N$27+1,20,24,28,32,36,40),0)/100)))+1)),0)</f>
        <v/>
      </c>
      <c r="S2206">
        <f>IFERROR(O2206/N2206,0)</f>
        <v/>
      </c>
      <c r="T2206" t="n">
        <v>0</v>
      </c>
      <c r="V2206" t="n">
        <v>0</v>
      </c>
    </row>
    <row r="2207">
      <c r="A2207">
        <f>Skills!A16</f>
        <v/>
      </c>
      <c r="B2207">
        <f>Skills!B16</f>
        <v/>
      </c>
      <c r="C2207">
        <f>Inputs!$B$3&gt;=105</f>
        <v/>
      </c>
      <c r="D2207">
        <f>IF(Skills!C16=1,60+Inputs!$B$25+Inputs!$B$29,IF(Skills!C16=2,90+Inputs!$B$26+Inputs!$B$29,IF(Skills!C16=3,120+Inputs!$B$27+Inputs!$B$29,MAX(0,(Inputs!$B$3-100)*3)+Inputs!$B$28+Inputs!$B$29)))</f>
        <v/>
      </c>
      <c r="E2207">
        <f>INDEX(FactorTable!$B$2:$Y$301, MATCH(ROUND(MIN(300,MAX(1,D2207)),0), FactorTable!$A$2:$A$301,0), Skills!M16+1)</f>
        <v/>
      </c>
      <c r="F2207">
        <f>IF(Skills!N16=TRUE,(Skills!L16/10)*(E2207/1000),Skills!L16/10)+Skills!O16</f>
        <v/>
      </c>
      <c r="G2207">
        <f>Skills!G16*IF(Skills!H16&gt;0,Skills!I16/Skills!H16,1)</f>
        <v/>
      </c>
      <c r="H2207">
        <f>1-(1-Skills!J16/100)^Skills!K16</f>
        <v/>
      </c>
      <c r="I2207" t="inlineStr">
        <is>
          <t>1</t>
        </is>
      </c>
      <c r="J2207" t="inlineStr"/>
      <c r="K2207" t="inlineStr"/>
      <c r="L2207" t="inlineStr"/>
      <c r="M2207" t="inlineStr"/>
      <c r="N2207" t="inlineStr"/>
      <c r="O2207">
        <f>(1-Summary!$B$11)*T2207+Summary!$B$11*V2207</f>
        <v/>
      </c>
      <c r="P2207">
        <f>IF(B2228=0,0,O2207/B2228)</f>
        <v/>
      </c>
      <c r="Q2207">
        <f>IFERROR(1/(IF(Inputs!$B$38="pvp",15,MAX(0.1,Skills!D16-IF(Skills!E16=TRUE,Inputs!$B$32,0)))*(1-IF(AND(ArtifactsInput!$M$27,Inputs!$B$4="Chapter Hunt"),CHOOSE(ArtifactsInput!$N$27+1,20,24,28,32,36,40),0)/100)),0)</f>
        <v/>
      </c>
      <c r="R2207">
        <f>IF(AND(Inputs!$B$38&lt;&gt;"pvp",Inputs!$B$43&gt;0),IF(Inputs!$B$43&lt;=0,0,(INT(Inputs!$B$43/(IF(Inputs!$B$38="pvp",15,MAX(0.1,Skills!D16-IF(Skills!E16=TRUE,Inputs!$B$32,0)))*(1-IF(AND(ArtifactsInput!$M$27,Inputs!$B$4="Chapter Hunt"),CHOOSE(ArtifactsInput!$N$27+1,20,24,28,32,36,40),0)/100)))+1)),0)</f>
        <v/>
      </c>
      <c r="S2207">
        <f>IFERROR(O2207/N2207,0)</f>
        <v/>
      </c>
      <c r="T2207" t="n">
        <v>0</v>
      </c>
      <c r="V2207" t="n">
        <v>0</v>
      </c>
    </row>
    <row r="2208">
      <c r="A2208">
        <f>Skills!A17</f>
        <v/>
      </c>
      <c r="B2208">
        <f>Skills!B17</f>
        <v/>
      </c>
      <c r="C2208">
        <f>Inputs!$B$3&gt;=115</f>
        <v/>
      </c>
      <c r="D2208">
        <f>IF(Skills!C17=1,60+Inputs!$B$25+Inputs!$B$29,IF(Skills!C17=2,90+Inputs!$B$26+Inputs!$B$29,IF(Skills!C17=3,120+Inputs!$B$27+Inputs!$B$29,MAX(0,(Inputs!$B$3-100)*3)+Inputs!$B$28+Inputs!$B$29)))</f>
        <v/>
      </c>
      <c r="E2208">
        <f>INDEX(FactorTable!$B$2:$Y$301, MATCH(ROUND(MIN(300,MAX(1,D2208)),0), FactorTable!$A$2:$A$301,0), Skills!M17+1)</f>
        <v/>
      </c>
      <c r="F2208">
        <f>IF(Skills!N17=TRUE,(Skills!L17/10)*(E2208/1000),Skills!L17/10)+Skills!O17</f>
        <v/>
      </c>
      <c r="G2208">
        <f>Skills!G17*IF(Skills!H17&gt;0,Skills!I17/Skills!H17,1)</f>
        <v/>
      </c>
      <c r="H2208">
        <f>1-(1-Skills!J17/100)^Skills!K17</f>
        <v/>
      </c>
      <c r="I2208" t="inlineStr">
        <is>
          <t>1</t>
        </is>
      </c>
      <c r="J2208" t="inlineStr"/>
      <c r="K2208" t="inlineStr"/>
      <c r="L2208" t="inlineStr"/>
      <c r="M2208" t="inlineStr"/>
      <c r="N2208" t="inlineStr"/>
      <c r="O2208">
        <f>(1-Summary!$B$11)*T2208+Summary!$B$11*V2208</f>
        <v/>
      </c>
      <c r="P2208">
        <f>IF(B2228=0,0,O2208/B2228)</f>
        <v/>
      </c>
      <c r="Q2208">
        <f>IFERROR(1/(IF(Inputs!$B$38="pvp",15,MAX(0.1,Skills!D17-IF(Skills!E17=TRUE,Inputs!$B$32,0)))*(1-IF(AND(ArtifactsInput!$M$27,Inputs!$B$4="Chapter Hunt"),CHOOSE(ArtifactsInput!$N$27+1,20,24,28,32,36,40),0)/100)),0)</f>
        <v/>
      </c>
      <c r="R2208">
        <f>IF(AND(Inputs!$B$38&lt;&gt;"pvp",Inputs!$B$43&gt;0),IF(Inputs!$B$43&lt;=0,0,(INT(Inputs!$B$43/(IF(Inputs!$B$38="pvp",15,MAX(0.1,Skills!D17-IF(Skills!E17=TRUE,Inputs!$B$32,0)))*(1-IF(AND(ArtifactsInput!$M$27,Inputs!$B$4="Chapter Hunt"),CHOOSE(ArtifactsInput!$N$27+1,20,24,28,32,36,40),0)/100)))+1)),0)</f>
        <v/>
      </c>
      <c r="S2208">
        <f>IFERROR(O2208/N2208,0)</f>
        <v/>
      </c>
      <c r="T2208" t="n">
        <v>0</v>
      </c>
      <c r="V2208" t="n">
        <v>0</v>
      </c>
    </row>
    <row r="2209">
      <c r="A2209">
        <f>Skills!A18</f>
        <v/>
      </c>
      <c r="B2209">
        <f>Skills!B18</f>
        <v/>
      </c>
      <c r="C2209">
        <f>Inputs!$B$3&gt;=74</f>
        <v/>
      </c>
      <c r="D2209">
        <f>IF(Skills!C18=1,60+Inputs!$B$25+Inputs!$B$29,IF(Skills!C18=2,90+Inputs!$B$26+Inputs!$B$29,IF(Skills!C18=3,120+Inputs!$B$27+Inputs!$B$29,MAX(0,(Inputs!$B$3-100)*3)+Inputs!$B$28+Inputs!$B$29)))</f>
        <v/>
      </c>
      <c r="E2209">
        <f>INDEX(FactorTable!$B$2:$Y$301, MATCH(ROUND(MIN(300,MAX(1,D2209)),0), FactorTable!$A$2:$A$301,0), Skills!M18+1)</f>
        <v/>
      </c>
      <c r="F2209">
        <f>IF(Skills!N18=TRUE,(Skills!L18/10)*(E2209/1000),Skills!L18/10)+Skills!O18</f>
        <v/>
      </c>
      <c r="G2209">
        <f>Skills!G18*IF(Skills!H18&gt;0,Skills!I18/Skills!H18,1)</f>
        <v/>
      </c>
      <c r="H2209">
        <f>1-(1-Skills!J18/100)^Skills!K18</f>
        <v/>
      </c>
      <c r="I2209" t="inlineStr">
        <is>
          <t>1</t>
        </is>
      </c>
      <c r="J2209" t="inlineStr"/>
      <c r="K2209" t="inlineStr"/>
      <c r="L2209" t="inlineStr"/>
      <c r="M2209" t="inlineStr"/>
      <c r="N2209" t="inlineStr"/>
      <c r="O2209">
        <f>(1-Summary!$B$11)*T2209+Summary!$B$11*V2209</f>
        <v/>
      </c>
      <c r="P2209">
        <f>IF(B2228=0,0,O2209/B2228)</f>
        <v/>
      </c>
      <c r="Q2209">
        <f>IFERROR(1/(IF(Inputs!$B$38="pvp",15,MAX(0.1,Skills!D18-IF(Skills!E18=TRUE,Inputs!$B$32,0)))*(1-IF(AND(ArtifactsInput!$M$27,Inputs!$B$4="Chapter Hunt"),CHOOSE(ArtifactsInput!$N$27+1,20,24,28,32,36,40),0)/100)),0)</f>
        <v/>
      </c>
      <c r="R2209">
        <f>IF(AND(Inputs!$B$38&lt;&gt;"pvp",Inputs!$B$43&gt;0),IF(Inputs!$B$43&lt;=0,0,(INT(Inputs!$B$43/(IF(Inputs!$B$38="pvp",15,MAX(0.1,Skills!D18-IF(Skills!E18=TRUE,Inputs!$B$32,0)))*(1-IF(AND(ArtifactsInput!$M$27,Inputs!$B$4="Chapter Hunt"),CHOOSE(ArtifactsInput!$N$27+1,20,24,28,32,36,40),0)/100)))+1)),0)</f>
        <v/>
      </c>
      <c r="S2209">
        <f>IFERROR(O2209/N2209,0)</f>
        <v/>
      </c>
      <c r="T2209" t="n">
        <v>0</v>
      </c>
      <c r="V2209" t="n">
        <v>0</v>
      </c>
    </row>
    <row r="2210">
      <c r="A2210">
        <f>Skills!A19</f>
        <v/>
      </c>
      <c r="B2210">
        <f>Skills!B19</f>
        <v/>
      </c>
      <c r="C2210">
        <f>TRUE</f>
        <v/>
      </c>
      <c r="D2210">
        <f>IF(Skills!C19=1,60+Inputs!$B$25+Inputs!$B$29,IF(Skills!C19=2,90+Inputs!$B$26+Inputs!$B$29,IF(Skills!C19=3,120+Inputs!$B$27+Inputs!$B$29,MAX(0,(Inputs!$B$3-100)*3)+Inputs!$B$28+Inputs!$B$29)))</f>
        <v/>
      </c>
      <c r="E2210">
        <f>INDEX(FactorTable!$B$2:$Y$301, MATCH(ROUND(MIN(300,MAX(1,D2210)),0), FactorTable!$A$2:$A$301,0), Skills!M19+1)</f>
        <v/>
      </c>
      <c r="F2210">
        <f>IF(Skills!N19=TRUE,(Skills!L19/10)*(E2210/1000),Skills!L19/10)+Skills!O19</f>
        <v/>
      </c>
      <c r="G2210">
        <f>Skills!G19*IF(Skills!H19&gt;0,Skills!I19/Skills!H19,1)</f>
        <v/>
      </c>
      <c r="H2210">
        <f>1-(1-Skills!J19/100)^Skills!K19</f>
        <v/>
      </c>
      <c r="I2210" t="inlineStr">
        <is>
          <t>1</t>
        </is>
      </c>
      <c r="J2210" t="inlineStr"/>
      <c r="K2210" t="inlineStr"/>
      <c r="L2210" t="inlineStr"/>
      <c r="M2210" t="inlineStr"/>
      <c r="N2210" t="inlineStr"/>
      <c r="O2210">
        <f>(1-Summary!$B$11)*T2210+Summary!$B$11*V2210</f>
        <v/>
      </c>
      <c r="P2210">
        <f>IF(B2228=0,0,O2210/B2228)</f>
        <v/>
      </c>
      <c r="Q2210">
        <f>IFERROR(1/(IF(Inputs!$B$38="pvp",15,MAX(0.1,Skills!D19-IF(Skills!E19=TRUE,Inputs!$B$32,0)))*(1-IF(AND(ArtifactsInput!$M$27,Inputs!$B$4="Chapter Hunt"),CHOOSE(ArtifactsInput!$N$27+1,20,24,28,32,36,40),0)/100)),0)</f>
        <v/>
      </c>
      <c r="R2210">
        <f>IF(AND(Inputs!$B$38&lt;&gt;"pvp",Inputs!$B$43&gt;0),IF(Inputs!$B$43&lt;=0,0,(INT(Inputs!$B$43/(IF(Inputs!$B$38="pvp",15,MAX(0.1,Skills!D19-IF(Skills!E19=TRUE,Inputs!$B$32,0)))*(1-IF(AND(ArtifactsInput!$M$27,Inputs!$B$4="Chapter Hunt"),CHOOSE(ArtifactsInput!$N$27+1,20,24,28,32,36,40),0)/100)))+1)),0)</f>
        <v/>
      </c>
      <c r="S2210">
        <f>IFERROR(O2210/N2210,0)</f>
        <v/>
      </c>
      <c r="T2210" t="n">
        <v>0</v>
      </c>
      <c r="V2210" t="n">
        <v>0</v>
      </c>
    </row>
    <row r="2211">
      <c r="A2211">
        <f>Skills!A20</f>
        <v/>
      </c>
      <c r="B2211">
        <f>Skills!B20</f>
        <v/>
      </c>
      <c r="C2211">
        <f>Inputs!$B$3&gt;=33</f>
        <v/>
      </c>
      <c r="D2211">
        <f>IF(Skills!C20=1,60+Inputs!$B$25+Inputs!$B$29,IF(Skills!C20=2,90+Inputs!$B$26+Inputs!$B$29,IF(Skills!C20=3,120+Inputs!$B$27+Inputs!$B$29,MAX(0,(Inputs!$B$3-100)*3)+Inputs!$B$28+Inputs!$B$29)))</f>
        <v/>
      </c>
      <c r="E2211">
        <f>INDEX(FactorTable!$B$2:$Y$301, MATCH(ROUND(MIN(300,MAX(1,D2211)),0), FactorTable!$A$2:$A$301,0), Skills!M20+1)</f>
        <v/>
      </c>
      <c r="F2211">
        <f>IF(Skills!N20=TRUE,(Skills!L20/10)*(E2211/1000),Skills!L20/10)+Skills!O20</f>
        <v/>
      </c>
      <c r="G2211">
        <f>Skills!G20*IF(Skills!H20&gt;0,Skills!I20/Skills!H20,1)</f>
        <v/>
      </c>
      <c r="H2211">
        <f>1-(1-Skills!J20/100)^Skills!K20</f>
        <v/>
      </c>
      <c r="I2211" t="inlineStr">
        <is>
          <t>1</t>
        </is>
      </c>
      <c r="J2211" t="inlineStr"/>
      <c r="K2211" t="inlineStr"/>
      <c r="L2211" t="inlineStr"/>
      <c r="M2211" t="inlineStr"/>
      <c r="N2211" t="inlineStr"/>
      <c r="O2211">
        <f>(1-Summary!$B$11)*T2211+Summary!$B$11*V2211</f>
        <v/>
      </c>
      <c r="P2211">
        <f>IF(B2228=0,0,O2211/B2228)</f>
        <v/>
      </c>
      <c r="Q2211" t="n">
        <v>0</v>
      </c>
      <c r="R2211" t="n">
        <v>0</v>
      </c>
      <c r="S2211">
        <f>IFERROR(O2211/N2211,0)</f>
        <v/>
      </c>
      <c r="T2211" t="n">
        <v>0</v>
      </c>
      <c r="V2211" t="n">
        <v>0</v>
      </c>
    </row>
    <row r="2212">
      <c r="A2212">
        <f>Skills!A21</f>
        <v/>
      </c>
      <c r="B2212">
        <f>Skills!B21</f>
        <v/>
      </c>
      <c r="C2212">
        <f>Inputs!$B$3&gt;=38</f>
        <v/>
      </c>
      <c r="D2212">
        <f>IF(Skills!C21=1,60+Inputs!$B$25+Inputs!$B$29,IF(Skills!C21=2,90+Inputs!$B$26+Inputs!$B$29,IF(Skills!C21=3,120+Inputs!$B$27+Inputs!$B$29,MAX(0,(Inputs!$B$3-100)*3)+Inputs!$B$28+Inputs!$B$29)))</f>
        <v/>
      </c>
      <c r="E2212">
        <f>INDEX(FactorTable!$B$2:$Y$301, MATCH(ROUND(MIN(300,MAX(1,D2212)),0), FactorTable!$A$2:$A$301,0), Skills!M21+1)</f>
        <v/>
      </c>
      <c r="F2212">
        <f>IF(Skills!N21=TRUE,(Skills!L21/10)*(E2212/1000),Skills!L21/10)+Skills!O21</f>
        <v/>
      </c>
      <c r="G2212">
        <f>Skills!G21*IF(Skills!H21&gt;0,Skills!I21/Skills!H21,1)</f>
        <v/>
      </c>
      <c r="H2212">
        <f>1-(1-Skills!J21/100)^Skills!K21</f>
        <v/>
      </c>
      <c r="I2212" t="inlineStr">
        <is>
          <t>1</t>
        </is>
      </c>
      <c r="J2212" t="inlineStr"/>
      <c r="K2212" t="inlineStr"/>
      <c r="L2212" t="inlineStr"/>
      <c r="M2212" t="inlineStr"/>
      <c r="N2212" t="inlineStr"/>
      <c r="O2212">
        <f>(1-Summary!$B$11)*T2212+Summary!$B$11*V2212</f>
        <v/>
      </c>
      <c r="P2212">
        <f>IF(B2228=0,0,O2212/B2228)</f>
        <v/>
      </c>
      <c r="Q2212" t="n">
        <v>0</v>
      </c>
      <c r="R2212" t="n">
        <v>0</v>
      </c>
      <c r="S2212">
        <f>IFERROR(O2212/N2212,0)</f>
        <v/>
      </c>
      <c r="T2212" t="n">
        <v>0</v>
      </c>
      <c r="V2212" t="n">
        <v>0</v>
      </c>
    </row>
    <row r="2213">
      <c r="A2213">
        <f>Skills!A22</f>
        <v/>
      </c>
      <c r="B2213">
        <f>Skills!B22</f>
        <v/>
      </c>
      <c r="C2213">
        <f>Inputs!$B$3&gt;=43</f>
        <v/>
      </c>
      <c r="D2213">
        <f>IF(Skills!C22=1,60+Inputs!$B$25+Inputs!$B$29,IF(Skills!C22=2,90+Inputs!$B$26+Inputs!$B$29,IF(Skills!C22=3,120+Inputs!$B$27+Inputs!$B$29,MAX(0,(Inputs!$B$3-100)*3)+Inputs!$B$28+Inputs!$B$29)))</f>
        <v/>
      </c>
      <c r="E2213">
        <f>INDEX(FactorTable!$B$2:$Y$301, MATCH(ROUND(MIN(300,MAX(1,D2213)),0), FactorTable!$A$2:$A$301,0), Skills!M22+1)</f>
        <v/>
      </c>
      <c r="F2213">
        <f>IF(Skills!N22=TRUE,(Skills!L22/10)*(E2213/1000),Skills!L22/10)+Skills!O22</f>
        <v/>
      </c>
      <c r="G2213">
        <f>Skills!G22*IF(Skills!H22&gt;0,Skills!I22/Skills!H22,1)</f>
        <v/>
      </c>
      <c r="H2213">
        <f>1-(1-Skills!J22/100)^Skills!K22</f>
        <v/>
      </c>
      <c r="I2213" t="inlineStr">
        <is>
          <t>1</t>
        </is>
      </c>
      <c r="J2213" t="inlineStr"/>
      <c r="K2213" t="inlineStr"/>
      <c r="L2213" t="inlineStr"/>
      <c r="M2213" t="inlineStr"/>
      <c r="N2213" t="inlineStr"/>
      <c r="O2213">
        <f>(1-Summary!$B$11)*T2213+Summary!$B$11*V2213</f>
        <v/>
      </c>
      <c r="P2213">
        <f>IF(B2228=0,0,O2213/B2228)</f>
        <v/>
      </c>
      <c r="Q2213" t="n">
        <v>0</v>
      </c>
      <c r="R2213" t="n">
        <v>0</v>
      </c>
      <c r="S2213">
        <f>IFERROR(O2213/N2213,0)</f>
        <v/>
      </c>
      <c r="T2213" t="n">
        <v>0</v>
      </c>
      <c r="V2213" t="n">
        <v>0</v>
      </c>
    </row>
    <row r="2214">
      <c r="A2214">
        <f>Skills!A23</f>
        <v/>
      </c>
      <c r="B2214">
        <f>Skills!B23</f>
        <v/>
      </c>
      <c r="C2214">
        <f>Inputs!$B$3&gt;=120</f>
        <v/>
      </c>
      <c r="D2214">
        <f>IF(Skills!C23=1,60+Inputs!$B$25+Inputs!$B$29,IF(Skills!C23=2,90+Inputs!$B$26+Inputs!$B$29,IF(Skills!C23=3,120+Inputs!$B$27+Inputs!$B$29,MAX(0,(Inputs!$B$3-100)*3)+Inputs!$B$28+Inputs!$B$29)))</f>
        <v/>
      </c>
      <c r="E2214">
        <f>INDEX(FactorTable!$B$2:$Y$301, MATCH(ROUND(MIN(300,MAX(1,D2214)),0), FactorTable!$A$2:$A$301,0), Skills!M23+1)</f>
        <v/>
      </c>
      <c r="F2214">
        <f>IF(Skills!N23=TRUE,(Skills!L23/10)*(E2214/1000),Skills!L23/10)+Skills!O23</f>
        <v/>
      </c>
      <c r="G2214">
        <f>Skills!G23*IF(Skills!H23&gt;0,Skills!I23/Skills!H23,1)</f>
        <v/>
      </c>
      <c r="H2214">
        <f>1-(1-Skills!J23/100)^Skills!K23</f>
        <v/>
      </c>
      <c r="I2214" t="inlineStr">
        <is>
          <t>1</t>
        </is>
      </c>
      <c r="J2214" t="inlineStr"/>
      <c r="K2214" t="inlineStr"/>
      <c r="L2214" t="inlineStr"/>
      <c r="M2214" t="inlineStr"/>
      <c r="N2214" t="inlineStr"/>
      <c r="O2214">
        <f>(1-Summary!$B$11)*T2214+Summary!$B$11*V2214</f>
        <v/>
      </c>
      <c r="P2214">
        <f>IF(B2228=0,0,O2214/B2228)</f>
        <v/>
      </c>
      <c r="Q2214" t="n">
        <v>0</v>
      </c>
      <c r="R2214" t="n">
        <v>0</v>
      </c>
      <c r="S2214">
        <f>IFERROR(O2214/N2214,0)</f>
        <v/>
      </c>
      <c r="T2214" t="n">
        <v>0</v>
      </c>
      <c r="V2214" t="n">
        <v>0</v>
      </c>
    </row>
    <row r="2215">
      <c r="A2215">
        <f>Skills!A24</f>
        <v/>
      </c>
      <c r="B2215">
        <f>Skills!B24</f>
        <v/>
      </c>
      <c r="C2215">
        <f>Inputs!$B$3&gt;=120</f>
        <v/>
      </c>
      <c r="D2215">
        <f>IF(Skills!C24=1,60+Inputs!$B$25+Inputs!$B$29,IF(Skills!C24=2,90+Inputs!$B$26+Inputs!$B$29,IF(Skills!C24=3,120+Inputs!$B$27+Inputs!$B$29,MAX(0,(Inputs!$B$3-100)*3)+Inputs!$B$28+Inputs!$B$29)))</f>
        <v/>
      </c>
      <c r="E2215">
        <f>INDEX(FactorTable!$B$2:$Y$301, MATCH(ROUND(MIN(300,MAX(1,D2215)),0), FactorTable!$A$2:$A$301,0), Skills!M24+1)</f>
        <v/>
      </c>
      <c r="F2215">
        <f>IF(Skills!N24=TRUE,(Skills!L24/10)*(E2215/1000),Skills!L24/10)+Skills!O24</f>
        <v/>
      </c>
      <c r="G2215">
        <f>Skills!G24*IF(Skills!H24&gt;0,Skills!I24/Skills!H24,1)</f>
        <v/>
      </c>
      <c r="H2215">
        <f>1-(1-Skills!J24/100)^Skills!K24</f>
        <v/>
      </c>
      <c r="I2215" t="inlineStr">
        <is>
          <t>1</t>
        </is>
      </c>
      <c r="J2215" t="inlineStr"/>
      <c r="K2215" t="inlineStr"/>
      <c r="L2215" t="inlineStr"/>
      <c r="M2215" t="inlineStr"/>
      <c r="N2215" t="inlineStr"/>
      <c r="O2215">
        <f>(1-Summary!$B$11)*T2215+Summary!$B$11*V2215</f>
        <v/>
      </c>
      <c r="P2215">
        <f>IF(B2228=0,0,O2215/B2228)</f>
        <v/>
      </c>
      <c r="Q2215" t="n">
        <v>0</v>
      </c>
      <c r="R2215" t="n">
        <v>0</v>
      </c>
      <c r="S2215">
        <f>IFERROR(O2215/N2215,0)</f>
        <v/>
      </c>
      <c r="T2215" t="n">
        <v>0</v>
      </c>
      <c r="V2215" t="n">
        <v>0</v>
      </c>
    </row>
    <row r="2217">
      <c r="A2217" t="inlineStr">
        <is>
          <t>Attack% Bucket Multiplier</t>
        </is>
      </c>
      <c r="B2217">
        <f>(1+(((C2204=TRUE)*F2204*MIN(1,Skills!T13*(Skills!J13/100)*B2222))+((C2209=TRUE)*F2209*IF(AND(Inputs!$B$38&lt;&gt;"pvp",Inputs!$B$43&gt;0),(((R2209-1)*(Skills!T18*(1+Inputs!$B$34/100))+MIN((Skills!T18*(1+Inputs!$B$34/100)),MAX(0,Inputs!$B$43-((R2209-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218">
      <c r="A2218" t="inlineStr">
        <is>
          <t>Global Crit Rate Bonus %</t>
        </is>
      </c>
      <c r="B2218" t="n">
        <v>0</v>
      </c>
    </row>
    <row r="2219">
      <c r="A2219" t="inlineStr">
        <is>
          <t>Attack Speed Buff Bonus %</t>
        </is>
      </c>
      <c r="B2219">
        <f>((C2210=TRUE)*F2210*IF(AND(Inputs!$B$38&lt;&gt;"pvp",Inputs!$B$43&gt;0),(((R2210-1)*(Skills!T19*(1+Inputs!$B$34/100))+MIN((Skills!T19*(1+Inputs!$B$34/100)),MAX(0,Inputs!$B$43-((R2210-1)*Skills!D19))))/Inputs!$B$43),IF(Inputs!$B$38="pvp",MIN((Skills!T19*(1+Inputs!$B$34/100)),15)/15,(Skills!T19*(1+Inputs!$B$34/100))/Skills!D19)))</f>
        <v/>
      </c>
    </row>
    <row r="2220">
      <c r="A2220" t="inlineStr">
        <is>
          <t>Actions Per Second</t>
        </is>
      </c>
      <c r="B2220">
        <f>1+MIN(150,150*(1-(1-(Inputs!$B$11+((C2211=TRUE)*(F2211-Calc!F20)))/150)*(1-B2219/150)))/100</f>
        <v/>
      </c>
    </row>
    <row r="2221">
      <c r="A2221" t="inlineStr">
        <is>
          <t>Skill + Buff Cast Rate</t>
        </is>
      </c>
      <c r="B2221">
        <f>IF(AND(Inputs!$B$38&lt;&gt;"pvp",Inputs!$B$43&gt;0),SUMPRODUCT((Skills!E2:E24=TRUE)*(C2193:C2215=TRUE)*R2193:R2215*Skills!F2:F24)/Inputs!$B$43,SUMPRODUCT((Skills!E2:E24=TRUE)*(C2193:C2215=TRUE)*Q2193:Q2215*Skills!F2:F24))</f>
        <v/>
      </c>
    </row>
    <row r="2222">
      <c r="A2222" t="inlineStr">
        <is>
          <t>Blast Casts Per Second</t>
        </is>
      </c>
      <c r="B2222">
        <f>MAX(0,B2220-B2221)</f>
        <v/>
      </c>
    </row>
    <row r="2223">
      <c r="A2223" t="inlineStr">
        <is>
          <t>Global Critical Damage Bonus % (unused)</t>
        </is>
      </c>
      <c r="B2223" t="n">
        <v>0</v>
      </c>
    </row>
    <row r="2224">
      <c r="A2224" t="inlineStr">
        <is>
          <t>Global Final Damage Bonus % (Divine Shield + Guardian + Divine Blessing + Greater Vessel of Light)</t>
        </is>
      </c>
      <c r="B2224">
        <f>((C2206=TRUE)*F2206*IF(AND(Inputs!$B$38&lt;&gt;"pvp",Inputs!$B$43&gt;0),(((R2206-1)*(Skills!T15*(1+Inputs!$B$34/100))+MIN((Skills!T15*(1+Inputs!$B$34/100)),MAX(0,Inputs!$B$43-((R2206-1)*Skills!D15))))/Inputs!$B$43),IF(Inputs!$B$38="pvp",MIN((Skills!T15*(1+Inputs!$B$34/100)),15)/15,(Skills!T15*(1+Inputs!$B$34/100))/Skills!D15)))+((C2207=TRUE)*F2207*IF(AND(Inputs!$B$38&lt;&gt;"pvp",Inputs!$B$43&gt;0),(((R2207-1)*(Skills!T16*(1+Inputs!$B$34/100))+MIN((Skills!T16*(1+Inputs!$B$34/100)),MAX(0,Inputs!$B$43-((R2207-1)*Skills!D16))))/Inputs!$B$43),IF(Inputs!$B$38="pvp",MIN((Skills!T16*(1+Inputs!$B$34/100)),15)/15,(Skills!T16*(1+Inputs!$B$34/100))/Skills!D16)))+((C2208=TRUE)*F2208*IF(AND(Inputs!$B$38&lt;&gt;"pvp",Inputs!$B$43&gt;0),(((R2208-1)*(Skills!T17*(1+Inputs!$B$34/100))+MIN((Skills!T17*(1+Inputs!$B$34/100)),MAX(0,Inputs!$B$43-((R2208-1)*Skills!D17))))/Inputs!$B$43),IF(Inputs!$B$38="pvp",MIN((Skills!T17*(1+Inputs!$B$34/100)),15)/15,(Skills!T17*(1+Inputs!$B$34/100))/Skills!D17)))+((C2205=TRUE)*F2205*MIN(1,Skills!T13*(Skills!J13/100)*B2222))</f>
        <v/>
      </c>
    </row>
    <row r="2225">
      <c r="A2225" t="inlineStr">
        <is>
          <t>Buff-Casting Startup Delay (s, fixed-duration only)</t>
        </is>
      </c>
      <c r="B2225">
        <f>IF(AND(Inputs!$B$38&lt;&gt;"pvp",Inputs!$B$43&gt;0),SUMPRODUCT((Skills!T2:T24&gt;0)*(Skills!E2:E24=TRUE)*(C2193:C2215=TRUE))/B2220,0)</f>
        <v/>
      </c>
    </row>
    <row r="2226">
      <c r="A2226" t="inlineStr">
        <is>
          <t>Boss-Only Total DPS (this block's swept value)</t>
        </is>
      </c>
      <c r="B2226">
        <f>SUM(T2193:T2215)</f>
        <v/>
      </c>
    </row>
    <row r="2227">
      <c r="A2227" t="inlineStr">
        <is>
          <t>Normal-Only Total DPS (this block's swept value)</t>
        </is>
      </c>
      <c r="B2227">
        <f>SUM(V2193:V2215)</f>
        <v/>
      </c>
    </row>
    <row r="2228">
      <c r="A2228" s="6" t="inlineStr">
        <is>
          <t>TOTAL DPS</t>
        </is>
      </c>
      <c r="B2228" s="6">
        <f>SUM(O2193:O2215)</f>
        <v/>
      </c>
    </row>
    <row r="2231">
      <c r="A2231" s="6" t="inlineStr">
        <is>
          <t>Stat: Peach Tree Herb Pouch (Equip)</t>
        </is>
      </c>
    </row>
    <row r="2232">
      <c r="A2232" s="5" t="inlineStr">
        <is>
          <t>Key</t>
        </is>
      </c>
      <c r="B2232" s="5" t="inlineStr">
        <is>
          <t>Name</t>
        </is>
      </c>
      <c r="C2232" s="5" t="inlineStr">
        <is>
          <t>Unlocked</t>
        </is>
      </c>
      <c r="D2232" s="5" t="inlineStr">
        <is>
          <t>InputLevel</t>
        </is>
      </c>
      <c r="E2232" s="5" t="inlineStr">
        <is>
          <t>Factor</t>
        </is>
      </c>
      <c r="F2232" s="5" t="inlineStr">
        <is>
          <t>CoefficientPercent</t>
        </is>
      </c>
      <c r="G2232" s="5" t="inlineStr">
        <is>
          <t>EffectiveHits</t>
        </is>
      </c>
      <c r="H2232" s="5" t="inlineStr">
        <is>
          <t>ProcProbability</t>
        </is>
      </c>
      <c r="I2232" s="5" t="inlineStr">
        <is>
          <t>MapleHeroMultiplier</t>
        </is>
      </c>
      <c r="J2232" s="5" t="inlineStr">
        <is>
          <t>BaseDamage</t>
        </is>
      </c>
      <c r="K2232" s="5" t="inlineStr">
        <is>
          <t>BaseHitDamage</t>
        </is>
      </c>
      <c r="L2232" s="5" t="inlineStr">
        <is>
          <t>NonCritAvg</t>
        </is>
      </c>
      <c r="M2232" s="5" t="inlineStr">
        <is>
          <t>CritAvg</t>
        </is>
      </c>
      <c r="N2232" s="5" t="inlineStr">
        <is>
          <t>ExpectedDamage(perHit)</t>
        </is>
      </c>
      <c r="O2232" s="5" t="inlineStr">
        <is>
          <t>DPS</t>
        </is>
      </c>
      <c r="P2232" s="5" t="inlineStr">
        <is>
          <t>% of Total</t>
        </is>
      </c>
      <c r="Q2232" s="5" t="inlineStr">
        <is>
          <t>InvCooldown</t>
        </is>
      </c>
      <c r="R2232" s="5" t="inlineStr">
        <is>
          <t>CastsInFight</t>
        </is>
      </c>
      <c r="S2232" s="5" t="inlineStr">
        <is>
          <t>HitRate(perSec)</t>
        </is>
      </c>
      <c r="U2232" t="inlineStr">
        <is>
          <t>helpers</t>
        </is>
      </c>
    </row>
    <row r="2233">
      <c r="A2233">
        <f>Skills!A2</f>
        <v/>
      </c>
      <c r="B2233">
        <f>Skills!B2</f>
        <v/>
      </c>
      <c r="C2233">
        <f>Inputs!$B$3&gt;=100</f>
        <v/>
      </c>
      <c r="D2233" t="inlineStr"/>
      <c r="E2233" t="inlineStr"/>
      <c r="F2233">
        <f>U2235+Skills!O2</f>
        <v/>
      </c>
      <c r="G2233">
        <f>Skills!G2*IF(Skills!H2&gt;0,Skills!I2/Skills!H2,1)</f>
        <v/>
      </c>
      <c r="H2233">
        <f>1-(1-Skills!J2/100)^Skills!K2</f>
        <v/>
      </c>
      <c r="I2233" t="inlineStr">
        <is>
          <t>1</t>
        </is>
      </c>
      <c r="J2233">
        <f>((Inputs!$B$6*(1+Inputs!$B$7/100))+(((Inputs!$B$12*(1+Inputs!$B$13/100))-(Inputs!$B$12*(1+Inputs!$B$13/100)))+0.25*(Inputs!$B$14-Inputs!$B$14))*(1+Inputs!$B$7/100))*(F2233/100)</f>
        <v/>
      </c>
      <c r="K2233">
        <f>J2233*(1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2233)</f>
        <v/>
      </c>
      <c r="L2233">
        <f>K2233*(MIN(Inputs!$B$22+((C2253=TRUE)*(F2253-Calc!F22)),(Inputs!$B$23+((C2255=TRUE)*(F2255-Calc!F24))+(IF(ArtifactsInput!$M$15,CHOOSE(ArtifactsInput!$N$15+1,25,30,35,40,45,50)/100*(Inputs!$B$11-Inputs!$B$11),0))))/100+(Inputs!$B$23+((C2255=TRUE)*(F2255-Calc!F24))+(IF(ArtifactsInput!$M$15,CHOOSE(ArtifactsInput!$N$15+1,25,30,35,40,45,50)/100*(Inputs!$B$11-Inputs!$B$11),0)))/100)/2</f>
        <v/>
      </c>
      <c r="M2233">
        <f>L2233*(1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3">
        <f>L2233*(1-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2233*(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3">
        <f>(1-Summary!$B$11)*T2233+Summary!$B$11*V2233</f>
        <v/>
      </c>
      <c r="P2233">
        <f>IF(B2268=0,0,O2233/B2268)</f>
        <v/>
      </c>
      <c r="Q2233" t="n">
        <v>0</v>
      </c>
      <c r="R2233" t="n">
        <v>0</v>
      </c>
      <c r="S2233">
        <f>IFERROR(O2233/N2233,0)</f>
        <v/>
      </c>
      <c r="T2233">
        <f>IF(C2233,(Skills!G2*N2233*B2262)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2233*(1-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2233*(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2233*(1-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2233*(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3">
        <f>MAX(0,(Inputs!$B$3-100)*3)+Inputs!$B$28+Inputs!$B$29</f>
        <v/>
      </c>
      <c r="V2233">
        <f>IF(C2233,(Skills!G2*N2233*B2262)*IF(Inputs!$B$38="pvp",1,(1+(Inputs!$B$21+Skills!Q2+(IF(ArtifactsInput!$M$33,CHOOSE(ArtifactsInput!$N$33+1,30,36,42,48,54,60),0))+(IF(AND(IF(ArtifactsInput!$M$35,FALSE,TRUE),Inputs!$B$4&lt;&gt;"Chapter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4">
      <c r="A2234">
        <f>Skills!A3</f>
        <v/>
      </c>
      <c r="B2234">
        <f>Skills!B3</f>
        <v/>
      </c>
      <c r="C2234">
        <f>Inputs!$B$3&gt;=50</f>
        <v/>
      </c>
      <c r="D2234">
        <f>IF(Skills!C3=1,60+Inputs!$B$25+Inputs!$B$29,IF(Skills!C3=2,90+Inputs!$B$26+Inputs!$B$29,IF(Skills!C3=3,120+Inputs!$B$27+Inputs!$B$29,MAX(0,(Inputs!$B$3-100)*3)+Inputs!$B$28+Inputs!$B$29)))</f>
        <v/>
      </c>
      <c r="E2234">
        <f>INDEX(FactorTable!$B$2:$Y$301, MATCH(ROUND(MIN(300,MAX(1,D2234)),0), FactorTable!$A$2:$A$301,0), Skills!M3+1)</f>
        <v/>
      </c>
      <c r="F2234">
        <f>IF(Skills!N3=TRUE,(Skills!L3/10)*(E2234/1000),Skills!L3/10)+Skills!O3</f>
        <v/>
      </c>
      <c r="G2234" t="inlineStr"/>
      <c r="H2234" t="inlineStr"/>
      <c r="I2234" t="inlineStr">
        <is>
          <t>1</t>
        </is>
      </c>
      <c r="J2234" t="inlineStr"/>
      <c r="K2234" t="inlineStr"/>
      <c r="L2234" t="inlineStr"/>
      <c r="M2234" t="inlineStr"/>
      <c r="N2234" t="inlineStr"/>
      <c r="O2234" t="inlineStr"/>
      <c r="P2234" t="inlineStr"/>
      <c r="Q2234" t="inlineStr"/>
      <c r="R2234" t="inlineStr"/>
      <c r="S2234" t="inlineStr"/>
      <c r="U2234">
        <f>INDEX(FactorTable!$B$2:$Y$301, MATCH(ROUND(MIN(300,MAX(1,U2233)),0), FactorTable!$A$2:$A$301,0), 22)</f>
        <v/>
      </c>
    </row>
    <row r="2235">
      <c r="A2235">
        <f>Skills!A4</f>
        <v/>
      </c>
      <c r="B2235">
        <f>Skills!B4</f>
        <v/>
      </c>
      <c r="C2235">
        <f>Inputs!$B$3&gt;=35</f>
        <v/>
      </c>
      <c r="D2235">
        <f>IF(Skills!C4=1,60+Inputs!$B$25+Inputs!$B$29,IF(Skills!C4=2,90+Inputs!$B$26+Inputs!$B$29,IF(Skills!C4=3,120+Inputs!$B$27+Inputs!$B$29,MAX(0,(Inputs!$B$3-100)*3)+Inputs!$B$28+Inputs!$B$29)))</f>
        <v/>
      </c>
      <c r="E2235">
        <f>INDEX(FactorTable!$B$2:$Y$301, MATCH(ROUND(MIN(300,MAX(1,D2235)),0), FactorTable!$A$2:$A$301,0), Skills!M4+1)</f>
        <v/>
      </c>
      <c r="F2235">
        <f>IF(Skills!N4=TRUE,(Skills!L4/10)*(E2235/1000),Skills!L4/10)+Skills!O4</f>
        <v/>
      </c>
      <c r="G2235">
        <f>Skills!G4*IF(Skills!H4&gt;0,Skills!I4/Skills!H4,1)</f>
        <v/>
      </c>
      <c r="H2235">
        <f>1-(1-Skills!J4/100)^Skills!K4</f>
        <v/>
      </c>
      <c r="I2235" t="inlineStr">
        <is>
          <t>1</t>
        </is>
      </c>
      <c r="J2235">
        <f>((Inputs!$B$6*(1+Inputs!$B$7/100))+(((Inputs!$B$12*(1+Inputs!$B$13/100))-(Inputs!$B$12*(1+Inputs!$B$13/100)))+0.25*(Inputs!$B$14-Inputs!$B$14))*(1+Inputs!$B$7/100))*(F2235/100)</f>
        <v/>
      </c>
      <c r="K2235">
        <f>J2235*(1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2243=TRUE,F2243,0)/100)*(1+(IF(Skills!A4="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2235)</f>
        <v/>
      </c>
      <c r="L2235">
        <f>K2235*(MIN(Inputs!$B$22+((C2253=TRUE)*(F2253-Calc!F22)),(Inputs!$B$23+((C2255=TRUE)*(F2255-Calc!F24))+(IF(ArtifactsInput!$M$15,CHOOSE(ArtifactsInput!$N$15+1,25,30,35,40,45,50)/100*(Inputs!$B$11-Inputs!$B$11),0))))/100+(Inputs!$B$23+((C2255=TRUE)*(F2255-Calc!F24))+(IF(ArtifactsInput!$M$15,CHOOSE(ArtifactsInput!$N$15+1,25,30,35,40,45,50)/100*(Inputs!$B$11-Inputs!$B$11),0)))/100)/2</f>
        <v/>
      </c>
      <c r="M2235">
        <f>L2235*(1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5">
        <f>L2235*(1-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2235*(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5">
        <f>(1-Summary!$B$11)*T2235+Summary!$B$11*V2235</f>
        <v/>
      </c>
      <c r="P2235">
        <f>IF(B2268=0,0,O2235/B2268)</f>
        <v/>
      </c>
      <c r="Q2235">
        <f>IFERROR(1/(IF(Inputs!$B$38="pvp",15,MAX(0.1,Skills!D4-IF(Skills!E4=TRUE,Inputs!$B$32,0)))*(1-IF(AND(ArtifactsInput!$M$27,Inputs!$B$4="Chapter Hunt"),CHOOSE(ArtifactsInput!$N$27+1,20,24,28,32,36,40),0)/100)),0)</f>
        <v/>
      </c>
      <c r="R2235">
        <f>IF(AND(Inputs!$B$38&lt;&gt;"pvp",Inputs!$B$43&gt;0),IF(MAX(0,Inputs!$B$43-B2265)&lt;=0,0,(INT(MAX(0,Inputs!$B$43-B2265)/(IF(Inputs!$B$38="pvp",15,MAX(0.1,Skills!D4-IF(Skills!E4=TRUE,Inputs!$B$32,0)))*(1-IF(AND(ArtifactsInput!$M$27,Inputs!$B$4="Chapter Hunt"),CHOOSE(ArtifactsInput!$N$27+1,20,24,28,32,36,40),0)/100)))+1)),0)</f>
        <v/>
      </c>
      <c r="S2235">
        <f>IFERROR(O2235/N2235,0)</f>
        <v/>
      </c>
      <c r="T2235">
        <f>IF(C2235,(H2235*N2235*IF(AND(Inputs!$B$38&lt;&gt;"pvp",Inputs!$B$43&gt;0),((Skills!G4*((R2235-1)*IF(Skills!H4&gt;0,Skills!I4/Skills!H4,1)+IF(Skills!H4&gt;0,MIN(Skills!I4,MAX(0,MAX(0,Inputs!$B$43-B2265)-((R2235-1)*(IF(Inputs!$B$38="pvp",15,MAX(0.1,Skills!D4-IF(Skills!E4=TRUE,Inputs!$B$32,0)))*(1-IF(AND(ArtifactsInput!$M$27,Inputs!$B$4="Chapter Hunt"),CHOOSE(ArtifactsInput!$N$27+1,20,24,28,32,36,40),0)/100)))))/Skills!H4,1)))/Inputs!$B$43),G2235*Q2235)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2235*(1-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2235*(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2235*(1-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2235*(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5">
        <f>290*U2234/1000</f>
        <v/>
      </c>
      <c r="V2235">
        <f>IF(C2235,(H2235*N2235*IF(AND(Inputs!$B$38&lt;&gt;"pvp",Inputs!$B$43&gt;0),((Skills!G4*((R2235-1)*IF(Skills!H4&gt;0,Skills!I4/Skills!H4,1)+IF(Skills!H4&gt;0,MIN(Skills!I4,MAX(0,MAX(0,Inputs!$B$43-B2265)-((R2235-1)*(IF(Inputs!$B$38="pvp",15,MAX(0.1,Skills!D4-IF(Skills!E4=TRUE,Inputs!$B$32,0)))*(1-IF(AND(ArtifactsInput!$M$27,Inputs!$B$4="Chapter Hunt"),CHOOSE(ArtifactsInput!$N$27+1,20,24,28,32,36,40),0)/100)))))/Skills!H4,1)))/Inputs!$B$43),G2235*Q2235))*IF(Inputs!$B$38="pvp",1,(1+(Inputs!$B$21+Skills!Q4+(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6">
      <c r="A2236">
        <f>Skills!A5</f>
        <v/>
      </c>
      <c r="B2236">
        <f>Skills!B5</f>
        <v/>
      </c>
      <c r="C2236">
        <f>Inputs!$B$3&gt;=66</f>
        <v/>
      </c>
      <c r="D2236">
        <f>IF(Skills!C5=1,60+Inputs!$B$25+Inputs!$B$29,IF(Skills!C5=2,90+Inputs!$B$26+Inputs!$B$29,IF(Skills!C5=3,120+Inputs!$B$27+Inputs!$B$29,MAX(0,(Inputs!$B$3-100)*3)+Inputs!$B$28+Inputs!$B$29)))</f>
        <v/>
      </c>
      <c r="E2236">
        <f>INDEX(FactorTable!$B$2:$Y$301, MATCH(ROUND(MIN(300,MAX(1,D2236)),0), FactorTable!$A$2:$A$301,0), Skills!M5+1)</f>
        <v/>
      </c>
      <c r="F2236">
        <f>IF(Skills!N5=TRUE,(Skills!L5/10)*(E2236/1000),Skills!L5/10)+Skills!O5</f>
        <v/>
      </c>
      <c r="G2236">
        <f>Skills!G5*IF(Skills!H5&gt;0,Skills!I5/Skills!H5,1)</f>
        <v/>
      </c>
      <c r="H2236">
        <f>1-(1-Skills!J5/100)^Skills!K5</f>
        <v/>
      </c>
      <c r="I2236" t="inlineStr">
        <is>
          <t>1</t>
        </is>
      </c>
      <c r="J2236">
        <f>((Inputs!$B$6*(1+Inputs!$B$7/100))+(((Inputs!$B$12*(1+Inputs!$B$13/100))-(Inputs!$B$12*(1+Inputs!$B$13/100)))+0.25*(Inputs!$B$14-Inputs!$B$14))*(1+Inputs!$B$7/100))*(F2236/100)</f>
        <v/>
      </c>
      <c r="K2236">
        <f>J2236*(1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2243=TRUE,F2243,0)/100)*(1+(IF(Skills!A5="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2236)</f>
        <v/>
      </c>
      <c r="L2236">
        <f>K2236*(MIN(Inputs!$B$22+((C2253=TRUE)*(F2253-Calc!F22)),(Inputs!$B$23+((C2255=TRUE)*(F2255-Calc!F24))+(IF(ArtifactsInput!$M$15,CHOOSE(ArtifactsInput!$N$15+1,25,30,35,40,45,50)/100*(Inputs!$B$11-Inputs!$B$11),0))))/100+(Inputs!$B$23+((C2255=TRUE)*(F2255-Calc!F24))+(IF(ArtifactsInput!$M$15,CHOOSE(ArtifactsInput!$N$15+1,25,30,35,40,45,50)/100*(Inputs!$B$11-Inputs!$B$11),0)))/100)/2</f>
        <v/>
      </c>
      <c r="M2236">
        <f>L2236*(1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6">
        <f>L2236*(1-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2236*(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6">
        <f>(1-Summary!$B$11)*T2236+Summary!$B$11*V2236</f>
        <v/>
      </c>
      <c r="P2236">
        <f>IF(B2268=0,0,O2236/B2268)</f>
        <v/>
      </c>
      <c r="Q2236">
        <f>IFERROR(1/(IF(Inputs!$B$38="pvp",15,MAX(0.1,Skills!D5-IF(Skills!E5=TRUE,Inputs!$B$32,0)))*(1-IF(AND(ArtifactsInput!$M$27,Inputs!$B$4="Chapter Hunt"),CHOOSE(ArtifactsInput!$N$27+1,20,24,28,32,36,40),0)/100)),0)</f>
        <v/>
      </c>
      <c r="R2236">
        <f>IF(AND(Inputs!$B$38&lt;&gt;"pvp",Inputs!$B$43&gt;0),IF(MAX(0,Inputs!$B$43-B2265)&lt;=0,0,(INT(MAX(0,Inputs!$B$43-B2265)/(IF(Inputs!$B$38="pvp",15,MAX(0.1,Skills!D5-IF(Skills!E5=TRUE,Inputs!$B$32,0)))*(1-IF(AND(ArtifactsInput!$M$27,Inputs!$B$4="Chapter Hunt"),CHOOSE(ArtifactsInput!$N$27+1,20,24,28,32,36,40),0)/100)))+1)),0)</f>
        <v/>
      </c>
      <c r="S2236">
        <f>IFERROR(O2236/N2236,0)</f>
        <v/>
      </c>
      <c r="T2236">
        <f>IF(C2236,(H2236*N2236*IF(AND(Inputs!$B$38&lt;&gt;"pvp",Inputs!$B$43&gt;0),((Skills!G5*((R2236-1)*IF(Skills!H5&gt;0,Skills!I5/Skills!H5,1)+IF(Skills!H5&gt;0,MIN(Skills!I5,MAX(0,MAX(0,Inputs!$B$43-B2265)-((R2236-1)*(IF(Inputs!$B$38="pvp",15,MAX(0.1,Skills!D5-IF(Skills!E5=TRUE,Inputs!$B$32,0)))*(1-IF(AND(ArtifactsInput!$M$27,Inputs!$B$4="Chapter Hunt"),CHOOSE(ArtifactsInput!$N$27+1,20,24,28,32,36,40),0)/100)))))/Skills!H5,1)))/Inputs!$B$43),G2236*Q2236)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2236*(1-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2236*(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2236*(1-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2236*(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6">
        <f>IF(C2236,(H2236*N2236*IF(AND(Inputs!$B$38&lt;&gt;"pvp",Inputs!$B$43&gt;0),((Skills!G5*((R2236-1)*IF(Skills!H5&gt;0,Skills!I5/Skills!H5,1)+IF(Skills!H5&gt;0,MIN(Skills!I5,MAX(0,MAX(0,Inputs!$B$43-B2265)-((R2236-1)*(IF(Inputs!$B$38="pvp",15,MAX(0.1,Skills!D5-IF(Skills!E5=TRUE,Inputs!$B$32,0)))*(1-IF(AND(ArtifactsInput!$M$27,Inputs!$B$4="Chapter Hunt"),CHOOSE(ArtifactsInput!$N$27+1,20,24,28,32,36,40),0)/100)))))/Skills!H5,1)))/Inputs!$B$43),G2236*Q2236))*IF(Inputs!$B$38="pvp",1,(1+(Inputs!$B$21+Skills!Q5+(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7">
      <c r="A2237">
        <f>Skills!A6</f>
        <v/>
      </c>
      <c r="B2237">
        <f>Skills!B6</f>
        <v/>
      </c>
      <c r="C2237">
        <f>Inputs!$B$3&gt;=103</f>
        <v/>
      </c>
      <c r="D2237">
        <f>IF(Skills!C6=1,60+Inputs!$B$25+Inputs!$B$29,IF(Skills!C6=2,90+Inputs!$B$26+Inputs!$B$29,IF(Skills!C6=3,120+Inputs!$B$27+Inputs!$B$29,MAX(0,(Inputs!$B$3-100)*3)+Inputs!$B$28+Inputs!$B$29)))</f>
        <v/>
      </c>
      <c r="E2237">
        <f>INDEX(FactorTable!$B$2:$Y$301, MATCH(ROUND(MIN(300,MAX(1,D2237)),0), FactorTable!$A$2:$A$301,0), Skills!M6+1)</f>
        <v/>
      </c>
      <c r="F2237">
        <f>IF(Skills!N6=TRUE,(Skills!L6/10)*(E2237/1000),Skills!L6/10)+Skills!O6</f>
        <v/>
      </c>
      <c r="G2237">
        <f>Skills!G6*IF(Skills!H6&gt;0,Skills!I6/Skills!H6,1)</f>
        <v/>
      </c>
      <c r="H2237">
        <f>1-(1-Skills!J6/100)^Skills!K6</f>
        <v/>
      </c>
      <c r="I2237" t="inlineStr">
        <is>
          <t>1</t>
        </is>
      </c>
      <c r="J2237">
        <f>((Inputs!$B$6*(1+Inputs!$B$7/100))+(((Inputs!$B$12*(1+Inputs!$B$13/100))-(Inputs!$B$12*(1+Inputs!$B$13/100)))+0.25*(Inputs!$B$14-Inputs!$B$14))*(1+Inputs!$B$7/100))*(F2237/100)</f>
        <v/>
      </c>
      <c r="K2237">
        <f>J2237*(1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2237)</f>
        <v/>
      </c>
      <c r="L2237">
        <f>K2237*(MIN(Inputs!$B$22+((C2253=TRUE)*(F2253-Calc!F22)),(Inputs!$B$23+((C2255=TRUE)*(F2255-Calc!F24))+(IF(ArtifactsInput!$M$15,CHOOSE(ArtifactsInput!$N$15+1,25,30,35,40,45,50)/100*(Inputs!$B$11-Inputs!$B$11),0))))/100+(Inputs!$B$23+((C2255=TRUE)*(F2255-Calc!F24))+(IF(ArtifactsInput!$M$15,CHOOSE(ArtifactsInput!$N$15+1,25,30,35,40,45,50)/100*(Inputs!$B$11-Inputs!$B$11),0)))/100)/2</f>
        <v/>
      </c>
      <c r="M2237">
        <f>L2237*(1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7">
        <f>L2237*(1-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2237*(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7">
        <f>(1-Summary!$B$11)*T2237+Summary!$B$11*V2237</f>
        <v/>
      </c>
      <c r="P2237">
        <f>IF(B2268=0,0,O2237/B2268)</f>
        <v/>
      </c>
      <c r="Q2237">
        <f>IFERROR(1/(IF(Inputs!$B$38="pvp",15,MAX(0.1,Skills!D6-IF(Skills!E6=TRUE,Inputs!$B$32,0)))*(1-IF(AND(ArtifactsInput!$M$27,Inputs!$B$4="Chapter Hunt"),CHOOSE(ArtifactsInput!$N$27+1,20,24,28,32,36,40),0)/100)),0)</f>
        <v/>
      </c>
      <c r="R2237">
        <f>IF(AND(Inputs!$B$38&lt;&gt;"pvp",Inputs!$B$43&gt;0),IF(MAX(0,Inputs!$B$43-B2265)&lt;=0,0,(INT(MAX(0,Inputs!$B$43-B2265)/(IF(Inputs!$B$38="pvp",15,MAX(0.1,Skills!D6-IF(Skills!E6=TRUE,Inputs!$B$32,0)))*(1-IF(AND(ArtifactsInput!$M$27,Inputs!$B$4="Chapter Hunt"),CHOOSE(ArtifactsInput!$N$27+1,20,24,28,32,36,40),0)/100)))+1)),0)</f>
        <v/>
      </c>
      <c r="S2237">
        <f>IFERROR(O2237/N2237,0)</f>
        <v/>
      </c>
      <c r="T2237">
        <f>IF(C2237,(H2237*N2237*IF(AND(Inputs!$B$38&lt;&gt;"pvp",Inputs!$B$43&gt;0),((Skills!G6*((R2237-1)*IF(Skills!H6&gt;0,Skills!I6/Skills!H6,1)+IF(Skills!H6&gt;0,MIN(Skills!I6,MAX(0,MAX(0,Inputs!$B$43-B2265)-((R2237-1)*(IF(Inputs!$B$38="pvp",15,MAX(0.1,Skills!D6-IF(Skills!E6=TRUE,Inputs!$B$32,0)))*(1-IF(AND(ArtifactsInput!$M$27,Inputs!$B$4="Chapter Hunt"),CHOOSE(ArtifactsInput!$N$27+1,20,24,28,32,36,40),0)/100)))))/Skills!H6,1)))/Inputs!$B$43),G2237*Q2237)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2237*(1-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2237*(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2237*(1-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2237*(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7">
        <f>IF(C2237,(H2237*N2237*IF(AND(Inputs!$B$38&lt;&gt;"pvp",Inputs!$B$43&gt;0),((Skills!G6*((R2237-1)*IF(Skills!H6&gt;0,Skills!I6/Skills!H6,1)+IF(Skills!H6&gt;0,MIN(Skills!I6,MAX(0,MAX(0,Inputs!$B$43-B2265)-((R2237-1)*(IF(Inputs!$B$38="pvp",15,MAX(0.1,Skills!D6-IF(Skills!E6=TRUE,Inputs!$B$32,0)))*(1-IF(AND(ArtifactsInput!$M$27,Inputs!$B$4="Chapter Hunt"),CHOOSE(ArtifactsInput!$N$27+1,20,24,28,32,36,40),0)/100)))))/Skills!H6,1)))/Inputs!$B$43),G2237*Q2237))*IF(Inputs!$B$38="pvp",1,(1+(Inputs!$B$21+Skills!Q6+(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8">
      <c r="A2238">
        <f>Skills!A7</f>
        <v/>
      </c>
      <c r="B2238">
        <f>Skills!B7</f>
        <v/>
      </c>
      <c r="C2238">
        <f>Inputs!$B$3&gt;=107</f>
        <v/>
      </c>
      <c r="D2238">
        <f>IF(Skills!C7=1,60+Inputs!$B$25+Inputs!$B$29,IF(Skills!C7=2,90+Inputs!$B$26+Inputs!$B$29,IF(Skills!C7=3,120+Inputs!$B$27+Inputs!$B$29,MAX(0,(Inputs!$B$3-100)*3)+Inputs!$B$28+Inputs!$B$29)))</f>
        <v/>
      </c>
      <c r="E2238">
        <f>INDEX(FactorTable!$B$2:$Y$301, MATCH(ROUND(MIN(300,MAX(1,D2238)),0), FactorTable!$A$2:$A$301,0), Skills!M7+1)</f>
        <v/>
      </c>
      <c r="F2238">
        <f>IF(Skills!N7=TRUE,(Skills!L7/10)*(E2238/1000),Skills!L7/10)+Skills!O7</f>
        <v/>
      </c>
      <c r="G2238">
        <f>Skills!G7*IF(Skills!H7&gt;0,Skills!I7/Skills!H7,1)</f>
        <v/>
      </c>
      <c r="H2238">
        <f>1-(1-Skills!J7/100)^Skills!K7</f>
        <v/>
      </c>
      <c r="I2238" t="inlineStr">
        <is>
          <t>1</t>
        </is>
      </c>
      <c r="J2238">
        <f>((Inputs!$B$6*(1+Inputs!$B$7/100))+(((Inputs!$B$12*(1+Inputs!$B$13/100))-(Inputs!$B$12*(1+Inputs!$B$13/100)))+0.25*(Inputs!$B$14-Inputs!$B$14))*(1+Inputs!$B$7/100))*(F2238/100)</f>
        <v/>
      </c>
      <c r="K2238">
        <f>J2238*(1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2238)</f>
        <v/>
      </c>
      <c r="L2238">
        <f>K2238*(MIN(Inputs!$B$22+((C2253=TRUE)*(F2253-Calc!F22)),(Inputs!$B$23+((C2255=TRUE)*(F2255-Calc!F24))+(IF(ArtifactsInput!$M$15,CHOOSE(ArtifactsInput!$N$15+1,25,30,35,40,45,50)/100*(Inputs!$B$11-Inputs!$B$11),0))))/100+(Inputs!$B$23+((C2255=TRUE)*(F2255-Calc!F24))+(IF(ArtifactsInput!$M$15,CHOOSE(ArtifactsInput!$N$15+1,25,30,35,40,45,50)/100*(Inputs!$B$11-Inputs!$B$11),0)))/100)/2</f>
        <v/>
      </c>
      <c r="M2238">
        <f>L2238*(1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8">
        <f>L2238*(1-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2238*(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8">
        <f>(1-Summary!$B$11)*T2238+Summary!$B$11*V2238</f>
        <v/>
      </c>
      <c r="P2238">
        <f>IF(B2268=0,0,O2238/B2268)</f>
        <v/>
      </c>
      <c r="Q2238">
        <f>IFERROR(1/(IF(Inputs!$B$38="pvp",15,MAX(0.1,Skills!D7-IF(Skills!E7=TRUE,Inputs!$B$32,0)))*(1-IF(AND(ArtifactsInput!$M$27,Inputs!$B$4="Chapter Hunt"),CHOOSE(ArtifactsInput!$N$27+1,20,24,28,32,36,40),0)/100)),0)</f>
        <v/>
      </c>
      <c r="R2238">
        <f>IF(AND(Inputs!$B$38&lt;&gt;"pvp",Inputs!$B$43&gt;0),IF(MAX(0,Inputs!$B$43-B2265)&lt;=0,0,(INT(MAX(0,Inputs!$B$43-B2265)/(IF(Inputs!$B$38="pvp",15,MAX(0.1,Skills!D7-IF(Skills!E7=TRUE,Inputs!$B$32,0)))*(1-IF(AND(ArtifactsInput!$M$27,Inputs!$B$4="Chapter Hunt"),CHOOSE(ArtifactsInput!$N$27+1,20,24,28,32,36,40),0)/100)))+1)),0)</f>
        <v/>
      </c>
      <c r="S2238">
        <f>IFERROR(O2238/N2238,0)</f>
        <v/>
      </c>
      <c r="T2238">
        <f>IF(C2238,(H2238*N2238*IF(AND(Inputs!$B$38&lt;&gt;"pvp",Inputs!$B$43&gt;0),((Skills!G7*((R2238-1)*IF(Skills!H7&gt;0,Skills!I7/Skills!H7,1)+IF(Skills!H7&gt;0,MIN(Skills!I7,MAX(0,MAX(0,Inputs!$B$43-B2265)-((R2238-1)*(IF(Inputs!$B$38="pvp",15,MAX(0.1,Skills!D7-IF(Skills!E7=TRUE,Inputs!$B$32,0)))*(1-IF(AND(ArtifactsInput!$M$27,Inputs!$B$4="Chapter Hunt"),CHOOSE(ArtifactsInput!$N$27+1,20,24,28,32,36,40),0)/100)))))/Skills!H7,1)))/Inputs!$B$43),G2238*Q2238)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2238*(1-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2238*(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2238*(1-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2238*(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8">
        <f>IF(C2238,(H2238*N2238*IF(AND(Inputs!$B$38&lt;&gt;"pvp",Inputs!$B$43&gt;0),((Skills!G7*((R2238-1)*IF(Skills!H7&gt;0,Skills!I7/Skills!H7,1)+IF(Skills!H7&gt;0,MIN(Skills!I7,MAX(0,MAX(0,Inputs!$B$43-B2265)-((R2238-1)*(IF(Inputs!$B$38="pvp",15,MAX(0.1,Skills!D7-IF(Skills!E7=TRUE,Inputs!$B$32,0)))*(1-IF(AND(ArtifactsInput!$M$27,Inputs!$B$4="Chapter Hunt"),CHOOSE(ArtifactsInput!$N$27+1,20,24,28,32,36,40),0)/100)))))/Skills!H7,1)))/Inputs!$B$43),G2238*Q2238))*IF(Inputs!$B$38="pvp",1,(1+(Inputs!$B$21+Skills!Q7+(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9">
      <c r="A2239">
        <f>Skills!A8</f>
        <v/>
      </c>
      <c r="B2239">
        <f>Skills!B8</f>
        <v/>
      </c>
      <c r="C2239">
        <f>Inputs!$B$3&gt;=107</f>
        <v/>
      </c>
      <c r="D2239">
        <f>IF(Skills!C8=1,60+Inputs!$B$25+Inputs!$B$29,IF(Skills!C8=2,90+Inputs!$B$26+Inputs!$B$29,IF(Skills!C8=3,120+Inputs!$B$27+Inputs!$B$29,MAX(0,(Inputs!$B$3-100)*3)+Inputs!$B$28+Inputs!$B$29)))</f>
        <v/>
      </c>
      <c r="E2239">
        <f>INDEX(FactorTable!$B$2:$Y$301, MATCH(ROUND(MIN(300,MAX(1,D2239)),0), FactorTable!$A$2:$A$301,0), Skills!M8+1)</f>
        <v/>
      </c>
      <c r="F2239">
        <f>IF(Skills!N8=TRUE,(Skills!L8/10)*(E2239/1000),Skills!L8/10)+Skills!O8</f>
        <v/>
      </c>
      <c r="G2239">
        <f>Skills!G8*IF(Skills!H8&gt;0,Skills!I8/Skills!H8,1)</f>
        <v/>
      </c>
      <c r="H2239">
        <f>1-(1-Skills!J8/100)^Skills!K8</f>
        <v/>
      </c>
      <c r="I2239" t="inlineStr">
        <is>
          <t>1</t>
        </is>
      </c>
      <c r="J2239">
        <f>((Inputs!$B$6*(1+Inputs!$B$7/100))+(((Inputs!$B$12*(1+Inputs!$B$13/100))-(Inputs!$B$12*(1+Inputs!$B$13/100)))+0.25*(Inputs!$B$14-Inputs!$B$14))*(1+Inputs!$B$7/100))*(F2239/100)</f>
        <v/>
      </c>
      <c r="K2239">
        <f>J2239*(1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2239)</f>
        <v/>
      </c>
      <c r="L2239">
        <f>K2239*(MIN(Inputs!$B$22+((C2253=TRUE)*(F2253-Calc!F22)),(Inputs!$B$23+((C2255=TRUE)*(F2255-Calc!F24))+(IF(ArtifactsInput!$M$15,CHOOSE(ArtifactsInput!$N$15+1,25,30,35,40,45,50)/100*(Inputs!$B$11-Inputs!$B$11),0))))/100+(Inputs!$B$23+((C2255=TRUE)*(F2255-Calc!F24))+(IF(ArtifactsInput!$M$15,CHOOSE(ArtifactsInput!$N$15+1,25,30,35,40,45,50)/100*(Inputs!$B$11-Inputs!$B$11),0)))/100)/2</f>
        <v/>
      </c>
      <c r="M2239">
        <f>L2239*(1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9">
        <f>L2239*(1-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2239*(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9">
        <f>(1-Summary!$B$11)*T2239+Summary!$B$11*V2239</f>
        <v/>
      </c>
      <c r="P2239">
        <f>IF(B2268=0,0,O2239/B2268)</f>
        <v/>
      </c>
      <c r="Q2239">
        <f>IFERROR(1/(IF(Inputs!$B$38="pvp",15,MAX(0.1,Skills!D8-IF(Skills!E8=TRUE,Inputs!$B$32,0)))*(1-IF(AND(ArtifactsInput!$M$27,Inputs!$B$4="Chapter Hunt"),CHOOSE(ArtifactsInput!$N$27+1,20,24,28,32,36,40),0)/100)),0)</f>
        <v/>
      </c>
      <c r="R2239">
        <f>IF(AND(Inputs!$B$38&lt;&gt;"pvp",Inputs!$B$43&gt;0),IF(MAX(0,Inputs!$B$43-B2265)&lt;=0,0,(INT(MAX(0,Inputs!$B$43-B2265)/(IF(Inputs!$B$38="pvp",15,MAX(0.1,Skills!D8-IF(Skills!E8=TRUE,Inputs!$B$32,0)))*(1-IF(AND(ArtifactsInput!$M$27,Inputs!$B$4="Chapter Hunt"),CHOOSE(ArtifactsInput!$N$27+1,20,24,28,32,36,40),0)/100)))+1)),0)</f>
        <v/>
      </c>
      <c r="S2239">
        <f>IFERROR(O2239/N2239,0)</f>
        <v/>
      </c>
      <c r="T2239">
        <f>IF(C2239,(H2239*N2239*IF(AND(Inputs!$B$38&lt;&gt;"pvp",Inputs!$B$43&gt;0),((Skills!G8*((R2239-1)*IF(Skills!H8&gt;0,Skills!I8/Skills!H8,1)+IF(Skills!H8&gt;0,MIN(Skills!I8,MAX(0,MAX(0,Inputs!$B$43-B2265)-((R2239-1)*(IF(Inputs!$B$38="pvp",15,MAX(0.1,Skills!D8-IF(Skills!E8=TRUE,Inputs!$B$32,0)))*(1-IF(AND(ArtifactsInput!$M$27,Inputs!$B$4="Chapter Hunt"),CHOOSE(ArtifactsInput!$N$27+1,20,24,28,32,36,40),0)/100)))))/Skills!H8,1)))/Inputs!$B$43),G2239*Q2239)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2239*(1-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2239*(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2239*(1-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2239*(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9">
        <f>IF(C2239,(H2239*N2239*IF(AND(Inputs!$B$38&lt;&gt;"pvp",Inputs!$B$43&gt;0),((Skills!G8*((R2239-1)*IF(Skills!H8&gt;0,Skills!I8/Skills!H8,1)+IF(Skills!H8&gt;0,MIN(Skills!I8,MAX(0,MAX(0,Inputs!$B$43-B2265)-((R2239-1)*(IF(Inputs!$B$38="pvp",15,MAX(0.1,Skills!D8-IF(Skills!E8=TRUE,Inputs!$B$32,0)))*(1-IF(AND(ArtifactsInput!$M$27,Inputs!$B$4="Chapter Hunt"),CHOOSE(ArtifactsInput!$N$27+1,20,24,28,32,36,40),0)/100)))))/Skills!H8,1)))/Inputs!$B$43),G2239*Q2239))*IF(Inputs!$B$38="pvp",1,(1+(Inputs!$B$21+Skills!Q8+(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0">
      <c r="A2240">
        <f>Skills!A9</f>
        <v/>
      </c>
      <c r="B2240">
        <f>Skills!B9</f>
        <v/>
      </c>
      <c r="C2240">
        <f>Inputs!$B$3&gt;=125</f>
        <v/>
      </c>
      <c r="D2240">
        <f>IF(Skills!C9=1,60+Inputs!$B$25+Inputs!$B$29,IF(Skills!C9=2,90+Inputs!$B$26+Inputs!$B$29,IF(Skills!C9=3,120+Inputs!$B$27+Inputs!$B$29,MAX(0,(Inputs!$B$3-100)*3)+Inputs!$B$28+Inputs!$B$29)))</f>
        <v/>
      </c>
      <c r="E2240">
        <f>INDEX(FactorTable!$B$2:$Y$301, MATCH(ROUND(MIN(300,MAX(1,D2240)),0), FactorTable!$A$2:$A$301,0), Skills!M9+1)</f>
        <v/>
      </c>
      <c r="F2240">
        <f>IF(Skills!N9=TRUE,(Skills!L9/10)*(E2240/1000),Skills!L9/10)+Skills!O9</f>
        <v/>
      </c>
      <c r="G2240">
        <f>Skills!G9*IF(Skills!H9&gt;0,Skills!I9/Skills!H9,1)</f>
        <v/>
      </c>
      <c r="H2240">
        <f>1-(1-Skills!J9/100)^Skills!K9</f>
        <v/>
      </c>
      <c r="I2240" t="inlineStr">
        <is>
          <t>1</t>
        </is>
      </c>
      <c r="J2240">
        <f>((Inputs!$B$6*(1+Inputs!$B$7/100))+(((Inputs!$B$12*(1+Inputs!$B$13/100))-(Inputs!$B$12*(1+Inputs!$B$13/100)))+0.25*(Inputs!$B$14-Inputs!$B$14))*(1+Inputs!$B$7/100))*(F2240/100)</f>
        <v/>
      </c>
      <c r="K2240">
        <f>J2240*(1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2240)</f>
        <v/>
      </c>
      <c r="L2240">
        <f>K2240*(MIN(Inputs!$B$22+((C2253=TRUE)*(F2253-Calc!F22)),(Inputs!$B$23+((C2255=TRUE)*(F2255-Calc!F24))+(IF(ArtifactsInput!$M$15,CHOOSE(ArtifactsInput!$N$15+1,25,30,35,40,45,50)/100*(Inputs!$B$11-Inputs!$B$11),0))))/100+(Inputs!$B$23+((C2255=TRUE)*(F2255-Calc!F24))+(IF(ArtifactsInput!$M$15,CHOOSE(ArtifactsInput!$N$15+1,25,30,35,40,45,50)/100*(Inputs!$B$11-Inputs!$B$11),0)))/100)/2</f>
        <v/>
      </c>
      <c r="M2240">
        <f>L2240*(1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0">
        <f>L2240*(1-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2240*(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0">
        <f>(1-Summary!$B$11)*T2240+Summary!$B$11*V2240</f>
        <v/>
      </c>
      <c r="P2240">
        <f>IF(B2268=0,0,O2240/B2268)</f>
        <v/>
      </c>
      <c r="Q2240">
        <f>IFERROR(1/(IF(Inputs!$B$38="pvp",15,MAX(0.1,Skills!D9-IF(Skills!E9=TRUE,Inputs!$B$32,0)))*(1-IF(AND(ArtifactsInput!$M$27,Inputs!$B$4="Chapter Hunt"),CHOOSE(ArtifactsInput!$N$27+1,20,24,28,32,36,40),0)/100)),0)</f>
        <v/>
      </c>
      <c r="R2240">
        <f>IF(AND(Inputs!$B$38&lt;&gt;"pvp",Inputs!$B$43&gt;0),IF(MAX(0,Inputs!$B$43-B2265)&lt;=0,0,(INT(MAX(0,Inputs!$B$43-B2265)/(IF(Inputs!$B$38="pvp",15,MAX(0.1,Skills!D9-IF(Skills!E9=TRUE,Inputs!$B$32,0)))*(1-IF(AND(ArtifactsInput!$M$27,Inputs!$B$4="Chapter Hunt"),CHOOSE(ArtifactsInput!$N$27+1,20,24,28,32,36,40),0)/100)))+1)),0)</f>
        <v/>
      </c>
      <c r="S2240">
        <f>IFERROR(O2240/N2240,0)</f>
        <v/>
      </c>
      <c r="T2240">
        <f>IF(C2240,(H2240*N2240*IF(AND(Inputs!$B$38&lt;&gt;"pvp",Inputs!$B$43&gt;0),((Skills!G9*((R2240-1)*IF(Skills!H9&gt;0,Skills!I9/Skills!H9,1)+IF(Skills!H9&gt;0,MIN(Skills!I9,MAX(0,MAX(0,Inputs!$B$43-B2265)-((R2240-1)*(IF(Inputs!$B$38="pvp",15,MAX(0.1,Skills!D9-IF(Skills!E9=TRUE,Inputs!$B$32,0)))*(1-IF(AND(ArtifactsInput!$M$27,Inputs!$B$4="Chapter Hunt"),CHOOSE(ArtifactsInput!$N$27+1,20,24,28,32,36,40),0)/100)))))/Skills!H9,1)))/Inputs!$B$43),G2240*Q2240)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2240*(1-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2240*(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2240*(1-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2240*(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0">
        <f>IF(C2240,(H2240*N2240*IF(AND(Inputs!$B$38&lt;&gt;"pvp",Inputs!$B$43&gt;0),((Skills!G9*((R2240-1)*IF(Skills!H9&gt;0,Skills!I9/Skills!H9,1)+IF(Skills!H9&gt;0,MIN(Skills!I9,MAX(0,MAX(0,Inputs!$B$43-B2265)-((R2240-1)*(IF(Inputs!$B$38="pvp",15,MAX(0.1,Skills!D9-IF(Skills!E9=TRUE,Inputs!$B$32,0)))*(1-IF(AND(ArtifactsInput!$M$27,Inputs!$B$4="Chapter Hunt"),CHOOSE(ArtifactsInput!$N$27+1,20,24,28,32,36,40),0)/100)))))/Skills!H9,1)))/Inputs!$B$43),G2240*Q2240))*IF(Inputs!$B$38="pvp",1,(1+(Inputs!$B$21+Skills!Q9+(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1">
      <c r="A2241">
        <f>Skills!A10</f>
        <v/>
      </c>
      <c r="B2241">
        <f>Skills!B10</f>
        <v/>
      </c>
      <c r="C2241">
        <f>Inputs!$B$3&gt;=117</f>
        <v/>
      </c>
      <c r="D2241">
        <f>IF(Skills!C10=1,60+Inputs!$B$25+Inputs!$B$29,IF(Skills!C10=2,90+Inputs!$B$26+Inputs!$B$29,IF(Skills!C10=3,120+Inputs!$B$27+Inputs!$B$29,MAX(0,(Inputs!$B$3-100)*3)+Inputs!$B$28+Inputs!$B$29)))</f>
        <v/>
      </c>
      <c r="E2241">
        <f>INDEX(FactorTable!$B$2:$Y$301, MATCH(ROUND(MIN(300,MAX(1,D2241)),0), FactorTable!$A$2:$A$301,0), Skills!M10+1)</f>
        <v/>
      </c>
      <c r="F2241">
        <f>IF(Skills!N10=TRUE,(Skills!L10/10)*(E2241/1000),Skills!L10/10)+Skills!O10</f>
        <v/>
      </c>
      <c r="G2241">
        <f>Skills!G10*IF(Skills!H10&gt;0,Skills!I10/Skills!H10,1)</f>
        <v/>
      </c>
      <c r="H2241">
        <f>1-(1-Skills!J10/100)^Skills!K10</f>
        <v/>
      </c>
      <c r="I2241" t="inlineStr">
        <is>
          <t>1</t>
        </is>
      </c>
      <c r="J2241">
        <f>((Inputs!$B$6*(1+Inputs!$B$7/100))+(((Inputs!$B$12*(1+Inputs!$B$13/100))-(Inputs!$B$12*(1+Inputs!$B$13/100)))+0.25*(Inputs!$B$14-Inputs!$B$14))*(1+Inputs!$B$7/100))*(F2241/100)</f>
        <v/>
      </c>
      <c r="K2241">
        <f>J2241*(1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C2253=TRUE)*(F2253-Calc!F22)),(Inputs!$B$23+((C2255=TRUE)*(F2255-Calc!F24))+(IF(ArtifactsInput!$M$15,CHOOSE(ArtifactsInput!$N$15+1,25,30,35,40,45,50)/100*(Inputs!$B$11-Inputs!$B$11),0))))/100+(Inputs!$B$23+((C2255=TRUE)*(F2255-Calc!F24))+(IF(ArtifactsInput!$M$15,CHOOSE(ArtifactsInput!$N$15+1,25,30,35,40,45,50)/100*(Inputs!$B$11-Inputs!$B$11),0)))/100)/2</f>
        <v/>
      </c>
      <c r="M2241">
        <f>L2241*(1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1">
        <f>L2241*(1-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(1-Summary!$B$11)*T2241+Summary!$B$11*V2241</f>
        <v/>
      </c>
      <c r="P2241">
        <f>IF(B2268=0,0,O2241/B2268)</f>
        <v/>
      </c>
      <c r="Q2241">
        <f>IFERROR(1/(IF(Inputs!$B$38="pvp",15,MAX(0.1,Skills!D10-IF(Skills!E10=TRUE,Inputs!$B$32,0)))*(1-IF(AND(ArtifactsInput!$M$27,Inputs!$B$4="Chapter Hunt"),CHOOSE(ArtifactsInput!$N$27+1,20,24,28,32,36,40),0)/100)),0)</f>
        <v/>
      </c>
      <c r="R2241">
        <f>IF(AND(Inputs!$B$38&lt;&gt;"pvp",Inputs!$B$43&gt;0),IF(MAX(0,Inputs!$B$43-B2265)&lt;=0,0,(INT(MAX(0,Inputs!$B$43-B2265)/(IF(Inputs!$B$38="pvp",15,MAX(0.1,Skills!D10-IF(Skills!E10=TRUE,Inputs!$B$32,0)))*(1-IF(AND(ArtifactsInput!$M$27,Inputs!$B$4="Chapter Hunt"),CHOOSE(ArtifactsInput!$N$27+1,20,24,28,32,36,40),0)/100)))+1)),0)</f>
        <v/>
      </c>
      <c r="S2241">
        <f>IFERROR(O2241/N2241,0)</f>
        <v/>
      </c>
      <c r="T2241">
        <f>IF(C2241,(H2241*N2241*IF(AND(Inputs!$B$38&lt;&gt;"pvp",Inputs!$B$43&gt;0),((Skills!G10*((R2241-1)*IF(Skills!H10&gt;0,Skills!I10/Skills!H10,1)+IF(Skills!H10&gt;0,MIN(Skills!I10,MAX(0,MAX(0,Inputs!$B$43-B2265)-((R2241-1)*(IF(Inputs!$B$38="pvp",15,MAX(0.1,Skills!D10-IF(Skills!E10=TRUE,Inputs!$B$32,0)))*(1-IF(AND(ArtifactsInput!$M$27,Inputs!$B$4="Chapter Hunt"),CHOOSE(ArtifactsInput!$N$27+1,20,24,28,32,36,40),0)/100)))))/Skills!H10,1)))/Inputs!$B$43),G2241*Q2241)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2241*(1-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1">
        <f>IF(C2241,(H2241*N2241*IF(AND(Inputs!$B$38&lt;&gt;"pvp",Inputs!$B$43&gt;0),((Skills!G10*((R2241-1)*IF(Skills!H10&gt;0,Skills!I10/Skills!H10,1)+IF(Skills!H10&gt;0,MIN(Skills!I10,MAX(0,MAX(0,Inputs!$B$43-B2265)-((R2241-1)*(IF(Inputs!$B$38="pvp",15,MAX(0.1,Skills!D10-IF(Skills!E10=TRUE,Inputs!$B$32,0)))*(1-IF(AND(ArtifactsInput!$M$27,Inputs!$B$4="Chapter Hunt"),CHOOSE(ArtifactsInput!$N$27+1,20,24,28,32,36,40),0)/100)))))/Skills!H10,1)))/Inputs!$B$43),G2241*Q2241))*IF(Inputs!$B$38="pvp",1,(1+(Inputs!$B$21+Skills!Q10+(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Skills!A11</f>
        <v/>
      </c>
      <c r="B2242">
        <f>Skills!B11</f>
        <v/>
      </c>
      <c r="C2242">
        <f>Inputs!$B$3&gt;=63</f>
        <v/>
      </c>
      <c r="D2242">
        <f>IF(Skills!C11=1,60+Inputs!$B$25+Inputs!$B$29,IF(Skills!C11=2,90+Inputs!$B$26+Inputs!$B$29,IF(Skills!C11=3,120+Inputs!$B$27+Inputs!$B$29,MAX(0,(Inputs!$B$3-100)*3)+Inputs!$B$28+Inputs!$B$29)))</f>
        <v/>
      </c>
      <c r="E2242">
        <f>INDEX(FactorTable!$B$2:$Y$301, MATCH(ROUND(MIN(300,MAX(1,D2242)),0), FactorTable!$A$2:$A$301,0), Skills!M11+1)</f>
        <v/>
      </c>
      <c r="F2242">
        <f>IF(Skills!N11=TRUE,(Skills!L11/10)*(E2242/1000),Skills!L11/10)+Skills!O11</f>
        <v/>
      </c>
      <c r="G2242">
        <f>Skills!G11*IF(Skills!H11&gt;0,Skills!I11/Skills!H11,1)</f>
        <v/>
      </c>
      <c r="H2242">
        <f>1-(1-Skills!J11/100)^Skills!K11</f>
        <v/>
      </c>
      <c r="I2242" t="inlineStr">
        <is>
          <t>1</t>
        </is>
      </c>
      <c r="J2242">
        <f>((Inputs!$B$6*(1+Inputs!$B$7/100))+(((Inputs!$B$12*(1+Inputs!$B$13/100))-(Inputs!$B$12*(1+Inputs!$B$13/100)))+0.25*(Inputs!$B$14-Inputs!$B$14))*(1+Inputs!$B$7/100))*(F2242/100)</f>
        <v/>
      </c>
      <c r="K2242">
        <f>J2242*(1+((Inputs!$B$12*(1+Inputs!$B$13/100))*0.01+Inputs!$B$14*0.0025)/100)*(1+Inputs!$B$15/100)*(1+Inputs!$B$16/100)*(5000/(6000+Inputs!$B$42*(1-(Inputs!$B$19+0)/100)))*(1+(Inputs!$B$24+0+B2264)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2243=TRUE,F2243,0)/100)*(1+(IF(Skills!A11="BLAST",Inputs!$B$17+((C2252=TRUE)*(F2252-Calc!F21))+((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MIN(100,((Inputs!$B$9+0+B2258+(ArtifactsInput!$M$24-ArtifactsInput!$M$24)*CHOOSE(ArtifactsInput!$N$24+1,10,12,14,16,18,20)+IF(ArtifactsInput!$M$10,CHOOSE(ArtifactsInput!$N$10+1,15,18,21,24,27,30)*(IF(Inputs!$B$38="pvp",MIN(15,15)/15,IF(AND(Inputs!$B$38&lt;&gt;"pvp",Inputs!$B$43&gt;0),MIN(15,Inputs!$B$43)/(Inputs!$B$43),0))),0)))-100),0))*CHOOSE(ArtifactsInput!$N$42+1,0.6,0.72,0.84,0.96,1.08,1.2))),Inputs!$B$18+((C2254=TRUE)*(F2254-Calc!F23))+(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gt;=100),CHOOSE(ArtifactsInput!$N$42+1,40,48,56,64,72,80),0))))/100)*((1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C2253=TRUE)*(F2253-Calc!F22)),(Inputs!$B$23+((C2255=TRUE)*(F2255-Calc!F24))+(IF(ArtifactsInput!$M$15,CHOOSE(ArtifactsInput!$N$15+1,25,30,35,40,45,50)/100*(Inputs!$B$11-Inputs!$B$11),0))))/100+(Inputs!$B$23+((C2255=TRUE)*(F2255-Calc!F24))+(IF(ArtifactsInput!$M$15,CHOOSE(ArtifactsInput!$N$15+1,25,30,35,40,45,50)/100*(Inputs!$B$11-Inputs!$B$11),0)))/100)/2</f>
        <v/>
      </c>
      <c r="M2242">
        <f>L2242*(1+(Inputs!$B$10+0+B2263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2">
        <f>L2242*(1-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(1-Summary!$B$11)*T2242+Summary!$B$11*V2242</f>
        <v/>
      </c>
      <c r="P2242">
        <f>IF(B2268=0,0,O2242/B2268)</f>
        <v/>
      </c>
      <c r="Q2242">
        <f>IFERROR(1/(IF(Inputs!$B$38="pvp",15,MAX(0.1,Skills!D11-IF(Skills!E11=TRUE,Inputs!$B$32,0)))*(1-IF(AND(ArtifactsInput!$M$27,Inputs!$B$4="Chapter Hunt"),CHOOSE(ArtifactsInput!$N$27+1,20,24,28,32,36,40),0)/100)),0)</f>
        <v/>
      </c>
      <c r="R2242">
        <f>IF(AND(Inputs!$B$38&lt;&gt;"pvp",Inputs!$B$43&gt;0),IF(MAX(0,Inputs!$B$43-B2265)&lt;=0,0,(INT(MAX(0,Inputs!$B$43-B2265)/(IF(Inputs!$B$38="pvp",15,MAX(0.1,Skills!D11-IF(Skills!E11=TRUE,Inputs!$B$32,0)))*(1-IF(AND(ArtifactsInput!$M$27,Inputs!$B$4="Chapter Hunt"),CHOOSE(ArtifactsInput!$N$27+1,20,24,28,32,36,40),0)/100)))+1)),0)</f>
        <v/>
      </c>
      <c r="S2242">
        <f>IFERROR(O2242/N2242,0)</f>
        <v/>
      </c>
      <c r="T2242">
        <f>IF(C2242,(H2242*N2242*IF(AND(Inputs!$B$38&lt;&gt;"pvp",Inputs!$B$43&gt;0),((Skills!G11*((R2242-1)*IF(Skills!H11&gt;0,Skills!I11/Skills!H11,1)+IF(Skills!H11&gt;0,MIN(Skills!I11,MAX(0,MAX(0,Inputs!$B$43-B2265)-((R2242-1)*(IF(Inputs!$B$38="pvp",15,MAX(0.1,Skills!D11-IF(Skills!E11=TRUE,Inputs!$B$32,0)))*(1-IF(AND(ArtifactsInput!$M$27,Inputs!$B$4="Chapter Hunt"),CHOOSE(ArtifactsInput!$N$27+1,20,24,28,32,36,40),0)/100)))))/Skills!H11,1)))/Inputs!$B$43),G2242*Q2242)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2242*(1-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+0+B2258+(ArtifactsInput!$M$24-ArtifactsInput!$M$24)*CHOOSE(ArtifactsInput!$N$24+1,10,12,14,16,18,20)+(IF(AND(Inputs!$B$38&lt;&gt;"pvp",Inputs!$B$43=0),1,IF(IF(Inputs!$B$38="pvp",15,Inputs!$B$43)-(B2265)&lt;=0,1,MAX(0,IF(Inputs!$B$38="pvp",15,Inputs!$B$43)-MAX(5,B2265))/(IF(Inputs!$B$38="pvp",15,Inputs!$B$43)-(B2265))))*IF(AND(ArtifactsInput!$M$42,((Inputs!$B$9+0+B2258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2">
        <f>IF(C2242,(H2242*N2242*IF(AND(Inputs!$B$38&lt;&gt;"pvp",Inputs!$B$43&gt;0),((Skills!G11*((R2242-1)*IF(Skills!H11&gt;0,Skills!I11/Skills!H11,1)+IF(Skills!H11&gt;0,MIN(Skills!I11,MAX(0,MAX(0,Inputs!$B$43-B2265)-((R2242-1)*(IF(Inputs!$B$38="pvp",15,MAX(0.1,Skills!D11-IF(Skills!E11=TRUE,Inputs!$B$32,0)))*(1-IF(AND(ArtifactsInput!$M$27,Inputs!$B$4="Chapter Hunt"),CHOOSE(ArtifactsInput!$N$27+1,20,24,28,32,36,40),0)/100)))))/Skills!H11,1)))/Inputs!$B$43),G2242*Q2242))*IF(Inputs!$B$38="pvp",1,(1+(Inputs!$B$21+Skills!Q11+(IF(ArtifactsInput!$M$33,CHOOSE(ArtifactsInput!$N$33+1,30,36,42,48,54,60),0))+(IF(AND(IF(ArtifactsInput!$M$35,FALSE,TRUE),Inputs!$B$4&lt;&gt;"Chapter Hunt"),CHOOSE(ArtifactsInput!$N$35+1,15,18,21,24,27,30)*(1-EXP(-(0.2*B2260)*5)),0)+IF(AND(ArtifactsInput!$M$22,Inputs!$B$4&lt;&gt;"Chapter Hunt"),CHOOSE(ArtifactsInput!$N$22+1,10,12,14,16,18,20)*((0*(((0.15*B2260*5))^0/1)+1*(((0.15*B2260*5))^1/1)+2*(((0.15*B2260*5))^2/2)+3*(((0.15*B2260*5))^3/6)+4*(((0.15*B2260*5))^4/24)+5*(((0.15*B2260*5))^5/120))/((((0.15*B2260*5))^0/1)+(((0.15*B2260*5))^1/1)+(((0.15*B2260*5))^2/2)+(((0.15*B2260*5))^3/6)+(((0.15*B2260*5))^4/24)+(((0.15*B2260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Skills!A12</f>
        <v/>
      </c>
      <c r="B2243">
        <f>Skills!B12</f>
        <v/>
      </c>
      <c r="C2243">
        <f>Inputs!$B$3&gt;=100</f>
        <v/>
      </c>
      <c r="D2243">
        <f>IF(Skills!C12=1,60+Inputs!$B$25+Inputs!$B$29,IF(Skills!C12=2,90+Inputs!$B$26+Inputs!$B$29,IF(Skills!C12=3,120+Inputs!$B$27+Inputs!$B$29,MAX(0,(Inputs!$B$3-100)*3)+Inputs!$B$28+Inputs!$B$29)))</f>
        <v/>
      </c>
      <c r="E2243">
        <f>INDEX(FactorTable!$B$2:$Y$301, MATCH(ROUND(MIN(300,MAX(1,D2243)),0), FactorTable!$A$2:$A$301,0), Skills!M12+1)</f>
        <v/>
      </c>
      <c r="F2243">
        <f>IF(Skills!N12=TRUE,(Skills!L12/10)*(E2243/1000),Skills!L12/10)+Skills!O12</f>
        <v/>
      </c>
      <c r="G2243" t="inlineStr"/>
      <c r="H2243" t="inlineStr"/>
      <c r="I2243" t="inlineStr">
        <is>
          <t>1</t>
        </is>
      </c>
      <c r="J2243" t="inlineStr"/>
      <c r="K2243" t="inlineStr"/>
      <c r="L2243" t="inlineStr"/>
      <c r="M2243" t="inlineStr"/>
      <c r="N2243" t="inlineStr"/>
      <c r="O2243" t="inlineStr"/>
      <c r="P2243" t="inlineStr"/>
      <c r="Q2243" t="inlineStr"/>
      <c r="R2243" t="inlineStr"/>
      <c r="S2243" t="inlineStr"/>
    </row>
    <row r="2244">
      <c r="A2244">
        <f>Skills!A13</f>
        <v/>
      </c>
      <c r="B2244">
        <f>Skills!B13</f>
        <v/>
      </c>
      <c r="C2244">
        <f>Inputs!$B$3&gt;=45</f>
        <v/>
      </c>
      <c r="D2244">
        <f>IF(Skills!C13=1,60+Inputs!$B$25+Inputs!$B$29,IF(Skills!C13=2,90+Inputs!$B$26+Inputs!$B$29,IF(Skills!C13=3,120+Inputs!$B$27+Inputs!$B$29,MAX(0,(Inputs!$B$3-100)*3)+Inputs!$B$28+Inputs!$B$29)))</f>
        <v/>
      </c>
      <c r="E2244">
        <f>INDEX(FactorTable!$B$2:$Y$301, MATCH(ROUND(MIN(300,MAX(1,D2244)),0), FactorTable!$A$2:$A$301,0), Skills!M13+1)</f>
        <v/>
      </c>
      <c r="F2244">
        <f>IF(Skills!N13=TRUE,(Skills!L13/10)*(E2244/1000),Skills!L13/10)+Skills!O13</f>
        <v/>
      </c>
      <c r="G2244">
        <f>Skills!G13*IF(Skills!H13&gt;0,Skills!I13/Skills!H13,1)</f>
        <v/>
      </c>
      <c r="H2244">
        <f>1-(1-Skills!J13/100)^Skills!K13</f>
        <v/>
      </c>
      <c r="I2244" t="inlineStr">
        <is>
          <t>1</t>
        </is>
      </c>
      <c r="J2244" t="inlineStr"/>
      <c r="K2244" t="inlineStr"/>
      <c r="L2244" t="inlineStr"/>
      <c r="M2244" t="inlineStr"/>
      <c r="N2244" t="inlineStr"/>
      <c r="O2244">
        <f>(1-Summary!$B$11)*T2244+Summary!$B$11*V2244</f>
        <v/>
      </c>
      <c r="P2244">
        <f>IF(B2268=0,0,O2244/B2268)</f>
        <v/>
      </c>
      <c r="Q2244" t="n">
        <v>0</v>
      </c>
      <c r="R2244" t="n">
        <v>0</v>
      </c>
      <c r="S2244">
        <f>IFERROR(O2244/N2244,0)</f>
        <v/>
      </c>
      <c r="T2244" t="n">
        <v>0</v>
      </c>
      <c r="V2244" t="n">
        <v>0</v>
      </c>
    </row>
    <row r="2245">
      <c r="A2245">
        <f>Skills!A14</f>
        <v/>
      </c>
      <c r="B2245">
        <f>Skills!B14</f>
        <v/>
      </c>
      <c r="C2245">
        <f>Inputs!$B$3&gt;=110</f>
        <v/>
      </c>
      <c r="D2245">
        <f>IF(Skills!C14=1,60+Inputs!$B$25+Inputs!$B$29,IF(Skills!C14=2,90+Inputs!$B$26+Inputs!$B$29,IF(Skills!C14=3,120+Inputs!$B$27+Inputs!$B$29,MAX(0,(Inputs!$B$3-100)*3)+Inputs!$B$28+Inputs!$B$29)))</f>
        <v/>
      </c>
      <c r="E2245">
        <f>INDEX(FactorTable!$B$2:$Y$301, MATCH(ROUND(MIN(300,MAX(1,D2245)),0), FactorTable!$A$2:$A$301,0), Skills!M14+1)</f>
        <v/>
      </c>
      <c r="F2245">
        <f>IF(Skills!N14=TRUE,(Skills!L14/10)*(E2245/1000),Skills!L14/10)+Skills!O14</f>
        <v/>
      </c>
      <c r="G2245">
        <f>Skills!G14*IF(Skills!H14&gt;0,Skills!I14/Skills!H14,1)</f>
        <v/>
      </c>
      <c r="H2245">
        <f>1-(1-Skills!J14/100)^Skills!K14</f>
        <v/>
      </c>
      <c r="I2245" t="inlineStr">
        <is>
          <t>1</t>
        </is>
      </c>
      <c r="J2245" t="inlineStr"/>
      <c r="K2245" t="inlineStr"/>
      <c r="L2245" t="inlineStr"/>
      <c r="M2245" t="inlineStr"/>
      <c r="N2245" t="inlineStr"/>
      <c r="O2245">
        <f>(1-Summary!$B$11)*T2245+Summary!$B$11*V2245</f>
        <v/>
      </c>
      <c r="P2245">
        <f>IF(B2268=0,0,O2245/B2268)</f>
        <v/>
      </c>
      <c r="Q2245" t="n">
        <v>0</v>
      </c>
      <c r="R2245" t="n">
        <v>0</v>
      </c>
      <c r="S2245">
        <f>IFERROR(O2245/N2245,0)</f>
        <v/>
      </c>
      <c r="T2245" t="n">
        <v>0</v>
      </c>
      <c r="V2245" t="n">
        <v>0</v>
      </c>
    </row>
    <row r="2246">
      <c r="A2246">
        <f>Skills!A15</f>
        <v/>
      </c>
      <c r="B2246">
        <f>Skills!B15</f>
        <v/>
      </c>
      <c r="C2246">
        <f>Inputs!$B$3&gt;=75</f>
        <v/>
      </c>
      <c r="D2246">
        <f>IF(Skills!C15=1,60+Inputs!$B$25+Inputs!$B$29,IF(Skills!C15=2,90+Inputs!$B$26+Inputs!$B$29,IF(Skills!C15=3,120+Inputs!$B$27+Inputs!$B$29,MAX(0,(Inputs!$B$3-100)*3)+Inputs!$B$28+Inputs!$B$29)))</f>
        <v/>
      </c>
      <c r="E2246">
        <f>INDEX(FactorTable!$B$2:$Y$301, MATCH(ROUND(MIN(300,MAX(1,D2246)),0), FactorTable!$A$2:$A$301,0), Skills!M15+1)</f>
        <v/>
      </c>
      <c r="F2246">
        <f>IF(Skills!N15=TRUE,(Skills!L15/10)*(E2246/1000),Skills!L15/10)+Skills!O15</f>
        <v/>
      </c>
      <c r="G2246">
        <f>Skills!G15*IF(Skills!H15&gt;0,Skills!I15/Skills!H15,1)</f>
        <v/>
      </c>
      <c r="H2246">
        <f>1-(1-Skills!J15/100)^Skills!K15</f>
        <v/>
      </c>
      <c r="I2246" t="inlineStr">
        <is>
          <t>1</t>
        </is>
      </c>
      <c r="J2246" t="inlineStr"/>
      <c r="K2246" t="inlineStr"/>
      <c r="L2246" t="inlineStr"/>
      <c r="M2246" t="inlineStr"/>
      <c r="N2246" t="inlineStr"/>
      <c r="O2246">
        <f>(1-Summary!$B$11)*T2246+Summary!$B$11*V2246</f>
        <v/>
      </c>
      <c r="P2246">
        <f>IF(B2268=0,0,O2246/B2268)</f>
        <v/>
      </c>
      <c r="Q2246">
        <f>IFERROR(1/(IF(Inputs!$B$38="pvp",15,MAX(0.1,Skills!D15-IF(Skills!E15=TRUE,Inputs!$B$32,0)))*(1-IF(AND(ArtifactsInput!$M$27,Inputs!$B$4="Chapter Hunt"),CHOOSE(ArtifactsInput!$N$27+1,20,24,28,32,36,40),0)/100)),0)</f>
        <v/>
      </c>
      <c r="R2246">
        <f>IF(AND(Inputs!$B$38&lt;&gt;"pvp",Inputs!$B$43&gt;0),IF(Inputs!$B$43&lt;=0,0,(INT(Inputs!$B$43/(IF(Inputs!$B$38="pvp",15,MAX(0.1,Skills!D15-IF(Skills!E15=TRUE,Inputs!$B$32,0)))*(1-IF(AND(ArtifactsInput!$M$27,Inputs!$B$4="Chapter Hunt"),CHOOSE(ArtifactsInput!$N$27+1,20,24,28,32,36,40),0)/100)))+1)),0)</f>
        <v/>
      </c>
      <c r="S2246">
        <f>IFERROR(O2246/N2246,0)</f>
        <v/>
      </c>
      <c r="T2246" t="n">
        <v>0</v>
      </c>
      <c r="V2246" t="n">
        <v>0</v>
      </c>
    </row>
    <row r="2247">
      <c r="A2247">
        <f>Skills!A16</f>
        <v/>
      </c>
      <c r="B2247">
        <f>Skills!B16</f>
        <v/>
      </c>
      <c r="C2247">
        <f>Inputs!$B$3&gt;=105</f>
        <v/>
      </c>
      <c r="D2247">
        <f>IF(Skills!C16=1,60+Inputs!$B$25+Inputs!$B$29,IF(Skills!C16=2,90+Inputs!$B$26+Inputs!$B$29,IF(Skills!C16=3,120+Inputs!$B$27+Inputs!$B$29,MAX(0,(Inputs!$B$3-100)*3)+Inputs!$B$28+Inputs!$B$29)))</f>
        <v/>
      </c>
      <c r="E2247">
        <f>INDEX(FactorTable!$B$2:$Y$301, MATCH(ROUND(MIN(300,MAX(1,D2247)),0), FactorTable!$A$2:$A$301,0), Skills!M16+1)</f>
        <v/>
      </c>
      <c r="F2247">
        <f>IF(Skills!N16=TRUE,(Skills!L16/10)*(E2247/1000),Skills!L16/10)+Skills!O16</f>
        <v/>
      </c>
      <c r="G2247">
        <f>Skills!G16*IF(Skills!H16&gt;0,Skills!I16/Skills!H16,1)</f>
        <v/>
      </c>
      <c r="H2247">
        <f>1-(1-Skills!J16/100)^Skills!K16</f>
        <v/>
      </c>
      <c r="I2247" t="inlineStr">
        <is>
          <t>1</t>
        </is>
      </c>
      <c r="J2247" t="inlineStr"/>
      <c r="K2247" t="inlineStr"/>
      <c r="L2247" t="inlineStr"/>
      <c r="M2247" t="inlineStr"/>
      <c r="N2247" t="inlineStr"/>
      <c r="O2247">
        <f>(1-Summary!$B$11)*T2247+Summary!$B$11*V2247</f>
        <v/>
      </c>
      <c r="P2247">
        <f>IF(B2268=0,0,O2247/B2268)</f>
        <v/>
      </c>
      <c r="Q2247">
        <f>IFERROR(1/(IF(Inputs!$B$38="pvp",15,MAX(0.1,Skills!D16-IF(Skills!E16=TRUE,Inputs!$B$32,0)))*(1-IF(AND(ArtifactsInput!$M$27,Inputs!$B$4="Chapter Hunt"),CHOOSE(ArtifactsInput!$N$27+1,20,24,28,32,36,40),0)/100)),0)</f>
        <v/>
      </c>
      <c r="R2247">
        <f>IF(AND(Inputs!$B$38&lt;&gt;"pvp",Inputs!$B$43&gt;0),IF(Inputs!$B$43&lt;=0,0,(INT(Inputs!$B$43/(IF(Inputs!$B$38="pvp",15,MAX(0.1,Skills!D16-IF(Skills!E16=TRUE,Inputs!$B$32,0)))*(1-IF(AND(ArtifactsInput!$M$27,Inputs!$B$4="Chapter Hunt"),CHOOSE(ArtifactsInput!$N$27+1,20,24,28,32,36,40),0)/100)))+1)),0)</f>
        <v/>
      </c>
      <c r="S2247">
        <f>IFERROR(O2247/N2247,0)</f>
        <v/>
      </c>
      <c r="T2247" t="n">
        <v>0</v>
      </c>
      <c r="V2247" t="n">
        <v>0</v>
      </c>
    </row>
    <row r="2248">
      <c r="A2248">
        <f>Skills!A17</f>
        <v/>
      </c>
      <c r="B2248">
        <f>Skills!B17</f>
        <v/>
      </c>
      <c r="C2248">
        <f>Inputs!$B$3&gt;=115</f>
        <v/>
      </c>
      <c r="D2248">
        <f>IF(Skills!C17=1,60+Inputs!$B$25+Inputs!$B$29,IF(Skills!C17=2,90+Inputs!$B$26+Inputs!$B$29,IF(Skills!C17=3,120+Inputs!$B$27+Inputs!$B$29,MAX(0,(Inputs!$B$3-100)*3)+Inputs!$B$28+Inputs!$B$29)))</f>
        <v/>
      </c>
      <c r="E2248">
        <f>INDEX(FactorTable!$B$2:$Y$301, MATCH(ROUND(MIN(300,MAX(1,D2248)),0), FactorTable!$A$2:$A$301,0), Skills!M17+1)</f>
        <v/>
      </c>
      <c r="F2248">
        <f>IF(Skills!N17=TRUE,(Skills!L17/10)*(E2248/1000),Skills!L17/10)+Skills!O17</f>
        <v/>
      </c>
      <c r="G2248">
        <f>Skills!G17*IF(Skills!H17&gt;0,Skills!I17/Skills!H17,1)</f>
        <v/>
      </c>
      <c r="H2248">
        <f>1-(1-Skills!J17/100)^Skills!K17</f>
        <v/>
      </c>
      <c r="I2248" t="inlineStr">
        <is>
          <t>1</t>
        </is>
      </c>
      <c r="J2248" t="inlineStr"/>
      <c r="K2248" t="inlineStr"/>
      <c r="L2248" t="inlineStr"/>
      <c r="M2248" t="inlineStr"/>
      <c r="N2248" t="inlineStr"/>
      <c r="O2248">
        <f>(1-Summary!$B$11)*T2248+Summary!$B$11*V2248</f>
        <v/>
      </c>
      <c r="P2248">
        <f>IF(B2268=0,0,O2248/B2268)</f>
        <v/>
      </c>
      <c r="Q2248">
        <f>IFERROR(1/(IF(Inputs!$B$38="pvp",15,MAX(0.1,Skills!D17-IF(Skills!E17=TRUE,Inputs!$B$32,0)))*(1-IF(AND(ArtifactsInput!$M$27,Inputs!$B$4="Chapter Hunt"),CHOOSE(ArtifactsInput!$N$27+1,20,24,28,32,36,40),0)/100)),0)</f>
        <v/>
      </c>
      <c r="R2248">
        <f>IF(AND(Inputs!$B$38&lt;&gt;"pvp",Inputs!$B$43&gt;0),IF(Inputs!$B$43&lt;=0,0,(INT(Inputs!$B$43/(IF(Inputs!$B$38="pvp",15,MAX(0.1,Skills!D17-IF(Skills!E17=TRUE,Inputs!$B$32,0)))*(1-IF(AND(ArtifactsInput!$M$27,Inputs!$B$4="Chapter Hunt"),CHOOSE(ArtifactsInput!$N$27+1,20,24,28,32,36,40),0)/100)))+1)),0)</f>
        <v/>
      </c>
      <c r="S2248">
        <f>IFERROR(O2248/N2248,0)</f>
        <v/>
      </c>
      <c r="T2248" t="n">
        <v>0</v>
      </c>
      <c r="V2248" t="n">
        <v>0</v>
      </c>
    </row>
    <row r="2249">
      <c r="A2249">
        <f>Skills!A18</f>
        <v/>
      </c>
      <c r="B2249">
        <f>Skills!B18</f>
        <v/>
      </c>
      <c r="C2249">
        <f>Inputs!$B$3&gt;=74</f>
        <v/>
      </c>
      <c r="D2249">
        <f>IF(Skills!C18=1,60+Inputs!$B$25+Inputs!$B$29,IF(Skills!C18=2,90+Inputs!$B$26+Inputs!$B$29,IF(Skills!C18=3,120+Inputs!$B$27+Inputs!$B$29,MAX(0,(Inputs!$B$3-100)*3)+Inputs!$B$28+Inputs!$B$29)))</f>
        <v/>
      </c>
      <c r="E2249">
        <f>INDEX(FactorTable!$B$2:$Y$301, MATCH(ROUND(MIN(300,MAX(1,D2249)),0), FactorTable!$A$2:$A$301,0), Skills!M18+1)</f>
        <v/>
      </c>
      <c r="F2249">
        <f>IF(Skills!N18=TRUE,(Skills!L18/10)*(E2249/1000),Skills!L18/10)+Skills!O18</f>
        <v/>
      </c>
      <c r="G2249">
        <f>Skills!G18*IF(Skills!H18&gt;0,Skills!I18/Skills!H18,1)</f>
        <v/>
      </c>
      <c r="H2249">
        <f>1-(1-Skills!J18/100)^Skills!K18</f>
        <v/>
      </c>
      <c r="I2249" t="inlineStr">
        <is>
          <t>1</t>
        </is>
      </c>
      <c r="J2249" t="inlineStr"/>
      <c r="K2249" t="inlineStr"/>
      <c r="L2249" t="inlineStr"/>
      <c r="M2249" t="inlineStr"/>
      <c r="N2249" t="inlineStr"/>
      <c r="O2249">
        <f>(1-Summary!$B$11)*T2249+Summary!$B$11*V2249</f>
        <v/>
      </c>
      <c r="P2249">
        <f>IF(B2268=0,0,O2249/B2268)</f>
        <v/>
      </c>
      <c r="Q2249">
        <f>IFERROR(1/(IF(Inputs!$B$38="pvp",15,MAX(0.1,Skills!D18-IF(Skills!E18=TRUE,Inputs!$B$32,0)))*(1-IF(AND(ArtifactsInput!$M$27,Inputs!$B$4="Chapter Hunt"),CHOOSE(ArtifactsInput!$N$27+1,20,24,28,32,36,40),0)/100)),0)</f>
        <v/>
      </c>
      <c r="R2249">
        <f>IF(AND(Inputs!$B$38&lt;&gt;"pvp",Inputs!$B$43&gt;0),IF(Inputs!$B$43&lt;=0,0,(INT(Inputs!$B$43/(IF(Inputs!$B$38="pvp",15,MAX(0.1,Skills!D18-IF(Skills!E18=TRUE,Inputs!$B$32,0)))*(1-IF(AND(ArtifactsInput!$M$27,Inputs!$B$4="Chapter Hunt"),CHOOSE(ArtifactsInput!$N$27+1,20,24,28,32,36,40),0)/100)))+1)),0)</f>
        <v/>
      </c>
      <c r="S2249">
        <f>IFERROR(O2249/N2249,0)</f>
        <v/>
      </c>
      <c r="T2249" t="n">
        <v>0</v>
      </c>
      <c r="V2249" t="n">
        <v>0</v>
      </c>
    </row>
    <row r="2250">
      <c r="A2250">
        <f>Skills!A19</f>
        <v/>
      </c>
      <c r="B2250">
        <f>Skills!B19</f>
        <v/>
      </c>
      <c r="C2250">
        <f>TRUE</f>
        <v/>
      </c>
      <c r="D2250">
        <f>IF(Skills!C19=1,60+Inputs!$B$25+Inputs!$B$29,IF(Skills!C19=2,90+Inputs!$B$26+Inputs!$B$29,IF(Skills!C19=3,120+Inputs!$B$27+Inputs!$B$29,MAX(0,(Inputs!$B$3-100)*3)+Inputs!$B$28+Inputs!$B$29)))</f>
        <v/>
      </c>
      <c r="E2250">
        <f>INDEX(FactorTable!$B$2:$Y$301, MATCH(ROUND(MIN(300,MAX(1,D2250)),0), FactorTable!$A$2:$A$301,0), Skills!M19+1)</f>
        <v/>
      </c>
      <c r="F2250">
        <f>IF(Skills!N19=TRUE,(Skills!L19/10)*(E2250/1000),Skills!L19/10)+Skills!O19</f>
        <v/>
      </c>
      <c r="G2250">
        <f>Skills!G19*IF(Skills!H19&gt;0,Skills!I19/Skills!H19,1)</f>
        <v/>
      </c>
      <c r="H2250">
        <f>1-(1-Skills!J19/100)^Skills!K19</f>
        <v/>
      </c>
      <c r="I2250" t="inlineStr">
        <is>
          <t>1</t>
        </is>
      </c>
      <c r="J2250" t="inlineStr"/>
      <c r="K2250" t="inlineStr"/>
      <c r="L2250" t="inlineStr"/>
      <c r="M2250" t="inlineStr"/>
      <c r="N2250" t="inlineStr"/>
      <c r="O2250">
        <f>(1-Summary!$B$11)*T2250+Summary!$B$11*V2250</f>
        <v/>
      </c>
      <c r="P2250">
        <f>IF(B2268=0,0,O2250/B2268)</f>
        <v/>
      </c>
      <c r="Q2250">
        <f>IFERROR(1/(IF(Inputs!$B$38="pvp",15,MAX(0.1,Skills!D19-IF(Skills!E19=TRUE,Inputs!$B$32,0)))*(1-IF(AND(ArtifactsInput!$M$27,Inputs!$B$4="Chapter Hunt"),CHOOSE(ArtifactsInput!$N$27+1,20,24,28,32,36,40),0)/100)),0)</f>
        <v/>
      </c>
      <c r="R2250">
        <f>IF(AND(Inputs!$B$38&lt;&gt;"pvp",Inputs!$B$43&gt;0),IF(Inputs!$B$43&lt;=0,0,(INT(Inputs!$B$43/(IF(Inputs!$B$38="pvp",15,MAX(0.1,Skills!D19-IF(Skills!E19=TRUE,Inputs!$B$32,0)))*(1-IF(AND(ArtifactsInput!$M$27,Inputs!$B$4="Chapter Hunt"),CHOOSE(ArtifactsInput!$N$27+1,20,24,28,32,36,40),0)/100)))+1)),0)</f>
        <v/>
      </c>
      <c r="S2250">
        <f>IFERROR(O2250/N2250,0)</f>
        <v/>
      </c>
      <c r="T2250" t="n">
        <v>0</v>
      </c>
      <c r="V2250" t="n">
        <v>0</v>
      </c>
    </row>
    <row r="2251">
      <c r="A2251">
        <f>Skills!A20</f>
        <v/>
      </c>
      <c r="B2251">
        <f>Skills!B20</f>
        <v/>
      </c>
      <c r="C2251">
        <f>Inputs!$B$3&gt;=33</f>
        <v/>
      </c>
      <c r="D2251">
        <f>IF(Skills!C20=1,60+Inputs!$B$25+Inputs!$B$29,IF(Skills!C20=2,90+Inputs!$B$26+Inputs!$B$29,IF(Skills!C20=3,120+Inputs!$B$27+Inputs!$B$29,MAX(0,(Inputs!$B$3-100)*3)+Inputs!$B$28+Inputs!$B$29)))</f>
        <v/>
      </c>
      <c r="E2251">
        <f>INDEX(FactorTable!$B$2:$Y$301, MATCH(ROUND(MIN(300,MAX(1,D2251)),0), FactorTable!$A$2:$A$301,0), Skills!M20+1)</f>
        <v/>
      </c>
      <c r="F2251">
        <f>IF(Skills!N20=TRUE,(Skills!L20/10)*(E2251/1000),Skills!L20/10)+Skills!O20</f>
        <v/>
      </c>
      <c r="G2251">
        <f>Skills!G20*IF(Skills!H20&gt;0,Skills!I20/Skills!H20,1)</f>
        <v/>
      </c>
      <c r="H2251">
        <f>1-(1-Skills!J20/100)^Skills!K20</f>
        <v/>
      </c>
      <c r="I2251" t="inlineStr">
        <is>
          <t>1</t>
        </is>
      </c>
      <c r="J2251" t="inlineStr"/>
      <c r="K2251" t="inlineStr"/>
      <c r="L2251" t="inlineStr"/>
      <c r="M2251" t="inlineStr"/>
      <c r="N2251" t="inlineStr"/>
      <c r="O2251">
        <f>(1-Summary!$B$11)*T2251+Summary!$B$11*V2251</f>
        <v/>
      </c>
      <c r="P2251">
        <f>IF(B2268=0,0,O2251/B2268)</f>
        <v/>
      </c>
      <c r="Q2251" t="n">
        <v>0</v>
      </c>
      <c r="R2251" t="n">
        <v>0</v>
      </c>
      <c r="S2251">
        <f>IFERROR(O2251/N2251,0)</f>
        <v/>
      </c>
      <c r="T2251" t="n">
        <v>0</v>
      </c>
      <c r="V2251" t="n">
        <v>0</v>
      </c>
    </row>
    <row r="2252">
      <c r="A2252">
        <f>Skills!A21</f>
        <v/>
      </c>
      <c r="B2252">
        <f>Skills!B21</f>
        <v/>
      </c>
      <c r="C2252">
        <f>Inputs!$B$3&gt;=38</f>
        <v/>
      </c>
      <c r="D2252">
        <f>IF(Skills!C21=1,60+Inputs!$B$25+Inputs!$B$29,IF(Skills!C21=2,90+Inputs!$B$26+Inputs!$B$29,IF(Skills!C21=3,120+Inputs!$B$27+Inputs!$B$29,MAX(0,(Inputs!$B$3-100)*3)+Inputs!$B$28+Inputs!$B$29)))</f>
        <v/>
      </c>
      <c r="E2252">
        <f>INDEX(FactorTable!$B$2:$Y$301, MATCH(ROUND(MIN(300,MAX(1,D2252)),0), FactorTable!$A$2:$A$301,0), Skills!M21+1)</f>
        <v/>
      </c>
      <c r="F2252">
        <f>IF(Skills!N21=TRUE,(Skills!L21/10)*(E2252/1000),Skills!L21/10)+Skills!O21</f>
        <v/>
      </c>
      <c r="G2252">
        <f>Skills!G21*IF(Skills!H21&gt;0,Skills!I21/Skills!H21,1)</f>
        <v/>
      </c>
      <c r="H2252">
        <f>1-(1-Skills!J21/100)^Skills!K21</f>
        <v/>
      </c>
      <c r="I2252" t="inlineStr">
        <is>
          <t>1</t>
        </is>
      </c>
      <c r="J2252" t="inlineStr"/>
      <c r="K2252" t="inlineStr"/>
      <c r="L2252" t="inlineStr"/>
      <c r="M2252" t="inlineStr"/>
      <c r="N2252" t="inlineStr"/>
      <c r="O2252">
        <f>(1-Summary!$B$11)*T2252+Summary!$B$11*V2252</f>
        <v/>
      </c>
      <c r="P2252">
        <f>IF(B2268=0,0,O2252/B2268)</f>
        <v/>
      </c>
      <c r="Q2252" t="n">
        <v>0</v>
      </c>
      <c r="R2252" t="n">
        <v>0</v>
      </c>
      <c r="S2252">
        <f>IFERROR(O2252/N2252,0)</f>
        <v/>
      </c>
      <c r="T2252" t="n">
        <v>0</v>
      </c>
      <c r="V2252" t="n">
        <v>0</v>
      </c>
    </row>
    <row r="2253">
      <c r="A2253">
        <f>Skills!A22</f>
        <v/>
      </c>
      <c r="B2253">
        <f>Skills!B22</f>
        <v/>
      </c>
      <c r="C2253">
        <f>Inputs!$B$3&gt;=43</f>
        <v/>
      </c>
      <c r="D2253">
        <f>IF(Skills!C22=1,60+Inputs!$B$25+Inputs!$B$29,IF(Skills!C22=2,90+Inputs!$B$26+Inputs!$B$29,IF(Skills!C22=3,120+Inputs!$B$27+Inputs!$B$29,MAX(0,(Inputs!$B$3-100)*3)+Inputs!$B$28+Inputs!$B$29)))</f>
        <v/>
      </c>
      <c r="E2253">
        <f>INDEX(FactorTable!$B$2:$Y$301, MATCH(ROUND(MIN(300,MAX(1,D2253)),0), FactorTable!$A$2:$A$301,0), Skills!M22+1)</f>
        <v/>
      </c>
      <c r="F2253">
        <f>IF(Skills!N22=TRUE,(Skills!L22/10)*(E2253/1000),Skills!L22/10)+Skills!O22</f>
        <v/>
      </c>
      <c r="G2253">
        <f>Skills!G22*IF(Skills!H22&gt;0,Skills!I22/Skills!H22,1)</f>
        <v/>
      </c>
      <c r="H2253">
        <f>1-(1-Skills!J22/100)^Skills!K22</f>
        <v/>
      </c>
      <c r="I2253" t="inlineStr">
        <is>
          <t>1</t>
        </is>
      </c>
      <c r="J2253" t="inlineStr"/>
      <c r="K2253" t="inlineStr"/>
      <c r="L2253" t="inlineStr"/>
      <c r="M2253" t="inlineStr"/>
      <c r="N2253" t="inlineStr"/>
      <c r="O2253">
        <f>(1-Summary!$B$11)*T2253+Summary!$B$11*V2253</f>
        <v/>
      </c>
      <c r="P2253">
        <f>IF(B2268=0,0,O2253/B2268)</f>
        <v/>
      </c>
      <c r="Q2253" t="n">
        <v>0</v>
      </c>
      <c r="R2253" t="n">
        <v>0</v>
      </c>
      <c r="S2253">
        <f>IFERROR(O2253/N2253,0)</f>
        <v/>
      </c>
      <c r="T2253" t="n">
        <v>0</v>
      </c>
      <c r="V2253" t="n">
        <v>0</v>
      </c>
    </row>
    <row r="2254">
      <c r="A2254">
        <f>Skills!A23</f>
        <v/>
      </c>
      <c r="B2254">
        <f>Skills!B23</f>
        <v/>
      </c>
      <c r="C2254">
        <f>Inputs!$B$3&gt;=120</f>
        <v/>
      </c>
      <c r="D2254">
        <f>IF(Skills!C23=1,60+Inputs!$B$25+Inputs!$B$29,IF(Skills!C23=2,90+Inputs!$B$26+Inputs!$B$29,IF(Skills!C23=3,120+Inputs!$B$27+Inputs!$B$29,MAX(0,(Inputs!$B$3-100)*3)+Inputs!$B$28+Inputs!$B$29)))</f>
        <v/>
      </c>
      <c r="E2254">
        <f>INDEX(FactorTable!$B$2:$Y$301, MATCH(ROUND(MIN(300,MAX(1,D2254)),0), FactorTable!$A$2:$A$301,0), Skills!M23+1)</f>
        <v/>
      </c>
      <c r="F2254">
        <f>IF(Skills!N23=TRUE,(Skills!L23/10)*(E2254/1000),Skills!L23/10)+Skills!O23</f>
        <v/>
      </c>
      <c r="G2254">
        <f>Skills!G23*IF(Skills!H23&gt;0,Skills!I23/Skills!H23,1)</f>
        <v/>
      </c>
      <c r="H2254">
        <f>1-(1-Skills!J23/100)^Skills!K23</f>
        <v/>
      </c>
      <c r="I2254" t="inlineStr">
        <is>
          <t>1</t>
        </is>
      </c>
      <c r="J2254" t="inlineStr"/>
      <c r="K2254" t="inlineStr"/>
      <c r="L2254" t="inlineStr"/>
      <c r="M2254" t="inlineStr"/>
      <c r="N2254" t="inlineStr"/>
      <c r="O2254">
        <f>(1-Summary!$B$11)*T2254+Summary!$B$11*V2254</f>
        <v/>
      </c>
      <c r="P2254">
        <f>IF(B2268=0,0,O2254/B2268)</f>
        <v/>
      </c>
      <c r="Q2254" t="n">
        <v>0</v>
      </c>
      <c r="R2254" t="n">
        <v>0</v>
      </c>
      <c r="S2254">
        <f>IFERROR(O2254/N2254,0)</f>
        <v/>
      </c>
      <c r="T2254" t="n">
        <v>0</v>
      </c>
      <c r="V2254" t="n">
        <v>0</v>
      </c>
    </row>
    <row r="2255">
      <c r="A2255">
        <f>Skills!A24</f>
        <v/>
      </c>
      <c r="B2255">
        <f>Skills!B24</f>
        <v/>
      </c>
      <c r="C2255">
        <f>Inputs!$B$3&gt;=120</f>
        <v/>
      </c>
      <c r="D2255">
        <f>IF(Skills!C24=1,60+Inputs!$B$25+Inputs!$B$29,IF(Skills!C24=2,90+Inputs!$B$26+Inputs!$B$29,IF(Skills!C24=3,120+Inputs!$B$27+Inputs!$B$29,MAX(0,(Inputs!$B$3-100)*3)+Inputs!$B$28+Inputs!$B$29)))</f>
        <v/>
      </c>
      <c r="E2255">
        <f>INDEX(FactorTable!$B$2:$Y$301, MATCH(ROUND(MIN(300,MAX(1,D2255)),0), FactorTable!$A$2:$A$301,0), Skills!M24+1)</f>
        <v/>
      </c>
      <c r="F2255">
        <f>IF(Skills!N24=TRUE,(Skills!L24/10)*(E2255/1000),Skills!L24/10)+Skills!O24</f>
        <v/>
      </c>
      <c r="G2255">
        <f>Skills!G24*IF(Skills!H24&gt;0,Skills!I24/Skills!H24,1)</f>
        <v/>
      </c>
      <c r="H2255">
        <f>1-(1-Skills!J24/100)^Skills!K24</f>
        <v/>
      </c>
      <c r="I2255" t="inlineStr">
        <is>
          <t>1</t>
        </is>
      </c>
      <c r="J2255" t="inlineStr"/>
      <c r="K2255" t="inlineStr"/>
      <c r="L2255" t="inlineStr"/>
      <c r="M2255" t="inlineStr"/>
      <c r="N2255" t="inlineStr"/>
      <c r="O2255">
        <f>(1-Summary!$B$11)*T2255+Summary!$B$11*V2255</f>
        <v/>
      </c>
      <c r="P2255">
        <f>IF(B2268=0,0,O2255/B2268)</f>
        <v/>
      </c>
      <c r="Q2255" t="n">
        <v>0</v>
      </c>
      <c r="R2255" t="n">
        <v>0</v>
      </c>
      <c r="S2255">
        <f>IFERROR(O2255/N2255,0)</f>
        <v/>
      </c>
      <c r="T2255" t="n">
        <v>0</v>
      </c>
      <c r="V2255" t="n">
        <v>0</v>
      </c>
    </row>
    <row r="2257">
      <c r="A2257" t="inlineStr">
        <is>
          <t>Attack% Bucket Multiplier</t>
        </is>
      </c>
      <c r="B2257">
        <f>(1+(((C2244=TRUE)*F2244*MIN(1,Skills!T13*(Skills!J13/100)*B2262))+((C2249=TRUE)*F2249*IF(AND(Inputs!$B$38&lt;&gt;"pvp",Inputs!$B$43&gt;0),(((R2249-1)*(Skills!T18*(1+Inputs!$B$34/100))+MIN((Skills!T18*(1+Inputs!$B$34/100)),MAX(0,Inputs!$B$43-((R2249-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58">
      <c r="A2258" t="inlineStr">
        <is>
          <t>Global Crit Rate Bonus %</t>
        </is>
      </c>
      <c r="B2258" t="n">
        <v>0</v>
      </c>
    </row>
    <row r="2259">
      <c r="A2259" t="inlineStr">
        <is>
          <t>Attack Speed Buff Bonus %</t>
        </is>
      </c>
      <c r="B2259">
        <f>((C2250=TRUE)*F2250*IF(AND(Inputs!$B$38&lt;&gt;"pvp",Inputs!$B$43&gt;0),(((R2250-1)*(Skills!T19*(1+Inputs!$B$34/100))+MIN((Skills!T19*(1+Inputs!$B$34/100)),MAX(0,Inputs!$B$43-((R2250-1)*Skills!D19))))/Inputs!$B$43),IF(Inputs!$B$38="pvp",MIN((Skills!T19*(1+Inputs!$B$34/100)),15)/15,(Skills!T19*(1+Inputs!$B$34/100))/Skills!D19)))</f>
        <v/>
      </c>
    </row>
    <row r="2260">
      <c r="A2260" t="inlineStr">
        <is>
          <t>Actions Per Second</t>
        </is>
      </c>
      <c r="B2260">
        <f>1+MIN(150,150*(1-(1-(Inputs!$B$11+((C2251=TRUE)*(F2251-Calc!F20)))/150)*(1-B2259/150)))/100</f>
        <v/>
      </c>
    </row>
    <row r="2261">
      <c r="A2261" t="inlineStr">
        <is>
          <t>Skill + Buff Cast Rate</t>
        </is>
      </c>
      <c r="B2261">
        <f>IF(AND(Inputs!$B$38&lt;&gt;"pvp",Inputs!$B$43&gt;0),SUMPRODUCT((Skills!E2:E24=TRUE)*(C2233:C2255=TRUE)*R2233:R2255*Skills!F2:F24)/Inputs!$B$43,SUMPRODUCT((Skills!E2:E24=TRUE)*(C2233:C2255=TRUE)*Q2233:Q2255*Skills!F2:F24))</f>
        <v/>
      </c>
    </row>
    <row r="2262">
      <c r="A2262" t="inlineStr">
        <is>
          <t>Blast Casts Per Second</t>
        </is>
      </c>
      <c r="B2262">
        <f>MAX(0,B2260-B2261)</f>
        <v/>
      </c>
    </row>
    <row r="2263">
      <c r="A2263" t="inlineStr">
        <is>
          <t>Global Critical Damage Bonus % (unused)</t>
        </is>
      </c>
      <c r="B2263" t="n">
        <v>0</v>
      </c>
    </row>
    <row r="2264">
      <c r="A2264" t="inlineStr">
        <is>
          <t>Global Final Damage Bonus % (Divine Shield + Guardian + Divine Blessing + Greater Vessel of Light)</t>
        </is>
      </c>
      <c r="B2264">
        <f>((C2246=TRUE)*F2246*IF(AND(Inputs!$B$38&lt;&gt;"pvp",Inputs!$B$43&gt;0),(((R2246-1)*(Skills!T15*(1+Inputs!$B$34/100))+MIN((Skills!T15*(1+Inputs!$B$34/100)),MAX(0,Inputs!$B$43-((R2246-1)*Skills!D15))))/Inputs!$B$43),IF(Inputs!$B$38="pvp",MIN((Skills!T15*(1+Inputs!$B$34/100)),15)/15,(Skills!T15*(1+Inputs!$B$34/100))/Skills!D15)))+((C2247=TRUE)*F2247*IF(AND(Inputs!$B$38&lt;&gt;"pvp",Inputs!$B$43&gt;0),(((R2247-1)*(Skills!T16*(1+Inputs!$B$34/100))+MIN((Skills!T16*(1+Inputs!$B$34/100)),MAX(0,Inputs!$B$43-((R2247-1)*Skills!D16))))/Inputs!$B$43),IF(Inputs!$B$38="pvp",MIN((Skills!T16*(1+Inputs!$B$34/100)),15)/15,(Skills!T16*(1+Inputs!$B$34/100))/Skills!D16)))+((C2248=TRUE)*F2248*IF(AND(Inputs!$B$38&lt;&gt;"pvp",Inputs!$B$43&gt;0),(((R2248-1)*(Skills!T17*(1+Inputs!$B$34/100))+MIN((Skills!T17*(1+Inputs!$B$34/100)),MAX(0,Inputs!$B$43-((R2248-1)*Skills!D17))))/Inputs!$B$43),IF(Inputs!$B$38="pvp",MIN((Skills!T17*(1+Inputs!$B$34/100)),15)/15,(Skills!T17*(1+Inputs!$B$34/100))/Skills!D17)))+((C2245=TRUE)*F2245*MIN(1,Skills!T13*(Skills!J13/100)*B2262))</f>
        <v/>
      </c>
    </row>
    <row r="2265">
      <c r="A2265" t="inlineStr">
        <is>
          <t>Buff-Casting Startup Delay (s, fixed-duration only)</t>
        </is>
      </c>
      <c r="B2265">
        <f>IF(AND(Inputs!$B$38&lt;&gt;"pvp",Inputs!$B$43&gt;0),SUMPRODUCT((Skills!T2:T24&gt;0)*(Skills!E2:E24=TRUE)*(C2233:C2255=TRUE))/B2260,0)</f>
        <v/>
      </c>
    </row>
    <row r="2266">
      <c r="A2266" t="inlineStr">
        <is>
          <t>Boss-Only Total DPS (this block's swept value)</t>
        </is>
      </c>
      <c r="B2266">
        <f>SUM(T2233:T2255)</f>
        <v/>
      </c>
    </row>
    <row r="2267">
      <c r="A2267" t="inlineStr">
        <is>
          <t>Normal-Only Total DPS (this block's swept value)</t>
        </is>
      </c>
      <c r="B2267">
        <f>SUM(V2233:V2255)</f>
        <v/>
      </c>
    </row>
    <row r="2268">
      <c r="A2268" s="6" t="inlineStr">
        <is>
          <t>TOTAL DPS</t>
        </is>
      </c>
      <c r="B2268" s="6">
        <f>SUM(O2233:O2255)</f>
        <v/>
      </c>
    </row>
    <row r="2271">
      <c r="A2271" s="6" t="inlineStr">
        <is>
          <t>Stat: Candle (Equip)</t>
        </is>
      </c>
    </row>
    <row r="2272">
      <c r="A2272" s="5" t="inlineStr">
        <is>
          <t>Key</t>
        </is>
      </c>
      <c r="B2272" s="5" t="inlineStr">
        <is>
          <t>Name</t>
        </is>
      </c>
      <c r="C2272" s="5" t="inlineStr">
        <is>
          <t>Unlocked</t>
        </is>
      </c>
      <c r="D2272" s="5" t="inlineStr">
        <is>
          <t>InputLevel</t>
        </is>
      </c>
      <c r="E2272" s="5" t="inlineStr">
        <is>
          <t>Factor</t>
        </is>
      </c>
      <c r="F2272" s="5" t="inlineStr">
        <is>
          <t>CoefficientPercent</t>
        </is>
      </c>
      <c r="G2272" s="5" t="inlineStr">
        <is>
          <t>EffectiveHits</t>
        </is>
      </c>
      <c r="H2272" s="5" t="inlineStr">
        <is>
          <t>ProcProbability</t>
        </is>
      </c>
      <c r="I2272" s="5" t="inlineStr">
        <is>
          <t>MapleHeroMultiplier</t>
        </is>
      </c>
      <c r="J2272" s="5" t="inlineStr">
        <is>
          <t>BaseDamage</t>
        </is>
      </c>
      <c r="K2272" s="5" t="inlineStr">
        <is>
          <t>BaseHitDamage</t>
        </is>
      </c>
      <c r="L2272" s="5" t="inlineStr">
        <is>
          <t>NonCritAvg</t>
        </is>
      </c>
      <c r="M2272" s="5" t="inlineStr">
        <is>
          <t>CritAvg</t>
        </is>
      </c>
      <c r="N2272" s="5" t="inlineStr">
        <is>
          <t>ExpectedDamage(perHit)</t>
        </is>
      </c>
      <c r="O2272" s="5" t="inlineStr">
        <is>
          <t>DPS</t>
        </is>
      </c>
      <c r="P2272" s="5" t="inlineStr">
        <is>
          <t>% of Total</t>
        </is>
      </c>
      <c r="Q2272" s="5" t="inlineStr">
        <is>
          <t>InvCooldown</t>
        </is>
      </c>
      <c r="R2272" s="5" t="inlineStr">
        <is>
          <t>CastsInFight</t>
        </is>
      </c>
      <c r="S2272" s="5" t="inlineStr">
        <is>
          <t>HitRate(perSec)</t>
        </is>
      </c>
      <c r="U2272" t="inlineStr">
        <is>
          <t>helpers</t>
        </is>
      </c>
    </row>
    <row r="2273">
      <c r="A2273">
        <f>Skills!A2</f>
        <v/>
      </c>
      <c r="B2273">
        <f>Skills!B2</f>
        <v/>
      </c>
      <c r="C2273">
        <f>Inputs!$B$3&gt;=100</f>
        <v/>
      </c>
      <c r="D2273" t="inlineStr"/>
      <c r="E2273" t="inlineStr"/>
      <c r="F2273">
        <f>U2275+Skills!O2</f>
        <v/>
      </c>
      <c r="G2273">
        <f>Skills!G2*IF(Skills!H2&gt;0,Skills!I2/Skills!H2,1)</f>
        <v/>
      </c>
      <c r="H2273">
        <f>1-(1-Skills!J2/100)^Skills!K2</f>
        <v/>
      </c>
      <c r="I2273" t="inlineStr">
        <is>
          <t>1</t>
        </is>
      </c>
      <c r="J2273">
        <f>((Inputs!$B$6*(1+Inputs!$B$7/100))+(((Inputs!$B$12*(1+Inputs!$B$13/100))-(Inputs!$B$12*(1+Inputs!$B$13/100)))+0.25*(Inputs!$B$14-Inputs!$B$14))*(1+Inputs!$B$7/100))*(F2273/100)</f>
        <v/>
      </c>
      <c r="K2273">
        <f>J2273*(1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2273)</f>
        <v/>
      </c>
      <c r="L2273">
        <f>K2273*(MIN(Inputs!$B$22+((C2293=TRUE)*(F2293-Calc!F22)),(Inputs!$B$23+((C2295=TRUE)*(F2295-Calc!F24))+(IF(ArtifactsInput!$M$15,CHOOSE(ArtifactsInput!$N$15+1,25,30,35,40,45,50)/100*(Inputs!$B$11-Inputs!$B$11),0))))/100+(Inputs!$B$23+((C2295=TRUE)*(F2295-Calc!F24))+(IF(ArtifactsInput!$M$15,CHOOSE(ArtifactsInput!$N$15+1,25,30,35,40,45,50)/100*(Inputs!$B$11-Inputs!$B$11),0)))/100)/2</f>
        <v/>
      </c>
      <c r="M2273">
        <f>L2273*(1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3">
        <f>L2273*(1-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2273*(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3">
        <f>(1-Summary!$B$11)*T2273+Summary!$B$11*V2273</f>
        <v/>
      </c>
      <c r="P2273">
        <f>IF(B2308=0,0,O2273/B2308)</f>
        <v/>
      </c>
      <c r="Q2273" t="n">
        <v>0</v>
      </c>
      <c r="R2273" t="n">
        <v>0</v>
      </c>
      <c r="S2273">
        <f>IFERROR(O2273/N2273,0)</f>
        <v/>
      </c>
      <c r="T2273">
        <f>IF(C2273,(Skills!G2*N2273*B2302)*IF(Inputs!$B$38="pvp",1,1+(Inputs!$B$20+0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2273*(1-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2273*(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2273*(1-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2273*(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3">
        <f>MAX(0,(Inputs!$B$3-100)*3)+Inputs!$B$28+Inputs!$B$29</f>
        <v/>
      </c>
      <c r="V2273">
        <f>IF(C2273,(Skills!G2*N2273*B2302)*IF(Inputs!$B$38="pvp",1,(1+(Inputs!$B$21+Skills!Q2+(IF(ArtifactsInput!$M$33,CHOOSE(ArtifactsInput!$N$33+1,30,36,42,48,54,60),0))+(IF(AND(ArtifactsInput!$M$35,Inputs!$B$4&lt;&gt;"Chapter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4">
      <c r="A2274">
        <f>Skills!A3</f>
        <v/>
      </c>
      <c r="B2274">
        <f>Skills!B3</f>
        <v/>
      </c>
      <c r="C2274">
        <f>Inputs!$B$3&gt;=50</f>
        <v/>
      </c>
      <c r="D2274">
        <f>IF(Skills!C3=1,60+Inputs!$B$25+Inputs!$B$29,IF(Skills!C3=2,90+Inputs!$B$26+Inputs!$B$29,IF(Skills!C3=3,120+Inputs!$B$27+Inputs!$B$29,MAX(0,(Inputs!$B$3-100)*3)+Inputs!$B$28+Inputs!$B$29)))</f>
        <v/>
      </c>
      <c r="E2274">
        <f>INDEX(FactorTable!$B$2:$Y$301, MATCH(ROUND(MIN(300,MAX(1,D2274)),0), FactorTable!$A$2:$A$301,0), Skills!M3+1)</f>
        <v/>
      </c>
      <c r="F2274">
        <f>IF(Skills!N3=TRUE,(Skills!L3/10)*(E2274/1000),Skills!L3/10)+Skills!O3</f>
        <v/>
      </c>
      <c r="G2274" t="inlineStr"/>
      <c r="H2274" t="inlineStr"/>
      <c r="I2274" t="inlineStr">
        <is>
          <t>1</t>
        </is>
      </c>
      <c r="J2274" t="inlineStr"/>
      <c r="K2274" t="inlineStr"/>
      <c r="L2274" t="inlineStr"/>
      <c r="M2274" t="inlineStr"/>
      <c r="N2274" t="inlineStr"/>
      <c r="O2274" t="inlineStr"/>
      <c r="P2274" t="inlineStr"/>
      <c r="Q2274" t="inlineStr"/>
      <c r="R2274" t="inlineStr"/>
      <c r="S2274" t="inlineStr"/>
      <c r="U2274">
        <f>INDEX(FactorTable!$B$2:$Y$301, MATCH(ROUND(MIN(300,MAX(1,U2273)),0), FactorTable!$A$2:$A$301,0), 22)</f>
        <v/>
      </c>
    </row>
    <row r="2275">
      <c r="A2275">
        <f>Skills!A4</f>
        <v/>
      </c>
      <c r="B2275">
        <f>Skills!B4</f>
        <v/>
      </c>
      <c r="C2275">
        <f>Inputs!$B$3&gt;=35</f>
        <v/>
      </c>
      <c r="D2275">
        <f>IF(Skills!C4=1,60+Inputs!$B$25+Inputs!$B$29,IF(Skills!C4=2,90+Inputs!$B$26+Inputs!$B$29,IF(Skills!C4=3,120+Inputs!$B$27+Inputs!$B$29,MAX(0,(Inputs!$B$3-100)*3)+Inputs!$B$28+Inputs!$B$29)))</f>
        <v/>
      </c>
      <c r="E2275">
        <f>INDEX(FactorTable!$B$2:$Y$301, MATCH(ROUND(MIN(300,MAX(1,D2275)),0), FactorTable!$A$2:$A$301,0), Skills!M4+1)</f>
        <v/>
      </c>
      <c r="F2275">
        <f>IF(Skills!N4=TRUE,(Skills!L4/10)*(E2275/1000),Skills!L4/10)+Skills!O4</f>
        <v/>
      </c>
      <c r="G2275">
        <f>Skills!G4*IF(Skills!H4&gt;0,Skills!I4/Skills!H4,1)</f>
        <v/>
      </c>
      <c r="H2275">
        <f>1-(1-Skills!J4/100)^Skills!K4</f>
        <v/>
      </c>
      <c r="I2275" t="inlineStr">
        <is>
          <t>1</t>
        </is>
      </c>
      <c r="J2275">
        <f>((Inputs!$B$6*(1+Inputs!$B$7/100))+(((Inputs!$B$12*(1+Inputs!$B$13/100))-(Inputs!$B$12*(1+Inputs!$B$13/100)))+0.25*(Inputs!$B$14-Inputs!$B$14))*(1+Inputs!$B$7/100))*(F2275/100)</f>
        <v/>
      </c>
      <c r="K2275">
        <f>J2275*(1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2283=TRUE,F2283,0)/100)*(1+(IF(Skills!A4="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2275)</f>
        <v/>
      </c>
      <c r="L2275">
        <f>K2275*(MIN(Inputs!$B$22+((C2293=TRUE)*(F2293-Calc!F22)),(Inputs!$B$23+((C2295=TRUE)*(F2295-Calc!F24))+(IF(ArtifactsInput!$M$15,CHOOSE(ArtifactsInput!$N$15+1,25,30,35,40,45,50)/100*(Inputs!$B$11-Inputs!$B$11),0))))/100+(Inputs!$B$23+((C2295=TRUE)*(F2295-Calc!F24))+(IF(ArtifactsInput!$M$15,CHOOSE(ArtifactsInput!$N$15+1,25,30,35,40,45,50)/100*(Inputs!$B$11-Inputs!$B$11),0)))/100)/2</f>
        <v/>
      </c>
      <c r="M2275">
        <f>L2275*(1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5">
        <f>L2275*(1-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2275*(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5">
        <f>(1-Summary!$B$11)*T2275+Summary!$B$11*V2275</f>
        <v/>
      </c>
      <c r="P2275">
        <f>IF(B2308=0,0,O2275/B2308)</f>
        <v/>
      </c>
      <c r="Q2275">
        <f>IFERROR(1/(IF(Inputs!$B$38="pvp",15,MAX(0.1,Skills!D4-IF(Skills!E4=TRUE,Inputs!$B$32,0)))*(1-IF(AND(ArtifactsInput!$M$27,Inputs!$B$4="Chapter Hunt"),CHOOSE(ArtifactsInput!$N$27+1,20,24,28,32,36,40),0)/100)),0)</f>
        <v/>
      </c>
      <c r="R2275">
        <f>IF(AND(Inputs!$B$38&lt;&gt;"pvp",Inputs!$B$43&gt;0),IF(MAX(0,Inputs!$B$43-B2305)&lt;=0,0,(INT(MAX(0,Inputs!$B$43-B2305)/(IF(Inputs!$B$38="pvp",15,MAX(0.1,Skills!D4-IF(Skills!E4=TRUE,Inputs!$B$32,0)))*(1-IF(AND(ArtifactsInput!$M$27,Inputs!$B$4="Chapter Hunt"),CHOOSE(ArtifactsInput!$N$27+1,20,24,28,32,36,40),0)/100)))+1)),0)</f>
        <v/>
      </c>
      <c r="S2275">
        <f>IFERROR(O2275/N2275,0)</f>
        <v/>
      </c>
      <c r="T2275">
        <f>IF(C2275,(H2275*N2275*IF(AND(Inputs!$B$38&lt;&gt;"pvp",Inputs!$B$43&gt;0),((Skills!G4*((R2275-1)*IF(Skills!H4&gt;0,Skills!I4/Skills!H4,1)+IF(Skills!H4&gt;0,MIN(Skills!I4,MAX(0,MAX(0,Inputs!$B$43-B2305)-((R2275-1)*(IF(Inputs!$B$38="pvp",15,MAX(0.1,Skills!D4-IF(Skills!E4=TRUE,Inputs!$B$32,0)))*(1-IF(AND(ArtifactsInput!$M$27,Inputs!$B$4="Chapter Hunt"),CHOOSE(ArtifactsInput!$N$27+1,20,24,28,32,36,40),0)/100)))))/Skills!H4,1)))/Inputs!$B$43),G2275*Q2275))*IF(Inputs!$B$38="pvp",1,1+(Inputs!$B$20+0+Skills!P4+(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2275*(1-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2275*(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2275*(1-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2275*(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5">
        <f>290*U2274/1000</f>
        <v/>
      </c>
      <c r="V2275">
        <f>IF(C2275,(H2275*N2275*IF(AND(Inputs!$B$38&lt;&gt;"pvp",Inputs!$B$43&gt;0),((Skills!G4*((R2275-1)*IF(Skills!H4&gt;0,Skills!I4/Skills!H4,1)+IF(Skills!H4&gt;0,MIN(Skills!I4,MAX(0,MAX(0,Inputs!$B$43-B2305)-((R2275-1)*(IF(Inputs!$B$38="pvp",15,MAX(0.1,Skills!D4-IF(Skills!E4=TRUE,Inputs!$B$32,0)))*(1-IF(AND(ArtifactsInput!$M$27,Inputs!$B$4="Chapter Hunt"),CHOOSE(ArtifactsInput!$N$27+1,20,24,28,32,36,40),0)/100)))))/Skills!H4,1)))/Inputs!$B$43),G2275*Q2275))*IF(Inputs!$B$38="pvp",1,(1+(Inputs!$B$21+Skills!Q4+(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6">
      <c r="A2276">
        <f>Skills!A5</f>
        <v/>
      </c>
      <c r="B2276">
        <f>Skills!B5</f>
        <v/>
      </c>
      <c r="C2276">
        <f>Inputs!$B$3&gt;=66</f>
        <v/>
      </c>
      <c r="D2276">
        <f>IF(Skills!C5=1,60+Inputs!$B$25+Inputs!$B$29,IF(Skills!C5=2,90+Inputs!$B$26+Inputs!$B$29,IF(Skills!C5=3,120+Inputs!$B$27+Inputs!$B$29,MAX(0,(Inputs!$B$3-100)*3)+Inputs!$B$28+Inputs!$B$29)))</f>
        <v/>
      </c>
      <c r="E2276">
        <f>INDEX(FactorTable!$B$2:$Y$301, MATCH(ROUND(MIN(300,MAX(1,D2276)),0), FactorTable!$A$2:$A$301,0), Skills!M5+1)</f>
        <v/>
      </c>
      <c r="F2276">
        <f>IF(Skills!N5=TRUE,(Skills!L5/10)*(E2276/1000),Skills!L5/10)+Skills!O5</f>
        <v/>
      </c>
      <c r="G2276">
        <f>Skills!G5*IF(Skills!H5&gt;0,Skills!I5/Skills!H5,1)</f>
        <v/>
      </c>
      <c r="H2276">
        <f>1-(1-Skills!J5/100)^Skills!K5</f>
        <v/>
      </c>
      <c r="I2276" t="inlineStr">
        <is>
          <t>1</t>
        </is>
      </c>
      <c r="J2276">
        <f>((Inputs!$B$6*(1+Inputs!$B$7/100))+(((Inputs!$B$12*(1+Inputs!$B$13/100))-(Inputs!$B$12*(1+Inputs!$B$13/100)))+0.25*(Inputs!$B$14-Inputs!$B$14))*(1+Inputs!$B$7/100))*(F2276/100)</f>
        <v/>
      </c>
      <c r="K2276">
        <f>J2276*(1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2283=TRUE,F2283,0)/100)*(1+(IF(Skills!A5="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2276)</f>
        <v/>
      </c>
      <c r="L2276">
        <f>K2276*(MIN(Inputs!$B$22+((C2293=TRUE)*(F2293-Calc!F22)),(Inputs!$B$23+((C2295=TRUE)*(F2295-Calc!F24))+(IF(ArtifactsInput!$M$15,CHOOSE(ArtifactsInput!$N$15+1,25,30,35,40,45,50)/100*(Inputs!$B$11-Inputs!$B$11),0))))/100+(Inputs!$B$23+((C2295=TRUE)*(F2295-Calc!F24))+(IF(ArtifactsInput!$M$15,CHOOSE(ArtifactsInput!$N$15+1,25,30,35,40,45,50)/100*(Inputs!$B$11-Inputs!$B$11),0)))/100)/2</f>
        <v/>
      </c>
      <c r="M2276">
        <f>L2276*(1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6">
        <f>L2276*(1-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2276*(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6">
        <f>(1-Summary!$B$11)*T2276+Summary!$B$11*V2276</f>
        <v/>
      </c>
      <c r="P2276">
        <f>IF(B2308=0,0,O2276/B2308)</f>
        <v/>
      </c>
      <c r="Q2276">
        <f>IFERROR(1/(IF(Inputs!$B$38="pvp",15,MAX(0.1,Skills!D5-IF(Skills!E5=TRUE,Inputs!$B$32,0)))*(1-IF(AND(ArtifactsInput!$M$27,Inputs!$B$4="Chapter Hunt"),CHOOSE(ArtifactsInput!$N$27+1,20,24,28,32,36,40),0)/100)),0)</f>
        <v/>
      </c>
      <c r="R2276">
        <f>IF(AND(Inputs!$B$38&lt;&gt;"pvp",Inputs!$B$43&gt;0),IF(MAX(0,Inputs!$B$43-B2305)&lt;=0,0,(INT(MAX(0,Inputs!$B$43-B2305)/(IF(Inputs!$B$38="pvp",15,MAX(0.1,Skills!D5-IF(Skills!E5=TRUE,Inputs!$B$32,0)))*(1-IF(AND(ArtifactsInput!$M$27,Inputs!$B$4="Chapter Hunt"),CHOOSE(ArtifactsInput!$N$27+1,20,24,28,32,36,40),0)/100)))+1)),0)</f>
        <v/>
      </c>
      <c r="S2276">
        <f>IFERROR(O2276/N2276,0)</f>
        <v/>
      </c>
      <c r="T2276">
        <f>IF(C2276,(H2276*N2276*IF(AND(Inputs!$B$38&lt;&gt;"pvp",Inputs!$B$43&gt;0),((Skills!G5*((R2276-1)*IF(Skills!H5&gt;0,Skills!I5/Skills!H5,1)+IF(Skills!H5&gt;0,MIN(Skills!I5,MAX(0,MAX(0,Inputs!$B$43-B2305)-((R2276-1)*(IF(Inputs!$B$38="pvp",15,MAX(0.1,Skills!D5-IF(Skills!E5=TRUE,Inputs!$B$32,0)))*(1-IF(AND(ArtifactsInput!$M$27,Inputs!$B$4="Chapter Hunt"),CHOOSE(ArtifactsInput!$N$27+1,20,24,28,32,36,40),0)/100)))))/Skills!H5,1)))/Inputs!$B$43),G2276*Q2276))*IF(Inputs!$B$38="pvp",1,1+(Inputs!$B$20+0+Skills!P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2276*(1-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2276*(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2276*(1-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2276*(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76">
        <f>IF(C2276,(H2276*N2276*IF(AND(Inputs!$B$38&lt;&gt;"pvp",Inputs!$B$43&gt;0),((Skills!G5*((R2276-1)*IF(Skills!H5&gt;0,Skills!I5/Skills!H5,1)+IF(Skills!H5&gt;0,MIN(Skills!I5,MAX(0,MAX(0,Inputs!$B$43-B2305)-((R2276-1)*(IF(Inputs!$B$38="pvp",15,MAX(0.1,Skills!D5-IF(Skills!E5=TRUE,Inputs!$B$32,0)))*(1-IF(AND(ArtifactsInput!$M$27,Inputs!$B$4="Chapter Hunt"),CHOOSE(ArtifactsInput!$N$27+1,20,24,28,32,36,40),0)/100)))))/Skills!H5,1)))/Inputs!$B$43),G2276*Q2276))*IF(Inputs!$B$38="pvp",1,(1+(Inputs!$B$21+Skills!Q5+(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7">
      <c r="A2277">
        <f>Skills!A6</f>
        <v/>
      </c>
      <c r="B2277">
        <f>Skills!B6</f>
        <v/>
      </c>
      <c r="C2277">
        <f>Inputs!$B$3&gt;=103</f>
        <v/>
      </c>
      <c r="D2277">
        <f>IF(Skills!C6=1,60+Inputs!$B$25+Inputs!$B$29,IF(Skills!C6=2,90+Inputs!$B$26+Inputs!$B$29,IF(Skills!C6=3,120+Inputs!$B$27+Inputs!$B$29,MAX(0,(Inputs!$B$3-100)*3)+Inputs!$B$28+Inputs!$B$29)))</f>
        <v/>
      </c>
      <c r="E2277">
        <f>INDEX(FactorTable!$B$2:$Y$301, MATCH(ROUND(MIN(300,MAX(1,D2277)),0), FactorTable!$A$2:$A$301,0), Skills!M6+1)</f>
        <v/>
      </c>
      <c r="F2277">
        <f>IF(Skills!N6=TRUE,(Skills!L6/10)*(E2277/1000),Skills!L6/10)+Skills!O6</f>
        <v/>
      </c>
      <c r="G2277">
        <f>Skills!G6*IF(Skills!H6&gt;0,Skills!I6/Skills!H6,1)</f>
        <v/>
      </c>
      <c r="H2277">
        <f>1-(1-Skills!J6/100)^Skills!K6</f>
        <v/>
      </c>
      <c r="I2277" t="inlineStr">
        <is>
          <t>1</t>
        </is>
      </c>
      <c r="J2277">
        <f>((Inputs!$B$6*(1+Inputs!$B$7/100))+(((Inputs!$B$12*(1+Inputs!$B$13/100))-(Inputs!$B$12*(1+Inputs!$B$13/100)))+0.25*(Inputs!$B$14-Inputs!$B$14))*(1+Inputs!$B$7/100))*(F2277/100)</f>
        <v/>
      </c>
      <c r="K2277">
        <f>J2277*(1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2277)</f>
        <v/>
      </c>
      <c r="L2277">
        <f>K2277*(MIN(Inputs!$B$22+((C2293=TRUE)*(F2293-Calc!F22)),(Inputs!$B$23+((C2295=TRUE)*(F2295-Calc!F24))+(IF(ArtifactsInput!$M$15,CHOOSE(ArtifactsInput!$N$15+1,25,30,35,40,45,50)/100*(Inputs!$B$11-Inputs!$B$11),0))))/100+(Inputs!$B$23+((C2295=TRUE)*(F2295-Calc!F24))+(IF(ArtifactsInput!$M$15,CHOOSE(ArtifactsInput!$N$15+1,25,30,35,40,45,50)/100*(Inputs!$B$11-Inputs!$B$11),0)))/100)/2</f>
        <v/>
      </c>
      <c r="M2277">
        <f>L2277*(1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7">
        <f>L2277*(1-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2277*(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7">
        <f>(1-Summary!$B$11)*T2277+Summary!$B$11*V2277</f>
        <v/>
      </c>
      <c r="P2277">
        <f>IF(B2308=0,0,O2277/B2308)</f>
        <v/>
      </c>
      <c r="Q2277">
        <f>IFERROR(1/(IF(Inputs!$B$38="pvp",15,MAX(0.1,Skills!D6-IF(Skills!E6=TRUE,Inputs!$B$32,0)))*(1-IF(AND(ArtifactsInput!$M$27,Inputs!$B$4="Chapter Hunt"),CHOOSE(ArtifactsInput!$N$27+1,20,24,28,32,36,40),0)/100)),0)</f>
        <v/>
      </c>
      <c r="R2277">
        <f>IF(AND(Inputs!$B$38&lt;&gt;"pvp",Inputs!$B$43&gt;0),IF(MAX(0,Inputs!$B$43-B2305)&lt;=0,0,(INT(MAX(0,Inputs!$B$43-B2305)/(IF(Inputs!$B$38="pvp",15,MAX(0.1,Skills!D6-IF(Skills!E6=TRUE,Inputs!$B$32,0)))*(1-IF(AND(ArtifactsInput!$M$27,Inputs!$B$4="Chapter Hunt"),CHOOSE(ArtifactsInput!$N$27+1,20,24,28,32,36,40),0)/100)))+1)),0)</f>
        <v/>
      </c>
      <c r="S2277">
        <f>IFERROR(O2277/N2277,0)</f>
        <v/>
      </c>
      <c r="T2277">
        <f>IF(C2277,(H2277*N2277*IF(AND(Inputs!$B$38&lt;&gt;"pvp",Inputs!$B$43&gt;0),((Skills!G6*((R2277-1)*IF(Skills!H6&gt;0,Skills!I6/Skills!H6,1)+IF(Skills!H6&gt;0,MIN(Skills!I6,MAX(0,MAX(0,Inputs!$B$43-B2305)-((R2277-1)*(IF(Inputs!$B$38="pvp",15,MAX(0.1,Skills!D6-IF(Skills!E6=TRUE,Inputs!$B$32,0)))*(1-IF(AND(ArtifactsInput!$M$27,Inputs!$B$4="Chapter Hunt"),CHOOSE(ArtifactsInput!$N$27+1,20,24,28,32,36,40),0)/100)))))/Skills!H6,1)))/Inputs!$B$43),G2277*Q2277))*IF(Inputs!$B$38="pvp",1,1+(Inputs!$B$20+0+Skills!P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2277*(1-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2277*(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2277*(1-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2277*(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77">
        <f>IF(C2277,(H2277*N2277*IF(AND(Inputs!$B$38&lt;&gt;"pvp",Inputs!$B$43&gt;0),((Skills!G6*((R2277-1)*IF(Skills!H6&gt;0,Skills!I6/Skills!H6,1)+IF(Skills!H6&gt;0,MIN(Skills!I6,MAX(0,MAX(0,Inputs!$B$43-B2305)-((R2277-1)*(IF(Inputs!$B$38="pvp",15,MAX(0.1,Skills!D6-IF(Skills!E6=TRUE,Inputs!$B$32,0)))*(1-IF(AND(ArtifactsInput!$M$27,Inputs!$B$4="Chapter Hunt"),CHOOSE(ArtifactsInput!$N$27+1,20,24,28,32,36,40),0)/100)))))/Skills!H6,1)))/Inputs!$B$43),G2277*Q2277))*IF(Inputs!$B$38="pvp",1,(1+(Inputs!$B$21+Skills!Q6+(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8">
      <c r="A2278">
        <f>Skills!A7</f>
        <v/>
      </c>
      <c r="B2278">
        <f>Skills!B7</f>
        <v/>
      </c>
      <c r="C2278">
        <f>Inputs!$B$3&gt;=107</f>
        <v/>
      </c>
      <c r="D2278">
        <f>IF(Skills!C7=1,60+Inputs!$B$25+Inputs!$B$29,IF(Skills!C7=2,90+Inputs!$B$26+Inputs!$B$29,IF(Skills!C7=3,120+Inputs!$B$27+Inputs!$B$29,MAX(0,(Inputs!$B$3-100)*3)+Inputs!$B$28+Inputs!$B$29)))</f>
        <v/>
      </c>
      <c r="E2278">
        <f>INDEX(FactorTable!$B$2:$Y$301, MATCH(ROUND(MIN(300,MAX(1,D2278)),0), FactorTable!$A$2:$A$301,0), Skills!M7+1)</f>
        <v/>
      </c>
      <c r="F2278">
        <f>IF(Skills!N7=TRUE,(Skills!L7/10)*(E2278/1000),Skills!L7/10)+Skills!O7</f>
        <v/>
      </c>
      <c r="G2278">
        <f>Skills!G7*IF(Skills!H7&gt;0,Skills!I7/Skills!H7,1)</f>
        <v/>
      </c>
      <c r="H2278">
        <f>1-(1-Skills!J7/100)^Skills!K7</f>
        <v/>
      </c>
      <c r="I2278" t="inlineStr">
        <is>
          <t>1</t>
        </is>
      </c>
      <c r="J2278">
        <f>((Inputs!$B$6*(1+Inputs!$B$7/100))+(((Inputs!$B$12*(1+Inputs!$B$13/100))-(Inputs!$B$12*(1+Inputs!$B$13/100)))+0.25*(Inputs!$B$14-Inputs!$B$14))*(1+Inputs!$B$7/100))*(F2278/100)</f>
        <v/>
      </c>
      <c r="K2278">
        <f>J2278*(1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2278)</f>
        <v/>
      </c>
      <c r="L2278">
        <f>K2278*(MIN(Inputs!$B$22+((C2293=TRUE)*(F2293-Calc!F22)),(Inputs!$B$23+((C2295=TRUE)*(F2295-Calc!F24))+(IF(ArtifactsInput!$M$15,CHOOSE(ArtifactsInput!$N$15+1,25,30,35,40,45,50)/100*(Inputs!$B$11-Inputs!$B$11),0))))/100+(Inputs!$B$23+((C2295=TRUE)*(F2295-Calc!F24))+(IF(ArtifactsInput!$M$15,CHOOSE(ArtifactsInput!$N$15+1,25,30,35,40,45,50)/100*(Inputs!$B$11-Inputs!$B$11),0)))/100)/2</f>
        <v/>
      </c>
      <c r="M2278">
        <f>L2278*(1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8">
        <f>L2278*(1-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2278*(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8">
        <f>(1-Summary!$B$11)*T2278+Summary!$B$11*V2278</f>
        <v/>
      </c>
      <c r="P2278">
        <f>IF(B2308=0,0,O2278/B2308)</f>
        <v/>
      </c>
      <c r="Q2278">
        <f>IFERROR(1/(IF(Inputs!$B$38="pvp",15,MAX(0.1,Skills!D7-IF(Skills!E7=TRUE,Inputs!$B$32,0)))*(1-IF(AND(ArtifactsInput!$M$27,Inputs!$B$4="Chapter Hunt"),CHOOSE(ArtifactsInput!$N$27+1,20,24,28,32,36,40),0)/100)),0)</f>
        <v/>
      </c>
      <c r="R2278">
        <f>IF(AND(Inputs!$B$38&lt;&gt;"pvp",Inputs!$B$43&gt;0),IF(MAX(0,Inputs!$B$43-B2305)&lt;=0,0,(INT(MAX(0,Inputs!$B$43-B2305)/(IF(Inputs!$B$38="pvp",15,MAX(0.1,Skills!D7-IF(Skills!E7=TRUE,Inputs!$B$32,0)))*(1-IF(AND(ArtifactsInput!$M$27,Inputs!$B$4="Chapter Hunt"),CHOOSE(ArtifactsInput!$N$27+1,20,24,28,32,36,40),0)/100)))+1)),0)</f>
        <v/>
      </c>
      <c r="S2278">
        <f>IFERROR(O2278/N2278,0)</f>
        <v/>
      </c>
      <c r="T2278">
        <f>IF(C2278,(H2278*N2278*IF(AND(Inputs!$B$38&lt;&gt;"pvp",Inputs!$B$43&gt;0),((Skills!G7*((R2278-1)*IF(Skills!H7&gt;0,Skills!I7/Skills!H7,1)+IF(Skills!H7&gt;0,MIN(Skills!I7,MAX(0,MAX(0,Inputs!$B$43-B2305)-((R2278-1)*(IF(Inputs!$B$38="pvp",15,MAX(0.1,Skills!D7-IF(Skills!E7=TRUE,Inputs!$B$32,0)))*(1-IF(AND(ArtifactsInput!$M$27,Inputs!$B$4="Chapter Hunt"),CHOOSE(ArtifactsInput!$N$27+1,20,24,28,32,36,40),0)/100)))))/Skills!H7,1)))/Inputs!$B$43),G2278*Q2278))*IF(Inputs!$B$38="pvp",1,1+(Inputs!$B$20+0+Skills!P7+(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2278*(1-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2278*(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2278*(1-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2278*(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78">
        <f>IF(C2278,(H2278*N2278*IF(AND(Inputs!$B$38&lt;&gt;"pvp",Inputs!$B$43&gt;0),((Skills!G7*((R2278-1)*IF(Skills!H7&gt;0,Skills!I7/Skills!H7,1)+IF(Skills!H7&gt;0,MIN(Skills!I7,MAX(0,MAX(0,Inputs!$B$43-B2305)-((R2278-1)*(IF(Inputs!$B$38="pvp",15,MAX(0.1,Skills!D7-IF(Skills!E7=TRUE,Inputs!$B$32,0)))*(1-IF(AND(ArtifactsInput!$M$27,Inputs!$B$4="Chapter Hunt"),CHOOSE(ArtifactsInput!$N$27+1,20,24,28,32,36,40),0)/100)))))/Skills!H7,1)))/Inputs!$B$43),G2278*Q2278))*IF(Inputs!$B$38="pvp",1,(1+(Inputs!$B$21+Skills!Q7+(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9">
      <c r="A2279">
        <f>Skills!A8</f>
        <v/>
      </c>
      <c r="B2279">
        <f>Skills!B8</f>
        <v/>
      </c>
      <c r="C2279">
        <f>Inputs!$B$3&gt;=107</f>
        <v/>
      </c>
      <c r="D2279">
        <f>IF(Skills!C8=1,60+Inputs!$B$25+Inputs!$B$29,IF(Skills!C8=2,90+Inputs!$B$26+Inputs!$B$29,IF(Skills!C8=3,120+Inputs!$B$27+Inputs!$B$29,MAX(0,(Inputs!$B$3-100)*3)+Inputs!$B$28+Inputs!$B$29)))</f>
        <v/>
      </c>
      <c r="E2279">
        <f>INDEX(FactorTable!$B$2:$Y$301, MATCH(ROUND(MIN(300,MAX(1,D2279)),0), FactorTable!$A$2:$A$301,0), Skills!M8+1)</f>
        <v/>
      </c>
      <c r="F2279">
        <f>IF(Skills!N8=TRUE,(Skills!L8/10)*(E2279/1000),Skills!L8/10)+Skills!O8</f>
        <v/>
      </c>
      <c r="G2279">
        <f>Skills!G8*IF(Skills!H8&gt;0,Skills!I8/Skills!H8,1)</f>
        <v/>
      </c>
      <c r="H2279">
        <f>1-(1-Skills!J8/100)^Skills!K8</f>
        <v/>
      </c>
      <c r="I2279" t="inlineStr">
        <is>
          <t>1</t>
        </is>
      </c>
      <c r="J2279">
        <f>((Inputs!$B$6*(1+Inputs!$B$7/100))+(((Inputs!$B$12*(1+Inputs!$B$13/100))-(Inputs!$B$12*(1+Inputs!$B$13/100)))+0.25*(Inputs!$B$14-Inputs!$B$14))*(1+Inputs!$B$7/100))*(F2279/100)</f>
        <v/>
      </c>
      <c r="K2279">
        <f>J2279*(1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2279)</f>
        <v/>
      </c>
      <c r="L2279">
        <f>K2279*(MIN(Inputs!$B$22+((C2293=TRUE)*(F2293-Calc!F22)),(Inputs!$B$23+((C2295=TRUE)*(F2295-Calc!F24))+(IF(ArtifactsInput!$M$15,CHOOSE(ArtifactsInput!$N$15+1,25,30,35,40,45,50)/100*(Inputs!$B$11-Inputs!$B$11),0))))/100+(Inputs!$B$23+((C2295=TRUE)*(F2295-Calc!F24))+(IF(ArtifactsInput!$M$15,CHOOSE(ArtifactsInput!$N$15+1,25,30,35,40,45,50)/100*(Inputs!$B$11-Inputs!$B$11),0)))/100)/2</f>
        <v/>
      </c>
      <c r="M2279">
        <f>L2279*(1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9">
        <f>L2279*(1-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2279*(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9">
        <f>(1-Summary!$B$11)*T2279+Summary!$B$11*V2279</f>
        <v/>
      </c>
      <c r="P2279">
        <f>IF(B2308=0,0,O2279/B2308)</f>
        <v/>
      </c>
      <c r="Q2279">
        <f>IFERROR(1/(IF(Inputs!$B$38="pvp",15,MAX(0.1,Skills!D8-IF(Skills!E8=TRUE,Inputs!$B$32,0)))*(1-IF(AND(ArtifactsInput!$M$27,Inputs!$B$4="Chapter Hunt"),CHOOSE(ArtifactsInput!$N$27+1,20,24,28,32,36,40),0)/100)),0)</f>
        <v/>
      </c>
      <c r="R2279">
        <f>IF(AND(Inputs!$B$38&lt;&gt;"pvp",Inputs!$B$43&gt;0),IF(MAX(0,Inputs!$B$43-B2305)&lt;=0,0,(INT(MAX(0,Inputs!$B$43-B2305)/(IF(Inputs!$B$38="pvp",15,MAX(0.1,Skills!D8-IF(Skills!E8=TRUE,Inputs!$B$32,0)))*(1-IF(AND(ArtifactsInput!$M$27,Inputs!$B$4="Chapter Hunt"),CHOOSE(ArtifactsInput!$N$27+1,20,24,28,32,36,40),0)/100)))+1)),0)</f>
        <v/>
      </c>
      <c r="S2279">
        <f>IFERROR(O2279/N2279,0)</f>
        <v/>
      </c>
      <c r="T2279">
        <f>IF(C2279,(H2279*N2279*IF(AND(Inputs!$B$38&lt;&gt;"pvp",Inputs!$B$43&gt;0),((Skills!G8*((R2279-1)*IF(Skills!H8&gt;0,Skills!I8/Skills!H8,1)+IF(Skills!H8&gt;0,MIN(Skills!I8,MAX(0,MAX(0,Inputs!$B$43-B2305)-((R2279-1)*(IF(Inputs!$B$38="pvp",15,MAX(0.1,Skills!D8-IF(Skills!E8=TRUE,Inputs!$B$32,0)))*(1-IF(AND(ArtifactsInput!$M$27,Inputs!$B$4="Chapter Hunt"),CHOOSE(ArtifactsInput!$N$27+1,20,24,28,32,36,40),0)/100)))))/Skills!H8,1)))/Inputs!$B$43),G2279*Q2279))*IF(Inputs!$B$38="pvp",1,1+(Inputs!$B$20+0+Skills!P8+(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2279*(1-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2279*(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2279*(1-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2279*(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79">
        <f>IF(C2279,(H2279*N2279*IF(AND(Inputs!$B$38&lt;&gt;"pvp",Inputs!$B$43&gt;0),((Skills!G8*((R2279-1)*IF(Skills!H8&gt;0,Skills!I8/Skills!H8,1)+IF(Skills!H8&gt;0,MIN(Skills!I8,MAX(0,MAX(0,Inputs!$B$43-B2305)-((R2279-1)*(IF(Inputs!$B$38="pvp",15,MAX(0.1,Skills!D8-IF(Skills!E8=TRUE,Inputs!$B$32,0)))*(1-IF(AND(ArtifactsInput!$M$27,Inputs!$B$4="Chapter Hunt"),CHOOSE(ArtifactsInput!$N$27+1,20,24,28,32,36,40),0)/100)))))/Skills!H8,1)))/Inputs!$B$43),G2279*Q2279))*IF(Inputs!$B$38="pvp",1,(1+(Inputs!$B$21+Skills!Q8+(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0">
      <c r="A2280">
        <f>Skills!A9</f>
        <v/>
      </c>
      <c r="B2280">
        <f>Skills!B9</f>
        <v/>
      </c>
      <c r="C2280">
        <f>Inputs!$B$3&gt;=125</f>
        <v/>
      </c>
      <c r="D2280">
        <f>IF(Skills!C9=1,60+Inputs!$B$25+Inputs!$B$29,IF(Skills!C9=2,90+Inputs!$B$26+Inputs!$B$29,IF(Skills!C9=3,120+Inputs!$B$27+Inputs!$B$29,MAX(0,(Inputs!$B$3-100)*3)+Inputs!$B$28+Inputs!$B$29)))</f>
        <v/>
      </c>
      <c r="E2280">
        <f>INDEX(FactorTable!$B$2:$Y$301, MATCH(ROUND(MIN(300,MAX(1,D2280)),0), FactorTable!$A$2:$A$301,0), Skills!M9+1)</f>
        <v/>
      </c>
      <c r="F2280">
        <f>IF(Skills!N9=TRUE,(Skills!L9/10)*(E2280/1000),Skills!L9/10)+Skills!O9</f>
        <v/>
      </c>
      <c r="G2280">
        <f>Skills!G9*IF(Skills!H9&gt;0,Skills!I9/Skills!H9,1)</f>
        <v/>
      </c>
      <c r="H2280">
        <f>1-(1-Skills!J9/100)^Skills!K9</f>
        <v/>
      </c>
      <c r="I2280" t="inlineStr">
        <is>
          <t>1</t>
        </is>
      </c>
      <c r="J2280">
        <f>((Inputs!$B$6*(1+Inputs!$B$7/100))+(((Inputs!$B$12*(1+Inputs!$B$13/100))-(Inputs!$B$12*(1+Inputs!$B$13/100)))+0.25*(Inputs!$B$14-Inputs!$B$14))*(1+Inputs!$B$7/100))*(F2280/100)</f>
        <v/>
      </c>
      <c r="K2280">
        <f>J2280*(1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2280)</f>
        <v/>
      </c>
      <c r="L2280">
        <f>K2280*(MIN(Inputs!$B$22+((C2293=TRUE)*(F2293-Calc!F22)),(Inputs!$B$23+((C2295=TRUE)*(F2295-Calc!F24))+(IF(ArtifactsInput!$M$15,CHOOSE(ArtifactsInput!$N$15+1,25,30,35,40,45,50)/100*(Inputs!$B$11-Inputs!$B$11),0))))/100+(Inputs!$B$23+((C2295=TRUE)*(F2295-Calc!F24))+(IF(ArtifactsInput!$M$15,CHOOSE(ArtifactsInput!$N$15+1,25,30,35,40,45,50)/100*(Inputs!$B$11-Inputs!$B$11),0)))/100)/2</f>
        <v/>
      </c>
      <c r="M2280">
        <f>L2280*(1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0">
        <f>L2280*(1-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2280*(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0">
        <f>(1-Summary!$B$11)*T2280+Summary!$B$11*V2280</f>
        <v/>
      </c>
      <c r="P2280">
        <f>IF(B2308=0,0,O2280/B2308)</f>
        <v/>
      </c>
      <c r="Q2280">
        <f>IFERROR(1/(IF(Inputs!$B$38="pvp",15,MAX(0.1,Skills!D9-IF(Skills!E9=TRUE,Inputs!$B$32,0)))*(1-IF(AND(ArtifactsInput!$M$27,Inputs!$B$4="Chapter Hunt"),CHOOSE(ArtifactsInput!$N$27+1,20,24,28,32,36,40),0)/100)),0)</f>
        <v/>
      </c>
      <c r="R2280">
        <f>IF(AND(Inputs!$B$38&lt;&gt;"pvp",Inputs!$B$43&gt;0),IF(MAX(0,Inputs!$B$43-B2305)&lt;=0,0,(INT(MAX(0,Inputs!$B$43-B2305)/(IF(Inputs!$B$38="pvp",15,MAX(0.1,Skills!D9-IF(Skills!E9=TRUE,Inputs!$B$32,0)))*(1-IF(AND(ArtifactsInput!$M$27,Inputs!$B$4="Chapter Hunt"),CHOOSE(ArtifactsInput!$N$27+1,20,24,28,32,36,40),0)/100)))+1)),0)</f>
        <v/>
      </c>
      <c r="S2280">
        <f>IFERROR(O2280/N2280,0)</f>
        <v/>
      </c>
      <c r="T2280">
        <f>IF(C2280,(H2280*N2280*IF(AND(Inputs!$B$38&lt;&gt;"pvp",Inputs!$B$43&gt;0),((Skills!G9*((R2280-1)*IF(Skills!H9&gt;0,Skills!I9/Skills!H9,1)+IF(Skills!H9&gt;0,MIN(Skills!I9,MAX(0,MAX(0,Inputs!$B$43-B2305)-((R2280-1)*(IF(Inputs!$B$38="pvp",15,MAX(0.1,Skills!D9-IF(Skills!E9=TRUE,Inputs!$B$32,0)))*(1-IF(AND(ArtifactsInput!$M$27,Inputs!$B$4="Chapter Hunt"),CHOOSE(ArtifactsInput!$N$27+1,20,24,28,32,36,40),0)/100)))))/Skills!H9,1)))/Inputs!$B$43),G2280*Q2280))*IF(Inputs!$B$38="pvp",1,1+(Inputs!$B$20+0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2280*(1-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2280*(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2280*(1-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2280*(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0">
        <f>IF(C2280,(H2280*N2280*IF(AND(Inputs!$B$38&lt;&gt;"pvp",Inputs!$B$43&gt;0),((Skills!G9*((R2280-1)*IF(Skills!H9&gt;0,Skills!I9/Skills!H9,1)+IF(Skills!H9&gt;0,MIN(Skills!I9,MAX(0,MAX(0,Inputs!$B$43-B2305)-((R2280-1)*(IF(Inputs!$B$38="pvp",15,MAX(0.1,Skills!D9-IF(Skills!E9=TRUE,Inputs!$B$32,0)))*(1-IF(AND(ArtifactsInput!$M$27,Inputs!$B$4="Chapter Hunt"),CHOOSE(ArtifactsInput!$N$27+1,20,24,28,32,36,40),0)/100)))))/Skills!H9,1)))/Inputs!$B$43),G2280*Q2280))*IF(Inputs!$B$38="pvp",1,(1+(Inputs!$B$21+Skills!Q9+(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1">
      <c r="A2281">
        <f>Skills!A10</f>
        <v/>
      </c>
      <c r="B2281">
        <f>Skills!B10</f>
        <v/>
      </c>
      <c r="C2281">
        <f>Inputs!$B$3&gt;=117</f>
        <v/>
      </c>
      <c r="D2281">
        <f>IF(Skills!C10=1,60+Inputs!$B$25+Inputs!$B$29,IF(Skills!C10=2,90+Inputs!$B$26+Inputs!$B$29,IF(Skills!C10=3,120+Inputs!$B$27+Inputs!$B$29,MAX(0,(Inputs!$B$3-100)*3)+Inputs!$B$28+Inputs!$B$29)))</f>
        <v/>
      </c>
      <c r="E2281">
        <f>INDEX(FactorTable!$B$2:$Y$301, MATCH(ROUND(MIN(300,MAX(1,D2281)),0), FactorTable!$A$2:$A$301,0), Skills!M10+1)</f>
        <v/>
      </c>
      <c r="F2281">
        <f>IF(Skills!N10=TRUE,(Skills!L10/10)*(E2281/1000),Skills!L10/10)+Skills!O10</f>
        <v/>
      </c>
      <c r="G2281">
        <f>Skills!G10*IF(Skills!H10&gt;0,Skills!I10/Skills!H10,1)</f>
        <v/>
      </c>
      <c r="H2281">
        <f>1-(1-Skills!J10/100)^Skills!K10</f>
        <v/>
      </c>
      <c r="I2281" t="inlineStr">
        <is>
          <t>1</t>
        </is>
      </c>
      <c r="J2281">
        <f>((Inputs!$B$6*(1+Inputs!$B$7/100))+(((Inputs!$B$12*(1+Inputs!$B$13/100))-(Inputs!$B$12*(1+Inputs!$B$13/100)))+0.25*(Inputs!$B$14-Inputs!$B$14))*(1+Inputs!$B$7/100))*(F2281/100)</f>
        <v/>
      </c>
      <c r="K2281">
        <f>J2281*(1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2281)</f>
        <v/>
      </c>
      <c r="L2281">
        <f>K2281*(MIN(Inputs!$B$22+((C2293=TRUE)*(F2293-Calc!F22)),(Inputs!$B$23+((C2295=TRUE)*(F2295-Calc!F24))+(IF(ArtifactsInput!$M$15,CHOOSE(ArtifactsInput!$N$15+1,25,30,35,40,45,50)/100*(Inputs!$B$11-Inputs!$B$11),0))))/100+(Inputs!$B$23+((C2295=TRUE)*(F2295-Calc!F24))+(IF(ArtifactsInput!$M$15,CHOOSE(ArtifactsInput!$N$15+1,25,30,35,40,45,50)/100*(Inputs!$B$11-Inputs!$B$11),0)))/100)/2</f>
        <v/>
      </c>
      <c r="M2281">
        <f>L2281*(1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1">
        <f>L2281*(1-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1">
        <f>(1-Summary!$B$11)*T2281+Summary!$B$11*V2281</f>
        <v/>
      </c>
      <c r="P2281">
        <f>IF(B2308=0,0,O2281/B2308)</f>
        <v/>
      </c>
      <c r="Q2281">
        <f>IFERROR(1/(IF(Inputs!$B$38="pvp",15,MAX(0.1,Skills!D10-IF(Skills!E10=TRUE,Inputs!$B$32,0)))*(1-IF(AND(ArtifactsInput!$M$27,Inputs!$B$4="Chapter Hunt"),CHOOSE(ArtifactsInput!$N$27+1,20,24,28,32,36,40),0)/100)),0)</f>
        <v/>
      </c>
      <c r="R2281">
        <f>IF(AND(Inputs!$B$38&lt;&gt;"pvp",Inputs!$B$43&gt;0),IF(MAX(0,Inputs!$B$43-B2305)&lt;=0,0,(INT(MAX(0,Inputs!$B$43-B2305)/(IF(Inputs!$B$38="pvp",15,MAX(0.1,Skills!D10-IF(Skills!E10=TRUE,Inputs!$B$32,0)))*(1-IF(AND(ArtifactsInput!$M$27,Inputs!$B$4="Chapter Hunt"),CHOOSE(ArtifactsInput!$N$27+1,20,24,28,32,36,40),0)/100)))+1)),0)</f>
        <v/>
      </c>
      <c r="S2281">
        <f>IFERROR(O2281/N2281,0)</f>
        <v/>
      </c>
      <c r="T2281">
        <f>IF(C2281,(H2281*N2281*IF(AND(Inputs!$B$38&lt;&gt;"pvp",Inputs!$B$43&gt;0),((Skills!G10*((R2281-1)*IF(Skills!H10&gt;0,Skills!I10/Skills!H10,1)+IF(Skills!H10&gt;0,MIN(Skills!I10,MAX(0,MAX(0,Inputs!$B$43-B2305)-((R2281-1)*(IF(Inputs!$B$38="pvp",15,MAX(0.1,Skills!D10-IF(Skills!E10=TRUE,Inputs!$B$32,0)))*(1-IF(AND(ArtifactsInput!$M$27,Inputs!$B$4="Chapter Hunt"),CHOOSE(ArtifactsInput!$N$27+1,20,24,28,32,36,40),0)/100)))))/Skills!H10,1)))/Inputs!$B$43),G2281*Q2281))*IF(Inputs!$B$38="pvp",1,1+(Inputs!$B$20+0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2281*(1-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2281*(1-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1">
        <f>IF(C2281,(H2281*N2281*IF(AND(Inputs!$B$38&lt;&gt;"pvp",Inputs!$B$43&gt;0),((Skills!G10*((R2281-1)*IF(Skills!H10&gt;0,Skills!I10/Skills!H10,1)+IF(Skills!H10&gt;0,MIN(Skills!I10,MAX(0,MAX(0,Inputs!$B$43-B2305)-((R2281-1)*(IF(Inputs!$B$38="pvp",15,MAX(0.1,Skills!D10-IF(Skills!E10=TRUE,Inputs!$B$32,0)))*(1-IF(AND(ArtifactsInput!$M$27,Inputs!$B$4="Chapter Hunt"),CHOOSE(ArtifactsInput!$N$27+1,20,24,28,32,36,40),0)/100)))))/Skills!H10,1)))/Inputs!$B$43),G2281*Q2281))*IF(Inputs!$B$38="pvp",1,(1+(Inputs!$B$21+Skills!Q10+(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2">
      <c r="A2282">
        <f>Skills!A11</f>
        <v/>
      </c>
      <c r="B2282">
        <f>Skills!B11</f>
        <v/>
      </c>
      <c r="C2282">
        <f>Inputs!$B$3&gt;=63</f>
        <v/>
      </c>
      <c r="D2282">
        <f>IF(Skills!C11=1,60+Inputs!$B$25+Inputs!$B$29,IF(Skills!C11=2,90+Inputs!$B$26+Inputs!$B$29,IF(Skills!C11=3,120+Inputs!$B$27+Inputs!$B$29,MAX(0,(Inputs!$B$3-100)*3)+Inputs!$B$28+Inputs!$B$29)))</f>
        <v/>
      </c>
      <c r="E2282">
        <f>INDEX(FactorTable!$B$2:$Y$301, MATCH(ROUND(MIN(300,MAX(1,D2282)),0), FactorTable!$A$2:$A$301,0), Skills!M11+1)</f>
        <v/>
      </c>
      <c r="F2282">
        <f>IF(Skills!N11=TRUE,(Skills!L11/10)*(E2282/1000),Skills!L11/10)+Skills!O11</f>
        <v/>
      </c>
      <c r="G2282">
        <f>Skills!G11*IF(Skills!H11&gt;0,Skills!I11/Skills!H11,1)</f>
        <v/>
      </c>
      <c r="H2282">
        <f>1-(1-Skills!J11/100)^Skills!K11</f>
        <v/>
      </c>
      <c r="I2282" t="inlineStr">
        <is>
          <t>1</t>
        </is>
      </c>
      <c r="J2282">
        <f>((Inputs!$B$6*(1+Inputs!$B$7/100))+(((Inputs!$B$12*(1+Inputs!$B$13/100))-(Inputs!$B$12*(1+Inputs!$B$13/100)))+0.25*(Inputs!$B$14-Inputs!$B$14))*(1+Inputs!$B$7/100))*(F2282/100)</f>
        <v/>
      </c>
      <c r="K2282">
        <f>J2282*(1+((Inputs!$B$12*(1+Inputs!$B$13/100))*0.01+Inputs!$B$14*0.0025)/100)*(1+Inputs!$B$15/100)*(1+Inputs!$B$16/100)*(5000/(6000+Inputs!$B$42*(1-(Inputs!$B$19+0)/100)))*(1+(Inputs!$B$24+0+B2304)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2283=TRUE,F2283,0)/100)*(1+(IF(Skills!A11="BLAST",Inputs!$B$17+((C2292=TRUE)*(F2292-Calc!F21))+((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MIN(100,((Inputs!$B$9+0+B2298+(ArtifactsInput!$M$24-ArtifactsInput!$M$24)*CHOOSE(ArtifactsInput!$N$24+1,10,12,14,16,18,20)+IF(ArtifactsInput!$M$10,CHOOSE(ArtifactsInput!$N$10+1,15,18,21,24,27,30)*(IF(Inputs!$B$38="pvp",MIN(15,15)/15,IF(AND(Inputs!$B$38&lt;&gt;"pvp",Inputs!$B$43&gt;0),MIN(15,Inputs!$B$43)/(Inputs!$B$43),0))),0)))-100),0))*CHOOSE(ArtifactsInput!$N$42+1,0.6,0.72,0.84,0.96,1.08,1.2))),Inputs!$B$18+((C2294=TRUE)*(F2294-Calc!F23))+(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gt;=100),CHOOSE(ArtifactsInput!$N$42+1,40,48,56,64,72,80),0))))/100)*((1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2282)</f>
        <v/>
      </c>
      <c r="L2282">
        <f>K2282*(MIN(Inputs!$B$22+((C2293=TRUE)*(F2293-Calc!F22)),(Inputs!$B$23+((C2295=TRUE)*(F2295-Calc!F24))+(IF(ArtifactsInput!$M$15,CHOOSE(ArtifactsInput!$N$15+1,25,30,35,40,45,50)/100*(Inputs!$B$11-Inputs!$B$11),0))))/100+(Inputs!$B$23+((C2295=TRUE)*(F2295-Calc!F24))+(IF(ArtifactsInput!$M$15,CHOOSE(ArtifactsInput!$N$15+1,25,30,35,40,45,50)/100*(Inputs!$B$11-Inputs!$B$11),0)))/100)/2</f>
        <v/>
      </c>
      <c r="M2282">
        <f>L2282*(1+(Inputs!$B$10+0+B2303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2">
        <f>L2282*(1-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2282*(MIN((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2">
        <f>(1-Summary!$B$11)*T2282+Summary!$B$11*V2282</f>
        <v/>
      </c>
      <c r="P2282">
        <f>IF(B2308=0,0,O2282/B2308)</f>
        <v/>
      </c>
      <c r="Q2282">
        <f>IFERROR(1/(IF(Inputs!$B$38="pvp",15,MAX(0.1,Skills!D11-IF(Skills!E11=TRUE,Inputs!$B$32,0)))*(1-IF(AND(ArtifactsInput!$M$27,Inputs!$B$4="Chapter Hunt"),CHOOSE(ArtifactsInput!$N$27+1,20,24,28,32,36,40),0)/100)),0)</f>
        <v/>
      </c>
      <c r="R2282">
        <f>IF(AND(Inputs!$B$38&lt;&gt;"pvp",Inputs!$B$43&gt;0),IF(MAX(0,Inputs!$B$43-B2305)&lt;=0,0,(INT(MAX(0,Inputs!$B$43-B2305)/(IF(Inputs!$B$38="pvp",15,MAX(0.1,Skills!D11-IF(Skills!E11=TRUE,Inputs!$B$32,0)))*(1-IF(AND(ArtifactsInput!$M$27,Inputs!$B$4="Chapter Hunt"),CHOOSE(ArtifactsInput!$N$27+1,20,24,28,32,36,40),0)/100)))+1)),0)</f>
        <v/>
      </c>
      <c r="S2282">
        <f>IFERROR(O2282/N2282,0)</f>
        <v/>
      </c>
      <c r="T2282">
        <f>IF(C2282,(H2282*N2282*IF(AND(Inputs!$B$38&lt;&gt;"pvp",Inputs!$B$43&gt;0),((Skills!G11*((R2282-1)*IF(Skills!H11&gt;0,Skills!I11/Skills!H11,1)+IF(Skills!H11&gt;0,MIN(Skills!I11,MAX(0,MAX(0,Inputs!$B$43-B2305)-((R2282-1)*(IF(Inputs!$B$38="pvp",15,MAX(0.1,Skills!D11-IF(Skills!E11=TRUE,Inputs!$B$32,0)))*(1-IF(AND(ArtifactsInput!$M$27,Inputs!$B$4="Chapter Hunt"),CHOOSE(ArtifactsInput!$N$27+1,20,24,28,32,36,40),0)/100)))))/Skills!H11,1)))/Inputs!$B$43),G2282*Q2282))*IF(Inputs!$B$38="pvp",1,1+(Inputs!$B$20+0+Skills!P11+(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2282*(1-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2282*(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2282*(1-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2282*(MIN(100,(Inputs!$B$9+0+B2298+(ArtifactsInput!$M$24-ArtifactsInput!$M$24)*CHOOSE(ArtifactsInput!$N$24+1,10,12,14,16,18,20)+(IF(AND(Inputs!$B$38&lt;&gt;"pvp",Inputs!$B$43=0),1,IF(IF(Inputs!$B$38="pvp",15,Inputs!$B$43)-(B2305)&lt;=0,1,MAX(0,IF(Inputs!$B$38="pvp",15,Inputs!$B$43)-MAX(5,B2305))/(IF(Inputs!$B$38="pvp",15,Inputs!$B$43)-(B2305))))*IF(AND(ArtifactsInput!$M$42,((Inputs!$B$9+0+B2298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2">
        <f>IF(C2282,(H2282*N2282*IF(AND(Inputs!$B$38&lt;&gt;"pvp",Inputs!$B$43&gt;0),((Skills!G11*((R2282-1)*IF(Skills!H11&gt;0,Skills!I11/Skills!H11,1)+IF(Skills!H11&gt;0,MIN(Skills!I11,MAX(0,MAX(0,Inputs!$B$43-B2305)-((R2282-1)*(IF(Inputs!$B$38="pvp",15,MAX(0.1,Skills!D11-IF(Skills!E11=TRUE,Inputs!$B$32,0)))*(1-IF(AND(ArtifactsInput!$M$27,Inputs!$B$4="Chapter Hunt"),CHOOSE(ArtifactsInput!$N$27+1,20,24,28,32,36,40),0)/100)))))/Skills!H11,1)))/Inputs!$B$43),G2282*Q2282))*IF(Inputs!$B$38="pvp",1,(1+(Inputs!$B$21+Skills!Q11+(IF(ArtifactsInput!$M$33,CHOOSE(ArtifactsInput!$N$33+1,30,36,42,48,54,60),0))+(IF(AND(ArtifactsInput!$M$35,Inputs!$B$4&lt;&gt;"Chapter Hunt"),CHOOSE(ArtifactsInput!$N$35+1,15,18,21,24,27,30)*(1-EXP(-(0.2*B2300)*5)),0)+IF(AND(ArtifactsInput!$M$22,Inputs!$B$4&lt;&gt;"Chapter Hunt"),CHOOSE(ArtifactsInput!$N$22+1,10,12,14,16,18,20)*((0*(((0.15*B2300*5))^0/1)+1*(((0.15*B2300*5))^1/1)+2*(((0.15*B2300*5))^2/2)+3*(((0.15*B2300*5))^3/6)+4*(((0.15*B2300*5))^4/24)+5*(((0.15*B2300*5))^5/120))/((((0.15*B2300*5))^0/1)+(((0.15*B2300*5))^1/1)+(((0.15*B2300*5))^2/2)+(((0.15*B2300*5))^3/6)+(((0.15*B2300*5))^4/24)+(((0.15*B2300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3">
      <c r="A2283">
        <f>Skills!A12</f>
        <v/>
      </c>
      <c r="B2283">
        <f>Skills!B12</f>
        <v/>
      </c>
      <c r="C2283">
        <f>Inputs!$B$3&gt;=100</f>
        <v/>
      </c>
      <c r="D2283">
        <f>IF(Skills!C12=1,60+Inputs!$B$25+Inputs!$B$29,IF(Skills!C12=2,90+Inputs!$B$26+Inputs!$B$29,IF(Skills!C12=3,120+Inputs!$B$27+Inputs!$B$29,MAX(0,(Inputs!$B$3-100)*3)+Inputs!$B$28+Inputs!$B$29)))</f>
        <v/>
      </c>
      <c r="E2283">
        <f>INDEX(FactorTable!$B$2:$Y$301, MATCH(ROUND(MIN(300,MAX(1,D2283)),0), FactorTable!$A$2:$A$301,0), Skills!M12+1)</f>
        <v/>
      </c>
      <c r="F2283">
        <f>IF(Skills!N12=TRUE,(Skills!L12/10)*(E2283/1000),Skills!L12/10)+Skills!O12</f>
        <v/>
      </c>
      <c r="G2283" t="inlineStr"/>
      <c r="H2283" t="inlineStr"/>
      <c r="I2283" t="inlineStr">
        <is>
          <t>1</t>
        </is>
      </c>
      <c r="J2283" t="inlineStr"/>
      <c r="K2283" t="inlineStr"/>
      <c r="L2283" t="inlineStr"/>
      <c r="M2283" t="inlineStr"/>
      <c r="N2283" t="inlineStr"/>
      <c r="O2283" t="inlineStr"/>
      <c r="P2283" t="inlineStr"/>
      <c r="Q2283" t="inlineStr"/>
      <c r="R2283" t="inlineStr"/>
      <c r="S2283" t="inlineStr"/>
    </row>
    <row r="2284">
      <c r="A2284">
        <f>Skills!A13</f>
        <v/>
      </c>
      <c r="B2284">
        <f>Skills!B13</f>
        <v/>
      </c>
      <c r="C2284">
        <f>Inputs!$B$3&gt;=45</f>
        <v/>
      </c>
      <c r="D2284">
        <f>IF(Skills!C13=1,60+Inputs!$B$25+Inputs!$B$29,IF(Skills!C13=2,90+Inputs!$B$26+Inputs!$B$29,IF(Skills!C13=3,120+Inputs!$B$27+Inputs!$B$29,MAX(0,(Inputs!$B$3-100)*3)+Inputs!$B$28+Inputs!$B$29)))</f>
        <v/>
      </c>
      <c r="E2284">
        <f>INDEX(FactorTable!$B$2:$Y$301, MATCH(ROUND(MIN(300,MAX(1,D2284)),0), FactorTable!$A$2:$A$301,0), Skills!M13+1)</f>
        <v/>
      </c>
      <c r="F2284">
        <f>IF(Skills!N13=TRUE,(Skills!L13/10)*(E2284/1000),Skills!L13/10)+Skills!O13</f>
        <v/>
      </c>
      <c r="G2284">
        <f>Skills!G13*IF(Skills!H13&gt;0,Skills!I13/Skills!H13,1)</f>
        <v/>
      </c>
      <c r="H2284">
        <f>1-(1-Skills!J13/100)^Skills!K13</f>
        <v/>
      </c>
      <c r="I2284" t="inlineStr">
        <is>
          <t>1</t>
        </is>
      </c>
      <c r="J2284" t="inlineStr"/>
      <c r="K2284" t="inlineStr"/>
      <c r="L2284" t="inlineStr"/>
      <c r="M2284" t="inlineStr"/>
      <c r="N2284" t="inlineStr"/>
      <c r="O2284">
        <f>(1-Summary!$B$11)*T2284+Summary!$B$11*V2284</f>
        <v/>
      </c>
      <c r="P2284">
        <f>IF(B2308=0,0,O2284/B2308)</f>
        <v/>
      </c>
      <c r="Q2284" t="n">
        <v>0</v>
      </c>
      <c r="R2284" t="n">
        <v>0</v>
      </c>
      <c r="S2284">
        <f>IFERROR(O2284/N2284,0)</f>
        <v/>
      </c>
      <c r="T2284" t="n">
        <v>0</v>
      </c>
      <c r="V2284" t="n">
        <v>0</v>
      </c>
    </row>
    <row r="2285">
      <c r="A2285">
        <f>Skills!A14</f>
        <v/>
      </c>
      <c r="B2285">
        <f>Skills!B14</f>
        <v/>
      </c>
      <c r="C2285">
        <f>Inputs!$B$3&gt;=110</f>
        <v/>
      </c>
      <c r="D2285">
        <f>IF(Skills!C14=1,60+Inputs!$B$25+Inputs!$B$29,IF(Skills!C14=2,90+Inputs!$B$26+Inputs!$B$29,IF(Skills!C14=3,120+Inputs!$B$27+Inputs!$B$29,MAX(0,(Inputs!$B$3-100)*3)+Inputs!$B$28+Inputs!$B$29)))</f>
        <v/>
      </c>
      <c r="E2285">
        <f>INDEX(FactorTable!$B$2:$Y$301, MATCH(ROUND(MIN(300,MAX(1,D2285)),0), FactorTable!$A$2:$A$301,0), Skills!M14+1)</f>
        <v/>
      </c>
      <c r="F2285">
        <f>IF(Skills!N14=TRUE,(Skills!L14/10)*(E2285/1000),Skills!L14/10)+Skills!O14</f>
        <v/>
      </c>
      <c r="G2285">
        <f>Skills!G14*IF(Skills!H14&gt;0,Skills!I14/Skills!H14,1)</f>
        <v/>
      </c>
      <c r="H2285">
        <f>1-(1-Skills!J14/100)^Skills!K14</f>
        <v/>
      </c>
      <c r="I2285" t="inlineStr">
        <is>
          <t>1</t>
        </is>
      </c>
      <c r="J2285" t="inlineStr"/>
      <c r="K2285" t="inlineStr"/>
      <c r="L2285" t="inlineStr"/>
      <c r="M2285" t="inlineStr"/>
      <c r="N2285" t="inlineStr"/>
      <c r="O2285">
        <f>(1-Summary!$B$11)*T2285+Summary!$B$11*V2285</f>
        <v/>
      </c>
      <c r="P2285">
        <f>IF(B2308=0,0,O2285/B2308)</f>
        <v/>
      </c>
      <c r="Q2285" t="n">
        <v>0</v>
      </c>
      <c r="R2285" t="n">
        <v>0</v>
      </c>
      <c r="S2285">
        <f>IFERROR(O2285/N2285,0)</f>
        <v/>
      </c>
      <c r="T2285" t="n">
        <v>0</v>
      </c>
      <c r="V2285" t="n">
        <v>0</v>
      </c>
    </row>
    <row r="2286">
      <c r="A2286">
        <f>Skills!A15</f>
        <v/>
      </c>
      <c r="B2286">
        <f>Skills!B15</f>
        <v/>
      </c>
      <c r="C2286">
        <f>Inputs!$B$3&gt;=75</f>
        <v/>
      </c>
      <c r="D2286">
        <f>IF(Skills!C15=1,60+Inputs!$B$25+Inputs!$B$29,IF(Skills!C15=2,90+Inputs!$B$26+Inputs!$B$29,IF(Skills!C15=3,120+Inputs!$B$27+Inputs!$B$29,MAX(0,(Inputs!$B$3-100)*3)+Inputs!$B$28+Inputs!$B$29)))</f>
        <v/>
      </c>
      <c r="E2286">
        <f>INDEX(FactorTable!$B$2:$Y$301, MATCH(ROUND(MIN(300,MAX(1,D2286)),0), FactorTable!$A$2:$A$301,0), Skills!M15+1)</f>
        <v/>
      </c>
      <c r="F2286">
        <f>IF(Skills!N15=TRUE,(Skills!L15/10)*(E2286/1000),Skills!L15/10)+Skills!O15</f>
        <v/>
      </c>
      <c r="G2286">
        <f>Skills!G15*IF(Skills!H15&gt;0,Skills!I15/Skills!H15,1)</f>
        <v/>
      </c>
      <c r="H2286">
        <f>1-(1-Skills!J15/100)^Skills!K15</f>
        <v/>
      </c>
      <c r="I2286" t="inlineStr">
        <is>
          <t>1</t>
        </is>
      </c>
      <c r="J2286" t="inlineStr"/>
      <c r="K2286" t="inlineStr"/>
      <c r="L2286" t="inlineStr"/>
      <c r="M2286" t="inlineStr"/>
      <c r="N2286" t="inlineStr"/>
      <c r="O2286">
        <f>(1-Summary!$B$11)*T2286+Summary!$B$11*V2286</f>
        <v/>
      </c>
      <c r="P2286">
        <f>IF(B2308=0,0,O2286/B2308)</f>
        <v/>
      </c>
      <c r="Q2286">
        <f>IFERROR(1/(IF(Inputs!$B$38="pvp",15,MAX(0.1,Skills!D15-IF(Skills!E15=TRUE,Inputs!$B$32,0)))*(1-IF(AND(ArtifactsInput!$M$27,Inputs!$B$4="Chapter Hunt"),CHOOSE(ArtifactsInput!$N$27+1,20,24,28,32,36,40),0)/100)),0)</f>
        <v/>
      </c>
      <c r="R2286">
        <f>IF(AND(Inputs!$B$38&lt;&gt;"pvp",Inputs!$B$43&gt;0),IF(Inputs!$B$43&lt;=0,0,(INT(Inputs!$B$43/(IF(Inputs!$B$38="pvp",15,MAX(0.1,Skills!D15-IF(Skills!E15=TRUE,Inputs!$B$32,0)))*(1-IF(AND(ArtifactsInput!$M$27,Inputs!$B$4="Chapter Hunt"),CHOOSE(ArtifactsInput!$N$27+1,20,24,28,32,36,40),0)/100)))+1)),0)</f>
        <v/>
      </c>
      <c r="S2286">
        <f>IFERROR(O2286/N2286,0)</f>
        <v/>
      </c>
      <c r="T2286" t="n">
        <v>0</v>
      </c>
      <c r="V2286" t="n">
        <v>0</v>
      </c>
    </row>
    <row r="2287">
      <c r="A2287">
        <f>Skills!A16</f>
        <v/>
      </c>
      <c r="B2287">
        <f>Skills!B16</f>
        <v/>
      </c>
      <c r="C2287">
        <f>Inputs!$B$3&gt;=105</f>
        <v/>
      </c>
      <c r="D2287">
        <f>IF(Skills!C16=1,60+Inputs!$B$25+Inputs!$B$29,IF(Skills!C16=2,90+Inputs!$B$26+Inputs!$B$29,IF(Skills!C16=3,120+Inputs!$B$27+Inputs!$B$29,MAX(0,(Inputs!$B$3-100)*3)+Inputs!$B$28+Inputs!$B$29)))</f>
        <v/>
      </c>
      <c r="E2287">
        <f>INDEX(FactorTable!$B$2:$Y$301, MATCH(ROUND(MIN(300,MAX(1,D2287)),0), FactorTable!$A$2:$A$301,0), Skills!M16+1)</f>
        <v/>
      </c>
      <c r="F2287">
        <f>IF(Skills!N16=TRUE,(Skills!L16/10)*(E2287/1000),Skills!L16/10)+Skills!O16</f>
        <v/>
      </c>
      <c r="G2287">
        <f>Skills!G16*IF(Skills!H16&gt;0,Skills!I16/Skills!H16,1)</f>
        <v/>
      </c>
      <c r="H2287">
        <f>1-(1-Skills!J16/100)^Skills!K16</f>
        <v/>
      </c>
      <c r="I2287" t="inlineStr">
        <is>
          <t>1</t>
        </is>
      </c>
      <c r="J2287" t="inlineStr"/>
      <c r="K2287" t="inlineStr"/>
      <c r="L2287" t="inlineStr"/>
      <c r="M2287" t="inlineStr"/>
      <c r="N2287" t="inlineStr"/>
      <c r="O2287">
        <f>(1-Summary!$B$11)*T2287+Summary!$B$11*V2287</f>
        <v/>
      </c>
      <c r="P2287">
        <f>IF(B2308=0,0,O2287/B2308)</f>
        <v/>
      </c>
      <c r="Q2287">
        <f>IFERROR(1/(IF(Inputs!$B$38="pvp",15,MAX(0.1,Skills!D16-IF(Skills!E16=TRUE,Inputs!$B$32,0)))*(1-IF(AND(ArtifactsInput!$M$27,Inputs!$B$4="Chapter Hunt"),CHOOSE(ArtifactsInput!$N$27+1,20,24,28,32,36,40),0)/100)),0)</f>
        <v/>
      </c>
      <c r="R2287">
        <f>IF(AND(Inputs!$B$38&lt;&gt;"pvp",Inputs!$B$43&gt;0),IF(Inputs!$B$43&lt;=0,0,(INT(Inputs!$B$43/(IF(Inputs!$B$38="pvp",15,MAX(0.1,Skills!D16-IF(Skills!E16=TRUE,Inputs!$B$32,0)))*(1-IF(AND(ArtifactsInput!$M$27,Inputs!$B$4="Chapter Hunt"),CHOOSE(ArtifactsInput!$N$27+1,20,24,28,32,36,40),0)/100)))+1)),0)</f>
        <v/>
      </c>
      <c r="S2287">
        <f>IFERROR(O2287/N2287,0)</f>
        <v/>
      </c>
      <c r="T2287" t="n">
        <v>0</v>
      </c>
      <c r="V2287" t="n">
        <v>0</v>
      </c>
    </row>
    <row r="2288">
      <c r="A2288">
        <f>Skills!A17</f>
        <v/>
      </c>
      <c r="B2288">
        <f>Skills!B17</f>
        <v/>
      </c>
      <c r="C2288">
        <f>Inputs!$B$3&gt;=115</f>
        <v/>
      </c>
      <c r="D2288">
        <f>IF(Skills!C17=1,60+Inputs!$B$25+Inputs!$B$29,IF(Skills!C17=2,90+Inputs!$B$26+Inputs!$B$29,IF(Skills!C17=3,120+Inputs!$B$27+Inputs!$B$29,MAX(0,(Inputs!$B$3-100)*3)+Inputs!$B$28+Inputs!$B$29)))</f>
        <v/>
      </c>
      <c r="E2288">
        <f>INDEX(FactorTable!$B$2:$Y$301, MATCH(ROUND(MIN(300,MAX(1,D2288)),0), FactorTable!$A$2:$A$301,0), Skills!M17+1)</f>
        <v/>
      </c>
      <c r="F2288">
        <f>IF(Skills!N17=TRUE,(Skills!L17/10)*(E2288/1000),Skills!L17/10)+Skills!O17</f>
        <v/>
      </c>
      <c r="G2288">
        <f>Skills!G17*IF(Skills!H17&gt;0,Skills!I17/Skills!H17,1)</f>
        <v/>
      </c>
      <c r="H2288">
        <f>1-(1-Skills!J17/100)^Skills!K17</f>
        <v/>
      </c>
      <c r="I2288" t="inlineStr">
        <is>
          <t>1</t>
        </is>
      </c>
      <c r="J2288" t="inlineStr"/>
      <c r="K2288" t="inlineStr"/>
      <c r="L2288" t="inlineStr"/>
      <c r="M2288" t="inlineStr"/>
      <c r="N2288" t="inlineStr"/>
      <c r="O2288">
        <f>(1-Summary!$B$11)*T2288+Summary!$B$11*V2288</f>
        <v/>
      </c>
      <c r="P2288">
        <f>IF(B2308=0,0,O2288/B2308)</f>
        <v/>
      </c>
      <c r="Q2288">
        <f>IFERROR(1/(IF(Inputs!$B$38="pvp",15,MAX(0.1,Skills!D17-IF(Skills!E17=TRUE,Inputs!$B$32,0)))*(1-IF(AND(ArtifactsInput!$M$27,Inputs!$B$4="Chapter Hunt"),CHOOSE(ArtifactsInput!$N$27+1,20,24,28,32,36,40),0)/100)),0)</f>
        <v/>
      </c>
      <c r="R2288">
        <f>IF(AND(Inputs!$B$38&lt;&gt;"pvp",Inputs!$B$43&gt;0),IF(Inputs!$B$43&lt;=0,0,(INT(Inputs!$B$43/(IF(Inputs!$B$38="pvp",15,MAX(0.1,Skills!D17-IF(Skills!E17=TRUE,Inputs!$B$32,0)))*(1-IF(AND(ArtifactsInput!$M$27,Inputs!$B$4="Chapter Hunt"),CHOOSE(ArtifactsInput!$N$27+1,20,24,28,32,36,40),0)/100)))+1)),0)</f>
        <v/>
      </c>
      <c r="S2288">
        <f>IFERROR(O2288/N2288,0)</f>
        <v/>
      </c>
      <c r="T2288" t="n">
        <v>0</v>
      </c>
      <c r="V2288" t="n">
        <v>0</v>
      </c>
    </row>
    <row r="2289">
      <c r="A2289">
        <f>Skills!A18</f>
        <v/>
      </c>
      <c r="B2289">
        <f>Skills!B18</f>
        <v/>
      </c>
      <c r="C2289">
        <f>Inputs!$B$3&gt;=74</f>
        <v/>
      </c>
      <c r="D2289">
        <f>IF(Skills!C18=1,60+Inputs!$B$25+Inputs!$B$29,IF(Skills!C18=2,90+Inputs!$B$26+Inputs!$B$29,IF(Skills!C18=3,120+Inputs!$B$27+Inputs!$B$29,MAX(0,(Inputs!$B$3-100)*3)+Inputs!$B$28+Inputs!$B$29)))</f>
        <v/>
      </c>
      <c r="E2289">
        <f>INDEX(FactorTable!$B$2:$Y$301, MATCH(ROUND(MIN(300,MAX(1,D2289)),0), FactorTable!$A$2:$A$301,0), Skills!M18+1)</f>
        <v/>
      </c>
      <c r="F2289">
        <f>IF(Skills!N18=TRUE,(Skills!L18/10)*(E2289/1000),Skills!L18/10)+Skills!O18</f>
        <v/>
      </c>
      <c r="G2289">
        <f>Skills!G18*IF(Skills!H18&gt;0,Skills!I18/Skills!H18,1)</f>
        <v/>
      </c>
      <c r="H2289">
        <f>1-(1-Skills!J18/100)^Skills!K18</f>
        <v/>
      </c>
      <c r="I2289" t="inlineStr">
        <is>
          <t>1</t>
        </is>
      </c>
      <c r="J2289" t="inlineStr"/>
      <c r="K2289" t="inlineStr"/>
      <c r="L2289" t="inlineStr"/>
      <c r="M2289" t="inlineStr"/>
      <c r="N2289" t="inlineStr"/>
      <c r="O2289">
        <f>(1-Summary!$B$11)*T2289+Summary!$B$11*V2289</f>
        <v/>
      </c>
      <c r="P2289">
        <f>IF(B2308=0,0,O2289/B2308)</f>
        <v/>
      </c>
      <c r="Q2289">
        <f>IFERROR(1/(IF(Inputs!$B$38="pvp",15,MAX(0.1,Skills!D18-IF(Skills!E18=TRUE,Inputs!$B$32,0)))*(1-IF(AND(ArtifactsInput!$M$27,Inputs!$B$4="Chapter Hunt"),CHOOSE(ArtifactsInput!$N$27+1,20,24,28,32,36,40),0)/100)),0)</f>
        <v/>
      </c>
      <c r="R2289">
        <f>IF(AND(Inputs!$B$38&lt;&gt;"pvp",Inputs!$B$43&gt;0),IF(Inputs!$B$43&lt;=0,0,(INT(Inputs!$B$43/(IF(Inputs!$B$38="pvp",15,MAX(0.1,Skills!D18-IF(Skills!E18=TRUE,Inputs!$B$32,0)))*(1-IF(AND(ArtifactsInput!$M$27,Inputs!$B$4="Chapter Hunt"),CHOOSE(ArtifactsInput!$N$27+1,20,24,28,32,36,40),0)/100)))+1)),0)</f>
        <v/>
      </c>
      <c r="S2289">
        <f>IFERROR(O2289/N2289,0)</f>
        <v/>
      </c>
      <c r="T2289" t="n">
        <v>0</v>
      </c>
      <c r="V2289" t="n">
        <v>0</v>
      </c>
    </row>
    <row r="2290">
      <c r="A2290">
        <f>Skills!A19</f>
        <v/>
      </c>
      <c r="B2290">
        <f>Skills!B19</f>
        <v/>
      </c>
      <c r="C2290">
        <f>TRUE</f>
        <v/>
      </c>
      <c r="D2290">
        <f>IF(Skills!C19=1,60+Inputs!$B$25+Inputs!$B$29,IF(Skills!C19=2,90+Inputs!$B$26+Inputs!$B$29,IF(Skills!C19=3,120+Inputs!$B$27+Inputs!$B$29,MAX(0,(Inputs!$B$3-100)*3)+Inputs!$B$28+Inputs!$B$29)))</f>
        <v/>
      </c>
      <c r="E2290">
        <f>INDEX(FactorTable!$B$2:$Y$301, MATCH(ROUND(MIN(300,MAX(1,D2290)),0), FactorTable!$A$2:$A$301,0), Skills!M19+1)</f>
        <v/>
      </c>
      <c r="F2290">
        <f>IF(Skills!N19=TRUE,(Skills!L19/10)*(E2290/1000),Skills!L19/10)+Skills!O19</f>
        <v/>
      </c>
      <c r="G2290">
        <f>Skills!G19*IF(Skills!H19&gt;0,Skills!I19/Skills!H19,1)</f>
        <v/>
      </c>
      <c r="H2290">
        <f>1-(1-Skills!J19/100)^Skills!K19</f>
        <v/>
      </c>
      <c r="I2290" t="inlineStr">
        <is>
          <t>1</t>
        </is>
      </c>
      <c r="J2290" t="inlineStr"/>
      <c r="K2290" t="inlineStr"/>
      <c r="L2290" t="inlineStr"/>
      <c r="M2290" t="inlineStr"/>
      <c r="N2290" t="inlineStr"/>
      <c r="O2290">
        <f>(1-Summary!$B$11)*T2290+Summary!$B$11*V2290</f>
        <v/>
      </c>
      <c r="P2290">
        <f>IF(B2308=0,0,O2290/B2308)</f>
        <v/>
      </c>
      <c r="Q2290">
        <f>IFERROR(1/(IF(Inputs!$B$38="pvp",15,MAX(0.1,Skills!D19-IF(Skills!E19=TRUE,Inputs!$B$32,0)))*(1-IF(AND(ArtifactsInput!$M$27,Inputs!$B$4="Chapter Hunt"),CHOOSE(ArtifactsInput!$N$27+1,20,24,28,32,36,40),0)/100)),0)</f>
        <v/>
      </c>
      <c r="R2290">
        <f>IF(AND(Inputs!$B$38&lt;&gt;"pvp",Inputs!$B$43&gt;0),IF(Inputs!$B$43&lt;=0,0,(INT(Inputs!$B$43/(IF(Inputs!$B$38="pvp",15,MAX(0.1,Skills!D19-IF(Skills!E19=TRUE,Inputs!$B$32,0)))*(1-IF(AND(ArtifactsInput!$M$27,Inputs!$B$4="Chapter Hunt"),CHOOSE(ArtifactsInput!$N$27+1,20,24,28,32,36,40),0)/100)))+1)),0)</f>
        <v/>
      </c>
      <c r="S2290">
        <f>IFERROR(O2290/N2290,0)</f>
        <v/>
      </c>
      <c r="T2290" t="n">
        <v>0</v>
      </c>
      <c r="V2290" t="n">
        <v>0</v>
      </c>
    </row>
    <row r="2291">
      <c r="A2291">
        <f>Skills!A20</f>
        <v/>
      </c>
      <c r="B2291">
        <f>Skills!B20</f>
        <v/>
      </c>
      <c r="C2291">
        <f>Inputs!$B$3&gt;=33</f>
        <v/>
      </c>
      <c r="D2291">
        <f>IF(Skills!C20=1,60+Inputs!$B$25+Inputs!$B$29,IF(Skills!C20=2,90+Inputs!$B$26+Inputs!$B$29,IF(Skills!C20=3,120+Inputs!$B$27+Inputs!$B$29,MAX(0,(Inputs!$B$3-100)*3)+Inputs!$B$28+Inputs!$B$29)))</f>
        <v/>
      </c>
      <c r="E2291">
        <f>INDEX(FactorTable!$B$2:$Y$301, MATCH(ROUND(MIN(300,MAX(1,D2291)),0), FactorTable!$A$2:$A$301,0), Skills!M20+1)</f>
        <v/>
      </c>
      <c r="F2291">
        <f>IF(Skills!N20=TRUE,(Skills!L20/10)*(E2291/1000),Skills!L20/10)+Skills!O20</f>
        <v/>
      </c>
      <c r="G2291">
        <f>Skills!G20*IF(Skills!H20&gt;0,Skills!I20/Skills!H20,1)</f>
        <v/>
      </c>
      <c r="H2291">
        <f>1-(1-Skills!J20/100)^Skills!K20</f>
        <v/>
      </c>
      <c r="I2291" t="inlineStr">
        <is>
          <t>1</t>
        </is>
      </c>
      <c r="J2291" t="inlineStr"/>
      <c r="K2291" t="inlineStr"/>
      <c r="L2291" t="inlineStr"/>
      <c r="M2291" t="inlineStr"/>
      <c r="N2291" t="inlineStr"/>
      <c r="O2291">
        <f>(1-Summary!$B$11)*T2291+Summary!$B$11*V2291</f>
        <v/>
      </c>
      <c r="P2291">
        <f>IF(B2308=0,0,O2291/B2308)</f>
        <v/>
      </c>
      <c r="Q2291" t="n">
        <v>0</v>
      </c>
      <c r="R2291" t="n">
        <v>0</v>
      </c>
      <c r="S2291">
        <f>IFERROR(O2291/N2291,0)</f>
        <v/>
      </c>
      <c r="T2291" t="n">
        <v>0</v>
      </c>
      <c r="V2291" t="n">
        <v>0</v>
      </c>
    </row>
    <row r="2292">
      <c r="A2292">
        <f>Skills!A21</f>
        <v/>
      </c>
      <c r="B2292">
        <f>Skills!B21</f>
        <v/>
      </c>
      <c r="C2292">
        <f>Inputs!$B$3&gt;=38</f>
        <v/>
      </c>
      <c r="D2292">
        <f>IF(Skills!C21=1,60+Inputs!$B$25+Inputs!$B$29,IF(Skills!C21=2,90+Inputs!$B$26+Inputs!$B$29,IF(Skills!C21=3,120+Inputs!$B$27+Inputs!$B$29,MAX(0,(Inputs!$B$3-100)*3)+Inputs!$B$28+Inputs!$B$29)))</f>
        <v/>
      </c>
      <c r="E2292">
        <f>INDEX(FactorTable!$B$2:$Y$301, MATCH(ROUND(MIN(300,MAX(1,D2292)),0), FactorTable!$A$2:$A$301,0), Skills!M21+1)</f>
        <v/>
      </c>
      <c r="F2292">
        <f>IF(Skills!N21=TRUE,(Skills!L21/10)*(E2292/1000),Skills!L21/10)+Skills!O21</f>
        <v/>
      </c>
      <c r="G2292">
        <f>Skills!G21*IF(Skills!H21&gt;0,Skills!I21/Skills!H21,1)</f>
        <v/>
      </c>
      <c r="H2292">
        <f>1-(1-Skills!J21/100)^Skills!K21</f>
        <v/>
      </c>
      <c r="I2292" t="inlineStr">
        <is>
          <t>1</t>
        </is>
      </c>
      <c r="J2292" t="inlineStr"/>
      <c r="K2292" t="inlineStr"/>
      <c r="L2292" t="inlineStr"/>
      <c r="M2292" t="inlineStr"/>
      <c r="N2292" t="inlineStr"/>
      <c r="O2292">
        <f>(1-Summary!$B$11)*T2292+Summary!$B$11*V2292</f>
        <v/>
      </c>
      <c r="P2292">
        <f>IF(B2308=0,0,O2292/B2308)</f>
        <v/>
      </c>
      <c r="Q2292" t="n">
        <v>0</v>
      </c>
      <c r="R2292" t="n">
        <v>0</v>
      </c>
      <c r="S2292">
        <f>IFERROR(O2292/N2292,0)</f>
        <v/>
      </c>
      <c r="T2292" t="n">
        <v>0</v>
      </c>
      <c r="V2292" t="n">
        <v>0</v>
      </c>
    </row>
    <row r="2293">
      <c r="A2293">
        <f>Skills!A22</f>
        <v/>
      </c>
      <c r="B2293">
        <f>Skills!B22</f>
        <v/>
      </c>
      <c r="C2293">
        <f>Inputs!$B$3&gt;=43</f>
        <v/>
      </c>
      <c r="D2293">
        <f>IF(Skills!C22=1,60+Inputs!$B$25+Inputs!$B$29,IF(Skills!C22=2,90+Inputs!$B$26+Inputs!$B$29,IF(Skills!C22=3,120+Inputs!$B$27+Inputs!$B$29,MAX(0,(Inputs!$B$3-100)*3)+Inputs!$B$28+Inputs!$B$29)))</f>
        <v/>
      </c>
      <c r="E2293">
        <f>INDEX(FactorTable!$B$2:$Y$301, MATCH(ROUND(MIN(300,MAX(1,D2293)),0), FactorTable!$A$2:$A$301,0), Skills!M22+1)</f>
        <v/>
      </c>
      <c r="F2293">
        <f>IF(Skills!N22=TRUE,(Skills!L22/10)*(E2293/1000),Skills!L22/10)+Skills!O22</f>
        <v/>
      </c>
      <c r="G2293">
        <f>Skills!G22*IF(Skills!H22&gt;0,Skills!I22/Skills!H22,1)</f>
        <v/>
      </c>
      <c r="H2293">
        <f>1-(1-Skills!J22/100)^Skills!K22</f>
        <v/>
      </c>
      <c r="I2293" t="inlineStr">
        <is>
          <t>1</t>
        </is>
      </c>
      <c r="J2293" t="inlineStr"/>
      <c r="K2293" t="inlineStr"/>
      <c r="L2293" t="inlineStr"/>
      <c r="M2293" t="inlineStr"/>
      <c r="N2293" t="inlineStr"/>
      <c r="O2293">
        <f>(1-Summary!$B$11)*T2293+Summary!$B$11*V2293</f>
        <v/>
      </c>
      <c r="P2293">
        <f>IF(B2308=0,0,O2293/B2308)</f>
        <v/>
      </c>
      <c r="Q2293" t="n">
        <v>0</v>
      </c>
      <c r="R2293" t="n">
        <v>0</v>
      </c>
      <c r="S2293">
        <f>IFERROR(O2293/N2293,0)</f>
        <v/>
      </c>
      <c r="T2293" t="n">
        <v>0</v>
      </c>
      <c r="V2293" t="n">
        <v>0</v>
      </c>
    </row>
    <row r="2294">
      <c r="A2294">
        <f>Skills!A23</f>
        <v/>
      </c>
      <c r="B2294">
        <f>Skills!B23</f>
        <v/>
      </c>
      <c r="C2294">
        <f>Inputs!$B$3&gt;=120</f>
        <v/>
      </c>
      <c r="D2294">
        <f>IF(Skills!C23=1,60+Inputs!$B$25+Inputs!$B$29,IF(Skills!C23=2,90+Inputs!$B$26+Inputs!$B$29,IF(Skills!C23=3,120+Inputs!$B$27+Inputs!$B$29,MAX(0,(Inputs!$B$3-100)*3)+Inputs!$B$28+Inputs!$B$29)))</f>
        <v/>
      </c>
      <c r="E2294">
        <f>INDEX(FactorTable!$B$2:$Y$301, MATCH(ROUND(MIN(300,MAX(1,D2294)),0), FactorTable!$A$2:$A$301,0), Skills!M23+1)</f>
        <v/>
      </c>
      <c r="F2294">
        <f>IF(Skills!N23=TRUE,(Skills!L23/10)*(E2294/1000),Skills!L23/10)+Skills!O23</f>
        <v/>
      </c>
      <c r="G2294">
        <f>Skills!G23*IF(Skills!H23&gt;0,Skills!I23/Skills!H23,1)</f>
        <v/>
      </c>
      <c r="H2294">
        <f>1-(1-Skills!J23/100)^Skills!K23</f>
        <v/>
      </c>
      <c r="I2294" t="inlineStr">
        <is>
          <t>1</t>
        </is>
      </c>
      <c r="J2294" t="inlineStr"/>
      <c r="K2294" t="inlineStr"/>
      <c r="L2294" t="inlineStr"/>
      <c r="M2294" t="inlineStr"/>
      <c r="N2294" t="inlineStr"/>
      <c r="O2294">
        <f>(1-Summary!$B$11)*T2294+Summary!$B$11*V2294</f>
        <v/>
      </c>
      <c r="P2294">
        <f>IF(B2308=0,0,O2294/B2308)</f>
        <v/>
      </c>
      <c r="Q2294" t="n">
        <v>0</v>
      </c>
      <c r="R2294" t="n">
        <v>0</v>
      </c>
      <c r="S2294">
        <f>IFERROR(O2294/N2294,0)</f>
        <v/>
      </c>
      <c r="T2294" t="n">
        <v>0</v>
      </c>
      <c r="V2294" t="n">
        <v>0</v>
      </c>
    </row>
    <row r="2295">
      <c r="A2295">
        <f>Skills!A24</f>
        <v/>
      </c>
      <c r="B2295">
        <f>Skills!B24</f>
        <v/>
      </c>
      <c r="C2295">
        <f>Inputs!$B$3&gt;=120</f>
        <v/>
      </c>
      <c r="D2295">
        <f>IF(Skills!C24=1,60+Inputs!$B$25+Inputs!$B$29,IF(Skills!C24=2,90+Inputs!$B$26+Inputs!$B$29,IF(Skills!C24=3,120+Inputs!$B$27+Inputs!$B$29,MAX(0,(Inputs!$B$3-100)*3)+Inputs!$B$28+Inputs!$B$29)))</f>
        <v/>
      </c>
      <c r="E2295">
        <f>INDEX(FactorTable!$B$2:$Y$301, MATCH(ROUND(MIN(300,MAX(1,D2295)),0), FactorTable!$A$2:$A$301,0), Skills!M24+1)</f>
        <v/>
      </c>
      <c r="F2295">
        <f>IF(Skills!N24=TRUE,(Skills!L24/10)*(E2295/1000),Skills!L24/10)+Skills!O24</f>
        <v/>
      </c>
      <c r="G2295">
        <f>Skills!G24*IF(Skills!H24&gt;0,Skills!I24/Skills!H24,1)</f>
        <v/>
      </c>
      <c r="H2295">
        <f>1-(1-Skills!J24/100)^Skills!K24</f>
        <v/>
      </c>
      <c r="I2295" t="inlineStr">
        <is>
          <t>1</t>
        </is>
      </c>
      <c r="J2295" t="inlineStr"/>
      <c r="K2295" t="inlineStr"/>
      <c r="L2295" t="inlineStr"/>
      <c r="M2295" t="inlineStr"/>
      <c r="N2295" t="inlineStr"/>
      <c r="O2295">
        <f>(1-Summary!$B$11)*T2295+Summary!$B$11*V2295</f>
        <v/>
      </c>
      <c r="P2295">
        <f>IF(B2308=0,0,O2295/B2308)</f>
        <v/>
      </c>
      <c r="Q2295" t="n">
        <v>0</v>
      </c>
      <c r="R2295" t="n">
        <v>0</v>
      </c>
      <c r="S2295">
        <f>IFERROR(O2295/N2295,0)</f>
        <v/>
      </c>
      <c r="T2295" t="n">
        <v>0</v>
      </c>
      <c r="V2295" t="n">
        <v>0</v>
      </c>
    </row>
    <row r="2297">
      <c r="A2297" t="inlineStr">
        <is>
          <t>Attack% Bucket Multiplier</t>
        </is>
      </c>
      <c r="B2297">
        <f>(1+(((C2284=TRUE)*F2284*MIN(1,Skills!T13*(Skills!J13/100)*B2302))+((C2289=TRUE)*F2289*IF(AND(Inputs!$B$38&lt;&gt;"pvp",Inputs!$B$43&gt;0),(((R2289-1)*(Skills!T18*(1+Inputs!$B$34/100))+MIN((Skills!T18*(1+Inputs!$B$34/100)),MAX(0,Inputs!$B$43-((R2289-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98">
      <c r="A2298" t="inlineStr">
        <is>
          <t>Global Crit Rate Bonus %</t>
        </is>
      </c>
      <c r="B2298" t="n">
        <v>0</v>
      </c>
    </row>
    <row r="2299">
      <c r="A2299" t="inlineStr">
        <is>
          <t>Attack Speed Buff Bonus %</t>
        </is>
      </c>
      <c r="B2299">
        <f>((C2290=TRUE)*F2290*IF(AND(Inputs!$B$38&lt;&gt;"pvp",Inputs!$B$43&gt;0),(((R2290-1)*(Skills!T19*(1+Inputs!$B$34/100))+MIN((Skills!T19*(1+Inputs!$B$34/100)),MAX(0,Inputs!$B$43-((R2290-1)*Skills!D19))))/Inputs!$B$43),IF(Inputs!$B$38="pvp",MIN((Skills!T19*(1+Inputs!$B$34/100)),15)/15,(Skills!T19*(1+Inputs!$B$34/100))/Skills!D19)))</f>
        <v/>
      </c>
    </row>
    <row r="2300">
      <c r="A2300" t="inlineStr">
        <is>
          <t>Actions Per Second</t>
        </is>
      </c>
      <c r="B2300">
        <f>1+MIN(150,150*(1-(1-(Inputs!$B$11+((C2291=TRUE)*(F2291-Calc!F20)))/150)*(1-B2299/150)))/100</f>
        <v/>
      </c>
    </row>
    <row r="2301">
      <c r="A2301" t="inlineStr">
        <is>
          <t>Skill + Buff Cast Rate</t>
        </is>
      </c>
      <c r="B2301">
        <f>IF(AND(Inputs!$B$38&lt;&gt;"pvp",Inputs!$B$43&gt;0),SUMPRODUCT((Skills!E2:E24=TRUE)*(C2273:C2295=TRUE)*R2273:R2295*Skills!F2:F24)/Inputs!$B$43,SUMPRODUCT((Skills!E2:E24=TRUE)*(C2273:C2295=TRUE)*Q2273:Q2295*Skills!F2:F24))</f>
        <v/>
      </c>
    </row>
    <row r="2302">
      <c r="A2302" t="inlineStr">
        <is>
          <t>Blast Casts Per Second</t>
        </is>
      </c>
      <c r="B2302">
        <f>MAX(0,B2300-B2301)</f>
        <v/>
      </c>
    </row>
    <row r="2303">
      <c r="A2303" t="inlineStr">
        <is>
          <t>Global Critical Damage Bonus % (unused)</t>
        </is>
      </c>
      <c r="B2303" t="n">
        <v>0</v>
      </c>
    </row>
    <row r="2304">
      <c r="A2304" t="inlineStr">
        <is>
          <t>Global Final Damage Bonus % (Divine Shield + Guardian + Divine Blessing + Greater Vessel of Light)</t>
        </is>
      </c>
      <c r="B2304">
        <f>((C2286=TRUE)*F2286*IF(AND(Inputs!$B$38&lt;&gt;"pvp",Inputs!$B$43&gt;0),(((R2286-1)*(Skills!T15*(1+Inputs!$B$34/100))+MIN((Skills!T15*(1+Inputs!$B$34/100)),MAX(0,Inputs!$B$43-((R2286-1)*Skills!D15))))/Inputs!$B$43),IF(Inputs!$B$38="pvp",MIN((Skills!T15*(1+Inputs!$B$34/100)),15)/15,(Skills!T15*(1+Inputs!$B$34/100))/Skills!D15)))+((C2287=TRUE)*F2287*IF(AND(Inputs!$B$38&lt;&gt;"pvp",Inputs!$B$43&gt;0),(((R2287-1)*(Skills!T16*(1+Inputs!$B$34/100))+MIN((Skills!T16*(1+Inputs!$B$34/100)),MAX(0,Inputs!$B$43-((R2287-1)*Skills!D16))))/Inputs!$B$43),IF(Inputs!$B$38="pvp",MIN((Skills!T16*(1+Inputs!$B$34/100)),15)/15,(Skills!T16*(1+Inputs!$B$34/100))/Skills!D16)))+((C2288=TRUE)*F2288*IF(AND(Inputs!$B$38&lt;&gt;"pvp",Inputs!$B$43&gt;0),(((R2288-1)*(Skills!T17*(1+Inputs!$B$34/100))+MIN((Skills!T17*(1+Inputs!$B$34/100)),MAX(0,Inputs!$B$43-((R2288-1)*Skills!D17))))/Inputs!$B$43),IF(Inputs!$B$38="pvp",MIN((Skills!T17*(1+Inputs!$B$34/100)),15)/15,(Skills!T17*(1+Inputs!$B$34/100))/Skills!D17)))+((C2285=TRUE)*F2285*MIN(1,Skills!T13*(Skills!J13/100)*B2302))</f>
        <v/>
      </c>
    </row>
    <row r="2305">
      <c r="A2305" t="inlineStr">
        <is>
          <t>Buff-Casting Startup Delay (s, fixed-duration only)</t>
        </is>
      </c>
      <c r="B2305">
        <f>IF(AND(Inputs!$B$38&lt;&gt;"pvp",Inputs!$B$43&gt;0),SUMPRODUCT((Skills!T2:T24&gt;0)*(Skills!E2:E24=TRUE)*(C2273:C2295=TRUE))/B2300,0)</f>
        <v/>
      </c>
    </row>
    <row r="2306">
      <c r="A2306" t="inlineStr">
        <is>
          <t>Boss-Only Total DPS (this block's swept value)</t>
        </is>
      </c>
      <c r="B2306">
        <f>SUM(T2273:T2295)</f>
        <v/>
      </c>
    </row>
    <row r="2307">
      <c r="A2307" t="inlineStr">
        <is>
          <t>Normal-Only Total DPS (this block's swept value)</t>
        </is>
      </c>
      <c r="B2307">
        <f>SUM(V2273:V2295)</f>
        <v/>
      </c>
    </row>
    <row r="2308">
      <c r="A2308" s="6" t="inlineStr">
        <is>
          <t>TOTAL DPS</t>
        </is>
      </c>
      <c r="B2308" s="6">
        <f>SUM(O2273:O2295)</f>
        <v/>
      </c>
    </row>
    <row r="2311">
      <c r="A2311" s="6" t="inlineStr">
        <is>
          <t>Stat: Alliance Badge (Equip)</t>
        </is>
      </c>
    </row>
    <row r="2312">
      <c r="A2312" s="5" t="inlineStr">
        <is>
          <t>Key</t>
        </is>
      </c>
      <c r="B2312" s="5" t="inlineStr">
        <is>
          <t>Name</t>
        </is>
      </c>
      <c r="C2312" s="5" t="inlineStr">
        <is>
          <t>Unlocked</t>
        </is>
      </c>
      <c r="D2312" s="5" t="inlineStr">
        <is>
          <t>InputLevel</t>
        </is>
      </c>
      <c r="E2312" s="5" t="inlineStr">
        <is>
          <t>Factor</t>
        </is>
      </c>
      <c r="F2312" s="5" t="inlineStr">
        <is>
          <t>CoefficientPercent</t>
        </is>
      </c>
      <c r="G2312" s="5" t="inlineStr">
        <is>
          <t>EffectiveHits</t>
        </is>
      </c>
      <c r="H2312" s="5" t="inlineStr">
        <is>
          <t>ProcProbability</t>
        </is>
      </c>
      <c r="I2312" s="5" t="inlineStr">
        <is>
          <t>MapleHeroMultiplier</t>
        </is>
      </c>
      <c r="J2312" s="5" t="inlineStr">
        <is>
          <t>BaseDamage</t>
        </is>
      </c>
      <c r="K2312" s="5" t="inlineStr">
        <is>
          <t>BaseHitDamage</t>
        </is>
      </c>
      <c r="L2312" s="5" t="inlineStr">
        <is>
          <t>NonCritAvg</t>
        </is>
      </c>
      <c r="M2312" s="5" t="inlineStr">
        <is>
          <t>CritAvg</t>
        </is>
      </c>
      <c r="N2312" s="5" t="inlineStr">
        <is>
          <t>ExpectedDamage(perHit)</t>
        </is>
      </c>
      <c r="O2312" s="5" t="inlineStr">
        <is>
          <t>DPS</t>
        </is>
      </c>
      <c r="P2312" s="5" t="inlineStr">
        <is>
          <t>% of Total</t>
        </is>
      </c>
      <c r="Q2312" s="5" t="inlineStr">
        <is>
          <t>InvCooldown</t>
        </is>
      </c>
      <c r="R2312" s="5" t="inlineStr">
        <is>
          <t>CastsInFight</t>
        </is>
      </c>
      <c r="S2312" s="5" t="inlineStr">
        <is>
          <t>HitRate(perSec)</t>
        </is>
      </c>
      <c r="U2312" t="inlineStr">
        <is>
          <t>helpers</t>
        </is>
      </c>
    </row>
    <row r="2313">
      <c r="A2313">
        <f>Skills!A2</f>
        <v/>
      </c>
      <c r="B2313">
        <f>Skills!B2</f>
        <v/>
      </c>
      <c r="C2313">
        <f>Inputs!$B$3&gt;=100</f>
        <v/>
      </c>
      <c r="D2313" t="inlineStr"/>
      <c r="E2313" t="inlineStr"/>
      <c r="F2313">
        <f>U2315+Skills!O2</f>
        <v/>
      </c>
      <c r="G2313">
        <f>Skills!G2*IF(Skills!H2&gt;0,Skills!I2/Skills!H2,1)</f>
        <v/>
      </c>
      <c r="H2313">
        <f>1-(1-Skills!J2/100)^Skills!K2</f>
        <v/>
      </c>
      <c r="I2313" t="inlineStr">
        <is>
          <t>1</t>
        </is>
      </c>
      <c r="J2313">
        <f>((Inputs!$B$6*(1+Inputs!$B$7/100))+(((Inputs!$B$12*(1+Inputs!$B$13/100))-(Inputs!$B$12*(1+Inputs!$B$13/100)))+0.25*(Inputs!$B$14-Inputs!$B$14))*(1+Inputs!$B$7/100))*(F2313/100)</f>
        <v/>
      </c>
      <c r="K2313">
        <f>J2313*(1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2313)</f>
        <v/>
      </c>
      <c r="L2313">
        <f>K2313*(MIN(Inputs!$B$22+((C2333=TRUE)*(F2333-Calc!F22)),(Inputs!$B$23+((C2335=TRUE)*(F2335-Calc!F24))+(IF(ArtifactsInput!$M$15,CHOOSE(ArtifactsInput!$N$15+1,25,30,35,40,45,50)/100*(Inputs!$B$11-Inputs!$B$11),0))))/100+(Inputs!$B$23+((C2335=TRUE)*(F2335-Calc!F24))+(IF(ArtifactsInput!$M$15,CHOOSE(ArtifactsInput!$N$15+1,25,30,35,40,45,50)/100*(Inputs!$B$11-Inputs!$B$11),0)))/100)/2</f>
        <v/>
      </c>
      <c r="M2313">
        <f>L2313*(1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3">
        <f>L2313*(1-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2313*(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3">
        <f>(1-Summary!$B$11)*T2313+Summary!$B$11*V2313</f>
        <v/>
      </c>
      <c r="P2313">
        <f>IF(B2348=0,0,O2313/B2348)</f>
        <v/>
      </c>
      <c r="Q2313" t="n">
        <v>0</v>
      </c>
      <c r="R2313" t="n">
        <v>0</v>
      </c>
      <c r="S2313">
        <f>IFERROR(O2313/N2313,0)</f>
        <v/>
      </c>
      <c r="T2313">
        <f>IF(C2313,(Skills!G2*N2313*B2342)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2313*(1-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2313*(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2313*(1-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2313*(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13">
        <f>MAX(0,(Inputs!$B$3-100)*3)+Inputs!$B$28+Inputs!$B$29</f>
        <v/>
      </c>
      <c r="V2313">
        <f>IF(C2313,(Skills!G2*N2313*B2342)*IF(Inputs!$B$38="pvp",1,(1+(Inputs!$B$21+Skills!Q2+(IF(ArtifactsInput!$M$33,CHOOSE(ArtifactsInput!$N$33+1,30,36,42,48,54,60),0))+(IF(AND(ArtifactsInput!$M$35,Inputs!$B$4&lt;&gt;"Chapter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4">
      <c r="A2314">
        <f>Skills!A3</f>
        <v/>
      </c>
      <c r="B2314">
        <f>Skills!B3</f>
        <v/>
      </c>
      <c r="C2314">
        <f>Inputs!$B$3&gt;=50</f>
        <v/>
      </c>
      <c r="D2314">
        <f>IF(Skills!C3=1,60+Inputs!$B$25+Inputs!$B$29,IF(Skills!C3=2,90+Inputs!$B$26+Inputs!$B$29,IF(Skills!C3=3,120+Inputs!$B$27+Inputs!$B$29,MAX(0,(Inputs!$B$3-100)*3)+Inputs!$B$28+Inputs!$B$29)))</f>
        <v/>
      </c>
      <c r="E2314">
        <f>INDEX(FactorTable!$B$2:$Y$301, MATCH(ROUND(MIN(300,MAX(1,D2314)),0), FactorTable!$A$2:$A$301,0), Skills!M3+1)</f>
        <v/>
      </c>
      <c r="F2314">
        <f>IF(Skills!N3=TRUE,(Skills!L3/10)*(E2314/1000),Skills!L3/10)+Skills!O3</f>
        <v/>
      </c>
      <c r="G2314" t="inlineStr"/>
      <c r="H2314" t="inlineStr"/>
      <c r="I2314" t="inlineStr">
        <is>
          <t>1</t>
        </is>
      </c>
      <c r="J2314" t="inlineStr"/>
      <c r="K2314" t="inlineStr"/>
      <c r="L2314" t="inlineStr"/>
      <c r="M2314" t="inlineStr"/>
      <c r="N2314" t="inlineStr"/>
      <c r="O2314" t="inlineStr"/>
      <c r="P2314" t="inlineStr"/>
      <c r="Q2314" t="inlineStr"/>
      <c r="R2314" t="inlineStr"/>
      <c r="S2314" t="inlineStr"/>
      <c r="U2314">
        <f>INDEX(FactorTable!$B$2:$Y$301, MATCH(ROUND(MIN(300,MAX(1,U2313)),0), FactorTable!$A$2:$A$301,0), 22)</f>
        <v/>
      </c>
    </row>
    <row r="2315">
      <c r="A2315">
        <f>Skills!A4</f>
        <v/>
      </c>
      <c r="B2315">
        <f>Skills!B4</f>
        <v/>
      </c>
      <c r="C2315">
        <f>Inputs!$B$3&gt;=35</f>
        <v/>
      </c>
      <c r="D2315">
        <f>IF(Skills!C4=1,60+Inputs!$B$25+Inputs!$B$29,IF(Skills!C4=2,90+Inputs!$B$26+Inputs!$B$29,IF(Skills!C4=3,120+Inputs!$B$27+Inputs!$B$29,MAX(0,(Inputs!$B$3-100)*3)+Inputs!$B$28+Inputs!$B$29)))</f>
        <v/>
      </c>
      <c r="E2315">
        <f>INDEX(FactorTable!$B$2:$Y$301, MATCH(ROUND(MIN(300,MAX(1,D2315)),0), FactorTable!$A$2:$A$301,0), Skills!M4+1)</f>
        <v/>
      </c>
      <c r="F2315">
        <f>IF(Skills!N4=TRUE,(Skills!L4/10)*(E2315/1000),Skills!L4/10)+Skills!O4</f>
        <v/>
      </c>
      <c r="G2315">
        <f>Skills!G4*IF(Skills!H4&gt;0,Skills!I4/Skills!H4,1)</f>
        <v/>
      </c>
      <c r="H2315">
        <f>1-(1-Skills!J4/100)^Skills!K4</f>
        <v/>
      </c>
      <c r="I2315" t="inlineStr">
        <is>
          <t>1</t>
        </is>
      </c>
      <c r="J2315">
        <f>((Inputs!$B$6*(1+Inputs!$B$7/100))+(((Inputs!$B$12*(1+Inputs!$B$13/100))-(Inputs!$B$12*(1+Inputs!$B$13/100)))+0.25*(Inputs!$B$14-Inputs!$B$14))*(1+Inputs!$B$7/100))*(F2315/100)</f>
        <v/>
      </c>
      <c r="K2315">
        <f>J2315*(1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2323=TRUE,F2323,0)/100)*(1+(IF(Skills!A4="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2315)</f>
        <v/>
      </c>
      <c r="L2315">
        <f>K2315*(MIN(Inputs!$B$22+((C2333=TRUE)*(F2333-Calc!F22)),(Inputs!$B$23+((C2335=TRUE)*(F2335-Calc!F24))+(IF(ArtifactsInput!$M$15,CHOOSE(ArtifactsInput!$N$15+1,25,30,35,40,45,50)/100*(Inputs!$B$11-Inputs!$B$11),0))))/100+(Inputs!$B$23+((C2335=TRUE)*(F2335-Calc!F24))+(IF(ArtifactsInput!$M$15,CHOOSE(ArtifactsInput!$N$15+1,25,30,35,40,45,50)/100*(Inputs!$B$11-Inputs!$B$11),0)))/100)/2</f>
        <v/>
      </c>
      <c r="M2315">
        <f>L2315*(1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5">
        <f>L2315*(1-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2315*(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5">
        <f>(1-Summary!$B$11)*T2315+Summary!$B$11*V2315</f>
        <v/>
      </c>
      <c r="P2315">
        <f>IF(B2348=0,0,O2315/B2348)</f>
        <v/>
      </c>
      <c r="Q2315">
        <f>IFERROR(1/(IF(Inputs!$B$38="pvp",15,MAX(0.1,Skills!D4-IF(Skills!E4=TRUE,Inputs!$B$32,0)))*(1-IF(AND(ArtifactsInput!$M$27,Inputs!$B$4="Chapter Hunt"),CHOOSE(ArtifactsInput!$N$27+1,20,24,28,32,36,40),0)/100)),0)</f>
        <v/>
      </c>
      <c r="R2315">
        <f>IF(AND(Inputs!$B$38&lt;&gt;"pvp",Inputs!$B$43&gt;0),IF(MAX(0,Inputs!$B$43-B2345)&lt;=0,0,(INT(MAX(0,Inputs!$B$43-B2345)/(IF(Inputs!$B$38="pvp",15,MAX(0.1,Skills!D4-IF(Skills!E4=TRUE,Inputs!$B$32,0)))*(1-IF(AND(ArtifactsInput!$M$27,Inputs!$B$4="Chapter Hunt"),CHOOSE(ArtifactsInput!$N$27+1,20,24,28,32,36,40),0)/100)))+1)),0)</f>
        <v/>
      </c>
      <c r="S2315">
        <f>IFERROR(O2315/N2315,0)</f>
        <v/>
      </c>
      <c r="T2315">
        <f>IF(C2315,(H2315*N2315*IF(AND(Inputs!$B$38&lt;&gt;"pvp",Inputs!$B$43&gt;0),((Skills!G4*((R2315-1)*IF(Skills!H4&gt;0,Skills!I4/Skills!H4,1)+IF(Skills!H4&gt;0,MIN(Skills!I4,MAX(0,MAX(0,Inputs!$B$43-B2345)-((R2315-1)*(IF(Inputs!$B$38="pvp",15,MAX(0.1,Skills!D4-IF(Skills!E4=TRUE,Inputs!$B$32,0)))*(1-IF(AND(ArtifactsInput!$M$27,Inputs!$B$4="Chapter Hunt"),CHOOSE(ArtifactsInput!$N$27+1,20,24,28,32,36,40),0)/100)))))/Skills!H4,1)))/Inputs!$B$43),G2315*Q2315)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2315*(1-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2315*(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2315*(1-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2315*(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15">
        <f>290*U2314/1000</f>
        <v/>
      </c>
      <c r="V2315">
        <f>IF(C2315,(H2315*N2315*IF(AND(Inputs!$B$38&lt;&gt;"pvp",Inputs!$B$43&gt;0),((Skills!G4*((R2315-1)*IF(Skills!H4&gt;0,Skills!I4/Skills!H4,1)+IF(Skills!H4&gt;0,MIN(Skills!I4,MAX(0,MAX(0,Inputs!$B$43-B2345)-((R2315-1)*(IF(Inputs!$B$38="pvp",15,MAX(0.1,Skills!D4-IF(Skills!E4=TRUE,Inputs!$B$32,0)))*(1-IF(AND(ArtifactsInput!$M$27,Inputs!$B$4="Chapter Hunt"),CHOOSE(ArtifactsInput!$N$27+1,20,24,28,32,36,40),0)/100)))))/Skills!H4,1)))/Inputs!$B$43),G2315*Q2315))*IF(Inputs!$B$38="pvp",1,(1+(Inputs!$B$21+Skills!Q4+(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6">
      <c r="A2316">
        <f>Skills!A5</f>
        <v/>
      </c>
      <c r="B2316">
        <f>Skills!B5</f>
        <v/>
      </c>
      <c r="C2316">
        <f>Inputs!$B$3&gt;=66</f>
        <v/>
      </c>
      <c r="D2316">
        <f>IF(Skills!C5=1,60+Inputs!$B$25+Inputs!$B$29,IF(Skills!C5=2,90+Inputs!$B$26+Inputs!$B$29,IF(Skills!C5=3,120+Inputs!$B$27+Inputs!$B$29,MAX(0,(Inputs!$B$3-100)*3)+Inputs!$B$28+Inputs!$B$29)))</f>
        <v/>
      </c>
      <c r="E2316">
        <f>INDEX(FactorTable!$B$2:$Y$301, MATCH(ROUND(MIN(300,MAX(1,D2316)),0), FactorTable!$A$2:$A$301,0), Skills!M5+1)</f>
        <v/>
      </c>
      <c r="F2316">
        <f>IF(Skills!N5=TRUE,(Skills!L5/10)*(E2316/1000),Skills!L5/10)+Skills!O5</f>
        <v/>
      </c>
      <c r="G2316">
        <f>Skills!G5*IF(Skills!H5&gt;0,Skills!I5/Skills!H5,1)</f>
        <v/>
      </c>
      <c r="H2316">
        <f>1-(1-Skills!J5/100)^Skills!K5</f>
        <v/>
      </c>
      <c r="I2316" t="inlineStr">
        <is>
          <t>1</t>
        </is>
      </c>
      <c r="J2316">
        <f>((Inputs!$B$6*(1+Inputs!$B$7/100))+(((Inputs!$B$12*(1+Inputs!$B$13/100))-(Inputs!$B$12*(1+Inputs!$B$13/100)))+0.25*(Inputs!$B$14-Inputs!$B$14))*(1+Inputs!$B$7/100))*(F2316/100)</f>
        <v/>
      </c>
      <c r="K2316">
        <f>J2316*(1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2323=TRUE,F2323,0)/100)*(1+(IF(Skills!A5="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2316)</f>
        <v/>
      </c>
      <c r="L2316">
        <f>K2316*(MIN(Inputs!$B$22+((C2333=TRUE)*(F2333-Calc!F22)),(Inputs!$B$23+((C2335=TRUE)*(F2335-Calc!F24))+(IF(ArtifactsInput!$M$15,CHOOSE(ArtifactsInput!$N$15+1,25,30,35,40,45,50)/100*(Inputs!$B$11-Inputs!$B$11),0))))/100+(Inputs!$B$23+((C2335=TRUE)*(F2335-Calc!F24))+(IF(ArtifactsInput!$M$15,CHOOSE(ArtifactsInput!$N$15+1,25,30,35,40,45,50)/100*(Inputs!$B$11-Inputs!$B$11),0)))/100)/2</f>
        <v/>
      </c>
      <c r="M2316">
        <f>L2316*(1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6">
        <f>L2316*(1-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2316*(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6">
        <f>(1-Summary!$B$11)*T2316+Summary!$B$11*V2316</f>
        <v/>
      </c>
      <c r="P2316">
        <f>IF(B2348=0,0,O2316/B2348)</f>
        <v/>
      </c>
      <c r="Q2316">
        <f>IFERROR(1/(IF(Inputs!$B$38="pvp",15,MAX(0.1,Skills!D5-IF(Skills!E5=TRUE,Inputs!$B$32,0)))*(1-IF(AND(ArtifactsInput!$M$27,Inputs!$B$4="Chapter Hunt"),CHOOSE(ArtifactsInput!$N$27+1,20,24,28,32,36,40),0)/100)),0)</f>
        <v/>
      </c>
      <c r="R2316">
        <f>IF(AND(Inputs!$B$38&lt;&gt;"pvp",Inputs!$B$43&gt;0),IF(MAX(0,Inputs!$B$43-B2345)&lt;=0,0,(INT(MAX(0,Inputs!$B$43-B2345)/(IF(Inputs!$B$38="pvp",15,MAX(0.1,Skills!D5-IF(Skills!E5=TRUE,Inputs!$B$32,0)))*(1-IF(AND(ArtifactsInput!$M$27,Inputs!$B$4="Chapter Hunt"),CHOOSE(ArtifactsInput!$N$27+1,20,24,28,32,36,40),0)/100)))+1)),0)</f>
        <v/>
      </c>
      <c r="S2316">
        <f>IFERROR(O2316/N2316,0)</f>
        <v/>
      </c>
      <c r="T2316">
        <f>IF(C2316,(H2316*N2316*IF(AND(Inputs!$B$38&lt;&gt;"pvp",Inputs!$B$43&gt;0),((Skills!G5*((R2316-1)*IF(Skills!H5&gt;0,Skills!I5/Skills!H5,1)+IF(Skills!H5&gt;0,MIN(Skills!I5,MAX(0,MAX(0,Inputs!$B$43-B2345)-((R2316-1)*(IF(Inputs!$B$38="pvp",15,MAX(0.1,Skills!D5-IF(Skills!E5=TRUE,Inputs!$B$32,0)))*(1-IF(AND(ArtifactsInput!$M$27,Inputs!$B$4="Chapter Hunt"),CHOOSE(ArtifactsInput!$N$27+1,20,24,28,32,36,40),0)/100)))))/Skills!H5,1)))/Inputs!$B$43),G2316*Q2316)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2316*(1-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2316*(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2316*(1-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2316*(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16">
        <f>IF(C2316,(H2316*N2316*IF(AND(Inputs!$B$38&lt;&gt;"pvp",Inputs!$B$43&gt;0),((Skills!G5*((R2316-1)*IF(Skills!H5&gt;0,Skills!I5/Skills!H5,1)+IF(Skills!H5&gt;0,MIN(Skills!I5,MAX(0,MAX(0,Inputs!$B$43-B2345)-((R2316-1)*(IF(Inputs!$B$38="pvp",15,MAX(0.1,Skills!D5-IF(Skills!E5=TRUE,Inputs!$B$32,0)))*(1-IF(AND(ArtifactsInput!$M$27,Inputs!$B$4="Chapter Hunt"),CHOOSE(ArtifactsInput!$N$27+1,20,24,28,32,36,40),0)/100)))))/Skills!H5,1)))/Inputs!$B$43),G2316*Q2316))*IF(Inputs!$B$38="pvp",1,(1+(Inputs!$B$21+Skills!Q5+(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7">
      <c r="A2317">
        <f>Skills!A6</f>
        <v/>
      </c>
      <c r="B2317">
        <f>Skills!B6</f>
        <v/>
      </c>
      <c r="C2317">
        <f>Inputs!$B$3&gt;=103</f>
        <v/>
      </c>
      <c r="D2317">
        <f>IF(Skills!C6=1,60+Inputs!$B$25+Inputs!$B$29,IF(Skills!C6=2,90+Inputs!$B$26+Inputs!$B$29,IF(Skills!C6=3,120+Inputs!$B$27+Inputs!$B$29,MAX(0,(Inputs!$B$3-100)*3)+Inputs!$B$28+Inputs!$B$29)))</f>
        <v/>
      </c>
      <c r="E2317">
        <f>INDEX(FactorTable!$B$2:$Y$301, MATCH(ROUND(MIN(300,MAX(1,D2317)),0), FactorTable!$A$2:$A$301,0), Skills!M6+1)</f>
        <v/>
      </c>
      <c r="F2317">
        <f>IF(Skills!N6=TRUE,(Skills!L6/10)*(E2317/1000),Skills!L6/10)+Skills!O6</f>
        <v/>
      </c>
      <c r="G2317">
        <f>Skills!G6*IF(Skills!H6&gt;0,Skills!I6/Skills!H6,1)</f>
        <v/>
      </c>
      <c r="H2317">
        <f>1-(1-Skills!J6/100)^Skills!K6</f>
        <v/>
      </c>
      <c r="I2317" t="inlineStr">
        <is>
          <t>1</t>
        </is>
      </c>
      <c r="J2317">
        <f>((Inputs!$B$6*(1+Inputs!$B$7/100))+(((Inputs!$B$12*(1+Inputs!$B$13/100))-(Inputs!$B$12*(1+Inputs!$B$13/100)))+0.25*(Inputs!$B$14-Inputs!$B$14))*(1+Inputs!$B$7/100))*(F2317/100)</f>
        <v/>
      </c>
      <c r="K2317">
        <f>J2317*(1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2317)</f>
        <v/>
      </c>
      <c r="L2317">
        <f>K2317*(MIN(Inputs!$B$22+((C2333=TRUE)*(F2333-Calc!F22)),(Inputs!$B$23+((C2335=TRUE)*(F2335-Calc!F24))+(IF(ArtifactsInput!$M$15,CHOOSE(ArtifactsInput!$N$15+1,25,30,35,40,45,50)/100*(Inputs!$B$11-Inputs!$B$11),0))))/100+(Inputs!$B$23+((C2335=TRUE)*(F2335-Calc!F24))+(IF(ArtifactsInput!$M$15,CHOOSE(ArtifactsInput!$N$15+1,25,30,35,40,45,50)/100*(Inputs!$B$11-Inputs!$B$11),0)))/100)/2</f>
        <v/>
      </c>
      <c r="M2317">
        <f>L2317*(1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7">
        <f>L2317*(1-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2317*(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7">
        <f>(1-Summary!$B$11)*T2317+Summary!$B$11*V2317</f>
        <v/>
      </c>
      <c r="P2317">
        <f>IF(B2348=0,0,O2317/B2348)</f>
        <v/>
      </c>
      <c r="Q2317">
        <f>IFERROR(1/(IF(Inputs!$B$38="pvp",15,MAX(0.1,Skills!D6-IF(Skills!E6=TRUE,Inputs!$B$32,0)))*(1-IF(AND(ArtifactsInput!$M$27,Inputs!$B$4="Chapter Hunt"),CHOOSE(ArtifactsInput!$N$27+1,20,24,28,32,36,40),0)/100)),0)</f>
        <v/>
      </c>
      <c r="R2317">
        <f>IF(AND(Inputs!$B$38&lt;&gt;"pvp",Inputs!$B$43&gt;0),IF(MAX(0,Inputs!$B$43-B2345)&lt;=0,0,(INT(MAX(0,Inputs!$B$43-B2345)/(IF(Inputs!$B$38="pvp",15,MAX(0.1,Skills!D6-IF(Skills!E6=TRUE,Inputs!$B$32,0)))*(1-IF(AND(ArtifactsInput!$M$27,Inputs!$B$4="Chapter Hunt"),CHOOSE(ArtifactsInput!$N$27+1,20,24,28,32,36,40),0)/100)))+1)),0)</f>
        <v/>
      </c>
      <c r="S2317">
        <f>IFERROR(O2317/N2317,0)</f>
        <v/>
      </c>
      <c r="T2317">
        <f>IF(C2317,(H2317*N2317*IF(AND(Inputs!$B$38&lt;&gt;"pvp",Inputs!$B$43&gt;0),((Skills!G6*((R2317-1)*IF(Skills!H6&gt;0,Skills!I6/Skills!H6,1)+IF(Skills!H6&gt;0,MIN(Skills!I6,MAX(0,MAX(0,Inputs!$B$43-B2345)-((R2317-1)*(IF(Inputs!$B$38="pvp",15,MAX(0.1,Skills!D6-IF(Skills!E6=TRUE,Inputs!$B$32,0)))*(1-IF(AND(ArtifactsInput!$M$27,Inputs!$B$4="Chapter Hunt"),CHOOSE(ArtifactsInput!$N$27+1,20,24,28,32,36,40),0)/100)))))/Skills!H6,1)))/Inputs!$B$43),G2317*Q2317)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2317*(1-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2317*(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2317*(1-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2317*(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17">
        <f>IF(C2317,(H2317*N2317*IF(AND(Inputs!$B$38&lt;&gt;"pvp",Inputs!$B$43&gt;0),((Skills!G6*((R2317-1)*IF(Skills!H6&gt;0,Skills!I6/Skills!H6,1)+IF(Skills!H6&gt;0,MIN(Skills!I6,MAX(0,MAX(0,Inputs!$B$43-B2345)-((R2317-1)*(IF(Inputs!$B$38="pvp",15,MAX(0.1,Skills!D6-IF(Skills!E6=TRUE,Inputs!$B$32,0)))*(1-IF(AND(ArtifactsInput!$M$27,Inputs!$B$4="Chapter Hunt"),CHOOSE(ArtifactsInput!$N$27+1,20,24,28,32,36,40),0)/100)))))/Skills!H6,1)))/Inputs!$B$43),G2317*Q2317))*IF(Inputs!$B$38="pvp",1,(1+(Inputs!$B$21+Skills!Q6+(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8">
      <c r="A2318">
        <f>Skills!A7</f>
        <v/>
      </c>
      <c r="B2318">
        <f>Skills!B7</f>
        <v/>
      </c>
      <c r="C2318">
        <f>Inputs!$B$3&gt;=107</f>
        <v/>
      </c>
      <c r="D2318">
        <f>IF(Skills!C7=1,60+Inputs!$B$25+Inputs!$B$29,IF(Skills!C7=2,90+Inputs!$B$26+Inputs!$B$29,IF(Skills!C7=3,120+Inputs!$B$27+Inputs!$B$29,MAX(0,(Inputs!$B$3-100)*3)+Inputs!$B$28+Inputs!$B$29)))</f>
        <v/>
      </c>
      <c r="E2318">
        <f>INDEX(FactorTable!$B$2:$Y$301, MATCH(ROUND(MIN(300,MAX(1,D2318)),0), FactorTable!$A$2:$A$301,0), Skills!M7+1)</f>
        <v/>
      </c>
      <c r="F2318">
        <f>IF(Skills!N7=TRUE,(Skills!L7/10)*(E2318/1000),Skills!L7/10)+Skills!O7</f>
        <v/>
      </c>
      <c r="G2318">
        <f>Skills!G7*IF(Skills!H7&gt;0,Skills!I7/Skills!H7,1)</f>
        <v/>
      </c>
      <c r="H2318">
        <f>1-(1-Skills!J7/100)^Skills!K7</f>
        <v/>
      </c>
      <c r="I2318" t="inlineStr">
        <is>
          <t>1</t>
        </is>
      </c>
      <c r="J2318">
        <f>((Inputs!$B$6*(1+Inputs!$B$7/100))+(((Inputs!$B$12*(1+Inputs!$B$13/100))-(Inputs!$B$12*(1+Inputs!$B$13/100)))+0.25*(Inputs!$B$14-Inputs!$B$14))*(1+Inputs!$B$7/100))*(F2318/100)</f>
        <v/>
      </c>
      <c r="K2318">
        <f>J2318*(1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2318)</f>
        <v/>
      </c>
      <c r="L2318">
        <f>K2318*(MIN(Inputs!$B$22+((C2333=TRUE)*(F2333-Calc!F22)),(Inputs!$B$23+((C2335=TRUE)*(F2335-Calc!F24))+(IF(ArtifactsInput!$M$15,CHOOSE(ArtifactsInput!$N$15+1,25,30,35,40,45,50)/100*(Inputs!$B$11-Inputs!$B$11),0))))/100+(Inputs!$B$23+((C2335=TRUE)*(F2335-Calc!F24))+(IF(ArtifactsInput!$M$15,CHOOSE(ArtifactsInput!$N$15+1,25,30,35,40,45,50)/100*(Inputs!$B$11-Inputs!$B$11),0)))/100)/2</f>
        <v/>
      </c>
      <c r="M2318">
        <f>L2318*(1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8">
        <f>L2318*(1-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2318*(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8">
        <f>(1-Summary!$B$11)*T2318+Summary!$B$11*V2318</f>
        <v/>
      </c>
      <c r="P2318">
        <f>IF(B2348=0,0,O2318/B2348)</f>
        <v/>
      </c>
      <c r="Q2318">
        <f>IFERROR(1/(IF(Inputs!$B$38="pvp",15,MAX(0.1,Skills!D7-IF(Skills!E7=TRUE,Inputs!$B$32,0)))*(1-IF(AND(ArtifactsInput!$M$27,Inputs!$B$4="Chapter Hunt"),CHOOSE(ArtifactsInput!$N$27+1,20,24,28,32,36,40),0)/100)),0)</f>
        <v/>
      </c>
      <c r="R2318">
        <f>IF(AND(Inputs!$B$38&lt;&gt;"pvp",Inputs!$B$43&gt;0),IF(MAX(0,Inputs!$B$43-B2345)&lt;=0,0,(INT(MAX(0,Inputs!$B$43-B2345)/(IF(Inputs!$B$38="pvp",15,MAX(0.1,Skills!D7-IF(Skills!E7=TRUE,Inputs!$B$32,0)))*(1-IF(AND(ArtifactsInput!$M$27,Inputs!$B$4="Chapter Hunt"),CHOOSE(ArtifactsInput!$N$27+1,20,24,28,32,36,40),0)/100)))+1)),0)</f>
        <v/>
      </c>
      <c r="S2318">
        <f>IFERROR(O2318/N2318,0)</f>
        <v/>
      </c>
      <c r="T2318">
        <f>IF(C2318,(H2318*N2318*IF(AND(Inputs!$B$38&lt;&gt;"pvp",Inputs!$B$43&gt;0),((Skills!G7*((R2318-1)*IF(Skills!H7&gt;0,Skills!I7/Skills!H7,1)+IF(Skills!H7&gt;0,MIN(Skills!I7,MAX(0,MAX(0,Inputs!$B$43-B2345)-((R2318-1)*(IF(Inputs!$B$38="pvp",15,MAX(0.1,Skills!D7-IF(Skills!E7=TRUE,Inputs!$B$32,0)))*(1-IF(AND(ArtifactsInput!$M$27,Inputs!$B$4="Chapter Hunt"),CHOOSE(ArtifactsInput!$N$27+1,20,24,28,32,36,40),0)/100)))))/Skills!H7,1)))/Inputs!$B$43),G2318*Q2318)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2318*(1-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2318*(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2318*(1-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2318*(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18">
        <f>IF(C2318,(H2318*N2318*IF(AND(Inputs!$B$38&lt;&gt;"pvp",Inputs!$B$43&gt;0),((Skills!G7*((R2318-1)*IF(Skills!H7&gt;0,Skills!I7/Skills!H7,1)+IF(Skills!H7&gt;0,MIN(Skills!I7,MAX(0,MAX(0,Inputs!$B$43-B2345)-((R2318-1)*(IF(Inputs!$B$38="pvp",15,MAX(0.1,Skills!D7-IF(Skills!E7=TRUE,Inputs!$B$32,0)))*(1-IF(AND(ArtifactsInput!$M$27,Inputs!$B$4="Chapter Hunt"),CHOOSE(ArtifactsInput!$N$27+1,20,24,28,32,36,40),0)/100)))))/Skills!H7,1)))/Inputs!$B$43),G2318*Q2318))*IF(Inputs!$B$38="pvp",1,(1+(Inputs!$B$21+Skills!Q7+(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19">
      <c r="A2319">
        <f>Skills!A8</f>
        <v/>
      </c>
      <c r="B2319">
        <f>Skills!B8</f>
        <v/>
      </c>
      <c r="C2319">
        <f>Inputs!$B$3&gt;=107</f>
        <v/>
      </c>
      <c r="D2319">
        <f>IF(Skills!C8=1,60+Inputs!$B$25+Inputs!$B$29,IF(Skills!C8=2,90+Inputs!$B$26+Inputs!$B$29,IF(Skills!C8=3,120+Inputs!$B$27+Inputs!$B$29,MAX(0,(Inputs!$B$3-100)*3)+Inputs!$B$28+Inputs!$B$29)))</f>
        <v/>
      </c>
      <c r="E2319">
        <f>INDEX(FactorTable!$B$2:$Y$301, MATCH(ROUND(MIN(300,MAX(1,D2319)),0), FactorTable!$A$2:$A$301,0), Skills!M8+1)</f>
        <v/>
      </c>
      <c r="F2319">
        <f>IF(Skills!N8=TRUE,(Skills!L8/10)*(E2319/1000),Skills!L8/10)+Skills!O8</f>
        <v/>
      </c>
      <c r="G2319">
        <f>Skills!G8*IF(Skills!H8&gt;0,Skills!I8/Skills!H8,1)</f>
        <v/>
      </c>
      <c r="H2319">
        <f>1-(1-Skills!J8/100)^Skills!K8</f>
        <v/>
      </c>
      <c r="I2319" t="inlineStr">
        <is>
          <t>1</t>
        </is>
      </c>
      <c r="J2319">
        <f>((Inputs!$B$6*(1+Inputs!$B$7/100))+(((Inputs!$B$12*(1+Inputs!$B$13/100))-(Inputs!$B$12*(1+Inputs!$B$13/100)))+0.25*(Inputs!$B$14-Inputs!$B$14))*(1+Inputs!$B$7/100))*(F2319/100)</f>
        <v/>
      </c>
      <c r="K2319">
        <f>J2319*(1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2319)</f>
        <v/>
      </c>
      <c r="L2319">
        <f>K2319*(MIN(Inputs!$B$22+((C2333=TRUE)*(F2333-Calc!F22)),(Inputs!$B$23+((C2335=TRUE)*(F2335-Calc!F24))+(IF(ArtifactsInput!$M$15,CHOOSE(ArtifactsInput!$N$15+1,25,30,35,40,45,50)/100*(Inputs!$B$11-Inputs!$B$11),0))))/100+(Inputs!$B$23+((C2335=TRUE)*(F2335-Calc!F24))+(IF(ArtifactsInput!$M$15,CHOOSE(ArtifactsInput!$N$15+1,25,30,35,40,45,50)/100*(Inputs!$B$11-Inputs!$B$11),0)))/100)/2</f>
        <v/>
      </c>
      <c r="M2319">
        <f>L2319*(1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19">
        <f>L2319*(1-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2319*(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19">
        <f>(1-Summary!$B$11)*T2319+Summary!$B$11*V2319</f>
        <v/>
      </c>
      <c r="P2319">
        <f>IF(B2348=0,0,O2319/B2348)</f>
        <v/>
      </c>
      <c r="Q2319">
        <f>IFERROR(1/(IF(Inputs!$B$38="pvp",15,MAX(0.1,Skills!D8-IF(Skills!E8=TRUE,Inputs!$B$32,0)))*(1-IF(AND(ArtifactsInput!$M$27,Inputs!$B$4="Chapter Hunt"),CHOOSE(ArtifactsInput!$N$27+1,20,24,28,32,36,40),0)/100)),0)</f>
        <v/>
      </c>
      <c r="R2319">
        <f>IF(AND(Inputs!$B$38&lt;&gt;"pvp",Inputs!$B$43&gt;0),IF(MAX(0,Inputs!$B$43-B2345)&lt;=0,0,(INT(MAX(0,Inputs!$B$43-B2345)/(IF(Inputs!$B$38="pvp",15,MAX(0.1,Skills!D8-IF(Skills!E8=TRUE,Inputs!$B$32,0)))*(1-IF(AND(ArtifactsInput!$M$27,Inputs!$B$4="Chapter Hunt"),CHOOSE(ArtifactsInput!$N$27+1,20,24,28,32,36,40),0)/100)))+1)),0)</f>
        <v/>
      </c>
      <c r="S2319">
        <f>IFERROR(O2319/N2319,0)</f>
        <v/>
      </c>
      <c r="T2319">
        <f>IF(C2319,(H2319*N2319*IF(AND(Inputs!$B$38&lt;&gt;"pvp",Inputs!$B$43&gt;0),((Skills!G8*((R2319-1)*IF(Skills!H8&gt;0,Skills!I8/Skills!H8,1)+IF(Skills!H8&gt;0,MIN(Skills!I8,MAX(0,MAX(0,Inputs!$B$43-B2345)-((R2319-1)*(IF(Inputs!$B$38="pvp",15,MAX(0.1,Skills!D8-IF(Skills!E8=TRUE,Inputs!$B$32,0)))*(1-IF(AND(ArtifactsInput!$M$27,Inputs!$B$4="Chapter Hunt"),CHOOSE(ArtifactsInput!$N$27+1,20,24,28,32,36,40),0)/100)))))/Skills!H8,1)))/Inputs!$B$43),G2319*Q2319)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2319*(1-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2319*(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2319*(1-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2319*(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19">
        <f>IF(C2319,(H2319*N2319*IF(AND(Inputs!$B$38&lt;&gt;"pvp",Inputs!$B$43&gt;0),((Skills!G8*((R2319-1)*IF(Skills!H8&gt;0,Skills!I8/Skills!H8,1)+IF(Skills!H8&gt;0,MIN(Skills!I8,MAX(0,MAX(0,Inputs!$B$43-B2345)-((R2319-1)*(IF(Inputs!$B$38="pvp",15,MAX(0.1,Skills!D8-IF(Skills!E8=TRUE,Inputs!$B$32,0)))*(1-IF(AND(ArtifactsInput!$M$27,Inputs!$B$4="Chapter Hunt"),CHOOSE(ArtifactsInput!$N$27+1,20,24,28,32,36,40),0)/100)))))/Skills!H8,1)))/Inputs!$B$43),G2319*Q2319))*IF(Inputs!$B$38="pvp",1,(1+(Inputs!$B$21+Skills!Q8+(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0">
      <c r="A2320">
        <f>Skills!A9</f>
        <v/>
      </c>
      <c r="B2320">
        <f>Skills!B9</f>
        <v/>
      </c>
      <c r="C2320">
        <f>Inputs!$B$3&gt;=125</f>
        <v/>
      </c>
      <c r="D2320">
        <f>IF(Skills!C9=1,60+Inputs!$B$25+Inputs!$B$29,IF(Skills!C9=2,90+Inputs!$B$26+Inputs!$B$29,IF(Skills!C9=3,120+Inputs!$B$27+Inputs!$B$29,MAX(0,(Inputs!$B$3-100)*3)+Inputs!$B$28+Inputs!$B$29)))</f>
        <v/>
      </c>
      <c r="E2320">
        <f>INDEX(FactorTable!$B$2:$Y$301, MATCH(ROUND(MIN(300,MAX(1,D2320)),0), FactorTable!$A$2:$A$301,0), Skills!M9+1)</f>
        <v/>
      </c>
      <c r="F2320">
        <f>IF(Skills!N9=TRUE,(Skills!L9/10)*(E2320/1000),Skills!L9/10)+Skills!O9</f>
        <v/>
      </c>
      <c r="G2320">
        <f>Skills!G9*IF(Skills!H9&gt;0,Skills!I9/Skills!H9,1)</f>
        <v/>
      </c>
      <c r="H2320">
        <f>1-(1-Skills!J9/100)^Skills!K9</f>
        <v/>
      </c>
      <c r="I2320" t="inlineStr">
        <is>
          <t>1</t>
        </is>
      </c>
      <c r="J2320">
        <f>((Inputs!$B$6*(1+Inputs!$B$7/100))+(((Inputs!$B$12*(1+Inputs!$B$13/100))-(Inputs!$B$12*(1+Inputs!$B$13/100)))+0.25*(Inputs!$B$14-Inputs!$B$14))*(1+Inputs!$B$7/100))*(F2320/100)</f>
        <v/>
      </c>
      <c r="K2320">
        <f>J2320*(1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2320)</f>
        <v/>
      </c>
      <c r="L2320">
        <f>K2320*(MIN(Inputs!$B$22+((C2333=TRUE)*(F2333-Calc!F22)),(Inputs!$B$23+((C2335=TRUE)*(F2335-Calc!F24))+(IF(ArtifactsInput!$M$15,CHOOSE(ArtifactsInput!$N$15+1,25,30,35,40,45,50)/100*(Inputs!$B$11-Inputs!$B$11),0))))/100+(Inputs!$B$23+((C2335=TRUE)*(F2335-Calc!F24))+(IF(ArtifactsInput!$M$15,CHOOSE(ArtifactsInput!$N$15+1,25,30,35,40,45,50)/100*(Inputs!$B$11-Inputs!$B$11),0)))/100)/2</f>
        <v/>
      </c>
      <c r="M2320">
        <f>L2320*(1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0">
        <f>L2320*(1-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2320*(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0">
        <f>(1-Summary!$B$11)*T2320+Summary!$B$11*V2320</f>
        <v/>
      </c>
      <c r="P2320">
        <f>IF(B2348=0,0,O2320/B2348)</f>
        <v/>
      </c>
      <c r="Q2320">
        <f>IFERROR(1/(IF(Inputs!$B$38="pvp",15,MAX(0.1,Skills!D9-IF(Skills!E9=TRUE,Inputs!$B$32,0)))*(1-IF(AND(ArtifactsInput!$M$27,Inputs!$B$4="Chapter Hunt"),CHOOSE(ArtifactsInput!$N$27+1,20,24,28,32,36,40),0)/100)),0)</f>
        <v/>
      </c>
      <c r="R2320">
        <f>IF(AND(Inputs!$B$38&lt;&gt;"pvp",Inputs!$B$43&gt;0),IF(MAX(0,Inputs!$B$43-B2345)&lt;=0,0,(INT(MAX(0,Inputs!$B$43-B2345)/(IF(Inputs!$B$38="pvp",15,MAX(0.1,Skills!D9-IF(Skills!E9=TRUE,Inputs!$B$32,0)))*(1-IF(AND(ArtifactsInput!$M$27,Inputs!$B$4="Chapter Hunt"),CHOOSE(ArtifactsInput!$N$27+1,20,24,28,32,36,40),0)/100)))+1)),0)</f>
        <v/>
      </c>
      <c r="S2320">
        <f>IFERROR(O2320/N2320,0)</f>
        <v/>
      </c>
      <c r="T2320">
        <f>IF(C2320,(H2320*N2320*IF(AND(Inputs!$B$38&lt;&gt;"pvp",Inputs!$B$43&gt;0),((Skills!G9*((R2320-1)*IF(Skills!H9&gt;0,Skills!I9/Skills!H9,1)+IF(Skills!H9&gt;0,MIN(Skills!I9,MAX(0,MAX(0,Inputs!$B$43-B2345)-((R2320-1)*(IF(Inputs!$B$38="pvp",15,MAX(0.1,Skills!D9-IF(Skills!E9=TRUE,Inputs!$B$32,0)))*(1-IF(AND(ArtifactsInput!$M$27,Inputs!$B$4="Chapter Hunt"),CHOOSE(ArtifactsInput!$N$27+1,20,24,28,32,36,40),0)/100)))))/Skills!H9,1)))/Inputs!$B$43),G2320*Q2320)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2320*(1-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2320*(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2320*(1-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2320*(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0">
        <f>IF(C2320,(H2320*N2320*IF(AND(Inputs!$B$38&lt;&gt;"pvp",Inputs!$B$43&gt;0),((Skills!G9*((R2320-1)*IF(Skills!H9&gt;0,Skills!I9/Skills!H9,1)+IF(Skills!H9&gt;0,MIN(Skills!I9,MAX(0,MAX(0,Inputs!$B$43-B2345)-((R2320-1)*(IF(Inputs!$B$38="pvp",15,MAX(0.1,Skills!D9-IF(Skills!E9=TRUE,Inputs!$B$32,0)))*(1-IF(AND(ArtifactsInput!$M$27,Inputs!$B$4="Chapter Hunt"),CHOOSE(ArtifactsInput!$N$27+1,20,24,28,32,36,40),0)/100)))))/Skills!H9,1)))/Inputs!$B$43),G2320*Q2320))*IF(Inputs!$B$38="pvp",1,(1+(Inputs!$B$21+Skills!Q9+(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1">
      <c r="A2321">
        <f>Skills!A10</f>
        <v/>
      </c>
      <c r="B2321">
        <f>Skills!B10</f>
        <v/>
      </c>
      <c r="C2321">
        <f>Inputs!$B$3&gt;=117</f>
        <v/>
      </c>
      <c r="D2321">
        <f>IF(Skills!C10=1,60+Inputs!$B$25+Inputs!$B$29,IF(Skills!C10=2,90+Inputs!$B$26+Inputs!$B$29,IF(Skills!C10=3,120+Inputs!$B$27+Inputs!$B$29,MAX(0,(Inputs!$B$3-100)*3)+Inputs!$B$28+Inputs!$B$29)))</f>
        <v/>
      </c>
      <c r="E2321">
        <f>INDEX(FactorTable!$B$2:$Y$301, MATCH(ROUND(MIN(300,MAX(1,D2321)),0), FactorTable!$A$2:$A$301,0), Skills!M10+1)</f>
        <v/>
      </c>
      <c r="F2321">
        <f>IF(Skills!N10=TRUE,(Skills!L10/10)*(E2321/1000),Skills!L10/10)+Skills!O10</f>
        <v/>
      </c>
      <c r="G2321">
        <f>Skills!G10*IF(Skills!H10&gt;0,Skills!I10/Skills!H10,1)</f>
        <v/>
      </c>
      <c r="H2321">
        <f>1-(1-Skills!J10/100)^Skills!K10</f>
        <v/>
      </c>
      <c r="I2321" t="inlineStr">
        <is>
          <t>1</t>
        </is>
      </c>
      <c r="J2321">
        <f>((Inputs!$B$6*(1+Inputs!$B$7/100))+(((Inputs!$B$12*(1+Inputs!$B$13/100))-(Inputs!$B$12*(1+Inputs!$B$13/100)))+0.25*(Inputs!$B$14-Inputs!$B$14))*(1+Inputs!$B$7/100))*(F2321/100)</f>
        <v/>
      </c>
      <c r="K2321">
        <f>J2321*(1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2321)</f>
        <v/>
      </c>
      <c r="L2321">
        <f>K2321*(MIN(Inputs!$B$22+((C2333=TRUE)*(F2333-Calc!F22)),(Inputs!$B$23+((C2335=TRUE)*(F2335-Calc!F24))+(IF(ArtifactsInput!$M$15,CHOOSE(ArtifactsInput!$N$15+1,25,30,35,40,45,50)/100*(Inputs!$B$11-Inputs!$B$11),0))))/100+(Inputs!$B$23+((C2335=TRUE)*(F2335-Calc!F24))+(IF(ArtifactsInput!$M$15,CHOOSE(ArtifactsInput!$N$15+1,25,30,35,40,45,50)/100*(Inputs!$B$11-Inputs!$B$11),0)))/100)/2</f>
        <v/>
      </c>
      <c r="M2321">
        <f>L2321*(1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1">
        <f>L2321*(1-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1">
        <f>(1-Summary!$B$11)*T2321+Summary!$B$11*V2321</f>
        <v/>
      </c>
      <c r="P2321">
        <f>IF(B2348=0,0,O2321/B2348)</f>
        <v/>
      </c>
      <c r="Q2321">
        <f>IFERROR(1/(IF(Inputs!$B$38="pvp",15,MAX(0.1,Skills!D10-IF(Skills!E10=TRUE,Inputs!$B$32,0)))*(1-IF(AND(ArtifactsInput!$M$27,Inputs!$B$4="Chapter Hunt"),CHOOSE(ArtifactsInput!$N$27+1,20,24,28,32,36,40),0)/100)),0)</f>
        <v/>
      </c>
      <c r="R2321">
        <f>IF(AND(Inputs!$B$38&lt;&gt;"pvp",Inputs!$B$43&gt;0),IF(MAX(0,Inputs!$B$43-B2345)&lt;=0,0,(INT(MAX(0,Inputs!$B$43-B2345)/(IF(Inputs!$B$38="pvp",15,MAX(0.1,Skills!D10-IF(Skills!E10=TRUE,Inputs!$B$32,0)))*(1-IF(AND(ArtifactsInput!$M$27,Inputs!$B$4="Chapter Hunt"),CHOOSE(ArtifactsInput!$N$27+1,20,24,28,32,36,40),0)/100)))+1)),0)</f>
        <v/>
      </c>
      <c r="S2321">
        <f>IFERROR(O2321/N2321,0)</f>
        <v/>
      </c>
      <c r="T2321">
        <f>IF(C2321,(H2321*N2321*IF(AND(Inputs!$B$38&lt;&gt;"pvp",Inputs!$B$43&gt;0),((Skills!G10*((R2321-1)*IF(Skills!H10&gt;0,Skills!I10/Skills!H10,1)+IF(Skills!H10&gt;0,MIN(Skills!I10,MAX(0,MAX(0,Inputs!$B$43-B2345)-((R2321-1)*(IF(Inputs!$B$38="pvp",15,MAX(0.1,Skills!D10-IF(Skills!E10=TRUE,Inputs!$B$32,0)))*(1-IF(AND(ArtifactsInput!$M$27,Inputs!$B$4="Chapter Hunt"),CHOOSE(ArtifactsInput!$N$27+1,20,24,28,32,36,40),0)/100)))))/Skills!H10,1)))/Inputs!$B$43),G2321*Q2321)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2321*(1-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2321*(1-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1">
        <f>IF(C2321,(H2321*N2321*IF(AND(Inputs!$B$38&lt;&gt;"pvp",Inputs!$B$43&gt;0),((Skills!G10*((R2321-1)*IF(Skills!H10&gt;0,Skills!I10/Skills!H10,1)+IF(Skills!H10&gt;0,MIN(Skills!I10,MAX(0,MAX(0,Inputs!$B$43-B2345)-((R2321-1)*(IF(Inputs!$B$38="pvp",15,MAX(0.1,Skills!D10-IF(Skills!E10=TRUE,Inputs!$B$32,0)))*(1-IF(AND(ArtifactsInput!$M$27,Inputs!$B$4="Chapter Hunt"),CHOOSE(ArtifactsInput!$N$27+1,20,24,28,32,36,40),0)/100)))))/Skills!H10,1)))/Inputs!$B$43),G2321*Q2321))*IF(Inputs!$B$38="pvp",1,(1+(Inputs!$B$21+Skills!Q10+(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2">
      <c r="A2322">
        <f>Skills!A11</f>
        <v/>
      </c>
      <c r="B2322">
        <f>Skills!B11</f>
        <v/>
      </c>
      <c r="C2322">
        <f>Inputs!$B$3&gt;=63</f>
        <v/>
      </c>
      <c r="D2322">
        <f>IF(Skills!C11=1,60+Inputs!$B$25+Inputs!$B$29,IF(Skills!C11=2,90+Inputs!$B$26+Inputs!$B$29,IF(Skills!C11=3,120+Inputs!$B$27+Inputs!$B$29,MAX(0,(Inputs!$B$3-100)*3)+Inputs!$B$28+Inputs!$B$29)))</f>
        <v/>
      </c>
      <c r="E2322">
        <f>INDEX(FactorTable!$B$2:$Y$301, MATCH(ROUND(MIN(300,MAX(1,D2322)),0), FactorTable!$A$2:$A$301,0), Skills!M11+1)</f>
        <v/>
      </c>
      <c r="F2322">
        <f>IF(Skills!N11=TRUE,(Skills!L11/10)*(E2322/1000),Skills!L11/10)+Skills!O11</f>
        <v/>
      </c>
      <c r="G2322">
        <f>Skills!G11*IF(Skills!H11&gt;0,Skills!I11/Skills!H11,1)</f>
        <v/>
      </c>
      <c r="H2322">
        <f>1-(1-Skills!J11/100)^Skills!K11</f>
        <v/>
      </c>
      <c r="I2322" t="inlineStr">
        <is>
          <t>1</t>
        </is>
      </c>
      <c r="J2322">
        <f>((Inputs!$B$6*(1+Inputs!$B$7/100))+(((Inputs!$B$12*(1+Inputs!$B$13/100))-(Inputs!$B$12*(1+Inputs!$B$13/100)))+0.25*(Inputs!$B$14-Inputs!$B$14))*(1+Inputs!$B$7/100))*(F2322/100)</f>
        <v/>
      </c>
      <c r="K2322">
        <f>J2322*(1+((Inputs!$B$12*(1+Inputs!$B$13/100))*0.01+Inputs!$B$14*0.0025)/100)*(1+Inputs!$B$15/100)*(1+Inputs!$B$16/100)*(5000/(6000+Inputs!$B$42*(1-(Inputs!$B$19+0)/100)))*(1+(Inputs!$B$24+0+B2344)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2323=TRUE,F2323,0)/100)*(1+(IF(Skills!A11="BLAST",Inputs!$B$17+((C2332=TRUE)*(F2332-Calc!F21))+((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MIN(100,((Inputs!$B$9+0+B2338+(ArtifactsInput!$M$24-ArtifactsInput!$M$24)*CHOOSE(ArtifactsInput!$N$24+1,10,12,14,16,18,20)+IF(ArtifactsInput!$M$10,CHOOSE(ArtifactsInput!$N$10+1,15,18,21,24,27,30)*(IF(Inputs!$B$38="pvp",MIN(15,15)/15,IF(AND(Inputs!$B$38&lt;&gt;"pvp",Inputs!$B$43&gt;0),MIN(15,Inputs!$B$43)/(Inputs!$B$43),0))),0)))-100),0))*CHOOSE(ArtifactsInput!$N$42+1,0.6,0.72,0.84,0.96,1.08,1.2))),Inputs!$B$18+((C2334=TRUE)*(F2334-Calc!F23))+(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gt;=100),CHOOSE(ArtifactsInput!$N$42+1,40,48,56,64,72,80),0))))/100)*((1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2322)</f>
        <v/>
      </c>
      <c r="L2322">
        <f>K2322*(MIN(Inputs!$B$22+((C2333=TRUE)*(F2333-Calc!F22)),(Inputs!$B$23+((C2335=TRUE)*(F2335-Calc!F24))+(IF(ArtifactsInput!$M$15,CHOOSE(ArtifactsInput!$N$15+1,25,30,35,40,45,50)/100*(Inputs!$B$11-Inputs!$B$11),0))))/100+(Inputs!$B$23+((C2335=TRUE)*(F2335-Calc!F24))+(IF(ArtifactsInput!$M$15,CHOOSE(ArtifactsInput!$N$15+1,25,30,35,40,45,50)/100*(Inputs!$B$11-Inputs!$B$11),0)))/100)/2</f>
        <v/>
      </c>
      <c r="M2322">
        <f>L2322*(1+(Inputs!$B$10+0+B2343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2">
        <f>L2322*(1-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2322*(MIN((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2">
        <f>(1-Summary!$B$11)*T2322+Summary!$B$11*V2322</f>
        <v/>
      </c>
      <c r="P2322">
        <f>IF(B2348=0,0,O2322/B2348)</f>
        <v/>
      </c>
      <c r="Q2322">
        <f>IFERROR(1/(IF(Inputs!$B$38="pvp",15,MAX(0.1,Skills!D11-IF(Skills!E11=TRUE,Inputs!$B$32,0)))*(1-IF(AND(ArtifactsInput!$M$27,Inputs!$B$4="Chapter Hunt"),CHOOSE(ArtifactsInput!$N$27+1,20,24,28,32,36,40),0)/100)),0)</f>
        <v/>
      </c>
      <c r="R2322">
        <f>IF(AND(Inputs!$B$38&lt;&gt;"pvp",Inputs!$B$43&gt;0),IF(MAX(0,Inputs!$B$43-B2345)&lt;=0,0,(INT(MAX(0,Inputs!$B$43-B2345)/(IF(Inputs!$B$38="pvp",15,MAX(0.1,Skills!D11-IF(Skills!E11=TRUE,Inputs!$B$32,0)))*(1-IF(AND(ArtifactsInput!$M$27,Inputs!$B$4="Chapter Hunt"),CHOOSE(ArtifactsInput!$N$27+1,20,24,28,32,36,40),0)/100)))+1)),0)</f>
        <v/>
      </c>
      <c r="S2322">
        <f>IFERROR(O2322/N2322,0)</f>
        <v/>
      </c>
      <c r="T2322">
        <f>IF(C2322,(H2322*N2322*IF(AND(Inputs!$B$38&lt;&gt;"pvp",Inputs!$B$43&gt;0),((Skills!G11*((R2322-1)*IF(Skills!H11&gt;0,Skills!I11/Skills!H11,1)+IF(Skills!H11&gt;0,MIN(Skills!I11,MAX(0,MAX(0,Inputs!$B$43-B2345)-((R2322-1)*(IF(Inputs!$B$38="pvp",15,MAX(0.1,Skills!D11-IF(Skills!E11=TRUE,Inputs!$B$32,0)))*(1-IF(AND(ArtifactsInput!$M$27,Inputs!$B$4="Chapter Hunt"),CHOOSE(ArtifactsInput!$N$27+1,20,24,28,32,36,40),0)/100)))))/Skills!H11,1)))/Inputs!$B$43),G2322*Q2322)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2322*(1-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2322*(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2322*(1-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2322*(MIN(100,(Inputs!$B$9+0+B2338+(ArtifactsInput!$M$24-ArtifactsInput!$M$24)*CHOOSE(ArtifactsInput!$N$24+1,10,12,14,16,18,20)+(IF(AND(Inputs!$B$38&lt;&gt;"pvp",Inputs!$B$43=0),1,IF(IF(Inputs!$B$38="pvp",15,Inputs!$B$43)-(B2345)&lt;=0,1,MAX(0,IF(Inputs!$B$38="pvp",15,Inputs!$B$43)-MAX(5,B2345))/(IF(Inputs!$B$38="pvp",15,Inputs!$B$43)-(B2345))))*IF(AND(ArtifactsInput!$M$42,((Inputs!$B$9+0+B2338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2">
        <f>IF(C2322,(H2322*N2322*IF(AND(Inputs!$B$38&lt;&gt;"pvp",Inputs!$B$43&gt;0),((Skills!G11*((R2322-1)*IF(Skills!H11&gt;0,Skills!I11/Skills!H11,1)+IF(Skills!H11&gt;0,MIN(Skills!I11,MAX(0,MAX(0,Inputs!$B$43-B2345)-((R2322-1)*(IF(Inputs!$B$38="pvp",15,MAX(0.1,Skills!D11-IF(Skills!E11=TRUE,Inputs!$B$32,0)))*(1-IF(AND(ArtifactsInput!$M$27,Inputs!$B$4="Chapter Hunt"),CHOOSE(ArtifactsInput!$N$27+1,20,24,28,32,36,40),0)/100)))))/Skills!H11,1)))/Inputs!$B$43),G2322*Q2322))*IF(Inputs!$B$38="pvp",1,(1+(Inputs!$B$21+Skills!Q11+(IF(ArtifactsInput!$M$33,CHOOSE(ArtifactsInput!$N$33+1,30,36,42,48,54,60),0))+(IF(AND(ArtifactsInput!$M$35,Inputs!$B$4&lt;&gt;"Chapter Hunt"),CHOOSE(ArtifactsInput!$N$35+1,15,18,21,24,27,30)*(1-EXP(-(0.2*B2340)*5)),0)+IF(AND(ArtifactsInput!$M$22,Inputs!$B$4&lt;&gt;"Chapter Hunt"),CHOOSE(ArtifactsInput!$N$22+1,10,12,14,16,18,20)*((0*(((0.15*B2340*5))^0/1)+1*(((0.15*B2340*5))^1/1)+2*(((0.15*B2340*5))^2/2)+3*(((0.15*B2340*5))^3/6)+4*(((0.15*B2340*5))^4/24)+5*(((0.15*B2340*5))^5/120))/((((0.15*B2340*5))^0/1)+(((0.15*B2340*5))^1/1)+(((0.15*B2340*5))^2/2)+(((0.15*B2340*5))^3/6)+(((0.15*B2340*5))^4/24)+(((0.15*B2340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3">
      <c r="A2323">
        <f>Skills!A12</f>
        <v/>
      </c>
      <c r="B2323">
        <f>Skills!B12</f>
        <v/>
      </c>
      <c r="C2323">
        <f>Inputs!$B$3&gt;=100</f>
        <v/>
      </c>
      <c r="D2323">
        <f>IF(Skills!C12=1,60+Inputs!$B$25+Inputs!$B$29,IF(Skills!C12=2,90+Inputs!$B$26+Inputs!$B$29,IF(Skills!C12=3,120+Inputs!$B$27+Inputs!$B$29,MAX(0,(Inputs!$B$3-100)*3)+Inputs!$B$28+Inputs!$B$29)))</f>
        <v/>
      </c>
      <c r="E2323">
        <f>INDEX(FactorTable!$B$2:$Y$301, MATCH(ROUND(MIN(300,MAX(1,D2323)),0), FactorTable!$A$2:$A$301,0), Skills!M12+1)</f>
        <v/>
      </c>
      <c r="F2323">
        <f>IF(Skills!N12=TRUE,(Skills!L12/10)*(E2323/1000),Skills!L12/10)+Skills!O12</f>
        <v/>
      </c>
      <c r="G2323" t="inlineStr"/>
      <c r="H2323" t="inlineStr"/>
      <c r="I2323" t="inlineStr">
        <is>
          <t>1</t>
        </is>
      </c>
      <c r="J2323" t="inlineStr"/>
      <c r="K2323" t="inlineStr"/>
      <c r="L2323" t="inlineStr"/>
      <c r="M2323" t="inlineStr"/>
      <c r="N2323" t="inlineStr"/>
      <c r="O2323" t="inlineStr"/>
      <c r="P2323" t="inlineStr"/>
      <c r="Q2323" t="inlineStr"/>
      <c r="R2323" t="inlineStr"/>
      <c r="S2323" t="inlineStr"/>
    </row>
    <row r="2324">
      <c r="A2324">
        <f>Skills!A13</f>
        <v/>
      </c>
      <c r="B2324">
        <f>Skills!B13</f>
        <v/>
      </c>
      <c r="C2324">
        <f>Inputs!$B$3&gt;=45</f>
        <v/>
      </c>
      <c r="D2324">
        <f>IF(Skills!C13=1,60+Inputs!$B$25+Inputs!$B$29,IF(Skills!C13=2,90+Inputs!$B$26+Inputs!$B$29,IF(Skills!C13=3,120+Inputs!$B$27+Inputs!$B$29,MAX(0,(Inputs!$B$3-100)*3)+Inputs!$B$28+Inputs!$B$29)))</f>
        <v/>
      </c>
      <c r="E2324">
        <f>INDEX(FactorTable!$B$2:$Y$301, MATCH(ROUND(MIN(300,MAX(1,D2324)),0), FactorTable!$A$2:$A$301,0), Skills!M13+1)</f>
        <v/>
      </c>
      <c r="F2324">
        <f>IF(Skills!N13=TRUE,(Skills!L13/10)*(E2324/1000),Skills!L13/10)+Skills!O13</f>
        <v/>
      </c>
      <c r="G2324">
        <f>Skills!G13*IF(Skills!H13&gt;0,Skills!I13/Skills!H13,1)</f>
        <v/>
      </c>
      <c r="H2324">
        <f>1-(1-Skills!J13/100)^Skills!K13</f>
        <v/>
      </c>
      <c r="I2324" t="inlineStr">
        <is>
          <t>1</t>
        </is>
      </c>
      <c r="J2324" t="inlineStr"/>
      <c r="K2324" t="inlineStr"/>
      <c r="L2324" t="inlineStr"/>
      <c r="M2324" t="inlineStr"/>
      <c r="N2324" t="inlineStr"/>
      <c r="O2324">
        <f>(1-Summary!$B$11)*T2324+Summary!$B$11*V2324</f>
        <v/>
      </c>
      <c r="P2324">
        <f>IF(B2348=0,0,O2324/B2348)</f>
        <v/>
      </c>
      <c r="Q2324" t="n">
        <v>0</v>
      </c>
      <c r="R2324" t="n">
        <v>0</v>
      </c>
      <c r="S2324">
        <f>IFERROR(O2324/N2324,0)</f>
        <v/>
      </c>
      <c r="T2324" t="n">
        <v>0</v>
      </c>
      <c r="V2324" t="n">
        <v>0</v>
      </c>
    </row>
    <row r="2325">
      <c r="A2325">
        <f>Skills!A14</f>
        <v/>
      </c>
      <c r="B2325">
        <f>Skills!B14</f>
        <v/>
      </c>
      <c r="C2325">
        <f>Inputs!$B$3&gt;=110</f>
        <v/>
      </c>
      <c r="D2325">
        <f>IF(Skills!C14=1,60+Inputs!$B$25+Inputs!$B$29,IF(Skills!C14=2,90+Inputs!$B$26+Inputs!$B$29,IF(Skills!C14=3,120+Inputs!$B$27+Inputs!$B$29,MAX(0,(Inputs!$B$3-100)*3)+Inputs!$B$28+Inputs!$B$29)))</f>
        <v/>
      </c>
      <c r="E2325">
        <f>INDEX(FactorTable!$B$2:$Y$301, MATCH(ROUND(MIN(300,MAX(1,D2325)),0), FactorTable!$A$2:$A$301,0), Skills!M14+1)</f>
        <v/>
      </c>
      <c r="F2325">
        <f>IF(Skills!N14=TRUE,(Skills!L14/10)*(E2325/1000),Skills!L14/10)+Skills!O14</f>
        <v/>
      </c>
      <c r="G2325">
        <f>Skills!G14*IF(Skills!H14&gt;0,Skills!I14/Skills!H14,1)</f>
        <v/>
      </c>
      <c r="H2325">
        <f>1-(1-Skills!J14/100)^Skills!K14</f>
        <v/>
      </c>
      <c r="I2325" t="inlineStr">
        <is>
          <t>1</t>
        </is>
      </c>
      <c r="J2325" t="inlineStr"/>
      <c r="K2325" t="inlineStr"/>
      <c r="L2325" t="inlineStr"/>
      <c r="M2325" t="inlineStr"/>
      <c r="N2325" t="inlineStr"/>
      <c r="O2325">
        <f>(1-Summary!$B$11)*T2325+Summary!$B$11*V2325</f>
        <v/>
      </c>
      <c r="P2325">
        <f>IF(B2348=0,0,O2325/B2348)</f>
        <v/>
      </c>
      <c r="Q2325" t="n">
        <v>0</v>
      </c>
      <c r="R2325" t="n">
        <v>0</v>
      </c>
      <c r="S2325">
        <f>IFERROR(O2325/N2325,0)</f>
        <v/>
      </c>
      <c r="T2325" t="n">
        <v>0</v>
      </c>
      <c r="V2325" t="n">
        <v>0</v>
      </c>
    </row>
    <row r="2326">
      <c r="A2326">
        <f>Skills!A15</f>
        <v/>
      </c>
      <c r="B2326">
        <f>Skills!B15</f>
        <v/>
      </c>
      <c r="C2326">
        <f>Inputs!$B$3&gt;=75</f>
        <v/>
      </c>
      <c r="D2326">
        <f>IF(Skills!C15=1,60+Inputs!$B$25+Inputs!$B$29,IF(Skills!C15=2,90+Inputs!$B$26+Inputs!$B$29,IF(Skills!C15=3,120+Inputs!$B$27+Inputs!$B$29,MAX(0,(Inputs!$B$3-100)*3)+Inputs!$B$28+Inputs!$B$29)))</f>
        <v/>
      </c>
      <c r="E2326">
        <f>INDEX(FactorTable!$B$2:$Y$301, MATCH(ROUND(MIN(300,MAX(1,D2326)),0), FactorTable!$A$2:$A$301,0), Skills!M15+1)</f>
        <v/>
      </c>
      <c r="F2326">
        <f>IF(Skills!N15=TRUE,(Skills!L15/10)*(E2326/1000),Skills!L15/10)+Skills!O15</f>
        <v/>
      </c>
      <c r="G2326">
        <f>Skills!G15*IF(Skills!H15&gt;0,Skills!I15/Skills!H15,1)</f>
        <v/>
      </c>
      <c r="H2326">
        <f>1-(1-Skills!J15/100)^Skills!K15</f>
        <v/>
      </c>
      <c r="I2326" t="inlineStr">
        <is>
          <t>1</t>
        </is>
      </c>
      <c r="J2326" t="inlineStr"/>
      <c r="K2326" t="inlineStr"/>
      <c r="L2326" t="inlineStr"/>
      <c r="M2326" t="inlineStr"/>
      <c r="N2326" t="inlineStr"/>
      <c r="O2326">
        <f>(1-Summary!$B$11)*T2326+Summary!$B$11*V2326</f>
        <v/>
      </c>
      <c r="P2326">
        <f>IF(B2348=0,0,O2326/B2348)</f>
        <v/>
      </c>
      <c r="Q2326">
        <f>IFERROR(1/(IF(Inputs!$B$38="pvp",15,MAX(0.1,Skills!D15-IF(Skills!E15=TRUE,Inputs!$B$32,0)))*(1-IF(AND(ArtifactsInput!$M$27,Inputs!$B$4="Chapter Hunt"),CHOOSE(ArtifactsInput!$N$27+1,20,24,28,32,36,40),0)/100)),0)</f>
        <v/>
      </c>
      <c r="R2326">
        <f>IF(AND(Inputs!$B$38&lt;&gt;"pvp",Inputs!$B$43&gt;0),IF(Inputs!$B$43&lt;=0,0,(INT(Inputs!$B$43/(IF(Inputs!$B$38="pvp",15,MAX(0.1,Skills!D15-IF(Skills!E15=TRUE,Inputs!$B$32,0)))*(1-IF(AND(ArtifactsInput!$M$27,Inputs!$B$4="Chapter Hunt"),CHOOSE(ArtifactsInput!$N$27+1,20,24,28,32,36,40),0)/100)))+1)),0)</f>
        <v/>
      </c>
      <c r="S2326">
        <f>IFERROR(O2326/N2326,0)</f>
        <v/>
      </c>
      <c r="T2326" t="n">
        <v>0</v>
      </c>
      <c r="V2326" t="n">
        <v>0</v>
      </c>
    </row>
    <row r="2327">
      <c r="A2327">
        <f>Skills!A16</f>
        <v/>
      </c>
      <c r="B2327">
        <f>Skills!B16</f>
        <v/>
      </c>
      <c r="C2327">
        <f>Inputs!$B$3&gt;=105</f>
        <v/>
      </c>
      <c r="D2327">
        <f>IF(Skills!C16=1,60+Inputs!$B$25+Inputs!$B$29,IF(Skills!C16=2,90+Inputs!$B$26+Inputs!$B$29,IF(Skills!C16=3,120+Inputs!$B$27+Inputs!$B$29,MAX(0,(Inputs!$B$3-100)*3)+Inputs!$B$28+Inputs!$B$29)))</f>
        <v/>
      </c>
      <c r="E2327">
        <f>INDEX(FactorTable!$B$2:$Y$301, MATCH(ROUND(MIN(300,MAX(1,D2327)),0), FactorTable!$A$2:$A$301,0), Skills!M16+1)</f>
        <v/>
      </c>
      <c r="F2327">
        <f>IF(Skills!N16=TRUE,(Skills!L16/10)*(E2327/1000),Skills!L16/10)+Skills!O16</f>
        <v/>
      </c>
      <c r="G2327">
        <f>Skills!G16*IF(Skills!H16&gt;0,Skills!I16/Skills!H16,1)</f>
        <v/>
      </c>
      <c r="H2327">
        <f>1-(1-Skills!J16/100)^Skills!K16</f>
        <v/>
      </c>
      <c r="I2327" t="inlineStr">
        <is>
          <t>1</t>
        </is>
      </c>
      <c r="J2327" t="inlineStr"/>
      <c r="K2327" t="inlineStr"/>
      <c r="L2327" t="inlineStr"/>
      <c r="M2327" t="inlineStr"/>
      <c r="N2327" t="inlineStr"/>
      <c r="O2327">
        <f>(1-Summary!$B$11)*T2327+Summary!$B$11*V2327</f>
        <v/>
      </c>
      <c r="P2327">
        <f>IF(B2348=0,0,O2327/B2348)</f>
        <v/>
      </c>
      <c r="Q2327">
        <f>IFERROR(1/(IF(Inputs!$B$38="pvp",15,MAX(0.1,Skills!D16-IF(Skills!E16=TRUE,Inputs!$B$32,0)))*(1-IF(AND(ArtifactsInput!$M$27,Inputs!$B$4="Chapter Hunt"),CHOOSE(ArtifactsInput!$N$27+1,20,24,28,32,36,40),0)/100)),0)</f>
        <v/>
      </c>
      <c r="R2327">
        <f>IF(AND(Inputs!$B$38&lt;&gt;"pvp",Inputs!$B$43&gt;0),IF(Inputs!$B$43&lt;=0,0,(INT(Inputs!$B$43/(IF(Inputs!$B$38="pvp",15,MAX(0.1,Skills!D16-IF(Skills!E16=TRUE,Inputs!$B$32,0)))*(1-IF(AND(ArtifactsInput!$M$27,Inputs!$B$4="Chapter Hunt"),CHOOSE(ArtifactsInput!$N$27+1,20,24,28,32,36,40),0)/100)))+1)),0)</f>
        <v/>
      </c>
      <c r="S2327">
        <f>IFERROR(O2327/N2327,0)</f>
        <v/>
      </c>
      <c r="T2327" t="n">
        <v>0</v>
      </c>
      <c r="V2327" t="n">
        <v>0</v>
      </c>
    </row>
    <row r="2328">
      <c r="A2328">
        <f>Skills!A17</f>
        <v/>
      </c>
      <c r="B2328">
        <f>Skills!B17</f>
        <v/>
      </c>
      <c r="C2328">
        <f>Inputs!$B$3&gt;=115</f>
        <v/>
      </c>
      <c r="D2328">
        <f>IF(Skills!C17=1,60+Inputs!$B$25+Inputs!$B$29,IF(Skills!C17=2,90+Inputs!$B$26+Inputs!$B$29,IF(Skills!C17=3,120+Inputs!$B$27+Inputs!$B$29,MAX(0,(Inputs!$B$3-100)*3)+Inputs!$B$28+Inputs!$B$29)))</f>
        <v/>
      </c>
      <c r="E2328">
        <f>INDEX(FactorTable!$B$2:$Y$301, MATCH(ROUND(MIN(300,MAX(1,D2328)),0), FactorTable!$A$2:$A$301,0), Skills!M17+1)</f>
        <v/>
      </c>
      <c r="F2328">
        <f>IF(Skills!N17=TRUE,(Skills!L17/10)*(E2328/1000),Skills!L17/10)+Skills!O17</f>
        <v/>
      </c>
      <c r="G2328">
        <f>Skills!G17*IF(Skills!H17&gt;0,Skills!I17/Skills!H17,1)</f>
        <v/>
      </c>
      <c r="H2328">
        <f>1-(1-Skills!J17/100)^Skills!K17</f>
        <v/>
      </c>
      <c r="I2328" t="inlineStr">
        <is>
          <t>1</t>
        </is>
      </c>
      <c r="J2328" t="inlineStr"/>
      <c r="K2328" t="inlineStr"/>
      <c r="L2328" t="inlineStr"/>
      <c r="M2328" t="inlineStr"/>
      <c r="N2328" t="inlineStr"/>
      <c r="O2328">
        <f>(1-Summary!$B$11)*T2328+Summary!$B$11*V2328</f>
        <v/>
      </c>
      <c r="P2328">
        <f>IF(B2348=0,0,O2328/B2348)</f>
        <v/>
      </c>
      <c r="Q2328">
        <f>IFERROR(1/(IF(Inputs!$B$38="pvp",15,MAX(0.1,Skills!D17-IF(Skills!E17=TRUE,Inputs!$B$32,0)))*(1-IF(AND(ArtifactsInput!$M$27,Inputs!$B$4="Chapter Hunt"),CHOOSE(ArtifactsInput!$N$27+1,20,24,28,32,36,40),0)/100)),0)</f>
        <v/>
      </c>
      <c r="R2328">
        <f>IF(AND(Inputs!$B$38&lt;&gt;"pvp",Inputs!$B$43&gt;0),IF(Inputs!$B$43&lt;=0,0,(INT(Inputs!$B$43/(IF(Inputs!$B$38="pvp",15,MAX(0.1,Skills!D17-IF(Skills!E17=TRUE,Inputs!$B$32,0)))*(1-IF(AND(ArtifactsInput!$M$27,Inputs!$B$4="Chapter Hunt"),CHOOSE(ArtifactsInput!$N$27+1,20,24,28,32,36,40),0)/100)))+1)),0)</f>
        <v/>
      </c>
      <c r="S2328">
        <f>IFERROR(O2328/N2328,0)</f>
        <v/>
      </c>
      <c r="T2328" t="n">
        <v>0</v>
      </c>
      <c r="V2328" t="n">
        <v>0</v>
      </c>
    </row>
    <row r="2329">
      <c r="A2329">
        <f>Skills!A18</f>
        <v/>
      </c>
      <c r="B2329">
        <f>Skills!B18</f>
        <v/>
      </c>
      <c r="C2329">
        <f>Inputs!$B$3&gt;=74</f>
        <v/>
      </c>
      <c r="D2329">
        <f>IF(Skills!C18=1,60+Inputs!$B$25+Inputs!$B$29,IF(Skills!C18=2,90+Inputs!$B$26+Inputs!$B$29,IF(Skills!C18=3,120+Inputs!$B$27+Inputs!$B$29,MAX(0,(Inputs!$B$3-100)*3)+Inputs!$B$28+Inputs!$B$29)))</f>
        <v/>
      </c>
      <c r="E2329">
        <f>INDEX(FactorTable!$B$2:$Y$301, MATCH(ROUND(MIN(300,MAX(1,D2329)),0), FactorTable!$A$2:$A$301,0), Skills!M18+1)</f>
        <v/>
      </c>
      <c r="F2329">
        <f>IF(Skills!N18=TRUE,(Skills!L18/10)*(E2329/1000),Skills!L18/10)+Skills!O18</f>
        <v/>
      </c>
      <c r="G2329">
        <f>Skills!G18*IF(Skills!H18&gt;0,Skills!I18/Skills!H18,1)</f>
        <v/>
      </c>
      <c r="H2329">
        <f>1-(1-Skills!J18/100)^Skills!K18</f>
        <v/>
      </c>
      <c r="I2329" t="inlineStr">
        <is>
          <t>1</t>
        </is>
      </c>
      <c r="J2329" t="inlineStr"/>
      <c r="K2329" t="inlineStr"/>
      <c r="L2329" t="inlineStr"/>
      <c r="M2329" t="inlineStr"/>
      <c r="N2329" t="inlineStr"/>
      <c r="O2329">
        <f>(1-Summary!$B$11)*T2329+Summary!$B$11*V2329</f>
        <v/>
      </c>
      <c r="P2329">
        <f>IF(B2348=0,0,O2329/B2348)</f>
        <v/>
      </c>
      <c r="Q2329">
        <f>IFERROR(1/(IF(Inputs!$B$38="pvp",15,MAX(0.1,Skills!D18-IF(Skills!E18=TRUE,Inputs!$B$32,0)))*(1-IF(AND(ArtifactsInput!$M$27,Inputs!$B$4="Chapter Hunt"),CHOOSE(ArtifactsInput!$N$27+1,20,24,28,32,36,40),0)/100)),0)</f>
        <v/>
      </c>
      <c r="R2329">
        <f>IF(AND(Inputs!$B$38&lt;&gt;"pvp",Inputs!$B$43&gt;0),IF(Inputs!$B$43&lt;=0,0,(INT(Inputs!$B$43/(IF(Inputs!$B$38="pvp",15,MAX(0.1,Skills!D18-IF(Skills!E18=TRUE,Inputs!$B$32,0)))*(1-IF(AND(ArtifactsInput!$M$27,Inputs!$B$4="Chapter Hunt"),CHOOSE(ArtifactsInput!$N$27+1,20,24,28,32,36,40),0)/100)))+1)),0)</f>
        <v/>
      </c>
      <c r="S2329">
        <f>IFERROR(O2329/N2329,0)</f>
        <v/>
      </c>
      <c r="T2329" t="n">
        <v>0</v>
      </c>
      <c r="V2329" t="n">
        <v>0</v>
      </c>
    </row>
    <row r="2330">
      <c r="A2330">
        <f>Skills!A19</f>
        <v/>
      </c>
      <c r="B2330">
        <f>Skills!B19</f>
        <v/>
      </c>
      <c r="C2330">
        <f>TRUE</f>
        <v/>
      </c>
      <c r="D2330">
        <f>IF(Skills!C19=1,60+Inputs!$B$25+Inputs!$B$29,IF(Skills!C19=2,90+Inputs!$B$26+Inputs!$B$29,IF(Skills!C19=3,120+Inputs!$B$27+Inputs!$B$29,MAX(0,(Inputs!$B$3-100)*3)+Inputs!$B$28+Inputs!$B$29)))</f>
        <v/>
      </c>
      <c r="E2330">
        <f>INDEX(FactorTable!$B$2:$Y$301, MATCH(ROUND(MIN(300,MAX(1,D2330)),0), FactorTable!$A$2:$A$301,0), Skills!M19+1)</f>
        <v/>
      </c>
      <c r="F2330">
        <f>IF(Skills!N19=TRUE,(Skills!L19/10)*(E2330/1000),Skills!L19/10)+Skills!O19</f>
        <v/>
      </c>
      <c r="G2330">
        <f>Skills!G19*IF(Skills!H19&gt;0,Skills!I19/Skills!H19,1)</f>
        <v/>
      </c>
      <c r="H2330">
        <f>1-(1-Skills!J19/100)^Skills!K19</f>
        <v/>
      </c>
      <c r="I2330" t="inlineStr">
        <is>
          <t>1</t>
        </is>
      </c>
      <c r="J2330" t="inlineStr"/>
      <c r="K2330" t="inlineStr"/>
      <c r="L2330" t="inlineStr"/>
      <c r="M2330" t="inlineStr"/>
      <c r="N2330" t="inlineStr"/>
      <c r="O2330">
        <f>(1-Summary!$B$11)*T2330+Summary!$B$11*V2330</f>
        <v/>
      </c>
      <c r="P2330">
        <f>IF(B2348=0,0,O2330/B2348)</f>
        <v/>
      </c>
      <c r="Q2330">
        <f>IFERROR(1/(IF(Inputs!$B$38="pvp",15,MAX(0.1,Skills!D19-IF(Skills!E19=TRUE,Inputs!$B$32,0)))*(1-IF(AND(ArtifactsInput!$M$27,Inputs!$B$4="Chapter Hunt"),CHOOSE(ArtifactsInput!$N$27+1,20,24,28,32,36,40),0)/100)),0)</f>
        <v/>
      </c>
      <c r="R2330">
        <f>IF(AND(Inputs!$B$38&lt;&gt;"pvp",Inputs!$B$43&gt;0),IF(Inputs!$B$43&lt;=0,0,(INT(Inputs!$B$43/(IF(Inputs!$B$38="pvp",15,MAX(0.1,Skills!D19-IF(Skills!E19=TRUE,Inputs!$B$32,0)))*(1-IF(AND(ArtifactsInput!$M$27,Inputs!$B$4="Chapter Hunt"),CHOOSE(ArtifactsInput!$N$27+1,20,24,28,32,36,40),0)/100)))+1)),0)</f>
        <v/>
      </c>
      <c r="S2330">
        <f>IFERROR(O2330/N2330,0)</f>
        <v/>
      </c>
      <c r="T2330" t="n">
        <v>0</v>
      </c>
      <c r="V2330" t="n">
        <v>0</v>
      </c>
    </row>
    <row r="2331">
      <c r="A2331">
        <f>Skills!A20</f>
        <v/>
      </c>
      <c r="B2331">
        <f>Skills!B20</f>
        <v/>
      </c>
      <c r="C2331">
        <f>Inputs!$B$3&gt;=33</f>
        <v/>
      </c>
      <c r="D2331">
        <f>IF(Skills!C20=1,60+Inputs!$B$25+Inputs!$B$29,IF(Skills!C20=2,90+Inputs!$B$26+Inputs!$B$29,IF(Skills!C20=3,120+Inputs!$B$27+Inputs!$B$29,MAX(0,(Inputs!$B$3-100)*3)+Inputs!$B$28+Inputs!$B$29)))</f>
        <v/>
      </c>
      <c r="E2331">
        <f>INDEX(FactorTable!$B$2:$Y$301, MATCH(ROUND(MIN(300,MAX(1,D2331)),0), FactorTable!$A$2:$A$301,0), Skills!M20+1)</f>
        <v/>
      </c>
      <c r="F2331">
        <f>IF(Skills!N20=TRUE,(Skills!L20/10)*(E2331/1000),Skills!L20/10)+Skills!O20</f>
        <v/>
      </c>
      <c r="G2331">
        <f>Skills!G20*IF(Skills!H20&gt;0,Skills!I20/Skills!H20,1)</f>
        <v/>
      </c>
      <c r="H2331">
        <f>1-(1-Skills!J20/100)^Skills!K20</f>
        <v/>
      </c>
      <c r="I2331" t="inlineStr">
        <is>
          <t>1</t>
        </is>
      </c>
      <c r="J2331" t="inlineStr"/>
      <c r="K2331" t="inlineStr"/>
      <c r="L2331" t="inlineStr"/>
      <c r="M2331" t="inlineStr"/>
      <c r="N2331" t="inlineStr"/>
      <c r="O2331">
        <f>(1-Summary!$B$11)*T2331+Summary!$B$11*V2331</f>
        <v/>
      </c>
      <c r="P2331">
        <f>IF(B2348=0,0,O2331/B2348)</f>
        <v/>
      </c>
      <c r="Q2331" t="n">
        <v>0</v>
      </c>
      <c r="R2331" t="n">
        <v>0</v>
      </c>
      <c r="S2331">
        <f>IFERROR(O2331/N2331,0)</f>
        <v/>
      </c>
      <c r="T2331" t="n">
        <v>0</v>
      </c>
      <c r="V2331" t="n">
        <v>0</v>
      </c>
    </row>
    <row r="2332">
      <c r="A2332">
        <f>Skills!A21</f>
        <v/>
      </c>
      <c r="B2332">
        <f>Skills!B21</f>
        <v/>
      </c>
      <c r="C2332">
        <f>Inputs!$B$3&gt;=38</f>
        <v/>
      </c>
      <c r="D2332">
        <f>IF(Skills!C21=1,60+Inputs!$B$25+Inputs!$B$29,IF(Skills!C21=2,90+Inputs!$B$26+Inputs!$B$29,IF(Skills!C21=3,120+Inputs!$B$27+Inputs!$B$29,MAX(0,(Inputs!$B$3-100)*3)+Inputs!$B$28+Inputs!$B$29)))</f>
        <v/>
      </c>
      <c r="E2332">
        <f>INDEX(FactorTable!$B$2:$Y$301, MATCH(ROUND(MIN(300,MAX(1,D2332)),0), FactorTable!$A$2:$A$301,0), Skills!M21+1)</f>
        <v/>
      </c>
      <c r="F2332">
        <f>IF(Skills!N21=TRUE,(Skills!L21/10)*(E2332/1000),Skills!L21/10)+Skills!O21</f>
        <v/>
      </c>
      <c r="G2332">
        <f>Skills!G21*IF(Skills!H21&gt;0,Skills!I21/Skills!H21,1)</f>
        <v/>
      </c>
      <c r="H2332">
        <f>1-(1-Skills!J21/100)^Skills!K21</f>
        <v/>
      </c>
      <c r="I2332" t="inlineStr">
        <is>
          <t>1</t>
        </is>
      </c>
      <c r="J2332" t="inlineStr"/>
      <c r="K2332" t="inlineStr"/>
      <c r="L2332" t="inlineStr"/>
      <c r="M2332" t="inlineStr"/>
      <c r="N2332" t="inlineStr"/>
      <c r="O2332">
        <f>(1-Summary!$B$11)*T2332+Summary!$B$11*V2332</f>
        <v/>
      </c>
      <c r="P2332">
        <f>IF(B2348=0,0,O2332/B2348)</f>
        <v/>
      </c>
      <c r="Q2332" t="n">
        <v>0</v>
      </c>
      <c r="R2332" t="n">
        <v>0</v>
      </c>
      <c r="S2332">
        <f>IFERROR(O2332/N2332,0)</f>
        <v/>
      </c>
      <c r="T2332" t="n">
        <v>0</v>
      </c>
      <c r="V2332" t="n">
        <v>0</v>
      </c>
    </row>
    <row r="2333">
      <c r="A2333">
        <f>Skills!A22</f>
        <v/>
      </c>
      <c r="B2333">
        <f>Skills!B22</f>
        <v/>
      </c>
      <c r="C2333">
        <f>Inputs!$B$3&gt;=43</f>
        <v/>
      </c>
      <c r="D2333">
        <f>IF(Skills!C22=1,60+Inputs!$B$25+Inputs!$B$29,IF(Skills!C22=2,90+Inputs!$B$26+Inputs!$B$29,IF(Skills!C22=3,120+Inputs!$B$27+Inputs!$B$29,MAX(0,(Inputs!$B$3-100)*3)+Inputs!$B$28+Inputs!$B$29)))</f>
        <v/>
      </c>
      <c r="E2333">
        <f>INDEX(FactorTable!$B$2:$Y$301, MATCH(ROUND(MIN(300,MAX(1,D2333)),0), FactorTable!$A$2:$A$301,0), Skills!M22+1)</f>
        <v/>
      </c>
      <c r="F2333">
        <f>IF(Skills!N22=TRUE,(Skills!L22/10)*(E2333/1000),Skills!L22/10)+Skills!O22</f>
        <v/>
      </c>
      <c r="G2333">
        <f>Skills!G22*IF(Skills!H22&gt;0,Skills!I22/Skills!H22,1)</f>
        <v/>
      </c>
      <c r="H2333">
        <f>1-(1-Skills!J22/100)^Skills!K22</f>
        <v/>
      </c>
      <c r="I2333" t="inlineStr">
        <is>
          <t>1</t>
        </is>
      </c>
      <c r="J2333" t="inlineStr"/>
      <c r="K2333" t="inlineStr"/>
      <c r="L2333" t="inlineStr"/>
      <c r="M2333" t="inlineStr"/>
      <c r="N2333" t="inlineStr"/>
      <c r="O2333">
        <f>(1-Summary!$B$11)*T2333+Summary!$B$11*V2333</f>
        <v/>
      </c>
      <c r="P2333">
        <f>IF(B2348=0,0,O2333/B2348)</f>
        <v/>
      </c>
      <c r="Q2333" t="n">
        <v>0</v>
      </c>
      <c r="R2333" t="n">
        <v>0</v>
      </c>
      <c r="S2333">
        <f>IFERROR(O2333/N2333,0)</f>
        <v/>
      </c>
      <c r="T2333" t="n">
        <v>0</v>
      </c>
      <c r="V2333" t="n">
        <v>0</v>
      </c>
    </row>
    <row r="2334">
      <c r="A2334">
        <f>Skills!A23</f>
        <v/>
      </c>
      <c r="B2334">
        <f>Skills!B23</f>
        <v/>
      </c>
      <c r="C2334">
        <f>Inputs!$B$3&gt;=120</f>
        <v/>
      </c>
      <c r="D2334">
        <f>IF(Skills!C23=1,60+Inputs!$B$25+Inputs!$B$29,IF(Skills!C23=2,90+Inputs!$B$26+Inputs!$B$29,IF(Skills!C23=3,120+Inputs!$B$27+Inputs!$B$29,MAX(0,(Inputs!$B$3-100)*3)+Inputs!$B$28+Inputs!$B$29)))</f>
        <v/>
      </c>
      <c r="E2334">
        <f>INDEX(FactorTable!$B$2:$Y$301, MATCH(ROUND(MIN(300,MAX(1,D2334)),0), FactorTable!$A$2:$A$301,0), Skills!M23+1)</f>
        <v/>
      </c>
      <c r="F2334">
        <f>IF(Skills!N23=TRUE,(Skills!L23/10)*(E2334/1000),Skills!L23/10)+Skills!O23</f>
        <v/>
      </c>
      <c r="G2334">
        <f>Skills!G23*IF(Skills!H23&gt;0,Skills!I23/Skills!H23,1)</f>
        <v/>
      </c>
      <c r="H2334">
        <f>1-(1-Skills!J23/100)^Skills!K23</f>
        <v/>
      </c>
      <c r="I2334" t="inlineStr">
        <is>
          <t>1</t>
        </is>
      </c>
      <c r="J2334" t="inlineStr"/>
      <c r="K2334" t="inlineStr"/>
      <c r="L2334" t="inlineStr"/>
      <c r="M2334" t="inlineStr"/>
      <c r="N2334" t="inlineStr"/>
      <c r="O2334">
        <f>(1-Summary!$B$11)*T2334+Summary!$B$11*V2334</f>
        <v/>
      </c>
      <c r="P2334">
        <f>IF(B2348=0,0,O2334/B2348)</f>
        <v/>
      </c>
      <c r="Q2334" t="n">
        <v>0</v>
      </c>
      <c r="R2334" t="n">
        <v>0</v>
      </c>
      <c r="S2334">
        <f>IFERROR(O2334/N2334,0)</f>
        <v/>
      </c>
      <c r="T2334" t="n">
        <v>0</v>
      </c>
      <c r="V2334" t="n">
        <v>0</v>
      </c>
    </row>
    <row r="2335">
      <c r="A2335">
        <f>Skills!A24</f>
        <v/>
      </c>
      <c r="B2335">
        <f>Skills!B24</f>
        <v/>
      </c>
      <c r="C2335">
        <f>Inputs!$B$3&gt;=120</f>
        <v/>
      </c>
      <c r="D2335">
        <f>IF(Skills!C24=1,60+Inputs!$B$25+Inputs!$B$29,IF(Skills!C24=2,90+Inputs!$B$26+Inputs!$B$29,IF(Skills!C24=3,120+Inputs!$B$27+Inputs!$B$29,MAX(0,(Inputs!$B$3-100)*3)+Inputs!$B$28+Inputs!$B$29)))</f>
        <v/>
      </c>
      <c r="E2335">
        <f>INDEX(FactorTable!$B$2:$Y$301, MATCH(ROUND(MIN(300,MAX(1,D2335)),0), FactorTable!$A$2:$A$301,0), Skills!M24+1)</f>
        <v/>
      </c>
      <c r="F2335">
        <f>IF(Skills!N24=TRUE,(Skills!L24/10)*(E2335/1000),Skills!L24/10)+Skills!O24</f>
        <v/>
      </c>
      <c r="G2335">
        <f>Skills!G24*IF(Skills!H24&gt;0,Skills!I24/Skills!H24,1)</f>
        <v/>
      </c>
      <c r="H2335">
        <f>1-(1-Skills!J24/100)^Skills!K24</f>
        <v/>
      </c>
      <c r="I2335" t="inlineStr">
        <is>
          <t>1</t>
        </is>
      </c>
      <c r="J2335" t="inlineStr"/>
      <c r="K2335" t="inlineStr"/>
      <c r="L2335" t="inlineStr"/>
      <c r="M2335" t="inlineStr"/>
      <c r="N2335" t="inlineStr"/>
      <c r="O2335">
        <f>(1-Summary!$B$11)*T2335+Summary!$B$11*V2335</f>
        <v/>
      </c>
      <c r="P2335">
        <f>IF(B2348=0,0,O2335/B2348)</f>
        <v/>
      </c>
      <c r="Q2335" t="n">
        <v>0</v>
      </c>
      <c r="R2335" t="n">
        <v>0</v>
      </c>
      <c r="S2335">
        <f>IFERROR(O2335/N2335,0)</f>
        <v/>
      </c>
      <c r="T2335" t="n">
        <v>0</v>
      </c>
      <c r="V2335" t="n">
        <v>0</v>
      </c>
    </row>
    <row r="2337">
      <c r="A2337" t="inlineStr">
        <is>
          <t>Attack% Bucket Multiplier</t>
        </is>
      </c>
      <c r="B2337">
        <f>(1+(((C2324=TRUE)*F2324*MIN(1,Skills!T13*(Skills!J13/100)*B2342))+((C2329=TRUE)*F2329*IF(AND(Inputs!$B$38&lt;&gt;"pvp",Inputs!$B$43&gt;0),(((R2329-1)*(Skills!T18*(1+Inputs!$B$34/100))+MIN((Skills!T18*(1+Inputs!$B$34/100)),MAX(0,Inputs!$B$43-((R2329-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38">
      <c r="A2338" t="inlineStr">
        <is>
          <t>Global Crit Rate Bonus %</t>
        </is>
      </c>
      <c r="B2338" t="n">
        <v>0</v>
      </c>
    </row>
    <row r="2339">
      <c r="A2339" t="inlineStr">
        <is>
          <t>Attack Speed Buff Bonus %</t>
        </is>
      </c>
      <c r="B2339">
        <f>((C2330=TRUE)*F2330*IF(AND(Inputs!$B$38&lt;&gt;"pvp",Inputs!$B$43&gt;0),(((R2330-1)*(Skills!T19*(1+Inputs!$B$34/100))+MIN((Skills!T19*(1+Inputs!$B$34/100)),MAX(0,Inputs!$B$43-((R2330-1)*Skills!D19))))/Inputs!$B$43),IF(Inputs!$B$38="pvp",MIN((Skills!T19*(1+Inputs!$B$34/100)),15)/15,(Skills!T19*(1+Inputs!$B$34/100))/Skills!D19)))</f>
        <v/>
      </c>
    </row>
    <row r="2340">
      <c r="A2340" t="inlineStr">
        <is>
          <t>Actions Per Second</t>
        </is>
      </c>
      <c r="B2340">
        <f>1+MIN(150,150*(1-(1-(Inputs!$B$11+((C2331=TRUE)*(F2331-Calc!F20)))/150)*(1-B2339/150)))/100</f>
        <v/>
      </c>
    </row>
    <row r="2341">
      <c r="A2341" t="inlineStr">
        <is>
          <t>Skill + Buff Cast Rate</t>
        </is>
      </c>
      <c r="B2341">
        <f>IF(AND(Inputs!$B$38&lt;&gt;"pvp",Inputs!$B$43&gt;0),SUMPRODUCT((Skills!E2:E24=TRUE)*(C2313:C2335=TRUE)*R2313:R2335*Skills!F2:F24)/Inputs!$B$43,SUMPRODUCT((Skills!E2:E24=TRUE)*(C2313:C2335=TRUE)*Q2313:Q2335*Skills!F2:F24))</f>
        <v/>
      </c>
    </row>
    <row r="2342">
      <c r="A2342" t="inlineStr">
        <is>
          <t>Blast Casts Per Second</t>
        </is>
      </c>
      <c r="B2342">
        <f>MAX(0,B2340-B2341)</f>
        <v/>
      </c>
    </row>
    <row r="2343">
      <c r="A2343" t="inlineStr">
        <is>
          <t>Global Critical Damage Bonus % (unused)</t>
        </is>
      </c>
      <c r="B2343" t="n">
        <v>0</v>
      </c>
    </row>
    <row r="2344">
      <c r="A2344" t="inlineStr">
        <is>
          <t>Global Final Damage Bonus % (Divine Shield + Guardian + Divine Blessing + Greater Vessel of Light)</t>
        </is>
      </c>
      <c r="B2344">
        <f>((C2326=TRUE)*F2326*IF(AND(Inputs!$B$38&lt;&gt;"pvp",Inputs!$B$43&gt;0),(((R2326-1)*(Skills!T15*(1+Inputs!$B$34/100))+MIN((Skills!T15*(1+Inputs!$B$34/100)),MAX(0,Inputs!$B$43-((R2326-1)*Skills!D15))))/Inputs!$B$43),IF(Inputs!$B$38="pvp",MIN((Skills!T15*(1+Inputs!$B$34/100)),15)/15,(Skills!T15*(1+Inputs!$B$34/100))/Skills!D15)))+((C2327=TRUE)*F2327*IF(AND(Inputs!$B$38&lt;&gt;"pvp",Inputs!$B$43&gt;0),(((R2327-1)*(Skills!T16*(1+Inputs!$B$34/100))+MIN((Skills!T16*(1+Inputs!$B$34/100)),MAX(0,Inputs!$B$43-((R2327-1)*Skills!D16))))/Inputs!$B$43),IF(Inputs!$B$38="pvp",MIN((Skills!T16*(1+Inputs!$B$34/100)),15)/15,(Skills!T16*(1+Inputs!$B$34/100))/Skills!D16)))+((C2328=TRUE)*F2328*IF(AND(Inputs!$B$38&lt;&gt;"pvp",Inputs!$B$43&gt;0),(((R2328-1)*(Skills!T17*(1+Inputs!$B$34/100))+MIN((Skills!T17*(1+Inputs!$B$34/100)),MAX(0,Inputs!$B$43-((R2328-1)*Skills!D17))))/Inputs!$B$43),IF(Inputs!$B$38="pvp",MIN((Skills!T17*(1+Inputs!$B$34/100)),15)/15,(Skills!T17*(1+Inputs!$B$34/100))/Skills!D17)))+((C2325=TRUE)*F2325*MIN(1,Skills!T13*(Skills!J13/100)*B2342))</f>
        <v/>
      </c>
    </row>
    <row r="2345">
      <c r="A2345" t="inlineStr">
        <is>
          <t>Buff-Casting Startup Delay (s, fixed-duration only)</t>
        </is>
      </c>
      <c r="B2345">
        <f>IF(AND(Inputs!$B$38&lt;&gt;"pvp",Inputs!$B$43&gt;0),SUMPRODUCT((Skills!T2:T24&gt;0)*(Skills!E2:E24=TRUE)*(C2313:C2335=TRUE))/B2340,0)</f>
        <v/>
      </c>
    </row>
    <row r="2346">
      <c r="A2346" t="inlineStr">
        <is>
          <t>Boss-Only Total DPS (this block's swept value)</t>
        </is>
      </c>
      <c r="B2346">
        <f>SUM(T2313:T2335)</f>
        <v/>
      </c>
    </row>
    <row r="2347">
      <c r="A2347" t="inlineStr">
        <is>
          <t>Normal-Only Total DPS (this block's swept value)</t>
        </is>
      </c>
      <c r="B2347">
        <f>SUM(V2313:V2335)</f>
        <v/>
      </c>
    </row>
    <row r="2348">
      <c r="A2348" s="6" t="inlineStr">
        <is>
          <t>TOTAL DPS</t>
        </is>
      </c>
      <c r="B2348" s="6">
        <f>SUM(O2313:O2335)</f>
        <v/>
      </c>
    </row>
    <row r="2351">
      <c r="A2351" s="6" t="inlineStr">
        <is>
          <t>Stat: Horn Flute (Equip)</t>
        </is>
      </c>
    </row>
    <row r="2352">
      <c r="A2352" s="5" t="inlineStr">
        <is>
          <t>Key</t>
        </is>
      </c>
      <c r="B2352" s="5" t="inlineStr">
        <is>
          <t>Name</t>
        </is>
      </c>
      <c r="C2352" s="5" t="inlineStr">
        <is>
          <t>Unlocked</t>
        </is>
      </c>
      <c r="D2352" s="5" t="inlineStr">
        <is>
          <t>InputLevel</t>
        </is>
      </c>
      <c r="E2352" s="5" t="inlineStr">
        <is>
          <t>Factor</t>
        </is>
      </c>
      <c r="F2352" s="5" t="inlineStr">
        <is>
          <t>CoefficientPercent</t>
        </is>
      </c>
      <c r="G2352" s="5" t="inlineStr">
        <is>
          <t>EffectiveHits</t>
        </is>
      </c>
      <c r="H2352" s="5" t="inlineStr">
        <is>
          <t>ProcProbability</t>
        </is>
      </c>
      <c r="I2352" s="5" t="inlineStr">
        <is>
          <t>MapleHeroMultiplier</t>
        </is>
      </c>
      <c r="J2352" s="5" t="inlineStr">
        <is>
          <t>BaseDamage</t>
        </is>
      </c>
      <c r="K2352" s="5" t="inlineStr">
        <is>
          <t>BaseHitDamage</t>
        </is>
      </c>
      <c r="L2352" s="5" t="inlineStr">
        <is>
          <t>NonCritAvg</t>
        </is>
      </c>
      <c r="M2352" s="5" t="inlineStr">
        <is>
          <t>CritAvg</t>
        </is>
      </c>
      <c r="N2352" s="5" t="inlineStr">
        <is>
          <t>ExpectedDamage(perHit)</t>
        </is>
      </c>
      <c r="O2352" s="5" t="inlineStr">
        <is>
          <t>DPS</t>
        </is>
      </c>
      <c r="P2352" s="5" t="inlineStr">
        <is>
          <t>% of Total</t>
        </is>
      </c>
      <c r="Q2352" s="5" t="inlineStr">
        <is>
          <t>InvCooldown</t>
        </is>
      </c>
      <c r="R2352" s="5" t="inlineStr">
        <is>
          <t>CastsInFight</t>
        </is>
      </c>
      <c r="S2352" s="5" t="inlineStr">
        <is>
          <t>HitRate(perSec)</t>
        </is>
      </c>
      <c r="U2352" t="inlineStr">
        <is>
          <t>helpers</t>
        </is>
      </c>
    </row>
    <row r="2353">
      <c r="A2353">
        <f>Skills!A2</f>
        <v/>
      </c>
      <c r="B2353">
        <f>Skills!B2</f>
        <v/>
      </c>
      <c r="C2353">
        <f>Inputs!$B$3&gt;=100</f>
        <v/>
      </c>
      <c r="D2353" t="inlineStr"/>
      <c r="E2353" t="inlineStr"/>
      <c r="F2353">
        <f>U2355+Skills!O2</f>
        <v/>
      </c>
      <c r="G2353">
        <f>Skills!G2*IF(Skills!H2&gt;0,Skills!I2/Skills!H2,1)</f>
        <v/>
      </c>
      <c r="H2353">
        <f>1-(1-Skills!J2/100)^Skills!K2</f>
        <v/>
      </c>
      <c r="I2353" t="inlineStr">
        <is>
          <t>1</t>
        </is>
      </c>
      <c r="J2353">
        <f>((Inputs!$B$6*(1+Inputs!$B$7/100))+(((Inputs!$B$12*(1+Inputs!$B$13/100))-(Inputs!$B$12*(1+Inputs!$B$13/100)))+0.25*(Inputs!$B$14-Inputs!$B$14))*(1+Inputs!$B$7/100))*(F2353/100)</f>
        <v/>
      </c>
      <c r="K2353">
        <f>J2353*(1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2353)</f>
        <v/>
      </c>
      <c r="L2353">
        <f>K2353*(MIN(Inputs!$B$22+((C2373=TRUE)*(F2373-Calc!F22)),(Inputs!$B$23+((C2375=TRUE)*(F2375-Calc!F24))+(IF(ArtifactsInput!$M$15,CHOOSE(ArtifactsInput!$N$15+1,25,30,35,40,45,50)/100*(Inputs!$B$11-Inputs!$B$11),0))))/100+(Inputs!$B$23+((C2375=TRUE)*(F2375-Calc!F24))+(IF(ArtifactsInput!$M$15,CHOOSE(ArtifactsInput!$N$15+1,25,30,35,40,45,50)/100*(Inputs!$B$11-Inputs!$B$11),0)))/100)/2</f>
        <v/>
      </c>
      <c r="M2353">
        <f>L2353*(1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3">
        <f>L2353*(1-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2353*(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3">
        <f>(1-Summary!$B$11)*T2353+Summary!$B$11*V2353</f>
        <v/>
      </c>
      <c r="P2353">
        <f>IF(B2388=0,0,O2353/B2388)</f>
        <v/>
      </c>
      <c r="Q2353" t="n">
        <v>0</v>
      </c>
      <c r="R2353" t="n">
        <v>0</v>
      </c>
      <c r="S2353">
        <f>IFERROR(O2353/N2353,0)</f>
        <v/>
      </c>
      <c r="T2353">
        <f>IF(C2353,(Skills!G2*N2353*B2382)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2353*(1-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2353*(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2353*(1-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2353*(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53">
        <f>MAX(0,(Inputs!$B$3-100)*3)+Inputs!$B$28+Inputs!$B$29</f>
        <v/>
      </c>
      <c r="V2353">
        <f>IF(C2353,(Skills!G2*N2353*B2382)*IF(Inputs!$B$38="pvp",1,(1+(Inputs!$B$21+Skills!Q2+(IF(ArtifactsInput!$M$33,CHOOSE(ArtifactsInput!$N$33+1,30,36,42,48,54,60),0))+(IF(AND(ArtifactsInput!$M$35,Inputs!$B$4&lt;&gt;"Chapter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4">
      <c r="A2354">
        <f>Skills!A3</f>
        <v/>
      </c>
      <c r="B2354">
        <f>Skills!B3</f>
        <v/>
      </c>
      <c r="C2354">
        <f>Inputs!$B$3&gt;=50</f>
        <v/>
      </c>
      <c r="D2354">
        <f>IF(Skills!C3=1,60+Inputs!$B$25+Inputs!$B$29,IF(Skills!C3=2,90+Inputs!$B$26+Inputs!$B$29,IF(Skills!C3=3,120+Inputs!$B$27+Inputs!$B$29,MAX(0,(Inputs!$B$3-100)*3)+Inputs!$B$28+Inputs!$B$29)))</f>
        <v/>
      </c>
      <c r="E2354">
        <f>INDEX(FactorTable!$B$2:$Y$301, MATCH(ROUND(MIN(300,MAX(1,D2354)),0), FactorTable!$A$2:$A$301,0), Skills!M3+1)</f>
        <v/>
      </c>
      <c r="F2354">
        <f>IF(Skills!N3=TRUE,(Skills!L3/10)*(E2354/1000),Skills!L3/10)+Skills!O3</f>
        <v/>
      </c>
      <c r="G2354" t="inlineStr"/>
      <c r="H2354" t="inlineStr"/>
      <c r="I2354" t="inlineStr">
        <is>
          <t>1</t>
        </is>
      </c>
      <c r="J2354" t="inlineStr"/>
      <c r="K2354" t="inlineStr"/>
      <c r="L2354" t="inlineStr"/>
      <c r="M2354" t="inlineStr"/>
      <c r="N2354" t="inlineStr"/>
      <c r="O2354" t="inlineStr"/>
      <c r="P2354" t="inlineStr"/>
      <c r="Q2354" t="inlineStr"/>
      <c r="R2354" t="inlineStr"/>
      <c r="S2354" t="inlineStr"/>
      <c r="U2354">
        <f>INDEX(FactorTable!$B$2:$Y$301, MATCH(ROUND(MIN(300,MAX(1,U2353)),0), FactorTable!$A$2:$A$301,0), 22)</f>
        <v/>
      </c>
    </row>
    <row r="2355">
      <c r="A2355">
        <f>Skills!A4</f>
        <v/>
      </c>
      <c r="B2355">
        <f>Skills!B4</f>
        <v/>
      </c>
      <c r="C2355">
        <f>Inputs!$B$3&gt;=35</f>
        <v/>
      </c>
      <c r="D2355">
        <f>IF(Skills!C4=1,60+Inputs!$B$25+Inputs!$B$29,IF(Skills!C4=2,90+Inputs!$B$26+Inputs!$B$29,IF(Skills!C4=3,120+Inputs!$B$27+Inputs!$B$29,MAX(0,(Inputs!$B$3-100)*3)+Inputs!$B$28+Inputs!$B$29)))</f>
        <v/>
      </c>
      <c r="E2355">
        <f>INDEX(FactorTable!$B$2:$Y$301, MATCH(ROUND(MIN(300,MAX(1,D2355)),0), FactorTable!$A$2:$A$301,0), Skills!M4+1)</f>
        <v/>
      </c>
      <c r="F2355">
        <f>IF(Skills!N4=TRUE,(Skills!L4/10)*(E2355/1000),Skills!L4/10)+Skills!O4</f>
        <v/>
      </c>
      <c r="G2355">
        <f>Skills!G4*IF(Skills!H4&gt;0,Skills!I4/Skills!H4,1)</f>
        <v/>
      </c>
      <c r="H2355">
        <f>1-(1-Skills!J4/100)^Skills!K4</f>
        <v/>
      </c>
      <c r="I2355" t="inlineStr">
        <is>
          <t>1</t>
        </is>
      </c>
      <c r="J2355">
        <f>((Inputs!$B$6*(1+Inputs!$B$7/100))+(((Inputs!$B$12*(1+Inputs!$B$13/100))-(Inputs!$B$12*(1+Inputs!$B$13/100)))+0.25*(Inputs!$B$14-Inputs!$B$14))*(1+Inputs!$B$7/100))*(F2355/100)</f>
        <v/>
      </c>
      <c r="K2355">
        <f>J2355*(1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2363=TRUE,F2363,0)/100)*(1+(IF(Skills!A4="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2355)</f>
        <v/>
      </c>
      <c r="L2355">
        <f>K2355*(MIN(Inputs!$B$22+((C2373=TRUE)*(F2373-Calc!F22)),(Inputs!$B$23+((C2375=TRUE)*(F2375-Calc!F24))+(IF(ArtifactsInput!$M$15,CHOOSE(ArtifactsInput!$N$15+1,25,30,35,40,45,50)/100*(Inputs!$B$11-Inputs!$B$11),0))))/100+(Inputs!$B$23+((C2375=TRUE)*(F2375-Calc!F24))+(IF(ArtifactsInput!$M$15,CHOOSE(ArtifactsInput!$N$15+1,25,30,35,40,45,50)/100*(Inputs!$B$11-Inputs!$B$11),0)))/100)/2</f>
        <v/>
      </c>
      <c r="M2355">
        <f>L2355*(1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5">
        <f>L2355*(1-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2355*(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5">
        <f>(1-Summary!$B$11)*T2355+Summary!$B$11*V2355</f>
        <v/>
      </c>
      <c r="P2355">
        <f>IF(B2388=0,0,O2355/B2388)</f>
        <v/>
      </c>
      <c r="Q2355">
        <f>IFERROR(1/(IF(Inputs!$B$38="pvp",15,MAX(0.1,Skills!D4-IF(Skills!E4=TRUE,Inputs!$B$32,0)))*(1-IF(AND(ArtifactsInput!$M$27,Inputs!$B$4="Chapter Hunt"),CHOOSE(ArtifactsInput!$N$27+1,20,24,28,32,36,40),0)/100)),0)</f>
        <v/>
      </c>
      <c r="R2355">
        <f>IF(AND(Inputs!$B$38&lt;&gt;"pvp",Inputs!$B$43&gt;0),IF(MAX(0,Inputs!$B$43-B2385)&lt;=0,0,(INT(MAX(0,Inputs!$B$43-B2385)/(IF(Inputs!$B$38="pvp",15,MAX(0.1,Skills!D4-IF(Skills!E4=TRUE,Inputs!$B$32,0)))*(1-IF(AND(ArtifactsInput!$M$27,Inputs!$B$4="Chapter Hunt"),CHOOSE(ArtifactsInput!$N$27+1,20,24,28,32,36,40),0)/100)))+1)),0)</f>
        <v/>
      </c>
      <c r="S2355">
        <f>IFERROR(O2355/N2355,0)</f>
        <v/>
      </c>
      <c r="T2355">
        <f>IF(C2355,(H2355*N2355*IF(AND(Inputs!$B$38&lt;&gt;"pvp",Inputs!$B$43&gt;0),((Skills!G4*((R2355-1)*IF(Skills!H4&gt;0,Skills!I4/Skills!H4,1)+IF(Skills!H4&gt;0,MIN(Skills!I4,MAX(0,MAX(0,Inputs!$B$43-B2385)-((R2355-1)*(IF(Inputs!$B$38="pvp",15,MAX(0.1,Skills!D4-IF(Skills!E4=TRUE,Inputs!$B$32,0)))*(1-IF(AND(ArtifactsInput!$M$27,Inputs!$B$4="Chapter Hunt"),CHOOSE(ArtifactsInput!$N$27+1,20,24,28,32,36,40),0)/100)))))/Skills!H4,1)))/Inputs!$B$43),G2355*Q2355)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2355*(1-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2355*(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2355*(1-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2355*(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55">
        <f>290*U2354/1000</f>
        <v/>
      </c>
      <c r="V2355">
        <f>IF(C2355,(H2355*N2355*IF(AND(Inputs!$B$38&lt;&gt;"pvp",Inputs!$B$43&gt;0),((Skills!G4*((R2355-1)*IF(Skills!H4&gt;0,Skills!I4/Skills!H4,1)+IF(Skills!H4&gt;0,MIN(Skills!I4,MAX(0,MAX(0,Inputs!$B$43-B2385)-((R2355-1)*(IF(Inputs!$B$38="pvp",15,MAX(0.1,Skills!D4-IF(Skills!E4=TRUE,Inputs!$B$32,0)))*(1-IF(AND(ArtifactsInput!$M$27,Inputs!$B$4="Chapter Hunt"),CHOOSE(ArtifactsInput!$N$27+1,20,24,28,32,36,40),0)/100)))))/Skills!H4,1)))/Inputs!$B$43),G2355*Q2355))*IF(Inputs!$B$38="pvp",1,(1+(Inputs!$B$21+Skills!Q4+(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6">
      <c r="A2356">
        <f>Skills!A5</f>
        <v/>
      </c>
      <c r="B2356">
        <f>Skills!B5</f>
        <v/>
      </c>
      <c r="C2356">
        <f>Inputs!$B$3&gt;=66</f>
        <v/>
      </c>
      <c r="D2356">
        <f>IF(Skills!C5=1,60+Inputs!$B$25+Inputs!$B$29,IF(Skills!C5=2,90+Inputs!$B$26+Inputs!$B$29,IF(Skills!C5=3,120+Inputs!$B$27+Inputs!$B$29,MAX(0,(Inputs!$B$3-100)*3)+Inputs!$B$28+Inputs!$B$29)))</f>
        <v/>
      </c>
      <c r="E2356">
        <f>INDEX(FactorTable!$B$2:$Y$301, MATCH(ROUND(MIN(300,MAX(1,D2356)),0), FactorTable!$A$2:$A$301,0), Skills!M5+1)</f>
        <v/>
      </c>
      <c r="F2356">
        <f>IF(Skills!N5=TRUE,(Skills!L5/10)*(E2356/1000),Skills!L5/10)+Skills!O5</f>
        <v/>
      </c>
      <c r="G2356">
        <f>Skills!G5*IF(Skills!H5&gt;0,Skills!I5/Skills!H5,1)</f>
        <v/>
      </c>
      <c r="H2356">
        <f>1-(1-Skills!J5/100)^Skills!K5</f>
        <v/>
      </c>
      <c r="I2356" t="inlineStr">
        <is>
          <t>1</t>
        </is>
      </c>
      <c r="J2356">
        <f>((Inputs!$B$6*(1+Inputs!$B$7/100))+(((Inputs!$B$12*(1+Inputs!$B$13/100))-(Inputs!$B$12*(1+Inputs!$B$13/100)))+0.25*(Inputs!$B$14-Inputs!$B$14))*(1+Inputs!$B$7/100))*(F2356/100)</f>
        <v/>
      </c>
      <c r="K2356">
        <f>J2356*(1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2363=TRUE,F2363,0)/100)*(1+(IF(Skills!A5="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2356)</f>
        <v/>
      </c>
      <c r="L2356">
        <f>K2356*(MIN(Inputs!$B$22+((C2373=TRUE)*(F2373-Calc!F22)),(Inputs!$B$23+((C2375=TRUE)*(F2375-Calc!F24))+(IF(ArtifactsInput!$M$15,CHOOSE(ArtifactsInput!$N$15+1,25,30,35,40,45,50)/100*(Inputs!$B$11-Inputs!$B$11),0))))/100+(Inputs!$B$23+((C2375=TRUE)*(F2375-Calc!F24))+(IF(ArtifactsInput!$M$15,CHOOSE(ArtifactsInput!$N$15+1,25,30,35,40,45,50)/100*(Inputs!$B$11-Inputs!$B$11),0)))/100)/2</f>
        <v/>
      </c>
      <c r="M2356">
        <f>L2356*(1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6">
        <f>L2356*(1-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2356*(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6">
        <f>(1-Summary!$B$11)*T2356+Summary!$B$11*V2356</f>
        <v/>
      </c>
      <c r="P2356">
        <f>IF(B2388=0,0,O2356/B2388)</f>
        <v/>
      </c>
      <c r="Q2356">
        <f>IFERROR(1/(IF(Inputs!$B$38="pvp",15,MAX(0.1,Skills!D5-IF(Skills!E5=TRUE,Inputs!$B$32,0)))*(1-IF(AND(ArtifactsInput!$M$27,Inputs!$B$4="Chapter Hunt"),CHOOSE(ArtifactsInput!$N$27+1,20,24,28,32,36,40),0)/100)),0)</f>
        <v/>
      </c>
      <c r="R2356">
        <f>IF(AND(Inputs!$B$38&lt;&gt;"pvp",Inputs!$B$43&gt;0),IF(MAX(0,Inputs!$B$43-B2385)&lt;=0,0,(INT(MAX(0,Inputs!$B$43-B2385)/(IF(Inputs!$B$38="pvp",15,MAX(0.1,Skills!D5-IF(Skills!E5=TRUE,Inputs!$B$32,0)))*(1-IF(AND(ArtifactsInput!$M$27,Inputs!$B$4="Chapter Hunt"),CHOOSE(ArtifactsInput!$N$27+1,20,24,28,32,36,40),0)/100)))+1)),0)</f>
        <v/>
      </c>
      <c r="S2356">
        <f>IFERROR(O2356/N2356,0)</f>
        <v/>
      </c>
      <c r="T2356">
        <f>IF(C2356,(H2356*N2356*IF(AND(Inputs!$B$38&lt;&gt;"pvp",Inputs!$B$43&gt;0),((Skills!G5*((R2356-1)*IF(Skills!H5&gt;0,Skills!I5/Skills!H5,1)+IF(Skills!H5&gt;0,MIN(Skills!I5,MAX(0,MAX(0,Inputs!$B$43-B2385)-((R2356-1)*(IF(Inputs!$B$38="pvp",15,MAX(0.1,Skills!D5-IF(Skills!E5=TRUE,Inputs!$B$32,0)))*(1-IF(AND(ArtifactsInput!$M$27,Inputs!$B$4="Chapter Hunt"),CHOOSE(ArtifactsInput!$N$27+1,20,24,28,32,36,40),0)/100)))))/Skills!H5,1)))/Inputs!$B$43),G2356*Q2356)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2356*(1-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2356*(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2356*(1-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2356*(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56">
        <f>IF(C2356,(H2356*N2356*IF(AND(Inputs!$B$38&lt;&gt;"pvp",Inputs!$B$43&gt;0),((Skills!G5*((R2356-1)*IF(Skills!H5&gt;0,Skills!I5/Skills!H5,1)+IF(Skills!H5&gt;0,MIN(Skills!I5,MAX(0,MAX(0,Inputs!$B$43-B2385)-((R2356-1)*(IF(Inputs!$B$38="pvp",15,MAX(0.1,Skills!D5-IF(Skills!E5=TRUE,Inputs!$B$32,0)))*(1-IF(AND(ArtifactsInput!$M$27,Inputs!$B$4="Chapter Hunt"),CHOOSE(ArtifactsInput!$N$27+1,20,24,28,32,36,40),0)/100)))))/Skills!H5,1)))/Inputs!$B$43),G2356*Q2356))*IF(Inputs!$B$38="pvp",1,(1+(Inputs!$B$21+Skills!Q5+(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7">
      <c r="A2357">
        <f>Skills!A6</f>
        <v/>
      </c>
      <c r="B2357">
        <f>Skills!B6</f>
        <v/>
      </c>
      <c r="C2357">
        <f>Inputs!$B$3&gt;=103</f>
        <v/>
      </c>
      <c r="D2357">
        <f>IF(Skills!C6=1,60+Inputs!$B$25+Inputs!$B$29,IF(Skills!C6=2,90+Inputs!$B$26+Inputs!$B$29,IF(Skills!C6=3,120+Inputs!$B$27+Inputs!$B$29,MAX(0,(Inputs!$B$3-100)*3)+Inputs!$B$28+Inputs!$B$29)))</f>
        <v/>
      </c>
      <c r="E2357">
        <f>INDEX(FactorTable!$B$2:$Y$301, MATCH(ROUND(MIN(300,MAX(1,D2357)),0), FactorTable!$A$2:$A$301,0), Skills!M6+1)</f>
        <v/>
      </c>
      <c r="F2357">
        <f>IF(Skills!N6=TRUE,(Skills!L6/10)*(E2357/1000),Skills!L6/10)+Skills!O6</f>
        <v/>
      </c>
      <c r="G2357">
        <f>Skills!G6*IF(Skills!H6&gt;0,Skills!I6/Skills!H6,1)</f>
        <v/>
      </c>
      <c r="H2357">
        <f>1-(1-Skills!J6/100)^Skills!K6</f>
        <v/>
      </c>
      <c r="I2357" t="inlineStr">
        <is>
          <t>1</t>
        </is>
      </c>
      <c r="J2357">
        <f>((Inputs!$B$6*(1+Inputs!$B$7/100))+(((Inputs!$B$12*(1+Inputs!$B$13/100))-(Inputs!$B$12*(1+Inputs!$B$13/100)))+0.25*(Inputs!$B$14-Inputs!$B$14))*(1+Inputs!$B$7/100))*(F2357/100)</f>
        <v/>
      </c>
      <c r="K2357">
        <f>J2357*(1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2357)</f>
        <v/>
      </c>
      <c r="L2357">
        <f>K2357*(MIN(Inputs!$B$22+((C2373=TRUE)*(F2373-Calc!F22)),(Inputs!$B$23+((C2375=TRUE)*(F2375-Calc!F24))+(IF(ArtifactsInput!$M$15,CHOOSE(ArtifactsInput!$N$15+1,25,30,35,40,45,50)/100*(Inputs!$B$11-Inputs!$B$11),0))))/100+(Inputs!$B$23+((C2375=TRUE)*(F2375-Calc!F24))+(IF(ArtifactsInput!$M$15,CHOOSE(ArtifactsInput!$N$15+1,25,30,35,40,45,50)/100*(Inputs!$B$11-Inputs!$B$11),0)))/100)/2</f>
        <v/>
      </c>
      <c r="M2357">
        <f>L2357*(1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7">
        <f>L2357*(1-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2357*(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7">
        <f>(1-Summary!$B$11)*T2357+Summary!$B$11*V2357</f>
        <v/>
      </c>
      <c r="P2357">
        <f>IF(B2388=0,0,O2357/B2388)</f>
        <v/>
      </c>
      <c r="Q2357">
        <f>IFERROR(1/(IF(Inputs!$B$38="pvp",15,MAX(0.1,Skills!D6-IF(Skills!E6=TRUE,Inputs!$B$32,0)))*(1-IF(AND(ArtifactsInput!$M$27,Inputs!$B$4="Chapter Hunt"),CHOOSE(ArtifactsInput!$N$27+1,20,24,28,32,36,40),0)/100)),0)</f>
        <v/>
      </c>
      <c r="R2357">
        <f>IF(AND(Inputs!$B$38&lt;&gt;"pvp",Inputs!$B$43&gt;0),IF(MAX(0,Inputs!$B$43-B2385)&lt;=0,0,(INT(MAX(0,Inputs!$B$43-B2385)/(IF(Inputs!$B$38="pvp",15,MAX(0.1,Skills!D6-IF(Skills!E6=TRUE,Inputs!$B$32,0)))*(1-IF(AND(ArtifactsInput!$M$27,Inputs!$B$4="Chapter Hunt"),CHOOSE(ArtifactsInput!$N$27+1,20,24,28,32,36,40),0)/100)))+1)),0)</f>
        <v/>
      </c>
      <c r="S2357">
        <f>IFERROR(O2357/N2357,0)</f>
        <v/>
      </c>
      <c r="T2357">
        <f>IF(C2357,(H2357*N2357*IF(AND(Inputs!$B$38&lt;&gt;"pvp",Inputs!$B$43&gt;0),((Skills!G6*((R2357-1)*IF(Skills!H6&gt;0,Skills!I6/Skills!H6,1)+IF(Skills!H6&gt;0,MIN(Skills!I6,MAX(0,MAX(0,Inputs!$B$43-B2385)-((R2357-1)*(IF(Inputs!$B$38="pvp",15,MAX(0.1,Skills!D6-IF(Skills!E6=TRUE,Inputs!$B$32,0)))*(1-IF(AND(ArtifactsInput!$M$27,Inputs!$B$4="Chapter Hunt"),CHOOSE(ArtifactsInput!$N$27+1,20,24,28,32,36,40),0)/100)))))/Skills!H6,1)))/Inputs!$B$43),G2357*Q2357)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2357*(1-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2357*(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2357*(1-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2357*(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57">
        <f>IF(C2357,(H2357*N2357*IF(AND(Inputs!$B$38&lt;&gt;"pvp",Inputs!$B$43&gt;0),((Skills!G6*((R2357-1)*IF(Skills!H6&gt;0,Skills!I6/Skills!H6,1)+IF(Skills!H6&gt;0,MIN(Skills!I6,MAX(0,MAX(0,Inputs!$B$43-B2385)-((R2357-1)*(IF(Inputs!$B$38="pvp",15,MAX(0.1,Skills!D6-IF(Skills!E6=TRUE,Inputs!$B$32,0)))*(1-IF(AND(ArtifactsInput!$M$27,Inputs!$B$4="Chapter Hunt"),CHOOSE(ArtifactsInput!$N$27+1,20,24,28,32,36,40),0)/100)))))/Skills!H6,1)))/Inputs!$B$43),G2357*Q2357))*IF(Inputs!$B$38="pvp",1,(1+(Inputs!$B$21+Skills!Q6+(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8">
      <c r="A2358">
        <f>Skills!A7</f>
        <v/>
      </c>
      <c r="B2358">
        <f>Skills!B7</f>
        <v/>
      </c>
      <c r="C2358">
        <f>Inputs!$B$3&gt;=107</f>
        <v/>
      </c>
      <c r="D2358">
        <f>IF(Skills!C7=1,60+Inputs!$B$25+Inputs!$B$29,IF(Skills!C7=2,90+Inputs!$B$26+Inputs!$B$29,IF(Skills!C7=3,120+Inputs!$B$27+Inputs!$B$29,MAX(0,(Inputs!$B$3-100)*3)+Inputs!$B$28+Inputs!$B$29)))</f>
        <v/>
      </c>
      <c r="E2358">
        <f>INDEX(FactorTable!$B$2:$Y$301, MATCH(ROUND(MIN(300,MAX(1,D2358)),0), FactorTable!$A$2:$A$301,0), Skills!M7+1)</f>
        <v/>
      </c>
      <c r="F2358">
        <f>IF(Skills!N7=TRUE,(Skills!L7/10)*(E2358/1000),Skills!L7/10)+Skills!O7</f>
        <v/>
      </c>
      <c r="G2358">
        <f>Skills!G7*IF(Skills!H7&gt;0,Skills!I7/Skills!H7,1)</f>
        <v/>
      </c>
      <c r="H2358">
        <f>1-(1-Skills!J7/100)^Skills!K7</f>
        <v/>
      </c>
      <c r="I2358" t="inlineStr">
        <is>
          <t>1</t>
        </is>
      </c>
      <c r="J2358">
        <f>((Inputs!$B$6*(1+Inputs!$B$7/100))+(((Inputs!$B$12*(1+Inputs!$B$13/100))-(Inputs!$B$12*(1+Inputs!$B$13/100)))+0.25*(Inputs!$B$14-Inputs!$B$14))*(1+Inputs!$B$7/100))*(F2358/100)</f>
        <v/>
      </c>
      <c r="K2358">
        <f>J2358*(1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2358)</f>
        <v/>
      </c>
      <c r="L2358">
        <f>K2358*(MIN(Inputs!$B$22+((C2373=TRUE)*(F2373-Calc!F22)),(Inputs!$B$23+((C2375=TRUE)*(F2375-Calc!F24))+(IF(ArtifactsInput!$M$15,CHOOSE(ArtifactsInput!$N$15+1,25,30,35,40,45,50)/100*(Inputs!$B$11-Inputs!$B$11),0))))/100+(Inputs!$B$23+((C2375=TRUE)*(F2375-Calc!F24))+(IF(ArtifactsInput!$M$15,CHOOSE(ArtifactsInput!$N$15+1,25,30,35,40,45,50)/100*(Inputs!$B$11-Inputs!$B$11),0)))/100)/2</f>
        <v/>
      </c>
      <c r="M2358">
        <f>L2358*(1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8">
        <f>L2358*(1-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2358*(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8">
        <f>(1-Summary!$B$11)*T2358+Summary!$B$11*V2358</f>
        <v/>
      </c>
      <c r="P2358">
        <f>IF(B2388=0,0,O2358/B2388)</f>
        <v/>
      </c>
      <c r="Q2358">
        <f>IFERROR(1/(IF(Inputs!$B$38="pvp",15,MAX(0.1,Skills!D7-IF(Skills!E7=TRUE,Inputs!$B$32,0)))*(1-IF(AND(ArtifactsInput!$M$27,Inputs!$B$4="Chapter Hunt"),CHOOSE(ArtifactsInput!$N$27+1,20,24,28,32,36,40),0)/100)),0)</f>
        <v/>
      </c>
      <c r="R2358">
        <f>IF(AND(Inputs!$B$38&lt;&gt;"pvp",Inputs!$B$43&gt;0),IF(MAX(0,Inputs!$B$43-B2385)&lt;=0,0,(INT(MAX(0,Inputs!$B$43-B2385)/(IF(Inputs!$B$38="pvp",15,MAX(0.1,Skills!D7-IF(Skills!E7=TRUE,Inputs!$B$32,0)))*(1-IF(AND(ArtifactsInput!$M$27,Inputs!$B$4="Chapter Hunt"),CHOOSE(ArtifactsInput!$N$27+1,20,24,28,32,36,40),0)/100)))+1)),0)</f>
        <v/>
      </c>
      <c r="S2358">
        <f>IFERROR(O2358/N2358,0)</f>
        <v/>
      </c>
      <c r="T2358">
        <f>IF(C2358,(H2358*N2358*IF(AND(Inputs!$B$38&lt;&gt;"pvp",Inputs!$B$43&gt;0),((Skills!G7*((R2358-1)*IF(Skills!H7&gt;0,Skills!I7/Skills!H7,1)+IF(Skills!H7&gt;0,MIN(Skills!I7,MAX(0,MAX(0,Inputs!$B$43-B2385)-((R2358-1)*(IF(Inputs!$B$38="pvp",15,MAX(0.1,Skills!D7-IF(Skills!E7=TRUE,Inputs!$B$32,0)))*(1-IF(AND(ArtifactsInput!$M$27,Inputs!$B$4="Chapter Hunt"),CHOOSE(ArtifactsInput!$N$27+1,20,24,28,32,36,40),0)/100)))))/Skills!H7,1)))/Inputs!$B$43),G2358*Q2358)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2358*(1-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2358*(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2358*(1-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2358*(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58">
        <f>IF(C2358,(H2358*N2358*IF(AND(Inputs!$B$38&lt;&gt;"pvp",Inputs!$B$43&gt;0),((Skills!G7*((R2358-1)*IF(Skills!H7&gt;0,Skills!I7/Skills!H7,1)+IF(Skills!H7&gt;0,MIN(Skills!I7,MAX(0,MAX(0,Inputs!$B$43-B2385)-((R2358-1)*(IF(Inputs!$B$38="pvp",15,MAX(0.1,Skills!D7-IF(Skills!E7=TRUE,Inputs!$B$32,0)))*(1-IF(AND(ArtifactsInput!$M$27,Inputs!$B$4="Chapter Hunt"),CHOOSE(ArtifactsInput!$N$27+1,20,24,28,32,36,40),0)/100)))))/Skills!H7,1)))/Inputs!$B$43),G2358*Q2358))*IF(Inputs!$B$38="pvp",1,(1+(Inputs!$B$21+Skills!Q7+(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59">
      <c r="A2359">
        <f>Skills!A8</f>
        <v/>
      </c>
      <c r="B2359">
        <f>Skills!B8</f>
        <v/>
      </c>
      <c r="C2359">
        <f>Inputs!$B$3&gt;=107</f>
        <v/>
      </c>
      <c r="D2359">
        <f>IF(Skills!C8=1,60+Inputs!$B$25+Inputs!$B$29,IF(Skills!C8=2,90+Inputs!$B$26+Inputs!$B$29,IF(Skills!C8=3,120+Inputs!$B$27+Inputs!$B$29,MAX(0,(Inputs!$B$3-100)*3)+Inputs!$B$28+Inputs!$B$29)))</f>
        <v/>
      </c>
      <c r="E2359">
        <f>INDEX(FactorTable!$B$2:$Y$301, MATCH(ROUND(MIN(300,MAX(1,D2359)),0), FactorTable!$A$2:$A$301,0), Skills!M8+1)</f>
        <v/>
      </c>
      <c r="F2359">
        <f>IF(Skills!N8=TRUE,(Skills!L8/10)*(E2359/1000),Skills!L8/10)+Skills!O8</f>
        <v/>
      </c>
      <c r="G2359">
        <f>Skills!G8*IF(Skills!H8&gt;0,Skills!I8/Skills!H8,1)</f>
        <v/>
      </c>
      <c r="H2359">
        <f>1-(1-Skills!J8/100)^Skills!K8</f>
        <v/>
      </c>
      <c r="I2359" t="inlineStr">
        <is>
          <t>1</t>
        </is>
      </c>
      <c r="J2359">
        <f>((Inputs!$B$6*(1+Inputs!$B$7/100))+(((Inputs!$B$12*(1+Inputs!$B$13/100))-(Inputs!$B$12*(1+Inputs!$B$13/100)))+0.25*(Inputs!$B$14-Inputs!$B$14))*(1+Inputs!$B$7/100))*(F2359/100)</f>
        <v/>
      </c>
      <c r="K2359">
        <f>J2359*(1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2359)</f>
        <v/>
      </c>
      <c r="L2359">
        <f>K2359*(MIN(Inputs!$B$22+((C2373=TRUE)*(F2373-Calc!F22)),(Inputs!$B$23+((C2375=TRUE)*(F2375-Calc!F24))+(IF(ArtifactsInput!$M$15,CHOOSE(ArtifactsInput!$N$15+1,25,30,35,40,45,50)/100*(Inputs!$B$11-Inputs!$B$11),0))))/100+(Inputs!$B$23+((C2375=TRUE)*(F2375-Calc!F24))+(IF(ArtifactsInput!$M$15,CHOOSE(ArtifactsInput!$N$15+1,25,30,35,40,45,50)/100*(Inputs!$B$11-Inputs!$B$11),0)))/100)/2</f>
        <v/>
      </c>
      <c r="M2359">
        <f>L2359*(1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59">
        <f>L2359*(1-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2359*(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59">
        <f>(1-Summary!$B$11)*T2359+Summary!$B$11*V2359</f>
        <v/>
      </c>
      <c r="P2359">
        <f>IF(B2388=0,0,O2359/B2388)</f>
        <v/>
      </c>
      <c r="Q2359">
        <f>IFERROR(1/(IF(Inputs!$B$38="pvp",15,MAX(0.1,Skills!D8-IF(Skills!E8=TRUE,Inputs!$B$32,0)))*(1-IF(AND(ArtifactsInput!$M$27,Inputs!$B$4="Chapter Hunt"),CHOOSE(ArtifactsInput!$N$27+1,20,24,28,32,36,40),0)/100)),0)</f>
        <v/>
      </c>
      <c r="R2359">
        <f>IF(AND(Inputs!$B$38&lt;&gt;"pvp",Inputs!$B$43&gt;0),IF(MAX(0,Inputs!$B$43-B2385)&lt;=0,0,(INT(MAX(0,Inputs!$B$43-B2385)/(IF(Inputs!$B$38="pvp",15,MAX(0.1,Skills!D8-IF(Skills!E8=TRUE,Inputs!$B$32,0)))*(1-IF(AND(ArtifactsInput!$M$27,Inputs!$B$4="Chapter Hunt"),CHOOSE(ArtifactsInput!$N$27+1,20,24,28,32,36,40),0)/100)))+1)),0)</f>
        <v/>
      </c>
      <c r="S2359">
        <f>IFERROR(O2359/N2359,0)</f>
        <v/>
      </c>
      <c r="T2359">
        <f>IF(C2359,(H2359*N2359*IF(AND(Inputs!$B$38&lt;&gt;"pvp",Inputs!$B$43&gt;0),((Skills!G8*((R2359-1)*IF(Skills!H8&gt;0,Skills!I8/Skills!H8,1)+IF(Skills!H8&gt;0,MIN(Skills!I8,MAX(0,MAX(0,Inputs!$B$43-B2385)-((R2359-1)*(IF(Inputs!$B$38="pvp",15,MAX(0.1,Skills!D8-IF(Skills!E8=TRUE,Inputs!$B$32,0)))*(1-IF(AND(ArtifactsInput!$M$27,Inputs!$B$4="Chapter Hunt"),CHOOSE(ArtifactsInput!$N$27+1,20,24,28,32,36,40),0)/100)))))/Skills!H8,1)))/Inputs!$B$43),G2359*Q2359)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2359*(1-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2359*(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2359*(1-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2359*(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59">
        <f>IF(C2359,(H2359*N2359*IF(AND(Inputs!$B$38&lt;&gt;"pvp",Inputs!$B$43&gt;0),((Skills!G8*((R2359-1)*IF(Skills!H8&gt;0,Skills!I8/Skills!H8,1)+IF(Skills!H8&gt;0,MIN(Skills!I8,MAX(0,MAX(0,Inputs!$B$43-B2385)-((R2359-1)*(IF(Inputs!$B$38="pvp",15,MAX(0.1,Skills!D8-IF(Skills!E8=TRUE,Inputs!$B$32,0)))*(1-IF(AND(ArtifactsInput!$M$27,Inputs!$B$4="Chapter Hunt"),CHOOSE(ArtifactsInput!$N$27+1,20,24,28,32,36,40),0)/100)))))/Skills!H8,1)))/Inputs!$B$43),G2359*Q2359))*IF(Inputs!$B$38="pvp",1,(1+(Inputs!$B$21+Skills!Q8+(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0">
      <c r="A2360">
        <f>Skills!A9</f>
        <v/>
      </c>
      <c r="B2360">
        <f>Skills!B9</f>
        <v/>
      </c>
      <c r="C2360">
        <f>Inputs!$B$3&gt;=125</f>
        <v/>
      </c>
      <c r="D2360">
        <f>IF(Skills!C9=1,60+Inputs!$B$25+Inputs!$B$29,IF(Skills!C9=2,90+Inputs!$B$26+Inputs!$B$29,IF(Skills!C9=3,120+Inputs!$B$27+Inputs!$B$29,MAX(0,(Inputs!$B$3-100)*3)+Inputs!$B$28+Inputs!$B$29)))</f>
        <v/>
      </c>
      <c r="E2360">
        <f>INDEX(FactorTable!$B$2:$Y$301, MATCH(ROUND(MIN(300,MAX(1,D2360)),0), FactorTable!$A$2:$A$301,0), Skills!M9+1)</f>
        <v/>
      </c>
      <c r="F2360">
        <f>IF(Skills!N9=TRUE,(Skills!L9/10)*(E2360/1000),Skills!L9/10)+Skills!O9</f>
        <v/>
      </c>
      <c r="G2360">
        <f>Skills!G9*IF(Skills!H9&gt;0,Skills!I9/Skills!H9,1)</f>
        <v/>
      </c>
      <c r="H2360">
        <f>1-(1-Skills!J9/100)^Skills!K9</f>
        <v/>
      </c>
      <c r="I2360" t="inlineStr">
        <is>
          <t>1</t>
        </is>
      </c>
      <c r="J2360">
        <f>((Inputs!$B$6*(1+Inputs!$B$7/100))+(((Inputs!$B$12*(1+Inputs!$B$13/100))-(Inputs!$B$12*(1+Inputs!$B$13/100)))+0.25*(Inputs!$B$14-Inputs!$B$14))*(1+Inputs!$B$7/100))*(F2360/100)</f>
        <v/>
      </c>
      <c r="K2360">
        <f>J2360*(1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2360)</f>
        <v/>
      </c>
      <c r="L2360">
        <f>K2360*(MIN(Inputs!$B$22+((C2373=TRUE)*(F2373-Calc!F22)),(Inputs!$B$23+((C2375=TRUE)*(F2375-Calc!F24))+(IF(ArtifactsInput!$M$15,CHOOSE(ArtifactsInput!$N$15+1,25,30,35,40,45,50)/100*(Inputs!$B$11-Inputs!$B$11),0))))/100+(Inputs!$B$23+((C2375=TRUE)*(F2375-Calc!F24))+(IF(ArtifactsInput!$M$15,CHOOSE(ArtifactsInput!$N$15+1,25,30,35,40,45,50)/100*(Inputs!$B$11-Inputs!$B$11),0)))/100)/2</f>
        <v/>
      </c>
      <c r="M2360">
        <f>L2360*(1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0">
        <f>L2360*(1-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2360*(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0">
        <f>(1-Summary!$B$11)*T2360+Summary!$B$11*V2360</f>
        <v/>
      </c>
      <c r="P2360">
        <f>IF(B2388=0,0,O2360/B2388)</f>
        <v/>
      </c>
      <c r="Q2360">
        <f>IFERROR(1/(IF(Inputs!$B$38="pvp",15,MAX(0.1,Skills!D9-IF(Skills!E9=TRUE,Inputs!$B$32,0)))*(1-IF(AND(ArtifactsInput!$M$27,Inputs!$B$4="Chapter Hunt"),CHOOSE(ArtifactsInput!$N$27+1,20,24,28,32,36,40),0)/100)),0)</f>
        <v/>
      </c>
      <c r="R2360">
        <f>IF(AND(Inputs!$B$38&lt;&gt;"pvp",Inputs!$B$43&gt;0),IF(MAX(0,Inputs!$B$43-B2385)&lt;=0,0,(INT(MAX(0,Inputs!$B$43-B2385)/(IF(Inputs!$B$38="pvp",15,MAX(0.1,Skills!D9-IF(Skills!E9=TRUE,Inputs!$B$32,0)))*(1-IF(AND(ArtifactsInput!$M$27,Inputs!$B$4="Chapter Hunt"),CHOOSE(ArtifactsInput!$N$27+1,20,24,28,32,36,40),0)/100)))+1)),0)</f>
        <v/>
      </c>
      <c r="S2360">
        <f>IFERROR(O2360/N2360,0)</f>
        <v/>
      </c>
      <c r="T2360">
        <f>IF(C2360,(H2360*N2360*IF(AND(Inputs!$B$38&lt;&gt;"pvp",Inputs!$B$43&gt;0),((Skills!G9*((R2360-1)*IF(Skills!H9&gt;0,Skills!I9/Skills!H9,1)+IF(Skills!H9&gt;0,MIN(Skills!I9,MAX(0,MAX(0,Inputs!$B$43-B2385)-((R2360-1)*(IF(Inputs!$B$38="pvp",15,MAX(0.1,Skills!D9-IF(Skills!E9=TRUE,Inputs!$B$32,0)))*(1-IF(AND(ArtifactsInput!$M$27,Inputs!$B$4="Chapter Hunt"),CHOOSE(ArtifactsInput!$N$27+1,20,24,28,32,36,40),0)/100)))))/Skills!H9,1)))/Inputs!$B$43),G2360*Q2360)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2360*(1-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2360*(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2360*(1-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2360*(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60">
        <f>IF(C2360,(H2360*N2360*IF(AND(Inputs!$B$38&lt;&gt;"pvp",Inputs!$B$43&gt;0),((Skills!G9*((R2360-1)*IF(Skills!H9&gt;0,Skills!I9/Skills!H9,1)+IF(Skills!H9&gt;0,MIN(Skills!I9,MAX(0,MAX(0,Inputs!$B$43-B2385)-((R2360-1)*(IF(Inputs!$B$38="pvp",15,MAX(0.1,Skills!D9-IF(Skills!E9=TRUE,Inputs!$B$32,0)))*(1-IF(AND(ArtifactsInput!$M$27,Inputs!$B$4="Chapter Hunt"),CHOOSE(ArtifactsInput!$N$27+1,20,24,28,32,36,40),0)/100)))))/Skills!H9,1)))/Inputs!$B$43),G2360*Q2360))*IF(Inputs!$B$38="pvp",1,(1+(Inputs!$B$21+Skills!Q9+(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1">
      <c r="A2361">
        <f>Skills!A10</f>
        <v/>
      </c>
      <c r="B2361">
        <f>Skills!B10</f>
        <v/>
      </c>
      <c r="C2361">
        <f>Inputs!$B$3&gt;=117</f>
        <v/>
      </c>
      <c r="D2361">
        <f>IF(Skills!C10=1,60+Inputs!$B$25+Inputs!$B$29,IF(Skills!C10=2,90+Inputs!$B$26+Inputs!$B$29,IF(Skills!C10=3,120+Inputs!$B$27+Inputs!$B$29,MAX(0,(Inputs!$B$3-100)*3)+Inputs!$B$28+Inputs!$B$29)))</f>
        <v/>
      </c>
      <c r="E2361">
        <f>INDEX(FactorTable!$B$2:$Y$301, MATCH(ROUND(MIN(300,MAX(1,D2361)),0), FactorTable!$A$2:$A$301,0), Skills!M10+1)</f>
        <v/>
      </c>
      <c r="F2361">
        <f>IF(Skills!N10=TRUE,(Skills!L10/10)*(E2361/1000),Skills!L10/10)+Skills!O10</f>
        <v/>
      </c>
      <c r="G2361">
        <f>Skills!G10*IF(Skills!H10&gt;0,Skills!I10/Skills!H10,1)</f>
        <v/>
      </c>
      <c r="H2361">
        <f>1-(1-Skills!J10/100)^Skills!K10</f>
        <v/>
      </c>
      <c r="I2361" t="inlineStr">
        <is>
          <t>1</t>
        </is>
      </c>
      <c r="J2361">
        <f>((Inputs!$B$6*(1+Inputs!$B$7/100))+(((Inputs!$B$12*(1+Inputs!$B$13/100))-(Inputs!$B$12*(1+Inputs!$B$13/100)))+0.25*(Inputs!$B$14-Inputs!$B$14))*(1+Inputs!$B$7/100))*(F2361/100)</f>
        <v/>
      </c>
      <c r="K2361">
        <f>J2361*(1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2361)</f>
        <v/>
      </c>
      <c r="L2361">
        <f>K2361*(MIN(Inputs!$B$22+((C2373=TRUE)*(F2373-Calc!F22)),(Inputs!$B$23+((C2375=TRUE)*(F2375-Calc!F24))+(IF(ArtifactsInput!$M$15,CHOOSE(ArtifactsInput!$N$15+1,25,30,35,40,45,50)/100*(Inputs!$B$11-Inputs!$B$11),0))))/100+(Inputs!$B$23+((C2375=TRUE)*(F2375-Calc!F24))+(IF(ArtifactsInput!$M$15,CHOOSE(ArtifactsInput!$N$15+1,25,30,35,40,45,50)/100*(Inputs!$B$11-Inputs!$B$11),0)))/100)/2</f>
        <v/>
      </c>
      <c r="M2361">
        <f>L2361*(1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1">
        <f>L2361*(1-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1">
        <f>(1-Summary!$B$11)*T2361+Summary!$B$11*V2361</f>
        <v/>
      </c>
      <c r="P2361">
        <f>IF(B2388=0,0,O2361/B2388)</f>
        <v/>
      </c>
      <c r="Q2361">
        <f>IFERROR(1/(IF(Inputs!$B$38="pvp",15,MAX(0.1,Skills!D10-IF(Skills!E10=TRUE,Inputs!$B$32,0)))*(1-IF(AND(ArtifactsInput!$M$27,Inputs!$B$4="Chapter Hunt"),CHOOSE(ArtifactsInput!$N$27+1,20,24,28,32,36,40),0)/100)),0)</f>
        <v/>
      </c>
      <c r="R2361">
        <f>IF(AND(Inputs!$B$38&lt;&gt;"pvp",Inputs!$B$43&gt;0),IF(MAX(0,Inputs!$B$43-B2385)&lt;=0,0,(INT(MAX(0,Inputs!$B$43-B2385)/(IF(Inputs!$B$38="pvp",15,MAX(0.1,Skills!D10-IF(Skills!E10=TRUE,Inputs!$B$32,0)))*(1-IF(AND(ArtifactsInput!$M$27,Inputs!$B$4="Chapter Hunt"),CHOOSE(ArtifactsInput!$N$27+1,20,24,28,32,36,40),0)/100)))+1)),0)</f>
        <v/>
      </c>
      <c r="S2361">
        <f>IFERROR(O2361/N2361,0)</f>
        <v/>
      </c>
      <c r="T2361">
        <f>IF(C2361,(H2361*N2361*IF(AND(Inputs!$B$38&lt;&gt;"pvp",Inputs!$B$43&gt;0),((Skills!G10*((R2361-1)*IF(Skills!H10&gt;0,Skills!I10/Skills!H10,1)+IF(Skills!H10&gt;0,MIN(Skills!I10,MAX(0,MAX(0,Inputs!$B$43-B2385)-((R2361-1)*(IF(Inputs!$B$38="pvp",15,MAX(0.1,Skills!D10-IF(Skills!E10=TRUE,Inputs!$B$32,0)))*(1-IF(AND(ArtifactsInput!$M$27,Inputs!$B$4="Chapter Hunt"),CHOOSE(ArtifactsInput!$N$27+1,20,24,28,32,36,40),0)/100)))))/Skills!H10,1)))/Inputs!$B$43),G2361*Q2361)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2361*(1-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2361*(1-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61">
        <f>IF(C2361,(H2361*N2361*IF(AND(Inputs!$B$38&lt;&gt;"pvp",Inputs!$B$43&gt;0),((Skills!G10*((R2361-1)*IF(Skills!H10&gt;0,Skills!I10/Skills!H10,1)+IF(Skills!H10&gt;0,MIN(Skills!I10,MAX(0,MAX(0,Inputs!$B$43-B2385)-((R2361-1)*(IF(Inputs!$B$38="pvp",15,MAX(0.1,Skills!D10-IF(Skills!E10=TRUE,Inputs!$B$32,0)))*(1-IF(AND(ArtifactsInput!$M$27,Inputs!$B$4="Chapter Hunt"),CHOOSE(ArtifactsInput!$N$27+1,20,24,28,32,36,40),0)/100)))))/Skills!H10,1)))/Inputs!$B$43),G2361*Q2361))*IF(Inputs!$B$38="pvp",1,(1+(Inputs!$B$21+Skills!Q10+(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2">
      <c r="A2362">
        <f>Skills!A11</f>
        <v/>
      </c>
      <c r="B2362">
        <f>Skills!B11</f>
        <v/>
      </c>
      <c r="C2362">
        <f>Inputs!$B$3&gt;=63</f>
        <v/>
      </c>
      <c r="D2362">
        <f>IF(Skills!C11=1,60+Inputs!$B$25+Inputs!$B$29,IF(Skills!C11=2,90+Inputs!$B$26+Inputs!$B$29,IF(Skills!C11=3,120+Inputs!$B$27+Inputs!$B$29,MAX(0,(Inputs!$B$3-100)*3)+Inputs!$B$28+Inputs!$B$29)))</f>
        <v/>
      </c>
      <c r="E2362">
        <f>INDEX(FactorTable!$B$2:$Y$301, MATCH(ROUND(MIN(300,MAX(1,D2362)),0), FactorTable!$A$2:$A$301,0), Skills!M11+1)</f>
        <v/>
      </c>
      <c r="F2362">
        <f>IF(Skills!N11=TRUE,(Skills!L11/10)*(E2362/1000),Skills!L11/10)+Skills!O11</f>
        <v/>
      </c>
      <c r="G2362">
        <f>Skills!G11*IF(Skills!H11&gt;0,Skills!I11/Skills!H11,1)</f>
        <v/>
      </c>
      <c r="H2362">
        <f>1-(1-Skills!J11/100)^Skills!K11</f>
        <v/>
      </c>
      <c r="I2362" t="inlineStr">
        <is>
          <t>1</t>
        </is>
      </c>
      <c r="J2362">
        <f>((Inputs!$B$6*(1+Inputs!$B$7/100))+(((Inputs!$B$12*(1+Inputs!$B$13/100))-(Inputs!$B$12*(1+Inputs!$B$13/100)))+0.25*(Inputs!$B$14-Inputs!$B$14))*(1+Inputs!$B$7/100))*(F2362/100)</f>
        <v/>
      </c>
      <c r="K2362">
        <f>J2362*(1+((Inputs!$B$12*(1+Inputs!$B$13/100))*0.01+Inputs!$B$14*0.0025)/100)*(1+Inputs!$B$15/100)*(1+Inputs!$B$16/100)*(5000/(6000+Inputs!$B$42*(1-(Inputs!$B$19+0)/100)))*(1+(Inputs!$B$24+0+B2384)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2363=TRUE,F2363,0)/100)*(1+(IF(Skills!A11="BLAST",Inputs!$B$17+((C2372=TRUE)*(F2372-Calc!F21))+((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MIN(100,((Inputs!$B$9+0+B2378+(ArtifactsInput!$M$24-ArtifactsInput!$M$24)*CHOOSE(ArtifactsInput!$N$24+1,10,12,14,16,18,20)+IF(ArtifactsInput!$M$10,CHOOSE(ArtifactsInput!$N$10+1,15,18,21,24,27,30)*(IF(Inputs!$B$38="pvp",MIN(15,15)/15,IF(AND(Inputs!$B$38&lt;&gt;"pvp",Inputs!$B$43&gt;0),MIN(15,Inputs!$B$43)/(Inputs!$B$43),0))),0)))-100),0))*CHOOSE(ArtifactsInput!$N$42+1,0.6,0.72,0.84,0.96,1.08,1.2))),Inputs!$B$18+((C2374=TRUE)*(F2374-Calc!F23))+(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gt;=100),CHOOSE(ArtifactsInput!$N$42+1,40,48,56,64,72,80),0))))/100)*((1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2362)</f>
        <v/>
      </c>
      <c r="L2362">
        <f>K2362*(MIN(Inputs!$B$22+((C2373=TRUE)*(F2373-Calc!F22)),(Inputs!$B$23+((C2375=TRUE)*(F2375-Calc!F24))+(IF(ArtifactsInput!$M$15,CHOOSE(ArtifactsInput!$N$15+1,25,30,35,40,45,50)/100*(Inputs!$B$11-Inputs!$B$11),0))))/100+(Inputs!$B$23+((C2375=TRUE)*(F2375-Calc!F24))+(IF(ArtifactsInput!$M$15,CHOOSE(ArtifactsInput!$N$15+1,25,30,35,40,45,50)/100*(Inputs!$B$11-Inputs!$B$11),0)))/100)/2</f>
        <v/>
      </c>
      <c r="M2362">
        <f>L2362*(1+(Inputs!$B$10+0+B2383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2">
        <f>L2362*(1-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2362*(MIN((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2">
        <f>(1-Summary!$B$11)*T2362+Summary!$B$11*V2362</f>
        <v/>
      </c>
      <c r="P2362">
        <f>IF(B2388=0,0,O2362/B2388)</f>
        <v/>
      </c>
      <c r="Q2362">
        <f>IFERROR(1/(IF(Inputs!$B$38="pvp",15,MAX(0.1,Skills!D11-IF(Skills!E11=TRUE,Inputs!$B$32,0)))*(1-IF(AND(ArtifactsInput!$M$27,Inputs!$B$4="Chapter Hunt"),CHOOSE(ArtifactsInput!$N$27+1,20,24,28,32,36,40),0)/100)),0)</f>
        <v/>
      </c>
      <c r="R2362">
        <f>IF(AND(Inputs!$B$38&lt;&gt;"pvp",Inputs!$B$43&gt;0),IF(MAX(0,Inputs!$B$43-B2385)&lt;=0,0,(INT(MAX(0,Inputs!$B$43-B2385)/(IF(Inputs!$B$38="pvp",15,MAX(0.1,Skills!D11-IF(Skills!E11=TRUE,Inputs!$B$32,0)))*(1-IF(AND(ArtifactsInput!$M$27,Inputs!$B$4="Chapter Hunt"),CHOOSE(ArtifactsInput!$N$27+1,20,24,28,32,36,40),0)/100)))+1)),0)</f>
        <v/>
      </c>
      <c r="S2362">
        <f>IFERROR(O2362/N2362,0)</f>
        <v/>
      </c>
      <c r="T2362">
        <f>IF(C2362,(H2362*N2362*IF(AND(Inputs!$B$38&lt;&gt;"pvp",Inputs!$B$43&gt;0),((Skills!G11*((R2362-1)*IF(Skills!H11&gt;0,Skills!I11/Skills!H11,1)+IF(Skills!H11&gt;0,MIN(Skills!I11,MAX(0,MAX(0,Inputs!$B$43-B2385)-((R2362-1)*(IF(Inputs!$B$38="pvp",15,MAX(0.1,Skills!D11-IF(Skills!E11=TRUE,Inputs!$B$32,0)))*(1-IF(AND(ArtifactsInput!$M$27,Inputs!$B$4="Chapter Hunt"),CHOOSE(ArtifactsInput!$N$27+1,20,24,28,32,36,40),0)/100)))))/Skills!H11,1)))/Inputs!$B$43),G2362*Q2362)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2362*(1-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2362*(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2362*(1-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2362*(MIN(100,(Inputs!$B$9+0+B2378+(ArtifactsInput!$M$24-ArtifactsInput!$M$24)*CHOOSE(ArtifactsInput!$N$24+1,10,12,14,16,18,20)+(IF(AND(Inputs!$B$38&lt;&gt;"pvp",Inputs!$B$43=0),1,IF(IF(Inputs!$B$38="pvp",15,Inputs!$B$43)-(B2385)&lt;=0,1,MAX(0,IF(Inputs!$B$38="pvp",15,Inputs!$B$43)-MAX(5,B2385))/(IF(Inputs!$B$38="pvp",15,Inputs!$B$43)-(B2385))))*IF(AND(ArtifactsInput!$M$42,((Inputs!$B$9+0+B2378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62">
        <f>IF(C2362,(H2362*N2362*IF(AND(Inputs!$B$38&lt;&gt;"pvp",Inputs!$B$43&gt;0),((Skills!G11*((R2362-1)*IF(Skills!H11&gt;0,Skills!I11/Skills!H11,1)+IF(Skills!H11&gt;0,MIN(Skills!I11,MAX(0,MAX(0,Inputs!$B$43-B2385)-((R2362-1)*(IF(Inputs!$B$38="pvp",15,MAX(0.1,Skills!D11-IF(Skills!E11=TRUE,Inputs!$B$32,0)))*(1-IF(AND(ArtifactsInput!$M$27,Inputs!$B$4="Chapter Hunt"),CHOOSE(ArtifactsInput!$N$27+1,20,24,28,32,36,40),0)/100)))))/Skills!H11,1)))/Inputs!$B$43),G2362*Q2362))*IF(Inputs!$B$38="pvp",1,(1+(Inputs!$B$21+Skills!Q11+(IF(ArtifactsInput!$M$33,CHOOSE(ArtifactsInput!$N$33+1,30,36,42,48,54,60),0))+(IF(AND(ArtifactsInput!$M$35,Inputs!$B$4&lt;&gt;"Chapter Hunt"),CHOOSE(ArtifactsInput!$N$35+1,15,18,21,24,27,30)*(1-EXP(-(0.2*B2380)*5)),0)+IF(AND(ArtifactsInput!$M$22,Inputs!$B$4&lt;&gt;"Chapter Hunt"),CHOOSE(ArtifactsInput!$N$22+1,10,12,14,16,18,20)*((0*(((0.15*B2380*5))^0/1)+1*(((0.15*B2380*5))^1/1)+2*(((0.15*B2380*5))^2/2)+3*(((0.15*B2380*5))^3/6)+4*(((0.15*B2380*5))^4/24)+5*(((0.15*B2380*5))^5/120))/((((0.15*B2380*5))^0/1)+(((0.15*B2380*5))^1/1)+(((0.15*B2380*5))^2/2)+(((0.15*B2380*5))^3/6)+(((0.15*B2380*5))^4/24)+(((0.15*B2380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3">
      <c r="A2363">
        <f>Skills!A12</f>
        <v/>
      </c>
      <c r="B2363">
        <f>Skills!B12</f>
        <v/>
      </c>
      <c r="C2363">
        <f>Inputs!$B$3&gt;=100</f>
        <v/>
      </c>
      <c r="D2363">
        <f>IF(Skills!C12=1,60+Inputs!$B$25+Inputs!$B$29,IF(Skills!C12=2,90+Inputs!$B$26+Inputs!$B$29,IF(Skills!C12=3,120+Inputs!$B$27+Inputs!$B$29,MAX(0,(Inputs!$B$3-100)*3)+Inputs!$B$28+Inputs!$B$29)))</f>
        <v/>
      </c>
      <c r="E2363">
        <f>INDEX(FactorTable!$B$2:$Y$301, MATCH(ROUND(MIN(300,MAX(1,D2363)),0), FactorTable!$A$2:$A$301,0), Skills!M12+1)</f>
        <v/>
      </c>
      <c r="F2363">
        <f>IF(Skills!N12=TRUE,(Skills!L12/10)*(E2363/1000),Skills!L12/10)+Skills!O12</f>
        <v/>
      </c>
      <c r="G2363" t="inlineStr"/>
      <c r="H2363" t="inlineStr"/>
      <c r="I2363" t="inlineStr">
        <is>
          <t>1</t>
        </is>
      </c>
      <c r="J2363" t="inlineStr"/>
      <c r="K2363" t="inlineStr"/>
      <c r="L2363" t="inlineStr"/>
      <c r="M2363" t="inlineStr"/>
      <c r="N2363" t="inlineStr"/>
      <c r="O2363" t="inlineStr"/>
      <c r="P2363" t="inlineStr"/>
      <c r="Q2363" t="inlineStr"/>
      <c r="R2363" t="inlineStr"/>
      <c r="S2363" t="inlineStr"/>
    </row>
    <row r="2364">
      <c r="A2364">
        <f>Skills!A13</f>
        <v/>
      </c>
      <c r="B2364">
        <f>Skills!B13</f>
        <v/>
      </c>
      <c r="C2364">
        <f>Inputs!$B$3&gt;=45</f>
        <v/>
      </c>
      <c r="D2364">
        <f>IF(Skills!C13=1,60+Inputs!$B$25+Inputs!$B$29,IF(Skills!C13=2,90+Inputs!$B$26+Inputs!$B$29,IF(Skills!C13=3,120+Inputs!$B$27+Inputs!$B$29,MAX(0,(Inputs!$B$3-100)*3)+Inputs!$B$28+Inputs!$B$29)))</f>
        <v/>
      </c>
      <c r="E2364">
        <f>INDEX(FactorTable!$B$2:$Y$301, MATCH(ROUND(MIN(300,MAX(1,D2364)),0), FactorTable!$A$2:$A$301,0), Skills!M13+1)</f>
        <v/>
      </c>
      <c r="F2364">
        <f>IF(Skills!N13=TRUE,(Skills!L13/10)*(E2364/1000),Skills!L13/10)+Skills!O13</f>
        <v/>
      </c>
      <c r="G2364">
        <f>Skills!G13*IF(Skills!H13&gt;0,Skills!I13/Skills!H13,1)</f>
        <v/>
      </c>
      <c r="H2364">
        <f>1-(1-Skills!J13/100)^Skills!K13</f>
        <v/>
      </c>
      <c r="I2364" t="inlineStr">
        <is>
          <t>1</t>
        </is>
      </c>
      <c r="J2364" t="inlineStr"/>
      <c r="K2364" t="inlineStr"/>
      <c r="L2364" t="inlineStr"/>
      <c r="M2364" t="inlineStr"/>
      <c r="N2364" t="inlineStr"/>
      <c r="O2364">
        <f>(1-Summary!$B$11)*T2364+Summary!$B$11*V2364</f>
        <v/>
      </c>
      <c r="P2364">
        <f>IF(B2388=0,0,O2364/B2388)</f>
        <v/>
      </c>
      <c r="Q2364" t="n">
        <v>0</v>
      </c>
      <c r="R2364" t="n">
        <v>0</v>
      </c>
      <c r="S2364">
        <f>IFERROR(O2364/N2364,0)</f>
        <v/>
      </c>
      <c r="T2364" t="n">
        <v>0</v>
      </c>
      <c r="V2364" t="n">
        <v>0</v>
      </c>
    </row>
    <row r="2365">
      <c r="A2365">
        <f>Skills!A14</f>
        <v/>
      </c>
      <c r="B2365">
        <f>Skills!B14</f>
        <v/>
      </c>
      <c r="C2365">
        <f>Inputs!$B$3&gt;=110</f>
        <v/>
      </c>
      <c r="D2365">
        <f>IF(Skills!C14=1,60+Inputs!$B$25+Inputs!$B$29,IF(Skills!C14=2,90+Inputs!$B$26+Inputs!$B$29,IF(Skills!C14=3,120+Inputs!$B$27+Inputs!$B$29,MAX(0,(Inputs!$B$3-100)*3)+Inputs!$B$28+Inputs!$B$29)))</f>
        <v/>
      </c>
      <c r="E2365">
        <f>INDEX(FactorTable!$B$2:$Y$301, MATCH(ROUND(MIN(300,MAX(1,D2365)),0), FactorTable!$A$2:$A$301,0), Skills!M14+1)</f>
        <v/>
      </c>
      <c r="F2365">
        <f>IF(Skills!N14=TRUE,(Skills!L14/10)*(E2365/1000),Skills!L14/10)+Skills!O14</f>
        <v/>
      </c>
      <c r="G2365">
        <f>Skills!G14*IF(Skills!H14&gt;0,Skills!I14/Skills!H14,1)</f>
        <v/>
      </c>
      <c r="H2365">
        <f>1-(1-Skills!J14/100)^Skills!K14</f>
        <v/>
      </c>
      <c r="I2365" t="inlineStr">
        <is>
          <t>1</t>
        </is>
      </c>
      <c r="J2365" t="inlineStr"/>
      <c r="K2365" t="inlineStr"/>
      <c r="L2365" t="inlineStr"/>
      <c r="M2365" t="inlineStr"/>
      <c r="N2365" t="inlineStr"/>
      <c r="O2365">
        <f>(1-Summary!$B$11)*T2365+Summary!$B$11*V2365</f>
        <v/>
      </c>
      <c r="P2365">
        <f>IF(B2388=0,0,O2365/B2388)</f>
        <v/>
      </c>
      <c r="Q2365" t="n">
        <v>0</v>
      </c>
      <c r="R2365" t="n">
        <v>0</v>
      </c>
      <c r="S2365">
        <f>IFERROR(O2365/N2365,0)</f>
        <v/>
      </c>
      <c r="T2365" t="n">
        <v>0</v>
      </c>
      <c r="V2365" t="n">
        <v>0</v>
      </c>
    </row>
    <row r="2366">
      <c r="A2366">
        <f>Skills!A15</f>
        <v/>
      </c>
      <c r="B2366">
        <f>Skills!B15</f>
        <v/>
      </c>
      <c r="C2366">
        <f>Inputs!$B$3&gt;=75</f>
        <v/>
      </c>
      <c r="D2366">
        <f>IF(Skills!C15=1,60+Inputs!$B$25+Inputs!$B$29,IF(Skills!C15=2,90+Inputs!$B$26+Inputs!$B$29,IF(Skills!C15=3,120+Inputs!$B$27+Inputs!$B$29,MAX(0,(Inputs!$B$3-100)*3)+Inputs!$B$28+Inputs!$B$29)))</f>
        <v/>
      </c>
      <c r="E2366">
        <f>INDEX(FactorTable!$B$2:$Y$301, MATCH(ROUND(MIN(300,MAX(1,D2366)),0), FactorTable!$A$2:$A$301,0), Skills!M15+1)</f>
        <v/>
      </c>
      <c r="F2366">
        <f>IF(Skills!N15=TRUE,(Skills!L15/10)*(E2366/1000),Skills!L15/10)+Skills!O15</f>
        <v/>
      </c>
      <c r="G2366">
        <f>Skills!G15*IF(Skills!H15&gt;0,Skills!I15/Skills!H15,1)</f>
        <v/>
      </c>
      <c r="H2366">
        <f>1-(1-Skills!J15/100)^Skills!K15</f>
        <v/>
      </c>
      <c r="I2366" t="inlineStr">
        <is>
          <t>1</t>
        </is>
      </c>
      <c r="J2366" t="inlineStr"/>
      <c r="K2366" t="inlineStr"/>
      <c r="L2366" t="inlineStr"/>
      <c r="M2366" t="inlineStr"/>
      <c r="N2366" t="inlineStr"/>
      <c r="O2366">
        <f>(1-Summary!$B$11)*T2366+Summary!$B$11*V2366</f>
        <v/>
      </c>
      <c r="P2366">
        <f>IF(B2388=0,0,O2366/B2388)</f>
        <v/>
      </c>
      <c r="Q2366">
        <f>IFERROR(1/(IF(Inputs!$B$38="pvp",15,MAX(0.1,Skills!D15-IF(Skills!E15=TRUE,Inputs!$B$32,0)))*(1-IF(AND(ArtifactsInput!$M$27,Inputs!$B$4="Chapter Hunt"),CHOOSE(ArtifactsInput!$N$27+1,20,24,28,32,36,40),0)/100)),0)</f>
        <v/>
      </c>
      <c r="R2366">
        <f>IF(AND(Inputs!$B$38&lt;&gt;"pvp",Inputs!$B$43&gt;0),IF(Inputs!$B$43&lt;=0,0,(INT(Inputs!$B$43/(IF(Inputs!$B$38="pvp",15,MAX(0.1,Skills!D15-IF(Skills!E15=TRUE,Inputs!$B$32,0)))*(1-IF(AND(ArtifactsInput!$M$27,Inputs!$B$4="Chapter Hunt"),CHOOSE(ArtifactsInput!$N$27+1,20,24,28,32,36,40),0)/100)))+1)),0)</f>
        <v/>
      </c>
      <c r="S2366">
        <f>IFERROR(O2366/N2366,0)</f>
        <v/>
      </c>
      <c r="T2366" t="n">
        <v>0</v>
      </c>
      <c r="V2366" t="n">
        <v>0</v>
      </c>
    </row>
    <row r="2367">
      <c r="A2367">
        <f>Skills!A16</f>
        <v/>
      </c>
      <c r="B2367">
        <f>Skills!B16</f>
        <v/>
      </c>
      <c r="C2367">
        <f>Inputs!$B$3&gt;=105</f>
        <v/>
      </c>
      <c r="D2367">
        <f>IF(Skills!C16=1,60+Inputs!$B$25+Inputs!$B$29,IF(Skills!C16=2,90+Inputs!$B$26+Inputs!$B$29,IF(Skills!C16=3,120+Inputs!$B$27+Inputs!$B$29,MAX(0,(Inputs!$B$3-100)*3)+Inputs!$B$28+Inputs!$B$29)))</f>
        <v/>
      </c>
      <c r="E2367">
        <f>INDEX(FactorTable!$B$2:$Y$301, MATCH(ROUND(MIN(300,MAX(1,D2367)),0), FactorTable!$A$2:$A$301,0), Skills!M16+1)</f>
        <v/>
      </c>
      <c r="F2367">
        <f>IF(Skills!N16=TRUE,(Skills!L16/10)*(E2367/1000),Skills!L16/10)+Skills!O16</f>
        <v/>
      </c>
      <c r="G2367">
        <f>Skills!G16*IF(Skills!H16&gt;0,Skills!I16/Skills!H16,1)</f>
        <v/>
      </c>
      <c r="H2367">
        <f>1-(1-Skills!J16/100)^Skills!K16</f>
        <v/>
      </c>
      <c r="I2367" t="inlineStr">
        <is>
          <t>1</t>
        </is>
      </c>
      <c r="J2367" t="inlineStr"/>
      <c r="K2367" t="inlineStr"/>
      <c r="L2367" t="inlineStr"/>
      <c r="M2367" t="inlineStr"/>
      <c r="N2367" t="inlineStr"/>
      <c r="O2367">
        <f>(1-Summary!$B$11)*T2367+Summary!$B$11*V2367</f>
        <v/>
      </c>
      <c r="P2367">
        <f>IF(B2388=0,0,O2367/B2388)</f>
        <v/>
      </c>
      <c r="Q2367">
        <f>IFERROR(1/(IF(Inputs!$B$38="pvp",15,MAX(0.1,Skills!D16-IF(Skills!E16=TRUE,Inputs!$B$32,0)))*(1-IF(AND(ArtifactsInput!$M$27,Inputs!$B$4="Chapter Hunt"),CHOOSE(ArtifactsInput!$N$27+1,20,24,28,32,36,40),0)/100)),0)</f>
        <v/>
      </c>
      <c r="R2367">
        <f>IF(AND(Inputs!$B$38&lt;&gt;"pvp",Inputs!$B$43&gt;0),IF(Inputs!$B$43&lt;=0,0,(INT(Inputs!$B$43/(IF(Inputs!$B$38="pvp",15,MAX(0.1,Skills!D16-IF(Skills!E16=TRUE,Inputs!$B$32,0)))*(1-IF(AND(ArtifactsInput!$M$27,Inputs!$B$4="Chapter Hunt"),CHOOSE(ArtifactsInput!$N$27+1,20,24,28,32,36,40),0)/100)))+1)),0)</f>
        <v/>
      </c>
      <c r="S2367">
        <f>IFERROR(O2367/N2367,0)</f>
        <v/>
      </c>
      <c r="T2367" t="n">
        <v>0</v>
      </c>
      <c r="V2367" t="n">
        <v>0</v>
      </c>
    </row>
    <row r="2368">
      <c r="A2368">
        <f>Skills!A17</f>
        <v/>
      </c>
      <c r="B2368">
        <f>Skills!B17</f>
        <v/>
      </c>
      <c r="C2368">
        <f>Inputs!$B$3&gt;=115</f>
        <v/>
      </c>
      <c r="D2368">
        <f>IF(Skills!C17=1,60+Inputs!$B$25+Inputs!$B$29,IF(Skills!C17=2,90+Inputs!$B$26+Inputs!$B$29,IF(Skills!C17=3,120+Inputs!$B$27+Inputs!$B$29,MAX(0,(Inputs!$B$3-100)*3)+Inputs!$B$28+Inputs!$B$29)))</f>
        <v/>
      </c>
      <c r="E2368">
        <f>INDEX(FactorTable!$B$2:$Y$301, MATCH(ROUND(MIN(300,MAX(1,D2368)),0), FactorTable!$A$2:$A$301,0), Skills!M17+1)</f>
        <v/>
      </c>
      <c r="F2368">
        <f>IF(Skills!N17=TRUE,(Skills!L17/10)*(E2368/1000),Skills!L17/10)+Skills!O17</f>
        <v/>
      </c>
      <c r="G2368">
        <f>Skills!G17*IF(Skills!H17&gt;0,Skills!I17/Skills!H17,1)</f>
        <v/>
      </c>
      <c r="H2368">
        <f>1-(1-Skills!J17/100)^Skills!K17</f>
        <v/>
      </c>
      <c r="I2368" t="inlineStr">
        <is>
          <t>1</t>
        </is>
      </c>
      <c r="J2368" t="inlineStr"/>
      <c r="K2368" t="inlineStr"/>
      <c r="L2368" t="inlineStr"/>
      <c r="M2368" t="inlineStr"/>
      <c r="N2368" t="inlineStr"/>
      <c r="O2368">
        <f>(1-Summary!$B$11)*T2368+Summary!$B$11*V2368</f>
        <v/>
      </c>
      <c r="P2368">
        <f>IF(B2388=0,0,O2368/B2388)</f>
        <v/>
      </c>
      <c r="Q2368">
        <f>IFERROR(1/(IF(Inputs!$B$38="pvp",15,MAX(0.1,Skills!D17-IF(Skills!E17=TRUE,Inputs!$B$32,0)))*(1-IF(AND(ArtifactsInput!$M$27,Inputs!$B$4="Chapter Hunt"),CHOOSE(ArtifactsInput!$N$27+1,20,24,28,32,36,40),0)/100)),0)</f>
        <v/>
      </c>
      <c r="R2368">
        <f>IF(AND(Inputs!$B$38&lt;&gt;"pvp",Inputs!$B$43&gt;0),IF(Inputs!$B$43&lt;=0,0,(INT(Inputs!$B$43/(IF(Inputs!$B$38="pvp",15,MAX(0.1,Skills!D17-IF(Skills!E17=TRUE,Inputs!$B$32,0)))*(1-IF(AND(ArtifactsInput!$M$27,Inputs!$B$4="Chapter Hunt"),CHOOSE(ArtifactsInput!$N$27+1,20,24,28,32,36,40),0)/100)))+1)),0)</f>
        <v/>
      </c>
      <c r="S2368">
        <f>IFERROR(O2368/N2368,0)</f>
        <v/>
      </c>
      <c r="T2368" t="n">
        <v>0</v>
      </c>
      <c r="V2368" t="n">
        <v>0</v>
      </c>
    </row>
    <row r="2369">
      <c r="A2369">
        <f>Skills!A18</f>
        <v/>
      </c>
      <c r="B2369">
        <f>Skills!B18</f>
        <v/>
      </c>
      <c r="C2369">
        <f>Inputs!$B$3&gt;=74</f>
        <v/>
      </c>
      <c r="D2369">
        <f>IF(Skills!C18=1,60+Inputs!$B$25+Inputs!$B$29,IF(Skills!C18=2,90+Inputs!$B$26+Inputs!$B$29,IF(Skills!C18=3,120+Inputs!$B$27+Inputs!$B$29,MAX(0,(Inputs!$B$3-100)*3)+Inputs!$B$28+Inputs!$B$29)))</f>
        <v/>
      </c>
      <c r="E2369">
        <f>INDEX(FactorTable!$B$2:$Y$301, MATCH(ROUND(MIN(300,MAX(1,D2369)),0), FactorTable!$A$2:$A$301,0), Skills!M18+1)</f>
        <v/>
      </c>
      <c r="F2369">
        <f>IF(Skills!N18=TRUE,(Skills!L18/10)*(E2369/1000),Skills!L18/10)+Skills!O18</f>
        <v/>
      </c>
      <c r="G2369">
        <f>Skills!G18*IF(Skills!H18&gt;0,Skills!I18/Skills!H18,1)</f>
        <v/>
      </c>
      <c r="H2369">
        <f>1-(1-Skills!J18/100)^Skills!K18</f>
        <v/>
      </c>
      <c r="I2369" t="inlineStr">
        <is>
          <t>1</t>
        </is>
      </c>
      <c r="J2369" t="inlineStr"/>
      <c r="K2369" t="inlineStr"/>
      <c r="L2369" t="inlineStr"/>
      <c r="M2369" t="inlineStr"/>
      <c r="N2369" t="inlineStr"/>
      <c r="O2369">
        <f>(1-Summary!$B$11)*T2369+Summary!$B$11*V2369</f>
        <v/>
      </c>
      <c r="P2369">
        <f>IF(B2388=0,0,O2369/B2388)</f>
        <v/>
      </c>
      <c r="Q2369">
        <f>IFERROR(1/(IF(Inputs!$B$38="pvp",15,MAX(0.1,Skills!D18-IF(Skills!E18=TRUE,Inputs!$B$32,0)))*(1-IF(AND(ArtifactsInput!$M$27,Inputs!$B$4="Chapter Hunt"),CHOOSE(ArtifactsInput!$N$27+1,20,24,28,32,36,40),0)/100)),0)</f>
        <v/>
      </c>
      <c r="R2369">
        <f>IF(AND(Inputs!$B$38&lt;&gt;"pvp",Inputs!$B$43&gt;0),IF(Inputs!$B$43&lt;=0,0,(INT(Inputs!$B$43/(IF(Inputs!$B$38="pvp",15,MAX(0.1,Skills!D18-IF(Skills!E18=TRUE,Inputs!$B$32,0)))*(1-IF(AND(ArtifactsInput!$M$27,Inputs!$B$4="Chapter Hunt"),CHOOSE(ArtifactsInput!$N$27+1,20,24,28,32,36,40),0)/100)))+1)),0)</f>
        <v/>
      </c>
      <c r="S2369">
        <f>IFERROR(O2369/N2369,0)</f>
        <v/>
      </c>
      <c r="T2369" t="n">
        <v>0</v>
      </c>
      <c r="V2369" t="n">
        <v>0</v>
      </c>
    </row>
    <row r="2370">
      <c r="A2370">
        <f>Skills!A19</f>
        <v/>
      </c>
      <c r="B2370">
        <f>Skills!B19</f>
        <v/>
      </c>
      <c r="C2370">
        <f>TRUE</f>
        <v/>
      </c>
      <c r="D2370">
        <f>IF(Skills!C19=1,60+Inputs!$B$25+Inputs!$B$29,IF(Skills!C19=2,90+Inputs!$B$26+Inputs!$B$29,IF(Skills!C19=3,120+Inputs!$B$27+Inputs!$B$29,MAX(0,(Inputs!$B$3-100)*3)+Inputs!$B$28+Inputs!$B$29)))</f>
        <v/>
      </c>
      <c r="E2370">
        <f>INDEX(FactorTable!$B$2:$Y$301, MATCH(ROUND(MIN(300,MAX(1,D2370)),0), FactorTable!$A$2:$A$301,0), Skills!M19+1)</f>
        <v/>
      </c>
      <c r="F2370">
        <f>IF(Skills!N19=TRUE,(Skills!L19/10)*(E2370/1000),Skills!L19/10)+Skills!O19</f>
        <v/>
      </c>
      <c r="G2370">
        <f>Skills!G19*IF(Skills!H19&gt;0,Skills!I19/Skills!H19,1)</f>
        <v/>
      </c>
      <c r="H2370">
        <f>1-(1-Skills!J19/100)^Skills!K19</f>
        <v/>
      </c>
      <c r="I2370" t="inlineStr">
        <is>
          <t>1</t>
        </is>
      </c>
      <c r="J2370" t="inlineStr"/>
      <c r="K2370" t="inlineStr"/>
      <c r="L2370" t="inlineStr"/>
      <c r="M2370" t="inlineStr"/>
      <c r="N2370" t="inlineStr"/>
      <c r="O2370">
        <f>(1-Summary!$B$11)*T2370+Summary!$B$11*V2370</f>
        <v/>
      </c>
      <c r="P2370">
        <f>IF(B2388=0,0,O2370/B2388)</f>
        <v/>
      </c>
      <c r="Q2370">
        <f>IFERROR(1/(IF(Inputs!$B$38="pvp",15,MAX(0.1,Skills!D19-IF(Skills!E19=TRUE,Inputs!$B$32,0)))*(1-IF(AND(ArtifactsInput!$M$27,Inputs!$B$4="Chapter Hunt"),CHOOSE(ArtifactsInput!$N$27+1,20,24,28,32,36,40),0)/100)),0)</f>
        <v/>
      </c>
      <c r="R2370">
        <f>IF(AND(Inputs!$B$38&lt;&gt;"pvp",Inputs!$B$43&gt;0),IF(Inputs!$B$43&lt;=0,0,(INT(Inputs!$B$43/(IF(Inputs!$B$38="pvp",15,MAX(0.1,Skills!D19-IF(Skills!E19=TRUE,Inputs!$B$32,0)))*(1-IF(AND(ArtifactsInput!$M$27,Inputs!$B$4="Chapter Hunt"),CHOOSE(ArtifactsInput!$N$27+1,20,24,28,32,36,40),0)/100)))+1)),0)</f>
        <v/>
      </c>
      <c r="S2370">
        <f>IFERROR(O2370/N2370,0)</f>
        <v/>
      </c>
      <c r="T2370" t="n">
        <v>0</v>
      </c>
      <c r="V2370" t="n">
        <v>0</v>
      </c>
    </row>
    <row r="2371">
      <c r="A2371">
        <f>Skills!A20</f>
        <v/>
      </c>
      <c r="B2371">
        <f>Skills!B20</f>
        <v/>
      </c>
      <c r="C2371">
        <f>Inputs!$B$3&gt;=33</f>
        <v/>
      </c>
      <c r="D2371">
        <f>IF(Skills!C20=1,60+Inputs!$B$25+Inputs!$B$29,IF(Skills!C20=2,90+Inputs!$B$26+Inputs!$B$29,IF(Skills!C20=3,120+Inputs!$B$27+Inputs!$B$29,MAX(0,(Inputs!$B$3-100)*3)+Inputs!$B$28+Inputs!$B$29)))</f>
        <v/>
      </c>
      <c r="E2371">
        <f>INDEX(FactorTable!$B$2:$Y$301, MATCH(ROUND(MIN(300,MAX(1,D2371)),0), FactorTable!$A$2:$A$301,0), Skills!M20+1)</f>
        <v/>
      </c>
      <c r="F2371">
        <f>IF(Skills!N20=TRUE,(Skills!L20/10)*(E2371/1000),Skills!L20/10)+Skills!O20</f>
        <v/>
      </c>
      <c r="G2371">
        <f>Skills!G20*IF(Skills!H20&gt;0,Skills!I20/Skills!H20,1)</f>
        <v/>
      </c>
      <c r="H2371">
        <f>1-(1-Skills!J20/100)^Skills!K20</f>
        <v/>
      </c>
      <c r="I2371" t="inlineStr">
        <is>
          <t>1</t>
        </is>
      </c>
      <c r="J2371" t="inlineStr"/>
      <c r="K2371" t="inlineStr"/>
      <c r="L2371" t="inlineStr"/>
      <c r="M2371" t="inlineStr"/>
      <c r="N2371" t="inlineStr"/>
      <c r="O2371">
        <f>(1-Summary!$B$11)*T2371+Summary!$B$11*V2371</f>
        <v/>
      </c>
      <c r="P2371">
        <f>IF(B2388=0,0,O2371/B2388)</f>
        <v/>
      </c>
      <c r="Q2371" t="n">
        <v>0</v>
      </c>
      <c r="R2371" t="n">
        <v>0</v>
      </c>
      <c r="S2371">
        <f>IFERROR(O2371/N2371,0)</f>
        <v/>
      </c>
      <c r="T2371" t="n">
        <v>0</v>
      </c>
      <c r="V2371" t="n">
        <v>0</v>
      </c>
    </row>
    <row r="2372">
      <c r="A2372">
        <f>Skills!A21</f>
        <v/>
      </c>
      <c r="B2372">
        <f>Skills!B21</f>
        <v/>
      </c>
      <c r="C2372">
        <f>Inputs!$B$3&gt;=38</f>
        <v/>
      </c>
      <c r="D2372">
        <f>IF(Skills!C21=1,60+Inputs!$B$25+Inputs!$B$29,IF(Skills!C21=2,90+Inputs!$B$26+Inputs!$B$29,IF(Skills!C21=3,120+Inputs!$B$27+Inputs!$B$29,MAX(0,(Inputs!$B$3-100)*3)+Inputs!$B$28+Inputs!$B$29)))</f>
        <v/>
      </c>
      <c r="E2372">
        <f>INDEX(FactorTable!$B$2:$Y$301, MATCH(ROUND(MIN(300,MAX(1,D2372)),0), FactorTable!$A$2:$A$301,0), Skills!M21+1)</f>
        <v/>
      </c>
      <c r="F2372">
        <f>IF(Skills!N21=TRUE,(Skills!L21/10)*(E2372/1000),Skills!L21/10)+Skills!O21</f>
        <v/>
      </c>
      <c r="G2372">
        <f>Skills!G21*IF(Skills!H21&gt;0,Skills!I21/Skills!H21,1)</f>
        <v/>
      </c>
      <c r="H2372">
        <f>1-(1-Skills!J21/100)^Skills!K21</f>
        <v/>
      </c>
      <c r="I2372" t="inlineStr">
        <is>
          <t>1</t>
        </is>
      </c>
      <c r="J2372" t="inlineStr"/>
      <c r="K2372" t="inlineStr"/>
      <c r="L2372" t="inlineStr"/>
      <c r="M2372" t="inlineStr"/>
      <c r="N2372" t="inlineStr"/>
      <c r="O2372">
        <f>(1-Summary!$B$11)*T2372+Summary!$B$11*V2372</f>
        <v/>
      </c>
      <c r="P2372">
        <f>IF(B2388=0,0,O2372/B2388)</f>
        <v/>
      </c>
      <c r="Q2372" t="n">
        <v>0</v>
      </c>
      <c r="R2372" t="n">
        <v>0</v>
      </c>
      <c r="S2372">
        <f>IFERROR(O2372/N2372,0)</f>
        <v/>
      </c>
      <c r="T2372" t="n">
        <v>0</v>
      </c>
      <c r="V2372" t="n">
        <v>0</v>
      </c>
    </row>
    <row r="2373">
      <c r="A2373">
        <f>Skills!A22</f>
        <v/>
      </c>
      <c r="B2373">
        <f>Skills!B22</f>
        <v/>
      </c>
      <c r="C2373">
        <f>Inputs!$B$3&gt;=43</f>
        <v/>
      </c>
      <c r="D2373">
        <f>IF(Skills!C22=1,60+Inputs!$B$25+Inputs!$B$29,IF(Skills!C22=2,90+Inputs!$B$26+Inputs!$B$29,IF(Skills!C22=3,120+Inputs!$B$27+Inputs!$B$29,MAX(0,(Inputs!$B$3-100)*3)+Inputs!$B$28+Inputs!$B$29)))</f>
        <v/>
      </c>
      <c r="E2373">
        <f>INDEX(FactorTable!$B$2:$Y$301, MATCH(ROUND(MIN(300,MAX(1,D2373)),0), FactorTable!$A$2:$A$301,0), Skills!M22+1)</f>
        <v/>
      </c>
      <c r="F2373">
        <f>IF(Skills!N22=TRUE,(Skills!L22/10)*(E2373/1000),Skills!L22/10)+Skills!O22</f>
        <v/>
      </c>
      <c r="G2373">
        <f>Skills!G22*IF(Skills!H22&gt;0,Skills!I22/Skills!H22,1)</f>
        <v/>
      </c>
      <c r="H2373">
        <f>1-(1-Skills!J22/100)^Skills!K22</f>
        <v/>
      </c>
      <c r="I2373" t="inlineStr">
        <is>
          <t>1</t>
        </is>
      </c>
      <c r="J2373" t="inlineStr"/>
      <c r="K2373" t="inlineStr"/>
      <c r="L2373" t="inlineStr"/>
      <c r="M2373" t="inlineStr"/>
      <c r="N2373" t="inlineStr"/>
      <c r="O2373">
        <f>(1-Summary!$B$11)*T2373+Summary!$B$11*V2373</f>
        <v/>
      </c>
      <c r="P2373">
        <f>IF(B2388=0,0,O2373/B2388)</f>
        <v/>
      </c>
      <c r="Q2373" t="n">
        <v>0</v>
      </c>
      <c r="R2373" t="n">
        <v>0</v>
      </c>
      <c r="S2373">
        <f>IFERROR(O2373/N2373,0)</f>
        <v/>
      </c>
      <c r="T2373" t="n">
        <v>0</v>
      </c>
      <c r="V2373" t="n">
        <v>0</v>
      </c>
    </row>
    <row r="2374">
      <c r="A2374">
        <f>Skills!A23</f>
        <v/>
      </c>
      <c r="B2374">
        <f>Skills!B23</f>
        <v/>
      </c>
      <c r="C2374">
        <f>Inputs!$B$3&gt;=120</f>
        <v/>
      </c>
      <c r="D2374">
        <f>IF(Skills!C23=1,60+Inputs!$B$25+Inputs!$B$29,IF(Skills!C23=2,90+Inputs!$B$26+Inputs!$B$29,IF(Skills!C23=3,120+Inputs!$B$27+Inputs!$B$29,MAX(0,(Inputs!$B$3-100)*3)+Inputs!$B$28+Inputs!$B$29)))</f>
        <v/>
      </c>
      <c r="E2374">
        <f>INDEX(FactorTable!$B$2:$Y$301, MATCH(ROUND(MIN(300,MAX(1,D2374)),0), FactorTable!$A$2:$A$301,0), Skills!M23+1)</f>
        <v/>
      </c>
      <c r="F2374">
        <f>IF(Skills!N23=TRUE,(Skills!L23/10)*(E2374/1000),Skills!L23/10)+Skills!O23</f>
        <v/>
      </c>
      <c r="G2374">
        <f>Skills!G23*IF(Skills!H23&gt;0,Skills!I23/Skills!H23,1)</f>
        <v/>
      </c>
      <c r="H2374">
        <f>1-(1-Skills!J23/100)^Skills!K23</f>
        <v/>
      </c>
      <c r="I2374" t="inlineStr">
        <is>
          <t>1</t>
        </is>
      </c>
      <c r="J2374" t="inlineStr"/>
      <c r="K2374" t="inlineStr"/>
      <c r="L2374" t="inlineStr"/>
      <c r="M2374" t="inlineStr"/>
      <c r="N2374" t="inlineStr"/>
      <c r="O2374">
        <f>(1-Summary!$B$11)*T2374+Summary!$B$11*V2374</f>
        <v/>
      </c>
      <c r="P2374">
        <f>IF(B2388=0,0,O2374/B2388)</f>
        <v/>
      </c>
      <c r="Q2374" t="n">
        <v>0</v>
      </c>
      <c r="R2374" t="n">
        <v>0</v>
      </c>
      <c r="S2374">
        <f>IFERROR(O2374/N2374,0)</f>
        <v/>
      </c>
      <c r="T2374" t="n">
        <v>0</v>
      </c>
      <c r="V2374" t="n">
        <v>0</v>
      </c>
    </row>
    <row r="2375">
      <c r="A2375">
        <f>Skills!A24</f>
        <v/>
      </c>
      <c r="B2375">
        <f>Skills!B24</f>
        <v/>
      </c>
      <c r="C2375">
        <f>Inputs!$B$3&gt;=120</f>
        <v/>
      </c>
      <c r="D2375">
        <f>IF(Skills!C24=1,60+Inputs!$B$25+Inputs!$B$29,IF(Skills!C24=2,90+Inputs!$B$26+Inputs!$B$29,IF(Skills!C24=3,120+Inputs!$B$27+Inputs!$B$29,MAX(0,(Inputs!$B$3-100)*3)+Inputs!$B$28+Inputs!$B$29)))</f>
        <v/>
      </c>
      <c r="E2375">
        <f>INDEX(FactorTable!$B$2:$Y$301, MATCH(ROUND(MIN(300,MAX(1,D2375)),0), FactorTable!$A$2:$A$301,0), Skills!M24+1)</f>
        <v/>
      </c>
      <c r="F2375">
        <f>IF(Skills!N24=TRUE,(Skills!L24/10)*(E2375/1000),Skills!L24/10)+Skills!O24</f>
        <v/>
      </c>
      <c r="G2375">
        <f>Skills!G24*IF(Skills!H24&gt;0,Skills!I24/Skills!H24,1)</f>
        <v/>
      </c>
      <c r="H2375">
        <f>1-(1-Skills!J24/100)^Skills!K24</f>
        <v/>
      </c>
      <c r="I2375" t="inlineStr">
        <is>
          <t>1</t>
        </is>
      </c>
      <c r="J2375" t="inlineStr"/>
      <c r="K2375" t="inlineStr"/>
      <c r="L2375" t="inlineStr"/>
      <c r="M2375" t="inlineStr"/>
      <c r="N2375" t="inlineStr"/>
      <c r="O2375">
        <f>(1-Summary!$B$11)*T2375+Summary!$B$11*V2375</f>
        <v/>
      </c>
      <c r="P2375">
        <f>IF(B2388=0,0,O2375/B2388)</f>
        <v/>
      </c>
      <c r="Q2375" t="n">
        <v>0</v>
      </c>
      <c r="R2375" t="n">
        <v>0</v>
      </c>
      <c r="S2375">
        <f>IFERROR(O2375/N2375,0)</f>
        <v/>
      </c>
      <c r="T2375" t="n">
        <v>0</v>
      </c>
      <c r="V2375" t="n">
        <v>0</v>
      </c>
    </row>
    <row r="2377">
      <c r="A2377" t="inlineStr">
        <is>
          <t>Attack% Bucket Multiplier</t>
        </is>
      </c>
      <c r="B2377">
        <f>(1+(((C2364=TRUE)*F2364*MIN(1,Skills!T13*(Skills!J13/100)*B2382))+((C2369=TRUE)*F2369*IF(AND(Inputs!$B$38&lt;&gt;"pvp",Inputs!$B$43&gt;0),(((R2369-1)*(Skills!T18*(1+Inputs!$B$34/100))+MIN((Skills!T18*(1+Inputs!$B$34/100)),MAX(0,Inputs!$B$43-((R2369-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78">
      <c r="A2378" t="inlineStr">
        <is>
          <t>Global Crit Rate Bonus %</t>
        </is>
      </c>
      <c r="B2378" t="n">
        <v>0</v>
      </c>
    </row>
    <row r="2379">
      <c r="A2379" t="inlineStr">
        <is>
          <t>Attack Speed Buff Bonus %</t>
        </is>
      </c>
      <c r="B2379">
        <f>((C2370=TRUE)*F2370*IF(AND(Inputs!$B$38&lt;&gt;"pvp",Inputs!$B$43&gt;0),(((R2370-1)*(Skills!T19*(1+Inputs!$B$34/100))+MIN((Skills!T19*(1+Inputs!$B$34/100)),MAX(0,Inputs!$B$43-((R2370-1)*Skills!D19))))/Inputs!$B$43),IF(Inputs!$B$38="pvp",MIN((Skills!T19*(1+Inputs!$B$34/100)),15)/15,(Skills!T19*(1+Inputs!$B$34/100))/Skills!D19)))</f>
        <v/>
      </c>
    </row>
    <row r="2380">
      <c r="A2380" t="inlineStr">
        <is>
          <t>Actions Per Second</t>
        </is>
      </c>
      <c r="B2380">
        <f>1+MIN(150,150*(1-(1-(Inputs!$B$11+((C2371=TRUE)*(F2371-Calc!F20)))/150)*(1-B2379/150)))/100</f>
        <v/>
      </c>
    </row>
    <row r="2381">
      <c r="A2381" t="inlineStr">
        <is>
          <t>Skill + Buff Cast Rate</t>
        </is>
      </c>
      <c r="B2381">
        <f>IF(AND(Inputs!$B$38&lt;&gt;"pvp",Inputs!$B$43&gt;0),SUMPRODUCT((Skills!E2:E24=TRUE)*(C2353:C2375=TRUE)*R2353:R2375*Skills!F2:F24)/Inputs!$B$43,SUMPRODUCT((Skills!E2:E24=TRUE)*(C2353:C2375=TRUE)*Q2353:Q2375*Skills!F2:F24))</f>
        <v/>
      </c>
    </row>
    <row r="2382">
      <c r="A2382" t="inlineStr">
        <is>
          <t>Blast Casts Per Second</t>
        </is>
      </c>
      <c r="B2382">
        <f>MAX(0,B2380-B2381)</f>
        <v/>
      </c>
    </row>
    <row r="2383">
      <c r="A2383" t="inlineStr">
        <is>
          <t>Global Critical Damage Bonus % (unused)</t>
        </is>
      </c>
      <c r="B2383" t="n">
        <v>0</v>
      </c>
    </row>
    <row r="2384">
      <c r="A2384" t="inlineStr">
        <is>
          <t>Global Final Damage Bonus % (Divine Shield + Guardian + Divine Blessing + Greater Vessel of Light)</t>
        </is>
      </c>
      <c r="B2384">
        <f>((C2366=TRUE)*F2366*IF(AND(Inputs!$B$38&lt;&gt;"pvp",Inputs!$B$43&gt;0),(((R2366-1)*(Skills!T15*(1+Inputs!$B$34/100))+MIN((Skills!T15*(1+Inputs!$B$34/100)),MAX(0,Inputs!$B$43-((R2366-1)*Skills!D15))))/Inputs!$B$43),IF(Inputs!$B$38="pvp",MIN((Skills!T15*(1+Inputs!$B$34/100)),15)/15,(Skills!T15*(1+Inputs!$B$34/100))/Skills!D15)))+((C2367=TRUE)*F2367*IF(AND(Inputs!$B$38&lt;&gt;"pvp",Inputs!$B$43&gt;0),(((R2367-1)*(Skills!T16*(1+Inputs!$B$34/100))+MIN((Skills!T16*(1+Inputs!$B$34/100)),MAX(0,Inputs!$B$43-((R2367-1)*Skills!D16))))/Inputs!$B$43),IF(Inputs!$B$38="pvp",MIN((Skills!T16*(1+Inputs!$B$34/100)),15)/15,(Skills!T16*(1+Inputs!$B$34/100))/Skills!D16)))+((C2368=TRUE)*F2368*IF(AND(Inputs!$B$38&lt;&gt;"pvp",Inputs!$B$43&gt;0),(((R2368-1)*(Skills!T17*(1+Inputs!$B$34/100))+MIN((Skills!T17*(1+Inputs!$B$34/100)),MAX(0,Inputs!$B$43-((R2368-1)*Skills!D17))))/Inputs!$B$43),IF(Inputs!$B$38="pvp",MIN((Skills!T17*(1+Inputs!$B$34/100)),15)/15,(Skills!T17*(1+Inputs!$B$34/100))/Skills!D17)))+((C2365=TRUE)*F2365*MIN(1,Skills!T13*(Skills!J13/100)*B2382))</f>
        <v/>
      </c>
    </row>
    <row r="2385">
      <c r="A2385" t="inlineStr">
        <is>
          <t>Buff-Casting Startup Delay (s, fixed-duration only)</t>
        </is>
      </c>
      <c r="B2385">
        <f>IF(AND(Inputs!$B$38&lt;&gt;"pvp",Inputs!$B$43&gt;0),SUMPRODUCT((Skills!T2:T24&gt;0)*(Skills!E2:E24=TRUE)*(C2353:C2375=TRUE))/B2380,0)</f>
        <v/>
      </c>
    </row>
    <row r="2386">
      <c r="A2386" t="inlineStr">
        <is>
          <t>Boss-Only Total DPS (this block's swept value)</t>
        </is>
      </c>
      <c r="B2386">
        <f>SUM(T2353:T2375)</f>
        <v/>
      </c>
    </row>
    <row r="2387">
      <c r="A2387" t="inlineStr">
        <is>
          <t>Normal-Only Total DPS (this block's swept value)</t>
        </is>
      </c>
      <c r="B2387">
        <f>SUM(V2353:V2375)</f>
        <v/>
      </c>
    </row>
    <row r="2388">
      <c r="A2388" s="6" t="inlineStr">
        <is>
          <t>TOTAL DPS</t>
        </is>
      </c>
      <c r="B2388" s="6">
        <f>SUM(O2353:O2375)</f>
        <v/>
      </c>
    </row>
    <row r="2391">
      <c r="A2391" s="6" t="inlineStr">
        <is>
          <t>Stat: Cursed Doll (Equip)</t>
        </is>
      </c>
    </row>
    <row r="2392">
      <c r="A2392" s="5" t="inlineStr">
        <is>
          <t>Key</t>
        </is>
      </c>
      <c r="B2392" s="5" t="inlineStr">
        <is>
          <t>Name</t>
        </is>
      </c>
      <c r="C2392" s="5" t="inlineStr">
        <is>
          <t>Unlocked</t>
        </is>
      </c>
      <c r="D2392" s="5" t="inlineStr">
        <is>
          <t>InputLevel</t>
        </is>
      </c>
      <c r="E2392" s="5" t="inlineStr">
        <is>
          <t>Factor</t>
        </is>
      </c>
      <c r="F2392" s="5" t="inlineStr">
        <is>
          <t>CoefficientPercent</t>
        </is>
      </c>
      <c r="G2392" s="5" t="inlineStr">
        <is>
          <t>EffectiveHits</t>
        </is>
      </c>
      <c r="H2392" s="5" t="inlineStr">
        <is>
          <t>ProcProbability</t>
        </is>
      </c>
      <c r="I2392" s="5" t="inlineStr">
        <is>
          <t>MapleHeroMultiplier</t>
        </is>
      </c>
      <c r="J2392" s="5" t="inlineStr">
        <is>
          <t>BaseDamage</t>
        </is>
      </c>
      <c r="K2392" s="5" t="inlineStr">
        <is>
          <t>BaseHitDamage</t>
        </is>
      </c>
      <c r="L2392" s="5" t="inlineStr">
        <is>
          <t>NonCritAvg</t>
        </is>
      </c>
      <c r="M2392" s="5" t="inlineStr">
        <is>
          <t>CritAvg</t>
        </is>
      </c>
      <c r="N2392" s="5" t="inlineStr">
        <is>
          <t>ExpectedDamage(perHit)</t>
        </is>
      </c>
      <c r="O2392" s="5" t="inlineStr">
        <is>
          <t>DPS</t>
        </is>
      </c>
      <c r="P2392" s="5" t="inlineStr">
        <is>
          <t>% of Total</t>
        </is>
      </c>
      <c r="Q2392" s="5" t="inlineStr">
        <is>
          <t>InvCooldown</t>
        </is>
      </c>
      <c r="R2392" s="5" t="inlineStr">
        <is>
          <t>CastsInFight</t>
        </is>
      </c>
      <c r="S2392" s="5" t="inlineStr">
        <is>
          <t>HitRate(perSec)</t>
        </is>
      </c>
      <c r="U2392" t="inlineStr">
        <is>
          <t>helpers</t>
        </is>
      </c>
    </row>
    <row r="2393">
      <c r="A2393">
        <f>Skills!A2</f>
        <v/>
      </c>
      <c r="B2393">
        <f>Skills!B2</f>
        <v/>
      </c>
      <c r="C2393">
        <f>Inputs!$B$3&gt;=100</f>
        <v/>
      </c>
      <c r="D2393" t="inlineStr"/>
      <c r="E2393" t="inlineStr"/>
      <c r="F2393">
        <f>U2395+Skills!O2</f>
        <v/>
      </c>
      <c r="G2393">
        <f>Skills!G2*IF(Skills!H2&gt;0,Skills!I2/Skills!H2,1)</f>
        <v/>
      </c>
      <c r="H2393">
        <f>1-(1-Skills!J2/100)^Skills!K2</f>
        <v/>
      </c>
      <c r="I2393" t="inlineStr">
        <is>
          <t>1</t>
        </is>
      </c>
      <c r="J2393">
        <f>((Inputs!$B$6*(1+Inputs!$B$7/100))+(((Inputs!$B$12*(1+Inputs!$B$13/100))-(Inputs!$B$12*(1+Inputs!$B$13/100)))+0.25*(Inputs!$B$14-Inputs!$B$14))*(1+Inputs!$B$7/100))*(F2393/100)</f>
        <v/>
      </c>
      <c r="K2393">
        <f>J2393*(1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2393)</f>
        <v/>
      </c>
      <c r="L2393">
        <f>K2393*(MIN(Inputs!$B$22+((C2413=TRUE)*(F2413-Calc!F22)),(Inputs!$B$23+((C2415=TRUE)*(F2415-Calc!F24))+(IF(ArtifactsInput!$M$15,CHOOSE(ArtifactsInput!$N$15+1,25,30,35,40,45,50)/100*(Inputs!$B$11-Inputs!$B$11),0))))/100+(Inputs!$B$23+((C2415=TRUE)*(F2415-Calc!F24))+(IF(ArtifactsInput!$M$15,CHOOSE(ArtifactsInput!$N$15+1,25,30,35,40,45,50)/100*(Inputs!$B$11-Inputs!$B$11),0)))/100)/2</f>
        <v/>
      </c>
      <c r="M2393">
        <f>L2393*(1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3">
        <f>L2393*(1-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2393*(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3">
        <f>(1-Summary!$B$11)*T2393+Summary!$B$11*V2393</f>
        <v/>
      </c>
      <c r="P2393">
        <f>IF(B2428=0,0,O2393/B2428)</f>
        <v/>
      </c>
      <c r="Q2393" t="n">
        <v>0</v>
      </c>
      <c r="R2393" t="n">
        <v>0</v>
      </c>
      <c r="S2393">
        <f>IFERROR(O2393/N2393,0)</f>
        <v/>
      </c>
      <c r="T2393">
        <f>IF(C2393,(Skills!G2*N2393*B2422)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2393*(1-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2393*(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2393*(1-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2393*(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93">
        <f>MAX(0,(Inputs!$B$3-100)*3)+Inputs!$B$28+Inputs!$B$29</f>
        <v/>
      </c>
      <c r="V2393">
        <f>IF(C2393,(Skills!G2*N2393*B2422)*IF(Inputs!$B$38="pvp",1,(1+(Inputs!$B$21+Skills!Q2+(IF(ArtifactsInput!$M$33,CHOOSE(ArtifactsInput!$N$33+1,30,36,42,48,54,60),0))+(IF(AND(ArtifactsInput!$M$35,Inputs!$B$4&lt;&gt;"Chapter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4">
      <c r="A2394">
        <f>Skills!A3</f>
        <v/>
      </c>
      <c r="B2394">
        <f>Skills!B3</f>
        <v/>
      </c>
      <c r="C2394">
        <f>Inputs!$B$3&gt;=50</f>
        <v/>
      </c>
      <c r="D2394">
        <f>IF(Skills!C3=1,60+Inputs!$B$25+Inputs!$B$29,IF(Skills!C3=2,90+Inputs!$B$26+Inputs!$B$29,IF(Skills!C3=3,120+Inputs!$B$27+Inputs!$B$29,MAX(0,(Inputs!$B$3-100)*3)+Inputs!$B$28+Inputs!$B$29)))</f>
        <v/>
      </c>
      <c r="E2394">
        <f>INDEX(FactorTable!$B$2:$Y$301, MATCH(ROUND(MIN(300,MAX(1,D2394)),0), FactorTable!$A$2:$A$301,0), Skills!M3+1)</f>
        <v/>
      </c>
      <c r="F2394">
        <f>IF(Skills!N3=TRUE,(Skills!L3/10)*(E2394/1000),Skills!L3/10)+Skills!O3</f>
        <v/>
      </c>
      <c r="G2394" t="inlineStr"/>
      <c r="H2394" t="inlineStr"/>
      <c r="I2394" t="inlineStr">
        <is>
          <t>1</t>
        </is>
      </c>
      <c r="J2394" t="inlineStr"/>
      <c r="K2394" t="inlineStr"/>
      <c r="L2394" t="inlineStr"/>
      <c r="M2394" t="inlineStr"/>
      <c r="N2394" t="inlineStr"/>
      <c r="O2394" t="inlineStr"/>
      <c r="P2394" t="inlineStr"/>
      <c r="Q2394" t="inlineStr"/>
      <c r="R2394" t="inlineStr"/>
      <c r="S2394" t="inlineStr"/>
      <c r="U2394">
        <f>INDEX(FactorTable!$B$2:$Y$301, MATCH(ROUND(MIN(300,MAX(1,U2393)),0), FactorTable!$A$2:$A$301,0), 22)</f>
        <v/>
      </c>
    </row>
    <row r="2395">
      <c r="A2395">
        <f>Skills!A4</f>
        <v/>
      </c>
      <c r="B2395">
        <f>Skills!B4</f>
        <v/>
      </c>
      <c r="C2395">
        <f>Inputs!$B$3&gt;=35</f>
        <v/>
      </c>
      <c r="D2395">
        <f>IF(Skills!C4=1,60+Inputs!$B$25+Inputs!$B$29,IF(Skills!C4=2,90+Inputs!$B$26+Inputs!$B$29,IF(Skills!C4=3,120+Inputs!$B$27+Inputs!$B$29,MAX(0,(Inputs!$B$3-100)*3)+Inputs!$B$28+Inputs!$B$29)))</f>
        <v/>
      </c>
      <c r="E2395">
        <f>INDEX(FactorTable!$B$2:$Y$301, MATCH(ROUND(MIN(300,MAX(1,D2395)),0), FactorTable!$A$2:$A$301,0), Skills!M4+1)</f>
        <v/>
      </c>
      <c r="F2395">
        <f>IF(Skills!N4=TRUE,(Skills!L4/10)*(E2395/1000),Skills!L4/10)+Skills!O4</f>
        <v/>
      </c>
      <c r="G2395">
        <f>Skills!G4*IF(Skills!H4&gt;0,Skills!I4/Skills!H4,1)</f>
        <v/>
      </c>
      <c r="H2395">
        <f>1-(1-Skills!J4/100)^Skills!K4</f>
        <v/>
      </c>
      <c r="I2395" t="inlineStr">
        <is>
          <t>1</t>
        </is>
      </c>
      <c r="J2395">
        <f>((Inputs!$B$6*(1+Inputs!$B$7/100))+(((Inputs!$B$12*(1+Inputs!$B$13/100))-(Inputs!$B$12*(1+Inputs!$B$13/100)))+0.25*(Inputs!$B$14-Inputs!$B$14))*(1+Inputs!$B$7/100))*(F2395/100)</f>
        <v/>
      </c>
      <c r="K2395">
        <f>J2395*(1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2403=TRUE,F2403,0)/100)*(1+(IF(Skills!A4="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2395)</f>
        <v/>
      </c>
      <c r="L2395">
        <f>K2395*(MIN(Inputs!$B$22+((C2413=TRUE)*(F2413-Calc!F22)),(Inputs!$B$23+((C2415=TRUE)*(F2415-Calc!F24))+(IF(ArtifactsInput!$M$15,CHOOSE(ArtifactsInput!$N$15+1,25,30,35,40,45,50)/100*(Inputs!$B$11-Inputs!$B$11),0))))/100+(Inputs!$B$23+((C2415=TRUE)*(F2415-Calc!F24))+(IF(ArtifactsInput!$M$15,CHOOSE(ArtifactsInput!$N$15+1,25,30,35,40,45,50)/100*(Inputs!$B$11-Inputs!$B$11),0)))/100)/2</f>
        <v/>
      </c>
      <c r="M2395">
        <f>L2395*(1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5">
        <f>L2395*(1-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2395*(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5">
        <f>(1-Summary!$B$11)*T2395+Summary!$B$11*V2395</f>
        <v/>
      </c>
      <c r="P2395">
        <f>IF(B2428=0,0,O2395/B2428)</f>
        <v/>
      </c>
      <c r="Q2395">
        <f>IFERROR(1/(IF(Inputs!$B$38="pvp",15,MAX(0.1,Skills!D4-IF(Skills!E4=TRUE,Inputs!$B$32,0)))*(1-IF(AND(ArtifactsInput!$M$27,Inputs!$B$4="Chapter Hunt"),CHOOSE(ArtifactsInput!$N$27+1,20,24,28,32,36,40),0)/100)),0)</f>
        <v/>
      </c>
      <c r="R2395">
        <f>IF(AND(Inputs!$B$38&lt;&gt;"pvp",Inputs!$B$43&gt;0),IF(MAX(0,Inputs!$B$43-B2425)&lt;=0,0,(INT(MAX(0,Inputs!$B$43-B2425)/(IF(Inputs!$B$38="pvp",15,MAX(0.1,Skills!D4-IF(Skills!E4=TRUE,Inputs!$B$32,0)))*(1-IF(AND(ArtifactsInput!$M$27,Inputs!$B$4="Chapter Hunt"),CHOOSE(ArtifactsInput!$N$27+1,20,24,28,32,36,40),0)/100)))+1)),0)</f>
        <v/>
      </c>
      <c r="S2395">
        <f>IFERROR(O2395/N2395,0)</f>
        <v/>
      </c>
      <c r="T2395">
        <f>IF(C2395,(H2395*N2395*IF(AND(Inputs!$B$38&lt;&gt;"pvp",Inputs!$B$43&gt;0),((Skills!G4*((R2395-1)*IF(Skills!H4&gt;0,Skills!I4/Skills!H4,1)+IF(Skills!H4&gt;0,MIN(Skills!I4,MAX(0,MAX(0,Inputs!$B$43-B2425)-((R2395-1)*(IF(Inputs!$B$38="pvp",15,MAX(0.1,Skills!D4-IF(Skills!E4=TRUE,Inputs!$B$32,0)))*(1-IF(AND(ArtifactsInput!$M$27,Inputs!$B$4="Chapter Hunt"),CHOOSE(ArtifactsInput!$N$27+1,20,24,28,32,36,40),0)/100)))))/Skills!H4,1)))/Inputs!$B$43),G2395*Q2395)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2395*(1-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2395*(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2395*(1-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2395*(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95">
        <f>290*U2394/1000</f>
        <v/>
      </c>
      <c r="V2395">
        <f>IF(C2395,(H2395*N2395*IF(AND(Inputs!$B$38&lt;&gt;"pvp",Inputs!$B$43&gt;0),((Skills!G4*((R2395-1)*IF(Skills!H4&gt;0,Skills!I4/Skills!H4,1)+IF(Skills!H4&gt;0,MIN(Skills!I4,MAX(0,MAX(0,Inputs!$B$43-B2425)-((R2395-1)*(IF(Inputs!$B$38="pvp",15,MAX(0.1,Skills!D4-IF(Skills!E4=TRUE,Inputs!$B$32,0)))*(1-IF(AND(ArtifactsInput!$M$27,Inputs!$B$4="Chapter Hunt"),CHOOSE(ArtifactsInput!$N$27+1,20,24,28,32,36,40),0)/100)))))/Skills!H4,1)))/Inputs!$B$43),G2395*Q2395))*IF(Inputs!$B$38="pvp",1,(1+(Inputs!$B$21+Skills!Q4+(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6">
      <c r="A2396">
        <f>Skills!A5</f>
        <v/>
      </c>
      <c r="B2396">
        <f>Skills!B5</f>
        <v/>
      </c>
      <c r="C2396">
        <f>Inputs!$B$3&gt;=66</f>
        <v/>
      </c>
      <c r="D2396">
        <f>IF(Skills!C5=1,60+Inputs!$B$25+Inputs!$B$29,IF(Skills!C5=2,90+Inputs!$B$26+Inputs!$B$29,IF(Skills!C5=3,120+Inputs!$B$27+Inputs!$B$29,MAX(0,(Inputs!$B$3-100)*3)+Inputs!$B$28+Inputs!$B$29)))</f>
        <v/>
      </c>
      <c r="E2396">
        <f>INDEX(FactorTable!$B$2:$Y$301, MATCH(ROUND(MIN(300,MAX(1,D2396)),0), FactorTable!$A$2:$A$301,0), Skills!M5+1)</f>
        <v/>
      </c>
      <c r="F2396">
        <f>IF(Skills!N5=TRUE,(Skills!L5/10)*(E2396/1000),Skills!L5/10)+Skills!O5</f>
        <v/>
      </c>
      <c r="G2396">
        <f>Skills!G5*IF(Skills!H5&gt;0,Skills!I5/Skills!H5,1)</f>
        <v/>
      </c>
      <c r="H2396">
        <f>1-(1-Skills!J5/100)^Skills!K5</f>
        <v/>
      </c>
      <c r="I2396" t="inlineStr">
        <is>
          <t>1</t>
        </is>
      </c>
      <c r="J2396">
        <f>((Inputs!$B$6*(1+Inputs!$B$7/100))+(((Inputs!$B$12*(1+Inputs!$B$13/100))-(Inputs!$B$12*(1+Inputs!$B$13/100)))+0.25*(Inputs!$B$14-Inputs!$B$14))*(1+Inputs!$B$7/100))*(F2396/100)</f>
        <v/>
      </c>
      <c r="K2396">
        <f>J2396*(1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2403=TRUE,F2403,0)/100)*(1+(IF(Skills!A5="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2396)</f>
        <v/>
      </c>
      <c r="L2396">
        <f>K2396*(MIN(Inputs!$B$22+((C2413=TRUE)*(F2413-Calc!F22)),(Inputs!$B$23+((C2415=TRUE)*(F2415-Calc!F24))+(IF(ArtifactsInput!$M$15,CHOOSE(ArtifactsInput!$N$15+1,25,30,35,40,45,50)/100*(Inputs!$B$11-Inputs!$B$11),0))))/100+(Inputs!$B$23+((C2415=TRUE)*(F2415-Calc!F24))+(IF(ArtifactsInput!$M$15,CHOOSE(ArtifactsInput!$N$15+1,25,30,35,40,45,50)/100*(Inputs!$B$11-Inputs!$B$11),0)))/100)/2</f>
        <v/>
      </c>
      <c r="M2396">
        <f>L2396*(1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6">
        <f>L2396*(1-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2396*(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6">
        <f>(1-Summary!$B$11)*T2396+Summary!$B$11*V2396</f>
        <v/>
      </c>
      <c r="P2396">
        <f>IF(B2428=0,0,O2396/B2428)</f>
        <v/>
      </c>
      <c r="Q2396">
        <f>IFERROR(1/(IF(Inputs!$B$38="pvp",15,MAX(0.1,Skills!D5-IF(Skills!E5=TRUE,Inputs!$B$32,0)))*(1-IF(AND(ArtifactsInput!$M$27,Inputs!$B$4="Chapter Hunt"),CHOOSE(ArtifactsInput!$N$27+1,20,24,28,32,36,40),0)/100)),0)</f>
        <v/>
      </c>
      <c r="R2396">
        <f>IF(AND(Inputs!$B$38&lt;&gt;"pvp",Inputs!$B$43&gt;0),IF(MAX(0,Inputs!$B$43-B2425)&lt;=0,0,(INT(MAX(0,Inputs!$B$43-B2425)/(IF(Inputs!$B$38="pvp",15,MAX(0.1,Skills!D5-IF(Skills!E5=TRUE,Inputs!$B$32,0)))*(1-IF(AND(ArtifactsInput!$M$27,Inputs!$B$4="Chapter Hunt"),CHOOSE(ArtifactsInput!$N$27+1,20,24,28,32,36,40),0)/100)))+1)),0)</f>
        <v/>
      </c>
      <c r="S2396">
        <f>IFERROR(O2396/N2396,0)</f>
        <v/>
      </c>
      <c r="T2396">
        <f>IF(C2396,(H2396*N2396*IF(AND(Inputs!$B$38&lt;&gt;"pvp",Inputs!$B$43&gt;0),((Skills!G5*((R2396-1)*IF(Skills!H5&gt;0,Skills!I5/Skills!H5,1)+IF(Skills!H5&gt;0,MIN(Skills!I5,MAX(0,MAX(0,Inputs!$B$43-B2425)-((R2396-1)*(IF(Inputs!$B$38="pvp",15,MAX(0.1,Skills!D5-IF(Skills!E5=TRUE,Inputs!$B$32,0)))*(1-IF(AND(ArtifactsInput!$M$27,Inputs!$B$4="Chapter Hunt"),CHOOSE(ArtifactsInput!$N$27+1,20,24,28,32,36,40),0)/100)))))/Skills!H5,1)))/Inputs!$B$43),G2396*Q2396)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2396*(1-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2396*(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2396*(1-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2396*(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6">
        <f>IF(C2396,(H2396*N2396*IF(AND(Inputs!$B$38&lt;&gt;"pvp",Inputs!$B$43&gt;0),((Skills!G5*((R2396-1)*IF(Skills!H5&gt;0,Skills!I5/Skills!H5,1)+IF(Skills!H5&gt;0,MIN(Skills!I5,MAX(0,MAX(0,Inputs!$B$43-B2425)-((R2396-1)*(IF(Inputs!$B$38="pvp",15,MAX(0.1,Skills!D5-IF(Skills!E5=TRUE,Inputs!$B$32,0)))*(1-IF(AND(ArtifactsInput!$M$27,Inputs!$B$4="Chapter Hunt"),CHOOSE(ArtifactsInput!$N$27+1,20,24,28,32,36,40),0)/100)))))/Skills!H5,1)))/Inputs!$B$43),G2396*Q2396))*IF(Inputs!$B$38="pvp",1,(1+(Inputs!$B$21+Skills!Q5+(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7">
      <c r="A2397">
        <f>Skills!A6</f>
        <v/>
      </c>
      <c r="B2397">
        <f>Skills!B6</f>
        <v/>
      </c>
      <c r="C2397">
        <f>Inputs!$B$3&gt;=103</f>
        <v/>
      </c>
      <c r="D2397">
        <f>IF(Skills!C6=1,60+Inputs!$B$25+Inputs!$B$29,IF(Skills!C6=2,90+Inputs!$B$26+Inputs!$B$29,IF(Skills!C6=3,120+Inputs!$B$27+Inputs!$B$29,MAX(0,(Inputs!$B$3-100)*3)+Inputs!$B$28+Inputs!$B$29)))</f>
        <v/>
      </c>
      <c r="E2397">
        <f>INDEX(FactorTable!$B$2:$Y$301, MATCH(ROUND(MIN(300,MAX(1,D2397)),0), FactorTable!$A$2:$A$301,0), Skills!M6+1)</f>
        <v/>
      </c>
      <c r="F2397">
        <f>IF(Skills!N6=TRUE,(Skills!L6/10)*(E2397/1000),Skills!L6/10)+Skills!O6</f>
        <v/>
      </c>
      <c r="G2397">
        <f>Skills!G6*IF(Skills!H6&gt;0,Skills!I6/Skills!H6,1)</f>
        <v/>
      </c>
      <c r="H2397">
        <f>1-(1-Skills!J6/100)^Skills!K6</f>
        <v/>
      </c>
      <c r="I2397" t="inlineStr">
        <is>
          <t>1</t>
        </is>
      </c>
      <c r="J2397">
        <f>((Inputs!$B$6*(1+Inputs!$B$7/100))+(((Inputs!$B$12*(1+Inputs!$B$13/100))-(Inputs!$B$12*(1+Inputs!$B$13/100)))+0.25*(Inputs!$B$14-Inputs!$B$14))*(1+Inputs!$B$7/100))*(F2397/100)</f>
        <v/>
      </c>
      <c r="K2397">
        <f>J2397*(1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2397)</f>
        <v/>
      </c>
      <c r="L2397">
        <f>K2397*(MIN(Inputs!$B$22+((C2413=TRUE)*(F2413-Calc!F22)),(Inputs!$B$23+((C2415=TRUE)*(F2415-Calc!F24))+(IF(ArtifactsInput!$M$15,CHOOSE(ArtifactsInput!$N$15+1,25,30,35,40,45,50)/100*(Inputs!$B$11-Inputs!$B$11),0))))/100+(Inputs!$B$23+((C2415=TRUE)*(F2415-Calc!F24))+(IF(ArtifactsInput!$M$15,CHOOSE(ArtifactsInput!$N$15+1,25,30,35,40,45,50)/100*(Inputs!$B$11-Inputs!$B$11),0)))/100)/2</f>
        <v/>
      </c>
      <c r="M2397">
        <f>L2397*(1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7">
        <f>L2397*(1-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2397*(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7">
        <f>(1-Summary!$B$11)*T2397+Summary!$B$11*V2397</f>
        <v/>
      </c>
      <c r="P2397">
        <f>IF(B2428=0,0,O2397/B2428)</f>
        <v/>
      </c>
      <c r="Q2397">
        <f>IFERROR(1/(IF(Inputs!$B$38="pvp",15,MAX(0.1,Skills!D6-IF(Skills!E6=TRUE,Inputs!$B$32,0)))*(1-IF(AND(ArtifactsInput!$M$27,Inputs!$B$4="Chapter Hunt"),CHOOSE(ArtifactsInput!$N$27+1,20,24,28,32,36,40),0)/100)),0)</f>
        <v/>
      </c>
      <c r="R2397">
        <f>IF(AND(Inputs!$B$38&lt;&gt;"pvp",Inputs!$B$43&gt;0),IF(MAX(0,Inputs!$B$43-B2425)&lt;=0,0,(INT(MAX(0,Inputs!$B$43-B2425)/(IF(Inputs!$B$38="pvp",15,MAX(0.1,Skills!D6-IF(Skills!E6=TRUE,Inputs!$B$32,0)))*(1-IF(AND(ArtifactsInput!$M$27,Inputs!$B$4="Chapter Hunt"),CHOOSE(ArtifactsInput!$N$27+1,20,24,28,32,36,40),0)/100)))+1)),0)</f>
        <v/>
      </c>
      <c r="S2397">
        <f>IFERROR(O2397/N2397,0)</f>
        <v/>
      </c>
      <c r="T2397">
        <f>IF(C2397,(H2397*N2397*IF(AND(Inputs!$B$38&lt;&gt;"pvp",Inputs!$B$43&gt;0),((Skills!G6*((R2397-1)*IF(Skills!H6&gt;0,Skills!I6/Skills!H6,1)+IF(Skills!H6&gt;0,MIN(Skills!I6,MAX(0,MAX(0,Inputs!$B$43-B2425)-((R2397-1)*(IF(Inputs!$B$38="pvp",15,MAX(0.1,Skills!D6-IF(Skills!E6=TRUE,Inputs!$B$32,0)))*(1-IF(AND(ArtifactsInput!$M$27,Inputs!$B$4="Chapter Hunt"),CHOOSE(ArtifactsInput!$N$27+1,20,24,28,32,36,40),0)/100)))))/Skills!H6,1)))/Inputs!$B$43),G2397*Q2397)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2397*(1-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2397*(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2397*(1-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2397*(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7">
        <f>IF(C2397,(H2397*N2397*IF(AND(Inputs!$B$38&lt;&gt;"pvp",Inputs!$B$43&gt;0),((Skills!G6*((R2397-1)*IF(Skills!H6&gt;0,Skills!I6/Skills!H6,1)+IF(Skills!H6&gt;0,MIN(Skills!I6,MAX(0,MAX(0,Inputs!$B$43-B2425)-((R2397-1)*(IF(Inputs!$B$38="pvp",15,MAX(0.1,Skills!D6-IF(Skills!E6=TRUE,Inputs!$B$32,0)))*(1-IF(AND(ArtifactsInput!$M$27,Inputs!$B$4="Chapter Hunt"),CHOOSE(ArtifactsInput!$N$27+1,20,24,28,32,36,40),0)/100)))))/Skills!H6,1)))/Inputs!$B$43),G2397*Q2397))*IF(Inputs!$B$38="pvp",1,(1+(Inputs!$B$21+Skills!Q6+(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8">
      <c r="A2398">
        <f>Skills!A7</f>
        <v/>
      </c>
      <c r="B2398">
        <f>Skills!B7</f>
        <v/>
      </c>
      <c r="C2398">
        <f>Inputs!$B$3&gt;=107</f>
        <v/>
      </c>
      <c r="D2398">
        <f>IF(Skills!C7=1,60+Inputs!$B$25+Inputs!$B$29,IF(Skills!C7=2,90+Inputs!$B$26+Inputs!$B$29,IF(Skills!C7=3,120+Inputs!$B$27+Inputs!$B$29,MAX(0,(Inputs!$B$3-100)*3)+Inputs!$B$28+Inputs!$B$29)))</f>
        <v/>
      </c>
      <c r="E2398">
        <f>INDEX(FactorTable!$B$2:$Y$301, MATCH(ROUND(MIN(300,MAX(1,D2398)),0), FactorTable!$A$2:$A$301,0), Skills!M7+1)</f>
        <v/>
      </c>
      <c r="F2398">
        <f>IF(Skills!N7=TRUE,(Skills!L7/10)*(E2398/1000),Skills!L7/10)+Skills!O7</f>
        <v/>
      </c>
      <c r="G2398">
        <f>Skills!G7*IF(Skills!H7&gt;0,Skills!I7/Skills!H7,1)</f>
        <v/>
      </c>
      <c r="H2398">
        <f>1-(1-Skills!J7/100)^Skills!K7</f>
        <v/>
      </c>
      <c r="I2398" t="inlineStr">
        <is>
          <t>1</t>
        </is>
      </c>
      <c r="J2398">
        <f>((Inputs!$B$6*(1+Inputs!$B$7/100))+(((Inputs!$B$12*(1+Inputs!$B$13/100))-(Inputs!$B$12*(1+Inputs!$B$13/100)))+0.25*(Inputs!$B$14-Inputs!$B$14))*(1+Inputs!$B$7/100))*(F2398/100)</f>
        <v/>
      </c>
      <c r="K2398">
        <f>J2398*(1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2398)</f>
        <v/>
      </c>
      <c r="L2398">
        <f>K2398*(MIN(Inputs!$B$22+((C2413=TRUE)*(F2413-Calc!F22)),(Inputs!$B$23+((C2415=TRUE)*(F2415-Calc!F24))+(IF(ArtifactsInput!$M$15,CHOOSE(ArtifactsInput!$N$15+1,25,30,35,40,45,50)/100*(Inputs!$B$11-Inputs!$B$11),0))))/100+(Inputs!$B$23+((C2415=TRUE)*(F2415-Calc!F24))+(IF(ArtifactsInput!$M$15,CHOOSE(ArtifactsInput!$N$15+1,25,30,35,40,45,50)/100*(Inputs!$B$11-Inputs!$B$11),0)))/100)/2</f>
        <v/>
      </c>
      <c r="M2398">
        <f>L2398*(1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8">
        <f>L2398*(1-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2398*(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8">
        <f>(1-Summary!$B$11)*T2398+Summary!$B$11*V2398</f>
        <v/>
      </c>
      <c r="P2398">
        <f>IF(B2428=0,0,O2398/B2428)</f>
        <v/>
      </c>
      <c r="Q2398">
        <f>IFERROR(1/(IF(Inputs!$B$38="pvp",15,MAX(0.1,Skills!D7-IF(Skills!E7=TRUE,Inputs!$B$32,0)))*(1-IF(AND(ArtifactsInput!$M$27,Inputs!$B$4="Chapter Hunt"),CHOOSE(ArtifactsInput!$N$27+1,20,24,28,32,36,40),0)/100)),0)</f>
        <v/>
      </c>
      <c r="R2398">
        <f>IF(AND(Inputs!$B$38&lt;&gt;"pvp",Inputs!$B$43&gt;0),IF(MAX(0,Inputs!$B$43-B2425)&lt;=0,0,(INT(MAX(0,Inputs!$B$43-B2425)/(IF(Inputs!$B$38="pvp",15,MAX(0.1,Skills!D7-IF(Skills!E7=TRUE,Inputs!$B$32,0)))*(1-IF(AND(ArtifactsInput!$M$27,Inputs!$B$4="Chapter Hunt"),CHOOSE(ArtifactsInput!$N$27+1,20,24,28,32,36,40),0)/100)))+1)),0)</f>
        <v/>
      </c>
      <c r="S2398">
        <f>IFERROR(O2398/N2398,0)</f>
        <v/>
      </c>
      <c r="T2398">
        <f>IF(C2398,(H2398*N2398*IF(AND(Inputs!$B$38&lt;&gt;"pvp",Inputs!$B$43&gt;0),((Skills!G7*((R2398-1)*IF(Skills!H7&gt;0,Skills!I7/Skills!H7,1)+IF(Skills!H7&gt;0,MIN(Skills!I7,MAX(0,MAX(0,Inputs!$B$43-B2425)-((R2398-1)*(IF(Inputs!$B$38="pvp",15,MAX(0.1,Skills!D7-IF(Skills!E7=TRUE,Inputs!$B$32,0)))*(1-IF(AND(ArtifactsInput!$M$27,Inputs!$B$4="Chapter Hunt"),CHOOSE(ArtifactsInput!$N$27+1,20,24,28,32,36,40),0)/100)))))/Skills!H7,1)))/Inputs!$B$43),G2398*Q2398)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2398*(1-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2398*(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2398*(1-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2398*(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8">
        <f>IF(C2398,(H2398*N2398*IF(AND(Inputs!$B$38&lt;&gt;"pvp",Inputs!$B$43&gt;0),((Skills!G7*((R2398-1)*IF(Skills!H7&gt;0,Skills!I7/Skills!H7,1)+IF(Skills!H7&gt;0,MIN(Skills!I7,MAX(0,MAX(0,Inputs!$B$43-B2425)-((R2398-1)*(IF(Inputs!$B$38="pvp",15,MAX(0.1,Skills!D7-IF(Skills!E7=TRUE,Inputs!$B$32,0)))*(1-IF(AND(ArtifactsInput!$M$27,Inputs!$B$4="Chapter Hunt"),CHOOSE(ArtifactsInput!$N$27+1,20,24,28,32,36,40),0)/100)))))/Skills!H7,1)))/Inputs!$B$43),G2398*Q2398))*IF(Inputs!$B$38="pvp",1,(1+(Inputs!$B$21+Skills!Q7+(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99">
      <c r="A2399">
        <f>Skills!A8</f>
        <v/>
      </c>
      <c r="B2399">
        <f>Skills!B8</f>
        <v/>
      </c>
      <c r="C2399">
        <f>Inputs!$B$3&gt;=107</f>
        <v/>
      </c>
      <c r="D2399">
        <f>IF(Skills!C8=1,60+Inputs!$B$25+Inputs!$B$29,IF(Skills!C8=2,90+Inputs!$B$26+Inputs!$B$29,IF(Skills!C8=3,120+Inputs!$B$27+Inputs!$B$29,MAX(0,(Inputs!$B$3-100)*3)+Inputs!$B$28+Inputs!$B$29)))</f>
        <v/>
      </c>
      <c r="E2399">
        <f>INDEX(FactorTable!$B$2:$Y$301, MATCH(ROUND(MIN(300,MAX(1,D2399)),0), FactorTable!$A$2:$A$301,0), Skills!M8+1)</f>
        <v/>
      </c>
      <c r="F2399">
        <f>IF(Skills!N8=TRUE,(Skills!L8/10)*(E2399/1000),Skills!L8/10)+Skills!O8</f>
        <v/>
      </c>
      <c r="G2399">
        <f>Skills!G8*IF(Skills!H8&gt;0,Skills!I8/Skills!H8,1)</f>
        <v/>
      </c>
      <c r="H2399">
        <f>1-(1-Skills!J8/100)^Skills!K8</f>
        <v/>
      </c>
      <c r="I2399" t="inlineStr">
        <is>
          <t>1</t>
        </is>
      </c>
      <c r="J2399">
        <f>((Inputs!$B$6*(1+Inputs!$B$7/100))+(((Inputs!$B$12*(1+Inputs!$B$13/100))-(Inputs!$B$12*(1+Inputs!$B$13/100)))+0.25*(Inputs!$B$14-Inputs!$B$14))*(1+Inputs!$B$7/100))*(F2399/100)</f>
        <v/>
      </c>
      <c r="K2399">
        <f>J2399*(1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2399)</f>
        <v/>
      </c>
      <c r="L2399">
        <f>K2399*(MIN(Inputs!$B$22+((C2413=TRUE)*(F2413-Calc!F22)),(Inputs!$B$23+((C2415=TRUE)*(F2415-Calc!F24))+(IF(ArtifactsInput!$M$15,CHOOSE(ArtifactsInput!$N$15+1,25,30,35,40,45,50)/100*(Inputs!$B$11-Inputs!$B$11),0))))/100+(Inputs!$B$23+((C2415=TRUE)*(F2415-Calc!F24))+(IF(ArtifactsInput!$M$15,CHOOSE(ArtifactsInput!$N$15+1,25,30,35,40,45,50)/100*(Inputs!$B$11-Inputs!$B$11),0)))/100)/2</f>
        <v/>
      </c>
      <c r="M2399">
        <f>L2399*(1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9">
        <f>L2399*(1-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2399*(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9">
        <f>(1-Summary!$B$11)*T2399+Summary!$B$11*V2399</f>
        <v/>
      </c>
      <c r="P2399">
        <f>IF(B2428=0,0,O2399/B2428)</f>
        <v/>
      </c>
      <c r="Q2399">
        <f>IFERROR(1/(IF(Inputs!$B$38="pvp",15,MAX(0.1,Skills!D8-IF(Skills!E8=TRUE,Inputs!$B$32,0)))*(1-IF(AND(ArtifactsInput!$M$27,Inputs!$B$4="Chapter Hunt"),CHOOSE(ArtifactsInput!$N$27+1,20,24,28,32,36,40),0)/100)),0)</f>
        <v/>
      </c>
      <c r="R2399">
        <f>IF(AND(Inputs!$B$38&lt;&gt;"pvp",Inputs!$B$43&gt;0),IF(MAX(0,Inputs!$B$43-B2425)&lt;=0,0,(INT(MAX(0,Inputs!$B$43-B2425)/(IF(Inputs!$B$38="pvp",15,MAX(0.1,Skills!D8-IF(Skills!E8=TRUE,Inputs!$B$32,0)))*(1-IF(AND(ArtifactsInput!$M$27,Inputs!$B$4="Chapter Hunt"),CHOOSE(ArtifactsInput!$N$27+1,20,24,28,32,36,40),0)/100)))+1)),0)</f>
        <v/>
      </c>
      <c r="S2399">
        <f>IFERROR(O2399/N2399,0)</f>
        <v/>
      </c>
      <c r="T2399">
        <f>IF(C2399,(H2399*N2399*IF(AND(Inputs!$B$38&lt;&gt;"pvp",Inputs!$B$43&gt;0),((Skills!G8*((R2399-1)*IF(Skills!H8&gt;0,Skills!I8/Skills!H8,1)+IF(Skills!H8&gt;0,MIN(Skills!I8,MAX(0,MAX(0,Inputs!$B$43-B2425)-((R2399-1)*(IF(Inputs!$B$38="pvp",15,MAX(0.1,Skills!D8-IF(Skills!E8=TRUE,Inputs!$B$32,0)))*(1-IF(AND(ArtifactsInput!$M$27,Inputs!$B$4="Chapter Hunt"),CHOOSE(ArtifactsInput!$N$27+1,20,24,28,32,36,40),0)/100)))))/Skills!H8,1)))/Inputs!$B$43),G2399*Q2399)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2399*(1-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2399*(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2399*(1-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2399*(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99">
        <f>IF(C2399,(H2399*N2399*IF(AND(Inputs!$B$38&lt;&gt;"pvp",Inputs!$B$43&gt;0),((Skills!G8*((R2399-1)*IF(Skills!H8&gt;0,Skills!I8/Skills!H8,1)+IF(Skills!H8&gt;0,MIN(Skills!I8,MAX(0,MAX(0,Inputs!$B$43-B2425)-((R2399-1)*(IF(Inputs!$B$38="pvp",15,MAX(0.1,Skills!D8-IF(Skills!E8=TRUE,Inputs!$B$32,0)))*(1-IF(AND(ArtifactsInput!$M$27,Inputs!$B$4="Chapter Hunt"),CHOOSE(ArtifactsInput!$N$27+1,20,24,28,32,36,40),0)/100)))))/Skills!H8,1)))/Inputs!$B$43),G2399*Q2399))*IF(Inputs!$B$38="pvp",1,(1+(Inputs!$B$21+Skills!Q8+(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0">
      <c r="A2400">
        <f>Skills!A9</f>
        <v/>
      </c>
      <c r="B2400">
        <f>Skills!B9</f>
        <v/>
      </c>
      <c r="C2400">
        <f>Inputs!$B$3&gt;=125</f>
        <v/>
      </c>
      <c r="D2400">
        <f>IF(Skills!C9=1,60+Inputs!$B$25+Inputs!$B$29,IF(Skills!C9=2,90+Inputs!$B$26+Inputs!$B$29,IF(Skills!C9=3,120+Inputs!$B$27+Inputs!$B$29,MAX(0,(Inputs!$B$3-100)*3)+Inputs!$B$28+Inputs!$B$29)))</f>
        <v/>
      </c>
      <c r="E2400">
        <f>INDEX(FactorTable!$B$2:$Y$301, MATCH(ROUND(MIN(300,MAX(1,D2400)),0), FactorTable!$A$2:$A$301,0), Skills!M9+1)</f>
        <v/>
      </c>
      <c r="F2400">
        <f>IF(Skills!N9=TRUE,(Skills!L9/10)*(E2400/1000),Skills!L9/10)+Skills!O9</f>
        <v/>
      </c>
      <c r="G2400">
        <f>Skills!G9*IF(Skills!H9&gt;0,Skills!I9/Skills!H9,1)</f>
        <v/>
      </c>
      <c r="H2400">
        <f>1-(1-Skills!J9/100)^Skills!K9</f>
        <v/>
      </c>
      <c r="I2400" t="inlineStr">
        <is>
          <t>1</t>
        </is>
      </c>
      <c r="J2400">
        <f>((Inputs!$B$6*(1+Inputs!$B$7/100))+(((Inputs!$B$12*(1+Inputs!$B$13/100))-(Inputs!$B$12*(1+Inputs!$B$13/100)))+0.25*(Inputs!$B$14-Inputs!$B$14))*(1+Inputs!$B$7/100))*(F2400/100)</f>
        <v/>
      </c>
      <c r="K2400">
        <f>J2400*(1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2400)</f>
        <v/>
      </c>
      <c r="L2400">
        <f>K2400*(MIN(Inputs!$B$22+((C2413=TRUE)*(F2413-Calc!F22)),(Inputs!$B$23+((C2415=TRUE)*(F2415-Calc!F24))+(IF(ArtifactsInput!$M$15,CHOOSE(ArtifactsInput!$N$15+1,25,30,35,40,45,50)/100*(Inputs!$B$11-Inputs!$B$11),0))))/100+(Inputs!$B$23+((C2415=TRUE)*(F2415-Calc!F24))+(IF(ArtifactsInput!$M$15,CHOOSE(ArtifactsInput!$N$15+1,25,30,35,40,45,50)/100*(Inputs!$B$11-Inputs!$B$11),0)))/100)/2</f>
        <v/>
      </c>
      <c r="M2400">
        <f>L2400*(1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0">
        <f>L2400*(1-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2400*(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0">
        <f>(1-Summary!$B$11)*T2400+Summary!$B$11*V2400</f>
        <v/>
      </c>
      <c r="P2400">
        <f>IF(B2428=0,0,O2400/B2428)</f>
        <v/>
      </c>
      <c r="Q2400">
        <f>IFERROR(1/(IF(Inputs!$B$38="pvp",15,MAX(0.1,Skills!D9-IF(Skills!E9=TRUE,Inputs!$B$32,0)))*(1-IF(AND(ArtifactsInput!$M$27,Inputs!$B$4="Chapter Hunt"),CHOOSE(ArtifactsInput!$N$27+1,20,24,28,32,36,40),0)/100)),0)</f>
        <v/>
      </c>
      <c r="R2400">
        <f>IF(AND(Inputs!$B$38&lt;&gt;"pvp",Inputs!$B$43&gt;0),IF(MAX(0,Inputs!$B$43-B2425)&lt;=0,0,(INT(MAX(0,Inputs!$B$43-B2425)/(IF(Inputs!$B$38="pvp",15,MAX(0.1,Skills!D9-IF(Skills!E9=TRUE,Inputs!$B$32,0)))*(1-IF(AND(ArtifactsInput!$M$27,Inputs!$B$4="Chapter Hunt"),CHOOSE(ArtifactsInput!$N$27+1,20,24,28,32,36,40),0)/100)))+1)),0)</f>
        <v/>
      </c>
      <c r="S2400">
        <f>IFERROR(O2400/N2400,0)</f>
        <v/>
      </c>
      <c r="T2400">
        <f>IF(C2400,(H2400*N2400*IF(AND(Inputs!$B$38&lt;&gt;"pvp",Inputs!$B$43&gt;0),((Skills!G9*((R2400-1)*IF(Skills!H9&gt;0,Skills!I9/Skills!H9,1)+IF(Skills!H9&gt;0,MIN(Skills!I9,MAX(0,MAX(0,Inputs!$B$43-B2425)-((R2400-1)*(IF(Inputs!$B$38="pvp",15,MAX(0.1,Skills!D9-IF(Skills!E9=TRUE,Inputs!$B$32,0)))*(1-IF(AND(ArtifactsInput!$M$27,Inputs!$B$4="Chapter Hunt"),CHOOSE(ArtifactsInput!$N$27+1,20,24,28,32,36,40),0)/100)))))/Skills!H9,1)))/Inputs!$B$43),G2400*Q2400)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2400*(1-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2400*(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2400*(1-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2400*(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00">
        <f>IF(C2400,(H2400*N2400*IF(AND(Inputs!$B$38&lt;&gt;"pvp",Inputs!$B$43&gt;0),((Skills!G9*((R2400-1)*IF(Skills!H9&gt;0,Skills!I9/Skills!H9,1)+IF(Skills!H9&gt;0,MIN(Skills!I9,MAX(0,MAX(0,Inputs!$B$43-B2425)-((R2400-1)*(IF(Inputs!$B$38="pvp",15,MAX(0.1,Skills!D9-IF(Skills!E9=TRUE,Inputs!$B$32,0)))*(1-IF(AND(ArtifactsInput!$M$27,Inputs!$B$4="Chapter Hunt"),CHOOSE(ArtifactsInput!$N$27+1,20,24,28,32,36,40),0)/100)))))/Skills!H9,1)))/Inputs!$B$43),G2400*Q2400))*IF(Inputs!$B$38="pvp",1,(1+(Inputs!$B$21+Skills!Q9+(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1">
      <c r="A2401">
        <f>Skills!A10</f>
        <v/>
      </c>
      <c r="B2401">
        <f>Skills!B10</f>
        <v/>
      </c>
      <c r="C2401">
        <f>Inputs!$B$3&gt;=117</f>
        <v/>
      </c>
      <c r="D2401">
        <f>IF(Skills!C10=1,60+Inputs!$B$25+Inputs!$B$29,IF(Skills!C10=2,90+Inputs!$B$26+Inputs!$B$29,IF(Skills!C10=3,120+Inputs!$B$27+Inputs!$B$29,MAX(0,(Inputs!$B$3-100)*3)+Inputs!$B$28+Inputs!$B$29)))</f>
        <v/>
      </c>
      <c r="E2401">
        <f>INDEX(FactorTable!$B$2:$Y$301, MATCH(ROUND(MIN(300,MAX(1,D2401)),0), FactorTable!$A$2:$A$301,0), Skills!M10+1)</f>
        <v/>
      </c>
      <c r="F2401">
        <f>IF(Skills!N10=TRUE,(Skills!L10/10)*(E2401/1000),Skills!L10/10)+Skills!O10</f>
        <v/>
      </c>
      <c r="G2401">
        <f>Skills!G10*IF(Skills!H10&gt;0,Skills!I10/Skills!H10,1)</f>
        <v/>
      </c>
      <c r="H2401">
        <f>1-(1-Skills!J10/100)^Skills!K10</f>
        <v/>
      </c>
      <c r="I2401" t="inlineStr">
        <is>
          <t>1</t>
        </is>
      </c>
      <c r="J2401">
        <f>((Inputs!$B$6*(1+Inputs!$B$7/100))+(((Inputs!$B$12*(1+Inputs!$B$13/100))-(Inputs!$B$12*(1+Inputs!$B$13/100)))+0.25*(Inputs!$B$14-Inputs!$B$14))*(1+Inputs!$B$7/100))*(F2401/100)</f>
        <v/>
      </c>
      <c r="K2401">
        <f>J2401*(1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2401)</f>
        <v/>
      </c>
      <c r="L2401">
        <f>K2401*(MIN(Inputs!$B$22+((C2413=TRUE)*(F2413-Calc!F22)),(Inputs!$B$23+((C2415=TRUE)*(F2415-Calc!F24))+(IF(ArtifactsInput!$M$15,CHOOSE(ArtifactsInput!$N$15+1,25,30,35,40,45,50)/100*(Inputs!$B$11-Inputs!$B$11),0))))/100+(Inputs!$B$23+((C2415=TRUE)*(F2415-Calc!F24))+(IF(ArtifactsInput!$M$15,CHOOSE(ArtifactsInput!$N$15+1,25,30,35,40,45,50)/100*(Inputs!$B$11-Inputs!$B$11),0)))/100)/2</f>
        <v/>
      </c>
      <c r="M2401">
        <f>L2401*(1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1">
        <f>L2401*(1-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1">
        <f>(1-Summary!$B$11)*T2401+Summary!$B$11*V2401</f>
        <v/>
      </c>
      <c r="P2401">
        <f>IF(B2428=0,0,O2401/B2428)</f>
        <v/>
      </c>
      <c r="Q2401">
        <f>IFERROR(1/(IF(Inputs!$B$38="pvp",15,MAX(0.1,Skills!D10-IF(Skills!E10=TRUE,Inputs!$B$32,0)))*(1-IF(AND(ArtifactsInput!$M$27,Inputs!$B$4="Chapter Hunt"),CHOOSE(ArtifactsInput!$N$27+1,20,24,28,32,36,40),0)/100)),0)</f>
        <v/>
      </c>
      <c r="R2401">
        <f>IF(AND(Inputs!$B$38&lt;&gt;"pvp",Inputs!$B$43&gt;0),IF(MAX(0,Inputs!$B$43-B2425)&lt;=0,0,(INT(MAX(0,Inputs!$B$43-B2425)/(IF(Inputs!$B$38="pvp",15,MAX(0.1,Skills!D10-IF(Skills!E10=TRUE,Inputs!$B$32,0)))*(1-IF(AND(ArtifactsInput!$M$27,Inputs!$B$4="Chapter Hunt"),CHOOSE(ArtifactsInput!$N$27+1,20,24,28,32,36,40),0)/100)))+1)),0)</f>
        <v/>
      </c>
      <c r="S2401">
        <f>IFERROR(O2401/N2401,0)</f>
        <v/>
      </c>
      <c r="T2401">
        <f>IF(C2401,(H2401*N2401*IF(AND(Inputs!$B$38&lt;&gt;"pvp",Inputs!$B$43&gt;0),((Skills!G10*((R2401-1)*IF(Skills!H10&gt;0,Skills!I10/Skills!H10,1)+IF(Skills!H10&gt;0,MIN(Skills!I10,MAX(0,MAX(0,Inputs!$B$43-B2425)-((R2401-1)*(IF(Inputs!$B$38="pvp",15,MAX(0.1,Skills!D10-IF(Skills!E10=TRUE,Inputs!$B$32,0)))*(1-IF(AND(ArtifactsInput!$M$27,Inputs!$B$4="Chapter Hunt"),CHOOSE(ArtifactsInput!$N$27+1,20,24,28,32,36,40),0)/100)))))/Skills!H10,1)))/Inputs!$B$43),G2401*Q2401)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2401*(1-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2401*(1-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01">
        <f>IF(C2401,(H2401*N2401*IF(AND(Inputs!$B$38&lt;&gt;"pvp",Inputs!$B$43&gt;0),((Skills!G10*((R2401-1)*IF(Skills!H10&gt;0,Skills!I10/Skills!H10,1)+IF(Skills!H10&gt;0,MIN(Skills!I10,MAX(0,MAX(0,Inputs!$B$43-B2425)-((R2401-1)*(IF(Inputs!$B$38="pvp",15,MAX(0.1,Skills!D10-IF(Skills!E10=TRUE,Inputs!$B$32,0)))*(1-IF(AND(ArtifactsInput!$M$27,Inputs!$B$4="Chapter Hunt"),CHOOSE(ArtifactsInput!$N$27+1,20,24,28,32,36,40),0)/100)))))/Skills!H10,1)))/Inputs!$B$43),G2401*Q2401))*IF(Inputs!$B$38="pvp",1,(1+(Inputs!$B$21+Skills!Q10+(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2">
      <c r="A2402">
        <f>Skills!A11</f>
        <v/>
      </c>
      <c r="B2402">
        <f>Skills!B11</f>
        <v/>
      </c>
      <c r="C2402">
        <f>Inputs!$B$3&gt;=63</f>
        <v/>
      </c>
      <c r="D2402">
        <f>IF(Skills!C11=1,60+Inputs!$B$25+Inputs!$B$29,IF(Skills!C11=2,90+Inputs!$B$26+Inputs!$B$29,IF(Skills!C11=3,120+Inputs!$B$27+Inputs!$B$29,MAX(0,(Inputs!$B$3-100)*3)+Inputs!$B$28+Inputs!$B$29)))</f>
        <v/>
      </c>
      <c r="E2402">
        <f>INDEX(FactorTable!$B$2:$Y$301, MATCH(ROUND(MIN(300,MAX(1,D2402)),0), FactorTable!$A$2:$A$301,0), Skills!M11+1)</f>
        <v/>
      </c>
      <c r="F2402">
        <f>IF(Skills!N11=TRUE,(Skills!L11/10)*(E2402/1000),Skills!L11/10)+Skills!O11</f>
        <v/>
      </c>
      <c r="G2402">
        <f>Skills!G11*IF(Skills!H11&gt;0,Skills!I11/Skills!H11,1)</f>
        <v/>
      </c>
      <c r="H2402">
        <f>1-(1-Skills!J11/100)^Skills!K11</f>
        <v/>
      </c>
      <c r="I2402" t="inlineStr">
        <is>
          <t>1</t>
        </is>
      </c>
      <c r="J2402">
        <f>((Inputs!$B$6*(1+Inputs!$B$7/100))+(((Inputs!$B$12*(1+Inputs!$B$13/100))-(Inputs!$B$12*(1+Inputs!$B$13/100)))+0.25*(Inputs!$B$14-Inputs!$B$14))*(1+Inputs!$B$7/100))*(F2402/100)</f>
        <v/>
      </c>
      <c r="K2402">
        <f>J2402*(1+((Inputs!$B$12*(1+Inputs!$B$13/100))*0.01+Inputs!$B$14*0.0025)/100)*(1+Inputs!$B$15/100)*(1+Inputs!$B$16/100)*(5000/(6000+Inputs!$B$42*(1-(Inputs!$B$19+0)/100)))*(1+(Inputs!$B$24+0+B2424)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2403=TRUE,F2403,0)/100)*(1+(IF(Skills!A11="BLAST",Inputs!$B$17+((C2412=TRUE)*(F2412-Calc!F21))+((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MIN(100,((Inputs!$B$9+0+B2418+(ArtifactsInput!$M$24-ArtifactsInput!$M$24)*CHOOSE(ArtifactsInput!$N$24+1,10,12,14,16,18,20)+IF(ArtifactsInput!$M$10,CHOOSE(ArtifactsInput!$N$10+1,15,18,21,24,27,30)*(IF(Inputs!$B$38="pvp",MIN(15,15)/15,IF(AND(Inputs!$B$38&lt;&gt;"pvp",Inputs!$B$43&gt;0),MIN(15,Inputs!$B$43)/(Inputs!$B$43),0))),0)))-100),0))*CHOOSE(ArtifactsInput!$N$42+1,0.6,0.72,0.84,0.96,1.08,1.2))),Inputs!$B$18+((C2414=TRUE)*(F2414-Calc!F23))+(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gt;=100),CHOOSE(ArtifactsInput!$N$42+1,40,48,56,64,72,80),0))))/100)*((1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2402)</f>
        <v/>
      </c>
      <c r="L2402">
        <f>K2402*(MIN(Inputs!$B$22+((C2413=TRUE)*(F2413-Calc!F22)),(Inputs!$B$23+((C2415=TRUE)*(F2415-Calc!F24))+(IF(ArtifactsInput!$M$15,CHOOSE(ArtifactsInput!$N$15+1,25,30,35,40,45,50)/100*(Inputs!$B$11-Inputs!$B$11),0))))/100+(Inputs!$B$23+((C2415=TRUE)*(F2415-Calc!F24))+(IF(ArtifactsInput!$M$15,CHOOSE(ArtifactsInput!$N$15+1,25,30,35,40,45,50)/100*(Inputs!$B$11-Inputs!$B$11),0)))/100)/2</f>
        <v/>
      </c>
      <c r="M2402">
        <f>L2402*(1+(Inputs!$B$10+0+B2423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2">
        <f>L2402*(1-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2402*(MIN((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2">
        <f>(1-Summary!$B$11)*T2402+Summary!$B$11*V2402</f>
        <v/>
      </c>
      <c r="P2402">
        <f>IF(B2428=0,0,O2402/B2428)</f>
        <v/>
      </c>
      <c r="Q2402">
        <f>IFERROR(1/(IF(Inputs!$B$38="pvp",15,MAX(0.1,Skills!D11-IF(Skills!E11=TRUE,Inputs!$B$32,0)))*(1-IF(AND(ArtifactsInput!$M$27,Inputs!$B$4="Chapter Hunt"),CHOOSE(ArtifactsInput!$N$27+1,20,24,28,32,36,40),0)/100)),0)</f>
        <v/>
      </c>
      <c r="R2402">
        <f>IF(AND(Inputs!$B$38&lt;&gt;"pvp",Inputs!$B$43&gt;0),IF(MAX(0,Inputs!$B$43-B2425)&lt;=0,0,(INT(MAX(0,Inputs!$B$43-B2425)/(IF(Inputs!$B$38="pvp",15,MAX(0.1,Skills!D11-IF(Skills!E11=TRUE,Inputs!$B$32,0)))*(1-IF(AND(ArtifactsInput!$M$27,Inputs!$B$4="Chapter Hunt"),CHOOSE(ArtifactsInput!$N$27+1,20,24,28,32,36,40),0)/100)))+1)),0)</f>
        <v/>
      </c>
      <c r="S2402">
        <f>IFERROR(O2402/N2402,0)</f>
        <v/>
      </c>
      <c r="T2402">
        <f>IF(C2402,(H2402*N2402*IF(AND(Inputs!$B$38&lt;&gt;"pvp",Inputs!$B$43&gt;0),((Skills!G11*((R2402-1)*IF(Skills!H11&gt;0,Skills!I11/Skills!H11,1)+IF(Skills!H11&gt;0,MIN(Skills!I11,MAX(0,MAX(0,Inputs!$B$43-B2425)-((R2402-1)*(IF(Inputs!$B$38="pvp",15,MAX(0.1,Skills!D11-IF(Skills!E11=TRUE,Inputs!$B$32,0)))*(1-IF(AND(ArtifactsInput!$M$27,Inputs!$B$4="Chapter Hunt"),CHOOSE(ArtifactsInput!$N$27+1,20,24,28,32,36,40),0)/100)))))/Skills!H11,1)))/Inputs!$B$43),G2402*Q2402)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2402*(1-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2402*(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2402*(1-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2402*(MIN(100,(Inputs!$B$9+0+B2418+(ArtifactsInput!$M$24-ArtifactsInput!$M$24)*CHOOSE(ArtifactsInput!$N$24+1,10,12,14,16,18,20)+(IF(AND(Inputs!$B$38&lt;&gt;"pvp",Inputs!$B$43=0),1,IF(IF(Inputs!$B$38="pvp",15,Inputs!$B$43)-(B2425)&lt;=0,1,MAX(0,IF(Inputs!$B$38="pvp",15,Inputs!$B$43)-MAX(5,B2425))/(IF(Inputs!$B$38="pvp",15,Inputs!$B$43)-(B2425))))*IF(AND(ArtifactsInput!$M$42,((Inputs!$B$9+0+B2418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02">
        <f>IF(C2402,(H2402*N2402*IF(AND(Inputs!$B$38&lt;&gt;"pvp",Inputs!$B$43&gt;0),((Skills!G11*((R2402-1)*IF(Skills!H11&gt;0,Skills!I11/Skills!H11,1)+IF(Skills!H11&gt;0,MIN(Skills!I11,MAX(0,MAX(0,Inputs!$B$43-B2425)-((R2402-1)*(IF(Inputs!$B$38="pvp",15,MAX(0.1,Skills!D11-IF(Skills!E11=TRUE,Inputs!$B$32,0)))*(1-IF(AND(ArtifactsInput!$M$27,Inputs!$B$4="Chapter Hunt"),CHOOSE(ArtifactsInput!$N$27+1,20,24,28,32,36,40),0)/100)))))/Skills!H11,1)))/Inputs!$B$43),G2402*Q2402))*IF(Inputs!$B$38="pvp",1,(1+(Inputs!$B$21+Skills!Q11+(IF(ArtifactsInput!$M$33,CHOOSE(ArtifactsInput!$N$33+1,30,36,42,48,54,60),0))+(IF(AND(ArtifactsInput!$M$35,Inputs!$B$4&lt;&gt;"Chapter Hunt"),CHOOSE(ArtifactsInput!$N$35+1,15,18,21,24,27,30)*(1-EXP(-(0.2*B2420)*5)),0)+IF(AND(ArtifactsInput!$M$22,Inputs!$B$4&lt;&gt;"Chapter Hunt"),CHOOSE(ArtifactsInput!$N$22+1,10,12,14,16,18,20)*((0*(((0.15*B2420*5))^0/1)+1*(((0.15*B2420*5))^1/1)+2*(((0.15*B2420*5))^2/2)+3*(((0.15*B2420*5))^3/6)+4*(((0.15*B2420*5))^4/24)+5*(((0.15*B2420*5))^5/120))/((((0.15*B2420*5))^0/1)+(((0.15*B2420*5))^1/1)+(((0.15*B2420*5))^2/2)+(((0.15*B2420*5))^3/6)+(((0.15*B2420*5))^4/24)+(((0.15*B2420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3">
      <c r="A2403">
        <f>Skills!A12</f>
        <v/>
      </c>
      <c r="B2403">
        <f>Skills!B12</f>
        <v/>
      </c>
      <c r="C2403">
        <f>Inputs!$B$3&gt;=100</f>
        <v/>
      </c>
      <c r="D2403">
        <f>IF(Skills!C12=1,60+Inputs!$B$25+Inputs!$B$29,IF(Skills!C12=2,90+Inputs!$B$26+Inputs!$B$29,IF(Skills!C12=3,120+Inputs!$B$27+Inputs!$B$29,MAX(0,(Inputs!$B$3-100)*3)+Inputs!$B$28+Inputs!$B$29)))</f>
        <v/>
      </c>
      <c r="E2403">
        <f>INDEX(FactorTable!$B$2:$Y$301, MATCH(ROUND(MIN(300,MAX(1,D2403)),0), FactorTable!$A$2:$A$301,0), Skills!M12+1)</f>
        <v/>
      </c>
      <c r="F2403">
        <f>IF(Skills!N12=TRUE,(Skills!L12/10)*(E2403/1000),Skills!L12/10)+Skills!O12</f>
        <v/>
      </c>
      <c r="G2403" t="inlineStr"/>
      <c r="H2403" t="inlineStr"/>
      <c r="I2403" t="inlineStr">
        <is>
          <t>1</t>
        </is>
      </c>
      <c r="J2403" t="inlineStr"/>
      <c r="K2403" t="inlineStr"/>
      <c r="L2403" t="inlineStr"/>
      <c r="M2403" t="inlineStr"/>
      <c r="N2403" t="inlineStr"/>
      <c r="O2403" t="inlineStr"/>
      <c r="P2403" t="inlineStr"/>
      <c r="Q2403" t="inlineStr"/>
      <c r="R2403" t="inlineStr"/>
      <c r="S2403" t="inlineStr"/>
    </row>
    <row r="2404">
      <c r="A2404">
        <f>Skills!A13</f>
        <v/>
      </c>
      <c r="B2404">
        <f>Skills!B13</f>
        <v/>
      </c>
      <c r="C2404">
        <f>Inputs!$B$3&gt;=45</f>
        <v/>
      </c>
      <c r="D2404">
        <f>IF(Skills!C13=1,60+Inputs!$B$25+Inputs!$B$29,IF(Skills!C13=2,90+Inputs!$B$26+Inputs!$B$29,IF(Skills!C13=3,120+Inputs!$B$27+Inputs!$B$29,MAX(0,(Inputs!$B$3-100)*3)+Inputs!$B$28+Inputs!$B$29)))</f>
        <v/>
      </c>
      <c r="E2404">
        <f>INDEX(FactorTable!$B$2:$Y$301, MATCH(ROUND(MIN(300,MAX(1,D2404)),0), FactorTable!$A$2:$A$301,0), Skills!M13+1)</f>
        <v/>
      </c>
      <c r="F2404">
        <f>IF(Skills!N13=TRUE,(Skills!L13/10)*(E2404/1000),Skills!L13/10)+Skills!O13</f>
        <v/>
      </c>
      <c r="G2404">
        <f>Skills!G13*IF(Skills!H13&gt;0,Skills!I13/Skills!H13,1)</f>
        <v/>
      </c>
      <c r="H2404">
        <f>1-(1-Skills!J13/100)^Skills!K13</f>
        <v/>
      </c>
      <c r="I2404" t="inlineStr">
        <is>
          <t>1</t>
        </is>
      </c>
      <c r="J2404" t="inlineStr"/>
      <c r="K2404" t="inlineStr"/>
      <c r="L2404" t="inlineStr"/>
      <c r="M2404" t="inlineStr"/>
      <c r="N2404" t="inlineStr"/>
      <c r="O2404">
        <f>(1-Summary!$B$11)*T2404+Summary!$B$11*V2404</f>
        <v/>
      </c>
      <c r="P2404">
        <f>IF(B2428=0,0,O2404/B2428)</f>
        <v/>
      </c>
      <c r="Q2404" t="n">
        <v>0</v>
      </c>
      <c r="R2404" t="n">
        <v>0</v>
      </c>
      <c r="S2404">
        <f>IFERROR(O2404/N2404,0)</f>
        <v/>
      </c>
      <c r="T2404" t="n">
        <v>0</v>
      </c>
      <c r="V2404" t="n">
        <v>0</v>
      </c>
    </row>
    <row r="2405">
      <c r="A2405">
        <f>Skills!A14</f>
        <v/>
      </c>
      <c r="B2405">
        <f>Skills!B14</f>
        <v/>
      </c>
      <c r="C2405">
        <f>Inputs!$B$3&gt;=110</f>
        <v/>
      </c>
      <c r="D2405">
        <f>IF(Skills!C14=1,60+Inputs!$B$25+Inputs!$B$29,IF(Skills!C14=2,90+Inputs!$B$26+Inputs!$B$29,IF(Skills!C14=3,120+Inputs!$B$27+Inputs!$B$29,MAX(0,(Inputs!$B$3-100)*3)+Inputs!$B$28+Inputs!$B$29)))</f>
        <v/>
      </c>
      <c r="E2405">
        <f>INDEX(FactorTable!$B$2:$Y$301, MATCH(ROUND(MIN(300,MAX(1,D2405)),0), FactorTable!$A$2:$A$301,0), Skills!M14+1)</f>
        <v/>
      </c>
      <c r="F2405">
        <f>IF(Skills!N14=TRUE,(Skills!L14/10)*(E2405/1000),Skills!L14/10)+Skills!O14</f>
        <v/>
      </c>
      <c r="G2405">
        <f>Skills!G14*IF(Skills!H14&gt;0,Skills!I14/Skills!H14,1)</f>
        <v/>
      </c>
      <c r="H2405">
        <f>1-(1-Skills!J14/100)^Skills!K14</f>
        <v/>
      </c>
      <c r="I2405" t="inlineStr">
        <is>
          <t>1</t>
        </is>
      </c>
      <c r="J2405" t="inlineStr"/>
      <c r="K2405" t="inlineStr"/>
      <c r="L2405" t="inlineStr"/>
      <c r="M2405" t="inlineStr"/>
      <c r="N2405" t="inlineStr"/>
      <c r="O2405">
        <f>(1-Summary!$B$11)*T2405+Summary!$B$11*V2405</f>
        <v/>
      </c>
      <c r="P2405">
        <f>IF(B2428=0,0,O2405/B2428)</f>
        <v/>
      </c>
      <c r="Q2405" t="n">
        <v>0</v>
      </c>
      <c r="R2405" t="n">
        <v>0</v>
      </c>
      <c r="S2405">
        <f>IFERROR(O2405/N2405,0)</f>
        <v/>
      </c>
      <c r="T2405" t="n">
        <v>0</v>
      </c>
      <c r="V2405" t="n">
        <v>0</v>
      </c>
    </row>
    <row r="2406">
      <c r="A2406">
        <f>Skills!A15</f>
        <v/>
      </c>
      <c r="B2406">
        <f>Skills!B15</f>
        <v/>
      </c>
      <c r="C2406">
        <f>Inputs!$B$3&gt;=75</f>
        <v/>
      </c>
      <c r="D2406">
        <f>IF(Skills!C15=1,60+Inputs!$B$25+Inputs!$B$29,IF(Skills!C15=2,90+Inputs!$B$26+Inputs!$B$29,IF(Skills!C15=3,120+Inputs!$B$27+Inputs!$B$29,MAX(0,(Inputs!$B$3-100)*3)+Inputs!$B$28+Inputs!$B$29)))</f>
        <v/>
      </c>
      <c r="E2406">
        <f>INDEX(FactorTable!$B$2:$Y$301, MATCH(ROUND(MIN(300,MAX(1,D2406)),0), FactorTable!$A$2:$A$301,0), Skills!M15+1)</f>
        <v/>
      </c>
      <c r="F2406">
        <f>IF(Skills!N15=TRUE,(Skills!L15/10)*(E2406/1000),Skills!L15/10)+Skills!O15</f>
        <v/>
      </c>
      <c r="G2406">
        <f>Skills!G15*IF(Skills!H15&gt;0,Skills!I15/Skills!H15,1)</f>
        <v/>
      </c>
      <c r="H2406">
        <f>1-(1-Skills!J15/100)^Skills!K15</f>
        <v/>
      </c>
      <c r="I2406" t="inlineStr">
        <is>
          <t>1</t>
        </is>
      </c>
      <c r="J2406" t="inlineStr"/>
      <c r="K2406" t="inlineStr"/>
      <c r="L2406" t="inlineStr"/>
      <c r="M2406" t="inlineStr"/>
      <c r="N2406" t="inlineStr"/>
      <c r="O2406">
        <f>(1-Summary!$B$11)*T2406+Summary!$B$11*V2406</f>
        <v/>
      </c>
      <c r="P2406">
        <f>IF(B2428=0,0,O2406/B2428)</f>
        <v/>
      </c>
      <c r="Q2406">
        <f>IFERROR(1/(IF(Inputs!$B$38="pvp",15,MAX(0.1,Skills!D15-IF(Skills!E15=TRUE,Inputs!$B$32,0)))*(1-IF(AND(ArtifactsInput!$M$27,Inputs!$B$4="Chapter Hunt"),CHOOSE(ArtifactsInput!$N$27+1,20,24,28,32,36,40),0)/100)),0)</f>
        <v/>
      </c>
      <c r="R2406">
        <f>IF(AND(Inputs!$B$38&lt;&gt;"pvp",Inputs!$B$43&gt;0),IF(Inputs!$B$43&lt;=0,0,(INT(Inputs!$B$43/(IF(Inputs!$B$38="pvp",15,MAX(0.1,Skills!D15-IF(Skills!E15=TRUE,Inputs!$B$32,0)))*(1-IF(AND(ArtifactsInput!$M$27,Inputs!$B$4="Chapter Hunt"),CHOOSE(ArtifactsInput!$N$27+1,20,24,28,32,36,40),0)/100)))+1)),0)</f>
        <v/>
      </c>
      <c r="S2406">
        <f>IFERROR(O2406/N2406,0)</f>
        <v/>
      </c>
      <c r="T2406" t="n">
        <v>0</v>
      </c>
      <c r="V2406" t="n">
        <v>0</v>
      </c>
    </row>
    <row r="2407">
      <c r="A2407">
        <f>Skills!A16</f>
        <v/>
      </c>
      <c r="B2407">
        <f>Skills!B16</f>
        <v/>
      </c>
      <c r="C2407">
        <f>Inputs!$B$3&gt;=105</f>
        <v/>
      </c>
      <c r="D2407">
        <f>IF(Skills!C16=1,60+Inputs!$B$25+Inputs!$B$29,IF(Skills!C16=2,90+Inputs!$B$26+Inputs!$B$29,IF(Skills!C16=3,120+Inputs!$B$27+Inputs!$B$29,MAX(0,(Inputs!$B$3-100)*3)+Inputs!$B$28+Inputs!$B$29)))</f>
        <v/>
      </c>
      <c r="E2407">
        <f>INDEX(FactorTable!$B$2:$Y$301, MATCH(ROUND(MIN(300,MAX(1,D2407)),0), FactorTable!$A$2:$A$301,0), Skills!M16+1)</f>
        <v/>
      </c>
      <c r="F2407">
        <f>IF(Skills!N16=TRUE,(Skills!L16/10)*(E2407/1000),Skills!L16/10)+Skills!O16</f>
        <v/>
      </c>
      <c r="G2407">
        <f>Skills!G16*IF(Skills!H16&gt;0,Skills!I16/Skills!H16,1)</f>
        <v/>
      </c>
      <c r="H2407">
        <f>1-(1-Skills!J16/100)^Skills!K16</f>
        <v/>
      </c>
      <c r="I2407" t="inlineStr">
        <is>
          <t>1</t>
        </is>
      </c>
      <c r="J2407" t="inlineStr"/>
      <c r="K2407" t="inlineStr"/>
      <c r="L2407" t="inlineStr"/>
      <c r="M2407" t="inlineStr"/>
      <c r="N2407" t="inlineStr"/>
      <c r="O2407">
        <f>(1-Summary!$B$11)*T2407+Summary!$B$11*V2407</f>
        <v/>
      </c>
      <c r="P2407">
        <f>IF(B2428=0,0,O2407/B2428)</f>
        <v/>
      </c>
      <c r="Q2407">
        <f>IFERROR(1/(IF(Inputs!$B$38="pvp",15,MAX(0.1,Skills!D16-IF(Skills!E16=TRUE,Inputs!$B$32,0)))*(1-IF(AND(ArtifactsInput!$M$27,Inputs!$B$4="Chapter Hunt"),CHOOSE(ArtifactsInput!$N$27+1,20,24,28,32,36,40),0)/100)),0)</f>
        <v/>
      </c>
      <c r="R2407">
        <f>IF(AND(Inputs!$B$38&lt;&gt;"pvp",Inputs!$B$43&gt;0),IF(Inputs!$B$43&lt;=0,0,(INT(Inputs!$B$43/(IF(Inputs!$B$38="pvp",15,MAX(0.1,Skills!D16-IF(Skills!E16=TRUE,Inputs!$B$32,0)))*(1-IF(AND(ArtifactsInput!$M$27,Inputs!$B$4="Chapter Hunt"),CHOOSE(ArtifactsInput!$N$27+1,20,24,28,32,36,40),0)/100)))+1)),0)</f>
        <v/>
      </c>
      <c r="S2407">
        <f>IFERROR(O2407/N2407,0)</f>
        <v/>
      </c>
      <c r="T2407" t="n">
        <v>0</v>
      </c>
      <c r="V2407" t="n">
        <v>0</v>
      </c>
    </row>
    <row r="2408">
      <c r="A2408">
        <f>Skills!A17</f>
        <v/>
      </c>
      <c r="B2408">
        <f>Skills!B17</f>
        <v/>
      </c>
      <c r="C2408">
        <f>Inputs!$B$3&gt;=115</f>
        <v/>
      </c>
      <c r="D2408">
        <f>IF(Skills!C17=1,60+Inputs!$B$25+Inputs!$B$29,IF(Skills!C17=2,90+Inputs!$B$26+Inputs!$B$29,IF(Skills!C17=3,120+Inputs!$B$27+Inputs!$B$29,MAX(0,(Inputs!$B$3-100)*3)+Inputs!$B$28+Inputs!$B$29)))</f>
        <v/>
      </c>
      <c r="E2408">
        <f>INDEX(FactorTable!$B$2:$Y$301, MATCH(ROUND(MIN(300,MAX(1,D2408)),0), FactorTable!$A$2:$A$301,0), Skills!M17+1)</f>
        <v/>
      </c>
      <c r="F2408">
        <f>IF(Skills!N17=TRUE,(Skills!L17/10)*(E2408/1000),Skills!L17/10)+Skills!O17</f>
        <v/>
      </c>
      <c r="G2408">
        <f>Skills!G17*IF(Skills!H17&gt;0,Skills!I17/Skills!H17,1)</f>
        <v/>
      </c>
      <c r="H2408">
        <f>1-(1-Skills!J17/100)^Skills!K17</f>
        <v/>
      </c>
      <c r="I2408" t="inlineStr">
        <is>
          <t>1</t>
        </is>
      </c>
      <c r="J2408" t="inlineStr"/>
      <c r="K2408" t="inlineStr"/>
      <c r="L2408" t="inlineStr"/>
      <c r="M2408" t="inlineStr"/>
      <c r="N2408" t="inlineStr"/>
      <c r="O2408">
        <f>(1-Summary!$B$11)*T2408+Summary!$B$11*V2408</f>
        <v/>
      </c>
      <c r="P2408">
        <f>IF(B2428=0,0,O2408/B2428)</f>
        <v/>
      </c>
      <c r="Q2408">
        <f>IFERROR(1/(IF(Inputs!$B$38="pvp",15,MAX(0.1,Skills!D17-IF(Skills!E17=TRUE,Inputs!$B$32,0)))*(1-IF(AND(ArtifactsInput!$M$27,Inputs!$B$4="Chapter Hunt"),CHOOSE(ArtifactsInput!$N$27+1,20,24,28,32,36,40),0)/100)),0)</f>
        <v/>
      </c>
      <c r="R2408">
        <f>IF(AND(Inputs!$B$38&lt;&gt;"pvp",Inputs!$B$43&gt;0),IF(Inputs!$B$43&lt;=0,0,(INT(Inputs!$B$43/(IF(Inputs!$B$38="pvp",15,MAX(0.1,Skills!D17-IF(Skills!E17=TRUE,Inputs!$B$32,0)))*(1-IF(AND(ArtifactsInput!$M$27,Inputs!$B$4="Chapter Hunt"),CHOOSE(ArtifactsInput!$N$27+1,20,24,28,32,36,40),0)/100)))+1)),0)</f>
        <v/>
      </c>
      <c r="S2408">
        <f>IFERROR(O2408/N2408,0)</f>
        <v/>
      </c>
      <c r="T2408" t="n">
        <v>0</v>
      </c>
      <c r="V2408" t="n">
        <v>0</v>
      </c>
    </row>
    <row r="2409">
      <c r="A2409">
        <f>Skills!A18</f>
        <v/>
      </c>
      <c r="B2409">
        <f>Skills!B18</f>
        <v/>
      </c>
      <c r="C2409">
        <f>Inputs!$B$3&gt;=74</f>
        <v/>
      </c>
      <c r="D2409">
        <f>IF(Skills!C18=1,60+Inputs!$B$25+Inputs!$B$29,IF(Skills!C18=2,90+Inputs!$B$26+Inputs!$B$29,IF(Skills!C18=3,120+Inputs!$B$27+Inputs!$B$29,MAX(0,(Inputs!$B$3-100)*3)+Inputs!$B$28+Inputs!$B$29)))</f>
        <v/>
      </c>
      <c r="E2409">
        <f>INDEX(FactorTable!$B$2:$Y$301, MATCH(ROUND(MIN(300,MAX(1,D2409)),0), FactorTable!$A$2:$A$301,0), Skills!M18+1)</f>
        <v/>
      </c>
      <c r="F2409">
        <f>IF(Skills!N18=TRUE,(Skills!L18/10)*(E2409/1000),Skills!L18/10)+Skills!O18</f>
        <v/>
      </c>
      <c r="G2409">
        <f>Skills!G18*IF(Skills!H18&gt;0,Skills!I18/Skills!H18,1)</f>
        <v/>
      </c>
      <c r="H2409">
        <f>1-(1-Skills!J18/100)^Skills!K18</f>
        <v/>
      </c>
      <c r="I2409" t="inlineStr">
        <is>
          <t>1</t>
        </is>
      </c>
      <c r="J2409" t="inlineStr"/>
      <c r="K2409" t="inlineStr"/>
      <c r="L2409" t="inlineStr"/>
      <c r="M2409" t="inlineStr"/>
      <c r="N2409" t="inlineStr"/>
      <c r="O2409">
        <f>(1-Summary!$B$11)*T2409+Summary!$B$11*V2409</f>
        <v/>
      </c>
      <c r="P2409">
        <f>IF(B2428=0,0,O2409/B2428)</f>
        <v/>
      </c>
      <c r="Q2409">
        <f>IFERROR(1/(IF(Inputs!$B$38="pvp",15,MAX(0.1,Skills!D18-IF(Skills!E18=TRUE,Inputs!$B$32,0)))*(1-IF(AND(ArtifactsInput!$M$27,Inputs!$B$4="Chapter Hunt"),CHOOSE(ArtifactsInput!$N$27+1,20,24,28,32,36,40),0)/100)),0)</f>
        <v/>
      </c>
      <c r="R2409">
        <f>IF(AND(Inputs!$B$38&lt;&gt;"pvp",Inputs!$B$43&gt;0),IF(Inputs!$B$43&lt;=0,0,(INT(Inputs!$B$43/(IF(Inputs!$B$38="pvp",15,MAX(0.1,Skills!D18-IF(Skills!E18=TRUE,Inputs!$B$32,0)))*(1-IF(AND(ArtifactsInput!$M$27,Inputs!$B$4="Chapter Hunt"),CHOOSE(ArtifactsInput!$N$27+1,20,24,28,32,36,40),0)/100)))+1)),0)</f>
        <v/>
      </c>
      <c r="S2409">
        <f>IFERROR(O2409/N2409,0)</f>
        <v/>
      </c>
      <c r="T2409" t="n">
        <v>0</v>
      </c>
      <c r="V2409" t="n">
        <v>0</v>
      </c>
    </row>
    <row r="2410">
      <c r="A2410">
        <f>Skills!A19</f>
        <v/>
      </c>
      <c r="B2410">
        <f>Skills!B19</f>
        <v/>
      </c>
      <c r="C2410">
        <f>TRUE</f>
        <v/>
      </c>
      <c r="D2410">
        <f>IF(Skills!C19=1,60+Inputs!$B$25+Inputs!$B$29,IF(Skills!C19=2,90+Inputs!$B$26+Inputs!$B$29,IF(Skills!C19=3,120+Inputs!$B$27+Inputs!$B$29,MAX(0,(Inputs!$B$3-100)*3)+Inputs!$B$28+Inputs!$B$29)))</f>
        <v/>
      </c>
      <c r="E2410">
        <f>INDEX(FactorTable!$B$2:$Y$301, MATCH(ROUND(MIN(300,MAX(1,D2410)),0), FactorTable!$A$2:$A$301,0), Skills!M19+1)</f>
        <v/>
      </c>
      <c r="F2410">
        <f>IF(Skills!N19=TRUE,(Skills!L19/10)*(E2410/1000),Skills!L19/10)+Skills!O19</f>
        <v/>
      </c>
      <c r="G2410">
        <f>Skills!G19*IF(Skills!H19&gt;0,Skills!I19/Skills!H19,1)</f>
        <v/>
      </c>
      <c r="H2410">
        <f>1-(1-Skills!J19/100)^Skills!K19</f>
        <v/>
      </c>
      <c r="I2410" t="inlineStr">
        <is>
          <t>1</t>
        </is>
      </c>
      <c r="J2410" t="inlineStr"/>
      <c r="K2410" t="inlineStr"/>
      <c r="L2410" t="inlineStr"/>
      <c r="M2410" t="inlineStr"/>
      <c r="N2410" t="inlineStr"/>
      <c r="O2410">
        <f>(1-Summary!$B$11)*T2410+Summary!$B$11*V2410</f>
        <v/>
      </c>
      <c r="P2410">
        <f>IF(B2428=0,0,O2410/B2428)</f>
        <v/>
      </c>
      <c r="Q2410">
        <f>IFERROR(1/(IF(Inputs!$B$38="pvp",15,MAX(0.1,Skills!D19-IF(Skills!E19=TRUE,Inputs!$B$32,0)))*(1-IF(AND(ArtifactsInput!$M$27,Inputs!$B$4="Chapter Hunt"),CHOOSE(ArtifactsInput!$N$27+1,20,24,28,32,36,40),0)/100)),0)</f>
        <v/>
      </c>
      <c r="R2410">
        <f>IF(AND(Inputs!$B$38&lt;&gt;"pvp",Inputs!$B$43&gt;0),IF(Inputs!$B$43&lt;=0,0,(INT(Inputs!$B$43/(IF(Inputs!$B$38="pvp",15,MAX(0.1,Skills!D19-IF(Skills!E19=TRUE,Inputs!$B$32,0)))*(1-IF(AND(ArtifactsInput!$M$27,Inputs!$B$4="Chapter Hunt"),CHOOSE(ArtifactsInput!$N$27+1,20,24,28,32,36,40),0)/100)))+1)),0)</f>
        <v/>
      </c>
      <c r="S2410">
        <f>IFERROR(O2410/N2410,0)</f>
        <v/>
      </c>
      <c r="T2410" t="n">
        <v>0</v>
      </c>
      <c r="V2410" t="n">
        <v>0</v>
      </c>
    </row>
    <row r="2411">
      <c r="A2411">
        <f>Skills!A20</f>
        <v/>
      </c>
      <c r="B2411">
        <f>Skills!B20</f>
        <v/>
      </c>
      <c r="C2411">
        <f>Inputs!$B$3&gt;=33</f>
        <v/>
      </c>
      <c r="D2411">
        <f>IF(Skills!C20=1,60+Inputs!$B$25+Inputs!$B$29,IF(Skills!C20=2,90+Inputs!$B$26+Inputs!$B$29,IF(Skills!C20=3,120+Inputs!$B$27+Inputs!$B$29,MAX(0,(Inputs!$B$3-100)*3)+Inputs!$B$28+Inputs!$B$29)))</f>
        <v/>
      </c>
      <c r="E2411">
        <f>INDEX(FactorTable!$B$2:$Y$301, MATCH(ROUND(MIN(300,MAX(1,D2411)),0), FactorTable!$A$2:$A$301,0), Skills!M20+1)</f>
        <v/>
      </c>
      <c r="F2411">
        <f>IF(Skills!N20=TRUE,(Skills!L20/10)*(E2411/1000),Skills!L20/10)+Skills!O20</f>
        <v/>
      </c>
      <c r="G2411">
        <f>Skills!G20*IF(Skills!H20&gt;0,Skills!I20/Skills!H20,1)</f>
        <v/>
      </c>
      <c r="H2411">
        <f>1-(1-Skills!J20/100)^Skills!K20</f>
        <v/>
      </c>
      <c r="I2411" t="inlineStr">
        <is>
          <t>1</t>
        </is>
      </c>
      <c r="J2411" t="inlineStr"/>
      <c r="K2411" t="inlineStr"/>
      <c r="L2411" t="inlineStr"/>
      <c r="M2411" t="inlineStr"/>
      <c r="N2411" t="inlineStr"/>
      <c r="O2411">
        <f>(1-Summary!$B$11)*T2411+Summary!$B$11*V2411</f>
        <v/>
      </c>
      <c r="P2411">
        <f>IF(B2428=0,0,O2411/B2428)</f>
        <v/>
      </c>
      <c r="Q2411" t="n">
        <v>0</v>
      </c>
      <c r="R2411" t="n">
        <v>0</v>
      </c>
      <c r="S2411">
        <f>IFERROR(O2411/N2411,0)</f>
        <v/>
      </c>
      <c r="T2411" t="n">
        <v>0</v>
      </c>
      <c r="V2411" t="n">
        <v>0</v>
      </c>
    </row>
    <row r="2412">
      <c r="A2412">
        <f>Skills!A21</f>
        <v/>
      </c>
      <c r="B2412">
        <f>Skills!B21</f>
        <v/>
      </c>
      <c r="C2412">
        <f>Inputs!$B$3&gt;=38</f>
        <v/>
      </c>
      <c r="D2412">
        <f>IF(Skills!C21=1,60+Inputs!$B$25+Inputs!$B$29,IF(Skills!C21=2,90+Inputs!$B$26+Inputs!$B$29,IF(Skills!C21=3,120+Inputs!$B$27+Inputs!$B$29,MAX(0,(Inputs!$B$3-100)*3)+Inputs!$B$28+Inputs!$B$29)))</f>
        <v/>
      </c>
      <c r="E2412">
        <f>INDEX(FactorTable!$B$2:$Y$301, MATCH(ROUND(MIN(300,MAX(1,D2412)),0), FactorTable!$A$2:$A$301,0), Skills!M21+1)</f>
        <v/>
      </c>
      <c r="F2412">
        <f>IF(Skills!N21=TRUE,(Skills!L21/10)*(E2412/1000),Skills!L21/10)+Skills!O21</f>
        <v/>
      </c>
      <c r="G2412">
        <f>Skills!G21*IF(Skills!H21&gt;0,Skills!I21/Skills!H21,1)</f>
        <v/>
      </c>
      <c r="H2412">
        <f>1-(1-Skills!J21/100)^Skills!K21</f>
        <v/>
      </c>
      <c r="I2412" t="inlineStr">
        <is>
          <t>1</t>
        </is>
      </c>
      <c r="J2412" t="inlineStr"/>
      <c r="K2412" t="inlineStr"/>
      <c r="L2412" t="inlineStr"/>
      <c r="M2412" t="inlineStr"/>
      <c r="N2412" t="inlineStr"/>
      <c r="O2412">
        <f>(1-Summary!$B$11)*T2412+Summary!$B$11*V2412</f>
        <v/>
      </c>
      <c r="P2412">
        <f>IF(B2428=0,0,O2412/B2428)</f>
        <v/>
      </c>
      <c r="Q2412" t="n">
        <v>0</v>
      </c>
      <c r="R2412" t="n">
        <v>0</v>
      </c>
      <c r="S2412">
        <f>IFERROR(O2412/N2412,0)</f>
        <v/>
      </c>
      <c r="T2412" t="n">
        <v>0</v>
      </c>
      <c r="V2412" t="n">
        <v>0</v>
      </c>
    </row>
    <row r="2413">
      <c r="A2413">
        <f>Skills!A22</f>
        <v/>
      </c>
      <c r="B2413">
        <f>Skills!B22</f>
        <v/>
      </c>
      <c r="C2413">
        <f>Inputs!$B$3&gt;=43</f>
        <v/>
      </c>
      <c r="D2413">
        <f>IF(Skills!C22=1,60+Inputs!$B$25+Inputs!$B$29,IF(Skills!C22=2,90+Inputs!$B$26+Inputs!$B$29,IF(Skills!C22=3,120+Inputs!$B$27+Inputs!$B$29,MAX(0,(Inputs!$B$3-100)*3)+Inputs!$B$28+Inputs!$B$29)))</f>
        <v/>
      </c>
      <c r="E2413">
        <f>INDEX(FactorTable!$B$2:$Y$301, MATCH(ROUND(MIN(300,MAX(1,D2413)),0), FactorTable!$A$2:$A$301,0), Skills!M22+1)</f>
        <v/>
      </c>
      <c r="F2413">
        <f>IF(Skills!N22=TRUE,(Skills!L22/10)*(E2413/1000),Skills!L22/10)+Skills!O22</f>
        <v/>
      </c>
      <c r="G2413">
        <f>Skills!G22*IF(Skills!H22&gt;0,Skills!I22/Skills!H22,1)</f>
        <v/>
      </c>
      <c r="H2413">
        <f>1-(1-Skills!J22/100)^Skills!K22</f>
        <v/>
      </c>
      <c r="I2413" t="inlineStr">
        <is>
          <t>1</t>
        </is>
      </c>
      <c r="J2413" t="inlineStr"/>
      <c r="K2413" t="inlineStr"/>
      <c r="L2413" t="inlineStr"/>
      <c r="M2413" t="inlineStr"/>
      <c r="N2413" t="inlineStr"/>
      <c r="O2413">
        <f>(1-Summary!$B$11)*T2413+Summary!$B$11*V2413</f>
        <v/>
      </c>
      <c r="P2413">
        <f>IF(B2428=0,0,O2413/B2428)</f>
        <v/>
      </c>
      <c r="Q2413" t="n">
        <v>0</v>
      </c>
      <c r="R2413" t="n">
        <v>0</v>
      </c>
      <c r="S2413">
        <f>IFERROR(O2413/N2413,0)</f>
        <v/>
      </c>
      <c r="T2413" t="n">
        <v>0</v>
      </c>
      <c r="V2413" t="n">
        <v>0</v>
      </c>
    </row>
    <row r="2414">
      <c r="A2414">
        <f>Skills!A23</f>
        <v/>
      </c>
      <c r="B2414">
        <f>Skills!B23</f>
        <v/>
      </c>
      <c r="C2414">
        <f>Inputs!$B$3&gt;=120</f>
        <v/>
      </c>
      <c r="D2414">
        <f>IF(Skills!C23=1,60+Inputs!$B$25+Inputs!$B$29,IF(Skills!C23=2,90+Inputs!$B$26+Inputs!$B$29,IF(Skills!C23=3,120+Inputs!$B$27+Inputs!$B$29,MAX(0,(Inputs!$B$3-100)*3)+Inputs!$B$28+Inputs!$B$29)))</f>
        <v/>
      </c>
      <c r="E2414">
        <f>INDEX(FactorTable!$B$2:$Y$301, MATCH(ROUND(MIN(300,MAX(1,D2414)),0), FactorTable!$A$2:$A$301,0), Skills!M23+1)</f>
        <v/>
      </c>
      <c r="F2414">
        <f>IF(Skills!N23=TRUE,(Skills!L23/10)*(E2414/1000),Skills!L23/10)+Skills!O23</f>
        <v/>
      </c>
      <c r="G2414">
        <f>Skills!G23*IF(Skills!H23&gt;0,Skills!I23/Skills!H23,1)</f>
        <v/>
      </c>
      <c r="H2414">
        <f>1-(1-Skills!J23/100)^Skills!K23</f>
        <v/>
      </c>
      <c r="I2414" t="inlineStr">
        <is>
          <t>1</t>
        </is>
      </c>
      <c r="J2414" t="inlineStr"/>
      <c r="K2414" t="inlineStr"/>
      <c r="L2414" t="inlineStr"/>
      <c r="M2414" t="inlineStr"/>
      <c r="N2414" t="inlineStr"/>
      <c r="O2414">
        <f>(1-Summary!$B$11)*T2414+Summary!$B$11*V2414</f>
        <v/>
      </c>
      <c r="P2414">
        <f>IF(B2428=0,0,O2414/B2428)</f>
        <v/>
      </c>
      <c r="Q2414" t="n">
        <v>0</v>
      </c>
      <c r="R2414" t="n">
        <v>0</v>
      </c>
      <c r="S2414">
        <f>IFERROR(O2414/N2414,0)</f>
        <v/>
      </c>
      <c r="T2414" t="n">
        <v>0</v>
      </c>
      <c r="V2414" t="n">
        <v>0</v>
      </c>
    </row>
    <row r="2415">
      <c r="A2415">
        <f>Skills!A24</f>
        <v/>
      </c>
      <c r="B2415">
        <f>Skills!B24</f>
        <v/>
      </c>
      <c r="C2415">
        <f>Inputs!$B$3&gt;=120</f>
        <v/>
      </c>
      <c r="D2415">
        <f>IF(Skills!C24=1,60+Inputs!$B$25+Inputs!$B$29,IF(Skills!C24=2,90+Inputs!$B$26+Inputs!$B$29,IF(Skills!C24=3,120+Inputs!$B$27+Inputs!$B$29,MAX(0,(Inputs!$B$3-100)*3)+Inputs!$B$28+Inputs!$B$29)))</f>
        <v/>
      </c>
      <c r="E2415">
        <f>INDEX(FactorTable!$B$2:$Y$301, MATCH(ROUND(MIN(300,MAX(1,D2415)),0), FactorTable!$A$2:$A$301,0), Skills!M24+1)</f>
        <v/>
      </c>
      <c r="F2415">
        <f>IF(Skills!N24=TRUE,(Skills!L24/10)*(E2415/1000),Skills!L24/10)+Skills!O24</f>
        <v/>
      </c>
      <c r="G2415">
        <f>Skills!G24*IF(Skills!H24&gt;0,Skills!I24/Skills!H24,1)</f>
        <v/>
      </c>
      <c r="H2415">
        <f>1-(1-Skills!J24/100)^Skills!K24</f>
        <v/>
      </c>
      <c r="I2415" t="inlineStr">
        <is>
          <t>1</t>
        </is>
      </c>
      <c r="J2415" t="inlineStr"/>
      <c r="K2415" t="inlineStr"/>
      <c r="L2415" t="inlineStr"/>
      <c r="M2415" t="inlineStr"/>
      <c r="N2415" t="inlineStr"/>
      <c r="O2415">
        <f>(1-Summary!$B$11)*T2415+Summary!$B$11*V2415</f>
        <v/>
      </c>
      <c r="P2415">
        <f>IF(B2428=0,0,O2415/B2428)</f>
        <v/>
      </c>
      <c r="Q2415" t="n">
        <v>0</v>
      </c>
      <c r="R2415" t="n">
        <v>0</v>
      </c>
      <c r="S2415">
        <f>IFERROR(O2415/N2415,0)</f>
        <v/>
      </c>
      <c r="T2415" t="n">
        <v>0</v>
      </c>
      <c r="V2415" t="n">
        <v>0</v>
      </c>
    </row>
    <row r="2417">
      <c r="A2417" t="inlineStr">
        <is>
          <t>Attack% Bucket Multiplier</t>
        </is>
      </c>
      <c r="B2417">
        <f>(1+(((C2404=TRUE)*F2404*MIN(1,Skills!T13*(Skills!J13/100)*B2422))+((C2409=TRUE)*F2409*IF(AND(Inputs!$B$38&lt;&gt;"pvp",Inputs!$B$43&gt;0),(((R2409-1)*(Skills!T18*(1+Inputs!$B$34/100))+MIN((Skills!T18*(1+Inputs!$B$34/100)),MAX(0,Inputs!$B$43-((R2409-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18">
      <c r="A2418" t="inlineStr">
        <is>
          <t>Global Crit Rate Bonus %</t>
        </is>
      </c>
      <c r="B2418" t="n">
        <v>0</v>
      </c>
    </row>
    <row r="2419">
      <c r="A2419" t="inlineStr">
        <is>
          <t>Attack Speed Buff Bonus %</t>
        </is>
      </c>
      <c r="B2419">
        <f>((C2410=TRUE)*F2410*IF(AND(Inputs!$B$38&lt;&gt;"pvp",Inputs!$B$43&gt;0),(((R2410-1)*(Skills!T19*(1+Inputs!$B$34/100))+MIN((Skills!T19*(1+Inputs!$B$34/100)),MAX(0,Inputs!$B$43-((R2410-1)*Skills!D19))))/Inputs!$B$43),IF(Inputs!$B$38="pvp",MIN((Skills!T19*(1+Inputs!$B$34/100)),15)/15,(Skills!T19*(1+Inputs!$B$34/100))/Skills!D19)))</f>
        <v/>
      </c>
    </row>
    <row r="2420">
      <c r="A2420" t="inlineStr">
        <is>
          <t>Actions Per Second</t>
        </is>
      </c>
      <c r="B2420">
        <f>1+MIN(150,150*(1-(1-(Inputs!$B$11+((C2411=TRUE)*(F2411-Calc!F20)))/150)*(1-B2419/150)))/100</f>
        <v/>
      </c>
    </row>
    <row r="2421">
      <c r="A2421" t="inlineStr">
        <is>
          <t>Skill + Buff Cast Rate</t>
        </is>
      </c>
      <c r="B2421">
        <f>IF(AND(Inputs!$B$38&lt;&gt;"pvp",Inputs!$B$43&gt;0),SUMPRODUCT((Skills!E2:E24=TRUE)*(C2393:C2415=TRUE)*R2393:R2415*Skills!F2:F24)/Inputs!$B$43,SUMPRODUCT((Skills!E2:E24=TRUE)*(C2393:C2415=TRUE)*Q2393:Q2415*Skills!F2:F24))</f>
        <v/>
      </c>
    </row>
    <row r="2422">
      <c r="A2422" t="inlineStr">
        <is>
          <t>Blast Casts Per Second</t>
        </is>
      </c>
      <c r="B2422">
        <f>MAX(0,B2420-B2421)</f>
        <v/>
      </c>
    </row>
    <row r="2423">
      <c r="A2423" t="inlineStr">
        <is>
          <t>Global Critical Damage Bonus % (unused)</t>
        </is>
      </c>
      <c r="B2423" t="n">
        <v>0</v>
      </c>
    </row>
    <row r="2424">
      <c r="A2424" t="inlineStr">
        <is>
          <t>Global Final Damage Bonus % (Divine Shield + Guardian + Divine Blessing + Greater Vessel of Light)</t>
        </is>
      </c>
      <c r="B2424">
        <f>((C2406=TRUE)*F2406*IF(AND(Inputs!$B$38&lt;&gt;"pvp",Inputs!$B$43&gt;0),(((R2406-1)*(Skills!T15*(1+Inputs!$B$34/100))+MIN((Skills!T15*(1+Inputs!$B$34/100)),MAX(0,Inputs!$B$43-((R2406-1)*Skills!D15))))/Inputs!$B$43),IF(Inputs!$B$38="pvp",MIN((Skills!T15*(1+Inputs!$B$34/100)),15)/15,(Skills!T15*(1+Inputs!$B$34/100))/Skills!D15)))+((C2407=TRUE)*F2407*IF(AND(Inputs!$B$38&lt;&gt;"pvp",Inputs!$B$43&gt;0),(((R2407-1)*(Skills!T16*(1+Inputs!$B$34/100))+MIN((Skills!T16*(1+Inputs!$B$34/100)),MAX(0,Inputs!$B$43-((R2407-1)*Skills!D16))))/Inputs!$B$43),IF(Inputs!$B$38="pvp",MIN((Skills!T16*(1+Inputs!$B$34/100)),15)/15,(Skills!T16*(1+Inputs!$B$34/100))/Skills!D16)))+((C2408=TRUE)*F2408*IF(AND(Inputs!$B$38&lt;&gt;"pvp",Inputs!$B$43&gt;0),(((R2408-1)*(Skills!T17*(1+Inputs!$B$34/100))+MIN((Skills!T17*(1+Inputs!$B$34/100)),MAX(0,Inputs!$B$43-((R2408-1)*Skills!D17))))/Inputs!$B$43),IF(Inputs!$B$38="pvp",MIN((Skills!T17*(1+Inputs!$B$34/100)),15)/15,(Skills!T17*(1+Inputs!$B$34/100))/Skills!D17)))+((C2405=TRUE)*F2405*MIN(1,Skills!T13*(Skills!J13/100)*B2422))</f>
        <v/>
      </c>
    </row>
    <row r="2425">
      <c r="A2425" t="inlineStr">
        <is>
          <t>Buff-Casting Startup Delay (s, fixed-duration only)</t>
        </is>
      </c>
      <c r="B2425">
        <f>IF(AND(Inputs!$B$38&lt;&gt;"pvp",Inputs!$B$43&gt;0),SUMPRODUCT((Skills!T2:T24&gt;0)*(Skills!E2:E24=TRUE)*(C2393:C2415=TRUE))/B2420,0)</f>
        <v/>
      </c>
    </row>
    <row r="2426">
      <c r="A2426" t="inlineStr">
        <is>
          <t>Boss-Only Total DPS (this block's swept value)</t>
        </is>
      </c>
      <c r="B2426">
        <f>SUM(T2393:T2415)</f>
        <v/>
      </c>
    </row>
    <row r="2427">
      <c r="A2427" t="inlineStr">
        <is>
          <t>Normal-Only Total DPS (this block's swept value)</t>
        </is>
      </c>
      <c r="B2427">
        <f>SUM(V2393:V2415)</f>
        <v/>
      </c>
    </row>
    <row r="2428">
      <c r="A2428" s="6" t="inlineStr">
        <is>
          <t>TOTAL DPS</t>
        </is>
      </c>
      <c r="B2428" s="6">
        <f>SUM(O2393:O2415)</f>
        <v/>
      </c>
    </row>
    <row r="2431">
      <c r="A2431" s="6" t="inlineStr">
        <is>
          <t>Stat: Reindeer's Spear (Equip)</t>
        </is>
      </c>
    </row>
    <row r="2432">
      <c r="A2432" s="5" t="inlineStr">
        <is>
          <t>Key</t>
        </is>
      </c>
      <c r="B2432" s="5" t="inlineStr">
        <is>
          <t>Name</t>
        </is>
      </c>
      <c r="C2432" s="5" t="inlineStr">
        <is>
          <t>Unlocked</t>
        </is>
      </c>
      <c r="D2432" s="5" t="inlineStr">
        <is>
          <t>InputLevel</t>
        </is>
      </c>
      <c r="E2432" s="5" t="inlineStr">
        <is>
          <t>Factor</t>
        </is>
      </c>
      <c r="F2432" s="5" t="inlineStr">
        <is>
          <t>CoefficientPercent</t>
        </is>
      </c>
      <c r="G2432" s="5" t="inlineStr">
        <is>
          <t>EffectiveHits</t>
        </is>
      </c>
      <c r="H2432" s="5" t="inlineStr">
        <is>
          <t>ProcProbability</t>
        </is>
      </c>
      <c r="I2432" s="5" t="inlineStr">
        <is>
          <t>MapleHeroMultiplier</t>
        </is>
      </c>
      <c r="J2432" s="5" t="inlineStr">
        <is>
          <t>BaseDamage</t>
        </is>
      </c>
      <c r="K2432" s="5" t="inlineStr">
        <is>
          <t>BaseHitDamage</t>
        </is>
      </c>
      <c r="L2432" s="5" t="inlineStr">
        <is>
          <t>NonCritAvg</t>
        </is>
      </c>
      <c r="M2432" s="5" t="inlineStr">
        <is>
          <t>CritAvg</t>
        </is>
      </c>
      <c r="N2432" s="5" t="inlineStr">
        <is>
          <t>ExpectedDamage(perHit)</t>
        </is>
      </c>
      <c r="O2432" s="5" t="inlineStr">
        <is>
          <t>DPS</t>
        </is>
      </c>
      <c r="P2432" s="5" t="inlineStr">
        <is>
          <t>% of Total</t>
        </is>
      </c>
      <c r="Q2432" s="5" t="inlineStr">
        <is>
          <t>InvCooldown</t>
        </is>
      </c>
      <c r="R2432" s="5" t="inlineStr">
        <is>
          <t>CastsInFight</t>
        </is>
      </c>
      <c r="S2432" s="5" t="inlineStr">
        <is>
          <t>HitRate(perSec)</t>
        </is>
      </c>
      <c r="U2432" t="inlineStr">
        <is>
          <t>helpers</t>
        </is>
      </c>
    </row>
    <row r="2433">
      <c r="A2433">
        <f>Skills!A2</f>
        <v/>
      </c>
      <c r="B2433">
        <f>Skills!B2</f>
        <v/>
      </c>
      <c r="C2433">
        <f>Inputs!$B$3&gt;=100</f>
        <v/>
      </c>
      <c r="D2433" t="inlineStr"/>
      <c r="E2433" t="inlineStr"/>
      <c r="F2433">
        <f>U2435+Skills!O2</f>
        <v/>
      </c>
      <c r="G2433">
        <f>Skills!G2*IF(Skills!H2&gt;0,Skills!I2/Skills!H2,1)</f>
        <v/>
      </c>
      <c r="H2433">
        <f>1-(1-Skills!J2/100)^Skills!K2</f>
        <v/>
      </c>
      <c r="I2433" t="inlineStr">
        <is>
          <t>1</t>
        </is>
      </c>
      <c r="J2433">
        <f>((Inputs!$B$6*(1+Inputs!$B$7/100))+(((Inputs!$B$12*(1+Inputs!$B$13/100))-(Inputs!$B$12*(1+Inputs!$B$13/100)))+0.25*(Inputs!$B$14-Inputs!$B$14))*(1+Inputs!$B$7/100))*(F2433/100)</f>
        <v/>
      </c>
      <c r="K2433">
        <f>J2433*(1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2433)</f>
        <v/>
      </c>
      <c r="L2433">
        <f>K2433*(MIN(Inputs!$B$22+((C2453=TRUE)*(F2453-Calc!F22)),(Inputs!$B$23+((C2455=TRUE)*(F2455-Calc!F24))+(IF(ArtifactsInput!$M$15,CHOOSE(ArtifactsInput!$N$15+1,25,30,35,40,45,50)/100*(Inputs!$B$11-Inputs!$B$11),0))))/100+(Inputs!$B$23+((C2455=TRUE)*(F2455-Calc!F24))+(IF(ArtifactsInput!$M$15,CHOOSE(ArtifactsInput!$N$15+1,25,30,35,40,45,50)/100*(Inputs!$B$11-Inputs!$B$11),0)))/100)/2</f>
        <v/>
      </c>
      <c r="M2433">
        <f>L2433*(1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3">
        <f>L2433*(1-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2433*(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3">
        <f>(1-Summary!$B$11)*T2433+Summary!$B$11*V2433</f>
        <v/>
      </c>
      <c r="P2433">
        <f>IF(B2468=0,0,O2433/B2468)</f>
        <v/>
      </c>
      <c r="Q2433" t="n">
        <v>0</v>
      </c>
      <c r="R2433" t="n">
        <v>0</v>
      </c>
      <c r="S2433">
        <f>IFERROR(O2433/N2433,0)</f>
        <v/>
      </c>
      <c r="T2433">
        <f>IF(C2433,(Skills!G2*N2433*B2462)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2433*(1-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2433*(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2433*(1-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2433*(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33">
        <f>MAX(0,(Inputs!$B$3-100)*3)+Inputs!$B$28+Inputs!$B$29</f>
        <v/>
      </c>
      <c r="V2433">
        <f>IF(C2433,(Skills!G2*N2433*B2462)*IF(Inputs!$B$38="pvp",1,(1+(Inputs!$B$21+Skills!Q2+(IF(ArtifactsInput!$M$33,CHOOSE(ArtifactsInput!$N$33+1,30,36,42,48,54,60),0))+(IF(AND(ArtifactsInput!$M$35,Inputs!$B$4&lt;&gt;"Chapter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4">
      <c r="A2434">
        <f>Skills!A3</f>
        <v/>
      </c>
      <c r="B2434">
        <f>Skills!B3</f>
        <v/>
      </c>
      <c r="C2434">
        <f>Inputs!$B$3&gt;=50</f>
        <v/>
      </c>
      <c r="D2434">
        <f>IF(Skills!C3=1,60+Inputs!$B$25+Inputs!$B$29,IF(Skills!C3=2,90+Inputs!$B$26+Inputs!$B$29,IF(Skills!C3=3,120+Inputs!$B$27+Inputs!$B$29,MAX(0,(Inputs!$B$3-100)*3)+Inputs!$B$28+Inputs!$B$29)))</f>
        <v/>
      </c>
      <c r="E2434">
        <f>INDEX(FactorTable!$B$2:$Y$301, MATCH(ROUND(MIN(300,MAX(1,D2434)),0), FactorTable!$A$2:$A$301,0), Skills!M3+1)</f>
        <v/>
      </c>
      <c r="F2434">
        <f>IF(Skills!N3=TRUE,(Skills!L3/10)*(E2434/1000),Skills!L3/10)+Skills!O3</f>
        <v/>
      </c>
      <c r="G2434" t="inlineStr"/>
      <c r="H2434" t="inlineStr"/>
      <c r="I2434" t="inlineStr">
        <is>
          <t>1</t>
        </is>
      </c>
      <c r="J2434" t="inlineStr"/>
      <c r="K2434" t="inlineStr"/>
      <c r="L2434" t="inlineStr"/>
      <c r="M2434" t="inlineStr"/>
      <c r="N2434" t="inlineStr"/>
      <c r="O2434" t="inlineStr"/>
      <c r="P2434" t="inlineStr"/>
      <c r="Q2434" t="inlineStr"/>
      <c r="R2434" t="inlineStr"/>
      <c r="S2434" t="inlineStr"/>
      <c r="U2434">
        <f>INDEX(FactorTable!$B$2:$Y$301, MATCH(ROUND(MIN(300,MAX(1,U2433)),0), FactorTable!$A$2:$A$301,0), 22)</f>
        <v/>
      </c>
    </row>
    <row r="2435">
      <c r="A2435">
        <f>Skills!A4</f>
        <v/>
      </c>
      <c r="B2435">
        <f>Skills!B4</f>
        <v/>
      </c>
      <c r="C2435">
        <f>Inputs!$B$3&gt;=35</f>
        <v/>
      </c>
      <c r="D2435">
        <f>IF(Skills!C4=1,60+Inputs!$B$25+Inputs!$B$29,IF(Skills!C4=2,90+Inputs!$B$26+Inputs!$B$29,IF(Skills!C4=3,120+Inputs!$B$27+Inputs!$B$29,MAX(0,(Inputs!$B$3-100)*3)+Inputs!$B$28+Inputs!$B$29)))</f>
        <v/>
      </c>
      <c r="E2435">
        <f>INDEX(FactorTable!$B$2:$Y$301, MATCH(ROUND(MIN(300,MAX(1,D2435)),0), FactorTable!$A$2:$A$301,0), Skills!M4+1)</f>
        <v/>
      </c>
      <c r="F2435">
        <f>IF(Skills!N4=TRUE,(Skills!L4/10)*(E2435/1000),Skills!L4/10)+Skills!O4</f>
        <v/>
      </c>
      <c r="G2435">
        <f>Skills!G4*IF(Skills!H4&gt;0,Skills!I4/Skills!H4,1)</f>
        <v/>
      </c>
      <c r="H2435">
        <f>1-(1-Skills!J4/100)^Skills!K4</f>
        <v/>
      </c>
      <c r="I2435" t="inlineStr">
        <is>
          <t>1</t>
        </is>
      </c>
      <c r="J2435">
        <f>((Inputs!$B$6*(1+Inputs!$B$7/100))+(((Inputs!$B$12*(1+Inputs!$B$13/100))-(Inputs!$B$12*(1+Inputs!$B$13/100)))+0.25*(Inputs!$B$14-Inputs!$B$14))*(1+Inputs!$B$7/100))*(F2435/100)</f>
        <v/>
      </c>
      <c r="K2435">
        <f>J2435*(1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2443=TRUE,F2443,0)/100)*(1+(IF(Skills!A4="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2435)</f>
        <v/>
      </c>
      <c r="L2435">
        <f>K2435*(MIN(Inputs!$B$22+((C2453=TRUE)*(F2453-Calc!F22)),(Inputs!$B$23+((C2455=TRUE)*(F2455-Calc!F24))+(IF(ArtifactsInput!$M$15,CHOOSE(ArtifactsInput!$N$15+1,25,30,35,40,45,50)/100*(Inputs!$B$11-Inputs!$B$11),0))))/100+(Inputs!$B$23+((C2455=TRUE)*(F2455-Calc!F24))+(IF(ArtifactsInput!$M$15,CHOOSE(ArtifactsInput!$N$15+1,25,30,35,40,45,50)/100*(Inputs!$B$11-Inputs!$B$11),0)))/100)/2</f>
        <v/>
      </c>
      <c r="M2435">
        <f>L2435*(1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5">
        <f>L2435*(1-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2435*(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5">
        <f>(1-Summary!$B$11)*T2435+Summary!$B$11*V2435</f>
        <v/>
      </c>
      <c r="P2435">
        <f>IF(B2468=0,0,O2435/B2468)</f>
        <v/>
      </c>
      <c r="Q2435">
        <f>IFERROR(1/(IF(Inputs!$B$38="pvp",15,MAX(0.1,Skills!D4-IF(Skills!E4=TRUE,Inputs!$B$32,0)))*(1-IF(AND(ArtifactsInput!$M$27,Inputs!$B$4="Chapter Hunt"),CHOOSE(ArtifactsInput!$N$27+1,20,24,28,32,36,40),0)/100)),0)</f>
        <v/>
      </c>
      <c r="R2435">
        <f>IF(AND(Inputs!$B$38&lt;&gt;"pvp",Inputs!$B$43&gt;0),IF(MAX(0,Inputs!$B$43-B2465)&lt;=0,0,(INT(MAX(0,Inputs!$B$43-B2465)/(IF(Inputs!$B$38="pvp",15,MAX(0.1,Skills!D4-IF(Skills!E4=TRUE,Inputs!$B$32,0)))*(1-IF(AND(ArtifactsInput!$M$27,Inputs!$B$4="Chapter Hunt"),CHOOSE(ArtifactsInput!$N$27+1,20,24,28,32,36,40),0)/100)))+1)),0)</f>
        <v/>
      </c>
      <c r="S2435">
        <f>IFERROR(O2435/N2435,0)</f>
        <v/>
      </c>
      <c r="T2435">
        <f>IF(C2435,(H2435*N2435*IF(AND(Inputs!$B$38&lt;&gt;"pvp",Inputs!$B$43&gt;0),((Skills!G4*((R2435-1)*IF(Skills!H4&gt;0,Skills!I4/Skills!H4,1)+IF(Skills!H4&gt;0,MIN(Skills!I4,MAX(0,MAX(0,Inputs!$B$43-B2465)-((R2435-1)*(IF(Inputs!$B$38="pvp",15,MAX(0.1,Skills!D4-IF(Skills!E4=TRUE,Inputs!$B$32,0)))*(1-IF(AND(ArtifactsInput!$M$27,Inputs!$B$4="Chapter Hunt"),CHOOSE(ArtifactsInput!$N$27+1,20,24,28,32,36,40),0)/100)))))/Skills!H4,1)))/Inputs!$B$43),G2435*Q2435)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2435*(1-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2435*(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2435*(1-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2435*(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35">
        <f>290*U2434/1000</f>
        <v/>
      </c>
      <c r="V2435">
        <f>IF(C2435,(H2435*N2435*IF(AND(Inputs!$B$38&lt;&gt;"pvp",Inputs!$B$43&gt;0),((Skills!G4*((R2435-1)*IF(Skills!H4&gt;0,Skills!I4/Skills!H4,1)+IF(Skills!H4&gt;0,MIN(Skills!I4,MAX(0,MAX(0,Inputs!$B$43-B2465)-((R2435-1)*(IF(Inputs!$B$38="pvp",15,MAX(0.1,Skills!D4-IF(Skills!E4=TRUE,Inputs!$B$32,0)))*(1-IF(AND(ArtifactsInput!$M$27,Inputs!$B$4="Chapter Hunt"),CHOOSE(ArtifactsInput!$N$27+1,20,24,28,32,36,40),0)/100)))))/Skills!H4,1)))/Inputs!$B$43),G2435*Q2435))*IF(Inputs!$B$38="pvp",1,(1+(Inputs!$B$21+Skills!Q4+(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6">
      <c r="A2436">
        <f>Skills!A5</f>
        <v/>
      </c>
      <c r="B2436">
        <f>Skills!B5</f>
        <v/>
      </c>
      <c r="C2436">
        <f>Inputs!$B$3&gt;=66</f>
        <v/>
      </c>
      <c r="D2436">
        <f>IF(Skills!C5=1,60+Inputs!$B$25+Inputs!$B$29,IF(Skills!C5=2,90+Inputs!$B$26+Inputs!$B$29,IF(Skills!C5=3,120+Inputs!$B$27+Inputs!$B$29,MAX(0,(Inputs!$B$3-100)*3)+Inputs!$B$28+Inputs!$B$29)))</f>
        <v/>
      </c>
      <c r="E2436">
        <f>INDEX(FactorTable!$B$2:$Y$301, MATCH(ROUND(MIN(300,MAX(1,D2436)),0), FactorTable!$A$2:$A$301,0), Skills!M5+1)</f>
        <v/>
      </c>
      <c r="F2436">
        <f>IF(Skills!N5=TRUE,(Skills!L5/10)*(E2436/1000),Skills!L5/10)+Skills!O5</f>
        <v/>
      </c>
      <c r="G2436">
        <f>Skills!G5*IF(Skills!H5&gt;0,Skills!I5/Skills!H5,1)</f>
        <v/>
      </c>
      <c r="H2436">
        <f>1-(1-Skills!J5/100)^Skills!K5</f>
        <v/>
      </c>
      <c r="I2436" t="inlineStr">
        <is>
          <t>1</t>
        </is>
      </c>
      <c r="J2436">
        <f>((Inputs!$B$6*(1+Inputs!$B$7/100))+(((Inputs!$B$12*(1+Inputs!$B$13/100))-(Inputs!$B$12*(1+Inputs!$B$13/100)))+0.25*(Inputs!$B$14-Inputs!$B$14))*(1+Inputs!$B$7/100))*(F2436/100)</f>
        <v/>
      </c>
      <c r="K2436">
        <f>J2436*(1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2443=TRUE,F2443,0)/100)*(1+(IF(Skills!A5="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2436)</f>
        <v/>
      </c>
      <c r="L2436">
        <f>K2436*(MIN(Inputs!$B$22+((C2453=TRUE)*(F2453-Calc!F22)),(Inputs!$B$23+((C2455=TRUE)*(F2455-Calc!F24))+(IF(ArtifactsInput!$M$15,CHOOSE(ArtifactsInput!$N$15+1,25,30,35,40,45,50)/100*(Inputs!$B$11-Inputs!$B$11),0))))/100+(Inputs!$B$23+((C2455=TRUE)*(F2455-Calc!F24))+(IF(ArtifactsInput!$M$15,CHOOSE(ArtifactsInput!$N$15+1,25,30,35,40,45,50)/100*(Inputs!$B$11-Inputs!$B$11),0)))/100)/2</f>
        <v/>
      </c>
      <c r="M2436">
        <f>L2436*(1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6">
        <f>L2436*(1-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2436*(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6">
        <f>(1-Summary!$B$11)*T2436+Summary!$B$11*V2436</f>
        <v/>
      </c>
      <c r="P2436">
        <f>IF(B2468=0,0,O2436/B2468)</f>
        <v/>
      </c>
      <c r="Q2436">
        <f>IFERROR(1/(IF(Inputs!$B$38="pvp",15,MAX(0.1,Skills!D5-IF(Skills!E5=TRUE,Inputs!$B$32,0)))*(1-IF(AND(ArtifactsInput!$M$27,Inputs!$B$4="Chapter Hunt"),CHOOSE(ArtifactsInput!$N$27+1,20,24,28,32,36,40),0)/100)),0)</f>
        <v/>
      </c>
      <c r="R2436">
        <f>IF(AND(Inputs!$B$38&lt;&gt;"pvp",Inputs!$B$43&gt;0),IF(MAX(0,Inputs!$B$43-B2465)&lt;=0,0,(INT(MAX(0,Inputs!$B$43-B2465)/(IF(Inputs!$B$38="pvp",15,MAX(0.1,Skills!D5-IF(Skills!E5=TRUE,Inputs!$B$32,0)))*(1-IF(AND(ArtifactsInput!$M$27,Inputs!$B$4="Chapter Hunt"),CHOOSE(ArtifactsInput!$N$27+1,20,24,28,32,36,40),0)/100)))+1)),0)</f>
        <v/>
      </c>
      <c r="S2436">
        <f>IFERROR(O2436/N2436,0)</f>
        <v/>
      </c>
      <c r="T2436">
        <f>IF(C2436,(H2436*N2436*IF(AND(Inputs!$B$38&lt;&gt;"pvp",Inputs!$B$43&gt;0),((Skills!G5*((R2436-1)*IF(Skills!H5&gt;0,Skills!I5/Skills!H5,1)+IF(Skills!H5&gt;0,MIN(Skills!I5,MAX(0,MAX(0,Inputs!$B$43-B2465)-((R2436-1)*(IF(Inputs!$B$38="pvp",15,MAX(0.1,Skills!D5-IF(Skills!E5=TRUE,Inputs!$B$32,0)))*(1-IF(AND(ArtifactsInput!$M$27,Inputs!$B$4="Chapter Hunt"),CHOOSE(ArtifactsInput!$N$27+1,20,24,28,32,36,40),0)/100)))))/Skills!H5,1)))/Inputs!$B$43),G2436*Q2436)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2436*(1-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2436*(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2436*(1-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2436*(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6">
        <f>IF(C2436,(H2436*N2436*IF(AND(Inputs!$B$38&lt;&gt;"pvp",Inputs!$B$43&gt;0),((Skills!G5*((R2436-1)*IF(Skills!H5&gt;0,Skills!I5/Skills!H5,1)+IF(Skills!H5&gt;0,MIN(Skills!I5,MAX(0,MAX(0,Inputs!$B$43-B2465)-((R2436-1)*(IF(Inputs!$B$38="pvp",15,MAX(0.1,Skills!D5-IF(Skills!E5=TRUE,Inputs!$B$32,0)))*(1-IF(AND(ArtifactsInput!$M$27,Inputs!$B$4="Chapter Hunt"),CHOOSE(ArtifactsInput!$N$27+1,20,24,28,32,36,40),0)/100)))))/Skills!H5,1)))/Inputs!$B$43),G2436*Q2436))*IF(Inputs!$B$38="pvp",1,(1+(Inputs!$B$21+Skills!Q5+(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7">
      <c r="A2437">
        <f>Skills!A6</f>
        <v/>
      </c>
      <c r="B2437">
        <f>Skills!B6</f>
        <v/>
      </c>
      <c r="C2437">
        <f>Inputs!$B$3&gt;=103</f>
        <v/>
      </c>
      <c r="D2437">
        <f>IF(Skills!C6=1,60+Inputs!$B$25+Inputs!$B$29,IF(Skills!C6=2,90+Inputs!$B$26+Inputs!$B$29,IF(Skills!C6=3,120+Inputs!$B$27+Inputs!$B$29,MAX(0,(Inputs!$B$3-100)*3)+Inputs!$B$28+Inputs!$B$29)))</f>
        <v/>
      </c>
      <c r="E2437">
        <f>INDEX(FactorTable!$B$2:$Y$301, MATCH(ROUND(MIN(300,MAX(1,D2437)),0), FactorTable!$A$2:$A$301,0), Skills!M6+1)</f>
        <v/>
      </c>
      <c r="F2437">
        <f>IF(Skills!N6=TRUE,(Skills!L6/10)*(E2437/1000),Skills!L6/10)+Skills!O6</f>
        <v/>
      </c>
      <c r="G2437">
        <f>Skills!G6*IF(Skills!H6&gt;0,Skills!I6/Skills!H6,1)</f>
        <v/>
      </c>
      <c r="H2437">
        <f>1-(1-Skills!J6/100)^Skills!K6</f>
        <v/>
      </c>
      <c r="I2437" t="inlineStr">
        <is>
          <t>1</t>
        </is>
      </c>
      <c r="J2437">
        <f>((Inputs!$B$6*(1+Inputs!$B$7/100))+(((Inputs!$B$12*(1+Inputs!$B$13/100))-(Inputs!$B$12*(1+Inputs!$B$13/100)))+0.25*(Inputs!$B$14-Inputs!$B$14))*(1+Inputs!$B$7/100))*(F2437/100)</f>
        <v/>
      </c>
      <c r="K2437">
        <f>J2437*(1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2437)</f>
        <v/>
      </c>
      <c r="L2437">
        <f>K2437*(MIN(Inputs!$B$22+((C2453=TRUE)*(F2453-Calc!F22)),(Inputs!$B$23+((C2455=TRUE)*(F2455-Calc!F24))+(IF(ArtifactsInput!$M$15,CHOOSE(ArtifactsInput!$N$15+1,25,30,35,40,45,50)/100*(Inputs!$B$11-Inputs!$B$11),0))))/100+(Inputs!$B$23+((C2455=TRUE)*(F2455-Calc!F24))+(IF(ArtifactsInput!$M$15,CHOOSE(ArtifactsInput!$N$15+1,25,30,35,40,45,50)/100*(Inputs!$B$11-Inputs!$B$11),0)))/100)/2</f>
        <v/>
      </c>
      <c r="M2437">
        <f>L2437*(1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7">
        <f>L2437*(1-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2437*(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7">
        <f>(1-Summary!$B$11)*T2437+Summary!$B$11*V2437</f>
        <v/>
      </c>
      <c r="P2437">
        <f>IF(B2468=0,0,O2437/B2468)</f>
        <v/>
      </c>
      <c r="Q2437">
        <f>IFERROR(1/(IF(Inputs!$B$38="pvp",15,MAX(0.1,Skills!D6-IF(Skills!E6=TRUE,Inputs!$B$32,0)))*(1-IF(AND(ArtifactsInput!$M$27,Inputs!$B$4="Chapter Hunt"),CHOOSE(ArtifactsInput!$N$27+1,20,24,28,32,36,40),0)/100)),0)</f>
        <v/>
      </c>
      <c r="R2437">
        <f>IF(AND(Inputs!$B$38&lt;&gt;"pvp",Inputs!$B$43&gt;0),IF(MAX(0,Inputs!$B$43-B2465)&lt;=0,0,(INT(MAX(0,Inputs!$B$43-B2465)/(IF(Inputs!$B$38="pvp",15,MAX(0.1,Skills!D6-IF(Skills!E6=TRUE,Inputs!$B$32,0)))*(1-IF(AND(ArtifactsInput!$M$27,Inputs!$B$4="Chapter Hunt"),CHOOSE(ArtifactsInput!$N$27+1,20,24,28,32,36,40),0)/100)))+1)),0)</f>
        <v/>
      </c>
      <c r="S2437">
        <f>IFERROR(O2437/N2437,0)</f>
        <v/>
      </c>
      <c r="T2437">
        <f>IF(C2437,(H2437*N2437*IF(AND(Inputs!$B$38&lt;&gt;"pvp",Inputs!$B$43&gt;0),((Skills!G6*((R2437-1)*IF(Skills!H6&gt;0,Skills!I6/Skills!H6,1)+IF(Skills!H6&gt;0,MIN(Skills!I6,MAX(0,MAX(0,Inputs!$B$43-B2465)-((R2437-1)*(IF(Inputs!$B$38="pvp",15,MAX(0.1,Skills!D6-IF(Skills!E6=TRUE,Inputs!$B$32,0)))*(1-IF(AND(ArtifactsInput!$M$27,Inputs!$B$4="Chapter Hunt"),CHOOSE(ArtifactsInput!$N$27+1,20,24,28,32,36,40),0)/100)))))/Skills!H6,1)))/Inputs!$B$43),G2437*Q2437)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2437*(1-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2437*(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2437*(1-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2437*(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7">
        <f>IF(C2437,(H2437*N2437*IF(AND(Inputs!$B$38&lt;&gt;"pvp",Inputs!$B$43&gt;0),((Skills!G6*((R2437-1)*IF(Skills!H6&gt;0,Skills!I6/Skills!H6,1)+IF(Skills!H6&gt;0,MIN(Skills!I6,MAX(0,MAX(0,Inputs!$B$43-B2465)-((R2437-1)*(IF(Inputs!$B$38="pvp",15,MAX(0.1,Skills!D6-IF(Skills!E6=TRUE,Inputs!$B$32,0)))*(1-IF(AND(ArtifactsInput!$M$27,Inputs!$B$4="Chapter Hunt"),CHOOSE(ArtifactsInput!$N$27+1,20,24,28,32,36,40),0)/100)))))/Skills!H6,1)))/Inputs!$B$43),G2437*Q2437))*IF(Inputs!$B$38="pvp",1,(1+(Inputs!$B$21+Skills!Q6+(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8">
      <c r="A2438">
        <f>Skills!A7</f>
        <v/>
      </c>
      <c r="B2438">
        <f>Skills!B7</f>
        <v/>
      </c>
      <c r="C2438">
        <f>Inputs!$B$3&gt;=107</f>
        <v/>
      </c>
      <c r="D2438">
        <f>IF(Skills!C7=1,60+Inputs!$B$25+Inputs!$B$29,IF(Skills!C7=2,90+Inputs!$B$26+Inputs!$B$29,IF(Skills!C7=3,120+Inputs!$B$27+Inputs!$B$29,MAX(0,(Inputs!$B$3-100)*3)+Inputs!$B$28+Inputs!$B$29)))</f>
        <v/>
      </c>
      <c r="E2438">
        <f>INDEX(FactorTable!$B$2:$Y$301, MATCH(ROUND(MIN(300,MAX(1,D2438)),0), FactorTable!$A$2:$A$301,0), Skills!M7+1)</f>
        <v/>
      </c>
      <c r="F2438">
        <f>IF(Skills!N7=TRUE,(Skills!L7/10)*(E2438/1000),Skills!L7/10)+Skills!O7</f>
        <v/>
      </c>
      <c r="G2438">
        <f>Skills!G7*IF(Skills!H7&gt;0,Skills!I7/Skills!H7,1)</f>
        <v/>
      </c>
      <c r="H2438">
        <f>1-(1-Skills!J7/100)^Skills!K7</f>
        <v/>
      </c>
      <c r="I2438" t="inlineStr">
        <is>
          <t>1</t>
        </is>
      </c>
      <c r="J2438">
        <f>((Inputs!$B$6*(1+Inputs!$B$7/100))+(((Inputs!$B$12*(1+Inputs!$B$13/100))-(Inputs!$B$12*(1+Inputs!$B$13/100)))+0.25*(Inputs!$B$14-Inputs!$B$14))*(1+Inputs!$B$7/100))*(F2438/100)</f>
        <v/>
      </c>
      <c r="K2438">
        <f>J2438*(1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2438)</f>
        <v/>
      </c>
      <c r="L2438">
        <f>K2438*(MIN(Inputs!$B$22+((C2453=TRUE)*(F2453-Calc!F22)),(Inputs!$B$23+((C2455=TRUE)*(F2455-Calc!F24))+(IF(ArtifactsInput!$M$15,CHOOSE(ArtifactsInput!$N$15+1,25,30,35,40,45,50)/100*(Inputs!$B$11-Inputs!$B$11),0))))/100+(Inputs!$B$23+((C2455=TRUE)*(F2455-Calc!F24))+(IF(ArtifactsInput!$M$15,CHOOSE(ArtifactsInput!$N$15+1,25,30,35,40,45,50)/100*(Inputs!$B$11-Inputs!$B$11),0)))/100)/2</f>
        <v/>
      </c>
      <c r="M2438">
        <f>L2438*(1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8">
        <f>L2438*(1-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2438*(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8">
        <f>(1-Summary!$B$11)*T2438+Summary!$B$11*V2438</f>
        <v/>
      </c>
      <c r="P2438">
        <f>IF(B2468=0,0,O2438/B2468)</f>
        <v/>
      </c>
      <c r="Q2438">
        <f>IFERROR(1/(IF(Inputs!$B$38="pvp",15,MAX(0.1,Skills!D7-IF(Skills!E7=TRUE,Inputs!$B$32,0)))*(1-IF(AND(ArtifactsInput!$M$27,Inputs!$B$4="Chapter Hunt"),CHOOSE(ArtifactsInput!$N$27+1,20,24,28,32,36,40),0)/100)),0)</f>
        <v/>
      </c>
      <c r="R2438">
        <f>IF(AND(Inputs!$B$38&lt;&gt;"pvp",Inputs!$B$43&gt;0),IF(MAX(0,Inputs!$B$43-B2465)&lt;=0,0,(INT(MAX(0,Inputs!$B$43-B2465)/(IF(Inputs!$B$38="pvp",15,MAX(0.1,Skills!D7-IF(Skills!E7=TRUE,Inputs!$B$32,0)))*(1-IF(AND(ArtifactsInput!$M$27,Inputs!$B$4="Chapter Hunt"),CHOOSE(ArtifactsInput!$N$27+1,20,24,28,32,36,40),0)/100)))+1)),0)</f>
        <v/>
      </c>
      <c r="S2438">
        <f>IFERROR(O2438/N2438,0)</f>
        <v/>
      </c>
      <c r="T2438">
        <f>IF(C2438,(H2438*N2438*IF(AND(Inputs!$B$38&lt;&gt;"pvp",Inputs!$B$43&gt;0),((Skills!G7*((R2438-1)*IF(Skills!H7&gt;0,Skills!I7/Skills!H7,1)+IF(Skills!H7&gt;0,MIN(Skills!I7,MAX(0,MAX(0,Inputs!$B$43-B2465)-((R2438-1)*(IF(Inputs!$B$38="pvp",15,MAX(0.1,Skills!D7-IF(Skills!E7=TRUE,Inputs!$B$32,0)))*(1-IF(AND(ArtifactsInput!$M$27,Inputs!$B$4="Chapter Hunt"),CHOOSE(ArtifactsInput!$N$27+1,20,24,28,32,36,40),0)/100)))))/Skills!H7,1)))/Inputs!$B$43),G2438*Q2438)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2438*(1-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2438*(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2438*(1-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2438*(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8">
        <f>IF(C2438,(H2438*N2438*IF(AND(Inputs!$B$38&lt;&gt;"pvp",Inputs!$B$43&gt;0),((Skills!G7*((R2438-1)*IF(Skills!H7&gt;0,Skills!I7/Skills!H7,1)+IF(Skills!H7&gt;0,MIN(Skills!I7,MAX(0,MAX(0,Inputs!$B$43-B2465)-((R2438-1)*(IF(Inputs!$B$38="pvp",15,MAX(0.1,Skills!D7-IF(Skills!E7=TRUE,Inputs!$B$32,0)))*(1-IF(AND(ArtifactsInput!$M$27,Inputs!$B$4="Chapter Hunt"),CHOOSE(ArtifactsInput!$N$27+1,20,24,28,32,36,40),0)/100)))))/Skills!H7,1)))/Inputs!$B$43),G2438*Q2438))*IF(Inputs!$B$38="pvp",1,(1+(Inputs!$B$21+Skills!Q7+(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9">
      <c r="A2439">
        <f>Skills!A8</f>
        <v/>
      </c>
      <c r="B2439">
        <f>Skills!B8</f>
        <v/>
      </c>
      <c r="C2439">
        <f>Inputs!$B$3&gt;=107</f>
        <v/>
      </c>
      <c r="D2439">
        <f>IF(Skills!C8=1,60+Inputs!$B$25+Inputs!$B$29,IF(Skills!C8=2,90+Inputs!$B$26+Inputs!$B$29,IF(Skills!C8=3,120+Inputs!$B$27+Inputs!$B$29,MAX(0,(Inputs!$B$3-100)*3)+Inputs!$B$28+Inputs!$B$29)))</f>
        <v/>
      </c>
      <c r="E2439">
        <f>INDEX(FactorTable!$B$2:$Y$301, MATCH(ROUND(MIN(300,MAX(1,D2439)),0), FactorTable!$A$2:$A$301,0), Skills!M8+1)</f>
        <v/>
      </c>
      <c r="F2439">
        <f>IF(Skills!N8=TRUE,(Skills!L8/10)*(E2439/1000),Skills!L8/10)+Skills!O8</f>
        <v/>
      </c>
      <c r="G2439">
        <f>Skills!G8*IF(Skills!H8&gt;0,Skills!I8/Skills!H8,1)</f>
        <v/>
      </c>
      <c r="H2439">
        <f>1-(1-Skills!J8/100)^Skills!K8</f>
        <v/>
      </c>
      <c r="I2439" t="inlineStr">
        <is>
          <t>1</t>
        </is>
      </c>
      <c r="J2439">
        <f>((Inputs!$B$6*(1+Inputs!$B$7/100))+(((Inputs!$B$12*(1+Inputs!$B$13/100))-(Inputs!$B$12*(1+Inputs!$B$13/100)))+0.25*(Inputs!$B$14-Inputs!$B$14))*(1+Inputs!$B$7/100))*(F2439/100)</f>
        <v/>
      </c>
      <c r="K2439">
        <f>J2439*(1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2439)</f>
        <v/>
      </c>
      <c r="L2439">
        <f>K2439*(MIN(Inputs!$B$22+((C2453=TRUE)*(F2453-Calc!F22)),(Inputs!$B$23+((C2455=TRUE)*(F2455-Calc!F24))+(IF(ArtifactsInput!$M$15,CHOOSE(ArtifactsInput!$N$15+1,25,30,35,40,45,50)/100*(Inputs!$B$11-Inputs!$B$11),0))))/100+(Inputs!$B$23+((C2455=TRUE)*(F2455-Calc!F24))+(IF(ArtifactsInput!$M$15,CHOOSE(ArtifactsInput!$N$15+1,25,30,35,40,45,50)/100*(Inputs!$B$11-Inputs!$B$11),0)))/100)/2</f>
        <v/>
      </c>
      <c r="M2439">
        <f>L2439*(1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9">
        <f>L2439*(1-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2439*(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9">
        <f>(1-Summary!$B$11)*T2439+Summary!$B$11*V2439</f>
        <v/>
      </c>
      <c r="P2439">
        <f>IF(B2468=0,0,O2439/B2468)</f>
        <v/>
      </c>
      <c r="Q2439">
        <f>IFERROR(1/(IF(Inputs!$B$38="pvp",15,MAX(0.1,Skills!D8-IF(Skills!E8=TRUE,Inputs!$B$32,0)))*(1-IF(AND(ArtifactsInput!$M$27,Inputs!$B$4="Chapter Hunt"),CHOOSE(ArtifactsInput!$N$27+1,20,24,28,32,36,40),0)/100)),0)</f>
        <v/>
      </c>
      <c r="R2439">
        <f>IF(AND(Inputs!$B$38&lt;&gt;"pvp",Inputs!$B$43&gt;0),IF(MAX(0,Inputs!$B$43-B2465)&lt;=0,0,(INT(MAX(0,Inputs!$B$43-B2465)/(IF(Inputs!$B$38="pvp",15,MAX(0.1,Skills!D8-IF(Skills!E8=TRUE,Inputs!$B$32,0)))*(1-IF(AND(ArtifactsInput!$M$27,Inputs!$B$4="Chapter Hunt"),CHOOSE(ArtifactsInput!$N$27+1,20,24,28,32,36,40),0)/100)))+1)),0)</f>
        <v/>
      </c>
      <c r="S2439">
        <f>IFERROR(O2439/N2439,0)</f>
        <v/>
      </c>
      <c r="T2439">
        <f>IF(C2439,(H2439*N2439*IF(AND(Inputs!$B$38&lt;&gt;"pvp",Inputs!$B$43&gt;0),((Skills!G8*((R2439-1)*IF(Skills!H8&gt;0,Skills!I8/Skills!H8,1)+IF(Skills!H8&gt;0,MIN(Skills!I8,MAX(0,MAX(0,Inputs!$B$43-B2465)-((R2439-1)*(IF(Inputs!$B$38="pvp",15,MAX(0.1,Skills!D8-IF(Skills!E8=TRUE,Inputs!$B$32,0)))*(1-IF(AND(ArtifactsInput!$M$27,Inputs!$B$4="Chapter Hunt"),CHOOSE(ArtifactsInput!$N$27+1,20,24,28,32,36,40),0)/100)))))/Skills!H8,1)))/Inputs!$B$43),G2439*Q2439)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2439*(1-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2439*(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2439*(1-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2439*(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39">
        <f>IF(C2439,(H2439*N2439*IF(AND(Inputs!$B$38&lt;&gt;"pvp",Inputs!$B$43&gt;0),((Skills!G8*((R2439-1)*IF(Skills!H8&gt;0,Skills!I8/Skills!H8,1)+IF(Skills!H8&gt;0,MIN(Skills!I8,MAX(0,MAX(0,Inputs!$B$43-B2465)-((R2439-1)*(IF(Inputs!$B$38="pvp",15,MAX(0.1,Skills!D8-IF(Skills!E8=TRUE,Inputs!$B$32,0)))*(1-IF(AND(ArtifactsInput!$M$27,Inputs!$B$4="Chapter Hunt"),CHOOSE(ArtifactsInput!$N$27+1,20,24,28,32,36,40),0)/100)))))/Skills!H8,1)))/Inputs!$B$43),G2439*Q2439))*IF(Inputs!$B$38="pvp",1,(1+(Inputs!$B$21+Skills!Q8+(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40">
      <c r="A2440">
        <f>Skills!A9</f>
        <v/>
      </c>
      <c r="B2440">
        <f>Skills!B9</f>
        <v/>
      </c>
      <c r="C2440">
        <f>Inputs!$B$3&gt;=125</f>
        <v/>
      </c>
      <c r="D2440">
        <f>IF(Skills!C9=1,60+Inputs!$B$25+Inputs!$B$29,IF(Skills!C9=2,90+Inputs!$B$26+Inputs!$B$29,IF(Skills!C9=3,120+Inputs!$B$27+Inputs!$B$29,MAX(0,(Inputs!$B$3-100)*3)+Inputs!$B$28+Inputs!$B$29)))</f>
        <v/>
      </c>
      <c r="E2440">
        <f>INDEX(FactorTable!$B$2:$Y$301, MATCH(ROUND(MIN(300,MAX(1,D2440)),0), FactorTable!$A$2:$A$301,0), Skills!M9+1)</f>
        <v/>
      </c>
      <c r="F2440">
        <f>IF(Skills!N9=TRUE,(Skills!L9/10)*(E2440/1000),Skills!L9/10)+Skills!O9</f>
        <v/>
      </c>
      <c r="G2440">
        <f>Skills!G9*IF(Skills!H9&gt;0,Skills!I9/Skills!H9,1)</f>
        <v/>
      </c>
      <c r="H2440">
        <f>1-(1-Skills!J9/100)^Skills!K9</f>
        <v/>
      </c>
      <c r="I2440" t="inlineStr">
        <is>
          <t>1</t>
        </is>
      </c>
      <c r="J2440">
        <f>((Inputs!$B$6*(1+Inputs!$B$7/100))+(((Inputs!$B$12*(1+Inputs!$B$13/100))-(Inputs!$B$12*(1+Inputs!$B$13/100)))+0.25*(Inputs!$B$14-Inputs!$B$14))*(1+Inputs!$B$7/100))*(F2440/100)</f>
        <v/>
      </c>
      <c r="K2440">
        <f>J2440*(1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2440)</f>
        <v/>
      </c>
      <c r="L2440">
        <f>K2440*(MIN(Inputs!$B$22+((C2453=TRUE)*(F2453-Calc!F22)),(Inputs!$B$23+((C2455=TRUE)*(F2455-Calc!F24))+(IF(ArtifactsInput!$M$15,CHOOSE(ArtifactsInput!$N$15+1,25,30,35,40,45,50)/100*(Inputs!$B$11-Inputs!$B$11),0))))/100+(Inputs!$B$23+((C2455=TRUE)*(F2455-Calc!F24))+(IF(ArtifactsInput!$M$15,CHOOSE(ArtifactsInput!$N$15+1,25,30,35,40,45,50)/100*(Inputs!$B$11-Inputs!$B$11),0)))/100)/2</f>
        <v/>
      </c>
      <c r="M2440">
        <f>L2440*(1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0">
        <f>L2440*(1-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2440*(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0">
        <f>(1-Summary!$B$11)*T2440+Summary!$B$11*V2440</f>
        <v/>
      </c>
      <c r="P2440">
        <f>IF(B2468=0,0,O2440/B2468)</f>
        <v/>
      </c>
      <c r="Q2440">
        <f>IFERROR(1/(IF(Inputs!$B$38="pvp",15,MAX(0.1,Skills!D9-IF(Skills!E9=TRUE,Inputs!$B$32,0)))*(1-IF(AND(ArtifactsInput!$M$27,Inputs!$B$4="Chapter Hunt"),CHOOSE(ArtifactsInput!$N$27+1,20,24,28,32,36,40),0)/100)),0)</f>
        <v/>
      </c>
      <c r="R2440">
        <f>IF(AND(Inputs!$B$38&lt;&gt;"pvp",Inputs!$B$43&gt;0),IF(MAX(0,Inputs!$B$43-B2465)&lt;=0,0,(INT(MAX(0,Inputs!$B$43-B2465)/(IF(Inputs!$B$38="pvp",15,MAX(0.1,Skills!D9-IF(Skills!E9=TRUE,Inputs!$B$32,0)))*(1-IF(AND(ArtifactsInput!$M$27,Inputs!$B$4="Chapter Hunt"),CHOOSE(ArtifactsInput!$N$27+1,20,24,28,32,36,40),0)/100)))+1)),0)</f>
        <v/>
      </c>
      <c r="S2440">
        <f>IFERROR(O2440/N2440,0)</f>
        <v/>
      </c>
      <c r="T2440">
        <f>IF(C2440,(H2440*N2440*IF(AND(Inputs!$B$38&lt;&gt;"pvp",Inputs!$B$43&gt;0),((Skills!G9*((R2440-1)*IF(Skills!H9&gt;0,Skills!I9/Skills!H9,1)+IF(Skills!H9&gt;0,MIN(Skills!I9,MAX(0,MAX(0,Inputs!$B$43-B2465)-((R2440-1)*(IF(Inputs!$B$38="pvp",15,MAX(0.1,Skills!D9-IF(Skills!E9=TRUE,Inputs!$B$32,0)))*(1-IF(AND(ArtifactsInput!$M$27,Inputs!$B$4="Chapter Hunt"),CHOOSE(ArtifactsInput!$N$27+1,20,24,28,32,36,40),0)/100)))))/Skills!H9,1)))/Inputs!$B$43),G2440*Q2440)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2440*(1-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2440*(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2440*(1-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2440*(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40">
        <f>IF(C2440,(H2440*N2440*IF(AND(Inputs!$B$38&lt;&gt;"pvp",Inputs!$B$43&gt;0),((Skills!G9*((R2440-1)*IF(Skills!H9&gt;0,Skills!I9/Skills!H9,1)+IF(Skills!H9&gt;0,MIN(Skills!I9,MAX(0,MAX(0,Inputs!$B$43-B2465)-((R2440-1)*(IF(Inputs!$B$38="pvp",15,MAX(0.1,Skills!D9-IF(Skills!E9=TRUE,Inputs!$B$32,0)))*(1-IF(AND(ArtifactsInput!$M$27,Inputs!$B$4="Chapter Hunt"),CHOOSE(ArtifactsInput!$N$27+1,20,24,28,32,36,40),0)/100)))))/Skills!H9,1)))/Inputs!$B$43),G2440*Q2440))*IF(Inputs!$B$38="pvp",1,(1+(Inputs!$B$21+Skills!Q9+(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41">
      <c r="A2441">
        <f>Skills!A10</f>
        <v/>
      </c>
      <c r="B2441">
        <f>Skills!B10</f>
        <v/>
      </c>
      <c r="C2441">
        <f>Inputs!$B$3&gt;=117</f>
        <v/>
      </c>
      <c r="D2441">
        <f>IF(Skills!C10=1,60+Inputs!$B$25+Inputs!$B$29,IF(Skills!C10=2,90+Inputs!$B$26+Inputs!$B$29,IF(Skills!C10=3,120+Inputs!$B$27+Inputs!$B$29,MAX(0,(Inputs!$B$3-100)*3)+Inputs!$B$28+Inputs!$B$29)))</f>
        <v/>
      </c>
      <c r="E2441">
        <f>INDEX(FactorTable!$B$2:$Y$301, MATCH(ROUND(MIN(300,MAX(1,D2441)),0), FactorTable!$A$2:$A$301,0), Skills!M10+1)</f>
        <v/>
      </c>
      <c r="F2441">
        <f>IF(Skills!N10=TRUE,(Skills!L10/10)*(E2441/1000),Skills!L10/10)+Skills!O10</f>
        <v/>
      </c>
      <c r="G2441">
        <f>Skills!G10*IF(Skills!H10&gt;0,Skills!I10/Skills!H10,1)</f>
        <v/>
      </c>
      <c r="H2441">
        <f>1-(1-Skills!J10/100)^Skills!K10</f>
        <v/>
      </c>
      <c r="I2441" t="inlineStr">
        <is>
          <t>1</t>
        </is>
      </c>
      <c r="J2441">
        <f>((Inputs!$B$6*(1+Inputs!$B$7/100))+(((Inputs!$B$12*(1+Inputs!$B$13/100))-(Inputs!$B$12*(1+Inputs!$B$13/100)))+0.25*(Inputs!$B$14-Inputs!$B$14))*(1+Inputs!$B$7/100))*(F2441/100)</f>
        <v/>
      </c>
      <c r="K2441">
        <f>J2441*(1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2441)</f>
        <v/>
      </c>
      <c r="L2441">
        <f>K2441*(MIN(Inputs!$B$22+((C2453=TRUE)*(F2453-Calc!F22)),(Inputs!$B$23+((C2455=TRUE)*(F2455-Calc!F24))+(IF(ArtifactsInput!$M$15,CHOOSE(ArtifactsInput!$N$15+1,25,30,35,40,45,50)/100*(Inputs!$B$11-Inputs!$B$11),0))))/100+(Inputs!$B$23+((C2455=TRUE)*(F2455-Calc!F24))+(IF(ArtifactsInput!$M$15,CHOOSE(ArtifactsInput!$N$15+1,25,30,35,40,45,50)/100*(Inputs!$B$11-Inputs!$B$11),0)))/100)/2</f>
        <v/>
      </c>
      <c r="M2441">
        <f>L2441*(1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1">
        <f>L2441*(1-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1">
        <f>(1-Summary!$B$11)*T2441+Summary!$B$11*V2441</f>
        <v/>
      </c>
      <c r="P2441">
        <f>IF(B2468=0,0,O2441/B2468)</f>
        <v/>
      </c>
      <c r="Q2441">
        <f>IFERROR(1/(IF(Inputs!$B$38="pvp",15,MAX(0.1,Skills!D10-IF(Skills!E10=TRUE,Inputs!$B$32,0)))*(1-IF(AND(ArtifactsInput!$M$27,Inputs!$B$4="Chapter Hunt"),CHOOSE(ArtifactsInput!$N$27+1,20,24,28,32,36,40),0)/100)),0)</f>
        <v/>
      </c>
      <c r="R2441">
        <f>IF(AND(Inputs!$B$38&lt;&gt;"pvp",Inputs!$B$43&gt;0),IF(MAX(0,Inputs!$B$43-B2465)&lt;=0,0,(INT(MAX(0,Inputs!$B$43-B2465)/(IF(Inputs!$B$38="pvp",15,MAX(0.1,Skills!D10-IF(Skills!E10=TRUE,Inputs!$B$32,0)))*(1-IF(AND(ArtifactsInput!$M$27,Inputs!$B$4="Chapter Hunt"),CHOOSE(ArtifactsInput!$N$27+1,20,24,28,32,36,40),0)/100)))+1)),0)</f>
        <v/>
      </c>
      <c r="S2441">
        <f>IFERROR(O2441/N2441,0)</f>
        <v/>
      </c>
      <c r="T2441">
        <f>IF(C2441,(H2441*N2441*IF(AND(Inputs!$B$38&lt;&gt;"pvp",Inputs!$B$43&gt;0),((Skills!G10*((R2441-1)*IF(Skills!H10&gt;0,Skills!I10/Skills!H10,1)+IF(Skills!H10&gt;0,MIN(Skills!I10,MAX(0,MAX(0,Inputs!$B$43-B2465)-((R2441-1)*(IF(Inputs!$B$38="pvp",15,MAX(0.1,Skills!D10-IF(Skills!E10=TRUE,Inputs!$B$32,0)))*(1-IF(AND(ArtifactsInput!$M$27,Inputs!$B$4="Chapter Hunt"),CHOOSE(ArtifactsInput!$N$27+1,20,24,28,32,36,40),0)/100)))))/Skills!H10,1)))/Inputs!$B$43),G2441*Q2441)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2441*(1-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2441*(1-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41">
        <f>IF(C2441,(H2441*N2441*IF(AND(Inputs!$B$38&lt;&gt;"pvp",Inputs!$B$43&gt;0),((Skills!G10*((R2441-1)*IF(Skills!H10&gt;0,Skills!I10/Skills!H10,1)+IF(Skills!H10&gt;0,MIN(Skills!I10,MAX(0,MAX(0,Inputs!$B$43-B2465)-((R2441-1)*(IF(Inputs!$B$38="pvp",15,MAX(0.1,Skills!D10-IF(Skills!E10=TRUE,Inputs!$B$32,0)))*(1-IF(AND(ArtifactsInput!$M$27,Inputs!$B$4="Chapter Hunt"),CHOOSE(ArtifactsInput!$N$27+1,20,24,28,32,36,40),0)/100)))))/Skills!H10,1)))/Inputs!$B$43),G2441*Q2441))*IF(Inputs!$B$38="pvp",1,(1+(Inputs!$B$21+Skills!Q10+(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42">
      <c r="A2442">
        <f>Skills!A11</f>
        <v/>
      </c>
      <c r="B2442">
        <f>Skills!B11</f>
        <v/>
      </c>
      <c r="C2442">
        <f>Inputs!$B$3&gt;=63</f>
        <v/>
      </c>
      <c r="D2442">
        <f>IF(Skills!C11=1,60+Inputs!$B$25+Inputs!$B$29,IF(Skills!C11=2,90+Inputs!$B$26+Inputs!$B$29,IF(Skills!C11=3,120+Inputs!$B$27+Inputs!$B$29,MAX(0,(Inputs!$B$3-100)*3)+Inputs!$B$28+Inputs!$B$29)))</f>
        <v/>
      </c>
      <c r="E2442">
        <f>INDEX(FactorTable!$B$2:$Y$301, MATCH(ROUND(MIN(300,MAX(1,D2442)),0), FactorTable!$A$2:$A$301,0), Skills!M11+1)</f>
        <v/>
      </c>
      <c r="F2442">
        <f>IF(Skills!N11=TRUE,(Skills!L11/10)*(E2442/1000),Skills!L11/10)+Skills!O11</f>
        <v/>
      </c>
      <c r="G2442">
        <f>Skills!G11*IF(Skills!H11&gt;0,Skills!I11/Skills!H11,1)</f>
        <v/>
      </c>
      <c r="H2442">
        <f>1-(1-Skills!J11/100)^Skills!K11</f>
        <v/>
      </c>
      <c r="I2442" t="inlineStr">
        <is>
          <t>1</t>
        </is>
      </c>
      <c r="J2442">
        <f>((Inputs!$B$6*(1+Inputs!$B$7/100))+(((Inputs!$B$12*(1+Inputs!$B$13/100))-(Inputs!$B$12*(1+Inputs!$B$13/100)))+0.25*(Inputs!$B$14-Inputs!$B$14))*(1+Inputs!$B$7/100))*(F2442/100)</f>
        <v/>
      </c>
      <c r="K2442">
        <f>J2442*(1+((Inputs!$B$12*(1+Inputs!$B$13/100))*0.01+Inputs!$B$14*0.0025)/100)*(1+Inputs!$B$15/100)*(1+Inputs!$B$16/100)*(5000/(6000+Inputs!$B$42*(1-(Inputs!$B$19+0)/100)))*(1+(Inputs!$B$24+0+B2464)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2443=TRUE,F2443,0)/100)*(1+(IF(Skills!A11="BLAST",Inputs!$B$17+((C2452=TRUE)*(F2452-Calc!F21))+((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MIN(100,((Inputs!$B$9+0+B2458+(ArtifactsInput!$M$24-ArtifactsInput!$M$24)*CHOOSE(ArtifactsInput!$N$24+1,10,12,14,16,18,20)+IF(ArtifactsInput!$M$10,CHOOSE(ArtifactsInput!$N$10+1,15,18,21,24,27,30)*(IF(Inputs!$B$38="pvp",MIN(15,15)/15,IF(AND(Inputs!$B$38&lt;&gt;"pvp",Inputs!$B$43&gt;0),MIN(15,Inputs!$B$43)/(Inputs!$B$43),0))),0)))-100),0))*CHOOSE(ArtifactsInput!$N$42+1,0.6,0.72,0.84,0.96,1.08,1.2))),Inputs!$B$18+((C2454=TRUE)*(F2454-Calc!F23))+(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gt;=100),CHOOSE(ArtifactsInput!$N$42+1,40,48,56,64,72,80),0))))/100)*((1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2442)</f>
        <v/>
      </c>
      <c r="L2442">
        <f>K2442*(MIN(Inputs!$B$22+((C2453=TRUE)*(F2453-Calc!F22)),(Inputs!$B$23+((C2455=TRUE)*(F2455-Calc!F24))+(IF(ArtifactsInput!$M$15,CHOOSE(ArtifactsInput!$N$15+1,25,30,35,40,45,50)/100*(Inputs!$B$11-Inputs!$B$11),0))))/100+(Inputs!$B$23+((C2455=TRUE)*(F2455-Calc!F24))+(IF(ArtifactsInput!$M$15,CHOOSE(ArtifactsInput!$N$15+1,25,30,35,40,45,50)/100*(Inputs!$B$11-Inputs!$B$11),0)))/100)/2</f>
        <v/>
      </c>
      <c r="M2442">
        <f>L2442*(1+(Inputs!$B$10+0+B2463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2">
        <f>L2442*(1-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2442*(MIN((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2">
        <f>(1-Summary!$B$11)*T2442+Summary!$B$11*V2442</f>
        <v/>
      </c>
      <c r="P2442">
        <f>IF(B2468=0,0,O2442/B2468)</f>
        <v/>
      </c>
      <c r="Q2442">
        <f>IFERROR(1/(IF(Inputs!$B$38="pvp",15,MAX(0.1,Skills!D11-IF(Skills!E11=TRUE,Inputs!$B$32,0)))*(1-IF(AND(ArtifactsInput!$M$27,Inputs!$B$4="Chapter Hunt"),CHOOSE(ArtifactsInput!$N$27+1,20,24,28,32,36,40),0)/100)),0)</f>
        <v/>
      </c>
      <c r="R2442">
        <f>IF(AND(Inputs!$B$38&lt;&gt;"pvp",Inputs!$B$43&gt;0),IF(MAX(0,Inputs!$B$43-B2465)&lt;=0,0,(INT(MAX(0,Inputs!$B$43-B2465)/(IF(Inputs!$B$38="pvp",15,MAX(0.1,Skills!D11-IF(Skills!E11=TRUE,Inputs!$B$32,0)))*(1-IF(AND(ArtifactsInput!$M$27,Inputs!$B$4="Chapter Hunt"),CHOOSE(ArtifactsInput!$N$27+1,20,24,28,32,36,40),0)/100)))+1)),0)</f>
        <v/>
      </c>
      <c r="S2442">
        <f>IFERROR(O2442/N2442,0)</f>
        <v/>
      </c>
      <c r="T2442">
        <f>IF(C2442,(H2442*N2442*IF(AND(Inputs!$B$38&lt;&gt;"pvp",Inputs!$B$43&gt;0),((Skills!G11*((R2442-1)*IF(Skills!H11&gt;0,Skills!I11/Skills!H11,1)+IF(Skills!H11&gt;0,MIN(Skills!I11,MAX(0,MAX(0,Inputs!$B$43-B2465)-((R2442-1)*(IF(Inputs!$B$38="pvp",15,MAX(0.1,Skills!D11-IF(Skills!E11=TRUE,Inputs!$B$32,0)))*(1-IF(AND(ArtifactsInput!$M$27,Inputs!$B$4="Chapter Hunt"),CHOOSE(ArtifactsInput!$N$27+1,20,24,28,32,36,40),0)/100)))))/Skills!H11,1)))/Inputs!$B$43),G2442*Q2442)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2442*(1-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2442*(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2442*(1-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2442*(MIN(100,(Inputs!$B$9+0+B2458+(ArtifactsInput!$M$24-ArtifactsInput!$M$24)*CHOOSE(ArtifactsInput!$N$24+1,10,12,14,16,18,20)+(IF(AND(Inputs!$B$38&lt;&gt;"pvp",Inputs!$B$43=0),1,IF(IF(Inputs!$B$38="pvp",15,Inputs!$B$43)-(B2465)&lt;=0,1,MAX(0,IF(Inputs!$B$38="pvp",15,Inputs!$B$43)-MAX(5,B2465))/(IF(Inputs!$B$38="pvp",15,Inputs!$B$43)-(B2465))))*IF(AND(ArtifactsInput!$M$42,((Inputs!$B$9+0+B2458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42">
        <f>IF(C2442,(H2442*N2442*IF(AND(Inputs!$B$38&lt;&gt;"pvp",Inputs!$B$43&gt;0),((Skills!G11*((R2442-1)*IF(Skills!H11&gt;0,Skills!I11/Skills!H11,1)+IF(Skills!H11&gt;0,MIN(Skills!I11,MAX(0,MAX(0,Inputs!$B$43-B2465)-((R2442-1)*(IF(Inputs!$B$38="pvp",15,MAX(0.1,Skills!D11-IF(Skills!E11=TRUE,Inputs!$B$32,0)))*(1-IF(AND(ArtifactsInput!$M$27,Inputs!$B$4="Chapter Hunt"),CHOOSE(ArtifactsInput!$N$27+1,20,24,28,32,36,40),0)/100)))))/Skills!H11,1)))/Inputs!$B$43),G2442*Q2442))*IF(Inputs!$B$38="pvp",1,(1+(Inputs!$B$21+Skills!Q11+(IF(ArtifactsInput!$M$33,CHOOSE(ArtifactsInput!$N$33+1,30,36,42,48,54,60),0))+(IF(AND(ArtifactsInput!$M$35,Inputs!$B$4&lt;&gt;"Chapter Hunt"),CHOOSE(ArtifactsInput!$N$35+1,15,18,21,24,27,30)*(1-EXP(-(0.2*B2460)*5)),0)+IF(AND(ArtifactsInput!$M$22,Inputs!$B$4&lt;&gt;"Chapter Hunt"),CHOOSE(ArtifactsInput!$N$22+1,10,12,14,16,18,20)*((0*(((0.15*B2460*5))^0/1)+1*(((0.15*B2460*5))^1/1)+2*(((0.15*B2460*5))^2/2)+3*(((0.15*B2460*5))^3/6)+4*(((0.15*B2460*5))^4/24)+5*(((0.15*B2460*5))^5/120))/((((0.15*B2460*5))^0/1)+(((0.15*B2460*5))^1/1)+(((0.15*B2460*5))^2/2)+(((0.15*B2460*5))^3/6)+(((0.15*B2460*5))^4/24)+(((0.15*B2460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43">
      <c r="A2443">
        <f>Skills!A12</f>
        <v/>
      </c>
      <c r="B2443">
        <f>Skills!B12</f>
        <v/>
      </c>
      <c r="C2443">
        <f>Inputs!$B$3&gt;=100</f>
        <v/>
      </c>
      <c r="D2443">
        <f>IF(Skills!C12=1,60+Inputs!$B$25+Inputs!$B$29,IF(Skills!C12=2,90+Inputs!$B$26+Inputs!$B$29,IF(Skills!C12=3,120+Inputs!$B$27+Inputs!$B$29,MAX(0,(Inputs!$B$3-100)*3)+Inputs!$B$28+Inputs!$B$29)))</f>
        <v/>
      </c>
      <c r="E2443">
        <f>INDEX(FactorTable!$B$2:$Y$301, MATCH(ROUND(MIN(300,MAX(1,D2443)),0), FactorTable!$A$2:$A$301,0), Skills!M12+1)</f>
        <v/>
      </c>
      <c r="F2443">
        <f>IF(Skills!N12=TRUE,(Skills!L12/10)*(E2443/1000),Skills!L12/10)+Skills!O12</f>
        <v/>
      </c>
      <c r="G2443" t="inlineStr"/>
      <c r="H2443" t="inlineStr"/>
      <c r="I2443" t="inlineStr">
        <is>
          <t>1</t>
        </is>
      </c>
      <c r="J2443" t="inlineStr"/>
      <c r="K2443" t="inlineStr"/>
      <c r="L2443" t="inlineStr"/>
      <c r="M2443" t="inlineStr"/>
      <c r="N2443" t="inlineStr"/>
      <c r="O2443" t="inlineStr"/>
      <c r="P2443" t="inlineStr"/>
      <c r="Q2443" t="inlineStr"/>
      <c r="R2443" t="inlineStr"/>
      <c r="S2443" t="inlineStr"/>
    </row>
    <row r="2444">
      <c r="A2444">
        <f>Skills!A13</f>
        <v/>
      </c>
      <c r="B2444">
        <f>Skills!B13</f>
        <v/>
      </c>
      <c r="C2444">
        <f>Inputs!$B$3&gt;=45</f>
        <v/>
      </c>
      <c r="D2444">
        <f>IF(Skills!C13=1,60+Inputs!$B$25+Inputs!$B$29,IF(Skills!C13=2,90+Inputs!$B$26+Inputs!$B$29,IF(Skills!C13=3,120+Inputs!$B$27+Inputs!$B$29,MAX(0,(Inputs!$B$3-100)*3)+Inputs!$B$28+Inputs!$B$29)))</f>
        <v/>
      </c>
      <c r="E2444">
        <f>INDEX(FactorTable!$B$2:$Y$301, MATCH(ROUND(MIN(300,MAX(1,D2444)),0), FactorTable!$A$2:$A$301,0), Skills!M13+1)</f>
        <v/>
      </c>
      <c r="F2444">
        <f>IF(Skills!N13=TRUE,(Skills!L13/10)*(E2444/1000),Skills!L13/10)+Skills!O13</f>
        <v/>
      </c>
      <c r="G2444">
        <f>Skills!G13*IF(Skills!H13&gt;0,Skills!I13/Skills!H13,1)</f>
        <v/>
      </c>
      <c r="H2444">
        <f>1-(1-Skills!J13/100)^Skills!K13</f>
        <v/>
      </c>
      <c r="I2444" t="inlineStr">
        <is>
          <t>1</t>
        </is>
      </c>
      <c r="J2444" t="inlineStr"/>
      <c r="K2444" t="inlineStr"/>
      <c r="L2444" t="inlineStr"/>
      <c r="M2444" t="inlineStr"/>
      <c r="N2444" t="inlineStr"/>
      <c r="O2444">
        <f>(1-Summary!$B$11)*T2444+Summary!$B$11*V2444</f>
        <v/>
      </c>
      <c r="P2444">
        <f>IF(B2468=0,0,O2444/B2468)</f>
        <v/>
      </c>
      <c r="Q2444" t="n">
        <v>0</v>
      </c>
      <c r="R2444" t="n">
        <v>0</v>
      </c>
      <c r="S2444">
        <f>IFERROR(O2444/N2444,0)</f>
        <v/>
      </c>
      <c r="T2444" t="n">
        <v>0</v>
      </c>
      <c r="V2444" t="n">
        <v>0</v>
      </c>
    </row>
    <row r="2445">
      <c r="A2445">
        <f>Skills!A14</f>
        <v/>
      </c>
      <c r="B2445">
        <f>Skills!B14</f>
        <v/>
      </c>
      <c r="C2445">
        <f>Inputs!$B$3&gt;=110</f>
        <v/>
      </c>
      <c r="D2445">
        <f>IF(Skills!C14=1,60+Inputs!$B$25+Inputs!$B$29,IF(Skills!C14=2,90+Inputs!$B$26+Inputs!$B$29,IF(Skills!C14=3,120+Inputs!$B$27+Inputs!$B$29,MAX(0,(Inputs!$B$3-100)*3)+Inputs!$B$28+Inputs!$B$29)))</f>
        <v/>
      </c>
      <c r="E2445">
        <f>INDEX(FactorTable!$B$2:$Y$301, MATCH(ROUND(MIN(300,MAX(1,D2445)),0), FactorTable!$A$2:$A$301,0), Skills!M14+1)</f>
        <v/>
      </c>
      <c r="F2445">
        <f>IF(Skills!N14=TRUE,(Skills!L14/10)*(E2445/1000),Skills!L14/10)+Skills!O14</f>
        <v/>
      </c>
      <c r="G2445">
        <f>Skills!G14*IF(Skills!H14&gt;0,Skills!I14/Skills!H14,1)</f>
        <v/>
      </c>
      <c r="H2445">
        <f>1-(1-Skills!J14/100)^Skills!K14</f>
        <v/>
      </c>
      <c r="I2445" t="inlineStr">
        <is>
          <t>1</t>
        </is>
      </c>
      <c r="J2445" t="inlineStr"/>
      <c r="K2445" t="inlineStr"/>
      <c r="L2445" t="inlineStr"/>
      <c r="M2445" t="inlineStr"/>
      <c r="N2445" t="inlineStr"/>
      <c r="O2445">
        <f>(1-Summary!$B$11)*T2445+Summary!$B$11*V2445</f>
        <v/>
      </c>
      <c r="P2445">
        <f>IF(B2468=0,0,O2445/B2468)</f>
        <v/>
      </c>
      <c r="Q2445" t="n">
        <v>0</v>
      </c>
      <c r="R2445" t="n">
        <v>0</v>
      </c>
      <c r="S2445">
        <f>IFERROR(O2445/N2445,0)</f>
        <v/>
      </c>
      <c r="T2445" t="n">
        <v>0</v>
      </c>
      <c r="V2445" t="n">
        <v>0</v>
      </c>
    </row>
    <row r="2446">
      <c r="A2446">
        <f>Skills!A15</f>
        <v/>
      </c>
      <c r="B2446">
        <f>Skills!B15</f>
        <v/>
      </c>
      <c r="C2446">
        <f>Inputs!$B$3&gt;=75</f>
        <v/>
      </c>
      <c r="D2446">
        <f>IF(Skills!C15=1,60+Inputs!$B$25+Inputs!$B$29,IF(Skills!C15=2,90+Inputs!$B$26+Inputs!$B$29,IF(Skills!C15=3,120+Inputs!$B$27+Inputs!$B$29,MAX(0,(Inputs!$B$3-100)*3)+Inputs!$B$28+Inputs!$B$29)))</f>
        <v/>
      </c>
      <c r="E2446">
        <f>INDEX(FactorTable!$B$2:$Y$301, MATCH(ROUND(MIN(300,MAX(1,D2446)),0), FactorTable!$A$2:$A$301,0), Skills!M15+1)</f>
        <v/>
      </c>
      <c r="F2446">
        <f>IF(Skills!N15=TRUE,(Skills!L15/10)*(E2446/1000),Skills!L15/10)+Skills!O15</f>
        <v/>
      </c>
      <c r="G2446">
        <f>Skills!G15*IF(Skills!H15&gt;0,Skills!I15/Skills!H15,1)</f>
        <v/>
      </c>
      <c r="H2446">
        <f>1-(1-Skills!J15/100)^Skills!K15</f>
        <v/>
      </c>
      <c r="I2446" t="inlineStr">
        <is>
          <t>1</t>
        </is>
      </c>
      <c r="J2446" t="inlineStr"/>
      <c r="K2446" t="inlineStr"/>
      <c r="L2446" t="inlineStr"/>
      <c r="M2446" t="inlineStr"/>
      <c r="N2446" t="inlineStr"/>
      <c r="O2446">
        <f>(1-Summary!$B$11)*T2446+Summary!$B$11*V2446</f>
        <v/>
      </c>
      <c r="P2446">
        <f>IF(B2468=0,0,O2446/B2468)</f>
        <v/>
      </c>
      <c r="Q2446">
        <f>IFERROR(1/(IF(Inputs!$B$38="pvp",15,MAX(0.1,Skills!D15-IF(Skills!E15=TRUE,Inputs!$B$32,0)))*(1-IF(AND(ArtifactsInput!$M$27,Inputs!$B$4="Chapter Hunt"),CHOOSE(ArtifactsInput!$N$27+1,20,24,28,32,36,40),0)/100)),0)</f>
        <v/>
      </c>
      <c r="R2446">
        <f>IF(AND(Inputs!$B$38&lt;&gt;"pvp",Inputs!$B$43&gt;0),IF(Inputs!$B$43&lt;=0,0,(INT(Inputs!$B$43/(IF(Inputs!$B$38="pvp",15,MAX(0.1,Skills!D15-IF(Skills!E15=TRUE,Inputs!$B$32,0)))*(1-IF(AND(ArtifactsInput!$M$27,Inputs!$B$4="Chapter Hunt"),CHOOSE(ArtifactsInput!$N$27+1,20,24,28,32,36,40),0)/100)))+1)),0)</f>
        <v/>
      </c>
      <c r="S2446">
        <f>IFERROR(O2446/N2446,0)</f>
        <v/>
      </c>
      <c r="T2446" t="n">
        <v>0</v>
      </c>
      <c r="V2446" t="n">
        <v>0</v>
      </c>
    </row>
    <row r="2447">
      <c r="A2447">
        <f>Skills!A16</f>
        <v/>
      </c>
      <c r="B2447">
        <f>Skills!B16</f>
        <v/>
      </c>
      <c r="C2447">
        <f>Inputs!$B$3&gt;=105</f>
        <v/>
      </c>
      <c r="D2447">
        <f>IF(Skills!C16=1,60+Inputs!$B$25+Inputs!$B$29,IF(Skills!C16=2,90+Inputs!$B$26+Inputs!$B$29,IF(Skills!C16=3,120+Inputs!$B$27+Inputs!$B$29,MAX(0,(Inputs!$B$3-100)*3)+Inputs!$B$28+Inputs!$B$29)))</f>
        <v/>
      </c>
      <c r="E2447">
        <f>INDEX(FactorTable!$B$2:$Y$301, MATCH(ROUND(MIN(300,MAX(1,D2447)),0), FactorTable!$A$2:$A$301,0), Skills!M16+1)</f>
        <v/>
      </c>
      <c r="F2447">
        <f>IF(Skills!N16=TRUE,(Skills!L16/10)*(E2447/1000),Skills!L16/10)+Skills!O16</f>
        <v/>
      </c>
      <c r="G2447">
        <f>Skills!G16*IF(Skills!H16&gt;0,Skills!I16/Skills!H16,1)</f>
        <v/>
      </c>
      <c r="H2447">
        <f>1-(1-Skills!J16/100)^Skills!K16</f>
        <v/>
      </c>
      <c r="I2447" t="inlineStr">
        <is>
          <t>1</t>
        </is>
      </c>
      <c r="J2447" t="inlineStr"/>
      <c r="K2447" t="inlineStr"/>
      <c r="L2447" t="inlineStr"/>
      <c r="M2447" t="inlineStr"/>
      <c r="N2447" t="inlineStr"/>
      <c r="O2447">
        <f>(1-Summary!$B$11)*T2447+Summary!$B$11*V2447</f>
        <v/>
      </c>
      <c r="P2447">
        <f>IF(B2468=0,0,O2447/B2468)</f>
        <v/>
      </c>
      <c r="Q2447">
        <f>IFERROR(1/(IF(Inputs!$B$38="pvp",15,MAX(0.1,Skills!D16-IF(Skills!E16=TRUE,Inputs!$B$32,0)))*(1-IF(AND(ArtifactsInput!$M$27,Inputs!$B$4="Chapter Hunt"),CHOOSE(ArtifactsInput!$N$27+1,20,24,28,32,36,40),0)/100)),0)</f>
        <v/>
      </c>
      <c r="R2447">
        <f>IF(AND(Inputs!$B$38&lt;&gt;"pvp",Inputs!$B$43&gt;0),IF(Inputs!$B$43&lt;=0,0,(INT(Inputs!$B$43/(IF(Inputs!$B$38="pvp",15,MAX(0.1,Skills!D16-IF(Skills!E16=TRUE,Inputs!$B$32,0)))*(1-IF(AND(ArtifactsInput!$M$27,Inputs!$B$4="Chapter Hunt"),CHOOSE(ArtifactsInput!$N$27+1,20,24,28,32,36,40),0)/100)))+1)),0)</f>
        <v/>
      </c>
      <c r="S2447">
        <f>IFERROR(O2447/N2447,0)</f>
        <v/>
      </c>
      <c r="T2447" t="n">
        <v>0</v>
      </c>
      <c r="V2447" t="n">
        <v>0</v>
      </c>
    </row>
    <row r="2448">
      <c r="A2448">
        <f>Skills!A17</f>
        <v/>
      </c>
      <c r="B2448">
        <f>Skills!B17</f>
        <v/>
      </c>
      <c r="C2448">
        <f>Inputs!$B$3&gt;=115</f>
        <v/>
      </c>
      <c r="D2448">
        <f>IF(Skills!C17=1,60+Inputs!$B$25+Inputs!$B$29,IF(Skills!C17=2,90+Inputs!$B$26+Inputs!$B$29,IF(Skills!C17=3,120+Inputs!$B$27+Inputs!$B$29,MAX(0,(Inputs!$B$3-100)*3)+Inputs!$B$28+Inputs!$B$29)))</f>
        <v/>
      </c>
      <c r="E2448">
        <f>INDEX(FactorTable!$B$2:$Y$301, MATCH(ROUND(MIN(300,MAX(1,D2448)),0), FactorTable!$A$2:$A$301,0), Skills!M17+1)</f>
        <v/>
      </c>
      <c r="F2448">
        <f>IF(Skills!N17=TRUE,(Skills!L17/10)*(E2448/1000),Skills!L17/10)+Skills!O17</f>
        <v/>
      </c>
      <c r="G2448">
        <f>Skills!G17*IF(Skills!H17&gt;0,Skills!I17/Skills!H17,1)</f>
        <v/>
      </c>
      <c r="H2448">
        <f>1-(1-Skills!J17/100)^Skills!K17</f>
        <v/>
      </c>
      <c r="I2448" t="inlineStr">
        <is>
          <t>1</t>
        </is>
      </c>
      <c r="J2448" t="inlineStr"/>
      <c r="K2448" t="inlineStr"/>
      <c r="L2448" t="inlineStr"/>
      <c r="M2448" t="inlineStr"/>
      <c r="N2448" t="inlineStr"/>
      <c r="O2448">
        <f>(1-Summary!$B$11)*T2448+Summary!$B$11*V2448</f>
        <v/>
      </c>
      <c r="P2448">
        <f>IF(B2468=0,0,O2448/B2468)</f>
        <v/>
      </c>
      <c r="Q2448">
        <f>IFERROR(1/(IF(Inputs!$B$38="pvp",15,MAX(0.1,Skills!D17-IF(Skills!E17=TRUE,Inputs!$B$32,0)))*(1-IF(AND(ArtifactsInput!$M$27,Inputs!$B$4="Chapter Hunt"),CHOOSE(ArtifactsInput!$N$27+1,20,24,28,32,36,40),0)/100)),0)</f>
        <v/>
      </c>
      <c r="R2448">
        <f>IF(AND(Inputs!$B$38&lt;&gt;"pvp",Inputs!$B$43&gt;0),IF(Inputs!$B$43&lt;=0,0,(INT(Inputs!$B$43/(IF(Inputs!$B$38="pvp",15,MAX(0.1,Skills!D17-IF(Skills!E17=TRUE,Inputs!$B$32,0)))*(1-IF(AND(ArtifactsInput!$M$27,Inputs!$B$4="Chapter Hunt"),CHOOSE(ArtifactsInput!$N$27+1,20,24,28,32,36,40),0)/100)))+1)),0)</f>
        <v/>
      </c>
      <c r="S2448">
        <f>IFERROR(O2448/N2448,0)</f>
        <v/>
      </c>
      <c r="T2448" t="n">
        <v>0</v>
      </c>
      <c r="V2448" t="n">
        <v>0</v>
      </c>
    </row>
    <row r="2449">
      <c r="A2449">
        <f>Skills!A18</f>
        <v/>
      </c>
      <c r="B2449">
        <f>Skills!B18</f>
        <v/>
      </c>
      <c r="C2449">
        <f>Inputs!$B$3&gt;=74</f>
        <v/>
      </c>
      <c r="D2449">
        <f>IF(Skills!C18=1,60+Inputs!$B$25+Inputs!$B$29,IF(Skills!C18=2,90+Inputs!$B$26+Inputs!$B$29,IF(Skills!C18=3,120+Inputs!$B$27+Inputs!$B$29,MAX(0,(Inputs!$B$3-100)*3)+Inputs!$B$28+Inputs!$B$29)))</f>
        <v/>
      </c>
      <c r="E2449">
        <f>INDEX(FactorTable!$B$2:$Y$301, MATCH(ROUND(MIN(300,MAX(1,D2449)),0), FactorTable!$A$2:$A$301,0), Skills!M18+1)</f>
        <v/>
      </c>
      <c r="F2449">
        <f>IF(Skills!N18=TRUE,(Skills!L18/10)*(E2449/1000),Skills!L18/10)+Skills!O18</f>
        <v/>
      </c>
      <c r="G2449">
        <f>Skills!G18*IF(Skills!H18&gt;0,Skills!I18/Skills!H18,1)</f>
        <v/>
      </c>
      <c r="H2449">
        <f>1-(1-Skills!J18/100)^Skills!K18</f>
        <v/>
      </c>
      <c r="I2449" t="inlineStr">
        <is>
          <t>1</t>
        </is>
      </c>
      <c r="J2449" t="inlineStr"/>
      <c r="K2449" t="inlineStr"/>
      <c r="L2449" t="inlineStr"/>
      <c r="M2449" t="inlineStr"/>
      <c r="N2449" t="inlineStr"/>
      <c r="O2449">
        <f>(1-Summary!$B$11)*T2449+Summary!$B$11*V2449</f>
        <v/>
      </c>
      <c r="P2449">
        <f>IF(B2468=0,0,O2449/B2468)</f>
        <v/>
      </c>
      <c r="Q2449">
        <f>IFERROR(1/(IF(Inputs!$B$38="pvp",15,MAX(0.1,Skills!D18-IF(Skills!E18=TRUE,Inputs!$B$32,0)))*(1-IF(AND(ArtifactsInput!$M$27,Inputs!$B$4="Chapter Hunt"),CHOOSE(ArtifactsInput!$N$27+1,20,24,28,32,36,40),0)/100)),0)</f>
        <v/>
      </c>
      <c r="R2449">
        <f>IF(AND(Inputs!$B$38&lt;&gt;"pvp",Inputs!$B$43&gt;0),IF(Inputs!$B$43&lt;=0,0,(INT(Inputs!$B$43/(IF(Inputs!$B$38="pvp",15,MAX(0.1,Skills!D18-IF(Skills!E18=TRUE,Inputs!$B$32,0)))*(1-IF(AND(ArtifactsInput!$M$27,Inputs!$B$4="Chapter Hunt"),CHOOSE(ArtifactsInput!$N$27+1,20,24,28,32,36,40),0)/100)))+1)),0)</f>
        <v/>
      </c>
      <c r="S2449">
        <f>IFERROR(O2449/N2449,0)</f>
        <v/>
      </c>
      <c r="T2449" t="n">
        <v>0</v>
      </c>
      <c r="V2449" t="n">
        <v>0</v>
      </c>
    </row>
    <row r="2450">
      <c r="A2450">
        <f>Skills!A19</f>
        <v/>
      </c>
      <c r="B2450">
        <f>Skills!B19</f>
        <v/>
      </c>
      <c r="C2450">
        <f>TRUE</f>
        <v/>
      </c>
      <c r="D2450">
        <f>IF(Skills!C19=1,60+Inputs!$B$25+Inputs!$B$29,IF(Skills!C19=2,90+Inputs!$B$26+Inputs!$B$29,IF(Skills!C19=3,120+Inputs!$B$27+Inputs!$B$29,MAX(0,(Inputs!$B$3-100)*3)+Inputs!$B$28+Inputs!$B$29)))</f>
        <v/>
      </c>
      <c r="E2450">
        <f>INDEX(FactorTable!$B$2:$Y$301, MATCH(ROUND(MIN(300,MAX(1,D2450)),0), FactorTable!$A$2:$A$301,0), Skills!M19+1)</f>
        <v/>
      </c>
      <c r="F2450">
        <f>IF(Skills!N19=TRUE,(Skills!L19/10)*(E2450/1000),Skills!L19/10)+Skills!O19</f>
        <v/>
      </c>
      <c r="G2450">
        <f>Skills!G19*IF(Skills!H19&gt;0,Skills!I19/Skills!H19,1)</f>
        <v/>
      </c>
      <c r="H2450">
        <f>1-(1-Skills!J19/100)^Skills!K19</f>
        <v/>
      </c>
      <c r="I2450" t="inlineStr">
        <is>
          <t>1</t>
        </is>
      </c>
      <c r="J2450" t="inlineStr"/>
      <c r="K2450" t="inlineStr"/>
      <c r="L2450" t="inlineStr"/>
      <c r="M2450" t="inlineStr"/>
      <c r="N2450" t="inlineStr"/>
      <c r="O2450">
        <f>(1-Summary!$B$11)*T2450+Summary!$B$11*V2450</f>
        <v/>
      </c>
      <c r="P2450">
        <f>IF(B2468=0,0,O2450/B2468)</f>
        <v/>
      </c>
      <c r="Q2450">
        <f>IFERROR(1/(IF(Inputs!$B$38="pvp",15,MAX(0.1,Skills!D19-IF(Skills!E19=TRUE,Inputs!$B$32,0)))*(1-IF(AND(ArtifactsInput!$M$27,Inputs!$B$4="Chapter Hunt"),CHOOSE(ArtifactsInput!$N$27+1,20,24,28,32,36,40),0)/100)),0)</f>
        <v/>
      </c>
      <c r="R2450">
        <f>IF(AND(Inputs!$B$38&lt;&gt;"pvp",Inputs!$B$43&gt;0),IF(Inputs!$B$43&lt;=0,0,(INT(Inputs!$B$43/(IF(Inputs!$B$38="pvp",15,MAX(0.1,Skills!D19-IF(Skills!E19=TRUE,Inputs!$B$32,0)))*(1-IF(AND(ArtifactsInput!$M$27,Inputs!$B$4="Chapter Hunt"),CHOOSE(ArtifactsInput!$N$27+1,20,24,28,32,36,40),0)/100)))+1)),0)</f>
        <v/>
      </c>
      <c r="S2450">
        <f>IFERROR(O2450/N2450,0)</f>
        <v/>
      </c>
      <c r="T2450" t="n">
        <v>0</v>
      </c>
      <c r="V2450" t="n">
        <v>0</v>
      </c>
    </row>
    <row r="2451">
      <c r="A2451">
        <f>Skills!A20</f>
        <v/>
      </c>
      <c r="B2451">
        <f>Skills!B20</f>
        <v/>
      </c>
      <c r="C2451">
        <f>Inputs!$B$3&gt;=33</f>
        <v/>
      </c>
      <c r="D2451">
        <f>IF(Skills!C20=1,60+Inputs!$B$25+Inputs!$B$29,IF(Skills!C20=2,90+Inputs!$B$26+Inputs!$B$29,IF(Skills!C20=3,120+Inputs!$B$27+Inputs!$B$29,MAX(0,(Inputs!$B$3-100)*3)+Inputs!$B$28+Inputs!$B$29)))</f>
        <v/>
      </c>
      <c r="E2451">
        <f>INDEX(FactorTable!$B$2:$Y$301, MATCH(ROUND(MIN(300,MAX(1,D2451)),0), FactorTable!$A$2:$A$301,0), Skills!M20+1)</f>
        <v/>
      </c>
      <c r="F2451">
        <f>IF(Skills!N20=TRUE,(Skills!L20/10)*(E2451/1000),Skills!L20/10)+Skills!O20</f>
        <v/>
      </c>
      <c r="G2451">
        <f>Skills!G20*IF(Skills!H20&gt;0,Skills!I20/Skills!H20,1)</f>
        <v/>
      </c>
      <c r="H2451">
        <f>1-(1-Skills!J20/100)^Skills!K20</f>
        <v/>
      </c>
      <c r="I2451" t="inlineStr">
        <is>
          <t>1</t>
        </is>
      </c>
      <c r="J2451" t="inlineStr"/>
      <c r="K2451" t="inlineStr"/>
      <c r="L2451" t="inlineStr"/>
      <c r="M2451" t="inlineStr"/>
      <c r="N2451" t="inlineStr"/>
      <c r="O2451">
        <f>(1-Summary!$B$11)*T2451+Summary!$B$11*V2451</f>
        <v/>
      </c>
      <c r="P2451">
        <f>IF(B2468=0,0,O2451/B2468)</f>
        <v/>
      </c>
      <c r="Q2451" t="n">
        <v>0</v>
      </c>
      <c r="R2451" t="n">
        <v>0</v>
      </c>
      <c r="S2451">
        <f>IFERROR(O2451/N2451,0)</f>
        <v/>
      </c>
      <c r="T2451" t="n">
        <v>0</v>
      </c>
      <c r="V2451" t="n">
        <v>0</v>
      </c>
    </row>
    <row r="2452">
      <c r="A2452">
        <f>Skills!A21</f>
        <v/>
      </c>
      <c r="B2452">
        <f>Skills!B21</f>
        <v/>
      </c>
      <c r="C2452">
        <f>Inputs!$B$3&gt;=38</f>
        <v/>
      </c>
      <c r="D2452">
        <f>IF(Skills!C21=1,60+Inputs!$B$25+Inputs!$B$29,IF(Skills!C21=2,90+Inputs!$B$26+Inputs!$B$29,IF(Skills!C21=3,120+Inputs!$B$27+Inputs!$B$29,MAX(0,(Inputs!$B$3-100)*3)+Inputs!$B$28+Inputs!$B$29)))</f>
        <v/>
      </c>
      <c r="E2452">
        <f>INDEX(FactorTable!$B$2:$Y$301, MATCH(ROUND(MIN(300,MAX(1,D2452)),0), FactorTable!$A$2:$A$301,0), Skills!M21+1)</f>
        <v/>
      </c>
      <c r="F2452">
        <f>IF(Skills!N21=TRUE,(Skills!L21/10)*(E2452/1000),Skills!L21/10)+Skills!O21</f>
        <v/>
      </c>
      <c r="G2452">
        <f>Skills!G21*IF(Skills!H21&gt;0,Skills!I21/Skills!H21,1)</f>
        <v/>
      </c>
      <c r="H2452">
        <f>1-(1-Skills!J21/100)^Skills!K21</f>
        <v/>
      </c>
      <c r="I2452" t="inlineStr">
        <is>
          <t>1</t>
        </is>
      </c>
      <c r="J2452" t="inlineStr"/>
      <c r="K2452" t="inlineStr"/>
      <c r="L2452" t="inlineStr"/>
      <c r="M2452" t="inlineStr"/>
      <c r="N2452" t="inlineStr"/>
      <c r="O2452">
        <f>(1-Summary!$B$11)*T2452+Summary!$B$11*V2452</f>
        <v/>
      </c>
      <c r="P2452">
        <f>IF(B2468=0,0,O2452/B2468)</f>
        <v/>
      </c>
      <c r="Q2452" t="n">
        <v>0</v>
      </c>
      <c r="R2452" t="n">
        <v>0</v>
      </c>
      <c r="S2452">
        <f>IFERROR(O2452/N2452,0)</f>
        <v/>
      </c>
      <c r="T2452" t="n">
        <v>0</v>
      </c>
      <c r="V2452" t="n">
        <v>0</v>
      </c>
    </row>
    <row r="2453">
      <c r="A2453">
        <f>Skills!A22</f>
        <v/>
      </c>
      <c r="B2453">
        <f>Skills!B22</f>
        <v/>
      </c>
      <c r="C2453">
        <f>Inputs!$B$3&gt;=43</f>
        <v/>
      </c>
      <c r="D2453">
        <f>IF(Skills!C22=1,60+Inputs!$B$25+Inputs!$B$29,IF(Skills!C22=2,90+Inputs!$B$26+Inputs!$B$29,IF(Skills!C22=3,120+Inputs!$B$27+Inputs!$B$29,MAX(0,(Inputs!$B$3-100)*3)+Inputs!$B$28+Inputs!$B$29)))</f>
        <v/>
      </c>
      <c r="E2453">
        <f>INDEX(FactorTable!$B$2:$Y$301, MATCH(ROUND(MIN(300,MAX(1,D2453)),0), FactorTable!$A$2:$A$301,0), Skills!M22+1)</f>
        <v/>
      </c>
      <c r="F2453">
        <f>IF(Skills!N22=TRUE,(Skills!L22/10)*(E2453/1000),Skills!L22/10)+Skills!O22</f>
        <v/>
      </c>
      <c r="G2453">
        <f>Skills!G22*IF(Skills!H22&gt;0,Skills!I22/Skills!H22,1)</f>
        <v/>
      </c>
      <c r="H2453">
        <f>1-(1-Skills!J22/100)^Skills!K22</f>
        <v/>
      </c>
      <c r="I2453" t="inlineStr">
        <is>
          <t>1</t>
        </is>
      </c>
      <c r="J2453" t="inlineStr"/>
      <c r="K2453" t="inlineStr"/>
      <c r="L2453" t="inlineStr"/>
      <c r="M2453" t="inlineStr"/>
      <c r="N2453" t="inlineStr"/>
      <c r="O2453">
        <f>(1-Summary!$B$11)*T2453+Summary!$B$11*V2453</f>
        <v/>
      </c>
      <c r="P2453">
        <f>IF(B2468=0,0,O2453/B2468)</f>
        <v/>
      </c>
      <c r="Q2453" t="n">
        <v>0</v>
      </c>
      <c r="R2453" t="n">
        <v>0</v>
      </c>
      <c r="S2453">
        <f>IFERROR(O2453/N2453,0)</f>
        <v/>
      </c>
      <c r="T2453" t="n">
        <v>0</v>
      </c>
      <c r="V2453" t="n">
        <v>0</v>
      </c>
    </row>
    <row r="2454">
      <c r="A2454">
        <f>Skills!A23</f>
        <v/>
      </c>
      <c r="B2454">
        <f>Skills!B23</f>
        <v/>
      </c>
      <c r="C2454">
        <f>Inputs!$B$3&gt;=120</f>
        <v/>
      </c>
      <c r="D2454">
        <f>IF(Skills!C23=1,60+Inputs!$B$25+Inputs!$B$29,IF(Skills!C23=2,90+Inputs!$B$26+Inputs!$B$29,IF(Skills!C23=3,120+Inputs!$B$27+Inputs!$B$29,MAX(0,(Inputs!$B$3-100)*3)+Inputs!$B$28+Inputs!$B$29)))</f>
        <v/>
      </c>
      <c r="E2454">
        <f>INDEX(FactorTable!$B$2:$Y$301, MATCH(ROUND(MIN(300,MAX(1,D2454)),0), FactorTable!$A$2:$A$301,0), Skills!M23+1)</f>
        <v/>
      </c>
      <c r="F2454">
        <f>IF(Skills!N23=TRUE,(Skills!L23/10)*(E2454/1000),Skills!L23/10)+Skills!O23</f>
        <v/>
      </c>
      <c r="G2454">
        <f>Skills!G23*IF(Skills!H23&gt;0,Skills!I23/Skills!H23,1)</f>
        <v/>
      </c>
      <c r="H2454">
        <f>1-(1-Skills!J23/100)^Skills!K23</f>
        <v/>
      </c>
      <c r="I2454" t="inlineStr">
        <is>
          <t>1</t>
        </is>
      </c>
      <c r="J2454" t="inlineStr"/>
      <c r="K2454" t="inlineStr"/>
      <c r="L2454" t="inlineStr"/>
      <c r="M2454" t="inlineStr"/>
      <c r="N2454" t="inlineStr"/>
      <c r="O2454">
        <f>(1-Summary!$B$11)*T2454+Summary!$B$11*V2454</f>
        <v/>
      </c>
      <c r="P2454">
        <f>IF(B2468=0,0,O2454/B2468)</f>
        <v/>
      </c>
      <c r="Q2454" t="n">
        <v>0</v>
      </c>
      <c r="R2454" t="n">
        <v>0</v>
      </c>
      <c r="S2454">
        <f>IFERROR(O2454/N2454,0)</f>
        <v/>
      </c>
      <c r="T2454" t="n">
        <v>0</v>
      </c>
      <c r="V2454" t="n">
        <v>0</v>
      </c>
    </row>
    <row r="2455">
      <c r="A2455">
        <f>Skills!A24</f>
        <v/>
      </c>
      <c r="B2455">
        <f>Skills!B24</f>
        <v/>
      </c>
      <c r="C2455">
        <f>Inputs!$B$3&gt;=120</f>
        <v/>
      </c>
      <c r="D2455">
        <f>IF(Skills!C24=1,60+Inputs!$B$25+Inputs!$B$29,IF(Skills!C24=2,90+Inputs!$B$26+Inputs!$B$29,IF(Skills!C24=3,120+Inputs!$B$27+Inputs!$B$29,MAX(0,(Inputs!$B$3-100)*3)+Inputs!$B$28+Inputs!$B$29)))</f>
        <v/>
      </c>
      <c r="E2455">
        <f>INDEX(FactorTable!$B$2:$Y$301, MATCH(ROUND(MIN(300,MAX(1,D2455)),0), FactorTable!$A$2:$A$301,0), Skills!M24+1)</f>
        <v/>
      </c>
      <c r="F2455">
        <f>IF(Skills!N24=TRUE,(Skills!L24/10)*(E2455/1000),Skills!L24/10)+Skills!O24</f>
        <v/>
      </c>
      <c r="G2455">
        <f>Skills!G24*IF(Skills!H24&gt;0,Skills!I24/Skills!H24,1)</f>
        <v/>
      </c>
      <c r="H2455">
        <f>1-(1-Skills!J24/100)^Skills!K24</f>
        <v/>
      </c>
      <c r="I2455" t="inlineStr">
        <is>
          <t>1</t>
        </is>
      </c>
      <c r="J2455" t="inlineStr"/>
      <c r="K2455" t="inlineStr"/>
      <c r="L2455" t="inlineStr"/>
      <c r="M2455" t="inlineStr"/>
      <c r="N2455" t="inlineStr"/>
      <c r="O2455">
        <f>(1-Summary!$B$11)*T2455+Summary!$B$11*V2455</f>
        <v/>
      </c>
      <c r="P2455">
        <f>IF(B2468=0,0,O2455/B2468)</f>
        <v/>
      </c>
      <c r="Q2455" t="n">
        <v>0</v>
      </c>
      <c r="R2455" t="n">
        <v>0</v>
      </c>
      <c r="S2455">
        <f>IFERROR(O2455/N2455,0)</f>
        <v/>
      </c>
      <c r="T2455" t="n">
        <v>0</v>
      </c>
      <c r="V2455" t="n">
        <v>0</v>
      </c>
    </row>
    <row r="2457">
      <c r="A2457" t="inlineStr">
        <is>
          <t>Attack% Bucket Multiplier</t>
        </is>
      </c>
      <c r="B2457">
        <f>(1+(((C2444=TRUE)*F2444*MIN(1,Skills!T13*(Skills!J13/100)*B2462))+((C2449=TRUE)*F2449*IF(AND(Inputs!$B$38&lt;&gt;"pvp",Inputs!$B$43&gt;0),(((R2449-1)*(Skills!T18*(1+Inputs!$B$34/100))+MIN((Skills!T18*(1+Inputs!$B$34/100)),MAX(0,Inputs!$B$43-((R2449-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58">
      <c r="A2458" t="inlineStr">
        <is>
          <t>Global Crit Rate Bonus %</t>
        </is>
      </c>
      <c r="B2458" t="n">
        <v>0</v>
      </c>
    </row>
    <row r="2459">
      <c r="A2459" t="inlineStr">
        <is>
          <t>Attack Speed Buff Bonus %</t>
        </is>
      </c>
      <c r="B2459">
        <f>((C2450=TRUE)*F2450*IF(AND(Inputs!$B$38&lt;&gt;"pvp",Inputs!$B$43&gt;0),(((R2450-1)*(Skills!T19*(1+Inputs!$B$34/100))+MIN((Skills!T19*(1+Inputs!$B$34/100)),MAX(0,Inputs!$B$43-((R2450-1)*Skills!D19))))/Inputs!$B$43),IF(Inputs!$B$38="pvp",MIN((Skills!T19*(1+Inputs!$B$34/100)),15)/15,(Skills!T19*(1+Inputs!$B$34/100))/Skills!D19)))</f>
        <v/>
      </c>
    </row>
    <row r="2460">
      <c r="A2460" t="inlineStr">
        <is>
          <t>Actions Per Second</t>
        </is>
      </c>
      <c r="B2460">
        <f>1+MIN(150,150*(1-(1-(Inputs!$B$11+((C2451=TRUE)*(F2451-Calc!F20)))/150)*(1-B2459/150)))/100</f>
        <v/>
      </c>
    </row>
    <row r="2461">
      <c r="A2461" t="inlineStr">
        <is>
          <t>Skill + Buff Cast Rate</t>
        </is>
      </c>
      <c r="B2461">
        <f>IF(AND(Inputs!$B$38&lt;&gt;"pvp",Inputs!$B$43&gt;0),SUMPRODUCT((Skills!E2:E24=TRUE)*(C2433:C2455=TRUE)*R2433:R2455*Skills!F2:F24)/Inputs!$B$43,SUMPRODUCT((Skills!E2:E24=TRUE)*(C2433:C2455=TRUE)*Q2433:Q2455*Skills!F2:F24))</f>
        <v/>
      </c>
    </row>
    <row r="2462">
      <c r="A2462" t="inlineStr">
        <is>
          <t>Blast Casts Per Second</t>
        </is>
      </c>
      <c r="B2462">
        <f>MAX(0,B2460-B2461)</f>
        <v/>
      </c>
    </row>
    <row r="2463">
      <c r="A2463" t="inlineStr">
        <is>
          <t>Global Critical Damage Bonus % (unused)</t>
        </is>
      </c>
      <c r="B2463" t="n">
        <v>0</v>
      </c>
    </row>
    <row r="2464">
      <c r="A2464" t="inlineStr">
        <is>
          <t>Global Final Damage Bonus % (Divine Shield + Guardian + Divine Blessing + Greater Vessel of Light)</t>
        </is>
      </c>
      <c r="B2464">
        <f>((C2446=TRUE)*F2446*IF(AND(Inputs!$B$38&lt;&gt;"pvp",Inputs!$B$43&gt;0),(((R2446-1)*(Skills!T15*(1+Inputs!$B$34/100))+MIN((Skills!T15*(1+Inputs!$B$34/100)),MAX(0,Inputs!$B$43-((R2446-1)*Skills!D15))))/Inputs!$B$43),IF(Inputs!$B$38="pvp",MIN((Skills!T15*(1+Inputs!$B$34/100)),15)/15,(Skills!T15*(1+Inputs!$B$34/100))/Skills!D15)))+((C2447=TRUE)*F2447*IF(AND(Inputs!$B$38&lt;&gt;"pvp",Inputs!$B$43&gt;0),(((R2447-1)*(Skills!T16*(1+Inputs!$B$34/100))+MIN((Skills!T16*(1+Inputs!$B$34/100)),MAX(0,Inputs!$B$43-((R2447-1)*Skills!D16))))/Inputs!$B$43),IF(Inputs!$B$38="pvp",MIN((Skills!T16*(1+Inputs!$B$34/100)),15)/15,(Skills!T16*(1+Inputs!$B$34/100))/Skills!D16)))+((C2448=TRUE)*F2448*IF(AND(Inputs!$B$38&lt;&gt;"pvp",Inputs!$B$43&gt;0),(((R2448-1)*(Skills!T17*(1+Inputs!$B$34/100))+MIN((Skills!T17*(1+Inputs!$B$34/100)),MAX(0,Inputs!$B$43-((R2448-1)*Skills!D17))))/Inputs!$B$43),IF(Inputs!$B$38="pvp",MIN((Skills!T17*(1+Inputs!$B$34/100)),15)/15,(Skills!T17*(1+Inputs!$B$34/100))/Skills!D17)))+((C2445=TRUE)*F2445*MIN(1,Skills!T13*(Skills!J13/100)*B2462))</f>
        <v/>
      </c>
    </row>
    <row r="2465">
      <c r="A2465" t="inlineStr">
        <is>
          <t>Buff-Casting Startup Delay (s, fixed-duration only)</t>
        </is>
      </c>
      <c r="B2465">
        <f>IF(AND(Inputs!$B$38&lt;&gt;"pvp",Inputs!$B$43&gt;0),SUMPRODUCT((Skills!T2:T24&gt;0)*(Skills!E2:E24=TRUE)*(C2433:C2455=TRUE))/B2460,0)</f>
        <v/>
      </c>
    </row>
    <row r="2466">
      <c r="A2466" t="inlineStr">
        <is>
          <t>Boss-Only Total DPS (this block's swept value)</t>
        </is>
      </c>
      <c r="B2466">
        <f>SUM(T2433:T2455)</f>
        <v/>
      </c>
    </row>
    <row r="2467">
      <c r="A2467" t="inlineStr">
        <is>
          <t>Normal-Only Total DPS (this block's swept value)</t>
        </is>
      </c>
      <c r="B2467">
        <f>SUM(V2433:V2455)</f>
        <v/>
      </c>
    </row>
    <row r="2468">
      <c r="A2468" s="6" t="inlineStr">
        <is>
          <t>TOTAL DPS</t>
        </is>
      </c>
      <c r="B2468" s="6">
        <f>SUM(O2433:O2455)</f>
        <v/>
      </c>
    </row>
    <row r="2471">
      <c r="A2471" s="6" t="inlineStr">
        <is>
          <t>Stat: Secret Map (Equip)</t>
        </is>
      </c>
    </row>
    <row r="2472">
      <c r="A2472" s="5" t="inlineStr">
        <is>
          <t>Key</t>
        </is>
      </c>
      <c r="B2472" s="5" t="inlineStr">
        <is>
          <t>Name</t>
        </is>
      </c>
      <c r="C2472" s="5" t="inlineStr">
        <is>
          <t>Unlocked</t>
        </is>
      </c>
      <c r="D2472" s="5" t="inlineStr">
        <is>
          <t>InputLevel</t>
        </is>
      </c>
      <c r="E2472" s="5" t="inlineStr">
        <is>
          <t>Factor</t>
        </is>
      </c>
      <c r="F2472" s="5" t="inlineStr">
        <is>
          <t>CoefficientPercent</t>
        </is>
      </c>
      <c r="G2472" s="5" t="inlineStr">
        <is>
          <t>EffectiveHits</t>
        </is>
      </c>
      <c r="H2472" s="5" t="inlineStr">
        <is>
          <t>ProcProbability</t>
        </is>
      </c>
      <c r="I2472" s="5" t="inlineStr">
        <is>
          <t>MapleHeroMultiplier</t>
        </is>
      </c>
      <c r="J2472" s="5" t="inlineStr">
        <is>
          <t>BaseDamage</t>
        </is>
      </c>
      <c r="K2472" s="5" t="inlineStr">
        <is>
          <t>BaseHitDamage</t>
        </is>
      </c>
      <c r="L2472" s="5" t="inlineStr">
        <is>
          <t>NonCritAvg</t>
        </is>
      </c>
      <c r="M2472" s="5" t="inlineStr">
        <is>
          <t>CritAvg</t>
        </is>
      </c>
      <c r="N2472" s="5" t="inlineStr">
        <is>
          <t>ExpectedDamage(perHit)</t>
        </is>
      </c>
      <c r="O2472" s="5" t="inlineStr">
        <is>
          <t>DPS</t>
        </is>
      </c>
      <c r="P2472" s="5" t="inlineStr">
        <is>
          <t>% of Total</t>
        </is>
      </c>
      <c r="Q2472" s="5" t="inlineStr">
        <is>
          <t>InvCooldown</t>
        </is>
      </c>
      <c r="R2472" s="5" t="inlineStr">
        <is>
          <t>CastsInFight</t>
        </is>
      </c>
      <c r="S2472" s="5" t="inlineStr">
        <is>
          <t>HitRate(perSec)</t>
        </is>
      </c>
      <c r="U2472" t="inlineStr">
        <is>
          <t>helpers</t>
        </is>
      </c>
    </row>
    <row r="2473">
      <c r="A2473">
        <f>Skills!A2</f>
        <v/>
      </c>
      <c r="B2473">
        <f>Skills!B2</f>
        <v/>
      </c>
      <c r="C2473">
        <f>Inputs!$B$3&gt;=100</f>
        <v/>
      </c>
      <c r="D2473" t="inlineStr"/>
      <c r="E2473" t="inlineStr"/>
      <c r="F2473">
        <f>U2475+Skills!O2</f>
        <v/>
      </c>
      <c r="G2473">
        <f>Skills!G2*IF(Skills!H2&gt;0,Skills!I2/Skills!H2,1)</f>
        <v/>
      </c>
      <c r="H2473">
        <f>1-(1-Skills!J2/100)^Skills!K2</f>
        <v/>
      </c>
      <c r="I2473" t="inlineStr">
        <is>
          <t>1</t>
        </is>
      </c>
      <c r="J2473">
        <f>((Inputs!$B$6*(1+Inputs!$B$7/100))+(((Inputs!$B$12*(1+Inputs!$B$13/100))-(Inputs!$B$12*(1+Inputs!$B$13/100)))+0.25*(Inputs!$B$14-Inputs!$B$14))*(1+Inputs!$B$7/100))*(F2473/100)</f>
        <v/>
      </c>
      <c r="K2473">
        <f>J2473*(1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2473)</f>
        <v/>
      </c>
      <c r="L2473">
        <f>K2473*(MIN(Inputs!$B$22+((C2493=TRUE)*(F2493-Calc!F22)),(Inputs!$B$23+((C2495=TRUE)*(F2495-Calc!F24))+(IF(ArtifactsInput!$M$15,CHOOSE(ArtifactsInput!$N$15+1,25,30,35,40,45,50)/100*(Inputs!$B$11-Inputs!$B$11),0))))/100+(Inputs!$B$23+((C2495=TRUE)*(F2495-Calc!F24))+(IF(ArtifactsInput!$M$15,CHOOSE(ArtifactsInput!$N$15+1,25,30,35,40,45,50)/100*(Inputs!$B$11-Inputs!$B$11),0)))/100)/2</f>
        <v/>
      </c>
      <c r="M2473">
        <f>L2473*(1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3">
        <f>L2473*(1-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2473*(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3">
        <f>(1-Summary!$B$11)*T2473+Summary!$B$11*V2473</f>
        <v/>
      </c>
      <c r="P2473">
        <f>IF(B2508=0,0,O2473/B2508)</f>
        <v/>
      </c>
      <c r="Q2473" t="n">
        <v>0</v>
      </c>
      <c r="R2473" t="n">
        <v>0</v>
      </c>
      <c r="S2473">
        <f>IFERROR(O2473/N2473,0)</f>
        <v/>
      </c>
      <c r="T2473">
        <f>IF(C2473,(Skills!G2*N2473*B2502)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2473*(1-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2473*(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2473*(1-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2473*(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3">
        <f>MAX(0,(Inputs!$B$3-100)*3)+Inputs!$B$28+Inputs!$B$29</f>
        <v/>
      </c>
      <c r="V2473">
        <f>IF(C2473,(Skills!G2*N2473*B2502)*IF(Inputs!$B$38="pvp",1,(1+(Inputs!$B$21+Skills!Q2+(IF(ArtifactsInput!$M$33,CHOOSE(ArtifactsInput!$N$33+1,30,36,42,48,54,60),0))+(IF(AND(ArtifactsInput!$M$35,Inputs!$B$4&lt;&gt;"Chapter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4">
      <c r="A2474">
        <f>Skills!A3</f>
        <v/>
      </c>
      <c r="B2474">
        <f>Skills!B3</f>
        <v/>
      </c>
      <c r="C2474">
        <f>Inputs!$B$3&gt;=50</f>
        <v/>
      </c>
      <c r="D2474">
        <f>IF(Skills!C3=1,60+Inputs!$B$25+Inputs!$B$29,IF(Skills!C3=2,90+Inputs!$B$26+Inputs!$B$29,IF(Skills!C3=3,120+Inputs!$B$27+Inputs!$B$29,MAX(0,(Inputs!$B$3-100)*3)+Inputs!$B$28+Inputs!$B$29)))</f>
        <v/>
      </c>
      <c r="E2474">
        <f>INDEX(FactorTable!$B$2:$Y$301, MATCH(ROUND(MIN(300,MAX(1,D2474)),0), FactorTable!$A$2:$A$301,0), Skills!M3+1)</f>
        <v/>
      </c>
      <c r="F2474">
        <f>IF(Skills!N3=TRUE,(Skills!L3/10)*(E2474/1000),Skills!L3/10)+Skills!O3</f>
        <v/>
      </c>
      <c r="G2474" t="inlineStr"/>
      <c r="H2474" t="inlineStr"/>
      <c r="I2474" t="inlineStr">
        <is>
          <t>1</t>
        </is>
      </c>
      <c r="J2474" t="inlineStr"/>
      <c r="K2474" t="inlineStr"/>
      <c r="L2474" t="inlineStr"/>
      <c r="M2474" t="inlineStr"/>
      <c r="N2474" t="inlineStr"/>
      <c r="O2474" t="inlineStr"/>
      <c r="P2474" t="inlineStr"/>
      <c r="Q2474" t="inlineStr"/>
      <c r="R2474" t="inlineStr"/>
      <c r="S2474" t="inlineStr"/>
      <c r="U2474">
        <f>INDEX(FactorTable!$B$2:$Y$301, MATCH(ROUND(MIN(300,MAX(1,U2473)),0), FactorTable!$A$2:$A$301,0), 22)</f>
        <v/>
      </c>
    </row>
    <row r="2475">
      <c r="A2475">
        <f>Skills!A4</f>
        <v/>
      </c>
      <c r="B2475">
        <f>Skills!B4</f>
        <v/>
      </c>
      <c r="C2475">
        <f>Inputs!$B$3&gt;=35</f>
        <v/>
      </c>
      <c r="D2475">
        <f>IF(Skills!C4=1,60+Inputs!$B$25+Inputs!$B$29,IF(Skills!C4=2,90+Inputs!$B$26+Inputs!$B$29,IF(Skills!C4=3,120+Inputs!$B$27+Inputs!$B$29,MAX(0,(Inputs!$B$3-100)*3)+Inputs!$B$28+Inputs!$B$29)))</f>
        <v/>
      </c>
      <c r="E2475">
        <f>INDEX(FactorTable!$B$2:$Y$301, MATCH(ROUND(MIN(300,MAX(1,D2475)),0), FactorTable!$A$2:$A$301,0), Skills!M4+1)</f>
        <v/>
      </c>
      <c r="F2475">
        <f>IF(Skills!N4=TRUE,(Skills!L4/10)*(E2475/1000),Skills!L4/10)+Skills!O4</f>
        <v/>
      </c>
      <c r="G2475">
        <f>Skills!G4*IF(Skills!H4&gt;0,Skills!I4/Skills!H4,1)</f>
        <v/>
      </c>
      <c r="H2475">
        <f>1-(1-Skills!J4/100)^Skills!K4</f>
        <v/>
      </c>
      <c r="I2475" t="inlineStr">
        <is>
          <t>1</t>
        </is>
      </c>
      <c r="J2475">
        <f>((Inputs!$B$6*(1+Inputs!$B$7/100))+(((Inputs!$B$12*(1+Inputs!$B$13/100))-(Inputs!$B$12*(1+Inputs!$B$13/100)))+0.25*(Inputs!$B$14-Inputs!$B$14))*(1+Inputs!$B$7/100))*(F2475/100)</f>
        <v/>
      </c>
      <c r="K2475">
        <f>J2475*(1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2483=TRUE,F2483,0)/100)*(1+(IF(Skills!A4="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2475)</f>
        <v/>
      </c>
      <c r="L2475">
        <f>K2475*(MIN(Inputs!$B$22+((C2493=TRUE)*(F2493-Calc!F22)),(Inputs!$B$23+((C2495=TRUE)*(F2495-Calc!F24))+(IF(ArtifactsInput!$M$15,CHOOSE(ArtifactsInput!$N$15+1,25,30,35,40,45,50)/100*(Inputs!$B$11-Inputs!$B$11),0))))/100+(Inputs!$B$23+((C2495=TRUE)*(F2495-Calc!F24))+(IF(ArtifactsInput!$M$15,CHOOSE(ArtifactsInput!$N$15+1,25,30,35,40,45,50)/100*(Inputs!$B$11-Inputs!$B$11),0)))/100)/2</f>
        <v/>
      </c>
      <c r="M2475">
        <f>L2475*(1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5">
        <f>L2475*(1-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2475*(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5">
        <f>(1-Summary!$B$11)*T2475+Summary!$B$11*V2475</f>
        <v/>
      </c>
      <c r="P2475">
        <f>IF(B2508=0,0,O2475/B2508)</f>
        <v/>
      </c>
      <c r="Q2475">
        <f>IFERROR(1/(IF(Inputs!$B$38="pvp",15,MAX(0.1,Skills!D4-IF(Skills!E4=TRUE,Inputs!$B$32,0)))*(1-IF(AND(ArtifactsInput!$M$27,Inputs!$B$4="Chapter Hunt"),CHOOSE(ArtifactsInput!$N$27+1,20,24,28,32,36,40),0)/100)),0)</f>
        <v/>
      </c>
      <c r="R2475">
        <f>IF(AND(Inputs!$B$38&lt;&gt;"pvp",Inputs!$B$43&gt;0),IF(MAX(0,Inputs!$B$43-B2505)&lt;=0,0,(INT(MAX(0,Inputs!$B$43-B2505)/(IF(Inputs!$B$38="pvp",15,MAX(0.1,Skills!D4-IF(Skills!E4=TRUE,Inputs!$B$32,0)))*(1-IF(AND(ArtifactsInput!$M$27,Inputs!$B$4="Chapter Hunt"),CHOOSE(ArtifactsInput!$N$27+1,20,24,28,32,36,40),0)/100)))+1)),0)</f>
        <v/>
      </c>
      <c r="S2475">
        <f>IFERROR(O2475/N2475,0)</f>
        <v/>
      </c>
      <c r="T2475">
        <f>IF(C2475,(H2475*N2475*IF(AND(Inputs!$B$38&lt;&gt;"pvp",Inputs!$B$43&gt;0),((Skills!G4*((R2475-1)*IF(Skills!H4&gt;0,Skills!I4/Skills!H4,1)+IF(Skills!H4&gt;0,MIN(Skills!I4,MAX(0,MAX(0,Inputs!$B$43-B2505)-((R2475-1)*(IF(Inputs!$B$38="pvp",15,MAX(0.1,Skills!D4-IF(Skills!E4=TRUE,Inputs!$B$32,0)))*(1-IF(AND(ArtifactsInput!$M$27,Inputs!$B$4="Chapter Hunt"),CHOOSE(ArtifactsInput!$N$27+1,20,24,28,32,36,40),0)/100)))))/Skills!H4,1)))/Inputs!$B$43),G2475*Q2475)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2475*(1-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2475*(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2475*(1-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2475*(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75">
        <f>290*U2474/1000</f>
        <v/>
      </c>
      <c r="V2475">
        <f>IF(C2475,(H2475*N2475*IF(AND(Inputs!$B$38&lt;&gt;"pvp",Inputs!$B$43&gt;0),((Skills!G4*((R2475-1)*IF(Skills!H4&gt;0,Skills!I4/Skills!H4,1)+IF(Skills!H4&gt;0,MIN(Skills!I4,MAX(0,MAX(0,Inputs!$B$43-B2505)-((R2475-1)*(IF(Inputs!$B$38="pvp",15,MAX(0.1,Skills!D4-IF(Skills!E4=TRUE,Inputs!$B$32,0)))*(1-IF(AND(ArtifactsInput!$M$27,Inputs!$B$4="Chapter Hunt"),CHOOSE(ArtifactsInput!$N$27+1,20,24,28,32,36,40),0)/100)))))/Skills!H4,1)))/Inputs!$B$43),G2475*Q2475))*IF(Inputs!$B$38="pvp",1,(1+(Inputs!$B$21+Skills!Q4+(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4,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6">
      <c r="A2476">
        <f>Skills!A5</f>
        <v/>
      </c>
      <c r="B2476">
        <f>Skills!B5</f>
        <v/>
      </c>
      <c r="C2476">
        <f>Inputs!$B$3&gt;=66</f>
        <v/>
      </c>
      <c r="D2476">
        <f>IF(Skills!C5=1,60+Inputs!$B$25+Inputs!$B$29,IF(Skills!C5=2,90+Inputs!$B$26+Inputs!$B$29,IF(Skills!C5=3,120+Inputs!$B$27+Inputs!$B$29,MAX(0,(Inputs!$B$3-100)*3)+Inputs!$B$28+Inputs!$B$29)))</f>
        <v/>
      </c>
      <c r="E2476">
        <f>INDEX(FactorTable!$B$2:$Y$301, MATCH(ROUND(MIN(300,MAX(1,D2476)),0), FactorTable!$A$2:$A$301,0), Skills!M5+1)</f>
        <v/>
      </c>
      <c r="F2476">
        <f>IF(Skills!N5=TRUE,(Skills!L5/10)*(E2476/1000),Skills!L5/10)+Skills!O5</f>
        <v/>
      </c>
      <c r="G2476">
        <f>Skills!G5*IF(Skills!H5&gt;0,Skills!I5/Skills!H5,1)</f>
        <v/>
      </c>
      <c r="H2476">
        <f>1-(1-Skills!J5/100)^Skills!K5</f>
        <v/>
      </c>
      <c r="I2476" t="inlineStr">
        <is>
          <t>1</t>
        </is>
      </c>
      <c r="J2476">
        <f>((Inputs!$B$6*(1+Inputs!$B$7/100))+(((Inputs!$B$12*(1+Inputs!$B$13/100))-(Inputs!$B$12*(1+Inputs!$B$13/100)))+0.25*(Inputs!$B$14-Inputs!$B$14))*(1+Inputs!$B$7/100))*(F2476/100)</f>
        <v/>
      </c>
      <c r="K2476">
        <f>J2476*(1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2483=TRUE,F2483,0)/100)*(1+(IF(Skills!A5="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2476)</f>
        <v/>
      </c>
      <c r="L2476">
        <f>K2476*(MIN(Inputs!$B$22+((C2493=TRUE)*(F2493-Calc!F22)),(Inputs!$B$23+((C2495=TRUE)*(F2495-Calc!F24))+(IF(ArtifactsInput!$M$15,CHOOSE(ArtifactsInput!$N$15+1,25,30,35,40,45,50)/100*(Inputs!$B$11-Inputs!$B$11),0))))/100+(Inputs!$B$23+((C2495=TRUE)*(F2495-Calc!F24))+(IF(ArtifactsInput!$M$15,CHOOSE(ArtifactsInput!$N$15+1,25,30,35,40,45,50)/100*(Inputs!$B$11-Inputs!$B$11),0)))/100)/2</f>
        <v/>
      </c>
      <c r="M2476">
        <f>L2476*(1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6">
        <f>L2476*(1-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2476*(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6">
        <f>(1-Summary!$B$11)*T2476+Summary!$B$11*V2476</f>
        <v/>
      </c>
      <c r="P2476">
        <f>IF(B2508=0,0,O2476/B2508)</f>
        <v/>
      </c>
      <c r="Q2476">
        <f>IFERROR(1/(IF(Inputs!$B$38="pvp",15,MAX(0.1,Skills!D5-IF(Skills!E5=TRUE,Inputs!$B$32,0)))*(1-IF(AND(ArtifactsInput!$M$27,Inputs!$B$4="Chapter Hunt"),CHOOSE(ArtifactsInput!$N$27+1,20,24,28,32,36,40),0)/100)),0)</f>
        <v/>
      </c>
      <c r="R2476">
        <f>IF(AND(Inputs!$B$38&lt;&gt;"pvp",Inputs!$B$43&gt;0),IF(MAX(0,Inputs!$B$43-B2505)&lt;=0,0,(INT(MAX(0,Inputs!$B$43-B2505)/(IF(Inputs!$B$38="pvp",15,MAX(0.1,Skills!D5-IF(Skills!E5=TRUE,Inputs!$B$32,0)))*(1-IF(AND(ArtifactsInput!$M$27,Inputs!$B$4="Chapter Hunt"),CHOOSE(ArtifactsInput!$N$27+1,20,24,28,32,36,40),0)/100)))+1)),0)</f>
        <v/>
      </c>
      <c r="S2476">
        <f>IFERROR(O2476/N2476,0)</f>
        <v/>
      </c>
      <c r="T2476">
        <f>IF(C2476,(H2476*N2476*IF(AND(Inputs!$B$38&lt;&gt;"pvp",Inputs!$B$43&gt;0),((Skills!G5*((R2476-1)*IF(Skills!H5&gt;0,Skills!I5/Skills!H5,1)+IF(Skills!H5&gt;0,MIN(Skills!I5,MAX(0,MAX(0,Inputs!$B$43-B2505)-((R2476-1)*(IF(Inputs!$B$38="pvp",15,MAX(0.1,Skills!D5-IF(Skills!E5=TRUE,Inputs!$B$32,0)))*(1-IF(AND(ArtifactsInput!$M$27,Inputs!$B$4="Chapter Hunt"),CHOOSE(ArtifactsInput!$N$27+1,20,24,28,32,36,40),0)/100)))))/Skills!H5,1)))/Inputs!$B$43),G2476*Q2476)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2476*(1-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2476*(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2476*(1-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2476*(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6">
        <f>IF(C2476,(H2476*N2476*IF(AND(Inputs!$B$38&lt;&gt;"pvp",Inputs!$B$43&gt;0),((Skills!G5*((R2476-1)*IF(Skills!H5&gt;0,Skills!I5/Skills!H5,1)+IF(Skills!H5&gt;0,MIN(Skills!I5,MAX(0,MAX(0,Inputs!$B$43-B2505)-((R2476-1)*(IF(Inputs!$B$38="pvp",15,MAX(0.1,Skills!D5-IF(Skills!E5=TRUE,Inputs!$B$32,0)))*(1-IF(AND(ArtifactsInput!$M$27,Inputs!$B$4="Chapter Hunt"),CHOOSE(ArtifactsInput!$N$27+1,20,24,28,32,36,40),0)/100)))))/Skills!H5,1)))/Inputs!$B$43),G2476*Q2476))*IF(Inputs!$B$38="pvp",1,(1+(Inputs!$B$21+Skills!Q5+(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7">
      <c r="A2477">
        <f>Skills!A6</f>
        <v/>
      </c>
      <c r="B2477">
        <f>Skills!B6</f>
        <v/>
      </c>
      <c r="C2477">
        <f>Inputs!$B$3&gt;=103</f>
        <v/>
      </c>
      <c r="D2477">
        <f>IF(Skills!C6=1,60+Inputs!$B$25+Inputs!$B$29,IF(Skills!C6=2,90+Inputs!$B$26+Inputs!$B$29,IF(Skills!C6=3,120+Inputs!$B$27+Inputs!$B$29,MAX(0,(Inputs!$B$3-100)*3)+Inputs!$B$28+Inputs!$B$29)))</f>
        <v/>
      </c>
      <c r="E2477">
        <f>INDEX(FactorTable!$B$2:$Y$301, MATCH(ROUND(MIN(300,MAX(1,D2477)),0), FactorTable!$A$2:$A$301,0), Skills!M6+1)</f>
        <v/>
      </c>
      <c r="F2477">
        <f>IF(Skills!N6=TRUE,(Skills!L6/10)*(E2477/1000),Skills!L6/10)+Skills!O6</f>
        <v/>
      </c>
      <c r="G2477">
        <f>Skills!G6*IF(Skills!H6&gt;0,Skills!I6/Skills!H6,1)</f>
        <v/>
      </c>
      <c r="H2477">
        <f>1-(1-Skills!J6/100)^Skills!K6</f>
        <v/>
      </c>
      <c r="I2477" t="inlineStr">
        <is>
          <t>1</t>
        </is>
      </c>
      <c r="J2477">
        <f>((Inputs!$B$6*(1+Inputs!$B$7/100))+(((Inputs!$B$12*(1+Inputs!$B$13/100))-(Inputs!$B$12*(1+Inputs!$B$13/100)))+0.25*(Inputs!$B$14-Inputs!$B$14))*(1+Inputs!$B$7/100))*(F2477/100)</f>
        <v/>
      </c>
      <c r="K2477">
        <f>J2477*(1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2477)</f>
        <v/>
      </c>
      <c r="L2477">
        <f>K2477*(MIN(Inputs!$B$22+((C2493=TRUE)*(F2493-Calc!F22)),(Inputs!$B$23+((C2495=TRUE)*(F2495-Calc!F24))+(IF(ArtifactsInput!$M$15,CHOOSE(ArtifactsInput!$N$15+1,25,30,35,40,45,50)/100*(Inputs!$B$11-Inputs!$B$11),0))))/100+(Inputs!$B$23+((C2495=TRUE)*(F2495-Calc!F24))+(IF(ArtifactsInput!$M$15,CHOOSE(ArtifactsInput!$N$15+1,25,30,35,40,45,50)/100*(Inputs!$B$11-Inputs!$B$11),0)))/100)/2</f>
        <v/>
      </c>
      <c r="M2477">
        <f>L2477*(1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7">
        <f>L2477*(1-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2477*(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7">
        <f>(1-Summary!$B$11)*T2477+Summary!$B$11*V2477</f>
        <v/>
      </c>
      <c r="P2477">
        <f>IF(B2508=0,0,O2477/B2508)</f>
        <v/>
      </c>
      <c r="Q2477">
        <f>IFERROR(1/(IF(Inputs!$B$38="pvp",15,MAX(0.1,Skills!D6-IF(Skills!E6=TRUE,Inputs!$B$32,0)))*(1-IF(AND(ArtifactsInput!$M$27,Inputs!$B$4="Chapter Hunt"),CHOOSE(ArtifactsInput!$N$27+1,20,24,28,32,36,40),0)/100)),0)</f>
        <v/>
      </c>
      <c r="R2477">
        <f>IF(AND(Inputs!$B$38&lt;&gt;"pvp",Inputs!$B$43&gt;0),IF(MAX(0,Inputs!$B$43-B2505)&lt;=0,0,(INT(MAX(0,Inputs!$B$43-B2505)/(IF(Inputs!$B$38="pvp",15,MAX(0.1,Skills!D6-IF(Skills!E6=TRUE,Inputs!$B$32,0)))*(1-IF(AND(ArtifactsInput!$M$27,Inputs!$B$4="Chapter Hunt"),CHOOSE(ArtifactsInput!$N$27+1,20,24,28,32,36,40),0)/100)))+1)),0)</f>
        <v/>
      </c>
      <c r="S2477">
        <f>IFERROR(O2477/N2477,0)</f>
        <v/>
      </c>
      <c r="T2477">
        <f>IF(C2477,(H2477*N2477*IF(AND(Inputs!$B$38&lt;&gt;"pvp",Inputs!$B$43&gt;0),((Skills!G6*((R2477-1)*IF(Skills!H6&gt;0,Skills!I6/Skills!H6,1)+IF(Skills!H6&gt;0,MIN(Skills!I6,MAX(0,MAX(0,Inputs!$B$43-B2505)-((R2477-1)*(IF(Inputs!$B$38="pvp",15,MAX(0.1,Skills!D6-IF(Skills!E6=TRUE,Inputs!$B$32,0)))*(1-IF(AND(ArtifactsInput!$M$27,Inputs!$B$4="Chapter Hunt"),CHOOSE(ArtifactsInput!$N$27+1,20,24,28,32,36,40),0)/100)))))/Skills!H6,1)))/Inputs!$B$43),G2477*Q2477)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2477*(1-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2477*(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2477*(1-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2477*(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7">
        <f>IF(C2477,(H2477*N2477*IF(AND(Inputs!$B$38&lt;&gt;"pvp",Inputs!$B$43&gt;0),((Skills!G6*((R2477-1)*IF(Skills!H6&gt;0,Skills!I6/Skills!H6,1)+IF(Skills!H6&gt;0,MIN(Skills!I6,MAX(0,MAX(0,Inputs!$B$43-B2505)-((R2477-1)*(IF(Inputs!$B$38="pvp",15,MAX(0.1,Skills!D6-IF(Skills!E6=TRUE,Inputs!$B$32,0)))*(1-IF(AND(ArtifactsInput!$M$27,Inputs!$B$4="Chapter Hunt"),CHOOSE(ArtifactsInput!$N$27+1,20,24,28,32,36,40),0)/100)))))/Skills!H6,1)))/Inputs!$B$43),G2477*Q2477))*IF(Inputs!$B$38="pvp",1,(1+(Inputs!$B$21+Skills!Q6+(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8">
      <c r="A2478">
        <f>Skills!A7</f>
        <v/>
      </c>
      <c r="B2478">
        <f>Skills!B7</f>
        <v/>
      </c>
      <c r="C2478">
        <f>Inputs!$B$3&gt;=107</f>
        <v/>
      </c>
      <c r="D2478">
        <f>IF(Skills!C7=1,60+Inputs!$B$25+Inputs!$B$29,IF(Skills!C7=2,90+Inputs!$B$26+Inputs!$B$29,IF(Skills!C7=3,120+Inputs!$B$27+Inputs!$B$29,MAX(0,(Inputs!$B$3-100)*3)+Inputs!$B$28+Inputs!$B$29)))</f>
        <v/>
      </c>
      <c r="E2478">
        <f>INDEX(FactorTable!$B$2:$Y$301, MATCH(ROUND(MIN(300,MAX(1,D2478)),0), FactorTable!$A$2:$A$301,0), Skills!M7+1)</f>
        <v/>
      </c>
      <c r="F2478">
        <f>IF(Skills!N7=TRUE,(Skills!L7/10)*(E2478/1000),Skills!L7/10)+Skills!O7</f>
        <v/>
      </c>
      <c r="G2478">
        <f>Skills!G7*IF(Skills!H7&gt;0,Skills!I7/Skills!H7,1)</f>
        <v/>
      </c>
      <c r="H2478">
        <f>1-(1-Skills!J7/100)^Skills!K7</f>
        <v/>
      </c>
      <c r="I2478" t="inlineStr">
        <is>
          <t>1</t>
        </is>
      </c>
      <c r="J2478">
        <f>((Inputs!$B$6*(1+Inputs!$B$7/100))+(((Inputs!$B$12*(1+Inputs!$B$13/100))-(Inputs!$B$12*(1+Inputs!$B$13/100)))+0.25*(Inputs!$B$14-Inputs!$B$14))*(1+Inputs!$B$7/100))*(F2478/100)</f>
        <v/>
      </c>
      <c r="K2478">
        <f>J2478*(1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2478)</f>
        <v/>
      </c>
      <c r="L2478">
        <f>K2478*(MIN(Inputs!$B$22+((C2493=TRUE)*(F2493-Calc!F22)),(Inputs!$B$23+((C2495=TRUE)*(F2495-Calc!F24))+(IF(ArtifactsInput!$M$15,CHOOSE(ArtifactsInput!$N$15+1,25,30,35,40,45,50)/100*(Inputs!$B$11-Inputs!$B$11),0))))/100+(Inputs!$B$23+((C2495=TRUE)*(F2495-Calc!F24))+(IF(ArtifactsInput!$M$15,CHOOSE(ArtifactsInput!$N$15+1,25,30,35,40,45,50)/100*(Inputs!$B$11-Inputs!$B$11),0)))/100)/2</f>
        <v/>
      </c>
      <c r="M2478">
        <f>L2478*(1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8">
        <f>L2478*(1-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2478*(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8">
        <f>(1-Summary!$B$11)*T2478+Summary!$B$11*V2478</f>
        <v/>
      </c>
      <c r="P2478">
        <f>IF(B2508=0,0,O2478/B2508)</f>
        <v/>
      </c>
      <c r="Q2478">
        <f>IFERROR(1/(IF(Inputs!$B$38="pvp",15,MAX(0.1,Skills!D7-IF(Skills!E7=TRUE,Inputs!$B$32,0)))*(1-IF(AND(ArtifactsInput!$M$27,Inputs!$B$4="Chapter Hunt"),CHOOSE(ArtifactsInput!$N$27+1,20,24,28,32,36,40),0)/100)),0)</f>
        <v/>
      </c>
      <c r="R2478">
        <f>IF(AND(Inputs!$B$38&lt;&gt;"pvp",Inputs!$B$43&gt;0),IF(MAX(0,Inputs!$B$43-B2505)&lt;=0,0,(INT(MAX(0,Inputs!$B$43-B2505)/(IF(Inputs!$B$38="pvp",15,MAX(0.1,Skills!D7-IF(Skills!E7=TRUE,Inputs!$B$32,0)))*(1-IF(AND(ArtifactsInput!$M$27,Inputs!$B$4="Chapter Hunt"),CHOOSE(ArtifactsInput!$N$27+1,20,24,28,32,36,40),0)/100)))+1)),0)</f>
        <v/>
      </c>
      <c r="S2478">
        <f>IFERROR(O2478/N2478,0)</f>
        <v/>
      </c>
      <c r="T2478">
        <f>IF(C2478,(H2478*N2478*IF(AND(Inputs!$B$38&lt;&gt;"pvp",Inputs!$B$43&gt;0),((Skills!G7*((R2478-1)*IF(Skills!H7&gt;0,Skills!I7/Skills!H7,1)+IF(Skills!H7&gt;0,MIN(Skills!I7,MAX(0,MAX(0,Inputs!$B$43-B2505)-((R2478-1)*(IF(Inputs!$B$38="pvp",15,MAX(0.1,Skills!D7-IF(Skills!E7=TRUE,Inputs!$B$32,0)))*(1-IF(AND(ArtifactsInput!$M$27,Inputs!$B$4="Chapter Hunt"),CHOOSE(ArtifactsInput!$N$27+1,20,24,28,32,36,40),0)/100)))))/Skills!H7,1)))/Inputs!$B$43),G2478*Q2478)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2478*(1-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2478*(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2478*(1-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2478*(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8">
        <f>IF(C2478,(H2478*N2478*IF(AND(Inputs!$B$38&lt;&gt;"pvp",Inputs!$B$43&gt;0),((Skills!G7*((R2478-1)*IF(Skills!H7&gt;0,Skills!I7/Skills!H7,1)+IF(Skills!H7&gt;0,MIN(Skills!I7,MAX(0,MAX(0,Inputs!$B$43-B2505)-((R2478-1)*(IF(Inputs!$B$38="pvp",15,MAX(0.1,Skills!D7-IF(Skills!E7=TRUE,Inputs!$B$32,0)))*(1-IF(AND(ArtifactsInput!$M$27,Inputs!$B$4="Chapter Hunt"),CHOOSE(ArtifactsInput!$N$27+1,20,24,28,32,36,40),0)/100)))))/Skills!H7,1)))/Inputs!$B$43),G2478*Q2478))*IF(Inputs!$B$38="pvp",1,(1+(Inputs!$B$21+Skills!Q7+(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9">
      <c r="A2479">
        <f>Skills!A8</f>
        <v/>
      </c>
      <c r="B2479">
        <f>Skills!B8</f>
        <v/>
      </c>
      <c r="C2479">
        <f>Inputs!$B$3&gt;=107</f>
        <v/>
      </c>
      <c r="D2479">
        <f>IF(Skills!C8=1,60+Inputs!$B$25+Inputs!$B$29,IF(Skills!C8=2,90+Inputs!$B$26+Inputs!$B$29,IF(Skills!C8=3,120+Inputs!$B$27+Inputs!$B$29,MAX(0,(Inputs!$B$3-100)*3)+Inputs!$B$28+Inputs!$B$29)))</f>
        <v/>
      </c>
      <c r="E2479">
        <f>INDEX(FactorTable!$B$2:$Y$301, MATCH(ROUND(MIN(300,MAX(1,D2479)),0), FactorTable!$A$2:$A$301,0), Skills!M8+1)</f>
        <v/>
      </c>
      <c r="F2479">
        <f>IF(Skills!N8=TRUE,(Skills!L8/10)*(E2479/1000),Skills!L8/10)+Skills!O8</f>
        <v/>
      </c>
      <c r="G2479">
        <f>Skills!G8*IF(Skills!H8&gt;0,Skills!I8/Skills!H8,1)</f>
        <v/>
      </c>
      <c r="H2479">
        <f>1-(1-Skills!J8/100)^Skills!K8</f>
        <v/>
      </c>
      <c r="I2479" t="inlineStr">
        <is>
          <t>1</t>
        </is>
      </c>
      <c r="J2479">
        <f>((Inputs!$B$6*(1+Inputs!$B$7/100))+(((Inputs!$B$12*(1+Inputs!$B$13/100))-(Inputs!$B$12*(1+Inputs!$B$13/100)))+0.25*(Inputs!$B$14-Inputs!$B$14))*(1+Inputs!$B$7/100))*(F2479/100)</f>
        <v/>
      </c>
      <c r="K2479">
        <f>J2479*(1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2479)</f>
        <v/>
      </c>
      <c r="L2479">
        <f>K2479*(MIN(Inputs!$B$22+((C2493=TRUE)*(F2493-Calc!F22)),(Inputs!$B$23+((C2495=TRUE)*(F2495-Calc!F24))+(IF(ArtifactsInput!$M$15,CHOOSE(ArtifactsInput!$N$15+1,25,30,35,40,45,50)/100*(Inputs!$B$11-Inputs!$B$11),0))))/100+(Inputs!$B$23+((C2495=TRUE)*(F2495-Calc!F24))+(IF(ArtifactsInput!$M$15,CHOOSE(ArtifactsInput!$N$15+1,25,30,35,40,45,50)/100*(Inputs!$B$11-Inputs!$B$11),0)))/100)/2</f>
        <v/>
      </c>
      <c r="M2479">
        <f>L2479*(1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79">
        <f>L2479*(1-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2479*(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79">
        <f>(1-Summary!$B$11)*T2479+Summary!$B$11*V2479</f>
        <v/>
      </c>
      <c r="P2479">
        <f>IF(B2508=0,0,O2479/B2508)</f>
        <v/>
      </c>
      <c r="Q2479">
        <f>IFERROR(1/(IF(Inputs!$B$38="pvp",15,MAX(0.1,Skills!D8-IF(Skills!E8=TRUE,Inputs!$B$32,0)))*(1-IF(AND(ArtifactsInput!$M$27,Inputs!$B$4="Chapter Hunt"),CHOOSE(ArtifactsInput!$N$27+1,20,24,28,32,36,40),0)/100)),0)</f>
        <v/>
      </c>
      <c r="R2479">
        <f>IF(AND(Inputs!$B$38&lt;&gt;"pvp",Inputs!$B$43&gt;0),IF(MAX(0,Inputs!$B$43-B2505)&lt;=0,0,(INT(MAX(0,Inputs!$B$43-B2505)/(IF(Inputs!$B$38="pvp",15,MAX(0.1,Skills!D8-IF(Skills!E8=TRUE,Inputs!$B$32,0)))*(1-IF(AND(ArtifactsInput!$M$27,Inputs!$B$4="Chapter Hunt"),CHOOSE(ArtifactsInput!$N$27+1,20,24,28,32,36,40),0)/100)))+1)),0)</f>
        <v/>
      </c>
      <c r="S2479">
        <f>IFERROR(O2479/N2479,0)</f>
        <v/>
      </c>
      <c r="T2479">
        <f>IF(C2479,(H2479*N2479*IF(AND(Inputs!$B$38&lt;&gt;"pvp",Inputs!$B$43&gt;0),((Skills!G8*((R2479-1)*IF(Skills!H8&gt;0,Skills!I8/Skills!H8,1)+IF(Skills!H8&gt;0,MIN(Skills!I8,MAX(0,MAX(0,Inputs!$B$43-B2505)-((R2479-1)*(IF(Inputs!$B$38="pvp",15,MAX(0.1,Skills!D8-IF(Skills!E8=TRUE,Inputs!$B$32,0)))*(1-IF(AND(ArtifactsInput!$M$27,Inputs!$B$4="Chapter Hunt"),CHOOSE(ArtifactsInput!$N$27+1,20,24,28,32,36,40),0)/100)))))/Skills!H8,1)))/Inputs!$B$43),G2479*Q2479)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2479*(1-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2479*(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2479*(1-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2479*(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79">
        <f>IF(C2479,(H2479*N2479*IF(AND(Inputs!$B$38&lt;&gt;"pvp",Inputs!$B$43&gt;0),((Skills!G8*((R2479-1)*IF(Skills!H8&gt;0,Skills!I8/Skills!H8,1)+IF(Skills!H8&gt;0,MIN(Skills!I8,MAX(0,MAX(0,Inputs!$B$43-B2505)-((R2479-1)*(IF(Inputs!$B$38="pvp",15,MAX(0.1,Skills!D8-IF(Skills!E8=TRUE,Inputs!$B$32,0)))*(1-IF(AND(ArtifactsInput!$M$27,Inputs!$B$4="Chapter Hunt"),CHOOSE(ArtifactsInput!$N$27+1,20,24,28,32,36,40),0)/100)))))/Skills!H8,1)))/Inputs!$B$43),G2479*Q2479))*IF(Inputs!$B$38="pvp",1,(1+(Inputs!$B$21+Skills!Q8+(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0">
      <c r="A2480">
        <f>Skills!A9</f>
        <v/>
      </c>
      <c r="B2480">
        <f>Skills!B9</f>
        <v/>
      </c>
      <c r="C2480">
        <f>Inputs!$B$3&gt;=125</f>
        <v/>
      </c>
      <c r="D2480">
        <f>IF(Skills!C9=1,60+Inputs!$B$25+Inputs!$B$29,IF(Skills!C9=2,90+Inputs!$B$26+Inputs!$B$29,IF(Skills!C9=3,120+Inputs!$B$27+Inputs!$B$29,MAX(0,(Inputs!$B$3-100)*3)+Inputs!$B$28+Inputs!$B$29)))</f>
        <v/>
      </c>
      <c r="E2480">
        <f>INDEX(FactorTable!$B$2:$Y$301, MATCH(ROUND(MIN(300,MAX(1,D2480)),0), FactorTable!$A$2:$A$301,0), Skills!M9+1)</f>
        <v/>
      </c>
      <c r="F2480">
        <f>IF(Skills!N9=TRUE,(Skills!L9/10)*(E2480/1000),Skills!L9/10)+Skills!O9</f>
        <v/>
      </c>
      <c r="G2480">
        <f>Skills!G9*IF(Skills!H9&gt;0,Skills!I9/Skills!H9,1)</f>
        <v/>
      </c>
      <c r="H2480">
        <f>1-(1-Skills!J9/100)^Skills!K9</f>
        <v/>
      </c>
      <c r="I2480" t="inlineStr">
        <is>
          <t>1</t>
        </is>
      </c>
      <c r="J2480">
        <f>((Inputs!$B$6*(1+Inputs!$B$7/100))+(((Inputs!$B$12*(1+Inputs!$B$13/100))-(Inputs!$B$12*(1+Inputs!$B$13/100)))+0.25*(Inputs!$B$14-Inputs!$B$14))*(1+Inputs!$B$7/100))*(F2480/100)</f>
        <v/>
      </c>
      <c r="K2480">
        <f>J2480*(1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2480)</f>
        <v/>
      </c>
      <c r="L2480">
        <f>K2480*(MIN(Inputs!$B$22+((C2493=TRUE)*(F2493-Calc!F22)),(Inputs!$B$23+((C2495=TRUE)*(F2495-Calc!F24))+(IF(ArtifactsInput!$M$15,CHOOSE(ArtifactsInput!$N$15+1,25,30,35,40,45,50)/100*(Inputs!$B$11-Inputs!$B$11),0))))/100+(Inputs!$B$23+((C2495=TRUE)*(F2495-Calc!F24))+(IF(ArtifactsInput!$M$15,CHOOSE(ArtifactsInput!$N$15+1,25,30,35,40,45,50)/100*(Inputs!$B$11-Inputs!$B$11),0)))/100)/2</f>
        <v/>
      </c>
      <c r="M2480">
        <f>L2480*(1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0">
        <f>L2480*(1-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2480*(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0">
        <f>(1-Summary!$B$11)*T2480+Summary!$B$11*V2480</f>
        <v/>
      </c>
      <c r="P2480">
        <f>IF(B2508=0,0,O2480/B2508)</f>
        <v/>
      </c>
      <c r="Q2480">
        <f>IFERROR(1/(IF(Inputs!$B$38="pvp",15,MAX(0.1,Skills!D9-IF(Skills!E9=TRUE,Inputs!$B$32,0)))*(1-IF(AND(ArtifactsInput!$M$27,Inputs!$B$4="Chapter Hunt"),CHOOSE(ArtifactsInput!$N$27+1,20,24,28,32,36,40),0)/100)),0)</f>
        <v/>
      </c>
      <c r="R2480">
        <f>IF(AND(Inputs!$B$38&lt;&gt;"pvp",Inputs!$B$43&gt;0),IF(MAX(0,Inputs!$B$43-B2505)&lt;=0,0,(INT(MAX(0,Inputs!$B$43-B2505)/(IF(Inputs!$B$38="pvp",15,MAX(0.1,Skills!D9-IF(Skills!E9=TRUE,Inputs!$B$32,0)))*(1-IF(AND(ArtifactsInput!$M$27,Inputs!$B$4="Chapter Hunt"),CHOOSE(ArtifactsInput!$N$27+1,20,24,28,32,36,40),0)/100)))+1)),0)</f>
        <v/>
      </c>
      <c r="S2480">
        <f>IFERROR(O2480/N2480,0)</f>
        <v/>
      </c>
      <c r="T2480">
        <f>IF(C2480,(H2480*N2480*IF(AND(Inputs!$B$38&lt;&gt;"pvp",Inputs!$B$43&gt;0),((Skills!G9*((R2480-1)*IF(Skills!H9&gt;0,Skills!I9/Skills!H9,1)+IF(Skills!H9&gt;0,MIN(Skills!I9,MAX(0,MAX(0,Inputs!$B$43-B2505)-((R2480-1)*(IF(Inputs!$B$38="pvp",15,MAX(0.1,Skills!D9-IF(Skills!E9=TRUE,Inputs!$B$32,0)))*(1-IF(AND(ArtifactsInput!$M$27,Inputs!$B$4="Chapter Hunt"),CHOOSE(ArtifactsInput!$N$27+1,20,24,28,32,36,40),0)/100)))))/Skills!H9,1)))/Inputs!$B$43),G2480*Q2480)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2480*(1-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2480*(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2480*(1-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2480*(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80">
        <f>IF(C2480,(H2480*N2480*IF(AND(Inputs!$B$38&lt;&gt;"pvp",Inputs!$B$43&gt;0),((Skills!G9*((R2480-1)*IF(Skills!H9&gt;0,Skills!I9/Skills!H9,1)+IF(Skills!H9&gt;0,MIN(Skills!I9,MAX(0,MAX(0,Inputs!$B$43-B2505)-((R2480-1)*(IF(Inputs!$B$38="pvp",15,MAX(0.1,Skills!D9-IF(Skills!E9=TRUE,Inputs!$B$32,0)))*(1-IF(AND(ArtifactsInput!$M$27,Inputs!$B$4="Chapter Hunt"),CHOOSE(ArtifactsInput!$N$27+1,20,24,28,32,36,40),0)/100)))))/Skills!H9,1)))/Inputs!$B$43),G2480*Q2480))*IF(Inputs!$B$38="pvp",1,(1+(Inputs!$B$21+Skills!Q9+(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1">
      <c r="A2481">
        <f>Skills!A10</f>
        <v/>
      </c>
      <c r="B2481">
        <f>Skills!B10</f>
        <v/>
      </c>
      <c r="C2481">
        <f>Inputs!$B$3&gt;=117</f>
        <v/>
      </c>
      <c r="D2481">
        <f>IF(Skills!C10=1,60+Inputs!$B$25+Inputs!$B$29,IF(Skills!C10=2,90+Inputs!$B$26+Inputs!$B$29,IF(Skills!C10=3,120+Inputs!$B$27+Inputs!$B$29,MAX(0,(Inputs!$B$3-100)*3)+Inputs!$B$28+Inputs!$B$29)))</f>
        <v/>
      </c>
      <c r="E2481">
        <f>INDEX(FactorTable!$B$2:$Y$301, MATCH(ROUND(MIN(300,MAX(1,D2481)),0), FactorTable!$A$2:$A$301,0), Skills!M10+1)</f>
        <v/>
      </c>
      <c r="F2481">
        <f>IF(Skills!N10=TRUE,(Skills!L10/10)*(E2481/1000),Skills!L10/10)+Skills!O10</f>
        <v/>
      </c>
      <c r="G2481">
        <f>Skills!G10*IF(Skills!H10&gt;0,Skills!I10/Skills!H10,1)</f>
        <v/>
      </c>
      <c r="H2481">
        <f>1-(1-Skills!J10/100)^Skills!K10</f>
        <v/>
      </c>
      <c r="I2481" t="inlineStr">
        <is>
          <t>1</t>
        </is>
      </c>
      <c r="J2481">
        <f>((Inputs!$B$6*(1+Inputs!$B$7/100))+(((Inputs!$B$12*(1+Inputs!$B$13/100))-(Inputs!$B$12*(1+Inputs!$B$13/100)))+0.25*(Inputs!$B$14-Inputs!$B$14))*(1+Inputs!$B$7/100))*(F2481/100)</f>
        <v/>
      </c>
      <c r="K2481">
        <f>J2481*(1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2481)</f>
        <v/>
      </c>
      <c r="L2481">
        <f>K2481*(MIN(Inputs!$B$22+((C2493=TRUE)*(F2493-Calc!F22)),(Inputs!$B$23+((C2495=TRUE)*(F2495-Calc!F24))+(IF(ArtifactsInput!$M$15,CHOOSE(ArtifactsInput!$N$15+1,25,30,35,40,45,50)/100*(Inputs!$B$11-Inputs!$B$11),0))))/100+(Inputs!$B$23+((C2495=TRUE)*(F2495-Calc!F24))+(IF(ArtifactsInput!$M$15,CHOOSE(ArtifactsInput!$N$15+1,25,30,35,40,45,50)/100*(Inputs!$B$11-Inputs!$B$11),0)))/100)/2</f>
        <v/>
      </c>
      <c r="M2481">
        <f>L2481*(1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1">
        <f>L2481*(1-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1">
        <f>(1-Summary!$B$11)*T2481+Summary!$B$11*V2481</f>
        <v/>
      </c>
      <c r="P2481">
        <f>IF(B2508=0,0,O2481/B2508)</f>
        <v/>
      </c>
      <c r="Q2481">
        <f>IFERROR(1/(IF(Inputs!$B$38="pvp",15,MAX(0.1,Skills!D10-IF(Skills!E10=TRUE,Inputs!$B$32,0)))*(1-IF(AND(ArtifactsInput!$M$27,Inputs!$B$4="Chapter Hunt"),CHOOSE(ArtifactsInput!$N$27+1,20,24,28,32,36,40),0)/100)),0)</f>
        <v/>
      </c>
      <c r="R2481">
        <f>IF(AND(Inputs!$B$38&lt;&gt;"pvp",Inputs!$B$43&gt;0),IF(MAX(0,Inputs!$B$43-B2505)&lt;=0,0,(INT(MAX(0,Inputs!$B$43-B2505)/(IF(Inputs!$B$38="pvp",15,MAX(0.1,Skills!D10-IF(Skills!E10=TRUE,Inputs!$B$32,0)))*(1-IF(AND(ArtifactsInput!$M$27,Inputs!$B$4="Chapter Hunt"),CHOOSE(ArtifactsInput!$N$27+1,20,24,28,32,36,40),0)/100)))+1)),0)</f>
        <v/>
      </c>
      <c r="S2481">
        <f>IFERROR(O2481/N2481,0)</f>
        <v/>
      </c>
      <c r="T2481">
        <f>IF(C2481,(H2481*N2481*IF(AND(Inputs!$B$38&lt;&gt;"pvp",Inputs!$B$43&gt;0),((Skills!G10*((R2481-1)*IF(Skills!H10&gt;0,Skills!I10/Skills!H10,1)+IF(Skills!H10&gt;0,MIN(Skills!I10,MAX(0,MAX(0,Inputs!$B$43-B2505)-((R2481-1)*(IF(Inputs!$B$38="pvp",15,MAX(0.1,Skills!D10-IF(Skills!E10=TRUE,Inputs!$B$32,0)))*(1-IF(AND(ArtifactsInput!$M$27,Inputs!$B$4="Chapter Hunt"),CHOOSE(ArtifactsInput!$N$27+1,20,24,28,32,36,40),0)/100)))))/Skills!H10,1)))/Inputs!$B$43),G2481*Q2481)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2481*(1-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2481*(1-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81">
        <f>IF(C2481,(H2481*N2481*IF(AND(Inputs!$B$38&lt;&gt;"pvp",Inputs!$B$43&gt;0),((Skills!G10*((R2481-1)*IF(Skills!H10&gt;0,Skills!I10/Skills!H10,1)+IF(Skills!H10&gt;0,MIN(Skills!I10,MAX(0,MAX(0,Inputs!$B$43-B2505)-((R2481-1)*(IF(Inputs!$B$38="pvp",15,MAX(0.1,Skills!D10-IF(Skills!E10=TRUE,Inputs!$B$32,0)))*(1-IF(AND(ArtifactsInput!$M$27,Inputs!$B$4="Chapter Hunt"),CHOOSE(ArtifactsInput!$N$27+1,20,24,28,32,36,40),0)/100)))))/Skills!H10,1)))/Inputs!$B$43),G2481*Q2481))*IF(Inputs!$B$38="pvp",1,(1+(Inputs!$B$21+Skills!Q10+(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2">
      <c r="A2482">
        <f>Skills!A11</f>
        <v/>
      </c>
      <c r="B2482">
        <f>Skills!B11</f>
        <v/>
      </c>
      <c r="C2482">
        <f>Inputs!$B$3&gt;=63</f>
        <v/>
      </c>
      <c r="D2482">
        <f>IF(Skills!C11=1,60+Inputs!$B$25+Inputs!$B$29,IF(Skills!C11=2,90+Inputs!$B$26+Inputs!$B$29,IF(Skills!C11=3,120+Inputs!$B$27+Inputs!$B$29,MAX(0,(Inputs!$B$3-100)*3)+Inputs!$B$28+Inputs!$B$29)))</f>
        <v/>
      </c>
      <c r="E2482">
        <f>INDEX(FactorTable!$B$2:$Y$301, MATCH(ROUND(MIN(300,MAX(1,D2482)),0), FactorTable!$A$2:$A$301,0), Skills!M11+1)</f>
        <v/>
      </c>
      <c r="F2482">
        <f>IF(Skills!N11=TRUE,(Skills!L11/10)*(E2482/1000),Skills!L11/10)+Skills!O11</f>
        <v/>
      </c>
      <c r="G2482">
        <f>Skills!G11*IF(Skills!H11&gt;0,Skills!I11/Skills!H11,1)</f>
        <v/>
      </c>
      <c r="H2482">
        <f>1-(1-Skills!J11/100)^Skills!K11</f>
        <v/>
      </c>
      <c r="I2482" t="inlineStr">
        <is>
          <t>1</t>
        </is>
      </c>
      <c r="J2482">
        <f>((Inputs!$B$6*(1+Inputs!$B$7/100))+(((Inputs!$B$12*(1+Inputs!$B$13/100))-(Inputs!$B$12*(1+Inputs!$B$13/100)))+0.25*(Inputs!$B$14-Inputs!$B$14))*(1+Inputs!$B$7/100))*(F2482/100)</f>
        <v/>
      </c>
      <c r="K2482">
        <f>J2482*(1+((Inputs!$B$12*(1+Inputs!$B$13/100))*0.01+Inputs!$B$14*0.0025)/100)*(1+Inputs!$B$15/100)*(1+Inputs!$B$16/100)*(5000/(6000+Inputs!$B$42*(1-(Inputs!$B$19+0)/100)))*(1+(Inputs!$B$24+0+B2504)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2483=TRUE,F2483,0)/100)*(1+(IF(Skills!A11="BLAST",Inputs!$B$17+((C2492=TRUE)*(F2492-Calc!F21))+((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MIN(100,((Inputs!$B$9+0+B2498+(ArtifactsInput!$M$24-ArtifactsInput!$M$24)*CHOOSE(ArtifactsInput!$N$24+1,10,12,14,16,18,20)+IF(ArtifactsInput!$M$10,CHOOSE(ArtifactsInput!$N$10+1,15,18,21,24,27,30)*(IF(Inputs!$B$38="pvp",MIN(15,15)/15,IF(AND(Inputs!$B$38&lt;&gt;"pvp",Inputs!$B$43&gt;0),MIN(15,Inputs!$B$43)/(Inputs!$B$43),0))),0)))-100),0))*CHOOSE(ArtifactsInput!$N$42+1,0.6,0.72,0.84,0.96,1.08,1.2))),Inputs!$B$18+((C2494=TRUE)*(F2494-Calc!F23))+(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gt;=100),CHOOSE(ArtifactsInput!$N$42+1,40,48,56,64,72,80),0))))/100)*((1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2482)</f>
        <v/>
      </c>
      <c r="L2482">
        <f>K2482*(MIN(Inputs!$B$22+((C2493=TRUE)*(F2493-Calc!F22)),(Inputs!$B$23+((C2495=TRUE)*(F2495-Calc!F24))+(IF(ArtifactsInput!$M$15,CHOOSE(ArtifactsInput!$N$15+1,25,30,35,40,45,50)/100*(Inputs!$B$11-Inputs!$B$11),0))))/100+(Inputs!$B$23+((C2495=TRUE)*(F2495-Calc!F24))+(IF(ArtifactsInput!$M$15,CHOOSE(ArtifactsInput!$N$15+1,25,30,35,40,45,50)/100*(Inputs!$B$11-Inputs!$B$11),0)))/100)/2</f>
        <v/>
      </c>
      <c r="M2482">
        <f>L2482*(1+(Inputs!$B$10+0+B2503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82">
        <f>L2482*(1-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2482*(MIN((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82">
        <f>(1-Summary!$B$11)*T2482+Summary!$B$11*V2482</f>
        <v/>
      </c>
      <c r="P2482">
        <f>IF(B2508=0,0,O2482/B2508)</f>
        <v/>
      </c>
      <c r="Q2482">
        <f>IFERROR(1/(IF(Inputs!$B$38="pvp",15,MAX(0.1,Skills!D11-IF(Skills!E11=TRUE,Inputs!$B$32,0)))*(1-IF(AND(ArtifactsInput!$M$27,Inputs!$B$4="Chapter Hunt"),CHOOSE(ArtifactsInput!$N$27+1,20,24,28,32,36,40),0)/100)),0)</f>
        <v/>
      </c>
      <c r="R2482">
        <f>IF(AND(Inputs!$B$38&lt;&gt;"pvp",Inputs!$B$43&gt;0),IF(MAX(0,Inputs!$B$43-B2505)&lt;=0,0,(INT(MAX(0,Inputs!$B$43-B2505)/(IF(Inputs!$B$38="pvp",15,MAX(0.1,Skills!D11-IF(Skills!E11=TRUE,Inputs!$B$32,0)))*(1-IF(AND(ArtifactsInput!$M$27,Inputs!$B$4="Chapter Hunt"),CHOOSE(ArtifactsInput!$N$27+1,20,24,28,32,36,40),0)/100)))+1)),0)</f>
        <v/>
      </c>
      <c r="S2482">
        <f>IFERROR(O2482/N2482,0)</f>
        <v/>
      </c>
      <c r="T2482">
        <f>IF(C2482,(H2482*N2482*IF(AND(Inputs!$B$38&lt;&gt;"pvp",Inputs!$B$43&gt;0),((Skills!G11*((R2482-1)*IF(Skills!H11&gt;0,Skills!I11/Skills!H11,1)+IF(Skills!H11&gt;0,MIN(Skills!I11,MAX(0,MAX(0,Inputs!$B$43-B2505)-((R2482-1)*(IF(Inputs!$B$38="pvp",15,MAX(0.1,Skills!D11-IF(Skills!E11=TRUE,Inputs!$B$32,0)))*(1-IF(AND(ArtifactsInput!$M$27,Inputs!$B$4="Chapter Hunt"),CHOOSE(ArtifactsInput!$N$27+1,20,24,28,32,36,40),0)/100)))))/Skills!H11,1)))/Inputs!$B$43),G2482*Q2482)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2482*(1-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2482*(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2482*(1-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2482*(MIN(100,(Inputs!$B$9+0+B2498+(ArtifactsInput!$M$24-ArtifactsInput!$M$24)*CHOOSE(ArtifactsInput!$N$24+1,10,12,14,16,18,20)+(IF(AND(Inputs!$B$38&lt;&gt;"pvp",Inputs!$B$43=0),1,IF(IF(Inputs!$B$38="pvp",15,Inputs!$B$43)-(B2505)&lt;=0,1,MAX(0,IF(Inputs!$B$38="pvp",15,Inputs!$B$43)-MAX(5,B2505))/(IF(Inputs!$B$38="pvp",15,Inputs!$B$43)-(B2505))))*IF(AND(ArtifactsInput!$M$42,((Inputs!$B$9+0+B2498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82">
        <f>IF(C2482,(H2482*N2482*IF(AND(Inputs!$B$38&lt;&gt;"pvp",Inputs!$B$43&gt;0),((Skills!G11*((R2482-1)*IF(Skills!H11&gt;0,Skills!I11/Skills!H11,1)+IF(Skills!H11&gt;0,MIN(Skills!I11,MAX(0,MAX(0,Inputs!$B$43-B2505)-((R2482-1)*(IF(Inputs!$B$38="pvp",15,MAX(0.1,Skills!D11-IF(Skills!E11=TRUE,Inputs!$B$32,0)))*(1-IF(AND(ArtifactsInput!$M$27,Inputs!$B$4="Chapter Hunt"),CHOOSE(ArtifactsInput!$N$27+1,20,24,28,32,36,40),0)/100)))))/Skills!H11,1)))/Inputs!$B$43),G2482*Q2482))*IF(Inputs!$B$38="pvp",1,(1+(Inputs!$B$21+Skills!Q11+(IF(ArtifactsInput!$M$33,CHOOSE(ArtifactsInput!$N$33+1,30,36,42,48,54,60),0))+(IF(AND(ArtifactsInput!$M$35,Inputs!$B$4&lt;&gt;"Chapter Hunt"),CHOOSE(ArtifactsInput!$N$35+1,15,18,21,24,27,30)*(1-EXP(-(0.2*B2500)*5)),0)+IF(AND(ArtifactsInput!$M$22,Inputs!$B$4&lt;&gt;"Chapter Hunt"),CHOOSE(ArtifactsInput!$N$22+1,10,12,14,16,18,20)*((0*(((0.15*B2500*5))^0/1)+1*(((0.15*B2500*5))^1/1)+2*(((0.15*B2500*5))^2/2)+3*(((0.15*B2500*5))^3/6)+4*(((0.15*B2500*5))^4/24)+5*(((0.15*B2500*5))^5/120))/((((0.15*B2500*5))^0/1)+(((0.15*B2500*5))^1/1)+(((0.15*B2500*5))^2/2)+(((0.15*B2500*5))^3/6)+(((0.15*B2500*5))^4/24)+(((0.15*B2500*5))^5/120))),0)+IF(Inputs!$B$3&gt;=44,10*IF(Inputs!$B$38="pvp",MIN((10*(1+Inputs!$B$34/100)),15)/15,(10*(1+Inputs!$B$34/100))/Skills!D4),0)+12*IF(Inputs!$B$38="pvp",MIN((10*(1+Inputs!$B$34/100)),15)/15,(10*(1+Inputs!$B$34/100))/Skills!D5)+IF(Inputs!$B$3&gt;=138,20*IF(Inputs!$B$38="pvp",MIN((10*(1+Inputs!$B$34/100)),15)/15,(10*(1+Inputs!$B$34/100))/Skills!D7),0)))/100)*(MIN(Skills!R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83">
      <c r="A2483">
        <f>Skills!A12</f>
        <v/>
      </c>
      <c r="B2483">
        <f>Skills!B12</f>
        <v/>
      </c>
      <c r="C2483">
        <f>Inputs!$B$3&gt;=100</f>
        <v/>
      </c>
      <c r="D2483">
        <f>IF(Skills!C12=1,60+Inputs!$B$25+Inputs!$B$29,IF(Skills!C12=2,90+Inputs!$B$26+Inputs!$B$29,IF(Skills!C12=3,120+Inputs!$B$27+Inputs!$B$29,MAX(0,(Inputs!$B$3-100)*3)+Inputs!$B$28+Inputs!$B$29)))</f>
        <v/>
      </c>
      <c r="E2483">
        <f>INDEX(FactorTable!$B$2:$Y$301, MATCH(ROUND(MIN(300,MAX(1,D2483)),0), FactorTable!$A$2:$A$301,0), Skills!M12+1)</f>
        <v/>
      </c>
      <c r="F2483">
        <f>IF(Skills!N12=TRUE,(Skills!L12/10)*(E2483/1000),Skills!L12/10)+Skills!O12</f>
        <v/>
      </c>
      <c r="G2483" t="inlineStr"/>
      <c r="H2483" t="inlineStr"/>
      <c r="I2483" t="inlineStr">
        <is>
          <t>1</t>
        </is>
      </c>
      <c r="J2483" t="inlineStr"/>
      <c r="K2483" t="inlineStr"/>
      <c r="L2483" t="inlineStr"/>
      <c r="M2483" t="inlineStr"/>
      <c r="N2483" t="inlineStr"/>
      <c r="O2483" t="inlineStr"/>
      <c r="P2483" t="inlineStr"/>
      <c r="Q2483" t="inlineStr"/>
      <c r="R2483" t="inlineStr"/>
      <c r="S2483" t="inlineStr"/>
    </row>
    <row r="2484">
      <c r="A2484">
        <f>Skills!A13</f>
        <v/>
      </c>
      <c r="B2484">
        <f>Skills!B13</f>
        <v/>
      </c>
      <c r="C2484">
        <f>Inputs!$B$3&gt;=45</f>
        <v/>
      </c>
      <c r="D2484">
        <f>IF(Skills!C13=1,60+Inputs!$B$25+Inputs!$B$29,IF(Skills!C13=2,90+Inputs!$B$26+Inputs!$B$29,IF(Skills!C13=3,120+Inputs!$B$27+Inputs!$B$29,MAX(0,(Inputs!$B$3-100)*3)+Inputs!$B$28+Inputs!$B$29)))</f>
        <v/>
      </c>
      <c r="E2484">
        <f>INDEX(FactorTable!$B$2:$Y$301, MATCH(ROUND(MIN(300,MAX(1,D2484)),0), FactorTable!$A$2:$A$301,0), Skills!M13+1)</f>
        <v/>
      </c>
      <c r="F2484">
        <f>IF(Skills!N13=TRUE,(Skills!L13/10)*(E2484/1000),Skills!L13/10)+Skills!O13</f>
        <v/>
      </c>
      <c r="G2484">
        <f>Skills!G13*IF(Skills!H13&gt;0,Skills!I13/Skills!H13,1)</f>
        <v/>
      </c>
      <c r="H2484">
        <f>1-(1-Skills!J13/100)^Skills!K13</f>
        <v/>
      </c>
      <c r="I2484" t="inlineStr">
        <is>
          <t>1</t>
        </is>
      </c>
      <c r="J2484" t="inlineStr"/>
      <c r="K2484" t="inlineStr"/>
      <c r="L2484" t="inlineStr"/>
      <c r="M2484" t="inlineStr"/>
      <c r="N2484" t="inlineStr"/>
      <c r="O2484">
        <f>(1-Summary!$B$11)*T2484+Summary!$B$11*V2484</f>
        <v/>
      </c>
      <c r="P2484">
        <f>IF(B2508=0,0,O2484/B2508)</f>
        <v/>
      </c>
      <c r="Q2484" t="n">
        <v>0</v>
      </c>
      <c r="R2484" t="n">
        <v>0</v>
      </c>
      <c r="S2484">
        <f>IFERROR(O2484/N2484,0)</f>
        <v/>
      </c>
      <c r="T2484" t="n">
        <v>0</v>
      </c>
      <c r="V2484" t="n">
        <v>0</v>
      </c>
    </row>
    <row r="2485">
      <c r="A2485">
        <f>Skills!A14</f>
        <v/>
      </c>
      <c r="B2485">
        <f>Skills!B14</f>
        <v/>
      </c>
      <c r="C2485">
        <f>Inputs!$B$3&gt;=110</f>
        <v/>
      </c>
      <c r="D2485">
        <f>IF(Skills!C14=1,60+Inputs!$B$25+Inputs!$B$29,IF(Skills!C14=2,90+Inputs!$B$26+Inputs!$B$29,IF(Skills!C14=3,120+Inputs!$B$27+Inputs!$B$29,MAX(0,(Inputs!$B$3-100)*3)+Inputs!$B$28+Inputs!$B$29)))</f>
        <v/>
      </c>
      <c r="E2485">
        <f>INDEX(FactorTable!$B$2:$Y$301, MATCH(ROUND(MIN(300,MAX(1,D2485)),0), FactorTable!$A$2:$A$301,0), Skills!M14+1)</f>
        <v/>
      </c>
      <c r="F2485">
        <f>IF(Skills!N14=TRUE,(Skills!L14/10)*(E2485/1000),Skills!L14/10)+Skills!O14</f>
        <v/>
      </c>
      <c r="G2485">
        <f>Skills!G14*IF(Skills!H14&gt;0,Skills!I14/Skills!H14,1)</f>
        <v/>
      </c>
      <c r="H2485">
        <f>1-(1-Skills!J14/100)^Skills!K14</f>
        <v/>
      </c>
      <c r="I2485" t="inlineStr">
        <is>
          <t>1</t>
        </is>
      </c>
      <c r="J2485" t="inlineStr"/>
      <c r="K2485" t="inlineStr"/>
      <c r="L2485" t="inlineStr"/>
      <c r="M2485" t="inlineStr"/>
      <c r="N2485" t="inlineStr"/>
      <c r="O2485">
        <f>(1-Summary!$B$11)*T2485+Summary!$B$11*V2485</f>
        <v/>
      </c>
      <c r="P2485">
        <f>IF(B2508=0,0,O2485/B2508)</f>
        <v/>
      </c>
      <c r="Q2485" t="n">
        <v>0</v>
      </c>
      <c r="R2485" t="n">
        <v>0</v>
      </c>
      <c r="S2485">
        <f>IFERROR(O2485/N2485,0)</f>
        <v/>
      </c>
      <c r="T2485" t="n">
        <v>0</v>
      </c>
      <c r="V2485" t="n">
        <v>0</v>
      </c>
    </row>
    <row r="2486">
      <c r="A2486">
        <f>Skills!A15</f>
        <v/>
      </c>
      <c r="B2486">
        <f>Skills!B15</f>
        <v/>
      </c>
      <c r="C2486">
        <f>Inputs!$B$3&gt;=75</f>
        <v/>
      </c>
      <c r="D2486">
        <f>IF(Skills!C15=1,60+Inputs!$B$25+Inputs!$B$29,IF(Skills!C15=2,90+Inputs!$B$26+Inputs!$B$29,IF(Skills!C15=3,120+Inputs!$B$27+Inputs!$B$29,MAX(0,(Inputs!$B$3-100)*3)+Inputs!$B$28+Inputs!$B$29)))</f>
        <v/>
      </c>
      <c r="E2486">
        <f>INDEX(FactorTable!$B$2:$Y$301, MATCH(ROUND(MIN(300,MAX(1,D2486)),0), FactorTable!$A$2:$A$301,0), Skills!M15+1)</f>
        <v/>
      </c>
      <c r="F2486">
        <f>IF(Skills!N15=TRUE,(Skills!L15/10)*(E2486/1000),Skills!L15/10)+Skills!O15</f>
        <v/>
      </c>
      <c r="G2486">
        <f>Skills!G15*IF(Skills!H15&gt;0,Skills!I15/Skills!H15,1)</f>
        <v/>
      </c>
      <c r="H2486">
        <f>1-(1-Skills!J15/100)^Skills!K15</f>
        <v/>
      </c>
      <c r="I2486" t="inlineStr">
        <is>
          <t>1</t>
        </is>
      </c>
      <c r="J2486" t="inlineStr"/>
      <c r="K2486" t="inlineStr"/>
      <c r="L2486" t="inlineStr"/>
      <c r="M2486" t="inlineStr"/>
      <c r="N2486" t="inlineStr"/>
      <c r="O2486">
        <f>(1-Summary!$B$11)*T2486+Summary!$B$11*V2486</f>
        <v/>
      </c>
      <c r="P2486">
        <f>IF(B2508=0,0,O2486/B2508)</f>
        <v/>
      </c>
      <c r="Q2486">
        <f>IFERROR(1/(IF(Inputs!$B$38="pvp",15,MAX(0.1,Skills!D15-IF(Skills!E15=TRUE,Inputs!$B$32,0)))*(1-IF(AND(ArtifactsInput!$M$27,Inputs!$B$4="Chapter Hunt"),CHOOSE(ArtifactsInput!$N$27+1,20,24,28,32,36,40),0)/100)),0)</f>
        <v/>
      </c>
      <c r="R2486">
        <f>IF(AND(Inputs!$B$38&lt;&gt;"pvp",Inputs!$B$43&gt;0),IF(Inputs!$B$43&lt;=0,0,(INT(Inputs!$B$43/(IF(Inputs!$B$38="pvp",15,MAX(0.1,Skills!D15-IF(Skills!E15=TRUE,Inputs!$B$32,0)))*(1-IF(AND(ArtifactsInput!$M$27,Inputs!$B$4="Chapter Hunt"),CHOOSE(ArtifactsInput!$N$27+1,20,24,28,32,36,40),0)/100)))+1)),0)</f>
        <v/>
      </c>
      <c r="S2486">
        <f>IFERROR(O2486/N2486,0)</f>
        <v/>
      </c>
      <c r="T2486" t="n">
        <v>0</v>
      </c>
      <c r="V2486" t="n">
        <v>0</v>
      </c>
    </row>
    <row r="2487">
      <c r="A2487">
        <f>Skills!A16</f>
        <v/>
      </c>
      <c r="B2487">
        <f>Skills!B16</f>
        <v/>
      </c>
      <c r="C2487">
        <f>Inputs!$B$3&gt;=105</f>
        <v/>
      </c>
      <c r="D2487">
        <f>IF(Skills!C16=1,60+Inputs!$B$25+Inputs!$B$29,IF(Skills!C16=2,90+Inputs!$B$26+Inputs!$B$29,IF(Skills!C16=3,120+Inputs!$B$27+Inputs!$B$29,MAX(0,(Inputs!$B$3-100)*3)+Inputs!$B$28+Inputs!$B$29)))</f>
        <v/>
      </c>
      <c r="E2487">
        <f>INDEX(FactorTable!$B$2:$Y$301, MATCH(ROUND(MIN(300,MAX(1,D2487)),0), FactorTable!$A$2:$A$301,0), Skills!M16+1)</f>
        <v/>
      </c>
      <c r="F2487">
        <f>IF(Skills!N16=TRUE,(Skills!L16/10)*(E2487/1000),Skills!L16/10)+Skills!O16</f>
        <v/>
      </c>
      <c r="G2487">
        <f>Skills!G16*IF(Skills!H16&gt;0,Skills!I16/Skills!H16,1)</f>
        <v/>
      </c>
      <c r="H2487">
        <f>1-(1-Skills!J16/100)^Skills!K16</f>
        <v/>
      </c>
      <c r="I2487" t="inlineStr">
        <is>
          <t>1</t>
        </is>
      </c>
      <c r="J2487" t="inlineStr"/>
      <c r="K2487" t="inlineStr"/>
      <c r="L2487" t="inlineStr"/>
      <c r="M2487" t="inlineStr"/>
      <c r="N2487" t="inlineStr"/>
      <c r="O2487">
        <f>(1-Summary!$B$11)*T2487+Summary!$B$11*V2487</f>
        <v/>
      </c>
      <c r="P2487">
        <f>IF(B2508=0,0,O2487/B2508)</f>
        <v/>
      </c>
      <c r="Q2487">
        <f>IFERROR(1/(IF(Inputs!$B$38="pvp",15,MAX(0.1,Skills!D16-IF(Skills!E16=TRUE,Inputs!$B$32,0)))*(1-IF(AND(ArtifactsInput!$M$27,Inputs!$B$4="Chapter Hunt"),CHOOSE(ArtifactsInput!$N$27+1,20,24,28,32,36,40),0)/100)),0)</f>
        <v/>
      </c>
      <c r="R2487">
        <f>IF(AND(Inputs!$B$38&lt;&gt;"pvp",Inputs!$B$43&gt;0),IF(Inputs!$B$43&lt;=0,0,(INT(Inputs!$B$43/(IF(Inputs!$B$38="pvp",15,MAX(0.1,Skills!D16-IF(Skills!E16=TRUE,Inputs!$B$32,0)))*(1-IF(AND(ArtifactsInput!$M$27,Inputs!$B$4="Chapter Hunt"),CHOOSE(ArtifactsInput!$N$27+1,20,24,28,32,36,40),0)/100)))+1)),0)</f>
        <v/>
      </c>
      <c r="S2487">
        <f>IFERROR(O2487/N2487,0)</f>
        <v/>
      </c>
      <c r="T2487" t="n">
        <v>0</v>
      </c>
      <c r="V2487" t="n">
        <v>0</v>
      </c>
    </row>
    <row r="2488">
      <c r="A2488">
        <f>Skills!A17</f>
        <v/>
      </c>
      <c r="B2488">
        <f>Skills!B17</f>
        <v/>
      </c>
      <c r="C2488">
        <f>Inputs!$B$3&gt;=115</f>
        <v/>
      </c>
      <c r="D2488">
        <f>IF(Skills!C17=1,60+Inputs!$B$25+Inputs!$B$29,IF(Skills!C17=2,90+Inputs!$B$26+Inputs!$B$29,IF(Skills!C17=3,120+Inputs!$B$27+Inputs!$B$29,MAX(0,(Inputs!$B$3-100)*3)+Inputs!$B$28+Inputs!$B$29)))</f>
        <v/>
      </c>
      <c r="E2488">
        <f>INDEX(FactorTable!$B$2:$Y$301, MATCH(ROUND(MIN(300,MAX(1,D2488)),0), FactorTable!$A$2:$A$301,0), Skills!M17+1)</f>
        <v/>
      </c>
      <c r="F2488">
        <f>IF(Skills!N17=TRUE,(Skills!L17/10)*(E2488/1000),Skills!L17/10)+Skills!O17</f>
        <v/>
      </c>
      <c r="G2488">
        <f>Skills!G17*IF(Skills!H17&gt;0,Skills!I17/Skills!H17,1)</f>
        <v/>
      </c>
      <c r="H2488">
        <f>1-(1-Skills!J17/100)^Skills!K17</f>
        <v/>
      </c>
      <c r="I2488" t="inlineStr">
        <is>
          <t>1</t>
        </is>
      </c>
      <c r="J2488" t="inlineStr"/>
      <c r="K2488" t="inlineStr"/>
      <c r="L2488" t="inlineStr"/>
      <c r="M2488" t="inlineStr"/>
      <c r="N2488" t="inlineStr"/>
      <c r="O2488">
        <f>(1-Summary!$B$11)*T2488+Summary!$B$11*V2488</f>
        <v/>
      </c>
      <c r="P2488">
        <f>IF(B2508=0,0,O2488/B2508)</f>
        <v/>
      </c>
      <c r="Q2488">
        <f>IFERROR(1/(IF(Inputs!$B$38="pvp",15,MAX(0.1,Skills!D17-IF(Skills!E17=TRUE,Inputs!$B$32,0)))*(1-IF(AND(ArtifactsInput!$M$27,Inputs!$B$4="Chapter Hunt"),CHOOSE(ArtifactsInput!$N$27+1,20,24,28,32,36,40),0)/100)),0)</f>
        <v/>
      </c>
      <c r="R2488">
        <f>IF(AND(Inputs!$B$38&lt;&gt;"pvp",Inputs!$B$43&gt;0),IF(Inputs!$B$43&lt;=0,0,(INT(Inputs!$B$43/(IF(Inputs!$B$38="pvp",15,MAX(0.1,Skills!D17-IF(Skills!E17=TRUE,Inputs!$B$32,0)))*(1-IF(AND(ArtifactsInput!$M$27,Inputs!$B$4="Chapter Hunt"),CHOOSE(ArtifactsInput!$N$27+1,20,24,28,32,36,40),0)/100)))+1)),0)</f>
        <v/>
      </c>
      <c r="S2488">
        <f>IFERROR(O2488/N2488,0)</f>
        <v/>
      </c>
      <c r="T2488" t="n">
        <v>0</v>
      </c>
      <c r="V2488" t="n">
        <v>0</v>
      </c>
    </row>
    <row r="2489">
      <c r="A2489">
        <f>Skills!A18</f>
        <v/>
      </c>
      <c r="B2489">
        <f>Skills!B18</f>
        <v/>
      </c>
      <c r="C2489">
        <f>Inputs!$B$3&gt;=74</f>
        <v/>
      </c>
      <c r="D2489">
        <f>IF(Skills!C18=1,60+Inputs!$B$25+Inputs!$B$29,IF(Skills!C18=2,90+Inputs!$B$26+Inputs!$B$29,IF(Skills!C18=3,120+Inputs!$B$27+Inputs!$B$29,MAX(0,(Inputs!$B$3-100)*3)+Inputs!$B$28+Inputs!$B$29)))</f>
        <v/>
      </c>
      <c r="E2489">
        <f>INDEX(FactorTable!$B$2:$Y$301, MATCH(ROUND(MIN(300,MAX(1,D2489)),0), FactorTable!$A$2:$A$301,0), Skills!M18+1)</f>
        <v/>
      </c>
      <c r="F2489">
        <f>IF(Skills!N18=TRUE,(Skills!L18/10)*(E2489/1000),Skills!L18/10)+Skills!O18</f>
        <v/>
      </c>
      <c r="G2489">
        <f>Skills!G18*IF(Skills!H18&gt;0,Skills!I18/Skills!H18,1)</f>
        <v/>
      </c>
      <c r="H2489">
        <f>1-(1-Skills!J18/100)^Skills!K18</f>
        <v/>
      </c>
      <c r="I2489" t="inlineStr">
        <is>
          <t>1</t>
        </is>
      </c>
      <c r="J2489" t="inlineStr"/>
      <c r="K2489" t="inlineStr"/>
      <c r="L2489" t="inlineStr"/>
      <c r="M2489" t="inlineStr"/>
      <c r="N2489" t="inlineStr"/>
      <c r="O2489">
        <f>(1-Summary!$B$11)*T2489+Summary!$B$11*V2489</f>
        <v/>
      </c>
      <c r="P2489">
        <f>IF(B2508=0,0,O2489/B2508)</f>
        <v/>
      </c>
      <c r="Q2489">
        <f>IFERROR(1/(IF(Inputs!$B$38="pvp",15,MAX(0.1,Skills!D18-IF(Skills!E18=TRUE,Inputs!$B$32,0)))*(1-IF(AND(ArtifactsInput!$M$27,Inputs!$B$4="Chapter Hunt"),CHOOSE(ArtifactsInput!$N$27+1,20,24,28,32,36,40),0)/100)),0)</f>
        <v/>
      </c>
      <c r="R2489">
        <f>IF(AND(Inputs!$B$38&lt;&gt;"pvp",Inputs!$B$43&gt;0),IF(Inputs!$B$43&lt;=0,0,(INT(Inputs!$B$43/(IF(Inputs!$B$38="pvp",15,MAX(0.1,Skills!D18-IF(Skills!E18=TRUE,Inputs!$B$32,0)))*(1-IF(AND(ArtifactsInput!$M$27,Inputs!$B$4="Chapter Hunt"),CHOOSE(ArtifactsInput!$N$27+1,20,24,28,32,36,40),0)/100)))+1)),0)</f>
        <v/>
      </c>
      <c r="S2489">
        <f>IFERROR(O2489/N2489,0)</f>
        <v/>
      </c>
      <c r="T2489" t="n">
        <v>0</v>
      </c>
      <c r="V2489" t="n">
        <v>0</v>
      </c>
    </row>
    <row r="2490">
      <c r="A2490">
        <f>Skills!A19</f>
        <v/>
      </c>
      <c r="B2490">
        <f>Skills!B19</f>
        <v/>
      </c>
      <c r="C2490">
        <f>TRUE</f>
        <v/>
      </c>
      <c r="D2490">
        <f>IF(Skills!C19=1,60+Inputs!$B$25+Inputs!$B$29,IF(Skills!C19=2,90+Inputs!$B$26+Inputs!$B$29,IF(Skills!C19=3,120+Inputs!$B$27+Inputs!$B$29,MAX(0,(Inputs!$B$3-100)*3)+Inputs!$B$28+Inputs!$B$29)))</f>
        <v/>
      </c>
      <c r="E2490">
        <f>INDEX(FactorTable!$B$2:$Y$301, MATCH(ROUND(MIN(300,MAX(1,D2490)),0), FactorTable!$A$2:$A$301,0), Skills!M19+1)</f>
        <v/>
      </c>
      <c r="F2490">
        <f>IF(Skills!N19=TRUE,(Skills!L19/10)*(E2490/1000),Skills!L19/10)+Skills!O19</f>
        <v/>
      </c>
      <c r="G2490">
        <f>Skills!G19*IF(Skills!H19&gt;0,Skills!I19/Skills!H19,1)</f>
        <v/>
      </c>
      <c r="H2490">
        <f>1-(1-Skills!J19/100)^Skills!K19</f>
        <v/>
      </c>
      <c r="I2490" t="inlineStr">
        <is>
          <t>1</t>
        </is>
      </c>
      <c r="J2490" t="inlineStr"/>
      <c r="K2490" t="inlineStr"/>
      <c r="L2490" t="inlineStr"/>
      <c r="M2490" t="inlineStr"/>
      <c r="N2490" t="inlineStr"/>
      <c r="O2490">
        <f>(1-Summary!$B$11)*T2490+Summary!$B$11*V2490</f>
        <v/>
      </c>
      <c r="P2490">
        <f>IF(B2508=0,0,O2490/B2508)</f>
        <v/>
      </c>
      <c r="Q2490">
        <f>IFERROR(1/(IF(Inputs!$B$38="pvp",15,MAX(0.1,Skills!D19-IF(Skills!E19=TRUE,Inputs!$B$32,0)))*(1-IF(AND(ArtifactsInput!$M$27,Inputs!$B$4="Chapter Hunt"),CHOOSE(ArtifactsInput!$N$27+1,20,24,28,32,36,40),0)/100)),0)</f>
        <v/>
      </c>
      <c r="R2490">
        <f>IF(AND(Inputs!$B$38&lt;&gt;"pvp",Inputs!$B$43&gt;0),IF(Inputs!$B$43&lt;=0,0,(INT(Inputs!$B$43/(IF(Inputs!$B$38="pvp",15,MAX(0.1,Skills!D19-IF(Skills!E19=TRUE,Inputs!$B$32,0)))*(1-IF(AND(ArtifactsInput!$M$27,Inputs!$B$4="Chapter Hunt"),CHOOSE(ArtifactsInput!$N$27+1,20,24,28,32,36,40),0)/100)))+1)),0)</f>
        <v/>
      </c>
      <c r="S2490">
        <f>IFERROR(O2490/N2490,0)</f>
        <v/>
      </c>
      <c r="T2490" t="n">
        <v>0</v>
      </c>
      <c r="V2490" t="n">
        <v>0</v>
      </c>
    </row>
    <row r="2491">
      <c r="A2491">
        <f>Skills!A20</f>
        <v/>
      </c>
      <c r="B2491">
        <f>Skills!B20</f>
        <v/>
      </c>
      <c r="C2491">
        <f>Inputs!$B$3&gt;=33</f>
        <v/>
      </c>
      <c r="D2491">
        <f>IF(Skills!C20=1,60+Inputs!$B$25+Inputs!$B$29,IF(Skills!C20=2,90+Inputs!$B$26+Inputs!$B$29,IF(Skills!C20=3,120+Inputs!$B$27+Inputs!$B$29,MAX(0,(Inputs!$B$3-100)*3)+Inputs!$B$28+Inputs!$B$29)))</f>
        <v/>
      </c>
      <c r="E2491">
        <f>INDEX(FactorTable!$B$2:$Y$301, MATCH(ROUND(MIN(300,MAX(1,D2491)),0), FactorTable!$A$2:$A$301,0), Skills!M20+1)</f>
        <v/>
      </c>
      <c r="F2491">
        <f>IF(Skills!N20=TRUE,(Skills!L20/10)*(E2491/1000),Skills!L20/10)+Skills!O20</f>
        <v/>
      </c>
      <c r="G2491">
        <f>Skills!G20*IF(Skills!H20&gt;0,Skills!I20/Skills!H20,1)</f>
        <v/>
      </c>
      <c r="H2491">
        <f>1-(1-Skills!J20/100)^Skills!K20</f>
        <v/>
      </c>
      <c r="I2491" t="inlineStr">
        <is>
          <t>1</t>
        </is>
      </c>
      <c r="J2491" t="inlineStr"/>
      <c r="K2491" t="inlineStr"/>
      <c r="L2491" t="inlineStr"/>
      <c r="M2491" t="inlineStr"/>
      <c r="N2491" t="inlineStr"/>
      <c r="O2491">
        <f>(1-Summary!$B$11)*T2491+Summary!$B$11*V2491</f>
        <v/>
      </c>
      <c r="P2491">
        <f>IF(B2508=0,0,O2491/B2508)</f>
        <v/>
      </c>
      <c r="Q2491" t="n">
        <v>0</v>
      </c>
      <c r="R2491" t="n">
        <v>0</v>
      </c>
      <c r="S2491">
        <f>IFERROR(O2491/N2491,0)</f>
        <v/>
      </c>
      <c r="T2491" t="n">
        <v>0</v>
      </c>
      <c r="V2491" t="n">
        <v>0</v>
      </c>
    </row>
    <row r="2492">
      <c r="A2492">
        <f>Skills!A21</f>
        <v/>
      </c>
      <c r="B2492">
        <f>Skills!B21</f>
        <v/>
      </c>
      <c r="C2492">
        <f>Inputs!$B$3&gt;=38</f>
        <v/>
      </c>
      <c r="D2492">
        <f>IF(Skills!C21=1,60+Inputs!$B$25+Inputs!$B$29,IF(Skills!C21=2,90+Inputs!$B$26+Inputs!$B$29,IF(Skills!C21=3,120+Inputs!$B$27+Inputs!$B$29,MAX(0,(Inputs!$B$3-100)*3)+Inputs!$B$28+Inputs!$B$29)))</f>
        <v/>
      </c>
      <c r="E2492">
        <f>INDEX(FactorTable!$B$2:$Y$301, MATCH(ROUND(MIN(300,MAX(1,D2492)),0), FactorTable!$A$2:$A$301,0), Skills!M21+1)</f>
        <v/>
      </c>
      <c r="F2492">
        <f>IF(Skills!N21=TRUE,(Skills!L21/10)*(E2492/1000),Skills!L21/10)+Skills!O21</f>
        <v/>
      </c>
      <c r="G2492">
        <f>Skills!G21*IF(Skills!H21&gt;0,Skills!I21/Skills!H21,1)</f>
        <v/>
      </c>
      <c r="H2492">
        <f>1-(1-Skills!J21/100)^Skills!K21</f>
        <v/>
      </c>
      <c r="I2492" t="inlineStr">
        <is>
          <t>1</t>
        </is>
      </c>
      <c r="J2492" t="inlineStr"/>
      <c r="K2492" t="inlineStr"/>
      <c r="L2492" t="inlineStr"/>
      <c r="M2492" t="inlineStr"/>
      <c r="N2492" t="inlineStr"/>
      <c r="O2492">
        <f>(1-Summary!$B$11)*T2492+Summary!$B$11*V2492</f>
        <v/>
      </c>
      <c r="P2492">
        <f>IF(B2508=0,0,O2492/B2508)</f>
        <v/>
      </c>
      <c r="Q2492" t="n">
        <v>0</v>
      </c>
      <c r="R2492" t="n">
        <v>0</v>
      </c>
      <c r="S2492">
        <f>IFERROR(O2492/N2492,0)</f>
        <v/>
      </c>
      <c r="T2492" t="n">
        <v>0</v>
      </c>
      <c r="V2492" t="n">
        <v>0</v>
      </c>
    </row>
    <row r="2493">
      <c r="A2493">
        <f>Skills!A22</f>
        <v/>
      </c>
      <c r="B2493">
        <f>Skills!B22</f>
        <v/>
      </c>
      <c r="C2493">
        <f>Inputs!$B$3&gt;=43</f>
        <v/>
      </c>
      <c r="D2493">
        <f>IF(Skills!C22=1,60+Inputs!$B$25+Inputs!$B$29,IF(Skills!C22=2,90+Inputs!$B$26+Inputs!$B$29,IF(Skills!C22=3,120+Inputs!$B$27+Inputs!$B$29,MAX(0,(Inputs!$B$3-100)*3)+Inputs!$B$28+Inputs!$B$29)))</f>
        <v/>
      </c>
      <c r="E2493">
        <f>INDEX(FactorTable!$B$2:$Y$301, MATCH(ROUND(MIN(300,MAX(1,D2493)),0), FactorTable!$A$2:$A$301,0), Skills!M22+1)</f>
        <v/>
      </c>
      <c r="F2493">
        <f>IF(Skills!N22=TRUE,(Skills!L22/10)*(E2493/1000),Skills!L22/10)+Skills!O22</f>
        <v/>
      </c>
      <c r="G2493">
        <f>Skills!G22*IF(Skills!H22&gt;0,Skills!I22/Skills!H22,1)</f>
        <v/>
      </c>
      <c r="H2493">
        <f>1-(1-Skills!J22/100)^Skills!K22</f>
        <v/>
      </c>
      <c r="I2493" t="inlineStr">
        <is>
          <t>1</t>
        </is>
      </c>
      <c r="J2493" t="inlineStr"/>
      <c r="K2493" t="inlineStr"/>
      <c r="L2493" t="inlineStr"/>
      <c r="M2493" t="inlineStr"/>
      <c r="N2493" t="inlineStr"/>
      <c r="O2493">
        <f>(1-Summary!$B$11)*T2493+Summary!$B$11*V2493</f>
        <v/>
      </c>
      <c r="P2493">
        <f>IF(B2508=0,0,O2493/B2508)</f>
        <v/>
      </c>
      <c r="Q2493" t="n">
        <v>0</v>
      </c>
      <c r="R2493" t="n">
        <v>0</v>
      </c>
      <c r="S2493">
        <f>IFERROR(O2493/N2493,0)</f>
        <v/>
      </c>
      <c r="T2493" t="n">
        <v>0</v>
      </c>
      <c r="V2493" t="n">
        <v>0</v>
      </c>
    </row>
    <row r="2494">
      <c r="A2494">
        <f>Skills!A23</f>
        <v/>
      </c>
      <c r="B2494">
        <f>Skills!B23</f>
        <v/>
      </c>
      <c r="C2494">
        <f>Inputs!$B$3&gt;=120</f>
        <v/>
      </c>
      <c r="D2494">
        <f>IF(Skills!C23=1,60+Inputs!$B$25+Inputs!$B$29,IF(Skills!C23=2,90+Inputs!$B$26+Inputs!$B$29,IF(Skills!C23=3,120+Inputs!$B$27+Inputs!$B$29,MAX(0,(Inputs!$B$3-100)*3)+Inputs!$B$28+Inputs!$B$29)))</f>
        <v/>
      </c>
      <c r="E2494">
        <f>INDEX(FactorTable!$B$2:$Y$301, MATCH(ROUND(MIN(300,MAX(1,D2494)),0), FactorTable!$A$2:$A$301,0), Skills!M23+1)</f>
        <v/>
      </c>
      <c r="F2494">
        <f>IF(Skills!N23=TRUE,(Skills!L23/10)*(E2494/1000),Skills!L23/10)+Skills!O23</f>
        <v/>
      </c>
      <c r="G2494">
        <f>Skills!G23*IF(Skills!H23&gt;0,Skills!I23/Skills!H23,1)</f>
        <v/>
      </c>
      <c r="H2494">
        <f>1-(1-Skills!J23/100)^Skills!K23</f>
        <v/>
      </c>
      <c r="I2494" t="inlineStr">
        <is>
          <t>1</t>
        </is>
      </c>
      <c r="J2494" t="inlineStr"/>
      <c r="K2494" t="inlineStr"/>
      <c r="L2494" t="inlineStr"/>
      <c r="M2494" t="inlineStr"/>
      <c r="N2494" t="inlineStr"/>
      <c r="O2494">
        <f>(1-Summary!$B$11)*T2494+Summary!$B$11*V2494</f>
        <v/>
      </c>
      <c r="P2494">
        <f>IF(B2508=0,0,O2494/B2508)</f>
        <v/>
      </c>
      <c r="Q2494" t="n">
        <v>0</v>
      </c>
      <c r="R2494" t="n">
        <v>0</v>
      </c>
      <c r="S2494">
        <f>IFERROR(O2494/N2494,0)</f>
        <v/>
      </c>
      <c r="T2494" t="n">
        <v>0</v>
      </c>
      <c r="V2494" t="n">
        <v>0</v>
      </c>
    </row>
    <row r="2495">
      <c r="A2495">
        <f>Skills!A24</f>
        <v/>
      </c>
      <c r="B2495">
        <f>Skills!B24</f>
        <v/>
      </c>
      <c r="C2495">
        <f>Inputs!$B$3&gt;=120</f>
        <v/>
      </c>
      <c r="D2495">
        <f>IF(Skills!C24=1,60+Inputs!$B$25+Inputs!$B$29,IF(Skills!C24=2,90+Inputs!$B$26+Inputs!$B$29,IF(Skills!C24=3,120+Inputs!$B$27+Inputs!$B$29,MAX(0,(Inputs!$B$3-100)*3)+Inputs!$B$28+Inputs!$B$29)))</f>
        <v/>
      </c>
      <c r="E2495">
        <f>INDEX(FactorTable!$B$2:$Y$301, MATCH(ROUND(MIN(300,MAX(1,D2495)),0), FactorTable!$A$2:$A$301,0), Skills!M24+1)</f>
        <v/>
      </c>
      <c r="F2495">
        <f>IF(Skills!N24=TRUE,(Skills!L24/10)*(E2495/1000),Skills!L24/10)+Skills!O24</f>
        <v/>
      </c>
      <c r="G2495">
        <f>Skills!G24*IF(Skills!H24&gt;0,Skills!I24/Skills!H24,1)</f>
        <v/>
      </c>
      <c r="H2495">
        <f>1-(1-Skills!J24/100)^Skills!K24</f>
        <v/>
      </c>
      <c r="I2495" t="inlineStr">
        <is>
          <t>1</t>
        </is>
      </c>
      <c r="J2495" t="inlineStr"/>
      <c r="K2495" t="inlineStr"/>
      <c r="L2495" t="inlineStr"/>
      <c r="M2495" t="inlineStr"/>
      <c r="N2495" t="inlineStr"/>
      <c r="O2495">
        <f>(1-Summary!$B$11)*T2495+Summary!$B$11*V2495</f>
        <v/>
      </c>
      <c r="P2495">
        <f>IF(B2508=0,0,O2495/B2508)</f>
        <v/>
      </c>
      <c r="Q2495" t="n">
        <v>0</v>
      </c>
      <c r="R2495" t="n">
        <v>0</v>
      </c>
      <c r="S2495">
        <f>IFERROR(O2495/N2495,0)</f>
        <v/>
      </c>
      <c r="T2495" t="n">
        <v>0</v>
      </c>
      <c r="V2495" t="n">
        <v>0</v>
      </c>
    </row>
    <row r="2497">
      <c r="A2497" t="inlineStr">
        <is>
          <t>Attack% Bucket Multiplier</t>
        </is>
      </c>
      <c r="B2497">
        <f>(1+(((C2484=TRUE)*F2484*MIN(1,Skills!T13*(Skills!J13/100)*B2502))+((C2489=TRUE)*F2489*IF(AND(Inputs!$B$38&lt;&gt;"pvp",Inputs!$B$43&gt;0),(((R2489-1)*(Skills!T18*(1+Inputs!$B$34/100))+MIN((Skills!T18*(1+Inputs!$B$34/100)),MAX(0,Inputs!$B$43-((R2489-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98">
      <c r="A2498" t="inlineStr">
        <is>
          <t>Global Crit Rate Bonus %</t>
        </is>
      </c>
      <c r="B2498" t="n">
        <v>0</v>
      </c>
    </row>
    <row r="2499">
      <c r="A2499" t="inlineStr">
        <is>
          <t>Attack Speed Buff Bonus %</t>
        </is>
      </c>
      <c r="B2499">
        <f>((C2490=TRUE)*F2490*IF(AND(Inputs!$B$38&lt;&gt;"pvp",Inputs!$B$43&gt;0),(((R2490-1)*(Skills!T19*(1+Inputs!$B$34/100))+MIN((Skills!T19*(1+Inputs!$B$34/100)),MAX(0,Inputs!$B$43-((R2490-1)*Skills!D19))))/Inputs!$B$43),IF(Inputs!$B$38="pvp",MIN((Skills!T19*(1+Inputs!$B$34/100)),15)/15,(Skills!T19*(1+Inputs!$B$34/100))/Skills!D19)))</f>
        <v/>
      </c>
    </row>
    <row r="2500">
      <c r="A2500" t="inlineStr">
        <is>
          <t>Actions Per Second</t>
        </is>
      </c>
      <c r="B2500">
        <f>1+MIN(150,150*(1-(1-(Inputs!$B$11+((C2491=TRUE)*(F2491-Calc!F20)))/150)*(1-B2499/150)))/100</f>
        <v/>
      </c>
    </row>
    <row r="2501">
      <c r="A2501" t="inlineStr">
        <is>
          <t>Skill + Buff Cast Rate</t>
        </is>
      </c>
      <c r="B2501">
        <f>IF(AND(Inputs!$B$38&lt;&gt;"pvp",Inputs!$B$43&gt;0),SUMPRODUCT((Skills!E2:E24=TRUE)*(C2473:C2495=TRUE)*R2473:R2495*Skills!F2:F24)/Inputs!$B$43,SUMPRODUCT((Skills!E2:E24=TRUE)*(C2473:C2495=TRUE)*Q2473:Q2495*Skills!F2:F24))</f>
        <v/>
      </c>
    </row>
    <row r="2502">
      <c r="A2502" t="inlineStr">
        <is>
          <t>Blast Casts Per Second</t>
        </is>
      </c>
      <c r="B2502">
        <f>MAX(0,B2500-B2501)</f>
        <v/>
      </c>
    </row>
    <row r="2503">
      <c r="A2503" t="inlineStr">
        <is>
          <t>Global Critical Damage Bonus % (unused)</t>
        </is>
      </c>
      <c r="B2503" t="n">
        <v>0</v>
      </c>
    </row>
    <row r="2504">
      <c r="A2504" t="inlineStr">
        <is>
          <t>Global Final Damage Bonus % (Divine Shield + Guardian + Divine Blessing + Greater Vessel of Light)</t>
        </is>
      </c>
      <c r="B2504">
        <f>((C2486=TRUE)*F2486*IF(AND(Inputs!$B$38&lt;&gt;"pvp",Inputs!$B$43&gt;0),(((R2486-1)*(Skills!T15*(1+Inputs!$B$34/100))+MIN((Skills!T15*(1+Inputs!$B$34/100)),MAX(0,Inputs!$B$43-((R2486-1)*Skills!D15))))/Inputs!$B$43),IF(Inputs!$B$38="pvp",MIN((Skills!T15*(1+Inputs!$B$34/100)),15)/15,(Skills!T15*(1+Inputs!$B$34/100))/Skills!D15)))+((C2487=TRUE)*F2487*IF(AND(Inputs!$B$38&lt;&gt;"pvp",Inputs!$B$43&gt;0),(((R2487-1)*(Skills!T16*(1+Inputs!$B$34/100))+MIN((Skills!T16*(1+Inputs!$B$34/100)),MAX(0,Inputs!$B$43-((R2487-1)*Skills!D16))))/Inputs!$B$43),IF(Inputs!$B$38="pvp",MIN((Skills!T16*(1+Inputs!$B$34/100)),15)/15,(Skills!T16*(1+Inputs!$B$34/100))/Skills!D16)))+((C2488=TRUE)*F2488*IF(AND(Inputs!$B$38&lt;&gt;"pvp",Inputs!$B$43&gt;0),(((R2488-1)*(Skills!T17*(1+Inputs!$B$34/100))+MIN((Skills!T17*(1+Inputs!$B$34/100)),MAX(0,Inputs!$B$43-((R2488-1)*Skills!D17))))/Inputs!$B$43),IF(Inputs!$B$38="pvp",MIN((Skills!T17*(1+Inputs!$B$34/100)),15)/15,(Skills!T17*(1+Inputs!$B$34/100))/Skills!D17)))+((C2485=TRUE)*F2485*MIN(1,Skills!T13*(Skills!J13/100)*B2502))</f>
        <v/>
      </c>
    </row>
    <row r="2505">
      <c r="A2505" t="inlineStr">
        <is>
          <t>Buff-Casting Startup Delay (s, fixed-duration only)</t>
        </is>
      </c>
      <c r="B2505">
        <f>IF(AND(Inputs!$B$38&lt;&gt;"pvp",Inputs!$B$43&gt;0),SUMPRODUCT((Skills!T2:T24&gt;0)*(Skills!E2:E24=TRUE)*(C2473:C2495=TRUE))/B2500,0)</f>
        <v/>
      </c>
    </row>
    <row r="2506">
      <c r="A2506" t="inlineStr">
        <is>
          <t>Boss-Only Total DPS (this block's swept value)</t>
        </is>
      </c>
      <c r="B2506">
        <f>SUM(T2473:T2495)</f>
        <v/>
      </c>
    </row>
    <row r="2507">
      <c r="A2507" t="inlineStr">
        <is>
          <t>Normal-Only Total DPS (this block's swept value)</t>
        </is>
      </c>
      <c r="B2507">
        <f>SUM(V2473:V2495)</f>
        <v/>
      </c>
    </row>
    <row r="2508">
      <c r="A2508" s="6" t="inlineStr">
        <is>
          <t>TOTAL DPS</t>
        </is>
      </c>
      <c r="B2508" s="6">
        <f>SUM(O2473:O2495)</f>
        <v/>
      </c>
    </row>
    <row r="2511">
      <c r="A2511" s="6" t="inlineStr">
        <is>
          <t>Stat: Ring of Cycles (Equip)</t>
        </is>
      </c>
    </row>
    <row r="2512">
      <c r="A2512" s="5" t="inlineStr">
        <is>
          <t>Key</t>
        </is>
      </c>
      <c r="B2512" s="5" t="inlineStr">
        <is>
          <t>Name</t>
        </is>
      </c>
      <c r="C2512" s="5" t="inlineStr">
        <is>
          <t>Unlocked</t>
        </is>
      </c>
      <c r="D2512" s="5" t="inlineStr">
        <is>
          <t>InputLevel</t>
        </is>
      </c>
      <c r="E2512" s="5" t="inlineStr">
        <is>
          <t>Factor</t>
        </is>
      </c>
      <c r="F2512" s="5" t="inlineStr">
        <is>
          <t>CoefficientPercent</t>
        </is>
      </c>
      <c r="G2512" s="5" t="inlineStr">
        <is>
          <t>EffectiveHits</t>
        </is>
      </c>
      <c r="H2512" s="5" t="inlineStr">
        <is>
          <t>ProcProbability</t>
        </is>
      </c>
      <c r="I2512" s="5" t="inlineStr">
        <is>
          <t>MapleHeroMultiplier</t>
        </is>
      </c>
      <c r="J2512" s="5" t="inlineStr">
        <is>
          <t>BaseDamage</t>
        </is>
      </c>
      <c r="K2512" s="5" t="inlineStr">
        <is>
          <t>BaseHitDamage</t>
        </is>
      </c>
      <c r="L2512" s="5" t="inlineStr">
        <is>
          <t>NonCritAvg</t>
        </is>
      </c>
      <c r="M2512" s="5" t="inlineStr">
        <is>
          <t>CritAvg</t>
        </is>
      </c>
      <c r="N2512" s="5" t="inlineStr">
        <is>
          <t>ExpectedDamage(perHit)</t>
        </is>
      </c>
      <c r="O2512" s="5" t="inlineStr">
        <is>
          <t>DPS</t>
        </is>
      </c>
      <c r="P2512" s="5" t="inlineStr">
        <is>
          <t>% of Total</t>
        </is>
      </c>
      <c r="Q2512" s="5" t="inlineStr">
        <is>
          <t>InvCooldown</t>
        </is>
      </c>
      <c r="R2512" s="5" t="inlineStr">
        <is>
          <t>CastsInFight</t>
        </is>
      </c>
      <c r="S2512" s="5" t="inlineStr">
        <is>
          <t>HitRate(perSec)</t>
        </is>
      </c>
      <c r="U2512" t="inlineStr">
        <is>
          <t>helpers</t>
        </is>
      </c>
    </row>
    <row r="2513">
      <c r="A2513">
        <f>Skills!A2</f>
        <v/>
      </c>
      <c r="B2513">
        <f>Skills!B2</f>
        <v/>
      </c>
      <c r="C2513">
        <f>Inputs!$B$3&gt;=100</f>
        <v/>
      </c>
      <c r="D2513" t="inlineStr"/>
      <c r="E2513" t="inlineStr"/>
      <c r="F2513">
        <f>U2515+Skills!O2</f>
        <v/>
      </c>
      <c r="G2513">
        <f>Skills!G2*IF(Skills!H2&gt;0,Skills!I2/Skills!H2,1)</f>
        <v/>
      </c>
      <c r="H2513">
        <f>1-(1-Skills!J2/100)^Skills!K2</f>
        <v/>
      </c>
      <c r="I2513" t="inlineStr">
        <is>
          <t>1</t>
        </is>
      </c>
      <c r="J2513">
        <f>((Inputs!$B$6*(1+Inputs!$B$7/100))+(((Inputs!$B$12*(1+Inputs!$B$13/100))-(Inputs!$B$12*(1+Inputs!$B$13/100)))+0.25*(Inputs!$B$14-Inputs!$B$14))*(1+Inputs!$B$7/100))*(F2513/100)</f>
        <v/>
      </c>
      <c r="K2513">
        <f>J2513*(1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2513)</f>
        <v/>
      </c>
      <c r="L2513">
        <f>K2513*(MIN(Inputs!$B$22+((C2533=TRUE)*(F2533-Calc!F22)),(Inputs!$B$23+((C2535=TRUE)*(F2535-Calc!F24))+(IF(ArtifactsInput!$M$15,CHOOSE(ArtifactsInput!$N$15+1,25,30,35,40,45,50)/100*(Inputs!$B$11-Inputs!$B$11),0))))/100+(Inputs!$B$23+((C2535=TRUE)*(F2535-Calc!F24))+(IF(ArtifactsInput!$M$15,CHOOSE(ArtifactsInput!$N$15+1,25,30,35,40,45,50)/100*(Inputs!$B$11-Inputs!$B$11),0)))/100)/2</f>
        <v/>
      </c>
      <c r="M2513">
        <f>L2513*(1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3">
        <f>L2513*(1-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2513*(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3">
        <f>(1-Summary!$B$11)*T2513+Summary!$B$11*V2513</f>
        <v/>
      </c>
      <c r="P2513">
        <f>IF(B2548=0,0,O2513/B2548)</f>
        <v/>
      </c>
      <c r="Q2513" t="n">
        <v>0</v>
      </c>
      <c r="R2513" t="n">
        <v>0</v>
      </c>
      <c r="S2513">
        <f>IFERROR(O2513/N2513,0)</f>
        <v/>
      </c>
      <c r="T2513">
        <f>IF(C2513,(Skills!G2*N2513*B2542)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2513*(1-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2513*(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2513*(1-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2513*(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3">
        <f>MAX(0,(Inputs!$B$3-100)*3)+Inputs!$B$28+Inputs!$B$29</f>
        <v/>
      </c>
      <c r="V2513">
        <f>IF(C2513,(Skills!G2*N2513*B2542)*IF(Inputs!$B$38="pvp",1,(1+(Inputs!$B$21+Skills!Q2+(IF(ArtifactsInput!$M$33,CHOOSE(ArtifactsInput!$N$33+1,30,36,42,48,54,60),0))+(IF(AND(ArtifactsInput!$M$35,Inputs!$B$4&lt;&gt;"Chapter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4">
      <c r="A2514">
        <f>Skills!A3</f>
        <v/>
      </c>
      <c r="B2514">
        <f>Skills!B3</f>
        <v/>
      </c>
      <c r="C2514">
        <f>Inputs!$B$3&gt;=50</f>
        <v/>
      </c>
      <c r="D2514">
        <f>IF(Skills!C3=1,60+Inputs!$B$25+Inputs!$B$29,IF(Skills!C3=2,90+Inputs!$B$26+Inputs!$B$29,IF(Skills!C3=3,120+Inputs!$B$27+Inputs!$B$29,MAX(0,(Inputs!$B$3-100)*3)+Inputs!$B$28+Inputs!$B$29)))</f>
        <v/>
      </c>
      <c r="E2514">
        <f>INDEX(FactorTable!$B$2:$Y$301, MATCH(ROUND(MIN(300,MAX(1,D2514)),0), FactorTable!$A$2:$A$301,0), Skills!M3+1)</f>
        <v/>
      </c>
      <c r="F2514">
        <f>IF(Skills!N3=TRUE,(Skills!L3/10)*(E2514/1000),Skills!L3/10)+Skills!O3</f>
        <v/>
      </c>
      <c r="G2514" t="inlineStr"/>
      <c r="H2514" t="inlineStr"/>
      <c r="I2514" t="inlineStr">
        <is>
          <t>1</t>
        </is>
      </c>
      <c r="J2514" t="inlineStr"/>
      <c r="K2514" t="inlineStr"/>
      <c r="L2514" t="inlineStr"/>
      <c r="M2514" t="inlineStr"/>
      <c r="N2514" t="inlineStr"/>
      <c r="O2514" t="inlineStr"/>
      <c r="P2514" t="inlineStr"/>
      <c r="Q2514" t="inlineStr"/>
      <c r="R2514" t="inlineStr"/>
      <c r="S2514" t="inlineStr"/>
      <c r="U2514">
        <f>INDEX(FactorTable!$B$2:$Y$301, MATCH(ROUND(MIN(300,MAX(1,U2513)),0), FactorTable!$A$2:$A$301,0), 22)</f>
        <v/>
      </c>
    </row>
    <row r="2515">
      <c r="A2515">
        <f>Skills!A4</f>
        <v/>
      </c>
      <c r="B2515">
        <f>Skills!B4</f>
        <v/>
      </c>
      <c r="C2515">
        <f>Inputs!$B$3&gt;=35</f>
        <v/>
      </c>
      <c r="D2515">
        <f>IF(Skills!C4=1,60+Inputs!$B$25+Inputs!$B$29,IF(Skills!C4=2,90+Inputs!$B$26+Inputs!$B$29,IF(Skills!C4=3,120+Inputs!$B$27+Inputs!$B$29,MAX(0,(Inputs!$B$3-100)*3)+Inputs!$B$28+Inputs!$B$29)))</f>
        <v/>
      </c>
      <c r="E2515">
        <f>INDEX(FactorTable!$B$2:$Y$301, MATCH(ROUND(MIN(300,MAX(1,D2515)),0), FactorTable!$A$2:$A$301,0), Skills!M4+1)</f>
        <v/>
      </c>
      <c r="F2515">
        <f>IF(Skills!N4=TRUE,(Skills!L4/10)*(E2515/1000),Skills!L4/10)+Skills!O4</f>
        <v/>
      </c>
      <c r="G2515">
        <f>Skills!G4*IF(Skills!H4&gt;0,Skills!I4/Skills!H4,1)</f>
        <v/>
      </c>
      <c r="H2515">
        <f>1-(1-Skills!J4/100)^Skills!K4</f>
        <v/>
      </c>
      <c r="I2515" t="inlineStr">
        <is>
          <t>1</t>
        </is>
      </c>
      <c r="J2515">
        <f>((Inputs!$B$6*(1+Inputs!$B$7/100))+(((Inputs!$B$12*(1+Inputs!$B$13/100))-(Inputs!$B$12*(1+Inputs!$B$13/100)))+0.25*(Inputs!$B$14-Inputs!$B$14))*(1+Inputs!$B$7/100))*(F2515/100)</f>
        <v/>
      </c>
      <c r="K2515">
        <f>J2515*(1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2523=TRUE,F2523,0)/100)*(1+(IF(Skills!A4="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2515)</f>
        <v/>
      </c>
      <c r="L2515">
        <f>K2515*(MIN(Inputs!$B$22+((C2533=TRUE)*(F2533-Calc!F22)),(Inputs!$B$23+((C2535=TRUE)*(F2535-Calc!F24))+(IF(ArtifactsInput!$M$15,CHOOSE(ArtifactsInput!$N$15+1,25,30,35,40,45,50)/100*(Inputs!$B$11-Inputs!$B$11),0))))/100+(Inputs!$B$23+((C2535=TRUE)*(F2535-Calc!F24))+(IF(ArtifactsInput!$M$15,CHOOSE(ArtifactsInput!$N$15+1,25,30,35,40,45,50)/100*(Inputs!$B$11-Inputs!$B$11),0)))/100)/2</f>
        <v/>
      </c>
      <c r="M2515">
        <f>L2515*(1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5">
        <f>L2515*(1-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2515*(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5">
        <f>(1-Summary!$B$11)*T2515+Summary!$B$11*V2515</f>
        <v/>
      </c>
      <c r="P2515">
        <f>IF(B2548=0,0,O2515/B2548)</f>
        <v/>
      </c>
      <c r="Q2515">
        <f>IFERROR(1/(IF(Inputs!$B$38="pvp",15,MAX(0.1,Skills!D4-IF(Skills!E4=TRUE,Inputs!$B$32,0)))*(1-IF(AND(ArtifactsInput!$M$27,Inputs!$B$4="Chapter Hunt"),CHOOSE(ArtifactsInput!$N$27+1,20,24,28,32,36,40),0)/100)),0)</f>
        <v/>
      </c>
      <c r="R2515">
        <f>IF(AND(Inputs!$B$38&lt;&gt;"pvp",Inputs!$B$43&gt;0),IF(MAX(0,Inputs!$B$43-B2545)&lt;=0,0,(INT(MAX(0,Inputs!$B$43-B2545)/(IF(Inputs!$B$38="pvp",15,MAX(0.1,Skills!D4-IF(Skills!E4=TRUE,Inputs!$B$32,0)))*(1-IF(AND(ArtifactsInput!$M$27,Inputs!$B$4="Chapter Hunt"),CHOOSE(ArtifactsInput!$N$27+1,20,24,28,32,36,40),0)/100)))+1)),0)</f>
        <v/>
      </c>
      <c r="S2515">
        <f>IFERROR(O2515/N2515,0)</f>
        <v/>
      </c>
      <c r="T2515">
        <f>IF(C2515,(H2515*N2515*IF(AND(Inputs!$B$38&lt;&gt;"pvp",Inputs!$B$43&gt;0),((Skills!G4*((R2515-1)*IF(Skills!H4&gt;0,Skills!I4/Skills!H4,1)+IF(Skills!H4&gt;0,MIN(Skills!I4,MAX(0,MAX(0,Inputs!$B$43-B2545)-((R2515-1)*(IF(Inputs!$B$38="pvp",15,MAX(0.1,Skills!D4-IF(Skills!E4=TRUE,Inputs!$B$32,0)))*(1-IF(AND(ArtifactsInput!$M$27,Inputs!$B$4="Chapter Hunt"),CHOOSE(ArtifactsInput!$N$27+1,20,24,28,32,36,40),0)/100)))))/Skills!H4,1)))/Inputs!$B$43),G2515*Q2515))*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2515*(1-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2515*(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2515*(1-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2515*(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15">
        <f>290*U2514/1000</f>
        <v/>
      </c>
      <c r="V2515">
        <f>IF(C2515,(H2515*N2515*IF(AND(Inputs!$B$38&lt;&gt;"pvp",Inputs!$B$43&gt;0),((Skills!G4*((R2515-1)*IF(Skills!H4&gt;0,Skills!I4/Skills!H4,1)+IF(Skills!H4&gt;0,MIN(Skills!I4,MAX(0,MAX(0,Inputs!$B$43-B2545)-((R2515-1)*(IF(Inputs!$B$38="pvp",15,MAX(0.1,Skills!D4-IF(Skills!E4=TRUE,Inputs!$B$32,0)))*(1-IF(AND(ArtifactsInput!$M$27,Inputs!$B$4="Chapter Hunt"),CHOOSE(ArtifactsInput!$N$27+1,20,24,28,32,36,40),0)/100)))))/Skills!H4,1)))/Inputs!$B$43),G2515*Q2515))*IF(Inputs!$B$38="pvp",1,(1+(Inputs!$B$21+Skills!Q4+(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6">
      <c r="A2516">
        <f>Skills!A5</f>
        <v/>
      </c>
      <c r="B2516">
        <f>Skills!B5</f>
        <v/>
      </c>
      <c r="C2516">
        <f>Inputs!$B$3&gt;=66</f>
        <v/>
      </c>
      <c r="D2516">
        <f>IF(Skills!C5=1,60+Inputs!$B$25+Inputs!$B$29,IF(Skills!C5=2,90+Inputs!$B$26+Inputs!$B$29,IF(Skills!C5=3,120+Inputs!$B$27+Inputs!$B$29,MAX(0,(Inputs!$B$3-100)*3)+Inputs!$B$28+Inputs!$B$29)))</f>
        <v/>
      </c>
      <c r="E2516">
        <f>INDEX(FactorTable!$B$2:$Y$301, MATCH(ROUND(MIN(300,MAX(1,D2516)),0), FactorTable!$A$2:$A$301,0), Skills!M5+1)</f>
        <v/>
      </c>
      <c r="F2516">
        <f>IF(Skills!N5=TRUE,(Skills!L5/10)*(E2516/1000),Skills!L5/10)+Skills!O5</f>
        <v/>
      </c>
      <c r="G2516">
        <f>Skills!G5*IF(Skills!H5&gt;0,Skills!I5/Skills!H5,1)</f>
        <v/>
      </c>
      <c r="H2516">
        <f>1-(1-Skills!J5/100)^Skills!K5</f>
        <v/>
      </c>
      <c r="I2516" t="inlineStr">
        <is>
          <t>1</t>
        </is>
      </c>
      <c r="J2516">
        <f>((Inputs!$B$6*(1+Inputs!$B$7/100))+(((Inputs!$B$12*(1+Inputs!$B$13/100))-(Inputs!$B$12*(1+Inputs!$B$13/100)))+0.25*(Inputs!$B$14-Inputs!$B$14))*(1+Inputs!$B$7/100))*(F2516/100)</f>
        <v/>
      </c>
      <c r="K2516">
        <f>J2516*(1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2523=TRUE,F2523,0)/100)*(1+(IF(Skills!A5="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2516)</f>
        <v/>
      </c>
      <c r="L2516">
        <f>K2516*(MIN(Inputs!$B$22+((C2533=TRUE)*(F2533-Calc!F22)),(Inputs!$B$23+((C2535=TRUE)*(F2535-Calc!F24))+(IF(ArtifactsInput!$M$15,CHOOSE(ArtifactsInput!$N$15+1,25,30,35,40,45,50)/100*(Inputs!$B$11-Inputs!$B$11),0))))/100+(Inputs!$B$23+((C2535=TRUE)*(F2535-Calc!F24))+(IF(ArtifactsInput!$M$15,CHOOSE(ArtifactsInput!$N$15+1,25,30,35,40,45,50)/100*(Inputs!$B$11-Inputs!$B$11),0)))/100)/2</f>
        <v/>
      </c>
      <c r="M2516">
        <f>L2516*(1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6">
        <f>L2516*(1-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2516*(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6">
        <f>(1-Summary!$B$11)*T2516+Summary!$B$11*V2516</f>
        <v/>
      </c>
      <c r="P2516">
        <f>IF(B2548=0,0,O2516/B2548)</f>
        <v/>
      </c>
      <c r="Q2516">
        <f>IFERROR(1/(IF(Inputs!$B$38="pvp",15,MAX(0.1,Skills!D5-IF(Skills!E5=TRUE,Inputs!$B$32,0)))*(1-IF(AND(ArtifactsInput!$M$27,Inputs!$B$4="Chapter Hunt"),CHOOSE(ArtifactsInput!$N$27+1,20,24,28,32,36,40),0)/100)),0)</f>
        <v/>
      </c>
      <c r="R2516">
        <f>IF(AND(Inputs!$B$38&lt;&gt;"pvp",Inputs!$B$43&gt;0),IF(MAX(0,Inputs!$B$43-B2545)&lt;=0,0,(INT(MAX(0,Inputs!$B$43-B2545)/(IF(Inputs!$B$38="pvp",15,MAX(0.1,Skills!D5-IF(Skills!E5=TRUE,Inputs!$B$32,0)))*(1-IF(AND(ArtifactsInput!$M$27,Inputs!$B$4="Chapter Hunt"),CHOOSE(ArtifactsInput!$N$27+1,20,24,28,32,36,40),0)/100)))+1)),0)</f>
        <v/>
      </c>
      <c r="S2516">
        <f>IFERROR(O2516/N2516,0)</f>
        <v/>
      </c>
      <c r="T2516">
        <f>IF(C2516,(H2516*N2516*IF(AND(Inputs!$B$38&lt;&gt;"pvp",Inputs!$B$43&gt;0),((Skills!G5*((R2516-1)*IF(Skills!H5&gt;0,Skills!I5/Skills!H5,1)+IF(Skills!H5&gt;0,MIN(Skills!I5,MAX(0,MAX(0,Inputs!$B$43-B2545)-((R2516-1)*(IF(Inputs!$B$38="pvp",15,MAX(0.1,Skills!D5-IF(Skills!E5=TRUE,Inputs!$B$32,0)))*(1-IF(AND(ArtifactsInput!$M$27,Inputs!$B$4="Chapter Hunt"),CHOOSE(ArtifactsInput!$N$27+1,20,24,28,32,36,40),0)/100)))))/Skills!H5,1)))/Inputs!$B$43),G2516*Q2516)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2516*(1-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2516*(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2516*(1-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2516*(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6">
        <f>IF(C2516,(H2516*N2516*IF(AND(Inputs!$B$38&lt;&gt;"pvp",Inputs!$B$43&gt;0),((Skills!G5*((R2516-1)*IF(Skills!H5&gt;0,Skills!I5/Skills!H5,1)+IF(Skills!H5&gt;0,MIN(Skills!I5,MAX(0,MAX(0,Inputs!$B$43-B2545)-((R2516-1)*(IF(Inputs!$B$38="pvp",15,MAX(0.1,Skills!D5-IF(Skills!E5=TRUE,Inputs!$B$32,0)))*(1-IF(AND(ArtifactsInput!$M$27,Inputs!$B$4="Chapter Hunt"),CHOOSE(ArtifactsInput!$N$27+1,20,24,28,32,36,40),0)/100)))))/Skills!H5,1)))/Inputs!$B$43),G2516*Q2516))*IF(Inputs!$B$38="pvp",1,(1+(Inputs!$B$21+Skills!Q5+(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7">
      <c r="A2517">
        <f>Skills!A6</f>
        <v/>
      </c>
      <c r="B2517">
        <f>Skills!B6</f>
        <v/>
      </c>
      <c r="C2517">
        <f>Inputs!$B$3&gt;=103</f>
        <v/>
      </c>
      <c r="D2517">
        <f>IF(Skills!C6=1,60+Inputs!$B$25+Inputs!$B$29,IF(Skills!C6=2,90+Inputs!$B$26+Inputs!$B$29,IF(Skills!C6=3,120+Inputs!$B$27+Inputs!$B$29,MAX(0,(Inputs!$B$3-100)*3)+Inputs!$B$28+Inputs!$B$29)))</f>
        <v/>
      </c>
      <c r="E2517">
        <f>INDEX(FactorTable!$B$2:$Y$301, MATCH(ROUND(MIN(300,MAX(1,D2517)),0), FactorTable!$A$2:$A$301,0), Skills!M6+1)</f>
        <v/>
      </c>
      <c r="F2517">
        <f>IF(Skills!N6=TRUE,(Skills!L6/10)*(E2517/1000),Skills!L6/10)+Skills!O6</f>
        <v/>
      </c>
      <c r="G2517">
        <f>Skills!G6*IF(Skills!H6&gt;0,Skills!I6/Skills!H6,1)</f>
        <v/>
      </c>
      <c r="H2517">
        <f>1-(1-Skills!J6/100)^Skills!K6</f>
        <v/>
      </c>
      <c r="I2517" t="inlineStr">
        <is>
          <t>1</t>
        </is>
      </c>
      <c r="J2517">
        <f>((Inputs!$B$6*(1+Inputs!$B$7/100))+(((Inputs!$B$12*(1+Inputs!$B$13/100))-(Inputs!$B$12*(1+Inputs!$B$13/100)))+0.25*(Inputs!$B$14-Inputs!$B$14))*(1+Inputs!$B$7/100))*(F2517/100)</f>
        <v/>
      </c>
      <c r="K2517">
        <f>J2517*(1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2517)</f>
        <v/>
      </c>
      <c r="L2517">
        <f>K2517*(MIN(Inputs!$B$22+((C2533=TRUE)*(F2533-Calc!F22)),(Inputs!$B$23+((C2535=TRUE)*(F2535-Calc!F24))+(IF(ArtifactsInput!$M$15,CHOOSE(ArtifactsInput!$N$15+1,25,30,35,40,45,50)/100*(Inputs!$B$11-Inputs!$B$11),0))))/100+(Inputs!$B$23+((C2535=TRUE)*(F2535-Calc!F24))+(IF(ArtifactsInput!$M$15,CHOOSE(ArtifactsInput!$N$15+1,25,30,35,40,45,50)/100*(Inputs!$B$11-Inputs!$B$11),0)))/100)/2</f>
        <v/>
      </c>
      <c r="M2517">
        <f>L2517*(1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7">
        <f>L2517*(1-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2517*(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7">
        <f>(1-Summary!$B$11)*T2517+Summary!$B$11*V2517</f>
        <v/>
      </c>
      <c r="P2517">
        <f>IF(B2548=0,0,O2517/B2548)</f>
        <v/>
      </c>
      <c r="Q2517">
        <f>IFERROR(1/(IF(Inputs!$B$38="pvp",15,MAX(0.1,Skills!D6-IF(Skills!E6=TRUE,Inputs!$B$32,0)))*(1-IF(AND(ArtifactsInput!$M$27,Inputs!$B$4="Chapter Hunt"),CHOOSE(ArtifactsInput!$N$27+1,20,24,28,32,36,40),0)/100)),0)</f>
        <v/>
      </c>
      <c r="R2517">
        <f>IF(AND(Inputs!$B$38&lt;&gt;"pvp",Inputs!$B$43&gt;0),IF(MAX(0,Inputs!$B$43-B2545)&lt;=0,0,(INT(MAX(0,Inputs!$B$43-B2545)/(IF(Inputs!$B$38="pvp",15,MAX(0.1,Skills!D6-IF(Skills!E6=TRUE,Inputs!$B$32,0)))*(1-IF(AND(ArtifactsInput!$M$27,Inputs!$B$4="Chapter Hunt"),CHOOSE(ArtifactsInput!$N$27+1,20,24,28,32,36,40),0)/100)))+1)),0)</f>
        <v/>
      </c>
      <c r="S2517">
        <f>IFERROR(O2517/N2517,0)</f>
        <v/>
      </c>
      <c r="T2517">
        <f>IF(C2517,(H2517*N2517*IF(AND(Inputs!$B$38&lt;&gt;"pvp",Inputs!$B$43&gt;0),((Skills!G6*((R2517-1)*IF(Skills!H6&gt;0,Skills!I6/Skills!H6,1)+IF(Skills!H6&gt;0,MIN(Skills!I6,MAX(0,MAX(0,Inputs!$B$43-B2545)-((R2517-1)*(IF(Inputs!$B$38="pvp",15,MAX(0.1,Skills!D6-IF(Skills!E6=TRUE,Inputs!$B$32,0)))*(1-IF(AND(ArtifactsInput!$M$27,Inputs!$B$4="Chapter Hunt"),CHOOSE(ArtifactsInput!$N$27+1,20,24,28,32,36,40),0)/100)))))/Skills!H6,1)))/Inputs!$B$43),G2517*Q2517)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2517*(1-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2517*(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2517*(1-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2517*(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7">
        <f>IF(C2517,(H2517*N2517*IF(AND(Inputs!$B$38&lt;&gt;"pvp",Inputs!$B$43&gt;0),((Skills!G6*((R2517-1)*IF(Skills!H6&gt;0,Skills!I6/Skills!H6,1)+IF(Skills!H6&gt;0,MIN(Skills!I6,MAX(0,MAX(0,Inputs!$B$43-B2545)-((R2517-1)*(IF(Inputs!$B$38="pvp",15,MAX(0.1,Skills!D6-IF(Skills!E6=TRUE,Inputs!$B$32,0)))*(1-IF(AND(ArtifactsInput!$M$27,Inputs!$B$4="Chapter Hunt"),CHOOSE(ArtifactsInput!$N$27+1,20,24,28,32,36,40),0)/100)))))/Skills!H6,1)))/Inputs!$B$43),G2517*Q2517))*IF(Inputs!$B$38="pvp",1,(1+(Inputs!$B$21+Skills!Q6+(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8">
      <c r="A2518">
        <f>Skills!A7</f>
        <v/>
      </c>
      <c r="B2518">
        <f>Skills!B7</f>
        <v/>
      </c>
      <c r="C2518">
        <f>Inputs!$B$3&gt;=107</f>
        <v/>
      </c>
      <c r="D2518">
        <f>IF(Skills!C7=1,60+Inputs!$B$25+Inputs!$B$29,IF(Skills!C7=2,90+Inputs!$B$26+Inputs!$B$29,IF(Skills!C7=3,120+Inputs!$B$27+Inputs!$B$29,MAX(0,(Inputs!$B$3-100)*3)+Inputs!$B$28+Inputs!$B$29)))</f>
        <v/>
      </c>
      <c r="E2518">
        <f>INDEX(FactorTable!$B$2:$Y$301, MATCH(ROUND(MIN(300,MAX(1,D2518)),0), FactorTable!$A$2:$A$301,0), Skills!M7+1)</f>
        <v/>
      </c>
      <c r="F2518">
        <f>IF(Skills!N7=TRUE,(Skills!L7/10)*(E2518/1000),Skills!L7/10)+Skills!O7</f>
        <v/>
      </c>
      <c r="G2518">
        <f>Skills!G7*IF(Skills!H7&gt;0,Skills!I7/Skills!H7,1)</f>
        <v/>
      </c>
      <c r="H2518">
        <f>1-(1-Skills!J7/100)^Skills!K7</f>
        <v/>
      </c>
      <c r="I2518" t="inlineStr">
        <is>
          <t>1</t>
        </is>
      </c>
      <c r="J2518">
        <f>((Inputs!$B$6*(1+Inputs!$B$7/100))+(((Inputs!$B$12*(1+Inputs!$B$13/100))-(Inputs!$B$12*(1+Inputs!$B$13/100)))+0.25*(Inputs!$B$14-Inputs!$B$14))*(1+Inputs!$B$7/100))*(F2518/100)</f>
        <v/>
      </c>
      <c r="K2518">
        <f>J2518*(1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2518)</f>
        <v/>
      </c>
      <c r="L2518">
        <f>K2518*(MIN(Inputs!$B$22+((C2533=TRUE)*(F2533-Calc!F22)),(Inputs!$B$23+((C2535=TRUE)*(F2535-Calc!F24))+(IF(ArtifactsInput!$M$15,CHOOSE(ArtifactsInput!$N$15+1,25,30,35,40,45,50)/100*(Inputs!$B$11-Inputs!$B$11),0))))/100+(Inputs!$B$23+((C2535=TRUE)*(F2535-Calc!F24))+(IF(ArtifactsInput!$M$15,CHOOSE(ArtifactsInput!$N$15+1,25,30,35,40,45,50)/100*(Inputs!$B$11-Inputs!$B$11),0)))/100)/2</f>
        <v/>
      </c>
      <c r="M2518">
        <f>L2518*(1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8">
        <f>L2518*(1-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2518*(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8">
        <f>(1-Summary!$B$11)*T2518+Summary!$B$11*V2518</f>
        <v/>
      </c>
      <c r="P2518">
        <f>IF(B2548=0,0,O2518/B2548)</f>
        <v/>
      </c>
      <c r="Q2518">
        <f>IFERROR(1/(IF(Inputs!$B$38="pvp",15,MAX(0.1,Skills!D7-IF(Skills!E7=TRUE,Inputs!$B$32,0)))*(1-IF(AND(ArtifactsInput!$M$27,Inputs!$B$4="Chapter Hunt"),CHOOSE(ArtifactsInput!$N$27+1,20,24,28,32,36,40),0)/100)),0)</f>
        <v/>
      </c>
      <c r="R2518">
        <f>IF(AND(Inputs!$B$38&lt;&gt;"pvp",Inputs!$B$43&gt;0),IF(MAX(0,Inputs!$B$43-B2545)&lt;=0,0,(INT(MAX(0,Inputs!$B$43-B2545)/(IF(Inputs!$B$38="pvp",15,MAX(0.1,Skills!D7-IF(Skills!E7=TRUE,Inputs!$B$32,0)))*(1-IF(AND(ArtifactsInput!$M$27,Inputs!$B$4="Chapter Hunt"),CHOOSE(ArtifactsInput!$N$27+1,20,24,28,32,36,40),0)/100)))+1)),0)</f>
        <v/>
      </c>
      <c r="S2518">
        <f>IFERROR(O2518/N2518,0)</f>
        <v/>
      </c>
      <c r="T2518">
        <f>IF(C2518,(H2518*N2518*IF(AND(Inputs!$B$38&lt;&gt;"pvp",Inputs!$B$43&gt;0),((Skills!G7*((R2518-1)*IF(Skills!H7&gt;0,Skills!I7/Skills!H7,1)+IF(Skills!H7&gt;0,MIN(Skills!I7,MAX(0,MAX(0,Inputs!$B$43-B2545)-((R2518-1)*(IF(Inputs!$B$38="pvp",15,MAX(0.1,Skills!D7-IF(Skills!E7=TRUE,Inputs!$B$32,0)))*(1-IF(AND(ArtifactsInput!$M$27,Inputs!$B$4="Chapter Hunt"),CHOOSE(ArtifactsInput!$N$27+1,20,24,28,32,36,40),0)/100)))))/Skills!H7,1)))/Inputs!$B$43),G2518*Q2518)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2518*(1-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2518*(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2518*(1-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2518*(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8">
        <f>IF(C2518,(H2518*N2518*IF(AND(Inputs!$B$38&lt;&gt;"pvp",Inputs!$B$43&gt;0),((Skills!G7*((R2518-1)*IF(Skills!H7&gt;0,Skills!I7/Skills!H7,1)+IF(Skills!H7&gt;0,MIN(Skills!I7,MAX(0,MAX(0,Inputs!$B$43-B2545)-((R2518-1)*(IF(Inputs!$B$38="pvp",15,MAX(0.1,Skills!D7-IF(Skills!E7=TRUE,Inputs!$B$32,0)))*(1-IF(AND(ArtifactsInput!$M$27,Inputs!$B$4="Chapter Hunt"),CHOOSE(ArtifactsInput!$N$27+1,20,24,28,32,36,40),0)/100)))))/Skills!H7,1)))/Inputs!$B$43),G2518*Q2518))*IF(Inputs!$B$38="pvp",1,(1+(Inputs!$B$21+Skills!Q7+(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9">
      <c r="A2519">
        <f>Skills!A8</f>
        <v/>
      </c>
      <c r="B2519">
        <f>Skills!B8</f>
        <v/>
      </c>
      <c r="C2519">
        <f>Inputs!$B$3&gt;=107</f>
        <v/>
      </c>
      <c r="D2519">
        <f>IF(Skills!C8=1,60+Inputs!$B$25+Inputs!$B$29,IF(Skills!C8=2,90+Inputs!$B$26+Inputs!$B$29,IF(Skills!C8=3,120+Inputs!$B$27+Inputs!$B$29,MAX(0,(Inputs!$B$3-100)*3)+Inputs!$B$28+Inputs!$B$29)))</f>
        <v/>
      </c>
      <c r="E2519">
        <f>INDEX(FactorTable!$B$2:$Y$301, MATCH(ROUND(MIN(300,MAX(1,D2519)),0), FactorTable!$A$2:$A$301,0), Skills!M8+1)</f>
        <v/>
      </c>
      <c r="F2519">
        <f>IF(Skills!N8=TRUE,(Skills!L8/10)*(E2519/1000),Skills!L8/10)+Skills!O8</f>
        <v/>
      </c>
      <c r="G2519">
        <f>Skills!G8*IF(Skills!H8&gt;0,Skills!I8/Skills!H8,1)</f>
        <v/>
      </c>
      <c r="H2519">
        <f>1-(1-Skills!J8/100)^Skills!K8</f>
        <v/>
      </c>
      <c r="I2519" t="inlineStr">
        <is>
          <t>1</t>
        </is>
      </c>
      <c r="J2519">
        <f>((Inputs!$B$6*(1+Inputs!$B$7/100))+(((Inputs!$B$12*(1+Inputs!$B$13/100))-(Inputs!$B$12*(1+Inputs!$B$13/100)))+0.25*(Inputs!$B$14-Inputs!$B$14))*(1+Inputs!$B$7/100))*(F2519/100)</f>
        <v/>
      </c>
      <c r="K2519">
        <f>J2519*(1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2519)</f>
        <v/>
      </c>
      <c r="L2519">
        <f>K2519*(MIN(Inputs!$B$22+((C2533=TRUE)*(F2533-Calc!F22)),(Inputs!$B$23+((C2535=TRUE)*(F2535-Calc!F24))+(IF(ArtifactsInput!$M$15,CHOOSE(ArtifactsInput!$N$15+1,25,30,35,40,45,50)/100*(Inputs!$B$11-Inputs!$B$11),0))))/100+(Inputs!$B$23+((C2535=TRUE)*(F2535-Calc!F24))+(IF(ArtifactsInput!$M$15,CHOOSE(ArtifactsInput!$N$15+1,25,30,35,40,45,50)/100*(Inputs!$B$11-Inputs!$B$11),0)))/100)/2</f>
        <v/>
      </c>
      <c r="M2519">
        <f>L2519*(1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9">
        <f>L2519*(1-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2519*(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9">
        <f>(1-Summary!$B$11)*T2519+Summary!$B$11*V2519</f>
        <v/>
      </c>
      <c r="P2519">
        <f>IF(B2548=0,0,O2519/B2548)</f>
        <v/>
      </c>
      <c r="Q2519">
        <f>IFERROR(1/(IF(Inputs!$B$38="pvp",15,MAX(0.1,Skills!D8-IF(Skills!E8=TRUE,Inputs!$B$32,0)))*(1-IF(AND(ArtifactsInput!$M$27,Inputs!$B$4="Chapter Hunt"),CHOOSE(ArtifactsInput!$N$27+1,20,24,28,32,36,40),0)/100)),0)</f>
        <v/>
      </c>
      <c r="R2519">
        <f>IF(AND(Inputs!$B$38&lt;&gt;"pvp",Inputs!$B$43&gt;0),IF(MAX(0,Inputs!$B$43-B2545)&lt;=0,0,(INT(MAX(0,Inputs!$B$43-B2545)/(IF(Inputs!$B$38="pvp",15,MAX(0.1,Skills!D8-IF(Skills!E8=TRUE,Inputs!$B$32,0)))*(1-IF(AND(ArtifactsInput!$M$27,Inputs!$B$4="Chapter Hunt"),CHOOSE(ArtifactsInput!$N$27+1,20,24,28,32,36,40),0)/100)))+1)),0)</f>
        <v/>
      </c>
      <c r="S2519">
        <f>IFERROR(O2519/N2519,0)</f>
        <v/>
      </c>
      <c r="T2519">
        <f>IF(C2519,(H2519*N2519*IF(AND(Inputs!$B$38&lt;&gt;"pvp",Inputs!$B$43&gt;0),((Skills!G8*((R2519-1)*IF(Skills!H8&gt;0,Skills!I8/Skills!H8,1)+IF(Skills!H8&gt;0,MIN(Skills!I8,MAX(0,MAX(0,Inputs!$B$43-B2545)-((R2519-1)*(IF(Inputs!$B$38="pvp",15,MAX(0.1,Skills!D8-IF(Skills!E8=TRUE,Inputs!$B$32,0)))*(1-IF(AND(ArtifactsInput!$M$27,Inputs!$B$4="Chapter Hunt"),CHOOSE(ArtifactsInput!$N$27+1,20,24,28,32,36,40),0)/100)))))/Skills!H8,1)))/Inputs!$B$43),G2519*Q2519))*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2519*(1-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2519*(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2519*(1-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2519*(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9">
        <f>IF(C2519,(H2519*N2519*IF(AND(Inputs!$B$38&lt;&gt;"pvp",Inputs!$B$43&gt;0),((Skills!G8*((R2519-1)*IF(Skills!H8&gt;0,Skills!I8/Skills!H8,1)+IF(Skills!H8&gt;0,MIN(Skills!I8,MAX(0,MAX(0,Inputs!$B$43-B2545)-((R2519-1)*(IF(Inputs!$B$38="pvp",15,MAX(0.1,Skills!D8-IF(Skills!E8=TRUE,Inputs!$B$32,0)))*(1-IF(AND(ArtifactsInput!$M$27,Inputs!$B$4="Chapter Hunt"),CHOOSE(ArtifactsInput!$N$27+1,20,24,28,32,36,40),0)/100)))))/Skills!H8,1)))/Inputs!$B$43),G2519*Q2519))*IF(Inputs!$B$38="pvp",1,(1+(Inputs!$B$21+Skills!Q8+(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0">
      <c r="A2520">
        <f>Skills!A9</f>
        <v/>
      </c>
      <c r="B2520">
        <f>Skills!B9</f>
        <v/>
      </c>
      <c r="C2520">
        <f>Inputs!$B$3&gt;=125</f>
        <v/>
      </c>
      <c r="D2520">
        <f>IF(Skills!C9=1,60+Inputs!$B$25+Inputs!$B$29,IF(Skills!C9=2,90+Inputs!$B$26+Inputs!$B$29,IF(Skills!C9=3,120+Inputs!$B$27+Inputs!$B$29,MAX(0,(Inputs!$B$3-100)*3)+Inputs!$B$28+Inputs!$B$29)))</f>
        <v/>
      </c>
      <c r="E2520">
        <f>INDEX(FactorTable!$B$2:$Y$301, MATCH(ROUND(MIN(300,MAX(1,D2520)),0), FactorTable!$A$2:$A$301,0), Skills!M9+1)</f>
        <v/>
      </c>
      <c r="F2520">
        <f>IF(Skills!N9=TRUE,(Skills!L9/10)*(E2520/1000),Skills!L9/10)+Skills!O9</f>
        <v/>
      </c>
      <c r="G2520">
        <f>Skills!G9*IF(Skills!H9&gt;0,Skills!I9/Skills!H9,1)</f>
        <v/>
      </c>
      <c r="H2520">
        <f>1-(1-Skills!J9/100)^Skills!K9</f>
        <v/>
      </c>
      <c r="I2520" t="inlineStr">
        <is>
          <t>1</t>
        </is>
      </c>
      <c r="J2520">
        <f>((Inputs!$B$6*(1+Inputs!$B$7/100))+(((Inputs!$B$12*(1+Inputs!$B$13/100))-(Inputs!$B$12*(1+Inputs!$B$13/100)))+0.25*(Inputs!$B$14-Inputs!$B$14))*(1+Inputs!$B$7/100))*(F2520/100)</f>
        <v/>
      </c>
      <c r="K2520">
        <f>J2520*(1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2520)</f>
        <v/>
      </c>
      <c r="L2520">
        <f>K2520*(MIN(Inputs!$B$22+((C2533=TRUE)*(F2533-Calc!F22)),(Inputs!$B$23+((C2535=TRUE)*(F2535-Calc!F24))+(IF(ArtifactsInput!$M$15,CHOOSE(ArtifactsInput!$N$15+1,25,30,35,40,45,50)/100*(Inputs!$B$11-Inputs!$B$11),0))))/100+(Inputs!$B$23+((C2535=TRUE)*(F2535-Calc!F24))+(IF(ArtifactsInput!$M$15,CHOOSE(ArtifactsInput!$N$15+1,25,30,35,40,45,50)/100*(Inputs!$B$11-Inputs!$B$11),0)))/100)/2</f>
        <v/>
      </c>
      <c r="M2520">
        <f>L2520*(1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0">
        <f>L2520*(1-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2520*(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0">
        <f>(1-Summary!$B$11)*T2520+Summary!$B$11*V2520</f>
        <v/>
      </c>
      <c r="P2520">
        <f>IF(B2548=0,0,O2520/B2548)</f>
        <v/>
      </c>
      <c r="Q2520">
        <f>IFERROR(1/(IF(Inputs!$B$38="pvp",15,MAX(0.1,Skills!D9-IF(Skills!E9=TRUE,Inputs!$B$32,0)))*(1-IF(AND(ArtifactsInput!$M$27,Inputs!$B$4="Chapter Hunt"),CHOOSE(ArtifactsInput!$N$27+1,20,24,28,32,36,40),0)/100)),0)</f>
        <v/>
      </c>
      <c r="R2520">
        <f>IF(AND(Inputs!$B$38&lt;&gt;"pvp",Inputs!$B$43&gt;0),IF(MAX(0,Inputs!$B$43-B2545)&lt;=0,0,(INT(MAX(0,Inputs!$B$43-B2545)/(IF(Inputs!$B$38="pvp",15,MAX(0.1,Skills!D9-IF(Skills!E9=TRUE,Inputs!$B$32,0)))*(1-IF(AND(ArtifactsInput!$M$27,Inputs!$B$4="Chapter Hunt"),CHOOSE(ArtifactsInput!$N$27+1,20,24,28,32,36,40),0)/100)))+1)),0)</f>
        <v/>
      </c>
      <c r="S2520">
        <f>IFERROR(O2520/N2520,0)</f>
        <v/>
      </c>
      <c r="T2520">
        <f>IF(C2520,(H2520*N2520*IF(AND(Inputs!$B$38&lt;&gt;"pvp",Inputs!$B$43&gt;0),((Skills!G9*((R2520-1)*IF(Skills!H9&gt;0,Skills!I9/Skills!H9,1)+IF(Skills!H9&gt;0,MIN(Skills!I9,MAX(0,MAX(0,Inputs!$B$43-B2545)-((R2520-1)*(IF(Inputs!$B$38="pvp",15,MAX(0.1,Skills!D9-IF(Skills!E9=TRUE,Inputs!$B$32,0)))*(1-IF(AND(ArtifactsInput!$M$27,Inputs!$B$4="Chapter Hunt"),CHOOSE(ArtifactsInput!$N$27+1,20,24,28,32,36,40),0)/100)))))/Skills!H9,1)))/Inputs!$B$43),G2520*Q2520)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2520*(1-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2520*(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2520*(1-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2520*(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0">
        <f>IF(C2520,(H2520*N2520*IF(AND(Inputs!$B$38&lt;&gt;"pvp",Inputs!$B$43&gt;0),((Skills!G9*((R2520-1)*IF(Skills!H9&gt;0,Skills!I9/Skills!H9,1)+IF(Skills!H9&gt;0,MIN(Skills!I9,MAX(0,MAX(0,Inputs!$B$43-B2545)-((R2520-1)*(IF(Inputs!$B$38="pvp",15,MAX(0.1,Skills!D9-IF(Skills!E9=TRUE,Inputs!$B$32,0)))*(1-IF(AND(ArtifactsInput!$M$27,Inputs!$B$4="Chapter Hunt"),CHOOSE(ArtifactsInput!$N$27+1,20,24,28,32,36,40),0)/100)))))/Skills!H9,1)))/Inputs!$B$43),G2520*Q2520))*IF(Inputs!$B$38="pvp",1,(1+(Inputs!$B$21+Skills!Q9+(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1">
      <c r="A2521">
        <f>Skills!A10</f>
        <v/>
      </c>
      <c r="B2521">
        <f>Skills!B10</f>
        <v/>
      </c>
      <c r="C2521">
        <f>Inputs!$B$3&gt;=117</f>
        <v/>
      </c>
      <c r="D2521">
        <f>IF(Skills!C10=1,60+Inputs!$B$25+Inputs!$B$29,IF(Skills!C10=2,90+Inputs!$B$26+Inputs!$B$29,IF(Skills!C10=3,120+Inputs!$B$27+Inputs!$B$29,MAX(0,(Inputs!$B$3-100)*3)+Inputs!$B$28+Inputs!$B$29)))</f>
        <v/>
      </c>
      <c r="E2521">
        <f>INDEX(FactorTable!$B$2:$Y$301, MATCH(ROUND(MIN(300,MAX(1,D2521)),0), FactorTable!$A$2:$A$301,0), Skills!M10+1)</f>
        <v/>
      </c>
      <c r="F2521">
        <f>IF(Skills!N10=TRUE,(Skills!L10/10)*(E2521/1000),Skills!L10/10)+Skills!O10</f>
        <v/>
      </c>
      <c r="G2521">
        <f>Skills!G10*IF(Skills!H10&gt;0,Skills!I10/Skills!H10,1)</f>
        <v/>
      </c>
      <c r="H2521">
        <f>1-(1-Skills!J10/100)^Skills!K10</f>
        <v/>
      </c>
      <c r="I2521" t="inlineStr">
        <is>
          <t>1</t>
        </is>
      </c>
      <c r="J2521">
        <f>((Inputs!$B$6*(1+Inputs!$B$7/100))+(((Inputs!$B$12*(1+Inputs!$B$13/100))-(Inputs!$B$12*(1+Inputs!$B$13/100)))+0.25*(Inputs!$B$14-Inputs!$B$14))*(1+Inputs!$B$7/100))*(F2521/100)</f>
        <v/>
      </c>
      <c r="K2521">
        <f>J2521*(1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2521)</f>
        <v/>
      </c>
      <c r="L2521">
        <f>K2521*(MIN(Inputs!$B$22+((C2533=TRUE)*(F2533-Calc!F22)),(Inputs!$B$23+((C2535=TRUE)*(F2535-Calc!F24))+(IF(ArtifactsInput!$M$15,CHOOSE(ArtifactsInput!$N$15+1,25,30,35,40,45,50)/100*(Inputs!$B$11-Inputs!$B$11),0))))/100+(Inputs!$B$23+((C2535=TRUE)*(F2535-Calc!F24))+(IF(ArtifactsInput!$M$15,CHOOSE(ArtifactsInput!$N$15+1,25,30,35,40,45,50)/100*(Inputs!$B$11-Inputs!$B$11),0)))/100)/2</f>
        <v/>
      </c>
      <c r="M2521">
        <f>L2521*(1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1">
        <f>L2521*(1-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1">
        <f>(1-Summary!$B$11)*T2521+Summary!$B$11*V2521</f>
        <v/>
      </c>
      <c r="P2521">
        <f>IF(B2548=0,0,O2521/B2548)</f>
        <v/>
      </c>
      <c r="Q2521">
        <f>IFERROR(1/(IF(Inputs!$B$38="pvp",15,MAX(0.1,Skills!D10-IF(Skills!E10=TRUE,Inputs!$B$32,0)))*(1-IF(AND(ArtifactsInput!$M$27,Inputs!$B$4="Chapter Hunt"),CHOOSE(ArtifactsInput!$N$27+1,20,24,28,32,36,40),0)/100)),0)</f>
        <v/>
      </c>
      <c r="R2521">
        <f>IF(AND(Inputs!$B$38&lt;&gt;"pvp",Inputs!$B$43&gt;0),IF(MAX(0,Inputs!$B$43-B2545)&lt;=0,0,(INT(MAX(0,Inputs!$B$43-B2545)/(IF(Inputs!$B$38="pvp",15,MAX(0.1,Skills!D10-IF(Skills!E10=TRUE,Inputs!$B$32,0)))*(1-IF(AND(ArtifactsInput!$M$27,Inputs!$B$4="Chapter Hunt"),CHOOSE(ArtifactsInput!$N$27+1,20,24,28,32,36,40),0)/100)))+1)),0)</f>
        <v/>
      </c>
      <c r="S2521">
        <f>IFERROR(O2521/N2521,0)</f>
        <v/>
      </c>
      <c r="T2521">
        <f>IF(C2521,(H2521*N2521*IF(AND(Inputs!$B$38&lt;&gt;"pvp",Inputs!$B$43&gt;0),((Skills!G10*((R2521-1)*IF(Skills!H10&gt;0,Skills!I10/Skills!H10,1)+IF(Skills!H10&gt;0,MIN(Skills!I10,MAX(0,MAX(0,Inputs!$B$43-B2545)-((R2521-1)*(IF(Inputs!$B$38="pvp",15,MAX(0.1,Skills!D10-IF(Skills!E10=TRUE,Inputs!$B$32,0)))*(1-IF(AND(ArtifactsInput!$M$27,Inputs!$B$4="Chapter Hunt"),CHOOSE(ArtifactsInput!$N$27+1,20,24,28,32,36,40),0)/100)))))/Skills!H10,1)))/Inputs!$B$43),G2521*Q2521)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2521*(1-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2521*(1-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1">
        <f>IF(C2521,(H2521*N2521*IF(AND(Inputs!$B$38&lt;&gt;"pvp",Inputs!$B$43&gt;0),((Skills!G10*((R2521-1)*IF(Skills!H10&gt;0,Skills!I10/Skills!H10,1)+IF(Skills!H10&gt;0,MIN(Skills!I10,MAX(0,MAX(0,Inputs!$B$43-B2545)-((R2521-1)*(IF(Inputs!$B$38="pvp",15,MAX(0.1,Skills!D10-IF(Skills!E10=TRUE,Inputs!$B$32,0)))*(1-IF(AND(ArtifactsInput!$M$27,Inputs!$B$4="Chapter Hunt"),CHOOSE(ArtifactsInput!$N$27+1,20,24,28,32,36,40),0)/100)))))/Skills!H10,1)))/Inputs!$B$43),G2521*Q2521))*IF(Inputs!$B$38="pvp",1,(1+(Inputs!$B$21+Skills!Q10+(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2">
      <c r="A2522">
        <f>Skills!A11</f>
        <v/>
      </c>
      <c r="B2522">
        <f>Skills!B11</f>
        <v/>
      </c>
      <c r="C2522">
        <f>Inputs!$B$3&gt;=63</f>
        <v/>
      </c>
      <c r="D2522">
        <f>IF(Skills!C11=1,60+Inputs!$B$25+Inputs!$B$29,IF(Skills!C11=2,90+Inputs!$B$26+Inputs!$B$29,IF(Skills!C11=3,120+Inputs!$B$27+Inputs!$B$29,MAX(0,(Inputs!$B$3-100)*3)+Inputs!$B$28+Inputs!$B$29)))</f>
        <v/>
      </c>
      <c r="E2522">
        <f>INDEX(FactorTable!$B$2:$Y$301, MATCH(ROUND(MIN(300,MAX(1,D2522)),0), FactorTable!$A$2:$A$301,0), Skills!M11+1)</f>
        <v/>
      </c>
      <c r="F2522">
        <f>IF(Skills!N11=TRUE,(Skills!L11/10)*(E2522/1000),Skills!L11/10)+Skills!O11</f>
        <v/>
      </c>
      <c r="G2522">
        <f>Skills!G11*IF(Skills!H11&gt;0,Skills!I11/Skills!H11,1)</f>
        <v/>
      </c>
      <c r="H2522">
        <f>1-(1-Skills!J11/100)^Skills!K11</f>
        <v/>
      </c>
      <c r="I2522" t="inlineStr">
        <is>
          <t>1</t>
        </is>
      </c>
      <c r="J2522">
        <f>((Inputs!$B$6*(1+Inputs!$B$7/100))+(((Inputs!$B$12*(1+Inputs!$B$13/100))-(Inputs!$B$12*(1+Inputs!$B$13/100)))+0.25*(Inputs!$B$14-Inputs!$B$14))*(1+Inputs!$B$7/100))*(F2522/100)</f>
        <v/>
      </c>
      <c r="K2522">
        <f>J2522*(1+((Inputs!$B$12*(1+Inputs!$B$13/100))*0.01+Inputs!$B$14*0.0025)/100)*(1+Inputs!$B$15/100)*(1+Inputs!$B$16/100)*(5000/(6000+Inputs!$B$42*(1-(Inputs!$B$19+0)/100)))*(1+(Inputs!$B$24+0+B2544)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2523=TRUE,F2523,0)/100)*(1+(IF(Skills!A11="BLAST",Inputs!$B$17+((C2532=TRUE)*(F2532-Calc!F21))+((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MIN(100,((Inputs!$B$9+0+B2538+(ArtifactsInput!$M$24-ArtifactsInput!$M$24)*CHOOSE(ArtifactsInput!$N$24+1,10,12,14,16,18,20)+IF(ArtifactsInput!$M$10,CHOOSE(ArtifactsInput!$N$10+1,15,18,21,24,27,30)*(IF(Inputs!$B$38="pvp",MIN(15,15)/15,IF(AND(Inputs!$B$38&lt;&gt;"pvp",Inputs!$B$43&gt;0),MIN(15,Inputs!$B$43)/(Inputs!$B$43),0))),0)))-100),0))*CHOOSE(ArtifactsInput!$N$42+1,0.6,0.72,0.84,0.96,1.08,1.2))),Inputs!$B$18+((C2534=TRUE)*(F2534-Calc!F23))+(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gt;=100),CHOOSE(ArtifactsInput!$N$42+1,40,48,56,64,72,80),0))))/100)*((1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2522)</f>
        <v/>
      </c>
      <c r="L2522">
        <f>K2522*(MIN(Inputs!$B$22+((C2533=TRUE)*(F2533-Calc!F22)),(Inputs!$B$23+((C2535=TRUE)*(F2535-Calc!F24))+(IF(ArtifactsInput!$M$15,CHOOSE(ArtifactsInput!$N$15+1,25,30,35,40,45,50)/100*(Inputs!$B$11-Inputs!$B$11),0))))/100+(Inputs!$B$23+((C2535=TRUE)*(F2535-Calc!F24))+(IF(ArtifactsInput!$M$15,CHOOSE(ArtifactsInput!$N$15+1,25,30,35,40,45,50)/100*(Inputs!$B$11-Inputs!$B$11),0)))/100)/2</f>
        <v/>
      </c>
      <c r="M2522">
        <f>L2522*(1+(Inputs!$B$10+0+B2543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22">
        <f>L2522*(1-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2522*(MIN((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22">
        <f>(1-Summary!$B$11)*T2522+Summary!$B$11*V2522</f>
        <v/>
      </c>
      <c r="P2522">
        <f>IF(B2548=0,0,O2522/B2548)</f>
        <v/>
      </c>
      <c r="Q2522">
        <f>IFERROR(1/(IF(Inputs!$B$38="pvp",15,MAX(0.1,Skills!D11-IF(Skills!E11=TRUE,Inputs!$B$32,0)))*(1-IF(AND(ArtifactsInput!$M$27,Inputs!$B$4="Chapter Hunt"),CHOOSE(ArtifactsInput!$N$27+1,20,24,28,32,36,40),0)/100)),0)</f>
        <v/>
      </c>
      <c r="R2522">
        <f>IF(AND(Inputs!$B$38&lt;&gt;"pvp",Inputs!$B$43&gt;0),IF(MAX(0,Inputs!$B$43-B2545)&lt;=0,0,(INT(MAX(0,Inputs!$B$43-B2545)/(IF(Inputs!$B$38="pvp",15,MAX(0.1,Skills!D11-IF(Skills!E11=TRUE,Inputs!$B$32,0)))*(1-IF(AND(ArtifactsInput!$M$27,Inputs!$B$4="Chapter Hunt"),CHOOSE(ArtifactsInput!$N$27+1,20,24,28,32,36,40),0)/100)))+1)),0)</f>
        <v/>
      </c>
      <c r="S2522">
        <f>IFERROR(O2522/N2522,0)</f>
        <v/>
      </c>
      <c r="T2522">
        <f>IF(C2522,(H2522*N2522*IF(AND(Inputs!$B$38&lt;&gt;"pvp",Inputs!$B$43&gt;0),((Skills!G11*((R2522-1)*IF(Skills!H11&gt;0,Skills!I11/Skills!H11,1)+IF(Skills!H11&gt;0,MIN(Skills!I11,MAX(0,MAX(0,Inputs!$B$43-B2545)-((R2522-1)*(IF(Inputs!$B$38="pvp",15,MAX(0.1,Skills!D11-IF(Skills!E11=TRUE,Inputs!$B$32,0)))*(1-IF(AND(ArtifactsInput!$M$27,Inputs!$B$4="Chapter Hunt"),CHOOSE(ArtifactsInput!$N$27+1,20,24,28,32,36,40),0)/100)))))/Skills!H11,1)))/Inputs!$B$43),G2522*Q2522)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2522*(1-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2522*(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2522*(1-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2522*(MIN(100,(Inputs!$B$9+0+B2538+(ArtifactsInput!$M$24-ArtifactsInput!$M$24)*CHOOSE(ArtifactsInput!$N$24+1,10,12,14,16,18,20)+(IF(AND(Inputs!$B$38&lt;&gt;"pvp",Inputs!$B$43=0),1,IF(IF(Inputs!$B$38="pvp",15,Inputs!$B$43)-(B2545)&lt;=0,1,MAX(0,IF(Inputs!$B$38="pvp",15,Inputs!$B$43)-MAX(5,B2545))/(IF(Inputs!$B$38="pvp",15,Inputs!$B$43)-(B2545))))*IF(AND(IF(ArtifactsInput!$M$42,FALSE,TRUE),((Inputs!$B$9+0+B2538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22">
        <f>IF(C2522,(H2522*N2522*IF(AND(Inputs!$B$38&lt;&gt;"pvp",Inputs!$B$43&gt;0),((Skills!G11*((R2522-1)*IF(Skills!H11&gt;0,Skills!I11/Skills!H11,1)+IF(Skills!H11&gt;0,MIN(Skills!I11,MAX(0,MAX(0,Inputs!$B$43-B2545)-((R2522-1)*(IF(Inputs!$B$38="pvp",15,MAX(0.1,Skills!D11-IF(Skills!E11=TRUE,Inputs!$B$32,0)))*(1-IF(AND(ArtifactsInput!$M$27,Inputs!$B$4="Chapter Hunt"),CHOOSE(ArtifactsInput!$N$27+1,20,24,28,32,36,40),0)/100)))))/Skills!H11,1)))/Inputs!$B$43),G2522*Q2522))*IF(Inputs!$B$38="pvp",1,(1+(Inputs!$B$21+Skills!Q11+(IF(ArtifactsInput!$M$33,CHOOSE(ArtifactsInput!$N$33+1,30,36,42,48,54,60),0))+(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23">
      <c r="A2523">
        <f>Skills!A12</f>
        <v/>
      </c>
      <c r="B2523">
        <f>Skills!B12</f>
        <v/>
      </c>
      <c r="C2523">
        <f>Inputs!$B$3&gt;=100</f>
        <v/>
      </c>
      <c r="D2523">
        <f>IF(Skills!C12=1,60+Inputs!$B$25+Inputs!$B$29,IF(Skills!C12=2,90+Inputs!$B$26+Inputs!$B$29,IF(Skills!C12=3,120+Inputs!$B$27+Inputs!$B$29,MAX(0,(Inputs!$B$3-100)*3)+Inputs!$B$28+Inputs!$B$29)))</f>
        <v/>
      </c>
      <c r="E2523">
        <f>INDEX(FactorTable!$B$2:$Y$301, MATCH(ROUND(MIN(300,MAX(1,D2523)),0), FactorTable!$A$2:$A$301,0), Skills!M12+1)</f>
        <v/>
      </c>
      <c r="F2523">
        <f>IF(Skills!N12=TRUE,(Skills!L12/10)*(E2523/1000),Skills!L12/10)+Skills!O12</f>
        <v/>
      </c>
      <c r="G2523" t="inlineStr"/>
      <c r="H2523" t="inlineStr"/>
      <c r="I2523" t="inlineStr">
        <is>
          <t>1</t>
        </is>
      </c>
      <c r="J2523" t="inlineStr"/>
      <c r="K2523" t="inlineStr"/>
      <c r="L2523" t="inlineStr"/>
      <c r="M2523" t="inlineStr"/>
      <c r="N2523" t="inlineStr"/>
      <c r="O2523" t="inlineStr"/>
      <c r="P2523" t="inlineStr"/>
      <c r="Q2523" t="inlineStr"/>
      <c r="R2523" t="inlineStr"/>
      <c r="S2523" t="inlineStr"/>
    </row>
    <row r="2524">
      <c r="A2524">
        <f>Skills!A13</f>
        <v/>
      </c>
      <c r="B2524">
        <f>Skills!B13</f>
        <v/>
      </c>
      <c r="C2524">
        <f>Inputs!$B$3&gt;=45</f>
        <v/>
      </c>
      <c r="D2524">
        <f>IF(Skills!C13=1,60+Inputs!$B$25+Inputs!$B$29,IF(Skills!C13=2,90+Inputs!$B$26+Inputs!$B$29,IF(Skills!C13=3,120+Inputs!$B$27+Inputs!$B$29,MAX(0,(Inputs!$B$3-100)*3)+Inputs!$B$28+Inputs!$B$29)))</f>
        <v/>
      </c>
      <c r="E2524">
        <f>INDEX(FactorTable!$B$2:$Y$301, MATCH(ROUND(MIN(300,MAX(1,D2524)),0), FactorTable!$A$2:$A$301,0), Skills!M13+1)</f>
        <v/>
      </c>
      <c r="F2524">
        <f>IF(Skills!N13=TRUE,(Skills!L13/10)*(E2524/1000),Skills!L13/10)+Skills!O13</f>
        <v/>
      </c>
      <c r="G2524">
        <f>Skills!G13*IF(Skills!H13&gt;0,Skills!I13/Skills!H13,1)</f>
        <v/>
      </c>
      <c r="H2524">
        <f>1-(1-Skills!J13/100)^Skills!K13</f>
        <v/>
      </c>
      <c r="I2524" t="inlineStr">
        <is>
          <t>1</t>
        </is>
      </c>
      <c r="J2524" t="inlineStr"/>
      <c r="K2524" t="inlineStr"/>
      <c r="L2524" t="inlineStr"/>
      <c r="M2524" t="inlineStr"/>
      <c r="N2524" t="inlineStr"/>
      <c r="O2524">
        <f>(1-Summary!$B$11)*T2524+Summary!$B$11*V2524</f>
        <v/>
      </c>
      <c r="P2524">
        <f>IF(B2548=0,0,O2524/B2548)</f>
        <v/>
      </c>
      <c r="Q2524" t="n">
        <v>0</v>
      </c>
      <c r="R2524" t="n">
        <v>0</v>
      </c>
      <c r="S2524">
        <f>IFERROR(O2524/N2524,0)</f>
        <v/>
      </c>
      <c r="T2524" t="n">
        <v>0</v>
      </c>
      <c r="V2524" t="n">
        <v>0</v>
      </c>
    </row>
    <row r="2525">
      <c r="A2525">
        <f>Skills!A14</f>
        <v/>
      </c>
      <c r="B2525">
        <f>Skills!B14</f>
        <v/>
      </c>
      <c r="C2525">
        <f>Inputs!$B$3&gt;=110</f>
        <v/>
      </c>
      <c r="D2525">
        <f>IF(Skills!C14=1,60+Inputs!$B$25+Inputs!$B$29,IF(Skills!C14=2,90+Inputs!$B$26+Inputs!$B$29,IF(Skills!C14=3,120+Inputs!$B$27+Inputs!$B$29,MAX(0,(Inputs!$B$3-100)*3)+Inputs!$B$28+Inputs!$B$29)))</f>
        <v/>
      </c>
      <c r="E2525">
        <f>INDEX(FactorTable!$B$2:$Y$301, MATCH(ROUND(MIN(300,MAX(1,D2525)),0), FactorTable!$A$2:$A$301,0), Skills!M14+1)</f>
        <v/>
      </c>
      <c r="F2525">
        <f>IF(Skills!N14=TRUE,(Skills!L14/10)*(E2525/1000),Skills!L14/10)+Skills!O14</f>
        <v/>
      </c>
      <c r="G2525">
        <f>Skills!G14*IF(Skills!H14&gt;0,Skills!I14/Skills!H14,1)</f>
        <v/>
      </c>
      <c r="H2525">
        <f>1-(1-Skills!J14/100)^Skills!K14</f>
        <v/>
      </c>
      <c r="I2525" t="inlineStr">
        <is>
          <t>1</t>
        </is>
      </c>
      <c r="J2525" t="inlineStr"/>
      <c r="K2525" t="inlineStr"/>
      <c r="L2525" t="inlineStr"/>
      <c r="M2525" t="inlineStr"/>
      <c r="N2525" t="inlineStr"/>
      <c r="O2525">
        <f>(1-Summary!$B$11)*T2525+Summary!$B$11*V2525</f>
        <v/>
      </c>
      <c r="P2525">
        <f>IF(B2548=0,0,O2525/B2548)</f>
        <v/>
      </c>
      <c r="Q2525" t="n">
        <v>0</v>
      </c>
      <c r="R2525" t="n">
        <v>0</v>
      </c>
      <c r="S2525">
        <f>IFERROR(O2525/N2525,0)</f>
        <v/>
      </c>
      <c r="T2525" t="n">
        <v>0</v>
      </c>
      <c r="V2525" t="n">
        <v>0</v>
      </c>
    </row>
    <row r="2526">
      <c r="A2526">
        <f>Skills!A15</f>
        <v/>
      </c>
      <c r="B2526">
        <f>Skills!B15</f>
        <v/>
      </c>
      <c r="C2526">
        <f>Inputs!$B$3&gt;=75</f>
        <v/>
      </c>
      <c r="D2526">
        <f>IF(Skills!C15=1,60+Inputs!$B$25+Inputs!$B$29,IF(Skills!C15=2,90+Inputs!$B$26+Inputs!$B$29,IF(Skills!C15=3,120+Inputs!$B$27+Inputs!$B$29,MAX(0,(Inputs!$B$3-100)*3)+Inputs!$B$28+Inputs!$B$29)))</f>
        <v/>
      </c>
      <c r="E2526">
        <f>INDEX(FactorTable!$B$2:$Y$301, MATCH(ROUND(MIN(300,MAX(1,D2526)),0), FactorTable!$A$2:$A$301,0), Skills!M15+1)</f>
        <v/>
      </c>
      <c r="F2526">
        <f>IF(Skills!N15=TRUE,(Skills!L15/10)*(E2526/1000),Skills!L15/10)+Skills!O15</f>
        <v/>
      </c>
      <c r="G2526">
        <f>Skills!G15*IF(Skills!H15&gt;0,Skills!I15/Skills!H15,1)</f>
        <v/>
      </c>
      <c r="H2526">
        <f>1-(1-Skills!J15/100)^Skills!K15</f>
        <v/>
      </c>
      <c r="I2526" t="inlineStr">
        <is>
          <t>1</t>
        </is>
      </c>
      <c r="J2526" t="inlineStr"/>
      <c r="K2526" t="inlineStr"/>
      <c r="L2526" t="inlineStr"/>
      <c r="M2526" t="inlineStr"/>
      <c r="N2526" t="inlineStr"/>
      <c r="O2526">
        <f>(1-Summary!$B$11)*T2526+Summary!$B$11*V2526</f>
        <v/>
      </c>
      <c r="P2526">
        <f>IF(B2548=0,0,O2526/B2548)</f>
        <v/>
      </c>
      <c r="Q2526">
        <f>IFERROR(1/(IF(Inputs!$B$38="pvp",15,MAX(0.1,Skills!D15-IF(Skills!E15=TRUE,Inputs!$B$32,0)))*(1-IF(AND(ArtifactsInput!$M$27,Inputs!$B$4="Chapter Hunt"),CHOOSE(ArtifactsInput!$N$27+1,20,24,28,32,36,40),0)/100)),0)</f>
        <v/>
      </c>
      <c r="R2526">
        <f>IF(AND(Inputs!$B$38&lt;&gt;"pvp",Inputs!$B$43&gt;0),IF(Inputs!$B$43&lt;=0,0,(INT(Inputs!$B$43/(IF(Inputs!$B$38="pvp",15,MAX(0.1,Skills!D15-IF(Skills!E15=TRUE,Inputs!$B$32,0)))*(1-IF(AND(ArtifactsInput!$M$27,Inputs!$B$4="Chapter Hunt"),CHOOSE(ArtifactsInput!$N$27+1,20,24,28,32,36,40),0)/100)))+1)),0)</f>
        <v/>
      </c>
      <c r="S2526">
        <f>IFERROR(O2526/N2526,0)</f>
        <v/>
      </c>
      <c r="T2526" t="n">
        <v>0</v>
      </c>
      <c r="V2526" t="n">
        <v>0</v>
      </c>
    </row>
    <row r="2527">
      <c r="A2527">
        <f>Skills!A16</f>
        <v/>
      </c>
      <c r="B2527">
        <f>Skills!B16</f>
        <v/>
      </c>
      <c r="C2527">
        <f>Inputs!$B$3&gt;=105</f>
        <v/>
      </c>
      <c r="D2527">
        <f>IF(Skills!C16=1,60+Inputs!$B$25+Inputs!$B$29,IF(Skills!C16=2,90+Inputs!$B$26+Inputs!$B$29,IF(Skills!C16=3,120+Inputs!$B$27+Inputs!$B$29,MAX(0,(Inputs!$B$3-100)*3)+Inputs!$B$28+Inputs!$B$29)))</f>
        <v/>
      </c>
      <c r="E2527">
        <f>INDEX(FactorTable!$B$2:$Y$301, MATCH(ROUND(MIN(300,MAX(1,D2527)),0), FactorTable!$A$2:$A$301,0), Skills!M16+1)</f>
        <v/>
      </c>
      <c r="F2527">
        <f>IF(Skills!N16=TRUE,(Skills!L16/10)*(E2527/1000),Skills!L16/10)+Skills!O16</f>
        <v/>
      </c>
      <c r="G2527">
        <f>Skills!G16*IF(Skills!H16&gt;0,Skills!I16/Skills!H16,1)</f>
        <v/>
      </c>
      <c r="H2527">
        <f>1-(1-Skills!J16/100)^Skills!K16</f>
        <v/>
      </c>
      <c r="I2527" t="inlineStr">
        <is>
          <t>1</t>
        </is>
      </c>
      <c r="J2527" t="inlineStr"/>
      <c r="K2527" t="inlineStr"/>
      <c r="L2527" t="inlineStr"/>
      <c r="M2527" t="inlineStr"/>
      <c r="N2527" t="inlineStr"/>
      <c r="O2527">
        <f>(1-Summary!$B$11)*T2527+Summary!$B$11*V2527</f>
        <v/>
      </c>
      <c r="P2527">
        <f>IF(B2548=0,0,O2527/B2548)</f>
        <v/>
      </c>
      <c r="Q2527">
        <f>IFERROR(1/(IF(Inputs!$B$38="pvp",15,MAX(0.1,Skills!D16-IF(Skills!E16=TRUE,Inputs!$B$32,0)))*(1-IF(AND(ArtifactsInput!$M$27,Inputs!$B$4="Chapter Hunt"),CHOOSE(ArtifactsInput!$N$27+1,20,24,28,32,36,40),0)/100)),0)</f>
        <v/>
      </c>
      <c r="R2527">
        <f>IF(AND(Inputs!$B$38&lt;&gt;"pvp",Inputs!$B$43&gt;0),IF(Inputs!$B$43&lt;=0,0,(INT(Inputs!$B$43/(IF(Inputs!$B$38="pvp",15,MAX(0.1,Skills!D16-IF(Skills!E16=TRUE,Inputs!$B$32,0)))*(1-IF(AND(ArtifactsInput!$M$27,Inputs!$B$4="Chapter Hunt"),CHOOSE(ArtifactsInput!$N$27+1,20,24,28,32,36,40),0)/100)))+1)),0)</f>
        <v/>
      </c>
      <c r="S2527">
        <f>IFERROR(O2527/N2527,0)</f>
        <v/>
      </c>
      <c r="T2527" t="n">
        <v>0</v>
      </c>
      <c r="V2527" t="n">
        <v>0</v>
      </c>
    </row>
    <row r="2528">
      <c r="A2528">
        <f>Skills!A17</f>
        <v/>
      </c>
      <c r="B2528">
        <f>Skills!B17</f>
        <v/>
      </c>
      <c r="C2528">
        <f>Inputs!$B$3&gt;=115</f>
        <v/>
      </c>
      <c r="D2528">
        <f>IF(Skills!C17=1,60+Inputs!$B$25+Inputs!$B$29,IF(Skills!C17=2,90+Inputs!$B$26+Inputs!$B$29,IF(Skills!C17=3,120+Inputs!$B$27+Inputs!$B$29,MAX(0,(Inputs!$B$3-100)*3)+Inputs!$B$28+Inputs!$B$29)))</f>
        <v/>
      </c>
      <c r="E2528">
        <f>INDEX(FactorTable!$B$2:$Y$301, MATCH(ROUND(MIN(300,MAX(1,D2528)),0), FactorTable!$A$2:$A$301,0), Skills!M17+1)</f>
        <v/>
      </c>
      <c r="F2528">
        <f>IF(Skills!N17=TRUE,(Skills!L17/10)*(E2528/1000),Skills!L17/10)+Skills!O17</f>
        <v/>
      </c>
      <c r="G2528">
        <f>Skills!G17*IF(Skills!H17&gt;0,Skills!I17/Skills!H17,1)</f>
        <v/>
      </c>
      <c r="H2528">
        <f>1-(1-Skills!J17/100)^Skills!K17</f>
        <v/>
      </c>
      <c r="I2528" t="inlineStr">
        <is>
          <t>1</t>
        </is>
      </c>
      <c r="J2528" t="inlineStr"/>
      <c r="K2528" t="inlineStr"/>
      <c r="L2528" t="inlineStr"/>
      <c r="M2528" t="inlineStr"/>
      <c r="N2528" t="inlineStr"/>
      <c r="O2528">
        <f>(1-Summary!$B$11)*T2528+Summary!$B$11*V2528</f>
        <v/>
      </c>
      <c r="P2528">
        <f>IF(B2548=0,0,O2528/B2548)</f>
        <v/>
      </c>
      <c r="Q2528">
        <f>IFERROR(1/(IF(Inputs!$B$38="pvp",15,MAX(0.1,Skills!D17-IF(Skills!E17=TRUE,Inputs!$B$32,0)))*(1-IF(AND(ArtifactsInput!$M$27,Inputs!$B$4="Chapter Hunt"),CHOOSE(ArtifactsInput!$N$27+1,20,24,28,32,36,40),0)/100)),0)</f>
        <v/>
      </c>
      <c r="R2528">
        <f>IF(AND(Inputs!$B$38&lt;&gt;"pvp",Inputs!$B$43&gt;0),IF(Inputs!$B$43&lt;=0,0,(INT(Inputs!$B$43/(IF(Inputs!$B$38="pvp",15,MAX(0.1,Skills!D17-IF(Skills!E17=TRUE,Inputs!$B$32,0)))*(1-IF(AND(ArtifactsInput!$M$27,Inputs!$B$4="Chapter Hunt"),CHOOSE(ArtifactsInput!$N$27+1,20,24,28,32,36,40),0)/100)))+1)),0)</f>
        <v/>
      </c>
      <c r="S2528">
        <f>IFERROR(O2528/N2528,0)</f>
        <v/>
      </c>
      <c r="T2528" t="n">
        <v>0</v>
      </c>
      <c r="V2528" t="n">
        <v>0</v>
      </c>
    </row>
    <row r="2529">
      <c r="A2529">
        <f>Skills!A18</f>
        <v/>
      </c>
      <c r="B2529">
        <f>Skills!B18</f>
        <v/>
      </c>
      <c r="C2529">
        <f>Inputs!$B$3&gt;=74</f>
        <v/>
      </c>
      <c r="D2529">
        <f>IF(Skills!C18=1,60+Inputs!$B$25+Inputs!$B$29,IF(Skills!C18=2,90+Inputs!$B$26+Inputs!$B$29,IF(Skills!C18=3,120+Inputs!$B$27+Inputs!$B$29,MAX(0,(Inputs!$B$3-100)*3)+Inputs!$B$28+Inputs!$B$29)))</f>
        <v/>
      </c>
      <c r="E2529">
        <f>INDEX(FactorTable!$B$2:$Y$301, MATCH(ROUND(MIN(300,MAX(1,D2529)),0), FactorTable!$A$2:$A$301,0), Skills!M18+1)</f>
        <v/>
      </c>
      <c r="F2529">
        <f>IF(Skills!N18=TRUE,(Skills!L18/10)*(E2529/1000),Skills!L18/10)+Skills!O18</f>
        <v/>
      </c>
      <c r="G2529">
        <f>Skills!G18*IF(Skills!H18&gt;0,Skills!I18/Skills!H18,1)</f>
        <v/>
      </c>
      <c r="H2529">
        <f>1-(1-Skills!J18/100)^Skills!K18</f>
        <v/>
      </c>
      <c r="I2529" t="inlineStr">
        <is>
          <t>1</t>
        </is>
      </c>
      <c r="J2529" t="inlineStr"/>
      <c r="K2529" t="inlineStr"/>
      <c r="L2529" t="inlineStr"/>
      <c r="M2529" t="inlineStr"/>
      <c r="N2529" t="inlineStr"/>
      <c r="O2529">
        <f>(1-Summary!$B$11)*T2529+Summary!$B$11*V2529</f>
        <v/>
      </c>
      <c r="P2529">
        <f>IF(B2548=0,0,O2529/B2548)</f>
        <v/>
      </c>
      <c r="Q2529">
        <f>IFERROR(1/(IF(Inputs!$B$38="pvp",15,MAX(0.1,Skills!D18-IF(Skills!E18=TRUE,Inputs!$B$32,0)))*(1-IF(AND(ArtifactsInput!$M$27,Inputs!$B$4="Chapter Hunt"),CHOOSE(ArtifactsInput!$N$27+1,20,24,28,32,36,40),0)/100)),0)</f>
        <v/>
      </c>
      <c r="R2529">
        <f>IF(AND(Inputs!$B$38&lt;&gt;"pvp",Inputs!$B$43&gt;0),IF(Inputs!$B$43&lt;=0,0,(INT(Inputs!$B$43/(IF(Inputs!$B$38="pvp",15,MAX(0.1,Skills!D18-IF(Skills!E18=TRUE,Inputs!$B$32,0)))*(1-IF(AND(ArtifactsInput!$M$27,Inputs!$B$4="Chapter Hunt"),CHOOSE(ArtifactsInput!$N$27+1,20,24,28,32,36,40),0)/100)))+1)),0)</f>
        <v/>
      </c>
      <c r="S2529">
        <f>IFERROR(O2529/N2529,0)</f>
        <v/>
      </c>
      <c r="T2529" t="n">
        <v>0</v>
      </c>
      <c r="V2529" t="n">
        <v>0</v>
      </c>
    </row>
    <row r="2530">
      <c r="A2530">
        <f>Skills!A19</f>
        <v/>
      </c>
      <c r="B2530">
        <f>Skills!B19</f>
        <v/>
      </c>
      <c r="C2530">
        <f>TRUE</f>
        <v/>
      </c>
      <c r="D2530">
        <f>IF(Skills!C19=1,60+Inputs!$B$25+Inputs!$B$29,IF(Skills!C19=2,90+Inputs!$B$26+Inputs!$B$29,IF(Skills!C19=3,120+Inputs!$B$27+Inputs!$B$29,MAX(0,(Inputs!$B$3-100)*3)+Inputs!$B$28+Inputs!$B$29)))</f>
        <v/>
      </c>
      <c r="E2530">
        <f>INDEX(FactorTable!$B$2:$Y$301, MATCH(ROUND(MIN(300,MAX(1,D2530)),0), FactorTable!$A$2:$A$301,0), Skills!M19+1)</f>
        <v/>
      </c>
      <c r="F2530">
        <f>IF(Skills!N19=TRUE,(Skills!L19/10)*(E2530/1000),Skills!L19/10)+Skills!O19</f>
        <v/>
      </c>
      <c r="G2530">
        <f>Skills!G19*IF(Skills!H19&gt;0,Skills!I19/Skills!H19,1)</f>
        <v/>
      </c>
      <c r="H2530">
        <f>1-(1-Skills!J19/100)^Skills!K19</f>
        <v/>
      </c>
      <c r="I2530" t="inlineStr">
        <is>
          <t>1</t>
        </is>
      </c>
      <c r="J2530" t="inlineStr"/>
      <c r="K2530" t="inlineStr"/>
      <c r="L2530" t="inlineStr"/>
      <c r="M2530" t="inlineStr"/>
      <c r="N2530" t="inlineStr"/>
      <c r="O2530">
        <f>(1-Summary!$B$11)*T2530+Summary!$B$11*V2530</f>
        <v/>
      </c>
      <c r="P2530">
        <f>IF(B2548=0,0,O2530/B2548)</f>
        <v/>
      </c>
      <c r="Q2530">
        <f>IFERROR(1/(IF(Inputs!$B$38="pvp",15,MAX(0.1,Skills!D19-IF(Skills!E19=TRUE,Inputs!$B$32,0)))*(1-IF(AND(ArtifactsInput!$M$27,Inputs!$B$4="Chapter Hunt"),CHOOSE(ArtifactsInput!$N$27+1,20,24,28,32,36,40),0)/100)),0)</f>
        <v/>
      </c>
      <c r="R2530">
        <f>IF(AND(Inputs!$B$38&lt;&gt;"pvp",Inputs!$B$43&gt;0),IF(Inputs!$B$43&lt;=0,0,(INT(Inputs!$B$43/(IF(Inputs!$B$38="pvp",15,MAX(0.1,Skills!D19-IF(Skills!E19=TRUE,Inputs!$B$32,0)))*(1-IF(AND(ArtifactsInput!$M$27,Inputs!$B$4="Chapter Hunt"),CHOOSE(ArtifactsInput!$N$27+1,20,24,28,32,36,40),0)/100)))+1)),0)</f>
        <v/>
      </c>
      <c r="S2530">
        <f>IFERROR(O2530/N2530,0)</f>
        <v/>
      </c>
      <c r="T2530" t="n">
        <v>0</v>
      </c>
      <c r="V2530" t="n">
        <v>0</v>
      </c>
    </row>
    <row r="2531">
      <c r="A2531">
        <f>Skills!A20</f>
        <v/>
      </c>
      <c r="B2531">
        <f>Skills!B20</f>
        <v/>
      </c>
      <c r="C2531">
        <f>Inputs!$B$3&gt;=33</f>
        <v/>
      </c>
      <c r="D2531">
        <f>IF(Skills!C20=1,60+Inputs!$B$25+Inputs!$B$29,IF(Skills!C20=2,90+Inputs!$B$26+Inputs!$B$29,IF(Skills!C20=3,120+Inputs!$B$27+Inputs!$B$29,MAX(0,(Inputs!$B$3-100)*3)+Inputs!$B$28+Inputs!$B$29)))</f>
        <v/>
      </c>
      <c r="E2531">
        <f>INDEX(FactorTable!$B$2:$Y$301, MATCH(ROUND(MIN(300,MAX(1,D2531)),0), FactorTable!$A$2:$A$301,0), Skills!M20+1)</f>
        <v/>
      </c>
      <c r="F2531">
        <f>IF(Skills!N20=TRUE,(Skills!L20/10)*(E2531/1000),Skills!L20/10)+Skills!O20</f>
        <v/>
      </c>
      <c r="G2531">
        <f>Skills!G20*IF(Skills!H20&gt;0,Skills!I20/Skills!H20,1)</f>
        <v/>
      </c>
      <c r="H2531">
        <f>1-(1-Skills!J20/100)^Skills!K20</f>
        <v/>
      </c>
      <c r="I2531" t="inlineStr">
        <is>
          <t>1</t>
        </is>
      </c>
      <c r="J2531" t="inlineStr"/>
      <c r="K2531" t="inlineStr"/>
      <c r="L2531" t="inlineStr"/>
      <c r="M2531" t="inlineStr"/>
      <c r="N2531" t="inlineStr"/>
      <c r="O2531">
        <f>(1-Summary!$B$11)*T2531+Summary!$B$11*V2531</f>
        <v/>
      </c>
      <c r="P2531">
        <f>IF(B2548=0,0,O2531/B2548)</f>
        <v/>
      </c>
      <c r="Q2531" t="n">
        <v>0</v>
      </c>
      <c r="R2531" t="n">
        <v>0</v>
      </c>
      <c r="S2531">
        <f>IFERROR(O2531/N2531,0)</f>
        <v/>
      </c>
      <c r="T2531" t="n">
        <v>0</v>
      </c>
      <c r="V2531" t="n">
        <v>0</v>
      </c>
    </row>
    <row r="2532">
      <c r="A2532">
        <f>Skills!A21</f>
        <v/>
      </c>
      <c r="B2532">
        <f>Skills!B21</f>
        <v/>
      </c>
      <c r="C2532">
        <f>Inputs!$B$3&gt;=38</f>
        <v/>
      </c>
      <c r="D2532">
        <f>IF(Skills!C21=1,60+Inputs!$B$25+Inputs!$B$29,IF(Skills!C21=2,90+Inputs!$B$26+Inputs!$B$29,IF(Skills!C21=3,120+Inputs!$B$27+Inputs!$B$29,MAX(0,(Inputs!$B$3-100)*3)+Inputs!$B$28+Inputs!$B$29)))</f>
        <v/>
      </c>
      <c r="E2532">
        <f>INDEX(FactorTable!$B$2:$Y$301, MATCH(ROUND(MIN(300,MAX(1,D2532)),0), FactorTable!$A$2:$A$301,0), Skills!M21+1)</f>
        <v/>
      </c>
      <c r="F2532">
        <f>IF(Skills!N21=TRUE,(Skills!L21/10)*(E2532/1000),Skills!L21/10)+Skills!O21</f>
        <v/>
      </c>
      <c r="G2532">
        <f>Skills!G21*IF(Skills!H21&gt;0,Skills!I21/Skills!H21,1)</f>
        <v/>
      </c>
      <c r="H2532">
        <f>1-(1-Skills!J21/100)^Skills!K21</f>
        <v/>
      </c>
      <c r="I2532" t="inlineStr">
        <is>
          <t>1</t>
        </is>
      </c>
      <c r="J2532" t="inlineStr"/>
      <c r="K2532" t="inlineStr"/>
      <c r="L2532" t="inlineStr"/>
      <c r="M2532" t="inlineStr"/>
      <c r="N2532" t="inlineStr"/>
      <c r="O2532">
        <f>(1-Summary!$B$11)*T2532+Summary!$B$11*V2532</f>
        <v/>
      </c>
      <c r="P2532">
        <f>IF(B2548=0,0,O2532/B2548)</f>
        <v/>
      </c>
      <c r="Q2532" t="n">
        <v>0</v>
      </c>
      <c r="R2532" t="n">
        <v>0</v>
      </c>
      <c r="S2532">
        <f>IFERROR(O2532/N2532,0)</f>
        <v/>
      </c>
      <c r="T2532" t="n">
        <v>0</v>
      </c>
      <c r="V2532" t="n">
        <v>0</v>
      </c>
    </row>
    <row r="2533">
      <c r="A2533">
        <f>Skills!A22</f>
        <v/>
      </c>
      <c r="B2533">
        <f>Skills!B22</f>
        <v/>
      </c>
      <c r="C2533">
        <f>Inputs!$B$3&gt;=43</f>
        <v/>
      </c>
      <c r="D2533">
        <f>IF(Skills!C22=1,60+Inputs!$B$25+Inputs!$B$29,IF(Skills!C22=2,90+Inputs!$B$26+Inputs!$B$29,IF(Skills!C22=3,120+Inputs!$B$27+Inputs!$B$29,MAX(0,(Inputs!$B$3-100)*3)+Inputs!$B$28+Inputs!$B$29)))</f>
        <v/>
      </c>
      <c r="E2533">
        <f>INDEX(FactorTable!$B$2:$Y$301, MATCH(ROUND(MIN(300,MAX(1,D2533)),0), FactorTable!$A$2:$A$301,0), Skills!M22+1)</f>
        <v/>
      </c>
      <c r="F2533">
        <f>IF(Skills!N22=TRUE,(Skills!L22/10)*(E2533/1000),Skills!L22/10)+Skills!O22</f>
        <v/>
      </c>
      <c r="G2533">
        <f>Skills!G22*IF(Skills!H22&gt;0,Skills!I22/Skills!H22,1)</f>
        <v/>
      </c>
      <c r="H2533">
        <f>1-(1-Skills!J22/100)^Skills!K22</f>
        <v/>
      </c>
      <c r="I2533" t="inlineStr">
        <is>
          <t>1</t>
        </is>
      </c>
      <c r="J2533" t="inlineStr"/>
      <c r="K2533" t="inlineStr"/>
      <c r="L2533" t="inlineStr"/>
      <c r="M2533" t="inlineStr"/>
      <c r="N2533" t="inlineStr"/>
      <c r="O2533">
        <f>(1-Summary!$B$11)*T2533+Summary!$B$11*V2533</f>
        <v/>
      </c>
      <c r="P2533">
        <f>IF(B2548=0,0,O2533/B2548)</f>
        <v/>
      </c>
      <c r="Q2533" t="n">
        <v>0</v>
      </c>
      <c r="R2533" t="n">
        <v>0</v>
      </c>
      <c r="S2533">
        <f>IFERROR(O2533/N2533,0)</f>
        <v/>
      </c>
      <c r="T2533" t="n">
        <v>0</v>
      </c>
      <c r="V2533" t="n">
        <v>0</v>
      </c>
    </row>
    <row r="2534">
      <c r="A2534">
        <f>Skills!A23</f>
        <v/>
      </c>
      <c r="B2534">
        <f>Skills!B23</f>
        <v/>
      </c>
      <c r="C2534">
        <f>Inputs!$B$3&gt;=120</f>
        <v/>
      </c>
      <c r="D2534">
        <f>IF(Skills!C23=1,60+Inputs!$B$25+Inputs!$B$29,IF(Skills!C23=2,90+Inputs!$B$26+Inputs!$B$29,IF(Skills!C23=3,120+Inputs!$B$27+Inputs!$B$29,MAX(0,(Inputs!$B$3-100)*3)+Inputs!$B$28+Inputs!$B$29)))</f>
        <v/>
      </c>
      <c r="E2534">
        <f>INDEX(FactorTable!$B$2:$Y$301, MATCH(ROUND(MIN(300,MAX(1,D2534)),0), FactorTable!$A$2:$A$301,0), Skills!M23+1)</f>
        <v/>
      </c>
      <c r="F2534">
        <f>IF(Skills!N23=TRUE,(Skills!L23/10)*(E2534/1000),Skills!L23/10)+Skills!O23</f>
        <v/>
      </c>
      <c r="G2534">
        <f>Skills!G23*IF(Skills!H23&gt;0,Skills!I23/Skills!H23,1)</f>
        <v/>
      </c>
      <c r="H2534">
        <f>1-(1-Skills!J23/100)^Skills!K23</f>
        <v/>
      </c>
      <c r="I2534" t="inlineStr">
        <is>
          <t>1</t>
        </is>
      </c>
      <c r="J2534" t="inlineStr"/>
      <c r="K2534" t="inlineStr"/>
      <c r="L2534" t="inlineStr"/>
      <c r="M2534" t="inlineStr"/>
      <c r="N2534" t="inlineStr"/>
      <c r="O2534">
        <f>(1-Summary!$B$11)*T2534+Summary!$B$11*V2534</f>
        <v/>
      </c>
      <c r="P2534">
        <f>IF(B2548=0,0,O2534/B2548)</f>
        <v/>
      </c>
      <c r="Q2534" t="n">
        <v>0</v>
      </c>
      <c r="R2534" t="n">
        <v>0</v>
      </c>
      <c r="S2534">
        <f>IFERROR(O2534/N2534,0)</f>
        <v/>
      </c>
      <c r="T2534" t="n">
        <v>0</v>
      </c>
      <c r="V2534" t="n">
        <v>0</v>
      </c>
    </row>
    <row r="2535">
      <c r="A2535">
        <f>Skills!A24</f>
        <v/>
      </c>
      <c r="B2535">
        <f>Skills!B24</f>
        <v/>
      </c>
      <c r="C2535">
        <f>Inputs!$B$3&gt;=120</f>
        <v/>
      </c>
      <c r="D2535">
        <f>IF(Skills!C24=1,60+Inputs!$B$25+Inputs!$B$29,IF(Skills!C24=2,90+Inputs!$B$26+Inputs!$B$29,IF(Skills!C24=3,120+Inputs!$B$27+Inputs!$B$29,MAX(0,(Inputs!$B$3-100)*3)+Inputs!$B$28+Inputs!$B$29)))</f>
        <v/>
      </c>
      <c r="E2535">
        <f>INDEX(FactorTable!$B$2:$Y$301, MATCH(ROUND(MIN(300,MAX(1,D2535)),0), FactorTable!$A$2:$A$301,0), Skills!M24+1)</f>
        <v/>
      </c>
      <c r="F2535">
        <f>IF(Skills!N24=TRUE,(Skills!L24/10)*(E2535/1000),Skills!L24/10)+Skills!O24</f>
        <v/>
      </c>
      <c r="G2535">
        <f>Skills!G24*IF(Skills!H24&gt;0,Skills!I24/Skills!H24,1)</f>
        <v/>
      </c>
      <c r="H2535">
        <f>1-(1-Skills!J24/100)^Skills!K24</f>
        <v/>
      </c>
      <c r="I2535" t="inlineStr">
        <is>
          <t>1</t>
        </is>
      </c>
      <c r="J2535" t="inlineStr"/>
      <c r="K2535" t="inlineStr"/>
      <c r="L2535" t="inlineStr"/>
      <c r="M2535" t="inlineStr"/>
      <c r="N2535" t="inlineStr"/>
      <c r="O2535">
        <f>(1-Summary!$B$11)*T2535+Summary!$B$11*V2535</f>
        <v/>
      </c>
      <c r="P2535">
        <f>IF(B2548=0,0,O2535/B2548)</f>
        <v/>
      </c>
      <c r="Q2535" t="n">
        <v>0</v>
      </c>
      <c r="R2535" t="n">
        <v>0</v>
      </c>
      <c r="S2535">
        <f>IFERROR(O2535/N2535,0)</f>
        <v/>
      </c>
      <c r="T2535" t="n">
        <v>0</v>
      </c>
      <c r="V2535" t="n">
        <v>0</v>
      </c>
    </row>
    <row r="2537">
      <c r="A2537" t="inlineStr">
        <is>
          <t>Attack% Bucket Multiplier</t>
        </is>
      </c>
      <c r="B2537">
        <f>(1+(((C2524=TRUE)*F2524*MIN(1,Skills!T13*(Skills!J13/100)*B2542))+((C2529=TRUE)*F2529*IF(AND(Inputs!$B$38&lt;&gt;"pvp",Inputs!$B$43&gt;0),(((R2529-1)*(Skills!T18*(1+Inputs!$B$34/100))+MIN((Skills!T18*(1+Inputs!$B$34/100)),MAX(0,Inputs!$B$43-((R2529-1)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38">
      <c r="A2538" t="inlineStr">
        <is>
          <t>Global Crit Rate Bonus %</t>
        </is>
      </c>
      <c r="B2538" t="n">
        <v>0</v>
      </c>
    </row>
    <row r="2539">
      <c r="A2539" t="inlineStr">
        <is>
          <t>Attack Speed Buff Bonus %</t>
        </is>
      </c>
      <c r="B2539">
        <f>((C2530=TRUE)*F2530*IF(AND(Inputs!$B$38&lt;&gt;"pvp",Inputs!$B$43&gt;0),(((R2530-1)*(Skills!T19*(1+Inputs!$B$34/100))+MIN((Skills!T19*(1+Inputs!$B$34/100)),MAX(0,Inputs!$B$43-((R2530-1)*Skills!D19))))/Inputs!$B$43),IF(Inputs!$B$38="pvp",MIN((Skills!T19*(1+Inputs!$B$34/100)),15)/15,(Skills!T19*(1+Inputs!$B$34/100))/Skills!D19)))</f>
        <v/>
      </c>
    </row>
    <row r="2540">
      <c r="A2540" t="inlineStr">
        <is>
          <t>Actions Per Second</t>
        </is>
      </c>
      <c r="B2540">
        <f>1+MIN(150,150*(1-(1-(Inputs!$B$11+((C2531=TRUE)*(F2531-Calc!F20)))/150)*(1-B2539/150)))/100</f>
        <v/>
      </c>
    </row>
    <row r="2541">
      <c r="A2541" t="inlineStr">
        <is>
          <t>Skill + Buff Cast Rate</t>
        </is>
      </c>
      <c r="B2541">
        <f>IF(AND(Inputs!$B$38&lt;&gt;"pvp",Inputs!$B$43&gt;0),SUMPRODUCT((Skills!E2:E24=TRUE)*(C2513:C2535=TRUE)*R2513:R2535*Skills!F2:F24)/Inputs!$B$43,SUMPRODUCT((Skills!E2:E24=TRUE)*(C2513:C2535=TRUE)*Q2513:Q2535*Skills!F2:F24))</f>
        <v/>
      </c>
    </row>
    <row r="2542">
      <c r="A2542" t="inlineStr">
        <is>
          <t>Blast Casts Per Second</t>
        </is>
      </c>
      <c r="B2542">
        <f>MAX(0,B2540-B2541)</f>
        <v/>
      </c>
    </row>
    <row r="2543">
      <c r="A2543" t="inlineStr">
        <is>
          <t>Global Critical Damage Bonus % (unused)</t>
        </is>
      </c>
      <c r="B2543" t="n">
        <v>0</v>
      </c>
    </row>
    <row r="2544">
      <c r="A2544" t="inlineStr">
        <is>
          <t>Global Final Damage Bonus % (Divine Shield + Guardian + Divine Blessing + Greater Vessel of Light)</t>
        </is>
      </c>
      <c r="B2544">
        <f>((C2526=TRUE)*F2526*IF(AND(Inputs!$B$38&lt;&gt;"pvp",Inputs!$B$43&gt;0),(((R2526-1)*(Skills!T15*(1+Inputs!$B$34/100))+MIN((Skills!T15*(1+Inputs!$B$34/100)),MAX(0,Inputs!$B$43-((R2526-1)*Skills!D15))))/Inputs!$B$43),IF(Inputs!$B$38="pvp",MIN((Skills!T15*(1+Inputs!$B$34/100)),15)/15,(Skills!T15*(1+Inputs!$B$34/100))/Skills!D15)))+((C2527=TRUE)*F2527*IF(AND(Inputs!$B$38&lt;&gt;"pvp",Inputs!$B$43&gt;0),(((R2527-1)*(Skills!T16*(1+Inputs!$B$34/100))+MIN((Skills!T16*(1+Inputs!$B$34/100)),MAX(0,Inputs!$B$43-((R2527-1)*Skills!D16))))/Inputs!$B$43),IF(Inputs!$B$38="pvp",MIN((Skills!T16*(1+Inputs!$B$34/100)),15)/15,(Skills!T16*(1+Inputs!$B$34/100))/Skills!D16)))+((C2528=TRUE)*F2528*IF(AND(Inputs!$B$38&lt;&gt;"pvp",Inputs!$B$43&gt;0),(((R2528-1)*(Skills!T17*(1+Inputs!$B$34/100))+MIN((Skills!T17*(1+Inputs!$B$34/100)),MAX(0,Inputs!$B$43-((R2528-1)*Skills!D17))))/Inputs!$B$43),IF(Inputs!$B$38="pvp",MIN((Skills!T17*(1+Inputs!$B$34/100)),15)/15,(Skills!T17*(1+Inputs!$B$34/100))/Skills!D17)))+((C2525=TRUE)*F2525*MIN(1,Skills!T13*(Skills!J13/100)*B2542))</f>
        <v/>
      </c>
    </row>
    <row r="2545">
      <c r="A2545" t="inlineStr">
        <is>
          <t>Buff-Casting Startup Delay (s, fixed-duration only)</t>
        </is>
      </c>
      <c r="B2545">
        <f>IF(AND(Inputs!$B$38&lt;&gt;"pvp",Inputs!$B$43&gt;0),SUMPRODUCT((Skills!T2:T24&gt;0)*(Skills!E2:E24=TRUE)*(C2513:C2535=TRUE))/B2540,0)</f>
        <v/>
      </c>
    </row>
    <row r="2546">
      <c r="A2546" t="inlineStr">
        <is>
          <t>Boss-Only Total DPS (this block's swept value)</t>
        </is>
      </c>
      <c r="B2546">
        <f>SUM(T2513:T2535)</f>
        <v/>
      </c>
    </row>
    <row r="2547">
      <c r="A2547" t="inlineStr">
        <is>
          <t>Normal-Only Total DPS (this block's swept value)</t>
        </is>
      </c>
      <c r="B2547">
        <f>SUM(V2513:V2535)</f>
        <v/>
      </c>
    </row>
    <row r="2548">
      <c r="A2548" s="6" t="inlineStr">
        <is>
          <t>TOTAL DPS</t>
        </is>
      </c>
      <c r="B2548" s="6">
        <f>SUM(O2513:O2535)</f>
        <v/>
      </c>
    </row>
    <row r="2551">
      <c r="A2551" s="9" t="inlineStr">
        <is>
          <t>Cooldown Reduction Milestone Sweep (absolute CDR seconds, fixed-duration content only)</t>
        </is>
      </c>
    </row>
    <row r="2552">
      <c r="A2552" s="5" t="inlineStr">
        <is>
          <t>CDR (s)</t>
        </is>
      </c>
      <c r="B2552" s="5" t="inlineStr">
        <is>
          <t>Total DPS</t>
        </is>
      </c>
      <c r="C2552" s="5" t="inlineStr">
        <is>
          <t>DPS Gain (vs prior step)</t>
        </is>
      </c>
      <c r="D2552" s="5" t="inlineStr">
        <is>
          <t>% Gain (vs current CDR)</t>
        </is>
      </c>
    </row>
    <row r="2553">
      <c r="A2553" t="n">
        <v>0.5</v>
      </c>
      <c r="B2553">
        <f>B2602</f>
        <v/>
      </c>
      <c r="C2553" t="n">
        <v>0</v>
      </c>
      <c r="D2553">
        <f>IF(Summary!$B$3=0,0,(B2553-Summary!$B$3)/Summary!$B$3*100)</f>
        <v/>
      </c>
    </row>
    <row r="2554">
      <c r="A2554" t="n">
        <v>1</v>
      </c>
      <c r="B2554">
        <f>B2642</f>
        <v/>
      </c>
      <c r="C2554">
        <f>B2554-B2553</f>
        <v/>
      </c>
      <c r="D2554">
        <f>IF(Summary!$B$3=0,0,(B2554-Summary!$B$3)/Summary!$B$3*100)</f>
        <v/>
      </c>
    </row>
    <row r="2555">
      <c r="A2555" t="n">
        <v>1.5</v>
      </c>
      <c r="B2555">
        <f>B2682</f>
        <v/>
      </c>
      <c r="C2555">
        <f>B2555-B2554</f>
        <v/>
      </c>
      <c r="D2555">
        <f>IF(Summary!$B$3=0,0,(B2555-Summary!$B$3)/Summary!$B$3*100)</f>
        <v/>
      </c>
    </row>
    <row r="2556">
      <c r="A2556" t="n">
        <v>2</v>
      </c>
      <c r="B2556">
        <f>B2722</f>
        <v/>
      </c>
      <c r="C2556">
        <f>B2556-B2555</f>
        <v/>
      </c>
      <c r="D2556">
        <f>IF(Summary!$B$3=0,0,(B2556-Summary!$B$3)/Summary!$B$3*100)</f>
        <v/>
      </c>
    </row>
    <row r="2557">
      <c r="A2557" t="n">
        <v>2.5</v>
      </c>
      <c r="B2557">
        <f>B2762</f>
        <v/>
      </c>
      <c r="C2557">
        <f>B2557-B2556</f>
        <v/>
      </c>
      <c r="D2557">
        <f>IF(Summary!$B$3=0,0,(B2557-Summary!$B$3)/Summary!$B$3*100)</f>
        <v/>
      </c>
    </row>
    <row r="2558">
      <c r="A2558" t="n">
        <v>3</v>
      </c>
      <c r="B2558">
        <f>B2802</f>
        <v/>
      </c>
      <c r="C2558">
        <f>B2558-B2557</f>
        <v/>
      </c>
      <c r="D2558">
        <f>IF(Summary!$B$3=0,0,(B2558-Summary!$B$3)/Summary!$B$3*100)</f>
        <v/>
      </c>
    </row>
    <row r="2559">
      <c r="A2559" t="n">
        <v>3.5</v>
      </c>
      <c r="B2559">
        <f>B2842</f>
        <v/>
      </c>
      <c r="C2559">
        <f>B2559-B2558</f>
        <v/>
      </c>
      <c r="D2559">
        <f>IF(Summary!$B$3=0,0,(B2559-Summary!$B$3)/Summary!$B$3*100)</f>
        <v/>
      </c>
    </row>
    <row r="2560">
      <c r="A2560" t="n">
        <v>4</v>
      </c>
      <c r="B2560">
        <f>B2882</f>
        <v/>
      </c>
      <c r="C2560">
        <f>B2560-B2559</f>
        <v/>
      </c>
      <c r="D2560">
        <f>IF(Summary!$B$3=0,0,(B2560-Summary!$B$3)/Summary!$B$3*100)</f>
        <v/>
      </c>
    </row>
    <row r="2561">
      <c r="A2561" t="n">
        <v>4.5</v>
      </c>
      <c r="B2561">
        <f>B2922</f>
        <v/>
      </c>
      <c r="C2561">
        <f>B2561-B2560</f>
        <v/>
      </c>
      <c r="D2561">
        <f>IF(Summary!$B$3=0,0,(B2561-Summary!$B$3)/Summary!$B$3*100)</f>
        <v/>
      </c>
    </row>
    <row r="2562">
      <c r="A2562" t="n">
        <v>5</v>
      </c>
      <c r="B2562">
        <f>B2962</f>
        <v/>
      </c>
      <c r="C2562">
        <f>B2562-B2561</f>
        <v/>
      </c>
      <c r="D2562">
        <f>IF(Summary!$B$3=0,0,(B2562-Summary!$B$3)/Summary!$B$3*100)</f>
        <v/>
      </c>
    </row>
    <row r="2565">
      <c r="A2565" s="6" t="inlineStr">
        <is>
          <t>Stat: CDR = 0.5s</t>
        </is>
      </c>
    </row>
    <row r="2566">
      <c r="A2566" s="5" t="inlineStr">
        <is>
          <t>Key</t>
        </is>
      </c>
      <c r="B2566" s="5" t="inlineStr">
        <is>
          <t>Name</t>
        </is>
      </c>
      <c r="C2566" s="5" t="inlineStr">
        <is>
          <t>Unlocked</t>
        </is>
      </c>
      <c r="D2566" s="5" t="inlineStr">
        <is>
          <t>InputLevel</t>
        </is>
      </c>
      <c r="E2566" s="5" t="inlineStr">
        <is>
          <t>Factor</t>
        </is>
      </c>
      <c r="F2566" s="5" t="inlineStr">
        <is>
          <t>CoefficientPercent</t>
        </is>
      </c>
      <c r="G2566" s="5" t="inlineStr">
        <is>
          <t>EffectiveHits</t>
        </is>
      </c>
      <c r="H2566" s="5" t="inlineStr">
        <is>
          <t>ProcProbability</t>
        </is>
      </c>
      <c r="I2566" s="5" t="inlineStr">
        <is>
          <t>MapleHeroMultiplier</t>
        </is>
      </c>
      <c r="J2566" s="5" t="inlineStr">
        <is>
          <t>BaseDamage</t>
        </is>
      </c>
      <c r="K2566" s="5" t="inlineStr">
        <is>
          <t>BaseHitDamage</t>
        </is>
      </c>
      <c r="L2566" s="5" t="inlineStr">
        <is>
          <t>NonCritAvg</t>
        </is>
      </c>
      <c r="M2566" s="5" t="inlineStr">
        <is>
          <t>CritAvg</t>
        </is>
      </c>
      <c r="N2566" s="5" t="inlineStr">
        <is>
          <t>ExpectedDamage(perHit)</t>
        </is>
      </c>
      <c r="O2566" s="5" t="inlineStr">
        <is>
          <t>DPS</t>
        </is>
      </c>
      <c r="P2566" s="5" t="inlineStr">
        <is>
          <t>% of Total</t>
        </is>
      </c>
      <c r="Q2566" s="5" t="inlineStr">
        <is>
          <t>InvCooldown</t>
        </is>
      </c>
      <c r="R2566" s="5" t="inlineStr">
        <is>
          <t>CastsInFight</t>
        </is>
      </c>
      <c r="S2566" s="5" t="inlineStr">
        <is>
          <t>HitRate(perSec)</t>
        </is>
      </c>
      <c r="U2566" t="inlineStr">
        <is>
          <t>helpers</t>
        </is>
      </c>
    </row>
    <row r="2567">
      <c r="A2567">
        <f>Skills!A2</f>
        <v/>
      </c>
      <c r="B2567">
        <f>Skills!B2</f>
        <v/>
      </c>
      <c r="C2567">
        <f>Inputs!$B$3&gt;=100</f>
        <v/>
      </c>
      <c r="D2567" t="inlineStr"/>
      <c r="E2567" t="inlineStr"/>
      <c r="F2567">
        <f>U2569+Skills!O2</f>
        <v/>
      </c>
      <c r="G2567">
        <f>Skills!G2*IF(Skills!H2&gt;0,Skills!I2/Skills!H2,1)</f>
        <v/>
      </c>
      <c r="H2567">
        <f>1-(1-Skills!J2/100)^Skills!K2</f>
        <v/>
      </c>
      <c r="I2567" t="inlineStr">
        <is>
          <t>1</t>
        </is>
      </c>
      <c r="J2567">
        <f>((Inputs!$B$6*(1+Inputs!$B$7/100))+(((Inputs!$B$12*(1+Inputs!$B$13/100))-(Inputs!$B$12*(1+Inputs!$B$13/100)))+0.25*(Inputs!$B$14-Inputs!$B$14))*(1+Inputs!$B$7/100))*(F2567/100)</f>
        <v/>
      </c>
      <c r="K2567">
        <f>J2567*(1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2567)</f>
        <v/>
      </c>
      <c r="L2567">
        <f>K2567*(MIN(Inputs!$B$22+((C2587=TRUE)*(F2587-Calc!F22)),(Inputs!$B$23+((C2589=TRUE)*(F2589-Calc!F24))+(IF(ArtifactsInput!$M$15,CHOOSE(ArtifactsInput!$N$15+1,25,30,35,40,45,50)/100*(Inputs!$B$11-Inputs!$B$11),0))))/100+(Inputs!$B$23+((C2589=TRUE)*(F2589-Calc!F24))+(IF(ArtifactsInput!$M$15,CHOOSE(ArtifactsInput!$N$15+1,25,30,35,40,45,50)/100*(Inputs!$B$11-Inputs!$B$11),0)))/100)/2</f>
        <v/>
      </c>
      <c r="M2567">
        <f>L2567*(1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7">
        <f>L2567*(1-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2567*(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7">
        <f>(1-Summary!$B$11)*T2567+Summary!$B$11*V2567</f>
        <v/>
      </c>
      <c r="P2567">
        <f>IF(B2602=0,0,O2567/B2602)</f>
        <v/>
      </c>
      <c r="Q2567" t="n">
        <v>0</v>
      </c>
      <c r="R2567" t="n">
        <v>0</v>
      </c>
      <c r="S2567">
        <f>IFERROR(O2567/N2567,0)</f>
        <v/>
      </c>
      <c r="T2567">
        <f>IF(C2567,(Skills!G2*N2567*B2596)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2567*(1-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2567*(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2567*(1-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2567*(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7">
        <f>MAX(0,(Inputs!$B$3-100)*3)+Inputs!$B$28+Inputs!$B$29</f>
        <v/>
      </c>
      <c r="V2567">
        <f>IF(C2567,(Skills!G2*N2567*B2596)*IF(Inputs!$B$38="pvp",1,(1+(Inputs!$B$21+Skills!Q2+(IF(ArtifactsInput!$M$33,CHOOSE(ArtifactsInput!$N$33+1,30,36,42,48,54,60),0))+(IF(AND(ArtifactsInput!$M$35,Inputs!$B$4&lt;&gt;"Chapter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68">
      <c r="A2568">
        <f>Skills!A3</f>
        <v/>
      </c>
      <c r="B2568">
        <f>Skills!B3</f>
        <v/>
      </c>
      <c r="C2568">
        <f>Inputs!$B$3&gt;=50</f>
        <v/>
      </c>
      <c r="D2568">
        <f>IF(Skills!C3=1,60+Inputs!$B$25+Inputs!$B$29,IF(Skills!C3=2,90+Inputs!$B$26+Inputs!$B$29,IF(Skills!C3=3,120+Inputs!$B$27+Inputs!$B$29,MAX(0,(Inputs!$B$3-100)*3)+Inputs!$B$28+Inputs!$B$29)))</f>
        <v/>
      </c>
      <c r="E2568">
        <f>INDEX(FactorTable!$B$2:$Y$301, MATCH(ROUND(MIN(300,MAX(1,D2568)),0), FactorTable!$A$2:$A$301,0), Skills!M3+1)</f>
        <v/>
      </c>
      <c r="F2568">
        <f>IF(Skills!N3=TRUE,(Skills!L3/10)*(E2568/1000),Skills!L3/10)+Skills!O3</f>
        <v/>
      </c>
      <c r="G2568" t="inlineStr"/>
      <c r="H2568" t="inlineStr"/>
      <c r="I2568" t="inlineStr">
        <is>
          <t>1</t>
        </is>
      </c>
      <c r="J2568" t="inlineStr"/>
      <c r="K2568" t="inlineStr"/>
      <c r="L2568" t="inlineStr"/>
      <c r="M2568" t="inlineStr"/>
      <c r="N2568" t="inlineStr"/>
      <c r="O2568" t="inlineStr"/>
      <c r="P2568" t="inlineStr"/>
      <c r="Q2568" t="inlineStr"/>
      <c r="R2568" t="inlineStr"/>
      <c r="S2568" t="inlineStr"/>
      <c r="U2568">
        <f>INDEX(FactorTable!$B$2:$Y$301, MATCH(ROUND(MIN(300,MAX(1,U2567)),0), FactorTable!$A$2:$A$301,0), 22)</f>
        <v/>
      </c>
    </row>
    <row r="2569">
      <c r="A2569">
        <f>Skills!A4</f>
        <v/>
      </c>
      <c r="B2569">
        <f>Skills!B4</f>
        <v/>
      </c>
      <c r="C2569">
        <f>Inputs!$B$3&gt;=35</f>
        <v/>
      </c>
      <c r="D2569">
        <f>IF(Skills!C4=1,60+Inputs!$B$25+Inputs!$B$29,IF(Skills!C4=2,90+Inputs!$B$26+Inputs!$B$29,IF(Skills!C4=3,120+Inputs!$B$27+Inputs!$B$29,MAX(0,(Inputs!$B$3-100)*3)+Inputs!$B$28+Inputs!$B$29)))</f>
        <v/>
      </c>
      <c r="E2569">
        <f>INDEX(FactorTable!$B$2:$Y$301, MATCH(ROUND(MIN(300,MAX(1,D2569)),0), FactorTable!$A$2:$A$301,0), Skills!M4+1)</f>
        <v/>
      </c>
      <c r="F2569">
        <f>IF(Skills!N4=TRUE,(Skills!L4/10)*(E2569/1000),Skills!L4/10)+Skills!O4</f>
        <v/>
      </c>
      <c r="G2569">
        <f>Skills!G4*IF(Skills!H4&gt;0,Skills!I4/Skills!H4,1)</f>
        <v/>
      </c>
      <c r="H2569">
        <f>1-(1-Skills!J4/100)^Skills!K4</f>
        <v/>
      </c>
      <c r="I2569" t="inlineStr">
        <is>
          <t>1</t>
        </is>
      </c>
      <c r="J2569">
        <f>((Inputs!$B$6*(1+Inputs!$B$7/100))+(((Inputs!$B$12*(1+Inputs!$B$13/100))-(Inputs!$B$12*(1+Inputs!$B$13/100)))+0.25*(Inputs!$B$14-Inputs!$B$14))*(1+Inputs!$B$7/100))*(F2569/100)</f>
        <v/>
      </c>
      <c r="K2569">
        <f>J2569*(1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2577=TRUE,F2577,0)/100)*(1+(IF(Skills!A4="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2569)</f>
        <v/>
      </c>
      <c r="L2569">
        <f>K2569*(MIN(Inputs!$B$22+((C2587=TRUE)*(F2587-Calc!F22)),(Inputs!$B$23+((C2589=TRUE)*(F2589-Calc!F24))+(IF(ArtifactsInput!$M$15,CHOOSE(ArtifactsInput!$N$15+1,25,30,35,40,45,50)/100*(Inputs!$B$11-Inputs!$B$11),0))))/100+(Inputs!$B$23+((C2589=TRUE)*(F2589-Calc!F24))+(IF(ArtifactsInput!$M$15,CHOOSE(ArtifactsInput!$N$15+1,25,30,35,40,45,50)/100*(Inputs!$B$11-Inputs!$B$11),0)))/100)/2</f>
        <v/>
      </c>
      <c r="M2569">
        <f>L2569*(1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9">
        <f>L2569*(1-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2569*(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9">
        <f>(1-Summary!$B$11)*T2569+Summary!$B$11*V2569</f>
        <v/>
      </c>
      <c r="P2569">
        <f>IF(B2602=0,0,O2569/B2602)</f>
        <v/>
      </c>
      <c r="Q2569">
        <f>IFERROR(1/(IF(Inputs!$B$38="pvp",15,MAX(0.1,Skills!D4-IF(Skills!E4=TRUE,0.5,0)))*(1-IF(AND(ArtifactsInput!$M$27,Inputs!$B$4="Chapter Hunt"),CHOOSE(ArtifactsInput!$N$27+1,20,24,28,32,36,40),0)/100)),0)</f>
        <v/>
      </c>
      <c r="R2569">
        <f>IF(AND(Inputs!$B$38&lt;&gt;"pvp",Inputs!$B$43&gt;0),IF(MAX(0,Inputs!$B$43-B2599)&lt;=0,0,(INT(MAX(0,Inputs!$B$43-B2599)/(IF(Inputs!$B$38="pvp",15,MAX(0.1,Skills!D4-IF(Skills!E4=TRUE,0.5,0)))*(1-IF(AND(ArtifactsInput!$M$27,Inputs!$B$4="Chapter Hunt"),CHOOSE(ArtifactsInput!$N$27+1,20,24,28,32,36,40),0)/100)))+1)),0)</f>
        <v/>
      </c>
      <c r="S2569">
        <f>IFERROR(O2569/N2569,0)</f>
        <v/>
      </c>
      <c r="T2569">
        <f>IF(C2569,(H2569*N2569*IF(AND(Inputs!$B$38&lt;&gt;"pvp",Inputs!$B$43&gt;0),((Skills!G4*((R2569-1)*IF(Skills!H4&gt;0,Skills!I4/Skills!H4,1)+IF(Skills!H4&gt;0,MIN(Skills!I4,MAX(0,MAX(0,Inputs!$B$43-B2599)-((R2569-1)*(IF(Inputs!$B$38="pvp",15,MAX(0.1,Skills!D4-IF(Skills!E4=TRUE,0.5,0)))*(1-IF(AND(ArtifactsInput!$M$27,Inputs!$B$4="Chapter Hunt"),CHOOSE(ArtifactsInput!$N$27+1,20,24,28,32,36,40),0)/100)))))/Skills!H4,1)))/Inputs!$B$43),G2569*Q2569)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2569*(1-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2569*(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2569*(1-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2569*(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69">
        <f>290*U2568/1000</f>
        <v/>
      </c>
      <c r="V2569">
        <f>IF(C2569,(H2569*N2569*IF(AND(Inputs!$B$38&lt;&gt;"pvp",Inputs!$B$43&gt;0),((Skills!G4*((R2569-1)*IF(Skills!H4&gt;0,Skills!I4/Skills!H4,1)+IF(Skills!H4&gt;0,MIN(Skills!I4,MAX(0,MAX(0,Inputs!$B$43-B2599)-((R2569-1)*(IF(Inputs!$B$38="pvp",15,MAX(0.1,Skills!D4-IF(Skills!E4=TRUE,0.5,0)))*(1-IF(AND(ArtifactsInput!$M$27,Inputs!$B$4="Chapter Hunt"),CHOOSE(ArtifactsInput!$N$27+1,20,24,28,32,36,40),0)/100)))))/Skills!H4,1)))/Inputs!$B$43),G2569*Q2569))*IF(Inputs!$B$38="pvp",1,(1+(Inputs!$B$21+Skills!Q4+(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0">
      <c r="A2570">
        <f>Skills!A5</f>
        <v/>
      </c>
      <c r="B2570">
        <f>Skills!B5</f>
        <v/>
      </c>
      <c r="C2570">
        <f>Inputs!$B$3&gt;=66</f>
        <v/>
      </c>
      <c r="D2570">
        <f>IF(Skills!C5=1,60+Inputs!$B$25+Inputs!$B$29,IF(Skills!C5=2,90+Inputs!$B$26+Inputs!$B$29,IF(Skills!C5=3,120+Inputs!$B$27+Inputs!$B$29,MAX(0,(Inputs!$B$3-100)*3)+Inputs!$B$28+Inputs!$B$29)))</f>
        <v/>
      </c>
      <c r="E2570">
        <f>INDEX(FactorTable!$B$2:$Y$301, MATCH(ROUND(MIN(300,MAX(1,D2570)),0), FactorTable!$A$2:$A$301,0), Skills!M5+1)</f>
        <v/>
      </c>
      <c r="F2570">
        <f>IF(Skills!N5=TRUE,(Skills!L5/10)*(E2570/1000),Skills!L5/10)+Skills!O5</f>
        <v/>
      </c>
      <c r="G2570">
        <f>Skills!G5*IF(Skills!H5&gt;0,Skills!I5/Skills!H5,1)</f>
        <v/>
      </c>
      <c r="H2570">
        <f>1-(1-Skills!J5/100)^Skills!K5</f>
        <v/>
      </c>
      <c r="I2570" t="inlineStr">
        <is>
          <t>1</t>
        </is>
      </c>
      <c r="J2570">
        <f>((Inputs!$B$6*(1+Inputs!$B$7/100))+(((Inputs!$B$12*(1+Inputs!$B$13/100))-(Inputs!$B$12*(1+Inputs!$B$13/100)))+0.25*(Inputs!$B$14-Inputs!$B$14))*(1+Inputs!$B$7/100))*(F2570/100)</f>
        <v/>
      </c>
      <c r="K2570">
        <f>J2570*(1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2577=TRUE,F2577,0)/100)*(1+(IF(Skills!A5="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2570)</f>
        <v/>
      </c>
      <c r="L2570">
        <f>K2570*(MIN(Inputs!$B$22+((C2587=TRUE)*(F2587-Calc!F22)),(Inputs!$B$23+((C2589=TRUE)*(F2589-Calc!F24))+(IF(ArtifactsInput!$M$15,CHOOSE(ArtifactsInput!$N$15+1,25,30,35,40,45,50)/100*(Inputs!$B$11-Inputs!$B$11),0))))/100+(Inputs!$B$23+((C2589=TRUE)*(F2589-Calc!F24))+(IF(ArtifactsInput!$M$15,CHOOSE(ArtifactsInput!$N$15+1,25,30,35,40,45,50)/100*(Inputs!$B$11-Inputs!$B$11),0)))/100)/2</f>
        <v/>
      </c>
      <c r="M2570">
        <f>L2570*(1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0">
        <f>L2570*(1-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2570*(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0">
        <f>(1-Summary!$B$11)*T2570+Summary!$B$11*V2570</f>
        <v/>
      </c>
      <c r="P2570">
        <f>IF(B2602=0,0,O2570/B2602)</f>
        <v/>
      </c>
      <c r="Q2570">
        <f>IFERROR(1/(IF(Inputs!$B$38="pvp",15,MAX(0.1,Skills!D5-IF(Skills!E5=TRUE,0.5,0)))*(1-IF(AND(ArtifactsInput!$M$27,Inputs!$B$4="Chapter Hunt"),CHOOSE(ArtifactsInput!$N$27+1,20,24,28,32,36,40),0)/100)),0)</f>
        <v/>
      </c>
      <c r="R2570">
        <f>IF(AND(Inputs!$B$38&lt;&gt;"pvp",Inputs!$B$43&gt;0),IF(MAX(0,Inputs!$B$43-B2599)&lt;=0,0,(INT(MAX(0,Inputs!$B$43-B2599)/(IF(Inputs!$B$38="pvp",15,MAX(0.1,Skills!D5-IF(Skills!E5=TRUE,0.5,0)))*(1-IF(AND(ArtifactsInput!$M$27,Inputs!$B$4="Chapter Hunt"),CHOOSE(ArtifactsInput!$N$27+1,20,24,28,32,36,40),0)/100)))+1)),0)</f>
        <v/>
      </c>
      <c r="S2570">
        <f>IFERROR(O2570/N2570,0)</f>
        <v/>
      </c>
      <c r="T2570">
        <f>IF(C2570,(H2570*N2570*IF(AND(Inputs!$B$38&lt;&gt;"pvp",Inputs!$B$43&gt;0),((Skills!G5*((R2570-1)*IF(Skills!H5&gt;0,Skills!I5/Skills!H5,1)+IF(Skills!H5&gt;0,MIN(Skills!I5,MAX(0,MAX(0,Inputs!$B$43-B2599)-((R2570-1)*(IF(Inputs!$B$38="pvp",15,MAX(0.1,Skills!D5-IF(Skills!E5=TRUE,0.5,0)))*(1-IF(AND(ArtifactsInput!$M$27,Inputs!$B$4="Chapter Hunt"),CHOOSE(ArtifactsInput!$N$27+1,20,24,28,32,36,40),0)/100)))))/Skills!H5,1)))/Inputs!$B$43),G2570*Q2570)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2570*(1-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2570*(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2570*(1-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2570*(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0">
        <f>IF(C2570,(H2570*N2570*IF(AND(Inputs!$B$38&lt;&gt;"pvp",Inputs!$B$43&gt;0),((Skills!G5*((R2570-1)*IF(Skills!H5&gt;0,Skills!I5/Skills!H5,1)+IF(Skills!H5&gt;0,MIN(Skills!I5,MAX(0,MAX(0,Inputs!$B$43-B2599)-((R2570-1)*(IF(Inputs!$B$38="pvp",15,MAX(0.1,Skills!D5-IF(Skills!E5=TRUE,0.5,0)))*(1-IF(AND(ArtifactsInput!$M$27,Inputs!$B$4="Chapter Hunt"),CHOOSE(ArtifactsInput!$N$27+1,20,24,28,32,36,40),0)/100)))))/Skills!H5,1)))/Inputs!$B$43),G2570*Q2570))*IF(Inputs!$B$38="pvp",1,(1+(Inputs!$B$21+Skills!Q5+(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1">
      <c r="A2571">
        <f>Skills!A6</f>
        <v/>
      </c>
      <c r="B2571">
        <f>Skills!B6</f>
        <v/>
      </c>
      <c r="C2571">
        <f>Inputs!$B$3&gt;=103</f>
        <v/>
      </c>
      <c r="D2571">
        <f>IF(Skills!C6=1,60+Inputs!$B$25+Inputs!$B$29,IF(Skills!C6=2,90+Inputs!$B$26+Inputs!$B$29,IF(Skills!C6=3,120+Inputs!$B$27+Inputs!$B$29,MAX(0,(Inputs!$B$3-100)*3)+Inputs!$B$28+Inputs!$B$29)))</f>
        <v/>
      </c>
      <c r="E2571">
        <f>INDEX(FactorTable!$B$2:$Y$301, MATCH(ROUND(MIN(300,MAX(1,D2571)),0), FactorTable!$A$2:$A$301,0), Skills!M6+1)</f>
        <v/>
      </c>
      <c r="F2571">
        <f>IF(Skills!N6=TRUE,(Skills!L6/10)*(E2571/1000),Skills!L6/10)+Skills!O6</f>
        <v/>
      </c>
      <c r="G2571">
        <f>Skills!G6*IF(Skills!H6&gt;0,Skills!I6/Skills!H6,1)</f>
        <v/>
      </c>
      <c r="H2571">
        <f>1-(1-Skills!J6/100)^Skills!K6</f>
        <v/>
      </c>
      <c r="I2571" t="inlineStr">
        <is>
          <t>1</t>
        </is>
      </c>
      <c r="J2571">
        <f>((Inputs!$B$6*(1+Inputs!$B$7/100))+(((Inputs!$B$12*(1+Inputs!$B$13/100))-(Inputs!$B$12*(1+Inputs!$B$13/100)))+0.25*(Inputs!$B$14-Inputs!$B$14))*(1+Inputs!$B$7/100))*(F2571/100)</f>
        <v/>
      </c>
      <c r="K2571">
        <f>J2571*(1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2571)</f>
        <v/>
      </c>
      <c r="L2571">
        <f>K2571*(MIN(Inputs!$B$22+((C2587=TRUE)*(F2587-Calc!F22)),(Inputs!$B$23+((C2589=TRUE)*(F2589-Calc!F24))+(IF(ArtifactsInput!$M$15,CHOOSE(ArtifactsInput!$N$15+1,25,30,35,40,45,50)/100*(Inputs!$B$11-Inputs!$B$11),0))))/100+(Inputs!$B$23+((C2589=TRUE)*(F2589-Calc!F24))+(IF(ArtifactsInput!$M$15,CHOOSE(ArtifactsInput!$N$15+1,25,30,35,40,45,50)/100*(Inputs!$B$11-Inputs!$B$11),0)))/100)/2</f>
        <v/>
      </c>
      <c r="M2571">
        <f>L2571*(1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1">
        <f>L2571*(1-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1">
        <f>(1-Summary!$B$11)*T2571+Summary!$B$11*V2571</f>
        <v/>
      </c>
      <c r="P2571">
        <f>IF(B2602=0,0,O2571/B2602)</f>
        <v/>
      </c>
      <c r="Q2571">
        <f>IFERROR(1/(IF(Inputs!$B$38="pvp",15,MAX(0.1,Skills!D6-IF(Skills!E6=TRUE,0.5,0)))*(1-IF(AND(ArtifactsInput!$M$27,Inputs!$B$4="Chapter Hunt"),CHOOSE(ArtifactsInput!$N$27+1,20,24,28,32,36,40),0)/100)),0)</f>
        <v/>
      </c>
      <c r="R2571">
        <f>IF(AND(Inputs!$B$38&lt;&gt;"pvp",Inputs!$B$43&gt;0),IF(MAX(0,Inputs!$B$43-B2599)&lt;=0,0,(INT(MAX(0,Inputs!$B$43-B2599)/(IF(Inputs!$B$38="pvp",15,MAX(0.1,Skills!D6-IF(Skills!E6=TRUE,0.5,0)))*(1-IF(AND(ArtifactsInput!$M$27,Inputs!$B$4="Chapter Hunt"),CHOOSE(ArtifactsInput!$N$27+1,20,24,28,32,36,40),0)/100)))+1)),0)</f>
        <v/>
      </c>
      <c r="S2571">
        <f>IFERROR(O2571/N2571,0)</f>
        <v/>
      </c>
      <c r="T2571">
        <f>IF(C2571,(H2571*N2571*IF(AND(Inputs!$B$38&lt;&gt;"pvp",Inputs!$B$43&gt;0),((Skills!G6*((R2571-1)*IF(Skills!H6&gt;0,Skills!I6/Skills!H6,1)+IF(Skills!H6&gt;0,MIN(Skills!I6,MAX(0,MAX(0,Inputs!$B$43-B2599)-((R2571-1)*(IF(Inputs!$B$38="pvp",15,MAX(0.1,Skills!D6-IF(Skills!E6=TRUE,0.5,0)))*(1-IF(AND(ArtifactsInput!$M$27,Inputs!$B$4="Chapter Hunt"),CHOOSE(ArtifactsInput!$N$27+1,20,24,28,32,36,40),0)/100)))))/Skills!H6,1)))/Inputs!$B$43),G2571*Q2571)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2571*(1-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2571*(1-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1">
        <f>IF(C2571,(H2571*N2571*IF(AND(Inputs!$B$38&lt;&gt;"pvp",Inputs!$B$43&gt;0),((Skills!G6*((R2571-1)*IF(Skills!H6&gt;0,Skills!I6/Skills!H6,1)+IF(Skills!H6&gt;0,MIN(Skills!I6,MAX(0,MAX(0,Inputs!$B$43-B2599)-((R2571-1)*(IF(Inputs!$B$38="pvp",15,MAX(0.1,Skills!D6-IF(Skills!E6=TRUE,0.5,0)))*(1-IF(AND(ArtifactsInput!$M$27,Inputs!$B$4="Chapter Hunt"),CHOOSE(ArtifactsInput!$N$27+1,20,24,28,32,36,40),0)/100)))))/Skills!H6,1)))/Inputs!$B$43),G2571*Q2571))*IF(Inputs!$B$38="pvp",1,(1+(Inputs!$B$21+Skills!Q6+(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2">
      <c r="A2572">
        <f>Skills!A7</f>
        <v/>
      </c>
      <c r="B2572">
        <f>Skills!B7</f>
        <v/>
      </c>
      <c r="C2572">
        <f>Inputs!$B$3&gt;=107</f>
        <v/>
      </c>
      <c r="D2572">
        <f>IF(Skills!C7=1,60+Inputs!$B$25+Inputs!$B$29,IF(Skills!C7=2,90+Inputs!$B$26+Inputs!$B$29,IF(Skills!C7=3,120+Inputs!$B$27+Inputs!$B$29,MAX(0,(Inputs!$B$3-100)*3)+Inputs!$B$28+Inputs!$B$29)))</f>
        <v/>
      </c>
      <c r="E2572">
        <f>INDEX(FactorTable!$B$2:$Y$301, MATCH(ROUND(MIN(300,MAX(1,D2572)),0), FactorTable!$A$2:$A$301,0), Skills!M7+1)</f>
        <v/>
      </c>
      <c r="F2572">
        <f>IF(Skills!N7=TRUE,(Skills!L7/10)*(E2572/1000),Skills!L7/10)+Skills!O7</f>
        <v/>
      </c>
      <c r="G2572">
        <f>Skills!G7*IF(Skills!H7&gt;0,Skills!I7/Skills!H7,1)</f>
        <v/>
      </c>
      <c r="H2572">
        <f>1-(1-Skills!J7/100)^Skills!K7</f>
        <v/>
      </c>
      <c r="I2572" t="inlineStr">
        <is>
          <t>1</t>
        </is>
      </c>
      <c r="J2572">
        <f>((Inputs!$B$6*(1+Inputs!$B$7/100))+(((Inputs!$B$12*(1+Inputs!$B$13/100))-(Inputs!$B$12*(1+Inputs!$B$13/100)))+0.25*(Inputs!$B$14-Inputs!$B$14))*(1+Inputs!$B$7/100))*(F2572/100)</f>
        <v/>
      </c>
      <c r="K2572">
        <f>J2572*(1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2572)</f>
        <v/>
      </c>
      <c r="L2572">
        <f>K2572*(MIN(Inputs!$B$22+((C2587=TRUE)*(F2587-Calc!F22)),(Inputs!$B$23+((C2589=TRUE)*(F2589-Calc!F24))+(IF(ArtifactsInput!$M$15,CHOOSE(ArtifactsInput!$N$15+1,25,30,35,40,45,50)/100*(Inputs!$B$11-Inputs!$B$11),0))))/100+(Inputs!$B$23+((C2589=TRUE)*(F2589-Calc!F24))+(IF(ArtifactsInput!$M$15,CHOOSE(ArtifactsInput!$N$15+1,25,30,35,40,45,50)/100*(Inputs!$B$11-Inputs!$B$11),0)))/100)/2</f>
        <v/>
      </c>
      <c r="M2572">
        <f>L2572*(1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2">
        <f>L2572*(1-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2572*(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2">
        <f>(1-Summary!$B$11)*T2572+Summary!$B$11*V2572</f>
        <v/>
      </c>
      <c r="P2572">
        <f>IF(B2602=0,0,O2572/B2602)</f>
        <v/>
      </c>
      <c r="Q2572">
        <f>IFERROR(1/(IF(Inputs!$B$38="pvp",15,MAX(0.1,Skills!D7-IF(Skills!E7=TRUE,0.5,0)))*(1-IF(AND(ArtifactsInput!$M$27,Inputs!$B$4="Chapter Hunt"),CHOOSE(ArtifactsInput!$N$27+1,20,24,28,32,36,40),0)/100)),0)</f>
        <v/>
      </c>
      <c r="R2572">
        <f>IF(AND(Inputs!$B$38&lt;&gt;"pvp",Inputs!$B$43&gt;0),IF(MAX(0,Inputs!$B$43-B2599)&lt;=0,0,(INT(MAX(0,Inputs!$B$43-B2599)/(IF(Inputs!$B$38="pvp",15,MAX(0.1,Skills!D7-IF(Skills!E7=TRUE,0.5,0)))*(1-IF(AND(ArtifactsInput!$M$27,Inputs!$B$4="Chapter Hunt"),CHOOSE(ArtifactsInput!$N$27+1,20,24,28,32,36,40),0)/100)))+1)),0)</f>
        <v/>
      </c>
      <c r="S2572">
        <f>IFERROR(O2572/N2572,0)</f>
        <v/>
      </c>
      <c r="T2572">
        <f>IF(C2572,(H2572*N2572*IF(AND(Inputs!$B$38&lt;&gt;"pvp",Inputs!$B$43&gt;0),((Skills!G7*((R2572-1)*IF(Skills!H7&gt;0,Skills!I7/Skills!H7,1)+IF(Skills!H7&gt;0,MIN(Skills!I7,MAX(0,MAX(0,Inputs!$B$43-B2599)-((R2572-1)*(IF(Inputs!$B$38="pvp",15,MAX(0.1,Skills!D7-IF(Skills!E7=TRUE,0.5,0)))*(1-IF(AND(ArtifactsInput!$M$27,Inputs!$B$4="Chapter Hunt"),CHOOSE(ArtifactsInput!$N$27+1,20,24,28,32,36,40),0)/100)))))/Skills!H7,1)))/Inputs!$B$43),G2572*Q2572)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2572*(1-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2572*(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2572*(1-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2572*(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2">
        <f>IF(C2572,(H2572*N2572*IF(AND(Inputs!$B$38&lt;&gt;"pvp",Inputs!$B$43&gt;0),((Skills!G7*((R2572-1)*IF(Skills!H7&gt;0,Skills!I7/Skills!H7,1)+IF(Skills!H7&gt;0,MIN(Skills!I7,MAX(0,MAX(0,Inputs!$B$43-B2599)-((R2572-1)*(IF(Inputs!$B$38="pvp",15,MAX(0.1,Skills!D7-IF(Skills!E7=TRUE,0.5,0)))*(1-IF(AND(ArtifactsInput!$M$27,Inputs!$B$4="Chapter Hunt"),CHOOSE(ArtifactsInput!$N$27+1,20,24,28,32,36,40),0)/100)))))/Skills!H7,1)))/Inputs!$B$43),G2572*Q2572))*IF(Inputs!$B$38="pvp",1,(1+(Inputs!$B$21+Skills!Q7+(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3">
      <c r="A2573">
        <f>Skills!A8</f>
        <v/>
      </c>
      <c r="B2573">
        <f>Skills!B8</f>
        <v/>
      </c>
      <c r="C2573">
        <f>Inputs!$B$3&gt;=107</f>
        <v/>
      </c>
      <c r="D2573">
        <f>IF(Skills!C8=1,60+Inputs!$B$25+Inputs!$B$29,IF(Skills!C8=2,90+Inputs!$B$26+Inputs!$B$29,IF(Skills!C8=3,120+Inputs!$B$27+Inputs!$B$29,MAX(0,(Inputs!$B$3-100)*3)+Inputs!$B$28+Inputs!$B$29)))</f>
        <v/>
      </c>
      <c r="E2573">
        <f>INDEX(FactorTable!$B$2:$Y$301, MATCH(ROUND(MIN(300,MAX(1,D2573)),0), FactorTable!$A$2:$A$301,0), Skills!M8+1)</f>
        <v/>
      </c>
      <c r="F2573">
        <f>IF(Skills!N8=TRUE,(Skills!L8/10)*(E2573/1000),Skills!L8/10)+Skills!O8</f>
        <v/>
      </c>
      <c r="G2573">
        <f>Skills!G8*IF(Skills!H8&gt;0,Skills!I8/Skills!H8,1)</f>
        <v/>
      </c>
      <c r="H2573">
        <f>1-(1-Skills!J8/100)^Skills!K8</f>
        <v/>
      </c>
      <c r="I2573" t="inlineStr">
        <is>
          <t>1</t>
        </is>
      </c>
      <c r="J2573">
        <f>((Inputs!$B$6*(1+Inputs!$B$7/100))+(((Inputs!$B$12*(1+Inputs!$B$13/100))-(Inputs!$B$12*(1+Inputs!$B$13/100)))+0.25*(Inputs!$B$14-Inputs!$B$14))*(1+Inputs!$B$7/100))*(F2573/100)</f>
        <v/>
      </c>
      <c r="K2573">
        <f>J2573*(1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2573)</f>
        <v/>
      </c>
      <c r="L2573">
        <f>K2573*(MIN(Inputs!$B$22+((C2587=TRUE)*(F2587-Calc!F22)),(Inputs!$B$23+((C2589=TRUE)*(F2589-Calc!F24))+(IF(ArtifactsInput!$M$15,CHOOSE(ArtifactsInput!$N$15+1,25,30,35,40,45,50)/100*(Inputs!$B$11-Inputs!$B$11),0))))/100+(Inputs!$B$23+((C2589=TRUE)*(F2589-Calc!F24))+(IF(ArtifactsInput!$M$15,CHOOSE(ArtifactsInput!$N$15+1,25,30,35,40,45,50)/100*(Inputs!$B$11-Inputs!$B$11),0)))/100)/2</f>
        <v/>
      </c>
      <c r="M2573">
        <f>L2573*(1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3">
        <f>L2573*(1-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2573*(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3">
        <f>(1-Summary!$B$11)*T2573+Summary!$B$11*V2573</f>
        <v/>
      </c>
      <c r="P2573">
        <f>IF(B2602=0,0,O2573/B2602)</f>
        <v/>
      </c>
      <c r="Q2573">
        <f>IFERROR(1/(IF(Inputs!$B$38="pvp",15,MAX(0.1,Skills!D8-IF(Skills!E8=TRUE,0.5,0)))*(1-IF(AND(ArtifactsInput!$M$27,Inputs!$B$4="Chapter Hunt"),CHOOSE(ArtifactsInput!$N$27+1,20,24,28,32,36,40),0)/100)),0)</f>
        <v/>
      </c>
      <c r="R2573">
        <f>IF(AND(Inputs!$B$38&lt;&gt;"pvp",Inputs!$B$43&gt;0),IF(MAX(0,Inputs!$B$43-B2599)&lt;=0,0,(INT(MAX(0,Inputs!$B$43-B2599)/(IF(Inputs!$B$38="pvp",15,MAX(0.1,Skills!D8-IF(Skills!E8=TRUE,0.5,0)))*(1-IF(AND(ArtifactsInput!$M$27,Inputs!$B$4="Chapter Hunt"),CHOOSE(ArtifactsInput!$N$27+1,20,24,28,32,36,40),0)/100)))+1)),0)</f>
        <v/>
      </c>
      <c r="S2573">
        <f>IFERROR(O2573/N2573,0)</f>
        <v/>
      </c>
      <c r="T2573">
        <f>IF(C2573,(H2573*N2573*IF(AND(Inputs!$B$38&lt;&gt;"pvp",Inputs!$B$43&gt;0),((Skills!G8*((R2573-1)*IF(Skills!H8&gt;0,Skills!I8/Skills!H8,1)+IF(Skills!H8&gt;0,MIN(Skills!I8,MAX(0,MAX(0,Inputs!$B$43-B2599)-((R2573-1)*(IF(Inputs!$B$38="pvp",15,MAX(0.1,Skills!D8-IF(Skills!E8=TRUE,0.5,0)))*(1-IF(AND(ArtifactsInput!$M$27,Inputs!$B$4="Chapter Hunt"),CHOOSE(ArtifactsInput!$N$27+1,20,24,28,32,36,40),0)/100)))))/Skills!H8,1)))/Inputs!$B$43),G2573*Q2573)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2573*(1-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2573*(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2573*(1-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2573*(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3">
        <f>IF(C2573,(H2573*N2573*IF(AND(Inputs!$B$38&lt;&gt;"pvp",Inputs!$B$43&gt;0),((Skills!G8*((R2573-1)*IF(Skills!H8&gt;0,Skills!I8/Skills!H8,1)+IF(Skills!H8&gt;0,MIN(Skills!I8,MAX(0,MAX(0,Inputs!$B$43-B2599)-((R2573-1)*(IF(Inputs!$B$38="pvp",15,MAX(0.1,Skills!D8-IF(Skills!E8=TRUE,0.5,0)))*(1-IF(AND(ArtifactsInput!$M$27,Inputs!$B$4="Chapter Hunt"),CHOOSE(ArtifactsInput!$N$27+1,20,24,28,32,36,40),0)/100)))))/Skills!H8,1)))/Inputs!$B$43),G2573*Q2573))*IF(Inputs!$B$38="pvp",1,(1+(Inputs!$B$21+Skills!Q8+(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4">
      <c r="A2574">
        <f>Skills!A9</f>
        <v/>
      </c>
      <c r="B2574">
        <f>Skills!B9</f>
        <v/>
      </c>
      <c r="C2574">
        <f>Inputs!$B$3&gt;=125</f>
        <v/>
      </c>
      <c r="D2574">
        <f>IF(Skills!C9=1,60+Inputs!$B$25+Inputs!$B$29,IF(Skills!C9=2,90+Inputs!$B$26+Inputs!$B$29,IF(Skills!C9=3,120+Inputs!$B$27+Inputs!$B$29,MAX(0,(Inputs!$B$3-100)*3)+Inputs!$B$28+Inputs!$B$29)))</f>
        <v/>
      </c>
      <c r="E2574">
        <f>INDEX(FactorTable!$B$2:$Y$301, MATCH(ROUND(MIN(300,MAX(1,D2574)),0), FactorTable!$A$2:$A$301,0), Skills!M9+1)</f>
        <v/>
      </c>
      <c r="F2574">
        <f>IF(Skills!N9=TRUE,(Skills!L9/10)*(E2574/1000),Skills!L9/10)+Skills!O9</f>
        <v/>
      </c>
      <c r="G2574">
        <f>Skills!G9*IF(Skills!H9&gt;0,Skills!I9/Skills!H9,1)</f>
        <v/>
      </c>
      <c r="H2574">
        <f>1-(1-Skills!J9/100)^Skills!K9</f>
        <v/>
      </c>
      <c r="I2574" t="inlineStr">
        <is>
          <t>1</t>
        </is>
      </c>
      <c r="J2574">
        <f>((Inputs!$B$6*(1+Inputs!$B$7/100))+(((Inputs!$B$12*(1+Inputs!$B$13/100))-(Inputs!$B$12*(1+Inputs!$B$13/100)))+0.25*(Inputs!$B$14-Inputs!$B$14))*(1+Inputs!$B$7/100))*(F2574/100)</f>
        <v/>
      </c>
      <c r="K2574">
        <f>J2574*(1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2574)</f>
        <v/>
      </c>
      <c r="L2574">
        <f>K2574*(MIN(Inputs!$B$22+((C2587=TRUE)*(F2587-Calc!F22)),(Inputs!$B$23+((C2589=TRUE)*(F2589-Calc!F24))+(IF(ArtifactsInput!$M$15,CHOOSE(ArtifactsInput!$N$15+1,25,30,35,40,45,50)/100*(Inputs!$B$11-Inputs!$B$11),0))))/100+(Inputs!$B$23+((C2589=TRUE)*(F2589-Calc!F24))+(IF(ArtifactsInput!$M$15,CHOOSE(ArtifactsInput!$N$15+1,25,30,35,40,45,50)/100*(Inputs!$B$11-Inputs!$B$11),0)))/100)/2</f>
        <v/>
      </c>
      <c r="M2574">
        <f>L2574*(1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4">
        <f>L2574*(1-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2574*(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4">
        <f>(1-Summary!$B$11)*T2574+Summary!$B$11*V2574</f>
        <v/>
      </c>
      <c r="P2574">
        <f>IF(B2602=0,0,O2574/B2602)</f>
        <v/>
      </c>
      <c r="Q2574">
        <f>IFERROR(1/(IF(Inputs!$B$38="pvp",15,MAX(0.1,Skills!D9-IF(Skills!E9=TRUE,0.5,0)))*(1-IF(AND(ArtifactsInput!$M$27,Inputs!$B$4="Chapter Hunt"),CHOOSE(ArtifactsInput!$N$27+1,20,24,28,32,36,40),0)/100)),0)</f>
        <v/>
      </c>
      <c r="R2574">
        <f>IF(AND(Inputs!$B$38&lt;&gt;"pvp",Inputs!$B$43&gt;0),IF(MAX(0,Inputs!$B$43-B2599)&lt;=0,0,(INT(MAX(0,Inputs!$B$43-B2599)/(IF(Inputs!$B$38="pvp",15,MAX(0.1,Skills!D9-IF(Skills!E9=TRUE,0.5,0)))*(1-IF(AND(ArtifactsInput!$M$27,Inputs!$B$4="Chapter Hunt"),CHOOSE(ArtifactsInput!$N$27+1,20,24,28,32,36,40),0)/100)))+1)),0)</f>
        <v/>
      </c>
      <c r="S2574">
        <f>IFERROR(O2574/N2574,0)</f>
        <v/>
      </c>
      <c r="T2574">
        <f>IF(C2574,(H2574*N2574*IF(AND(Inputs!$B$38&lt;&gt;"pvp",Inputs!$B$43&gt;0),((Skills!G9*((R2574-1)*IF(Skills!H9&gt;0,Skills!I9/Skills!H9,1)+IF(Skills!H9&gt;0,MIN(Skills!I9,MAX(0,MAX(0,Inputs!$B$43-B2599)-((R2574-1)*(IF(Inputs!$B$38="pvp",15,MAX(0.1,Skills!D9-IF(Skills!E9=TRUE,0.5,0)))*(1-IF(AND(ArtifactsInput!$M$27,Inputs!$B$4="Chapter Hunt"),CHOOSE(ArtifactsInput!$N$27+1,20,24,28,32,36,40),0)/100)))))/Skills!H9,1)))/Inputs!$B$43),G2574*Q2574)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2574*(1-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2574*(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2574*(1-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2574*(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4">
        <f>IF(C2574,(H2574*N2574*IF(AND(Inputs!$B$38&lt;&gt;"pvp",Inputs!$B$43&gt;0),((Skills!G9*((R2574-1)*IF(Skills!H9&gt;0,Skills!I9/Skills!H9,1)+IF(Skills!H9&gt;0,MIN(Skills!I9,MAX(0,MAX(0,Inputs!$B$43-B2599)-((R2574-1)*(IF(Inputs!$B$38="pvp",15,MAX(0.1,Skills!D9-IF(Skills!E9=TRUE,0.5,0)))*(1-IF(AND(ArtifactsInput!$M$27,Inputs!$B$4="Chapter Hunt"),CHOOSE(ArtifactsInput!$N$27+1,20,24,28,32,36,40),0)/100)))))/Skills!H9,1)))/Inputs!$B$43),G2574*Q2574))*IF(Inputs!$B$38="pvp",1,(1+(Inputs!$B$21+Skills!Q9+(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5">
      <c r="A2575">
        <f>Skills!A10</f>
        <v/>
      </c>
      <c r="B2575">
        <f>Skills!B10</f>
        <v/>
      </c>
      <c r="C2575">
        <f>Inputs!$B$3&gt;=117</f>
        <v/>
      </c>
      <c r="D2575">
        <f>IF(Skills!C10=1,60+Inputs!$B$25+Inputs!$B$29,IF(Skills!C10=2,90+Inputs!$B$26+Inputs!$B$29,IF(Skills!C10=3,120+Inputs!$B$27+Inputs!$B$29,MAX(0,(Inputs!$B$3-100)*3)+Inputs!$B$28+Inputs!$B$29)))</f>
        <v/>
      </c>
      <c r="E2575">
        <f>INDEX(FactorTable!$B$2:$Y$301, MATCH(ROUND(MIN(300,MAX(1,D2575)),0), FactorTable!$A$2:$A$301,0), Skills!M10+1)</f>
        <v/>
      </c>
      <c r="F2575">
        <f>IF(Skills!N10=TRUE,(Skills!L10/10)*(E2575/1000),Skills!L10/10)+Skills!O10</f>
        <v/>
      </c>
      <c r="G2575">
        <f>Skills!G10*IF(Skills!H10&gt;0,Skills!I10/Skills!H10,1)</f>
        <v/>
      </c>
      <c r="H2575">
        <f>1-(1-Skills!J10/100)^Skills!K10</f>
        <v/>
      </c>
      <c r="I2575" t="inlineStr">
        <is>
          <t>1</t>
        </is>
      </c>
      <c r="J2575">
        <f>((Inputs!$B$6*(1+Inputs!$B$7/100))+(((Inputs!$B$12*(1+Inputs!$B$13/100))-(Inputs!$B$12*(1+Inputs!$B$13/100)))+0.25*(Inputs!$B$14-Inputs!$B$14))*(1+Inputs!$B$7/100))*(F2575/100)</f>
        <v/>
      </c>
      <c r="K2575">
        <f>J2575*(1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2575)</f>
        <v/>
      </c>
      <c r="L2575">
        <f>K2575*(MIN(Inputs!$B$22+((C2587=TRUE)*(F2587-Calc!F22)),(Inputs!$B$23+((C2589=TRUE)*(F2589-Calc!F24))+(IF(ArtifactsInput!$M$15,CHOOSE(ArtifactsInput!$N$15+1,25,30,35,40,45,50)/100*(Inputs!$B$11-Inputs!$B$11),0))))/100+(Inputs!$B$23+((C2589=TRUE)*(F2589-Calc!F24))+(IF(ArtifactsInput!$M$15,CHOOSE(ArtifactsInput!$N$15+1,25,30,35,40,45,50)/100*(Inputs!$B$11-Inputs!$B$11),0)))/100)/2</f>
        <v/>
      </c>
      <c r="M2575">
        <f>L2575*(1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5">
        <f>L2575*(1-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2575*(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5">
        <f>(1-Summary!$B$11)*T2575+Summary!$B$11*V2575</f>
        <v/>
      </c>
      <c r="P2575">
        <f>IF(B2602=0,0,O2575/B2602)</f>
        <v/>
      </c>
      <c r="Q2575">
        <f>IFERROR(1/(IF(Inputs!$B$38="pvp",15,MAX(0.1,Skills!D10-IF(Skills!E10=TRUE,0.5,0)))*(1-IF(AND(ArtifactsInput!$M$27,Inputs!$B$4="Chapter Hunt"),CHOOSE(ArtifactsInput!$N$27+1,20,24,28,32,36,40),0)/100)),0)</f>
        <v/>
      </c>
      <c r="R2575">
        <f>IF(AND(Inputs!$B$38&lt;&gt;"pvp",Inputs!$B$43&gt;0),IF(MAX(0,Inputs!$B$43-B2599)&lt;=0,0,(INT(MAX(0,Inputs!$B$43-B2599)/(IF(Inputs!$B$38="pvp",15,MAX(0.1,Skills!D10-IF(Skills!E10=TRUE,0.5,0)))*(1-IF(AND(ArtifactsInput!$M$27,Inputs!$B$4="Chapter Hunt"),CHOOSE(ArtifactsInput!$N$27+1,20,24,28,32,36,40),0)/100)))+1)),0)</f>
        <v/>
      </c>
      <c r="S2575">
        <f>IFERROR(O2575/N2575,0)</f>
        <v/>
      </c>
      <c r="T2575">
        <f>IF(C2575,(H2575*N2575*IF(AND(Inputs!$B$38&lt;&gt;"pvp",Inputs!$B$43&gt;0),((Skills!G10*((R2575-1)*IF(Skills!H10&gt;0,Skills!I10/Skills!H10,1)+IF(Skills!H10&gt;0,MIN(Skills!I10,MAX(0,MAX(0,Inputs!$B$43-B2599)-((R2575-1)*(IF(Inputs!$B$38="pvp",15,MAX(0.1,Skills!D10-IF(Skills!E10=TRUE,0.5,0)))*(1-IF(AND(ArtifactsInput!$M$27,Inputs!$B$4="Chapter Hunt"),CHOOSE(ArtifactsInput!$N$27+1,20,24,28,32,36,40),0)/100)))))/Skills!H10,1)))/Inputs!$B$43),G2575*Q2575)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2575*(1-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2575*(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2575*(1-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2575*(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5">
        <f>IF(C2575,(H2575*N2575*IF(AND(Inputs!$B$38&lt;&gt;"pvp",Inputs!$B$43&gt;0),((Skills!G10*((R2575-1)*IF(Skills!H10&gt;0,Skills!I10/Skills!H10,1)+IF(Skills!H10&gt;0,MIN(Skills!I10,MAX(0,MAX(0,Inputs!$B$43-B2599)-((R2575-1)*(IF(Inputs!$B$38="pvp",15,MAX(0.1,Skills!D10-IF(Skills!E10=TRUE,0.5,0)))*(1-IF(AND(ArtifactsInput!$M$27,Inputs!$B$4="Chapter Hunt"),CHOOSE(ArtifactsInput!$N$27+1,20,24,28,32,36,40),0)/100)))))/Skills!H10,1)))/Inputs!$B$43),G2575*Q2575))*IF(Inputs!$B$38="pvp",1,(1+(Inputs!$B$21+Skills!Q10+(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6">
      <c r="A2576">
        <f>Skills!A11</f>
        <v/>
      </c>
      <c r="B2576">
        <f>Skills!B11</f>
        <v/>
      </c>
      <c r="C2576">
        <f>Inputs!$B$3&gt;=63</f>
        <v/>
      </c>
      <c r="D2576">
        <f>IF(Skills!C11=1,60+Inputs!$B$25+Inputs!$B$29,IF(Skills!C11=2,90+Inputs!$B$26+Inputs!$B$29,IF(Skills!C11=3,120+Inputs!$B$27+Inputs!$B$29,MAX(0,(Inputs!$B$3-100)*3)+Inputs!$B$28+Inputs!$B$29)))</f>
        <v/>
      </c>
      <c r="E2576">
        <f>INDEX(FactorTable!$B$2:$Y$301, MATCH(ROUND(MIN(300,MAX(1,D2576)),0), FactorTable!$A$2:$A$301,0), Skills!M11+1)</f>
        <v/>
      </c>
      <c r="F2576">
        <f>IF(Skills!N11=TRUE,(Skills!L11/10)*(E2576/1000),Skills!L11/10)+Skills!O11</f>
        <v/>
      </c>
      <c r="G2576">
        <f>Skills!G11*IF(Skills!H11&gt;0,Skills!I11/Skills!H11,1)</f>
        <v/>
      </c>
      <c r="H2576">
        <f>1-(1-Skills!J11/100)^Skills!K11</f>
        <v/>
      </c>
      <c r="I2576" t="inlineStr">
        <is>
          <t>1</t>
        </is>
      </c>
      <c r="J2576">
        <f>((Inputs!$B$6*(1+Inputs!$B$7/100))+(((Inputs!$B$12*(1+Inputs!$B$13/100))-(Inputs!$B$12*(1+Inputs!$B$13/100)))+0.25*(Inputs!$B$14-Inputs!$B$14))*(1+Inputs!$B$7/100))*(F2576/100)</f>
        <v/>
      </c>
      <c r="K2576">
        <f>J2576*(1+((Inputs!$B$12*(1+Inputs!$B$13/100))*0.01+Inputs!$B$14*0.0025)/100)*(1+Inputs!$B$15/100)*(1+Inputs!$B$16/100)*(5000/(6000+Inputs!$B$42*(1-(Inputs!$B$19+0)/100)))*(1+(Inputs!$B$24+0+B2598)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2577=TRUE,F2577,0)/100)*(1+(IF(Skills!A11="BLAST",Inputs!$B$17+((C2586=TRUE)*(F2586-Calc!F21))+((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MIN(100,((Inputs!$B$9+0+B2592+(ArtifactsInput!$M$24-ArtifactsInput!$M$24)*CHOOSE(ArtifactsInput!$N$24+1,10,12,14,16,18,20)+IF(ArtifactsInput!$M$10,CHOOSE(ArtifactsInput!$N$10+1,15,18,21,24,27,30)*(IF(Inputs!$B$38="pvp",MIN(15,15)/15,IF(AND(Inputs!$B$38&lt;&gt;"pvp",Inputs!$B$43&gt;0),MIN(15,Inputs!$B$43)/(Inputs!$B$43),0))),0)))-100),0))*CHOOSE(ArtifactsInput!$N$42+1,0.6,0.72,0.84,0.96,1.08,1.2))),Inputs!$B$18+((C2588=TRUE)*(F2588-Calc!F23))+(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gt;=100),CHOOSE(ArtifactsInput!$N$42+1,40,48,56,64,72,80),0))))/100)*((1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2576)</f>
        <v/>
      </c>
      <c r="L2576">
        <f>K2576*(MIN(Inputs!$B$22+((C2587=TRUE)*(F2587-Calc!F22)),(Inputs!$B$23+((C2589=TRUE)*(F2589-Calc!F24))+(IF(ArtifactsInput!$M$15,CHOOSE(ArtifactsInput!$N$15+1,25,30,35,40,45,50)/100*(Inputs!$B$11-Inputs!$B$11),0))))/100+(Inputs!$B$23+((C2589=TRUE)*(F2589-Calc!F24))+(IF(ArtifactsInput!$M$15,CHOOSE(ArtifactsInput!$N$15+1,25,30,35,40,45,50)/100*(Inputs!$B$11-Inputs!$B$11),0)))/100)/2</f>
        <v/>
      </c>
      <c r="M2576">
        <f>L2576*(1+(Inputs!$B$10+0+B2597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6">
        <f>L2576*(1-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2576*(MIN((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6">
        <f>(1-Summary!$B$11)*T2576+Summary!$B$11*V2576</f>
        <v/>
      </c>
      <c r="P2576">
        <f>IF(B2602=0,0,O2576/B2602)</f>
        <v/>
      </c>
      <c r="Q2576">
        <f>IFERROR(1/(IF(Inputs!$B$38="pvp",15,MAX(0.1,Skills!D11-IF(Skills!E11=TRUE,0.5,0)))*(1-IF(AND(ArtifactsInput!$M$27,Inputs!$B$4="Chapter Hunt"),CHOOSE(ArtifactsInput!$N$27+1,20,24,28,32,36,40),0)/100)),0)</f>
        <v/>
      </c>
      <c r="R2576">
        <f>IF(AND(Inputs!$B$38&lt;&gt;"pvp",Inputs!$B$43&gt;0),IF(MAX(0,Inputs!$B$43-B2599)&lt;=0,0,(INT(MAX(0,Inputs!$B$43-B2599)/(IF(Inputs!$B$38="pvp",15,MAX(0.1,Skills!D11-IF(Skills!E11=TRUE,0.5,0)))*(1-IF(AND(ArtifactsInput!$M$27,Inputs!$B$4="Chapter Hunt"),CHOOSE(ArtifactsInput!$N$27+1,20,24,28,32,36,40),0)/100)))+1)),0)</f>
        <v/>
      </c>
      <c r="S2576">
        <f>IFERROR(O2576/N2576,0)</f>
        <v/>
      </c>
      <c r="T2576">
        <f>IF(C2576,(H2576*N2576*IF(AND(Inputs!$B$38&lt;&gt;"pvp",Inputs!$B$43&gt;0),((Skills!G11*((R2576-1)*IF(Skills!H11&gt;0,Skills!I11/Skills!H11,1)+IF(Skills!H11&gt;0,MIN(Skills!I11,MAX(0,MAX(0,Inputs!$B$43-B2599)-((R2576-1)*(IF(Inputs!$B$38="pvp",15,MAX(0.1,Skills!D11-IF(Skills!E11=TRUE,0.5,0)))*(1-IF(AND(ArtifactsInput!$M$27,Inputs!$B$4="Chapter Hunt"),CHOOSE(ArtifactsInput!$N$27+1,20,24,28,32,36,40),0)/100)))))/Skills!H11,1)))/Inputs!$B$43),G2576*Q2576)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2576*(1-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2576*(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2576*(1-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2576*(MIN(100,(Inputs!$B$9+0+B2592+(ArtifactsInput!$M$24-ArtifactsInput!$M$24)*CHOOSE(ArtifactsInput!$N$24+1,10,12,14,16,18,20)+(IF(AND(Inputs!$B$38&lt;&gt;"pvp",Inputs!$B$43=0),1,IF(IF(Inputs!$B$38="pvp",15,Inputs!$B$43)-(B2599)&lt;=0,1,MAX(0,IF(Inputs!$B$38="pvp",15,Inputs!$B$43)-MAX(5,B2599))/(IF(Inputs!$B$38="pvp",15,Inputs!$B$43)-(B2599))))*IF(AND(ArtifactsInput!$M$42,((Inputs!$B$9+0+B2592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6">
        <f>IF(C2576,(H2576*N2576*IF(AND(Inputs!$B$38&lt;&gt;"pvp",Inputs!$B$43&gt;0),((Skills!G11*((R2576-1)*IF(Skills!H11&gt;0,Skills!I11/Skills!H11,1)+IF(Skills!H11&gt;0,MIN(Skills!I11,MAX(0,MAX(0,Inputs!$B$43-B2599)-((R2576-1)*(IF(Inputs!$B$38="pvp",15,MAX(0.1,Skills!D11-IF(Skills!E11=TRUE,0.5,0)))*(1-IF(AND(ArtifactsInput!$M$27,Inputs!$B$4="Chapter Hunt"),CHOOSE(ArtifactsInput!$N$27+1,20,24,28,32,36,40),0)/100)))))/Skills!H11,1)))/Inputs!$B$43),G2576*Q2576))*IF(Inputs!$B$38="pvp",1,(1+(Inputs!$B$21+Skills!Q11+(IF(ArtifactsInput!$M$33,CHOOSE(ArtifactsInput!$N$33+1,30,36,42,48,54,60),0))+(IF(AND(ArtifactsInput!$M$35,Inputs!$B$4&lt;&gt;"Chapter Hunt"),CHOOSE(ArtifactsInput!$N$35+1,15,18,21,24,27,30)*(1-EXP(-(0.2*B2594)*5)),0)+IF(AND(ArtifactsInput!$M$22,Inputs!$B$4&lt;&gt;"Chapter Hunt"),CHOOSE(ArtifactsInput!$N$22+1,10,12,14,16,18,20)*((0*(((0.15*B2594*5))^0/1)+1*(((0.15*B2594*5))^1/1)+2*(((0.15*B2594*5))^2/2)+3*(((0.15*B2594*5))^3/6)+4*(((0.15*B2594*5))^4/24)+5*(((0.15*B2594*5))^5/120))/((((0.15*B2594*5))^0/1)+(((0.15*B2594*5))^1/1)+(((0.15*B2594*5))^2/2)+(((0.15*B2594*5))^3/6)+(((0.15*B2594*5))^4/24)+(((0.15*B2594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7">
      <c r="A2577">
        <f>Skills!A12</f>
        <v/>
      </c>
      <c r="B2577">
        <f>Skills!B12</f>
        <v/>
      </c>
      <c r="C2577">
        <f>Inputs!$B$3&gt;=100</f>
        <v/>
      </c>
      <c r="D2577">
        <f>IF(Skills!C12=1,60+Inputs!$B$25+Inputs!$B$29,IF(Skills!C12=2,90+Inputs!$B$26+Inputs!$B$29,IF(Skills!C12=3,120+Inputs!$B$27+Inputs!$B$29,MAX(0,(Inputs!$B$3-100)*3)+Inputs!$B$28+Inputs!$B$29)))</f>
        <v/>
      </c>
      <c r="E2577">
        <f>INDEX(FactorTable!$B$2:$Y$301, MATCH(ROUND(MIN(300,MAX(1,D2577)),0), FactorTable!$A$2:$A$301,0), Skills!M12+1)</f>
        <v/>
      </c>
      <c r="F2577">
        <f>IF(Skills!N12=TRUE,(Skills!L12/10)*(E2577/1000),Skills!L12/10)+Skills!O12</f>
        <v/>
      </c>
      <c r="G2577" t="inlineStr"/>
      <c r="H2577" t="inlineStr"/>
      <c r="I2577" t="inlineStr">
        <is>
          <t>1</t>
        </is>
      </c>
      <c r="J2577" t="inlineStr"/>
      <c r="K2577" t="inlineStr"/>
      <c r="L2577" t="inlineStr"/>
      <c r="M2577" t="inlineStr"/>
      <c r="N2577" t="inlineStr"/>
      <c r="O2577" t="inlineStr"/>
      <c r="P2577" t="inlineStr"/>
      <c r="Q2577" t="inlineStr"/>
      <c r="R2577" t="inlineStr"/>
      <c r="S2577" t="inlineStr"/>
    </row>
    <row r="2578">
      <c r="A2578">
        <f>Skills!A13</f>
        <v/>
      </c>
      <c r="B2578">
        <f>Skills!B13</f>
        <v/>
      </c>
      <c r="C2578">
        <f>Inputs!$B$3&gt;=45</f>
        <v/>
      </c>
      <c r="D2578">
        <f>IF(Skills!C13=1,60+Inputs!$B$25+Inputs!$B$29,IF(Skills!C13=2,90+Inputs!$B$26+Inputs!$B$29,IF(Skills!C13=3,120+Inputs!$B$27+Inputs!$B$29,MAX(0,(Inputs!$B$3-100)*3)+Inputs!$B$28+Inputs!$B$29)))</f>
        <v/>
      </c>
      <c r="E2578">
        <f>INDEX(FactorTable!$B$2:$Y$301, MATCH(ROUND(MIN(300,MAX(1,D2578)),0), FactorTable!$A$2:$A$301,0), Skills!M13+1)</f>
        <v/>
      </c>
      <c r="F2578">
        <f>IF(Skills!N13=TRUE,(Skills!L13/10)*(E2578/1000),Skills!L13/10)+Skills!O13</f>
        <v/>
      </c>
      <c r="G2578">
        <f>Skills!G13*IF(Skills!H13&gt;0,Skills!I13/Skills!H13,1)</f>
        <v/>
      </c>
      <c r="H2578">
        <f>1-(1-Skills!J13/100)^Skills!K13</f>
        <v/>
      </c>
      <c r="I2578" t="inlineStr">
        <is>
          <t>1</t>
        </is>
      </c>
      <c r="J2578" t="inlineStr"/>
      <c r="K2578" t="inlineStr"/>
      <c r="L2578" t="inlineStr"/>
      <c r="M2578" t="inlineStr"/>
      <c r="N2578" t="inlineStr"/>
      <c r="O2578">
        <f>(1-Summary!$B$11)*T2578+Summary!$B$11*V2578</f>
        <v/>
      </c>
      <c r="P2578">
        <f>IF(B2602=0,0,O2578/B2602)</f>
        <v/>
      </c>
      <c r="Q2578" t="n">
        <v>0</v>
      </c>
      <c r="R2578" t="n">
        <v>0</v>
      </c>
      <c r="S2578">
        <f>IFERROR(O2578/N2578,0)</f>
        <v/>
      </c>
      <c r="T2578" t="n">
        <v>0</v>
      </c>
      <c r="V2578" t="n">
        <v>0</v>
      </c>
    </row>
    <row r="2579">
      <c r="A2579">
        <f>Skills!A14</f>
        <v/>
      </c>
      <c r="B2579">
        <f>Skills!B14</f>
        <v/>
      </c>
      <c r="C2579">
        <f>Inputs!$B$3&gt;=110</f>
        <v/>
      </c>
      <c r="D2579">
        <f>IF(Skills!C14=1,60+Inputs!$B$25+Inputs!$B$29,IF(Skills!C14=2,90+Inputs!$B$26+Inputs!$B$29,IF(Skills!C14=3,120+Inputs!$B$27+Inputs!$B$29,MAX(0,(Inputs!$B$3-100)*3)+Inputs!$B$28+Inputs!$B$29)))</f>
        <v/>
      </c>
      <c r="E2579">
        <f>INDEX(FactorTable!$B$2:$Y$301, MATCH(ROUND(MIN(300,MAX(1,D2579)),0), FactorTable!$A$2:$A$301,0), Skills!M14+1)</f>
        <v/>
      </c>
      <c r="F2579">
        <f>IF(Skills!N14=TRUE,(Skills!L14/10)*(E2579/1000),Skills!L14/10)+Skills!O14</f>
        <v/>
      </c>
      <c r="G2579">
        <f>Skills!G14*IF(Skills!H14&gt;0,Skills!I14/Skills!H14,1)</f>
        <v/>
      </c>
      <c r="H2579">
        <f>1-(1-Skills!J14/100)^Skills!K14</f>
        <v/>
      </c>
      <c r="I2579" t="inlineStr">
        <is>
          <t>1</t>
        </is>
      </c>
      <c r="J2579" t="inlineStr"/>
      <c r="K2579" t="inlineStr"/>
      <c r="L2579" t="inlineStr"/>
      <c r="M2579" t="inlineStr"/>
      <c r="N2579" t="inlineStr"/>
      <c r="O2579">
        <f>(1-Summary!$B$11)*T2579+Summary!$B$11*V2579</f>
        <v/>
      </c>
      <c r="P2579">
        <f>IF(B2602=0,0,O2579/B2602)</f>
        <v/>
      </c>
      <c r="Q2579" t="n">
        <v>0</v>
      </c>
      <c r="R2579" t="n">
        <v>0</v>
      </c>
      <c r="S2579">
        <f>IFERROR(O2579/N2579,0)</f>
        <v/>
      </c>
      <c r="T2579" t="n">
        <v>0</v>
      </c>
      <c r="V2579" t="n">
        <v>0</v>
      </c>
    </row>
    <row r="2580">
      <c r="A2580">
        <f>Skills!A15</f>
        <v/>
      </c>
      <c r="B2580">
        <f>Skills!B15</f>
        <v/>
      </c>
      <c r="C2580">
        <f>Inputs!$B$3&gt;=75</f>
        <v/>
      </c>
      <c r="D2580">
        <f>IF(Skills!C15=1,60+Inputs!$B$25+Inputs!$B$29,IF(Skills!C15=2,90+Inputs!$B$26+Inputs!$B$29,IF(Skills!C15=3,120+Inputs!$B$27+Inputs!$B$29,MAX(0,(Inputs!$B$3-100)*3)+Inputs!$B$28+Inputs!$B$29)))</f>
        <v/>
      </c>
      <c r="E2580">
        <f>INDEX(FactorTable!$B$2:$Y$301, MATCH(ROUND(MIN(300,MAX(1,D2580)),0), FactorTable!$A$2:$A$301,0), Skills!M15+1)</f>
        <v/>
      </c>
      <c r="F2580">
        <f>IF(Skills!N15=TRUE,(Skills!L15/10)*(E2580/1000),Skills!L15/10)+Skills!O15</f>
        <v/>
      </c>
      <c r="G2580">
        <f>Skills!G15*IF(Skills!H15&gt;0,Skills!I15/Skills!H15,1)</f>
        <v/>
      </c>
      <c r="H2580">
        <f>1-(1-Skills!J15/100)^Skills!K15</f>
        <v/>
      </c>
      <c r="I2580" t="inlineStr">
        <is>
          <t>1</t>
        </is>
      </c>
      <c r="J2580" t="inlineStr"/>
      <c r="K2580" t="inlineStr"/>
      <c r="L2580" t="inlineStr"/>
      <c r="M2580" t="inlineStr"/>
      <c r="N2580" t="inlineStr"/>
      <c r="O2580">
        <f>(1-Summary!$B$11)*T2580+Summary!$B$11*V2580</f>
        <v/>
      </c>
      <c r="P2580">
        <f>IF(B2602=0,0,O2580/B2602)</f>
        <v/>
      </c>
      <c r="Q2580">
        <f>IFERROR(1/(IF(Inputs!$B$38="pvp",15,MAX(0.1,Skills!D15-IF(Skills!E15=TRUE,0.5,0)))*(1-IF(AND(ArtifactsInput!$M$27,Inputs!$B$4="Chapter Hunt"),CHOOSE(ArtifactsInput!$N$27+1,20,24,28,32,36,40),0)/100)),0)</f>
        <v/>
      </c>
      <c r="R2580">
        <f>IF(AND(Inputs!$B$38&lt;&gt;"pvp",Inputs!$B$43&gt;0),IF(Inputs!$B$43&lt;=0,0,(INT(Inputs!$B$43/(IF(Inputs!$B$38="pvp",15,MAX(0.1,Skills!D15-IF(Skills!E15=TRUE,0.5,0)))*(1-IF(AND(ArtifactsInput!$M$27,Inputs!$B$4="Chapter Hunt"),CHOOSE(ArtifactsInput!$N$27+1,20,24,28,32,36,40),0)/100)))+1)),0)</f>
        <v/>
      </c>
      <c r="S2580">
        <f>IFERROR(O2580/N2580,0)</f>
        <v/>
      </c>
      <c r="T2580" t="n">
        <v>0</v>
      </c>
      <c r="V2580" t="n">
        <v>0</v>
      </c>
    </row>
    <row r="2581">
      <c r="A2581">
        <f>Skills!A16</f>
        <v/>
      </c>
      <c r="B2581">
        <f>Skills!B16</f>
        <v/>
      </c>
      <c r="C2581">
        <f>Inputs!$B$3&gt;=105</f>
        <v/>
      </c>
      <c r="D2581">
        <f>IF(Skills!C16=1,60+Inputs!$B$25+Inputs!$B$29,IF(Skills!C16=2,90+Inputs!$B$26+Inputs!$B$29,IF(Skills!C16=3,120+Inputs!$B$27+Inputs!$B$29,MAX(0,(Inputs!$B$3-100)*3)+Inputs!$B$28+Inputs!$B$29)))</f>
        <v/>
      </c>
      <c r="E2581">
        <f>INDEX(FactorTable!$B$2:$Y$301, MATCH(ROUND(MIN(300,MAX(1,D2581)),0), FactorTable!$A$2:$A$301,0), Skills!M16+1)</f>
        <v/>
      </c>
      <c r="F2581">
        <f>IF(Skills!N16=TRUE,(Skills!L16/10)*(E2581/1000),Skills!L16/10)+Skills!O16</f>
        <v/>
      </c>
      <c r="G2581">
        <f>Skills!G16*IF(Skills!H16&gt;0,Skills!I16/Skills!H16,1)</f>
        <v/>
      </c>
      <c r="H2581">
        <f>1-(1-Skills!J16/100)^Skills!K16</f>
        <v/>
      </c>
      <c r="I2581" t="inlineStr">
        <is>
          <t>1</t>
        </is>
      </c>
      <c r="J2581" t="inlineStr"/>
      <c r="K2581" t="inlineStr"/>
      <c r="L2581" t="inlineStr"/>
      <c r="M2581" t="inlineStr"/>
      <c r="N2581" t="inlineStr"/>
      <c r="O2581">
        <f>(1-Summary!$B$11)*T2581+Summary!$B$11*V2581</f>
        <v/>
      </c>
      <c r="P2581">
        <f>IF(B2602=0,0,O2581/B2602)</f>
        <v/>
      </c>
      <c r="Q2581">
        <f>IFERROR(1/(IF(Inputs!$B$38="pvp",15,MAX(0.1,Skills!D16-IF(Skills!E16=TRUE,0.5,0)))*(1-IF(AND(ArtifactsInput!$M$27,Inputs!$B$4="Chapter Hunt"),CHOOSE(ArtifactsInput!$N$27+1,20,24,28,32,36,40),0)/100)),0)</f>
        <v/>
      </c>
      <c r="R2581">
        <f>IF(AND(Inputs!$B$38&lt;&gt;"pvp",Inputs!$B$43&gt;0),IF(Inputs!$B$43&lt;=0,0,(INT(Inputs!$B$43/(IF(Inputs!$B$38="pvp",15,MAX(0.1,Skills!D16-IF(Skills!E16=TRUE,0.5,0)))*(1-IF(AND(ArtifactsInput!$M$27,Inputs!$B$4="Chapter Hunt"),CHOOSE(ArtifactsInput!$N$27+1,20,24,28,32,36,40),0)/100)))+1)),0)</f>
        <v/>
      </c>
      <c r="S2581">
        <f>IFERROR(O2581/N2581,0)</f>
        <v/>
      </c>
      <c r="T2581" t="n">
        <v>0</v>
      </c>
      <c r="V2581" t="n">
        <v>0</v>
      </c>
    </row>
    <row r="2582">
      <c r="A2582">
        <f>Skills!A17</f>
        <v/>
      </c>
      <c r="B2582">
        <f>Skills!B17</f>
        <v/>
      </c>
      <c r="C2582">
        <f>Inputs!$B$3&gt;=115</f>
        <v/>
      </c>
      <c r="D2582">
        <f>IF(Skills!C17=1,60+Inputs!$B$25+Inputs!$B$29,IF(Skills!C17=2,90+Inputs!$B$26+Inputs!$B$29,IF(Skills!C17=3,120+Inputs!$B$27+Inputs!$B$29,MAX(0,(Inputs!$B$3-100)*3)+Inputs!$B$28+Inputs!$B$29)))</f>
        <v/>
      </c>
      <c r="E2582">
        <f>INDEX(FactorTable!$B$2:$Y$301, MATCH(ROUND(MIN(300,MAX(1,D2582)),0), FactorTable!$A$2:$A$301,0), Skills!M17+1)</f>
        <v/>
      </c>
      <c r="F2582">
        <f>IF(Skills!N17=TRUE,(Skills!L17/10)*(E2582/1000),Skills!L17/10)+Skills!O17</f>
        <v/>
      </c>
      <c r="G2582">
        <f>Skills!G17*IF(Skills!H17&gt;0,Skills!I17/Skills!H17,1)</f>
        <v/>
      </c>
      <c r="H2582">
        <f>1-(1-Skills!J17/100)^Skills!K17</f>
        <v/>
      </c>
      <c r="I2582" t="inlineStr">
        <is>
          <t>1</t>
        </is>
      </c>
      <c r="J2582" t="inlineStr"/>
      <c r="K2582" t="inlineStr"/>
      <c r="L2582" t="inlineStr"/>
      <c r="M2582" t="inlineStr"/>
      <c r="N2582" t="inlineStr"/>
      <c r="O2582">
        <f>(1-Summary!$B$11)*T2582+Summary!$B$11*V2582</f>
        <v/>
      </c>
      <c r="P2582">
        <f>IF(B2602=0,0,O2582/B2602)</f>
        <v/>
      </c>
      <c r="Q2582">
        <f>IFERROR(1/(IF(Inputs!$B$38="pvp",15,MAX(0.1,Skills!D17-IF(Skills!E17=TRUE,0.5,0)))*(1-IF(AND(ArtifactsInput!$M$27,Inputs!$B$4="Chapter Hunt"),CHOOSE(ArtifactsInput!$N$27+1,20,24,28,32,36,40),0)/100)),0)</f>
        <v/>
      </c>
      <c r="R2582">
        <f>IF(AND(Inputs!$B$38&lt;&gt;"pvp",Inputs!$B$43&gt;0),IF(Inputs!$B$43&lt;=0,0,(INT(Inputs!$B$43/(IF(Inputs!$B$38="pvp",15,MAX(0.1,Skills!D17-IF(Skills!E17=TRUE,0.5,0)))*(1-IF(AND(ArtifactsInput!$M$27,Inputs!$B$4="Chapter Hunt"),CHOOSE(ArtifactsInput!$N$27+1,20,24,28,32,36,40),0)/100)))+1)),0)</f>
        <v/>
      </c>
      <c r="S2582">
        <f>IFERROR(O2582/N2582,0)</f>
        <v/>
      </c>
      <c r="T2582" t="n">
        <v>0</v>
      </c>
      <c r="V2582" t="n">
        <v>0</v>
      </c>
    </row>
    <row r="2583">
      <c r="A2583">
        <f>Skills!A18</f>
        <v/>
      </c>
      <c r="B2583">
        <f>Skills!B18</f>
        <v/>
      </c>
      <c r="C2583">
        <f>Inputs!$B$3&gt;=74</f>
        <v/>
      </c>
      <c r="D2583">
        <f>IF(Skills!C18=1,60+Inputs!$B$25+Inputs!$B$29,IF(Skills!C18=2,90+Inputs!$B$26+Inputs!$B$29,IF(Skills!C18=3,120+Inputs!$B$27+Inputs!$B$29,MAX(0,(Inputs!$B$3-100)*3)+Inputs!$B$28+Inputs!$B$29)))</f>
        <v/>
      </c>
      <c r="E2583">
        <f>INDEX(FactorTable!$B$2:$Y$301, MATCH(ROUND(MIN(300,MAX(1,D2583)),0), FactorTable!$A$2:$A$301,0), Skills!M18+1)</f>
        <v/>
      </c>
      <c r="F2583">
        <f>IF(Skills!N18=TRUE,(Skills!L18/10)*(E2583/1000),Skills!L18/10)+Skills!O18</f>
        <v/>
      </c>
      <c r="G2583">
        <f>Skills!G18*IF(Skills!H18&gt;0,Skills!I18/Skills!H18,1)</f>
        <v/>
      </c>
      <c r="H2583">
        <f>1-(1-Skills!J18/100)^Skills!K18</f>
        <v/>
      </c>
      <c r="I2583" t="inlineStr">
        <is>
          <t>1</t>
        </is>
      </c>
      <c r="J2583" t="inlineStr"/>
      <c r="K2583" t="inlineStr"/>
      <c r="L2583" t="inlineStr"/>
      <c r="M2583" t="inlineStr"/>
      <c r="N2583" t="inlineStr"/>
      <c r="O2583">
        <f>(1-Summary!$B$11)*T2583+Summary!$B$11*V2583</f>
        <v/>
      </c>
      <c r="P2583">
        <f>IF(B2602=0,0,O2583/B2602)</f>
        <v/>
      </c>
      <c r="Q2583">
        <f>IFERROR(1/(IF(Inputs!$B$38="pvp",15,MAX(0.1,Skills!D18-IF(Skills!E18=TRUE,0.5,0)))*(1-IF(AND(ArtifactsInput!$M$27,Inputs!$B$4="Chapter Hunt"),CHOOSE(ArtifactsInput!$N$27+1,20,24,28,32,36,40),0)/100)),0)</f>
        <v/>
      </c>
      <c r="R2583">
        <f>IF(AND(Inputs!$B$38&lt;&gt;"pvp",Inputs!$B$43&gt;0),IF(Inputs!$B$43&lt;=0,0,(INT(Inputs!$B$43/(IF(Inputs!$B$38="pvp",15,MAX(0.1,Skills!D18-IF(Skills!E18=TRUE,0.5,0)))*(1-IF(AND(ArtifactsInput!$M$27,Inputs!$B$4="Chapter Hunt"),CHOOSE(ArtifactsInput!$N$27+1,20,24,28,32,36,40),0)/100)))+1)),0)</f>
        <v/>
      </c>
      <c r="S2583">
        <f>IFERROR(O2583/N2583,0)</f>
        <v/>
      </c>
      <c r="T2583" t="n">
        <v>0</v>
      </c>
      <c r="V2583" t="n">
        <v>0</v>
      </c>
    </row>
    <row r="2584">
      <c r="A2584">
        <f>Skills!A19</f>
        <v/>
      </c>
      <c r="B2584">
        <f>Skills!B19</f>
        <v/>
      </c>
      <c r="C2584">
        <f>TRUE</f>
        <v/>
      </c>
      <c r="D2584">
        <f>IF(Skills!C19=1,60+Inputs!$B$25+Inputs!$B$29,IF(Skills!C19=2,90+Inputs!$B$26+Inputs!$B$29,IF(Skills!C19=3,120+Inputs!$B$27+Inputs!$B$29,MAX(0,(Inputs!$B$3-100)*3)+Inputs!$B$28+Inputs!$B$29)))</f>
        <v/>
      </c>
      <c r="E2584">
        <f>INDEX(FactorTable!$B$2:$Y$301, MATCH(ROUND(MIN(300,MAX(1,D2584)),0), FactorTable!$A$2:$A$301,0), Skills!M19+1)</f>
        <v/>
      </c>
      <c r="F2584">
        <f>IF(Skills!N19=TRUE,(Skills!L19/10)*(E2584/1000),Skills!L19/10)+Skills!O19</f>
        <v/>
      </c>
      <c r="G2584">
        <f>Skills!G19*IF(Skills!H19&gt;0,Skills!I19/Skills!H19,1)</f>
        <v/>
      </c>
      <c r="H2584">
        <f>1-(1-Skills!J19/100)^Skills!K19</f>
        <v/>
      </c>
      <c r="I2584" t="inlineStr">
        <is>
          <t>1</t>
        </is>
      </c>
      <c r="J2584" t="inlineStr"/>
      <c r="K2584" t="inlineStr"/>
      <c r="L2584" t="inlineStr"/>
      <c r="M2584" t="inlineStr"/>
      <c r="N2584" t="inlineStr"/>
      <c r="O2584">
        <f>(1-Summary!$B$11)*T2584+Summary!$B$11*V2584</f>
        <v/>
      </c>
      <c r="P2584">
        <f>IF(B2602=0,0,O2584/B2602)</f>
        <v/>
      </c>
      <c r="Q2584">
        <f>IFERROR(1/(IF(Inputs!$B$38="pvp",15,MAX(0.1,Skills!D19-IF(Skills!E19=TRUE,0.5,0)))*(1-IF(AND(ArtifactsInput!$M$27,Inputs!$B$4="Chapter Hunt"),CHOOSE(ArtifactsInput!$N$27+1,20,24,28,32,36,40),0)/100)),0)</f>
        <v/>
      </c>
      <c r="R2584">
        <f>IF(AND(Inputs!$B$38&lt;&gt;"pvp",Inputs!$B$43&gt;0),IF(Inputs!$B$43&lt;=0,0,(INT(Inputs!$B$43/(IF(Inputs!$B$38="pvp",15,MAX(0.1,Skills!D19-IF(Skills!E19=TRUE,0.5,0)))*(1-IF(AND(ArtifactsInput!$M$27,Inputs!$B$4="Chapter Hunt"),CHOOSE(ArtifactsInput!$N$27+1,20,24,28,32,36,40),0)/100)))+1)),0)</f>
        <v/>
      </c>
      <c r="S2584">
        <f>IFERROR(O2584/N2584,0)</f>
        <v/>
      </c>
      <c r="T2584" t="n">
        <v>0</v>
      </c>
      <c r="V2584" t="n">
        <v>0</v>
      </c>
    </row>
    <row r="2585">
      <c r="A2585">
        <f>Skills!A20</f>
        <v/>
      </c>
      <c r="B2585">
        <f>Skills!B20</f>
        <v/>
      </c>
      <c r="C2585">
        <f>Inputs!$B$3&gt;=33</f>
        <v/>
      </c>
      <c r="D2585">
        <f>IF(Skills!C20=1,60+Inputs!$B$25+Inputs!$B$29,IF(Skills!C20=2,90+Inputs!$B$26+Inputs!$B$29,IF(Skills!C20=3,120+Inputs!$B$27+Inputs!$B$29,MAX(0,(Inputs!$B$3-100)*3)+Inputs!$B$28+Inputs!$B$29)))</f>
        <v/>
      </c>
      <c r="E2585">
        <f>INDEX(FactorTable!$B$2:$Y$301, MATCH(ROUND(MIN(300,MAX(1,D2585)),0), FactorTable!$A$2:$A$301,0), Skills!M20+1)</f>
        <v/>
      </c>
      <c r="F2585">
        <f>IF(Skills!N20=TRUE,(Skills!L20/10)*(E2585/1000),Skills!L20/10)+Skills!O20</f>
        <v/>
      </c>
      <c r="G2585">
        <f>Skills!G20*IF(Skills!H20&gt;0,Skills!I20/Skills!H20,1)</f>
        <v/>
      </c>
      <c r="H2585">
        <f>1-(1-Skills!J20/100)^Skills!K20</f>
        <v/>
      </c>
      <c r="I2585" t="inlineStr">
        <is>
          <t>1</t>
        </is>
      </c>
      <c r="J2585" t="inlineStr"/>
      <c r="K2585" t="inlineStr"/>
      <c r="L2585" t="inlineStr"/>
      <c r="M2585" t="inlineStr"/>
      <c r="N2585" t="inlineStr"/>
      <c r="O2585">
        <f>(1-Summary!$B$11)*T2585+Summary!$B$11*V2585</f>
        <v/>
      </c>
      <c r="P2585">
        <f>IF(B2602=0,0,O2585/B2602)</f>
        <v/>
      </c>
      <c r="Q2585" t="n">
        <v>0</v>
      </c>
      <c r="R2585" t="n">
        <v>0</v>
      </c>
      <c r="S2585">
        <f>IFERROR(O2585/N2585,0)</f>
        <v/>
      </c>
      <c r="T2585" t="n">
        <v>0</v>
      </c>
      <c r="V2585" t="n">
        <v>0</v>
      </c>
    </row>
    <row r="2586">
      <c r="A2586">
        <f>Skills!A21</f>
        <v/>
      </c>
      <c r="B2586">
        <f>Skills!B21</f>
        <v/>
      </c>
      <c r="C2586">
        <f>Inputs!$B$3&gt;=38</f>
        <v/>
      </c>
      <c r="D2586">
        <f>IF(Skills!C21=1,60+Inputs!$B$25+Inputs!$B$29,IF(Skills!C21=2,90+Inputs!$B$26+Inputs!$B$29,IF(Skills!C21=3,120+Inputs!$B$27+Inputs!$B$29,MAX(0,(Inputs!$B$3-100)*3)+Inputs!$B$28+Inputs!$B$29)))</f>
        <v/>
      </c>
      <c r="E2586">
        <f>INDEX(FactorTable!$B$2:$Y$301, MATCH(ROUND(MIN(300,MAX(1,D2586)),0), FactorTable!$A$2:$A$301,0), Skills!M21+1)</f>
        <v/>
      </c>
      <c r="F2586">
        <f>IF(Skills!N21=TRUE,(Skills!L21/10)*(E2586/1000),Skills!L21/10)+Skills!O21</f>
        <v/>
      </c>
      <c r="G2586">
        <f>Skills!G21*IF(Skills!H21&gt;0,Skills!I21/Skills!H21,1)</f>
        <v/>
      </c>
      <c r="H2586">
        <f>1-(1-Skills!J21/100)^Skills!K21</f>
        <v/>
      </c>
      <c r="I2586" t="inlineStr">
        <is>
          <t>1</t>
        </is>
      </c>
      <c r="J2586" t="inlineStr"/>
      <c r="K2586" t="inlineStr"/>
      <c r="L2586" t="inlineStr"/>
      <c r="M2586" t="inlineStr"/>
      <c r="N2586" t="inlineStr"/>
      <c r="O2586">
        <f>(1-Summary!$B$11)*T2586+Summary!$B$11*V2586</f>
        <v/>
      </c>
      <c r="P2586">
        <f>IF(B2602=0,0,O2586/B2602)</f>
        <v/>
      </c>
      <c r="Q2586" t="n">
        <v>0</v>
      </c>
      <c r="R2586" t="n">
        <v>0</v>
      </c>
      <c r="S2586">
        <f>IFERROR(O2586/N2586,0)</f>
        <v/>
      </c>
      <c r="T2586" t="n">
        <v>0</v>
      </c>
      <c r="V2586" t="n">
        <v>0</v>
      </c>
    </row>
    <row r="2587">
      <c r="A2587">
        <f>Skills!A22</f>
        <v/>
      </c>
      <c r="B2587">
        <f>Skills!B22</f>
        <v/>
      </c>
      <c r="C2587">
        <f>Inputs!$B$3&gt;=43</f>
        <v/>
      </c>
      <c r="D2587">
        <f>IF(Skills!C22=1,60+Inputs!$B$25+Inputs!$B$29,IF(Skills!C22=2,90+Inputs!$B$26+Inputs!$B$29,IF(Skills!C22=3,120+Inputs!$B$27+Inputs!$B$29,MAX(0,(Inputs!$B$3-100)*3)+Inputs!$B$28+Inputs!$B$29)))</f>
        <v/>
      </c>
      <c r="E2587">
        <f>INDEX(FactorTable!$B$2:$Y$301, MATCH(ROUND(MIN(300,MAX(1,D2587)),0), FactorTable!$A$2:$A$301,0), Skills!M22+1)</f>
        <v/>
      </c>
      <c r="F2587">
        <f>IF(Skills!N22=TRUE,(Skills!L22/10)*(E2587/1000),Skills!L22/10)+Skills!O22</f>
        <v/>
      </c>
      <c r="G2587">
        <f>Skills!G22*IF(Skills!H22&gt;0,Skills!I22/Skills!H22,1)</f>
        <v/>
      </c>
      <c r="H2587">
        <f>1-(1-Skills!J22/100)^Skills!K22</f>
        <v/>
      </c>
      <c r="I2587" t="inlineStr">
        <is>
          <t>1</t>
        </is>
      </c>
      <c r="J2587" t="inlineStr"/>
      <c r="K2587" t="inlineStr"/>
      <c r="L2587" t="inlineStr"/>
      <c r="M2587" t="inlineStr"/>
      <c r="N2587" t="inlineStr"/>
      <c r="O2587">
        <f>(1-Summary!$B$11)*T2587+Summary!$B$11*V2587</f>
        <v/>
      </c>
      <c r="P2587">
        <f>IF(B2602=0,0,O2587/B2602)</f>
        <v/>
      </c>
      <c r="Q2587" t="n">
        <v>0</v>
      </c>
      <c r="R2587" t="n">
        <v>0</v>
      </c>
      <c r="S2587">
        <f>IFERROR(O2587/N2587,0)</f>
        <v/>
      </c>
      <c r="T2587" t="n">
        <v>0</v>
      </c>
      <c r="V2587" t="n">
        <v>0</v>
      </c>
    </row>
    <row r="2588">
      <c r="A2588">
        <f>Skills!A23</f>
        <v/>
      </c>
      <c r="B2588">
        <f>Skills!B23</f>
        <v/>
      </c>
      <c r="C2588">
        <f>Inputs!$B$3&gt;=120</f>
        <v/>
      </c>
      <c r="D2588">
        <f>IF(Skills!C23=1,60+Inputs!$B$25+Inputs!$B$29,IF(Skills!C23=2,90+Inputs!$B$26+Inputs!$B$29,IF(Skills!C23=3,120+Inputs!$B$27+Inputs!$B$29,MAX(0,(Inputs!$B$3-100)*3)+Inputs!$B$28+Inputs!$B$29)))</f>
        <v/>
      </c>
      <c r="E2588">
        <f>INDEX(FactorTable!$B$2:$Y$301, MATCH(ROUND(MIN(300,MAX(1,D2588)),0), FactorTable!$A$2:$A$301,0), Skills!M23+1)</f>
        <v/>
      </c>
      <c r="F2588">
        <f>IF(Skills!N23=TRUE,(Skills!L23/10)*(E2588/1000),Skills!L23/10)+Skills!O23</f>
        <v/>
      </c>
      <c r="G2588">
        <f>Skills!G23*IF(Skills!H23&gt;0,Skills!I23/Skills!H23,1)</f>
        <v/>
      </c>
      <c r="H2588">
        <f>1-(1-Skills!J23/100)^Skills!K23</f>
        <v/>
      </c>
      <c r="I2588" t="inlineStr">
        <is>
          <t>1</t>
        </is>
      </c>
      <c r="J2588" t="inlineStr"/>
      <c r="K2588" t="inlineStr"/>
      <c r="L2588" t="inlineStr"/>
      <c r="M2588" t="inlineStr"/>
      <c r="N2588" t="inlineStr"/>
      <c r="O2588">
        <f>(1-Summary!$B$11)*T2588+Summary!$B$11*V2588</f>
        <v/>
      </c>
      <c r="P2588">
        <f>IF(B2602=0,0,O2588/B2602)</f>
        <v/>
      </c>
      <c r="Q2588" t="n">
        <v>0</v>
      </c>
      <c r="R2588" t="n">
        <v>0</v>
      </c>
      <c r="S2588">
        <f>IFERROR(O2588/N2588,0)</f>
        <v/>
      </c>
      <c r="T2588" t="n">
        <v>0</v>
      </c>
      <c r="V2588" t="n">
        <v>0</v>
      </c>
    </row>
    <row r="2589">
      <c r="A2589">
        <f>Skills!A24</f>
        <v/>
      </c>
      <c r="B2589">
        <f>Skills!B24</f>
        <v/>
      </c>
      <c r="C2589">
        <f>Inputs!$B$3&gt;=120</f>
        <v/>
      </c>
      <c r="D2589">
        <f>IF(Skills!C24=1,60+Inputs!$B$25+Inputs!$B$29,IF(Skills!C24=2,90+Inputs!$B$26+Inputs!$B$29,IF(Skills!C24=3,120+Inputs!$B$27+Inputs!$B$29,MAX(0,(Inputs!$B$3-100)*3)+Inputs!$B$28+Inputs!$B$29)))</f>
        <v/>
      </c>
      <c r="E2589">
        <f>INDEX(FactorTable!$B$2:$Y$301, MATCH(ROUND(MIN(300,MAX(1,D2589)),0), FactorTable!$A$2:$A$301,0), Skills!M24+1)</f>
        <v/>
      </c>
      <c r="F2589">
        <f>IF(Skills!N24=TRUE,(Skills!L24/10)*(E2589/1000),Skills!L24/10)+Skills!O24</f>
        <v/>
      </c>
      <c r="G2589">
        <f>Skills!G24*IF(Skills!H24&gt;0,Skills!I24/Skills!H24,1)</f>
        <v/>
      </c>
      <c r="H2589">
        <f>1-(1-Skills!J24/100)^Skills!K24</f>
        <v/>
      </c>
      <c r="I2589" t="inlineStr">
        <is>
          <t>1</t>
        </is>
      </c>
      <c r="J2589" t="inlineStr"/>
      <c r="K2589" t="inlineStr"/>
      <c r="L2589" t="inlineStr"/>
      <c r="M2589" t="inlineStr"/>
      <c r="N2589" t="inlineStr"/>
      <c r="O2589">
        <f>(1-Summary!$B$11)*T2589+Summary!$B$11*V2589</f>
        <v/>
      </c>
      <c r="P2589">
        <f>IF(B2602=0,0,O2589/B2602)</f>
        <v/>
      </c>
      <c r="Q2589" t="n">
        <v>0</v>
      </c>
      <c r="R2589" t="n">
        <v>0</v>
      </c>
      <c r="S2589">
        <f>IFERROR(O2589/N2589,0)</f>
        <v/>
      </c>
      <c r="T2589" t="n">
        <v>0</v>
      </c>
      <c r="V2589" t="n">
        <v>0</v>
      </c>
    </row>
    <row r="2591">
      <c r="A2591" t="inlineStr">
        <is>
          <t>Attack% Bucket Multiplier</t>
        </is>
      </c>
      <c r="B2591">
        <f>(1+(((C2578=TRUE)*F2578*MIN(1,Skills!T13*(Skills!J13/100)*B2596))+((C2583=TRUE)*F2583*IF(AND(Inputs!$B$38&lt;&gt;"pvp",Inputs!$B$43&gt;0),(((R2583-1)*(Skills!T18*(1+Inputs!$B$34/100))+MIN((Skills!T18*(1+Inputs!$B$34/100)),MAX(0,Inputs!$B$43-((R2583-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92">
      <c r="A2592" t="inlineStr">
        <is>
          <t>Global Crit Rate Bonus %</t>
        </is>
      </c>
      <c r="B2592" t="n">
        <v>0</v>
      </c>
    </row>
    <row r="2593">
      <c r="A2593" t="inlineStr">
        <is>
          <t>Attack Speed Buff Bonus %</t>
        </is>
      </c>
      <c r="B2593">
        <f>((C2584=TRUE)*F2584*IF(AND(Inputs!$B$38&lt;&gt;"pvp",Inputs!$B$43&gt;0),(((R2584-1)*(Skills!T19*(1+Inputs!$B$34/100))+MIN((Skills!T19*(1+Inputs!$B$34/100)),MAX(0,Inputs!$B$43-((R2584-1)*Skills!D19))))/Inputs!$B$43),IF(Inputs!$B$38="pvp",MIN((Skills!T19*(1+Inputs!$B$34/100)),15)/15,(Skills!T19*(1+Inputs!$B$34/100))/Skills!D19)))</f>
        <v/>
      </c>
    </row>
    <row r="2594">
      <c r="A2594" t="inlineStr">
        <is>
          <t>Actions Per Second</t>
        </is>
      </c>
      <c r="B2594">
        <f>1+MIN(150,150*(1-(1-(Inputs!$B$11+((C2585=TRUE)*(F2585-Calc!F20)))/150)*(1-B2593/150)))/100</f>
        <v/>
      </c>
    </row>
    <row r="2595">
      <c r="A2595" t="inlineStr">
        <is>
          <t>Skill + Buff Cast Rate</t>
        </is>
      </c>
      <c r="B2595">
        <f>IF(AND(Inputs!$B$38&lt;&gt;"pvp",Inputs!$B$43&gt;0),SUMPRODUCT((Skills!E2:E24=TRUE)*(C2567:C2589=TRUE)*R2567:R2589*Skills!F2:F24)/Inputs!$B$43,SUMPRODUCT((Skills!E2:E24=TRUE)*(C2567:C2589=TRUE)*Q2567:Q2589*Skills!F2:F24))</f>
        <v/>
      </c>
    </row>
    <row r="2596">
      <c r="A2596" t="inlineStr">
        <is>
          <t>Blast Casts Per Second</t>
        </is>
      </c>
      <c r="B2596">
        <f>MAX(0,B2594-B2595)</f>
        <v/>
      </c>
    </row>
    <row r="2597">
      <c r="A2597" t="inlineStr">
        <is>
          <t>Global Critical Damage Bonus % (unused)</t>
        </is>
      </c>
      <c r="B2597" t="n">
        <v>0</v>
      </c>
    </row>
    <row r="2598">
      <c r="A2598" t="inlineStr">
        <is>
          <t>Global Final Damage Bonus % (Divine Shield + Guardian + Divine Blessing + Greater Vessel of Light)</t>
        </is>
      </c>
      <c r="B2598">
        <f>((C2580=TRUE)*F2580*IF(AND(Inputs!$B$38&lt;&gt;"pvp",Inputs!$B$43&gt;0),(((R2580-1)*(Skills!T15*(1+Inputs!$B$34/100))+MIN((Skills!T15*(1+Inputs!$B$34/100)),MAX(0,Inputs!$B$43-((R2580-1)*Skills!D15))))/Inputs!$B$43),IF(Inputs!$B$38="pvp",MIN((Skills!T15*(1+Inputs!$B$34/100)),15)/15,(Skills!T15*(1+Inputs!$B$34/100))/Skills!D15)))+((C2581=TRUE)*F2581*IF(AND(Inputs!$B$38&lt;&gt;"pvp",Inputs!$B$43&gt;0),(((R2581-1)*(Skills!T16*(1+Inputs!$B$34/100))+MIN((Skills!T16*(1+Inputs!$B$34/100)),MAX(0,Inputs!$B$43-((R2581-1)*Skills!D16))))/Inputs!$B$43),IF(Inputs!$B$38="pvp",MIN((Skills!T16*(1+Inputs!$B$34/100)),15)/15,(Skills!T16*(1+Inputs!$B$34/100))/Skills!D16)))+((C2582=TRUE)*F2582*IF(AND(Inputs!$B$38&lt;&gt;"pvp",Inputs!$B$43&gt;0),(((R2582-1)*(Skills!T17*(1+Inputs!$B$34/100))+MIN((Skills!T17*(1+Inputs!$B$34/100)),MAX(0,Inputs!$B$43-((R2582-1)*Skills!D17))))/Inputs!$B$43),IF(Inputs!$B$38="pvp",MIN((Skills!T17*(1+Inputs!$B$34/100)),15)/15,(Skills!T17*(1+Inputs!$B$34/100))/Skills!D17)))+((C2579=TRUE)*F2579*MIN(1,Skills!T13*(Skills!J13/100)*B2596))</f>
        <v/>
      </c>
    </row>
    <row r="2599">
      <c r="A2599" t="inlineStr">
        <is>
          <t>Buff-Casting Startup Delay (s, fixed-duration only)</t>
        </is>
      </c>
      <c r="B2599">
        <f>IF(AND(Inputs!$B$38&lt;&gt;"pvp",Inputs!$B$43&gt;0),SUMPRODUCT((Skills!T2:T24&gt;0)*(Skills!E2:E24=TRUE)*(C2567:C2589=TRUE))/B2594,0)</f>
        <v/>
      </c>
    </row>
    <row r="2600">
      <c r="A2600" t="inlineStr">
        <is>
          <t>Boss-Only Total DPS (this block's swept value)</t>
        </is>
      </c>
      <c r="B2600">
        <f>SUM(T2567:T2589)</f>
        <v/>
      </c>
    </row>
    <row r="2601">
      <c r="A2601" t="inlineStr">
        <is>
          <t>Normal-Only Total DPS (this block's swept value)</t>
        </is>
      </c>
      <c r="B2601">
        <f>SUM(V2567:V2589)</f>
        <v/>
      </c>
    </row>
    <row r="2602">
      <c r="A2602" s="6" t="inlineStr">
        <is>
          <t>TOTAL DPS</t>
        </is>
      </c>
      <c r="B2602" s="6">
        <f>SUM(O2567:O2589)</f>
        <v/>
      </c>
    </row>
    <row r="2605">
      <c r="A2605" s="6" t="inlineStr">
        <is>
          <t>Stat: CDR = 1.0s</t>
        </is>
      </c>
    </row>
    <row r="2606">
      <c r="A2606" s="5" t="inlineStr">
        <is>
          <t>Key</t>
        </is>
      </c>
      <c r="B2606" s="5" t="inlineStr">
        <is>
          <t>Name</t>
        </is>
      </c>
      <c r="C2606" s="5" t="inlineStr">
        <is>
          <t>Unlocked</t>
        </is>
      </c>
      <c r="D2606" s="5" t="inlineStr">
        <is>
          <t>InputLevel</t>
        </is>
      </c>
      <c r="E2606" s="5" t="inlineStr">
        <is>
          <t>Factor</t>
        </is>
      </c>
      <c r="F2606" s="5" t="inlineStr">
        <is>
          <t>CoefficientPercent</t>
        </is>
      </c>
      <c r="G2606" s="5" t="inlineStr">
        <is>
          <t>EffectiveHits</t>
        </is>
      </c>
      <c r="H2606" s="5" t="inlineStr">
        <is>
          <t>ProcProbability</t>
        </is>
      </c>
      <c r="I2606" s="5" t="inlineStr">
        <is>
          <t>MapleHeroMultiplier</t>
        </is>
      </c>
      <c r="J2606" s="5" t="inlineStr">
        <is>
          <t>BaseDamage</t>
        </is>
      </c>
      <c r="K2606" s="5" t="inlineStr">
        <is>
          <t>BaseHitDamage</t>
        </is>
      </c>
      <c r="L2606" s="5" t="inlineStr">
        <is>
          <t>NonCritAvg</t>
        </is>
      </c>
      <c r="M2606" s="5" t="inlineStr">
        <is>
          <t>CritAvg</t>
        </is>
      </c>
      <c r="N2606" s="5" t="inlineStr">
        <is>
          <t>ExpectedDamage(perHit)</t>
        </is>
      </c>
      <c r="O2606" s="5" t="inlineStr">
        <is>
          <t>DPS</t>
        </is>
      </c>
      <c r="P2606" s="5" t="inlineStr">
        <is>
          <t>% of Total</t>
        </is>
      </c>
      <c r="Q2606" s="5" t="inlineStr">
        <is>
          <t>InvCooldown</t>
        </is>
      </c>
      <c r="R2606" s="5" t="inlineStr">
        <is>
          <t>CastsInFight</t>
        </is>
      </c>
      <c r="S2606" s="5" t="inlineStr">
        <is>
          <t>HitRate(perSec)</t>
        </is>
      </c>
      <c r="U2606" t="inlineStr">
        <is>
          <t>helpers</t>
        </is>
      </c>
    </row>
    <row r="2607">
      <c r="A2607">
        <f>Skills!A2</f>
        <v/>
      </c>
      <c r="B2607">
        <f>Skills!B2</f>
        <v/>
      </c>
      <c r="C2607">
        <f>Inputs!$B$3&gt;=100</f>
        <v/>
      </c>
      <c r="D2607" t="inlineStr"/>
      <c r="E2607" t="inlineStr"/>
      <c r="F2607">
        <f>U2609+Skills!O2</f>
        <v/>
      </c>
      <c r="G2607">
        <f>Skills!G2*IF(Skills!H2&gt;0,Skills!I2/Skills!H2,1)</f>
        <v/>
      </c>
      <c r="H2607">
        <f>1-(1-Skills!J2/100)^Skills!K2</f>
        <v/>
      </c>
      <c r="I2607" t="inlineStr">
        <is>
          <t>1</t>
        </is>
      </c>
      <c r="J2607">
        <f>((Inputs!$B$6*(1+Inputs!$B$7/100))+(((Inputs!$B$12*(1+Inputs!$B$13/100))-(Inputs!$B$12*(1+Inputs!$B$13/100)))+0.25*(Inputs!$B$14-Inputs!$B$14))*(1+Inputs!$B$7/100))*(F2607/100)</f>
        <v/>
      </c>
      <c r="K2607">
        <f>J2607*(1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2607)</f>
        <v/>
      </c>
      <c r="L2607">
        <f>K2607*(MIN(Inputs!$B$22+((C2627=TRUE)*(F2627-Calc!F22)),(Inputs!$B$23+((C2629=TRUE)*(F2629-Calc!F24))+(IF(ArtifactsInput!$M$15,CHOOSE(ArtifactsInput!$N$15+1,25,30,35,40,45,50)/100*(Inputs!$B$11-Inputs!$B$11),0))))/100+(Inputs!$B$23+((C2629=TRUE)*(F2629-Calc!F24))+(IF(ArtifactsInput!$M$15,CHOOSE(ArtifactsInput!$N$15+1,25,30,35,40,45,50)/100*(Inputs!$B$11-Inputs!$B$11),0)))/100)/2</f>
        <v/>
      </c>
      <c r="M2607">
        <f>L2607*(1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7">
        <f>L2607*(1-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2607*(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7">
        <f>(1-Summary!$B$11)*T2607+Summary!$B$11*V2607</f>
        <v/>
      </c>
      <c r="P2607">
        <f>IF(B2642=0,0,O2607/B2642)</f>
        <v/>
      </c>
      <c r="Q2607" t="n">
        <v>0</v>
      </c>
      <c r="R2607" t="n">
        <v>0</v>
      </c>
      <c r="S2607">
        <f>IFERROR(O2607/N2607,0)</f>
        <v/>
      </c>
      <c r="T2607">
        <f>IF(C2607,(Skills!G2*N2607*B2636)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2607*(1-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2607*(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2607*(1-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2607*(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7">
        <f>MAX(0,(Inputs!$B$3-100)*3)+Inputs!$B$28+Inputs!$B$29</f>
        <v/>
      </c>
      <c r="V2607">
        <f>IF(C2607,(Skills!G2*N2607*B2636)*IF(Inputs!$B$38="pvp",1,(1+(Inputs!$B$21+Skills!Q2+(IF(ArtifactsInput!$M$33,CHOOSE(ArtifactsInput!$N$33+1,30,36,42,48,54,60),0))+(IF(AND(ArtifactsInput!$M$35,Inputs!$B$4&lt;&gt;"Chapter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8">
      <c r="A2608">
        <f>Skills!A3</f>
        <v/>
      </c>
      <c r="B2608">
        <f>Skills!B3</f>
        <v/>
      </c>
      <c r="C2608">
        <f>Inputs!$B$3&gt;=50</f>
        <v/>
      </c>
      <c r="D2608">
        <f>IF(Skills!C3=1,60+Inputs!$B$25+Inputs!$B$29,IF(Skills!C3=2,90+Inputs!$B$26+Inputs!$B$29,IF(Skills!C3=3,120+Inputs!$B$27+Inputs!$B$29,MAX(0,(Inputs!$B$3-100)*3)+Inputs!$B$28+Inputs!$B$29)))</f>
        <v/>
      </c>
      <c r="E2608">
        <f>INDEX(FactorTable!$B$2:$Y$301, MATCH(ROUND(MIN(300,MAX(1,D2608)),0), FactorTable!$A$2:$A$301,0), Skills!M3+1)</f>
        <v/>
      </c>
      <c r="F2608">
        <f>IF(Skills!N3=TRUE,(Skills!L3/10)*(E2608/1000),Skills!L3/10)+Skills!O3</f>
        <v/>
      </c>
      <c r="G2608" t="inlineStr"/>
      <c r="H2608" t="inlineStr"/>
      <c r="I2608" t="inlineStr">
        <is>
          <t>1</t>
        </is>
      </c>
      <c r="J2608" t="inlineStr"/>
      <c r="K2608" t="inlineStr"/>
      <c r="L2608" t="inlineStr"/>
      <c r="M2608" t="inlineStr"/>
      <c r="N2608" t="inlineStr"/>
      <c r="O2608" t="inlineStr"/>
      <c r="P2608" t="inlineStr"/>
      <c r="Q2608" t="inlineStr"/>
      <c r="R2608" t="inlineStr"/>
      <c r="S2608" t="inlineStr"/>
      <c r="U2608">
        <f>INDEX(FactorTable!$B$2:$Y$301, MATCH(ROUND(MIN(300,MAX(1,U2607)),0), FactorTable!$A$2:$A$301,0), 22)</f>
        <v/>
      </c>
    </row>
    <row r="2609">
      <c r="A2609">
        <f>Skills!A4</f>
        <v/>
      </c>
      <c r="B2609">
        <f>Skills!B4</f>
        <v/>
      </c>
      <c r="C2609">
        <f>Inputs!$B$3&gt;=35</f>
        <v/>
      </c>
      <c r="D2609">
        <f>IF(Skills!C4=1,60+Inputs!$B$25+Inputs!$B$29,IF(Skills!C4=2,90+Inputs!$B$26+Inputs!$B$29,IF(Skills!C4=3,120+Inputs!$B$27+Inputs!$B$29,MAX(0,(Inputs!$B$3-100)*3)+Inputs!$B$28+Inputs!$B$29)))</f>
        <v/>
      </c>
      <c r="E2609">
        <f>INDEX(FactorTable!$B$2:$Y$301, MATCH(ROUND(MIN(300,MAX(1,D2609)),0), FactorTable!$A$2:$A$301,0), Skills!M4+1)</f>
        <v/>
      </c>
      <c r="F2609">
        <f>IF(Skills!N4=TRUE,(Skills!L4/10)*(E2609/1000),Skills!L4/10)+Skills!O4</f>
        <v/>
      </c>
      <c r="G2609">
        <f>Skills!G4*IF(Skills!H4&gt;0,Skills!I4/Skills!H4,1)</f>
        <v/>
      </c>
      <c r="H2609">
        <f>1-(1-Skills!J4/100)^Skills!K4</f>
        <v/>
      </c>
      <c r="I2609" t="inlineStr">
        <is>
          <t>1</t>
        </is>
      </c>
      <c r="J2609">
        <f>((Inputs!$B$6*(1+Inputs!$B$7/100))+(((Inputs!$B$12*(1+Inputs!$B$13/100))-(Inputs!$B$12*(1+Inputs!$B$13/100)))+0.25*(Inputs!$B$14-Inputs!$B$14))*(1+Inputs!$B$7/100))*(F2609/100)</f>
        <v/>
      </c>
      <c r="K2609">
        <f>J2609*(1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2617=TRUE,F2617,0)/100)*(1+(IF(Skills!A4="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2609)</f>
        <v/>
      </c>
      <c r="L2609">
        <f>K2609*(MIN(Inputs!$B$22+((C2627=TRUE)*(F2627-Calc!F22)),(Inputs!$B$23+((C2629=TRUE)*(F2629-Calc!F24))+(IF(ArtifactsInput!$M$15,CHOOSE(ArtifactsInput!$N$15+1,25,30,35,40,45,50)/100*(Inputs!$B$11-Inputs!$B$11),0))))/100+(Inputs!$B$23+((C2629=TRUE)*(F2629-Calc!F24))+(IF(ArtifactsInput!$M$15,CHOOSE(ArtifactsInput!$N$15+1,25,30,35,40,45,50)/100*(Inputs!$B$11-Inputs!$B$11),0)))/100)/2</f>
        <v/>
      </c>
      <c r="M2609">
        <f>L2609*(1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9">
        <f>L2609*(1-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2609*(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9">
        <f>(1-Summary!$B$11)*T2609+Summary!$B$11*V2609</f>
        <v/>
      </c>
      <c r="P2609">
        <f>IF(B2642=0,0,O2609/B2642)</f>
        <v/>
      </c>
      <c r="Q2609">
        <f>IFERROR(1/(IF(Inputs!$B$38="pvp",15,MAX(0.1,Skills!D4-IF(Skills!E4=TRUE,1.0,0)))*(1-IF(AND(ArtifactsInput!$M$27,Inputs!$B$4="Chapter Hunt"),CHOOSE(ArtifactsInput!$N$27+1,20,24,28,32,36,40),0)/100)),0)</f>
        <v/>
      </c>
      <c r="R2609">
        <f>IF(AND(Inputs!$B$38&lt;&gt;"pvp",Inputs!$B$43&gt;0),IF(MAX(0,Inputs!$B$43-B2639)&lt;=0,0,(INT(MAX(0,Inputs!$B$43-B2639)/(IF(Inputs!$B$38="pvp",15,MAX(0.1,Skills!D4-IF(Skills!E4=TRUE,1.0,0)))*(1-IF(AND(ArtifactsInput!$M$27,Inputs!$B$4="Chapter Hunt"),CHOOSE(ArtifactsInput!$N$27+1,20,24,28,32,36,40),0)/100)))+1)),0)</f>
        <v/>
      </c>
      <c r="S2609">
        <f>IFERROR(O2609/N2609,0)</f>
        <v/>
      </c>
      <c r="T2609">
        <f>IF(C2609,(H2609*N2609*IF(AND(Inputs!$B$38&lt;&gt;"pvp",Inputs!$B$43&gt;0),((Skills!G4*((R2609-1)*IF(Skills!H4&gt;0,Skills!I4/Skills!H4,1)+IF(Skills!H4&gt;0,MIN(Skills!I4,MAX(0,MAX(0,Inputs!$B$43-B2639)-((R2609-1)*(IF(Inputs!$B$38="pvp",15,MAX(0.1,Skills!D4-IF(Skills!E4=TRUE,1.0,0)))*(1-IF(AND(ArtifactsInput!$M$27,Inputs!$B$4="Chapter Hunt"),CHOOSE(ArtifactsInput!$N$27+1,20,24,28,32,36,40),0)/100)))))/Skills!H4,1)))/Inputs!$B$43),G2609*Q2609)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2609*(1-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2609*(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2609*(1-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2609*(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09">
        <f>290*U2608/1000</f>
        <v/>
      </c>
      <c r="V2609">
        <f>IF(C2609,(H2609*N2609*IF(AND(Inputs!$B$38&lt;&gt;"pvp",Inputs!$B$43&gt;0),((Skills!G4*((R2609-1)*IF(Skills!H4&gt;0,Skills!I4/Skills!H4,1)+IF(Skills!H4&gt;0,MIN(Skills!I4,MAX(0,MAX(0,Inputs!$B$43-B2639)-((R2609-1)*(IF(Inputs!$B$38="pvp",15,MAX(0.1,Skills!D4-IF(Skills!E4=TRUE,1.0,0)))*(1-IF(AND(ArtifactsInput!$M$27,Inputs!$B$4="Chapter Hunt"),CHOOSE(ArtifactsInput!$N$27+1,20,24,28,32,36,40),0)/100)))))/Skills!H4,1)))/Inputs!$B$43),G2609*Q2609))*IF(Inputs!$B$38="pvp",1,(1+(Inputs!$B$21+Skills!Q4+(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0">
      <c r="A2610">
        <f>Skills!A5</f>
        <v/>
      </c>
      <c r="B2610">
        <f>Skills!B5</f>
        <v/>
      </c>
      <c r="C2610">
        <f>Inputs!$B$3&gt;=66</f>
        <v/>
      </c>
      <c r="D2610">
        <f>IF(Skills!C5=1,60+Inputs!$B$25+Inputs!$B$29,IF(Skills!C5=2,90+Inputs!$B$26+Inputs!$B$29,IF(Skills!C5=3,120+Inputs!$B$27+Inputs!$B$29,MAX(0,(Inputs!$B$3-100)*3)+Inputs!$B$28+Inputs!$B$29)))</f>
        <v/>
      </c>
      <c r="E2610">
        <f>INDEX(FactorTable!$B$2:$Y$301, MATCH(ROUND(MIN(300,MAX(1,D2610)),0), FactorTable!$A$2:$A$301,0), Skills!M5+1)</f>
        <v/>
      </c>
      <c r="F2610">
        <f>IF(Skills!N5=TRUE,(Skills!L5/10)*(E2610/1000),Skills!L5/10)+Skills!O5</f>
        <v/>
      </c>
      <c r="G2610">
        <f>Skills!G5*IF(Skills!H5&gt;0,Skills!I5/Skills!H5,1)</f>
        <v/>
      </c>
      <c r="H2610">
        <f>1-(1-Skills!J5/100)^Skills!K5</f>
        <v/>
      </c>
      <c r="I2610" t="inlineStr">
        <is>
          <t>1</t>
        </is>
      </c>
      <c r="J2610">
        <f>((Inputs!$B$6*(1+Inputs!$B$7/100))+(((Inputs!$B$12*(1+Inputs!$B$13/100))-(Inputs!$B$12*(1+Inputs!$B$13/100)))+0.25*(Inputs!$B$14-Inputs!$B$14))*(1+Inputs!$B$7/100))*(F2610/100)</f>
        <v/>
      </c>
      <c r="K2610">
        <f>J2610*(1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2617=TRUE,F2617,0)/100)*(1+(IF(Skills!A5="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2610)</f>
        <v/>
      </c>
      <c r="L2610">
        <f>K2610*(MIN(Inputs!$B$22+((C2627=TRUE)*(F2627-Calc!F22)),(Inputs!$B$23+((C2629=TRUE)*(F2629-Calc!F24))+(IF(ArtifactsInput!$M$15,CHOOSE(ArtifactsInput!$N$15+1,25,30,35,40,45,50)/100*(Inputs!$B$11-Inputs!$B$11),0))))/100+(Inputs!$B$23+((C2629=TRUE)*(F2629-Calc!F24))+(IF(ArtifactsInput!$M$15,CHOOSE(ArtifactsInput!$N$15+1,25,30,35,40,45,50)/100*(Inputs!$B$11-Inputs!$B$11),0)))/100)/2</f>
        <v/>
      </c>
      <c r="M2610">
        <f>L2610*(1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0">
        <f>L2610*(1-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2610*(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0">
        <f>(1-Summary!$B$11)*T2610+Summary!$B$11*V2610</f>
        <v/>
      </c>
      <c r="P2610">
        <f>IF(B2642=0,0,O2610/B2642)</f>
        <v/>
      </c>
      <c r="Q2610">
        <f>IFERROR(1/(IF(Inputs!$B$38="pvp",15,MAX(0.1,Skills!D5-IF(Skills!E5=TRUE,1.0,0)))*(1-IF(AND(ArtifactsInput!$M$27,Inputs!$B$4="Chapter Hunt"),CHOOSE(ArtifactsInput!$N$27+1,20,24,28,32,36,40),0)/100)),0)</f>
        <v/>
      </c>
      <c r="R2610">
        <f>IF(AND(Inputs!$B$38&lt;&gt;"pvp",Inputs!$B$43&gt;0),IF(MAX(0,Inputs!$B$43-B2639)&lt;=0,0,(INT(MAX(0,Inputs!$B$43-B2639)/(IF(Inputs!$B$38="pvp",15,MAX(0.1,Skills!D5-IF(Skills!E5=TRUE,1.0,0)))*(1-IF(AND(ArtifactsInput!$M$27,Inputs!$B$4="Chapter Hunt"),CHOOSE(ArtifactsInput!$N$27+1,20,24,28,32,36,40),0)/100)))+1)),0)</f>
        <v/>
      </c>
      <c r="S2610">
        <f>IFERROR(O2610/N2610,0)</f>
        <v/>
      </c>
      <c r="T2610">
        <f>IF(C2610,(H2610*N2610*IF(AND(Inputs!$B$38&lt;&gt;"pvp",Inputs!$B$43&gt;0),((Skills!G5*((R2610-1)*IF(Skills!H5&gt;0,Skills!I5/Skills!H5,1)+IF(Skills!H5&gt;0,MIN(Skills!I5,MAX(0,MAX(0,Inputs!$B$43-B2639)-((R2610-1)*(IF(Inputs!$B$38="pvp",15,MAX(0.1,Skills!D5-IF(Skills!E5=TRUE,1.0,0)))*(1-IF(AND(ArtifactsInput!$M$27,Inputs!$B$4="Chapter Hunt"),CHOOSE(ArtifactsInput!$N$27+1,20,24,28,32,36,40),0)/100)))))/Skills!H5,1)))/Inputs!$B$43),G2610*Q2610)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2610*(1-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2610*(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2610*(1-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2610*(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0">
        <f>IF(C2610,(H2610*N2610*IF(AND(Inputs!$B$38&lt;&gt;"pvp",Inputs!$B$43&gt;0),((Skills!G5*((R2610-1)*IF(Skills!H5&gt;0,Skills!I5/Skills!H5,1)+IF(Skills!H5&gt;0,MIN(Skills!I5,MAX(0,MAX(0,Inputs!$B$43-B2639)-((R2610-1)*(IF(Inputs!$B$38="pvp",15,MAX(0.1,Skills!D5-IF(Skills!E5=TRUE,1.0,0)))*(1-IF(AND(ArtifactsInput!$M$27,Inputs!$B$4="Chapter Hunt"),CHOOSE(ArtifactsInput!$N$27+1,20,24,28,32,36,40),0)/100)))))/Skills!H5,1)))/Inputs!$B$43),G2610*Q2610))*IF(Inputs!$B$38="pvp",1,(1+(Inputs!$B$21+Skills!Q5+(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1">
      <c r="A2611">
        <f>Skills!A6</f>
        <v/>
      </c>
      <c r="B2611">
        <f>Skills!B6</f>
        <v/>
      </c>
      <c r="C2611">
        <f>Inputs!$B$3&gt;=103</f>
        <v/>
      </c>
      <c r="D2611">
        <f>IF(Skills!C6=1,60+Inputs!$B$25+Inputs!$B$29,IF(Skills!C6=2,90+Inputs!$B$26+Inputs!$B$29,IF(Skills!C6=3,120+Inputs!$B$27+Inputs!$B$29,MAX(0,(Inputs!$B$3-100)*3)+Inputs!$B$28+Inputs!$B$29)))</f>
        <v/>
      </c>
      <c r="E2611">
        <f>INDEX(FactorTable!$B$2:$Y$301, MATCH(ROUND(MIN(300,MAX(1,D2611)),0), FactorTable!$A$2:$A$301,0), Skills!M6+1)</f>
        <v/>
      </c>
      <c r="F2611">
        <f>IF(Skills!N6=TRUE,(Skills!L6/10)*(E2611/1000),Skills!L6/10)+Skills!O6</f>
        <v/>
      </c>
      <c r="G2611">
        <f>Skills!G6*IF(Skills!H6&gt;0,Skills!I6/Skills!H6,1)</f>
        <v/>
      </c>
      <c r="H2611">
        <f>1-(1-Skills!J6/100)^Skills!K6</f>
        <v/>
      </c>
      <c r="I2611" t="inlineStr">
        <is>
          <t>1</t>
        </is>
      </c>
      <c r="J2611">
        <f>((Inputs!$B$6*(1+Inputs!$B$7/100))+(((Inputs!$B$12*(1+Inputs!$B$13/100))-(Inputs!$B$12*(1+Inputs!$B$13/100)))+0.25*(Inputs!$B$14-Inputs!$B$14))*(1+Inputs!$B$7/100))*(F2611/100)</f>
        <v/>
      </c>
      <c r="K2611">
        <f>J2611*(1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2611)</f>
        <v/>
      </c>
      <c r="L2611">
        <f>K2611*(MIN(Inputs!$B$22+((C2627=TRUE)*(F2627-Calc!F22)),(Inputs!$B$23+((C2629=TRUE)*(F2629-Calc!F24))+(IF(ArtifactsInput!$M$15,CHOOSE(ArtifactsInput!$N$15+1,25,30,35,40,45,50)/100*(Inputs!$B$11-Inputs!$B$11),0))))/100+(Inputs!$B$23+((C2629=TRUE)*(F2629-Calc!F24))+(IF(ArtifactsInput!$M$15,CHOOSE(ArtifactsInput!$N$15+1,25,30,35,40,45,50)/100*(Inputs!$B$11-Inputs!$B$11),0)))/100)/2</f>
        <v/>
      </c>
      <c r="M2611">
        <f>L2611*(1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1">
        <f>L2611*(1-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1">
        <f>(1-Summary!$B$11)*T2611+Summary!$B$11*V2611</f>
        <v/>
      </c>
      <c r="P2611">
        <f>IF(B2642=0,0,O2611/B2642)</f>
        <v/>
      </c>
      <c r="Q2611">
        <f>IFERROR(1/(IF(Inputs!$B$38="pvp",15,MAX(0.1,Skills!D6-IF(Skills!E6=TRUE,1.0,0)))*(1-IF(AND(ArtifactsInput!$M$27,Inputs!$B$4="Chapter Hunt"),CHOOSE(ArtifactsInput!$N$27+1,20,24,28,32,36,40),0)/100)),0)</f>
        <v/>
      </c>
      <c r="R2611">
        <f>IF(AND(Inputs!$B$38&lt;&gt;"pvp",Inputs!$B$43&gt;0),IF(MAX(0,Inputs!$B$43-B2639)&lt;=0,0,(INT(MAX(0,Inputs!$B$43-B2639)/(IF(Inputs!$B$38="pvp",15,MAX(0.1,Skills!D6-IF(Skills!E6=TRUE,1.0,0)))*(1-IF(AND(ArtifactsInput!$M$27,Inputs!$B$4="Chapter Hunt"),CHOOSE(ArtifactsInput!$N$27+1,20,24,28,32,36,40),0)/100)))+1)),0)</f>
        <v/>
      </c>
      <c r="S2611">
        <f>IFERROR(O2611/N2611,0)</f>
        <v/>
      </c>
      <c r="T2611">
        <f>IF(C2611,(H2611*N2611*IF(AND(Inputs!$B$38&lt;&gt;"pvp",Inputs!$B$43&gt;0),((Skills!G6*((R2611-1)*IF(Skills!H6&gt;0,Skills!I6/Skills!H6,1)+IF(Skills!H6&gt;0,MIN(Skills!I6,MAX(0,MAX(0,Inputs!$B$43-B2639)-((R2611-1)*(IF(Inputs!$B$38="pvp",15,MAX(0.1,Skills!D6-IF(Skills!E6=TRUE,1.0,0)))*(1-IF(AND(ArtifactsInput!$M$27,Inputs!$B$4="Chapter Hunt"),CHOOSE(ArtifactsInput!$N$27+1,20,24,28,32,36,40),0)/100)))))/Skills!H6,1)))/Inputs!$B$43),G2611*Q2611)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2611*(1-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1">
        <f>IF(C2611,(H2611*N2611*IF(AND(Inputs!$B$38&lt;&gt;"pvp",Inputs!$B$43&gt;0),((Skills!G6*((R2611-1)*IF(Skills!H6&gt;0,Skills!I6/Skills!H6,1)+IF(Skills!H6&gt;0,MIN(Skills!I6,MAX(0,MAX(0,Inputs!$B$43-B2639)-((R2611-1)*(IF(Inputs!$B$38="pvp",15,MAX(0.1,Skills!D6-IF(Skills!E6=TRUE,1.0,0)))*(1-IF(AND(ArtifactsInput!$M$27,Inputs!$B$4="Chapter Hunt"),CHOOSE(ArtifactsInput!$N$27+1,20,24,28,32,36,40),0)/100)))))/Skills!H6,1)))/Inputs!$B$43),G2611*Q2611))*IF(Inputs!$B$38="pvp",1,(1+(Inputs!$B$21+Skills!Q6+(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2">
      <c r="A2612">
        <f>Skills!A7</f>
        <v/>
      </c>
      <c r="B2612">
        <f>Skills!B7</f>
        <v/>
      </c>
      <c r="C2612">
        <f>Inputs!$B$3&gt;=107</f>
        <v/>
      </c>
      <c r="D2612">
        <f>IF(Skills!C7=1,60+Inputs!$B$25+Inputs!$B$29,IF(Skills!C7=2,90+Inputs!$B$26+Inputs!$B$29,IF(Skills!C7=3,120+Inputs!$B$27+Inputs!$B$29,MAX(0,(Inputs!$B$3-100)*3)+Inputs!$B$28+Inputs!$B$29)))</f>
        <v/>
      </c>
      <c r="E2612">
        <f>INDEX(FactorTable!$B$2:$Y$301, MATCH(ROUND(MIN(300,MAX(1,D2612)),0), FactorTable!$A$2:$A$301,0), Skills!M7+1)</f>
        <v/>
      </c>
      <c r="F2612">
        <f>IF(Skills!N7=TRUE,(Skills!L7/10)*(E2612/1000),Skills!L7/10)+Skills!O7</f>
        <v/>
      </c>
      <c r="G2612">
        <f>Skills!G7*IF(Skills!H7&gt;0,Skills!I7/Skills!H7,1)</f>
        <v/>
      </c>
      <c r="H2612">
        <f>1-(1-Skills!J7/100)^Skills!K7</f>
        <v/>
      </c>
      <c r="I2612" t="inlineStr">
        <is>
          <t>1</t>
        </is>
      </c>
      <c r="J2612">
        <f>((Inputs!$B$6*(1+Inputs!$B$7/100))+(((Inputs!$B$12*(1+Inputs!$B$13/100))-(Inputs!$B$12*(1+Inputs!$B$13/100)))+0.25*(Inputs!$B$14-Inputs!$B$14))*(1+Inputs!$B$7/100))*(F2612/100)</f>
        <v/>
      </c>
      <c r="K2612">
        <f>J2612*(1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2612)</f>
        <v/>
      </c>
      <c r="L2612">
        <f>K2612*(MIN(Inputs!$B$22+((C2627=TRUE)*(F2627-Calc!F22)),(Inputs!$B$23+((C2629=TRUE)*(F2629-Calc!F24))+(IF(ArtifactsInput!$M$15,CHOOSE(ArtifactsInput!$N$15+1,25,30,35,40,45,50)/100*(Inputs!$B$11-Inputs!$B$11),0))))/100+(Inputs!$B$23+((C2629=TRUE)*(F2629-Calc!F24))+(IF(ArtifactsInput!$M$15,CHOOSE(ArtifactsInput!$N$15+1,25,30,35,40,45,50)/100*(Inputs!$B$11-Inputs!$B$11),0)))/100)/2</f>
        <v/>
      </c>
      <c r="M2612">
        <f>L2612*(1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2">
        <f>L2612*(1-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2612*(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2">
        <f>(1-Summary!$B$11)*T2612+Summary!$B$11*V2612</f>
        <v/>
      </c>
      <c r="P2612">
        <f>IF(B2642=0,0,O2612/B2642)</f>
        <v/>
      </c>
      <c r="Q2612">
        <f>IFERROR(1/(IF(Inputs!$B$38="pvp",15,MAX(0.1,Skills!D7-IF(Skills!E7=TRUE,1.0,0)))*(1-IF(AND(ArtifactsInput!$M$27,Inputs!$B$4="Chapter Hunt"),CHOOSE(ArtifactsInput!$N$27+1,20,24,28,32,36,40),0)/100)),0)</f>
        <v/>
      </c>
      <c r="R2612">
        <f>IF(AND(Inputs!$B$38&lt;&gt;"pvp",Inputs!$B$43&gt;0),IF(MAX(0,Inputs!$B$43-B2639)&lt;=0,0,(INT(MAX(0,Inputs!$B$43-B2639)/(IF(Inputs!$B$38="pvp",15,MAX(0.1,Skills!D7-IF(Skills!E7=TRUE,1.0,0)))*(1-IF(AND(ArtifactsInput!$M$27,Inputs!$B$4="Chapter Hunt"),CHOOSE(ArtifactsInput!$N$27+1,20,24,28,32,36,40),0)/100)))+1)),0)</f>
        <v/>
      </c>
      <c r="S2612">
        <f>IFERROR(O2612/N2612,0)</f>
        <v/>
      </c>
      <c r="T2612">
        <f>IF(C2612,(H2612*N2612*IF(AND(Inputs!$B$38&lt;&gt;"pvp",Inputs!$B$43&gt;0),((Skills!G7*((R2612-1)*IF(Skills!H7&gt;0,Skills!I7/Skills!H7,1)+IF(Skills!H7&gt;0,MIN(Skills!I7,MAX(0,MAX(0,Inputs!$B$43-B2639)-((R2612-1)*(IF(Inputs!$B$38="pvp",15,MAX(0.1,Skills!D7-IF(Skills!E7=TRUE,1.0,0)))*(1-IF(AND(ArtifactsInput!$M$27,Inputs!$B$4="Chapter Hunt"),CHOOSE(ArtifactsInput!$N$27+1,20,24,28,32,36,40),0)/100)))))/Skills!H7,1)))/Inputs!$B$43),G2612*Q2612)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2612*(1-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2612*(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2612*(1-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2612*(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2">
        <f>IF(C2612,(H2612*N2612*IF(AND(Inputs!$B$38&lt;&gt;"pvp",Inputs!$B$43&gt;0),((Skills!G7*((R2612-1)*IF(Skills!H7&gt;0,Skills!I7/Skills!H7,1)+IF(Skills!H7&gt;0,MIN(Skills!I7,MAX(0,MAX(0,Inputs!$B$43-B2639)-((R2612-1)*(IF(Inputs!$B$38="pvp",15,MAX(0.1,Skills!D7-IF(Skills!E7=TRUE,1.0,0)))*(1-IF(AND(ArtifactsInput!$M$27,Inputs!$B$4="Chapter Hunt"),CHOOSE(ArtifactsInput!$N$27+1,20,24,28,32,36,40),0)/100)))))/Skills!H7,1)))/Inputs!$B$43),G2612*Q2612))*IF(Inputs!$B$38="pvp",1,(1+(Inputs!$B$21+Skills!Q7+(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3">
      <c r="A2613">
        <f>Skills!A8</f>
        <v/>
      </c>
      <c r="B2613">
        <f>Skills!B8</f>
        <v/>
      </c>
      <c r="C2613">
        <f>Inputs!$B$3&gt;=107</f>
        <v/>
      </c>
      <c r="D2613">
        <f>IF(Skills!C8=1,60+Inputs!$B$25+Inputs!$B$29,IF(Skills!C8=2,90+Inputs!$B$26+Inputs!$B$29,IF(Skills!C8=3,120+Inputs!$B$27+Inputs!$B$29,MAX(0,(Inputs!$B$3-100)*3)+Inputs!$B$28+Inputs!$B$29)))</f>
        <v/>
      </c>
      <c r="E2613">
        <f>INDEX(FactorTable!$B$2:$Y$301, MATCH(ROUND(MIN(300,MAX(1,D2613)),0), FactorTable!$A$2:$A$301,0), Skills!M8+1)</f>
        <v/>
      </c>
      <c r="F2613">
        <f>IF(Skills!N8=TRUE,(Skills!L8/10)*(E2613/1000),Skills!L8/10)+Skills!O8</f>
        <v/>
      </c>
      <c r="G2613">
        <f>Skills!G8*IF(Skills!H8&gt;0,Skills!I8/Skills!H8,1)</f>
        <v/>
      </c>
      <c r="H2613">
        <f>1-(1-Skills!J8/100)^Skills!K8</f>
        <v/>
      </c>
      <c r="I2613" t="inlineStr">
        <is>
          <t>1</t>
        </is>
      </c>
      <c r="J2613">
        <f>((Inputs!$B$6*(1+Inputs!$B$7/100))+(((Inputs!$B$12*(1+Inputs!$B$13/100))-(Inputs!$B$12*(1+Inputs!$B$13/100)))+0.25*(Inputs!$B$14-Inputs!$B$14))*(1+Inputs!$B$7/100))*(F2613/100)</f>
        <v/>
      </c>
      <c r="K2613">
        <f>J2613*(1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2613)</f>
        <v/>
      </c>
      <c r="L2613">
        <f>K2613*(MIN(Inputs!$B$22+((C2627=TRUE)*(F2627-Calc!F22)),(Inputs!$B$23+((C2629=TRUE)*(F2629-Calc!F24))+(IF(ArtifactsInput!$M$15,CHOOSE(ArtifactsInput!$N$15+1,25,30,35,40,45,50)/100*(Inputs!$B$11-Inputs!$B$11),0))))/100+(Inputs!$B$23+((C2629=TRUE)*(F2629-Calc!F24))+(IF(ArtifactsInput!$M$15,CHOOSE(ArtifactsInput!$N$15+1,25,30,35,40,45,50)/100*(Inputs!$B$11-Inputs!$B$11),0)))/100)/2</f>
        <v/>
      </c>
      <c r="M2613">
        <f>L2613*(1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3">
        <f>L2613*(1-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2613*(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3">
        <f>(1-Summary!$B$11)*T2613+Summary!$B$11*V2613</f>
        <v/>
      </c>
      <c r="P2613">
        <f>IF(B2642=0,0,O2613/B2642)</f>
        <v/>
      </c>
      <c r="Q2613">
        <f>IFERROR(1/(IF(Inputs!$B$38="pvp",15,MAX(0.1,Skills!D8-IF(Skills!E8=TRUE,1.0,0)))*(1-IF(AND(ArtifactsInput!$M$27,Inputs!$B$4="Chapter Hunt"),CHOOSE(ArtifactsInput!$N$27+1,20,24,28,32,36,40),0)/100)),0)</f>
        <v/>
      </c>
      <c r="R2613">
        <f>IF(AND(Inputs!$B$38&lt;&gt;"pvp",Inputs!$B$43&gt;0),IF(MAX(0,Inputs!$B$43-B2639)&lt;=0,0,(INT(MAX(0,Inputs!$B$43-B2639)/(IF(Inputs!$B$38="pvp",15,MAX(0.1,Skills!D8-IF(Skills!E8=TRUE,1.0,0)))*(1-IF(AND(ArtifactsInput!$M$27,Inputs!$B$4="Chapter Hunt"),CHOOSE(ArtifactsInput!$N$27+1,20,24,28,32,36,40),0)/100)))+1)),0)</f>
        <v/>
      </c>
      <c r="S2613">
        <f>IFERROR(O2613/N2613,0)</f>
        <v/>
      </c>
      <c r="T2613">
        <f>IF(C2613,(H2613*N2613*IF(AND(Inputs!$B$38&lt;&gt;"pvp",Inputs!$B$43&gt;0),((Skills!G8*((R2613-1)*IF(Skills!H8&gt;0,Skills!I8/Skills!H8,1)+IF(Skills!H8&gt;0,MIN(Skills!I8,MAX(0,MAX(0,Inputs!$B$43-B2639)-((R2613-1)*(IF(Inputs!$B$38="pvp",15,MAX(0.1,Skills!D8-IF(Skills!E8=TRUE,1.0,0)))*(1-IF(AND(ArtifactsInput!$M$27,Inputs!$B$4="Chapter Hunt"),CHOOSE(ArtifactsInput!$N$27+1,20,24,28,32,36,40),0)/100)))))/Skills!H8,1)))/Inputs!$B$43),G2613*Q2613)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2613*(1-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2613*(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2613*(1-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2613*(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3">
        <f>IF(C2613,(H2613*N2613*IF(AND(Inputs!$B$38&lt;&gt;"pvp",Inputs!$B$43&gt;0),((Skills!G8*((R2613-1)*IF(Skills!H8&gt;0,Skills!I8/Skills!H8,1)+IF(Skills!H8&gt;0,MIN(Skills!I8,MAX(0,MAX(0,Inputs!$B$43-B2639)-((R2613-1)*(IF(Inputs!$B$38="pvp",15,MAX(0.1,Skills!D8-IF(Skills!E8=TRUE,1.0,0)))*(1-IF(AND(ArtifactsInput!$M$27,Inputs!$B$4="Chapter Hunt"),CHOOSE(ArtifactsInput!$N$27+1,20,24,28,32,36,40),0)/100)))))/Skills!H8,1)))/Inputs!$B$43),G2613*Q2613))*IF(Inputs!$B$38="pvp",1,(1+(Inputs!$B$21+Skills!Q8+(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4">
      <c r="A2614">
        <f>Skills!A9</f>
        <v/>
      </c>
      <c r="B2614">
        <f>Skills!B9</f>
        <v/>
      </c>
      <c r="C2614">
        <f>Inputs!$B$3&gt;=125</f>
        <v/>
      </c>
      <c r="D2614">
        <f>IF(Skills!C9=1,60+Inputs!$B$25+Inputs!$B$29,IF(Skills!C9=2,90+Inputs!$B$26+Inputs!$B$29,IF(Skills!C9=3,120+Inputs!$B$27+Inputs!$B$29,MAX(0,(Inputs!$B$3-100)*3)+Inputs!$B$28+Inputs!$B$29)))</f>
        <v/>
      </c>
      <c r="E2614">
        <f>INDEX(FactorTable!$B$2:$Y$301, MATCH(ROUND(MIN(300,MAX(1,D2614)),0), FactorTable!$A$2:$A$301,0), Skills!M9+1)</f>
        <v/>
      </c>
      <c r="F2614">
        <f>IF(Skills!N9=TRUE,(Skills!L9/10)*(E2614/1000),Skills!L9/10)+Skills!O9</f>
        <v/>
      </c>
      <c r="G2614">
        <f>Skills!G9*IF(Skills!H9&gt;0,Skills!I9/Skills!H9,1)</f>
        <v/>
      </c>
      <c r="H2614">
        <f>1-(1-Skills!J9/100)^Skills!K9</f>
        <v/>
      </c>
      <c r="I2614" t="inlineStr">
        <is>
          <t>1</t>
        </is>
      </c>
      <c r="J2614">
        <f>((Inputs!$B$6*(1+Inputs!$B$7/100))+(((Inputs!$B$12*(1+Inputs!$B$13/100))-(Inputs!$B$12*(1+Inputs!$B$13/100)))+0.25*(Inputs!$B$14-Inputs!$B$14))*(1+Inputs!$B$7/100))*(F2614/100)</f>
        <v/>
      </c>
      <c r="K2614">
        <f>J2614*(1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2614)</f>
        <v/>
      </c>
      <c r="L2614">
        <f>K2614*(MIN(Inputs!$B$22+((C2627=TRUE)*(F2627-Calc!F22)),(Inputs!$B$23+((C2629=TRUE)*(F2629-Calc!F24))+(IF(ArtifactsInput!$M$15,CHOOSE(ArtifactsInput!$N$15+1,25,30,35,40,45,50)/100*(Inputs!$B$11-Inputs!$B$11),0))))/100+(Inputs!$B$23+((C2629=TRUE)*(F2629-Calc!F24))+(IF(ArtifactsInput!$M$15,CHOOSE(ArtifactsInput!$N$15+1,25,30,35,40,45,50)/100*(Inputs!$B$11-Inputs!$B$11),0)))/100)/2</f>
        <v/>
      </c>
      <c r="M2614">
        <f>L2614*(1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4">
        <f>L2614*(1-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2614*(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4">
        <f>(1-Summary!$B$11)*T2614+Summary!$B$11*V2614</f>
        <v/>
      </c>
      <c r="P2614">
        <f>IF(B2642=0,0,O2614/B2642)</f>
        <v/>
      </c>
      <c r="Q2614">
        <f>IFERROR(1/(IF(Inputs!$B$38="pvp",15,MAX(0.1,Skills!D9-IF(Skills!E9=TRUE,1.0,0)))*(1-IF(AND(ArtifactsInput!$M$27,Inputs!$B$4="Chapter Hunt"),CHOOSE(ArtifactsInput!$N$27+1,20,24,28,32,36,40),0)/100)),0)</f>
        <v/>
      </c>
      <c r="R2614">
        <f>IF(AND(Inputs!$B$38&lt;&gt;"pvp",Inputs!$B$43&gt;0),IF(MAX(0,Inputs!$B$43-B2639)&lt;=0,0,(INT(MAX(0,Inputs!$B$43-B2639)/(IF(Inputs!$B$38="pvp",15,MAX(0.1,Skills!D9-IF(Skills!E9=TRUE,1.0,0)))*(1-IF(AND(ArtifactsInput!$M$27,Inputs!$B$4="Chapter Hunt"),CHOOSE(ArtifactsInput!$N$27+1,20,24,28,32,36,40),0)/100)))+1)),0)</f>
        <v/>
      </c>
      <c r="S2614">
        <f>IFERROR(O2614/N2614,0)</f>
        <v/>
      </c>
      <c r="T2614">
        <f>IF(C2614,(H2614*N2614*IF(AND(Inputs!$B$38&lt;&gt;"pvp",Inputs!$B$43&gt;0),((Skills!G9*((R2614-1)*IF(Skills!H9&gt;0,Skills!I9/Skills!H9,1)+IF(Skills!H9&gt;0,MIN(Skills!I9,MAX(0,MAX(0,Inputs!$B$43-B2639)-((R2614-1)*(IF(Inputs!$B$38="pvp",15,MAX(0.1,Skills!D9-IF(Skills!E9=TRUE,1.0,0)))*(1-IF(AND(ArtifactsInput!$M$27,Inputs!$B$4="Chapter Hunt"),CHOOSE(ArtifactsInput!$N$27+1,20,24,28,32,36,40),0)/100)))))/Skills!H9,1)))/Inputs!$B$43),G2614*Q2614)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2614*(1-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2614*(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2614*(1-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2614*(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4">
        <f>IF(C2614,(H2614*N2614*IF(AND(Inputs!$B$38&lt;&gt;"pvp",Inputs!$B$43&gt;0),((Skills!G9*((R2614-1)*IF(Skills!H9&gt;0,Skills!I9/Skills!H9,1)+IF(Skills!H9&gt;0,MIN(Skills!I9,MAX(0,MAX(0,Inputs!$B$43-B2639)-((R2614-1)*(IF(Inputs!$B$38="pvp",15,MAX(0.1,Skills!D9-IF(Skills!E9=TRUE,1.0,0)))*(1-IF(AND(ArtifactsInput!$M$27,Inputs!$B$4="Chapter Hunt"),CHOOSE(ArtifactsInput!$N$27+1,20,24,28,32,36,40),0)/100)))))/Skills!H9,1)))/Inputs!$B$43),G2614*Q2614))*IF(Inputs!$B$38="pvp",1,(1+(Inputs!$B$21+Skills!Q9+(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5">
      <c r="A2615">
        <f>Skills!A10</f>
        <v/>
      </c>
      <c r="B2615">
        <f>Skills!B10</f>
        <v/>
      </c>
      <c r="C2615">
        <f>Inputs!$B$3&gt;=117</f>
        <v/>
      </c>
      <c r="D2615">
        <f>IF(Skills!C10=1,60+Inputs!$B$25+Inputs!$B$29,IF(Skills!C10=2,90+Inputs!$B$26+Inputs!$B$29,IF(Skills!C10=3,120+Inputs!$B$27+Inputs!$B$29,MAX(0,(Inputs!$B$3-100)*3)+Inputs!$B$28+Inputs!$B$29)))</f>
        <v/>
      </c>
      <c r="E2615">
        <f>INDEX(FactorTable!$B$2:$Y$301, MATCH(ROUND(MIN(300,MAX(1,D2615)),0), FactorTable!$A$2:$A$301,0), Skills!M10+1)</f>
        <v/>
      </c>
      <c r="F2615">
        <f>IF(Skills!N10=TRUE,(Skills!L10/10)*(E2615/1000),Skills!L10/10)+Skills!O10</f>
        <v/>
      </c>
      <c r="G2615">
        <f>Skills!G10*IF(Skills!H10&gt;0,Skills!I10/Skills!H10,1)</f>
        <v/>
      </c>
      <c r="H2615">
        <f>1-(1-Skills!J10/100)^Skills!K10</f>
        <v/>
      </c>
      <c r="I2615" t="inlineStr">
        <is>
          <t>1</t>
        </is>
      </c>
      <c r="J2615">
        <f>((Inputs!$B$6*(1+Inputs!$B$7/100))+(((Inputs!$B$12*(1+Inputs!$B$13/100))-(Inputs!$B$12*(1+Inputs!$B$13/100)))+0.25*(Inputs!$B$14-Inputs!$B$14))*(1+Inputs!$B$7/100))*(F2615/100)</f>
        <v/>
      </c>
      <c r="K2615">
        <f>J2615*(1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2615)</f>
        <v/>
      </c>
      <c r="L2615">
        <f>K2615*(MIN(Inputs!$B$22+((C2627=TRUE)*(F2627-Calc!F22)),(Inputs!$B$23+((C2629=TRUE)*(F2629-Calc!F24))+(IF(ArtifactsInput!$M$15,CHOOSE(ArtifactsInput!$N$15+1,25,30,35,40,45,50)/100*(Inputs!$B$11-Inputs!$B$11),0))))/100+(Inputs!$B$23+((C2629=TRUE)*(F2629-Calc!F24))+(IF(ArtifactsInput!$M$15,CHOOSE(ArtifactsInput!$N$15+1,25,30,35,40,45,50)/100*(Inputs!$B$11-Inputs!$B$11),0)))/100)/2</f>
        <v/>
      </c>
      <c r="M2615">
        <f>L2615*(1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5">
        <f>L2615*(1-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2615*(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5">
        <f>(1-Summary!$B$11)*T2615+Summary!$B$11*V2615</f>
        <v/>
      </c>
      <c r="P2615">
        <f>IF(B2642=0,0,O2615/B2642)</f>
        <v/>
      </c>
      <c r="Q2615">
        <f>IFERROR(1/(IF(Inputs!$B$38="pvp",15,MAX(0.1,Skills!D10-IF(Skills!E10=TRUE,1.0,0)))*(1-IF(AND(ArtifactsInput!$M$27,Inputs!$B$4="Chapter Hunt"),CHOOSE(ArtifactsInput!$N$27+1,20,24,28,32,36,40),0)/100)),0)</f>
        <v/>
      </c>
      <c r="R2615">
        <f>IF(AND(Inputs!$B$38&lt;&gt;"pvp",Inputs!$B$43&gt;0),IF(MAX(0,Inputs!$B$43-B2639)&lt;=0,0,(INT(MAX(0,Inputs!$B$43-B2639)/(IF(Inputs!$B$38="pvp",15,MAX(0.1,Skills!D10-IF(Skills!E10=TRUE,1.0,0)))*(1-IF(AND(ArtifactsInput!$M$27,Inputs!$B$4="Chapter Hunt"),CHOOSE(ArtifactsInput!$N$27+1,20,24,28,32,36,40),0)/100)))+1)),0)</f>
        <v/>
      </c>
      <c r="S2615">
        <f>IFERROR(O2615/N2615,0)</f>
        <v/>
      </c>
      <c r="T2615">
        <f>IF(C2615,(H2615*N2615*IF(AND(Inputs!$B$38&lt;&gt;"pvp",Inputs!$B$43&gt;0),((Skills!G10*((R2615-1)*IF(Skills!H10&gt;0,Skills!I10/Skills!H10,1)+IF(Skills!H10&gt;0,MIN(Skills!I10,MAX(0,MAX(0,Inputs!$B$43-B2639)-((R2615-1)*(IF(Inputs!$B$38="pvp",15,MAX(0.1,Skills!D10-IF(Skills!E10=TRUE,1.0,0)))*(1-IF(AND(ArtifactsInput!$M$27,Inputs!$B$4="Chapter Hunt"),CHOOSE(ArtifactsInput!$N$27+1,20,24,28,32,36,40),0)/100)))))/Skills!H10,1)))/Inputs!$B$43),G2615*Q2615)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2615*(1-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2615*(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2615*(1-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2615*(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5">
        <f>IF(C2615,(H2615*N2615*IF(AND(Inputs!$B$38&lt;&gt;"pvp",Inputs!$B$43&gt;0),((Skills!G10*((R2615-1)*IF(Skills!H10&gt;0,Skills!I10/Skills!H10,1)+IF(Skills!H10&gt;0,MIN(Skills!I10,MAX(0,MAX(0,Inputs!$B$43-B2639)-((R2615-1)*(IF(Inputs!$B$38="pvp",15,MAX(0.1,Skills!D10-IF(Skills!E10=TRUE,1.0,0)))*(1-IF(AND(ArtifactsInput!$M$27,Inputs!$B$4="Chapter Hunt"),CHOOSE(ArtifactsInput!$N$27+1,20,24,28,32,36,40),0)/100)))))/Skills!H10,1)))/Inputs!$B$43),G2615*Q2615))*IF(Inputs!$B$38="pvp",1,(1+(Inputs!$B$21+Skills!Q10+(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6">
      <c r="A2616">
        <f>Skills!A11</f>
        <v/>
      </c>
      <c r="B2616">
        <f>Skills!B11</f>
        <v/>
      </c>
      <c r="C2616">
        <f>Inputs!$B$3&gt;=63</f>
        <v/>
      </c>
      <c r="D2616">
        <f>IF(Skills!C11=1,60+Inputs!$B$25+Inputs!$B$29,IF(Skills!C11=2,90+Inputs!$B$26+Inputs!$B$29,IF(Skills!C11=3,120+Inputs!$B$27+Inputs!$B$29,MAX(0,(Inputs!$B$3-100)*3)+Inputs!$B$28+Inputs!$B$29)))</f>
        <v/>
      </c>
      <c r="E2616">
        <f>INDEX(FactorTable!$B$2:$Y$301, MATCH(ROUND(MIN(300,MAX(1,D2616)),0), FactorTable!$A$2:$A$301,0), Skills!M11+1)</f>
        <v/>
      </c>
      <c r="F2616">
        <f>IF(Skills!N11=TRUE,(Skills!L11/10)*(E2616/1000),Skills!L11/10)+Skills!O11</f>
        <v/>
      </c>
      <c r="G2616">
        <f>Skills!G11*IF(Skills!H11&gt;0,Skills!I11/Skills!H11,1)</f>
        <v/>
      </c>
      <c r="H2616">
        <f>1-(1-Skills!J11/100)^Skills!K11</f>
        <v/>
      </c>
      <c r="I2616" t="inlineStr">
        <is>
          <t>1</t>
        </is>
      </c>
      <c r="J2616">
        <f>((Inputs!$B$6*(1+Inputs!$B$7/100))+(((Inputs!$B$12*(1+Inputs!$B$13/100))-(Inputs!$B$12*(1+Inputs!$B$13/100)))+0.25*(Inputs!$B$14-Inputs!$B$14))*(1+Inputs!$B$7/100))*(F2616/100)</f>
        <v/>
      </c>
      <c r="K2616">
        <f>J2616*(1+((Inputs!$B$12*(1+Inputs!$B$13/100))*0.01+Inputs!$B$14*0.0025)/100)*(1+Inputs!$B$15/100)*(1+Inputs!$B$16/100)*(5000/(6000+Inputs!$B$42*(1-(Inputs!$B$19+0)/100)))*(1+(Inputs!$B$24+0+B2638)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2617=TRUE,F2617,0)/100)*(1+(IF(Skills!A11="BLAST",Inputs!$B$17+((C2626=TRUE)*(F2626-Calc!F21))+((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MIN(100,((Inputs!$B$9+0+B2632+(ArtifactsInput!$M$24-ArtifactsInput!$M$24)*CHOOSE(ArtifactsInput!$N$24+1,10,12,14,16,18,20)+IF(ArtifactsInput!$M$10,CHOOSE(ArtifactsInput!$N$10+1,15,18,21,24,27,30)*(IF(Inputs!$B$38="pvp",MIN(15,15)/15,IF(AND(Inputs!$B$38&lt;&gt;"pvp",Inputs!$B$43&gt;0),MIN(15,Inputs!$B$43)/(Inputs!$B$43),0))),0)))-100),0))*CHOOSE(ArtifactsInput!$N$42+1,0.6,0.72,0.84,0.96,1.08,1.2))),Inputs!$B$18+((C2628=TRUE)*(F2628-Calc!F23))+(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gt;=100),CHOOSE(ArtifactsInput!$N$42+1,40,48,56,64,72,80),0))))/100)*((1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2616)</f>
        <v/>
      </c>
      <c r="L2616">
        <f>K2616*(MIN(Inputs!$B$22+((C2627=TRUE)*(F2627-Calc!F22)),(Inputs!$B$23+((C2629=TRUE)*(F2629-Calc!F24))+(IF(ArtifactsInput!$M$15,CHOOSE(ArtifactsInput!$N$15+1,25,30,35,40,45,50)/100*(Inputs!$B$11-Inputs!$B$11),0))))/100+(Inputs!$B$23+((C2629=TRUE)*(F2629-Calc!F24))+(IF(ArtifactsInput!$M$15,CHOOSE(ArtifactsInput!$N$15+1,25,30,35,40,45,50)/100*(Inputs!$B$11-Inputs!$B$11),0)))/100)/2</f>
        <v/>
      </c>
      <c r="M2616">
        <f>L2616*(1+(Inputs!$B$10+0+B2637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6">
        <f>L2616*(1-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2616*(MIN((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6">
        <f>(1-Summary!$B$11)*T2616+Summary!$B$11*V2616</f>
        <v/>
      </c>
      <c r="P2616">
        <f>IF(B2642=0,0,O2616/B2642)</f>
        <v/>
      </c>
      <c r="Q2616">
        <f>IFERROR(1/(IF(Inputs!$B$38="pvp",15,MAX(0.1,Skills!D11-IF(Skills!E11=TRUE,1.0,0)))*(1-IF(AND(ArtifactsInput!$M$27,Inputs!$B$4="Chapter Hunt"),CHOOSE(ArtifactsInput!$N$27+1,20,24,28,32,36,40),0)/100)),0)</f>
        <v/>
      </c>
      <c r="R2616">
        <f>IF(AND(Inputs!$B$38&lt;&gt;"pvp",Inputs!$B$43&gt;0),IF(MAX(0,Inputs!$B$43-B2639)&lt;=0,0,(INT(MAX(0,Inputs!$B$43-B2639)/(IF(Inputs!$B$38="pvp",15,MAX(0.1,Skills!D11-IF(Skills!E11=TRUE,1.0,0)))*(1-IF(AND(ArtifactsInput!$M$27,Inputs!$B$4="Chapter Hunt"),CHOOSE(ArtifactsInput!$N$27+1,20,24,28,32,36,40),0)/100)))+1)),0)</f>
        <v/>
      </c>
      <c r="S2616">
        <f>IFERROR(O2616/N2616,0)</f>
        <v/>
      </c>
      <c r="T2616">
        <f>IF(C2616,(H2616*N2616*IF(AND(Inputs!$B$38&lt;&gt;"pvp",Inputs!$B$43&gt;0),((Skills!G11*((R2616-1)*IF(Skills!H11&gt;0,Skills!I11/Skills!H11,1)+IF(Skills!H11&gt;0,MIN(Skills!I11,MAX(0,MAX(0,Inputs!$B$43-B2639)-((R2616-1)*(IF(Inputs!$B$38="pvp",15,MAX(0.1,Skills!D11-IF(Skills!E11=TRUE,1.0,0)))*(1-IF(AND(ArtifactsInput!$M$27,Inputs!$B$4="Chapter Hunt"),CHOOSE(ArtifactsInput!$N$27+1,20,24,28,32,36,40),0)/100)))))/Skills!H11,1)))/Inputs!$B$43),G2616*Q2616)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2616*(1-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2616*(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2616*(1-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2616*(MIN(100,(Inputs!$B$9+0+B2632+(ArtifactsInput!$M$24-ArtifactsInput!$M$24)*CHOOSE(ArtifactsInput!$N$24+1,10,12,14,16,18,20)+(IF(AND(Inputs!$B$38&lt;&gt;"pvp",Inputs!$B$43=0),1,IF(IF(Inputs!$B$38="pvp",15,Inputs!$B$43)-(B2639)&lt;=0,1,MAX(0,IF(Inputs!$B$38="pvp",15,Inputs!$B$43)-MAX(5,B2639))/(IF(Inputs!$B$38="pvp",15,Inputs!$B$43)-(B2639))))*IF(AND(ArtifactsInput!$M$42,((Inputs!$B$9+0+B2632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6">
        <f>IF(C2616,(H2616*N2616*IF(AND(Inputs!$B$38&lt;&gt;"pvp",Inputs!$B$43&gt;0),((Skills!G11*((R2616-1)*IF(Skills!H11&gt;0,Skills!I11/Skills!H11,1)+IF(Skills!H11&gt;0,MIN(Skills!I11,MAX(0,MAX(0,Inputs!$B$43-B2639)-((R2616-1)*(IF(Inputs!$B$38="pvp",15,MAX(0.1,Skills!D11-IF(Skills!E11=TRUE,1.0,0)))*(1-IF(AND(ArtifactsInput!$M$27,Inputs!$B$4="Chapter Hunt"),CHOOSE(ArtifactsInput!$N$27+1,20,24,28,32,36,40),0)/100)))))/Skills!H11,1)))/Inputs!$B$43),G2616*Q2616))*IF(Inputs!$B$38="pvp",1,(1+(Inputs!$B$21+Skills!Q11+(IF(ArtifactsInput!$M$33,CHOOSE(ArtifactsInput!$N$33+1,30,36,42,48,54,60),0))+(IF(AND(ArtifactsInput!$M$35,Inputs!$B$4&lt;&gt;"Chapter Hunt"),CHOOSE(ArtifactsInput!$N$35+1,15,18,21,24,27,30)*(1-EXP(-(0.2*B2634)*5)),0)+IF(AND(ArtifactsInput!$M$22,Inputs!$B$4&lt;&gt;"Chapter Hunt"),CHOOSE(ArtifactsInput!$N$22+1,10,12,14,16,18,20)*((0*(((0.15*B2634*5))^0/1)+1*(((0.15*B2634*5))^1/1)+2*(((0.15*B2634*5))^2/2)+3*(((0.15*B2634*5))^3/6)+4*(((0.15*B2634*5))^4/24)+5*(((0.15*B2634*5))^5/120))/((((0.15*B2634*5))^0/1)+(((0.15*B2634*5))^1/1)+(((0.15*B2634*5))^2/2)+(((0.15*B2634*5))^3/6)+(((0.15*B2634*5))^4/24)+(((0.15*B2634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7">
      <c r="A2617">
        <f>Skills!A12</f>
        <v/>
      </c>
      <c r="B2617">
        <f>Skills!B12</f>
        <v/>
      </c>
      <c r="C2617">
        <f>Inputs!$B$3&gt;=100</f>
        <v/>
      </c>
      <c r="D2617">
        <f>IF(Skills!C12=1,60+Inputs!$B$25+Inputs!$B$29,IF(Skills!C12=2,90+Inputs!$B$26+Inputs!$B$29,IF(Skills!C12=3,120+Inputs!$B$27+Inputs!$B$29,MAX(0,(Inputs!$B$3-100)*3)+Inputs!$B$28+Inputs!$B$29)))</f>
        <v/>
      </c>
      <c r="E2617">
        <f>INDEX(FactorTable!$B$2:$Y$301, MATCH(ROUND(MIN(300,MAX(1,D2617)),0), FactorTable!$A$2:$A$301,0), Skills!M12+1)</f>
        <v/>
      </c>
      <c r="F2617">
        <f>IF(Skills!N12=TRUE,(Skills!L12/10)*(E2617/1000),Skills!L12/10)+Skills!O12</f>
        <v/>
      </c>
      <c r="G2617" t="inlineStr"/>
      <c r="H2617" t="inlineStr"/>
      <c r="I2617" t="inlineStr">
        <is>
          <t>1</t>
        </is>
      </c>
      <c r="J2617" t="inlineStr"/>
      <c r="K2617" t="inlineStr"/>
      <c r="L2617" t="inlineStr"/>
      <c r="M2617" t="inlineStr"/>
      <c r="N2617" t="inlineStr"/>
      <c r="O2617" t="inlineStr"/>
      <c r="P2617" t="inlineStr"/>
      <c r="Q2617" t="inlineStr"/>
      <c r="R2617" t="inlineStr"/>
      <c r="S2617" t="inlineStr"/>
    </row>
    <row r="2618">
      <c r="A2618">
        <f>Skills!A13</f>
        <v/>
      </c>
      <c r="B2618">
        <f>Skills!B13</f>
        <v/>
      </c>
      <c r="C2618">
        <f>Inputs!$B$3&gt;=45</f>
        <v/>
      </c>
      <c r="D2618">
        <f>IF(Skills!C13=1,60+Inputs!$B$25+Inputs!$B$29,IF(Skills!C13=2,90+Inputs!$B$26+Inputs!$B$29,IF(Skills!C13=3,120+Inputs!$B$27+Inputs!$B$29,MAX(0,(Inputs!$B$3-100)*3)+Inputs!$B$28+Inputs!$B$29)))</f>
        <v/>
      </c>
      <c r="E2618">
        <f>INDEX(FactorTable!$B$2:$Y$301, MATCH(ROUND(MIN(300,MAX(1,D2618)),0), FactorTable!$A$2:$A$301,0), Skills!M13+1)</f>
        <v/>
      </c>
      <c r="F2618">
        <f>IF(Skills!N13=TRUE,(Skills!L13/10)*(E2618/1000),Skills!L13/10)+Skills!O13</f>
        <v/>
      </c>
      <c r="G2618">
        <f>Skills!G13*IF(Skills!H13&gt;0,Skills!I13/Skills!H13,1)</f>
        <v/>
      </c>
      <c r="H2618">
        <f>1-(1-Skills!J13/100)^Skills!K13</f>
        <v/>
      </c>
      <c r="I2618" t="inlineStr">
        <is>
          <t>1</t>
        </is>
      </c>
      <c r="J2618" t="inlineStr"/>
      <c r="K2618" t="inlineStr"/>
      <c r="L2618" t="inlineStr"/>
      <c r="M2618" t="inlineStr"/>
      <c r="N2618" t="inlineStr"/>
      <c r="O2618">
        <f>(1-Summary!$B$11)*T2618+Summary!$B$11*V2618</f>
        <v/>
      </c>
      <c r="P2618">
        <f>IF(B2642=0,0,O2618/B2642)</f>
        <v/>
      </c>
      <c r="Q2618" t="n">
        <v>0</v>
      </c>
      <c r="R2618" t="n">
        <v>0</v>
      </c>
      <c r="S2618">
        <f>IFERROR(O2618/N2618,0)</f>
        <v/>
      </c>
      <c r="T2618" t="n">
        <v>0</v>
      </c>
      <c r="V2618" t="n">
        <v>0</v>
      </c>
    </row>
    <row r="2619">
      <c r="A2619">
        <f>Skills!A14</f>
        <v/>
      </c>
      <c r="B2619">
        <f>Skills!B14</f>
        <v/>
      </c>
      <c r="C2619">
        <f>Inputs!$B$3&gt;=110</f>
        <v/>
      </c>
      <c r="D2619">
        <f>IF(Skills!C14=1,60+Inputs!$B$25+Inputs!$B$29,IF(Skills!C14=2,90+Inputs!$B$26+Inputs!$B$29,IF(Skills!C14=3,120+Inputs!$B$27+Inputs!$B$29,MAX(0,(Inputs!$B$3-100)*3)+Inputs!$B$28+Inputs!$B$29)))</f>
        <v/>
      </c>
      <c r="E2619">
        <f>INDEX(FactorTable!$B$2:$Y$301, MATCH(ROUND(MIN(300,MAX(1,D2619)),0), FactorTable!$A$2:$A$301,0), Skills!M14+1)</f>
        <v/>
      </c>
      <c r="F2619">
        <f>IF(Skills!N14=TRUE,(Skills!L14/10)*(E2619/1000),Skills!L14/10)+Skills!O14</f>
        <v/>
      </c>
      <c r="G2619">
        <f>Skills!G14*IF(Skills!H14&gt;0,Skills!I14/Skills!H14,1)</f>
        <v/>
      </c>
      <c r="H2619">
        <f>1-(1-Skills!J14/100)^Skills!K14</f>
        <v/>
      </c>
      <c r="I2619" t="inlineStr">
        <is>
          <t>1</t>
        </is>
      </c>
      <c r="J2619" t="inlineStr"/>
      <c r="K2619" t="inlineStr"/>
      <c r="L2619" t="inlineStr"/>
      <c r="M2619" t="inlineStr"/>
      <c r="N2619" t="inlineStr"/>
      <c r="O2619">
        <f>(1-Summary!$B$11)*T2619+Summary!$B$11*V2619</f>
        <v/>
      </c>
      <c r="P2619">
        <f>IF(B2642=0,0,O2619/B2642)</f>
        <v/>
      </c>
      <c r="Q2619" t="n">
        <v>0</v>
      </c>
      <c r="R2619" t="n">
        <v>0</v>
      </c>
      <c r="S2619">
        <f>IFERROR(O2619/N2619,0)</f>
        <v/>
      </c>
      <c r="T2619" t="n">
        <v>0</v>
      </c>
      <c r="V2619" t="n">
        <v>0</v>
      </c>
    </row>
    <row r="2620">
      <c r="A2620">
        <f>Skills!A15</f>
        <v/>
      </c>
      <c r="B2620">
        <f>Skills!B15</f>
        <v/>
      </c>
      <c r="C2620">
        <f>Inputs!$B$3&gt;=75</f>
        <v/>
      </c>
      <c r="D2620">
        <f>IF(Skills!C15=1,60+Inputs!$B$25+Inputs!$B$29,IF(Skills!C15=2,90+Inputs!$B$26+Inputs!$B$29,IF(Skills!C15=3,120+Inputs!$B$27+Inputs!$B$29,MAX(0,(Inputs!$B$3-100)*3)+Inputs!$B$28+Inputs!$B$29)))</f>
        <v/>
      </c>
      <c r="E2620">
        <f>INDEX(FactorTable!$B$2:$Y$301, MATCH(ROUND(MIN(300,MAX(1,D2620)),0), FactorTable!$A$2:$A$301,0), Skills!M15+1)</f>
        <v/>
      </c>
      <c r="F2620">
        <f>IF(Skills!N15=TRUE,(Skills!L15/10)*(E2620/1000),Skills!L15/10)+Skills!O15</f>
        <v/>
      </c>
      <c r="G2620">
        <f>Skills!G15*IF(Skills!H15&gt;0,Skills!I15/Skills!H15,1)</f>
        <v/>
      </c>
      <c r="H2620">
        <f>1-(1-Skills!J15/100)^Skills!K15</f>
        <v/>
      </c>
      <c r="I2620" t="inlineStr">
        <is>
          <t>1</t>
        </is>
      </c>
      <c r="J2620" t="inlineStr"/>
      <c r="K2620" t="inlineStr"/>
      <c r="L2620" t="inlineStr"/>
      <c r="M2620" t="inlineStr"/>
      <c r="N2620" t="inlineStr"/>
      <c r="O2620">
        <f>(1-Summary!$B$11)*T2620+Summary!$B$11*V2620</f>
        <v/>
      </c>
      <c r="P2620">
        <f>IF(B2642=0,0,O2620/B2642)</f>
        <v/>
      </c>
      <c r="Q2620">
        <f>IFERROR(1/(IF(Inputs!$B$38="pvp",15,MAX(0.1,Skills!D15-IF(Skills!E15=TRUE,1.0,0)))*(1-IF(AND(ArtifactsInput!$M$27,Inputs!$B$4="Chapter Hunt"),CHOOSE(ArtifactsInput!$N$27+1,20,24,28,32,36,40),0)/100)),0)</f>
        <v/>
      </c>
      <c r="R2620">
        <f>IF(AND(Inputs!$B$38&lt;&gt;"pvp",Inputs!$B$43&gt;0),IF(Inputs!$B$43&lt;=0,0,(INT(Inputs!$B$43/(IF(Inputs!$B$38="pvp",15,MAX(0.1,Skills!D15-IF(Skills!E15=TRUE,1.0,0)))*(1-IF(AND(ArtifactsInput!$M$27,Inputs!$B$4="Chapter Hunt"),CHOOSE(ArtifactsInput!$N$27+1,20,24,28,32,36,40),0)/100)))+1)),0)</f>
        <v/>
      </c>
      <c r="S2620">
        <f>IFERROR(O2620/N2620,0)</f>
        <v/>
      </c>
      <c r="T2620" t="n">
        <v>0</v>
      </c>
      <c r="V2620" t="n">
        <v>0</v>
      </c>
    </row>
    <row r="2621">
      <c r="A2621">
        <f>Skills!A16</f>
        <v/>
      </c>
      <c r="B2621">
        <f>Skills!B16</f>
        <v/>
      </c>
      <c r="C2621">
        <f>Inputs!$B$3&gt;=105</f>
        <v/>
      </c>
      <c r="D2621">
        <f>IF(Skills!C16=1,60+Inputs!$B$25+Inputs!$B$29,IF(Skills!C16=2,90+Inputs!$B$26+Inputs!$B$29,IF(Skills!C16=3,120+Inputs!$B$27+Inputs!$B$29,MAX(0,(Inputs!$B$3-100)*3)+Inputs!$B$28+Inputs!$B$29)))</f>
        <v/>
      </c>
      <c r="E2621">
        <f>INDEX(FactorTable!$B$2:$Y$301, MATCH(ROUND(MIN(300,MAX(1,D2621)),0), FactorTable!$A$2:$A$301,0), Skills!M16+1)</f>
        <v/>
      </c>
      <c r="F2621">
        <f>IF(Skills!N16=TRUE,(Skills!L16/10)*(E2621/1000),Skills!L16/10)+Skills!O16</f>
        <v/>
      </c>
      <c r="G2621">
        <f>Skills!G16*IF(Skills!H16&gt;0,Skills!I16/Skills!H16,1)</f>
        <v/>
      </c>
      <c r="H2621">
        <f>1-(1-Skills!J16/100)^Skills!K16</f>
        <v/>
      </c>
      <c r="I2621" t="inlineStr">
        <is>
          <t>1</t>
        </is>
      </c>
      <c r="J2621" t="inlineStr"/>
      <c r="K2621" t="inlineStr"/>
      <c r="L2621" t="inlineStr"/>
      <c r="M2621" t="inlineStr"/>
      <c r="N2621" t="inlineStr"/>
      <c r="O2621">
        <f>(1-Summary!$B$11)*T2621+Summary!$B$11*V2621</f>
        <v/>
      </c>
      <c r="P2621">
        <f>IF(B2642=0,0,O2621/B2642)</f>
        <v/>
      </c>
      <c r="Q2621">
        <f>IFERROR(1/(IF(Inputs!$B$38="pvp",15,MAX(0.1,Skills!D16-IF(Skills!E16=TRUE,1.0,0)))*(1-IF(AND(ArtifactsInput!$M$27,Inputs!$B$4="Chapter Hunt"),CHOOSE(ArtifactsInput!$N$27+1,20,24,28,32,36,40),0)/100)),0)</f>
        <v/>
      </c>
      <c r="R2621">
        <f>IF(AND(Inputs!$B$38&lt;&gt;"pvp",Inputs!$B$43&gt;0),IF(Inputs!$B$43&lt;=0,0,(INT(Inputs!$B$43/(IF(Inputs!$B$38="pvp",15,MAX(0.1,Skills!D16-IF(Skills!E16=TRUE,1.0,0)))*(1-IF(AND(ArtifactsInput!$M$27,Inputs!$B$4="Chapter Hunt"),CHOOSE(ArtifactsInput!$N$27+1,20,24,28,32,36,40),0)/100)))+1)),0)</f>
        <v/>
      </c>
      <c r="S2621">
        <f>IFERROR(O2621/N2621,0)</f>
        <v/>
      </c>
      <c r="T2621" t="n">
        <v>0</v>
      </c>
      <c r="V2621" t="n">
        <v>0</v>
      </c>
    </row>
    <row r="2622">
      <c r="A2622">
        <f>Skills!A17</f>
        <v/>
      </c>
      <c r="B2622">
        <f>Skills!B17</f>
        <v/>
      </c>
      <c r="C2622">
        <f>Inputs!$B$3&gt;=115</f>
        <v/>
      </c>
      <c r="D2622">
        <f>IF(Skills!C17=1,60+Inputs!$B$25+Inputs!$B$29,IF(Skills!C17=2,90+Inputs!$B$26+Inputs!$B$29,IF(Skills!C17=3,120+Inputs!$B$27+Inputs!$B$29,MAX(0,(Inputs!$B$3-100)*3)+Inputs!$B$28+Inputs!$B$29)))</f>
        <v/>
      </c>
      <c r="E2622">
        <f>INDEX(FactorTable!$B$2:$Y$301, MATCH(ROUND(MIN(300,MAX(1,D2622)),0), FactorTable!$A$2:$A$301,0), Skills!M17+1)</f>
        <v/>
      </c>
      <c r="F2622">
        <f>IF(Skills!N17=TRUE,(Skills!L17/10)*(E2622/1000),Skills!L17/10)+Skills!O17</f>
        <v/>
      </c>
      <c r="G2622">
        <f>Skills!G17*IF(Skills!H17&gt;0,Skills!I17/Skills!H17,1)</f>
        <v/>
      </c>
      <c r="H2622">
        <f>1-(1-Skills!J17/100)^Skills!K17</f>
        <v/>
      </c>
      <c r="I2622" t="inlineStr">
        <is>
          <t>1</t>
        </is>
      </c>
      <c r="J2622" t="inlineStr"/>
      <c r="K2622" t="inlineStr"/>
      <c r="L2622" t="inlineStr"/>
      <c r="M2622" t="inlineStr"/>
      <c r="N2622" t="inlineStr"/>
      <c r="O2622">
        <f>(1-Summary!$B$11)*T2622+Summary!$B$11*V2622</f>
        <v/>
      </c>
      <c r="P2622">
        <f>IF(B2642=0,0,O2622/B2642)</f>
        <v/>
      </c>
      <c r="Q2622">
        <f>IFERROR(1/(IF(Inputs!$B$38="pvp",15,MAX(0.1,Skills!D17-IF(Skills!E17=TRUE,1.0,0)))*(1-IF(AND(ArtifactsInput!$M$27,Inputs!$B$4="Chapter Hunt"),CHOOSE(ArtifactsInput!$N$27+1,20,24,28,32,36,40),0)/100)),0)</f>
        <v/>
      </c>
      <c r="R2622">
        <f>IF(AND(Inputs!$B$38&lt;&gt;"pvp",Inputs!$B$43&gt;0),IF(Inputs!$B$43&lt;=0,0,(INT(Inputs!$B$43/(IF(Inputs!$B$38="pvp",15,MAX(0.1,Skills!D17-IF(Skills!E17=TRUE,1.0,0)))*(1-IF(AND(ArtifactsInput!$M$27,Inputs!$B$4="Chapter Hunt"),CHOOSE(ArtifactsInput!$N$27+1,20,24,28,32,36,40),0)/100)))+1)),0)</f>
        <v/>
      </c>
      <c r="S2622">
        <f>IFERROR(O2622/N2622,0)</f>
        <v/>
      </c>
      <c r="T2622" t="n">
        <v>0</v>
      </c>
      <c r="V2622" t="n">
        <v>0</v>
      </c>
    </row>
    <row r="2623">
      <c r="A2623">
        <f>Skills!A18</f>
        <v/>
      </c>
      <c r="B2623">
        <f>Skills!B18</f>
        <v/>
      </c>
      <c r="C2623">
        <f>Inputs!$B$3&gt;=74</f>
        <v/>
      </c>
      <c r="D2623">
        <f>IF(Skills!C18=1,60+Inputs!$B$25+Inputs!$B$29,IF(Skills!C18=2,90+Inputs!$B$26+Inputs!$B$29,IF(Skills!C18=3,120+Inputs!$B$27+Inputs!$B$29,MAX(0,(Inputs!$B$3-100)*3)+Inputs!$B$28+Inputs!$B$29)))</f>
        <v/>
      </c>
      <c r="E2623">
        <f>INDEX(FactorTable!$B$2:$Y$301, MATCH(ROUND(MIN(300,MAX(1,D2623)),0), FactorTable!$A$2:$A$301,0), Skills!M18+1)</f>
        <v/>
      </c>
      <c r="F2623">
        <f>IF(Skills!N18=TRUE,(Skills!L18/10)*(E2623/1000),Skills!L18/10)+Skills!O18</f>
        <v/>
      </c>
      <c r="G2623">
        <f>Skills!G18*IF(Skills!H18&gt;0,Skills!I18/Skills!H18,1)</f>
        <v/>
      </c>
      <c r="H2623">
        <f>1-(1-Skills!J18/100)^Skills!K18</f>
        <v/>
      </c>
      <c r="I2623" t="inlineStr">
        <is>
          <t>1</t>
        </is>
      </c>
      <c r="J2623" t="inlineStr"/>
      <c r="K2623" t="inlineStr"/>
      <c r="L2623" t="inlineStr"/>
      <c r="M2623" t="inlineStr"/>
      <c r="N2623" t="inlineStr"/>
      <c r="O2623">
        <f>(1-Summary!$B$11)*T2623+Summary!$B$11*V2623</f>
        <v/>
      </c>
      <c r="P2623">
        <f>IF(B2642=0,0,O2623/B2642)</f>
        <v/>
      </c>
      <c r="Q2623">
        <f>IFERROR(1/(IF(Inputs!$B$38="pvp",15,MAX(0.1,Skills!D18-IF(Skills!E18=TRUE,1.0,0)))*(1-IF(AND(ArtifactsInput!$M$27,Inputs!$B$4="Chapter Hunt"),CHOOSE(ArtifactsInput!$N$27+1,20,24,28,32,36,40),0)/100)),0)</f>
        <v/>
      </c>
      <c r="R2623">
        <f>IF(AND(Inputs!$B$38&lt;&gt;"pvp",Inputs!$B$43&gt;0),IF(Inputs!$B$43&lt;=0,0,(INT(Inputs!$B$43/(IF(Inputs!$B$38="pvp",15,MAX(0.1,Skills!D18-IF(Skills!E18=TRUE,1.0,0)))*(1-IF(AND(ArtifactsInput!$M$27,Inputs!$B$4="Chapter Hunt"),CHOOSE(ArtifactsInput!$N$27+1,20,24,28,32,36,40),0)/100)))+1)),0)</f>
        <v/>
      </c>
      <c r="S2623">
        <f>IFERROR(O2623/N2623,0)</f>
        <v/>
      </c>
      <c r="T2623" t="n">
        <v>0</v>
      </c>
      <c r="V2623" t="n">
        <v>0</v>
      </c>
    </row>
    <row r="2624">
      <c r="A2624">
        <f>Skills!A19</f>
        <v/>
      </c>
      <c r="B2624">
        <f>Skills!B19</f>
        <v/>
      </c>
      <c r="C2624">
        <f>TRUE</f>
        <v/>
      </c>
      <c r="D2624">
        <f>IF(Skills!C19=1,60+Inputs!$B$25+Inputs!$B$29,IF(Skills!C19=2,90+Inputs!$B$26+Inputs!$B$29,IF(Skills!C19=3,120+Inputs!$B$27+Inputs!$B$29,MAX(0,(Inputs!$B$3-100)*3)+Inputs!$B$28+Inputs!$B$29)))</f>
        <v/>
      </c>
      <c r="E2624">
        <f>INDEX(FactorTable!$B$2:$Y$301, MATCH(ROUND(MIN(300,MAX(1,D2624)),0), FactorTable!$A$2:$A$301,0), Skills!M19+1)</f>
        <v/>
      </c>
      <c r="F2624">
        <f>IF(Skills!N19=TRUE,(Skills!L19/10)*(E2624/1000),Skills!L19/10)+Skills!O19</f>
        <v/>
      </c>
      <c r="G2624">
        <f>Skills!G19*IF(Skills!H19&gt;0,Skills!I19/Skills!H19,1)</f>
        <v/>
      </c>
      <c r="H2624">
        <f>1-(1-Skills!J19/100)^Skills!K19</f>
        <v/>
      </c>
      <c r="I2624" t="inlineStr">
        <is>
          <t>1</t>
        </is>
      </c>
      <c r="J2624" t="inlineStr"/>
      <c r="K2624" t="inlineStr"/>
      <c r="L2624" t="inlineStr"/>
      <c r="M2624" t="inlineStr"/>
      <c r="N2624" t="inlineStr"/>
      <c r="O2624">
        <f>(1-Summary!$B$11)*T2624+Summary!$B$11*V2624</f>
        <v/>
      </c>
      <c r="P2624">
        <f>IF(B2642=0,0,O2624/B2642)</f>
        <v/>
      </c>
      <c r="Q2624">
        <f>IFERROR(1/(IF(Inputs!$B$38="pvp",15,MAX(0.1,Skills!D19-IF(Skills!E19=TRUE,1.0,0)))*(1-IF(AND(ArtifactsInput!$M$27,Inputs!$B$4="Chapter Hunt"),CHOOSE(ArtifactsInput!$N$27+1,20,24,28,32,36,40),0)/100)),0)</f>
        <v/>
      </c>
      <c r="R2624">
        <f>IF(AND(Inputs!$B$38&lt;&gt;"pvp",Inputs!$B$43&gt;0),IF(Inputs!$B$43&lt;=0,0,(INT(Inputs!$B$43/(IF(Inputs!$B$38="pvp",15,MAX(0.1,Skills!D19-IF(Skills!E19=TRUE,1.0,0)))*(1-IF(AND(ArtifactsInput!$M$27,Inputs!$B$4="Chapter Hunt"),CHOOSE(ArtifactsInput!$N$27+1,20,24,28,32,36,40),0)/100)))+1)),0)</f>
        <v/>
      </c>
      <c r="S2624">
        <f>IFERROR(O2624/N2624,0)</f>
        <v/>
      </c>
      <c r="T2624" t="n">
        <v>0</v>
      </c>
      <c r="V2624" t="n">
        <v>0</v>
      </c>
    </row>
    <row r="2625">
      <c r="A2625">
        <f>Skills!A20</f>
        <v/>
      </c>
      <c r="B2625">
        <f>Skills!B20</f>
        <v/>
      </c>
      <c r="C2625">
        <f>Inputs!$B$3&gt;=33</f>
        <v/>
      </c>
      <c r="D2625">
        <f>IF(Skills!C20=1,60+Inputs!$B$25+Inputs!$B$29,IF(Skills!C20=2,90+Inputs!$B$26+Inputs!$B$29,IF(Skills!C20=3,120+Inputs!$B$27+Inputs!$B$29,MAX(0,(Inputs!$B$3-100)*3)+Inputs!$B$28+Inputs!$B$29)))</f>
        <v/>
      </c>
      <c r="E2625">
        <f>INDEX(FactorTable!$B$2:$Y$301, MATCH(ROUND(MIN(300,MAX(1,D2625)),0), FactorTable!$A$2:$A$301,0), Skills!M20+1)</f>
        <v/>
      </c>
      <c r="F2625">
        <f>IF(Skills!N20=TRUE,(Skills!L20/10)*(E2625/1000),Skills!L20/10)+Skills!O20</f>
        <v/>
      </c>
      <c r="G2625">
        <f>Skills!G20*IF(Skills!H20&gt;0,Skills!I20/Skills!H20,1)</f>
        <v/>
      </c>
      <c r="H2625">
        <f>1-(1-Skills!J20/100)^Skills!K20</f>
        <v/>
      </c>
      <c r="I2625" t="inlineStr">
        <is>
          <t>1</t>
        </is>
      </c>
      <c r="J2625" t="inlineStr"/>
      <c r="K2625" t="inlineStr"/>
      <c r="L2625" t="inlineStr"/>
      <c r="M2625" t="inlineStr"/>
      <c r="N2625" t="inlineStr"/>
      <c r="O2625">
        <f>(1-Summary!$B$11)*T2625+Summary!$B$11*V2625</f>
        <v/>
      </c>
      <c r="P2625">
        <f>IF(B2642=0,0,O2625/B2642)</f>
        <v/>
      </c>
      <c r="Q2625" t="n">
        <v>0</v>
      </c>
      <c r="R2625" t="n">
        <v>0</v>
      </c>
      <c r="S2625">
        <f>IFERROR(O2625/N2625,0)</f>
        <v/>
      </c>
      <c r="T2625" t="n">
        <v>0</v>
      </c>
      <c r="V2625" t="n">
        <v>0</v>
      </c>
    </row>
    <row r="2626">
      <c r="A2626">
        <f>Skills!A21</f>
        <v/>
      </c>
      <c r="B2626">
        <f>Skills!B21</f>
        <v/>
      </c>
      <c r="C2626">
        <f>Inputs!$B$3&gt;=38</f>
        <v/>
      </c>
      <c r="D2626">
        <f>IF(Skills!C21=1,60+Inputs!$B$25+Inputs!$B$29,IF(Skills!C21=2,90+Inputs!$B$26+Inputs!$B$29,IF(Skills!C21=3,120+Inputs!$B$27+Inputs!$B$29,MAX(0,(Inputs!$B$3-100)*3)+Inputs!$B$28+Inputs!$B$29)))</f>
        <v/>
      </c>
      <c r="E2626">
        <f>INDEX(FactorTable!$B$2:$Y$301, MATCH(ROUND(MIN(300,MAX(1,D2626)),0), FactorTable!$A$2:$A$301,0), Skills!M21+1)</f>
        <v/>
      </c>
      <c r="F2626">
        <f>IF(Skills!N21=TRUE,(Skills!L21/10)*(E2626/1000),Skills!L21/10)+Skills!O21</f>
        <v/>
      </c>
      <c r="G2626">
        <f>Skills!G21*IF(Skills!H21&gt;0,Skills!I21/Skills!H21,1)</f>
        <v/>
      </c>
      <c r="H2626">
        <f>1-(1-Skills!J21/100)^Skills!K21</f>
        <v/>
      </c>
      <c r="I2626" t="inlineStr">
        <is>
          <t>1</t>
        </is>
      </c>
      <c r="J2626" t="inlineStr"/>
      <c r="K2626" t="inlineStr"/>
      <c r="L2626" t="inlineStr"/>
      <c r="M2626" t="inlineStr"/>
      <c r="N2626" t="inlineStr"/>
      <c r="O2626">
        <f>(1-Summary!$B$11)*T2626+Summary!$B$11*V2626</f>
        <v/>
      </c>
      <c r="P2626">
        <f>IF(B2642=0,0,O2626/B2642)</f>
        <v/>
      </c>
      <c r="Q2626" t="n">
        <v>0</v>
      </c>
      <c r="R2626" t="n">
        <v>0</v>
      </c>
      <c r="S2626">
        <f>IFERROR(O2626/N2626,0)</f>
        <v/>
      </c>
      <c r="T2626" t="n">
        <v>0</v>
      </c>
      <c r="V2626" t="n">
        <v>0</v>
      </c>
    </row>
    <row r="2627">
      <c r="A2627">
        <f>Skills!A22</f>
        <v/>
      </c>
      <c r="B2627">
        <f>Skills!B22</f>
        <v/>
      </c>
      <c r="C2627">
        <f>Inputs!$B$3&gt;=43</f>
        <v/>
      </c>
      <c r="D2627">
        <f>IF(Skills!C22=1,60+Inputs!$B$25+Inputs!$B$29,IF(Skills!C22=2,90+Inputs!$B$26+Inputs!$B$29,IF(Skills!C22=3,120+Inputs!$B$27+Inputs!$B$29,MAX(0,(Inputs!$B$3-100)*3)+Inputs!$B$28+Inputs!$B$29)))</f>
        <v/>
      </c>
      <c r="E2627">
        <f>INDEX(FactorTable!$B$2:$Y$301, MATCH(ROUND(MIN(300,MAX(1,D2627)),0), FactorTable!$A$2:$A$301,0), Skills!M22+1)</f>
        <v/>
      </c>
      <c r="F2627">
        <f>IF(Skills!N22=TRUE,(Skills!L22/10)*(E2627/1000),Skills!L22/10)+Skills!O22</f>
        <v/>
      </c>
      <c r="G2627">
        <f>Skills!G22*IF(Skills!H22&gt;0,Skills!I22/Skills!H22,1)</f>
        <v/>
      </c>
      <c r="H2627">
        <f>1-(1-Skills!J22/100)^Skills!K22</f>
        <v/>
      </c>
      <c r="I2627" t="inlineStr">
        <is>
          <t>1</t>
        </is>
      </c>
      <c r="J2627" t="inlineStr"/>
      <c r="K2627" t="inlineStr"/>
      <c r="L2627" t="inlineStr"/>
      <c r="M2627" t="inlineStr"/>
      <c r="N2627" t="inlineStr"/>
      <c r="O2627">
        <f>(1-Summary!$B$11)*T2627+Summary!$B$11*V2627</f>
        <v/>
      </c>
      <c r="P2627">
        <f>IF(B2642=0,0,O2627/B2642)</f>
        <v/>
      </c>
      <c r="Q2627" t="n">
        <v>0</v>
      </c>
      <c r="R2627" t="n">
        <v>0</v>
      </c>
      <c r="S2627">
        <f>IFERROR(O2627/N2627,0)</f>
        <v/>
      </c>
      <c r="T2627" t="n">
        <v>0</v>
      </c>
      <c r="V2627" t="n">
        <v>0</v>
      </c>
    </row>
    <row r="2628">
      <c r="A2628">
        <f>Skills!A23</f>
        <v/>
      </c>
      <c r="B2628">
        <f>Skills!B23</f>
        <v/>
      </c>
      <c r="C2628">
        <f>Inputs!$B$3&gt;=120</f>
        <v/>
      </c>
      <c r="D2628">
        <f>IF(Skills!C23=1,60+Inputs!$B$25+Inputs!$B$29,IF(Skills!C23=2,90+Inputs!$B$26+Inputs!$B$29,IF(Skills!C23=3,120+Inputs!$B$27+Inputs!$B$29,MAX(0,(Inputs!$B$3-100)*3)+Inputs!$B$28+Inputs!$B$29)))</f>
        <v/>
      </c>
      <c r="E2628">
        <f>INDEX(FactorTable!$B$2:$Y$301, MATCH(ROUND(MIN(300,MAX(1,D2628)),0), FactorTable!$A$2:$A$301,0), Skills!M23+1)</f>
        <v/>
      </c>
      <c r="F2628">
        <f>IF(Skills!N23=TRUE,(Skills!L23/10)*(E2628/1000),Skills!L23/10)+Skills!O23</f>
        <v/>
      </c>
      <c r="G2628">
        <f>Skills!G23*IF(Skills!H23&gt;0,Skills!I23/Skills!H23,1)</f>
        <v/>
      </c>
      <c r="H2628">
        <f>1-(1-Skills!J23/100)^Skills!K23</f>
        <v/>
      </c>
      <c r="I2628" t="inlineStr">
        <is>
          <t>1</t>
        </is>
      </c>
      <c r="J2628" t="inlineStr"/>
      <c r="K2628" t="inlineStr"/>
      <c r="L2628" t="inlineStr"/>
      <c r="M2628" t="inlineStr"/>
      <c r="N2628" t="inlineStr"/>
      <c r="O2628">
        <f>(1-Summary!$B$11)*T2628+Summary!$B$11*V2628</f>
        <v/>
      </c>
      <c r="P2628">
        <f>IF(B2642=0,0,O2628/B2642)</f>
        <v/>
      </c>
      <c r="Q2628" t="n">
        <v>0</v>
      </c>
      <c r="R2628" t="n">
        <v>0</v>
      </c>
      <c r="S2628">
        <f>IFERROR(O2628/N2628,0)</f>
        <v/>
      </c>
      <c r="T2628" t="n">
        <v>0</v>
      </c>
      <c r="V2628" t="n">
        <v>0</v>
      </c>
    </row>
    <row r="2629">
      <c r="A2629">
        <f>Skills!A24</f>
        <v/>
      </c>
      <c r="B2629">
        <f>Skills!B24</f>
        <v/>
      </c>
      <c r="C2629">
        <f>Inputs!$B$3&gt;=120</f>
        <v/>
      </c>
      <c r="D2629">
        <f>IF(Skills!C24=1,60+Inputs!$B$25+Inputs!$B$29,IF(Skills!C24=2,90+Inputs!$B$26+Inputs!$B$29,IF(Skills!C24=3,120+Inputs!$B$27+Inputs!$B$29,MAX(0,(Inputs!$B$3-100)*3)+Inputs!$B$28+Inputs!$B$29)))</f>
        <v/>
      </c>
      <c r="E2629">
        <f>INDEX(FactorTable!$B$2:$Y$301, MATCH(ROUND(MIN(300,MAX(1,D2629)),0), FactorTable!$A$2:$A$301,0), Skills!M24+1)</f>
        <v/>
      </c>
      <c r="F2629">
        <f>IF(Skills!N24=TRUE,(Skills!L24/10)*(E2629/1000),Skills!L24/10)+Skills!O24</f>
        <v/>
      </c>
      <c r="G2629">
        <f>Skills!G24*IF(Skills!H24&gt;0,Skills!I24/Skills!H24,1)</f>
        <v/>
      </c>
      <c r="H2629">
        <f>1-(1-Skills!J24/100)^Skills!K24</f>
        <v/>
      </c>
      <c r="I2629" t="inlineStr">
        <is>
          <t>1</t>
        </is>
      </c>
      <c r="J2629" t="inlineStr"/>
      <c r="K2629" t="inlineStr"/>
      <c r="L2629" t="inlineStr"/>
      <c r="M2629" t="inlineStr"/>
      <c r="N2629" t="inlineStr"/>
      <c r="O2629">
        <f>(1-Summary!$B$11)*T2629+Summary!$B$11*V2629</f>
        <v/>
      </c>
      <c r="P2629">
        <f>IF(B2642=0,0,O2629/B2642)</f>
        <v/>
      </c>
      <c r="Q2629" t="n">
        <v>0</v>
      </c>
      <c r="R2629" t="n">
        <v>0</v>
      </c>
      <c r="S2629">
        <f>IFERROR(O2629/N2629,0)</f>
        <v/>
      </c>
      <c r="T2629" t="n">
        <v>0</v>
      </c>
      <c r="V2629" t="n">
        <v>0</v>
      </c>
    </row>
    <row r="2631">
      <c r="A2631" t="inlineStr">
        <is>
          <t>Attack% Bucket Multiplier</t>
        </is>
      </c>
      <c r="B2631">
        <f>(1+(((C2618=TRUE)*F2618*MIN(1,Skills!T13*(Skills!J13/100)*B2636))+((C2623=TRUE)*F2623*IF(AND(Inputs!$B$38&lt;&gt;"pvp",Inputs!$B$43&gt;0),(((R2623-1)*(Skills!T18*(1+Inputs!$B$34/100))+MIN((Skills!T18*(1+Inputs!$B$34/100)),MAX(0,Inputs!$B$43-((R2623-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32">
      <c r="A2632" t="inlineStr">
        <is>
          <t>Global Crit Rate Bonus %</t>
        </is>
      </c>
      <c r="B2632" t="n">
        <v>0</v>
      </c>
    </row>
    <row r="2633">
      <c r="A2633" t="inlineStr">
        <is>
          <t>Attack Speed Buff Bonus %</t>
        </is>
      </c>
      <c r="B2633">
        <f>((C2624=TRUE)*F2624*IF(AND(Inputs!$B$38&lt;&gt;"pvp",Inputs!$B$43&gt;0),(((R2624-1)*(Skills!T19*(1+Inputs!$B$34/100))+MIN((Skills!T19*(1+Inputs!$B$34/100)),MAX(0,Inputs!$B$43-((R2624-1)*Skills!D19))))/Inputs!$B$43),IF(Inputs!$B$38="pvp",MIN((Skills!T19*(1+Inputs!$B$34/100)),15)/15,(Skills!T19*(1+Inputs!$B$34/100))/Skills!D19)))</f>
        <v/>
      </c>
    </row>
    <row r="2634">
      <c r="A2634" t="inlineStr">
        <is>
          <t>Actions Per Second</t>
        </is>
      </c>
      <c r="B2634">
        <f>1+MIN(150,150*(1-(1-(Inputs!$B$11+((C2625=TRUE)*(F2625-Calc!F20)))/150)*(1-B2633/150)))/100</f>
        <v/>
      </c>
    </row>
    <row r="2635">
      <c r="A2635" t="inlineStr">
        <is>
          <t>Skill + Buff Cast Rate</t>
        </is>
      </c>
      <c r="B2635">
        <f>IF(AND(Inputs!$B$38&lt;&gt;"pvp",Inputs!$B$43&gt;0),SUMPRODUCT((Skills!E2:E24=TRUE)*(C2607:C2629=TRUE)*R2607:R2629*Skills!F2:F24)/Inputs!$B$43,SUMPRODUCT((Skills!E2:E24=TRUE)*(C2607:C2629=TRUE)*Q2607:Q2629*Skills!F2:F24))</f>
        <v/>
      </c>
    </row>
    <row r="2636">
      <c r="A2636" t="inlineStr">
        <is>
          <t>Blast Casts Per Second</t>
        </is>
      </c>
      <c r="B2636">
        <f>MAX(0,B2634-B2635)</f>
        <v/>
      </c>
    </row>
    <row r="2637">
      <c r="A2637" t="inlineStr">
        <is>
          <t>Global Critical Damage Bonus % (unused)</t>
        </is>
      </c>
      <c r="B2637" t="n">
        <v>0</v>
      </c>
    </row>
    <row r="2638">
      <c r="A2638" t="inlineStr">
        <is>
          <t>Global Final Damage Bonus % (Divine Shield + Guardian + Divine Blessing + Greater Vessel of Light)</t>
        </is>
      </c>
      <c r="B2638">
        <f>((C2620=TRUE)*F2620*IF(AND(Inputs!$B$38&lt;&gt;"pvp",Inputs!$B$43&gt;0),(((R2620-1)*(Skills!T15*(1+Inputs!$B$34/100))+MIN((Skills!T15*(1+Inputs!$B$34/100)),MAX(0,Inputs!$B$43-((R2620-1)*Skills!D15))))/Inputs!$B$43),IF(Inputs!$B$38="pvp",MIN((Skills!T15*(1+Inputs!$B$34/100)),15)/15,(Skills!T15*(1+Inputs!$B$34/100))/Skills!D15)))+((C2621=TRUE)*F2621*IF(AND(Inputs!$B$38&lt;&gt;"pvp",Inputs!$B$43&gt;0),(((R2621-1)*(Skills!T16*(1+Inputs!$B$34/100))+MIN((Skills!T16*(1+Inputs!$B$34/100)),MAX(0,Inputs!$B$43-((R2621-1)*Skills!D16))))/Inputs!$B$43),IF(Inputs!$B$38="pvp",MIN((Skills!T16*(1+Inputs!$B$34/100)),15)/15,(Skills!T16*(1+Inputs!$B$34/100))/Skills!D16)))+((C2622=TRUE)*F2622*IF(AND(Inputs!$B$38&lt;&gt;"pvp",Inputs!$B$43&gt;0),(((R2622-1)*(Skills!T17*(1+Inputs!$B$34/100))+MIN((Skills!T17*(1+Inputs!$B$34/100)),MAX(0,Inputs!$B$43-((R2622-1)*Skills!D17))))/Inputs!$B$43),IF(Inputs!$B$38="pvp",MIN((Skills!T17*(1+Inputs!$B$34/100)),15)/15,(Skills!T17*(1+Inputs!$B$34/100))/Skills!D17)))+((C2619=TRUE)*F2619*MIN(1,Skills!T13*(Skills!J13/100)*B2636))</f>
        <v/>
      </c>
    </row>
    <row r="2639">
      <c r="A2639" t="inlineStr">
        <is>
          <t>Buff-Casting Startup Delay (s, fixed-duration only)</t>
        </is>
      </c>
      <c r="B2639">
        <f>IF(AND(Inputs!$B$38&lt;&gt;"pvp",Inputs!$B$43&gt;0),SUMPRODUCT((Skills!T2:T24&gt;0)*(Skills!E2:E24=TRUE)*(C2607:C2629=TRUE))/B2634,0)</f>
        <v/>
      </c>
    </row>
    <row r="2640">
      <c r="A2640" t="inlineStr">
        <is>
          <t>Boss-Only Total DPS (this block's swept value)</t>
        </is>
      </c>
      <c r="B2640">
        <f>SUM(T2607:T2629)</f>
        <v/>
      </c>
    </row>
    <row r="2641">
      <c r="A2641" t="inlineStr">
        <is>
          <t>Normal-Only Total DPS (this block's swept value)</t>
        </is>
      </c>
      <c r="B2641">
        <f>SUM(V2607:V2629)</f>
        <v/>
      </c>
    </row>
    <row r="2642">
      <c r="A2642" s="6" t="inlineStr">
        <is>
          <t>TOTAL DPS</t>
        </is>
      </c>
      <c r="B2642" s="6">
        <f>SUM(O2607:O2629)</f>
        <v/>
      </c>
    </row>
    <row r="2645">
      <c r="A2645" s="6" t="inlineStr">
        <is>
          <t>Stat: CDR = 1.5s</t>
        </is>
      </c>
    </row>
    <row r="2646">
      <c r="A2646" s="5" t="inlineStr">
        <is>
          <t>Key</t>
        </is>
      </c>
      <c r="B2646" s="5" t="inlineStr">
        <is>
          <t>Name</t>
        </is>
      </c>
      <c r="C2646" s="5" t="inlineStr">
        <is>
          <t>Unlocked</t>
        </is>
      </c>
      <c r="D2646" s="5" t="inlineStr">
        <is>
          <t>InputLevel</t>
        </is>
      </c>
      <c r="E2646" s="5" t="inlineStr">
        <is>
          <t>Factor</t>
        </is>
      </c>
      <c r="F2646" s="5" t="inlineStr">
        <is>
          <t>CoefficientPercent</t>
        </is>
      </c>
      <c r="G2646" s="5" t="inlineStr">
        <is>
          <t>EffectiveHits</t>
        </is>
      </c>
      <c r="H2646" s="5" t="inlineStr">
        <is>
          <t>ProcProbability</t>
        </is>
      </c>
      <c r="I2646" s="5" t="inlineStr">
        <is>
          <t>MapleHeroMultiplier</t>
        </is>
      </c>
      <c r="J2646" s="5" t="inlineStr">
        <is>
          <t>BaseDamage</t>
        </is>
      </c>
      <c r="K2646" s="5" t="inlineStr">
        <is>
          <t>BaseHitDamage</t>
        </is>
      </c>
      <c r="L2646" s="5" t="inlineStr">
        <is>
          <t>NonCritAvg</t>
        </is>
      </c>
      <c r="M2646" s="5" t="inlineStr">
        <is>
          <t>CritAvg</t>
        </is>
      </c>
      <c r="N2646" s="5" t="inlineStr">
        <is>
          <t>ExpectedDamage(perHit)</t>
        </is>
      </c>
      <c r="O2646" s="5" t="inlineStr">
        <is>
          <t>DPS</t>
        </is>
      </c>
      <c r="P2646" s="5" t="inlineStr">
        <is>
          <t>% of Total</t>
        </is>
      </c>
      <c r="Q2646" s="5" t="inlineStr">
        <is>
          <t>InvCooldown</t>
        </is>
      </c>
      <c r="R2646" s="5" t="inlineStr">
        <is>
          <t>CastsInFight</t>
        </is>
      </c>
      <c r="S2646" s="5" t="inlineStr">
        <is>
          <t>HitRate(perSec)</t>
        </is>
      </c>
      <c r="U2646" t="inlineStr">
        <is>
          <t>helpers</t>
        </is>
      </c>
    </row>
    <row r="2647">
      <c r="A2647">
        <f>Skills!A2</f>
        <v/>
      </c>
      <c r="B2647">
        <f>Skills!B2</f>
        <v/>
      </c>
      <c r="C2647">
        <f>Inputs!$B$3&gt;=100</f>
        <v/>
      </c>
      <c r="D2647" t="inlineStr"/>
      <c r="E2647" t="inlineStr"/>
      <c r="F2647">
        <f>U2649+Skills!O2</f>
        <v/>
      </c>
      <c r="G2647">
        <f>Skills!G2*IF(Skills!H2&gt;0,Skills!I2/Skills!H2,1)</f>
        <v/>
      </c>
      <c r="H2647">
        <f>1-(1-Skills!J2/100)^Skills!K2</f>
        <v/>
      </c>
      <c r="I2647" t="inlineStr">
        <is>
          <t>1</t>
        </is>
      </c>
      <c r="J2647">
        <f>((Inputs!$B$6*(1+Inputs!$B$7/100))+(((Inputs!$B$12*(1+Inputs!$B$13/100))-(Inputs!$B$12*(1+Inputs!$B$13/100)))+0.25*(Inputs!$B$14-Inputs!$B$14))*(1+Inputs!$B$7/100))*(F2647/100)</f>
        <v/>
      </c>
      <c r="K2647">
        <f>J2647*(1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2647)</f>
        <v/>
      </c>
      <c r="L2647">
        <f>K2647*(MIN(Inputs!$B$22+((C2667=TRUE)*(F2667-Calc!F22)),(Inputs!$B$23+((C2669=TRUE)*(F2669-Calc!F24))+(IF(ArtifactsInput!$M$15,CHOOSE(ArtifactsInput!$N$15+1,25,30,35,40,45,50)/100*(Inputs!$B$11-Inputs!$B$11),0))))/100+(Inputs!$B$23+((C2669=TRUE)*(F2669-Calc!F24))+(IF(ArtifactsInput!$M$15,CHOOSE(ArtifactsInput!$N$15+1,25,30,35,40,45,50)/100*(Inputs!$B$11-Inputs!$B$11),0)))/100)/2</f>
        <v/>
      </c>
      <c r="M2647">
        <f>L2647*(1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7">
        <f>L2647*(1-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2647*(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7">
        <f>(1-Summary!$B$11)*T2647+Summary!$B$11*V2647</f>
        <v/>
      </c>
      <c r="P2647">
        <f>IF(B2682=0,0,O2647/B2682)</f>
        <v/>
      </c>
      <c r="Q2647" t="n">
        <v>0</v>
      </c>
      <c r="R2647" t="n">
        <v>0</v>
      </c>
      <c r="S2647">
        <f>IFERROR(O2647/N2647,0)</f>
        <v/>
      </c>
      <c r="T2647">
        <f>IF(C2647,(Skills!G2*N2647*B2676)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2647*(1-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2647*(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2647*(1-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2647*(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47">
        <f>MAX(0,(Inputs!$B$3-100)*3)+Inputs!$B$28+Inputs!$B$29</f>
        <v/>
      </c>
      <c r="V2647">
        <f>IF(C2647,(Skills!G2*N2647*B2676)*IF(Inputs!$B$38="pvp",1,(1+(Inputs!$B$21+Skills!Q2+(IF(ArtifactsInput!$M$33,CHOOSE(ArtifactsInput!$N$33+1,30,36,42,48,54,60),0))+(IF(AND(ArtifactsInput!$M$35,Inputs!$B$4&lt;&gt;"Chapter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8">
      <c r="A2648">
        <f>Skills!A3</f>
        <v/>
      </c>
      <c r="B2648">
        <f>Skills!B3</f>
        <v/>
      </c>
      <c r="C2648">
        <f>Inputs!$B$3&gt;=50</f>
        <v/>
      </c>
      <c r="D2648">
        <f>IF(Skills!C3=1,60+Inputs!$B$25+Inputs!$B$29,IF(Skills!C3=2,90+Inputs!$B$26+Inputs!$B$29,IF(Skills!C3=3,120+Inputs!$B$27+Inputs!$B$29,MAX(0,(Inputs!$B$3-100)*3)+Inputs!$B$28+Inputs!$B$29)))</f>
        <v/>
      </c>
      <c r="E2648">
        <f>INDEX(FactorTable!$B$2:$Y$301, MATCH(ROUND(MIN(300,MAX(1,D2648)),0), FactorTable!$A$2:$A$301,0), Skills!M3+1)</f>
        <v/>
      </c>
      <c r="F2648">
        <f>IF(Skills!N3=TRUE,(Skills!L3/10)*(E2648/1000),Skills!L3/10)+Skills!O3</f>
        <v/>
      </c>
      <c r="G2648" t="inlineStr"/>
      <c r="H2648" t="inlineStr"/>
      <c r="I2648" t="inlineStr">
        <is>
          <t>1</t>
        </is>
      </c>
      <c r="J2648" t="inlineStr"/>
      <c r="K2648" t="inlineStr"/>
      <c r="L2648" t="inlineStr"/>
      <c r="M2648" t="inlineStr"/>
      <c r="N2648" t="inlineStr"/>
      <c r="O2648" t="inlineStr"/>
      <c r="P2648" t="inlineStr"/>
      <c r="Q2648" t="inlineStr"/>
      <c r="R2648" t="inlineStr"/>
      <c r="S2648" t="inlineStr"/>
      <c r="U2648">
        <f>INDEX(FactorTable!$B$2:$Y$301, MATCH(ROUND(MIN(300,MAX(1,U2647)),0), FactorTable!$A$2:$A$301,0), 22)</f>
        <v/>
      </c>
    </row>
    <row r="2649">
      <c r="A2649">
        <f>Skills!A4</f>
        <v/>
      </c>
      <c r="B2649">
        <f>Skills!B4</f>
        <v/>
      </c>
      <c r="C2649">
        <f>Inputs!$B$3&gt;=35</f>
        <v/>
      </c>
      <c r="D2649">
        <f>IF(Skills!C4=1,60+Inputs!$B$25+Inputs!$B$29,IF(Skills!C4=2,90+Inputs!$B$26+Inputs!$B$29,IF(Skills!C4=3,120+Inputs!$B$27+Inputs!$B$29,MAX(0,(Inputs!$B$3-100)*3)+Inputs!$B$28+Inputs!$B$29)))</f>
        <v/>
      </c>
      <c r="E2649">
        <f>INDEX(FactorTable!$B$2:$Y$301, MATCH(ROUND(MIN(300,MAX(1,D2649)),0), FactorTable!$A$2:$A$301,0), Skills!M4+1)</f>
        <v/>
      </c>
      <c r="F2649">
        <f>IF(Skills!N4=TRUE,(Skills!L4/10)*(E2649/1000),Skills!L4/10)+Skills!O4</f>
        <v/>
      </c>
      <c r="G2649">
        <f>Skills!G4*IF(Skills!H4&gt;0,Skills!I4/Skills!H4,1)</f>
        <v/>
      </c>
      <c r="H2649">
        <f>1-(1-Skills!J4/100)^Skills!K4</f>
        <v/>
      </c>
      <c r="I2649" t="inlineStr">
        <is>
          <t>1</t>
        </is>
      </c>
      <c r="J2649">
        <f>((Inputs!$B$6*(1+Inputs!$B$7/100))+(((Inputs!$B$12*(1+Inputs!$B$13/100))-(Inputs!$B$12*(1+Inputs!$B$13/100)))+0.25*(Inputs!$B$14-Inputs!$B$14))*(1+Inputs!$B$7/100))*(F2649/100)</f>
        <v/>
      </c>
      <c r="K2649">
        <f>J2649*(1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2657=TRUE,F2657,0)/100)*(1+(IF(Skills!A4="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2649)</f>
        <v/>
      </c>
      <c r="L2649">
        <f>K2649*(MIN(Inputs!$B$22+((C2667=TRUE)*(F2667-Calc!F22)),(Inputs!$B$23+((C2669=TRUE)*(F2669-Calc!F24))+(IF(ArtifactsInput!$M$15,CHOOSE(ArtifactsInput!$N$15+1,25,30,35,40,45,50)/100*(Inputs!$B$11-Inputs!$B$11),0))))/100+(Inputs!$B$23+((C2669=TRUE)*(F2669-Calc!F24))+(IF(ArtifactsInput!$M$15,CHOOSE(ArtifactsInput!$N$15+1,25,30,35,40,45,50)/100*(Inputs!$B$11-Inputs!$B$11),0)))/100)/2</f>
        <v/>
      </c>
      <c r="M2649">
        <f>L2649*(1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9">
        <f>L2649*(1-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2649*(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9">
        <f>(1-Summary!$B$11)*T2649+Summary!$B$11*V2649</f>
        <v/>
      </c>
      <c r="P2649">
        <f>IF(B2682=0,0,O2649/B2682)</f>
        <v/>
      </c>
      <c r="Q2649">
        <f>IFERROR(1/(IF(Inputs!$B$38="pvp",15,MAX(0.1,Skills!D4-IF(Skills!E4=TRUE,1.5,0)))*(1-IF(AND(ArtifactsInput!$M$27,Inputs!$B$4="Chapter Hunt"),CHOOSE(ArtifactsInput!$N$27+1,20,24,28,32,36,40),0)/100)),0)</f>
        <v/>
      </c>
      <c r="R2649">
        <f>IF(AND(Inputs!$B$38&lt;&gt;"pvp",Inputs!$B$43&gt;0),IF(MAX(0,Inputs!$B$43-B2679)&lt;=0,0,(INT(MAX(0,Inputs!$B$43-B2679)/(IF(Inputs!$B$38="pvp",15,MAX(0.1,Skills!D4-IF(Skills!E4=TRUE,1.5,0)))*(1-IF(AND(ArtifactsInput!$M$27,Inputs!$B$4="Chapter Hunt"),CHOOSE(ArtifactsInput!$N$27+1,20,24,28,32,36,40),0)/100)))+1)),0)</f>
        <v/>
      </c>
      <c r="S2649">
        <f>IFERROR(O2649/N2649,0)</f>
        <v/>
      </c>
      <c r="T2649">
        <f>IF(C2649,(H2649*N2649*IF(AND(Inputs!$B$38&lt;&gt;"pvp",Inputs!$B$43&gt;0),((Skills!G4*((R2649-1)*IF(Skills!H4&gt;0,Skills!I4/Skills!H4,1)+IF(Skills!H4&gt;0,MIN(Skills!I4,MAX(0,MAX(0,Inputs!$B$43-B2679)-((R2649-1)*(IF(Inputs!$B$38="pvp",15,MAX(0.1,Skills!D4-IF(Skills!E4=TRUE,1.5,0)))*(1-IF(AND(ArtifactsInput!$M$27,Inputs!$B$4="Chapter Hunt"),CHOOSE(ArtifactsInput!$N$27+1,20,24,28,32,36,40),0)/100)))))/Skills!H4,1)))/Inputs!$B$43),G2649*Q2649)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2649*(1-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2649*(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2649*(1-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2649*(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49">
        <f>290*U2648/1000</f>
        <v/>
      </c>
      <c r="V2649">
        <f>IF(C2649,(H2649*N2649*IF(AND(Inputs!$B$38&lt;&gt;"pvp",Inputs!$B$43&gt;0),((Skills!G4*((R2649-1)*IF(Skills!H4&gt;0,Skills!I4/Skills!H4,1)+IF(Skills!H4&gt;0,MIN(Skills!I4,MAX(0,MAX(0,Inputs!$B$43-B2679)-((R2649-1)*(IF(Inputs!$B$38="pvp",15,MAX(0.1,Skills!D4-IF(Skills!E4=TRUE,1.5,0)))*(1-IF(AND(ArtifactsInput!$M$27,Inputs!$B$4="Chapter Hunt"),CHOOSE(ArtifactsInput!$N$27+1,20,24,28,32,36,40),0)/100)))))/Skills!H4,1)))/Inputs!$B$43),G2649*Q2649))*IF(Inputs!$B$38="pvp",1,(1+(Inputs!$B$21+Skills!Q4+(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0">
      <c r="A2650">
        <f>Skills!A5</f>
        <v/>
      </c>
      <c r="B2650">
        <f>Skills!B5</f>
        <v/>
      </c>
      <c r="C2650">
        <f>Inputs!$B$3&gt;=66</f>
        <v/>
      </c>
      <c r="D2650">
        <f>IF(Skills!C5=1,60+Inputs!$B$25+Inputs!$B$29,IF(Skills!C5=2,90+Inputs!$B$26+Inputs!$B$29,IF(Skills!C5=3,120+Inputs!$B$27+Inputs!$B$29,MAX(0,(Inputs!$B$3-100)*3)+Inputs!$B$28+Inputs!$B$29)))</f>
        <v/>
      </c>
      <c r="E2650">
        <f>INDEX(FactorTable!$B$2:$Y$301, MATCH(ROUND(MIN(300,MAX(1,D2650)),0), FactorTable!$A$2:$A$301,0), Skills!M5+1)</f>
        <v/>
      </c>
      <c r="F2650">
        <f>IF(Skills!N5=TRUE,(Skills!L5/10)*(E2650/1000),Skills!L5/10)+Skills!O5</f>
        <v/>
      </c>
      <c r="G2650">
        <f>Skills!G5*IF(Skills!H5&gt;0,Skills!I5/Skills!H5,1)</f>
        <v/>
      </c>
      <c r="H2650">
        <f>1-(1-Skills!J5/100)^Skills!K5</f>
        <v/>
      </c>
      <c r="I2650" t="inlineStr">
        <is>
          <t>1</t>
        </is>
      </c>
      <c r="J2650">
        <f>((Inputs!$B$6*(1+Inputs!$B$7/100))+(((Inputs!$B$12*(1+Inputs!$B$13/100))-(Inputs!$B$12*(1+Inputs!$B$13/100)))+0.25*(Inputs!$B$14-Inputs!$B$14))*(1+Inputs!$B$7/100))*(F2650/100)</f>
        <v/>
      </c>
      <c r="K2650">
        <f>J2650*(1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2657=TRUE,F2657,0)/100)*(1+(IF(Skills!A5="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2650)</f>
        <v/>
      </c>
      <c r="L2650">
        <f>K2650*(MIN(Inputs!$B$22+((C2667=TRUE)*(F2667-Calc!F22)),(Inputs!$B$23+((C2669=TRUE)*(F2669-Calc!F24))+(IF(ArtifactsInput!$M$15,CHOOSE(ArtifactsInput!$N$15+1,25,30,35,40,45,50)/100*(Inputs!$B$11-Inputs!$B$11),0))))/100+(Inputs!$B$23+((C2669=TRUE)*(F2669-Calc!F24))+(IF(ArtifactsInput!$M$15,CHOOSE(ArtifactsInput!$N$15+1,25,30,35,40,45,50)/100*(Inputs!$B$11-Inputs!$B$11),0)))/100)/2</f>
        <v/>
      </c>
      <c r="M2650">
        <f>L2650*(1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0">
        <f>L2650*(1-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2650*(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0">
        <f>(1-Summary!$B$11)*T2650+Summary!$B$11*V2650</f>
        <v/>
      </c>
      <c r="P2650">
        <f>IF(B2682=0,0,O2650/B2682)</f>
        <v/>
      </c>
      <c r="Q2650">
        <f>IFERROR(1/(IF(Inputs!$B$38="pvp",15,MAX(0.1,Skills!D5-IF(Skills!E5=TRUE,1.5,0)))*(1-IF(AND(ArtifactsInput!$M$27,Inputs!$B$4="Chapter Hunt"),CHOOSE(ArtifactsInput!$N$27+1,20,24,28,32,36,40),0)/100)),0)</f>
        <v/>
      </c>
      <c r="R2650">
        <f>IF(AND(Inputs!$B$38&lt;&gt;"pvp",Inputs!$B$43&gt;0),IF(MAX(0,Inputs!$B$43-B2679)&lt;=0,0,(INT(MAX(0,Inputs!$B$43-B2679)/(IF(Inputs!$B$38="pvp",15,MAX(0.1,Skills!D5-IF(Skills!E5=TRUE,1.5,0)))*(1-IF(AND(ArtifactsInput!$M$27,Inputs!$B$4="Chapter Hunt"),CHOOSE(ArtifactsInput!$N$27+1,20,24,28,32,36,40),0)/100)))+1)),0)</f>
        <v/>
      </c>
      <c r="S2650">
        <f>IFERROR(O2650/N2650,0)</f>
        <v/>
      </c>
      <c r="T2650">
        <f>IF(C2650,(H2650*N2650*IF(AND(Inputs!$B$38&lt;&gt;"pvp",Inputs!$B$43&gt;0),((Skills!G5*((R2650-1)*IF(Skills!H5&gt;0,Skills!I5/Skills!H5,1)+IF(Skills!H5&gt;0,MIN(Skills!I5,MAX(0,MAX(0,Inputs!$B$43-B2679)-((R2650-1)*(IF(Inputs!$B$38="pvp",15,MAX(0.1,Skills!D5-IF(Skills!E5=TRUE,1.5,0)))*(1-IF(AND(ArtifactsInput!$M$27,Inputs!$B$4="Chapter Hunt"),CHOOSE(ArtifactsInput!$N$27+1,20,24,28,32,36,40),0)/100)))))/Skills!H5,1)))/Inputs!$B$43),G2650*Q2650)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2650*(1-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2650*(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2650*(1-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2650*(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0">
        <f>IF(C2650,(H2650*N2650*IF(AND(Inputs!$B$38&lt;&gt;"pvp",Inputs!$B$43&gt;0),((Skills!G5*((R2650-1)*IF(Skills!H5&gt;0,Skills!I5/Skills!H5,1)+IF(Skills!H5&gt;0,MIN(Skills!I5,MAX(0,MAX(0,Inputs!$B$43-B2679)-((R2650-1)*(IF(Inputs!$B$38="pvp",15,MAX(0.1,Skills!D5-IF(Skills!E5=TRUE,1.5,0)))*(1-IF(AND(ArtifactsInput!$M$27,Inputs!$B$4="Chapter Hunt"),CHOOSE(ArtifactsInput!$N$27+1,20,24,28,32,36,40),0)/100)))))/Skills!H5,1)))/Inputs!$B$43),G2650*Q2650))*IF(Inputs!$B$38="pvp",1,(1+(Inputs!$B$21+Skills!Q5+(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1">
      <c r="A2651">
        <f>Skills!A6</f>
        <v/>
      </c>
      <c r="B2651">
        <f>Skills!B6</f>
        <v/>
      </c>
      <c r="C2651">
        <f>Inputs!$B$3&gt;=103</f>
        <v/>
      </c>
      <c r="D2651">
        <f>IF(Skills!C6=1,60+Inputs!$B$25+Inputs!$B$29,IF(Skills!C6=2,90+Inputs!$B$26+Inputs!$B$29,IF(Skills!C6=3,120+Inputs!$B$27+Inputs!$B$29,MAX(0,(Inputs!$B$3-100)*3)+Inputs!$B$28+Inputs!$B$29)))</f>
        <v/>
      </c>
      <c r="E2651">
        <f>INDEX(FactorTable!$B$2:$Y$301, MATCH(ROUND(MIN(300,MAX(1,D2651)),0), FactorTable!$A$2:$A$301,0), Skills!M6+1)</f>
        <v/>
      </c>
      <c r="F2651">
        <f>IF(Skills!N6=TRUE,(Skills!L6/10)*(E2651/1000),Skills!L6/10)+Skills!O6</f>
        <v/>
      </c>
      <c r="G2651">
        <f>Skills!G6*IF(Skills!H6&gt;0,Skills!I6/Skills!H6,1)</f>
        <v/>
      </c>
      <c r="H2651">
        <f>1-(1-Skills!J6/100)^Skills!K6</f>
        <v/>
      </c>
      <c r="I2651" t="inlineStr">
        <is>
          <t>1</t>
        </is>
      </c>
      <c r="J2651">
        <f>((Inputs!$B$6*(1+Inputs!$B$7/100))+(((Inputs!$B$12*(1+Inputs!$B$13/100))-(Inputs!$B$12*(1+Inputs!$B$13/100)))+0.25*(Inputs!$B$14-Inputs!$B$14))*(1+Inputs!$B$7/100))*(F2651/100)</f>
        <v/>
      </c>
      <c r="K2651">
        <f>J2651*(1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2651)</f>
        <v/>
      </c>
      <c r="L2651">
        <f>K2651*(MIN(Inputs!$B$22+((C2667=TRUE)*(F2667-Calc!F22)),(Inputs!$B$23+((C2669=TRUE)*(F2669-Calc!F24))+(IF(ArtifactsInput!$M$15,CHOOSE(ArtifactsInput!$N$15+1,25,30,35,40,45,50)/100*(Inputs!$B$11-Inputs!$B$11),0))))/100+(Inputs!$B$23+((C2669=TRUE)*(F2669-Calc!F24))+(IF(ArtifactsInput!$M$15,CHOOSE(ArtifactsInput!$N$15+1,25,30,35,40,45,50)/100*(Inputs!$B$11-Inputs!$B$11),0)))/100)/2</f>
        <v/>
      </c>
      <c r="M2651">
        <f>L2651*(1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1">
        <f>L2651*(1-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1">
        <f>(1-Summary!$B$11)*T2651+Summary!$B$11*V2651</f>
        <v/>
      </c>
      <c r="P2651">
        <f>IF(B2682=0,0,O2651/B2682)</f>
        <v/>
      </c>
      <c r="Q2651">
        <f>IFERROR(1/(IF(Inputs!$B$38="pvp",15,MAX(0.1,Skills!D6-IF(Skills!E6=TRUE,1.5,0)))*(1-IF(AND(ArtifactsInput!$M$27,Inputs!$B$4="Chapter Hunt"),CHOOSE(ArtifactsInput!$N$27+1,20,24,28,32,36,40),0)/100)),0)</f>
        <v/>
      </c>
      <c r="R2651">
        <f>IF(AND(Inputs!$B$38&lt;&gt;"pvp",Inputs!$B$43&gt;0),IF(MAX(0,Inputs!$B$43-B2679)&lt;=0,0,(INT(MAX(0,Inputs!$B$43-B2679)/(IF(Inputs!$B$38="pvp",15,MAX(0.1,Skills!D6-IF(Skills!E6=TRUE,1.5,0)))*(1-IF(AND(ArtifactsInput!$M$27,Inputs!$B$4="Chapter Hunt"),CHOOSE(ArtifactsInput!$N$27+1,20,24,28,32,36,40),0)/100)))+1)),0)</f>
        <v/>
      </c>
      <c r="S2651">
        <f>IFERROR(O2651/N2651,0)</f>
        <v/>
      </c>
      <c r="T2651">
        <f>IF(C2651,(H2651*N2651*IF(AND(Inputs!$B$38&lt;&gt;"pvp",Inputs!$B$43&gt;0),((Skills!G6*((R2651-1)*IF(Skills!H6&gt;0,Skills!I6/Skills!H6,1)+IF(Skills!H6&gt;0,MIN(Skills!I6,MAX(0,MAX(0,Inputs!$B$43-B2679)-((R2651-1)*(IF(Inputs!$B$38="pvp",15,MAX(0.1,Skills!D6-IF(Skills!E6=TRUE,1.5,0)))*(1-IF(AND(ArtifactsInput!$M$27,Inputs!$B$4="Chapter Hunt"),CHOOSE(ArtifactsInput!$N$27+1,20,24,28,32,36,40),0)/100)))))/Skills!H6,1)))/Inputs!$B$43),G2651*Q2651)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2651*(1-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2651*(1-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1">
        <f>IF(C2651,(H2651*N2651*IF(AND(Inputs!$B$38&lt;&gt;"pvp",Inputs!$B$43&gt;0),((Skills!G6*((R2651-1)*IF(Skills!H6&gt;0,Skills!I6/Skills!H6,1)+IF(Skills!H6&gt;0,MIN(Skills!I6,MAX(0,MAX(0,Inputs!$B$43-B2679)-((R2651-1)*(IF(Inputs!$B$38="pvp",15,MAX(0.1,Skills!D6-IF(Skills!E6=TRUE,1.5,0)))*(1-IF(AND(ArtifactsInput!$M$27,Inputs!$B$4="Chapter Hunt"),CHOOSE(ArtifactsInput!$N$27+1,20,24,28,32,36,40),0)/100)))))/Skills!H6,1)))/Inputs!$B$43),G2651*Q2651))*IF(Inputs!$B$38="pvp",1,(1+(Inputs!$B$21+Skills!Q6+(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2">
      <c r="A2652">
        <f>Skills!A7</f>
        <v/>
      </c>
      <c r="B2652">
        <f>Skills!B7</f>
        <v/>
      </c>
      <c r="C2652">
        <f>Inputs!$B$3&gt;=107</f>
        <v/>
      </c>
      <c r="D2652">
        <f>IF(Skills!C7=1,60+Inputs!$B$25+Inputs!$B$29,IF(Skills!C7=2,90+Inputs!$B$26+Inputs!$B$29,IF(Skills!C7=3,120+Inputs!$B$27+Inputs!$B$29,MAX(0,(Inputs!$B$3-100)*3)+Inputs!$B$28+Inputs!$B$29)))</f>
        <v/>
      </c>
      <c r="E2652">
        <f>INDEX(FactorTable!$B$2:$Y$301, MATCH(ROUND(MIN(300,MAX(1,D2652)),0), FactorTable!$A$2:$A$301,0), Skills!M7+1)</f>
        <v/>
      </c>
      <c r="F2652">
        <f>IF(Skills!N7=TRUE,(Skills!L7/10)*(E2652/1000),Skills!L7/10)+Skills!O7</f>
        <v/>
      </c>
      <c r="G2652">
        <f>Skills!G7*IF(Skills!H7&gt;0,Skills!I7/Skills!H7,1)</f>
        <v/>
      </c>
      <c r="H2652">
        <f>1-(1-Skills!J7/100)^Skills!K7</f>
        <v/>
      </c>
      <c r="I2652" t="inlineStr">
        <is>
          <t>1</t>
        </is>
      </c>
      <c r="J2652">
        <f>((Inputs!$B$6*(1+Inputs!$B$7/100))+(((Inputs!$B$12*(1+Inputs!$B$13/100))-(Inputs!$B$12*(1+Inputs!$B$13/100)))+0.25*(Inputs!$B$14-Inputs!$B$14))*(1+Inputs!$B$7/100))*(F2652/100)</f>
        <v/>
      </c>
      <c r="K2652">
        <f>J2652*(1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2652)</f>
        <v/>
      </c>
      <c r="L2652">
        <f>K2652*(MIN(Inputs!$B$22+((C2667=TRUE)*(F2667-Calc!F22)),(Inputs!$B$23+((C2669=TRUE)*(F2669-Calc!F24))+(IF(ArtifactsInput!$M$15,CHOOSE(ArtifactsInput!$N$15+1,25,30,35,40,45,50)/100*(Inputs!$B$11-Inputs!$B$11),0))))/100+(Inputs!$B$23+((C2669=TRUE)*(F2669-Calc!F24))+(IF(ArtifactsInput!$M$15,CHOOSE(ArtifactsInput!$N$15+1,25,30,35,40,45,50)/100*(Inputs!$B$11-Inputs!$B$11),0)))/100)/2</f>
        <v/>
      </c>
      <c r="M2652">
        <f>L2652*(1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2">
        <f>L2652*(1-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2652*(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2">
        <f>(1-Summary!$B$11)*T2652+Summary!$B$11*V2652</f>
        <v/>
      </c>
      <c r="P2652">
        <f>IF(B2682=0,0,O2652/B2682)</f>
        <v/>
      </c>
      <c r="Q2652">
        <f>IFERROR(1/(IF(Inputs!$B$38="pvp",15,MAX(0.1,Skills!D7-IF(Skills!E7=TRUE,1.5,0)))*(1-IF(AND(ArtifactsInput!$M$27,Inputs!$B$4="Chapter Hunt"),CHOOSE(ArtifactsInput!$N$27+1,20,24,28,32,36,40),0)/100)),0)</f>
        <v/>
      </c>
      <c r="R2652">
        <f>IF(AND(Inputs!$B$38&lt;&gt;"pvp",Inputs!$B$43&gt;0),IF(MAX(0,Inputs!$B$43-B2679)&lt;=0,0,(INT(MAX(0,Inputs!$B$43-B2679)/(IF(Inputs!$B$38="pvp",15,MAX(0.1,Skills!D7-IF(Skills!E7=TRUE,1.5,0)))*(1-IF(AND(ArtifactsInput!$M$27,Inputs!$B$4="Chapter Hunt"),CHOOSE(ArtifactsInput!$N$27+1,20,24,28,32,36,40),0)/100)))+1)),0)</f>
        <v/>
      </c>
      <c r="S2652">
        <f>IFERROR(O2652/N2652,0)</f>
        <v/>
      </c>
      <c r="T2652">
        <f>IF(C2652,(H2652*N2652*IF(AND(Inputs!$B$38&lt;&gt;"pvp",Inputs!$B$43&gt;0),((Skills!G7*((R2652-1)*IF(Skills!H7&gt;0,Skills!I7/Skills!H7,1)+IF(Skills!H7&gt;0,MIN(Skills!I7,MAX(0,MAX(0,Inputs!$B$43-B2679)-((R2652-1)*(IF(Inputs!$B$38="pvp",15,MAX(0.1,Skills!D7-IF(Skills!E7=TRUE,1.5,0)))*(1-IF(AND(ArtifactsInput!$M$27,Inputs!$B$4="Chapter Hunt"),CHOOSE(ArtifactsInput!$N$27+1,20,24,28,32,36,40),0)/100)))))/Skills!H7,1)))/Inputs!$B$43),G2652*Q2652)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2652*(1-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2652*(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2652*(1-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2652*(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2">
        <f>IF(C2652,(H2652*N2652*IF(AND(Inputs!$B$38&lt;&gt;"pvp",Inputs!$B$43&gt;0),((Skills!G7*((R2652-1)*IF(Skills!H7&gt;0,Skills!I7/Skills!H7,1)+IF(Skills!H7&gt;0,MIN(Skills!I7,MAX(0,MAX(0,Inputs!$B$43-B2679)-((R2652-1)*(IF(Inputs!$B$38="pvp",15,MAX(0.1,Skills!D7-IF(Skills!E7=TRUE,1.5,0)))*(1-IF(AND(ArtifactsInput!$M$27,Inputs!$B$4="Chapter Hunt"),CHOOSE(ArtifactsInput!$N$27+1,20,24,28,32,36,40),0)/100)))))/Skills!H7,1)))/Inputs!$B$43),G2652*Q2652))*IF(Inputs!$B$38="pvp",1,(1+(Inputs!$B$21+Skills!Q7+(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3">
      <c r="A2653">
        <f>Skills!A8</f>
        <v/>
      </c>
      <c r="B2653">
        <f>Skills!B8</f>
        <v/>
      </c>
      <c r="C2653">
        <f>Inputs!$B$3&gt;=107</f>
        <v/>
      </c>
      <c r="D2653">
        <f>IF(Skills!C8=1,60+Inputs!$B$25+Inputs!$B$29,IF(Skills!C8=2,90+Inputs!$B$26+Inputs!$B$29,IF(Skills!C8=3,120+Inputs!$B$27+Inputs!$B$29,MAX(0,(Inputs!$B$3-100)*3)+Inputs!$B$28+Inputs!$B$29)))</f>
        <v/>
      </c>
      <c r="E2653">
        <f>INDEX(FactorTable!$B$2:$Y$301, MATCH(ROUND(MIN(300,MAX(1,D2653)),0), FactorTable!$A$2:$A$301,0), Skills!M8+1)</f>
        <v/>
      </c>
      <c r="F2653">
        <f>IF(Skills!N8=TRUE,(Skills!L8/10)*(E2653/1000),Skills!L8/10)+Skills!O8</f>
        <v/>
      </c>
      <c r="G2653">
        <f>Skills!G8*IF(Skills!H8&gt;0,Skills!I8/Skills!H8,1)</f>
        <v/>
      </c>
      <c r="H2653">
        <f>1-(1-Skills!J8/100)^Skills!K8</f>
        <v/>
      </c>
      <c r="I2653" t="inlineStr">
        <is>
          <t>1</t>
        </is>
      </c>
      <c r="J2653">
        <f>((Inputs!$B$6*(1+Inputs!$B$7/100))+(((Inputs!$B$12*(1+Inputs!$B$13/100))-(Inputs!$B$12*(1+Inputs!$B$13/100)))+0.25*(Inputs!$B$14-Inputs!$B$14))*(1+Inputs!$B$7/100))*(F2653/100)</f>
        <v/>
      </c>
      <c r="K2653">
        <f>J2653*(1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2653)</f>
        <v/>
      </c>
      <c r="L2653">
        <f>K2653*(MIN(Inputs!$B$22+((C2667=TRUE)*(F2667-Calc!F22)),(Inputs!$B$23+((C2669=TRUE)*(F2669-Calc!F24))+(IF(ArtifactsInput!$M$15,CHOOSE(ArtifactsInput!$N$15+1,25,30,35,40,45,50)/100*(Inputs!$B$11-Inputs!$B$11),0))))/100+(Inputs!$B$23+((C2669=TRUE)*(F2669-Calc!F24))+(IF(ArtifactsInput!$M$15,CHOOSE(ArtifactsInput!$N$15+1,25,30,35,40,45,50)/100*(Inputs!$B$11-Inputs!$B$11),0)))/100)/2</f>
        <v/>
      </c>
      <c r="M2653">
        <f>L2653*(1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3">
        <f>L2653*(1-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2653*(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3">
        <f>(1-Summary!$B$11)*T2653+Summary!$B$11*V2653</f>
        <v/>
      </c>
      <c r="P2653">
        <f>IF(B2682=0,0,O2653/B2682)</f>
        <v/>
      </c>
      <c r="Q2653">
        <f>IFERROR(1/(IF(Inputs!$B$38="pvp",15,MAX(0.1,Skills!D8-IF(Skills!E8=TRUE,1.5,0)))*(1-IF(AND(ArtifactsInput!$M$27,Inputs!$B$4="Chapter Hunt"),CHOOSE(ArtifactsInput!$N$27+1,20,24,28,32,36,40),0)/100)),0)</f>
        <v/>
      </c>
      <c r="R2653">
        <f>IF(AND(Inputs!$B$38&lt;&gt;"pvp",Inputs!$B$43&gt;0),IF(MAX(0,Inputs!$B$43-B2679)&lt;=0,0,(INT(MAX(0,Inputs!$B$43-B2679)/(IF(Inputs!$B$38="pvp",15,MAX(0.1,Skills!D8-IF(Skills!E8=TRUE,1.5,0)))*(1-IF(AND(ArtifactsInput!$M$27,Inputs!$B$4="Chapter Hunt"),CHOOSE(ArtifactsInput!$N$27+1,20,24,28,32,36,40),0)/100)))+1)),0)</f>
        <v/>
      </c>
      <c r="S2653">
        <f>IFERROR(O2653/N2653,0)</f>
        <v/>
      </c>
      <c r="T2653">
        <f>IF(C2653,(H2653*N2653*IF(AND(Inputs!$B$38&lt;&gt;"pvp",Inputs!$B$43&gt;0),((Skills!G8*((R2653-1)*IF(Skills!H8&gt;0,Skills!I8/Skills!H8,1)+IF(Skills!H8&gt;0,MIN(Skills!I8,MAX(0,MAX(0,Inputs!$B$43-B2679)-((R2653-1)*(IF(Inputs!$B$38="pvp",15,MAX(0.1,Skills!D8-IF(Skills!E8=TRUE,1.5,0)))*(1-IF(AND(ArtifactsInput!$M$27,Inputs!$B$4="Chapter Hunt"),CHOOSE(ArtifactsInput!$N$27+1,20,24,28,32,36,40),0)/100)))))/Skills!H8,1)))/Inputs!$B$43),G2653*Q2653)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2653*(1-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2653*(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2653*(1-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2653*(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3">
        <f>IF(C2653,(H2653*N2653*IF(AND(Inputs!$B$38&lt;&gt;"pvp",Inputs!$B$43&gt;0),((Skills!G8*((R2653-1)*IF(Skills!H8&gt;0,Skills!I8/Skills!H8,1)+IF(Skills!H8&gt;0,MIN(Skills!I8,MAX(0,MAX(0,Inputs!$B$43-B2679)-((R2653-1)*(IF(Inputs!$B$38="pvp",15,MAX(0.1,Skills!D8-IF(Skills!E8=TRUE,1.5,0)))*(1-IF(AND(ArtifactsInput!$M$27,Inputs!$B$4="Chapter Hunt"),CHOOSE(ArtifactsInput!$N$27+1,20,24,28,32,36,40),0)/100)))))/Skills!H8,1)))/Inputs!$B$43),G2653*Q2653))*IF(Inputs!$B$38="pvp",1,(1+(Inputs!$B$21+Skills!Q8+(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4">
      <c r="A2654">
        <f>Skills!A9</f>
        <v/>
      </c>
      <c r="B2654">
        <f>Skills!B9</f>
        <v/>
      </c>
      <c r="C2654">
        <f>Inputs!$B$3&gt;=125</f>
        <v/>
      </c>
      <c r="D2654">
        <f>IF(Skills!C9=1,60+Inputs!$B$25+Inputs!$B$29,IF(Skills!C9=2,90+Inputs!$B$26+Inputs!$B$29,IF(Skills!C9=3,120+Inputs!$B$27+Inputs!$B$29,MAX(0,(Inputs!$B$3-100)*3)+Inputs!$B$28+Inputs!$B$29)))</f>
        <v/>
      </c>
      <c r="E2654">
        <f>INDEX(FactorTable!$B$2:$Y$301, MATCH(ROUND(MIN(300,MAX(1,D2654)),0), FactorTable!$A$2:$A$301,0), Skills!M9+1)</f>
        <v/>
      </c>
      <c r="F2654">
        <f>IF(Skills!N9=TRUE,(Skills!L9/10)*(E2654/1000),Skills!L9/10)+Skills!O9</f>
        <v/>
      </c>
      <c r="G2654">
        <f>Skills!G9*IF(Skills!H9&gt;0,Skills!I9/Skills!H9,1)</f>
        <v/>
      </c>
      <c r="H2654">
        <f>1-(1-Skills!J9/100)^Skills!K9</f>
        <v/>
      </c>
      <c r="I2654" t="inlineStr">
        <is>
          <t>1</t>
        </is>
      </c>
      <c r="J2654">
        <f>((Inputs!$B$6*(1+Inputs!$B$7/100))+(((Inputs!$B$12*(1+Inputs!$B$13/100))-(Inputs!$B$12*(1+Inputs!$B$13/100)))+0.25*(Inputs!$B$14-Inputs!$B$14))*(1+Inputs!$B$7/100))*(F2654/100)</f>
        <v/>
      </c>
      <c r="K2654">
        <f>J2654*(1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2654)</f>
        <v/>
      </c>
      <c r="L2654">
        <f>K2654*(MIN(Inputs!$B$22+((C2667=TRUE)*(F2667-Calc!F22)),(Inputs!$B$23+((C2669=TRUE)*(F2669-Calc!F24))+(IF(ArtifactsInput!$M$15,CHOOSE(ArtifactsInput!$N$15+1,25,30,35,40,45,50)/100*(Inputs!$B$11-Inputs!$B$11),0))))/100+(Inputs!$B$23+((C2669=TRUE)*(F2669-Calc!F24))+(IF(ArtifactsInput!$M$15,CHOOSE(ArtifactsInput!$N$15+1,25,30,35,40,45,50)/100*(Inputs!$B$11-Inputs!$B$11),0)))/100)/2</f>
        <v/>
      </c>
      <c r="M2654">
        <f>L2654*(1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4">
        <f>L2654*(1-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2654*(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4">
        <f>(1-Summary!$B$11)*T2654+Summary!$B$11*V2654</f>
        <v/>
      </c>
      <c r="P2654">
        <f>IF(B2682=0,0,O2654/B2682)</f>
        <v/>
      </c>
      <c r="Q2654">
        <f>IFERROR(1/(IF(Inputs!$B$38="pvp",15,MAX(0.1,Skills!D9-IF(Skills!E9=TRUE,1.5,0)))*(1-IF(AND(ArtifactsInput!$M$27,Inputs!$B$4="Chapter Hunt"),CHOOSE(ArtifactsInput!$N$27+1,20,24,28,32,36,40),0)/100)),0)</f>
        <v/>
      </c>
      <c r="R2654">
        <f>IF(AND(Inputs!$B$38&lt;&gt;"pvp",Inputs!$B$43&gt;0),IF(MAX(0,Inputs!$B$43-B2679)&lt;=0,0,(INT(MAX(0,Inputs!$B$43-B2679)/(IF(Inputs!$B$38="pvp",15,MAX(0.1,Skills!D9-IF(Skills!E9=TRUE,1.5,0)))*(1-IF(AND(ArtifactsInput!$M$27,Inputs!$B$4="Chapter Hunt"),CHOOSE(ArtifactsInput!$N$27+1,20,24,28,32,36,40),0)/100)))+1)),0)</f>
        <v/>
      </c>
      <c r="S2654">
        <f>IFERROR(O2654/N2654,0)</f>
        <v/>
      </c>
      <c r="T2654">
        <f>IF(C2654,(H2654*N2654*IF(AND(Inputs!$B$38&lt;&gt;"pvp",Inputs!$B$43&gt;0),((Skills!G9*((R2654-1)*IF(Skills!H9&gt;0,Skills!I9/Skills!H9,1)+IF(Skills!H9&gt;0,MIN(Skills!I9,MAX(0,MAX(0,Inputs!$B$43-B2679)-((R2654-1)*(IF(Inputs!$B$38="pvp",15,MAX(0.1,Skills!D9-IF(Skills!E9=TRUE,1.5,0)))*(1-IF(AND(ArtifactsInput!$M$27,Inputs!$B$4="Chapter Hunt"),CHOOSE(ArtifactsInput!$N$27+1,20,24,28,32,36,40),0)/100)))))/Skills!H9,1)))/Inputs!$B$43),G2654*Q2654)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2654*(1-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2654*(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2654*(1-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2654*(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4">
        <f>IF(C2654,(H2654*N2654*IF(AND(Inputs!$B$38&lt;&gt;"pvp",Inputs!$B$43&gt;0),((Skills!G9*((R2654-1)*IF(Skills!H9&gt;0,Skills!I9/Skills!H9,1)+IF(Skills!H9&gt;0,MIN(Skills!I9,MAX(0,MAX(0,Inputs!$B$43-B2679)-((R2654-1)*(IF(Inputs!$B$38="pvp",15,MAX(0.1,Skills!D9-IF(Skills!E9=TRUE,1.5,0)))*(1-IF(AND(ArtifactsInput!$M$27,Inputs!$B$4="Chapter Hunt"),CHOOSE(ArtifactsInput!$N$27+1,20,24,28,32,36,40),0)/100)))))/Skills!H9,1)))/Inputs!$B$43),G2654*Q2654))*IF(Inputs!$B$38="pvp",1,(1+(Inputs!$B$21+Skills!Q9+(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5">
      <c r="A2655">
        <f>Skills!A10</f>
        <v/>
      </c>
      <c r="B2655">
        <f>Skills!B10</f>
        <v/>
      </c>
      <c r="C2655">
        <f>Inputs!$B$3&gt;=117</f>
        <v/>
      </c>
      <c r="D2655">
        <f>IF(Skills!C10=1,60+Inputs!$B$25+Inputs!$B$29,IF(Skills!C10=2,90+Inputs!$B$26+Inputs!$B$29,IF(Skills!C10=3,120+Inputs!$B$27+Inputs!$B$29,MAX(0,(Inputs!$B$3-100)*3)+Inputs!$B$28+Inputs!$B$29)))</f>
        <v/>
      </c>
      <c r="E2655">
        <f>INDEX(FactorTable!$B$2:$Y$301, MATCH(ROUND(MIN(300,MAX(1,D2655)),0), FactorTable!$A$2:$A$301,0), Skills!M10+1)</f>
        <v/>
      </c>
      <c r="F2655">
        <f>IF(Skills!N10=TRUE,(Skills!L10/10)*(E2655/1000),Skills!L10/10)+Skills!O10</f>
        <v/>
      </c>
      <c r="G2655">
        <f>Skills!G10*IF(Skills!H10&gt;0,Skills!I10/Skills!H10,1)</f>
        <v/>
      </c>
      <c r="H2655">
        <f>1-(1-Skills!J10/100)^Skills!K10</f>
        <v/>
      </c>
      <c r="I2655" t="inlineStr">
        <is>
          <t>1</t>
        </is>
      </c>
      <c r="J2655">
        <f>((Inputs!$B$6*(1+Inputs!$B$7/100))+(((Inputs!$B$12*(1+Inputs!$B$13/100))-(Inputs!$B$12*(1+Inputs!$B$13/100)))+0.25*(Inputs!$B$14-Inputs!$B$14))*(1+Inputs!$B$7/100))*(F2655/100)</f>
        <v/>
      </c>
      <c r="K2655">
        <f>J2655*(1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2655)</f>
        <v/>
      </c>
      <c r="L2655">
        <f>K2655*(MIN(Inputs!$B$22+((C2667=TRUE)*(F2667-Calc!F22)),(Inputs!$B$23+((C2669=TRUE)*(F2669-Calc!F24))+(IF(ArtifactsInput!$M$15,CHOOSE(ArtifactsInput!$N$15+1,25,30,35,40,45,50)/100*(Inputs!$B$11-Inputs!$B$11),0))))/100+(Inputs!$B$23+((C2669=TRUE)*(F2669-Calc!F24))+(IF(ArtifactsInput!$M$15,CHOOSE(ArtifactsInput!$N$15+1,25,30,35,40,45,50)/100*(Inputs!$B$11-Inputs!$B$11),0)))/100)/2</f>
        <v/>
      </c>
      <c r="M2655">
        <f>L2655*(1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5">
        <f>L2655*(1-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2655*(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5">
        <f>(1-Summary!$B$11)*T2655+Summary!$B$11*V2655</f>
        <v/>
      </c>
      <c r="P2655">
        <f>IF(B2682=0,0,O2655/B2682)</f>
        <v/>
      </c>
      <c r="Q2655">
        <f>IFERROR(1/(IF(Inputs!$B$38="pvp",15,MAX(0.1,Skills!D10-IF(Skills!E10=TRUE,1.5,0)))*(1-IF(AND(ArtifactsInput!$M$27,Inputs!$B$4="Chapter Hunt"),CHOOSE(ArtifactsInput!$N$27+1,20,24,28,32,36,40),0)/100)),0)</f>
        <v/>
      </c>
      <c r="R2655">
        <f>IF(AND(Inputs!$B$38&lt;&gt;"pvp",Inputs!$B$43&gt;0),IF(MAX(0,Inputs!$B$43-B2679)&lt;=0,0,(INT(MAX(0,Inputs!$B$43-B2679)/(IF(Inputs!$B$38="pvp",15,MAX(0.1,Skills!D10-IF(Skills!E10=TRUE,1.5,0)))*(1-IF(AND(ArtifactsInput!$M$27,Inputs!$B$4="Chapter Hunt"),CHOOSE(ArtifactsInput!$N$27+1,20,24,28,32,36,40),0)/100)))+1)),0)</f>
        <v/>
      </c>
      <c r="S2655">
        <f>IFERROR(O2655/N2655,0)</f>
        <v/>
      </c>
      <c r="T2655">
        <f>IF(C2655,(H2655*N2655*IF(AND(Inputs!$B$38&lt;&gt;"pvp",Inputs!$B$43&gt;0),((Skills!G10*((R2655-1)*IF(Skills!H10&gt;0,Skills!I10/Skills!H10,1)+IF(Skills!H10&gt;0,MIN(Skills!I10,MAX(0,MAX(0,Inputs!$B$43-B2679)-((R2655-1)*(IF(Inputs!$B$38="pvp",15,MAX(0.1,Skills!D10-IF(Skills!E10=TRUE,1.5,0)))*(1-IF(AND(ArtifactsInput!$M$27,Inputs!$B$4="Chapter Hunt"),CHOOSE(ArtifactsInput!$N$27+1,20,24,28,32,36,40),0)/100)))))/Skills!H10,1)))/Inputs!$B$43),G2655*Q2655)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2655*(1-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2655*(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2655*(1-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2655*(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5">
        <f>IF(C2655,(H2655*N2655*IF(AND(Inputs!$B$38&lt;&gt;"pvp",Inputs!$B$43&gt;0),((Skills!G10*((R2655-1)*IF(Skills!H10&gt;0,Skills!I10/Skills!H10,1)+IF(Skills!H10&gt;0,MIN(Skills!I10,MAX(0,MAX(0,Inputs!$B$43-B2679)-((R2655-1)*(IF(Inputs!$B$38="pvp",15,MAX(0.1,Skills!D10-IF(Skills!E10=TRUE,1.5,0)))*(1-IF(AND(ArtifactsInput!$M$27,Inputs!$B$4="Chapter Hunt"),CHOOSE(ArtifactsInput!$N$27+1,20,24,28,32,36,40),0)/100)))))/Skills!H10,1)))/Inputs!$B$43),G2655*Q2655))*IF(Inputs!$B$38="pvp",1,(1+(Inputs!$B$21+Skills!Q10+(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6">
      <c r="A2656">
        <f>Skills!A11</f>
        <v/>
      </c>
      <c r="B2656">
        <f>Skills!B11</f>
        <v/>
      </c>
      <c r="C2656">
        <f>Inputs!$B$3&gt;=63</f>
        <v/>
      </c>
      <c r="D2656">
        <f>IF(Skills!C11=1,60+Inputs!$B$25+Inputs!$B$29,IF(Skills!C11=2,90+Inputs!$B$26+Inputs!$B$29,IF(Skills!C11=3,120+Inputs!$B$27+Inputs!$B$29,MAX(0,(Inputs!$B$3-100)*3)+Inputs!$B$28+Inputs!$B$29)))</f>
        <v/>
      </c>
      <c r="E2656">
        <f>INDEX(FactorTable!$B$2:$Y$301, MATCH(ROUND(MIN(300,MAX(1,D2656)),0), FactorTable!$A$2:$A$301,0), Skills!M11+1)</f>
        <v/>
      </c>
      <c r="F2656">
        <f>IF(Skills!N11=TRUE,(Skills!L11/10)*(E2656/1000),Skills!L11/10)+Skills!O11</f>
        <v/>
      </c>
      <c r="G2656">
        <f>Skills!G11*IF(Skills!H11&gt;0,Skills!I11/Skills!H11,1)</f>
        <v/>
      </c>
      <c r="H2656">
        <f>1-(1-Skills!J11/100)^Skills!K11</f>
        <v/>
      </c>
      <c r="I2656" t="inlineStr">
        <is>
          <t>1</t>
        </is>
      </c>
      <c r="J2656">
        <f>((Inputs!$B$6*(1+Inputs!$B$7/100))+(((Inputs!$B$12*(1+Inputs!$B$13/100))-(Inputs!$B$12*(1+Inputs!$B$13/100)))+0.25*(Inputs!$B$14-Inputs!$B$14))*(1+Inputs!$B$7/100))*(F2656/100)</f>
        <v/>
      </c>
      <c r="K2656">
        <f>J2656*(1+((Inputs!$B$12*(1+Inputs!$B$13/100))*0.01+Inputs!$B$14*0.0025)/100)*(1+Inputs!$B$15/100)*(1+Inputs!$B$16/100)*(5000/(6000+Inputs!$B$42*(1-(Inputs!$B$19+0)/100)))*(1+(Inputs!$B$24+0+B2678)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2657=TRUE,F2657,0)/100)*(1+(IF(Skills!A11="BLAST",Inputs!$B$17+((C2666=TRUE)*(F2666-Calc!F21))+((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MIN(100,((Inputs!$B$9+0+B2672+(ArtifactsInput!$M$24-ArtifactsInput!$M$24)*CHOOSE(ArtifactsInput!$N$24+1,10,12,14,16,18,20)+IF(ArtifactsInput!$M$10,CHOOSE(ArtifactsInput!$N$10+1,15,18,21,24,27,30)*(IF(Inputs!$B$38="pvp",MIN(15,15)/15,IF(AND(Inputs!$B$38&lt;&gt;"pvp",Inputs!$B$43&gt;0),MIN(15,Inputs!$B$43)/(Inputs!$B$43),0))),0)))-100),0))*CHOOSE(ArtifactsInput!$N$42+1,0.6,0.72,0.84,0.96,1.08,1.2))),Inputs!$B$18+((C2668=TRUE)*(F2668-Calc!F23))+(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gt;=100),CHOOSE(ArtifactsInput!$N$42+1,40,48,56,64,72,80),0))))/100)*((1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2656)</f>
        <v/>
      </c>
      <c r="L2656">
        <f>K2656*(MIN(Inputs!$B$22+((C2667=TRUE)*(F2667-Calc!F22)),(Inputs!$B$23+((C2669=TRUE)*(F2669-Calc!F24))+(IF(ArtifactsInput!$M$15,CHOOSE(ArtifactsInput!$N$15+1,25,30,35,40,45,50)/100*(Inputs!$B$11-Inputs!$B$11),0))))/100+(Inputs!$B$23+((C2669=TRUE)*(F2669-Calc!F24))+(IF(ArtifactsInput!$M$15,CHOOSE(ArtifactsInput!$N$15+1,25,30,35,40,45,50)/100*(Inputs!$B$11-Inputs!$B$11),0)))/100)/2</f>
        <v/>
      </c>
      <c r="M2656">
        <f>L2656*(1+(Inputs!$B$10+0+B2677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56">
        <f>L2656*(1-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2656*(MIN((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56">
        <f>(1-Summary!$B$11)*T2656+Summary!$B$11*V2656</f>
        <v/>
      </c>
      <c r="P2656">
        <f>IF(B2682=0,0,O2656/B2682)</f>
        <v/>
      </c>
      <c r="Q2656">
        <f>IFERROR(1/(IF(Inputs!$B$38="pvp",15,MAX(0.1,Skills!D11-IF(Skills!E11=TRUE,1.5,0)))*(1-IF(AND(ArtifactsInput!$M$27,Inputs!$B$4="Chapter Hunt"),CHOOSE(ArtifactsInput!$N$27+1,20,24,28,32,36,40),0)/100)),0)</f>
        <v/>
      </c>
      <c r="R2656">
        <f>IF(AND(Inputs!$B$38&lt;&gt;"pvp",Inputs!$B$43&gt;0),IF(MAX(0,Inputs!$B$43-B2679)&lt;=0,0,(INT(MAX(0,Inputs!$B$43-B2679)/(IF(Inputs!$B$38="pvp",15,MAX(0.1,Skills!D11-IF(Skills!E11=TRUE,1.5,0)))*(1-IF(AND(ArtifactsInput!$M$27,Inputs!$B$4="Chapter Hunt"),CHOOSE(ArtifactsInput!$N$27+1,20,24,28,32,36,40),0)/100)))+1)),0)</f>
        <v/>
      </c>
      <c r="S2656">
        <f>IFERROR(O2656/N2656,0)</f>
        <v/>
      </c>
      <c r="T2656">
        <f>IF(C2656,(H2656*N2656*IF(AND(Inputs!$B$38&lt;&gt;"pvp",Inputs!$B$43&gt;0),((Skills!G11*((R2656-1)*IF(Skills!H11&gt;0,Skills!I11/Skills!H11,1)+IF(Skills!H11&gt;0,MIN(Skills!I11,MAX(0,MAX(0,Inputs!$B$43-B2679)-((R2656-1)*(IF(Inputs!$B$38="pvp",15,MAX(0.1,Skills!D11-IF(Skills!E11=TRUE,1.5,0)))*(1-IF(AND(ArtifactsInput!$M$27,Inputs!$B$4="Chapter Hunt"),CHOOSE(ArtifactsInput!$N$27+1,20,24,28,32,36,40),0)/100)))))/Skills!H11,1)))/Inputs!$B$43),G2656*Q2656)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2656*(1-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2656*(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2656*(1-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2656*(MIN(100,(Inputs!$B$9+0+B2672+(ArtifactsInput!$M$24-ArtifactsInput!$M$24)*CHOOSE(ArtifactsInput!$N$24+1,10,12,14,16,18,20)+(IF(AND(Inputs!$B$38&lt;&gt;"pvp",Inputs!$B$43=0),1,IF(IF(Inputs!$B$38="pvp",15,Inputs!$B$43)-(B2679)&lt;=0,1,MAX(0,IF(Inputs!$B$38="pvp",15,Inputs!$B$43)-MAX(5,B2679))/(IF(Inputs!$B$38="pvp",15,Inputs!$B$43)-(B2679))))*IF(AND(ArtifactsInput!$M$42,((Inputs!$B$9+0+B2672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56">
        <f>IF(C2656,(H2656*N2656*IF(AND(Inputs!$B$38&lt;&gt;"pvp",Inputs!$B$43&gt;0),((Skills!G11*((R2656-1)*IF(Skills!H11&gt;0,Skills!I11/Skills!H11,1)+IF(Skills!H11&gt;0,MIN(Skills!I11,MAX(0,MAX(0,Inputs!$B$43-B2679)-((R2656-1)*(IF(Inputs!$B$38="pvp",15,MAX(0.1,Skills!D11-IF(Skills!E11=TRUE,1.5,0)))*(1-IF(AND(ArtifactsInput!$M$27,Inputs!$B$4="Chapter Hunt"),CHOOSE(ArtifactsInput!$N$27+1,20,24,28,32,36,40),0)/100)))))/Skills!H11,1)))/Inputs!$B$43),G2656*Q2656))*IF(Inputs!$B$38="pvp",1,(1+(Inputs!$B$21+Skills!Q11+(IF(ArtifactsInput!$M$33,CHOOSE(ArtifactsInput!$N$33+1,30,36,42,48,54,60),0))+(IF(AND(ArtifactsInput!$M$35,Inputs!$B$4&lt;&gt;"Chapter Hunt"),CHOOSE(ArtifactsInput!$N$35+1,15,18,21,24,27,30)*(1-EXP(-(0.2*B2674)*5)),0)+IF(AND(ArtifactsInput!$M$22,Inputs!$B$4&lt;&gt;"Chapter Hunt"),CHOOSE(ArtifactsInput!$N$22+1,10,12,14,16,18,20)*((0*(((0.15*B2674*5))^0/1)+1*(((0.15*B2674*5))^1/1)+2*(((0.15*B2674*5))^2/2)+3*(((0.15*B2674*5))^3/6)+4*(((0.15*B2674*5))^4/24)+5*(((0.15*B2674*5))^5/120))/((((0.15*B2674*5))^0/1)+(((0.15*B2674*5))^1/1)+(((0.15*B2674*5))^2/2)+(((0.15*B2674*5))^3/6)+(((0.15*B2674*5))^4/24)+(((0.15*B2674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57">
      <c r="A2657">
        <f>Skills!A12</f>
        <v/>
      </c>
      <c r="B2657">
        <f>Skills!B12</f>
        <v/>
      </c>
      <c r="C2657">
        <f>Inputs!$B$3&gt;=100</f>
        <v/>
      </c>
      <c r="D2657">
        <f>IF(Skills!C12=1,60+Inputs!$B$25+Inputs!$B$29,IF(Skills!C12=2,90+Inputs!$B$26+Inputs!$B$29,IF(Skills!C12=3,120+Inputs!$B$27+Inputs!$B$29,MAX(0,(Inputs!$B$3-100)*3)+Inputs!$B$28+Inputs!$B$29)))</f>
        <v/>
      </c>
      <c r="E2657">
        <f>INDEX(FactorTable!$B$2:$Y$301, MATCH(ROUND(MIN(300,MAX(1,D2657)),0), FactorTable!$A$2:$A$301,0), Skills!M12+1)</f>
        <v/>
      </c>
      <c r="F2657">
        <f>IF(Skills!N12=TRUE,(Skills!L12/10)*(E2657/1000),Skills!L12/10)+Skills!O12</f>
        <v/>
      </c>
      <c r="G2657" t="inlineStr"/>
      <c r="H2657" t="inlineStr"/>
      <c r="I2657" t="inlineStr">
        <is>
          <t>1</t>
        </is>
      </c>
      <c r="J2657" t="inlineStr"/>
      <c r="K2657" t="inlineStr"/>
      <c r="L2657" t="inlineStr"/>
      <c r="M2657" t="inlineStr"/>
      <c r="N2657" t="inlineStr"/>
      <c r="O2657" t="inlineStr"/>
      <c r="P2657" t="inlineStr"/>
      <c r="Q2657" t="inlineStr"/>
      <c r="R2657" t="inlineStr"/>
      <c r="S2657" t="inlineStr"/>
    </row>
    <row r="2658">
      <c r="A2658">
        <f>Skills!A13</f>
        <v/>
      </c>
      <c r="B2658">
        <f>Skills!B13</f>
        <v/>
      </c>
      <c r="C2658">
        <f>Inputs!$B$3&gt;=45</f>
        <v/>
      </c>
      <c r="D2658">
        <f>IF(Skills!C13=1,60+Inputs!$B$25+Inputs!$B$29,IF(Skills!C13=2,90+Inputs!$B$26+Inputs!$B$29,IF(Skills!C13=3,120+Inputs!$B$27+Inputs!$B$29,MAX(0,(Inputs!$B$3-100)*3)+Inputs!$B$28+Inputs!$B$29)))</f>
        <v/>
      </c>
      <c r="E2658">
        <f>INDEX(FactorTable!$B$2:$Y$301, MATCH(ROUND(MIN(300,MAX(1,D2658)),0), FactorTable!$A$2:$A$301,0), Skills!M13+1)</f>
        <v/>
      </c>
      <c r="F2658">
        <f>IF(Skills!N13=TRUE,(Skills!L13/10)*(E2658/1000),Skills!L13/10)+Skills!O13</f>
        <v/>
      </c>
      <c r="G2658">
        <f>Skills!G13*IF(Skills!H13&gt;0,Skills!I13/Skills!H13,1)</f>
        <v/>
      </c>
      <c r="H2658">
        <f>1-(1-Skills!J13/100)^Skills!K13</f>
        <v/>
      </c>
      <c r="I2658" t="inlineStr">
        <is>
          <t>1</t>
        </is>
      </c>
      <c r="J2658" t="inlineStr"/>
      <c r="K2658" t="inlineStr"/>
      <c r="L2658" t="inlineStr"/>
      <c r="M2658" t="inlineStr"/>
      <c r="N2658" t="inlineStr"/>
      <c r="O2658">
        <f>(1-Summary!$B$11)*T2658+Summary!$B$11*V2658</f>
        <v/>
      </c>
      <c r="P2658">
        <f>IF(B2682=0,0,O2658/B2682)</f>
        <v/>
      </c>
      <c r="Q2658" t="n">
        <v>0</v>
      </c>
      <c r="R2658" t="n">
        <v>0</v>
      </c>
      <c r="S2658">
        <f>IFERROR(O2658/N2658,0)</f>
        <v/>
      </c>
      <c r="T2658" t="n">
        <v>0</v>
      </c>
      <c r="V2658" t="n">
        <v>0</v>
      </c>
    </row>
    <row r="2659">
      <c r="A2659">
        <f>Skills!A14</f>
        <v/>
      </c>
      <c r="B2659">
        <f>Skills!B14</f>
        <v/>
      </c>
      <c r="C2659">
        <f>Inputs!$B$3&gt;=110</f>
        <v/>
      </c>
      <c r="D2659">
        <f>IF(Skills!C14=1,60+Inputs!$B$25+Inputs!$B$29,IF(Skills!C14=2,90+Inputs!$B$26+Inputs!$B$29,IF(Skills!C14=3,120+Inputs!$B$27+Inputs!$B$29,MAX(0,(Inputs!$B$3-100)*3)+Inputs!$B$28+Inputs!$B$29)))</f>
        <v/>
      </c>
      <c r="E2659">
        <f>INDEX(FactorTable!$B$2:$Y$301, MATCH(ROUND(MIN(300,MAX(1,D2659)),0), FactorTable!$A$2:$A$301,0), Skills!M14+1)</f>
        <v/>
      </c>
      <c r="F2659">
        <f>IF(Skills!N14=TRUE,(Skills!L14/10)*(E2659/1000),Skills!L14/10)+Skills!O14</f>
        <v/>
      </c>
      <c r="G2659">
        <f>Skills!G14*IF(Skills!H14&gt;0,Skills!I14/Skills!H14,1)</f>
        <v/>
      </c>
      <c r="H2659">
        <f>1-(1-Skills!J14/100)^Skills!K14</f>
        <v/>
      </c>
      <c r="I2659" t="inlineStr">
        <is>
          <t>1</t>
        </is>
      </c>
      <c r="J2659" t="inlineStr"/>
      <c r="K2659" t="inlineStr"/>
      <c r="L2659" t="inlineStr"/>
      <c r="M2659" t="inlineStr"/>
      <c r="N2659" t="inlineStr"/>
      <c r="O2659">
        <f>(1-Summary!$B$11)*T2659+Summary!$B$11*V2659</f>
        <v/>
      </c>
      <c r="P2659">
        <f>IF(B2682=0,0,O2659/B2682)</f>
        <v/>
      </c>
      <c r="Q2659" t="n">
        <v>0</v>
      </c>
      <c r="R2659" t="n">
        <v>0</v>
      </c>
      <c r="S2659">
        <f>IFERROR(O2659/N2659,0)</f>
        <v/>
      </c>
      <c r="T2659" t="n">
        <v>0</v>
      </c>
      <c r="V2659" t="n">
        <v>0</v>
      </c>
    </row>
    <row r="2660">
      <c r="A2660">
        <f>Skills!A15</f>
        <v/>
      </c>
      <c r="B2660">
        <f>Skills!B15</f>
        <v/>
      </c>
      <c r="C2660">
        <f>Inputs!$B$3&gt;=75</f>
        <v/>
      </c>
      <c r="D2660">
        <f>IF(Skills!C15=1,60+Inputs!$B$25+Inputs!$B$29,IF(Skills!C15=2,90+Inputs!$B$26+Inputs!$B$29,IF(Skills!C15=3,120+Inputs!$B$27+Inputs!$B$29,MAX(0,(Inputs!$B$3-100)*3)+Inputs!$B$28+Inputs!$B$29)))</f>
        <v/>
      </c>
      <c r="E2660">
        <f>INDEX(FactorTable!$B$2:$Y$301, MATCH(ROUND(MIN(300,MAX(1,D2660)),0), FactorTable!$A$2:$A$301,0), Skills!M15+1)</f>
        <v/>
      </c>
      <c r="F2660">
        <f>IF(Skills!N15=TRUE,(Skills!L15/10)*(E2660/1000),Skills!L15/10)+Skills!O15</f>
        <v/>
      </c>
      <c r="G2660">
        <f>Skills!G15*IF(Skills!H15&gt;0,Skills!I15/Skills!H15,1)</f>
        <v/>
      </c>
      <c r="H2660">
        <f>1-(1-Skills!J15/100)^Skills!K15</f>
        <v/>
      </c>
      <c r="I2660" t="inlineStr">
        <is>
          <t>1</t>
        </is>
      </c>
      <c r="J2660" t="inlineStr"/>
      <c r="K2660" t="inlineStr"/>
      <c r="L2660" t="inlineStr"/>
      <c r="M2660" t="inlineStr"/>
      <c r="N2660" t="inlineStr"/>
      <c r="O2660">
        <f>(1-Summary!$B$11)*T2660+Summary!$B$11*V2660</f>
        <v/>
      </c>
      <c r="P2660">
        <f>IF(B2682=0,0,O2660/B2682)</f>
        <v/>
      </c>
      <c r="Q2660">
        <f>IFERROR(1/(IF(Inputs!$B$38="pvp",15,MAX(0.1,Skills!D15-IF(Skills!E15=TRUE,1.5,0)))*(1-IF(AND(ArtifactsInput!$M$27,Inputs!$B$4="Chapter Hunt"),CHOOSE(ArtifactsInput!$N$27+1,20,24,28,32,36,40),0)/100)),0)</f>
        <v/>
      </c>
      <c r="R2660">
        <f>IF(AND(Inputs!$B$38&lt;&gt;"pvp",Inputs!$B$43&gt;0),IF(Inputs!$B$43&lt;=0,0,(INT(Inputs!$B$43/(IF(Inputs!$B$38="pvp",15,MAX(0.1,Skills!D15-IF(Skills!E15=TRUE,1.5,0)))*(1-IF(AND(ArtifactsInput!$M$27,Inputs!$B$4="Chapter Hunt"),CHOOSE(ArtifactsInput!$N$27+1,20,24,28,32,36,40),0)/100)))+1)),0)</f>
        <v/>
      </c>
      <c r="S2660">
        <f>IFERROR(O2660/N2660,0)</f>
        <v/>
      </c>
      <c r="T2660" t="n">
        <v>0</v>
      </c>
      <c r="V2660" t="n">
        <v>0</v>
      </c>
    </row>
    <row r="2661">
      <c r="A2661">
        <f>Skills!A16</f>
        <v/>
      </c>
      <c r="B2661">
        <f>Skills!B16</f>
        <v/>
      </c>
      <c r="C2661">
        <f>Inputs!$B$3&gt;=105</f>
        <v/>
      </c>
      <c r="D2661">
        <f>IF(Skills!C16=1,60+Inputs!$B$25+Inputs!$B$29,IF(Skills!C16=2,90+Inputs!$B$26+Inputs!$B$29,IF(Skills!C16=3,120+Inputs!$B$27+Inputs!$B$29,MAX(0,(Inputs!$B$3-100)*3)+Inputs!$B$28+Inputs!$B$29)))</f>
        <v/>
      </c>
      <c r="E2661">
        <f>INDEX(FactorTable!$B$2:$Y$301, MATCH(ROUND(MIN(300,MAX(1,D2661)),0), FactorTable!$A$2:$A$301,0), Skills!M16+1)</f>
        <v/>
      </c>
      <c r="F2661">
        <f>IF(Skills!N16=TRUE,(Skills!L16/10)*(E2661/1000),Skills!L16/10)+Skills!O16</f>
        <v/>
      </c>
      <c r="G2661">
        <f>Skills!G16*IF(Skills!H16&gt;0,Skills!I16/Skills!H16,1)</f>
        <v/>
      </c>
      <c r="H2661">
        <f>1-(1-Skills!J16/100)^Skills!K16</f>
        <v/>
      </c>
      <c r="I2661" t="inlineStr">
        <is>
          <t>1</t>
        </is>
      </c>
      <c r="J2661" t="inlineStr"/>
      <c r="K2661" t="inlineStr"/>
      <c r="L2661" t="inlineStr"/>
      <c r="M2661" t="inlineStr"/>
      <c r="N2661" t="inlineStr"/>
      <c r="O2661">
        <f>(1-Summary!$B$11)*T2661+Summary!$B$11*V2661</f>
        <v/>
      </c>
      <c r="P2661">
        <f>IF(B2682=0,0,O2661/B2682)</f>
        <v/>
      </c>
      <c r="Q2661">
        <f>IFERROR(1/(IF(Inputs!$B$38="pvp",15,MAX(0.1,Skills!D16-IF(Skills!E16=TRUE,1.5,0)))*(1-IF(AND(ArtifactsInput!$M$27,Inputs!$B$4="Chapter Hunt"),CHOOSE(ArtifactsInput!$N$27+1,20,24,28,32,36,40),0)/100)),0)</f>
        <v/>
      </c>
      <c r="R2661">
        <f>IF(AND(Inputs!$B$38&lt;&gt;"pvp",Inputs!$B$43&gt;0),IF(Inputs!$B$43&lt;=0,0,(INT(Inputs!$B$43/(IF(Inputs!$B$38="pvp",15,MAX(0.1,Skills!D16-IF(Skills!E16=TRUE,1.5,0)))*(1-IF(AND(ArtifactsInput!$M$27,Inputs!$B$4="Chapter Hunt"),CHOOSE(ArtifactsInput!$N$27+1,20,24,28,32,36,40),0)/100)))+1)),0)</f>
        <v/>
      </c>
      <c r="S2661">
        <f>IFERROR(O2661/N2661,0)</f>
        <v/>
      </c>
      <c r="T2661" t="n">
        <v>0</v>
      </c>
      <c r="V2661" t="n">
        <v>0</v>
      </c>
    </row>
    <row r="2662">
      <c r="A2662">
        <f>Skills!A17</f>
        <v/>
      </c>
      <c r="B2662">
        <f>Skills!B17</f>
        <v/>
      </c>
      <c r="C2662">
        <f>Inputs!$B$3&gt;=115</f>
        <v/>
      </c>
      <c r="D2662">
        <f>IF(Skills!C17=1,60+Inputs!$B$25+Inputs!$B$29,IF(Skills!C17=2,90+Inputs!$B$26+Inputs!$B$29,IF(Skills!C17=3,120+Inputs!$B$27+Inputs!$B$29,MAX(0,(Inputs!$B$3-100)*3)+Inputs!$B$28+Inputs!$B$29)))</f>
        <v/>
      </c>
      <c r="E2662">
        <f>INDEX(FactorTable!$B$2:$Y$301, MATCH(ROUND(MIN(300,MAX(1,D2662)),0), FactorTable!$A$2:$A$301,0), Skills!M17+1)</f>
        <v/>
      </c>
      <c r="F2662">
        <f>IF(Skills!N17=TRUE,(Skills!L17/10)*(E2662/1000),Skills!L17/10)+Skills!O17</f>
        <v/>
      </c>
      <c r="G2662">
        <f>Skills!G17*IF(Skills!H17&gt;0,Skills!I17/Skills!H17,1)</f>
        <v/>
      </c>
      <c r="H2662">
        <f>1-(1-Skills!J17/100)^Skills!K17</f>
        <v/>
      </c>
      <c r="I2662" t="inlineStr">
        <is>
          <t>1</t>
        </is>
      </c>
      <c r="J2662" t="inlineStr"/>
      <c r="K2662" t="inlineStr"/>
      <c r="L2662" t="inlineStr"/>
      <c r="M2662" t="inlineStr"/>
      <c r="N2662" t="inlineStr"/>
      <c r="O2662">
        <f>(1-Summary!$B$11)*T2662+Summary!$B$11*V2662</f>
        <v/>
      </c>
      <c r="P2662">
        <f>IF(B2682=0,0,O2662/B2682)</f>
        <v/>
      </c>
      <c r="Q2662">
        <f>IFERROR(1/(IF(Inputs!$B$38="pvp",15,MAX(0.1,Skills!D17-IF(Skills!E17=TRUE,1.5,0)))*(1-IF(AND(ArtifactsInput!$M$27,Inputs!$B$4="Chapter Hunt"),CHOOSE(ArtifactsInput!$N$27+1,20,24,28,32,36,40),0)/100)),0)</f>
        <v/>
      </c>
      <c r="R2662">
        <f>IF(AND(Inputs!$B$38&lt;&gt;"pvp",Inputs!$B$43&gt;0),IF(Inputs!$B$43&lt;=0,0,(INT(Inputs!$B$43/(IF(Inputs!$B$38="pvp",15,MAX(0.1,Skills!D17-IF(Skills!E17=TRUE,1.5,0)))*(1-IF(AND(ArtifactsInput!$M$27,Inputs!$B$4="Chapter Hunt"),CHOOSE(ArtifactsInput!$N$27+1,20,24,28,32,36,40),0)/100)))+1)),0)</f>
        <v/>
      </c>
      <c r="S2662">
        <f>IFERROR(O2662/N2662,0)</f>
        <v/>
      </c>
      <c r="T2662" t="n">
        <v>0</v>
      </c>
      <c r="V2662" t="n">
        <v>0</v>
      </c>
    </row>
    <row r="2663">
      <c r="A2663">
        <f>Skills!A18</f>
        <v/>
      </c>
      <c r="B2663">
        <f>Skills!B18</f>
        <v/>
      </c>
      <c r="C2663">
        <f>Inputs!$B$3&gt;=74</f>
        <v/>
      </c>
      <c r="D2663">
        <f>IF(Skills!C18=1,60+Inputs!$B$25+Inputs!$B$29,IF(Skills!C18=2,90+Inputs!$B$26+Inputs!$B$29,IF(Skills!C18=3,120+Inputs!$B$27+Inputs!$B$29,MAX(0,(Inputs!$B$3-100)*3)+Inputs!$B$28+Inputs!$B$29)))</f>
        <v/>
      </c>
      <c r="E2663">
        <f>INDEX(FactorTable!$B$2:$Y$301, MATCH(ROUND(MIN(300,MAX(1,D2663)),0), FactorTable!$A$2:$A$301,0), Skills!M18+1)</f>
        <v/>
      </c>
      <c r="F2663">
        <f>IF(Skills!N18=TRUE,(Skills!L18/10)*(E2663/1000),Skills!L18/10)+Skills!O18</f>
        <v/>
      </c>
      <c r="G2663">
        <f>Skills!G18*IF(Skills!H18&gt;0,Skills!I18/Skills!H18,1)</f>
        <v/>
      </c>
      <c r="H2663">
        <f>1-(1-Skills!J18/100)^Skills!K18</f>
        <v/>
      </c>
      <c r="I2663" t="inlineStr">
        <is>
          <t>1</t>
        </is>
      </c>
      <c r="J2663" t="inlineStr"/>
      <c r="K2663" t="inlineStr"/>
      <c r="L2663" t="inlineStr"/>
      <c r="M2663" t="inlineStr"/>
      <c r="N2663" t="inlineStr"/>
      <c r="O2663">
        <f>(1-Summary!$B$11)*T2663+Summary!$B$11*V2663</f>
        <v/>
      </c>
      <c r="P2663">
        <f>IF(B2682=0,0,O2663/B2682)</f>
        <v/>
      </c>
      <c r="Q2663">
        <f>IFERROR(1/(IF(Inputs!$B$38="pvp",15,MAX(0.1,Skills!D18-IF(Skills!E18=TRUE,1.5,0)))*(1-IF(AND(ArtifactsInput!$M$27,Inputs!$B$4="Chapter Hunt"),CHOOSE(ArtifactsInput!$N$27+1,20,24,28,32,36,40),0)/100)),0)</f>
        <v/>
      </c>
      <c r="R2663">
        <f>IF(AND(Inputs!$B$38&lt;&gt;"pvp",Inputs!$B$43&gt;0),IF(Inputs!$B$43&lt;=0,0,(INT(Inputs!$B$43/(IF(Inputs!$B$38="pvp",15,MAX(0.1,Skills!D18-IF(Skills!E18=TRUE,1.5,0)))*(1-IF(AND(ArtifactsInput!$M$27,Inputs!$B$4="Chapter Hunt"),CHOOSE(ArtifactsInput!$N$27+1,20,24,28,32,36,40),0)/100)))+1)),0)</f>
        <v/>
      </c>
      <c r="S2663">
        <f>IFERROR(O2663/N2663,0)</f>
        <v/>
      </c>
      <c r="T2663" t="n">
        <v>0</v>
      </c>
      <c r="V2663" t="n">
        <v>0</v>
      </c>
    </row>
    <row r="2664">
      <c r="A2664">
        <f>Skills!A19</f>
        <v/>
      </c>
      <c r="B2664">
        <f>Skills!B19</f>
        <v/>
      </c>
      <c r="C2664">
        <f>TRUE</f>
        <v/>
      </c>
      <c r="D2664">
        <f>IF(Skills!C19=1,60+Inputs!$B$25+Inputs!$B$29,IF(Skills!C19=2,90+Inputs!$B$26+Inputs!$B$29,IF(Skills!C19=3,120+Inputs!$B$27+Inputs!$B$29,MAX(0,(Inputs!$B$3-100)*3)+Inputs!$B$28+Inputs!$B$29)))</f>
        <v/>
      </c>
      <c r="E2664">
        <f>INDEX(FactorTable!$B$2:$Y$301, MATCH(ROUND(MIN(300,MAX(1,D2664)),0), FactorTable!$A$2:$A$301,0), Skills!M19+1)</f>
        <v/>
      </c>
      <c r="F2664">
        <f>IF(Skills!N19=TRUE,(Skills!L19/10)*(E2664/1000),Skills!L19/10)+Skills!O19</f>
        <v/>
      </c>
      <c r="G2664">
        <f>Skills!G19*IF(Skills!H19&gt;0,Skills!I19/Skills!H19,1)</f>
        <v/>
      </c>
      <c r="H2664">
        <f>1-(1-Skills!J19/100)^Skills!K19</f>
        <v/>
      </c>
      <c r="I2664" t="inlineStr">
        <is>
          <t>1</t>
        </is>
      </c>
      <c r="J2664" t="inlineStr"/>
      <c r="K2664" t="inlineStr"/>
      <c r="L2664" t="inlineStr"/>
      <c r="M2664" t="inlineStr"/>
      <c r="N2664" t="inlineStr"/>
      <c r="O2664">
        <f>(1-Summary!$B$11)*T2664+Summary!$B$11*V2664</f>
        <v/>
      </c>
      <c r="P2664">
        <f>IF(B2682=0,0,O2664/B2682)</f>
        <v/>
      </c>
      <c r="Q2664">
        <f>IFERROR(1/(IF(Inputs!$B$38="pvp",15,MAX(0.1,Skills!D19-IF(Skills!E19=TRUE,1.5,0)))*(1-IF(AND(ArtifactsInput!$M$27,Inputs!$B$4="Chapter Hunt"),CHOOSE(ArtifactsInput!$N$27+1,20,24,28,32,36,40),0)/100)),0)</f>
        <v/>
      </c>
      <c r="R2664">
        <f>IF(AND(Inputs!$B$38&lt;&gt;"pvp",Inputs!$B$43&gt;0),IF(Inputs!$B$43&lt;=0,0,(INT(Inputs!$B$43/(IF(Inputs!$B$38="pvp",15,MAX(0.1,Skills!D19-IF(Skills!E19=TRUE,1.5,0)))*(1-IF(AND(ArtifactsInput!$M$27,Inputs!$B$4="Chapter Hunt"),CHOOSE(ArtifactsInput!$N$27+1,20,24,28,32,36,40),0)/100)))+1)),0)</f>
        <v/>
      </c>
      <c r="S2664">
        <f>IFERROR(O2664/N2664,0)</f>
        <v/>
      </c>
      <c r="T2664" t="n">
        <v>0</v>
      </c>
      <c r="V2664" t="n">
        <v>0</v>
      </c>
    </row>
    <row r="2665">
      <c r="A2665">
        <f>Skills!A20</f>
        <v/>
      </c>
      <c r="B2665">
        <f>Skills!B20</f>
        <v/>
      </c>
      <c r="C2665">
        <f>Inputs!$B$3&gt;=33</f>
        <v/>
      </c>
      <c r="D2665">
        <f>IF(Skills!C20=1,60+Inputs!$B$25+Inputs!$B$29,IF(Skills!C20=2,90+Inputs!$B$26+Inputs!$B$29,IF(Skills!C20=3,120+Inputs!$B$27+Inputs!$B$29,MAX(0,(Inputs!$B$3-100)*3)+Inputs!$B$28+Inputs!$B$29)))</f>
        <v/>
      </c>
      <c r="E2665">
        <f>INDEX(FactorTable!$B$2:$Y$301, MATCH(ROUND(MIN(300,MAX(1,D2665)),0), FactorTable!$A$2:$A$301,0), Skills!M20+1)</f>
        <v/>
      </c>
      <c r="F2665">
        <f>IF(Skills!N20=TRUE,(Skills!L20/10)*(E2665/1000),Skills!L20/10)+Skills!O20</f>
        <v/>
      </c>
      <c r="G2665">
        <f>Skills!G20*IF(Skills!H20&gt;0,Skills!I20/Skills!H20,1)</f>
        <v/>
      </c>
      <c r="H2665">
        <f>1-(1-Skills!J20/100)^Skills!K20</f>
        <v/>
      </c>
      <c r="I2665" t="inlineStr">
        <is>
          <t>1</t>
        </is>
      </c>
      <c r="J2665" t="inlineStr"/>
      <c r="K2665" t="inlineStr"/>
      <c r="L2665" t="inlineStr"/>
      <c r="M2665" t="inlineStr"/>
      <c r="N2665" t="inlineStr"/>
      <c r="O2665">
        <f>(1-Summary!$B$11)*T2665+Summary!$B$11*V2665</f>
        <v/>
      </c>
      <c r="P2665">
        <f>IF(B2682=0,0,O2665/B2682)</f>
        <v/>
      </c>
      <c r="Q2665" t="n">
        <v>0</v>
      </c>
      <c r="R2665" t="n">
        <v>0</v>
      </c>
      <c r="S2665">
        <f>IFERROR(O2665/N2665,0)</f>
        <v/>
      </c>
      <c r="T2665" t="n">
        <v>0</v>
      </c>
      <c r="V2665" t="n">
        <v>0</v>
      </c>
    </row>
    <row r="2666">
      <c r="A2666">
        <f>Skills!A21</f>
        <v/>
      </c>
      <c r="B2666">
        <f>Skills!B21</f>
        <v/>
      </c>
      <c r="C2666">
        <f>Inputs!$B$3&gt;=38</f>
        <v/>
      </c>
      <c r="D2666">
        <f>IF(Skills!C21=1,60+Inputs!$B$25+Inputs!$B$29,IF(Skills!C21=2,90+Inputs!$B$26+Inputs!$B$29,IF(Skills!C21=3,120+Inputs!$B$27+Inputs!$B$29,MAX(0,(Inputs!$B$3-100)*3)+Inputs!$B$28+Inputs!$B$29)))</f>
        <v/>
      </c>
      <c r="E2666">
        <f>INDEX(FactorTable!$B$2:$Y$301, MATCH(ROUND(MIN(300,MAX(1,D2666)),0), FactorTable!$A$2:$A$301,0), Skills!M21+1)</f>
        <v/>
      </c>
      <c r="F2666">
        <f>IF(Skills!N21=TRUE,(Skills!L21/10)*(E2666/1000),Skills!L21/10)+Skills!O21</f>
        <v/>
      </c>
      <c r="G2666">
        <f>Skills!G21*IF(Skills!H21&gt;0,Skills!I21/Skills!H21,1)</f>
        <v/>
      </c>
      <c r="H2666">
        <f>1-(1-Skills!J21/100)^Skills!K21</f>
        <v/>
      </c>
      <c r="I2666" t="inlineStr">
        <is>
          <t>1</t>
        </is>
      </c>
      <c r="J2666" t="inlineStr"/>
      <c r="K2666" t="inlineStr"/>
      <c r="L2666" t="inlineStr"/>
      <c r="M2666" t="inlineStr"/>
      <c r="N2666" t="inlineStr"/>
      <c r="O2666">
        <f>(1-Summary!$B$11)*T2666+Summary!$B$11*V2666</f>
        <v/>
      </c>
      <c r="P2666">
        <f>IF(B2682=0,0,O2666/B2682)</f>
        <v/>
      </c>
      <c r="Q2666" t="n">
        <v>0</v>
      </c>
      <c r="R2666" t="n">
        <v>0</v>
      </c>
      <c r="S2666">
        <f>IFERROR(O2666/N2666,0)</f>
        <v/>
      </c>
      <c r="T2666" t="n">
        <v>0</v>
      </c>
      <c r="V2666" t="n">
        <v>0</v>
      </c>
    </row>
    <row r="2667">
      <c r="A2667">
        <f>Skills!A22</f>
        <v/>
      </c>
      <c r="B2667">
        <f>Skills!B22</f>
        <v/>
      </c>
      <c r="C2667">
        <f>Inputs!$B$3&gt;=43</f>
        <v/>
      </c>
      <c r="D2667">
        <f>IF(Skills!C22=1,60+Inputs!$B$25+Inputs!$B$29,IF(Skills!C22=2,90+Inputs!$B$26+Inputs!$B$29,IF(Skills!C22=3,120+Inputs!$B$27+Inputs!$B$29,MAX(0,(Inputs!$B$3-100)*3)+Inputs!$B$28+Inputs!$B$29)))</f>
        <v/>
      </c>
      <c r="E2667">
        <f>INDEX(FactorTable!$B$2:$Y$301, MATCH(ROUND(MIN(300,MAX(1,D2667)),0), FactorTable!$A$2:$A$301,0), Skills!M22+1)</f>
        <v/>
      </c>
      <c r="F2667">
        <f>IF(Skills!N22=TRUE,(Skills!L22/10)*(E2667/1000),Skills!L22/10)+Skills!O22</f>
        <v/>
      </c>
      <c r="G2667">
        <f>Skills!G22*IF(Skills!H22&gt;0,Skills!I22/Skills!H22,1)</f>
        <v/>
      </c>
      <c r="H2667">
        <f>1-(1-Skills!J22/100)^Skills!K22</f>
        <v/>
      </c>
      <c r="I2667" t="inlineStr">
        <is>
          <t>1</t>
        </is>
      </c>
      <c r="J2667" t="inlineStr"/>
      <c r="K2667" t="inlineStr"/>
      <c r="L2667" t="inlineStr"/>
      <c r="M2667" t="inlineStr"/>
      <c r="N2667" t="inlineStr"/>
      <c r="O2667">
        <f>(1-Summary!$B$11)*T2667+Summary!$B$11*V2667</f>
        <v/>
      </c>
      <c r="P2667">
        <f>IF(B2682=0,0,O2667/B2682)</f>
        <v/>
      </c>
      <c r="Q2667" t="n">
        <v>0</v>
      </c>
      <c r="R2667" t="n">
        <v>0</v>
      </c>
      <c r="S2667">
        <f>IFERROR(O2667/N2667,0)</f>
        <v/>
      </c>
      <c r="T2667" t="n">
        <v>0</v>
      </c>
      <c r="V2667" t="n">
        <v>0</v>
      </c>
    </row>
    <row r="2668">
      <c r="A2668">
        <f>Skills!A23</f>
        <v/>
      </c>
      <c r="B2668">
        <f>Skills!B23</f>
        <v/>
      </c>
      <c r="C2668">
        <f>Inputs!$B$3&gt;=120</f>
        <v/>
      </c>
      <c r="D2668">
        <f>IF(Skills!C23=1,60+Inputs!$B$25+Inputs!$B$29,IF(Skills!C23=2,90+Inputs!$B$26+Inputs!$B$29,IF(Skills!C23=3,120+Inputs!$B$27+Inputs!$B$29,MAX(0,(Inputs!$B$3-100)*3)+Inputs!$B$28+Inputs!$B$29)))</f>
        <v/>
      </c>
      <c r="E2668">
        <f>INDEX(FactorTable!$B$2:$Y$301, MATCH(ROUND(MIN(300,MAX(1,D2668)),0), FactorTable!$A$2:$A$301,0), Skills!M23+1)</f>
        <v/>
      </c>
      <c r="F2668">
        <f>IF(Skills!N23=TRUE,(Skills!L23/10)*(E2668/1000),Skills!L23/10)+Skills!O23</f>
        <v/>
      </c>
      <c r="G2668">
        <f>Skills!G23*IF(Skills!H23&gt;0,Skills!I23/Skills!H23,1)</f>
        <v/>
      </c>
      <c r="H2668">
        <f>1-(1-Skills!J23/100)^Skills!K23</f>
        <v/>
      </c>
      <c r="I2668" t="inlineStr">
        <is>
          <t>1</t>
        </is>
      </c>
      <c r="J2668" t="inlineStr"/>
      <c r="K2668" t="inlineStr"/>
      <c r="L2668" t="inlineStr"/>
      <c r="M2668" t="inlineStr"/>
      <c r="N2668" t="inlineStr"/>
      <c r="O2668">
        <f>(1-Summary!$B$11)*T2668+Summary!$B$11*V2668</f>
        <v/>
      </c>
      <c r="P2668">
        <f>IF(B2682=0,0,O2668/B2682)</f>
        <v/>
      </c>
      <c r="Q2668" t="n">
        <v>0</v>
      </c>
      <c r="R2668" t="n">
        <v>0</v>
      </c>
      <c r="S2668">
        <f>IFERROR(O2668/N2668,0)</f>
        <v/>
      </c>
      <c r="T2668" t="n">
        <v>0</v>
      </c>
      <c r="V2668" t="n">
        <v>0</v>
      </c>
    </row>
    <row r="2669">
      <c r="A2669">
        <f>Skills!A24</f>
        <v/>
      </c>
      <c r="B2669">
        <f>Skills!B24</f>
        <v/>
      </c>
      <c r="C2669">
        <f>Inputs!$B$3&gt;=120</f>
        <v/>
      </c>
      <c r="D2669">
        <f>IF(Skills!C24=1,60+Inputs!$B$25+Inputs!$B$29,IF(Skills!C24=2,90+Inputs!$B$26+Inputs!$B$29,IF(Skills!C24=3,120+Inputs!$B$27+Inputs!$B$29,MAX(0,(Inputs!$B$3-100)*3)+Inputs!$B$28+Inputs!$B$29)))</f>
        <v/>
      </c>
      <c r="E2669">
        <f>INDEX(FactorTable!$B$2:$Y$301, MATCH(ROUND(MIN(300,MAX(1,D2669)),0), FactorTable!$A$2:$A$301,0), Skills!M24+1)</f>
        <v/>
      </c>
      <c r="F2669">
        <f>IF(Skills!N24=TRUE,(Skills!L24/10)*(E2669/1000),Skills!L24/10)+Skills!O24</f>
        <v/>
      </c>
      <c r="G2669">
        <f>Skills!G24*IF(Skills!H24&gt;0,Skills!I24/Skills!H24,1)</f>
        <v/>
      </c>
      <c r="H2669">
        <f>1-(1-Skills!J24/100)^Skills!K24</f>
        <v/>
      </c>
      <c r="I2669" t="inlineStr">
        <is>
          <t>1</t>
        </is>
      </c>
      <c r="J2669" t="inlineStr"/>
      <c r="K2669" t="inlineStr"/>
      <c r="L2669" t="inlineStr"/>
      <c r="M2669" t="inlineStr"/>
      <c r="N2669" t="inlineStr"/>
      <c r="O2669">
        <f>(1-Summary!$B$11)*T2669+Summary!$B$11*V2669</f>
        <v/>
      </c>
      <c r="P2669">
        <f>IF(B2682=0,0,O2669/B2682)</f>
        <v/>
      </c>
      <c r="Q2669" t="n">
        <v>0</v>
      </c>
      <c r="R2669" t="n">
        <v>0</v>
      </c>
      <c r="S2669">
        <f>IFERROR(O2669/N2669,0)</f>
        <v/>
      </c>
      <c r="T2669" t="n">
        <v>0</v>
      </c>
      <c r="V2669" t="n">
        <v>0</v>
      </c>
    </row>
    <row r="2671">
      <c r="A2671" t="inlineStr">
        <is>
          <t>Attack% Bucket Multiplier</t>
        </is>
      </c>
      <c r="B2671">
        <f>(1+(((C2658=TRUE)*F2658*MIN(1,Skills!T13*(Skills!J13/100)*B2676))+((C2663=TRUE)*F2663*IF(AND(Inputs!$B$38&lt;&gt;"pvp",Inputs!$B$43&gt;0),(((R2663-1)*(Skills!T18*(1+Inputs!$B$34/100))+MIN((Skills!T18*(1+Inputs!$B$34/100)),MAX(0,Inputs!$B$43-((R2663-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72">
      <c r="A2672" t="inlineStr">
        <is>
          <t>Global Crit Rate Bonus %</t>
        </is>
      </c>
      <c r="B2672" t="n">
        <v>0</v>
      </c>
    </row>
    <row r="2673">
      <c r="A2673" t="inlineStr">
        <is>
          <t>Attack Speed Buff Bonus %</t>
        </is>
      </c>
      <c r="B2673">
        <f>((C2664=TRUE)*F2664*IF(AND(Inputs!$B$38&lt;&gt;"pvp",Inputs!$B$43&gt;0),(((R2664-1)*(Skills!T19*(1+Inputs!$B$34/100))+MIN((Skills!T19*(1+Inputs!$B$34/100)),MAX(0,Inputs!$B$43-((R2664-1)*Skills!D19))))/Inputs!$B$43),IF(Inputs!$B$38="pvp",MIN((Skills!T19*(1+Inputs!$B$34/100)),15)/15,(Skills!T19*(1+Inputs!$B$34/100))/Skills!D19)))</f>
        <v/>
      </c>
    </row>
    <row r="2674">
      <c r="A2674" t="inlineStr">
        <is>
          <t>Actions Per Second</t>
        </is>
      </c>
      <c r="B2674">
        <f>1+MIN(150,150*(1-(1-(Inputs!$B$11+((C2665=TRUE)*(F2665-Calc!F20)))/150)*(1-B2673/150)))/100</f>
        <v/>
      </c>
    </row>
    <row r="2675">
      <c r="A2675" t="inlineStr">
        <is>
          <t>Skill + Buff Cast Rate</t>
        </is>
      </c>
      <c r="B2675">
        <f>IF(AND(Inputs!$B$38&lt;&gt;"pvp",Inputs!$B$43&gt;0),SUMPRODUCT((Skills!E2:E24=TRUE)*(C2647:C2669=TRUE)*R2647:R2669*Skills!F2:F24)/Inputs!$B$43,SUMPRODUCT((Skills!E2:E24=TRUE)*(C2647:C2669=TRUE)*Q2647:Q2669*Skills!F2:F24))</f>
        <v/>
      </c>
    </row>
    <row r="2676">
      <c r="A2676" t="inlineStr">
        <is>
          <t>Blast Casts Per Second</t>
        </is>
      </c>
      <c r="B2676">
        <f>MAX(0,B2674-B2675)</f>
        <v/>
      </c>
    </row>
    <row r="2677">
      <c r="A2677" t="inlineStr">
        <is>
          <t>Global Critical Damage Bonus % (unused)</t>
        </is>
      </c>
      <c r="B2677" t="n">
        <v>0</v>
      </c>
    </row>
    <row r="2678">
      <c r="A2678" t="inlineStr">
        <is>
          <t>Global Final Damage Bonus % (Divine Shield + Guardian + Divine Blessing + Greater Vessel of Light)</t>
        </is>
      </c>
      <c r="B2678">
        <f>((C2660=TRUE)*F2660*IF(AND(Inputs!$B$38&lt;&gt;"pvp",Inputs!$B$43&gt;0),(((R2660-1)*(Skills!T15*(1+Inputs!$B$34/100))+MIN((Skills!T15*(1+Inputs!$B$34/100)),MAX(0,Inputs!$B$43-((R2660-1)*Skills!D15))))/Inputs!$B$43),IF(Inputs!$B$38="pvp",MIN((Skills!T15*(1+Inputs!$B$34/100)),15)/15,(Skills!T15*(1+Inputs!$B$34/100))/Skills!D15)))+((C2661=TRUE)*F2661*IF(AND(Inputs!$B$38&lt;&gt;"pvp",Inputs!$B$43&gt;0),(((R2661-1)*(Skills!T16*(1+Inputs!$B$34/100))+MIN((Skills!T16*(1+Inputs!$B$34/100)),MAX(0,Inputs!$B$43-((R2661-1)*Skills!D16))))/Inputs!$B$43),IF(Inputs!$B$38="pvp",MIN((Skills!T16*(1+Inputs!$B$34/100)),15)/15,(Skills!T16*(1+Inputs!$B$34/100))/Skills!D16)))+((C2662=TRUE)*F2662*IF(AND(Inputs!$B$38&lt;&gt;"pvp",Inputs!$B$43&gt;0),(((R2662-1)*(Skills!T17*(1+Inputs!$B$34/100))+MIN((Skills!T17*(1+Inputs!$B$34/100)),MAX(0,Inputs!$B$43-((R2662-1)*Skills!D17))))/Inputs!$B$43),IF(Inputs!$B$38="pvp",MIN((Skills!T17*(1+Inputs!$B$34/100)),15)/15,(Skills!T17*(1+Inputs!$B$34/100))/Skills!D17)))+((C2659=TRUE)*F2659*MIN(1,Skills!T13*(Skills!J13/100)*B2676))</f>
        <v/>
      </c>
    </row>
    <row r="2679">
      <c r="A2679" t="inlineStr">
        <is>
          <t>Buff-Casting Startup Delay (s, fixed-duration only)</t>
        </is>
      </c>
      <c r="B2679">
        <f>IF(AND(Inputs!$B$38&lt;&gt;"pvp",Inputs!$B$43&gt;0),SUMPRODUCT((Skills!T2:T24&gt;0)*(Skills!E2:E24=TRUE)*(C2647:C2669=TRUE))/B2674,0)</f>
        <v/>
      </c>
    </row>
    <row r="2680">
      <c r="A2680" t="inlineStr">
        <is>
          <t>Boss-Only Total DPS (this block's swept value)</t>
        </is>
      </c>
      <c r="B2680">
        <f>SUM(T2647:T2669)</f>
        <v/>
      </c>
    </row>
    <row r="2681">
      <c r="A2681" t="inlineStr">
        <is>
          <t>Normal-Only Total DPS (this block's swept value)</t>
        </is>
      </c>
      <c r="B2681">
        <f>SUM(V2647:V2669)</f>
        <v/>
      </c>
    </row>
    <row r="2682">
      <c r="A2682" s="6" t="inlineStr">
        <is>
          <t>TOTAL DPS</t>
        </is>
      </c>
      <c r="B2682" s="6">
        <f>SUM(O2647:O2669)</f>
        <v/>
      </c>
    </row>
    <row r="2685">
      <c r="A2685" s="6" t="inlineStr">
        <is>
          <t>Stat: CDR = 2.0s</t>
        </is>
      </c>
    </row>
    <row r="2686">
      <c r="A2686" s="5" t="inlineStr">
        <is>
          <t>Key</t>
        </is>
      </c>
      <c r="B2686" s="5" t="inlineStr">
        <is>
          <t>Name</t>
        </is>
      </c>
      <c r="C2686" s="5" t="inlineStr">
        <is>
          <t>Unlocked</t>
        </is>
      </c>
      <c r="D2686" s="5" t="inlineStr">
        <is>
          <t>InputLevel</t>
        </is>
      </c>
      <c r="E2686" s="5" t="inlineStr">
        <is>
          <t>Factor</t>
        </is>
      </c>
      <c r="F2686" s="5" t="inlineStr">
        <is>
          <t>CoefficientPercent</t>
        </is>
      </c>
      <c r="G2686" s="5" t="inlineStr">
        <is>
          <t>EffectiveHits</t>
        </is>
      </c>
      <c r="H2686" s="5" t="inlineStr">
        <is>
          <t>ProcProbability</t>
        </is>
      </c>
      <c r="I2686" s="5" t="inlineStr">
        <is>
          <t>MapleHeroMultiplier</t>
        </is>
      </c>
      <c r="J2686" s="5" t="inlineStr">
        <is>
          <t>BaseDamage</t>
        </is>
      </c>
      <c r="K2686" s="5" t="inlineStr">
        <is>
          <t>BaseHitDamage</t>
        </is>
      </c>
      <c r="L2686" s="5" t="inlineStr">
        <is>
          <t>NonCritAvg</t>
        </is>
      </c>
      <c r="M2686" s="5" t="inlineStr">
        <is>
          <t>CritAvg</t>
        </is>
      </c>
      <c r="N2686" s="5" t="inlineStr">
        <is>
          <t>ExpectedDamage(perHit)</t>
        </is>
      </c>
      <c r="O2686" s="5" t="inlineStr">
        <is>
          <t>DPS</t>
        </is>
      </c>
      <c r="P2686" s="5" t="inlineStr">
        <is>
          <t>% of Total</t>
        </is>
      </c>
      <c r="Q2686" s="5" t="inlineStr">
        <is>
          <t>InvCooldown</t>
        </is>
      </c>
      <c r="R2686" s="5" t="inlineStr">
        <is>
          <t>CastsInFight</t>
        </is>
      </c>
      <c r="S2686" s="5" t="inlineStr">
        <is>
          <t>HitRate(perSec)</t>
        </is>
      </c>
      <c r="U2686" t="inlineStr">
        <is>
          <t>helpers</t>
        </is>
      </c>
    </row>
    <row r="2687">
      <c r="A2687">
        <f>Skills!A2</f>
        <v/>
      </c>
      <c r="B2687">
        <f>Skills!B2</f>
        <v/>
      </c>
      <c r="C2687">
        <f>Inputs!$B$3&gt;=100</f>
        <v/>
      </c>
      <c r="D2687" t="inlineStr"/>
      <c r="E2687" t="inlineStr"/>
      <c r="F2687">
        <f>U2689+Skills!O2</f>
        <v/>
      </c>
      <c r="G2687">
        <f>Skills!G2*IF(Skills!H2&gt;0,Skills!I2/Skills!H2,1)</f>
        <v/>
      </c>
      <c r="H2687">
        <f>1-(1-Skills!J2/100)^Skills!K2</f>
        <v/>
      </c>
      <c r="I2687" t="inlineStr">
        <is>
          <t>1</t>
        </is>
      </c>
      <c r="J2687">
        <f>((Inputs!$B$6*(1+Inputs!$B$7/100))+(((Inputs!$B$12*(1+Inputs!$B$13/100))-(Inputs!$B$12*(1+Inputs!$B$13/100)))+0.25*(Inputs!$B$14-Inputs!$B$14))*(1+Inputs!$B$7/100))*(F2687/100)</f>
        <v/>
      </c>
      <c r="K2687">
        <f>J2687*(1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2687)</f>
        <v/>
      </c>
      <c r="L2687">
        <f>K2687*(MIN(Inputs!$B$22+((C2707=TRUE)*(F2707-Calc!F22)),(Inputs!$B$23+((C2709=TRUE)*(F2709-Calc!F24))+(IF(ArtifactsInput!$M$15,CHOOSE(ArtifactsInput!$N$15+1,25,30,35,40,45,50)/100*(Inputs!$B$11-Inputs!$B$11),0))))/100+(Inputs!$B$23+((C2709=TRUE)*(F2709-Calc!F24))+(IF(ArtifactsInput!$M$15,CHOOSE(ArtifactsInput!$N$15+1,25,30,35,40,45,50)/100*(Inputs!$B$11-Inputs!$B$11),0)))/100)/2</f>
        <v/>
      </c>
      <c r="M2687">
        <f>L2687*(1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7">
        <f>L2687*(1-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2687*(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7">
        <f>(1-Summary!$B$11)*T2687+Summary!$B$11*V2687</f>
        <v/>
      </c>
      <c r="P2687">
        <f>IF(B2722=0,0,O2687/B2722)</f>
        <v/>
      </c>
      <c r="Q2687" t="n">
        <v>0</v>
      </c>
      <c r="R2687" t="n">
        <v>0</v>
      </c>
      <c r="S2687">
        <f>IFERROR(O2687/N2687,0)</f>
        <v/>
      </c>
      <c r="T2687">
        <f>IF(C2687,(Skills!G2*N2687*B2716)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2687*(1-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2687*(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2687*(1-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2687*(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7">
        <f>MAX(0,(Inputs!$B$3-100)*3)+Inputs!$B$28+Inputs!$B$29</f>
        <v/>
      </c>
      <c r="V2687">
        <f>IF(C2687,(Skills!G2*N2687*B2716)*IF(Inputs!$B$38="pvp",1,(1+(Inputs!$B$21+Skills!Q2+(IF(ArtifactsInput!$M$33,CHOOSE(ArtifactsInput!$N$33+1,30,36,42,48,54,60),0))+(IF(AND(ArtifactsInput!$M$35,Inputs!$B$4&lt;&gt;"Chapter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8">
      <c r="A2688">
        <f>Skills!A3</f>
        <v/>
      </c>
      <c r="B2688">
        <f>Skills!B3</f>
        <v/>
      </c>
      <c r="C2688">
        <f>Inputs!$B$3&gt;=50</f>
        <v/>
      </c>
      <c r="D2688">
        <f>IF(Skills!C3=1,60+Inputs!$B$25+Inputs!$B$29,IF(Skills!C3=2,90+Inputs!$B$26+Inputs!$B$29,IF(Skills!C3=3,120+Inputs!$B$27+Inputs!$B$29,MAX(0,(Inputs!$B$3-100)*3)+Inputs!$B$28+Inputs!$B$29)))</f>
        <v/>
      </c>
      <c r="E2688">
        <f>INDEX(FactorTable!$B$2:$Y$301, MATCH(ROUND(MIN(300,MAX(1,D2688)),0), FactorTable!$A$2:$A$301,0), Skills!M3+1)</f>
        <v/>
      </c>
      <c r="F2688">
        <f>IF(Skills!N3=TRUE,(Skills!L3/10)*(E2688/1000),Skills!L3/10)+Skills!O3</f>
        <v/>
      </c>
      <c r="G2688" t="inlineStr"/>
      <c r="H2688" t="inlineStr"/>
      <c r="I2688" t="inlineStr">
        <is>
          <t>1</t>
        </is>
      </c>
      <c r="J2688" t="inlineStr"/>
      <c r="K2688" t="inlineStr"/>
      <c r="L2688" t="inlineStr"/>
      <c r="M2688" t="inlineStr"/>
      <c r="N2688" t="inlineStr"/>
      <c r="O2688" t="inlineStr"/>
      <c r="P2688" t="inlineStr"/>
      <c r="Q2688" t="inlineStr"/>
      <c r="R2688" t="inlineStr"/>
      <c r="S2688" t="inlineStr"/>
      <c r="U2688">
        <f>INDEX(FactorTable!$B$2:$Y$301, MATCH(ROUND(MIN(300,MAX(1,U2687)),0), FactorTable!$A$2:$A$301,0), 22)</f>
        <v/>
      </c>
    </row>
    <row r="2689">
      <c r="A2689">
        <f>Skills!A4</f>
        <v/>
      </c>
      <c r="B2689">
        <f>Skills!B4</f>
        <v/>
      </c>
      <c r="C2689">
        <f>Inputs!$B$3&gt;=35</f>
        <v/>
      </c>
      <c r="D2689">
        <f>IF(Skills!C4=1,60+Inputs!$B$25+Inputs!$B$29,IF(Skills!C4=2,90+Inputs!$B$26+Inputs!$B$29,IF(Skills!C4=3,120+Inputs!$B$27+Inputs!$B$29,MAX(0,(Inputs!$B$3-100)*3)+Inputs!$B$28+Inputs!$B$29)))</f>
        <v/>
      </c>
      <c r="E2689">
        <f>INDEX(FactorTable!$B$2:$Y$301, MATCH(ROUND(MIN(300,MAX(1,D2689)),0), FactorTable!$A$2:$A$301,0), Skills!M4+1)</f>
        <v/>
      </c>
      <c r="F2689">
        <f>IF(Skills!N4=TRUE,(Skills!L4/10)*(E2689/1000),Skills!L4/10)+Skills!O4</f>
        <v/>
      </c>
      <c r="G2689">
        <f>Skills!G4*IF(Skills!H4&gt;0,Skills!I4/Skills!H4,1)</f>
        <v/>
      </c>
      <c r="H2689">
        <f>1-(1-Skills!J4/100)^Skills!K4</f>
        <v/>
      </c>
      <c r="I2689" t="inlineStr">
        <is>
          <t>1</t>
        </is>
      </c>
      <c r="J2689">
        <f>((Inputs!$B$6*(1+Inputs!$B$7/100))+(((Inputs!$B$12*(1+Inputs!$B$13/100))-(Inputs!$B$12*(1+Inputs!$B$13/100)))+0.25*(Inputs!$B$14-Inputs!$B$14))*(1+Inputs!$B$7/100))*(F2689/100)</f>
        <v/>
      </c>
      <c r="K2689">
        <f>J2689*(1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2697=TRUE,F2697,0)/100)*(1+(IF(Skills!A4="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2689)</f>
        <v/>
      </c>
      <c r="L2689">
        <f>K2689*(MIN(Inputs!$B$22+((C2707=TRUE)*(F2707-Calc!F22)),(Inputs!$B$23+((C2709=TRUE)*(F2709-Calc!F24))+(IF(ArtifactsInput!$M$15,CHOOSE(ArtifactsInput!$N$15+1,25,30,35,40,45,50)/100*(Inputs!$B$11-Inputs!$B$11),0))))/100+(Inputs!$B$23+((C2709=TRUE)*(F2709-Calc!F24))+(IF(ArtifactsInput!$M$15,CHOOSE(ArtifactsInput!$N$15+1,25,30,35,40,45,50)/100*(Inputs!$B$11-Inputs!$B$11),0)))/100)/2</f>
        <v/>
      </c>
      <c r="M2689">
        <f>L2689*(1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9">
        <f>L2689*(1-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2689*(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9">
        <f>(1-Summary!$B$11)*T2689+Summary!$B$11*V2689</f>
        <v/>
      </c>
      <c r="P2689">
        <f>IF(B2722=0,0,O2689/B2722)</f>
        <v/>
      </c>
      <c r="Q2689">
        <f>IFERROR(1/(IF(Inputs!$B$38="pvp",15,MAX(0.1,Skills!D4-IF(Skills!E4=TRUE,2.0,0)))*(1-IF(AND(ArtifactsInput!$M$27,Inputs!$B$4="Chapter Hunt"),CHOOSE(ArtifactsInput!$N$27+1,20,24,28,32,36,40),0)/100)),0)</f>
        <v/>
      </c>
      <c r="R2689">
        <f>IF(AND(Inputs!$B$38&lt;&gt;"pvp",Inputs!$B$43&gt;0),IF(MAX(0,Inputs!$B$43-B2719)&lt;=0,0,(INT(MAX(0,Inputs!$B$43-B2719)/(IF(Inputs!$B$38="pvp",15,MAX(0.1,Skills!D4-IF(Skills!E4=TRUE,2.0,0)))*(1-IF(AND(ArtifactsInput!$M$27,Inputs!$B$4="Chapter Hunt"),CHOOSE(ArtifactsInput!$N$27+1,20,24,28,32,36,40),0)/100)))+1)),0)</f>
        <v/>
      </c>
      <c r="S2689">
        <f>IFERROR(O2689/N2689,0)</f>
        <v/>
      </c>
      <c r="T2689">
        <f>IF(C2689,(H2689*N2689*IF(AND(Inputs!$B$38&lt;&gt;"pvp",Inputs!$B$43&gt;0),((Skills!G4*((R2689-1)*IF(Skills!H4&gt;0,Skills!I4/Skills!H4,1)+IF(Skills!H4&gt;0,MIN(Skills!I4,MAX(0,MAX(0,Inputs!$B$43-B2719)-((R2689-1)*(IF(Inputs!$B$38="pvp",15,MAX(0.1,Skills!D4-IF(Skills!E4=TRUE,2.0,0)))*(1-IF(AND(ArtifactsInput!$M$27,Inputs!$B$4="Chapter Hunt"),CHOOSE(ArtifactsInput!$N$27+1,20,24,28,32,36,40),0)/100)))))/Skills!H4,1)))/Inputs!$B$43),G2689*Q2689)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2689*(1-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2689*(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2689*(1-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2689*(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9">
        <f>290*U2688/1000</f>
        <v/>
      </c>
      <c r="V2689">
        <f>IF(C2689,(H2689*N2689*IF(AND(Inputs!$B$38&lt;&gt;"pvp",Inputs!$B$43&gt;0),((Skills!G4*((R2689-1)*IF(Skills!H4&gt;0,Skills!I4/Skills!H4,1)+IF(Skills!H4&gt;0,MIN(Skills!I4,MAX(0,MAX(0,Inputs!$B$43-B2719)-((R2689-1)*(IF(Inputs!$B$38="pvp",15,MAX(0.1,Skills!D4-IF(Skills!E4=TRUE,2.0,0)))*(1-IF(AND(ArtifactsInput!$M$27,Inputs!$B$4="Chapter Hunt"),CHOOSE(ArtifactsInput!$N$27+1,20,24,28,32,36,40),0)/100)))))/Skills!H4,1)))/Inputs!$B$43),G2689*Q2689))*IF(Inputs!$B$38="pvp",1,(1+(Inputs!$B$21+Skills!Q4+(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0">
      <c r="A2690">
        <f>Skills!A5</f>
        <v/>
      </c>
      <c r="B2690">
        <f>Skills!B5</f>
        <v/>
      </c>
      <c r="C2690">
        <f>Inputs!$B$3&gt;=66</f>
        <v/>
      </c>
      <c r="D2690">
        <f>IF(Skills!C5=1,60+Inputs!$B$25+Inputs!$B$29,IF(Skills!C5=2,90+Inputs!$B$26+Inputs!$B$29,IF(Skills!C5=3,120+Inputs!$B$27+Inputs!$B$29,MAX(0,(Inputs!$B$3-100)*3)+Inputs!$B$28+Inputs!$B$29)))</f>
        <v/>
      </c>
      <c r="E2690">
        <f>INDEX(FactorTable!$B$2:$Y$301, MATCH(ROUND(MIN(300,MAX(1,D2690)),0), FactorTable!$A$2:$A$301,0), Skills!M5+1)</f>
        <v/>
      </c>
      <c r="F2690">
        <f>IF(Skills!N5=TRUE,(Skills!L5/10)*(E2690/1000),Skills!L5/10)+Skills!O5</f>
        <v/>
      </c>
      <c r="G2690">
        <f>Skills!G5*IF(Skills!H5&gt;0,Skills!I5/Skills!H5,1)</f>
        <v/>
      </c>
      <c r="H2690">
        <f>1-(1-Skills!J5/100)^Skills!K5</f>
        <v/>
      </c>
      <c r="I2690" t="inlineStr">
        <is>
          <t>1</t>
        </is>
      </c>
      <c r="J2690">
        <f>((Inputs!$B$6*(1+Inputs!$B$7/100))+(((Inputs!$B$12*(1+Inputs!$B$13/100))-(Inputs!$B$12*(1+Inputs!$B$13/100)))+0.25*(Inputs!$B$14-Inputs!$B$14))*(1+Inputs!$B$7/100))*(F2690/100)</f>
        <v/>
      </c>
      <c r="K2690">
        <f>J2690*(1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2697=TRUE,F2697,0)/100)*(1+(IF(Skills!A5="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2690)</f>
        <v/>
      </c>
      <c r="L2690">
        <f>K2690*(MIN(Inputs!$B$22+((C2707=TRUE)*(F2707-Calc!F22)),(Inputs!$B$23+((C2709=TRUE)*(F2709-Calc!F24))+(IF(ArtifactsInput!$M$15,CHOOSE(ArtifactsInput!$N$15+1,25,30,35,40,45,50)/100*(Inputs!$B$11-Inputs!$B$11),0))))/100+(Inputs!$B$23+((C2709=TRUE)*(F2709-Calc!F24))+(IF(ArtifactsInput!$M$15,CHOOSE(ArtifactsInput!$N$15+1,25,30,35,40,45,50)/100*(Inputs!$B$11-Inputs!$B$11),0)))/100)/2</f>
        <v/>
      </c>
      <c r="M2690">
        <f>L2690*(1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0">
        <f>L2690*(1-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2690*(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0">
        <f>(1-Summary!$B$11)*T2690+Summary!$B$11*V2690</f>
        <v/>
      </c>
      <c r="P2690">
        <f>IF(B2722=0,0,O2690/B2722)</f>
        <v/>
      </c>
      <c r="Q2690">
        <f>IFERROR(1/(IF(Inputs!$B$38="pvp",15,MAX(0.1,Skills!D5-IF(Skills!E5=TRUE,2.0,0)))*(1-IF(AND(ArtifactsInput!$M$27,Inputs!$B$4="Chapter Hunt"),CHOOSE(ArtifactsInput!$N$27+1,20,24,28,32,36,40),0)/100)),0)</f>
        <v/>
      </c>
      <c r="R2690">
        <f>IF(AND(Inputs!$B$38&lt;&gt;"pvp",Inputs!$B$43&gt;0),IF(MAX(0,Inputs!$B$43-B2719)&lt;=0,0,(INT(MAX(0,Inputs!$B$43-B2719)/(IF(Inputs!$B$38="pvp",15,MAX(0.1,Skills!D5-IF(Skills!E5=TRUE,2.0,0)))*(1-IF(AND(ArtifactsInput!$M$27,Inputs!$B$4="Chapter Hunt"),CHOOSE(ArtifactsInput!$N$27+1,20,24,28,32,36,40),0)/100)))+1)),0)</f>
        <v/>
      </c>
      <c r="S2690">
        <f>IFERROR(O2690/N2690,0)</f>
        <v/>
      </c>
      <c r="T2690">
        <f>IF(C2690,(H2690*N2690*IF(AND(Inputs!$B$38&lt;&gt;"pvp",Inputs!$B$43&gt;0),((Skills!G5*((R2690-1)*IF(Skills!H5&gt;0,Skills!I5/Skills!H5,1)+IF(Skills!H5&gt;0,MIN(Skills!I5,MAX(0,MAX(0,Inputs!$B$43-B2719)-((R2690-1)*(IF(Inputs!$B$38="pvp",15,MAX(0.1,Skills!D5-IF(Skills!E5=TRUE,2.0,0)))*(1-IF(AND(ArtifactsInput!$M$27,Inputs!$B$4="Chapter Hunt"),CHOOSE(ArtifactsInput!$N$27+1,20,24,28,32,36,40),0)/100)))))/Skills!H5,1)))/Inputs!$B$43),G2690*Q2690)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2690*(1-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2690*(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2690*(1-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2690*(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0">
        <f>IF(C2690,(H2690*N2690*IF(AND(Inputs!$B$38&lt;&gt;"pvp",Inputs!$B$43&gt;0),((Skills!G5*((R2690-1)*IF(Skills!H5&gt;0,Skills!I5/Skills!H5,1)+IF(Skills!H5&gt;0,MIN(Skills!I5,MAX(0,MAX(0,Inputs!$B$43-B2719)-((R2690-1)*(IF(Inputs!$B$38="pvp",15,MAX(0.1,Skills!D5-IF(Skills!E5=TRUE,2.0,0)))*(1-IF(AND(ArtifactsInput!$M$27,Inputs!$B$4="Chapter Hunt"),CHOOSE(ArtifactsInput!$N$27+1,20,24,28,32,36,40),0)/100)))))/Skills!H5,1)))/Inputs!$B$43),G2690*Q2690))*IF(Inputs!$B$38="pvp",1,(1+(Inputs!$B$21+Skills!Q5+(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1">
      <c r="A2691">
        <f>Skills!A6</f>
        <v/>
      </c>
      <c r="B2691">
        <f>Skills!B6</f>
        <v/>
      </c>
      <c r="C2691">
        <f>Inputs!$B$3&gt;=103</f>
        <v/>
      </c>
      <c r="D2691">
        <f>IF(Skills!C6=1,60+Inputs!$B$25+Inputs!$B$29,IF(Skills!C6=2,90+Inputs!$B$26+Inputs!$B$29,IF(Skills!C6=3,120+Inputs!$B$27+Inputs!$B$29,MAX(0,(Inputs!$B$3-100)*3)+Inputs!$B$28+Inputs!$B$29)))</f>
        <v/>
      </c>
      <c r="E2691">
        <f>INDEX(FactorTable!$B$2:$Y$301, MATCH(ROUND(MIN(300,MAX(1,D2691)),0), FactorTable!$A$2:$A$301,0), Skills!M6+1)</f>
        <v/>
      </c>
      <c r="F2691">
        <f>IF(Skills!N6=TRUE,(Skills!L6/10)*(E2691/1000),Skills!L6/10)+Skills!O6</f>
        <v/>
      </c>
      <c r="G2691">
        <f>Skills!G6*IF(Skills!H6&gt;0,Skills!I6/Skills!H6,1)</f>
        <v/>
      </c>
      <c r="H2691">
        <f>1-(1-Skills!J6/100)^Skills!K6</f>
        <v/>
      </c>
      <c r="I2691" t="inlineStr">
        <is>
          <t>1</t>
        </is>
      </c>
      <c r="J2691">
        <f>((Inputs!$B$6*(1+Inputs!$B$7/100))+(((Inputs!$B$12*(1+Inputs!$B$13/100))-(Inputs!$B$12*(1+Inputs!$B$13/100)))+0.25*(Inputs!$B$14-Inputs!$B$14))*(1+Inputs!$B$7/100))*(F2691/100)</f>
        <v/>
      </c>
      <c r="K2691">
        <f>J2691*(1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2691)</f>
        <v/>
      </c>
      <c r="L2691">
        <f>K2691*(MIN(Inputs!$B$22+((C2707=TRUE)*(F2707-Calc!F22)),(Inputs!$B$23+((C2709=TRUE)*(F2709-Calc!F24))+(IF(ArtifactsInput!$M$15,CHOOSE(ArtifactsInput!$N$15+1,25,30,35,40,45,50)/100*(Inputs!$B$11-Inputs!$B$11),0))))/100+(Inputs!$B$23+((C2709=TRUE)*(F2709-Calc!F24))+(IF(ArtifactsInput!$M$15,CHOOSE(ArtifactsInput!$N$15+1,25,30,35,40,45,50)/100*(Inputs!$B$11-Inputs!$B$11),0)))/100)/2</f>
        <v/>
      </c>
      <c r="M2691">
        <f>L2691*(1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1">
        <f>L2691*(1-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1">
        <f>(1-Summary!$B$11)*T2691+Summary!$B$11*V2691</f>
        <v/>
      </c>
      <c r="P2691">
        <f>IF(B2722=0,0,O2691/B2722)</f>
        <v/>
      </c>
      <c r="Q2691">
        <f>IFERROR(1/(IF(Inputs!$B$38="pvp",15,MAX(0.1,Skills!D6-IF(Skills!E6=TRUE,2.0,0)))*(1-IF(AND(ArtifactsInput!$M$27,Inputs!$B$4="Chapter Hunt"),CHOOSE(ArtifactsInput!$N$27+1,20,24,28,32,36,40),0)/100)),0)</f>
        <v/>
      </c>
      <c r="R2691">
        <f>IF(AND(Inputs!$B$38&lt;&gt;"pvp",Inputs!$B$43&gt;0),IF(MAX(0,Inputs!$B$43-B2719)&lt;=0,0,(INT(MAX(0,Inputs!$B$43-B2719)/(IF(Inputs!$B$38="pvp",15,MAX(0.1,Skills!D6-IF(Skills!E6=TRUE,2.0,0)))*(1-IF(AND(ArtifactsInput!$M$27,Inputs!$B$4="Chapter Hunt"),CHOOSE(ArtifactsInput!$N$27+1,20,24,28,32,36,40),0)/100)))+1)),0)</f>
        <v/>
      </c>
      <c r="S2691">
        <f>IFERROR(O2691/N2691,0)</f>
        <v/>
      </c>
      <c r="T2691">
        <f>IF(C2691,(H2691*N2691*IF(AND(Inputs!$B$38&lt;&gt;"pvp",Inputs!$B$43&gt;0),((Skills!G6*((R2691-1)*IF(Skills!H6&gt;0,Skills!I6/Skills!H6,1)+IF(Skills!H6&gt;0,MIN(Skills!I6,MAX(0,MAX(0,Inputs!$B$43-B2719)-((R2691-1)*(IF(Inputs!$B$38="pvp",15,MAX(0.1,Skills!D6-IF(Skills!E6=TRUE,2.0,0)))*(1-IF(AND(ArtifactsInput!$M$27,Inputs!$B$4="Chapter Hunt"),CHOOSE(ArtifactsInput!$N$27+1,20,24,28,32,36,40),0)/100)))))/Skills!H6,1)))/Inputs!$B$43),G2691*Q2691)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2691*(1-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1">
        <f>IF(C2691,(H2691*N2691*IF(AND(Inputs!$B$38&lt;&gt;"pvp",Inputs!$B$43&gt;0),((Skills!G6*((R2691-1)*IF(Skills!H6&gt;0,Skills!I6/Skills!H6,1)+IF(Skills!H6&gt;0,MIN(Skills!I6,MAX(0,MAX(0,Inputs!$B$43-B2719)-((R2691-1)*(IF(Inputs!$B$38="pvp",15,MAX(0.1,Skills!D6-IF(Skills!E6=TRUE,2.0,0)))*(1-IF(AND(ArtifactsInput!$M$27,Inputs!$B$4="Chapter Hunt"),CHOOSE(ArtifactsInput!$N$27+1,20,24,28,32,36,40),0)/100)))))/Skills!H6,1)))/Inputs!$B$43),G2691*Q2691))*IF(Inputs!$B$38="pvp",1,(1+(Inputs!$B$21+Skills!Q6+(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2">
      <c r="A2692">
        <f>Skills!A7</f>
        <v/>
      </c>
      <c r="B2692">
        <f>Skills!B7</f>
        <v/>
      </c>
      <c r="C2692">
        <f>Inputs!$B$3&gt;=107</f>
        <v/>
      </c>
      <c r="D2692">
        <f>IF(Skills!C7=1,60+Inputs!$B$25+Inputs!$B$29,IF(Skills!C7=2,90+Inputs!$B$26+Inputs!$B$29,IF(Skills!C7=3,120+Inputs!$B$27+Inputs!$B$29,MAX(0,(Inputs!$B$3-100)*3)+Inputs!$B$28+Inputs!$B$29)))</f>
        <v/>
      </c>
      <c r="E2692">
        <f>INDEX(FactorTable!$B$2:$Y$301, MATCH(ROUND(MIN(300,MAX(1,D2692)),0), FactorTable!$A$2:$A$301,0), Skills!M7+1)</f>
        <v/>
      </c>
      <c r="F2692">
        <f>IF(Skills!N7=TRUE,(Skills!L7/10)*(E2692/1000),Skills!L7/10)+Skills!O7</f>
        <v/>
      </c>
      <c r="G2692">
        <f>Skills!G7*IF(Skills!H7&gt;0,Skills!I7/Skills!H7,1)</f>
        <v/>
      </c>
      <c r="H2692">
        <f>1-(1-Skills!J7/100)^Skills!K7</f>
        <v/>
      </c>
      <c r="I2692" t="inlineStr">
        <is>
          <t>1</t>
        </is>
      </c>
      <c r="J2692">
        <f>((Inputs!$B$6*(1+Inputs!$B$7/100))+(((Inputs!$B$12*(1+Inputs!$B$13/100))-(Inputs!$B$12*(1+Inputs!$B$13/100)))+0.25*(Inputs!$B$14-Inputs!$B$14))*(1+Inputs!$B$7/100))*(F2692/100)</f>
        <v/>
      </c>
      <c r="K2692">
        <f>J2692*(1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2692)</f>
        <v/>
      </c>
      <c r="L2692">
        <f>K2692*(MIN(Inputs!$B$22+((C2707=TRUE)*(F2707-Calc!F22)),(Inputs!$B$23+((C2709=TRUE)*(F2709-Calc!F24))+(IF(ArtifactsInput!$M$15,CHOOSE(ArtifactsInput!$N$15+1,25,30,35,40,45,50)/100*(Inputs!$B$11-Inputs!$B$11),0))))/100+(Inputs!$B$23+((C2709=TRUE)*(F2709-Calc!F24))+(IF(ArtifactsInput!$M$15,CHOOSE(ArtifactsInput!$N$15+1,25,30,35,40,45,50)/100*(Inputs!$B$11-Inputs!$B$11),0)))/100)/2</f>
        <v/>
      </c>
      <c r="M2692">
        <f>L2692*(1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2">
        <f>L2692*(1-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2692*(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2">
        <f>(1-Summary!$B$11)*T2692+Summary!$B$11*V2692</f>
        <v/>
      </c>
      <c r="P2692">
        <f>IF(B2722=0,0,O2692/B2722)</f>
        <v/>
      </c>
      <c r="Q2692">
        <f>IFERROR(1/(IF(Inputs!$B$38="pvp",15,MAX(0.1,Skills!D7-IF(Skills!E7=TRUE,2.0,0)))*(1-IF(AND(ArtifactsInput!$M$27,Inputs!$B$4="Chapter Hunt"),CHOOSE(ArtifactsInput!$N$27+1,20,24,28,32,36,40),0)/100)),0)</f>
        <v/>
      </c>
      <c r="R2692">
        <f>IF(AND(Inputs!$B$38&lt;&gt;"pvp",Inputs!$B$43&gt;0),IF(MAX(0,Inputs!$B$43-B2719)&lt;=0,0,(INT(MAX(0,Inputs!$B$43-B2719)/(IF(Inputs!$B$38="pvp",15,MAX(0.1,Skills!D7-IF(Skills!E7=TRUE,2.0,0)))*(1-IF(AND(ArtifactsInput!$M$27,Inputs!$B$4="Chapter Hunt"),CHOOSE(ArtifactsInput!$N$27+1,20,24,28,32,36,40),0)/100)))+1)),0)</f>
        <v/>
      </c>
      <c r="S2692">
        <f>IFERROR(O2692/N2692,0)</f>
        <v/>
      </c>
      <c r="T2692">
        <f>IF(C2692,(H2692*N2692*IF(AND(Inputs!$B$38&lt;&gt;"pvp",Inputs!$B$43&gt;0),((Skills!G7*((R2692-1)*IF(Skills!H7&gt;0,Skills!I7/Skills!H7,1)+IF(Skills!H7&gt;0,MIN(Skills!I7,MAX(0,MAX(0,Inputs!$B$43-B2719)-((R2692-1)*(IF(Inputs!$B$38="pvp",15,MAX(0.1,Skills!D7-IF(Skills!E7=TRUE,2.0,0)))*(1-IF(AND(ArtifactsInput!$M$27,Inputs!$B$4="Chapter Hunt"),CHOOSE(ArtifactsInput!$N$27+1,20,24,28,32,36,40),0)/100)))))/Skills!H7,1)))/Inputs!$B$43),G2692*Q2692)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2692*(1-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2692*(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2692*(1-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2692*(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2">
        <f>IF(C2692,(H2692*N2692*IF(AND(Inputs!$B$38&lt;&gt;"pvp",Inputs!$B$43&gt;0),((Skills!G7*((R2692-1)*IF(Skills!H7&gt;0,Skills!I7/Skills!H7,1)+IF(Skills!H7&gt;0,MIN(Skills!I7,MAX(0,MAX(0,Inputs!$B$43-B2719)-((R2692-1)*(IF(Inputs!$B$38="pvp",15,MAX(0.1,Skills!D7-IF(Skills!E7=TRUE,2.0,0)))*(1-IF(AND(ArtifactsInput!$M$27,Inputs!$B$4="Chapter Hunt"),CHOOSE(ArtifactsInput!$N$27+1,20,24,28,32,36,40),0)/100)))))/Skills!H7,1)))/Inputs!$B$43),G2692*Q2692))*IF(Inputs!$B$38="pvp",1,(1+(Inputs!$B$21+Skills!Q7+(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3">
      <c r="A2693">
        <f>Skills!A8</f>
        <v/>
      </c>
      <c r="B2693">
        <f>Skills!B8</f>
        <v/>
      </c>
      <c r="C2693">
        <f>Inputs!$B$3&gt;=107</f>
        <v/>
      </c>
      <c r="D2693">
        <f>IF(Skills!C8=1,60+Inputs!$B$25+Inputs!$B$29,IF(Skills!C8=2,90+Inputs!$B$26+Inputs!$B$29,IF(Skills!C8=3,120+Inputs!$B$27+Inputs!$B$29,MAX(0,(Inputs!$B$3-100)*3)+Inputs!$B$28+Inputs!$B$29)))</f>
        <v/>
      </c>
      <c r="E2693">
        <f>INDEX(FactorTable!$B$2:$Y$301, MATCH(ROUND(MIN(300,MAX(1,D2693)),0), FactorTable!$A$2:$A$301,0), Skills!M8+1)</f>
        <v/>
      </c>
      <c r="F2693">
        <f>IF(Skills!N8=TRUE,(Skills!L8/10)*(E2693/1000),Skills!L8/10)+Skills!O8</f>
        <v/>
      </c>
      <c r="G2693">
        <f>Skills!G8*IF(Skills!H8&gt;0,Skills!I8/Skills!H8,1)</f>
        <v/>
      </c>
      <c r="H2693">
        <f>1-(1-Skills!J8/100)^Skills!K8</f>
        <v/>
      </c>
      <c r="I2693" t="inlineStr">
        <is>
          <t>1</t>
        </is>
      </c>
      <c r="J2693">
        <f>((Inputs!$B$6*(1+Inputs!$B$7/100))+(((Inputs!$B$12*(1+Inputs!$B$13/100))-(Inputs!$B$12*(1+Inputs!$B$13/100)))+0.25*(Inputs!$B$14-Inputs!$B$14))*(1+Inputs!$B$7/100))*(F2693/100)</f>
        <v/>
      </c>
      <c r="K2693">
        <f>J2693*(1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2693)</f>
        <v/>
      </c>
      <c r="L2693">
        <f>K2693*(MIN(Inputs!$B$22+((C2707=TRUE)*(F2707-Calc!F22)),(Inputs!$B$23+((C2709=TRUE)*(F2709-Calc!F24))+(IF(ArtifactsInput!$M$15,CHOOSE(ArtifactsInput!$N$15+1,25,30,35,40,45,50)/100*(Inputs!$B$11-Inputs!$B$11),0))))/100+(Inputs!$B$23+((C2709=TRUE)*(F2709-Calc!F24))+(IF(ArtifactsInput!$M$15,CHOOSE(ArtifactsInput!$N$15+1,25,30,35,40,45,50)/100*(Inputs!$B$11-Inputs!$B$11),0)))/100)/2</f>
        <v/>
      </c>
      <c r="M2693">
        <f>L2693*(1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3">
        <f>L2693*(1-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2693*(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3">
        <f>(1-Summary!$B$11)*T2693+Summary!$B$11*V2693</f>
        <v/>
      </c>
      <c r="P2693">
        <f>IF(B2722=0,0,O2693/B2722)</f>
        <v/>
      </c>
      <c r="Q2693">
        <f>IFERROR(1/(IF(Inputs!$B$38="pvp",15,MAX(0.1,Skills!D8-IF(Skills!E8=TRUE,2.0,0)))*(1-IF(AND(ArtifactsInput!$M$27,Inputs!$B$4="Chapter Hunt"),CHOOSE(ArtifactsInput!$N$27+1,20,24,28,32,36,40),0)/100)),0)</f>
        <v/>
      </c>
      <c r="R2693">
        <f>IF(AND(Inputs!$B$38&lt;&gt;"pvp",Inputs!$B$43&gt;0),IF(MAX(0,Inputs!$B$43-B2719)&lt;=0,0,(INT(MAX(0,Inputs!$B$43-B2719)/(IF(Inputs!$B$38="pvp",15,MAX(0.1,Skills!D8-IF(Skills!E8=TRUE,2.0,0)))*(1-IF(AND(ArtifactsInput!$M$27,Inputs!$B$4="Chapter Hunt"),CHOOSE(ArtifactsInput!$N$27+1,20,24,28,32,36,40),0)/100)))+1)),0)</f>
        <v/>
      </c>
      <c r="S2693">
        <f>IFERROR(O2693/N2693,0)</f>
        <v/>
      </c>
      <c r="T2693">
        <f>IF(C2693,(H2693*N2693*IF(AND(Inputs!$B$38&lt;&gt;"pvp",Inputs!$B$43&gt;0),((Skills!G8*((R2693-1)*IF(Skills!H8&gt;0,Skills!I8/Skills!H8,1)+IF(Skills!H8&gt;0,MIN(Skills!I8,MAX(0,MAX(0,Inputs!$B$43-B2719)-((R2693-1)*(IF(Inputs!$B$38="pvp",15,MAX(0.1,Skills!D8-IF(Skills!E8=TRUE,2.0,0)))*(1-IF(AND(ArtifactsInput!$M$27,Inputs!$B$4="Chapter Hunt"),CHOOSE(ArtifactsInput!$N$27+1,20,24,28,32,36,40),0)/100)))))/Skills!H8,1)))/Inputs!$B$43),G2693*Q2693)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2693*(1-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2693*(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2693*(1-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2693*(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3">
        <f>IF(C2693,(H2693*N2693*IF(AND(Inputs!$B$38&lt;&gt;"pvp",Inputs!$B$43&gt;0),((Skills!G8*((R2693-1)*IF(Skills!H8&gt;0,Skills!I8/Skills!H8,1)+IF(Skills!H8&gt;0,MIN(Skills!I8,MAX(0,MAX(0,Inputs!$B$43-B2719)-((R2693-1)*(IF(Inputs!$B$38="pvp",15,MAX(0.1,Skills!D8-IF(Skills!E8=TRUE,2.0,0)))*(1-IF(AND(ArtifactsInput!$M$27,Inputs!$B$4="Chapter Hunt"),CHOOSE(ArtifactsInput!$N$27+1,20,24,28,32,36,40),0)/100)))))/Skills!H8,1)))/Inputs!$B$43),G2693*Q2693))*IF(Inputs!$B$38="pvp",1,(1+(Inputs!$B$21+Skills!Q8+(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4">
      <c r="A2694">
        <f>Skills!A9</f>
        <v/>
      </c>
      <c r="B2694">
        <f>Skills!B9</f>
        <v/>
      </c>
      <c r="C2694">
        <f>Inputs!$B$3&gt;=125</f>
        <v/>
      </c>
      <c r="D2694">
        <f>IF(Skills!C9=1,60+Inputs!$B$25+Inputs!$B$29,IF(Skills!C9=2,90+Inputs!$B$26+Inputs!$B$29,IF(Skills!C9=3,120+Inputs!$B$27+Inputs!$B$29,MAX(0,(Inputs!$B$3-100)*3)+Inputs!$B$28+Inputs!$B$29)))</f>
        <v/>
      </c>
      <c r="E2694">
        <f>INDEX(FactorTable!$B$2:$Y$301, MATCH(ROUND(MIN(300,MAX(1,D2694)),0), FactorTable!$A$2:$A$301,0), Skills!M9+1)</f>
        <v/>
      </c>
      <c r="F2694">
        <f>IF(Skills!N9=TRUE,(Skills!L9/10)*(E2694/1000),Skills!L9/10)+Skills!O9</f>
        <v/>
      </c>
      <c r="G2694">
        <f>Skills!G9*IF(Skills!H9&gt;0,Skills!I9/Skills!H9,1)</f>
        <v/>
      </c>
      <c r="H2694">
        <f>1-(1-Skills!J9/100)^Skills!K9</f>
        <v/>
      </c>
      <c r="I2694" t="inlineStr">
        <is>
          <t>1</t>
        </is>
      </c>
      <c r="J2694">
        <f>((Inputs!$B$6*(1+Inputs!$B$7/100))+(((Inputs!$B$12*(1+Inputs!$B$13/100))-(Inputs!$B$12*(1+Inputs!$B$13/100)))+0.25*(Inputs!$B$14-Inputs!$B$14))*(1+Inputs!$B$7/100))*(F2694/100)</f>
        <v/>
      </c>
      <c r="K2694">
        <f>J2694*(1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2694)</f>
        <v/>
      </c>
      <c r="L2694">
        <f>K2694*(MIN(Inputs!$B$22+((C2707=TRUE)*(F2707-Calc!F22)),(Inputs!$B$23+((C2709=TRUE)*(F2709-Calc!F24))+(IF(ArtifactsInput!$M$15,CHOOSE(ArtifactsInput!$N$15+1,25,30,35,40,45,50)/100*(Inputs!$B$11-Inputs!$B$11),0))))/100+(Inputs!$B$23+((C2709=TRUE)*(F2709-Calc!F24))+(IF(ArtifactsInput!$M$15,CHOOSE(ArtifactsInput!$N$15+1,25,30,35,40,45,50)/100*(Inputs!$B$11-Inputs!$B$11),0)))/100)/2</f>
        <v/>
      </c>
      <c r="M2694">
        <f>L2694*(1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4">
        <f>L2694*(1-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2694*(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4">
        <f>(1-Summary!$B$11)*T2694+Summary!$B$11*V2694</f>
        <v/>
      </c>
      <c r="P2694">
        <f>IF(B2722=0,0,O2694/B2722)</f>
        <v/>
      </c>
      <c r="Q2694">
        <f>IFERROR(1/(IF(Inputs!$B$38="pvp",15,MAX(0.1,Skills!D9-IF(Skills!E9=TRUE,2.0,0)))*(1-IF(AND(ArtifactsInput!$M$27,Inputs!$B$4="Chapter Hunt"),CHOOSE(ArtifactsInput!$N$27+1,20,24,28,32,36,40),0)/100)),0)</f>
        <v/>
      </c>
      <c r="R2694">
        <f>IF(AND(Inputs!$B$38&lt;&gt;"pvp",Inputs!$B$43&gt;0),IF(MAX(0,Inputs!$B$43-B2719)&lt;=0,0,(INT(MAX(0,Inputs!$B$43-B2719)/(IF(Inputs!$B$38="pvp",15,MAX(0.1,Skills!D9-IF(Skills!E9=TRUE,2.0,0)))*(1-IF(AND(ArtifactsInput!$M$27,Inputs!$B$4="Chapter Hunt"),CHOOSE(ArtifactsInput!$N$27+1,20,24,28,32,36,40),0)/100)))+1)),0)</f>
        <v/>
      </c>
      <c r="S2694">
        <f>IFERROR(O2694/N2694,0)</f>
        <v/>
      </c>
      <c r="T2694">
        <f>IF(C2694,(H2694*N2694*IF(AND(Inputs!$B$38&lt;&gt;"pvp",Inputs!$B$43&gt;0),((Skills!G9*((R2694-1)*IF(Skills!H9&gt;0,Skills!I9/Skills!H9,1)+IF(Skills!H9&gt;0,MIN(Skills!I9,MAX(0,MAX(0,Inputs!$B$43-B2719)-((R2694-1)*(IF(Inputs!$B$38="pvp",15,MAX(0.1,Skills!D9-IF(Skills!E9=TRUE,2.0,0)))*(1-IF(AND(ArtifactsInput!$M$27,Inputs!$B$4="Chapter Hunt"),CHOOSE(ArtifactsInput!$N$27+1,20,24,28,32,36,40),0)/100)))))/Skills!H9,1)))/Inputs!$B$43),G2694*Q2694)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2694*(1-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2694*(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2694*(1-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2694*(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4">
        <f>IF(C2694,(H2694*N2694*IF(AND(Inputs!$B$38&lt;&gt;"pvp",Inputs!$B$43&gt;0),((Skills!G9*((R2694-1)*IF(Skills!H9&gt;0,Skills!I9/Skills!H9,1)+IF(Skills!H9&gt;0,MIN(Skills!I9,MAX(0,MAX(0,Inputs!$B$43-B2719)-((R2694-1)*(IF(Inputs!$B$38="pvp",15,MAX(0.1,Skills!D9-IF(Skills!E9=TRUE,2.0,0)))*(1-IF(AND(ArtifactsInput!$M$27,Inputs!$B$4="Chapter Hunt"),CHOOSE(ArtifactsInput!$N$27+1,20,24,28,32,36,40),0)/100)))))/Skills!H9,1)))/Inputs!$B$43),G2694*Q2694))*IF(Inputs!$B$38="pvp",1,(1+(Inputs!$B$21+Skills!Q9+(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5">
      <c r="A2695">
        <f>Skills!A10</f>
        <v/>
      </c>
      <c r="B2695">
        <f>Skills!B10</f>
        <v/>
      </c>
      <c r="C2695">
        <f>Inputs!$B$3&gt;=117</f>
        <v/>
      </c>
      <c r="D2695">
        <f>IF(Skills!C10=1,60+Inputs!$B$25+Inputs!$B$29,IF(Skills!C10=2,90+Inputs!$B$26+Inputs!$B$29,IF(Skills!C10=3,120+Inputs!$B$27+Inputs!$B$29,MAX(0,(Inputs!$B$3-100)*3)+Inputs!$B$28+Inputs!$B$29)))</f>
        <v/>
      </c>
      <c r="E2695">
        <f>INDEX(FactorTable!$B$2:$Y$301, MATCH(ROUND(MIN(300,MAX(1,D2695)),0), FactorTable!$A$2:$A$301,0), Skills!M10+1)</f>
        <v/>
      </c>
      <c r="F2695">
        <f>IF(Skills!N10=TRUE,(Skills!L10/10)*(E2695/1000),Skills!L10/10)+Skills!O10</f>
        <v/>
      </c>
      <c r="G2695">
        <f>Skills!G10*IF(Skills!H10&gt;0,Skills!I10/Skills!H10,1)</f>
        <v/>
      </c>
      <c r="H2695">
        <f>1-(1-Skills!J10/100)^Skills!K10</f>
        <v/>
      </c>
      <c r="I2695" t="inlineStr">
        <is>
          <t>1</t>
        </is>
      </c>
      <c r="J2695">
        <f>((Inputs!$B$6*(1+Inputs!$B$7/100))+(((Inputs!$B$12*(1+Inputs!$B$13/100))-(Inputs!$B$12*(1+Inputs!$B$13/100)))+0.25*(Inputs!$B$14-Inputs!$B$14))*(1+Inputs!$B$7/100))*(F2695/100)</f>
        <v/>
      </c>
      <c r="K2695">
        <f>J2695*(1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2695)</f>
        <v/>
      </c>
      <c r="L2695">
        <f>K2695*(MIN(Inputs!$B$22+((C2707=TRUE)*(F2707-Calc!F22)),(Inputs!$B$23+((C2709=TRUE)*(F2709-Calc!F24))+(IF(ArtifactsInput!$M$15,CHOOSE(ArtifactsInput!$N$15+1,25,30,35,40,45,50)/100*(Inputs!$B$11-Inputs!$B$11),0))))/100+(Inputs!$B$23+((C2709=TRUE)*(F2709-Calc!F24))+(IF(ArtifactsInput!$M$15,CHOOSE(ArtifactsInput!$N$15+1,25,30,35,40,45,50)/100*(Inputs!$B$11-Inputs!$B$11),0)))/100)/2</f>
        <v/>
      </c>
      <c r="M2695">
        <f>L2695*(1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5">
        <f>L2695*(1-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2695*(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5">
        <f>(1-Summary!$B$11)*T2695+Summary!$B$11*V2695</f>
        <v/>
      </c>
      <c r="P2695">
        <f>IF(B2722=0,0,O2695/B2722)</f>
        <v/>
      </c>
      <c r="Q2695">
        <f>IFERROR(1/(IF(Inputs!$B$38="pvp",15,MAX(0.1,Skills!D10-IF(Skills!E10=TRUE,2.0,0)))*(1-IF(AND(ArtifactsInput!$M$27,Inputs!$B$4="Chapter Hunt"),CHOOSE(ArtifactsInput!$N$27+1,20,24,28,32,36,40),0)/100)),0)</f>
        <v/>
      </c>
      <c r="R2695">
        <f>IF(AND(Inputs!$B$38&lt;&gt;"pvp",Inputs!$B$43&gt;0),IF(MAX(0,Inputs!$B$43-B2719)&lt;=0,0,(INT(MAX(0,Inputs!$B$43-B2719)/(IF(Inputs!$B$38="pvp",15,MAX(0.1,Skills!D10-IF(Skills!E10=TRUE,2.0,0)))*(1-IF(AND(ArtifactsInput!$M$27,Inputs!$B$4="Chapter Hunt"),CHOOSE(ArtifactsInput!$N$27+1,20,24,28,32,36,40),0)/100)))+1)),0)</f>
        <v/>
      </c>
      <c r="S2695">
        <f>IFERROR(O2695/N2695,0)</f>
        <v/>
      </c>
      <c r="T2695">
        <f>IF(C2695,(H2695*N2695*IF(AND(Inputs!$B$38&lt;&gt;"pvp",Inputs!$B$43&gt;0),((Skills!G10*((R2695-1)*IF(Skills!H10&gt;0,Skills!I10/Skills!H10,1)+IF(Skills!H10&gt;0,MIN(Skills!I10,MAX(0,MAX(0,Inputs!$B$43-B2719)-((R2695-1)*(IF(Inputs!$B$38="pvp",15,MAX(0.1,Skills!D10-IF(Skills!E10=TRUE,2.0,0)))*(1-IF(AND(ArtifactsInput!$M$27,Inputs!$B$4="Chapter Hunt"),CHOOSE(ArtifactsInput!$N$27+1,20,24,28,32,36,40),0)/100)))))/Skills!H10,1)))/Inputs!$B$43),G2695*Q2695)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2695*(1-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2695*(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2695*(1-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2695*(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5">
        <f>IF(C2695,(H2695*N2695*IF(AND(Inputs!$B$38&lt;&gt;"pvp",Inputs!$B$43&gt;0),((Skills!G10*((R2695-1)*IF(Skills!H10&gt;0,Skills!I10/Skills!H10,1)+IF(Skills!H10&gt;0,MIN(Skills!I10,MAX(0,MAX(0,Inputs!$B$43-B2719)-((R2695-1)*(IF(Inputs!$B$38="pvp",15,MAX(0.1,Skills!D10-IF(Skills!E10=TRUE,2.0,0)))*(1-IF(AND(ArtifactsInput!$M$27,Inputs!$B$4="Chapter Hunt"),CHOOSE(ArtifactsInput!$N$27+1,20,24,28,32,36,40),0)/100)))))/Skills!H10,1)))/Inputs!$B$43),G2695*Q2695))*IF(Inputs!$B$38="pvp",1,(1+(Inputs!$B$21+Skills!Q10+(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6">
      <c r="A2696">
        <f>Skills!A11</f>
        <v/>
      </c>
      <c r="B2696">
        <f>Skills!B11</f>
        <v/>
      </c>
      <c r="C2696">
        <f>Inputs!$B$3&gt;=63</f>
        <v/>
      </c>
      <c r="D2696">
        <f>IF(Skills!C11=1,60+Inputs!$B$25+Inputs!$B$29,IF(Skills!C11=2,90+Inputs!$B$26+Inputs!$B$29,IF(Skills!C11=3,120+Inputs!$B$27+Inputs!$B$29,MAX(0,(Inputs!$B$3-100)*3)+Inputs!$B$28+Inputs!$B$29)))</f>
        <v/>
      </c>
      <c r="E2696">
        <f>INDEX(FactorTable!$B$2:$Y$301, MATCH(ROUND(MIN(300,MAX(1,D2696)),0), FactorTable!$A$2:$A$301,0), Skills!M11+1)</f>
        <v/>
      </c>
      <c r="F2696">
        <f>IF(Skills!N11=TRUE,(Skills!L11/10)*(E2696/1000),Skills!L11/10)+Skills!O11</f>
        <v/>
      </c>
      <c r="G2696">
        <f>Skills!G11*IF(Skills!H11&gt;0,Skills!I11/Skills!H11,1)</f>
        <v/>
      </c>
      <c r="H2696">
        <f>1-(1-Skills!J11/100)^Skills!K11</f>
        <v/>
      </c>
      <c r="I2696" t="inlineStr">
        <is>
          <t>1</t>
        </is>
      </c>
      <c r="J2696">
        <f>((Inputs!$B$6*(1+Inputs!$B$7/100))+(((Inputs!$B$12*(1+Inputs!$B$13/100))-(Inputs!$B$12*(1+Inputs!$B$13/100)))+0.25*(Inputs!$B$14-Inputs!$B$14))*(1+Inputs!$B$7/100))*(F2696/100)</f>
        <v/>
      </c>
      <c r="K2696">
        <f>J2696*(1+((Inputs!$B$12*(1+Inputs!$B$13/100))*0.01+Inputs!$B$14*0.0025)/100)*(1+Inputs!$B$15/100)*(1+Inputs!$B$16/100)*(5000/(6000+Inputs!$B$42*(1-(Inputs!$B$19+0)/100)))*(1+(Inputs!$B$24+0+B2718)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2697=TRUE,F2697,0)/100)*(1+(IF(Skills!A11="BLAST",Inputs!$B$17+((C2706=TRUE)*(F2706-Calc!F21))+((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MIN(100,((Inputs!$B$9+0+B2712+(ArtifactsInput!$M$24-ArtifactsInput!$M$24)*CHOOSE(ArtifactsInput!$N$24+1,10,12,14,16,18,20)+IF(ArtifactsInput!$M$10,CHOOSE(ArtifactsInput!$N$10+1,15,18,21,24,27,30)*(IF(Inputs!$B$38="pvp",MIN(15,15)/15,IF(AND(Inputs!$B$38&lt;&gt;"pvp",Inputs!$B$43&gt;0),MIN(15,Inputs!$B$43)/(Inputs!$B$43),0))),0)))-100),0))*CHOOSE(ArtifactsInput!$N$42+1,0.6,0.72,0.84,0.96,1.08,1.2))),Inputs!$B$18+((C2708=TRUE)*(F2708-Calc!F23))+(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gt;=100),CHOOSE(ArtifactsInput!$N$42+1,40,48,56,64,72,80),0))))/100)*((1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2696)</f>
        <v/>
      </c>
      <c r="L2696">
        <f>K2696*(MIN(Inputs!$B$22+((C2707=TRUE)*(F2707-Calc!F22)),(Inputs!$B$23+((C2709=TRUE)*(F2709-Calc!F24))+(IF(ArtifactsInput!$M$15,CHOOSE(ArtifactsInput!$N$15+1,25,30,35,40,45,50)/100*(Inputs!$B$11-Inputs!$B$11),0))))/100+(Inputs!$B$23+((C2709=TRUE)*(F2709-Calc!F24))+(IF(ArtifactsInput!$M$15,CHOOSE(ArtifactsInput!$N$15+1,25,30,35,40,45,50)/100*(Inputs!$B$11-Inputs!$B$11),0)))/100)/2</f>
        <v/>
      </c>
      <c r="M2696">
        <f>L2696*(1+(Inputs!$B$10+0+B2717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6">
        <f>L2696*(1-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2696*(MIN((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6">
        <f>(1-Summary!$B$11)*T2696+Summary!$B$11*V2696</f>
        <v/>
      </c>
      <c r="P2696">
        <f>IF(B2722=0,0,O2696/B2722)</f>
        <v/>
      </c>
      <c r="Q2696">
        <f>IFERROR(1/(IF(Inputs!$B$38="pvp",15,MAX(0.1,Skills!D11-IF(Skills!E11=TRUE,2.0,0)))*(1-IF(AND(ArtifactsInput!$M$27,Inputs!$B$4="Chapter Hunt"),CHOOSE(ArtifactsInput!$N$27+1,20,24,28,32,36,40),0)/100)),0)</f>
        <v/>
      </c>
      <c r="R2696">
        <f>IF(AND(Inputs!$B$38&lt;&gt;"pvp",Inputs!$B$43&gt;0),IF(MAX(0,Inputs!$B$43-B2719)&lt;=0,0,(INT(MAX(0,Inputs!$B$43-B2719)/(IF(Inputs!$B$38="pvp",15,MAX(0.1,Skills!D11-IF(Skills!E11=TRUE,2.0,0)))*(1-IF(AND(ArtifactsInput!$M$27,Inputs!$B$4="Chapter Hunt"),CHOOSE(ArtifactsInput!$N$27+1,20,24,28,32,36,40),0)/100)))+1)),0)</f>
        <v/>
      </c>
      <c r="S2696">
        <f>IFERROR(O2696/N2696,0)</f>
        <v/>
      </c>
      <c r="T2696">
        <f>IF(C2696,(H2696*N2696*IF(AND(Inputs!$B$38&lt;&gt;"pvp",Inputs!$B$43&gt;0),((Skills!G11*((R2696-1)*IF(Skills!H11&gt;0,Skills!I11/Skills!H11,1)+IF(Skills!H11&gt;0,MIN(Skills!I11,MAX(0,MAX(0,Inputs!$B$43-B2719)-((R2696-1)*(IF(Inputs!$B$38="pvp",15,MAX(0.1,Skills!D11-IF(Skills!E11=TRUE,2.0,0)))*(1-IF(AND(ArtifactsInput!$M$27,Inputs!$B$4="Chapter Hunt"),CHOOSE(ArtifactsInput!$N$27+1,20,24,28,32,36,40),0)/100)))))/Skills!H11,1)))/Inputs!$B$43),G2696*Q2696)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2696*(1-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2696*(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2696*(1-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2696*(MIN(100,(Inputs!$B$9+0+B2712+(ArtifactsInput!$M$24-ArtifactsInput!$M$24)*CHOOSE(ArtifactsInput!$N$24+1,10,12,14,16,18,20)+(IF(AND(Inputs!$B$38&lt;&gt;"pvp",Inputs!$B$43=0),1,IF(IF(Inputs!$B$38="pvp",15,Inputs!$B$43)-(B2719)&lt;=0,1,MAX(0,IF(Inputs!$B$38="pvp",15,Inputs!$B$43)-MAX(5,B2719))/(IF(Inputs!$B$38="pvp",15,Inputs!$B$43)-(B2719))))*IF(AND(ArtifactsInput!$M$42,((Inputs!$B$9+0+B2712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6">
        <f>IF(C2696,(H2696*N2696*IF(AND(Inputs!$B$38&lt;&gt;"pvp",Inputs!$B$43&gt;0),((Skills!G11*((R2696-1)*IF(Skills!H11&gt;0,Skills!I11/Skills!H11,1)+IF(Skills!H11&gt;0,MIN(Skills!I11,MAX(0,MAX(0,Inputs!$B$43-B2719)-((R2696-1)*(IF(Inputs!$B$38="pvp",15,MAX(0.1,Skills!D11-IF(Skills!E11=TRUE,2.0,0)))*(1-IF(AND(ArtifactsInput!$M$27,Inputs!$B$4="Chapter Hunt"),CHOOSE(ArtifactsInput!$N$27+1,20,24,28,32,36,40),0)/100)))))/Skills!H11,1)))/Inputs!$B$43),G2696*Q2696))*IF(Inputs!$B$38="pvp",1,(1+(Inputs!$B$21+Skills!Q11+(IF(ArtifactsInput!$M$33,CHOOSE(ArtifactsInput!$N$33+1,30,36,42,48,54,60),0))+(IF(AND(ArtifactsInput!$M$35,Inputs!$B$4&lt;&gt;"Chapter Hunt"),CHOOSE(ArtifactsInput!$N$35+1,15,18,21,24,27,30)*(1-EXP(-(0.2*B2714)*5)),0)+IF(AND(ArtifactsInput!$M$22,Inputs!$B$4&lt;&gt;"Chapter Hunt"),CHOOSE(ArtifactsInput!$N$22+1,10,12,14,16,18,20)*((0*(((0.15*B2714*5))^0/1)+1*(((0.15*B2714*5))^1/1)+2*(((0.15*B2714*5))^2/2)+3*(((0.15*B2714*5))^3/6)+4*(((0.15*B2714*5))^4/24)+5*(((0.15*B2714*5))^5/120))/((((0.15*B2714*5))^0/1)+(((0.15*B2714*5))^1/1)+(((0.15*B2714*5))^2/2)+(((0.15*B2714*5))^3/6)+(((0.15*B2714*5))^4/24)+(((0.15*B2714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7">
      <c r="A2697">
        <f>Skills!A12</f>
        <v/>
      </c>
      <c r="B2697">
        <f>Skills!B12</f>
        <v/>
      </c>
      <c r="C2697">
        <f>Inputs!$B$3&gt;=100</f>
        <v/>
      </c>
      <c r="D2697">
        <f>IF(Skills!C12=1,60+Inputs!$B$25+Inputs!$B$29,IF(Skills!C12=2,90+Inputs!$B$26+Inputs!$B$29,IF(Skills!C12=3,120+Inputs!$B$27+Inputs!$B$29,MAX(0,(Inputs!$B$3-100)*3)+Inputs!$B$28+Inputs!$B$29)))</f>
        <v/>
      </c>
      <c r="E2697">
        <f>INDEX(FactorTable!$B$2:$Y$301, MATCH(ROUND(MIN(300,MAX(1,D2697)),0), FactorTable!$A$2:$A$301,0), Skills!M12+1)</f>
        <v/>
      </c>
      <c r="F2697">
        <f>IF(Skills!N12=TRUE,(Skills!L12/10)*(E2697/1000),Skills!L12/10)+Skills!O12</f>
        <v/>
      </c>
      <c r="G2697" t="inlineStr"/>
      <c r="H2697" t="inlineStr"/>
      <c r="I2697" t="inlineStr">
        <is>
          <t>1</t>
        </is>
      </c>
      <c r="J2697" t="inlineStr"/>
      <c r="K2697" t="inlineStr"/>
      <c r="L2697" t="inlineStr"/>
      <c r="M2697" t="inlineStr"/>
      <c r="N2697" t="inlineStr"/>
      <c r="O2697" t="inlineStr"/>
      <c r="P2697" t="inlineStr"/>
      <c r="Q2697" t="inlineStr"/>
      <c r="R2697" t="inlineStr"/>
      <c r="S2697" t="inlineStr"/>
    </row>
    <row r="2698">
      <c r="A2698">
        <f>Skills!A13</f>
        <v/>
      </c>
      <c r="B2698">
        <f>Skills!B13</f>
        <v/>
      </c>
      <c r="C2698">
        <f>Inputs!$B$3&gt;=45</f>
        <v/>
      </c>
      <c r="D2698">
        <f>IF(Skills!C13=1,60+Inputs!$B$25+Inputs!$B$29,IF(Skills!C13=2,90+Inputs!$B$26+Inputs!$B$29,IF(Skills!C13=3,120+Inputs!$B$27+Inputs!$B$29,MAX(0,(Inputs!$B$3-100)*3)+Inputs!$B$28+Inputs!$B$29)))</f>
        <v/>
      </c>
      <c r="E2698">
        <f>INDEX(FactorTable!$B$2:$Y$301, MATCH(ROUND(MIN(300,MAX(1,D2698)),0), FactorTable!$A$2:$A$301,0), Skills!M13+1)</f>
        <v/>
      </c>
      <c r="F2698">
        <f>IF(Skills!N13=TRUE,(Skills!L13/10)*(E2698/1000),Skills!L13/10)+Skills!O13</f>
        <v/>
      </c>
      <c r="G2698">
        <f>Skills!G13*IF(Skills!H13&gt;0,Skills!I13/Skills!H13,1)</f>
        <v/>
      </c>
      <c r="H2698">
        <f>1-(1-Skills!J13/100)^Skills!K13</f>
        <v/>
      </c>
      <c r="I2698" t="inlineStr">
        <is>
          <t>1</t>
        </is>
      </c>
      <c r="J2698" t="inlineStr"/>
      <c r="K2698" t="inlineStr"/>
      <c r="L2698" t="inlineStr"/>
      <c r="M2698" t="inlineStr"/>
      <c r="N2698" t="inlineStr"/>
      <c r="O2698">
        <f>(1-Summary!$B$11)*T2698+Summary!$B$11*V2698</f>
        <v/>
      </c>
      <c r="P2698">
        <f>IF(B2722=0,0,O2698/B2722)</f>
        <v/>
      </c>
      <c r="Q2698" t="n">
        <v>0</v>
      </c>
      <c r="R2698" t="n">
        <v>0</v>
      </c>
      <c r="S2698">
        <f>IFERROR(O2698/N2698,0)</f>
        <v/>
      </c>
      <c r="T2698" t="n">
        <v>0</v>
      </c>
      <c r="V2698" t="n">
        <v>0</v>
      </c>
    </row>
    <row r="2699">
      <c r="A2699">
        <f>Skills!A14</f>
        <v/>
      </c>
      <c r="B2699">
        <f>Skills!B14</f>
        <v/>
      </c>
      <c r="C2699">
        <f>Inputs!$B$3&gt;=110</f>
        <v/>
      </c>
      <c r="D2699">
        <f>IF(Skills!C14=1,60+Inputs!$B$25+Inputs!$B$29,IF(Skills!C14=2,90+Inputs!$B$26+Inputs!$B$29,IF(Skills!C14=3,120+Inputs!$B$27+Inputs!$B$29,MAX(0,(Inputs!$B$3-100)*3)+Inputs!$B$28+Inputs!$B$29)))</f>
        <v/>
      </c>
      <c r="E2699">
        <f>INDEX(FactorTable!$B$2:$Y$301, MATCH(ROUND(MIN(300,MAX(1,D2699)),0), FactorTable!$A$2:$A$301,0), Skills!M14+1)</f>
        <v/>
      </c>
      <c r="F2699">
        <f>IF(Skills!N14=TRUE,(Skills!L14/10)*(E2699/1000),Skills!L14/10)+Skills!O14</f>
        <v/>
      </c>
      <c r="G2699">
        <f>Skills!G14*IF(Skills!H14&gt;0,Skills!I14/Skills!H14,1)</f>
        <v/>
      </c>
      <c r="H2699">
        <f>1-(1-Skills!J14/100)^Skills!K14</f>
        <v/>
      </c>
      <c r="I2699" t="inlineStr">
        <is>
          <t>1</t>
        </is>
      </c>
      <c r="J2699" t="inlineStr"/>
      <c r="K2699" t="inlineStr"/>
      <c r="L2699" t="inlineStr"/>
      <c r="M2699" t="inlineStr"/>
      <c r="N2699" t="inlineStr"/>
      <c r="O2699">
        <f>(1-Summary!$B$11)*T2699+Summary!$B$11*V2699</f>
        <v/>
      </c>
      <c r="P2699">
        <f>IF(B2722=0,0,O2699/B2722)</f>
        <v/>
      </c>
      <c r="Q2699" t="n">
        <v>0</v>
      </c>
      <c r="R2699" t="n">
        <v>0</v>
      </c>
      <c r="S2699">
        <f>IFERROR(O2699/N2699,0)</f>
        <v/>
      </c>
      <c r="T2699" t="n">
        <v>0</v>
      </c>
      <c r="V2699" t="n">
        <v>0</v>
      </c>
    </row>
    <row r="2700">
      <c r="A2700">
        <f>Skills!A15</f>
        <v/>
      </c>
      <c r="B2700">
        <f>Skills!B15</f>
        <v/>
      </c>
      <c r="C2700">
        <f>Inputs!$B$3&gt;=75</f>
        <v/>
      </c>
      <c r="D2700">
        <f>IF(Skills!C15=1,60+Inputs!$B$25+Inputs!$B$29,IF(Skills!C15=2,90+Inputs!$B$26+Inputs!$B$29,IF(Skills!C15=3,120+Inputs!$B$27+Inputs!$B$29,MAX(0,(Inputs!$B$3-100)*3)+Inputs!$B$28+Inputs!$B$29)))</f>
        <v/>
      </c>
      <c r="E2700">
        <f>INDEX(FactorTable!$B$2:$Y$301, MATCH(ROUND(MIN(300,MAX(1,D2700)),0), FactorTable!$A$2:$A$301,0), Skills!M15+1)</f>
        <v/>
      </c>
      <c r="F2700">
        <f>IF(Skills!N15=TRUE,(Skills!L15/10)*(E2700/1000),Skills!L15/10)+Skills!O15</f>
        <v/>
      </c>
      <c r="G2700">
        <f>Skills!G15*IF(Skills!H15&gt;0,Skills!I15/Skills!H15,1)</f>
        <v/>
      </c>
      <c r="H2700">
        <f>1-(1-Skills!J15/100)^Skills!K15</f>
        <v/>
      </c>
      <c r="I2700" t="inlineStr">
        <is>
          <t>1</t>
        </is>
      </c>
      <c r="J2700" t="inlineStr"/>
      <c r="K2700" t="inlineStr"/>
      <c r="L2700" t="inlineStr"/>
      <c r="M2700" t="inlineStr"/>
      <c r="N2700" t="inlineStr"/>
      <c r="O2700">
        <f>(1-Summary!$B$11)*T2700+Summary!$B$11*V2700</f>
        <v/>
      </c>
      <c r="P2700">
        <f>IF(B2722=0,0,O2700/B2722)</f>
        <v/>
      </c>
      <c r="Q2700">
        <f>IFERROR(1/(IF(Inputs!$B$38="pvp",15,MAX(0.1,Skills!D15-IF(Skills!E15=TRUE,2.0,0)))*(1-IF(AND(ArtifactsInput!$M$27,Inputs!$B$4="Chapter Hunt"),CHOOSE(ArtifactsInput!$N$27+1,20,24,28,32,36,40),0)/100)),0)</f>
        <v/>
      </c>
      <c r="R2700">
        <f>IF(AND(Inputs!$B$38&lt;&gt;"pvp",Inputs!$B$43&gt;0),IF(Inputs!$B$43&lt;=0,0,(INT(Inputs!$B$43/(IF(Inputs!$B$38="pvp",15,MAX(0.1,Skills!D15-IF(Skills!E15=TRUE,2.0,0)))*(1-IF(AND(ArtifactsInput!$M$27,Inputs!$B$4="Chapter Hunt"),CHOOSE(ArtifactsInput!$N$27+1,20,24,28,32,36,40),0)/100)))+1)),0)</f>
        <v/>
      </c>
      <c r="S2700">
        <f>IFERROR(O2700/N2700,0)</f>
        <v/>
      </c>
      <c r="T2700" t="n">
        <v>0</v>
      </c>
      <c r="V2700" t="n">
        <v>0</v>
      </c>
    </row>
    <row r="2701">
      <c r="A2701">
        <f>Skills!A16</f>
        <v/>
      </c>
      <c r="B2701">
        <f>Skills!B16</f>
        <v/>
      </c>
      <c r="C2701">
        <f>Inputs!$B$3&gt;=105</f>
        <v/>
      </c>
      <c r="D2701">
        <f>IF(Skills!C16=1,60+Inputs!$B$25+Inputs!$B$29,IF(Skills!C16=2,90+Inputs!$B$26+Inputs!$B$29,IF(Skills!C16=3,120+Inputs!$B$27+Inputs!$B$29,MAX(0,(Inputs!$B$3-100)*3)+Inputs!$B$28+Inputs!$B$29)))</f>
        <v/>
      </c>
      <c r="E2701">
        <f>INDEX(FactorTable!$B$2:$Y$301, MATCH(ROUND(MIN(300,MAX(1,D2701)),0), FactorTable!$A$2:$A$301,0), Skills!M16+1)</f>
        <v/>
      </c>
      <c r="F2701">
        <f>IF(Skills!N16=TRUE,(Skills!L16/10)*(E2701/1000),Skills!L16/10)+Skills!O16</f>
        <v/>
      </c>
      <c r="G2701">
        <f>Skills!G16*IF(Skills!H16&gt;0,Skills!I16/Skills!H16,1)</f>
        <v/>
      </c>
      <c r="H2701">
        <f>1-(1-Skills!J16/100)^Skills!K16</f>
        <v/>
      </c>
      <c r="I2701" t="inlineStr">
        <is>
          <t>1</t>
        </is>
      </c>
      <c r="J2701" t="inlineStr"/>
      <c r="K2701" t="inlineStr"/>
      <c r="L2701" t="inlineStr"/>
      <c r="M2701" t="inlineStr"/>
      <c r="N2701" t="inlineStr"/>
      <c r="O2701">
        <f>(1-Summary!$B$11)*T2701+Summary!$B$11*V2701</f>
        <v/>
      </c>
      <c r="P2701">
        <f>IF(B2722=0,0,O2701/B2722)</f>
        <v/>
      </c>
      <c r="Q2701">
        <f>IFERROR(1/(IF(Inputs!$B$38="pvp",15,MAX(0.1,Skills!D16-IF(Skills!E16=TRUE,2.0,0)))*(1-IF(AND(ArtifactsInput!$M$27,Inputs!$B$4="Chapter Hunt"),CHOOSE(ArtifactsInput!$N$27+1,20,24,28,32,36,40),0)/100)),0)</f>
        <v/>
      </c>
      <c r="R2701">
        <f>IF(AND(Inputs!$B$38&lt;&gt;"pvp",Inputs!$B$43&gt;0),IF(Inputs!$B$43&lt;=0,0,(INT(Inputs!$B$43/(IF(Inputs!$B$38="pvp",15,MAX(0.1,Skills!D16-IF(Skills!E16=TRUE,2.0,0)))*(1-IF(AND(ArtifactsInput!$M$27,Inputs!$B$4="Chapter Hunt"),CHOOSE(ArtifactsInput!$N$27+1,20,24,28,32,36,40),0)/100)))+1)),0)</f>
        <v/>
      </c>
      <c r="S2701">
        <f>IFERROR(O2701/N2701,0)</f>
        <v/>
      </c>
      <c r="T2701" t="n">
        <v>0</v>
      </c>
      <c r="V2701" t="n">
        <v>0</v>
      </c>
    </row>
    <row r="2702">
      <c r="A2702">
        <f>Skills!A17</f>
        <v/>
      </c>
      <c r="B2702">
        <f>Skills!B17</f>
        <v/>
      </c>
      <c r="C2702">
        <f>Inputs!$B$3&gt;=115</f>
        <v/>
      </c>
      <c r="D2702">
        <f>IF(Skills!C17=1,60+Inputs!$B$25+Inputs!$B$29,IF(Skills!C17=2,90+Inputs!$B$26+Inputs!$B$29,IF(Skills!C17=3,120+Inputs!$B$27+Inputs!$B$29,MAX(0,(Inputs!$B$3-100)*3)+Inputs!$B$28+Inputs!$B$29)))</f>
        <v/>
      </c>
      <c r="E2702">
        <f>INDEX(FactorTable!$B$2:$Y$301, MATCH(ROUND(MIN(300,MAX(1,D2702)),0), FactorTable!$A$2:$A$301,0), Skills!M17+1)</f>
        <v/>
      </c>
      <c r="F2702">
        <f>IF(Skills!N17=TRUE,(Skills!L17/10)*(E2702/1000),Skills!L17/10)+Skills!O17</f>
        <v/>
      </c>
      <c r="G2702">
        <f>Skills!G17*IF(Skills!H17&gt;0,Skills!I17/Skills!H17,1)</f>
        <v/>
      </c>
      <c r="H2702">
        <f>1-(1-Skills!J17/100)^Skills!K17</f>
        <v/>
      </c>
      <c r="I2702" t="inlineStr">
        <is>
          <t>1</t>
        </is>
      </c>
      <c r="J2702" t="inlineStr"/>
      <c r="K2702" t="inlineStr"/>
      <c r="L2702" t="inlineStr"/>
      <c r="M2702" t="inlineStr"/>
      <c r="N2702" t="inlineStr"/>
      <c r="O2702">
        <f>(1-Summary!$B$11)*T2702+Summary!$B$11*V2702</f>
        <v/>
      </c>
      <c r="P2702">
        <f>IF(B2722=0,0,O2702/B2722)</f>
        <v/>
      </c>
      <c r="Q2702">
        <f>IFERROR(1/(IF(Inputs!$B$38="pvp",15,MAX(0.1,Skills!D17-IF(Skills!E17=TRUE,2.0,0)))*(1-IF(AND(ArtifactsInput!$M$27,Inputs!$B$4="Chapter Hunt"),CHOOSE(ArtifactsInput!$N$27+1,20,24,28,32,36,40),0)/100)),0)</f>
        <v/>
      </c>
      <c r="R2702">
        <f>IF(AND(Inputs!$B$38&lt;&gt;"pvp",Inputs!$B$43&gt;0),IF(Inputs!$B$43&lt;=0,0,(INT(Inputs!$B$43/(IF(Inputs!$B$38="pvp",15,MAX(0.1,Skills!D17-IF(Skills!E17=TRUE,2.0,0)))*(1-IF(AND(ArtifactsInput!$M$27,Inputs!$B$4="Chapter Hunt"),CHOOSE(ArtifactsInput!$N$27+1,20,24,28,32,36,40),0)/100)))+1)),0)</f>
        <v/>
      </c>
      <c r="S2702">
        <f>IFERROR(O2702/N2702,0)</f>
        <v/>
      </c>
      <c r="T2702" t="n">
        <v>0</v>
      </c>
      <c r="V2702" t="n">
        <v>0</v>
      </c>
    </row>
    <row r="2703">
      <c r="A2703">
        <f>Skills!A18</f>
        <v/>
      </c>
      <c r="B2703">
        <f>Skills!B18</f>
        <v/>
      </c>
      <c r="C2703">
        <f>Inputs!$B$3&gt;=74</f>
        <v/>
      </c>
      <c r="D2703">
        <f>IF(Skills!C18=1,60+Inputs!$B$25+Inputs!$B$29,IF(Skills!C18=2,90+Inputs!$B$26+Inputs!$B$29,IF(Skills!C18=3,120+Inputs!$B$27+Inputs!$B$29,MAX(0,(Inputs!$B$3-100)*3)+Inputs!$B$28+Inputs!$B$29)))</f>
        <v/>
      </c>
      <c r="E2703">
        <f>INDEX(FactorTable!$B$2:$Y$301, MATCH(ROUND(MIN(300,MAX(1,D2703)),0), FactorTable!$A$2:$A$301,0), Skills!M18+1)</f>
        <v/>
      </c>
      <c r="F2703">
        <f>IF(Skills!N18=TRUE,(Skills!L18/10)*(E2703/1000),Skills!L18/10)+Skills!O18</f>
        <v/>
      </c>
      <c r="G2703">
        <f>Skills!G18*IF(Skills!H18&gt;0,Skills!I18/Skills!H18,1)</f>
        <v/>
      </c>
      <c r="H2703">
        <f>1-(1-Skills!J18/100)^Skills!K18</f>
        <v/>
      </c>
      <c r="I2703" t="inlineStr">
        <is>
          <t>1</t>
        </is>
      </c>
      <c r="J2703" t="inlineStr"/>
      <c r="K2703" t="inlineStr"/>
      <c r="L2703" t="inlineStr"/>
      <c r="M2703" t="inlineStr"/>
      <c r="N2703" t="inlineStr"/>
      <c r="O2703">
        <f>(1-Summary!$B$11)*T2703+Summary!$B$11*V2703</f>
        <v/>
      </c>
      <c r="P2703">
        <f>IF(B2722=0,0,O2703/B2722)</f>
        <v/>
      </c>
      <c r="Q2703">
        <f>IFERROR(1/(IF(Inputs!$B$38="pvp",15,MAX(0.1,Skills!D18-IF(Skills!E18=TRUE,2.0,0)))*(1-IF(AND(ArtifactsInput!$M$27,Inputs!$B$4="Chapter Hunt"),CHOOSE(ArtifactsInput!$N$27+1,20,24,28,32,36,40),0)/100)),0)</f>
        <v/>
      </c>
      <c r="R2703">
        <f>IF(AND(Inputs!$B$38&lt;&gt;"pvp",Inputs!$B$43&gt;0),IF(Inputs!$B$43&lt;=0,0,(INT(Inputs!$B$43/(IF(Inputs!$B$38="pvp",15,MAX(0.1,Skills!D18-IF(Skills!E18=TRUE,2.0,0)))*(1-IF(AND(ArtifactsInput!$M$27,Inputs!$B$4="Chapter Hunt"),CHOOSE(ArtifactsInput!$N$27+1,20,24,28,32,36,40),0)/100)))+1)),0)</f>
        <v/>
      </c>
      <c r="S2703">
        <f>IFERROR(O2703/N2703,0)</f>
        <v/>
      </c>
      <c r="T2703" t="n">
        <v>0</v>
      </c>
      <c r="V2703" t="n">
        <v>0</v>
      </c>
    </row>
    <row r="2704">
      <c r="A2704">
        <f>Skills!A19</f>
        <v/>
      </c>
      <c r="B2704">
        <f>Skills!B19</f>
        <v/>
      </c>
      <c r="C2704">
        <f>TRUE</f>
        <v/>
      </c>
      <c r="D2704">
        <f>IF(Skills!C19=1,60+Inputs!$B$25+Inputs!$B$29,IF(Skills!C19=2,90+Inputs!$B$26+Inputs!$B$29,IF(Skills!C19=3,120+Inputs!$B$27+Inputs!$B$29,MAX(0,(Inputs!$B$3-100)*3)+Inputs!$B$28+Inputs!$B$29)))</f>
        <v/>
      </c>
      <c r="E2704">
        <f>INDEX(FactorTable!$B$2:$Y$301, MATCH(ROUND(MIN(300,MAX(1,D2704)),0), FactorTable!$A$2:$A$301,0), Skills!M19+1)</f>
        <v/>
      </c>
      <c r="F2704">
        <f>IF(Skills!N19=TRUE,(Skills!L19/10)*(E2704/1000),Skills!L19/10)+Skills!O19</f>
        <v/>
      </c>
      <c r="G2704">
        <f>Skills!G19*IF(Skills!H19&gt;0,Skills!I19/Skills!H19,1)</f>
        <v/>
      </c>
      <c r="H2704">
        <f>1-(1-Skills!J19/100)^Skills!K19</f>
        <v/>
      </c>
      <c r="I2704" t="inlineStr">
        <is>
          <t>1</t>
        </is>
      </c>
      <c r="J2704" t="inlineStr"/>
      <c r="K2704" t="inlineStr"/>
      <c r="L2704" t="inlineStr"/>
      <c r="M2704" t="inlineStr"/>
      <c r="N2704" t="inlineStr"/>
      <c r="O2704">
        <f>(1-Summary!$B$11)*T2704+Summary!$B$11*V2704</f>
        <v/>
      </c>
      <c r="P2704">
        <f>IF(B2722=0,0,O2704/B2722)</f>
        <v/>
      </c>
      <c r="Q2704">
        <f>IFERROR(1/(IF(Inputs!$B$38="pvp",15,MAX(0.1,Skills!D19-IF(Skills!E19=TRUE,2.0,0)))*(1-IF(AND(ArtifactsInput!$M$27,Inputs!$B$4="Chapter Hunt"),CHOOSE(ArtifactsInput!$N$27+1,20,24,28,32,36,40),0)/100)),0)</f>
        <v/>
      </c>
      <c r="R2704">
        <f>IF(AND(Inputs!$B$38&lt;&gt;"pvp",Inputs!$B$43&gt;0),IF(Inputs!$B$43&lt;=0,0,(INT(Inputs!$B$43/(IF(Inputs!$B$38="pvp",15,MAX(0.1,Skills!D19-IF(Skills!E19=TRUE,2.0,0)))*(1-IF(AND(ArtifactsInput!$M$27,Inputs!$B$4="Chapter Hunt"),CHOOSE(ArtifactsInput!$N$27+1,20,24,28,32,36,40),0)/100)))+1)),0)</f>
        <v/>
      </c>
      <c r="S2704">
        <f>IFERROR(O2704/N2704,0)</f>
        <v/>
      </c>
      <c r="T2704" t="n">
        <v>0</v>
      </c>
      <c r="V2704" t="n">
        <v>0</v>
      </c>
    </row>
    <row r="2705">
      <c r="A2705">
        <f>Skills!A20</f>
        <v/>
      </c>
      <c r="B2705">
        <f>Skills!B20</f>
        <v/>
      </c>
      <c r="C2705">
        <f>Inputs!$B$3&gt;=33</f>
        <v/>
      </c>
      <c r="D2705">
        <f>IF(Skills!C20=1,60+Inputs!$B$25+Inputs!$B$29,IF(Skills!C20=2,90+Inputs!$B$26+Inputs!$B$29,IF(Skills!C20=3,120+Inputs!$B$27+Inputs!$B$29,MAX(0,(Inputs!$B$3-100)*3)+Inputs!$B$28+Inputs!$B$29)))</f>
        <v/>
      </c>
      <c r="E2705">
        <f>INDEX(FactorTable!$B$2:$Y$301, MATCH(ROUND(MIN(300,MAX(1,D2705)),0), FactorTable!$A$2:$A$301,0), Skills!M20+1)</f>
        <v/>
      </c>
      <c r="F2705">
        <f>IF(Skills!N20=TRUE,(Skills!L20/10)*(E2705/1000),Skills!L20/10)+Skills!O20</f>
        <v/>
      </c>
      <c r="G2705">
        <f>Skills!G20*IF(Skills!H20&gt;0,Skills!I20/Skills!H20,1)</f>
        <v/>
      </c>
      <c r="H2705">
        <f>1-(1-Skills!J20/100)^Skills!K20</f>
        <v/>
      </c>
      <c r="I2705" t="inlineStr">
        <is>
          <t>1</t>
        </is>
      </c>
      <c r="J2705" t="inlineStr"/>
      <c r="K2705" t="inlineStr"/>
      <c r="L2705" t="inlineStr"/>
      <c r="M2705" t="inlineStr"/>
      <c r="N2705" t="inlineStr"/>
      <c r="O2705">
        <f>(1-Summary!$B$11)*T2705+Summary!$B$11*V2705</f>
        <v/>
      </c>
      <c r="P2705">
        <f>IF(B2722=0,0,O2705/B2722)</f>
        <v/>
      </c>
      <c r="Q2705" t="n">
        <v>0</v>
      </c>
      <c r="R2705" t="n">
        <v>0</v>
      </c>
      <c r="S2705">
        <f>IFERROR(O2705/N2705,0)</f>
        <v/>
      </c>
      <c r="T2705" t="n">
        <v>0</v>
      </c>
      <c r="V2705" t="n">
        <v>0</v>
      </c>
    </row>
    <row r="2706">
      <c r="A2706">
        <f>Skills!A21</f>
        <v/>
      </c>
      <c r="B2706">
        <f>Skills!B21</f>
        <v/>
      </c>
      <c r="C2706">
        <f>Inputs!$B$3&gt;=38</f>
        <v/>
      </c>
      <c r="D2706">
        <f>IF(Skills!C21=1,60+Inputs!$B$25+Inputs!$B$29,IF(Skills!C21=2,90+Inputs!$B$26+Inputs!$B$29,IF(Skills!C21=3,120+Inputs!$B$27+Inputs!$B$29,MAX(0,(Inputs!$B$3-100)*3)+Inputs!$B$28+Inputs!$B$29)))</f>
        <v/>
      </c>
      <c r="E2706">
        <f>INDEX(FactorTable!$B$2:$Y$301, MATCH(ROUND(MIN(300,MAX(1,D2706)),0), FactorTable!$A$2:$A$301,0), Skills!M21+1)</f>
        <v/>
      </c>
      <c r="F2706">
        <f>IF(Skills!N21=TRUE,(Skills!L21/10)*(E2706/1000),Skills!L21/10)+Skills!O21</f>
        <v/>
      </c>
      <c r="G2706">
        <f>Skills!G21*IF(Skills!H21&gt;0,Skills!I21/Skills!H21,1)</f>
        <v/>
      </c>
      <c r="H2706">
        <f>1-(1-Skills!J21/100)^Skills!K21</f>
        <v/>
      </c>
      <c r="I2706" t="inlineStr">
        <is>
          <t>1</t>
        </is>
      </c>
      <c r="J2706" t="inlineStr"/>
      <c r="K2706" t="inlineStr"/>
      <c r="L2706" t="inlineStr"/>
      <c r="M2706" t="inlineStr"/>
      <c r="N2706" t="inlineStr"/>
      <c r="O2706">
        <f>(1-Summary!$B$11)*T2706+Summary!$B$11*V2706</f>
        <v/>
      </c>
      <c r="P2706">
        <f>IF(B2722=0,0,O2706/B2722)</f>
        <v/>
      </c>
      <c r="Q2706" t="n">
        <v>0</v>
      </c>
      <c r="R2706" t="n">
        <v>0</v>
      </c>
      <c r="S2706">
        <f>IFERROR(O2706/N2706,0)</f>
        <v/>
      </c>
      <c r="T2706" t="n">
        <v>0</v>
      </c>
      <c r="V2706" t="n">
        <v>0</v>
      </c>
    </row>
    <row r="2707">
      <c r="A2707">
        <f>Skills!A22</f>
        <v/>
      </c>
      <c r="B2707">
        <f>Skills!B22</f>
        <v/>
      </c>
      <c r="C2707">
        <f>Inputs!$B$3&gt;=43</f>
        <v/>
      </c>
      <c r="D2707">
        <f>IF(Skills!C22=1,60+Inputs!$B$25+Inputs!$B$29,IF(Skills!C22=2,90+Inputs!$B$26+Inputs!$B$29,IF(Skills!C22=3,120+Inputs!$B$27+Inputs!$B$29,MAX(0,(Inputs!$B$3-100)*3)+Inputs!$B$28+Inputs!$B$29)))</f>
        <v/>
      </c>
      <c r="E2707">
        <f>INDEX(FactorTable!$B$2:$Y$301, MATCH(ROUND(MIN(300,MAX(1,D2707)),0), FactorTable!$A$2:$A$301,0), Skills!M22+1)</f>
        <v/>
      </c>
      <c r="F2707">
        <f>IF(Skills!N22=TRUE,(Skills!L22/10)*(E2707/1000),Skills!L22/10)+Skills!O22</f>
        <v/>
      </c>
      <c r="G2707">
        <f>Skills!G22*IF(Skills!H22&gt;0,Skills!I22/Skills!H22,1)</f>
        <v/>
      </c>
      <c r="H2707">
        <f>1-(1-Skills!J22/100)^Skills!K22</f>
        <v/>
      </c>
      <c r="I2707" t="inlineStr">
        <is>
          <t>1</t>
        </is>
      </c>
      <c r="J2707" t="inlineStr"/>
      <c r="K2707" t="inlineStr"/>
      <c r="L2707" t="inlineStr"/>
      <c r="M2707" t="inlineStr"/>
      <c r="N2707" t="inlineStr"/>
      <c r="O2707">
        <f>(1-Summary!$B$11)*T2707+Summary!$B$11*V2707</f>
        <v/>
      </c>
      <c r="P2707">
        <f>IF(B2722=0,0,O2707/B2722)</f>
        <v/>
      </c>
      <c r="Q2707" t="n">
        <v>0</v>
      </c>
      <c r="R2707" t="n">
        <v>0</v>
      </c>
      <c r="S2707">
        <f>IFERROR(O2707/N2707,0)</f>
        <v/>
      </c>
      <c r="T2707" t="n">
        <v>0</v>
      </c>
      <c r="V2707" t="n">
        <v>0</v>
      </c>
    </row>
    <row r="2708">
      <c r="A2708">
        <f>Skills!A23</f>
        <v/>
      </c>
      <c r="B2708">
        <f>Skills!B23</f>
        <v/>
      </c>
      <c r="C2708">
        <f>Inputs!$B$3&gt;=120</f>
        <v/>
      </c>
      <c r="D2708">
        <f>IF(Skills!C23=1,60+Inputs!$B$25+Inputs!$B$29,IF(Skills!C23=2,90+Inputs!$B$26+Inputs!$B$29,IF(Skills!C23=3,120+Inputs!$B$27+Inputs!$B$29,MAX(0,(Inputs!$B$3-100)*3)+Inputs!$B$28+Inputs!$B$29)))</f>
        <v/>
      </c>
      <c r="E2708">
        <f>INDEX(FactorTable!$B$2:$Y$301, MATCH(ROUND(MIN(300,MAX(1,D2708)),0), FactorTable!$A$2:$A$301,0), Skills!M23+1)</f>
        <v/>
      </c>
      <c r="F2708">
        <f>IF(Skills!N23=TRUE,(Skills!L23/10)*(E2708/1000),Skills!L23/10)+Skills!O23</f>
        <v/>
      </c>
      <c r="G2708">
        <f>Skills!G23*IF(Skills!H23&gt;0,Skills!I23/Skills!H23,1)</f>
        <v/>
      </c>
      <c r="H2708">
        <f>1-(1-Skills!J23/100)^Skills!K23</f>
        <v/>
      </c>
      <c r="I2708" t="inlineStr">
        <is>
          <t>1</t>
        </is>
      </c>
      <c r="J2708" t="inlineStr"/>
      <c r="K2708" t="inlineStr"/>
      <c r="L2708" t="inlineStr"/>
      <c r="M2708" t="inlineStr"/>
      <c r="N2708" t="inlineStr"/>
      <c r="O2708">
        <f>(1-Summary!$B$11)*T2708+Summary!$B$11*V2708</f>
        <v/>
      </c>
      <c r="P2708">
        <f>IF(B2722=0,0,O2708/B2722)</f>
        <v/>
      </c>
      <c r="Q2708" t="n">
        <v>0</v>
      </c>
      <c r="R2708" t="n">
        <v>0</v>
      </c>
      <c r="S2708">
        <f>IFERROR(O2708/N2708,0)</f>
        <v/>
      </c>
      <c r="T2708" t="n">
        <v>0</v>
      </c>
      <c r="V2708" t="n">
        <v>0</v>
      </c>
    </row>
    <row r="2709">
      <c r="A2709">
        <f>Skills!A24</f>
        <v/>
      </c>
      <c r="B2709">
        <f>Skills!B24</f>
        <v/>
      </c>
      <c r="C2709">
        <f>Inputs!$B$3&gt;=120</f>
        <v/>
      </c>
      <c r="D2709">
        <f>IF(Skills!C24=1,60+Inputs!$B$25+Inputs!$B$29,IF(Skills!C24=2,90+Inputs!$B$26+Inputs!$B$29,IF(Skills!C24=3,120+Inputs!$B$27+Inputs!$B$29,MAX(0,(Inputs!$B$3-100)*3)+Inputs!$B$28+Inputs!$B$29)))</f>
        <v/>
      </c>
      <c r="E2709">
        <f>INDEX(FactorTable!$B$2:$Y$301, MATCH(ROUND(MIN(300,MAX(1,D2709)),0), FactorTable!$A$2:$A$301,0), Skills!M24+1)</f>
        <v/>
      </c>
      <c r="F2709">
        <f>IF(Skills!N24=TRUE,(Skills!L24/10)*(E2709/1000),Skills!L24/10)+Skills!O24</f>
        <v/>
      </c>
      <c r="G2709">
        <f>Skills!G24*IF(Skills!H24&gt;0,Skills!I24/Skills!H24,1)</f>
        <v/>
      </c>
      <c r="H2709">
        <f>1-(1-Skills!J24/100)^Skills!K24</f>
        <v/>
      </c>
      <c r="I2709" t="inlineStr">
        <is>
          <t>1</t>
        </is>
      </c>
      <c r="J2709" t="inlineStr"/>
      <c r="K2709" t="inlineStr"/>
      <c r="L2709" t="inlineStr"/>
      <c r="M2709" t="inlineStr"/>
      <c r="N2709" t="inlineStr"/>
      <c r="O2709">
        <f>(1-Summary!$B$11)*T2709+Summary!$B$11*V2709</f>
        <v/>
      </c>
      <c r="P2709">
        <f>IF(B2722=0,0,O2709/B2722)</f>
        <v/>
      </c>
      <c r="Q2709" t="n">
        <v>0</v>
      </c>
      <c r="R2709" t="n">
        <v>0</v>
      </c>
      <c r="S2709">
        <f>IFERROR(O2709/N2709,0)</f>
        <v/>
      </c>
      <c r="T2709" t="n">
        <v>0</v>
      </c>
      <c r="V2709" t="n">
        <v>0</v>
      </c>
    </row>
    <row r="2711">
      <c r="A2711" t="inlineStr">
        <is>
          <t>Attack% Bucket Multiplier</t>
        </is>
      </c>
      <c r="B2711">
        <f>(1+(((C2698=TRUE)*F2698*MIN(1,Skills!T13*(Skills!J13/100)*B2716))+((C2703=TRUE)*F2703*IF(AND(Inputs!$B$38&lt;&gt;"pvp",Inputs!$B$43&gt;0),(((R2703-1)*(Skills!T18*(1+Inputs!$B$34/100))+MIN((Skills!T18*(1+Inputs!$B$34/100)),MAX(0,Inputs!$B$43-((R2703-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12">
      <c r="A2712" t="inlineStr">
        <is>
          <t>Global Crit Rate Bonus %</t>
        </is>
      </c>
      <c r="B2712" t="n">
        <v>0</v>
      </c>
    </row>
    <row r="2713">
      <c r="A2713" t="inlineStr">
        <is>
          <t>Attack Speed Buff Bonus %</t>
        </is>
      </c>
      <c r="B2713">
        <f>((C2704=TRUE)*F2704*IF(AND(Inputs!$B$38&lt;&gt;"pvp",Inputs!$B$43&gt;0),(((R2704-1)*(Skills!T19*(1+Inputs!$B$34/100))+MIN((Skills!T19*(1+Inputs!$B$34/100)),MAX(0,Inputs!$B$43-((R2704-1)*Skills!D19))))/Inputs!$B$43),IF(Inputs!$B$38="pvp",MIN((Skills!T19*(1+Inputs!$B$34/100)),15)/15,(Skills!T19*(1+Inputs!$B$34/100))/Skills!D19)))</f>
        <v/>
      </c>
    </row>
    <row r="2714">
      <c r="A2714" t="inlineStr">
        <is>
          <t>Actions Per Second</t>
        </is>
      </c>
      <c r="B2714">
        <f>1+MIN(150,150*(1-(1-(Inputs!$B$11+((C2705=TRUE)*(F2705-Calc!F20)))/150)*(1-B2713/150)))/100</f>
        <v/>
      </c>
    </row>
    <row r="2715">
      <c r="A2715" t="inlineStr">
        <is>
          <t>Skill + Buff Cast Rate</t>
        </is>
      </c>
      <c r="B2715">
        <f>IF(AND(Inputs!$B$38&lt;&gt;"pvp",Inputs!$B$43&gt;0),SUMPRODUCT((Skills!E2:E24=TRUE)*(C2687:C2709=TRUE)*R2687:R2709*Skills!F2:F24)/Inputs!$B$43,SUMPRODUCT((Skills!E2:E24=TRUE)*(C2687:C2709=TRUE)*Q2687:Q2709*Skills!F2:F24))</f>
        <v/>
      </c>
    </row>
    <row r="2716">
      <c r="A2716" t="inlineStr">
        <is>
          <t>Blast Casts Per Second</t>
        </is>
      </c>
      <c r="B2716">
        <f>MAX(0,B2714-B2715)</f>
        <v/>
      </c>
    </row>
    <row r="2717">
      <c r="A2717" t="inlineStr">
        <is>
          <t>Global Critical Damage Bonus % (unused)</t>
        </is>
      </c>
      <c r="B2717" t="n">
        <v>0</v>
      </c>
    </row>
    <row r="2718">
      <c r="A2718" t="inlineStr">
        <is>
          <t>Global Final Damage Bonus % (Divine Shield + Guardian + Divine Blessing + Greater Vessel of Light)</t>
        </is>
      </c>
      <c r="B2718">
        <f>((C2700=TRUE)*F2700*IF(AND(Inputs!$B$38&lt;&gt;"pvp",Inputs!$B$43&gt;0),(((R2700-1)*(Skills!T15*(1+Inputs!$B$34/100))+MIN((Skills!T15*(1+Inputs!$B$34/100)),MAX(0,Inputs!$B$43-((R2700-1)*Skills!D15))))/Inputs!$B$43),IF(Inputs!$B$38="pvp",MIN((Skills!T15*(1+Inputs!$B$34/100)),15)/15,(Skills!T15*(1+Inputs!$B$34/100))/Skills!D15)))+((C2701=TRUE)*F2701*IF(AND(Inputs!$B$38&lt;&gt;"pvp",Inputs!$B$43&gt;0),(((R2701-1)*(Skills!T16*(1+Inputs!$B$34/100))+MIN((Skills!T16*(1+Inputs!$B$34/100)),MAX(0,Inputs!$B$43-((R2701-1)*Skills!D16))))/Inputs!$B$43),IF(Inputs!$B$38="pvp",MIN((Skills!T16*(1+Inputs!$B$34/100)),15)/15,(Skills!T16*(1+Inputs!$B$34/100))/Skills!D16)))+((C2702=TRUE)*F2702*IF(AND(Inputs!$B$38&lt;&gt;"pvp",Inputs!$B$43&gt;0),(((R2702-1)*(Skills!T17*(1+Inputs!$B$34/100))+MIN((Skills!T17*(1+Inputs!$B$34/100)),MAX(0,Inputs!$B$43-((R2702-1)*Skills!D17))))/Inputs!$B$43),IF(Inputs!$B$38="pvp",MIN((Skills!T17*(1+Inputs!$B$34/100)),15)/15,(Skills!T17*(1+Inputs!$B$34/100))/Skills!D17)))+((C2699=TRUE)*F2699*MIN(1,Skills!T13*(Skills!J13/100)*B2716))</f>
        <v/>
      </c>
    </row>
    <row r="2719">
      <c r="A2719" t="inlineStr">
        <is>
          <t>Buff-Casting Startup Delay (s, fixed-duration only)</t>
        </is>
      </c>
      <c r="B2719">
        <f>IF(AND(Inputs!$B$38&lt;&gt;"pvp",Inputs!$B$43&gt;0),SUMPRODUCT((Skills!T2:T24&gt;0)*(Skills!E2:E24=TRUE)*(C2687:C2709=TRUE))/B2714,0)</f>
        <v/>
      </c>
    </row>
    <row r="2720">
      <c r="A2720" t="inlineStr">
        <is>
          <t>Boss-Only Total DPS (this block's swept value)</t>
        </is>
      </c>
      <c r="B2720">
        <f>SUM(T2687:T2709)</f>
        <v/>
      </c>
    </row>
    <row r="2721">
      <c r="A2721" t="inlineStr">
        <is>
          <t>Normal-Only Total DPS (this block's swept value)</t>
        </is>
      </c>
      <c r="B2721">
        <f>SUM(V2687:V2709)</f>
        <v/>
      </c>
    </row>
    <row r="2722">
      <c r="A2722" s="6" t="inlineStr">
        <is>
          <t>TOTAL DPS</t>
        </is>
      </c>
      <c r="B2722" s="6">
        <f>SUM(O2687:O2709)</f>
        <v/>
      </c>
    </row>
    <row r="2725">
      <c r="A2725" s="6" t="inlineStr">
        <is>
          <t>Stat: CDR = 2.5s</t>
        </is>
      </c>
    </row>
    <row r="2726">
      <c r="A2726" s="5" t="inlineStr">
        <is>
          <t>Key</t>
        </is>
      </c>
      <c r="B2726" s="5" t="inlineStr">
        <is>
          <t>Name</t>
        </is>
      </c>
      <c r="C2726" s="5" t="inlineStr">
        <is>
          <t>Unlocked</t>
        </is>
      </c>
      <c r="D2726" s="5" t="inlineStr">
        <is>
          <t>InputLevel</t>
        </is>
      </c>
      <c r="E2726" s="5" t="inlineStr">
        <is>
          <t>Factor</t>
        </is>
      </c>
      <c r="F2726" s="5" t="inlineStr">
        <is>
          <t>CoefficientPercent</t>
        </is>
      </c>
      <c r="G2726" s="5" t="inlineStr">
        <is>
          <t>EffectiveHits</t>
        </is>
      </c>
      <c r="H2726" s="5" t="inlineStr">
        <is>
          <t>ProcProbability</t>
        </is>
      </c>
      <c r="I2726" s="5" t="inlineStr">
        <is>
          <t>MapleHeroMultiplier</t>
        </is>
      </c>
      <c r="J2726" s="5" t="inlineStr">
        <is>
          <t>BaseDamage</t>
        </is>
      </c>
      <c r="K2726" s="5" t="inlineStr">
        <is>
          <t>BaseHitDamage</t>
        </is>
      </c>
      <c r="L2726" s="5" t="inlineStr">
        <is>
          <t>NonCritAvg</t>
        </is>
      </c>
      <c r="M2726" s="5" t="inlineStr">
        <is>
          <t>CritAvg</t>
        </is>
      </c>
      <c r="N2726" s="5" t="inlineStr">
        <is>
          <t>ExpectedDamage(perHit)</t>
        </is>
      </c>
      <c r="O2726" s="5" t="inlineStr">
        <is>
          <t>DPS</t>
        </is>
      </c>
      <c r="P2726" s="5" t="inlineStr">
        <is>
          <t>% of Total</t>
        </is>
      </c>
      <c r="Q2726" s="5" t="inlineStr">
        <is>
          <t>InvCooldown</t>
        </is>
      </c>
      <c r="R2726" s="5" t="inlineStr">
        <is>
          <t>CastsInFight</t>
        </is>
      </c>
      <c r="S2726" s="5" t="inlineStr">
        <is>
          <t>HitRate(perSec)</t>
        </is>
      </c>
      <c r="U2726" t="inlineStr">
        <is>
          <t>helpers</t>
        </is>
      </c>
    </row>
    <row r="2727">
      <c r="A2727">
        <f>Skills!A2</f>
        <v/>
      </c>
      <c r="B2727">
        <f>Skills!B2</f>
        <v/>
      </c>
      <c r="C2727">
        <f>Inputs!$B$3&gt;=100</f>
        <v/>
      </c>
      <c r="D2727" t="inlineStr"/>
      <c r="E2727" t="inlineStr"/>
      <c r="F2727">
        <f>U2729+Skills!O2</f>
        <v/>
      </c>
      <c r="G2727">
        <f>Skills!G2*IF(Skills!H2&gt;0,Skills!I2/Skills!H2,1)</f>
        <v/>
      </c>
      <c r="H2727">
        <f>1-(1-Skills!J2/100)^Skills!K2</f>
        <v/>
      </c>
      <c r="I2727" t="inlineStr">
        <is>
          <t>1</t>
        </is>
      </c>
      <c r="J2727">
        <f>((Inputs!$B$6*(1+Inputs!$B$7/100))+(((Inputs!$B$12*(1+Inputs!$B$13/100))-(Inputs!$B$12*(1+Inputs!$B$13/100)))+0.25*(Inputs!$B$14-Inputs!$B$14))*(1+Inputs!$B$7/100))*(F2727/100)</f>
        <v/>
      </c>
      <c r="K2727">
        <f>J2727*(1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2727)</f>
        <v/>
      </c>
      <c r="L2727">
        <f>K2727*(MIN(Inputs!$B$22+((C2747=TRUE)*(F2747-Calc!F22)),(Inputs!$B$23+((C2749=TRUE)*(F2749-Calc!F24))+(IF(ArtifactsInput!$M$15,CHOOSE(ArtifactsInput!$N$15+1,25,30,35,40,45,50)/100*(Inputs!$B$11-Inputs!$B$11),0))))/100+(Inputs!$B$23+((C2749=TRUE)*(F2749-Calc!F24))+(IF(ArtifactsInput!$M$15,CHOOSE(ArtifactsInput!$N$15+1,25,30,35,40,45,50)/100*(Inputs!$B$11-Inputs!$B$11),0)))/100)/2</f>
        <v/>
      </c>
      <c r="M2727">
        <f>L2727*(1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7">
        <f>L2727*(1-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2727*(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7">
        <f>(1-Summary!$B$11)*T2727+Summary!$B$11*V2727</f>
        <v/>
      </c>
      <c r="P2727">
        <f>IF(B2762=0,0,O2727/B2762)</f>
        <v/>
      </c>
      <c r="Q2727" t="n">
        <v>0</v>
      </c>
      <c r="R2727" t="n">
        <v>0</v>
      </c>
      <c r="S2727">
        <f>IFERROR(O2727/N2727,0)</f>
        <v/>
      </c>
      <c r="T2727">
        <f>IF(C2727,(Skills!G2*N2727*B2756)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2727*(1-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2727*(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2727*(1-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2727*(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7">
        <f>MAX(0,(Inputs!$B$3-100)*3)+Inputs!$B$28+Inputs!$B$29</f>
        <v/>
      </c>
      <c r="V2727">
        <f>IF(C2727,(Skills!G2*N2727*B2756)*IF(Inputs!$B$38="pvp",1,(1+(Inputs!$B$21+Skills!Q2+(IF(ArtifactsInput!$M$33,CHOOSE(ArtifactsInput!$N$33+1,30,36,42,48,54,60),0))+(IF(AND(ArtifactsInput!$M$35,Inputs!$B$4&lt;&gt;"Chapter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8">
      <c r="A2728">
        <f>Skills!A3</f>
        <v/>
      </c>
      <c r="B2728">
        <f>Skills!B3</f>
        <v/>
      </c>
      <c r="C2728">
        <f>Inputs!$B$3&gt;=50</f>
        <v/>
      </c>
      <c r="D2728">
        <f>IF(Skills!C3=1,60+Inputs!$B$25+Inputs!$B$29,IF(Skills!C3=2,90+Inputs!$B$26+Inputs!$B$29,IF(Skills!C3=3,120+Inputs!$B$27+Inputs!$B$29,MAX(0,(Inputs!$B$3-100)*3)+Inputs!$B$28+Inputs!$B$29)))</f>
        <v/>
      </c>
      <c r="E2728">
        <f>INDEX(FactorTable!$B$2:$Y$301, MATCH(ROUND(MIN(300,MAX(1,D2728)),0), FactorTable!$A$2:$A$301,0), Skills!M3+1)</f>
        <v/>
      </c>
      <c r="F2728">
        <f>IF(Skills!N3=TRUE,(Skills!L3/10)*(E2728/1000),Skills!L3/10)+Skills!O3</f>
        <v/>
      </c>
      <c r="G2728" t="inlineStr"/>
      <c r="H2728" t="inlineStr"/>
      <c r="I2728" t="inlineStr">
        <is>
          <t>1</t>
        </is>
      </c>
      <c r="J2728" t="inlineStr"/>
      <c r="K2728" t="inlineStr"/>
      <c r="L2728" t="inlineStr"/>
      <c r="M2728" t="inlineStr"/>
      <c r="N2728" t="inlineStr"/>
      <c r="O2728" t="inlineStr"/>
      <c r="P2728" t="inlineStr"/>
      <c r="Q2728" t="inlineStr"/>
      <c r="R2728" t="inlineStr"/>
      <c r="S2728" t="inlineStr"/>
      <c r="U2728">
        <f>INDEX(FactorTable!$B$2:$Y$301, MATCH(ROUND(MIN(300,MAX(1,U2727)),0), FactorTable!$A$2:$A$301,0), 22)</f>
        <v/>
      </c>
    </row>
    <row r="2729">
      <c r="A2729">
        <f>Skills!A4</f>
        <v/>
      </c>
      <c r="B2729">
        <f>Skills!B4</f>
        <v/>
      </c>
      <c r="C2729">
        <f>Inputs!$B$3&gt;=35</f>
        <v/>
      </c>
      <c r="D2729">
        <f>IF(Skills!C4=1,60+Inputs!$B$25+Inputs!$B$29,IF(Skills!C4=2,90+Inputs!$B$26+Inputs!$B$29,IF(Skills!C4=3,120+Inputs!$B$27+Inputs!$B$29,MAX(0,(Inputs!$B$3-100)*3)+Inputs!$B$28+Inputs!$B$29)))</f>
        <v/>
      </c>
      <c r="E2729">
        <f>INDEX(FactorTable!$B$2:$Y$301, MATCH(ROUND(MIN(300,MAX(1,D2729)),0), FactorTable!$A$2:$A$301,0), Skills!M4+1)</f>
        <v/>
      </c>
      <c r="F2729">
        <f>IF(Skills!N4=TRUE,(Skills!L4/10)*(E2729/1000),Skills!L4/10)+Skills!O4</f>
        <v/>
      </c>
      <c r="G2729">
        <f>Skills!G4*IF(Skills!H4&gt;0,Skills!I4/Skills!H4,1)</f>
        <v/>
      </c>
      <c r="H2729">
        <f>1-(1-Skills!J4/100)^Skills!K4</f>
        <v/>
      </c>
      <c r="I2729" t="inlineStr">
        <is>
          <t>1</t>
        </is>
      </c>
      <c r="J2729">
        <f>((Inputs!$B$6*(1+Inputs!$B$7/100))+(((Inputs!$B$12*(1+Inputs!$B$13/100))-(Inputs!$B$12*(1+Inputs!$B$13/100)))+0.25*(Inputs!$B$14-Inputs!$B$14))*(1+Inputs!$B$7/100))*(F2729/100)</f>
        <v/>
      </c>
      <c r="K2729">
        <f>J2729*(1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2737=TRUE,F2737,0)/100)*(1+(IF(Skills!A4="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2729)</f>
        <v/>
      </c>
      <c r="L2729">
        <f>K2729*(MIN(Inputs!$B$22+((C2747=TRUE)*(F2747-Calc!F22)),(Inputs!$B$23+((C2749=TRUE)*(F2749-Calc!F24))+(IF(ArtifactsInput!$M$15,CHOOSE(ArtifactsInput!$N$15+1,25,30,35,40,45,50)/100*(Inputs!$B$11-Inputs!$B$11),0))))/100+(Inputs!$B$23+((C2749=TRUE)*(F2749-Calc!F24))+(IF(ArtifactsInput!$M$15,CHOOSE(ArtifactsInput!$N$15+1,25,30,35,40,45,50)/100*(Inputs!$B$11-Inputs!$B$11),0)))/100)/2</f>
        <v/>
      </c>
      <c r="M2729">
        <f>L2729*(1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9">
        <f>L2729*(1-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2729*(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9">
        <f>(1-Summary!$B$11)*T2729+Summary!$B$11*V2729</f>
        <v/>
      </c>
      <c r="P2729">
        <f>IF(B2762=0,0,O2729/B2762)</f>
        <v/>
      </c>
      <c r="Q2729">
        <f>IFERROR(1/(IF(Inputs!$B$38="pvp",15,MAX(0.1,Skills!D4-IF(Skills!E4=TRUE,2.5,0)))*(1-IF(AND(ArtifactsInput!$M$27,Inputs!$B$4="Chapter Hunt"),CHOOSE(ArtifactsInput!$N$27+1,20,24,28,32,36,40),0)/100)),0)</f>
        <v/>
      </c>
      <c r="R2729">
        <f>IF(AND(Inputs!$B$38&lt;&gt;"pvp",Inputs!$B$43&gt;0),IF(MAX(0,Inputs!$B$43-B2759)&lt;=0,0,(INT(MAX(0,Inputs!$B$43-B2759)/(IF(Inputs!$B$38="pvp",15,MAX(0.1,Skills!D4-IF(Skills!E4=TRUE,2.5,0)))*(1-IF(AND(ArtifactsInput!$M$27,Inputs!$B$4="Chapter Hunt"),CHOOSE(ArtifactsInput!$N$27+1,20,24,28,32,36,40),0)/100)))+1)),0)</f>
        <v/>
      </c>
      <c r="S2729">
        <f>IFERROR(O2729/N2729,0)</f>
        <v/>
      </c>
      <c r="T2729">
        <f>IF(C2729,(H2729*N2729*IF(AND(Inputs!$B$38&lt;&gt;"pvp",Inputs!$B$43&gt;0),((Skills!G4*((R2729-1)*IF(Skills!H4&gt;0,Skills!I4/Skills!H4,1)+IF(Skills!H4&gt;0,MIN(Skills!I4,MAX(0,MAX(0,Inputs!$B$43-B2759)-((R2729-1)*(IF(Inputs!$B$38="pvp",15,MAX(0.1,Skills!D4-IF(Skills!E4=TRUE,2.5,0)))*(1-IF(AND(ArtifactsInput!$M$27,Inputs!$B$4="Chapter Hunt"),CHOOSE(ArtifactsInput!$N$27+1,20,24,28,32,36,40),0)/100)))))/Skills!H4,1)))/Inputs!$B$43),G2729*Q2729)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2729*(1-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2729*(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2729*(1-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2729*(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9">
        <f>290*U2728/1000</f>
        <v/>
      </c>
      <c r="V2729">
        <f>IF(C2729,(H2729*N2729*IF(AND(Inputs!$B$38&lt;&gt;"pvp",Inputs!$B$43&gt;0),((Skills!G4*((R2729-1)*IF(Skills!H4&gt;0,Skills!I4/Skills!H4,1)+IF(Skills!H4&gt;0,MIN(Skills!I4,MAX(0,MAX(0,Inputs!$B$43-B2759)-((R2729-1)*(IF(Inputs!$B$38="pvp",15,MAX(0.1,Skills!D4-IF(Skills!E4=TRUE,2.5,0)))*(1-IF(AND(ArtifactsInput!$M$27,Inputs!$B$4="Chapter Hunt"),CHOOSE(ArtifactsInput!$N$27+1,20,24,28,32,36,40),0)/100)))))/Skills!H4,1)))/Inputs!$B$43),G2729*Q2729))*IF(Inputs!$B$38="pvp",1,(1+(Inputs!$B$21+Skills!Q4+(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0">
      <c r="A2730">
        <f>Skills!A5</f>
        <v/>
      </c>
      <c r="B2730">
        <f>Skills!B5</f>
        <v/>
      </c>
      <c r="C2730">
        <f>Inputs!$B$3&gt;=66</f>
        <v/>
      </c>
      <c r="D2730">
        <f>IF(Skills!C5=1,60+Inputs!$B$25+Inputs!$B$29,IF(Skills!C5=2,90+Inputs!$B$26+Inputs!$B$29,IF(Skills!C5=3,120+Inputs!$B$27+Inputs!$B$29,MAX(0,(Inputs!$B$3-100)*3)+Inputs!$B$28+Inputs!$B$29)))</f>
        <v/>
      </c>
      <c r="E2730">
        <f>INDEX(FactorTable!$B$2:$Y$301, MATCH(ROUND(MIN(300,MAX(1,D2730)),0), FactorTable!$A$2:$A$301,0), Skills!M5+1)</f>
        <v/>
      </c>
      <c r="F2730">
        <f>IF(Skills!N5=TRUE,(Skills!L5/10)*(E2730/1000),Skills!L5/10)+Skills!O5</f>
        <v/>
      </c>
      <c r="G2730">
        <f>Skills!G5*IF(Skills!H5&gt;0,Skills!I5/Skills!H5,1)</f>
        <v/>
      </c>
      <c r="H2730">
        <f>1-(1-Skills!J5/100)^Skills!K5</f>
        <v/>
      </c>
      <c r="I2730" t="inlineStr">
        <is>
          <t>1</t>
        </is>
      </c>
      <c r="J2730">
        <f>((Inputs!$B$6*(1+Inputs!$B$7/100))+(((Inputs!$B$12*(1+Inputs!$B$13/100))-(Inputs!$B$12*(1+Inputs!$B$13/100)))+0.25*(Inputs!$B$14-Inputs!$B$14))*(1+Inputs!$B$7/100))*(F2730/100)</f>
        <v/>
      </c>
      <c r="K2730">
        <f>J2730*(1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2737=TRUE,F2737,0)/100)*(1+(IF(Skills!A5="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2730)</f>
        <v/>
      </c>
      <c r="L2730">
        <f>K2730*(MIN(Inputs!$B$22+((C2747=TRUE)*(F2747-Calc!F22)),(Inputs!$B$23+((C2749=TRUE)*(F2749-Calc!F24))+(IF(ArtifactsInput!$M$15,CHOOSE(ArtifactsInput!$N$15+1,25,30,35,40,45,50)/100*(Inputs!$B$11-Inputs!$B$11),0))))/100+(Inputs!$B$23+((C2749=TRUE)*(F2749-Calc!F24))+(IF(ArtifactsInput!$M$15,CHOOSE(ArtifactsInput!$N$15+1,25,30,35,40,45,50)/100*(Inputs!$B$11-Inputs!$B$11),0)))/100)/2</f>
        <v/>
      </c>
      <c r="M2730">
        <f>L2730*(1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0">
        <f>L2730*(1-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2730*(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0">
        <f>(1-Summary!$B$11)*T2730+Summary!$B$11*V2730</f>
        <v/>
      </c>
      <c r="P2730">
        <f>IF(B2762=0,0,O2730/B2762)</f>
        <v/>
      </c>
      <c r="Q2730">
        <f>IFERROR(1/(IF(Inputs!$B$38="pvp",15,MAX(0.1,Skills!D5-IF(Skills!E5=TRUE,2.5,0)))*(1-IF(AND(ArtifactsInput!$M$27,Inputs!$B$4="Chapter Hunt"),CHOOSE(ArtifactsInput!$N$27+1,20,24,28,32,36,40),0)/100)),0)</f>
        <v/>
      </c>
      <c r="R2730">
        <f>IF(AND(Inputs!$B$38&lt;&gt;"pvp",Inputs!$B$43&gt;0),IF(MAX(0,Inputs!$B$43-B2759)&lt;=0,0,(INT(MAX(0,Inputs!$B$43-B2759)/(IF(Inputs!$B$38="pvp",15,MAX(0.1,Skills!D5-IF(Skills!E5=TRUE,2.5,0)))*(1-IF(AND(ArtifactsInput!$M$27,Inputs!$B$4="Chapter Hunt"),CHOOSE(ArtifactsInput!$N$27+1,20,24,28,32,36,40),0)/100)))+1)),0)</f>
        <v/>
      </c>
      <c r="S2730">
        <f>IFERROR(O2730/N2730,0)</f>
        <v/>
      </c>
      <c r="T2730">
        <f>IF(C2730,(H2730*N2730*IF(AND(Inputs!$B$38&lt;&gt;"pvp",Inputs!$B$43&gt;0),((Skills!G5*((R2730-1)*IF(Skills!H5&gt;0,Skills!I5/Skills!H5,1)+IF(Skills!H5&gt;0,MIN(Skills!I5,MAX(0,MAX(0,Inputs!$B$43-B2759)-((R2730-1)*(IF(Inputs!$B$38="pvp",15,MAX(0.1,Skills!D5-IF(Skills!E5=TRUE,2.5,0)))*(1-IF(AND(ArtifactsInput!$M$27,Inputs!$B$4="Chapter Hunt"),CHOOSE(ArtifactsInput!$N$27+1,20,24,28,32,36,40),0)/100)))))/Skills!H5,1)))/Inputs!$B$43),G2730*Q2730)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2730*(1-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2730*(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2730*(1-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2730*(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0">
        <f>IF(C2730,(H2730*N2730*IF(AND(Inputs!$B$38&lt;&gt;"pvp",Inputs!$B$43&gt;0),((Skills!G5*((R2730-1)*IF(Skills!H5&gt;0,Skills!I5/Skills!H5,1)+IF(Skills!H5&gt;0,MIN(Skills!I5,MAX(0,MAX(0,Inputs!$B$43-B2759)-((R2730-1)*(IF(Inputs!$B$38="pvp",15,MAX(0.1,Skills!D5-IF(Skills!E5=TRUE,2.5,0)))*(1-IF(AND(ArtifactsInput!$M$27,Inputs!$B$4="Chapter Hunt"),CHOOSE(ArtifactsInput!$N$27+1,20,24,28,32,36,40),0)/100)))))/Skills!H5,1)))/Inputs!$B$43),G2730*Q2730))*IF(Inputs!$B$38="pvp",1,(1+(Inputs!$B$21+Skills!Q5+(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1">
      <c r="A2731">
        <f>Skills!A6</f>
        <v/>
      </c>
      <c r="B2731">
        <f>Skills!B6</f>
        <v/>
      </c>
      <c r="C2731">
        <f>Inputs!$B$3&gt;=103</f>
        <v/>
      </c>
      <c r="D2731">
        <f>IF(Skills!C6=1,60+Inputs!$B$25+Inputs!$B$29,IF(Skills!C6=2,90+Inputs!$B$26+Inputs!$B$29,IF(Skills!C6=3,120+Inputs!$B$27+Inputs!$B$29,MAX(0,(Inputs!$B$3-100)*3)+Inputs!$B$28+Inputs!$B$29)))</f>
        <v/>
      </c>
      <c r="E2731">
        <f>INDEX(FactorTable!$B$2:$Y$301, MATCH(ROUND(MIN(300,MAX(1,D2731)),0), FactorTable!$A$2:$A$301,0), Skills!M6+1)</f>
        <v/>
      </c>
      <c r="F2731">
        <f>IF(Skills!N6=TRUE,(Skills!L6/10)*(E2731/1000),Skills!L6/10)+Skills!O6</f>
        <v/>
      </c>
      <c r="G2731">
        <f>Skills!G6*IF(Skills!H6&gt;0,Skills!I6/Skills!H6,1)</f>
        <v/>
      </c>
      <c r="H2731">
        <f>1-(1-Skills!J6/100)^Skills!K6</f>
        <v/>
      </c>
      <c r="I2731" t="inlineStr">
        <is>
          <t>1</t>
        </is>
      </c>
      <c r="J2731">
        <f>((Inputs!$B$6*(1+Inputs!$B$7/100))+(((Inputs!$B$12*(1+Inputs!$B$13/100))-(Inputs!$B$12*(1+Inputs!$B$13/100)))+0.25*(Inputs!$B$14-Inputs!$B$14))*(1+Inputs!$B$7/100))*(F2731/100)</f>
        <v/>
      </c>
      <c r="K2731">
        <f>J2731*(1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2731)</f>
        <v/>
      </c>
      <c r="L2731">
        <f>K2731*(MIN(Inputs!$B$22+((C2747=TRUE)*(F2747-Calc!F22)),(Inputs!$B$23+((C2749=TRUE)*(F2749-Calc!F24))+(IF(ArtifactsInput!$M$15,CHOOSE(ArtifactsInput!$N$15+1,25,30,35,40,45,50)/100*(Inputs!$B$11-Inputs!$B$11),0))))/100+(Inputs!$B$23+((C2749=TRUE)*(F2749-Calc!F24))+(IF(ArtifactsInput!$M$15,CHOOSE(ArtifactsInput!$N$15+1,25,30,35,40,45,50)/100*(Inputs!$B$11-Inputs!$B$11),0)))/100)/2</f>
        <v/>
      </c>
      <c r="M2731">
        <f>L2731*(1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1">
        <f>L2731*(1-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1">
        <f>(1-Summary!$B$11)*T2731+Summary!$B$11*V2731</f>
        <v/>
      </c>
      <c r="P2731">
        <f>IF(B2762=0,0,O2731/B2762)</f>
        <v/>
      </c>
      <c r="Q2731">
        <f>IFERROR(1/(IF(Inputs!$B$38="pvp",15,MAX(0.1,Skills!D6-IF(Skills!E6=TRUE,2.5,0)))*(1-IF(AND(ArtifactsInput!$M$27,Inputs!$B$4="Chapter Hunt"),CHOOSE(ArtifactsInput!$N$27+1,20,24,28,32,36,40),0)/100)),0)</f>
        <v/>
      </c>
      <c r="R2731">
        <f>IF(AND(Inputs!$B$38&lt;&gt;"pvp",Inputs!$B$43&gt;0),IF(MAX(0,Inputs!$B$43-B2759)&lt;=0,0,(INT(MAX(0,Inputs!$B$43-B2759)/(IF(Inputs!$B$38="pvp",15,MAX(0.1,Skills!D6-IF(Skills!E6=TRUE,2.5,0)))*(1-IF(AND(ArtifactsInput!$M$27,Inputs!$B$4="Chapter Hunt"),CHOOSE(ArtifactsInput!$N$27+1,20,24,28,32,36,40),0)/100)))+1)),0)</f>
        <v/>
      </c>
      <c r="S2731">
        <f>IFERROR(O2731/N2731,0)</f>
        <v/>
      </c>
      <c r="T2731">
        <f>IF(C2731,(H2731*N2731*IF(AND(Inputs!$B$38&lt;&gt;"pvp",Inputs!$B$43&gt;0),((Skills!G6*((R2731-1)*IF(Skills!H6&gt;0,Skills!I6/Skills!H6,1)+IF(Skills!H6&gt;0,MIN(Skills!I6,MAX(0,MAX(0,Inputs!$B$43-B2759)-((R2731-1)*(IF(Inputs!$B$38="pvp",15,MAX(0.1,Skills!D6-IF(Skills!E6=TRUE,2.5,0)))*(1-IF(AND(ArtifactsInput!$M$27,Inputs!$B$4="Chapter Hunt"),CHOOSE(ArtifactsInput!$N$27+1,20,24,28,32,36,40),0)/100)))))/Skills!H6,1)))/Inputs!$B$43),G2731*Q2731)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2731*(1-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2731*(1-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1">
        <f>IF(C2731,(H2731*N2731*IF(AND(Inputs!$B$38&lt;&gt;"pvp",Inputs!$B$43&gt;0),((Skills!G6*((R2731-1)*IF(Skills!H6&gt;0,Skills!I6/Skills!H6,1)+IF(Skills!H6&gt;0,MIN(Skills!I6,MAX(0,MAX(0,Inputs!$B$43-B2759)-((R2731-1)*(IF(Inputs!$B$38="pvp",15,MAX(0.1,Skills!D6-IF(Skills!E6=TRUE,2.5,0)))*(1-IF(AND(ArtifactsInput!$M$27,Inputs!$B$4="Chapter Hunt"),CHOOSE(ArtifactsInput!$N$27+1,20,24,28,32,36,40),0)/100)))))/Skills!H6,1)))/Inputs!$B$43),G2731*Q2731))*IF(Inputs!$B$38="pvp",1,(1+(Inputs!$B$21+Skills!Q6+(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2">
      <c r="A2732">
        <f>Skills!A7</f>
        <v/>
      </c>
      <c r="B2732">
        <f>Skills!B7</f>
        <v/>
      </c>
      <c r="C2732">
        <f>Inputs!$B$3&gt;=107</f>
        <v/>
      </c>
      <c r="D2732">
        <f>IF(Skills!C7=1,60+Inputs!$B$25+Inputs!$B$29,IF(Skills!C7=2,90+Inputs!$B$26+Inputs!$B$29,IF(Skills!C7=3,120+Inputs!$B$27+Inputs!$B$29,MAX(0,(Inputs!$B$3-100)*3)+Inputs!$B$28+Inputs!$B$29)))</f>
        <v/>
      </c>
      <c r="E2732">
        <f>INDEX(FactorTable!$B$2:$Y$301, MATCH(ROUND(MIN(300,MAX(1,D2732)),0), FactorTable!$A$2:$A$301,0), Skills!M7+1)</f>
        <v/>
      </c>
      <c r="F2732">
        <f>IF(Skills!N7=TRUE,(Skills!L7/10)*(E2732/1000),Skills!L7/10)+Skills!O7</f>
        <v/>
      </c>
      <c r="G2732">
        <f>Skills!G7*IF(Skills!H7&gt;0,Skills!I7/Skills!H7,1)</f>
        <v/>
      </c>
      <c r="H2732">
        <f>1-(1-Skills!J7/100)^Skills!K7</f>
        <v/>
      </c>
      <c r="I2732" t="inlineStr">
        <is>
          <t>1</t>
        </is>
      </c>
      <c r="J2732">
        <f>((Inputs!$B$6*(1+Inputs!$B$7/100))+(((Inputs!$B$12*(1+Inputs!$B$13/100))-(Inputs!$B$12*(1+Inputs!$B$13/100)))+0.25*(Inputs!$B$14-Inputs!$B$14))*(1+Inputs!$B$7/100))*(F2732/100)</f>
        <v/>
      </c>
      <c r="K2732">
        <f>J2732*(1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2732)</f>
        <v/>
      </c>
      <c r="L2732">
        <f>K2732*(MIN(Inputs!$B$22+((C2747=TRUE)*(F2747-Calc!F22)),(Inputs!$B$23+((C2749=TRUE)*(F2749-Calc!F24))+(IF(ArtifactsInput!$M$15,CHOOSE(ArtifactsInput!$N$15+1,25,30,35,40,45,50)/100*(Inputs!$B$11-Inputs!$B$11),0))))/100+(Inputs!$B$23+((C2749=TRUE)*(F2749-Calc!F24))+(IF(ArtifactsInput!$M$15,CHOOSE(ArtifactsInput!$N$15+1,25,30,35,40,45,50)/100*(Inputs!$B$11-Inputs!$B$11),0)))/100)/2</f>
        <v/>
      </c>
      <c r="M2732">
        <f>L2732*(1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2">
        <f>L2732*(1-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2732*(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2">
        <f>(1-Summary!$B$11)*T2732+Summary!$B$11*V2732</f>
        <v/>
      </c>
      <c r="P2732">
        <f>IF(B2762=0,0,O2732/B2762)</f>
        <v/>
      </c>
      <c r="Q2732">
        <f>IFERROR(1/(IF(Inputs!$B$38="pvp",15,MAX(0.1,Skills!D7-IF(Skills!E7=TRUE,2.5,0)))*(1-IF(AND(ArtifactsInput!$M$27,Inputs!$B$4="Chapter Hunt"),CHOOSE(ArtifactsInput!$N$27+1,20,24,28,32,36,40),0)/100)),0)</f>
        <v/>
      </c>
      <c r="R2732">
        <f>IF(AND(Inputs!$B$38&lt;&gt;"pvp",Inputs!$B$43&gt;0),IF(MAX(0,Inputs!$B$43-B2759)&lt;=0,0,(INT(MAX(0,Inputs!$B$43-B2759)/(IF(Inputs!$B$38="pvp",15,MAX(0.1,Skills!D7-IF(Skills!E7=TRUE,2.5,0)))*(1-IF(AND(ArtifactsInput!$M$27,Inputs!$B$4="Chapter Hunt"),CHOOSE(ArtifactsInput!$N$27+1,20,24,28,32,36,40),0)/100)))+1)),0)</f>
        <v/>
      </c>
      <c r="S2732">
        <f>IFERROR(O2732/N2732,0)</f>
        <v/>
      </c>
      <c r="T2732">
        <f>IF(C2732,(H2732*N2732*IF(AND(Inputs!$B$38&lt;&gt;"pvp",Inputs!$B$43&gt;0),((Skills!G7*((R2732-1)*IF(Skills!H7&gt;0,Skills!I7/Skills!H7,1)+IF(Skills!H7&gt;0,MIN(Skills!I7,MAX(0,MAX(0,Inputs!$B$43-B2759)-((R2732-1)*(IF(Inputs!$B$38="pvp",15,MAX(0.1,Skills!D7-IF(Skills!E7=TRUE,2.5,0)))*(1-IF(AND(ArtifactsInput!$M$27,Inputs!$B$4="Chapter Hunt"),CHOOSE(ArtifactsInput!$N$27+1,20,24,28,32,36,40),0)/100)))))/Skills!H7,1)))/Inputs!$B$43),G2732*Q2732)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2732*(1-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2732*(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2732*(1-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2732*(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2">
        <f>IF(C2732,(H2732*N2732*IF(AND(Inputs!$B$38&lt;&gt;"pvp",Inputs!$B$43&gt;0),((Skills!G7*((R2732-1)*IF(Skills!H7&gt;0,Skills!I7/Skills!H7,1)+IF(Skills!H7&gt;0,MIN(Skills!I7,MAX(0,MAX(0,Inputs!$B$43-B2759)-((R2732-1)*(IF(Inputs!$B$38="pvp",15,MAX(0.1,Skills!D7-IF(Skills!E7=TRUE,2.5,0)))*(1-IF(AND(ArtifactsInput!$M$27,Inputs!$B$4="Chapter Hunt"),CHOOSE(ArtifactsInput!$N$27+1,20,24,28,32,36,40),0)/100)))))/Skills!H7,1)))/Inputs!$B$43),G2732*Q2732))*IF(Inputs!$B$38="pvp",1,(1+(Inputs!$B$21+Skills!Q7+(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3">
      <c r="A2733">
        <f>Skills!A8</f>
        <v/>
      </c>
      <c r="B2733">
        <f>Skills!B8</f>
        <v/>
      </c>
      <c r="C2733">
        <f>Inputs!$B$3&gt;=107</f>
        <v/>
      </c>
      <c r="D2733">
        <f>IF(Skills!C8=1,60+Inputs!$B$25+Inputs!$B$29,IF(Skills!C8=2,90+Inputs!$B$26+Inputs!$B$29,IF(Skills!C8=3,120+Inputs!$B$27+Inputs!$B$29,MAX(0,(Inputs!$B$3-100)*3)+Inputs!$B$28+Inputs!$B$29)))</f>
        <v/>
      </c>
      <c r="E2733">
        <f>INDEX(FactorTable!$B$2:$Y$301, MATCH(ROUND(MIN(300,MAX(1,D2733)),0), FactorTable!$A$2:$A$301,0), Skills!M8+1)</f>
        <v/>
      </c>
      <c r="F2733">
        <f>IF(Skills!N8=TRUE,(Skills!L8/10)*(E2733/1000),Skills!L8/10)+Skills!O8</f>
        <v/>
      </c>
      <c r="G2733">
        <f>Skills!G8*IF(Skills!H8&gt;0,Skills!I8/Skills!H8,1)</f>
        <v/>
      </c>
      <c r="H2733">
        <f>1-(1-Skills!J8/100)^Skills!K8</f>
        <v/>
      </c>
      <c r="I2733" t="inlineStr">
        <is>
          <t>1</t>
        </is>
      </c>
      <c r="J2733">
        <f>((Inputs!$B$6*(1+Inputs!$B$7/100))+(((Inputs!$B$12*(1+Inputs!$B$13/100))-(Inputs!$B$12*(1+Inputs!$B$13/100)))+0.25*(Inputs!$B$14-Inputs!$B$14))*(1+Inputs!$B$7/100))*(F2733/100)</f>
        <v/>
      </c>
      <c r="K2733">
        <f>J2733*(1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2733)</f>
        <v/>
      </c>
      <c r="L2733">
        <f>K2733*(MIN(Inputs!$B$22+((C2747=TRUE)*(F2747-Calc!F22)),(Inputs!$B$23+((C2749=TRUE)*(F2749-Calc!F24))+(IF(ArtifactsInput!$M$15,CHOOSE(ArtifactsInput!$N$15+1,25,30,35,40,45,50)/100*(Inputs!$B$11-Inputs!$B$11),0))))/100+(Inputs!$B$23+((C2749=TRUE)*(F2749-Calc!F24))+(IF(ArtifactsInput!$M$15,CHOOSE(ArtifactsInput!$N$15+1,25,30,35,40,45,50)/100*(Inputs!$B$11-Inputs!$B$11),0)))/100)/2</f>
        <v/>
      </c>
      <c r="M2733">
        <f>L2733*(1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3">
        <f>L2733*(1-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2733*(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3">
        <f>(1-Summary!$B$11)*T2733+Summary!$B$11*V2733</f>
        <v/>
      </c>
      <c r="P2733">
        <f>IF(B2762=0,0,O2733/B2762)</f>
        <v/>
      </c>
      <c r="Q2733">
        <f>IFERROR(1/(IF(Inputs!$B$38="pvp",15,MAX(0.1,Skills!D8-IF(Skills!E8=TRUE,2.5,0)))*(1-IF(AND(ArtifactsInput!$M$27,Inputs!$B$4="Chapter Hunt"),CHOOSE(ArtifactsInput!$N$27+1,20,24,28,32,36,40),0)/100)),0)</f>
        <v/>
      </c>
      <c r="R2733">
        <f>IF(AND(Inputs!$B$38&lt;&gt;"pvp",Inputs!$B$43&gt;0),IF(MAX(0,Inputs!$B$43-B2759)&lt;=0,0,(INT(MAX(0,Inputs!$B$43-B2759)/(IF(Inputs!$B$38="pvp",15,MAX(0.1,Skills!D8-IF(Skills!E8=TRUE,2.5,0)))*(1-IF(AND(ArtifactsInput!$M$27,Inputs!$B$4="Chapter Hunt"),CHOOSE(ArtifactsInput!$N$27+1,20,24,28,32,36,40),0)/100)))+1)),0)</f>
        <v/>
      </c>
      <c r="S2733">
        <f>IFERROR(O2733/N2733,0)</f>
        <v/>
      </c>
      <c r="T2733">
        <f>IF(C2733,(H2733*N2733*IF(AND(Inputs!$B$38&lt;&gt;"pvp",Inputs!$B$43&gt;0),((Skills!G8*((R2733-1)*IF(Skills!H8&gt;0,Skills!I8/Skills!H8,1)+IF(Skills!H8&gt;0,MIN(Skills!I8,MAX(0,MAX(0,Inputs!$B$43-B2759)-((R2733-1)*(IF(Inputs!$B$38="pvp",15,MAX(0.1,Skills!D8-IF(Skills!E8=TRUE,2.5,0)))*(1-IF(AND(ArtifactsInput!$M$27,Inputs!$B$4="Chapter Hunt"),CHOOSE(ArtifactsInput!$N$27+1,20,24,28,32,36,40),0)/100)))))/Skills!H8,1)))/Inputs!$B$43),G2733*Q2733)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2733*(1-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2733*(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2733*(1-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2733*(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3">
        <f>IF(C2733,(H2733*N2733*IF(AND(Inputs!$B$38&lt;&gt;"pvp",Inputs!$B$43&gt;0),((Skills!G8*((R2733-1)*IF(Skills!H8&gt;0,Skills!I8/Skills!H8,1)+IF(Skills!H8&gt;0,MIN(Skills!I8,MAX(0,MAX(0,Inputs!$B$43-B2759)-((R2733-1)*(IF(Inputs!$B$38="pvp",15,MAX(0.1,Skills!D8-IF(Skills!E8=TRUE,2.5,0)))*(1-IF(AND(ArtifactsInput!$M$27,Inputs!$B$4="Chapter Hunt"),CHOOSE(ArtifactsInput!$N$27+1,20,24,28,32,36,40),0)/100)))))/Skills!H8,1)))/Inputs!$B$43),G2733*Q2733))*IF(Inputs!$B$38="pvp",1,(1+(Inputs!$B$21+Skills!Q8+(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4">
      <c r="A2734">
        <f>Skills!A9</f>
        <v/>
      </c>
      <c r="B2734">
        <f>Skills!B9</f>
        <v/>
      </c>
      <c r="C2734">
        <f>Inputs!$B$3&gt;=125</f>
        <v/>
      </c>
      <c r="D2734">
        <f>IF(Skills!C9=1,60+Inputs!$B$25+Inputs!$B$29,IF(Skills!C9=2,90+Inputs!$B$26+Inputs!$B$29,IF(Skills!C9=3,120+Inputs!$B$27+Inputs!$B$29,MAX(0,(Inputs!$B$3-100)*3)+Inputs!$B$28+Inputs!$B$29)))</f>
        <v/>
      </c>
      <c r="E2734">
        <f>INDEX(FactorTable!$B$2:$Y$301, MATCH(ROUND(MIN(300,MAX(1,D2734)),0), FactorTable!$A$2:$A$301,0), Skills!M9+1)</f>
        <v/>
      </c>
      <c r="F2734">
        <f>IF(Skills!N9=TRUE,(Skills!L9/10)*(E2734/1000),Skills!L9/10)+Skills!O9</f>
        <v/>
      </c>
      <c r="G2734">
        <f>Skills!G9*IF(Skills!H9&gt;0,Skills!I9/Skills!H9,1)</f>
        <v/>
      </c>
      <c r="H2734">
        <f>1-(1-Skills!J9/100)^Skills!K9</f>
        <v/>
      </c>
      <c r="I2734" t="inlineStr">
        <is>
          <t>1</t>
        </is>
      </c>
      <c r="J2734">
        <f>((Inputs!$B$6*(1+Inputs!$B$7/100))+(((Inputs!$B$12*(1+Inputs!$B$13/100))-(Inputs!$B$12*(1+Inputs!$B$13/100)))+0.25*(Inputs!$B$14-Inputs!$B$14))*(1+Inputs!$B$7/100))*(F2734/100)</f>
        <v/>
      </c>
      <c r="K2734">
        <f>J2734*(1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2734)</f>
        <v/>
      </c>
      <c r="L2734">
        <f>K2734*(MIN(Inputs!$B$22+((C2747=TRUE)*(F2747-Calc!F22)),(Inputs!$B$23+((C2749=TRUE)*(F2749-Calc!F24))+(IF(ArtifactsInput!$M$15,CHOOSE(ArtifactsInput!$N$15+1,25,30,35,40,45,50)/100*(Inputs!$B$11-Inputs!$B$11),0))))/100+(Inputs!$B$23+((C2749=TRUE)*(F2749-Calc!F24))+(IF(ArtifactsInput!$M$15,CHOOSE(ArtifactsInput!$N$15+1,25,30,35,40,45,50)/100*(Inputs!$B$11-Inputs!$B$11),0)))/100)/2</f>
        <v/>
      </c>
      <c r="M2734">
        <f>L2734*(1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4">
        <f>L2734*(1-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2734*(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4">
        <f>(1-Summary!$B$11)*T2734+Summary!$B$11*V2734</f>
        <v/>
      </c>
      <c r="P2734">
        <f>IF(B2762=0,0,O2734/B2762)</f>
        <v/>
      </c>
      <c r="Q2734">
        <f>IFERROR(1/(IF(Inputs!$B$38="pvp",15,MAX(0.1,Skills!D9-IF(Skills!E9=TRUE,2.5,0)))*(1-IF(AND(ArtifactsInput!$M$27,Inputs!$B$4="Chapter Hunt"),CHOOSE(ArtifactsInput!$N$27+1,20,24,28,32,36,40),0)/100)),0)</f>
        <v/>
      </c>
      <c r="R2734">
        <f>IF(AND(Inputs!$B$38&lt;&gt;"pvp",Inputs!$B$43&gt;0),IF(MAX(0,Inputs!$B$43-B2759)&lt;=0,0,(INT(MAX(0,Inputs!$B$43-B2759)/(IF(Inputs!$B$38="pvp",15,MAX(0.1,Skills!D9-IF(Skills!E9=TRUE,2.5,0)))*(1-IF(AND(ArtifactsInput!$M$27,Inputs!$B$4="Chapter Hunt"),CHOOSE(ArtifactsInput!$N$27+1,20,24,28,32,36,40),0)/100)))+1)),0)</f>
        <v/>
      </c>
      <c r="S2734">
        <f>IFERROR(O2734/N2734,0)</f>
        <v/>
      </c>
      <c r="T2734">
        <f>IF(C2734,(H2734*N2734*IF(AND(Inputs!$B$38&lt;&gt;"pvp",Inputs!$B$43&gt;0),((Skills!G9*((R2734-1)*IF(Skills!H9&gt;0,Skills!I9/Skills!H9,1)+IF(Skills!H9&gt;0,MIN(Skills!I9,MAX(0,MAX(0,Inputs!$B$43-B2759)-((R2734-1)*(IF(Inputs!$B$38="pvp",15,MAX(0.1,Skills!D9-IF(Skills!E9=TRUE,2.5,0)))*(1-IF(AND(ArtifactsInput!$M$27,Inputs!$B$4="Chapter Hunt"),CHOOSE(ArtifactsInput!$N$27+1,20,24,28,32,36,40),0)/100)))))/Skills!H9,1)))/Inputs!$B$43),G2734*Q2734)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2734*(1-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2734*(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2734*(1-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2734*(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4">
        <f>IF(C2734,(H2734*N2734*IF(AND(Inputs!$B$38&lt;&gt;"pvp",Inputs!$B$43&gt;0),((Skills!G9*((R2734-1)*IF(Skills!H9&gt;0,Skills!I9/Skills!H9,1)+IF(Skills!H9&gt;0,MIN(Skills!I9,MAX(0,MAX(0,Inputs!$B$43-B2759)-((R2734-1)*(IF(Inputs!$B$38="pvp",15,MAX(0.1,Skills!D9-IF(Skills!E9=TRUE,2.5,0)))*(1-IF(AND(ArtifactsInput!$M$27,Inputs!$B$4="Chapter Hunt"),CHOOSE(ArtifactsInput!$N$27+1,20,24,28,32,36,40),0)/100)))))/Skills!H9,1)))/Inputs!$B$43),G2734*Q2734))*IF(Inputs!$B$38="pvp",1,(1+(Inputs!$B$21+Skills!Q9+(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5">
      <c r="A2735">
        <f>Skills!A10</f>
        <v/>
      </c>
      <c r="B2735">
        <f>Skills!B10</f>
        <v/>
      </c>
      <c r="C2735">
        <f>Inputs!$B$3&gt;=117</f>
        <v/>
      </c>
      <c r="D2735">
        <f>IF(Skills!C10=1,60+Inputs!$B$25+Inputs!$B$29,IF(Skills!C10=2,90+Inputs!$B$26+Inputs!$B$29,IF(Skills!C10=3,120+Inputs!$B$27+Inputs!$B$29,MAX(0,(Inputs!$B$3-100)*3)+Inputs!$B$28+Inputs!$B$29)))</f>
        <v/>
      </c>
      <c r="E2735">
        <f>INDEX(FactorTable!$B$2:$Y$301, MATCH(ROUND(MIN(300,MAX(1,D2735)),0), FactorTable!$A$2:$A$301,0), Skills!M10+1)</f>
        <v/>
      </c>
      <c r="F2735">
        <f>IF(Skills!N10=TRUE,(Skills!L10/10)*(E2735/1000),Skills!L10/10)+Skills!O10</f>
        <v/>
      </c>
      <c r="G2735">
        <f>Skills!G10*IF(Skills!H10&gt;0,Skills!I10/Skills!H10,1)</f>
        <v/>
      </c>
      <c r="H2735">
        <f>1-(1-Skills!J10/100)^Skills!K10</f>
        <v/>
      </c>
      <c r="I2735" t="inlineStr">
        <is>
          <t>1</t>
        </is>
      </c>
      <c r="J2735">
        <f>((Inputs!$B$6*(1+Inputs!$B$7/100))+(((Inputs!$B$12*(1+Inputs!$B$13/100))-(Inputs!$B$12*(1+Inputs!$B$13/100)))+0.25*(Inputs!$B$14-Inputs!$B$14))*(1+Inputs!$B$7/100))*(F2735/100)</f>
        <v/>
      </c>
      <c r="K2735">
        <f>J2735*(1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2735)</f>
        <v/>
      </c>
      <c r="L2735">
        <f>K2735*(MIN(Inputs!$B$22+((C2747=TRUE)*(F2747-Calc!F22)),(Inputs!$B$23+((C2749=TRUE)*(F2749-Calc!F24))+(IF(ArtifactsInput!$M$15,CHOOSE(ArtifactsInput!$N$15+1,25,30,35,40,45,50)/100*(Inputs!$B$11-Inputs!$B$11),0))))/100+(Inputs!$B$23+((C2749=TRUE)*(F2749-Calc!F24))+(IF(ArtifactsInput!$M$15,CHOOSE(ArtifactsInput!$N$15+1,25,30,35,40,45,50)/100*(Inputs!$B$11-Inputs!$B$11),0)))/100)/2</f>
        <v/>
      </c>
      <c r="M2735">
        <f>L2735*(1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5">
        <f>L2735*(1-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2735*(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5">
        <f>(1-Summary!$B$11)*T2735+Summary!$B$11*V2735</f>
        <v/>
      </c>
      <c r="P2735">
        <f>IF(B2762=0,0,O2735/B2762)</f>
        <v/>
      </c>
      <c r="Q2735">
        <f>IFERROR(1/(IF(Inputs!$B$38="pvp",15,MAX(0.1,Skills!D10-IF(Skills!E10=TRUE,2.5,0)))*(1-IF(AND(ArtifactsInput!$M$27,Inputs!$B$4="Chapter Hunt"),CHOOSE(ArtifactsInput!$N$27+1,20,24,28,32,36,40),0)/100)),0)</f>
        <v/>
      </c>
      <c r="R2735">
        <f>IF(AND(Inputs!$B$38&lt;&gt;"pvp",Inputs!$B$43&gt;0),IF(MAX(0,Inputs!$B$43-B2759)&lt;=0,0,(INT(MAX(0,Inputs!$B$43-B2759)/(IF(Inputs!$B$38="pvp",15,MAX(0.1,Skills!D10-IF(Skills!E10=TRUE,2.5,0)))*(1-IF(AND(ArtifactsInput!$M$27,Inputs!$B$4="Chapter Hunt"),CHOOSE(ArtifactsInput!$N$27+1,20,24,28,32,36,40),0)/100)))+1)),0)</f>
        <v/>
      </c>
      <c r="S2735">
        <f>IFERROR(O2735/N2735,0)</f>
        <v/>
      </c>
      <c r="T2735">
        <f>IF(C2735,(H2735*N2735*IF(AND(Inputs!$B$38&lt;&gt;"pvp",Inputs!$B$43&gt;0),((Skills!G10*((R2735-1)*IF(Skills!H10&gt;0,Skills!I10/Skills!H10,1)+IF(Skills!H10&gt;0,MIN(Skills!I10,MAX(0,MAX(0,Inputs!$B$43-B2759)-((R2735-1)*(IF(Inputs!$B$38="pvp",15,MAX(0.1,Skills!D10-IF(Skills!E10=TRUE,2.5,0)))*(1-IF(AND(ArtifactsInput!$M$27,Inputs!$B$4="Chapter Hunt"),CHOOSE(ArtifactsInput!$N$27+1,20,24,28,32,36,40),0)/100)))))/Skills!H10,1)))/Inputs!$B$43),G2735*Q2735)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2735*(1-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2735*(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2735*(1-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2735*(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5">
        <f>IF(C2735,(H2735*N2735*IF(AND(Inputs!$B$38&lt;&gt;"pvp",Inputs!$B$43&gt;0),((Skills!G10*((R2735-1)*IF(Skills!H10&gt;0,Skills!I10/Skills!H10,1)+IF(Skills!H10&gt;0,MIN(Skills!I10,MAX(0,MAX(0,Inputs!$B$43-B2759)-((R2735-1)*(IF(Inputs!$B$38="pvp",15,MAX(0.1,Skills!D10-IF(Skills!E10=TRUE,2.5,0)))*(1-IF(AND(ArtifactsInput!$M$27,Inputs!$B$4="Chapter Hunt"),CHOOSE(ArtifactsInput!$N$27+1,20,24,28,32,36,40),0)/100)))))/Skills!H10,1)))/Inputs!$B$43),G2735*Q2735))*IF(Inputs!$B$38="pvp",1,(1+(Inputs!$B$21+Skills!Q10+(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6">
      <c r="A2736">
        <f>Skills!A11</f>
        <v/>
      </c>
      <c r="B2736">
        <f>Skills!B11</f>
        <v/>
      </c>
      <c r="C2736">
        <f>Inputs!$B$3&gt;=63</f>
        <v/>
      </c>
      <c r="D2736">
        <f>IF(Skills!C11=1,60+Inputs!$B$25+Inputs!$B$29,IF(Skills!C11=2,90+Inputs!$B$26+Inputs!$B$29,IF(Skills!C11=3,120+Inputs!$B$27+Inputs!$B$29,MAX(0,(Inputs!$B$3-100)*3)+Inputs!$B$28+Inputs!$B$29)))</f>
        <v/>
      </c>
      <c r="E2736">
        <f>INDEX(FactorTable!$B$2:$Y$301, MATCH(ROUND(MIN(300,MAX(1,D2736)),0), FactorTable!$A$2:$A$301,0), Skills!M11+1)</f>
        <v/>
      </c>
      <c r="F2736">
        <f>IF(Skills!N11=TRUE,(Skills!L11/10)*(E2736/1000),Skills!L11/10)+Skills!O11</f>
        <v/>
      </c>
      <c r="G2736">
        <f>Skills!G11*IF(Skills!H11&gt;0,Skills!I11/Skills!H11,1)</f>
        <v/>
      </c>
      <c r="H2736">
        <f>1-(1-Skills!J11/100)^Skills!K11</f>
        <v/>
      </c>
      <c r="I2736" t="inlineStr">
        <is>
          <t>1</t>
        </is>
      </c>
      <c r="J2736">
        <f>((Inputs!$B$6*(1+Inputs!$B$7/100))+(((Inputs!$B$12*(1+Inputs!$B$13/100))-(Inputs!$B$12*(1+Inputs!$B$13/100)))+0.25*(Inputs!$B$14-Inputs!$B$14))*(1+Inputs!$B$7/100))*(F2736/100)</f>
        <v/>
      </c>
      <c r="K2736">
        <f>J2736*(1+((Inputs!$B$12*(1+Inputs!$B$13/100))*0.01+Inputs!$B$14*0.0025)/100)*(1+Inputs!$B$15/100)*(1+Inputs!$B$16/100)*(5000/(6000+Inputs!$B$42*(1-(Inputs!$B$19+0)/100)))*(1+(Inputs!$B$24+0+B2758)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2737=TRUE,F2737,0)/100)*(1+(IF(Skills!A11="BLAST",Inputs!$B$17+((C2746=TRUE)*(F2746-Calc!F21))+((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MIN(100,((Inputs!$B$9+0+B2752+(ArtifactsInput!$M$24-ArtifactsInput!$M$24)*CHOOSE(ArtifactsInput!$N$24+1,10,12,14,16,18,20)+IF(ArtifactsInput!$M$10,CHOOSE(ArtifactsInput!$N$10+1,15,18,21,24,27,30)*(IF(Inputs!$B$38="pvp",MIN(15,15)/15,IF(AND(Inputs!$B$38&lt;&gt;"pvp",Inputs!$B$43&gt;0),MIN(15,Inputs!$B$43)/(Inputs!$B$43),0))),0)))-100),0))*CHOOSE(ArtifactsInput!$N$42+1,0.6,0.72,0.84,0.96,1.08,1.2))),Inputs!$B$18+((C2748=TRUE)*(F2748-Calc!F23))+(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gt;=100),CHOOSE(ArtifactsInput!$N$42+1,40,48,56,64,72,80),0))))/100)*((1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2736)</f>
        <v/>
      </c>
      <c r="L2736">
        <f>K2736*(MIN(Inputs!$B$22+((C2747=TRUE)*(F2747-Calc!F22)),(Inputs!$B$23+((C2749=TRUE)*(F2749-Calc!F24))+(IF(ArtifactsInput!$M$15,CHOOSE(ArtifactsInput!$N$15+1,25,30,35,40,45,50)/100*(Inputs!$B$11-Inputs!$B$11),0))))/100+(Inputs!$B$23+((C2749=TRUE)*(F2749-Calc!F24))+(IF(ArtifactsInput!$M$15,CHOOSE(ArtifactsInput!$N$15+1,25,30,35,40,45,50)/100*(Inputs!$B$11-Inputs!$B$11),0)))/100)/2</f>
        <v/>
      </c>
      <c r="M2736">
        <f>L2736*(1+(Inputs!$B$10+0+B2757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6">
        <f>L2736*(1-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2736*(MIN((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6">
        <f>(1-Summary!$B$11)*T2736+Summary!$B$11*V2736</f>
        <v/>
      </c>
      <c r="P2736">
        <f>IF(B2762=0,0,O2736/B2762)</f>
        <v/>
      </c>
      <c r="Q2736">
        <f>IFERROR(1/(IF(Inputs!$B$38="pvp",15,MAX(0.1,Skills!D11-IF(Skills!E11=TRUE,2.5,0)))*(1-IF(AND(ArtifactsInput!$M$27,Inputs!$B$4="Chapter Hunt"),CHOOSE(ArtifactsInput!$N$27+1,20,24,28,32,36,40),0)/100)),0)</f>
        <v/>
      </c>
      <c r="R2736">
        <f>IF(AND(Inputs!$B$38&lt;&gt;"pvp",Inputs!$B$43&gt;0),IF(MAX(0,Inputs!$B$43-B2759)&lt;=0,0,(INT(MAX(0,Inputs!$B$43-B2759)/(IF(Inputs!$B$38="pvp",15,MAX(0.1,Skills!D11-IF(Skills!E11=TRUE,2.5,0)))*(1-IF(AND(ArtifactsInput!$M$27,Inputs!$B$4="Chapter Hunt"),CHOOSE(ArtifactsInput!$N$27+1,20,24,28,32,36,40),0)/100)))+1)),0)</f>
        <v/>
      </c>
      <c r="S2736">
        <f>IFERROR(O2736/N2736,0)</f>
        <v/>
      </c>
      <c r="T2736">
        <f>IF(C2736,(H2736*N2736*IF(AND(Inputs!$B$38&lt;&gt;"pvp",Inputs!$B$43&gt;0),((Skills!G11*((R2736-1)*IF(Skills!H11&gt;0,Skills!I11/Skills!H11,1)+IF(Skills!H11&gt;0,MIN(Skills!I11,MAX(0,MAX(0,Inputs!$B$43-B2759)-((R2736-1)*(IF(Inputs!$B$38="pvp",15,MAX(0.1,Skills!D11-IF(Skills!E11=TRUE,2.5,0)))*(1-IF(AND(ArtifactsInput!$M$27,Inputs!$B$4="Chapter Hunt"),CHOOSE(ArtifactsInput!$N$27+1,20,24,28,32,36,40),0)/100)))))/Skills!H11,1)))/Inputs!$B$43),G2736*Q2736)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2736*(1-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2736*(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2736*(1-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2736*(MIN(100,(Inputs!$B$9+0+B2752+(ArtifactsInput!$M$24-ArtifactsInput!$M$24)*CHOOSE(ArtifactsInput!$N$24+1,10,12,14,16,18,20)+(IF(AND(Inputs!$B$38&lt;&gt;"pvp",Inputs!$B$43=0),1,IF(IF(Inputs!$B$38="pvp",15,Inputs!$B$43)-(B2759)&lt;=0,1,MAX(0,IF(Inputs!$B$38="pvp",15,Inputs!$B$43)-MAX(5,B2759))/(IF(Inputs!$B$38="pvp",15,Inputs!$B$43)-(B2759))))*IF(AND(ArtifactsInput!$M$42,((Inputs!$B$9+0+B2752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6">
        <f>IF(C2736,(H2736*N2736*IF(AND(Inputs!$B$38&lt;&gt;"pvp",Inputs!$B$43&gt;0),((Skills!G11*((R2736-1)*IF(Skills!H11&gt;0,Skills!I11/Skills!H11,1)+IF(Skills!H11&gt;0,MIN(Skills!I11,MAX(0,MAX(0,Inputs!$B$43-B2759)-((R2736-1)*(IF(Inputs!$B$38="pvp",15,MAX(0.1,Skills!D11-IF(Skills!E11=TRUE,2.5,0)))*(1-IF(AND(ArtifactsInput!$M$27,Inputs!$B$4="Chapter Hunt"),CHOOSE(ArtifactsInput!$N$27+1,20,24,28,32,36,40),0)/100)))))/Skills!H11,1)))/Inputs!$B$43),G2736*Q2736))*IF(Inputs!$B$38="pvp",1,(1+(Inputs!$B$21+Skills!Q11+(IF(ArtifactsInput!$M$33,CHOOSE(ArtifactsInput!$N$33+1,30,36,42,48,54,60),0))+(IF(AND(ArtifactsInput!$M$35,Inputs!$B$4&lt;&gt;"Chapter Hunt"),CHOOSE(ArtifactsInput!$N$35+1,15,18,21,24,27,30)*(1-EXP(-(0.2*B2754)*5)),0)+IF(AND(ArtifactsInput!$M$22,Inputs!$B$4&lt;&gt;"Chapter Hunt"),CHOOSE(ArtifactsInput!$N$22+1,10,12,14,16,18,20)*((0*(((0.15*B2754*5))^0/1)+1*(((0.15*B2754*5))^1/1)+2*(((0.15*B2754*5))^2/2)+3*(((0.15*B2754*5))^3/6)+4*(((0.15*B2754*5))^4/24)+5*(((0.15*B2754*5))^5/120))/((((0.15*B2754*5))^0/1)+(((0.15*B2754*5))^1/1)+(((0.15*B2754*5))^2/2)+(((0.15*B2754*5))^3/6)+(((0.15*B2754*5))^4/24)+(((0.15*B2754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7">
      <c r="A2737">
        <f>Skills!A12</f>
        <v/>
      </c>
      <c r="B2737">
        <f>Skills!B12</f>
        <v/>
      </c>
      <c r="C2737">
        <f>Inputs!$B$3&gt;=100</f>
        <v/>
      </c>
      <c r="D2737">
        <f>IF(Skills!C12=1,60+Inputs!$B$25+Inputs!$B$29,IF(Skills!C12=2,90+Inputs!$B$26+Inputs!$B$29,IF(Skills!C12=3,120+Inputs!$B$27+Inputs!$B$29,MAX(0,(Inputs!$B$3-100)*3)+Inputs!$B$28+Inputs!$B$29)))</f>
        <v/>
      </c>
      <c r="E2737">
        <f>INDEX(FactorTable!$B$2:$Y$301, MATCH(ROUND(MIN(300,MAX(1,D2737)),0), FactorTable!$A$2:$A$301,0), Skills!M12+1)</f>
        <v/>
      </c>
      <c r="F2737">
        <f>IF(Skills!N12=TRUE,(Skills!L12/10)*(E2737/1000),Skills!L12/10)+Skills!O12</f>
        <v/>
      </c>
      <c r="G2737" t="inlineStr"/>
      <c r="H2737" t="inlineStr"/>
      <c r="I2737" t="inlineStr">
        <is>
          <t>1</t>
        </is>
      </c>
      <c r="J2737" t="inlineStr"/>
      <c r="K2737" t="inlineStr"/>
      <c r="L2737" t="inlineStr"/>
      <c r="M2737" t="inlineStr"/>
      <c r="N2737" t="inlineStr"/>
      <c r="O2737" t="inlineStr"/>
      <c r="P2737" t="inlineStr"/>
      <c r="Q2737" t="inlineStr"/>
      <c r="R2737" t="inlineStr"/>
      <c r="S2737" t="inlineStr"/>
    </row>
    <row r="2738">
      <c r="A2738">
        <f>Skills!A13</f>
        <v/>
      </c>
      <c r="B2738">
        <f>Skills!B13</f>
        <v/>
      </c>
      <c r="C2738">
        <f>Inputs!$B$3&gt;=45</f>
        <v/>
      </c>
      <c r="D2738">
        <f>IF(Skills!C13=1,60+Inputs!$B$25+Inputs!$B$29,IF(Skills!C13=2,90+Inputs!$B$26+Inputs!$B$29,IF(Skills!C13=3,120+Inputs!$B$27+Inputs!$B$29,MAX(0,(Inputs!$B$3-100)*3)+Inputs!$B$28+Inputs!$B$29)))</f>
        <v/>
      </c>
      <c r="E2738">
        <f>INDEX(FactorTable!$B$2:$Y$301, MATCH(ROUND(MIN(300,MAX(1,D2738)),0), FactorTable!$A$2:$A$301,0), Skills!M13+1)</f>
        <v/>
      </c>
      <c r="F2738">
        <f>IF(Skills!N13=TRUE,(Skills!L13/10)*(E2738/1000),Skills!L13/10)+Skills!O13</f>
        <v/>
      </c>
      <c r="G2738">
        <f>Skills!G13*IF(Skills!H13&gt;0,Skills!I13/Skills!H13,1)</f>
        <v/>
      </c>
      <c r="H2738">
        <f>1-(1-Skills!J13/100)^Skills!K13</f>
        <v/>
      </c>
      <c r="I2738" t="inlineStr">
        <is>
          <t>1</t>
        </is>
      </c>
      <c r="J2738" t="inlineStr"/>
      <c r="K2738" t="inlineStr"/>
      <c r="L2738" t="inlineStr"/>
      <c r="M2738" t="inlineStr"/>
      <c r="N2738" t="inlineStr"/>
      <c r="O2738">
        <f>(1-Summary!$B$11)*T2738+Summary!$B$11*V2738</f>
        <v/>
      </c>
      <c r="P2738">
        <f>IF(B2762=0,0,O2738/B2762)</f>
        <v/>
      </c>
      <c r="Q2738" t="n">
        <v>0</v>
      </c>
      <c r="R2738" t="n">
        <v>0</v>
      </c>
      <c r="S2738">
        <f>IFERROR(O2738/N2738,0)</f>
        <v/>
      </c>
      <c r="T2738" t="n">
        <v>0</v>
      </c>
      <c r="V2738" t="n">
        <v>0</v>
      </c>
    </row>
    <row r="2739">
      <c r="A2739">
        <f>Skills!A14</f>
        <v/>
      </c>
      <c r="B2739">
        <f>Skills!B14</f>
        <v/>
      </c>
      <c r="C2739">
        <f>Inputs!$B$3&gt;=110</f>
        <v/>
      </c>
      <c r="D2739">
        <f>IF(Skills!C14=1,60+Inputs!$B$25+Inputs!$B$29,IF(Skills!C14=2,90+Inputs!$B$26+Inputs!$B$29,IF(Skills!C14=3,120+Inputs!$B$27+Inputs!$B$29,MAX(0,(Inputs!$B$3-100)*3)+Inputs!$B$28+Inputs!$B$29)))</f>
        <v/>
      </c>
      <c r="E2739">
        <f>INDEX(FactorTable!$B$2:$Y$301, MATCH(ROUND(MIN(300,MAX(1,D2739)),0), FactorTable!$A$2:$A$301,0), Skills!M14+1)</f>
        <v/>
      </c>
      <c r="F2739">
        <f>IF(Skills!N14=TRUE,(Skills!L14/10)*(E2739/1000),Skills!L14/10)+Skills!O14</f>
        <v/>
      </c>
      <c r="G2739">
        <f>Skills!G14*IF(Skills!H14&gt;0,Skills!I14/Skills!H14,1)</f>
        <v/>
      </c>
      <c r="H2739">
        <f>1-(1-Skills!J14/100)^Skills!K14</f>
        <v/>
      </c>
      <c r="I2739" t="inlineStr">
        <is>
          <t>1</t>
        </is>
      </c>
      <c r="J2739" t="inlineStr"/>
      <c r="K2739" t="inlineStr"/>
      <c r="L2739" t="inlineStr"/>
      <c r="M2739" t="inlineStr"/>
      <c r="N2739" t="inlineStr"/>
      <c r="O2739">
        <f>(1-Summary!$B$11)*T2739+Summary!$B$11*V2739</f>
        <v/>
      </c>
      <c r="P2739">
        <f>IF(B2762=0,0,O2739/B2762)</f>
        <v/>
      </c>
      <c r="Q2739" t="n">
        <v>0</v>
      </c>
      <c r="R2739" t="n">
        <v>0</v>
      </c>
      <c r="S2739">
        <f>IFERROR(O2739/N2739,0)</f>
        <v/>
      </c>
      <c r="T2739" t="n">
        <v>0</v>
      </c>
      <c r="V2739" t="n">
        <v>0</v>
      </c>
    </row>
    <row r="2740">
      <c r="A2740">
        <f>Skills!A15</f>
        <v/>
      </c>
      <c r="B2740">
        <f>Skills!B15</f>
        <v/>
      </c>
      <c r="C2740">
        <f>Inputs!$B$3&gt;=75</f>
        <v/>
      </c>
      <c r="D2740">
        <f>IF(Skills!C15=1,60+Inputs!$B$25+Inputs!$B$29,IF(Skills!C15=2,90+Inputs!$B$26+Inputs!$B$29,IF(Skills!C15=3,120+Inputs!$B$27+Inputs!$B$29,MAX(0,(Inputs!$B$3-100)*3)+Inputs!$B$28+Inputs!$B$29)))</f>
        <v/>
      </c>
      <c r="E2740">
        <f>INDEX(FactorTable!$B$2:$Y$301, MATCH(ROUND(MIN(300,MAX(1,D2740)),0), FactorTable!$A$2:$A$301,0), Skills!M15+1)</f>
        <v/>
      </c>
      <c r="F2740">
        <f>IF(Skills!N15=TRUE,(Skills!L15/10)*(E2740/1000),Skills!L15/10)+Skills!O15</f>
        <v/>
      </c>
      <c r="G2740">
        <f>Skills!G15*IF(Skills!H15&gt;0,Skills!I15/Skills!H15,1)</f>
        <v/>
      </c>
      <c r="H2740">
        <f>1-(1-Skills!J15/100)^Skills!K15</f>
        <v/>
      </c>
      <c r="I2740" t="inlineStr">
        <is>
          <t>1</t>
        </is>
      </c>
      <c r="J2740" t="inlineStr"/>
      <c r="K2740" t="inlineStr"/>
      <c r="L2740" t="inlineStr"/>
      <c r="M2740" t="inlineStr"/>
      <c r="N2740" t="inlineStr"/>
      <c r="O2740">
        <f>(1-Summary!$B$11)*T2740+Summary!$B$11*V2740</f>
        <v/>
      </c>
      <c r="P2740">
        <f>IF(B2762=0,0,O2740/B2762)</f>
        <v/>
      </c>
      <c r="Q2740">
        <f>IFERROR(1/(IF(Inputs!$B$38="pvp",15,MAX(0.1,Skills!D15-IF(Skills!E15=TRUE,2.5,0)))*(1-IF(AND(ArtifactsInput!$M$27,Inputs!$B$4="Chapter Hunt"),CHOOSE(ArtifactsInput!$N$27+1,20,24,28,32,36,40),0)/100)),0)</f>
        <v/>
      </c>
      <c r="R2740">
        <f>IF(AND(Inputs!$B$38&lt;&gt;"pvp",Inputs!$B$43&gt;0),IF(Inputs!$B$43&lt;=0,0,(INT(Inputs!$B$43/(IF(Inputs!$B$38="pvp",15,MAX(0.1,Skills!D15-IF(Skills!E15=TRUE,2.5,0)))*(1-IF(AND(ArtifactsInput!$M$27,Inputs!$B$4="Chapter Hunt"),CHOOSE(ArtifactsInput!$N$27+1,20,24,28,32,36,40),0)/100)))+1)),0)</f>
        <v/>
      </c>
      <c r="S2740">
        <f>IFERROR(O2740/N2740,0)</f>
        <v/>
      </c>
      <c r="T2740" t="n">
        <v>0</v>
      </c>
      <c r="V2740" t="n">
        <v>0</v>
      </c>
    </row>
    <row r="2741">
      <c r="A2741">
        <f>Skills!A16</f>
        <v/>
      </c>
      <c r="B2741">
        <f>Skills!B16</f>
        <v/>
      </c>
      <c r="C2741">
        <f>Inputs!$B$3&gt;=105</f>
        <v/>
      </c>
      <c r="D2741">
        <f>IF(Skills!C16=1,60+Inputs!$B$25+Inputs!$B$29,IF(Skills!C16=2,90+Inputs!$B$26+Inputs!$B$29,IF(Skills!C16=3,120+Inputs!$B$27+Inputs!$B$29,MAX(0,(Inputs!$B$3-100)*3)+Inputs!$B$28+Inputs!$B$29)))</f>
        <v/>
      </c>
      <c r="E2741">
        <f>INDEX(FactorTable!$B$2:$Y$301, MATCH(ROUND(MIN(300,MAX(1,D2741)),0), FactorTable!$A$2:$A$301,0), Skills!M16+1)</f>
        <v/>
      </c>
      <c r="F2741">
        <f>IF(Skills!N16=TRUE,(Skills!L16/10)*(E2741/1000),Skills!L16/10)+Skills!O16</f>
        <v/>
      </c>
      <c r="G2741">
        <f>Skills!G16*IF(Skills!H16&gt;0,Skills!I16/Skills!H16,1)</f>
        <v/>
      </c>
      <c r="H2741">
        <f>1-(1-Skills!J16/100)^Skills!K16</f>
        <v/>
      </c>
      <c r="I2741" t="inlineStr">
        <is>
          <t>1</t>
        </is>
      </c>
      <c r="J2741" t="inlineStr"/>
      <c r="K2741" t="inlineStr"/>
      <c r="L2741" t="inlineStr"/>
      <c r="M2741" t="inlineStr"/>
      <c r="N2741" t="inlineStr"/>
      <c r="O2741">
        <f>(1-Summary!$B$11)*T2741+Summary!$B$11*V2741</f>
        <v/>
      </c>
      <c r="P2741">
        <f>IF(B2762=0,0,O2741/B2762)</f>
        <v/>
      </c>
      <c r="Q2741">
        <f>IFERROR(1/(IF(Inputs!$B$38="pvp",15,MAX(0.1,Skills!D16-IF(Skills!E16=TRUE,2.5,0)))*(1-IF(AND(ArtifactsInput!$M$27,Inputs!$B$4="Chapter Hunt"),CHOOSE(ArtifactsInput!$N$27+1,20,24,28,32,36,40),0)/100)),0)</f>
        <v/>
      </c>
      <c r="R2741">
        <f>IF(AND(Inputs!$B$38&lt;&gt;"pvp",Inputs!$B$43&gt;0),IF(Inputs!$B$43&lt;=0,0,(INT(Inputs!$B$43/(IF(Inputs!$B$38="pvp",15,MAX(0.1,Skills!D16-IF(Skills!E16=TRUE,2.5,0)))*(1-IF(AND(ArtifactsInput!$M$27,Inputs!$B$4="Chapter Hunt"),CHOOSE(ArtifactsInput!$N$27+1,20,24,28,32,36,40),0)/100)))+1)),0)</f>
        <v/>
      </c>
      <c r="S2741">
        <f>IFERROR(O2741/N2741,0)</f>
        <v/>
      </c>
      <c r="T2741" t="n">
        <v>0</v>
      </c>
      <c r="V2741" t="n">
        <v>0</v>
      </c>
    </row>
    <row r="2742">
      <c r="A2742">
        <f>Skills!A17</f>
        <v/>
      </c>
      <c r="B2742">
        <f>Skills!B17</f>
        <v/>
      </c>
      <c r="C2742">
        <f>Inputs!$B$3&gt;=115</f>
        <v/>
      </c>
      <c r="D2742">
        <f>IF(Skills!C17=1,60+Inputs!$B$25+Inputs!$B$29,IF(Skills!C17=2,90+Inputs!$B$26+Inputs!$B$29,IF(Skills!C17=3,120+Inputs!$B$27+Inputs!$B$29,MAX(0,(Inputs!$B$3-100)*3)+Inputs!$B$28+Inputs!$B$29)))</f>
        <v/>
      </c>
      <c r="E2742">
        <f>INDEX(FactorTable!$B$2:$Y$301, MATCH(ROUND(MIN(300,MAX(1,D2742)),0), FactorTable!$A$2:$A$301,0), Skills!M17+1)</f>
        <v/>
      </c>
      <c r="F2742">
        <f>IF(Skills!N17=TRUE,(Skills!L17/10)*(E2742/1000),Skills!L17/10)+Skills!O17</f>
        <v/>
      </c>
      <c r="G2742">
        <f>Skills!G17*IF(Skills!H17&gt;0,Skills!I17/Skills!H17,1)</f>
        <v/>
      </c>
      <c r="H2742">
        <f>1-(1-Skills!J17/100)^Skills!K17</f>
        <v/>
      </c>
      <c r="I2742" t="inlineStr">
        <is>
          <t>1</t>
        </is>
      </c>
      <c r="J2742" t="inlineStr"/>
      <c r="K2742" t="inlineStr"/>
      <c r="L2742" t="inlineStr"/>
      <c r="M2742" t="inlineStr"/>
      <c r="N2742" t="inlineStr"/>
      <c r="O2742">
        <f>(1-Summary!$B$11)*T2742+Summary!$B$11*V2742</f>
        <v/>
      </c>
      <c r="P2742">
        <f>IF(B2762=0,0,O2742/B2762)</f>
        <v/>
      </c>
      <c r="Q2742">
        <f>IFERROR(1/(IF(Inputs!$B$38="pvp",15,MAX(0.1,Skills!D17-IF(Skills!E17=TRUE,2.5,0)))*(1-IF(AND(ArtifactsInput!$M$27,Inputs!$B$4="Chapter Hunt"),CHOOSE(ArtifactsInput!$N$27+1,20,24,28,32,36,40),0)/100)),0)</f>
        <v/>
      </c>
      <c r="R2742">
        <f>IF(AND(Inputs!$B$38&lt;&gt;"pvp",Inputs!$B$43&gt;0),IF(Inputs!$B$43&lt;=0,0,(INT(Inputs!$B$43/(IF(Inputs!$B$38="pvp",15,MAX(0.1,Skills!D17-IF(Skills!E17=TRUE,2.5,0)))*(1-IF(AND(ArtifactsInput!$M$27,Inputs!$B$4="Chapter Hunt"),CHOOSE(ArtifactsInput!$N$27+1,20,24,28,32,36,40),0)/100)))+1)),0)</f>
        <v/>
      </c>
      <c r="S2742">
        <f>IFERROR(O2742/N2742,0)</f>
        <v/>
      </c>
      <c r="T2742" t="n">
        <v>0</v>
      </c>
      <c r="V2742" t="n">
        <v>0</v>
      </c>
    </row>
    <row r="2743">
      <c r="A2743">
        <f>Skills!A18</f>
        <v/>
      </c>
      <c r="B2743">
        <f>Skills!B18</f>
        <v/>
      </c>
      <c r="C2743">
        <f>Inputs!$B$3&gt;=74</f>
        <v/>
      </c>
      <c r="D2743">
        <f>IF(Skills!C18=1,60+Inputs!$B$25+Inputs!$B$29,IF(Skills!C18=2,90+Inputs!$B$26+Inputs!$B$29,IF(Skills!C18=3,120+Inputs!$B$27+Inputs!$B$29,MAX(0,(Inputs!$B$3-100)*3)+Inputs!$B$28+Inputs!$B$29)))</f>
        <v/>
      </c>
      <c r="E2743">
        <f>INDEX(FactorTable!$B$2:$Y$301, MATCH(ROUND(MIN(300,MAX(1,D2743)),0), FactorTable!$A$2:$A$301,0), Skills!M18+1)</f>
        <v/>
      </c>
      <c r="F2743">
        <f>IF(Skills!N18=TRUE,(Skills!L18/10)*(E2743/1000),Skills!L18/10)+Skills!O18</f>
        <v/>
      </c>
      <c r="G2743">
        <f>Skills!G18*IF(Skills!H18&gt;0,Skills!I18/Skills!H18,1)</f>
        <v/>
      </c>
      <c r="H2743">
        <f>1-(1-Skills!J18/100)^Skills!K18</f>
        <v/>
      </c>
      <c r="I2743" t="inlineStr">
        <is>
          <t>1</t>
        </is>
      </c>
      <c r="J2743" t="inlineStr"/>
      <c r="K2743" t="inlineStr"/>
      <c r="L2743" t="inlineStr"/>
      <c r="M2743" t="inlineStr"/>
      <c r="N2743" t="inlineStr"/>
      <c r="O2743">
        <f>(1-Summary!$B$11)*T2743+Summary!$B$11*V2743</f>
        <v/>
      </c>
      <c r="P2743">
        <f>IF(B2762=0,0,O2743/B2762)</f>
        <v/>
      </c>
      <c r="Q2743">
        <f>IFERROR(1/(IF(Inputs!$B$38="pvp",15,MAX(0.1,Skills!D18-IF(Skills!E18=TRUE,2.5,0)))*(1-IF(AND(ArtifactsInput!$M$27,Inputs!$B$4="Chapter Hunt"),CHOOSE(ArtifactsInput!$N$27+1,20,24,28,32,36,40),0)/100)),0)</f>
        <v/>
      </c>
      <c r="R2743">
        <f>IF(AND(Inputs!$B$38&lt;&gt;"pvp",Inputs!$B$43&gt;0),IF(Inputs!$B$43&lt;=0,0,(INT(Inputs!$B$43/(IF(Inputs!$B$38="pvp",15,MAX(0.1,Skills!D18-IF(Skills!E18=TRUE,2.5,0)))*(1-IF(AND(ArtifactsInput!$M$27,Inputs!$B$4="Chapter Hunt"),CHOOSE(ArtifactsInput!$N$27+1,20,24,28,32,36,40),0)/100)))+1)),0)</f>
        <v/>
      </c>
      <c r="S2743">
        <f>IFERROR(O2743/N2743,0)</f>
        <v/>
      </c>
      <c r="T2743" t="n">
        <v>0</v>
      </c>
      <c r="V2743" t="n">
        <v>0</v>
      </c>
    </row>
    <row r="2744">
      <c r="A2744">
        <f>Skills!A19</f>
        <v/>
      </c>
      <c r="B2744">
        <f>Skills!B19</f>
        <v/>
      </c>
      <c r="C2744">
        <f>TRUE</f>
        <v/>
      </c>
      <c r="D2744">
        <f>IF(Skills!C19=1,60+Inputs!$B$25+Inputs!$B$29,IF(Skills!C19=2,90+Inputs!$B$26+Inputs!$B$29,IF(Skills!C19=3,120+Inputs!$B$27+Inputs!$B$29,MAX(0,(Inputs!$B$3-100)*3)+Inputs!$B$28+Inputs!$B$29)))</f>
        <v/>
      </c>
      <c r="E2744">
        <f>INDEX(FactorTable!$B$2:$Y$301, MATCH(ROUND(MIN(300,MAX(1,D2744)),0), FactorTable!$A$2:$A$301,0), Skills!M19+1)</f>
        <v/>
      </c>
      <c r="F2744">
        <f>IF(Skills!N19=TRUE,(Skills!L19/10)*(E2744/1000),Skills!L19/10)+Skills!O19</f>
        <v/>
      </c>
      <c r="G2744">
        <f>Skills!G19*IF(Skills!H19&gt;0,Skills!I19/Skills!H19,1)</f>
        <v/>
      </c>
      <c r="H2744">
        <f>1-(1-Skills!J19/100)^Skills!K19</f>
        <v/>
      </c>
      <c r="I2744" t="inlineStr">
        <is>
          <t>1</t>
        </is>
      </c>
      <c r="J2744" t="inlineStr"/>
      <c r="K2744" t="inlineStr"/>
      <c r="L2744" t="inlineStr"/>
      <c r="M2744" t="inlineStr"/>
      <c r="N2744" t="inlineStr"/>
      <c r="O2744">
        <f>(1-Summary!$B$11)*T2744+Summary!$B$11*V2744</f>
        <v/>
      </c>
      <c r="P2744">
        <f>IF(B2762=0,0,O2744/B2762)</f>
        <v/>
      </c>
      <c r="Q2744">
        <f>IFERROR(1/(IF(Inputs!$B$38="pvp",15,MAX(0.1,Skills!D19-IF(Skills!E19=TRUE,2.5,0)))*(1-IF(AND(ArtifactsInput!$M$27,Inputs!$B$4="Chapter Hunt"),CHOOSE(ArtifactsInput!$N$27+1,20,24,28,32,36,40),0)/100)),0)</f>
        <v/>
      </c>
      <c r="R2744">
        <f>IF(AND(Inputs!$B$38&lt;&gt;"pvp",Inputs!$B$43&gt;0),IF(Inputs!$B$43&lt;=0,0,(INT(Inputs!$B$43/(IF(Inputs!$B$38="pvp",15,MAX(0.1,Skills!D19-IF(Skills!E19=TRUE,2.5,0)))*(1-IF(AND(ArtifactsInput!$M$27,Inputs!$B$4="Chapter Hunt"),CHOOSE(ArtifactsInput!$N$27+1,20,24,28,32,36,40),0)/100)))+1)),0)</f>
        <v/>
      </c>
      <c r="S2744">
        <f>IFERROR(O2744/N2744,0)</f>
        <v/>
      </c>
      <c r="T2744" t="n">
        <v>0</v>
      </c>
      <c r="V2744" t="n">
        <v>0</v>
      </c>
    </row>
    <row r="2745">
      <c r="A2745">
        <f>Skills!A20</f>
        <v/>
      </c>
      <c r="B2745">
        <f>Skills!B20</f>
        <v/>
      </c>
      <c r="C2745">
        <f>Inputs!$B$3&gt;=33</f>
        <v/>
      </c>
      <c r="D2745">
        <f>IF(Skills!C20=1,60+Inputs!$B$25+Inputs!$B$29,IF(Skills!C20=2,90+Inputs!$B$26+Inputs!$B$29,IF(Skills!C20=3,120+Inputs!$B$27+Inputs!$B$29,MAX(0,(Inputs!$B$3-100)*3)+Inputs!$B$28+Inputs!$B$29)))</f>
        <v/>
      </c>
      <c r="E2745">
        <f>INDEX(FactorTable!$B$2:$Y$301, MATCH(ROUND(MIN(300,MAX(1,D2745)),0), FactorTable!$A$2:$A$301,0), Skills!M20+1)</f>
        <v/>
      </c>
      <c r="F2745">
        <f>IF(Skills!N20=TRUE,(Skills!L20/10)*(E2745/1000),Skills!L20/10)+Skills!O20</f>
        <v/>
      </c>
      <c r="G2745">
        <f>Skills!G20*IF(Skills!H20&gt;0,Skills!I20/Skills!H20,1)</f>
        <v/>
      </c>
      <c r="H2745">
        <f>1-(1-Skills!J20/100)^Skills!K20</f>
        <v/>
      </c>
      <c r="I2745" t="inlineStr">
        <is>
          <t>1</t>
        </is>
      </c>
      <c r="J2745" t="inlineStr"/>
      <c r="K2745" t="inlineStr"/>
      <c r="L2745" t="inlineStr"/>
      <c r="M2745" t="inlineStr"/>
      <c r="N2745" t="inlineStr"/>
      <c r="O2745">
        <f>(1-Summary!$B$11)*T2745+Summary!$B$11*V2745</f>
        <v/>
      </c>
      <c r="P2745">
        <f>IF(B2762=0,0,O2745/B2762)</f>
        <v/>
      </c>
      <c r="Q2745" t="n">
        <v>0</v>
      </c>
      <c r="R2745" t="n">
        <v>0</v>
      </c>
      <c r="S2745">
        <f>IFERROR(O2745/N2745,0)</f>
        <v/>
      </c>
      <c r="T2745" t="n">
        <v>0</v>
      </c>
      <c r="V2745" t="n">
        <v>0</v>
      </c>
    </row>
    <row r="2746">
      <c r="A2746">
        <f>Skills!A21</f>
        <v/>
      </c>
      <c r="B2746">
        <f>Skills!B21</f>
        <v/>
      </c>
      <c r="C2746">
        <f>Inputs!$B$3&gt;=38</f>
        <v/>
      </c>
      <c r="D2746">
        <f>IF(Skills!C21=1,60+Inputs!$B$25+Inputs!$B$29,IF(Skills!C21=2,90+Inputs!$B$26+Inputs!$B$29,IF(Skills!C21=3,120+Inputs!$B$27+Inputs!$B$29,MAX(0,(Inputs!$B$3-100)*3)+Inputs!$B$28+Inputs!$B$29)))</f>
        <v/>
      </c>
      <c r="E2746">
        <f>INDEX(FactorTable!$B$2:$Y$301, MATCH(ROUND(MIN(300,MAX(1,D2746)),0), FactorTable!$A$2:$A$301,0), Skills!M21+1)</f>
        <v/>
      </c>
      <c r="F2746">
        <f>IF(Skills!N21=TRUE,(Skills!L21/10)*(E2746/1000),Skills!L21/10)+Skills!O21</f>
        <v/>
      </c>
      <c r="G2746">
        <f>Skills!G21*IF(Skills!H21&gt;0,Skills!I21/Skills!H21,1)</f>
        <v/>
      </c>
      <c r="H2746">
        <f>1-(1-Skills!J21/100)^Skills!K21</f>
        <v/>
      </c>
      <c r="I2746" t="inlineStr">
        <is>
          <t>1</t>
        </is>
      </c>
      <c r="J2746" t="inlineStr"/>
      <c r="K2746" t="inlineStr"/>
      <c r="L2746" t="inlineStr"/>
      <c r="M2746" t="inlineStr"/>
      <c r="N2746" t="inlineStr"/>
      <c r="O2746">
        <f>(1-Summary!$B$11)*T2746+Summary!$B$11*V2746</f>
        <v/>
      </c>
      <c r="P2746">
        <f>IF(B2762=0,0,O2746/B2762)</f>
        <v/>
      </c>
      <c r="Q2746" t="n">
        <v>0</v>
      </c>
      <c r="R2746" t="n">
        <v>0</v>
      </c>
      <c r="S2746">
        <f>IFERROR(O2746/N2746,0)</f>
        <v/>
      </c>
      <c r="T2746" t="n">
        <v>0</v>
      </c>
      <c r="V2746" t="n">
        <v>0</v>
      </c>
    </row>
    <row r="2747">
      <c r="A2747">
        <f>Skills!A22</f>
        <v/>
      </c>
      <c r="B2747">
        <f>Skills!B22</f>
        <v/>
      </c>
      <c r="C2747">
        <f>Inputs!$B$3&gt;=43</f>
        <v/>
      </c>
      <c r="D2747">
        <f>IF(Skills!C22=1,60+Inputs!$B$25+Inputs!$B$29,IF(Skills!C22=2,90+Inputs!$B$26+Inputs!$B$29,IF(Skills!C22=3,120+Inputs!$B$27+Inputs!$B$29,MAX(0,(Inputs!$B$3-100)*3)+Inputs!$B$28+Inputs!$B$29)))</f>
        <v/>
      </c>
      <c r="E2747">
        <f>INDEX(FactorTable!$B$2:$Y$301, MATCH(ROUND(MIN(300,MAX(1,D2747)),0), FactorTable!$A$2:$A$301,0), Skills!M22+1)</f>
        <v/>
      </c>
      <c r="F2747">
        <f>IF(Skills!N22=TRUE,(Skills!L22/10)*(E2747/1000),Skills!L22/10)+Skills!O22</f>
        <v/>
      </c>
      <c r="G2747">
        <f>Skills!G22*IF(Skills!H22&gt;0,Skills!I22/Skills!H22,1)</f>
        <v/>
      </c>
      <c r="H2747">
        <f>1-(1-Skills!J22/100)^Skills!K22</f>
        <v/>
      </c>
      <c r="I2747" t="inlineStr">
        <is>
          <t>1</t>
        </is>
      </c>
      <c r="J2747" t="inlineStr"/>
      <c r="K2747" t="inlineStr"/>
      <c r="L2747" t="inlineStr"/>
      <c r="M2747" t="inlineStr"/>
      <c r="N2747" t="inlineStr"/>
      <c r="O2747">
        <f>(1-Summary!$B$11)*T2747+Summary!$B$11*V2747</f>
        <v/>
      </c>
      <c r="P2747">
        <f>IF(B2762=0,0,O2747/B2762)</f>
        <v/>
      </c>
      <c r="Q2747" t="n">
        <v>0</v>
      </c>
      <c r="R2747" t="n">
        <v>0</v>
      </c>
      <c r="S2747">
        <f>IFERROR(O2747/N2747,0)</f>
        <v/>
      </c>
      <c r="T2747" t="n">
        <v>0</v>
      </c>
      <c r="V2747" t="n">
        <v>0</v>
      </c>
    </row>
    <row r="2748">
      <c r="A2748">
        <f>Skills!A23</f>
        <v/>
      </c>
      <c r="B2748">
        <f>Skills!B23</f>
        <v/>
      </c>
      <c r="C2748">
        <f>Inputs!$B$3&gt;=120</f>
        <v/>
      </c>
      <c r="D2748">
        <f>IF(Skills!C23=1,60+Inputs!$B$25+Inputs!$B$29,IF(Skills!C23=2,90+Inputs!$B$26+Inputs!$B$29,IF(Skills!C23=3,120+Inputs!$B$27+Inputs!$B$29,MAX(0,(Inputs!$B$3-100)*3)+Inputs!$B$28+Inputs!$B$29)))</f>
        <v/>
      </c>
      <c r="E2748">
        <f>INDEX(FactorTable!$B$2:$Y$301, MATCH(ROUND(MIN(300,MAX(1,D2748)),0), FactorTable!$A$2:$A$301,0), Skills!M23+1)</f>
        <v/>
      </c>
      <c r="F2748">
        <f>IF(Skills!N23=TRUE,(Skills!L23/10)*(E2748/1000),Skills!L23/10)+Skills!O23</f>
        <v/>
      </c>
      <c r="G2748">
        <f>Skills!G23*IF(Skills!H23&gt;0,Skills!I23/Skills!H23,1)</f>
        <v/>
      </c>
      <c r="H2748">
        <f>1-(1-Skills!J23/100)^Skills!K23</f>
        <v/>
      </c>
      <c r="I2748" t="inlineStr">
        <is>
          <t>1</t>
        </is>
      </c>
      <c r="J2748" t="inlineStr"/>
      <c r="K2748" t="inlineStr"/>
      <c r="L2748" t="inlineStr"/>
      <c r="M2748" t="inlineStr"/>
      <c r="N2748" t="inlineStr"/>
      <c r="O2748">
        <f>(1-Summary!$B$11)*T2748+Summary!$B$11*V2748</f>
        <v/>
      </c>
      <c r="P2748">
        <f>IF(B2762=0,0,O2748/B2762)</f>
        <v/>
      </c>
      <c r="Q2748" t="n">
        <v>0</v>
      </c>
      <c r="R2748" t="n">
        <v>0</v>
      </c>
      <c r="S2748">
        <f>IFERROR(O2748/N2748,0)</f>
        <v/>
      </c>
      <c r="T2748" t="n">
        <v>0</v>
      </c>
      <c r="V2748" t="n">
        <v>0</v>
      </c>
    </row>
    <row r="2749">
      <c r="A2749">
        <f>Skills!A24</f>
        <v/>
      </c>
      <c r="B2749">
        <f>Skills!B24</f>
        <v/>
      </c>
      <c r="C2749">
        <f>Inputs!$B$3&gt;=120</f>
        <v/>
      </c>
      <c r="D2749">
        <f>IF(Skills!C24=1,60+Inputs!$B$25+Inputs!$B$29,IF(Skills!C24=2,90+Inputs!$B$26+Inputs!$B$29,IF(Skills!C24=3,120+Inputs!$B$27+Inputs!$B$29,MAX(0,(Inputs!$B$3-100)*3)+Inputs!$B$28+Inputs!$B$29)))</f>
        <v/>
      </c>
      <c r="E2749">
        <f>INDEX(FactorTable!$B$2:$Y$301, MATCH(ROUND(MIN(300,MAX(1,D2749)),0), FactorTable!$A$2:$A$301,0), Skills!M24+1)</f>
        <v/>
      </c>
      <c r="F2749">
        <f>IF(Skills!N24=TRUE,(Skills!L24/10)*(E2749/1000),Skills!L24/10)+Skills!O24</f>
        <v/>
      </c>
      <c r="G2749">
        <f>Skills!G24*IF(Skills!H24&gt;0,Skills!I24/Skills!H24,1)</f>
        <v/>
      </c>
      <c r="H2749">
        <f>1-(1-Skills!J24/100)^Skills!K24</f>
        <v/>
      </c>
      <c r="I2749" t="inlineStr">
        <is>
          <t>1</t>
        </is>
      </c>
      <c r="J2749" t="inlineStr"/>
      <c r="K2749" t="inlineStr"/>
      <c r="L2749" t="inlineStr"/>
      <c r="M2749" t="inlineStr"/>
      <c r="N2749" t="inlineStr"/>
      <c r="O2749">
        <f>(1-Summary!$B$11)*T2749+Summary!$B$11*V2749</f>
        <v/>
      </c>
      <c r="P2749">
        <f>IF(B2762=0,0,O2749/B2762)</f>
        <v/>
      </c>
      <c r="Q2749" t="n">
        <v>0</v>
      </c>
      <c r="R2749" t="n">
        <v>0</v>
      </c>
      <c r="S2749">
        <f>IFERROR(O2749/N2749,0)</f>
        <v/>
      </c>
      <c r="T2749" t="n">
        <v>0</v>
      </c>
      <c r="V2749" t="n">
        <v>0</v>
      </c>
    </row>
    <row r="2751">
      <c r="A2751" t="inlineStr">
        <is>
          <t>Attack% Bucket Multiplier</t>
        </is>
      </c>
      <c r="B2751">
        <f>(1+(((C2738=TRUE)*F2738*MIN(1,Skills!T13*(Skills!J13/100)*B2756))+((C2743=TRUE)*F2743*IF(AND(Inputs!$B$38&lt;&gt;"pvp",Inputs!$B$43&gt;0),(((R2743-1)*(Skills!T18*(1+Inputs!$B$34/100))+MIN((Skills!T18*(1+Inputs!$B$34/100)),MAX(0,Inputs!$B$43-((R2743-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52">
      <c r="A2752" t="inlineStr">
        <is>
          <t>Global Crit Rate Bonus %</t>
        </is>
      </c>
      <c r="B2752" t="n">
        <v>0</v>
      </c>
    </row>
    <row r="2753">
      <c r="A2753" t="inlineStr">
        <is>
          <t>Attack Speed Buff Bonus %</t>
        </is>
      </c>
      <c r="B2753">
        <f>((C2744=TRUE)*F2744*IF(AND(Inputs!$B$38&lt;&gt;"pvp",Inputs!$B$43&gt;0),(((R2744-1)*(Skills!T19*(1+Inputs!$B$34/100))+MIN((Skills!T19*(1+Inputs!$B$34/100)),MAX(0,Inputs!$B$43-((R2744-1)*Skills!D19))))/Inputs!$B$43),IF(Inputs!$B$38="pvp",MIN((Skills!T19*(1+Inputs!$B$34/100)),15)/15,(Skills!T19*(1+Inputs!$B$34/100))/Skills!D19)))</f>
        <v/>
      </c>
    </row>
    <row r="2754">
      <c r="A2754" t="inlineStr">
        <is>
          <t>Actions Per Second</t>
        </is>
      </c>
      <c r="B2754">
        <f>1+MIN(150,150*(1-(1-(Inputs!$B$11+((C2745=TRUE)*(F2745-Calc!F20)))/150)*(1-B2753/150)))/100</f>
        <v/>
      </c>
    </row>
    <row r="2755">
      <c r="A2755" t="inlineStr">
        <is>
          <t>Skill + Buff Cast Rate</t>
        </is>
      </c>
      <c r="B2755">
        <f>IF(AND(Inputs!$B$38&lt;&gt;"pvp",Inputs!$B$43&gt;0),SUMPRODUCT((Skills!E2:E24=TRUE)*(C2727:C2749=TRUE)*R2727:R2749*Skills!F2:F24)/Inputs!$B$43,SUMPRODUCT((Skills!E2:E24=TRUE)*(C2727:C2749=TRUE)*Q2727:Q2749*Skills!F2:F24))</f>
        <v/>
      </c>
    </row>
    <row r="2756">
      <c r="A2756" t="inlineStr">
        <is>
          <t>Blast Casts Per Second</t>
        </is>
      </c>
      <c r="B2756">
        <f>MAX(0,B2754-B2755)</f>
        <v/>
      </c>
    </row>
    <row r="2757">
      <c r="A2757" t="inlineStr">
        <is>
          <t>Global Critical Damage Bonus % (unused)</t>
        </is>
      </c>
      <c r="B2757" t="n">
        <v>0</v>
      </c>
    </row>
    <row r="2758">
      <c r="A2758" t="inlineStr">
        <is>
          <t>Global Final Damage Bonus % (Divine Shield + Guardian + Divine Blessing + Greater Vessel of Light)</t>
        </is>
      </c>
      <c r="B2758">
        <f>((C2740=TRUE)*F2740*IF(AND(Inputs!$B$38&lt;&gt;"pvp",Inputs!$B$43&gt;0),(((R2740-1)*(Skills!T15*(1+Inputs!$B$34/100))+MIN((Skills!T15*(1+Inputs!$B$34/100)),MAX(0,Inputs!$B$43-((R2740-1)*Skills!D15))))/Inputs!$B$43),IF(Inputs!$B$38="pvp",MIN((Skills!T15*(1+Inputs!$B$34/100)),15)/15,(Skills!T15*(1+Inputs!$B$34/100))/Skills!D15)))+((C2741=TRUE)*F2741*IF(AND(Inputs!$B$38&lt;&gt;"pvp",Inputs!$B$43&gt;0),(((R2741-1)*(Skills!T16*(1+Inputs!$B$34/100))+MIN((Skills!T16*(1+Inputs!$B$34/100)),MAX(0,Inputs!$B$43-((R2741-1)*Skills!D16))))/Inputs!$B$43),IF(Inputs!$B$38="pvp",MIN((Skills!T16*(1+Inputs!$B$34/100)),15)/15,(Skills!T16*(1+Inputs!$B$34/100))/Skills!D16)))+((C2742=TRUE)*F2742*IF(AND(Inputs!$B$38&lt;&gt;"pvp",Inputs!$B$43&gt;0),(((R2742-1)*(Skills!T17*(1+Inputs!$B$34/100))+MIN((Skills!T17*(1+Inputs!$B$34/100)),MAX(0,Inputs!$B$43-((R2742-1)*Skills!D17))))/Inputs!$B$43),IF(Inputs!$B$38="pvp",MIN((Skills!T17*(1+Inputs!$B$34/100)),15)/15,(Skills!T17*(1+Inputs!$B$34/100))/Skills!D17)))+((C2739=TRUE)*F2739*MIN(1,Skills!T13*(Skills!J13/100)*B2756))</f>
        <v/>
      </c>
    </row>
    <row r="2759">
      <c r="A2759" t="inlineStr">
        <is>
          <t>Buff-Casting Startup Delay (s, fixed-duration only)</t>
        </is>
      </c>
      <c r="B2759">
        <f>IF(AND(Inputs!$B$38&lt;&gt;"pvp",Inputs!$B$43&gt;0),SUMPRODUCT((Skills!T2:T24&gt;0)*(Skills!E2:E24=TRUE)*(C2727:C2749=TRUE))/B2754,0)</f>
        <v/>
      </c>
    </row>
    <row r="2760">
      <c r="A2760" t="inlineStr">
        <is>
          <t>Boss-Only Total DPS (this block's swept value)</t>
        </is>
      </c>
      <c r="B2760">
        <f>SUM(T2727:T2749)</f>
        <v/>
      </c>
    </row>
    <row r="2761">
      <c r="A2761" t="inlineStr">
        <is>
          <t>Normal-Only Total DPS (this block's swept value)</t>
        </is>
      </c>
      <c r="B2761">
        <f>SUM(V2727:V2749)</f>
        <v/>
      </c>
    </row>
    <row r="2762">
      <c r="A2762" s="6" t="inlineStr">
        <is>
          <t>TOTAL DPS</t>
        </is>
      </c>
      <c r="B2762" s="6">
        <f>SUM(O2727:O2749)</f>
        <v/>
      </c>
    </row>
    <row r="2765">
      <c r="A2765" s="6" t="inlineStr">
        <is>
          <t>Stat: CDR = 3.0s</t>
        </is>
      </c>
    </row>
    <row r="2766">
      <c r="A2766" s="5" t="inlineStr">
        <is>
          <t>Key</t>
        </is>
      </c>
      <c r="B2766" s="5" t="inlineStr">
        <is>
          <t>Name</t>
        </is>
      </c>
      <c r="C2766" s="5" t="inlineStr">
        <is>
          <t>Unlocked</t>
        </is>
      </c>
      <c r="D2766" s="5" t="inlineStr">
        <is>
          <t>InputLevel</t>
        </is>
      </c>
      <c r="E2766" s="5" t="inlineStr">
        <is>
          <t>Factor</t>
        </is>
      </c>
      <c r="F2766" s="5" t="inlineStr">
        <is>
          <t>CoefficientPercent</t>
        </is>
      </c>
      <c r="G2766" s="5" t="inlineStr">
        <is>
          <t>EffectiveHits</t>
        </is>
      </c>
      <c r="H2766" s="5" t="inlineStr">
        <is>
          <t>ProcProbability</t>
        </is>
      </c>
      <c r="I2766" s="5" t="inlineStr">
        <is>
          <t>MapleHeroMultiplier</t>
        </is>
      </c>
      <c r="J2766" s="5" t="inlineStr">
        <is>
          <t>BaseDamage</t>
        </is>
      </c>
      <c r="K2766" s="5" t="inlineStr">
        <is>
          <t>BaseHitDamage</t>
        </is>
      </c>
      <c r="L2766" s="5" t="inlineStr">
        <is>
          <t>NonCritAvg</t>
        </is>
      </c>
      <c r="M2766" s="5" t="inlineStr">
        <is>
          <t>CritAvg</t>
        </is>
      </c>
      <c r="N2766" s="5" t="inlineStr">
        <is>
          <t>ExpectedDamage(perHit)</t>
        </is>
      </c>
      <c r="O2766" s="5" t="inlineStr">
        <is>
          <t>DPS</t>
        </is>
      </c>
      <c r="P2766" s="5" t="inlineStr">
        <is>
          <t>% of Total</t>
        </is>
      </c>
      <c r="Q2766" s="5" t="inlineStr">
        <is>
          <t>InvCooldown</t>
        </is>
      </c>
      <c r="R2766" s="5" t="inlineStr">
        <is>
          <t>CastsInFight</t>
        </is>
      </c>
      <c r="S2766" s="5" t="inlineStr">
        <is>
          <t>HitRate(perSec)</t>
        </is>
      </c>
      <c r="U2766" t="inlineStr">
        <is>
          <t>helpers</t>
        </is>
      </c>
    </row>
    <row r="2767">
      <c r="A2767">
        <f>Skills!A2</f>
        <v/>
      </c>
      <c r="B2767">
        <f>Skills!B2</f>
        <v/>
      </c>
      <c r="C2767">
        <f>Inputs!$B$3&gt;=100</f>
        <v/>
      </c>
      <c r="D2767" t="inlineStr"/>
      <c r="E2767" t="inlineStr"/>
      <c r="F2767">
        <f>U2769+Skills!O2</f>
        <v/>
      </c>
      <c r="G2767">
        <f>Skills!G2*IF(Skills!H2&gt;0,Skills!I2/Skills!H2,1)</f>
        <v/>
      </c>
      <c r="H2767">
        <f>1-(1-Skills!J2/100)^Skills!K2</f>
        <v/>
      </c>
      <c r="I2767" t="inlineStr">
        <is>
          <t>1</t>
        </is>
      </c>
      <c r="J2767">
        <f>((Inputs!$B$6*(1+Inputs!$B$7/100))+(((Inputs!$B$12*(1+Inputs!$B$13/100))-(Inputs!$B$12*(1+Inputs!$B$13/100)))+0.25*(Inputs!$B$14-Inputs!$B$14))*(1+Inputs!$B$7/100))*(F2767/100)</f>
        <v/>
      </c>
      <c r="K2767">
        <f>J2767*(1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2767)</f>
        <v/>
      </c>
      <c r="L2767">
        <f>K2767*(MIN(Inputs!$B$22+((C2787=TRUE)*(F2787-Calc!F22)),(Inputs!$B$23+((C2789=TRUE)*(F2789-Calc!F24))+(IF(ArtifactsInput!$M$15,CHOOSE(ArtifactsInput!$N$15+1,25,30,35,40,45,50)/100*(Inputs!$B$11-Inputs!$B$11),0))))/100+(Inputs!$B$23+((C2789=TRUE)*(F2789-Calc!F24))+(IF(ArtifactsInput!$M$15,CHOOSE(ArtifactsInput!$N$15+1,25,30,35,40,45,50)/100*(Inputs!$B$11-Inputs!$B$11),0)))/100)/2</f>
        <v/>
      </c>
      <c r="M2767">
        <f>L2767*(1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7">
        <f>L2767*(1-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2767*(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7">
        <f>(1-Summary!$B$11)*T2767+Summary!$B$11*V2767</f>
        <v/>
      </c>
      <c r="P2767">
        <f>IF(B2802=0,0,O2767/B2802)</f>
        <v/>
      </c>
      <c r="Q2767" t="n">
        <v>0</v>
      </c>
      <c r="R2767" t="n">
        <v>0</v>
      </c>
      <c r="S2767">
        <f>IFERROR(O2767/N2767,0)</f>
        <v/>
      </c>
      <c r="T2767">
        <f>IF(C2767,(Skills!G2*N2767*B2796)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2767*(1-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2767*(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2767*(1-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2767*(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67">
        <f>MAX(0,(Inputs!$B$3-100)*3)+Inputs!$B$28+Inputs!$B$29</f>
        <v/>
      </c>
      <c r="V2767">
        <f>IF(C2767,(Skills!G2*N2767*B2796)*IF(Inputs!$B$38="pvp",1,(1+(Inputs!$B$21+Skills!Q2+(IF(ArtifactsInput!$M$33,CHOOSE(ArtifactsInput!$N$33+1,30,36,42,48,54,60),0))+(IF(AND(ArtifactsInput!$M$35,Inputs!$B$4&lt;&gt;"Chapter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8">
      <c r="A2768">
        <f>Skills!A3</f>
        <v/>
      </c>
      <c r="B2768">
        <f>Skills!B3</f>
        <v/>
      </c>
      <c r="C2768">
        <f>Inputs!$B$3&gt;=50</f>
        <v/>
      </c>
      <c r="D2768">
        <f>IF(Skills!C3=1,60+Inputs!$B$25+Inputs!$B$29,IF(Skills!C3=2,90+Inputs!$B$26+Inputs!$B$29,IF(Skills!C3=3,120+Inputs!$B$27+Inputs!$B$29,MAX(0,(Inputs!$B$3-100)*3)+Inputs!$B$28+Inputs!$B$29)))</f>
        <v/>
      </c>
      <c r="E2768">
        <f>INDEX(FactorTable!$B$2:$Y$301, MATCH(ROUND(MIN(300,MAX(1,D2768)),0), FactorTable!$A$2:$A$301,0), Skills!M3+1)</f>
        <v/>
      </c>
      <c r="F2768">
        <f>IF(Skills!N3=TRUE,(Skills!L3/10)*(E2768/1000),Skills!L3/10)+Skills!O3</f>
        <v/>
      </c>
      <c r="G2768" t="inlineStr"/>
      <c r="H2768" t="inlineStr"/>
      <c r="I2768" t="inlineStr">
        <is>
          <t>1</t>
        </is>
      </c>
      <c r="J2768" t="inlineStr"/>
      <c r="K2768" t="inlineStr"/>
      <c r="L2768" t="inlineStr"/>
      <c r="M2768" t="inlineStr"/>
      <c r="N2768" t="inlineStr"/>
      <c r="O2768" t="inlineStr"/>
      <c r="P2768" t="inlineStr"/>
      <c r="Q2768" t="inlineStr"/>
      <c r="R2768" t="inlineStr"/>
      <c r="S2768" t="inlineStr"/>
      <c r="U2768">
        <f>INDEX(FactorTable!$B$2:$Y$301, MATCH(ROUND(MIN(300,MAX(1,U2767)),0), FactorTable!$A$2:$A$301,0), 22)</f>
        <v/>
      </c>
    </row>
    <row r="2769">
      <c r="A2769">
        <f>Skills!A4</f>
        <v/>
      </c>
      <c r="B2769">
        <f>Skills!B4</f>
        <v/>
      </c>
      <c r="C2769">
        <f>Inputs!$B$3&gt;=35</f>
        <v/>
      </c>
      <c r="D2769">
        <f>IF(Skills!C4=1,60+Inputs!$B$25+Inputs!$B$29,IF(Skills!C4=2,90+Inputs!$B$26+Inputs!$B$29,IF(Skills!C4=3,120+Inputs!$B$27+Inputs!$B$29,MAX(0,(Inputs!$B$3-100)*3)+Inputs!$B$28+Inputs!$B$29)))</f>
        <v/>
      </c>
      <c r="E2769">
        <f>INDEX(FactorTable!$B$2:$Y$301, MATCH(ROUND(MIN(300,MAX(1,D2769)),0), FactorTable!$A$2:$A$301,0), Skills!M4+1)</f>
        <v/>
      </c>
      <c r="F2769">
        <f>IF(Skills!N4=TRUE,(Skills!L4/10)*(E2769/1000),Skills!L4/10)+Skills!O4</f>
        <v/>
      </c>
      <c r="G2769">
        <f>Skills!G4*IF(Skills!H4&gt;0,Skills!I4/Skills!H4,1)</f>
        <v/>
      </c>
      <c r="H2769">
        <f>1-(1-Skills!J4/100)^Skills!K4</f>
        <v/>
      </c>
      <c r="I2769" t="inlineStr">
        <is>
          <t>1</t>
        </is>
      </c>
      <c r="J2769">
        <f>((Inputs!$B$6*(1+Inputs!$B$7/100))+(((Inputs!$B$12*(1+Inputs!$B$13/100))-(Inputs!$B$12*(1+Inputs!$B$13/100)))+0.25*(Inputs!$B$14-Inputs!$B$14))*(1+Inputs!$B$7/100))*(F2769/100)</f>
        <v/>
      </c>
      <c r="K2769">
        <f>J2769*(1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2777=TRUE,F2777,0)/100)*(1+(IF(Skills!A4="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2769)</f>
        <v/>
      </c>
      <c r="L2769">
        <f>K2769*(MIN(Inputs!$B$22+((C2787=TRUE)*(F2787-Calc!F22)),(Inputs!$B$23+((C2789=TRUE)*(F2789-Calc!F24))+(IF(ArtifactsInput!$M$15,CHOOSE(ArtifactsInput!$N$15+1,25,30,35,40,45,50)/100*(Inputs!$B$11-Inputs!$B$11),0))))/100+(Inputs!$B$23+((C2789=TRUE)*(F2789-Calc!F24))+(IF(ArtifactsInput!$M$15,CHOOSE(ArtifactsInput!$N$15+1,25,30,35,40,45,50)/100*(Inputs!$B$11-Inputs!$B$11),0)))/100)/2</f>
        <v/>
      </c>
      <c r="M2769">
        <f>L2769*(1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9">
        <f>L2769*(1-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2769*(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9">
        <f>(1-Summary!$B$11)*T2769+Summary!$B$11*V2769</f>
        <v/>
      </c>
      <c r="P2769">
        <f>IF(B2802=0,0,O2769/B2802)</f>
        <v/>
      </c>
      <c r="Q2769">
        <f>IFERROR(1/(IF(Inputs!$B$38="pvp",15,MAX(0.1,Skills!D4-IF(Skills!E4=TRUE,3.0,0)))*(1-IF(AND(ArtifactsInput!$M$27,Inputs!$B$4="Chapter Hunt"),CHOOSE(ArtifactsInput!$N$27+1,20,24,28,32,36,40),0)/100)),0)</f>
        <v/>
      </c>
      <c r="R2769">
        <f>IF(AND(Inputs!$B$38&lt;&gt;"pvp",Inputs!$B$43&gt;0),IF(MAX(0,Inputs!$B$43-B2799)&lt;=0,0,(INT(MAX(0,Inputs!$B$43-B2799)/(IF(Inputs!$B$38="pvp",15,MAX(0.1,Skills!D4-IF(Skills!E4=TRUE,3.0,0)))*(1-IF(AND(ArtifactsInput!$M$27,Inputs!$B$4="Chapter Hunt"),CHOOSE(ArtifactsInput!$N$27+1,20,24,28,32,36,40),0)/100)))+1)),0)</f>
        <v/>
      </c>
      <c r="S2769">
        <f>IFERROR(O2769/N2769,0)</f>
        <v/>
      </c>
      <c r="T2769">
        <f>IF(C2769,(H2769*N2769*IF(AND(Inputs!$B$38&lt;&gt;"pvp",Inputs!$B$43&gt;0),((Skills!G4*((R2769-1)*IF(Skills!H4&gt;0,Skills!I4/Skills!H4,1)+IF(Skills!H4&gt;0,MIN(Skills!I4,MAX(0,MAX(0,Inputs!$B$43-B2799)-((R2769-1)*(IF(Inputs!$B$38="pvp",15,MAX(0.1,Skills!D4-IF(Skills!E4=TRUE,3.0,0)))*(1-IF(AND(ArtifactsInput!$M$27,Inputs!$B$4="Chapter Hunt"),CHOOSE(ArtifactsInput!$N$27+1,20,24,28,32,36,40),0)/100)))))/Skills!H4,1)))/Inputs!$B$43),G2769*Q2769)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2769*(1-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2769*(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2769*(1-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2769*(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69">
        <f>290*U2768/1000</f>
        <v/>
      </c>
      <c r="V2769">
        <f>IF(C2769,(H2769*N2769*IF(AND(Inputs!$B$38&lt;&gt;"pvp",Inputs!$B$43&gt;0),((Skills!G4*((R2769-1)*IF(Skills!H4&gt;0,Skills!I4/Skills!H4,1)+IF(Skills!H4&gt;0,MIN(Skills!I4,MAX(0,MAX(0,Inputs!$B$43-B2799)-((R2769-1)*(IF(Inputs!$B$38="pvp",15,MAX(0.1,Skills!D4-IF(Skills!E4=TRUE,3.0,0)))*(1-IF(AND(ArtifactsInput!$M$27,Inputs!$B$4="Chapter Hunt"),CHOOSE(ArtifactsInput!$N$27+1,20,24,28,32,36,40),0)/100)))))/Skills!H4,1)))/Inputs!$B$43),G2769*Q2769))*IF(Inputs!$B$38="pvp",1,(1+(Inputs!$B$21+Skills!Q4+(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0">
      <c r="A2770">
        <f>Skills!A5</f>
        <v/>
      </c>
      <c r="B2770">
        <f>Skills!B5</f>
        <v/>
      </c>
      <c r="C2770">
        <f>Inputs!$B$3&gt;=66</f>
        <v/>
      </c>
      <c r="D2770">
        <f>IF(Skills!C5=1,60+Inputs!$B$25+Inputs!$B$29,IF(Skills!C5=2,90+Inputs!$B$26+Inputs!$B$29,IF(Skills!C5=3,120+Inputs!$B$27+Inputs!$B$29,MAX(0,(Inputs!$B$3-100)*3)+Inputs!$B$28+Inputs!$B$29)))</f>
        <v/>
      </c>
      <c r="E2770">
        <f>INDEX(FactorTable!$B$2:$Y$301, MATCH(ROUND(MIN(300,MAX(1,D2770)),0), FactorTable!$A$2:$A$301,0), Skills!M5+1)</f>
        <v/>
      </c>
      <c r="F2770">
        <f>IF(Skills!N5=TRUE,(Skills!L5/10)*(E2770/1000),Skills!L5/10)+Skills!O5</f>
        <v/>
      </c>
      <c r="G2770">
        <f>Skills!G5*IF(Skills!H5&gt;0,Skills!I5/Skills!H5,1)</f>
        <v/>
      </c>
      <c r="H2770">
        <f>1-(1-Skills!J5/100)^Skills!K5</f>
        <v/>
      </c>
      <c r="I2770" t="inlineStr">
        <is>
          <t>1</t>
        </is>
      </c>
      <c r="J2770">
        <f>((Inputs!$B$6*(1+Inputs!$B$7/100))+(((Inputs!$B$12*(1+Inputs!$B$13/100))-(Inputs!$B$12*(1+Inputs!$B$13/100)))+0.25*(Inputs!$B$14-Inputs!$B$14))*(1+Inputs!$B$7/100))*(F2770/100)</f>
        <v/>
      </c>
      <c r="K2770">
        <f>J2770*(1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2777=TRUE,F2777,0)/100)*(1+(IF(Skills!A5="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2770)</f>
        <v/>
      </c>
      <c r="L2770">
        <f>K2770*(MIN(Inputs!$B$22+((C2787=TRUE)*(F2787-Calc!F22)),(Inputs!$B$23+((C2789=TRUE)*(F2789-Calc!F24))+(IF(ArtifactsInput!$M$15,CHOOSE(ArtifactsInput!$N$15+1,25,30,35,40,45,50)/100*(Inputs!$B$11-Inputs!$B$11),0))))/100+(Inputs!$B$23+((C2789=TRUE)*(F2789-Calc!F24))+(IF(ArtifactsInput!$M$15,CHOOSE(ArtifactsInput!$N$15+1,25,30,35,40,45,50)/100*(Inputs!$B$11-Inputs!$B$11),0)))/100)/2</f>
        <v/>
      </c>
      <c r="M2770">
        <f>L2770*(1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0">
        <f>L2770*(1-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2770*(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0">
        <f>(1-Summary!$B$11)*T2770+Summary!$B$11*V2770</f>
        <v/>
      </c>
      <c r="P2770">
        <f>IF(B2802=0,0,O2770/B2802)</f>
        <v/>
      </c>
      <c r="Q2770">
        <f>IFERROR(1/(IF(Inputs!$B$38="pvp",15,MAX(0.1,Skills!D5-IF(Skills!E5=TRUE,3.0,0)))*(1-IF(AND(ArtifactsInput!$M$27,Inputs!$B$4="Chapter Hunt"),CHOOSE(ArtifactsInput!$N$27+1,20,24,28,32,36,40),0)/100)),0)</f>
        <v/>
      </c>
      <c r="R2770">
        <f>IF(AND(Inputs!$B$38&lt;&gt;"pvp",Inputs!$B$43&gt;0),IF(MAX(0,Inputs!$B$43-B2799)&lt;=0,0,(INT(MAX(0,Inputs!$B$43-B2799)/(IF(Inputs!$B$38="pvp",15,MAX(0.1,Skills!D5-IF(Skills!E5=TRUE,3.0,0)))*(1-IF(AND(ArtifactsInput!$M$27,Inputs!$B$4="Chapter Hunt"),CHOOSE(ArtifactsInput!$N$27+1,20,24,28,32,36,40),0)/100)))+1)),0)</f>
        <v/>
      </c>
      <c r="S2770">
        <f>IFERROR(O2770/N2770,0)</f>
        <v/>
      </c>
      <c r="T2770">
        <f>IF(C2770,(H2770*N2770*IF(AND(Inputs!$B$38&lt;&gt;"pvp",Inputs!$B$43&gt;0),((Skills!G5*((R2770-1)*IF(Skills!H5&gt;0,Skills!I5/Skills!H5,1)+IF(Skills!H5&gt;0,MIN(Skills!I5,MAX(0,MAX(0,Inputs!$B$43-B2799)-((R2770-1)*(IF(Inputs!$B$38="pvp",15,MAX(0.1,Skills!D5-IF(Skills!E5=TRUE,3.0,0)))*(1-IF(AND(ArtifactsInput!$M$27,Inputs!$B$4="Chapter Hunt"),CHOOSE(ArtifactsInput!$N$27+1,20,24,28,32,36,40),0)/100)))))/Skills!H5,1)))/Inputs!$B$43),G2770*Q2770)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2770*(1-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2770*(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2770*(1-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2770*(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0">
        <f>IF(C2770,(H2770*N2770*IF(AND(Inputs!$B$38&lt;&gt;"pvp",Inputs!$B$43&gt;0),((Skills!G5*((R2770-1)*IF(Skills!H5&gt;0,Skills!I5/Skills!H5,1)+IF(Skills!H5&gt;0,MIN(Skills!I5,MAX(0,MAX(0,Inputs!$B$43-B2799)-((R2770-1)*(IF(Inputs!$B$38="pvp",15,MAX(0.1,Skills!D5-IF(Skills!E5=TRUE,3.0,0)))*(1-IF(AND(ArtifactsInput!$M$27,Inputs!$B$4="Chapter Hunt"),CHOOSE(ArtifactsInput!$N$27+1,20,24,28,32,36,40),0)/100)))))/Skills!H5,1)))/Inputs!$B$43),G2770*Q2770))*IF(Inputs!$B$38="pvp",1,(1+(Inputs!$B$21+Skills!Q5+(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1">
      <c r="A2771">
        <f>Skills!A6</f>
        <v/>
      </c>
      <c r="B2771">
        <f>Skills!B6</f>
        <v/>
      </c>
      <c r="C2771">
        <f>Inputs!$B$3&gt;=103</f>
        <v/>
      </c>
      <c r="D2771">
        <f>IF(Skills!C6=1,60+Inputs!$B$25+Inputs!$B$29,IF(Skills!C6=2,90+Inputs!$B$26+Inputs!$B$29,IF(Skills!C6=3,120+Inputs!$B$27+Inputs!$B$29,MAX(0,(Inputs!$B$3-100)*3)+Inputs!$B$28+Inputs!$B$29)))</f>
        <v/>
      </c>
      <c r="E2771">
        <f>INDEX(FactorTable!$B$2:$Y$301, MATCH(ROUND(MIN(300,MAX(1,D2771)),0), FactorTable!$A$2:$A$301,0), Skills!M6+1)</f>
        <v/>
      </c>
      <c r="F2771">
        <f>IF(Skills!N6=TRUE,(Skills!L6/10)*(E2771/1000),Skills!L6/10)+Skills!O6</f>
        <v/>
      </c>
      <c r="G2771">
        <f>Skills!G6*IF(Skills!H6&gt;0,Skills!I6/Skills!H6,1)</f>
        <v/>
      </c>
      <c r="H2771">
        <f>1-(1-Skills!J6/100)^Skills!K6</f>
        <v/>
      </c>
      <c r="I2771" t="inlineStr">
        <is>
          <t>1</t>
        </is>
      </c>
      <c r="J2771">
        <f>((Inputs!$B$6*(1+Inputs!$B$7/100))+(((Inputs!$B$12*(1+Inputs!$B$13/100))-(Inputs!$B$12*(1+Inputs!$B$13/100)))+0.25*(Inputs!$B$14-Inputs!$B$14))*(1+Inputs!$B$7/100))*(F2771/100)</f>
        <v/>
      </c>
      <c r="K2771">
        <f>J2771*(1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2771)</f>
        <v/>
      </c>
      <c r="L2771">
        <f>K2771*(MIN(Inputs!$B$22+((C2787=TRUE)*(F2787-Calc!F22)),(Inputs!$B$23+((C2789=TRUE)*(F2789-Calc!F24))+(IF(ArtifactsInput!$M$15,CHOOSE(ArtifactsInput!$N$15+1,25,30,35,40,45,50)/100*(Inputs!$B$11-Inputs!$B$11),0))))/100+(Inputs!$B$23+((C2789=TRUE)*(F2789-Calc!F24))+(IF(ArtifactsInput!$M$15,CHOOSE(ArtifactsInput!$N$15+1,25,30,35,40,45,50)/100*(Inputs!$B$11-Inputs!$B$11),0)))/100)/2</f>
        <v/>
      </c>
      <c r="M2771">
        <f>L2771*(1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1">
        <f>L2771*(1-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1">
        <f>(1-Summary!$B$11)*T2771+Summary!$B$11*V2771</f>
        <v/>
      </c>
      <c r="P2771">
        <f>IF(B2802=0,0,O2771/B2802)</f>
        <v/>
      </c>
      <c r="Q2771">
        <f>IFERROR(1/(IF(Inputs!$B$38="pvp",15,MAX(0.1,Skills!D6-IF(Skills!E6=TRUE,3.0,0)))*(1-IF(AND(ArtifactsInput!$M$27,Inputs!$B$4="Chapter Hunt"),CHOOSE(ArtifactsInput!$N$27+1,20,24,28,32,36,40),0)/100)),0)</f>
        <v/>
      </c>
      <c r="R2771">
        <f>IF(AND(Inputs!$B$38&lt;&gt;"pvp",Inputs!$B$43&gt;0),IF(MAX(0,Inputs!$B$43-B2799)&lt;=0,0,(INT(MAX(0,Inputs!$B$43-B2799)/(IF(Inputs!$B$38="pvp",15,MAX(0.1,Skills!D6-IF(Skills!E6=TRUE,3.0,0)))*(1-IF(AND(ArtifactsInput!$M$27,Inputs!$B$4="Chapter Hunt"),CHOOSE(ArtifactsInput!$N$27+1,20,24,28,32,36,40),0)/100)))+1)),0)</f>
        <v/>
      </c>
      <c r="S2771">
        <f>IFERROR(O2771/N2771,0)</f>
        <v/>
      </c>
      <c r="T2771">
        <f>IF(C2771,(H2771*N2771*IF(AND(Inputs!$B$38&lt;&gt;"pvp",Inputs!$B$43&gt;0),((Skills!G6*((R2771-1)*IF(Skills!H6&gt;0,Skills!I6/Skills!H6,1)+IF(Skills!H6&gt;0,MIN(Skills!I6,MAX(0,MAX(0,Inputs!$B$43-B2799)-((R2771-1)*(IF(Inputs!$B$38="pvp",15,MAX(0.1,Skills!D6-IF(Skills!E6=TRUE,3.0,0)))*(1-IF(AND(ArtifactsInput!$M$27,Inputs!$B$4="Chapter Hunt"),CHOOSE(ArtifactsInput!$N$27+1,20,24,28,32,36,40),0)/100)))))/Skills!H6,1)))/Inputs!$B$43),G2771*Q2771)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2771*(1-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2771*(1-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1">
        <f>IF(C2771,(H2771*N2771*IF(AND(Inputs!$B$38&lt;&gt;"pvp",Inputs!$B$43&gt;0),((Skills!G6*((R2771-1)*IF(Skills!H6&gt;0,Skills!I6/Skills!H6,1)+IF(Skills!H6&gt;0,MIN(Skills!I6,MAX(0,MAX(0,Inputs!$B$43-B2799)-((R2771-1)*(IF(Inputs!$B$38="pvp",15,MAX(0.1,Skills!D6-IF(Skills!E6=TRUE,3.0,0)))*(1-IF(AND(ArtifactsInput!$M$27,Inputs!$B$4="Chapter Hunt"),CHOOSE(ArtifactsInput!$N$27+1,20,24,28,32,36,40),0)/100)))))/Skills!H6,1)))/Inputs!$B$43),G2771*Q2771))*IF(Inputs!$B$38="pvp",1,(1+(Inputs!$B$21+Skills!Q6+(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2">
      <c r="A2772">
        <f>Skills!A7</f>
        <v/>
      </c>
      <c r="B2772">
        <f>Skills!B7</f>
        <v/>
      </c>
      <c r="C2772">
        <f>Inputs!$B$3&gt;=107</f>
        <v/>
      </c>
      <c r="D2772">
        <f>IF(Skills!C7=1,60+Inputs!$B$25+Inputs!$B$29,IF(Skills!C7=2,90+Inputs!$B$26+Inputs!$B$29,IF(Skills!C7=3,120+Inputs!$B$27+Inputs!$B$29,MAX(0,(Inputs!$B$3-100)*3)+Inputs!$B$28+Inputs!$B$29)))</f>
        <v/>
      </c>
      <c r="E2772">
        <f>INDEX(FactorTable!$B$2:$Y$301, MATCH(ROUND(MIN(300,MAX(1,D2772)),0), FactorTable!$A$2:$A$301,0), Skills!M7+1)</f>
        <v/>
      </c>
      <c r="F2772">
        <f>IF(Skills!N7=TRUE,(Skills!L7/10)*(E2772/1000),Skills!L7/10)+Skills!O7</f>
        <v/>
      </c>
      <c r="G2772">
        <f>Skills!G7*IF(Skills!H7&gt;0,Skills!I7/Skills!H7,1)</f>
        <v/>
      </c>
      <c r="H2772">
        <f>1-(1-Skills!J7/100)^Skills!K7</f>
        <v/>
      </c>
      <c r="I2772" t="inlineStr">
        <is>
          <t>1</t>
        </is>
      </c>
      <c r="J2772">
        <f>((Inputs!$B$6*(1+Inputs!$B$7/100))+(((Inputs!$B$12*(1+Inputs!$B$13/100))-(Inputs!$B$12*(1+Inputs!$B$13/100)))+0.25*(Inputs!$B$14-Inputs!$B$14))*(1+Inputs!$B$7/100))*(F2772/100)</f>
        <v/>
      </c>
      <c r="K2772">
        <f>J2772*(1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2772)</f>
        <v/>
      </c>
      <c r="L2772">
        <f>K2772*(MIN(Inputs!$B$22+((C2787=TRUE)*(F2787-Calc!F22)),(Inputs!$B$23+((C2789=TRUE)*(F2789-Calc!F24))+(IF(ArtifactsInput!$M$15,CHOOSE(ArtifactsInput!$N$15+1,25,30,35,40,45,50)/100*(Inputs!$B$11-Inputs!$B$11),0))))/100+(Inputs!$B$23+((C2789=TRUE)*(F2789-Calc!F24))+(IF(ArtifactsInput!$M$15,CHOOSE(ArtifactsInput!$N$15+1,25,30,35,40,45,50)/100*(Inputs!$B$11-Inputs!$B$11),0)))/100)/2</f>
        <v/>
      </c>
      <c r="M2772">
        <f>L2772*(1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2">
        <f>L2772*(1-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2772*(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2">
        <f>(1-Summary!$B$11)*T2772+Summary!$B$11*V2772</f>
        <v/>
      </c>
      <c r="P2772">
        <f>IF(B2802=0,0,O2772/B2802)</f>
        <v/>
      </c>
      <c r="Q2772">
        <f>IFERROR(1/(IF(Inputs!$B$38="pvp",15,MAX(0.1,Skills!D7-IF(Skills!E7=TRUE,3.0,0)))*(1-IF(AND(ArtifactsInput!$M$27,Inputs!$B$4="Chapter Hunt"),CHOOSE(ArtifactsInput!$N$27+1,20,24,28,32,36,40),0)/100)),0)</f>
        <v/>
      </c>
      <c r="R2772">
        <f>IF(AND(Inputs!$B$38&lt;&gt;"pvp",Inputs!$B$43&gt;0),IF(MAX(0,Inputs!$B$43-B2799)&lt;=0,0,(INT(MAX(0,Inputs!$B$43-B2799)/(IF(Inputs!$B$38="pvp",15,MAX(0.1,Skills!D7-IF(Skills!E7=TRUE,3.0,0)))*(1-IF(AND(ArtifactsInput!$M$27,Inputs!$B$4="Chapter Hunt"),CHOOSE(ArtifactsInput!$N$27+1,20,24,28,32,36,40),0)/100)))+1)),0)</f>
        <v/>
      </c>
      <c r="S2772">
        <f>IFERROR(O2772/N2772,0)</f>
        <v/>
      </c>
      <c r="T2772">
        <f>IF(C2772,(H2772*N2772*IF(AND(Inputs!$B$38&lt;&gt;"pvp",Inputs!$B$43&gt;0),((Skills!G7*((R2772-1)*IF(Skills!H7&gt;0,Skills!I7/Skills!H7,1)+IF(Skills!H7&gt;0,MIN(Skills!I7,MAX(0,MAX(0,Inputs!$B$43-B2799)-((R2772-1)*(IF(Inputs!$B$38="pvp",15,MAX(0.1,Skills!D7-IF(Skills!E7=TRUE,3.0,0)))*(1-IF(AND(ArtifactsInput!$M$27,Inputs!$B$4="Chapter Hunt"),CHOOSE(ArtifactsInput!$N$27+1,20,24,28,32,36,40),0)/100)))))/Skills!H7,1)))/Inputs!$B$43),G2772*Q2772)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2772*(1-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2772*(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2772*(1-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2772*(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2">
        <f>IF(C2772,(H2772*N2772*IF(AND(Inputs!$B$38&lt;&gt;"pvp",Inputs!$B$43&gt;0),((Skills!G7*((R2772-1)*IF(Skills!H7&gt;0,Skills!I7/Skills!H7,1)+IF(Skills!H7&gt;0,MIN(Skills!I7,MAX(0,MAX(0,Inputs!$B$43-B2799)-((R2772-1)*(IF(Inputs!$B$38="pvp",15,MAX(0.1,Skills!D7-IF(Skills!E7=TRUE,3.0,0)))*(1-IF(AND(ArtifactsInput!$M$27,Inputs!$B$4="Chapter Hunt"),CHOOSE(ArtifactsInput!$N$27+1,20,24,28,32,36,40),0)/100)))))/Skills!H7,1)))/Inputs!$B$43),G2772*Q2772))*IF(Inputs!$B$38="pvp",1,(1+(Inputs!$B$21+Skills!Q7+(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3">
      <c r="A2773">
        <f>Skills!A8</f>
        <v/>
      </c>
      <c r="B2773">
        <f>Skills!B8</f>
        <v/>
      </c>
      <c r="C2773">
        <f>Inputs!$B$3&gt;=107</f>
        <v/>
      </c>
      <c r="D2773">
        <f>IF(Skills!C8=1,60+Inputs!$B$25+Inputs!$B$29,IF(Skills!C8=2,90+Inputs!$B$26+Inputs!$B$29,IF(Skills!C8=3,120+Inputs!$B$27+Inputs!$B$29,MAX(0,(Inputs!$B$3-100)*3)+Inputs!$B$28+Inputs!$B$29)))</f>
        <v/>
      </c>
      <c r="E2773">
        <f>INDEX(FactorTable!$B$2:$Y$301, MATCH(ROUND(MIN(300,MAX(1,D2773)),0), FactorTable!$A$2:$A$301,0), Skills!M8+1)</f>
        <v/>
      </c>
      <c r="F2773">
        <f>IF(Skills!N8=TRUE,(Skills!L8/10)*(E2773/1000),Skills!L8/10)+Skills!O8</f>
        <v/>
      </c>
      <c r="G2773">
        <f>Skills!G8*IF(Skills!H8&gt;0,Skills!I8/Skills!H8,1)</f>
        <v/>
      </c>
      <c r="H2773">
        <f>1-(1-Skills!J8/100)^Skills!K8</f>
        <v/>
      </c>
      <c r="I2773" t="inlineStr">
        <is>
          <t>1</t>
        </is>
      </c>
      <c r="J2773">
        <f>((Inputs!$B$6*(1+Inputs!$B$7/100))+(((Inputs!$B$12*(1+Inputs!$B$13/100))-(Inputs!$B$12*(1+Inputs!$B$13/100)))+0.25*(Inputs!$B$14-Inputs!$B$14))*(1+Inputs!$B$7/100))*(F2773/100)</f>
        <v/>
      </c>
      <c r="K2773">
        <f>J2773*(1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2773)</f>
        <v/>
      </c>
      <c r="L2773">
        <f>K2773*(MIN(Inputs!$B$22+((C2787=TRUE)*(F2787-Calc!F22)),(Inputs!$B$23+((C2789=TRUE)*(F2789-Calc!F24))+(IF(ArtifactsInput!$M$15,CHOOSE(ArtifactsInput!$N$15+1,25,30,35,40,45,50)/100*(Inputs!$B$11-Inputs!$B$11),0))))/100+(Inputs!$B$23+((C2789=TRUE)*(F2789-Calc!F24))+(IF(ArtifactsInput!$M$15,CHOOSE(ArtifactsInput!$N$15+1,25,30,35,40,45,50)/100*(Inputs!$B$11-Inputs!$B$11),0)))/100)/2</f>
        <v/>
      </c>
      <c r="M2773">
        <f>L2773*(1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3">
        <f>L2773*(1-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2773*(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3">
        <f>(1-Summary!$B$11)*T2773+Summary!$B$11*V2773</f>
        <v/>
      </c>
      <c r="P2773">
        <f>IF(B2802=0,0,O2773/B2802)</f>
        <v/>
      </c>
      <c r="Q2773">
        <f>IFERROR(1/(IF(Inputs!$B$38="pvp",15,MAX(0.1,Skills!D8-IF(Skills!E8=TRUE,3.0,0)))*(1-IF(AND(ArtifactsInput!$M$27,Inputs!$B$4="Chapter Hunt"),CHOOSE(ArtifactsInput!$N$27+1,20,24,28,32,36,40),0)/100)),0)</f>
        <v/>
      </c>
      <c r="R2773">
        <f>IF(AND(Inputs!$B$38&lt;&gt;"pvp",Inputs!$B$43&gt;0),IF(MAX(0,Inputs!$B$43-B2799)&lt;=0,0,(INT(MAX(0,Inputs!$B$43-B2799)/(IF(Inputs!$B$38="pvp",15,MAX(0.1,Skills!D8-IF(Skills!E8=TRUE,3.0,0)))*(1-IF(AND(ArtifactsInput!$M$27,Inputs!$B$4="Chapter Hunt"),CHOOSE(ArtifactsInput!$N$27+1,20,24,28,32,36,40),0)/100)))+1)),0)</f>
        <v/>
      </c>
      <c r="S2773">
        <f>IFERROR(O2773/N2773,0)</f>
        <v/>
      </c>
      <c r="T2773">
        <f>IF(C2773,(H2773*N2773*IF(AND(Inputs!$B$38&lt;&gt;"pvp",Inputs!$B$43&gt;0),((Skills!G8*((R2773-1)*IF(Skills!H8&gt;0,Skills!I8/Skills!H8,1)+IF(Skills!H8&gt;0,MIN(Skills!I8,MAX(0,MAX(0,Inputs!$B$43-B2799)-((R2773-1)*(IF(Inputs!$B$38="pvp",15,MAX(0.1,Skills!D8-IF(Skills!E8=TRUE,3.0,0)))*(1-IF(AND(ArtifactsInput!$M$27,Inputs!$B$4="Chapter Hunt"),CHOOSE(ArtifactsInput!$N$27+1,20,24,28,32,36,40),0)/100)))))/Skills!H8,1)))/Inputs!$B$43),G2773*Q2773)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2773*(1-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2773*(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2773*(1-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2773*(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3">
        <f>IF(C2773,(H2773*N2773*IF(AND(Inputs!$B$38&lt;&gt;"pvp",Inputs!$B$43&gt;0),((Skills!G8*((R2773-1)*IF(Skills!H8&gt;0,Skills!I8/Skills!H8,1)+IF(Skills!H8&gt;0,MIN(Skills!I8,MAX(0,MAX(0,Inputs!$B$43-B2799)-((R2773-1)*(IF(Inputs!$B$38="pvp",15,MAX(0.1,Skills!D8-IF(Skills!E8=TRUE,3.0,0)))*(1-IF(AND(ArtifactsInput!$M$27,Inputs!$B$4="Chapter Hunt"),CHOOSE(ArtifactsInput!$N$27+1,20,24,28,32,36,40),0)/100)))))/Skills!H8,1)))/Inputs!$B$43),G2773*Q2773))*IF(Inputs!$B$38="pvp",1,(1+(Inputs!$B$21+Skills!Q8+(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4">
      <c r="A2774">
        <f>Skills!A9</f>
        <v/>
      </c>
      <c r="B2774">
        <f>Skills!B9</f>
        <v/>
      </c>
      <c r="C2774">
        <f>Inputs!$B$3&gt;=125</f>
        <v/>
      </c>
      <c r="D2774">
        <f>IF(Skills!C9=1,60+Inputs!$B$25+Inputs!$B$29,IF(Skills!C9=2,90+Inputs!$B$26+Inputs!$B$29,IF(Skills!C9=3,120+Inputs!$B$27+Inputs!$B$29,MAX(0,(Inputs!$B$3-100)*3)+Inputs!$B$28+Inputs!$B$29)))</f>
        <v/>
      </c>
      <c r="E2774">
        <f>INDEX(FactorTable!$B$2:$Y$301, MATCH(ROUND(MIN(300,MAX(1,D2774)),0), FactorTable!$A$2:$A$301,0), Skills!M9+1)</f>
        <v/>
      </c>
      <c r="F2774">
        <f>IF(Skills!N9=TRUE,(Skills!L9/10)*(E2774/1000),Skills!L9/10)+Skills!O9</f>
        <v/>
      </c>
      <c r="G2774">
        <f>Skills!G9*IF(Skills!H9&gt;0,Skills!I9/Skills!H9,1)</f>
        <v/>
      </c>
      <c r="H2774">
        <f>1-(1-Skills!J9/100)^Skills!K9</f>
        <v/>
      </c>
      <c r="I2774" t="inlineStr">
        <is>
          <t>1</t>
        </is>
      </c>
      <c r="J2774">
        <f>((Inputs!$B$6*(1+Inputs!$B$7/100))+(((Inputs!$B$12*(1+Inputs!$B$13/100))-(Inputs!$B$12*(1+Inputs!$B$13/100)))+0.25*(Inputs!$B$14-Inputs!$B$14))*(1+Inputs!$B$7/100))*(F2774/100)</f>
        <v/>
      </c>
      <c r="K2774">
        <f>J2774*(1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2774)</f>
        <v/>
      </c>
      <c r="L2774">
        <f>K2774*(MIN(Inputs!$B$22+((C2787=TRUE)*(F2787-Calc!F22)),(Inputs!$B$23+((C2789=TRUE)*(F2789-Calc!F24))+(IF(ArtifactsInput!$M$15,CHOOSE(ArtifactsInput!$N$15+1,25,30,35,40,45,50)/100*(Inputs!$B$11-Inputs!$B$11),0))))/100+(Inputs!$B$23+((C2789=TRUE)*(F2789-Calc!F24))+(IF(ArtifactsInput!$M$15,CHOOSE(ArtifactsInput!$N$15+1,25,30,35,40,45,50)/100*(Inputs!$B$11-Inputs!$B$11),0)))/100)/2</f>
        <v/>
      </c>
      <c r="M2774">
        <f>L2774*(1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4">
        <f>L2774*(1-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2774*(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4">
        <f>(1-Summary!$B$11)*T2774+Summary!$B$11*V2774</f>
        <v/>
      </c>
      <c r="P2774">
        <f>IF(B2802=0,0,O2774/B2802)</f>
        <v/>
      </c>
      <c r="Q2774">
        <f>IFERROR(1/(IF(Inputs!$B$38="pvp",15,MAX(0.1,Skills!D9-IF(Skills!E9=TRUE,3.0,0)))*(1-IF(AND(ArtifactsInput!$M$27,Inputs!$B$4="Chapter Hunt"),CHOOSE(ArtifactsInput!$N$27+1,20,24,28,32,36,40),0)/100)),0)</f>
        <v/>
      </c>
      <c r="R2774">
        <f>IF(AND(Inputs!$B$38&lt;&gt;"pvp",Inputs!$B$43&gt;0),IF(MAX(0,Inputs!$B$43-B2799)&lt;=0,0,(INT(MAX(0,Inputs!$B$43-B2799)/(IF(Inputs!$B$38="pvp",15,MAX(0.1,Skills!D9-IF(Skills!E9=TRUE,3.0,0)))*(1-IF(AND(ArtifactsInput!$M$27,Inputs!$B$4="Chapter Hunt"),CHOOSE(ArtifactsInput!$N$27+1,20,24,28,32,36,40),0)/100)))+1)),0)</f>
        <v/>
      </c>
      <c r="S2774">
        <f>IFERROR(O2774/N2774,0)</f>
        <v/>
      </c>
      <c r="T2774">
        <f>IF(C2774,(H2774*N2774*IF(AND(Inputs!$B$38&lt;&gt;"pvp",Inputs!$B$43&gt;0),((Skills!G9*((R2774-1)*IF(Skills!H9&gt;0,Skills!I9/Skills!H9,1)+IF(Skills!H9&gt;0,MIN(Skills!I9,MAX(0,MAX(0,Inputs!$B$43-B2799)-((R2774-1)*(IF(Inputs!$B$38="pvp",15,MAX(0.1,Skills!D9-IF(Skills!E9=TRUE,3.0,0)))*(1-IF(AND(ArtifactsInput!$M$27,Inputs!$B$4="Chapter Hunt"),CHOOSE(ArtifactsInput!$N$27+1,20,24,28,32,36,40),0)/100)))))/Skills!H9,1)))/Inputs!$B$43),G2774*Q2774)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2774*(1-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2774*(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2774*(1-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2774*(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4">
        <f>IF(C2774,(H2774*N2774*IF(AND(Inputs!$B$38&lt;&gt;"pvp",Inputs!$B$43&gt;0),((Skills!G9*((R2774-1)*IF(Skills!H9&gt;0,Skills!I9/Skills!H9,1)+IF(Skills!H9&gt;0,MIN(Skills!I9,MAX(0,MAX(0,Inputs!$B$43-B2799)-((R2774-1)*(IF(Inputs!$B$38="pvp",15,MAX(0.1,Skills!D9-IF(Skills!E9=TRUE,3.0,0)))*(1-IF(AND(ArtifactsInput!$M$27,Inputs!$B$4="Chapter Hunt"),CHOOSE(ArtifactsInput!$N$27+1,20,24,28,32,36,40),0)/100)))))/Skills!H9,1)))/Inputs!$B$43),G2774*Q2774))*IF(Inputs!$B$38="pvp",1,(1+(Inputs!$B$21+Skills!Q9+(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5">
      <c r="A2775">
        <f>Skills!A10</f>
        <v/>
      </c>
      <c r="B2775">
        <f>Skills!B10</f>
        <v/>
      </c>
      <c r="C2775">
        <f>Inputs!$B$3&gt;=117</f>
        <v/>
      </c>
      <c r="D2775">
        <f>IF(Skills!C10=1,60+Inputs!$B$25+Inputs!$B$29,IF(Skills!C10=2,90+Inputs!$B$26+Inputs!$B$29,IF(Skills!C10=3,120+Inputs!$B$27+Inputs!$B$29,MAX(0,(Inputs!$B$3-100)*3)+Inputs!$B$28+Inputs!$B$29)))</f>
        <v/>
      </c>
      <c r="E2775">
        <f>INDEX(FactorTable!$B$2:$Y$301, MATCH(ROUND(MIN(300,MAX(1,D2775)),0), FactorTable!$A$2:$A$301,0), Skills!M10+1)</f>
        <v/>
      </c>
      <c r="F2775">
        <f>IF(Skills!N10=TRUE,(Skills!L10/10)*(E2775/1000),Skills!L10/10)+Skills!O10</f>
        <v/>
      </c>
      <c r="G2775">
        <f>Skills!G10*IF(Skills!H10&gt;0,Skills!I10/Skills!H10,1)</f>
        <v/>
      </c>
      <c r="H2775">
        <f>1-(1-Skills!J10/100)^Skills!K10</f>
        <v/>
      </c>
      <c r="I2775" t="inlineStr">
        <is>
          <t>1</t>
        </is>
      </c>
      <c r="J2775">
        <f>((Inputs!$B$6*(1+Inputs!$B$7/100))+(((Inputs!$B$12*(1+Inputs!$B$13/100))-(Inputs!$B$12*(1+Inputs!$B$13/100)))+0.25*(Inputs!$B$14-Inputs!$B$14))*(1+Inputs!$B$7/100))*(F2775/100)</f>
        <v/>
      </c>
      <c r="K2775">
        <f>J2775*(1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2775)</f>
        <v/>
      </c>
      <c r="L2775">
        <f>K2775*(MIN(Inputs!$B$22+((C2787=TRUE)*(F2787-Calc!F22)),(Inputs!$B$23+((C2789=TRUE)*(F2789-Calc!F24))+(IF(ArtifactsInput!$M$15,CHOOSE(ArtifactsInput!$N$15+1,25,30,35,40,45,50)/100*(Inputs!$B$11-Inputs!$B$11),0))))/100+(Inputs!$B$23+((C2789=TRUE)*(F2789-Calc!F24))+(IF(ArtifactsInput!$M$15,CHOOSE(ArtifactsInput!$N$15+1,25,30,35,40,45,50)/100*(Inputs!$B$11-Inputs!$B$11),0)))/100)/2</f>
        <v/>
      </c>
      <c r="M2775">
        <f>L2775*(1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5">
        <f>L2775*(1-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2775*(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5">
        <f>(1-Summary!$B$11)*T2775+Summary!$B$11*V2775</f>
        <v/>
      </c>
      <c r="P2775">
        <f>IF(B2802=0,0,O2775/B2802)</f>
        <v/>
      </c>
      <c r="Q2775">
        <f>IFERROR(1/(IF(Inputs!$B$38="pvp",15,MAX(0.1,Skills!D10-IF(Skills!E10=TRUE,3.0,0)))*(1-IF(AND(ArtifactsInput!$M$27,Inputs!$B$4="Chapter Hunt"),CHOOSE(ArtifactsInput!$N$27+1,20,24,28,32,36,40),0)/100)),0)</f>
        <v/>
      </c>
      <c r="R2775">
        <f>IF(AND(Inputs!$B$38&lt;&gt;"pvp",Inputs!$B$43&gt;0),IF(MAX(0,Inputs!$B$43-B2799)&lt;=0,0,(INT(MAX(0,Inputs!$B$43-B2799)/(IF(Inputs!$B$38="pvp",15,MAX(0.1,Skills!D10-IF(Skills!E10=TRUE,3.0,0)))*(1-IF(AND(ArtifactsInput!$M$27,Inputs!$B$4="Chapter Hunt"),CHOOSE(ArtifactsInput!$N$27+1,20,24,28,32,36,40),0)/100)))+1)),0)</f>
        <v/>
      </c>
      <c r="S2775">
        <f>IFERROR(O2775/N2775,0)</f>
        <v/>
      </c>
      <c r="T2775">
        <f>IF(C2775,(H2775*N2775*IF(AND(Inputs!$B$38&lt;&gt;"pvp",Inputs!$B$43&gt;0),((Skills!G10*((R2775-1)*IF(Skills!H10&gt;0,Skills!I10/Skills!H10,1)+IF(Skills!H10&gt;0,MIN(Skills!I10,MAX(0,MAX(0,Inputs!$B$43-B2799)-((R2775-1)*(IF(Inputs!$B$38="pvp",15,MAX(0.1,Skills!D10-IF(Skills!E10=TRUE,3.0,0)))*(1-IF(AND(ArtifactsInput!$M$27,Inputs!$B$4="Chapter Hunt"),CHOOSE(ArtifactsInput!$N$27+1,20,24,28,32,36,40),0)/100)))))/Skills!H10,1)))/Inputs!$B$43),G2775*Q2775)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2775*(1-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2775*(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2775*(1-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2775*(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5">
        <f>IF(C2775,(H2775*N2775*IF(AND(Inputs!$B$38&lt;&gt;"pvp",Inputs!$B$43&gt;0),((Skills!G10*((R2775-1)*IF(Skills!H10&gt;0,Skills!I10/Skills!H10,1)+IF(Skills!H10&gt;0,MIN(Skills!I10,MAX(0,MAX(0,Inputs!$B$43-B2799)-((R2775-1)*(IF(Inputs!$B$38="pvp",15,MAX(0.1,Skills!D10-IF(Skills!E10=TRUE,3.0,0)))*(1-IF(AND(ArtifactsInput!$M$27,Inputs!$B$4="Chapter Hunt"),CHOOSE(ArtifactsInput!$N$27+1,20,24,28,32,36,40),0)/100)))))/Skills!H10,1)))/Inputs!$B$43),G2775*Q2775))*IF(Inputs!$B$38="pvp",1,(1+(Inputs!$B$21+Skills!Q10+(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6">
      <c r="A2776">
        <f>Skills!A11</f>
        <v/>
      </c>
      <c r="B2776">
        <f>Skills!B11</f>
        <v/>
      </c>
      <c r="C2776">
        <f>Inputs!$B$3&gt;=63</f>
        <v/>
      </c>
      <c r="D2776">
        <f>IF(Skills!C11=1,60+Inputs!$B$25+Inputs!$B$29,IF(Skills!C11=2,90+Inputs!$B$26+Inputs!$B$29,IF(Skills!C11=3,120+Inputs!$B$27+Inputs!$B$29,MAX(0,(Inputs!$B$3-100)*3)+Inputs!$B$28+Inputs!$B$29)))</f>
        <v/>
      </c>
      <c r="E2776">
        <f>INDEX(FactorTable!$B$2:$Y$301, MATCH(ROUND(MIN(300,MAX(1,D2776)),0), FactorTable!$A$2:$A$301,0), Skills!M11+1)</f>
        <v/>
      </c>
      <c r="F2776">
        <f>IF(Skills!N11=TRUE,(Skills!L11/10)*(E2776/1000),Skills!L11/10)+Skills!O11</f>
        <v/>
      </c>
      <c r="G2776">
        <f>Skills!G11*IF(Skills!H11&gt;0,Skills!I11/Skills!H11,1)</f>
        <v/>
      </c>
      <c r="H2776">
        <f>1-(1-Skills!J11/100)^Skills!K11</f>
        <v/>
      </c>
      <c r="I2776" t="inlineStr">
        <is>
          <t>1</t>
        </is>
      </c>
      <c r="J2776">
        <f>((Inputs!$B$6*(1+Inputs!$B$7/100))+(((Inputs!$B$12*(1+Inputs!$B$13/100))-(Inputs!$B$12*(1+Inputs!$B$13/100)))+0.25*(Inputs!$B$14-Inputs!$B$14))*(1+Inputs!$B$7/100))*(F2776/100)</f>
        <v/>
      </c>
      <c r="K2776">
        <f>J2776*(1+((Inputs!$B$12*(1+Inputs!$B$13/100))*0.01+Inputs!$B$14*0.0025)/100)*(1+Inputs!$B$15/100)*(1+Inputs!$B$16/100)*(5000/(6000+Inputs!$B$42*(1-(Inputs!$B$19+0)/100)))*(1+(Inputs!$B$24+0+B2798)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2777=TRUE,F2777,0)/100)*(1+(IF(Skills!A11="BLAST",Inputs!$B$17+((C2786=TRUE)*(F2786-Calc!F21))+((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MIN(100,((Inputs!$B$9+0+B2792+(ArtifactsInput!$M$24-ArtifactsInput!$M$24)*CHOOSE(ArtifactsInput!$N$24+1,10,12,14,16,18,20)+IF(ArtifactsInput!$M$10,CHOOSE(ArtifactsInput!$N$10+1,15,18,21,24,27,30)*(IF(Inputs!$B$38="pvp",MIN(15,15)/15,IF(AND(Inputs!$B$38&lt;&gt;"pvp",Inputs!$B$43&gt;0),MIN(15,Inputs!$B$43)/(Inputs!$B$43),0))),0)))-100),0))*CHOOSE(ArtifactsInput!$N$42+1,0.6,0.72,0.84,0.96,1.08,1.2))),Inputs!$B$18+((C2788=TRUE)*(F2788-Calc!F23))+(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gt;=100),CHOOSE(ArtifactsInput!$N$42+1,40,48,56,64,72,80),0))))/100)*((1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2776)</f>
        <v/>
      </c>
      <c r="L2776">
        <f>K2776*(MIN(Inputs!$B$22+((C2787=TRUE)*(F2787-Calc!F22)),(Inputs!$B$23+((C2789=TRUE)*(F2789-Calc!F24))+(IF(ArtifactsInput!$M$15,CHOOSE(ArtifactsInput!$N$15+1,25,30,35,40,45,50)/100*(Inputs!$B$11-Inputs!$B$11),0))))/100+(Inputs!$B$23+((C2789=TRUE)*(F2789-Calc!F24))+(IF(ArtifactsInput!$M$15,CHOOSE(ArtifactsInput!$N$15+1,25,30,35,40,45,50)/100*(Inputs!$B$11-Inputs!$B$11),0)))/100)/2</f>
        <v/>
      </c>
      <c r="M2776">
        <f>L2776*(1+(Inputs!$B$10+0+B2797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6">
        <f>L2776*(1-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2776*(MIN((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6">
        <f>(1-Summary!$B$11)*T2776+Summary!$B$11*V2776</f>
        <v/>
      </c>
      <c r="P2776">
        <f>IF(B2802=0,0,O2776/B2802)</f>
        <v/>
      </c>
      <c r="Q2776">
        <f>IFERROR(1/(IF(Inputs!$B$38="pvp",15,MAX(0.1,Skills!D11-IF(Skills!E11=TRUE,3.0,0)))*(1-IF(AND(ArtifactsInput!$M$27,Inputs!$B$4="Chapter Hunt"),CHOOSE(ArtifactsInput!$N$27+1,20,24,28,32,36,40),0)/100)),0)</f>
        <v/>
      </c>
      <c r="R2776">
        <f>IF(AND(Inputs!$B$38&lt;&gt;"pvp",Inputs!$B$43&gt;0),IF(MAX(0,Inputs!$B$43-B2799)&lt;=0,0,(INT(MAX(0,Inputs!$B$43-B2799)/(IF(Inputs!$B$38="pvp",15,MAX(0.1,Skills!D11-IF(Skills!E11=TRUE,3.0,0)))*(1-IF(AND(ArtifactsInput!$M$27,Inputs!$B$4="Chapter Hunt"),CHOOSE(ArtifactsInput!$N$27+1,20,24,28,32,36,40),0)/100)))+1)),0)</f>
        <v/>
      </c>
      <c r="S2776">
        <f>IFERROR(O2776/N2776,0)</f>
        <v/>
      </c>
      <c r="T2776">
        <f>IF(C2776,(H2776*N2776*IF(AND(Inputs!$B$38&lt;&gt;"pvp",Inputs!$B$43&gt;0),((Skills!G11*((R2776-1)*IF(Skills!H11&gt;0,Skills!I11/Skills!H11,1)+IF(Skills!H11&gt;0,MIN(Skills!I11,MAX(0,MAX(0,Inputs!$B$43-B2799)-((R2776-1)*(IF(Inputs!$B$38="pvp",15,MAX(0.1,Skills!D11-IF(Skills!E11=TRUE,3.0,0)))*(1-IF(AND(ArtifactsInput!$M$27,Inputs!$B$4="Chapter Hunt"),CHOOSE(ArtifactsInput!$N$27+1,20,24,28,32,36,40),0)/100)))))/Skills!H11,1)))/Inputs!$B$43),G2776*Q2776)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2776*(1-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2776*(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2776*(1-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2776*(MIN(100,(Inputs!$B$9+0+B2792+(ArtifactsInput!$M$24-ArtifactsInput!$M$24)*CHOOSE(ArtifactsInput!$N$24+1,10,12,14,16,18,20)+(IF(AND(Inputs!$B$38&lt;&gt;"pvp",Inputs!$B$43=0),1,IF(IF(Inputs!$B$38="pvp",15,Inputs!$B$43)-(B2799)&lt;=0,1,MAX(0,IF(Inputs!$B$38="pvp",15,Inputs!$B$43)-MAX(5,B2799))/(IF(Inputs!$B$38="pvp",15,Inputs!$B$43)-(B2799))))*IF(AND(ArtifactsInput!$M$42,((Inputs!$B$9+0+B2792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6">
        <f>IF(C2776,(H2776*N2776*IF(AND(Inputs!$B$38&lt;&gt;"pvp",Inputs!$B$43&gt;0),((Skills!G11*((R2776-1)*IF(Skills!H11&gt;0,Skills!I11/Skills!H11,1)+IF(Skills!H11&gt;0,MIN(Skills!I11,MAX(0,MAX(0,Inputs!$B$43-B2799)-((R2776-1)*(IF(Inputs!$B$38="pvp",15,MAX(0.1,Skills!D11-IF(Skills!E11=TRUE,3.0,0)))*(1-IF(AND(ArtifactsInput!$M$27,Inputs!$B$4="Chapter Hunt"),CHOOSE(ArtifactsInput!$N$27+1,20,24,28,32,36,40),0)/100)))))/Skills!H11,1)))/Inputs!$B$43),G2776*Q2776))*IF(Inputs!$B$38="pvp",1,(1+(Inputs!$B$21+Skills!Q11+(IF(ArtifactsInput!$M$33,CHOOSE(ArtifactsInput!$N$33+1,30,36,42,48,54,60),0))+(IF(AND(ArtifactsInput!$M$35,Inputs!$B$4&lt;&gt;"Chapter Hunt"),CHOOSE(ArtifactsInput!$N$35+1,15,18,21,24,27,30)*(1-EXP(-(0.2*B2794)*5)),0)+IF(AND(ArtifactsInput!$M$22,Inputs!$B$4&lt;&gt;"Chapter Hunt"),CHOOSE(ArtifactsInput!$N$22+1,10,12,14,16,18,20)*((0*(((0.15*B2794*5))^0/1)+1*(((0.15*B2794*5))^1/1)+2*(((0.15*B2794*5))^2/2)+3*(((0.15*B2794*5))^3/6)+4*(((0.15*B2794*5))^4/24)+5*(((0.15*B2794*5))^5/120))/((((0.15*B2794*5))^0/1)+(((0.15*B2794*5))^1/1)+(((0.15*B2794*5))^2/2)+(((0.15*B2794*5))^3/6)+(((0.15*B2794*5))^4/24)+(((0.15*B2794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7">
      <c r="A2777">
        <f>Skills!A12</f>
        <v/>
      </c>
      <c r="B2777">
        <f>Skills!B12</f>
        <v/>
      </c>
      <c r="C2777">
        <f>Inputs!$B$3&gt;=100</f>
        <v/>
      </c>
      <c r="D2777">
        <f>IF(Skills!C12=1,60+Inputs!$B$25+Inputs!$B$29,IF(Skills!C12=2,90+Inputs!$B$26+Inputs!$B$29,IF(Skills!C12=3,120+Inputs!$B$27+Inputs!$B$29,MAX(0,(Inputs!$B$3-100)*3)+Inputs!$B$28+Inputs!$B$29)))</f>
        <v/>
      </c>
      <c r="E2777">
        <f>INDEX(FactorTable!$B$2:$Y$301, MATCH(ROUND(MIN(300,MAX(1,D2777)),0), FactorTable!$A$2:$A$301,0), Skills!M12+1)</f>
        <v/>
      </c>
      <c r="F2777">
        <f>IF(Skills!N12=TRUE,(Skills!L12/10)*(E2777/1000),Skills!L12/10)+Skills!O12</f>
        <v/>
      </c>
      <c r="G2777" t="inlineStr"/>
      <c r="H2777" t="inlineStr"/>
      <c r="I2777" t="inlineStr">
        <is>
          <t>1</t>
        </is>
      </c>
      <c r="J2777" t="inlineStr"/>
      <c r="K2777" t="inlineStr"/>
      <c r="L2777" t="inlineStr"/>
      <c r="M2777" t="inlineStr"/>
      <c r="N2777" t="inlineStr"/>
      <c r="O2777" t="inlineStr"/>
      <c r="P2777" t="inlineStr"/>
      <c r="Q2777" t="inlineStr"/>
      <c r="R2777" t="inlineStr"/>
      <c r="S2777" t="inlineStr"/>
    </row>
    <row r="2778">
      <c r="A2778">
        <f>Skills!A13</f>
        <v/>
      </c>
      <c r="B2778">
        <f>Skills!B13</f>
        <v/>
      </c>
      <c r="C2778">
        <f>Inputs!$B$3&gt;=45</f>
        <v/>
      </c>
      <c r="D2778">
        <f>IF(Skills!C13=1,60+Inputs!$B$25+Inputs!$B$29,IF(Skills!C13=2,90+Inputs!$B$26+Inputs!$B$29,IF(Skills!C13=3,120+Inputs!$B$27+Inputs!$B$29,MAX(0,(Inputs!$B$3-100)*3)+Inputs!$B$28+Inputs!$B$29)))</f>
        <v/>
      </c>
      <c r="E2778">
        <f>INDEX(FactorTable!$B$2:$Y$301, MATCH(ROUND(MIN(300,MAX(1,D2778)),0), FactorTable!$A$2:$A$301,0), Skills!M13+1)</f>
        <v/>
      </c>
      <c r="F2778">
        <f>IF(Skills!N13=TRUE,(Skills!L13/10)*(E2778/1000),Skills!L13/10)+Skills!O13</f>
        <v/>
      </c>
      <c r="G2778">
        <f>Skills!G13*IF(Skills!H13&gt;0,Skills!I13/Skills!H13,1)</f>
        <v/>
      </c>
      <c r="H2778">
        <f>1-(1-Skills!J13/100)^Skills!K13</f>
        <v/>
      </c>
      <c r="I2778" t="inlineStr">
        <is>
          <t>1</t>
        </is>
      </c>
      <c r="J2778" t="inlineStr"/>
      <c r="K2778" t="inlineStr"/>
      <c r="L2778" t="inlineStr"/>
      <c r="M2778" t="inlineStr"/>
      <c r="N2778" t="inlineStr"/>
      <c r="O2778">
        <f>(1-Summary!$B$11)*T2778+Summary!$B$11*V2778</f>
        <v/>
      </c>
      <c r="P2778">
        <f>IF(B2802=0,0,O2778/B2802)</f>
        <v/>
      </c>
      <c r="Q2778" t="n">
        <v>0</v>
      </c>
      <c r="R2778" t="n">
        <v>0</v>
      </c>
      <c r="S2778">
        <f>IFERROR(O2778/N2778,0)</f>
        <v/>
      </c>
      <c r="T2778" t="n">
        <v>0</v>
      </c>
      <c r="V2778" t="n">
        <v>0</v>
      </c>
    </row>
    <row r="2779">
      <c r="A2779">
        <f>Skills!A14</f>
        <v/>
      </c>
      <c r="B2779">
        <f>Skills!B14</f>
        <v/>
      </c>
      <c r="C2779">
        <f>Inputs!$B$3&gt;=110</f>
        <v/>
      </c>
      <c r="D2779">
        <f>IF(Skills!C14=1,60+Inputs!$B$25+Inputs!$B$29,IF(Skills!C14=2,90+Inputs!$B$26+Inputs!$B$29,IF(Skills!C14=3,120+Inputs!$B$27+Inputs!$B$29,MAX(0,(Inputs!$B$3-100)*3)+Inputs!$B$28+Inputs!$B$29)))</f>
        <v/>
      </c>
      <c r="E2779">
        <f>INDEX(FactorTable!$B$2:$Y$301, MATCH(ROUND(MIN(300,MAX(1,D2779)),0), FactorTable!$A$2:$A$301,0), Skills!M14+1)</f>
        <v/>
      </c>
      <c r="F2779">
        <f>IF(Skills!N14=TRUE,(Skills!L14/10)*(E2779/1000),Skills!L14/10)+Skills!O14</f>
        <v/>
      </c>
      <c r="G2779">
        <f>Skills!G14*IF(Skills!H14&gt;0,Skills!I14/Skills!H14,1)</f>
        <v/>
      </c>
      <c r="H2779">
        <f>1-(1-Skills!J14/100)^Skills!K14</f>
        <v/>
      </c>
      <c r="I2779" t="inlineStr">
        <is>
          <t>1</t>
        </is>
      </c>
      <c r="J2779" t="inlineStr"/>
      <c r="K2779" t="inlineStr"/>
      <c r="L2779" t="inlineStr"/>
      <c r="M2779" t="inlineStr"/>
      <c r="N2779" t="inlineStr"/>
      <c r="O2779">
        <f>(1-Summary!$B$11)*T2779+Summary!$B$11*V2779</f>
        <v/>
      </c>
      <c r="P2779">
        <f>IF(B2802=0,0,O2779/B2802)</f>
        <v/>
      </c>
      <c r="Q2779" t="n">
        <v>0</v>
      </c>
      <c r="R2779" t="n">
        <v>0</v>
      </c>
      <c r="S2779">
        <f>IFERROR(O2779/N2779,0)</f>
        <v/>
      </c>
      <c r="T2779" t="n">
        <v>0</v>
      </c>
      <c r="V2779" t="n">
        <v>0</v>
      </c>
    </row>
    <row r="2780">
      <c r="A2780">
        <f>Skills!A15</f>
        <v/>
      </c>
      <c r="B2780">
        <f>Skills!B15</f>
        <v/>
      </c>
      <c r="C2780">
        <f>Inputs!$B$3&gt;=75</f>
        <v/>
      </c>
      <c r="D2780">
        <f>IF(Skills!C15=1,60+Inputs!$B$25+Inputs!$B$29,IF(Skills!C15=2,90+Inputs!$B$26+Inputs!$B$29,IF(Skills!C15=3,120+Inputs!$B$27+Inputs!$B$29,MAX(0,(Inputs!$B$3-100)*3)+Inputs!$B$28+Inputs!$B$29)))</f>
        <v/>
      </c>
      <c r="E2780">
        <f>INDEX(FactorTable!$B$2:$Y$301, MATCH(ROUND(MIN(300,MAX(1,D2780)),0), FactorTable!$A$2:$A$301,0), Skills!M15+1)</f>
        <v/>
      </c>
      <c r="F2780">
        <f>IF(Skills!N15=TRUE,(Skills!L15/10)*(E2780/1000),Skills!L15/10)+Skills!O15</f>
        <v/>
      </c>
      <c r="G2780">
        <f>Skills!G15*IF(Skills!H15&gt;0,Skills!I15/Skills!H15,1)</f>
        <v/>
      </c>
      <c r="H2780">
        <f>1-(1-Skills!J15/100)^Skills!K15</f>
        <v/>
      </c>
      <c r="I2780" t="inlineStr">
        <is>
          <t>1</t>
        </is>
      </c>
      <c r="J2780" t="inlineStr"/>
      <c r="K2780" t="inlineStr"/>
      <c r="L2780" t="inlineStr"/>
      <c r="M2780" t="inlineStr"/>
      <c r="N2780" t="inlineStr"/>
      <c r="O2780">
        <f>(1-Summary!$B$11)*T2780+Summary!$B$11*V2780</f>
        <v/>
      </c>
      <c r="P2780">
        <f>IF(B2802=0,0,O2780/B2802)</f>
        <v/>
      </c>
      <c r="Q2780">
        <f>IFERROR(1/(IF(Inputs!$B$38="pvp",15,MAX(0.1,Skills!D15-IF(Skills!E15=TRUE,3.0,0)))*(1-IF(AND(ArtifactsInput!$M$27,Inputs!$B$4="Chapter Hunt"),CHOOSE(ArtifactsInput!$N$27+1,20,24,28,32,36,40),0)/100)),0)</f>
        <v/>
      </c>
      <c r="R2780">
        <f>IF(AND(Inputs!$B$38&lt;&gt;"pvp",Inputs!$B$43&gt;0),IF(Inputs!$B$43&lt;=0,0,(INT(Inputs!$B$43/(IF(Inputs!$B$38="pvp",15,MAX(0.1,Skills!D15-IF(Skills!E15=TRUE,3.0,0)))*(1-IF(AND(ArtifactsInput!$M$27,Inputs!$B$4="Chapter Hunt"),CHOOSE(ArtifactsInput!$N$27+1,20,24,28,32,36,40),0)/100)))+1)),0)</f>
        <v/>
      </c>
      <c r="S2780">
        <f>IFERROR(O2780/N2780,0)</f>
        <v/>
      </c>
      <c r="T2780" t="n">
        <v>0</v>
      </c>
      <c r="V2780" t="n">
        <v>0</v>
      </c>
    </row>
    <row r="2781">
      <c r="A2781">
        <f>Skills!A16</f>
        <v/>
      </c>
      <c r="B2781">
        <f>Skills!B16</f>
        <v/>
      </c>
      <c r="C2781">
        <f>Inputs!$B$3&gt;=105</f>
        <v/>
      </c>
      <c r="D2781">
        <f>IF(Skills!C16=1,60+Inputs!$B$25+Inputs!$B$29,IF(Skills!C16=2,90+Inputs!$B$26+Inputs!$B$29,IF(Skills!C16=3,120+Inputs!$B$27+Inputs!$B$29,MAX(0,(Inputs!$B$3-100)*3)+Inputs!$B$28+Inputs!$B$29)))</f>
        <v/>
      </c>
      <c r="E2781">
        <f>INDEX(FactorTable!$B$2:$Y$301, MATCH(ROUND(MIN(300,MAX(1,D2781)),0), FactorTable!$A$2:$A$301,0), Skills!M16+1)</f>
        <v/>
      </c>
      <c r="F2781">
        <f>IF(Skills!N16=TRUE,(Skills!L16/10)*(E2781/1000),Skills!L16/10)+Skills!O16</f>
        <v/>
      </c>
      <c r="G2781">
        <f>Skills!G16*IF(Skills!H16&gt;0,Skills!I16/Skills!H16,1)</f>
        <v/>
      </c>
      <c r="H2781">
        <f>1-(1-Skills!J16/100)^Skills!K16</f>
        <v/>
      </c>
      <c r="I2781" t="inlineStr">
        <is>
          <t>1</t>
        </is>
      </c>
      <c r="J2781" t="inlineStr"/>
      <c r="K2781" t="inlineStr"/>
      <c r="L2781" t="inlineStr"/>
      <c r="M2781" t="inlineStr"/>
      <c r="N2781" t="inlineStr"/>
      <c r="O2781">
        <f>(1-Summary!$B$11)*T2781+Summary!$B$11*V2781</f>
        <v/>
      </c>
      <c r="P2781">
        <f>IF(B2802=0,0,O2781/B2802)</f>
        <v/>
      </c>
      <c r="Q2781">
        <f>IFERROR(1/(IF(Inputs!$B$38="pvp",15,MAX(0.1,Skills!D16-IF(Skills!E16=TRUE,3.0,0)))*(1-IF(AND(ArtifactsInput!$M$27,Inputs!$B$4="Chapter Hunt"),CHOOSE(ArtifactsInput!$N$27+1,20,24,28,32,36,40),0)/100)),0)</f>
        <v/>
      </c>
      <c r="R2781">
        <f>IF(AND(Inputs!$B$38&lt;&gt;"pvp",Inputs!$B$43&gt;0),IF(Inputs!$B$43&lt;=0,0,(INT(Inputs!$B$43/(IF(Inputs!$B$38="pvp",15,MAX(0.1,Skills!D16-IF(Skills!E16=TRUE,3.0,0)))*(1-IF(AND(ArtifactsInput!$M$27,Inputs!$B$4="Chapter Hunt"),CHOOSE(ArtifactsInput!$N$27+1,20,24,28,32,36,40),0)/100)))+1)),0)</f>
        <v/>
      </c>
      <c r="S2781">
        <f>IFERROR(O2781/N2781,0)</f>
        <v/>
      </c>
      <c r="T2781" t="n">
        <v>0</v>
      </c>
      <c r="V2781" t="n">
        <v>0</v>
      </c>
    </row>
    <row r="2782">
      <c r="A2782">
        <f>Skills!A17</f>
        <v/>
      </c>
      <c r="B2782">
        <f>Skills!B17</f>
        <v/>
      </c>
      <c r="C2782">
        <f>Inputs!$B$3&gt;=115</f>
        <v/>
      </c>
      <c r="D2782">
        <f>IF(Skills!C17=1,60+Inputs!$B$25+Inputs!$B$29,IF(Skills!C17=2,90+Inputs!$B$26+Inputs!$B$29,IF(Skills!C17=3,120+Inputs!$B$27+Inputs!$B$29,MAX(0,(Inputs!$B$3-100)*3)+Inputs!$B$28+Inputs!$B$29)))</f>
        <v/>
      </c>
      <c r="E2782">
        <f>INDEX(FactorTable!$B$2:$Y$301, MATCH(ROUND(MIN(300,MAX(1,D2782)),0), FactorTable!$A$2:$A$301,0), Skills!M17+1)</f>
        <v/>
      </c>
      <c r="F2782">
        <f>IF(Skills!N17=TRUE,(Skills!L17/10)*(E2782/1000),Skills!L17/10)+Skills!O17</f>
        <v/>
      </c>
      <c r="G2782">
        <f>Skills!G17*IF(Skills!H17&gt;0,Skills!I17/Skills!H17,1)</f>
        <v/>
      </c>
      <c r="H2782">
        <f>1-(1-Skills!J17/100)^Skills!K17</f>
        <v/>
      </c>
      <c r="I2782" t="inlineStr">
        <is>
          <t>1</t>
        </is>
      </c>
      <c r="J2782" t="inlineStr"/>
      <c r="K2782" t="inlineStr"/>
      <c r="L2782" t="inlineStr"/>
      <c r="M2782" t="inlineStr"/>
      <c r="N2782" t="inlineStr"/>
      <c r="O2782">
        <f>(1-Summary!$B$11)*T2782+Summary!$B$11*V2782</f>
        <v/>
      </c>
      <c r="P2782">
        <f>IF(B2802=0,0,O2782/B2802)</f>
        <v/>
      </c>
      <c r="Q2782">
        <f>IFERROR(1/(IF(Inputs!$B$38="pvp",15,MAX(0.1,Skills!D17-IF(Skills!E17=TRUE,3.0,0)))*(1-IF(AND(ArtifactsInput!$M$27,Inputs!$B$4="Chapter Hunt"),CHOOSE(ArtifactsInput!$N$27+1,20,24,28,32,36,40),0)/100)),0)</f>
        <v/>
      </c>
      <c r="R2782">
        <f>IF(AND(Inputs!$B$38&lt;&gt;"pvp",Inputs!$B$43&gt;0),IF(Inputs!$B$43&lt;=0,0,(INT(Inputs!$B$43/(IF(Inputs!$B$38="pvp",15,MAX(0.1,Skills!D17-IF(Skills!E17=TRUE,3.0,0)))*(1-IF(AND(ArtifactsInput!$M$27,Inputs!$B$4="Chapter Hunt"),CHOOSE(ArtifactsInput!$N$27+1,20,24,28,32,36,40),0)/100)))+1)),0)</f>
        <v/>
      </c>
      <c r="S2782">
        <f>IFERROR(O2782/N2782,0)</f>
        <v/>
      </c>
      <c r="T2782" t="n">
        <v>0</v>
      </c>
      <c r="V2782" t="n">
        <v>0</v>
      </c>
    </row>
    <row r="2783">
      <c r="A2783">
        <f>Skills!A18</f>
        <v/>
      </c>
      <c r="B2783">
        <f>Skills!B18</f>
        <v/>
      </c>
      <c r="C2783">
        <f>Inputs!$B$3&gt;=74</f>
        <v/>
      </c>
      <c r="D2783">
        <f>IF(Skills!C18=1,60+Inputs!$B$25+Inputs!$B$29,IF(Skills!C18=2,90+Inputs!$B$26+Inputs!$B$29,IF(Skills!C18=3,120+Inputs!$B$27+Inputs!$B$29,MAX(0,(Inputs!$B$3-100)*3)+Inputs!$B$28+Inputs!$B$29)))</f>
        <v/>
      </c>
      <c r="E2783">
        <f>INDEX(FactorTable!$B$2:$Y$301, MATCH(ROUND(MIN(300,MAX(1,D2783)),0), FactorTable!$A$2:$A$301,0), Skills!M18+1)</f>
        <v/>
      </c>
      <c r="F2783">
        <f>IF(Skills!N18=TRUE,(Skills!L18/10)*(E2783/1000),Skills!L18/10)+Skills!O18</f>
        <v/>
      </c>
      <c r="G2783">
        <f>Skills!G18*IF(Skills!H18&gt;0,Skills!I18/Skills!H18,1)</f>
        <v/>
      </c>
      <c r="H2783">
        <f>1-(1-Skills!J18/100)^Skills!K18</f>
        <v/>
      </c>
      <c r="I2783" t="inlineStr">
        <is>
          <t>1</t>
        </is>
      </c>
      <c r="J2783" t="inlineStr"/>
      <c r="K2783" t="inlineStr"/>
      <c r="L2783" t="inlineStr"/>
      <c r="M2783" t="inlineStr"/>
      <c r="N2783" t="inlineStr"/>
      <c r="O2783">
        <f>(1-Summary!$B$11)*T2783+Summary!$B$11*V2783</f>
        <v/>
      </c>
      <c r="P2783">
        <f>IF(B2802=0,0,O2783/B2802)</f>
        <v/>
      </c>
      <c r="Q2783">
        <f>IFERROR(1/(IF(Inputs!$B$38="pvp",15,MAX(0.1,Skills!D18-IF(Skills!E18=TRUE,3.0,0)))*(1-IF(AND(ArtifactsInput!$M$27,Inputs!$B$4="Chapter Hunt"),CHOOSE(ArtifactsInput!$N$27+1,20,24,28,32,36,40),0)/100)),0)</f>
        <v/>
      </c>
      <c r="R2783">
        <f>IF(AND(Inputs!$B$38&lt;&gt;"pvp",Inputs!$B$43&gt;0),IF(Inputs!$B$43&lt;=0,0,(INT(Inputs!$B$43/(IF(Inputs!$B$38="pvp",15,MAX(0.1,Skills!D18-IF(Skills!E18=TRUE,3.0,0)))*(1-IF(AND(ArtifactsInput!$M$27,Inputs!$B$4="Chapter Hunt"),CHOOSE(ArtifactsInput!$N$27+1,20,24,28,32,36,40),0)/100)))+1)),0)</f>
        <v/>
      </c>
      <c r="S2783">
        <f>IFERROR(O2783/N2783,0)</f>
        <v/>
      </c>
      <c r="T2783" t="n">
        <v>0</v>
      </c>
      <c r="V2783" t="n">
        <v>0</v>
      </c>
    </row>
    <row r="2784">
      <c r="A2784">
        <f>Skills!A19</f>
        <v/>
      </c>
      <c r="B2784">
        <f>Skills!B19</f>
        <v/>
      </c>
      <c r="C2784">
        <f>TRUE</f>
        <v/>
      </c>
      <c r="D2784">
        <f>IF(Skills!C19=1,60+Inputs!$B$25+Inputs!$B$29,IF(Skills!C19=2,90+Inputs!$B$26+Inputs!$B$29,IF(Skills!C19=3,120+Inputs!$B$27+Inputs!$B$29,MAX(0,(Inputs!$B$3-100)*3)+Inputs!$B$28+Inputs!$B$29)))</f>
        <v/>
      </c>
      <c r="E2784">
        <f>INDEX(FactorTable!$B$2:$Y$301, MATCH(ROUND(MIN(300,MAX(1,D2784)),0), FactorTable!$A$2:$A$301,0), Skills!M19+1)</f>
        <v/>
      </c>
      <c r="F2784">
        <f>IF(Skills!N19=TRUE,(Skills!L19/10)*(E2784/1000),Skills!L19/10)+Skills!O19</f>
        <v/>
      </c>
      <c r="G2784">
        <f>Skills!G19*IF(Skills!H19&gt;0,Skills!I19/Skills!H19,1)</f>
        <v/>
      </c>
      <c r="H2784">
        <f>1-(1-Skills!J19/100)^Skills!K19</f>
        <v/>
      </c>
      <c r="I2784" t="inlineStr">
        <is>
          <t>1</t>
        </is>
      </c>
      <c r="J2784" t="inlineStr"/>
      <c r="K2784" t="inlineStr"/>
      <c r="L2784" t="inlineStr"/>
      <c r="M2784" t="inlineStr"/>
      <c r="N2784" t="inlineStr"/>
      <c r="O2784">
        <f>(1-Summary!$B$11)*T2784+Summary!$B$11*V2784</f>
        <v/>
      </c>
      <c r="P2784">
        <f>IF(B2802=0,0,O2784/B2802)</f>
        <v/>
      </c>
      <c r="Q2784">
        <f>IFERROR(1/(IF(Inputs!$B$38="pvp",15,MAX(0.1,Skills!D19-IF(Skills!E19=TRUE,3.0,0)))*(1-IF(AND(ArtifactsInput!$M$27,Inputs!$B$4="Chapter Hunt"),CHOOSE(ArtifactsInput!$N$27+1,20,24,28,32,36,40),0)/100)),0)</f>
        <v/>
      </c>
      <c r="R2784">
        <f>IF(AND(Inputs!$B$38&lt;&gt;"pvp",Inputs!$B$43&gt;0),IF(Inputs!$B$43&lt;=0,0,(INT(Inputs!$B$43/(IF(Inputs!$B$38="pvp",15,MAX(0.1,Skills!D19-IF(Skills!E19=TRUE,3.0,0)))*(1-IF(AND(ArtifactsInput!$M$27,Inputs!$B$4="Chapter Hunt"),CHOOSE(ArtifactsInput!$N$27+1,20,24,28,32,36,40),0)/100)))+1)),0)</f>
        <v/>
      </c>
      <c r="S2784">
        <f>IFERROR(O2784/N2784,0)</f>
        <v/>
      </c>
      <c r="T2784" t="n">
        <v>0</v>
      </c>
      <c r="V2784" t="n">
        <v>0</v>
      </c>
    </row>
    <row r="2785">
      <c r="A2785">
        <f>Skills!A20</f>
        <v/>
      </c>
      <c r="B2785">
        <f>Skills!B20</f>
        <v/>
      </c>
      <c r="C2785">
        <f>Inputs!$B$3&gt;=33</f>
        <v/>
      </c>
      <c r="D2785">
        <f>IF(Skills!C20=1,60+Inputs!$B$25+Inputs!$B$29,IF(Skills!C20=2,90+Inputs!$B$26+Inputs!$B$29,IF(Skills!C20=3,120+Inputs!$B$27+Inputs!$B$29,MAX(0,(Inputs!$B$3-100)*3)+Inputs!$B$28+Inputs!$B$29)))</f>
        <v/>
      </c>
      <c r="E2785">
        <f>INDEX(FactorTable!$B$2:$Y$301, MATCH(ROUND(MIN(300,MAX(1,D2785)),0), FactorTable!$A$2:$A$301,0), Skills!M20+1)</f>
        <v/>
      </c>
      <c r="F2785">
        <f>IF(Skills!N20=TRUE,(Skills!L20/10)*(E2785/1000),Skills!L20/10)+Skills!O20</f>
        <v/>
      </c>
      <c r="G2785">
        <f>Skills!G20*IF(Skills!H20&gt;0,Skills!I20/Skills!H20,1)</f>
        <v/>
      </c>
      <c r="H2785">
        <f>1-(1-Skills!J20/100)^Skills!K20</f>
        <v/>
      </c>
      <c r="I2785" t="inlineStr">
        <is>
          <t>1</t>
        </is>
      </c>
      <c r="J2785" t="inlineStr"/>
      <c r="K2785" t="inlineStr"/>
      <c r="L2785" t="inlineStr"/>
      <c r="M2785" t="inlineStr"/>
      <c r="N2785" t="inlineStr"/>
      <c r="O2785">
        <f>(1-Summary!$B$11)*T2785+Summary!$B$11*V2785</f>
        <v/>
      </c>
      <c r="P2785">
        <f>IF(B2802=0,0,O2785/B2802)</f>
        <v/>
      </c>
      <c r="Q2785" t="n">
        <v>0</v>
      </c>
      <c r="R2785" t="n">
        <v>0</v>
      </c>
      <c r="S2785">
        <f>IFERROR(O2785/N2785,0)</f>
        <v/>
      </c>
      <c r="T2785" t="n">
        <v>0</v>
      </c>
      <c r="V2785" t="n">
        <v>0</v>
      </c>
    </row>
    <row r="2786">
      <c r="A2786">
        <f>Skills!A21</f>
        <v/>
      </c>
      <c r="B2786">
        <f>Skills!B21</f>
        <v/>
      </c>
      <c r="C2786">
        <f>Inputs!$B$3&gt;=38</f>
        <v/>
      </c>
      <c r="D2786">
        <f>IF(Skills!C21=1,60+Inputs!$B$25+Inputs!$B$29,IF(Skills!C21=2,90+Inputs!$B$26+Inputs!$B$29,IF(Skills!C21=3,120+Inputs!$B$27+Inputs!$B$29,MAX(0,(Inputs!$B$3-100)*3)+Inputs!$B$28+Inputs!$B$29)))</f>
        <v/>
      </c>
      <c r="E2786">
        <f>INDEX(FactorTable!$B$2:$Y$301, MATCH(ROUND(MIN(300,MAX(1,D2786)),0), FactorTable!$A$2:$A$301,0), Skills!M21+1)</f>
        <v/>
      </c>
      <c r="F2786">
        <f>IF(Skills!N21=TRUE,(Skills!L21/10)*(E2786/1000),Skills!L21/10)+Skills!O21</f>
        <v/>
      </c>
      <c r="G2786">
        <f>Skills!G21*IF(Skills!H21&gt;0,Skills!I21/Skills!H21,1)</f>
        <v/>
      </c>
      <c r="H2786">
        <f>1-(1-Skills!J21/100)^Skills!K21</f>
        <v/>
      </c>
      <c r="I2786" t="inlineStr">
        <is>
          <t>1</t>
        </is>
      </c>
      <c r="J2786" t="inlineStr"/>
      <c r="K2786" t="inlineStr"/>
      <c r="L2786" t="inlineStr"/>
      <c r="M2786" t="inlineStr"/>
      <c r="N2786" t="inlineStr"/>
      <c r="O2786">
        <f>(1-Summary!$B$11)*T2786+Summary!$B$11*V2786</f>
        <v/>
      </c>
      <c r="P2786">
        <f>IF(B2802=0,0,O2786/B2802)</f>
        <v/>
      </c>
      <c r="Q2786" t="n">
        <v>0</v>
      </c>
      <c r="R2786" t="n">
        <v>0</v>
      </c>
      <c r="S2786">
        <f>IFERROR(O2786/N2786,0)</f>
        <v/>
      </c>
      <c r="T2786" t="n">
        <v>0</v>
      </c>
      <c r="V2786" t="n">
        <v>0</v>
      </c>
    </row>
    <row r="2787">
      <c r="A2787">
        <f>Skills!A22</f>
        <v/>
      </c>
      <c r="B2787">
        <f>Skills!B22</f>
        <v/>
      </c>
      <c r="C2787">
        <f>Inputs!$B$3&gt;=43</f>
        <v/>
      </c>
      <c r="D2787">
        <f>IF(Skills!C22=1,60+Inputs!$B$25+Inputs!$B$29,IF(Skills!C22=2,90+Inputs!$B$26+Inputs!$B$29,IF(Skills!C22=3,120+Inputs!$B$27+Inputs!$B$29,MAX(0,(Inputs!$B$3-100)*3)+Inputs!$B$28+Inputs!$B$29)))</f>
        <v/>
      </c>
      <c r="E2787">
        <f>INDEX(FactorTable!$B$2:$Y$301, MATCH(ROUND(MIN(300,MAX(1,D2787)),0), FactorTable!$A$2:$A$301,0), Skills!M22+1)</f>
        <v/>
      </c>
      <c r="F2787">
        <f>IF(Skills!N22=TRUE,(Skills!L22/10)*(E2787/1000),Skills!L22/10)+Skills!O22</f>
        <v/>
      </c>
      <c r="G2787">
        <f>Skills!G22*IF(Skills!H22&gt;0,Skills!I22/Skills!H22,1)</f>
        <v/>
      </c>
      <c r="H2787">
        <f>1-(1-Skills!J22/100)^Skills!K22</f>
        <v/>
      </c>
      <c r="I2787" t="inlineStr">
        <is>
          <t>1</t>
        </is>
      </c>
      <c r="J2787" t="inlineStr"/>
      <c r="K2787" t="inlineStr"/>
      <c r="L2787" t="inlineStr"/>
      <c r="M2787" t="inlineStr"/>
      <c r="N2787" t="inlineStr"/>
      <c r="O2787">
        <f>(1-Summary!$B$11)*T2787+Summary!$B$11*V2787</f>
        <v/>
      </c>
      <c r="P2787">
        <f>IF(B2802=0,0,O2787/B2802)</f>
        <v/>
      </c>
      <c r="Q2787" t="n">
        <v>0</v>
      </c>
      <c r="R2787" t="n">
        <v>0</v>
      </c>
      <c r="S2787">
        <f>IFERROR(O2787/N2787,0)</f>
        <v/>
      </c>
      <c r="T2787" t="n">
        <v>0</v>
      </c>
      <c r="V2787" t="n">
        <v>0</v>
      </c>
    </row>
    <row r="2788">
      <c r="A2788">
        <f>Skills!A23</f>
        <v/>
      </c>
      <c r="B2788">
        <f>Skills!B23</f>
        <v/>
      </c>
      <c r="C2788">
        <f>Inputs!$B$3&gt;=120</f>
        <v/>
      </c>
      <c r="D2788">
        <f>IF(Skills!C23=1,60+Inputs!$B$25+Inputs!$B$29,IF(Skills!C23=2,90+Inputs!$B$26+Inputs!$B$29,IF(Skills!C23=3,120+Inputs!$B$27+Inputs!$B$29,MAX(0,(Inputs!$B$3-100)*3)+Inputs!$B$28+Inputs!$B$29)))</f>
        <v/>
      </c>
      <c r="E2788">
        <f>INDEX(FactorTable!$B$2:$Y$301, MATCH(ROUND(MIN(300,MAX(1,D2788)),0), FactorTable!$A$2:$A$301,0), Skills!M23+1)</f>
        <v/>
      </c>
      <c r="F2788">
        <f>IF(Skills!N23=TRUE,(Skills!L23/10)*(E2788/1000),Skills!L23/10)+Skills!O23</f>
        <v/>
      </c>
      <c r="G2788">
        <f>Skills!G23*IF(Skills!H23&gt;0,Skills!I23/Skills!H23,1)</f>
        <v/>
      </c>
      <c r="H2788">
        <f>1-(1-Skills!J23/100)^Skills!K23</f>
        <v/>
      </c>
      <c r="I2788" t="inlineStr">
        <is>
          <t>1</t>
        </is>
      </c>
      <c r="J2788" t="inlineStr"/>
      <c r="K2788" t="inlineStr"/>
      <c r="L2788" t="inlineStr"/>
      <c r="M2788" t="inlineStr"/>
      <c r="N2788" t="inlineStr"/>
      <c r="O2788">
        <f>(1-Summary!$B$11)*T2788+Summary!$B$11*V2788</f>
        <v/>
      </c>
      <c r="P2788">
        <f>IF(B2802=0,0,O2788/B2802)</f>
        <v/>
      </c>
      <c r="Q2788" t="n">
        <v>0</v>
      </c>
      <c r="R2788" t="n">
        <v>0</v>
      </c>
      <c r="S2788">
        <f>IFERROR(O2788/N2788,0)</f>
        <v/>
      </c>
      <c r="T2788" t="n">
        <v>0</v>
      </c>
      <c r="V2788" t="n">
        <v>0</v>
      </c>
    </row>
    <row r="2789">
      <c r="A2789">
        <f>Skills!A24</f>
        <v/>
      </c>
      <c r="B2789">
        <f>Skills!B24</f>
        <v/>
      </c>
      <c r="C2789">
        <f>Inputs!$B$3&gt;=120</f>
        <v/>
      </c>
      <c r="D2789">
        <f>IF(Skills!C24=1,60+Inputs!$B$25+Inputs!$B$29,IF(Skills!C24=2,90+Inputs!$B$26+Inputs!$B$29,IF(Skills!C24=3,120+Inputs!$B$27+Inputs!$B$29,MAX(0,(Inputs!$B$3-100)*3)+Inputs!$B$28+Inputs!$B$29)))</f>
        <v/>
      </c>
      <c r="E2789">
        <f>INDEX(FactorTable!$B$2:$Y$301, MATCH(ROUND(MIN(300,MAX(1,D2789)),0), FactorTable!$A$2:$A$301,0), Skills!M24+1)</f>
        <v/>
      </c>
      <c r="F2789">
        <f>IF(Skills!N24=TRUE,(Skills!L24/10)*(E2789/1000),Skills!L24/10)+Skills!O24</f>
        <v/>
      </c>
      <c r="G2789">
        <f>Skills!G24*IF(Skills!H24&gt;0,Skills!I24/Skills!H24,1)</f>
        <v/>
      </c>
      <c r="H2789">
        <f>1-(1-Skills!J24/100)^Skills!K24</f>
        <v/>
      </c>
      <c r="I2789" t="inlineStr">
        <is>
          <t>1</t>
        </is>
      </c>
      <c r="J2789" t="inlineStr"/>
      <c r="K2789" t="inlineStr"/>
      <c r="L2789" t="inlineStr"/>
      <c r="M2789" t="inlineStr"/>
      <c r="N2789" t="inlineStr"/>
      <c r="O2789">
        <f>(1-Summary!$B$11)*T2789+Summary!$B$11*V2789</f>
        <v/>
      </c>
      <c r="P2789">
        <f>IF(B2802=0,0,O2789/B2802)</f>
        <v/>
      </c>
      <c r="Q2789" t="n">
        <v>0</v>
      </c>
      <c r="R2789" t="n">
        <v>0</v>
      </c>
      <c r="S2789">
        <f>IFERROR(O2789/N2789,0)</f>
        <v/>
      </c>
      <c r="T2789" t="n">
        <v>0</v>
      </c>
      <c r="V2789" t="n">
        <v>0</v>
      </c>
    </row>
    <row r="2791">
      <c r="A2791" t="inlineStr">
        <is>
          <t>Attack% Bucket Multiplier</t>
        </is>
      </c>
      <c r="B2791">
        <f>(1+(((C2778=TRUE)*F2778*MIN(1,Skills!T13*(Skills!J13/100)*B2796))+((C2783=TRUE)*F2783*IF(AND(Inputs!$B$38&lt;&gt;"pvp",Inputs!$B$43&gt;0),(((R2783-1)*(Skills!T18*(1+Inputs!$B$34/100))+MIN((Skills!T18*(1+Inputs!$B$34/100)),MAX(0,Inputs!$B$43-((R2783-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92">
      <c r="A2792" t="inlineStr">
        <is>
          <t>Global Crit Rate Bonus %</t>
        </is>
      </c>
      <c r="B2792" t="n">
        <v>0</v>
      </c>
    </row>
    <row r="2793">
      <c r="A2793" t="inlineStr">
        <is>
          <t>Attack Speed Buff Bonus %</t>
        </is>
      </c>
      <c r="B2793">
        <f>((C2784=TRUE)*F2784*IF(AND(Inputs!$B$38&lt;&gt;"pvp",Inputs!$B$43&gt;0),(((R2784-1)*(Skills!T19*(1+Inputs!$B$34/100))+MIN((Skills!T19*(1+Inputs!$B$34/100)),MAX(0,Inputs!$B$43-((R2784-1)*Skills!D19))))/Inputs!$B$43),IF(Inputs!$B$38="pvp",MIN((Skills!T19*(1+Inputs!$B$34/100)),15)/15,(Skills!T19*(1+Inputs!$B$34/100))/Skills!D19)))</f>
        <v/>
      </c>
    </row>
    <row r="2794">
      <c r="A2794" t="inlineStr">
        <is>
          <t>Actions Per Second</t>
        </is>
      </c>
      <c r="B2794">
        <f>1+MIN(150,150*(1-(1-(Inputs!$B$11+((C2785=TRUE)*(F2785-Calc!F20)))/150)*(1-B2793/150)))/100</f>
        <v/>
      </c>
    </row>
    <row r="2795">
      <c r="A2795" t="inlineStr">
        <is>
          <t>Skill + Buff Cast Rate</t>
        </is>
      </c>
      <c r="B2795">
        <f>IF(AND(Inputs!$B$38&lt;&gt;"pvp",Inputs!$B$43&gt;0),SUMPRODUCT((Skills!E2:E24=TRUE)*(C2767:C2789=TRUE)*R2767:R2789*Skills!F2:F24)/Inputs!$B$43,SUMPRODUCT((Skills!E2:E24=TRUE)*(C2767:C2789=TRUE)*Q2767:Q2789*Skills!F2:F24))</f>
        <v/>
      </c>
    </row>
    <row r="2796">
      <c r="A2796" t="inlineStr">
        <is>
          <t>Blast Casts Per Second</t>
        </is>
      </c>
      <c r="B2796">
        <f>MAX(0,B2794-B2795)</f>
        <v/>
      </c>
    </row>
    <row r="2797">
      <c r="A2797" t="inlineStr">
        <is>
          <t>Global Critical Damage Bonus % (unused)</t>
        </is>
      </c>
      <c r="B2797" t="n">
        <v>0</v>
      </c>
    </row>
    <row r="2798">
      <c r="A2798" t="inlineStr">
        <is>
          <t>Global Final Damage Bonus % (Divine Shield + Guardian + Divine Blessing + Greater Vessel of Light)</t>
        </is>
      </c>
      <c r="B2798">
        <f>((C2780=TRUE)*F2780*IF(AND(Inputs!$B$38&lt;&gt;"pvp",Inputs!$B$43&gt;0),(((R2780-1)*(Skills!T15*(1+Inputs!$B$34/100))+MIN((Skills!T15*(1+Inputs!$B$34/100)),MAX(0,Inputs!$B$43-((R2780-1)*Skills!D15))))/Inputs!$B$43),IF(Inputs!$B$38="pvp",MIN((Skills!T15*(1+Inputs!$B$34/100)),15)/15,(Skills!T15*(1+Inputs!$B$34/100))/Skills!D15)))+((C2781=TRUE)*F2781*IF(AND(Inputs!$B$38&lt;&gt;"pvp",Inputs!$B$43&gt;0),(((R2781-1)*(Skills!T16*(1+Inputs!$B$34/100))+MIN((Skills!T16*(1+Inputs!$B$34/100)),MAX(0,Inputs!$B$43-((R2781-1)*Skills!D16))))/Inputs!$B$43),IF(Inputs!$B$38="pvp",MIN((Skills!T16*(1+Inputs!$B$34/100)),15)/15,(Skills!T16*(1+Inputs!$B$34/100))/Skills!D16)))+((C2782=TRUE)*F2782*IF(AND(Inputs!$B$38&lt;&gt;"pvp",Inputs!$B$43&gt;0),(((R2782-1)*(Skills!T17*(1+Inputs!$B$34/100))+MIN((Skills!T17*(1+Inputs!$B$34/100)),MAX(0,Inputs!$B$43-((R2782-1)*Skills!D17))))/Inputs!$B$43),IF(Inputs!$B$38="pvp",MIN((Skills!T17*(1+Inputs!$B$34/100)),15)/15,(Skills!T17*(1+Inputs!$B$34/100))/Skills!D17)))+((C2779=TRUE)*F2779*MIN(1,Skills!T13*(Skills!J13/100)*B2796))</f>
        <v/>
      </c>
    </row>
    <row r="2799">
      <c r="A2799" t="inlineStr">
        <is>
          <t>Buff-Casting Startup Delay (s, fixed-duration only)</t>
        </is>
      </c>
      <c r="B2799">
        <f>IF(AND(Inputs!$B$38&lt;&gt;"pvp",Inputs!$B$43&gt;0),SUMPRODUCT((Skills!T2:T24&gt;0)*(Skills!E2:E24=TRUE)*(C2767:C2789=TRUE))/B2794,0)</f>
        <v/>
      </c>
    </row>
    <row r="2800">
      <c r="A2800" t="inlineStr">
        <is>
          <t>Boss-Only Total DPS (this block's swept value)</t>
        </is>
      </c>
      <c r="B2800">
        <f>SUM(T2767:T2789)</f>
        <v/>
      </c>
    </row>
    <row r="2801">
      <c r="A2801" t="inlineStr">
        <is>
          <t>Normal-Only Total DPS (this block's swept value)</t>
        </is>
      </c>
      <c r="B2801">
        <f>SUM(V2767:V2789)</f>
        <v/>
      </c>
    </row>
    <row r="2802">
      <c r="A2802" s="6" t="inlineStr">
        <is>
          <t>TOTAL DPS</t>
        </is>
      </c>
      <c r="B2802" s="6">
        <f>SUM(O2767:O2789)</f>
        <v/>
      </c>
    </row>
    <row r="2805">
      <c r="A2805" s="6" t="inlineStr">
        <is>
          <t>Stat: CDR = 3.5s</t>
        </is>
      </c>
    </row>
    <row r="2806">
      <c r="A2806" s="5" t="inlineStr">
        <is>
          <t>Key</t>
        </is>
      </c>
      <c r="B2806" s="5" t="inlineStr">
        <is>
          <t>Name</t>
        </is>
      </c>
      <c r="C2806" s="5" t="inlineStr">
        <is>
          <t>Unlocked</t>
        </is>
      </c>
      <c r="D2806" s="5" t="inlineStr">
        <is>
          <t>InputLevel</t>
        </is>
      </c>
      <c r="E2806" s="5" t="inlineStr">
        <is>
          <t>Factor</t>
        </is>
      </c>
      <c r="F2806" s="5" t="inlineStr">
        <is>
          <t>CoefficientPercent</t>
        </is>
      </c>
      <c r="G2806" s="5" t="inlineStr">
        <is>
          <t>EffectiveHits</t>
        </is>
      </c>
      <c r="H2806" s="5" t="inlineStr">
        <is>
          <t>ProcProbability</t>
        </is>
      </c>
      <c r="I2806" s="5" t="inlineStr">
        <is>
          <t>MapleHeroMultiplier</t>
        </is>
      </c>
      <c r="J2806" s="5" t="inlineStr">
        <is>
          <t>BaseDamage</t>
        </is>
      </c>
      <c r="K2806" s="5" t="inlineStr">
        <is>
          <t>BaseHitDamage</t>
        </is>
      </c>
      <c r="L2806" s="5" t="inlineStr">
        <is>
          <t>NonCritAvg</t>
        </is>
      </c>
      <c r="M2806" s="5" t="inlineStr">
        <is>
          <t>CritAvg</t>
        </is>
      </c>
      <c r="N2806" s="5" t="inlineStr">
        <is>
          <t>ExpectedDamage(perHit)</t>
        </is>
      </c>
      <c r="O2806" s="5" t="inlineStr">
        <is>
          <t>DPS</t>
        </is>
      </c>
      <c r="P2806" s="5" t="inlineStr">
        <is>
          <t>% of Total</t>
        </is>
      </c>
      <c r="Q2806" s="5" t="inlineStr">
        <is>
          <t>InvCooldown</t>
        </is>
      </c>
      <c r="R2806" s="5" t="inlineStr">
        <is>
          <t>CastsInFight</t>
        </is>
      </c>
      <c r="S2806" s="5" t="inlineStr">
        <is>
          <t>HitRate(perSec)</t>
        </is>
      </c>
      <c r="U2806" t="inlineStr">
        <is>
          <t>helpers</t>
        </is>
      </c>
    </row>
    <row r="2807">
      <c r="A2807">
        <f>Skills!A2</f>
        <v/>
      </c>
      <c r="B2807">
        <f>Skills!B2</f>
        <v/>
      </c>
      <c r="C2807">
        <f>Inputs!$B$3&gt;=100</f>
        <v/>
      </c>
      <c r="D2807" t="inlineStr"/>
      <c r="E2807" t="inlineStr"/>
      <c r="F2807">
        <f>U2809+Skills!O2</f>
        <v/>
      </c>
      <c r="G2807">
        <f>Skills!G2*IF(Skills!H2&gt;0,Skills!I2/Skills!H2,1)</f>
        <v/>
      </c>
      <c r="H2807">
        <f>1-(1-Skills!J2/100)^Skills!K2</f>
        <v/>
      </c>
      <c r="I2807" t="inlineStr">
        <is>
          <t>1</t>
        </is>
      </c>
      <c r="J2807">
        <f>((Inputs!$B$6*(1+Inputs!$B$7/100))+(((Inputs!$B$12*(1+Inputs!$B$13/100))-(Inputs!$B$12*(1+Inputs!$B$13/100)))+0.25*(Inputs!$B$14-Inputs!$B$14))*(1+Inputs!$B$7/100))*(F2807/100)</f>
        <v/>
      </c>
      <c r="K2807">
        <f>J2807*(1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2807)</f>
        <v/>
      </c>
      <c r="L2807">
        <f>K2807*(MIN(Inputs!$B$22+((C2827=TRUE)*(F2827-Calc!F22)),(Inputs!$B$23+((C2829=TRUE)*(F2829-Calc!F24))+(IF(ArtifactsInput!$M$15,CHOOSE(ArtifactsInput!$N$15+1,25,30,35,40,45,50)/100*(Inputs!$B$11-Inputs!$B$11),0))))/100+(Inputs!$B$23+((C2829=TRUE)*(F2829-Calc!F24))+(IF(ArtifactsInput!$M$15,CHOOSE(ArtifactsInput!$N$15+1,25,30,35,40,45,50)/100*(Inputs!$B$11-Inputs!$B$11),0)))/100)/2</f>
        <v/>
      </c>
      <c r="M2807">
        <f>L2807*(1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7">
        <f>L2807*(1-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2807*(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7">
        <f>(1-Summary!$B$11)*T2807+Summary!$B$11*V2807</f>
        <v/>
      </c>
      <c r="P2807">
        <f>IF(B2842=0,0,O2807/B2842)</f>
        <v/>
      </c>
      <c r="Q2807" t="n">
        <v>0</v>
      </c>
      <c r="R2807" t="n">
        <v>0</v>
      </c>
      <c r="S2807">
        <f>IFERROR(O2807/N2807,0)</f>
        <v/>
      </c>
      <c r="T2807">
        <f>IF(C2807,(Skills!G2*N2807*B2836)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2807*(1-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2807*(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2807*(1-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2807*(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7">
        <f>MAX(0,(Inputs!$B$3-100)*3)+Inputs!$B$28+Inputs!$B$29</f>
        <v/>
      </c>
      <c r="V2807">
        <f>IF(C2807,(Skills!G2*N2807*B2836)*IF(Inputs!$B$38="pvp",1,(1+(Inputs!$B$21+Skills!Q2+(IF(ArtifactsInput!$M$33,CHOOSE(ArtifactsInput!$N$33+1,30,36,42,48,54,60),0))+(IF(AND(ArtifactsInput!$M$35,Inputs!$B$4&lt;&gt;"Chapter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8">
      <c r="A2808">
        <f>Skills!A3</f>
        <v/>
      </c>
      <c r="B2808">
        <f>Skills!B3</f>
        <v/>
      </c>
      <c r="C2808">
        <f>Inputs!$B$3&gt;=50</f>
        <v/>
      </c>
      <c r="D2808">
        <f>IF(Skills!C3=1,60+Inputs!$B$25+Inputs!$B$29,IF(Skills!C3=2,90+Inputs!$B$26+Inputs!$B$29,IF(Skills!C3=3,120+Inputs!$B$27+Inputs!$B$29,MAX(0,(Inputs!$B$3-100)*3)+Inputs!$B$28+Inputs!$B$29)))</f>
        <v/>
      </c>
      <c r="E2808">
        <f>INDEX(FactorTable!$B$2:$Y$301, MATCH(ROUND(MIN(300,MAX(1,D2808)),0), FactorTable!$A$2:$A$301,0), Skills!M3+1)</f>
        <v/>
      </c>
      <c r="F2808">
        <f>IF(Skills!N3=TRUE,(Skills!L3/10)*(E2808/1000),Skills!L3/10)+Skills!O3</f>
        <v/>
      </c>
      <c r="G2808" t="inlineStr"/>
      <c r="H2808" t="inlineStr"/>
      <c r="I2808" t="inlineStr">
        <is>
          <t>1</t>
        </is>
      </c>
      <c r="J2808" t="inlineStr"/>
      <c r="K2808" t="inlineStr"/>
      <c r="L2808" t="inlineStr"/>
      <c r="M2808" t="inlineStr"/>
      <c r="N2808" t="inlineStr"/>
      <c r="O2808" t="inlineStr"/>
      <c r="P2808" t="inlineStr"/>
      <c r="Q2808" t="inlineStr"/>
      <c r="R2808" t="inlineStr"/>
      <c r="S2808" t="inlineStr"/>
      <c r="U2808">
        <f>INDEX(FactorTable!$B$2:$Y$301, MATCH(ROUND(MIN(300,MAX(1,U2807)),0), FactorTable!$A$2:$A$301,0), 22)</f>
        <v/>
      </c>
    </row>
    <row r="2809">
      <c r="A2809">
        <f>Skills!A4</f>
        <v/>
      </c>
      <c r="B2809">
        <f>Skills!B4</f>
        <v/>
      </c>
      <c r="C2809">
        <f>Inputs!$B$3&gt;=35</f>
        <v/>
      </c>
      <c r="D2809">
        <f>IF(Skills!C4=1,60+Inputs!$B$25+Inputs!$B$29,IF(Skills!C4=2,90+Inputs!$B$26+Inputs!$B$29,IF(Skills!C4=3,120+Inputs!$B$27+Inputs!$B$29,MAX(0,(Inputs!$B$3-100)*3)+Inputs!$B$28+Inputs!$B$29)))</f>
        <v/>
      </c>
      <c r="E2809">
        <f>INDEX(FactorTable!$B$2:$Y$301, MATCH(ROUND(MIN(300,MAX(1,D2809)),0), FactorTable!$A$2:$A$301,0), Skills!M4+1)</f>
        <v/>
      </c>
      <c r="F2809">
        <f>IF(Skills!N4=TRUE,(Skills!L4/10)*(E2809/1000),Skills!L4/10)+Skills!O4</f>
        <v/>
      </c>
      <c r="G2809">
        <f>Skills!G4*IF(Skills!H4&gt;0,Skills!I4/Skills!H4,1)</f>
        <v/>
      </c>
      <c r="H2809">
        <f>1-(1-Skills!J4/100)^Skills!K4</f>
        <v/>
      </c>
      <c r="I2809" t="inlineStr">
        <is>
          <t>1</t>
        </is>
      </c>
      <c r="J2809">
        <f>((Inputs!$B$6*(1+Inputs!$B$7/100))+(((Inputs!$B$12*(1+Inputs!$B$13/100))-(Inputs!$B$12*(1+Inputs!$B$13/100)))+0.25*(Inputs!$B$14-Inputs!$B$14))*(1+Inputs!$B$7/100))*(F2809/100)</f>
        <v/>
      </c>
      <c r="K2809">
        <f>J2809*(1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2817=TRUE,F2817,0)/100)*(1+(IF(Skills!A4="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2809)</f>
        <v/>
      </c>
      <c r="L2809">
        <f>K2809*(MIN(Inputs!$B$22+((C2827=TRUE)*(F2827-Calc!F22)),(Inputs!$B$23+((C2829=TRUE)*(F2829-Calc!F24))+(IF(ArtifactsInput!$M$15,CHOOSE(ArtifactsInput!$N$15+1,25,30,35,40,45,50)/100*(Inputs!$B$11-Inputs!$B$11),0))))/100+(Inputs!$B$23+((C2829=TRUE)*(F2829-Calc!F24))+(IF(ArtifactsInput!$M$15,CHOOSE(ArtifactsInput!$N$15+1,25,30,35,40,45,50)/100*(Inputs!$B$11-Inputs!$B$11),0)))/100)/2</f>
        <v/>
      </c>
      <c r="M2809">
        <f>L2809*(1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9">
        <f>L2809*(1-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2809*(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9">
        <f>(1-Summary!$B$11)*T2809+Summary!$B$11*V2809</f>
        <v/>
      </c>
      <c r="P2809">
        <f>IF(B2842=0,0,O2809/B2842)</f>
        <v/>
      </c>
      <c r="Q2809">
        <f>IFERROR(1/(IF(Inputs!$B$38="pvp",15,MAX(0.1,Skills!D4-IF(Skills!E4=TRUE,3.5,0)))*(1-IF(AND(ArtifactsInput!$M$27,Inputs!$B$4="Chapter Hunt"),CHOOSE(ArtifactsInput!$N$27+1,20,24,28,32,36,40),0)/100)),0)</f>
        <v/>
      </c>
      <c r="R2809">
        <f>IF(AND(Inputs!$B$38&lt;&gt;"pvp",Inputs!$B$43&gt;0),IF(MAX(0,Inputs!$B$43-B2839)&lt;=0,0,(INT(MAX(0,Inputs!$B$43-B2839)/(IF(Inputs!$B$38="pvp",15,MAX(0.1,Skills!D4-IF(Skills!E4=TRUE,3.5,0)))*(1-IF(AND(ArtifactsInput!$M$27,Inputs!$B$4="Chapter Hunt"),CHOOSE(ArtifactsInput!$N$27+1,20,24,28,32,36,40),0)/100)))+1)),0)</f>
        <v/>
      </c>
      <c r="S2809">
        <f>IFERROR(O2809/N2809,0)</f>
        <v/>
      </c>
      <c r="T2809">
        <f>IF(C2809,(H2809*N2809*IF(AND(Inputs!$B$38&lt;&gt;"pvp",Inputs!$B$43&gt;0),((Skills!G4*((R2809-1)*IF(Skills!H4&gt;0,Skills!I4/Skills!H4,1)+IF(Skills!H4&gt;0,MIN(Skills!I4,MAX(0,MAX(0,Inputs!$B$43-B2839)-((R2809-1)*(IF(Inputs!$B$38="pvp",15,MAX(0.1,Skills!D4-IF(Skills!E4=TRUE,3.5,0)))*(1-IF(AND(ArtifactsInput!$M$27,Inputs!$B$4="Chapter Hunt"),CHOOSE(ArtifactsInput!$N$27+1,20,24,28,32,36,40),0)/100)))))/Skills!H4,1)))/Inputs!$B$43),G2809*Q2809)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2809*(1-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2809*(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2809*(1-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2809*(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9">
        <f>290*U2808/1000</f>
        <v/>
      </c>
      <c r="V2809">
        <f>IF(C2809,(H2809*N2809*IF(AND(Inputs!$B$38&lt;&gt;"pvp",Inputs!$B$43&gt;0),((Skills!G4*((R2809-1)*IF(Skills!H4&gt;0,Skills!I4/Skills!H4,1)+IF(Skills!H4&gt;0,MIN(Skills!I4,MAX(0,MAX(0,Inputs!$B$43-B2839)-((R2809-1)*(IF(Inputs!$B$38="pvp",15,MAX(0.1,Skills!D4-IF(Skills!E4=TRUE,3.5,0)))*(1-IF(AND(ArtifactsInput!$M$27,Inputs!$B$4="Chapter Hunt"),CHOOSE(ArtifactsInput!$N$27+1,20,24,28,32,36,40),0)/100)))))/Skills!H4,1)))/Inputs!$B$43),G2809*Q2809))*IF(Inputs!$B$38="pvp",1,(1+(Inputs!$B$21+Skills!Q4+(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0">
      <c r="A2810">
        <f>Skills!A5</f>
        <v/>
      </c>
      <c r="B2810">
        <f>Skills!B5</f>
        <v/>
      </c>
      <c r="C2810">
        <f>Inputs!$B$3&gt;=66</f>
        <v/>
      </c>
      <c r="D2810">
        <f>IF(Skills!C5=1,60+Inputs!$B$25+Inputs!$B$29,IF(Skills!C5=2,90+Inputs!$B$26+Inputs!$B$29,IF(Skills!C5=3,120+Inputs!$B$27+Inputs!$B$29,MAX(0,(Inputs!$B$3-100)*3)+Inputs!$B$28+Inputs!$B$29)))</f>
        <v/>
      </c>
      <c r="E2810">
        <f>INDEX(FactorTable!$B$2:$Y$301, MATCH(ROUND(MIN(300,MAX(1,D2810)),0), FactorTable!$A$2:$A$301,0), Skills!M5+1)</f>
        <v/>
      </c>
      <c r="F2810">
        <f>IF(Skills!N5=TRUE,(Skills!L5/10)*(E2810/1000),Skills!L5/10)+Skills!O5</f>
        <v/>
      </c>
      <c r="G2810">
        <f>Skills!G5*IF(Skills!H5&gt;0,Skills!I5/Skills!H5,1)</f>
        <v/>
      </c>
      <c r="H2810">
        <f>1-(1-Skills!J5/100)^Skills!K5</f>
        <v/>
      </c>
      <c r="I2810" t="inlineStr">
        <is>
          <t>1</t>
        </is>
      </c>
      <c r="J2810">
        <f>((Inputs!$B$6*(1+Inputs!$B$7/100))+(((Inputs!$B$12*(1+Inputs!$B$13/100))-(Inputs!$B$12*(1+Inputs!$B$13/100)))+0.25*(Inputs!$B$14-Inputs!$B$14))*(1+Inputs!$B$7/100))*(F2810/100)</f>
        <v/>
      </c>
      <c r="K2810">
        <f>J2810*(1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2817=TRUE,F2817,0)/100)*(1+(IF(Skills!A5="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2810)</f>
        <v/>
      </c>
      <c r="L2810">
        <f>K2810*(MIN(Inputs!$B$22+((C2827=TRUE)*(F2827-Calc!F22)),(Inputs!$B$23+((C2829=TRUE)*(F2829-Calc!F24))+(IF(ArtifactsInput!$M$15,CHOOSE(ArtifactsInput!$N$15+1,25,30,35,40,45,50)/100*(Inputs!$B$11-Inputs!$B$11),0))))/100+(Inputs!$B$23+((C2829=TRUE)*(F2829-Calc!F24))+(IF(ArtifactsInput!$M$15,CHOOSE(ArtifactsInput!$N$15+1,25,30,35,40,45,50)/100*(Inputs!$B$11-Inputs!$B$11),0)))/100)/2</f>
        <v/>
      </c>
      <c r="M2810">
        <f>L2810*(1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0">
        <f>L2810*(1-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2810*(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0">
        <f>(1-Summary!$B$11)*T2810+Summary!$B$11*V2810</f>
        <v/>
      </c>
      <c r="P2810">
        <f>IF(B2842=0,0,O2810/B2842)</f>
        <v/>
      </c>
      <c r="Q2810">
        <f>IFERROR(1/(IF(Inputs!$B$38="pvp",15,MAX(0.1,Skills!D5-IF(Skills!E5=TRUE,3.5,0)))*(1-IF(AND(ArtifactsInput!$M$27,Inputs!$B$4="Chapter Hunt"),CHOOSE(ArtifactsInput!$N$27+1,20,24,28,32,36,40),0)/100)),0)</f>
        <v/>
      </c>
      <c r="R2810">
        <f>IF(AND(Inputs!$B$38&lt;&gt;"pvp",Inputs!$B$43&gt;0),IF(MAX(0,Inputs!$B$43-B2839)&lt;=0,0,(INT(MAX(0,Inputs!$B$43-B2839)/(IF(Inputs!$B$38="pvp",15,MAX(0.1,Skills!D5-IF(Skills!E5=TRUE,3.5,0)))*(1-IF(AND(ArtifactsInput!$M$27,Inputs!$B$4="Chapter Hunt"),CHOOSE(ArtifactsInput!$N$27+1,20,24,28,32,36,40),0)/100)))+1)),0)</f>
        <v/>
      </c>
      <c r="S2810">
        <f>IFERROR(O2810/N2810,0)</f>
        <v/>
      </c>
      <c r="T2810">
        <f>IF(C2810,(H2810*N2810*IF(AND(Inputs!$B$38&lt;&gt;"pvp",Inputs!$B$43&gt;0),((Skills!G5*((R2810-1)*IF(Skills!H5&gt;0,Skills!I5/Skills!H5,1)+IF(Skills!H5&gt;0,MIN(Skills!I5,MAX(0,MAX(0,Inputs!$B$43-B2839)-((R2810-1)*(IF(Inputs!$B$38="pvp",15,MAX(0.1,Skills!D5-IF(Skills!E5=TRUE,3.5,0)))*(1-IF(AND(ArtifactsInput!$M$27,Inputs!$B$4="Chapter Hunt"),CHOOSE(ArtifactsInput!$N$27+1,20,24,28,32,36,40),0)/100)))))/Skills!H5,1)))/Inputs!$B$43),G2810*Q2810)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2810*(1-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2810*(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2810*(1-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2810*(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0">
        <f>IF(C2810,(H2810*N2810*IF(AND(Inputs!$B$38&lt;&gt;"pvp",Inputs!$B$43&gt;0),((Skills!G5*((R2810-1)*IF(Skills!H5&gt;0,Skills!I5/Skills!H5,1)+IF(Skills!H5&gt;0,MIN(Skills!I5,MAX(0,MAX(0,Inputs!$B$43-B2839)-((R2810-1)*(IF(Inputs!$B$38="pvp",15,MAX(0.1,Skills!D5-IF(Skills!E5=TRUE,3.5,0)))*(1-IF(AND(ArtifactsInput!$M$27,Inputs!$B$4="Chapter Hunt"),CHOOSE(ArtifactsInput!$N$27+1,20,24,28,32,36,40),0)/100)))))/Skills!H5,1)))/Inputs!$B$43),G2810*Q2810))*IF(Inputs!$B$38="pvp",1,(1+(Inputs!$B$21+Skills!Q5+(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1">
      <c r="A2811">
        <f>Skills!A6</f>
        <v/>
      </c>
      <c r="B2811">
        <f>Skills!B6</f>
        <v/>
      </c>
      <c r="C2811">
        <f>Inputs!$B$3&gt;=103</f>
        <v/>
      </c>
      <c r="D2811">
        <f>IF(Skills!C6=1,60+Inputs!$B$25+Inputs!$B$29,IF(Skills!C6=2,90+Inputs!$B$26+Inputs!$B$29,IF(Skills!C6=3,120+Inputs!$B$27+Inputs!$B$29,MAX(0,(Inputs!$B$3-100)*3)+Inputs!$B$28+Inputs!$B$29)))</f>
        <v/>
      </c>
      <c r="E2811">
        <f>INDEX(FactorTable!$B$2:$Y$301, MATCH(ROUND(MIN(300,MAX(1,D2811)),0), FactorTable!$A$2:$A$301,0), Skills!M6+1)</f>
        <v/>
      </c>
      <c r="F2811">
        <f>IF(Skills!N6=TRUE,(Skills!L6/10)*(E2811/1000),Skills!L6/10)+Skills!O6</f>
        <v/>
      </c>
      <c r="G2811">
        <f>Skills!G6*IF(Skills!H6&gt;0,Skills!I6/Skills!H6,1)</f>
        <v/>
      </c>
      <c r="H2811">
        <f>1-(1-Skills!J6/100)^Skills!K6</f>
        <v/>
      </c>
      <c r="I2811" t="inlineStr">
        <is>
          <t>1</t>
        </is>
      </c>
      <c r="J2811">
        <f>((Inputs!$B$6*(1+Inputs!$B$7/100))+(((Inputs!$B$12*(1+Inputs!$B$13/100))-(Inputs!$B$12*(1+Inputs!$B$13/100)))+0.25*(Inputs!$B$14-Inputs!$B$14))*(1+Inputs!$B$7/100))*(F2811/100)</f>
        <v/>
      </c>
      <c r="K2811">
        <f>J2811*(1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2811)</f>
        <v/>
      </c>
      <c r="L2811">
        <f>K2811*(MIN(Inputs!$B$22+((C2827=TRUE)*(F2827-Calc!F22)),(Inputs!$B$23+((C2829=TRUE)*(F2829-Calc!F24))+(IF(ArtifactsInput!$M$15,CHOOSE(ArtifactsInput!$N$15+1,25,30,35,40,45,50)/100*(Inputs!$B$11-Inputs!$B$11),0))))/100+(Inputs!$B$23+((C2829=TRUE)*(F2829-Calc!F24))+(IF(ArtifactsInput!$M$15,CHOOSE(ArtifactsInput!$N$15+1,25,30,35,40,45,50)/100*(Inputs!$B$11-Inputs!$B$11),0)))/100)/2</f>
        <v/>
      </c>
      <c r="M2811">
        <f>L2811*(1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1">
        <f>L2811*(1-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1">
        <f>(1-Summary!$B$11)*T2811+Summary!$B$11*V2811</f>
        <v/>
      </c>
      <c r="P2811">
        <f>IF(B2842=0,0,O2811/B2842)</f>
        <v/>
      </c>
      <c r="Q2811">
        <f>IFERROR(1/(IF(Inputs!$B$38="pvp",15,MAX(0.1,Skills!D6-IF(Skills!E6=TRUE,3.5,0)))*(1-IF(AND(ArtifactsInput!$M$27,Inputs!$B$4="Chapter Hunt"),CHOOSE(ArtifactsInput!$N$27+1,20,24,28,32,36,40),0)/100)),0)</f>
        <v/>
      </c>
      <c r="R2811">
        <f>IF(AND(Inputs!$B$38&lt;&gt;"pvp",Inputs!$B$43&gt;0),IF(MAX(0,Inputs!$B$43-B2839)&lt;=0,0,(INT(MAX(0,Inputs!$B$43-B2839)/(IF(Inputs!$B$38="pvp",15,MAX(0.1,Skills!D6-IF(Skills!E6=TRUE,3.5,0)))*(1-IF(AND(ArtifactsInput!$M$27,Inputs!$B$4="Chapter Hunt"),CHOOSE(ArtifactsInput!$N$27+1,20,24,28,32,36,40),0)/100)))+1)),0)</f>
        <v/>
      </c>
      <c r="S2811">
        <f>IFERROR(O2811/N2811,0)</f>
        <v/>
      </c>
      <c r="T2811">
        <f>IF(C2811,(H2811*N2811*IF(AND(Inputs!$B$38&lt;&gt;"pvp",Inputs!$B$43&gt;0),((Skills!G6*((R2811-1)*IF(Skills!H6&gt;0,Skills!I6/Skills!H6,1)+IF(Skills!H6&gt;0,MIN(Skills!I6,MAX(0,MAX(0,Inputs!$B$43-B2839)-((R2811-1)*(IF(Inputs!$B$38="pvp",15,MAX(0.1,Skills!D6-IF(Skills!E6=TRUE,3.5,0)))*(1-IF(AND(ArtifactsInput!$M$27,Inputs!$B$4="Chapter Hunt"),CHOOSE(ArtifactsInput!$N$27+1,20,24,28,32,36,40),0)/100)))))/Skills!H6,1)))/Inputs!$B$43),G2811*Q2811)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2811*(1-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2811*(1-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1">
        <f>IF(C2811,(H2811*N2811*IF(AND(Inputs!$B$38&lt;&gt;"pvp",Inputs!$B$43&gt;0),((Skills!G6*((R2811-1)*IF(Skills!H6&gt;0,Skills!I6/Skills!H6,1)+IF(Skills!H6&gt;0,MIN(Skills!I6,MAX(0,MAX(0,Inputs!$B$43-B2839)-((R2811-1)*(IF(Inputs!$B$38="pvp",15,MAX(0.1,Skills!D6-IF(Skills!E6=TRUE,3.5,0)))*(1-IF(AND(ArtifactsInput!$M$27,Inputs!$B$4="Chapter Hunt"),CHOOSE(ArtifactsInput!$N$27+1,20,24,28,32,36,40),0)/100)))))/Skills!H6,1)))/Inputs!$B$43),G2811*Q2811))*IF(Inputs!$B$38="pvp",1,(1+(Inputs!$B$21+Skills!Q6+(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2">
      <c r="A2812">
        <f>Skills!A7</f>
        <v/>
      </c>
      <c r="B2812">
        <f>Skills!B7</f>
        <v/>
      </c>
      <c r="C2812">
        <f>Inputs!$B$3&gt;=107</f>
        <v/>
      </c>
      <c r="D2812">
        <f>IF(Skills!C7=1,60+Inputs!$B$25+Inputs!$B$29,IF(Skills!C7=2,90+Inputs!$B$26+Inputs!$B$29,IF(Skills!C7=3,120+Inputs!$B$27+Inputs!$B$29,MAX(0,(Inputs!$B$3-100)*3)+Inputs!$B$28+Inputs!$B$29)))</f>
        <v/>
      </c>
      <c r="E2812">
        <f>INDEX(FactorTable!$B$2:$Y$301, MATCH(ROUND(MIN(300,MAX(1,D2812)),0), FactorTable!$A$2:$A$301,0), Skills!M7+1)</f>
        <v/>
      </c>
      <c r="F2812">
        <f>IF(Skills!N7=TRUE,(Skills!L7/10)*(E2812/1000),Skills!L7/10)+Skills!O7</f>
        <v/>
      </c>
      <c r="G2812">
        <f>Skills!G7*IF(Skills!H7&gt;0,Skills!I7/Skills!H7,1)</f>
        <v/>
      </c>
      <c r="H2812">
        <f>1-(1-Skills!J7/100)^Skills!K7</f>
        <v/>
      </c>
      <c r="I2812" t="inlineStr">
        <is>
          <t>1</t>
        </is>
      </c>
      <c r="J2812">
        <f>((Inputs!$B$6*(1+Inputs!$B$7/100))+(((Inputs!$B$12*(1+Inputs!$B$13/100))-(Inputs!$B$12*(1+Inputs!$B$13/100)))+0.25*(Inputs!$B$14-Inputs!$B$14))*(1+Inputs!$B$7/100))*(F2812/100)</f>
        <v/>
      </c>
      <c r="K2812">
        <f>J2812*(1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2812)</f>
        <v/>
      </c>
      <c r="L2812">
        <f>K2812*(MIN(Inputs!$B$22+((C2827=TRUE)*(F2827-Calc!F22)),(Inputs!$B$23+((C2829=TRUE)*(F2829-Calc!F24))+(IF(ArtifactsInput!$M$15,CHOOSE(ArtifactsInput!$N$15+1,25,30,35,40,45,50)/100*(Inputs!$B$11-Inputs!$B$11),0))))/100+(Inputs!$B$23+((C2829=TRUE)*(F2829-Calc!F24))+(IF(ArtifactsInput!$M$15,CHOOSE(ArtifactsInput!$N$15+1,25,30,35,40,45,50)/100*(Inputs!$B$11-Inputs!$B$11),0)))/100)/2</f>
        <v/>
      </c>
      <c r="M2812">
        <f>L2812*(1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2">
        <f>L2812*(1-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2812*(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2">
        <f>(1-Summary!$B$11)*T2812+Summary!$B$11*V2812</f>
        <v/>
      </c>
      <c r="P2812">
        <f>IF(B2842=0,0,O2812/B2842)</f>
        <v/>
      </c>
      <c r="Q2812">
        <f>IFERROR(1/(IF(Inputs!$B$38="pvp",15,MAX(0.1,Skills!D7-IF(Skills!E7=TRUE,3.5,0)))*(1-IF(AND(ArtifactsInput!$M$27,Inputs!$B$4="Chapter Hunt"),CHOOSE(ArtifactsInput!$N$27+1,20,24,28,32,36,40),0)/100)),0)</f>
        <v/>
      </c>
      <c r="R2812">
        <f>IF(AND(Inputs!$B$38&lt;&gt;"pvp",Inputs!$B$43&gt;0),IF(MAX(0,Inputs!$B$43-B2839)&lt;=0,0,(INT(MAX(0,Inputs!$B$43-B2839)/(IF(Inputs!$B$38="pvp",15,MAX(0.1,Skills!D7-IF(Skills!E7=TRUE,3.5,0)))*(1-IF(AND(ArtifactsInput!$M$27,Inputs!$B$4="Chapter Hunt"),CHOOSE(ArtifactsInput!$N$27+1,20,24,28,32,36,40),0)/100)))+1)),0)</f>
        <v/>
      </c>
      <c r="S2812">
        <f>IFERROR(O2812/N2812,0)</f>
        <v/>
      </c>
      <c r="T2812">
        <f>IF(C2812,(H2812*N2812*IF(AND(Inputs!$B$38&lt;&gt;"pvp",Inputs!$B$43&gt;0),((Skills!G7*((R2812-1)*IF(Skills!H7&gt;0,Skills!I7/Skills!H7,1)+IF(Skills!H7&gt;0,MIN(Skills!I7,MAX(0,MAX(0,Inputs!$B$43-B2839)-((R2812-1)*(IF(Inputs!$B$38="pvp",15,MAX(0.1,Skills!D7-IF(Skills!E7=TRUE,3.5,0)))*(1-IF(AND(ArtifactsInput!$M$27,Inputs!$B$4="Chapter Hunt"),CHOOSE(ArtifactsInput!$N$27+1,20,24,28,32,36,40),0)/100)))))/Skills!H7,1)))/Inputs!$B$43),G2812*Q2812)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2812*(1-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2812*(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2812*(1-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2812*(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2">
        <f>IF(C2812,(H2812*N2812*IF(AND(Inputs!$B$38&lt;&gt;"pvp",Inputs!$B$43&gt;0),((Skills!G7*((R2812-1)*IF(Skills!H7&gt;0,Skills!I7/Skills!H7,1)+IF(Skills!H7&gt;0,MIN(Skills!I7,MAX(0,MAX(0,Inputs!$B$43-B2839)-((R2812-1)*(IF(Inputs!$B$38="pvp",15,MAX(0.1,Skills!D7-IF(Skills!E7=TRUE,3.5,0)))*(1-IF(AND(ArtifactsInput!$M$27,Inputs!$B$4="Chapter Hunt"),CHOOSE(ArtifactsInput!$N$27+1,20,24,28,32,36,40),0)/100)))))/Skills!H7,1)))/Inputs!$B$43),G2812*Q2812))*IF(Inputs!$B$38="pvp",1,(1+(Inputs!$B$21+Skills!Q7+(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3">
      <c r="A2813">
        <f>Skills!A8</f>
        <v/>
      </c>
      <c r="B2813">
        <f>Skills!B8</f>
        <v/>
      </c>
      <c r="C2813">
        <f>Inputs!$B$3&gt;=107</f>
        <v/>
      </c>
      <c r="D2813">
        <f>IF(Skills!C8=1,60+Inputs!$B$25+Inputs!$B$29,IF(Skills!C8=2,90+Inputs!$B$26+Inputs!$B$29,IF(Skills!C8=3,120+Inputs!$B$27+Inputs!$B$29,MAX(0,(Inputs!$B$3-100)*3)+Inputs!$B$28+Inputs!$B$29)))</f>
        <v/>
      </c>
      <c r="E2813">
        <f>INDEX(FactorTable!$B$2:$Y$301, MATCH(ROUND(MIN(300,MAX(1,D2813)),0), FactorTable!$A$2:$A$301,0), Skills!M8+1)</f>
        <v/>
      </c>
      <c r="F2813">
        <f>IF(Skills!N8=TRUE,(Skills!L8/10)*(E2813/1000),Skills!L8/10)+Skills!O8</f>
        <v/>
      </c>
      <c r="G2813">
        <f>Skills!G8*IF(Skills!H8&gt;0,Skills!I8/Skills!H8,1)</f>
        <v/>
      </c>
      <c r="H2813">
        <f>1-(1-Skills!J8/100)^Skills!K8</f>
        <v/>
      </c>
      <c r="I2813" t="inlineStr">
        <is>
          <t>1</t>
        </is>
      </c>
      <c r="J2813">
        <f>((Inputs!$B$6*(1+Inputs!$B$7/100))+(((Inputs!$B$12*(1+Inputs!$B$13/100))-(Inputs!$B$12*(1+Inputs!$B$13/100)))+0.25*(Inputs!$B$14-Inputs!$B$14))*(1+Inputs!$B$7/100))*(F2813/100)</f>
        <v/>
      </c>
      <c r="K2813">
        <f>J2813*(1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2813)</f>
        <v/>
      </c>
      <c r="L2813">
        <f>K2813*(MIN(Inputs!$B$22+((C2827=TRUE)*(F2827-Calc!F22)),(Inputs!$B$23+((C2829=TRUE)*(F2829-Calc!F24))+(IF(ArtifactsInput!$M$15,CHOOSE(ArtifactsInput!$N$15+1,25,30,35,40,45,50)/100*(Inputs!$B$11-Inputs!$B$11),0))))/100+(Inputs!$B$23+((C2829=TRUE)*(F2829-Calc!F24))+(IF(ArtifactsInput!$M$15,CHOOSE(ArtifactsInput!$N$15+1,25,30,35,40,45,50)/100*(Inputs!$B$11-Inputs!$B$11),0)))/100)/2</f>
        <v/>
      </c>
      <c r="M2813">
        <f>L2813*(1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3">
        <f>L2813*(1-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2813*(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3">
        <f>(1-Summary!$B$11)*T2813+Summary!$B$11*V2813</f>
        <v/>
      </c>
      <c r="P2813">
        <f>IF(B2842=0,0,O2813/B2842)</f>
        <v/>
      </c>
      <c r="Q2813">
        <f>IFERROR(1/(IF(Inputs!$B$38="pvp",15,MAX(0.1,Skills!D8-IF(Skills!E8=TRUE,3.5,0)))*(1-IF(AND(ArtifactsInput!$M$27,Inputs!$B$4="Chapter Hunt"),CHOOSE(ArtifactsInput!$N$27+1,20,24,28,32,36,40),0)/100)),0)</f>
        <v/>
      </c>
      <c r="R2813">
        <f>IF(AND(Inputs!$B$38&lt;&gt;"pvp",Inputs!$B$43&gt;0),IF(MAX(0,Inputs!$B$43-B2839)&lt;=0,0,(INT(MAX(0,Inputs!$B$43-B2839)/(IF(Inputs!$B$38="pvp",15,MAX(0.1,Skills!D8-IF(Skills!E8=TRUE,3.5,0)))*(1-IF(AND(ArtifactsInput!$M$27,Inputs!$B$4="Chapter Hunt"),CHOOSE(ArtifactsInput!$N$27+1,20,24,28,32,36,40),0)/100)))+1)),0)</f>
        <v/>
      </c>
      <c r="S2813">
        <f>IFERROR(O2813/N2813,0)</f>
        <v/>
      </c>
      <c r="T2813">
        <f>IF(C2813,(H2813*N2813*IF(AND(Inputs!$B$38&lt;&gt;"pvp",Inputs!$B$43&gt;0),((Skills!G8*((R2813-1)*IF(Skills!H8&gt;0,Skills!I8/Skills!H8,1)+IF(Skills!H8&gt;0,MIN(Skills!I8,MAX(0,MAX(0,Inputs!$B$43-B2839)-((R2813-1)*(IF(Inputs!$B$38="pvp",15,MAX(0.1,Skills!D8-IF(Skills!E8=TRUE,3.5,0)))*(1-IF(AND(ArtifactsInput!$M$27,Inputs!$B$4="Chapter Hunt"),CHOOSE(ArtifactsInput!$N$27+1,20,24,28,32,36,40),0)/100)))))/Skills!H8,1)))/Inputs!$B$43),G2813*Q2813)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2813*(1-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2813*(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2813*(1-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2813*(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3">
        <f>IF(C2813,(H2813*N2813*IF(AND(Inputs!$B$38&lt;&gt;"pvp",Inputs!$B$43&gt;0),((Skills!G8*((R2813-1)*IF(Skills!H8&gt;0,Skills!I8/Skills!H8,1)+IF(Skills!H8&gt;0,MIN(Skills!I8,MAX(0,MAX(0,Inputs!$B$43-B2839)-((R2813-1)*(IF(Inputs!$B$38="pvp",15,MAX(0.1,Skills!D8-IF(Skills!E8=TRUE,3.5,0)))*(1-IF(AND(ArtifactsInput!$M$27,Inputs!$B$4="Chapter Hunt"),CHOOSE(ArtifactsInput!$N$27+1,20,24,28,32,36,40),0)/100)))))/Skills!H8,1)))/Inputs!$B$43),G2813*Q2813))*IF(Inputs!$B$38="pvp",1,(1+(Inputs!$B$21+Skills!Q8+(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4">
      <c r="A2814">
        <f>Skills!A9</f>
        <v/>
      </c>
      <c r="B2814">
        <f>Skills!B9</f>
        <v/>
      </c>
      <c r="C2814">
        <f>Inputs!$B$3&gt;=125</f>
        <v/>
      </c>
      <c r="D2814">
        <f>IF(Skills!C9=1,60+Inputs!$B$25+Inputs!$B$29,IF(Skills!C9=2,90+Inputs!$B$26+Inputs!$B$29,IF(Skills!C9=3,120+Inputs!$B$27+Inputs!$B$29,MAX(0,(Inputs!$B$3-100)*3)+Inputs!$B$28+Inputs!$B$29)))</f>
        <v/>
      </c>
      <c r="E2814">
        <f>INDEX(FactorTable!$B$2:$Y$301, MATCH(ROUND(MIN(300,MAX(1,D2814)),0), FactorTable!$A$2:$A$301,0), Skills!M9+1)</f>
        <v/>
      </c>
      <c r="F2814">
        <f>IF(Skills!N9=TRUE,(Skills!L9/10)*(E2814/1000),Skills!L9/10)+Skills!O9</f>
        <v/>
      </c>
      <c r="G2814">
        <f>Skills!G9*IF(Skills!H9&gt;0,Skills!I9/Skills!H9,1)</f>
        <v/>
      </c>
      <c r="H2814">
        <f>1-(1-Skills!J9/100)^Skills!K9</f>
        <v/>
      </c>
      <c r="I2814" t="inlineStr">
        <is>
          <t>1</t>
        </is>
      </c>
      <c r="J2814">
        <f>((Inputs!$B$6*(1+Inputs!$B$7/100))+(((Inputs!$B$12*(1+Inputs!$B$13/100))-(Inputs!$B$12*(1+Inputs!$B$13/100)))+0.25*(Inputs!$B$14-Inputs!$B$14))*(1+Inputs!$B$7/100))*(F2814/100)</f>
        <v/>
      </c>
      <c r="K2814">
        <f>J2814*(1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2814)</f>
        <v/>
      </c>
      <c r="L2814">
        <f>K2814*(MIN(Inputs!$B$22+((C2827=TRUE)*(F2827-Calc!F22)),(Inputs!$B$23+((C2829=TRUE)*(F2829-Calc!F24))+(IF(ArtifactsInput!$M$15,CHOOSE(ArtifactsInput!$N$15+1,25,30,35,40,45,50)/100*(Inputs!$B$11-Inputs!$B$11),0))))/100+(Inputs!$B$23+((C2829=TRUE)*(F2829-Calc!F24))+(IF(ArtifactsInput!$M$15,CHOOSE(ArtifactsInput!$N$15+1,25,30,35,40,45,50)/100*(Inputs!$B$11-Inputs!$B$11),0)))/100)/2</f>
        <v/>
      </c>
      <c r="M2814">
        <f>L2814*(1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4">
        <f>L2814*(1-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2814*(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4">
        <f>(1-Summary!$B$11)*T2814+Summary!$B$11*V2814</f>
        <v/>
      </c>
      <c r="P2814">
        <f>IF(B2842=0,0,O2814/B2842)</f>
        <v/>
      </c>
      <c r="Q2814">
        <f>IFERROR(1/(IF(Inputs!$B$38="pvp",15,MAX(0.1,Skills!D9-IF(Skills!E9=TRUE,3.5,0)))*(1-IF(AND(ArtifactsInput!$M$27,Inputs!$B$4="Chapter Hunt"),CHOOSE(ArtifactsInput!$N$27+1,20,24,28,32,36,40),0)/100)),0)</f>
        <v/>
      </c>
      <c r="R2814">
        <f>IF(AND(Inputs!$B$38&lt;&gt;"pvp",Inputs!$B$43&gt;0),IF(MAX(0,Inputs!$B$43-B2839)&lt;=0,0,(INT(MAX(0,Inputs!$B$43-B2839)/(IF(Inputs!$B$38="pvp",15,MAX(0.1,Skills!D9-IF(Skills!E9=TRUE,3.5,0)))*(1-IF(AND(ArtifactsInput!$M$27,Inputs!$B$4="Chapter Hunt"),CHOOSE(ArtifactsInput!$N$27+1,20,24,28,32,36,40),0)/100)))+1)),0)</f>
        <v/>
      </c>
      <c r="S2814">
        <f>IFERROR(O2814/N2814,0)</f>
        <v/>
      </c>
      <c r="T2814">
        <f>IF(C2814,(H2814*N2814*IF(AND(Inputs!$B$38&lt;&gt;"pvp",Inputs!$B$43&gt;0),((Skills!G9*((R2814-1)*IF(Skills!H9&gt;0,Skills!I9/Skills!H9,1)+IF(Skills!H9&gt;0,MIN(Skills!I9,MAX(0,MAX(0,Inputs!$B$43-B2839)-((R2814-1)*(IF(Inputs!$B$38="pvp",15,MAX(0.1,Skills!D9-IF(Skills!E9=TRUE,3.5,0)))*(1-IF(AND(ArtifactsInput!$M$27,Inputs!$B$4="Chapter Hunt"),CHOOSE(ArtifactsInput!$N$27+1,20,24,28,32,36,40),0)/100)))))/Skills!H9,1)))/Inputs!$B$43),G2814*Q2814)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2814*(1-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2814*(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2814*(1-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2814*(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4">
        <f>IF(C2814,(H2814*N2814*IF(AND(Inputs!$B$38&lt;&gt;"pvp",Inputs!$B$43&gt;0),((Skills!G9*((R2814-1)*IF(Skills!H9&gt;0,Skills!I9/Skills!H9,1)+IF(Skills!H9&gt;0,MIN(Skills!I9,MAX(0,MAX(0,Inputs!$B$43-B2839)-((R2814-1)*(IF(Inputs!$B$38="pvp",15,MAX(0.1,Skills!D9-IF(Skills!E9=TRUE,3.5,0)))*(1-IF(AND(ArtifactsInput!$M$27,Inputs!$B$4="Chapter Hunt"),CHOOSE(ArtifactsInput!$N$27+1,20,24,28,32,36,40),0)/100)))))/Skills!H9,1)))/Inputs!$B$43),G2814*Q2814))*IF(Inputs!$B$38="pvp",1,(1+(Inputs!$B$21+Skills!Q9+(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5">
      <c r="A2815">
        <f>Skills!A10</f>
        <v/>
      </c>
      <c r="B2815">
        <f>Skills!B10</f>
        <v/>
      </c>
      <c r="C2815">
        <f>Inputs!$B$3&gt;=117</f>
        <v/>
      </c>
      <c r="D2815">
        <f>IF(Skills!C10=1,60+Inputs!$B$25+Inputs!$B$29,IF(Skills!C10=2,90+Inputs!$B$26+Inputs!$B$29,IF(Skills!C10=3,120+Inputs!$B$27+Inputs!$B$29,MAX(0,(Inputs!$B$3-100)*3)+Inputs!$B$28+Inputs!$B$29)))</f>
        <v/>
      </c>
      <c r="E2815">
        <f>INDEX(FactorTable!$B$2:$Y$301, MATCH(ROUND(MIN(300,MAX(1,D2815)),0), FactorTable!$A$2:$A$301,0), Skills!M10+1)</f>
        <v/>
      </c>
      <c r="F2815">
        <f>IF(Skills!N10=TRUE,(Skills!L10/10)*(E2815/1000),Skills!L10/10)+Skills!O10</f>
        <v/>
      </c>
      <c r="G2815">
        <f>Skills!G10*IF(Skills!H10&gt;0,Skills!I10/Skills!H10,1)</f>
        <v/>
      </c>
      <c r="H2815">
        <f>1-(1-Skills!J10/100)^Skills!K10</f>
        <v/>
      </c>
      <c r="I2815" t="inlineStr">
        <is>
          <t>1</t>
        </is>
      </c>
      <c r="J2815">
        <f>((Inputs!$B$6*(1+Inputs!$B$7/100))+(((Inputs!$B$12*(1+Inputs!$B$13/100))-(Inputs!$B$12*(1+Inputs!$B$13/100)))+0.25*(Inputs!$B$14-Inputs!$B$14))*(1+Inputs!$B$7/100))*(F2815/100)</f>
        <v/>
      </c>
      <c r="K2815">
        <f>J2815*(1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2815)</f>
        <v/>
      </c>
      <c r="L2815">
        <f>K2815*(MIN(Inputs!$B$22+((C2827=TRUE)*(F2827-Calc!F22)),(Inputs!$B$23+((C2829=TRUE)*(F2829-Calc!F24))+(IF(ArtifactsInput!$M$15,CHOOSE(ArtifactsInput!$N$15+1,25,30,35,40,45,50)/100*(Inputs!$B$11-Inputs!$B$11),0))))/100+(Inputs!$B$23+((C2829=TRUE)*(F2829-Calc!F24))+(IF(ArtifactsInput!$M$15,CHOOSE(ArtifactsInput!$N$15+1,25,30,35,40,45,50)/100*(Inputs!$B$11-Inputs!$B$11),0)))/100)/2</f>
        <v/>
      </c>
      <c r="M2815">
        <f>L2815*(1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5">
        <f>L2815*(1-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2815*(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5">
        <f>(1-Summary!$B$11)*T2815+Summary!$B$11*V2815</f>
        <v/>
      </c>
      <c r="P2815">
        <f>IF(B2842=0,0,O2815/B2842)</f>
        <v/>
      </c>
      <c r="Q2815">
        <f>IFERROR(1/(IF(Inputs!$B$38="pvp",15,MAX(0.1,Skills!D10-IF(Skills!E10=TRUE,3.5,0)))*(1-IF(AND(ArtifactsInput!$M$27,Inputs!$B$4="Chapter Hunt"),CHOOSE(ArtifactsInput!$N$27+1,20,24,28,32,36,40),0)/100)),0)</f>
        <v/>
      </c>
      <c r="R2815">
        <f>IF(AND(Inputs!$B$38&lt;&gt;"pvp",Inputs!$B$43&gt;0),IF(MAX(0,Inputs!$B$43-B2839)&lt;=0,0,(INT(MAX(0,Inputs!$B$43-B2839)/(IF(Inputs!$B$38="pvp",15,MAX(0.1,Skills!D10-IF(Skills!E10=TRUE,3.5,0)))*(1-IF(AND(ArtifactsInput!$M$27,Inputs!$B$4="Chapter Hunt"),CHOOSE(ArtifactsInput!$N$27+1,20,24,28,32,36,40),0)/100)))+1)),0)</f>
        <v/>
      </c>
      <c r="S2815">
        <f>IFERROR(O2815/N2815,0)</f>
        <v/>
      </c>
      <c r="T2815">
        <f>IF(C2815,(H2815*N2815*IF(AND(Inputs!$B$38&lt;&gt;"pvp",Inputs!$B$43&gt;0),((Skills!G10*((R2815-1)*IF(Skills!H10&gt;0,Skills!I10/Skills!H10,1)+IF(Skills!H10&gt;0,MIN(Skills!I10,MAX(0,MAX(0,Inputs!$B$43-B2839)-((R2815-1)*(IF(Inputs!$B$38="pvp",15,MAX(0.1,Skills!D10-IF(Skills!E10=TRUE,3.5,0)))*(1-IF(AND(ArtifactsInput!$M$27,Inputs!$B$4="Chapter Hunt"),CHOOSE(ArtifactsInput!$N$27+1,20,24,28,32,36,40),0)/100)))))/Skills!H10,1)))/Inputs!$B$43),G2815*Q2815)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2815*(1-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2815*(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2815*(1-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2815*(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5">
        <f>IF(C2815,(H2815*N2815*IF(AND(Inputs!$B$38&lt;&gt;"pvp",Inputs!$B$43&gt;0),((Skills!G10*((R2815-1)*IF(Skills!H10&gt;0,Skills!I10/Skills!H10,1)+IF(Skills!H10&gt;0,MIN(Skills!I10,MAX(0,MAX(0,Inputs!$B$43-B2839)-((R2815-1)*(IF(Inputs!$B$38="pvp",15,MAX(0.1,Skills!D10-IF(Skills!E10=TRUE,3.5,0)))*(1-IF(AND(ArtifactsInput!$M$27,Inputs!$B$4="Chapter Hunt"),CHOOSE(ArtifactsInput!$N$27+1,20,24,28,32,36,40),0)/100)))))/Skills!H10,1)))/Inputs!$B$43),G2815*Q2815))*IF(Inputs!$B$38="pvp",1,(1+(Inputs!$B$21+Skills!Q10+(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6">
      <c r="A2816">
        <f>Skills!A11</f>
        <v/>
      </c>
      <c r="B2816">
        <f>Skills!B11</f>
        <v/>
      </c>
      <c r="C2816">
        <f>Inputs!$B$3&gt;=63</f>
        <v/>
      </c>
      <c r="D2816">
        <f>IF(Skills!C11=1,60+Inputs!$B$25+Inputs!$B$29,IF(Skills!C11=2,90+Inputs!$B$26+Inputs!$B$29,IF(Skills!C11=3,120+Inputs!$B$27+Inputs!$B$29,MAX(0,(Inputs!$B$3-100)*3)+Inputs!$B$28+Inputs!$B$29)))</f>
        <v/>
      </c>
      <c r="E2816">
        <f>INDEX(FactorTable!$B$2:$Y$301, MATCH(ROUND(MIN(300,MAX(1,D2816)),0), FactorTable!$A$2:$A$301,0), Skills!M11+1)</f>
        <v/>
      </c>
      <c r="F2816">
        <f>IF(Skills!N11=TRUE,(Skills!L11/10)*(E2816/1000),Skills!L11/10)+Skills!O11</f>
        <v/>
      </c>
      <c r="G2816">
        <f>Skills!G11*IF(Skills!H11&gt;0,Skills!I11/Skills!H11,1)</f>
        <v/>
      </c>
      <c r="H2816">
        <f>1-(1-Skills!J11/100)^Skills!K11</f>
        <v/>
      </c>
      <c r="I2816" t="inlineStr">
        <is>
          <t>1</t>
        </is>
      </c>
      <c r="J2816">
        <f>((Inputs!$B$6*(1+Inputs!$B$7/100))+(((Inputs!$B$12*(1+Inputs!$B$13/100))-(Inputs!$B$12*(1+Inputs!$B$13/100)))+0.25*(Inputs!$B$14-Inputs!$B$14))*(1+Inputs!$B$7/100))*(F2816/100)</f>
        <v/>
      </c>
      <c r="K2816">
        <f>J2816*(1+((Inputs!$B$12*(1+Inputs!$B$13/100))*0.01+Inputs!$B$14*0.0025)/100)*(1+Inputs!$B$15/100)*(1+Inputs!$B$16/100)*(5000/(6000+Inputs!$B$42*(1-(Inputs!$B$19+0)/100)))*(1+(Inputs!$B$24+0+B2838)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2817=TRUE,F2817,0)/100)*(1+(IF(Skills!A11="BLAST",Inputs!$B$17+((C2826=TRUE)*(F2826-Calc!F21))+((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MIN(100,((Inputs!$B$9+0+B2832+(ArtifactsInput!$M$24-ArtifactsInput!$M$24)*CHOOSE(ArtifactsInput!$N$24+1,10,12,14,16,18,20)+IF(ArtifactsInput!$M$10,CHOOSE(ArtifactsInput!$N$10+1,15,18,21,24,27,30)*(IF(Inputs!$B$38="pvp",MIN(15,15)/15,IF(AND(Inputs!$B$38&lt;&gt;"pvp",Inputs!$B$43&gt;0),MIN(15,Inputs!$B$43)/(Inputs!$B$43),0))),0)))-100),0))*CHOOSE(ArtifactsInput!$N$42+1,0.6,0.72,0.84,0.96,1.08,1.2))),Inputs!$B$18+((C2828=TRUE)*(F2828-Calc!F23))+(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gt;=100),CHOOSE(ArtifactsInput!$N$42+1,40,48,56,64,72,80),0))))/100)*((1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2816)</f>
        <v/>
      </c>
      <c r="L2816">
        <f>K2816*(MIN(Inputs!$B$22+((C2827=TRUE)*(F2827-Calc!F22)),(Inputs!$B$23+((C2829=TRUE)*(F2829-Calc!F24))+(IF(ArtifactsInput!$M$15,CHOOSE(ArtifactsInput!$N$15+1,25,30,35,40,45,50)/100*(Inputs!$B$11-Inputs!$B$11),0))))/100+(Inputs!$B$23+((C2829=TRUE)*(F2829-Calc!F24))+(IF(ArtifactsInput!$M$15,CHOOSE(ArtifactsInput!$N$15+1,25,30,35,40,45,50)/100*(Inputs!$B$11-Inputs!$B$11),0)))/100)/2</f>
        <v/>
      </c>
      <c r="M2816">
        <f>L2816*(1+(Inputs!$B$10+0+B2837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6">
        <f>L2816*(1-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2816*(MIN((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6">
        <f>(1-Summary!$B$11)*T2816+Summary!$B$11*V2816</f>
        <v/>
      </c>
      <c r="P2816">
        <f>IF(B2842=0,0,O2816/B2842)</f>
        <v/>
      </c>
      <c r="Q2816">
        <f>IFERROR(1/(IF(Inputs!$B$38="pvp",15,MAX(0.1,Skills!D11-IF(Skills!E11=TRUE,3.5,0)))*(1-IF(AND(ArtifactsInput!$M$27,Inputs!$B$4="Chapter Hunt"),CHOOSE(ArtifactsInput!$N$27+1,20,24,28,32,36,40),0)/100)),0)</f>
        <v/>
      </c>
      <c r="R2816">
        <f>IF(AND(Inputs!$B$38&lt;&gt;"pvp",Inputs!$B$43&gt;0),IF(MAX(0,Inputs!$B$43-B2839)&lt;=0,0,(INT(MAX(0,Inputs!$B$43-B2839)/(IF(Inputs!$B$38="pvp",15,MAX(0.1,Skills!D11-IF(Skills!E11=TRUE,3.5,0)))*(1-IF(AND(ArtifactsInput!$M$27,Inputs!$B$4="Chapter Hunt"),CHOOSE(ArtifactsInput!$N$27+1,20,24,28,32,36,40),0)/100)))+1)),0)</f>
        <v/>
      </c>
      <c r="S2816">
        <f>IFERROR(O2816/N2816,0)</f>
        <v/>
      </c>
      <c r="T2816">
        <f>IF(C2816,(H2816*N2816*IF(AND(Inputs!$B$38&lt;&gt;"pvp",Inputs!$B$43&gt;0),((Skills!G11*((R2816-1)*IF(Skills!H11&gt;0,Skills!I11/Skills!H11,1)+IF(Skills!H11&gt;0,MIN(Skills!I11,MAX(0,MAX(0,Inputs!$B$43-B2839)-((R2816-1)*(IF(Inputs!$B$38="pvp",15,MAX(0.1,Skills!D11-IF(Skills!E11=TRUE,3.5,0)))*(1-IF(AND(ArtifactsInput!$M$27,Inputs!$B$4="Chapter Hunt"),CHOOSE(ArtifactsInput!$N$27+1,20,24,28,32,36,40),0)/100)))))/Skills!H11,1)))/Inputs!$B$43),G2816*Q2816)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2816*(1-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2816*(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2816*(1-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2816*(MIN(100,(Inputs!$B$9+0+B2832+(ArtifactsInput!$M$24-ArtifactsInput!$M$24)*CHOOSE(ArtifactsInput!$N$24+1,10,12,14,16,18,20)+(IF(AND(Inputs!$B$38&lt;&gt;"pvp",Inputs!$B$43=0),1,IF(IF(Inputs!$B$38="pvp",15,Inputs!$B$43)-(B2839)&lt;=0,1,MAX(0,IF(Inputs!$B$38="pvp",15,Inputs!$B$43)-MAX(5,B2839))/(IF(Inputs!$B$38="pvp",15,Inputs!$B$43)-(B2839))))*IF(AND(ArtifactsInput!$M$42,((Inputs!$B$9+0+B2832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16">
        <f>IF(C2816,(H2816*N2816*IF(AND(Inputs!$B$38&lt;&gt;"pvp",Inputs!$B$43&gt;0),((Skills!G11*((R2816-1)*IF(Skills!H11&gt;0,Skills!I11/Skills!H11,1)+IF(Skills!H11&gt;0,MIN(Skills!I11,MAX(0,MAX(0,Inputs!$B$43-B2839)-((R2816-1)*(IF(Inputs!$B$38="pvp",15,MAX(0.1,Skills!D11-IF(Skills!E11=TRUE,3.5,0)))*(1-IF(AND(ArtifactsInput!$M$27,Inputs!$B$4="Chapter Hunt"),CHOOSE(ArtifactsInput!$N$27+1,20,24,28,32,36,40),0)/100)))))/Skills!H11,1)))/Inputs!$B$43),G2816*Q2816))*IF(Inputs!$B$38="pvp",1,(1+(Inputs!$B$21+Skills!Q11+(IF(ArtifactsInput!$M$33,CHOOSE(ArtifactsInput!$N$33+1,30,36,42,48,54,60),0))+(IF(AND(ArtifactsInput!$M$35,Inputs!$B$4&lt;&gt;"Chapter Hunt"),CHOOSE(ArtifactsInput!$N$35+1,15,18,21,24,27,30)*(1-EXP(-(0.2*B2834)*5)),0)+IF(AND(ArtifactsInput!$M$22,Inputs!$B$4&lt;&gt;"Chapter Hunt"),CHOOSE(ArtifactsInput!$N$22+1,10,12,14,16,18,20)*((0*(((0.15*B2834*5))^0/1)+1*(((0.15*B2834*5))^1/1)+2*(((0.15*B2834*5))^2/2)+3*(((0.15*B2834*5))^3/6)+4*(((0.15*B2834*5))^4/24)+5*(((0.15*B2834*5))^5/120))/((((0.15*B2834*5))^0/1)+(((0.15*B2834*5))^1/1)+(((0.15*B2834*5))^2/2)+(((0.15*B2834*5))^3/6)+(((0.15*B2834*5))^4/24)+(((0.15*B2834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7">
      <c r="A2817">
        <f>Skills!A12</f>
        <v/>
      </c>
      <c r="B2817">
        <f>Skills!B12</f>
        <v/>
      </c>
      <c r="C2817">
        <f>Inputs!$B$3&gt;=100</f>
        <v/>
      </c>
      <c r="D2817">
        <f>IF(Skills!C12=1,60+Inputs!$B$25+Inputs!$B$29,IF(Skills!C12=2,90+Inputs!$B$26+Inputs!$B$29,IF(Skills!C12=3,120+Inputs!$B$27+Inputs!$B$29,MAX(0,(Inputs!$B$3-100)*3)+Inputs!$B$28+Inputs!$B$29)))</f>
        <v/>
      </c>
      <c r="E2817">
        <f>INDEX(FactorTable!$B$2:$Y$301, MATCH(ROUND(MIN(300,MAX(1,D2817)),0), FactorTable!$A$2:$A$301,0), Skills!M12+1)</f>
        <v/>
      </c>
      <c r="F2817">
        <f>IF(Skills!N12=TRUE,(Skills!L12/10)*(E2817/1000),Skills!L12/10)+Skills!O12</f>
        <v/>
      </c>
      <c r="G2817" t="inlineStr"/>
      <c r="H2817" t="inlineStr"/>
      <c r="I2817" t="inlineStr">
        <is>
          <t>1</t>
        </is>
      </c>
      <c r="J2817" t="inlineStr"/>
      <c r="K2817" t="inlineStr"/>
      <c r="L2817" t="inlineStr"/>
      <c r="M2817" t="inlineStr"/>
      <c r="N2817" t="inlineStr"/>
      <c r="O2817" t="inlineStr"/>
      <c r="P2817" t="inlineStr"/>
      <c r="Q2817" t="inlineStr"/>
      <c r="R2817" t="inlineStr"/>
      <c r="S2817" t="inlineStr"/>
    </row>
    <row r="2818">
      <c r="A2818">
        <f>Skills!A13</f>
        <v/>
      </c>
      <c r="B2818">
        <f>Skills!B13</f>
        <v/>
      </c>
      <c r="C2818">
        <f>Inputs!$B$3&gt;=45</f>
        <v/>
      </c>
      <c r="D2818">
        <f>IF(Skills!C13=1,60+Inputs!$B$25+Inputs!$B$29,IF(Skills!C13=2,90+Inputs!$B$26+Inputs!$B$29,IF(Skills!C13=3,120+Inputs!$B$27+Inputs!$B$29,MAX(0,(Inputs!$B$3-100)*3)+Inputs!$B$28+Inputs!$B$29)))</f>
        <v/>
      </c>
      <c r="E2818">
        <f>INDEX(FactorTable!$B$2:$Y$301, MATCH(ROUND(MIN(300,MAX(1,D2818)),0), FactorTable!$A$2:$A$301,0), Skills!M13+1)</f>
        <v/>
      </c>
      <c r="F2818">
        <f>IF(Skills!N13=TRUE,(Skills!L13/10)*(E2818/1000),Skills!L13/10)+Skills!O13</f>
        <v/>
      </c>
      <c r="G2818">
        <f>Skills!G13*IF(Skills!H13&gt;0,Skills!I13/Skills!H13,1)</f>
        <v/>
      </c>
      <c r="H2818">
        <f>1-(1-Skills!J13/100)^Skills!K13</f>
        <v/>
      </c>
      <c r="I2818" t="inlineStr">
        <is>
          <t>1</t>
        </is>
      </c>
      <c r="J2818" t="inlineStr"/>
      <c r="K2818" t="inlineStr"/>
      <c r="L2818" t="inlineStr"/>
      <c r="M2818" t="inlineStr"/>
      <c r="N2818" t="inlineStr"/>
      <c r="O2818">
        <f>(1-Summary!$B$11)*T2818+Summary!$B$11*V2818</f>
        <v/>
      </c>
      <c r="P2818">
        <f>IF(B2842=0,0,O2818/B2842)</f>
        <v/>
      </c>
      <c r="Q2818" t="n">
        <v>0</v>
      </c>
      <c r="R2818" t="n">
        <v>0</v>
      </c>
      <c r="S2818">
        <f>IFERROR(O2818/N2818,0)</f>
        <v/>
      </c>
      <c r="T2818" t="n">
        <v>0</v>
      </c>
      <c r="V2818" t="n">
        <v>0</v>
      </c>
    </row>
    <row r="2819">
      <c r="A2819">
        <f>Skills!A14</f>
        <v/>
      </c>
      <c r="B2819">
        <f>Skills!B14</f>
        <v/>
      </c>
      <c r="C2819">
        <f>Inputs!$B$3&gt;=110</f>
        <v/>
      </c>
      <c r="D2819">
        <f>IF(Skills!C14=1,60+Inputs!$B$25+Inputs!$B$29,IF(Skills!C14=2,90+Inputs!$B$26+Inputs!$B$29,IF(Skills!C14=3,120+Inputs!$B$27+Inputs!$B$29,MAX(0,(Inputs!$B$3-100)*3)+Inputs!$B$28+Inputs!$B$29)))</f>
        <v/>
      </c>
      <c r="E2819">
        <f>INDEX(FactorTable!$B$2:$Y$301, MATCH(ROUND(MIN(300,MAX(1,D2819)),0), FactorTable!$A$2:$A$301,0), Skills!M14+1)</f>
        <v/>
      </c>
      <c r="F2819">
        <f>IF(Skills!N14=TRUE,(Skills!L14/10)*(E2819/1000),Skills!L14/10)+Skills!O14</f>
        <v/>
      </c>
      <c r="G2819">
        <f>Skills!G14*IF(Skills!H14&gt;0,Skills!I14/Skills!H14,1)</f>
        <v/>
      </c>
      <c r="H2819">
        <f>1-(1-Skills!J14/100)^Skills!K14</f>
        <v/>
      </c>
      <c r="I2819" t="inlineStr">
        <is>
          <t>1</t>
        </is>
      </c>
      <c r="J2819" t="inlineStr"/>
      <c r="K2819" t="inlineStr"/>
      <c r="L2819" t="inlineStr"/>
      <c r="M2819" t="inlineStr"/>
      <c r="N2819" t="inlineStr"/>
      <c r="O2819">
        <f>(1-Summary!$B$11)*T2819+Summary!$B$11*V2819</f>
        <v/>
      </c>
      <c r="P2819">
        <f>IF(B2842=0,0,O2819/B2842)</f>
        <v/>
      </c>
      <c r="Q2819" t="n">
        <v>0</v>
      </c>
      <c r="R2819" t="n">
        <v>0</v>
      </c>
      <c r="S2819">
        <f>IFERROR(O2819/N2819,0)</f>
        <v/>
      </c>
      <c r="T2819" t="n">
        <v>0</v>
      </c>
      <c r="V2819" t="n">
        <v>0</v>
      </c>
    </row>
    <row r="2820">
      <c r="A2820">
        <f>Skills!A15</f>
        <v/>
      </c>
      <c r="B2820">
        <f>Skills!B15</f>
        <v/>
      </c>
      <c r="C2820">
        <f>Inputs!$B$3&gt;=75</f>
        <v/>
      </c>
      <c r="D2820">
        <f>IF(Skills!C15=1,60+Inputs!$B$25+Inputs!$B$29,IF(Skills!C15=2,90+Inputs!$B$26+Inputs!$B$29,IF(Skills!C15=3,120+Inputs!$B$27+Inputs!$B$29,MAX(0,(Inputs!$B$3-100)*3)+Inputs!$B$28+Inputs!$B$29)))</f>
        <v/>
      </c>
      <c r="E2820">
        <f>INDEX(FactorTable!$B$2:$Y$301, MATCH(ROUND(MIN(300,MAX(1,D2820)),0), FactorTable!$A$2:$A$301,0), Skills!M15+1)</f>
        <v/>
      </c>
      <c r="F2820">
        <f>IF(Skills!N15=TRUE,(Skills!L15/10)*(E2820/1000),Skills!L15/10)+Skills!O15</f>
        <v/>
      </c>
      <c r="G2820">
        <f>Skills!G15*IF(Skills!H15&gt;0,Skills!I15/Skills!H15,1)</f>
        <v/>
      </c>
      <c r="H2820">
        <f>1-(1-Skills!J15/100)^Skills!K15</f>
        <v/>
      </c>
      <c r="I2820" t="inlineStr">
        <is>
          <t>1</t>
        </is>
      </c>
      <c r="J2820" t="inlineStr"/>
      <c r="K2820" t="inlineStr"/>
      <c r="L2820" t="inlineStr"/>
      <c r="M2820" t="inlineStr"/>
      <c r="N2820" t="inlineStr"/>
      <c r="O2820">
        <f>(1-Summary!$B$11)*T2820+Summary!$B$11*V2820</f>
        <v/>
      </c>
      <c r="P2820">
        <f>IF(B2842=0,0,O2820/B2842)</f>
        <v/>
      </c>
      <c r="Q2820">
        <f>IFERROR(1/(IF(Inputs!$B$38="pvp",15,MAX(0.1,Skills!D15-IF(Skills!E15=TRUE,3.5,0)))*(1-IF(AND(ArtifactsInput!$M$27,Inputs!$B$4="Chapter Hunt"),CHOOSE(ArtifactsInput!$N$27+1,20,24,28,32,36,40),0)/100)),0)</f>
        <v/>
      </c>
      <c r="R2820">
        <f>IF(AND(Inputs!$B$38&lt;&gt;"pvp",Inputs!$B$43&gt;0),IF(Inputs!$B$43&lt;=0,0,(INT(Inputs!$B$43/(IF(Inputs!$B$38="pvp",15,MAX(0.1,Skills!D15-IF(Skills!E15=TRUE,3.5,0)))*(1-IF(AND(ArtifactsInput!$M$27,Inputs!$B$4="Chapter Hunt"),CHOOSE(ArtifactsInput!$N$27+1,20,24,28,32,36,40),0)/100)))+1)),0)</f>
        <v/>
      </c>
      <c r="S2820">
        <f>IFERROR(O2820/N2820,0)</f>
        <v/>
      </c>
      <c r="T2820" t="n">
        <v>0</v>
      </c>
      <c r="V2820" t="n">
        <v>0</v>
      </c>
    </row>
    <row r="2821">
      <c r="A2821">
        <f>Skills!A16</f>
        <v/>
      </c>
      <c r="B2821">
        <f>Skills!B16</f>
        <v/>
      </c>
      <c r="C2821">
        <f>Inputs!$B$3&gt;=105</f>
        <v/>
      </c>
      <c r="D2821">
        <f>IF(Skills!C16=1,60+Inputs!$B$25+Inputs!$B$29,IF(Skills!C16=2,90+Inputs!$B$26+Inputs!$B$29,IF(Skills!C16=3,120+Inputs!$B$27+Inputs!$B$29,MAX(0,(Inputs!$B$3-100)*3)+Inputs!$B$28+Inputs!$B$29)))</f>
        <v/>
      </c>
      <c r="E2821">
        <f>INDEX(FactorTable!$B$2:$Y$301, MATCH(ROUND(MIN(300,MAX(1,D2821)),0), FactorTable!$A$2:$A$301,0), Skills!M16+1)</f>
        <v/>
      </c>
      <c r="F2821">
        <f>IF(Skills!N16=TRUE,(Skills!L16/10)*(E2821/1000),Skills!L16/10)+Skills!O16</f>
        <v/>
      </c>
      <c r="G2821">
        <f>Skills!G16*IF(Skills!H16&gt;0,Skills!I16/Skills!H16,1)</f>
        <v/>
      </c>
      <c r="H2821">
        <f>1-(1-Skills!J16/100)^Skills!K16</f>
        <v/>
      </c>
      <c r="I2821" t="inlineStr">
        <is>
          <t>1</t>
        </is>
      </c>
      <c r="J2821" t="inlineStr"/>
      <c r="K2821" t="inlineStr"/>
      <c r="L2821" t="inlineStr"/>
      <c r="M2821" t="inlineStr"/>
      <c r="N2821" t="inlineStr"/>
      <c r="O2821">
        <f>(1-Summary!$B$11)*T2821+Summary!$B$11*V2821</f>
        <v/>
      </c>
      <c r="P2821">
        <f>IF(B2842=0,0,O2821/B2842)</f>
        <v/>
      </c>
      <c r="Q2821">
        <f>IFERROR(1/(IF(Inputs!$B$38="pvp",15,MAX(0.1,Skills!D16-IF(Skills!E16=TRUE,3.5,0)))*(1-IF(AND(ArtifactsInput!$M$27,Inputs!$B$4="Chapter Hunt"),CHOOSE(ArtifactsInput!$N$27+1,20,24,28,32,36,40),0)/100)),0)</f>
        <v/>
      </c>
      <c r="R2821">
        <f>IF(AND(Inputs!$B$38&lt;&gt;"pvp",Inputs!$B$43&gt;0),IF(Inputs!$B$43&lt;=0,0,(INT(Inputs!$B$43/(IF(Inputs!$B$38="pvp",15,MAX(0.1,Skills!D16-IF(Skills!E16=TRUE,3.5,0)))*(1-IF(AND(ArtifactsInput!$M$27,Inputs!$B$4="Chapter Hunt"),CHOOSE(ArtifactsInput!$N$27+1,20,24,28,32,36,40),0)/100)))+1)),0)</f>
        <v/>
      </c>
      <c r="S2821">
        <f>IFERROR(O2821/N2821,0)</f>
        <v/>
      </c>
      <c r="T2821" t="n">
        <v>0</v>
      </c>
      <c r="V2821" t="n">
        <v>0</v>
      </c>
    </row>
    <row r="2822">
      <c r="A2822">
        <f>Skills!A17</f>
        <v/>
      </c>
      <c r="B2822">
        <f>Skills!B17</f>
        <v/>
      </c>
      <c r="C2822">
        <f>Inputs!$B$3&gt;=115</f>
        <v/>
      </c>
      <c r="D2822">
        <f>IF(Skills!C17=1,60+Inputs!$B$25+Inputs!$B$29,IF(Skills!C17=2,90+Inputs!$B$26+Inputs!$B$29,IF(Skills!C17=3,120+Inputs!$B$27+Inputs!$B$29,MAX(0,(Inputs!$B$3-100)*3)+Inputs!$B$28+Inputs!$B$29)))</f>
        <v/>
      </c>
      <c r="E2822">
        <f>INDEX(FactorTable!$B$2:$Y$301, MATCH(ROUND(MIN(300,MAX(1,D2822)),0), FactorTable!$A$2:$A$301,0), Skills!M17+1)</f>
        <v/>
      </c>
      <c r="F2822">
        <f>IF(Skills!N17=TRUE,(Skills!L17/10)*(E2822/1000),Skills!L17/10)+Skills!O17</f>
        <v/>
      </c>
      <c r="G2822">
        <f>Skills!G17*IF(Skills!H17&gt;0,Skills!I17/Skills!H17,1)</f>
        <v/>
      </c>
      <c r="H2822">
        <f>1-(1-Skills!J17/100)^Skills!K17</f>
        <v/>
      </c>
      <c r="I2822" t="inlineStr">
        <is>
          <t>1</t>
        </is>
      </c>
      <c r="J2822" t="inlineStr"/>
      <c r="K2822" t="inlineStr"/>
      <c r="L2822" t="inlineStr"/>
      <c r="M2822" t="inlineStr"/>
      <c r="N2822" t="inlineStr"/>
      <c r="O2822">
        <f>(1-Summary!$B$11)*T2822+Summary!$B$11*V2822</f>
        <v/>
      </c>
      <c r="P2822">
        <f>IF(B2842=0,0,O2822/B2842)</f>
        <v/>
      </c>
      <c r="Q2822">
        <f>IFERROR(1/(IF(Inputs!$B$38="pvp",15,MAX(0.1,Skills!D17-IF(Skills!E17=TRUE,3.5,0)))*(1-IF(AND(ArtifactsInput!$M$27,Inputs!$B$4="Chapter Hunt"),CHOOSE(ArtifactsInput!$N$27+1,20,24,28,32,36,40),0)/100)),0)</f>
        <v/>
      </c>
      <c r="R2822">
        <f>IF(AND(Inputs!$B$38&lt;&gt;"pvp",Inputs!$B$43&gt;0),IF(Inputs!$B$43&lt;=0,0,(INT(Inputs!$B$43/(IF(Inputs!$B$38="pvp",15,MAX(0.1,Skills!D17-IF(Skills!E17=TRUE,3.5,0)))*(1-IF(AND(ArtifactsInput!$M$27,Inputs!$B$4="Chapter Hunt"),CHOOSE(ArtifactsInput!$N$27+1,20,24,28,32,36,40),0)/100)))+1)),0)</f>
        <v/>
      </c>
      <c r="S2822">
        <f>IFERROR(O2822/N2822,0)</f>
        <v/>
      </c>
      <c r="T2822" t="n">
        <v>0</v>
      </c>
      <c r="V2822" t="n">
        <v>0</v>
      </c>
    </row>
    <row r="2823">
      <c r="A2823">
        <f>Skills!A18</f>
        <v/>
      </c>
      <c r="B2823">
        <f>Skills!B18</f>
        <v/>
      </c>
      <c r="C2823">
        <f>Inputs!$B$3&gt;=74</f>
        <v/>
      </c>
      <c r="D2823">
        <f>IF(Skills!C18=1,60+Inputs!$B$25+Inputs!$B$29,IF(Skills!C18=2,90+Inputs!$B$26+Inputs!$B$29,IF(Skills!C18=3,120+Inputs!$B$27+Inputs!$B$29,MAX(0,(Inputs!$B$3-100)*3)+Inputs!$B$28+Inputs!$B$29)))</f>
        <v/>
      </c>
      <c r="E2823">
        <f>INDEX(FactorTable!$B$2:$Y$301, MATCH(ROUND(MIN(300,MAX(1,D2823)),0), FactorTable!$A$2:$A$301,0), Skills!M18+1)</f>
        <v/>
      </c>
      <c r="F2823">
        <f>IF(Skills!N18=TRUE,(Skills!L18/10)*(E2823/1000),Skills!L18/10)+Skills!O18</f>
        <v/>
      </c>
      <c r="G2823">
        <f>Skills!G18*IF(Skills!H18&gt;0,Skills!I18/Skills!H18,1)</f>
        <v/>
      </c>
      <c r="H2823">
        <f>1-(1-Skills!J18/100)^Skills!K18</f>
        <v/>
      </c>
      <c r="I2823" t="inlineStr">
        <is>
          <t>1</t>
        </is>
      </c>
      <c r="J2823" t="inlineStr"/>
      <c r="K2823" t="inlineStr"/>
      <c r="L2823" t="inlineStr"/>
      <c r="M2823" t="inlineStr"/>
      <c r="N2823" t="inlineStr"/>
      <c r="O2823">
        <f>(1-Summary!$B$11)*T2823+Summary!$B$11*V2823</f>
        <v/>
      </c>
      <c r="P2823">
        <f>IF(B2842=0,0,O2823/B2842)</f>
        <v/>
      </c>
      <c r="Q2823">
        <f>IFERROR(1/(IF(Inputs!$B$38="pvp",15,MAX(0.1,Skills!D18-IF(Skills!E18=TRUE,3.5,0)))*(1-IF(AND(ArtifactsInput!$M$27,Inputs!$B$4="Chapter Hunt"),CHOOSE(ArtifactsInput!$N$27+1,20,24,28,32,36,40),0)/100)),0)</f>
        <v/>
      </c>
      <c r="R2823">
        <f>IF(AND(Inputs!$B$38&lt;&gt;"pvp",Inputs!$B$43&gt;0),IF(Inputs!$B$43&lt;=0,0,(INT(Inputs!$B$43/(IF(Inputs!$B$38="pvp",15,MAX(0.1,Skills!D18-IF(Skills!E18=TRUE,3.5,0)))*(1-IF(AND(ArtifactsInput!$M$27,Inputs!$B$4="Chapter Hunt"),CHOOSE(ArtifactsInput!$N$27+1,20,24,28,32,36,40),0)/100)))+1)),0)</f>
        <v/>
      </c>
      <c r="S2823">
        <f>IFERROR(O2823/N2823,0)</f>
        <v/>
      </c>
      <c r="T2823" t="n">
        <v>0</v>
      </c>
      <c r="V2823" t="n">
        <v>0</v>
      </c>
    </row>
    <row r="2824">
      <c r="A2824">
        <f>Skills!A19</f>
        <v/>
      </c>
      <c r="B2824">
        <f>Skills!B19</f>
        <v/>
      </c>
      <c r="C2824">
        <f>TRUE</f>
        <v/>
      </c>
      <c r="D2824">
        <f>IF(Skills!C19=1,60+Inputs!$B$25+Inputs!$B$29,IF(Skills!C19=2,90+Inputs!$B$26+Inputs!$B$29,IF(Skills!C19=3,120+Inputs!$B$27+Inputs!$B$29,MAX(0,(Inputs!$B$3-100)*3)+Inputs!$B$28+Inputs!$B$29)))</f>
        <v/>
      </c>
      <c r="E2824">
        <f>INDEX(FactorTable!$B$2:$Y$301, MATCH(ROUND(MIN(300,MAX(1,D2824)),0), FactorTable!$A$2:$A$301,0), Skills!M19+1)</f>
        <v/>
      </c>
      <c r="F2824">
        <f>IF(Skills!N19=TRUE,(Skills!L19/10)*(E2824/1000),Skills!L19/10)+Skills!O19</f>
        <v/>
      </c>
      <c r="G2824">
        <f>Skills!G19*IF(Skills!H19&gt;0,Skills!I19/Skills!H19,1)</f>
        <v/>
      </c>
      <c r="H2824">
        <f>1-(1-Skills!J19/100)^Skills!K19</f>
        <v/>
      </c>
      <c r="I2824" t="inlineStr">
        <is>
          <t>1</t>
        </is>
      </c>
      <c r="J2824" t="inlineStr"/>
      <c r="K2824" t="inlineStr"/>
      <c r="L2824" t="inlineStr"/>
      <c r="M2824" t="inlineStr"/>
      <c r="N2824" t="inlineStr"/>
      <c r="O2824">
        <f>(1-Summary!$B$11)*T2824+Summary!$B$11*V2824</f>
        <v/>
      </c>
      <c r="P2824">
        <f>IF(B2842=0,0,O2824/B2842)</f>
        <v/>
      </c>
      <c r="Q2824">
        <f>IFERROR(1/(IF(Inputs!$B$38="pvp",15,MAX(0.1,Skills!D19-IF(Skills!E19=TRUE,3.5,0)))*(1-IF(AND(ArtifactsInput!$M$27,Inputs!$B$4="Chapter Hunt"),CHOOSE(ArtifactsInput!$N$27+1,20,24,28,32,36,40),0)/100)),0)</f>
        <v/>
      </c>
      <c r="R2824">
        <f>IF(AND(Inputs!$B$38&lt;&gt;"pvp",Inputs!$B$43&gt;0),IF(Inputs!$B$43&lt;=0,0,(INT(Inputs!$B$43/(IF(Inputs!$B$38="pvp",15,MAX(0.1,Skills!D19-IF(Skills!E19=TRUE,3.5,0)))*(1-IF(AND(ArtifactsInput!$M$27,Inputs!$B$4="Chapter Hunt"),CHOOSE(ArtifactsInput!$N$27+1,20,24,28,32,36,40),0)/100)))+1)),0)</f>
        <v/>
      </c>
      <c r="S2824">
        <f>IFERROR(O2824/N2824,0)</f>
        <v/>
      </c>
      <c r="T2824" t="n">
        <v>0</v>
      </c>
      <c r="V2824" t="n">
        <v>0</v>
      </c>
    </row>
    <row r="2825">
      <c r="A2825">
        <f>Skills!A20</f>
        <v/>
      </c>
      <c r="B2825">
        <f>Skills!B20</f>
        <v/>
      </c>
      <c r="C2825">
        <f>Inputs!$B$3&gt;=33</f>
        <v/>
      </c>
      <c r="D2825">
        <f>IF(Skills!C20=1,60+Inputs!$B$25+Inputs!$B$29,IF(Skills!C20=2,90+Inputs!$B$26+Inputs!$B$29,IF(Skills!C20=3,120+Inputs!$B$27+Inputs!$B$29,MAX(0,(Inputs!$B$3-100)*3)+Inputs!$B$28+Inputs!$B$29)))</f>
        <v/>
      </c>
      <c r="E2825">
        <f>INDEX(FactorTable!$B$2:$Y$301, MATCH(ROUND(MIN(300,MAX(1,D2825)),0), FactorTable!$A$2:$A$301,0), Skills!M20+1)</f>
        <v/>
      </c>
      <c r="F2825">
        <f>IF(Skills!N20=TRUE,(Skills!L20/10)*(E2825/1000),Skills!L20/10)+Skills!O20</f>
        <v/>
      </c>
      <c r="G2825">
        <f>Skills!G20*IF(Skills!H20&gt;0,Skills!I20/Skills!H20,1)</f>
        <v/>
      </c>
      <c r="H2825">
        <f>1-(1-Skills!J20/100)^Skills!K20</f>
        <v/>
      </c>
      <c r="I2825" t="inlineStr">
        <is>
          <t>1</t>
        </is>
      </c>
      <c r="J2825" t="inlineStr"/>
      <c r="K2825" t="inlineStr"/>
      <c r="L2825" t="inlineStr"/>
      <c r="M2825" t="inlineStr"/>
      <c r="N2825" t="inlineStr"/>
      <c r="O2825">
        <f>(1-Summary!$B$11)*T2825+Summary!$B$11*V2825</f>
        <v/>
      </c>
      <c r="P2825">
        <f>IF(B2842=0,0,O2825/B2842)</f>
        <v/>
      </c>
      <c r="Q2825" t="n">
        <v>0</v>
      </c>
      <c r="R2825" t="n">
        <v>0</v>
      </c>
      <c r="S2825">
        <f>IFERROR(O2825/N2825,0)</f>
        <v/>
      </c>
      <c r="T2825" t="n">
        <v>0</v>
      </c>
      <c r="V2825" t="n">
        <v>0</v>
      </c>
    </row>
    <row r="2826">
      <c r="A2826">
        <f>Skills!A21</f>
        <v/>
      </c>
      <c r="B2826">
        <f>Skills!B21</f>
        <v/>
      </c>
      <c r="C2826">
        <f>Inputs!$B$3&gt;=38</f>
        <v/>
      </c>
      <c r="D2826">
        <f>IF(Skills!C21=1,60+Inputs!$B$25+Inputs!$B$29,IF(Skills!C21=2,90+Inputs!$B$26+Inputs!$B$29,IF(Skills!C21=3,120+Inputs!$B$27+Inputs!$B$29,MAX(0,(Inputs!$B$3-100)*3)+Inputs!$B$28+Inputs!$B$29)))</f>
        <v/>
      </c>
      <c r="E2826">
        <f>INDEX(FactorTable!$B$2:$Y$301, MATCH(ROUND(MIN(300,MAX(1,D2826)),0), FactorTable!$A$2:$A$301,0), Skills!M21+1)</f>
        <v/>
      </c>
      <c r="F2826">
        <f>IF(Skills!N21=TRUE,(Skills!L21/10)*(E2826/1000),Skills!L21/10)+Skills!O21</f>
        <v/>
      </c>
      <c r="G2826">
        <f>Skills!G21*IF(Skills!H21&gt;0,Skills!I21/Skills!H21,1)</f>
        <v/>
      </c>
      <c r="H2826">
        <f>1-(1-Skills!J21/100)^Skills!K21</f>
        <v/>
      </c>
      <c r="I2826" t="inlineStr">
        <is>
          <t>1</t>
        </is>
      </c>
      <c r="J2826" t="inlineStr"/>
      <c r="K2826" t="inlineStr"/>
      <c r="L2826" t="inlineStr"/>
      <c r="M2826" t="inlineStr"/>
      <c r="N2826" t="inlineStr"/>
      <c r="O2826">
        <f>(1-Summary!$B$11)*T2826+Summary!$B$11*V2826</f>
        <v/>
      </c>
      <c r="P2826">
        <f>IF(B2842=0,0,O2826/B2842)</f>
        <v/>
      </c>
      <c r="Q2826" t="n">
        <v>0</v>
      </c>
      <c r="R2826" t="n">
        <v>0</v>
      </c>
      <c r="S2826">
        <f>IFERROR(O2826/N2826,0)</f>
        <v/>
      </c>
      <c r="T2826" t="n">
        <v>0</v>
      </c>
      <c r="V2826" t="n">
        <v>0</v>
      </c>
    </row>
    <row r="2827">
      <c r="A2827">
        <f>Skills!A22</f>
        <v/>
      </c>
      <c r="B2827">
        <f>Skills!B22</f>
        <v/>
      </c>
      <c r="C2827">
        <f>Inputs!$B$3&gt;=43</f>
        <v/>
      </c>
      <c r="D2827">
        <f>IF(Skills!C22=1,60+Inputs!$B$25+Inputs!$B$29,IF(Skills!C22=2,90+Inputs!$B$26+Inputs!$B$29,IF(Skills!C22=3,120+Inputs!$B$27+Inputs!$B$29,MAX(0,(Inputs!$B$3-100)*3)+Inputs!$B$28+Inputs!$B$29)))</f>
        <v/>
      </c>
      <c r="E2827">
        <f>INDEX(FactorTable!$B$2:$Y$301, MATCH(ROUND(MIN(300,MAX(1,D2827)),0), FactorTable!$A$2:$A$301,0), Skills!M22+1)</f>
        <v/>
      </c>
      <c r="F2827">
        <f>IF(Skills!N22=TRUE,(Skills!L22/10)*(E2827/1000),Skills!L22/10)+Skills!O22</f>
        <v/>
      </c>
      <c r="G2827">
        <f>Skills!G22*IF(Skills!H22&gt;0,Skills!I22/Skills!H22,1)</f>
        <v/>
      </c>
      <c r="H2827">
        <f>1-(1-Skills!J22/100)^Skills!K22</f>
        <v/>
      </c>
      <c r="I2827" t="inlineStr">
        <is>
          <t>1</t>
        </is>
      </c>
      <c r="J2827" t="inlineStr"/>
      <c r="K2827" t="inlineStr"/>
      <c r="L2827" t="inlineStr"/>
      <c r="M2827" t="inlineStr"/>
      <c r="N2827" t="inlineStr"/>
      <c r="O2827">
        <f>(1-Summary!$B$11)*T2827+Summary!$B$11*V2827</f>
        <v/>
      </c>
      <c r="P2827">
        <f>IF(B2842=0,0,O2827/B2842)</f>
        <v/>
      </c>
      <c r="Q2827" t="n">
        <v>0</v>
      </c>
      <c r="R2827" t="n">
        <v>0</v>
      </c>
      <c r="S2827">
        <f>IFERROR(O2827/N2827,0)</f>
        <v/>
      </c>
      <c r="T2827" t="n">
        <v>0</v>
      </c>
      <c r="V2827" t="n">
        <v>0</v>
      </c>
    </row>
    <row r="2828">
      <c r="A2828">
        <f>Skills!A23</f>
        <v/>
      </c>
      <c r="B2828">
        <f>Skills!B23</f>
        <v/>
      </c>
      <c r="C2828">
        <f>Inputs!$B$3&gt;=120</f>
        <v/>
      </c>
      <c r="D2828">
        <f>IF(Skills!C23=1,60+Inputs!$B$25+Inputs!$B$29,IF(Skills!C23=2,90+Inputs!$B$26+Inputs!$B$29,IF(Skills!C23=3,120+Inputs!$B$27+Inputs!$B$29,MAX(0,(Inputs!$B$3-100)*3)+Inputs!$B$28+Inputs!$B$29)))</f>
        <v/>
      </c>
      <c r="E2828">
        <f>INDEX(FactorTable!$B$2:$Y$301, MATCH(ROUND(MIN(300,MAX(1,D2828)),0), FactorTable!$A$2:$A$301,0), Skills!M23+1)</f>
        <v/>
      </c>
      <c r="F2828">
        <f>IF(Skills!N23=TRUE,(Skills!L23/10)*(E2828/1000),Skills!L23/10)+Skills!O23</f>
        <v/>
      </c>
      <c r="G2828">
        <f>Skills!G23*IF(Skills!H23&gt;0,Skills!I23/Skills!H23,1)</f>
        <v/>
      </c>
      <c r="H2828">
        <f>1-(1-Skills!J23/100)^Skills!K23</f>
        <v/>
      </c>
      <c r="I2828" t="inlineStr">
        <is>
          <t>1</t>
        </is>
      </c>
      <c r="J2828" t="inlineStr"/>
      <c r="K2828" t="inlineStr"/>
      <c r="L2828" t="inlineStr"/>
      <c r="M2828" t="inlineStr"/>
      <c r="N2828" t="inlineStr"/>
      <c r="O2828">
        <f>(1-Summary!$B$11)*T2828+Summary!$B$11*V2828</f>
        <v/>
      </c>
      <c r="P2828">
        <f>IF(B2842=0,0,O2828/B2842)</f>
        <v/>
      </c>
      <c r="Q2828" t="n">
        <v>0</v>
      </c>
      <c r="R2828" t="n">
        <v>0</v>
      </c>
      <c r="S2828">
        <f>IFERROR(O2828/N2828,0)</f>
        <v/>
      </c>
      <c r="T2828" t="n">
        <v>0</v>
      </c>
      <c r="V2828" t="n">
        <v>0</v>
      </c>
    </row>
    <row r="2829">
      <c r="A2829">
        <f>Skills!A24</f>
        <v/>
      </c>
      <c r="B2829">
        <f>Skills!B24</f>
        <v/>
      </c>
      <c r="C2829">
        <f>Inputs!$B$3&gt;=120</f>
        <v/>
      </c>
      <c r="D2829">
        <f>IF(Skills!C24=1,60+Inputs!$B$25+Inputs!$B$29,IF(Skills!C24=2,90+Inputs!$B$26+Inputs!$B$29,IF(Skills!C24=3,120+Inputs!$B$27+Inputs!$B$29,MAX(0,(Inputs!$B$3-100)*3)+Inputs!$B$28+Inputs!$B$29)))</f>
        <v/>
      </c>
      <c r="E2829">
        <f>INDEX(FactorTable!$B$2:$Y$301, MATCH(ROUND(MIN(300,MAX(1,D2829)),0), FactorTable!$A$2:$A$301,0), Skills!M24+1)</f>
        <v/>
      </c>
      <c r="F2829">
        <f>IF(Skills!N24=TRUE,(Skills!L24/10)*(E2829/1000),Skills!L24/10)+Skills!O24</f>
        <v/>
      </c>
      <c r="G2829">
        <f>Skills!G24*IF(Skills!H24&gt;0,Skills!I24/Skills!H24,1)</f>
        <v/>
      </c>
      <c r="H2829">
        <f>1-(1-Skills!J24/100)^Skills!K24</f>
        <v/>
      </c>
      <c r="I2829" t="inlineStr">
        <is>
          <t>1</t>
        </is>
      </c>
      <c r="J2829" t="inlineStr"/>
      <c r="K2829" t="inlineStr"/>
      <c r="L2829" t="inlineStr"/>
      <c r="M2829" t="inlineStr"/>
      <c r="N2829" t="inlineStr"/>
      <c r="O2829">
        <f>(1-Summary!$B$11)*T2829+Summary!$B$11*V2829</f>
        <v/>
      </c>
      <c r="P2829">
        <f>IF(B2842=0,0,O2829/B2842)</f>
        <v/>
      </c>
      <c r="Q2829" t="n">
        <v>0</v>
      </c>
      <c r="R2829" t="n">
        <v>0</v>
      </c>
      <c r="S2829">
        <f>IFERROR(O2829/N2829,0)</f>
        <v/>
      </c>
      <c r="T2829" t="n">
        <v>0</v>
      </c>
      <c r="V2829" t="n">
        <v>0</v>
      </c>
    </row>
    <row r="2831">
      <c r="A2831" t="inlineStr">
        <is>
          <t>Attack% Bucket Multiplier</t>
        </is>
      </c>
      <c r="B2831">
        <f>(1+(((C2818=TRUE)*F2818*MIN(1,Skills!T13*(Skills!J13/100)*B2836))+((C2823=TRUE)*F2823*IF(AND(Inputs!$B$38&lt;&gt;"pvp",Inputs!$B$43&gt;0),(((R2823-1)*(Skills!T18*(1+Inputs!$B$34/100))+MIN((Skills!T18*(1+Inputs!$B$34/100)),MAX(0,Inputs!$B$43-((R2823-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32">
      <c r="A2832" t="inlineStr">
        <is>
          <t>Global Crit Rate Bonus %</t>
        </is>
      </c>
      <c r="B2832" t="n">
        <v>0</v>
      </c>
    </row>
    <row r="2833">
      <c r="A2833" t="inlineStr">
        <is>
          <t>Attack Speed Buff Bonus %</t>
        </is>
      </c>
      <c r="B2833">
        <f>((C2824=TRUE)*F2824*IF(AND(Inputs!$B$38&lt;&gt;"pvp",Inputs!$B$43&gt;0),(((R2824-1)*(Skills!T19*(1+Inputs!$B$34/100))+MIN((Skills!T19*(1+Inputs!$B$34/100)),MAX(0,Inputs!$B$43-((R2824-1)*Skills!D19))))/Inputs!$B$43),IF(Inputs!$B$38="pvp",MIN((Skills!T19*(1+Inputs!$B$34/100)),15)/15,(Skills!T19*(1+Inputs!$B$34/100))/Skills!D19)))</f>
        <v/>
      </c>
    </row>
    <row r="2834">
      <c r="A2834" t="inlineStr">
        <is>
          <t>Actions Per Second</t>
        </is>
      </c>
      <c r="B2834">
        <f>1+MIN(150,150*(1-(1-(Inputs!$B$11+((C2825=TRUE)*(F2825-Calc!F20)))/150)*(1-B2833/150)))/100</f>
        <v/>
      </c>
    </row>
    <row r="2835">
      <c r="A2835" t="inlineStr">
        <is>
          <t>Skill + Buff Cast Rate</t>
        </is>
      </c>
      <c r="B2835">
        <f>IF(AND(Inputs!$B$38&lt;&gt;"pvp",Inputs!$B$43&gt;0),SUMPRODUCT((Skills!E2:E24=TRUE)*(C2807:C2829=TRUE)*R2807:R2829*Skills!F2:F24)/Inputs!$B$43,SUMPRODUCT((Skills!E2:E24=TRUE)*(C2807:C2829=TRUE)*Q2807:Q2829*Skills!F2:F24))</f>
        <v/>
      </c>
    </row>
    <row r="2836">
      <c r="A2836" t="inlineStr">
        <is>
          <t>Blast Casts Per Second</t>
        </is>
      </c>
      <c r="B2836">
        <f>MAX(0,B2834-B2835)</f>
        <v/>
      </c>
    </row>
    <row r="2837">
      <c r="A2837" t="inlineStr">
        <is>
          <t>Global Critical Damage Bonus % (unused)</t>
        </is>
      </c>
      <c r="B2837" t="n">
        <v>0</v>
      </c>
    </row>
    <row r="2838">
      <c r="A2838" t="inlineStr">
        <is>
          <t>Global Final Damage Bonus % (Divine Shield + Guardian + Divine Blessing + Greater Vessel of Light)</t>
        </is>
      </c>
      <c r="B2838">
        <f>((C2820=TRUE)*F2820*IF(AND(Inputs!$B$38&lt;&gt;"pvp",Inputs!$B$43&gt;0),(((R2820-1)*(Skills!T15*(1+Inputs!$B$34/100))+MIN((Skills!T15*(1+Inputs!$B$34/100)),MAX(0,Inputs!$B$43-((R2820-1)*Skills!D15))))/Inputs!$B$43),IF(Inputs!$B$38="pvp",MIN((Skills!T15*(1+Inputs!$B$34/100)),15)/15,(Skills!T15*(1+Inputs!$B$34/100))/Skills!D15)))+((C2821=TRUE)*F2821*IF(AND(Inputs!$B$38&lt;&gt;"pvp",Inputs!$B$43&gt;0),(((R2821-1)*(Skills!T16*(1+Inputs!$B$34/100))+MIN((Skills!T16*(1+Inputs!$B$34/100)),MAX(0,Inputs!$B$43-((R2821-1)*Skills!D16))))/Inputs!$B$43),IF(Inputs!$B$38="pvp",MIN((Skills!T16*(1+Inputs!$B$34/100)),15)/15,(Skills!T16*(1+Inputs!$B$34/100))/Skills!D16)))+((C2822=TRUE)*F2822*IF(AND(Inputs!$B$38&lt;&gt;"pvp",Inputs!$B$43&gt;0),(((R2822-1)*(Skills!T17*(1+Inputs!$B$34/100))+MIN((Skills!T17*(1+Inputs!$B$34/100)),MAX(0,Inputs!$B$43-((R2822-1)*Skills!D17))))/Inputs!$B$43),IF(Inputs!$B$38="pvp",MIN((Skills!T17*(1+Inputs!$B$34/100)),15)/15,(Skills!T17*(1+Inputs!$B$34/100))/Skills!D17)))+((C2819=TRUE)*F2819*MIN(1,Skills!T13*(Skills!J13/100)*B2836))</f>
        <v/>
      </c>
    </row>
    <row r="2839">
      <c r="A2839" t="inlineStr">
        <is>
          <t>Buff-Casting Startup Delay (s, fixed-duration only)</t>
        </is>
      </c>
      <c r="B2839">
        <f>IF(AND(Inputs!$B$38&lt;&gt;"pvp",Inputs!$B$43&gt;0),SUMPRODUCT((Skills!T2:T24&gt;0)*(Skills!E2:E24=TRUE)*(C2807:C2829=TRUE))/B2834,0)</f>
        <v/>
      </c>
    </row>
    <row r="2840">
      <c r="A2840" t="inlineStr">
        <is>
          <t>Boss-Only Total DPS (this block's swept value)</t>
        </is>
      </c>
      <c r="B2840">
        <f>SUM(T2807:T2829)</f>
        <v/>
      </c>
    </row>
    <row r="2841">
      <c r="A2841" t="inlineStr">
        <is>
          <t>Normal-Only Total DPS (this block's swept value)</t>
        </is>
      </c>
      <c r="B2841">
        <f>SUM(V2807:V2829)</f>
        <v/>
      </c>
    </row>
    <row r="2842">
      <c r="A2842" s="6" t="inlineStr">
        <is>
          <t>TOTAL DPS</t>
        </is>
      </c>
      <c r="B2842" s="6">
        <f>SUM(O2807:O2829)</f>
        <v/>
      </c>
    </row>
    <row r="2845">
      <c r="A2845" s="6" t="inlineStr">
        <is>
          <t>Stat: CDR = 4.0s</t>
        </is>
      </c>
    </row>
    <row r="2846">
      <c r="A2846" s="5" t="inlineStr">
        <is>
          <t>Key</t>
        </is>
      </c>
      <c r="B2846" s="5" t="inlineStr">
        <is>
          <t>Name</t>
        </is>
      </c>
      <c r="C2846" s="5" t="inlineStr">
        <is>
          <t>Unlocked</t>
        </is>
      </c>
      <c r="D2846" s="5" t="inlineStr">
        <is>
          <t>InputLevel</t>
        </is>
      </c>
      <c r="E2846" s="5" t="inlineStr">
        <is>
          <t>Factor</t>
        </is>
      </c>
      <c r="F2846" s="5" t="inlineStr">
        <is>
          <t>CoefficientPercent</t>
        </is>
      </c>
      <c r="G2846" s="5" t="inlineStr">
        <is>
          <t>EffectiveHits</t>
        </is>
      </c>
      <c r="H2846" s="5" t="inlineStr">
        <is>
          <t>ProcProbability</t>
        </is>
      </c>
      <c r="I2846" s="5" t="inlineStr">
        <is>
          <t>MapleHeroMultiplier</t>
        </is>
      </c>
      <c r="J2846" s="5" t="inlineStr">
        <is>
          <t>BaseDamage</t>
        </is>
      </c>
      <c r="K2846" s="5" t="inlineStr">
        <is>
          <t>BaseHitDamage</t>
        </is>
      </c>
      <c r="L2846" s="5" t="inlineStr">
        <is>
          <t>NonCritAvg</t>
        </is>
      </c>
      <c r="M2846" s="5" t="inlineStr">
        <is>
          <t>CritAvg</t>
        </is>
      </c>
      <c r="N2846" s="5" t="inlineStr">
        <is>
          <t>ExpectedDamage(perHit)</t>
        </is>
      </c>
      <c r="O2846" s="5" t="inlineStr">
        <is>
          <t>DPS</t>
        </is>
      </c>
      <c r="P2846" s="5" t="inlineStr">
        <is>
          <t>% of Total</t>
        </is>
      </c>
      <c r="Q2846" s="5" t="inlineStr">
        <is>
          <t>InvCooldown</t>
        </is>
      </c>
      <c r="R2846" s="5" t="inlineStr">
        <is>
          <t>CastsInFight</t>
        </is>
      </c>
      <c r="S2846" s="5" t="inlineStr">
        <is>
          <t>HitRate(perSec)</t>
        </is>
      </c>
      <c r="U2846" t="inlineStr">
        <is>
          <t>helpers</t>
        </is>
      </c>
    </row>
    <row r="2847">
      <c r="A2847">
        <f>Skills!A2</f>
        <v/>
      </c>
      <c r="B2847">
        <f>Skills!B2</f>
        <v/>
      </c>
      <c r="C2847">
        <f>Inputs!$B$3&gt;=100</f>
        <v/>
      </c>
      <c r="D2847" t="inlineStr"/>
      <c r="E2847" t="inlineStr"/>
      <c r="F2847">
        <f>U2849+Skills!O2</f>
        <v/>
      </c>
      <c r="G2847">
        <f>Skills!G2*IF(Skills!H2&gt;0,Skills!I2/Skills!H2,1)</f>
        <v/>
      </c>
      <c r="H2847">
        <f>1-(1-Skills!J2/100)^Skills!K2</f>
        <v/>
      </c>
      <c r="I2847" t="inlineStr">
        <is>
          <t>1</t>
        </is>
      </c>
      <c r="J2847">
        <f>((Inputs!$B$6*(1+Inputs!$B$7/100))+(((Inputs!$B$12*(1+Inputs!$B$13/100))-(Inputs!$B$12*(1+Inputs!$B$13/100)))+0.25*(Inputs!$B$14-Inputs!$B$14))*(1+Inputs!$B$7/100))*(F2847/100)</f>
        <v/>
      </c>
      <c r="K2847">
        <f>J2847*(1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2847)</f>
        <v/>
      </c>
      <c r="L2847">
        <f>K2847*(MIN(Inputs!$B$22+((C2867=TRUE)*(F2867-Calc!F22)),(Inputs!$B$23+((C2869=TRUE)*(F2869-Calc!F24))+(IF(ArtifactsInput!$M$15,CHOOSE(ArtifactsInput!$N$15+1,25,30,35,40,45,50)/100*(Inputs!$B$11-Inputs!$B$11),0))))/100+(Inputs!$B$23+((C2869=TRUE)*(F2869-Calc!F24))+(IF(ArtifactsInput!$M$15,CHOOSE(ArtifactsInput!$N$15+1,25,30,35,40,45,50)/100*(Inputs!$B$11-Inputs!$B$11),0)))/100)/2</f>
        <v/>
      </c>
      <c r="M2847">
        <f>L2847*(1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7">
        <f>L2847*(1-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2847*(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7">
        <f>(1-Summary!$B$11)*T2847+Summary!$B$11*V2847</f>
        <v/>
      </c>
      <c r="P2847">
        <f>IF(B2882=0,0,O2847/B2882)</f>
        <v/>
      </c>
      <c r="Q2847" t="n">
        <v>0</v>
      </c>
      <c r="R2847" t="n">
        <v>0</v>
      </c>
      <c r="S2847">
        <f>IFERROR(O2847/N2847,0)</f>
        <v/>
      </c>
      <c r="T2847">
        <f>IF(C2847,(Skills!G2*N2847*B2876)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2847*(1-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2847*(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2847*(1-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2847*(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7">
        <f>MAX(0,(Inputs!$B$3-100)*3)+Inputs!$B$28+Inputs!$B$29</f>
        <v/>
      </c>
      <c r="V2847">
        <f>IF(C2847,(Skills!G2*N2847*B2876)*IF(Inputs!$B$38="pvp",1,(1+(Inputs!$B$21+Skills!Q2+(IF(ArtifactsInput!$M$33,CHOOSE(ArtifactsInput!$N$33+1,30,36,42,48,54,60),0))+(IF(AND(ArtifactsInput!$M$35,Inputs!$B$4&lt;&gt;"Chapter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8">
      <c r="A2848">
        <f>Skills!A3</f>
        <v/>
      </c>
      <c r="B2848">
        <f>Skills!B3</f>
        <v/>
      </c>
      <c r="C2848">
        <f>Inputs!$B$3&gt;=50</f>
        <v/>
      </c>
      <c r="D2848">
        <f>IF(Skills!C3=1,60+Inputs!$B$25+Inputs!$B$29,IF(Skills!C3=2,90+Inputs!$B$26+Inputs!$B$29,IF(Skills!C3=3,120+Inputs!$B$27+Inputs!$B$29,MAX(0,(Inputs!$B$3-100)*3)+Inputs!$B$28+Inputs!$B$29)))</f>
        <v/>
      </c>
      <c r="E2848">
        <f>INDEX(FactorTable!$B$2:$Y$301, MATCH(ROUND(MIN(300,MAX(1,D2848)),0), FactorTable!$A$2:$A$301,0), Skills!M3+1)</f>
        <v/>
      </c>
      <c r="F2848">
        <f>IF(Skills!N3=TRUE,(Skills!L3/10)*(E2848/1000),Skills!L3/10)+Skills!O3</f>
        <v/>
      </c>
      <c r="G2848" t="inlineStr"/>
      <c r="H2848" t="inlineStr"/>
      <c r="I2848" t="inlineStr">
        <is>
          <t>1</t>
        </is>
      </c>
      <c r="J2848" t="inlineStr"/>
      <c r="K2848" t="inlineStr"/>
      <c r="L2848" t="inlineStr"/>
      <c r="M2848" t="inlineStr"/>
      <c r="N2848" t="inlineStr"/>
      <c r="O2848" t="inlineStr"/>
      <c r="P2848" t="inlineStr"/>
      <c r="Q2848" t="inlineStr"/>
      <c r="R2848" t="inlineStr"/>
      <c r="S2848" t="inlineStr"/>
      <c r="U2848">
        <f>INDEX(FactorTable!$B$2:$Y$301, MATCH(ROUND(MIN(300,MAX(1,U2847)),0), FactorTable!$A$2:$A$301,0), 22)</f>
        <v/>
      </c>
    </row>
    <row r="2849">
      <c r="A2849">
        <f>Skills!A4</f>
        <v/>
      </c>
      <c r="B2849">
        <f>Skills!B4</f>
        <v/>
      </c>
      <c r="C2849">
        <f>Inputs!$B$3&gt;=35</f>
        <v/>
      </c>
      <c r="D2849">
        <f>IF(Skills!C4=1,60+Inputs!$B$25+Inputs!$B$29,IF(Skills!C4=2,90+Inputs!$B$26+Inputs!$B$29,IF(Skills!C4=3,120+Inputs!$B$27+Inputs!$B$29,MAX(0,(Inputs!$B$3-100)*3)+Inputs!$B$28+Inputs!$B$29)))</f>
        <v/>
      </c>
      <c r="E2849">
        <f>INDEX(FactorTable!$B$2:$Y$301, MATCH(ROUND(MIN(300,MAX(1,D2849)),0), FactorTable!$A$2:$A$301,0), Skills!M4+1)</f>
        <v/>
      </c>
      <c r="F2849">
        <f>IF(Skills!N4=TRUE,(Skills!L4/10)*(E2849/1000),Skills!L4/10)+Skills!O4</f>
        <v/>
      </c>
      <c r="G2849">
        <f>Skills!G4*IF(Skills!H4&gt;0,Skills!I4/Skills!H4,1)</f>
        <v/>
      </c>
      <c r="H2849">
        <f>1-(1-Skills!J4/100)^Skills!K4</f>
        <v/>
      </c>
      <c r="I2849" t="inlineStr">
        <is>
          <t>1</t>
        </is>
      </c>
      <c r="J2849">
        <f>((Inputs!$B$6*(1+Inputs!$B$7/100))+(((Inputs!$B$12*(1+Inputs!$B$13/100))-(Inputs!$B$12*(1+Inputs!$B$13/100)))+0.25*(Inputs!$B$14-Inputs!$B$14))*(1+Inputs!$B$7/100))*(F2849/100)</f>
        <v/>
      </c>
      <c r="K2849">
        <f>J2849*(1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2857=TRUE,F2857,0)/100)*(1+(IF(Skills!A4="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2849)</f>
        <v/>
      </c>
      <c r="L2849">
        <f>K2849*(MIN(Inputs!$B$22+((C2867=TRUE)*(F2867-Calc!F22)),(Inputs!$B$23+((C2869=TRUE)*(F2869-Calc!F24))+(IF(ArtifactsInput!$M$15,CHOOSE(ArtifactsInput!$N$15+1,25,30,35,40,45,50)/100*(Inputs!$B$11-Inputs!$B$11),0))))/100+(Inputs!$B$23+((C2869=TRUE)*(F2869-Calc!F24))+(IF(ArtifactsInput!$M$15,CHOOSE(ArtifactsInput!$N$15+1,25,30,35,40,45,50)/100*(Inputs!$B$11-Inputs!$B$11),0)))/100)/2</f>
        <v/>
      </c>
      <c r="M2849">
        <f>L2849*(1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9">
        <f>L2849*(1-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2849*(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9">
        <f>(1-Summary!$B$11)*T2849+Summary!$B$11*V2849</f>
        <v/>
      </c>
      <c r="P2849">
        <f>IF(B2882=0,0,O2849/B2882)</f>
        <v/>
      </c>
      <c r="Q2849">
        <f>IFERROR(1/(IF(Inputs!$B$38="pvp",15,MAX(0.1,Skills!D4-IF(Skills!E4=TRUE,4.0,0)))*(1-IF(AND(ArtifactsInput!$M$27,Inputs!$B$4="Chapter Hunt"),CHOOSE(ArtifactsInput!$N$27+1,20,24,28,32,36,40),0)/100)),0)</f>
        <v/>
      </c>
      <c r="R2849">
        <f>IF(AND(Inputs!$B$38&lt;&gt;"pvp",Inputs!$B$43&gt;0),IF(MAX(0,Inputs!$B$43-B2879)&lt;=0,0,(INT(MAX(0,Inputs!$B$43-B2879)/(IF(Inputs!$B$38="pvp",15,MAX(0.1,Skills!D4-IF(Skills!E4=TRUE,4.0,0)))*(1-IF(AND(ArtifactsInput!$M$27,Inputs!$B$4="Chapter Hunt"),CHOOSE(ArtifactsInput!$N$27+1,20,24,28,32,36,40),0)/100)))+1)),0)</f>
        <v/>
      </c>
      <c r="S2849">
        <f>IFERROR(O2849/N2849,0)</f>
        <v/>
      </c>
      <c r="T2849">
        <f>IF(C2849,(H2849*N2849*IF(AND(Inputs!$B$38&lt;&gt;"pvp",Inputs!$B$43&gt;0),((Skills!G4*((R2849-1)*IF(Skills!H4&gt;0,Skills!I4/Skills!H4,1)+IF(Skills!H4&gt;0,MIN(Skills!I4,MAX(0,MAX(0,Inputs!$B$43-B2879)-((R2849-1)*(IF(Inputs!$B$38="pvp",15,MAX(0.1,Skills!D4-IF(Skills!E4=TRUE,4.0,0)))*(1-IF(AND(ArtifactsInput!$M$27,Inputs!$B$4="Chapter Hunt"),CHOOSE(ArtifactsInput!$N$27+1,20,24,28,32,36,40),0)/100)))))/Skills!H4,1)))/Inputs!$B$43),G2849*Q2849)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2849*(1-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2849*(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2849*(1-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2849*(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9">
        <f>290*U2848/1000</f>
        <v/>
      </c>
      <c r="V2849">
        <f>IF(C2849,(H2849*N2849*IF(AND(Inputs!$B$38&lt;&gt;"pvp",Inputs!$B$43&gt;0),((Skills!G4*((R2849-1)*IF(Skills!H4&gt;0,Skills!I4/Skills!H4,1)+IF(Skills!H4&gt;0,MIN(Skills!I4,MAX(0,MAX(0,Inputs!$B$43-B2879)-((R2849-1)*(IF(Inputs!$B$38="pvp",15,MAX(0.1,Skills!D4-IF(Skills!E4=TRUE,4.0,0)))*(1-IF(AND(ArtifactsInput!$M$27,Inputs!$B$4="Chapter Hunt"),CHOOSE(ArtifactsInput!$N$27+1,20,24,28,32,36,40),0)/100)))))/Skills!H4,1)))/Inputs!$B$43),G2849*Q2849))*IF(Inputs!$B$38="pvp",1,(1+(Inputs!$B$21+Skills!Q4+(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0">
      <c r="A2850">
        <f>Skills!A5</f>
        <v/>
      </c>
      <c r="B2850">
        <f>Skills!B5</f>
        <v/>
      </c>
      <c r="C2850">
        <f>Inputs!$B$3&gt;=66</f>
        <v/>
      </c>
      <c r="D2850">
        <f>IF(Skills!C5=1,60+Inputs!$B$25+Inputs!$B$29,IF(Skills!C5=2,90+Inputs!$B$26+Inputs!$B$29,IF(Skills!C5=3,120+Inputs!$B$27+Inputs!$B$29,MAX(0,(Inputs!$B$3-100)*3)+Inputs!$B$28+Inputs!$B$29)))</f>
        <v/>
      </c>
      <c r="E2850">
        <f>INDEX(FactorTable!$B$2:$Y$301, MATCH(ROUND(MIN(300,MAX(1,D2850)),0), FactorTable!$A$2:$A$301,0), Skills!M5+1)</f>
        <v/>
      </c>
      <c r="F2850">
        <f>IF(Skills!N5=TRUE,(Skills!L5/10)*(E2850/1000),Skills!L5/10)+Skills!O5</f>
        <v/>
      </c>
      <c r="G2850">
        <f>Skills!G5*IF(Skills!H5&gt;0,Skills!I5/Skills!H5,1)</f>
        <v/>
      </c>
      <c r="H2850">
        <f>1-(1-Skills!J5/100)^Skills!K5</f>
        <v/>
      </c>
      <c r="I2850" t="inlineStr">
        <is>
          <t>1</t>
        </is>
      </c>
      <c r="J2850">
        <f>((Inputs!$B$6*(1+Inputs!$B$7/100))+(((Inputs!$B$12*(1+Inputs!$B$13/100))-(Inputs!$B$12*(1+Inputs!$B$13/100)))+0.25*(Inputs!$B$14-Inputs!$B$14))*(1+Inputs!$B$7/100))*(F2850/100)</f>
        <v/>
      </c>
      <c r="K2850">
        <f>J2850*(1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2857=TRUE,F2857,0)/100)*(1+(IF(Skills!A5="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2850)</f>
        <v/>
      </c>
      <c r="L2850">
        <f>K2850*(MIN(Inputs!$B$22+((C2867=TRUE)*(F2867-Calc!F22)),(Inputs!$B$23+((C2869=TRUE)*(F2869-Calc!F24))+(IF(ArtifactsInput!$M$15,CHOOSE(ArtifactsInput!$N$15+1,25,30,35,40,45,50)/100*(Inputs!$B$11-Inputs!$B$11),0))))/100+(Inputs!$B$23+((C2869=TRUE)*(F2869-Calc!F24))+(IF(ArtifactsInput!$M$15,CHOOSE(ArtifactsInput!$N$15+1,25,30,35,40,45,50)/100*(Inputs!$B$11-Inputs!$B$11),0)))/100)/2</f>
        <v/>
      </c>
      <c r="M2850">
        <f>L2850*(1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0">
        <f>L2850*(1-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2850*(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0">
        <f>(1-Summary!$B$11)*T2850+Summary!$B$11*V2850</f>
        <v/>
      </c>
      <c r="P2850">
        <f>IF(B2882=0,0,O2850/B2882)</f>
        <v/>
      </c>
      <c r="Q2850">
        <f>IFERROR(1/(IF(Inputs!$B$38="pvp",15,MAX(0.1,Skills!D5-IF(Skills!E5=TRUE,4.0,0)))*(1-IF(AND(ArtifactsInput!$M$27,Inputs!$B$4="Chapter Hunt"),CHOOSE(ArtifactsInput!$N$27+1,20,24,28,32,36,40),0)/100)),0)</f>
        <v/>
      </c>
      <c r="R2850">
        <f>IF(AND(Inputs!$B$38&lt;&gt;"pvp",Inputs!$B$43&gt;0),IF(MAX(0,Inputs!$B$43-B2879)&lt;=0,0,(INT(MAX(0,Inputs!$B$43-B2879)/(IF(Inputs!$B$38="pvp",15,MAX(0.1,Skills!D5-IF(Skills!E5=TRUE,4.0,0)))*(1-IF(AND(ArtifactsInput!$M$27,Inputs!$B$4="Chapter Hunt"),CHOOSE(ArtifactsInput!$N$27+1,20,24,28,32,36,40),0)/100)))+1)),0)</f>
        <v/>
      </c>
      <c r="S2850">
        <f>IFERROR(O2850/N2850,0)</f>
        <v/>
      </c>
      <c r="T2850">
        <f>IF(C2850,(H2850*N2850*IF(AND(Inputs!$B$38&lt;&gt;"pvp",Inputs!$B$43&gt;0),((Skills!G5*((R2850-1)*IF(Skills!H5&gt;0,Skills!I5/Skills!H5,1)+IF(Skills!H5&gt;0,MIN(Skills!I5,MAX(0,MAX(0,Inputs!$B$43-B2879)-((R2850-1)*(IF(Inputs!$B$38="pvp",15,MAX(0.1,Skills!D5-IF(Skills!E5=TRUE,4.0,0)))*(1-IF(AND(ArtifactsInput!$M$27,Inputs!$B$4="Chapter Hunt"),CHOOSE(ArtifactsInput!$N$27+1,20,24,28,32,36,40),0)/100)))))/Skills!H5,1)))/Inputs!$B$43),G2850*Q2850)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2850*(1-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2850*(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2850*(1-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2850*(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0">
        <f>IF(C2850,(H2850*N2850*IF(AND(Inputs!$B$38&lt;&gt;"pvp",Inputs!$B$43&gt;0),((Skills!G5*((R2850-1)*IF(Skills!H5&gt;0,Skills!I5/Skills!H5,1)+IF(Skills!H5&gt;0,MIN(Skills!I5,MAX(0,MAX(0,Inputs!$B$43-B2879)-((R2850-1)*(IF(Inputs!$B$38="pvp",15,MAX(0.1,Skills!D5-IF(Skills!E5=TRUE,4.0,0)))*(1-IF(AND(ArtifactsInput!$M$27,Inputs!$B$4="Chapter Hunt"),CHOOSE(ArtifactsInput!$N$27+1,20,24,28,32,36,40),0)/100)))))/Skills!H5,1)))/Inputs!$B$43),G2850*Q2850))*IF(Inputs!$B$38="pvp",1,(1+(Inputs!$B$21+Skills!Q5+(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1">
      <c r="A2851">
        <f>Skills!A6</f>
        <v/>
      </c>
      <c r="B2851">
        <f>Skills!B6</f>
        <v/>
      </c>
      <c r="C2851">
        <f>Inputs!$B$3&gt;=103</f>
        <v/>
      </c>
      <c r="D2851">
        <f>IF(Skills!C6=1,60+Inputs!$B$25+Inputs!$B$29,IF(Skills!C6=2,90+Inputs!$B$26+Inputs!$B$29,IF(Skills!C6=3,120+Inputs!$B$27+Inputs!$B$29,MAX(0,(Inputs!$B$3-100)*3)+Inputs!$B$28+Inputs!$B$29)))</f>
        <v/>
      </c>
      <c r="E2851">
        <f>INDEX(FactorTable!$B$2:$Y$301, MATCH(ROUND(MIN(300,MAX(1,D2851)),0), FactorTable!$A$2:$A$301,0), Skills!M6+1)</f>
        <v/>
      </c>
      <c r="F2851">
        <f>IF(Skills!N6=TRUE,(Skills!L6/10)*(E2851/1000),Skills!L6/10)+Skills!O6</f>
        <v/>
      </c>
      <c r="G2851">
        <f>Skills!G6*IF(Skills!H6&gt;0,Skills!I6/Skills!H6,1)</f>
        <v/>
      </c>
      <c r="H2851">
        <f>1-(1-Skills!J6/100)^Skills!K6</f>
        <v/>
      </c>
      <c r="I2851" t="inlineStr">
        <is>
          <t>1</t>
        </is>
      </c>
      <c r="J2851">
        <f>((Inputs!$B$6*(1+Inputs!$B$7/100))+(((Inputs!$B$12*(1+Inputs!$B$13/100))-(Inputs!$B$12*(1+Inputs!$B$13/100)))+0.25*(Inputs!$B$14-Inputs!$B$14))*(1+Inputs!$B$7/100))*(F2851/100)</f>
        <v/>
      </c>
      <c r="K2851">
        <f>J2851*(1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2851)</f>
        <v/>
      </c>
      <c r="L2851">
        <f>K2851*(MIN(Inputs!$B$22+((C2867=TRUE)*(F2867-Calc!F22)),(Inputs!$B$23+((C2869=TRUE)*(F2869-Calc!F24))+(IF(ArtifactsInput!$M$15,CHOOSE(ArtifactsInput!$N$15+1,25,30,35,40,45,50)/100*(Inputs!$B$11-Inputs!$B$11),0))))/100+(Inputs!$B$23+((C2869=TRUE)*(F2869-Calc!F24))+(IF(ArtifactsInput!$M$15,CHOOSE(ArtifactsInput!$N$15+1,25,30,35,40,45,50)/100*(Inputs!$B$11-Inputs!$B$11),0)))/100)/2</f>
        <v/>
      </c>
      <c r="M2851">
        <f>L2851*(1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1">
        <f>L2851*(1-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1">
        <f>(1-Summary!$B$11)*T2851+Summary!$B$11*V2851</f>
        <v/>
      </c>
      <c r="P2851">
        <f>IF(B2882=0,0,O2851/B2882)</f>
        <v/>
      </c>
      <c r="Q2851">
        <f>IFERROR(1/(IF(Inputs!$B$38="pvp",15,MAX(0.1,Skills!D6-IF(Skills!E6=TRUE,4.0,0)))*(1-IF(AND(ArtifactsInput!$M$27,Inputs!$B$4="Chapter Hunt"),CHOOSE(ArtifactsInput!$N$27+1,20,24,28,32,36,40),0)/100)),0)</f>
        <v/>
      </c>
      <c r="R2851">
        <f>IF(AND(Inputs!$B$38&lt;&gt;"pvp",Inputs!$B$43&gt;0),IF(MAX(0,Inputs!$B$43-B2879)&lt;=0,0,(INT(MAX(0,Inputs!$B$43-B2879)/(IF(Inputs!$B$38="pvp",15,MAX(0.1,Skills!D6-IF(Skills!E6=TRUE,4.0,0)))*(1-IF(AND(ArtifactsInput!$M$27,Inputs!$B$4="Chapter Hunt"),CHOOSE(ArtifactsInput!$N$27+1,20,24,28,32,36,40),0)/100)))+1)),0)</f>
        <v/>
      </c>
      <c r="S2851">
        <f>IFERROR(O2851/N2851,0)</f>
        <v/>
      </c>
      <c r="T2851">
        <f>IF(C2851,(H2851*N2851*IF(AND(Inputs!$B$38&lt;&gt;"pvp",Inputs!$B$43&gt;0),((Skills!G6*((R2851-1)*IF(Skills!H6&gt;0,Skills!I6/Skills!H6,1)+IF(Skills!H6&gt;0,MIN(Skills!I6,MAX(0,MAX(0,Inputs!$B$43-B2879)-((R2851-1)*(IF(Inputs!$B$38="pvp",15,MAX(0.1,Skills!D6-IF(Skills!E6=TRUE,4.0,0)))*(1-IF(AND(ArtifactsInput!$M$27,Inputs!$B$4="Chapter Hunt"),CHOOSE(ArtifactsInput!$N$27+1,20,24,28,32,36,40),0)/100)))))/Skills!H6,1)))/Inputs!$B$43),G2851*Q2851)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2851*(1-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2851*(1-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1">
        <f>IF(C2851,(H2851*N2851*IF(AND(Inputs!$B$38&lt;&gt;"pvp",Inputs!$B$43&gt;0),((Skills!G6*((R2851-1)*IF(Skills!H6&gt;0,Skills!I6/Skills!H6,1)+IF(Skills!H6&gt;0,MIN(Skills!I6,MAX(0,MAX(0,Inputs!$B$43-B2879)-((R2851-1)*(IF(Inputs!$B$38="pvp",15,MAX(0.1,Skills!D6-IF(Skills!E6=TRUE,4.0,0)))*(1-IF(AND(ArtifactsInput!$M$27,Inputs!$B$4="Chapter Hunt"),CHOOSE(ArtifactsInput!$N$27+1,20,24,28,32,36,40),0)/100)))))/Skills!H6,1)))/Inputs!$B$43),G2851*Q2851))*IF(Inputs!$B$38="pvp",1,(1+(Inputs!$B$21+Skills!Q6+(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2">
      <c r="A2852">
        <f>Skills!A7</f>
        <v/>
      </c>
      <c r="B2852">
        <f>Skills!B7</f>
        <v/>
      </c>
      <c r="C2852">
        <f>Inputs!$B$3&gt;=107</f>
        <v/>
      </c>
      <c r="D2852">
        <f>IF(Skills!C7=1,60+Inputs!$B$25+Inputs!$B$29,IF(Skills!C7=2,90+Inputs!$B$26+Inputs!$B$29,IF(Skills!C7=3,120+Inputs!$B$27+Inputs!$B$29,MAX(0,(Inputs!$B$3-100)*3)+Inputs!$B$28+Inputs!$B$29)))</f>
        <v/>
      </c>
      <c r="E2852">
        <f>INDEX(FactorTable!$B$2:$Y$301, MATCH(ROUND(MIN(300,MAX(1,D2852)),0), FactorTable!$A$2:$A$301,0), Skills!M7+1)</f>
        <v/>
      </c>
      <c r="F2852">
        <f>IF(Skills!N7=TRUE,(Skills!L7/10)*(E2852/1000),Skills!L7/10)+Skills!O7</f>
        <v/>
      </c>
      <c r="G2852">
        <f>Skills!G7*IF(Skills!H7&gt;0,Skills!I7/Skills!H7,1)</f>
        <v/>
      </c>
      <c r="H2852">
        <f>1-(1-Skills!J7/100)^Skills!K7</f>
        <v/>
      </c>
      <c r="I2852" t="inlineStr">
        <is>
          <t>1</t>
        </is>
      </c>
      <c r="J2852">
        <f>((Inputs!$B$6*(1+Inputs!$B$7/100))+(((Inputs!$B$12*(1+Inputs!$B$13/100))-(Inputs!$B$12*(1+Inputs!$B$13/100)))+0.25*(Inputs!$B$14-Inputs!$B$14))*(1+Inputs!$B$7/100))*(F2852/100)</f>
        <v/>
      </c>
      <c r="K2852">
        <f>J2852*(1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2852)</f>
        <v/>
      </c>
      <c r="L2852">
        <f>K2852*(MIN(Inputs!$B$22+((C2867=TRUE)*(F2867-Calc!F22)),(Inputs!$B$23+((C2869=TRUE)*(F2869-Calc!F24))+(IF(ArtifactsInput!$M$15,CHOOSE(ArtifactsInput!$N$15+1,25,30,35,40,45,50)/100*(Inputs!$B$11-Inputs!$B$11),0))))/100+(Inputs!$B$23+((C2869=TRUE)*(F2869-Calc!F24))+(IF(ArtifactsInput!$M$15,CHOOSE(ArtifactsInput!$N$15+1,25,30,35,40,45,50)/100*(Inputs!$B$11-Inputs!$B$11),0)))/100)/2</f>
        <v/>
      </c>
      <c r="M2852">
        <f>L2852*(1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2">
        <f>L2852*(1-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2852*(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2">
        <f>(1-Summary!$B$11)*T2852+Summary!$B$11*V2852</f>
        <v/>
      </c>
      <c r="P2852">
        <f>IF(B2882=0,0,O2852/B2882)</f>
        <v/>
      </c>
      <c r="Q2852">
        <f>IFERROR(1/(IF(Inputs!$B$38="pvp",15,MAX(0.1,Skills!D7-IF(Skills!E7=TRUE,4.0,0)))*(1-IF(AND(ArtifactsInput!$M$27,Inputs!$B$4="Chapter Hunt"),CHOOSE(ArtifactsInput!$N$27+1,20,24,28,32,36,40),0)/100)),0)</f>
        <v/>
      </c>
      <c r="R2852">
        <f>IF(AND(Inputs!$B$38&lt;&gt;"pvp",Inputs!$B$43&gt;0),IF(MAX(0,Inputs!$B$43-B2879)&lt;=0,0,(INT(MAX(0,Inputs!$B$43-B2879)/(IF(Inputs!$B$38="pvp",15,MAX(0.1,Skills!D7-IF(Skills!E7=TRUE,4.0,0)))*(1-IF(AND(ArtifactsInput!$M$27,Inputs!$B$4="Chapter Hunt"),CHOOSE(ArtifactsInput!$N$27+1,20,24,28,32,36,40),0)/100)))+1)),0)</f>
        <v/>
      </c>
      <c r="S2852">
        <f>IFERROR(O2852/N2852,0)</f>
        <v/>
      </c>
      <c r="T2852">
        <f>IF(C2852,(H2852*N2852*IF(AND(Inputs!$B$38&lt;&gt;"pvp",Inputs!$B$43&gt;0),((Skills!G7*((R2852-1)*IF(Skills!H7&gt;0,Skills!I7/Skills!H7,1)+IF(Skills!H7&gt;0,MIN(Skills!I7,MAX(0,MAX(0,Inputs!$B$43-B2879)-((R2852-1)*(IF(Inputs!$B$38="pvp",15,MAX(0.1,Skills!D7-IF(Skills!E7=TRUE,4.0,0)))*(1-IF(AND(ArtifactsInput!$M$27,Inputs!$B$4="Chapter Hunt"),CHOOSE(ArtifactsInput!$N$27+1,20,24,28,32,36,40),0)/100)))))/Skills!H7,1)))/Inputs!$B$43),G2852*Q2852)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2852*(1-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2852*(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2852*(1-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2852*(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2">
        <f>IF(C2852,(H2852*N2852*IF(AND(Inputs!$B$38&lt;&gt;"pvp",Inputs!$B$43&gt;0),((Skills!G7*((R2852-1)*IF(Skills!H7&gt;0,Skills!I7/Skills!H7,1)+IF(Skills!H7&gt;0,MIN(Skills!I7,MAX(0,MAX(0,Inputs!$B$43-B2879)-((R2852-1)*(IF(Inputs!$B$38="pvp",15,MAX(0.1,Skills!D7-IF(Skills!E7=TRUE,4.0,0)))*(1-IF(AND(ArtifactsInput!$M$27,Inputs!$B$4="Chapter Hunt"),CHOOSE(ArtifactsInput!$N$27+1,20,24,28,32,36,40),0)/100)))))/Skills!H7,1)))/Inputs!$B$43),G2852*Q2852))*IF(Inputs!$B$38="pvp",1,(1+(Inputs!$B$21+Skills!Q7+(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3">
      <c r="A2853">
        <f>Skills!A8</f>
        <v/>
      </c>
      <c r="B2853">
        <f>Skills!B8</f>
        <v/>
      </c>
      <c r="C2853">
        <f>Inputs!$B$3&gt;=107</f>
        <v/>
      </c>
      <c r="D2853">
        <f>IF(Skills!C8=1,60+Inputs!$B$25+Inputs!$B$29,IF(Skills!C8=2,90+Inputs!$B$26+Inputs!$B$29,IF(Skills!C8=3,120+Inputs!$B$27+Inputs!$B$29,MAX(0,(Inputs!$B$3-100)*3)+Inputs!$B$28+Inputs!$B$29)))</f>
        <v/>
      </c>
      <c r="E2853">
        <f>INDEX(FactorTable!$B$2:$Y$301, MATCH(ROUND(MIN(300,MAX(1,D2853)),0), FactorTable!$A$2:$A$301,0), Skills!M8+1)</f>
        <v/>
      </c>
      <c r="F2853">
        <f>IF(Skills!N8=TRUE,(Skills!L8/10)*(E2853/1000),Skills!L8/10)+Skills!O8</f>
        <v/>
      </c>
      <c r="G2853">
        <f>Skills!G8*IF(Skills!H8&gt;0,Skills!I8/Skills!H8,1)</f>
        <v/>
      </c>
      <c r="H2853">
        <f>1-(1-Skills!J8/100)^Skills!K8</f>
        <v/>
      </c>
      <c r="I2853" t="inlineStr">
        <is>
          <t>1</t>
        </is>
      </c>
      <c r="J2853">
        <f>((Inputs!$B$6*(1+Inputs!$B$7/100))+(((Inputs!$B$12*(1+Inputs!$B$13/100))-(Inputs!$B$12*(1+Inputs!$B$13/100)))+0.25*(Inputs!$B$14-Inputs!$B$14))*(1+Inputs!$B$7/100))*(F2853/100)</f>
        <v/>
      </c>
      <c r="K2853">
        <f>J2853*(1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2853)</f>
        <v/>
      </c>
      <c r="L2853">
        <f>K2853*(MIN(Inputs!$B$22+((C2867=TRUE)*(F2867-Calc!F22)),(Inputs!$B$23+((C2869=TRUE)*(F2869-Calc!F24))+(IF(ArtifactsInput!$M$15,CHOOSE(ArtifactsInput!$N$15+1,25,30,35,40,45,50)/100*(Inputs!$B$11-Inputs!$B$11),0))))/100+(Inputs!$B$23+((C2869=TRUE)*(F2869-Calc!F24))+(IF(ArtifactsInput!$M$15,CHOOSE(ArtifactsInput!$N$15+1,25,30,35,40,45,50)/100*(Inputs!$B$11-Inputs!$B$11),0)))/100)/2</f>
        <v/>
      </c>
      <c r="M2853">
        <f>L2853*(1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3">
        <f>L2853*(1-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2853*(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3">
        <f>(1-Summary!$B$11)*T2853+Summary!$B$11*V2853</f>
        <v/>
      </c>
      <c r="P2853">
        <f>IF(B2882=0,0,O2853/B2882)</f>
        <v/>
      </c>
      <c r="Q2853">
        <f>IFERROR(1/(IF(Inputs!$B$38="pvp",15,MAX(0.1,Skills!D8-IF(Skills!E8=TRUE,4.0,0)))*(1-IF(AND(ArtifactsInput!$M$27,Inputs!$B$4="Chapter Hunt"),CHOOSE(ArtifactsInput!$N$27+1,20,24,28,32,36,40),0)/100)),0)</f>
        <v/>
      </c>
      <c r="R2853">
        <f>IF(AND(Inputs!$B$38&lt;&gt;"pvp",Inputs!$B$43&gt;0),IF(MAX(0,Inputs!$B$43-B2879)&lt;=0,0,(INT(MAX(0,Inputs!$B$43-B2879)/(IF(Inputs!$B$38="pvp",15,MAX(0.1,Skills!D8-IF(Skills!E8=TRUE,4.0,0)))*(1-IF(AND(ArtifactsInput!$M$27,Inputs!$B$4="Chapter Hunt"),CHOOSE(ArtifactsInput!$N$27+1,20,24,28,32,36,40),0)/100)))+1)),0)</f>
        <v/>
      </c>
      <c r="S2853">
        <f>IFERROR(O2853/N2853,0)</f>
        <v/>
      </c>
      <c r="T2853">
        <f>IF(C2853,(H2853*N2853*IF(AND(Inputs!$B$38&lt;&gt;"pvp",Inputs!$B$43&gt;0),((Skills!G8*((R2853-1)*IF(Skills!H8&gt;0,Skills!I8/Skills!H8,1)+IF(Skills!H8&gt;0,MIN(Skills!I8,MAX(0,MAX(0,Inputs!$B$43-B2879)-((R2853-1)*(IF(Inputs!$B$38="pvp",15,MAX(0.1,Skills!D8-IF(Skills!E8=TRUE,4.0,0)))*(1-IF(AND(ArtifactsInput!$M$27,Inputs!$B$4="Chapter Hunt"),CHOOSE(ArtifactsInput!$N$27+1,20,24,28,32,36,40),0)/100)))))/Skills!H8,1)))/Inputs!$B$43),G2853*Q2853)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2853*(1-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2853*(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2853*(1-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2853*(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3">
        <f>IF(C2853,(H2853*N2853*IF(AND(Inputs!$B$38&lt;&gt;"pvp",Inputs!$B$43&gt;0),((Skills!G8*((R2853-1)*IF(Skills!H8&gt;0,Skills!I8/Skills!H8,1)+IF(Skills!H8&gt;0,MIN(Skills!I8,MAX(0,MAX(0,Inputs!$B$43-B2879)-((R2853-1)*(IF(Inputs!$B$38="pvp",15,MAX(0.1,Skills!D8-IF(Skills!E8=TRUE,4.0,0)))*(1-IF(AND(ArtifactsInput!$M$27,Inputs!$B$4="Chapter Hunt"),CHOOSE(ArtifactsInput!$N$27+1,20,24,28,32,36,40),0)/100)))))/Skills!H8,1)))/Inputs!$B$43),G2853*Q2853))*IF(Inputs!$B$38="pvp",1,(1+(Inputs!$B$21+Skills!Q8+(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4">
      <c r="A2854">
        <f>Skills!A9</f>
        <v/>
      </c>
      <c r="B2854">
        <f>Skills!B9</f>
        <v/>
      </c>
      <c r="C2854">
        <f>Inputs!$B$3&gt;=125</f>
        <v/>
      </c>
      <c r="D2854">
        <f>IF(Skills!C9=1,60+Inputs!$B$25+Inputs!$B$29,IF(Skills!C9=2,90+Inputs!$B$26+Inputs!$B$29,IF(Skills!C9=3,120+Inputs!$B$27+Inputs!$B$29,MAX(0,(Inputs!$B$3-100)*3)+Inputs!$B$28+Inputs!$B$29)))</f>
        <v/>
      </c>
      <c r="E2854">
        <f>INDEX(FactorTable!$B$2:$Y$301, MATCH(ROUND(MIN(300,MAX(1,D2854)),0), FactorTable!$A$2:$A$301,0), Skills!M9+1)</f>
        <v/>
      </c>
      <c r="F2854">
        <f>IF(Skills!N9=TRUE,(Skills!L9/10)*(E2854/1000),Skills!L9/10)+Skills!O9</f>
        <v/>
      </c>
      <c r="G2854">
        <f>Skills!G9*IF(Skills!H9&gt;0,Skills!I9/Skills!H9,1)</f>
        <v/>
      </c>
      <c r="H2854">
        <f>1-(1-Skills!J9/100)^Skills!K9</f>
        <v/>
      </c>
      <c r="I2854" t="inlineStr">
        <is>
          <t>1</t>
        </is>
      </c>
      <c r="J2854">
        <f>((Inputs!$B$6*(1+Inputs!$B$7/100))+(((Inputs!$B$12*(1+Inputs!$B$13/100))-(Inputs!$B$12*(1+Inputs!$B$13/100)))+0.25*(Inputs!$B$14-Inputs!$B$14))*(1+Inputs!$B$7/100))*(F2854/100)</f>
        <v/>
      </c>
      <c r="K2854">
        <f>J2854*(1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2854)</f>
        <v/>
      </c>
      <c r="L2854">
        <f>K2854*(MIN(Inputs!$B$22+((C2867=TRUE)*(F2867-Calc!F22)),(Inputs!$B$23+((C2869=TRUE)*(F2869-Calc!F24))+(IF(ArtifactsInput!$M$15,CHOOSE(ArtifactsInput!$N$15+1,25,30,35,40,45,50)/100*(Inputs!$B$11-Inputs!$B$11),0))))/100+(Inputs!$B$23+((C2869=TRUE)*(F2869-Calc!F24))+(IF(ArtifactsInput!$M$15,CHOOSE(ArtifactsInput!$N$15+1,25,30,35,40,45,50)/100*(Inputs!$B$11-Inputs!$B$11),0)))/100)/2</f>
        <v/>
      </c>
      <c r="M2854">
        <f>L2854*(1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4">
        <f>L2854*(1-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2854*(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4">
        <f>(1-Summary!$B$11)*T2854+Summary!$B$11*V2854</f>
        <v/>
      </c>
      <c r="P2854">
        <f>IF(B2882=0,0,O2854/B2882)</f>
        <v/>
      </c>
      <c r="Q2854">
        <f>IFERROR(1/(IF(Inputs!$B$38="pvp",15,MAX(0.1,Skills!D9-IF(Skills!E9=TRUE,4.0,0)))*(1-IF(AND(ArtifactsInput!$M$27,Inputs!$B$4="Chapter Hunt"),CHOOSE(ArtifactsInput!$N$27+1,20,24,28,32,36,40),0)/100)),0)</f>
        <v/>
      </c>
      <c r="R2854">
        <f>IF(AND(Inputs!$B$38&lt;&gt;"pvp",Inputs!$B$43&gt;0),IF(MAX(0,Inputs!$B$43-B2879)&lt;=0,0,(INT(MAX(0,Inputs!$B$43-B2879)/(IF(Inputs!$B$38="pvp",15,MAX(0.1,Skills!D9-IF(Skills!E9=TRUE,4.0,0)))*(1-IF(AND(ArtifactsInput!$M$27,Inputs!$B$4="Chapter Hunt"),CHOOSE(ArtifactsInput!$N$27+1,20,24,28,32,36,40),0)/100)))+1)),0)</f>
        <v/>
      </c>
      <c r="S2854">
        <f>IFERROR(O2854/N2854,0)</f>
        <v/>
      </c>
      <c r="T2854">
        <f>IF(C2854,(H2854*N2854*IF(AND(Inputs!$B$38&lt;&gt;"pvp",Inputs!$B$43&gt;0),((Skills!G9*((R2854-1)*IF(Skills!H9&gt;0,Skills!I9/Skills!H9,1)+IF(Skills!H9&gt;0,MIN(Skills!I9,MAX(0,MAX(0,Inputs!$B$43-B2879)-((R2854-1)*(IF(Inputs!$B$38="pvp",15,MAX(0.1,Skills!D9-IF(Skills!E9=TRUE,4.0,0)))*(1-IF(AND(ArtifactsInput!$M$27,Inputs!$B$4="Chapter Hunt"),CHOOSE(ArtifactsInput!$N$27+1,20,24,28,32,36,40),0)/100)))))/Skills!H9,1)))/Inputs!$B$43),G2854*Q2854)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2854*(1-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2854*(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2854*(1-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2854*(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4">
        <f>IF(C2854,(H2854*N2854*IF(AND(Inputs!$B$38&lt;&gt;"pvp",Inputs!$B$43&gt;0),((Skills!G9*((R2854-1)*IF(Skills!H9&gt;0,Skills!I9/Skills!H9,1)+IF(Skills!H9&gt;0,MIN(Skills!I9,MAX(0,MAX(0,Inputs!$B$43-B2879)-((R2854-1)*(IF(Inputs!$B$38="pvp",15,MAX(0.1,Skills!D9-IF(Skills!E9=TRUE,4.0,0)))*(1-IF(AND(ArtifactsInput!$M$27,Inputs!$B$4="Chapter Hunt"),CHOOSE(ArtifactsInput!$N$27+1,20,24,28,32,36,40),0)/100)))))/Skills!H9,1)))/Inputs!$B$43),G2854*Q2854))*IF(Inputs!$B$38="pvp",1,(1+(Inputs!$B$21+Skills!Q9+(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5">
      <c r="A2855">
        <f>Skills!A10</f>
        <v/>
      </c>
      <c r="B2855">
        <f>Skills!B10</f>
        <v/>
      </c>
      <c r="C2855">
        <f>Inputs!$B$3&gt;=117</f>
        <v/>
      </c>
      <c r="D2855">
        <f>IF(Skills!C10=1,60+Inputs!$B$25+Inputs!$B$29,IF(Skills!C10=2,90+Inputs!$B$26+Inputs!$B$29,IF(Skills!C10=3,120+Inputs!$B$27+Inputs!$B$29,MAX(0,(Inputs!$B$3-100)*3)+Inputs!$B$28+Inputs!$B$29)))</f>
        <v/>
      </c>
      <c r="E2855">
        <f>INDEX(FactorTable!$B$2:$Y$301, MATCH(ROUND(MIN(300,MAX(1,D2855)),0), FactorTable!$A$2:$A$301,0), Skills!M10+1)</f>
        <v/>
      </c>
      <c r="F2855">
        <f>IF(Skills!N10=TRUE,(Skills!L10/10)*(E2855/1000),Skills!L10/10)+Skills!O10</f>
        <v/>
      </c>
      <c r="G2855">
        <f>Skills!G10*IF(Skills!H10&gt;0,Skills!I10/Skills!H10,1)</f>
        <v/>
      </c>
      <c r="H2855">
        <f>1-(1-Skills!J10/100)^Skills!K10</f>
        <v/>
      </c>
      <c r="I2855" t="inlineStr">
        <is>
          <t>1</t>
        </is>
      </c>
      <c r="J2855">
        <f>((Inputs!$B$6*(1+Inputs!$B$7/100))+(((Inputs!$B$12*(1+Inputs!$B$13/100))-(Inputs!$B$12*(1+Inputs!$B$13/100)))+0.25*(Inputs!$B$14-Inputs!$B$14))*(1+Inputs!$B$7/100))*(F2855/100)</f>
        <v/>
      </c>
      <c r="K2855">
        <f>J2855*(1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2855)</f>
        <v/>
      </c>
      <c r="L2855">
        <f>K2855*(MIN(Inputs!$B$22+((C2867=TRUE)*(F2867-Calc!F22)),(Inputs!$B$23+((C2869=TRUE)*(F2869-Calc!F24))+(IF(ArtifactsInput!$M$15,CHOOSE(ArtifactsInput!$N$15+1,25,30,35,40,45,50)/100*(Inputs!$B$11-Inputs!$B$11),0))))/100+(Inputs!$B$23+((C2869=TRUE)*(F2869-Calc!F24))+(IF(ArtifactsInput!$M$15,CHOOSE(ArtifactsInput!$N$15+1,25,30,35,40,45,50)/100*(Inputs!$B$11-Inputs!$B$11),0)))/100)/2</f>
        <v/>
      </c>
      <c r="M2855">
        <f>L2855*(1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5">
        <f>L2855*(1-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2855*(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5">
        <f>(1-Summary!$B$11)*T2855+Summary!$B$11*V2855</f>
        <v/>
      </c>
      <c r="P2855">
        <f>IF(B2882=0,0,O2855/B2882)</f>
        <v/>
      </c>
      <c r="Q2855">
        <f>IFERROR(1/(IF(Inputs!$B$38="pvp",15,MAX(0.1,Skills!D10-IF(Skills!E10=TRUE,4.0,0)))*(1-IF(AND(ArtifactsInput!$M$27,Inputs!$B$4="Chapter Hunt"),CHOOSE(ArtifactsInput!$N$27+1,20,24,28,32,36,40),0)/100)),0)</f>
        <v/>
      </c>
      <c r="R2855">
        <f>IF(AND(Inputs!$B$38&lt;&gt;"pvp",Inputs!$B$43&gt;0),IF(MAX(0,Inputs!$B$43-B2879)&lt;=0,0,(INT(MAX(0,Inputs!$B$43-B2879)/(IF(Inputs!$B$38="pvp",15,MAX(0.1,Skills!D10-IF(Skills!E10=TRUE,4.0,0)))*(1-IF(AND(ArtifactsInput!$M$27,Inputs!$B$4="Chapter Hunt"),CHOOSE(ArtifactsInput!$N$27+1,20,24,28,32,36,40),0)/100)))+1)),0)</f>
        <v/>
      </c>
      <c r="S2855">
        <f>IFERROR(O2855/N2855,0)</f>
        <v/>
      </c>
      <c r="T2855">
        <f>IF(C2855,(H2855*N2855*IF(AND(Inputs!$B$38&lt;&gt;"pvp",Inputs!$B$43&gt;0),((Skills!G10*((R2855-1)*IF(Skills!H10&gt;0,Skills!I10/Skills!H10,1)+IF(Skills!H10&gt;0,MIN(Skills!I10,MAX(0,MAX(0,Inputs!$B$43-B2879)-((R2855-1)*(IF(Inputs!$B$38="pvp",15,MAX(0.1,Skills!D10-IF(Skills!E10=TRUE,4.0,0)))*(1-IF(AND(ArtifactsInput!$M$27,Inputs!$B$4="Chapter Hunt"),CHOOSE(ArtifactsInput!$N$27+1,20,24,28,32,36,40),0)/100)))))/Skills!H10,1)))/Inputs!$B$43),G2855*Q2855)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2855*(1-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2855*(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2855*(1-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2855*(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5">
        <f>IF(C2855,(H2855*N2855*IF(AND(Inputs!$B$38&lt;&gt;"pvp",Inputs!$B$43&gt;0),((Skills!G10*((R2855-1)*IF(Skills!H10&gt;0,Skills!I10/Skills!H10,1)+IF(Skills!H10&gt;0,MIN(Skills!I10,MAX(0,MAX(0,Inputs!$B$43-B2879)-((R2855-1)*(IF(Inputs!$B$38="pvp",15,MAX(0.1,Skills!D10-IF(Skills!E10=TRUE,4.0,0)))*(1-IF(AND(ArtifactsInput!$M$27,Inputs!$B$4="Chapter Hunt"),CHOOSE(ArtifactsInput!$N$27+1,20,24,28,32,36,40),0)/100)))))/Skills!H10,1)))/Inputs!$B$43),G2855*Q2855))*IF(Inputs!$B$38="pvp",1,(1+(Inputs!$B$21+Skills!Q10+(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6">
      <c r="A2856">
        <f>Skills!A11</f>
        <v/>
      </c>
      <c r="B2856">
        <f>Skills!B11</f>
        <v/>
      </c>
      <c r="C2856">
        <f>Inputs!$B$3&gt;=63</f>
        <v/>
      </c>
      <c r="D2856">
        <f>IF(Skills!C11=1,60+Inputs!$B$25+Inputs!$B$29,IF(Skills!C11=2,90+Inputs!$B$26+Inputs!$B$29,IF(Skills!C11=3,120+Inputs!$B$27+Inputs!$B$29,MAX(0,(Inputs!$B$3-100)*3)+Inputs!$B$28+Inputs!$B$29)))</f>
        <v/>
      </c>
      <c r="E2856">
        <f>INDEX(FactorTable!$B$2:$Y$301, MATCH(ROUND(MIN(300,MAX(1,D2856)),0), FactorTable!$A$2:$A$301,0), Skills!M11+1)</f>
        <v/>
      </c>
      <c r="F2856">
        <f>IF(Skills!N11=TRUE,(Skills!L11/10)*(E2856/1000),Skills!L11/10)+Skills!O11</f>
        <v/>
      </c>
      <c r="G2856">
        <f>Skills!G11*IF(Skills!H11&gt;0,Skills!I11/Skills!H11,1)</f>
        <v/>
      </c>
      <c r="H2856">
        <f>1-(1-Skills!J11/100)^Skills!K11</f>
        <v/>
      </c>
      <c r="I2856" t="inlineStr">
        <is>
          <t>1</t>
        </is>
      </c>
      <c r="J2856">
        <f>((Inputs!$B$6*(1+Inputs!$B$7/100))+(((Inputs!$B$12*(1+Inputs!$B$13/100))-(Inputs!$B$12*(1+Inputs!$B$13/100)))+0.25*(Inputs!$B$14-Inputs!$B$14))*(1+Inputs!$B$7/100))*(F2856/100)</f>
        <v/>
      </c>
      <c r="K2856">
        <f>J2856*(1+((Inputs!$B$12*(1+Inputs!$B$13/100))*0.01+Inputs!$B$14*0.0025)/100)*(1+Inputs!$B$15/100)*(1+Inputs!$B$16/100)*(5000/(6000+Inputs!$B$42*(1-(Inputs!$B$19+0)/100)))*(1+(Inputs!$B$24+0+B2878)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2857=TRUE,F2857,0)/100)*(1+(IF(Skills!A11="BLAST",Inputs!$B$17+((C2866=TRUE)*(F2866-Calc!F21))+((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MIN(100,((Inputs!$B$9+0+B2872+(ArtifactsInput!$M$24-ArtifactsInput!$M$24)*CHOOSE(ArtifactsInput!$N$24+1,10,12,14,16,18,20)+IF(ArtifactsInput!$M$10,CHOOSE(ArtifactsInput!$N$10+1,15,18,21,24,27,30)*(IF(Inputs!$B$38="pvp",MIN(15,15)/15,IF(AND(Inputs!$B$38&lt;&gt;"pvp",Inputs!$B$43&gt;0),MIN(15,Inputs!$B$43)/(Inputs!$B$43),0))),0)))-100),0))*CHOOSE(ArtifactsInput!$N$42+1,0.6,0.72,0.84,0.96,1.08,1.2))),Inputs!$B$18+((C2868=TRUE)*(F2868-Calc!F23))+(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gt;=100),CHOOSE(ArtifactsInput!$N$42+1,40,48,56,64,72,80),0))))/100)*((1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2856)</f>
        <v/>
      </c>
      <c r="L2856">
        <f>K2856*(MIN(Inputs!$B$22+((C2867=TRUE)*(F2867-Calc!F22)),(Inputs!$B$23+((C2869=TRUE)*(F2869-Calc!F24))+(IF(ArtifactsInput!$M$15,CHOOSE(ArtifactsInput!$N$15+1,25,30,35,40,45,50)/100*(Inputs!$B$11-Inputs!$B$11),0))))/100+(Inputs!$B$23+((C2869=TRUE)*(F2869-Calc!F24))+(IF(ArtifactsInput!$M$15,CHOOSE(ArtifactsInput!$N$15+1,25,30,35,40,45,50)/100*(Inputs!$B$11-Inputs!$B$11),0)))/100)/2</f>
        <v/>
      </c>
      <c r="M2856">
        <f>L2856*(1+(Inputs!$B$10+0+B2877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6">
        <f>L2856*(1-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2856*(MIN((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6">
        <f>(1-Summary!$B$11)*T2856+Summary!$B$11*V2856</f>
        <v/>
      </c>
      <c r="P2856">
        <f>IF(B2882=0,0,O2856/B2882)</f>
        <v/>
      </c>
      <c r="Q2856">
        <f>IFERROR(1/(IF(Inputs!$B$38="pvp",15,MAX(0.1,Skills!D11-IF(Skills!E11=TRUE,4.0,0)))*(1-IF(AND(ArtifactsInput!$M$27,Inputs!$B$4="Chapter Hunt"),CHOOSE(ArtifactsInput!$N$27+1,20,24,28,32,36,40),0)/100)),0)</f>
        <v/>
      </c>
      <c r="R2856">
        <f>IF(AND(Inputs!$B$38&lt;&gt;"pvp",Inputs!$B$43&gt;0),IF(MAX(0,Inputs!$B$43-B2879)&lt;=0,0,(INT(MAX(0,Inputs!$B$43-B2879)/(IF(Inputs!$B$38="pvp",15,MAX(0.1,Skills!D11-IF(Skills!E11=TRUE,4.0,0)))*(1-IF(AND(ArtifactsInput!$M$27,Inputs!$B$4="Chapter Hunt"),CHOOSE(ArtifactsInput!$N$27+1,20,24,28,32,36,40),0)/100)))+1)),0)</f>
        <v/>
      </c>
      <c r="S2856">
        <f>IFERROR(O2856/N2856,0)</f>
        <v/>
      </c>
      <c r="T2856">
        <f>IF(C2856,(H2856*N2856*IF(AND(Inputs!$B$38&lt;&gt;"pvp",Inputs!$B$43&gt;0),((Skills!G11*((R2856-1)*IF(Skills!H11&gt;0,Skills!I11/Skills!H11,1)+IF(Skills!H11&gt;0,MIN(Skills!I11,MAX(0,MAX(0,Inputs!$B$43-B2879)-((R2856-1)*(IF(Inputs!$B$38="pvp",15,MAX(0.1,Skills!D11-IF(Skills!E11=TRUE,4.0,0)))*(1-IF(AND(ArtifactsInput!$M$27,Inputs!$B$4="Chapter Hunt"),CHOOSE(ArtifactsInput!$N$27+1,20,24,28,32,36,40),0)/100)))))/Skills!H11,1)))/Inputs!$B$43),G2856*Q2856)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2856*(1-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2856*(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2856*(1-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2856*(MIN(100,(Inputs!$B$9+0+B2872+(ArtifactsInput!$M$24-ArtifactsInput!$M$24)*CHOOSE(ArtifactsInput!$N$24+1,10,12,14,16,18,20)+(IF(AND(Inputs!$B$38&lt;&gt;"pvp",Inputs!$B$43=0),1,IF(IF(Inputs!$B$38="pvp",15,Inputs!$B$43)-(B2879)&lt;=0,1,MAX(0,IF(Inputs!$B$38="pvp",15,Inputs!$B$43)-MAX(5,B2879))/(IF(Inputs!$B$38="pvp",15,Inputs!$B$43)-(B2879))))*IF(AND(ArtifactsInput!$M$42,((Inputs!$B$9+0+B2872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56">
        <f>IF(C2856,(H2856*N2856*IF(AND(Inputs!$B$38&lt;&gt;"pvp",Inputs!$B$43&gt;0),((Skills!G11*((R2856-1)*IF(Skills!H11&gt;0,Skills!I11/Skills!H11,1)+IF(Skills!H11&gt;0,MIN(Skills!I11,MAX(0,MAX(0,Inputs!$B$43-B2879)-((R2856-1)*(IF(Inputs!$B$38="pvp",15,MAX(0.1,Skills!D11-IF(Skills!E11=TRUE,4.0,0)))*(1-IF(AND(ArtifactsInput!$M$27,Inputs!$B$4="Chapter Hunt"),CHOOSE(ArtifactsInput!$N$27+1,20,24,28,32,36,40),0)/100)))))/Skills!H11,1)))/Inputs!$B$43),G2856*Q2856))*IF(Inputs!$B$38="pvp",1,(1+(Inputs!$B$21+Skills!Q11+(IF(ArtifactsInput!$M$33,CHOOSE(ArtifactsInput!$N$33+1,30,36,42,48,54,60),0))+(IF(AND(ArtifactsInput!$M$35,Inputs!$B$4&lt;&gt;"Chapter Hunt"),CHOOSE(ArtifactsInput!$N$35+1,15,18,21,24,27,30)*(1-EXP(-(0.2*B2874)*5)),0)+IF(AND(ArtifactsInput!$M$22,Inputs!$B$4&lt;&gt;"Chapter Hunt"),CHOOSE(ArtifactsInput!$N$22+1,10,12,14,16,18,20)*((0*(((0.15*B2874*5))^0/1)+1*(((0.15*B2874*5))^1/1)+2*(((0.15*B2874*5))^2/2)+3*(((0.15*B2874*5))^3/6)+4*(((0.15*B2874*5))^4/24)+5*(((0.15*B2874*5))^5/120))/((((0.15*B2874*5))^0/1)+(((0.15*B2874*5))^1/1)+(((0.15*B2874*5))^2/2)+(((0.15*B2874*5))^3/6)+(((0.15*B2874*5))^4/24)+(((0.15*B2874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7">
      <c r="A2857">
        <f>Skills!A12</f>
        <v/>
      </c>
      <c r="B2857">
        <f>Skills!B12</f>
        <v/>
      </c>
      <c r="C2857">
        <f>Inputs!$B$3&gt;=100</f>
        <v/>
      </c>
      <c r="D2857">
        <f>IF(Skills!C12=1,60+Inputs!$B$25+Inputs!$B$29,IF(Skills!C12=2,90+Inputs!$B$26+Inputs!$B$29,IF(Skills!C12=3,120+Inputs!$B$27+Inputs!$B$29,MAX(0,(Inputs!$B$3-100)*3)+Inputs!$B$28+Inputs!$B$29)))</f>
        <v/>
      </c>
      <c r="E2857">
        <f>INDEX(FactorTable!$B$2:$Y$301, MATCH(ROUND(MIN(300,MAX(1,D2857)),0), FactorTable!$A$2:$A$301,0), Skills!M12+1)</f>
        <v/>
      </c>
      <c r="F2857">
        <f>IF(Skills!N12=TRUE,(Skills!L12/10)*(E2857/1000),Skills!L12/10)+Skills!O12</f>
        <v/>
      </c>
      <c r="G2857" t="inlineStr"/>
      <c r="H2857" t="inlineStr"/>
      <c r="I2857" t="inlineStr">
        <is>
          <t>1</t>
        </is>
      </c>
      <c r="J2857" t="inlineStr"/>
      <c r="K2857" t="inlineStr"/>
      <c r="L2857" t="inlineStr"/>
      <c r="M2857" t="inlineStr"/>
      <c r="N2857" t="inlineStr"/>
      <c r="O2857" t="inlineStr"/>
      <c r="P2857" t="inlineStr"/>
      <c r="Q2857" t="inlineStr"/>
      <c r="R2857" t="inlineStr"/>
      <c r="S2857" t="inlineStr"/>
    </row>
    <row r="2858">
      <c r="A2858">
        <f>Skills!A13</f>
        <v/>
      </c>
      <c r="B2858">
        <f>Skills!B13</f>
        <v/>
      </c>
      <c r="C2858">
        <f>Inputs!$B$3&gt;=45</f>
        <v/>
      </c>
      <c r="D2858">
        <f>IF(Skills!C13=1,60+Inputs!$B$25+Inputs!$B$29,IF(Skills!C13=2,90+Inputs!$B$26+Inputs!$B$29,IF(Skills!C13=3,120+Inputs!$B$27+Inputs!$B$29,MAX(0,(Inputs!$B$3-100)*3)+Inputs!$B$28+Inputs!$B$29)))</f>
        <v/>
      </c>
      <c r="E2858">
        <f>INDEX(FactorTable!$B$2:$Y$301, MATCH(ROUND(MIN(300,MAX(1,D2858)),0), FactorTable!$A$2:$A$301,0), Skills!M13+1)</f>
        <v/>
      </c>
      <c r="F2858">
        <f>IF(Skills!N13=TRUE,(Skills!L13/10)*(E2858/1000),Skills!L13/10)+Skills!O13</f>
        <v/>
      </c>
      <c r="G2858">
        <f>Skills!G13*IF(Skills!H13&gt;0,Skills!I13/Skills!H13,1)</f>
        <v/>
      </c>
      <c r="H2858">
        <f>1-(1-Skills!J13/100)^Skills!K13</f>
        <v/>
      </c>
      <c r="I2858" t="inlineStr">
        <is>
          <t>1</t>
        </is>
      </c>
      <c r="J2858" t="inlineStr"/>
      <c r="K2858" t="inlineStr"/>
      <c r="L2858" t="inlineStr"/>
      <c r="M2858" t="inlineStr"/>
      <c r="N2858" t="inlineStr"/>
      <c r="O2858">
        <f>(1-Summary!$B$11)*T2858+Summary!$B$11*V2858</f>
        <v/>
      </c>
      <c r="P2858">
        <f>IF(B2882=0,0,O2858/B2882)</f>
        <v/>
      </c>
      <c r="Q2858" t="n">
        <v>0</v>
      </c>
      <c r="R2858" t="n">
        <v>0</v>
      </c>
      <c r="S2858">
        <f>IFERROR(O2858/N2858,0)</f>
        <v/>
      </c>
      <c r="T2858" t="n">
        <v>0</v>
      </c>
      <c r="V2858" t="n">
        <v>0</v>
      </c>
    </row>
    <row r="2859">
      <c r="A2859">
        <f>Skills!A14</f>
        <v/>
      </c>
      <c r="B2859">
        <f>Skills!B14</f>
        <v/>
      </c>
      <c r="C2859">
        <f>Inputs!$B$3&gt;=110</f>
        <v/>
      </c>
      <c r="D2859">
        <f>IF(Skills!C14=1,60+Inputs!$B$25+Inputs!$B$29,IF(Skills!C14=2,90+Inputs!$B$26+Inputs!$B$29,IF(Skills!C14=3,120+Inputs!$B$27+Inputs!$B$29,MAX(0,(Inputs!$B$3-100)*3)+Inputs!$B$28+Inputs!$B$29)))</f>
        <v/>
      </c>
      <c r="E2859">
        <f>INDEX(FactorTable!$B$2:$Y$301, MATCH(ROUND(MIN(300,MAX(1,D2859)),0), FactorTable!$A$2:$A$301,0), Skills!M14+1)</f>
        <v/>
      </c>
      <c r="F2859">
        <f>IF(Skills!N14=TRUE,(Skills!L14/10)*(E2859/1000),Skills!L14/10)+Skills!O14</f>
        <v/>
      </c>
      <c r="G2859">
        <f>Skills!G14*IF(Skills!H14&gt;0,Skills!I14/Skills!H14,1)</f>
        <v/>
      </c>
      <c r="H2859">
        <f>1-(1-Skills!J14/100)^Skills!K14</f>
        <v/>
      </c>
      <c r="I2859" t="inlineStr">
        <is>
          <t>1</t>
        </is>
      </c>
      <c r="J2859" t="inlineStr"/>
      <c r="K2859" t="inlineStr"/>
      <c r="L2859" t="inlineStr"/>
      <c r="M2859" t="inlineStr"/>
      <c r="N2859" t="inlineStr"/>
      <c r="O2859">
        <f>(1-Summary!$B$11)*T2859+Summary!$B$11*V2859</f>
        <v/>
      </c>
      <c r="P2859">
        <f>IF(B2882=0,0,O2859/B2882)</f>
        <v/>
      </c>
      <c r="Q2859" t="n">
        <v>0</v>
      </c>
      <c r="R2859" t="n">
        <v>0</v>
      </c>
      <c r="S2859">
        <f>IFERROR(O2859/N2859,0)</f>
        <v/>
      </c>
      <c r="T2859" t="n">
        <v>0</v>
      </c>
      <c r="V2859" t="n">
        <v>0</v>
      </c>
    </row>
    <row r="2860">
      <c r="A2860">
        <f>Skills!A15</f>
        <v/>
      </c>
      <c r="B2860">
        <f>Skills!B15</f>
        <v/>
      </c>
      <c r="C2860">
        <f>Inputs!$B$3&gt;=75</f>
        <v/>
      </c>
      <c r="D2860">
        <f>IF(Skills!C15=1,60+Inputs!$B$25+Inputs!$B$29,IF(Skills!C15=2,90+Inputs!$B$26+Inputs!$B$29,IF(Skills!C15=3,120+Inputs!$B$27+Inputs!$B$29,MAX(0,(Inputs!$B$3-100)*3)+Inputs!$B$28+Inputs!$B$29)))</f>
        <v/>
      </c>
      <c r="E2860">
        <f>INDEX(FactorTable!$B$2:$Y$301, MATCH(ROUND(MIN(300,MAX(1,D2860)),0), FactorTable!$A$2:$A$301,0), Skills!M15+1)</f>
        <v/>
      </c>
      <c r="F2860">
        <f>IF(Skills!N15=TRUE,(Skills!L15/10)*(E2860/1000),Skills!L15/10)+Skills!O15</f>
        <v/>
      </c>
      <c r="G2860">
        <f>Skills!G15*IF(Skills!H15&gt;0,Skills!I15/Skills!H15,1)</f>
        <v/>
      </c>
      <c r="H2860">
        <f>1-(1-Skills!J15/100)^Skills!K15</f>
        <v/>
      </c>
      <c r="I2860" t="inlineStr">
        <is>
          <t>1</t>
        </is>
      </c>
      <c r="J2860" t="inlineStr"/>
      <c r="K2860" t="inlineStr"/>
      <c r="L2860" t="inlineStr"/>
      <c r="M2860" t="inlineStr"/>
      <c r="N2860" t="inlineStr"/>
      <c r="O2860">
        <f>(1-Summary!$B$11)*T2860+Summary!$B$11*V2860</f>
        <v/>
      </c>
      <c r="P2860">
        <f>IF(B2882=0,0,O2860/B2882)</f>
        <v/>
      </c>
      <c r="Q2860">
        <f>IFERROR(1/(IF(Inputs!$B$38="pvp",15,MAX(0.1,Skills!D15-IF(Skills!E15=TRUE,4.0,0)))*(1-IF(AND(ArtifactsInput!$M$27,Inputs!$B$4="Chapter Hunt"),CHOOSE(ArtifactsInput!$N$27+1,20,24,28,32,36,40),0)/100)),0)</f>
        <v/>
      </c>
      <c r="R2860">
        <f>IF(AND(Inputs!$B$38&lt;&gt;"pvp",Inputs!$B$43&gt;0),IF(Inputs!$B$43&lt;=0,0,(INT(Inputs!$B$43/(IF(Inputs!$B$38="pvp",15,MAX(0.1,Skills!D15-IF(Skills!E15=TRUE,4.0,0)))*(1-IF(AND(ArtifactsInput!$M$27,Inputs!$B$4="Chapter Hunt"),CHOOSE(ArtifactsInput!$N$27+1,20,24,28,32,36,40),0)/100)))+1)),0)</f>
        <v/>
      </c>
      <c r="S2860">
        <f>IFERROR(O2860/N2860,0)</f>
        <v/>
      </c>
      <c r="T2860" t="n">
        <v>0</v>
      </c>
      <c r="V2860" t="n">
        <v>0</v>
      </c>
    </row>
    <row r="2861">
      <c r="A2861">
        <f>Skills!A16</f>
        <v/>
      </c>
      <c r="B2861">
        <f>Skills!B16</f>
        <v/>
      </c>
      <c r="C2861">
        <f>Inputs!$B$3&gt;=105</f>
        <v/>
      </c>
      <c r="D2861">
        <f>IF(Skills!C16=1,60+Inputs!$B$25+Inputs!$B$29,IF(Skills!C16=2,90+Inputs!$B$26+Inputs!$B$29,IF(Skills!C16=3,120+Inputs!$B$27+Inputs!$B$29,MAX(0,(Inputs!$B$3-100)*3)+Inputs!$B$28+Inputs!$B$29)))</f>
        <v/>
      </c>
      <c r="E2861">
        <f>INDEX(FactorTable!$B$2:$Y$301, MATCH(ROUND(MIN(300,MAX(1,D2861)),0), FactorTable!$A$2:$A$301,0), Skills!M16+1)</f>
        <v/>
      </c>
      <c r="F2861">
        <f>IF(Skills!N16=TRUE,(Skills!L16/10)*(E2861/1000),Skills!L16/10)+Skills!O16</f>
        <v/>
      </c>
      <c r="G2861">
        <f>Skills!G16*IF(Skills!H16&gt;0,Skills!I16/Skills!H16,1)</f>
        <v/>
      </c>
      <c r="H2861">
        <f>1-(1-Skills!J16/100)^Skills!K16</f>
        <v/>
      </c>
      <c r="I2861" t="inlineStr">
        <is>
          <t>1</t>
        </is>
      </c>
      <c r="J2861" t="inlineStr"/>
      <c r="K2861" t="inlineStr"/>
      <c r="L2861" t="inlineStr"/>
      <c r="M2861" t="inlineStr"/>
      <c r="N2861" t="inlineStr"/>
      <c r="O2861">
        <f>(1-Summary!$B$11)*T2861+Summary!$B$11*V2861</f>
        <v/>
      </c>
      <c r="P2861">
        <f>IF(B2882=0,0,O2861/B2882)</f>
        <v/>
      </c>
      <c r="Q2861">
        <f>IFERROR(1/(IF(Inputs!$B$38="pvp",15,MAX(0.1,Skills!D16-IF(Skills!E16=TRUE,4.0,0)))*(1-IF(AND(ArtifactsInput!$M$27,Inputs!$B$4="Chapter Hunt"),CHOOSE(ArtifactsInput!$N$27+1,20,24,28,32,36,40),0)/100)),0)</f>
        <v/>
      </c>
      <c r="R2861">
        <f>IF(AND(Inputs!$B$38&lt;&gt;"pvp",Inputs!$B$43&gt;0),IF(Inputs!$B$43&lt;=0,0,(INT(Inputs!$B$43/(IF(Inputs!$B$38="pvp",15,MAX(0.1,Skills!D16-IF(Skills!E16=TRUE,4.0,0)))*(1-IF(AND(ArtifactsInput!$M$27,Inputs!$B$4="Chapter Hunt"),CHOOSE(ArtifactsInput!$N$27+1,20,24,28,32,36,40),0)/100)))+1)),0)</f>
        <v/>
      </c>
      <c r="S2861">
        <f>IFERROR(O2861/N2861,0)</f>
        <v/>
      </c>
      <c r="T2861" t="n">
        <v>0</v>
      </c>
      <c r="V2861" t="n">
        <v>0</v>
      </c>
    </row>
    <row r="2862">
      <c r="A2862">
        <f>Skills!A17</f>
        <v/>
      </c>
      <c r="B2862">
        <f>Skills!B17</f>
        <v/>
      </c>
      <c r="C2862">
        <f>Inputs!$B$3&gt;=115</f>
        <v/>
      </c>
      <c r="D2862">
        <f>IF(Skills!C17=1,60+Inputs!$B$25+Inputs!$B$29,IF(Skills!C17=2,90+Inputs!$B$26+Inputs!$B$29,IF(Skills!C17=3,120+Inputs!$B$27+Inputs!$B$29,MAX(0,(Inputs!$B$3-100)*3)+Inputs!$B$28+Inputs!$B$29)))</f>
        <v/>
      </c>
      <c r="E2862">
        <f>INDEX(FactorTable!$B$2:$Y$301, MATCH(ROUND(MIN(300,MAX(1,D2862)),0), FactorTable!$A$2:$A$301,0), Skills!M17+1)</f>
        <v/>
      </c>
      <c r="F2862">
        <f>IF(Skills!N17=TRUE,(Skills!L17/10)*(E2862/1000),Skills!L17/10)+Skills!O17</f>
        <v/>
      </c>
      <c r="G2862">
        <f>Skills!G17*IF(Skills!H17&gt;0,Skills!I17/Skills!H17,1)</f>
        <v/>
      </c>
      <c r="H2862">
        <f>1-(1-Skills!J17/100)^Skills!K17</f>
        <v/>
      </c>
      <c r="I2862" t="inlineStr">
        <is>
          <t>1</t>
        </is>
      </c>
      <c r="J2862" t="inlineStr"/>
      <c r="K2862" t="inlineStr"/>
      <c r="L2862" t="inlineStr"/>
      <c r="M2862" t="inlineStr"/>
      <c r="N2862" t="inlineStr"/>
      <c r="O2862">
        <f>(1-Summary!$B$11)*T2862+Summary!$B$11*V2862</f>
        <v/>
      </c>
      <c r="P2862">
        <f>IF(B2882=0,0,O2862/B2882)</f>
        <v/>
      </c>
      <c r="Q2862">
        <f>IFERROR(1/(IF(Inputs!$B$38="pvp",15,MAX(0.1,Skills!D17-IF(Skills!E17=TRUE,4.0,0)))*(1-IF(AND(ArtifactsInput!$M$27,Inputs!$B$4="Chapter Hunt"),CHOOSE(ArtifactsInput!$N$27+1,20,24,28,32,36,40),0)/100)),0)</f>
        <v/>
      </c>
      <c r="R2862">
        <f>IF(AND(Inputs!$B$38&lt;&gt;"pvp",Inputs!$B$43&gt;0),IF(Inputs!$B$43&lt;=0,0,(INT(Inputs!$B$43/(IF(Inputs!$B$38="pvp",15,MAX(0.1,Skills!D17-IF(Skills!E17=TRUE,4.0,0)))*(1-IF(AND(ArtifactsInput!$M$27,Inputs!$B$4="Chapter Hunt"),CHOOSE(ArtifactsInput!$N$27+1,20,24,28,32,36,40),0)/100)))+1)),0)</f>
        <v/>
      </c>
      <c r="S2862">
        <f>IFERROR(O2862/N2862,0)</f>
        <v/>
      </c>
      <c r="T2862" t="n">
        <v>0</v>
      </c>
      <c r="V2862" t="n">
        <v>0</v>
      </c>
    </row>
    <row r="2863">
      <c r="A2863">
        <f>Skills!A18</f>
        <v/>
      </c>
      <c r="B2863">
        <f>Skills!B18</f>
        <v/>
      </c>
      <c r="C2863">
        <f>Inputs!$B$3&gt;=74</f>
        <v/>
      </c>
      <c r="D2863">
        <f>IF(Skills!C18=1,60+Inputs!$B$25+Inputs!$B$29,IF(Skills!C18=2,90+Inputs!$B$26+Inputs!$B$29,IF(Skills!C18=3,120+Inputs!$B$27+Inputs!$B$29,MAX(0,(Inputs!$B$3-100)*3)+Inputs!$B$28+Inputs!$B$29)))</f>
        <v/>
      </c>
      <c r="E2863">
        <f>INDEX(FactorTable!$B$2:$Y$301, MATCH(ROUND(MIN(300,MAX(1,D2863)),0), FactorTable!$A$2:$A$301,0), Skills!M18+1)</f>
        <v/>
      </c>
      <c r="F2863">
        <f>IF(Skills!N18=TRUE,(Skills!L18/10)*(E2863/1000),Skills!L18/10)+Skills!O18</f>
        <v/>
      </c>
      <c r="G2863">
        <f>Skills!G18*IF(Skills!H18&gt;0,Skills!I18/Skills!H18,1)</f>
        <v/>
      </c>
      <c r="H2863">
        <f>1-(1-Skills!J18/100)^Skills!K18</f>
        <v/>
      </c>
      <c r="I2863" t="inlineStr">
        <is>
          <t>1</t>
        </is>
      </c>
      <c r="J2863" t="inlineStr"/>
      <c r="K2863" t="inlineStr"/>
      <c r="L2863" t="inlineStr"/>
      <c r="M2863" t="inlineStr"/>
      <c r="N2863" t="inlineStr"/>
      <c r="O2863">
        <f>(1-Summary!$B$11)*T2863+Summary!$B$11*V2863</f>
        <v/>
      </c>
      <c r="P2863">
        <f>IF(B2882=0,0,O2863/B2882)</f>
        <v/>
      </c>
      <c r="Q2863">
        <f>IFERROR(1/(IF(Inputs!$B$38="pvp",15,MAX(0.1,Skills!D18-IF(Skills!E18=TRUE,4.0,0)))*(1-IF(AND(ArtifactsInput!$M$27,Inputs!$B$4="Chapter Hunt"),CHOOSE(ArtifactsInput!$N$27+1,20,24,28,32,36,40),0)/100)),0)</f>
        <v/>
      </c>
      <c r="R2863">
        <f>IF(AND(Inputs!$B$38&lt;&gt;"pvp",Inputs!$B$43&gt;0),IF(Inputs!$B$43&lt;=0,0,(INT(Inputs!$B$43/(IF(Inputs!$B$38="pvp",15,MAX(0.1,Skills!D18-IF(Skills!E18=TRUE,4.0,0)))*(1-IF(AND(ArtifactsInput!$M$27,Inputs!$B$4="Chapter Hunt"),CHOOSE(ArtifactsInput!$N$27+1,20,24,28,32,36,40),0)/100)))+1)),0)</f>
        <v/>
      </c>
      <c r="S2863">
        <f>IFERROR(O2863/N2863,0)</f>
        <v/>
      </c>
      <c r="T2863" t="n">
        <v>0</v>
      </c>
      <c r="V2863" t="n">
        <v>0</v>
      </c>
    </row>
    <row r="2864">
      <c r="A2864">
        <f>Skills!A19</f>
        <v/>
      </c>
      <c r="B2864">
        <f>Skills!B19</f>
        <v/>
      </c>
      <c r="C2864">
        <f>TRUE</f>
        <v/>
      </c>
      <c r="D2864">
        <f>IF(Skills!C19=1,60+Inputs!$B$25+Inputs!$B$29,IF(Skills!C19=2,90+Inputs!$B$26+Inputs!$B$29,IF(Skills!C19=3,120+Inputs!$B$27+Inputs!$B$29,MAX(0,(Inputs!$B$3-100)*3)+Inputs!$B$28+Inputs!$B$29)))</f>
        <v/>
      </c>
      <c r="E2864">
        <f>INDEX(FactorTable!$B$2:$Y$301, MATCH(ROUND(MIN(300,MAX(1,D2864)),0), FactorTable!$A$2:$A$301,0), Skills!M19+1)</f>
        <v/>
      </c>
      <c r="F2864">
        <f>IF(Skills!N19=TRUE,(Skills!L19/10)*(E2864/1000),Skills!L19/10)+Skills!O19</f>
        <v/>
      </c>
      <c r="G2864">
        <f>Skills!G19*IF(Skills!H19&gt;0,Skills!I19/Skills!H19,1)</f>
        <v/>
      </c>
      <c r="H2864">
        <f>1-(1-Skills!J19/100)^Skills!K19</f>
        <v/>
      </c>
      <c r="I2864" t="inlineStr">
        <is>
          <t>1</t>
        </is>
      </c>
      <c r="J2864" t="inlineStr"/>
      <c r="K2864" t="inlineStr"/>
      <c r="L2864" t="inlineStr"/>
      <c r="M2864" t="inlineStr"/>
      <c r="N2864" t="inlineStr"/>
      <c r="O2864">
        <f>(1-Summary!$B$11)*T2864+Summary!$B$11*V2864</f>
        <v/>
      </c>
      <c r="P2864">
        <f>IF(B2882=0,0,O2864/B2882)</f>
        <v/>
      </c>
      <c r="Q2864">
        <f>IFERROR(1/(IF(Inputs!$B$38="pvp",15,MAX(0.1,Skills!D19-IF(Skills!E19=TRUE,4.0,0)))*(1-IF(AND(ArtifactsInput!$M$27,Inputs!$B$4="Chapter Hunt"),CHOOSE(ArtifactsInput!$N$27+1,20,24,28,32,36,40),0)/100)),0)</f>
        <v/>
      </c>
      <c r="R2864">
        <f>IF(AND(Inputs!$B$38&lt;&gt;"pvp",Inputs!$B$43&gt;0),IF(Inputs!$B$43&lt;=0,0,(INT(Inputs!$B$43/(IF(Inputs!$B$38="pvp",15,MAX(0.1,Skills!D19-IF(Skills!E19=TRUE,4.0,0)))*(1-IF(AND(ArtifactsInput!$M$27,Inputs!$B$4="Chapter Hunt"),CHOOSE(ArtifactsInput!$N$27+1,20,24,28,32,36,40),0)/100)))+1)),0)</f>
        <v/>
      </c>
      <c r="S2864">
        <f>IFERROR(O2864/N2864,0)</f>
        <v/>
      </c>
      <c r="T2864" t="n">
        <v>0</v>
      </c>
      <c r="V2864" t="n">
        <v>0</v>
      </c>
    </row>
    <row r="2865">
      <c r="A2865">
        <f>Skills!A20</f>
        <v/>
      </c>
      <c r="B2865">
        <f>Skills!B20</f>
        <v/>
      </c>
      <c r="C2865">
        <f>Inputs!$B$3&gt;=33</f>
        <v/>
      </c>
      <c r="D2865">
        <f>IF(Skills!C20=1,60+Inputs!$B$25+Inputs!$B$29,IF(Skills!C20=2,90+Inputs!$B$26+Inputs!$B$29,IF(Skills!C20=3,120+Inputs!$B$27+Inputs!$B$29,MAX(0,(Inputs!$B$3-100)*3)+Inputs!$B$28+Inputs!$B$29)))</f>
        <v/>
      </c>
      <c r="E2865">
        <f>INDEX(FactorTable!$B$2:$Y$301, MATCH(ROUND(MIN(300,MAX(1,D2865)),0), FactorTable!$A$2:$A$301,0), Skills!M20+1)</f>
        <v/>
      </c>
      <c r="F2865">
        <f>IF(Skills!N20=TRUE,(Skills!L20/10)*(E2865/1000),Skills!L20/10)+Skills!O20</f>
        <v/>
      </c>
      <c r="G2865">
        <f>Skills!G20*IF(Skills!H20&gt;0,Skills!I20/Skills!H20,1)</f>
        <v/>
      </c>
      <c r="H2865">
        <f>1-(1-Skills!J20/100)^Skills!K20</f>
        <v/>
      </c>
      <c r="I2865" t="inlineStr">
        <is>
          <t>1</t>
        </is>
      </c>
      <c r="J2865" t="inlineStr"/>
      <c r="K2865" t="inlineStr"/>
      <c r="L2865" t="inlineStr"/>
      <c r="M2865" t="inlineStr"/>
      <c r="N2865" t="inlineStr"/>
      <c r="O2865">
        <f>(1-Summary!$B$11)*T2865+Summary!$B$11*V2865</f>
        <v/>
      </c>
      <c r="P2865">
        <f>IF(B2882=0,0,O2865/B2882)</f>
        <v/>
      </c>
      <c r="Q2865" t="n">
        <v>0</v>
      </c>
      <c r="R2865" t="n">
        <v>0</v>
      </c>
      <c r="S2865">
        <f>IFERROR(O2865/N2865,0)</f>
        <v/>
      </c>
      <c r="T2865" t="n">
        <v>0</v>
      </c>
      <c r="V2865" t="n">
        <v>0</v>
      </c>
    </row>
    <row r="2866">
      <c r="A2866">
        <f>Skills!A21</f>
        <v/>
      </c>
      <c r="B2866">
        <f>Skills!B21</f>
        <v/>
      </c>
      <c r="C2866">
        <f>Inputs!$B$3&gt;=38</f>
        <v/>
      </c>
      <c r="D2866">
        <f>IF(Skills!C21=1,60+Inputs!$B$25+Inputs!$B$29,IF(Skills!C21=2,90+Inputs!$B$26+Inputs!$B$29,IF(Skills!C21=3,120+Inputs!$B$27+Inputs!$B$29,MAX(0,(Inputs!$B$3-100)*3)+Inputs!$B$28+Inputs!$B$29)))</f>
        <v/>
      </c>
      <c r="E2866">
        <f>INDEX(FactorTable!$B$2:$Y$301, MATCH(ROUND(MIN(300,MAX(1,D2866)),0), FactorTable!$A$2:$A$301,0), Skills!M21+1)</f>
        <v/>
      </c>
      <c r="F2866">
        <f>IF(Skills!N21=TRUE,(Skills!L21/10)*(E2866/1000),Skills!L21/10)+Skills!O21</f>
        <v/>
      </c>
      <c r="G2866">
        <f>Skills!G21*IF(Skills!H21&gt;0,Skills!I21/Skills!H21,1)</f>
        <v/>
      </c>
      <c r="H2866">
        <f>1-(1-Skills!J21/100)^Skills!K21</f>
        <v/>
      </c>
      <c r="I2866" t="inlineStr">
        <is>
          <t>1</t>
        </is>
      </c>
      <c r="J2866" t="inlineStr"/>
      <c r="K2866" t="inlineStr"/>
      <c r="L2866" t="inlineStr"/>
      <c r="M2866" t="inlineStr"/>
      <c r="N2866" t="inlineStr"/>
      <c r="O2866">
        <f>(1-Summary!$B$11)*T2866+Summary!$B$11*V2866</f>
        <v/>
      </c>
      <c r="P2866">
        <f>IF(B2882=0,0,O2866/B2882)</f>
        <v/>
      </c>
      <c r="Q2866" t="n">
        <v>0</v>
      </c>
      <c r="R2866" t="n">
        <v>0</v>
      </c>
      <c r="S2866">
        <f>IFERROR(O2866/N2866,0)</f>
        <v/>
      </c>
      <c r="T2866" t="n">
        <v>0</v>
      </c>
      <c r="V2866" t="n">
        <v>0</v>
      </c>
    </row>
    <row r="2867">
      <c r="A2867">
        <f>Skills!A22</f>
        <v/>
      </c>
      <c r="B2867">
        <f>Skills!B22</f>
        <v/>
      </c>
      <c r="C2867">
        <f>Inputs!$B$3&gt;=43</f>
        <v/>
      </c>
      <c r="D2867">
        <f>IF(Skills!C22=1,60+Inputs!$B$25+Inputs!$B$29,IF(Skills!C22=2,90+Inputs!$B$26+Inputs!$B$29,IF(Skills!C22=3,120+Inputs!$B$27+Inputs!$B$29,MAX(0,(Inputs!$B$3-100)*3)+Inputs!$B$28+Inputs!$B$29)))</f>
        <v/>
      </c>
      <c r="E2867">
        <f>INDEX(FactorTable!$B$2:$Y$301, MATCH(ROUND(MIN(300,MAX(1,D2867)),0), FactorTable!$A$2:$A$301,0), Skills!M22+1)</f>
        <v/>
      </c>
      <c r="F2867">
        <f>IF(Skills!N22=TRUE,(Skills!L22/10)*(E2867/1000),Skills!L22/10)+Skills!O22</f>
        <v/>
      </c>
      <c r="G2867">
        <f>Skills!G22*IF(Skills!H22&gt;0,Skills!I22/Skills!H22,1)</f>
        <v/>
      </c>
      <c r="H2867">
        <f>1-(1-Skills!J22/100)^Skills!K22</f>
        <v/>
      </c>
      <c r="I2867" t="inlineStr">
        <is>
          <t>1</t>
        </is>
      </c>
      <c r="J2867" t="inlineStr"/>
      <c r="K2867" t="inlineStr"/>
      <c r="L2867" t="inlineStr"/>
      <c r="M2867" t="inlineStr"/>
      <c r="N2867" t="inlineStr"/>
      <c r="O2867">
        <f>(1-Summary!$B$11)*T2867+Summary!$B$11*V2867</f>
        <v/>
      </c>
      <c r="P2867">
        <f>IF(B2882=0,0,O2867/B2882)</f>
        <v/>
      </c>
      <c r="Q2867" t="n">
        <v>0</v>
      </c>
      <c r="R2867" t="n">
        <v>0</v>
      </c>
      <c r="S2867">
        <f>IFERROR(O2867/N2867,0)</f>
        <v/>
      </c>
      <c r="T2867" t="n">
        <v>0</v>
      </c>
      <c r="V2867" t="n">
        <v>0</v>
      </c>
    </row>
    <row r="2868">
      <c r="A2868">
        <f>Skills!A23</f>
        <v/>
      </c>
      <c r="B2868">
        <f>Skills!B23</f>
        <v/>
      </c>
      <c r="C2868">
        <f>Inputs!$B$3&gt;=120</f>
        <v/>
      </c>
      <c r="D2868">
        <f>IF(Skills!C23=1,60+Inputs!$B$25+Inputs!$B$29,IF(Skills!C23=2,90+Inputs!$B$26+Inputs!$B$29,IF(Skills!C23=3,120+Inputs!$B$27+Inputs!$B$29,MAX(0,(Inputs!$B$3-100)*3)+Inputs!$B$28+Inputs!$B$29)))</f>
        <v/>
      </c>
      <c r="E2868">
        <f>INDEX(FactorTable!$B$2:$Y$301, MATCH(ROUND(MIN(300,MAX(1,D2868)),0), FactorTable!$A$2:$A$301,0), Skills!M23+1)</f>
        <v/>
      </c>
      <c r="F2868">
        <f>IF(Skills!N23=TRUE,(Skills!L23/10)*(E2868/1000),Skills!L23/10)+Skills!O23</f>
        <v/>
      </c>
      <c r="G2868">
        <f>Skills!G23*IF(Skills!H23&gt;0,Skills!I23/Skills!H23,1)</f>
        <v/>
      </c>
      <c r="H2868">
        <f>1-(1-Skills!J23/100)^Skills!K23</f>
        <v/>
      </c>
      <c r="I2868" t="inlineStr">
        <is>
          <t>1</t>
        </is>
      </c>
      <c r="J2868" t="inlineStr"/>
      <c r="K2868" t="inlineStr"/>
      <c r="L2868" t="inlineStr"/>
      <c r="M2868" t="inlineStr"/>
      <c r="N2868" t="inlineStr"/>
      <c r="O2868">
        <f>(1-Summary!$B$11)*T2868+Summary!$B$11*V2868</f>
        <v/>
      </c>
      <c r="P2868">
        <f>IF(B2882=0,0,O2868/B2882)</f>
        <v/>
      </c>
      <c r="Q2868" t="n">
        <v>0</v>
      </c>
      <c r="R2868" t="n">
        <v>0</v>
      </c>
      <c r="S2868">
        <f>IFERROR(O2868/N2868,0)</f>
        <v/>
      </c>
      <c r="T2868" t="n">
        <v>0</v>
      </c>
      <c r="V2868" t="n">
        <v>0</v>
      </c>
    </row>
    <row r="2869">
      <c r="A2869">
        <f>Skills!A24</f>
        <v/>
      </c>
      <c r="B2869">
        <f>Skills!B24</f>
        <v/>
      </c>
      <c r="C2869">
        <f>Inputs!$B$3&gt;=120</f>
        <v/>
      </c>
      <c r="D2869">
        <f>IF(Skills!C24=1,60+Inputs!$B$25+Inputs!$B$29,IF(Skills!C24=2,90+Inputs!$B$26+Inputs!$B$29,IF(Skills!C24=3,120+Inputs!$B$27+Inputs!$B$29,MAX(0,(Inputs!$B$3-100)*3)+Inputs!$B$28+Inputs!$B$29)))</f>
        <v/>
      </c>
      <c r="E2869">
        <f>INDEX(FactorTable!$B$2:$Y$301, MATCH(ROUND(MIN(300,MAX(1,D2869)),0), FactorTable!$A$2:$A$301,0), Skills!M24+1)</f>
        <v/>
      </c>
      <c r="F2869">
        <f>IF(Skills!N24=TRUE,(Skills!L24/10)*(E2869/1000),Skills!L24/10)+Skills!O24</f>
        <v/>
      </c>
      <c r="G2869">
        <f>Skills!G24*IF(Skills!H24&gt;0,Skills!I24/Skills!H24,1)</f>
        <v/>
      </c>
      <c r="H2869">
        <f>1-(1-Skills!J24/100)^Skills!K24</f>
        <v/>
      </c>
      <c r="I2869" t="inlineStr">
        <is>
          <t>1</t>
        </is>
      </c>
      <c r="J2869" t="inlineStr"/>
      <c r="K2869" t="inlineStr"/>
      <c r="L2869" t="inlineStr"/>
      <c r="M2869" t="inlineStr"/>
      <c r="N2869" t="inlineStr"/>
      <c r="O2869">
        <f>(1-Summary!$B$11)*T2869+Summary!$B$11*V2869</f>
        <v/>
      </c>
      <c r="P2869">
        <f>IF(B2882=0,0,O2869/B2882)</f>
        <v/>
      </c>
      <c r="Q2869" t="n">
        <v>0</v>
      </c>
      <c r="R2869" t="n">
        <v>0</v>
      </c>
      <c r="S2869">
        <f>IFERROR(O2869/N2869,0)</f>
        <v/>
      </c>
      <c r="T2869" t="n">
        <v>0</v>
      </c>
      <c r="V2869" t="n">
        <v>0</v>
      </c>
    </row>
    <row r="2871">
      <c r="A2871" t="inlineStr">
        <is>
          <t>Attack% Bucket Multiplier</t>
        </is>
      </c>
      <c r="B2871">
        <f>(1+(((C2858=TRUE)*F2858*MIN(1,Skills!T13*(Skills!J13/100)*B2876))+((C2863=TRUE)*F2863*IF(AND(Inputs!$B$38&lt;&gt;"pvp",Inputs!$B$43&gt;0),(((R2863-1)*(Skills!T18*(1+Inputs!$B$34/100))+MIN((Skills!T18*(1+Inputs!$B$34/100)),MAX(0,Inputs!$B$43-((R2863-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72">
      <c r="A2872" t="inlineStr">
        <is>
          <t>Global Crit Rate Bonus %</t>
        </is>
      </c>
      <c r="B2872" t="n">
        <v>0</v>
      </c>
    </row>
    <row r="2873">
      <c r="A2873" t="inlineStr">
        <is>
          <t>Attack Speed Buff Bonus %</t>
        </is>
      </c>
      <c r="B2873">
        <f>((C2864=TRUE)*F2864*IF(AND(Inputs!$B$38&lt;&gt;"pvp",Inputs!$B$43&gt;0),(((R2864-1)*(Skills!T19*(1+Inputs!$B$34/100))+MIN((Skills!T19*(1+Inputs!$B$34/100)),MAX(0,Inputs!$B$43-((R2864-1)*Skills!D19))))/Inputs!$B$43),IF(Inputs!$B$38="pvp",MIN((Skills!T19*(1+Inputs!$B$34/100)),15)/15,(Skills!T19*(1+Inputs!$B$34/100))/Skills!D19)))</f>
        <v/>
      </c>
    </row>
    <row r="2874">
      <c r="A2874" t="inlineStr">
        <is>
          <t>Actions Per Second</t>
        </is>
      </c>
      <c r="B2874">
        <f>1+MIN(150,150*(1-(1-(Inputs!$B$11+((C2865=TRUE)*(F2865-Calc!F20)))/150)*(1-B2873/150)))/100</f>
        <v/>
      </c>
    </row>
    <row r="2875">
      <c r="A2875" t="inlineStr">
        <is>
          <t>Skill + Buff Cast Rate</t>
        </is>
      </c>
      <c r="B2875">
        <f>IF(AND(Inputs!$B$38&lt;&gt;"pvp",Inputs!$B$43&gt;0),SUMPRODUCT((Skills!E2:E24=TRUE)*(C2847:C2869=TRUE)*R2847:R2869*Skills!F2:F24)/Inputs!$B$43,SUMPRODUCT((Skills!E2:E24=TRUE)*(C2847:C2869=TRUE)*Q2847:Q2869*Skills!F2:F24))</f>
        <v/>
      </c>
    </row>
    <row r="2876">
      <c r="A2876" t="inlineStr">
        <is>
          <t>Blast Casts Per Second</t>
        </is>
      </c>
      <c r="B2876">
        <f>MAX(0,B2874-B2875)</f>
        <v/>
      </c>
    </row>
    <row r="2877">
      <c r="A2877" t="inlineStr">
        <is>
          <t>Global Critical Damage Bonus % (unused)</t>
        </is>
      </c>
      <c r="B2877" t="n">
        <v>0</v>
      </c>
    </row>
    <row r="2878">
      <c r="A2878" t="inlineStr">
        <is>
          <t>Global Final Damage Bonus % (Divine Shield + Guardian + Divine Blessing + Greater Vessel of Light)</t>
        </is>
      </c>
      <c r="B2878">
        <f>((C2860=TRUE)*F2860*IF(AND(Inputs!$B$38&lt;&gt;"pvp",Inputs!$B$43&gt;0),(((R2860-1)*(Skills!T15*(1+Inputs!$B$34/100))+MIN((Skills!T15*(1+Inputs!$B$34/100)),MAX(0,Inputs!$B$43-((R2860-1)*Skills!D15))))/Inputs!$B$43),IF(Inputs!$B$38="pvp",MIN((Skills!T15*(1+Inputs!$B$34/100)),15)/15,(Skills!T15*(1+Inputs!$B$34/100))/Skills!D15)))+((C2861=TRUE)*F2861*IF(AND(Inputs!$B$38&lt;&gt;"pvp",Inputs!$B$43&gt;0),(((R2861-1)*(Skills!T16*(1+Inputs!$B$34/100))+MIN((Skills!T16*(1+Inputs!$B$34/100)),MAX(0,Inputs!$B$43-((R2861-1)*Skills!D16))))/Inputs!$B$43),IF(Inputs!$B$38="pvp",MIN((Skills!T16*(1+Inputs!$B$34/100)),15)/15,(Skills!T16*(1+Inputs!$B$34/100))/Skills!D16)))+((C2862=TRUE)*F2862*IF(AND(Inputs!$B$38&lt;&gt;"pvp",Inputs!$B$43&gt;0),(((R2862-1)*(Skills!T17*(1+Inputs!$B$34/100))+MIN((Skills!T17*(1+Inputs!$B$34/100)),MAX(0,Inputs!$B$43-((R2862-1)*Skills!D17))))/Inputs!$B$43),IF(Inputs!$B$38="pvp",MIN((Skills!T17*(1+Inputs!$B$34/100)),15)/15,(Skills!T17*(1+Inputs!$B$34/100))/Skills!D17)))+((C2859=TRUE)*F2859*MIN(1,Skills!T13*(Skills!J13/100)*B2876))</f>
        <v/>
      </c>
    </row>
    <row r="2879">
      <c r="A2879" t="inlineStr">
        <is>
          <t>Buff-Casting Startup Delay (s, fixed-duration only)</t>
        </is>
      </c>
      <c r="B2879">
        <f>IF(AND(Inputs!$B$38&lt;&gt;"pvp",Inputs!$B$43&gt;0),SUMPRODUCT((Skills!T2:T24&gt;0)*(Skills!E2:E24=TRUE)*(C2847:C2869=TRUE))/B2874,0)</f>
        <v/>
      </c>
    </row>
    <row r="2880">
      <c r="A2880" t="inlineStr">
        <is>
          <t>Boss-Only Total DPS (this block's swept value)</t>
        </is>
      </c>
      <c r="B2880">
        <f>SUM(T2847:T2869)</f>
        <v/>
      </c>
    </row>
    <row r="2881">
      <c r="A2881" t="inlineStr">
        <is>
          <t>Normal-Only Total DPS (this block's swept value)</t>
        </is>
      </c>
      <c r="B2881">
        <f>SUM(V2847:V2869)</f>
        <v/>
      </c>
    </row>
    <row r="2882">
      <c r="A2882" s="6" t="inlineStr">
        <is>
          <t>TOTAL DPS</t>
        </is>
      </c>
      <c r="B2882" s="6">
        <f>SUM(O2847:O2869)</f>
        <v/>
      </c>
    </row>
    <row r="2885">
      <c r="A2885" s="6" t="inlineStr">
        <is>
          <t>Stat: CDR = 4.5s</t>
        </is>
      </c>
    </row>
    <row r="2886">
      <c r="A2886" s="5" t="inlineStr">
        <is>
          <t>Key</t>
        </is>
      </c>
      <c r="B2886" s="5" t="inlineStr">
        <is>
          <t>Name</t>
        </is>
      </c>
      <c r="C2886" s="5" t="inlineStr">
        <is>
          <t>Unlocked</t>
        </is>
      </c>
      <c r="D2886" s="5" t="inlineStr">
        <is>
          <t>InputLevel</t>
        </is>
      </c>
      <c r="E2886" s="5" t="inlineStr">
        <is>
          <t>Factor</t>
        </is>
      </c>
      <c r="F2886" s="5" t="inlineStr">
        <is>
          <t>CoefficientPercent</t>
        </is>
      </c>
      <c r="G2886" s="5" t="inlineStr">
        <is>
          <t>EffectiveHits</t>
        </is>
      </c>
      <c r="H2886" s="5" t="inlineStr">
        <is>
          <t>ProcProbability</t>
        </is>
      </c>
      <c r="I2886" s="5" t="inlineStr">
        <is>
          <t>MapleHeroMultiplier</t>
        </is>
      </c>
      <c r="J2886" s="5" t="inlineStr">
        <is>
          <t>BaseDamage</t>
        </is>
      </c>
      <c r="K2886" s="5" t="inlineStr">
        <is>
          <t>BaseHitDamage</t>
        </is>
      </c>
      <c r="L2886" s="5" t="inlineStr">
        <is>
          <t>NonCritAvg</t>
        </is>
      </c>
      <c r="M2886" s="5" t="inlineStr">
        <is>
          <t>CritAvg</t>
        </is>
      </c>
      <c r="N2886" s="5" t="inlineStr">
        <is>
          <t>ExpectedDamage(perHit)</t>
        </is>
      </c>
      <c r="O2886" s="5" t="inlineStr">
        <is>
          <t>DPS</t>
        </is>
      </c>
      <c r="P2886" s="5" t="inlineStr">
        <is>
          <t>% of Total</t>
        </is>
      </c>
      <c r="Q2886" s="5" t="inlineStr">
        <is>
          <t>InvCooldown</t>
        </is>
      </c>
      <c r="R2886" s="5" t="inlineStr">
        <is>
          <t>CastsInFight</t>
        </is>
      </c>
      <c r="S2886" s="5" t="inlineStr">
        <is>
          <t>HitRate(perSec)</t>
        </is>
      </c>
      <c r="U2886" t="inlineStr">
        <is>
          <t>helpers</t>
        </is>
      </c>
    </row>
    <row r="2887">
      <c r="A2887">
        <f>Skills!A2</f>
        <v/>
      </c>
      <c r="B2887">
        <f>Skills!B2</f>
        <v/>
      </c>
      <c r="C2887">
        <f>Inputs!$B$3&gt;=100</f>
        <v/>
      </c>
      <c r="D2887" t="inlineStr"/>
      <c r="E2887" t="inlineStr"/>
      <c r="F2887">
        <f>U2889+Skills!O2</f>
        <v/>
      </c>
      <c r="G2887">
        <f>Skills!G2*IF(Skills!H2&gt;0,Skills!I2/Skills!H2,1)</f>
        <v/>
      </c>
      <c r="H2887">
        <f>1-(1-Skills!J2/100)^Skills!K2</f>
        <v/>
      </c>
      <c r="I2887" t="inlineStr">
        <is>
          <t>1</t>
        </is>
      </c>
      <c r="J2887">
        <f>((Inputs!$B$6*(1+Inputs!$B$7/100))+(((Inputs!$B$12*(1+Inputs!$B$13/100))-(Inputs!$B$12*(1+Inputs!$B$13/100)))+0.25*(Inputs!$B$14-Inputs!$B$14))*(1+Inputs!$B$7/100))*(F2887/100)</f>
        <v/>
      </c>
      <c r="K2887">
        <f>J2887*(1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2887)</f>
        <v/>
      </c>
      <c r="L2887">
        <f>K2887*(MIN(Inputs!$B$22+((C2907=TRUE)*(F2907-Calc!F22)),(Inputs!$B$23+((C2909=TRUE)*(F2909-Calc!F24))+(IF(ArtifactsInput!$M$15,CHOOSE(ArtifactsInput!$N$15+1,25,30,35,40,45,50)/100*(Inputs!$B$11-Inputs!$B$11),0))))/100+(Inputs!$B$23+((C2909=TRUE)*(F2909-Calc!F24))+(IF(ArtifactsInput!$M$15,CHOOSE(ArtifactsInput!$N$15+1,25,30,35,40,45,50)/100*(Inputs!$B$11-Inputs!$B$11),0)))/100)/2</f>
        <v/>
      </c>
      <c r="M2887">
        <f>L2887*(1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7">
        <f>L2887*(1-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2887*(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7">
        <f>(1-Summary!$B$11)*T2887+Summary!$B$11*V2887</f>
        <v/>
      </c>
      <c r="P2887">
        <f>IF(B2922=0,0,O2887/B2922)</f>
        <v/>
      </c>
      <c r="Q2887" t="n">
        <v>0</v>
      </c>
      <c r="R2887" t="n">
        <v>0</v>
      </c>
      <c r="S2887">
        <f>IFERROR(O2887/N2887,0)</f>
        <v/>
      </c>
      <c r="T2887">
        <f>IF(C2887,(Skills!G2*N2887*B2916)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2887*(1-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2887*(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2887*(1-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2887*(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7">
        <f>MAX(0,(Inputs!$B$3-100)*3)+Inputs!$B$28+Inputs!$B$29</f>
        <v/>
      </c>
      <c r="V2887">
        <f>IF(C2887,(Skills!G2*N2887*B2916)*IF(Inputs!$B$38="pvp",1,(1+(Inputs!$B$21+Skills!Q2+(IF(ArtifactsInput!$M$33,CHOOSE(ArtifactsInput!$N$33+1,30,36,42,48,54,60),0))+(IF(AND(ArtifactsInput!$M$35,Inputs!$B$4&lt;&gt;"Chapter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8">
      <c r="A2888">
        <f>Skills!A3</f>
        <v/>
      </c>
      <c r="B2888">
        <f>Skills!B3</f>
        <v/>
      </c>
      <c r="C2888">
        <f>Inputs!$B$3&gt;=50</f>
        <v/>
      </c>
      <c r="D2888">
        <f>IF(Skills!C3=1,60+Inputs!$B$25+Inputs!$B$29,IF(Skills!C3=2,90+Inputs!$B$26+Inputs!$B$29,IF(Skills!C3=3,120+Inputs!$B$27+Inputs!$B$29,MAX(0,(Inputs!$B$3-100)*3)+Inputs!$B$28+Inputs!$B$29)))</f>
        <v/>
      </c>
      <c r="E2888">
        <f>INDEX(FactorTable!$B$2:$Y$301, MATCH(ROUND(MIN(300,MAX(1,D2888)),0), FactorTable!$A$2:$A$301,0), Skills!M3+1)</f>
        <v/>
      </c>
      <c r="F2888">
        <f>IF(Skills!N3=TRUE,(Skills!L3/10)*(E2888/1000),Skills!L3/10)+Skills!O3</f>
        <v/>
      </c>
      <c r="G2888" t="inlineStr"/>
      <c r="H2888" t="inlineStr"/>
      <c r="I2888" t="inlineStr">
        <is>
          <t>1</t>
        </is>
      </c>
      <c r="J2888" t="inlineStr"/>
      <c r="K2888" t="inlineStr"/>
      <c r="L2888" t="inlineStr"/>
      <c r="M2888" t="inlineStr"/>
      <c r="N2888" t="inlineStr"/>
      <c r="O2888" t="inlineStr"/>
      <c r="P2888" t="inlineStr"/>
      <c r="Q2888" t="inlineStr"/>
      <c r="R2888" t="inlineStr"/>
      <c r="S2888" t="inlineStr"/>
      <c r="U2888">
        <f>INDEX(FactorTable!$B$2:$Y$301, MATCH(ROUND(MIN(300,MAX(1,U2887)),0), FactorTable!$A$2:$A$301,0), 22)</f>
        <v/>
      </c>
    </row>
    <row r="2889">
      <c r="A2889">
        <f>Skills!A4</f>
        <v/>
      </c>
      <c r="B2889">
        <f>Skills!B4</f>
        <v/>
      </c>
      <c r="C2889">
        <f>Inputs!$B$3&gt;=35</f>
        <v/>
      </c>
      <c r="D2889">
        <f>IF(Skills!C4=1,60+Inputs!$B$25+Inputs!$B$29,IF(Skills!C4=2,90+Inputs!$B$26+Inputs!$B$29,IF(Skills!C4=3,120+Inputs!$B$27+Inputs!$B$29,MAX(0,(Inputs!$B$3-100)*3)+Inputs!$B$28+Inputs!$B$29)))</f>
        <v/>
      </c>
      <c r="E2889">
        <f>INDEX(FactorTable!$B$2:$Y$301, MATCH(ROUND(MIN(300,MAX(1,D2889)),0), FactorTable!$A$2:$A$301,0), Skills!M4+1)</f>
        <v/>
      </c>
      <c r="F2889">
        <f>IF(Skills!N4=TRUE,(Skills!L4/10)*(E2889/1000),Skills!L4/10)+Skills!O4</f>
        <v/>
      </c>
      <c r="G2889">
        <f>Skills!G4*IF(Skills!H4&gt;0,Skills!I4/Skills!H4,1)</f>
        <v/>
      </c>
      <c r="H2889">
        <f>1-(1-Skills!J4/100)^Skills!K4</f>
        <v/>
      </c>
      <c r="I2889" t="inlineStr">
        <is>
          <t>1</t>
        </is>
      </c>
      <c r="J2889">
        <f>((Inputs!$B$6*(1+Inputs!$B$7/100))+(((Inputs!$B$12*(1+Inputs!$B$13/100))-(Inputs!$B$12*(1+Inputs!$B$13/100)))+0.25*(Inputs!$B$14-Inputs!$B$14))*(1+Inputs!$B$7/100))*(F2889/100)</f>
        <v/>
      </c>
      <c r="K2889">
        <f>J2889*(1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2897=TRUE,F2897,0)/100)*(1+(IF(Skills!A4="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2889)</f>
        <v/>
      </c>
      <c r="L2889">
        <f>K2889*(MIN(Inputs!$B$22+((C2907=TRUE)*(F2907-Calc!F22)),(Inputs!$B$23+((C2909=TRUE)*(F2909-Calc!F24))+(IF(ArtifactsInput!$M$15,CHOOSE(ArtifactsInput!$N$15+1,25,30,35,40,45,50)/100*(Inputs!$B$11-Inputs!$B$11),0))))/100+(Inputs!$B$23+((C2909=TRUE)*(F2909-Calc!F24))+(IF(ArtifactsInput!$M$15,CHOOSE(ArtifactsInput!$N$15+1,25,30,35,40,45,50)/100*(Inputs!$B$11-Inputs!$B$11),0)))/100)/2</f>
        <v/>
      </c>
      <c r="M2889">
        <f>L2889*(1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9">
        <f>L2889*(1-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2889*(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9">
        <f>(1-Summary!$B$11)*T2889+Summary!$B$11*V2889</f>
        <v/>
      </c>
      <c r="P2889">
        <f>IF(B2922=0,0,O2889/B2922)</f>
        <v/>
      </c>
      <c r="Q2889">
        <f>IFERROR(1/(IF(Inputs!$B$38="pvp",15,MAX(0.1,Skills!D4-IF(Skills!E4=TRUE,4.5,0)))*(1-IF(AND(ArtifactsInput!$M$27,Inputs!$B$4="Chapter Hunt"),CHOOSE(ArtifactsInput!$N$27+1,20,24,28,32,36,40),0)/100)),0)</f>
        <v/>
      </c>
      <c r="R2889">
        <f>IF(AND(Inputs!$B$38&lt;&gt;"pvp",Inputs!$B$43&gt;0),IF(MAX(0,Inputs!$B$43-B2919)&lt;=0,0,(INT(MAX(0,Inputs!$B$43-B2919)/(IF(Inputs!$B$38="pvp",15,MAX(0.1,Skills!D4-IF(Skills!E4=TRUE,4.5,0)))*(1-IF(AND(ArtifactsInput!$M$27,Inputs!$B$4="Chapter Hunt"),CHOOSE(ArtifactsInput!$N$27+1,20,24,28,32,36,40),0)/100)))+1)),0)</f>
        <v/>
      </c>
      <c r="S2889">
        <f>IFERROR(O2889/N2889,0)</f>
        <v/>
      </c>
      <c r="T2889">
        <f>IF(C2889,(H2889*N2889*IF(AND(Inputs!$B$38&lt;&gt;"pvp",Inputs!$B$43&gt;0),((Skills!G4*((R2889-1)*IF(Skills!H4&gt;0,Skills!I4/Skills!H4,1)+IF(Skills!H4&gt;0,MIN(Skills!I4,MAX(0,MAX(0,Inputs!$B$43-B2919)-((R2889-1)*(IF(Inputs!$B$38="pvp",15,MAX(0.1,Skills!D4-IF(Skills!E4=TRUE,4.5,0)))*(1-IF(AND(ArtifactsInput!$M$27,Inputs!$B$4="Chapter Hunt"),CHOOSE(ArtifactsInput!$N$27+1,20,24,28,32,36,40),0)/100)))))/Skills!H4,1)))/Inputs!$B$43),G2889*Q2889)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2889*(1-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2889*(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2889*(1-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2889*(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9">
        <f>290*U2888/1000</f>
        <v/>
      </c>
      <c r="V2889">
        <f>IF(C2889,(H2889*N2889*IF(AND(Inputs!$B$38&lt;&gt;"pvp",Inputs!$B$43&gt;0),((Skills!G4*((R2889-1)*IF(Skills!H4&gt;0,Skills!I4/Skills!H4,1)+IF(Skills!H4&gt;0,MIN(Skills!I4,MAX(0,MAX(0,Inputs!$B$43-B2919)-((R2889-1)*(IF(Inputs!$B$38="pvp",15,MAX(0.1,Skills!D4-IF(Skills!E4=TRUE,4.5,0)))*(1-IF(AND(ArtifactsInput!$M$27,Inputs!$B$4="Chapter Hunt"),CHOOSE(ArtifactsInput!$N$27+1,20,24,28,32,36,40),0)/100)))))/Skills!H4,1)))/Inputs!$B$43),G2889*Q2889))*IF(Inputs!$B$38="pvp",1,(1+(Inputs!$B$21+Skills!Q4+(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0">
      <c r="A2890">
        <f>Skills!A5</f>
        <v/>
      </c>
      <c r="B2890">
        <f>Skills!B5</f>
        <v/>
      </c>
      <c r="C2890">
        <f>Inputs!$B$3&gt;=66</f>
        <v/>
      </c>
      <c r="D2890">
        <f>IF(Skills!C5=1,60+Inputs!$B$25+Inputs!$B$29,IF(Skills!C5=2,90+Inputs!$B$26+Inputs!$B$29,IF(Skills!C5=3,120+Inputs!$B$27+Inputs!$B$29,MAX(0,(Inputs!$B$3-100)*3)+Inputs!$B$28+Inputs!$B$29)))</f>
        <v/>
      </c>
      <c r="E2890">
        <f>INDEX(FactorTable!$B$2:$Y$301, MATCH(ROUND(MIN(300,MAX(1,D2890)),0), FactorTable!$A$2:$A$301,0), Skills!M5+1)</f>
        <v/>
      </c>
      <c r="F2890">
        <f>IF(Skills!N5=TRUE,(Skills!L5/10)*(E2890/1000),Skills!L5/10)+Skills!O5</f>
        <v/>
      </c>
      <c r="G2890">
        <f>Skills!G5*IF(Skills!H5&gt;0,Skills!I5/Skills!H5,1)</f>
        <v/>
      </c>
      <c r="H2890">
        <f>1-(1-Skills!J5/100)^Skills!K5</f>
        <v/>
      </c>
      <c r="I2890" t="inlineStr">
        <is>
          <t>1</t>
        </is>
      </c>
      <c r="J2890">
        <f>((Inputs!$B$6*(1+Inputs!$B$7/100))+(((Inputs!$B$12*(1+Inputs!$B$13/100))-(Inputs!$B$12*(1+Inputs!$B$13/100)))+0.25*(Inputs!$B$14-Inputs!$B$14))*(1+Inputs!$B$7/100))*(F2890/100)</f>
        <v/>
      </c>
      <c r="K2890">
        <f>J2890*(1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2897=TRUE,F2897,0)/100)*(1+(IF(Skills!A5="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2890)</f>
        <v/>
      </c>
      <c r="L2890">
        <f>K2890*(MIN(Inputs!$B$22+((C2907=TRUE)*(F2907-Calc!F22)),(Inputs!$B$23+((C2909=TRUE)*(F2909-Calc!F24))+(IF(ArtifactsInput!$M$15,CHOOSE(ArtifactsInput!$N$15+1,25,30,35,40,45,50)/100*(Inputs!$B$11-Inputs!$B$11),0))))/100+(Inputs!$B$23+((C2909=TRUE)*(F2909-Calc!F24))+(IF(ArtifactsInput!$M$15,CHOOSE(ArtifactsInput!$N$15+1,25,30,35,40,45,50)/100*(Inputs!$B$11-Inputs!$B$11),0)))/100)/2</f>
        <v/>
      </c>
      <c r="M2890">
        <f>L2890*(1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0">
        <f>L2890*(1-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2890*(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0">
        <f>(1-Summary!$B$11)*T2890+Summary!$B$11*V2890</f>
        <v/>
      </c>
      <c r="P2890">
        <f>IF(B2922=0,0,O2890/B2922)</f>
        <v/>
      </c>
      <c r="Q2890">
        <f>IFERROR(1/(IF(Inputs!$B$38="pvp",15,MAX(0.1,Skills!D5-IF(Skills!E5=TRUE,4.5,0)))*(1-IF(AND(ArtifactsInput!$M$27,Inputs!$B$4="Chapter Hunt"),CHOOSE(ArtifactsInput!$N$27+1,20,24,28,32,36,40),0)/100)),0)</f>
        <v/>
      </c>
      <c r="R2890">
        <f>IF(AND(Inputs!$B$38&lt;&gt;"pvp",Inputs!$B$43&gt;0),IF(MAX(0,Inputs!$B$43-B2919)&lt;=0,0,(INT(MAX(0,Inputs!$B$43-B2919)/(IF(Inputs!$B$38="pvp",15,MAX(0.1,Skills!D5-IF(Skills!E5=TRUE,4.5,0)))*(1-IF(AND(ArtifactsInput!$M$27,Inputs!$B$4="Chapter Hunt"),CHOOSE(ArtifactsInput!$N$27+1,20,24,28,32,36,40),0)/100)))+1)),0)</f>
        <v/>
      </c>
      <c r="S2890">
        <f>IFERROR(O2890/N2890,0)</f>
        <v/>
      </c>
      <c r="T2890">
        <f>IF(C2890,(H2890*N2890*IF(AND(Inputs!$B$38&lt;&gt;"pvp",Inputs!$B$43&gt;0),((Skills!G5*((R2890-1)*IF(Skills!H5&gt;0,Skills!I5/Skills!H5,1)+IF(Skills!H5&gt;0,MIN(Skills!I5,MAX(0,MAX(0,Inputs!$B$43-B2919)-((R2890-1)*(IF(Inputs!$B$38="pvp",15,MAX(0.1,Skills!D5-IF(Skills!E5=TRUE,4.5,0)))*(1-IF(AND(ArtifactsInput!$M$27,Inputs!$B$4="Chapter Hunt"),CHOOSE(ArtifactsInput!$N$27+1,20,24,28,32,36,40),0)/100)))))/Skills!H5,1)))/Inputs!$B$43),G2890*Q2890)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2890*(1-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2890*(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2890*(1-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2890*(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0">
        <f>IF(C2890,(H2890*N2890*IF(AND(Inputs!$B$38&lt;&gt;"pvp",Inputs!$B$43&gt;0),((Skills!G5*((R2890-1)*IF(Skills!H5&gt;0,Skills!I5/Skills!H5,1)+IF(Skills!H5&gt;0,MIN(Skills!I5,MAX(0,MAX(0,Inputs!$B$43-B2919)-((R2890-1)*(IF(Inputs!$B$38="pvp",15,MAX(0.1,Skills!D5-IF(Skills!E5=TRUE,4.5,0)))*(1-IF(AND(ArtifactsInput!$M$27,Inputs!$B$4="Chapter Hunt"),CHOOSE(ArtifactsInput!$N$27+1,20,24,28,32,36,40),0)/100)))))/Skills!H5,1)))/Inputs!$B$43),G2890*Q2890))*IF(Inputs!$B$38="pvp",1,(1+(Inputs!$B$21+Skills!Q5+(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1">
      <c r="A2891">
        <f>Skills!A6</f>
        <v/>
      </c>
      <c r="B2891">
        <f>Skills!B6</f>
        <v/>
      </c>
      <c r="C2891">
        <f>Inputs!$B$3&gt;=103</f>
        <v/>
      </c>
      <c r="D2891">
        <f>IF(Skills!C6=1,60+Inputs!$B$25+Inputs!$B$29,IF(Skills!C6=2,90+Inputs!$B$26+Inputs!$B$29,IF(Skills!C6=3,120+Inputs!$B$27+Inputs!$B$29,MAX(0,(Inputs!$B$3-100)*3)+Inputs!$B$28+Inputs!$B$29)))</f>
        <v/>
      </c>
      <c r="E2891">
        <f>INDEX(FactorTable!$B$2:$Y$301, MATCH(ROUND(MIN(300,MAX(1,D2891)),0), FactorTable!$A$2:$A$301,0), Skills!M6+1)</f>
        <v/>
      </c>
      <c r="F2891">
        <f>IF(Skills!N6=TRUE,(Skills!L6/10)*(E2891/1000),Skills!L6/10)+Skills!O6</f>
        <v/>
      </c>
      <c r="G2891">
        <f>Skills!G6*IF(Skills!H6&gt;0,Skills!I6/Skills!H6,1)</f>
        <v/>
      </c>
      <c r="H2891">
        <f>1-(1-Skills!J6/100)^Skills!K6</f>
        <v/>
      </c>
      <c r="I2891" t="inlineStr">
        <is>
          <t>1</t>
        </is>
      </c>
      <c r="J2891">
        <f>((Inputs!$B$6*(1+Inputs!$B$7/100))+(((Inputs!$B$12*(1+Inputs!$B$13/100))-(Inputs!$B$12*(1+Inputs!$B$13/100)))+0.25*(Inputs!$B$14-Inputs!$B$14))*(1+Inputs!$B$7/100))*(F2891/100)</f>
        <v/>
      </c>
      <c r="K2891">
        <f>J2891*(1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2891)</f>
        <v/>
      </c>
      <c r="L2891">
        <f>K2891*(MIN(Inputs!$B$22+((C2907=TRUE)*(F2907-Calc!F22)),(Inputs!$B$23+((C2909=TRUE)*(F2909-Calc!F24))+(IF(ArtifactsInput!$M$15,CHOOSE(ArtifactsInput!$N$15+1,25,30,35,40,45,50)/100*(Inputs!$B$11-Inputs!$B$11),0))))/100+(Inputs!$B$23+((C2909=TRUE)*(F2909-Calc!F24))+(IF(ArtifactsInput!$M$15,CHOOSE(ArtifactsInput!$N$15+1,25,30,35,40,45,50)/100*(Inputs!$B$11-Inputs!$B$11),0)))/100)/2</f>
        <v/>
      </c>
      <c r="M2891">
        <f>L2891*(1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1">
        <f>L2891*(1-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1">
        <f>(1-Summary!$B$11)*T2891+Summary!$B$11*V2891</f>
        <v/>
      </c>
      <c r="P2891">
        <f>IF(B2922=0,0,O2891/B2922)</f>
        <v/>
      </c>
      <c r="Q2891">
        <f>IFERROR(1/(IF(Inputs!$B$38="pvp",15,MAX(0.1,Skills!D6-IF(Skills!E6=TRUE,4.5,0)))*(1-IF(AND(ArtifactsInput!$M$27,Inputs!$B$4="Chapter Hunt"),CHOOSE(ArtifactsInput!$N$27+1,20,24,28,32,36,40),0)/100)),0)</f>
        <v/>
      </c>
      <c r="R2891">
        <f>IF(AND(Inputs!$B$38&lt;&gt;"pvp",Inputs!$B$43&gt;0),IF(MAX(0,Inputs!$B$43-B2919)&lt;=0,0,(INT(MAX(0,Inputs!$B$43-B2919)/(IF(Inputs!$B$38="pvp",15,MAX(0.1,Skills!D6-IF(Skills!E6=TRUE,4.5,0)))*(1-IF(AND(ArtifactsInput!$M$27,Inputs!$B$4="Chapter Hunt"),CHOOSE(ArtifactsInput!$N$27+1,20,24,28,32,36,40),0)/100)))+1)),0)</f>
        <v/>
      </c>
      <c r="S2891">
        <f>IFERROR(O2891/N2891,0)</f>
        <v/>
      </c>
      <c r="T2891">
        <f>IF(C2891,(H2891*N2891*IF(AND(Inputs!$B$38&lt;&gt;"pvp",Inputs!$B$43&gt;0),((Skills!G6*((R2891-1)*IF(Skills!H6&gt;0,Skills!I6/Skills!H6,1)+IF(Skills!H6&gt;0,MIN(Skills!I6,MAX(0,MAX(0,Inputs!$B$43-B2919)-((R2891-1)*(IF(Inputs!$B$38="pvp",15,MAX(0.1,Skills!D6-IF(Skills!E6=TRUE,4.5,0)))*(1-IF(AND(ArtifactsInput!$M$27,Inputs!$B$4="Chapter Hunt"),CHOOSE(ArtifactsInput!$N$27+1,20,24,28,32,36,40),0)/100)))))/Skills!H6,1)))/Inputs!$B$43),G2891*Q2891)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2891*(1-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2891*(1-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1">
        <f>IF(C2891,(H2891*N2891*IF(AND(Inputs!$B$38&lt;&gt;"pvp",Inputs!$B$43&gt;0),((Skills!G6*((R2891-1)*IF(Skills!H6&gt;0,Skills!I6/Skills!H6,1)+IF(Skills!H6&gt;0,MIN(Skills!I6,MAX(0,MAX(0,Inputs!$B$43-B2919)-((R2891-1)*(IF(Inputs!$B$38="pvp",15,MAX(0.1,Skills!D6-IF(Skills!E6=TRUE,4.5,0)))*(1-IF(AND(ArtifactsInput!$M$27,Inputs!$B$4="Chapter Hunt"),CHOOSE(ArtifactsInput!$N$27+1,20,24,28,32,36,40),0)/100)))))/Skills!H6,1)))/Inputs!$B$43),G2891*Q2891))*IF(Inputs!$B$38="pvp",1,(1+(Inputs!$B$21+Skills!Q6+(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2">
      <c r="A2892">
        <f>Skills!A7</f>
        <v/>
      </c>
      <c r="B2892">
        <f>Skills!B7</f>
        <v/>
      </c>
      <c r="C2892">
        <f>Inputs!$B$3&gt;=107</f>
        <v/>
      </c>
      <c r="D2892">
        <f>IF(Skills!C7=1,60+Inputs!$B$25+Inputs!$B$29,IF(Skills!C7=2,90+Inputs!$B$26+Inputs!$B$29,IF(Skills!C7=3,120+Inputs!$B$27+Inputs!$B$29,MAX(0,(Inputs!$B$3-100)*3)+Inputs!$B$28+Inputs!$B$29)))</f>
        <v/>
      </c>
      <c r="E2892">
        <f>INDEX(FactorTable!$B$2:$Y$301, MATCH(ROUND(MIN(300,MAX(1,D2892)),0), FactorTable!$A$2:$A$301,0), Skills!M7+1)</f>
        <v/>
      </c>
      <c r="F2892">
        <f>IF(Skills!N7=TRUE,(Skills!L7/10)*(E2892/1000),Skills!L7/10)+Skills!O7</f>
        <v/>
      </c>
      <c r="G2892">
        <f>Skills!G7*IF(Skills!H7&gt;0,Skills!I7/Skills!H7,1)</f>
        <v/>
      </c>
      <c r="H2892">
        <f>1-(1-Skills!J7/100)^Skills!K7</f>
        <v/>
      </c>
      <c r="I2892" t="inlineStr">
        <is>
          <t>1</t>
        </is>
      </c>
      <c r="J2892">
        <f>((Inputs!$B$6*(1+Inputs!$B$7/100))+(((Inputs!$B$12*(1+Inputs!$B$13/100))-(Inputs!$B$12*(1+Inputs!$B$13/100)))+0.25*(Inputs!$B$14-Inputs!$B$14))*(1+Inputs!$B$7/100))*(F2892/100)</f>
        <v/>
      </c>
      <c r="K2892">
        <f>J2892*(1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2892)</f>
        <v/>
      </c>
      <c r="L2892">
        <f>K2892*(MIN(Inputs!$B$22+((C2907=TRUE)*(F2907-Calc!F22)),(Inputs!$B$23+((C2909=TRUE)*(F2909-Calc!F24))+(IF(ArtifactsInput!$M$15,CHOOSE(ArtifactsInput!$N$15+1,25,30,35,40,45,50)/100*(Inputs!$B$11-Inputs!$B$11),0))))/100+(Inputs!$B$23+((C2909=TRUE)*(F2909-Calc!F24))+(IF(ArtifactsInput!$M$15,CHOOSE(ArtifactsInput!$N$15+1,25,30,35,40,45,50)/100*(Inputs!$B$11-Inputs!$B$11),0)))/100)/2</f>
        <v/>
      </c>
      <c r="M2892">
        <f>L2892*(1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2">
        <f>L2892*(1-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2892*(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2">
        <f>(1-Summary!$B$11)*T2892+Summary!$B$11*V2892</f>
        <v/>
      </c>
      <c r="P2892">
        <f>IF(B2922=0,0,O2892/B2922)</f>
        <v/>
      </c>
      <c r="Q2892">
        <f>IFERROR(1/(IF(Inputs!$B$38="pvp",15,MAX(0.1,Skills!D7-IF(Skills!E7=TRUE,4.5,0)))*(1-IF(AND(ArtifactsInput!$M$27,Inputs!$B$4="Chapter Hunt"),CHOOSE(ArtifactsInput!$N$27+1,20,24,28,32,36,40),0)/100)),0)</f>
        <v/>
      </c>
      <c r="R2892">
        <f>IF(AND(Inputs!$B$38&lt;&gt;"pvp",Inputs!$B$43&gt;0),IF(MAX(0,Inputs!$B$43-B2919)&lt;=0,0,(INT(MAX(0,Inputs!$B$43-B2919)/(IF(Inputs!$B$38="pvp",15,MAX(0.1,Skills!D7-IF(Skills!E7=TRUE,4.5,0)))*(1-IF(AND(ArtifactsInput!$M$27,Inputs!$B$4="Chapter Hunt"),CHOOSE(ArtifactsInput!$N$27+1,20,24,28,32,36,40),0)/100)))+1)),0)</f>
        <v/>
      </c>
      <c r="S2892">
        <f>IFERROR(O2892/N2892,0)</f>
        <v/>
      </c>
      <c r="T2892">
        <f>IF(C2892,(H2892*N2892*IF(AND(Inputs!$B$38&lt;&gt;"pvp",Inputs!$B$43&gt;0),((Skills!G7*((R2892-1)*IF(Skills!H7&gt;0,Skills!I7/Skills!H7,1)+IF(Skills!H7&gt;0,MIN(Skills!I7,MAX(0,MAX(0,Inputs!$B$43-B2919)-((R2892-1)*(IF(Inputs!$B$38="pvp",15,MAX(0.1,Skills!D7-IF(Skills!E7=TRUE,4.5,0)))*(1-IF(AND(ArtifactsInput!$M$27,Inputs!$B$4="Chapter Hunt"),CHOOSE(ArtifactsInput!$N$27+1,20,24,28,32,36,40),0)/100)))))/Skills!H7,1)))/Inputs!$B$43),G2892*Q2892)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2892*(1-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2892*(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2892*(1-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2892*(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2">
        <f>IF(C2892,(H2892*N2892*IF(AND(Inputs!$B$38&lt;&gt;"pvp",Inputs!$B$43&gt;0),((Skills!G7*((R2892-1)*IF(Skills!H7&gt;0,Skills!I7/Skills!H7,1)+IF(Skills!H7&gt;0,MIN(Skills!I7,MAX(0,MAX(0,Inputs!$B$43-B2919)-((R2892-1)*(IF(Inputs!$B$38="pvp",15,MAX(0.1,Skills!D7-IF(Skills!E7=TRUE,4.5,0)))*(1-IF(AND(ArtifactsInput!$M$27,Inputs!$B$4="Chapter Hunt"),CHOOSE(ArtifactsInput!$N$27+1,20,24,28,32,36,40),0)/100)))))/Skills!H7,1)))/Inputs!$B$43),G2892*Q2892))*IF(Inputs!$B$38="pvp",1,(1+(Inputs!$B$21+Skills!Q7+(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3">
      <c r="A2893">
        <f>Skills!A8</f>
        <v/>
      </c>
      <c r="B2893">
        <f>Skills!B8</f>
        <v/>
      </c>
      <c r="C2893">
        <f>Inputs!$B$3&gt;=107</f>
        <v/>
      </c>
      <c r="D2893">
        <f>IF(Skills!C8=1,60+Inputs!$B$25+Inputs!$B$29,IF(Skills!C8=2,90+Inputs!$B$26+Inputs!$B$29,IF(Skills!C8=3,120+Inputs!$B$27+Inputs!$B$29,MAX(0,(Inputs!$B$3-100)*3)+Inputs!$B$28+Inputs!$B$29)))</f>
        <v/>
      </c>
      <c r="E2893">
        <f>INDEX(FactorTable!$B$2:$Y$301, MATCH(ROUND(MIN(300,MAX(1,D2893)),0), FactorTable!$A$2:$A$301,0), Skills!M8+1)</f>
        <v/>
      </c>
      <c r="F2893">
        <f>IF(Skills!N8=TRUE,(Skills!L8/10)*(E2893/1000),Skills!L8/10)+Skills!O8</f>
        <v/>
      </c>
      <c r="G2893">
        <f>Skills!G8*IF(Skills!H8&gt;0,Skills!I8/Skills!H8,1)</f>
        <v/>
      </c>
      <c r="H2893">
        <f>1-(1-Skills!J8/100)^Skills!K8</f>
        <v/>
      </c>
      <c r="I2893" t="inlineStr">
        <is>
          <t>1</t>
        </is>
      </c>
      <c r="J2893">
        <f>((Inputs!$B$6*(1+Inputs!$B$7/100))+(((Inputs!$B$12*(1+Inputs!$B$13/100))-(Inputs!$B$12*(1+Inputs!$B$13/100)))+0.25*(Inputs!$B$14-Inputs!$B$14))*(1+Inputs!$B$7/100))*(F2893/100)</f>
        <v/>
      </c>
      <c r="K2893">
        <f>J2893*(1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2893)</f>
        <v/>
      </c>
      <c r="L2893">
        <f>K2893*(MIN(Inputs!$B$22+((C2907=TRUE)*(F2907-Calc!F22)),(Inputs!$B$23+((C2909=TRUE)*(F2909-Calc!F24))+(IF(ArtifactsInput!$M$15,CHOOSE(ArtifactsInput!$N$15+1,25,30,35,40,45,50)/100*(Inputs!$B$11-Inputs!$B$11),0))))/100+(Inputs!$B$23+((C2909=TRUE)*(F2909-Calc!F24))+(IF(ArtifactsInput!$M$15,CHOOSE(ArtifactsInput!$N$15+1,25,30,35,40,45,50)/100*(Inputs!$B$11-Inputs!$B$11),0)))/100)/2</f>
        <v/>
      </c>
      <c r="M2893">
        <f>L2893*(1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3">
        <f>L2893*(1-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2893*(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3">
        <f>(1-Summary!$B$11)*T2893+Summary!$B$11*V2893</f>
        <v/>
      </c>
      <c r="P2893">
        <f>IF(B2922=0,0,O2893/B2922)</f>
        <v/>
      </c>
      <c r="Q2893">
        <f>IFERROR(1/(IF(Inputs!$B$38="pvp",15,MAX(0.1,Skills!D8-IF(Skills!E8=TRUE,4.5,0)))*(1-IF(AND(ArtifactsInput!$M$27,Inputs!$B$4="Chapter Hunt"),CHOOSE(ArtifactsInput!$N$27+1,20,24,28,32,36,40),0)/100)),0)</f>
        <v/>
      </c>
      <c r="R2893">
        <f>IF(AND(Inputs!$B$38&lt;&gt;"pvp",Inputs!$B$43&gt;0),IF(MAX(0,Inputs!$B$43-B2919)&lt;=0,0,(INT(MAX(0,Inputs!$B$43-B2919)/(IF(Inputs!$B$38="pvp",15,MAX(0.1,Skills!D8-IF(Skills!E8=TRUE,4.5,0)))*(1-IF(AND(ArtifactsInput!$M$27,Inputs!$B$4="Chapter Hunt"),CHOOSE(ArtifactsInput!$N$27+1,20,24,28,32,36,40),0)/100)))+1)),0)</f>
        <v/>
      </c>
      <c r="S2893">
        <f>IFERROR(O2893/N2893,0)</f>
        <v/>
      </c>
      <c r="T2893">
        <f>IF(C2893,(H2893*N2893*IF(AND(Inputs!$B$38&lt;&gt;"pvp",Inputs!$B$43&gt;0),((Skills!G8*((R2893-1)*IF(Skills!H8&gt;0,Skills!I8/Skills!H8,1)+IF(Skills!H8&gt;0,MIN(Skills!I8,MAX(0,MAX(0,Inputs!$B$43-B2919)-((R2893-1)*(IF(Inputs!$B$38="pvp",15,MAX(0.1,Skills!D8-IF(Skills!E8=TRUE,4.5,0)))*(1-IF(AND(ArtifactsInput!$M$27,Inputs!$B$4="Chapter Hunt"),CHOOSE(ArtifactsInput!$N$27+1,20,24,28,32,36,40),0)/100)))))/Skills!H8,1)))/Inputs!$B$43),G2893*Q2893)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2893*(1-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2893*(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2893*(1-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2893*(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3">
        <f>IF(C2893,(H2893*N2893*IF(AND(Inputs!$B$38&lt;&gt;"pvp",Inputs!$B$43&gt;0),((Skills!G8*((R2893-1)*IF(Skills!H8&gt;0,Skills!I8/Skills!H8,1)+IF(Skills!H8&gt;0,MIN(Skills!I8,MAX(0,MAX(0,Inputs!$B$43-B2919)-((R2893-1)*(IF(Inputs!$B$38="pvp",15,MAX(0.1,Skills!D8-IF(Skills!E8=TRUE,4.5,0)))*(1-IF(AND(ArtifactsInput!$M$27,Inputs!$B$4="Chapter Hunt"),CHOOSE(ArtifactsInput!$N$27+1,20,24,28,32,36,40),0)/100)))))/Skills!H8,1)))/Inputs!$B$43),G2893*Q2893))*IF(Inputs!$B$38="pvp",1,(1+(Inputs!$B$21+Skills!Q8+(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4">
      <c r="A2894">
        <f>Skills!A9</f>
        <v/>
      </c>
      <c r="B2894">
        <f>Skills!B9</f>
        <v/>
      </c>
      <c r="C2894">
        <f>Inputs!$B$3&gt;=125</f>
        <v/>
      </c>
      <c r="D2894">
        <f>IF(Skills!C9=1,60+Inputs!$B$25+Inputs!$B$29,IF(Skills!C9=2,90+Inputs!$B$26+Inputs!$B$29,IF(Skills!C9=3,120+Inputs!$B$27+Inputs!$B$29,MAX(0,(Inputs!$B$3-100)*3)+Inputs!$B$28+Inputs!$B$29)))</f>
        <v/>
      </c>
      <c r="E2894">
        <f>INDEX(FactorTable!$B$2:$Y$301, MATCH(ROUND(MIN(300,MAX(1,D2894)),0), FactorTable!$A$2:$A$301,0), Skills!M9+1)</f>
        <v/>
      </c>
      <c r="F2894">
        <f>IF(Skills!N9=TRUE,(Skills!L9/10)*(E2894/1000),Skills!L9/10)+Skills!O9</f>
        <v/>
      </c>
      <c r="G2894">
        <f>Skills!G9*IF(Skills!H9&gt;0,Skills!I9/Skills!H9,1)</f>
        <v/>
      </c>
      <c r="H2894">
        <f>1-(1-Skills!J9/100)^Skills!K9</f>
        <v/>
      </c>
      <c r="I2894" t="inlineStr">
        <is>
          <t>1</t>
        </is>
      </c>
      <c r="J2894">
        <f>((Inputs!$B$6*(1+Inputs!$B$7/100))+(((Inputs!$B$12*(1+Inputs!$B$13/100))-(Inputs!$B$12*(1+Inputs!$B$13/100)))+0.25*(Inputs!$B$14-Inputs!$B$14))*(1+Inputs!$B$7/100))*(F2894/100)</f>
        <v/>
      </c>
      <c r="K2894">
        <f>J2894*(1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2894)</f>
        <v/>
      </c>
      <c r="L2894">
        <f>K2894*(MIN(Inputs!$B$22+((C2907=TRUE)*(F2907-Calc!F22)),(Inputs!$B$23+((C2909=TRUE)*(F2909-Calc!F24))+(IF(ArtifactsInput!$M$15,CHOOSE(ArtifactsInput!$N$15+1,25,30,35,40,45,50)/100*(Inputs!$B$11-Inputs!$B$11),0))))/100+(Inputs!$B$23+((C2909=TRUE)*(F2909-Calc!F24))+(IF(ArtifactsInput!$M$15,CHOOSE(ArtifactsInput!$N$15+1,25,30,35,40,45,50)/100*(Inputs!$B$11-Inputs!$B$11),0)))/100)/2</f>
        <v/>
      </c>
      <c r="M2894">
        <f>L2894*(1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4">
        <f>L2894*(1-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2894*(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4">
        <f>(1-Summary!$B$11)*T2894+Summary!$B$11*V2894</f>
        <v/>
      </c>
      <c r="P2894">
        <f>IF(B2922=0,0,O2894/B2922)</f>
        <v/>
      </c>
      <c r="Q2894">
        <f>IFERROR(1/(IF(Inputs!$B$38="pvp",15,MAX(0.1,Skills!D9-IF(Skills!E9=TRUE,4.5,0)))*(1-IF(AND(ArtifactsInput!$M$27,Inputs!$B$4="Chapter Hunt"),CHOOSE(ArtifactsInput!$N$27+1,20,24,28,32,36,40),0)/100)),0)</f>
        <v/>
      </c>
      <c r="R2894">
        <f>IF(AND(Inputs!$B$38&lt;&gt;"pvp",Inputs!$B$43&gt;0),IF(MAX(0,Inputs!$B$43-B2919)&lt;=0,0,(INT(MAX(0,Inputs!$B$43-B2919)/(IF(Inputs!$B$38="pvp",15,MAX(0.1,Skills!D9-IF(Skills!E9=TRUE,4.5,0)))*(1-IF(AND(ArtifactsInput!$M$27,Inputs!$B$4="Chapter Hunt"),CHOOSE(ArtifactsInput!$N$27+1,20,24,28,32,36,40),0)/100)))+1)),0)</f>
        <v/>
      </c>
      <c r="S2894">
        <f>IFERROR(O2894/N2894,0)</f>
        <v/>
      </c>
      <c r="T2894">
        <f>IF(C2894,(H2894*N2894*IF(AND(Inputs!$B$38&lt;&gt;"pvp",Inputs!$B$43&gt;0),((Skills!G9*((R2894-1)*IF(Skills!H9&gt;0,Skills!I9/Skills!H9,1)+IF(Skills!H9&gt;0,MIN(Skills!I9,MAX(0,MAX(0,Inputs!$B$43-B2919)-((R2894-1)*(IF(Inputs!$B$38="pvp",15,MAX(0.1,Skills!D9-IF(Skills!E9=TRUE,4.5,0)))*(1-IF(AND(ArtifactsInput!$M$27,Inputs!$B$4="Chapter Hunt"),CHOOSE(ArtifactsInput!$N$27+1,20,24,28,32,36,40),0)/100)))))/Skills!H9,1)))/Inputs!$B$43),G2894*Q2894)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2894*(1-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2894*(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2894*(1-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2894*(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4">
        <f>IF(C2894,(H2894*N2894*IF(AND(Inputs!$B$38&lt;&gt;"pvp",Inputs!$B$43&gt;0),((Skills!G9*((R2894-1)*IF(Skills!H9&gt;0,Skills!I9/Skills!H9,1)+IF(Skills!H9&gt;0,MIN(Skills!I9,MAX(0,MAX(0,Inputs!$B$43-B2919)-((R2894-1)*(IF(Inputs!$B$38="pvp",15,MAX(0.1,Skills!D9-IF(Skills!E9=TRUE,4.5,0)))*(1-IF(AND(ArtifactsInput!$M$27,Inputs!$B$4="Chapter Hunt"),CHOOSE(ArtifactsInput!$N$27+1,20,24,28,32,36,40),0)/100)))))/Skills!H9,1)))/Inputs!$B$43),G2894*Q2894))*IF(Inputs!$B$38="pvp",1,(1+(Inputs!$B$21+Skills!Q9+(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5">
      <c r="A2895">
        <f>Skills!A10</f>
        <v/>
      </c>
      <c r="B2895">
        <f>Skills!B10</f>
        <v/>
      </c>
      <c r="C2895">
        <f>Inputs!$B$3&gt;=117</f>
        <v/>
      </c>
      <c r="D2895">
        <f>IF(Skills!C10=1,60+Inputs!$B$25+Inputs!$B$29,IF(Skills!C10=2,90+Inputs!$B$26+Inputs!$B$29,IF(Skills!C10=3,120+Inputs!$B$27+Inputs!$B$29,MAX(0,(Inputs!$B$3-100)*3)+Inputs!$B$28+Inputs!$B$29)))</f>
        <v/>
      </c>
      <c r="E2895">
        <f>INDEX(FactorTable!$B$2:$Y$301, MATCH(ROUND(MIN(300,MAX(1,D2895)),0), FactorTable!$A$2:$A$301,0), Skills!M10+1)</f>
        <v/>
      </c>
      <c r="F2895">
        <f>IF(Skills!N10=TRUE,(Skills!L10/10)*(E2895/1000),Skills!L10/10)+Skills!O10</f>
        <v/>
      </c>
      <c r="G2895">
        <f>Skills!G10*IF(Skills!H10&gt;0,Skills!I10/Skills!H10,1)</f>
        <v/>
      </c>
      <c r="H2895">
        <f>1-(1-Skills!J10/100)^Skills!K10</f>
        <v/>
      </c>
      <c r="I2895" t="inlineStr">
        <is>
          <t>1</t>
        </is>
      </c>
      <c r="J2895">
        <f>((Inputs!$B$6*(1+Inputs!$B$7/100))+(((Inputs!$B$12*(1+Inputs!$B$13/100))-(Inputs!$B$12*(1+Inputs!$B$13/100)))+0.25*(Inputs!$B$14-Inputs!$B$14))*(1+Inputs!$B$7/100))*(F2895/100)</f>
        <v/>
      </c>
      <c r="K2895">
        <f>J2895*(1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2895)</f>
        <v/>
      </c>
      <c r="L2895">
        <f>K2895*(MIN(Inputs!$B$22+((C2907=TRUE)*(F2907-Calc!F22)),(Inputs!$B$23+((C2909=TRUE)*(F2909-Calc!F24))+(IF(ArtifactsInput!$M$15,CHOOSE(ArtifactsInput!$N$15+1,25,30,35,40,45,50)/100*(Inputs!$B$11-Inputs!$B$11),0))))/100+(Inputs!$B$23+((C2909=TRUE)*(F2909-Calc!F24))+(IF(ArtifactsInput!$M$15,CHOOSE(ArtifactsInput!$N$15+1,25,30,35,40,45,50)/100*(Inputs!$B$11-Inputs!$B$11),0)))/100)/2</f>
        <v/>
      </c>
      <c r="M2895">
        <f>L2895*(1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5">
        <f>L2895*(1-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2895*(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5">
        <f>(1-Summary!$B$11)*T2895+Summary!$B$11*V2895</f>
        <v/>
      </c>
      <c r="P2895">
        <f>IF(B2922=0,0,O2895/B2922)</f>
        <v/>
      </c>
      <c r="Q2895">
        <f>IFERROR(1/(IF(Inputs!$B$38="pvp",15,MAX(0.1,Skills!D10-IF(Skills!E10=TRUE,4.5,0)))*(1-IF(AND(ArtifactsInput!$M$27,Inputs!$B$4="Chapter Hunt"),CHOOSE(ArtifactsInput!$N$27+1,20,24,28,32,36,40),0)/100)),0)</f>
        <v/>
      </c>
      <c r="R2895">
        <f>IF(AND(Inputs!$B$38&lt;&gt;"pvp",Inputs!$B$43&gt;0),IF(MAX(0,Inputs!$B$43-B2919)&lt;=0,0,(INT(MAX(0,Inputs!$B$43-B2919)/(IF(Inputs!$B$38="pvp",15,MAX(0.1,Skills!D10-IF(Skills!E10=TRUE,4.5,0)))*(1-IF(AND(ArtifactsInput!$M$27,Inputs!$B$4="Chapter Hunt"),CHOOSE(ArtifactsInput!$N$27+1,20,24,28,32,36,40),0)/100)))+1)),0)</f>
        <v/>
      </c>
      <c r="S2895">
        <f>IFERROR(O2895/N2895,0)</f>
        <v/>
      </c>
      <c r="T2895">
        <f>IF(C2895,(H2895*N2895*IF(AND(Inputs!$B$38&lt;&gt;"pvp",Inputs!$B$43&gt;0),((Skills!G10*((R2895-1)*IF(Skills!H10&gt;0,Skills!I10/Skills!H10,1)+IF(Skills!H10&gt;0,MIN(Skills!I10,MAX(0,MAX(0,Inputs!$B$43-B2919)-((R2895-1)*(IF(Inputs!$B$38="pvp",15,MAX(0.1,Skills!D10-IF(Skills!E10=TRUE,4.5,0)))*(1-IF(AND(ArtifactsInput!$M$27,Inputs!$B$4="Chapter Hunt"),CHOOSE(ArtifactsInput!$N$27+1,20,24,28,32,36,40),0)/100)))))/Skills!H10,1)))/Inputs!$B$43),G2895*Q2895)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2895*(1-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2895*(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2895*(1-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2895*(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5">
        <f>IF(C2895,(H2895*N2895*IF(AND(Inputs!$B$38&lt;&gt;"pvp",Inputs!$B$43&gt;0),((Skills!G10*((R2895-1)*IF(Skills!H10&gt;0,Skills!I10/Skills!H10,1)+IF(Skills!H10&gt;0,MIN(Skills!I10,MAX(0,MAX(0,Inputs!$B$43-B2919)-((R2895-1)*(IF(Inputs!$B$38="pvp",15,MAX(0.1,Skills!D10-IF(Skills!E10=TRUE,4.5,0)))*(1-IF(AND(ArtifactsInput!$M$27,Inputs!$B$4="Chapter Hunt"),CHOOSE(ArtifactsInput!$N$27+1,20,24,28,32,36,40),0)/100)))))/Skills!H10,1)))/Inputs!$B$43),G2895*Q2895))*IF(Inputs!$B$38="pvp",1,(1+(Inputs!$B$21+Skills!Q10+(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6">
      <c r="A2896">
        <f>Skills!A11</f>
        <v/>
      </c>
      <c r="B2896">
        <f>Skills!B11</f>
        <v/>
      </c>
      <c r="C2896">
        <f>Inputs!$B$3&gt;=63</f>
        <v/>
      </c>
      <c r="D2896">
        <f>IF(Skills!C11=1,60+Inputs!$B$25+Inputs!$B$29,IF(Skills!C11=2,90+Inputs!$B$26+Inputs!$B$29,IF(Skills!C11=3,120+Inputs!$B$27+Inputs!$B$29,MAX(0,(Inputs!$B$3-100)*3)+Inputs!$B$28+Inputs!$B$29)))</f>
        <v/>
      </c>
      <c r="E2896">
        <f>INDEX(FactorTable!$B$2:$Y$301, MATCH(ROUND(MIN(300,MAX(1,D2896)),0), FactorTable!$A$2:$A$301,0), Skills!M11+1)</f>
        <v/>
      </c>
      <c r="F2896">
        <f>IF(Skills!N11=TRUE,(Skills!L11/10)*(E2896/1000),Skills!L11/10)+Skills!O11</f>
        <v/>
      </c>
      <c r="G2896">
        <f>Skills!G11*IF(Skills!H11&gt;0,Skills!I11/Skills!H11,1)</f>
        <v/>
      </c>
      <c r="H2896">
        <f>1-(1-Skills!J11/100)^Skills!K11</f>
        <v/>
      </c>
      <c r="I2896" t="inlineStr">
        <is>
          <t>1</t>
        </is>
      </c>
      <c r="J2896">
        <f>((Inputs!$B$6*(1+Inputs!$B$7/100))+(((Inputs!$B$12*(1+Inputs!$B$13/100))-(Inputs!$B$12*(1+Inputs!$B$13/100)))+0.25*(Inputs!$B$14-Inputs!$B$14))*(1+Inputs!$B$7/100))*(F2896/100)</f>
        <v/>
      </c>
      <c r="K2896">
        <f>J2896*(1+((Inputs!$B$12*(1+Inputs!$B$13/100))*0.01+Inputs!$B$14*0.0025)/100)*(1+Inputs!$B$15/100)*(1+Inputs!$B$16/100)*(5000/(6000+Inputs!$B$42*(1-(Inputs!$B$19+0)/100)))*(1+(Inputs!$B$24+0+B2918)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2897=TRUE,F2897,0)/100)*(1+(IF(Skills!A11="BLAST",Inputs!$B$17+((C2906=TRUE)*(F2906-Calc!F21))+((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MIN(100,((Inputs!$B$9+0+B2912+(ArtifactsInput!$M$24-ArtifactsInput!$M$24)*CHOOSE(ArtifactsInput!$N$24+1,10,12,14,16,18,20)+IF(ArtifactsInput!$M$10,CHOOSE(ArtifactsInput!$N$10+1,15,18,21,24,27,30)*(IF(Inputs!$B$38="pvp",MIN(15,15)/15,IF(AND(Inputs!$B$38&lt;&gt;"pvp",Inputs!$B$43&gt;0),MIN(15,Inputs!$B$43)/(Inputs!$B$43),0))),0)))-100),0))*CHOOSE(ArtifactsInput!$N$42+1,0.6,0.72,0.84,0.96,1.08,1.2))),Inputs!$B$18+((C2908=TRUE)*(F2908-Calc!F23))+(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gt;=100),CHOOSE(ArtifactsInput!$N$42+1,40,48,56,64,72,80),0))))/100)*((1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2896)</f>
        <v/>
      </c>
      <c r="L2896">
        <f>K2896*(MIN(Inputs!$B$22+((C2907=TRUE)*(F2907-Calc!F22)),(Inputs!$B$23+((C2909=TRUE)*(F2909-Calc!F24))+(IF(ArtifactsInput!$M$15,CHOOSE(ArtifactsInput!$N$15+1,25,30,35,40,45,50)/100*(Inputs!$B$11-Inputs!$B$11),0))))/100+(Inputs!$B$23+((C2909=TRUE)*(F2909-Calc!F24))+(IF(ArtifactsInput!$M$15,CHOOSE(ArtifactsInput!$N$15+1,25,30,35,40,45,50)/100*(Inputs!$B$11-Inputs!$B$11),0)))/100)/2</f>
        <v/>
      </c>
      <c r="M2896">
        <f>L2896*(1+(Inputs!$B$10+0+B2917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96">
        <f>L2896*(1-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2896*(MIN((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96">
        <f>(1-Summary!$B$11)*T2896+Summary!$B$11*V2896</f>
        <v/>
      </c>
      <c r="P2896">
        <f>IF(B2922=0,0,O2896/B2922)</f>
        <v/>
      </c>
      <c r="Q2896">
        <f>IFERROR(1/(IF(Inputs!$B$38="pvp",15,MAX(0.1,Skills!D11-IF(Skills!E11=TRUE,4.5,0)))*(1-IF(AND(ArtifactsInput!$M$27,Inputs!$B$4="Chapter Hunt"),CHOOSE(ArtifactsInput!$N$27+1,20,24,28,32,36,40),0)/100)),0)</f>
        <v/>
      </c>
      <c r="R2896">
        <f>IF(AND(Inputs!$B$38&lt;&gt;"pvp",Inputs!$B$43&gt;0),IF(MAX(0,Inputs!$B$43-B2919)&lt;=0,0,(INT(MAX(0,Inputs!$B$43-B2919)/(IF(Inputs!$B$38="pvp",15,MAX(0.1,Skills!D11-IF(Skills!E11=TRUE,4.5,0)))*(1-IF(AND(ArtifactsInput!$M$27,Inputs!$B$4="Chapter Hunt"),CHOOSE(ArtifactsInput!$N$27+1,20,24,28,32,36,40),0)/100)))+1)),0)</f>
        <v/>
      </c>
      <c r="S2896">
        <f>IFERROR(O2896/N2896,0)</f>
        <v/>
      </c>
      <c r="T2896">
        <f>IF(C2896,(H2896*N2896*IF(AND(Inputs!$B$38&lt;&gt;"pvp",Inputs!$B$43&gt;0),((Skills!G11*((R2896-1)*IF(Skills!H11&gt;0,Skills!I11/Skills!H11,1)+IF(Skills!H11&gt;0,MIN(Skills!I11,MAX(0,MAX(0,Inputs!$B$43-B2919)-((R2896-1)*(IF(Inputs!$B$38="pvp",15,MAX(0.1,Skills!D11-IF(Skills!E11=TRUE,4.5,0)))*(1-IF(AND(ArtifactsInput!$M$27,Inputs!$B$4="Chapter Hunt"),CHOOSE(ArtifactsInput!$N$27+1,20,24,28,32,36,40),0)/100)))))/Skills!H11,1)))/Inputs!$B$43),G2896*Q2896)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2896*(1-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2896*(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2896*(1-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2896*(MIN(100,(Inputs!$B$9+0+B2912+(ArtifactsInput!$M$24-ArtifactsInput!$M$24)*CHOOSE(ArtifactsInput!$N$24+1,10,12,14,16,18,20)+(IF(AND(Inputs!$B$38&lt;&gt;"pvp",Inputs!$B$43=0),1,IF(IF(Inputs!$B$38="pvp",15,Inputs!$B$43)-(B2919)&lt;=0,1,MAX(0,IF(Inputs!$B$38="pvp",15,Inputs!$B$43)-MAX(5,B2919))/(IF(Inputs!$B$38="pvp",15,Inputs!$B$43)-(B2919))))*IF(AND(ArtifactsInput!$M$42,((Inputs!$B$9+0+B2912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96">
        <f>IF(C2896,(H2896*N2896*IF(AND(Inputs!$B$38&lt;&gt;"pvp",Inputs!$B$43&gt;0),((Skills!G11*((R2896-1)*IF(Skills!H11&gt;0,Skills!I11/Skills!H11,1)+IF(Skills!H11&gt;0,MIN(Skills!I11,MAX(0,MAX(0,Inputs!$B$43-B2919)-((R2896-1)*(IF(Inputs!$B$38="pvp",15,MAX(0.1,Skills!D11-IF(Skills!E11=TRUE,4.5,0)))*(1-IF(AND(ArtifactsInput!$M$27,Inputs!$B$4="Chapter Hunt"),CHOOSE(ArtifactsInput!$N$27+1,20,24,28,32,36,40),0)/100)))))/Skills!H11,1)))/Inputs!$B$43),G2896*Q2896))*IF(Inputs!$B$38="pvp",1,(1+(Inputs!$B$21+Skills!Q11+(IF(ArtifactsInput!$M$33,CHOOSE(ArtifactsInput!$N$33+1,30,36,42,48,54,60),0))+(IF(AND(ArtifactsInput!$M$35,Inputs!$B$4&lt;&gt;"Chapter Hunt"),CHOOSE(ArtifactsInput!$N$35+1,15,18,21,24,27,30)*(1-EXP(-(0.2*B2914)*5)),0)+IF(AND(ArtifactsInput!$M$22,Inputs!$B$4&lt;&gt;"Chapter Hunt"),CHOOSE(ArtifactsInput!$N$22+1,10,12,14,16,18,20)*((0*(((0.15*B2914*5))^0/1)+1*(((0.15*B2914*5))^1/1)+2*(((0.15*B2914*5))^2/2)+3*(((0.15*B2914*5))^3/6)+4*(((0.15*B2914*5))^4/24)+5*(((0.15*B2914*5))^5/120))/((((0.15*B2914*5))^0/1)+(((0.15*B2914*5))^1/1)+(((0.15*B2914*5))^2/2)+(((0.15*B2914*5))^3/6)+(((0.15*B2914*5))^4/24)+(((0.15*B2914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97">
      <c r="A2897">
        <f>Skills!A12</f>
        <v/>
      </c>
      <c r="B2897">
        <f>Skills!B12</f>
        <v/>
      </c>
      <c r="C2897">
        <f>Inputs!$B$3&gt;=100</f>
        <v/>
      </c>
      <c r="D2897">
        <f>IF(Skills!C12=1,60+Inputs!$B$25+Inputs!$B$29,IF(Skills!C12=2,90+Inputs!$B$26+Inputs!$B$29,IF(Skills!C12=3,120+Inputs!$B$27+Inputs!$B$29,MAX(0,(Inputs!$B$3-100)*3)+Inputs!$B$28+Inputs!$B$29)))</f>
        <v/>
      </c>
      <c r="E2897">
        <f>INDEX(FactorTable!$B$2:$Y$301, MATCH(ROUND(MIN(300,MAX(1,D2897)),0), FactorTable!$A$2:$A$301,0), Skills!M12+1)</f>
        <v/>
      </c>
      <c r="F2897">
        <f>IF(Skills!N12=TRUE,(Skills!L12/10)*(E2897/1000),Skills!L12/10)+Skills!O12</f>
        <v/>
      </c>
      <c r="G2897" t="inlineStr"/>
      <c r="H2897" t="inlineStr"/>
      <c r="I2897" t="inlineStr">
        <is>
          <t>1</t>
        </is>
      </c>
      <c r="J2897" t="inlineStr"/>
      <c r="K2897" t="inlineStr"/>
      <c r="L2897" t="inlineStr"/>
      <c r="M2897" t="inlineStr"/>
      <c r="N2897" t="inlineStr"/>
      <c r="O2897" t="inlineStr"/>
      <c r="P2897" t="inlineStr"/>
      <c r="Q2897" t="inlineStr"/>
      <c r="R2897" t="inlineStr"/>
      <c r="S2897" t="inlineStr"/>
    </row>
    <row r="2898">
      <c r="A2898">
        <f>Skills!A13</f>
        <v/>
      </c>
      <c r="B2898">
        <f>Skills!B13</f>
        <v/>
      </c>
      <c r="C2898">
        <f>Inputs!$B$3&gt;=45</f>
        <v/>
      </c>
      <c r="D2898">
        <f>IF(Skills!C13=1,60+Inputs!$B$25+Inputs!$B$29,IF(Skills!C13=2,90+Inputs!$B$26+Inputs!$B$29,IF(Skills!C13=3,120+Inputs!$B$27+Inputs!$B$29,MAX(0,(Inputs!$B$3-100)*3)+Inputs!$B$28+Inputs!$B$29)))</f>
        <v/>
      </c>
      <c r="E2898">
        <f>INDEX(FactorTable!$B$2:$Y$301, MATCH(ROUND(MIN(300,MAX(1,D2898)),0), FactorTable!$A$2:$A$301,0), Skills!M13+1)</f>
        <v/>
      </c>
      <c r="F2898">
        <f>IF(Skills!N13=TRUE,(Skills!L13/10)*(E2898/1000),Skills!L13/10)+Skills!O13</f>
        <v/>
      </c>
      <c r="G2898">
        <f>Skills!G13*IF(Skills!H13&gt;0,Skills!I13/Skills!H13,1)</f>
        <v/>
      </c>
      <c r="H2898">
        <f>1-(1-Skills!J13/100)^Skills!K13</f>
        <v/>
      </c>
      <c r="I2898" t="inlineStr">
        <is>
          <t>1</t>
        </is>
      </c>
      <c r="J2898" t="inlineStr"/>
      <c r="K2898" t="inlineStr"/>
      <c r="L2898" t="inlineStr"/>
      <c r="M2898" t="inlineStr"/>
      <c r="N2898" t="inlineStr"/>
      <c r="O2898">
        <f>(1-Summary!$B$11)*T2898+Summary!$B$11*V2898</f>
        <v/>
      </c>
      <c r="P2898">
        <f>IF(B2922=0,0,O2898/B2922)</f>
        <v/>
      </c>
      <c r="Q2898" t="n">
        <v>0</v>
      </c>
      <c r="R2898" t="n">
        <v>0</v>
      </c>
      <c r="S2898">
        <f>IFERROR(O2898/N2898,0)</f>
        <v/>
      </c>
      <c r="T2898" t="n">
        <v>0</v>
      </c>
      <c r="V2898" t="n">
        <v>0</v>
      </c>
    </row>
    <row r="2899">
      <c r="A2899">
        <f>Skills!A14</f>
        <v/>
      </c>
      <c r="B2899">
        <f>Skills!B14</f>
        <v/>
      </c>
      <c r="C2899">
        <f>Inputs!$B$3&gt;=110</f>
        <v/>
      </c>
      <c r="D2899">
        <f>IF(Skills!C14=1,60+Inputs!$B$25+Inputs!$B$29,IF(Skills!C14=2,90+Inputs!$B$26+Inputs!$B$29,IF(Skills!C14=3,120+Inputs!$B$27+Inputs!$B$29,MAX(0,(Inputs!$B$3-100)*3)+Inputs!$B$28+Inputs!$B$29)))</f>
        <v/>
      </c>
      <c r="E2899">
        <f>INDEX(FactorTable!$B$2:$Y$301, MATCH(ROUND(MIN(300,MAX(1,D2899)),0), FactorTable!$A$2:$A$301,0), Skills!M14+1)</f>
        <v/>
      </c>
      <c r="F2899">
        <f>IF(Skills!N14=TRUE,(Skills!L14/10)*(E2899/1000),Skills!L14/10)+Skills!O14</f>
        <v/>
      </c>
      <c r="G2899">
        <f>Skills!G14*IF(Skills!H14&gt;0,Skills!I14/Skills!H14,1)</f>
        <v/>
      </c>
      <c r="H2899">
        <f>1-(1-Skills!J14/100)^Skills!K14</f>
        <v/>
      </c>
      <c r="I2899" t="inlineStr">
        <is>
          <t>1</t>
        </is>
      </c>
      <c r="J2899" t="inlineStr"/>
      <c r="K2899" t="inlineStr"/>
      <c r="L2899" t="inlineStr"/>
      <c r="M2899" t="inlineStr"/>
      <c r="N2899" t="inlineStr"/>
      <c r="O2899">
        <f>(1-Summary!$B$11)*T2899+Summary!$B$11*V2899</f>
        <v/>
      </c>
      <c r="P2899">
        <f>IF(B2922=0,0,O2899/B2922)</f>
        <v/>
      </c>
      <c r="Q2899" t="n">
        <v>0</v>
      </c>
      <c r="R2899" t="n">
        <v>0</v>
      </c>
      <c r="S2899">
        <f>IFERROR(O2899/N2899,0)</f>
        <v/>
      </c>
      <c r="T2899" t="n">
        <v>0</v>
      </c>
      <c r="V2899" t="n">
        <v>0</v>
      </c>
    </row>
    <row r="2900">
      <c r="A2900">
        <f>Skills!A15</f>
        <v/>
      </c>
      <c r="B2900">
        <f>Skills!B15</f>
        <v/>
      </c>
      <c r="C2900">
        <f>Inputs!$B$3&gt;=75</f>
        <v/>
      </c>
      <c r="D2900">
        <f>IF(Skills!C15=1,60+Inputs!$B$25+Inputs!$B$29,IF(Skills!C15=2,90+Inputs!$B$26+Inputs!$B$29,IF(Skills!C15=3,120+Inputs!$B$27+Inputs!$B$29,MAX(0,(Inputs!$B$3-100)*3)+Inputs!$B$28+Inputs!$B$29)))</f>
        <v/>
      </c>
      <c r="E2900">
        <f>INDEX(FactorTable!$B$2:$Y$301, MATCH(ROUND(MIN(300,MAX(1,D2900)),0), FactorTable!$A$2:$A$301,0), Skills!M15+1)</f>
        <v/>
      </c>
      <c r="F2900">
        <f>IF(Skills!N15=TRUE,(Skills!L15/10)*(E2900/1000),Skills!L15/10)+Skills!O15</f>
        <v/>
      </c>
      <c r="G2900">
        <f>Skills!G15*IF(Skills!H15&gt;0,Skills!I15/Skills!H15,1)</f>
        <v/>
      </c>
      <c r="H2900">
        <f>1-(1-Skills!J15/100)^Skills!K15</f>
        <v/>
      </c>
      <c r="I2900" t="inlineStr">
        <is>
          <t>1</t>
        </is>
      </c>
      <c r="J2900" t="inlineStr"/>
      <c r="K2900" t="inlineStr"/>
      <c r="L2900" t="inlineStr"/>
      <c r="M2900" t="inlineStr"/>
      <c r="N2900" t="inlineStr"/>
      <c r="O2900">
        <f>(1-Summary!$B$11)*T2900+Summary!$B$11*V2900</f>
        <v/>
      </c>
      <c r="P2900">
        <f>IF(B2922=0,0,O2900/B2922)</f>
        <v/>
      </c>
      <c r="Q2900">
        <f>IFERROR(1/(IF(Inputs!$B$38="pvp",15,MAX(0.1,Skills!D15-IF(Skills!E15=TRUE,4.5,0)))*(1-IF(AND(ArtifactsInput!$M$27,Inputs!$B$4="Chapter Hunt"),CHOOSE(ArtifactsInput!$N$27+1,20,24,28,32,36,40),0)/100)),0)</f>
        <v/>
      </c>
      <c r="R2900">
        <f>IF(AND(Inputs!$B$38&lt;&gt;"pvp",Inputs!$B$43&gt;0),IF(Inputs!$B$43&lt;=0,0,(INT(Inputs!$B$43/(IF(Inputs!$B$38="pvp",15,MAX(0.1,Skills!D15-IF(Skills!E15=TRUE,4.5,0)))*(1-IF(AND(ArtifactsInput!$M$27,Inputs!$B$4="Chapter Hunt"),CHOOSE(ArtifactsInput!$N$27+1,20,24,28,32,36,40),0)/100)))+1)),0)</f>
        <v/>
      </c>
      <c r="S2900">
        <f>IFERROR(O2900/N2900,0)</f>
        <v/>
      </c>
      <c r="T2900" t="n">
        <v>0</v>
      </c>
      <c r="V2900" t="n">
        <v>0</v>
      </c>
    </row>
    <row r="2901">
      <c r="A2901">
        <f>Skills!A16</f>
        <v/>
      </c>
      <c r="B2901">
        <f>Skills!B16</f>
        <v/>
      </c>
      <c r="C2901">
        <f>Inputs!$B$3&gt;=105</f>
        <v/>
      </c>
      <c r="D2901">
        <f>IF(Skills!C16=1,60+Inputs!$B$25+Inputs!$B$29,IF(Skills!C16=2,90+Inputs!$B$26+Inputs!$B$29,IF(Skills!C16=3,120+Inputs!$B$27+Inputs!$B$29,MAX(0,(Inputs!$B$3-100)*3)+Inputs!$B$28+Inputs!$B$29)))</f>
        <v/>
      </c>
      <c r="E2901">
        <f>INDEX(FactorTable!$B$2:$Y$301, MATCH(ROUND(MIN(300,MAX(1,D2901)),0), FactorTable!$A$2:$A$301,0), Skills!M16+1)</f>
        <v/>
      </c>
      <c r="F2901">
        <f>IF(Skills!N16=TRUE,(Skills!L16/10)*(E2901/1000),Skills!L16/10)+Skills!O16</f>
        <v/>
      </c>
      <c r="G2901">
        <f>Skills!G16*IF(Skills!H16&gt;0,Skills!I16/Skills!H16,1)</f>
        <v/>
      </c>
      <c r="H2901">
        <f>1-(1-Skills!J16/100)^Skills!K16</f>
        <v/>
      </c>
      <c r="I2901" t="inlineStr">
        <is>
          <t>1</t>
        </is>
      </c>
      <c r="J2901" t="inlineStr"/>
      <c r="K2901" t="inlineStr"/>
      <c r="L2901" t="inlineStr"/>
      <c r="M2901" t="inlineStr"/>
      <c r="N2901" t="inlineStr"/>
      <c r="O2901">
        <f>(1-Summary!$B$11)*T2901+Summary!$B$11*V2901</f>
        <v/>
      </c>
      <c r="P2901">
        <f>IF(B2922=0,0,O2901/B2922)</f>
        <v/>
      </c>
      <c r="Q2901">
        <f>IFERROR(1/(IF(Inputs!$B$38="pvp",15,MAX(0.1,Skills!D16-IF(Skills!E16=TRUE,4.5,0)))*(1-IF(AND(ArtifactsInput!$M$27,Inputs!$B$4="Chapter Hunt"),CHOOSE(ArtifactsInput!$N$27+1,20,24,28,32,36,40),0)/100)),0)</f>
        <v/>
      </c>
      <c r="R2901">
        <f>IF(AND(Inputs!$B$38&lt;&gt;"pvp",Inputs!$B$43&gt;0),IF(Inputs!$B$43&lt;=0,0,(INT(Inputs!$B$43/(IF(Inputs!$B$38="pvp",15,MAX(0.1,Skills!D16-IF(Skills!E16=TRUE,4.5,0)))*(1-IF(AND(ArtifactsInput!$M$27,Inputs!$B$4="Chapter Hunt"),CHOOSE(ArtifactsInput!$N$27+1,20,24,28,32,36,40),0)/100)))+1)),0)</f>
        <v/>
      </c>
      <c r="S2901">
        <f>IFERROR(O2901/N2901,0)</f>
        <v/>
      </c>
      <c r="T2901" t="n">
        <v>0</v>
      </c>
      <c r="V2901" t="n">
        <v>0</v>
      </c>
    </row>
    <row r="2902">
      <c r="A2902">
        <f>Skills!A17</f>
        <v/>
      </c>
      <c r="B2902">
        <f>Skills!B17</f>
        <v/>
      </c>
      <c r="C2902">
        <f>Inputs!$B$3&gt;=115</f>
        <v/>
      </c>
      <c r="D2902">
        <f>IF(Skills!C17=1,60+Inputs!$B$25+Inputs!$B$29,IF(Skills!C17=2,90+Inputs!$B$26+Inputs!$B$29,IF(Skills!C17=3,120+Inputs!$B$27+Inputs!$B$29,MAX(0,(Inputs!$B$3-100)*3)+Inputs!$B$28+Inputs!$B$29)))</f>
        <v/>
      </c>
      <c r="E2902">
        <f>INDEX(FactorTable!$B$2:$Y$301, MATCH(ROUND(MIN(300,MAX(1,D2902)),0), FactorTable!$A$2:$A$301,0), Skills!M17+1)</f>
        <v/>
      </c>
      <c r="F2902">
        <f>IF(Skills!N17=TRUE,(Skills!L17/10)*(E2902/1000),Skills!L17/10)+Skills!O17</f>
        <v/>
      </c>
      <c r="G2902">
        <f>Skills!G17*IF(Skills!H17&gt;0,Skills!I17/Skills!H17,1)</f>
        <v/>
      </c>
      <c r="H2902">
        <f>1-(1-Skills!J17/100)^Skills!K17</f>
        <v/>
      </c>
      <c r="I2902" t="inlineStr">
        <is>
          <t>1</t>
        </is>
      </c>
      <c r="J2902" t="inlineStr"/>
      <c r="K2902" t="inlineStr"/>
      <c r="L2902" t="inlineStr"/>
      <c r="M2902" t="inlineStr"/>
      <c r="N2902" t="inlineStr"/>
      <c r="O2902">
        <f>(1-Summary!$B$11)*T2902+Summary!$B$11*V2902</f>
        <v/>
      </c>
      <c r="P2902">
        <f>IF(B2922=0,0,O2902/B2922)</f>
        <v/>
      </c>
      <c r="Q2902">
        <f>IFERROR(1/(IF(Inputs!$B$38="pvp",15,MAX(0.1,Skills!D17-IF(Skills!E17=TRUE,4.5,0)))*(1-IF(AND(ArtifactsInput!$M$27,Inputs!$B$4="Chapter Hunt"),CHOOSE(ArtifactsInput!$N$27+1,20,24,28,32,36,40),0)/100)),0)</f>
        <v/>
      </c>
      <c r="R2902">
        <f>IF(AND(Inputs!$B$38&lt;&gt;"pvp",Inputs!$B$43&gt;0),IF(Inputs!$B$43&lt;=0,0,(INT(Inputs!$B$43/(IF(Inputs!$B$38="pvp",15,MAX(0.1,Skills!D17-IF(Skills!E17=TRUE,4.5,0)))*(1-IF(AND(ArtifactsInput!$M$27,Inputs!$B$4="Chapter Hunt"),CHOOSE(ArtifactsInput!$N$27+1,20,24,28,32,36,40),0)/100)))+1)),0)</f>
        <v/>
      </c>
      <c r="S2902">
        <f>IFERROR(O2902/N2902,0)</f>
        <v/>
      </c>
      <c r="T2902" t="n">
        <v>0</v>
      </c>
      <c r="V2902" t="n">
        <v>0</v>
      </c>
    </row>
    <row r="2903">
      <c r="A2903">
        <f>Skills!A18</f>
        <v/>
      </c>
      <c r="B2903">
        <f>Skills!B18</f>
        <v/>
      </c>
      <c r="C2903">
        <f>Inputs!$B$3&gt;=74</f>
        <v/>
      </c>
      <c r="D2903">
        <f>IF(Skills!C18=1,60+Inputs!$B$25+Inputs!$B$29,IF(Skills!C18=2,90+Inputs!$B$26+Inputs!$B$29,IF(Skills!C18=3,120+Inputs!$B$27+Inputs!$B$29,MAX(0,(Inputs!$B$3-100)*3)+Inputs!$B$28+Inputs!$B$29)))</f>
        <v/>
      </c>
      <c r="E2903">
        <f>INDEX(FactorTable!$B$2:$Y$301, MATCH(ROUND(MIN(300,MAX(1,D2903)),0), FactorTable!$A$2:$A$301,0), Skills!M18+1)</f>
        <v/>
      </c>
      <c r="F2903">
        <f>IF(Skills!N18=TRUE,(Skills!L18/10)*(E2903/1000),Skills!L18/10)+Skills!O18</f>
        <v/>
      </c>
      <c r="G2903">
        <f>Skills!G18*IF(Skills!H18&gt;0,Skills!I18/Skills!H18,1)</f>
        <v/>
      </c>
      <c r="H2903">
        <f>1-(1-Skills!J18/100)^Skills!K18</f>
        <v/>
      </c>
      <c r="I2903" t="inlineStr">
        <is>
          <t>1</t>
        </is>
      </c>
      <c r="J2903" t="inlineStr"/>
      <c r="K2903" t="inlineStr"/>
      <c r="L2903" t="inlineStr"/>
      <c r="M2903" t="inlineStr"/>
      <c r="N2903" t="inlineStr"/>
      <c r="O2903">
        <f>(1-Summary!$B$11)*T2903+Summary!$B$11*V2903</f>
        <v/>
      </c>
      <c r="P2903">
        <f>IF(B2922=0,0,O2903/B2922)</f>
        <v/>
      </c>
      <c r="Q2903">
        <f>IFERROR(1/(IF(Inputs!$B$38="pvp",15,MAX(0.1,Skills!D18-IF(Skills!E18=TRUE,4.5,0)))*(1-IF(AND(ArtifactsInput!$M$27,Inputs!$B$4="Chapter Hunt"),CHOOSE(ArtifactsInput!$N$27+1,20,24,28,32,36,40),0)/100)),0)</f>
        <v/>
      </c>
      <c r="R2903">
        <f>IF(AND(Inputs!$B$38&lt;&gt;"pvp",Inputs!$B$43&gt;0),IF(Inputs!$B$43&lt;=0,0,(INT(Inputs!$B$43/(IF(Inputs!$B$38="pvp",15,MAX(0.1,Skills!D18-IF(Skills!E18=TRUE,4.5,0)))*(1-IF(AND(ArtifactsInput!$M$27,Inputs!$B$4="Chapter Hunt"),CHOOSE(ArtifactsInput!$N$27+1,20,24,28,32,36,40),0)/100)))+1)),0)</f>
        <v/>
      </c>
      <c r="S2903">
        <f>IFERROR(O2903/N2903,0)</f>
        <v/>
      </c>
      <c r="T2903" t="n">
        <v>0</v>
      </c>
      <c r="V2903" t="n">
        <v>0</v>
      </c>
    </row>
    <row r="2904">
      <c r="A2904">
        <f>Skills!A19</f>
        <v/>
      </c>
      <c r="B2904">
        <f>Skills!B19</f>
        <v/>
      </c>
      <c r="C2904">
        <f>TRUE</f>
        <v/>
      </c>
      <c r="D2904">
        <f>IF(Skills!C19=1,60+Inputs!$B$25+Inputs!$B$29,IF(Skills!C19=2,90+Inputs!$B$26+Inputs!$B$29,IF(Skills!C19=3,120+Inputs!$B$27+Inputs!$B$29,MAX(0,(Inputs!$B$3-100)*3)+Inputs!$B$28+Inputs!$B$29)))</f>
        <v/>
      </c>
      <c r="E2904">
        <f>INDEX(FactorTable!$B$2:$Y$301, MATCH(ROUND(MIN(300,MAX(1,D2904)),0), FactorTable!$A$2:$A$301,0), Skills!M19+1)</f>
        <v/>
      </c>
      <c r="F2904">
        <f>IF(Skills!N19=TRUE,(Skills!L19/10)*(E2904/1000),Skills!L19/10)+Skills!O19</f>
        <v/>
      </c>
      <c r="G2904">
        <f>Skills!G19*IF(Skills!H19&gt;0,Skills!I19/Skills!H19,1)</f>
        <v/>
      </c>
      <c r="H2904">
        <f>1-(1-Skills!J19/100)^Skills!K19</f>
        <v/>
      </c>
      <c r="I2904" t="inlineStr">
        <is>
          <t>1</t>
        </is>
      </c>
      <c r="J2904" t="inlineStr"/>
      <c r="K2904" t="inlineStr"/>
      <c r="L2904" t="inlineStr"/>
      <c r="M2904" t="inlineStr"/>
      <c r="N2904" t="inlineStr"/>
      <c r="O2904">
        <f>(1-Summary!$B$11)*T2904+Summary!$B$11*V2904</f>
        <v/>
      </c>
      <c r="P2904">
        <f>IF(B2922=0,0,O2904/B2922)</f>
        <v/>
      </c>
      <c r="Q2904">
        <f>IFERROR(1/(IF(Inputs!$B$38="pvp",15,MAX(0.1,Skills!D19-IF(Skills!E19=TRUE,4.5,0)))*(1-IF(AND(ArtifactsInput!$M$27,Inputs!$B$4="Chapter Hunt"),CHOOSE(ArtifactsInput!$N$27+1,20,24,28,32,36,40),0)/100)),0)</f>
        <v/>
      </c>
      <c r="R2904">
        <f>IF(AND(Inputs!$B$38&lt;&gt;"pvp",Inputs!$B$43&gt;0),IF(Inputs!$B$43&lt;=0,0,(INT(Inputs!$B$43/(IF(Inputs!$B$38="pvp",15,MAX(0.1,Skills!D19-IF(Skills!E19=TRUE,4.5,0)))*(1-IF(AND(ArtifactsInput!$M$27,Inputs!$B$4="Chapter Hunt"),CHOOSE(ArtifactsInput!$N$27+1,20,24,28,32,36,40),0)/100)))+1)),0)</f>
        <v/>
      </c>
      <c r="S2904">
        <f>IFERROR(O2904/N2904,0)</f>
        <v/>
      </c>
      <c r="T2904" t="n">
        <v>0</v>
      </c>
      <c r="V2904" t="n">
        <v>0</v>
      </c>
    </row>
    <row r="2905">
      <c r="A2905">
        <f>Skills!A20</f>
        <v/>
      </c>
      <c r="B2905">
        <f>Skills!B20</f>
        <v/>
      </c>
      <c r="C2905">
        <f>Inputs!$B$3&gt;=33</f>
        <v/>
      </c>
      <c r="D2905">
        <f>IF(Skills!C20=1,60+Inputs!$B$25+Inputs!$B$29,IF(Skills!C20=2,90+Inputs!$B$26+Inputs!$B$29,IF(Skills!C20=3,120+Inputs!$B$27+Inputs!$B$29,MAX(0,(Inputs!$B$3-100)*3)+Inputs!$B$28+Inputs!$B$29)))</f>
        <v/>
      </c>
      <c r="E2905">
        <f>INDEX(FactorTable!$B$2:$Y$301, MATCH(ROUND(MIN(300,MAX(1,D2905)),0), FactorTable!$A$2:$A$301,0), Skills!M20+1)</f>
        <v/>
      </c>
      <c r="F2905">
        <f>IF(Skills!N20=TRUE,(Skills!L20/10)*(E2905/1000),Skills!L20/10)+Skills!O20</f>
        <v/>
      </c>
      <c r="G2905">
        <f>Skills!G20*IF(Skills!H20&gt;0,Skills!I20/Skills!H20,1)</f>
        <v/>
      </c>
      <c r="H2905">
        <f>1-(1-Skills!J20/100)^Skills!K20</f>
        <v/>
      </c>
      <c r="I2905" t="inlineStr">
        <is>
          <t>1</t>
        </is>
      </c>
      <c r="J2905" t="inlineStr"/>
      <c r="K2905" t="inlineStr"/>
      <c r="L2905" t="inlineStr"/>
      <c r="M2905" t="inlineStr"/>
      <c r="N2905" t="inlineStr"/>
      <c r="O2905">
        <f>(1-Summary!$B$11)*T2905+Summary!$B$11*V2905</f>
        <v/>
      </c>
      <c r="P2905">
        <f>IF(B2922=0,0,O2905/B2922)</f>
        <v/>
      </c>
      <c r="Q2905" t="n">
        <v>0</v>
      </c>
      <c r="R2905" t="n">
        <v>0</v>
      </c>
      <c r="S2905">
        <f>IFERROR(O2905/N2905,0)</f>
        <v/>
      </c>
      <c r="T2905" t="n">
        <v>0</v>
      </c>
      <c r="V2905" t="n">
        <v>0</v>
      </c>
    </row>
    <row r="2906">
      <c r="A2906">
        <f>Skills!A21</f>
        <v/>
      </c>
      <c r="B2906">
        <f>Skills!B21</f>
        <v/>
      </c>
      <c r="C2906">
        <f>Inputs!$B$3&gt;=38</f>
        <v/>
      </c>
      <c r="D2906">
        <f>IF(Skills!C21=1,60+Inputs!$B$25+Inputs!$B$29,IF(Skills!C21=2,90+Inputs!$B$26+Inputs!$B$29,IF(Skills!C21=3,120+Inputs!$B$27+Inputs!$B$29,MAX(0,(Inputs!$B$3-100)*3)+Inputs!$B$28+Inputs!$B$29)))</f>
        <v/>
      </c>
      <c r="E2906">
        <f>INDEX(FactorTable!$B$2:$Y$301, MATCH(ROUND(MIN(300,MAX(1,D2906)),0), FactorTable!$A$2:$A$301,0), Skills!M21+1)</f>
        <v/>
      </c>
      <c r="F2906">
        <f>IF(Skills!N21=TRUE,(Skills!L21/10)*(E2906/1000),Skills!L21/10)+Skills!O21</f>
        <v/>
      </c>
      <c r="G2906">
        <f>Skills!G21*IF(Skills!H21&gt;0,Skills!I21/Skills!H21,1)</f>
        <v/>
      </c>
      <c r="H2906">
        <f>1-(1-Skills!J21/100)^Skills!K21</f>
        <v/>
      </c>
      <c r="I2906" t="inlineStr">
        <is>
          <t>1</t>
        </is>
      </c>
      <c r="J2906" t="inlineStr"/>
      <c r="K2906" t="inlineStr"/>
      <c r="L2906" t="inlineStr"/>
      <c r="M2906" t="inlineStr"/>
      <c r="N2906" t="inlineStr"/>
      <c r="O2906">
        <f>(1-Summary!$B$11)*T2906+Summary!$B$11*V2906</f>
        <v/>
      </c>
      <c r="P2906">
        <f>IF(B2922=0,0,O2906/B2922)</f>
        <v/>
      </c>
      <c r="Q2906" t="n">
        <v>0</v>
      </c>
      <c r="R2906" t="n">
        <v>0</v>
      </c>
      <c r="S2906">
        <f>IFERROR(O2906/N2906,0)</f>
        <v/>
      </c>
      <c r="T2906" t="n">
        <v>0</v>
      </c>
      <c r="V2906" t="n">
        <v>0</v>
      </c>
    </row>
    <row r="2907">
      <c r="A2907">
        <f>Skills!A22</f>
        <v/>
      </c>
      <c r="B2907">
        <f>Skills!B22</f>
        <v/>
      </c>
      <c r="C2907">
        <f>Inputs!$B$3&gt;=43</f>
        <v/>
      </c>
      <c r="D2907">
        <f>IF(Skills!C22=1,60+Inputs!$B$25+Inputs!$B$29,IF(Skills!C22=2,90+Inputs!$B$26+Inputs!$B$29,IF(Skills!C22=3,120+Inputs!$B$27+Inputs!$B$29,MAX(0,(Inputs!$B$3-100)*3)+Inputs!$B$28+Inputs!$B$29)))</f>
        <v/>
      </c>
      <c r="E2907">
        <f>INDEX(FactorTable!$B$2:$Y$301, MATCH(ROUND(MIN(300,MAX(1,D2907)),0), FactorTable!$A$2:$A$301,0), Skills!M22+1)</f>
        <v/>
      </c>
      <c r="F2907">
        <f>IF(Skills!N22=TRUE,(Skills!L22/10)*(E2907/1000),Skills!L22/10)+Skills!O22</f>
        <v/>
      </c>
      <c r="G2907">
        <f>Skills!G22*IF(Skills!H22&gt;0,Skills!I22/Skills!H22,1)</f>
        <v/>
      </c>
      <c r="H2907">
        <f>1-(1-Skills!J22/100)^Skills!K22</f>
        <v/>
      </c>
      <c r="I2907" t="inlineStr">
        <is>
          <t>1</t>
        </is>
      </c>
      <c r="J2907" t="inlineStr"/>
      <c r="K2907" t="inlineStr"/>
      <c r="L2907" t="inlineStr"/>
      <c r="M2907" t="inlineStr"/>
      <c r="N2907" t="inlineStr"/>
      <c r="O2907">
        <f>(1-Summary!$B$11)*T2907+Summary!$B$11*V2907</f>
        <v/>
      </c>
      <c r="P2907">
        <f>IF(B2922=0,0,O2907/B2922)</f>
        <v/>
      </c>
      <c r="Q2907" t="n">
        <v>0</v>
      </c>
      <c r="R2907" t="n">
        <v>0</v>
      </c>
      <c r="S2907">
        <f>IFERROR(O2907/N2907,0)</f>
        <v/>
      </c>
      <c r="T2907" t="n">
        <v>0</v>
      </c>
      <c r="V2907" t="n">
        <v>0</v>
      </c>
    </row>
    <row r="2908">
      <c r="A2908">
        <f>Skills!A23</f>
        <v/>
      </c>
      <c r="B2908">
        <f>Skills!B23</f>
        <v/>
      </c>
      <c r="C2908">
        <f>Inputs!$B$3&gt;=120</f>
        <v/>
      </c>
      <c r="D2908">
        <f>IF(Skills!C23=1,60+Inputs!$B$25+Inputs!$B$29,IF(Skills!C23=2,90+Inputs!$B$26+Inputs!$B$29,IF(Skills!C23=3,120+Inputs!$B$27+Inputs!$B$29,MAX(0,(Inputs!$B$3-100)*3)+Inputs!$B$28+Inputs!$B$29)))</f>
        <v/>
      </c>
      <c r="E2908">
        <f>INDEX(FactorTable!$B$2:$Y$301, MATCH(ROUND(MIN(300,MAX(1,D2908)),0), FactorTable!$A$2:$A$301,0), Skills!M23+1)</f>
        <v/>
      </c>
      <c r="F2908">
        <f>IF(Skills!N23=TRUE,(Skills!L23/10)*(E2908/1000),Skills!L23/10)+Skills!O23</f>
        <v/>
      </c>
      <c r="G2908">
        <f>Skills!G23*IF(Skills!H23&gt;0,Skills!I23/Skills!H23,1)</f>
        <v/>
      </c>
      <c r="H2908">
        <f>1-(1-Skills!J23/100)^Skills!K23</f>
        <v/>
      </c>
      <c r="I2908" t="inlineStr">
        <is>
          <t>1</t>
        </is>
      </c>
      <c r="J2908" t="inlineStr"/>
      <c r="K2908" t="inlineStr"/>
      <c r="L2908" t="inlineStr"/>
      <c r="M2908" t="inlineStr"/>
      <c r="N2908" t="inlineStr"/>
      <c r="O2908">
        <f>(1-Summary!$B$11)*T2908+Summary!$B$11*V2908</f>
        <v/>
      </c>
      <c r="P2908">
        <f>IF(B2922=0,0,O2908/B2922)</f>
        <v/>
      </c>
      <c r="Q2908" t="n">
        <v>0</v>
      </c>
      <c r="R2908" t="n">
        <v>0</v>
      </c>
      <c r="S2908">
        <f>IFERROR(O2908/N2908,0)</f>
        <v/>
      </c>
      <c r="T2908" t="n">
        <v>0</v>
      </c>
      <c r="V2908" t="n">
        <v>0</v>
      </c>
    </row>
    <row r="2909">
      <c r="A2909">
        <f>Skills!A24</f>
        <v/>
      </c>
      <c r="B2909">
        <f>Skills!B24</f>
        <v/>
      </c>
      <c r="C2909">
        <f>Inputs!$B$3&gt;=120</f>
        <v/>
      </c>
      <c r="D2909">
        <f>IF(Skills!C24=1,60+Inputs!$B$25+Inputs!$B$29,IF(Skills!C24=2,90+Inputs!$B$26+Inputs!$B$29,IF(Skills!C24=3,120+Inputs!$B$27+Inputs!$B$29,MAX(0,(Inputs!$B$3-100)*3)+Inputs!$B$28+Inputs!$B$29)))</f>
        <v/>
      </c>
      <c r="E2909">
        <f>INDEX(FactorTable!$B$2:$Y$301, MATCH(ROUND(MIN(300,MAX(1,D2909)),0), FactorTable!$A$2:$A$301,0), Skills!M24+1)</f>
        <v/>
      </c>
      <c r="F2909">
        <f>IF(Skills!N24=TRUE,(Skills!L24/10)*(E2909/1000),Skills!L24/10)+Skills!O24</f>
        <v/>
      </c>
      <c r="G2909">
        <f>Skills!G24*IF(Skills!H24&gt;0,Skills!I24/Skills!H24,1)</f>
        <v/>
      </c>
      <c r="H2909">
        <f>1-(1-Skills!J24/100)^Skills!K24</f>
        <v/>
      </c>
      <c r="I2909" t="inlineStr">
        <is>
          <t>1</t>
        </is>
      </c>
      <c r="J2909" t="inlineStr"/>
      <c r="K2909" t="inlineStr"/>
      <c r="L2909" t="inlineStr"/>
      <c r="M2909" t="inlineStr"/>
      <c r="N2909" t="inlineStr"/>
      <c r="O2909">
        <f>(1-Summary!$B$11)*T2909+Summary!$B$11*V2909</f>
        <v/>
      </c>
      <c r="P2909">
        <f>IF(B2922=0,0,O2909/B2922)</f>
        <v/>
      </c>
      <c r="Q2909" t="n">
        <v>0</v>
      </c>
      <c r="R2909" t="n">
        <v>0</v>
      </c>
      <c r="S2909">
        <f>IFERROR(O2909/N2909,0)</f>
        <v/>
      </c>
      <c r="T2909" t="n">
        <v>0</v>
      </c>
      <c r="V2909" t="n">
        <v>0</v>
      </c>
    </row>
    <row r="2911">
      <c r="A2911" t="inlineStr">
        <is>
          <t>Attack% Bucket Multiplier</t>
        </is>
      </c>
      <c r="B2911">
        <f>(1+(((C2898=TRUE)*F2898*MIN(1,Skills!T13*(Skills!J13/100)*B2916))+((C2903=TRUE)*F2903*IF(AND(Inputs!$B$38&lt;&gt;"pvp",Inputs!$B$43&gt;0),(((R2903-1)*(Skills!T18*(1+Inputs!$B$34/100))+MIN((Skills!T18*(1+Inputs!$B$34/100)),MAX(0,Inputs!$B$43-((R2903-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12">
      <c r="A2912" t="inlineStr">
        <is>
          <t>Global Crit Rate Bonus %</t>
        </is>
      </c>
      <c r="B2912" t="n">
        <v>0</v>
      </c>
    </row>
    <row r="2913">
      <c r="A2913" t="inlineStr">
        <is>
          <t>Attack Speed Buff Bonus %</t>
        </is>
      </c>
      <c r="B2913">
        <f>((C2904=TRUE)*F2904*IF(AND(Inputs!$B$38&lt;&gt;"pvp",Inputs!$B$43&gt;0),(((R2904-1)*(Skills!T19*(1+Inputs!$B$34/100))+MIN((Skills!T19*(1+Inputs!$B$34/100)),MAX(0,Inputs!$B$43-((R2904-1)*Skills!D19))))/Inputs!$B$43),IF(Inputs!$B$38="pvp",MIN((Skills!T19*(1+Inputs!$B$34/100)),15)/15,(Skills!T19*(1+Inputs!$B$34/100))/Skills!D19)))</f>
        <v/>
      </c>
    </row>
    <row r="2914">
      <c r="A2914" t="inlineStr">
        <is>
          <t>Actions Per Second</t>
        </is>
      </c>
      <c r="B2914">
        <f>1+MIN(150,150*(1-(1-(Inputs!$B$11+((C2905=TRUE)*(F2905-Calc!F20)))/150)*(1-B2913/150)))/100</f>
        <v/>
      </c>
    </row>
    <row r="2915">
      <c r="A2915" t="inlineStr">
        <is>
          <t>Skill + Buff Cast Rate</t>
        </is>
      </c>
      <c r="B2915">
        <f>IF(AND(Inputs!$B$38&lt;&gt;"pvp",Inputs!$B$43&gt;0),SUMPRODUCT((Skills!E2:E24=TRUE)*(C2887:C2909=TRUE)*R2887:R2909*Skills!F2:F24)/Inputs!$B$43,SUMPRODUCT((Skills!E2:E24=TRUE)*(C2887:C2909=TRUE)*Q2887:Q2909*Skills!F2:F24))</f>
        <v/>
      </c>
    </row>
    <row r="2916">
      <c r="A2916" t="inlineStr">
        <is>
          <t>Blast Casts Per Second</t>
        </is>
      </c>
      <c r="B2916">
        <f>MAX(0,B2914-B2915)</f>
        <v/>
      </c>
    </row>
    <row r="2917">
      <c r="A2917" t="inlineStr">
        <is>
          <t>Global Critical Damage Bonus % (unused)</t>
        </is>
      </c>
      <c r="B2917" t="n">
        <v>0</v>
      </c>
    </row>
    <row r="2918">
      <c r="A2918" t="inlineStr">
        <is>
          <t>Global Final Damage Bonus % (Divine Shield + Guardian + Divine Blessing + Greater Vessel of Light)</t>
        </is>
      </c>
      <c r="B2918">
        <f>((C2900=TRUE)*F2900*IF(AND(Inputs!$B$38&lt;&gt;"pvp",Inputs!$B$43&gt;0),(((R2900-1)*(Skills!T15*(1+Inputs!$B$34/100))+MIN((Skills!T15*(1+Inputs!$B$34/100)),MAX(0,Inputs!$B$43-((R2900-1)*Skills!D15))))/Inputs!$B$43),IF(Inputs!$B$38="pvp",MIN((Skills!T15*(1+Inputs!$B$34/100)),15)/15,(Skills!T15*(1+Inputs!$B$34/100))/Skills!D15)))+((C2901=TRUE)*F2901*IF(AND(Inputs!$B$38&lt;&gt;"pvp",Inputs!$B$43&gt;0),(((R2901-1)*(Skills!T16*(1+Inputs!$B$34/100))+MIN((Skills!T16*(1+Inputs!$B$34/100)),MAX(0,Inputs!$B$43-((R2901-1)*Skills!D16))))/Inputs!$B$43),IF(Inputs!$B$38="pvp",MIN((Skills!T16*(1+Inputs!$B$34/100)),15)/15,(Skills!T16*(1+Inputs!$B$34/100))/Skills!D16)))+((C2902=TRUE)*F2902*IF(AND(Inputs!$B$38&lt;&gt;"pvp",Inputs!$B$43&gt;0),(((R2902-1)*(Skills!T17*(1+Inputs!$B$34/100))+MIN((Skills!T17*(1+Inputs!$B$34/100)),MAX(0,Inputs!$B$43-((R2902-1)*Skills!D17))))/Inputs!$B$43),IF(Inputs!$B$38="pvp",MIN((Skills!T17*(1+Inputs!$B$34/100)),15)/15,(Skills!T17*(1+Inputs!$B$34/100))/Skills!D17)))+((C2899=TRUE)*F2899*MIN(1,Skills!T13*(Skills!J13/100)*B2916))</f>
        <v/>
      </c>
    </row>
    <row r="2919">
      <c r="A2919" t="inlineStr">
        <is>
          <t>Buff-Casting Startup Delay (s, fixed-duration only)</t>
        </is>
      </c>
      <c r="B2919">
        <f>IF(AND(Inputs!$B$38&lt;&gt;"pvp",Inputs!$B$43&gt;0),SUMPRODUCT((Skills!T2:T24&gt;0)*(Skills!E2:E24=TRUE)*(C2887:C2909=TRUE))/B2914,0)</f>
        <v/>
      </c>
    </row>
    <row r="2920">
      <c r="A2920" t="inlineStr">
        <is>
          <t>Boss-Only Total DPS (this block's swept value)</t>
        </is>
      </c>
      <c r="B2920">
        <f>SUM(T2887:T2909)</f>
        <v/>
      </c>
    </row>
    <row r="2921">
      <c r="A2921" t="inlineStr">
        <is>
          <t>Normal-Only Total DPS (this block's swept value)</t>
        </is>
      </c>
      <c r="B2921">
        <f>SUM(V2887:V2909)</f>
        <v/>
      </c>
    </row>
    <row r="2922">
      <c r="A2922" s="6" t="inlineStr">
        <is>
          <t>TOTAL DPS</t>
        </is>
      </c>
      <c r="B2922" s="6">
        <f>SUM(O2887:O2909)</f>
        <v/>
      </c>
    </row>
    <row r="2925">
      <c r="A2925" s="6" t="inlineStr">
        <is>
          <t>Stat: CDR = 5.0s</t>
        </is>
      </c>
    </row>
    <row r="2926">
      <c r="A2926" s="5" t="inlineStr">
        <is>
          <t>Key</t>
        </is>
      </c>
      <c r="B2926" s="5" t="inlineStr">
        <is>
          <t>Name</t>
        </is>
      </c>
      <c r="C2926" s="5" t="inlineStr">
        <is>
          <t>Unlocked</t>
        </is>
      </c>
      <c r="D2926" s="5" t="inlineStr">
        <is>
          <t>InputLevel</t>
        </is>
      </c>
      <c r="E2926" s="5" t="inlineStr">
        <is>
          <t>Factor</t>
        </is>
      </c>
      <c r="F2926" s="5" t="inlineStr">
        <is>
          <t>CoefficientPercent</t>
        </is>
      </c>
      <c r="G2926" s="5" t="inlineStr">
        <is>
          <t>EffectiveHits</t>
        </is>
      </c>
      <c r="H2926" s="5" t="inlineStr">
        <is>
          <t>ProcProbability</t>
        </is>
      </c>
      <c r="I2926" s="5" t="inlineStr">
        <is>
          <t>MapleHeroMultiplier</t>
        </is>
      </c>
      <c r="J2926" s="5" t="inlineStr">
        <is>
          <t>BaseDamage</t>
        </is>
      </c>
      <c r="K2926" s="5" t="inlineStr">
        <is>
          <t>BaseHitDamage</t>
        </is>
      </c>
      <c r="L2926" s="5" t="inlineStr">
        <is>
          <t>NonCritAvg</t>
        </is>
      </c>
      <c r="M2926" s="5" t="inlineStr">
        <is>
          <t>CritAvg</t>
        </is>
      </c>
      <c r="N2926" s="5" t="inlineStr">
        <is>
          <t>ExpectedDamage(perHit)</t>
        </is>
      </c>
      <c r="O2926" s="5" t="inlineStr">
        <is>
          <t>DPS</t>
        </is>
      </c>
      <c r="P2926" s="5" t="inlineStr">
        <is>
          <t>% of Total</t>
        </is>
      </c>
      <c r="Q2926" s="5" t="inlineStr">
        <is>
          <t>InvCooldown</t>
        </is>
      </c>
      <c r="R2926" s="5" t="inlineStr">
        <is>
          <t>CastsInFight</t>
        </is>
      </c>
      <c r="S2926" s="5" t="inlineStr">
        <is>
          <t>HitRate(perSec)</t>
        </is>
      </c>
      <c r="U2926" t="inlineStr">
        <is>
          <t>helpers</t>
        </is>
      </c>
    </row>
    <row r="2927">
      <c r="A2927">
        <f>Skills!A2</f>
        <v/>
      </c>
      <c r="B2927">
        <f>Skills!B2</f>
        <v/>
      </c>
      <c r="C2927">
        <f>Inputs!$B$3&gt;=100</f>
        <v/>
      </c>
      <c r="D2927" t="inlineStr"/>
      <c r="E2927" t="inlineStr"/>
      <c r="F2927">
        <f>U2929+Skills!O2</f>
        <v/>
      </c>
      <c r="G2927">
        <f>Skills!G2*IF(Skills!H2&gt;0,Skills!I2/Skills!H2,1)</f>
        <v/>
      </c>
      <c r="H2927">
        <f>1-(1-Skills!J2/100)^Skills!K2</f>
        <v/>
      </c>
      <c r="I2927" t="inlineStr">
        <is>
          <t>1</t>
        </is>
      </c>
      <c r="J2927">
        <f>((Inputs!$B$6*(1+Inputs!$B$7/100))+(((Inputs!$B$12*(1+Inputs!$B$13/100))-(Inputs!$B$12*(1+Inputs!$B$13/100)))+0.25*(Inputs!$B$14-Inputs!$B$14))*(1+Inputs!$B$7/100))*(F2927/100)</f>
        <v/>
      </c>
      <c r="K2927">
        <f>J2927*(1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2927)</f>
        <v/>
      </c>
      <c r="L2927">
        <f>K2927*(MIN(Inputs!$B$22+((C2947=TRUE)*(F2947-Calc!F22)),(Inputs!$B$23+((C2949=TRUE)*(F2949-Calc!F24))+(IF(ArtifactsInput!$M$15,CHOOSE(ArtifactsInput!$N$15+1,25,30,35,40,45,50)/100*(Inputs!$B$11-Inputs!$B$11),0))))/100+(Inputs!$B$23+((C2949=TRUE)*(F2949-Calc!F24))+(IF(ArtifactsInput!$M$15,CHOOSE(ArtifactsInput!$N$15+1,25,30,35,40,45,50)/100*(Inputs!$B$11-Inputs!$B$11),0)))/100)/2</f>
        <v/>
      </c>
      <c r="M2927">
        <f>L2927*(1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7">
        <f>L2927*(1-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2927*(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7">
        <f>(1-Summary!$B$11)*T2927+Summary!$B$11*V2927</f>
        <v/>
      </c>
      <c r="P2927">
        <f>IF(B2962=0,0,O2927/B2962)</f>
        <v/>
      </c>
      <c r="Q2927" t="n">
        <v>0</v>
      </c>
      <c r="R2927" t="n">
        <v>0</v>
      </c>
      <c r="S2927">
        <f>IFERROR(O2927/N2927,0)</f>
        <v/>
      </c>
      <c r="T2927">
        <f>IF(C2927,(Skills!G2*N2927*B2956)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2927*(1-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2927*(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2927*(1-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2927*(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7">
        <f>MAX(0,(Inputs!$B$3-100)*3)+Inputs!$B$28+Inputs!$B$29</f>
        <v/>
      </c>
      <c r="V2927">
        <f>IF(C2927,(Skills!G2*N2927*B2956)*IF(Inputs!$B$38="pvp",1,(1+(Inputs!$B$21+Skills!Q2+(IF(ArtifactsInput!$M$33,CHOOSE(ArtifactsInput!$N$33+1,30,36,42,48,54,60),0))+(IF(AND(ArtifactsInput!$M$35,Inputs!$B$4&lt;&gt;"Chapter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8">
      <c r="A2928">
        <f>Skills!A3</f>
        <v/>
      </c>
      <c r="B2928">
        <f>Skills!B3</f>
        <v/>
      </c>
      <c r="C2928">
        <f>Inputs!$B$3&gt;=50</f>
        <v/>
      </c>
      <c r="D2928">
        <f>IF(Skills!C3=1,60+Inputs!$B$25+Inputs!$B$29,IF(Skills!C3=2,90+Inputs!$B$26+Inputs!$B$29,IF(Skills!C3=3,120+Inputs!$B$27+Inputs!$B$29,MAX(0,(Inputs!$B$3-100)*3)+Inputs!$B$28+Inputs!$B$29)))</f>
        <v/>
      </c>
      <c r="E2928">
        <f>INDEX(FactorTable!$B$2:$Y$301, MATCH(ROUND(MIN(300,MAX(1,D2928)),0), FactorTable!$A$2:$A$301,0), Skills!M3+1)</f>
        <v/>
      </c>
      <c r="F2928">
        <f>IF(Skills!N3=TRUE,(Skills!L3/10)*(E2928/1000),Skills!L3/10)+Skills!O3</f>
        <v/>
      </c>
      <c r="G2928" t="inlineStr"/>
      <c r="H2928" t="inlineStr"/>
      <c r="I2928" t="inlineStr">
        <is>
          <t>1</t>
        </is>
      </c>
      <c r="J2928" t="inlineStr"/>
      <c r="K2928" t="inlineStr"/>
      <c r="L2928" t="inlineStr"/>
      <c r="M2928" t="inlineStr"/>
      <c r="N2928" t="inlineStr"/>
      <c r="O2928" t="inlineStr"/>
      <c r="P2928" t="inlineStr"/>
      <c r="Q2928" t="inlineStr"/>
      <c r="R2928" t="inlineStr"/>
      <c r="S2928" t="inlineStr"/>
      <c r="U2928">
        <f>INDEX(FactorTable!$B$2:$Y$301, MATCH(ROUND(MIN(300,MAX(1,U2927)),0), FactorTable!$A$2:$A$301,0), 22)</f>
        <v/>
      </c>
    </row>
    <row r="2929">
      <c r="A2929">
        <f>Skills!A4</f>
        <v/>
      </c>
      <c r="B2929">
        <f>Skills!B4</f>
        <v/>
      </c>
      <c r="C2929">
        <f>Inputs!$B$3&gt;=35</f>
        <v/>
      </c>
      <c r="D2929">
        <f>IF(Skills!C4=1,60+Inputs!$B$25+Inputs!$B$29,IF(Skills!C4=2,90+Inputs!$B$26+Inputs!$B$29,IF(Skills!C4=3,120+Inputs!$B$27+Inputs!$B$29,MAX(0,(Inputs!$B$3-100)*3)+Inputs!$B$28+Inputs!$B$29)))</f>
        <v/>
      </c>
      <c r="E2929">
        <f>INDEX(FactorTable!$B$2:$Y$301, MATCH(ROUND(MIN(300,MAX(1,D2929)),0), FactorTable!$A$2:$A$301,0), Skills!M4+1)</f>
        <v/>
      </c>
      <c r="F2929">
        <f>IF(Skills!N4=TRUE,(Skills!L4/10)*(E2929/1000),Skills!L4/10)+Skills!O4</f>
        <v/>
      </c>
      <c r="G2929">
        <f>Skills!G4*IF(Skills!H4&gt;0,Skills!I4/Skills!H4,1)</f>
        <v/>
      </c>
      <c r="H2929">
        <f>1-(1-Skills!J4/100)^Skills!K4</f>
        <v/>
      </c>
      <c r="I2929" t="inlineStr">
        <is>
          <t>1</t>
        </is>
      </c>
      <c r="J2929">
        <f>((Inputs!$B$6*(1+Inputs!$B$7/100))+(((Inputs!$B$12*(1+Inputs!$B$13/100))-(Inputs!$B$12*(1+Inputs!$B$13/100)))+0.25*(Inputs!$B$14-Inputs!$B$14))*(1+Inputs!$B$7/100))*(F2929/100)</f>
        <v/>
      </c>
      <c r="K2929">
        <f>J2929*(1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2937=TRUE,F2937,0)/100)*(1+(IF(Skills!A4="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2929)</f>
        <v/>
      </c>
      <c r="L2929">
        <f>K2929*(MIN(Inputs!$B$22+((C2947=TRUE)*(F2947-Calc!F22)),(Inputs!$B$23+((C2949=TRUE)*(F2949-Calc!F24))+(IF(ArtifactsInput!$M$15,CHOOSE(ArtifactsInput!$N$15+1,25,30,35,40,45,50)/100*(Inputs!$B$11-Inputs!$B$11),0))))/100+(Inputs!$B$23+((C2949=TRUE)*(F2949-Calc!F24))+(IF(ArtifactsInput!$M$15,CHOOSE(ArtifactsInput!$N$15+1,25,30,35,40,45,50)/100*(Inputs!$B$11-Inputs!$B$11),0)))/100)/2</f>
        <v/>
      </c>
      <c r="M2929">
        <f>L2929*(1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9">
        <f>L2929*(1-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2929*(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9">
        <f>(1-Summary!$B$11)*T2929+Summary!$B$11*V2929</f>
        <v/>
      </c>
      <c r="P2929">
        <f>IF(B2962=0,0,O2929/B2962)</f>
        <v/>
      </c>
      <c r="Q2929">
        <f>IFERROR(1/(IF(Inputs!$B$38="pvp",15,MAX(0.1,Skills!D4-IF(Skills!E4=TRUE,5.0,0)))*(1-IF(AND(ArtifactsInput!$M$27,Inputs!$B$4="Chapter Hunt"),CHOOSE(ArtifactsInput!$N$27+1,20,24,28,32,36,40),0)/100)),0)</f>
        <v/>
      </c>
      <c r="R2929">
        <f>IF(AND(Inputs!$B$38&lt;&gt;"pvp",Inputs!$B$43&gt;0),IF(MAX(0,Inputs!$B$43-B2959)&lt;=0,0,(INT(MAX(0,Inputs!$B$43-B2959)/(IF(Inputs!$B$38="pvp",15,MAX(0.1,Skills!D4-IF(Skills!E4=TRUE,5.0,0)))*(1-IF(AND(ArtifactsInput!$M$27,Inputs!$B$4="Chapter Hunt"),CHOOSE(ArtifactsInput!$N$27+1,20,24,28,32,36,40),0)/100)))+1)),0)</f>
        <v/>
      </c>
      <c r="S2929">
        <f>IFERROR(O2929/N2929,0)</f>
        <v/>
      </c>
      <c r="T2929">
        <f>IF(C2929,(H2929*N2929*IF(AND(Inputs!$B$38&lt;&gt;"pvp",Inputs!$B$43&gt;0),((Skills!G4*((R2929-1)*IF(Skills!H4&gt;0,Skills!I4/Skills!H4,1)+IF(Skills!H4&gt;0,MIN(Skills!I4,MAX(0,MAX(0,Inputs!$B$43-B2959)-((R2929-1)*(IF(Inputs!$B$38="pvp",15,MAX(0.1,Skills!D4-IF(Skills!E4=TRUE,5.0,0)))*(1-IF(AND(ArtifactsInput!$M$27,Inputs!$B$4="Chapter Hunt"),CHOOSE(ArtifactsInput!$N$27+1,20,24,28,32,36,40),0)/100)))))/Skills!H4,1)))/Inputs!$B$43),G2929*Q2929))*IF(Inputs!$B$38="pvp",1,1+(Inputs!$B$20+0+Skills!P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2929*(1-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2929*(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2929*(1-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2929*(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9">
        <f>290*U2928/1000</f>
        <v/>
      </c>
      <c r="V2929">
        <f>IF(C2929,(H2929*N2929*IF(AND(Inputs!$B$38&lt;&gt;"pvp",Inputs!$B$43&gt;0),((Skills!G4*((R2929-1)*IF(Skills!H4&gt;0,Skills!I4/Skills!H4,1)+IF(Skills!H4&gt;0,MIN(Skills!I4,MAX(0,MAX(0,Inputs!$B$43-B2959)-((R2929-1)*(IF(Inputs!$B$38="pvp",15,MAX(0.1,Skills!D4-IF(Skills!E4=TRUE,5.0,0)))*(1-IF(AND(ArtifactsInput!$M$27,Inputs!$B$4="Chapter Hunt"),CHOOSE(ArtifactsInput!$N$27+1,20,24,28,32,36,40),0)/100)))))/Skills!H4,1)))/Inputs!$B$43),G2929*Q2929))*IF(Inputs!$B$38="pvp",1,(1+(Inputs!$B$21+Skills!Q4+(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4,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0">
      <c r="A2930">
        <f>Skills!A5</f>
        <v/>
      </c>
      <c r="B2930">
        <f>Skills!B5</f>
        <v/>
      </c>
      <c r="C2930">
        <f>Inputs!$B$3&gt;=66</f>
        <v/>
      </c>
      <c r="D2930">
        <f>IF(Skills!C5=1,60+Inputs!$B$25+Inputs!$B$29,IF(Skills!C5=2,90+Inputs!$B$26+Inputs!$B$29,IF(Skills!C5=3,120+Inputs!$B$27+Inputs!$B$29,MAX(0,(Inputs!$B$3-100)*3)+Inputs!$B$28+Inputs!$B$29)))</f>
        <v/>
      </c>
      <c r="E2930">
        <f>INDEX(FactorTable!$B$2:$Y$301, MATCH(ROUND(MIN(300,MAX(1,D2930)),0), FactorTable!$A$2:$A$301,0), Skills!M5+1)</f>
        <v/>
      </c>
      <c r="F2930">
        <f>IF(Skills!N5=TRUE,(Skills!L5/10)*(E2930/1000),Skills!L5/10)+Skills!O5</f>
        <v/>
      </c>
      <c r="G2930">
        <f>Skills!G5*IF(Skills!H5&gt;0,Skills!I5/Skills!H5,1)</f>
        <v/>
      </c>
      <c r="H2930">
        <f>1-(1-Skills!J5/100)^Skills!K5</f>
        <v/>
      </c>
      <c r="I2930" t="inlineStr">
        <is>
          <t>1</t>
        </is>
      </c>
      <c r="J2930">
        <f>((Inputs!$B$6*(1+Inputs!$B$7/100))+(((Inputs!$B$12*(1+Inputs!$B$13/100))-(Inputs!$B$12*(1+Inputs!$B$13/100)))+0.25*(Inputs!$B$14-Inputs!$B$14))*(1+Inputs!$B$7/100))*(F2930/100)</f>
        <v/>
      </c>
      <c r="K2930">
        <f>J2930*(1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2937=TRUE,F2937,0)/100)*(1+(IF(Skills!A5="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2930)</f>
        <v/>
      </c>
      <c r="L2930">
        <f>K2930*(MIN(Inputs!$B$22+((C2947=TRUE)*(F2947-Calc!F22)),(Inputs!$B$23+((C2949=TRUE)*(F2949-Calc!F24))+(IF(ArtifactsInput!$M$15,CHOOSE(ArtifactsInput!$N$15+1,25,30,35,40,45,50)/100*(Inputs!$B$11-Inputs!$B$11),0))))/100+(Inputs!$B$23+((C2949=TRUE)*(F2949-Calc!F24))+(IF(ArtifactsInput!$M$15,CHOOSE(ArtifactsInput!$N$15+1,25,30,35,40,45,50)/100*(Inputs!$B$11-Inputs!$B$11),0)))/100)/2</f>
        <v/>
      </c>
      <c r="M2930">
        <f>L2930*(1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0">
        <f>L2930*(1-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2930*(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0">
        <f>(1-Summary!$B$11)*T2930+Summary!$B$11*V2930</f>
        <v/>
      </c>
      <c r="P2930">
        <f>IF(B2962=0,0,O2930/B2962)</f>
        <v/>
      </c>
      <c r="Q2930">
        <f>IFERROR(1/(IF(Inputs!$B$38="pvp",15,MAX(0.1,Skills!D5-IF(Skills!E5=TRUE,5.0,0)))*(1-IF(AND(ArtifactsInput!$M$27,Inputs!$B$4="Chapter Hunt"),CHOOSE(ArtifactsInput!$N$27+1,20,24,28,32,36,40),0)/100)),0)</f>
        <v/>
      </c>
      <c r="R2930">
        <f>IF(AND(Inputs!$B$38&lt;&gt;"pvp",Inputs!$B$43&gt;0),IF(MAX(0,Inputs!$B$43-B2959)&lt;=0,0,(INT(MAX(0,Inputs!$B$43-B2959)/(IF(Inputs!$B$38="pvp",15,MAX(0.1,Skills!D5-IF(Skills!E5=TRUE,5.0,0)))*(1-IF(AND(ArtifactsInput!$M$27,Inputs!$B$4="Chapter Hunt"),CHOOSE(ArtifactsInput!$N$27+1,20,24,28,32,36,40),0)/100)))+1)),0)</f>
        <v/>
      </c>
      <c r="S2930">
        <f>IFERROR(O2930/N2930,0)</f>
        <v/>
      </c>
      <c r="T2930">
        <f>IF(C2930,(H2930*N2930*IF(AND(Inputs!$B$38&lt;&gt;"pvp",Inputs!$B$43&gt;0),((Skills!G5*((R2930-1)*IF(Skills!H5&gt;0,Skills!I5/Skills!H5,1)+IF(Skills!H5&gt;0,MIN(Skills!I5,MAX(0,MAX(0,Inputs!$B$43-B2959)-((R2930-1)*(IF(Inputs!$B$38="pvp",15,MAX(0.1,Skills!D5-IF(Skills!E5=TRUE,5.0,0)))*(1-IF(AND(ArtifactsInput!$M$27,Inputs!$B$4="Chapter Hunt"),CHOOSE(ArtifactsInput!$N$27+1,20,24,28,32,36,40),0)/100)))))/Skills!H5,1)))/Inputs!$B$43),G2930*Q2930)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2930*(1-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2930*(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2930*(1-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2930*(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0">
        <f>IF(C2930,(H2930*N2930*IF(AND(Inputs!$B$38&lt;&gt;"pvp",Inputs!$B$43&gt;0),((Skills!G5*((R2930-1)*IF(Skills!H5&gt;0,Skills!I5/Skills!H5,1)+IF(Skills!H5&gt;0,MIN(Skills!I5,MAX(0,MAX(0,Inputs!$B$43-B2959)-((R2930-1)*(IF(Inputs!$B$38="pvp",15,MAX(0.1,Skills!D5-IF(Skills!E5=TRUE,5.0,0)))*(1-IF(AND(ArtifactsInput!$M$27,Inputs!$B$4="Chapter Hunt"),CHOOSE(ArtifactsInput!$N$27+1,20,24,28,32,36,40),0)/100)))))/Skills!H5,1)))/Inputs!$B$43),G2930*Q2930))*IF(Inputs!$B$38="pvp",1,(1+(Inputs!$B$21+Skills!Q5+(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1">
      <c r="A2931">
        <f>Skills!A6</f>
        <v/>
      </c>
      <c r="B2931">
        <f>Skills!B6</f>
        <v/>
      </c>
      <c r="C2931">
        <f>Inputs!$B$3&gt;=103</f>
        <v/>
      </c>
      <c r="D2931">
        <f>IF(Skills!C6=1,60+Inputs!$B$25+Inputs!$B$29,IF(Skills!C6=2,90+Inputs!$B$26+Inputs!$B$29,IF(Skills!C6=3,120+Inputs!$B$27+Inputs!$B$29,MAX(0,(Inputs!$B$3-100)*3)+Inputs!$B$28+Inputs!$B$29)))</f>
        <v/>
      </c>
      <c r="E2931">
        <f>INDEX(FactorTable!$B$2:$Y$301, MATCH(ROUND(MIN(300,MAX(1,D2931)),0), FactorTable!$A$2:$A$301,0), Skills!M6+1)</f>
        <v/>
      </c>
      <c r="F2931">
        <f>IF(Skills!N6=TRUE,(Skills!L6/10)*(E2931/1000),Skills!L6/10)+Skills!O6</f>
        <v/>
      </c>
      <c r="G2931">
        <f>Skills!G6*IF(Skills!H6&gt;0,Skills!I6/Skills!H6,1)</f>
        <v/>
      </c>
      <c r="H2931">
        <f>1-(1-Skills!J6/100)^Skills!K6</f>
        <v/>
      </c>
      <c r="I2931" t="inlineStr">
        <is>
          <t>1</t>
        </is>
      </c>
      <c r="J2931">
        <f>((Inputs!$B$6*(1+Inputs!$B$7/100))+(((Inputs!$B$12*(1+Inputs!$B$13/100))-(Inputs!$B$12*(1+Inputs!$B$13/100)))+0.25*(Inputs!$B$14-Inputs!$B$14))*(1+Inputs!$B$7/100))*(F2931/100)</f>
        <v/>
      </c>
      <c r="K2931">
        <f>J2931*(1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6="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2931)</f>
        <v/>
      </c>
      <c r="L2931">
        <f>K2931*(MIN(Inputs!$B$22+((C2947=TRUE)*(F2947-Calc!F22)),(Inputs!$B$23+((C2949=TRUE)*(F2949-Calc!F24))+(IF(ArtifactsInput!$M$15,CHOOSE(ArtifactsInput!$N$15+1,25,30,35,40,45,50)/100*(Inputs!$B$11-Inputs!$B$11),0))))/100+(Inputs!$B$23+((C2949=TRUE)*(F2949-Calc!F24))+(IF(ArtifactsInput!$M$15,CHOOSE(ArtifactsInput!$N$15+1,25,30,35,40,45,50)/100*(Inputs!$B$11-Inputs!$B$11),0)))/100)/2</f>
        <v/>
      </c>
      <c r="M2931">
        <f>L2931*(1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1">
        <f>L2931*(1-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1">
        <f>(1-Summary!$B$11)*T2931+Summary!$B$11*V2931</f>
        <v/>
      </c>
      <c r="P2931">
        <f>IF(B2962=0,0,O2931/B2962)</f>
        <v/>
      </c>
      <c r="Q2931">
        <f>IFERROR(1/(IF(Inputs!$B$38="pvp",15,MAX(0.1,Skills!D6-IF(Skills!E6=TRUE,5.0,0)))*(1-IF(AND(ArtifactsInput!$M$27,Inputs!$B$4="Chapter Hunt"),CHOOSE(ArtifactsInput!$N$27+1,20,24,28,32,36,40),0)/100)),0)</f>
        <v/>
      </c>
      <c r="R2931">
        <f>IF(AND(Inputs!$B$38&lt;&gt;"pvp",Inputs!$B$43&gt;0),IF(MAX(0,Inputs!$B$43-B2959)&lt;=0,0,(INT(MAX(0,Inputs!$B$43-B2959)/(IF(Inputs!$B$38="pvp",15,MAX(0.1,Skills!D6-IF(Skills!E6=TRUE,5.0,0)))*(1-IF(AND(ArtifactsInput!$M$27,Inputs!$B$4="Chapter Hunt"),CHOOSE(ArtifactsInput!$N$27+1,20,24,28,32,36,40),0)/100)))+1)),0)</f>
        <v/>
      </c>
      <c r="S2931">
        <f>IFERROR(O2931/N2931,0)</f>
        <v/>
      </c>
      <c r="T2931">
        <f>IF(C2931,(H2931*N2931*IF(AND(Inputs!$B$38&lt;&gt;"pvp",Inputs!$B$43&gt;0),((Skills!G6*((R2931-1)*IF(Skills!H6&gt;0,Skills!I6/Skills!H6,1)+IF(Skills!H6&gt;0,MIN(Skills!I6,MAX(0,MAX(0,Inputs!$B$43-B2959)-((R2931-1)*(IF(Inputs!$B$38="pvp",15,MAX(0.1,Skills!D6-IF(Skills!E6=TRUE,5.0,0)))*(1-IF(AND(ArtifactsInput!$M$27,Inputs!$B$4="Chapter Hunt"),CHOOSE(ArtifactsInput!$N$27+1,20,24,28,32,36,40),0)/100)))))/Skills!H6,1)))/Inputs!$B$43),G2931*Q2931)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2931*(1-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2931*(1-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1">
        <f>IF(C2931,(H2931*N2931*IF(AND(Inputs!$B$38&lt;&gt;"pvp",Inputs!$B$43&gt;0),((Skills!G6*((R2931-1)*IF(Skills!H6&gt;0,Skills!I6/Skills!H6,1)+IF(Skills!H6&gt;0,MIN(Skills!I6,MAX(0,MAX(0,Inputs!$B$43-B2959)-((R2931-1)*(IF(Inputs!$B$38="pvp",15,MAX(0.1,Skills!D6-IF(Skills!E6=TRUE,5.0,0)))*(1-IF(AND(ArtifactsInput!$M$27,Inputs!$B$4="Chapter Hunt"),CHOOSE(ArtifactsInput!$N$27+1,20,24,28,32,36,40),0)/100)))))/Skills!H6,1)))/Inputs!$B$43),G2931*Q2931))*IF(Inputs!$B$38="pvp",1,(1+(Inputs!$B$21+Skills!Q6+(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2">
      <c r="A2932">
        <f>Skills!A7</f>
        <v/>
      </c>
      <c r="B2932">
        <f>Skills!B7</f>
        <v/>
      </c>
      <c r="C2932">
        <f>Inputs!$B$3&gt;=107</f>
        <v/>
      </c>
      <c r="D2932">
        <f>IF(Skills!C7=1,60+Inputs!$B$25+Inputs!$B$29,IF(Skills!C7=2,90+Inputs!$B$26+Inputs!$B$29,IF(Skills!C7=3,120+Inputs!$B$27+Inputs!$B$29,MAX(0,(Inputs!$B$3-100)*3)+Inputs!$B$28+Inputs!$B$29)))</f>
        <v/>
      </c>
      <c r="E2932">
        <f>INDEX(FactorTable!$B$2:$Y$301, MATCH(ROUND(MIN(300,MAX(1,D2932)),0), FactorTable!$A$2:$A$301,0), Skills!M7+1)</f>
        <v/>
      </c>
      <c r="F2932">
        <f>IF(Skills!N7=TRUE,(Skills!L7/10)*(E2932/1000),Skills!L7/10)+Skills!O7</f>
        <v/>
      </c>
      <c r="G2932">
        <f>Skills!G7*IF(Skills!H7&gt;0,Skills!I7/Skills!H7,1)</f>
        <v/>
      </c>
      <c r="H2932">
        <f>1-(1-Skills!J7/100)^Skills!K7</f>
        <v/>
      </c>
      <c r="I2932" t="inlineStr">
        <is>
          <t>1</t>
        </is>
      </c>
      <c r="J2932">
        <f>((Inputs!$B$6*(1+Inputs!$B$7/100))+(((Inputs!$B$12*(1+Inputs!$B$13/100))-(Inputs!$B$12*(1+Inputs!$B$13/100)))+0.25*(Inputs!$B$14-Inputs!$B$14))*(1+Inputs!$B$7/100))*(F2932/100)</f>
        <v/>
      </c>
      <c r="K2932">
        <f>J2932*(1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7="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2932)</f>
        <v/>
      </c>
      <c r="L2932">
        <f>K2932*(MIN(Inputs!$B$22+((C2947=TRUE)*(F2947-Calc!F22)),(Inputs!$B$23+((C2949=TRUE)*(F2949-Calc!F24))+(IF(ArtifactsInput!$M$15,CHOOSE(ArtifactsInput!$N$15+1,25,30,35,40,45,50)/100*(Inputs!$B$11-Inputs!$B$11),0))))/100+(Inputs!$B$23+((C2949=TRUE)*(F2949-Calc!F24))+(IF(ArtifactsInput!$M$15,CHOOSE(ArtifactsInput!$N$15+1,25,30,35,40,45,50)/100*(Inputs!$B$11-Inputs!$B$11),0)))/100)/2</f>
        <v/>
      </c>
      <c r="M2932">
        <f>L2932*(1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2">
        <f>L2932*(1-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2932*(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2">
        <f>(1-Summary!$B$11)*T2932+Summary!$B$11*V2932</f>
        <v/>
      </c>
      <c r="P2932">
        <f>IF(B2962=0,0,O2932/B2962)</f>
        <v/>
      </c>
      <c r="Q2932">
        <f>IFERROR(1/(IF(Inputs!$B$38="pvp",15,MAX(0.1,Skills!D7-IF(Skills!E7=TRUE,5.0,0)))*(1-IF(AND(ArtifactsInput!$M$27,Inputs!$B$4="Chapter Hunt"),CHOOSE(ArtifactsInput!$N$27+1,20,24,28,32,36,40),0)/100)),0)</f>
        <v/>
      </c>
      <c r="R2932">
        <f>IF(AND(Inputs!$B$38&lt;&gt;"pvp",Inputs!$B$43&gt;0),IF(MAX(0,Inputs!$B$43-B2959)&lt;=0,0,(INT(MAX(0,Inputs!$B$43-B2959)/(IF(Inputs!$B$38="pvp",15,MAX(0.1,Skills!D7-IF(Skills!E7=TRUE,5.0,0)))*(1-IF(AND(ArtifactsInput!$M$27,Inputs!$B$4="Chapter Hunt"),CHOOSE(ArtifactsInput!$N$27+1,20,24,28,32,36,40),0)/100)))+1)),0)</f>
        <v/>
      </c>
      <c r="S2932">
        <f>IFERROR(O2932/N2932,0)</f>
        <v/>
      </c>
      <c r="T2932">
        <f>IF(C2932,(H2932*N2932*IF(AND(Inputs!$B$38&lt;&gt;"pvp",Inputs!$B$43&gt;0),((Skills!G7*((R2932-1)*IF(Skills!H7&gt;0,Skills!I7/Skills!H7,1)+IF(Skills!H7&gt;0,MIN(Skills!I7,MAX(0,MAX(0,Inputs!$B$43-B2959)-((R2932-1)*(IF(Inputs!$B$38="pvp",15,MAX(0.1,Skills!D7-IF(Skills!E7=TRUE,5.0,0)))*(1-IF(AND(ArtifactsInput!$M$27,Inputs!$B$4="Chapter Hunt"),CHOOSE(ArtifactsInput!$N$27+1,20,24,28,32,36,40),0)/100)))))/Skills!H7,1)))/Inputs!$B$43),G2932*Q2932)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2932*(1-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2932*(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2932*(1-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2932*(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2">
        <f>IF(C2932,(H2932*N2932*IF(AND(Inputs!$B$38&lt;&gt;"pvp",Inputs!$B$43&gt;0),((Skills!G7*((R2932-1)*IF(Skills!H7&gt;0,Skills!I7/Skills!H7,1)+IF(Skills!H7&gt;0,MIN(Skills!I7,MAX(0,MAX(0,Inputs!$B$43-B2959)-((R2932-1)*(IF(Inputs!$B$38="pvp",15,MAX(0.1,Skills!D7-IF(Skills!E7=TRUE,5.0,0)))*(1-IF(AND(ArtifactsInput!$M$27,Inputs!$B$4="Chapter Hunt"),CHOOSE(ArtifactsInput!$N$27+1,20,24,28,32,36,40),0)/100)))))/Skills!H7,1)))/Inputs!$B$43),G2932*Q2932))*IF(Inputs!$B$38="pvp",1,(1+(Inputs!$B$21+Skills!Q7+(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3">
      <c r="A2933">
        <f>Skills!A8</f>
        <v/>
      </c>
      <c r="B2933">
        <f>Skills!B8</f>
        <v/>
      </c>
      <c r="C2933">
        <f>Inputs!$B$3&gt;=107</f>
        <v/>
      </c>
      <c r="D2933">
        <f>IF(Skills!C8=1,60+Inputs!$B$25+Inputs!$B$29,IF(Skills!C8=2,90+Inputs!$B$26+Inputs!$B$29,IF(Skills!C8=3,120+Inputs!$B$27+Inputs!$B$29,MAX(0,(Inputs!$B$3-100)*3)+Inputs!$B$28+Inputs!$B$29)))</f>
        <v/>
      </c>
      <c r="E2933">
        <f>INDEX(FactorTable!$B$2:$Y$301, MATCH(ROUND(MIN(300,MAX(1,D2933)),0), FactorTable!$A$2:$A$301,0), Skills!M8+1)</f>
        <v/>
      </c>
      <c r="F2933">
        <f>IF(Skills!N8=TRUE,(Skills!L8/10)*(E2933/1000),Skills!L8/10)+Skills!O8</f>
        <v/>
      </c>
      <c r="G2933">
        <f>Skills!G8*IF(Skills!H8&gt;0,Skills!I8/Skills!H8,1)</f>
        <v/>
      </c>
      <c r="H2933">
        <f>1-(1-Skills!J8/100)^Skills!K8</f>
        <v/>
      </c>
      <c r="I2933" t="inlineStr">
        <is>
          <t>1</t>
        </is>
      </c>
      <c r="J2933">
        <f>((Inputs!$B$6*(1+Inputs!$B$7/100))+(((Inputs!$B$12*(1+Inputs!$B$13/100))-(Inputs!$B$12*(1+Inputs!$B$13/100)))+0.25*(Inputs!$B$14-Inputs!$B$14))*(1+Inputs!$B$7/100))*(F2933/100)</f>
        <v/>
      </c>
      <c r="K2933">
        <f>J2933*(1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8="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2933)</f>
        <v/>
      </c>
      <c r="L2933">
        <f>K2933*(MIN(Inputs!$B$22+((C2947=TRUE)*(F2947-Calc!F22)),(Inputs!$B$23+((C2949=TRUE)*(F2949-Calc!F24))+(IF(ArtifactsInput!$M$15,CHOOSE(ArtifactsInput!$N$15+1,25,30,35,40,45,50)/100*(Inputs!$B$11-Inputs!$B$11),0))))/100+(Inputs!$B$23+((C2949=TRUE)*(F2949-Calc!F24))+(IF(ArtifactsInput!$M$15,CHOOSE(ArtifactsInput!$N$15+1,25,30,35,40,45,50)/100*(Inputs!$B$11-Inputs!$B$11),0)))/100)/2</f>
        <v/>
      </c>
      <c r="M2933">
        <f>L2933*(1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3">
        <f>L2933*(1-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2933*(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3">
        <f>(1-Summary!$B$11)*T2933+Summary!$B$11*V2933</f>
        <v/>
      </c>
      <c r="P2933">
        <f>IF(B2962=0,0,O2933/B2962)</f>
        <v/>
      </c>
      <c r="Q2933">
        <f>IFERROR(1/(IF(Inputs!$B$38="pvp",15,MAX(0.1,Skills!D8-IF(Skills!E8=TRUE,5.0,0)))*(1-IF(AND(ArtifactsInput!$M$27,Inputs!$B$4="Chapter Hunt"),CHOOSE(ArtifactsInput!$N$27+1,20,24,28,32,36,40),0)/100)),0)</f>
        <v/>
      </c>
      <c r="R2933">
        <f>IF(AND(Inputs!$B$38&lt;&gt;"pvp",Inputs!$B$43&gt;0),IF(MAX(0,Inputs!$B$43-B2959)&lt;=0,0,(INT(MAX(0,Inputs!$B$43-B2959)/(IF(Inputs!$B$38="pvp",15,MAX(0.1,Skills!D8-IF(Skills!E8=TRUE,5.0,0)))*(1-IF(AND(ArtifactsInput!$M$27,Inputs!$B$4="Chapter Hunt"),CHOOSE(ArtifactsInput!$N$27+1,20,24,28,32,36,40),0)/100)))+1)),0)</f>
        <v/>
      </c>
      <c r="S2933">
        <f>IFERROR(O2933/N2933,0)</f>
        <v/>
      </c>
      <c r="T2933">
        <f>IF(C2933,(H2933*N2933*IF(AND(Inputs!$B$38&lt;&gt;"pvp",Inputs!$B$43&gt;0),((Skills!G8*((R2933-1)*IF(Skills!H8&gt;0,Skills!I8/Skills!H8,1)+IF(Skills!H8&gt;0,MIN(Skills!I8,MAX(0,MAX(0,Inputs!$B$43-B2959)-((R2933-1)*(IF(Inputs!$B$38="pvp",15,MAX(0.1,Skills!D8-IF(Skills!E8=TRUE,5.0,0)))*(1-IF(AND(ArtifactsInput!$M$27,Inputs!$B$4="Chapter Hunt"),CHOOSE(ArtifactsInput!$N$27+1,20,24,28,32,36,40),0)/100)))))/Skills!H8,1)))/Inputs!$B$43),G2933*Q2933))*IF(Inputs!$B$38="pvp",1,1+(Inputs!$B$20+0+Skills!P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2933*(1-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2933*(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2933*(1-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2933*(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3">
        <f>IF(C2933,(H2933*N2933*IF(AND(Inputs!$B$38&lt;&gt;"pvp",Inputs!$B$43&gt;0),((Skills!G8*((R2933-1)*IF(Skills!H8&gt;0,Skills!I8/Skills!H8,1)+IF(Skills!H8&gt;0,MIN(Skills!I8,MAX(0,MAX(0,Inputs!$B$43-B2959)-((R2933-1)*(IF(Inputs!$B$38="pvp",15,MAX(0.1,Skills!D8-IF(Skills!E8=TRUE,5.0,0)))*(1-IF(AND(ArtifactsInput!$M$27,Inputs!$B$4="Chapter Hunt"),CHOOSE(ArtifactsInput!$N$27+1,20,24,28,32,36,40),0)/100)))))/Skills!H8,1)))/Inputs!$B$43),G2933*Q2933))*IF(Inputs!$B$38="pvp",1,(1+(Inputs!$B$21+Skills!Q8+(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4">
      <c r="A2934">
        <f>Skills!A9</f>
        <v/>
      </c>
      <c r="B2934">
        <f>Skills!B9</f>
        <v/>
      </c>
      <c r="C2934">
        <f>Inputs!$B$3&gt;=125</f>
        <v/>
      </c>
      <c r="D2934">
        <f>IF(Skills!C9=1,60+Inputs!$B$25+Inputs!$B$29,IF(Skills!C9=2,90+Inputs!$B$26+Inputs!$B$29,IF(Skills!C9=3,120+Inputs!$B$27+Inputs!$B$29,MAX(0,(Inputs!$B$3-100)*3)+Inputs!$B$28+Inputs!$B$29)))</f>
        <v/>
      </c>
      <c r="E2934">
        <f>INDEX(FactorTable!$B$2:$Y$301, MATCH(ROUND(MIN(300,MAX(1,D2934)),0), FactorTable!$A$2:$A$301,0), Skills!M9+1)</f>
        <v/>
      </c>
      <c r="F2934">
        <f>IF(Skills!N9=TRUE,(Skills!L9/10)*(E2934/1000),Skills!L9/10)+Skills!O9</f>
        <v/>
      </c>
      <c r="G2934">
        <f>Skills!G9*IF(Skills!H9&gt;0,Skills!I9/Skills!H9,1)</f>
        <v/>
      </c>
      <c r="H2934">
        <f>1-(1-Skills!J9/100)^Skills!K9</f>
        <v/>
      </c>
      <c r="I2934" t="inlineStr">
        <is>
          <t>1</t>
        </is>
      </c>
      <c r="J2934">
        <f>((Inputs!$B$6*(1+Inputs!$B$7/100))+(((Inputs!$B$12*(1+Inputs!$B$13/100))-(Inputs!$B$12*(1+Inputs!$B$13/100)))+0.25*(Inputs!$B$14-Inputs!$B$14))*(1+Inputs!$B$7/100))*(F2934/100)</f>
        <v/>
      </c>
      <c r="K2934">
        <f>J2934*(1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2934)</f>
        <v/>
      </c>
      <c r="L2934">
        <f>K2934*(MIN(Inputs!$B$22+((C2947=TRUE)*(F2947-Calc!F22)),(Inputs!$B$23+((C2949=TRUE)*(F2949-Calc!F24))+(IF(ArtifactsInput!$M$15,CHOOSE(ArtifactsInput!$N$15+1,25,30,35,40,45,50)/100*(Inputs!$B$11-Inputs!$B$11),0))))/100+(Inputs!$B$23+((C2949=TRUE)*(F2949-Calc!F24))+(IF(ArtifactsInput!$M$15,CHOOSE(ArtifactsInput!$N$15+1,25,30,35,40,45,50)/100*(Inputs!$B$11-Inputs!$B$11),0)))/100)/2</f>
        <v/>
      </c>
      <c r="M2934">
        <f>L2934*(1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4">
        <f>L2934*(1-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2934*(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4">
        <f>(1-Summary!$B$11)*T2934+Summary!$B$11*V2934</f>
        <v/>
      </c>
      <c r="P2934">
        <f>IF(B2962=0,0,O2934/B2962)</f>
        <v/>
      </c>
      <c r="Q2934">
        <f>IFERROR(1/(IF(Inputs!$B$38="pvp",15,MAX(0.1,Skills!D9-IF(Skills!E9=TRUE,5.0,0)))*(1-IF(AND(ArtifactsInput!$M$27,Inputs!$B$4="Chapter Hunt"),CHOOSE(ArtifactsInput!$N$27+1,20,24,28,32,36,40),0)/100)),0)</f>
        <v/>
      </c>
      <c r="R2934">
        <f>IF(AND(Inputs!$B$38&lt;&gt;"pvp",Inputs!$B$43&gt;0),IF(MAX(0,Inputs!$B$43-B2959)&lt;=0,0,(INT(MAX(0,Inputs!$B$43-B2959)/(IF(Inputs!$B$38="pvp",15,MAX(0.1,Skills!D9-IF(Skills!E9=TRUE,5.0,0)))*(1-IF(AND(ArtifactsInput!$M$27,Inputs!$B$4="Chapter Hunt"),CHOOSE(ArtifactsInput!$N$27+1,20,24,28,32,36,40),0)/100)))+1)),0)</f>
        <v/>
      </c>
      <c r="S2934">
        <f>IFERROR(O2934/N2934,0)</f>
        <v/>
      </c>
      <c r="T2934">
        <f>IF(C2934,(H2934*N2934*IF(AND(Inputs!$B$38&lt;&gt;"pvp",Inputs!$B$43&gt;0),((Skills!G9*((R2934-1)*IF(Skills!H9&gt;0,Skills!I9/Skills!H9,1)+IF(Skills!H9&gt;0,MIN(Skills!I9,MAX(0,MAX(0,Inputs!$B$43-B2959)-((R2934-1)*(IF(Inputs!$B$38="pvp",15,MAX(0.1,Skills!D9-IF(Skills!E9=TRUE,5.0,0)))*(1-IF(AND(ArtifactsInput!$M$27,Inputs!$B$4="Chapter Hunt"),CHOOSE(ArtifactsInput!$N$27+1,20,24,28,32,36,40),0)/100)))))/Skills!H9,1)))/Inputs!$B$43),G2934*Q2934)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2934*(1-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2934*(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2934*(1-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2934*(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4">
        <f>IF(C2934,(H2934*N2934*IF(AND(Inputs!$B$38&lt;&gt;"pvp",Inputs!$B$43&gt;0),((Skills!G9*((R2934-1)*IF(Skills!H9&gt;0,Skills!I9/Skills!H9,1)+IF(Skills!H9&gt;0,MIN(Skills!I9,MAX(0,MAX(0,Inputs!$B$43-B2959)-((R2934-1)*(IF(Inputs!$B$38="pvp",15,MAX(0.1,Skills!D9-IF(Skills!E9=TRUE,5.0,0)))*(1-IF(AND(ArtifactsInput!$M$27,Inputs!$B$4="Chapter Hunt"),CHOOSE(ArtifactsInput!$N$27+1,20,24,28,32,36,40),0)/100)))))/Skills!H9,1)))/Inputs!$B$43),G2934*Q2934))*IF(Inputs!$B$38="pvp",1,(1+(Inputs!$B$21+Skills!Q9+(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5">
      <c r="A2935">
        <f>Skills!A10</f>
        <v/>
      </c>
      <c r="B2935">
        <f>Skills!B10</f>
        <v/>
      </c>
      <c r="C2935">
        <f>Inputs!$B$3&gt;=117</f>
        <v/>
      </c>
      <c r="D2935">
        <f>IF(Skills!C10=1,60+Inputs!$B$25+Inputs!$B$29,IF(Skills!C10=2,90+Inputs!$B$26+Inputs!$B$29,IF(Skills!C10=3,120+Inputs!$B$27+Inputs!$B$29,MAX(0,(Inputs!$B$3-100)*3)+Inputs!$B$28+Inputs!$B$29)))</f>
        <v/>
      </c>
      <c r="E2935">
        <f>INDEX(FactorTable!$B$2:$Y$301, MATCH(ROUND(MIN(300,MAX(1,D2935)),0), FactorTable!$A$2:$A$301,0), Skills!M10+1)</f>
        <v/>
      </c>
      <c r="F2935">
        <f>IF(Skills!N10=TRUE,(Skills!L10/10)*(E2935/1000),Skills!L10/10)+Skills!O10</f>
        <v/>
      </c>
      <c r="G2935">
        <f>Skills!G10*IF(Skills!H10&gt;0,Skills!I10/Skills!H10,1)</f>
        <v/>
      </c>
      <c r="H2935">
        <f>1-(1-Skills!J10/100)^Skills!K10</f>
        <v/>
      </c>
      <c r="I2935" t="inlineStr">
        <is>
          <t>1</t>
        </is>
      </c>
      <c r="J2935">
        <f>((Inputs!$B$6*(1+Inputs!$B$7/100))+(((Inputs!$B$12*(1+Inputs!$B$13/100))-(Inputs!$B$12*(1+Inputs!$B$13/100)))+0.25*(Inputs!$B$14-Inputs!$B$14))*(1+Inputs!$B$7/100))*(F2935/100)</f>
        <v/>
      </c>
      <c r="K2935">
        <f>J2935*(1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2935)</f>
        <v/>
      </c>
      <c r="L2935">
        <f>K2935*(MIN(Inputs!$B$22+((C2947=TRUE)*(F2947-Calc!F22)),(Inputs!$B$23+((C2949=TRUE)*(F2949-Calc!F24))+(IF(ArtifactsInput!$M$15,CHOOSE(ArtifactsInput!$N$15+1,25,30,35,40,45,50)/100*(Inputs!$B$11-Inputs!$B$11),0))))/100+(Inputs!$B$23+((C2949=TRUE)*(F2949-Calc!F24))+(IF(ArtifactsInput!$M$15,CHOOSE(ArtifactsInput!$N$15+1,25,30,35,40,45,50)/100*(Inputs!$B$11-Inputs!$B$11),0)))/100)/2</f>
        <v/>
      </c>
      <c r="M2935">
        <f>L2935*(1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5">
        <f>L2935*(1-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2935*(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5">
        <f>(1-Summary!$B$11)*T2935+Summary!$B$11*V2935</f>
        <v/>
      </c>
      <c r="P2935">
        <f>IF(B2962=0,0,O2935/B2962)</f>
        <v/>
      </c>
      <c r="Q2935">
        <f>IFERROR(1/(IF(Inputs!$B$38="pvp",15,MAX(0.1,Skills!D10-IF(Skills!E10=TRUE,5.0,0)))*(1-IF(AND(ArtifactsInput!$M$27,Inputs!$B$4="Chapter Hunt"),CHOOSE(ArtifactsInput!$N$27+1,20,24,28,32,36,40),0)/100)),0)</f>
        <v/>
      </c>
      <c r="R2935">
        <f>IF(AND(Inputs!$B$38&lt;&gt;"pvp",Inputs!$B$43&gt;0),IF(MAX(0,Inputs!$B$43-B2959)&lt;=0,0,(INT(MAX(0,Inputs!$B$43-B2959)/(IF(Inputs!$B$38="pvp",15,MAX(0.1,Skills!D10-IF(Skills!E10=TRUE,5.0,0)))*(1-IF(AND(ArtifactsInput!$M$27,Inputs!$B$4="Chapter Hunt"),CHOOSE(ArtifactsInput!$N$27+1,20,24,28,32,36,40),0)/100)))+1)),0)</f>
        <v/>
      </c>
      <c r="S2935">
        <f>IFERROR(O2935/N2935,0)</f>
        <v/>
      </c>
      <c r="T2935">
        <f>IF(C2935,(H2935*N2935*IF(AND(Inputs!$B$38&lt;&gt;"pvp",Inputs!$B$43&gt;0),((Skills!G10*((R2935-1)*IF(Skills!H10&gt;0,Skills!I10/Skills!H10,1)+IF(Skills!H10&gt;0,MIN(Skills!I10,MAX(0,MAX(0,Inputs!$B$43-B2959)-((R2935-1)*(IF(Inputs!$B$38="pvp",15,MAX(0.1,Skills!D10-IF(Skills!E10=TRUE,5.0,0)))*(1-IF(AND(ArtifactsInput!$M$27,Inputs!$B$4="Chapter Hunt"),CHOOSE(ArtifactsInput!$N$27+1,20,24,28,32,36,40),0)/100)))))/Skills!H10,1)))/Inputs!$B$43),G2935*Q2935)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2935*(1-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2935*(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2935*(1-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2935*(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5">
        <f>IF(C2935,(H2935*N2935*IF(AND(Inputs!$B$38&lt;&gt;"pvp",Inputs!$B$43&gt;0),((Skills!G10*((R2935-1)*IF(Skills!H10&gt;0,Skills!I10/Skills!H10,1)+IF(Skills!H10&gt;0,MIN(Skills!I10,MAX(0,MAX(0,Inputs!$B$43-B2959)-((R2935-1)*(IF(Inputs!$B$38="pvp",15,MAX(0.1,Skills!D10-IF(Skills!E10=TRUE,5.0,0)))*(1-IF(AND(ArtifactsInput!$M$27,Inputs!$B$4="Chapter Hunt"),CHOOSE(ArtifactsInput!$N$27+1,20,24,28,32,36,40),0)/100)))))/Skills!H10,1)))/Inputs!$B$43),G2935*Q2935))*IF(Inputs!$B$38="pvp",1,(1+(Inputs!$B$21+Skills!Q10+(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6">
      <c r="A2936">
        <f>Skills!A11</f>
        <v/>
      </c>
      <c r="B2936">
        <f>Skills!B11</f>
        <v/>
      </c>
      <c r="C2936">
        <f>Inputs!$B$3&gt;=63</f>
        <v/>
      </c>
      <c r="D2936">
        <f>IF(Skills!C11=1,60+Inputs!$B$25+Inputs!$B$29,IF(Skills!C11=2,90+Inputs!$B$26+Inputs!$B$29,IF(Skills!C11=3,120+Inputs!$B$27+Inputs!$B$29,MAX(0,(Inputs!$B$3-100)*3)+Inputs!$B$28+Inputs!$B$29)))</f>
        <v/>
      </c>
      <c r="E2936">
        <f>INDEX(FactorTable!$B$2:$Y$301, MATCH(ROUND(MIN(300,MAX(1,D2936)),0), FactorTable!$A$2:$A$301,0), Skills!M11+1)</f>
        <v/>
      </c>
      <c r="F2936">
        <f>IF(Skills!N11=TRUE,(Skills!L11/10)*(E2936/1000),Skills!L11/10)+Skills!O11</f>
        <v/>
      </c>
      <c r="G2936">
        <f>Skills!G11*IF(Skills!H11&gt;0,Skills!I11/Skills!H11,1)</f>
        <v/>
      </c>
      <c r="H2936">
        <f>1-(1-Skills!J11/100)^Skills!K11</f>
        <v/>
      </c>
      <c r="I2936" t="inlineStr">
        <is>
          <t>1</t>
        </is>
      </c>
      <c r="J2936">
        <f>((Inputs!$B$6*(1+Inputs!$B$7/100))+(((Inputs!$B$12*(1+Inputs!$B$13/100))-(Inputs!$B$12*(1+Inputs!$B$13/100)))+0.25*(Inputs!$B$14-Inputs!$B$14))*(1+Inputs!$B$7/100))*(F2936/100)</f>
        <v/>
      </c>
      <c r="K2936">
        <f>J2936*(1+((Inputs!$B$12*(1+Inputs!$B$13/100))*0.01+Inputs!$B$14*0.0025)/100)*(1+Inputs!$B$15/100)*(1+Inputs!$B$16/100)*(5000/(6000+Inputs!$B$42*(1-(Inputs!$B$19+0)/100)))*(1+(Inputs!$B$24+0+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+1.5*IF(C2937=TRUE,F2937,0)/100)*(1+(IF(Skills!A11="BLAST",Inputs!$B$17+((C2946=TRUE)*(F2946-Calc!F21))+((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MIN(100,((Inputs!$B$9+0+B2952+(ArtifactsInput!$M$24-ArtifactsInput!$M$24)*CHOOSE(ArtifactsInput!$N$24+1,10,12,14,16,18,20)+IF(ArtifactsInput!$M$10,CHOOSE(ArtifactsInput!$N$10+1,15,18,21,24,27,30)*(IF(Inputs!$B$38="pvp",MIN(15,15)/15,IF(AND(Inputs!$B$38&lt;&gt;"pvp",Inputs!$B$43&gt;0),MIN(15,Inputs!$B$43)/(Inputs!$B$43),0))),0)))-100),0))*CHOOSE(ArtifactsInput!$N$42+1,0.6,0.72,0.84,0.96,1.08,1.2))),Inputs!$B$18+((C2948=TRUE)*(F2948-Calc!F23))+(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gt;=100),CHOOSE(ArtifactsInput!$N$42+1,40,48,56,64,72,80),0))))/100)*((1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2936)</f>
        <v/>
      </c>
      <c r="L2936">
        <f>K2936*(MIN(Inputs!$B$22+((C2947=TRUE)*(F2947-Calc!F22)),(Inputs!$B$23+((C2949=TRUE)*(F2949-Calc!F24))+(IF(ArtifactsInput!$M$15,CHOOSE(ArtifactsInput!$N$15+1,25,30,35,40,45,50)/100*(Inputs!$B$11-Inputs!$B$11),0))))/100+(Inputs!$B$23+((C2949=TRUE)*(F2949-Calc!F24))+(IF(ArtifactsInput!$M$15,CHOOSE(ArtifactsInput!$N$15+1,25,30,35,40,45,50)/100*(Inputs!$B$11-Inputs!$B$11),0)))/100)/2</f>
        <v/>
      </c>
      <c r="M2936">
        <f>L2936*(1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6">
        <f>L2936*(1-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2936*(MIN((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6">
        <f>(1-Summary!$B$11)*T2936+Summary!$B$11*V2936</f>
        <v/>
      </c>
      <c r="P2936">
        <f>IF(B2962=0,0,O2936/B2962)</f>
        <v/>
      </c>
      <c r="Q2936">
        <f>IFERROR(1/(IF(Inputs!$B$38="pvp",15,MAX(0.1,Skills!D11-IF(Skills!E11=TRUE,5.0,0)))*(1-IF(AND(ArtifactsInput!$M$27,Inputs!$B$4="Chapter Hunt"),CHOOSE(ArtifactsInput!$N$27+1,20,24,28,32,36,40),0)/100)),0)</f>
        <v/>
      </c>
      <c r="R2936">
        <f>IF(AND(Inputs!$B$38&lt;&gt;"pvp",Inputs!$B$43&gt;0),IF(MAX(0,Inputs!$B$43-B2959)&lt;=0,0,(INT(MAX(0,Inputs!$B$43-B2959)/(IF(Inputs!$B$38="pvp",15,MAX(0.1,Skills!D11-IF(Skills!E11=TRUE,5.0,0)))*(1-IF(AND(ArtifactsInput!$M$27,Inputs!$B$4="Chapter Hunt"),CHOOSE(ArtifactsInput!$N$27+1,20,24,28,32,36,40),0)/100)))+1)),0)</f>
        <v/>
      </c>
      <c r="S2936">
        <f>IFERROR(O2936/N2936,0)</f>
        <v/>
      </c>
      <c r="T2936">
        <f>IF(C2936,(H2936*N2936*IF(AND(Inputs!$B$38&lt;&gt;"pvp",Inputs!$B$43&gt;0),((Skills!G11*((R2936-1)*IF(Skills!H11&gt;0,Skills!I11/Skills!H11,1)+IF(Skills!H11&gt;0,MIN(Skills!I11,MAX(0,MAX(0,Inputs!$B$43-B2959)-((R2936-1)*(IF(Inputs!$B$38="pvp",15,MAX(0.1,Skills!D11-IF(Skills!E11=TRUE,5.0,0)))*(1-IF(AND(ArtifactsInput!$M$27,Inputs!$B$4="Chapter Hunt"),CHOOSE(ArtifactsInput!$N$27+1,20,24,28,32,36,40),0)/100)))))/Skills!H11,1)))/Inputs!$B$43),G2936*Q2936)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2936*(1-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2936*(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2936*(1-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2936*(MIN(100,(Inputs!$B$9+0+B2952+(ArtifactsInput!$M$24-ArtifactsInput!$M$24)*CHOOSE(ArtifactsInput!$N$24+1,10,12,14,16,18,20)+(IF(AND(Inputs!$B$38&lt;&gt;"pvp",Inputs!$B$43=0),1,IF(IF(Inputs!$B$38="pvp",15,Inputs!$B$43)-(B2959)&lt;=0,1,MAX(0,IF(Inputs!$B$38="pvp",15,Inputs!$B$43)-MAX(5,B2959))/(IF(Inputs!$B$38="pvp",15,Inputs!$B$43)-(B2959))))*IF(AND(ArtifactsInput!$M$42,((Inputs!$B$9+0+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6">
        <f>IF(C2936,(H2936*N2936*IF(AND(Inputs!$B$38&lt;&gt;"pvp",Inputs!$B$43&gt;0),((Skills!G11*((R2936-1)*IF(Skills!H11&gt;0,Skills!I11/Skills!H11,1)+IF(Skills!H11&gt;0,MIN(Skills!I11,MAX(0,MAX(0,Inputs!$B$43-B2959)-((R2936-1)*(IF(Inputs!$B$38="pvp",15,MAX(0.1,Skills!D11-IF(Skills!E11=TRUE,5.0,0)))*(1-IF(AND(ArtifactsInput!$M$27,Inputs!$B$4="Chapter Hunt"),CHOOSE(ArtifactsInput!$N$27+1,20,24,28,32,36,40),0)/100)))))/Skills!H11,1)))/Inputs!$B$43),G2936*Q2936))*IF(Inputs!$B$38="pvp",1,(1+(Inputs!$B$21+Skills!Q11+(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IF(Inputs!$B$3&gt;=44,10*IF(Inputs!$B$38="pvp",MIN((10*(1+Inputs!$B$34/100)),15)/15,(10*(1+Inputs!$B$34/100))/Skills!D4),0)+12*IF(Inputs!$B$38="pvp",MIN((10*(1+Inputs!$B$34/100)),15)/15,(10*(1+Inputs!$B$34/100))/Skills!D5)+IF(Inputs!$B$3&gt;=138,20*IF(Inputs!$B$38="pvp",MIN((10*(1+Inputs!$B$34/100)),15)/15,(10*(1+Inputs!$B$34/100))/Skills!D7),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7">
      <c r="A2937">
        <f>Skills!A12</f>
        <v/>
      </c>
      <c r="B2937">
        <f>Skills!B12</f>
        <v/>
      </c>
      <c r="C2937">
        <f>Inputs!$B$3&gt;=100</f>
        <v/>
      </c>
      <c r="D2937">
        <f>IF(Skills!C12=1,60+Inputs!$B$25+Inputs!$B$29,IF(Skills!C12=2,90+Inputs!$B$26+Inputs!$B$29,IF(Skills!C12=3,120+Inputs!$B$27+Inputs!$B$29,MAX(0,(Inputs!$B$3-100)*3)+Inputs!$B$28+Inputs!$B$29)))</f>
        <v/>
      </c>
      <c r="E2937">
        <f>INDEX(FactorTable!$B$2:$Y$301, MATCH(ROUND(MIN(300,MAX(1,D2937)),0), FactorTable!$A$2:$A$301,0), Skills!M12+1)</f>
        <v/>
      </c>
      <c r="F2937">
        <f>IF(Skills!N12=TRUE,(Skills!L12/10)*(E2937/1000),Skills!L12/10)+Skills!O12</f>
        <v/>
      </c>
      <c r="G2937" t="inlineStr"/>
      <c r="H2937" t="inlineStr"/>
      <c r="I2937" t="inlineStr">
        <is>
          <t>1</t>
        </is>
      </c>
      <c r="J2937" t="inlineStr"/>
      <c r="K2937" t="inlineStr"/>
      <c r="L2937" t="inlineStr"/>
      <c r="M2937" t="inlineStr"/>
      <c r="N2937" t="inlineStr"/>
      <c r="O2937" t="inlineStr"/>
      <c r="P2937" t="inlineStr"/>
      <c r="Q2937" t="inlineStr"/>
      <c r="R2937" t="inlineStr"/>
      <c r="S2937" t="inlineStr"/>
    </row>
    <row r="2938">
      <c r="A2938">
        <f>Skills!A13</f>
        <v/>
      </c>
      <c r="B2938">
        <f>Skills!B13</f>
        <v/>
      </c>
      <c r="C2938">
        <f>Inputs!$B$3&gt;=45</f>
        <v/>
      </c>
      <c r="D2938">
        <f>IF(Skills!C13=1,60+Inputs!$B$25+Inputs!$B$29,IF(Skills!C13=2,90+Inputs!$B$26+Inputs!$B$29,IF(Skills!C13=3,120+Inputs!$B$27+Inputs!$B$29,MAX(0,(Inputs!$B$3-100)*3)+Inputs!$B$28+Inputs!$B$29)))</f>
        <v/>
      </c>
      <c r="E2938">
        <f>INDEX(FactorTable!$B$2:$Y$301, MATCH(ROUND(MIN(300,MAX(1,D2938)),0), FactorTable!$A$2:$A$301,0), Skills!M13+1)</f>
        <v/>
      </c>
      <c r="F2938">
        <f>IF(Skills!N13=TRUE,(Skills!L13/10)*(E2938/1000),Skills!L13/10)+Skills!O13</f>
        <v/>
      </c>
      <c r="G2938">
        <f>Skills!G13*IF(Skills!H13&gt;0,Skills!I13/Skills!H13,1)</f>
        <v/>
      </c>
      <c r="H2938">
        <f>1-(1-Skills!J13/100)^Skills!K13</f>
        <v/>
      </c>
      <c r="I2938" t="inlineStr">
        <is>
          <t>1</t>
        </is>
      </c>
      <c r="J2938" t="inlineStr"/>
      <c r="K2938" t="inlineStr"/>
      <c r="L2938" t="inlineStr"/>
      <c r="M2938" t="inlineStr"/>
      <c r="N2938" t="inlineStr"/>
      <c r="O2938">
        <f>(1-Summary!$B$11)*T2938+Summary!$B$11*V2938</f>
        <v/>
      </c>
      <c r="P2938">
        <f>IF(B2962=0,0,O2938/B2962)</f>
        <v/>
      </c>
      <c r="Q2938" t="n">
        <v>0</v>
      </c>
      <c r="R2938" t="n">
        <v>0</v>
      </c>
      <c r="S2938">
        <f>IFERROR(O2938/N2938,0)</f>
        <v/>
      </c>
      <c r="T2938" t="n">
        <v>0</v>
      </c>
      <c r="V2938" t="n">
        <v>0</v>
      </c>
    </row>
    <row r="2939">
      <c r="A2939">
        <f>Skills!A14</f>
        <v/>
      </c>
      <c r="B2939">
        <f>Skills!B14</f>
        <v/>
      </c>
      <c r="C2939">
        <f>Inputs!$B$3&gt;=110</f>
        <v/>
      </c>
      <c r="D2939">
        <f>IF(Skills!C14=1,60+Inputs!$B$25+Inputs!$B$29,IF(Skills!C14=2,90+Inputs!$B$26+Inputs!$B$29,IF(Skills!C14=3,120+Inputs!$B$27+Inputs!$B$29,MAX(0,(Inputs!$B$3-100)*3)+Inputs!$B$28+Inputs!$B$29)))</f>
        <v/>
      </c>
      <c r="E2939">
        <f>INDEX(FactorTable!$B$2:$Y$301, MATCH(ROUND(MIN(300,MAX(1,D2939)),0), FactorTable!$A$2:$A$301,0), Skills!M14+1)</f>
        <v/>
      </c>
      <c r="F2939">
        <f>IF(Skills!N14=TRUE,(Skills!L14/10)*(E2939/1000),Skills!L14/10)+Skills!O14</f>
        <v/>
      </c>
      <c r="G2939">
        <f>Skills!G14*IF(Skills!H14&gt;0,Skills!I14/Skills!H14,1)</f>
        <v/>
      </c>
      <c r="H2939">
        <f>1-(1-Skills!J14/100)^Skills!K14</f>
        <v/>
      </c>
      <c r="I2939" t="inlineStr">
        <is>
          <t>1</t>
        </is>
      </c>
      <c r="J2939" t="inlineStr"/>
      <c r="K2939" t="inlineStr"/>
      <c r="L2939" t="inlineStr"/>
      <c r="M2939" t="inlineStr"/>
      <c r="N2939" t="inlineStr"/>
      <c r="O2939">
        <f>(1-Summary!$B$11)*T2939+Summary!$B$11*V2939</f>
        <v/>
      </c>
      <c r="P2939">
        <f>IF(B2962=0,0,O2939/B2962)</f>
        <v/>
      </c>
      <c r="Q2939" t="n">
        <v>0</v>
      </c>
      <c r="R2939" t="n">
        <v>0</v>
      </c>
      <c r="S2939">
        <f>IFERROR(O2939/N2939,0)</f>
        <v/>
      </c>
      <c r="T2939" t="n">
        <v>0</v>
      </c>
      <c r="V2939" t="n">
        <v>0</v>
      </c>
    </row>
    <row r="2940">
      <c r="A2940">
        <f>Skills!A15</f>
        <v/>
      </c>
      <c r="B2940">
        <f>Skills!B15</f>
        <v/>
      </c>
      <c r="C2940">
        <f>Inputs!$B$3&gt;=75</f>
        <v/>
      </c>
      <c r="D2940">
        <f>IF(Skills!C15=1,60+Inputs!$B$25+Inputs!$B$29,IF(Skills!C15=2,90+Inputs!$B$26+Inputs!$B$29,IF(Skills!C15=3,120+Inputs!$B$27+Inputs!$B$29,MAX(0,(Inputs!$B$3-100)*3)+Inputs!$B$28+Inputs!$B$29)))</f>
        <v/>
      </c>
      <c r="E2940">
        <f>INDEX(FactorTable!$B$2:$Y$301, MATCH(ROUND(MIN(300,MAX(1,D2940)),0), FactorTable!$A$2:$A$301,0), Skills!M15+1)</f>
        <v/>
      </c>
      <c r="F2940">
        <f>IF(Skills!N15=TRUE,(Skills!L15/10)*(E2940/1000),Skills!L15/10)+Skills!O15</f>
        <v/>
      </c>
      <c r="G2940">
        <f>Skills!G15*IF(Skills!H15&gt;0,Skills!I15/Skills!H15,1)</f>
        <v/>
      </c>
      <c r="H2940">
        <f>1-(1-Skills!J15/100)^Skills!K15</f>
        <v/>
      </c>
      <c r="I2940" t="inlineStr">
        <is>
          <t>1</t>
        </is>
      </c>
      <c r="J2940" t="inlineStr"/>
      <c r="K2940" t="inlineStr"/>
      <c r="L2940" t="inlineStr"/>
      <c r="M2940" t="inlineStr"/>
      <c r="N2940" t="inlineStr"/>
      <c r="O2940">
        <f>(1-Summary!$B$11)*T2940+Summary!$B$11*V2940</f>
        <v/>
      </c>
      <c r="P2940">
        <f>IF(B2962=0,0,O2940/B2962)</f>
        <v/>
      </c>
      <c r="Q2940">
        <f>IFERROR(1/(IF(Inputs!$B$38="pvp",15,MAX(0.1,Skills!D15-IF(Skills!E15=TRUE,5.0,0)))*(1-IF(AND(ArtifactsInput!$M$27,Inputs!$B$4="Chapter Hunt"),CHOOSE(ArtifactsInput!$N$27+1,20,24,28,32,36,40),0)/100)),0)</f>
        <v/>
      </c>
      <c r="R2940">
        <f>IF(AND(Inputs!$B$38&lt;&gt;"pvp",Inputs!$B$43&gt;0),IF(Inputs!$B$43&lt;=0,0,(INT(Inputs!$B$43/(IF(Inputs!$B$38="pvp",15,MAX(0.1,Skills!D15-IF(Skills!E15=TRUE,5.0,0)))*(1-IF(AND(ArtifactsInput!$M$27,Inputs!$B$4="Chapter Hunt"),CHOOSE(ArtifactsInput!$N$27+1,20,24,28,32,36,40),0)/100)))+1)),0)</f>
        <v/>
      </c>
      <c r="S2940">
        <f>IFERROR(O2940/N2940,0)</f>
        <v/>
      </c>
      <c r="T2940" t="n">
        <v>0</v>
      </c>
      <c r="V2940" t="n">
        <v>0</v>
      </c>
    </row>
    <row r="2941">
      <c r="A2941">
        <f>Skills!A16</f>
        <v/>
      </c>
      <c r="B2941">
        <f>Skills!B16</f>
        <v/>
      </c>
      <c r="C2941">
        <f>Inputs!$B$3&gt;=105</f>
        <v/>
      </c>
      <c r="D2941">
        <f>IF(Skills!C16=1,60+Inputs!$B$25+Inputs!$B$29,IF(Skills!C16=2,90+Inputs!$B$26+Inputs!$B$29,IF(Skills!C16=3,120+Inputs!$B$27+Inputs!$B$29,MAX(0,(Inputs!$B$3-100)*3)+Inputs!$B$28+Inputs!$B$29)))</f>
        <v/>
      </c>
      <c r="E2941">
        <f>INDEX(FactorTable!$B$2:$Y$301, MATCH(ROUND(MIN(300,MAX(1,D2941)),0), FactorTable!$A$2:$A$301,0), Skills!M16+1)</f>
        <v/>
      </c>
      <c r="F2941">
        <f>IF(Skills!N16=TRUE,(Skills!L16/10)*(E2941/1000),Skills!L16/10)+Skills!O16</f>
        <v/>
      </c>
      <c r="G2941">
        <f>Skills!G16*IF(Skills!H16&gt;0,Skills!I16/Skills!H16,1)</f>
        <v/>
      </c>
      <c r="H2941">
        <f>1-(1-Skills!J16/100)^Skills!K16</f>
        <v/>
      </c>
      <c r="I2941" t="inlineStr">
        <is>
          <t>1</t>
        </is>
      </c>
      <c r="J2941" t="inlineStr"/>
      <c r="K2941" t="inlineStr"/>
      <c r="L2941" t="inlineStr"/>
      <c r="M2941" t="inlineStr"/>
      <c r="N2941" t="inlineStr"/>
      <c r="O2941">
        <f>(1-Summary!$B$11)*T2941+Summary!$B$11*V2941</f>
        <v/>
      </c>
      <c r="P2941">
        <f>IF(B2962=0,0,O2941/B2962)</f>
        <v/>
      </c>
      <c r="Q2941">
        <f>IFERROR(1/(IF(Inputs!$B$38="pvp",15,MAX(0.1,Skills!D16-IF(Skills!E16=TRUE,5.0,0)))*(1-IF(AND(ArtifactsInput!$M$27,Inputs!$B$4="Chapter Hunt"),CHOOSE(ArtifactsInput!$N$27+1,20,24,28,32,36,40),0)/100)),0)</f>
        <v/>
      </c>
      <c r="R2941">
        <f>IF(AND(Inputs!$B$38&lt;&gt;"pvp",Inputs!$B$43&gt;0),IF(Inputs!$B$43&lt;=0,0,(INT(Inputs!$B$43/(IF(Inputs!$B$38="pvp",15,MAX(0.1,Skills!D16-IF(Skills!E16=TRUE,5.0,0)))*(1-IF(AND(ArtifactsInput!$M$27,Inputs!$B$4="Chapter Hunt"),CHOOSE(ArtifactsInput!$N$27+1,20,24,28,32,36,40),0)/100)))+1)),0)</f>
        <v/>
      </c>
      <c r="S2941">
        <f>IFERROR(O2941/N2941,0)</f>
        <v/>
      </c>
      <c r="T2941" t="n">
        <v>0</v>
      </c>
      <c r="V2941" t="n">
        <v>0</v>
      </c>
    </row>
    <row r="2942">
      <c r="A2942">
        <f>Skills!A17</f>
        <v/>
      </c>
      <c r="B2942">
        <f>Skills!B17</f>
        <v/>
      </c>
      <c r="C2942">
        <f>Inputs!$B$3&gt;=115</f>
        <v/>
      </c>
      <c r="D2942">
        <f>IF(Skills!C17=1,60+Inputs!$B$25+Inputs!$B$29,IF(Skills!C17=2,90+Inputs!$B$26+Inputs!$B$29,IF(Skills!C17=3,120+Inputs!$B$27+Inputs!$B$29,MAX(0,(Inputs!$B$3-100)*3)+Inputs!$B$28+Inputs!$B$29)))</f>
        <v/>
      </c>
      <c r="E2942">
        <f>INDEX(FactorTable!$B$2:$Y$301, MATCH(ROUND(MIN(300,MAX(1,D2942)),0), FactorTable!$A$2:$A$301,0), Skills!M17+1)</f>
        <v/>
      </c>
      <c r="F2942">
        <f>IF(Skills!N17=TRUE,(Skills!L17/10)*(E2942/1000),Skills!L17/10)+Skills!O17</f>
        <v/>
      </c>
      <c r="G2942">
        <f>Skills!G17*IF(Skills!H17&gt;0,Skills!I17/Skills!H17,1)</f>
        <v/>
      </c>
      <c r="H2942">
        <f>1-(1-Skills!J17/100)^Skills!K17</f>
        <v/>
      </c>
      <c r="I2942" t="inlineStr">
        <is>
          <t>1</t>
        </is>
      </c>
      <c r="J2942" t="inlineStr"/>
      <c r="K2942" t="inlineStr"/>
      <c r="L2942" t="inlineStr"/>
      <c r="M2942" t="inlineStr"/>
      <c r="N2942" t="inlineStr"/>
      <c r="O2942">
        <f>(1-Summary!$B$11)*T2942+Summary!$B$11*V2942</f>
        <v/>
      </c>
      <c r="P2942">
        <f>IF(B2962=0,0,O2942/B2962)</f>
        <v/>
      </c>
      <c r="Q2942">
        <f>IFERROR(1/(IF(Inputs!$B$38="pvp",15,MAX(0.1,Skills!D17-IF(Skills!E17=TRUE,5.0,0)))*(1-IF(AND(ArtifactsInput!$M$27,Inputs!$B$4="Chapter Hunt"),CHOOSE(ArtifactsInput!$N$27+1,20,24,28,32,36,40),0)/100)),0)</f>
        <v/>
      </c>
      <c r="R2942">
        <f>IF(AND(Inputs!$B$38&lt;&gt;"pvp",Inputs!$B$43&gt;0),IF(Inputs!$B$43&lt;=0,0,(INT(Inputs!$B$43/(IF(Inputs!$B$38="pvp",15,MAX(0.1,Skills!D17-IF(Skills!E17=TRUE,5.0,0)))*(1-IF(AND(ArtifactsInput!$M$27,Inputs!$B$4="Chapter Hunt"),CHOOSE(ArtifactsInput!$N$27+1,20,24,28,32,36,40),0)/100)))+1)),0)</f>
        <v/>
      </c>
      <c r="S2942">
        <f>IFERROR(O2942/N2942,0)</f>
        <v/>
      </c>
      <c r="T2942" t="n">
        <v>0</v>
      </c>
      <c r="V2942" t="n">
        <v>0</v>
      </c>
    </row>
    <row r="2943">
      <c r="A2943">
        <f>Skills!A18</f>
        <v/>
      </c>
      <c r="B2943">
        <f>Skills!B18</f>
        <v/>
      </c>
      <c r="C2943">
        <f>Inputs!$B$3&gt;=74</f>
        <v/>
      </c>
      <c r="D2943">
        <f>IF(Skills!C18=1,60+Inputs!$B$25+Inputs!$B$29,IF(Skills!C18=2,90+Inputs!$B$26+Inputs!$B$29,IF(Skills!C18=3,120+Inputs!$B$27+Inputs!$B$29,MAX(0,(Inputs!$B$3-100)*3)+Inputs!$B$28+Inputs!$B$29)))</f>
        <v/>
      </c>
      <c r="E2943">
        <f>INDEX(FactorTable!$B$2:$Y$301, MATCH(ROUND(MIN(300,MAX(1,D2943)),0), FactorTable!$A$2:$A$301,0), Skills!M18+1)</f>
        <v/>
      </c>
      <c r="F2943">
        <f>IF(Skills!N18=TRUE,(Skills!L18/10)*(E2943/1000),Skills!L18/10)+Skills!O18</f>
        <v/>
      </c>
      <c r="G2943">
        <f>Skills!G18*IF(Skills!H18&gt;0,Skills!I18/Skills!H18,1)</f>
        <v/>
      </c>
      <c r="H2943">
        <f>1-(1-Skills!J18/100)^Skills!K18</f>
        <v/>
      </c>
      <c r="I2943" t="inlineStr">
        <is>
          <t>1</t>
        </is>
      </c>
      <c r="J2943" t="inlineStr"/>
      <c r="K2943" t="inlineStr"/>
      <c r="L2943" t="inlineStr"/>
      <c r="M2943" t="inlineStr"/>
      <c r="N2943" t="inlineStr"/>
      <c r="O2943">
        <f>(1-Summary!$B$11)*T2943+Summary!$B$11*V2943</f>
        <v/>
      </c>
      <c r="P2943">
        <f>IF(B2962=0,0,O2943/B2962)</f>
        <v/>
      </c>
      <c r="Q2943">
        <f>IFERROR(1/(IF(Inputs!$B$38="pvp",15,MAX(0.1,Skills!D18-IF(Skills!E18=TRUE,5.0,0)))*(1-IF(AND(ArtifactsInput!$M$27,Inputs!$B$4="Chapter Hunt"),CHOOSE(ArtifactsInput!$N$27+1,20,24,28,32,36,40),0)/100)),0)</f>
        <v/>
      </c>
      <c r="R2943">
        <f>IF(AND(Inputs!$B$38&lt;&gt;"pvp",Inputs!$B$43&gt;0),IF(Inputs!$B$43&lt;=0,0,(INT(Inputs!$B$43/(IF(Inputs!$B$38="pvp",15,MAX(0.1,Skills!D18-IF(Skills!E18=TRUE,5.0,0)))*(1-IF(AND(ArtifactsInput!$M$27,Inputs!$B$4="Chapter Hunt"),CHOOSE(ArtifactsInput!$N$27+1,20,24,28,32,36,40),0)/100)))+1)),0)</f>
        <v/>
      </c>
      <c r="S2943">
        <f>IFERROR(O2943/N2943,0)</f>
        <v/>
      </c>
      <c r="T2943" t="n">
        <v>0</v>
      </c>
      <c r="V2943" t="n">
        <v>0</v>
      </c>
    </row>
    <row r="2944">
      <c r="A2944">
        <f>Skills!A19</f>
        <v/>
      </c>
      <c r="B2944">
        <f>Skills!B19</f>
        <v/>
      </c>
      <c r="C2944">
        <f>TRUE</f>
        <v/>
      </c>
      <c r="D2944">
        <f>IF(Skills!C19=1,60+Inputs!$B$25+Inputs!$B$29,IF(Skills!C19=2,90+Inputs!$B$26+Inputs!$B$29,IF(Skills!C19=3,120+Inputs!$B$27+Inputs!$B$29,MAX(0,(Inputs!$B$3-100)*3)+Inputs!$B$28+Inputs!$B$29)))</f>
        <v/>
      </c>
      <c r="E2944">
        <f>INDEX(FactorTable!$B$2:$Y$301, MATCH(ROUND(MIN(300,MAX(1,D2944)),0), FactorTable!$A$2:$A$301,0), Skills!M19+1)</f>
        <v/>
      </c>
      <c r="F2944">
        <f>IF(Skills!N19=TRUE,(Skills!L19/10)*(E2944/1000),Skills!L19/10)+Skills!O19</f>
        <v/>
      </c>
      <c r="G2944">
        <f>Skills!G19*IF(Skills!H19&gt;0,Skills!I19/Skills!H19,1)</f>
        <v/>
      </c>
      <c r="H2944">
        <f>1-(1-Skills!J19/100)^Skills!K19</f>
        <v/>
      </c>
      <c r="I2944" t="inlineStr">
        <is>
          <t>1</t>
        </is>
      </c>
      <c r="J2944" t="inlineStr"/>
      <c r="K2944" t="inlineStr"/>
      <c r="L2944" t="inlineStr"/>
      <c r="M2944" t="inlineStr"/>
      <c r="N2944" t="inlineStr"/>
      <c r="O2944">
        <f>(1-Summary!$B$11)*T2944+Summary!$B$11*V2944</f>
        <v/>
      </c>
      <c r="P2944">
        <f>IF(B2962=0,0,O2944/B2962)</f>
        <v/>
      </c>
      <c r="Q2944">
        <f>IFERROR(1/(IF(Inputs!$B$38="pvp",15,MAX(0.1,Skills!D19-IF(Skills!E19=TRUE,5.0,0)))*(1-IF(AND(ArtifactsInput!$M$27,Inputs!$B$4="Chapter Hunt"),CHOOSE(ArtifactsInput!$N$27+1,20,24,28,32,36,40),0)/100)),0)</f>
        <v/>
      </c>
      <c r="R2944">
        <f>IF(AND(Inputs!$B$38&lt;&gt;"pvp",Inputs!$B$43&gt;0),IF(Inputs!$B$43&lt;=0,0,(INT(Inputs!$B$43/(IF(Inputs!$B$38="pvp",15,MAX(0.1,Skills!D19-IF(Skills!E19=TRUE,5.0,0)))*(1-IF(AND(ArtifactsInput!$M$27,Inputs!$B$4="Chapter Hunt"),CHOOSE(ArtifactsInput!$N$27+1,20,24,28,32,36,40),0)/100)))+1)),0)</f>
        <v/>
      </c>
      <c r="S2944">
        <f>IFERROR(O2944/N2944,0)</f>
        <v/>
      </c>
      <c r="T2944" t="n">
        <v>0</v>
      </c>
      <c r="V2944" t="n">
        <v>0</v>
      </c>
    </row>
    <row r="2945">
      <c r="A2945">
        <f>Skills!A20</f>
        <v/>
      </c>
      <c r="B2945">
        <f>Skills!B20</f>
        <v/>
      </c>
      <c r="C2945">
        <f>Inputs!$B$3&gt;=33</f>
        <v/>
      </c>
      <c r="D2945">
        <f>IF(Skills!C20=1,60+Inputs!$B$25+Inputs!$B$29,IF(Skills!C20=2,90+Inputs!$B$26+Inputs!$B$29,IF(Skills!C20=3,120+Inputs!$B$27+Inputs!$B$29,MAX(0,(Inputs!$B$3-100)*3)+Inputs!$B$28+Inputs!$B$29)))</f>
        <v/>
      </c>
      <c r="E2945">
        <f>INDEX(FactorTable!$B$2:$Y$301, MATCH(ROUND(MIN(300,MAX(1,D2945)),0), FactorTable!$A$2:$A$301,0), Skills!M20+1)</f>
        <v/>
      </c>
      <c r="F2945">
        <f>IF(Skills!N20=TRUE,(Skills!L20/10)*(E2945/1000),Skills!L20/10)+Skills!O20</f>
        <v/>
      </c>
      <c r="G2945">
        <f>Skills!G20*IF(Skills!H20&gt;0,Skills!I20/Skills!H20,1)</f>
        <v/>
      </c>
      <c r="H2945">
        <f>1-(1-Skills!J20/100)^Skills!K20</f>
        <v/>
      </c>
      <c r="I2945" t="inlineStr">
        <is>
          <t>1</t>
        </is>
      </c>
      <c r="J2945" t="inlineStr"/>
      <c r="K2945" t="inlineStr"/>
      <c r="L2945" t="inlineStr"/>
      <c r="M2945" t="inlineStr"/>
      <c r="N2945" t="inlineStr"/>
      <c r="O2945">
        <f>(1-Summary!$B$11)*T2945+Summary!$B$11*V2945</f>
        <v/>
      </c>
      <c r="P2945">
        <f>IF(B2962=0,0,O2945/B2962)</f>
        <v/>
      </c>
      <c r="Q2945" t="n">
        <v>0</v>
      </c>
      <c r="R2945" t="n">
        <v>0</v>
      </c>
      <c r="S2945">
        <f>IFERROR(O2945/N2945,0)</f>
        <v/>
      </c>
      <c r="T2945" t="n">
        <v>0</v>
      </c>
      <c r="V2945" t="n">
        <v>0</v>
      </c>
    </row>
    <row r="2946">
      <c r="A2946">
        <f>Skills!A21</f>
        <v/>
      </c>
      <c r="B2946">
        <f>Skills!B21</f>
        <v/>
      </c>
      <c r="C2946">
        <f>Inputs!$B$3&gt;=38</f>
        <v/>
      </c>
      <c r="D2946">
        <f>IF(Skills!C21=1,60+Inputs!$B$25+Inputs!$B$29,IF(Skills!C21=2,90+Inputs!$B$26+Inputs!$B$29,IF(Skills!C21=3,120+Inputs!$B$27+Inputs!$B$29,MAX(0,(Inputs!$B$3-100)*3)+Inputs!$B$28+Inputs!$B$29)))</f>
        <v/>
      </c>
      <c r="E2946">
        <f>INDEX(FactorTable!$B$2:$Y$301, MATCH(ROUND(MIN(300,MAX(1,D2946)),0), FactorTable!$A$2:$A$301,0), Skills!M21+1)</f>
        <v/>
      </c>
      <c r="F2946">
        <f>IF(Skills!N21=TRUE,(Skills!L21/10)*(E2946/1000),Skills!L21/10)+Skills!O21</f>
        <v/>
      </c>
      <c r="G2946">
        <f>Skills!G21*IF(Skills!H21&gt;0,Skills!I21/Skills!H21,1)</f>
        <v/>
      </c>
      <c r="H2946">
        <f>1-(1-Skills!J21/100)^Skills!K21</f>
        <v/>
      </c>
      <c r="I2946" t="inlineStr">
        <is>
          <t>1</t>
        </is>
      </c>
      <c r="J2946" t="inlineStr"/>
      <c r="K2946" t="inlineStr"/>
      <c r="L2946" t="inlineStr"/>
      <c r="M2946" t="inlineStr"/>
      <c r="N2946" t="inlineStr"/>
      <c r="O2946">
        <f>(1-Summary!$B$11)*T2946+Summary!$B$11*V2946</f>
        <v/>
      </c>
      <c r="P2946">
        <f>IF(B2962=0,0,O2946/B2962)</f>
        <v/>
      </c>
      <c r="Q2946" t="n">
        <v>0</v>
      </c>
      <c r="R2946" t="n">
        <v>0</v>
      </c>
      <c r="S2946">
        <f>IFERROR(O2946/N2946,0)</f>
        <v/>
      </c>
      <c r="T2946" t="n">
        <v>0</v>
      </c>
      <c r="V2946" t="n">
        <v>0</v>
      </c>
    </row>
    <row r="2947">
      <c r="A2947">
        <f>Skills!A22</f>
        <v/>
      </c>
      <c r="B2947">
        <f>Skills!B22</f>
        <v/>
      </c>
      <c r="C2947">
        <f>Inputs!$B$3&gt;=43</f>
        <v/>
      </c>
      <c r="D2947">
        <f>IF(Skills!C22=1,60+Inputs!$B$25+Inputs!$B$29,IF(Skills!C22=2,90+Inputs!$B$26+Inputs!$B$29,IF(Skills!C22=3,120+Inputs!$B$27+Inputs!$B$29,MAX(0,(Inputs!$B$3-100)*3)+Inputs!$B$28+Inputs!$B$29)))</f>
        <v/>
      </c>
      <c r="E2947">
        <f>INDEX(FactorTable!$B$2:$Y$301, MATCH(ROUND(MIN(300,MAX(1,D2947)),0), FactorTable!$A$2:$A$301,0), Skills!M22+1)</f>
        <v/>
      </c>
      <c r="F2947">
        <f>IF(Skills!N22=TRUE,(Skills!L22/10)*(E2947/1000),Skills!L22/10)+Skills!O22</f>
        <v/>
      </c>
      <c r="G2947">
        <f>Skills!G22*IF(Skills!H22&gt;0,Skills!I22/Skills!H22,1)</f>
        <v/>
      </c>
      <c r="H2947">
        <f>1-(1-Skills!J22/100)^Skills!K22</f>
        <v/>
      </c>
      <c r="I2947" t="inlineStr">
        <is>
          <t>1</t>
        </is>
      </c>
      <c r="J2947" t="inlineStr"/>
      <c r="K2947" t="inlineStr"/>
      <c r="L2947" t="inlineStr"/>
      <c r="M2947" t="inlineStr"/>
      <c r="N2947" t="inlineStr"/>
      <c r="O2947">
        <f>(1-Summary!$B$11)*T2947+Summary!$B$11*V2947</f>
        <v/>
      </c>
      <c r="P2947">
        <f>IF(B2962=0,0,O2947/B2962)</f>
        <v/>
      </c>
      <c r="Q2947" t="n">
        <v>0</v>
      </c>
      <c r="R2947" t="n">
        <v>0</v>
      </c>
      <c r="S2947">
        <f>IFERROR(O2947/N2947,0)</f>
        <v/>
      </c>
      <c r="T2947" t="n">
        <v>0</v>
      </c>
      <c r="V2947" t="n">
        <v>0</v>
      </c>
    </row>
    <row r="2948">
      <c r="A2948">
        <f>Skills!A23</f>
        <v/>
      </c>
      <c r="B2948">
        <f>Skills!B23</f>
        <v/>
      </c>
      <c r="C2948">
        <f>Inputs!$B$3&gt;=120</f>
        <v/>
      </c>
      <c r="D2948">
        <f>IF(Skills!C23=1,60+Inputs!$B$25+Inputs!$B$29,IF(Skills!C23=2,90+Inputs!$B$26+Inputs!$B$29,IF(Skills!C23=3,120+Inputs!$B$27+Inputs!$B$29,MAX(0,(Inputs!$B$3-100)*3)+Inputs!$B$28+Inputs!$B$29)))</f>
        <v/>
      </c>
      <c r="E2948">
        <f>INDEX(FactorTable!$B$2:$Y$301, MATCH(ROUND(MIN(300,MAX(1,D2948)),0), FactorTable!$A$2:$A$301,0), Skills!M23+1)</f>
        <v/>
      </c>
      <c r="F2948">
        <f>IF(Skills!N23=TRUE,(Skills!L23/10)*(E2948/1000),Skills!L23/10)+Skills!O23</f>
        <v/>
      </c>
      <c r="G2948">
        <f>Skills!G23*IF(Skills!H23&gt;0,Skills!I23/Skills!H23,1)</f>
        <v/>
      </c>
      <c r="H2948">
        <f>1-(1-Skills!J23/100)^Skills!K23</f>
        <v/>
      </c>
      <c r="I2948" t="inlineStr">
        <is>
          <t>1</t>
        </is>
      </c>
      <c r="J2948" t="inlineStr"/>
      <c r="K2948" t="inlineStr"/>
      <c r="L2948" t="inlineStr"/>
      <c r="M2948" t="inlineStr"/>
      <c r="N2948" t="inlineStr"/>
      <c r="O2948">
        <f>(1-Summary!$B$11)*T2948+Summary!$B$11*V2948</f>
        <v/>
      </c>
      <c r="P2948">
        <f>IF(B2962=0,0,O2948/B2962)</f>
        <v/>
      </c>
      <c r="Q2948" t="n">
        <v>0</v>
      </c>
      <c r="R2948" t="n">
        <v>0</v>
      </c>
      <c r="S2948">
        <f>IFERROR(O2948/N2948,0)</f>
        <v/>
      </c>
      <c r="T2948" t="n">
        <v>0</v>
      </c>
      <c r="V2948" t="n">
        <v>0</v>
      </c>
    </row>
    <row r="2949">
      <c r="A2949">
        <f>Skills!A24</f>
        <v/>
      </c>
      <c r="B2949">
        <f>Skills!B24</f>
        <v/>
      </c>
      <c r="C2949">
        <f>Inputs!$B$3&gt;=120</f>
        <v/>
      </c>
      <c r="D2949">
        <f>IF(Skills!C24=1,60+Inputs!$B$25+Inputs!$B$29,IF(Skills!C24=2,90+Inputs!$B$26+Inputs!$B$29,IF(Skills!C24=3,120+Inputs!$B$27+Inputs!$B$29,MAX(0,(Inputs!$B$3-100)*3)+Inputs!$B$28+Inputs!$B$29)))</f>
        <v/>
      </c>
      <c r="E2949">
        <f>INDEX(FactorTable!$B$2:$Y$301, MATCH(ROUND(MIN(300,MAX(1,D2949)),0), FactorTable!$A$2:$A$301,0), Skills!M24+1)</f>
        <v/>
      </c>
      <c r="F2949">
        <f>IF(Skills!N24=TRUE,(Skills!L24/10)*(E2949/1000),Skills!L24/10)+Skills!O24</f>
        <v/>
      </c>
      <c r="G2949">
        <f>Skills!G24*IF(Skills!H24&gt;0,Skills!I24/Skills!H24,1)</f>
        <v/>
      </c>
      <c r="H2949">
        <f>1-(1-Skills!J24/100)^Skills!K24</f>
        <v/>
      </c>
      <c r="I2949" t="inlineStr">
        <is>
          <t>1</t>
        </is>
      </c>
      <c r="J2949" t="inlineStr"/>
      <c r="K2949" t="inlineStr"/>
      <c r="L2949" t="inlineStr"/>
      <c r="M2949" t="inlineStr"/>
      <c r="N2949" t="inlineStr"/>
      <c r="O2949">
        <f>(1-Summary!$B$11)*T2949+Summary!$B$11*V2949</f>
        <v/>
      </c>
      <c r="P2949">
        <f>IF(B2962=0,0,O2949/B2962)</f>
        <v/>
      </c>
      <c r="Q2949" t="n">
        <v>0</v>
      </c>
      <c r="R2949" t="n">
        <v>0</v>
      </c>
      <c r="S2949">
        <f>IFERROR(O2949/N2949,0)</f>
        <v/>
      </c>
      <c r="T2949" t="n">
        <v>0</v>
      </c>
      <c r="V2949" t="n">
        <v>0</v>
      </c>
    </row>
    <row r="2951">
      <c r="A2951" t="inlineStr">
        <is>
          <t>Attack% Bucket Multiplier</t>
        </is>
      </c>
      <c r="B2951">
        <f>(1+(((C2938=TRUE)*F2938*MIN(1,Skills!T13*(Skills!J13/100)*B2956))+((C2943=TRUE)*F2943*IF(AND(Inputs!$B$38&lt;&gt;"pvp",Inputs!$B$43&gt;0),(((R2943-1)*(Skills!T18*(1+Inputs!$B$34/100))+MIN((Skills!T18*(1+Inputs!$B$34/100)),MAX(0,Inputs!$B$43-((R2943-1)*Skills!D18))))/Inputs!$B$43),IF(Inputs!$B$38="pvp",MIN((Skills!T18*(1+Inputs!$B$34/100)),15)/15,(Skills!T18*(1+Inputs!$B$34/100))/Skills!D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52">
      <c r="A2952" t="inlineStr">
        <is>
          <t>Global Crit Rate Bonus %</t>
        </is>
      </c>
      <c r="B2952" t="n">
        <v>0</v>
      </c>
    </row>
    <row r="2953">
      <c r="A2953" t="inlineStr">
        <is>
          <t>Attack Speed Buff Bonus %</t>
        </is>
      </c>
      <c r="B2953">
        <f>((C2944=TRUE)*F2944*IF(AND(Inputs!$B$38&lt;&gt;"pvp",Inputs!$B$43&gt;0),(((R2944-1)*(Skills!T19*(1+Inputs!$B$34/100))+MIN((Skills!T19*(1+Inputs!$B$34/100)),MAX(0,Inputs!$B$43-((R2944-1)*Skills!D19))))/Inputs!$B$43),IF(Inputs!$B$38="pvp",MIN((Skills!T19*(1+Inputs!$B$34/100)),15)/15,(Skills!T19*(1+Inputs!$B$34/100))/Skills!D19)))</f>
        <v/>
      </c>
    </row>
    <row r="2954">
      <c r="A2954" t="inlineStr">
        <is>
          <t>Actions Per Second</t>
        </is>
      </c>
      <c r="B2954">
        <f>1+MIN(150,150*(1-(1-(Inputs!$B$11+((C2945=TRUE)*(F2945-Calc!F20)))/150)*(1-B2953/150)))/100</f>
        <v/>
      </c>
    </row>
    <row r="2955">
      <c r="A2955" t="inlineStr">
        <is>
          <t>Skill + Buff Cast Rate</t>
        </is>
      </c>
      <c r="B2955">
        <f>IF(AND(Inputs!$B$38&lt;&gt;"pvp",Inputs!$B$43&gt;0),SUMPRODUCT((Skills!E2:E24=TRUE)*(C2927:C2949=TRUE)*R2927:R2949*Skills!F2:F24)/Inputs!$B$43,SUMPRODUCT((Skills!E2:E24=TRUE)*(C2927:C2949=TRUE)*Q2927:Q2949*Skills!F2:F24))</f>
        <v/>
      </c>
    </row>
    <row r="2956">
      <c r="A2956" t="inlineStr">
        <is>
          <t>Blast Casts Per Second</t>
        </is>
      </c>
      <c r="B2956">
        <f>MAX(0,B2954-B2955)</f>
        <v/>
      </c>
    </row>
    <row r="2957">
      <c r="A2957" t="inlineStr">
        <is>
          <t>Global Critical Damage Bonus % (unused)</t>
        </is>
      </c>
      <c r="B2957" t="n">
        <v>0</v>
      </c>
    </row>
    <row r="2958">
      <c r="A2958" t="inlineStr">
        <is>
          <t>Global Final Damage Bonus % (Divine Shield + Guardian + Divine Blessing + Greater Vessel of Light)</t>
        </is>
      </c>
      <c r="B2958">
        <f>((C2940=TRUE)*F2940*IF(AND(Inputs!$B$38&lt;&gt;"pvp",Inputs!$B$43&gt;0),(((R2940-1)*(Skills!T15*(1+Inputs!$B$34/100))+MIN((Skills!T15*(1+Inputs!$B$34/100)),MAX(0,Inputs!$B$43-((R2940-1)*Skills!D15))))/Inputs!$B$43),IF(Inputs!$B$38="pvp",MIN((Skills!T15*(1+Inputs!$B$34/100)),15)/15,(Skills!T15*(1+Inputs!$B$34/100))/Skills!D15)))+((C2941=TRUE)*F2941*IF(AND(Inputs!$B$38&lt;&gt;"pvp",Inputs!$B$43&gt;0),(((R2941-1)*(Skills!T16*(1+Inputs!$B$34/100))+MIN((Skills!T16*(1+Inputs!$B$34/100)),MAX(0,Inputs!$B$43-((R2941-1)*Skills!D16))))/Inputs!$B$43),IF(Inputs!$B$38="pvp",MIN((Skills!T16*(1+Inputs!$B$34/100)),15)/15,(Skills!T16*(1+Inputs!$B$34/100))/Skills!D16)))+((C2942=TRUE)*F2942*IF(AND(Inputs!$B$38&lt;&gt;"pvp",Inputs!$B$43&gt;0),(((R2942-1)*(Skills!T17*(1+Inputs!$B$34/100))+MIN((Skills!T17*(1+Inputs!$B$34/100)),MAX(0,Inputs!$B$43-((R2942-1)*Skills!D17))))/Inputs!$B$43),IF(Inputs!$B$38="pvp",MIN((Skills!T17*(1+Inputs!$B$34/100)),15)/15,(Skills!T17*(1+Inputs!$B$34/100))/Skills!D17)))+((C2939=TRUE)*F2939*MIN(1,Skills!T13*(Skills!J13/100)*B2956))</f>
        <v/>
      </c>
    </row>
    <row r="2959">
      <c r="A2959" t="inlineStr">
        <is>
          <t>Buff-Casting Startup Delay (s, fixed-duration only)</t>
        </is>
      </c>
      <c r="B2959">
        <f>IF(AND(Inputs!$B$38&lt;&gt;"pvp",Inputs!$B$43&gt;0),SUMPRODUCT((Skills!T2:T24&gt;0)*(Skills!E2:E24=TRUE)*(C2927:C2949=TRUE))/B2954,0)</f>
        <v/>
      </c>
    </row>
    <row r="2960">
      <c r="A2960" t="inlineStr">
        <is>
          <t>Boss-Only Total DPS (this block's swept value)</t>
        </is>
      </c>
      <c r="B2960">
        <f>SUM(T2927:T2949)</f>
        <v/>
      </c>
    </row>
    <row r="2961">
      <c r="A2961" t="inlineStr">
        <is>
          <t>Normal-Only Total DPS (this block's swept value)</t>
        </is>
      </c>
      <c r="B2961">
        <f>SUM(V2927:V2949)</f>
        <v/>
      </c>
    </row>
    <row r="2962">
      <c r="A2962" s="6" t="inlineStr">
        <is>
          <t>TOTAL DPS</t>
        </is>
      </c>
      <c r="B2962" s="6">
        <f>SUM(O2927:O2949)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Paladin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%",IF(AND(Inputs!$B$9+Summary!$B$14+Artifacts!$B$32&gt;=100,NOT(ArtifactsInput!$M$42),NOT(ArtifactsInput!$M$24)),Sensitivity!H16,Sensitivity!H15),IF(B6="Critical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%",IF(AND(Inputs!$B$9+Summary!$B$14+Artifacts!$B$32&gt;=100,NOT(ArtifactsInput!$M$42),NOT(ArtifactsInput!$M$24)),Sensitivity!H16,Sensitivity!H15),IF(I6="Critical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%",IF(AND(Inputs!$B$9+Summary!$B$14+Artifacts!$B$32&gt;=100,NOT(ArtifactsInput!$M$42),NOT(ArtifactsInput!$M$24)),Sensitivity!H16,Sensitivity!H15),IF(B7="Critical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%",IF(AND(Inputs!$B$9+Summary!$B$14+Artifacts!$B$32&gt;=100,NOT(ArtifactsInput!$M$42),NOT(ArtifactsInput!$M$24)),Sensitivity!H16,Sensitivity!H15),IF(I7="Critical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%",IF(AND(Inputs!$B$9+Summary!$B$14+Artifacts!$B$32&gt;=100,NOT(ArtifactsInput!$M$42),NOT(ArtifactsInput!$M$24)),Sensitivity!H16,Sensitivity!H15),IF(B8="Critical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%",IF(AND(Inputs!$B$9+Summary!$B$14+Artifacts!$B$32&gt;=100,NOT(ArtifactsInput!$M$42),NOT(ArtifactsInput!$M$24)),Sensitivity!H16,Sensitivity!H15),IF(I8="Critical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%",IF(AND(Inputs!$B$9+Summary!$B$14+Artifacts!$B$32&gt;=100,NOT(ArtifactsInput!$M$42),NOT(ArtifactsInput!$M$24)),Sensitivity!H16,Sensitivity!H15),IF(B9="Critical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%",IF(AND(Inputs!$B$9+Summary!$B$14+Artifacts!$B$32&gt;=100,NOT(ArtifactsInput!$M$42),NOT(ArtifactsInput!$M$24)),Sensitivity!H16,Sensitivity!H15),IF(I9="Critical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%",IF(AND(Inputs!$B$9+Summary!$B$14+Artifacts!$B$32&gt;=100,NOT(ArtifactsInput!$M$42),NOT(ArtifactsInput!$M$24)),Sensitivity!H16,Sensitivity!H15),IF(B10="Critical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%",IF(AND(Inputs!$B$9+Summary!$B$14+Artifacts!$B$32&gt;=100,NOT(ArtifactsInput!$M$42),NOT(ArtifactsInput!$M$24)),Sensitivity!H16,Sensitivity!H15),IF(I10="Critical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IF(AND(Inputs!$B$9+Summary!$B$14+Artifacts!$B$32&gt;=100,NOT(ArtifactsInput!$M$42),NOT(ArtifactsInput!$M$24)),Sensitivity!H16,Sensitivity!H15)</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Sensitivity!H7</f>
        <v/>
      </c>
      <c r="J8" t="inlineStr">
        <is>
          <t>Companion Summoning Time Increase %</t>
        </is>
      </c>
      <c r="K8">
        <f>Sensitivity!H16</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IF(AND(Inputs!$B$9+Summary!$B$14+Artifacts!$B$32&gt;=100,NOT(ArtifactsInput!$M$42),NOT(ArtifactsInput!$M$24)),Sensitivity!H16,Sensitivity!H15)</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IF(AND(Inputs!$B$9+Summary!$B$14+Artifacts!$B$32&gt;=100,NOT(ArtifactsInput!$M$42),NOT(ArtifactsInput!$M$24)),Sensitivity!H16,Sensitivity!H15)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IF(AND(Inputs!$B$9+Summary!$B$14+Artifacts!$B$32&gt;=100,NOT(ArtifactsInput!$M$42),NOT(ArtifactsInput!$M$24)),Sensitivity!H16,Sensitivity!H15)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IF(AND(Inputs!$B$9+Summary!$B$14+Artifacts!$B$32&gt;=100,NOT(ArtifactsInput!$M$42),NOT(ArtifactsInput!$M$24)),Sensitivity!H16,Sensitivity!H15)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IF(AND(Inputs!$B$9+Summary!$B$14+Artifacts!$B$32&gt;=100,NOT(ArtifactsInput!$M$42),NOT(ArtifactsInput!$M$24)),Sensitivity!H16,Sensitivity!H15)</f>
        <v/>
      </c>
    </row>
    <row r="67">
      <c r="A67" t="inlineStr">
        <is>
          <t>ALL</t>
        </is>
      </c>
      <c r="B67" t="inlineStr">
        <is>
          <t>rare</t>
        </is>
      </c>
      <c r="C67" t="n">
        <v>2</v>
      </c>
      <c r="D67" t="inlineStr">
        <is>
          <t>Critical Rate %</t>
        </is>
      </c>
      <c r="E67" t="n">
        <v>4.5</v>
      </c>
      <c r="F67" t="n">
        <v>0.6</v>
      </c>
      <c r="G67" t="b">
        <v>1</v>
      </c>
      <c r="H67">
        <f>IF(AND(Inputs!$B$9+Summary!$B$14+Artifacts!$B$32&gt;=100,NOT(ArtifactsInput!$M$42),NOT(ArtifactsInput!$M$24)),Sensitivity!H16,Sensitivity!H15)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f>
        <v/>
      </c>
    </row>
    <row r="79">
      <c r="A79" t="inlineStr">
        <is>
          <t>ALL</t>
        </is>
      </c>
      <c r="B79" t="inlineStr">
        <is>
          <t>rare</t>
        </is>
      </c>
      <c r="C79" t="n">
        <v>2</v>
      </c>
      <c r="D79" t="inlineStr">
        <is>
          <t>Dex %</t>
        </is>
      </c>
      <c r="E79" t="n">
        <v>4.5</v>
      </c>
      <c r="F79" t="n">
        <v>1.08</v>
      </c>
      <c r="G79" t="b">
        <v>1</v>
      </c>
      <c r="H79">
        <f>Sensitivity!H7</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IF(AND(Inputs!$B$9+Summary!$B$14+Artifacts!$B$32&gt;=100,NOT(ArtifactsInput!$M$42),NOT(ArtifactsInput!$M$24)),Sensitivity!H16,Sensitivity!H15)</f>
        <v/>
      </c>
    </row>
    <row r="99">
      <c r="A99" t="inlineStr">
        <is>
          <t>ALL</t>
        </is>
      </c>
      <c r="B99" t="inlineStr">
        <is>
          <t>rare</t>
        </is>
      </c>
      <c r="C99" t="n">
        <v>3</v>
      </c>
      <c r="D99" t="inlineStr">
        <is>
          <t>Critical Rate %</t>
        </is>
      </c>
      <c r="E99" t="n">
        <v>4.5</v>
      </c>
      <c r="F99" t="n">
        <v>0.2</v>
      </c>
      <c r="G99" t="b">
        <v>1</v>
      </c>
      <c r="H99">
        <f>IF(AND(Inputs!$B$9+Summary!$B$14+Artifacts!$B$32&gt;=100,NOT(ArtifactsInput!$M$42),NOT(ArtifactsInput!$M$24)),Sensitivity!H16,Sensitivity!H15)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f>
        <v/>
      </c>
    </row>
    <row r="111">
      <c r="A111" t="inlineStr">
        <is>
          <t>ALL</t>
        </is>
      </c>
      <c r="B111" t="inlineStr">
        <is>
          <t>rare</t>
        </is>
      </c>
      <c r="C111" t="n">
        <v>3</v>
      </c>
      <c r="D111" t="inlineStr">
        <is>
          <t>Dex %</t>
        </is>
      </c>
      <c r="E111" t="n">
        <v>4.5</v>
      </c>
      <c r="F111" t="n">
        <v>0.36</v>
      </c>
      <c r="G111" t="b">
        <v>1</v>
      </c>
      <c r="H111">
        <f>Sensitivity!H7</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IF(AND(Inputs!$B$9+Summary!$B$14+Artifacts!$B$32&gt;=100,NOT(ArtifactsInput!$M$42),NOT(ArtifactsInput!$M$24)),Sensitivity!H16,Sensitivity!H15)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IF(AND(Inputs!$B$9+Summary!$B$14+Artifacts!$B$32&gt;=100,NOT(ArtifactsInput!$M$42),NOT(ArtifactsInput!$M$24)),Sensitivity!H16,Sensitivity!H15)</f>
        <v/>
      </c>
    </row>
    <row r="147">
      <c r="A147" t="inlineStr">
        <is>
          <t>ALL</t>
        </is>
      </c>
      <c r="B147" t="inlineStr">
        <is>
          <t>epic</t>
        </is>
      </c>
      <c r="C147" t="n">
        <v>2</v>
      </c>
      <c r="D147" t="inlineStr">
        <is>
          <t>Critical Rate %</t>
        </is>
      </c>
      <c r="E147" t="n">
        <v>6</v>
      </c>
      <c r="F147" t="n">
        <v>0.6</v>
      </c>
      <c r="G147" t="b">
        <v>1</v>
      </c>
      <c r="H147">
        <f>IF(AND(Inputs!$B$9+Summary!$B$14+Artifacts!$B$32&gt;=100,NOT(ArtifactsInput!$M$42),NOT(ArtifactsInput!$M$24)),Sensitivity!H16,Sensitivity!H15)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f>
        <v/>
      </c>
    </row>
    <row r="159">
      <c r="A159" t="inlineStr">
        <is>
          <t>ALL</t>
        </is>
      </c>
      <c r="B159" t="inlineStr">
        <is>
          <t>epic</t>
        </is>
      </c>
      <c r="C159" t="n">
        <v>2</v>
      </c>
      <c r="D159" t="inlineStr">
        <is>
          <t>Dex %</t>
        </is>
      </c>
      <c r="E159" t="n">
        <v>6</v>
      </c>
      <c r="F159" t="n">
        <v>1.08</v>
      </c>
      <c r="G159" t="b">
        <v>1</v>
      </c>
      <c r="H159">
        <f>Sensitivity!H7</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IF(AND(Inputs!$B$9+Summary!$B$14+Artifacts!$B$32&gt;=100,NOT(ArtifactsInput!$M$42),NOT(ArtifactsInput!$M$24)),Sensitivity!H16,Sensitivity!H15)</f>
        <v/>
      </c>
    </row>
    <row r="179">
      <c r="A179" t="inlineStr">
        <is>
          <t>ALL</t>
        </is>
      </c>
      <c r="B179" t="inlineStr">
        <is>
          <t>epic</t>
        </is>
      </c>
      <c r="C179" t="n">
        <v>3</v>
      </c>
      <c r="D179" t="inlineStr">
        <is>
          <t>Critical Rate %</t>
        </is>
      </c>
      <c r="E179" t="n">
        <v>6</v>
      </c>
      <c r="F179" t="n">
        <v>0.2</v>
      </c>
      <c r="G179" t="b">
        <v>1</v>
      </c>
      <c r="H179">
        <f>IF(AND(Inputs!$B$9+Summary!$B$14+Artifacts!$B$32&gt;=100,NOT(ArtifactsInput!$M$42),NOT(ArtifactsInput!$M$24)),Sensitivity!H16,Sensitivity!H15)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f>
        <v/>
      </c>
    </row>
    <row r="191">
      <c r="A191" t="inlineStr">
        <is>
          <t>ALL</t>
        </is>
      </c>
      <c r="B191" t="inlineStr">
        <is>
          <t>epic</t>
        </is>
      </c>
      <c r="C191" t="n">
        <v>3</v>
      </c>
      <c r="D191" t="inlineStr">
        <is>
          <t>Dex %</t>
        </is>
      </c>
      <c r="E191" t="n">
        <v>6</v>
      </c>
      <c r="F191" t="n">
        <v>0.36</v>
      </c>
      <c r="G191" t="b">
        <v>1</v>
      </c>
      <c r="H191">
        <f>Sensitivity!H7</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IF(AND(Inputs!$B$9+Summary!$B$14+Artifacts!$B$32&gt;=100,NOT(ArtifactsInput!$M$42),NOT(ArtifactsInput!$M$24)),Sensitivity!H16,Sensitivity!H15)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IF(AND(Inputs!$B$9+Summary!$B$14+Artifacts!$B$32&gt;=100,NOT(ArtifactsInput!$M$42),NOT(ArtifactsInput!$M$24)),Sensitivity!H16,Sensitivity!H15)</f>
        <v/>
      </c>
    </row>
    <row r="227">
      <c r="A227" t="inlineStr">
        <is>
          <t>ALL</t>
        </is>
      </c>
      <c r="B227" t="inlineStr">
        <is>
          <t>unique</t>
        </is>
      </c>
      <c r="C227" t="n">
        <v>2</v>
      </c>
      <c r="D227" t="inlineStr">
        <is>
          <t>Critical Rate %</t>
        </is>
      </c>
      <c r="E227" t="n">
        <v>9</v>
      </c>
      <c r="F227" t="n">
        <v>0.6</v>
      </c>
      <c r="G227" t="b">
        <v>1</v>
      </c>
      <c r="H227">
        <f>IF(AND(Inputs!$B$9+Summary!$B$14+Artifacts!$B$32&gt;=100,NOT(ArtifactsInput!$M$42),NOT(ArtifactsInput!$M$24)),Sensitivity!H16,Sensitivity!H15)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f>
        <v/>
      </c>
    </row>
    <row r="239">
      <c r="A239" t="inlineStr">
        <is>
          <t>ALL</t>
        </is>
      </c>
      <c r="B239" t="inlineStr">
        <is>
          <t>unique</t>
        </is>
      </c>
      <c r="C239" t="n">
        <v>2</v>
      </c>
      <c r="D239" t="inlineStr">
        <is>
          <t>Dex %</t>
        </is>
      </c>
      <c r="E239" t="n">
        <v>9</v>
      </c>
      <c r="F239" t="n">
        <v>1.08</v>
      </c>
      <c r="G239" t="b">
        <v>1</v>
      </c>
      <c r="H239">
        <f>Sensitivity!H7</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IF(AND(Inputs!$B$9+Summary!$B$14+Artifacts!$B$32&gt;=100,NOT(ArtifactsInput!$M$42),NOT(ArtifactsInput!$M$24)),Sensitivity!H16,Sensitivity!H15)</f>
        <v/>
      </c>
    </row>
    <row r="259">
      <c r="A259" t="inlineStr">
        <is>
          <t>ALL</t>
        </is>
      </c>
      <c r="B259" t="inlineStr">
        <is>
          <t>unique</t>
        </is>
      </c>
      <c r="C259" t="n">
        <v>3</v>
      </c>
      <c r="D259" t="inlineStr">
        <is>
          <t>Critical Rate %</t>
        </is>
      </c>
      <c r="E259" t="n">
        <v>9</v>
      </c>
      <c r="F259" t="n">
        <v>0.2</v>
      </c>
      <c r="G259" t="b">
        <v>1</v>
      </c>
      <c r="H259">
        <f>IF(AND(Inputs!$B$9+Summary!$B$14+Artifacts!$B$32&gt;=100,NOT(ArtifactsInput!$M$42),NOT(ArtifactsInput!$M$24)),Sensitivity!H16,Sensitivity!H15)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f>
        <v/>
      </c>
    </row>
    <row r="271">
      <c r="A271" t="inlineStr">
        <is>
          <t>ALL</t>
        </is>
      </c>
      <c r="B271" t="inlineStr">
        <is>
          <t>unique</t>
        </is>
      </c>
      <c r="C271" t="n">
        <v>3</v>
      </c>
      <c r="D271" t="inlineStr">
        <is>
          <t>Dex %</t>
        </is>
      </c>
      <c r="E271" t="n">
        <v>9</v>
      </c>
      <c r="F271" t="n">
        <v>0.36</v>
      </c>
      <c r="G271" t="b">
        <v>1</v>
      </c>
      <c r="H271">
        <f>Sensitivity!H7</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IF(AND(Inputs!$B$9+Summary!$B$14+Artifacts!$B$32&gt;=100,NOT(ArtifactsInput!$M$42),NOT(ArtifactsInput!$M$24)),Sensitivity!H16,Sensitivity!H15)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IF(AND(Inputs!$B$9+Summary!$B$14+Artifacts!$B$32&gt;=100,NOT(ArtifactsInput!$M$42),NOT(ArtifactsInput!$M$24)),Sensitivity!H16,Sensitivity!H15)</f>
        <v/>
      </c>
    </row>
    <row r="307">
      <c r="A307" t="inlineStr">
        <is>
          <t>ALL</t>
        </is>
      </c>
      <c r="B307" t="inlineStr">
        <is>
          <t>legendary</t>
        </is>
      </c>
      <c r="C307" t="n">
        <v>2</v>
      </c>
      <c r="D307" t="inlineStr">
        <is>
          <t>Critical Rate %</t>
        </is>
      </c>
      <c r="E307" t="n">
        <v>12</v>
      </c>
      <c r="F307" t="n">
        <v>0.6</v>
      </c>
      <c r="G307" t="b">
        <v>1</v>
      </c>
      <c r="H307">
        <f>IF(AND(Inputs!$B$9+Summary!$B$14+Artifacts!$B$32&gt;=100,NOT(ArtifactsInput!$M$42),NOT(ArtifactsInput!$M$24)),Sensitivity!H16,Sensitivity!H15)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f>
        <v/>
      </c>
    </row>
    <row r="319">
      <c r="A319" t="inlineStr">
        <is>
          <t>ALL</t>
        </is>
      </c>
      <c r="B319" t="inlineStr">
        <is>
          <t>legendary</t>
        </is>
      </c>
      <c r="C319" t="n">
        <v>2</v>
      </c>
      <c r="D319" t="inlineStr">
        <is>
          <t>Dex %</t>
        </is>
      </c>
      <c r="E319" t="n">
        <v>12</v>
      </c>
      <c r="F319" t="n">
        <v>1.08</v>
      </c>
      <c r="G319" t="b">
        <v>1</v>
      </c>
      <c r="H319">
        <f>Sensitivity!H7</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IF(AND(Inputs!$B$9+Summary!$B$14+Artifacts!$B$32&gt;=100,NOT(ArtifactsInput!$M$42),NOT(ArtifactsInput!$M$24)),Sensitivity!H16,Sensitivity!H15)</f>
        <v/>
      </c>
    </row>
    <row r="339">
      <c r="A339" t="inlineStr">
        <is>
          <t>ALL</t>
        </is>
      </c>
      <c r="B339" t="inlineStr">
        <is>
          <t>legendary</t>
        </is>
      </c>
      <c r="C339" t="n">
        <v>3</v>
      </c>
      <c r="D339" t="inlineStr">
        <is>
          <t>Critical Rate %</t>
        </is>
      </c>
      <c r="E339" t="n">
        <v>12</v>
      </c>
      <c r="F339" t="n">
        <v>0.2</v>
      </c>
      <c r="G339" t="b">
        <v>1</v>
      </c>
      <c r="H339">
        <f>IF(AND(Inputs!$B$9+Summary!$B$14+Artifacts!$B$32&gt;=100,NOT(ArtifactsInput!$M$42),NOT(ArtifactsInput!$M$24)),Sensitivity!H16,Sensitivity!H15)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f>
        <v/>
      </c>
    </row>
    <row r="351">
      <c r="A351" t="inlineStr">
        <is>
          <t>ALL</t>
        </is>
      </c>
      <c r="B351" t="inlineStr">
        <is>
          <t>legendary</t>
        </is>
      </c>
      <c r="C351" t="n">
        <v>3</v>
      </c>
      <c r="D351" t="inlineStr">
        <is>
          <t>Dex %</t>
        </is>
      </c>
      <c r="E351" t="n">
        <v>12</v>
      </c>
      <c r="F351" t="n">
        <v>0.36</v>
      </c>
      <c r="G351" t="b">
        <v>1</v>
      </c>
      <c r="H351">
        <f>Sensitivity!H7</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IF(AND(Inputs!$B$9+Summary!$B$14+Artifacts!$B$32&gt;=100,NOT(ArtifactsInput!$M$42),NOT(ArtifactsInput!$M$24)),Sensitivity!H16,Sensitivity!H15)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IF(AND(Inputs!$B$9+Summary!$B$14+Artifacts!$B$32&gt;=100,NOT(ArtifactsInput!$M$42),NOT(ArtifactsInput!$M$24)),Sensitivity!H16,Sensitivity!H15)</f>
        <v/>
      </c>
    </row>
    <row r="387">
      <c r="A387" t="inlineStr">
        <is>
          <t>ALL</t>
        </is>
      </c>
      <c r="B387" t="inlineStr">
        <is>
          <t>mystic</t>
        </is>
      </c>
      <c r="C387" t="n">
        <v>2</v>
      </c>
      <c r="D387" t="inlineStr">
        <is>
          <t>Critical Rate %</t>
        </is>
      </c>
      <c r="E387" t="n">
        <v>15</v>
      </c>
      <c r="F387" t="n">
        <v>0.6</v>
      </c>
      <c r="G387" t="b">
        <v>1</v>
      </c>
      <c r="H387">
        <f>IF(AND(Inputs!$B$9+Summary!$B$14+Artifacts!$B$32&gt;=100,NOT(ArtifactsInput!$M$42),NOT(ArtifactsInput!$M$24)),Sensitivity!H16,Sensitivity!H15)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f>
        <v/>
      </c>
    </row>
    <row r="399">
      <c r="A399" t="inlineStr">
        <is>
          <t>ALL</t>
        </is>
      </c>
      <c r="B399" t="inlineStr">
        <is>
          <t>mystic</t>
        </is>
      </c>
      <c r="C399" t="n">
        <v>2</v>
      </c>
      <c r="D399" t="inlineStr">
        <is>
          <t>Dex %</t>
        </is>
      </c>
      <c r="E399" t="n">
        <v>15</v>
      </c>
      <c r="F399" t="n">
        <v>1.08</v>
      </c>
      <c r="G399" t="b">
        <v>1</v>
      </c>
      <c r="H399">
        <f>Sensitivity!H7</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IF(AND(Inputs!$B$9+Summary!$B$14+Artifacts!$B$32&gt;=100,NOT(ArtifactsInput!$M$42),NOT(ArtifactsInput!$M$24)),Sensitivity!H16,Sensitivity!H15)</f>
        <v/>
      </c>
    </row>
    <row r="419">
      <c r="A419" t="inlineStr">
        <is>
          <t>ALL</t>
        </is>
      </c>
      <c r="B419" t="inlineStr">
        <is>
          <t>mystic</t>
        </is>
      </c>
      <c r="C419" t="n">
        <v>3</v>
      </c>
      <c r="D419" t="inlineStr">
        <is>
          <t>Critical Rate %</t>
        </is>
      </c>
      <c r="E419" t="n">
        <v>15</v>
      </c>
      <c r="F419" t="n">
        <v>0.2</v>
      </c>
      <c r="G419" t="b">
        <v>1</v>
      </c>
      <c r="H419">
        <f>IF(AND(Inputs!$B$9+Summary!$B$14+Artifacts!$B$32&gt;=100,NOT(ArtifactsInput!$M$42),NOT(ArtifactsInput!$M$24)),Sensitivity!H16,Sensitivity!H15)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f>
        <v/>
      </c>
    </row>
    <row r="431">
      <c r="A431" t="inlineStr">
        <is>
          <t>ALL</t>
        </is>
      </c>
      <c r="B431" t="inlineStr">
        <is>
          <t>mystic</t>
        </is>
      </c>
      <c r="C431" t="n">
        <v>3</v>
      </c>
      <c r="D431" t="inlineStr">
        <is>
          <t>Dex %</t>
        </is>
      </c>
      <c r="E431" t="n">
        <v>15</v>
      </c>
      <c r="F431" t="n">
        <v>0.36</v>
      </c>
      <c r="G431" t="b">
        <v>1</v>
      </c>
      <c r="H431">
        <f>Sensitivity!H7</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Paladin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2026-10-13T21:34:18Z</dcterms:created>
  <dcterms:modified xsi:type="dcterms:W3CDTF">2026-10-13T21:34:18Z</dcterms:modified>
</cp:coreProperties>
</file>