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J2*(1+Summary!$B$51/100)*(1+Inputs!$B$15/100)*(1+Inputs!$B$16/100)*(5000/(6000+Inputs!$B$42*(1-Inputs!$B$19/100)))*(1+(Inputs!$B$24+Summary!$B$65)/100)*(1+(IF(Skills!A2="BLAST",Inputs!$B$17,Inputs!$B$18))/100)*(Summary!$B$57*I2)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IFERROR(O2/N2,0)</f>
        <v/>
      </c>
      <c r="T2">
        <f>IF(C2,(Skills!G2*N2*Summary!$B$63)*IF(Inputs!$B$38="pvp",1,1+(Inputs!$B$20+Skills!P2+Summary!$B$59)/100),0)</f>
        <v/>
      </c>
      <c r="V2">
        <f>IF(C2,(Skills!G2*N2*Summary!$B$63)*IF(Inputs!$B$38="pvp",1,(1+(Inputs!$B$21+Skills!Q2+Summary!$B$59)/100)*(MIN(Skills!R2,Inputs!$B$37))),0)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J4*(1+Summary!$B$51/100)*(1+Inputs!$B$15/100)*(1+Inputs!$B$16/100)*(5000/(6000+Inputs!$B$42*(1-Inputs!$B$19/100)))*(1+(Inputs!$B$24+Summary!$B$65)/100)*(1+4.0*IF(C12=TRUE,F12,0)/100)*(1+(IF(Skills!A4="BLAST",Inputs!$B$17,Inputs!$B$18))/100)*(Summary!$B$57*I4)</f>
        <v/>
      </c>
      <c r="L4">
        <f>K4*(MIN(Inputs!$B$22,Inputs!$B$23)/100+Inputs!$B$23/100)/2</f>
        <v/>
      </c>
      <c r="M4">
        <f>L4*(1+(Inputs!$B$10+Summary!$B$64)/100)</f>
        <v/>
      </c>
      <c r="N4">
        <f>L4*(1-MIN((Inputs!$B$9+Summary!$B$58),100)/100)+M4*(MIN((Inputs!$B$9+Summary!$B$58),100)/100)</f>
        <v/>
      </c>
      <c r="O4">
        <f>(1-Summary!$B$55)*T4+Summary!$B$55*V4</f>
        <v/>
      </c>
      <c r="P4">
        <f>IF(Summary!$B$3=0,0,O4/Summary!$B$3)</f>
        <v/>
      </c>
      <c r="Q4">
        <f>IFERROR(1/IF(Inputs!$B$38="pvp",15,MAX(0.1,Skills!D4-IF(Skills!E4=TRUE,Inputs!$B$32,0))),0)</f>
        <v/>
      </c>
      <c r="R4">
        <f>IF(AND(Inputs!$B$38&lt;&gt;"pvp",Inputs!$B$43&gt;0),IF(MAX(0,Inputs!$B$43-Summary!$B$67)&lt;=0,0,(INT(MAX(0,Inputs!$B$43-Summary!$B$67)/IF(Inputs!$B$38="pvp",15,MAX(0.1,Skills!D4-IF(Skills!E4=TRUE,Inputs!$B$32,0))))+1)),0)</f>
        <v/>
      </c>
      <c r="S4">
        <f>IFERROR(O4/N4,0)</f>
        <v/>
      </c>
      <c r="T4">
        <f>IF(C4,(H4*N4*IF(AND(Inputs!$B$38&lt;&gt;"pvp",Inputs!$B$43&gt;0),((Skills!G4*((R4-1)*IF(Skills!H4&gt;0,Skills!I4/Skills!H4,1)+IF(Skills!H4&gt;0,MIN(Skills!I4,MAX(0,MAX(0,Inputs!$B$43-Summary!$B$67)-((R4-1)*IF(Inputs!$B$38="pvp",15,MAX(0.1,Skills!D4-IF(Skills!E4=TRUE,Inputs!$B$32,0))))))/Skills!H4,1)))/Inputs!$B$43),G4*Q4))*IF(Inputs!$B$38="pvp",1,1+(Inputs!$B$20+Skills!P4+Summary!$B$59)/100),0)</f>
        <v/>
      </c>
      <c r="V4">
        <f>IF(C4,(H4*N4*IF(AND(Inputs!$B$38&lt;&gt;"pvp",Inputs!$B$43&gt;0),((Skills!G4*((R4-1)*IF(Skills!H4&gt;0,Skills!I4/Skills!H4,1)+IF(Skills!H4&gt;0,MIN(Skills!I4,MAX(0,MAX(0,Inputs!$B$43-Summary!$B$67)-((R4-1)*IF(Inputs!$B$38="pvp",15,MAX(0.1,Skills!D4-IF(Skills!E4=TRUE,Inputs!$B$32,0))))))/Skills!H4,1)))/Inputs!$B$43),G4*Q4))*IF(Inputs!$B$38="pvp",1,(1+(Inputs!$B$21+Skills!Q4+Summary!$B$59)/100)*(MIN(Skills!R4,Inputs!$B$37))),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J5*(1+Summary!$B$51/100)*(1+Inputs!$B$15/100)*(1+Inputs!$B$16/100)*(5000/(6000+Inputs!$B$42*(1-Inputs!$B$19/100)))*(1+(Inputs!$B$24+Summary!$B$65)/100)*(1+1.0*IF(C12=TRUE,F12,0)/100)*(1+(IF(Skills!A5="BLAST",Inputs!$B$17,Inputs!$B$18))/100)*(Summary!$B$57*I5)</f>
        <v/>
      </c>
      <c r="L5">
        <f>K5*(MIN(Inputs!$B$22,Inputs!$B$23)/100+Inputs!$B$23/100)/2</f>
        <v/>
      </c>
      <c r="M5">
        <f>L5*(1+(Inputs!$B$10+Summary!$B$64)/100)</f>
        <v/>
      </c>
      <c r="N5">
        <f>L5*(1-MIN((Inputs!$B$9+Summary!$B$58),100)/100)+M5*(MIN((Inputs!$B$9+Summary!$B$58),100)/100)</f>
        <v/>
      </c>
      <c r="O5">
        <f>(1-Summary!$B$55)*T5+Summary!$B$55*V5</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c r="T5">
        <f>IF(C5,(H5*N5*IF(AND(Inputs!$B$38&lt;&gt;"pvp",Inputs!$B$43&gt;0),((Skills!G5*((R5-1)*IF(Skills!H5&gt;0,Skills!I5/Skills!H5,1)+IF(Skills!H5&gt;0,MIN(Skills!I5,MAX(0,MAX(0,Inputs!$B$43-Summary!$B$67)-((R5-1)*IF(Inputs!$B$38="pvp",15,MAX(0.1,Skills!D5-IF(Skills!E5=TRUE,Inputs!$B$32,0))))))/Skills!H5,1)))/Inputs!$B$43),G5*Q5))*IF(Inputs!$B$38="pvp",1,1+(Inputs!$B$20+Skills!P5+Summary!$B$59)/100),0)</f>
        <v/>
      </c>
      <c r="V5">
        <f>IF(C5,(H5*N5*IF(AND(Inputs!$B$38&lt;&gt;"pvp",Inputs!$B$43&gt;0),((Skills!G5*((R5-1)*IF(Skills!H5&gt;0,Skills!I5/Skills!H5,1)+IF(Skills!H5&gt;0,MIN(Skills!I5,MAX(0,MAX(0,Inputs!$B$43-Summary!$B$67)-((R5-1)*IF(Inputs!$B$38="pvp",15,MAX(0.1,Skills!D5-IF(Skills!E5=TRUE,Inputs!$B$32,0))))))/Skills!H5,1)))/Inputs!$B$43),G5*Q5))*IF(Inputs!$B$38="pvp",1,(1+(Inputs!$B$21+Skills!Q5+Summary!$B$59)/100)*(MIN(Skills!R5,Inputs!$B$37))),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J6*(1+Summary!$B$51/100)*(1+Inputs!$B$15/100)*(1+Inputs!$B$16/100)*(5000/(6000+Inputs!$B$42*(1-Inputs!$B$19/100)))*(1+(Inputs!$B$24+Summary!$B$65)/100)*(1+(IF(Skills!A6="BLAST",Inputs!$B$17,Inputs!$B$18))/100)*(Summary!$B$57*I6)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J7*(1+Summary!$B$51/100)*(1+Inputs!$B$15/100)*(1+Inputs!$B$16/100)*(5000/(6000+Inputs!$B$42*(1-Inputs!$B$19/100)))*(1+(Inputs!$B$24+Summary!$B$65)/100)*(1+(IF(Skills!A7="BLAST",Inputs!$B$17,Inputs!$B$18))/100)*(Summary!$B$57*I7)</f>
        <v/>
      </c>
      <c r="L7">
        <f>K7*(MIN(Inputs!$B$22,Inputs!$B$23)/100+Inputs!$B$23/100)/2</f>
        <v/>
      </c>
      <c r="M7">
        <f>L7*(1+(Inputs!$B$10+Summary!$B$64)/100)</f>
        <v/>
      </c>
      <c r="N7">
        <f>L7*(1-MIN((Inputs!$B$9+Summary!$B$58),100)/100)+M7*(MIN((Inputs!$B$9+Summary!$B$58),100)/100)</f>
        <v/>
      </c>
      <c r="O7">
        <f>(1-Summary!$B$55)*T7+Summary!$B$55*V7</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c r="T7">
        <f>IF(C7,(H7*N7*IF(AND(Inputs!$B$38&lt;&gt;"pvp",Inputs!$B$43&gt;0),((Skills!G7*((R7-1)*IF(Skills!H7&gt;0,Skills!I7/Skills!H7,1)+IF(Skills!H7&gt;0,MIN(Skills!I7,MAX(0,MAX(0,Inputs!$B$43-Summary!$B$67)-((R7-1)*IF(Inputs!$B$38="pvp",15,MAX(0.1,Skills!D7-IF(Skills!E7=TRUE,Inputs!$B$32,0))))))/Skills!H7,1)))/Inputs!$B$43),G7*Q7))*IF(Inputs!$B$38="pvp",1,1+(Inputs!$B$20+Skills!P7+Summary!$B$59)/100),0)</f>
        <v/>
      </c>
      <c r="V7">
        <f>IF(C7,(H7*N7*IF(AND(Inputs!$B$38&lt;&gt;"pvp",Inputs!$B$43&gt;0),((Skills!G7*((R7-1)*IF(Skills!H7&gt;0,Skills!I7/Skills!H7,1)+IF(Skills!H7&gt;0,MIN(Skills!I7,MAX(0,MAX(0,Inputs!$B$43-Summary!$B$67)-((R7-1)*IF(Inputs!$B$38="pvp",15,MAX(0.1,Skills!D7-IF(Skills!E7=TRUE,Inputs!$B$32,0))))))/Skills!H7,1)))/Inputs!$B$43),G7*Q7))*IF(Inputs!$B$38="pvp",1,(1+(Inputs!$B$21+Skills!Q7+Summary!$B$59)/100)*(MIN(Skills!R7,Inputs!$B$37))),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J8*(1+Summary!$B$51/100)*(1+Inputs!$B$15/100)*(1+Inputs!$B$16/100)*(5000/(6000+Inputs!$B$42*(1-Inputs!$B$19/100)))*(1+(Inputs!$B$24+Summary!$B$65)/100)*(1+(IF(Skills!A8="BLAST",Inputs!$B$17,Inputs!$B$18))/100)*(Summary!$B$57*I8)</f>
        <v/>
      </c>
      <c r="L8">
        <f>K8*(MIN(Inputs!$B$22,Inputs!$B$23)/100+Inputs!$B$23/100)/2</f>
        <v/>
      </c>
      <c r="M8">
        <f>L8*(1+(Inputs!$B$10+Summary!$B$64)/100)</f>
        <v/>
      </c>
      <c r="N8">
        <f>L8*(1-MIN((Inputs!$B$9+Summary!$B$58),100)/100)+M8*(MIN((Inputs!$B$9+Summary!$B$58),100)/100)</f>
        <v/>
      </c>
      <c r="O8">
        <f>(1-Summary!$B$55)*T8+Summary!$B$55*V8</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c r="T8">
        <f>IF(C8,(H8*N8*IF(AND(Inputs!$B$38&lt;&gt;"pvp",Inputs!$B$43&gt;0),((Skills!G8*((R8-1)*IF(Skills!H8&gt;0,Skills!I8/Skills!H8,1)+IF(Skills!H8&gt;0,MIN(Skills!I8,MAX(0,MAX(0,Inputs!$B$43-Summary!$B$67)-((R8-1)*IF(Inputs!$B$38="pvp",15,MAX(0.1,Skills!D8-IF(Skills!E8=TRUE,Inputs!$B$32,0))))))/Skills!H8,1)))/Inputs!$B$43),G8*Q8))*IF(Inputs!$B$38="pvp",1,1+(Inputs!$B$20+Skills!P8+Summary!$B$59)/100),0)</f>
        <v/>
      </c>
      <c r="V8">
        <f>IF(C8,(H8*N8*IF(AND(Inputs!$B$38&lt;&gt;"pvp",Inputs!$B$43&gt;0),((Skills!G8*((R8-1)*IF(Skills!H8&gt;0,Skills!I8/Skills!H8,1)+IF(Skills!H8&gt;0,MIN(Skills!I8,MAX(0,MAX(0,Inputs!$B$43-Summary!$B$67)-((R8-1)*IF(Inputs!$B$38="pvp",15,MAX(0.1,Skills!D8-IF(Skills!E8=TRUE,Inputs!$B$32,0))))))/Skills!H8,1)))/Inputs!$B$43),G8*Q8))*IF(Inputs!$B$38="pvp",1,(1+(Inputs!$B$21+Skills!Q8+Summary!$B$59)/100)*(MIN(Skills!R8,Inputs!$B$37))),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J9*(1+Summary!$B$51/100)*(1+Inputs!$B$15/100)*(1+Inputs!$B$16/100)*(5000/(6000+Inputs!$B$42*(1-Inputs!$B$19/100)))*(1+(Inputs!$B$24+Summary!$B$65)/100)*(1+(IF(Skills!A9="BLAST",Inputs!$B$17,Inputs!$B$18))/100)*(Summary!$B$57*I9)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J10*(1+Summary!$B$51/100)*(1+Inputs!$B$15/100)*(1+Inputs!$B$16/100)*(5000/(6000+Inputs!$B$42*(1-Inputs!$B$19/100)))*(1+(Inputs!$B$24+Summary!$B$65)/100)*(1+(IF(Skills!A10="BLAST",Inputs!$B$17,Inputs!$B$18))/100)*(Summary!$B$57*I10)</f>
        <v/>
      </c>
      <c r="L10">
        <f>K10*(MIN(Inputs!$B$22,Inputs!$B$23)/100+Inputs!$B$23/100)/2</f>
        <v/>
      </c>
      <c r="M10">
        <f>L10*(1+(Inputs!$B$10+Summary!$B$64)/100)</f>
        <v/>
      </c>
      <c r="N10">
        <f>L10*(1-MIN((Inputs!$B$9+Summary!$B$58),100)/100)+M10*(MIN((Inputs!$B$9+Summary!$B$58),100)/100)</f>
        <v/>
      </c>
      <c r="O10">
        <f>(1-Summary!$B$55)*T10+Summary!$B$55*V10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c r="T10">
        <f>IF(C10,(H10*N10*IF(AND(Inputs!$B$38&lt;&gt;"pvp",Inputs!$B$43&gt;0),((Skills!G10*((R10-1)*IF(Skills!H10&gt;0,Skills!I10/Skills!H10,1)+IF(Skills!H10&gt;0,MIN(Skills!I10,MAX(0,MAX(0,Inputs!$B$43-Summary!$B$67)-((R10-1)*IF(Inputs!$B$38="pvp",15,MAX(0.1,Skills!D10-IF(Skills!E10=TRUE,Inputs!$B$32,0))))))/Skills!H10,1)))/Inputs!$B$43),G10*Q10))*IF(Inputs!$B$38="pvp",1,1+(Inputs!$B$20+Skills!P10+Summary!$B$59)/100),0)</f>
        <v/>
      </c>
      <c r="V10">
        <f>IF(C10,(H10*N10*IF(AND(Inputs!$B$38&lt;&gt;"pvp",Inputs!$B$43&gt;0),((Skills!G10*((R10-1)*IF(Skills!H10&gt;0,Skills!I10/Skills!H10,1)+IF(Skills!H10&gt;0,MIN(Skills!I10,MAX(0,MAX(0,Inputs!$B$43-Summary!$B$67)-((R10-1)*IF(Inputs!$B$38="pvp",15,MAX(0.1,Skills!D10-IF(Skills!E10=TRUE,Inputs!$B$32,0))))))/Skills!H10,1)))/Inputs!$B$43),G10*Q10))*IF(Inputs!$B$38="pvp",1,(1+(Inputs!$B$21+Skills!Q10+Summary!$B$59)/100)*(MIN(Skills!R10,Inputs!$B$37))),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J11*(1+Summary!$B$51/100)*(1+Inputs!$B$15/100)*(1+Inputs!$B$16/100)*(5000/(6000+Inputs!$B$42*(1-Inputs!$B$19/100)))*(1+(Inputs!$B$24+Summary!$B$65)/100)*(1+1.5*IF(C12=TRUE,F12,0)/100)*(1+(IF(Skills!A11="BLAST",Inputs!$B$17,Inputs!$B$18))/100)*(Summary!$B$57*I11)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f>IFERROR(1/IF(Inputs!$B$38="pvp",15,MAX(0.1,Skills!D17-IF(Skills!E17=TRUE,Inputs!$B$32,0))),0)</f>
        <v/>
      </c>
      <c r="R17">
        <f>IF(AND(Inputs!$B$38&lt;&gt;"pvp",Inputs!$B$43&gt;0),IF(Inputs!$B$43&lt;=0,0,(INT(Inputs!$B$43/IF(Inputs!$B$38="pvp",15,MAX(0.1,Skills!D17-IF(Skills!E17=TRUE,Inputs!$B$32,0))))+1)),0)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f>IFERROR(1/IF(Inputs!$B$38="pvp",15,MAX(0.1,Skills!D18-IF(Skills!E18=TRUE,Inputs!$B$32,0))),0)</f>
        <v/>
      </c>
      <c r="R18">
        <f>IF(AND(Inputs!$B$38&lt;&gt;"pvp",Inputs!$B$43&gt;0),IF(Inputs!$B$43&lt;=0,0,(INT(Inputs!$B$43/IF(Inputs!$B$38="pvp",15,MAX(0.1,Skills!D18-IF(Skills!E18=TRUE,Inputs!$B$32,0))))+1)),0)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(Blast)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(Vessel of Light + HP Recovery, summed additively)</t>
        </is>
      </c>
      <c r="B57">
        <f>1+(((Calc!C13=TRUE)*Calc!F13*MIN(1,Skills!T13*(Skills!J13/100)*Summary!$B$63))+((Calc!C18=TRUE)*Calc!F18*IF(AND(Inputs!$B$38&lt;&gt;"pvp",Inputs!$B$43&gt;0),(((Calc!R18-1)*(Skills!T18*(1+Inputs!$B$34/100))+MIN((Skills!T18*(1+Inputs!$B$34/100)),MAX(0,Inputs!$B$43-((Calc!R18-1)*Skills!D18))))/Inputs!$B$43),IF(Inputs!$B$38="pvp",MIN((Skills!T18*(1+Inputs!$B$34/100)),15)/15,(Skills!T18*(1+Inputs!$B$34/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Blast, 1/s)</t>
        </is>
      </c>
      <c r="B62">
        <f>IF(AND(Inputs!$B$38&lt;&gt;"pvp",Inputs!$B$43&gt;0),SUMPRODUCT((Skills!E2:E24=TRUE)*(Calc!C2:C24=TRUE)*Calc!R2:R24*Skills!F2:F24)/Inputs!$B$43,SUMPRODUCT((Skills!E2:E24=TRUE)*(Calc!C2:C24=TRUE)*Calc!Q2:Q24*Skills!F2:F24))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$63))</f>
        <v/>
      </c>
    </row>
    <row r="66">
      <c r="A66" t="inlineStr">
        <is>
          <t>Blast (Basic Attack) DPS</t>
        </is>
      </c>
      <c r="B66">
        <f>Calc!O2</f>
        <v/>
      </c>
    </row>
    <row r="67">
      <c r="A67" t="inlineStr">
        <is>
          <t>Buff-Casting Startup Delay (s, before first damage-skill cast; fixed-duration only)</t>
        </is>
      </c>
      <c r="B67">
        <f>IF(AND(Inputs!$B$38&lt;&gt;"pvp",Inputs!$B$43&gt;0),SUMPRODUCT((Skills!T2:T24&gt;0)*(Skills!E2:E24=TRUE)*(Calc!C2:C24=TRUE))/B61,0)</f>
        <v/>
      </c>
    </row>
    <row r="68">
      <c r="A68" t="inlineStr">
        <is>
          <t>Boss-Only Total DPS (Sensitivity baseline)</t>
        </is>
      </c>
      <c r="B68">
        <f>SUM(Calc!T2:T24)</f>
        <v/>
      </c>
    </row>
    <row r="69">
      <c r="A69" t="inlineStr">
        <is>
          <t>Normal-Only Total DPS (Sensitivity baseline)</t>
        </is>
      </c>
      <c r="B69">
        <f>SUM(Calc!V2:V24)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48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B70</f>
        <v/>
      </c>
      <c r="H5">
        <f>Summary!$B$3*(((1-Summary!$B$55)*IFERROR(B68/Summary!$B$68,1)+Summary!$B$55*IFERROR(B69/Summary!$B$69,1))-1)</f>
        <v/>
      </c>
      <c r="I5">
        <f>((1-Summary!$B$55)*IFERROR(B68/Summary!$B$68,1)+Summary!$B$55*IFERROR(B69/Summary!$B$69,1))*100</f>
        <v/>
      </c>
    </row>
    <row r="6">
      <c r="A6" t="inlineStr">
        <is>
          <t>STR %</t>
        </is>
      </c>
      <c r="B6">
        <f>IFERROR(1/(I6-100),"n/a")</f>
        <v/>
      </c>
      <c r="C6" t="inlineStr">
        <is>
          <t>pct</t>
        </is>
      </c>
      <c r="D6">
        <f>Inputs!$B$13</f>
        <v/>
      </c>
      <c r="E6">
        <f>(Inputs!$B$13+1)</f>
        <v/>
      </c>
      <c r="F6">
        <f>Summary!$B$3</f>
        <v/>
      </c>
      <c r="G6">
        <f>B110</f>
        <v/>
      </c>
      <c r="H6">
        <f>Summary!$B$3*(((1-Summary!$B$55)*IFERROR(B108/Summary!$B$68,1)+Summary!$B$55*IFERROR(B109/Summary!$B$69,1))-1)</f>
        <v/>
      </c>
      <c r="I6">
        <f>((1-Summary!$B$55)*IFERROR(B108/Summary!$B$68,1)+Summary!$B$55*IFERROR(B109/Summary!$B$69,1))*100</f>
        <v/>
      </c>
    </row>
    <row r="7">
      <c r="A7" t="inlineStr">
        <is>
          <t>DEX</t>
        </is>
      </c>
      <c r="B7">
        <f>IFERROR(1/(I7-100),"n/a")</f>
        <v/>
      </c>
      <c r="C7" t="inlineStr">
        <is>
          <t>flat</t>
        </is>
      </c>
      <c r="D7">
        <f>Inputs!$B$14</f>
        <v/>
      </c>
      <c r="E7">
        <f>(Inputs!$B$14+1)</f>
        <v/>
      </c>
      <c r="F7">
        <f>Summary!$B$3</f>
        <v/>
      </c>
      <c r="G7">
        <f>B150</f>
        <v/>
      </c>
      <c r="H7">
        <f>Summary!$B$3*(((1-Summary!$B$55)*IFERROR(B148/Summary!$B$68,1)+Summary!$B$55*IFERROR(B149/Summary!$B$69,1))-1)</f>
        <v/>
      </c>
      <c r="I7">
        <f>((1-Summary!$B$55)*IFERROR(B148/Summary!$B$68,1)+Summary!$B$55*IFERROR(B149/Summary!$B$69,1))*100</f>
        <v/>
      </c>
    </row>
    <row r="8">
      <c r="A8" t="inlineStr">
        <is>
          <t>DAMAGE %</t>
        </is>
      </c>
      <c r="B8">
        <f>IFERROR(1/(I8-100),"n/a")</f>
        <v/>
      </c>
      <c r="C8" t="inlineStr">
        <is>
          <t>pct</t>
        </is>
      </c>
      <c r="D8">
        <f>Inputs!$B$15</f>
        <v/>
      </c>
      <c r="E8">
        <f>(Inputs!$B$15+1)</f>
        <v/>
      </c>
      <c r="F8">
        <f>Summary!$B$3</f>
        <v/>
      </c>
      <c r="G8">
        <f>B190</f>
        <v/>
      </c>
      <c r="H8">
        <f>Summary!$B$3*(((1-Summary!$B$55)*IFERROR(B188/Summary!$B$68,1)+Summary!$B$55*IFERROR(B189/Summary!$B$69,1))-1)</f>
        <v/>
      </c>
      <c r="I8">
        <f>((1-Summary!$B$55)*IFERROR(B188/Summary!$B$68,1)+Summary!$B$55*IFERROR(B189/Summary!$B$69,1))*100</f>
        <v/>
      </c>
    </row>
    <row r="9">
      <c r="A9" t="inlineStr">
        <is>
          <t>DAMAGE_AMP %</t>
        </is>
      </c>
      <c r="B9">
        <f>IFERROR(1/(I9-100),"n/a")</f>
        <v/>
      </c>
      <c r="C9" t="inlineStr">
        <is>
          <t>pct</t>
        </is>
      </c>
      <c r="D9">
        <f>Inputs!$B$16</f>
        <v/>
      </c>
      <c r="E9">
        <f>(Inputs!$B$16+1)</f>
        <v/>
      </c>
      <c r="F9">
        <f>Summary!$B$3</f>
        <v/>
      </c>
      <c r="G9">
        <f>B230</f>
        <v/>
      </c>
      <c r="H9">
        <f>Summary!$B$3*(((1-Summary!$B$55)*IFERROR(B228/Summary!$B$68,1)+Summary!$B$55*IFERROR(B229/Summary!$B$69,1))-1)</f>
        <v/>
      </c>
      <c r="I9">
        <f>((1-Summary!$B$55)*IFERROR(B228/Summary!$B$68,1)+Summary!$B$55*IFERROR(B229/Summary!$B$69,1))*100</f>
        <v/>
      </c>
    </row>
    <row r="10">
      <c r="A10" t="inlineStr">
        <is>
          <t>BOSS_DAMAGE %</t>
        </is>
      </c>
      <c r="B10">
        <f>IFERROR(1/(I10-100),"n/a")</f>
        <v/>
      </c>
      <c r="C10" t="inlineStr">
        <is>
          <t>pct</t>
        </is>
      </c>
      <c r="D10">
        <f>Inputs!$B$20</f>
        <v/>
      </c>
      <c r="E10">
        <f>(Inputs!$B$20+1)</f>
        <v/>
      </c>
      <c r="F10">
        <f>Summary!$B$3</f>
        <v/>
      </c>
      <c r="G10">
        <f>B270</f>
        <v/>
      </c>
      <c r="H10">
        <f>Summary!$B$3*(((1-Summary!$B$55)*IFERROR(B268/Summary!$B$68,1)+Summary!$B$55*IFERROR(B269/Summary!$B$69,1))-1)</f>
        <v/>
      </c>
      <c r="I10">
        <f>((1-Summary!$B$55)*IFERROR(B268/Summary!$B$68,1)+Summary!$B$55*IFERROR(B269/Summary!$B$69,1))*100</f>
        <v/>
      </c>
    </row>
    <row r="11">
      <c r="A11" t="inlineStr">
        <is>
          <t>NORMAL_DAMAGE %</t>
        </is>
      </c>
      <c r="B11">
        <f>IFERROR(1/(I11-100),"n/a")</f>
        <v/>
      </c>
      <c r="C11" t="inlineStr">
        <is>
          <t>pct</t>
        </is>
      </c>
      <c r="D11">
        <f>Inputs!$B$21</f>
        <v/>
      </c>
      <c r="E11">
        <f>(Inputs!$B$21+1)</f>
        <v/>
      </c>
      <c r="F11">
        <f>Summary!$B$3</f>
        <v/>
      </c>
      <c r="G11">
        <f>B310</f>
        <v/>
      </c>
      <c r="H11">
        <f>Summary!$B$3*(((1-Summary!$B$55)*IFERROR(B308/Summary!$B$68,1)+Summary!$B$55*IFERROR(B309/Summary!$B$69,1))-1)</f>
        <v/>
      </c>
      <c r="I11">
        <f>((1-Summary!$B$55)*IFERROR(B308/Summary!$B$68,1)+Summary!$B$55*IFERROR(B309/Summary!$B$69,1))*100</f>
        <v/>
      </c>
    </row>
    <row r="12">
      <c r="A12" t="inlineStr">
        <is>
          <t>FINAL_DAMAGE % (multiplicative source)</t>
        </is>
      </c>
      <c r="B12">
        <f>IFERROR(1/(I12-100),"n/a")</f>
        <v/>
      </c>
      <c r="C12" t="inlineStr">
        <is>
          <t>mult</t>
        </is>
      </c>
      <c r="D12">
        <f>Inputs!$B$24</f>
        <v/>
      </c>
      <c r="E12">
        <f>((((1+Inputs!$B$24/100)*(1.01))-1)*100)</f>
        <v/>
      </c>
      <c r="F12">
        <f>Summary!$B$3</f>
        <v/>
      </c>
      <c r="G12">
        <f>B350</f>
        <v/>
      </c>
      <c r="H12">
        <f>Summary!$B$3*(((1-Summary!$B$55)*IFERROR(B348/Summary!$B$68,1)+Summary!$B$55*IFERROR(B349/Summary!$B$69,1))-1)</f>
        <v/>
      </c>
      <c r="I12">
        <f>((1-Summary!$B$55)*IFERROR(B348/Summary!$B$68,1)+Summary!$B$55*IFERROR(B349/Summary!$B$69,1))*100</f>
        <v/>
      </c>
    </row>
    <row r="13">
      <c r="A13" t="inlineStr">
        <is>
          <t>MIN_DAMAGE %</t>
        </is>
      </c>
      <c r="B13">
        <f>IFERROR(1/(I13-100),"n/a")</f>
        <v/>
      </c>
      <c r="C13" t="inlineStr">
        <is>
          <t>pct</t>
        </is>
      </c>
      <c r="D13">
        <f>Inputs!$B$22</f>
        <v/>
      </c>
      <c r="E13">
        <f>(Inputs!$B$22+1)</f>
        <v/>
      </c>
      <c r="F13">
        <f>Summary!$B$3</f>
        <v/>
      </c>
      <c r="G13">
        <f>B390</f>
        <v/>
      </c>
      <c r="H13">
        <f>Summary!$B$3*(((1-Summary!$B$55)*IFERROR(B388/Summary!$B$68,1)+Summary!$B$55*IFERROR(B389/Summary!$B$69,1))-1)</f>
        <v/>
      </c>
      <c r="I13">
        <f>((1-Summary!$B$55)*IFERROR(B388/Summary!$B$68,1)+Summary!$B$55*IFERROR(B389/Summary!$B$69,1))*100</f>
        <v/>
      </c>
    </row>
    <row r="14">
      <c r="A14" t="inlineStr">
        <is>
          <t>MAX_DAMAGE %</t>
        </is>
      </c>
      <c r="B14">
        <f>IFERROR(1/(I14-100),"n/a")</f>
        <v/>
      </c>
      <c r="C14" t="inlineStr">
        <is>
          <t>pct</t>
        </is>
      </c>
      <c r="D14">
        <f>Inputs!$B$23</f>
        <v/>
      </c>
      <c r="E14">
        <f>(Inputs!$B$23+1)</f>
        <v/>
      </c>
      <c r="F14">
        <f>Summary!$B$3</f>
        <v/>
      </c>
      <c r="G14">
        <f>B430</f>
        <v/>
      </c>
      <c r="H14">
        <f>Summary!$B$3*(((1-Summary!$B$55)*IFERROR(B428/Summary!$B$68,1)+Summary!$B$55*IFERROR(B429/Summary!$B$69,1))-1)</f>
        <v/>
      </c>
      <c r="I14">
        <f>((1-Summary!$B$55)*IFERROR(B428/Summary!$B$68,1)+Summary!$B$55*IFERROR(B429/Summary!$B$69,1))*100</f>
        <v/>
      </c>
    </row>
    <row r="15">
      <c r="A15" t="inlineStr">
        <is>
          <t>CRIT_RATE %</t>
        </is>
      </c>
      <c r="B15">
        <f>IFERROR(1/(I15-100),"n/a")</f>
        <v/>
      </c>
      <c r="C15" t="inlineStr">
        <is>
          <t>pct</t>
        </is>
      </c>
      <c r="D15">
        <f>Inputs!$B$9</f>
        <v/>
      </c>
      <c r="E15">
        <f>(Inputs!$B$9+1)</f>
        <v/>
      </c>
      <c r="F15">
        <f>Summary!$B$3</f>
        <v/>
      </c>
      <c r="G15">
        <f>B470</f>
        <v/>
      </c>
      <c r="H15">
        <f>Summary!$B$3*(((1-Summary!$B$55)*IFERROR(B468/Summary!$B$68,1)+Summary!$B$55*IFERROR(B469/Summary!$B$69,1))-1)</f>
        <v/>
      </c>
      <c r="I15">
        <f>((1-Summary!$B$55)*IFERROR(B468/Summary!$B$68,1)+Summary!$B$55*IFERROR(B469/Summary!$B$69,1))*100</f>
        <v/>
      </c>
    </row>
    <row r="16">
      <c r="A16" t="inlineStr">
        <is>
          <t>CRIT_DAMAGE %</t>
        </is>
      </c>
      <c r="B16">
        <f>IFERROR(1/(I16-100),"n/a")</f>
        <v/>
      </c>
      <c r="C16" t="inlineStr">
        <is>
          <t>pct</t>
        </is>
      </c>
      <c r="D16">
        <f>Inputs!$B$10</f>
        <v/>
      </c>
      <c r="E16">
        <f>(Inputs!$B$10+1)</f>
        <v/>
      </c>
      <c r="F16">
        <f>Summary!$B$3</f>
        <v/>
      </c>
      <c r="G16">
        <f>B510</f>
        <v/>
      </c>
      <c r="H16">
        <f>Summary!$B$3*(((1-Summary!$B$55)*IFERROR(B508/Summary!$B$68,1)+Summary!$B$55*IFERROR(B509/Summary!$B$69,1))-1)</f>
        <v/>
      </c>
      <c r="I16">
        <f>((1-Summary!$B$55)*IFERROR(B508/Summary!$B$68,1)+Summary!$B$55*IFERROR(B509/Summary!$B$69,1))*100</f>
        <v/>
      </c>
    </row>
    <row r="17">
      <c r="A17" t="inlineStr">
        <is>
          <t>ATTACK_SPEED % (diminishing returns, factor 150)</t>
        </is>
      </c>
      <c r="B17">
        <f>IFERROR(1/(I17-100),"n/a")</f>
        <v/>
      </c>
      <c r="C17" t="inlineStr">
        <is>
          <t>dr150</t>
        </is>
      </c>
      <c r="D17">
        <f>Inputs!$B$11</f>
        <v/>
      </c>
      <c r="E17">
        <f>((1-(1-Inputs!$B$11/150)*(1-1/150))*150)</f>
        <v/>
      </c>
      <c r="F17">
        <f>Summary!$B$3</f>
        <v/>
      </c>
      <c r="G17">
        <f>B550</f>
        <v/>
      </c>
      <c r="H17">
        <f>Summary!$B$3*(((1-Summary!$B$55)*IFERROR(B548/Summary!$B$68,1)+Summary!$B$55*IFERROR(B549/Summary!$B$69,1))-1)</f>
        <v/>
      </c>
      <c r="I17">
        <f>((1-Summary!$B$55)*IFERROR(B548/Summary!$B$68,1)+Summary!$B$55*IFERROR(B549/Summary!$B$69,1))*100</f>
        <v/>
      </c>
    </row>
    <row r="18">
      <c r="A18" t="inlineStr">
        <is>
          <t>DEF_PEN % (diminishing returns, factor 100)</t>
        </is>
      </c>
      <c r="B18">
        <f>IFERROR(1/(I18-100),"n/a")</f>
        <v/>
      </c>
      <c r="C18" t="inlineStr">
        <is>
          <t>dr100</t>
        </is>
      </c>
      <c r="D18">
        <f>Inputs!$B$19</f>
        <v/>
      </c>
      <c r="E18">
        <f>((1-(1-Inputs!$B$19/100)*(1-1/100))*100)</f>
        <v/>
      </c>
      <c r="F18">
        <f>Summary!$B$3</f>
        <v/>
      </c>
      <c r="G18">
        <f>B590</f>
        <v/>
      </c>
      <c r="H18">
        <f>Summary!$B$3*(((1-Summary!$B$55)*IFERROR(B588/Summary!$B$68,1)+Summary!$B$55*IFERROR(B589/Summary!$B$69,1))-1)</f>
        <v/>
      </c>
      <c r="I18">
        <f>((1-Summary!$B$55)*IFERROR(B588/Summary!$B$68,1)+Summary!$B$55*IFERROR(B589/Summary!$B$69,1))*100</f>
        <v/>
      </c>
    </row>
    <row r="19">
      <c r="A19" t="inlineStr">
        <is>
          <t>BASIC_ATTACK_DAMAGE %</t>
        </is>
      </c>
      <c r="B19">
        <f>IFERROR(1/(I19-100),"n/a")</f>
        <v/>
      </c>
      <c r="C19" t="inlineStr">
        <is>
          <t>pct</t>
        </is>
      </c>
      <c r="D19">
        <f>Inputs!$B$17</f>
        <v/>
      </c>
      <c r="E19">
        <f>(Inputs!$B$17+1)</f>
        <v/>
      </c>
      <c r="F19">
        <f>Summary!$B$3</f>
        <v/>
      </c>
      <c r="G19">
        <f>B630</f>
        <v/>
      </c>
      <c r="H19">
        <f>Summary!$B$3*(((1-Summary!$B$55)*IFERROR(B628/Summary!$B$68,1)+Summary!$B$55*IFERROR(B629/Summary!$B$69,1))-1)</f>
        <v/>
      </c>
      <c r="I19">
        <f>((1-Summary!$B$55)*IFERROR(B628/Summary!$B$68,1)+Summary!$B$55*IFERROR(B629/Summary!$B$69,1))*100</f>
        <v/>
      </c>
    </row>
    <row r="20">
      <c r="A20" t="inlineStr">
        <is>
          <t>SKILL_DAMAGE %</t>
        </is>
      </c>
      <c r="B20">
        <f>IFERROR(1/(I20-100),"n/a")</f>
        <v/>
      </c>
      <c r="C20" t="inlineStr">
        <is>
          <t>pct</t>
        </is>
      </c>
      <c r="D20">
        <f>Inputs!$B$18</f>
        <v/>
      </c>
      <c r="E20">
        <f>(Inputs!$B$18+1)</f>
        <v/>
      </c>
      <c r="F20">
        <f>Summary!$B$3</f>
        <v/>
      </c>
      <c r="G20">
        <f>B670</f>
        <v/>
      </c>
      <c r="H20">
        <f>Summary!$B$3*(((1-Summary!$B$55)*IFERROR(B668/Summary!$B$68,1)+Summary!$B$55*IFERROR(B669/Summary!$B$69,1))-1)</f>
        <v/>
      </c>
      <c r="I20">
        <f>((1-Summary!$B$55)*IFERROR(B668/Summary!$B$68,1)+Summary!$B$55*IFERROR(B669/Summary!$B$69,1))*100</f>
        <v/>
      </c>
    </row>
    <row r="21">
      <c r="A21" t="inlineStr">
        <is>
          <t>Skill Level Bonus — 1st Job</t>
        </is>
      </c>
      <c r="B21">
        <f>IFERROR(1/(I21-100),"n/a")</f>
        <v/>
      </c>
      <c r="C21" t="inlineStr">
        <is>
          <t>level</t>
        </is>
      </c>
      <c r="D21">
        <f>Inputs!$B$25</f>
        <v/>
      </c>
      <c r="E21">
        <f>(Inputs!$B$25+1)</f>
        <v/>
      </c>
      <c r="F21">
        <f>Summary!$B$3</f>
        <v/>
      </c>
      <c r="G21">
        <f>B710</f>
        <v/>
      </c>
      <c r="H21">
        <f>Summary!$B$3*(((1-Summary!$B$55)*IFERROR(B708/Summary!$B$68,1)+Summary!$B$55*IFERROR(B709/Summary!$B$69,1))-1)</f>
        <v/>
      </c>
      <c r="I21">
        <f>((1-Summary!$B$55)*IFERROR(B708/Summary!$B$68,1)+Summary!$B$55*IFERROR(B709/Summary!$B$69,1))*100</f>
        <v/>
      </c>
    </row>
    <row r="22">
      <c r="A22" t="inlineStr">
        <is>
          <t>Skill Level Bonus — 2nd Job</t>
        </is>
      </c>
      <c r="B22">
        <f>IFERROR(1/(I22-100),"n/a")</f>
        <v/>
      </c>
      <c r="C22" t="inlineStr">
        <is>
          <t>level</t>
        </is>
      </c>
      <c r="D22">
        <f>Inputs!$B$26</f>
        <v/>
      </c>
      <c r="E22">
        <f>(Inputs!$B$26+1)</f>
        <v/>
      </c>
      <c r="F22">
        <f>Summary!$B$3</f>
        <v/>
      </c>
      <c r="G22">
        <f>B750</f>
        <v/>
      </c>
      <c r="H22">
        <f>Summary!$B$3*(((1-Summary!$B$55)*IFERROR(B748/Summary!$B$68,1)+Summary!$B$55*IFERROR(B749/Summary!$B$69,1))-1)</f>
        <v/>
      </c>
      <c r="I22">
        <f>((1-Summary!$B$55)*IFERROR(B748/Summary!$B$68,1)+Summary!$B$55*IFERROR(B749/Summary!$B$69,1))*100</f>
        <v/>
      </c>
    </row>
    <row r="23">
      <c r="A23" t="inlineStr">
        <is>
          <t>Skill Level Bonus — 3rd Job</t>
        </is>
      </c>
      <c r="B23">
        <f>IFERROR(1/(I23-100),"n/a")</f>
        <v/>
      </c>
      <c r="C23" t="inlineStr">
        <is>
          <t>level</t>
        </is>
      </c>
      <c r="D23">
        <f>Inputs!$B$27</f>
        <v/>
      </c>
      <c r="E23">
        <f>(Inputs!$B$27+1)</f>
        <v/>
      </c>
      <c r="F23">
        <f>Summary!$B$3</f>
        <v/>
      </c>
      <c r="G23">
        <f>B790</f>
        <v/>
      </c>
      <c r="H23">
        <f>Summary!$B$3*(((1-Summary!$B$55)*IFERROR(B788/Summary!$B$68,1)+Summary!$B$55*IFERROR(B789/Summary!$B$69,1))-1)</f>
        <v/>
      </c>
      <c r="I23">
        <f>((1-Summary!$B$55)*IFERROR(B788/Summary!$B$68,1)+Summary!$B$55*IFERROR(B789/Summary!$B$69,1))*100</f>
        <v/>
      </c>
    </row>
    <row r="24">
      <c r="A24" t="inlineStr">
        <is>
          <t>Skill Level Bonus — 4th Job</t>
        </is>
      </c>
      <c r="B24">
        <f>IFERROR(1/(I24-100),"n/a")</f>
        <v/>
      </c>
      <c r="C24" t="inlineStr">
        <is>
          <t>level</t>
        </is>
      </c>
      <c r="D24">
        <f>Inputs!$B$28</f>
        <v/>
      </c>
      <c r="E24">
        <f>(Inputs!$B$28+1)</f>
        <v/>
      </c>
      <c r="F24">
        <f>Summary!$B$3</f>
        <v/>
      </c>
      <c r="G24">
        <f>B830</f>
        <v/>
      </c>
      <c r="H24">
        <f>Summary!$B$3*(((1-Summary!$B$55)*IFERROR(B828/Summary!$B$68,1)+Summary!$B$55*IFERROR(B829/Summary!$B$69,1))-1)</f>
        <v/>
      </c>
      <c r="I24">
        <f>((1-Summary!$B$55)*IFERROR(B828/Summary!$B$68,1)+Summary!$B$55*IFERROR(B829/Summary!$B$69,1))*100</f>
        <v/>
      </c>
    </row>
    <row r="25">
      <c r="A25" t="inlineStr">
        <is>
          <t>Skill Level Bonus — All Skills</t>
        </is>
      </c>
      <c r="B25">
        <f>IFERROR(1/(I25-100),"n/a")</f>
        <v/>
      </c>
      <c r="C25" t="inlineStr">
        <is>
          <t>level</t>
        </is>
      </c>
      <c r="D25">
        <f>Inputs!$B$29</f>
        <v/>
      </c>
      <c r="E25">
        <f>(Inputs!$B$29+1)</f>
        <v/>
      </c>
      <c r="F25">
        <f>Summary!$B$3</f>
        <v/>
      </c>
      <c r="G25">
        <f>B870</f>
        <v/>
      </c>
      <c r="H25">
        <f>Summary!$B$3*(((1-Summary!$B$55)*IFERROR(B868/Summary!$B$68,1)+Summary!$B$55*IFERROR(B869/Summary!$B$69,1))-1)</f>
        <v/>
      </c>
      <c r="I25">
        <f>((1-Summary!$B$55)*IFERROR(B868/Summary!$B$68,1)+Summary!$B$55*IFERROR(B869/Summary!$B$69,1))*100</f>
        <v/>
      </c>
    </row>
    <row r="26">
      <c r="A26" t="inlineStr">
        <is>
          <t>Flat ATTACK</t>
        </is>
      </c>
      <c r="B26">
        <f>IFERROR(1/(I26-100),"n/a")</f>
        <v/>
      </c>
      <c r="C26" t="inlineStr">
        <is>
          <t>flat</t>
        </is>
      </c>
      <c r="D26">
        <f>Inputs!$B$6</f>
        <v/>
      </c>
      <c r="E26">
        <f>(Inputs!$B$6+1)</f>
        <v/>
      </c>
      <c r="F26">
        <f>Summary!$B$3</f>
        <v/>
      </c>
      <c r="G26">
        <f>B910</f>
        <v/>
      </c>
      <c r="H26">
        <f>Summary!$B$3*(((1-Summary!$B$55)*IFERROR(B908/Summary!$B$68,1)+Summary!$B$55*IFERROR(B909/Summary!$B$69,1))-1)</f>
        <v/>
      </c>
      <c r="I26">
        <f>((1-Summary!$B$55)*IFERROR(B908/Summary!$B$68,1)+Summary!$B$55*IFERROR(B909/Summary!$B$69,1))*100</f>
        <v/>
      </c>
    </row>
    <row r="27">
      <c r="A27" t="inlineStr">
        <is>
          <t>ATTACK %</t>
        </is>
      </c>
      <c r="B27">
        <f>IFERROR(1/(I27-100),"n/a")</f>
        <v/>
      </c>
      <c r="C27" t="inlineStr">
        <is>
          <t>pct</t>
        </is>
      </c>
      <c r="D27">
        <f>Inputs!$B$7</f>
        <v/>
      </c>
      <c r="E27">
        <f>(Inputs!$B$7+1)</f>
        <v/>
      </c>
      <c r="F27">
        <f>Summary!$B$3</f>
        <v/>
      </c>
      <c r="G27">
        <f>B950</f>
        <v/>
      </c>
      <c r="H27">
        <f>Summary!$B$3*(((1-Summary!$B$55)*IFERROR(B948/Summary!$B$68,1)+Summary!$B$55*IFERROR(B949/Summary!$B$69,1))-1)</f>
        <v/>
      </c>
      <c r="I27">
        <f>((1-Summary!$B$55)*IFERROR(B948/Summary!$B$68,1)+Summary!$B$55*IFERROR(B949/Summary!$B$69,1))*100</f>
        <v/>
      </c>
    </row>
    <row r="28">
      <c r="A28" t="inlineStr">
        <is>
          <t>Skill Cooldown Decrease (seconds)</t>
        </is>
      </c>
      <c r="B28">
        <f>IFERROR(1/(I28-100),"n/a")</f>
        <v/>
      </c>
      <c r="C28" t="inlineStr">
        <is>
          <t>flat</t>
        </is>
      </c>
      <c r="D28">
        <f>Inputs!$B$32</f>
        <v/>
      </c>
      <c r="E28">
        <f>(Inputs!$B$32+1)</f>
        <v/>
      </c>
      <c r="F28">
        <f>Summary!$B$3</f>
        <v/>
      </c>
      <c r="G28">
        <f>B990</f>
        <v/>
      </c>
      <c r="H28">
        <f>Summary!$B$3*(((1-Summary!$B$55)*IFERROR(B988/Summary!$B$68,1)+Summary!$B$55*IFERROR(B989/Summary!$B$69,1))-1)</f>
        <v/>
      </c>
      <c r="I28">
        <f>((1-Summary!$B$55)*IFERROR(B988/Summary!$B$68,1)+Summary!$B$55*IFERROR(B989/Summary!$B$69,1))*100</f>
        <v/>
      </c>
    </row>
    <row r="29">
      <c r="A29" t="inlineStr">
        <is>
          <t>Basic Attack Target Increase (flat)</t>
        </is>
      </c>
      <c r="B29">
        <f>IFERROR(1/(I29-100),"n/a")</f>
        <v/>
      </c>
      <c r="C29" t="inlineStr">
        <is>
          <t>flat</t>
        </is>
      </c>
      <c r="D29">
        <f>Inputs!$B$33</f>
        <v/>
      </c>
      <c r="E29">
        <f>(Inputs!$B$33+1)</f>
        <v/>
      </c>
      <c r="F29">
        <f>Summary!$B$3</f>
        <v/>
      </c>
      <c r="G29">
        <f>B1030</f>
        <v/>
      </c>
      <c r="H29">
        <f>Summary!$B$3*(((1-Summary!$B$55)*IFERROR(B1028/Summary!$B$68,1)+Summary!$B$55*IFERROR(B1029/Summary!$B$69,1))-1)</f>
        <v/>
      </c>
      <c r="I29">
        <f>((1-Summary!$B$55)*IFERROR(B1028/Summary!$B$68,1)+Summary!$B$55*IFERROR(B1029/Summary!$B$69,1))*100</f>
        <v/>
      </c>
    </row>
    <row r="30">
      <c r="A30" t="inlineStr">
        <is>
          <t>Buff Duration Increase %</t>
        </is>
      </c>
      <c r="B30">
        <f>IFERROR(1/(I30-100),"n/a")</f>
        <v/>
      </c>
      <c r="C30" t="inlineStr">
        <is>
          <t>pct</t>
        </is>
      </c>
      <c r="D30">
        <f>Inputs!$B$34</f>
        <v/>
      </c>
      <c r="E30">
        <f>(Inputs!$B$34+1)</f>
        <v/>
      </c>
      <c r="F30">
        <f>Summary!$B$3</f>
        <v/>
      </c>
      <c r="G30">
        <f>B1070</f>
        <v/>
      </c>
      <c r="H30">
        <f>Summary!$B$3*(((1-Summary!$B$55)*IFERROR(B1068/Summary!$B$68,1)+Summary!$B$55*IFERROR(B1069/Summary!$B$69,1))-1)</f>
        <v/>
      </c>
      <c r="I30">
        <f>((1-Summary!$B$55)*IFERROR(B1068/Summary!$B$68,1)+Summary!$B$55*IFERROR(B1069/Summary!$B$69,1))*100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+0)/100)))*(1+(Inputs!$B$24+0+B66)/100)*(1+(IF(Skills!A2="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35)</f>
        <v/>
      </c>
      <c r="L35">
        <f>K35*(MIN(Inputs!$B$22+((C55=TRUE)*(F55-Calc!F22)),Inputs!$B$23+((C57=TRUE)*(F57-Calc!F24)))/100+(Inputs!$B$23+((C57=TRUE)*(F57-Calc!F24)))/100)/2</f>
        <v/>
      </c>
      <c r="M35">
        <f>L35*(1+(Inputs!$B$10+0+B65)/100)</f>
        <v/>
      </c>
      <c r="N35">
        <f>L35*(1-MIN((Inputs!$B$9+0+B60),100)/100)+M35*(MIN((Inputs!$B$9+0+B60),100)/100)</f>
        <v/>
      </c>
      <c r="O35">
        <f>(1-Summary!$B$55)*T35+Summary!$B$55*V35</f>
        <v/>
      </c>
      <c r="P35">
        <f>IF(B70=0,0,O35/B70)</f>
        <v/>
      </c>
      <c r="Q35" t="n">
        <v>0</v>
      </c>
      <c r="R35" t="n">
        <v>0</v>
      </c>
      <c r="S35">
        <f>IFERROR(O35/N35,0)</f>
        <v/>
      </c>
      <c r="T35">
        <f>IF(C35,(Skills!G2*N35*B64)*IF(Inputs!$B$38="pvp",1,1+(Inputs!$B$20+0+Skills!P2)/100),0)</f>
        <v/>
      </c>
      <c r="U35">
        <f>MAX(0,(Inputs!$B$3-100)*3)+Inputs!$B$28+Inputs!$B$29</f>
        <v/>
      </c>
      <c r="V35">
        <f>IF(C35,(Skills!G2*N35*B64)*IF(Inputs!$B$38="pvp",1,(1+(Inputs!$B$21+Skills!Q2)/100)*(MIN((6+Inputs!$B$33),Inputs!$B$37))),0)</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nputs!$B$16/100)*(5000/(6000+Inputs!$B$42*(1-(Inputs!$B$19+0)/100)))*(1+(Inputs!$B$24+0+B66)/100)*(1+4.0*IF(C45=TRUE,F45,0)/100)*(1+(IF(Skills!A4="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37)</f>
        <v/>
      </c>
      <c r="L37">
        <f>K37*(MIN(Inputs!$B$22+((C55=TRUE)*(F55-Calc!F22)),Inputs!$B$23+((C57=TRUE)*(F57-Calc!F24)))/100+(Inputs!$B$23+((C57=TRUE)*(F57-Calc!F24)))/100)/2</f>
        <v/>
      </c>
      <c r="M37">
        <f>L37*(1+(Inputs!$B$10+0+B65)/100)</f>
        <v/>
      </c>
      <c r="N37">
        <f>L37*(1-MIN((Inputs!$B$9+0+B60),100)/100)+M37*(MIN((Inputs!$B$9+0+B60),100)/100)</f>
        <v/>
      </c>
      <c r="O37">
        <f>(1-Summary!$B$55)*T37+Summary!$B$55*V37</f>
        <v/>
      </c>
      <c r="P37">
        <f>IF(B70=0,0,O37/B70)</f>
        <v/>
      </c>
      <c r="Q37">
        <f>IFERROR(1/IF(Inputs!$B$38="pvp",15,MAX(0.1,Skills!D4-IF(Skills!E4=TRUE,Inputs!$B$32,0))),0)</f>
        <v/>
      </c>
      <c r="R37">
        <f>IF(AND(Inputs!$B$38&lt;&gt;"pvp",Inputs!$B$43&gt;0),IF(MAX(0,Inputs!$B$43-B67)&lt;=0,0,(INT(MAX(0,Inputs!$B$43-B67)/IF(Inputs!$B$38="pvp",15,MAX(0.1,Skills!D4-IF(Skills!E4=TRUE,Inputs!$B$32,0))))+1)),0)</f>
        <v/>
      </c>
      <c r="S37">
        <f>IFERROR(O37/N37,0)</f>
        <v/>
      </c>
      <c r="T37">
        <f>IF(C37,(H37*N37*IF(AND(Inputs!$B$38&lt;&gt;"pvp",Inputs!$B$43&gt;0),((Skills!G4*((R37-1)*IF(Skills!H4&gt;0,Skills!I4/Skills!H4,1)+IF(Skills!H4&gt;0,MIN(Skills!I4,MAX(0,MAX(0,Inputs!$B$43-B67)-((R37-1)*IF(Inputs!$B$38="pvp",15,MAX(0.1,Skills!D4-IF(Skills!E4=TRUE,Inputs!$B$32,0))))))/Skills!H4,1)))/Inputs!$B$43),G37*Q37))*IF(Inputs!$B$38="pvp",1,1+(Inputs!$B$20+0+Skills!P4)/100),0)</f>
        <v/>
      </c>
      <c r="U37">
        <f>290*U36/1000</f>
        <v/>
      </c>
      <c r="V37">
        <f>IF(C37,(H37*N37*IF(AND(Inputs!$B$38&lt;&gt;"pvp",Inputs!$B$43&gt;0),((Skills!G4*((R37-1)*IF(Skills!H4&gt;0,Skills!I4/Skills!H4,1)+IF(Skills!H4&gt;0,MIN(Skills!I4,MAX(0,MAX(0,Inputs!$B$43-B67)-((R37-1)*IF(Inputs!$B$38="pvp",15,MAX(0.1,Skills!D4-IF(Skills!E4=TRUE,Inputs!$B$32,0))))))/Skills!H4,1)))/Inputs!$B$43),G37*Q37))*IF(Inputs!$B$38="pvp",1,(1+(Inputs!$B$21+Skills!Q4)/100)*(MIN(Skills!R4,Inputs!$B$37))),0)</f>
        <v/>
      </c>
    </row>
    <row r="38">
      <c r="A38">
        <f>Skills!A5</f>
        <v/>
      </c>
      <c r="B38">
        <f>Skills!B5</f>
        <v/>
      </c>
      <c r="C38">
        <f>Inputs!$B$3&gt;=66</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nputs!$B$16/100)*(5000/(6000+Inputs!$B$42*(1-(Inputs!$B$19+0)/100)))*(1+(Inputs!$B$24+0+B66)/100)*(1+1.0*IF(C45=TRUE,F45,0)/100)*(1+(IF(Skills!A5="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38)</f>
        <v/>
      </c>
      <c r="L38">
        <f>K38*(MIN(Inputs!$B$22+((C55=TRUE)*(F55-Calc!F22)),Inputs!$B$23+((C57=TRUE)*(F57-Calc!F24)))/100+(Inputs!$B$23+((C57=TRUE)*(F57-Calc!F24)))/100)/2</f>
        <v/>
      </c>
      <c r="M38">
        <f>L38*(1+(Inputs!$B$10+0+B65)/100)</f>
        <v/>
      </c>
      <c r="N38">
        <f>L38*(1-MIN((Inputs!$B$9+0+B60),100)/100)+M38*(MIN((Inputs!$B$9+0+B60),100)/100)</f>
        <v/>
      </c>
      <c r="O38">
        <f>(1-Summary!$B$55)*T38+Summary!$B$55*V38</f>
        <v/>
      </c>
      <c r="P38">
        <f>IF(B70=0,0,O38/B70)</f>
        <v/>
      </c>
      <c r="Q38">
        <f>IFERROR(1/IF(Inputs!$B$38="pvp",15,MAX(0.1,Skills!D5-IF(Skills!E5=TRUE,Inputs!$B$32,0))),0)</f>
        <v/>
      </c>
      <c r="R38">
        <f>IF(AND(Inputs!$B$38&lt;&gt;"pvp",Inputs!$B$43&gt;0),IF(MAX(0,Inputs!$B$43-B67)&lt;=0,0,(INT(MAX(0,Inputs!$B$43-B67)/IF(Inputs!$B$38="pvp",15,MAX(0.1,Skills!D5-IF(Skills!E5=TRUE,Inputs!$B$32,0))))+1)),0)</f>
        <v/>
      </c>
      <c r="S38">
        <f>IFERROR(O38/N38,0)</f>
        <v/>
      </c>
      <c r="T38">
        <f>IF(C38,(H38*N38*IF(AND(Inputs!$B$38&lt;&gt;"pvp",Inputs!$B$43&gt;0),((Skills!G5*((R38-1)*IF(Skills!H5&gt;0,Skills!I5/Skills!H5,1)+IF(Skills!H5&gt;0,MIN(Skills!I5,MAX(0,MAX(0,Inputs!$B$43-B67)-((R38-1)*IF(Inputs!$B$38="pvp",15,MAX(0.1,Skills!D5-IF(Skills!E5=TRUE,Inputs!$B$32,0))))))/Skills!H5,1)))/Inputs!$B$43),G38*Q38))*IF(Inputs!$B$38="pvp",1,1+(Inputs!$B$20+0+Skills!P5)/100),0)</f>
        <v/>
      </c>
      <c r="V38">
        <f>IF(C38,(H38*N38*IF(AND(Inputs!$B$38&lt;&gt;"pvp",Inputs!$B$43&gt;0),((Skills!G5*((R38-1)*IF(Skills!H5&gt;0,Skills!I5/Skills!H5,1)+IF(Skills!H5&gt;0,MIN(Skills!I5,MAX(0,MAX(0,Inputs!$B$43-B67)-((R38-1)*IF(Inputs!$B$38="pvp",15,MAX(0.1,Skills!D5-IF(Skills!E5=TRUE,Inputs!$B$32,0))))))/Skills!H5,1)))/Inputs!$B$43),G38*Q38))*IF(Inputs!$B$38="pvp",1,(1+(Inputs!$B$21+Skills!Q5)/100)*(MIN(Skills!R5,Inputs!$B$37))),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+0)/100)))*(1+(Inputs!$B$24+0+B66)/100)*(1+(IF(Skills!A6="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39)</f>
        <v/>
      </c>
      <c r="L39">
        <f>K39*(MIN(Inputs!$B$22+((C55=TRUE)*(F55-Calc!F22)),Inputs!$B$23+((C57=TRUE)*(F57-Calc!F24)))/100+(Inputs!$B$23+((C57=TRUE)*(F57-Calc!F24)))/100)/2</f>
        <v/>
      </c>
      <c r="M39">
        <f>L39*(1+(Inputs!$B$10+0+B65)/100)</f>
        <v/>
      </c>
      <c r="N39">
        <f>L39*(1-MIN((Inputs!$B$9+0+B60),100)/100)+M39*(MIN((Inputs!$B$9+0+B60),100)/100)</f>
        <v/>
      </c>
      <c r="O39">
        <f>(1-Summary!$B$55)*T39+Summary!$B$55*V39</f>
        <v/>
      </c>
      <c r="P39">
        <f>IF(B70=0,0,O39/B70)</f>
        <v/>
      </c>
      <c r="Q39">
        <f>IFERROR(1/IF(Inputs!$B$38="pvp",15,MAX(0.1,Skills!D6-IF(Skills!E6=TRUE,Inputs!$B$32,0))),0)</f>
        <v/>
      </c>
      <c r="R39">
        <f>IF(AND(Inputs!$B$38&lt;&gt;"pvp",Inputs!$B$43&gt;0),IF(MAX(0,Inputs!$B$43-B67)&lt;=0,0,(INT(MAX(0,Inputs!$B$43-B67)/IF(Inputs!$B$38="pvp",15,MAX(0.1,Skills!D6-IF(Skills!E6=TRUE,Inputs!$B$32,0))))+1)),0)</f>
        <v/>
      </c>
      <c r="S39">
        <f>IFERROR(O39/N39,0)</f>
        <v/>
      </c>
      <c r="T39">
        <f>IF(C39,(H39*N39*IF(AND(Inputs!$B$38&lt;&gt;"pvp",Inputs!$B$43&gt;0),((Skills!G6*((R39-1)*IF(Skills!H6&gt;0,Skills!I6/Skills!H6,1)+IF(Skills!H6&gt;0,MIN(Skills!I6,MAX(0,MAX(0,Inputs!$B$43-B67)-((R39-1)*IF(Inputs!$B$38="pvp",15,MAX(0.1,Skills!D6-IF(Skills!E6=TRUE,Inputs!$B$32,0))))))/Skills!H6,1)))/Inputs!$B$43),G39*Q39))*IF(Inputs!$B$38="pvp",1,1+(Inputs!$B$20+0+Skills!P6)/100),0)</f>
        <v/>
      </c>
      <c r="V39">
        <f>IF(C39,(H39*N39*IF(AND(Inputs!$B$38&lt;&gt;"pvp",Inputs!$B$43&gt;0),((Skills!G6*((R39-1)*IF(Skills!H6&gt;0,Skills!I6/Skills!H6,1)+IF(Skills!H6&gt;0,MIN(Skills!I6,MAX(0,MAX(0,Inputs!$B$43-B67)-((R39-1)*IF(Inputs!$B$38="pvp",15,MAX(0.1,Skills!D6-IF(Skills!E6=TRUE,Inputs!$B$32,0))))))/Skills!H6,1)))/Inputs!$B$43),G39*Q39))*IF(Inputs!$B$38="pvp",1,(1+(Inputs!$B$21+Skills!Q6)/100)*(MIN(Skills!R6,Inputs!$B$37))),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nputs!$B$16/100)*(5000/(6000+Inputs!$B$42*(1-(Inputs!$B$19+0)/100)))*(1+(Inputs!$B$24+0+B66)/100)*(1+(IF(Skills!A7="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40)</f>
        <v/>
      </c>
      <c r="L40">
        <f>K40*(MIN(Inputs!$B$22+((C55=TRUE)*(F55-Calc!F22)),Inputs!$B$23+((C57=TRUE)*(F57-Calc!F24)))/100+(Inputs!$B$23+((C57=TRUE)*(F57-Calc!F24)))/100)/2</f>
        <v/>
      </c>
      <c r="M40">
        <f>L40*(1+(Inputs!$B$10+0+B65)/100)</f>
        <v/>
      </c>
      <c r="N40">
        <f>L40*(1-MIN((Inputs!$B$9+0+B60),100)/100)+M40*(MIN((Inputs!$B$9+0+B60),100)/100)</f>
        <v/>
      </c>
      <c r="O40">
        <f>(1-Summary!$B$55)*T40+Summary!$B$55*V40</f>
        <v/>
      </c>
      <c r="P40">
        <f>IF(B70=0,0,O40/B70)</f>
        <v/>
      </c>
      <c r="Q40">
        <f>IFERROR(1/IF(Inputs!$B$38="pvp",15,MAX(0.1,Skills!D7-IF(Skills!E7=TRUE,Inputs!$B$32,0))),0)</f>
        <v/>
      </c>
      <c r="R40">
        <f>IF(AND(Inputs!$B$38&lt;&gt;"pvp",Inputs!$B$43&gt;0),IF(MAX(0,Inputs!$B$43-B67)&lt;=0,0,(INT(MAX(0,Inputs!$B$43-B67)/IF(Inputs!$B$38="pvp",15,MAX(0.1,Skills!D7-IF(Skills!E7=TRUE,Inputs!$B$32,0))))+1)),0)</f>
        <v/>
      </c>
      <c r="S40">
        <f>IFERROR(O40/N40,0)</f>
        <v/>
      </c>
      <c r="T40">
        <f>IF(C40,(H40*N40*IF(AND(Inputs!$B$38&lt;&gt;"pvp",Inputs!$B$43&gt;0),((Skills!G7*((R40-1)*IF(Skills!H7&gt;0,Skills!I7/Skills!H7,1)+IF(Skills!H7&gt;0,MIN(Skills!I7,MAX(0,MAX(0,Inputs!$B$43-B67)-((R40-1)*IF(Inputs!$B$38="pvp",15,MAX(0.1,Skills!D7-IF(Skills!E7=TRUE,Inputs!$B$32,0))))))/Skills!H7,1)))/Inputs!$B$43),G40*Q40))*IF(Inputs!$B$38="pvp",1,1+(Inputs!$B$20+0+Skills!P7)/100),0)</f>
        <v/>
      </c>
      <c r="V40">
        <f>IF(C40,(H40*N40*IF(AND(Inputs!$B$38&lt;&gt;"pvp",Inputs!$B$43&gt;0),((Skills!G7*((R40-1)*IF(Skills!H7&gt;0,Skills!I7/Skills!H7,1)+IF(Skills!H7&gt;0,MIN(Skills!I7,MAX(0,MAX(0,Inputs!$B$43-B67)-((R40-1)*IF(Inputs!$B$38="pvp",15,MAX(0.1,Skills!D7-IF(Skills!E7=TRUE,Inputs!$B$32,0))))))/Skills!H7,1)))/Inputs!$B$43),G40*Q40))*IF(Inputs!$B$38="pvp",1,(1+(Inputs!$B$21+Skills!Q7)/100)*(MIN(Skills!R7,Inputs!$B$37))),0)</f>
        <v/>
      </c>
    </row>
    <row r="41">
      <c r="A41">
        <f>Skills!A8</f>
        <v/>
      </c>
      <c r="B41">
        <f>Skills!B8</f>
        <v/>
      </c>
      <c r="C41">
        <f>Inputs!$B$3&gt;=107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nputs!$B$16/100)*(5000/(6000+Inputs!$B$42*(1-(Inputs!$B$19+0)/100)))*(1+(Inputs!$B$24+0+B66)/100)*(1+(IF(Skills!A8="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41)</f>
        <v/>
      </c>
      <c r="L41">
        <f>K41*(MIN(Inputs!$B$22+((C55=TRUE)*(F55-Calc!F22)),Inputs!$B$23+((C57=TRUE)*(F57-Calc!F24)))/100+(Inputs!$B$23+((C57=TRUE)*(F57-Calc!F24)))/100)/2</f>
        <v/>
      </c>
      <c r="M41">
        <f>L41*(1+(Inputs!$B$10+0+B65)/100)</f>
        <v/>
      </c>
      <c r="N41">
        <f>L41*(1-MIN((Inputs!$B$9+0+B60),100)/100)+M41*(MIN((Inputs!$B$9+0+B60),100)/100)</f>
        <v/>
      </c>
      <c r="O41">
        <f>(1-Summary!$B$55)*T41+Summary!$B$55*V41</f>
        <v/>
      </c>
      <c r="P41">
        <f>IF(B70=0,0,O41/B70)</f>
        <v/>
      </c>
      <c r="Q41">
        <f>IFERROR(1/IF(Inputs!$B$38="pvp",15,MAX(0.1,Skills!D8-IF(Skills!E8=TRUE,Inputs!$B$32,0))),0)</f>
        <v/>
      </c>
      <c r="R41">
        <f>IF(AND(Inputs!$B$38&lt;&gt;"pvp",Inputs!$B$43&gt;0),IF(MAX(0,Inputs!$B$43-B67)&lt;=0,0,(INT(MAX(0,Inputs!$B$43-B67)/IF(Inputs!$B$38="pvp",15,MAX(0.1,Skills!D8-IF(Skills!E8=TRUE,Inputs!$B$32,0))))+1)),0)</f>
        <v/>
      </c>
      <c r="S41">
        <f>IFERROR(O41/N41,0)</f>
        <v/>
      </c>
      <c r="T41">
        <f>IF(C41,(H41*N41*IF(AND(Inputs!$B$38&lt;&gt;"pvp",Inputs!$B$43&gt;0),((Skills!G8*((R41-1)*IF(Skills!H8&gt;0,Skills!I8/Skills!H8,1)+IF(Skills!H8&gt;0,MIN(Skills!I8,MAX(0,MAX(0,Inputs!$B$43-B67)-((R41-1)*IF(Inputs!$B$38="pvp",15,MAX(0.1,Skills!D8-IF(Skills!E8=TRUE,Inputs!$B$32,0))))))/Skills!H8,1)))/Inputs!$B$43),G41*Q41))*IF(Inputs!$B$38="pvp",1,1+(Inputs!$B$20+0+Skills!P8)/100),0)</f>
        <v/>
      </c>
      <c r="V41">
        <f>IF(C41,(H41*N41*IF(AND(Inputs!$B$38&lt;&gt;"pvp",Inputs!$B$43&gt;0),((Skills!G8*((R41-1)*IF(Skills!H8&gt;0,Skills!I8/Skills!H8,1)+IF(Skills!H8&gt;0,MIN(Skills!I8,MAX(0,MAX(0,Inputs!$B$43-B67)-((R41-1)*IF(Inputs!$B$38="pvp",15,MAX(0.1,Skills!D8-IF(Skills!E8=TRUE,Inputs!$B$32,0))))))/Skills!H8,1)))/Inputs!$B$43),G41*Q41))*IF(Inputs!$B$38="pvp",1,(1+(Inputs!$B$21+Skills!Q8)/100)*(MIN(Skills!R8,Inputs!$B$37))),0)</f>
        <v/>
      </c>
    </row>
    <row r="42">
      <c r="A42">
        <f>Skills!A9</f>
        <v/>
      </c>
      <c r="B42">
        <f>Skills!B9</f>
        <v/>
      </c>
      <c r="C42">
        <f>Inputs!$B$3&gt;=125</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+0)/100)))*(1+(Inputs!$B$24+0+B66)/100)*(1+(IF(Skills!A9="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42)</f>
        <v/>
      </c>
      <c r="L42">
        <f>K42*(MIN(Inputs!$B$22+((C55=TRUE)*(F55-Calc!F22)),Inputs!$B$23+((C57=TRUE)*(F57-Calc!F24)))/100+(Inputs!$B$23+((C57=TRUE)*(F57-Calc!F24)))/100)/2</f>
        <v/>
      </c>
      <c r="M42">
        <f>L42*(1+(Inputs!$B$10+0+B65)/100)</f>
        <v/>
      </c>
      <c r="N42">
        <f>L42*(1-MIN((Inputs!$B$9+0+B60),100)/100)+M42*(MIN((Inputs!$B$9+0+B60),100)/100)</f>
        <v/>
      </c>
      <c r="O42">
        <f>(1-Summary!$B$55)*T42+Summary!$B$55*V42</f>
        <v/>
      </c>
      <c r="P42">
        <f>IF(B70=0,0,O42/B70)</f>
        <v/>
      </c>
      <c r="Q42">
        <f>IFERROR(1/IF(Inputs!$B$38="pvp",15,MAX(0.1,Skills!D9-IF(Skills!E9=TRUE,Inputs!$B$32,0))),0)</f>
        <v/>
      </c>
      <c r="R42">
        <f>IF(AND(Inputs!$B$38&lt;&gt;"pvp",Inputs!$B$43&gt;0),IF(MAX(0,Inputs!$B$43-B67)&lt;=0,0,(INT(MAX(0,Inputs!$B$43-B67)/IF(Inputs!$B$38="pvp",15,MAX(0.1,Skills!D9-IF(Skills!E9=TRUE,Inputs!$B$32,0))))+1)),0)</f>
        <v/>
      </c>
      <c r="S42">
        <f>IFERROR(O42/N42,0)</f>
        <v/>
      </c>
      <c r="T42">
        <f>IF(C42,(H42*N42*IF(AND(Inputs!$B$38&lt;&gt;"pvp",Inputs!$B$43&gt;0),((Skills!G9*((R42-1)*IF(Skills!H9&gt;0,Skills!I9/Skills!H9,1)+IF(Skills!H9&gt;0,MIN(Skills!I9,MAX(0,MAX(0,Inputs!$B$43-B67)-((R42-1)*IF(Inputs!$B$38="pvp",15,MAX(0.1,Skills!D9-IF(Skills!E9=TRUE,Inputs!$B$32,0))))))/Skills!H9,1)))/Inputs!$B$43),G42*Q42))*IF(Inputs!$B$38="pvp",1,1+(Inputs!$B$20+0+Skills!P9)/100),0)</f>
        <v/>
      </c>
      <c r="V42">
        <f>IF(C42,(H42*N42*IF(AND(Inputs!$B$38&lt;&gt;"pvp",Inputs!$B$43&gt;0),((Skills!G9*((R42-1)*IF(Skills!H9&gt;0,Skills!I9/Skills!H9,1)+IF(Skills!H9&gt;0,MIN(Skills!I9,MAX(0,MAX(0,Inputs!$B$43-B67)-((R42-1)*IF(Inputs!$B$38="pvp",15,MAX(0.1,Skills!D9-IF(Skills!E9=TRUE,Inputs!$B$32,0))))))/Skills!H9,1)))/Inputs!$B$43),G42*Q42))*IF(Inputs!$B$38="pvp",1,(1+(Inputs!$B$21+Skills!Q9)/100)*(MIN(Skills!R9,Inputs!$B$37))),0)</f>
        <v/>
      </c>
    </row>
    <row r="43">
      <c r="A43">
        <f>Skills!A10</f>
        <v/>
      </c>
      <c r="B43">
        <f>Skills!B10</f>
        <v/>
      </c>
      <c r="C43">
        <f>Inputs!$B$3&gt;=117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nputs!$B$16/100)*(5000/(6000+Inputs!$B$42*(1-(Inputs!$B$19+0)/100)))*(1+(Inputs!$B$24+0+B66)/100)*(1+(IF(Skills!A10="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43)</f>
        <v/>
      </c>
      <c r="L43">
        <f>K43*(MIN(Inputs!$B$22+((C55=TRUE)*(F55-Calc!F22)),Inputs!$B$23+((C57=TRUE)*(F57-Calc!F24)))/100+(Inputs!$B$23+((C57=TRUE)*(F57-Calc!F24)))/100)/2</f>
        <v/>
      </c>
      <c r="M43">
        <f>L43*(1+(Inputs!$B$10+0+B65)/100)</f>
        <v/>
      </c>
      <c r="N43">
        <f>L43*(1-MIN((Inputs!$B$9+0+B60),100)/100)+M43*(MIN((Inputs!$B$9+0+B60),100)/100)</f>
        <v/>
      </c>
      <c r="O43">
        <f>(1-Summary!$B$55)*T43+Summary!$B$55*V43</f>
        <v/>
      </c>
      <c r="P43">
        <f>IF(B70=0,0,O43/B70)</f>
        <v/>
      </c>
      <c r="Q43">
        <f>IFERROR(1/IF(Inputs!$B$38="pvp",15,MAX(0.1,Skills!D10-IF(Skills!E10=TRUE,Inputs!$B$32,0))),0)</f>
        <v/>
      </c>
      <c r="R43">
        <f>IF(AND(Inputs!$B$38&lt;&gt;"pvp",Inputs!$B$43&gt;0),IF(MAX(0,Inputs!$B$43-B67)&lt;=0,0,(INT(MAX(0,Inputs!$B$43-B67)/IF(Inputs!$B$38="pvp",15,MAX(0.1,Skills!D10-IF(Skills!E10=TRUE,Inputs!$B$32,0))))+1)),0)</f>
        <v/>
      </c>
      <c r="S43">
        <f>IFERROR(O43/N43,0)</f>
        <v/>
      </c>
      <c r="T43">
        <f>IF(C43,(H43*N43*IF(AND(Inputs!$B$38&lt;&gt;"pvp",Inputs!$B$43&gt;0),((Skills!G10*((R43-1)*IF(Skills!H10&gt;0,Skills!I10/Skills!H10,1)+IF(Skills!H10&gt;0,MIN(Skills!I10,MAX(0,MAX(0,Inputs!$B$43-B67)-((R43-1)*IF(Inputs!$B$38="pvp",15,MAX(0.1,Skills!D10-IF(Skills!E10=TRUE,Inputs!$B$32,0))))))/Skills!H10,1)))/Inputs!$B$43),G43*Q43))*IF(Inputs!$B$38="pvp",1,1+(Inputs!$B$20+0+Skills!P10)/100),0)</f>
        <v/>
      </c>
      <c r="V43">
        <f>IF(C43,(H43*N43*IF(AND(Inputs!$B$38&lt;&gt;"pvp",Inputs!$B$43&gt;0),((Skills!G10*((R43-1)*IF(Skills!H10&gt;0,Skills!I10/Skills!H10,1)+IF(Skills!H10&gt;0,MIN(Skills!I10,MAX(0,MAX(0,Inputs!$B$43-B67)-((R43-1)*IF(Inputs!$B$38="pvp",15,MAX(0.1,Skills!D10-IF(Skills!E10=TRUE,Inputs!$B$32,0))))))/Skills!H10,1)))/Inputs!$B$43),G43*Q43))*IF(Inputs!$B$38="pvp",1,(1+(Inputs!$B$21+Skills!Q10)/100)*(MIN(Skills!R10,Inputs!$B$37))),0)</f>
        <v/>
      </c>
    </row>
    <row r="44">
      <c r="A44">
        <f>Skills!A11</f>
        <v/>
      </c>
      <c r="B44">
        <f>Skills!B11</f>
        <v/>
      </c>
      <c r="C44">
        <f>Inputs!$B$3&gt;=63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+0)/100)))*(1+(Inputs!$B$24+0+B66)/100)*(1+1.5*IF(C45=TRUE,F45,0)/100)*(1+(IF(Skills!A11="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44)</f>
        <v/>
      </c>
      <c r="L44">
        <f>K44*(MIN(Inputs!$B$22+((C55=TRUE)*(F55-Calc!F22)),Inputs!$B$23+((C57=TRUE)*(F57-Calc!F24)))/100+(Inputs!$B$23+((C57=TRUE)*(F57-Calc!F24)))/100)/2</f>
        <v/>
      </c>
      <c r="M44">
        <f>L44*(1+(Inputs!$B$10+0+B65)/100)</f>
        <v/>
      </c>
      <c r="N44">
        <f>L44*(1-MIN((Inputs!$B$9+0+B60),100)/100)+M44*(MIN((Inputs!$B$9+0+B60),100)/100)</f>
        <v/>
      </c>
      <c r="O44">
        <f>(1-Summary!$B$55)*T44+Summary!$B$55*V44</f>
        <v/>
      </c>
      <c r="P44">
        <f>IF(B70=0,0,O44/B70)</f>
        <v/>
      </c>
      <c r="Q44">
        <f>IFERROR(1/IF(Inputs!$B$38="pvp",15,MAX(0.1,Skills!D11-IF(Skills!E11=TRUE,Inputs!$B$32,0))),0)</f>
        <v/>
      </c>
      <c r="R44">
        <f>IF(AND(Inputs!$B$38&lt;&gt;"pvp",Inputs!$B$43&gt;0),IF(MAX(0,Inputs!$B$43-B67)&lt;=0,0,(INT(MAX(0,Inputs!$B$43-B67)/IF(Inputs!$B$38="pvp",15,MAX(0.1,Skills!D11-IF(Skills!E11=TRUE,Inputs!$B$32,0))))+1)),0)</f>
        <v/>
      </c>
      <c r="S44">
        <f>IFERROR(O44/N44,0)</f>
        <v/>
      </c>
      <c r="T44">
        <f>IF(C44,(H44*N44*IF(AND(Inputs!$B$38&lt;&gt;"pvp",Inputs!$B$43&gt;0),((Skills!G11*((R44-1)*IF(Skills!H11&gt;0,Skills!I11/Skills!H11,1)+IF(Skills!H11&gt;0,MIN(Skills!I11,MAX(0,MAX(0,Inputs!$B$43-B67)-((R44-1)*IF(Inputs!$B$38="pvp",15,MAX(0.1,Skills!D11-IF(Skills!E11=TRUE,Inputs!$B$32,0))))))/Skills!H11,1)))/Inputs!$B$43),G44*Q44))*IF(Inputs!$B$38="pvp",1,1+(Inputs!$B$20+0+Skills!P11)/100),0)</f>
        <v/>
      </c>
      <c r="V44">
        <f>IF(C44,(H44*N44*IF(AND(Inputs!$B$38&lt;&gt;"pvp",Inputs!$B$43&gt;0),((Skills!G11*((R44-1)*IF(Skills!H11&gt;0,Skills!I11/Skills!H11,1)+IF(Skills!H11&gt;0,MIN(Skills!I11,MAX(0,MAX(0,Inputs!$B$43-B67)-((R44-1)*IF(Inputs!$B$38="pvp",15,MAX(0.1,Skills!D11-IF(Skills!E11=TRUE,Inputs!$B$32,0))))))/Skills!H11,1)))/Inputs!$B$43),G44*Q44))*IF(Inputs!$B$38="pvp",1,(1+(Inputs!$B$21+Skills!Q11)/100)*(MIN(Skills!R11,Inputs!$B$37))),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f>(1-Summary!$B$55)*T46+Summary!$B$55*V46</f>
        <v/>
      </c>
      <c r="P46">
        <f>IF(B70=0,0,O46/B70)</f>
        <v/>
      </c>
      <c r="Q46" t="n">
        <v>0</v>
      </c>
      <c r="R46" t="n">
        <v>0</v>
      </c>
      <c r="S46">
        <f>IFERROR(O46/N46,0)</f>
        <v/>
      </c>
      <c r="T46" t="n">
        <v>0</v>
      </c>
      <c r="V46" t="n">
        <v>0</v>
      </c>
    </row>
    <row r="47">
      <c r="A47">
        <f>Skills!A14</f>
        <v/>
      </c>
      <c r="B47">
        <f>Skills!B14</f>
        <v/>
      </c>
      <c r="C47">
        <f>Inputs!$B$3&gt;=110</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f>(1-Summary!$B$55)*T47+Summary!$B$55*V47</f>
        <v/>
      </c>
      <c r="P47">
        <f>IF(B70=0,0,O47/B70)</f>
        <v/>
      </c>
      <c r="Q47" t="n">
        <v>0</v>
      </c>
      <c r="R47" t="n">
        <v>0</v>
      </c>
      <c r="S47">
        <f>IFERROR(O47/N47,0)</f>
        <v/>
      </c>
      <c r="T47" t="n">
        <v>0</v>
      </c>
      <c r="V47" t="n">
        <v>0</v>
      </c>
    </row>
    <row r="48">
      <c r="A48">
        <f>Skills!A15</f>
        <v/>
      </c>
      <c r="B48">
        <f>Skills!B15</f>
        <v/>
      </c>
      <c r="C48">
        <f>Inputs!$B$3&gt;=75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f>(1-Summary!$B$55)*T48+Summary!$B$55*V48</f>
        <v/>
      </c>
      <c r="P48">
        <f>IF(B70=0,0,O48/B70)</f>
        <v/>
      </c>
      <c r="Q48">
        <f>IFERROR(1/IF(Inputs!$B$38="pvp",15,MAX(0.1,Skills!D15-IF(Skills!E15=TRUE,Inputs!$B$32,0))),0)</f>
        <v/>
      </c>
      <c r="R48">
        <f>IF(AND(Inputs!$B$38&lt;&gt;"pvp",Inputs!$B$43&gt;0),IF(Inputs!$B$43&lt;=0,0,(INT(Inputs!$B$43/IF(Inputs!$B$38="pvp",15,MAX(0.1,Skills!D15-IF(Skills!E15=TRUE,Inputs!$B$32,0))))+1)),0)</f>
        <v/>
      </c>
      <c r="S48">
        <f>IFERROR(O48/N48,0)</f>
        <v/>
      </c>
      <c r="T48" t="n">
        <v>0</v>
      </c>
      <c r="V48" t="n">
        <v>0</v>
      </c>
    </row>
    <row r="49">
      <c r="A49">
        <f>Skills!A16</f>
        <v/>
      </c>
      <c r="B49">
        <f>Skills!B16</f>
        <v/>
      </c>
      <c r="C49">
        <f>Inputs!$B$3&gt;=105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f>(1-Summary!$B$55)*T49+Summary!$B$55*V49</f>
        <v/>
      </c>
      <c r="P49">
        <f>IF(B70=0,0,O49/B70)</f>
        <v/>
      </c>
      <c r="Q49">
        <f>IFERROR(1/IF(Inputs!$B$38="pvp",15,MAX(0.1,Skills!D16-IF(Skills!E16=TRUE,Inputs!$B$32,0))),0)</f>
        <v/>
      </c>
      <c r="R49">
        <f>IF(AND(Inputs!$B$38&lt;&gt;"pvp",Inputs!$B$43&gt;0),IF(Inputs!$B$43&lt;=0,0,(INT(Inputs!$B$43/IF(Inputs!$B$38="pvp",15,MAX(0.1,Skills!D16-IF(Skills!E16=TRUE,Inputs!$B$32,0))))+1)),0)</f>
        <v/>
      </c>
      <c r="S49">
        <f>IFERROR(O49/N49,0)</f>
        <v/>
      </c>
      <c r="T49" t="n">
        <v>0</v>
      </c>
      <c r="V49" t="n">
        <v>0</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IF(B70=0,0,O50/B70)</f>
        <v/>
      </c>
      <c r="Q50">
        <f>IFERROR(1/IF(Inputs!$B$38="pvp",15,MAX(0.1,Skills!D17-IF(Skills!E17=TRUE,Inputs!$B$32,0))),0)</f>
        <v/>
      </c>
      <c r="R50">
        <f>IF(AND(Inputs!$B$38&lt;&gt;"pvp",Inputs!$B$43&gt;0),IF(Inputs!$B$43&lt;=0,0,(INT(Inputs!$B$43/IF(Inputs!$B$38="pvp",15,MAX(0.1,Skills!D17-IF(Skills!E17=TRUE,Inputs!$B$32,0))))+1)),0)</f>
        <v/>
      </c>
      <c r="S50">
        <f>IFERROR(O50/N50,0)</f>
        <v/>
      </c>
      <c r="T50" t="n">
        <v>0</v>
      </c>
      <c r="V50" t="n">
        <v>0</v>
      </c>
    </row>
    <row r="51">
      <c r="A51">
        <f>Skills!A18</f>
        <v/>
      </c>
      <c r="B51">
        <f>Skills!B18</f>
        <v/>
      </c>
      <c r="C51">
        <f>Inputs!$B$3&gt;=74</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IF(B70=0,0,O51/B70)</f>
        <v/>
      </c>
      <c r="Q51">
        <f>IFERROR(1/IF(Inputs!$B$38="pvp",15,MAX(0.1,Skills!D18-IF(Skills!E18=TRUE,Inputs!$B$32,0))),0)</f>
        <v/>
      </c>
      <c r="R51">
        <f>IF(AND(Inputs!$B$38&lt;&gt;"pvp",Inputs!$B$43&gt;0),IF(Inputs!$B$43&lt;=0,0,(INT(Inputs!$B$43/IF(Inputs!$B$38="pvp",15,MAX(0.1,Skills!D18-IF(Skills!E18=TRUE,Inputs!$B$32,0))))+1)),0)</f>
        <v/>
      </c>
      <c r="S51">
        <f>IFERROR(O51/N51,0)</f>
        <v/>
      </c>
      <c r="T51" t="n">
        <v>0</v>
      </c>
      <c r="V51" t="n">
        <v>0</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IF(B70=0,0,O52/B70)</f>
        <v/>
      </c>
      <c r="Q52">
        <f>IFERROR(1/IF(Inputs!$B$38="pvp",15,MAX(0.1,Skills!D19-IF(Skills!E19=TRUE,Inputs!$B$32,0))),0)</f>
        <v/>
      </c>
      <c r="R52">
        <f>IF(AND(Inputs!$B$38&lt;&gt;"pvp",Inputs!$B$43&gt;0),IF(Inputs!$B$43&lt;=0,0,(INT(Inputs!$B$43/IF(Inputs!$B$38="pvp",15,MAX(0.1,Skills!D19-IF(Skills!E19=TRUE,Inputs!$B$32,0))))+1)),0)</f>
        <v/>
      </c>
      <c r="S52">
        <f>IFERROR(O52/N52,0)</f>
        <v/>
      </c>
      <c r="T52" t="n">
        <v>0</v>
      </c>
      <c r="V52" t="n">
        <v>0</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IF(B70=0,0,O53/B70)</f>
        <v/>
      </c>
      <c r="Q53" t="n">
        <v>0</v>
      </c>
      <c r="R53" t="n">
        <v>0</v>
      </c>
      <c r="S53">
        <f>IFERROR(O53/N53,0)</f>
        <v/>
      </c>
      <c r="T53" t="n">
        <v>0</v>
      </c>
      <c r="V53" t="n">
        <v>0</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IF(B70=0,0,O54/B70)</f>
        <v/>
      </c>
      <c r="Q54" t="n">
        <v>0</v>
      </c>
      <c r="R54" t="n">
        <v>0</v>
      </c>
      <c r="S54">
        <f>IFERROR(O54/N54,0)</f>
        <v/>
      </c>
      <c r="T54" t="n">
        <v>0</v>
      </c>
      <c r="V54" t="n">
        <v>0</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IF(B70=0,0,O55/B70)</f>
        <v/>
      </c>
      <c r="Q55" t="n">
        <v>0</v>
      </c>
      <c r="R55" t="n">
        <v>0</v>
      </c>
      <c r="S55">
        <f>IFERROR(O55/N55,0)</f>
        <v/>
      </c>
      <c r="T55" t="n">
        <v>0</v>
      </c>
      <c r="V55" t="n">
        <v>0</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f>(1-Summary!$B$55)*T56+Summary!$B$55*V56</f>
        <v/>
      </c>
      <c r="P56">
        <f>IF(B70=0,0,O56/B70)</f>
        <v/>
      </c>
      <c r="Q56" t="n">
        <v>0</v>
      </c>
      <c r="R56" t="n">
        <v>0</v>
      </c>
      <c r="S56">
        <f>IFERROR(O56/N56,0)</f>
        <v/>
      </c>
      <c r="T56" t="n">
        <v>0</v>
      </c>
      <c r="V56" t="n">
        <v>0</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f>(1-Summary!$B$55)*T57+Summary!$B$55*V57</f>
        <v/>
      </c>
      <c r="P57">
        <f>IF(B70=0,0,O57/B70)</f>
        <v/>
      </c>
      <c r="Q57" t="n">
        <v>0</v>
      </c>
      <c r="R57" t="n">
        <v>0</v>
      </c>
      <c r="S57">
        <f>IFERROR(O57/N57,0)</f>
        <v/>
      </c>
      <c r="T57" t="n">
        <v>0</v>
      </c>
      <c r="V57" t="n">
        <v>0</v>
      </c>
    </row>
    <row r="59">
      <c r="A59" t="inlineStr">
        <is>
          <t>Attack% Bucket Multiplier</t>
        </is>
      </c>
      <c r="B59">
        <f>(1+(((C46=TRUE)*F46*MIN(1,Skills!T13*(Skills!J13/100)*B64))+((C51=TRUE)*F51*IF(AND(Inputs!$B$38&lt;&gt;"pvp",Inputs!$B$43&gt;0),(((R51-1)*(Skills!T18*(1+Inputs!$B$34/100))+MIN((Skills!T18*(1+Inputs!$B$34/100)),MAX(0,Inputs!$B$43-((R51-1)*Skills!D18))))/Inputs!$B$43),IF(Inputs!$B$38="pvp",MIN((Skills!T18*(1+Inputs!$B$34/100)),15)/15,(Skills!T18*(1+Inputs!$B$34/100))/Skills!D18)))+0)/100)</f>
        <v/>
      </c>
    </row>
    <row r="60">
      <c r="A60" t="inlineStr">
        <is>
          <t>Global Crit Rate Bonus %</t>
        </is>
      </c>
      <c r="B60" t="n">
        <v>0</v>
      </c>
    </row>
    <row r="61">
      <c r="A61" t="inlineStr">
        <is>
          <t>Attack Speed Buff Bonus %</t>
        </is>
      </c>
      <c r="B61">
        <f>((C52=TRUE)*F52*IF(AND(Inputs!$B$38&lt;&gt;"pvp",Inputs!$B$43&gt;0),(((R52-1)*(Skills!T19*(1+Inputs!$B$34/100))+MIN((Skills!T19*(1+Inputs!$B$34/100)),MAX(0,Inputs!$B$43-((R52-1)*Skills!D19))))/Inputs!$B$43),IF(Inputs!$B$38="pvp",MIN((Skills!T19*(1+Inputs!$B$34/100)),15)/15,(Skills!T19*(1+Inputs!$B$34/100))/Skills!D19)))</f>
        <v/>
      </c>
    </row>
    <row r="62">
      <c r="A62" t="inlineStr">
        <is>
          <t>Actions Per Second</t>
        </is>
      </c>
      <c r="B62">
        <f>1+MIN(150,150*(1-(1-(Inputs!$B$11+((C53=TRUE)*(F53-Calc!F20)))/150)*(1-B61/150)))/100</f>
        <v/>
      </c>
    </row>
    <row r="63">
      <c r="A63" t="inlineStr">
        <is>
          <t>Skill + Buff Cast Rate</t>
        </is>
      </c>
      <c r="B63">
        <f>IF(AND(Inputs!$B$38&lt;&gt;"pvp",Inputs!$B$43&gt;0),SUMPRODUCT((Skills!E2:E24=TRUE)*(C35:C57=TRUE)*R35:R57*Skills!F2:F24)/Inputs!$B$43,SUMPRODUCT((Skills!E2:E24=TRUE)*(C35:C57=TRUE)*Q35:Q57*Skills!F2:F24))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$38&lt;&gt;"pvp",Inputs!$B$43&gt;0),(((R48-1)*(Skills!T15*(1+Inputs!$B$34/100))+MIN((Skills!T15*(1+Inputs!$B$34/100)),MAX(0,Inputs!$B$43-((R48-1)*Skills!D15))))/Inputs!$B$43),IF(Inputs!$B$38="pvp",MIN((Skills!T15*(1+Inputs!$B$34/100)),15)/15,(Skills!T15*(1+Inputs!$B$34/100))/Skills!D15)))+((C49=TRUE)*F49*IF(AND(Inputs!$B$38&lt;&gt;"pvp",Inputs!$B$43&gt;0),(((R49-1)*(Skills!T16*(1+Inputs!$B$34/100))+MIN((Skills!T16*(1+Inputs!$B$34/100)),MAX(0,Inputs!$B$43-((R49-1)*Skills!D16))))/Inputs!$B$43),IF(Inputs!$B$38="pvp",MIN((Skills!T16*(1+Inputs!$B$34/100)),15)/15,(Skills!T16*(1+Inputs!$B$34/100))/Skills!D16)))+((C50=TRUE)*F50*IF(AND(Inputs!$B$38&lt;&gt;"pvp",Inputs!$B$43&gt;0),(((R50-1)*(Skills!T17*(1+Inputs!$B$34/100))+MIN((Skills!T17*(1+Inputs!$B$34/100)),MAX(0,Inputs!$B$43-((R50-1)*Skills!D17))))/Inputs!$B$43),IF(Inputs!$B$38="pvp",MIN((Skills!T17*(1+Inputs!$B$34/100)),15)/15,(Skills!T17*(1+Inputs!$B$34/100))/Skills!D17)))+((C47=TRUE)*F47*MIN(1,Skills!T13*(Skills!J13/100)*B64))</f>
        <v/>
      </c>
    </row>
    <row r="67">
      <c r="A67" t="inlineStr">
        <is>
          <t>Buff-Casting Startup Delay (s, fixed-duration only)</t>
        </is>
      </c>
      <c r="B67">
        <f>IF(AND(Inputs!$B$38&lt;&gt;"pvp",Inputs!$B$43&gt;0),SUMPRODUCT((Skills!T2:T24&gt;0)*(Skills!E2:E24=TRUE)*(C35:C57=TRUE))/B62,0)</f>
        <v/>
      </c>
    </row>
    <row r="68">
      <c r="A68" t="inlineStr">
        <is>
          <t>Boss-Only Total DPS (this block's swept value)</t>
        </is>
      </c>
      <c r="B68">
        <f>SUM(T35:T57)</f>
        <v/>
      </c>
    </row>
    <row r="69">
      <c r="A69" t="inlineStr">
        <is>
          <t>Normal-Only Total DPS (this block's swept value)</t>
        </is>
      </c>
      <c r="B69">
        <f>SUM(V35:V57)</f>
        <v/>
      </c>
    </row>
    <row r="70">
      <c r="A70" s="5" t="inlineStr">
        <is>
          <t>TOTAL DPS</t>
        </is>
      </c>
      <c r="B70" s="5">
        <f>SUM(O35:O57)</f>
        <v/>
      </c>
    </row>
    <row r="73">
      <c r="A73" s="5" t="inlineStr">
        <is>
          <t>Stat: STR %</t>
        </is>
      </c>
    </row>
    <row r="74">
      <c r="A74" s="9" t="inlineStr">
        <is>
          <t>Key</t>
        </is>
      </c>
      <c r="B74" s="9" t="inlineStr">
        <is>
          <t>Name</t>
        </is>
      </c>
      <c r="C74" s="9" t="inlineStr">
        <is>
          <t>Unlocked</t>
        </is>
      </c>
      <c r="D74" s="9" t="inlineStr">
        <is>
          <t>InputLevel</t>
        </is>
      </c>
      <c r="E74" s="9" t="inlineStr">
        <is>
          <t>Factor</t>
        </is>
      </c>
      <c r="F74" s="9" t="inlineStr">
        <is>
          <t>CoefficientPercent</t>
        </is>
      </c>
      <c r="G74" s="9" t="inlineStr">
        <is>
          <t>EffectiveHits</t>
        </is>
      </c>
      <c r="H74" s="9" t="inlineStr">
        <is>
          <t>ProcProbability</t>
        </is>
      </c>
      <c r="I74" s="9" t="inlineStr">
        <is>
          <t>MapleHeroMultiplier</t>
        </is>
      </c>
      <c r="J74" s="9" t="inlineStr">
        <is>
          <t>BaseDamage</t>
        </is>
      </c>
      <c r="K74" s="9" t="inlineStr">
        <is>
          <t>BaseHitDamage</t>
        </is>
      </c>
      <c r="L74" s="9" t="inlineStr">
        <is>
          <t>NonCritAvg</t>
        </is>
      </c>
      <c r="M74" s="9" t="inlineStr">
        <is>
          <t>CritAvg</t>
        </is>
      </c>
      <c r="N74" s="9" t="inlineStr">
        <is>
          <t>ExpectedDamage(perHit)</t>
        </is>
      </c>
      <c r="O74" s="9" t="inlineStr">
        <is>
          <t>DPS</t>
        </is>
      </c>
      <c r="P74" s="9" t="inlineStr">
        <is>
          <t>% of Total</t>
        </is>
      </c>
      <c r="Q74" s="9" t="inlineStr">
        <is>
          <t>InvCooldown</t>
        </is>
      </c>
      <c r="R74" s="9" t="inlineStr">
        <is>
          <t>CastsInFight</t>
        </is>
      </c>
      <c r="S74" s="9"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((Inputs!$B$6*(1+Inputs!$B$7/100))+(((Inputs!$B$12*(1+(Inputs!$B$13+1)/100))-(Inputs!$B$12*(1+Inputs!$B$13/100)))+0.25*(Inputs!$B$14-Inputs!$B$14))*(1+Inputs!$B$7/100))*(F75/100)</f>
        <v/>
      </c>
      <c r="K75">
        <f>J75*(1+((Inputs!$B$12*(1+(Inputs!$B$13+1)/100))*0.01+Inputs!$B$14*0.0025)/100)*(1+Inputs!$B$15/100)*(1+Inputs!$B$16/100)*(5000/(6000+Inputs!$B$42*(1-(Inputs!$B$19+0)/100)))*(1+(Inputs!$B$24+0+B106)/100)*(1+(IF(Skills!A2="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75)</f>
        <v/>
      </c>
      <c r="L75">
        <f>K75*(MIN(Inputs!$B$22+((C95=TRUE)*(F95-Calc!F22)),Inputs!$B$23+((C97=TRUE)*(F97-Calc!F24)))/100+(Inputs!$B$23+((C97=TRUE)*(F97-Calc!F24)))/100)/2</f>
        <v/>
      </c>
      <c r="M75">
        <f>L75*(1+(Inputs!$B$10+0+B105)/100)</f>
        <v/>
      </c>
      <c r="N75">
        <f>L75*(1-MIN((Inputs!$B$9+0+B100),100)/100)+M75*(MIN((Inputs!$B$9+0+B100),100)/100)</f>
        <v/>
      </c>
      <c r="O75">
        <f>(1-Summary!$B$55)*T75+Summary!$B$55*V75</f>
        <v/>
      </c>
      <c r="P75">
        <f>IF(B110=0,0,O75/B110)</f>
        <v/>
      </c>
      <c r="Q75" t="n">
        <v>0</v>
      </c>
      <c r="R75" t="n">
        <v>0</v>
      </c>
      <c r="S75">
        <f>IFERROR(O75/N75,0)</f>
        <v/>
      </c>
      <c r="T75">
        <f>IF(C75,(Skills!G2*N75*B104)*IF(Inputs!$B$38="pvp",1,1+(Inputs!$B$20+0+Skills!P2)/100),0)</f>
        <v/>
      </c>
      <c r="U75">
        <f>MAX(0,(Inputs!$B$3-100)*3)+Inputs!$B$28+Inputs!$B$29</f>
        <v/>
      </c>
      <c r="V75">
        <f>IF(C75,(Skills!G2*N75*B104)*IF(Inputs!$B$38="pvp",1,(1+(Inputs!$B$21+Skills!Q2)/100)*(MIN((6+Inputs!$B$33),Inputs!$B$37))),0)</f>
        <v/>
      </c>
    </row>
    <row r="76">
      <c r="A76">
        <f>Skills!A3</f>
        <v/>
      </c>
      <c r="B76">
        <f>Skills!B3</f>
        <v/>
      </c>
      <c r="C76">
        <f>Inputs!$B$3&gt;=50</f>
        <v/>
      </c>
      <c r="D76">
        <f>IF(Skills!C3=1,60+Inputs!$B$25+Inputs!$B$29,IF(Skills!C3=2,90+Inputs!$B$26+Inputs!$B$29,IF(Skills!C3=3,120+Inputs!$B$27+Inputs!$B$29,MAX(0,(Inputs!$B$3-100)*3)+Inputs!$B$28+Inputs!$B$29)))</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Inputs!$B$3&gt;=35</f>
        <v/>
      </c>
      <c r="D77">
        <f>IF(Skills!C4=1,60+Inputs!$B$25+Inputs!$B$29,IF(Skills!C4=2,90+Inputs!$B$26+Inputs!$B$29,IF(Skills!C4=3,120+Inputs!$B$27+Inputs!$B$29,MAX(0,(Inputs!$B$3-100)*3)+Inputs!$B$28+Inputs!$B$29)))</f>
        <v/>
      </c>
      <c r="E77">
        <f>INDEX(FactorTable!$B$2:$Y$301, MATCH(ROUND(MIN(300,MAX(1,D77)),0), FactorTable!$A$2:$A$301,0), Skills!M4+1)</f>
        <v/>
      </c>
      <c r="F77">
        <f>IF(Skills!N4=TRUE,(Skills!L4/10)*(E77/1000),Skills!L4/10)+Skills!O4</f>
        <v/>
      </c>
      <c r="G77">
        <f>Skills!G4*IF(Skills!H4&gt;0,Skills!I4/Skills!H4,1)</f>
        <v/>
      </c>
      <c r="H77">
        <f>1-(1-Skills!J4/100)^Skills!K4</f>
        <v/>
      </c>
      <c r="I77" t="inlineStr">
        <is>
          <t>1</t>
        </is>
      </c>
      <c r="J77">
        <f>((Inputs!$B$6*(1+Inputs!$B$7/100))+(((Inputs!$B$12*(1+(Inputs!$B$13+1)/100))-(Inputs!$B$12*(1+Inputs!$B$13/100)))+0.25*(Inputs!$B$14-Inputs!$B$14))*(1+Inputs!$B$7/100))*(F77/100)</f>
        <v/>
      </c>
      <c r="K77">
        <f>J77*(1+((Inputs!$B$12*(1+(Inputs!$B$13+1)/100))*0.01+Inputs!$B$14*0.0025)/100)*(1+Inputs!$B$15/100)*(1+Inputs!$B$16/100)*(5000/(6000+Inputs!$B$42*(1-(Inputs!$B$19+0)/100)))*(1+(Inputs!$B$24+0+B106)/100)*(1+4.0*IF(C85=TRUE,F85,0)/100)*(1+(IF(Skills!A4="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77)</f>
        <v/>
      </c>
      <c r="L77">
        <f>K77*(MIN(Inputs!$B$22+((C95=TRUE)*(F95-Calc!F22)),Inputs!$B$23+((C97=TRUE)*(F97-Calc!F24)))/100+(Inputs!$B$23+((C97=TRUE)*(F97-Calc!F24)))/100)/2</f>
        <v/>
      </c>
      <c r="M77">
        <f>L77*(1+(Inputs!$B$10+0+B105)/100)</f>
        <v/>
      </c>
      <c r="N77">
        <f>L77*(1-MIN((Inputs!$B$9+0+B100),100)/100)+M77*(MIN((Inputs!$B$9+0+B100),100)/100)</f>
        <v/>
      </c>
      <c r="O77">
        <f>(1-Summary!$B$55)*T77+Summary!$B$55*V77</f>
        <v/>
      </c>
      <c r="P77">
        <f>IF(B110=0,0,O77/B110)</f>
        <v/>
      </c>
      <c r="Q77">
        <f>IFERROR(1/IF(Inputs!$B$38="pvp",15,MAX(0.1,Skills!D4-IF(Skills!E4=TRUE,Inputs!$B$32,0))),0)</f>
        <v/>
      </c>
      <c r="R77">
        <f>IF(AND(Inputs!$B$38&lt;&gt;"pvp",Inputs!$B$43&gt;0),IF(MAX(0,Inputs!$B$43-B107)&lt;=0,0,(INT(MAX(0,Inputs!$B$43-B107)/IF(Inputs!$B$38="pvp",15,MAX(0.1,Skills!D4-IF(Skills!E4=TRUE,Inputs!$B$32,0))))+1)),0)</f>
        <v/>
      </c>
      <c r="S77">
        <f>IFERROR(O77/N77,0)</f>
        <v/>
      </c>
      <c r="T77">
        <f>IF(C77,(H77*N77*IF(AND(Inputs!$B$38&lt;&gt;"pvp",Inputs!$B$43&gt;0),((Skills!G4*((R77-1)*IF(Skills!H4&gt;0,Skills!I4/Skills!H4,1)+IF(Skills!H4&gt;0,MIN(Skills!I4,MAX(0,MAX(0,Inputs!$B$43-B107)-((R77-1)*IF(Inputs!$B$38="pvp",15,MAX(0.1,Skills!D4-IF(Skills!E4=TRUE,Inputs!$B$32,0))))))/Skills!H4,1)))/Inputs!$B$43),G77*Q77))*IF(Inputs!$B$38="pvp",1,1+(Inputs!$B$20+0+Skills!P4)/100),0)</f>
        <v/>
      </c>
      <c r="U77">
        <f>290*U76/1000</f>
        <v/>
      </c>
      <c r="V77">
        <f>IF(C77,(H77*N77*IF(AND(Inputs!$B$38&lt;&gt;"pvp",Inputs!$B$43&gt;0),((Skills!G4*((R77-1)*IF(Skills!H4&gt;0,Skills!I4/Skills!H4,1)+IF(Skills!H4&gt;0,MIN(Skills!I4,MAX(0,MAX(0,Inputs!$B$43-B107)-((R77-1)*IF(Inputs!$B$38="pvp",15,MAX(0.1,Skills!D4-IF(Skills!E4=TRUE,Inputs!$B$32,0))))))/Skills!H4,1)))/Inputs!$B$43),G77*Q77))*IF(Inputs!$B$38="pvp",1,(1+(Inputs!$B$21+Skills!Q4)/100)*(MIN(Skills!R4,Inputs!$B$37))),0)</f>
        <v/>
      </c>
    </row>
    <row r="78">
      <c r="A78">
        <f>Skills!A5</f>
        <v/>
      </c>
      <c r="B78">
        <f>Skills!B5</f>
        <v/>
      </c>
      <c r="C78">
        <f>Inputs!$B$3&gt;=66</f>
        <v/>
      </c>
      <c r="D78">
        <f>IF(Skills!C5=1,60+Inputs!$B$25+Inputs!$B$29,IF(Skills!C5=2,90+Inputs!$B$26+Inputs!$B$29,IF(Skills!C5=3,120+Inputs!$B$27+Inputs!$B$29,MAX(0,(Inputs!$B$3-100)*3)+Inputs!$B$28+Inputs!$B$29)))</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((Inputs!$B$6*(1+Inputs!$B$7/100))+(((Inputs!$B$12*(1+(Inputs!$B$13+1)/100))-(Inputs!$B$12*(1+Inputs!$B$13/100)))+0.25*(Inputs!$B$14-Inputs!$B$14))*(1+Inputs!$B$7/100))*(F78/100)</f>
        <v/>
      </c>
      <c r="K78">
        <f>J78*(1+((Inputs!$B$12*(1+(Inputs!$B$13+1)/100))*0.01+Inputs!$B$14*0.0025)/100)*(1+Inputs!$B$15/100)*(1+Inputs!$B$16/100)*(5000/(6000+Inputs!$B$42*(1-(Inputs!$B$19+0)/100)))*(1+(Inputs!$B$24+0+B106)/100)*(1+1.0*IF(C85=TRUE,F85,0)/100)*(1+(IF(Skills!A5="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78)</f>
        <v/>
      </c>
      <c r="L78">
        <f>K78*(MIN(Inputs!$B$22+((C95=TRUE)*(F95-Calc!F22)),Inputs!$B$23+((C97=TRUE)*(F97-Calc!F24)))/100+(Inputs!$B$23+((C97=TRUE)*(F97-Calc!F24)))/100)/2</f>
        <v/>
      </c>
      <c r="M78">
        <f>L78*(1+(Inputs!$B$10+0+B105)/100)</f>
        <v/>
      </c>
      <c r="N78">
        <f>L78*(1-MIN((Inputs!$B$9+0+B100),100)/100)+M78*(MIN((Inputs!$B$9+0+B100),100)/100)</f>
        <v/>
      </c>
      <c r="O78">
        <f>(1-Summary!$B$55)*T78+Summary!$B$55*V78</f>
        <v/>
      </c>
      <c r="P78">
        <f>IF(B110=0,0,O78/B110)</f>
        <v/>
      </c>
      <c r="Q78">
        <f>IFERROR(1/IF(Inputs!$B$38="pvp",15,MAX(0.1,Skills!D5-IF(Skills!E5=TRUE,Inputs!$B$32,0))),0)</f>
        <v/>
      </c>
      <c r="R78">
        <f>IF(AND(Inputs!$B$38&lt;&gt;"pvp",Inputs!$B$43&gt;0),IF(MAX(0,Inputs!$B$43-B107)&lt;=0,0,(INT(MAX(0,Inputs!$B$43-B107)/IF(Inputs!$B$38="pvp",15,MAX(0.1,Skills!D5-IF(Skills!E5=TRUE,Inputs!$B$32,0))))+1)),0)</f>
        <v/>
      </c>
      <c r="S78">
        <f>IFERROR(O78/N78,0)</f>
        <v/>
      </c>
      <c r="T78">
        <f>IF(C78,(H78*N78*IF(AND(Inputs!$B$38&lt;&gt;"pvp",Inputs!$B$43&gt;0),((Skills!G5*((R78-1)*IF(Skills!H5&gt;0,Skills!I5/Skills!H5,1)+IF(Skills!H5&gt;0,MIN(Skills!I5,MAX(0,MAX(0,Inputs!$B$43-B107)-((R78-1)*IF(Inputs!$B$38="pvp",15,MAX(0.1,Skills!D5-IF(Skills!E5=TRUE,Inputs!$B$32,0))))))/Skills!H5,1)))/Inputs!$B$43),G78*Q78))*IF(Inputs!$B$38="pvp",1,1+(Inputs!$B$20+0+Skills!P5)/100),0)</f>
        <v/>
      </c>
      <c r="V78">
        <f>IF(C78,(H78*N78*IF(AND(Inputs!$B$38&lt;&gt;"pvp",Inputs!$B$43&gt;0),((Skills!G5*((R78-1)*IF(Skills!H5&gt;0,Skills!I5/Skills!H5,1)+IF(Skills!H5&gt;0,MIN(Skills!I5,MAX(0,MAX(0,Inputs!$B$43-B107)-((R78-1)*IF(Inputs!$B$38="pvp",15,MAX(0.1,Skills!D5-IF(Skills!E5=TRUE,Inputs!$B$32,0))))))/Skills!H5,1)))/Inputs!$B$43),G78*Q78))*IF(Inputs!$B$38="pvp",1,(1+(Inputs!$B$21+Skills!Q5)/100)*(MIN(Skills!R5,Inputs!$B$37))),0)</f>
        <v/>
      </c>
    </row>
    <row r="79">
      <c r="A79">
        <f>Skills!A6</f>
        <v/>
      </c>
      <c r="B79">
        <f>Skills!B6</f>
        <v/>
      </c>
      <c r="C79">
        <f>Inputs!$B$3&gt;=103</f>
        <v/>
      </c>
      <c r="D79">
        <f>IF(Skills!C6=1,60+Inputs!$B$25+Inputs!$B$29,IF(Skills!C6=2,90+Inputs!$B$26+Inputs!$B$29,IF(Skills!C6=3,120+Inputs!$B$27+Inputs!$B$29,MAX(0,(Inputs!$B$3-100)*3)+Inputs!$B$28+Inputs!$B$29)))</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((Inputs!$B$6*(1+Inputs!$B$7/100))+(((Inputs!$B$12*(1+(Inputs!$B$13+1)/100))-(Inputs!$B$12*(1+Inputs!$B$13/100)))+0.25*(Inputs!$B$14-Inputs!$B$14))*(1+Inputs!$B$7/100))*(F79/100)</f>
        <v/>
      </c>
      <c r="K79">
        <f>J79*(1+((Inputs!$B$12*(1+(Inputs!$B$13+1)/100))*0.01+Inputs!$B$14*0.0025)/100)*(1+Inputs!$B$15/100)*(1+Inputs!$B$16/100)*(5000/(6000+Inputs!$B$42*(1-(Inputs!$B$19+0)/100)))*(1+(Inputs!$B$24+0+B106)/100)*(1+(IF(Skills!A6="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79)</f>
        <v/>
      </c>
      <c r="L79">
        <f>K79*(MIN(Inputs!$B$22+((C95=TRUE)*(F95-Calc!F22)),Inputs!$B$23+((C97=TRUE)*(F97-Calc!F24)))/100+(Inputs!$B$23+((C97=TRUE)*(F97-Calc!F24)))/100)/2</f>
        <v/>
      </c>
      <c r="M79">
        <f>L79*(1+(Inputs!$B$10+0+B105)/100)</f>
        <v/>
      </c>
      <c r="N79">
        <f>L79*(1-MIN((Inputs!$B$9+0+B100),100)/100)+M79*(MIN((Inputs!$B$9+0+B100),100)/100)</f>
        <v/>
      </c>
      <c r="O79">
        <f>(1-Summary!$B$55)*T79+Summary!$B$55*V79</f>
        <v/>
      </c>
      <c r="P79">
        <f>IF(B110=0,0,O79/B110)</f>
        <v/>
      </c>
      <c r="Q79">
        <f>IFERROR(1/IF(Inputs!$B$38="pvp",15,MAX(0.1,Skills!D6-IF(Skills!E6=TRUE,Inputs!$B$32,0))),0)</f>
        <v/>
      </c>
      <c r="R79">
        <f>IF(AND(Inputs!$B$38&lt;&gt;"pvp",Inputs!$B$43&gt;0),IF(MAX(0,Inputs!$B$43-B107)&lt;=0,0,(INT(MAX(0,Inputs!$B$43-B107)/IF(Inputs!$B$38="pvp",15,MAX(0.1,Skills!D6-IF(Skills!E6=TRUE,Inputs!$B$32,0))))+1)),0)</f>
        <v/>
      </c>
      <c r="S79">
        <f>IFERROR(O79/N79,0)</f>
        <v/>
      </c>
      <c r="T79">
        <f>IF(C79,(H79*N79*IF(AND(Inputs!$B$38&lt;&gt;"pvp",Inputs!$B$43&gt;0),((Skills!G6*((R79-1)*IF(Skills!H6&gt;0,Skills!I6/Skills!H6,1)+IF(Skills!H6&gt;0,MIN(Skills!I6,MAX(0,MAX(0,Inputs!$B$43-B107)-((R79-1)*IF(Inputs!$B$38="pvp",15,MAX(0.1,Skills!D6-IF(Skills!E6=TRUE,Inputs!$B$32,0))))))/Skills!H6,1)))/Inputs!$B$43),G79*Q79))*IF(Inputs!$B$38="pvp",1,1+(Inputs!$B$20+0+Skills!P6)/100),0)</f>
        <v/>
      </c>
      <c r="V79">
        <f>IF(C79,(H79*N79*IF(AND(Inputs!$B$38&lt;&gt;"pvp",Inputs!$B$43&gt;0),((Skills!G6*((R79-1)*IF(Skills!H6&gt;0,Skills!I6/Skills!H6,1)+IF(Skills!H6&gt;0,MIN(Skills!I6,MAX(0,MAX(0,Inputs!$B$43-B107)-((R79-1)*IF(Inputs!$B$38="pvp",15,MAX(0.1,Skills!D6-IF(Skills!E6=TRUE,Inputs!$B$32,0))))))/Skills!H6,1)))/Inputs!$B$43),G79*Q79))*IF(Inputs!$B$38="pvp",1,(1+(Inputs!$B$21+Skills!Q6)/100)*(MIN(Skills!R6,Inputs!$B$37))),0)</f>
        <v/>
      </c>
    </row>
    <row r="80">
      <c r="A80">
        <f>Skills!A7</f>
        <v/>
      </c>
      <c r="B80">
        <f>Skills!B7</f>
        <v/>
      </c>
      <c r="C80">
        <f>Inputs!$B$3&gt;=107</f>
        <v/>
      </c>
      <c r="D80">
        <f>IF(Skills!C7=1,60+Inputs!$B$25+Inputs!$B$29,IF(Skills!C7=2,90+Inputs!$B$26+Inputs!$B$29,IF(Skills!C7=3,120+Inputs!$B$27+Inputs!$B$29,MAX(0,(Inputs!$B$3-100)*3)+Inputs!$B$28+Inputs!$B$29)))</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((Inputs!$B$6*(1+Inputs!$B$7/100))+(((Inputs!$B$12*(1+(Inputs!$B$13+1)/100))-(Inputs!$B$12*(1+Inputs!$B$13/100)))+0.25*(Inputs!$B$14-Inputs!$B$14))*(1+Inputs!$B$7/100))*(F80/100)</f>
        <v/>
      </c>
      <c r="K80">
        <f>J80*(1+((Inputs!$B$12*(1+(Inputs!$B$13+1)/100))*0.01+Inputs!$B$14*0.0025)/100)*(1+Inputs!$B$15/100)*(1+Inputs!$B$16/100)*(5000/(6000+Inputs!$B$42*(1-(Inputs!$B$19+0)/100)))*(1+(Inputs!$B$24+0+B106)/100)*(1+(IF(Skills!A7="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80)</f>
        <v/>
      </c>
      <c r="L80">
        <f>K80*(MIN(Inputs!$B$22+((C95=TRUE)*(F95-Calc!F22)),Inputs!$B$23+((C97=TRUE)*(F97-Calc!F24)))/100+(Inputs!$B$23+((C97=TRUE)*(F97-Calc!F24)))/100)/2</f>
        <v/>
      </c>
      <c r="M80">
        <f>L80*(1+(Inputs!$B$10+0+B105)/100)</f>
        <v/>
      </c>
      <c r="N80">
        <f>L80*(1-MIN((Inputs!$B$9+0+B100),100)/100)+M80*(MIN((Inputs!$B$9+0+B100),100)/100)</f>
        <v/>
      </c>
      <c r="O80">
        <f>(1-Summary!$B$55)*T80+Summary!$B$55*V80</f>
        <v/>
      </c>
      <c r="P80">
        <f>IF(B110=0,0,O80/B110)</f>
        <v/>
      </c>
      <c r="Q80">
        <f>IFERROR(1/IF(Inputs!$B$38="pvp",15,MAX(0.1,Skills!D7-IF(Skills!E7=TRUE,Inputs!$B$32,0))),0)</f>
        <v/>
      </c>
      <c r="R80">
        <f>IF(AND(Inputs!$B$38&lt;&gt;"pvp",Inputs!$B$43&gt;0),IF(MAX(0,Inputs!$B$43-B107)&lt;=0,0,(INT(MAX(0,Inputs!$B$43-B107)/IF(Inputs!$B$38="pvp",15,MAX(0.1,Skills!D7-IF(Skills!E7=TRUE,Inputs!$B$32,0))))+1)),0)</f>
        <v/>
      </c>
      <c r="S80">
        <f>IFERROR(O80/N80,0)</f>
        <v/>
      </c>
      <c r="T80">
        <f>IF(C80,(H80*N80*IF(AND(Inputs!$B$38&lt;&gt;"pvp",Inputs!$B$43&gt;0),((Skills!G7*((R80-1)*IF(Skills!H7&gt;0,Skills!I7/Skills!H7,1)+IF(Skills!H7&gt;0,MIN(Skills!I7,MAX(0,MAX(0,Inputs!$B$43-B107)-((R80-1)*IF(Inputs!$B$38="pvp",15,MAX(0.1,Skills!D7-IF(Skills!E7=TRUE,Inputs!$B$32,0))))))/Skills!H7,1)))/Inputs!$B$43),G80*Q80))*IF(Inputs!$B$38="pvp",1,1+(Inputs!$B$20+0+Skills!P7)/100),0)</f>
        <v/>
      </c>
      <c r="V80">
        <f>IF(C80,(H80*N80*IF(AND(Inputs!$B$38&lt;&gt;"pvp",Inputs!$B$43&gt;0),((Skills!G7*((R80-1)*IF(Skills!H7&gt;0,Skills!I7/Skills!H7,1)+IF(Skills!H7&gt;0,MIN(Skills!I7,MAX(0,MAX(0,Inputs!$B$43-B107)-((R80-1)*IF(Inputs!$B$38="pvp",15,MAX(0.1,Skills!D7-IF(Skills!E7=TRUE,Inputs!$B$32,0))))))/Skills!H7,1)))/Inputs!$B$43),G80*Q80))*IF(Inputs!$B$38="pvp",1,(1+(Inputs!$B$21+Skills!Q7)/100)*(MIN(Skills!R7,Inputs!$B$37))),0)</f>
        <v/>
      </c>
    </row>
    <row r="81">
      <c r="A81">
        <f>Skills!A8</f>
        <v/>
      </c>
      <c r="B81">
        <f>Skills!B8</f>
        <v/>
      </c>
      <c r="C81">
        <f>Inputs!$B$3&gt;=107</f>
        <v/>
      </c>
      <c r="D81">
        <f>IF(Skills!C8=1,60+Inputs!$B$25+Inputs!$B$29,IF(Skills!C8=2,90+Inputs!$B$26+Inputs!$B$29,IF(Skills!C8=3,120+Inputs!$B$27+Inputs!$B$29,MAX(0,(Inputs!$B$3-100)*3)+Inputs!$B$28+Inputs!$B$29)))</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((Inputs!$B$6*(1+Inputs!$B$7/100))+(((Inputs!$B$12*(1+(Inputs!$B$13+1)/100))-(Inputs!$B$12*(1+Inputs!$B$13/100)))+0.25*(Inputs!$B$14-Inputs!$B$14))*(1+Inputs!$B$7/100))*(F81/100)</f>
        <v/>
      </c>
      <c r="K81">
        <f>J81*(1+((Inputs!$B$12*(1+(Inputs!$B$13+1)/100))*0.01+Inputs!$B$14*0.0025)/100)*(1+Inputs!$B$15/100)*(1+Inputs!$B$16/100)*(5000/(6000+Inputs!$B$42*(1-(Inputs!$B$19+0)/100)))*(1+(Inputs!$B$24+0+B106)/100)*(1+(IF(Skills!A8="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81)</f>
        <v/>
      </c>
      <c r="L81">
        <f>K81*(MIN(Inputs!$B$22+((C95=TRUE)*(F95-Calc!F22)),Inputs!$B$23+((C97=TRUE)*(F97-Calc!F24)))/100+(Inputs!$B$23+((C97=TRUE)*(F97-Calc!F24)))/100)/2</f>
        <v/>
      </c>
      <c r="M81">
        <f>L81*(1+(Inputs!$B$10+0+B105)/100)</f>
        <v/>
      </c>
      <c r="N81">
        <f>L81*(1-MIN((Inputs!$B$9+0+B100),100)/100)+M81*(MIN((Inputs!$B$9+0+B100),100)/100)</f>
        <v/>
      </c>
      <c r="O81">
        <f>(1-Summary!$B$55)*T81+Summary!$B$55*V81</f>
        <v/>
      </c>
      <c r="P81">
        <f>IF(B110=0,0,O81/B110)</f>
        <v/>
      </c>
      <c r="Q81">
        <f>IFERROR(1/IF(Inputs!$B$38="pvp",15,MAX(0.1,Skills!D8-IF(Skills!E8=TRUE,Inputs!$B$32,0))),0)</f>
        <v/>
      </c>
      <c r="R81">
        <f>IF(AND(Inputs!$B$38&lt;&gt;"pvp",Inputs!$B$43&gt;0),IF(MAX(0,Inputs!$B$43-B107)&lt;=0,0,(INT(MAX(0,Inputs!$B$43-B107)/IF(Inputs!$B$38="pvp",15,MAX(0.1,Skills!D8-IF(Skills!E8=TRUE,Inputs!$B$32,0))))+1)),0)</f>
        <v/>
      </c>
      <c r="S81">
        <f>IFERROR(O81/N81,0)</f>
        <v/>
      </c>
      <c r="T81">
        <f>IF(C81,(H81*N81*IF(AND(Inputs!$B$38&lt;&gt;"pvp",Inputs!$B$43&gt;0),((Skills!G8*((R81-1)*IF(Skills!H8&gt;0,Skills!I8/Skills!H8,1)+IF(Skills!H8&gt;0,MIN(Skills!I8,MAX(0,MAX(0,Inputs!$B$43-B107)-((R81-1)*IF(Inputs!$B$38="pvp",15,MAX(0.1,Skills!D8-IF(Skills!E8=TRUE,Inputs!$B$32,0))))))/Skills!H8,1)))/Inputs!$B$43),G81*Q81))*IF(Inputs!$B$38="pvp",1,1+(Inputs!$B$20+0+Skills!P8)/100),0)</f>
        <v/>
      </c>
      <c r="V81">
        <f>IF(C81,(H81*N81*IF(AND(Inputs!$B$38&lt;&gt;"pvp",Inputs!$B$43&gt;0),((Skills!G8*((R81-1)*IF(Skills!H8&gt;0,Skills!I8/Skills!H8,1)+IF(Skills!H8&gt;0,MIN(Skills!I8,MAX(0,MAX(0,Inputs!$B$43-B107)-((R81-1)*IF(Inputs!$B$38="pvp",15,MAX(0.1,Skills!D8-IF(Skills!E8=TRUE,Inputs!$B$32,0))))))/Skills!H8,1)))/Inputs!$B$43),G81*Q81))*IF(Inputs!$B$38="pvp",1,(1+(Inputs!$B$21+Skills!Q8)/100)*(MIN(Skills!R8,Inputs!$B$37))),0)</f>
        <v/>
      </c>
    </row>
    <row r="82">
      <c r="A82">
        <f>Skills!A9</f>
        <v/>
      </c>
      <c r="B82">
        <f>Skills!B9</f>
        <v/>
      </c>
      <c r="C82">
        <f>Inputs!$B$3&gt;=125</f>
        <v/>
      </c>
      <c r="D82">
        <f>IF(Skills!C9=1,60+Inputs!$B$25+Inputs!$B$29,IF(Skills!C9=2,90+Inputs!$B$26+Inputs!$B$29,IF(Skills!C9=3,120+Inputs!$B$27+Inputs!$B$29,MAX(0,(Inputs!$B$3-100)*3)+Inputs!$B$28+Inputs!$B$29)))</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((Inputs!$B$6*(1+Inputs!$B$7/100))+(((Inputs!$B$12*(1+(Inputs!$B$13+1)/100))-(Inputs!$B$12*(1+Inputs!$B$13/100)))+0.25*(Inputs!$B$14-Inputs!$B$14))*(1+Inputs!$B$7/100))*(F82/100)</f>
        <v/>
      </c>
      <c r="K82">
        <f>J82*(1+((Inputs!$B$12*(1+(Inputs!$B$13+1)/100))*0.01+Inputs!$B$14*0.0025)/100)*(1+Inputs!$B$15/100)*(1+Inputs!$B$16/100)*(5000/(6000+Inputs!$B$42*(1-(Inputs!$B$19+0)/100)))*(1+(Inputs!$B$24+0+B106)/100)*(1+(IF(Skills!A9="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82)</f>
        <v/>
      </c>
      <c r="L82">
        <f>K82*(MIN(Inputs!$B$22+((C95=TRUE)*(F95-Calc!F22)),Inputs!$B$23+((C97=TRUE)*(F97-Calc!F24)))/100+(Inputs!$B$23+((C97=TRUE)*(F97-Calc!F24)))/100)/2</f>
        <v/>
      </c>
      <c r="M82">
        <f>L82*(1+(Inputs!$B$10+0+B105)/100)</f>
        <v/>
      </c>
      <c r="N82">
        <f>L82*(1-MIN((Inputs!$B$9+0+B100),100)/100)+M82*(MIN((Inputs!$B$9+0+B100),100)/100)</f>
        <v/>
      </c>
      <c r="O82">
        <f>(1-Summary!$B$55)*T82+Summary!$B$55*V82</f>
        <v/>
      </c>
      <c r="P82">
        <f>IF(B110=0,0,O82/B110)</f>
        <v/>
      </c>
      <c r="Q82">
        <f>IFERROR(1/IF(Inputs!$B$38="pvp",15,MAX(0.1,Skills!D9-IF(Skills!E9=TRUE,Inputs!$B$32,0))),0)</f>
        <v/>
      </c>
      <c r="R82">
        <f>IF(AND(Inputs!$B$38&lt;&gt;"pvp",Inputs!$B$43&gt;0),IF(MAX(0,Inputs!$B$43-B107)&lt;=0,0,(INT(MAX(0,Inputs!$B$43-B107)/IF(Inputs!$B$38="pvp",15,MAX(0.1,Skills!D9-IF(Skills!E9=TRUE,Inputs!$B$32,0))))+1)),0)</f>
        <v/>
      </c>
      <c r="S82">
        <f>IFERROR(O82/N82,0)</f>
        <v/>
      </c>
      <c r="T82">
        <f>IF(C82,(H82*N82*IF(AND(Inputs!$B$38&lt;&gt;"pvp",Inputs!$B$43&gt;0),((Skills!G9*((R82-1)*IF(Skills!H9&gt;0,Skills!I9/Skills!H9,1)+IF(Skills!H9&gt;0,MIN(Skills!I9,MAX(0,MAX(0,Inputs!$B$43-B107)-((R82-1)*IF(Inputs!$B$38="pvp",15,MAX(0.1,Skills!D9-IF(Skills!E9=TRUE,Inputs!$B$32,0))))))/Skills!H9,1)))/Inputs!$B$43),G82*Q82))*IF(Inputs!$B$38="pvp",1,1+(Inputs!$B$20+0+Skills!P9)/100),0)</f>
        <v/>
      </c>
      <c r="V82">
        <f>IF(C82,(H82*N82*IF(AND(Inputs!$B$38&lt;&gt;"pvp",Inputs!$B$43&gt;0),((Skills!G9*((R82-1)*IF(Skills!H9&gt;0,Skills!I9/Skills!H9,1)+IF(Skills!H9&gt;0,MIN(Skills!I9,MAX(0,MAX(0,Inputs!$B$43-B107)-((R82-1)*IF(Inputs!$B$38="pvp",15,MAX(0.1,Skills!D9-IF(Skills!E9=TRUE,Inputs!$B$32,0))))))/Skills!H9,1)))/Inputs!$B$43),G82*Q82))*IF(Inputs!$B$38="pvp",1,(1+(Inputs!$B$21+Skills!Q9)/100)*(MIN(Skills!R9,Inputs!$B$37))),0)</f>
        <v/>
      </c>
    </row>
    <row r="83">
      <c r="A83">
        <f>Skills!A10</f>
        <v/>
      </c>
      <c r="B83">
        <f>Skills!B10</f>
        <v/>
      </c>
      <c r="C83">
        <f>Inputs!$B$3&gt;=117</f>
        <v/>
      </c>
      <c r="D83">
        <f>IF(Skills!C10=1,60+Inputs!$B$25+Inputs!$B$29,IF(Skills!C10=2,90+Inputs!$B$26+Inputs!$B$29,IF(Skills!C10=3,120+Inputs!$B$27+Inputs!$B$29,MAX(0,(Inputs!$B$3-100)*3)+Inputs!$B$28+Inputs!$B$29)))</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((Inputs!$B$6*(1+Inputs!$B$7/100))+(((Inputs!$B$12*(1+(Inputs!$B$13+1)/100))-(Inputs!$B$12*(1+Inputs!$B$13/100)))+0.25*(Inputs!$B$14-Inputs!$B$14))*(1+Inputs!$B$7/100))*(F83/100)</f>
        <v/>
      </c>
      <c r="K83">
        <f>J83*(1+((Inputs!$B$12*(1+(Inputs!$B$13+1)/100))*0.01+Inputs!$B$14*0.0025)/100)*(1+Inputs!$B$15/100)*(1+Inputs!$B$16/100)*(5000/(6000+Inputs!$B$42*(1-(Inputs!$B$19+0)/100)))*(1+(Inputs!$B$24+0+B106)/100)*(1+(IF(Skills!A10="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83)</f>
        <v/>
      </c>
      <c r="L83">
        <f>K83*(MIN(Inputs!$B$22+((C95=TRUE)*(F95-Calc!F22)),Inputs!$B$23+((C97=TRUE)*(F97-Calc!F24)))/100+(Inputs!$B$23+((C97=TRUE)*(F97-Calc!F24)))/100)/2</f>
        <v/>
      </c>
      <c r="M83">
        <f>L83*(1+(Inputs!$B$10+0+B105)/100)</f>
        <v/>
      </c>
      <c r="N83">
        <f>L83*(1-MIN((Inputs!$B$9+0+B100),100)/100)+M83*(MIN((Inputs!$B$9+0+B100),100)/100)</f>
        <v/>
      </c>
      <c r="O83">
        <f>(1-Summary!$B$55)*T83+Summary!$B$55*V83</f>
        <v/>
      </c>
      <c r="P83">
        <f>IF(B110=0,0,O83/B110)</f>
        <v/>
      </c>
      <c r="Q83">
        <f>IFERROR(1/IF(Inputs!$B$38="pvp",15,MAX(0.1,Skills!D10-IF(Skills!E10=TRUE,Inputs!$B$32,0))),0)</f>
        <v/>
      </c>
      <c r="R83">
        <f>IF(AND(Inputs!$B$38&lt;&gt;"pvp",Inputs!$B$43&gt;0),IF(MAX(0,Inputs!$B$43-B107)&lt;=0,0,(INT(MAX(0,Inputs!$B$43-B107)/IF(Inputs!$B$38="pvp",15,MAX(0.1,Skills!D10-IF(Skills!E10=TRUE,Inputs!$B$32,0))))+1)),0)</f>
        <v/>
      </c>
      <c r="S83">
        <f>IFERROR(O83/N83,0)</f>
        <v/>
      </c>
      <c r="T83">
        <f>IF(C83,(H83*N83*IF(AND(Inputs!$B$38&lt;&gt;"pvp",Inputs!$B$43&gt;0),((Skills!G10*((R83-1)*IF(Skills!H10&gt;0,Skills!I10/Skills!H10,1)+IF(Skills!H10&gt;0,MIN(Skills!I10,MAX(0,MAX(0,Inputs!$B$43-B107)-((R83-1)*IF(Inputs!$B$38="pvp",15,MAX(0.1,Skills!D10-IF(Skills!E10=TRUE,Inputs!$B$32,0))))))/Skills!H10,1)))/Inputs!$B$43),G83*Q83))*IF(Inputs!$B$38="pvp",1,1+(Inputs!$B$20+0+Skills!P10)/100),0)</f>
        <v/>
      </c>
      <c r="V83">
        <f>IF(C83,(H83*N83*IF(AND(Inputs!$B$38&lt;&gt;"pvp",Inputs!$B$43&gt;0),((Skills!G10*((R83-1)*IF(Skills!H10&gt;0,Skills!I10/Skills!H10,1)+IF(Skills!H10&gt;0,MIN(Skills!I10,MAX(0,MAX(0,Inputs!$B$43-B107)-((R83-1)*IF(Inputs!$B$38="pvp",15,MAX(0.1,Skills!D10-IF(Skills!E10=TRUE,Inputs!$B$32,0))))))/Skills!H10,1)))/Inputs!$B$43),G83*Q83))*IF(Inputs!$B$38="pvp",1,(1+(Inputs!$B$21+Skills!Q10)/100)*(MIN(Skills!R10,Inputs!$B$37))),0)</f>
        <v/>
      </c>
    </row>
    <row r="84">
      <c r="A84">
        <f>Skills!A11</f>
        <v/>
      </c>
      <c r="B84">
        <f>Skills!B11</f>
        <v/>
      </c>
      <c r="C84">
        <f>Inputs!$B$3&gt;=63</f>
        <v/>
      </c>
      <c r="D84">
        <f>IF(Skills!C11=1,60+Inputs!$B$25+Inputs!$B$29,IF(Skills!C11=2,90+Inputs!$B$26+Inputs!$B$29,IF(Skills!C11=3,120+Inputs!$B$27+Inputs!$B$29,MAX(0,(Inputs!$B$3-100)*3)+Inputs!$B$28+Inputs!$B$29)))</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((Inputs!$B$6*(1+Inputs!$B$7/100))+(((Inputs!$B$12*(1+(Inputs!$B$13+1)/100))-(Inputs!$B$12*(1+Inputs!$B$13/100)))+0.25*(Inputs!$B$14-Inputs!$B$14))*(1+Inputs!$B$7/100))*(F84/100)</f>
        <v/>
      </c>
      <c r="K84">
        <f>J84*(1+((Inputs!$B$12*(1+(Inputs!$B$13+1)/100))*0.01+Inputs!$B$14*0.0025)/100)*(1+Inputs!$B$15/100)*(1+Inputs!$B$16/100)*(5000/(6000+Inputs!$B$42*(1-(Inputs!$B$19+0)/100)))*(1+(Inputs!$B$24+0+B106)/100)*(1+1.5*IF(C85=TRUE,F85,0)/100)*(1+(IF(Skills!A11="BLAST",Inputs!$B$17+((C94=TRUE)*(F94-Calc!F21)),Inputs!$B$18+((C96=TRUE)*(F96-Calc!F23))))/100)*((1+(((C86=TRUE)*F86*MIN(1,Skills!T13*(Skills!J13/100)*B104))+((C91=TRUE)*F91*IF(AND(Inputs!$B$38&lt;&gt;"pvp",Inputs!$B$43&gt;0),(((R91-1)*(Skills!T18*(1+Inputs!$B$34/100))+MIN((Skills!T18*(1+Inputs!$B$34/100)),MAX(0,Inputs!$B$43-((R91-1)*Skills!D18))))/Inputs!$B$43),IF(Inputs!$B$38="pvp",MIN((Skills!T18*(1+Inputs!$B$34/100)),15)/15,(Skills!T18*(1+Inputs!$B$34/100))/Skills!D18)))+0)/100)*I84)</f>
        <v/>
      </c>
      <c r="L84">
        <f>K84*(MIN(Inputs!$B$22+((C95=TRUE)*(F95-Calc!F22)),Inputs!$B$23+((C97=TRUE)*(F97-Calc!F24)))/100+(Inputs!$B$23+((C97=TRUE)*(F97-Calc!F24)))/100)/2</f>
        <v/>
      </c>
      <c r="M84">
        <f>L84*(1+(Inputs!$B$10+0+B105)/100)</f>
        <v/>
      </c>
      <c r="N84">
        <f>L84*(1-MIN((Inputs!$B$9+0+B100),100)/100)+M84*(MIN((Inputs!$B$9+0+B100),100)/100)</f>
        <v/>
      </c>
      <c r="O84">
        <f>(1-Summary!$B$55)*T84+Summary!$B$55*V84</f>
        <v/>
      </c>
      <c r="P84">
        <f>IF(B110=0,0,O84/B110)</f>
        <v/>
      </c>
      <c r="Q84">
        <f>IFERROR(1/IF(Inputs!$B$38="pvp",15,MAX(0.1,Skills!D11-IF(Skills!E11=TRUE,Inputs!$B$32,0))),0)</f>
        <v/>
      </c>
      <c r="R84">
        <f>IF(AND(Inputs!$B$38&lt;&gt;"pvp",Inputs!$B$43&gt;0),IF(MAX(0,Inputs!$B$43-B107)&lt;=0,0,(INT(MAX(0,Inputs!$B$43-B107)/IF(Inputs!$B$38="pvp",15,MAX(0.1,Skills!D11-IF(Skills!E11=TRUE,Inputs!$B$32,0))))+1)),0)</f>
        <v/>
      </c>
      <c r="S84">
        <f>IFERROR(O84/N84,0)</f>
        <v/>
      </c>
      <c r="T84">
        <f>IF(C84,(H84*N84*IF(AND(Inputs!$B$38&lt;&gt;"pvp",Inputs!$B$43&gt;0),((Skills!G11*((R84-1)*IF(Skills!H11&gt;0,Skills!I11/Skills!H11,1)+IF(Skills!H11&gt;0,MIN(Skills!I11,MAX(0,MAX(0,Inputs!$B$43-B107)-((R84-1)*IF(Inputs!$B$38="pvp",15,MAX(0.1,Skills!D11-IF(Skills!E11=TRUE,Inputs!$B$32,0))))))/Skills!H11,1)))/Inputs!$B$43),G84*Q84))*IF(Inputs!$B$38="pvp",1,1+(Inputs!$B$20+0+Skills!P11)/100),0)</f>
        <v/>
      </c>
      <c r="V84">
        <f>IF(C84,(H84*N84*IF(AND(Inputs!$B$38&lt;&gt;"pvp",Inputs!$B$43&gt;0),((Skills!G11*((R84-1)*IF(Skills!H11&gt;0,Skills!I11/Skills!H11,1)+IF(Skills!H11&gt;0,MIN(Skills!I11,MAX(0,MAX(0,Inputs!$B$43-B107)-((R84-1)*IF(Inputs!$B$38="pvp",15,MAX(0.1,Skills!D11-IF(Skills!E11=TRUE,Inputs!$B$32,0))))))/Skills!H11,1)))/Inputs!$B$43),G84*Q84))*IF(Inputs!$B$38="pvp",1,(1+(Inputs!$B$21+Skills!Q11)/100)*(MIN(Skills!R11,Inputs!$B$37))),0)</f>
        <v/>
      </c>
    </row>
    <row r="85">
      <c r="A85">
        <f>Skills!A12</f>
        <v/>
      </c>
      <c r="B85">
        <f>Skills!B12</f>
        <v/>
      </c>
      <c r="C85">
        <f>Inputs!$B$3&gt;=100</f>
        <v/>
      </c>
      <c r="D85">
        <f>IF(Skills!C12=1,60+Inputs!$B$25+Inputs!$B$29,IF(Skills!C12=2,90+Inputs!$B$26+Inputs!$B$29,IF(Skills!C12=3,120+Inputs!$B$27+Inputs!$B$29,MAX(0,(Inputs!$B$3-100)*3)+Inputs!$B$28+Inputs!$B$29)))</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IF(Skills!C13=1,60+Inputs!$B$25+Inputs!$B$29,IF(Skills!C13=2,90+Inputs!$B$26+Inputs!$B$29,IF(Skills!C13=3,120+Inputs!$B$27+Inputs!$B$29,MAX(0,(Inputs!$B$3-100)*3)+Inputs!$B$28+Inputs!$B$29)))</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(1-Summary!$B$55)*T86+Summary!$B$55*V86</f>
        <v/>
      </c>
      <c r="P86">
        <f>IF(B110=0,0,O86/B110)</f>
        <v/>
      </c>
      <c r="Q86" t="n">
        <v>0</v>
      </c>
      <c r="R86" t="n">
        <v>0</v>
      </c>
      <c r="S86">
        <f>IFERROR(O86/N86,0)</f>
        <v/>
      </c>
      <c r="T86" t="n">
        <v>0</v>
      </c>
      <c r="V86" t="n">
        <v>0</v>
      </c>
    </row>
    <row r="87">
      <c r="A87">
        <f>Skills!A14</f>
        <v/>
      </c>
      <c r="B87">
        <f>Skills!B14</f>
        <v/>
      </c>
      <c r="C87">
        <f>Inputs!$B$3&gt;=110</f>
        <v/>
      </c>
      <c r="D87">
        <f>IF(Skills!C14=1,60+Inputs!$B$25+Inputs!$B$29,IF(Skills!C14=2,90+Inputs!$B$26+Inputs!$B$29,IF(Skills!C14=3,120+Inputs!$B$27+Inputs!$B$29,MAX(0,(Inputs!$B$3-100)*3)+Inputs!$B$28+Inputs!$B$29)))</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(1-Summary!$B$55)*T87+Summary!$B$55*V87</f>
        <v/>
      </c>
      <c r="P87">
        <f>IF(B110=0,0,O87/B110)</f>
        <v/>
      </c>
      <c r="Q87" t="n">
        <v>0</v>
      </c>
      <c r="R87" t="n">
        <v>0</v>
      </c>
      <c r="S87">
        <f>IFERROR(O87/N87,0)</f>
        <v/>
      </c>
      <c r="T87" t="n">
        <v>0</v>
      </c>
      <c r="V87" t="n">
        <v>0</v>
      </c>
    </row>
    <row r="88">
      <c r="A88">
        <f>Skills!A15</f>
        <v/>
      </c>
      <c r="B88">
        <f>Skills!B15</f>
        <v/>
      </c>
      <c r="C88">
        <f>Inputs!$B$3&gt;=75</f>
        <v/>
      </c>
      <c r="D88">
        <f>IF(Skills!C15=1,60+Inputs!$B$25+Inputs!$B$29,IF(Skills!C15=2,90+Inputs!$B$26+Inputs!$B$29,IF(Skills!C15=3,120+Inputs!$B$27+Inputs!$B$29,MAX(0,(Inputs!$B$3-100)*3)+Inputs!$B$28+Inputs!$B$29)))</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(1-Summary!$B$55)*T88+Summary!$B$55*V88</f>
        <v/>
      </c>
      <c r="P88">
        <f>IF(B110=0,0,O88/B110)</f>
        <v/>
      </c>
      <c r="Q88">
        <f>IFERROR(1/IF(Inputs!$B$38="pvp",15,MAX(0.1,Skills!D15-IF(Skills!E15=TRUE,Inputs!$B$32,0))),0)</f>
        <v/>
      </c>
      <c r="R88">
        <f>IF(AND(Inputs!$B$38&lt;&gt;"pvp",Inputs!$B$43&gt;0),IF(Inputs!$B$43&lt;=0,0,(INT(Inputs!$B$43/IF(Inputs!$B$38="pvp",15,MAX(0.1,Skills!D15-IF(Skills!E15=TRUE,Inputs!$B$32,0))))+1)),0)</f>
        <v/>
      </c>
      <c r="S88">
        <f>IFERROR(O88/N88,0)</f>
        <v/>
      </c>
      <c r="T88" t="n">
        <v>0</v>
      </c>
      <c r="V88" t="n">
        <v>0</v>
      </c>
    </row>
    <row r="89">
      <c r="A89">
        <f>Skills!A16</f>
        <v/>
      </c>
      <c r="B89">
        <f>Skills!B16</f>
        <v/>
      </c>
      <c r="C89">
        <f>Inputs!$B$3&gt;=105</f>
        <v/>
      </c>
      <c r="D89">
        <f>IF(Skills!C16=1,60+Inputs!$B$25+Inputs!$B$29,IF(Skills!C16=2,90+Inputs!$B$26+Inputs!$B$29,IF(Skills!C16=3,120+Inputs!$B$27+Inputs!$B$29,MAX(0,(Inputs!$B$3-100)*3)+Inputs!$B$28+Inputs!$B$29)))</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(1-Summary!$B$55)*T89+Summary!$B$55*V89</f>
        <v/>
      </c>
      <c r="P89">
        <f>IF(B110=0,0,O89/B110)</f>
        <v/>
      </c>
      <c r="Q89">
        <f>IFERROR(1/IF(Inputs!$B$38="pvp",15,MAX(0.1,Skills!D16-IF(Skills!E16=TRUE,Inputs!$B$32,0))),0)</f>
        <v/>
      </c>
      <c r="R89">
        <f>IF(AND(Inputs!$B$38&lt;&gt;"pvp",Inputs!$B$43&gt;0),IF(Inputs!$B$43&lt;=0,0,(INT(Inputs!$B$43/IF(Inputs!$B$38="pvp",15,MAX(0.1,Skills!D16-IF(Skills!E16=TRUE,Inputs!$B$32,0))))+1)),0)</f>
        <v/>
      </c>
      <c r="S89">
        <f>IFERROR(O89/N89,0)</f>
        <v/>
      </c>
      <c r="T89" t="n">
        <v>0</v>
      </c>
      <c r="V89" t="n">
        <v>0</v>
      </c>
    </row>
    <row r="90">
      <c r="A90">
        <f>Skills!A17</f>
        <v/>
      </c>
      <c r="B90">
        <f>Skills!B17</f>
        <v/>
      </c>
      <c r="C90">
        <f>Inputs!$B$3&gt;=115</f>
        <v/>
      </c>
      <c r="D90">
        <f>IF(Skills!C17=1,60+Inputs!$B$25+Inputs!$B$29,IF(Skills!C17=2,90+Inputs!$B$26+Inputs!$B$29,IF(Skills!C17=3,120+Inputs!$B$27+Inputs!$B$29,MAX(0,(Inputs!$B$3-100)*3)+Inputs!$B$28+Inputs!$B$29)))</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(1-Summary!$B$55)*T90+Summary!$B$55*V90</f>
        <v/>
      </c>
      <c r="P90">
        <f>IF(B110=0,0,O90/B110)</f>
        <v/>
      </c>
      <c r="Q90">
        <f>IFERROR(1/IF(Inputs!$B$38="pvp",15,MAX(0.1,Skills!D17-IF(Skills!E17=TRUE,Inputs!$B$32,0))),0)</f>
        <v/>
      </c>
      <c r="R90">
        <f>IF(AND(Inputs!$B$38&lt;&gt;"pvp",Inputs!$B$43&gt;0),IF(Inputs!$B$43&lt;=0,0,(INT(Inputs!$B$43/IF(Inputs!$B$38="pvp",15,MAX(0.1,Skills!D17-IF(Skills!E17=TRUE,Inputs!$B$32,0))))+1)),0)</f>
        <v/>
      </c>
      <c r="S90">
        <f>IFERROR(O90/N90,0)</f>
        <v/>
      </c>
      <c r="T90" t="n">
        <v>0</v>
      </c>
      <c r="V90" t="n">
        <v>0</v>
      </c>
    </row>
    <row r="91">
      <c r="A91">
        <f>Skills!A18</f>
        <v/>
      </c>
      <c r="B91">
        <f>Skills!B18</f>
        <v/>
      </c>
      <c r="C91">
        <f>Inputs!$B$3&gt;=74</f>
        <v/>
      </c>
      <c r="D91">
        <f>IF(Skills!C18=1,60+Inputs!$B$25+Inputs!$B$29,IF(Skills!C18=2,90+Inputs!$B$26+Inputs!$B$29,IF(Skills!C18=3,120+Inputs!$B$27+Inputs!$B$29,MAX(0,(Inputs!$B$3-100)*3)+Inputs!$B$28+Inputs!$B$29)))</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(1-Summary!$B$55)*T91+Summary!$B$55*V91</f>
        <v/>
      </c>
      <c r="P91">
        <f>IF(B110=0,0,O91/B110)</f>
        <v/>
      </c>
      <c r="Q91">
        <f>IFERROR(1/IF(Inputs!$B$38="pvp",15,MAX(0.1,Skills!D18-IF(Skills!E18=TRUE,Inputs!$B$32,0))),0)</f>
        <v/>
      </c>
      <c r="R91">
        <f>IF(AND(Inputs!$B$38&lt;&gt;"pvp",Inputs!$B$43&gt;0),IF(Inputs!$B$43&lt;=0,0,(INT(Inputs!$B$43/IF(Inputs!$B$38="pvp",15,MAX(0.1,Skills!D18-IF(Skills!E18=TRUE,Inputs!$B$32,0))))+1)),0)</f>
        <v/>
      </c>
      <c r="S91">
        <f>IFERROR(O91/N91,0)</f>
        <v/>
      </c>
      <c r="T91" t="n">
        <v>0</v>
      </c>
      <c r="V91" t="n">
        <v>0</v>
      </c>
    </row>
    <row r="92">
      <c r="A92">
        <f>Skills!A19</f>
        <v/>
      </c>
      <c r="B92">
        <f>Skills!B19</f>
        <v/>
      </c>
      <c r="C92">
        <f>TRUE</f>
        <v/>
      </c>
      <c r="D92">
        <f>IF(Skills!C19=1,60+Inputs!$B$25+Inputs!$B$29,IF(Skills!C19=2,90+Inputs!$B$26+Inputs!$B$29,IF(Skills!C19=3,120+Inputs!$B$27+Inputs!$B$29,MAX(0,(Inputs!$B$3-100)*3)+Inputs!$B$28+Inputs!$B$29)))</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(1-Summary!$B$55)*T92+Summary!$B$55*V92</f>
        <v/>
      </c>
      <c r="P92">
        <f>IF(B110=0,0,O92/B110)</f>
        <v/>
      </c>
      <c r="Q92">
        <f>IFERROR(1/IF(Inputs!$B$38="pvp",15,MAX(0.1,Skills!D19-IF(Skills!E19=TRUE,Inputs!$B$32,0))),0)</f>
        <v/>
      </c>
      <c r="R92">
        <f>IF(AND(Inputs!$B$38&lt;&gt;"pvp",Inputs!$B$43&gt;0),IF(Inputs!$B$43&lt;=0,0,(INT(Inputs!$B$43/IF(Inputs!$B$38="pvp",15,MAX(0.1,Skills!D19-IF(Skills!E19=TRUE,Inputs!$B$32,0))))+1)),0)</f>
        <v/>
      </c>
      <c r="S92">
        <f>IFERROR(O92/N92,0)</f>
        <v/>
      </c>
      <c r="T92" t="n">
        <v>0</v>
      </c>
      <c r="V92" t="n">
        <v>0</v>
      </c>
    </row>
    <row r="93">
      <c r="A93">
        <f>Skills!A20</f>
        <v/>
      </c>
      <c r="B93">
        <f>Skills!B20</f>
        <v/>
      </c>
      <c r="C93">
        <f>Inputs!$B$3&gt;=33</f>
        <v/>
      </c>
      <c r="D93">
        <f>IF(Skills!C20=1,60+Inputs!$B$25+Inputs!$B$29,IF(Skills!C20=2,90+Inputs!$B$26+Inputs!$B$29,IF(Skills!C20=3,120+Inputs!$B$27+Inputs!$B$29,MAX(0,(Inputs!$B$3-100)*3)+Inputs!$B$28+Inputs!$B$29)))</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(1-Summary!$B$55)*T93+Summary!$B$55*V93</f>
        <v/>
      </c>
      <c r="P93">
        <f>IF(B110=0,0,O93/B110)</f>
        <v/>
      </c>
      <c r="Q93" t="n">
        <v>0</v>
      </c>
      <c r="R93" t="n">
        <v>0</v>
      </c>
      <c r="S93">
        <f>IFERROR(O93/N93,0)</f>
        <v/>
      </c>
      <c r="T93" t="n">
        <v>0</v>
      </c>
      <c r="V93" t="n">
        <v>0</v>
      </c>
    </row>
    <row r="94">
      <c r="A94">
        <f>Skills!A21</f>
        <v/>
      </c>
      <c r="B94">
        <f>Skills!B21</f>
        <v/>
      </c>
      <c r="C94">
        <f>Inputs!$B$3&gt;=38</f>
        <v/>
      </c>
      <c r="D94">
        <f>IF(Skills!C21=1,60+Inputs!$B$25+Inputs!$B$29,IF(Skills!C21=2,90+Inputs!$B$26+Inputs!$B$29,IF(Skills!C21=3,120+Inputs!$B$27+Inputs!$B$29,MAX(0,(Inputs!$B$3-100)*3)+Inputs!$B$28+Inputs!$B$29)))</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(1-Summary!$B$55)*T94+Summary!$B$55*V94</f>
        <v/>
      </c>
      <c r="P94">
        <f>IF(B110=0,0,O94/B110)</f>
        <v/>
      </c>
      <c r="Q94" t="n">
        <v>0</v>
      </c>
      <c r="R94" t="n">
        <v>0</v>
      </c>
      <c r="S94">
        <f>IFERROR(O94/N94,0)</f>
        <v/>
      </c>
      <c r="T94" t="n">
        <v>0</v>
      </c>
      <c r="V94" t="n">
        <v>0</v>
      </c>
    </row>
    <row r="95">
      <c r="A95">
        <f>Skills!A22</f>
        <v/>
      </c>
      <c r="B95">
        <f>Skills!B22</f>
        <v/>
      </c>
      <c r="C95">
        <f>Inputs!$B$3&gt;=43</f>
        <v/>
      </c>
      <c r="D95">
        <f>IF(Skills!C22=1,60+Inputs!$B$25+Inputs!$B$29,IF(Skills!C22=2,90+Inputs!$B$26+Inputs!$B$29,IF(Skills!C22=3,120+Inputs!$B$27+Inputs!$B$29,MAX(0,(Inputs!$B$3-100)*3)+Inputs!$B$28+Inputs!$B$29)))</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(1-Summary!$B$55)*T95+Summary!$B$55*V95</f>
        <v/>
      </c>
      <c r="P95">
        <f>IF(B110=0,0,O95/B110)</f>
        <v/>
      </c>
      <c r="Q95" t="n">
        <v>0</v>
      </c>
      <c r="R95" t="n">
        <v>0</v>
      </c>
      <c r="S95">
        <f>IFERROR(O95/N95,0)</f>
        <v/>
      </c>
      <c r="T95" t="n">
        <v>0</v>
      </c>
      <c r="V95" t="n">
        <v>0</v>
      </c>
    </row>
    <row r="96">
      <c r="A96">
        <f>Skills!A23</f>
        <v/>
      </c>
      <c r="B96">
        <f>Skills!B23</f>
        <v/>
      </c>
      <c r="C96">
        <f>Inputs!$B$3&gt;=120</f>
        <v/>
      </c>
      <c r="D96">
        <f>IF(Skills!C23=1,60+Inputs!$B$25+Inputs!$B$29,IF(Skills!C23=2,90+Inputs!$B$26+Inputs!$B$29,IF(Skills!C23=3,120+Inputs!$B$27+Inputs!$B$29,MAX(0,(Inputs!$B$3-100)*3)+Inputs!$B$28+Inputs!$B$29)))</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(1-Summary!$B$55)*T96+Summary!$B$55*V96</f>
        <v/>
      </c>
      <c r="P96">
        <f>IF(B110=0,0,O96/B110)</f>
        <v/>
      </c>
      <c r="Q96" t="n">
        <v>0</v>
      </c>
      <c r="R96" t="n">
        <v>0</v>
      </c>
      <c r="S96">
        <f>IFERROR(O96/N96,0)</f>
        <v/>
      </c>
      <c r="T96" t="n">
        <v>0</v>
      </c>
      <c r="V96" t="n">
        <v>0</v>
      </c>
    </row>
    <row r="97">
      <c r="A97">
        <f>Skills!A24</f>
        <v/>
      </c>
      <c r="B97">
        <f>Skills!B24</f>
        <v/>
      </c>
      <c r="C97">
        <f>Inputs!$B$3&gt;=120</f>
        <v/>
      </c>
      <c r="D97">
        <f>IF(Skills!C24=1,60+Inputs!$B$25+Inputs!$B$29,IF(Skills!C24=2,90+Inputs!$B$26+Inputs!$B$29,IF(Skills!C24=3,120+Inputs!$B$27+Inputs!$B$29,MAX(0,(Inputs!$B$3-100)*3)+Inputs!$B$28+Inputs!$B$29)))</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(1-Summary!$B$55)*T97+Summary!$B$55*V97</f>
        <v/>
      </c>
      <c r="P97">
        <f>IF(B110=0,0,O97/B110)</f>
        <v/>
      </c>
      <c r="Q97" t="n">
        <v>0</v>
      </c>
      <c r="R97" t="n">
        <v>0</v>
      </c>
      <c r="S97">
        <f>IFERROR(O97/N97,0)</f>
        <v/>
      </c>
      <c r="T97" t="n">
        <v>0</v>
      </c>
      <c r="V97" t="n">
        <v>0</v>
      </c>
    </row>
    <row r="99">
      <c r="A99" t="inlineStr">
        <is>
          <t>Attack% Bucket Multiplier</t>
        </is>
      </c>
      <c r="B99">
        <f>(1+(((C86=TRUE)*F86*MIN(1,Skills!T13*(Skills!J13/100)*B104))+((C91=TRUE)*F91*IF(AND(Inputs!$B$38&lt;&gt;"pvp",Inputs!$B$43&gt;0),(((R91-1)*(Skills!T18*(1+Inputs!$B$34/100))+MIN((Skills!T18*(1+Inputs!$B$34/100)),MAX(0,Inputs!$B$43-((R91-1)*Skills!D18))))/Inputs!$B$43),IF(Inputs!$B$38="pvp",MIN((Skills!T18*(1+Inputs!$B$34/100)),15)/15,(Skills!T18*(1+Inputs!$B$34/100))/Skills!D18)))+0)/100)</f>
        <v/>
      </c>
    </row>
    <row r="100">
      <c r="A100" t="inlineStr">
        <is>
          <t>Global Crit Rate Bonus %</t>
        </is>
      </c>
      <c r="B100" t="n">
        <v>0</v>
      </c>
    </row>
    <row r="101">
      <c r="A101" t="inlineStr">
        <is>
          <t>Attack Speed Buff Bonus %</t>
        </is>
      </c>
      <c r="B101">
        <f>((C92=TRUE)*F92*IF(AND(Inputs!$B$38&lt;&gt;"pvp",Inputs!$B$43&gt;0),(((R92-1)*(Skills!T19*(1+Inputs!$B$34/100))+MIN((Skills!T19*(1+Inputs!$B$34/100)),MAX(0,Inputs!$B$43-((R92-1)*Skills!D19))))/Inputs!$B$43),IF(Inputs!$B$38="pvp",MIN((Skills!T19*(1+Inputs!$B$34/100)),15)/15,(Skills!T19*(1+Inputs!$B$34/100))/Skills!D19)))</f>
        <v/>
      </c>
    </row>
    <row r="102">
      <c r="A102" t="inlineStr">
        <is>
          <t>Actions Per Second</t>
        </is>
      </c>
      <c r="B102">
        <f>1+MIN(150,150*(1-(1-(Inputs!$B$11+((C93=TRUE)*(F93-Calc!F20)))/150)*(1-B101/150)))/100</f>
        <v/>
      </c>
    </row>
    <row r="103">
      <c r="A103" t="inlineStr">
        <is>
          <t>Skill + Buff Cast Rate</t>
        </is>
      </c>
      <c r="B103">
        <f>IF(AND(Inputs!$B$38&lt;&gt;"pvp",Inputs!$B$43&gt;0),SUMPRODUCT((Skills!E2:E24=TRUE)*(C75:C97=TRUE)*R75:R97*Skills!F2:F24)/Inputs!$B$43,SUMPRODUCT((Skills!E2:E24=TRUE)*(C75:C97=TRUE)*Q75:Q97*Skills!F2:F24))</f>
        <v/>
      </c>
    </row>
    <row r="104">
      <c r="A104" t="inlineStr">
        <is>
          <t>Blast Casts Per Second</t>
        </is>
      </c>
      <c r="B104">
        <f>MAX(0,B102-B103)</f>
        <v/>
      </c>
    </row>
    <row r="105">
      <c r="A105" t="inlineStr">
        <is>
          <t>Global Critical Damage Bonus % (unused)</t>
        </is>
      </c>
      <c r="B105" t="n">
        <v>0</v>
      </c>
    </row>
    <row r="106">
      <c r="A106" t="inlineStr">
        <is>
          <t>Global Final Damage Bonus % (Divine Shield + Guardian + Divine Blessing + Greater Vessel of Light)</t>
        </is>
      </c>
      <c r="B106">
        <f>((C88=TRUE)*F88*IF(AND(Inputs!$B$38&lt;&gt;"pvp",Inputs!$B$43&gt;0),(((R88-1)*(Skills!T15*(1+Inputs!$B$34/100))+MIN((Skills!T15*(1+Inputs!$B$34/100)),MAX(0,Inputs!$B$43-((R88-1)*Skills!D15))))/Inputs!$B$43),IF(Inputs!$B$38="pvp",MIN((Skills!T15*(1+Inputs!$B$34/100)),15)/15,(Skills!T15*(1+Inputs!$B$34/100))/Skills!D15)))+((C89=TRUE)*F89*IF(AND(Inputs!$B$38&lt;&gt;"pvp",Inputs!$B$43&gt;0),(((R89-1)*(Skills!T16*(1+Inputs!$B$34/100))+MIN((Skills!T16*(1+Inputs!$B$34/100)),MAX(0,Inputs!$B$43-((R89-1)*Skills!D16))))/Inputs!$B$43),IF(Inputs!$B$38="pvp",MIN((Skills!T16*(1+Inputs!$B$34/100)),15)/15,(Skills!T16*(1+Inputs!$B$34/100))/Skills!D16)))+((C90=TRUE)*F90*IF(AND(Inputs!$B$38&lt;&gt;"pvp",Inputs!$B$43&gt;0),(((R90-1)*(Skills!T17*(1+Inputs!$B$34/100))+MIN((Skills!T17*(1+Inputs!$B$34/100)),MAX(0,Inputs!$B$43-((R90-1)*Skills!D17))))/Inputs!$B$43),IF(Inputs!$B$38="pvp",MIN((Skills!T17*(1+Inputs!$B$34/100)),15)/15,(Skills!T17*(1+Inputs!$B$34/100))/Skills!D17)))+((C87=TRUE)*F87*MIN(1,Skills!T13*(Skills!J13/100)*B104))</f>
        <v/>
      </c>
    </row>
    <row r="107">
      <c r="A107" t="inlineStr">
        <is>
          <t>Buff-Casting Startup Delay (s, fixed-duration only)</t>
        </is>
      </c>
      <c r="B107">
        <f>IF(AND(Inputs!$B$38&lt;&gt;"pvp",Inputs!$B$43&gt;0),SUMPRODUCT((Skills!T2:T24&gt;0)*(Skills!E2:E24=TRUE)*(C75:C97=TRUE))/B102,0)</f>
        <v/>
      </c>
    </row>
    <row r="108">
      <c r="A108" t="inlineStr">
        <is>
          <t>Boss-Only Total DPS (this block's swept value)</t>
        </is>
      </c>
      <c r="B108">
        <f>SUM(T75:T97)</f>
        <v/>
      </c>
    </row>
    <row r="109">
      <c r="A109" t="inlineStr">
        <is>
          <t>Normal-Only Total DPS (this block's swept value)</t>
        </is>
      </c>
      <c r="B109">
        <f>SUM(V75:V97)</f>
        <v/>
      </c>
    </row>
    <row r="110">
      <c r="A110" s="5" t="inlineStr">
        <is>
          <t>TOTAL DPS</t>
        </is>
      </c>
      <c r="B110" s="5">
        <f>SUM(O75:O97)</f>
        <v/>
      </c>
    </row>
    <row r="113">
      <c r="A113" s="5" t="inlineStr">
        <is>
          <t>Stat: DEX</t>
        </is>
      </c>
    </row>
    <row r="114">
      <c r="A114" s="9" t="inlineStr">
        <is>
          <t>Key</t>
        </is>
      </c>
      <c r="B114" s="9" t="inlineStr">
        <is>
          <t>Name</t>
        </is>
      </c>
      <c r="C114" s="9" t="inlineStr">
        <is>
          <t>Unlocked</t>
        </is>
      </c>
      <c r="D114" s="9" t="inlineStr">
        <is>
          <t>InputLevel</t>
        </is>
      </c>
      <c r="E114" s="9" t="inlineStr">
        <is>
          <t>Factor</t>
        </is>
      </c>
      <c r="F114" s="9" t="inlineStr">
        <is>
          <t>CoefficientPercent</t>
        </is>
      </c>
      <c r="G114" s="9" t="inlineStr">
        <is>
          <t>EffectiveHits</t>
        </is>
      </c>
      <c r="H114" s="9" t="inlineStr">
        <is>
          <t>ProcProbability</t>
        </is>
      </c>
      <c r="I114" s="9" t="inlineStr">
        <is>
          <t>MapleHeroMultiplier</t>
        </is>
      </c>
      <c r="J114" s="9" t="inlineStr">
        <is>
          <t>BaseDamage</t>
        </is>
      </c>
      <c r="K114" s="9" t="inlineStr">
        <is>
          <t>BaseHitDamage</t>
        </is>
      </c>
      <c r="L114" s="9" t="inlineStr">
        <is>
          <t>NonCritAvg</t>
        </is>
      </c>
      <c r="M114" s="9" t="inlineStr">
        <is>
          <t>CritAvg</t>
        </is>
      </c>
      <c r="N114" s="9" t="inlineStr">
        <is>
          <t>ExpectedDamage(perHit)</t>
        </is>
      </c>
      <c r="O114" s="9" t="inlineStr">
        <is>
          <t>DPS</t>
        </is>
      </c>
      <c r="P114" s="9" t="inlineStr">
        <is>
          <t>% of Total</t>
        </is>
      </c>
      <c r="Q114" s="9" t="inlineStr">
        <is>
          <t>InvCooldown</t>
        </is>
      </c>
      <c r="R114" s="9" t="inlineStr">
        <is>
          <t>CastsInFight</t>
        </is>
      </c>
      <c r="S114" s="9"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((Inputs!$B$6*(1+Inputs!$B$7/100))+(((Inputs!$B$12*(1+Inputs!$B$13/100))-(Inputs!$B$12*(1+Inputs!$B$13/100)))+0.25*((Inputs!$B$14+1)-Inputs!$B$14))*(1+Inputs!$B$7/100))*(F115/100)</f>
        <v/>
      </c>
      <c r="K115">
        <f>J115*(1+((Inputs!$B$12*(1+Inputs!$B$13/100))*0.01+(Inputs!$B$14+1)*0.0025)/100)*(1+Inputs!$B$15/100)*(1+Inputs!$B$16/100)*(5000/(6000+Inputs!$B$42*(1-(Inputs!$B$19+0)/100)))*(1+(Inputs!$B$24+0+B146)/100)*(1+(IF(Skills!A2="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115)</f>
        <v/>
      </c>
      <c r="L115">
        <f>K115*(MIN(Inputs!$B$22+((C135=TRUE)*(F135-Calc!F22)),Inputs!$B$23+((C137=TRUE)*(F137-Calc!F24)))/100+(Inputs!$B$23+((C137=TRUE)*(F137-Calc!F24)))/100)/2</f>
        <v/>
      </c>
      <c r="M115">
        <f>L115*(1+(Inputs!$B$10+0+B145)/100)</f>
        <v/>
      </c>
      <c r="N115">
        <f>L115*(1-MIN((Inputs!$B$9+0+B140),100)/100)+M115*(MIN((Inputs!$B$9+0+B140),100)/100)</f>
        <v/>
      </c>
      <c r="O115">
        <f>(1-Summary!$B$55)*T115+Summary!$B$55*V115</f>
        <v/>
      </c>
      <c r="P115">
        <f>IF(B150=0,0,O115/B150)</f>
        <v/>
      </c>
      <c r="Q115" t="n">
        <v>0</v>
      </c>
      <c r="R115" t="n">
        <v>0</v>
      </c>
      <c r="S115">
        <f>IFERROR(O115/N115,0)</f>
        <v/>
      </c>
      <c r="T115">
        <f>IF(C115,(Skills!G2*N115*B144)*IF(Inputs!$B$38="pvp",1,1+(Inputs!$B$20+0+Skills!P2)/100),0)</f>
        <v/>
      </c>
      <c r="U115">
        <f>MAX(0,(Inputs!$B$3-100)*3)+Inputs!$B$28+Inputs!$B$29</f>
        <v/>
      </c>
      <c r="V115">
        <f>IF(C115,(Skills!G2*N115*B144)*IF(Inputs!$B$38="pvp",1,(1+(Inputs!$B$21+Skills!Q2)/100)*(MIN((6+Inputs!$B$33),Inputs!$B$37))),0)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Inputs!$B$3&gt;=35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f>Skills!G4*IF(Skills!H4&gt;0,Skills!I4/Skills!H4,1)</f>
        <v/>
      </c>
      <c r="H117">
        <f>1-(1-Skills!J4/100)^Skills!K4</f>
        <v/>
      </c>
      <c r="I117" t="inlineStr">
        <is>
          <t>1</t>
        </is>
      </c>
      <c r="J117">
        <f>((Inputs!$B$6*(1+Inputs!$B$7/100))+(((Inputs!$B$12*(1+Inputs!$B$13/100))-(Inputs!$B$12*(1+Inputs!$B$13/100)))+0.25*((Inputs!$B$14+1)-Inputs!$B$14))*(1+Inputs!$B$7/100))*(F117/100)</f>
        <v/>
      </c>
      <c r="K117">
        <f>J117*(1+((Inputs!$B$12*(1+Inputs!$B$13/100))*0.01+(Inputs!$B$14+1)*0.0025)/100)*(1+Inputs!$B$15/100)*(1+Inputs!$B$16/100)*(5000/(6000+Inputs!$B$42*(1-(Inputs!$B$19+0)/100)))*(1+(Inputs!$B$24+0+B146)/100)*(1+4.0*IF(C125=TRUE,F125,0)/100)*(1+(IF(Skills!A4="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117)</f>
        <v/>
      </c>
      <c r="L117">
        <f>K117*(MIN(Inputs!$B$22+((C135=TRUE)*(F135-Calc!F22)),Inputs!$B$23+((C137=TRUE)*(F137-Calc!F24)))/100+(Inputs!$B$23+((C137=TRUE)*(F137-Calc!F24)))/100)/2</f>
        <v/>
      </c>
      <c r="M117">
        <f>L117*(1+(Inputs!$B$10+0+B145)/100)</f>
        <v/>
      </c>
      <c r="N117">
        <f>L117*(1-MIN((Inputs!$B$9+0+B140),100)/100)+M117*(MIN((Inputs!$B$9+0+B140),100)/100)</f>
        <v/>
      </c>
      <c r="O117">
        <f>(1-Summary!$B$55)*T117+Summary!$B$55*V117</f>
        <v/>
      </c>
      <c r="P117">
        <f>IF(B150=0,0,O117/B150)</f>
        <v/>
      </c>
      <c r="Q117">
        <f>IFERROR(1/IF(Inputs!$B$38="pvp",15,MAX(0.1,Skills!D4-IF(Skills!E4=TRUE,Inputs!$B$32,0))),0)</f>
        <v/>
      </c>
      <c r="R117">
        <f>IF(AND(Inputs!$B$38&lt;&gt;"pvp",Inputs!$B$43&gt;0),IF(MAX(0,Inputs!$B$43-B147)&lt;=0,0,(INT(MAX(0,Inputs!$B$43-B147)/IF(Inputs!$B$38="pvp",15,MAX(0.1,Skills!D4-IF(Skills!E4=TRUE,Inputs!$B$32,0))))+1)),0)</f>
        <v/>
      </c>
      <c r="S117">
        <f>IFERROR(O117/N117,0)</f>
        <v/>
      </c>
      <c r="T117">
        <f>IF(C117,(H117*N117*IF(AND(Inputs!$B$38&lt;&gt;"pvp",Inputs!$B$43&gt;0),((Skills!G4*((R117-1)*IF(Skills!H4&gt;0,Skills!I4/Skills!H4,1)+IF(Skills!H4&gt;0,MIN(Skills!I4,MAX(0,MAX(0,Inputs!$B$43-B147)-((R117-1)*IF(Inputs!$B$38="pvp",15,MAX(0.1,Skills!D4-IF(Skills!E4=TRUE,Inputs!$B$32,0))))))/Skills!H4,1)))/Inputs!$B$43),G117*Q117))*IF(Inputs!$B$38="pvp",1,1+(Inputs!$B$20+0+Skills!P4)/100),0)</f>
        <v/>
      </c>
      <c r="U117">
        <f>290*U116/1000</f>
        <v/>
      </c>
      <c r="V117">
        <f>IF(C117,(H117*N117*IF(AND(Inputs!$B$38&lt;&gt;"pvp",Inputs!$B$43&gt;0),((Skills!G4*((R117-1)*IF(Skills!H4&gt;0,Skills!I4/Skills!H4,1)+IF(Skills!H4&gt;0,MIN(Skills!I4,MAX(0,MAX(0,Inputs!$B$43-B147)-((R117-1)*IF(Inputs!$B$38="pvp",15,MAX(0.1,Skills!D4-IF(Skills!E4=TRUE,Inputs!$B$32,0))))))/Skills!H4,1)))/Inputs!$B$43),G117*Q117))*IF(Inputs!$B$38="pvp",1,(1+(Inputs!$B$21+Skills!Q4)/100)*(MIN(Skills!R4,Inputs!$B$37))),0)</f>
        <v/>
      </c>
    </row>
    <row r="118">
      <c r="A118">
        <f>Skills!A5</f>
        <v/>
      </c>
      <c r="B118">
        <f>Skills!B5</f>
        <v/>
      </c>
      <c r="C118">
        <f>Inputs!$B$3&gt;=66</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((Inputs!$B$6*(1+Inputs!$B$7/100))+(((Inputs!$B$12*(1+Inputs!$B$13/100))-(Inputs!$B$12*(1+Inputs!$B$13/100)))+0.25*((Inputs!$B$14+1)-Inputs!$B$14))*(1+Inputs!$B$7/100))*(F118/100)</f>
        <v/>
      </c>
      <c r="K118">
        <f>J118*(1+((Inputs!$B$12*(1+Inputs!$B$13/100))*0.01+(Inputs!$B$14+1)*0.0025)/100)*(1+Inputs!$B$15/100)*(1+Inputs!$B$16/100)*(5000/(6000+Inputs!$B$42*(1-(Inputs!$B$19+0)/100)))*(1+(Inputs!$B$24+0+B146)/100)*(1+1.0*IF(C125=TRUE,F125,0)/100)*(1+(IF(Skills!A5="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118)</f>
        <v/>
      </c>
      <c r="L118">
        <f>K118*(MIN(Inputs!$B$22+((C135=TRUE)*(F135-Calc!F22)),Inputs!$B$23+((C137=TRUE)*(F137-Calc!F24)))/100+(Inputs!$B$23+((C137=TRUE)*(F137-Calc!F24)))/100)/2</f>
        <v/>
      </c>
      <c r="M118">
        <f>L118*(1+(Inputs!$B$10+0+B145)/100)</f>
        <v/>
      </c>
      <c r="N118">
        <f>L118*(1-MIN((Inputs!$B$9+0+B140),100)/100)+M118*(MIN((Inputs!$B$9+0+B140),100)/100)</f>
        <v/>
      </c>
      <c r="O118">
        <f>(1-Summary!$B$55)*T118+Summary!$B$55*V118</f>
        <v/>
      </c>
      <c r="P118">
        <f>IF(B150=0,0,O118/B150)</f>
        <v/>
      </c>
      <c r="Q118">
        <f>IFERROR(1/IF(Inputs!$B$38="pvp",15,MAX(0.1,Skills!D5-IF(Skills!E5=TRUE,Inputs!$B$32,0))),0)</f>
        <v/>
      </c>
      <c r="R118">
        <f>IF(AND(Inputs!$B$38&lt;&gt;"pvp",Inputs!$B$43&gt;0),IF(MAX(0,Inputs!$B$43-B147)&lt;=0,0,(INT(MAX(0,Inputs!$B$43-B147)/IF(Inputs!$B$38="pvp",15,MAX(0.1,Skills!D5-IF(Skills!E5=TRUE,Inputs!$B$32,0))))+1)),0)</f>
        <v/>
      </c>
      <c r="S118">
        <f>IFERROR(O118/N118,0)</f>
        <v/>
      </c>
      <c r="T118">
        <f>IF(C118,(H118*N118*IF(AND(Inputs!$B$38&lt;&gt;"pvp",Inputs!$B$43&gt;0),((Skills!G5*((R118-1)*IF(Skills!H5&gt;0,Skills!I5/Skills!H5,1)+IF(Skills!H5&gt;0,MIN(Skills!I5,MAX(0,MAX(0,Inputs!$B$43-B147)-((R118-1)*IF(Inputs!$B$38="pvp",15,MAX(0.1,Skills!D5-IF(Skills!E5=TRUE,Inputs!$B$32,0))))))/Skills!H5,1)))/Inputs!$B$43),G118*Q118))*IF(Inputs!$B$38="pvp",1,1+(Inputs!$B$20+0+Skills!P5)/100),0)</f>
        <v/>
      </c>
      <c r="V118">
        <f>IF(C118,(H118*N118*IF(AND(Inputs!$B$38&lt;&gt;"pvp",Inputs!$B$43&gt;0),((Skills!G5*((R118-1)*IF(Skills!H5&gt;0,Skills!I5/Skills!H5,1)+IF(Skills!H5&gt;0,MIN(Skills!I5,MAX(0,MAX(0,Inputs!$B$43-B147)-((R118-1)*IF(Inputs!$B$38="pvp",15,MAX(0.1,Skills!D5-IF(Skills!E5=TRUE,Inputs!$B$32,0))))))/Skills!H5,1)))/Inputs!$B$43),G118*Q118))*IF(Inputs!$B$38="pvp",1,(1+(Inputs!$B$21+Skills!Q5)/100)*(MIN(Skills!R5,Inputs!$B$37))),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((Inputs!$B$6*(1+Inputs!$B$7/100))+(((Inputs!$B$12*(1+Inputs!$B$13/100))-(Inputs!$B$12*(1+Inputs!$B$13/100)))+0.25*((Inputs!$B$14+1)-Inputs!$B$14))*(1+Inputs!$B$7/100))*(F119/100)</f>
        <v/>
      </c>
      <c r="K119">
        <f>J119*(1+((Inputs!$B$12*(1+Inputs!$B$13/100))*0.01+(Inputs!$B$14+1)*0.0025)/100)*(1+Inputs!$B$15/100)*(1+Inputs!$B$16/100)*(5000/(6000+Inputs!$B$42*(1-(Inputs!$B$19+0)/100)))*(1+(Inputs!$B$24+0+B146)/100)*(1+(IF(Skills!A6="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119)</f>
        <v/>
      </c>
      <c r="L119">
        <f>K119*(MIN(Inputs!$B$22+((C135=TRUE)*(F135-Calc!F22)),Inputs!$B$23+((C137=TRUE)*(F137-Calc!F24)))/100+(Inputs!$B$23+((C137=TRUE)*(F137-Calc!F24)))/100)/2</f>
        <v/>
      </c>
      <c r="M119">
        <f>L119*(1+(Inputs!$B$10+0+B145)/100)</f>
        <v/>
      </c>
      <c r="N119">
        <f>L119*(1-MIN((Inputs!$B$9+0+B140),100)/100)+M119*(MIN((Inputs!$B$9+0+B140),100)/100)</f>
        <v/>
      </c>
      <c r="O119">
        <f>(1-Summary!$B$55)*T119+Summary!$B$55*V119</f>
        <v/>
      </c>
      <c r="P119">
        <f>IF(B150=0,0,O119/B150)</f>
        <v/>
      </c>
      <c r="Q119">
        <f>IFERROR(1/IF(Inputs!$B$38="pvp",15,MAX(0.1,Skills!D6-IF(Skills!E6=TRUE,Inputs!$B$32,0))),0)</f>
        <v/>
      </c>
      <c r="R119">
        <f>IF(AND(Inputs!$B$38&lt;&gt;"pvp",Inputs!$B$43&gt;0),IF(MAX(0,Inputs!$B$43-B147)&lt;=0,0,(INT(MAX(0,Inputs!$B$43-B147)/IF(Inputs!$B$38="pvp",15,MAX(0.1,Skills!D6-IF(Skills!E6=TRUE,Inputs!$B$32,0))))+1)),0)</f>
        <v/>
      </c>
      <c r="S119">
        <f>IFERROR(O119/N119,0)</f>
        <v/>
      </c>
      <c r="T119">
        <f>IF(C119,(H119*N119*IF(AND(Inputs!$B$38&lt;&gt;"pvp",Inputs!$B$43&gt;0),((Skills!G6*((R119-1)*IF(Skills!H6&gt;0,Skills!I6/Skills!H6,1)+IF(Skills!H6&gt;0,MIN(Skills!I6,MAX(0,MAX(0,Inputs!$B$43-B147)-((R119-1)*IF(Inputs!$B$38="pvp",15,MAX(0.1,Skills!D6-IF(Skills!E6=TRUE,Inputs!$B$32,0))))))/Skills!H6,1)))/Inputs!$B$43),G119*Q119))*IF(Inputs!$B$38="pvp",1,1+(Inputs!$B$20+0+Skills!P6)/100),0)</f>
        <v/>
      </c>
      <c r="V119">
        <f>IF(C119,(H119*N119*IF(AND(Inputs!$B$38&lt;&gt;"pvp",Inputs!$B$43&gt;0),((Skills!G6*((R119-1)*IF(Skills!H6&gt;0,Skills!I6/Skills!H6,1)+IF(Skills!H6&gt;0,MIN(Skills!I6,MAX(0,MAX(0,Inputs!$B$43-B147)-((R119-1)*IF(Inputs!$B$38="pvp",15,MAX(0.1,Skills!D6-IF(Skills!E6=TRUE,Inputs!$B$32,0))))))/Skills!H6,1)))/Inputs!$B$43),G119*Q119))*IF(Inputs!$B$38="pvp",1,(1+(Inputs!$B$21+Skills!Q6)/100)*(MIN(Skills!R6,Inputs!$B$37))),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((Inputs!$B$6*(1+Inputs!$B$7/100))+(((Inputs!$B$12*(1+Inputs!$B$13/100))-(Inputs!$B$12*(1+Inputs!$B$13/100)))+0.25*((Inputs!$B$14+1)-Inputs!$B$14))*(1+Inputs!$B$7/100))*(F120/100)</f>
        <v/>
      </c>
      <c r="K120">
        <f>J120*(1+((Inputs!$B$12*(1+Inputs!$B$13/100))*0.01+(Inputs!$B$14+1)*0.0025)/100)*(1+Inputs!$B$15/100)*(1+Inputs!$B$16/100)*(5000/(6000+Inputs!$B$42*(1-(Inputs!$B$19+0)/100)))*(1+(Inputs!$B$24+0+B146)/100)*(1+(IF(Skills!A7="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120)</f>
        <v/>
      </c>
      <c r="L120">
        <f>K120*(MIN(Inputs!$B$22+((C135=TRUE)*(F135-Calc!F22)),Inputs!$B$23+((C137=TRUE)*(F137-Calc!F24)))/100+(Inputs!$B$23+((C137=TRUE)*(F137-Calc!F24)))/100)/2</f>
        <v/>
      </c>
      <c r="M120">
        <f>L120*(1+(Inputs!$B$10+0+B145)/100)</f>
        <v/>
      </c>
      <c r="N120">
        <f>L120*(1-MIN((Inputs!$B$9+0+B140),100)/100)+M120*(MIN((Inputs!$B$9+0+B140),100)/100)</f>
        <v/>
      </c>
      <c r="O120">
        <f>(1-Summary!$B$55)*T120+Summary!$B$55*V120</f>
        <v/>
      </c>
      <c r="P120">
        <f>IF(B150=0,0,O120/B150)</f>
        <v/>
      </c>
      <c r="Q120">
        <f>IFERROR(1/IF(Inputs!$B$38="pvp",15,MAX(0.1,Skills!D7-IF(Skills!E7=TRUE,Inputs!$B$32,0))),0)</f>
        <v/>
      </c>
      <c r="R120">
        <f>IF(AND(Inputs!$B$38&lt;&gt;"pvp",Inputs!$B$43&gt;0),IF(MAX(0,Inputs!$B$43-B147)&lt;=0,0,(INT(MAX(0,Inputs!$B$43-B147)/IF(Inputs!$B$38="pvp",15,MAX(0.1,Skills!D7-IF(Skills!E7=TRUE,Inputs!$B$32,0))))+1)),0)</f>
        <v/>
      </c>
      <c r="S120">
        <f>IFERROR(O120/N120,0)</f>
        <v/>
      </c>
      <c r="T120">
        <f>IF(C120,(H120*N120*IF(AND(Inputs!$B$38&lt;&gt;"pvp",Inputs!$B$43&gt;0),((Skills!G7*((R120-1)*IF(Skills!H7&gt;0,Skills!I7/Skills!H7,1)+IF(Skills!H7&gt;0,MIN(Skills!I7,MAX(0,MAX(0,Inputs!$B$43-B147)-((R120-1)*IF(Inputs!$B$38="pvp",15,MAX(0.1,Skills!D7-IF(Skills!E7=TRUE,Inputs!$B$32,0))))))/Skills!H7,1)))/Inputs!$B$43),G120*Q120))*IF(Inputs!$B$38="pvp",1,1+(Inputs!$B$20+0+Skills!P7)/100),0)</f>
        <v/>
      </c>
      <c r="V120">
        <f>IF(C120,(H120*N120*IF(AND(Inputs!$B$38&lt;&gt;"pvp",Inputs!$B$43&gt;0),((Skills!G7*((R120-1)*IF(Skills!H7&gt;0,Skills!I7/Skills!H7,1)+IF(Skills!H7&gt;0,MIN(Skills!I7,MAX(0,MAX(0,Inputs!$B$43-B147)-((R120-1)*IF(Inputs!$B$38="pvp",15,MAX(0.1,Skills!D7-IF(Skills!E7=TRUE,Inputs!$B$32,0))))))/Skills!H7,1)))/Inputs!$B$43),G120*Q120))*IF(Inputs!$B$38="pvp",1,(1+(Inputs!$B$21+Skills!Q7)/100)*(MIN(Skills!R7,Inputs!$B$37))),0)</f>
        <v/>
      </c>
    </row>
    <row r="121">
      <c r="A121">
        <f>Skills!A8</f>
        <v/>
      </c>
      <c r="B121">
        <f>Skills!B8</f>
        <v/>
      </c>
      <c r="C121">
        <f>Inputs!$B$3&gt;=107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((Inputs!$B$6*(1+Inputs!$B$7/100))+(((Inputs!$B$12*(1+Inputs!$B$13/100))-(Inputs!$B$12*(1+Inputs!$B$13/100)))+0.25*((Inputs!$B$14+1)-Inputs!$B$14))*(1+Inputs!$B$7/100))*(F121/100)</f>
        <v/>
      </c>
      <c r="K121">
        <f>J121*(1+((Inputs!$B$12*(1+Inputs!$B$13/100))*0.01+(Inputs!$B$14+1)*0.0025)/100)*(1+Inputs!$B$15/100)*(1+Inputs!$B$16/100)*(5000/(6000+Inputs!$B$42*(1-(Inputs!$B$19+0)/100)))*(1+(Inputs!$B$24+0+B146)/100)*(1+(IF(Skills!A8="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121)</f>
        <v/>
      </c>
      <c r="L121">
        <f>K121*(MIN(Inputs!$B$22+((C135=TRUE)*(F135-Calc!F22)),Inputs!$B$23+((C137=TRUE)*(F137-Calc!F24)))/100+(Inputs!$B$23+((C137=TRUE)*(F137-Calc!F24)))/100)/2</f>
        <v/>
      </c>
      <c r="M121">
        <f>L121*(1+(Inputs!$B$10+0+B145)/100)</f>
        <v/>
      </c>
      <c r="N121">
        <f>L121*(1-MIN((Inputs!$B$9+0+B140),100)/100)+M121*(MIN((Inputs!$B$9+0+B140),100)/100)</f>
        <v/>
      </c>
      <c r="O121">
        <f>(1-Summary!$B$55)*T121+Summary!$B$55*V121</f>
        <v/>
      </c>
      <c r="P121">
        <f>IF(B150=0,0,O121/B150)</f>
        <v/>
      </c>
      <c r="Q121">
        <f>IFERROR(1/IF(Inputs!$B$38="pvp",15,MAX(0.1,Skills!D8-IF(Skills!E8=TRUE,Inputs!$B$32,0))),0)</f>
        <v/>
      </c>
      <c r="R121">
        <f>IF(AND(Inputs!$B$38&lt;&gt;"pvp",Inputs!$B$43&gt;0),IF(MAX(0,Inputs!$B$43-B147)&lt;=0,0,(INT(MAX(0,Inputs!$B$43-B147)/IF(Inputs!$B$38="pvp",15,MAX(0.1,Skills!D8-IF(Skills!E8=TRUE,Inputs!$B$32,0))))+1)),0)</f>
        <v/>
      </c>
      <c r="S121">
        <f>IFERROR(O121/N121,0)</f>
        <v/>
      </c>
      <c r="T121">
        <f>IF(C121,(H121*N121*IF(AND(Inputs!$B$38&lt;&gt;"pvp",Inputs!$B$43&gt;0),((Skills!G8*((R121-1)*IF(Skills!H8&gt;0,Skills!I8/Skills!H8,1)+IF(Skills!H8&gt;0,MIN(Skills!I8,MAX(0,MAX(0,Inputs!$B$43-B147)-((R121-1)*IF(Inputs!$B$38="pvp",15,MAX(0.1,Skills!D8-IF(Skills!E8=TRUE,Inputs!$B$32,0))))))/Skills!H8,1)))/Inputs!$B$43),G121*Q121))*IF(Inputs!$B$38="pvp",1,1+(Inputs!$B$20+0+Skills!P8)/100),0)</f>
        <v/>
      </c>
      <c r="V121">
        <f>IF(C121,(H121*N121*IF(AND(Inputs!$B$38&lt;&gt;"pvp",Inputs!$B$43&gt;0),((Skills!G8*((R121-1)*IF(Skills!H8&gt;0,Skills!I8/Skills!H8,1)+IF(Skills!H8&gt;0,MIN(Skills!I8,MAX(0,MAX(0,Inputs!$B$43-B147)-((R121-1)*IF(Inputs!$B$38="pvp",15,MAX(0.1,Skills!D8-IF(Skills!E8=TRUE,Inputs!$B$32,0))))))/Skills!H8,1)))/Inputs!$B$43),G121*Q121))*IF(Inputs!$B$38="pvp",1,(1+(Inputs!$B$21+Skills!Q8)/100)*(MIN(Skills!R8,Inputs!$B$37))),0)</f>
        <v/>
      </c>
    </row>
    <row r="122">
      <c r="A122">
        <f>Skills!A9</f>
        <v/>
      </c>
      <c r="B122">
        <f>Skills!B9</f>
        <v/>
      </c>
      <c r="C122">
        <f>Inputs!$B$3&gt;=125</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((Inputs!$B$6*(1+Inputs!$B$7/100))+(((Inputs!$B$12*(1+Inputs!$B$13/100))-(Inputs!$B$12*(1+Inputs!$B$13/100)))+0.25*((Inputs!$B$14+1)-Inputs!$B$14))*(1+Inputs!$B$7/100))*(F122/100)</f>
        <v/>
      </c>
      <c r="K122">
        <f>J122*(1+((Inputs!$B$12*(1+Inputs!$B$13/100))*0.01+(Inputs!$B$14+1)*0.0025)/100)*(1+Inputs!$B$15/100)*(1+Inputs!$B$16/100)*(5000/(6000+Inputs!$B$42*(1-(Inputs!$B$19+0)/100)))*(1+(Inputs!$B$24+0+B146)/100)*(1+(IF(Skills!A9="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122)</f>
        <v/>
      </c>
      <c r="L122">
        <f>K122*(MIN(Inputs!$B$22+((C135=TRUE)*(F135-Calc!F22)),Inputs!$B$23+((C137=TRUE)*(F137-Calc!F24)))/100+(Inputs!$B$23+((C137=TRUE)*(F137-Calc!F24)))/100)/2</f>
        <v/>
      </c>
      <c r="M122">
        <f>L122*(1+(Inputs!$B$10+0+B145)/100)</f>
        <v/>
      </c>
      <c r="N122">
        <f>L122*(1-MIN((Inputs!$B$9+0+B140),100)/100)+M122*(MIN((Inputs!$B$9+0+B140),100)/100)</f>
        <v/>
      </c>
      <c r="O122">
        <f>(1-Summary!$B$55)*T122+Summary!$B$55*V122</f>
        <v/>
      </c>
      <c r="P122">
        <f>IF(B150=0,0,O122/B150)</f>
        <v/>
      </c>
      <c r="Q122">
        <f>IFERROR(1/IF(Inputs!$B$38="pvp",15,MAX(0.1,Skills!D9-IF(Skills!E9=TRUE,Inputs!$B$32,0))),0)</f>
        <v/>
      </c>
      <c r="R122">
        <f>IF(AND(Inputs!$B$38&lt;&gt;"pvp",Inputs!$B$43&gt;0),IF(MAX(0,Inputs!$B$43-B147)&lt;=0,0,(INT(MAX(0,Inputs!$B$43-B147)/IF(Inputs!$B$38="pvp",15,MAX(0.1,Skills!D9-IF(Skills!E9=TRUE,Inputs!$B$32,0))))+1)),0)</f>
        <v/>
      </c>
      <c r="S122">
        <f>IFERROR(O122/N122,0)</f>
        <v/>
      </c>
      <c r="T122">
        <f>IF(C122,(H122*N122*IF(AND(Inputs!$B$38&lt;&gt;"pvp",Inputs!$B$43&gt;0),((Skills!G9*((R122-1)*IF(Skills!H9&gt;0,Skills!I9/Skills!H9,1)+IF(Skills!H9&gt;0,MIN(Skills!I9,MAX(0,MAX(0,Inputs!$B$43-B147)-((R122-1)*IF(Inputs!$B$38="pvp",15,MAX(0.1,Skills!D9-IF(Skills!E9=TRUE,Inputs!$B$32,0))))))/Skills!H9,1)))/Inputs!$B$43),G122*Q122))*IF(Inputs!$B$38="pvp",1,1+(Inputs!$B$20+0+Skills!P9)/100),0)</f>
        <v/>
      </c>
      <c r="V122">
        <f>IF(C122,(H122*N122*IF(AND(Inputs!$B$38&lt;&gt;"pvp",Inputs!$B$43&gt;0),((Skills!G9*((R122-1)*IF(Skills!H9&gt;0,Skills!I9/Skills!H9,1)+IF(Skills!H9&gt;0,MIN(Skills!I9,MAX(0,MAX(0,Inputs!$B$43-B147)-((R122-1)*IF(Inputs!$B$38="pvp",15,MAX(0.1,Skills!D9-IF(Skills!E9=TRUE,Inputs!$B$32,0))))))/Skills!H9,1)))/Inputs!$B$43),G122*Q122))*IF(Inputs!$B$38="pvp",1,(1+(Inputs!$B$21+Skills!Q9)/100)*(MIN(Skills!R9,Inputs!$B$37))),0)</f>
        <v/>
      </c>
    </row>
    <row r="123">
      <c r="A123">
        <f>Skills!A10</f>
        <v/>
      </c>
      <c r="B123">
        <f>Skills!B10</f>
        <v/>
      </c>
      <c r="C123">
        <f>Inputs!$B$3&gt;=117</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((Inputs!$B$6*(1+Inputs!$B$7/100))+(((Inputs!$B$12*(1+Inputs!$B$13/100))-(Inputs!$B$12*(1+Inputs!$B$13/100)))+0.25*((Inputs!$B$14+1)-Inputs!$B$14))*(1+Inputs!$B$7/100))*(F123/100)</f>
        <v/>
      </c>
      <c r="K123">
        <f>J123*(1+((Inputs!$B$12*(1+Inputs!$B$13/100))*0.01+(Inputs!$B$14+1)*0.0025)/100)*(1+Inputs!$B$15/100)*(1+Inputs!$B$16/100)*(5000/(6000+Inputs!$B$42*(1-(Inputs!$B$19+0)/100)))*(1+(Inputs!$B$24+0+B146)/100)*(1+(IF(Skills!A10="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123)</f>
        <v/>
      </c>
      <c r="L123">
        <f>K123*(MIN(Inputs!$B$22+((C135=TRUE)*(F135-Calc!F22)),Inputs!$B$23+((C137=TRUE)*(F137-Calc!F24)))/100+(Inputs!$B$23+((C137=TRUE)*(F137-Calc!F24)))/100)/2</f>
        <v/>
      </c>
      <c r="M123">
        <f>L123*(1+(Inputs!$B$10+0+B145)/100)</f>
        <v/>
      </c>
      <c r="N123">
        <f>L123*(1-MIN((Inputs!$B$9+0+B140),100)/100)+M123*(MIN((Inputs!$B$9+0+B140),100)/100)</f>
        <v/>
      </c>
      <c r="O123">
        <f>(1-Summary!$B$55)*T123+Summary!$B$55*V123</f>
        <v/>
      </c>
      <c r="P123">
        <f>IF(B150=0,0,O123/B150)</f>
        <v/>
      </c>
      <c r="Q123">
        <f>IFERROR(1/IF(Inputs!$B$38="pvp",15,MAX(0.1,Skills!D10-IF(Skills!E10=TRUE,Inputs!$B$32,0))),0)</f>
        <v/>
      </c>
      <c r="R123">
        <f>IF(AND(Inputs!$B$38&lt;&gt;"pvp",Inputs!$B$43&gt;0),IF(MAX(0,Inputs!$B$43-B147)&lt;=0,0,(INT(MAX(0,Inputs!$B$43-B147)/IF(Inputs!$B$38="pvp",15,MAX(0.1,Skills!D10-IF(Skills!E10=TRUE,Inputs!$B$32,0))))+1)),0)</f>
        <v/>
      </c>
      <c r="S123">
        <f>IFERROR(O123/N123,0)</f>
        <v/>
      </c>
      <c r="T123">
        <f>IF(C123,(H123*N123*IF(AND(Inputs!$B$38&lt;&gt;"pvp",Inputs!$B$43&gt;0),((Skills!G10*((R123-1)*IF(Skills!H10&gt;0,Skills!I10/Skills!H10,1)+IF(Skills!H10&gt;0,MIN(Skills!I10,MAX(0,MAX(0,Inputs!$B$43-B147)-((R123-1)*IF(Inputs!$B$38="pvp",15,MAX(0.1,Skills!D10-IF(Skills!E10=TRUE,Inputs!$B$32,0))))))/Skills!H10,1)))/Inputs!$B$43),G123*Q123))*IF(Inputs!$B$38="pvp",1,1+(Inputs!$B$20+0+Skills!P10)/100),0)</f>
        <v/>
      </c>
      <c r="V123">
        <f>IF(C123,(H123*N123*IF(AND(Inputs!$B$38&lt;&gt;"pvp",Inputs!$B$43&gt;0),((Skills!G10*((R123-1)*IF(Skills!H10&gt;0,Skills!I10/Skills!H10,1)+IF(Skills!H10&gt;0,MIN(Skills!I10,MAX(0,MAX(0,Inputs!$B$43-B147)-((R123-1)*IF(Inputs!$B$38="pvp",15,MAX(0.1,Skills!D10-IF(Skills!E10=TRUE,Inputs!$B$32,0))))))/Skills!H10,1)))/Inputs!$B$43),G123*Q123))*IF(Inputs!$B$38="pvp",1,(1+(Inputs!$B$21+Skills!Q10)/100)*(MIN(Skills!R10,Inputs!$B$37))),0)</f>
        <v/>
      </c>
    </row>
    <row r="124">
      <c r="A124">
        <f>Skills!A11</f>
        <v/>
      </c>
      <c r="B124">
        <f>Skills!B11</f>
        <v/>
      </c>
      <c r="C124">
        <f>Inputs!$B$3&gt;=63</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((Inputs!$B$6*(1+Inputs!$B$7/100))+(((Inputs!$B$12*(1+Inputs!$B$13/100))-(Inputs!$B$12*(1+Inputs!$B$13/100)))+0.25*((Inputs!$B$14+1)-Inputs!$B$14))*(1+Inputs!$B$7/100))*(F124/100)</f>
        <v/>
      </c>
      <c r="K124">
        <f>J124*(1+((Inputs!$B$12*(1+Inputs!$B$13/100))*0.01+(Inputs!$B$14+1)*0.0025)/100)*(1+Inputs!$B$15/100)*(1+Inputs!$B$16/100)*(5000/(6000+Inputs!$B$42*(1-(Inputs!$B$19+0)/100)))*(1+(Inputs!$B$24+0+B146)/100)*(1+1.5*IF(C125=TRUE,F125,0)/100)*(1+(IF(Skills!A11="BLAST",Inputs!$B$17+((C134=TRUE)*(F134-Calc!F21)),Inputs!$B$18+((C136=TRUE)*(F136-Calc!F23))))/100)*((1+(((C126=TRUE)*F126*MIN(1,Skills!T13*(Skills!J13/100)*B144))+((C131=TRUE)*F131*IF(AND(Inputs!$B$38&lt;&gt;"pvp",Inputs!$B$43&gt;0),(((R131-1)*(Skills!T18*(1+Inputs!$B$34/100))+MIN((Skills!T18*(1+Inputs!$B$34/100)),MAX(0,Inputs!$B$43-((R131-1)*Skills!D18))))/Inputs!$B$43),IF(Inputs!$B$38="pvp",MIN((Skills!T18*(1+Inputs!$B$34/100)),15)/15,(Skills!T18*(1+Inputs!$B$34/100))/Skills!D18)))+0)/100)*I124)</f>
        <v/>
      </c>
      <c r="L124">
        <f>K124*(MIN(Inputs!$B$22+((C135=TRUE)*(F135-Calc!F22)),Inputs!$B$23+((C137=TRUE)*(F137-Calc!F24)))/100+(Inputs!$B$23+((C137=TRUE)*(F137-Calc!F24)))/100)/2</f>
        <v/>
      </c>
      <c r="M124">
        <f>L124*(1+(Inputs!$B$10+0+B145)/100)</f>
        <v/>
      </c>
      <c r="N124">
        <f>L124*(1-MIN((Inputs!$B$9+0+B140),100)/100)+M124*(MIN((Inputs!$B$9+0+B140),100)/100)</f>
        <v/>
      </c>
      <c r="O124">
        <f>(1-Summary!$B$55)*T124+Summary!$B$55*V124</f>
        <v/>
      </c>
      <c r="P124">
        <f>IF(B150=0,0,O124/B150)</f>
        <v/>
      </c>
      <c r="Q124">
        <f>IFERROR(1/IF(Inputs!$B$38="pvp",15,MAX(0.1,Skills!D11-IF(Skills!E11=TRUE,Inputs!$B$32,0))),0)</f>
        <v/>
      </c>
      <c r="R124">
        <f>IF(AND(Inputs!$B$38&lt;&gt;"pvp",Inputs!$B$43&gt;0),IF(MAX(0,Inputs!$B$43-B147)&lt;=0,0,(INT(MAX(0,Inputs!$B$43-B147)/IF(Inputs!$B$38="pvp",15,MAX(0.1,Skills!D11-IF(Skills!E11=TRUE,Inputs!$B$32,0))))+1)),0)</f>
        <v/>
      </c>
      <c r="S124">
        <f>IFERROR(O124/N124,0)</f>
        <v/>
      </c>
      <c r="T124">
        <f>IF(C124,(H124*N124*IF(AND(Inputs!$B$38&lt;&gt;"pvp",Inputs!$B$43&gt;0),((Skills!G11*((R124-1)*IF(Skills!H11&gt;0,Skills!I11/Skills!H11,1)+IF(Skills!H11&gt;0,MIN(Skills!I11,MAX(0,MAX(0,Inputs!$B$43-B147)-((R124-1)*IF(Inputs!$B$38="pvp",15,MAX(0.1,Skills!D11-IF(Skills!E11=TRUE,Inputs!$B$32,0))))))/Skills!H11,1)))/Inputs!$B$43),G124*Q124))*IF(Inputs!$B$38="pvp",1,1+(Inputs!$B$20+0+Skills!P11)/100),0)</f>
        <v/>
      </c>
      <c r="V124">
        <f>IF(C124,(H124*N124*IF(AND(Inputs!$B$38&lt;&gt;"pvp",Inputs!$B$43&gt;0),((Skills!G11*((R124-1)*IF(Skills!H11&gt;0,Skills!I11/Skills!H11,1)+IF(Skills!H11&gt;0,MIN(Skills!I11,MAX(0,MAX(0,Inputs!$B$43-B147)-((R124-1)*IF(Inputs!$B$38="pvp",15,MAX(0.1,Skills!D11-IF(Skills!E11=TRUE,Inputs!$B$32,0))))))/Skills!H11,1)))/Inputs!$B$43),G124*Q124))*IF(Inputs!$B$38="pvp",1,(1+(Inputs!$B$21+Skills!Q11)/100)*(MIN(Skills!R11,Inputs!$B$37))),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(1-Summary!$B$55)*T126+Summary!$B$55*V126</f>
        <v/>
      </c>
      <c r="P126">
        <f>IF(B150=0,0,O126/B150)</f>
        <v/>
      </c>
      <c r="Q126" t="n">
        <v>0</v>
      </c>
      <c r="R126" t="n">
        <v>0</v>
      </c>
      <c r="S126">
        <f>IFERROR(O126/N126,0)</f>
        <v/>
      </c>
      <c r="T126" t="n">
        <v>0</v>
      </c>
      <c r="V126" t="n">
        <v>0</v>
      </c>
    </row>
    <row r="127">
      <c r="A127">
        <f>Skills!A14</f>
        <v/>
      </c>
      <c r="B127">
        <f>Skills!B14</f>
        <v/>
      </c>
      <c r="C127">
        <f>Inputs!$B$3&gt;=110</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(1-Summary!$B$55)*T127+Summary!$B$55*V127</f>
        <v/>
      </c>
      <c r="P127">
        <f>IF(B150=0,0,O127/B150)</f>
        <v/>
      </c>
      <c r="Q127" t="n">
        <v>0</v>
      </c>
      <c r="R127" t="n">
        <v>0</v>
      </c>
      <c r="S127">
        <f>IFERROR(O127/N127,0)</f>
        <v/>
      </c>
      <c r="T127" t="n">
        <v>0</v>
      </c>
      <c r="V127" t="n">
        <v>0</v>
      </c>
    </row>
    <row r="128">
      <c r="A128">
        <f>Skills!A15</f>
        <v/>
      </c>
      <c r="B128">
        <f>Skills!B15</f>
        <v/>
      </c>
      <c r="C128">
        <f>Inputs!$B$3&gt;=75</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(1-Summary!$B$55)*T128+Summary!$B$55*V128</f>
        <v/>
      </c>
      <c r="P128">
        <f>IF(B150=0,0,O128/B150)</f>
        <v/>
      </c>
      <c r="Q128">
        <f>IFERROR(1/IF(Inputs!$B$38="pvp",15,MAX(0.1,Skills!D15-IF(Skills!E15=TRUE,Inputs!$B$32,0))),0)</f>
        <v/>
      </c>
      <c r="R128">
        <f>IF(AND(Inputs!$B$38&lt;&gt;"pvp",Inputs!$B$43&gt;0),IF(Inputs!$B$43&lt;=0,0,(INT(Inputs!$B$43/IF(Inputs!$B$38="pvp",15,MAX(0.1,Skills!D15-IF(Skills!E15=TRUE,Inputs!$B$32,0))))+1)),0)</f>
        <v/>
      </c>
      <c r="S128">
        <f>IFERROR(O128/N128,0)</f>
        <v/>
      </c>
      <c r="T128" t="n">
        <v>0</v>
      </c>
      <c r="V128" t="n">
        <v>0</v>
      </c>
    </row>
    <row r="129">
      <c r="A129">
        <f>Skills!A16</f>
        <v/>
      </c>
      <c r="B129">
        <f>Skills!B16</f>
        <v/>
      </c>
      <c r="C129">
        <f>Inputs!$B$3&gt;=105</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(1-Summary!$B$55)*T129+Summary!$B$55*V129</f>
        <v/>
      </c>
      <c r="P129">
        <f>IF(B150=0,0,O129/B150)</f>
        <v/>
      </c>
      <c r="Q129">
        <f>IFERROR(1/IF(Inputs!$B$38="pvp",15,MAX(0.1,Skills!D16-IF(Skills!E16=TRUE,Inputs!$B$32,0))),0)</f>
        <v/>
      </c>
      <c r="R129">
        <f>IF(AND(Inputs!$B$38&lt;&gt;"pvp",Inputs!$B$43&gt;0),IF(Inputs!$B$43&lt;=0,0,(INT(Inputs!$B$43/IF(Inputs!$B$38="pvp",15,MAX(0.1,Skills!D16-IF(Skills!E16=TRUE,Inputs!$B$32,0))))+1)),0)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(1-Summary!$B$55)*T130+Summary!$B$55*V130</f>
        <v/>
      </c>
      <c r="P130">
        <f>IF(B150=0,0,O130/B150)</f>
        <v/>
      </c>
      <c r="Q130">
        <f>IFERROR(1/IF(Inputs!$B$38="pvp",15,MAX(0.1,Skills!D17-IF(Skills!E17=TRUE,Inputs!$B$32,0))),0)</f>
        <v/>
      </c>
      <c r="R130">
        <f>IF(AND(Inputs!$B$38&lt;&gt;"pvp",Inputs!$B$43&gt;0),IF(Inputs!$B$43&lt;=0,0,(INT(Inputs!$B$43/IF(Inputs!$B$38="pvp",15,MAX(0.1,Skills!D17-IF(Skills!E17=TRUE,Inputs!$B$32,0))))+1)),0)</f>
        <v/>
      </c>
      <c r="S130">
        <f>IFERROR(O130/N130,0)</f>
        <v/>
      </c>
      <c r="T130" t="n">
        <v>0</v>
      </c>
      <c r="V130" t="n">
        <v>0</v>
      </c>
    </row>
    <row r="131">
      <c r="A131">
        <f>Skills!A18</f>
        <v/>
      </c>
      <c r="B131">
        <f>Skills!B18</f>
        <v/>
      </c>
      <c r="C131">
        <f>Inputs!$B$3&gt;=74</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(1-Summary!$B$55)*T131+Summary!$B$55*V131</f>
        <v/>
      </c>
      <c r="P131">
        <f>IF(B150=0,0,O131/B150)</f>
        <v/>
      </c>
      <c r="Q131">
        <f>IFERROR(1/IF(Inputs!$B$38="pvp",15,MAX(0.1,Skills!D18-IF(Skills!E18=TRUE,Inputs!$B$32,0))),0)</f>
        <v/>
      </c>
      <c r="R131">
        <f>IF(AND(Inputs!$B$38&lt;&gt;"pvp",Inputs!$B$43&gt;0),IF(Inputs!$B$43&lt;=0,0,(INT(Inputs!$B$43/IF(Inputs!$B$38="pvp",15,MAX(0.1,Skills!D18-IF(Skills!E18=TRUE,Inputs!$B$32,0))))+1)),0)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(1-Summary!$B$55)*T132+Summary!$B$55*V132</f>
        <v/>
      </c>
      <c r="P132">
        <f>IF(B150=0,0,O132/B150)</f>
        <v/>
      </c>
      <c r="Q132">
        <f>IFERROR(1/IF(Inputs!$B$38="pvp",15,MAX(0.1,Skills!D19-IF(Skills!E19=TRUE,Inputs!$B$32,0))),0)</f>
        <v/>
      </c>
      <c r="R132">
        <f>IF(AND(Inputs!$B$38&lt;&gt;"pvp",Inputs!$B$43&gt;0),IF(Inputs!$B$43&lt;=0,0,(INT(Inputs!$B$43/IF(Inputs!$B$38="pvp",15,MAX(0.1,Skills!D19-IF(Skills!E19=TRUE,Inputs!$B$32,0))))+1)),0)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(1-Summary!$B$55)*T133+Summary!$B$55*V133</f>
        <v/>
      </c>
      <c r="P133">
        <f>IF(B150=0,0,O133/B150)</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(1-Summary!$B$55)*T134+Summary!$B$55*V134</f>
        <v/>
      </c>
      <c r="P134">
        <f>IF(B150=0,0,O134/B150)</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(1-Summary!$B$55)*T135+Summary!$B$55*V135</f>
        <v/>
      </c>
      <c r="P135">
        <f>IF(B150=0,0,O135/B150)</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(1-Summary!$B$55)*T136+Summary!$B$55*V136</f>
        <v/>
      </c>
      <c r="P136">
        <f>IF(B150=0,0,O136/B150)</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(1-Summary!$B$55)*T137+Summary!$B$55*V137</f>
        <v/>
      </c>
      <c r="P137">
        <f>IF(B150=0,0,O137/B150)</f>
        <v/>
      </c>
      <c r="Q137" t="n">
        <v>0</v>
      </c>
      <c r="R137" t="n">
        <v>0</v>
      </c>
      <c r="S137">
        <f>IFERROR(O137/N137,0)</f>
        <v/>
      </c>
      <c r="T137" t="n">
        <v>0</v>
      </c>
      <c r="V137" t="n">
        <v>0</v>
      </c>
    </row>
    <row r="139">
      <c r="A139" t="inlineStr">
        <is>
          <t>Attack% Bucket Multiplier</t>
        </is>
      </c>
      <c r="B139">
        <f>(1+(((C126=TRUE)*F126*MIN(1,Skills!T13*(Skills!J13/100)*B144))+((C131=TRUE)*F131*IF(AND(Inputs!$B$38&lt;&gt;"pvp",Inputs!$B$43&gt;0),(((R131-1)*(Skills!T18*(1+Inputs!$B$34/100))+MIN((Skills!T18*(1+Inputs!$B$34/100)),MAX(0,Inputs!$B$43-((R131-1)*Skills!D18))))/Inputs!$B$43),IF(Inputs!$B$38="pvp",MIN((Skills!T18*(1+Inputs!$B$34/100)),15)/15,(Skills!T18*(1+Inputs!$B$34/100))/Skills!D18)))+0)/100)</f>
        <v/>
      </c>
    </row>
    <row r="140">
      <c r="A140" t="inlineStr">
        <is>
          <t>Global Crit Rate Bonus %</t>
        </is>
      </c>
      <c r="B140" t="n">
        <v>0</v>
      </c>
    </row>
    <row r="141">
      <c r="A141" t="inlineStr">
        <is>
          <t>Attack Speed Buff Bonus %</t>
        </is>
      </c>
      <c r="B141">
        <f>((C132=TRUE)*F132*IF(AND(Inputs!$B$38&lt;&gt;"pvp",Inputs!$B$43&gt;0),(((R132-1)*(Skills!T19*(1+Inputs!$B$34/100))+MIN((Skills!T19*(1+Inputs!$B$34/100)),MAX(0,Inputs!$B$43-((R132-1)*Skills!D19))))/Inputs!$B$43),IF(Inputs!$B$38="pvp",MIN((Skills!T19*(1+Inputs!$B$34/100)),15)/15,(Skills!T19*(1+Inputs!$B$34/100))/Skills!D19)))</f>
        <v/>
      </c>
    </row>
    <row r="142">
      <c r="A142" t="inlineStr">
        <is>
          <t>Actions Per Second</t>
        </is>
      </c>
      <c r="B142">
        <f>1+MIN(150,150*(1-(1-(Inputs!$B$11+((C133=TRUE)*(F133-Calc!F20)))/150)*(1-B141/150)))/100</f>
        <v/>
      </c>
    </row>
    <row r="143">
      <c r="A143" t="inlineStr">
        <is>
          <t>Skill + Buff Cast Rate</t>
        </is>
      </c>
      <c r="B143">
        <f>IF(AND(Inputs!$B$38&lt;&gt;"pvp",Inputs!$B$43&gt;0),SUMPRODUCT((Skills!E2:E24=TRUE)*(C115:C137=TRUE)*R115:R137*Skills!F2:F24)/Inputs!$B$43,SUMPRODUCT((Skills!E2:E24=TRUE)*(C115:C137=TRUE)*Q115:Q137*Skills!F2:F24))</f>
        <v/>
      </c>
    </row>
    <row r="144">
      <c r="A144" t="inlineStr">
        <is>
          <t>Blast Casts Per Second</t>
        </is>
      </c>
      <c r="B144">
        <f>MAX(0,B142-B143)</f>
        <v/>
      </c>
    </row>
    <row r="145">
      <c r="A145" t="inlineStr">
        <is>
          <t>Global Critical Damage Bonus % (unused)</t>
        </is>
      </c>
      <c r="B145" t="n">
        <v>0</v>
      </c>
    </row>
    <row r="146">
      <c r="A146" t="inlineStr">
        <is>
          <t>Global Final Damage Bonus % (Divine Shield + Guardian + Divine Blessing + Greater Vessel of Light)</t>
        </is>
      </c>
      <c r="B146">
        <f>((C128=TRUE)*F128*IF(AND(Inputs!$B$38&lt;&gt;"pvp",Inputs!$B$43&gt;0),(((R128-1)*(Skills!T15*(1+Inputs!$B$34/100))+MIN((Skills!T15*(1+Inputs!$B$34/100)),MAX(0,Inputs!$B$43-((R128-1)*Skills!D15))))/Inputs!$B$43),IF(Inputs!$B$38="pvp",MIN((Skills!T15*(1+Inputs!$B$34/100)),15)/15,(Skills!T15*(1+Inputs!$B$34/100))/Skills!D15)))+((C129=TRUE)*F129*IF(AND(Inputs!$B$38&lt;&gt;"pvp",Inputs!$B$43&gt;0),(((R129-1)*(Skills!T16*(1+Inputs!$B$34/100))+MIN((Skills!T16*(1+Inputs!$B$34/100)),MAX(0,Inputs!$B$43-((R129-1)*Skills!D16))))/Inputs!$B$43),IF(Inputs!$B$38="pvp",MIN((Skills!T16*(1+Inputs!$B$34/100)),15)/15,(Skills!T16*(1+Inputs!$B$34/100))/Skills!D16)))+((C130=TRUE)*F130*IF(AND(Inputs!$B$38&lt;&gt;"pvp",Inputs!$B$43&gt;0),(((R130-1)*(Skills!T17*(1+Inputs!$B$34/100))+MIN((Skills!T17*(1+Inputs!$B$34/100)),MAX(0,Inputs!$B$43-((R130-1)*Skills!D17))))/Inputs!$B$43),IF(Inputs!$B$38="pvp",MIN((Skills!T17*(1+Inputs!$B$34/100)),15)/15,(Skills!T17*(1+Inputs!$B$34/100))/Skills!D17)))+((C127=TRUE)*F127*MIN(1,Skills!T13*(Skills!J13/100)*B144))</f>
        <v/>
      </c>
    </row>
    <row r="147">
      <c r="A147" t="inlineStr">
        <is>
          <t>Buff-Casting Startup Delay (s, fixed-duration only)</t>
        </is>
      </c>
      <c r="B147">
        <f>IF(AND(Inputs!$B$38&lt;&gt;"pvp",Inputs!$B$43&gt;0),SUMPRODUCT((Skills!T2:T24&gt;0)*(Skills!E2:E24=TRUE)*(C115:C137=TRUE))/B142,0)</f>
        <v/>
      </c>
    </row>
    <row r="148">
      <c r="A148" t="inlineStr">
        <is>
          <t>Boss-Only Total DPS (this block's swept value)</t>
        </is>
      </c>
      <c r="B148">
        <f>SUM(T115:T137)</f>
        <v/>
      </c>
    </row>
    <row r="149">
      <c r="A149" t="inlineStr">
        <is>
          <t>Normal-Only Total DPS (this block's swept value)</t>
        </is>
      </c>
      <c r="B149">
        <f>SUM(V115:V137)</f>
        <v/>
      </c>
    </row>
    <row r="150">
      <c r="A150" s="5" t="inlineStr">
        <is>
          <t>TOTAL DPS</t>
        </is>
      </c>
      <c r="B150" s="5">
        <f>SUM(O115:O137)</f>
        <v/>
      </c>
    </row>
    <row r="153">
      <c r="A153" s="5" t="inlineStr">
        <is>
          <t>Stat: DAMAGE %</t>
        </is>
      </c>
    </row>
    <row r="154">
      <c r="A154" s="9" t="inlineStr">
        <is>
          <t>Key</t>
        </is>
      </c>
      <c r="B154" s="9" t="inlineStr">
        <is>
          <t>Name</t>
        </is>
      </c>
      <c r="C154" s="9" t="inlineStr">
        <is>
          <t>Unlocked</t>
        </is>
      </c>
      <c r="D154" s="9" t="inlineStr">
        <is>
          <t>InputLevel</t>
        </is>
      </c>
      <c r="E154" s="9" t="inlineStr">
        <is>
          <t>Factor</t>
        </is>
      </c>
      <c r="F154" s="9" t="inlineStr">
        <is>
          <t>CoefficientPercent</t>
        </is>
      </c>
      <c r="G154" s="9" t="inlineStr">
        <is>
          <t>EffectiveHits</t>
        </is>
      </c>
      <c r="H154" s="9" t="inlineStr">
        <is>
          <t>ProcProbability</t>
        </is>
      </c>
      <c r="I154" s="9" t="inlineStr">
        <is>
          <t>MapleHeroMultiplier</t>
        </is>
      </c>
      <c r="J154" s="9" t="inlineStr">
        <is>
          <t>BaseDamage</t>
        </is>
      </c>
      <c r="K154" s="9" t="inlineStr">
        <is>
          <t>BaseHitDamage</t>
        </is>
      </c>
      <c r="L154" s="9" t="inlineStr">
        <is>
          <t>NonCritAvg</t>
        </is>
      </c>
      <c r="M154" s="9" t="inlineStr">
        <is>
          <t>CritAvg</t>
        </is>
      </c>
      <c r="N154" s="9" t="inlineStr">
        <is>
          <t>ExpectedDamage(perHit)</t>
        </is>
      </c>
      <c r="O154" s="9" t="inlineStr">
        <is>
          <t>DPS</t>
        </is>
      </c>
      <c r="P154" s="9" t="inlineStr">
        <is>
          <t>% of Total</t>
        </is>
      </c>
      <c r="Q154" s="9" t="inlineStr">
        <is>
          <t>InvCooldown</t>
        </is>
      </c>
      <c r="R154" s="9" t="inlineStr">
        <is>
          <t>CastsInFight</t>
        </is>
      </c>
      <c r="S154" s="9"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((Inputs!$B$6*(1+Inputs!$B$7/100))+(((Inputs!$B$12*(1+Inputs!$B$13/100))-(Inputs!$B$12*(1+Inputs!$B$13/100)))+0.25*(Inputs!$B$14-Inputs!$B$14))*(1+Inputs!$B$7/100))*(F155/100)</f>
        <v/>
      </c>
      <c r="K155">
        <f>J155*(1+((Inputs!$B$12*(1+Inputs!$B$13/100))*0.01+Inputs!$B$14*0.0025)/100)*(1+(Inputs!$B$15+1)/100)*(1+Inputs!$B$16/100)*(5000/(6000+Inputs!$B$42*(1-(Inputs!$B$19+0)/100)))*(1+(Inputs!$B$24+0+B186)/100)*(1+(IF(Skills!A2="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155)</f>
        <v/>
      </c>
      <c r="L155">
        <f>K155*(MIN(Inputs!$B$22+((C175=TRUE)*(F175-Calc!F22)),Inputs!$B$23+((C177=TRUE)*(F177-Calc!F24)))/100+(Inputs!$B$23+((C177=TRUE)*(F177-Calc!F24)))/100)/2</f>
        <v/>
      </c>
      <c r="M155">
        <f>L155*(1+(Inputs!$B$10+0+B185)/100)</f>
        <v/>
      </c>
      <c r="N155">
        <f>L155*(1-MIN((Inputs!$B$9+0+B180),100)/100)+M155*(MIN((Inputs!$B$9+0+B180),100)/100)</f>
        <v/>
      </c>
      <c r="O155">
        <f>(1-Summary!$B$55)*T155+Summary!$B$55*V155</f>
        <v/>
      </c>
      <c r="P155">
        <f>IF(B190=0,0,O155/B190)</f>
        <v/>
      </c>
      <c r="Q155" t="n">
        <v>0</v>
      </c>
      <c r="R155" t="n">
        <v>0</v>
      </c>
      <c r="S155">
        <f>IFERROR(O155/N155,0)</f>
        <v/>
      </c>
      <c r="T155">
        <f>IF(C155,(Skills!G2*N155*B184)*IF(Inputs!$B$38="pvp",1,1+(Inputs!$B$20+0+Skills!P2)/100),0)</f>
        <v/>
      </c>
      <c r="U155">
        <f>MAX(0,(Inputs!$B$3-100)*3)+Inputs!$B$28+Inputs!$B$29</f>
        <v/>
      </c>
      <c r="V155">
        <f>IF(C155,(Skills!G2*N155*B184)*IF(Inputs!$B$38="pvp",1,(1+(Inputs!$B$21+Skills!Q2)/100)*(MIN((6+Inputs!$B$33),Inputs!$B$37))),0)</f>
        <v/>
      </c>
    </row>
    <row r="156">
      <c r="A156">
        <f>Skills!A3</f>
        <v/>
      </c>
      <c r="B156">
        <f>Skills!B3</f>
        <v/>
      </c>
      <c r="C156">
        <f>Inputs!$B$3&gt;=50</f>
        <v/>
      </c>
      <c r="D156">
        <f>IF(Skills!C3=1,60+Inputs!$B$25+Inputs!$B$29,IF(Skills!C3=2,90+Inputs!$B$26+Inputs!$B$29,IF(Skills!C3=3,120+Inputs!$B$27+Inputs!$B$29,MAX(0,(Inputs!$B$3-100)*3)+Inputs!$B$28+Inputs!$B$29)))</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Inputs!$B$3&gt;=35</f>
        <v/>
      </c>
      <c r="D157">
        <f>IF(Skills!C4=1,60+Inputs!$B$25+Inputs!$B$29,IF(Skills!C4=2,90+Inputs!$B$26+Inputs!$B$29,IF(Skills!C4=3,120+Inputs!$B$27+Inputs!$B$29,MAX(0,(Inputs!$B$3-100)*3)+Inputs!$B$28+Inputs!$B$29)))</f>
        <v/>
      </c>
      <c r="E157">
        <f>INDEX(FactorTable!$B$2:$Y$301, MATCH(ROUND(MIN(300,MAX(1,D157)),0), FactorTable!$A$2:$A$301,0), Skills!M4+1)</f>
        <v/>
      </c>
      <c r="F157">
        <f>IF(Skills!N4=TRUE,(Skills!L4/10)*(E157/1000),Skills!L4/10)+Skills!O4</f>
        <v/>
      </c>
      <c r="G157">
        <f>Skills!G4*IF(Skills!H4&gt;0,Skills!I4/Skills!H4,1)</f>
        <v/>
      </c>
      <c r="H157">
        <f>1-(1-Skills!J4/100)^Skills!K4</f>
        <v/>
      </c>
      <c r="I157" t="inlineStr">
        <is>
          <t>1</t>
        </is>
      </c>
      <c r="J157">
        <f>((Inputs!$B$6*(1+Inputs!$B$7/100))+(((Inputs!$B$12*(1+Inputs!$B$13/100))-(Inputs!$B$12*(1+Inputs!$B$13/100)))+0.25*(Inputs!$B$14-Inputs!$B$14))*(1+Inputs!$B$7/100))*(F157/100)</f>
        <v/>
      </c>
      <c r="K157">
        <f>J157*(1+((Inputs!$B$12*(1+Inputs!$B$13/100))*0.01+Inputs!$B$14*0.0025)/100)*(1+(Inputs!$B$15+1)/100)*(1+Inputs!$B$16/100)*(5000/(6000+Inputs!$B$42*(1-(Inputs!$B$19+0)/100)))*(1+(Inputs!$B$24+0+B186)/100)*(1+4.0*IF(C165=TRUE,F165,0)/100)*(1+(IF(Skills!A4="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157)</f>
        <v/>
      </c>
      <c r="L157">
        <f>K157*(MIN(Inputs!$B$22+((C175=TRUE)*(F175-Calc!F22)),Inputs!$B$23+((C177=TRUE)*(F177-Calc!F24)))/100+(Inputs!$B$23+((C177=TRUE)*(F177-Calc!F24)))/100)/2</f>
        <v/>
      </c>
      <c r="M157">
        <f>L157*(1+(Inputs!$B$10+0+B185)/100)</f>
        <v/>
      </c>
      <c r="N157">
        <f>L157*(1-MIN((Inputs!$B$9+0+B180),100)/100)+M157*(MIN((Inputs!$B$9+0+B180),100)/100)</f>
        <v/>
      </c>
      <c r="O157">
        <f>(1-Summary!$B$55)*T157+Summary!$B$55*V157</f>
        <v/>
      </c>
      <c r="P157">
        <f>IF(B190=0,0,O157/B190)</f>
        <v/>
      </c>
      <c r="Q157">
        <f>IFERROR(1/IF(Inputs!$B$38="pvp",15,MAX(0.1,Skills!D4-IF(Skills!E4=TRUE,Inputs!$B$32,0))),0)</f>
        <v/>
      </c>
      <c r="R157">
        <f>IF(AND(Inputs!$B$38&lt;&gt;"pvp",Inputs!$B$43&gt;0),IF(MAX(0,Inputs!$B$43-B187)&lt;=0,0,(INT(MAX(0,Inputs!$B$43-B187)/IF(Inputs!$B$38="pvp",15,MAX(0.1,Skills!D4-IF(Skills!E4=TRUE,Inputs!$B$32,0))))+1)),0)</f>
        <v/>
      </c>
      <c r="S157">
        <f>IFERROR(O157/N157,0)</f>
        <v/>
      </c>
      <c r="T157">
        <f>IF(C157,(H157*N157*IF(AND(Inputs!$B$38&lt;&gt;"pvp",Inputs!$B$43&gt;0),((Skills!G4*((R157-1)*IF(Skills!H4&gt;0,Skills!I4/Skills!H4,1)+IF(Skills!H4&gt;0,MIN(Skills!I4,MAX(0,MAX(0,Inputs!$B$43-B187)-((R157-1)*IF(Inputs!$B$38="pvp",15,MAX(0.1,Skills!D4-IF(Skills!E4=TRUE,Inputs!$B$32,0))))))/Skills!H4,1)))/Inputs!$B$43),G157*Q157))*IF(Inputs!$B$38="pvp",1,1+(Inputs!$B$20+0+Skills!P4)/100),0)</f>
        <v/>
      </c>
      <c r="U157">
        <f>290*U156/1000</f>
        <v/>
      </c>
      <c r="V157">
        <f>IF(C157,(H157*N157*IF(AND(Inputs!$B$38&lt;&gt;"pvp",Inputs!$B$43&gt;0),((Skills!G4*((R157-1)*IF(Skills!H4&gt;0,Skills!I4/Skills!H4,1)+IF(Skills!H4&gt;0,MIN(Skills!I4,MAX(0,MAX(0,Inputs!$B$43-B187)-((R157-1)*IF(Inputs!$B$38="pvp",15,MAX(0.1,Skills!D4-IF(Skills!E4=TRUE,Inputs!$B$32,0))))))/Skills!H4,1)))/Inputs!$B$43),G157*Q157))*IF(Inputs!$B$38="pvp",1,(1+(Inputs!$B$21+Skills!Q4)/100)*(MIN(Skills!R4,Inputs!$B$37))),0)</f>
        <v/>
      </c>
    </row>
    <row r="158">
      <c r="A158">
        <f>Skills!A5</f>
        <v/>
      </c>
      <c r="B158">
        <f>Skills!B5</f>
        <v/>
      </c>
      <c r="C158">
        <f>Inputs!$B$3&gt;=66</f>
        <v/>
      </c>
      <c r="D158">
        <f>IF(Skills!C5=1,60+Inputs!$B$25+Inputs!$B$29,IF(Skills!C5=2,90+Inputs!$B$26+Inputs!$B$29,IF(Skills!C5=3,120+Inputs!$B$27+Inputs!$B$29,MAX(0,(Inputs!$B$3-100)*3)+Inputs!$B$28+Inputs!$B$29)))</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((Inputs!$B$6*(1+Inputs!$B$7/100))+(((Inputs!$B$12*(1+Inputs!$B$13/100))-(Inputs!$B$12*(1+Inputs!$B$13/100)))+0.25*(Inputs!$B$14-Inputs!$B$14))*(1+Inputs!$B$7/100))*(F158/100)</f>
        <v/>
      </c>
      <c r="K158">
        <f>J158*(1+((Inputs!$B$12*(1+Inputs!$B$13/100))*0.01+Inputs!$B$14*0.0025)/100)*(1+(Inputs!$B$15+1)/100)*(1+Inputs!$B$16/100)*(5000/(6000+Inputs!$B$42*(1-(Inputs!$B$19+0)/100)))*(1+(Inputs!$B$24+0+B186)/100)*(1+1.0*IF(C165=TRUE,F165,0)/100)*(1+(IF(Skills!A5="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158)</f>
        <v/>
      </c>
      <c r="L158">
        <f>K158*(MIN(Inputs!$B$22+((C175=TRUE)*(F175-Calc!F22)),Inputs!$B$23+((C177=TRUE)*(F177-Calc!F24)))/100+(Inputs!$B$23+((C177=TRUE)*(F177-Calc!F24)))/100)/2</f>
        <v/>
      </c>
      <c r="M158">
        <f>L158*(1+(Inputs!$B$10+0+B185)/100)</f>
        <v/>
      </c>
      <c r="N158">
        <f>L158*(1-MIN((Inputs!$B$9+0+B180),100)/100)+M158*(MIN((Inputs!$B$9+0+B180),100)/100)</f>
        <v/>
      </c>
      <c r="O158">
        <f>(1-Summary!$B$55)*T158+Summary!$B$55*V158</f>
        <v/>
      </c>
      <c r="P158">
        <f>IF(B190=0,0,O158/B190)</f>
        <v/>
      </c>
      <c r="Q158">
        <f>IFERROR(1/IF(Inputs!$B$38="pvp",15,MAX(0.1,Skills!D5-IF(Skills!E5=TRUE,Inputs!$B$32,0))),0)</f>
        <v/>
      </c>
      <c r="R158">
        <f>IF(AND(Inputs!$B$38&lt;&gt;"pvp",Inputs!$B$43&gt;0),IF(MAX(0,Inputs!$B$43-B187)&lt;=0,0,(INT(MAX(0,Inputs!$B$43-B187)/IF(Inputs!$B$38="pvp",15,MAX(0.1,Skills!D5-IF(Skills!E5=TRUE,Inputs!$B$32,0))))+1)),0)</f>
        <v/>
      </c>
      <c r="S158">
        <f>IFERROR(O158/N158,0)</f>
        <v/>
      </c>
      <c r="T158">
        <f>IF(C158,(H158*N158*IF(AND(Inputs!$B$38&lt;&gt;"pvp",Inputs!$B$43&gt;0),((Skills!G5*((R158-1)*IF(Skills!H5&gt;0,Skills!I5/Skills!H5,1)+IF(Skills!H5&gt;0,MIN(Skills!I5,MAX(0,MAX(0,Inputs!$B$43-B187)-((R158-1)*IF(Inputs!$B$38="pvp",15,MAX(0.1,Skills!D5-IF(Skills!E5=TRUE,Inputs!$B$32,0))))))/Skills!H5,1)))/Inputs!$B$43),G158*Q158))*IF(Inputs!$B$38="pvp",1,1+(Inputs!$B$20+0+Skills!P5)/100),0)</f>
        <v/>
      </c>
      <c r="V158">
        <f>IF(C158,(H158*N158*IF(AND(Inputs!$B$38&lt;&gt;"pvp",Inputs!$B$43&gt;0),((Skills!G5*((R158-1)*IF(Skills!H5&gt;0,Skills!I5/Skills!H5,1)+IF(Skills!H5&gt;0,MIN(Skills!I5,MAX(0,MAX(0,Inputs!$B$43-B187)-((R158-1)*IF(Inputs!$B$38="pvp",15,MAX(0.1,Skills!D5-IF(Skills!E5=TRUE,Inputs!$B$32,0))))))/Skills!H5,1)))/Inputs!$B$43),G158*Q158))*IF(Inputs!$B$38="pvp",1,(1+(Inputs!$B$21+Skills!Q5)/100)*(MIN(Skills!R5,Inputs!$B$37))),0)</f>
        <v/>
      </c>
    </row>
    <row r="159">
      <c r="A159">
        <f>Skills!A6</f>
        <v/>
      </c>
      <c r="B159">
        <f>Skills!B6</f>
        <v/>
      </c>
      <c r="C159">
        <f>Inputs!$B$3&gt;=103</f>
        <v/>
      </c>
      <c r="D159">
        <f>IF(Skills!C6=1,60+Inputs!$B$25+Inputs!$B$29,IF(Skills!C6=2,90+Inputs!$B$26+Inputs!$B$29,IF(Skills!C6=3,120+Inputs!$B$27+Inputs!$B$29,MAX(0,(Inputs!$B$3-100)*3)+Inputs!$B$28+Inputs!$B$29)))</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((Inputs!$B$6*(1+Inputs!$B$7/100))+(((Inputs!$B$12*(1+Inputs!$B$13/100))-(Inputs!$B$12*(1+Inputs!$B$13/100)))+0.25*(Inputs!$B$14-Inputs!$B$14))*(1+Inputs!$B$7/100))*(F159/100)</f>
        <v/>
      </c>
      <c r="K159">
        <f>J159*(1+((Inputs!$B$12*(1+Inputs!$B$13/100))*0.01+Inputs!$B$14*0.0025)/100)*(1+(Inputs!$B$15+1)/100)*(1+Inputs!$B$16/100)*(5000/(6000+Inputs!$B$42*(1-(Inputs!$B$19+0)/100)))*(1+(Inputs!$B$24+0+B186)/100)*(1+(IF(Skills!A6="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159)</f>
        <v/>
      </c>
      <c r="L159">
        <f>K159*(MIN(Inputs!$B$22+((C175=TRUE)*(F175-Calc!F22)),Inputs!$B$23+((C177=TRUE)*(F177-Calc!F24)))/100+(Inputs!$B$23+((C177=TRUE)*(F177-Calc!F24)))/100)/2</f>
        <v/>
      </c>
      <c r="M159">
        <f>L159*(1+(Inputs!$B$10+0+B185)/100)</f>
        <v/>
      </c>
      <c r="N159">
        <f>L159*(1-MIN((Inputs!$B$9+0+B180),100)/100)+M159*(MIN((Inputs!$B$9+0+B180),100)/100)</f>
        <v/>
      </c>
      <c r="O159">
        <f>(1-Summary!$B$55)*T159+Summary!$B$55*V159</f>
        <v/>
      </c>
      <c r="P159">
        <f>IF(B190=0,0,O159/B190)</f>
        <v/>
      </c>
      <c r="Q159">
        <f>IFERROR(1/IF(Inputs!$B$38="pvp",15,MAX(0.1,Skills!D6-IF(Skills!E6=TRUE,Inputs!$B$32,0))),0)</f>
        <v/>
      </c>
      <c r="R159">
        <f>IF(AND(Inputs!$B$38&lt;&gt;"pvp",Inputs!$B$43&gt;0),IF(MAX(0,Inputs!$B$43-B187)&lt;=0,0,(INT(MAX(0,Inputs!$B$43-B187)/IF(Inputs!$B$38="pvp",15,MAX(0.1,Skills!D6-IF(Skills!E6=TRUE,Inputs!$B$32,0))))+1)),0)</f>
        <v/>
      </c>
      <c r="S159">
        <f>IFERROR(O159/N159,0)</f>
        <v/>
      </c>
      <c r="T159">
        <f>IF(C159,(H159*N159*IF(AND(Inputs!$B$38&lt;&gt;"pvp",Inputs!$B$43&gt;0),((Skills!G6*((R159-1)*IF(Skills!H6&gt;0,Skills!I6/Skills!H6,1)+IF(Skills!H6&gt;0,MIN(Skills!I6,MAX(0,MAX(0,Inputs!$B$43-B187)-((R159-1)*IF(Inputs!$B$38="pvp",15,MAX(0.1,Skills!D6-IF(Skills!E6=TRUE,Inputs!$B$32,0))))))/Skills!H6,1)))/Inputs!$B$43),G159*Q159))*IF(Inputs!$B$38="pvp",1,1+(Inputs!$B$20+0+Skills!P6)/100),0)</f>
        <v/>
      </c>
      <c r="V159">
        <f>IF(C159,(H159*N159*IF(AND(Inputs!$B$38&lt;&gt;"pvp",Inputs!$B$43&gt;0),((Skills!G6*((R159-1)*IF(Skills!H6&gt;0,Skills!I6/Skills!H6,1)+IF(Skills!H6&gt;0,MIN(Skills!I6,MAX(0,MAX(0,Inputs!$B$43-B187)-((R159-1)*IF(Inputs!$B$38="pvp",15,MAX(0.1,Skills!D6-IF(Skills!E6=TRUE,Inputs!$B$32,0))))))/Skills!H6,1)))/Inputs!$B$43),G159*Q159))*IF(Inputs!$B$38="pvp",1,(1+(Inputs!$B$21+Skills!Q6)/100)*(MIN(Skills!R6,Inputs!$B$37))),0)</f>
        <v/>
      </c>
    </row>
    <row r="160">
      <c r="A160">
        <f>Skills!A7</f>
        <v/>
      </c>
      <c r="B160">
        <f>Skills!B7</f>
        <v/>
      </c>
      <c r="C160">
        <f>Inputs!$B$3&gt;=107</f>
        <v/>
      </c>
      <c r="D160">
        <f>IF(Skills!C7=1,60+Inputs!$B$25+Inputs!$B$29,IF(Skills!C7=2,90+Inputs!$B$26+Inputs!$B$29,IF(Skills!C7=3,120+Inputs!$B$27+Inputs!$B$29,MAX(0,(Inputs!$B$3-100)*3)+Inputs!$B$28+Inputs!$B$29)))</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((Inputs!$B$6*(1+Inputs!$B$7/100))+(((Inputs!$B$12*(1+Inputs!$B$13/100))-(Inputs!$B$12*(1+Inputs!$B$13/100)))+0.25*(Inputs!$B$14-Inputs!$B$14))*(1+Inputs!$B$7/100))*(F160/100)</f>
        <v/>
      </c>
      <c r="K160">
        <f>J160*(1+((Inputs!$B$12*(1+Inputs!$B$13/100))*0.01+Inputs!$B$14*0.0025)/100)*(1+(Inputs!$B$15+1)/100)*(1+Inputs!$B$16/100)*(5000/(6000+Inputs!$B$42*(1-(Inputs!$B$19+0)/100)))*(1+(Inputs!$B$24+0+B186)/100)*(1+(IF(Skills!A7="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160)</f>
        <v/>
      </c>
      <c r="L160">
        <f>K160*(MIN(Inputs!$B$22+((C175=TRUE)*(F175-Calc!F22)),Inputs!$B$23+((C177=TRUE)*(F177-Calc!F24)))/100+(Inputs!$B$23+((C177=TRUE)*(F177-Calc!F24)))/100)/2</f>
        <v/>
      </c>
      <c r="M160">
        <f>L160*(1+(Inputs!$B$10+0+B185)/100)</f>
        <v/>
      </c>
      <c r="N160">
        <f>L160*(1-MIN((Inputs!$B$9+0+B180),100)/100)+M160*(MIN((Inputs!$B$9+0+B180),100)/100)</f>
        <v/>
      </c>
      <c r="O160">
        <f>(1-Summary!$B$55)*T160+Summary!$B$55*V160</f>
        <v/>
      </c>
      <c r="P160">
        <f>IF(B190=0,0,O160/B190)</f>
        <v/>
      </c>
      <c r="Q160">
        <f>IFERROR(1/IF(Inputs!$B$38="pvp",15,MAX(0.1,Skills!D7-IF(Skills!E7=TRUE,Inputs!$B$32,0))),0)</f>
        <v/>
      </c>
      <c r="R160">
        <f>IF(AND(Inputs!$B$38&lt;&gt;"pvp",Inputs!$B$43&gt;0),IF(MAX(0,Inputs!$B$43-B187)&lt;=0,0,(INT(MAX(0,Inputs!$B$43-B187)/IF(Inputs!$B$38="pvp",15,MAX(0.1,Skills!D7-IF(Skills!E7=TRUE,Inputs!$B$32,0))))+1)),0)</f>
        <v/>
      </c>
      <c r="S160">
        <f>IFERROR(O160/N160,0)</f>
        <v/>
      </c>
      <c r="T160">
        <f>IF(C160,(H160*N160*IF(AND(Inputs!$B$38&lt;&gt;"pvp",Inputs!$B$43&gt;0),((Skills!G7*((R160-1)*IF(Skills!H7&gt;0,Skills!I7/Skills!H7,1)+IF(Skills!H7&gt;0,MIN(Skills!I7,MAX(0,MAX(0,Inputs!$B$43-B187)-((R160-1)*IF(Inputs!$B$38="pvp",15,MAX(0.1,Skills!D7-IF(Skills!E7=TRUE,Inputs!$B$32,0))))))/Skills!H7,1)))/Inputs!$B$43),G160*Q160))*IF(Inputs!$B$38="pvp",1,1+(Inputs!$B$20+0+Skills!P7)/100),0)</f>
        <v/>
      </c>
      <c r="V160">
        <f>IF(C160,(H160*N160*IF(AND(Inputs!$B$38&lt;&gt;"pvp",Inputs!$B$43&gt;0),((Skills!G7*((R160-1)*IF(Skills!H7&gt;0,Skills!I7/Skills!H7,1)+IF(Skills!H7&gt;0,MIN(Skills!I7,MAX(0,MAX(0,Inputs!$B$43-B187)-((R160-1)*IF(Inputs!$B$38="pvp",15,MAX(0.1,Skills!D7-IF(Skills!E7=TRUE,Inputs!$B$32,0))))))/Skills!H7,1)))/Inputs!$B$43),G160*Q160))*IF(Inputs!$B$38="pvp",1,(1+(Inputs!$B$21+Skills!Q7)/100)*(MIN(Skills!R7,Inputs!$B$37))),0)</f>
        <v/>
      </c>
    </row>
    <row r="161">
      <c r="A161">
        <f>Skills!A8</f>
        <v/>
      </c>
      <c r="B161">
        <f>Skills!B8</f>
        <v/>
      </c>
      <c r="C161">
        <f>Inputs!$B$3&gt;=107</f>
        <v/>
      </c>
      <c r="D161">
        <f>IF(Skills!C8=1,60+Inputs!$B$25+Inputs!$B$29,IF(Skills!C8=2,90+Inputs!$B$26+Inputs!$B$29,IF(Skills!C8=3,120+Inputs!$B$27+Inputs!$B$29,MAX(0,(Inputs!$B$3-100)*3)+Inputs!$B$28+Inputs!$B$29)))</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((Inputs!$B$6*(1+Inputs!$B$7/100))+(((Inputs!$B$12*(1+Inputs!$B$13/100))-(Inputs!$B$12*(1+Inputs!$B$13/100)))+0.25*(Inputs!$B$14-Inputs!$B$14))*(1+Inputs!$B$7/100))*(F161/100)</f>
        <v/>
      </c>
      <c r="K161">
        <f>J161*(1+((Inputs!$B$12*(1+Inputs!$B$13/100))*0.01+Inputs!$B$14*0.0025)/100)*(1+(Inputs!$B$15+1)/100)*(1+Inputs!$B$16/100)*(5000/(6000+Inputs!$B$42*(1-(Inputs!$B$19+0)/100)))*(1+(Inputs!$B$24+0+B186)/100)*(1+(IF(Skills!A8="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161)</f>
        <v/>
      </c>
      <c r="L161">
        <f>K161*(MIN(Inputs!$B$22+((C175=TRUE)*(F175-Calc!F22)),Inputs!$B$23+((C177=TRUE)*(F177-Calc!F24)))/100+(Inputs!$B$23+((C177=TRUE)*(F177-Calc!F24)))/100)/2</f>
        <v/>
      </c>
      <c r="M161">
        <f>L161*(1+(Inputs!$B$10+0+B185)/100)</f>
        <v/>
      </c>
      <c r="N161">
        <f>L161*(1-MIN((Inputs!$B$9+0+B180),100)/100)+M161*(MIN((Inputs!$B$9+0+B180),100)/100)</f>
        <v/>
      </c>
      <c r="O161">
        <f>(1-Summary!$B$55)*T161+Summary!$B$55*V161</f>
        <v/>
      </c>
      <c r="P161">
        <f>IF(B190=0,0,O161/B190)</f>
        <v/>
      </c>
      <c r="Q161">
        <f>IFERROR(1/IF(Inputs!$B$38="pvp",15,MAX(0.1,Skills!D8-IF(Skills!E8=TRUE,Inputs!$B$32,0))),0)</f>
        <v/>
      </c>
      <c r="R161">
        <f>IF(AND(Inputs!$B$38&lt;&gt;"pvp",Inputs!$B$43&gt;0),IF(MAX(0,Inputs!$B$43-B187)&lt;=0,0,(INT(MAX(0,Inputs!$B$43-B187)/IF(Inputs!$B$38="pvp",15,MAX(0.1,Skills!D8-IF(Skills!E8=TRUE,Inputs!$B$32,0))))+1)),0)</f>
        <v/>
      </c>
      <c r="S161">
        <f>IFERROR(O161/N161,0)</f>
        <v/>
      </c>
      <c r="T161">
        <f>IF(C161,(H161*N161*IF(AND(Inputs!$B$38&lt;&gt;"pvp",Inputs!$B$43&gt;0),((Skills!G8*((R161-1)*IF(Skills!H8&gt;0,Skills!I8/Skills!H8,1)+IF(Skills!H8&gt;0,MIN(Skills!I8,MAX(0,MAX(0,Inputs!$B$43-B187)-((R161-1)*IF(Inputs!$B$38="pvp",15,MAX(0.1,Skills!D8-IF(Skills!E8=TRUE,Inputs!$B$32,0))))))/Skills!H8,1)))/Inputs!$B$43),G161*Q161))*IF(Inputs!$B$38="pvp",1,1+(Inputs!$B$20+0+Skills!P8)/100),0)</f>
        <v/>
      </c>
      <c r="V161">
        <f>IF(C161,(H161*N161*IF(AND(Inputs!$B$38&lt;&gt;"pvp",Inputs!$B$43&gt;0),((Skills!G8*((R161-1)*IF(Skills!H8&gt;0,Skills!I8/Skills!H8,1)+IF(Skills!H8&gt;0,MIN(Skills!I8,MAX(0,MAX(0,Inputs!$B$43-B187)-((R161-1)*IF(Inputs!$B$38="pvp",15,MAX(0.1,Skills!D8-IF(Skills!E8=TRUE,Inputs!$B$32,0))))))/Skills!H8,1)))/Inputs!$B$43),G161*Q161))*IF(Inputs!$B$38="pvp",1,(1+(Inputs!$B$21+Skills!Q8)/100)*(MIN(Skills!R8,Inputs!$B$37))),0)</f>
        <v/>
      </c>
    </row>
    <row r="162">
      <c r="A162">
        <f>Skills!A9</f>
        <v/>
      </c>
      <c r="B162">
        <f>Skills!B9</f>
        <v/>
      </c>
      <c r="C162">
        <f>Inputs!$B$3&gt;=125</f>
        <v/>
      </c>
      <c r="D162">
        <f>IF(Skills!C9=1,60+Inputs!$B$25+Inputs!$B$29,IF(Skills!C9=2,90+Inputs!$B$26+Inputs!$B$29,IF(Skills!C9=3,120+Inputs!$B$27+Inputs!$B$29,MAX(0,(Inputs!$B$3-100)*3)+Inputs!$B$28+Inputs!$B$29)))</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((Inputs!$B$6*(1+Inputs!$B$7/100))+(((Inputs!$B$12*(1+Inputs!$B$13/100))-(Inputs!$B$12*(1+Inputs!$B$13/100)))+0.25*(Inputs!$B$14-Inputs!$B$14))*(1+Inputs!$B$7/100))*(F162/100)</f>
        <v/>
      </c>
      <c r="K162">
        <f>J162*(1+((Inputs!$B$12*(1+Inputs!$B$13/100))*0.01+Inputs!$B$14*0.0025)/100)*(1+(Inputs!$B$15+1)/100)*(1+Inputs!$B$16/100)*(5000/(6000+Inputs!$B$42*(1-(Inputs!$B$19+0)/100)))*(1+(Inputs!$B$24+0+B186)/100)*(1+(IF(Skills!A9="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162)</f>
        <v/>
      </c>
      <c r="L162">
        <f>K162*(MIN(Inputs!$B$22+((C175=TRUE)*(F175-Calc!F22)),Inputs!$B$23+((C177=TRUE)*(F177-Calc!F24)))/100+(Inputs!$B$23+((C177=TRUE)*(F177-Calc!F24)))/100)/2</f>
        <v/>
      </c>
      <c r="M162">
        <f>L162*(1+(Inputs!$B$10+0+B185)/100)</f>
        <v/>
      </c>
      <c r="N162">
        <f>L162*(1-MIN((Inputs!$B$9+0+B180),100)/100)+M162*(MIN((Inputs!$B$9+0+B180),100)/100)</f>
        <v/>
      </c>
      <c r="O162">
        <f>(1-Summary!$B$55)*T162+Summary!$B$55*V162</f>
        <v/>
      </c>
      <c r="P162">
        <f>IF(B190=0,0,O162/B190)</f>
        <v/>
      </c>
      <c r="Q162">
        <f>IFERROR(1/IF(Inputs!$B$38="pvp",15,MAX(0.1,Skills!D9-IF(Skills!E9=TRUE,Inputs!$B$32,0))),0)</f>
        <v/>
      </c>
      <c r="R162">
        <f>IF(AND(Inputs!$B$38&lt;&gt;"pvp",Inputs!$B$43&gt;0),IF(MAX(0,Inputs!$B$43-B187)&lt;=0,0,(INT(MAX(0,Inputs!$B$43-B187)/IF(Inputs!$B$38="pvp",15,MAX(0.1,Skills!D9-IF(Skills!E9=TRUE,Inputs!$B$32,0))))+1)),0)</f>
        <v/>
      </c>
      <c r="S162">
        <f>IFERROR(O162/N162,0)</f>
        <v/>
      </c>
      <c r="T162">
        <f>IF(C162,(H162*N162*IF(AND(Inputs!$B$38&lt;&gt;"pvp",Inputs!$B$43&gt;0),((Skills!G9*((R162-1)*IF(Skills!H9&gt;0,Skills!I9/Skills!H9,1)+IF(Skills!H9&gt;0,MIN(Skills!I9,MAX(0,MAX(0,Inputs!$B$43-B187)-((R162-1)*IF(Inputs!$B$38="pvp",15,MAX(0.1,Skills!D9-IF(Skills!E9=TRUE,Inputs!$B$32,0))))))/Skills!H9,1)))/Inputs!$B$43),G162*Q162))*IF(Inputs!$B$38="pvp",1,1+(Inputs!$B$20+0+Skills!P9)/100),0)</f>
        <v/>
      </c>
      <c r="V162">
        <f>IF(C162,(H162*N162*IF(AND(Inputs!$B$38&lt;&gt;"pvp",Inputs!$B$43&gt;0),((Skills!G9*((R162-1)*IF(Skills!H9&gt;0,Skills!I9/Skills!H9,1)+IF(Skills!H9&gt;0,MIN(Skills!I9,MAX(0,MAX(0,Inputs!$B$43-B187)-((R162-1)*IF(Inputs!$B$38="pvp",15,MAX(0.1,Skills!D9-IF(Skills!E9=TRUE,Inputs!$B$32,0))))))/Skills!H9,1)))/Inputs!$B$43),G162*Q162))*IF(Inputs!$B$38="pvp",1,(1+(Inputs!$B$21+Skills!Q9)/100)*(MIN(Skills!R9,Inputs!$B$37))),0)</f>
        <v/>
      </c>
    </row>
    <row r="163">
      <c r="A163">
        <f>Skills!A10</f>
        <v/>
      </c>
      <c r="B163">
        <f>Skills!B10</f>
        <v/>
      </c>
      <c r="C163">
        <f>Inputs!$B$3&gt;=117</f>
        <v/>
      </c>
      <c r="D163">
        <f>IF(Skills!C10=1,60+Inputs!$B$25+Inputs!$B$29,IF(Skills!C10=2,90+Inputs!$B$26+Inputs!$B$29,IF(Skills!C10=3,120+Inputs!$B$27+Inputs!$B$29,MAX(0,(Inputs!$B$3-100)*3)+Inputs!$B$28+Inputs!$B$29)))</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((Inputs!$B$6*(1+Inputs!$B$7/100))+(((Inputs!$B$12*(1+Inputs!$B$13/100))-(Inputs!$B$12*(1+Inputs!$B$13/100)))+0.25*(Inputs!$B$14-Inputs!$B$14))*(1+Inputs!$B$7/100))*(F163/100)</f>
        <v/>
      </c>
      <c r="K163">
        <f>J163*(1+((Inputs!$B$12*(1+Inputs!$B$13/100))*0.01+Inputs!$B$14*0.0025)/100)*(1+(Inputs!$B$15+1)/100)*(1+Inputs!$B$16/100)*(5000/(6000+Inputs!$B$42*(1-(Inputs!$B$19+0)/100)))*(1+(Inputs!$B$24+0+B186)/100)*(1+(IF(Skills!A10="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163)</f>
        <v/>
      </c>
      <c r="L163">
        <f>K163*(MIN(Inputs!$B$22+((C175=TRUE)*(F175-Calc!F22)),Inputs!$B$23+((C177=TRUE)*(F177-Calc!F24)))/100+(Inputs!$B$23+((C177=TRUE)*(F177-Calc!F24)))/100)/2</f>
        <v/>
      </c>
      <c r="M163">
        <f>L163*(1+(Inputs!$B$10+0+B185)/100)</f>
        <v/>
      </c>
      <c r="N163">
        <f>L163*(1-MIN((Inputs!$B$9+0+B180),100)/100)+M163*(MIN((Inputs!$B$9+0+B180),100)/100)</f>
        <v/>
      </c>
      <c r="O163">
        <f>(1-Summary!$B$55)*T163+Summary!$B$55*V163</f>
        <v/>
      </c>
      <c r="P163">
        <f>IF(B190=0,0,O163/B190)</f>
        <v/>
      </c>
      <c r="Q163">
        <f>IFERROR(1/IF(Inputs!$B$38="pvp",15,MAX(0.1,Skills!D10-IF(Skills!E10=TRUE,Inputs!$B$32,0))),0)</f>
        <v/>
      </c>
      <c r="R163">
        <f>IF(AND(Inputs!$B$38&lt;&gt;"pvp",Inputs!$B$43&gt;0),IF(MAX(0,Inputs!$B$43-B187)&lt;=0,0,(INT(MAX(0,Inputs!$B$43-B187)/IF(Inputs!$B$38="pvp",15,MAX(0.1,Skills!D10-IF(Skills!E10=TRUE,Inputs!$B$32,0))))+1)),0)</f>
        <v/>
      </c>
      <c r="S163">
        <f>IFERROR(O163/N163,0)</f>
        <v/>
      </c>
      <c r="T163">
        <f>IF(C163,(H163*N163*IF(AND(Inputs!$B$38&lt;&gt;"pvp",Inputs!$B$43&gt;0),((Skills!G10*((R163-1)*IF(Skills!H10&gt;0,Skills!I10/Skills!H10,1)+IF(Skills!H10&gt;0,MIN(Skills!I10,MAX(0,MAX(0,Inputs!$B$43-B187)-((R163-1)*IF(Inputs!$B$38="pvp",15,MAX(0.1,Skills!D10-IF(Skills!E10=TRUE,Inputs!$B$32,0))))))/Skills!H10,1)))/Inputs!$B$43),G163*Q163))*IF(Inputs!$B$38="pvp",1,1+(Inputs!$B$20+0+Skills!P10)/100),0)</f>
        <v/>
      </c>
      <c r="V163">
        <f>IF(C163,(H163*N163*IF(AND(Inputs!$B$38&lt;&gt;"pvp",Inputs!$B$43&gt;0),((Skills!G10*((R163-1)*IF(Skills!H10&gt;0,Skills!I10/Skills!H10,1)+IF(Skills!H10&gt;0,MIN(Skills!I10,MAX(0,MAX(0,Inputs!$B$43-B187)-((R163-1)*IF(Inputs!$B$38="pvp",15,MAX(0.1,Skills!D10-IF(Skills!E10=TRUE,Inputs!$B$32,0))))))/Skills!H10,1)))/Inputs!$B$43),G163*Q163))*IF(Inputs!$B$38="pvp",1,(1+(Inputs!$B$21+Skills!Q10)/100)*(MIN(Skills!R10,Inputs!$B$37))),0)</f>
        <v/>
      </c>
    </row>
    <row r="164">
      <c r="A164">
        <f>Skills!A11</f>
        <v/>
      </c>
      <c r="B164">
        <f>Skills!B11</f>
        <v/>
      </c>
      <c r="C164">
        <f>Inputs!$B$3&gt;=63</f>
        <v/>
      </c>
      <c r="D164">
        <f>IF(Skills!C11=1,60+Inputs!$B$25+Inputs!$B$29,IF(Skills!C11=2,90+Inputs!$B$26+Inputs!$B$29,IF(Skills!C11=3,120+Inputs!$B$27+Inputs!$B$29,MAX(0,(Inputs!$B$3-100)*3)+Inputs!$B$28+Inputs!$B$29)))</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((Inputs!$B$6*(1+Inputs!$B$7/100))+(((Inputs!$B$12*(1+Inputs!$B$13/100))-(Inputs!$B$12*(1+Inputs!$B$13/100)))+0.25*(Inputs!$B$14-Inputs!$B$14))*(1+Inputs!$B$7/100))*(F164/100)</f>
        <v/>
      </c>
      <c r="K164">
        <f>J164*(1+((Inputs!$B$12*(1+Inputs!$B$13/100))*0.01+Inputs!$B$14*0.0025)/100)*(1+(Inputs!$B$15+1)/100)*(1+Inputs!$B$16/100)*(5000/(6000+Inputs!$B$42*(1-(Inputs!$B$19+0)/100)))*(1+(Inputs!$B$24+0+B186)/100)*(1+1.5*IF(C165=TRUE,F165,0)/100)*(1+(IF(Skills!A11="BLAST",Inputs!$B$17+((C174=TRUE)*(F174-Calc!F21)),Inputs!$B$18+((C176=TRUE)*(F176-Calc!F23))))/100)*((1+(((C166=TRUE)*F166*MIN(1,Skills!T13*(Skills!J13/100)*B184))+((C171=TRUE)*F171*IF(AND(Inputs!$B$38&lt;&gt;"pvp",Inputs!$B$43&gt;0),(((R171-1)*(Skills!T18*(1+Inputs!$B$34/100))+MIN((Skills!T18*(1+Inputs!$B$34/100)),MAX(0,Inputs!$B$43-((R171-1)*Skills!D18))))/Inputs!$B$43),IF(Inputs!$B$38="pvp",MIN((Skills!T18*(1+Inputs!$B$34/100)),15)/15,(Skills!T18*(1+Inputs!$B$34/100))/Skills!D18)))+0)/100)*I164)</f>
        <v/>
      </c>
      <c r="L164">
        <f>K164*(MIN(Inputs!$B$22+((C175=TRUE)*(F175-Calc!F22)),Inputs!$B$23+((C177=TRUE)*(F177-Calc!F24)))/100+(Inputs!$B$23+((C177=TRUE)*(F177-Calc!F24)))/100)/2</f>
        <v/>
      </c>
      <c r="M164">
        <f>L164*(1+(Inputs!$B$10+0+B185)/100)</f>
        <v/>
      </c>
      <c r="N164">
        <f>L164*(1-MIN((Inputs!$B$9+0+B180),100)/100)+M164*(MIN((Inputs!$B$9+0+B180),100)/100)</f>
        <v/>
      </c>
      <c r="O164">
        <f>(1-Summary!$B$55)*T164+Summary!$B$55*V164</f>
        <v/>
      </c>
      <c r="P164">
        <f>IF(B190=0,0,O164/B190)</f>
        <v/>
      </c>
      <c r="Q164">
        <f>IFERROR(1/IF(Inputs!$B$38="pvp",15,MAX(0.1,Skills!D11-IF(Skills!E11=TRUE,Inputs!$B$32,0))),0)</f>
        <v/>
      </c>
      <c r="R164">
        <f>IF(AND(Inputs!$B$38&lt;&gt;"pvp",Inputs!$B$43&gt;0),IF(MAX(0,Inputs!$B$43-B187)&lt;=0,0,(INT(MAX(0,Inputs!$B$43-B187)/IF(Inputs!$B$38="pvp",15,MAX(0.1,Skills!D11-IF(Skills!E11=TRUE,Inputs!$B$32,0))))+1)),0)</f>
        <v/>
      </c>
      <c r="S164">
        <f>IFERROR(O164/N164,0)</f>
        <v/>
      </c>
      <c r="T164">
        <f>IF(C164,(H164*N164*IF(AND(Inputs!$B$38&lt;&gt;"pvp",Inputs!$B$43&gt;0),((Skills!G11*((R164-1)*IF(Skills!H11&gt;0,Skills!I11/Skills!H11,1)+IF(Skills!H11&gt;0,MIN(Skills!I11,MAX(0,MAX(0,Inputs!$B$43-B187)-((R164-1)*IF(Inputs!$B$38="pvp",15,MAX(0.1,Skills!D11-IF(Skills!E11=TRUE,Inputs!$B$32,0))))))/Skills!H11,1)))/Inputs!$B$43),G164*Q164))*IF(Inputs!$B$38="pvp",1,1+(Inputs!$B$20+0+Skills!P11)/100),0)</f>
        <v/>
      </c>
      <c r="V164">
        <f>IF(C164,(H164*N164*IF(AND(Inputs!$B$38&lt;&gt;"pvp",Inputs!$B$43&gt;0),((Skills!G11*((R164-1)*IF(Skills!H11&gt;0,Skills!I11/Skills!H11,1)+IF(Skills!H11&gt;0,MIN(Skills!I11,MAX(0,MAX(0,Inputs!$B$43-B187)-((R164-1)*IF(Inputs!$B$38="pvp",15,MAX(0.1,Skills!D11-IF(Skills!E11=TRUE,Inputs!$B$32,0))))))/Skills!H11,1)))/Inputs!$B$43),G164*Q164))*IF(Inputs!$B$38="pvp",1,(1+(Inputs!$B$21+Skills!Q11)/100)*(MIN(Skills!R11,Inputs!$B$37))),0)</f>
        <v/>
      </c>
    </row>
    <row r="165">
      <c r="A165">
        <f>Skills!A12</f>
        <v/>
      </c>
      <c r="B165">
        <f>Skills!B12</f>
        <v/>
      </c>
      <c r="C165">
        <f>Inputs!$B$3&gt;=100</f>
        <v/>
      </c>
      <c r="D165">
        <f>IF(Skills!C12=1,60+Inputs!$B$25+Inputs!$B$29,IF(Skills!C12=2,90+Inputs!$B$26+Inputs!$B$29,IF(Skills!C12=3,120+Inputs!$B$27+Inputs!$B$29,MAX(0,(Inputs!$B$3-100)*3)+Inputs!$B$28+Inputs!$B$29)))</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IF(Skills!C13=1,60+Inputs!$B$25+Inputs!$B$29,IF(Skills!C13=2,90+Inputs!$B$26+Inputs!$B$29,IF(Skills!C13=3,120+Inputs!$B$27+Inputs!$B$29,MAX(0,(Inputs!$B$3-100)*3)+Inputs!$B$28+Inputs!$B$29)))</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f>(1-Summary!$B$55)*T166+Summary!$B$55*V166</f>
        <v/>
      </c>
      <c r="P166">
        <f>IF(B190=0,0,O166/B190)</f>
        <v/>
      </c>
      <c r="Q166" t="n">
        <v>0</v>
      </c>
      <c r="R166" t="n">
        <v>0</v>
      </c>
      <c r="S166">
        <f>IFERROR(O166/N166,0)</f>
        <v/>
      </c>
      <c r="T166" t="n">
        <v>0</v>
      </c>
      <c r="V166" t="n">
        <v>0</v>
      </c>
    </row>
    <row r="167">
      <c r="A167">
        <f>Skills!A14</f>
        <v/>
      </c>
      <c r="B167">
        <f>Skills!B14</f>
        <v/>
      </c>
      <c r="C167">
        <f>Inputs!$B$3&gt;=110</f>
        <v/>
      </c>
      <c r="D167">
        <f>IF(Skills!C14=1,60+Inputs!$B$25+Inputs!$B$29,IF(Skills!C14=2,90+Inputs!$B$26+Inputs!$B$29,IF(Skills!C14=3,120+Inputs!$B$27+Inputs!$B$29,MAX(0,(Inputs!$B$3-100)*3)+Inputs!$B$28+Inputs!$B$29)))</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f>(1-Summary!$B$55)*T167+Summary!$B$55*V167</f>
        <v/>
      </c>
      <c r="P167">
        <f>IF(B190=0,0,O167/B190)</f>
        <v/>
      </c>
      <c r="Q167" t="n">
        <v>0</v>
      </c>
      <c r="R167" t="n">
        <v>0</v>
      </c>
      <c r="S167">
        <f>IFERROR(O167/N167,0)</f>
        <v/>
      </c>
      <c r="T167" t="n">
        <v>0</v>
      </c>
      <c r="V167" t="n">
        <v>0</v>
      </c>
    </row>
    <row r="168">
      <c r="A168">
        <f>Skills!A15</f>
        <v/>
      </c>
      <c r="B168">
        <f>Skills!B15</f>
        <v/>
      </c>
      <c r="C168">
        <f>Inputs!$B$3&gt;=75</f>
        <v/>
      </c>
      <c r="D168">
        <f>IF(Skills!C15=1,60+Inputs!$B$25+Inputs!$B$29,IF(Skills!C15=2,90+Inputs!$B$26+Inputs!$B$29,IF(Skills!C15=3,120+Inputs!$B$27+Inputs!$B$29,MAX(0,(Inputs!$B$3-100)*3)+Inputs!$B$28+Inputs!$B$29)))</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f>(1-Summary!$B$55)*T168+Summary!$B$55*V168</f>
        <v/>
      </c>
      <c r="P168">
        <f>IF(B190=0,0,O168/B190)</f>
        <v/>
      </c>
      <c r="Q168">
        <f>IFERROR(1/IF(Inputs!$B$38="pvp",15,MAX(0.1,Skills!D15-IF(Skills!E15=TRUE,Inputs!$B$32,0))),0)</f>
        <v/>
      </c>
      <c r="R168">
        <f>IF(AND(Inputs!$B$38&lt;&gt;"pvp",Inputs!$B$43&gt;0),IF(Inputs!$B$43&lt;=0,0,(INT(Inputs!$B$43/IF(Inputs!$B$38="pvp",15,MAX(0.1,Skills!D15-IF(Skills!E15=TRUE,Inputs!$B$32,0))))+1)),0)</f>
        <v/>
      </c>
      <c r="S168">
        <f>IFERROR(O168/N168,0)</f>
        <v/>
      </c>
      <c r="T168" t="n">
        <v>0</v>
      </c>
      <c r="V168" t="n">
        <v>0</v>
      </c>
    </row>
    <row r="169">
      <c r="A169">
        <f>Skills!A16</f>
        <v/>
      </c>
      <c r="B169">
        <f>Skills!B16</f>
        <v/>
      </c>
      <c r="C169">
        <f>Inputs!$B$3&gt;=105</f>
        <v/>
      </c>
      <c r="D169">
        <f>IF(Skills!C16=1,60+Inputs!$B$25+Inputs!$B$29,IF(Skills!C16=2,90+Inputs!$B$26+Inputs!$B$29,IF(Skills!C16=3,120+Inputs!$B$27+Inputs!$B$29,MAX(0,(Inputs!$B$3-100)*3)+Inputs!$B$28+Inputs!$B$29)))</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f>(1-Summary!$B$55)*T169+Summary!$B$55*V169</f>
        <v/>
      </c>
      <c r="P169">
        <f>IF(B190=0,0,O169/B190)</f>
        <v/>
      </c>
      <c r="Q169">
        <f>IFERROR(1/IF(Inputs!$B$38="pvp",15,MAX(0.1,Skills!D16-IF(Skills!E16=TRUE,Inputs!$B$32,0))),0)</f>
        <v/>
      </c>
      <c r="R169">
        <f>IF(AND(Inputs!$B$38&lt;&gt;"pvp",Inputs!$B$43&gt;0),IF(Inputs!$B$43&lt;=0,0,(INT(Inputs!$B$43/IF(Inputs!$B$38="pvp",15,MAX(0.1,Skills!D16-IF(Skills!E16=TRUE,Inputs!$B$32,0))))+1)),0)</f>
        <v/>
      </c>
      <c r="S169">
        <f>IFERROR(O169/N169,0)</f>
        <v/>
      </c>
      <c r="T169" t="n">
        <v>0</v>
      </c>
      <c r="V169" t="n">
        <v>0</v>
      </c>
    </row>
    <row r="170">
      <c r="A170">
        <f>Skills!A17</f>
        <v/>
      </c>
      <c r="B170">
        <f>Skills!B17</f>
        <v/>
      </c>
      <c r="C170">
        <f>Inputs!$B$3&gt;=115</f>
        <v/>
      </c>
      <c r="D170">
        <f>IF(Skills!C17=1,60+Inputs!$B$25+Inputs!$B$29,IF(Skills!C17=2,90+Inputs!$B$26+Inputs!$B$29,IF(Skills!C17=3,120+Inputs!$B$27+Inputs!$B$29,MAX(0,(Inputs!$B$3-100)*3)+Inputs!$B$28+Inputs!$B$29)))</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f>(1-Summary!$B$55)*T170+Summary!$B$55*V170</f>
        <v/>
      </c>
      <c r="P170">
        <f>IF(B190=0,0,O170/B190)</f>
        <v/>
      </c>
      <c r="Q170">
        <f>IFERROR(1/IF(Inputs!$B$38="pvp",15,MAX(0.1,Skills!D17-IF(Skills!E17=TRUE,Inputs!$B$32,0))),0)</f>
        <v/>
      </c>
      <c r="R170">
        <f>IF(AND(Inputs!$B$38&lt;&gt;"pvp",Inputs!$B$43&gt;0),IF(Inputs!$B$43&lt;=0,0,(INT(Inputs!$B$43/IF(Inputs!$B$38="pvp",15,MAX(0.1,Skills!D17-IF(Skills!E17=TRUE,Inputs!$B$32,0))))+1)),0)</f>
        <v/>
      </c>
      <c r="S170">
        <f>IFERROR(O170/N170,0)</f>
        <v/>
      </c>
      <c r="T170" t="n">
        <v>0</v>
      </c>
      <c r="V170" t="n">
        <v>0</v>
      </c>
    </row>
    <row r="171">
      <c r="A171">
        <f>Skills!A18</f>
        <v/>
      </c>
      <c r="B171">
        <f>Skills!B18</f>
        <v/>
      </c>
      <c r="C171">
        <f>Inputs!$B$3&gt;=74</f>
        <v/>
      </c>
      <c r="D171">
        <f>IF(Skills!C18=1,60+Inputs!$B$25+Inputs!$B$29,IF(Skills!C18=2,90+Inputs!$B$26+Inputs!$B$29,IF(Skills!C18=3,120+Inputs!$B$27+Inputs!$B$29,MAX(0,(Inputs!$B$3-100)*3)+Inputs!$B$28+Inputs!$B$29)))</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f>(1-Summary!$B$55)*T171+Summary!$B$55*V171</f>
        <v/>
      </c>
      <c r="P171">
        <f>IF(B190=0,0,O171/B190)</f>
        <v/>
      </c>
      <c r="Q171">
        <f>IFERROR(1/IF(Inputs!$B$38="pvp",15,MAX(0.1,Skills!D18-IF(Skills!E18=TRUE,Inputs!$B$32,0))),0)</f>
        <v/>
      </c>
      <c r="R171">
        <f>IF(AND(Inputs!$B$38&lt;&gt;"pvp",Inputs!$B$43&gt;0),IF(Inputs!$B$43&lt;=0,0,(INT(Inputs!$B$43/IF(Inputs!$B$38="pvp",15,MAX(0.1,Skills!D18-IF(Skills!E18=TRUE,Inputs!$B$32,0))))+1)),0)</f>
        <v/>
      </c>
      <c r="S171">
        <f>IFERROR(O171/N171,0)</f>
        <v/>
      </c>
      <c r="T171" t="n">
        <v>0</v>
      </c>
      <c r="V171" t="n">
        <v>0</v>
      </c>
    </row>
    <row r="172">
      <c r="A172">
        <f>Skills!A19</f>
        <v/>
      </c>
      <c r="B172">
        <f>Skills!B19</f>
        <v/>
      </c>
      <c r="C172">
        <f>TRUE</f>
        <v/>
      </c>
      <c r="D172">
        <f>IF(Skills!C19=1,60+Inputs!$B$25+Inputs!$B$29,IF(Skills!C19=2,90+Inputs!$B$26+Inputs!$B$29,IF(Skills!C19=3,120+Inputs!$B$27+Inputs!$B$29,MAX(0,(Inputs!$B$3-100)*3)+Inputs!$B$28+Inputs!$B$29)))</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f>(1-Summary!$B$55)*T172+Summary!$B$55*V172</f>
        <v/>
      </c>
      <c r="P172">
        <f>IF(B190=0,0,O172/B190)</f>
        <v/>
      </c>
      <c r="Q172">
        <f>IFERROR(1/IF(Inputs!$B$38="pvp",15,MAX(0.1,Skills!D19-IF(Skills!E19=TRUE,Inputs!$B$32,0))),0)</f>
        <v/>
      </c>
      <c r="R172">
        <f>IF(AND(Inputs!$B$38&lt;&gt;"pvp",Inputs!$B$43&gt;0),IF(Inputs!$B$43&lt;=0,0,(INT(Inputs!$B$43/IF(Inputs!$B$38="pvp",15,MAX(0.1,Skills!D19-IF(Skills!E19=TRUE,Inputs!$B$32,0))))+1)),0)</f>
        <v/>
      </c>
      <c r="S172">
        <f>IFERROR(O172/N172,0)</f>
        <v/>
      </c>
      <c r="T172" t="n">
        <v>0</v>
      </c>
      <c r="V172" t="n">
        <v>0</v>
      </c>
    </row>
    <row r="173">
      <c r="A173">
        <f>Skills!A20</f>
        <v/>
      </c>
      <c r="B173">
        <f>Skills!B20</f>
        <v/>
      </c>
      <c r="C173">
        <f>Inputs!$B$3&gt;=33</f>
        <v/>
      </c>
      <c r="D173">
        <f>IF(Skills!C20=1,60+Inputs!$B$25+Inputs!$B$29,IF(Skills!C20=2,90+Inputs!$B$26+Inputs!$B$29,IF(Skills!C20=3,120+Inputs!$B$27+Inputs!$B$29,MAX(0,(Inputs!$B$3-100)*3)+Inputs!$B$28+Inputs!$B$29)))</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f>(1-Summary!$B$55)*T173+Summary!$B$55*V173</f>
        <v/>
      </c>
      <c r="P173">
        <f>IF(B190=0,0,O173/B190)</f>
        <v/>
      </c>
      <c r="Q173" t="n">
        <v>0</v>
      </c>
      <c r="R173" t="n">
        <v>0</v>
      </c>
      <c r="S173">
        <f>IFERROR(O173/N173,0)</f>
        <v/>
      </c>
      <c r="T173" t="n">
        <v>0</v>
      </c>
      <c r="V173" t="n">
        <v>0</v>
      </c>
    </row>
    <row r="174">
      <c r="A174">
        <f>Skills!A21</f>
        <v/>
      </c>
      <c r="B174">
        <f>Skills!B21</f>
        <v/>
      </c>
      <c r="C174">
        <f>Inputs!$B$3&gt;=38</f>
        <v/>
      </c>
      <c r="D174">
        <f>IF(Skills!C21=1,60+Inputs!$B$25+Inputs!$B$29,IF(Skills!C21=2,90+Inputs!$B$26+Inputs!$B$29,IF(Skills!C21=3,120+Inputs!$B$27+Inputs!$B$29,MAX(0,(Inputs!$B$3-100)*3)+Inputs!$B$28+Inputs!$B$29)))</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f>(1-Summary!$B$55)*T174+Summary!$B$55*V174</f>
        <v/>
      </c>
      <c r="P174">
        <f>IF(B190=0,0,O174/B190)</f>
        <v/>
      </c>
      <c r="Q174" t="n">
        <v>0</v>
      </c>
      <c r="R174" t="n">
        <v>0</v>
      </c>
      <c r="S174">
        <f>IFERROR(O174/N174,0)</f>
        <v/>
      </c>
      <c r="T174" t="n">
        <v>0</v>
      </c>
      <c r="V174" t="n">
        <v>0</v>
      </c>
    </row>
    <row r="175">
      <c r="A175">
        <f>Skills!A22</f>
        <v/>
      </c>
      <c r="B175">
        <f>Skills!B22</f>
        <v/>
      </c>
      <c r="C175">
        <f>Inputs!$B$3&gt;=43</f>
        <v/>
      </c>
      <c r="D175">
        <f>IF(Skills!C22=1,60+Inputs!$B$25+Inputs!$B$29,IF(Skills!C22=2,90+Inputs!$B$26+Inputs!$B$29,IF(Skills!C22=3,120+Inputs!$B$27+Inputs!$B$29,MAX(0,(Inputs!$B$3-100)*3)+Inputs!$B$28+Inputs!$B$29)))</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f>(1-Summary!$B$55)*T175+Summary!$B$55*V175</f>
        <v/>
      </c>
      <c r="P175">
        <f>IF(B190=0,0,O175/B190)</f>
        <v/>
      </c>
      <c r="Q175" t="n">
        <v>0</v>
      </c>
      <c r="R175" t="n">
        <v>0</v>
      </c>
      <c r="S175">
        <f>IFERROR(O175/N175,0)</f>
        <v/>
      </c>
      <c r="T175" t="n">
        <v>0</v>
      </c>
      <c r="V175" t="n">
        <v>0</v>
      </c>
    </row>
    <row r="176">
      <c r="A176">
        <f>Skills!A23</f>
        <v/>
      </c>
      <c r="B176">
        <f>Skills!B23</f>
        <v/>
      </c>
      <c r="C176">
        <f>Inputs!$B$3&gt;=120</f>
        <v/>
      </c>
      <c r="D176">
        <f>IF(Skills!C23=1,60+Inputs!$B$25+Inputs!$B$29,IF(Skills!C23=2,90+Inputs!$B$26+Inputs!$B$29,IF(Skills!C23=3,120+Inputs!$B$27+Inputs!$B$29,MAX(0,(Inputs!$B$3-100)*3)+Inputs!$B$28+Inputs!$B$29)))</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f>(1-Summary!$B$55)*T176+Summary!$B$55*V176</f>
        <v/>
      </c>
      <c r="P176">
        <f>IF(B190=0,0,O176/B190)</f>
        <v/>
      </c>
      <c r="Q176" t="n">
        <v>0</v>
      </c>
      <c r="R176" t="n">
        <v>0</v>
      </c>
      <c r="S176">
        <f>IFERROR(O176/N176,0)</f>
        <v/>
      </c>
      <c r="T176" t="n">
        <v>0</v>
      </c>
      <c r="V176" t="n">
        <v>0</v>
      </c>
    </row>
    <row r="177">
      <c r="A177">
        <f>Skills!A24</f>
        <v/>
      </c>
      <c r="B177">
        <f>Skills!B24</f>
        <v/>
      </c>
      <c r="C177">
        <f>Inputs!$B$3&gt;=120</f>
        <v/>
      </c>
      <c r="D177">
        <f>IF(Skills!C24=1,60+Inputs!$B$25+Inputs!$B$29,IF(Skills!C24=2,90+Inputs!$B$26+Inputs!$B$29,IF(Skills!C24=3,120+Inputs!$B$27+Inputs!$B$29,MAX(0,(Inputs!$B$3-100)*3)+Inputs!$B$28+Inputs!$B$29)))</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f>(1-Summary!$B$55)*T177+Summary!$B$55*V177</f>
        <v/>
      </c>
      <c r="P177">
        <f>IF(B190=0,0,O177/B190)</f>
        <v/>
      </c>
      <c r="Q177" t="n">
        <v>0</v>
      </c>
      <c r="R177" t="n">
        <v>0</v>
      </c>
      <c r="S177">
        <f>IFERROR(O177/N177,0)</f>
        <v/>
      </c>
      <c r="T177" t="n">
        <v>0</v>
      </c>
      <c r="V177" t="n">
        <v>0</v>
      </c>
    </row>
    <row r="179">
      <c r="A179" t="inlineStr">
        <is>
          <t>Attack% Bucket Multiplier</t>
        </is>
      </c>
      <c r="B179">
        <f>(1+(((C166=TRUE)*F166*MIN(1,Skills!T13*(Skills!J13/100)*B184))+((C171=TRUE)*F171*IF(AND(Inputs!$B$38&lt;&gt;"pvp",Inputs!$B$43&gt;0),(((R171-1)*(Skills!T18*(1+Inputs!$B$34/100))+MIN((Skills!T18*(1+Inputs!$B$34/100)),MAX(0,Inputs!$B$43-((R171-1)*Skills!D18))))/Inputs!$B$43),IF(Inputs!$B$38="pvp",MIN((Skills!T18*(1+Inputs!$B$34/100)),15)/15,(Skills!T18*(1+Inputs!$B$34/100))/Skills!D18)))+0)/100)</f>
        <v/>
      </c>
    </row>
    <row r="180">
      <c r="A180" t="inlineStr">
        <is>
          <t>Global Crit Rate Bonus %</t>
        </is>
      </c>
      <c r="B180" t="n">
        <v>0</v>
      </c>
    </row>
    <row r="181">
      <c r="A181" t="inlineStr">
        <is>
          <t>Attack Speed Buff Bonus %</t>
        </is>
      </c>
      <c r="B181">
        <f>((C172=TRUE)*F172*IF(AND(Inputs!$B$38&lt;&gt;"pvp",Inputs!$B$43&gt;0),(((R172-1)*(Skills!T19*(1+Inputs!$B$34/100))+MIN((Skills!T19*(1+Inputs!$B$34/100)),MAX(0,Inputs!$B$43-((R172-1)*Skills!D19))))/Inputs!$B$43),IF(Inputs!$B$38="pvp",MIN((Skills!T19*(1+Inputs!$B$34/100)),15)/15,(Skills!T19*(1+Inputs!$B$34/100))/Skills!D19)))</f>
        <v/>
      </c>
    </row>
    <row r="182">
      <c r="A182" t="inlineStr">
        <is>
          <t>Actions Per Second</t>
        </is>
      </c>
      <c r="B182">
        <f>1+MIN(150,150*(1-(1-(Inputs!$B$11+((C173=TRUE)*(F173-Calc!F20)))/150)*(1-B181/150)))/100</f>
        <v/>
      </c>
    </row>
    <row r="183">
      <c r="A183" t="inlineStr">
        <is>
          <t>Skill + Buff Cast Rate</t>
        </is>
      </c>
      <c r="B183">
        <f>IF(AND(Inputs!$B$38&lt;&gt;"pvp",Inputs!$B$43&gt;0),SUMPRODUCT((Skills!E2:E24=TRUE)*(C155:C177=TRUE)*R155:R177*Skills!F2:F24)/Inputs!$B$43,SUMPRODUCT((Skills!E2:E24=TRUE)*(C155:C177=TRUE)*Q155:Q177*Skills!F2:F24))</f>
        <v/>
      </c>
    </row>
    <row r="184">
      <c r="A184" t="inlineStr">
        <is>
          <t>Blast Casts Per Second</t>
        </is>
      </c>
      <c r="B184">
        <f>MAX(0,B182-B183)</f>
        <v/>
      </c>
    </row>
    <row r="185">
      <c r="A185" t="inlineStr">
        <is>
          <t>Global Critical Damage Bonus % (unused)</t>
        </is>
      </c>
      <c r="B185" t="n">
        <v>0</v>
      </c>
    </row>
    <row r="186">
      <c r="A186" t="inlineStr">
        <is>
          <t>Global Final Damage Bonus % (Divine Shield + Guardian + Divine Blessing + Greater Vessel of Light)</t>
        </is>
      </c>
      <c r="B186">
        <f>((C168=TRUE)*F168*IF(AND(Inputs!$B$38&lt;&gt;"pvp",Inputs!$B$43&gt;0),(((R168-1)*(Skills!T15*(1+Inputs!$B$34/100))+MIN((Skills!T15*(1+Inputs!$B$34/100)),MAX(0,Inputs!$B$43-((R168-1)*Skills!D15))))/Inputs!$B$43),IF(Inputs!$B$38="pvp",MIN((Skills!T15*(1+Inputs!$B$34/100)),15)/15,(Skills!T15*(1+Inputs!$B$34/100))/Skills!D15)))+((C169=TRUE)*F169*IF(AND(Inputs!$B$38&lt;&gt;"pvp",Inputs!$B$43&gt;0),(((R169-1)*(Skills!T16*(1+Inputs!$B$34/100))+MIN((Skills!T16*(1+Inputs!$B$34/100)),MAX(0,Inputs!$B$43-((R169-1)*Skills!D16))))/Inputs!$B$43),IF(Inputs!$B$38="pvp",MIN((Skills!T16*(1+Inputs!$B$34/100)),15)/15,(Skills!T16*(1+Inputs!$B$34/100))/Skills!D16)))+((C170=TRUE)*F170*IF(AND(Inputs!$B$38&lt;&gt;"pvp",Inputs!$B$43&gt;0),(((R170-1)*(Skills!T17*(1+Inputs!$B$34/100))+MIN((Skills!T17*(1+Inputs!$B$34/100)),MAX(0,Inputs!$B$43-((R170-1)*Skills!D17))))/Inputs!$B$43),IF(Inputs!$B$38="pvp",MIN((Skills!T17*(1+Inputs!$B$34/100)),15)/15,(Skills!T17*(1+Inputs!$B$34/100))/Skills!D17)))+((C167=TRUE)*F167*MIN(1,Skills!T13*(Skills!J13/100)*B184))</f>
        <v/>
      </c>
    </row>
    <row r="187">
      <c r="A187" t="inlineStr">
        <is>
          <t>Buff-Casting Startup Delay (s, fixed-duration only)</t>
        </is>
      </c>
      <c r="B187">
        <f>IF(AND(Inputs!$B$38&lt;&gt;"pvp",Inputs!$B$43&gt;0),SUMPRODUCT((Skills!T2:T24&gt;0)*(Skills!E2:E24=TRUE)*(C155:C177=TRUE))/B182,0)</f>
        <v/>
      </c>
    </row>
    <row r="188">
      <c r="A188" t="inlineStr">
        <is>
          <t>Boss-Only Total DPS (this block's swept value)</t>
        </is>
      </c>
      <c r="B188">
        <f>SUM(T155:T177)</f>
        <v/>
      </c>
    </row>
    <row r="189">
      <c r="A189" t="inlineStr">
        <is>
          <t>Normal-Only Total DPS (this block's swept value)</t>
        </is>
      </c>
      <c r="B189">
        <f>SUM(V155:V177)</f>
        <v/>
      </c>
    </row>
    <row r="190">
      <c r="A190" s="5" t="inlineStr">
        <is>
          <t>TOTAL DPS</t>
        </is>
      </c>
      <c r="B190" s="5">
        <f>SUM(O155:O177)</f>
        <v/>
      </c>
    </row>
    <row r="193">
      <c r="A193" s="5" t="inlineStr">
        <is>
          <t>Stat: DAMAGE_AMP %</t>
        </is>
      </c>
    </row>
    <row r="194">
      <c r="A194" s="9" t="inlineStr">
        <is>
          <t>Key</t>
        </is>
      </c>
      <c r="B194" s="9" t="inlineStr">
        <is>
          <t>Name</t>
        </is>
      </c>
      <c r="C194" s="9" t="inlineStr">
        <is>
          <t>Unlocked</t>
        </is>
      </c>
      <c r="D194" s="9" t="inlineStr">
        <is>
          <t>InputLevel</t>
        </is>
      </c>
      <c r="E194" s="9" t="inlineStr">
        <is>
          <t>Factor</t>
        </is>
      </c>
      <c r="F194" s="9" t="inlineStr">
        <is>
          <t>CoefficientPercent</t>
        </is>
      </c>
      <c r="G194" s="9" t="inlineStr">
        <is>
          <t>EffectiveHits</t>
        </is>
      </c>
      <c r="H194" s="9" t="inlineStr">
        <is>
          <t>ProcProbability</t>
        </is>
      </c>
      <c r="I194" s="9" t="inlineStr">
        <is>
          <t>MapleHeroMultiplier</t>
        </is>
      </c>
      <c r="J194" s="9" t="inlineStr">
        <is>
          <t>BaseDamage</t>
        </is>
      </c>
      <c r="K194" s="9" t="inlineStr">
        <is>
          <t>BaseHitDamage</t>
        </is>
      </c>
      <c r="L194" s="9" t="inlineStr">
        <is>
          <t>NonCritAvg</t>
        </is>
      </c>
      <c r="M194" s="9" t="inlineStr">
        <is>
          <t>CritAvg</t>
        </is>
      </c>
      <c r="N194" s="9" t="inlineStr">
        <is>
          <t>ExpectedDamage(perHit)</t>
        </is>
      </c>
      <c r="O194" s="9" t="inlineStr">
        <is>
          <t>DPS</t>
        </is>
      </c>
      <c r="P194" s="9" t="inlineStr">
        <is>
          <t>% of Total</t>
        </is>
      </c>
      <c r="Q194" s="9" t="inlineStr">
        <is>
          <t>InvCooldown</t>
        </is>
      </c>
      <c r="R194" s="9" t="inlineStr">
        <is>
          <t>CastsInFight</t>
        </is>
      </c>
      <c r="S194" s="9"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((Inputs!$B$6*(1+Inputs!$B$7/100))+(((Inputs!$B$12*(1+Inputs!$B$13/100))-(Inputs!$B$12*(1+Inputs!$B$13/100)))+0.25*(Inputs!$B$14-Inputs!$B$14))*(1+Inputs!$B$7/100))*(F195/100)</f>
        <v/>
      </c>
      <c r="K195">
        <f>J195*(1+((Inputs!$B$12*(1+Inputs!$B$13/100))*0.01+Inputs!$B$14*0.0025)/100)*(1+Inputs!$B$15/100)*(1+(Inputs!$B$16+1)/100)*(5000/(6000+Inputs!$B$42*(1-(Inputs!$B$19+0)/100)))*(1+(Inputs!$B$24+0+B226)/100)*(1+(IF(Skills!A2="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195)</f>
        <v/>
      </c>
      <c r="L195">
        <f>K195*(MIN(Inputs!$B$22+((C215=TRUE)*(F215-Calc!F22)),Inputs!$B$23+((C217=TRUE)*(F217-Calc!F24)))/100+(Inputs!$B$23+((C217=TRUE)*(F217-Calc!F24)))/100)/2</f>
        <v/>
      </c>
      <c r="M195">
        <f>L195*(1+(Inputs!$B$10+0+B225)/100)</f>
        <v/>
      </c>
      <c r="N195">
        <f>L195*(1-MIN((Inputs!$B$9+0+B220),100)/100)+M195*(MIN((Inputs!$B$9+0+B220),100)/100)</f>
        <v/>
      </c>
      <c r="O195">
        <f>(1-Summary!$B$55)*T195+Summary!$B$55*V195</f>
        <v/>
      </c>
      <c r="P195">
        <f>IF(B230=0,0,O195/B230)</f>
        <v/>
      </c>
      <c r="Q195" t="n">
        <v>0</v>
      </c>
      <c r="R195" t="n">
        <v>0</v>
      </c>
      <c r="S195">
        <f>IFERROR(O195/N195,0)</f>
        <v/>
      </c>
      <c r="T195">
        <f>IF(C195,(Skills!G2*N195*B224)*IF(Inputs!$B$38="pvp",1,1+(Inputs!$B$20+0+Skills!P2)/100),0)</f>
        <v/>
      </c>
      <c r="U195">
        <f>MAX(0,(Inputs!$B$3-100)*3)+Inputs!$B$28+Inputs!$B$29</f>
        <v/>
      </c>
      <c r="V195">
        <f>IF(C195,(Skills!G2*N195*B224)*IF(Inputs!$B$38="pvp",1,(1+(Inputs!$B$21+Skills!Q2)/100)*(MIN((6+Inputs!$B$33),Inputs!$B$37))),0)</f>
        <v/>
      </c>
    </row>
    <row r="196">
      <c r="A196">
        <f>Skills!A3</f>
        <v/>
      </c>
      <c r="B196">
        <f>Skills!B3</f>
        <v/>
      </c>
      <c r="C196">
        <f>Inputs!$B$3&gt;=50</f>
        <v/>
      </c>
      <c r="D196">
        <f>IF(Skills!C3=1,60+Inputs!$B$25+Inputs!$B$29,IF(Skills!C3=2,90+Inputs!$B$26+Inputs!$B$29,IF(Skills!C3=3,120+Inputs!$B$27+Inputs!$B$29,MAX(0,(Inputs!$B$3-100)*3)+Inputs!$B$28+Inputs!$B$29)))</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Inputs!$B$3&gt;=35</f>
        <v/>
      </c>
      <c r="D197">
        <f>IF(Skills!C4=1,60+Inputs!$B$25+Inputs!$B$29,IF(Skills!C4=2,90+Inputs!$B$26+Inputs!$B$29,IF(Skills!C4=3,120+Inputs!$B$27+Inputs!$B$29,MAX(0,(Inputs!$B$3-100)*3)+Inputs!$B$28+Inputs!$B$29)))</f>
        <v/>
      </c>
      <c r="E197">
        <f>INDEX(FactorTable!$B$2:$Y$301, MATCH(ROUND(MIN(300,MAX(1,D197)),0), FactorTable!$A$2:$A$301,0), Skills!M4+1)</f>
        <v/>
      </c>
      <c r="F197">
        <f>IF(Skills!N4=TRUE,(Skills!L4/10)*(E197/1000),Skills!L4/10)+Skills!O4</f>
        <v/>
      </c>
      <c r="G197">
        <f>Skills!G4*IF(Skills!H4&gt;0,Skills!I4/Skills!H4,1)</f>
        <v/>
      </c>
      <c r="H197">
        <f>1-(1-Skills!J4/100)^Skills!K4</f>
        <v/>
      </c>
      <c r="I197" t="inlineStr">
        <is>
          <t>1</t>
        </is>
      </c>
      <c r="J197">
        <f>((Inputs!$B$6*(1+Inputs!$B$7/100))+(((Inputs!$B$12*(1+Inputs!$B$13/100))-(Inputs!$B$12*(1+Inputs!$B$13/100)))+0.25*(Inputs!$B$14-Inputs!$B$14))*(1+Inputs!$B$7/100))*(F197/100)</f>
        <v/>
      </c>
      <c r="K197">
        <f>J197*(1+((Inputs!$B$12*(1+Inputs!$B$13/100))*0.01+Inputs!$B$14*0.0025)/100)*(1+Inputs!$B$15/100)*(1+(Inputs!$B$16+1)/100)*(5000/(6000+Inputs!$B$42*(1-(Inputs!$B$19+0)/100)))*(1+(Inputs!$B$24+0+B226)/100)*(1+4.0*IF(C205=TRUE,F205,0)/100)*(1+(IF(Skills!A4="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197)</f>
        <v/>
      </c>
      <c r="L197">
        <f>K197*(MIN(Inputs!$B$22+((C215=TRUE)*(F215-Calc!F22)),Inputs!$B$23+((C217=TRUE)*(F217-Calc!F24)))/100+(Inputs!$B$23+((C217=TRUE)*(F217-Calc!F24)))/100)/2</f>
        <v/>
      </c>
      <c r="M197">
        <f>L197*(1+(Inputs!$B$10+0+B225)/100)</f>
        <v/>
      </c>
      <c r="N197">
        <f>L197*(1-MIN((Inputs!$B$9+0+B220),100)/100)+M197*(MIN((Inputs!$B$9+0+B220),100)/100)</f>
        <v/>
      </c>
      <c r="O197">
        <f>(1-Summary!$B$55)*T197+Summary!$B$55*V197</f>
        <v/>
      </c>
      <c r="P197">
        <f>IF(B230=0,0,O197/B230)</f>
        <v/>
      </c>
      <c r="Q197">
        <f>IFERROR(1/IF(Inputs!$B$38="pvp",15,MAX(0.1,Skills!D4-IF(Skills!E4=TRUE,Inputs!$B$32,0))),0)</f>
        <v/>
      </c>
      <c r="R197">
        <f>IF(AND(Inputs!$B$38&lt;&gt;"pvp",Inputs!$B$43&gt;0),IF(MAX(0,Inputs!$B$43-B227)&lt;=0,0,(INT(MAX(0,Inputs!$B$43-B227)/IF(Inputs!$B$38="pvp",15,MAX(0.1,Skills!D4-IF(Skills!E4=TRUE,Inputs!$B$32,0))))+1)),0)</f>
        <v/>
      </c>
      <c r="S197">
        <f>IFERROR(O197/N197,0)</f>
        <v/>
      </c>
      <c r="T197">
        <f>IF(C197,(H197*N197*IF(AND(Inputs!$B$38&lt;&gt;"pvp",Inputs!$B$43&gt;0),((Skills!G4*((R197-1)*IF(Skills!H4&gt;0,Skills!I4/Skills!H4,1)+IF(Skills!H4&gt;0,MIN(Skills!I4,MAX(0,MAX(0,Inputs!$B$43-B227)-((R197-1)*IF(Inputs!$B$38="pvp",15,MAX(0.1,Skills!D4-IF(Skills!E4=TRUE,Inputs!$B$32,0))))))/Skills!H4,1)))/Inputs!$B$43),G197*Q197))*IF(Inputs!$B$38="pvp",1,1+(Inputs!$B$20+0+Skills!P4)/100),0)</f>
        <v/>
      </c>
      <c r="U197">
        <f>290*U196/1000</f>
        <v/>
      </c>
      <c r="V197">
        <f>IF(C197,(H197*N197*IF(AND(Inputs!$B$38&lt;&gt;"pvp",Inputs!$B$43&gt;0),((Skills!G4*((R197-1)*IF(Skills!H4&gt;0,Skills!I4/Skills!H4,1)+IF(Skills!H4&gt;0,MIN(Skills!I4,MAX(0,MAX(0,Inputs!$B$43-B227)-((R197-1)*IF(Inputs!$B$38="pvp",15,MAX(0.1,Skills!D4-IF(Skills!E4=TRUE,Inputs!$B$32,0))))))/Skills!H4,1)))/Inputs!$B$43),G197*Q197))*IF(Inputs!$B$38="pvp",1,(1+(Inputs!$B$21+Skills!Q4)/100)*(MIN(Skills!R4,Inputs!$B$37))),0)</f>
        <v/>
      </c>
    </row>
    <row r="198">
      <c r="A198">
        <f>Skills!A5</f>
        <v/>
      </c>
      <c r="B198">
        <f>Skills!B5</f>
        <v/>
      </c>
      <c r="C198">
        <f>Inputs!$B$3&gt;=66</f>
        <v/>
      </c>
      <c r="D198">
        <f>IF(Skills!C5=1,60+Inputs!$B$25+Inputs!$B$29,IF(Skills!C5=2,90+Inputs!$B$26+Inputs!$B$29,IF(Skills!C5=3,120+Inputs!$B$27+Inputs!$B$29,MAX(0,(Inputs!$B$3-100)*3)+Inputs!$B$28+Inputs!$B$29)))</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((Inputs!$B$6*(1+Inputs!$B$7/100))+(((Inputs!$B$12*(1+Inputs!$B$13/100))-(Inputs!$B$12*(1+Inputs!$B$13/100)))+0.25*(Inputs!$B$14-Inputs!$B$14))*(1+Inputs!$B$7/100))*(F198/100)</f>
        <v/>
      </c>
      <c r="K198">
        <f>J198*(1+((Inputs!$B$12*(1+Inputs!$B$13/100))*0.01+Inputs!$B$14*0.0025)/100)*(1+Inputs!$B$15/100)*(1+(Inputs!$B$16+1)/100)*(5000/(6000+Inputs!$B$42*(1-(Inputs!$B$19+0)/100)))*(1+(Inputs!$B$24+0+B226)/100)*(1+1.0*IF(C205=TRUE,F205,0)/100)*(1+(IF(Skills!A5="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198)</f>
        <v/>
      </c>
      <c r="L198">
        <f>K198*(MIN(Inputs!$B$22+((C215=TRUE)*(F215-Calc!F22)),Inputs!$B$23+((C217=TRUE)*(F217-Calc!F24)))/100+(Inputs!$B$23+((C217=TRUE)*(F217-Calc!F24)))/100)/2</f>
        <v/>
      </c>
      <c r="M198">
        <f>L198*(1+(Inputs!$B$10+0+B225)/100)</f>
        <v/>
      </c>
      <c r="N198">
        <f>L198*(1-MIN((Inputs!$B$9+0+B220),100)/100)+M198*(MIN((Inputs!$B$9+0+B220),100)/100)</f>
        <v/>
      </c>
      <c r="O198">
        <f>(1-Summary!$B$55)*T198+Summary!$B$55*V198</f>
        <v/>
      </c>
      <c r="P198">
        <f>IF(B230=0,0,O198/B230)</f>
        <v/>
      </c>
      <c r="Q198">
        <f>IFERROR(1/IF(Inputs!$B$38="pvp",15,MAX(0.1,Skills!D5-IF(Skills!E5=TRUE,Inputs!$B$32,0))),0)</f>
        <v/>
      </c>
      <c r="R198">
        <f>IF(AND(Inputs!$B$38&lt;&gt;"pvp",Inputs!$B$43&gt;0),IF(MAX(0,Inputs!$B$43-B227)&lt;=0,0,(INT(MAX(0,Inputs!$B$43-B227)/IF(Inputs!$B$38="pvp",15,MAX(0.1,Skills!D5-IF(Skills!E5=TRUE,Inputs!$B$32,0))))+1)),0)</f>
        <v/>
      </c>
      <c r="S198">
        <f>IFERROR(O198/N198,0)</f>
        <v/>
      </c>
      <c r="T198">
        <f>IF(C198,(H198*N198*IF(AND(Inputs!$B$38&lt;&gt;"pvp",Inputs!$B$43&gt;0),((Skills!G5*((R198-1)*IF(Skills!H5&gt;0,Skills!I5/Skills!H5,1)+IF(Skills!H5&gt;0,MIN(Skills!I5,MAX(0,MAX(0,Inputs!$B$43-B227)-((R198-1)*IF(Inputs!$B$38="pvp",15,MAX(0.1,Skills!D5-IF(Skills!E5=TRUE,Inputs!$B$32,0))))))/Skills!H5,1)))/Inputs!$B$43),G198*Q198))*IF(Inputs!$B$38="pvp",1,1+(Inputs!$B$20+0+Skills!P5)/100),0)</f>
        <v/>
      </c>
      <c r="V198">
        <f>IF(C198,(H198*N198*IF(AND(Inputs!$B$38&lt;&gt;"pvp",Inputs!$B$43&gt;0),((Skills!G5*((R198-1)*IF(Skills!H5&gt;0,Skills!I5/Skills!H5,1)+IF(Skills!H5&gt;0,MIN(Skills!I5,MAX(0,MAX(0,Inputs!$B$43-B227)-((R198-1)*IF(Inputs!$B$38="pvp",15,MAX(0.1,Skills!D5-IF(Skills!E5=TRUE,Inputs!$B$32,0))))))/Skills!H5,1)))/Inputs!$B$43),G198*Q198))*IF(Inputs!$B$38="pvp",1,(1+(Inputs!$B$21+Skills!Q5)/100)*(MIN(Skills!R5,Inputs!$B$37))),0)</f>
        <v/>
      </c>
    </row>
    <row r="199">
      <c r="A199">
        <f>Skills!A6</f>
        <v/>
      </c>
      <c r="B199">
        <f>Skills!B6</f>
        <v/>
      </c>
      <c r="C199">
        <f>Inputs!$B$3&gt;=103</f>
        <v/>
      </c>
      <c r="D199">
        <f>IF(Skills!C6=1,60+Inputs!$B$25+Inputs!$B$29,IF(Skills!C6=2,90+Inputs!$B$26+Inputs!$B$29,IF(Skills!C6=3,120+Inputs!$B$27+Inputs!$B$29,MAX(0,(Inputs!$B$3-100)*3)+Inputs!$B$28+Inputs!$B$29)))</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((Inputs!$B$6*(1+Inputs!$B$7/100))+(((Inputs!$B$12*(1+Inputs!$B$13/100))-(Inputs!$B$12*(1+Inputs!$B$13/100)))+0.25*(Inputs!$B$14-Inputs!$B$14))*(1+Inputs!$B$7/100))*(F199/100)</f>
        <v/>
      </c>
      <c r="K199">
        <f>J199*(1+((Inputs!$B$12*(1+Inputs!$B$13/100))*0.01+Inputs!$B$14*0.0025)/100)*(1+Inputs!$B$15/100)*(1+(Inputs!$B$16+1)/100)*(5000/(6000+Inputs!$B$42*(1-(Inputs!$B$19+0)/100)))*(1+(Inputs!$B$24+0+B226)/100)*(1+(IF(Skills!A6="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199)</f>
        <v/>
      </c>
      <c r="L199">
        <f>K199*(MIN(Inputs!$B$22+((C215=TRUE)*(F215-Calc!F22)),Inputs!$B$23+((C217=TRUE)*(F217-Calc!F24)))/100+(Inputs!$B$23+((C217=TRUE)*(F217-Calc!F24)))/100)/2</f>
        <v/>
      </c>
      <c r="M199">
        <f>L199*(1+(Inputs!$B$10+0+B225)/100)</f>
        <v/>
      </c>
      <c r="N199">
        <f>L199*(1-MIN((Inputs!$B$9+0+B220),100)/100)+M199*(MIN((Inputs!$B$9+0+B220),100)/100)</f>
        <v/>
      </c>
      <c r="O199">
        <f>(1-Summary!$B$55)*T199+Summary!$B$55*V199</f>
        <v/>
      </c>
      <c r="P199">
        <f>IF(B230=0,0,O199/B230)</f>
        <v/>
      </c>
      <c r="Q199">
        <f>IFERROR(1/IF(Inputs!$B$38="pvp",15,MAX(0.1,Skills!D6-IF(Skills!E6=TRUE,Inputs!$B$32,0))),0)</f>
        <v/>
      </c>
      <c r="R199">
        <f>IF(AND(Inputs!$B$38&lt;&gt;"pvp",Inputs!$B$43&gt;0),IF(MAX(0,Inputs!$B$43-B227)&lt;=0,0,(INT(MAX(0,Inputs!$B$43-B227)/IF(Inputs!$B$38="pvp",15,MAX(0.1,Skills!D6-IF(Skills!E6=TRUE,Inputs!$B$32,0))))+1)),0)</f>
        <v/>
      </c>
      <c r="S199">
        <f>IFERROR(O199/N199,0)</f>
        <v/>
      </c>
      <c r="T199">
        <f>IF(C199,(H199*N199*IF(AND(Inputs!$B$38&lt;&gt;"pvp",Inputs!$B$43&gt;0),((Skills!G6*((R199-1)*IF(Skills!H6&gt;0,Skills!I6/Skills!H6,1)+IF(Skills!H6&gt;0,MIN(Skills!I6,MAX(0,MAX(0,Inputs!$B$43-B227)-((R199-1)*IF(Inputs!$B$38="pvp",15,MAX(0.1,Skills!D6-IF(Skills!E6=TRUE,Inputs!$B$32,0))))))/Skills!H6,1)))/Inputs!$B$43),G199*Q199))*IF(Inputs!$B$38="pvp",1,1+(Inputs!$B$20+0+Skills!P6)/100),0)</f>
        <v/>
      </c>
      <c r="V199">
        <f>IF(C199,(H199*N199*IF(AND(Inputs!$B$38&lt;&gt;"pvp",Inputs!$B$43&gt;0),((Skills!G6*((R199-1)*IF(Skills!H6&gt;0,Skills!I6/Skills!H6,1)+IF(Skills!H6&gt;0,MIN(Skills!I6,MAX(0,MAX(0,Inputs!$B$43-B227)-((R199-1)*IF(Inputs!$B$38="pvp",15,MAX(0.1,Skills!D6-IF(Skills!E6=TRUE,Inputs!$B$32,0))))))/Skills!H6,1)))/Inputs!$B$43),G199*Q199))*IF(Inputs!$B$38="pvp",1,(1+(Inputs!$B$21+Skills!Q6)/100)*(MIN(Skills!R6,Inputs!$B$37))),0)</f>
        <v/>
      </c>
    </row>
    <row r="200">
      <c r="A200">
        <f>Skills!A7</f>
        <v/>
      </c>
      <c r="B200">
        <f>Skills!B7</f>
        <v/>
      </c>
      <c r="C200">
        <f>Inputs!$B$3&gt;=107</f>
        <v/>
      </c>
      <c r="D200">
        <f>IF(Skills!C7=1,60+Inputs!$B$25+Inputs!$B$29,IF(Skills!C7=2,90+Inputs!$B$26+Inputs!$B$29,IF(Skills!C7=3,120+Inputs!$B$27+Inputs!$B$29,MAX(0,(Inputs!$B$3-100)*3)+Inputs!$B$28+Inputs!$B$29)))</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((Inputs!$B$6*(1+Inputs!$B$7/100))+(((Inputs!$B$12*(1+Inputs!$B$13/100))-(Inputs!$B$12*(1+Inputs!$B$13/100)))+0.25*(Inputs!$B$14-Inputs!$B$14))*(1+Inputs!$B$7/100))*(F200/100)</f>
        <v/>
      </c>
      <c r="K200">
        <f>J200*(1+((Inputs!$B$12*(1+Inputs!$B$13/100))*0.01+Inputs!$B$14*0.0025)/100)*(1+Inputs!$B$15/100)*(1+(Inputs!$B$16+1)/100)*(5000/(6000+Inputs!$B$42*(1-(Inputs!$B$19+0)/100)))*(1+(Inputs!$B$24+0+B226)/100)*(1+(IF(Skills!A7="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200)</f>
        <v/>
      </c>
      <c r="L200">
        <f>K200*(MIN(Inputs!$B$22+((C215=TRUE)*(F215-Calc!F22)),Inputs!$B$23+((C217=TRUE)*(F217-Calc!F24)))/100+(Inputs!$B$23+((C217=TRUE)*(F217-Calc!F24)))/100)/2</f>
        <v/>
      </c>
      <c r="M200">
        <f>L200*(1+(Inputs!$B$10+0+B225)/100)</f>
        <v/>
      </c>
      <c r="N200">
        <f>L200*(1-MIN((Inputs!$B$9+0+B220),100)/100)+M200*(MIN((Inputs!$B$9+0+B220),100)/100)</f>
        <v/>
      </c>
      <c r="O200">
        <f>(1-Summary!$B$55)*T200+Summary!$B$55*V200</f>
        <v/>
      </c>
      <c r="P200">
        <f>IF(B230=0,0,O200/B230)</f>
        <v/>
      </c>
      <c r="Q200">
        <f>IFERROR(1/IF(Inputs!$B$38="pvp",15,MAX(0.1,Skills!D7-IF(Skills!E7=TRUE,Inputs!$B$32,0))),0)</f>
        <v/>
      </c>
      <c r="R200">
        <f>IF(AND(Inputs!$B$38&lt;&gt;"pvp",Inputs!$B$43&gt;0),IF(MAX(0,Inputs!$B$43-B227)&lt;=0,0,(INT(MAX(0,Inputs!$B$43-B227)/IF(Inputs!$B$38="pvp",15,MAX(0.1,Skills!D7-IF(Skills!E7=TRUE,Inputs!$B$32,0))))+1)),0)</f>
        <v/>
      </c>
      <c r="S200">
        <f>IFERROR(O200/N200,0)</f>
        <v/>
      </c>
      <c r="T200">
        <f>IF(C200,(H200*N200*IF(AND(Inputs!$B$38&lt;&gt;"pvp",Inputs!$B$43&gt;0),((Skills!G7*((R200-1)*IF(Skills!H7&gt;0,Skills!I7/Skills!H7,1)+IF(Skills!H7&gt;0,MIN(Skills!I7,MAX(0,MAX(0,Inputs!$B$43-B227)-((R200-1)*IF(Inputs!$B$38="pvp",15,MAX(0.1,Skills!D7-IF(Skills!E7=TRUE,Inputs!$B$32,0))))))/Skills!H7,1)))/Inputs!$B$43),G200*Q200))*IF(Inputs!$B$38="pvp",1,1+(Inputs!$B$20+0+Skills!P7)/100),0)</f>
        <v/>
      </c>
      <c r="V200">
        <f>IF(C200,(H200*N200*IF(AND(Inputs!$B$38&lt;&gt;"pvp",Inputs!$B$43&gt;0),((Skills!G7*((R200-1)*IF(Skills!H7&gt;0,Skills!I7/Skills!H7,1)+IF(Skills!H7&gt;0,MIN(Skills!I7,MAX(0,MAX(0,Inputs!$B$43-B227)-((R200-1)*IF(Inputs!$B$38="pvp",15,MAX(0.1,Skills!D7-IF(Skills!E7=TRUE,Inputs!$B$32,0))))))/Skills!H7,1)))/Inputs!$B$43),G200*Q200))*IF(Inputs!$B$38="pvp",1,(1+(Inputs!$B$21+Skills!Q7)/100)*(MIN(Skills!R7,Inputs!$B$37))),0)</f>
        <v/>
      </c>
    </row>
    <row r="201">
      <c r="A201">
        <f>Skills!A8</f>
        <v/>
      </c>
      <c r="B201">
        <f>Skills!B8</f>
        <v/>
      </c>
      <c r="C201">
        <f>Inputs!$B$3&gt;=107</f>
        <v/>
      </c>
      <c r="D201">
        <f>IF(Skills!C8=1,60+Inputs!$B$25+Inputs!$B$29,IF(Skills!C8=2,90+Inputs!$B$26+Inputs!$B$29,IF(Skills!C8=3,120+Inputs!$B$27+Inputs!$B$29,MAX(0,(Inputs!$B$3-100)*3)+Inputs!$B$28+Inputs!$B$29)))</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((Inputs!$B$6*(1+Inputs!$B$7/100))+(((Inputs!$B$12*(1+Inputs!$B$13/100))-(Inputs!$B$12*(1+Inputs!$B$13/100)))+0.25*(Inputs!$B$14-Inputs!$B$14))*(1+Inputs!$B$7/100))*(F201/100)</f>
        <v/>
      </c>
      <c r="K201">
        <f>J201*(1+((Inputs!$B$12*(1+Inputs!$B$13/100))*0.01+Inputs!$B$14*0.0025)/100)*(1+Inputs!$B$15/100)*(1+(Inputs!$B$16+1)/100)*(5000/(6000+Inputs!$B$42*(1-(Inputs!$B$19+0)/100)))*(1+(Inputs!$B$24+0+B226)/100)*(1+(IF(Skills!A8="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201)</f>
        <v/>
      </c>
      <c r="L201">
        <f>K201*(MIN(Inputs!$B$22+((C215=TRUE)*(F215-Calc!F22)),Inputs!$B$23+((C217=TRUE)*(F217-Calc!F24)))/100+(Inputs!$B$23+((C217=TRUE)*(F217-Calc!F24)))/100)/2</f>
        <v/>
      </c>
      <c r="M201">
        <f>L201*(1+(Inputs!$B$10+0+B225)/100)</f>
        <v/>
      </c>
      <c r="N201">
        <f>L201*(1-MIN((Inputs!$B$9+0+B220),100)/100)+M201*(MIN((Inputs!$B$9+0+B220),100)/100)</f>
        <v/>
      </c>
      <c r="O201">
        <f>(1-Summary!$B$55)*T201+Summary!$B$55*V201</f>
        <v/>
      </c>
      <c r="P201">
        <f>IF(B230=0,0,O201/B230)</f>
        <v/>
      </c>
      <c r="Q201">
        <f>IFERROR(1/IF(Inputs!$B$38="pvp",15,MAX(0.1,Skills!D8-IF(Skills!E8=TRUE,Inputs!$B$32,0))),0)</f>
        <v/>
      </c>
      <c r="R201">
        <f>IF(AND(Inputs!$B$38&lt;&gt;"pvp",Inputs!$B$43&gt;0),IF(MAX(0,Inputs!$B$43-B227)&lt;=0,0,(INT(MAX(0,Inputs!$B$43-B227)/IF(Inputs!$B$38="pvp",15,MAX(0.1,Skills!D8-IF(Skills!E8=TRUE,Inputs!$B$32,0))))+1)),0)</f>
        <v/>
      </c>
      <c r="S201">
        <f>IFERROR(O201/N201,0)</f>
        <v/>
      </c>
      <c r="T201">
        <f>IF(C201,(H201*N201*IF(AND(Inputs!$B$38&lt;&gt;"pvp",Inputs!$B$43&gt;0),((Skills!G8*((R201-1)*IF(Skills!H8&gt;0,Skills!I8/Skills!H8,1)+IF(Skills!H8&gt;0,MIN(Skills!I8,MAX(0,MAX(0,Inputs!$B$43-B227)-((R201-1)*IF(Inputs!$B$38="pvp",15,MAX(0.1,Skills!D8-IF(Skills!E8=TRUE,Inputs!$B$32,0))))))/Skills!H8,1)))/Inputs!$B$43),G201*Q201))*IF(Inputs!$B$38="pvp",1,1+(Inputs!$B$20+0+Skills!P8)/100),0)</f>
        <v/>
      </c>
      <c r="V201">
        <f>IF(C201,(H201*N201*IF(AND(Inputs!$B$38&lt;&gt;"pvp",Inputs!$B$43&gt;0),((Skills!G8*((R201-1)*IF(Skills!H8&gt;0,Skills!I8/Skills!H8,1)+IF(Skills!H8&gt;0,MIN(Skills!I8,MAX(0,MAX(0,Inputs!$B$43-B227)-((R201-1)*IF(Inputs!$B$38="pvp",15,MAX(0.1,Skills!D8-IF(Skills!E8=TRUE,Inputs!$B$32,0))))))/Skills!H8,1)))/Inputs!$B$43),G201*Q201))*IF(Inputs!$B$38="pvp",1,(1+(Inputs!$B$21+Skills!Q8)/100)*(MIN(Skills!R8,Inputs!$B$37))),0)</f>
        <v/>
      </c>
    </row>
    <row r="202">
      <c r="A202">
        <f>Skills!A9</f>
        <v/>
      </c>
      <c r="B202">
        <f>Skills!B9</f>
        <v/>
      </c>
      <c r="C202">
        <f>Inputs!$B$3&gt;=125</f>
        <v/>
      </c>
      <c r="D202">
        <f>IF(Skills!C9=1,60+Inputs!$B$25+Inputs!$B$29,IF(Skills!C9=2,90+Inputs!$B$26+Inputs!$B$29,IF(Skills!C9=3,120+Inputs!$B$27+Inputs!$B$29,MAX(0,(Inputs!$B$3-100)*3)+Inputs!$B$28+Inputs!$B$29)))</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((Inputs!$B$6*(1+Inputs!$B$7/100))+(((Inputs!$B$12*(1+Inputs!$B$13/100))-(Inputs!$B$12*(1+Inputs!$B$13/100)))+0.25*(Inputs!$B$14-Inputs!$B$14))*(1+Inputs!$B$7/100))*(F202/100)</f>
        <v/>
      </c>
      <c r="K202">
        <f>J202*(1+((Inputs!$B$12*(1+Inputs!$B$13/100))*0.01+Inputs!$B$14*0.0025)/100)*(1+Inputs!$B$15/100)*(1+(Inputs!$B$16+1)/100)*(5000/(6000+Inputs!$B$42*(1-(Inputs!$B$19+0)/100)))*(1+(Inputs!$B$24+0+B226)/100)*(1+(IF(Skills!A9="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202)</f>
        <v/>
      </c>
      <c r="L202">
        <f>K202*(MIN(Inputs!$B$22+((C215=TRUE)*(F215-Calc!F22)),Inputs!$B$23+((C217=TRUE)*(F217-Calc!F24)))/100+(Inputs!$B$23+((C217=TRUE)*(F217-Calc!F24)))/100)/2</f>
        <v/>
      </c>
      <c r="M202">
        <f>L202*(1+(Inputs!$B$10+0+B225)/100)</f>
        <v/>
      </c>
      <c r="N202">
        <f>L202*(1-MIN((Inputs!$B$9+0+B220),100)/100)+M202*(MIN((Inputs!$B$9+0+B220),100)/100)</f>
        <v/>
      </c>
      <c r="O202">
        <f>(1-Summary!$B$55)*T202+Summary!$B$55*V202</f>
        <v/>
      </c>
      <c r="P202">
        <f>IF(B230=0,0,O202/B230)</f>
        <v/>
      </c>
      <c r="Q202">
        <f>IFERROR(1/IF(Inputs!$B$38="pvp",15,MAX(0.1,Skills!D9-IF(Skills!E9=TRUE,Inputs!$B$32,0))),0)</f>
        <v/>
      </c>
      <c r="R202">
        <f>IF(AND(Inputs!$B$38&lt;&gt;"pvp",Inputs!$B$43&gt;0),IF(MAX(0,Inputs!$B$43-B227)&lt;=0,0,(INT(MAX(0,Inputs!$B$43-B227)/IF(Inputs!$B$38="pvp",15,MAX(0.1,Skills!D9-IF(Skills!E9=TRUE,Inputs!$B$32,0))))+1)),0)</f>
        <v/>
      </c>
      <c r="S202">
        <f>IFERROR(O202/N202,0)</f>
        <v/>
      </c>
      <c r="T202">
        <f>IF(C202,(H202*N202*IF(AND(Inputs!$B$38&lt;&gt;"pvp",Inputs!$B$43&gt;0),((Skills!G9*((R202-1)*IF(Skills!H9&gt;0,Skills!I9/Skills!H9,1)+IF(Skills!H9&gt;0,MIN(Skills!I9,MAX(0,MAX(0,Inputs!$B$43-B227)-((R202-1)*IF(Inputs!$B$38="pvp",15,MAX(0.1,Skills!D9-IF(Skills!E9=TRUE,Inputs!$B$32,0))))))/Skills!H9,1)))/Inputs!$B$43),G202*Q202))*IF(Inputs!$B$38="pvp",1,1+(Inputs!$B$20+0+Skills!P9)/100),0)</f>
        <v/>
      </c>
      <c r="V202">
        <f>IF(C202,(H202*N202*IF(AND(Inputs!$B$38&lt;&gt;"pvp",Inputs!$B$43&gt;0),((Skills!G9*((R202-1)*IF(Skills!H9&gt;0,Skills!I9/Skills!H9,1)+IF(Skills!H9&gt;0,MIN(Skills!I9,MAX(0,MAX(0,Inputs!$B$43-B227)-((R202-1)*IF(Inputs!$B$38="pvp",15,MAX(0.1,Skills!D9-IF(Skills!E9=TRUE,Inputs!$B$32,0))))))/Skills!H9,1)))/Inputs!$B$43),G202*Q202))*IF(Inputs!$B$38="pvp",1,(1+(Inputs!$B$21+Skills!Q9)/100)*(MIN(Skills!R9,Inputs!$B$37))),0)</f>
        <v/>
      </c>
    </row>
    <row r="203">
      <c r="A203">
        <f>Skills!A10</f>
        <v/>
      </c>
      <c r="B203">
        <f>Skills!B10</f>
        <v/>
      </c>
      <c r="C203">
        <f>Inputs!$B$3&gt;=117</f>
        <v/>
      </c>
      <c r="D203">
        <f>IF(Skills!C10=1,60+Inputs!$B$25+Inputs!$B$29,IF(Skills!C10=2,90+Inputs!$B$26+Inputs!$B$29,IF(Skills!C10=3,120+Inputs!$B$27+Inputs!$B$29,MAX(0,(Inputs!$B$3-100)*3)+Inputs!$B$28+Inputs!$B$29)))</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((Inputs!$B$6*(1+Inputs!$B$7/100))+(((Inputs!$B$12*(1+Inputs!$B$13/100))-(Inputs!$B$12*(1+Inputs!$B$13/100)))+0.25*(Inputs!$B$14-Inputs!$B$14))*(1+Inputs!$B$7/100))*(F203/100)</f>
        <v/>
      </c>
      <c r="K203">
        <f>J203*(1+((Inputs!$B$12*(1+Inputs!$B$13/100))*0.01+Inputs!$B$14*0.0025)/100)*(1+Inputs!$B$15/100)*(1+(Inputs!$B$16+1)/100)*(5000/(6000+Inputs!$B$42*(1-(Inputs!$B$19+0)/100)))*(1+(Inputs!$B$24+0+B226)/100)*(1+(IF(Skills!A10="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203)</f>
        <v/>
      </c>
      <c r="L203">
        <f>K203*(MIN(Inputs!$B$22+((C215=TRUE)*(F215-Calc!F22)),Inputs!$B$23+((C217=TRUE)*(F217-Calc!F24)))/100+(Inputs!$B$23+((C217=TRUE)*(F217-Calc!F24)))/100)/2</f>
        <v/>
      </c>
      <c r="M203">
        <f>L203*(1+(Inputs!$B$10+0+B225)/100)</f>
        <v/>
      </c>
      <c r="N203">
        <f>L203*(1-MIN((Inputs!$B$9+0+B220),100)/100)+M203*(MIN((Inputs!$B$9+0+B220),100)/100)</f>
        <v/>
      </c>
      <c r="O203">
        <f>(1-Summary!$B$55)*T203+Summary!$B$55*V203</f>
        <v/>
      </c>
      <c r="P203">
        <f>IF(B230=0,0,O203/B230)</f>
        <v/>
      </c>
      <c r="Q203">
        <f>IFERROR(1/IF(Inputs!$B$38="pvp",15,MAX(0.1,Skills!D10-IF(Skills!E10=TRUE,Inputs!$B$32,0))),0)</f>
        <v/>
      </c>
      <c r="R203">
        <f>IF(AND(Inputs!$B$38&lt;&gt;"pvp",Inputs!$B$43&gt;0),IF(MAX(0,Inputs!$B$43-B227)&lt;=0,0,(INT(MAX(0,Inputs!$B$43-B227)/IF(Inputs!$B$38="pvp",15,MAX(0.1,Skills!D10-IF(Skills!E10=TRUE,Inputs!$B$32,0))))+1)),0)</f>
        <v/>
      </c>
      <c r="S203">
        <f>IFERROR(O203/N203,0)</f>
        <v/>
      </c>
      <c r="T203">
        <f>IF(C203,(H203*N203*IF(AND(Inputs!$B$38&lt;&gt;"pvp",Inputs!$B$43&gt;0),((Skills!G10*((R203-1)*IF(Skills!H10&gt;0,Skills!I10/Skills!H10,1)+IF(Skills!H10&gt;0,MIN(Skills!I10,MAX(0,MAX(0,Inputs!$B$43-B227)-((R203-1)*IF(Inputs!$B$38="pvp",15,MAX(0.1,Skills!D10-IF(Skills!E10=TRUE,Inputs!$B$32,0))))))/Skills!H10,1)))/Inputs!$B$43),G203*Q203))*IF(Inputs!$B$38="pvp",1,1+(Inputs!$B$20+0+Skills!P10)/100),0)</f>
        <v/>
      </c>
      <c r="V203">
        <f>IF(C203,(H203*N203*IF(AND(Inputs!$B$38&lt;&gt;"pvp",Inputs!$B$43&gt;0),((Skills!G10*((R203-1)*IF(Skills!H10&gt;0,Skills!I10/Skills!H10,1)+IF(Skills!H10&gt;0,MIN(Skills!I10,MAX(0,MAX(0,Inputs!$B$43-B227)-((R203-1)*IF(Inputs!$B$38="pvp",15,MAX(0.1,Skills!D10-IF(Skills!E10=TRUE,Inputs!$B$32,0))))))/Skills!H10,1)))/Inputs!$B$43),G203*Q203))*IF(Inputs!$B$38="pvp",1,(1+(Inputs!$B$21+Skills!Q10)/100)*(MIN(Skills!R10,Inputs!$B$37))),0)</f>
        <v/>
      </c>
    </row>
    <row r="204">
      <c r="A204">
        <f>Skills!A11</f>
        <v/>
      </c>
      <c r="B204">
        <f>Skills!B11</f>
        <v/>
      </c>
      <c r="C204">
        <f>Inputs!$B$3&gt;=63</f>
        <v/>
      </c>
      <c r="D204">
        <f>IF(Skills!C11=1,60+Inputs!$B$25+Inputs!$B$29,IF(Skills!C11=2,90+Inputs!$B$26+Inputs!$B$29,IF(Skills!C11=3,120+Inputs!$B$27+Inputs!$B$29,MAX(0,(Inputs!$B$3-100)*3)+Inputs!$B$28+Inputs!$B$29)))</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((Inputs!$B$6*(1+Inputs!$B$7/100))+(((Inputs!$B$12*(1+Inputs!$B$13/100))-(Inputs!$B$12*(1+Inputs!$B$13/100)))+0.25*(Inputs!$B$14-Inputs!$B$14))*(1+Inputs!$B$7/100))*(F204/100)</f>
        <v/>
      </c>
      <c r="K204">
        <f>J204*(1+((Inputs!$B$12*(1+Inputs!$B$13/100))*0.01+Inputs!$B$14*0.0025)/100)*(1+Inputs!$B$15/100)*(1+(Inputs!$B$16+1)/100)*(5000/(6000+Inputs!$B$42*(1-(Inputs!$B$19+0)/100)))*(1+(Inputs!$B$24+0+B226)/100)*(1+1.5*IF(C205=TRUE,F205,0)/100)*(1+(IF(Skills!A11="BLAST",Inputs!$B$17+((C214=TRUE)*(F214-Calc!F21)),Inputs!$B$18+((C216=TRUE)*(F216-Calc!F23))))/100)*((1+(((C206=TRUE)*F206*MIN(1,Skills!T13*(Skills!J13/100)*B224))+((C211=TRUE)*F211*IF(AND(Inputs!$B$38&lt;&gt;"pvp",Inputs!$B$43&gt;0),(((R211-1)*(Skills!T18*(1+Inputs!$B$34/100))+MIN((Skills!T18*(1+Inputs!$B$34/100)),MAX(0,Inputs!$B$43-((R211-1)*Skills!D18))))/Inputs!$B$43),IF(Inputs!$B$38="pvp",MIN((Skills!T18*(1+Inputs!$B$34/100)),15)/15,(Skills!T18*(1+Inputs!$B$34/100))/Skills!D18)))+0)/100)*I204)</f>
        <v/>
      </c>
      <c r="L204">
        <f>K204*(MIN(Inputs!$B$22+((C215=TRUE)*(F215-Calc!F22)),Inputs!$B$23+((C217=TRUE)*(F217-Calc!F24)))/100+(Inputs!$B$23+((C217=TRUE)*(F217-Calc!F24)))/100)/2</f>
        <v/>
      </c>
      <c r="M204">
        <f>L204*(1+(Inputs!$B$10+0+B225)/100)</f>
        <v/>
      </c>
      <c r="N204">
        <f>L204*(1-MIN((Inputs!$B$9+0+B220),100)/100)+M204*(MIN((Inputs!$B$9+0+B220),100)/100)</f>
        <v/>
      </c>
      <c r="O204">
        <f>(1-Summary!$B$55)*T204+Summary!$B$55*V204</f>
        <v/>
      </c>
      <c r="P204">
        <f>IF(B230=0,0,O204/B230)</f>
        <v/>
      </c>
      <c r="Q204">
        <f>IFERROR(1/IF(Inputs!$B$38="pvp",15,MAX(0.1,Skills!D11-IF(Skills!E11=TRUE,Inputs!$B$32,0))),0)</f>
        <v/>
      </c>
      <c r="R204">
        <f>IF(AND(Inputs!$B$38&lt;&gt;"pvp",Inputs!$B$43&gt;0),IF(MAX(0,Inputs!$B$43-B227)&lt;=0,0,(INT(MAX(0,Inputs!$B$43-B227)/IF(Inputs!$B$38="pvp",15,MAX(0.1,Skills!D11-IF(Skills!E11=TRUE,Inputs!$B$32,0))))+1)),0)</f>
        <v/>
      </c>
      <c r="S204">
        <f>IFERROR(O204/N204,0)</f>
        <v/>
      </c>
      <c r="T204">
        <f>IF(C204,(H204*N204*IF(AND(Inputs!$B$38&lt;&gt;"pvp",Inputs!$B$43&gt;0),((Skills!G11*((R204-1)*IF(Skills!H11&gt;0,Skills!I11/Skills!H11,1)+IF(Skills!H11&gt;0,MIN(Skills!I11,MAX(0,MAX(0,Inputs!$B$43-B227)-((R204-1)*IF(Inputs!$B$38="pvp",15,MAX(0.1,Skills!D11-IF(Skills!E11=TRUE,Inputs!$B$32,0))))))/Skills!H11,1)))/Inputs!$B$43),G204*Q204))*IF(Inputs!$B$38="pvp",1,1+(Inputs!$B$20+0+Skills!P11)/100),0)</f>
        <v/>
      </c>
      <c r="V204">
        <f>IF(C204,(H204*N204*IF(AND(Inputs!$B$38&lt;&gt;"pvp",Inputs!$B$43&gt;0),((Skills!G11*((R204-1)*IF(Skills!H11&gt;0,Skills!I11/Skills!H11,1)+IF(Skills!H11&gt;0,MIN(Skills!I11,MAX(0,MAX(0,Inputs!$B$43-B227)-((R204-1)*IF(Inputs!$B$38="pvp",15,MAX(0.1,Skills!D11-IF(Skills!E11=TRUE,Inputs!$B$32,0))))))/Skills!H11,1)))/Inputs!$B$43),G204*Q204))*IF(Inputs!$B$38="pvp",1,(1+(Inputs!$B$21+Skills!Q11)/100)*(MIN(Skills!R11,Inputs!$B$37))),0)</f>
        <v/>
      </c>
    </row>
    <row r="205">
      <c r="A205">
        <f>Skills!A12</f>
        <v/>
      </c>
      <c r="B205">
        <f>Skills!B12</f>
        <v/>
      </c>
      <c r="C205">
        <f>Inputs!$B$3&gt;=100</f>
        <v/>
      </c>
      <c r="D205">
        <f>IF(Skills!C12=1,60+Inputs!$B$25+Inputs!$B$29,IF(Skills!C12=2,90+Inputs!$B$26+Inputs!$B$29,IF(Skills!C12=3,120+Inputs!$B$27+Inputs!$B$29,MAX(0,(Inputs!$B$3-100)*3)+Inputs!$B$28+Inputs!$B$29)))</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IF(Skills!C13=1,60+Inputs!$B$25+Inputs!$B$29,IF(Skills!C13=2,90+Inputs!$B$26+Inputs!$B$29,IF(Skills!C13=3,120+Inputs!$B$27+Inputs!$B$29,MAX(0,(Inputs!$B$3-100)*3)+Inputs!$B$28+Inputs!$B$29)))</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f>(1-Summary!$B$55)*T206+Summary!$B$55*V206</f>
        <v/>
      </c>
      <c r="P206">
        <f>IF(B230=0,0,O206/B230)</f>
        <v/>
      </c>
      <c r="Q206" t="n">
        <v>0</v>
      </c>
      <c r="R206" t="n">
        <v>0</v>
      </c>
      <c r="S206">
        <f>IFERROR(O206/N206,0)</f>
        <v/>
      </c>
      <c r="T206" t="n">
        <v>0</v>
      </c>
      <c r="V206" t="n">
        <v>0</v>
      </c>
    </row>
    <row r="207">
      <c r="A207">
        <f>Skills!A14</f>
        <v/>
      </c>
      <c r="B207">
        <f>Skills!B14</f>
        <v/>
      </c>
      <c r="C207">
        <f>Inputs!$B$3&gt;=110</f>
        <v/>
      </c>
      <c r="D207">
        <f>IF(Skills!C14=1,60+Inputs!$B$25+Inputs!$B$29,IF(Skills!C14=2,90+Inputs!$B$26+Inputs!$B$29,IF(Skills!C14=3,120+Inputs!$B$27+Inputs!$B$29,MAX(0,(Inputs!$B$3-100)*3)+Inputs!$B$28+Inputs!$B$29)))</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f>(1-Summary!$B$55)*T207+Summary!$B$55*V207</f>
        <v/>
      </c>
      <c r="P207">
        <f>IF(B230=0,0,O207/B230)</f>
        <v/>
      </c>
      <c r="Q207" t="n">
        <v>0</v>
      </c>
      <c r="R207" t="n">
        <v>0</v>
      </c>
      <c r="S207">
        <f>IFERROR(O207/N207,0)</f>
        <v/>
      </c>
      <c r="T207" t="n">
        <v>0</v>
      </c>
      <c r="V207" t="n">
        <v>0</v>
      </c>
    </row>
    <row r="208">
      <c r="A208">
        <f>Skills!A15</f>
        <v/>
      </c>
      <c r="B208">
        <f>Skills!B15</f>
        <v/>
      </c>
      <c r="C208">
        <f>Inputs!$B$3&gt;=75</f>
        <v/>
      </c>
      <c r="D208">
        <f>IF(Skills!C15=1,60+Inputs!$B$25+Inputs!$B$29,IF(Skills!C15=2,90+Inputs!$B$26+Inputs!$B$29,IF(Skills!C15=3,120+Inputs!$B$27+Inputs!$B$29,MAX(0,(Inputs!$B$3-100)*3)+Inputs!$B$28+Inputs!$B$29)))</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f>(1-Summary!$B$55)*T208+Summary!$B$55*V208</f>
        <v/>
      </c>
      <c r="P208">
        <f>IF(B230=0,0,O208/B230)</f>
        <v/>
      </c>
      <c r="Q208">
        <f>IFERROR(1/IF(Inputs!$B$38="pvp",15,MAX(0.1,Skills!D15-IF(Skills!E15=TRUE,Inputs!$B$32,0))),0)</f>
        <v/>
      </c>
      <c r="R208">
        <f>IF(AND(Inputs!$B$38&lt;&gt;"pvp",Inputs!$B$43&gt;0),IF(Inputs!$B$43&lt;=0,0,(INT(Inputs!$B$43/IF(Inputs!$B$38="pvp",15,MAX(0.1,Skills!D15-IF(Skills!E15=TRUE,Inputs!$B$32,0))))+1)),0)</f>
        <v/>
      </c>
      <c r="S208">
        <f>IFERROR(O208/N208,0)</f>
        <v/>
      </c>
      <c r="T208" t="n">
        <v>0</v>
      </c>
      <c r="V208" t="n">
        <v>0</v>
      </c>
    </row>
    <row r="209">
      <c r="A209">
        <f>Skills!A16</f>
        <v/>
      </c>
      <c r="B209">
        <f>Skills!B16</f>
        <v/>
      </c>
      <c r="C209">
        <f>Inputs!$B$3&gt;=105</f>
        <v/>
      </c>
      <c r="D209">
        <f>IF(Skills!C16=1,60+Inputs!$B$25+Inputs!$B$29,IF(Skills!C16=2,90+Inputs!$B$26+Inputs!$B$29,IF(Skills!C16=3,120+Inputs!$B$27+Inputs!$B$29,MAX(0,(Inputs!$B$3-100)*3)+Inputs!$B$28+Inputs!$B$29)))</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f>(1-Summary!$B$55)*T209+Summary!$B$55*V209</f>
        <v/>
      </c>
      <c r="P209">
        <f>IF(B230=0,0,O209/B230)</f>
        <v/>
      </c>
      <c r="Q209">
        <f>IFERROR(1/IF(Inputs!$B$38="pvp",15,MAX(0.1,Skills!D16-IF(Skills!E16=TRUE,Inputs!$B$32,0))),0)</f>
        <v/>
      </c>
      <c r="R209">
        <f>IF(AND(Inputs!$B$38&lt;&gt;"pvp",Inputs!$B$43&gt;0),IF(Inputs!$B$43&lt;=0,0,(INT(Inputs!$B$43/IF(Inputs!$B$38="pvp",15,MAX(0.1,Skills!D16-IF(Skills!E16=TRUE,Inputs!$B$32,0))))+1)),0)</f>
        <v/>
      </c>
      <c r="S209">
        <f>IFERROR(O209/N209,0)</f>
        <v/>
      </c>
      <c r="T209" t="n">
        <v>0</v>
      </c>
      <c r="V209" t="n">
        <v>0</v>
      </c>
    </row>
    <row r="210">
      <c r="A210">
        <f>Skills!A17</f>
        <v/>
      </c>
      <c r="B210">
        <f>Skills!B17</f>
        <v/>
      </c>
      <c r="C210">
        <f>Inputs!$B$3&gt;=115</f>
        <v/>
      </c>
      <c r="D210">
        <f>IF(Skills!C17=1,60+Inputs!$B$25+Inputs!$B$29,IF(Skills!C17=2,90+Inputs!$B$26+Inputs!$B$29,IF(Skills!C17=3,120+Inputs!$B$27+Inputs!$B$29,MAX(0,(Inputs!$B$3-100)*3)+Inputs!$B$28+Inputs!$B$29)))</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f>(1-Summary!$B$55)*T210+Summary!$B$55*V210</f>
        <v/>
      </c>
      <c r="P210">
        <f>IF(B230=0,0,O210/B230)</f>
        <v/>
      </c>
      <c r="Q210">
        <f>IFERROR(1/IF(Inputs!$B$38="pvp",15,MAX(0.1,Skills!D17-IF(Skills!E17=TRUE,Inputs!$B$32,0))),0)</f>
        <v/>
      </c>
      <c r="R210">
        <f>IF(AND(Inputs!$B$38&lt;&gt;"pvp",Inputs!$B$43&gt;0),IF(Inputs!$B$43&lt;=0,0,(INT(Inputs!$B$43/IF(Inputs!$B$38="pvp",15,MAX(0.1,Skills!D17-IF(Skills!E17=TRUE,Inputs!$B$32,0))))+1)),0)</f>
        <v/>
      </c>
      <c r="S210">
        <f>IFERROR(O210/N210,0)</f>
        <v/>
      </c>
      <c r="T210" t="n">
        <v>0</v>
      </c>
      <c r="V210" t="n">
        <v>0</v>
      </c>
    </row>
    <row r="211">
      <c r="A211">
        <f>Skills!A18</f>
        <v/>
      </c>
      <c r="B211">
        <f>Skills!B18</f>
        <v/>
      </c>
      <c r="C211">
        <f>Inputs!$B$3&gt;=74</f>
        <v/>
      </c>
      <c r="D211">
        <f>IF(Skills!C18=1,60+Inputs!$B$25+Inputs!$B$29,IF(Skills!C18=2,90+Inputs!$B$26+Inputs!$B$29,IF(Skills!C18=3,120+Inputs!$B$27+Inputs!$B$29,MAX(0,(Inputs!$B$3-100)*3)+Inputs!$B$28+Inputs!$B$29)))</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f>(1-Summary!$B$55)*T211+Summary!$B$55*V211</f>
        <v/>
      </c>
      <c r="P211">
        <f>IF(B230=0,0,O211/B230)</f>
        <v/>
      </c>
      <c r="Q211">
        <f>IFERROR(1/IF(Inputs!$B$38="pvp",15,MAX(0.1,Skills!D18-IF(Skills!E18=TRUE,Inputs!$B$32,0))),0)</f>
        <v/>
      </c>
      <c r="R211">
        <f>IF(AND(Inputs!$B$38&lt;&gt;"pvp",Inputs!$B$43&gt;0),IF(Inputs!$B$43&lt;=0,0,(INT(Inputs!$B$43/IF(Inputs!$B$38="pvp",15,MAX(0.1,Skills!D18-IF(Skills!E18=TRUE,Inputs!$B$32,0))))+1)),0)</f>
        <v/>
      </c>
      <c r="S211">
        <f>IFERROR(O211/N211,0)</f>
        <v/>
      </c>
      <c r="T211" t="n">
        <v>0</v>
      </c>
      <c r="V211" t="n">
        <v>0</v>
      </c>
    </row>
    <row r="212">
      <c r="A212">
        <f>Skills!A19</f>
        <v/>
      </c>
      <c r="B212">
        <f>Skills!B19</f>
        <v/>
      </c>
      <c r="C212">
        <f>TRUE</f>
        <v/>
      </c>
      <c r="D212">
        <f>IF(Skills!C19=1,60+Inputs!$B$25+Inputs!$B$29,IF(Skills!C19=2,90+Inputs!$B$26+Inputs!$B$29,IF(Skills!C19=3,120+Inputs!$B$27+Inputs!$B$29,MAX(0,(Inputs!$B$3-100)*3)+Inputs!$B$28+Inputs!$B$29)))</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f>(1-Summary!$B$55)*T212+Summary!$B$55*V212</f>
        <v/>
      </c>
      <c r="P212">
        <f>IF(B230=0,0,O212/B230)</f>
        <v/>
      </c>
      <c r="Q212">
        <f>IFERROR(1/IF(Inputs!$B$38="pvp",15,MAX(0.1,Skills!D19-IF(Skills!E19=TRUE,Inputs!$B$32,0))),0)</f>
        <v/>
      </c>
      <c r="R212">
        <f>IF(AND(Inputs!$B$38&lt;&gt;"pvp",Inputs!$B$43&gt;0),IF(Inputs!$B$43&lt;=0,0,(INT(Inputs!$B$43/IF(Inputs!$B$38="pvp",15,MAX(0.1,Skills!D19-IF(Skills!E19=TRUE,Inputs!$B$32,0))))+1)),0)</f>
        <v/>
      </c>
      <c r="S212">
        <f>IFERROR(O212/N212,0)</f>
        <v/>
      </c>
      <c r="T212" t="n">
        <v>0</v>
      </c>
      <c r="V212" t="n">
        <v>0</v>
      </c>
    </row>
    <row r="213">
      <c r="A213">
        <f>Skills!A20</f>
        <v/>
      </c>
      <c r="B213">
        <f>Skills!B20</f>
        <v/>
      </c>
      <c r="C213">
        <f>Inputs!$B$3&gt;=33</f>
        <v/>
      </c>
      <c r="D213">
        <f>IF(Skills!C20=1,60+Inputs!$B$25+Inputs!$B$29,IF(Skills!C20=2,90+Inputs!$B$26+Inputs!$B$29,IF(Skills!C20=3,120+Inputs!$B$27+Inputs!$B$29,MAX(0,(Inputs!$B$3-100)*3)+Inputs!$B$28+Inputs!$B$29)))</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f>(1-Summary!$B$55)*T213+Summary!$B$55*V213</f>
        <v/>
      </c>
      <c r="P213">
        <f>IF(B230=0,0,O213/B230)</f>
        <v/>
      </c>
      <c r="Q213" t="n">
        <v>0</v>
      </c>
      <c r="R213" t="n">
        <v>0</v>
      </c>
      <c r="S213">
        <f>IFERROR(O213/N213,0)</f>
        <v/>
      </c>
      <c r="T213" t="n">
        <v>0</v>
      </c>
      <c r="V213" t="n">
        <v>0</v>
      </c>
    </row>
    <row r="214">
      <c r="A214">
        <f>Skills!A21</f>
        <v/>
      </c>
      <c r="B214">
        <f>Skills!B21</f>
        <v/>
      </c>
      <c r="C214">
        <f>Inputs!$B$3&gt;=38</f>
        <v/>
      </c>
      <c r="D214">
        <f>IF(Skills!C21=1,60+Inputs!$B$25+Inputs!$B$29,IF(Skills!C21=2,90+Inputs!$B$26+Inputs!$B$29,IF(Skills!C21=3,120+Inputs!$B$27+Inputs!$B$29,MAX(0,(Inputs!$B$3-100)*3)+Inputs!$B$28+Inputs!$B$29)))</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f>(1-Summary!$B$55)*T214+Summary!$B$55*V214</f>
        <v/>
      </c>
      <c r="P214">
        <f>IF(B230=0,0,O214/B230)</f>
        <v/>
      </c>
      <c r="Q214" t="n">
        <v>0</v>
      </c>
      <c r="R214" t="n">
        <v>0</v>
      </c>
      <c r="S214">
        <f>IFERROR(O214/N214,0)</f>
        <v/>
      </c>
      <c r="T214" t="n">
        <v>0</v>
      </c>
      <c r="V214" t="n">
        <v>0</v>
      </c>
    </row>
    <row r="215">
      <c r="A215">
        <f>Skills!A22</f>
        <v/>
      </c>
      <c r="B215">
        <f>Skills!B22</f>
        <v/>
      </c>
      <c r="C215">
        <f>Inputs!$B$3&gt;=43</f>
        <v/>
      </c>
      <c r="D215">
        <f>IF(Skills!C22=1,60+Inputs!$B$25+Inputs!$B$29,IF(Skills!C22=2,90+Inputs!$B$26+Inputs!$B$29,IF(Skills!C22=3,120+Inputs!$B$27+Inputs!$B$29,MAX(0,(Inputs!$B$3-100)*3)+Inputs!$B$28+Inputs!$B$29)))</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f>(1-Summary!$B$55)*T215+Summary!$B$55*V215</f>
        <v/>
      </c>
      <c r="P215">
        <f>IF(B230=0,0,O215/B230)</f>
        <v/>
      </c>
      <c r="Q215" t="n">
        <v>0</v>
      </c>
      <c r="R215" t="n">
        <v>0</v>
      </c>
      <c r="S215">
        <f>IFERROR(O215/N215,0)</f>
        <v/>
      </c>
      <c r="T215" t="n">
        <v>0</v>
      </c>
      <c r="V215" t="n">
        <v>0</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f>(1-Summary!$B$55)*T216+Summary!$B$55*V216</f>
        <v/>
      </c>
      <c r="P216">
        <f>IF(B230=0,0,O216/B230)</f>
        <v/>
      </c>
      <c r="Q216" t="n">
        <v>0</v>
      </c>
      <c r="R216" t="n">
        <v>0</v>
      </c>
      <c r="S216">
        <f>IFERROR(O216/N216,0)</f>
        <v/>
      </c>
      <c r="T216" t="n">
        <v>0</v>
      </c>
      <c r="V216" t="n">
        <v>0</v>
      </c>
    </row>
    <row r="217">
      <c r="A217">
        <f>Skills!A24</f>
        <v/>
      </c>
      <c r="B217">
        <f>Skills!B24</f>
        <v/>
      </c>
      <c r="C217">
        <f>Inputs!$B$3&gt;=120</f>
        <v/>
      </c>
      <c r="D217">
        <f>IF(Skills!C24=1,60+Inputs!$B$25+Inputs!$B$29,IF(Skills!C24=2,90+Inputs!$B$26+Inputs!$B$29,IF(Skills!C24=3,120+Inputs!$B$27+Inputs!$B$29,MAX(0,(Inputs!$B$3-100)*3)+Inputs!$B$28+Inputs!$B$29)))</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f>(1-Summary!$B$55)*T217+Summary!$B$55*V217</f>
        <v/>
      </c>
      <c r="P217">
        <f>IF(B230=0,0,O217/B230)</f>
        <v/>
      </c>
      <c r="Q217" t="n">
        <v>0</v>
      </c>
      <c r="R217" t="n">
        <v>0</v>
      </c>
      <c r="S217">
        <f>IFERROR(O217/N217,0)</f>
        <v/>
      </c>
      <c r="T217" t="n">
        <v>0</v>
      </c>
      <c r="V217" t="n">
        <v>0</v>
      </c>
    </row>
    <row r="219">
      <c r="A219" t="inlineStr">
        <is>
          <t>Attack% Bucket Multiplier</t>
        </is>
      </c>
      <c r="B219">
        <f>(1+(((C206=TRUE)*F206*MIN(1,Skills!T13*(Skills!J13/100)*B224))+((C211=TRUE)*F211*IF(AND(Inputs!$B$38&lt;&gt;"pvp",Inputs!$B$43&gt;0),(((R211-1)*(Skills!T18*(1+Inputs!$B$34/100))+MIN((Skills!T18*(1+Inputs!$B$34/100)),MAX(0,Inputs!$B$43-((R211-1)*Skills!D18))))/Inputs!$B$43),IF(Inputs!$B$38="pvp",MIN((Skills!T18*(1+Inputs!$B$34/100)),15)/15,(Skills!T18*(1+Inputs!$B$34/100))/Skills!D18)))+0)/100)</f>
        <v/>
      </c>
    </row>
    <row r="220">
      <c r="A220" t="inlineStr">
        <is>
          <t>Global Crit Rate Bonus %</t>
        </is>
      </c>
      <c r="B220" t="n">
        <v>0</v>
      </c>
    </row>
    <row r="221">
      <c r="A221" t="inlineStr">
        <is>
          <t>Attack Speed Buff Bonus %</t>
        </is>
      </c>
      <c r="B221">
        <f>((C212=TRUE)*F212*IF(AND(Inputs!$B$38&lt;&gt;"pvp",Inputs!$B$43&gt;0),(((R212-1)*(Skills!T19*(1+Inputs!$B$34/100))+MIN((Skills!T19*(1+Inputs!$B$34/100)),MAX(0,Inputs!$B$43-((R212-1)*Skills!D19))))/Inputs!$B$43),IF(Inputs!$B$38="pvp",MIN((Skills!T19*(1+Inputs!$B$34/100)),15)/15,(Skills!T19*(1+Inputs!$B$34/100))/Skills!D19)))</f>
        <v/>
      </c>
    </row>
    <row r="222">
      <c r="A222" t="inlineStr">
        <is>
          <t>Actions Per Second</t>
        </is>
      </c>
      <c r="B222">
        <f>1+MIN(150,150*(1-(1-(Inputs!$B$11+((C213=TRUE)*(F213-Calc!F20)))/150)*(1-B221/150)))/100</f>
        <v/>
      </c>
    </row>
    <row r="223">
      <c r="A223" t="inlineStr">
        <is>
          <t>Skill + Buff Cast Rate</t>
        </is>
      </c>
      <c r="B223">
        <f>IF(AND(Inputs!$B$38&lt;&gt;"pvp",Inputs!$B$43&gt;0),SUMPRODUCT((Skills!E2:E24=TRUE)*(C195:C217=TRUE)*R195:R217*Skills!F2:F24)/Inputs!$B$43,SUMPRODUCT((Skills!E2:E24=TRUE)*(C195:C217=TRUE)*Q195:Q217*Skills!F2:F24))</f>
        <v/>
      </c>
    </row>
    <row r="224">
      <c r="A224" t="inlineStr">
        <is>
          <t>Blast Casts Per Second</t>
        </is>
      </c>
      <c r="B224">
        <f>MAX(0,B222-B223)</f>
        <v/>
      </c>
    </row>
    <row r="225">
      <c r="A225" t="inlineStr">
        <is>
          <t>Global Critical Damage Bonus % (unused)</t>
        </is>
      </c>
      <c r="B225" t="n">
        <v>0</v>
      </c>
    </row>
    <row r="226">
      <c r="A226" t="inlineStr">
        <is>
          <t>Global Final Damage Bonus % (Divine Shield + Guardian + Divine Blessing + Greater Vessel of Light)</t>
        </is>
      </c>
      <c r="B226">
        <f>((C208=TRUE)*F208*IF(AND(Inputs!$B$38&lt;&gt;"pvp",Inputs!$B$43&gt;0),(((R208-1)*(Skills!T15*(1+Inputs!$B$34/100))+MIN((Skills!T15*(1+Inputs!$B$34/100)),MAX(0,Inputs!$B$43-((R208-1)*Skills!D15))))/Inputs!$B$43),IF(Inputs!$B$38="pvp",MIN((Skills!T15*(1+Inputs!$B$34/100)),15)/15,(Skills!T15*(1+Inputs!$B$34/100))/Skills!D15)))+((C209=TRUE)*F209*IF(AND(Inputs!$B$38&lt;&gt;"pvp",Inputs!$B$43&gt;0),(((R209-1)*(Skills!T16*(1+Inputs!$B$34/100))+MIN((Skills!T16*(1+Inputs!$B$34/100)),MAX(0,Inputs!$B$43-((R209-1)*Skills!D16))))/Inputs!$B$43),IF(Inputs!$B$38="pvp",MIN((Skills!T16*(1+Inputs!$B$34/100)),15)/15,(Skills!T16*(1+Inputs!$B$34/100))/Skills!D16)))+((C210=TRUE)*F210*IF(AND(Inputs!$B$38&lt;&gt;"pvp",Inputs!$B$43&gt;0),(((R210-1)*(Skills!T17*(1+Inputs!$B$34/100))+MIN((Skills!T17*(1+Inputs!$B$34/100)),MAX(0,Inputs!$B$43-((R210-1)*Skills!D17))))/Inputs!$B$43),IF(Inputs!$B$38="pvp",MIN((Skills!T17*(1+Inputs!$B$34/100)),15)/15,(Skills!T17*(1+Inputs!$B$34/100))/Skills!D17)))+((C207=TRUE)*F207*MIN(1,Skills!T13*(Skills!J13/100)*B224))</f>
        <v/>
      </c>
    </row>
    <row r="227">
      <c r="A227" t="inlineStr">
        <is>
          <t>Buff-Casting Startup Delay (s, fixed-duration only)</t>
        </is>
      </c>
      <c r="B227">
        <f>IF(AND(Inputs!$B$38&lt;&gt;"pvp",Inputs!$B$43&gt;0),SUMPRODUCT((Skills!T2:T24&gt;0)*(Skills!E2:E24=TRUE)*(C195:C217=TRUE))/B222,0)</f>
        <v/>
      </c>
    </row>
    <row r="228">
      <c r="A228" t="inlineStr">
        <is>
          <t>Boss-Only Total DPS (this block's swept value)</t>
        </is>
      </c>
      <c r="B228">
        <f>SUM(T195:T217)</f>
        <v/>
      </c>
    </row>
    <row r="229">
      <c r="A229" t="inlineStr">
        <is>
          <t>Normal-Only Total DPS (this block's swept value)</t>
        </is>
      </c>
      <c r="B229">
        <f>SUM(V195:V217)</f>
        <v/>
      </c>
    </row>
    <row r="230">
      <c r="A230" s="5" t="inlineStr">
        <is>
          <t>TOTAL DPS</t>
        </is>
      </c>
      <c r="B230" s="5">
        <f>SUM(O195:O217)</f>
        <v/>
      </c>
    </row>
    <row r="233">
      <c r="A233" s="5" t="inlineStr">
        <is>
          <t>Stat: BOSS_DAMAGE %</t>
        </is>
      </c>
    </row>
    <row r="234">
      <c r="A234" s="9" t="inlineStr">
        <is>
          <t>Key</t>
        </is>
      </c>
      <c r="B234" s="9" t="inlineStr">
        <is>
          <t>Name</t>
        </is>
      </c>
      <c r="C234" s="9" t="inlineStr">
        <is>
          <t>Unlocked</t>
        </is>
      </c>
      <c r="D234" s="9" t="inlineStr">
        <is>
          <t>InputLevel</t>
        </is>
      </c>
      <c r="E234" s="9" t="inlineStr">
        <is>
          <t>Factor</t>
        </is>
      </c>
      <c r="F234" s="9" t="inlineStr">
        <is>
          <t>CoefficientPercent</t>
        </is>
      </c>
      <c r="G234" s="9" t="inlineStr">
        <is>
          <t>EffectiveHits</t>
        </is>
      </c>
      <c r="H234" s="9" t="inlineStr">
        <is>
          <t>ProcProbability</t>
        </is>
      </c>
      <c r="I234" s="9" t="inlineStr">
        <is>
          <t>MapleHeroMultiplier</t>
        </is>
      </c>
      <c r="J234" s="9" t="inlineStr">
        <is>
          <t>BaseDamage</t>
        </is>
      </c>
      <c r="K234" s="9" t="inlineStr">
        <is>
          <t>BaseHitDamage</t>
        </is>
      </c>
      <c r="L234" s="9" t="inlineStr">
        <is>
          <t>NonCritAvg</t>
        </is>
      </c>
      <c r="M234" s="9" t="inlineStr">
        <is>
          <t>CritAvg</t>
        </is>
      </c>
      <c r="N234" s="9" t="inlineStr">
        <is>
          <t>ExpectedDamage(perHit)</t>
        </is>
      </c>
      <c r="O234" s="9" t="inlineStr">
        <is>
          <t>DPS</t>
        </is>
      </c>
      <c r="P234" s="9" t="inlineStr">
        <is>
          <t>% of Total</t>
        </is>
      </c>
      <c r="Q234" s="9" t="inlineStr">
        <is>
          <t>InvCooldown</t>
        </is>
      </c>
      <c r="R234" s="9" t="inlineStr">
        <is>
          <t>CastsInFight</t>
        </is>
      </c>
      <c r="S234" s="9"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((Inputs!$B$6*(1+Inputs!$B$7/100))+(((Inputs!$B$12*(1+Inputs!$B$13/100))-(Inputs!$B$12*(1+Inputs!$B$13/100)))+0.25*(Inputs!$B$14-Inputs!$B$14))*(1+Inputs!$B$7/100))*(F235/100)</f>
        <v/>
      </c>
      <c r="K235">
        <f>J235*(1+((Inputs!$B$12*(1+Inputs!$B$13/100))*0.01+Inputs!$B$14*0.0025)/100)*(1+Inputs!$B$15/100)*(1+Inputs!$B$16/100)*(5000/(6000+Inputs!$B$42*(1-(Inputs!$B$19+0)/100)))*(1+(Inputs!$B$24+0+B266)/100)*(1+(IF(Skills!A2="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235)</f>
        <v/>
      </c>
      <c r="L235">
        <f>K235*(MIN(Inputs!$B$22+((C255=TRUE)*(F255-Calc!F22)),Inputs!$B$23+((C257=TRUE)*(F257-Calc!F24)))/100+(Inputs!$B$23+((C257=TRUE)*(F257-Calc!F24)))/100)/2</f>
        <v/>
      </c>
      <c r="M235">
        <f>L235*(1+(Inputs!$B$10+0+B265)/100)</f>
        <v/>
      </c>
      <c r="N235">
        <f>L235*(1-MIN((Inputs!$B$9+0+B260),100)/100)+M235*(MIN((Inputs!$B$9+0+B260),100)/100)</f>
        <v/>
      </c>
      <c r="O235">
        <f>(1-Summary!$B$55)*T235+Summary!$B$55*V235</f>
        <v/>
      </c>
      <c r="P235">
        <f>IF(B270=0,0,O235/B270)</f>
        <v/>
      </c>
      <c r="Q235" t="n">
        <v>0</v>
      </c>
      <c r="R235" t="n">
        <v>0</v>
      </c>
      <c r="S235">
        <f>IFERROR(O235/N235,0)</f>
        <v/>
      </c>
      <c r="T235">
        <f>IF(C235,(Skills!G2*N235*B264)*IF(Inputs!$B$38="pvp",1,1+((Inputs!$B$20+1)+0+Skills!P2)/100),0)</f>
        <v/>
      </c>
      <c r="U235">
        <f>MAX(0,(Inputs!$B$3-100)*3)+Inputs!$B$28+Inputs!$B$29</f>
        <v/>
      </c>
      <c r="V235">
        <f>IF(C235,(Skills!G2*N235*B264)*IF(Inputs!$B$38="pvp",1,(1+(Inputs!$B$21+Skills!Q2)/100)*(MIN((6+Inputs!$B$33),Inputs!$B$37))),0)</f>
        <v/>
      </c>
    </row>
    <row r="236">
      <c r="A236">
        <f>Skills!A3</f>
        <v/>
      </c>
      <c r="B236">
        <f>Skills!B3</f>
        <v/>
      </c>
      <c r="C236">
        <f>Inputs!$B$3&gt;=50</f>
        <v/>
      </c>
      <c r="D236">
        <f>IF(Skills!C3=1,60+Inputs!$B$25+Inputs!$B$29,IF(Skills!C3=2,90+Inputs!$B$26+Inputs!$B$29,IF(Skills!C3=3,120+Inputs!$B$27+Inputs!$B$29,MAX(0,(Inputs!$B$3-100)*3)+Inputs!$B$28+Inputs!$B$29)))</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Inputs!$B$3&gt;=35</f>
        <v/>
      </c>
      <c r="D237">
        <f>IF(Skills!C4=1,60+Inputs!$B$25+Inputs!$B$29,IF(Skills!C4=2,90+Inputs!$B$26+Inputs!$B$29,IF(Skills!C4=3,120+Inputs!$B$27+Inputs!$B$29,MAX(0,(Inputs!$B$3-100)*3)+Inputs!$B$28+Inputs!$B$29)))</f>
        <v/>
      </c>
      <c r="E237">
        <f>INDEX(FactorTable!$B$2:$Y$301, MATCH(ROUND(MIN(300,MAX(1,D237)),0), FactorTable!$A$2:$A$301,0), Skills!M4+1)</f>
        <v/>
      </c>
      <c r="F237">
        <f>IF(Skills!N4=TRUE,(Skills!L4/10)*(E237/1000),Skills!L4/10)+Skills!O4</f>
        <v/>
      </c>
      <c r="G237">
        <f>Skills!G4*IF(Skills!H4&gt;0,Skills!I4/Skills!H4,1)</f>
        <v/>
      </c>
      <c r="H237">
        <f>1-(1-Skills!J4/100)^Skills!K4</f>
        <v/>
      </c>
      <c r="I237" t="inlineStr">
        <is>
          <t>1</t>
        </is>
      </c>
      <c r="J237">
        <f>((Inputs!$B$6*(1+Inputs!$B$7/100))+(((Inputs!$B$12*(1+Inputs!$B$13/100))-(Inputs!$B$12*(1+Inputs!$B$13/100)))+0.25*(Inputs!$B$14-Inputs!$B$14))*(1+Inputs!$B$7/100))*(F237/100)</f>
        <v/>
      </c>
      <c r="K237">
        <f>J237*(1+((Inputs!$B$12*(1+Inputs!$B$13/100))*0.01+Inputs!$B$14*0.0025)/100)*(1+Inputs!$B$15/100)*(1+Inputs!$B$16/100)*(5000/(6000+Inputs!$B$42*(1-(Inputs!$B$19+0)/100)))*(1+(Inputs!$B$24+0+B266)/100)*(1+4.0*IF(C245=TRUE,F245,0)/100)*(1+(IF(Skills!A4="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237)</f>
        <v/>
      </c>
      <c r="L237">
        <f>K237*(MIN(Inputs!$B$22+((C255=TRUE)*(F255-Calc!F22)),Inputs!$B$23+((C257=TRUE)*(F257-Calc!F24)))/100+(Inputs!$B$23+((C257=TRUE)*(F257-Calc!F24)))/100)/2</f>
        <v/>
      </c>
      <c r="M237">
        <f>L237*(1+(Inputs!$B$10+0+B265)/100)</f>
        <v/>
      </c>
      <c r="N237">
        <f>L237*(1-MIN((Inputs!$B$9+0+B260),100)/100)+M237*(MIN((Inputs!$B$9+0+B260),100)/100)</f>
        <v/>
      </c>
      <c r="O237">
        <f>(1-Summary!$B$55)*T237+Summary!$B$55*V237</f>
        <v/>
      </c>
      <c r="P237">
        <f>IF(B270=0,0,O237/B270)</f>
        <v/>
      </c>
      <c r="Q237">
        <f>IFERROR(1/IF(Inputs!$B$38="pvp",15,MAX(0.1,Skills!D4-IF(Skills!E4=TRUE,Inputs!$B$32,0))),0)</f>
        <v/>
      </c>
      <c r="R237">
        <f>IF(AND(Inputs!$B$38&lt;&gt;"pvp",Inputs!$B$43&gt;0),IF(MAX(0,Inputs!$B$43-B267)&lt;=0,0,(INT(MAX(0,Inputs!$B$43-B267)/IF(Inputs!$B$38="pvp",15,MAX(0.1,Skills!D4-IF(Skills!E4=TRUE,Inputs!$B$32,0))))+1)),0)</f>
        <v/>
      </c>
      <c r="S237">
        <f>IFERROR(O237/N237,0)</f>
        <v/>
      </c>
      <c r="T237">
        <f>IF(C237,(H237*N237*IF(AND(Inputs!$B$38&lt;&gt;"pvp",Inputs!$B$43&gt;0),((Skills!G4*((R237-1)*IF(Skills!H4&gt;0,Skills!I4/Skills!H4,1)+IF(Skills!H4&gt;0,MIN(Skills!I4,MAX(0,MAX(0,Inputs!$B$43-B267)-((R237-1)*IF(Inputs!$B$38="pvp",15,MAX(0.1,Skills!D4-IF(Skills!E4=TRUE,Inputs!$B$32,0))))))/Skills!H4,1)))/Inputs!$B$43),G237*Q237))*IF(Inputs!$B$38="pvp",1,1+((Inputs!$B$20+1)+0+Skills!P4)/100),0)</f>
        <v/>
      </c>
      <c r="U237">
        <f>290*U236/1000</f>
        <v/>
      </c>
      <c r="V237">
        <f>IF(C237,(H237*N237*IF(AND(Inputs!$B$38&lt;&gt;"pvp",Inputs!$B$43&gt;0),((Skills!G4*((R237-1)*IF(Skills!H4&gt;0,Skills!I4/Skills!H4,1)+IF(Skills!H4&gt;0,MIN(Skills!I4,MAX(0,MAX(0,Inputs!$B$43-B267)-((R237-1)*IF(Inputs!$B$38="pvp",15,MAX(0.1,Skills!D4-IF(Skills!E4=TRUE,Inputs!$B$32,0))))))/Skills!H4,1)))/Inputs!$B$43),G237*Q237))*IF(Inputs!$B$38="pvp",1,(1+(Inputs!$B$21+Skills!Q4)/100)*(MIN(Skills!R4,Inputs!$B$37))),0)</f>
        <v/>
      </c>
    </row>
    <row r="238">
      <c r="A238">
        <f>Skills!A5</f>
        <v/>
      </c>
      <c r="B238">
        <f>Skills!B5</f>
        <v/>
      </c>
      <c r="C238">
        <f>Inputs!$B$3&gt;=66</f>
        <v/>
      </c>
      <c r="D238">
        <f>IF(Skills!C5=1,60+Inputs!$B$25+Inputs!$B$29,IF(Skills!C5=2,90+Inputs!$B$26+Inputs!$B$29,IF(Skills!C5=3,120+Inputs!$B$27+Inputs!$B$29,MAX(0,(Inputs!$B$3-100)*3)+Inputs!$B$28+Inputs!$B$29)))</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((Inputs!$B$6*(1+Inputs!$B$7/100))+(((Inputs!$B$12*(1+Inputs!$B$13/100))-(Inputs!$B$12*(1+Inputs!$B$13/100)))+0.25*(Inputs!$B$14-Inputs!$B$14))*(1+Inputs!$B$7/100))*(F238/100)</f>
        <v/>
      </c>
      <c r="K238">
        <f>J238*(1+((Inputs!$B$12*(1+Inputs!$B$13/100))*0.01+Inputs!$B$14*0.0025)/100)*(1+Inputs!$B$15/100)*(1+Inputs!$B$16/100)*(5000/(6000+Inputs!$B$42*(1-(Inputs!$B$19+0)/100)))*(1+(Inputs!$B$24+0+B266)/100)*(1+1.0*IF(C245=TRUE,F245,0)/100)*(1+(IF(Skills!A5="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238)</f>
        <v/>
      </c>
      <c r="L238">
        <f>K238*(MIN(Inputs!$B$22+((C255=TRUE)*(F255-Calc!F22)),Inputs!$B$23+((C257=TRUE)*(F257-Calc!F24)))/100+(Inputs!$B$23+((C257=TRUE)*(F257-Calc!F24)))/100)/2</f>
        <v/>
      </c>
      <c r="M238">
        <f>L238*(1+(Inputs!$B$10+0+B265)/100)</f>
        <v/>
      </c>
      <c r="N238">
        <f>L238*(1-MIN((Inputs!$B$9+0+B260),100)/100)+M238*(MIN((Inputs!$B$9+0+B260),100)/100)</f>
        <v/>
      </c>
      <c r="O238">
        <f>(1-Summary!$B$55)*T238+Summary!$B$55*V238</f>
        <v/>
      </c>
      <c r="P238">
        <f>IF(B270=0,0,O238/B270)</f>
        <v/>
      </c>
      <c r="Q238">
        <f>IFERROR(1/IF(Inputs!$B$38="pvp",15,MAX(0.1,Skills!D5-IF(Skills!E5=TRUE,Inputs!$B$32,0))),0)</f>
        <v/>
      </c>
      <c r="R238">
        <f>IF(AND(Inputs!$B$38&lt;&gt;"pvp",Inputs!$B$43&gt;0),IF(MAX(0,Inputs!$B$43-B267)&lt;=0,0,(INT(MAX(0,Inputs!$B$43-B267)/IF(Inputs!$B$38="pvp",15,MAX(0.1,Skills!D5-IF(Skills!E5=TRUE,Inputs!$B$32,0))))+1)),0)</f>
        <v/>
      </c>
      <c r="S238">
        <f>IFERROR(O238/N238,0)</f>
        <v/>
      </c>
      <c r="T238">
        <f>IF(C238,(H238*N238*IF(AND(Inputs!$B$38&lt;&gt;"pvp",Inputs!$B$43&gt;0),((Skills!G5*((R238-1)*IF(Skills!H5&gt;0,Skills!I5/Skills!H5,1)+IF(Skills!H5&gt;0,MIN(Skills!I5,MAX(0,MAX(0,Inputs!$B$43-B267)-((R238-1)*IF(Inputs!$B$38="pvp",15,MAX(0.1,Skills!D5-IF(Skills!E5=TRUE,Inputs!$B$32,0))))))/Skills!H5,1)))/Inputs!$B$43),G238*Q238))*IF(Inputs!$B$38="pvp",1,1+((Inputs!$B$20+1)+0+Skills!P5)/100),0)</f>
        <v/>
      </c>
      <c r="V238">
        <f>IF(C238,(H238*N238*IF(AND(Inputs!$B$38&lt;&gt;"pvp",Inputs!$B$43&gt;0),((Skills!G5*((R238-1)*IF(Skills!H5&gt;0,Skills!I5/Skills!H5,1)+IF(Skills!H5&gt;0,MIN(Skills!I5,MAX(0,MAX(0,Inputs!$B$43-B267)-((R238-1)*IF(Inputs!$B$38="pvp",15,MAX(0.1,Skills!D5-IF(Skills!E5=TRUE,Inputs!$B$32,0))))))/Skills!H5,1)))/Inputs!$B$43),G238*Q238))*IF(Inputs!$B$38="pvp",1,(1+(Inputs!$B$21+Skills!Q5)/100)*(MIN(Skills!R5,Inputs!$B$37))),0)</f>
        <v/>
      </c>
    </row>
    <row r="239">
      <c r="A239">
        <f>Skills!A6</f>
        <v/>
      </c>
      <c r="B239">
        <f>Skills!B6</f>
        <v/>
      </c>
      <c r="C239">
        <f>Inputs!$B$3&gt;=103</f>
        <v/>
      </c>
      <c r="D239">
        <f>IF(Skills!C6=1,60+Inputs!$B$25+Inputs!$B$29,IF(Skills!C6=2,90+Inputs!$B$26+Inputs!$B$29,IF(Skills!C6=3,120+Inputs!$B$27+Inputs!$B$29,MAX(0,(Inputs!$B$3-100)*3)+Inputs!$B$28+Inputs!$B$29)))</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((Inputs!$B$6*(1+Inputs!$B$7/100))+(((Inputs!$B$12*(1+Inputs!$B$13/100))-(Inputs!$B$12*(1+Inputs!$B$13/100)))+0.25*(Inputs!$B$14-Inputs!$B$14))*(1+Inputs!$B$7/100))*(F239/100)</f>
        <v/>
      </c>
      <c r="K239">
        <f>J239*(1+((Inputs!$B$12*(1+Inputs!$B$13/100))*0.01+Inputs!$B$14*0.0025)/100)*(1+Inputs!$B$15/100)*(1+Inputs!$B$16/100)*(5000/(6000+Inputs!$B$42*(1-(Inputs!$B$19+0)/100)))*(1+(Inputs!$B$24+0+B266)/100)*(1+(IF(Skills!A6="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239)</f>
        <v/>
      </c>
      <c r="L239">
        <f>K239*(MIN(Inputs!$B$22+((C255=TRUE)*(F255-Calc!F22)),Inputs!$B$23+((C257=TRUE)*(F257-Calc!F24)))/100+(Inputs!$B$23+((C257=TRUE)*(F257-Calc!F24)))/100)/2</f>
        <v/>
      </c>
      <c r="M239">
        <f>L239*(1+(Inputs!$B$10+0+B265)/100)</f>
        <v/>
      </c>
      <c r="N239">
        <f>L239*(1-MIN((Inputs!$B$9+0+B260),100)/100)+M239*(MIN((Inputs!$B$9+0+B260),100)/100)</f>
        <v/>
      </c>
      <c r="O239">
        <f>(1-Summary!$B$55)*T239+Summary!$B$55*V239</f>
        <v/>
      </c>
      <c r="P239">
        <f>IF(B270=0,0,O239/B270)</f>
        <v/>
      </c>
      <c r="Q239">
        <f>IFERROR(1/IF(Inputs!$B$38="pvp",15,MAX(0.1,Skills!D6-IF(Skills!E6=TRUE,Inputs!$B$32,0))),0)</f>
        <v/>
      </c>
      <c r="R239">
        <f>IF(AND(Inputs!$B$38&lt;&gt;"pvp",Inputs!$B$43&gt;0),IF(MAX(0,Inputs!$B$43-B267)&lt;=0,0,(INT(MAX(0,Inputs!$B$43-B267)/IF(Inputs!$B$38="pvp",15,MAX(0.1,Skills!D6-IF(Skills!E6=TRUE,Inputs!$B$32,0))))+1)),0)</f>
        <v/>
      </c>
      <c r="S239">
        <f>IFERROR(O239/N239,0)</f>
        <v/>
      </c>
      <c r="T239">
        <f>IF(C239,(H239*N239*IF(AND(Inputs!$B$38&lt;&gt;"pvp",Inputs!$B$43&gt;0),((Skills!G6*((R239-1)*IF(Skills!H6&gt;0,Skills!I6/Skills!H6,1)+IF(Skills!H6&gt;0,MIN(Skills!I6,MAX(0,MAX(0,Inputs!$B$43-B267)-((R239-1)*IF(Inputs!$B$38="pvp",15,MAX(0.1,Skills!D6-IF(Skills!E6=TRUE,Inputs!$B$32,0))))))/Skills!H6,1)))/Inputs!$B$43),G239*Q239))*IF(Inputs!$B$38="pvp",1,1+((Inputs!$B$20+1)+0+Skills!P6)/100),0)</f>
        <v/>
      </c>
      <c r="V239">
        <f>IF(C239,(H239*N239*IF(AND(Inputs!$B$38&lt;&gt;"pvp",Inputs!$B$43&gt;0),((Skills!G6*((R239-1)*IF(Skills!H6&gt;0,Skills!I6/Skills!H6,1)+IF(Skills!H6&gt;0,MIN(Skills!I6,MAX(0,MAX(0,Inputs!$B$43-B267)-((R239-1)*IF(Inputs!$B$38="pvp",15,MAX(0.1,Skills!D6-IF(Skills!E6=TRUE,Inputs!$B$32,0))))))/Skills!H6,1)))/Inputs!$B$43),G239*Q239))*IF(Inputs!$B$38="pvp",1,(1+(Inputs!$B$21+Skills!Q6)/100)*(MIN(Skills!R6,Inputs!$B$37))),0)</f>
        <v/>
      </c>
    </row>
    <row r="240">
      <c r="A240">
        <f>Skills!A7</f>
        <v/>
      </c>
      <c r="B240">
        <f>Skills!B7</f>
        <v/>
      </c>
      <c r="C240">
        <f>Inputs!$B$3&gt;=107</f>
        <v/>
      </c>
      <c r="D240">
        <f>IF(Skills!C7=1,60+Inputs!$B$25+Inputs!$B$29,IF(Skills!C7=2,90+Inputs!$B$26+Inputs!$B$29,IF(Skills!C7=3,120+Inputs!$B$27+Inputs!$B$29,MAX(0,(Inputs!$B$3-100)*3)+Inputs!$B$28+Inputs!$B$29)))</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((Inputs!$B$6*(1+Inputs!$B$7/100))+(((Inputs!$B$12*(1+Inputs!$B$13/100))-(Inputs!$B$12*(1+Inputs!$B$13/100)))+0.25*(Inputs!$B$14-Inputs!$B$14))*(1+Inputs!$B$7/100))*(F240/100)</f>
        <v/>
      </c>
      <c r="K240">
        <f>J240*(1+((Inputs!$B$12*(1+Inputs!$B$13/100))*0.01+Inputs!$B$14*0.0025)/100)*(1+Inputs!$B$15/100)*(1+Inputs!$B$16/100)*(5000/(6000+Inputs!$B$42*(1-(Inputs!$B$19+0)/100)))*(1+(Inputs!$B$24+0+B266)/100)*(1+(IF(Skills!A7="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240)</f>
        <v/>
      </c>
      <c r="L240">
        <f>K240*(MIN(Inputs!$B$22+((C255=TRUE)*(F255-Calc!F22)),Inputs!$B$23+((C257=TRUE)*(F257-Calc!F24)))/100+(Inputs!$B$23+((C257=TRUE)*(F257-Calc!F24)))/100)/2</f>
        <v/>
      </c>
      <c r="M240">
        <f>L240*(1+(Inputs!$B$10+0+B265)/100)</f>
        <v/>
      </c>
      <c r="N240">
        <f>L240*(1-MIN((Inputs!$B$9+0+B260),100)/100)+M240*(MIN((Inputs!$B$9+0+B260),100)/100)</f>
        <v/>
      </c>
      <c r="O240">
        <f>(1-Summary!$B$55)*T240+Summary!$B$55*V240</f>
        <v/>
      </c>
      <c r="P240">
        <f>IF(B270=0,0,O240/B270)</f>
        <v/>
      </c>
      <c r="Q240">
        <f>IFERROR(1/IF(Inputs!$B$38="pvp",15,MAX(0.1,Skills!D7-IF(Skills!E7=TRUE,Inputs!$B$32,0))),0)</f>
        <v/>
      </c>
      <c r="R240">
        <f>IF(AND(Inputs!$B$38&lt;&gt;"pvp",Inputs!$B$43&gt;0),IF(MAX(0,Inputs!$B$43-B267)&lt;=0,0,(INT(MAX(0,Inputs!$B$43-B267)/IF(Inputs!$B$38="pvp",15,MAX(0.1,Skills!D7-IF(Skills!E7=TRUE,Inputs!$B$32,0))))+1)),0)</f>
        <v/>
      </c>
      <c r="S240">
        <f>IFERROR(O240/N240,0)</f>
        <v/>
      </c>
      <c r="T240">
        <f>IF(C240,(H240*N240*IF(AND(Inputs!$B$38&lt;&gt;"pvp",Inputs!$B$43&gt;0),((Skills!G7*((R240-1)*IF(Skills!H7&gt;0,Skills!I7/Skills!H7,1)+IF(Skills!H7&gt;0,MIN(Skills!I7,MAX(0,MAX(0,Inputs!$B$43-B267)-((R240-1)*IF(Inputs!$B$38="pvp",15,MAX(0.1,Skills!D7-IF(Skills!E7=TRUE,Inputs!$B$32,0))))))/Skills!H7,1)))/Inputs!$B$43),G240*Q240))*IF(Inputs!$B$38="pvp",1,1+((Inputs!$B$20+1)+0+Skills!P7)/100),0)</f>
        <v/>
      </c>
      <c r="V240">
        <f>IF(C240,(H240*N240*IF(AND(Inputs!$B$38&lt;&gt;"pvp",Inputs!$B$43&gt;0),((Skills!G7*((R240-1)*IF(Skills!H7&gt;0,Skills!I7/Skills!H7,1)+IF(Skills!H7&gt;0,MIN(Skills!I7,MAX(0,MAX(0,Inputs!$B$43-B267)-((R240-1)*IF(Inputs!$B$38="pvp",15,MAX(0.1,Skills!D7-IF(Skills!E7=TRUE,Inputs!$B$32,0))))))/Skills!H7,1)))/Inputs!$B$43),G240*Q240))*IF(Inputs!$B$38="pvp",1,(1+(Inputs!$B$21+Skills!Q7)/100)*(MIN(Skills!R7,Inputs!$B$37))),0)</f>
        <v/>
      </c>
    </row>
    <row r="241">
      <c r="A241">
        <f>Skills!A8</f>
        <v/>
      </c>
      <c r="B241">
        <f>Skills!B8</f>
        <v/>
      </c>
      <c r="C241">
        <f>Inputs!$B$3&gt;=107</f>
        <v/>
      </c>
      <c r="D241">
        <f>IF(Skills!C8=1,60+Inputs!$B$25+Inputs!$B$29,IF(Skills!C8=2,90+Inputs!$B$26+Inputs!$B$29,IF(Skills!C8=3,120+Inputs!$B$27+Inputs!$B$29,MAX(0,(Inputs!$B$3-100)*3)+Inputs!$B$28+Inputs!$B$29)))</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((Inputs!$B$6*(1+Inputs!$B$7/100))+(((Inputs!$B$12*(1+Inputs!$B$13/100))-(Inputs!$B$12*(1+Inputs!$B$13/100)))+0.25*(Inputs!$B$14-Inputs!$B$14))*(1+Inputs!$B$7/100))*(F241/100)</f>
        <v/>
      </c>
      <c r="K241">
        <f>J241*(1+((Inputs!$B$12*(1+Inputs!$B$13/100))*0.01+Inputs!$B$14*0.0025)/100)*(1+Inputs!$B$15/100)*(1+Inputs!$B$16/100)*(5000/(6000+Inputs!$B$42*(1-(Inputs!$B$19+0)/100)))*(1+(Inputs!$B$24+0+B266)/100)*(1+(IF(Skills!A8="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241)</f>
        <v/>
      </c>
      <c r="L241">
        <f>K241*(MIN(Inputs!$B$22+((C255=TRUE)*(F255-Calc!F22)),Inputs!$B$23+((C257=TRUE)*(F257-Calc!F24)))/100+(Inputs!$B$23+((C257=TRUE)*(F257-Calc!F24)))/100)/2</f>
        <v/>
      </c>
      <c r="M241">
        <f>L241*(1+(Inputs!$B$10+0+B265)/100)</f>
        <v/>
      </c>
      <c r="N241">
        <f>L241*(1-MIN((Inputs!$B$9+0+B260),100)/100)+M241*(MIN((Inputs!$B$9+0+B260),100)/100)</f>
        <v/>
      </c>
      <c r="O241">
        <f>(1-Summary!$B$55)*T241+Summary!$B$55*V241</f>
        <v/>
      </c>
      <c r="P241">
        <f>IF(B270=0,0,O241/B270)</f>
        <v/>
      </c>
      <c r="Q241">
        <f>IFERROR(1/IF(Inputs!$B$38="pvp",15,MAX(0.1,Skills!D8-IF(Skills!E8=TRUE,Inputs!$B$32,0))),0)</f>
        <v/>
      </c>
      <c r="R241">
        <f>IF(AND(Inputs!$B$38&lt;&gt;"pvp",Inputs!$B$43&gt;0),IF(MAX(0,Inputs!$B$43-B267)&lt;=0,0,(INT(MAX(0,Inputs!$B$43-B267)/IF(Inputs!$B$38="pvp",15,MAX(0.1,Skills!D8-IF(Skills!E8=TRUE,Inputs!$B$32,0))))+1)),0)</f>
        <v/>
      </c>
      <c r="S241">
        <f>IFERROR(O241/N241,0)</f>
        <v/>
      </c>
      <c r="T241">
        <f>IF(C241,(H241*N241*IF(AND(Inputs!$B$38&lt;&gt;"pvp",Inputs!$B$43&gt;0),((Skills!G8*((R241-1)*IF(Skills!H8&gt;0,Skills!I8/Skills!H8,1)+IF(Skills!H8&gt;0,MIN(Skills!I8,MAX(0,MAX(0,Inputs!$B$43-B267)-((R241-1)*IF(Inputs!$B$38="pvp",15,MAX(0.1,Skills!D8-IF(Skills!E8=TRUE,Inputs!$B$32,0))))))/Skills!H8,1)))/Inputs!$B$43),G241*Q241))*IF(Inputs!$B$38="pvp",1,1+((Inputs!$B$20+1)+0+Skills!P8)/100),0)</f>
        <v/>
      </c>
      <c r="V241">
        <f>IF(C241,(H241*N241*IF(AND(Inputs!$B$38&lt;&gt;"pvp",Inputs!$B$43&gt;0),((Skills!G8*((R241-1)*IF(Skills!H8&gt;0,Skills!I8/Skills!H8,1)+IF(Skills!H8&gt;0,MIN(Skills!I8,MAX(0,MAX(0,Inputs!$B$43-B267)-((R241-1)*IF(Inputs!$B$38="pvp",15,MAX(0.1,Skills!D8-IF(Skills!E8=TRUE,Inputs!$B$32,0))))))/Skills!H8,1)))/Inputs!$B$43),G241*Q241))*IF(Inputs!$B$38="pvp",1,(1+(Inputs!$B$21+Skills!Q8)/100)*(MIN(Skills!R8,Inputs!$B$37))),0)</f>
        <v/>
      </c>
    </row>
    <row r="242">
      <c r="A242">
        <f>Skills!A9</f>
        <v/>
      </c>
      <c r="B242">
        <f>Skills!B9</f>
        <v/>
      </c>
      <c r="C242">
        <f>Inputs!$B$3&gt;=125</f>
        <v/>
      </c>
      <c r="D242">
        <f>IF(Skills!C9=1,60+Inputs!$B$25+Inputs!$B$29,IF(Skills!C9=2,90+Inputs!$B$26+Inputs!$B$29,IF(Skills!C9=3,120+Inputs!$B$27+Inputs!$B$29,MAX(0,(Inputs!$B$3-100)*3)+Inputs!$B$28+Inputs!$B$29)))</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((Inputs!$B$6*(1+Inputs!$B$7/100))+(((Inputs!$B$12*(1+Inputs!$B$13/100))-(Inputs!$B$12*(1+Inputs!$B$13/100)))+0.25*(Inputs!$B$14-Inputs!$B$14))*(1+Inputs!$B$7/100))*(F242/100)</f>
        <v/>
      </c>
      <c r="K242">
        <f>J242*(1+((Inputs!$B$12*(1+Inputs!$B$13/100))*0.01+Inputs!$B$14*0.0025)/100)*(1+Inputs!$B$15/100)*(1+Inputs!$B$16/100)*(5000/(6000+Inputs!$B$42*(1-(Inputs!$B$19+0)/100)))*(1+(Inputs!$B$24+0+B266)/100)*(1+(IF(Skills!A9="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242)</f>
        <v/>
      </c>
      <c r="L242">
        <f>K242*(MIN(Inputs!$B$22+((C255=TRUE)*(F255-Calc!F22)),Inputs!$B$23+((C257=TRUE)*(F257-Calc!F24)))/100+(Inputs!$B$23+((C257=TRUE)*(F257-Calc!F24)))/100)/2</f>
        <v/>
      </c>
      <c r="M242">
        <f>L242*(1+(Inputs!$B$10+0+B265)/100)</f>
        <v/>
      </c>
      <c r="N242">
        <f>L242*(1-MIN((Inputs!$B$9+0+B260),100)/100)+M242*(MIN((Inputs!$B$9+0+B260),100)/100)</f>
        <v/>
      </c>
      <c r="O242">
        <f>(1-Summary!$B$55)*T242+Summary!$B$55*V242</f>
        <v/>
      </c>
      <c r="P242">
        <f>IF(B270=0,0,O242/B270)</f>
        <v/>
      </c>
      <c r="Q242">
        <f>IFERROR(1/IF(Inputs!$B$38="pvp",15,MAX(0.1,Skills!D9-IF(Skills!E9=TRUE,Inputs!$B$32,0))),0)</f>
        <v/>
      </c>
      <c r="R242">
        <f>IF(AND(Inputs!$B$38&lt;&gt;"pvp",Inputs!$B$43&gt;0),IF(MAX(0,Inputs!$B$43-B267)&lt;=0,0,(INT(MAX(0,Inputs!$B$43-B267)/IF(Inputs!$B$38="pvp",15,MAX(0.1,Skills!D9-IF(Skills!E9=TRUE,Inputs!$B$32,0))))+1)),0)</f>
        <v/>
      </c>
      <c r="S242">
        <f>IFERROR(O242/N242,0)</f>
        <v/>
      </c>
      <c r="T242">
        <f>IF(C242,(H242*N242*IF(AND(Inputs!$B$38&lt;&gt;"pvp",Inputs!$B$43&gt;0),((Skills!G9*((R242-1)*IF(Skills!H9&gt;0,Skills!I9/Skills!H9,1)+IF(Skills!H9&gt;0,MIN(Skills!I9,MAX(0,MAX(0,Inputs!$B$43-B267)-((R242-1)*IF(Inputs!$B$38="pvp",15,MAX(0.1,Skills!D9-IF(Skills!E9=TRUE,Inputs!$B$32,0))))))/Skills!H9,1)))/Inputs!$B$43),G242*Q242))*IF(Inputs!$B$38="pvp",1,1+((Inputs!$B$20+1)+0+Skills!P9)/100),0)</f>
        <v/>
      </c>
      <c r="V242">
        <f>IF(C242,(H242*N242*IF(AND(Inputs!$B$38&lt;&gt;"pvp",Inputs!$B$43&gt;0),((Skills!G9*((R242-1)*IF(Skills!H9&gt;0,Skills!I9/Skills!H9,1)+IF(Skills!H9&gt;0,MIN(Skills!I9,MAX(0,MAX(0,Inputs!$B$43-B267)-((R242-1)*IF(Inputs!$B$38="pvp",15,MAX(0.1,Skills!D9-IF(Skills!E9=TRUE,Inputs!$B$32,0))))))/Skills!H9,1)))/Inputs!$B$43),G242*Q242))*IF(Inputs!$B$38="pvp",1,(1+(Inputs!$B$21+Skills!Q9)/100)*(MIN(Skills!R9,Inputs!$B$37))),0)</f>
        <v/>
      </c>
    </row>
    <row r="243">
      <c r="A243">
        <f>Skills!A10</f>
        <v/>
      </c>
      <c r="B243">
        <f>Skills!B10</f>
        <v/>
      </c>
      <c r="C243">
        <f>Inputs!$B$3&gt;=117</f>
        <v/>
      </c>
      <c r="D243">
        <f>IF(Skills!C10=1,60+Inputs!$B$25+Inputs!$B$29,IF(Skills!C10=2,90+Inputs!$B$26+Inputs!$B$29,IF(Skills!C10=3,120+Inputs!$B$27+Inputs!$B$29,MAX(0,(Inputs!$B$3-100)*3)+Inputs!$B$28+Inputs!$B$29)))</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((Inputs!$B$6*(1+Inputs!$B$7/100))+(((Inputs!$B$12*(1+Inputs!$B$13/100))-(Inputs!$B$12*(1+Inputs!$B$13/100)))+0.25*(Inputs!$B$14-Inputs!$B$14))*(1+Inputs!$B$7/100))*(F243/100)</f>
        <v/>
      </c>
      <c r="K243">
        <f>J243*(1+((Inputs!$B$12*(1+Inputs!$B$13/100))*0.01+Inputs!$B$14*0.0025)/100)*(1+Inputs!$B$15/100)*(1+Inputs!$B$16/100)*(5000/(6000+Inputs!$B$42*(1-(Inputs!$B$19+0)/100)))*(1+(Inputs!$B$24+0+B266)/100)*(1+(IF(Skills!A10="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243)</f>
        <v/>
      </c>
      <c r="L243">
        <f>K243*(MIN(Inputs!$B$22+((C255=TRUE)*(F255-Calc!F22)),Inputs!$B$23+((C257=TRUE)*(F257-Calc!F24)))/100+(Inputs!$B$23+((C257=TRUE)*(F257-Calc!F24)))/100)/2</f>
        <v/>
      </c>
      <c r="M243">
        <f>L243*(1+(Inputs!$B$10+0+B265)/100)</f>
        <v/>
      </c>
      <c r="N243">
        <f>L243*(1-MIN((Inputs!$B$9+0+B260),100)/100)+M243*(MIN((Inputs!$B$9+0+B260),100)/100)</f>
        <v/>
      </c>
      <c r="O243">
        <f>(1-Summary!$B$55)*T243+Summary!$B$55*V243</f>
        <v/>
      </c>
      <c r="P243">
        <f>IF(B270=0,0,O243/B270)</f>
        <v/>
      </c>
      <c r="Q243">
        <f>IFERROR(1/IF(Inputs!$B$38="pvp",15,MAX(0.1,Skills!D10-IF(Skills!E10=TRUE,Inputs!$B$32,0))),0)</f>
        <v/>
      </c>
      <c r="R243">
        <f>IF(AND(Inputs!$B$38&lt;&gt;"pvp",Inputs!$B$43&gt;0),IF(MAX(0,Inputs!$B$43-B267)&lt;=0,0,(INT(MAX(0,Inputs!$B$43-B267)/IF(Inputs!$B$38="pvp",15,MAX(0.1,Skills!D10-IF(Skills!E10=TRUE,Inputs!$B$32,0))))+1)),0)</f>
        <v/>
      </c>
      <c r="S243">
        <f>IFERROR(O243/N243,0)</f>
        <v/>
      </c>
      <c r="T243">
        <f>IF(C243,(H243*N243*IF(AND(Inputs!$B$38&lt;&gt;"pvp",Inputs!$B$43&gt;0),((Skills!G10*((R243-1)*IF(Skills!H10&gt;0,Skills!I10/Skills!H10,1)+IF(Skills!H10&gt;0,MIN(Skills!I10,MAX(0,MAX(0,Inputs!$B$43-B267)-((R243-1)*IF(Inputs!$B$38="pvp",15,MAX(0.1,Skills!D10-IF(Skills!E10=TRUE,Inputs!$B$32,0))))))/Skills!H10,1)))/Inputs!$B$43),G243*Q243))*IF(Inputs!$B$38="pvp",1,1+((Inputs!$B$20+1)+0+Skills!P10)/100),0)</f>
        <v/>
      </c>
      <c r="V243">
        <f>IF(C243,(H243*N243*IF(AND(Inputs!$B$38&lt;&gt;"pvp",Inputs!$B$43&gt;0),((Skills!G10*((R243-1)*IF(Skills!H10&gt;0,Skills!I10/Skills!H10,1)+IF(Skills!H10&gt;0,MIN(Skills!I10,MAX(0,MAX(0,Inputs!$B$43-B267)-((R243-1)*IF(Inputs!$B$38="pvp",15,MAX(0.1,Skills!D10-IF(Skills!E10=TRUE,Inputs!$B$32,0))))))/Skills!H10,1)))/Inputs!$B$43),G243*Q243))*IF(Inputs!$B$38="pvp",1,(1+(Inputs!$B$21+Skills!Q10)/100)*(MIN(Skills!R10,Inputs!$B$37))),0)</f>
        <v/>
      </c>
    </row>
    <row r="244">
      <c r="A244">
        <f>Skills!A11</f>
        <v/>
      </c>
      <c r="B244">
        <f>Skills!B11</f>
        <v/>
      </c>
      <c r="C244">
        <f>Inputs!$B$3&gt;=63</f>
        <v/>
      </c>
      <c r="D244">
        <f>IF(Skills!C11=1,60+Inputs!$B$25+Inputs!$B$29,IF(Skills!C11=2,90+Inputs!$B$26+Inputs!$B$29,IF(Skills!C11=3,120+Inputs!$B$27+Inputs!$B$29,MAX(0,(Inputs!$B$3-100)*3)+Inputs!$B$28+Inputs!$B$29)))</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((Inputs!$B$6*(1+Inputs!$B$7/100))+(((Inputs!$B$12*(1+Inputs!$B$13/100))-(Inputs!$B$12*(1+Inputs!$B$13/100)))+0.25*(Inputs!$B$14-Inputs!$B$14))*(1+Inputs!$B$7/100))*(F244/100)</f>
        <v/>
      </c>
      <c r="K244">
        <f>J244*(1+((Inputs!$B$12*(1+Inputs!$B$13/100))*0.01+Inputs!$B$14*0.0025)/100)*(1+Inputs!$B$15/100)*(1+Inputs!$B$16/100)*(5000/(6000+Inputs!$B$42*(1-(Inputs!$B$19+0)/100)))*(1+(Inputs!$B$24+0+B266)/100)*(1+1.5*IF(C245=TRUE,F245,0)/100)*(1+(IF(Skills!A11="BLAST",Inputs!$B$17+((C254=TRUE)*(F254-Calc!F21)),Inputs!$B$18+((C256=TRUE)*(F256-Calc!F23))))/100)*((1+(((C246=TRUE)*F246*MIN(1,Skills!T13*(Skills!J13/100)*B264))+((C251=TRUE)*F251*IF(AND(Inputs!$B$38&lt;&gt;"pvp",Inputs!$B$43&gt;0),(((R251-1)*(Skills!T18*(1+Inputs!$B$34/100))+MIN((Skills!T18*(1+Inputs!$B$34/100)),MAX(0,Inputs!$B$43-((R251-1)*Skills!D18))))/Inputs!$B$43),IF(Inputs!$B$38="pvp",MIN((Skills!T18*(1+Inputs!$B$34/100)),15)/15,(Skills!T18*(1+Inputs!$B$34/100))/Skills!D18)))+0)/100)*I244)</f>
        <v/>
      </c>
      <c r="L244">
        <f>K244*(MIN(Inputs!$B$22+((C255=TRUE)*(F255-Calc!F22)),Inputs!$B$23+((C257=TRUE)*(F257-Calc!F24)))/100+(Inputs!$B$23+((C257=TRUE)*(F257-Calc!F24)))/100)/2</f>
        <v/>
      </c>
      <c r="M244">
        <f>L244*(1+(Inputs!$B$10+0+B265)/100)</f>
        <v/>
      </c>
      <c r="N244">
        <f>L244*(1-MIN((Inputs!$B$9+0+B260),100)/100)+M244*(MIN((Inputs!$B$9+0+B260),100)/100)</f>
        <v/>
      </c>
      <c r="O244">
        <f>(1-Summary!$B$55)*T244+Summary!$B$55*V244</f>
        <v/>
      </c>
      <c r="P244">
        <f>IF(B270=0,0,O244/B270)</f>
        <v/>
      </c>
      <c r="Q244">
        <f>IFERROR(1/IF(Inputs!$B$38="pvp",15,MAX(0.1,Skills!D11-IF(Skills!E11=TRUE,Inputs!$B$32,0))),0)</f>
        <v/>
      </c>
      <c r="R244">
        <f>IF(AND(Inputs!$B$38&lt;&gt;"pvp",Inputs!$B$43&gt;0),IF(MAX(0,Inputs!$B$43-B267)&lt;=0,0,(INT(MAX(0,Inputs!$B$43-B267)/IF(Inputs!$B$38="pvp",15,MAX(0.1,Skills!D11-IF(Skills!E11=TRUE,Inputs!$B$32,0))))+1)),0)</f>
        <v/>
      </c>
      <c r="S244">
        <f>IFERROR(O244/N244,0)</f>
        <v/>
      </c>
      <c r="T244">
        <f>IF(C244,(H244*N244*IF(AND(Inputs!$B$38&lt;&gt;"pvp",Inputs!$B$43&gt;0),((Skills!G11*((R244-1)*IF(Skills!H11&gt;0,Skills!I11/Skills!H11,1)+IF(Skills!H11&gt;0,MIN(Skills!I11,MAX(0,MAX(0,Inputs!$B$43-B267)-((R244-1)*IF(Inputs!$B$38="pvp",15,MAX(0.1,Skills!D11-IF(Skills!E11=TRUE,Inputs!$B$32,0))))))/Skills!H11,1)))/Inputs!$B$43),G244*Q244))*IF(Inputs!$B$38="pvp",1,1+((Inputs!$B$20+1)+0+Skills!P11)/100),0)</f>
        <v/>
      </c>
      <c r="V244">
        <f>IF(C244,(H244*N244*IF(AND(Inputs!$B$38&lt;&gt;"pvp",Inputs!$B$43&gt;0),((Skills!G11*((R244-1)*IF(Skills!H11&gt;0,Skills!I11/Skills!H11,1)+IF(Skills!H11&gt;0,MIN(Skills!I11,MAX(0,MAX(0,Inputs!$B$43-B267)-((R244-1)*IF(Inputs!$B$38="pvp",15,MAX(0.1,Skills!D11-IF(Skills!E11=TRUE,Inputs!$B$32,0))))))/Skills!H11,1)))/Inputs!$B$43),G244*Q244))*IF(Inputs!$B$38="pvp",1,(1+(Inputs!$B$21+Skills!Q11)/100)*(MIN(Skills!R11,Inputs!$B$37))),0)</f>
        <v/>
      </c>
    </row>
    <row r="245">
      <c r="A245">
        <f>Skills!A12</f>
        <v/>
      </c>
      <c r="B245">
        <f>Skills!B12</f>
        <v/>
      </c>
      <c r="C245">
        <f>Inputs!$B$3&gt;=100</f>
        <v/>
      </c>
      <c r="D245">
        <f>IF(Skills!C12=1,60+Inputs!$B$25+Inputs!$B$29,IF(Skills!C12=2,90+Inputs!$B$26+Inputs!$B$29,IF(Skills!C12=3,120+Inputs!$B$27+Inputs!$B$29,MAX(0,(Inputs!$B$3-100)*3)+Inputs!$B$28+Inputs!$B$29)))</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IF(Skills!C13=1,60+Inputs!$B$25+Inputs!$B$29,IF(Skills!C13=2,90+Inputs!$B$26+Inputs!$B$29,IF(Skills!C13=3,120+Inputs!$B$27+Inputs!$B$29,MAX(0,(Inputs!$B$3-100)*3)+Inputs!$B$28+Inputs!$B$29)))</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f>(1-Summary!$B$55)*T246+Summary!$B$55*V246</f>
        <v/>
      </c>
      <c r="P246">
        <f>IF(B270=0,0,O246/B270)</f>
        <v/>
      </c>
      <c r="Q246" t="n">
        <v>0</v>
      </c>
      <c r="R246" t="n">
        <v>0</v>
      </c>
      <c r="S246">
        <f>IFERROR(O246/N246,0)</f>
        <v/>
      </c>
      <c r="T246" t="n">
        <v>0</v>
      </c>
      <c r="V246" t="n">
        <v>0</v>
      </c>
    </row>
    <row r="247">
      <c r="A247">
        <f>Skills!A14</f>
        <v/>
      </c>
      <c r="B247">
        <f>Skills!B14</f>
        <v/>
      </c>
      <c r="C247">
        <f>Inputs!$B$3&gt;=110</f>
        <v/>
      </c>
      <c r="D247">
        <f>IF(Skills!C14=1,60+Inputs!$B$25+Inputs!$B$29,IF(Skills!C14=2,90+Inputs!$B$26+Inputs!$B$29,IF(Skills!C14=3,120+Inputs!$B$27+Inputs!$B$29,MAX(0,(Inputs!$B$3-100)*3)+Inputs!$B$28+Inputs!$B$29)))</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f>(1-Summary!$B$55)*T247+Summary!$B$55*V247</f>
        <v/>
      </c>
      <c r="P247">
        <f>IF(B270=0,0,O247/B270)</f>
        <v/>
      </c>
      <c r="Q247" t="n">
        <v>0</v>
      </c>
      <c r="R247" t="n">
        <v>0</v>
      </c>
      <c r="S247">
        <f>IFERROR(O247/N247,0)</f>
        <v/>
      </c>
      <c r="T247" t="n">
        <v>0</v>
      </c>
      <c r="V247" t="n">
        <v>0</v>
      </c>
    </row>
    <row r="248">
      <c r="A248">
        <f>Skills!A15</f>
        <v/>
      </c>
      <c r="B248">
        <f>Skills!B15</f>
        <v/>
      </c>
      <c r="C248">
        <f>Inputs!$B$3&gt;=75</f>
        <v/>
      </c>
      <c r="D248">
        <f>IF(Skills!C15=1,60+Inputs!$B$25+Inputs!$B$29,IF(Skills!C15=2,90+Inputs!$B$26+Inputs!$B$29,IF(Skills!C15=3,120+Inputs!$B$27+Inputs!$B$29,MAX(0,(Inputs!$B$3-100)*3)+Inputs!$B$28+Inputs!$B$29)))</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f>(1-Summary!$B$55)*T248+Summary!$B$55*V248</f>
        <v/>
      </c>
      <c r="P248">
        <f>IF(B270=0,0,O248/B270)</f>
        <v/>
      </c>
      <c r="Q248">
        <f>IFERROR(1/IF(Inputs!$B$38="pvp",15,MAX(0.1,Skills!D15-IF(Skills!E15=TRUE,Inputs!$B$32,0))),0)</f>
        <v/>
      </c>
      <c r="R248">
        <f>IF(AND(Inputs!$B$38&lt;&gt;"pvp",Inputs!$B$43&gt;0),IF(Inputs!$B$43&lt;=0,0,(INT(Inputs!$B$43/IF(Inputs!$B$38="pvp",15,MAX(0.1,Skills!D15-IF(Skills!E15=TRUE,Inputs!$B$32,0))))+1)),0)</f>
        <v/>
      </c>
      <c r="S248">
        <f>IFERROR(O248/N248,0)</f>
        <v/>
      </c>
      <c r="T248" t="n">
        <v>0</v>
      </c>
      <c r="V248" t="n">
        <v>0</v>
      </c>
    </row>
    <row r="249">
      <c r="A249">
        <f>Skills!A16</f>
        <v/>
      </c>
      <c r="B249">
        <f>Skills!B16</f>
        <v/>
      </c>
      <c r="C249">
        <f>Inputs!$B$3&gt;=105</f>
        <v/>
      </c>
      <c r="D249">
        <f>IF(Skills!C16=1,60+Inputs!$B$25+Inputs!$B$29,IF(Skills!C16=2,90+Inputs!$B$26+Inputs!$B$29,IF(Skills!C16=3,120+Inputs!$B$27+Inputs!$B$29,MAX(0,(Inputs!$B$3-100)*3)+Inputs!$B$28+Inputs!$B$29)))</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f>(1-Summary!$B$55)*T249+Summary!$B$55*V249</f>
        <v/>
      </c>
      <c r="P249">
        <f>IF(B270=0,0,O249/B270)</f>
        <v/>
      </c>
      <c r="Q249">
        <f>IFERROR(1/IF(Inputs!$B$38="pvp",15,MAX(0.1,Skills!D16-IF(Skills!E16=TRUE,Inputs!$B$32,0))),0)</f>
        <v/>
      </c>
      <c r="R249">
        <f>IF(AND(Inputs!$B$38&lt;&gt;"pvp",Inputs!$B$43&gt;0),IF(Inputs!$B$43&lt;=0,0,(INT(Inputs!$B$43/IF(Inputs!$B$38="pvp",15,MAX(0.1,Skills!D16-IF(Skills!E16=TRUE,Inputs!$B$32,0))))+1)),0)</f>
        <v/>
      </c>
      <c r="S249">
        <f>IFERROR(O249/N249,0)</f>
        <v/>
      </c>
      <c r="T249" t="n">
        <v>0</v>
      </c>
      <c r="V249" t="n">
        <v>0</v>
      </c>
    </row>
    <row r="250">
      <c r="A250">
        <f>Skills!A17</f>
        <v/>
      </c>
      <c r="B250">
        <f>Skills!B17</f>
        <v/>
      </c>
      <c r="C250">
        <f>Inputs!$B$3&gt;=115</f>
        <v/>
      </c>
      <c r="D250">
        <f>IF(Skills!C17=1,60+Inputs!$B$25+Inputs!$B$29,IF(Skills!C17=2,90+Inputs!$B$26+Inputs!$B$29,IF(Skills!C17=3,120+Inputs!$B$27+Inputs!$B$29,MAX(0,(Inputs!$B$3-100)*3)+Inputs!$B$28+Inputs!$B$29)))</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f>(1-Summary!$B$55)*T250+Summary!$B$55*V250</f>
        <v/>
      </c>
      <c r="P250">
        <f>IF(B270=0,0,O250/B270)</f>
        <v/>
      </c>
      <c r="Q250">
        <f>IFERROR(1/IF(Inputs!$B$38="pvp",15,MAX(0.1,Skills!D17-IF(Skills!E17=TRUE,Inputs!$B$32,0))),0)</f>
        <v/>
      </c>
      <c r="R250">
        <f>IF(AND(Inputs!$B$38&lt;&gt;"pvp",Inputs!$B$43&gt;0),IF(Inputs!$B$43&lt;=0,0,(INT(Inputs!$B$43/IF(Inputs!$B$38="pvp",15,MAX(0.1,Skills!D17-IF(Skills!E17=TRUE,Inputs!$B$32,0))))+1)),0)</f>
        <v/>
      </c>
      <c r="S250">
        <f>IFERROR(O250/N250,0)</f>
        <v/>
      </c>
      <c r="T250" t="n">
        <v>0</v>
      </c>
      <c r="V250" t="n">
        <v>0</v>
      </c>
    </row>
    <row r="251">
      <c r="A251">
        <f>Skills!A18</f>
        <v/>
      </c>
      <c r="B251">
        <f>Skills!B18</f>
        <v/>
      </c>
      <c r="C251">
        <f>Inputs!$B$3&gt;=74</f>
        <v/>
      </c>
      <c r="D251">
        <f>IF(Skills!C18=1,60+Inputs!$B$25+Inputs!$B$29,IF(Skills!C18=2,90+Inputs!$B$26+Inputs!$B$29,IF(Skills!C18=3,120+Inputs!$B$27+Inputs!$B$29,MAX(0,(Inputs!$B$3-100)*3)+Inputs!$B$28+Inputs!$B$29)))</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f>(1-Summary!$B$55)*T251+Summary!$B$55*V251</f>
        <v/>
      </c>
      <c r="P251">
        <f>IF(B270=0,0,O251/B270)</f>
        <v/>
      </c>
      <c r="Q251">
        <f>IFERROR(1/IF(Inputs!$B$38="pvp",15,MAX(0.1,Skills!D18-IF(Skills!E18=TRUE,Inputs!$B$32,0))),0)</f>
        <v/>
      </c>
      <c r="R251">
        <f>IF(AND(Inputs!$B$38&lt;&gt;"pvp",Inputs!$B$43&gt;0),IF(Inputs!$B$43&lt;=0,0,(INT(Inputs!$B$43/IF(Inputs!$B$38="pvp",15,MAX(0.1,Skills!D18-IF(Skills!E18=TRUE,Inputs!$B$32,0))))+1)),0)</f>
        <v/>
      </c>
      <c r="S251">
        <f>IFERROR(O251/N251,0)</f>
        <v/>
      </c>
      <c r="T251" t="n">
        <v>0</v>
      </c>
      <c r="V251" t="n">
        <v>0</v>
      </c>
    </row>
    <row r="252">
      <c r="A252">
        <f>Skills!A19</f>
        <v/>
      </c>
      <c r="B252">
        <f>Skills!B19</f>
        <v/>
      </c>
      <c r="C252">
        <f>TRUE</f>
        <v/>
      </c>
      <c r="D252">
        <f>IF(Skills!C19=1,60+Inputs!$B$25+Inputs!$B$29,IF(Skills!C19=2,90+Inputs!$B$26+Inputs!$B$29,IF(Skills!C19=3,120+Inputs!$B$27+Inputs!$B$29,MAX(0,(Inputs!$B$3-100)*3)+Inputs!$B$28+Inputs!$B$29)))</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f>(1-Summary!$B$55)*T252+Summary!$B$55*V252</f>
        <v/>
      </c>
      <c r="P252">
        <f>IF(B270=0,0,O252/B270)</f>
        <v/>
      </c>
      <c r="Q252">
        <f>IFERROR(1/IF(Inputs!$B$38="pvp",15,MAX(0.1,Skills!D19-IF(Skills!E19=TRUE,Inputs!$B$32,0))),0)</f>
        <v/>
      </c>
      <c r="R252">
        <f>IF(AND(Inputs!$B$38&lt;&gt;"pvp",Inputs!$B$43&gt;0),IF(Inputs!$B$43&lt;=0,0,(INT(Inputs!$B$43/IF(Inputs!$B$38="pvp",15,MAX(0.1,Skills!D19-IF(Skills!E19=TRUE,Inputs!$B$32,0))))+1)),0)</f>
        <v/>
      </c>
      <c r="S252">
        <f>IFERROR(O252/N252,0)</f>
        <v/>
      </c>
      <c r="T252" t="n">
        <v>0</v>
      </c>
      <c r="V252" t="n">
        <v>0</v>
      </c>
    </row>
    <row r="253">
      <c r="A253">
        <f>Skills!A20</f>
        <v/>
      </c>
      <c r="B253">
        <f>Skills!B20</f>
        <v/>
      </c>
      <c r="C253">
        <f>Inputs!$B$3&gt;=33</f>
        <v/>
      </c>
      <c r="D253">
        <f>IF(Skills!C20=1,60+Inputs!$B$25+Inputs!$B$29,IF(Skills!C20=2,90+Inputs!$B$26+Inputs!$B$29,IF(Skills!C20=3,120+Inputs!$B$27+Inputs!$B$29,MAX(0,(Inputs!$B$3-100)*3)+Inputs!$B$28+Inputs!$B$29)))</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f>(1-Summary!$B$55)*T253+Summary!$B$55*V253</f>
        <v/>
      </c>
      <c r="P253">
        <f>IF(B270=0,0,O253/B270)</f>
        <v/>
      </c>
      <c r="Q253" t="n">
        <v>0</v>
      </c>
      <c r="R253" t="n">
        <v>0</v>
      </c>
      <c r="S253">
        <f>IFERROR(O253/N253,0)</f>
        <v/>
      </c>
      <c r="T253" t="n">
        <v>0</v>
      </c>
      <c r="V253" t="n">
        <v>0</v>
      </c>
    </row>
    <row r="254">
      <c r="A254">
        <f>Skills!A21</f>
        <v/>
      </c>
      <c r="B254">
        <f>Skills!B21</f>
        <v/>
      </c>
      <c r="C254">
        <f>Inputs!$B$3&gt;=38</f>
        <v/>
      </c>
      <c r="D254">
        <f>IF(Skills!C21=1,60+Inputs!$B$25+Inputs!$B$29,IF(Skills!C21=2,90+Inputs!$B$26+Inputs!$B$29,IF(Skills!C21=3,120+Inputs!$B$27+Inputs!$B$29,MAX(0,(Inputs!$B$3-100)*3)+Inputs!$B$28+Inputs!$B$29)))</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f>(1-Summary!$B$55)*T254+Summary!$B$55*V254</f>
        <v/>
      </c>
      <c r="P254">
        <f>IF(B270=0,0,O254/B270)</f>
        <v/>
      </c>
      <c r="Q254" t="n">
        <v>0</v>
      </c>
      <c r="R254" t="n">
        <v>0</v>
      </c>
      <c r="S254">
        <f>IFERROR(O254/N254,0)</f>
        <v/>
      </c>
      <c r="T254" t="n">
        <v>0</v>
      </c>
      <c r="V254" t="n">
        <v>0</v>
      </c>
    </row>
    <row r="255">
      <c r="A255">
        <f>Skills!A22</f>
        <v/>
      </c>
      <c r="B255">
        <f>Skills!B22</f>
        <v/>
      </c>
      <c r="C255">
        <f>Inputs!$B$3&gt;=43</f>
        <v/>
      </c>
      <c r="D255">
        <f>IF(Skills!C22=1,60+Inputs!$B$25+Inputs!$B$29,IF(Skills!C22=2,90+Inputs!$B$26+Inputs!$B$29,IF(Skills!C22=3,120+Inputs!$B$27+Inputs!$B$29,MAX(0,(Inputs!$B$3-100)*3)+Inputs!$B$28+Inputs!$B$29)))</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f>(1-Summary!$B$55)*T255+Summary!$B$55*V255</f>
        <v/>
      </c>
      <c r="P255">
        <f>IF(B270=0,0,O255/B270)</f>
        <v/>
      </c>
      <c r="Q255" t="n">
        <v>0</v>
      </c>
      <c r="R255" t="n">
        <v>0</v>
      </c>
      <c r="S255">
        <f>IFERROR(O255/N255,0)</f>
        <v/>
      </c>
      <c r="T255" t="n">
        <v>0</v>
      </c>
      <c r="V255" t="n">
        <v>0</v>
      </c>
    </row>
    <row r="256">
      <c r="A256">
        <f>Skills!A23</f>
        <v/>
      </c>
      <c r="B256">
        <f>Skills!B23</f>
        <v/>
      </c>
      <c r="C256">
        <f>Inputs!$B$3&gt;=120</f>
        <v/>
      </c>
      <c r="D256">
        <f>IF(Skills!C23=1,60+Inputs!$B$25+Inputs!$B$29,IF(Skills!C23=2,90+Inputs!$B$26+Inputs!$B$29,IF(Skills!C23=3,120+Inputs!$B$27+Inputs!$B$29,MAX(0,(Inputs!$B$3-100)*3)+Inputs!$B$28+Inputs!$B$29)))</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f>(1-Summary!$B$55)*T256+Summary!$B$55*V256</f>
        <v/>
      </c>
      <c r="P256">
        <f>IF(B270=0,0,O256/B270)</f>
        <v/>
      </c>
      <c r="Q256" t="n">
        <v>0</v>
      </c>
      <c r="R256" t="n">
        <v>0</v>
      </c>
      <c r="S256">
        <f>IFERROR(O256/N256,0)</f>
        <v/>
      </c>
      <c r="T256" t="n">
        <v>0</v>
      </c>
      <c r="V256" t="n">
        <v>0</v>
      </c>
    </row>
    <row r="257">
      <c r="A257">
        <f>Skills!A24</f>
        <v/>
      </c>
      <c r="B257">
        <f>Skills!B24</f>
        <v/>
      </c>
      <c r="C257">
        <f>Inputs!$B$3&gt;=120</f>
        <v/>
      </c>
      <c r="D257">
        <f>IF(Skills!C24=1,60+Inputs!$B$25+Inputs!$B$29,IF(Skills!C24=2,90+Inputs!$B$26+Inputs!$B$29,IF(Skills!C24=3,120+Inputs!$B$27+Inputs!$B$29,MAX(0,(Inputs!$B$3-100)*3)+Inputs!$B$28+Inputs!$B$29)))</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f>(1-Summary!$B$55)*T257+Summary!$B$55*V257</f>
        <v/>
      </c>
      <c r="P257">
        <f>IF(B270=0,0,O257/B270)</f>
        <v/>
      </c>
      <c r="Q257" t="n">
        <v>0</v>
      </c>
      <c r="R257" t="n">
        <v>0</v>
      </c>
      <c r="S257">
        <f>IFERROR(O257/N257,0)</f>
        <v/>
      </c>
      <c r="T257" t="n">
        <v>0</v>
      </c>
      <c r="V257" t="n">
        <v>0</v>
      </c>
    </row>
    <row r="259">
      <c r="A259" t="inlineStr">
        <is>
          <t>Attack% Bucket Multiplier</t>
        </is>
      </c>
      <c r="B259">
        <f>(1+(((C246=TRUE)*F246*MIN(1,Skills!T13*(Skills!J13/100)*B264))+((C251=TRUE)*F251*IF(AND(Inputs!$B$38&lt;&gt;"pvp",Inputs!$B$43&gt;0),(((R251-1)*(Skills!T18*(1+Inputs!$B$34/100))+MIN((Skills!T18*(1+Inputs!$B$34/100)),MAX(0,Inputs!$B$43-((R251-1)*Skills!D18))))/Inputs!$B$43),IF(Inputs!$B$38="pvp",MIN((Skills!T18*(1+Inputs!$B$34/100)),15)/15,(Skills!T18*(1+Inputs!$B$34/100))/Skills!D18)))+0)/100)</f>
        <v/>
      </c>
    </row>
    <row r="260">
      <c r="A260" t="inlineStr">
        <is>
          <t>Global Crit Rate Bonus %</t>
        </is>
      </c>
      <c r="B260" t="n">
        <v>0</v>
      </c>
    </row>
    <row r="261">
      <c r="A261" t="inlineStr">
        <is>
          <t>Attack Speed Buff Bonus %</t>
        </is>
      </c>
      <c r="B261">
        <f>((C252=TRUE)*F252*IF(AND(Inputs!$B$38&lt;&gt;"pvp",Inputs!$B$43&gt;0),(((R252-1)*(Skills!T19*(1+Inputs!$B$34/100))+MIN((Skills!T19*(1+Inputs!$B$34/100)),MAX(0,Inputs!$B$43-((R252-1)*Skills!D19))))/Inputs!$B$43),IF(Inputs!$B$38="pvp",MIN((Skills!T19*(1+Inputs!$B$34/100)),15)/15,(Skills!T19*(1+Inputs!$B$34/100))/Skills!D19)))</f>
        <v/>
      </c>
    </row>
    <row r="262">
      <c r="A262" t="inlineStr">
        <is>
          <t>Actions Per Second</t>
        </is>
      </c>
      <c r="B262">
        <f>1+MIN(150,150*(1-(1-(Inputs!$B$11+((C253=TRUE)*(F253-Calc!F20)))/150)*(1-B261/150)))/100</f>
        <v/>
      </c>
    </row>
    <row r="263">
      <c r="A263" t="inlineStr">
        <is>
          <t>Skill + Buff Cast Rate</t>
        </is>
      </c>
      <c r="B263">
        <f>IF(AND(Inputs!$B$38&lt;&gt;"pvp",Inputs!$B$43&gt;0),SUMPRODUCT((Skills!E2:E24=TRUE)*(C235:C257=TRUE)*R235:R257*Skills!F2:F24)/Inputs!$B$43,SUMPRODUCT((Skills!E2:E24=TRUE)*(C235:C257=TRUE)*Q235:Q257*Skills!F2:F24))</f>
        <v/>
      </c>
    </row>
    <row r="264">
      <c r="A264" t="inlineStr">
        <is>
          <t>Blast Casts Per Second</t>
        </is>
      </c>
      <c r="B264">
        <f>MAX(0,B262-B263)</f>
        <v/>
      </c>
    </row>
    <row r="265">
      <c r="A265" t="inlineStr">
        <is>
          <t>Global Critical Damage Bonus % (unused)</t>
        </is>
      </c>
      <c r="B265" t="n">
        <v>0</v>
      </c>
    </row>
    <row r="266">
      <c r="A266" t="inlineStr">
        <is>
          <t>Global Final Damage Bonus % (Divine Shield + Guardian + Divine Blessing + Greater Vessel of Light)</t>
        </is>
      </c>
      <c r="B266">
        <f>((C248=TRUE)*F248*IF(AND(Inputs!$B$38&lt;&gt;"pvp",Inputs!$B$43&gt;0),(((R248-1)*(Skills!T15*(1+Inputs!$B$34/100))+MIN((Skills!T15*(1+Inputs!$B$34/100)),MAX(0,Inputs!$B$43-((R248-1)*Skills!D15))))/Inputs!$B$43),IF(Inputs!$B$38="pvp",MIN((Skills!T15*(1+Inputs!$B$34/100)),15)/15,(Skills!T15*(1+Inputs!$B$34/100))/Skills!D15)))+((C249=TRUE)*F249*IF(AND(Inputs!$B$38&lt;&gt;"pvp",Inputs!$B$43&gt;0),(((R249-1)*(Skills!T16*(1+Inputs!$B$34/100))+MIN((Skills!T16*(1+Inputs!$B$34/100)),MAX(0,Inputs!$B$43-((R249-1)*Skills!D16))))/Inputs!$B$43),IF(Inputs!$B$38="pvp",MIN((Skills!T16*(1+Inputs!$B$34/100)),15)/15,(Skills!T16*(1+Inputs!$B$34/100))/Skills!D16)))+((C250=TRUE)*F250*IF(AND(Inputs!$B$38&lt;&gt;"pvp",Inputs!$B$43&gt;0),(((R250-1)*(Skills!T17*(1+Inputs!$B$34/100))+MIN((Skills!T17*(1+Inputs!$B$34/100)),MAX(0,Inputs!$B$43-((R250-1)*Skills!D17))))/Inputs!$B$43),IF(Inputs!$B$38="pvp",MIN((Skills!T17*(1+Inputs!$B$34/100)),15)/15,(Skills!T17*(1+Inputs!$B$34/100))/Skills!D17)))+((C247=TRUE)*F247*MIN(1,Skills!T13*(Skills!J13/100)*B264))</f>
        <v/>
      </c>
    </row>
    <row r="267">
      <c r="A267" t="inlineStr">
        <is>
          <t>Buff-Casting Startup Delay (s, fixed-duration only)</t>
        </is>
      </c>
      <c r="B267">
        <f>IF(AND(Inputs!$B$38&lt;&gt;"pvp",Inputs!$B$43&gt;0),SUMPRODUCT((Skills!T2:T24&gt;0)*(Skills!E2:E24=TRUE)*(C235:C257=TRUE))/B262,0)</f>
        <v/>
      </c>
    </row>
    <row r="268">
      <c r="A268" t="inlineStr">
        <is>
          <t>Boss-Only Total DPS (this block's swept value)</t>
        </is>
      </c>
      <c r="B268">
        <f>SUM(T235:T257)</f>
        <v/>
      </c>
    </row>
    <row r="269">
      <c r="A269" t="inlineStr">
        <is>
          <t>Normal-Only Total DPS (this block's swept value)</t>
        </is>
      </c>
      <c r="B269">
        <f>SUM(V235:V257)</f>
        <v/>
      </c>
    </row>
    <row r="270">
      <c r="A270" s="5" t="inlineStr">
        <is>
          <t>TOTAL DPS</t>
        </is>
      </c>
      <c r="B270" s="5">
        <f>SUM(O235:O257)</f>
        <v/>
      </c>
    </row>
    <row r="273">
      <c r="A273" s="5" t="inlineStr">
        <is>
          <t>Stat: NORMAL_DAMAGE %</t>
        </is>
      </c>
    </row>
    <row r="274">
      <c r="A274" s="9" t="inlineStr">
        <is>
          <t>Key</t>
        </is>
      </c>
      <c r="B274" s="9" t="inlineStr">
        <is>
          <t>Name</t>
        </is>
      </c>
      <c r="C274" s="9" t="inlineStr">
        <is>
          <t>Unlocked</t>
        </is>
      </c>
      <c r="D274" s="9" t="inlineStr">
        <is>
          <t>InputLevel</t>
        </is>
      </c>
      <c r="E274" s="9" t="inlineStr">
        <is>
          <t>Factor</t>
        </is>
      </c>
      <c r="F274" s="9" t="inlineStr">
        <is>
          <t>CoefficientPercent</t>
        </is>
      </c>
      <c r="G274" s="9" t="inlineStr">
        <is>
          <t>EffectiveHits</t>
        </is>
      </c>
      <c r="H274" s="9" t="inlineStr">
        <is>
          <t>ProcProbability</t>
        </is>
      </c>
      <c r="I274" s="9" t="inlineStr">
        <is>
          <t>MapleHeroMultiplier</t>
        </is>
      </c>
      <c r="J274" s="9" t="inlineStr">
        <is>
          <t>BaseDamage</t>
        </is>
      </c>
      <c r="K274" s="9" t="inlineStr">
        <is>
          <t>BaseHitDamage</t>
        </is>
      </c>
      <c r="L274" s="9" t="inlineStr">
        <is>
          <t>NonCritAvg</t>
        </is>
      </c>
      <c r="M274" s="9" t="inlineStr">
        <is>
          <t>CritAvg</t>
        </is>
      </c>
      <c r="N274" s="9" t="inlineStr">
        <is>
          <t>ExpectedDamage(perHit)</t>
        </is>
      </c>
      <c r="O274" s="9" t="inlineStr">
        <is>
          <t>DPS</t>
        </is>
      </c>
      <c r="P274" s="9" t="inlineStr">
        <is>
          <t>% of Total</t>
        </is>
      </c>
      <c r="Q274" s="9" t="inlineStr">
        <is>
          <t>InvCooldown</t>
        </is>
      </c>
      <c r="R274" s="9" t="inlineStr">
        <is>
          <t>CastsInFight</t>
        </is>
      </c>
      <c r="S274" s="9"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306)/100)*(1+(IF(Skills!A2="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275)</f>
        <v/>
      </c>
      <c r="L275">
        <f>K275*(MIN(Inputs!$B$22+((C295=TRUE)*(F295-Calc!F22)),Inputs!$B$23+((C297=TRUE)*(F297-Calc!F24)))/100+(Inputs!$B$23+((C297=TRUE)*(F297-Calc!F24)))/100)/2</f>
        <v/>
      </c>
      <c r="M275">
        <f>L275*(1+(Inputs!$B$10+0+B305)/100)</f>
        <v/>
      </c>
      <c r="N275">
        <f>L275*(1-MIN((Inputs!$B$9+0+B300),100)/100)+M275*(MIN((Inputs!$B$9+0+B300),100)/100)</f>
        <v/>
      </c>
      <c r="O275">
        <f>(1-Summary!$B$55)*T275+Summary!$B$55*V275</f>
        <v/>
      </c>
      <c r="P275">
        <f>IF(B310=0,0,O275/B310)</f>
        <v/>
      </c>
      <c r="Q275" t="n">
        <v>0</v>
      </c>
      <c r="R275" t="n">
        <v>0</v>
      </c>
      <c r="S275">
        <f>IFERROR(O275/N275,0)</f>
        <v/>
      </c>
      <c r="T275">
        <f>IF(C275,(Skills!G2*N275*B304)*IF(Inputs!$B$38="pvp",1,1+(Inputs!$B$20+0+Skills!P2)/100),0)</f>
        <v/>
      </c>
      <c r="U275">
        <f>MAX(0,(Inputs!$B$3-100)*3)+Inputs!$B$28+Inputs!$B$29</f>
        <v/>
      </c>
      <c r="V275">
        <f>IF(C275,(Skills!G2*N275*B304)*IF(Inputs!$B$38="pvp",1,(1+((Inputs!$B$21+1)+Skills!Q2)/100)*(MIN((6+Inputs!$B$33),Inputs!$B$37))),0)</f>
        <v/>
      </c>
    </row>
    <row r="276">
      <c r="A276">
        <f>Skills!A3</f>
        <v/>
      </c>
      <c r="B276">
        <f>Skills!B3</f>
        <v/>
      </c>
      <c r="C276">
        <f>Inputs!$B$3&gt;=50</f>
        <v/>
      </c>
      <c r="D276">
        <f>IF(Skills!C3=1,60+Inputs!$B$25+Inputs!$B$29,IF(Skills!C3=2,90+Inputs!$B$26+Inputs!$B$29,IF(Skills!C3=3,120+Inputs!$B$27+Inputs!$B$29,MAX(0,(Inputs!$B$3-100)*3)+Inputs!$B$28+Inputs!$B$29)))</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Inputs!$B$3&gt;=35</f>
        <v/>
      </c>
      <c r="D277">
        <f>IF(Skills!C4=1,60+Inputs!$B$25+Inputs!$B$29,IF(Skills!C4=2,90+Inputs!$B$26+Inputs!$B$29,IF(Skills!C4=3,120+Inputs!$B$27+Inputs!$B$29,MAX(0,(Inputs!$B$3-100)*3)+Inputs!$B$28+Inputs!$B$29)))</f>
        <v/>
      </c>
      <c r="E277">
        <f>INDEX(FactorTable!$B$2:$Y$301, MATCH(ROUND(MIN(300,MAX(1,D277)),0), FactorTable!$A$2:$A$301,0), Skills!M4+1)</f>
        <v/>
      </c>
      <c r="F277">
        <f>IF(Skills!N4=TRUE,(Skills!L4/10)*(E277/1000),Skills!L4/10)+Skills!O4</f>
        <v/>
      </c>
      <c r="G277">
        <f>Skills!G4*IF(Skills!H4&gt;0,Skills!I4/Skills!H4,1)</f>
        <v/>
      </c>
      <c r="H277">
        <f>1-(1-Skills!J4/100)^Skills!K4</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306)/100)*(1+4.0*IF(C285=TRUE,F285,0)/100)*(1+(IF(Skills!A4="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277)</f>
        <v/>
      </c>
      <c r="L277">
        <f>K277*(MIN(Inputs!$B$22+((C295=TRUE)*(F295-Calc!F22)),Inputs!$B$23+((C297=TRUE)*(F297-Calc!F24)))/100+(Inputs!$B$23+((C297=TRUE)*(F297-Calc!F24)))/100)/2</f>
        <v/>
      </c>
      <c r="M277">
        <f>L277*(1+(Inputs!$B$10+0+B305)/100)</f>
        <v/>
      </c>
      <c r="N277">
        <f>L277*(1-MIN((Inputs!$B$9+0+B300),100)/100)+M277*(MIN((Inputs!$B$9+0+B300),100)/100)</f>
        <v/>
      </c>
      <c r="O277">
        <f>(1-Summary!$B$55)*T277+Summary!$B$55*V277</f>
        <v/>
      </c>
      <c r="P277">
        <f>IF(B310=0,0,O277/B310)</f>
        <v/>
      </c>
      <c r="Q277">
        <f>IFERROR(1/IF(Inputs!$B$38="pvp",15,MAX(0.1,Skills!D4-IF(Skills!E4=TRUE,Inputs!$B$32,0))),0)</f>
        <v/>
      </c>
      <c r="R277">
        <f>IF(AND(Inputs!$B$38&lt;&gt;"pvp",Inputs!$B$43&gt;0),IF(MAX(0,Inputs!$B$43-B307)&lt;=0,0,(INT(MAX(0,Inputs!$B$43-B307)/IF(Inputs!$B$38="pvp",15,MAX(0.1,Skills!D4-IF(Skills!E4=TRUE,Inputs!$B$32,0))))+1)),0)</f>
        <v/>
      </c>
      <c r="S277">
        <f>IFERROR(O277/N277,0)</f>
        <v/>
      </c>
      <c r="T277">
        <f>IF(C277,(H277*N277*IF(AND(Inputs!$B$38&lt;&gt;"pvp",Inputs!$B$43&gt;0),((Skills!G4*((R277-1)*IF(Skills!H4&gt;0,Skills!I4/Skills!H4,1)+IF(Skills!H4&gt;0,MIN(Skills!I4,MAX(0,MAX(0,Inputs!$B$43-B307)-((R277-1)*IF(Inputs!$B$38="pvp",15,MAX(0.1,Skills!D4-IF(Skills!E4=TRUE,Inputs!$B$32,0))))))/Skills!H4,1)))/Inputs!$B$43),G277*Q277))*IF(Inputs!$B$38="pvp",1,1+(Inputs!$B$20+0+Skills!P4)/100),0)</f>
        <v/>
      </c>
      <c r="U277">
        <f>290*U276/1000</f>
        <v/>
      </c>
      <c r="V277">
        <f>IF(C277,(H277*N277*IF(AND(Inputs!$B$38&lt;&gt;"pvp",Inputs!$B$43&gt;0),((Skills!G4*((R277-1)*IF(Skills!H4&gt;0,Skills!I4/Skills!H4,1)+IF(Skills!H4&gt;0,MIN(Skills!I4,MAX(0,MAX(0,Inputs!$B$43-B307)-((R277-1)*IF(Inputs!$B$38="pvp",15,MAX(0.1,Skills!D4-IF(Skills!E4=TRUE,Inputs!$B$32,0))))))/Skills!H4,1)))/Inputs!$B$43),G277*Q277))*IF(Inputs!$B$38="pvp",1,(1+((Inputs!$B$21+1)+Skills!Q4)/100)*(MIN(Skills!R4,Inputs!$B$37))),0)</f>
        <v/>
      </c>
    </row>
    <row r="278">
      <c r="A278">
        <f>Skills!A5</f>
        <v/>
      </c>
      <c r="B278">
        <f>Skills!B5</f>
        <v/>
      </c>
      <c r="C278">
        <f>Inputs!$B$3&gt;=66</f>
        <v/>
      </c>
      <c r="D278">
        <f>IF(Skills!C5=1,60+Inputs!$B$25+Inputs!$B$29,IF(Skills!C5=2,90+Inputs!$B$26+Inputs!$B$29,IF(Skills!C5=3,120+Inputs!$B$27+Inputs!$B$29,MAX(0,(Inputs!$B$3-100)*3)+Inputs!$B$28+Inputs!$B$29)))</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306)/100)*(1+1.0*IF(C285=TRUE,F285,0)/100)*(1+(IF(Skills!A5="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278)</f>
        <v/>
      </c>
      <c r="L278">
        <f>K278*(MIN(Inputs!$B$22+((C295=TRUE)*(F295-Calc!F22)),Inputs!$B$23+((C297=TRUE)*(F297-Calc!F24)))/100+(Inputs!$B$23+((C297=TRUE)*(F297-Calc!F24)))/100)/2</f>
        <v/>
      </c>
      <c r="M278">
        <f>L278*(1+(Inputs!$B$10+0+B305)/100)</f>
        <v/>
      </c>
      <c r="N278">
        <f>L278*(1-MIN((Inputs!$B$9+0+B300),100)/100)+M278*(MIN((Inputs!$B$9+0+B300),100)/100)</f>
        <v/>
      </c>
      <c r="O278">
        <f>(1-Summary!$B$55)*T278+Summary!$B$55*V278</f>
        <v/>
      </c>
      <c r="P278">
        <f>IF(B310=0,0,O278/B310)</f>
        <v/>
      </c>
      <c r="Q278">
        <f>IFERROR(1/IF(Inputs!$B$38="pvp",15,MAX(0.1,Skills!D5-IF(Skills!E5=TRUE,Inputs!$B$32,0))),0)</f>
        <v/>
      </c>
      <c r="R278">
        <f>IF(AND(Inputs!$B$38&lt;&gt;"pvp",Inputs!$B$43&gt;0),IF(MAX(0,Inputs!$B$43-B307)&lt;=0,0,(INT(MAX(0,Inputs!$B$43-B307)/IF(Inputs!$B$38="pvp",15,MAX(0.1,Skills!D5-IF(Skills!E5=TRUE,Inputs!$B$32,0))))+1)),0)</f>
        <v/>
      </c>
      <c r="S278">
        <f>IFERROR(O278/N278,0)</f>
        <v/>
      </c>
      <c r="T278">
        <f>IF(C278,(H278*N278*IF(AND(Inputs!$B$38&lt;&gt;"pvp",Inputs!$B$43&gt;0),((Skills!G5*((R278-1)*IF(Skills!H5&gt;0,Skills!I5/Skills!H5,1)+IF(Skills!H5&gt;0,MIN(Skills!I5,MAX(0,MAX(0,Inputs!$B$43-B307)-((R278-1)*IF(Inputs!$B$38="pvp",15,MAX(0.1,Skills!D5-IF(Skills!E5=TRUE,Inputs!$B$32,0))))))/Skills!H5,1)))/Inputs!$B$43),G278*Q278))*IF(Inputs!$B$38="pvp",1,1+(Inputs!$B$20+0+Skills!P5)/100),0)</f>
        <v/>
      </c>
      <c r="V278">
        <f>IF(C278,(H278*N278*IF(AND(Inputs!$B$38&lt;&gt;"pvp",Inputs!$B$43&gt;0),((Skills!G5*((R278-1)*IF(Skills!H5&gt;0,Skills!I5/Skills!H5,1)+IF(Skills!H5&gt;0,MIN(Skills!I5,MAX(0,MAX(0,Inputs!$B$43-B307)-((R278-1)*IF(Inputs!$B$38="pvp",15,MAX(0.1,Skills!D5-IF(Skills!E5=TRUE,Inputs!$B$32,0))))))/Skills!H5,1)))/Inputs!$B$43),G278*Q278))*IF(Inputs!$B$38="pvp",1,(1+((Inputs!$B$21+1)+Skills!Q5)/100)*(MIN(Skills!R5,Inputs!$B$37))),0)</f>
        <v/>
      </c>
    </row>
    <row r="279">
      <c r="A279">
        <f>Skills!A6</f>
        <v/>
      </c>
      <c r="B279">
        <f>Skills!B6</f>
        <v/>
      </c>
      <c r="C279">
        <f>Inputs!$B$3&gt;=103</f>
        <v/>
      </c>
      <c r="D279">
        <f>IF(Skills!C6=1,60+Inputs!$B$25+Inputs!$B$29,IF(Skills!C6=2,90+Inputs!$B$26+Inputs!$B$29,IF(Skills!C6=3,120+Inputs!$B$27+Inputs!$B$29,MAX(0,(Inputs!$B$3-100)*3)+Inputs!$B$28+Inputs!$B$29)))</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306)/100)*(1+(IF(Skills!A6="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279)</f>
        <v/>
      </c>
      <c r="L279">
        <f>K279*(MIN(Inputs!$B$22+((C295=TRUE)*(F295-Calc!F22)),Inputs!$B$23+((C297=TRUE)*(F297-Calc!F24)))/100+(Inputs!$B$23+((C297=TRUE)*(F297-Calc!F24)))/100)/2</f>
        <v/>
      </c>
      <c r="M279">
        <f>L279*(1+(Inputs!$B$10+0+B305)/100)</f>
        <v/>
      </c>
      <c r="N279">
        <f>L279*(1-MIN((Inputs!$B$9+0+B300),100)/100)+M279*(MIN((Inputs!$B$9+0+B300),100)/100)</f>
        <v/>
      </c>
      <c r="O279">
        <f>(1-Summary!$B$55)*T279+Summary!$B$55*V279</f>
        <v/>
      </c>
      <c r="P279">
        <f>IF(B310=0,0,O279/B310)</f>
        <v/>
      </c>
      <c r="Q279">
        <f>IFERROR(1/IF(Inputs!$B$38="pvp",15,MAX(0.1,Skills!D6-IF(Skills!E6=TRUE,Inputs!$B$32,0))),0)</f>
        <v/>
      </c>
      <c r="R279">
        <f>IF(AND(Inputs!$B$38&lt;&gt;"pvp",Inputs!$B$43&gt;0),IF(MAX(0,Inputs!$B$43-B307)&lt;=0,0,(INT(MAX(0,Inputs!$B$43-B307)/IF(Inputs!$B$38="pvp",15,MAX(0.1,Skills!D6-IF(Skills!E6=TRUE,Inputs!$B$32,0))))+1)),0)</f>
        <v/>
      </c>
      <c r="S279">
        <f>IFERROR(O279/N279,0)</f>
        <v/>
      </c>
      <c r="T279">
        <f>IF(C279,(H279*N279*IF(AND(Inputs!$B$38&lt;&gt;"pvp",Inputs!$B$43&gt;0),((Skills!G6*((R279-1)*IF(Skills!H6&gt;0,Skills!I6/Skills!H6,1)+IF(Skills!H6&gt;0,MIN(Skills!I6,MAX(0,MAX(0,Inputs!$B$43-B307)-((R279-1)*IF(Inputs!$B$38="pvp",15,MAX(0.1,Skills!D6-IF(Skills!E6=TRUE,Inputs!$B$32,0))))))/Skills!H6,1)))/Inputs!$B$43),G279*Q279))*IF(Inputs!$B$38="pvp",1,1+(Inputs!$B$20+0+Skills!P6)/100),0)</f>
        <v/>
      </c>
      <c r="V279">
        <f>IF(C279,(H279*N279*IF(AND(Inputs!$B$38&lt;&gt;"pvp",Inputs!$B$43&gt;0),((Skills!G6*((R279-1)*IF(Skills!H6&gt;0,Skills!I6/Skills!H6,1)+IF(Skills!H6&gt;0,MIN(Skills!I6,MAX(0,MAX(0,Inputs!$B$43-B307)-((R279-1)*IF(Inputs!$B$38="pvp",15,MAX(0.1,Skills!D6-IF(Skills!E6=TRUE,Inputs!$B$32,0))))))/Skills!H6,1)))/Inputs!$B$43),G279*Q279))*IF(Inputs!$B$38="pvp",1,(1+((Inputs!$B$21+1)+Skills!Q6)/100)*(MIN(Skills!R6,Inputs!$B$37))),0)</f>
        <v/>
      </c>
    </row>
    <row r="280">
      <c r="A280">
        <f>Skills!A7</f>
        <v/>
      </c>
      <c r="B280">
        <f>Skills!B7</f>
        <v/>
      </c>
      <c r="C280">
        <f>Inputs!$B$3&gt;=107</f>
        <v/>
      </c>
      <c r="D280">
        <f>IF(Skills!C7=1,60+Inputs!$B$25+Inputs!$B$29,IF(Skills!C7=2,90+Inputs!$B$26+Inputs!$B$29,IF(Skills!C7=3,120+Inputs!$B$27+Inputs!$B$29,MAX(0,(Inputs!$B$3-100)*3)+Inputs!$B$28+Inputs!$B$29)))</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306)/100)*(1+(IF(Skills!A7="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280)</f>
        <v/>
      </c>
      <c r="L280">
        <f>K280*(MIN(Inputs!$B$22+((C295=TRUE)*(F295-Calc!F22)),Inputs!$B$23+((C297=TRUE)*(F297-Calc!F24)))/100+(Inputs!$B$23+((C297=TRUE)*(F297-Calc!F24)))/100)/2</f>
        <v/>
      </c>
      <c r="M280">
        <f>L280*(1+(Inputs!$B$10+0+B305)/100)</f>
        <v/>
      </c>
      <c r="N280">
        <f>L280*(1-MIN((Inputs!$B$9+0+B300),100)/100)+M280*(MIN((Inputs!$B$9+0+B300),100)/100)</f>
        <v/>
      </c>
      <c r="O280">
        <f>(1-Summary!$B$55)*T280+Summary!$B$55*V280</f>
        <v/>
      </c>
      <c r="P280">
        <f>IF(B310=0,0,O280/B310)</f>
        <v/>
      </c>
      <c r="Q280">
        <f>IFERROR(1/IF(Inputs!$B$38="pvp",15,MAX(0.1,Skills!D7-IF(Skills!E7=TRUE,Inputs!$B$32,0))),0)</f>
        <v/>
      </c>
      <c r="R280">
        <f>IF(AND(Inputs!$B$38&lt;&gt;"pvp",Inputs!$B$43&gt;0),IF(MAX(0,Inputs!$B$43-B307)&lt;=0,0,(INT(MAX(0,Inputs!$B$43-B307)/IF(Inputs!$B$38="pvp",15,MAX(0.1,Skills!D7-IF(Skills!E7=TRUE,Inputs!$B$32,0))))+1)),0)</f>
        <v/>
      </c>
      <c r="S280">
        <f>IFERROR(O280/N280,0)</f>
        <v/>
      </c>
      <c r="T280">
        <f>IF(C280,(H280*N280*IF(AND(Inputs!$B$38&lt;&gt;"pvp",Inputs!$B$43&gt;0),((Skills!G7*((R280-1)*IF(Skills!H7&gt;0,Skills!I7/Skills!H7,1)+IF(Skills!H7&gt;0,MIN(Skills!I7,MAX(0,MAX(0,Inputs!$B$43-B307)-((R280-1)*IF(Inputs!$B$38="pvp",15,MAX(0.1,Skills!D7-IF(Skills!E7=TRUE,Inputs!$B$32,0))))))/Skills!H7,1)))/Inputs!$B$43),G280*Q280))*IF(Inputs!$B$38="pvp",1,1+(Inputs!$B$20+0+Skills!P7)/100),0)</f>
        <v/>
      </c>
      <c r="V280">
        <f>IF(C280,(H280*N280*IF(AND(Inputs!$B$38&lt;&gt;"pvp",Inputs!$B$43&gt;0),((Skills!G7*((R280-1)*IF(Skills!H7&gt;0,Skills!I7/Skills!H7,1)+IF(Skills!H7&gt;0,MIN(Skills!I7,MAX(0,MAX(0,Inputs!$B$43-B307)-((R280-1)*IF(Inputs!$B$38="pvp",15,MAX(0.1,Skills!D7-IF(Skills!E7=TRUE,Inputs!$B$32,0))))))/Skills!H7,1)))/Inputs!$B$43),G280*Q280))*IF(Inputs!$B$38="pvp",1,(1+((Inputs!$B$21+1)+Skills!Q7)/100)*(MIN(Skills!R7,Inputs!$B$37))),0)</f>
        <v/>
      </c>
    </row>
    <row r="281">
      <c r="A281">
        <f>Skills!A8</f>
        <v/>
      </c>
      <c r="B281">
        <f>Skills!B8</f>
        <v/>
      </c>
      <c r="C281">
        <f>Inputs!$B$3&gt;=107</f>
        <v/>
      </c>
      <c r="D281">
        <f>IF(Skills!C8=1,60+Inputs!$B$25+Inputs!$B$29,IF(Skills!C8=2,90+Inputs!$B$26+Inputs!$B$29,IF(Skills!C8=3,120+Inputs!$B$27+Inputs!$B$29,MAX(0,(Inputs!$B$3-100)*3)+Inputs!$B$28+Inputs!$B$29)))</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306)/100)*(1+(IF(Skills!A8="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281)</f>
        <v/>
      </c>
      <c r="L281">
        <f>K281*(MIN(Inputs!$B$22+((C295=TRUE)*(F295-Calc!F22)),Inputs!$B$23+((C297=TRUE)*(F297-Calc!F24)))/100+(Inputs!$B$23+((C297=TRUE)*(F297-Calc!F24)))/100)/2</f>
        <v/>
      </c>
      <c r="M281">
        <f>L281*(1+(Inputs!$B$10+0+B305)/100)</f>
        <v/>
      </c>
      <c r="N281">
        <f>L281*(1-MIN((Inputs!$B$9+0+B300),100)/100)+M281*(MIN((Inputs!$B$9+0+B300),100)/100)</f>
        <v/>
      </c>
      <c r="O281">
        <f>(1-Summary!$B$55)*T281+Summary!$B$55*V281</f>
        <v/>
      </c>
      <c r="P281">
        <f>IF(B310=0,0,O281/B310)</f>
        <v/>
      </c>
      <c r="Q281">
        <f>IFERROR(1/IF(Inputs!$B$38="pvp",15,MAX(0.1,Skills!D8-IF(Skills!E8=TRUE,Inputs!$B$32,0))),0)</f>
        <v/>
      </c>
      <c r="R281">
        <f>IF(AND(Inputs!$B$38&lt;&gt;"pvp",Inputs!$B$43&gt;0),IF(MAX(0,Inputs!$B$43-B307)&lt;=0,0,(INT(MAX(0,Inputs!$B$43-B307)/IF(Inputs!$B$38="pvp",15,MAX(0.1,Skills!D8-IF(Skills!E8=TRUE,Inputs!$B$32,0))))+1)),0)</f>
        <v/>
      </c>
      <c r="S281">
        <f>IFERROR(O281/N281,0)</f>
        <v/>
      </c>
      <c r="T281">
        <f>IF(C281,(H281*N281*IF(AND(Inputs!$B$38&lt;&gt;"pvp",Inputs!$B$43&gt;0),((Skills!G8*((R281-1)*IF(Skills!H8&gt;0,Skills!I8/Skills!H8,1)+IF(Skills!H8&gt;0,MIN(Skills!I8,MAX(0,MAX(0,Inputs!$B$43-B307)-((R281-1)*IF(Inputs!$B$38="pvp",15,MAX(0.1,Skills!D8-IF(Skills!E8=TRUE,Inputs!$B$32,0))))))/Skills!H8,1)))/Inputs!$B$43),G281*Q281))*IF(Inputs!$B$38="pvp",1,1+(Inputs!$B$20+0+Skills!P8)/100),0)</f>
        <v/>
      </c>
      <c r="V281">
        <f>IF(C281,(H281*N281*IF(AND(Inputs!$B$38&lt;&gt;"pvp",Inputs!$B$43&gt;0),((Skills!G8*((R281-1)*IF(Skills!H8&gt;0,Skills!I8/Skills!H8,1)+IF(Skills!H8&gt;0,MIN(Skills!I8,MAX(0,MAX(0,Inputs!$B$43-B307)-((R281-1)*IF(Inputs!$B$38="pvp",15,MAX(0.1,Skills!D8-IF(Skills!E8=TRUE,Inputs!$B$32,0))))))/Skills!H8,1)))/Inputs!$B$43),G281*Q281))*IF(Inputs!$B$38="pvp",1,(1+((Inputs!$B$21+1)+Skills!Q8)/100)*(MIN(Skills!R8,Inputs!$B$37))),0)</f>
        <v/>
      </c>
    </row>
    <row r="282">
      <c r="A282">
        <f>Skills!A9</f>
        <v/>
      </c>
      <c r="B282">
        <f>Skills!B9</f>
        <v/>
      </c>
      <c r="C282">
        <f>Inputs!$B$3&gt;=125</f>
        <v/>
      </c>
      <c r="D282">
        <f>IF(Skills!C9=1,60+Inputs!$B$25+Inputs!$B$29,IF(Skills!C9=2,90+Inputs!$B$26+Inputs!$B$29,IF(Skills!C9=3,120+Inputs!$B$27+Inputs!$B$29,MAX(0,(Inputs!$B$3-100)*3)+Inputs!$B$28+Inputs!$B$29)))</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306)/100)*(1+(IF(Skills!A9="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282)</f>
        <v/>
      </c>
      <c r="L282">
        <f>K282*(MIN(Inputs!$B$22+((C295=TRUE)*(F295-Calc!F22)),Inputs!$B$23+((C297=TRUE)*(F297-Calc!F24)))/100+(Inputs!$B$23+((C297=TRUE)*(F297-Calc!F24)))/100)/2</f>
        <v/>
      </c>
      <c r="M282">
        <f>L282*(1+(Inputs!$B$10+0+B305)/100)</f>
        <v/>
      </c>
      <c r="N282">
        <f>L282*(1-MIN((Inputs!$B$9+0+B300),100)/100)+M282*(MIN((Inputs!$B$9+0+B300),100)/100)</f>
        <v/>
      </c>
      <c r="O282">
        <f>(1-Summary!$B$55)*T282+Summary!$B$55*V282</f>
        <v/>
      </c>
      <c r="P282">
        <f>IF(B310=0,0,O282/B310)</f>
        <v/>
      </c>
      <c r="Q282">
        <f>IFERROR(1/IF(Inputs!$B$38="pvp",15,MAX(0.1,Skills!D9-IF(Skills!E9=TRUE,Inputs!$B$32,0))),0)</f>
        <v/>
      </c>
      <c r="R282">
        <f>IF(AND(Inputs!$B$38&lt;&gt;"pvp",Inputs!$B$43&gt;0),IF(MAX(0,Inputs!$B$43-B307)&lt;=0,0,(INT(MAX(0,Inputs!$B$43-B307)/IF(Inputs!$B$38="pvp",15,MAX(0.1,Skills!D9-IF(Skills!E9=TRUE,Inputs!$B$32,0))))+1)),0)</f>
        <v/>
      </c>
      <c r="S282">
        <f>IFERROR(O282/N282,0)</f>
        <v/>
      </c>
      <c r="T282">
        <f>IF(C282,(H282*N282*IF(AND(Inputs!$B$38&lt;&gt;"pvp",Inputs!$B$43&gt;0),((Skills!G9*((R282-1)*IF(Skills!H9&gt;0,Skills!I9/Skills!H9,1)+IF(Skills!H9&gt;0,MIN(Skills!I9,MAX(0,MAX(0,Inputs!$B$43-B307)-((R282-1)*IF(Inputs!$B$38="pvp",15,MAX(0.1,Skills!D9-IF(Skills!E9=TRUE,Inputs!$B$32,0))))))/Skills!H9,1)))/Inputs!$B$43),G282*Q282))*IF(Inputs!$B$38="pvp",1,1+(Inputs!$B$20+0+Skills!P9)/100),0)</f>
        <v/>
      </c>
      <c r="V282">
        <f>IF(C282,(H282*N282*IF(AND(Inputs!$B$38&lt;&gt;"pvp",Inputs!$B$43&gt;0),((Skills!G9*((R282-1)*IF(Skills!H9&gt;0,Skills!I9/Skills!H9,1)+IF(Skills!H9&gt;0,MIN(Skills!I9,MAX(0,MAX(0,Inputs!$B$43-B307)-((R282-1)*IF(Inputs!$B$38="pvp",15,MAX(0.1,Skills!D9-IF(Skills!E9=TRUE,Inputs!$B$32,0))))))/Skills!H9,1)))/Inputs!$B$43),G282*Q282))*IF(Inputs!$B$38="pvp",1,(1+((Inputs!$B$21+1)+Skills!Q9)/100)*(MIN(Skills!R9,Inputs!$B$37))),0)</f>
        <v/>
      </c>
    </row>
    <row r="283">
      <c r="A283">
        <f>Skills!A10</f>
        <v/>
      </c>
      <c r="B283">
        <f>Skills!B10</f>
        <v/>
      </c>
      <c r="C283">
        <f>Inputs!$B$3&gt;=117</f>
        <v/>
      </c>
      <c r="D283">
        <f>IF(Skills!C10=1,60+Inputs!$B$25+Inputs!$B$29,IF(Skills!C10=2,90+Inputs!$B$26+Inputs!$B$29,IF(Skills!C10=3,120+Inputs!$B$27+Inputs!$B$29,MAX(0,(Inputs!$B$3-100)*3)+Inputs!$B$28+Inputs!$B$29)))</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((Inputs!$B$6*(1+Inputs!$B$7/100))+(((Inputs!$B$12*(1+Inputs!$B$13/100))-(Inputs!$B$12*(1+Inputs!$B$13/100)))+0.25*(Inputs!$B$14-Inputs!$B$14))*(1+Inputs!$B$7/100))*(F283/100)</f>
        <v/>
      </c>
      <c r="K283">
        <f>J283*(1+((Inputs!$B$12*(1+Inputs!$B$13/100))*0.01+Inputs!$B$14*0.0025)/100)*(1+Inputs!$B$15/100)*(1+Inputs!$B$16/100)*(5000/(6000+Inputs!$B$42*(1-(Inputs!$B$19+0)/100)))*(1+(Inputs!$B$24+0+B306)/100)*(1+(IF(Skills!A10="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283)</f>
        <v/>
      </c>
      <c r="L283">
        <f>K283*(MIN(Inputs!$B$22+((C295=TRUE)*(F295-Calc!F22)),Inputs!$B$23+((C297=TRUE)*(F297-Calc!F24)))/100+(Inputs!$B$23+((C297=TRUE)*(F297-Calc!F24)))/100)/2</f>
        <v/>
      </c>
      <c r="M283">
        <f>L283*(1+(Inputs!$B$10+0+B305)/100)</f>
        <v/>
      </c>
      <c r="N283">
        <f>L283*(1-MIN((Inputs!$B$9+0+B300),100)/100)+M283*(MIN((Inputs!$B$9+0+B300),100)/100)</f>
        <v/>
      </c>
      <c r="O283">
        <f>(1-Summary!$B$55)*T283+Summary!$B$55*V283</f>
        <v/>
      </c>
      <c r="P283">
        <f>IF(B310=0,0,O283/B310)</f>
        <v/>
      </c>
      <c r="Q283">
        <f>IFERROR(1/IF(Inputs!$B$38="pvp",15,MAX(0.1,Skills!D10-IF(Skills!E10=TRUE,Inputs!$B$32,0))),0)</f>
        <v/>
      </c>
      <c r="R283">
        <f>IF(AND(Inputs!$B$38&lt;&gt;"pvp",Inputs!$B$43&gt;0),IF(MAX(0,Inputs!$B$43-B307)&lt;=0,0,(INT(MAX(0,Inputs!$B$43-B307)/IF(Inputs!$B$38="pvp",15,MAX(0.1,Skills!D10-IF(Skills!E10=TRUE,Inputs!$B$32,0))))+1)),0)</f>
        <v/>
      </c>
      <c r="S283">
        <f>IFERROR(O283/N283,0)</f>
        <v/>
      </c>
      <c r="T283">
        <f>IF(C283,(H283*N283*IF(AND(Inputs!$B$38&lt;&gt;"pvp",Inputs!$B$43&gt;0),((Skills!G10*((R283-1)*IF(Skills!H10&gt;0,Skills!I10/Skills!H10,1)+IF(Skills!H10&gt;0,MIN(Skills!I10,MAX(0,MAX(0,Inputs!$B$43-B307)-((R283-1)*IF(Inputs!$B$38="pvp",15,MAX(0.1,Skills!D10-IF(Skills!E10=TRUE,Inputs!$B$32,0))))))/Skills!H10,1)))/Inputs!$B$43),G283*Q283))*IF(Inputs!$B$38="pvp",1,1+(Inputs!$B$20+0+Skills!P10)/100),0)</f>
        <v/>
      </c>
      <c r="V283">
        <f>IF(C283,(H283*N283*IF(AND(Inputs!$B$38&lt;&gt;"pvp",Inputs!$B$43&gt;0),((Skills!G10*((R283-1)*IF(Skills!H10&gt;0,Skills!I10/Skills!H10,1)+IF(Skills!H10&gt;0,MIN(Skills!I10,MAX(0,MAX(0,Inputs!$B$43-B307)-((R283-1)*IF(Inputs!$B$38="pvp",15,MAX(0.1,Skills!D10-IF(Skills!E10=TRUE,Inputs!$B$32,0))))))/Skills!H10,1)))/Inputs!$B$43),G283*Q283))*IF(Inputs!$B$38="pvp",1,(1+((Inputs!$B$21+1)+Skills!Q10)/100)*(MIN(Skills!R10,Inputs!$B$37))),0)</f>
        <v/>
      </c>
    </row>
    <row r="284">
      <c r="A284">
        <f>Skills!A11</f>
        <v/>
      </c>
      <c r="B284">
        <f>Skills!B11</f>
        <v/>
      </c>
      <c r="C284">
        <f>Inputs!$B$3&gt;=63</f>
        <v/>
      </c>
      <c r="D284">
        <f>IF(Skills!C11=1,60+Inputs!$B$25+Inputs!$B$29,IF(Skills!C11=2,90+Inputs!$B$26+Inputs!$B$29,IF(Skills!C11=3,120+Inputs!$B$27+Inputs!$B$29,MAX(0,(Inputs!$B$3-100)*3)+Inputs!$B$28+Inputs!$B$29)))</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((Inputs!$B$6*(1+Inputs!$B$7/100))+(((Inputs!$B$12*(1+Inputs!$B$13/100))-(Inputs!$B$12*(1+Inputs!$B$13/100)))+0.25*(Inputs!$B$14-Inputs!$B$14))*(1+Inputs!$B$7/100))*(F284/100)</f>
        <v/>
      </c>
      <c r="K284">
        <f>J284*(1+((Inputs!$B$12*(1+Inputs!$B$13/100))*0.01+Inputs!$B$14*0.0025)/100)*(1+Inputs!$B$15/100)*(1+Inputs!$B$16/100)*(5000/(6000+Inputs!$B$42*(1-(Inputs!$B$19+0)/100)))*(1+(Inputs!$B$24+0+B306)/100)*(1+1.5*IF(C285=TRUE,F285,0)/100)*(1+(IF(Skills!A11="BLAST",Inputs!$B$17+((C294=TRUE)*(F294-Calc!F21)),Inputs!$B$18+((C296=TRUE)*(F296-Calc!F23))))/100)*((1+(((C286=TRUE)*F286*MIN(1,Skills!T13*(Skills!J13/100)*B304))+((C291=TRUE)*F291*IF(AND(Inputs!$B$38&lt;&gt;"pvp",Inputs!$B$43&gt;0),(((R291-1)*(Skills!T18*(1+Inputs!$B$34/100))+MIN((Skills!T18*(1+Inputs!$B$34/100)),MAX(0,Inputs!$B$43-((R291-1)*Skills!D18))))/Inputs!$B$43),IF(Inputs!$B$38="pvp",MIN((Skills!T18*(1+Inputs!$B$34/100)),15)/15,(Skills!T18*(1+Inputs!$B$34/100))/Skills!D18)))+0)/100)*I284)</f>
        <v/>
      </c>
      <c r="L284">
        <f>K284*(MIN(Inputs!$B$22+((C295=TRUE)*(F295-Calc!F22)),Inputs!$B$23+((C297=TRUE)*(F297-Calc!F24)))/100+(Inputs!$B$23+((C297=TRUE)*(F297-Calc!F24)))/100)/2</f>
        <v/>
      </c>
      <c r="M284">
        <f>L284*(1+(Inputs!$B$10+0+B305)/100)</f>
        <v/>
      </c>
      <c r="N284">
        <f>L284*(1-MIN((Inputs!$B$9+0+B300),100)/100)+M284*(MIN((Inputs!$B$9+0+B300),100)/100)</f>
        <v/>
      </c>
      <c r="O284">
        <f>(1-Summary!$B$55)*T284+Summary!$B$55*V284</f>
        <v/>
      </c>
      <c r="P284">
        <f>IF(B310=0,0,O284/B310)</f>
        <v/>
      </c>
      <c r="Q284">
        <f>IFERROR(1/IF(Inputs!$B$38="pvp",15,MAX(0.1,Skills!D11-IF(Skills!E11=TRUE,Inputs!$B$32,0))),0)</f>
        <v/>
      </c>
      <c r="R284">
        <f>IF(AND(Inputs!$B$38&lt;&gt;"pvp",Inputs!$B$43&gt;0),IF(MAX(0,Inputs!$B$43-B307)&lt;=0,0,(INT(MAX(0,Inputs!$B$43-B307)/IF(Inputs!$B$38="pvp",15,MAX(0.1,Skills!D11-IF(Skills!E11=TRUE,Inputs!$B$32,0))))+1)),0)</f>
        <v/>
      </c>
      <c r="S284">
        <f>IFERROR(O284/N284,0)</f>
        <v/>
      </c>
      <c r="T284">
        <f>IF(C284,(H284*N284*IF(AND(Inputs!$B$38&lt;&gt;"pvp",Inputs!$B$43&gt;0),((Skills!G11*((R284-1)*IF(Skills!H11&gt;0,Skills!I11/Skills!H11,1)+IF(Skills!H11&gt;0,MIN(Skills!I11,MAX(0,MAX(0,Inputs!$B$43-B307)-((R284-1)*IF(Inputs!$B$38="pvp",15,MAX(0.1,Skills!D11-IF(Skills!E11=TRUE,Inputs!$B$32,0))))))/Skills!H11,1)))/Inputs!$B$43),G284*Q284))*IF(Inputs!$B$38="pvp",1,1+(Inputs!$B$20+0+Skills!P11)/100),0)</f>
        <v/>
      </c>
      <c r="V284">
        <f>IF(C284,(H284*N284*IF(AND(Inputs!$B$38&lt;&gt;"pvp",Inputs!$B$43&gt;0),((Skills!G11*((R284-1)*IF(Skills!H11&gt;0,Skills!I11/Skills!H11,1)+IF(Skills!H11&gt;0,MIN(Skills!I11,MAX(0,MAX(0,Inputs!$B$43-B307)-((R284-1)*IF(Inputs!$B$38="pvp",15,MAX(0.1,Skills!D11-IF(Skills!E11=TRUE,Inputs!$B$32,0))))))/Skills!H11,1)))/Inputs!$B$43),G284*Q284))*IF(Inputs!$B$38="pvp",1,(1+((Inputs!$B$21+1)+Skills!Q11)/100)*(MIN(Skills!R11,Inputs!$B$37))),0)</f>
        <v/>
      </c>
    </row>
    <row r="285">
      <c r="A285">
        <f>Skills!A12</f>
        <v/>
      </c>
      <c r="B285">
        <f>Skills!B12</f>
        <v/>
      </c>
      <c r="C285">
        <f>Inputs!$B$3&gt;=100</f>
        <v/>
      </c>
      <c r="D285">
        <f>IF(Skills!C12=1,60+Inputs!$B$25+Inputs!$B$29,IF(Skills!C12=2,90+Inputs!$B$26+Inputs!$B$29,IF(Skills!C12=3,120+Inputs!$B$27+Inputs!$B$29,MAX(0,(Inputs!$B$3-100)*3)+Inputs!$B$28+Inputs!$B$29)))</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IF(Skills!C13=1,60+Inputs!$B$25+Inputs!$B$29,IF(Skills!C13=2,90+Inputs!$B$26+Inputs!$B$29,IF(Skills!C13=3,120+Inputs!$B$27+Inputs!$B$29,MAX(0,(Inputs!$B$3-100)*3)+Inputs!$B$28+Inputs!$B$29)))</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f>(1-Summary!$B$55)*T286+Summary!$B$55*V286</f>
        <v/>
      </c>
      <c r="P286">
        <f>IF(B310=0,0,O286/B310)</f>
        <v/>
      </c>
      <c r="Q286" t="n">
        <v>0</v>
      </c>
      <c r="R286" t="n">
        <v>0</v>
      </c>
      <c r="S286">
        <f>IFERROR(O286/N286,0)</f>
        <v/>
      </c>
      <c r="T286" t="n">
        <v>0</v>
      </c>
      <c r="V286" t="n">
        <v>0</v>
      </c>
    </row>
    <row r="287">
      <c r="A287">
        <f>Skills!A14</f>
        <v/>
      </c>
      <c r="B287">
        <f>Skills!B14</f>
        <v/>
      </c>
      <c r="C287">
        <f>Inputs!$B$3&gt;=110</f>
        <v/>
      </c>
      <c r="D287">
        <f>IF(Skills!C14=1,60+Inputs!$B$25+Inputs!$B$29,IF(Skills!C14=2,90+Inputs!$B$26+Inputs!$B$29,IF(Skills!C14=3,120+Inputs!$B$27+Inputs!$B$29,MAX(0,(Inputs!$B$3-100)*3)+Inputs!$B$28+Inputs!$B$29)))</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f>(1-Summary!$B$55)*T287+Summary!$B$55*V287</f>
        <v/>
      </c>
      <c r="P287">
        <f>IF(B310=0,0,O287/B310)</f>
        <v/>
      </c>
      <c r="Q287" t="n">
        <v>0</v>
      </c>
      <c r="R287" t="n">
        <v>0</v>
      </c>
      <c r="S287">
        <f>IFERROR(O287/N287,0)</f>
        <v/>
      </c>
      <c r="T287" t="n">
        <v>0</v>
      </c>
      <c r="V287" t="n">
        <v>0</v>
      </c>
    </row>
    <row r="288">
      <c r="A288">
        <f>Skills!A15</f>
        <v/>
      </c>
      <c r="B288">
        <f>Skills!B15</f>
        <v/>
      </c>
      <c r="C288">
        <f>Inputs!$B$3&gt;=75</f>
        <v/>
      </c>
      <c r="D288">
        <f>IF(Skills!C15=1,60+Inputs!$B$25+Inputs!$B$29,IF(Skills!C15=2,90+Inputs!$B$26+Inputs!$B$29,IF(Skills!C15=3,120+Inputs!$B$27+Inputs!$B$29,MAX(0,(Inputs!$B$3-100)*3)+Inputs!$B$28+Inputs!$B$29)))</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f>(1-Summary!$B$55)*T288+Summary!$B$55*V288</f>
        <v/>
      </c>
      <c r="P288">
        <f>IF(B310=0,0,O288/B310)</f>
        <v/>
      </c>
      <c r="Q288">
        <f>IFERROR(1/IF(Inputs!$B$38="pvp",15,MAX(0.1,Skills!D15-IF(Skills!E15=TRUE,Inputs!$B$32,0))),0)</f>
        <v/>
      </c>
      <c r="R288">
        <f>IF(AND(Inputs!$B$38&lt;&gt;"pvp",Inputs!$B$43&gt;0),IF(Inputs!$B$43&lt;=0,0,(INT(Inputs!$B$43/IF(Inputs!$B$38="pvp",15,MAX(0.1,Skills!D15-IF(Skills!E15=TRUE,Inputs!$B$32,0))))+1)),0)</f>
        <v/>
      </c>
      <c r="S288">
        <f>IFERROR(O288/N288,0)</f>
        <v/>
      </c>
      <c r="T288" t="n">
        <v>0</v>
      </c>
      <c r="V288" t="n">
        <v>0</v>
      </c>
    </row>
    <row r="289">
      <c r="A289">
        <f>Skills!A16</f>
        <v/>
      </c>
      <c r="B289">
        <f>Skills!B16</f>
        <v/>
      </c>
      <c r="C289">
        <f>Inputs!$B$3&gt;=105</f>
        <v/>
      </c>
      <c r="D289">
        <f>IF(Skills!C16=1,60+Inputs!$B$25+Inputs!$B$29,IF(Skills!C16=2,90+Inputs!$B$26+Inputs!$B$29,IF(Skills!C16=3,120+Inputs!$B$27+Inputs!$B$29,MAX(0,(Inputs!$B$3-100)*3)+Inputs!$B$28+Inputs!$B$29)))</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f>(1-Summary!$B$55)*T289+Summary!$B$55*V289</f>
        <v/>
      </c>
      <c r="P289">
        <f>IF(B310=0,0,O289/B310)</f>
        <v/>
      </c>
      <c r="Q289">
        <f>IFERROR(1/IF(Inputs!$B$38="pvp",15,MAX(0.1,Skills!D16-IF(Skills!E16=TRUE,Inputs!$B$32,0))),0)</f>
        <v/>
      </c>
      <c r="R289">
        <f>IF(AND(Inputs!$B$38&lt;&gt;"pvp",Inputs!$B$43&gt;0),IF(Inputs!$B$43&lt;=0,0,(INT(Inputs!$B$43/IF(Inputs!$B$38="pvp",15,MAX(0.1,Skills!D16-IF(Skills!E16=TRUE,Inputs!$B$32,0))))+1)),0)</f>
        <v/>
      </c>
      <c r="S289">
        <f>IFERROR(O289/N289,0)</f>
        <v/>
      </c>
      <c r="T289" t="n">
        <v>0</v>
      </c>
      <c r="V289" t="n">
        <v>0</v>
      </c>
    </row>
    <row r="290">
      <c r="A290">
        <f>Skills!A17</f>
        <v/>
      </c>
      <c r="B290">
        <f>Skills!B17</f>
        <v/>
      </c>
      <c r="C290">
        <f>Inputs!$B$3&gt;=115</f>
        <v/>
      </c>
      <c r="D290">
        <f>IF(Skills!C17=1,60+Inputs!$B$25+Inputs!$B$29,IF(Skills!C17=2,90+Inputs!$B$26+Inputs!$B$29,IF(Skills!C17=3,120+Inputs!$B$27+Inputs!$B$29,MAX(0,(Inputs!$B$3-100)*3)+Inputs!$B$28+Inputs!$B$29)))</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f>(1-Summary!$B$55)*T290+Summary!$B$55*V290</f>
        <v/>
      </c>
      <c r="P290">
        <f>IF(B310=0,0,O290/B310)</f>
        <v/>
      </c>
      <c r="Q290">
        <f>IFERROR(1/IF(Inputs!$B$38="pvp",15,MAX(0.1,Skills!D17-IF(Skills!E17=TRUE,Inputs!$B$32,0))),0)</f>
        <v/>
      </c>
      <c r="R290">
        <f>IF(AND(Inputs!$B$38&lt;&gt;"pvp",Inputs!$B$43&gt;0),IF(Inputs!$B$43&lt;=0,0,(INT(Inputs!$B$43/IF(Inputs!$B$38="pvp",15,MAX(0.1,Skills!D17-IF(Skills!E17=TRUE,Inputs!$B$32,0))))+1)),0)</f>
        <v/>
      </c>
      <c r="S290">
        <f>IFERROR(O290/N290,0)</f>
        <v/>
      </c>
      <c r="T290" t="n">
        <v>0</v>
      </c>
      <c r="V290" t="n">
        <v>0</v>
      </c>
    </row>
    <row r="291">
      <c r="A291">
        <f>Skills!A18</f>
        <v/>
      </c>
      <c r="B291">
        <f>Skills!B18</f>
        <v/>
      </c>
      <c r="C291">
        <f>Inputs!$B$3&gt;=74</f>
        <v/>
      </c>
      <c r="D291">
        <f>IF(Skills!C18=1,60+Inputs!$B$25+Inputs!$B$29,IF(Skills!C18=2,90+Inputs!$B$26+Inputs!$B$29,IF(Skills!C18=3,120+Inputs!$B$27+Inputs!$B$29,MAX(0,(Inputs!$B$3-100)*3)+Inputs!$B$28+Inputs!$B$29)))</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f>(1-Summary!$B$55)*T291+Summary!$B$55*V291</f>
        <v/>
      </c>
      <c r="P291">
        <f>IF(B310=0,0,O291/B310)</f>
        <v/>
      </c>
      <c r="Q291">
        <f>IFERROR(1/IF(Inputs!$B$38="pvp",15,MAX(0.1,Skills!D18-IF(Skills!E18=TRUE,Inputs!$B$32,0))),0)</f>
        <v/>
      </c>
      <c r="R291">
        <f>IF(AND(Inputs!$B$38&lt;&gt;"pvp",Inputs!$B$43&gt;0),IF(Inputs!$B$43&lt;=0,0,(INT(Inputs!$B$43/IF(Inputs!$B$38="pvp",15,MAX(0.1,Skills!D18-IF(Skills!E18=TRUE,Inputs!$B$32,0))))+1)),0)</f>
        <v/>
      </c>
      <c r="S291">
        <f>IFERROR(O291/N291,0)</f>
        <v/>
      </c>
      <c r="T291" t="n">
        <v>0</v>
      </c>
      <c r="V291" t="n">
        <v>0</v>
      </c>
    </row>
    <row r="292">
      <c r="A292">
        <f>Skills!A19</f>
        <v/>
      </c>
      <c r="B292">
        <f>Skills!B19</f>
        <v/>
      </c>
      <c r="C292">
        <f>TRUE</f>
        <v/>
      </c>
      <c r="D292">
        <f>IF(Skills!C19=1,60+Inputs!$B$25+Inputs!$B$29,IF(Skills!C19=2,90+Inputs!$B$26+Inputs!$B$29,IF(Skills!C19=3,120+Inputs!$B$27+Inputs!$B$29,MAX(0,(Inputs!$B$3-100)*3)+Inputs!$B$28+Inputs!$B$29)))</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f>(1-Summary!$B$55)*T292+Summary!$B$55*V292</f>
        <v/>
      </c>
      <c r="P292">
        <f>IF(B310=0,0,O292/B310)</f>
        <v/>
      </c>
      <c r="Q292">
        <f>IFERROR(1/IF(Inputs!$B$38="pvp",15,MAX(0.1,Skills!D19-IF(Skills!E19=TRUE,Inputs!$B$32,0))),0)</f>
        <v/>
      </c>
      <c r="R292">
        <f>IF(AND(Inputs!$B$38&lt;&gt;"pvp",Inputs!$B$43&gt;0),IF(Inputs!$B$43&lt;=0,0,(INT(Inputs!$B$43/IF(Inputs!$B$38="pvp",15,MAX(0.1,Skills!D19-IF(Skills!E19=TRUE,Inputs!$B$32,0))))+1)),0)</f>
        <v/>
      </c>
      <c r="S292">
        <f>IFERROR(O292/N292,0)</f>
        <v/>
      </c>
      <c r="T292" t="n">
        <v>0</v>
      </c>
      <c r="V292" t="n">
        <v>0</v>
      </c>
    </row>
    <row r="293">
      <c r="A293">
        <f>Skills!A20</f>
        <v/>
      </c>
      <c r="B293">
        <f>Skills!B20</f>
        <v/>
      </c>
      <c r="C293">
        <f>Inputs!$B$3&gt;=33</f>
        <v/>
      </c>
      <c r="D293">
        <f>IF(Skills!C20=1,60+Inputs!$B$25+Inputs!$B$29,IF(Skills!C20=2,90+Inputs!$B$26+Inputs!$B$29,IF(Skills!C20=3,120+Inputs!$B$27+Inputs!$B$29,MAX(0,(Inputs!$B$3-100)*3)+Inputs!$B$28+Inputs!$B$29)))</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f>(1-Summary!$B$55)*T293+Summary!$B$55*V293</f>
        <v/>
      </c>
      <c r="P293">
        <f>IF(B310=0,0,O293/B310)</f>
        <v/>
      </c>
      <c r="Q293" t="n">
        <v>0</v>
      </c>
      <c r="R293" t="n">
        <v>0</v>
      </c>
      <c r="S293">
        <f>IFERROR(O293/N293,0)</f>
        <v/>
      </c>
      <c r="T293" t="n">
        <v>0</v>
      </c>
      <c r="V293" t="n">
        <v>0</v>
      </c>
    </row>
    <row r="294">
      <c r="A294">
        <f>Skills!A21</f>
        <v/>
      </c>
      <c r="B294">
        <f>Skills!B21</f>
        <v/>
      </c>
      <c r="C294">
        <f>Inputs!$B$3&gt;=38</f>
        <v/>
      </c>
      <c r="D294">
        <f>IF(Skills!C21=1,60+Inputs!$B$25+Inputs!$B$29,IF(Skills!C21=2,90+Inputs!$B$26+Inputs!$B$29,IF(Skills!C21=3,120+Inputs!$B$27+Inputs!$B$29,MAX(0,(Inputs!$B$3-100)*3)+Inputs!$B$28+Inputs!$B$29)))</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f>(1-Summary!$B$55)*T294+Summary!$B$55*V294</f>
        <v/>
      </c>
      <c r="P294">
        <f>IF(B310=0,0,O294/B310)</f>
        <v/>
      </c>
      <c r="Q294" t="n">
        <v>0</v>
      </c>
      <c r="R294" t="n">
        <v>0</v>
      </c>
      <c r="S294">
        <f>IFERROR(O294/N294,0)</f>
        <v/>
      </c>
      <c r="T294" t="n">
        <v>0</v>
      </c>
      <c r="V294" t="n">
        <v>0</v>
      </c>
    </row>
    <row r="295">
      <c r="A295">
        <f>Skills!A22</f>
        <v/>
      </c>
      <c r="B295">
        <f>Skills!B22</f>
        <v/>
      </c>
      <c r="C295">
        <f>Inputs!$B$3&gt;=43</f>
        <v/>
      </c>
      <c r="D295">
        <f>IF(Skills!C22=1,60+Inputs!$B$25+Inputs!$B$29,IF(Skills!C22=2,90+Inputs!$B$26+Inputs!$B$29,IF(Skills!C22=3,120+Inputs!$B$27+Inputs!$B$29,MAX(0,(Inputs!$B$3-100)*3)+Inputs!$B$28+Inputs!$B$29)))</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f>(1-Summary!$B$55)*T295+Summary!$B$55*V295</f>
        <v/>
      </c>
      <c r="P295">
        <f>IF(B310=0,0,O295/B310)</f>
        <v/>
      </c>
      <c r="Q295" t="n">
        <v>0</v>
      </c>
      <c r="R295" t="n">
        <v>0</v>
      </c>
      <c r="S295">
        <f>IFERROR(O295/N295,0)</f>
        <v/>
      </c>
      <c r="T295" t="n">
        <v>0</v>
      </c>
      <c r="V295" t="n">
        <v>0</v>
      </c>
    </row>
    <row r="296">
      <c r="A296">
        <f>Skills!A23</f>
        <v/>
      </c>
      <c r="B296">
        <f>Skills!B23</f>
        <v/>
      </c>
      <c r="C296">
        <f>Inputs!$B$3&gt;=120</f>
        <v/>
      </c>
      <c r="D296">
        <f>IF(Skills!C23=1,60+Inputs!$B$25+Inputs!$B$29,IF(Skills!C23=2,90+Inputs!$B$26+Inputs!$B$29,IF(Skills!C23=3,120+Inputs!$B$27+Inputs!$B$29,MAX(0,(Inputs!$B$3-100)*3)+Inputs!$B$28+Inputs!$B$29)))</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f>(1-Summary!$B$55)*T296+Summary!$B$55*V296</f>
        <v/>
      </c>
      <c r="P296">
        <f>IF(B310=0,0,O296/B310)</f>
        <v/>
      </c>
      <c r="Q296" t="n">
        <v>0</v>
      </c>
      <c r="R296" t="n">
        <v>0</v>
      </c>
      <c r="S296">
        <f>IFERROR(O296/N296,0)</f>
        <v/>
      </c>
      <c r="T296" t="n">
        <v>0</v>
      </c>
      <c r="V296" t="n">
        <v>0</v>
      </c>
    </row>
    <row r="297">
      <c r="A297">
        <f>Skills!A24</f>
        <v/>
      </c>
      <c r="B297">
        <f>Skills!B24</f>
        <v/>
      </c>
      <c r="C297">
        <f>Inputs!$B$3&gt;=120</f>
        <v/>
      </c>
      <c r="D297">
        <f>IF(Skills!C24=1,60+Inputs!$B$25+Inputs!$B$29,IF(Skills!C24=2,90+Inputs!$B$26+Inputs!$B$29,IF(Skills!C24=3,120+Inputs!$B$27+Inputs!$B$29,MAX(0,(Inputs!$B$3-100)*3)+Inputs!$B$28+Inputs!$B$29)))</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f>(1-Summary!$B$55)*T297+Summary!$B$55*V297</f>
        <v/>
      </c>
      <c r="P297">
        <f>IF(B310=0,0,O297/B310)</f>
        <v/>
      </c>
      <c r="Q297" t="n">
        <v>0</v>
      </c>
      <c r="R297" t="n">
        <v>0</v>
      </c>
      <c r="S297">
        <f>IFERROR(O297/N297,0)</f>
        <v/>
      </c>
      <c r="T297" t="n">
        <v>0</v>
      </c>
      <c r="V297" t="n">
        <v>0</v>
      </c>
    </row>
    <row r="299">
      <c r="A299" t="inlineStr">
        <is>
          <t>Attack% Bucket Multiplier</t>
        </is>
      </c>
      <c r="B299">
        <f>(1+(((C286=TRUE)*F286*MIN(1,Skills!T13*(Skills!J13/100)*B304))+((C291=TRUE)*F291*IF(AND(Inputs!$B$38&lt;&gt;"pvp",Inputs!$B$43&gt;0),(((R291-1)*(Skills!T18*(1+Inputs!$B$34/100))+MIN((Skills!T18*(1+Inputs!$B$34/100)),MAX(0,Inputs!$B$43-((R291-1)*Skills!D18))))/Inputs!$B$43),IF(Inputs!$B$38="pvp",MIN((Skills!T18*(1+Inputs!$B$34/100)),15)/15,(Skills!T18*(1+Inputs!$B$34/100))/Skills!D18)))+0)/100)</f>
        <v/>
      </c>
    </row>
    <row r="300">
      <c r="A300" t="inlineStr">
        <is>
          <t>Global Crit Rate Bonus %</t>
        </is>
      </c>
      <c r="B300" t="n">
        <v>0</v>
      </c>
    </row>
    <row r="301">
      <c r="A301" t="inlineStr">
        <is>
          <t>Attack Speed Buff Bonus %</t>
        </is>
      </c>
      <c r="B301">
        <f>((C292=TRUE)*F292*IF(AND(Inputs!$B$38&lt;&gt;"pvp",Inputs!$B$43&gt;0),(((R292-1)*(Skills!T19*(1+Inputs!$B$34/100))+MIN((Skills!T19*(1+Inputs!$B$34/100)),MAX(0,Inputs!$B$43-((R292-1)*Skills!D19))))/Inputs!$B$43),IF(Inputs!$B$38="pvp",MIN((Skills!T19*(1+Inputs!$B$34/100)),15)/15,(Skills!T19*(1+Inputs!$B$34/100))/Skills!D19)))</f>
        <v/>
      </c>
    </row>
    <row r="302">
      <c r="A302" t="inlineStr">
        <is>
          <t>Actions Per Second</t>
        </is>
      </c>
      <c r="B302">
        <f>1+MIN(150,150*(1-(1-(Inputs!$B$11+((C293=TRUE)*(F293-Calc!F20)))/150)*(1-B301/150)))/100</f>
        <v/>
      </c>
    </row>
    <row r="303">
      <c r="A303" t="inlineStr">
        <is>
          <t>Skill + Buff Cast Rate</t>
        </is>
      </c>
      <c r="B303">
        <f>IF(AND(Inputs!$B$38&lt;&gt;"pvp",Inputs!$B$43&gt;0),SUMPRODUCT((Skills!E2:E24=TRUE)*(C275:C297=TRUE)*R275:R297*Skills!F2:F24)/Inputs!$B$43,SUMPRODUCT((Skills!E2:E24=TRUE)*(C275:C297=TRUE)*Q275:Q297*Skills!F2:F24))</f>
        <v/>
      </c>
    </row>
    <row r="304">
      <c r="A304" t="inlineStr">
        <is>
          <t>Blast Casts Per Second</t>
        </is>
      </c>
      <c r="B304">
        <f>MAX(0,B302-B303)</f>
        <v/>
      </c>
    </row>
    <row r="305">
      <c r="A305" t="inlineStr">
        <is>
          <t>Global Critical Damage Bonus % (unused)</t>
        </is>
      </c>
      <c r="B305" t="n">
        <v>0</v>
      </c>
    </row>
    <row r="306">
      <c r="A306" t="inlineStr">
        <is>
          <t>Global Final Damage Bonus % (Divine Shield + Guardian + Divine Blessing + Greater Vessel of Light)</t>
        </is>
      </c>
      <c r="B306">
        <f>((C288=TRUE)*F288*IF(AND(Inputs!$B$38&lt;&gt;"pvp",Inputs!$B$43&gt;0),(((R288-1)*(Skills!T15*(1+Inputs!$B$34/100))+MIN((Skills!T15*(1+Inputs!$B$34/100)),MAX(0,Inputs!$B$43-((R288-1)*Skills!D15))))/Inputs!$B$43),IF(Inputs!$B$38="pvp",MIN((Skills!T15*(1+Inputs!$B$34/100)),15)/15,(Skills!T15*(1+Inputs!$B$34/100))/Skills!D15)))+((C289=TRUE)*F289*IF(AND(Inputs!$B$38&lt;&gt;"pvp",Inputs!$B$43&gt;0),(((R289-1)*(Skills!T16*(1+Inputs!$B$34/100))+MIN((Skills!T16*(1+Inputs!$B$34/100)),MAX(0,Inputs!$B$43-((R289-1)*Skills!D16))))/Inputs!$B$43),IF(Inputs!$B$38="pvp",MIN((Skills!T16*(1+Inputs!$B$34/100)),15)/15,(Skills!T16*(1+Inputs!$B$34/100))/Skills!D16)))+((C290=TRUE)*F290*IF(AND(Inputs!$B$38&lt;&gt;"pvp",Inputs!$B$43&gt;0),(((R290-1)*(Skills!T17*(1+Inputs!$B$34/100))+MIN((Skills!T17*(1+Inputs!$B$34/100)),MAX(0,Inputs!$B$43-((R290-1)*Skills!D17))))/Inputs!$B$43),IF(Inputs!$B$38="pvp",MIN((Skills!T17*(1+Inputs!$B$34/100)),15)/15,(Skills!T17*(1+Inputs!$B$34/100))/Skills!D17)))+((C287=TRUE)*F287*MIN(1,Skills!T13*(Skills!J13/100)*B304))</f>
        <v/>
      </c>
    </row>
    <row r="307">
      <c r="A307" t="inlineStr">
        <is>
          <t>Buff-Casting Startup Delay (s, fixed-duration only)</t>
        </is>
      </c>
      <c r="B307">
        <f>IF(AND(Inputs!$B$38&lt;&gt;"pvp",Inputs!$B$43&gt;0),SUMPRODUCT((Skills!T2:T24&gt;0)*(Skills!E2:E24=TRUE)*(C275:C297=TRUE))/B302,0)</f>
        <v/>
      </c>
    </row>
    <row r="308">
      <c r="A308" t="inlineStr">
        <is>
          <t>Boss-Only Total DPS (this block's swept value)</t>
        </is>
      </c>
      <c r="B308">
        <f>SUM(T275:T297)</f>
        <v/>
      </c>
    </row>
    <row r="309">
      <c r="A309" t="inlineStr">
        <is>
          <t>Normal-Only Total DPS (this block's swept value)</t>
        </is>
      </c>
      <c r="B309">
        <f>SUM(V275:V297)</f>
        <v/>
      </c>
    </row>
    <row r="310">
      <c r="A310" s="5" t="inlineStr">
        <is>
          <t>TOTAL DPS</t>
        </is>
      </c>
      <c r="B310" s="5">
        <f>SUM(O275:O297)</f>
        <v/>
      </c>
    </row>
    <row r="313">
      <c r="A313" s="5" t="inlineStr">
        <is>
          <t>Stat: FINAL_DAMAGE % (multiplicative source)</t>
        </is>
      </c>
    </row>
    <row r="314">
      <c r="A314" s="9" t="inlineStr">
        <is>
          <t>Key</t>
        </is>
      </c>
      <c r="B314" s="9" t="inlineStr">
        <is>
          <t>Name</t>
        </is>
      </c>
      <c r="C314" s="9" t="inlineStr">
        <is>
          <t>Unlocked</t>
        </is>
      </c>
      <c r="D314" s="9" t="inlineStr">
        <is>
          <t>InputLevel</t>
        </is>
      </c>
      <c r="E314" s="9" t="inlineStr">
        <is>
          <t>Factor</t>
        </is>
      </c>
      <c r="F314" s="9" t="inlineStr">
        <is>
          <t>CoefficientPercent</t>
        </is>
      </c>
      <c r="G314" s="9" t="inlineStr">
        <is>
          <t>EffectiveHits</t>
        </is>
      </c>
      <c r="H314" s="9" t="inlineStr">
        <is>
          <t>ProcProbability</t>
        </is>
      </c>
      <c r="I314" s="9" t="inlineStr">
        <is>
          <t>MapleHeroMultiplier</t>
        </is>
      </c>
      <c r="J314" s="9" t="inlineStr">
        <is>
          <t>BaseDamage</t>
        </is>
      </c>
      <c r="K314" s="9" t="inlineStr">
        <is>
          <t>BaseHitDamage</t>
        </is>
      </c>
      <c r="L314" s="9" t="inlineStr">
        <is>
          <t>NonCritAvg</t>
        </is>
      </c>
      <c r="M314" s="9" t="inlineStr">
        <is>
          <t>CritAvg</t>
        </is>
      </c>
      <c r="N314" s="9" t="inlineStr">
        <is>
          <t>ExpectedDamage(perHit)</t>
        </is>
      </c>
      <c r="O314" s="9" t="inlineStr">
        <is>
          <t>DPS</t>
        </is>
      </c>
      <c r="P314" s="9" t="inlineStr">
        <is>
          <t>% of Total</t>
        </is>
      </c>
      <c r="Q314" s="9" t="inlineStr">
        <is>
          <t>InvCooldown</t>
        </is>
      </c>
      <c r="R314" s="9" t="inlineStr">
        <is>
          <t>CastsInFight</t>
        </is>
      </c>
      <c r="S314" s="9"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((Inputs!$B$6*(1+Inputs!$B$7/100))+(((Inputs!$B$12*(1+Inputs!$B$13/100))-(Inputs!$B$12*(1+Inputs!$B$13/100)))+0.25*(Inputs!$B$14-Inputs!$B$14))*(1+Inputs!$B$7/100))*(F315/100)</f>
        <v/>
      </c>
      <c r="K315">
        <f>J315*(1+((Inputs!$B$12*(1+Inputs!$B$13/100))*0.01+Inputs!$B$14*0.0025)/100)*(1+Inputs!$B$15/100)*(1+Inputs!$B$16/100)*(5000/(6000+Inputs!$B$42*(1-(Inputs!$B$19+0)/100)))*(1+(((((1+Inputs!$B$24/100)*(1.01))-1)*100)+0+B346)/100)*(1+(IF(Skills!A2="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315)</f>
        <v/>
      </c>
      <c r="L315">
        <f>K315*(MIN(Inputs!$B$22+((C335=TRUE)*(F335-Calc!F22)),Inputs!$B$23+((C337=TRUE)*(F337-Calc!F24)))/100+(Inputs!$B$23+((C337=TRUE)*(F337-Calc!F24)))/100)/2</f>
        <v/>
      </c>
      <c r="M315">
        <f>L315*(1+(Inputs!$B$10+0+B345)/100)</f>
        <v/>
      </c>
      <c r="N315">
        <f>L315*(1-MIN((Inputs!$B$9+0+B340),100)/100)+M315*(MIN((Inputs!$B$9+0+B340),100)/100)</f>
        <v/>
      </c>
      <c r="O315">
        <f>(1-Summary!$B$55)*T315+Summary!$B$55*V315</f>
        <v/>
      </c>
      <c r="P315">
        <f>IF(B350=0,0,O315/B350)</f>
        <v/>
      </c>
      <c r="Q315" t="n">
        <v>0</v>
      </c>
      <c r="R315" t="n">
        <v>0</v>
      </c>
      <c r="S315">
        <f>IFERROR(O315/N315,0)</f>
        <v/>
      </c>
      <c r="T315">
        <f>IF(C315,(Skills!G2*N315*B344)*IF(Inputs!$B$38="pvp",1,1+(Inputs!$B$20+0+Skills!P2)/100),0)</f>
        <v/>
      </c>
      <c r="U315">
        <f>MAX(0,(Inputs!$B$3-100)*3)+Inputs!$B$28+Inputs!$B$29</f>
        <v/>
      </c>
      <c r="V315">
        <f>IF(C315,(Skills!G2*N315*B344)*IF(Inputs!$B$38="pvp",1,(1+(Inputs!$B$21+Skills!Q2)/100)*(MIN((6+Inputs!$B$33),Inputs!$B$37))),0)</f>
        <v/>
      </c>
    </row>
    <row r="316">
      <c r="A316">
        <f>Skills!A3</f>
        <v/>
      </c>
      <c r="B316">
        <f>Skills!B3</f>
        <v/>
      </c>
      <c r="C316">
        <f>Inputs!$B$3&gt;=50</f>
        <v/>
      </c>
      <c r="D316">
        <f>IF(Skills!C3=1,60+Inputs!$B$25+Inputs!$B$29,IF(Skills!C3=2,90+Inputs!$B$26+Inputs!$B$29,IF(Skills!C3=3,120+Inputs!$B$27+Inputs!$B$29,MAX(0,(Inputs!$B$3-100)*3)+Inputs!$B$28+Inputs!$B$29)))</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Inputs!$B$3&gt;=35</f>
        <v/>
      </c>
      <c r="D317">
        <f>IF(Skills!C4=1,60+Inputs!$B$25+Inputs!$B$29,IF(Skills!C4=2,90+Inputs!$B$26+Inputs!$B$29,IF(Skills!C4=3,120+Inputs!$B$27+Inputs!$B$29,MAX(0,(Inputs!$B$3-100)*3)+Inputs!$B$28+Inputs!$B$29)))</f>
        <v/>
      </c>
      <c r="E317">
        <f>INDEX(FactorTable!$B$2:$Y$301, MATCH(ROUND(MIN(300,MAX(1,D317)),0), FactorTable!$A$2:$A$301,0), Skills!M4+1)</f>
        <v/>
      </c>
      <c r="F317">
        <f>IF(Skills!N4=TRUE,(Skills!L4/10)*(E317/1000),Skills!L4/10)+Skills!O4</f>
        <v/>
      </c>
      <c r="G317">
        <f>Skills!G4*IF(Skills!H4&gt;0,Skills!I4/Skills!H4,1)</f>
        <v/>
      </c>
      <c r="H317">
        <f>1-(1-Skills!J4/100)^Skills!K4</f>
        <v/>
      </c>
      <c r="I317" t="inlineStr">
        <is>
          <t>1</t>
        </is>
      </c>
      <c r="J317">
        <f>((Inputs!$B$6*(1+Inputs!$B$7/100))+(((Inputs!$B$12*(1+Inputs!$B$13/100))-(Inputs!$B$12*(1+Inputs!$B$13/100)))+0.25*(Inputs!$B$14-Inputs!$B$14))*(1+Inputs!$B$7/100))*(F317/100)</f>
        <v/>
      </c>
      <c r="K317">
        <f>J317*(1+((Inputs!$B$12*(1+Inputs!$B$13/100))*0.01+Inputs!$B$14*0.0025)/100)*(1+Inputs!$B$15/100)*(1+Inputs!$B$16/100)*(5000/(6000+Inputs!$B$42*(1-(Inputs!$B$19+0)/100)))*(1+(((((1+Inputs!$B$24/100)*(1.01))-1)*100)+0+B346)/100)*(1+4.0*IF(C325=TRUE,F325,0)/100)*(1+(IF(Skills!A4="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317)</f>
        <v/>
      </c>
      <c r="L317">
        <f>K317*(MIN(Inputs!$B$22+((C335=TRUE)*(F335-Calc!F22)),Inputs!$B$23+((C337=TRUE)*(F337-Calc!F24)))/100+(Inputs!$B$23+((C337=TRUE)*(F337-Calc!F24)))/100)/2</f>
        <v/>
      </c>
      <c r="M317">
        <f>L317*(1+(Inputs!$B$10+0+B345)/100)</f>
        <v/>
      </c>
      <c r="N317">
        <f>L317*(1-MIN((Inputs!$B$9+0+B340),100)/100)+M317*(MIN((Inputs!$B$9+0+B340),100)/100)</f>
        <v/>
      </c>
      <c r="O317">
        <f>(1-Summary!$B$55)*T317+Summary!$B$55*V317</f>
        <v/>
      </c>
      <c r="P317">
        <f>IF(B350=0,0,O317/B350)</f>
        <v/>
      </c>
      <c r="Q317">
        <f>IFERROR(1/IF(Inputs!$B$38="pvp",15,MAX(0.1,Skills!D4-IF(Skills!E4=TRUE,Inputs!$B$32,0))),0)</f>
        <v/>
      </c>
      <c r="R317">
        <f>IF(AND(Inputs!$B$38&lt;&gt;"pvp",Inputs!$B$43&gt;0),IF(MAX(0,Inputs!$B$43-B347)&lt;=0,0,(INT(MAX(0,Inputs!$B$43-B347)/IF(Inputs!$B$38="pvp",15,MAX(0.1,Skills!D4-IF(Skills!E4=TRUE,Inputs!$B$32,0))))+1)),0)</f>
        <v/>
      </c>
      <c r="S317">
        <f>IFERROR(O317/N317,0)</f>
        <v/>
      </c>
      <c r="T317">
        <f>IF(C317,(H317*N317*IF(AND(Inputs!$B$38&lt;&gt;"pvp",Inputs!$B$43&gt;0),((Skills!G4*((R317-1)*IF(Skills!H4&gt;0,Skills!I4/Skills!H4,1)+IF(Skills!H4&gt;0,MIN(Skills!I4,MAX(0,MAX(0,Inputs!$B$43-B347)-((R317-1)*IF(Inputs!$B$38="pvp",15,MAX(0.1,Skills!D4-IF(Skills!E4=TRUE,Inputs!$B$32,0))))))/Skills!H4,1)))/Inputs!$B$43),G317*Q317))*IF(Inputs!$B$38="pvp",1,1+(Inputs!$B$20+0+Skills!P4)/100),0)</f>
        <v/>
      </c>
      <c r="U317">
        <f>290*U316/1000</f>
        <v/>
      </c>
      <c r="V317">
        <f>IF(C317,(H317*N317*IF(AND(Inputs!$B$38&lt;&gt;"pvp",Inputs!$B$43&gt;0),((Skills!G4*((R317-1)*IF(Skills!H4&gt;0,Skills!I4/Skills!H4,1)+IF(Skills!H4&gt;0,MIN(Skills!I4,MAX(0,MAX(0,Inputs!$B$43-B347)-((R317-1)*IF(Inputs!$B$38="pvp",15,MAX(0.1,Skills!D4-IF(Skills!E4=TRUE,Inputs!$B$32,0))))))/Skills!H4,1)))/Inputs!$B$43),G317*Q317))*IF(Inputs!$B$38="pvp",1,(1+(Inputs!$B$21+Skills!Q4)/100)*(MIN(Skills!R4,Inputs!$B$37))),0)</f>
        <v/>
      </c>
    </row>
    <row r="318">
      <c r="A318">
        <f>Skills!A5</f>
        <v/>
      </c>
      <c r="B318">
        <f>Skills!B5</f>
        <v/>
      </c>
      <c r="C318">
        <f>Inputs!$B$3&gt;=66</f>
        <v/>
      </c>
      <c r="D318">
        <f>IF(Skills!C5=1,60+Inputs!$B$25+Inputs!$B$29,IF(Skills!C5=2,90+Inputs!$B$26+Inputs!$B$29,IF(Skills!C5=3,120+Inputs!$B$27+Inputs!$B$29,MAX(0,(Inputs!$B$3-100)*3)+Inputs!$B$28+Inputs!$B$29)))</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((Inputs!$B$6*(1+Inputs!$B$7/100))+(((Inputs!$B$12*(1+Inputs!$B$13/100))-(Inputs!$B$12*(1+Inputs!$B$13/100)))+0.25*(Inputs!$B$14-Inputs!$B$14))*(1+Inputs!$B$7/100))*(F318/100)</f>
        <v/>
      </c>
      <c r="K318">
        <f>J318*(1+((Inputs!$B$12*(1+Inputs!$B$13/100))*0.01+Inputs!$B$14*0.0025)/100)*(1+Inputs!$B$15/100)*(1+Inputs!$B$16/100)*(5000/(6000+Inputs!$B$42*(1-(Inputs!$B$19+0)/100)))*(1+(((((1+Inputs!$B$24/100)*(1.01))-1)*100)+0+B346)/100)*(1+1.0*IF(C325=TRUE,F325,0)/100)*(1+(IF(Skills!A5="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318)</f>
        <v/>
      </c>
      <c r="L318">
        <f>K318*(MIN(Inputs!$B$22+((C335=TRUE)*(F335-Calc!F22)),Inputs!$B$23+((C337=TRUE)*(F337-Calc!F24)))/100+(Inputs!$B$23+((C337=TRUE)*(F337-Calc!F24)))/100)/2</f>
        <v/>
      </c>
      <c r="M318">
        <f>L318*(1+(Inputs!$B$10+0+B345)/100)</f>
        <v/>
      </c>
      <c r="N318">
        <f>L318*(1-MIN((Inputs!$B$9+0+B340),100)/100)+M318*(MIN((Inputs!$B$9+0+B340),100)/100)</f>
        <v/>
      </c>
      <c r="O318">
        <f>(1-Summary!$B$55)*T318+Summary!$B$55*V318</f>
        <v/>
      </c>
      <c r="P318">
        <f>IF(B350=0,0,O318/B350)</f>
        <v/>
      </c>
      <c r="Q318">
        <f>IFERROR(1/IF(Inputs!$B$38="pvp",15,MAX(0.1,Skills!D5-IF(Skills!E5=TRUE,Inputs!$B$32,0))),0)</f>
        <v/>
      </c>
      <c r="R318">
        <f>IF(AND(Inputs!$B$38&lt;&gt;"pvp",Inputs!$B$43&gt;0),IF(MAX(0,Inputs!$B$43-B347)&lt;=0,0,(INT(MAX(0,Inputs!$B$43-B347)/IF(Inputs!$B$38="pvp",15,MAX(0.1,Skills!D5-IF(Skills!E5=TRUE,Inputs!$B$32,0))))+1)),0)</f>
        <v/>
      </c>
      <c r="S318">
        <f>IFERROR(O318/N318,0)</f>
        <v/>
      </c>
      <c r="T318">
        <f>IF(C318,(H318*N318*IF(AND(Inputs!$B$38&lt;&gt;"pvp",Inputs!$B$43&gt;0),((Skills!G5*((R318-1)*IF(Skills!H5&gt;0,Skills!I5/Skills!H5,1)+IF(Skills!H5&gt;0,MIN(Skills!I5,MAX(0,MAX(0,Inputs!$B$43-B347)-((R318-1)*IF(Inputs!$B$38="pvp",15,MAX(0.1,Skills!D5-IF(Skills!E5=TRUE,Inputs!$B$32,0))))))/Skills!H5,1)))/Inputs!$B$43),G318*Q318))*IF(Inputs!$B$38="pvp",1,1+(Inputs!$B$20+0+Skills!P5)/100),0)</f>
        <v/>
      </c>
      <c r="V318">
        <f>IF(C318,(H318*N318*IF(AND(Inputs!$B$38&lt;&gt;"pvp",Inputs!$B$43&gt;0),((Skills!G5*((R318-1)*IF(Skills!H5&gt;0,Skills!I5/Skills!H5,1)+IF(Skills!H5&gt;0,MIN(Skills!I5,MAX(0,MAX(0,Inputs!$B$43-B347)-((R318-1)*IF(Inputs!$B$38="pvp",15,MAX(0.1,Skills!D5-IF(Skills!E5=TRUE,Inputs!$B$32,0))))))/Skills!H5,1)))/Inputs!$B$43),G318*Q318))*IF(Inputs!$B$38="pvp",1,(1+(Inputs!$B$21+Skills!Q5)/100)*(MIN(Skills!R5,Inputs!$B$37))),0)</f>
        <v/>
      </c>
    </row>
    <row r="319">
      <c r="A319">
        <f>Skills!A6</f>
        <v/>
      </c>
      <c r="B319">
        <f>Skills!B6</f>
        <v/>
      </c>
      <c r="C319">
        <f>Inputs!$B$3&gt;=103</f>
        <v/>
      </c>
      <c r="D319">
        <f>IF(Skills!C6=1,60+Inputs!$B$25+Inputs!$B$29,IF(Skills!C6=2,90+Inputs!$B$26+Inputs!$B$29,IF(Skills!C6=3,120+Inputs!$B$27+Inputs!$B$29,MAX(0,(Inputs!$B$3-100)*3)+Inputs!$B$28+Inputs!$B$29)))</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((Inputs!$B$6*(1+Inputs!$B$7/100))+(((Inputs!$B$12*(1+Inputs!$B$13/100))-(Inputs!$B$12*(1+Inputs!$B$13/100)))+0.25*(Inputs!$B$14-Inputs!$B$14))*(1+Inputs!$B$7/100))*(F319/100)</f>
        <v/>
      </c>
      <c r="K319">
        <f>J319*(1+((Inputs!$B$12*(1+Inputs!$B$13/100))*0.01+Inputs!$B$14*0.0025)/100)*(1+Inputs!$B$15/100)*(1+Inputs!$B$16/100)*(5000/(6000+Inputs!$B$42*(1-(Inputs!$B$19+0)/100)))*(1+(((((1+Inputs!$B$24/100)*(1.01))-1)*100)+0+B346)/100)*(1+(IF(Skills!A6="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319)</f>
        <v/>
      </c>
      <c r="L319">
        <f>K319*(MIN(Inputs!$B$22+((C335=TRUE)*(F335-Calc!F22)),Inputs!$B$23+((C337=TRUE)*(F337-Calc!F24)))/100+(Inputs!$B$23+((C337=TRUE)*(F337-Calc!F24)))/100)/2</f>
        <v/>
      </c>
      <c r="M319">
        <f>L319*(1+(Inputs!$B$10+0+B345)/100)</f>
        <v/>
      </c>
      <c r="N319">
        <f>L319*(1-MIN((Inputs!$B$9+0+B340),100)/100)+M319*(MIN((Inputs!$B$9+0+B340),100)/100)</f>
        <v/>
      </c>
      <c r="O319">
        <f>(1-Summary!$B$55)*T319+Summary!$B$55*V319</f>
        <v/>
      </c>
      <c r="P319">
        <f>IF(B350=0,0,O319/B350)</f>
        <v/>
      </c>
      <c r="Q319">
        <f>IFERROR(1/IF(Inputs!$B$38="pvp",15,MAX(0.1,Skills!D6-IF(Skills!E6=TRUE,Inputs!$B$32,0))),0)</f>
        <v/>
      </c>
      <c r="R319">
        <f>IF(AND(Inputs!$B$38&lt;&gt;"pvp",Inputs!$B$43&gt;0),IF(MAX(0,Inputs!$B$43-B347)&lt;=0,0,(INT(MAX(0,Inputs!$B$43-B347)/IF(Inputs!$B$38="pvp",15,MAX(0.1,Skills!D6-IF(Skills!E6=TRUE,Inputs!$B$32,0))))+1)),0)</f>
        <v/>
      </c>
      <c r="S319">
        <f>IFERROR(O319/N319,0)</f>
        <v/>
      </c>
      <c r="T319">
        <f>IF(C319,(H319*N319*IF(AND(Inputs!$B$38&lt;&gt;"pvp",Inputs!$B$43&gt;0),((Skills!G6*((R319-1)*IF(Skills!H6&gt;0,Skills!I6/Skills!H6,1)+IF(Skills!H6&gt;0,MIN(Skills!I6,MAX(0,MAX(0,Inputs!$B$43-B347)-((R319-1)*IF(Inputs!$B$38="pvp",15,MAX(0.1,Skills!D6-IF(Skills!E6=TRUE,Inputs!$B$32,0))))))/Skills!H6,1)))/Inputs!$B$43),G319*Q319))*IF(Inputs!$B$38="pvp",1,1+(Inputs!$B$20+0+Skills!P6)/100),0)</f>
        <v/>
      </c>
      <c r="V319">
        <f>IF(C319,(H319*N319*IF(AND(Inputs!$B$38&lt;&gt;"pvp",Inputs!$B$43&gt;0),((Skills!G6*((R319-1)*IF(Skills!H6&gt;0,Skills!I6/Skills!H6,1)+IF(Skills!H6&gt;0,MIN(Skills!I6,MAX(0,MAX(0,Inputs!$B$43-B347)-((R319-1)*IF(Inputs!$B$38="pvp",15,MAX(0.1,Skills!D6-IF(Skills!E6=TRUE,Inputs!$B$32,0))))))/Skills!H6,1)))/Inputs!$B$43),G319*Q319))*IF(Inputs!$B$38="pvp",1,(1+(Inputs!$B$21+Skills!Q6)/100)*(MIN(Skills!R6,Inputs!$B$37))),0)</f>
        <v/>
      </c>
    </row>
    <row r="320">
      <c r="A320">
        <f>Skills!A7</f>
        <v/>
      </c>
      <c r="B320">
        <f>Skills!B7</f>
        <v/>
      </c>
      <c r="C320">
        <f>Inputs!$B$3&gt;=107</f>
        <v/>
      </c>
      <c r="D320">
        <f>IF(Skills!C7=1,60+Inputs!$B$25+Inputs!$B$29,IF(Skills!C7=2,90+Inputs!$B$26+Inputs!$B$29,IF(Skills!C7=3,120+Inputs!$B$27+Inputs!$B$29,MAX(0,(Inputs!$B$3-100)*3)+Inputs!$B$28+Inputs!$B$29)))</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((Inputs!$B$6*(1+Inputs!$B$7/100))+(((Inputs!$B$12*(1+Inputs!$B$13/100))-(Inputs!$B$12*(1+Inputs!$B$13/100)))+0.25*(Inputs!$B$14-Inputs!$B$14))*(1+Inputs!$B$7/100))*(F320/100)</f>
        <v/>
      </c>
      <c r="K320">
        <f>J320*(1+((Inputs!$B$12*(1+Inputs!$B$13/100))*0.01+Inputs!$B$14*0.0025)/100)*(1+Inputs!$B$15/100)*(1+Inputs!$B$16/100)*(5000/(6000+Inputs!$B$42*(1-(Inputs!$B$19+0)/100)))*(1+(((((1+Inputs!$B$24/100)*(1.01))-1)*100)+0+B346)/100)*(1+(IF(Skills!A7="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320)</f>
        <v/>
      </c>
      <c r="L320">
        <f>K320*(MIN(Inputs!$B$22+((C335=TRUE)*(F335-Calc!F22)),Inputs!$B$23+((C337=TRUE)*(F337-Calc!F24)))/100+(Inputs!$B$23+((C337=TRUE)*(F337-Calc!F24)))/100)/2</f>
        <v/>
      </c>
      <c r="M320">
        <f>L320*(1+(Inputs!$B$10+0+B345)/100)</f>
        <v/>
      </c>
      <c r="N320">
        <f>L320*(1-MIN((Inputs!$B$9+0+B340),100)/100)+M320*(MIN((Inputs!$B$9+0+B340),100)/100)</f>
        <v/>
      </c>
      <c r="O320">
        <f>(1-Summary!$B$55)*T320+Summary!$B$55*V320</f>
        <v/>
      </c>
      <c r="P320">
        <f>IF(B350=0,0,O320/B350)</f>
        <v/>
      </c>
      <c r="Q320">
        <f>IFERROR(1/IF(Inputs!$B$38="pvp",15,MAX(0.1,Skills!D7-IF(Skills!E7=TRUE,Inputs!$B$32,0))),0)</f>
        <v/>
      </c>
      <c r="R320">
        <f>IF(AND(Inputs!$B$38&lt;&gt;"pvp",Inputs!$B$43&gt;0),IF(MAX(0,Inputs!$B$43-B347)&lt;=0,0,(INT(MAX(0,Inputs!$B$43-B347)/IF(Inputs!$B$38="pvp",15,MAX(0.1,Skills!D7-IF(Skills!E7=TRUE,Inputs!$B$32,0))))+1)),0)</f>
        <v/>
      </c>
      <c r="S320">
        <f>IFERROR(O320/N320,0)</f>
        <v/>
      </c>
      <c r="T320">
        <f>IF(C320,(H320*N320*IF(AND(Inputs!$B$38&lt;&gt;"pvp",Inputs!$B$43&gt;0),((Skills!G7*((R320-1)*IF(Skills!H7&gt;0,Skills!I7/Skills!H7,1)+IF(Skills!H7&gt;0,MIN(Skills!I7,MAX(0,MAX(0,Inputs!$B$43-B347)-((R320-1)*IF(Inputs!$B$38="pvp",15,MAX(0.1,Skills!D7-IF(Skills!E7=TRUE,Inputs!$B$32,0))))))/Skills!H7,1)))/Inputs!$B$43),G320*Q320))*IF(Inputs!$B$38="pvp",1,1+(Inputs!$B$20+0+Skills!P7)/100),0)</f>
        <v/>
      </c>
      <c r="V320">
        <f>IF(C320,(H320*N320*IF(AND(Inputs!$B$38&lt;&gt;"pvp",Inputs!$B$43&gt;0),((Skills!G7*((R320-1)*IF(Skills!H7&gt;0,Skills!I7/Skills!H7,1)+IF(Skills!H7&gt;0,MIN(Skills!I7,MAX(0,MAX(0,Inputs!$B$43-B347)-((R320-1)*IF(Inputs!$B$38="pvp",15,MAX(0.1,Skills!D7-IF(Skills!E7=TRUE,Inputs!$B$32,0))))))/Skills!H7,1)))/Inputs!$B$43),G320*Q320))*IF(Inputs!$B$38="pvp",1,(1+(Inputs!$B$21+Skills!Q7)/100)*(MIN(Skills!R7,Inputs!$B$37))),0)</f>
        <v/>
      </c>
    </row>
    <row r="321">
      <c r="A321">
        <f>Skills!A8</f>
        <v/>
      </c>
      <c r="B321">
        <f>Skills!B8</f>
        <v/>
      </c>
      <c r="C321">
        <f>Inputs!$B$3&gt;=107</f>
        <v/>
      </c>
      <c r="D321">
        <f>IF(Skills!C8=1,60+Inputs!$B$25+Inputs!$B$29,IF(Skills!C8=2,90+Inputs!$B$26+Inputs!$B$29,IF(Skills!C8=3,120+Inputs!$B$27+Inputs!$B$29,MAX(0,(Inputs!$B$3-100)*3)+Inputs!$B$28+Inputs!$B$29)))</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((Inputs!$B$6*(1+Inputs!$B$7/100))+(((Inputs!$B$12*(1+Inputs!$B$13/100))-(Inputs!$B$12*(1+Inputs!$B$13/100)))+0.25*(Inputs!$B$14-Inputs!$B$14))*(1+Inputs!$B$7/100))*(F321/100)</f>
        <v/>
      </c>
      <c r="K321">
        <f>J321*(1+((Inputs!$B$12*(1+Inputs!$B$13/100))*0.01+Inputs!$B$14*0.0025)/100)*(1+Inputs!$B$15/100)*(1+Inputs!$B$16/100)*(5000/(6000+Inputs!$B$42*(1-(Inputs!$B$19+0)/100)))*(1+(((((1+Inputs!$B$24/100)*(1.01))-1)*100)+0+B346)/100)*(1+(IF(Skills!A8="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321)</f>
        <v/>
      </c>
      <c r="L321">
        <f>K321*(MIN(Inputs!$B$22+((C335=TRUE)*(F335-Calc!F22)),Inputs!$B$23+((C337=TRUE)*(F337-Calc!F24)))/100+(Inputs!$B$23+((C337=TRUE)*(F337-Calc!F24)))/100)/2</f>
        <v/>
      </c>
      <c r="M321">
        <f>L321*(1+(Inputs!$B$10+0+B345)/100)</f>
        <v/>
      </c>
      <c r="N321">
        <f>L321*(1-MIN((Inputs!$B$9+0+B340),100)/100)+M321*(MIN((Inputs!$B$9+0+B340),100)/100)</f>
        <v/>
      </c>
      <c r="O321">
        <f>(1-Summary!$B$55)*T321+Summary!$B$55*V321</f>
        <v/>
      </c>
      <c r="P321">
        <f>IF(B350=0,0,O321/B350)</f>
        <v/>
      </c>
      <c r="Q321">
        <f>IFERROR(1/IF(Inputs!$B$38="pvp",15,MAX(0.1,Skills!D8-IF(Skills!E8=TRUE,Inputs!$B$32,0))),0)</f>
        <v/>
      </c>
      <c r="R321">
        <f>IF(AND(Inputs!$B$38&lt;&gt;"pvp",Inputs!$B$43&gt;0),IF(MAX(0,Inputs!$B$43-B347)&lt;=0,0,(INT(MAX(0,Inputs!$B$43-B347)/IF(Inputs!$B$38="pvp",15,MAX(0.1,Skills!D8-IF(Skills!E8=TRUE,Inputs!$B$32,0))))+1)),0)</f>
        <v/>
      </c>
      <c r="S321">
        <f>IFERROR(O321/N321,0)</f>
        <v/>
      </c>
      <c r="T321">
        <f>IF(C321,(H321*N321*IF(AND(Inputs!$B$38&lt;&gt;"pvp",Inputs!$B$43&gt;0),((Skills!G8*((R321-1)*IF(Skills!H8&gt;0,Skills!I8/Skills!H8,1)+IF(Skills!H8&gt;0,MIN(Skills!I8,MAX(0,MAX(0,Inputs!$B$43-B347)-((R321-1)*IF(Inputs!$B$38="pvp",15,MAX(0.1,Skills!D8-IF(Skills!E8=TRUE,Inputs!$B$32,0))))))/Skills!H8,1)))/Inputs!$B$43),G321*Q321))*IF(Inputs!$B$38="pvp",1,1+(Inputs!$B$20+0+Skills!P8)/100),0)</f>
        <v/>
      </c>
      <c r="V321">
        <f>IF(C321,(H321*N321*IF(AND(Inputs!$B$38&lt;&gt;"pvp",Inputs!$B$43&gt;0),((Skills!G8*((R321-1)*IF(Skills!H8&gt;0,Skills!I8/Skills!H8,1)+IF(Skills!H8&gt;0,MIN(Skills!I8,MAX(0,MAX(0,Inputs!$B$43-B347)-((R321-1)*IF(Inputs!$B$38="pvp",15,MAX(0.1,Skills!D8-IF(Skills!E8=TRUE,Inputs!$B$32,0))))))/Skills!H8,1)))/Inputs!$B$43),G321*Q321))*IF(Inputs!$B$38="pvp",1,(1+(Inputs!$B$21+Skills!Q8)/100)*(MIN(Skills!R8,Inputs!$B$37))),0)</f>
        <v/>
      </c>
    </row>
    <row r="322">
      <c r="A322">
        <f>Skills!A9</f>
        <v/>
      </c>
      <c r="B322">
        <f>Skills!B9</f>
        <v/>
      </c>
      <c r="C322">
        <f>Inputs!$B$3&gt;=125</f>
        <v/>
      </c>
      <c r="D322">
        <f>IF(Skills!C9=1,60+Inputs!$B$25+Inputs!$B$29,IF(Skills!C9=2,90+Inputs!$B$26+Inputs!$B$29,IF(Skills!C9=3,120+Inputs!$B$27+Inputs!$B$29,MAX(0,(Inputs!$B$3-100)*3)+Inputs!$B$28+Inputs!$B$29)))</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((Inputs!$B$6*(1+Inputs!$B$7/100))+(((Inputs!$B$12*(1+Inputs!$B$13/100))-(Inputs!$B$12*(1+Inputs!$B$13/100)))+0.25*(Inputs!$B$14-Inputs!$B$14))*(1+Inputs!$B$7/100))*(F322/100)</f>
        <v/>
      </c>
      <c r="K322">
        <f>J322*(1+((Inputs!$B$12*(1+Inputs!$B$13/100))*0.01+Inputs!$B$14*0.0025)/100)*(1+Inputs!$B$15/100)*(1+Inputs!$B$16/100)*(5000/(6000+Inputs!$B$42*(1-(Inputs!$B$19+0)/100)))*(1+(((((1+Inputs!$B$24/100)*(1.01))-1)*100)+0+B346)/100)*(1+(IF(Skills!A9="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322)</f>
        <v/>
      </c>
      <c r="L322">
        <f>K322*(MIN(Inputs!$B$22+((C335=TRUE)*(F335-Calc!F22)),Inputs!$B$23+((C337=TRUE)*(F337-Calc!F24)))/100+(Inputs!$B$23+((C337=TRUE)*(F337-Calc!F24)))/100)/2</f>
        <v/>
      </c>
      <c r="M322">
        <f>L322*(1+(Inputs!$B$10+0+B345)/100)</f>
        <v/>
      </c>
      <c r="N322">
        <f>L322*(1-MIN((Inputs!$B$9+0+B340),100)/100)+M322*(MIN((Inputs!$B$9+0+B340),100)/100)</f>
        <v/>
      </c>
      <c r="O322">
        <f>(1-Summary!$B$55)*T322+Summary!$B$55*V322</f>
        <v/>
      </c>
      <c r="P322">
        <f>IF(B350=0,0,O322/B350)</f>
        <v/>
      </c>
      <c r="Q322">
        <f>IFERROR(1/IF(Inputs!$B$38="pvp",15,MAX(0.1,Skills!D9-IF(Skills!E9=TRUE,Inputs!$B$32,0))),0)</f>
        <v/>
      </c>
      <c r="R322">
        <f>IF(AND(Inputs!$B$38&lt;&gt;"pvp",Inputs!$B$43&gt;0),IF(MAX(0,Inputs!$B$43-B347)&lt;=0,0,(INT(MAX(0,Inputs!$B$43-B347)/IF(Inputs!$B$38="pvp",15,MAX(0.1,Skills!D9-IF(Skills!E9=TRUE,Inputs!$B$32,0))))+1)),0)</f>
        <v/>
      </c>
      <c r="S322">
        <f>IFERROR(O322/N322,0)</f>
        <v/>
      </c>
      <c r="T322">
        <f>IF(C322,(H322*N322*IF(AND(Inputs!$B$38&lt;&gt;"pvp",Inputs!$B$43&gt;0),((Skills!G9*((R322-1)*IF(Skills!H9&gt;0,Skills!I9/Skills!H9,1)+IF(Skills!H9&gt;0,MIN(Skills!I9,MAX(0,MAX(0,Inputs!$B$43-B347)-((R322-1)*IF(Inputs!$B$38="pvp",15,MAX(0.1,Skills!D9-IF(Skills!E9=TRUE,Inputs!$B$32,0))))))/Skills!H9,1)))/Inputs!$B$43),G322*Q322))*IF(Inputs!$B$38="pvp",1,1+(Inputs!$B$20+0+Skills!P9)/100),0)</f>
        <v/>
      </c>
      <c r="V322">
        <f>IF(C322,(H322*N322*IF(AND(Inputs!$B$38&lt;&gt;"pvp",Inputs!$B$43&gt;0),((Skills!G9*((R322-1)*IF(Skills!H9&gt;0,Skills!I9/Skills!H9,1)+IF(Skills!H9&gt;0,MIN(Skills!I9,MAX(0,MAX(0,Inputs!$B$43-B347)-((R322-1)*IF(Inputs!$B$38="pvp",15,MAX(0.1,Skills!D9-IF(Skills!E9=TRUE,Inputs!$B$32,0))))))/Skills!H9,1)))/Inputs!$B$43),G322*Q322))*IF(Inputs!$B$38="pvp",1,(1+(Inputs!$B$21+Skills!Q9)/100)*(MIN(Skills!R9,Inputs!$B$37))),0)</f>
        <v/>
      </c>
    </row>
    <row r="323">
      <c r="A323">
        <f>Skills!A10</f>
        <v/>
      </c>
      <c r="B323">
        <f>Skills!B10</f>
        <v/>
      </c>
      <c r="C323">
        <f>Inputs!$B$3&gt;=117</f>
        <v/>
      </c>
      <c r="D323">
        <f>IF(Skills!C10=1,60+Inputs!$B$25+Inputs!$B$29,IF(Skills!C10=2,90+Inputs!$B$26+Inputs!$B$29,IF(Skills!C10=3,120+Inputs!$B$27+Inputs!$B$29,MAX(0,(Inputs!$B$3-100)*3)+Inputs!$B$28+Inputs!$B$29)))</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((Inputs!$B$6*(1+Inputs!$B$7/100))+(((Inputs!$B$12*(1+Inputs!$B$13/100))-(Inputs!$B$12*(1+Inputs!$B$13/100)))+0.25*(Inputs!$B$14-Inputs!$B$14))*(1+Inputs!$B$7/100))*(F323/100)</f>
        <v/>
      </c>
      <c r="K323">
        <f>J323*(1+((Inputs!$B$12*(1+Inputs!$B$13/100))*0.01+Inputs!$B$14*0.0025)/100)*(1+Inputs!$B$15/100)*(1+Inputs!$B$16/100)*(5000/(6000+Inputs!$B$42*(1-(Inputs!$B$19+0)/100)))*(1+(((((1+Inputs!$B$24/100)*(1.01))-1)*100)+0+B346)/100)*(1+(IF(Skills!A10="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323)</f>
        <v/>
      </c>
      <c r="L323">
        <f>K323*(MIN(Inputs!$B$22+((C335=TRUE)*(F335-Calc!F22)),Inputs!$B$23+((C337=TRUE)*(F337-Calc!F24)))/100+(Inputs!$B$23+((C337=TRUE)*(F337-Calc!F24)))/100)/2</f>
        <v/>
      </c>
      <c r="M323">
        <f>L323*(1+(Inputs!$B$10+0+B345)/100)</f>
        <v/>
      </c>
      <c r="N323">
        <f>L323*(1-MIN((Inputs!$B$9+0+B340),100)/100)+M323*(MIN((Inputs!$B$9+0+B340),100)/100)</f>
        <v/>
      </c>
      <c r="O323">
        <f>(1-Summary!$B$55)*T323+Summary!$B$55*V323</f>
        <v/>
      </c>
      <c r="P323">
        <f>IF(B350=0,0,O323/B350)</f>
        <v/>
      </c>
      <c r="Q323">
        <f>IFERROR(1/IF(Inputs!$B$38="pvp",15,MAX(0.1,Skills!D10-IF(Skills!E10=TRUE,Inputs!$B$32,0))),0)</f>
        <v/>
      </c>
      <c r="R323">
        <f>IF(AND(Inputs!$B$38&lt;&gt;"pvp",Inputs!$B$43&gt;0),IF(MAX(0,Inputs!$B$43-B347)&lt;=0,0,(INT(MAX(0,Inputs!$B$43-B347)/IF(Inputs!$B$38="pvp",15,MAX(0.1,Skills!D10-IF(Skills!E10=TRUE,Inputs!$B$32,0))))+1)),0)</f>
        <v/>
      </c>
      <c r="S323">
        <f>IFERROR(O323/N323,0)</f>
        <v/>
      </c>
      <c r="T323">
        <f>IF(C323,(H323*N323*IF(AND(Inputs!$B$38&lt;&gt;"pvp",Inputs!$B$43&gt;0),((Skills!G10*((R323-1)*IF(Skills!H10&gt;0,Skills!I10/Skills!H10,1)+IF(Skills!H10&gt;0,MIN(Skills!I10,MAX(0,MAX(0,Inputs!$B$43-B347)-((R323-1)*IF(Inputs!$B$38="pvp",15,MAX(0.1,Skills!D10-IF(Skills!E10=TRUE,Inputs!$B$32,0))))))/Skills!H10,1)))/Inputs!$B$43),G323*Q323))*IF(Inputs!$B$38="pvp",1,1+(Inputs!$B$20+0+Skills!P10)/100),0)</f>
        <v/>
      </c>
      <c r="V323">
        <f>IF(C323,(H323*N323*IF(AND(Inputs!$B$38&lt;&gt;"pvp",Inputs!$B$43&gt;0),((Skills!G10*((R323-1)*IF(Skills!H10&gt;0,Skills!I10/Skills!H10,1)+IF(Skills!H10&gt;0,MIN(Skills!I10,MAX(0,MAX(0,Inputs!$B$43-B347)-((R323-1)*IF(Inputs!$B$38="pvp",15,MAX(0.1,Skills!D10-IF(Skills!E10=TRUE,Inputs!$B$32,0))))))/Skills!H10,1)))/Inputs!$B$43),G323*Q323))*IF(Inputs!$B$38="pvp",1,(1+(Inputs!$B$21+Skills!Q10)/100)*(MIN(Skills!R10,Inputs!$B$37))),0)</f>
        <v/>
      </c>
    </row>
    <row r="324">
      <c r="A324">
        <f>Skills!A11</f>
        <v/>
      </c>
      <c r="B324">
        <f>Skills!B11</f>
        <v/>
      </c>
      <c r="C324">
        <f>Inputs!$B$3&gt;=63</f>
        <v/>
      </c>
      <c r="D324">
        <f>IF(Skills!C11=1,60+Inputs!$B$25+Inputs!$B$29,IF(Skills!C11=2,90+Inputs!$B$26+Inputs!$B$29,IF(Skills!C11=3,120+Inputs!$B$27+Inputs!$B$29,MAX(0,(Inputs!$B$3-100)*3)+Inputs!$B$28+Inputs!$B$29)))</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((Inputs!$B$6*(1+Inputs!$B$7/100))+(((Inputs!$B$12*(1+Inputs!$B$13/100))-(Inputs!$B$12*(1+Inputs!$B$13/100)))+0.25*(Inputs!$B$14-Inputs!$B$14))*(1+Inputs!$B$7/100))*(F324/100)</f>
        <v/>
      </c>
      <c r="K324">
        <f>J324*(1+((Inputs!$B$12*(1+Inputs!$B$13/100))*0.01+Inputs!$B$14*0.0025)/100)*(1+Inputs!$B$15/100)*(1+Inputs!$B$16/100)*(5000/(6000+Inputs!$B$42*(1-(Inputs!$B$19+0)/100)))*(1+(((((1+Inputs!$B$24/100)*(1.01))-1)*100)+0+B346)/100)*(1+1.5*IF(C325=TRUE,F325,0)/100)*(1+(IF(Skills!A11="BLAST",Inputs!$B$17+((C334=TRUE)*(F334-Calc!F21)),Inputs!$B$18+((C336=TRUE)*(F336-Calc!F23))))/100)*((1+(((C326=TRUE)*F326*MIN(1,Skills!T13*(Skills!J13/100)*B344))+((C331=TRUE)*F331*IF(AND(Inputs!$B$38&lt;&gt;"pvp",Inputs!$B$43&gt;0),(((R331-1)*(Skills!T18*(1+Inputs!$B$34/100))+MIN((Skills!T18*(1+Inputs!$B$34/100)),MAX(0,Inputs!$B$43-((R331-1)*Skills!D18))))/Inputs!$B$43),IF(Inputs!$B$38="pvp",MIN((Skills!T18*(1+Inputs!$B$34/100)),15)/15,(Skills!T18*(1+Inputs!$B$34/100))/Skills!D18)))+0)/100)*I324)</f>
        <v/>
      </c>
      <c r="L324">
        <f>K324*(MIN(Inputs!$B$22+((C335=TRUE)*(F335-Calc!F22)),Inputs!$B$23+((C337=TRUE)*(F337-Calc!F24)))/100+(Inputs!$B$23+((C337=TRUE)*(F337-Calc!F24)))/100)/2</f>
        <v/>
      </c>
      <c r="M324">
        <f>L324*(1+(Inputs!$B$10+0+B345)/100)</f>
        <v/>
      </c>
      <c r="N324">
        <f>L324*(1-MIN((Inputs!$B$9+0+B340),100)/100)+M324*(MIN((Inputs!$B$9+0+B340),100)/100)</f>
        <v/>
      </c>
      <c r="O324">
        <f>(1-Summary!$B$55)*T324+Summary!$B$55*V324</f>
        <v/>
      </c>
      <c r="P324">
        <f>IF(B350=0,0,O324/B350)</f>
        <v/>
      </c>
      <c r="Q324">
        <f>IFERROR(1/IF(Inputs!$B$38="pvp",15,MAX(0.1,Skills!D11-IF(Skills!E11=TRUE,Inputs!$B$32,0))),0)</f>
        <v/>
      </c>
      <c r="R324">
        <f>IF(AND(Inputs!$B$38&lt;&gt;"pvp",Inputs!$B$43&gt;0),IF(MAX(0,Inputs!$B$43-B347)&lt;=0,0,(INT(MAX(0,Inputs!$B$43-B347)/IF(Inputs!$B$38="pvp",15,MAX(0.1,Skills!D11-IF(Skills!E11=TRUE,Inputs!$B$32,0))))+1)),0)</f>
        <v/>
      </c>
      <c r="S324">
        <f>IFERROR(O324/N324,0)</f>
        <v/>
      </c>
      <c r="T324">
        <f>IF(C324,(H324*N324*IF(AND(Inputs!$B$38&lt;&gt;"pvp",Inputs!$B$43&gt;0),((Skills!G11*((R324-1)*IF(Skills!H11&gt;0,Skills!I11/Skills!H11,1)+IF(Skills!H11&gt;0,MIN(Skills!I11,MAX(0,MAX(0,Inputs!$B$43-B347)-((R324-1)*IF(Inputs!$B$38="pvp",15,MAX(0.1,Skills!D11-IF(Skills!E11=TRUE,Inputs!$B$32,0))))))/Skills!H11,1)))/Inputs!$B$43),G324*Q324))*IF(Inputs!$B$38="pvp",1,1+(Inputs!$B$20+0+Skills!P11)/100),0)</f>
        <v/>
      </c>
      <c r="V324">
        <f>IF(C324,(H324*N324*IF(AND(Inputs!$B$38&lt;&gt;"pvp",Inputs!$B$43&gt;0),((Skills!G11*((R324-1)*IF(Skills!H11&gt;0,Skills!I11/Skills!H11,1)+IF(Skills!H11&gt;0,MIN(Skills!I11,MAX(0,MAX(0,Inputs!$B$43-B347)-((R324-1)*IF(Inputs!$B$38="pvp",15,MAX(0.1,Skills!D11-IF(Skills!E11=TRUE,Inputs!$B$32,0))))))/Skills!H11,1)))/Inputs!$B$43),G324*Q324))*IF(Inputs!$B$38="pvp",1,(1+(Inputs!$B$21+Skills!Q11)/100)*(MIN(Skills!R11,Inputs!$B$37))),0)</f>
        <v/>
      </c>
    </row>
    <row r="325">
      <c r="A325">
        <f>Skills!A12</f>
        <v/>
      </c>
      <c r="B325">
        <f>Skills!B12</f>
        <v/>
      </c>
      <c r="C325">
        <f>Inputs!$B$3&gt;=100</f>
        <v/>
      </c>
      <c r="D325">
        <f>IF(Skills!C12=1,60+Inputs!$B$25+Inputs!$B$29,IF(Skills!C12=2,90+Inputs!$B$26+Inputs!$B$29,IF(Skills!C12=3,120+Inputs!$B$27+Inputs!$B$29,MAX(0,(Inputs!$B$3-100)*3)+Inputs!$B$28+Inputs!$B$29)))</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IF(Skills!C13=1,60+Inputs!$B$25+Inputs!$B$29,IF(Skills!C13=2,90+Inputs!$B$26+Inputs!$B$29,IF(Skills!C13=3,120+Inputs!$B$27+Inputs!$B$29,MAX(0,(Inputs!$B$3-100)*3)+Inputs!$B$28+Inputs!$B$29)))</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f>(1-Summary!$B$55)*T326+Summary!$B$55*V326</f>
        <v/>
      </c>
      <c r="P326">
        <f>IF(B350=0,0,O326/B350)</f>
        <v/>
      </c>
      <c r="Q326" t="n">
        <v>0</v>
      </c>
      <c r="R326" t="n">
        <v>0</v>
      </c>
      <c r="S326">
        <f>IFERROR(O326/N326,0)</f>
        <v/>
      </c>
      <c r="T326" t="n">
        <v>0</v>
      </c>
      <c r="V326" t="n">
        <v>0</v>
      </c>
    </row>
    <row r="327">
      <c r="A327">
        <f>Skills!A14</f>
        <v/>
      </c>
      <c r="B327">
        <f>Skills!B14</f>
        <v/>
      </c>
      <c r="C327">
        <f>Inputs!$B$3&gt;=110</f>
        <v/>
      </c>
      <c r="D327">
        <f>IF(Skills!C14=1,60+Inputs!$B$25+Inputs!$B$29,IF(Skills!C14=2,90+Inputs!$B$26+Inputs!$B$29,IF(Skills!C14=3,120+Inputs!$B$27+Inputs!$B$29,MAX(0,(Inputs!$B$3-100)*3)+Inputs!$B$28+Inputs!$B$29)))</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f>(1-Summary!$B$55)*T327+Summary!$B$55*V327</f>
        <v/>
      </c>
      <c r="P327">
        <f>IF(B350=0,0,O327/B350)</f>
        <v/>
      </c>
      <c r="Q327" t="n">
        <v>0</v>
      </c>
      <c r="R327" t="n">
        <v>0</v>
      </c>
      <c r="S327">
        <f>IFERROR(O327/N327,0)</f>
        <v/>
      </c>
      <c r="T327" t="n">
        <v>0</v>
      </c>
      <c r="V327" t="n">
        <v>0</v>
      </c>
    </row>
    <row r="328">
      <c r="A328">
        <f>Skills!A15</f>
        <v/>
      </c>
      <c r="B328">
        <f>Skills!B15</f>
        <v/>
      </c>
      <c r="C328">
        <f>Inputs!$B$3&gt;=75</f>
        <v/>
      </c>
      <c r="D328">
        <f>IF(Skills!C15=1,60+Inputs!$B$25+Inputs!$B$29,IF(Skills!C15=2,90+Inputs!$B$26+Inputs!$B$29,IF(Skills!C15=3,120+Inputs!$B$27+Inputs!$B$29,MAX(0,(Inputs!$B$3-100)*3)+Inputs!$B$28+Inputs!$B$29)))</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f>(1-Summary!$B$55)*T328+Summary!$B$55*V328</f>
        <v/>
      </c>
      <c r="P328">
        <f>IF(B350=0,0,O328/B350)</f>
        <v/>
      </c>
      <c r="Q328">
        <f>IFERROR(1/IF(Inputs!$B$38="pvp",15,MAX(0.1,Skills!D15-IF(Skills!E15=TRUE,Inputs!$B$32,0))),0)</f>
        <v/>
      </c>
      <c r="R328">
        <f>IF(AND(Inputs!$B$38&lt;&gt;"pvp",Inputs!$B$43&gt;0),IF(Inputs!$B$43&lt;=0,0,(INT(Inputs!$B$43/IF(Inputs!$B$38="pvp",15,MAX(0.1,Skills!D15-IF(Skills!E15=TRUE,Inputs!$B$32,0))))+1)),0)</f>
        <v/>
      </c>
      <c r="S328">
        <f>IFERROR(O328/N328,0)</f>
        <v/>
      </c>
      <c r="T328" t="n">
        <v>0</v>
      </c>
      <c r="V328" t="n">
        <v>0</v>
      </c>
    </row>
    <row r="329">
      <c r="A329">
        <f>Skills!A16</f>
        <v/>
      </c>
      <c r="B329">
        <f>Skills!B16</f>
        <v/>
      </c>
      <c r="C329">
        <f>Inputs!$B$3&gt;=105</f>
        <v/>
      </c>
      <c r="D329">
        <f>IF(Skills!C16=1,60+Inputs!$B$25+Inputs!$B$29,IF(Skills!C16=2,90+Inputs!$B$26+Inputs!$B$29,IF(Skills!C16=3,120+Inputs!$B$27+Inputs!$B$29,MAX(0,(Inputs!$B$3-100)*3)+Inputs!$B$28+Inputs!$B$29)))</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f>(1-Summary!$B$55)*T329+Summary!$B$55*V329</f>
        <v/>
      </c>
      <c r="P329">
        <f>IF(B350=0,0,O329/B350)</f>
        <v/>
      </c>
      <c r="Q329">
        <f>IFERROR(1/IF(Inputs!$B$38="pvp",15,MAX(0.1,Skills!D16-IF(Skills!E16=TRUE,Inputs!$B$32,0))),0)</f>
        <v/>
      </c>
      <c r="R329">
        <f>IF(AND(Inputs!$B$38&lt;&gt;"pvp",Inputs!$B$43&gt;0),IF(Inputs!$B$43&lt;=0,0,(INT(Inputs!$B$43/IF(Inputs!$B$38="pvp",15,MAX(0.1,Skills!D16-IF(Skills!E16=TRUE,Inputs!$B$32,0))))+1)),0)</f>
        <v/>
      </c>
      <c r="S329">
        <f>IFERROR(O329/N329,0)</f>
        <v/>
      </c>
      <c r="T329" t="n">
        <v>0</v>
      </c>
      <c r="V329" t="n">
        <v>0</v>
      </c>
    </row>
    <row r="330">
      <c r="A330">
        <f>Skills!A17</f>
        <v/>
      </c>
      <c r="B330">
        <f>Skills!B17</f>
        <v/>
      </c>
      <c r="C330">
        <f>Inputs!$B$3&gt;=115</f>
        <v/>
      </c>
      <c r="D330">
        <f>IF(Skills!C17=1,60+Inputs!$B$25+Inputs!$B$29,IF(Skills!C17=2,90+Inputs!$B$26+Inputs!$B$29,IF(Skills!C17=3,120+Inputs!$B$27+Inputs!$B$29,MAX(0,(Inputs!$B$3-100)*3)+Inputs!$B$28+Inputs!$B$29)))</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f>(1-Summary!$B$55)*T330+Summary!$B$55*V330</f>
        <v/>
      </c>
      <c r="P330">
        <f>IF(B350=0,0,O330/B350)</f>
        <v/>
      </c>
      <c r="Q330">
        <f>IFERROR(1/IF(Inputs!$B$38="pvp",15,MAX(0.1,Skills!D17-IF(Skills!E17=TRUE,Inputs!$B$32,0))),0)</f>
        <v/>
      </c>
      <c r="R330">
        <f>IF(AND(Inputs!$B$38&lt;&gt;"pvp",Inputs!$B$43&gt;0),IF(Inputs!$B$43&lt;=0,0,(INT(Inputs!$B$43/IF(Inputs!$B$38="pvp",15,MAX(0.1,Skills!D17-IF(Skills!E17=TRUE,Inputs!$B$32,0))))+1)),0)</f>
        <v/>
      </c>
      <c r="S330">
        <f>IFERROR(O330/N330,0)</f>
        <v/>
      </c>
      <c r="T330" t="n">
        <v>0</v>
      </c>
      <c r="V330" t="n">
        <v>0</v>
      </c>
    </row>
    <row r="331">
      <c r="A331">
        <f>Skills!A18</f>
        <v/>
      </c>
      <c r="B331">
        <f>Skills!B18</f>
        <v/>
      </c>
      <c r="C331">
        <f>Inputs!$B$3&gt;=74</f>
        <v/>
      </c>
      <c r="D331">
        <f>IF(Skills!C18=1,60+Inputs!$B$25+Inputs!$B$29,IF(Skills!C18=2,90+Inputs!$B$26+Inputs!$B$29,IF(Skills!C18=3,120+Inputs!$B$27+Inputs!$B$29,MAX(0,(Inputs!$B$3-100)*3)+Inputs!$B$28+Inputs!$B$29)))</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f>(1-Summary!$B$55)*T331+Summary!$B$55*V331</f>
        <v/>
      </c>
      <c r="P331">
        <f>IF(B350=0,0,O331/B350)</f>
        <v/>
      </c>
      <c r="Q331">
        <f>IFERROR(1/IF(Inputs!$B$38="pvp",15,MAX(0.1,Skills!D18-IF(Skills!E18=TRUE,Inputs!$B$32,0))),0)</f>
        <v/>
      </c>
      <c r="R331">
        <f>IF(AND(Inputs!$B$38&lt;&gt;"pvp",Inputs!$B$43&gt;0),IF(Inputs!$B$43&lt;=0,0,(INT(Inputs!$B$43/IF(Inputs!$B$38="pvp",15,MAX(0.1,Skills!D18-IF(Skills!E18=TRUE,Inputs!$B$32,0))))+1)),0)</f>
        <v/>
      </c>
      <c r="S331">
        <f>IFERROR(O331/N331,0)</f>
        <v/>
      </c>
      <c r="T331" t="n">
        <v>0</v>
      </c>
      <c r="V331" t="n">
        <v>0</v>
      </c>
    </row>
    <row r="332">
      <c r="A332">
        <f>Skills!A19</f>
        <v/>
      </c>
      <c r="B332">
        <f>Skills!B19</f>
        <v/>
      </c>
      <c r="C332">
        <f>TRUE</f>
        <v/>
      </c>
      <c r="D332">
        <f>IF(Skills!C19=1,60+Inputs!$B$25+Inputs!$B$29,IF(Skills!C19=2,90+Inputs!$B$26+Inputs!$B$29,IF(Skills!C19=3,120+Inputs!$B$27+Inputs!$B$29,MAX(0,(Inputs!$B$3-100)*3)+Inputs!$B$28+Inputs!$B$29)))</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f>(1-Summary!$B$55)*T332+Summary!$B$55*V332</f>
        <v/>
      </c>
      <c r="P332">
        <f>IF(B350=0,0,O332/B350)</f>
        <v/>
      </c>
      <c r="Q332">
        <f>IFERROR(1/IF(Inputs!$B$38="pvp",15,MAX(0.1,Skills!D19-IF(Skills!E19=TRUE,Inputs!$B$32,0))),0)</f>
        <v/>
      </c>
      <c r="R332">
        <f>IF(AND(Inputs!$B$38&lt;&gt;"pvp",Inputs!$B$43&gt;0),IF(Inputs!$B$43&lt;=0,0,(INT(Inputs!$B$43/IF(Inputs!$B$38="pvp",15,MAX(0.1,Skills!D19-IF(Skills!E19=TRUE,Inputs!$B$32,0))))+1)),0)</f>
        <v/>
      </c>
      <c r="S332">
        <f>IFERROR(O332/N332,0)</f>
        <v/>
      </c>
      <c r="T332" t="n">
        <v>0</v>
      </c>
      <c r="V332" t="n">
        <v>0</v>
      </c>
    </row>
    <row r="333">
      <c r="A333">
        <f>Skills!A20</f>
        <v/>
      </c>
      <c r="B333">
        <f>Skills!B20</f>
        <v/>
      </c>
      <c r="C333">
        <f>Inputs!$B$3&gt;=33</f>
        <v/>
      </c>
      <c r="D333">
        <f>IF(Skills!C20=1,60+Inputs!$B$25+Inputs!$B$29,IF(Skills!C20=2,90+Inputs!$B$26+Inputs!$B$29,IF(Skills!C20=3,120+Inputs!$B$27+Inputs!$B$29,MAX(0,(Inputs!$B$3-100)*3)+Inputs!$B$28+Inputs!$B$29)))</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f>(1-Summary!$B$55)*T333+Summary!$B$55*V333</f>
        <v/>
      </c>
      <c r="P333">
        <f>IF(B350=0,0,O333/B350)</f>
        <v/>
      </c>
      <c r="Q333" t="n">
        <v>0</v>
      </c>
      <c r="R333" t="n">
        <v>0</v>
      </c>
      <c r="S333">
        <f>IFERROR(O333/N333,0)</f>
        <v/>
      </c>
      <c r="T333" t="n">
        <v>0</v>
      </c>
      <c r="V333" t="n">
        <v>0</v>
      </c>
    </row>
    <row r="334">
      <c r="A334">
        <f>Skills!A21</f>
        <v/>
      </c>
      <c r="B334">
        <f>Skills!B21</f>
        <v/>
      </c>
      <c r="C334">
        <f>Inputs!$B$3&gt;=38</f>
        <v/>
      </c>
      <c r="D334">
        <f>IF(Skills!C21=1,60+Inputs!$B$25+Inputs!$B$29,IF(Skills!C21=2,90+Inputs!$B$26+Inputs!$B$29,IF(Skills!C21=3,120+Inputs!$B$27+Inputs!$B$29,MAX(0,(Inputs!$B$3-100)*3)+Inputs!$B$28+Inputs!$B$29)))</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f>(1-Summary!$B$55)*T334+Summary!$B$55*V334</f>
        <v/>
      </c>
      <c r="P334">
        <f>IF(B350=0,0,O334/B350)</f>
        <v/>
      </c>
      <c r="Q334" t="n">
        <v>0</v>
      </c>
      <c r="R334" t="n">
        <v>0</v>
      </c>
      <c r="S334">
        <f>IFERROR(O334/N334,0)</f>
        <v/>
      </c>
      <c r="T334" t="n">
        <v>0</v>
      </c>
      <c r="V334" t="n">
        <v>0</v>
      </c>
    </row>
    <row r="335">
      <c r="A335">
        <f>Skills!A22</f>
        <v/>
      </c>
      <c r="B335">
        <f>Skills!B22</f>
        <v/>
      </c>
      <c r="C335">
        <f>Inputs!$B$3&gt;=43</f>
        <v/>
      </c>
      <c r="D335">
        <f>IF(Skills!C22=1,60+Inputs!$B$25+Inputs!$B$29,IF(Skills!C22=2,90+Inputs!$B$26+Inputs!$B$29,IF(Skills!C22=3,120+Inputs!$B$27+Inputs!$B$29,MAX(0,(Inputs!$B$3-100)*3)+Inputs!$B$28+Inputs!$B$29)))</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f>(1-Summary!$B$55)*T335+Summary!$B$55*V335</f>
        <v/>
      </c>
      <c r="P335">
        <f>IF(B350=0,0,O335/B350)</f>
        <v/>
      </c>
      <c r="Q335" t="n">
        <v>0</v>
      </c>
      <c r="R335" t="n">
        <v>0</v>
      </c>
      <c r="S335">
        <f>IFERROR(O335/N335,0)</f>
        <v/>
      </c>
      <c r="T335" t="n">
        <v>0</v>
      </c>
      <c r="V335" t="n">
        <v>0</v>
      </c>
    </row>
    <row r="336">
      <c r="A336">
        <f>Skills!A23</f>
        <v/>
      </c>
      <c r="B336">
        <f>Skills!B23</f>
        <v/>
      </c>
      <c r="C336">
        <f>Inputs!$B$3&gt;=120</f>
        <v/>
      </c>
      <c r="D336">
        <f>IF(Skills!C23=1,60+Inputs!$B$25+Inputs!$B$29,IF(Skills!C23=2,90+Inputs!$B$26+Inputs!$B$29,IF(Skills!C23=3,120+Inputs!$B$27+Inputs!$B$29,MAX(0,(Inputs!$B$3-100)*3)+Inputs!$B$28+Inputs!$B$29)))</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f>(1-Summary!$B$55)*T336+Summary!$B$55*V336</f>
        <v/>
      </c>
      <c r="P336">
        <f>IF(B350=0,0,O336/B350)</f>
        <v/>
      </c>
      <c r="Q336" t="n">
        <v>0</v>
      </c>
      <c r="R336" t="n">
        <v>0</v>
      </c>
      <c r="S336">
        <f>IFERROR(O336/N336,0)</f>
        <v/>
      </c>
      <c r="T336" t="n">
        <v>0</v>
      </c>
      <c r="V336" t="n">
        <v>0</v>
      </c>
    </row>
    <row r="337">
      <c r="A337">
        <f>Skills!A24</f>
        <v/>
      </c>
      <c r="B337">
        <f>Skills!B24</f>
        <v/>
      </c>
      <c r="C337">
        <f>Inputs!$B$3&gt;=120</f>
        <v/>
      </c>
      <c r="D337">
        <f>IF(Skills!C24=1,60+Inputs!$B$25+Inputs!$B$29,IF(Skills!C24=2,90+Inputs!$B$26+Inputs!$B$29,IF(Skills!C24=3,120+Inputs!$B$27+Inputs!$B$29,MAX(0,(Inputs!$B$3-100)*3)+Inputs!$B$28+Inputs!$B$29)))</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f>(1-Summary!$B$55)*T337+Summary!$B$55*V337</f>
        <v/>
      </c>
      <c r="P337">
        <f>IF(B350=0,0,O337/B350)</f>
        <v/>
      </c>
      <c r="Q337" t="n">
        <v>0</v>
      </c>
      <c r="R337" t="n">
        <v>0</v>
      </c>
      <c r="S337">
        <f>IFERROR(O337/N337,0)</f>
        <v/>
      </c>
      <c r="T337" t="n">
        <v>0</v>
      </c>
      <c r="V337" t="n">
        <v>0</v>
      </c>
    </row>
    <row r="339">
      <c r="A339" t="inlineStr">
        <is>
          <t>Attack% Bucket Multiplier</t>
        </is>
      </c>
      <c r="B339">
        <f>(1+(((C326=TRUE)*F326*MIN(1,Skills!T13*(Skills!J13/100)*B344))+((C331=TRUE)*F331*IF(AND(Inputs!$B$38&lt;&gt;"pvp",Inputs!$B$43&gt;0),(((R331-1)*(Skills!T18*(1+Inputs!$B$34/100))+MIN((Skills!T18*(1+Inputs!$B$34/100)),MAX(0,Inputs!$B$43-((R331-1)*Skills!D18))))/Inputs!$B$43),IF(Inputs!$B$38="pvp",MIN((Skills!T18*(1+Inputs!$B$34/100)),15)/15,(Skills!T18*(1+Inputs!$B$34/100))/Skills!D18)))+0)/100)</f>
        <v/>
      </c>
    </row>
    <row r="340">
      <c r="A340" t="inlineStr">
        <is>
          <t>Global Crit Rate Bonus %</t>
        </is>
      </c>
      <c r="B340" t="n">
        <v>0</v>
      </c>
    </row>
    <row r="341">
      <c r="A341" t="inlineStr">
        <is>
          <t>Attack Speed Buff Bonus %</t>
        </is>
      </c>
      <c r="B341">
        <f>((C332=TRUE)*F332*IF(AND(Inputs!$B$38&lt;&gt;"pvp",Inputs!$B$43&gt;0),(((R332-1)*(Skills!T19*(1+Inputs!$B$34/100))+MIN((Skills!T19*(1+Inputs!$B$34/100)),MAX(0,Inputs!$B$43-((R332-1)*Skills!D19))))/Inputs!$B$43),IF(Inputs!$B$38="pvp",MIN((Skills!T19*(1+Inputs!$B$34/100)),15)/15,(Skills!T19*(1+Inputs!$B$34/100))/Skills!D19)))</f>
        <v/>
      </c>
    </row>
    <row r="342">
      <c r="A342" t="inlineStr">
        <is>
          <t>Actions Per Second</t>
        </is>
      </c>
      <c r="B342">
        <f>1+MIN(150,150*(1-(1-(Inputs!$B$11+((C333=TRUE)*(F333-Calc!F20)))/150)*(1-B341/150)))/100</f>
        <v/>
      </c>
    </row>
    <row r="343">
      <c r="A343" t="inlineStr">
        <is>
          <t>Skill + Buff Cast Rate</t>
        </is>
      </c>
      <c r="B343">
        <f>IF(AND(Inputs!$B$38&lt;&gt;"pvp",Inputs!$B$43&gt;0),SUMPRODUCT((Skills!E2:E24=TRUE)*(C315:C337=TRUE)*R315:R337*Skills!F2:F24)/Inputs!$B$43,SUMPRODUCT((Skills!E2:E24=TRUE)*(C315:C337=TRUE)*Q315:Q337*Skills!F2:F24))</f>
        <v/>
      </c>
    </row>
    <row r="344">
      <c r="A344" t="inlineStr">
        <is>
          <t>Blast Casts Per Second</t>
        </is>
      </c>
      <c r="B344">
        <f>MAX(0,B342-B343)</f>
        <v/>
      </c>
    </row>
    <row r="345">
      <c r="A345" t="inlineStr">
        <is>
          <t>Global Critical Damage Bonus % (unused)</t>
        </is>
      </c>
      <c r="B345" t="n">
        <v>0</v>
      </c>
    </row>
    <row r="346">
      <c r="A346" t="inlineStr">
        <is>
          <t>Global Final Damage Bonus % (Divine Shield + Guardian + Divine Blessing + Greater Vessel of Light)</t>
        </is>
      </c>
      <c r="B346">
        <f>((C328=TRUE)*F328*IF(AND(Inputs!$B$38&lt;&gt;"pvp",Inputs!$B$43&gt;0),(((R328-1)*(Skills!T15*(1+Inputs!$B$34/100))+MIN((Skills!T15*(1+Inputs!$B$34/100)),MAX(0,Inputs!$B$43-((R328-1)*Skills!D15))))/Inputs!$B$43),IF(Inputs!$B$38="pvp",MIN((Skills!T15*(1+Inputs!$B$34/100)),15)/15,(Skills!T15*(1+Inputs!$B$34/100))/Skills!D15)))+((C329=TRUE)*F329*IF(AND(Inputs!$B$38&lt;&gt;"pvp",Inputs!$B$43&gt;0),(((R329-1)*(Skills!T16*(1+Inputs!$B$34/100))+MIN((Skills!T16*(1+Inputs!$B$34/100)),MAX(0,Inputs!$B$43-((R329-1)*Skills!D16))))/Inputs!$B$43),IF(Inputs!$B$38="pvp",MIN((Skills!T16*(1+Inputs!$B$34/100)),15)/15,(Skills!T16*(1+Inputs!$B$34/100))/Skills!D16)))+((C330=TRUE)*F330*IF(AND(Inputs!$B$38&lt;&gt;"pvp",Inputs!$B$43&gt;0),(((R330-1)*(Skills!T17*(1+Inputs!$B$34/100))+MIN((Skills!T17*(1+Inputs!$B$34/100)),MAX(0,Inputs!$B$43-((R330-1)*Skills!D17))))/Inputs!$B$43),IF(Inputs!$B$38="pvp",MIN((Skills!T17*(1+Inputs!$B$34/100)),15)/15,(Skills!T17*(1+Inputs!$B$34/100))/Skills!D17)))+((C327=TRUE)*F327*MIN(1,Skills!T13*(Skills!J13/100)*B344))</f>
        <v/>
      </c>
    </row>
    <row r="347">
      <c r="A347" t="inlineStr">
        <is>
          <t>Buff-Casting Startup Delay (s, fixed-duration only)</t>
        </is>
      </c>
      <c r="B347">
        <f>IF(AND(Inputs!$B$38&lt;&gt;"pvp",Inputs!$B$43&gt;0),SUMPRODUCT((Skills!T2:T24&gt;0)*(Skills!E2:E24=TRUE)*(C315:C337=TRUE))/B342,0)</f>
        <v/>
      </c>
    </row>
    <row r="348">
      <c r="A348" t="inlineStr">
        <is>
          <t>Boss-Only Total DPS (this block's swept value)</t>
        </is>
      </c>
      <c r="B348">
        <f>SUM(T315:T337)</f>
        <v/>
      </c>
    </row>
    <row r="349">
      <c r="A349" t="inlineStr">
        <is>
          <t>Normal-Only Total DPS (this block's swept value)</t>
        </is>
      </c>
      <c r="B349">
        <f>SUM(V315:V337)</f>
        <v/>
      </c>
    </row>
    <row r="350">
      <c r="A350" s="5" t="inlineStr">
        <is>
          <t>TOTAL DPS</t>
        </is>
      </c>
      <c r="B350" s="5">
        <f>SUM(O315:O337)</f>
        <v/>
      </c>
    </row>
    <row r="353">
      <c r="A353" s="5" t="inlineStr">
        <is>
          <t>Stat: MIN_DAMAGE %</t>
        </is>
      </c>
    </row>
    <row r="354">
      <c r="A354" s="9" t="inlineStr">
        <is>
          <t>Key</t>
        </is>
      </c>
      <c r="B354" s="9" t="inlineStr">
        <is>
          <t>Name</t>
        </is>
      </c>
      <c r="C354" s="9" t="inlineStr">
        <is>
          <t>Unlocked</t>
        </is>
      </c>
      <c r="D354" s="9" t="inlineStr">
        <is>
          <t>InputLevel</t>
        </is>
      </c>
      <c r="E354" s="9" t="inlineStr">
        <is>
          <t>Factor</t>
        </is>
      </c>
      <c r="F354" s="9" t="inlineStr">
        <is>
          <t>CoefficientPercent</t>
        </is>
      </c>
      <c r="G354" s="9" t="inlineStr">
        <is>
          <t>EffectiveHits</t>
        </is>
      </c>
      <c r="H354" s="9" t="inlineStr">
        <is>
          <t>ProcProbability</t>
        </is>
      </c>
      <c r="I354" s="9" t="inlineStr">
        <is>
          <t>MapleHeroMultiplier</t>
        </is>
      </c>
      <c r="J354" s="9" t="inlineStr">
        <is>
          <t>BaseDamage</t>
        </is>
      </c>
      <c r="K354" s="9" t="inlineStr">
        <is>
          <t>BaseHitDamage</t>
        </is>
      </c>
      <c r="L354" s="9" t="inlineStr">
        <is>
          <t>NonCritAvg</t>
        </is>
      </c>
      <c r="M354" s="9" t="inlineStr">
        <is>
          <t>CritAvg</t>
        </is>
      </c>
      <c r="N354" s="9" t="inlineStr">
        <is>
          <t>ExpectedDamage(perHit)</t>
        </is>
      </c>
      <c r="O354" s="9" t="inlineStr">
        <is>
          <t>DPS</t>
        </is>
      </c>
      <c r="P354" s="9" t="inlineStr">
        <is>
          <t>% of Total</t>
        </is>
      </c>
      <c r="Q354" s="9" t="inlineStr">
        <is>
          <t>InvCooldown</t>
        </is>
      </c>
      <c r="R354" s="9" t="inlineStr">
        <is>
          <t>CastsInFight</t>
        </is>
      </c>
      <c r="S354" s="9"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nputs!$B$16/100)*(5000/(6000+Inputs!$B$42*(1-(Inputs!$B$19+0)/100)))*(1+(Inputs!$B$24+0+B386)/100)*(1+(IF(Skills!A2="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355)</f>
        <v/>
      </c>
      <c r="L355">
        <f>K355*(MIN((Inputs!$B$22+1)+((C375=TRUE)*(F375-Calc!F22)),Inputs!$B$23+((C377=TRUE)*(F377-Calc!F24)))/100+(Inputs!$B$23+((C377=TRUE)*(F377-Calc!F24)))/100)/2</f>
        <v/>
      </c>
      <c r="M355">
        <f>L355*(1+(Inputs!$B$10+0+B385)/100)</f>
        <v/>
      </c>
      <c r="N355">
        <f>L355*(1-MIN((Inputs!$B$9+0+B380),100)/100)+M355*(MIN((Inputs!$B$9+0+B380),100)/100)</f>
        <v/>
      </c>
      <c r="O355">
        <f>(1-Summary!$B$55)*T355+Summary!$B$55*V355</f>
        <v/>
      </c>
      <c r="P355">
        <f>IF(B390=0,0,O355/B390)</f>
        <v/>
      </c>
      <c r="Q355" t="n">
        <v>0</v>
      </c>
      <c r="R355" t="n">
        <v>0</v>
      </c>
      <c r="S355">
        <f>IFERROR(O355/N355,0)</f>
        <v/>
      </c>
      <c r="T355">
        <f>IF(C355,(Skills!G2*N355*B384)*IF(Inputs!$B$38="pvp",1,1+(Inputs!$B$20+0+Skills!P2)/100),0)</f>
        <v/>
      </c>
      <c r="U355">
        <f>MAX(0,(Inputs!$B$3-100)*3)+Inputs!$B$28+Inputs!$B$29</f>
        <v/>
      </c>
      <c r="V355">
        <f>IF(C355,(Skills!G2*N355*B384)*IF(Inputs!$B$38="pvp",1,(1+(Inputs!$B$21+Skills!Q2)/100)*(MIN((6+Inputs!$B$33),Inputs!$B$37))),0)</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Inputs!$B$3&gt;=35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f>Skills!G4*IF(Skills!H4&gt;0,Skills!I4/Skills!H4,1)</f>
        <v/>
      </c>
      <c r="H357">
        <f>1-(1-Skills!J4/100)^Skills!K4</f>
        <v/>
      </c>
      <c r="I357" t="inlineStr">
        <is>
          <t>1</t>
        </is>
      </c>
      <c r="J357">
        <f>((Inputs!$B$6*(1+Inputs!$B$7/100))+(((Inputs!$B$12*(1+Inputs!$B$13/100))-(Inputs!$B$12*(1+Inputs!$B$13/100)))+0.25*(Inputs!$B$14-Inputs!$B$14))*(1+Inputs!$B$7/100))*(F357/100)</f>
        <v/>
      </c>
      <c r="K357">
        <f>J357*(1+((Inputs!$B$12*(1+Inputs!$B$13/100))*0.01+Inputs!$B$14*0.0025)/100)*(1+Inputs!$B$15/100)*(1+Inputs!$B$16/100)*(5000/(6000+Inputs!$B$42*(1-(Inputs!$B$19+0)/100)))*(1+(Inputs!$B$24+0+B386)/100)*(1+4.0*IF(C365=TRUE,F365,0)/100)*(1+(IF(Skills!A4="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357)</f>
        <v/>
      </c>
      <c r="L357">
        <f>K357*(MIN((Inputs!$B$22+1)+((C375=TRUE)*(F375-Calc!F22)),Inputs!$B$23+((C377=TRUE)*(F377-Calc!F24)))/100+(Inputs!$B$23+((C377=TRUE)*(F377-Calc!F24)))/100)/2</f>
        <v/>
      </c>
      <c r="M357">
        <f>L357*(1+(Inputs!$B$10+0+B385)/100)</f>
        <v/>
      </c>
      <c r="N357">
        <f>L357*(1-MIN((Inputs!$B$9+0+B380),100)/100)+M357*(MIN((Inputs!$B$9+0+B380),100)/100)</f>
        <v/>
      </c>
      <c r="O357">
        <f>(1-Summary!$B$55)*T357+Summary!$B$55*V357</f>
        <v/>
      </c>
      <c r="P357">
        <f>IF(B390=0,0,O357/B390)</f>
        <v/>
      </c>
      <c r="Q357">
        <f>IFERROR(1/IF(Inputs!$B$38="pvp",15,MAX(0.1,Skills!D4-IF(Skills!E4=TRUE,Inputs!$B$32,0))),0)</f>
        <v/>
      </c>
      <c r="R357">
        <f>IF(AND(Inputs!$B$38&lt;&gt;"pvp",Inputs!$B$43&gt;0),IF(MAX(0,Inputs!$B$43-B387)&lt;=0,0,(INT(MAX(0,Inputs!$B$43-B387)/IF(Inputs!$B$38="pvp",15,MAX(0.1,Skills!D4-IF(Skills!E4=TRUE,Inputs!$B$32,0))))+1)),0)</f>
        <v/>
      </c>
      <c r="S357">
        <f>IFERROR(O357/N357,0)</f>
        <v/>
      </c>
      <c r="T357">
        <f>IF(C357,(H357*N357*IF(AND(Inputs!$B$38&lt;&gt;"pvp",Inputs!$B$43&gt;0),((Skills!G4*((R357-1)*IF(Skills!H4&gt;0,Skills!I4/Skills!H4,1)+IF(Skills!H4&gt;0,MIN(Skills!I4,MAX(0,MAX(0,Inputs!$B$43-B387)-((R357-1)*IF(Inputs!$B$38="pvp",15,MAX(0.1,Skills!D4-IF(Skills!E4=TRUE,Inputs!$B$32,0))))))/Skills!H4,1)))/Inputs!$B$43),G357*Q357))*IF(Inputs!$B$38="pvp",1,1+(Inputs!$B$20+0+Skills!P4)/100),0)</f>
        <v/>
      </c>
      <c r="U357">
        <f>290*U356/1000</f>
        <v/>
      </c>
      <c r="V357">
        <f>IF(C357,(H357*N357*IF(AND(Inputs!$B$38&lt;&gt;"pvp",Inputs!$B$43&gt;0),((Skills!G4*((R357-1)*IF(Skills!H4&gt;0,Skills!I4/Skills!H4,1)+IF(Skills!H4&gt;0,MIN(Skills!I4,MAX(0,MAX(0,Inputs!$B$43-B387)-((R357-1)*IF(Inputs!$B$38="pvp",15,MAX(0.1,Skills!D4-IF(Skills!E4=TRUE,Inputs!$B$32,0))))))/Skills!H4,1)))/Inputs!$B$43),G357*Q357))*IF(Inputs!$B$38="pvp",1,(1+(Inputs!$B$21+Skills!Q4)/100)*(MIN(Skills!R4,Inputs!$B$37))),0)</f>
        <v/>
      </c>
    </row>
    <row r="358">
      <c r="A358">
        <f>Skills!A5</f>
        <v/>
      </c>
      <c r="B358">
        <f>Skills!B5</f>
        <v/>
      </c>
      <c r="C358">
        <f>Inputs!$B$3&gt;=66</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nputs!$B$16/100)*(5000/(6000+Inputs!$B$42*(1-(Inputs!$B$19+0)/100)))*(1+(Inputs!$B$24+0+B386)/100)*(1+1.0*IF(C365=TRUE,F365,0)/100)*(1+(IF(Skills!A5="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358)</f>
        <v/>
      </c>
      <c r="L358">
        <f>K358*(MIN((Inputs!$B$22+1)+((C375=TRUE)*(F375-Calc!F22)),Inputs!$B$23+((C377=TRUE)*(F377-Calc!F24)))/100+(Inputs!$B$23+((C377=TRUE)*(F377-Calc!F24)))/100)/2</f>
        <v/>
      </c>
      <c r="M358">
        <f>L358*(1+(Inputs!$B$10+0+B385)/100)</f>
        <v/>
      </c>
      <c r="N358">
        <f>L358*(1-MIN((Inputs!$B$9+0+B380),100)/100)+M358*(MIN((Inputs!$B$9+0+B380),100)/100)</f>
        <v/>
      </c>
      <c r="O358">
        <f>(1-Summary!$B$55)*T358+Summary!$B$55*V358</f>
        <v/>
      </c>
      <c r="P358">
        <f>IF(B390=0,0,O358/B390)</f>
        <v/>
      </c>
      <c r="Q358">
        <f>IFERROR(1/IF(Inputs!$B$38="pvp",15,MAX(0.1,Skills!D5-IF(Skills!E5=TRUE,Inputs!$B$32,0))),0)</f>
        <v/>
      </c>
      <c r="R358">
        <f>IF(AND(Inputs!$B$38&lt;&gt;"pvp",Inputs!$B$43&gt;0),IF(MAX(0,Inputs!$B$43-B387)&lt;=0,0,(INT(MAX(0,Inputs!$B$43-B387)/IF(Inputs!$B$38="pvp",15,MAX(0.1,Skills!D5-IF(Skills!E5=TRUE,Inputs!$B$32,0))))+1)),0)</f>
        <v/>
      </c>
      <c r="S358">
        <f>IFERROR(O358/N358,0)</f>
        <v/>
      </c>
      <c r="T358">
        <f>IF(C358,(H358*N358*IF(AND(Inputs!$B$38&lt;&gt;"pvp",Inputs!$B$43&gt;0),((Skills!G5*((R358-1)*IF(Skills!H5&gt;0,Skills!I5/Skills!H5,1)+IF(Skills!H5&gt;0,MIN(Skills!I5,MAX(0,MAX(0,Inputs!$B$43-B387)-((R358-1)*IF(Inputs!$B$38="pvp",15,MAX(0.1,Skills!D5-IF(Skills!E5=TRUE,Inputs!$B$32,0))))))/Skills!H5,1)))/Inputs!$B$43),G358*Q358))*IF(Inputs!$B$38="pvp",1,1+(Inputs!$B$20+0+Skills!P5)/100),0)</f>
        <v/>
      </c>
      <c r="V358">
        <f>IF(C358,(H358*N358*IF(AND(Inputs!$B$38&lt;&gt;"pvp",Inputs!$B$43&gt;0),((Skills!G5*((R358-1)*IF(Skills!H5&gt;0,Skills!I5/Skills!H5,1)+IF(Skills!H5&gt;0,MIN(Skills!I5,MAX(0,MAX(0,Inputs!$B$43-B387)-((R358-1)*IF(Inputs!$B$38="pvp",15,MAX(0.1,Skills!D5-IF(Skills!E5=TRUE,Inputs!$B$32,0))))))/Skills!H5,1)))/Inputs!$B$43),G358*Q358))*IF(Inputs!$B$38="pvp",1,(1+(Inputs!$B$21+Skills!Q5)/100)*(MIN(Skills!R5,Inputs!$B$37))),0)</f>
        <v/>
      </c>
    </row>
    <row r="359">
      <c r="A359">
        <f>Skills!A6</f>
        <v/>
      </c>
      <c r="B359">
        <f>Skills!B6</f>
        <v/>
      </c>
      <c r="C359">
        <f>Inputs!$B$3&gt;=103</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nputs!$B$16/100)*(5000/(6000+Inputs!$B$42*(1-(Inputs!$B$19+0)/100)))*(1+(Inputs!$B$24+0+B386)/100)*(1+(IF(Skills!A6="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359)</f>
        <v/>
      </c>
      <c r="L359">
        <f>K359*(MIN((Inputs!$B$22+1)+((C375=TRUE)*(F375-Calc!F22)),Inputs!$B$23+((C377=TRUE)*(F377-Calc!F24)))/100+(Inputs!$B$23+((C377=TRUE)*(F377-Calc!F24)))/100)/2</f>
        <v/>
      </c>
      <c r="M359">
        <f>L359*(1+(Inputs!$B$10+0+B385)/100)</f>
        <v/>
      </c>
      <c r="N359">
        <f>L359*(1-MIN((Inputs!$B$9+0+B380),100)/100)+M359*(MIN((Inputs!$B$9+0+B380),100)/100)</f>
        <v/>
      </c>
      <c r="O359">
        <f>(1-Summary!$B$55)*T359+Summary!$B$55*V359</f>
        <v/>
      </c>
      <c r="P359">
        <f>IF(B390=0,0,O359/B390)</f>
        <v/>
      </c>
      <c r="Q359">
        <f>IFERROR(1/IF(Inputs!$B$38="pvp",15,MAX(0.1,Skills!D6-IF(Skills!E6=TRUE,Inputs!$B$32,0))),0)</f>
        <v/>
      </c>
      <c r="R359">
        <f>IF(AND(Inputs!$B$38&lt;&gt;"pvp",Inputs!$B$43&gt;0),IF(MAX(0,Inputs!$B$43-B387)&lt;=0,0,(INT(MAX(0,Inputs!$B$43-B387)/IF(Inputs!$B$38="pvp",15,MAX(0.1,Skills!D6-IF(Skills!E6=TRUE,Inputs!$B$32,0))))+1)),0)</f>
        <v/>
      </c>
      <c r="S359">
        <f>IFERROR(O359/N359,0)</f>
        <v/>
      </c>
      <c r="T359">
        <f>IF(C359,(H359*N359*IF(AND(Inputs!$B$38&lt;&gt;"pvp",Inputs!$B$43&gt;0),((Skills!G6*((R359-1)*IF(Skills!H6&gt;0,Skills!I6/Skills!H6,1)+IF(Skills!H6&gt;0,MIN(Skills!I6,MAX(0,MAX(0,Inputs!$B$43-B387)-((R359-1)*IF(Inputs!$B$38="pvp",15,MAX(0.1,Skills!D6-IF(Skills!E6=TRUE,Inputs!$B$32,0))))))/Skills!H6,1)))/Inputs!$B$43),G359*Q359))*IF(Inputs!$B$38="pvp",1,1+(Inputs!$B$20+0+Skills!P6)/100),0)</f>
        <v/>
      </c>
      <c r="V359">
        <f>IF(C359,(H359*N359*IF(AND(Inputs!$B$38&lt;&gt;"pvp",Inputs!$B$43&gt;0),((Skills!G6*((R359-1)*IF(Skills!H6&gt;0,Skills!I6/Skills!H6,1)+IF(Skills!H6&gt;0,MIN(Skills!I6,MAX(0,MAX(0,Inputs!$B$43-B387)-((R359-1)*IF(Inputs!$B$38="pvp",15,MAX(0.1,Skills!D6-IF(Skills!E6=TRUE,Inputs!$B$32,0))))))/Skills!H6,1)))/Inputs!$B$43),G359*Q359))*IF(Inputs!$B$38="pvp",1,(1+(Inputs!$B$21+Skills!Q6)/100)*(MIN(Skills!R6,Inputs!$B$37))),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((Inputs!$B$6*(1+Inputs!$B$7/100))+(((Inputs!$B$12*(1+Inputs!$B$13/100))-(Inputs!$B$12*(1+Inputs!$B$13/100)))+0.25*(Inputs!$B$14-Inputs!$B$14))*(1+Inputs!$B$7/100))*(F360/100)</f>
        <v/>
      </c>
      <c r="K360">
        <f>J360*(1+((Inputs!$B$12*(1+Inputs!$B$13/100))*0.01+Inputs!$B$14*0.0025)/100)*(1+Inputs!$B$15/100)*(1+Inputs!$B$16/100)*(5000/(6000+Inputs!$B$42*(1-(Inputs!$B$19+0)/100)))*(1+(Inputs!$B$24+0+B386)/100)*(1+(IF(Skills!A7="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360)</f>
        <v/>
      </c>
      <c r="L360">
        <f>K360*(MIN((Inputs!$B$22+1)+((C375=TRUE)*(F375-Calc!F22)),Inputs!$B$23+((C377=TRUE)*(F377-Calc!F24)))/100+(Inputs!$B$23+((C377=TRUE)*(F377-Calc!F24)))/100)/2</f>
        <v/>
      </c>
      <c r="M360">
        <f>L360*(1+(Inputs!$B$10+0+B385)/100)</f>
        <v/>
      </c>
      <c r="N360">
        <f>L360*(1-MIN((Inputs!$B$9+0+B380),100)/100)+M360*(MIN((Inputs!$B$9+0+B380),100)/100)</f>
        <v/>
      </c>
      <c r="O360">
        <f>(1-Summary!$B$55)*T360+Summary!$B$55*V360</f>
        <v/>
      </c>
      <c r="P360">
        <f>IF(B390=0,0,O360/B390)</f>
        <v/>
      </c>
      <c r="Q360">
        <f>IFERROR(1/IF(Inputs!$B$38="pvp",15,MAX(0.1,Skills!D7-IF(Skills!E7=TRUE,Inputs!$B$32,0))),0)</f>
        <v/>
      </c>
      <c r="R360">
        <f>IF(AND(Inputs!$B$38&lt;&gt;"pvp",Inputs!$B$43&gt;0),IF(MAX(0,Inputs!$B$43-B387)&lt;=0,0,(INT(MAX(0,Inputs!$B$43-B387)/IF(Inputs!$B$38="pvp",15,MAX(0.1,Skills!D7-IF(Skills!E7=TRUE,Inputs!$B$32,0))))+1)),0)</f>
        <v/>
      </c>
      <c r="S360">
        <f>IFERROR(O360/N360,0)</f>
        <v/>
      </c>
      <c r="T360">
        <f>IF(C360,(H360*N360*IF(AND(Inputs!$B$38&lt;&gt;"pvp",Inputs!$B$43&gt;0),((Skills!G7*((R360-1)*IF(Skills!H7&gt;0,Skills!I7/Skills!H7,1)+IF(Skills!H7&gt;0,MIN(Skills!I7,MAX(0,MAX(0,Inputs!$B$43-B387)-((R360-1)*IF(Inputs!$B$38="pvp",15,MAX(0.1,Skills!D7-IF(Skills!E7=TRUE,Inputs!$B$32,0))))))/Skills!H7,1)))/Inputs!$B$43),G360*Q360))*IF(Inputs!$B$38="pvp",1,1+(Inputs!$B$20+0+Skills!P7)/100),0)</f>
        <v/>
      </c>
      <c r="V360">
        <f>IF(C360,(H360*N360*IF(AND(Inputs!$B$38&lt;&gt;"pvp",Inputs!$B$43&gt;0),((Skills!G7*((R360-1)*IF(Skills!H7&gt;0,Skills!I7/Skills!H7,1)+IF(Skills!H7&gt;0,MIN(Skills!I7,MAX(0,MAX(0,Inputs!$B$43-B387)-((R360-1)*IF(Inputs!$B$38="pvp",15,MAX(0.1,Skills!D7-IF(Skills!E7=TRUE,Inputs!$B$32,0))))))/Skills!H7,1)))/Inputs!$B$43),G360*Q360))*IF(Inputs!$B$38="pvp",1,(1+(Inputs!$B$21+Skills!Q7)/100)*(MIN(Skills!R7,Inputs!$B$37))),0)</f>
        <v/>
      </c>
    </row>
    <row r="361">
      <c r="A361">
        <f>Skills!A8</f>
        <v/>
      </c>
      <c r="B361">
        <f>Skills!B8</f>
        <v/>
      </c>
      <c r="C361">
        <f>Inputs!$B$3&gt;=107</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nputs!$B$16/100)*(5000/(6000+Inputs!$B$42*(1-(Inputs!$B$19+0)/100)))*(1+(Inputs!$B$24+0+B386)/100)*(1+(IF(Skills!A8="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361)</f>
        <v/>
      </c>
      <c r="L361">
        <f>K361*(MIN((Inputs!$B$22+1)+((C375=TRUE)*(F375-Calc!F22)),Inputs!$B$23+((C377=TRUE)*(F377-Calc!F24)))/100+(Inputs!$B$23+((C377=TRUE)*(F377-Calc!F24)))/100)/2</f>
        <v/>
      </c>
      <c r="M361">
        <f>L361*(1+(Inputs!$B$10+0+B385)/100)</f>
        <v/>
      </c>
      <c r="N361">
        <f>L361*(1-MIN((Inputs!$B$9+0+B380),100)/100)+M361*(MIN((Inputs!$B$9+0+B380),100)/100)</f>
        <v/>
      </c>
      <c r="O361">
        <f>(1-Summary!$B$55)*T361+Summary!$B$55*V361</f>
        <v/>
      </c>
      <c r="P361">
        <f>IF(B390=0,0,O361/B390)</f>
        <v/>
      </c>
      <c r="Q361">
        <f>IFERROR(1/IF(Inputs!$B$38="pvp",15,MAX(0.1,Skills!D8-IF(Skills!E8=TRUE,Inputs!$B$32,0))),0)</f>
        <v/>
      </c>
      <c r="R361">
        <f>IF(AND(Inputs!$B$38&lt;&gt;"pvp",Inputs!$B$43&gt;0),IF(MAX(0,Inputs!$B$43-B387)&lt;=0,0,(INT(MAX(0,Inputs!$B$43-B387)/IF(Inputs!$B$38="pvp",15,MAX(0.1,Skills!D8-IF(Skills!E8=TRUE,Inputs!$B$32,0))))+1)),0)</f>
        <v/>
      </c>
      <c r="S361">
        <f>IFERROR(O361/N361,0)</f>
        <v/>
      </c>
      <c r="T361">
        <f>IF(C361,(H361*N361*IF(AND(Inputs!$B$38&lt;&gt;"pvp",Inputs!$B$43&gt;0),((Skills!G8*((R361-1)*IF(Skills!H8&gt;0,Skills!I8/Skills!H8,1)+IF(Skills!H8&gt;0,MIN(Skills!I8,MAX(0,MAX(0,Inputs!$B$43-B387)-((R361-1)*IF(Inputs!$B$38="pvp",15,MAX(0.1,Skills!D8-IF(Skills!E8=TRUE,Inputs!$B$32,0))))))/Skills!H8,1)))/Inputs!$B$43),G361*Q361))*IF(Inputs!$B$38="pvp",1,1+(Inputs!$B$20+0+Skills!P8)/100),0)</f>
        <v/>
      </c>
      <c r="V361">
        <f>IF(C361,(H361*N361*IF(AND(Inputs!$B$38&lt;&gt;"pvp",Inputs!$B$43&gt;0),((Skills!G8*((R361-1)*IF(Skills!H8&gt;0,Skills!I8/Skills!H8,1)+IF(Skills!H8&gt;0,MIN(Skills!I8,MAX(0,MAX(0,Inputs!$B$43-B387)-((R361-1)*IF(Inputs!$B$38="pvp",15,MAX(0.1,Skills!D8-IF(Skills!E8=TRUE,Inputs!$B$32,0))))))/Skills!H8,1)))/Inputs!$B$43),G361*Q361))*IF(Inputs!$B$38="pvp",1,(1+(Inputs!$B$21+Skills!Q8)/100)*(MIN(Skills!R8,Inputs!$B$37))),0)</f>
        <v/>
      </c>
    </row>
    <row r="362">
      <c r="A362">
        <f>Skills!A9</f>
        <v/>
      </c>
      <c r="B362">
        <f>Skills!B9</f>
        <v/>
      </c>
      <c r="C362">
        <f>Inputs!$B$3&gt;=125</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nputs!$B$16/100)*(5000/(6000+Inputs!$B$42*(1-(Inputs!$B$19+0)/100)))*(1+(Inputs!$B$24+0+B386)/100)*(1+(IF(Skills!A9="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362)</f>
        <v/>
      </c>
      <c r="L362">
        <f>K362*(MIN((Inputs!$B$22+1)+((C375=TRUE)*(F375-Calc!F22)),Inputs!$B$23+((C377=TRUE)*(F377-Calc!F24)))/100+(Inputs!$B$23+((C377=TRUE)*(F377-Calc!F24)))/100)/2</f>
        <v/>
      </c>
      <c r="M362">
        <f>L362*(1+(Inputs!$B$10+0+B385)/100)</f>
        <v/>
      </c>
      <c r="N362">
        <f>L362*(1-MIN((Inputs!$B$9+0+B380),100)/100)+M362*(MIN((Inputs!$B$9+0+B380),100)/100)</f>
        <v/>
      </c>
      <c r="O362">
        <f>(1-Summary!$B$55)*T362+Summary!$B$55*V362</f>
        <v/>
      </c>
      <c r="P362">
        <f>IF(B390=0,0,O362/B390)</f>
        <v/>
      </c>
      <c r="Q362">
        <f>IFERROR(1/IF(Inputs!$B$38="pvp",15,MAX(0.1,Skills!D9-IF(Skills!E9=TRUE,Inputs!$B$32,0))),0)</f>
        <v/>
      </c>
      <c r="R362">
        <f>IF(AND(Inputs!$B$38&lt;&gt;"pvp",Inputs!$B$43&gt;0),IF(MAX(0,Inputs!$B$43-B387)&lt;=0,0,(INT(MAX(0,Inputs!$B$43-B387)/IF(Inputs!$B$38="pvp",15,MAX(0.1,Skills!D9-IF(Skills!E9=TRUE,Inputs!$B$32,0))))+1)),0)</f>
        <v/>
      </c>
      <c r="S362">
        <f>IFERROR(O362/N362,0)</f>
        <v/>
      </c>
      <c r="T362">
        <f>IF(C362,(H362*N362*IF(AND(Inputs!$B$38&lt;&gt;"pvp",Inputs!$B$43&gt;0),((Skills!G9*((R362-1)*IF(Skills!H9&gt;0,Skills!I9/Skills!H9,1)+IF(Skills!H9&gt;0,MIN(Skills!I9,MAX(0,MAX(0,Inputs!$B$43-B387)-((R362-1)*IF(Inputs!$B$38="pvp",15,MAX(0.1,Skills!D9-IF(Skills!E9=TRUE,Inputs!$B$32,0))))))/Skills!H9,1)))/Inputs!$B$43),G362*Q362))*IF(Inputs!$B$38="pvp",1,1+(Inputs!$B$20+0+Skills!P9)/100),0)</f>
        <v/>
      </c>
      <c r="V362">
        <f>IF(C362,(H362*N362*IF(AND(Inputs!$B$38&lt;&gt;"pvp",Inputs!$B$43&gt;0),((Skills!G9*((R362-1)*IF(Skills!H9&gt;0,Skills!I9/Skills!H9,1)+IF(Skills!H9&gt;0,MIN(Skills!I9,MAX(0,MAX(0,Inputs!$B$43-B387)-((R362-1)*IF(Inputs!$B$38="pvp",15,MAX(0.1,Skills!D9-IF(Skills!E9=TRUE,Inputs!$B$32,0))))))/Skills!H9,1)))/Inputs!$B$43),G362*Q362))*IF(Inputs!$B$38="pvp",1,(1+(Inputs!$B$21+Skills!Q9)/100)*(MIN(Skills!R9,Inputs!$B$37))),0)</f>
        <v/>
      </c>
    </row>
    <row r="363">
      <c r="A363">
        <f>Skills!A10</f>
        <v/>
      </c>
      <c r="B363">
        <f>Skills!B10</f>
        <v/>
      </c>
      <c r="C363">
        <f>Inputs!$B$3&gt;=117</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nputs!$B$16/100)*(5000/(6000+Inputs!$B$42*(1-(Inputs!$B$19+0)/100)))*(1+(Inputs!$B$24+0+B386)/100)*(1+(IF(Skills!A10="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363)</f>
        <v/>
      </c>
      <c r="L363">
        <f>K363*(MIN((Inputs!$B$22+1)+((C375=TRUE)*(F375-Calc!F22)),Inputs!$B$23+((C377=TRUE)*(F377-Calc!F24)))/100+(Inputs!$B$23+((C377=TRUE)*(F377-Calc!F24)))/100)/2</f>
        <v/>
      </c>
      <c r="M363">
        <f>L363*(1+(Inputs!$B$10+0+B385)/100)</f>
        <v/>
      </c>
      <c r="N363">
        <f>L363*(1-MIN((Inputs!$B$9+0+B380),100)/100)+M363*(MIN((Inputs!$B$9+0+B380),100)/100)</f>
        <v/>
      </c>
      <c r="O363">
        <f>(1-Summary!$B$55)*T363+Summary!$B$55*V363</f>
        <v/>
      </c>
      <c r="P363">
        <f>IF(B390=0,0,O363/B390)</f>
        <v/>
      </c>
      <c r="Q363">
        <f>IFERROR(1/IF(Inputs!$B$38="pvp",15,MAX(0.1,Skills!D10-IF(Skills!E10=TRUE,Inputs!$B$32,0))),0)</f>
        <v/>
      </c>
      <c r="R363">
        <f>IF(AND(Inputs!$B$38&lt;&gt;"pvp",Inputs!$B$43&gt;0),IF(MAX(0,Inputs!$B$43-B387)&lt;=0,0,(INT(MAX(0,Inputs!$B$43-B387)/IF(Inputs!$B$38="pvp",15,MAX(0.1,Skills!D10-IF(Skills!E10=TRUE,Inputs!$B$32,0))))+1)),0)</f>
        <v/>
      </c>
      <c r="S363">
        <f>IFERROR(O363/N363,0)</f>
        <v/>
      </c>
      <c r="T363">
        <f>IF(C363,(H363*N363*IF(AND(Inputs!$B$38&lt;&gt;"pvp",Inputs!$B$43&gt;0),((Skills!G10*((R363-1)*IF(Skills!H10&gt;0,Skills!I10/Skills!H10,1)+IF(Skills!H10&gt;0,MIN(Skills!I10,MAX(0,MAX(0,Inputs!$B$43-B387)-((R363-1)*IF(Inputs!$B$38="pvp",15,MAX(0.1,Skills!D10-IF(Skills!E10=TRUE,Inputs!$B$32,0))))))/Skills!H10,1)))/Inputs!$B$43),G363*Q363))*IF(Inputs!$B$38="pvp",1,1+(Inputs!$B$20+0+Skills!P10)/100),0)</f>
        <v/>
      </c>
      <c r="V363">
        <f>IF(C363,(H363*N363*IF(AND(Inputs!$B$38&lt;&gt;"pvp",Inputs!$B$43&gt;0),((Skills!G10*((R363-1)*IF(Skills!H10&gt;0,Skills!I10/Skills!H10,1)+IF(Skills!H10&gt;0,MIN(Skills!I10,MAX(0,MAX(0,Inputs!$B$43-B387)-((R363-1)*IF(Inputs!$B$38="pvp",15,MAX(0.1,Skills!D10-IF(Skills!E10=TRUE,Inputs!$B$32,0))))))/Skills!H10,1)))/Inputs!$B$43),G363*Q363))*IF(Inputs!$B$38="pvp",1,(1+(Inputs!$B$21+Skills!Q10)/100)*(MIN(Skills!R10,Inputs!$B$37))),0)</f>
        <v/>
      </c>
    </row>
    <row r="364">
      <c r="A364">
        <f>Skills!A11</f>
        <v/>
      </c>
      <c r="B364">
        <f>Skills!B11</f>
        <v/>
      </c>
      <c r="C364">
        <f>Inputs!$B$3&gt;=63</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((Inputs!$B$6*(1+Inputs!$B$7/100))+(((Inputs!$B$12*(1+Inputs!$B$13/100))-(Inputs!$B$12*(1+Inputs!$B$13/100)))+0.25*(Inputs!$B$14-Inputs!$B$14))*(1+Inputs!$B$7/100))*(F364/100)</f>
        <v/>
      </c>
      <c r="K364">
        <f>J364*(1+((Inputs!$B$12*(1+Inputs!$B$13/100))*0.01+Inputs!$B$14*0.0025)/100)*(1+Inputs!$B$15/100)*(1+Inputs!$B$16/100)*(5000/(6000+Inputs!$B$42*(1-(Inputs!$B$19+0)/100)))*(1+(Inputs!$B$24+0+B386)/100)*(1+1.5*IF(C365=TRUE,F365,0)/100)*(1+(IF(Skills!A11="BLAST",Inputs!$B$17+((C374=TRUE)*(F374-Calc!F21)),Inputs!$B$18+((C376=TRUE)*(F376-Calc!F23))))/100)*((1+(((C366=TRUE)*F366*MIN(1,Skills!T13*(Skills!J13/100)*B384))+((C371=TRUE)*F371*IF(AND(Inputs!$B$38&lt;&gt;"pvp",Inputs!$B$43&gt;0),(((R371-1)*(Skills!T18*(1+Inputs!$B$34/100))+MIN((Skills!T18*(1+Inputs!$B$34/100)),MAX(0,Inputs!$B$43-((R371-1)*Skills!D18))))/Inputs!$B$43),IF(Inputs!$B$38="pvp",MIN((Skills!T18*(1+Inputs!$B$34/100)),15)/15,(Skills!T18*(1+Inputs!$B$34/100))/Skills!D18)))+0)/100)*I364)</f>
        <v/>
      </c>
      <c r="L364">
        <f>K364*(MIN((Inputs!$B$22+1)+((C375=TRUE)*(F375-Calc!F22)),Inputs!$B$23+((C377=TRUE)*(F377-Calc!F24)))/100+(Inputs!$B$23+((C377=TRUE)*(F377-Calc!F24)))/100)/2</f>
        <v/>
      </c>
      <c r="M364">
        <f>L364*(1+(Inputs!$B$10+0+B385)/100)</f>
        <v/>
      </c>
      <c r="N364">
        <f>L364*(1-MIN((Inputs!$B$9+0+B380),100)/100)+M364*(MIN((Inputs!$B$9+0+B380),100)/100)</f>
        <v/>
      </c>
      <c r="O364">
        <f>(1-Summary!$B$55)*T364+Summary!$B$55*V364</f>
        <v/>
      </c>
      <c r="P364">
        <f>IF(B390=0,0,O364/B390)</f>
        <v/>
      </c>
      <c r="Q364">
        <f>IFERROR(1/IF(Inputs!$B$38="pvp",15,MAX(0.1,Skills!D11-IF(Skills!E11=TRUE,Inputs!$B$32,0))),0)</f>
        <v/>
      </c>
      <c r="R364">
        <f>IF(AND(Inputs!$B$38&lt;&gt;"pvp",Inputs!$B$43&gt;0),IF(MAX(0,Inputs!$B$43-B387)&lt;=0,0,(INT(MAX(0,Inputs!$B$43-B387)/IF(Inputs!$B$38="pvp",15,MAX(0.1,Skills!D11-IF(Skills!E11=TRUE,Inputs!$B$32,0))))+1)),0)</f>
        <v/>
      </c>
      <c r="S364">
        <f>IFERROR(O364/N364,0)</f>
        <v/>
      </c>
      <c r="T364">
        <f>IF(C364,(H364*N364*IF(AND(Inputs!$B$38&lt;&gt;"pvp",Inputs!$B$43&gt;0),((Skills!G11*((R364-1)*IF(Skills!H11&gt;0,Skills!I11/Skills!H11,1)+IF(Skills!H11&gt;0,MIN(Skills!I11,MAX(0,MAX(0,Inputs!$B$43-B387)-((R364-1)*IF(Inputs!$B$38="pvp",15,MAX(0.1,Skills!D11-IF(Skills!E11=TRUE,Inputs!$B$32,0))))))/Skills!H11,1)))/Inputs!$B$43),G364*Q364))*IF(Inputs!$B$38="pvp",1,1+(Inputs!$B$20+0+Skills!P11)/100),0)</f>
        <v/>
      </c>
      <c r="V364">
        <f>IF(C364,(H364*N364*IF(AND(Inputs!$B$38&lt;&gt;"pvp",Inputs!$B$43&gt;0),((Skills!G11*((R364-1)*IF(Skills!H11&gt;0,Skills!I11/Skills!H11,1)+IF(Skills!H11&gt;0,MIN(Skills!I11,MAX(0,MAX(0,Inputs!$B$43-B387)-((R364-1)*IF(Inputs!$B$38="pvp",15,MAX(0.1,Skills!D11-IF(Skills!E11=TRUE,Inputs!$B$32,0))))))/Skills!H11,1)))/Inputs!$B$43),G364*Q364))*IF(Inputs!$B$38="pvp",1,(1+(Inputs!$B$21+Skills!Q11)/100)*(MIN(Skills!R11,Inputs!$B$37))),0)</f>
        <v/>
      </c>
    </row>
    <row r="365">
      <c r="A365">
        <f>Skills!A12</f>
        <v/>
      </c>
      <c r="B365">
        <f>Skills!B12</f>
        <v/>
      </c>
      <c r="C365">
        <f>Inputs!$B$3&gt;=100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f>(1-Summary!$B$55)*T366+Summary!$B$55*V366</f>
        <v/>
      </c>
      <c r="P366">
        <f>IF(B390=0,0,O366/B390)</f>
        <v/>
      </c>
      <c r="Q366" t="n">
        <v>0</v>
      </c>
      <c r="R366" t="n">
        <v>0</v>
      </c>
      <c r="S366">
        <f>IFERROR(O366/N366,0)</f>
        <v/>
      </c>
      <c r="T366" t="n">
        <v>0</v>
      </c>
      <c r="V366" t="n">
        <v>0</v>
      </c>
    </row>
    <row r="367">
      <c r="A367">
        <f>Skills!A14</f>
        <v/>
      </c>
      <c r="B367">
        <f>Skills!B14</f>
        <v/>
      </c>
      <c r="C367">
        <f>Inputs!$B$3&gt;=110</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f>(1-Summary!$B$55)*T367+Summary!$B$55*V367</f>
        <v/>
      </c>
      <c r="P367">
        <f>IF(B390=0,0,O367/B390)</f>
        <v/>
      </c>
      <c r="Q367" t="n">
        <v>0</v>
      </c>
      <c r="R367" t="n">
        <v>0</v>
      </c>
      <c r="S367">
        <f>IFERROR(O367/N367,0)</f>
        <v/>
      </c>
      <c r="T367" t="n">
        <v>0</v>
      </c>
      <c r="V367" t="n">
        <v>0</v>
      </c>
    </row>
    <row r="368">
      <c r="A368">
        <f>Skills!A15</f>
        <v/>
      </c>
      <c r="B368">
        <f>Skills!B15</f>
        <v/>
      </c>
      <c r="C368">
        <f>Inputs!$B$3&gt;=75</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f>(1-Summary!$B$55)*T368+Summary!$B$55*V368</f>
        <v/>
      </c>
      <c r="P368">
        <f>IF(B390=0,0,O368/B390)</f>
        <v/>
      </c>
      <c r="Q368">
        <f>IFERROR(1/IF(Inputs!$B$38="pvp",15,MAX(0.1,Skills!D15-IF(Skills!E15=TRUE,Inputs!$B$32,0))),0)</f>
        <v/>
      </c>
      <c r="R368">
        <f>IF(AND(Inputs!$B$38&lt;&gt;"pvp",Inputs!$B$43&gt;0),IF(Inputs!$B$43&lt;=0,0,(INT(Inputs!$B$43/IF(Inputs!$B$38="pvp",15,MAX(0.1,Skills!D15-IF(Skills!E15=TRUE,Inputs!$B$32,0))))+1)),0)</f>
        <v/>
      </c>
      <c r="S368">
        <f>IFERROR(O368/N368,0)</f>
        <v/>
      </c>
      <c r="T368" t="n">
        <v>0</v>
      </c>
      <c r="V368" t="n">
        <v>0</v>
      </c>
    </row>
    <row r="369">
      <c r="A369">
        <f>Skills!A16</f>
        <v/>
      </c>
      <c r="B369">
        <f>Skills!B16</f>
        <v/>
      </c>
      <c r="C369">
        <f>Inputs!$B$3&gt;=105</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f>(1-Summary!$B$55)*T369+Summary!$B$55*V369</f>
        <v/>
      </c>
      <c r="P369">
        <f>IF(B390=0,0,O369/B390)</f>
        <v/>
      </c>
      <c r="Q369">
        <f>IFERROR(1/IF(Inputs!$B$38="pvp",15,MAX(0.1,Skills!D16-IF(Skills!E16=TRUE,Inputs!$B$32,0))),0)</f>
        <v/>
      </c>
      <c r="R369">
        <f>IF(AND(Inputs!$B$38&lt;&gt;"pvp",Inputs!$B$43&gt;0),IF(Inputs!$B$43&lt;=0,0,(INT(Inputs!$B$43/IF(Inputs!$B$38="pvp",15,MAX(0.1,Skills!D16-IF(Skills!E16=TRUE,Inputs!$B$32,0))))+1)),0)</f>
        <v/>
      </c>
      <c r="S369">
        <f>IFERROR(O369/N369,0)</f>
        <v/>
      </c>
      <c r="T369" t="n">
        <v>0</v>
      </c>
      <c r="V369" t="n">
        <v>0</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f>(1-Summary!$B$55)*T370+Summary!$B$55*V370</f>
        <v/>
      </c>
      <c r="P370">
        <f>IF(B390=0,0,O370/B390)</f>
        <v/>
      </c>
      <c r="Q370">
        <f>IFERROR(1/IF(Inputs!$B$38="pvp",15,MAX(0.1,Skills!D17-IF(Skills!E17=TRUE,Inputs!$B$32,0))),0)</f>
        <v/>
      </c>
      <c r="R370">
        <f>IF(AND(Inputs!$B$38&lt;&gt;"pvp",Inputs!$B$43&gt;0),IF(Inputs!$B$43&lt;=0,0,(INT(Inputs!$B$43/IF(Inputs!$B$38="pvp",15,MAX(0.1,Skills!D17-IF(Skills!E17=TRUE,Inputs!$B$32,0))))+1)),0)</f>
        <v/>
      </c>
      <c r="S370">
        <f>IFERROR(O370/N370,0)</f>
        <v/>
      </c>
      <c r="T370" t="n">
        <v>0</v>
      </c>
      <c r="V370" t="n">
        <v>0</v>
      </c>
    </row>
    <row r="371">
      <c r="A371">
        <f>Skills!A18</f>
        <v/>
      </c>
      <c r="B371">
        <f>Skills!B18</f>
        <v/>
      </c>
      <c r="C371">
        <f>Inputs!$B$3&gt;=74</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f>(1-Summary!$B$55)*T371+Summary!$B$55*V371</f>
        <v/>
      </c>
      <c r="P371">
        <f>IF(B390=0,0,O371/B390)</f>
        <v/>
      </c>
      <c r="Q371">
        <f>IFERROR(1/IF(Inputs!$B$38="pvp",15,MAX(0.1,Skills!D18-IF(Skills!E18=TRUE,Inputs!$B$32,0))),0)</f>
        <v/>
      </c>
      <c r="R371">
        <f>IF(AND(Inputs!$B$38&lt;&gt;"pvp",Inputs!$B$43&gt;0),IF(Inputs!$B$43&lt;=0,0,(INT(Inputs!$B$43/IF(Inputs!$B$38="pvp",15,MAX(0.1,Skills!D18-IF(Skills!E18=TRUE,Inputs!$B$32,0))))+1)),0)</f>
        <v/>
      </c>
      <c r="S371">
        <f>IFERROR(O371/N371,0)</f>
        <v/>
      </c>
      <c r="T371" t="n">
        <v>0</v>
      </c>
      <c r="V371" t="n">
        <v>0</v>
      </c>
    </row>
    <row r="372">
      <c r="A372">
        <f>Skills!A19</f>
        <v/>
      </c>
      <c r="B372">
        <f>Skills!B19</f>
        <v/>
      </c>
      <c r="C372">
        <f>TRUE</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f>(1-Summary!$B$55)*T372+Summary!$B$55*V372</f>
        <v/>
      </c>
      <c r="P372">
        <f>IF(B390=0,0,O372/B390)</f>
        <v/>
      </c>
      <c r="Q372">
        <f>IFERROR(1/IF(Inputs!$B$38="pvp",15,MAX(0.1,Skills!D19-IF(Skills!E19=TRUE,Inputs!$B$32,0))),0)</f>
        <v/>
      </c>
      <c r="R372">
        <f>IF(AND(Inputs!$B$38&lt;&gt;"pvp",Inputs!$B$43&gt;0),IF(Inputs!$B$43&lt;=0,0,(INT(Inputs!$B$43/IF(Inputs!$B$38="pvp",15,MAX(0.1,Skills!D19-IF(Skills!E19=TRUE,Inputs!$B$32,0))))+1)),0)</f>
        <v/>
      </c>
      <c r="S372">
        <f>IFERROR(O372/N372,0)</f>
        <v/>
      </c>
      <c r="T372" t="n">
        <v>0</v>
      </c>
      <c r="V372" t="n">
        <v>0</v>
      </c>
    </row>
    <row r="373">
      <c r="A373">
        <f>Skills!A20</f>
        <v/>
      </c>
      <c r="B373">
        <f>Skills!B20</f>
        <v/>
      </c>
      <c r="C373">
        <f>Inputs!$B$3&gt;=33</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f>(1-Summary!$B$55)*T373+Summary!$B$55*V373</f>
        <v/>
      </c>
      <c r="P373">
        <f>IF(B390=0,0,O373/B390)</f>
        <v/>
      </c>
      <c r="Q373" t="n">
        <v>0</v>
      </c>
      <c r="R373" t="n">
        <v>0</v>
      </c>
      <c r="S373">
        <f>IFERROR(O373/N373,0)</f>
        <v/>
      </c>
      <c r="T373" t="n">
        <v>0</v>
      </c>
      <c r="V373" t="n">
        <v>0</v>
      </c>
    </row>
    <row r="374">
      <c r="A374">
        <f>Skills!A21</f>
        <v/>
      </c>
      <c r="B374">
        <f>Skills!B21</f>
        <v/>
      </c>
      <c r="C374">
        <f>Inputs!$B$3&gt;=38</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f>(1-Summary!$B$55)*T374+Summary!$B$55*V374</f>
        <v/>
      </c>
      <c r="P374">
        <f>IF(B390=0,0,O374/B390)</f>
        <v/>
      </c>
      <c r="Q374" t="n">
        <v>0</v>
      </c>
      <c r="R374" t="n">
        <v>0</v>
      </c>
      <c r="S374">
        <f>IFERROR(O374/N374,0)</f>
        <v/>
      </c>
      <c r="T374" t="n">
        <v>0</v>
      </c>
      <c r="V374" t="n">
        <v>0</v>
      </c>
    </row>
    <row r="375">
      <c r="A375">
        <f>Skills!A22</f>
        <v/>
      </c>
      <c r="B375">
        <f>Skills!B22</f>
        <v/>
      </c>
      <c r="C375">
        <f>Inputs!$B$3&gt;=43</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f>(1-Summary!$B$55)*T375+Summary!$B$55*V375</f>
        <v/>
      </c>
      <c r="P375">
        <f>IF(B390=0,0,O375/B390)</f>
        <v/>
      </c>
      <c r="Q375" t="n">
        <v>0</v>
      </c>
      <c r="R375" t="n">
        <v>0</v>
      </c>
      <c r="S375">
        <f>IFERROR(O375/N375,0)</f>
        <v/>
      </c>
      <c r="T375" t="n">
        <v>0</v>
      </c>
      <c r="V375" t="n">
        <v>0</v>
      </c>
    </row>
    <row r="376">
      <c r="A376">
        <f>Skills!A23</f>
        <v/>
      </c>
      <c r="B376">
        <f>Skills!B23</f>
        <v/>
      </c>
      <c r="C376">
        <f>Inputs!$B$3&gt;=120</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f>(1-Summary!$B$55)*T376+Summary!$B$55*V376</f>
        <v/>
      </c>
      <c r="P376">
        <f>IF(B390=0,0,O376/B390)</f>
        <v/>
      </c>
      <c r="Q376" t="n">
        <v>0</v>
      </c>
      <c r="R376" t="n">
        <v>0</v>
      </c>
      <c r="S376">
        <f>IFERROR(O376/N376,0)</f>
        <v/>
      </c>
      <c r="T376" t="n">
        <v>0</v>
      </c>
      <c r="V376" t="n">
        <v>0</v>
      </c>
    </row>
    <row r="377">
      <c r="A377">
        <f>Skills!A24</f>
        <v/>
      </c>
      <c r="B377">
        <f>Skills!B24</f>
        <v/>
      </c>
      <c r="C377">
        <f>Inputs!$B$3&gt;=120</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f>(1-Summary!$B$55)*T377+Summary!$B$55*V377</f>
        <v/>
      </c>
      <c r="P377">
        <f>IF(B390=0,0,O377/B390)</f>
        <v/>
      </c>
      <c r="Q377" t="n">
        <v>0</v>
      </c>
      <c r="R377" t="n">
        <v>0</v>
      </c>
      <c r="S377">
        <f>IFERROR(O377/N377,0)</f>
        <v/>
      </c>
      <c r="T377" t="n">
        <v>0</v>
      </c>
      <c r="V377" t="n">
        <v>0</v>
      </c>
    </row>
    <row r="379">
      <c r="A379" t="inlineStr">
        <is>
          <t>Attack% Bucket Multiplier</t>
        </is>
      </c>
      <c r="B379">
        <f>(1+(((C366=TRUE)*F366*MIN(1,Skills!T13*(Skills!J13/100)*B384))+((C371=TRUE)*F371*IF(AND(Inputs!$B$38&lt;&gt;"pvp",Inputs!$B$43&gt;0),(((R371-1)*(Skills!T18*(1+Inputs!$B$34/100))+MIN((Skills!T18*(1+Inputs!$B$34/100)),MAX(0,Inputs!$B$43-((R371-1)*Skills!D18))))/Inputs!$B$43),IF(Inputs!$B$38="pvp",MIN((Skills!T18*(1+Inputs!$B$34/100)),15)/15,(Skills!T18*(1+Inputs!$B$34/100))/Skills!D18)))+0)/100)</f>
        <v/>
      </c>
    </row>
    <row r="380">
      <c r="A380" t="inlineStr">
        <is>
          <t>Global Crit Rate Bonus %</t>
        </is>
      </c>
      <c r="B380" t="n">
        <v>0</v>
      </c>
    </row>
    <row r="381">
      <c r="A381" t="inlineStr">
        <is>
          <t>Attack Speed Buff Bonus %</t>
        </is>
      </c>
      <c r="B381">
        <f>((C372=TRUE)*F372*IF(AND(Inputs!$B$38&lt;&gt;"pvp",Inputs!$B$43&gt;0),(((R372-1)*(Skills!T19*(1+Inputs!$B$34/100))+MIN((Skills!T19*(1+Inputs!$B$34/100)),MAX(0,Inputs!$B$43-((R372-1)*Skills!D19))))/Inputs!$B$43),IF(Inputs!$B$38="pvp",MIN((Skills!T19*(1+Inputs!$B$34/100)),15)/15,(Skills!T19*(1+Inputs!$B$34/100))/Skills!D19)))</f>
        <v/>
      </c>
    </row>
    <row r="382">
      <c r="A382" t="inlineStr">
        <is>
          <t>Actions Per Second</t>
        </is>
      </c>
      <c r="B382">
        <f>1+MIN(150,150*(1-(1-(Inputs!$B$11+((C373=TRUE)*(F373-Calc!F20)))/150)*(1-B381/150)))/100</f>
        <v/>
      </c>
    </row>
    <row r="383">
      <c r="A383" t="inlineStr">
        <is>
          <t>Skill + Buff Cast Rate</t>
        </is>
      </c>
      <c r="B383">
        <f>IF(AND(Inputs!$B$38&lt;&gt;"pvp",Inputs!$B$43&gt;0),SUMPRODUCT((Skills!E2:E24=TRUE)*(C355:C377=TRUE)*R355:R377*Skills!F2:F24)/Inputs!$B$43,SUMPRODUCT((Skills!E2:E24=TRUE)*(C355:C377=TRUE)*Q355:Q377*Skills!F2:F24))</f>
        <v/>
      </c>
    </row>
    <row r="384">
      <c r="A384" t="inlineStr">
        <is>
          <t>Blast Casts Per Second</t>
        </is>
      </c>
      <c r="B384">
        <f>MAX(0,B382-B383)</f>
        <v/>
      </c>
    </row>
    <row r="385">
      <c r="A385" t="inlineStr">
        <is>
          <t>Global Critical Damage Bonus % (unused)</t>
        </is>
      </c>
      <c r="B385" t="n">
        <v>0</v>
      </c>
    </row>
    <row r="386">
      <c r="A386" t="inlineStr">
        <is>
          <t>Global Final Damage Bonus % (Divine Shield + Guardian + Divine Blessing + Greater Vessel of Light)</t>
        </is>
      </c>
      <c r="B386">
        <f>((C368=TRUE)*F368*IF(AND(Inputs!$B$38&lt;&gt;"pvp",Inputs!$B$43&gt;0),(((R368-1)*(Skills!T15*(1+Inputs!$B$34/100))+MIN((Skills!T15*(1+Inputs!$B$34/100)),MAX(0,Inputs!$B$43-((R368-1)*Skills!D15))))/Inputs!$B$43),IF(Inputs!$B$38="pvp",MIN((Skills!T15*(1+Inputs!$B$34/100)),15)/15,(Skills!T15*(1+Inputs!$B$34/100))/Skills!D15)))+((C369=TRUE)*F369*IF(AND(Inputs!$B$38&lt;&gt;"pvp",Inputs!$B$43&gt;0),(((R369-1)*(Skills!T16*(1+Inputs!$B$34/100))+MIN((Skills!T16*(1+Inputs!$B$34/100)),MAX(0,Inputs!$B$43-((R369-1)*Skills!D16))))/Inputs!$B$43),IF(Inputs!$B$38="pvp",MIN((Skills!T16*(1+Inputs!$B$34/100)),15)/15,(Skills!T16*(1+Inputs!$B$34/100))/Skills!D16)))+((C370=TRUE)*F370*IF(AND(Inputs!$B$38&lt;&gt;"pvp",Inputs!$B$43&gt;0),(((R370-1)*(Skills!T17*(1+Inputs!$B$34/100))+MIN((Skills!T17*(1+Inputs!$B$34/100)),MAX(0,Inputs!$B$43-((R370-1)*Skills!D17))))/Inputs!$B$43),IF(Inputs!$B$38="pvp",MIN((Skills!T17*(1+Inputs!$B$34/100)),15)/15,(Skills!T17*(1+Inputs!$B$34/100))/Skills!D17)))+((C367=TRUE)*F367*MIN(1,Skills!T13*(Skills!J13/100)*B384))</f>
        <v/>
      </c>
    </row>
    <row r="387">
      <c r="A387" t="inlineStr">
        <is>
          <t>Buff-Casting Startup Delay (s, fixed-duration only)</t>
        </is>
      </c>
      <c r="B387">
        <f>IF(AND(Inputs!$B$38&lt;&gt;"pvp",Inputs!$B$43&gt;0),SUMPRODUCT((Skills!T2:T24&gt;0)*(Skills!E2:E24=TRUE)*(C355:C377=TRUE))/B382,0)</f>
        <v/>
      </c>
    </row>
    <row r="388">
      <c r="A388" t="inlineStr">
        <is>
          <t>Boss-Only Total DPS (this block's swept value)</t>
        </is>
      </c>
      <c r="B388">
        <f>SUM(T355:T377)</f>
        <v/>
      </c>
    </row>
    <row r="389">
      <c r="A389" t="inlineStr">
        <is>
          <t>Normal-Only Total DPS (this block's swept value)</t>
        </is>
      </c>
      <c r="B389">
        <f>SUM(V355:V377)</f>
        <v/>
      </c>
    </row>
    <row r="390">
      <c r="A390" s="5" t="inlineStr">
        <is>
          <t>TOTAL DPS</t>
        </is>
      </c>
      <c r="B390" s="5">
        <f>SUM(O355:O377)</f>
        <v/>
      </c>
    </row>
    <row r="393">
      <c r="A393" s="5" t="inlineStr">
        <is>
          <t>Stat: MAX_DAMAGE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426)/100)*(1+(IF(Skills!A2="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395)</f>
        <v/>
      </c>
      <c r="L395">
        <f>K395*(MIN(Inputs!$B$22+((C415=TRUE)*(F415-Calc!F22)),(Inputs!$B$23+1)+((C417=TRUE)*(F417-Calc!F24)))/100+((Inputs!$B$23+1)+((C417=TRUE)*(F417-Calc!F24)))/100)/2</f>
        <v/>
      </c>
      <c r="M395">
        <f>L395*(1+(Inputs!$B$10+0+B425)/100)</f>
        <v/>
      </c>
      <c r="N395">
        <f>L395*(1-MIN((Inputs!$B$9+0+B420),100)/100)+M395*(MIN((Inputs!$B$9+0+B420),100)/100)</f>
        <v/>
      </c>
      <c r="O395">
        <f>(1-Summary!$B$55)*T395+Summary!$B$55*V395</f>
        <v/>
      </c>
      <c r="P395">
        <f>IF(B430=0,0,O395/B430)</f>
        <v/>
      </c>
      <c r="Q395" t="n">
        <v>0</v>
      </c>
      <c r="R395" t="n">
        <v>0</v>
      </c>
      <c r="S395">
        <f>IFERROR(O395/N395,0)</f>
        <v/>
      </c>
      <c r="T395">
        <f>IF(C395,(Skills!G2*N395*B424)*IF(Inputs!$B$38="pvp",1,1+(Inputs!$B$20+0+Skills!P2)/100),0)</f>
        <v/>
      </c>
      <c r="U395">
        <f>MAX(0,(Inputs!$B$3-100)*3)+Inputs!$B$28+Inputs!$B$29</f>
        <v/>
      </c>
      <c r="V395">
        <f>IF(C395,(Skills!G2*N395*B424)*IF(Inputs!$B$38="pvp",1,(1+(Inputs!$B$21+Skills!Q2)/100)*(MIN((6+Inputs!$B$33),Inputs!$B$37))),0)</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Inputs!$B$3&gt;=35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426)/100)*(1+4.0*IF(C405=TRUE,F405,0)/100)*(1+(IF(Skills!A4="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397)</f>
        <v/>
      </c>
      <c r="L397">
        <f>K397*(MIN(Inputs!$B$22+((C415=TRUE)*(F415-Calc!F22)),(Inputs!$B$23+1)+((C417=TRUE)*(F417-Calc!F24)))/100+((Inputs!$B$23+1)+((C417=TRUE)*(F417-Calc!F24)))/100)/2</f>
        <v/>
      </c>
      <c r="M397">
        <f>L397*(1+(Inputs!$B$10+0+B425)/100)</f>
        <v/>
      </c>
      <c r="N397">
        <f>L397*(1-MIN((Inputs!$B$9+0+B420),100)/100)+M397*(MIN((Inputs!$B$9+0+B420),100)/100)</f>
        <v/>
      </c>
      <c r="O397">
        <f>(1-Summary!$B$55)*T397+Summary!$B$55*V397</f>
        <v/>
      </c>
      <c r="P397">
        <f>IF(B430=0,0,O397/B430)</f>
        <v/>
      </c>
      <c r="Q397">
        <f>IFERROR(1/IF(Inputs!$B$38="pvp",15,MAX(0.1,Skills!D4-IF(Skills!E4=TRUE,Inputs!$B$32,0))),0)</f>
        <v/>
      </c>
      <c r="R397">
        <f>IF(AND(Inputs!$B$38&lt;&gt;"pvp",Inputs!$B$43&gt;0),IF(MAX(0,Inputs!$B$43-B427)&lt;=0,0,(INT(MAX(0,Inputs!$B$43-B427)/IF(Inputs!$B$38="pvp",15,MAX(0.1,Skills!D4-IF(Skills!E4=TRUE,Inputs!$B$32,0))))+1)),0)</f>
        <v/>
      </c>
      <c r="S397">
        <f>IFERROR(O397/N397,0)</f>
        <v/>
      </c>
      <c r="T397">
        <f>IF(C397,(H397*N397*IF(AND(Inputs!$B$38&lt;&gt;"pvp",Inputs!$B$43&gt;0),((Skills!G4*((R397-1)*IF(Skills!H4&gt;0,Skills!I4/Skills!H4,1)+IF(Skills!H4&gt;0,MIN(Skills!I4,MAX(0,MAX(0,Inputs!$B$43-B427)-((R397-1)*IF(Inputs!$B$38="pvp",15,MAX(0.1,Skills!D4-IF(Skills!E4=TRUE,Inputs!$B$32,0))))))/Skills!H4,1)))/Inputs!$B$43),G397*Q397))*IF(Inputs!$B$38="pvp",1,1+(Inputs!$B$20+0+Skills!P4)/100),0)</f>
        <v/>
      </c>
      <c r="U397">
        <f>290*U396/1000</f>
        <v/>
      </c>
      <c r="V397">
        <f>IF(C397,(H397*N397*IF(AND(Inputs!$B$38&lt;&gt;"pvp",Inputs!$B$43&gt;0),((Skills!G4*((R397-1)*IF(Skills!H4&gt;0,Skills!I4/Skills!H4,1)+IF(Skills!H4&gt;0,MIN(Skills!I4,MAX(0,MAX(0,Inputs!$B$43-B427)-((R397-1)*IF(Inputs!$B$38="pvp",15,MAX(0.1,Skills!D4-IF(Skills!E4=TRUE,Inputs!$B$32,0))))))/Skills!H4,1)))/Inputs!$B$43),G397*Q397))*IF(Inputs!$B$38="pvp",1,(1+(Inputs!$B$21+Skills!Q4)/100)*(MIN(Skills!R4,Inputs!$B$37))),0)</f>
        <v/>
      </c>
    </row>
    <row r="398">
      <c r="A398">
        <f>Skills!A5</f>
        <v/>
      </c>
      <c r="B398">
        <f>Skills!B5</f>
        <v/>
      </c>
      <c r="C398">
        <f>Inputs!$B$3&gt;=66</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426)/100)*(1+1.0*IF(C405=TRUE,F405,0)/100)*(1+(IF(Skills!A5="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398)</f>
        <v/>
      </c>
      <c r="L398">
        <f>K398*(MIN(Inputs!$B$22+((C415=TRUE)*(F415-Calc!F22)),(Inputs!$B$23+1)+((C417=TRUE)*(F417-Calc!F24)))/100+((Inputs!$B$23+1)+((C417=TRUE)*(F417-Calc!F24)))/100)/2</f>
        <v/>
      </c>
      <c r="M398">
        <f>L398*(1+(Inputs!$B$10+0+B425)/100)</f>
        <v/>
      </c>
      <c r="N398">
        <f>L398*(1-MIN((Inputs!$B$9+0+B420),100)/100)+M398*(MIN((Inputs!$B$9+0+B420),100)/100)</f>
        <v/>
      </c>
      <c r="O398">
        <f>(1-Summary!$B$55)*T398+Summary!$B$55*V398</f>
        <v/>
      </c>
      <c r="P398">
        <f>IF(B430=0,0,O398/B430)</f>
        <v/>
      </c>
      <c r="Q398">
        <f>IFERROR(1/IF(Inputs!$B$38="pvp",15,MAX(0.1,Skills!D5-IF(Skills!E5=TRUE,Inputs!$B$32,0))),0)</f>
        <v/>
      </c>
      <c r="R398">
        <f>IF(AND(Inputs!$B$38&lt;&gt;"pvp",Inputs!$B$43&gt;0),IF(MAX(0,Inputs!$B$43-B427)&lt;=0,0,(INT(MAX(0,Inputs!$B$43-B427)/IF(Inputs!$B$38="pvp",15,MAX(0.1,Skills!D5-IF(Skills!E5=TRUE,Inputs!$B$32,0))))+1)),0)</f>
        <v/>
      </c>
      <c r="S398">
        <f>IFERROR(O398/N398,0)</f>
        <v/>
      </c>
      <c r="T398">
        <f>IF(C398,(H398*N398*IF(AND(Inputs!$B$38&lt;&gt;"pvp",Inputs!$B$43&gt;0),((Skills!G5*((R398-1)*IF(Skills!H5&gt;0,Skills!I5/Skills!H5,1)+IF(Skills!H5&gt;0,MIN(Skills!I5,MAX(0,MAX(0,Inputs!$B$43-B427)-((R398-1)*IF(Inputs!$B$38="pvp",15,MAX(0.1,Skills!D5-IF(Skills!E5=TRUE,Inputs!$B$32,0))))))/Skills!H5,1)))/Inputs!$B$43),G398*Q398))*IF(Inputs!$B$38="pvp",1,1+(Inputs!$B$20+0+Skills!P5)/100),0)</f>
        <v/>
      </c>
      <c r="V398">
        <f>IF(C398,(H398*N398*IF(AND(Inputs!$B$38&lt;&gt;"pvp",Inputs!$B$43&gt;0),((Skills!G5*((R398-1)*IF(Skills!H5&gt;0,Skills!I5/Skills!H5,1)+IF(Skills!H5&gt;0,MIN(Skills!I5,MAX(0,MAX(0,Inputs!$B$43-B427)-((R398-1)*IF(Inputs!$B$38="pvp",15,MAX(0.1,Skills!D5-IF(Skills!E5=TRUE,Inputs!$B$32,0))))))/Skills!H5,1)))/Inputs!$B$43),G398*Q398))*IF(Inputs!$B$38="pvp",1,(1+(Inputs!$B$21+Skills!Q5)/100)*(MIN(Skills!R5,Inputs!$B$37))),0)</f>
        <v/>
      </c>
    </row>
    <row r="399">
      <c r="A399">
        <f>Skills!A6</f>
        <v/>
      </c>
      <c r="B399">
        <f>Skills!B6</f>
        <v/>
      </c>
      <c r="C399">
        <f>Inputs!$B$3&gt;=103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426)/100)*(1+(IF(Skills!A6="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399)</f>
        <v/>
      </c>
      <c r="L399">
        <f>K399*(MIN(Inputs!$B$22+((C415=TRUE)*(F415-Calc!F22)),(Inputs!$B$23+1)+((C417=TRUE)*(F417-Calc!F24)))/100+((Inputs!$B$23+1)+((C417=TRUE)*(F417-Calc!F24)))/100)/2</f>
        <v/>
      </c>
      <c r="M399">
        <f>L399*(1+(Inputs!$B$10+0+B425)/100)</f>
        <v/>
      </c>
      <c r="N399">
        <f>L399*(1-MIN((Inputs!$B$9+0+B420),100)/100)+M399*(MIN((Inputs!$B$9+0+B420),100)/100)</f>
        <v/>
      </c>
      <c r="O399">
        <f>(1-Summary!$B$55)*T399+Summary!$B$55*V399</f>
        <v/>
      </c>
      <c r="P399">
        <f>IF(B430=0,0,O399/B430)</f>
        <v/>
      </c>
      <c r="Q399">
        <f>IFERROR(1/IF(Inputs!$B$38="pvp",15,MAX(0.1,Skills!D6-IF(Skills!E6=TRUE,Inputs!$B$32,0))),0)</f>
        <v/>
      </c>
      <c r="R399">
        <f>IF(AND(Inputs!$B$38&lt;&gt;"pvp",Inputs!$B$43&gt;0),IF(MAX(0,Inputs!$B$43-B427)&lt;=0,0,(INT(MAX(0,Inputs!$B$43-B427)/IF(Inputs!$B$38="pvp",15,MAX(0.1,Skills!D6-IF(Skills!E6=TRUE,Inputs!$B$32,0))))+1)),0)</f>
        <v/>
      </c>
      <c r="S399">
        <f>IFERROR(O399/N399,0)</f>
        <v/>
      </c>
      <c r="T399">
        <f>IF(C399,(H399*N399*IF(AND(Inputs!$B$38&lt;&gt;"pvp",Inputs!$B$43&gt;0),((Skills!G6*((R399-1)*IF(Skills!H6&gt;0,Skills!I6/Skills!H6,1)+IF(Skills!H6&gt;0,MIN(Skills!I6,MAX(0,MAX(0,Inputs!$B$43-B427)-((R399-1)*IF(Inputs!$B$38="pvp",15,MAX(0.1,Skills!D6-IF(Skills!E6=TRUE,Inputs!$B$32,0))))))/Skills!H6,1)))/Inputs!$B$43),G399*Q399))*IF(Inputs!$B$38="pvp",1,1+(Inputs!$B$20+0+Skills!P6)/100),0)</f>
        <v/>
      </c>
      <c r="V399">
        <f>IF(C399,(H399*N399*IF(AND(Inputs!$B$38&lt;&gt;"pvp",Inputs!$B$43&gt;0),((Skills!G6*((R399-1)*IF(Skills!H6&gt;0,Skills!I6/Skills!H6,1)+IF(Skills!H6&gt;0,MIN(Skills!I6,MAX(0,MAX(0,Inputs!$B$43-B427)-((R399-1)*IF(Inputs!$B$38="pvp",15,MAX(0.1,Skills!D6-IF(Skills!E6=TRUE,Inputs!$B$32,0))))))/Skills!H6,1)))/Inputs!$B$43),G399*Q399))*IF(Inputs!$B$38="pvp",1,(1+(Inputs!$B$21+Skills!Q6)/100)*(MIN(Skills!R6,Inputs!$B$37))),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426)/100)*(1+(IF(Skills!A7="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400)</f>
        <v/>
      </c>
      <c r="L400">
        <f>K400*(MIN(Inputs!$B$22+((C415=TRUE)*(F415-Calc!F22)),(Inputs!$B$23+1)+((C417=TRUE)*(F417-Calc!F24)))/100+((Inputs!$B$23+1)+((C417=TRUE)*(F417-Calc!F24)))/100)/2</f>
        <v/>
      </c>
      <c r="M400">
        <f>L400*(1+(Inputs!$B$10+0+B425)/100)</f>
        <v/>
      </c>
      <c r="N400">
        <f>L400*(1-MIN((Inputs!$B$9+0+B420),100)/100)+M400*(MIN((Inputs!$B$9+0+B420),100)/100)</f>
        <v/>
      </c>
      <c r="O400">
        <f>(1-Summary!$B$55)*T400+Summary!$B$55*V400</f>
        <v/>
      </c>
      <c r="P400">
        <f>IF(B430=0,0,O400/B430)</f>
        <v/>
      </c>
      <c r="Q400">
        <f>IFERROR(1/IF(Inputs!$B$38="pvp",15,MAX(0.1,Skills!D7-IF(Skills!E7=TRUE,Inputs!$B$32,0))),0)</f>
        <v/>
      </c>
      <c r="R400">
        <f>IF(AND(Inputs!$B$38&lt;&gt;"pvp",Inputs!$B$43&gt;0),IF(MAX(0,Inputs!$B$43-B427)&lt;=0,0,(INT(MAX(0,Inputs!$B$43-B427)/IF(Inputs!$B$38="pvp",15,MAX(0.1,Skills!D7-IF(Skills!E7=TRUE,Inputs!$B$32,0))))+1)),0)</f>
        <v/>
      </c>
      <c r="S400">
        <f>IFERROR(O400/N400,0)</f>
        <v/>
      </c>
      <c r="T400">
        <f>IF(C400,(H400*N400*IF(AND(Inputs!$B$38&lt;&gt;"pvp",Inputs!$B$43&gt;0),((Skills!G7*((R400-1)*IF(Skills!H7&gt;0,Skills!I7/Skills!H7,1)+IF(Skills!H7&gt;0,MIN(Skills!I7,MAX(0,MAX(0,Inputs!$B$43-B427)-((R400-1)*IF(Inputs!$B$38="pvp",15,MAX(0.1,Skills!D7-IF(Skills!E7=TRUE,Inputs!$B$32,0))))))/Skills!H7,1)))/Inputs!$B$43),G400*Q400))*IF(Inputs!$B$38="pvp",1,1+(Inputs!$B$20+0+Skills!P7)/100),0)</f>
        <v/>
      </c>
      <c r="V400">
        <f>IF(C400,(H400*N400*IF(AND(Inputs!$B$38&lt;&gt;"pvp",Inputs!$B$43&gt;0),((Skills!G7*((R400-1)*IF(Skills!H7&gt;0,Skills!I7/Skills!H7,1)+IF(Skills!H7&gt;0,MIN(Skills!I7,MAX(0,MAX(0,Inputs!$B$43-B427)-((R400-1)*IF(Inputs!$B$38="pvp",15,MAX(0.1,Skills!D7-IF(Skills!E7=TRUE,Inputs!$B$32,0))))))/Skills!H7,1)))/Inputs!$B$43),G400*Q400))*IF(Inputs!$B$38="pvp",1,(1+(Inputs!$B$21+Skills!Q7)/100)*(MIN(Skills!R7,Inputs!$B$37))),0)</f>
        <v/>
      </c>
    </row>
    <row r="401">
      <c r="A401">
        <f>Skills!A8</f>
        <v/>
      </c>
      <c r="B401">
        <f>Skills!B8</f>
        <v/>
      </c>
      <c r="C401">
        <f>Inputs!$B$3&gt;=107</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426)/100)*(1+(IF(Skills!A8="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401)</f>
        <v/>
      </c>
      <c r="L401">
        <f>K401*(MIN(Inputs!$B$22+((C415=TRUE)*(F415-Calc!F22)),(Inputs!$B$23+1)+((C417=TRUE)*(F417-Calc!F24)))/100+((Inputs!$B$23+1)+((C417=TRUE)*(F417-Calc!F24)))/100)/2</f>
        <v/>
      </c>
      <c r="M401">
        <f>L401*(1+(Inputs!$B$10+0+B425)/100)</f>
        <v/>
      </c>
      <c r="N401">
        <f>L401*(1-MIN((Inputs!$B$9+0+B420),100)/100)+M401*(MIN((Inputs!$B$9+0+B420),100)/100)</f>
        <v/>
      </c>
      <c r="O401">
        <f>(1-Summary!$B$55)*T401+Summary!$B$55*V401</f>
        <v/>
      </c>
      <c r="P401">
        <f>IF(B430=0,0,O401/B430)</f>
        <v/>
      </c>
      <c r="Q401">
        <f>IFERROR(1/IF(Inputs!$B$38="pvp",15,MAX(0.1,Skills!D8-IF(Skills!E8=TRUE,Inputs!$B$32,0))),0)</f>
        <v/>
      </c>
      <c r="R401">
        <f>IF(AND(Inputs!$B$38&lt;&gt;"pvp",Inputs!$B$43&gt;0),IF(MAX(0,Inputs!$B$43-B427)&lt;=0,0,(INT(MAX(0,Inputs!$B$43-B427)/IF(Inputs!$B$38="pvp",15,MAX(0.1,Skills!D8-IF(Skills!E8=TRUE,Inputs!$B$32,0))))+1)),0)</f>
        <v/>
      </c>
      <c r="S401">
        <f>IFERROR(O401/N401,0)</f>
        <v/>
      </c>
      <c r="T401">
        <f>IF(C401,(H401*N401*IF(AND(Inputs!$B$38&lt;&gt;"pvp",Inputs!$B$43&gt;0),((Skills!G8*((R401-1)*IF(Skills!H8&gt;0,Skills!I8/Skills!H8,1)+IF(Skills!H8&gt;0,MIN(Skills!I8,MAX(0,MAX(0,Inputs!$B$43-B427)-((R401-1)*IF(Inputs!$B$38="pvp",15,MAX(0.1,Skills!D8-IF(Skills!E8=TRUE,Inputs!$B$32,0))))))/Skills!H8,1)))/Inputs!$B$43),G401*Q401))*IF(Inputs!$B$38="pvp",1,1+(Inputs!$B$20+0+Skills!P8)/100),0)</f>
        <v/>
      </c>
      <c r="V401">
        <f>IF(C401,(H401*N401*IF(AND(Inputs!$B$38&lt;&gt;"pvp",Inputs!$B$43&gt;0),((Skills!G8*((R401-1)*IF(Skills!H8&gt;0,Skills!I8/Skills!H8,1)+IF(Skills!H8&gt;0,MIN(Skills!I8,MAX(0,MAX(0,Inputs!$B$43-B427)-((R401-1)*IF(Inputs!$B$38="pvp",15,MAX(0.1,Skills!D8-IF(Skills!E8=TRUE,Inputs!$B$32,0))))))/Skills!H8,1)))/Inputs!$B$43),G401*Q401))*IF(Inputs!$B$38="pvp",1,(1+(Inputs!$B$21+Skills!Q8)/100)*(MIN(Skills!R8,Inputs!$B$37))),0)</f>
        <v/>
      </c>
    </row>
    <row r="402">
      <c r="A402">
        <f>Skills!A9</f>
        <v/>
      </c>
      <c r="B402">
        <f>Skills!B9</f>
        <v/>
      </c>
      <c r="C402">
        <f>Inputs!$B$3&gt;=125</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426)/100)*(1+(IF(Skills!A9="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402)</f>
        <v/>
      </c>
      <c r="L402">
        <f>K402*(MIN(Inputs!$B$22+((C415=TRUE)*(F415-Calc!F22)),(Inputs!$B$23+1)+((C417=TRUE)*(F417-Calc!F24)))/100+((Inputs!$B$23+1)+((C417=TRUE)*(F417-Calc!F24)))/100)/2</f>
        <v/>
      </c>
      <c r="M402">
        <f>L402*(1+(Inputs!$B$10+0+B425)/100)</f>
        <v/>
      </c>
      <c r="N402">
        <f>L402*(1-MIN((Inputs!$B$9+0+B420),100)/100)+M402*(MIN((Inputs!$B$9+0+B420),100)/100)</f>
        <v/>
      </c>
      <c r="O402">
        <f>(1-Summary!$B$55)*T402+Summary!$B$55*V402</f>
        <v/>
      </c>
      <c r="P402">
        <f>IF(B430=0,0,O402/B430)</f>
        <v/>
      </c>
      <c r="Q402">
        <f>IFERROR(1/IF(Inputs!$B$38="pvp",15,MAX(0.1,Skills!D9-IF(Skills!E9=TRUE,Inputs!$B$32,0))),0)</f>
        <v/>
      </c>
      <c r="R402">
        <f>IF(AND(Inputs!$B$38&lt;&gt;"pvp",Inputs!$B$43&gt;0),IF(MAX(0,Inputs!$B$43-B427)&lt;=0,0,(INT(MAX(0,Inputs!$B$43-B427)/IF(Inputs!$B$38="pvp",15,MAX(0.1,Skills!D9-IF(Skills!E9=TRUE,Inputs!$B$32,0))))+1)),0)</f>
        <v/>
      </c>
      <c r="S402">
        <f>IFERROR(O402/N402,0)</f>
        <v/>
      </c>
      <c r="T402">
        <f>IF(C402,(H402*N402*IF(AND(Inputs!$B$38&lt;&gt;"pvp",Inputs!$B$43&gt;0),((Skills!G9*((R402-1)*IF(Skills!H9&gt;0,Skills!I9/Skills!H9,1)+IF(Skills!H9&gt;0,MIN(Skills!I9,MAX(0,MAX(0,Inputs!$B$43-B427)-((R402-1)*IF(Inputs!$B$38="pvp",15,MAX(0.1,Skills!D9-IF(Skills!E9=TRUE,Inputs!$B$32,0))))))/Skills!H9,1)))/Inputs!$B$43),G402*Q402))*IF(Inputs!$B$38="pvp",1,1+(Inputs!$B$20+0+Skills!P9)/100),0)</f>
        <v/>
      </c>
      <c r="V402">
        <f>IF(C402,(H402*N402*IF(AND(Inputs!$B$38&lt;&gt;"pvp",Inputs!$B$43&gt;0),((Skills!G9*((R402-1)*IF(Skills!H9&gt;0,Skills!I9/Skills!H9,1)+IF(Skills!H9&gt;0,MIN(Skills!I9,MAX(0,MAX(0,Inputs!$B$43-B427)-((R402-1)*IF(Inputs!$B$38="pvp",15,MAX(0.1,Skills!D9-IF(Skills!E9=TRUE,Inputs!$B$32,0))))))/Skills!H9,1)))/Inputs!$B$43),G402*Q402))*IF(Inputs!$B$38="pvp",1,(1+(Inputs!$B$21+Skills!Q9)/100)*(MIN(Skills!R9,Inputs!$B$37))),0)</f>
        <v/>
      </c>
    </row>
    <row r="403">
      <c r="A403">
        <f>Skills!A10</f>
        <v/>
      </c>
      <c r="B403">
        <f>Skills!B10</f>
        <v/>
      </c>
      <c r="C403">
        <f>Inputs!$B$3&gt;=117</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nputs!$B$16/100)*(5000/(6000+Inputs!$B$42*(1-(Inputs!$B$19+0)/100)))*(1+(Inputs!$B$24+0+B426)/100)*(1+(IF(Skills!A10="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403)</f>
        <v/>
      </c>
      <c r="L403">
        <f>K403*(MIN(Inputs!$B$22+((C415=TRUE)*(F415-Calc!F22)),(Inputs!$B$23+1)+((C417=TRUE)*(F417-Calc!F24)))/100+((Inputs!$B$23+1)+((C417=TRUE)*(F417-Calc!F24)))/100)/2</f>
        <v/>
      </c>
      <c r="M403">
        <f>L403*(1+(Inputs!$B$10+0+B425)/100)</f>
        <v/>
      </c>
      <c r="N403">
        <f>L403*(1-MIN((Inputs!$B$9+0+B420),100)/100)+M403*(MIN((Inputs!$B$9+0+B420),100)/100)</f>
        <v/>
      </c>
      <c r="O403">
        <f>(1-Summary!$B$55)*T403+Summary!$B$55*V403</f>
        <v/>
      </c>
      <c r="P403">
        <f>IF(B430=0,0,O403/B430)</f>
        <v/>
      </c>
      <c r="Q403">
        <f>IFERROR(1/IF(Inputs!$B$38="pvp",15,MAX(0.1,Skills!D10-IF(Skills!E10=TRUE,Inputs!$B$32,0))),0)</f>
        <v/>
      </c>
      <c r="R403">
        <f>IF(AND(Inputs!$B$38&lt;&gt;"pvp",Inputs!$B$43&gt;0),IF(MAX(0,Inputs!$B$43-B427)&lt;=0,0,(INT(MAX(0,Inputs!$B$43-B427)/IF(Inputs!$B$38="pvp",15,MAX(0.1,Skills!D10-IF(Skills!E10=TRUE,Inputs!$B$32,0))))+1)),0)</f>
        <v/>
      </c>
      <c r="S403">
        <f>IFERROR(O403/N403,0)</f>
        <v/>
      </c>
      <c r="T403">
        <f>IF(C403,(H403*N403*IF(AND(Inputs!$B$38&lt;&gt;"pvp",Inputs!$B$43&gt;0),((Skills!G10*((R403-1)*IF(Skills!H10&gt;0,Skills!I10/Skills!H10,1)+IF(Skills!H10&gt;0,MIN(Skills!I10,MAX(0,MAX(0,Inputs!$B$43-B427)-((R403-1)*IF(Inputs!$B$38="pvp",15,MAX(0.1,Skills!D10-IF(Skills!E10=TRUE,Inputs!$B$32,0))))))/Skills!H10,1)))/Inputs!$B$43),G403*Q403))*IF(Inputs!$B$38="pvp",1,1+(Inputs!$B$20+0+Skills!P10)/100),0)</f>
        <v/>
      </c>
      <c r="V403">
        <f>IF(C403,(H403*N403*IF(AND(Inputs!$B$38&lt;&gt;"pvp",Inputs!$B$43&gt;0),((Skills!G10*((R403-1)*IF(Skills!H10&gt;0,Skills!I10/Skills!H10,1)+IF(Skills!H10&gt;0,MIN(Skills!I10,MAX(0,MAX(0,Inputs!$B$43-B427)-((R403-1)*IF(Inputs!$B$38="pvp",15,MAX(0.1,Skills!D10-IF(Skills!E10=TRUE,Inputs!$B$32,0))))))/Skills!H10,1)))/Inputs!$B$43),G403*Q403))*IF(Inputs!$B$38="pvp",1,(1+(Inputs!$B$21+Skills!Q10)/100)*(MIN(Skills!R10,Inputs!$B$37))),0)</f>
        <v/>
      </c>
    </row>
    <row r="404">
      <c r="A404">
        <f>Skills!A11</f>
        <v/>
      </c>
      <c r="B404">
        <f>Skills!B11</f>
        <v/>
      </c>
      <c r="C404">
        <f>Inputs!$B$3&gt;=63</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Inputs!$B$19+0)/100)))*(1+(Inputs!$B$24+0+B426)/100)*(1+1.5*IF(C405=TRUE,F405,0)/100)*(1+(IF(Skills!A11="BLAST",Inputs!$B$17+((C414=TRUE)*(F414-Calc!F21)),Inputs!$B$18+((C416=TRUE)*(F416-Calc!F23))))/100)*((1+(((C406=TRUE)*F406*MIN(1,Skills!T13*(Skills!J13/100)*B424))+((C411=TRUE)*F411*IF(AND(Inputs!$B$38&lt;&gt;"pvp",Inputs!$B$43&gt;0),(((R411-1)*(Skills!T18*(1+Inputs!$B$34/100))+MIN((Skills!T18*(1+Inputs!$B$34/100)),MAX(0,Inputs!$B$43-((R411-1)*Skills!D18))))/Inputs!$B$43),IF(Inputs!$B$38="pvp",MIN((Skills!T18*(1+Inputs!$B$34/100)),15)/15,(Skills!T18*(1+Inputs!$B$34/100))/Skills!D18)))+0)/100)*I404)</f>
        <v/>
      </c>
      <c r="L404">
        <f>K404*(MIN(Inputs!$B$22+((C415=TRUE)*(F415-Calc!F22)),(Inputs!$B$23+1)+((C417=TRUE)*(F417-Calc!F24)))/100+((Inputs!$B$23+1)+((C417=TRUE)*(F417-Calc!F24)))/100)/2</f>
        <v/>
      </c>
      <c r="M404">
        <f>L404*(1+(Inputs!$B$10+0+B425)/100)</f>
        <v/>
      </c>
      <c r="N404">
        <f>L404*(1-MIN((Inputs!$B$9+0+B420),100)/100)+M404*(MIN((Inputs!$B$9+0+B420),100)/100)</f>
        <v/>
      </c>
      <c r="O404">
        <f>(1-Summary!$B$55)*T404+Summary!$B$55*V404</f>
        <v/>
      </c>
      <c r="P404">
        <f>IF(B430=0,0,O404/B430)</f>
        <v/>
      </c>
      <c r="Q404">
        <f>IFERROR(1/IF(Inputs!$B$38="pvp",15,MAX(0.1,Skills!D11-IF(Skills!E11=TRUE,Inputs!$B$32,0))),0)</f>
        <v/>
      </c>
      <c r="R404">
        <f>IF(AND(Inputs!$B$38&lt;&gt;"pvp",Inputs!$B$43&gt;0),IF(MAX(0,Inputs!$B$43-B427)&lt;=0,0,(INT(MAX(0,Inputs!$B$43-B427)/IF(Inputs!$B$38="pvp",15,MAX(0.1,Skills!D11-IF(Skills!E11=TRUE,Inputs!$B$32,0))))+1)),0)</f>
        <v/>
      </c>
      <c r="S404">
        <f>IFERROR(O404/N404,0)</f>
        <v/>
      </c>
      <c r="T404">
        <f>IF(C404,(H404*N404*IF(AND(Inputs!$B$38&lt;&gt;"pvp",Inputs!$B$43&gt;0),((Skills!G11*((R404-1)*IF(Skills!H11&gt;0,Skills!I11/Skills!H11,1)+IF(Skills!H11&gt;0,MIN(Skills!I11,MAX(0,MAX(0,Inputs!$B$43-B427)-((R404-1)*IF(Inputs!$B$38="pvp",15,MAX(0.1,Skills!D11-IF(Skills!E11=TRUE,Inputs!$B$32,0))))))/Skills!H11,1)))/Inputs!$B$43),G404*Q404))*IF(Inputs!$B$38="pvp",1,1+(Inputs!$B$20+0+Skills!P11)/100),0)</f>
        <v/>
      </c>
      <c r="V404">
        <f>IF(C404,(H404*N404*IF(AND(Inputs!$B$38&lt;&gt;"pvp",Inputs!$B$43&gt;0),((Skills!G11*((R404-1)*IF(Skills!H11&gt;0,Skills!I11/Skills!H11,1)+IF(Skills!H11&gt;0,MIN(Skills!I11,MAX(0,MAX(0,Inputs!$B$43-B427)-((R404-1)*IF(Inputs!$B$38="pvp",15,MAX(0.1,Skills!D11-IF(Skills!E11=TRUE,Inputs!$B$32,0))))))/Skills!H11,1)))/Inputs!$B$43),G404*Q404))*IF(Inputs!$B$38="pvp",1,(1+(Inputs!$B$21+Skills!Q11)/100)*(MIN(Skills!R11,Inputs!$B$37))),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f>(1-Summary!$B$55)*T406+Summary!$B$55*V406</f>
        <v/>
      </c>
      <c r="P406">
        <f>IF(B430=0,0,O406/B430)</f>
        <v/>
      </c>
      <c r="Q406" t="n">
        <v>0</v>
      </c>
      <c r="R406" t="n">
        <v>0</v>
      </c>
      <c r="S406">
        <f>IFERROR(O406/N406,0)</f>
        <v/>
      </c>
      <c r="T406" t="n">
        <v>0</v>
      </c>
      <c r="V406" t="n">
        <v>0</v>
      </c>
    </row>
    <row r="407">
      <c r="A407">
        <f>Skills!A14</f>
        <v/>
      </c>
      <c r="B407">
        <f>Skills!B14</f>
        <v/>
      </c>
      <c r="C407">
        <f>Inputs!$B$3&gt;=110</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f>(1-Summary!$B$55)*T407+Summary!$B$55*V407</f>
        <v/>
      </c>
      <c r="P407">
        <f>IF(B430=0,0,O407/B430)</f>
        <v/>
      </c>
      <c r="Q407" t="n">
        <v>0</v>
      </c>
      <c r="R407" t="n">
        <v>0</v>
      </c>
      <c r="S407">
        <f>IFERROR(O407/N407,0)</f>
        <v/>
      </c>
      <c r="T407" t="n">
        <v>0</v>
      </c>
      <c r="V407" t="n">
        <v>0</v>
      </c>
    </row>
    <row r="408">
      <c r="A408">
        <f>Skills!A15</f>
        <v/>
      </c>
      <c r="B408">
        <f>Skills!B15</f>
        <v/>
      </c>
      <c r="C408">
        <f>Inputs!$B$3&gt;=75</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f>(1-Summary!$B$55)*T408+Summary!$B$55*V408</f>
        <v/>
      </c>
      <c r="P408">
        <f>IF(B430=0,0,O408/B430)</f>
        <v/>
      </c>
      <c r="Q408">
        <f>IFERROR(1/IF(Inputs!$B$38="pvp",15,MAX(0.1,Skills!D15-IF(Skills!E15=TRUE,Inputs!$B$32,0))),0)</f>
        <v/>
      </c>
      <c r="R408">
        <f>IF(AND(Inputs!$B$38&lt;&gt;"pvp",Inputs!$B$43&gt;0),IF(Inputs!$B$43&lt;=0,0,(INT(Inputs!$B$43/IF(Inputs!$B$38="pvp",15,MAX(0.1,Skills!D15-IF(Skills!E15=TRUE,Inputs!$B$32,0))))+1)),0)</f>
        <v/>
      </c>
      <c r="S408">
        <f>IFERROR(O408/N408,0)</f>
        <v/>
      </c>
      <c r="T408" t="n">
        <v>0</v>
      </c>
      <c r="V408" t="n">
        <v>0</v>
      </c>
    </row>
    <row r="409">
      <c r="A409">
        <f>Skills!A16</f>
        <v/>
      </c>
      <c r="B409">
        <f>Skills!B16</f>
        <v/>
      </c>
      <c r="C409">
        <f>Inputs!$B$3&gt;=105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f>(1-Summary!$B$55)*T409+Summary!$B$55*V409</f>
        <v/>
      </c>
      <c r="P409">
        <f>IF(B430=0,0,O409/B430)</f>
        <v/>
      </c>
      <c r="Q409">
        <f>IFERROR(1/IF(Inputs!$B$38="pvp",15,MAX(0.1,Skills!D16-IF(Skills!E16=TRUE,Inputs!$B$32,0))),0)</f>
        <v/>
      </c>
      <c r="R409">
        <f>IF(AND(Inputs!$B$38&lt;&gt;"pvp",Inputs!$B$43&gt;0),IF(Inputs!$B$43&lt;=0,0,(INT(Inputs!$B$43/IF(Inputs!$B$38="pvp",15,MAX(0.1,Skills!D16-IF(Skills!E16=TRUE,Inputs!$B$32,0))))+1)),0)</f>
        <v/>
      </c>
      <c r="S409">
        <f>IFERROR(O409/N409,0)</f>
        <v/>
      </c>
      <c r="T409" t="n">
        <v>0</v>
      </c>
      <c r="V409" t="n">
        <v>0</v>
      </c>
    </row>
    <row r="410">
      <c r="A410">
        <f>Skills!A17</f>
        <v/>
      </c>
      <c r="B410">
        <f>Skills!B17</f>
        <v/>
      </c>
      <c r="C410">
        <f>Inputs!$B$3&gt;=115</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f>(1-Summary!$B$55)*T410+Summary!$B$55*V410</f>
        <v/>
      </c>
      <c r="P410">
        <f>IF(B430=0,0,O410/B430)</f>
        <v/>
      </c>
      <c r="Q410">
        <f>IFERROR(1/IF(Inputs!$B$38="pvp",15,MAX(0.1,Skills!D17-IF(Skills!E17=TRUE,Inputs!$B$32,0))),0)</f>
        <v/>
      </c>
      <c r="R410">
        <f>IF(AND(Inputs!$B$38&lt;&gt;"pvp",Inputs!$B$43&gt;0),IF(Inputs!$B$43&lt;=0,0,(INT(Inputs!$B$43/IF(Inputs!$B$38="pvp",15,MAX(0.1,Skills!D17-IF(Skills!E17=TRUE,Inputs!$B$32,0))))+1)),0)</f>
        <v/>
      </c>
      <c r="S410">
        <f>IFERROR(O410/N410,0)</f>
        <v/>
      </c>
      <c r="T410" t="n">
        <v>0</v>
      </c>
      <c r="V410" t="n">
        <v>0</v>
      </c>
    </row>
    <row r="411">
      <c r="A411">
        <f>Skills!A18</f>
        <v/>
      </c>
      <c r="B411">
        <f>Skills!B18</f>
        <v/>
      </c>
      <c r="C411">
        <f>Inputs!$B$3&gt;=74</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f>(1-Summary!$B$55)*T411+Summary!$B$55*V411</f>
        <v/>
      </c>
      <c r="P411">
        <f>IF(B430=0,0,O411/B430)</f>
        <v/>
      </c>
      <c r="Q411">
        <f>IFERROR(1/IF(Inputs!$B$38="pvp",15,MAX(0.1,Skills!D18-IF(Skills!E18=TRUE,Inputs!$B$32,0))),0)</f>
        <v/>
      </c>
      <c r="R411">
        <f>IF(AND(Inputs!$B$38&lt;&gt;"pvp",Inputs!$B$43&gt;0),IF(Inputs!$B$43&lt;=0,0,(INT(Inputs!$B$43/IF(Inputs!$B$38="pvp",15,MAX(0.1,Skills!D18-IF(Skills!E18=TRUE,Inputs!$B$32,0))))+1)),0)</f>
        <v/>
      </c>
      <c r="S411">
        <f>IFERROR(O411/N411,0)</f>
        <v/>
      </c>
      <c r="T411" t="n">
        <v>0</v>
      </c>
      <c r="V411" t="n">
        <v>0</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f>(1-Summary!$B$55)*T412+Summary!$B$55*V412</f>
        <v/>
      </c>
      <c r="P412">
        <f>IF(B430=0,0,O412/B430)</f>
        <v/>
      </c>
      <c r="Q412">
        <f>IFERROR(1/IF(Inputs!$B$38="pvp",15,MAX(0.1,Skills!D19-IF(Skills!E19=TRUE,Inputs!$B$32,0))),0)</f>
        <v/>
      </c>
      <c r="R412">
        <f>IF(AND(Inputs!$B$38&lt;&gt;"pvp",Inputs!$B$43&gt;0),IF(Inputs!$B$43&lt;=0,0,(INT(Inputs!$B$43/IF(Inputs!$B$38="pvp",15,MAX(0.1,Skills!D19-IF(Skills!E19=TRUE,Inputs!$B$32,0))))+1)),0)</f>
        <v/>
      </c>
      <c r="S412">
        <f>IFERROR(O412/N412,0)</f>
        <v/>
      </c>
      <c r="T412" t="n">
        <v>0</v>
      </c>
      <c r="V412" t="n">
        <v>0</v>
      </c>
    </row>
    <row r="413">
      <c r="A413">
        <f>Skills!A20</f>
        <v/>
      </c>
      <c r="B413">
        <f>Skills!B20</f>
        <v/>
      </c>
      <c r="C413">
        <f>Inputs!$B$3&gt;=33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f>(1-Summary!$B$55)*T413+Summary!$B$55*V413</f>
        <v/>
      </c>
      <c r="P413">
        <f>IF(B430=0,0,O413/B430)</f>
        <v/>
      </c>
      <c r="Q413" t="n">
        <v>0</v>
      </c>
      <c r="R413" t="n">
        <v>0</v>
      </c>
      <c r="S413">
        <f>IFERROR(O413/N413,0)</f>
        <v/>
      </c>
      <c r="T413" t="n">
        <v>0</v>
      </c>
      <c r="V413" t="n">
        <v>0</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f>(1-Summary!$B$55)*T414+Summary!$B$55*V414</f>
        <v/>
      </c>
      <c r="P414">
        <f>IF(B430=0,0,O414/B430)</f>
        <v/>
      </c>
      <c r="Q414" t="n">
        <v>0</v>
      </c>
      <c r="R414" t="n">
        <v>0</v>
      </c>
      <c r="S414">
        <f>IFERROR(O414/N414,0)</f>
        <v/>
      </c>
      <c r="T414" t="n">
        <v>0</v>
      </c>
      <c r="V414" t="n">
        <v>0</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f>(1-Summary!$B$55)*T415+Summary!$B$55*V415</f>
        <v/>
      </c>
      <c r="P415">
        <f>IF(B430=0,0,O415/B430)</f>
        <v/>
      </c>
      <c r="Q415" t="n">
        <v>0</v>
      </c>
      <c r="R415" t="n">
        <v>0</v>
      </c>
      <c r="S415">
        <f>IFERROR(O415/N415,0)</f>
        <v/>
      </c>
      <c r="T415" t="n">
        <v>0</v>
      </c>
      <c r="V415" t="n">
        <v>0</v>
      </c>
    </row>
    <row r="416">
      <c r="A416">
        <f>Skills!A23</f>
        <v/>
      </c>
      <c r="B416">
        <f>Skills!B23</f>
        <v/>
      </c>
      <c r="C416">
        <f>Inputs!$B$3&gt;=120</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f>(1-Summary!$B$55)*T416+Summary!$B$55*V416</f>
        <v/>
      </c>
      <c r="P416">
        <f>IF(B430=0,0,O416/B430)</f>
        <v/>
      </c>
      <c r="Q416" t="n">
        <v>0</v>
      </c>
      <c r="R416" t="n">
        <v>0</v>
      </c>
      <c r="S416">
        <f>IFERROR(O416/N416,0)</f>
        <v/>
      </c>
      <c r="T416" t="n">
        <v>0</v>
      </c>
      <c r="V416" t="n">
        <v>0</v>
      </c>
    </row>
    <row r="417">
      <c r="A417">
        <f>Skills!A24</f>
        <v/>
      </c>
      <c r="B417">
        <f>Skills!B24</f>
        <v/>
      </c>
      <c r="C417">
        <f>Inputs!$B$3&gt;=120</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f>(1-Summary!$B$55)*T417+Summary!$B$55*V417</f>
        <v/>
      </c>
      <c r="P417">
        <f>IF(B430=0,0,O417/B430)</f>
        <v/>
      </c>
      <c r="Q417" t="n">
        <v>0</v>
      </c>
      <c r="R417" t="n">
        <v>0</v>
      </c>
      <c r="S417">
        <f>IFERROR(O417/N417,0)</f>
        <v/>
      </c>
      <c r="T417" t="n">
        <v>0</v>
      </c>
      <c r="V417" t="n">
        <v>0</v>
      </c>
    </row>
    <row r="419">
      <c r="A419" t="inlineStr">
        <is>
          <t>Attack% Bucket Multiplier</t>
        </is>
      </c>
      <c r="B419">
        <f>(1+(((C406=TRUE)*F406*MIN(1,Skills!T13*(Skills!J13/100)*B424))+((C411=TRUE)*F411*IF(AND(Inputs!$B$38&lt;&gt;"pvp",Inputs!$B$43&gt;0),(((R411-1)*(Skills!T18*(1+Inputs!$B$34/100))+MIN((Skills!T18*(1+Inputs!$B$34/100)),MAX(0,Inputs!$B$43-((R411-1)*Skills!D18))))/Inputs!$B$43),IF(Inputs!$B$38="pvp",MIN((Skills!T18*(1+Inputs!$B$34/100)),15)/15,(Skills!T18*(1+Inputs!$B$34/100))/Skills!D18)))+0)/100)</f>
        <v/>
      </c>
    </row>
    <row r="420">
      <c r="A420" t="inlineStr">
        <is>
          <t>Global Crit Rate Bonus %</t>
        </is>
      </c>
      <c r="B420" t="n">
        <v>0</v>
      </c>
    </row>
    <row r="421">
      <c r="A421" t="inlineStr">
        <is>
          <t>Attack Speed Buff Bonus %</t>
        </is>
      </c>
      <c r="B421">
        <f>((C412=TRUE)*F412*IF(AND(Inputs!$B$38&lt;&gt;"pvp",Inputs!$B$43&gt;0),(((R412-1)*(Skills!T19*(1+Inputs!$B$34/100))+MIN((Skills!T19*(1+Inputs!$B$34/100)),MAX(0,Inputs!$B$43-((R412-1)*Skills!D19))))/Inputs!$B$43),IF(Inputs!$B$38="pvp",MIN((Skills!T19*(1+Inputs!$B$34/100)),15)/15,(Skills!T19*(1+Inputs!$B$34/100))/Skills!D19)))</f>
        <v/>
      </c>
    </row>
    <row r="422">
      <c r="A422" t="inlineStr">
        <is>
          <t>Actions Per Second</t>
        </is>
      </c>
      <c r="B422">
        <f>1+MIN(150,150*(1-(1-(Inputs!$B$11+((C413=TRUE)*(F413-Calc!F20)))/150)*(1-B421/150)))/100</f>
        <v/>
      </c>
    </row>
    <row r="423">
      <c r="A423" t="inlineStr">
        <is>
          <t>Skill + Buff Cast Rate</t>
        </is>
      </c>
      <c r="B423">
        <f>IF(AND(Inputs!$B$38&lt;&gt;"pvp",Inputs!$B$43&gt;0),SUMPRODUCT((Skills!E2:E24=TRUE)*(C395:C417=TRUE)*R395:R417*Skills!F2:F24)/Inputs!$B$43,SUMPRODUCT((Skills!E2:E24=TRUE)*(C395:C417=TRUE)*Q395:Q417*Skills!F2:F24))</f>
        <v/>
      </c>
    </row>
    <row r="424">
      <c r="A424" t="inlineStr">
        <is>
          <t>Blast Casts Per Second</t>
        </is>
      </c>
      <c r="B424">
        <f>MAX(0,B422-B423)</f>
        <v/>
      </c>
    </row>
    <row r="425">
      <c r="A425" t="inlineStr">
        <is>
          <t>Global Critical Damage Bonus % (unused)</t>
        </is>
      </c>
      <c r="B425" t="n">
        <v>0</v>
      </c>
    </row>
    <row r="426">
      <c r="A426" t="inlineStr">
        <is>
          <t>Global Final Damage Bonus % (Divine Shield + Guardian + Divine Blessing + Greater Vessel of Light)</t>
        </is>
      </c>
      <c r="B426">
        <f>((C408=TRUE)*F408*IF(AND(Inputs!$B$38&lt;&gt;"pvp",Inputs!$B$43&gt;0),(((R408-1)*(Skills!T15*(1+Inputs!$B$34/100))+MIN((Skills!T15*(1+Inputs!$B$34/100)),MAX(0,Inputs!$B$43-((R408-1)*Skills!D15))))/Inputs!$B$43),IF(Inputs!$B$38="pvp",MIN((Skills!T15*(1+Inputs!$B$34/100)),15)/15,(Skills!T15*(1+Inputs!$B$34/100))/Skills!D15)))+((C409=TRUE)*F409*IF(AND(Inputs!$B$38&lt;&gt;"pvp",Inputs!$B$43&gt;0),(((R409-1)*(Skills!T16*(1+Inputs!$B$34/100))+MIN((Skills!T16*(1+Inputs!$B$34/100)),MAX(0,Inputs!$B$43-((R409-1)*Skills!D16))))/Inputs!$B$43),IF(Inputs!$B$38="pvp",MIN((Skills!T16*(1+Inputs!$B$34/100)),15)/15,(Skills!T16*(1+Inputs!$B$34/100))/Skills!D16)))+((C410=TRUE)*F410*IF(AND(Inputs!$B$38&lt;&gt;"pvp",Inputs!$B$43&gt;0),(((R410-1)*(Skills!T17*(1+Inputs!$B$34/100))+MIN((Skills!T17*(1+Inputs!$B$34/100)),MAX(0,Inputs!$B$43-((R410-1)*Skills!D17))))/Inputs!$B$43),IF(Inputs!$B$38="pvp",MIN((Skills!T17*(1+Inputs!$B$34/100)),15)/15,(Skills!T17*(1+Inputs!$B$34/100))/Skills!D17)))+((C407=TRUE)*F407*MIN(1,Skills!T13*(Skills!J13/100)*B424))</f>
        <v/>
      </c>
    </row>
    <row r="427">
      <c r="A427" t="inlineStr">
        <is>
          <t>Buff-Casting Startup Delay (s, fixed-duration only)</t>
        </is>
      </c>
      <c r="B427">
        <f>IF(AND(Inputs!$B$38&lt;&gt;"pvp",Inputs!$B$43&gt;0),SUMPRODUCT((Skills!T2:T24&gt;0)*(Skills!E2:E24=TRUE)*(C395:C417=TRUE))/B422,0)</f>
        <v/>
      </c>
    </row>
    <row r="428">
      <c r="A428" t="inlineStr">
        <is>
          <t>Boss-Only Total DPS (this block's swept value)</t>
        </is>
      </c>
      <c r="B428">
        <f>SUM(T395:T417)</f>
        <v/>
      </c>
    </row>
    <row r="429">
      <c r="A429" t="inlineStr">
        <is>
          <t>Normal-Only Total DPS (this block's swept value)</t>
        </is>
      </c>
      <c r="B429">
        <f>SUM(V395:V417)</f>
        <v/>
      </c>
    </row>
    <row r="430">
      <c r="A430" s="5" t="inlineStr">
        <is>
          <t>TOTAL DPS</t>
        </is>
      </c>
      <c r="B430" s="5">
        <f>SUM(O395:O417)</f>
        <v/>
      </c>
    </row>
    <row r="433">
      <c r="A433" s="5" t="inlineStr">
        <is>
          <t>Stat: CRIT_RATE %</t>
        </is>
      </c>
    </row>
    <row r="434">
      <c r="A434" s="9" t="inlineStr">
        <is>
          <t>Key</t>
        </is>
      </c>
      <c r="B434" s="9" t="inlineStr">
        <is>
          <t>Name</t>
        </is>
      </c>
      <c r="C434" s="9" t="inlineStr">
        <is>
          <t>Unlocked</t>
        </is>
      </c>
      <c r="D434" s="9" t="inlineStr">
        <is>
          <t>InputLevel</t>
        </is>
      </c>
      <c r="E434" s="9" t="inlineStr">
        <is>
          <t>Factor</t>
        </is>
      </c>
      <c r="F434" s="9" t="inlineStr">
        <is>
          <t>CoefficientPercent</t>
        </is>
      </c>
      <c r="G434" s="9" t="inlineStr">
        <is>
          <t>EffectiveHits</t>
        </is>
      </c>
      <c r="H434" s="9" t="inlineStr">
        <is>
          <t>ProcProbability</t>
        </is>
      </c>
      <c r="I434" s="9" t="inlineStr">
        <is>
          <t>MapleHeroMultiplier</t>
        </is>
      </c>
      <c r="J434" s="9" t="inlineStr">
        <is>
          <t>BaseDamage</t>
        </is>
      </c>
      <c r="K434" s="9" t="inlineStr">
        <is>
          <t>BaseHitDamage</t>
        </is>
      </c>
      <c r="L434" s="9" t="inlineStr">
        <is>
          <t>NonCritAvg</t>
        </is>
      </c>
      <c r="M434" s="9" t="inlineStr">
        <is>
          <t>CritAvg</t>
        </is>
      </c>
      <c r="N434" s="9" t="inlineStr">
        <is>
          <t>ExpectedDamage(perHit)</t>
        </is>
      </c>
      <c r="O434" s="9" t="inlineStr">
        <is>
          <t>DPS</t>
        </is>
      </c>
      <c r="P434" s="9" t="inlineStr">
        <is>
          <t>% of Total</t>
        </is>
      </c>
      <c r="Q434" s="9" t="inlineStr">
        <is>
          <t>InvCooldown</t>
        </is>
      </c>
      <c r="R434" s="9" t="inlineStr">
        <is>
          <t>CastsInFight</t>
        </is>
      </c>
      <c r="S434" s="9"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466)/100)*(1+(IF(Skills!A2="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435)</f>
        <v/>
      </c>
      <c r="L435">
        <f>K435*(MIN(Inputs!$B$22+((C455=TRUE)*(F455-Calc!F22)),Inputs!$B$23+((C457=TRUE)*(F457-Calc!F24)))/100+(Inputs!$B$23+((C457=TRUE)*(F457-Calc!F24)))/100)/2</f>
        <v/>
      </c>
      <c r="M435">
        <f>L435*(1+(Inputs!$B$10+0+B465)/100)</f>
        <v/>
      </c>
      <c r="N435">
        <f>L435*(1-MIN(((Inputs!$B$9+1)+0+B460),100)/100)+M435*(MIN(((Inputs!$B$9+1)+0+B460),100)/100)</f>
        <v/>
      </c>
      <c r="O435">
        <f>(1-Summary!$B$55)*T435+Summary!$B$55*V435</f>
        <v/>
      </c>
      <c r="P435">
        <f>IF(B470=0,0,O435/B470)</f>
        <v/>
      </c>
      <c r="Q435" t="n">
        <v>0</v>
      </c>
      <c r="R435" t="n">
        <v>0</v>
      </c>
      <c r="S435">
        <f>IFERROR(O435/N435,0)</f>
        <v/>
      </c>
      <c r="T435">
        <f>IF(C435,(Skills!G2*N435*B464)*IF(Inputs!$B$38="pvp",1,1+(Inputs!$B$20+0+Skills!P2)/100),0)</f>
        <v/>
      </c>
      <c r="U435">
        <f>MAX(0,(Inputs!$B$3-100)*3)+Inputs!$B$28+Inputs!$B$29</f>
        <v/>
      </c>
      <c r="V435">
        <f>IF(C435,(Skills!G2*N435*B464)*IF(Inputs!$B$38="pvp",1,(1+(Inputs!$B$21+Skills!Q2)/100)*(MIN((6+Inputs!$B$33),Inputs!$B$37))),0)</f>
        <v/>
      </c>
    </row>
    <row r="436">
      <c r="A436">
        <f>Skills!A3</f>
        <v/>
      </c>
      <c r="B436">
        <f>Skills!B3</f>
        <v/>
      </c>
      <c r="C436">
        <f>Inputs!$B$3&gt;=50</f>
        <v/>
      </c>
      <c r="D436">
        <f>IF(Skills!C3=1,60+Inputs!$B$25+Inputs!$B$29,IF(Skills!C3=2,90+Inputs!$B$26+Inputs!$B$29,IF(Skills!C3=3,120+Inputs!$B$27+Inputs!$B$29,MAX(0,(Inputs!$B$3-100)*3)+Inputs!$B$28+Inputs!$B$29)))</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Inputs!$B$3&gt;=35</f>
        <v/>
      </c>
      <c r="D437">
        <f>IF(Skills!C4=1,60+Inputs!$B$25+Inputs!$B$29,IF(Skills!C4=2,90+Inputs!$B$26+Inputs!$B$29,IF(Skills!C4=3,120+Inputs!$B$27+Inputs!$B$29,MAX(0,(Inputs!$B$3-100)*3)+Inputs!$B$28+Inputs!$B$29)))</f>
        <v/>
      </c>
      <c r="E437">
        <f>INDEX(FactorTable!$B$2:$Y$301, MATCH(ROUND(MIN(300,MAX(1,D437)),0), FactorTable!$A$2:$A$301,0), Skills!M4+1)</f>
        <v/>
      </c>
      <c r="F437">
        <f>IF(Skills!N4=TRUE,(Skills!L4/10)*(E437/1000),Skills!L4/10)+Skills!O4</f>
        <v/>
      </c>
      <c r="G437">
        <f>Skills!G4*IF(Skills!H4&gt;0,Skills!I4/Skills!H4,1)</f>
        <v/>
      </c>
      <c r="H437">
        <f>1-(1-Skills!J4/100)^Skills!K4</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466)/100)*(1+4.0*IF(C445=TRUE,F445,0)/100)*(1+(IF(Skills!A4="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437)</f>
        <v/>
      </c>
      <c r="L437">
        <f>K437*(MIN(Inputs!$B$22+((C455=TRUE)*(F455-Calc!F22)),Inputs!$B$23+((C457=TRUE)*(F457-Calc!F24)))/100+(Inputs!$B$23+((C457=TRUE)*(F457-Calc!F24)))/100)/2</f>
        <v/>
      </c>
      <c r="M437">
        <f>L437*(1+(Inputs!$B$10+0+B465)/100)</f>
        <v/>
      </c>
      <c r="N437">
        <f>L437*(1-MIN(((Inputs!$B$9+1)+0+B460),100)/100)+M437*(MIN(((Inputs!$B$9+1)+0+B460),100)/100)</f>
        <v/>
      </c>
      <c r="O437">
        <f>(1-Summary!$B$55)*T437+Summary!$B$55*V437</f>
        <v/>
      </c>
      <c r="P437">
        <f>IF(B470=0,0,O437/B470)</f>
        <v/>
      </c>
      <c r="Q437">
        <f>IFERROR(1/IF(Inputs!$B$38="pvp",15,MAX(0.1,Skills!D4-IF(Skills!E4=TRUE,Inputs!$B$32,0))),0)</f>
        <v/>
      </c>
      <c r="R437">
        <f>IF(AND(Inputs!$B$38&lt;&gt;"pvp",Inputs!$B$43&gt;0),IF(MAX(0,Inputs!$B$43-B467)&lt;=0,0,(INT(MAX(0,Inputs!$B$43-B467)/IF(Inputs!$B$38="pvp",15,MAX(0.1,Skills!D4-IF(Skills!E4=TRUE,Inputs!$B$32,0))))+1)),0)</f>
        <v/>
      </c>
      <c r="S437">
        <f>IFERROR(O437/N437,0)</f>
        <v/>
      </c>
      <c r="T437">
        <f>IF(C437,(H437*N437*IF(AND(Inputs!$B$38&lt;&gt;"pvp",Inputs!$B$43&gt;0),((Skills!G4*((R437-1)*IF(Skills!H4&gt;0,Skills!I4/Skills!H4,1)+IF(Skills!H4&gt;0,MIN(Skills!I4,MAX(0,MAX(0,Inputs!$B$43-B467)-((R437-1)*IF(Inputs!$B$38="pvp",15,MAX(0.1,Skills!D4-IF(Skills!E4=TRUE,Inputs!$B$32,0))))))/Skills!H4,1)))/Inputs!$B$43),G437*Q437))*IF(Inputs!$B$38="pvp",1,1+(Inputs!$B$20+0+Skills!P4)/100),0)</f>
        <v/>
      </c>
      <c r="U437">
        <f>290*U436/1000</f>
        <v/>
      </c>
      <c r="V437">
        <f>IF(C437,(H437*N437*IF(AND(Inputs!$B$38&lt;&gt;"pvp",Inputs!$B$43&gt;0),((Skills!G4*((R437-1)*IF(Skills!H4&gt;0,Skills!I4/Skills!H4,1)+IF(Skills!H4&gt;0,MIN(Skills!I4,MAX(0,MAX(0,Inputs!$B$43-B467)-((R437-1)*IF(Inputs!$B$38="pvp",15,MAX(0.1,Skills!D4-IF(Skills!E4=TRUE,Inputs!$B$32,0))))))/Skills!H4,1)))/Inputs!$B$43),G437*Q437))*IF(Inputs!$B$38="pvp",1,(1+(Inputs!$B$21+Skills!Q4)/100)*(MIN(Skills!R4,Inputs!$B$37))),0)</f>
        <v/>
      </c>
    </row>
    <row r="438">
      <c r="A438">
        <f>Skills!A5</f>
        <v/>
      </c>
      <c r="B438">
        <f>Skills!B5</f>
        <v/>
      </c>
      <c r="C438">
        <f>Inputs!$B$3&gt;=66</f>
        <v/>
      </c>
      <c r="D438">
        <f>IF(Skills!C5=1,60+Inputs!$B$25+Inputs!$B$29,IF(Skills!C5=2,90+Inputs!$B$26+Inputs!$B$29,IF(Skills!C5=3,120+Inputs!$B$27+Inputs!$B$29,MAX(0,(Inputs!$B$3-100)*3)+Inputs!$B$28+Inputs!$B$29)))</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466)/100)*(1+1.0*IF(C445=TRUE,F445,0)/100)*(1+(IF(Skills!A5="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438)</f>
        <v/>
      </c>
      <c r="L438">
        <f>K438*(MIN(Inputs!$B$22+((C455=TRUE)*(F455-Calc!F22)),Inputs!$B$23+((C457=TRUE)*(F457-Calc!F24)))/100+(Inputs!$B$23+((C457=TRUE)*(F457-Calc!F24)))/100)/2</f>
        <v/>
      </c>
      <c r="M438">
        <f>L438*(1+(Inputs!$B$10+0+B465)/100)</f>
        <v/>
      </c>
      <c r="N438">
        <f>L438*(1-MIN(((Inputs!$B$9+1)+0+B460),100)/100)+M438*(MIN(((Inputs!$B$9+1)+0+B460),100)/100)</f>
        <v/>
      </c>
      <c r="O438">
        <f>(1-Summary!$B$55)*T438+Summary!$B$55*V438</f>
        <v/>
      </c>
      <c r="P438">
        <f>IF(B470=0,0,O438/B470)</f>
        <v/>
      </c>
      <c r="Q438">
        <f>IFERROR(1/IF(Inputs!$B$38="pvp",15,MAX(0.1,Skills!D5-IF(Skills!E5=TRUE,Inputs!$B$32,0))),0)</f>
        <v/>
      </c>
      <c r="R438">
        <f>IF(AND(Inputs!$B$38&lt;&gt;"pvp",Inputs!$B$43&gt;0),IF(MAX(0,Inputs!$B$43-B467)&lt;=0,0,(INT(MAX(0,Inputs!$B$43-B467)/IF(Inputs!$B$38="pvp",15,MAX(0.1,Skills!D5-IF(Skills!E5=TRUE,Inputs!$B$32,0))))+1)),0)</f>
        <v/>
      </c>
      <c r="S438">
        <f>IFERROR(O438/N438,0)</f>
        <v/>
      </c>
      <c r="T438">
        <f>IF(C438,(H438*N438*IF(AND(Inputs!$B$38&lt;&gt;"pvp",Inputs!$B$43&gt;0),((Skills!G5*((R438-1)*IF(Skills!H5&gt;0,Skills!I5/Skills!H5,1)+IF(Skills!H5&gt;0,MIN(Skills!I5,MAX(0,MAX(0,Inputs!$B$43-B467)-((R438-1)*IF(Inputs!$B$38="pvp",15,MAX(0.1,Skills!D5-IF(Skills!E5=TRUE,Inputs!$B$32,0))))))/Skills!H5,1)))/Inputs!$B$43),G438*Q438))*IF(Inputs!$B$38="pvp",1,1+(Inputs!$B$20+0+Skills!P5)/100),0)</f>
        <v/>
      </c>
      <c r="V438">
        <f>IF(C438,(H438*N438*IF(AND(Inputs!$B$38&lt;&gt;"pvp",Inputs!$B$43&gt;0),((Skills!G5*((R438-1)*IF(Skills!H5&gt;0,Skills!I5/Skills!H5,1)+IF(Skills!H5&gt;0,MIN(Skills!I5,MAX(0,MAX(0,Inputs!$B$43-B467)-((R438-1)*IF(Inputs!$B$38="pvp",15,MAX(0.1,Skills!D5-IF(Skills!E5=TRUE,Inputs!$B$32,0))))))/Skills!H5,1)))/Inputs!$B$43),G438*Q438))*IF(Inputs!$B$38="pvp",1,(1+(Inputs!$B$21+Skills!Q5)/100)*(MIN(Skills!R5,Inputs!$B$37))),0)</f>
        <v/>
      </c>
    </row>
    <row r="439">
      <c r="A439">
        <f>Skills!A6</f>
        <v/>
      </c>
      <c r="B439">
        <f>Skills!B6</f>
        <v/>
      </c>
      <c r="C439">
        <f>Inputs!$B$3&gt;=103</f>
        <v/>
      </c>
      <c r="D439">
        <f>IF(Skills!C6=1,60+Inputs!$B$25+Inputs!$B$29,IF(Skills!C6=2,90+Inputs!$B$26+Inputs!$B$29,IF(Skills!C6=3,120+Inputs!$B$27+Inputs!$B$29,MAX(0,(Inputs!$B$3-100)*3)+Inputs!$B$28+Inputs!$B$29)))</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466)/100)*(1+(IF(Skills!A6="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439)</f>
        <v/>
      </c>
      <c r="L439">
        <f>K439*(MIN(Inputs!$B$22+((C455=TRUE)*(F455-Calc!F22)),Inputs!$B$23+((C457=TRUE)*(F457-Calc!F24)))/100+(Inputs!$B$23+((C457=TRUE)*(F457-Calc!F24)))/100)/2</f>
        <v/>
      </c>
      <c r="M439">
        <f>L439*(1+(Inputs!$B$10+0+B465)/100)</f>
        <v/>
      </c>
      <c r="N439">
        <f>L439*(1-MIN(((Inputs!$B$9+1)+0+B460),100)/100)+M439*(MIN(((Inputs!$B$9+1)+0+B460),100)/100)</f>
        <v/>
      </c>
      <c r="O439">
        <f>(1-Summary!$B$55)*T439+Summary!$B$55*V439</f>
        <v/>
      </c>
      <c r="P439">
        <f>IF(B470=0,0,O439/B470)</f>
        <v/>
      </c>
      <c r="Q439">
        <f>IFERROR(1/IF(Inputs!$B$38="pvp",15,MAX(0.1,Skills!D6-IF(Skills!E6=TRUE,Inputs!$B$32,0))),0)</f>
        <v/>
      </c>
      <c r="R439">
        <f>IF(AND(Inputs!$B$38&lt;&gt;"pvp",Inputs!$B$43&gt;0),IF(MAX(0,Inputs!$B$43-B467)&lt;=0,0,(INT(MAX(0,Inputs!$B$43-B467)/IF(Inputs!$B$38="pvp",15,MAX(0.1,Skills!D6-IF(Skills!E6=TRUE,Inputs!$B$32,0))))+1)),0)</f>
        <v/>
      </c>
      <c r="S439">
        <f>IFERROR(O439/N439,0)</f>
        <v/>
      </c>
      <c r="T439">
        <f>IF(C439,(H439*N439*IF(AND(Inputs!$B$38&lt;&gt;"pvp",Inputs!$B$43&gt;0),((Skills!G6*((R439-1)*IF(Skills!H6&gt;0,Skills!I6/Skills!H6,1)+IF(Skills!H6&gt;0,MIN(Skills!I6,MAX(0,MAX(0,Inputs!$B$43-B467)-((R439-1)*IF(Inputs!$B$38="pvp",15,MAX(0.1,Skills!D6-IF(Skills!E6=TRUE,Inputs!$B$32,0))))))/Skills!H6,1)))/Inputs!$B$43),G439*Q439))*IF(Inputs!$B$38="pvp",1,1+(Inputs!$B$20+0+Skills!P6)/100),0)</f>
        <v/>
      </c>
      <c r="V439">
        <f>IF(C439,(H439*N439*IF(AND(Inputs!$B$38&lt;&gt;"pvp",Inputs!$B$43&gt;0),((Skills!G6*((R439-1)*IF(Skills!H6&gt;0,Skills!I6/Skills!H6,1)+IF(Skills!H6&gt;0,MIN(Skills!I6,MAX(0,MAX(0,Inputs!$B$43-B467)-((R439-1)*IF(Inputs!$B$38="pvp",15,MAX(0.1,Skills!D6-IF(Skills!E6=TRUE,Inputs!$B$32,0))))))/Skills!H6,1)))/Inputs!$B$43),G439*Q439))*IF(Inputs!$B$38="pvp",1,(1+(Inputs!$B$21+Skills!Q6)/100)*(MIN(Skills!R6,Inputs!$B$37))),0)</f>
        <v/>
      </c>
    </row>
    <row r="440">
      <c r="A440">
        <f>Skills!A7</f>
        <v/>
      </c>
      <c r="B440">
        <f>Skills!B7</f>
        <v/>
      </c>
      <c r="C440">
        <f>Inputs!$B$3&gt;=107</f>
        <v/>
      </c>
      <c r="D440">
        <f>IF(Skills!C7=1,60+Inputs!$B$25+Inputs!$B$29,IF(Skills!C7=2,90+Inputs!$B$26+Inputs!$B$29,IF(Skills!C7=3,120+Inputs!$B$27+Inputs!$B$29,MAX(0,(Inputs!$B$3-100)*3)+Inputs!$B$28+Inputs!$B$29)))</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466)/100)*(1+(IF(Skills!A7="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440)</f>
        <v/>
      </c>
      <c r="L440">
        <f>K440*(MIN(Inputs!$B$22+((C455=TRUE)*(F455-Calc!F22)),Inputs!$B$23+((C457=TRUE)*(F457-Calc!F24)))/100+(Inputs!$B$23+((C457=TRUE)*(F457-Calc!F24)))/100)/2</f>
        <v/>
      </c>
      <c r="M440">
        <f>L440*(1+(Inputs!$B$10+0+B465)/100)</f>
        <v/>
      </c>
      <c r="N440">
        <f>L440*(1-MIN(((Inputs!$B$9+1)+0+B460),100)/100)+M440*(MIN(((Inputs!$B$9+1)+0+B460),100)/100)</f>
        <v/>
      </c>
      <c r="O440">
        <f>(1-Summary!$B$55)*T440+Summary!$B$55*V440</f>
        <v/>
      </c>
      <c r="P440">
        <f>IF(B470=0,0,O440/B470)</f>
        <v/>
      </c>
      <c r="Q440">
        <f>IFERROR(1/IF(Inputs!$B$38="pvp",15,MAX(0.1,Skills!D7-IF(Skills!E7=TRUE,Inputs!$B$32,0))),0)</f>
        <v/>
      </c>
      <c r="R440">
        <f>IF(AND(Inputs!$B$38&lt;&gt;"pvp",Inputs!$B$43&gt;0),IF(MAX(0,Inputs!$B$43-B467)&lt;=0,0,(INT(MAX(0,Inputs!$B$43-B467)/IF(Inputs!$B$38="pvp",15,MAX(0.1,Skills!D7-IF(Skills!E7=TRUE,Inputs!$B$32,0))))+1)),0)</f>
        <v/>
      </c>
      <c r="S440">
        <f>IFERROR(O440/N440,0)</f>
        <v/>
      </c>
      <c r="T440">
        <f>IF(C440,(H440*N440*IF(AND(Inputs!$B$38&lt;&gt;"pvp",Inputs!$B$43&gt;0),((Skills!G7*((R440-1)*IF(Skills!H7&gt;0,Skills!I7/Skills!H7,1)+IF(Skills!H7&gt;0,MIN(Skills!I7,MAX(0,MAX(0,Inputs!$B$43-B467)-((R440-1)*IF(Inputs!$B$38="pvp",15,MAX(0.1,Skills!D7-IF(Skills!E7=TRUE,Inputs!$B$32,0))))))/Skills!H7,1)))/Inputs!$B$43),G440*Q440))*IF(Inputs!$B$38="pvp",1,1+(Inputs!$B$20+0+Skills!P7)/100),0)</f>
        <v/>
      </c>
      <c r="V440">
        <f>IF(C440,(H440*N440*IF(AND(Inputs!$B$38&lt;&gt;"pvp",Inputs!$B$43&gt;0),((Skills!G7*((R440-1)*IF(Skills!H7&gt;0,Skills!I7/Skills!H7,1)+IF(Skills!H7&gt;0,MIN(Skills!I7,MAX(0,MAX(0,Inputs!$B$43-B467)-((R440-1)*IF(Inputs!$B$38="pvp",15,MAX(0.1,Skills!D7-IF(Skills!E7=TRUE,Inputs!$B$32,0))))))/Skills!H7,1)))/Inputs!$B$43),G440*Q440))*IF(Inputs!$B$38="pvp",1,(1+(Inputs!$B$21+Skills!Q7)/100)*(MIN(Skills!R7,Inputs!$B$37))),0)</f>
        <v/>
      </c>
    </row>
    <row r="441">
      <c r="A441">
        <f>Skills!A8</f>
        <v/>
      </c>
      <c r="B441">
        <f>Skills!B8</f>
        <v/>
      </c>
      <c r="C441">
        <f>Inputs!$B$3&gt;=107</f>
        <v/>
      </c>
      <c r="D441">
        <f>IF(Skills!C8=1,60+Inputs!$B$25+Inputs!$B$29,IF(Skills!C8=2,90+Inputs!$B$26+Inputs!$B$29,IF(Skills!C8=3,120+Inputs!$B$27+Inputs!$B$29,MAX(0,(Inputs!$B$3-100)*3)+Inputs!$B$28+Inputs!$B$29)))</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466)/100)*(1+(IF(Skills!A8="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441)</f>
        <v/>
      </c>
      <c r="L441">
        <f>K441*(MIN(Inputs!$B$22+((C455=TRUE)*(F455-Calc!F22)),Inputs!$B$23+((C457=TRUE)*(F457-Calc!F24)))/100+(Inputs!$B$23+((C457=TRUE)*(F457-Calc!F24)))/100)/2</f>
        <v/>
      </c>
      <c r="M441">
        <f>L441*(1+(Inputs!$B$10+0+B465)/100)</f>
        <v/>
      </c>
      <c r="N441">
        <f>L441*(1-MIN(((Inputs!$B$9+1)+0+B460),100)/100)+M441*(MIN(((Inputs!$B$9+1)+0+B460),100)/100)</f>
        <v/>
      </c>
      <c r="O441">
        <f>(1-Summary!$B$55)*T441+Summary!$B$55*V441</f>
        <v/>
      </c>
      <c r="P441">
        <f>IF(B470=0,0,O441/B470)</f>
        <v/>
      </c>
      <c r="Q441">
        <f>IFERROR(1/IF(Inputs!$B$38="pvp",15,MAX(0.1,Skills!D8-IF(Skills!E8=TRUE,Inputs!$B$32,0))),0)</f>
        <v/>
      </c>
      <c r="R441">
        <f>IF(AND(Inputs!$B$38&lt;&gt;"pvp",Inputs!$B$43&gt;0),IF(MAX(0,Inputs!$B$43-B467)&lt;=0,0,(INT(MAX(0,Inputs!$B$43-B467)/IF(Inputs!$B$38="pvp",15,MAX(0.1,Skills!D8-IF(Skills!E8=TRUE,Inputs!$B$32,0))))+1)),0)</f>
        <v/>
      </c>
      <c r="S441">
        <f>IFERROR(O441/N441,0)</f>
        <v/>
      </c>
      <c r="T441">
        <f>IF(C441,(H441*N441*IF(AND(Inputs!$B$38&lt;&gt;"pvp",Inputs!$B$43&gt;0),((Skills!G8*((R441-1)*IF(Skills!H8&gt;0,Skills!I8/Skills!H8,1)+IF(Skills!H8&gt;0,MIN(Skills!I8,MAX(0,MAX(0,Inputs!$B$43-B467)-((R441-1)*IF(Inputs!$B$38="pvp",15,MAX(0.1,Skills!D8-IF(Skills!E8=TRUE,Inputs!$B$32,0))))))/Skills!H8,1)))/Inputs!$B$43),G441*Q441))*IF(Inputs!$B$38="pvp",1,1+(Inputs!$B$20+0+Skills!P8)/100),0)</f>
        <v/>
      </c>
      <c r="V441">
        <f>IF(C441,(H441*N441*IF(AND(Inputs!$B$38&lt;&gt;"pvp",Inputs!$B$43&gt;0),((Skills!G8*((R441-1)*IF(Skills!H8&gt;0,Skills!I8/Skills!H8,1)+IF(Skills!H8&gt;0,MIN(Skills!I8,MAX(0,MAX(0,Inputs!$B$43-B467)-((R441-1)*IF(Inputs!$B$38="pvp",15,MAX(0.1,Skills!D8-IF(Skills!E8=TRUE,Inputs!$B$32,0))))))/Skills!H8,1)))/Inputs!$B$43),G441*Q441))*IF(Inputs!$B$38="pvp",1,(1+(Inputs!$B$21+Skills!Q8)/100)*(MIN(Skills!R8,Inputs!$B$37))),0)</f>
        <v/>
      </c>
    </row>
    <row r="442">
      <c r="A442">
        <f>Skills!A9</f>
        <v/>
      </c>
      <c r="B442">
        <f>Skills!B9</f>
        <v/>
      </c>
      <c r="C442">
        <f>Inputs!$B$3&gt;=125</f>
        <v/>
      </c>
      <c r="D442">
        <f>IF(Skills!C9=1,60+Inputs!$B$25+Inputs!$B$29,IF(Skills!C9=2,90+Inputs!$B$26+Inputs!$B$29,IF(Skills!C9=3,120+Inputs!$B$27+Inputs!$B$29,MAX(0,(Inputs!$B$3-100)*3)+Inputs!$B$28+Inputs!$B$29)))</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466)/100)*(1+(IF(Skills!A9="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442)</f>
        <v/>
      </c>
      <c r="L442">
        <f>K442*(MIN(Inputs!$B$22+((C455=TRUE)*(F455-Calc!F22)),Inputs!$B$23+((C457=TRUE)*(F457-Calc!F24)))/100+(Inputs!$B$23+((C457=TRUE)*(F457-Calc!F24)))/100)/2</f>
        <v/>
      </c>
      <c r="M442">
        <f>L442*(1+(Inputs!$B$10+0+B465)/100)</f>
        <v/>
      </c>
      <c r="N442">
        <f>L442*(1-MIN(((Inputs!$B$9+1)+0+B460),100)/100)+M442*(MIN(((Inputs!$B$9+1)+0+B460),100)/100)</f>
        <v/>
      </c>
      <c r="O442">
        <f>(1-Summary!$B$55)*T442+Summary!$B$55*V442</f>
        <v/>
      </c>
      <c r="P442">
        <f>IF(B470=0,0,O442/B470)</f>
        <v/>
      </c>
      <c r="Q442">
        <f>IFERROR(1/IF(Inputs!$B$38="pvp",15,MAX(0.1,Skills!D9-IF(Skills!E9=TRUE,Inputs!$B$32,0))),0)</f>
        <v/>
      </c>
      <c r="R442">
        <f>IF(AND(Inputs!$B$38&lt;&gt;"pvp",Inputs!$B$43&gt;0),IF(MAX(0,Inputs!$B$43-B467)&lt;=0,0,(INT(MAX(0,Inputs!$B$43-B467)/IF(Inputs!$B$38="pvp",15,MAX(0.1,Skills!D9-IF(Skills!E9=TRUE,Inputs!$B$32,0))))+1)),0)</f>
        <v/>
      </c>
      <c r="S442">
        <f>IFERROR(O442/N442,0)</f>
        <v/>
      </c>
      <c r="T442">
        <f>IF(C442,(H442*N442*IF(AND(Inputs!$B$38&lt;&gt;"pvp",Inputs!$B$43&gt;0),((Skills!G9*((R442-1)*IF(Skills!H9&gt;0,Skills!I9/Skills!H9,1)+IF(Skills!H9&gt;0,MIN(Skills!I9,MAX(0,MAX(0,Inputs!$B$43-B467)-((R442-1)*IF(Inputs!$B$38="pvp",15,MAX(0.1,Skills!D9-IF(Skills!E9=TRUE,Inputs!$B$32,0))))))/Skills!H9,1)))/Inputs!$B$43),G442*Q442))*IF(Inputs!$B$38="pvp",1,1+(Inputs!$B$20+0+Skills!P9)/100),0)</f>
        <v/>
      </c>
      <c r="V442">
        <f>IF(C442,(H442*N442*IF(AND(Inputs!$B$38&lt;&gt;"pvp",Inputs!$B$43&gt;0),((Skills!G9*((R442-1)*IF(Skills!H9&gt;0,Skills!I9/Skills!H9,1)+IF(Skills!H9&gt;0,MIN(Skills!I9,MAX(0,MAX(0,Inputs!$B$43-B467)-((R442-1)*IF(Inputs!$B$38="pvp",15,MAX(0.1,Skills!D9-IF(Skills!E9=TRUE,Inputs!$B$32,0))))))/Skills!H9,1)))/Inputs!$B$43),G442*Q442))*IF(Inputs!$B$38="pvp",1,(1+(Inputs!$B$21+Skills!Q9)/100)*(MIN(Skills!R9,Inputs!$B$37))),0)</f>
        <v/>
      </c>
    </row>
    <row r="443">
      <c r="A443">
        <f>Skills!A10</f>
        <v/>
      </c>
      <c r="B443">
        <f>Skills!B10</f>
        <v/>
      </c>
      <c r="C443">
        <f>Inputs!$B$3&gt;=117</f>
        <v/>
      </c>
      <c r="D443">
        <f>IF(Skills!C10=1,60+Inputs!$B$25+Inputs!$B$29,IF(Skills!C10=2,90+Inputs!$B$26+Inputs!$B$29,IF(Skills!C10=3,120+Inputs!$B$27+Inputs!$B$29,MAX(0,(Inputs!$B$3-100)*3)+Inputs!$B$28+Inputs!$B$29)))</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((Inputs!$B$6*(1+Inputs!$B$7/100))+(((Inputs!$B$12*(1+Inputs!$B$13/100))-(Inputs!$B$12*(1+Inputs!$B$13/100)))+0.25*(Inputs!$B$14-Inputs!$B$14))*(1+Inputs!$B$7/100))*(F443/100)</f>
        <v/>
      </c>
      <c r="K443">
        <f>J443*(1+((Inputs!$B$12*(1+Inputs!$B$13/100))*0.01+Inputs!$B$14*0.0025)/100)*(1+Inputs!$B$15/100)*(1+Inputs!$B$16/100)*(5000/(6000+Inputs!$B$42*(1-(Inputs!$B$19+0)/100)))*(1+(Inputs!$B$24+0+B466)/100)*(1+(IF(Skills!A10="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443)</f>
        <v/>
      </c>
      <c r="L443">
        <f>K443*(MIN(Inputs!$B$22+((C455=TRUE)*(F455-Calc!F22)),Inputs!$B$23+((C457=TRUE)*(F457-Calc!F24)))/100+(Inputs!$B$23+((C457=TRUE)*(F457-Calc!F24)))/100)/2</f>
        <v/>
      </c>
      <c r="M443">
        <f>L443*(1+(Inputs!$B$10+0+B465)/100)</f>
        <v/>
      </c>
      <c r="N443">
        <f>L443*(1-MIN(((Inputs!$B$9+1)+0+B460),100)/100)+M443*(MIN(((Inputs!$B$9+1)+0+B460),100)/100)</f>
        <v/>
      </c>
      <c r="O443">
        <f>(1-Summary!$B$55)*T443+Summary!$B$55*V443</f>
        <v/>
      </c>
      <c r="P443">
        <f>IF(B470=0,0,O443/B470)</f>
        <v/>
      </c>
      <c r="Q443">
        <f>IFERROR(1/IF(Inputs!$B$38="pvp",15,MAX(0.1,Skills!D10-IF(Skills!E10=TRUE,Inputs!$B$32,0))),0)</f>
        <v/>
      </c>
      <c r="R443">
        <f>IF(AND(Inputs!$B$38&lt;&gt;"pvp",Inputs!$B$43&gt;0),IF(MAX(0,Inputs!$B$43-B467)&lt;=0,0,(INT(MAX(0,Inputs!$B$43-B467)/IF(Inputs!$B$38="pvp",15,MAX(0.1,Skills!D10-IF(Skills!E10=TRUE,Inputs!$B$32,0))))+1)),0)</f>
        <v/>
      </c>
      <c r="S443">
        <f>IFERROR(O443/N443,0)</f>
        <v/>
      </c>
      <c r="T443">
        <f>IF(C443,(H443*N443*IF(AND(Inputs!$B$38&lt;&gt;"pvp",Inputs!$B$43&gt;0),((Skills!G10*((R443-1)*IF(Skills!H10&gt;0,Skills!I10/Skills!H10,1)+IF(Skills!H10&gt;0,MIN(Skills!I10,MAX(0,MAX(0,Inputs!$B$43-B467)-((R443-1)*IF(Inputs!$B$38="pvp",15,MAX(0.1,Skills!D10-IF(Skills!E10=TRUE,Inputs!$B$32,0))))))/Skills!H10,1)))/Inputs!$B$43),G443*Q443))*IF(Inputs!$B$38="pvp",1,1+(Inputs!$B$20+0+Skills!P10)/100),0)</f>
        <v/>
      </c>
      <c r="V443">
        <f>IF(C443,(H443*N443*IF(AND(Inputs!$B$38&lt;&gt;"pvp",Inputs!$B$43&gt;0),((Skills!G10*((R443-1)*IF(Skills!H10&gt;0,Skills!I10/Skills!H10,1)+IF(Skills!H10&gt;0,MIN(Skills!I10,MAX(0,MAX(0,Inputs!$B$43-B467)-((R443-1)*IF(Inputs!$B$38="pvp",15,MAX(0.1,Skills!D10-IF(Skills!E10=TRUE,Inputs!$B$32,0))))))/Skills!H10,1)))/Inputs!$B$43),G443*Q443))*IF(Inputs!$B$38="pvp",1,(1+(Inputs!$B$21+Skills!Q10)/100)*(MIN(Skills!R10,Inputs!$B$37))),0)</f>
        <v/>
      </c>
    </row>
    <row r="444">
      <c r="A444">
        <f>Skills!A11</f>
        <v/>
      </c>
      <c r="B444">
        <f>Skills!B11</f>
        <v/>
      </c>
      <c r="C444">
        <f>Inputs!$B$3&gt;=63</f>
        <v/>
      </c>
      <c r="D444">
        <f>IF(Skills!C11=1,60+Inputs!$B$25+Inputs!$B$29,IF(Skills!C11=2,90+Inputs!$B$26+Inputs!$B$29,IF(Skills!C11=3,120+Inputs!$B$27+Inputs!$B$29,MAX(0,(Inputs!$B$3-100)*3)+Inputs!$B$28+Inputs!$B$29)))</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((Inputs!$B$6*(1+Inputs!$B$7/100))+(((Inputs!$B$12*(1+Inputs!$B$13/100))-(Inputs!$B$12*(1+Inputs!$B$13/100)))+0.25*(Inputs!$B$14-Inputs!$B$14))*(1+Inputs!$B$7/100))*(F444/100)</f>
        <v/>
      </c>
      <c r="K444">
        <f>J444*(1+((Inputs!$B$12*(1+Inputs!$B$13/100))*0.01+Inputs!$B$14*0.0025)/100)*(1+Inputs!$B$15/100)*(1+Inputs!$B$16/100)*(5000/(6000+Inputs!$B$42*(1-(Inputs!$B$19+0)/100)))*(1+(Inputs!$B$24+0+B466)/100)*(1+1.5*IF(C445=TRUE,F445,0)/100)*(1+(IF(Skills!A11="BLAST",Inputs!$B$17+((C454=TRUE)*(F454-Calc!F21)),Inputs!$B$18+((C456=TRUE)*(F456-Calc!F23))))/100)*((1+(((C446=TRUE)*F446*MIN(1,Skills!T13*(Skills!J13/100)*B464))+((C451=TRUE)*F451*IF(AND(Inputs!$B$38&lt;&gt;"pvp",Inputs!$B$43&gt;0),(((R451-1)*(Skills!T18*(1+Inputs!$B$34/100))+MIN((Skills!T18*(1+Inputs!$B$34/100)),MAX(0,Inputs!$B$43-((R451-1)*Skills!D18))))/Inputs!$B$43),IF(Inputs!$B$38="pvp",MIN((Skills!T18*(1+Inputs!$B$34/100)),15)/15,(Skills!T18*(1+Inputs!$B$34/100))/Skills!D18)))+0)/100)*I444)</f>
        <v/>
      </c>
      <c r="L444">
        <f>K444*(MIN(Inputs!$B$22+((C455=TRUE)*(F455-Calc!F22)),Inputs!$B$23+((C457=TRUE)*(F457-Calc!F24)))/100+(Inputs!$B$23+((C457=TRUE)*(F457-Calc!F24)))/100)/2</f>
        <v/>
      </c>
      <c r="M444">
        <f>L444*(1+(Inputs!$B$10+0+B465)/100)</f>
        <v/>
      </c>
      <c r="N444">
        <f>L444*(1-MIN(((Inputs!$B$9+1)+0+B460),100)/100)+M444*(MIN(((Inputs!$B$9+1)+0+B460),100)/100)</f>
        <v/>
      </c>
      <c r="O444">
        <f>(1-Summary!$B$55)*T444+Summary!$B$55*V444</f>
        <v/>
      </c>
      <c r="P444">
        <f>IF(B470=0,0,O444/B470)</f>
        <v/>
      </c>
      <c r="Q444">
        <f>IFERROR(1/IF(Inputs!$B$38="pvp",15,MAX(0.1,Skills!D11-IF(Skills!E11=TRUE,Inputs!$B$32,0))),0)</f>
        <v/>
      </c>
      <c r="R444">
        <f>IF(AND(Inputs!$B$38&lt;&gt;"pvp",Inputs!$B$43&gt;0),IF(MAX(0,Inputs!$B$43-B467)&lt;=0,0,(INT(MAX(0,Inputs!$B$43-B467)/IF(Inputs!$B$38="pvp",15,MAX(0.1,Skills!D11-IF(Skills!E11=TRUE,Inputs!$B$32,0))))+1)),0)</f>
        <v/>
      </c>
      <c r="S444">
        <f>IFERROR(O444/N444,0)</f>
        <v/>
      </c>
      <c r="T444">
        <f>IF(C444,(H444*N444*IF(AND(Inputs!$B$38&lt;&gt;"pvp",Inputs!$B$43&gt;0),((Skills!G11*((R444-1)*IF(Skills!H11&gt;0,Skills!I11/Skills!H11,1)+IF(Skills!H11&gt;0,MIN(Skills!I11,MAX(0,MAX(0,Inputs!$B$43-B467)-((R444-1)*IF(Inputs!$B$38="pvp",15,MAX(0.1,Skills!D11-IF(Skills!E11=TRUE,Inputs!$B$32,0))))))/Skills!H11,1)))/Inputs!$B$43),G444*Q444))*IF(Inputs!$B$38="pvp",1,1+(Inputs!$B$20+0+Skills!P11)/100),0)</f>
        <v/>
      </c>
      <c r="V444">
        <f>IF(C444,(H444*N444*IF(AND(Inputs!$B$38&lt;&gt;"pvp",Inputs!$B$43&gt;0),((Skills!G11*((R444-1)*IF(Skills!H11&gt;0,Skills!I11/Skills!H11,1)+IF(Skills!H11&gt;0,MIN(Skills!I11,MAX(0,MAX(0,Inputs!$B$43-B467)-((R444-1)*IF(Inputs!$B$38="pvp",15,MAX(0.1,Skills!D11-IF(Skills!E11=TRUE,Inputs!$B$32,0))))))/Skills!H11,1)))/Inputs!$B$43),G444*Q444))*IF(Inputs!$B$38="pvp",1,(1+(Inputs!$B$21+Skills!Q11)/100)*(MIN(Skills!R11,Inputs!$B$37))),0)</f>
        <v/>
      </c>
    </row>
    <row r="445">
      <c r="A445">
        <f>Skills!A12</f>
        <v/>
      </c>
      <c r="B445">
        <f>Skills!B12</f>
        <v/>
      </c>
      <c r="C445">
        <f>Inputs!$B$3&gt;=100</f>
        <v/>
      </c>
      <c r="D445">
        <f>IF(Skills!C12=1,60+Inputs!$B$25+Inputs!$B$29,IF(Skills!C12=2,90+Inputs!$B$26+Inputs!$B$29,IF(Skills!C12=3,120+Inputs!$B$27+Inputs!$B$29,MAX(0,(Inputs!$B$3-100)*3)+Inputs!$B$28+Inputs!$B$29)))</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IF(Skills!C13=1,60+Inputs!$B$25+Inputs!$B$29,IF(Skills!C13=2,90+Inputs!$B$26+Inputs!$B$29,IF(Skills!C13=3,120+Inputs!$B$27+Inputs!$B$29,MAX(0,(Inputs!$B$3-100)*3)+Inputs!$B$28+Inputs!$B$29)))</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f>(1-Summary!$B$55)*T446+Summary!$B$55*V446</f>
        <v/>
      </c>
      <c r="P446">
        <f>IF(B470=0,0,O446/B470)</f>
        <v/>
      </c>
      <c r="Q446" t="n">
        <v>0</v>
      </c>
      <c r="R446" t="n">
        <v>0</v>
      </c>
      <c r="S446">
        <f>IFERROR(O446/N446,0)</f>
        <v/>
      </c>
      <c r="T446" t="n">
        <v>0</v>
      </c>
      <c r="V446" t="n">
        <v>0</v>
      </c>
    </row>
    <row r="447">
      <c r="A447">
        <f>Skills!A14</f>
        <v/>
      </c>
      <c r="B447">
        <f>Skills!B14</f>
        <v/>
      </c>
      <c r="C447">
        <f>Inputs!$B$3&gt;=110</f>
        <v/>
      </c>
      <c r="D447">
        <f>IF(Skills!C14=1,60+Inputs!$B$25+Inputs!$B$29,IF(Skills!C14=2,90+Inputs!$B$26+Inputs!$B$29,IF(Skills!C14=3,120+Inputs!$B$27+Inputs!$B$29,MAX(0,(Inputs!$B$3-100)*3)+Inputs!$B$28+Inputs!$B$29)))</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f>(1-Summary!$B$55)*T447+Summary!$B$55*V447</f>
        <v/>
      </c>
      <c r="P447">
        <f>IF(B470=0,0,O447/B470)</f>
        <v/>
      </c>
      <c r="Q447" t="n">
        <v>0</v>
      </c>
      <c r="R447" t="n">
        <v>0</v>
      </c>
      <c r="S447">
        <f>IFERROR(O447/N447,0)</f>
        <v/>
      </c>
      <c r="T447" t="n">
        <v>0</v>
      </c>
      <c r="V447" t="n">
        <v>0</v>
      </c>
    </row>
    <row r="448">
      <c r="A448">
        <f>Skills!A15</f>
        <v/>
      </c>
      <c r="B448">
        <f>Skills!B15</f>
        <v/>
      </c>
      <c r="C448">
        <f>Inputs!$B$3&gt;=75</f>
        <v/>
      </c>
      <c r="D448">
        <f>IF(Skills!C15=1,60+Inputs!$B$25+Inputs!$B$29,IF(Skills!C15=2,90+Inputs!$B$26+Inputs!$B$29,IF(Skills!C15=3,120+Inputs!$B$27+Inputs!$B$29,MAX(0,(Inputs!$B$3-100)*3)+Inputs!$B$28+Inputs!$B$29)))</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f>(1-Summary!$B$55)*T448+Summary!$B$55*V448</f>
        <v/>
      </c>
      <c r="P448">
        <f>IF(B470=0,0,O448/B470)</f>
        <v/>
      </c>
      <c r="Q448">
        <f>IFERROR(1/IF(Inputs!$B$38="pvp",15,MAX(0.1,Skills!D15-IF(Skills!E15=TRUE,Inputs!$B$32,0))),0)</f>
        <v/>
      </c>
      <c r="R448">
        <f>IF(AND(Inputs!$B$38&lt;&gt;"pvp",Inputs!$B$43&gt;0),IF(Inputs!$B$43&lt;=0,0,(INT(Inputs!$B$43/IF(Inputs!$B$38="pvp",15,MAX(0.1,Skills!D15-IF(Skills!E15=TRUE,Inputs!$B$32,0))))+1)),0)</f>
        <v/>
      </c>
      <c r="S448">
        <f>IFERROR(O448/N448,0)</f>
        <v/>
      </c>
      <c r="T448" t="n">
        <v>0</v>
      </c>
      <c r="V448" t="n">
        <v>0</v>
      </c>
    </row>
    <row r="449">
      <c r="A449">
        <f>Skills!A16</f>
        <v/>
      </c>
      <c r="B449">
        <f>Skills!B16</f>
        <v/>
      </c>
      <c r="C449">
        <f>Inputs!$B$3&gt;=105</f>
        <v/>
      </c>
      <c r="D449">
        <f>IF(Skills!C16=1,60+Inputs!$B$25+Inputs!$B$29,IF(Skills!C16=2,90+Inputs!$B$26+Inputs!$B$29,IF(Skills!C16=3,120+Inputs!$B$27+Inputs!$B$29,MAX(0,(Inputs!$B$3-100)*3)+Inputs!$B$28+Inputs!$B$29)))</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f>(1-Summary!$B$55)*T449+Summary!$B$55*V449</f>
        <v/>
      </c>
      <c r="P449">
        <f>IF(B470=0,0,O449/B470)</f>
        <v/>
      </c>
      <c r="Q449">
        <f>IFERROR(1/IF(Inputs!$B$38="pvp",15,MAX(0.1,Skills!D16-IF(Skills!E16=TRUE,Inputs!$B$32,0))),0)</f>
        <v/>
      </c>
      <c r="R449">
        <f>IF(AND(Inputs!$B$38&lt;&gt;"pvp",Inputs!$B$43&gt;0),IF(Inputs!$B$43&lt;=0,0,(INT(Inputs!$B$43/IF(Inputs!$B$38="pvp",15,MAX(0.1,Skills!D16-IF(Skills!E16=TRUE,Inputs!$B$32,0))))+1)),0)</f>
        <v/>
      </c>
      <c r="S449">
        <f>IFERROR(O449/N449,0)</f>
        <v/>
      </c>
      <c r="T449" t="n">
        <v>0</v>
      </c>
      <c r="V449" t="n">
        <v>0</v>
      </c>
    </row>
    <row r="450">
      <c r="A450">
        <f>Skills!A17</f>
        <v/>
      </c>
      <c r="B450">
        <f>Skills!B17</f>
        <v/>
      </c>
      <c r="C450">
        <f>Inputs!$B$3&gt;=115</f>
        <v/>
      </c>
      <c r="D450">
        <f>IF(Skills!C17=1,60+Inputs!$B$25+Inputs!$B$29,IF(Skills!C17=2,90+Inputs!$B$26+Inputs!$B$29,IF(Skills!C17=3,120+Inputs!$B$27+Inputs!$B$29,MAX(0,(Inputs!$B$3-100)*3)+Inputs!$B$28+Inputs!$B$29)))</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f>(1-Summary!$B$55)*T450+Summary!$B$55*V450</f>
        <v/>
      </c>
      <c r="P450">
        <f>IF(B470=0,0,O450/B470)</f>
        <v/>
      </c>
      <c r="Q450">
        <f>IFERROR(1/IF(Inputs!$B$38="pvp",15,MAX(0.1,Skills!D17-IF(Skills!E17=TRUE,Inputs!$B$32,0))),0)</f>
        <v/>
      </c>
      <c r="R450">
        <f>IF(AND(Inputs!$B$38&lt;&gt;"pvp",Inputs!$B$43&gt;0),IF(Inputs!$B$43&lt;=0,0,(INT(Inputs!$B$43/IF(Inputs!$B$38="pvp",15,MAX(0.1,Skills!D17-IF(Skills!E17=TRUE,Inputs!$B$32,0))))+1)),0)</f>
        <v/>
      </c>
      <c r="S450">
        <f>IFERROR(O450/N450,0)</f>
        <v/>
      </c>
      <c r="T450" t="n">
        <v>0</v>
      </c>
      <c r="V450" t="n">
        <v>0</v>
      </c>
    </row>
    <row r="451">
      <c r="A451">
        <f>Skills!A18</f>
        <v/>
      </c>
      <c r="B451">
        <f>Skills!B18</f>
        <v/>
      </c>
      <c r="C451">
        <f>Inputs!$B$3&gt;=74</f>
        <v/>
      </c>
      <c r="D451">
        <f>IF(Skills!C18=1,60+Inputs!$B$25+Inputs!$B$29,IF(Skills!C18=2,90+Inputs!$B$26+Inputs!$B$29,IF(Skills!C18=3,120+Inputs!$B$27+Inputs!$B$29,MAX(0,(Inputs!$B$3-100)*3)+Inputs!$B$28+Inputs!$B$29)))</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f>(1-Summary!$B$55)*T451+Summary!$B$55*V451</f>
        <v/>
      </c>
      <c r="P451">
        <f>IF(B470=0,0,O451/B470)</f>
        <v/>
      </c>
      <c r="Q451">
        <f>IFERROR(1/IF(Inputs!$B$38="pvp",15,MAX(0.1,Skills!D18-IF(Skills!E18=TRUE,Inputs!$B$32,0))),0)</f>
        <v/>
      </c>
      <c r="R451">
        <f>IF(AND(Inputs!$B$38&lt;&gt;"pvp",Inputs!$B$43&gt;0),IF(Inputs!$B$43&lt;=0,0,(INT(Inputs!$B$43/IF(Inputs!$B$38="pvp",15,MAX(0.1,Skills!D18-IF(Skills!E18=TRUE,Inputs!$B$32,0))))+1)),0)</f>
        <v/>
      </c>
      <c r="S451">
        <f>IFERROR(O451/N451,0)</f>
        <v/>
      </c>
      <c r="T451" t="n">
        <v>0</v>
      </c>
      <c r="V451" t="n">
        <v>0</v>
      </c>
    </row>
    <row r="452">
      <c r="A452">
        <f>Skills!A19</f>
        <v/>
      </c>
      <c r="B452">
        <f>Skills!B19</f>
        <v/>
      </c>
      <c r="C452">
        <f>TRUE</f>
        <v/>
      </c>
      <c r="D452">
        <f>IF(Skills!C19=1,60+Inputs!$B$25+Inputs!$B$29,IF(Skills!C19=2,90+Inputs!$B$26+Inputs!$B$29,IF(Skills!C19=3,120+Inputs!$B$27+Inputs!$B$29,MAX(0,(Inputs!$B$3-100)*3)+Inputs!$B$28+Inputs!$B$29)))</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f>(1-Summary!$B$55)*T452+Summary!$B$55*V452</f>
        <v/>
      </c>
      <c r="P452">
        <f>IF(B470=0,0,O452/B470)</f>
        <v/>
      </c>
      <c r="Q452">
        <f>IFERROR(1/IF(Inputs!$B$38="pvp",15,MAX(0.1,Skills!D19-IF(Skills!E19=TRUE,Inputs!$B$32,0))),0)</f>
        <v/>
      </c>
      <c r="R452">
        <f>IF(AND(Inputs!$B$38&lt;&gt;"pvp",Inputs!$B$43&gt;0),IF(Inputs!$B$43&lt;=0,0,(INT(Inputs!$B$43/IF(Inputs!$B$38="pvp",15,MAX(0.1,Skills!D19-IF(Skills!E19=TRUE,Inputs!$B$32,0))))+1)),0)</f>
        <v/>
      </c>
      <c r="S452">
        <f>IFERROR(O452/N452,0)</f>
        <v/>
      </c>
      <c r="T452" t="n">
        <v>0</v>
      </c>
      <c r="V452" t="n">
        <v>0</v>
      </c>
    </row>
    <row r="453">
      <c r="A453">
        <f>Skills!A20</f>
        <v/>
      </c>
      <c r="B453">
        <f>Skills!B20</f>
        <v/>
      </c>
      <c r="C453">
        <f>Inputs!$B$3&gt;=33</f>
        <v/>
      </c>
      <c r="D453">
        <f>IF(Skills!C20=1,60+Inputs!$B$25+Inputs!$B$29,IF(Skills!C20=2,90+Inputs!$B$26+Inputs!$B$29,IF(Skills!C20=3,120+Inputs!$B$27+Inputs!$B$29,MAX(0,(Inputs!$B$3-100)*3)+Inputs!$B$28+Inputs!$B$29)))</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f>(1-Summary!$B$55)*T453+Summary!$B$55*V453</f>
        <v/>
      </c>
      <c r="P453">
        <f>IF(B470=0,0,O453/B470)</f>
        <v/>
      </c>
      <c r="Q453" t="n">
        <v>0</v>
      </c>
      <c r="R453" t="n">
        <v>0</v>
      </c>
      <c r="S453">
        <f>IFERROR(O453/N453,0)</f>
        <v/>
      </c>
      <c r="T453" t="n">
        <v>0</v>
      </c>
      <c r="V453" t="n">
        <v>0</v>
      </c>
    </row>
    <row r="454">
      <c r="A454">
        <f>Skills!A21</f>
        <v/>
      </c>
      <c r="B454">
        <f>Skills!B21</f>
        <v/>
      </c>
      <c r="C454">
        <f>Inputs!$B$3&gt;=38</f>
        <v/>
      </c>
      <c r="D454">
        <f>IF(Skills!C21=1,60+Inputs!$B$25+Inputs!$B$29,IF(Skills!C21=2,90+Inputs!$B$26+Inputs!$B$29,IF(Skills!C21=3,120+Inputs!$B$27+Inputs!$B$29,MAX(0,(Inputs!$B$3-100)*3)+Inputs!$B$28+Inputs!$B$29)))</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f>(1-Summary!$B$55)*T454+Summary!$B$55*V454</f>
        <v/>
      </c>
      <c r="P454">
        <f>IF(B470=0,0,O454/B470)</f>
        <v/>
      </c>
      <c r="Q454" t="n">
        <v>0</v>
      </c>
      <c r="R454" t="n">
        <v>0</v>
      </c>
      <c r="S454">
        <f>IFERROR(O454/N454,0)</f>
        <v/>
      </c>
      <c r="T454" t="n">
        <v>0</v>
      </c>
      <c r="V454" t="n">
        <v>0</v>
      </c>
    </row>
    <row r="455">
      <c r="A455">
        <f>Skills!A22</f>
        <v/>
      </c>
      <c r="B455">
        <f>Skills!B22</f>
        <v/>
      </c>
      <c r="C455">
        <f>Inputs!$B$3&gt;=43</f>
        <v/>
      </c>
      <c r="D455">
        <f>IF(Skills!C22=1,60+Inputs!$B$25+Inputs!$B$29,IF(Skills!C22=2,90+Inputs!$B$26+Inputs!$B$29,IF(Skills!C22=3,120+Inputs!$B$27+Inputs!$B$29,MAX(0,(Inputs!$B$3-100)*3)+Inputs!$B$28+Inputs!$B$29)))</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f>(1-Summary!$B$55)*T455+Summary!$B$55*V455</f>
        <v/>
      </c>
      <c r="P455">
        <f>IF(B470=0,0,O455/B470)</f>
        <v/>
      </c>
      <c r="Q455" t="n">
        <v>0</v>
      </c>
      <c r="R455" t="n">
        <v>0</v>
      </c>
      <c r="S455">
        <f>IFERROR(O455/N455,0)</f>
        <v/>
      </c>
      <c r="T455" t="n">
        <v>0</v>
      </c>
      <c r="V455" t="n">
        <v>0</v>
      </c>
    </row>
    <row r="456">
      <c r="A456">
        <f>Skills!A23</f>
        <v/>
      </c>
      <c r="B456">
        <f>Skills!B23</f>
        <v/>
      </c>
      <c r="C456">
        <f>Inputs!$B$3&gt;=120</f>
        <v/>
      </c>
      <c r="D456">
        <f>IF(Skills!C23=1,60+Inputs!$B$25+Inputs!$B$29,IF(Skills!C23=2,90+Inputs!$B$26+Inputs!$B$29,IF(Skills!C23=3,120+Inputs!$B$27+Inputs!$B$29,MAX(0,(Inputs!$B$3-100)*3)+Inputs!$B$28+Inputs!$B$29)))</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f>(1-Summary!$B$55)*T456+Summary!$B$55*V456</f>
        <v/>
      </c>
      <c r="P456">
        <f>IF(B470=0,0,O456/B470)</f>
        <v/>
      </c>
      <c r="Q456" t="n">
        <v>0</v>
      </c>
      <c r="R456" t="n">
        <v>0</v>
      </c>
      <c r="S456">
        <f>IFERROR(O456/N456,0)</f>
        <v/>
      </c>
      <c r="T456" t="n">
        <v>0</v>
      </c>
      <c r="V456" t="n">
        <v>0</v>
      </c>
    </row>
    <row r="457">
      <c r="A457">
        <f>Skills!A24</f>
        <v/>
      </c>
      <c r="B457">
        <f>Skills!B24</f>
        <v/>
      </c>
      <c r="C457">
        <f>Inputs!$B$3&gt;=120</f>
        <v/>
      </c>
      <c r="D457">
        <f>IF(Skills!C24=1,60+Inputs!$B$25+Inputs!$B$29,IF(Skills!C24=2,90+Inputs!$B$26+Inputs!$B$29,IF(Skills!C24=3,120+Inputs!$B$27+Inputs!$B$29,MAX(0,(Inputs!$B$3-100)*3)+Inputs!$B$28+Inputs!$B$29)))</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f>(1-Summary!$B$55)*T457+Summary!$B$55*V457</f>
        <v/>
      </c>
      <c r="P457">
        <f>IF(B470=0,0,O457/B470)</f>
        <v/>
      </c>
      <c r="Q457" t="n">
        <v>0</v>
      </c>
      <c r="R457" t="n">
        <v>0</v>
      </c>
      <c r="S457">
        <f>IFERROR(O457/N457,0)</f>
        <v/>
      </c>
      <c r="T457" t="n">
        <v>0</v>
      </c>
      <c r="V457" t="n">
        <v>0</v>
      </c>
    </row>
    <row r="459">
      <c r="A459" t="inlineStr">
        <is>
          <t>Attack% Bucket Multiplier</t>
        </is>
      </c>
      <c r="B459">
        <f>(1+(((C446=TRUE)*F446*MIN(1,Skills!T13*(Skills!J13/100)*B464))+((C451=TRUE)*F451*IF(AND(Inputs!$B$38&lt;&gt;"pvp",Inputs!$B$43&gt;0),(((R451-1)*(Skills!T18*(1+Inputs!$B$34/100))+MIN((Skills!T18*(1+Inputs!$B$34/100)),MAX(0,Inputs!$B$43-((R451-1)*Skills!D18))))/Inputs!$B$43),IF(Inputs!$B$38="pvp",MIN((Skills!T18*(1+Inputs!$B$34/100)),15)/15,(Skills!T18*(1+Inputs!$B$34/100))/Skills!D18)))+0)/100)</f>
        <v/>
      </c>
    </row>
    <row r="460">
      <c r="A460" t="inlineStr">
        <is>
          <t>Global Crit Rate Bonus %</t>
        </is>
      </c>
      <c r="B460" t="n">
        <v>0</v>
      </c>
    </row>
    <row r="461">
      <c r="A461" t="inlineStr">
        <is>
          <t>Attack Speed Buff Bonus %</t>
        </is>
      </c>
      <c r="B461">
        <f>((C452=TRUE)*F452*IF(AND(Inputs!$B$38&lt;&gt;"pvp",Inputs!$B$43&gt;0),(((R452-1)*(Skills!T19*(1+Inputs!$B$34/100))+MIN((Skills!T19*(1+Inputs!$B$34/100)),MAX(0,Inputs!$B$43-((R452-1)*Skills!D19))))/Inputs!$B$43),IF(Inputs!$B$38="pvp",MIN((Skills!T19*(1+Inputs!$B$34/100)),15)/15,(Skills!T19*(1+Inputs!$B$34/100))/Skills!D19)))</f>
        <v/>
      </c>
    </row>
    <row r="462">
      <c r="A462" t="inlineStr">
        <is>
          <t>Actions Per Second</t>
        </is>
      </c>
      <c r="B462">
        <f>1+MIN(150,150*(1-(1-(Inputs!$B$11+((C453=TRUE)*(F453-Calc!F20)))/150)*(1-B461/150)))/100</f>
        <v/>
      </c>
    </row>
    <row r="463">
      <c r="A463" t="inlineStr">
        <is>
          <t>Skill + Buff Cast Rate</t>
        </is>
      </c>
      <c r="B463">
        <f>IF(AND(Inputs!$B$38&lt;&gt;"pvp",Inputs!$B$43&gt;0),SUMPRODUCT((Skills!E2:E24=TRUE)*(C435:C457=TRUE)*R435:R457*Skills!F2:F24)/Inputs!$B$43,SUMPRODUCT((Skills!E2:E24=TRUE)*(C435:C457=TRUE)*Q435:Q457*Skills!F2:F24))</f>
        <v/>
      </c>
    </row>
    <row r="464">
      <c r="A464" t="inlineStr">
        <is>
          <t>Blast Casts Per Second</t>
        </is>
      </c>
      <c r="B464">
        <f>MAX(0,B462-B463)</f>
        <v/>
      </c>
    </row>
    <row r="465">
      <c r="A465" t="inlineStr">
        <is>
          <t>Global Critical Damage Bonus % (unused)</t>
        </is>
      </c>
      <c r="B465" t="n">
        <v>0</v>
      </c>
    </row>
    <row r="466">
      <c r="A466" t="inlineStr">
        <is>
          <t>Global Final Damage Bonus % (Divine Shield + Guardian + Divine Blessing + Greater Vessel of Light)</t>
        </is>
      </c>
      <c r="B466">
        <f>((C448=TRUE)*F448*IF(AND(Inputs!$B$38&lt;&gt;"pvp",Inputs!$B$43&gt;0),(((R448-1)*(Skills!T15*(1+Inputs!$B$34/100))+MIN((Skills!T15*(1+Inputs!$B$34/100)),MAX(0,Inputs!$B$43-((R448-1)*Skills!D15))))/Inputs!$B$43),IF(Inputs!$B$38="pvp",MIN((Skills!T15*(1+Inputs!$B$34/100)),15)/15,(Skills!T15*(1+Inputs!$B$34/100))/Skills!D15)))+((C449=TRUE)*F449*IF(AND(Inputs!$B$38&lt;&gt;"pvp",Inputs!$B$43&gt;0),(((R449-1)*(Skills!T16*(1+Inputs!$B$34/100))+MIN((Skills!T16*(1+Inputs!$B$34/100)),MAX(0,Inputs!$B$43-((R449-1)*Skills!D16))))/Inputs!$B$43),IF(Inputs!$B$38="pvp",MIN((Skills!T16*(1+Inputs!$B$34/100)),15)/15,(Skills!T16*(1+Inputs!$B$34/100))/Skills!D16)))+((C450=TRUE)*F450*IF(AND(Inputs!$B$38&lt;&gt;"pvp",Inputs!$B$43&gt;0),(((R450-1)*(Skills!T17*(1+Inputs!$B$34/100))+MIN((Skills!T17*(1+Inputs!$B$34/100)),MAX(0,Inputs!$B$43-((R450-1)*Skills!D17))))/Inputs!$B$43),IF(Inputs!$B$38="pvp",MIN((Skills!T17*(1+Inputs!$B$34/100)),15)/15,(Skills!T17*(1+Inputs!$B$34/100))/Skills!D17)))+((C447=TRUE)*F447*MIN(1,Skills!T13*(Skills!J13/100)*B464))</f>
        <v/>
      </c>
    </row>
    <row r="467">
      <c r="A467" t="inlineStr">
        <is>
          <t>Buff-Casting Startup Delay (s, fixed-duration only)</t>
        </is>
      </c>
      <c r="B467">
        <f>IF(AND(Inputs!$B$38&lt;&gt;"pvp",Inputs!$B$43&gt;0),SUMPRODUCT((Skills!T2:T24&gt;0)*(Skills!E2:E24=TRUE)*(C435:C457=TRUE))/B462,0)</f>
        <v/>
      </c>
    </row>
    <row r="468">
      <c r="A468" t="inlineStr">
        <is>
          <t>Boss-Only Total DPS (this block's swept value)</t>
        </is>
      </c>
      <c r="B468">
        <f>SUM(T435:T457)</f>
        <v/>
      </c>
    </row>
    <row r="469">
      <c r="A469" t="inlineStr">
        <is>
          <t>Normal-Only Total DPS (this block's swept value)</t>
        </is>
      </c>
      <c r="B469">
        <f>SUM(V435:V457)</f>
        <v/>
      </c>
    </row>
    <row r="470">
      <c r="A470" s="5" t="inlineStr">
        <is>
          <t>TOTAL DPS</t>
        </is>
      </c>
      <c r="B470" s="5">
        <f>SUM(O435:O457)</f>
        <v/>
      </c>
    </row>
    <row r="473">
      <c r="A473" s="5" t="inlineStr">
        <is>
          <t>Stat: CRIT_DAMAGE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506)/100)*(1+(IF(Skills!A2="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475)</f>
        <v/>
      </c>
      <c r="L475">
        <f>K475*(MIN(Inputs!$B$22+((C495=TRUE)*(F495-Calc!F22)),Inputs!$B$23+((C497=TRUE)*(F497-Calc!F24)))/100+(Inputs!$B$23+((C497=TRUE)*(F497-Calc!F24)))/100)/2</f>
        <v/>
      </c>
      <c r="M475">
        <f>L475*(1+((Inputs!$B$10+1)+0+B505)/100)</f>
        <v/>
      </c>
      <c r="N475">
        <f>L475*(1-MIN((Inputs!$B$9+0+B500),100)/100)+M475*(MIN((Inputs!$B$9+0+B500),100)/100)</f>
        <v/>
      </c>
      <c r="O475">
        <f>(1-Summary!$B$55)*T475+Summary!$B$55*V475</f>
        <v/>
      </c>
      <c r="P475">
        <f>IF(B510=0,0,O475/B510)</f>
        <v/>
      </c>
      <c r="Q475" t="n">
        <v>0</v>
      </c>
      <c r="R475" t="n">
        <v>0</v>
      </c>
      <c r="S475">
        <f>IFERROR(O475/N475,0)</f>
        <v/>
      </c>
      <c r="T475">
        <f>IF(C475,(Skills!G2*N475*B504)*IF(Inputs!$B$38="pvp",1,1+(Inputs!$B$20+0+Skills!P2)/100),0)</f>
        <v/>
      </c>
      <c r="U475">
        <f>MAX(0,(Inputs!$B$3-100)*3)+Inputs!$B$28+Inputs!$B$29</f>
        <v/>
      </c>
      <c r="V475">
        <f>IF(C475,(Skills!G2*N475*B504)*IF(Inputs!$B$38="pvp",1,(1+(Inputs!$B$21+Skills!Q2)/100)*(MIN((6+Inputs!$B$33),Inputs!$B$37))),0)</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Inputs!$B$3&gt;=35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f>Skills!G4*IF(Skills!H4&gt;0,Skills!I4/Skills!H4,1)</f>
        <v/>
      </c>
      <c r="H477">
        <f>1-(1-Skills!J4/100)^Skills!K4</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506)/100)*(1+4.0*IF(C485=TRUE,F485,0)/100)*(1+(IF(Skills!A4="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477)</f>
        <v/>
      </c>
      <c r="L477">
        <f>K477*(MIN(Inputs!$B$22+((C495=TRUE)*(F495-Calc!F22)),Inputs!$B$23+((C497=TRUE)*(F497-Calc!F24)))/100+(Inputs!$B$23+((C497=TRUE)*(F497-Calc!F24)))/100)/2</f>
        <v/>
      </c>
      <c r="M477">
        <f>L477*(1+((Inputs!$B$10+1)+0+B505)/100)</f>
        <v/>
      </c>
      <c r="N477">
        <f>L477*(1-MIN((Inputs!$B$9+0+B500),100)/100)+M477*(MIN((Inputs!$B$9+0+B500),100)/100)</f>
        <v/>
      </c>
      <c r="O477">
        <f>(1-Summary!$B$55)*T477+Summary!$B$55*V477</f>
        <v/>
      </c>
      <c r="P477">
        <f>IF(B510=0,0,O477/B510)</f>
        <v/>
      </c>
      <c r="Q477">
        <f>IFERROR(1/IF(Inputs!$B$38="pvp",15,MAX(0.1,Skills!D4-IF(Skills!E4=TRUE,Inputs!$B$32,0))),0)</f>
        <v/>
      </c>
      <c r="R477">
        <f>IF(AND(Inputs!$B$38&lt;&gt;"pvp",Inputs!$B$43&gt;0),IF(MAX(0,Inputs!$B$43-B507)&lt;=0,0,(INT(MAX(0,Inputs!$B$43-B507)/IF(Inputs!$B$38="pvp",15,MAX(0.1,Skills!D4-IF(Skills!E4=TRUE,Inputs!$B$32,0))))+1)),0)</f>
        <v/>
      </c>
      <c r="S477">
        <f>IFERROR(O477/N477,0)</f>
        <v/>
      </c>
      <c r="T477">
        <f>IF(C477,(H477*N477*IF(AND(Inputs!$B$38&lt;&gt;"pvp",Inputs!$B$43&gt;0),((Skills!G4*((R477-1)*IF(Skills!H4&gt;0,Skills!I4/Skills!H4,1)+IF(Skills!H4&gt;0,MIN(Skills!I4,MAX(0,MAX(0,Inputs!$B$43-B507)-((R477-1)*IF(Inputs!$B$38="pvp",15,MAX(0.1,Skills!D4-IF(Skills!E4=TRUE,Inputs!$B$32,0))))))/Skills!H4,1)))/Inputs!$B$43),G477*Q477))*IF(Inputs!$B$38="pvp",1,1+(Inputs!$B$20+0+Skills!P4)/100),0)</f>
        <v/>
      </c>
      <c r="U477">
        <f>290*U476/1000</f>
        <v/>
      </c>
      <c r="V477">
        <f>IF(C477,(H477*N477*IF(AND(Inputs!$B$38&lt;&gt;"pvp",Inputs!$B$43&gt;0),((Skills!G4*((R477-1)*IF(Skills!H4&gt;0,Skills!I4/Skills!H4,1)+IF(Skills!H4&gt;0,MIN(Skills!I4,MAX(0,MAX(0,Inputs!$B$43-B507)-((R477-1)*IF(Inputs!$B$38="pvp",15,MAX(0.1,Skills!D4-IF(Skills!E4=TRUE,Inputs!$B$32,0))))))/Skills!H4,1)))/Inputs!$B$43),G477*Q477))*IF(Inputs!$B$38="pvp",1,(1+(Inputs!$B$21+Skills!Q4)/100)*(MIN(Skills!R4,Inputs!$B$37))),0)</f>
        <v/>
      </c>
    </row>
    <row r="478">
      <c r="A478">
        <f>Skills!A5</f>
        <v/>
      </c>
      <c r="B478">
        <f>Skills!B5</f>
        <v/>
      </c>
      <c r="C478">
        <f>Inputs!$B$3&gt;=66</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506)/100)*(1+1.0*IF(C485=TRUE,F485,0)/100)*(1+(IF(Skills!A5="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478)</f>
        <v/>
      </c>
      <c r="L478">
        <f>K478*(MIN(Inputs!$B$22+((C495=TRUE)*(F495-Calc!F22)),Inputs!$B$23+((C497=TRUE)*(F497-Calc!F24)))/100+(Inputs!$B$23+((C497=TRUE)*(F497-Calc!F24)))/100)/2</f>
        <v/>
      </c>
      <c r="M478">
        <f>L478*(1+((Inputs!$B$10+1)+0+B505)/100)</f>
        <v/>
      </c>
      <c r="N478">
        <f>L478*(1-MIN((Inputs!$B$9+0+B500),100)/100)+M478*(MIN((Inputs!$B$9+0+B500),100)/100)</f>
        <v/>
      </c>
      <c r="O478">
        <f>(1-Summary!$B$55)*T478+Summary!$B$55*V478</f>
        <v/>
      </c>
      <c r="P478">
        <f>IF(B510=0,0,O478/B510)</f>
        <v/>
      </c>
      <c r="Q478">
        <f>IFERROR(1/IF(Inputs!$B$38="pvp",15,MAX(0.1,Skills!D5-IF(Skills!E5=TRUE,Inputs!$B$32,0))),0)</f>
        <v/>
      </c>
      <c r="R478">
        <f>IF(AND(Inputs!$B$38&lt;&gt;"pvp",Inputs!$B$43&gt;0),IF(MAX(0,Inputs!$B$43-B507)&lt;=0,0,(INT(MAX(0,Inputs!$B$43-B507)/IF(Inputs!$B$38="pvp",15,MAX(0.1,Skills!D5-IF(Skills!E5=TRUE,Inputs!$B$32,0))))+1)),0)</f>
        <v/>
      </c>
      <c r="S478">
        <f>IFERROR(O478/N478,0)</f>
        <v/>
      </c>
      <c r="T478">
        <f>IF(C478,(H478*N478*IF(AND(Inputs!$B$38&lt;&gt;"pvp",Inputs!$B$43&gt;0),((Skills!G5*((R478-1)*IF(Skills!H5&gt;0,Skills!I5/Skills!H5,1)+IF(Skills!H5&gt;0,MIN(Skills!I5,MAX(0,MAX(0,Inputs!$B$43-B507)-((R478-1)*IF(Inputs!$B$38="pvp",15,MAX(0.1,Skills!D5-IF(Skills!E5=TRUE,Inputs!$B$32,0))))))/Skills!H5,1)))/Inputs!$B$43),G478*Q478))*IF(Inputs!$B$38="pvp",1,1+(Inputs!$B$20+0+Skills!P5)/100),0)</f>
        <v/>
      </c>
      <c r="V478">
        <f>IF(C478,(H478*N478*IF(AND(Inputs!$B$38&lt;&gt;"pvp",Inputs!$B$43&gt;0),((Skills!G5*((R478-1)*IF(Skills!H5&gt;0,Skills!I5/Skills!H5,1)+IF(Skills!H5&gt;0,MIN(Skills!I5,MAX(0,MAX(0,Inputs!$B$43-B507)-((R478-1)*IF(Inputs!$B$38="pvp",15,MAX(0.1,Skills!D5-IF(Skills!E5=TRUE,Inputs!$B$32,0))))))/Skills!H5,1)))/Inputs!$B$43),G478*Q478))*IF(Inputs!$B$38="pvp",1,(1+(Inputs!$B$21+Skills!Q5)/100)*(MIN(Skills!R5,Inputs!$B$37))),0)</f>
        <v/>
      </c>
    </row>
    <row r="479">
      <c r="A479">
        <f>Skills!A6</f>
        <v/>
      </c>
      <c r="B479">
        <f>Skills!B6</f>
        <v/>
      </c>
      <c r="C479">
        <f>Inputs!$B$3&gt;=103</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506)/100)*(1+(IF(Skills!A6="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479)</f>
        <v/>
      </c>
      <c r="L479">
        <f>K479*(MIN(Inputs!$B$22+((C495=TRUE)*(F495-Calc!F22)),Inputs!$B$23+((C497=TRUE)*(F497-Calc!F24)))/100+(Inputs!$B$23+((C497=TRUE)*(F497-Calc!F24)))/100)/2</f>
        <v/>
      </c>
      <c r="M479">
        <f>L479*(1+((Inputs!$B$10+1)+0+B505)/100)</f>
        <v/>
      </c>
      <c r="N479">
        <f>L479*(1-MIN((Inputs!$B$9+0+B500),100)/100)+M479*(MIN((Inputs!$B$9+0+B500),100)/100)</f>
        <v/>
      </c>
      <c r="O479">
        <f>(1-Summary!$B$55)*T479+Summary!$B$55*V479</f>
        <v/>
      </c>
      <c r="P479">
        <f>IF(B510=0,0,O479/B510)</f>
        <v/>
      </c>
      <c r="Q479">
        <f>IFERROR(1/IF(Inputs!$B$38="pvp",15,MAX(0.1,Skills!D6-IF(Skills!E6=TRUE,Inputs!$B$32,0))),0)</f>
        <v/>
      </c>
      <c r="R479">
        <f>IF(AND(Inputs!$B$38&lt;&gt;"pvp",Inputs!$B$43&gt;0),IF(MAX(0,Inputs!$B$43-B507)&lt;=0,0,(INT(MAX(0,Inputs!$B$43-B507)/IF(Inputs!$B$38="pvp",15,MAX(0.1,Skills!D6-IF(Skills!E6=TRUE,Inputs!$B$32,0))))+1)),0)</f>
        <v/>
      </c>
      <c r="S479">
        <f>IFERROR(O479/N479,0)</f>
        <v/>
      </c>
      <c r="T479">
        <f>IF(C479,(H479*N479*IF(AND(Inputs!$B$38&lt;&gt;"pvp",Inputs!$B$43&gt;0),((Skills!G6*((R479-1)*IF(Skills!H6&gt;0,Skills!I6/Skills!H6,1)+IF(Skills!H6&gt;0,MIN(Skills!I6,MAX(0,MAX(0,Inputs!$B$43-B507)-((R479-1)*IF(Inputs!$B$38="pvp",15,MAX(0.1,Skills!D6-IF(Skills!E6=TRUE,Inputs!$B$32,0))))))/Skills!H6,1)))/Inputs!$B$43),G479*Q479))*IF(Inputs!$B$38="pvp",1,1+(Inputs!$B$20+0+Skills!P6)/100),0)</f>
        <v/>
      </c>
      <c r="V479">
        <f>IF(C479,(H479*N479*IF(AND(Inputs!$B$38&lt;&gt;"pvp",Inputs!$B$43&gt;0),((Skills!G6*((R479-1)*IF(Skills!H6&gt;0,Skills!I6/Skills!H6,1)+IF(Skills!H6&gt;0,MIN(Skills!I6,MAX(0,MAX(0,Inputs!$B$43-B507)-((R479-1)*IF(Inputs!$B$38="pvp",15,MAX(0.1,Skills!D6-IF(Skills!E6=TRUE,Inputs!$B$32,0))))))/Skills!H6,1)))/Inputs!$B$43),G479*Q479))*IF(Inputs!$B$38="pvp",1,(1+(Inputs!$B$21+Skills!Q6)/100)*(MIN(Skills!R6,Inputs!$B$37))),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506)/100)*(1+(IF(Skills!A7="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480)</f>
        <v/>
      </c>
      <c r="L480">
        <f>K480*(MIN(Inputs!$B$22+((C495=TRUE)*(F495-Calc!F22)),Inputs!$B$23+((C497=TRUE)*(F497-Calc!F24)))/100+(Inputs!$B$23+((C497=TRUE)*(F497-Calc!F24)))/100)/2</f>
        <v/>
      </c>
      <c r="M480">
        <f>L480*(1+((Inputs!$B$10+1)+0+B505)/100)</f>
        <v/>
      </c>
      <c r="N480">
        <f>L480*(1-MIN((Inputs!$B$9+0+B500),100)/100)+M480*(MIN((Inputs!$B$9+0+B500),100)/100)</f>
        <v/>
      </c>
      <c r="O480">
        <f>(1-Summary!$B$55)*T480+Summary!$B$55*V480</f>
        <v/>
      </c>
      <c r="P480">
        <f>IF(B510=0,0,O480/B510)</f>
        <v/>
      </c>
      <c r="Q480">
        <f>IFERROR(1/IF(Inputs!$B$38="pvp",15,MAX(0.1,Skills!D7-IF(Skills!E7=TRUE,Inputs!$B$32,0))),0)</f>
        <v/>
      </c>
      <c r="R480">
        <f>IF(AND(Inputs!$B$38&lt;&gt;"pvp",Inputs!$B$43&gt;0),IF(MAX(0,Inputs!$B$43-B507)&lt;=0,0,(INT(MAX(0,Inputs!$B$43-B507)/IF(Inputs!$B$38="pvp",15,MAX(0.1,Skills!D7-IF(Skills!E7=TRUE,Inputs!$B$32,0))))+1)),0)</f>
        <v/>
      </c>
      <c r="S480">
        <f>IFERROR(O480/N480,0)</f>
        <v/>
      </c>
      <c r="T480">
        <f>IF(C480,(H480*N480*IF(AND(Inputs!$B$38&lt;&gt;"pvp",Inputs!$B$43&gt;0),((Skills!G7*((R480-1)*IF(Skills!H7&gt;0,Skills!I7/Skills!H7,1)+IF(Skills!H7&gt;0,MIN(Skills!I7,MAX(0,MAX(0,Inputs!$B$43-B507)-((R480-1)*IF(Inputs!$B$38="pvp",15,MAX(0.1,Skills!D7-IF(Skills!E7=TRUE,Inputs!$B$32,0))))))/Skills!H7,1)))/Inputs!$B$43),G480*Q480))*IF(Inputs!$B$38="pvp",1,1+(Inputs!$B$20+0+Skills!P7)/100),0)</f>
        <v/>
      </c>
      <c r="V480">
        <f>IF(C480,(H480*N480*IF(AND(Inputs!$B$38&lt;&gt;"pvp",Inputs!$B$43&gt;0),((Skills!G7*((R480-1)*IF(Skills!H7&gt;0,Skills!I7/Skills!H7,1)+IF(Skills!H7&gt;0,MIN(Skills!I7,MAX(0,MAX(0,Inputs!$B$43-B507)-((R480-1)*IF(Inputs!$B$38="pvp",15,MAX(0.1,Skills!D7-IF(Skills!E7=TRUE,Inputs!$B$32,0))))))/Skills!H7,1)))/Inputs!$B$43),G480*Q480))*IF(Inputs!$B$38="pvp",1,(1+(Inputs!$B$21+Skills!Q7)/100)*(MIN(Skills!R7,Inputs!$B$37))),0)</f>
        <v/>
      </c>
    </row>
    <row r="481">
      <c r="A481">
        <f>Skills!A8</f>
        <v/>
      </c>
      <c r="B481">
        <f>Skills!B8</f>
        <v/>
      </c>
      <c r="C481">
        <f>Inputs!$B$3&gt;=107</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506)/100)*(1+(IF(Skills!A8="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481)</f>
        <v/>
      </c>
      <c r="L481">
        <f>K481*(MIN(Inputs!$B$22+((C495=TRUE)*(F495-Calc!F22)),Inputs!$B$23+((C497=TRUE)*(F497-Calc!F24)))/100+(Inputs!$B$23+((C497=TRUE)*(F497-Calc!F24)))/100)/2</f>
        <v/>
      </c>
      <c r="M481">
        <f>L481*(1+((Inputs!$B$10+1)+0+B505)/100)</f>
        <v/>
      </c>
      <c r="N481">
        <f>L481*(1-MIN((Inputs!$B$9+0+B500),100)/100)+M481*(MIN((Inputs!$B$9+0+B500),100)/100)</f>
        <v/>
      </c>
      <c r="O481">
        <f>(1-Summary!$B$55)*T481+Summary!$B$55*V481</f>
        <v/>
      </c>
      <c r="P481">
        <f>IF(B510=0,0,O481/B510)</f>
        <v/>
      </c>
      <c r="Q481">
        <f>IFERROR(1/IF(Inputs!$B$38="pvp",15,MAX(0.1,Skills!D8-IF(Skills!E8=TRUE,Inputs!$B$32,0))),0)</f>
        <v/>
      </c>
      <c r="R481">
        <f>IF(AND(Inputs!$B$38&lt;&gt;"pvp",Inputs!$B$43&gt;0),IF(MAX(0,Inputs!$B$43-B507)&lt;=0,0,(INT(MAX(0,Inputs!$B$43-B507)/IF(Inputs!$B$38="pvp",15,MAX(0.1,Skills!D8-IF(Skills!E8=TRUE,Inputs!$B$32,0))))+1)),0)</f>
        <v/>
      </c>
      <c r="S481">
        <f>IFERROR(O481/N481,0)</f>
        <v/>
      </c>
      <c r="T481">
        <f>IF(C481,(H481*N481*IF(AND(Inputs!$B$38&lt;&gt;"pvp",Inputs!$B$43&gt;0),((Skills!G8*((R481-1)*IF(Skills!H8&gt;0,Skills!I8/Skills!H8,1)+IF(Skills!H8&gt;0,MIN(Skills!I8,MAX(0,MAX(0,Inputs!$B$43-B507)-((R481-1)*IF(Inputs!$B$38="pvp",15,MAX(0.1,Skills!D8-IF(Skills!E8=TRUE,Inputs!$B$32,0))))))/Skills!H8,1)))/Inputs!$B$43),G481*Q481))*IF(Inputs!$B$38="pvp",1,1+(Inputs!$B$20+0+Skills!P8)/100),0)</f>
        <v/>
      </c>
      <c r="V481">
        <f>IF(C481,(H481*N481*IF(AND(Inputs!$B$38&lt;&gt;"pvp",Inputs!$B$43&gt;0),((Skills!G8*((R481-1)*IF(Skills!H8&gt;0,Skills!I8/Skills!H8,1)+IF(Skills!H8&gt;0,MIN(Skills!I8,MAX(0,MAX(0,Inputs!$B$43-B507)-((R481-1)*IF(Inputs!$B$38="pvp",15,MAX(0.1,Skills!D8-IF(Skills!E8=TRUE,Inputs!$B$32,0))))))/Skills!H8,1)))/Inputs!$B$43),G481*Q481))*IF(Inputs!$B$38="pvp",1,(1+(Inputs!$B$21+Skills!Q8)/100)*(MIN(Skills!R8,Inputs!$B$37))),0)</f>
        <v/>
      </c>
    </row>
    <row r="482">
      <c r="A482">
        <f>Skills!A9</f>
        <v/>
      </c>
      <c r="B482">
        <f>Skills!B9</f>
        <v/>
      </c>
      <c r="C482">
        <f>Inputs!$B$3&gt;=125</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506)/100)*(1+(IF(Skills!A9="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482)</f>
        <v/>
      </c>
      <c r="L482">
        <f>K482*(MIN(Inputs!$B$22+((C495=TRUE)*(F495-Calc!F22)),Inputs!$B$23+((C497=TRUE)*(F497-Calc!F24)))/100+(Inputs!$B$23+((C497=TRUE)*(F497-Calc!F24)))/100)/2</f>
        <v/>
      </c>
      <c r="M482">
        <f>L482*(1+((Inputs!$B$10+1)+0+B505)/100)</f>
        <v/>
      </c>
      <c r="N482">
        <f>L482*(1-MIN((Inputs!$B$9+0+B500),100)/100)+M482*(MIN((Inputs!$B$9+0+B500),100)/100)</f>
        <v/>
      </c>
      <c r="O482">
        <f>(1-Summary!$B$55)*T482+Summary!$B$55*V482</f>
        <v/>
      </c>
      <c r="P482">
        <f>IF(B510=0,0,O482/B510)</f>
        <v/>
      </c>
      <c r="Q482">
        <f>IFERROR(1/IF(Inputs!$B$38="pvp",15,MAX(0.1,Skills!D9-IF(Skills!E9=TRUE,Inputs!$B$32,0))),0)</f>
        <v/>
      </c>
      <c r="R482">
        <f>IF(AND(Inputs!$B$38&lt;&gt;"pvp",Inputs!$B$43&gt;0),IF(MAX(0,Inputs!$B$43-B507)&lt;=0,0,(INT(MAX(0,Inputs!$B$43-B507)/IF(Inputs!$B$38="pvp",15,MAX(0.1,Skills!D9-IF(Skills!E9=TRUE,Inputs!$B$32,0))))+1)),0)</f>
        <v/>
      </c>
      <c r="S482">
        <f>IFERROR(O482/N482,0)</f>
        <v/>
      </c>
      <c r="T482">
        <f>IF(C482,(H482*N482*IF(AND(Inputs!$B$38&lt;&gt;"pvp",Inputs!$B$43&gt;0),((Skills!G9*((R482-1)*IF(Skills!H9&gt;0,Skills!I9/Skills!H9,1)+IF(Skills!H9&gt;0,MIN(Skills!I9,MAX(0,MAX(0,Inputs!$B$43-B507)-((R482-1)*IF(Inputs!$B$38="pvp",15,MAX(0.1,Skills!D9-IF(Skills!E9=TRUE,Inputs!$B$32,0))))))/Skills!H9,1)))/Inputs!$B$43),G482*Q482))*IF(Inputs!$B$38="pvp",1,1+(Inputs!$B$20+0+Skills!P9)/100),0)</f>
        <v/>
      </c>
      <c r="V482">
        <f>IF(C482,(H482*N482*IF(AND(Inputs!$B$38&lt;&gt;"pvp",Inputs!$B$43&gt;0),((Skills!G9*((R482-1)*IF(Skills!H9&gt;0,Skills!I9/Skills!H9,1)+IF(Skills!H9&gt;0,MIN(Skills!I9,MAX(0,MAX(0,Inputs!$B$43-B507)-((R482-1)*IF(Inputs!$B$38="pvp",15,MAX(0.1,Skills!D9-IF(Skills!E9=TRUE,Inputs!$B$32,0))))))/Skills!H9,1)))/Inputs!$B$43),G482*Q482))*IF(Inputs!$B$38="pvp",1,(1+(Inputs!$B$21+Skills!Q9)/100)*(MIN(Skills!R9,Inputs!$B$37))),0)</f>
        <v/>
      </c>
    </row>
    <row r="483">
      <c r="A483">
        <f>Skills!A10</f>
        <v/>
      </c>
      <c r="B483">
        <f>Skills!B10</f>
        <v/>
      </c>
      <c r="C483">
        <f>Inputs!$B$3&gt;=117</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((Inputs!$B$6*(1+Inputs!$B$7/100))+(((Inputs!$B$12*(1+Inputs!$B$13/100))-(Inputs!$B$12*(1+Inputs!$B$13/100)))+0.25*(Inputs!$B$14-Inputs!$B$14))*(1+Inputs!$B$7/100))*(F483/100)</f>
        <v/>
      </c>
      <c r="K483">
        <f>J483*(1+((Inputs!$B$12*(1+Inputs!$B$13/100))*0.01+Inputs!$B$14*0.0025)/100)*(1+Inputs!$B$15/100)*(1+Inputs!$B$16/100)*(5000/(6000+Inputs!$B$42*(1-(Inputs!$B$19+0)/100)))*(1+(Inputs!$B$24+0+B506)/100)*(1+(IF(Skills!A10="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483)</f>
        <v/>
      </c>
      <c r="L483">
        <f>K483*(MIN(Inputs!$B$22+((C495=TRUE)*(F495-Calc!F22)),Inputs!$B$23+((C497=TRUE)*(F497-Calc!F24)))/100+(Inputs!$B$23+((C497=TRUE)*(F497-Calc!F24)))/100)/2</f>
        <v/>
      </c>
      <c r="M483">
        <f>L483*(1+((Inputs!$B$10+1)+0+B505)/100)</f>
        <v/>
      </c>
      <c r="N483">
        <f>L483*(1-MIN((Inputs!$B$9+0+B500),100)/100)+M483*(MIN((Inputs!$B$9+0+B500),100)/100)</f>
        <v/>
      </c>
      <c r="O483">
        <f>(1-Summary!$B$55)*T483+Summary!$B$55*V483</f>
        <v/>
      </c>
      <c r="P483">
        <f>IF(B510=0,0,O483/B510)</f>
        <v/>
      </c>
      <c r="Q483">
        <f>IFERROR(1/IF(Inputs!$B$38="pvp",15,MAX(0.1,Skills!D10-IF(Skills!E10=TRUE,Inputs!$B$32,0))),0)</f>
        <v/>
      </c>
      <c r="R483">
        <f>IF(AND(Inputs!$B$38&lt;&gt;"pvp",Inputs!$B$43&gt;0),IF(MAX(0,Inputs!$B$43-B507)&lt;=0,0,(INT(MAX(0,Inputs!$B$43-B507)/IF(Inputs!$B$38="pvp",15,MAX(0.1,Skills!D10-IF(Skills!E10=TRUE,Inputs!$B$32,0))))+1)),0)</f>
        <v/>
      </c>
      <c r="S483">
        <f>IFERROR(O483/N483,0)</f>
        <v/>
      </c>
      <c r="T483">
        <f>IF(C483,(H483*N483*IF(AND(Inputs!$B$38&lt;&gt;"pvp",Inputs!$B$43&gt;0),((Skills!G10*((R483-1)*IF(Skills!H10&gt;0,Skills!I10/Skills!H10,1)+IF(Skills!H10&gt;0,MIN(Skills!I10,MAX(0,MAX(0,Inputs!$B$43-B507)-((R483-1)*IF(Inputs!$B$38="pvp",15,MAX(0.1,Skills!D10-IF(Skills!E10=TRUE,Inputs!$B$32,0))))))/Skills!H10,1)))/Inputs!$B$43),G483*Q483))*IF(Inputs!$B$38="pvp",1,1+(Inputs!$B$20+0+Skills!P10)/100),0)</f>
        <v/>
      </c>
      <c r="V483">
        <f>IF(C483,(H483*N483*IF(AND(Inputs!$B$38&lt;&gt;"pvp",Inputs!$B$43&gt;0),((Skills!G10*((R483-1)*IF(Skills!H10&gt;0,Skills!I10/Skills!H10,1)+IF(Skills!H10&gt;0,MIN(Skills!I10,MAX(0,MAX(0,Inputs!$B$43-B507)-((R483-1)*IF(Inputs!$B$38="pvp",15,MAX(0.1,Skills!D10-IF(Skills!E10=TRUE,Inputs!$B$32,0))))))/Skills!H10,1)))/Inputs!$B$43),G483*Q483))*IF(Inputs!$B$38="pvp",1,(1+(Inputs!$B$21+Skills!Q10)/100)*(MIN(Skills!R10,Inputs!$B$37))),0)</f>
        <v/>
      </c>
    </row>
    <row r="484">
      <c r="A484">
        <f>Skills!A11</f>
        <v/>
      </c>
      <c r="B484">
        <f>Skills!B11</f>
        <v/>
      </c>
      <c r="C484">
        <f>Inputs!$B$3&gt;=63</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((Inputs!$B$6*(1+Inputs!$B$7/100))+(((Inputs!$B$12*(1+Inputs!$B$13/100))-(Inputs!$B$12*(1+Inputs!$B$13/100)))+0.25*(Inputs!$B$14-Inputs!$B$14))*(1+Inputs!$B$7/100))*(F484/100)</f>
        <v/>
      </c>
      <c r="K484">
        <f>J484*(1+((Inputs!$B$12*(1+Inputs!$B$13/100))*0.01+Inputs!$B$14*0.0025)/100)*(1+Inputs!$B$15/100)*(1+Inputs!$B$16/100)*(5000/(6000+Inputs!$B$42*(1-(Inputs!$B$19+0)/100)))*(1+(Inputs!$B$24+0+B506)/100)*(1+1.5*IF(C485=TRUE,F485,0)/100)*(1+(IF(Skills!A11="BLAST",Inputs!$B$17+((C494=TRUE)*(F494-Calc!F21)),Inputs!$B$18+((C496=TRUE)*(F496-Calc!F23))))/100)*((1+(((C486=TRUE)*F486*MIN(1,Skills!T13*(Skills!J13/100)*B504))+((C491=TRUE)*F491*IF(AND(Inputs!$B$38&lt;&gt;"pvp",Inputs!$B$43&gt;0),(((R491-1)*(Skills!T18*(1+Inputs!$B$34/100))+MIN((Skills!T18*(1+Inputs!$B$34/100)),MAX(0,Inputs!$B$43-((R491-1)*Skills!D18))))/Inputs!$B$43),IF(Inputs!$B$38="pvp",MIN((Skills!T18*(1+Inputs!$B$34/100)),15)/15,(Skills!T18*(1+Inputs!$B$34/100))/Skills!D18)))+0)/100)*I484)</f>
        <v/>
      </c>
      <c r="L484">
        <f>K484*(MIN(Inputs!$B$22+((C495=TRUE)*(F495-Calc!F22)),Inputs!$B$23+((C497=TRUE)*(F497-Calc!F24)))/100+(Inputs!$B$23+((C497=TRUE)*(F497-Calc!F24)))/100)/2</f>
        <v/>
      </c>
      <c r="M484">
        <f>L484*(1+((Inputs!$B$10+1)+0+B505)/100)</f>
        <v/>
      </c>
      <c r="N484">
        <f>L484*(1-MIN((Inputs!$B$9+0+B500),100)/100)+M484*(MIN((Inputs!$B$9+0+B500),100)/100)</f>
        <v/>
      </c>
      <c r="O484">
        <f>(1-Summary!$B$55)*T484+Summary!$B$55*V484</f>
        <v/>
      </c>
      <c r="P484">
        <f>IF(B510=0,0,O484/B510)</f>
        <v/>
      </c>
      <c r="Q484">
        <f>IFERROR(1/IF(Inputs!$B$38="pvp",15,MAX(0.1,Skills!D11-IF(Skills!E11=TRUE,Inputs!$B$32,0))),0)</f>
        <v/>
      </c>
      <c r="R484">
        <f>IF(AND(Inputs!$B$38&lt;&gt;"pvp",Inputs!$B$43&gt;0),IF(MAX(0,Inputs!$B$43-B507)&lt;=0,0,(INT(MAX(0,Inputs!$B$43-B507)/IF(Inputs!$B$38="pvp",15,MAX(0.1,Skills!D11-IF(Skills!E11=TRUE,Inputs!$B$32,0))))+1)),0)</f>
        <v/>
      </c>
      <c r="S484">
        <f>IFERROR(O484/N484,0)</f>
        <v/>
      </c>
      <c r="T484">
        <f>IF(C484,(H484*N484*IF(AND(Inputs!$B$38&lt;&gt;"pvp",Inputs!$B$43&gt;0),((Skills!G11*((R484-1)*IF(Skills!H11&gt;0,Skills!I11/Skills!H11,1)+IF(Skills!H11&gt;0,MIN(Skills!I11,MAX(0,MAX(0,Inputs!$B$43-B507)-((R484-1)*IF(Inputs!$B$38="pvp",15,MAX(0.1,Skills!D11-IF(Skills!E11=TRUE,Inputs!$B$32,0))))))/Skills!H11,1)))/Inputs!$B$43),G484*Q484))*IF(Inputs!$B$38="pvp",1,1+(Inputs!$B$20+0+Skills!P11)/100),0)</f>
        <v/>
      </c>
      <c r="V484">
        <f>IF(C484,(H484*N484*IF(AND(Inputs!$B$38&lt;&gt;"pvp",Inputs!$B$43&gt;0),((Skills!G11*((R484-1)*IF(Skills!H11&gt;0,Skills!I11/Skills!H11,1)+IF(Skills!H11&gt;0,MIN(Skills!I11,MAX(0,MAX(0,Inputs!$B$43-B507)-((R484-1)*IF(Inputs!$B$38="pvp",15,MAX(0.1,Skills!D11-IF(Skills!E11=TRUE,Inputs!$B$32,0))))))/Skills!H11,1)))/Inputs!$B$43),G484*Q484))*IF(Inputs!$B$38="pvp",1,(1+(Inputs!$B$21+Skills!Q11)/100)*(MIN(Skills!R11,Inputs!$B$37))),0)</f>
        <v/>
      </c>
    </row>
    <row r="485">
      <c r="A485">
        <f>Skills!A12</f>
        <v/>
      </c>
      <c r="B485">
        <f>Skills!B12</f>
        <v/>
      </c>
      <c r="C485">
        <f>Inputs!$B$3&gt;=100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f>(1-Summary!$B$55)*T486+Summary!$B$55*V486</f>
        <v/>
      </c>
      <c r="P486">
        <f>IF(B510=0,0,O486/B510)</f>
        <v/>
      </c>
      <c r="Q486" t="n">
        <v>0</v>
      </c>
      <c r="R486" t="n">
        <v>0</v>
      </c>
      <c r="S486">
        <f>IFERROR(O486/N486,0)</f>
        <v/>
      </c>
      <c r="T486" t="n">
        <v>0</v>
      </c>
      <c r="V486" t="n">
        <v>0</v>
      </c>
    </row>
    <row r="487">
      <c r="A487">
        <f>Skills!A14</f>
        <v/>
      </c>
      <c r="B487">
        <f>Skills!B14</f>
        <v/>
      </c>
      <c r="C487">
        <f>Inputs!$B$3&gt;=110</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f>(1-Summary!$B$55)*T487+Summary!$B$55*V487</f>
        <v/>
      </c>
      <c r="P487">
        <f>IF(B510=0,0,O487/B510)</f>
        <v/>
      </c>
      <c r="Q487" t="n">
        <v>0</v>
      </c>
      <c r="R487" t="n">
        <v>0</v>
      </c>
      <c r="S487">
        <f>IFERROR(O487/N487,0)</f>
        <v/>
      </c>
      <c r="T487" t="n">
        <v>0</v>
      </c>
      <c r="V487" t="n">
        <v>0</v>
      </c>
    </row>
    <row r="488">
      <c r="A488">
        <f>Skills!A15</f>
        <v/>
      </c>
      <c r="B488">
        <f>Skills!B15</f>
        <v/>
      </c>
      <c r="C488">
        <f>Inputs!$B$3&gt;=75</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f>(1-Summary!$B$55)*T488+Summary!$B$55*V488</f>
        <v/>
      </c>
      <c r="P488">
        <f>IF(B510=0,0,O488/B510)</f>
        <v/>
      </c>
      <c r="Q488">
        <f>IFERROR(1/IF(Inputs!$B$38="pvp",15,MAX(0.1,Skills!D15-IF(Skills!E15=TRUE,Inputs!$B$32,0))),0)</f>
        <v/>
      </c>
      <c r="R488">
        <f>IF(AND(Inputs!$B$38&lt;&gt;"pvp",Inputs!$B$43&gt;0),IF(Inputs!$B$43&lt;=0,0,(INT(Inputs!$B$43/IF(Inputs!$B$38="pvp",15,MAX(0.1,Skills!D15-IF(Skills!E15=TRUE,Inputs!$B$32,0))))+1)),0)</f>
        <v/>
      </c>
      <c r="S488">
        <f>IFERROR(O488/N488,0)</f>
        <v/>
      </c>
      <c r="T488" t="n">
        <v>0</v>
      </c>
      <c r="V488" t="n">
        <v>0</v>
      </c>
    </row>
    <row r="489">
      <c r="A489">
        <f>Skills!A16</f>
        <v/>
      </c>
      <c r="B489">
        <f>Skills!B16</f>
        <v/>
      </c>
      <c r="C489">
        <f>Inputs!$B$3&gt;=105</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f>(1-Summary!$B$55)*T489+Summary!$B$55*V489</f>
        <v/>
      </c>
      <c r="P489">
        <f>IF(B510=0,0,O489/B510)</f>
        <v/>
      </c>
      <c r="Q489">
        <f>IFERROR(1/IF(Inputs!$B$38="pvp",15,MAX(0.1,Skills!D16-IF(Skills!E16=TRUE,Inputs!$B$32,0))),0)</f>
        <v/>
      </c>
      <c r="R489">
        <f>IF(AND(Inputs!$B$38&lt;&gt;"pvp",Inputs!$B$43&gt;0),IF(Inputs!$B$43&lt;=0,0,(INT(Inputs!$B$43/IF(Inputs!$B$38="pvp",15,MAX(0.1,Skills!D16-IF(Skills!E16=TRUE,Inputs!$B$32,0))))+1)),0)</f>
        <v/>
      </c>
      <c r="S489">
        <f>IFERROR(O489/N489,0)</f>
        <v/>
      </c>
      <c r="T489" t="n">
        <v>0</v>
      </c>
      <c r="V489" t="n">
        <v>0</v>
      </c>
    </row>
    <row r="490">
      <c r="A490">
        <f>Skills!A17</f>
        <v/>
      </c>
      <c r="B490">
        <f>Skills!B17</f>
        <v/>
      </c>
      <c r="C490">
        <f>Inputs!$B$3&gt;=115</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f>(1-Summary!$B$55)*T490+Summary!$B$55*V490</f>
        <v/>
      </c>
      <c r="P490">
        <f>IF(B510=0,0,O490/B510)</f>
        <v/>
      </c>
      <c r="Q490">
        <f>IFERROR(1/IF(Inputs!$B$38="pvp",15,MAX(0.1,Skills!D17-IF(Skills!E17=TRUE,Inputs!$B$32,0))),0)</f>
        <v/>
      </c>
      <c r="R490">
        <f>IF(AND(Inputs!$B$38&lt;&gt;"pvp",Inputs!$B$43&gt;0),IF(Inputs!$B$43&lt;=0,0,(INT(Inputs!$B$43/IF(Inputs!$B$38="pvp",15,MAX(0.1,Skills!D17-IF(Skills!E17=TRUE,Inputs!$B$32,0))))+1)),0)</f>
        <v/>
      </c>
      <c r="S490">
        <f>IFERROR(O490/N490,0)</f>
        <v/>
      </c>
      <c r="T490" t="n">
        <v>0</v>
      </c>
      <c r="V490" t="n">
        <v>0</v>
      </c>
    </row>
    <row r="491">
      <c r="A491">
        <f>Skills!A18</f>
        <v/>
      </c>
      <c r="B491">
        <f>Skills!B18</f>
        <v/>
      </c>
      <c r="C491">
        <f>Inputs!$B$3&gt;=74</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f>(1-Summary!$B$55)*T491+Summary!$B$55*V491</f>
        <v/>
      </c>
      <c r="P491">
        <f>IF(B510=0,0,O491/B510)</f>
        <v/>
      </c>
      <c r="Q491">
        <f>IFERROR(1/IF(Inputs!$B$38="pvp",15,MAX(0.1,Skills!D18-IF(Skills!E18=TRUE,Inputs!$B$32,0))),0)</f>
        <v/>
      </c>
      <c r="R491">
        <f>IF(AND(Inputs!$B$38&lt;&gt;"pvp",Inputs!$B$43&gt;0),IF(Inputs!$B$43&lt;=0,0,(INT(Inputs!$B$43/IF(Inputs!$B$38="pvp",15,MAX(0.1,Skills!D18-IF(Skills!E18=TRUE,Inputs!$B$32,0))))+1)),0)</f>
        <v/>
      </c>
      <c r="S491">
        <f>IFERROR(O491/N491,0)</f>
        <v/>
      </c>
      <c r="T491" t="n">
        <v>0</v>
      </c>
      <c r="V491" t="n">
        <v>0</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f>(1-Summary!$B$55)*T492+Summary!$B$55*V492</f>
        <v/>
      </c>
      <c r="P492">
        <f>IF(B510=0,0,O492/B510)</f>
        <v/>
      </c>
      <c r="Q492">
        <f>IFERROR(1/IF(Inputs!$B$38="pvp",15,MAX(0.1,Skills!D19-IF(Skills!E19=TRUE,Inputs!$B$32,0))),0)</f>
        <v/>
      </c>
      <c r="R492">
        <f>IF(AND(Inputs!$B$38&lt;&gt;"pvp",Inputs!$B$43&gt;0),IF(Inputs!$B$43&lt;=0,0,(INT(Inputs!$B$43/IF(Inputs!$B$38="pvp",15,MAX(0.1,Skills!D19-IF(Skills!E19=TRUE,Inputs!$B$32,0))))+1)),0)</f>
        <v/>
      </c>
      <c r="S492">
        <f>IFERROR(O492/N492,0)</f>
        <v/>
      </c>
      <c r="T492" t="n">
        <v>0</v>
      </c>
      <c r="V492" t="n">
        <v>0</v>
      </c>
    </row>
    <row r="493">
      <c r="A493">
        <f>Skills!A20</f>
        <v/>
      </c>
      <c r="B493">
        <f>Skills!B20</f>
        <v/>
      </c>
      <c r="C493">
        <f>Inputs!$B$3&gt;=33</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f>(1-Summary!$B$55)*T493+Summary!$B$55*V493</f>
        <v/>
      </c>
      <c r="P493">
        <f>IF(B510=0,0,O493/B510)</f>
        <v/>
      </c>
      <c r="Q493" t="n">
        <v>0</v>
      </c>
      <c r="R493" t="n">
        <v>0</v>
      </c>
      <c r="S493">
        <f>IFERROR(O493/N493,0)</f>
        <v/>
      </c>
      <c r="T493" t="n">
        <v>0</v>
      </c>
      <c r="V493" t="n">
        <v>0</v>
      </c>
    </row>
    <row r="494">
      <c r="A494">
        <f>Skills!A21</f>
        <v/>
      </c>
      <c r="B494">
        <f>Skills!B21</f>
        <v/>
      </c>
      <c r="C494">
        <f>Inputs!$B$3&gt;=38</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f>(1-Summary!$B$55)*T494+Summary!$B$55*V494</f>
        <v/>
      </c>
      <c r="P494">
        <f>IF(B510=0,0,O494/B510)</f>
        <v/>
      </c>
      <c r="Q494" t="n">
        <v>0</v>
      </c>
      <c r="R494" t="n">
        <v>0</v>
      </c>
      <c r="S494">
        <f>IFERROR(O494/N494,0)</f>
        <v/>
      </c>
      <c r="T494" t="n">
        <v>0</v>
      </c>
      <c r="V494" t="n">
        <v>0</v>
      </c>
    </row>
    <row r="495">
      <c r="A495">
        <f>Skills!A22</f>
        <v/>
      </c>
      <c r="B495">
        <f>Skills!B22</f>
        <v/>
      </c>
      <c r="C495">
        <f>Inputs!$B$3&gt;=43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f>(1-Summary!$B$55)*T495+Summary!$B$55*V495</f>
        <v/>
      </c>
      <c r="P495">
        <f>IF(B510=0,0,O495/B510)</f>
        <v/>
      </c>
      <c r="Q495" t="n">
        <v>0</v>
      </c>
      <c r="R495" t="n">
        <v>0</v>
      </c>
      <c r="S495">
        <f>IFERROR(O495/N495,0)</f>
        <v/>
      </c>
      <c r="T495" t="n">
        <v>0</v>
      </c>
      <c r="V495" t="n">
        <v>0</v>
      </c>
    </row>
    <row r="496">
      <c r="A496">
        <f>Skills!A23</f>
        <v/>
      </c>
      <c r="B496">
        <f>Skills!B23</f>
        <v/>
      </c>
      <c r="C496">
        <f>Inputs!$B$3&gt;=120</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f>(1-Summary!$B$55)*T496+Summary!$B$55*V496</f>
        <v/>
      </c>
      <c r="P496">
        <f>IF(B510=0,0,O496/B510)</f>
        <v/>
      </c>
      <c r="Q496" t="n">
        <v>0</v>
      </c>
      <c r="R496" t="n">
        <v>0</v>
      </c>
      <c r="S496">
        <f>IFERROR(O496/N496,0)</f>
        <v/>
      </c>
      <c r="T496" t="n">
        <v>0</v>
      </c>
      <c r="V496" t="n">
        <v>0</v>
      </c>
    </row>
    <row r="497">
      <c r="A497">
        <f>Skills!A24</f>
        <v/>
      </c>
      <c r="B497">
        <f>Skills!B24</f>
        <v/>
      </c>
      <c r="C497">
        <f>Inputs!$B$3&gt;=120</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f>(1-Summary!$B$55)*T497+Summary!$B$55*V497</f>
        <v/>
      </c>
      <c r="P497">
        <f>IF(B510=0,0,O497/B510)</f>
        <v/>
      </c>
      <c r="Q497" t="n">
        <v>0</v>
      </c>
      <c r="R497" t="n">
        <v>0</v>
      </c>
      <c r="S497">
        <f>IFERROR(O497/N497,0)</f>
        <v/>
      </c>
      <c r="T497" t="n">
        <v>0</v>
      </c>
      <c r="V497" t="n">
        <v>0</v>
      </c>
    </row>
    <row r="499">
      <c r="A499" t="inlineStr">
        <is>
          <t>Attack% Bucket Multiplier</t>
        </is>
      </c>
      <c r="B499">
        <f>(1+(((C486=TRUE)*F486*MIN(1,Skills!T13*(Skills!J13/100)*B504))+((C491=TRUE)*F491*IF(AND(Inputs!$B$38&lt;&gt;"pvp",Inputs!$B$43&gt;0),(((R491-1)*(Skills!T18*(1+Inputs!$B$34/100))+MIN((Skills!T18*(1+Inputs!$B$34/100)),MAX(0,Inputs!$B$43-((R491-1)*Skills!D18))))/Inputs!$B$43),IF(Inputs!$B$38="pvp",MIN((Skills!T18*(1+Inputs!$B$34/100)),15)/15,(Skills!T18*(1+Inputs!$B$34/100))/Skills!D18)))+0)/100)</f>
        <v/>
      </c>
    </row>
    <row r="500">
      <c r="A500" t="inlineStr">
        <is>
          <t>Global Crit Rate Bonus %</t>
        </is>
      </c>
      <c r="B500" t="n">
        <v>0</v>
      </c>
    </row>
    <row r="501">
      <c r="A501" t="inlineStr">
        <is>
          <t>Attack Speed Buff Bonus %</t>
        </is>
      </c>
      <c r="B501">
        <f>((C492=TRUE)*F492*IF(AND(Inputs!$B$38&lt;&gt;"pvp",Inputs!$B$43&gt;0),(((R492-1)*(Skills!T19*(1+Inputs!$B$34/100))+MIN((Skills!T19*(1+Inputs!$B$34/100)),MAX(0,Inputs!$B$43-((R492-1)*Skills!D19))))/Inputs!$B$43),IF(Inputs!$B$38="pvp",MIN((Skills!T19*(1+Inputs!$B$34/100)),15)/15,(Skills!T19*(1+Inputs!$B$34/100))/Skills!D19)))</f>
        <v/>
      </c>
    </row>
    <row r="502">
      <c r="A502" t="inlineStr">
        <is>
          <t>Actions Per Second</t>
        </is>
      </c>
      <c r="B502">
        <f>1+MIN(150,150*(1-(1-(Inputs!$B$11+((C493=TRUE)*(F493-Calc!F20)))/150)*(1-B501/150)))/100</f>
        <v/>
      </c>
    </row>
    <row r="503">
      <c r="A503" t="inlineStr">
        <is>
          <t>Skill + Buff Cast Rate</t>
        </is>
      </c>
      <c r="B503">
        <f>IF(AND(Inputs!$B$38&lt;&gt;"pvp",Inputs!$B$43&gt;0),SUMPRODUCT((Skills!E2:E24=TRUE)*(C475:C497=TRUE)*R475:R497*Skills!F2:F24)/Inputs!$B$43,SUMPRODUCT((Skills!E2:E24=TRUE)*(C475:C497=TRUE)*Q475:Q497*Skills!F2:F24))</f>
        <v/>
      </c>
    </row>
    <row r="504">
      <c r="A504" t="inlineStr">
        <is>
          <t>Blast Casts Per Second</t>
        </is>
      </c>
      <c r="B504">
        <f>MAX(0,B502-B503)</f>
        <v/>
      </c>
    </row>
    <row r="505">
      <c r="A505" t="inlineStr">
        <is>
          <t>Global Critical Damage Bonus % (unused)</t>
        </is>
      </c>
      <c r="B505" t="n">
        <v>0</v>
      </c>
    </row>
    <row r="506">
      <c r="A506" t="inlineStr">
        <is>
          <t>Global Final Damage Bonus % (Divine Shield + Guardian + Divine Blessing + Greater Vessel of Light)</t>
        </is>
      </c>
      <c r="B506">
        <f>((C488=TRUE)*F488*IF(AND(Inputs!$B$38&lt;&gt;"pvp",Inputs!$B$43&gt;0),(((R488-1)*(Skills!T15*(1+Inputs!$B$34/100))+MIN((Skills!T15*(1+Inputs!$B$34/100)),MAX(0,Inputs!$B$43-((R488-1)*Skills!D15))))/Inputs!$B$43),IF(Inputs!$B$38="pvp",MIN((Skills!T15*(1+Inputs!$B$34/100)),15)/15,(Skills!T15*(1+Inputs!$B$34/100))/Skills!D15)))+((C489=TRUE)*F489*IF(AND(Inputs!$B$38&lt;&gt;"pvp",Inputs!$B$43&gt;0),(((R489-1)*(Skills!T16*(1+Inputs!$B$34/100))+MIN((Skills!T16*(1+Inputs!$B$34/100)),MAX(0,Inputs!$B$43-((R489-1)*Skills!D16))))/Inputs!$B$43),IF(Inputs!$B$38="pvp",MIN((Skills!T16*(1+Inputs!$B$34/100)),15)/15,(Skills!T16*(1+Inputs!$B$34/100))/Skills!D16)))+((C490=TRUE)*F490*IF(AND(Inputs!$B$38&lt;&gt;"pvp",Inputs!$B$43&gt;0),(((R490-1)*(Skills!T17*(1+Inputs!$B$34/100))+MIN((Skills!T17*(1+Inputs!$B$34/100)),MAX(0,Inputs!$B$43-((R490-1)*Skills!D17))))/Inputs!$B$43),IF(Inputs!$B$38="pvp",MIN((Skills!T17*(1+Inputs!$B$34/100)),15)/15,(Skills!T17*(1+Inputs!$B$34/100))/Skills!D17)))+((C487=TRUE)*F487*MIN(1,Skills!T13*(Skills!J13/100)*B504))</f>
        <v/>
      </c>
    </row>
    <row r="507">
      <c r="A507" t="inlineStr">
        <is>
          <t>Buff-Casting Startup Delay (s, fixed-duration only)</t>
        </is>
      </c>
      <c r="B507">
        <f>IF(AND(Inputs!$B$38&lt;&gt;"pvp",Inputs!$B$43&gt;0),SUMPRODUCT((Skills!T2:T24&gt;0)*(Skills!E2:E24=TRUE)*(C475:C497=TRUE))/B502,0)</f>
        <v/>
      </c>
    </row>
    <row r="508">
      <c r="A508" t="inlineStr">
        <is>
          <t>Boss-Only Total DPS (this block's swept value)</t>
        </is>
      </c>
      <c r="B508">
        <f>SUM(T475:T497)</f>
        <v/>
      </c>
    </row>
    <row r="509">
      <c r="A509" t="inlineStr">
        <is>
          <t>Normal-Only Total DPS (this block's swept value)</t>
        </is>
      </c>
      <c r="B509">
        <f>SUM(V475:V497)</f>
        <v/>
      </c>
    </row>
    <row r="510">
      <c r="A510" s="5" t="inlineStr">
        <is>
          <t>TOTAL DPS</t>
        </is>
      </c>
      <c r="B510" s="5">
        <f>SUM(O475:O497)</f>
        <v/>
      </c>
    </row>
    <row r="513">
      <c r="A513" s="5" t="inlineStr">
        <is>
          <t>Stat: ATTACK_SPEED % (diminishing returns, factor 150)</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Q514" s="9" t="inlineStr">
        <is>
          <t>InvCooldown</t>
        </is>
      </c>
      <c r="R514" s="9" t="inlineStr">
        <is>
          <t>CastsInFight</t>
        </is>
      </c>
      <c r="S514" s="9"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546)/100)*(1+(IF(Skills!A2="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515)</f>
        <v/>
      </c>
      <c r="L515">
        <f>K515*(MIN(Inputs!$B$22+((C535=TRUE)*(F535-Calc!F22)),Inputs!$B$23+((C537=TRUE)*(F537-Calc!F24)))/100+(Inputs!$B$23+((C537=TRUE)*(F537-Calc!F24)))/100)/2</f>
        <v/>
      </c>
      <c r="M515">
        <f>L515*(1+(Inputs!$B$10+0+B545)/100)</f>
        <v/>
      </c>
      <c r="N515">
        <f>L515*(1-MIN((Inputs!$B$9+0+B540),100)/100)+M515*(MIN((Inputs!$B$9+0+B540),100)/100)</f>
        <v/>
      </c>
      <c r="O515">
        <f>(1-Summary!$B$55)*T515+Summary!$B$55*V515</f>
        <v/>
      </c>
      <c r="P515">
        <f>IF(B550=0,0,O515/B550)</f>
        <v/>
      </c>
      <c r="Q515" t="n">
        <v>0</v>
      </c>
      <c r="R515" t="n">
        <v>0</v>
      </c>
      <c r="S515">
        <f>IFERROR(O515/N515,0)</f>
        <v/>
      </c>
      <c r="T515">
        <f>IF(C515,(Skills!G2*N515*B544)*IF(Inputs!$B$38="pvp",1,1+(Inputs!$B$20+0+Skills!P2)/100),0)</f>
        <v/>
      </c>
      <c r="U515">
        <f>MAX(0,(Inputs!$B$3-100)*3)+Inputs!$B$28+Inputs!$B$29</f>
        <v/>
      </c>
      <c r="V515">
        <f>IF(C515,(Skills!G2*N515*B544)*IF(Inputs!$B$38="pvp",1,(1+(Inputs!$B$21+Skills!Q2)/100)*(MIN((6+Inputs!$B$33),Inputs!$B$37))),0)</f>
        <v/>
      </c>
    </row>
    <row r="516">
      <c r="A516">
        <f>Skills!A3</f>
        <v/>
      </c>
      <c r="B516">
        <f>Skills!B3</f>
        <v/>
      </c>
      <c r="C516">
        <f>Inputs!$B$3&gt;=50</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Inputs!$B$3&gt;=35</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Skills!G4*IF(Skills!H4&gt;0,Skills!I4/Skills!H4,1)</f>
        <v/>
      </c>
      <c r="H517">
        <f>1-(1-Skills!J4/100)^Skills!K4</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546)/100)*(1+4.0*IF(C525=TRUE,F525,0)/100)*(1+(IF(Skills!A4="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517)</f>
        <v/>
      </c>
      <c r="L517">
        <f>K517*(MIN(Inputs!$B$22+((C535=TRUE)*(F535-Calc!F22)),Inputs!$B$23+((C537=TRUE)*(F537-Calc!F24)))/100+(Inputs!$B$23+((C537=TRUE)*(F537-Calc!F24)))/100)/2</f>
        <v/>
      </c>
      <c r="M517">
        <f>L517*(1+(Inputs!$B$10+0+B545)/100)</f>
        <v/>
      </c>
      <c r="N517">
        <f>L517*(1-MIN((Inputs!$B$9+0+B540),100)/100)+M517*(MIN((Inputs!$B$9+0+B540),100)/100)</f>
        <v/>
      </c>
      <c r="O517">
        <f>(1-Summary!$B$55)*T517+Summary!$B$55*V517</f>
        <v/>
      </c>
      <c r="P517">
        <f>IF(B550=0,0,O517/B550)</f>
        <v/>
      </c>
      <c r="Q517">
        <f>IFERROR(1/IF(Inputs!$B$38="pvp",15,MAX(0.1,Skills!D4-IF(Skills!E4=TRUE,Inputs!$B$32,0))),0)</f>
        <v/>
      </c>
      <c r="R517">
        <f>IF(AND(Inputs!$B$38&lt;&gt;"pvp",Inputs!$B$43&gt;0),IF(MAX(0,Inputs!$B$43-B547)&lt;=0,0,(INT(MAX(0,Inputs!$B$43-B547)/IF(Inputs!$B$38="pvp",15,MAX(0.1,Skills!D4-IF(Skills!E4=TRUE,Inputs!$B$32,0))))+1)),0)</f>
        <v/>
      </c>
      <c r="S517">
        <f>IFERROR(O517/N517,0)</f>
        <v/>
      </c>
      <c r="T517">
        <f>IF(C517,(H517*N517*IF(AND(Inputs!$B$38&lt;&gt;"pvp",Inputs!$B$43&gt;0),((Skills!G4*((R517-1)*IF(Skills!H4&gt;0,Skills!I4/Skills!H4,1)+IF(Skills!H4&gt;0,MIN(Skills!I4,MAX(0,MAX(0,Inputs!$B$43-B547)-((R517-1)*IF(Inputs!$B$38="pvp",15,MAX(0.1,Skills!D4-IF(Skills!E4=TRUE,Inputs!$B$32,0))))))/Skills!H4,1)))/Inputs!$B$43),G517*Q517))*IF(Inputs!$B$38="pvp",1,1+(Inputs!$B$20+0+Skills!P4)/100),0)</f>
        <v/>
      </c>
      <c r="U517">
        <f>290*U516/1000</f>
        <v/>
      </c>
      <c r="V517">
        <f>IF(C517,(H517*N517*IF(AND(Inputs!$B$38&lt;&gt;"pvp",Inputs!$B$43&gt;0),((Skills!G4*((R517-1)*IF(Skills!H4&gt;0,Skills!I4/Skills!H4,1)+IF(Skills!H4&gt;0,MIN(Skills!I4,MAX(0,MAX(0,Inputs!$B$43-B547)-((R517-1)*IF(Inputs!$B$38="pvp",15,MAX(0.1,Skills!D4-IF(Skills!E4=TRUE,Inputs!$B$32,0))))))/Skills!H4,1)))/Inputs!$B$43),G517*Q517))*IF(Inputs!$B$38="pvp",1,(1+(Inputs!$B$21+Skills!Q4)/100)*(MIN(Skills!R4,Inputs!$B$37))),0)</f>
        <v/>
      </c>
    </row>
    <row r="518">
      <c r="A518">
        <f>Skills!A5</f>
        <v/>
      </c>
      <c r="B518">
        <f>Skills!B5</f>
        <v/>
      </c>
      <c r="C518">
        <f>Inputs!$B$3&gt;=66</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546)/100)*(1+1.0*IF(C525=TRUE,F525,0)/100)*(1+(IF(Skills!A5="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518)</f>
        <v/>
      </c>
      <c r="L518">
        <f>K518*(MIN(Inputs!$B$22+((C535=TRUE)*(F535-Calc!F22)),Inputs!$B$23+((C537=TRUE)*(F537-Calc!F24)))/100+(Inputs!$B$23+((C537=TRUE)*(F537-Calc!F24)))/100)/2</f>
        <v/>
      </c>
      <c r="M518">
        <f>L518*(1+(Inputs!$B$10+0+B545)/100)</f>
        <v/>
      </c>
      <c r="N518">
        <f>L518*(1-MIN((Inputs!$B$9+0+B540),100)/100)+M518*(MIN((Inputs!$B$9+0+B540),100)/100)</f>
        <v/>
      </c>
      <c r="O518">
        <f>(1-Summary!$B$55)*T518+Summary!$B$55*V518</f>
        <v/>
      </c>
      <c r="P518">
        <f>IF(B550=0,0,O518/B550)</f>
        <v/>
      </c>
      <c r="Q518">
        <f>IFERROR(1/IF(Inputs!$B$38="pvp",15,MAX(0.1,Skills!D5-IF(Skills!E5=TRUE,Inputs!$B$32,0))),0)</f>
        <v/>
      </c>
      <c r="R518">
        <f>IF(AND(Inputs!$B$38&lt;&gt;"pvp",Inputs!$B$43&gt;0),IF(MAX(0,Inputs!$B$43-B547)&lt;=0,0,(INT(MAX(0,Inputs!$B$43-B547)/IF(Inputs!$B$38="pvp",15,MAX(0.1,Skills!D5-IF(Skills!E5=TRUE,Inputs!$B$32,0))))+1)),0)</f>
        <v/>
      </c>
      <c r="S518">
        <f>IFERROR(O518/N518,0)</f>
        <v/>
      </c>
      <c r="T518">
        <f>IF(C518,(H518*N518*IF(AND(Inputs!$B$38&lt;&gt;"pvp",Inputs!$B$43&gt;0),((Skills!G5*((R518-1)*IF(Skills!H5&gt;0,Skills!I5/Skills!H5,1)+IF(Skills!H5&gt;0,MIN(Skills!I5,MAX(0,MAX(0,Inputs!$B$43-B547)-((R518-1)*IF(Inputs!$B$38="pvp",15,MAX(0.1,Skills!D5-IF(Skills!E5=TRUE,Inputs!$B$32,0))))))/Skills!H5,1)))/Inputs!$B$43),G518*Q518))*IF(Inputs!$B$38="pvp",1,1+(Inputs!$B$20+0+Skills!P5)/100),0)</f>
        <v/>
      </c>
      <c r="V518">
        <f>IF(C518,(H518*N518*IF(AND(Inputs!$B$38&lt;&gt;"pvp",Inputs!$B$43&gt;0),((Skills!G5*((R518-1)*IF(Skills!H5&gt;0,Skills!I5/Skills!H5,1)+IF(Skills!H5&gt;0,MIN(Skills!I5,MAX(0,MAX(0,Inputs!$B$43-B547)-((R518-1)*IF(Inputs!$B$38="pvp",15,MAX(0.1,Skills!D5-IF(Skills!E5=TRUE,Inputs!$B$32,0))))))/Skills!H5,1)))/Inputs!$B$43),G518*Q518))*IF(Inputs!$B$38="pvp",1,(1+(Inputs!$B$21+Skills!Q5)/100)*(MIN(Skills!R5,Inputs!$B$37))),0)</f>
        <v/>
      </c>
    </row>
    <row r="519">
      <c r="A519">
        <f>Skills!A6</f>
        <v/>
      </c>
      <c r="B519">
        <f>Skills!B6</f>
        <v/>
      </c>
      <c r="C519">
        <f>Inputs!$B$3&gt;=103</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546)/100)*(1+(IF(Skills!A6="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519)</f>
        <v/>
      </c>
      <c r="L519">
        <f>K519*(MIN(Inputs!$B$22+((C535=TRUE)*(F535-Calc!F22)),Inputs!$B$23+((C537=TRUE)*(F537-Calc!F24)))/100+(Inputs!$B$23+((C537=TRUE)*(F537-Calc!F24)))/100)/2</f>
        <v/>
      </c>
      <c r="M519">
        <f>L519*(1+(Inputs!$B$10+0+B545)/100)</f>
        <v/>
      </c>
      <c r="N519">
        <f>L519*(1-MIN((Inputs!$B$9+0+B540),100)/100)+M519*(MIN((Inputs!$B$9+0+B540),100)/100)</f>
        <v/>
      </c>
      <c r="O519">
        <f>(1-Summary!$B$55)*T519+Summary!$B$55*V519</f>
        <v/>
      </c>
      <c r="P519">
        <f>IF(B550=0,0,O519/B550)</f>
        <v/>
      </c>
      <c r="Q519">
        <f>IFERROR(1/IF(Inputs!$B$38="pvp",15,MAX(0.1,Skills!D6-IF(Skills!E6=TRUE,Inputs!$B$32,0))),0)</f>
        <v/>
      </c>
      <c r="R519">
        <f>IF(AND(Inputs!$B$38&lt;&gt;"pvp",Inputs!$B$43&gt;0),IF(MAX(0,Inputs!$B$43-B547)&lt;=0,0,(INT(MAX(0,Inputs!$B$43-B547)/IF(Inputs!$B$38="pvp",15,MAX(0.1,Skills!D6-IF(Skills!E6=TRUE,Inputs!$B$32,0))))+1)),0)</f>
        <v/>
      </c>
      <c r="S519">
        <f>IFERROR(O519/N519,0)</f>
        <v/>
      </c>
      <c r="T519">
        <f>IF(C519,(H519*N519*IF(AND(Inputs!$B$38&lt;&gt;"pvp",Inputs!$B$43&gt;0),((Skills!G6*((R519-1)*IF(Skills!H6&gt;0,Skills!I6/Skills!H6,1)+IF(Skills!H6&gt;0,MIN(Skills!I6,MAX(0,MAX(0,Inputs!$B$43-B547)-((R519-1)*IF(Inputs!$B$38="pvp",15,MAX(0.1,Skills!D6-IF(Skills!E6=TRUE,Inputs!$B$32,0))))))/Skills!H6,1)))/Inputs!$B$43),G519*Q519))*IF(Inputs!$B$38="pvp",1,1+(Inputs!$B$20+0+Skills!P6)/100),0)</f>
        <v/>
      </c>
      <c r="V519">
        <f>IF(C519,(H519*N519*IF(AND(Inputs!$B$38&lt;&gt;"pvp",Inputs!$B$43&gt;0),((Skills!G6*((R519-1)*IF(Skills!H6&gt;0,Skills!I6/Skills!H6,1)+IF(Skills!H6&gt;0,MIN(Skills!I6,MAX(0,MAX(0,Inputs!$B$43-B547)-((R519-1)*IF(Inputs!$B$38="pvp",15,MAX(0.1,Skills!D6-IF(Skills!E6=TRUE,Inputs!$B$32,0))))))/Skills!H6,1)))/Inputs!$B$43),G519*Q519))*IF(Inputs!$B$38="pvp",1,(1+(Inputs!$B$21+Skills!Q6)/100)*(MIN(Skills!R6,Inputs!$B$37))),0)</f>
        <v/>
      </c>
    </row>
    <row r="520">
      <c r="A520">
        <f>Skills!A7</f>
        <v/>
      </c>
      <c r="B520">
        <f>Skills!B7</f>
        <v/>
      </c>
      <c r="C520">
        <f>Inputs!$B$3&gt;=107</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546)/100)*(1+(IF(Skills!A7="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520)</f>
        <v/>
      </c>
      <c r="L520">
        <f>K520*(MIN(Inputs!$B$22+((C535=TRUE)*(F535-Calc!F22)),Inputs!$B$23+((C537=TRUE)*(F537-Calc!F24)))/100+(Inputs!$B$23+((C537=TRUE)*(F537-Calc!F24)))/100)/2</f>
        <v/>
      </c>
      <c r="M520">
        <f>L520*(1+(Inputs!$B$10+0+B545)/100)</f>
        <v/>
      </c>
      <c r="N520">
        <f>L520*(1-MIN((Inputs!$B$9+0+B540),100)/100)+M520*(MIN((Inputs!$B$9+0+B540),100)/100)</f>
        <v/>
      </c>
      <c r="O520">
        <f>(1-Summary!$B$55)*T520+Summary!$B$55*V520</f>
        <v/>
      </c>
      <c r="P520">
        <f>IF(B550=0,0,O520/B550)</f>
        <v/>
      </c>
      <c r="Q520">
        <f>IFERROR(1/IF(Inputs!$B$38="pvp",15,MAX(0.1,Skills!D7-IF(Skills!E7=TRUE,Inputs!$B$32,0))),0)</f>
        <v/>
      </c>
      <c r="R520">
        <f>IF(AND(Inputs!$B$38&lt;&gt;"pvp",Inputs!$B$43&gt;0),IF(MAX(0,Inputs!$B$43-B547)&lt;=0,0,(INT(MAX(0,Inputs!$B$43-B547)/IF(Inputs!$B$38="pvp",15,MAX(0.1,Skills!D7-IF(Skills!E7=TRUE,Inputs!$B$32,0))))+1)),0)</f>
        <v/>
      </c>
      <c r="S520">
        <f>IFERROR(O520/N520,0)</f>
        <v/>
      </c>
      <c r="T520">
        <f>IF(C520,(H520*N520*IF(AND(Inputs!$B$38&lt;&gt;"pvp",Inputs!$B$43&gt;0),((Skills!G7*((R520-1)*IF(Skills!H7&gt;0,Skills!I7/Skills!H7,1)+IF(Skills!H7&gt;0,MIN(Skills!I7,MAX(0,MAX(0,Inputs!$B$43-B547)-((R520-1)*IF(Inputs!$B$38="pvp",15,MAX(0.1,Skills!D7-IF(Skills!E7=TRUE,Inputs!$B$32,0))))))/Skills!H7,1)))/Inputs!$B$43),G520*Q520))*IF(Inputs!$B$38="pvp",1,1+(Inputs!$B$20+0+Skills!P7)/100),0)</f>
        <v/>
      </c>
      <c r="V520">
        <f>IF(C520,(H520*N520*IF(AND(Inputs!$B$38&lt;&gt;"pvp",Inputs!$B$43&gt;0),((Skills!G7*((R520-1)*IF(Skills!H7&gt;0,Skills!I7/Skills!H7,1)+IF(Skills!H7&gt;0,MIN(Skills!I7,MAX(0,MAX(0,Inputs!$B$43-B547)-((R520-1)*IF(Inputs!$B$38="pvp",15,MAX(0.1,Skills!D7-IF(Skills!E7=TRUE,Inputs!$B$32,0))))))/Skills!H7,1)))/Inputs!$B$43),G520*Q520))*IF(Inputs!$B$38="pvp",1,(1+(Inputs!$B$21+Skills!Q7)/100)*(MIN(Skills!R7,Inputs!$B$37))),0)</f>
        <v/>
      </c>
    </row>
    <row r="521">
      <c r="A521">
        <f>Skills!A8</f>
        <v/>
      </c>
      <c r="B521">
        <f>Skills!B8</f>
        <v/>
      </c>
      <c r="C521">
        <f>Inputs!$B$3&gt;=107</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546)/100)*(1+(IF(Skills!A8="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521)</f>
        <v/>
      </c>
      <c r="L521">
        <f>K521*(MIN(Inputs!$B$22+((C535=TRUE)*(F535-Calc!F22)),Inputs!$B$23+((C537=TRUE)*(F537-Calc!F24)))/100+(Inputs!$B$23+((C537=TRUE)*(F537-Calc!F24)))/100)/2</f>
        <v/>
      </c>
      <c r="M521">
        <f>L521*(1+(Inputs!$B$10+0+B545)/100)</f>
        <v/>
      </c>
      <c r="N521">
        <f>L521*(1-MIN((Inputs!$B$9+0+B540),100)/100)+M521*(MIN((Inputs!$B$9+0+B540),100)/100)</f>
        <v/>
      </c>
      <c r="O521">
        <f>(1-Summary!$B$55)*T521+Summary!$B$55*V521</f>
        <v/>
      </c>
      <c r="P521">
        <f>IF(B550=0,0,O521/B550)</f>
        <v/>
      </c>
      <c r="Q521">
        <f>IFERROR(1/IF(Inputs!$B$38="pvp",15,MAX(0.1,Skills!D8-IF(Skills!E8=TRUE,Inputs!$B$32,0))),0)</f>
        <v/>
      </c>
      <c r="R521">
        <f>IF(AND(Inputs!$B$38&lt;&gt;"pvp",Inputs!$B$43&gt;0),IF(MAX(0,Inputs!$B$43-B547)&lt;=0,0,(INT(MAX(0,Inputs!$B$43-B547)/IF(Inputs!$B$38="pvp",15,MAX(0.1,Skills!D8-IF(Skills!E8=TRUE,Inputs!$B$32,0))))+1)),0)</f>
        <v/>
      </c>
      <c r="S521">
        <f>IFERROR(O521/N521,0)</f>
        <v/>
      </c>
      <c r="T521">
        <f>IF(C521,(H521*N521*IF(AND(Inputs!$B$38&lt;&gt;"pvp",Inputs!$B$43&gt;0),((Skills!G8*((R521-1)*IF(Skills!H8&gt;0,Skills!I8/Skills!H8,1)+IF(Skills!H8&gt;0,MIN(Skills!I8,MAX(0,MAX(0,Inputs!$B$43-B547)-((R521-1)*IF(Inputs!$B$38="pvp",15,MAX(0.1,Skills!D8-IF(Skills!E8=TRUE,Inputs!$B$32,0))))))/Skills!H8,1)))/Inputs!$B$43),G521*Q521))*IF(Inputs!$B$38="pvp",1,1+(Inputs!$B$20+0+Skills!P8)/100),0)</f>
        <v/>
      </c>
      <c r="V521">
        <f>IF(C521,(H521*N521*IF(AND(Inputs!$B$38&lt;&gt;"pvp",Inputs!$B$43&gt;0),((Skills!G8*((R521-1)*IF(Skills!H8&gt;0,Skills!I8/Skills!H8,1)+IF(Skills!H8&gt;0,MIN(Skills!I8,MAX(0,MAX(0,Inputs!$B$43-B547)-((R521-1)*IF(Inputs!$B$38="pvp",15,MAX(0.1,Skills!D8-IF(Skills!E8=TRUE,Inputs!$B$32,0))))))/Skills!H8,1)))/Inputs!$B$43),G521*Q521))*IF(Inputs!$B$38="pvp",1,(1+(Inputs!$B$21+Skills!Q8)/100)*(MIN(Skills!R8,Inputs!$B$37))),0)</f>
        <v/>
      </c>
    </row>
    <row r="522">
      <c r="A522">
        <f>Skills!A9</f>
        <v/>
      </c>
      <c r="B522">
        <f>Skills!B9</f>
        <v/>
      </c>
      <c r="C522">
        <f>Inputs!$B$3&gt;=125</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546)/100)*(1+(IF(Skills!A9="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522)</f>
        <v/>
      </c>
      <c r="L522">
        <f>K522*(MIN(Inputs!$B$22+((C535=TRUE)*(F535-Calc!F22)),Inputs!$B$23+((C537=TRUE)*(F537-Calc!F24)))/100+(Inputs!$B$23+((C537=TRUE)*(F537-Calc!F24)))/100)/2</f>
        <v/>
      </c>
      <c r="M522">
        <f>L522*(1+(Inputs!$B$10+0+B545)/100)</f>
        <v/>
      </c>
      <c r="N522">
        <f>L522*(1-MIN((Inputs!$B$9+0+B540),100)/100)+M522*(MIN((Inputs!$B$9+0+B540),100)/100)</f>
        <v/>
      </c>
      <c r="O522">
        <f>(1-Summary!$B$55)*T522+Summary!$B$55*V522</f>
        <v/>
      </c>
      <c r="P522">
        <f>IF(B550=0,0,O522/B550)</f>
        <v/>
      </c>
      <c r="Q522">
        <f>IFERROR(1/IF(Inputs!$B$38="pvp",15,MAX(0.1,Skills!D9-IF(Skills!E9=TRUE,Inputs!$B$32,0))),0)</f>
        <v/>
      </c>
      <c r="R522">
        <f>IF(AND(Inputs!$B$38&lt;&gt;"pvp",Inputs!$B$43&gt;0),IF(MAX(0,Inputs!$B$43-B547)&lt;=0,0,(INT(MAX(0,Inputs!$B$43-B547)/IF(Inputs!$B$38="pvp",15,MAX(0.1,Skills!D9-IF(Skills!E9=TRUE,Inputs!$B$32,0))))+1)),0)</f>
        <v/>
      </c>
      <c r="S522">
        <f>IFERROR(O522/N522,0)</f>
        <v/>
      </c>
      <c r="T522">
        <f>IF(C522,(H522*N522*IF(AND(Inputs!$B$38&lt;&gt;"pvp",Inputs!$B$43&gt;0),((Skills!G9*((R522-1)*IF(Skills!H9&gt;0,Skills!I9/Skills!H9,1)+IF(Skills!H9&gt;0,MIN(Skills!I9,MAX(0,MAX(0,Inputs!$B$43-B547)-((R522-1)*IF(Inputs!$B$38="pvp",15,MAX(0.1,Skills!D9-IF(Skills!E9=TRUE,Inputs!$B$32,0))))))/Skills!H9,1)))/Inputs!$B$43),G522*Q522))*IF(Inputs!$B$38="pvp",1,1+(Inputs!$B$20+0+Skills!P9)/100),0)</f>
        <v/>
      </c>
      <c r="V522">
        <f>IF(C522,(H522*N522*IF(AND(Inputs!$B$38&lt;&gt;"pvp",Inputs!$B$43&gt;0),((Skills!G9*((R522-1)*IF(Skills!H9&gt;0,Skills!I9/Skills!H9,1)+IF(Skills!H9&gt;0,MIN(Skills!I9,MAX(0,MAX(0,Inputs!$B$43-B547)-((R522-1)*IF(Inputs!$B$38="pvp",15,MAX(0.1,Skills!D9-IF(Skills!E9=TRUE,Inputs!$B$32,0))))))/Skills!H9,1)))/Inputs!$B$43),G522*Q522))*IF(Inputs!$B$38="pvp",1,(1+(Inputs!$B$21+Skills!Q9)/100)*(MIN(Skills!R9,Inputs!$B$37))),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((Inputs!$B$6*(1+Inputs!$B$7/100))+(((Inputs!$B$12*(1+Inputs!$B$13/100))-(Inputs!$B$12*(1+Inputs!$B$13/100)))+0.25*(Inputs!$B$14-Inputs!$B$14))*(1+Inputs!$B$7/100))*(F523/100)</f>
        <v/>
      </c>
      <c r="K523">
        <f>J523*(1+((Inputs!$B$12*(1+Inputs!$B$13/100))*0.01+Inputs!$B$14*0.0025)/100)*(1+Inputs!$B$15/100)*(1+Inputs!$B$16/100)*(5000/(6000+Inputs!$B$42*(1-(Inputs!$B$19+0)/100)))*(1+(Inputs!$B$24+0+B546)/100)*(1+(IF(Skills!A10="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523)</f>
        <v/>
      </c>
      <c r="L523">
        <f>K523*(MIN(Inputs!$B$22+((C535=TRUE)*(F535-Calc!F22)),Inputs!$B$23+((C537=TRUE)*(F537-Calc!F24)))/100+(Inputs!$B$23+((C537=TRUE)*(F537-Calc!F24)))/100)/2</f>
        <v/>
      </c>
      <c r="M523">
        <f>L523*(1+(Inputs!$B$10+0+B545)/100)</f>
        <v/>
      </c>
      <c r="N523">
        <f>L523*(1-MIN((Inputs!$B$9+0+B540),100)/100)+M523*(MIN((Inputs!$B$9+0+B540),100)/100)</f>
        <v/>
      </c>
      <c r="O523">
        <f>(1-Summary!$B$55)*T523+Summary!$B$55*V523</f>
        <v/>
      </c>
      <c r="P523">
        <f>IF(B550=0,0,O523/B550)</f>
        <v/>
      </c>
      <c r="Q523">
        <f>IFERROR(1/IF(Inputs!$B$38="pvp",15,MAX(0.1,Skills!D10-IF(Skills!E10=TRUE,Inputs!$B$32,0))),0)</f>
        <v/>
      </c>
      <c r="R523">
        <f>IF(AND(Inputs!$B$38&lt;&gt;"pvp",Inputs!$B$43&gt;0),IF(MAX(0,Inputs!$B$43-B547)&lt;=0,0,(INT(MAX(0,Inputs!$B$43-B547)/IF(Inputs!$B$38="pvp",15,MAX(0.1,Skills!D10-IF(Skills!E10=TRUE,Inputs!$B$32,0))))+1)),0)</f>
        <v/>
      </c>
      <c r="S523">
        <f>IFERROR(O523/N523,0)</f>
        <v/>
      </c>
      <c r="T523">
        <f>IF(C523,(H523*N523*IF(AND(Inputs!$B$38&lt;&gt;"pvp",Inputs!$B$43&gt;0),((Skills!G10*((R523-1)*IF(Skills!H10&gt;0,Skills!I10/Skills!H10,1)+IF(Skills!H10&gt;0,MIN(Skills!I10,MAX(0,MAX(0,Inputs!$B$43-B547)-((R523-1)*IF(Inputs!$B$38="pvp",15,MAX(0.1,Skills!D10-IF(Skills!E10=TRUE,Inputs!$B$32,0))))))/Skills!H10,1)))/Inputs!$B$43),G523*Q523))*IF(Inputs!$B$38="pvp",1,1+(Inputs!$B$20+0+Skills!P10)/100),0)</f>
        <v/>
      </c>
      <c r="V523">
        <f>IF(C523,(H523*N523*IF(AND(Inputs!$B$38&lt;&gt;"pvp",Inputs!$B$43&gt;0),((Skills!G10*((R523-1)*IF(Skills!H10&gt;0,Skills!I10/Skills!H10,1)+IF(Skills!H10&gt;0,MIN(Skills!I10,MAX(0,MAX(0,Inputs!$B$43-B547)-((R523-1)*IF(Inputs!$B$38="pvp",15,MAX(0.1,Skills!D10-IF(Skills!E10=TRUE,Inputs!$B$32,0))))))/Skills!H10,1)))/Inputs!$B$43),G523*Q523))*IF(Inputs!$B$38="pvp",1,(1+(Inputs!$B$21+Skills!Q10)/100)*(MIN(Skills!R10,Inputs!$B$37))),0)</f>
        <v/>
      </c>
    </row>
    <row r="524">
      <c r="A524">
        <f>Skills!A11</f>
        <v/>
      </c>
      <c r="B524">
        <f>Skills!B11</f>
        <v/>
      </c>
      <c r="C524">
        <f>Inputs!$B$3&gt;=63</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((Inputs!$B$6*(1+Inputs!$B$7/100))+(((Inputs!$B$12*(1+Inputs!$B$13/100))-(Inputs!$B$12*(1+Inputs!$B$13/100)))+0.25*(Inputs!$B$14-Inputs!$B$14))*(1+Inputs!$B$7/100))*(F524/100)</f>
        <v/>
      </c>
      <c r="K524">
        <f>J524*(1+((Inputs!$B$12*(1+Inputs!$B$13/100))*0.01+Inputs!$B$14*0.0025)/100)*(1+Inputs!$B$15/100)*(1+Inputs!$B$16/100)*(5000/(6000+Inputs!$B$42*(1-(Inputs!$B$19+0)/100)))*(1+(Inputs!$B$24+0+B546)/100)*(1+1.5*IF(C525=TRUE,F525,0)/100)*(1+(IF(Skills!A11="BLAST",Inputs!$B$17+((C534=TRUE)*(F534-Calc!F21)),Inputs!$B$18+((C536=TRUE)*(F536-Calc!F23))))/100)*((1+(((C526=TRUE)*F526*MIN(1,Skills!T13*(Skills!J13/100)*B544))+((C531=TRUE)*F531*IF(AND(Inputs!$B$38&lt;&gt;"pvp",Inputs!$B$43&gt;0),(((R531-1)*(Skills!T18*(1+Inputs!$B$34/100))+MIN((Skills!T18*(1+Inputs!$B$34/100)),MAX(0,Inputs!$B$43-((R531-1)*Skills!D18))))/Inputs!$B$43),IF(Inputs!$B$38="pvp",MIN((Skills!T18*(1+Inputs!$B$34/100)),15)/15,(Skills!T18*(1+Inputs!$B$34/100))/Skills!D18)))+0)/100)*I524)</f>
        <v/>
      </c>
      <c r="L524">
        <f>K524*(MIN(Inputs!$B$22+((C535=TRUE)*(F535-Calc!F22)),Inputs!$B$23+((C537=TRUE)*(F537-Calc!F24)))/100+(Inputs!$B$23+((C537=TRUE)*(F537-Calc!F24)))/100)/2</f>
        <v/>
      </c>
      <c r="M524">
        <f>L524*(1+(Inputs!$B$10+0+B545)/100)</f>
        <v/>
      </c>
      <c r="N524">
        <f>L524*(1-MIN((Inputs!$B$9+0+B540),100)/100)+M524*(MIN((Inputs!$B$9+0+B540),100)/100)</f>
        <v/>
      </c>
      <c r="O524">
        <f>(1-Summary!$B$55)*T524+Summary!$B$55*V524</f>
        <v/>
      </c>
      <c r="P524">
        <f>IF(B550=0,0,O524/B550)</f>
        <v/>
      </c>
      <c r="Q524">
        <f>IFERROR(1/IF(Inputs!$B$38="pvp",15,MAX(0.1,Skills!D11-IF(Skills!E11=TRUE,Inputs!$B$32,0))),0)</f>
        <v/>
      </c>
      <c r="R524">
        <f>IF(AND(Inputs!$B$38&lt;&gt;"pvp",Inputs!$B$43&gt;0),IF(MAX(0,Inputs!$B$43-B547)&lt;=0,0,(INT(MAX(0,Inputs!$B$43-B547)/IF(Inputs!$B$38="pvp",15,MAX(0.1,Skills!D11-IF(Skills!E11=TRUE,Inputs!$B$32,0))))+1)),0)</f>
        <v/>
      </c>
      <c r="S524">
        <f>IFERROR(O524/N524,0)</f>
        <v/>
      </c>
      <c r="T524">
        <f>IF(C524,(H524*N524*IF(AND(Inputs!$B$38&lt;&gt;"pvp",Inputs!$B$43&gt;0),((Skills!G11*((R524-1)*IF(Skills!H11&gt;0,Skills!I11/Skills!H11,1)+IF(Skills!H11&gt;0,MIN(Skills!I11,MAX(0,MAX(0,Inputs!$B$43-B547)-((R524-1)*IF(Inputs!$B$38="pvp",15,MAX(0.1,Skills!D11-IF(Skills!E11=TRUE,Inputs!$B$32,0))))))/Skills!H11,1)))/Inputs!$B$43),G524*Q524))*IF(Inputs!$B$38="pvp",1,1+(Inputs!$B$20+0+Skills!P11)/100),0)</f>
        <v/>
      </c>
      <c r="V524">
        <f>IF(C524,(H524*N524*IF(AND(Inputs!$B$38&lt;&gt;"pvp",Inputs!$B$43&gt;0),((Skills!G11*((R524-1)*IF(Skills!H11&gt;0,Skills!I11/Skills!H11,1)+IF(Skills!H11&gt;0,MIN(Skills!I11,MAX(0,MAX(0,Inputs!$B$43-B547)-((R524-1)*IF(Inputs!$B$38="pvp",15,MAX(0.1,Skills!D11-IF(Skills!E11=TRUE,Inputs!$B$32,0))))))/Skills!H11,1)))/Inputs!$B$43),G524*Q524))*IF(Inputs!$B$38="pvp",1,(1+(Inputs!$B$21+Skills!Q11)/100)*(MIN(Skills!R11,Inputs!$B$37))),0)</f>
        <v/>
      </c>
    </row>
    <row r="525">
      <c r="A525">
        <f>Skills!A12</f>
        <v/>
      </c>
      <c r="B525">
        <f>Skills!B12</f>
        <v/>
      </c>
      <c r="C525">
        <f>Inputs!$B$3&gt;=100</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f>(1-Summary!$B$55)*T526+Summary!$B$55*V526</f>
        <v/>
      </c>
      <c r="P526">
        <f>IF(B550=0,0,O526/B550)</f>
        <v/>
      </c>
      <c r="Q526" t="n">
        <v>0</v>
      </c>
      <c r="R526" t="n">
        <v>0</v>
      </c>
      <c r="S526">
        <f>IFERROR(O526/N526,0)</f>
        <v/>
      </c>
      <c r="T526" t="n">
        <v>0</v>
      </c>
      <c r="V526" t="n">
        <v>0</v>
      </c>
    </row>
    <row r="527">
      <c r="A527">
        <f>Skills!A14</f>
        <v/>
      </c>
      <c r="B527">
        <f>Skills!B14</f>
        <v/>
      </c>
      <c r="C527">
        <f>Inputs!$B$3&gt;=110</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f>(1-Summary!$B$55)*T527+Summary!$B$55*V527</f>
        <v/>
      </c>
      <c r="P527">
        <f>IF(B550=0,0,O527/B550)</f>
        <v/>
      </c>
      <c r="Q527" t="n">
        <v>0</v>
      </c>
      <c r="R527" t="n">
        <v>0</v>
      </c>
      <c r="S527">
        <f>IFERROR(O527/N527,0)</f>
        <v/>
      </c>
      <c r="T527" t="n">
        <v>0</v>
      </c>
      <c r="V527" t="n">
        <v>0</v>
      </c>
    </row>
    <row r="528">
      <c r="A528">
        <f>Skills!A15</f>
        <v/>
      </c>
      <c r="B528">
        <f>Skills!B15</f>
        <v/>
      </c>
      <c r="C528">
        <f>Inputs!$B$3&gt;=75</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f>(1-Summary!$B$55)*T528+Summary!$B$55*V528</f>
        <v/>
      </c>
      <c r="P528">
        <f>IF(B550=0,0,O528/B550)</f>
        <v/>
      </c>
      <c r="Q528">
        <f>IFERROR(1/IF(Inputs!$B$38="pvp",15,MAX(0.1,Skills!D15-IF(Skills!E15=TRUE,Inputs!$B$32,0))),0)</f>
        <v/>
      </c>
      <c r="R528">
        <f>IF(AND(Inputs!$B$38&lt;&gt;"pvp",Inputs!$B$43&gt;0),IF(Inputs!$B$43&lt;=0,0,(INT(Inputs!$B$43/IF(Inputs!$B$38="pvp",15,MAX(0.1,Skills!D15-IF(Skills!E15=TRUE,Inputs!$B$32,0))))+1)),0)</f>
        <v/>
      </c>
      <c r="S528">
        <f>IFERROR(O528/N528,0)</f>
        <v/>
      </c>
      <c r="T528" t="n">
        <v>0</v>
      </c>
      <c r="V528" t="n">
        <v>0</v>
      </c>
    </row>
    <row r="529">
      <c r="A529">
        <f>Skills!A16</f>
        <v/>
      </c>
      <c r="B529">
        <f>Skills!B16</f>
        <v/>
      </c>
      <c r="C529">
        <f>Inputs!$B$3&gt;=105</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f>(1-Summary!$B$55)*T529+Summary!$B$55*V529</f>
        <v/>
      </c>
      <c r="P529">
        <f>IF(B550=0,0,O529/B550)</f>
        <v/>
      </c>
      <c r="Q529">
        <f>IFERROR(1/IF(Inputs!$B$38="pvp",15,MAX(0.1,Skills!D16-IF(Skills!E16=TRUE,Inputs!$B$32,0))),0)</f>
        <v/>
      </c>
      <c r="R529">
        <f>IF(AND(Inputs!$B$38&lt;&gt;"pvp",Inputs!$B$43&gt;0),IF(Inputs!$B$43&lt;=0,0,(INT(Inputs!$B$43/IF(Inputs!$B$38="pvp",15,MAX(0.1,Skills!D16-IF(Skills!E16=TRUE,Inputs!$B$32,0))))+1)),0)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f>(1-Summary!$B$55)*T530+Summary!$B$55*V530</f>
        <v/>
      </c>
      <c r="P530">
        <f>IF(B550=0,0,O530/B550)</f>
        <v/>
      </c>
      <c r="Q530">
        <f>IFERROR(1/IF(Inputs!$B$38="pvp",15,MAX(0.1,Skills!D17-IF(Skills!E17=TRUE,Inputs!$B$32,0))),0)</f>
        <v/>
      </c>
      <c r="R530">
        <f>IF(AND(Inputs!$B$38&lt;&gt;"pvp",Inputs!$B$43&gt;0),IF(Inputs!$B$43&lt;=0,0,(INT(Inputs!$B$43/IF(Inputs!$B$38="pvp",15,MAX(0.1,Skills!D17-IF(Skills!E17=TRUE,Inputs!$B$32,0))))+1)),0)</f>
        <v/>
      </c>
      <c r="S530">
        <f>IFERROR(O530/N530,0)</f>
        <v/>
      </c>
      <c r="T530" t="n">
        <v>0</v>
      </c>
      <c r="V530" t="n">
        <v>0</v>
      </c>
    </row>
    <row r="531">
      <c r="A531">
        <f>Skills!A18</f>
        <v/>
      </c>
      <c r="B531">
        <f>Skills!B18</f>
        <v/>
      </c>
      <c r="C531">
        <f>Inputs!$B$3&gt;=74</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f>(1-Summary!$B$55)*T531+Summary!$B$55*V531</f>
        <v/>
      </c>
      <c r="P531">
        <f>IF(B550=0,0,O531/B550)</f>
        <v/>
      </c>
      <c r="Q531">
        <f>IFERROR(1/IF(Inputs!$B$38="pvp",15,MAX(0.1,Skills!D18-IF(Skills!E18=TRUE,Inputs!$B$32,0))),0)</f>
        <v/>
      </c>
      <c r="R531">
        <f>IF(AND(Inputs!$B$38&lt;&gt;"pvp",Inputs!$B$43&gt;0),IF(Inputs!$B$43&lt;=0,0,(INT(Inputs!$B$43/IF(Inputs!$B$38="pvp",15,MAX(0.1,Skills!D18-IF(Skills!E18=TRUE,Inputs!$B$32,0))))+1)),0)</f>
        <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f>(1-Summary!$B$55)*T532+Summary!$B$55*V532</f>
        <v/>
      </c>
      <c r="P532">
        <f>IF(B550=0,0,O532/B550)</f>
        <v/>
      </c>
      <c r="Q532">
        <f>IFERROR(1/IF(Inputs!$B$38="pvp",15,MAX(0.1,Skills!D19-IF(Skills!E19=TRUE,Inputs!$B$32,0))),0)</f>
        <v/>
      </c>
      <c r="R532">
        <f>IF(AND(Inputs!$B$38&lt;&gt;"pvp",Inputs!$B$43&gt;0),IF(Inputs!$B$43&lt;=0,0,(INT(Inputs!$B$43/IF(Inputs!$B$38="pvp",15,MAX(0.1,Skills!D19-IF(Skills!E19=TRUE,Inputs!$B$32,0))))+1)),0)</f>
        <v/>
      </c>
      <c r="S532">
        <f>IFERROR(O532/N532,0)</f>
        <v/>
      </c>
      <c r="T532" t="n">
        <v>0</v>
      </c>
      <c r="V532" t="n">
        <v>0</v>
      </c>
    </row>
    <row r="533">
      <c r="A533">
        <f>Skills!A20</f>
        <v/>
      </c>
      <c r="B533">
        <f>Skills!B20</f>
        <v/>
      </c>
      <c r="C533">
        <f>Inputs!$B$3&gt;=33</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f>(1-Summary!$B$55)*T533+Summary!$B$55*V533</f>
        <v/>
      </c>
      <c r="P533">
        <f>IF(B550=0,0,O533/B550)</f>
        <v/>
      </c>
      <c r="Q533" t="n">
        <v>0</v>
      </c>
      <c r="R533" t="n">
        <v>0</v>
      </c>
      <c r="S533">
        <f>IFERROR(O533/N533,0)</f>
        <v/>
      </c>
      <c r="T533" t="n">
        <v>0</v>
      </c>
      <c r="V533" t="n">
        <v>0</v>
      </c>
    </row>
    <row r="534">
      <c r="A534">
        <f>Skills!A21</f>
        <v/>
      </c>
      <c r="B534">
        <f>Skills!B21</f>
        <v/>
      </c>
      <c r="C534">
        <f>Inputs!$B$3&gt;=38</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f>(1-Summary!$B$55)*T534+Summary!$B$55*V534</f>
        <v/>
      </c>
      <c r="P534">
        <f>IF(B550=0,0,O534/B550)</f>
        <v/>
      </c>
      <c r="Q534" t="n">
        <v>0</v>
      </c>
      <c r="R534" t="n">
        <v>0</v>
      </c>
      <c r="S534">
        <f>IFERROR(O534/N534,0)</f>
        <v/>
      </c>
      <c r="T534" t="n">
        <v>0</v>
      </c>
      <c r="V534" t="n">
        <v>0</v>
      </c>
    </row>
    <row r="535">
      <c r="A535">
        <f>Skills!A22</f>
        <v/>
      </c>
      <c r="B535">
        <f>Skills!B22</f>
        <v/>
      </c>
      <c r="C535">
        <f>Inputs!$B$3&gt;=43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f>(1-Summary!$B$55)*T535+Summary!$B$55*V535</f>
        <v/>
      </c>
      <c r="P535">
        <f>IF(B550=0,0,O535/B550)</f>
        <v/>
      </c>
      <c r="Q535" t="n">
        <v>0</v>
      </c>
      <c r="R535" t="n">
        <v>0</v>
      </c>
      <c r="S535">
        <f>IFERROR(O535/N535,0)</f>
        <v/>
      </c>
      <c r="T535" t="n">
        <v>0</v>
      </c>
      <c r="V535" t="n">
        <v>0</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f>(1-Summary!$B$55)*T536+Summary!$B$55*V536</f>
        <v/>
      </c>
      <c r="P536">
        <f>IF(B550=0,0,O536/B550)</f>
        <v/>
      </c>
      <c r="Q536" t="n">
        <v>0</v>
      </c>
      <c r="R536" t="n">
        <v>0</v>
      </c>
      <c r="S536">
        <f>IFERROR(O536/N536,0)</f>
        <v/>
      </c>
      <c r="T536" t="n">
        <v>0</v>
      </c>
      <c r="V536" t="n">
        <v>0</v>
      </c>
    </row>
    <row r="537">
      <c r="A537">
        <f>Skills!A24</f>
        <v/>
      </c>
      <c r="B537">
        <f>Skills!B24</f>
        <v/>
      </c>
      <c r="C537">
        <f>Inputs!$B$3&gt;=120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f>(1-Summary!$B$55)*T537+Summary!$B$55*V537</f>
        <v/>
      </c>
      <c r="P537">
        <f>IF(B550=0,0,O537/B550)</f>
        <v/>
      </c>
      <c r="Q537" t="n">
        <v>0</v>
      </c>
      <c r="R537" t="n">
        <v>0</v>
      </c>
      <c r="S537">
        <f>IFERROR(O537/N537,0)</f>
        <v/>
      </c>
      <c r="T537" t="n">
        <v>0</v>
      </c>
      <c r="V537" t="n">
        <v>0</v>
      </c>
    </row>
    <row r="539">
      <c r="A539" t="inlineStr">
        <is>
          <t>Attack% Bucket Multiplier</t>
        </is>
      </c>
      <c r="B539">
        <f>(1+(((C526=TRUE)*F526*MIN(1,Skills!T13*(Skills!J13/100)*B544))+((C531=TRUE)*F531*IF(AND(Inputs!$B$38&lt;&gt;"pvp",Inputs!$B$43&gt;0),(((R531-1)*(Skills!T18*(1+Inputs!$B$34/100))+MIN((Skills!T18*(1+Inputs!$B$34/100)),MAX(0,Inputs!$B$43-((R531-1)*Skills!D18))))/Inputs!$B$43),IF(Inputs!$B$38="pvp",MIN((Skills!T18*(1+Inputs!$B$34/100)),15)/15,(Skills!T18*(1+Inputs!$B$34/100))/Skills!D18)))+0)/100)</f>
        <v/>
      </c>
    </row>
    <row r="540">
      <c r="A540" t="inlineStr">
        <is>
          <t>Global Crit Rate Bonus %</t>
        </is>
      </c>
      <c r="B540" t="n">
        <v>0</v>
      </c>
    </row>
    <row r="541">
      <c r="A541" t="inlineStr">
        <is>
          <t>Attack Speed Buff Bonus %</t>
        </is>
      </c>
      <c r="B541">
        <f>((C532=TRUE)*F532*IF(AND(Inputs!$B$38&lt;&gt;"pvp",Inputs!$B$43&gt;0),(((R532-1)*(Skills!T19*(1+Inputs!$B$34/100))+MIN((Skills!T19*(1+Inputs!$B$34/100)),MAX(0,Inputs!$B$43-((R532-1)*Skills!D19))))/Inputs!$B$43),IF(Inputs!$B$38="pvp",MIN((Skills!T19*(1+Inputs!$B$34/100)),15)/15,(Skills!T19*(1+Inputs!$B$34/100))/Skills!D19)))</f>
        <v/>
      </c>
    </row>
    <row r="542">
      <c r="A542" t="inlineStr">
        <is>
          <t>Actions Per Second</t>
        </is>
      </c>
      <c r="B542">
        <f>1+MIN(150,150*(1-(1-(((1-(1-Inputs!$B$11/150)*(1-1/150))*150)+((C533=TRUE)*(F533-Calc!F20)))/150)*(1-B541/150)))/100</f>
        <v/>
      </c>
    </row>
    <row r="543">
      <c r="A543" t="inlineStr">
        <is>
          <t>Skill + Buff Cast Rate</t>
        </is>
      </c>
      <c r="B543">
        <f>IF(AND(Inputs!$B$38&lt;&gt;"pvp",Inputs!$B$43&gt;0),SUMPRODUCT((Skills!E2:E24=TRUE)*(C515:C537=TRUE)*R515:R537*Skills!F2:F24)/Inputs!$B$43,SUMPRODUCT((Skills!E2:E24=TRUE)*(C515:C537=TRUE)*Q515:Q537*Skills!F2:F24))</f>
        <v/>
      </c>
    </row>
    <row r="544">
      <c r="A544" t="inlineStr">
        <is>
          <t>Blast Casts Per Second</t>
        </is>
      </c>
      <c r="B544">
        <f>MAX(0,B542-B543)</f>
        <v/>
      </c>
    </row>
    <row r="545">
      <c r="A545" t="inlineStr">
        <is>
          <t>Global Critical Damage Bonus % (unused)</t>
        </is>
      </c>
      <c r="B545" t="n">
        <v>0</v>
      </c>
    </row>
    <row r="546">
      <c r="A546" t="inlineStr">
        <is>
          <t>Global Final Damage Bonus % (Divine Shield + Guardian + Divine Blessing + Greater Vessel of Light)</t>
        </is>
      </c>
      <c r="B546">
        <f>((C528=TRUE)*F528*IF(AND(Inputs!$B$38&lt;&gt;"pvp",Inputs!$B$43&gt;0),(((R528-1)*(Skills!T15*(1+Inputs!$B$34/100))+MIN((Skills!T15*(1+Inputs!$B$34/100)),MAX(0,Inputs!$B$43-((R528-1)*Skills!D15))))/Inputs!$B$43),IF(Inputs!$B$38="pvp",MIN((Skills!T15*(1+Inputs!$B$34/100)),15)/15,(Skills!T15*(1+Inputs!$B$34/100))/Skills!D15)))+((C529=TRUE)*F529*IF(AND(Inputs!$B$38&lt;&gt;"pvp",Inputs!$B$43&gt;0),(((R529-1)*(Skills!T16*(1+Inputs!$B$34/100))+MIN((Skills!T16*(1+Inputs!$B$34/100)),MAX(0,Inputs!$B$43-((R529-1)*Skills!D16))))/Inputs!$B$43),IF(Inputs!$B$38="pvp",MIN((Skills!T16*(1+Inputs!$B$34/100)),15)/15,(Skills!T16*(1+Inputs!$B$34/100))/Skills!D16)))+((C530=TRUE)*F530*IF(AND(Inputs!$B$38&lt;&gt;"pvp",Inputs!$B$43&gt;0),(((R530-1)*(Skills!T17*(1+Inputs!$B$34/100))+MIN((Skills!T17*(1+Inputs!$B$34/100)),MAX(0,Inputs!$B$43-((R530-1)*Skills!D17))))/Inputs!$B$43),IF(Inputs!$B$38="pvp",MIN((Skills!T17*(1+Inputs!$B$34/100)),15)/15,(Skills!T17*(1+Inputs!$B$34/100))/Skills!D17)))+((C527=TRUE)*F527*MIN(1,Skills!T13*(Skills!J13/100)*B544))</f>
        <v/>
      </c>
    </row>
    <row r="547">
      <c r="A547" t="inlineStr">
        <is>
          <t>Buff-Casting Startup Delay (s, fixed-duration only)</t>
        </is>
      </c>
      <c r="B547">
        <f>IF(AND(Inputs!$B$38&lt;&gt;"pvp",Inputs!$B$43&gt;0),SUMPRODUCT((Skills!T2:T24&gt;0)*(Skills!E2:E24=TRUE)*(C515:C537=TRUE))/B542,0)</f>
        <v/>
      </c>
    </row>
    <row r="548">
      <c r="A548" t="inlineStr">
        <is>
          <t>Boss-Only Total DPS (this block's swept value)</t>
        </is>
      </c>
      <c r="B548">
        <f>SUM(T515:T537)</f>
        <v/>
      </c>
    </row>
    <row r="549">
      <c r="A549" t="inlineStr">
        <is>
          <t>Normal-Only Total DPS (this block's swept value)</t>
        </is>
      </c>
      <c r="B549">
        <f>SUM(V515:V537)</f>
        <v/>
      </c>
    </row>
    <row r="550">
      <c r="A550" s="5" t="inlineStr">
        <is>
          <t>TOTAL DPS</t>
        </is>
      </c>
      <c r="B550" s="5">
        <f>SUM(O515:O537)</f>
        <v/>
      </c>
    </row>
    <row r="553">
      <c r="A553" s="5" t="inlineStr">
        <is>
          <t>Stat: DEF_PEN % (diminishing returns, factor 100)</t>
        </is>
      </c>
    </row>
    <row r="554">
      <c r="A554" s="9" t="inlineStr">
        <is>
          <t>Key</t>
        </is>
      </c>
      <c r="B554" s="9" t="inlineStr">
        <is>
          <t>Name</t>
        </is>
      </c>
      <c r="C554" s="9" t="inlineStr">
        <is>
          <t>Unlocked</t>
        </is>
      </c>
      <c r="D554" s="9" t="inlineStr">
        <is>
          <t>InputLevel</t>
        </is>
      </c>
      <c r="E554" s="9" t="inlineStr">
        <is>
          <t>Factor</t>
        </is>
      </c>
      <c r="F554" s="9" t="inlineStr">
        <is>
          <t>CoefficientPercent</t>
        </is>
      </c>
      <c r="G554" s="9" t="inlineStr">
        <is>
          <t>EffectiveHits</t>
        </is>
      </c>
      <c r="H554" s="9" t="inlineStr">
        <is>
          <t>ProcProbability</t>
        </is>
      </c>
      <c r="I554" s="9" t="inlineStr">
        <is>
          <t>MapleHeroMultiplier</t>
        </is>
      </c>
      <c r="J554" s="9" t="inlineStr">
        <is>
          <t>BaseDamage</t>
        </is>
      </c>
      <c r="K554" s="9" t="inlineStr">
        <is>
          <t>BaseHitDamage</t>
        </is>
      </c>
      <c r="L554" s="9" t="inlineStr">
        <is>
          <t>NonCritAvg</t>
        </is>
      </c>
      <c r="M554" s="9" t="inlineStr">
        <is>
          <t>CritAvg</t>
        </is>
      </c>
      <c r="N554" s="9" t="inlineStr">
        <is>
          <t>ExpectedDamage(perHit)</t>
        </is>
      </c>
      <c r="O554" s="9" t="inlineStr">
        <is>
          <t>DPS</t>
        </is>
      </c>
      <c r="P554" s="9" t="inlineStr">
        <is>
          <t>% of Total</t>
        </is>
      </c>
      <c r="Q554" s="9" t="inlineStr">
        <is>
          <t>InvCooldown</t>
        </is>
      </c>
      <c r="R554" s="9" t="inlineStr">
        <is>
          <t>CastsInFight</t>
        </is>
      </c>
      <c r="S554" s="9"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((Inputs!$B$6*(1+Inputs!$B$7/100))+(((Inputs!$B$12*(1+Inputs!$B$13/100))-(Inputs!$B$12*(1+Inputs!$B$13/100)))+0.25*(Inputs!$B$14-Inputs!$B$14))*(1+Inputs!$B$7/100))*(F555/100)</f>
        <v/>
      </c>
      <c r="K555">
        <f>J555*(1+((Inputs!$B$12*(1+Inputs!$B$13/100))*0.01+Inputs!$B$14*0.0025)/100)*(1+Inputs!$B$15/100)*(1+Inputs!$B$16/100)*(5000/(6000+Inputs!$B$42*(1-(((1-(1-Inputs!$B$19/100)*(1-1/100))*100)+0)/100)))*(1+(Inputs!$B$24+0+B586)/100)*(1+(IF(Skills!A2="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555)</f>
        <v/>
      </c>
      <c r="L555">
        <f>K555*(MIN(Inputs!$B$22+((C575=TRUE)*(F575-Calc!F22)),Inputs!$B$23+((C577=TRUE)*(F577-Calc!F24)))/100+(Inputs!$B$23+((C577=TRUE)*(F577-Calc!F24)))/100)/2</f>
        <v/>
      </c>
      <c r="M555">
        <f>L555*(1+(Inputs!$B$10+0+B585)/100)</f>
        <v/>
      </c>
      <c r="N555">
        <f>L555*(1-MIN((Inputs!$B$9+0+B580),100)/100)+M555*(MIN((Inputs!$B$9+0+B580),100)/100)</f>
        <v/>
      </c>
      <c r="O555">
        <f>(1-Summary!$B$55)*T555+Summary!$B$55*V555</f>
        <v/>
      </c>
      <c r="P555">
        <f>IF(B590=0,0,O555/B590)</f>
        <v/>
      </c>
      <c r="Q555" t="n">
        <v>0</v>
      </c>
      <c r="R555" t="n">
        <v>0</v>
      </c>
      <c r="S555">
        <f>IFERROR(O555/N555,0)</f>
        <v/>
      </c>
      <c r="T555">
        <f>IF(C555,(Skills!G2*N555*B584)*IF(Inputs!$B$38="pvp",1,1+(Inputs!$B$20+0+Skills!P2)/100),0)</f>
        <v/>
      </c>
      <c r="U555">
        <f>MAX(0,(Inputs!$B$3-100)*3)+Inputs!$B$28+Inputs!$B$29</f>
        <v/>
      </c>
      <c r="V555">
        <f>IF(C555,(Skills!G2*N555*B584)*IF(Inputs!$B$38="pvp",1,(1+(Inputs!$B$21+Skills!Q2)/100)*(MIN((6+Inputs!$B$33),Inputs!$B$37))),0)</f>
        <v/>
      </c>
    </row>
    <row r="556">
      <c r="A556">
        <f>Skills!A3</f>
        <v/>
      </c>
      <c r="B556">
        <f>Skills!B3</f>
        <v/>
      </c>
      <c r="C556">
        <f>Inputs!$B$3&gt;=50</f>
        <v/>
      </c>
      <c r="D556">
        <f>IF(Skills!C3=1,60+Inputs!$B$25+Inputs!$B$29,IF(Skills!C3=2,90+Inputs!$B$26+Inputs!$B$29,IF(Skills!C3=3,120+Inputs!$B$27+Inputs!$B$29,MAX(0,(Inputs!$B$3-100)*3)+Inputs!$B$28+Inputs!$B$29)))</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Inputs!$B$3&gt;=35</f>
        <v/>
      </c>
      <c r="D557">
        <f>IF(Skills!C4=1,60+Inputs!$B$25+Inputs!$B$29,IF(Skills!C4=2,90+Inputs!$B$26+Inputs!$B$29,IF(Skills!C4=3,120+Inputs!$B$27+Inputs!$B$29,MAX(0,(Inputs!$B$3-100)*3)+Inputs!$B$28+Inputs!$B$29)))</f>
        <v/>
      </c>
      <c r="E557">
        <f>INDEX(FactorTable!$B$2:$Y$301, MATCH(ROUND(MIN(300,MAX(1,D557)),0), FactorTable!$A$2:$A$301,0), Skills!M4+1)</f>
        <v/>
      </c>
      <c r="F557">
        <f>IF(Skills!N4=TRUE,(Skills!L4/10)*(E557/1000),Skills!L4/10)+Skills!O4</f>
        <v/>
      </c>
      <c r="G557">
        <f>Skills!G4*IF(Skills!H4&gt;0,Skills!I4/Skills!H4,1)</f>
        <v/>
      </c>
      <c r="H557">
        <f>1-(1-Skills!J4/100)^Skills!K4</f>
        <v/>
      </c>
      <c r="I557" t="inlineStr">
        <is>
          <t>1</t>
        </is>
      </c>
      <c r="J557">
        <f>((Inputs!$B$6*(1+Inputs!$B$7/100))+(((Inputs!$B$12*(1+Inputs!$B$13/100))-(Inputs!$B$12*(1+Inputs!$B$13/100)))+0.25*(Inputs!$B$14-Inputs!$B$14))*(1+Inputs!$B$7/100))*(F557/100)</f>
        <v/>
      </c>
      <c r="K557">
        <f>J557*(1+((Inputs!$B$12*(1+Inputs!$B$13/100))*0.01+Inputs!$B$14*0.0025)/100)*(1+Inputs!$B$15/100)*(1+Inputs!$B$16/100)*(5000/(6000+Inputs!$B$42*(1-(((1-(1-Inputs!$B$19/100)*(1-1/100))*100)+0)/100)))*(1+(Inputs!$B$24+0+B586)/100)*(1+4.0*IF(C565=TRUE,F565,0)/100)*(1+(IF(Skills!A4="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557)</f>
        <v/>
      </c>
      <c r="L557">
        <f>K557*(MIN(Inputs!$B$22+((C575=TRUE)*(F575-Calc!F22)),Inputs!$B$23+((C577=TRUE)*(F577-Calc!F24)))/100+(Inputs!$B$23+((C577=TRUE)*(F577-Calc!F24)))/100)/2</f>
        <v/>
      </c>
      <c r="M557">
        <f>L557*(1+(Inputs!$B$10+0+B585)/100)</f>
        <v/>
      </c>
      <c r="N557">
        <f>L557*(1-MIN((Inputs!$B$9+0+B580),100)/100)+M557*(MIN((Inputs!$B$9+0+B580),100)/100)</f>
        <v/>
      </c>
      <c r="O557">
        <f>(1-Summary!$B$55)*T557+Summary!$B$55*V557</f>
        <v/>
      </c>
      <c r="P557">
        <f>IF(B590=0,0,O557/B590)</f>
        <v/>
      </c>
      <c r="Q557">
        <f>IFERROR(1/IF(Inputs!$B$38="pvp",15,MAX(0.1,Skills!D4-IF(Skills!E4=TRUE,Inputs!$B$32,0))),0)</f>
        <v/>
      </c>
      <c r="R557">
        <f>IF(AND(Inputs!$B$38&lt;&gt;"pvp",Inputs!$B$43&gt;0),IF(MAX(0,Inputs!$B$43-B587)&lt;=0,0,(INT(MAX(0,Inputs!$B$43-B587)/IF(Inputs!$B$38="pvp",15,MAX(0.1,Skills!D4-IF(Skills!E4=TRUE,Inputs!$B$32,0))))+1)),0)</f>
        <v/>
      </c>
      <c r="S557">
        <f>IFERROR(O557/N557,0)</f>
        <v/>
      </c>
      <c r="T557">
        <f>IF(C557,(H557*N557*IF(AND(Inputs!$B$38&lt;&gt;"pvp",Inputs!$B$43&gt;0),((Skills!G4*((R557-1)*IF(Skills!H4&gt;0,Skills!I4/Skills!H4,1)+IF(Skills!H4&gt;0,MIN(Skills!I4,MAX(0,MAX(0,Inputs!$B$43-B587)-((R557-1)*IF(Inputs!$B$38="pvp",15,MAX(0.1,Skills!D4-IF(Skills!E4=TRUE,Inputs!$B$32,0))))))/Skills!H4,1)))/Inputs!$B$43),G557*Q557))*IF(Inputs!$B$38="pvp",1,1+(Inputs!$B$20+0+Skills!P4)/100),0)</f>
        <v/>
      </c>
      <c r="U557">
        <f>290*U556/1000</f>
        <v/>
      </c>
      <c r="V557">
        <f>IF(C557,(H557*N557*IF(AND(Inputs!$B$38&lt;&gt;"pvp",Inputs!$B$43&gt;0),((Skills!G4*((R557-1)*IF(Skills!H4&gt;0,Skills!I4/Skills!H4,1)+IF(Skills!H4&gt;0,MIN(Skills!I4,MAX(0,MAX(0,Inputs!$B$43-B587)-((R557-1)*IF(Inputs!$B$38="pvp",15,MAX(0.1,Skills!D4-IF(Skills!E4=TRUE,Inputs!$B$32,0))))))/Skills!H4,1)))/Inputs!$B$43),G557*Q557))*IF(Inputs!$B$38="pvp",1,(1+(Inputs!$B$21+Skills!Q4)/100)*(MIN(Skills!R4,Inputs!$B$37))),0)</f>
        <v/>
      </c>
    </row>
    <row r="558">
      <c r="A558">
        <f>Skills!A5</f>
        <v/>
      </c>
      <c r="B558">
        <f>Skills!B5</f>
        <v/>
      </c>
      <c r="C558">
        <f>Inputs!$B$3&gt;=66</f>
        <v/>
      </c>
      <c r="D558">
        <f>IF(Skills!C5=1,60+Inputs!$B$25+Inputs!$B$29,IF(Skills!C5=2,90+Inputs!$B$26+Inputs!$B$29,IF(Skills!C5=3,120+Inputs!$B$27+Inputs!$B$29,MAX(0,(Inputs!$B$3-100)*3)+Inputs!$B$28+Inputs!$B$29)))</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((Inputs!$B$6*(1+Inputs!$B$7/100))+(((Inputs!$B$12*(1+Inputs!$B$13/100))-(Inputs!$B$12*(1+Inputs!$B$13/100)))+0.25*(Inputs!$B$14-Inputs!$B$14))*(1+Inputs!$B$7/100))*(F558/100)</f>
        <v/>
      </c>
      <c r="K558">
        <f>J558*(1+((Inputs!$B$12*(1+Inputs!$B$13/100))*0.01+Inputs!$B$14*0.0025)/100)*(1+Inputs!$B$15/100)*(1+Inputs!$B$16/100)*(5000/(6000+Inputs!$B$42*(1-(((1-(1-Inputs!$B$19/100)*(1-1/100))*100)+0)/100)))*(1+(Inputs!$B$24+0+B586)/100)*(1+1.0*IF(C565=TRUE,F565,0)/100)*(1+(IF(Skills!A5="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558)</f>
        <v/>
      </c>
      <c r="L558">
        <f>K558*(MIN(Inputs!$B$22+((C575=TRUE)*(F575-Calc!F22)),Inputs!$B$23+((C577=TRUE)*(F577-Calc!F24)))/100+(Inputs!$B$23+((C577=TRUE)*(F577-Calc!F24)))/100)/2</f>
        <v/>
      </c>
      <c r="M558">
        <f>L558*(1+(Inputs!$B$10+0+B585)/100)</f>
        <v/>
      </c>
      <c r="N558">
        <f>L558*(1-MIN((Inputs!$B$9+0+B580),100)/100)+M558*(MIN((Inputs!$B$9+0+B580),100)/100)</f>
        <v/>
      </c>
      <c r="O558">
        <f>(1-Summary!$B$55)*T558+Summary!$B$55*V558</f>
        <v/>
      </c>
      <c r="P558">
        <f>IF(B590=0,0,O558/B590)</f>
        <v/>
      </c>
      <c r="Q558">
        <f>IFERROR(1/IF(Inputs!$B$38="pvp",15,MAX(0.1,Skills!D5-IF(Skills!E5=TRUE,Inputs!$B$32,0))),0)</f>
        <v/>
      </c>
      <c r="R558">
        <f>IF(AND(Inputs!$B$38&lt;&gt;"pvp",Inputs!$B$43&gt;0),IF(MAX(0,Inputs!$B$43-B587)&lt;=0,0,(INT(MAX(0,Inputs!$B$43-B587)/IF(Inputs!$B$38="pvp",15,MAX(0.1,Skills!D5-IF(Skills!E5=TRUE,Inputs!$B$32,0))))+1)),0)</f>
        <v/>
      </c>
      <c r="S558">
        <f>IFERROR(O558/N558,0)</f>
        <v/>
      </c>
      <c r="T558">
        <f>IF(C558,(H558*N558*IF(AND(Inputs!$B$38&lt;&gt;"pvp",Inputs!$B$43&gt;0),((Skills!G5*((R558-1)*IF(Skills!H5&gt;0,Skills!I5/Skills!H5,1)+IF(Skills!H5&gt;0,MIN(Skills!I5,MAX(0,MAX(0,Inputs!$B$43-B587)-((R558-1)*IF(Inputs!$B$38="pvp",15,MAX(0.1,Skills!D5-IF(Skills!E5=TRUE,Inputs!$B$32,0))))))/Skills!H5,1)))/Inputs!$B$43),G558*Q558))*IF(Inputs!$B$38="pvp",1,1+(Inputs!$B$20+0+Skills!P5)/100),0)</f>
        <v/>
      </c>
      <c r="V558">
        <f>IF(C558,(H558*N558*IF(AND(Inputs!$B$38&lt;&gt;"pvp",Inputs!$B$43&gt;0),((Skills!G5*((R558-1)*IF(Skills!H5&gt;0,Skills!I5/Skills!H5,1)+IF(Skills!H5&gt;0,MIN(Skills!I5,MAX(0,MAX(0,Inputs!$B$43-B587)-((R558-1)*IF(Inputs!$B$38="pvp",15,MAX(0.1,Skills!D5-IF(Skills!E5=TRUE,Inputs!$B$32,0))))))/Skills!H5,1)))/Inputs!$B$43),G558*Q558))*IF(Inputs!$B$38="pvp",1,(1+(Inputs!$B$21+Skills!Q5)/100)*(MIN(Skills!R5,Inputs!$B$37))),0)</f>
        <v/>
      </c>
    </row>
    <row r="559">
      <c r="A559">
        <f>Skills!A6</f>
        <v/>
      </c>
      <c r="B559">
        <f>Skills!B6</f>
        <v/>
      </c>
      <c r="C559">
        <f>Inputs!$B$3&gt;=103</f>
        <v/>
      </c>
      <c r="D559">
        <f>IF(Skills!C6=1,60+Inputs!$B$25+Inputs!$B$29,IF(Skills!C6=2,90+Inputs!$B$26+Inputs!$B$29,IF(Skills!C6=3,120+Inputs!$B$27+Inputs!$B$29,MAX(0,(Inputs!$B$3-100)*3)+Inputs!$B$28+Inputs!$B$29)))</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((Inputs!$B$6*(1+Inputs!$B$7/100))+(((Inputs!$B$12*(1+Inputs!$B$13/100))-(Inputs!$B$12*(1+Inputs!$B$13/100)))+0.25*(Inputs!$B$14-Inputs!$B$14))*(1+Inputs!$B$7/100))*(F559/100)</f>
        <v/>
      </c>
      <c r="K559">
        <f>J559*(1+((Inputs!$B$12*(1+Inputs!$B$13/100))*0.01+Inputs!$B$14*0.0025)/100)*(1+Inputs!$B$15/100)*(1+Inputs!$B$16/100)*(5000/(6000+Inputs!$B$42*(1-(((1-(1-Inputs!$B$19/100)*(1-1/100))*100)+0)/100)))*(1+(Inputs!$B$24+0+B586)/100)*(1+(IF(Skills!A6="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559)</f>
        <v/>
      </c>
      <c r="L559">
        <f>K559*(MIN(Inputs!$B$22+((C575=TRUE)*(F575-Calc!F22)),Inputs!$B$23+((C577=TRUE)*(F577-Calc!F24)))/100+(Inputs!$B$23+((C577=TRUE)*(F577-Calc!F24)))/100)/2</f>
        <v/>
      </c>
      <c r="M559">
        <f>L559*(1+(Inputs!$B$10+0+B585)/100)</f>
        <v/>
      </c>
      <c r="N559">
        <f>L559*(1-MIN((Inputs!$B$9+0+B580),100)/100)+M559*(MIN((Inputs!$B$9+0+B580),100)/100)</f>
        <v/>
      </c>
      <c r="O559">
        <f>(1-Summary!$B$55)*T559+Summary!$B$55*V559</f>
        <v/>
      </c>
      <c r="P559">
        <f>IF(B590=0,0,O559/B590)</f>
        <v/>
      </c>
      <c r="Q559">
        <f>IFERROR(1/IF(Inputs!$B$38="pvp",15,MAX(0.1,Skills!D6-IF(Skills!E6=TRUE,Inputs!$B$32,0))),0)</f>
        <v/>
      </c>
      <c r="R559">
        <f>IF(AND(Inputs!$B$38&lt;&gt;"pvp",Inputs!$B$43&gt;0),IF(MAX(0,Inputs!$B$43-B587)&lt;=0,0,(INT(MAX(0,Inputs!$B$43-B587)/IF(Inputs!$B$38="pvp",15,MAX(0.1,Skills!D6-IF(Skills!E6=TRUE,Inputs!$B$32,0))))+1)),0)</f>
        <v/>
      </c>
      <c r="S559">
        <f>IFERROR(O559/N559,0)</f>
        <v/>
      </c>
      <c r="T559">
        <f>IF(C559,(H559*N559*IF(AND(Inputs!$B$38&lt;&gt;"pvp",Inputs!$B$43&gt;0),((Skills!G6*((R559-1)*IF(Skills!H6&gt;0,Skills!I6/Skills!H6,1)+IF(Skills!H6&gt;0,MIN(Skills!I6,MAX(0,MAX(0,Inputs!$B$43-B587)-((R559-1)*IF(Inputs!$B$38="pvp",15,MAX(0.1,Skills!D6-IF(Skills!E6=TRUE,Inputs!$B$32,0))))))/Skills!H6,1)))/Inputs!$B$43),G559*Q559))*IF(Inputs!$B$38="pvp",1,1+(Inputs!$B$20+0+Skills!P6)/100),0)</f>
        <v/>
      </c>
      <c r="V559">
        <f>IF(C559,(H559*N559*IF(AND(Inputs!$B$38&lt;&gt;"pvp",Inputs!$B$43&gt;0),((Skills!G6*((R559-1)*IF(Skills!H6&gt;0,Skills!I6/Skills!H6,1)+IF(Skills!H6&gt;0,MIN(Skills!I6,MAX(0,MAX(0,Inputs!$B$43-B587)-((R559-1)*IF(Inputs!$B$38="pvp",15,MAX(0.1,Skills!D6-IF(Skills!E6=TRUE,Inputs!$B$32,0))))))/Skills!H6,1)))/Inputs!$B$43),G559*Q559))*IF(Inputs!$B$38="pvp",1,(1+(Inputs!$B$21+Skills!Q6)/100)*(MIN(Skills!R6,Inputs!$B$37))),0)</f>
        <v/>
      </c>
    </row>
    <row r="560">
      <c r="A560">
        <f>Skills!A7</f>
        <v/>
      </c>
      <c r="B560">
        <f>Skills!B7</f>
        <v/>
      </c>
      <c r="C560">
        <f>Inputs!$B$3&gt;=107</f>
        <v/>
      </c>
      <c r="D560">
        <f>IF(Skills!C7=1,60+Inputs!$B$25+Inputs!$B$29,IF(Skills!C7=2,90+Inputs!$B$26+Inputs!$B$29,IF(Skills!C7=3,120+Inputs!$B$27+Inputs!$B$29,MAX(0,(Inputs!$B$3-100)*3)+Inputs!$B$28+Inputs!$B$29)))</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((Inputs!$B$6*(1+Inputs!$B$7/100))+(((Inputs!$B$12*(1+Inputs!$B$13/100))-(Inputs!$B$12*(1+Inputs!$B$13/100)))+0.25*(Inputs!$B$14-Inputs!$B$14))*(1+Inputs!$B$7/100))*(F560/100)</f>
        <v/>
      </c>
      <c r="K560">
        <f>J560*(1+((Inputs!$B$12*(1+Inputs!$B$13/100))*0.01+Inputs!$B$14*0.0025)/100)*(1+Inputs!$B$15/100)*(1+Inputs!$B$16/100)*(5000/(6000+Inputs!$B$42*(1-(((1-(1-Inputs!$B$19/100)*(1-1/100))*100)+0)/100)))*(1+(Inputs!$B$24+0+B586)/100)*(1+(IF(Skills!A7="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560)</f>
        <v/>
      </c>
      <c r="L560">
        <f>K560*(MIN(Inputs!$B$22+((C575=TRUE)*(F575-Calc!F22)),Inputs!$B$23+((C577=TRUE)*(F577-Calc!F24)))/100+(Inputs!$B$23+((C577=TRUE)*(F577-Calc!F24)))/100)/2</f>
        <v/>
      </c>
      <c r="M560">
        <f>L560*(1+(Inputs!$B$10+0+B585)/100)</f>
        <v/>
      </c>
      <c r="N560">
        <f>L560*(1-MIN((Inputs!$B$9+0+B580),100)/100)+M560*(MIN((Inputs!$B$9+0+B580),100)/100)</f>
        <v/>
      </c>
      <c r="O560">
        <f>(1-Summary!$B$55)*T560+Summary!$B$55*V560</f>
        <v/>
      </c>
      <c r="P560">
        <f>IF(B590=0,0,O560/B590)</f>
        <v/>
      </c>
      <c r="Q560">
        <f>IFERROR(1/IF(Inputs!$B$38="pvp",15,MAX(0.1,Skills!D7-IF(Skills!E7=TRUE,Inputs!$B$32,0))),0)</f>
        <v/>
      </c>
      <c r="R560">
        <f>IF(AND(Inputs!$B$38&lt;&gt;"pvp",Inputs!$B$43&gt;0),IF(MAX(0,Inputs!$B$43-B587)&lt;=0,0,(INT(MAX(0,Inputs!$B$43-B587)/IF(Inputs!$B$38="pvp",15,MAX(0.1,Skills!D7-IF(Skills!E7=TRUE,Inputs!$B$32,0))))+1)),0)</f>
        <v/>
      </c>
      <c r="S560">
        <f>IFERROR(O560/N560,0)</f>
        <v/>
      </c>
      <c r="T560">
        <f>IF(C560,(H560*N560*IF(AND(Inputs!$B$38&lt;&gt;"pvp",Inputs!$B$43&gt;0),((Skills!G7*((R560-1)*IF(Skills!H7&gt;0,Skills!I7/Skills!H7,1)+IF(Skills!H7&gt;0,MIN(Skills!I7,MAX(0,MAX(0,Inputs!$B$43-B587)-((R560-1)*IF(Inputs!$B$38="pvp",15,MAX(0.1,Skills!D7-IF(Skills!E7=TRUE,Inputs!$B$32,0))))))/Skills!H7,1)))/Inputs!$B$43),G560*Q560))*IF(Inputs!$B$38="pvp",1,1+(Inputs!$B$20+0+Skills!P7)/100),0)</f>
        <v/>
      </c>
      <c r="V560">
        <f>IF(C560,(H560*N560*IF(AND(Inputs!$B$38&lt;&gt;"pvp",Inputs!$B$43&gt;0),((Skills!G7*((R560-1)*IF(Skills!H7&gt;0,Skills!I7/Skills!H7,1)+IF(Skills!H7&gt;0,MIN(Skills!I7,MAX(0,MAX(0,Inputs!$B$43-B587)-((R560-1)*IF(Inputs!$B$38="pvp",15,MAX(0.1,Skills!D7-IF(Skills!E7=TRUE,Inputs!$B$32,0))))))/Skills!H7,1)))/Inputs!$B$43),G560*Q560))*IF(Inputs!$B$38="pvp",1,(1+(Inputs!$B$21+Skills!Q7)/100)*(MIN(Skills!R7,Inputs!$B$37))),0)</f>
        <v/>
      </c>
    </row>
    <row r="561">
      <c r="A561">
        <f>Skills!A8</f>
        <v/>
      </c>
      <c r="B561">
        <f>Skills!B8</f>
        <v/>
      </c>
      <c r="C561">
        <f>Inputs!$B$3&gt;=107</f>
        <v/>
      </c>
      <c r="D561">
        <f>IF(Skills!C8=1,60+Inputs!$B$25+Inputs!$B$29,IF(Skills!C8=2,90+Inputs!$B$26+Inputs!$B$29,IF(Skills!C8=3,120+Inputs!$B$27+Inputs!$B$29,MAX(0,(Inputs!$B$3-100)*3)+Inputs!$B$28+Inputs!$B$29)))</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((Inputs!$B$6*(1+Inputs!$B$7/100))+(((Inputs!$B$12*(1+Inputs!$B$13/100))-(Inputs!$B$12*(1+Inputs!$B$13/100)))+0.25*(Inputs!$B$14-Inputs!$B$14))*(1+Inputs!$B$7/100))*(F561/100)</f>
        <v/>
      </c>
      <c r="K561">
        <f>J561*(1+((Inputs!$B$12*(1+Inputs!$B$13/100))*0.01+Inputs!$B$14*0.0025)/100)*(1+Inputs!$B$15/100)*(1+Inputs!$B$16/100)*(5000/(6000+Inputs!$B$42*(1-(((1-(1-Inputs!$B$19/100)*(1-1/100))*100)+0)/100)))*(1+(Inputs!$B$24+0+B586)/100)*(1+(IF(Skills!A8="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561)</f>
        <v/>
      </c>
      <c r="L561">
        <f>K561*(MIN(Inputs!$B$22+((C575=TRUE)*(F575-Calc!F22)),Inputs!$B$23+((C577=TRUE)*(F577-Calc!F24)))/100+(Inputs!$B$23+((C577=TRUE)*(F577-Calc!F24)))/100)/2</f>
        <v/>
      </c>
      <c r="M561">
        <f>L561*(1+(Inputs!$B$10+0+B585)/100)</f>
        <v/>
      </c>
      <c r="N561">
        <f>L561*(1-MIN((Inputs!$B$9+0+B580),100)/100)+M561*(MIN((Inputs!$B$9+0+B580),100)/100)</f>
        <v/>
      </c>
      <c r="O561">
        <f>(1-Summary!$B$55)*T561+Summary!$B$55*V561</f>
        <v/>
      </c>
      <c r="P561">
        <f>IF(B590=0,0,O561/B590)</f>
        <v/>
      </c>
      <c r="Q561">
        <f>IFERROR(1/IF(Inputs!$B$38="pvp",15,MAX(0.1,Skills!D8-IF(Skills!E8=TRUE,Inputs!$B$32,0))),0)</f>
        <v/>
      </c>
      <c r="R561">
        <f>IF(AND(Inputs!$B$38&lt;&gt;"pvp",Inputs!$B$43&gt;0),IF(MAX(0,Inputs!$B$43-B587)&lt;=0,0,(INT(MAX(0,Inputs!$B$43-B587)/IF(Inputs!$B$38="pvp",15,MAX(0.1,Skills!D8-IF(Skills!E8=TRUE,Inputs!$B$32,0))))+1)),0)</f>
        <v/>
      </c>
      <c r="S561">
        <f>IFERROR(O561/N561,0)</f>
        <v/>
      </c>
      <c r="T561">
        <f>IF(C561,(H561*N561*IF(AND(Inputs!$B$38&lt;&gt;"pvp",Inputs!$B$43&gt;0),((Skills!G8*((R561-1)*IF(Skills!H8&gt;0,Skills!I8/Skills!H8,1)+IF(Skills!H8&gt;0,MIN(Skills!I8,MAX(0,MAX(0,Inputs!$B$43-B587)-((R561-1)*IF(Inputs!$B$38="pvp",15,MAX(0.1,Skills!D8-IF(Skills!E8=TRUE,Inputs!$B$32,0))))))/Skills!H8,1)))/Inputs!$B$43),G561*Q561))*IF(Inputs!$B$38="pvp",1,1+(Inputs!$B$20+0+Skills!P8)/100),0)</f>
        <v/>
      </c>
      <c r="V561">
        <f>IF(C561,(H561*N561*IF(AND(Inputs!$B$38&lt;&gt;"pvp",Inputs!$B$43&gt;0),((Skills!G8*((R561-1)*IF(Skills!H8&gt;0,Skills!I8/Skills!H8,1)+IF(Skills!H8&gt;0,MIN(Skills!I8,MAX(0,MAX(0,Inputs!$B$43-B587)-((R561-1)*IF(Inputs!$B$38="pvp",15,MAX(0.1,Skills!D8-IF(Skills!E8=TRUE,Inputs!$B$32,0))))))/Skills!H8,1)))/Inputs!$B$43),G561*Q561))*IF(Inputs!$B$38="pvp",1,(1+(Inputs!$B$21+Skills!Q8)/100)*(MIN(Skills!R8,Inputs!$B$37))),0)</f>
        <v/>
      </c>
    </row>
    <row r="562">
      <c r="A562">
        <f>Skills!A9</f>
        <v/>
      </c>
      <c r="B562">
        <f>Skills!B9</f>
        <v/>
      </c>
      <c r="C562">
        <f>Inputs!$B$3&gt;=125</f>
        <v/>
      </c>
      <c r="D562">
        <f>IF(Skills!C9=1,60+Inputs!$B$25+Inputs!$B$29,IF(Skills!C9=2,90+Inputs!$B$26+Inputs!$B$29,IF(Skills!C9=3,120+Inputs!$B$27+Inputs!$B$29,MAX(0,(Inputs!$B$3-100)*3)+Inputs!$B$28+Inputs!$B$29)))</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((Inputs!$B$6*(1+Inputs!$B$7/100))+(((Inputs!$B$12*(1+Inputs!$B$13/100))-(Inputs!$B$12*(1+Inputs!$B$13/100)))+0.25*(Inputs!$B$14-Inputs!$B$14))*(1+Inputs!$B$7/100))*(F562/100)</f>
        <v/>
      </c>
      <c r="K562">
        <f>J562*(1+((Inputs!$B$12*(1+Inputs!$B$13/100))*0.01+Inputs!$B$14*0.0025)/100)*(1+Inputs!$B$15/100)*(1+Inputs!$B$16/100)*(5000/(6000+Inputs!$B$42*(1-(((1-(1-Inputs!$B$19/100)*(1-1/100))*100)+0)/100)))*(1+(Inputs!$B$24+0+B586)/100)*(1+(IF(Skills!A9="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562)</f>
        <v/>
      </c>
      <c r="L562">
        <f>K562*(MIN(Inputs!$B$22+((C575=TRUE)*(F575-Calc!F22)),Inputs!$B$23+((C577=TRUE)*(F577-Calc!F24)))/100+(Inputs!$B$23+((C577=TRUE)*(F577-Calc!F24)))/100)/2</f>
        <v/>
      </c>
      <c r="M562">
        <f>L562*(1+(Inputs!$B$10+0+B585)/100)</f>
        <v/>
      </c>
      <c r="N562">
        <f>L562*(1-MIN((Inputs!$B$9+0+B580),100)/100)+M562*(MIN((Inputs!$B$9+0+B580),100)/100)</f>
        <v/>
      </c>
      <c r="O562">
        <f>(1-Summary!$B$55)*T562+Summary!$B$55*V562</f>
        <v/>
      </c>
      <c r="P562">
        <f>IF(B590=0,0,O562/B590)</f>
        <v/>
      </c>
      <c r="Q562">
        <f>IFERROR(1/IF(Inputs!$B$38="pvp",15,MAX(0.1,Skills!D9-IF(Skills!E9=TRUE,Inputs!$B$32,0))),0)</f>
        <v/>
      </c>
      <c r="R562">
        <f>IF(AND(Inputs!$B$38&lt;&gt;"pvp",Inputs!$B$43&gt;0),IF(MAX(0,Inputs!$B$43-B587)&lt;=0,0,(INT(MAX(0,Inputs!$B$43-B587)/IF(Inputs!$B$38="pvp",15,MAX(0.1,Skills!D9-IF(Skills!E9=TRUE,Inputs!$B$32,0))))+1)),0)</f>
        <v/>
      </c>
      <c r="S562">
        <f>IFERROR(O562/N562,0)</f>
        <v/>
      </c>
      <c r="T562">
        <f>IF(C562,(H562*N562*IF(AND(Inputs!$B$38&lt;&gt;"pvp",Inputs!$B$43&gt;0),((Skills!G9*((R562-1)*IF(Skills!H9&gt;0,Skills!I9/Skills!H9,1)+IF(Skills!H9&gt;0,MIN(Skills!I9,MAX(0,MAX(0,Inputs!$B$43-B587)-((R562-1)*IF(Inputs!$B$38="pvp",15,MAX(0.1,Skills!D9-IF(Skills!E9=TRUE,Inputs!$B$32,0))))))/Skills!H9,1)))/Inputs!$B$43),G562*Q562))*IF(Inputs!$B$38="pvp",1,1+(Inputs!$B$20+0+Skills!P9)/100),0)</f>
        <v/>
      </c>
      <c r="V562">
        <f>IF(C562,(H562*N562*IF(AND(Inputs!$B$38&lt;&gt;"pvp",Inputs!$B$43&gt;0),((Skills!G9*((R562-1)*IF(Skills!H9&gt;0,Skills!I9/Skills!H9,1)+IF(Skills!H9&gt;0,MIN(Skills!I9,MAX(0,MAX(0,Inputs!$B$43-B587)-((R562-1)*IF(Inputs!$B$38="pvp",15,MAX(0.1,Skills!D9-IF(Skills!E9=TRUE,Inputs!$B$32,0))))))/Skills!H9,1)))/Inputs!$B$43),G562*Q562))*IF(Inputs!$B$38="pvp",1,(1+(Inputs!$B$21+Skills!Q9)/100)*(MIN(Skills!R9,Inputs!$B$37))),0)</f>
        <v/>
      </c>
    </row>
    <row r="563">
      <c r="A563">
        <f>Skills!A10</f>
        <v/>
      </c>
      <c r="B563">
        <f>Skills!B10</f>
        <v/>
      </c>
      <c r="C563">
        <f>Inputs!$B$3&gt;=117</f>
        <v/>
      </c>
      <c r="D563">
        <f>IF(Skills!C10=1,60+Inputs!$B$25+Inputs!$B$29,IF(Skills!C10=2,90+Inputs!$B$26+Inputs!$B$29,IF(Skills!C10=3,120+Inputs!$B$27+Inputs!$B$29,MAX(0,(Inputs!$B$3-100)*3)+Inputs!$B$28+Inputs!$B$29)))</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((Inputs!$B$6*(1+Inputs!$B$7/100))+(((Inputs!$B$12*(1+Inputs!$B$13/100))-(Inputs!$B$12*(1+Inputs!$B$13/100)))+0.25*(Inputs!$B$14-Inputs!$B$14))*(1+Inputs!$B$7/100))*(F563/100)</f>
        <v/>
      </c>
      <c r="K563">
        <f>J563*(1+((Inputs!$B$12*(1+Inputs!$B$13/100))*0.01+Inputs!$B$14*0.0025)/100)*(1+Inputs!$B$15/100)*(1+Inputs!$B$16/100)*(5000/(6000+Inputs!$B$42*(1-(((1-(1-Inputs!$B$19/100)*(1-1/100))*100)+0)/100)))*(1+(Inputs!$B$24+0+B586)/100)*(1+(IF(Skills!A10="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563)</f>
        <v/>
      </c>
      <c r="L563">
        <f>K563*(MIN(Inputs!$B$22+((C575=TRUE)*(F575-Calc!F22)),Inputs!$B$23+((C577=TRUE)*(F577-Calc!F24)))/100+(Inputs!$B$23+((C577=TRUE)*(F577-Calc!F24)))/100)/2</f>
        <v/>
      </c>
      <c r="M563">
        <f>L563*(1+(Inputs!$B$10+0+B585)/100)</f>
        <v/>
      </c>
      <c r="N563">
        <f>L563*(1-MIN((Inputs!$B$9+0+B580),100)/100)+M563*(MIN((Inputs!$B$9+0+B580),100)/100)</f>
        <v/>
      </c>
      <c r="O563">
        <f>(1-Summary!$B$55)*T563+Summary!$B$55*V563</f>
        <v/>
      </c>
      <c r="P563">
        <f>IF(B590=0,0,O563/B590)</f>
        <v/>
      </c>
      <c r="Q563">
        <f>IFERROR(1/IF(Inputs!$B$38="pvp",15,MAX(0.1,Skills!D10-IF(Skills!E10=TRUE,Inputs!$B$32,0))),0)</f>
        <v/>
      </c>
      <c r="R563">
        <f>IF(AND(Inputs!$B$38&lt;&gt;"pvp",Inputs!$B$43&gt;0),IF(MAX(0,Inputs!$B$43-B587)&lt;=0,0,(INT(MAX(0,Inputs!$B$43-B587)/IF(Inputs!$B$38="pvp",15,MAX(0.1,Skills!D10-IF(Skills!E10=TRUE,Inputs!$B$32,0))))+1)),0)</f>
        <v/>
      </c>
      <c r="S563">
        <f>IFERROR(O563/N563,0)</f>
        <v/>
      </c>
      <c r="T563">
        <f>IF(C563,(H563*N563*IF(AND(Inputs!$B$38&lt;&gt;"pvp",Inputs!$B$43&gt;0),((Skills!G10*((R563-1)*IF(Skills!H10&gt;0,Skills!I10/Skills!H10,1)+IF(Skills!H10&gt;0,MIN(Skills!I10,MAX(0,MAX(0,Inputs!$B$43-B587)-((R563-1)*IF(Inputs!$B$38="pvp",15,MAX(0.1,Skills!D10-IF(Skills!E10=TRUE,Inputs!$B$32,0))))))/Skills!H10,1)))/Inputs!$B$43),G563*Q563))*IF(Inputs!$B$38="pvp",1,1+(Inputs!$B$20+0+Skills!P10)/100),0)</f>
        <v/>
      </c>
      <c r="V563">
        <f>IF(C563,(H563*N563*IF(AND(Inputs!$B$38&lt;&gt;"pvp",Inputs!$B$43&gt;0),((Skills!G10*((R563-1)*IF(Skills!H10&gt;0,Skills!I10/Skills!H10,1)+IF(Skills!H10&gt;0,MIN(Skills!I10,MAX(0,MAX(0,Inputs!$B$43-B587)-((R563-1)*IF(Inputs!$B$38="pvp",15,MAX(0.1,Skills!D10-IF(Skills!E10=TRUE,Inputs!$B$32,0))))))/Skills!H10,1)))/Inputs!$B$43),G563*Q563))*IF(Inputs!$B$38="pvp",1,(1+(Inputs!$B$21+Skills!Q10)/100)*(MIN(Skills!R10,Inputs!$B$37))),0)</f>
        <v/>
      </c>
    </row>
    <row r="564">
      <c r="A564">
        <f>Skills!A11</f>
        <v/>
      </c>
      <c r="B564">
        <f>Skills!B11</f>
        <v/>
      </c>
      <c r="C564">
        <f>Inputs!$B$3&gt;=63</f>
        <v/>
      </c>
      <c r="D564">
        <f>IF(Skills!C11=1,60+Inputs!$B$25+Inputs!$B$29,IF(Skills!C11=2,90+Inputs!$B$26+Inputs!$B$29,IF(Skills!C11=3,120+Inputs!$B$27+Inputs!$B$29,MAX(0,(Inputs!$B$3-100)*3)+Inputs!$B$28+Inputs!$B$29)))</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((Inputs!$B$6*(1+Inputs!$B$7/100))+(((Inputs!$B$12*(1+Inputs!$B$13/100))-(Inputs!$B$12*(1+Inputs!$B$13/100)))+0.25*(Inputs!$B$14-Inputs!$B$14))*(1+Inputs!$B$7/100))*(F564/100)</f>
        <v/>
      </c>
      <c r="K564">
        <f>J564*(1+((Inputs!$B$12*(1+Inputs!$B$13/100))*0.01+Inputs!$B$14*0.0025)/100)*(1+Inputs!$B$15/100)*(1+Inputs!$B$16/100)*(5000/(6000+Inputs!$B$42*(1-(((1-(1-Inputs!$B$19/100)*(1-1/100))*100)+0)/100)))*(1+(Inputs!$B$24+0+B586)/100)*(1+1.5*IF(C565=TRUE,F565,0)/100)*(1+(IF(Skills!A11="BLAST",Inputs!$B$17+((C574=TRUE)*(F574-Calc!F21)),Inputs!$B$18+((C576=TRUE)*(F576-Calc!F23))))/100)*((1+(((C566=TRUE)*F566*MIN(1,Skills!T13*(Skills!J13/100)*B584))+((C571=TRUE)*F571*IF(AND(Inputs!$B$38&lt;&gt;"pvp",Inputs!$B$43&gt;0),(((R571-1)*(Skills!T18*(1+Inputs!$B$34/100))+MIN((Skills!T18*(1+Inputs!$B$34/100)),MAX(0,Inputs!$B$43-((R571-1)*Skills!D18))))/Inputs!$B$43),IF(Inputs!$B$38="pvp",MIN((Skills!T18*(1+Inputs!$B$34/100)),15)/15,(Skills!T18*(1+Inputs!$B$34/100))/Skills!D18)))+0)/100)*I564)</f>
        <v/>
      </c>
      <c r="L564">
        <f>K564*(MIN(Inputs!$B$22+((C575=TRUE)*(F575-Calc!F22)),Inputs!$B$23+((C577=TRUE)*(F577-Calc!F24)))/100+(Inputs!$B$23+((C577=TRUE)*(F577-Calc!F24)))/100)/2</f>
        <v/>
      </c>
      <c r="M564">
        <f>L564*(1+(Inputs!$B$10+0+B585)/100)</f>
        <v/>
      </c>
      <c r="N564">
        <f>L564*(1-MIN((Inputs!$B$9+0+B580),100)/100)+M564*(MIN((Inputs!$B$9+0+B580),100)/100)</f>
        <v/>
      </c>
      <c r="O564">
        <f>(1-Summary!$B$55)*T564+Summary!$B$55*V564</f>
        <v/>
      </c>
      <c r="P564">
        <f>IF(B590=0,0,O564/B590)</f>
        <v/>
      </c>
      <c r="Q564">
        <f>IFERROR(1/IF(Inputs!$B$38="pvp",15,MAX(0.1,Skills!D11-IF(Skills!E11=TRUE,Inputs!$B$32,0))),0)</f>
        <v/>
      </c>
      <c r="R564">
        <f>IF(AND(Inputs!$B$38&lt;&gt;"pvp",Inputs!$B$43&gt;0),IF(MAX(0,Inputs!$B$43-B587)&lt;=0,0,(INT(MAX(0,Inputs!$B$43-B587)/IF(Inputs!$B$38="pvp",15,MAX(0.1,Skills!D11-IF(Skills!E11=TRUE,Inputs!$B$32,0))))+1)),0)</f>
        <v/>
      </c>
      <c r="S564">
        <f>IFERROR(O564/N564,0)</f>
        <v/>
      </c>
      <c r="T564">
        <f>IF(C564,(H564*N564*IF(AND(Inputs!$B$38&lt;&gt;"pvp",Inputs!$B$43&gt;0),((Skills!G11*((R564-1)*IF(Skills!H11&gt;0,Skills!I11/Skills!H11,1)+IF(Skills!H11&gt;0,MIN(Skills!I11,MAX(0,MAX(0,Inputs!$B$43-B587)-((R564-1)*IF(Inputs!$B$38="pvp",15,MAX(0.1,Skills!D11-IF(Skills!E11=TRUE,Inputs!$B$32,0))))))/Skills!H11,1)))/Inputs!$B$43),G564*Q564))*IF(Inputs!$B$38="pvp",1,1+(Inputs!$B$20+0+Skills!P11)/100),0)</f>
        <v/>
      </c>
      <c r="V564">
        <f>IF(C564,(H564*N564*IF(AND(Inputs!$B$38&lt;&gt;"pvp",Inputs!$B$43&gt;0),((Skills!G11*((R564-1)*IF(Skills!H11&gt;0,Skills!I11/Skills!H11,1)+IF(Skills!H11&gt;0,MIN(Skills!I11,MAX(0,MAX(0,Inputs!$B$43-B587)-((R564-1)*IF(Inputs!$B$38="pvp",15,MAX(0.1,Skills!D11-IF(Skills!E11=TRUE,Inputs!$B$32,0))))))/Skills!H11,1)))/Inputs!$B$43),G564*Q564))*IF(Inputs!$B$38="pvp",1,(1+(Inputs!$B$21+Skills!Q11)/100)*(MIN(Skills!R11,Inputs!$B$37))),0)</f>
        <v/>
      </c>
    </row>
    <row r="565">
      <c r="A565">
        <f>Skills!A12</f>
        <v/>
      </c>
      <c r="B565">
        <f>Skills!B12</f>
        <v/>
      </c>
      <c r="C565">
        <f>Inputs!$B$3&gt;=100</f>
        <v/>
      </c>
      <c r="D565">
        <f>IF(Skills!C12=1,60+Inputs!$B$25+Inputs!$B$29,IF(Skills!C12=2,90+Inputs!$B$26+Inputs!$B$29,IF(Skills!C12=3,120+Inputs!$B$27+Inputs!$B$29,MAX(0,(Inputs!$B$3-100)*3)+Inputs!$B$28+Inputs!$B$29)))</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IF(Skills!C13=1,60+Inputs!$B$25+Inputs!$B$29,IF(Skills!C13=2,90+Inputs!$B$26+Inputs!$B$29,IF(Skills!C13=3,120+Inputs!$B$27+Inputs!$B$29,MAX(0,(Inputs!$B$3-100)*3)+Inputs!$B$28+Inputs!$B$29)))</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f>(1-Summary!$B$55)*T566+Summary!$B$55*V566</f>
        <v/>
      </c>
      <c r="P566">
        <f>IF(B590=0,0,O566/B590)</f>
        <v/>
      </c>
      <c r="Q566" t="n">
        <v>0</v>
      </c>
      <c r="R566" t="n">
        <v>0</v>
      </c>
      <c r="S566">
        <f>IFERROR(O566/N566,0)</f>
        <v/>
      </c>
      <c r="T566" t="n">
        <v>0</v>
      </c>
      <c r="V566" t="n">
        <v>0</v>
      </c>
    </row>
    <row r="567">
      <c r="A567">
        <f>Skills!A14</f>
        <v/>
      </c>
      <c r="B567">
        <f>Skills!B14</f>
        <v/>
      </c>
      <c r="C567">
        <f>Inputs!$B$3&gt;=110</f>
        <v/>
      </c>
      <c r="D567">
        <f>IF(Skills!C14=1,60+Inputs!$B$25+Inputs!$B$29,IF(Skills!C14=2,90+Inputs!$B$26+Inputs!$B$29,IF(Skills!C14=3,120+Inputs!$B$27+Inputs!$B$29,MAX(0,(Inputs!$B$3-100)*3)+Inputs!$B$28+Inputs!$B$29)))</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f>(1-Summary!$B$55)*T567+Summary!$B$55*V567</f>
        <v/>
      </c>
      <c r="P567">
        <f>IF(B590=0,0,O567/B590)</f>
        <v/>
      </c>
      <c r="Q567" t="n">
        <v>0</v>
      </c>
      <c r="R567" t="n">
        <v>0</v>
      </c>
      <c r="S567">
        <f>IFERROR(O567/N567,0)</f>
        <v/>
      </c>
      <c r="T567" t="n">
        <v>0</v>
      </c>
      <c r="V567" t="n">
        <v>0</v>
      </c>
    </row>
    <row r="568">
      <c r="A568">
        <f>Skills!A15</f>
        <v/>
      </c>
      <c r="B568">
        <f>Skills!B15</f>
        <v/>
      </c>
      <c r="C568">
        <f>Inputs!$B$3&gt;=75</f>
        <v/>
      </c>
      <c r="D568">
        <f>IF(Skills!C15=1,60+Inputs!$B$25+Inputs!$B$29,IF(Skills!C15=2,90+Inputs!$B$26+Inputs!$B$29,IF(Skills!C15=3,120+Inputs!$B$27+Inputs!$B$29,MAX(0,(Inputs!$B$3-100)*3)+Inputs!$B$28+Inputs!$B$29)))</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f>(1-Summary!$B$55)*T568+Summary!$B$55*V568</f>
        <v/>
      </c>
      <c r="P568">
        <f>IF(B590=0,0,O568/B590)</f>
        <v/>
      </c>
      <c r="Q568">
        <f>IFERROR(1/IF(Inputs!$B$38="pvp",15,MAX(0.1,Skills!D15-IF(Skills!E15=TRUE,Inputs!$B$32,0))),0)</f>
        <v/>
      </c>
      <c r="R568">
        <f>IF(AND(Inputs!$B$38&lt;&gt;"pvp",Inputs!$B$43&gt;0),IF(Inputs!$B$43&lt;=0,0,(INT(Inputs!$B$43/IF(Inputs!$B$38="pvp",15,MAX(0.1,Skills!D15-IF(Skills!E15=TRUE,Inputs!$B$32,0))))+1)),0)</f>
        <v/>
      </c>
      <c r="S568">
        <f>IFERROR(O568/N568,0)</f>
        <v/>
      </c>
      <c r="T568" t="n">
        <v>0</v>
      </c>
      <c r="V568" t="n">
        <v>0</v>
      </c>
    </row>
    <row r="569">
      <c r="A569">
        <f>Skills!A16</f>
        <v/>
      </c>
      <c r="B569">
        <f>Skills!B16</f>
        <v/>
      </c>
      <c r="C569">
        <f>Inputs!$B$3&gt;=105</f>
        <v/>
      </c>
      <c r="D569">
        <f>IF(Skills!C16=1,60+Inputs!$B$25+Inputs!$B$29,IF(Skills!C16=2,90+Inputs!$B$26+Inputs!$B$29,IF(Skills!C16=3,120+Inputs!$B$27+Inputs!$B$29,MAX(0,(Inputs!$B$3-100)*3)+Inputs!$B$28+Inputs!$B$29)))</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f>(1-Summary!$B$55)*T569+Summary!$B$55*V569</f>
        <v/>
      </c>
      <c r="P569">
        <f>IF(B590=0,0,O569/B590)</f>
        <v/>
      </c>
      <c r="Q569">
        <f>IFERROR(1/IF(Inputs!$B$38="pvp",15,MAX(0.1,Skills!D16-IF(Skills!E16=TRUE,Inputs!$B$32,0))),0)</f>
        <v/>
      </c>
      <c r="R569">
        <f>IF(AND(Inputs!$B$38&lt;&gt;"pvp",Inputs!$B$43&gt;0),IF(Inputs!$B$43&lt;=0,0,(INT(Inputs!$B$43/IF(Inputs!$B$38="pvp",15,MAX(0.1,Skills!D16-IF(Skills!E16=TRUE,Inputs!$B$32,0))))+1)),0)</f>
        <v/>
      </c>
      <c r="S569">
        <f>IFERROR(O569/N569,0)</f>
        <v/>
      </c>
      <c r="T569" t="n">
        <v>0</v>
      </c>
      <c r="V569" t="n">
        <v>0</v>
      </c>
    </row>
    <row r="570">
      <c r="A570">
        <f>Skills!A17</f>
        <v/>
      </c>
      <c r="B570">
        <f>Skills!B17</f>
        <v/>
      </c>
      <c r="C570">
        <f>Inputs!$B$3&gt;=115</f>
        <v/>
      </c>
      <c r="D570">
        <f>IF(Skills!C17=1,60+Inputs!$B$25+Inputs!$B$29,IF(Skills!C17=2,90+Inputs!$B$26+Inputs!$B$29,IF(Skills!C17=3,120+Inputs!$B$27+Inputs!$B$29,MAX(0,(Inputs!$B$3-100)*3)+Inputs!$B$28+Inputs!$B$29)))</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f>(1-Summary!$B$55)*T570+Summary!$B$55*V570</f>
        <v/>
      </c>
      <c r="P570">
        <f>IF(B590=0,0,O570/B590)</f>
        <v/>
      </c>
      <c r="Q570">
        <f>IFERROR(1/IF(Inputs!$B$38="pvp",15,MAX(0.1,Skills!D17-IF(Skills!E17=TRUE,Inputs!$B$32,0))),0)</f>
        <v/>
      </c>
      <c r="R570">
        <f>IF(AND(Inputs!$B$38&lt;&gt;"pvp",Inputs!$B$43&gt;0),IF(Inputs!$B$43&lt;=0,0,(INT(Inputs!$B$43/IF(Inputs!$B$38="pvp",15,MAX(0.1,Skills!D17-IF(Skills!E17=TRUE,Inputs!$B$32,0))))+1)),0)</f>
        <v/>
      </c>
      <c r="S570">
        <f>IFERROR(O570/N570,0)</f>
        <v/>
      </c>
      <c r="T570" t="n">
        <v>0</v>
      </c>
      <c r="V570" t="n">
        <v>0</v>
      </c>
    </row>
    <row r="571">
      <c r="A571">
        <f>Skills!A18</f>
        <v/>
      </c>
      <c r="B571">
        <f>Skills!B18</f>
        <v/>
      </c>
      <c r="C571">
        <f>Inputs!$B$3&gt;=74</f>
        <v/>
      </c>
      <c r="D571">
        <f>IF(Skills!C18=1,60+Inputs!$B$25+Inputs!$B$29,IF(Skills!C18=2,90+Inputs!$B$26+Inputs!$B$29,IF(Skills!C18=3,120+Inputs!$B$27+Inputs!$B$29,MAX(0,(Inputs!$B$3-100)*3)+Inputs!$B$28+Inputs!$B$29)))</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f>(1-Summary!$B$55)*T571+Summary!$B$55*V571</f>
        <v/>
      </c>
      <c r="P571">
        <f>IF(B590=0,0,O571/B590)</f>
        <v/>
      </c>
      <c r="Q571">
        <f>IFERROR(1/IF(Inputs!$B$38="pvp",15,MAX(0.1,Skills!D18-IF(Skills!E18=TRUE,Inputs!$B$32,0))),0)</f>
        <v/>
      </c>
      <c r="R571">
        <f>IF(AND(Inputs!$B$38&lt;&gt;"pvp",Inputs!$B$43&gt;0),IF(Inputs!$B$43&lt;=0,0,(INT(Inputs!$B$43/IF(Inputs!$B$38="pvp",15,MAX(0.1,Skills!D18-IF(Skills!E18=TRUE,Inputs!$B$32,0))))+1)),0)</f>
        <v/>
      </c>
      <c r="S571">
        <f>IFERROR(O571/N571,0)</f>
        <v/>
      </c>
      <c r="T571" t="n">
        <v>0</v>
      </c>
      <c r="V571" t="n">
        <v>0</v>
      </c>
    </row>
    <row r="572">
      <c r="A572">
        <f>Skills!A19</f>
        <v/>
      </c>
      <c r="B572">
        <f>Skills!B19</f>
        <v/>
      </c>
      <c r="C572">
        <f>TRUE</f>
        <v/>
      </c>
      <c r="D572">
        <f>IF(Skills!C19=1,60+Inputs!$B$25+Inputs!$B$29,IF(Skills!C19=2,90+Inputs!$B$26+Inputs!$B$29,IF(Skills!C19=3,120+Inputs!$B$27+Inputs!$B$29,MAX(0,(Inputs!$B$3-100)*3)+Inputs!$B$28+Inputs!$B$29)))</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f>(1-Summary!$B$55)*T572+Summary!$B$55*V572</f>
        <v/>
      </c>
      <c r="P572">
        <f>IF(B590=0,0,O572/B590)</f>
        <v/>
      </c>
      <c r="Q572">
        <f>IFERROR(1/IF(Inputs!$B$38="pvp",15,MAX(0.1,Skills!D19-IF(Skills!E19=TRUE,Inputs!$B$32,0))),0)</f>
        <v/>
      </c>
      <c r="R572">
        <f>IF(AND(Inputs!$B$38&lt;&gt;"pvp",Inputs!$B$43&gt;0),IF(Inputs!$B$43&lt;=0,0,(INT(Inputs!$B$43/IF(Inputs!$B$38="pvp",15,MAX(0.1,Skills!D19-IF(Skills!E19=TRUE,Inputs!$B$32,0))))+1)),0)</f>
        <v/>
      </c>
      <c r="S572">
        <f>IFERROR(O572/N572,0)</f>
        <v/>
      </c>
      <c r="T572" t="n">
        <v>0</v>
      </c>
      <c r="V572" t="n">
        <v>0</v>
      </c>
    </row>
    <row r="573">
      <c r="A573">
        <f>Skills!A20</f>
        <v/>
      </c>
      <c r="B573">
        <f>Skills!B20</f>
        <v/>
      </c>
      <c r="C573">
        <f>Inputs!$B$3&gt;=33</f>
        <v/>
      </c>
      <c r="D573">
        <f>IF(Skills!C20=1,60+Inputs!$B$25+Inputs!$B$29,IF(Skills!C20=2,90+Inputs!$B$26+Inputs!$B$29,IF(Skills!C20=3,120+Inputs!$B$27+Inputs!$B$29,MAX(0,(Inputs!$B$3-100)*3)+Inputs!$B$28+Inputs!$B$29)))</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f>(1-Summary!$B$55)*T573+Summary!$B$55*V573</f>
        <v/>
      </c>
      <c r="P573">
        <f>IF(B590=0,0,O573/B590)</f>
        <v/>
      </c>
      <c r="Q573" t="n">
        <v>0</v>
      </c>
      <c r="R573" t="n">
        <v>0</v>
      </c>
      <c r="S573">
        <f>IFERROR(O573/N573,0)</f>
        <v/>
      </c>
      <c r="T573" t="n">
        <v>0</v>
      </c>
      <c r="V573" t="n">
        <v>0</v>
      </c>
    </row>
    <row r="574">
      <c r="A574">
        <f>Skills!A21</f>
        <v/>
      </c>
      <c r="B574">
        <f>Skills!B21</f>
        <v/>
      </c>
      <c r="C574">
        <f>Inputs!$B$3&gt;=38</f>
        <v/>
      </c>
      <c r="D574">
        <f>IF(Skills!C21=1,60+Inputs!$B$25+Inputs!$B$29,IF(Skills!C21=2,90+Inputs!$B$26+Inputs!$B$29,IF(Skills!C21=3,120+Inputs!$B$27+Inputs!$B$29,MAX(0,(Inputs!$B$3-100)*3)+Inputs!$B$28+Inputs!$B$29)))</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f>(1-Summary!$B$55)*T574+Summary!$B$55*V574</f>
        <v/>
      </c>
      <c r="P574">
        <f>IF(B590=0,0,O574/B590)</f>
        <v/>
      </c>
      <c r="Q574" t="n">
        <v>0</v>
      </c>
      <c r="R574" t="n">
        <v>0</v>
      </c>
      <c r="S574">
        <f>IFERROR(O574/N574,0)</f>
        <v/>
      </c>
      <c r="T574" t="n">
        <v>0</v>
      </c>
      <c r="V574" t="n">
        <v>0</v>
      </c>
    </row>
    <row r="575">
      <c r="A575">
        <f>Skills!A22</f>
        <v/>
      </c>
      <c r="B575">
        <f>Skills!B22</f>
        <v/>
      </c>
      <c r="C575">
        <f>Inputs!$B$3&gt;=43</f>
        <v/>
      </c>
      <c r="D575">
        <f>IF(Skills!C22=1,60+Inputs!$B$25+Inputs!$B$29,IF(Skills!C22=2,90+Inputs!$B$26+Inputs!$B$29,IF(Skills!C22=3,120+Inputs!$B$27+Inputs!$B$29,MAX(0,(Inputs!$B$3-100)*3)+Inputs!$B$28+Inputs!$B$29)))</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f>(1-Summary!$B$55)*T575+Summary!$B$55*V575</f>
        <v/>
      </c>
      <c r="P575">
        <f>IF(B590=0,0,O575/B590)</f>
        <v/>
      </c>
      <c r="Q575" t="n">
        <v>0</v>
      </c>
      <c r="R575" t="n">
        <v>0</v>
      </c>
      <c r="S575">
        <f>IFERROR(O575/N575,0)</f>
        <v/>
      </c>
      <c r="T575" t="n">
        <v>0</v>
      </c>
      <c r="V575" t="n">
        <v>0</v>
      </c>
    </row>
    <row r="576">
      <c r="A576">
        <f>Skills!A23</f>
        <v/>
      </c>
      <c r="B576">
        <f>Skills!B23</f>
        <v/>
      </c>
      <c r="C576">
        <f>Inputs!$B$3&gt;=120</f>
        <v/>
      </c>
      <c r="D576">
        <f>IF(Skills!C23=1,60+Inputs!$B$25+Inputs!$B$29,IF(Skills!C23=2,90+Inputs!$B$26+Inputs!$B$29,IF(Skills!C23=3,120+Inputs!$B$27+Inputs!$B$29,MAX(0,(Inputs!$B$3-100)*3)+Inputs!$B$28+Inputs!$B$29)))</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f>(1-Summary!$B$55)*T576+Summary!$B$55*V576</f>
        <v/>
      </c>
      <c r="P576">
        <f>IF(B590=0,0,O576/B590)</f>
        <v/>
      </c>
      <c r="Q576" t="n">
        <v>0</v>
      </c>
      <c r="R576" t="n">
        <v>0</v>
      </c>
      <c r="S576">
        <f>IFERROR(O576/N576,0)</f>
        <v/>
      </c>
      <c r="T576" t="n">
        <v>0</v>
      </c>
      <c r="V576" t="n">
        <v>0</v>
      </c>
    </row>
    <row r="577">
      <c r="A577">
        <f>Skills!A24</f>
        <v/>
      </c>
      <c r="B577">
        <f>Skills!B24</f>
        <v/>
      </c>
      <c r="C577">
        <f>Inputs!$B$3&gt;=120</f>
        <v/>
      </c>
      <c r="D577">
        <f>IF(Skills!C24=1,60+Inputs!$B$25+Inputs!$B$29,IF(Skills!C24=2,90+Inputs!$B$26+Inputs!$B$29,IF(Skills!C24=3,120+Inputs!$B$27+Inputs!$B$29,MAX(0,(Inputs!$B$3-100)*3)+Inputs!$B$28+Inputs!$B$29)))</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f>(1-Summary!$B$55)*T577+Summary!$B$55*V577</f>
        <v/>
      </c>
      <c r="P577">
        <f>IF(B590=0,0,O577/B590)</f>
        <v/>
      </c>
      <c r="Q577" t="n">
        <v>0</v>
      </c>
      <c r="R577" t="n">
        <v>0</v>
      </c>
      <c r="S577">
        <f>IFERROR(O577/N577,0)</f>
        <v/>
      </c>
      <c r="T577" t="n">
        <v>0</v>
      </c>
      <c r="V577" t="n">
        <v>0</v>
      </c>
    </row>
    <row r="579">
      <c r="A579" t="inlineStr">
        <is>
          <t>Attack% Bucket Multiplier</t>
        </is>
      </c>
      <c r="B579">
        <f>(1+(((C566=TRUE)*F566*MIN(1,Skills!T13*(Skills!J13/100)*B584))+((C571=TRUE)*F571*IF(AND(Inputs!$B$38&lt;&gt;"pvp",Inputs!$B$43&gt;0),(((R571-1)*(Skills!T18*(1+Inputs!$B$34/100))+MIN((Skills!T18*(1+Inputs!$B$34/100)),MAX(0,Inputs!$B$43-((R571-1)*Skills!D18))))/Inputs!$B$43),IF(Inputs!$B$38="pvp",MIN((Skills!T18*(1+Inputs!$B$34/100)),15)/15,(Skills!T18*(1+Inputs!$B$34/100))/Skills!D18)))+0)/100)</f>
        <v/>
      </c>
    </row>
    <row r="580">
      <c r="A580" t="inlineStr">
        <is>
          <t>Global Crit Rate Bonus %</t>
        </is>
      </c>
      <c r="B580" t="n">
        <v>0</v>
      </c>
    </row>
    <row r="581">
      <c r="A581" t="inlineStr">
        <is>
          <t>Attack Speed Buff Bonus %</t>
        </is>
      </c>
      <c r="B581">
        <f>((C572=TRUE)*F572*IF(AND(Inputs!$B$38&lt;&gt;"pvp",Inputs!$B$43&gt;0),(((R572-1)*(Skills!T19*(1+Inputs!$B$34/100))+MIN((Skills!T19*(1+Inputs!$B$34/100)),MAX(0,Inputs!$B$43-((R572-1)*Skills!D19))))/Inputs!$B$43),IF(Inputs!$B$38="pvp",MIN((Skills!T19*(1+Inputs!$B$34/100)),15)/15,(Skills!T19*(1+Inputs!$B$34/100))/Skills!D19)))</f>
        <v/>
      </c>
    </row>
    <row r="582">
      <c r="A582" t="inlineStr">
        <is>
          <t>Actions Per Second</t>
        </is>
      </c>
      <c r="B582">
        <f>1+MIN(150,150*(1-(1-(Inputs!$B$11+((C573=TRUE)*(F573-Calc!F20)))/150)*(1-B581/150)))/100</f>
        <v/>
      </c>
    </row>
    <row r="583">
      <c r="A583" t="inlineStr">
        <is>
          <t>Skill + Buff Cast Rate</t>
        </is>
      </c>
      <c r="B583">
        <f>IF(AND(Inputs!$B$38&lt;&gt;"pvp",Inputs!$B$43&gt;0),SUMPRODUCT((Skills!E2:E24=TRUE)*(C555:C577=TRUE)*R555:R577*Skills!F2:F24)/Inputs!$B$43,SUMPRODUCT((Skills!E2:E24=TRUE)*(C555:C577=TRUE)*Q555:Q577*Skills!F2:F24))</f>
        <v/>
      </c>
    </row>
    <row r="584">
      <c r="A584" t="inlineStr">
        <is>
          <t>Blast Casts Per Second</t>
        </is>
      </c>
      <c r="B584">
        <f>MAX(0,B582-B583)</f>
        <v/>
      </c>
    </row>
    <row r="585">
      <c r="A585" t="inlineStr">
        <is>
          <t>Global Critical Damage Bonus % (unused)</t>
        </is>
      </c>
      <c r="B585" t="n">
        <v>0</v>
      </c>
    </row>
    <row r="586">
      <c r="A586" t="inlineStr">
        <is>
          <t>Global Final Damage Bonus % (Divine Shield + Guardian + Divine Blessing + Greater Vessel of Light)</t>
        </is>
      </c>
      <c r="B586">
        <f>((C568=TRUE)*F568*IF(AND(Inputs!$B$38&lt;&gt;"pvp",Inputs!$B$43&gt;0),(((R568-1)*(Skills!T15*(1+Inputs!$B$34/100))+MIN((Skills!T15*(1+Inputs!$B$34/100)),MAX(0,Inputs!$B$43-((R568-1)*Skills!D15))))/Inputs!$B$43),IF(Inputs!$B$38="pvp",MIN((Skills!T15*(1+Inputs!$B$34/100)),15)/15,(Skills!T15*(1+Inputs!$B$34/100))/Skills!D15)))+((C569=TRUE)*F569*IF(AND(Inputs!$B$38&lt;&gt;"pvp",Inputs!$B$43&gt;0),(((R569-1)*(Skills!T16*(1+Inputs!$B$34/100))+MIN((Skills!T16*(1+Inputs!$B$34/100)),MAX(0,Inputs!$B$43-((R569-1)*Skills!D16))))/Inputs!$B$43),IF(Inputs!$B$38="pvp",MIN((Skills!T16*(1+Inputs!$B$34/100)),15)/15,(Skills!T16*(1+Inputs!$B$34/100))/Skills!D16)))+((C570=TRUE)*F570*IF(AND(Inputs!$B$38&lt;&gt;"pvp",Inputs!$B$43&gt;0),(((R570-1)*(Skills!T17*(1+Inputs!$B$34/100))+MIN((Skills!T17*(1+Inputs!$B$34/100)),MAX(0,Inputs!$B$43-((R570-1)*Skills!D17))))/Inputs!$B$43),IF(Inputs!$B$38="pvp",MIN((Skills!T17*(1+Inputs!$B$34/100)),15)/15,(Skills!T17*(1+Inputs!$B$34/100))/Skills!D17)))+((C567=TRUE)*F567*MIN(1,Skills!T13*(Skills!J13/100)*B584))</f>
        <v/>
      </c>
    </row>
    <row r="587">
      <c r="A587" t="inlineStr">
        <is>
          <t>Buff-Casting Startup Delay (s, fixed-duration only)</t>
        </is>
      </c>
      <c r="B587">
        <f>IF(AND(Inputs!$B$38&lt;&gt;"pvp",Inputs!$B$43&gt;0),SUMPRODUCT((Skills!T2:T24&gt;0)*(Skills!E2:E24=TRUE)*(C555:C577=TRUE))/B582,0)</f>
        <v/>
      </c>
    </row>
    <row r="588">
      <c r="A588" t="inlineStr">
        <is>
          <t>Boss-Only Total DPS (this block's swept value)</t>
        </is>
      </c>
      <c r="B588">
        <f>SUM(T555:T577)</f>
        <v/>
      </c>
    </row>
    <row r="589">
      <c r="A589" t="inlineStr">
        <is>
          <t>Normal-Only Total DPS (this block's swept value)</t>
        </is>
      </c>
      <c r="B589">
        <f>SUM(V555:V577)</f>
        <v/>
      </c>
    </row>
    <row r="590">
      <c r="A590" s="5" t="inlineStr">
        <is>
          <t>TOTAL DPS</t>
        </is>
      </c>
      <c r="B590" s="5">
        <f>SUM(O555:O577)</f>
        <v/>
      </c>
    </row>
    <row r="593">
      <c r="A593" s="5" t="inlineStr">
        <is>
          <t>Stat: BASIC_ATTACK_DAMAGE %</t>
        </is>
      </c>
    </row>
    <row r="594">
      <c r="A594" s="9" t="inlineStr">
        <is>
          <t>Key</t>
        </is>
      </c>
      <c r="B594" s="9" t="inlineStr">
        <is>
          <t>Name</t>
        </is>
      </c>
      <c r="C594" s="9" t="inlineStr">
        <is>
          <t>Unlocked</t>
        </is>
      </c>
      <c r="D594" s="9" t="inlineStr">
        <is>
          <t>InputLevel</t>
        </is>
      </c>
      <c r="E594" s="9" t="inlineStr">
        <is>
          <t>Factor</t>
        </is>
      </c>
      <c r="F594" s="9" t="inlineStr">
        <is>
          <t>CoefficientPercent</t>
        </is>
      </c>
      <c r="G594" s="9" t="inlineStr">
        <is>
          <t>EffectiveHits</t>
        </is>
      </c>
      <c r="H594" s="9" t="inlineStr">
        <is>
          <t>ProcProbability</t>
        </is>
      </c>
      <c r="I594" s="9" t="inlineStr">
        <is>
          <t>MapleHeroMultiplier</t>
        </is>
      </c>
      <c r="J594" s="9" t="inlineStr">
        <is>
          <t>BaseDamage</t>
        </is>
      </c>
      <c r="K594" s="9" t="inlineStr">
        <is>
          <t>BaseHitDamage</t>
        </is>
      </c>
      <c r="L594" s="9" t="inlineStr">
        <is>
          <t>NonCritAvg</t>
        </is>
      </c>
      <c r="M594" s="9" t="inlineStr">
        <is>
          <t>CritAvg</t>
        </is>
      </c>
      <c r="N594" s="9" t="inlineStr">
        <is>
          <t>ExpectedDamage(perHit)</t>
        </is>
      </c>
      <c r="O594" s="9" t="inlineStr">
        <is>
          <t>DPS</t>
        </is>
      </c>
      <c r="P594" s="9" t="inlineStr">
        <is>
          <t>% of Total</t>
        </is>
      </c>
      <c r="Q594" s="9" t="inlineStr">
        <is>
          <t>InvCooldown</t>
        </is>
      </c>
      <c r="R594" s="9" t="inlineStr">
        <is>
          <t>CastsInFight</t>
        </is>
      </c>
      <c r="S594" s="9"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((Inputs!$B$6*(1+Inputs!$B$7/100))+(((Inputs!$B$12*(1+Inputs!$B$13/100))-(Inputs!$B$12*(1+Inputs!$B$13/100)))+0.25*(Inputs!$B$14-Inputs!$B$14))*(1+Inputs!$B$7/100))*(F595/100)</f>
        <v/>
      </c>
      <c r="K595">
        <f>J595*(1+((Inputs!$B$12*(1+Inputs!$B$13/100))*0.01+Inputs!$B$14*0.0025)/100)*(1+Inputs!$B$15/100)*(1+Inputs!$B$16/100)*(5000/(6000+Inputs!$B$42*(1-(Inputs!$B$19+0)/100)))*(1+(Inputs!$B$24+0+B626)/100)*(1+(IF(Skills!A2="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595)</f>
        <v/>
      </c>
      <c r="L595">
        <f>K595*(MIN(Inputs!$B$22+((C615=TRUE)*(F615-Calc!F22)),Inputs!$B$23+((C617=TRUE)*(F617-Calc!F24)))/100+(Inputs!$B$23+((C617=TRUE)*(F617-Calc!F24)))/100)/2</f>
        <v/>
      </c>
      <c r="M595">
        <f>L595*(1+(Inputs!$B$10+0+B625)/100)</f>
        <v/>
      </c>
      <c r="N595">
        <f>L595*(1-MIN((Inputs!$B$9+0+B620),100)/100)+M595*(MIN((Inputs!$B$9+0+B620),100)/100)</f>
        <v/>
      </c>
      <c r="O595">
        <f>(1-Summary!$B$55)*T595+Summary!$B$55*V595</f>
        <v/>
      </c>
      <c r="P595">
        <f>IF(B630=0,0,O595/B630)</f>
        <v/>
      </c>
      <c r="Q595" t="n">
        <v>0</v>
      </c>
      <c r="R595" t="n">
        <v>0</v>
      </c>
      <c r="S595">
        <f>IFERROR(O595/N595,0)</f>
        <v/>
      </c>
      <c r="T595">
        <f>IF(C595,(Skills!G2*N595*B624)*IF(Inputs!$B$38="pvp",1,1+(Inputs!$B$20+0+Skills!P2)/100),0)</f>
        <v/>
      </c>
      <c r="U595">
        <f>MAX(0,(Inputs!$B$3-100)*3)+Inputs!$B$28+Inputs!$B$29</f>
        <v/>
      </c>
      <c r="V595">
        <f>IF(C595,(Skills!G2*N595*B624)*IF(Inputs!$B$38="pvp",1,(1+(Inputs!$B$21+Skills!Q2)/100)*(MIN((6+Inputs!$B$33),Inputs!$B$37))),0)</f>
        <v/>
      </c>
    </row>
    <row r="596">
      <c r="A596">
        <f>Skills!A3</f>
        <v/>
      </c>
      <c r="B596">
        <f>Skills!B3</f>
        <v/>
      </c>
      <c r="C596">
        <f>Inputs!$B$3&gt;=50</f>
        <v/>
      </c>
      <c r="D596">
        <f>IF(Skills!C3=1,60+Inputs!$B$25+Inputs!$B$29,IF(Skills!C3=2,90+Inputs!$B$26+Inputs!$B$29,IF(Skills!C3=3,120+Inputs!$B$27+Inputs!$B$29,MAX(0,(Inputs!$B$3-100)*3)+Inputs!$B$28+Inputs!$B$29)))</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Inputs!$B$3&gt;=35</f>
        <v/>
      </c>
      <c r="D597">
        <f>IF(Skills!C4=1,60+Inputs!$B$25+Inputs!$B$29,IF(Skills!C4=2,90+Inputs!$B$26+Inputs!$B$29,IF(Skills!C4=3,120+Inputs!$B$27+Inputs!$B$29,MAX(0,(Inputs!$B$3-100)*3)+Inputs!$B$28+Inputs!$B$29)))</f>
        <v/>
      </c>
      <c r="E597">
        <f>INDEX(FactorTable!$B$2:$Y$301, MATCH(ROUND(MIN(300,MAX(1,D597)),0), FactorTable!$A$2:$A$301,0), Skills!M4+1)</f>
        <v/>
      </c>
      <c r="F597">
        <f>IF(Skills!N4=TRUE,(Skills!L4/10)*(E597/1000),Skills!L4/10)+Skills!O4</f>
        <v/>
      </c>
      <c r="G597">
        <f>Skills!G4*IF(Skills!H4&gt;0,Skills!I4/Skills!H4,1)</f>
        <v/>
      </c>
      <c r="H597">
        <f>1-(1-Skills!J4/100)^Skills!K4</f>
        <v/>
      </c>
      <c r="I597" t="inlineStr">
        <is>
          <t>1</t>
        </is>
      </c>
      <c r="J597">
        <f>((Inputs!$B$6*(1+Inputs!$B$7/100))+(((Inputs!$B$12*(1+Inputs!$B$13/100))-(Inputs!$B$12*(1+Inputs!$B$13/100)))+0.25*(Inputs!$B$14-Inputs!$B$14))*(1+Inputs!$B$7/100))*(F597/100)</f>
        <v/>
      </c>
      <c r="K597">
        <f>J597*(1+((Inputs!$B$12*(1+Inputs!$B$13/100))*0.01+Inputs!$B$14*0.0025)/100)*(1+Inputs!$B$15/100)*(1+Inputs!$B$16/100)*(5000/(6000+Inputs!$B$42*(1-(Inputs!$B$19+0)/100)))*(1+(Inputs!$B$24+0+B626)/100)*(1+4.0*IF(C605=TRUE,F605,0)/100)*(1+(IF(Skills!A4="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597)</f>
        <v/>
      </c>
      <c r="L597">
        <f>K597*(MIN(Inputs!$B$22+((C615=TRUE)*(F615-Calc!F22)),Inputs!$B$23+((C617=TRUE)*(F617-Calc!F24)))/100+(Inputs!$B$23+((C617=TRUE)*(F617-Calc!F24)))/100)/2</f>
        <v/>
      </c>
      <c r="M597">
        <f>L597*(1+(Inputs!$B$10+0+B625)/100)</f>
        <v/>
      </c>
      <c r="N597">
        <f>L597*(1-MIN((Inputs!$B$9+0+B620),100)/100)+M597*(MIN((Inputs!$B$9+0+B620),100)/100)</f>
        <v/>
      </c>
      <c r="O597">
        <f>(1-Summary!$B$55)*T597+Summary!$B$55*V597</f>
        <v/>
      </c>
      <c r="P597">
        <f>IF(B630=0,0,O597/B630)</f>
        <v/>
      </c>
      <c r="Q597">
        <f>IFERROR(1/IF(Inputs!$B$38="pvp",15,MAX(0.1,Skills!D4-IF(Skills!E4=TRUE,Inputs!$B$32,0))),0)</f>
        <v/>
      </c>
      <c r="R597">
        <f>IF(AND(Inputs!$B$38&lt;&gt;"pvp",Inputs!$B$43&gt;0),IF(MAX(0,Inputs!$B$43-B627)&lt;=0,0,(INT(MAX(0,Inputs!$B$43-B627)/IF(Inputs!$B$38="pvp",15,MAX(0.1,Skills!D4-IF(Skills!E4=TRUE,Inputs!$B$32,0))))+1)),0)</f>
        <v/>
      </c>
      <c r="S597">
        <f>IFERROR(O597/N597,0)</f>
        <v/>
      </c>
      <c r="T597">
        <f>IF(C597,(H597*N597*IF(AND(Inputs!$B$38&lt;&gt;"pvp",Inputs!$B$43&gt;0),((Skills!G4*((R597-1)*IF(Skills!H4&gt;0,Skills!I4/Skills!H4,1)+IF(Skills!H4&gt;0,MIN(Skills!I4,MAX(0,MAX(0,Inputs!$B$43-B627)-((R597-1)*IF(Inputs!$B$38="pvp",15,MAX(0.1,Skills!D4-IF(Skills!E4=TRUE,Inputs!$B$32,0))))))/Skills!H4,1)))/Inputs!$B$43),G597*Q597))*IF(Inputs!$B$38="pvp",1,1+(Inputs!$B$20+0+Skills!P4)/100),0)</f>
        <v/>
      </c>
      <c r="U597">
        <f>290*U596/1000</f>
        <v/>
      </c>
      <c r="V597">
        <f>IF(C597,(H597*N597*IF(AND(Inputs!$B$38&lt;&gt;"pvp",Inputs!$B$43&gt;0),((Skills!G4*((R597-1)*IF(Skills!H4&gt;0,Skills!I4/Skills!H4,1)+IF(Skills!H4&gt;0,MIN(Skills!I4,MAX(0,MAX(0,Inputs!$B$43-B627)-((R597-1)*IF(Inputs!$B$38="pvp",15,MAX(0.1,Skills!D4-IF(Skills!E4=TRUE,Inputs!$B$32,0))))))/Skills!H4,1)))/Inputs!$B$43),G597*Q597))*IF(Inputs!$B$38="pvp",1,(1+(Inputs!$B$21+Skills!Q4)/100)*(MIN(Skills!R4,Inputs!$B$37))),0)</f>
        <v/>
      </c>
    </row>
    <row r="598">
      <c r="A598">
        <f>Skills!A5</f>
        <v/>
      </c>
      <c r="B598">
        <f>Skills!B5</f>
        <v/>
      </c>
      <c r="C598">
        <f>Inputs!$B$3&gt;=66</f>
        <v/>
      </c>
      <c r="D598">
        <f>IF(Skills!C5=1,60+Inputs!$B$25+Inputs!$B$29,IF(Skills!C5=2,90+Inputs!$B$26+Inputs!$B$29,IF(Skills!C5=3,120+Inputs!$B$27+Inputs!$B$29,MAX(0,(Inputs!$B$3-100)*3)+Inputs!$B$28+Inputs!$B$29)))</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((Inputs!$B$6*(1+Inputs!$B$7/100))+(((Inputs!$B$12*(1+Inputs!$B$13/100))-(Inputs!$B$12*(1+Inputs!$B$13/100)))+0.25*(Inputs!$B$14-Inputs!$B$14))*(1+Inputs!$B$7/100))*(F598/100)</f>
        <v/>
      </c>
      <c r="K598">
        <f>J598*(1+((Inputs!$B$12*(1+Inputs!$B$13/100))*0.01+Inputs!$B$14*0.0025)/100)*(1+Inputs!$B$15/100)*(1+Inputs!$B$16/100)*(5000/(6000+Inputs!$B$42*(1-(Inputs!$B$19+0)/100)))*(1+(Inputs!$B$24+0+B626)/100)*(1+1.0*IF(C605=TRUE,F605,0)/100)*(1+(IF(Skills!A5="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598)</f>
        <v/>
      </c>
      <c r="L598">
        <f>K598*(MIN(Inputs!$B$22+((C615=TRUE)*(F615-Calc!F22)),Inputs!$B$23+((C617=TRUE)*(F617-Calc!F24)))/100+(Inputs!$B$23+((C617=TRUE)*(F617-Calc!F24)))/100)/2</f>
        <v/>
      </c>
      <c r="M598">
        <f>L598*(1+(Inputs!$B$10+0+B625)/100)</f>
        <v/>
      </c>
      <c r="N598">
        <f>L598*(1-MIN((Inputs!$B$9+0+B620),100)/100)+M598*(MIN((Inputs!$B$9+0+B620),100)/100)</f>
        <v/>
      </c>
      <c r="O598">
        <f>(1-Summary!$B$55)*T598+Summary!$B$55*V598</f>
        <v/>
      </c>
      <c r="P598">
        <f>IF(B630=0,0,O598/B630)</f>
        <v/>
      </c>
      <c r="Q598">
        <f>IFERROR(1/IF(Inputs!$B$38="pvp",15,MAX(0.1,Skills!D5-IF(Skills!E5=TRUE,Inputs!$B$32,0))),0)</f>
        <v/>
      </c>
      <c r="R598">
        <f>IF(AND(Inputs!$B$38&lt;&gt;"pvp",Inputs!$B$43&gt;0),IF(MAX(0,Inputs!$B$43-B627)&lt;=0,0,(INT(MAX(0,Inputs!$B$43-B627)/IF(Inputs!$B$38="pvp",15,MAX(0.1,Skills!D5-IF(Skills!E5=TRUE,Inputs!$B$32,0))))+1)),0)</f>
        <v/>
      </c>
      <c r="S598">
        <f>IFERROR(O598/N598,0)</f>
        <v/>
      </c>
      <c r="T598">
        <f>IF(C598,(H598*N598*IF(AND(Inputs!$B$38&lt;&gt;"pvp",Inputs!$B$43&gt;0),((Skills!G5*((R598-1)*IF(Skills!H5&gt;0,Skills!I5/Skills!H5,1)+IF(Skills!H5&gt;0,MIN(Skills!I5,MAX(0,MAX(0,Inputs!$B$43-B627)-((R598-1)*IF(Inputs!$B$38="pvp",15,MAX(0.1,Skills!D5-IF(Skills!E5=TRUE,Inputs!$B$32,0))))))/Skills!H5,1)))/Inputs!$B$43),G598*Q598))*IF(Inputs!$B$38="pvp",1,1+(Inputs!$B$20+0+Skills!P5)/100),0)</f>
        <v/>
      </c>
      <c r="V598">
        <f>IF(C598,(H598*N598*IF(AND(Inputs!$B$38&lt;&gt;"pvp",Inputs!$B$43&gt;0),((Skills!G5*((R598-1)*IF(Skills!H5&gt;0,Skills!I5/Skills!H5,1)+IF(Skills!H5&gt;0,MIN(Skills!I5,MAX(0,MAX(0,Inputs!$B$43-B627)-((R598-1)*IF(Inputs!$B$38="pvp",15,MAX(0.1,Skills!D5-IF(Skills!E5=TRUE,Inputs!$B$32,0))))))/Skills!H5,1)))/Inputs!$B$43),G598*Q598))*IF(Inputs!$B$38="pvp",1,(1+(Inputs!$B$21+Skills!Q5)/100)*(MIN(Skills!R5,Inputs!$B$37))),0)</f>
        <v/>
      </c>
    </row>
    <row r="599">
      <c r="A599">
        <f>Skills!A6</f>
        <v/>
      </c>
      <c r="B599">
        <f>Skills!B6</f>
        <v/>
      </c>
      <c r="C599">
        <f>Inputs!$B$3&gt;=103</f>
        <v/>
      </c>
      <c r="D599">
        <f>IF(Skills!C6=1,60+Inputs!$B$25+Inputs!$B$29,IF(Skills!C6=2,90+Inputs!$B$26+Inputs!$B$29,IF(Skills!C6=3,120+Inputs!$B$27+Inputs!$B$29,MAX(0,(Inputs!$B$3-100)*3)+Inputs!$B$28+Inputs!$B$29)))</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((Inputs!$B$6*(1+Inputs!$B$7/100))+(((Inputs!$B$12*(1+Inputs!$B$13/100))-(Inputs!$B$12*(1+Inputs!$B$13/100)))+0.25*(Inputs!$B$14-Inputs!$B$14))*(1+Inputs!$B$7/100))*(F599/100)</f>
        <v/>
      </c>
      <c r="K599">
        <f>J599*(1+((Inputs!$B$12*(1+Inputs!$B$13/100))*0.01+Inputs!$B$14*0.0025)/100)*(1+Inputs!$B$15/100)*(1+Inputs!$B$16/100)*(5000/(6000+Inputs!$B$42*(1-(Inputs!$B$19+0)/100)))*(1+(Inputs!$B$24+0+B626)/100)*(1+(IF(Skills!A6="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599)</f>
        <v/>
      </c>
      <c r="L599">
        <f>K599*(MIN(Inputs!$B$22+((C615=TRUE)*(F615-Calc!F22)),Inputs!$B$23+((C617=TRUE)*(F617-Calc!F24)))/100+(Inputs!$B$23+((C617=TRUE)*(F617-Calc!F24)))/100)/2</f>
        <v/>
      </c>
      <c r="M599">
        <f>L599*(1+(Inputs!$B$10+0+B625)/100)</f>
        <v/>
      </c>
      <c r="N599">
        <f>L599*(1-MIN((Inputs!$B$9+0+B620),100)/100)+M599*(MIN((Inputs!$B$9+0+B620),100)/100)</f>
        <v/>
      </c>
      <c r="O599">
        <f>(1-Summary!$B$55)*T599+Summary!$B$55*V599</f>
        <v/>
      </c>
      <c r="P599">
        <f>IF(B630=0,0,O599/B630)</f>
        <v/>
      </c>
      <c r="Q599">
        <f>IFERROR(1/IF(Inputs!$B$38="pvp",15,MAX(0.1,Skills!D6-IF(Skills!E6=TRUE,Inputs!$B$32,0))),0)</f>
        <v/>
      </c>
      <c r="R599">
        <f>IF(AND(Inputs!$B$38&lt;&gt;"pvp",Inputs!$B$43&gt;0),IF(MAX(0,Inputs!$B$43-B627)&lt;=0,0,(INT(MAX(0,Inputs!$B$43-B627)/IF(Inputs!$B$38="pvp",15,MAX(0.1,Skills!D6-IF(Skills!E6=TRUE,Inputs!$B$32,0))))+1)),0)</f>
        <v/>
      </c>
      <c r="S599">
        <f>IFERROR(O599/N599,0)</f>
        <v/>
      </c>
      <c r="T599">
        <f>IF(C599,(H599*N599*IF(AND(Inputs!$B$38&lt;&gt;"pvp",Inputs!$B$43&gt;0),((Skills!G6*((R599-1)*IF(Skills!H6&gt;0,Skills!I6/Skills!H6,1)+IF(Skills!H6&gt;0,MIN(Skills!I6,MAX(0,MAX(0,Inputs!$B$43-B627)-((R599-1)*IF(Inputs!$B$38="pvp",15,MAX(0.1,Skills!D6-IF(Skills!E6=TRUE,Inputs!$B$32,0))))))/Skills!H6,1)))/Inputs!$B$43),G599*Q599))*IF(Inputs!$B$38="pvp",1,1+(Inputs!$B$20+0+Skills!P6)/100),0)</f>
        <v/>
      </c>
      <c r="V599">
        <f>IF(C599,(H599*N599*IF(AND(Inputs!$B$38&lt;&gt;"pvp",Inputs!$B$43&gt;0),((Skills!G6*((R599-1)*IF(Skills!H6&gt;0,Skills!I6/Skills!H6,1)+IF(Skills!H6&gt;0,MIN(Skills!I6,MAX(0,MAX(0,Inputs!$B$43-B627)-((R599-1)*IF(Inputs!$B$38="pvp",15,MAX(0.1,Skills!D6-IF(Skills!E6=TRUE,Inputs!$B$32,0))))))/Skills!H6,1)))/Inputs!$B$43),G599*Q599))*IF(Inputs!$B$38="pvp",1,(1+(Inputs!$B$21+Skills!Q6)/100)*(MIN(Skills!R6,Inputs!$B$37))),0)</f>
        <v/>
      </c>
    </row>
    <row r="600">
      <c r="A600">
        <f>Skills!A7</f>
        <v/>
      </c>
      <c r="B600">
        <f>Skills!B7</f>
        <v/>
      </c>
      <c r="C600">
        <f>Inputs!$B$3&gt;=107</f>
        <v/>
      </c>
      <c r="D600">
        <f>IF(Skills!C7=1,60+Inputs!$B$25+Inputs!$B$29,IF(Skills!C7=2,90+Inputs!$B$26+Inputs!$B$29,IF(Skills!C7=3,120+Inputs!$B$27+Inputs!$B$29,MAX(0,(Inputs!$B$3-100)*3)+Inputs!$B$28+Inputs!$B$29)))</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((Inputs!$B$6*(1+Inputs!$B$7/100))+(((Inputs!$B$12*(1+Inputs!$B$13/100))-(Inputs!$B$12*(1+Inputs!$B$13/100)))+0.25*(Inputs!$B$14-Inputs!$B$14))*(1+Inputs!$B$7/100))*(F600/100)</f>
        <v/>
      </c>
      <c r="K600">
        <f>J600*(1+((Inputs!$B$12*(1+Inputs!$B$13/100))*0.01+Inputs!$B$14*0.0025)/100)*(1+Inputs!$B$15/100)*(1+Inputs!$B$16/100)*(5000/(6000+Inputs!$B$42*(1-(Inputs!$B$19+0)/100)))*(1+(Inputs!$B$24+0+B626)/100)*(1+(IF(Skills!A7="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600)</f>
        <v/>
      </c>
      <c r="L600">
        <f>K600*(MIN(Inputs!$B$22+((C615=TRUE)*(F615-Calc!F22)),Inputs!$B$23+((C617=TRUE)*(F617-Calc!F24)))/100+(Inputs!$B$23+((C617=TRUE)*(F617-Calc!F24)))/100)/2</f>
        <v/>
      </c>
      <c r="M600">
        <f>L600*(1+(Inputs!$B$10+0+B625)/100)</f>
        <v/>
      </c>
      <c r="N600">
        <f>L600*(1-MIN((Inputs!$B$9+0+B620),100)/100)+M600*(MIN((Inputs!$B$9+0+B620),100)/100)</f>
        <v/>
      </c>
      <c r="O600">
        <f>(1-Summary!$B$55)*T600+Summary!$B$55*V600</f>
        <v/>
      </c>
      <c r="P600">
        <f>IF(B630=0,0,O600/B630)</f>
        <v/>
      </c>
      <c r="Q600">
        <f>IFERROR(1/IF(Inputs!$B$38="pvp",15,MAX(0.1,Skills!D7-IF(Skills!E7=TRUE,Inputs!$B$32,0))),0)</f>
        <v/>
      </c>
      <c r="R600">
        <f>IF(AND(Inputs!$B$38&lt;&gt;"pvp",Inputs!$B$43&gt;0),IF(MAX(0,Inputs!$B$43-B627)&lt;=0,0,(INT(MAX(0,Inputs!$B$43-B627)/IF(Inputs!$B$38="pvp",15,MAX(0.1,Skills!D7-IF(Skills!E7=TRUE,Inputs!$B$32,0))))+1)),0)</f>
        <v/>
      </c>
      <c r="S600">
        <f>IFERROR(O600/N600,0)</f>
        <v/>
      </c>
      <c r="T600">
        <f>IF(C600,(H600*N600*IF(AND(Inputs!$B$38&lt;&gt;"pvp",Inputs!$B$43&gt;0),((Skills!G7*((R600-1)*IF(Skills!H7&gt;0,Skills!I7/Skills!H7,1)+IF(Skills!H7&gt;0,MIN(Skills!I7,MAX(0,MAX(0,Inputs!$B$43-B627)-((R600-1)*IF(Inputs!$B$38="pvp",15,MAX(0.1,Skills!D7-IF(Skills!E7=TRUE,Inputs!$B$32,0))))))/Skills!H7,1)))/Inputs!$B$43),G600*Q600))*IF(Inputs!$B$38="pvp",1,1+(Inputs!$B$20+0+Skills!P7)/100),0)</f>
        <v/>
      </c>
      <c r="V600">
        <f>IF(C600,(H600*N600*IF(AND(Inputs!$B$38&lt;&gt;"pvp",Inputs!$B$43&gt;0),((Skills!G7*((R600-1)*IF(Skills!H7&gt;0,Skills!I7/Skills!H7,1)+IF(Skills!H7&gt;0,MIN(Skills!I7,MAX(0,MAX(0,Inputs!$B$43-B627)-((R600-1)*IF(Inputs!$B$38="pvp",15,MAX(0.1,Skills!D7-IF(Skills!E7=TRUE,Inputs!$B$32,0))))))/Skills!H7,1)))/Inputs!$B$43),G600*Q600))*IF(Inputs!$B$38="pvp",1,(1+(Inputs!$B$21+Skills!Q7)/100)*(MIN(Skills!R7,Inputs!$B$37))),0)</f>
        <v/>
      </c>
    </row>
    <row r="601">
      <c r="A601">
        <f>Skills!A8</f>
        <v/>
      </c>
      <c r="B601">
        <f>Skills!B8</f>
        <v/>
      </c>
      <c r="C601">
        <f>Inputs!$B$3&gt;=107</f>
        <v/>
      </c>
      <c r="D601">
        <f>IF(Skills!C8=1,60+Inputs!$B$25+Inputs!$B$29,IF(Skills!C8=2,90+Inputs!$B$26+Inputs!$B$29,IF(Skills!C8=3,120+Inputs!$B$27+Inputs!$B$29,MAX(0,(Inputs!$B$3-100)*3)+Inputs!$B$28+Inputs!$B$29)))</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((Inputs!$B$6*(1+Inputs!$B$7/100))+(((Inputs!$B$12*(1+Inputs!$B$13/100))-(Inputs!$B$12*(1+Inputs!$B$13/100)))+0.25*(Inputs!$B$14-Inputs!$B$14))*(1+Inputs!$B$7/100))*(F601/100)</f>
        <v/>
      </c>
      <c r="K601">
        <f>J601*(1+((Inputs!$B$12*(1+Inputs!$B$13/100))*0.01+Inputs!$B$14*0.0025)/100)*(1+Inputs!$B$15/100)*(1+Inputs!$B$16/100)*(5000/(6000+Inputs!$B$42*(1-(Inputs!$B$19+0)/100)))*(1+(Inputs!$B$24+0+B626)/100)*(1+(IF(Skills!A8="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601)</f>
        <v/>
      </c>
      <c r="L601">
        <f>K601*(MIN(Inputs!$B$22+((C615=TRUE)*(F615-Calc!F22)),Inputs!$B$23+((C617=TRUE)*(F617-Calc!F24)))/100+(Inputs!$B$23+((C617=TRUE)*(F617-Calc!F24)))/100)/2</f>
        <v/>
      </c>
      <c r="M601">
        <f>L601*(1+(Inputs!$B$10+0+B625)/100)</f>
        <v/>
      </c>
      <c r="N601">
        <f>L601*(1-MIN((Inputs!$B$9+0+B620),100)/100)+M601*(MIN((Inputs!$B$9+0+B620),100)/100)</f>
        <v/>
      </c>
      <c r="O601">
        <f>(1-Summary!$B$55)*T601+Summary!$B$55*V601</f>
        <v/>
      </c>
      <c r="P601">
        <f>IF(B630=0,0,O601/B630)</f>
        <v/>
      </c>
      <c r="Q601">
        <f>IFERROR(1/IF(Inputs!$B$38="pvp",15,MAX(0.1,Skills!D8-IF(Skills!E8=TRUE,Inputs!$B$32,0))),0)</f>
        <v/>
      </c>
      <c r="R601">
        <f>IF(AND(Inputs!$B$38&lt;&gt;"pvp",Inputs!$B$43&gt;0),IF(MAX(0,Inputs!$B$43-B627)&lt;=0,0,(INT(MAX(0,Inputs!$B$43-B627)/IF(Inputs!$B$38="pvp",15,MAX(0.1,Skills!D8-IF(Skills!E8=TRUE,Inputs!$B$32,0))))+1)),0)</f>
        <v/>
      </c>
      <c r="S601">
        <f>IFERROR(O601/N601,0)</f>
        <v/>
      </c>
      <c r="T601">
        <f>IF(C601,(H601*N601*IF(AND(Inputs!$B$38&lt;&gt;"pvp",Inputs!$B$43&gt;0),((Skills!G8*((R601-1)*IF(Skills!H8&gt;0,Skills!I8/Skills!H8,1)+IF(Skills!H8&gt;0,MIN(Skills!I8,MAX(0,MAX(0,Inputs!$B$43-B627)-((R601-1)*IF(Inputs!$B$38="pvp",15,MAX(0.1,Skills!D8-IF(Skills!E8=TRUE,Inputs!$B$32,0))))))/Skills!H8,1)))/Inputs!$B$43),G601*Q601))*IF(Inputs!$B$38="pvp",1,1+(Inputs!$B$20+0+Skills!P8)/100),0)</f>
        <v/>
      </c>
      <c r="V601">
        <f>IF(C601,(H601*N601*IF(AND(Inputs!$B$38&lt;&gt;"pvp",Inputs!$B$43&gt;0),((Skills!G8*((R601-1)*IF(Skills!H8&gt;0,Skills!I8/Skills!H8,1)+IF(Skills!H8&gt;0,MIN(Skills!I8,MAX(0,MAX(0,Inputs!$B$43-B627)-((R601-1)*IF(Inputs!$B$38="pvp",15,MAX(0.1,Skills!D8-IF(Skills!E8=TRUE,Inputs!$B$32,0))))))/Skills!H8,1)))/Inputs!$B$43),G601*Q601))*IF(Inputs!$B$38="pvp",1,(1+(Inputs!$B$21+Skills!Q8)/100)*(MIN(Skills!R8,Inputs!$B$37))),0)</f>
        <v/>
      </c>
    </row>
    <row r="602">
      <c r="A602">
        <f>Skills!A9</f>
        <v/>
      </c>
      <c r="B602">
        <f>Skills!B9</f>
        <v/>
      </c>
      <c r="C602">
        <f>Inputs!$B$3&gt;=125</f>
        <v/>
      </c>
      <c r="D602">
        <f>IF(Skills!C9=1,60+Inputs!$B$25+Inputs!$B$29,IF(Skills!C9=2,90+Inputs!$B$26+Inputs!$B$29,IF(Skills!C9=3,120+Inputs!$B$27+Inputs!$B$29,MAX(0,(Inputs!$B$3-100)*3)+Inputs!$B$28+Inputs!$B$29)))</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((Inputs!$B$6*(1+Inputs!$B$7/100))+(((Inputs!$B$12*(1+Inputs!$B$13/100))-(Inputs!$B$12*(1+Inputs!$B$13/100)))+0.25*(Inputs!$B$14-Inputs!$B$14))*(1+Inputs!$B$7/100))*(F602/100)</f>
        <v/>
      </c>
      <c r="K602">
        <f>J602*(1+((Inputs!$B$12*(1+Inputs!$B$13/100))*0.01+Inputs!$B$14*0.0025)/100)*(1+Inputs!$B$15/100)*(1+Inputs!$B$16/100)*(5000/(6000+Inputs!$B$42*(1-(Inputs!$B$19+0)/100)))*(1+(Inputs!$B$24+0+B626)/100)*(1+(IF(Skills!A9="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602)</f>
        <v/>
      </c>
      <c r="L602">
        <f>K602*(MIN(Inputs!$B$22+((C615=TRUE)*(F615-Calc!F22)),Inputs!$B$23+((C617=TRUE)*(F617-Calc!F24)))/100+(Inputs!$B$23+((C617=TRUE)*(F617-Calc!F24)))/100)/2</f>
        <v/>
      </c>
      <c r="M602">
        <f>L602*(1+(Inputs!$B$10+0+B625)/100)</f>
        <v/>
      </c>
      <c r="N602">
        <f>L602*(1-MIN((Inputs!$B$9+0+B620),100)/100)+M602*(MIN((Inputs!$B$9+0+B620),100)/100)</f>
        <v/>
      </c>
      <c r="O602">
        <f>(1-Summary!$B$55)*T602+Summary!$B$55*V602</f>
        <v/>
      </c>
      <c r="P602">
        <f>IF(B630=0,0,O602/B630)</f>
        <v/>
      </c>
      <c r="Q602">
        <f>IFERROR(1/IF(Inputs!$B$38="pvp",15,MAX(0.1,Skills!D9-IF(Skills!E9=TRUE,Inputs!$B$32,0))),0)</f>
        <v/>
      </c>
      <c r="R602">
        <f>IF(AND(Inputs!$B$38&lt;&gt;"pvp",Inputs!$B$43&gt;0),IF(MAX(0,Inputs!$B$43-B627)&lt;=0,0,(INT(MAX(0,Inputs!$B$43-B627)/IF(Inputs!$B$38="pvp",15,MAX(0.1,Skills!D9-IF(Skills!E9=TRUE,Inputs!$B$32,0))))+1)),0)</f>
        <v/>
      </c>
      <c r="S602">
        <f>IFERROR(O602/N602,0)</f>
        <v/>
      </c>
      <c r="T602">
        <f>IF(C602,(H602*N602*IF(AND(Inputs!$B$38&lt;&gt;"pvp",Inputs!$B$43&gt;0),((Skills!G9*((R602-1)*IF(Skills!H9&gt;0,Skills!I9/Skills!H9,1)+IF(Skills!H9&gt;0,MIN(Skills!I9,MAX(0,MAX(0,Inputs!$B$43-B627)-((R602-1)*IF(Inputs!$B$38="pvp",15,MAX(0.1,Skills!D9-IF(Skills!E9=TRUE,Inputs!$B$32,0))))))/Skills!H9,1)))/Inputs!$B$43),G602*Q602))*IF(Inputs!$B$38="pvp",1,1+(Inputs!$B$20+0+Skills!P9)/100),0)</f>
        <v/>
      </c>
      <c r="V602">
        <f>IF(C602,(H602*N602*IF(AND(Inputs!$B$38&lt;&gt;"pvp",Inputs!$B$43&gt;0),((Skills!G9*((R602-1)*IF(Skills!H9&gt;0,Skills!I9/Skills!H9,1)+IF(Skills!H9&gt;0,MIN(Skills!I9,MAX(0,MAX(0,Inputs!$B$43-B627)-((R602-1)*IF(Inputs!$B$38="pvp",15,MAX(0.1,Skills!D9-IF(Skills!E9=TRUE,Inputs!$B$32,0))))))/Skills!H9,1)))/Inputs!$B$43),G602*Q602))*IF(Inputs!$B$38="pvp",1,(1+(Inputs!$B$21+Skills!Q9)/100)*(MIN(Skills!R9,Inputs!$B$37))),0)</f>
        <v/>
      </c>
    </row>
    <row r="603">
      <c r="A603">
        <f>Skills!A10</f>
        <v/>
      </c>
      <c r="B603">
        <f>Skills!B10</f>
        <v/>
      </c>
      <c r="C603">
        <f>Inputs!$B$3&gt;=117</f>
        <v/>
      </c>
      <c r="D603">
        <f>IF(Skills!C10=1,60+Inputs!$B$25+Inputs!$B$29,IF(Skills!C10=2,90+Inputs!$B$26+Inputs!$B$29,IF(Skills!C10=3,120+Inputs!$B$27+Inputs!$B$29,MAX(0,(Inputs!$B$3-100)*3)+Inputs!$B$28+Inputs!$B$29)))</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((Inputs!$B$6*(1+Inputs!$B$7/100))+(((Inputs!$B$12*(1+Inputs!$B$13/100))-(Inputs!$B$12*(1+Inputs!$B$13/100)))+0.25*(Inputs!$B$14-Inputs!$B$14))*(1+Inputs!$B$7/100))*(F603/100)</f>
        <v/>
      </c>
      <c r="K603">
        <f>J603*(1+((Inputs!$B$12*(1+Inputs!$B$13/100))*0.01+Inputs!$B$14*0.0025)/100)*(1+Inputs!$B$15/100)*(1+Inputs!$B$16/100)*(5000/(6000+Inputs!$B$42*(1-(Inputs!$B$19+0)/100)))*(1+(Inputs!$B$24+0+B626)/100)*(1+(IF(Skills!A10="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603)</f>
        <v/>
      </c>
      <c r="L603">
        <f>K603*(MIN(Inputs!$B$22+((C615=TRUE)*(F615-Calc!F22)),Inputs!$B$23+((C617=TRUE)*(F617-Calc!F24)))/100+(Inputs!$B$23+((C617=TRUE)*(F617-Calc!F24)))/100)/2</f>
        <v/>
      </c>
      <c r="M603">
        <f>L603*(1+(Inputs!$B$10+0+B625)/100)</f>
        <v/>
      </c>
      <c r="N603">
        <f>L603*(1-MIN((Inputs!$B$9+0+B620),100)/100)+M603*(MIN((Inputs!$B$9+0+B620),100)/100)</f>
        <v/>
      </c>
      <c r="O603">
        <f>(1-Summary!$B$55)*T603+Summary!$B$55*V603</f>
        <v/>
      </c>
      <c r="P603">
        <f>IF(B630=0,0,O603/B630)</f>
        <v/>
      </c>
      <c r="Q603">
        <f>IFERROR(1/IF(Inputs!$B$38="pvp",15,MAX(0.1,Skills!D10-IF(Skills!E10=TRUE,Inputs!$B$32,0))),0)</f>
        <v/>
      </c>
      <c r="R603">
        <f>IF(AND(Inputs!$B$38&lt;&gt;"pvp",Inputs!$B$43&gt;0),IF(MAX(0,Inputs!$B$43-B627)&lt;=0,0,(INT(MAX(0,Inputs!$B$43-B627)/IF(Inputs!$B$38="pvp",15,MAX(0.1,Skills!D10-IF(Skills!E10=TRUE,Inputs!$B$32,0))))+1)),0)</f>
        <v/>
      </c>
      <c r="S603">
        <f>IFERROR(O603/N603,0)</f>
        <v/>
      </c>
      <c r="T603">
        <f>IF(C603,(H603*N603*IF(AND(Inputs!$B$38&lt;&gt;"pvp",Inputs!$B$43&gt;0),((Skills!G10*((R603-1)*IF(Skills!H10&gt;0,Skills!I10/Skills!H10,1)+IF(Skills!H10&gt;0,MIN(Skills!I10,MAX(0,MAX(0,Inputs!$B$43-B627)-((R603-1)*IF(Inputs!$B$38="pvp",15,MAX(0.1,Skills!D10-IF(Skills!E10=TRUE,Inputs!$B$32,0))))))/Skills!H10,1)))/Inputs!$B$43),G603*Q603))*IF(Inputs!$B$38="pvp",1,1+(Inputs!$B$20+0+Skills!P10)/100),0)</f>
        <v/>
      </c>
      <c r="V603">
        <f>IF(C603,(H603*N603*IF(AND(Inputs!$B$38&lt;&gt;"pvp",Inputs!$B$43&gt;0),((Skills!G10*((R603-1)*IF(Skills!H10&gt;0,Skills!I10/Skills!H10,1)+IF(Skills!H10&gt;0,MIN(Skills!I10,MAX(0,MAX(0,Inputs!$B$43-B627)-((R603-1)*IF(Inputs!$B$38="pvp",15,MAX(0.1,Skills!D10-IF(Skills!E10=TRUE,Inputs!$B$32,0))))))/Skills!H10,1)))/Inputs!$B$43),G603*Q603))*IF(Inputs!$B$38="pvp",1,(1+(Inputs!$B$21+Skills!Q10)/100)*(MIN(Skills!R10,Inputs!$B$37))),0)</f>
        <v/>
      </c>
    </row>
    <row r="604">
      <c r="A604">
        <f>Skills!A11</f>
        <v/>
      </c>
      <c r="B604">
        <f>Skills!B11</f>
        <v/>
      </c>
      <c r="C604">
        <f>Inputs!$B$3&gt;=63</f>
        <v/>
      </c>
      <c r="D604">
        <f>IF(Skills!C11=1,60+Inputs!$B$25+Inputs!$B$29,IF(Skills!C11=2,90+Inputs!$B$26+Inputs!$B$29,IF(Skills!C11=3,120+Inputs!$B$27+Inputs!$B$29,MAX(0,(Inputs!$B$3-100)*3)+Inputs!$B$28+Inputs!$B$29)))</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((Inputs!$B$6*(1+Inputs!$B$7/100))+(((Inputs!$B$12*(1+Inputs!$B$13/100))-(Inputs!$B$12*(1+Inputs!$B$13/100)))+0.25*(Inputs!$B$14-Inputs!$B$14))*(1+Inputs!$B$7/100))*(F604/100)</f>
        <v/>
      </c>
      <c r="K604">
        <f>J604*(1+((Inputs!$B$12*(1+Inputs!$B$13/100))*0.01+Inputs!$B$14*0.0025)/100)*(1+Inputs!$B$15/100)*(1+Inputs!$B$16/100)*(5000/(6000+Inputs!$B$42*(1-(Inputs!$B$19+0)/100)))*(1+(Inputs!$B$24+0+B626)/100)*(1+1.5*IF(C605=TRUE,F605,0)/100)*(1+(IF(Skills!A11="BLAST",(Inputs!$B$17+1)+((C614=TRUE)*(F614-Calc!F21)),Inputs!$B$18+((C616=TRUE)*(F616-Calc!F23))))/100)*((1+(((C606=TRUE)*F606*MIN(1,Skills!T13*(Skills!J13/100)*B624))+((C611=TRUE)*F611*IF(AND(Inputs!$B$38&lt;&gt;"pvp",Inputs!$B$43&gt;0),(((R611-1)*(Skills!T18*(1+Inputs!$B$34/100))+MIN((Skills!T18*(1+Inputs!$B$34/100)),MAX(0,Inputs!$B$43-((R611-1)*Skills!D18))))/Inputs!$B$43),IF(Inputs!$B$38="pvp",MIN((Skills!T18*(1+Inputs!$B$34/100)),15)/15,(Skills!T18*(1+Inputs!$B$34/100))/Skills!D18)))+0)/100)*I604)</f>
        <v/>
      </c>
      <c r="L604">
        <f>K604*(MIN(Inputs!$B$22+((C615=TRUE)*(F615-Calc!F22)),Inputs!$B$23+((C617=TRUE)*(F617-Calc!F24)))/100+(Inputs!$B$23+((C617=TRUE)*(F617-Calc!F24)))/100)/2</f>
        <v/>
      </c>
      <c r="M604">
        <f>L604*(1+(Inputs!$B$10+0+B625)/100)</f>
        <v/>
      </c>
      <c r="N604">
        <f>L604*(1-MIN((Inputs!$B$9+0+B620),100)/100)+M604*(MIN((Inputs!$B$9+0+B620),100)/100)</f>
        <v/>
      </c>
      <c r="O604">
        <f>(1-Summary!$B$55)*T604+Summary!$B$55*V604</f>
        <v/>
      </c>
      <c r="P604">
        <f>IF(B630=0,0,O604/B630)</f>
        <v/>
      </c>
      <c r="Q604">
        <f>IFERROR(1/IF(Inputs!$B$38="pvp",15,MAX(0.1,Skills!D11-IF(Skills!E11=TRUE,Inputs!$B$32,0))),0)</f>
        <v/>
      </c>
      <c r="R604">
        <f>IF(AND(Inputs!$B$38&lt;&gt;"pvp",Inputs!$B$43&gt;0),IF(MAX(0,Inputs!$B$43-B627)&lt;=0,0,(INT(MAX(0,Inputs!$B$43-B627)/IF(Inputs!$B$38="pvp",15,MAX(0.1,Skills!D11-IF(Skills!E11=TRUE,Inputs!$B$32,0))))+1)),0)</f>
        <v/>
      </c>
      <c r="S604">
        <f>IFERROR(O604/N604,0)</f>
        <v/>
      </c>
      <c r="T604">
        <f>IF(C604,(H604*N604*IF(AND(Inputs!$B$38&lt;&gt;"pvp",Inputs!$B$43&gt;0),((Skills!G11*((R604-1)*IF(Skills!H11&gt;0,Skills!I11/Skills!H11,1)+IF(Skills!H11&gt;0,MIN(Skills!I11,MAX(0,MAX(0,Inputs!$B$43-B627)-((R604-1)*IF(Inputs!$B$38="pvp",15,MAX(0.1,Skills!D11-IF(Skills!E11=TRUE,Inputs!$B$32,0))))))/Skills!H11,1)))/Inputs!$B$43),G604*Q604))*IF(Inputs!$B$38="pvp",1,1+(Inputs!$B$20+0+Skills!P11)/100),0)</f>
        <v/>
      </c>
      <c r="V604">
        <f>IF(C604,(H604*N604*IF(AND(Inputs!$B$38&lt;&gt;"pvp",Inputs!$B$43&gt;0),((Skills!G11*((R604-1)*IF(Skills!H11&gt;0,Skills!I11/Skills!H11,1)+IF(Skills!H11&gt;0,MIN(Skills!I11,MAX(0,MAX(0,Inputs!$B$43-B627)-((R604-1)*IF(Inputs!$B$38="pvp",15,MAX(0.1,Skills!D11-IF(Skills!E11=TRUE,Inputs!$B$32,0))))))/Skills!H11,1)))/Inputs!$B$43),G604*Q604))*IF(Inputs!$B$38="pvp",1,(1+(Inputs!$B$21+Skills!Q11)/100)*(MIN(Skills!R11,Inputs!$B$37))),0)</f>
        <v/>
      </c>
    </row>
    <row r="605">
      <c r="A605">
        <f>Skills!A12</f>
        <v/>
      </c>
      <c r="B605">
        <f>Skills!B12</f>
        <v/>
      </c>
      <c r="C605">
        <f>Inputs!$B$3&gt;=100</f>
        <v/>
      </c>
      <c r="D605">
        <f>IF(Skills!C12=1,60+Inputs!$B$25+Inputs!$B$29,IF(Skills!C12=2,90+Inputs!$B$26+Inputs!$B$29,IF(Skills!C12=3,120+Inputs!$B$27+Inputs!$B$29,MAX(0,(Inputs!$B$3-100)*3)+Inputs!$B$28+Inputs!$B$29)))</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IF(Skills!C13=1,60+Inputs!$B$25+Inputs!$B$29,IF(Skills!C13=2,90+Inputs!$B$26+Inputs!$B$29,IF(Skills!C13=3,120+Inputs!$B$27+Inputs!$B$29,MAX(0,(Inputs!$B$3-100)*3)+Inputs!$B$28+Inputs!$B$29)))</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f>(1-Summary!$B$55)*T606+Summary!$B$55*V606</f>
        <v/>
      </c>
      <c r="P606">
        <f>IF(B630=0,0,O606/B630)</f>
        <v/>
      </c>
      <c r="Q606" t="n">
        <v>0</v>
      </c>
      <c r="R606" t="n">
        <v>0</v>
      </c>
      <c r="S606">
        <f>IFERROR(O606/N606,0)</f>
        <v/>
      </c>
      <c r="T606" t="n">
        <v>0</v>
      </c>
      <c r="V606" t="n">
        <v>0</v>
      </c>
    </row>
    <row r="607">
      <c r="A607">
        <f>Skills!A14</f>
        <v/>
      </c>
      <c r="B607">
        <f>Skills!B14</f>
        <v/>
      </c>
      <c r="C607">
        <f>Inputs!$B$3&gt;=110</f>
        <v/>
      </c>
      <c r="D607">
        <f>IF(Skills!C14=1,60+Inputs!$B$25+Inputs!$B$29,IF(Skills!C14=2,90+Inputs!$B$26+Inputs!$B$29,IF(Skills!C14=3,120+Inputs!$B$27+Inputs!$B$29,MAX(0,(Inputs!$B$3-100)*3)+Inputs!$B$28+Inputs!$B$29)))</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f>(1-Summary!$B$55)*T607+Summary!$B$55*V607</f>
        <v/>
      </c>
      <c r="P607">
        <f>IF(B630=0,0,O607/B630)</f>
        <v/>
      </c>
      <c r="Q607" t="n">
        <v>0</v>
      </c>
      <c r="R607" t="n">
        <v>0</v>
      </c>
      <c r="S607">
        <f>IFERROR(O607/N607,0)</f>
        <v/>
      </c>
      <c r="T607" t="n">
        <v>0</v>
      </c>
      <c r="V607" t="n">
        <v>0</v>
      </c>
    </row>
    <row r="608">
      <c r="A608">
        <f>Skills!A15</f>
        <v/>
      </c>
      <c r="B608">
        <f>Skills!B15</f>
        <v/>
      </c>
      <c r="C608">
        <f>Inputs!$B$3&gt;=75</f>
        <v/>
      </c>
      <c r="D608">
        <f>IF(Skills!C15=1,60+Inputs!$B$25+Inputs!$B$29,IF(Skills!C15=2,90+Inputs!$B$26+Inputs!$B$29,IF(Skills!C15=3,120+Inputs!$B$27+Inputs!$B$29,MAX(0,(Inputs!$B$3-100)*3)+Inputs!$B$28+Inputs!$B$29)))</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f>(1-Summary!$B$55)*T608+Summary!$B$55*V608</f>
        <v/>
      </c>
      <c r="P608">
        <f>IF(B630=0,0,O608/B630)</f>
        <v/>
      </c>
      <c r="Q608">
        <f>IFERROR(1/IF(Inputs!$B$38="pvp",15,MAX(0.1,Skills!D15-IF(Skills!E15=TRUE,Inputs!$B$32,0))),0)</f>
        <v/>
      </c>
      <c r="R608">
        <f>IF(AND(Inputs!$B$38&lt;&gt;"pvp",Inputs!$B$43&gt;0),IF(Inputs!$B$43&lt;=0,0,(INT(Inputs!$B$43/IF(Inputs!$B$38="pvp",15,MAX(0.1,Skills!D15-IF(Skills!E15=TRUE,Inputs!$B$32,0))))+1)),0)</f>
        <v/>
      </c>
      <c r="S608">
        <f>IFERROR(O608/N608,0)</f>
        <v/>
      </c>
      <c r="T608" t="n">
        <v>0</v>
      </c>
      <c r="V608" t="n">
        <v>0</v>
      </c>
    </row>
    <row r="609">
      <c r="A609">
        <f>Skills!A16</f>
        <v/>
      </c>
      <c r="B609">
        <f>Skills!B16</f>
        <v/>
      </c>
      <c r="C609">
        <f>Inputs!$B$3&gt;=105</f>
        <v/>
      </c>
      <c r="D609">
        <f>IF(Skills!C16=1,60+Inputs!$B$25+Inputs!$B$29,IF(Skills!C16=2,90+Inputs!$B$26+Inputs!$B$29,IF(Skills!C16=3,120+Inputs!$B$27+Inputs!$B$29,MAX(0,(Inputs!$B$3-100)*3)+Inputs!$B$28+Inputs!$B$29)))</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f>(1-Summary!$B$55)*T609+Summary!$B$55*V609</f>
        <v/>
      </c>
      <c r="P609">
        <f>IF(B630=0,0,O609/B630)</f>
        <v/>
      </c>
      <c r="Q609">
        <f>IFERROR(1/IF(Inputs!$B$38="pvp",15,MAX(0.1,Skills!D16-IF(Skills!E16=TRUE,Inputs!$B$32,0))),0)</f>
        <v/>
      </c>
      <c r="R609">
        <f>IF(AND(Inputs!$B$38&lt;&gt;"pvp",Inputs!$B$43&gt;0),IF(Inputs!$B$43&lt;=0,0,(INT(Inputs!$B$43/IF(Inputs!$B$38="pvp",15,MAX(0.1,Skills!D16-IF(Skills!E16=TRUE,Inputs!$B$32,0))))+1)),0)</f>
        <v/>
      </c>
      <c r="S609">
        <f>IFERROR(O609/N609,0)</f>
        <v/>
      </c>
      <c r="T609" t="n">
        <v>0</v>
      </c>
      <c r="V609" t="n">
        <v>0</v>
      </c>
    </row>
    <row r="610">
      <c r="A610">
        <f>Skills!A17</f>
        <v/>
      </c>
      <c r="B610">
        <f>Skills!B17</f>
        <v/>
      </c>
      <c r="C610">
        <f>Inputs!$B$3&gt;=115</f>
        <v/>
      </c>
      <c r="D610">
        <f>IF(Skills!C17=1,60+Inputs!$B$25+Inputs!$B$29,IF(Skills!C17=2,90+Inputs!$B$26+Inputs!$B$29,IF(Skills!C17=3,120+Inputs!$B$27+Inputs!$B$29,MAX(0,(Inputs!$B$3-100)*3)+Inputs!$B$28+Inputs!$B$29)))</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f>(1-Summary!$B$55)*T610+Summary!$B$55*V610</f>
        <v/>
      </c>
      <c r="P610">
        <f>IF(B630=0,0,O610/B630)</f>
        <v/>
      </c>
      <c r="Q610">
        <f>IFERROR(1/IF(Inputs!$B$38="pvp",15,MAX(0.1,Skills!D17-IF(Skills!E17=TRUE,Inputs!$B$32,0))),0)</f>
        <v/>
      </c>
      <c r="R610">
        <f>IF(AND(Inputs!$B$38&lt;&gt;"pvp",Inputs!$B$43&gt;0),IF(Inputs!$B$43&lt;=0,0,(INT(Inputs!$B$43/IF(Inputs!$B$38="pvp",15,MAX(0.1,Skills!D17-IF(Skills!E17=TRUE,Inputs!$B$32,0))))+1)),0)</f>
        <v/>
      </c>
      <c r="S610">
        <f>IFERROR(O610/N610,0)</f>
        <v/>
      </c>
      <c r="T610" t="n">
        <v>0</v>
      </c>
      <c r="V610" t="n">
        <v>0</v>
      </c>
    </row>
    <row r="611">
      <c r="A611">
        <f>Skills!A18</f>
        <v/>
      </c>
      <c r="B611">
        <f>Skills!B18</f>
        <v/>
      </c>
      <c r="C611">
        <f>Inputs!$B$3&gt;=74</f>
        <v/>
      </c>
      <c r="D611">
        <f>IF(Skills!C18=1,60+Inputs!$B$25+Inputs!$B$29,IF(Skills!C18=2,90+Inputs!$B$26+Inputs!$B$29,IF(Skills!C18=3,120+Inputs!$B$27+Inputs!$B$29,MAX(0,(Inputs!$B$3-100)*3)+Inputs!$B$28+Inputs!$B$29)))</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f>(1-Summary!$B$55)*T611+Summary!$B$55*V611</f>
        <v/>
      </c>
      <c r="P611">
        <f>IF(B630=0,0,O611/B630)</f>
        <v/>
      </c>
      <c r="Q611">
        <f>IFERROR(1/IF(Inputs!$B$38="pvp",15,MAX(0.1,Skills!D18-IF(Skills!E18=TRUE,Inputs!$B$32,0))),0)</f>
        <v/>
      </c>
      <c r="R611">
        <f>IF(AND(Inputs!$B$38&lt;&gt;"pvp",Inputs!$B$43&gt;0),IF(Inputs!$B$43&lt;=0,0,(INT(Inputs!$B$43/IF(Inputs!$B$38="pvp",15,MAX(0.1,Skills!D18-IF(Skills!E18=TRUE,Inputs!$B$32,0))))+1)),0)</f>
        <v/>
      </c>
      <c r="S611">
        <f>IFERROR(O611/N611,0)</f>
        <v/>
      </c>
      <c r="T611" t="n">
        <v>0</v>
      </c>
      <c r="V611" t="n">
        <v>0</v>
      </c>
    </row>
    <row r="612">
      <c r="A612">
        <f>Skills!A19</f>
        <v/>
      </c>
      <c r="B612">
        <f>Skills!B19</f>
        <v/>
      </c>
      <c r="C612">
        <f>TRUE</f>
        <v/>
      </c>
      <c r="D612">
        <f>IF(Skills!C19=1,60+Inputs!$B$25+Inputs!$B$29,IF(Skills!C19=2,90+Inputs!$B$26+Inputs!$B$29,IF(Skills!C19=3,120+Inputs!$B$27+Inputs!$B$29,MAX(0,(Inputs!$B$3-100)*3)+Inputs!$B$28+Inputs!$B$29)))</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f>(1-Summary!$B$55)*T612+Summary!$B$55*V612</f>
        <v/>
      </c>
      <c r="P612">
        <f>IF(B630=0,0,O612/B630)</f>
        <v/>
      </c>
      <c r="Q612">
        <f>IFERROR(1/IF(Inputs!$B$38="pvp",15,MAX(0.1,Skills!D19-IF(Skills!E19=TRUE,Inputs!$B$32,0))),0)</f>
        <v/>
      </c>
      <c r="R612">
        <f>IF(AND(Inputs!$B$38&lt;&gt;"pvp",Inputs!$B$43&gt;0),IF(Inputs!$B$43&lt;=0,0,(INT(Inputs!$B$43/IF(Inputs!$B$38="pvp",15,MAX(0.1,Skills!D19-IF(Skills!E19=TRUE,Inputs!$B$32,0))))+1)),0)</f>
        <v/>
      </c>
      <c r="S612">
        <f>IFERROR(O612/N612,0)</f>
        <v/>
      </c>
      <c r="T612" t="n">
        <v>0</v>
      </c>
      <c r="V612" t="n">
        <v>0</v>
      </c>
    </row>
    <row r="613">
      <c r="A613">
        <f>Skills!A20</f>
        <v/>
      </c>
      <c r="B613">
        <f>Skills!B20</f>
        <v/>
      </c>
      <c r="C613">
        <f>Inputs!$B$3&gt;=33</f>
        <v/>
      </c>
      <c r="D613">
        <f>IF(Skills!C20=1,60+Inputs!$B$25+Inputs!$B$29,IF(Skills!C20=2,90+Inputs!$B$26+Inputs!$B$29,IF(Skills!C20=3,120+Inputs!$B$27+Inputs!$B$29,MAX(0,(Inputs!$B$3-100)*3)+Inputs!$B$28+Inputs!$B$29)))</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f>(1-Summary!$B$55)*T613+Summary!$B$55*V613</f>
        <v/>
      </c>
      <c r="P613">
        <f>IF(B630=0,0,O613/B630)</f>
        <v/>
      </c>
      <c r="Q613" t="n">
        <v>0</v>
      </c>
      <c r="R613" t="n">
        <v>0</v>
      </c>
      <c r="S613">
        <f>IFERROR(O613/N613,0)</f>
        <v/>
      </c>
      <c r="T613" t="n">
        <v>0</v>
      </c>
      <c r="V613" t="n">
        <v>0</v>
      </c>
    </row>
    <row r="614">
      <c r="A614">
        <f>Skills!A21</f>
        <v/>
      </c>
      <c r="B614">
        <f>Skills!B21</f>
        <v/>
      </c>
      <c r="C614">
        <f>Inputs!$B$3&gt;=38</f>
        <v/>
      </c>
      <c r="D614">
        <f>IF(Skills!C21=1,60+Inputs!$B$25+Inputs!$B$29,IF(Skills!C21=2,90+Inputs!$B$26+Inputs!$B$29,IF(Skills!C21=3,120+Inputs!$B$27+Inputs!$B$29,MAX(0,(Inputs!$B$3-100)*3)+Inputs!$B$28+Inputs!$B$29)))</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f>(1-Summary!$B$55)*T614+Summary!$B$55*V614</f>
        <v/>
      </c>
      <c r="P614">
        <f>IF(B630=0,0,O614/B630)</f>
        <v/>
      </c>
      <c r="Q614" t="n">
        <v>0</v>
      </c>
      <c r="R614" t="n">
        <v>0</v>
      </c>
      <c r="S614">
        <f>IFERROR(O614/N614,0)</f>
        <v/>
      </c>
      <c r="T614" t="n">
        <v>0</v>
      </c>
      <c r="V614" t="n">
        <v>0</v>
      </c>
    </row>
    <row r="615">
      <c r="A615">
        <f>Skills!A22</f>
        <v/>
      </c>
      <c r="B615">
        <f>Skills!B22</f>
        <v/>
      </c>
      <c r="C615">
        <f>Inputs!$B$3&gt;=43</f>
        <v/>
      </c>
      <c r="D615">
        <f>IF(Skills!C22=1,60+Inputs!$B$25+Inputs!$B$29,IF(Skills!C22=2,90+Inputs!$B$26+Inputs!$B$29,IF(Skills!C22=3,120+Inputs!$B$27+Inputs!$B$29,MAX(0,(Inputs!$B$3-100)*3)+Inputs!$B$28+Inputs!$B$29)))</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f>(1-Summary!$B$55)*T615+Summary!$B$55*V615</f>
        <v/>
      </c>
      <c r="P615">
        <f>IF(B630=0,0,O615/B630)</f>
        <v/>
      </c>
      <c r="Q615" t="n">
        <v>0</v>
      </c>
      <c r="R615" t="n">
        <v>0</v>
      </c>
      <c r="S615">
        <f>IFERROR(O615/N615,0)</f>
        <v/>
      </c>
      <c r="T615" t="n">
        <v>0</v>
      </c>
      <c r="V615" t="n">
        <v>0</v>
      </c>
    </row>
    <row r="616">
      <c r="A616">
        <f>Skills!A23</f>
        <v/>
      </c>
      <c r="B616">
        <f>Skills!B23</f>
        <v/>
      </c>
      <c r="C616">
        <f>Inputs!$B$3&gt;=120</f>
        <v/>
      </c>
      <c r="D616">
        <f>IF(Skills!C23=1,60+Inputs!$B$25+Inputs!$B$29,IF(Skills!C23=2,90+Inputs!$B$26+Inputs!$B$29,IF(Skills!C23=3,120+Inputs!$B$27+Inputs!$B$29,MAX(0,(Inputs!$B$3-100)*3)+Inputs!$B$28+Inputs!$B$29)))</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f>(1-Summary!$B$55)*T616+Summary!$B$55*V616</f>
        <v/>
      </c>
      <c r="P616">
        <f>IF(B630=0,0,O616/B630)</f>
        <v/>
      </c>
      <c r="Q616" t="n">
        <v>0</v>
      </c>
      <c r="R616" t="n">
        <v>0</v>
      </c>
      <c r="S616">
        <f>IFERROR(O616/N616,0)</f>
        <v/>
      </c>
      <c r="T616" t="n">
        <v>0</v>
      </c>
      <c r="V616" t="n">
        <v>0</v>
      </c>
    </row>
    <row r="617">
      <c r="A617">
        <f>Skills!A24</f>
        <v/>
      </c>
      <c r="B617">
        <f>Skills!B24</f>
        <v/>
      </c>
      <c r="C617">
        <f>Inputs!$B$3&gt;=120</f>
        <v/>
      </c>
      <c r="D617">
        <f>IF(Skills!C24=1,60+Inputs!$B$25+Inputs!$B$29,IF(Skills!C24=2,90+Inputs!$B$26+Inputs!$B$29,IF(Skills!C24=3,120+Inputs!$B$27+Inputs!$B$29,MAX(0,(Inputs!$B$3-100)*3)+Inputs!$B$28+Inputs!$B$29)))</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f>(1-Summary!$B$55)*T617+Summary!$B$55*V617</f>
        <v/>
      </c>
      <c r="P617">
        <f>IF(B630=0,0,O617/B630)</f>
        <v/>
      </c>
      <c r="Q617" t="n">
        <v>0</v>
      </c>
      <c r="R617" t="n">
        <v>0</v>
      </c>
      <c r="S617">
        <f>IFERROR(O617/N617,0)</f>
        <v/>
      </c>
      <c r="T617" t="n">
        <v>0</v>
      </c>
      <c r="V617" t="n">
        <v>0</v>
      </c>
    </row>
    <row r="619">
      <c r="A619" t="inlineStr">
        <is>
          <t>Attack% Bucket Multiplier</t>
        </is>
      </c>
      <c r="B619">
        <f>(1+(((C606=TRUE)*F606*MIN(1,Skills!T13*(Skills!J13/100)*B624))+((C611=TRUE)*F611*IF(AND(Inputs!$B$38&lt;&gt;"pvp",Inputs!$B$43&gt;0),(((R611-1)*(Skills!T18*(1+Inputs!$B$34/100))+MIN((Skills!T18*(1+Inputs!$B$34/100)),MAX(0,Inputs!$B$43-((R611-1)*Skills!D18))))/Inputs!$B$43),IF(Inputs!$B$38="pvp",MIN((Skills!T18*(1+Inputs!$B$34/100)),15)/15,(Skills!T18*(1+Inputs!$B$34/100))/Skills!D18)))+0)/100)</f>
        <v/>
      </c>
    </row>
    <row r="620">
      <c r="A620" t="inlineStr">
        <is>
          <t>Global Crit Rate Bonus %</t>
        </is>
      </c>
      <c r="B620" t="n">
        <v>0</v>
      </c>
    </row>
    <row r="621">
      <c r="A621" t="inlineStr">
        <is>
          <t>Attack Speed Buff Bonus %</t>
        </is>
      </c>
      <c r="B621">
        <f>((C612=TRUE)*F612*IF(AND(Inputs!$B$38&lt;&gt;"pvp",Inputs!$B$43&gt;0),(((R612-1)*(Skills!T19*(1+Inputs!$B$34/100))+MIN((Skills!T19*(1+Inputs!$B$34/100)),MAX(0,Inputs!$B$43-((R612-1)*Skills!D19))))/Inputs!$B$43),IF(Inputs!$B$38="pvp",MIN((Skills!T19*(1+Inputs!$B$34/100)),15)/15,(Skills!T19*(1+Inputs!$B$34/100))/Skills!D19)))</f>
        <v/>
      </c>
    </row>
    <row r="622">
      <c r="A622" t="inlineStr">
        <is>
          <t>Actions Per Second</t>
        </is>
      </c>
      <c r="B622">
        <f>1+MIN(150,150*(1-(1-(Inputs!$B$11+((C613=TRUE)*(F613-Calc!F20)))/150)*(1-B621/150)))/100</f>
        <v/>
      </c>
    </row>
    <row r="623">
      <c r="A623" t="inlineStr">
        <is>
          <t>Skill + Buff Cast Rate</t>
        </is>
      </c>
      <c r="B623">
        <f>IF(AND(Inputs!$B$38&lt;&gt;"pvp",Inputs!$B$43&gt;0),SUMPRODUCT((Skills!E2:E24=TRUE)*(C595:C617=TRUE)*R595:R617*Skills!F2:F24)/Inputs!$B$43,SUMPRODUCT((Skills!E2:E24=TRUE)*(C595:C617=TRUE)*Q595:Q617*Skills!F2:F24))</f>
        <v/>
      </c>
    </row>
    <row r="624">
      <c r="A624" t="inlineStr">
        <is>
          <t>Blast Casts Per Second</t>
        </is>
      </c>
      <c r="B624">
        <f>MAX(0,B622-B623)</f>
        <v/>
      </c>
    </row>
    <row r="625">
      <c r="A625" t="inlineStr">
        <is>
          <t>Global Critical Damage Bonus % (unused)</t>
        </is>
      </c>
      <c r="B625" t="n">
        <v>0</v>
      </c>
    </row>
    <row r="626">
      <c r="A626" t="inlineStr">
        <is>
          <t>Global Final Damage Bonus % (Divine Shield + Guardian + Divine Blessing + Greater Vessel of Light)</t>
        </is>
      </c>
      <c r="B626">
        <f>((C608=TRUE)*F608*IF(AND(Inputs!$B$38&lt;&gt;"pvp",Inputs!$B$43&gt;0),(((R608-1)*(Skills!T15*(1+Inputs!$B$34/100))+MIN((Skills!T15*(1+Inputs!$B$34/100)),MAX(0,Inputs!$B$43-((R608-1)*Skills!D15))))/Inputs!$B$43),IF(Inputs!$B$38="pvp",MIN((Skills!T15*(1+Inputs!$B$34/100)),15)/15,(Skills!T15*(1+Inputs!$B$34/100))/Skills!D15)))+((C609=TRUE)*F609*IF(AND(Inputs!$B$38&lt;&gt;"pvp",Inputs!$B$43&gt;0),(((R609-1)*(Skills!T16*(1+Inputs!$B$34/100))+MIN((Skills!T16*(1+Inputs!$B$34/100)),MAX(0,Inputs!$B$43-((R609-1)*Skills!D16))))/Inputs!$B$43),IF(Inputs!$B$38="pvp",MIN((Skills!T16*(1+Inputs!$B$34/100)),15)/15,(Skills!T16*(1+Inputs!$B$34/100))/Skills!D16)))+((C610=TRUE)*F610*IF(AND(Inputs!$B$38&lt;&gt;"pvp",Inputs!$B$43&gt;0),(((R610-1)*(Skills!T17*(1+Inputs!$B$34/100))+MIN((Skills!T17*(1+Inputs!$B$34/100)),MAX(0,Inputs!$B$43-((R610-1)*Skills!D17))))/Inputs!$B$43),IF(Inputs!$B$38="pvp",MIN((Skills!T17*(1+Inputs!$B$34/100)),15)/15,(Skills!T17*(1+Inputs!$B$34/100))/Skills!D17)))+((C607=TRUE)*F607*MIN(1,Skills!T13*(Skills!J13/100)*B624))</f>
        <v/>
      </c>
    </row>
    <row r="627">
      <c r="A627" t="inlineStr">
        <is>
          <t>Buff-Casting Startup Delay (s, fixed-duration only)</t>
        </is>
      </c>
      <c r="B627">
        <f>IF(AND(Inputs!$B$38&lt;&gt;"pvp",Inputs!$B$43&gt;0),SUMPRODUCT((Skills!T2:T24&gt;0)*(Skills!E2:E24=TRUE)*(C595:C617=TRUE))/B622,0)</f>
        <v/>
      </c>
    </row>
    <row r="628">
      <c r="A628" t="inlineStr">
        <is>
          <t>Boss-Only Total DPS (this block's swept value)</t>
        </is>
      </c>
      <c r="B628">
        <f>SUM(T595:T617)</f>
        <v/>
      </c>
    </row>
    <row r="629">
      <c r="A629" t="inlineStr">
        <is>
          <t>Normal-Only Total DPS (this block's swept value)</t>
        </is>
      </c>
      <c r="B629">
        <f>SUM(V595:V617)</f>
        <v/>
      </c>
    </row>
    <row r="630">
      <c r="A630" s="5" t="inlineStr">
        <is>
          <t>TOTAL DPS</t>
        </is>
      </c>
      <c r="B630" s="5">
        <f>SUM(O595:O617)</f>
        <v/>
      </c>
    </row>
    <row r="633">
      <c r="A633" s="5" t="inlineStr">
        <is>
          <t>Stat: SKILL_DAMAGE %</t>
        </is>
      </c>
    </row>
    <row r="634">
      <c r="A634" s="9" t="inlineStr">
        <is>
          <t>Key</t>
        </is>
      </c>
      <c r="B634" s="9" t="inlineStr">
        <is>
          <t>Name</t>
        </is>
      </c>
      <c r="C634" s="9" t="inlineStr">
        <is>
          <t>Unlocked</t>
        </is>
      </c>
      <c r="D634" s="9" t="inlineStr">
        <is>
          <t>InputLevel</t>
        </is>
      </c>
      <c r="E634" s="9" t="inlineStr">
        <is>
          <t>Factor</t>
        </is>
      </c>
      <c r="F634" s="9" t="inlineStr">
        <is>
          <t>CoefficientPercent</t>
        </is>
      </c>
      <c r="G634" s="9" t="inlineStr">
        <is>
          <t>EffectiveHits</t>
        </is>
      </c>
      <c r="H634" s="9" t="inlineStr">
        <is>
          <t>ProcProbability</t>
        </is>
      </c>
      <c r="I634" s="9" t="inlineStr">
        <is>
          <t>MapleHeroMultiplier</t>
        </is>
      </c>
      <c r="J634" s="9" t="inlineStr">
        <is>
          <t>BaseDamage</t>
        </is>
      </c>
      <c r="K634" s="9" t="inlineStr">
        <is>
          <t>BaseHitDamage</t>
        </is>
      </c>
      <c r="L634" s="9" t="inlineStr">
        <is>
          <t>NonCritAvg</t>
        </is>
      </c>
      <c r="M634" s="9" t="inlineStr">
        <is>
          <t>CritAvg</t>
        </is>
      </c>
      <c r="N634" s="9" t="inlineStr">
        <is>
          <t>ExpectedDamage(perHit)</t>
        </is>
      </c>
      <c r="O634" s="9" t="inlineStr">
        <is>
          <t>DPS</t>
        </is>
      </c>
      <c r="P634" s="9" t="inlineStr">
        <is>
          <t>% of Total</t>
        </is>
      </c>
      <c r="Q634" s="9" t="inlineStr">
        <is>
          <t>InvCooldown</t>
        </is>
      </c>
      <c r="R634" s="9" t="inlineStr">
        <is>
          <t>CastsInFight</t>
        </is>
      </c>
      <c r="S634" s="9"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666)/100)*(1+(IF(Skills!A2="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635)</f>
        <v/>
      </c>
      <c r="L635">
        <f>K635*(MIN(Inputs!$B$22+((C655=TRUE)*(F655-Calc!F22)),Inputs!$B$23+((C657=TRUE)*(F657-Calc!F24)))/100+(Inputs!$B$23+((C657=TRUE)*(F657-Calc!F24)))/100)/2</f>
        <v/>
      </c>
      <c r="M635">
        <f>L635*(1+(Inputs!$B$10+0+B665)/100)</f>
        <v/>
      </c>
      <c r="N635">
        <f>L635*(1-MIN((Inputs!$B$9+0+B660),100)/100)+M635*(MIN((Inputs!$B$9+0+B660),100)/100)</f>
        <v/>
      </c>
      <c r="O635">
        <f>(1-Summary!$B$55)*T635+Summary!$B$55*V635</f>
        <v/>
      </c>
      <c r="P635">
        <f>IF(B670=0,0,O635/B670)</f>
        <v/>
      </c>
      <c r="Q635" t="n">
        <v>0</v>
      </c>
      <c r="R635" t="n">
        <v>0</v>
      </c>
      <c r="S635">
        <f>IFERROR(O635/N635,0)</f>
        <v/>
      </c>
      <c r="T635">
        <f>IF(C635,(Skills!G2*N635*B664)*IF(Inputs!$B$38="pvp",1,1+(Inputs!$B$20+0+Skills!P2)/100),0)</f>
        <v/>
      </c>
      <c r="U635">
        <f>MAX(0,(Inputs!$B$3-100)*3)+Inputs!$B$28+Inputs!$B$29</f>
        <v/>
      </c>
      <c r="V635">
        <f>IF(C635,(Skills!G2*N635*B664)*IF(Inputs!$B$38="pvp",1,(1+(Inputs!$B$21+Skills!Q2)/100)*(MIN((6+Inputs!$B$33),Inputs!$B$37))),0)</f>
        <v/>
      </c>
    </row>
    <row r="636">
      <c r="A636">
        <f>Skills!A3</f>
        <v/>
      </c>
      <c r="B636">
        <f>Skills!B3</f>
        <v/>
      </c>
      <c r="C636">
        <f>Inputs!$B$3&gt;=50</f>
        <v/>
      </c>
      <c r="D636">
        <f>IF(Skills!C3=1,60+Inputs!$B$25+Inputs!$B$29,IF(Skills!C3=2,90+Inputs!$B$26+Inputs!$B$29,IF(Skills!C3=3,120+Inputs!$B$27+Inputs!$B$29,MAX(0,(Inputs!$B$3-100)*3)+Inputs!$B$28+Inputs!$B$29)))</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Inputs!$B$3&gt;=35</f>
        <v/>
      </c>
      <c r="D637">
        <f>IF(Skills!C4=1,60+Inputs!$B$25+Inputs!$B$29,IF(Skills!C4=2,90+Inputs!$B$26+Inputs!$B$29,IF(Skills!C4=3,120+Inputs!$B$27+Inputs!$B$29,MAX(0,(Inputs!$B$3-100)*3)+Inputs!$B$28+Inputs!$B$29)))</f>
        <v/>
      </c>
      <c r="E637">
        <f>INDEX(FactorTable!$B$2:$Y$301, MATCH(ROUND(MIN(300,MAX(1,D637)),0), FactorTable!$A$2:$A$301,0), Skills!M4+1)</f>
        <v/>
      </c>
      <c r="F637">
        <f>IF(Skills!N4=TRUE,(Skills!L4/10)*(E637/1000),Skills!L4/10)+Skills!O4</f>
        <v/>
      </c>
      <c r="G637">
        <f>Skills!G4*IF(Skills!H4&gt;0,Skills!I4/Skills!H4,1)</f>
        <v/>
      </c>
      <c r="H637">
        <f>1-(1-Skills!J4/100)^Skills!K4</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666)/100)*(1+4.0*IF(C645=TRUE,F645,0)/100)*(1+(IF(Skills!A4="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637)</f>
        <v/>
      </c>
      <c r="L637">
        <f>K637*(MIN(Inputs!$B$22+((C655=TRUE)*(F655-Calc!F22)),Inputs!$B$23+((C657=TRUE)*(F657-Calc!F24)))/100+(Inputs!$B$23+((C657=TRUE)*(F657-Calc!F24)))/100)/2</f>
        <v/>
      </c>
      <c r="M637">
        <f>L637*(1+(Inputs!$B$10+0+B665)/100)</f>
        <v/>
      </c>
      <c r="N637">
        <f>L637*(1-MIN((Inputs!$B$9+0+B660),100)/100)+M637*(MIN((Inputs!$B$9+0+B660),100)/100)</f>
        <v/>
      </c>
      <c r="O637">
        <f>(1-Summary!$B$55)*T637+Summary!$B$55*V637</f>
        <v/>
      </c>
      <c r="P637">
        <f>IF(B670=0,0,O637/B670)</f>
        <v/>
      </c>
      <c r="Q637">
        <f>IFERROR(1/IF(Inputs!$B$38="pvp",15,MAX(0.1,Skills!D4-IF(Skills!E4=TRUE,Inputs!$B$32,0))),0)</f>
        <v/>
      </c>
      <c r="R637">
        <f>IF(AND(Inputs!$B$38&lt;&gt;"pvp",Inputs!$B$43&gt;0),IF(MAX(0,Inputs!$B$43-B667)&lt;=0,0,(INT(MAX(0,Inputs!$B$43-B667)/IF(Inputs!$B$38="pvp",15,MAX(0.1,Skills!D4-IF(Skills!E4=TRUE,Inputs!$B$32,0))))+1)),0)</f>
        <v/>
      </c>
      <c r="S637">
        <f>IFERROR(O637/N637,0)</f>
        <v/>
      </c>
      <c r="T637">
        <f>IF(C637,(H637*N637*IF(AND(Inputs!$B$38&lt;&gt;"pvp",Inputs!$B$43&gt;0),((Skills!G4*((R637-1)*IF(Skills!H4&gt;0,Skills!I4/Skills!H4,1)+IF(Skills!H4&gt;0,MIN(Skills!I4,MAX(0,MAX(0,Inputs!$B$43-B667)-((R637-1)*IF(Inputs!$B$38="pvp",15,MAX(0.1,Skills!D4-IF(Skills!E4=TRUE,Inputs!$B$32,0))))))/Skills!H4,1)))/Inputs!$B$43),G637*Q637))*IF(Inputs!$B$38="pvp",1,1+(Inputs!$B$20+0+Skills!P4)/100),0)</f>
        <v/>
      </c>
      <c r="U637">
        <f>290*U636/1000</f>
        <v/>
      </c>
      <c r="V637">
        <f>IF(C637,(H637*N637*IF(AND(Inputs!$B$38&lt;&gt;"pvp",Inputs!$B$43&gt;0),((Skills!G4*((R637-1)*IF(Skills!H4&gt;0,Skills!I4/Skills!H4,1)+IF(Skills!H4&gt;0,MIN(Skills!I4,MAX(0,MAX(0,Inputs!$B$43-B667)-((R637-1)*IF(Inputs!$B$38="pvp",15,MAX(0.1,Skills!D4-IF(Skills!E4=TRUE,Inputs!$B$32,0))))))/Skills!H4,1)))/Inputs!$B$43),G637*Q637))*IF(Inputs!$B$38="pvp",1,(1+(Inputs!$B$21+Skills!Q4)/100)*(MIN(Skills!R4,Inputs!$B$37))),0)</f>
        <v/>
      </c>
    </row>
    <row r="638">
      <c r="A638">
        <f>Skills!A5</f>
        <v/>
      </c>
      <c r="B638">
        <f>Skills!B5</f>
        <v/>
      </c>
      <c r="C638">
        <f>Inputs!$B$3&gt;=66</f>
        <v/>
      </c>
      <c r="D638">
        <f>IF(Skills!C5=1,60+Inputs!$B$25+Inputs!$B$29,IF(Skills!C5=2,90+Inputs!$B$26+Inputs!$B$29,IF(Skills!C5=3,120+Inputs!$B$27+Inputs!$B$29,MAX(0,(Inputs!$B$3-100)*3)+Inputs!$B$28+Inputs!$B$29)))</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666)/100)*(1+1.0*IF(C645=TRUE,F645,0)/100)*(1+(IF(Skills!A5="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638)</f>
        <v/>
      </c>
      <c r="L638">
        <f>K638*(MIN(Inputs!$B$22+((C655=TRUE)*(F655-Calc!F22)),Inputs!$B$23+((C657=TRUE)*(F657-Calc!F24)))/100+(Inputs!$B$23+((C657=TRUE)*(F657-Calc!F24)))/100)/2</f>
        <v/>
      </c>
      <c r="M638">
        <f>L638*(1+(Inputs!$B$10+0+B665)/100)</f>
        <v/>
      </c>
      <c r="N638">
        <f>L638*(1-MIN((Inputs!$B$9+0+B660),100)/100)+M638*(MIN((Inputs!$B$9+0+B660),100)/100)</f>
        <v/>
      </c>
      <c r="O638">
        <f>(1-Summary!$B$55)*T638+Summary!$B$55*V638</f>
        <v/>
      </c>
      <c r="P638">
        <f>IF(B670=0,0,O638/B670)</f>
        <v/>
      </c>
      <c r="Q638">
        <f>IFERROR(1/IF(Inputs!$B$38="pvp",15,MAX(0.1,Skills!D5-IF(Skills!E5=TRUE,Inputs!$B$32,0))),0)</f>
        <v/>
      </c>
      <c r="R638">
        <f>IF(AND(Inputs!$B$38&lt;&gt;"pvp",Inputs!$B$43&gt;0),IF(MAX(0,Inputs!$B$43-B667)&lt;=0,0,(INT(MAX(0,Inputs!$B$43-B667)/IF(Inputs!$B$38="pvp",15,MAX(0.1,Skills!D5-IF(Skills!E5=TRUE,Inputs!$B$32,0))))+1)),0)</f>
        <v/>
      </c>
      <c r="S638">
        <f>IFERROR(O638/N638,0)</f>
        <v/>
      </c>
      <c r="T638">
        <f>IF(C638,(H638*N638*IF(AND(Inputs!$B$38&lt;&gt;"pvp",Inputs!$B$43&gt;0),((Skills!G5*((R638-1)*IF(Skills!H5&gt;0,Skills!I5/Skills!H5,1)+IF(Skills!H5&gt;0,MIN(Skills!I5,MAX(0,MAX(0,Inputs!$B$43-B667)-((R638-1)*IF(Inputs!$B$38="pvp",15,MAX(0.1,Skills!D5-IF(Skills!E5=TRUE,Inputs!$B$32,0))))))/Skills!H5,1)))/Inputs!$B$43),G638*Q638))*IF(Inputs!$B$38="pvp",1,1+(Inputs!$B$20+0+Skills!P5)/100),0)</f>
        <v/>
      </c>
      <c r="V638">
        <f>IF(C638,(H638*N638*IF(AND(Inputs!$B$38&lt;&gt;"pvp",Inputs!$B$43&gt;0),((Skills!G5*((R638-1)*IF(Skills!H5&gt;0,Skills!I5/Skills!H5,1)+IF(Skills!H5&gt;0,MIN(Skills!I5,MAX(0,MAX(0,Inputs!$B$43-B667)-((R638-1)*IF(Inputs!$B$38="pvp",15,MAX(0.1,Skills!D5-IF(Skills!E5=TRUE,Inputs!$B$32,0))))))/Skills!H5,1)))/Inputs!$B$43),G638*Q638))*IF(Inputs!$B$38="pvp",1,(1+(Inputs!$B$21+Skills!Q5)/100)*(MIN(Skills!R5,Inputs!$B$37))),0)</f>
        <v/>
      </c>
    </row>
    <row r="639">
      <c r="A639">
        <f>Skills!A6</f>
        <v/>
      </c>
      <c r="B639">
        <f>Skills!B6</f>
        <v/>
      </c>
      <c r="C639">
        <f>Inputs!$B$3&gt;=103</f>
        <v/>
      </c>
      <c r="D639">
        <f>IF(Skills!C6=1,60+Inputs!$B$25+Inputs!$B$29,IF(Skills!C6=2,90+Inputs!$B$26+Inputs!$B$29,IF(Skills!C6=3,120+Inputs!$B$27+Inputs!$B$29,MAX(0,(Inputs!$B$3-100)*3)+Inputs!$B$28+Inputs!$B$29)))</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666)/100)*(1+(IF(Skills!A6="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639)</f>
        <v/>
      </c>
      <c r="L639">
        <f>K639*(MIN(Inputs!$B$22+((C655=TRUE)*(F655-Calc!F22)),Inputs!$B$23+((C657=TRUE)*(F657-Calc!F24)))/100+(Inputs!$B$23+((C657=TRUE)*(F657-Calc!F24)))/100)/2</f>
        <v/>
      </c>
      <c r="M639">
        <f>L639*(1+(Inputs!$B$10+0+B665)/100)</f>
        <v/>
      </c>
      <c r="N639">
        <f>L639*(1-MIN((Inputs!$B$9+0+B660),100)/100)+M639*(MIN((Inputs!$B$9+0+B660),100)/100)</f>
        <v/>
      </c>
      <c r="O639">
        <f>(1-Summary!$B$55)*T639+Summary!$B$55*V639</f>
        <v/>
      </c>
      <c r="P639">
        <f>IF(B670=0,0,O639/B670)</f>
        <v/>
      </c>
      <c r="Q639">
        <f>IFERROR(1/IF(Inputs!$B$38="pvp",15,MAX(0.1,Skills!D6-IF(Skills!E6=TRUE,Inputs!$B$32,0))),0)</f>
        <v/>
      </c>
      <c r="R639">
        <f>IF(AND(Inputs!$B$38&lt;&gt;"pvp",Inputs!$B$43&gt;0),IF(MAX(0,Inputs!$B$43-B667)&lt;=0,0,(INT(MAX(0,Inputs!$B$43-B667)/IF(Inputs!$B$38="pvp",15,MAX(0.1,Skills!D6-IF(Skills!E6=TRUE,Inputs!$B$32,0))))+1)),0)</f>
        <v/>
      </c>
      <c r="S639">
        <f>IFERROR(O639/N639,0)</f>
        <v/>
      </c>
      <c r="T639">
        <f>IF(C639,(H639*N639*IF(AND(Inputs!$B$38&lt;&gt;"pvp",Inputs!$B$43&gt;0),((Skills!G6*((R639-1)*IF(Skills!H6&gt;0,Skills!I6/Skills!H6,1)+IF(Skills!H6&gt;0,MIN(Skills!I6,MAX(0,MAX(0,Inputs!$B$43-B667)-((R639-1)*IF(Inputs!$B$38="pvp",15,MAX(0.1,Skills!D6-IF(Skills!E6=TRUE,Inputs!$B$32,0))))))/Skills!H6,1)))/Inputs!$B$43),G639*Q639))*IF(Inputs!$B$38="pvp",1,1+(Inputs!$B$20+0+Skills!P6)/100),0)</f>
        <v/>
      </c>
      <c r="V639">
        <f>IF(C639,(H639*N639*IF(AND(Inputs!$B$38&lt;&gt;"pvp",Inputs!$B$43&gt;0),((Skills!G6*((R639-1)*IF(Skills!H6&gt;0,Skills!I6/Skills!H6,1)+IF(Skills!H6&gt;0,MIN(Skills!I6,MAX(0,MAX(0,Inputs!$B$43-B667)-((R639-1)*IF(Inputs!$B$38="pvp",15,MAX(0.1,Skills!D6-IF(Skills!E6=TRUE,Inputs!$B$32,0))))))/Skills!H6,1)))/Inputs!$B$43),G639*Q639))*IF(Inputs!$B$38="pvp",1,(1+(Inputs!$B$21+Skills!Q6)/100)*(MIN(Skills!R6,Inputs!$B$37))),0)</f>
        <v/>
      </c>
    </row>
    <row r="640">
      <c r="A640">
        <f>Skills!A7</f>
        <v/>
      </c>
      <c r="B640">
        <f>Skills!B7</f>
        <v/>
      </c>
      <c r="C640">
        <f>Inputs!$B$3&gt;=107</f>
        <v/>
      </c>
      <c r="D640">
        <f>IF(Skills!C7=1,60+Inputs!$B$25+Inputs!$B$29,IF(Skills!C7=2,90+Inputs!$B$26+Inputs!$B$29,IF(Skills!C7=3,120+Inputs!$B$27+Inputs!$B$29,MAX(0,(Inputs!$B$3-100)*3)+Inputs!$B$28+Inputs!$B$29)))</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666)/100)*(1+(IF(Skills!A7="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640)</f>
        <v/>
      </c>
      <c r="L640">
        <f>K640*(MIN(Inputs!$B$22+((C655=TRUE)*(F655-Calc!F22)),Inputs!$B$23+((C657=TRUE)*(F657-Calc!F24)))/100+(Inputs!$B$23+((C657=TRUE)*(F657-Calc!F24)))/100)/2</f>
        <v/>
      </c>
      <c r="M640">
        <f>L640*(1+(Inputs!$B$10+0+B665)/100)</f>
        <v/>
      </c>
      <c r="N640">
        <f>L640*(1-MIN((Inputs!$B$9+0+B660),100)/100)+M640*(MIN((Inputs!$B$9+0+B660),100)/100)</f>
        <v/>
      </c>
      <c r="O640">
        <f>(1-Summary!$B$55)*T640+Summary!$B$55*V640</f>
        <v/>
      </c>
      <c r="P640">
        <f>IF(B670=0,0,O640/B670)</f>
        <v/>
      </c>
      <c r="Q640">
        <f>IFERROR(1/IF(Inputs!$B$38="pvp",15,MAX(0.1,Skills!D7-IF(Skills!E7=TRUE,Inputs!$B$32,0))),0)</f>
        <v/>
      </c>
      <c r="R640">
        <f>IF(AND(Inputs!$B$38&lt;&gt;"pvp",Inputs!$B$43&gt;0),IF(MAX(0,Inputs!$B$43-B667)&lt;=0,0,(INT(MAX(0,Inputs!$B$43-B667)/IF(Inputs!$B$38="pvp",15,MAX(0.1,Skills!D7-IF(Skills!E7=TRUE,Inputs!$B$32,0))))+1)),0)</f>
        <v/>
      </c>
      <c r="S640">
        <f>IFERROR(O640/N640,0)</f>
        <v/>
      </c>
      <c r="T640">
        <f>IF(C640,(H640*N640*IF(AND(Inputs!$B$38&lt;&gt;"pvp",Inputs!$B$43&gt;0),((Skills!G7*((R640-1)*IF(Skills!H7&gt;0,Skills!I7/Skills!H7,1)+IF(Skills!H7&gt;0,MIN(Skills!I7,MAX(0,MAX(0,Inputs!$B$43-B667)-((R640-1)*IF(Inputs!$B$38="pvp",15,MAX(0.1,Skills!D7-IF(Skills!E7=TRUE,Inputs!$B$32,0))))))/Skills!H7,1)))/Inputs!$B$43),G640*Q640))*IF(Inputs!$B$38="pvp",1,1+(Inputs!$B$20+0+Skills!P7)/100),0)</f>
        <v/>
      </c>
      <c r="V640">
        <f>IF(C640,(H640*N640*IF(AND(Inputs!$B$38&lt;&gt;"pvp",Inputs!$B$43&gt;0),((Skills!G7*((R640-1)*IF(Skills!H7&gt;0,Skills!I7/Skills!H7,1)+IF(Skills!H7&gt;0,MIN(Skills!I7,MAX(0,MAX(0,Inputs!$B$43-B667)-((R640-1)*IF(Inputs!$B$38="pvp",15,MAX(0.1,Skills!D7-IF(Skills!E7=TRUE,Inputs!$B$32,0))))))/Skills!H7,1)))/Inputs!$B$43),G640*Q640))*IF(Inputs!$B$38="pvp",1,(1+(Inputs!$B$21+Skills!Q7)/100)*(MIN(Skills!R7,Inputs!$B$37))),0)</f>
        <v/>
      </c>
    </row>
    <row r="641">
      <c r="A641">
        <f>Skills!A8</f>
        <v/>
      </c>
      <c r="B641">
        <f>Skills!B8</f>
        <v/>
      </c>
      <c r="C641">
        <f>Inputs!$B$3&gt;=107</f>
        <v/>
      </c>
      <c r="D641">
        <f>IF(Skills!C8=1,60+Inputs!$B$25+Inputs!$B$29,IF(Skills!C8=2,90+Inputs!$B$26+Inputs!$B$29,IF(Skills!C8=3,120+Inputs!$B$27+Inputs!$B$29,MAX(0,(Inputs!$B$3-100)*3)+Inputs!$B$28+Inputs!$B$29)))</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666)/100)*(1+(IF(Skills!A8="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641)</f>
        <v/>
      </c>
      <c r="L641">
        <f>K641*(MIN(Inputs!$B$22+((C655=TRUE)*(F655-Calc!F22)),Inputs!$B$23+((C657=TRUE)*(F657-Calc!F24)))/100+(Inputs!$B$23+((C657=TRUE)*(F657-Calc!F24)))/100)/2</f>
        <v/>
      </c>
      <c r="M641">
        <f>L641*(1+(Inputs!$B$10+0+B665)/100)</f>
        <v/>
      </c>
      <c r="N641">
        <f>L641*(1-MIN((Inputs!$B$9+0+B660),100)/100)+M641*(MIN((Inputs!$B$9+0+B660),100)/100)</f>
        <v/>
      </c>
      <c r="O641">
        <f>(1-Summary!$B$55)*T641+Summary!$B$55*V641</f>
        <v/>
      </c>
      <c r="P641">
        <f>IF(B670=0,0,O641/B670)</f>
        <v/>
      </c>
      <c r="Q641">
        <f>IFERROR(1/IF(Inputs!$B$38="pvp",15,MAX(0.1,Skills!D8-IF(Skills!E8=TRUE,Inputs!$B$32,0))),0)</f>
        <v/>
      </c>
      <c r="R641">
        <f>IF(AND(Inputs!$B$38&lt;&gt;"pvp",Inputs!$B$43&gt;0),IF(MAX(0,Inputs!$B$43-B667)&lt;=0,0,(INT(MAX(0,Inputs!$B$43-B667)/IF(Inputs!$B$38="pvp",15,MAX(0.1,Skills!D8-IF(Skills!E8=TRUE,Inputs!$B$32,0))))+1)),0)</f>
        <v/>
      </c>
      <c r="S641">
        <f>IFERROR(O641/N641,0)</f>
        <v/>
      </c>
      <c r="T641">
        <f>IF(C641,(H641*N641*IF(AND(Inputs!$B$38&lt;&gt;"pvp",Inputs!$B$43&gt;0),((Skills!G8*((R641-1)*IF(Skills!H8&gt;0,Skills!I8/Skills!H8,1)+IF(Skills!H8&gt;0,MIN(Skills!I8,MAX(0,MAX(0,Inputs!$B$43-B667)-((R641-1)*IF(Inputs!$B$38="pvp",15,MAX(0.1,Skills!D8-IF(Skills!E8=TRUE,Inputs!$B$32,0))))))/Skills!H8,1)))/Inputs!$B$43),G641*Q641))*IF(Inputs!$B$38="pvp",1,1+(Inputs!$B$20+0+Skills!P8)/100),0)</f>
        <v/>
      </c>
      <c r="V641">
        <f>IF(C641,(H641*N641*IF(AND(Inputs!$B$38&lt;&gt;"pvp",Inputs!$B$43&gt;0),((Skills!G8*((R641-1)*IF(Skills!H8&gt;0,Skills!I8/Skills!H8,1)+IF(Skills!H8&gt;0,MIN(Skills!I8,MAX(0,MAX(0,Inputs!$B$43-B667)-((R641-1)*IF(Inputs!$B$38="pvp",15,MAX(0.1,Skills!D8-IF(Skills!E8=TRUE,Inputs!$B$32,0))))))/Skills!H8,1)))/Inputs!$B$43),G641*Q641))*IF(Inputs!$B$38="pvp",1,(1+(Inputs!$B$21+Skills!Q8)/100)*(MIN(Skills!R8,Inputs!$B$37))),0)</f>
        <v/>
      </c>
    </row>
    <row r="642">
      <c r="A642">
        <f>Skills!A9</f>
        <v/>
      </c>
      <c r="B642">
        <f>Skills!B9</f>
        <v/>
      </c>
      <c r="C642">
        <f>Inputs!$B$3&gt;=125</f>
        <v/>
      </c>
      <c r="D642">
        <f>IF(Skills!C9=1,60+Inputs!$B$25+Inputs!$B$29,IF(Skills!C9=2,90+Inputs!$B$26+Inputs!$B$29,IF(Skills!C9=3,120+Inputs!$B$27+Inputs!$B$29,MAX(0,(Inputs!$B$3-100)*3)+Inputs!$B$28+Inputs!$B$29)))</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666)/100)*(1+(IF(Skills!A9="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642)</f>
        <v/>
      </c>
      <c r="L642">
        <f>K642*(MIN(Inputs!$B$22+((C655=TRUE)*(F655-Calc!F22)),Inputs!$B$23+((C657=TRUE)*(F657-Calc!F24)))/100+(Inputs!$B$23+((C657=TRUE)*(F657-Calc!F24)))/100)/2</f>
        <v/>
      </c>
      <c r="M642">
        <f>L642*(1+(Inputs!$B$10+0+B665)/100)</f>
        <v/>
      </c>
      <c r="N642">
        <f>L642*(1-MIN((Inputs!$B$9+0+B660),100)/100)+M642*(MIN((Inputs!$B$9+0+B660),100)/100)</f>
        <v/>
      </c>
      <c r="O642">
        <f>(1-Summary!$B$55)*T642+Summary!$B$55*V642</f>
        <v/>
      </c>
      <c r="P642">
        <f>IF(B670=0,0,O642/B670)</f>
        <v/>
      </c>
      <c r="Q642">
        <f>IFERROR(1/IF(Inputs!$B$38="pvp",15,MAX(0.1,Skills!D9-IF(Skills!E9=TRUE,Inputs!$B$32,0))),0)</f>
        <v/>
      </c>
      <c r="R642">
        <f>IF(AND(Inputs!$B$38&lt;&gt;"pvp",Inputs!$B$43&gt;0),IF(MAX(0,Inputs!$B$43-B667)&lt;=0,0,(INT(MAX(0,Inputs!$B$43-B667)/IF(Inputs!$B$38="pvp",15,MAX(0.1,Skills!D9-IF(Skills!E9=TRUE,Inputs!$B$32,0))))+1)),0)</f>
        <v/>
      </c>
      <c r="S642">
        <f>IFERROR(O642/N642,0)</f>
        <v/>
      </c>
      <c r="T642">
        <f>IF(C642,(H642*N642*IF(AND(Inputs!$B$38&lt;&gt;"pvp",Inputs!$B$43&gt;0),((Skills!G9*((R642-1)*IF(Skills!H9&gt;0,Skills!I9/Skills!H9,1)+IF(Skills!H9&gt;0,MIN(Skills!I9,MAX(0,MAX(0,Inputs!$B$43-B667)-((R642-1)*IF(Inputs!$B$38="pvp",15,MAX(0.1,Skills!D9-IF(Skills!E9=TRUE,Inputs!$B$32,0))))))/Skills!H9,1)))/Inputs!$B$43),G642*Q642))*IF(Inputs!$B$38="pvp",1,1+(Inputs!$B$20+0+Skills!P9)/100),0)</f>
        <v/>
      </c>
      <c r="V642">
        <f>IF(C642,(H642*N642*IF(AND(Inputs!$B$38&lt;&gt;"pvp",Inputs!$B$43&gt;0),((Skills!G9*((R642-1)*IF(Skills!H9&gt;0,Skills!I9/Skills!H9,1)+IF(Skills!H9&gt;0,MIN(Skills!I9,MAX(0,MAX(0,Inputs!$B$43-B667)-((R642-1)*IF(Inputs!$B$38="pvp",15,MAX(0.1,Skills!D9-IF(Skills!E9=TRUE,Inputs!$B$32,0))))))/Skills!H9,1)))/Inputs!$B$43),G642*Q642))*IF(Inputs!$B$38="pvp",1,(1+(Inputs!$B$21+Skills!Q9)/100)*(MIN(Skills!R9,Inputs!$B$37))),0)</f>
        <v/>
      </c>
    </row>
    <row r="643">
      <c r="A643">
        <f>Skills!A10</f>
        <v/>
      </c>
      <c r="B643">
        <f>Skills!B10</f>
        <v/>
      </c>
      <c r="C643">
        <f>Inputs!$B$3&gt;=117</f>
        <v/>
      </c>
      <c r="D643">
        <f>IF(Skills!C10=1,60+Inputs!$B$25+Inputs!$B$29,IF(Skills!C10=2,90+Inputs!$B$26+Inputs!$B$29,IF(Skills!C10=3,120+Inputs!$B$27+Inputs!$B$29,MAX(0,(Inputs!$B$3-100)*3)+Inputs!$B$28+Inputs!$B$29)))</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((Inputs!$B$6*(1+Inputs!$B$7/100))+(((Inputs!$B$12*(1+Inputs!$B$13/100))-(Inputs!$B$12*(1+Inputs!$B$13/100)))+0.25*(Inputs!$B$14-Inputs!$B$14))*(1+Inputs!$B$7/100))*(F643/100)</f>
        <v/>
      </c>
      <c r="K643">
        <f>J643*(1+((Inputs!$B$12*(1+Inputs!$B$13/100))*0.01+Inputs!$B$14*0.0025)/100)*(1+Inputs!$B$15/100)*(1+Inputs!$B$16/100)*(5000/(6000+Inputs!$B$42*(1-(Inputs!$B$19+0)/100)))*(1+(Inputs!$B$24+0+B666)/100)*(1+(IF(Skills!A10="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643)</f>
        <v/>
      </c>
      <c r="L643">
        <f>K643*(MIN(Inputs!$B$22+((C655=TRUE)*(F655-Calc!F22)),Inputs!$B$23+((C657=TRUE)*(F657-Calc!F24)))/100+(Inputs!$B$23+((C657=TRUE)*(F657-Calc!F24)))/100)/2</f>
        <v/>
      </c>
      <c r="M643">
        <f>L643*(1+(Inputs!$B$10+0+B665)/100)</f>
        <v/>
      </c>
      <c r="N643">
        <f>L643*(1-MIN((Inputs!$B$9+0+B660),100)/100)+M643*(MIN((Inputs!$B$9+0+B660),100)/100)</f>
        <v/>
      </c>
      <c r="O643">
        <f>(1-Summary!$B$55)*T643+Summary!$B$55*V643</f>
        <v/>
      </c>
      <c r="P643">
        <f>IF(B670=0,0,O643/B670)</f>
        <v/>
      </c>
      <c r="Q643">
        <f>IFERROR(1/IF(Inputs!$B$38="pvp",15,MAX(0.1,Skills!D10-IF(Skills!E10=TRUE,Inputs!$B$32,0))),0)</f>
        <v/>
      </c>
      <c r="R643">
        <f>IF(AND(Inputs!$B$38&lt;&gt;"pvp",Inputs!$B$43&gt;0),IF(MAX(0,Inputs!$B$43-B667)&lt;=0,0,(INT(MAX(0,Inputs!$B$43-B667)/IF(Inputs!$B$38="pvp",15,MAX(0.1,Skills!D10-IF(Skills!E10=TRUE,Inputs!$B$32,0))))+1)),0)</f>
        <v/>
      </c>
      <c r="S643">
        <f>IFERROR(O643/N643,0)</f>
        <v/>
      </c>
      <c r="T643">
        <f>IF(C643,(H643*N643*IF(AND(Inputs!$B$38&lt;&gt;"pvp",Inputs!$B$43&gt;0),((Skills!G10*((R643-1)*IF(Skills!H10&gt;0,Skills!I10/Skills!H10,1)+IF(Skills!H10&gt;0,MIN(Skills!I10,MAX(0,MAX(0,Inputs!$B$43-B667)-((R643-1)*IF(Inputs!$B$38="pvp",15,MAX(0.1,Skills!D10-IF(Skills!E10=TRUE,Inputs!$B$32,0))))))/Skills!H10,1)))/Inputs!$B$43),G643*Q643))*IF(Inputs!$B$38="pvp",1,1+(Inputs!$B$20+0+Skills!P10)/100),0)</f>
        <v/>
      </c>
      <c r="V643">
        <f>IF(C643,(H643*N643*IF(AND(Inputs!$B$38&lt;&gt;"pvp",Inputs!$B$43&gt;0),((Skills!G10*((R643-1)*IF(Skills!H10&gt;0,Skills!I10/Skills!H10,1)+IF(Skills!H10&gt;0,MIN(Skills!I10,MAX(0,MAX(0,Inputs!$B$43-B667)-((R643-1)*IF(Inputs!$B$38="pvp",15,MAX(0.1,Skills!D10-IF(Skills!E10=TRUE,Inputs!$B$32,0))))))/Skills!H10,1)))/Inputs!$B$43),G643*Q643))*IF(Inputs!$B$38="pvp",1,(1+(Inputs!$B$21+Skills!Q10)/100)*(MIN(Skills!R10,Inputs!$B$37))),0)</f>
        <v/>
      </c>
    </row>
    <row r="644">
      <c r="A644">
        <f>Skills!A11</f>
        <v/>
      </c>
      <c r="B644">
        <f>Skills!B11</f>
        <v/>
      </c>
      <c r="C644">
        <f>Inputs!$B$3&gt;=63</f>
        <v/>
      </c>
      <c r="D644">
        <f>IF(Skills!C11=1,60+Inputs!$B$25+Inputs!$B$29,IF(Skills!C11=2,90+Inputs!$B$26+Inputs!$B$29,IF(Skills!C11=3,120+Inputs!$B$27+Inputs!$B$29,MAX(0,(Inputs!$B$3-100)*3)+Inputs!$B$28+Inputs!$B$29)))</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((Inputs!$B$6*(1+Inputs!$B$7/100))+(((Inputs!$B$12*(1+Inputs!$B$13/100))-(Inputs!$B$12*(1+Inputs!$B$13/100)))+0.25*(Inputs!$B$14-Inputs!$B$14))*(1+Inputs!$B$7/100))*(F644/100)</f>
        <v/>
      </c>
      <c r="K644">
        <f>J644*(1+((Inputs!$B$12*(1+Inputs!$B$13/100))*0.01+Inputs!$B$14*0.0025)/100)*(1+Inputs!$B$15/100)*(1+Inputs!$B$16/100)*(5000/(6000+Inputs!$B$42*(1-(Inputs!$B$19+0)/100)))*(1+(Inputs!$B$24+0+B666)/100)*(1+1.5*IF(C645=TRUE,F645,0)/100)*(1+(IF(Skills!A11="BLAST",Inputs!$B$17+((C654=TRUE)*(F654-Calc!F21)),(Inputs!$B$18+1)+((C656=TRUE)*(F656-Calc!F23))))/100)*((1+(((C646=TRUE)*F646*MIN(1,Skills!T13*(Skills!J13/100)*B664))+((C651=TRUE)*F651*IF(AND(Inputs!$B$38&lt;&gt;"pvp",Inputs!$B$43&gt;0),(((R651-1)*(Skills!T18*(1+Inputs!$B$34/100))+MIN((Skills!T18*(1+Inputs!$B$34/100)),MAX(0,Inputs!$B$43-((R651-1)*Skills!D18))))/Inputs!$B$43),IF(Inputs!$B$38="pvp",MIN((Skills!T18*(1+Inputs!$B$34/100)),15)/15,(Skills!T18*(1+Inputs!$B$34/100))/Skills!D18)))+0)/100)*I644)</f>
        <v/>
      </c>
      <c r="L644">
        <f>K644*(MIN(Inputs!$B$22+((C655=TRUE)*(F655-Calc!F22)),Inputs!$B$23+((C657=TRUE)*(F657-Calc!F24)))/100+(Inputs!$B$23+((C657=TRUE)*(F657-Calc!F24)))/100)/2</f>
        <v/>
      </c>
      <c r="M644">
        <f>L644*(1+(Inputs!$B$10+0+B665)/100)</f>
        <v/>
      </c>
      <c r="N644">
        <f>L644*(1-MIN((Inputs!$B$9+0+B660),100)/100)+M644*(MIN((Inputs!$B$9+0+B660),100)/100)</f>
        <v/>
      </c>
      <c r="O644">
        <f>(1-Summary!$B$55)*T644+Summary!$B$55*V644</f>
        <v/>
      </c>
      <c r="P644">
        <f>IF(B670=0,0,O644/B670)</f>
        <v/>
      </c>
      <c r="Q644">
        <f>IFERROR(1/IF(Inputs!$B$38="pvp",15,MAX(0.1,Skills!D11-IF(Skills!E11=TRUE,Inputs!$B$32,0))),0)</f>
        <v/>
      </c>
      <c r="R644">
        <f>IF(AND(Inputs!$B$38&lt;&gt;"pvp",Inputs!$B$43&gt;0),IF(MAX(0,Inputs!$B$43-B667)&lt;=0,0,(INT(MAX(0,Inputs!$B$43-B667)/IF(Inputs!$B$38="pvp",15,MAX(0.1,Skills!D11-IF(Skills!E11=TRUE,Inputs!$B$32,0))))+1)),0)</f>
        <v/>
      </c>
      <c r="S644">
        <f>IFERROR(O644/N644,0)</f>
        <v/>
      </c>
      <c r="T644">
        <f>IF(C644,(H644*N644*IF(AND(Inputs!$B$38&lt;&gt;"pvp",Inputs!$B$43&gt;0),((Skills!G11*((R644-1)*IF(Skills!H11&gt;0,Skills!I11/Skills!H11,1)+IF(Skills!H11&gt;0,MIN(Skills!I11,MAX(0,MAX(0,Inputs!$B$43-B667)-((R644-1)*IF(Inputs!$B$38="pvp",15,MAX(0.1,Skills!D11-IF(Skills!E11=TRUE,Inputs!$B$32,0))))))/Skills!H11,1)))/Inputs!$B$43),G644*Q644))*IF(Inputs!$B$38="pvp",1,1+(Inputs!$B$20+0+Skills!P11)/100),0)</f>
        <v/>
      </c>
      <c r="V644">
        <f>IF(C644,(H644*N644*IF(AND(Inputs!$B$38&lt;&gt;"pvp",Inputs!$B$43&gt;0),((Skills!G11*((R644-1)*IF(Skills!H11&gt;0,Skills!I11/Skills!H11,1)+IF(Skills!H11&gt;0,MIN(Skills!I11,MAX(0,MAX(0,Inputs!$B$43-B667)-((R644-1)*IF(Inputs!$B$38="pvp",15,MAX(0.1,Skills!D11-IF(Skills!E11=TRUE,Inputs!$B$32,0))))))/Skills!H11,1)))/Inputs!$B$43),G644*Q644))*IF(Inputs!$B$38="pvp",1,(1+(Inputs!$B$21+Skills!Q11)/100)*(MIN(Skills!R11,Inputs!$B$37))),0)</f>
        <v/>
      </c>
    </row>
    <row r="645">
      <c r="A645">
        <f>Skills!A12</f>
        <v/>
      </c>
      <c r="B645">
        <f>Skills!B12</f>
        <v/>
      </c>
      <c r="C645">
        <f>Inputs!$B$3&gt;=100</f>
        <v/>
      </c>
      <c r="D645">
        <f>IF(Skills!C12=1,60+Inputs!$B$25+Inputs!$B$29,IF(Skills!C12=2,90+Inputs!$B$26+Inputs!$B$29,IF(Skills!C12=3,120+Inputs!$B$27+Inputs!$B$29,MAX(0,(Inputs!$B$3-100)*3)+Inputs!$B$28+Inputs!$B$29)))</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IF(Skills!C13=1,60+Inputs!$B$25+Inputs!$B$29,IF(Skills!C13=2,90+Inputs!$B$26+Inputs!$B$29,IF(Skills!C13=3,120+Inputs!$B$27+Inputs!$B$29,MAX(0,(Inputs!$B$3-100)*3)+Inputs!$B$28+Inputs!$B$29)))</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f>(1-Summary!$B$55)*T646+Summary!$B$55*V646</f>
        <v/>
      </c>
      <c r="P646">
        <f>IF(B670=0,0,O646/B670)</f>
        <v/>
      </c>
      <c r="Q646" t="n">
        <v>0</v>
      </c>
      <c r="R646" t="n">
        <v>0</v>
      </c>
      <c r="S646">
        <f>IFERROR(O646/N646,0)</f>
        <v/>
      </c>
      <c r="T646" t="n">
        <v>0</v>
      </c>
      <c r="V646" t="n">
        <v>0</v>
      </c>
    </row>
    <row r="647">
      <c r="A647">
        <f>Skills!A14</f>
        <v/>
      </c>
      <c r="B647">
        <f>Skills!B14</f>
        <v/>
      </c>
      <c r="C647">
        <f>Inputs!$B$3&gt;=110</f>
        <v/>
      </c>
      <c r="D647">
        <f>IF(Skills!C14=1,60+Inputs!$B$25+Inputs!$B$29,IF(Skills!C14=2,90+Inputs!$B$26+Inputs!$B$29,IF(Skills!C14=3,120+Inputs!$B$27+Inputs!$B$29,MAX(0,(Inputs!$B$3-100)*3)+Inputs!$B$28+Inputs!$B$29)))</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f>(1-Summary!$B$55)*T647+Summary!$B$55*V647</f>
        <v/>
      </c>
      <c r="P647">
        <f>IF(B670=0,0,O647/B670)</f>
        <v/>
      </c>
      <c r="Q647" t="n">
        <v>0</v>
      </c>
      <c r="R647" t="n">
        <v>0</v>
      </c>
      <c r="S647">
        <f>IFERROR(O647/N647,0)</f>
        <v/>
      </c>
      <c r="T647" t="n">
        <v>0</v>
      </c>
      <c r="V647" t="n">
        <v>0</v>
      </c>
    </row>
    <row r="648">
      <c r="A648">
        <f>Skills!A15</f>
        <v/>
      </c>
      <c r="B648">
        <f>Skills!B15</f>
        <v/>
      </c>
      <c r="C648">
        <f>Inputs!$B$3&gt;=75</f>
        <v/>
      </c>
      <c r="D648">
        <f>IF(Skills!C15=1,60+Inputs!$B$25+Inputs!$B$29,IF(Skills!C15=2,90+Inputs!$B$26+Inputs!$B$29,IF(Skills!C15=3,120+Inputs!$B$27+Inputs!$B$29,MAX(0,(Inputs!$B$3-100)*3)+Inputs!$B$28+Inputs!$B$29)))</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f>(1-Summary!$B$55)*T648+Summary!$B$55*V648</f>
        <v/>
      </c>
      <c r="P648">
        <f>IF(B670=0,0,O648/B670)</f>
        <v/>
      </c>
      <c r="Q648">
        <f>IFERROR(1/IF(Inputs!$B$38="pvp",15,MAX(0.1,Skills!D15-IF(Skills!E15=TRUE,Inputs!$B$32,0))),0)</f>
        <v/>
      </c>
      <c r="R648">
        <f>IF(AND(Inputs!$B$38&lt;&gt;"pvp",Inputs!$B$43&gt;0),IF(Inputs!$B$43&lt;=0,0,(INT(Inputs!$B$43/IF(Inputs!$B$38="pvp",15,MAX(0.1,Skills!D15-IF(Skills!E15=TRUE,Inputs!$B$32,0))))+1)),0)</f>
        <v/>
      </c>
      <c r="S648">
        <f>IFERROR(O648/N648,0)</f>
        <v/>
      </c>
      <c r="T648" t="n">
        <v>0</v>
      </c>
      <c r="V648" t="n">
        <v>0</v>
      </c>
    </row>
    <row r="649">
      <c r="A649">
        <f>Skills!A16</f>
        <v/>
      </c>
      <c r="B649">
        <f>Skills!B16</f>
        <v/>
      </c>
      <c r="C649">
        <f>Inputs!$B$3&gt;=105</f>
        <v/>
      </c>
      <c r="D649">
        <f>IF(Skills!C16=1,60+Inputs!$B$25+Inputs!$B$29,IF(Skills!C16=2,90+Inputs!$B$26+Inputs!$B$29,IF(Skills!C16=3,120+Inputs!$B$27+Inputs!$B$29,MAX(0,(Inputs!$B$3-100)*3)+Inputs!$B$28+Inputs!$B$29)))</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f>(1-Summary!$B$55)*T649+Summary!$B$55*V649</f>
        <v/>
      </c>
      <c r="P649">
        <f>IF(B670=0,0,O649/B670)</f>
        <v/>
      </c>
      <c r="Q649">
        <f>IFERROR(1/IF(Inputs!$B$38="pvp",15,MAX(0.1,Skills!D16-IF(Skills!E16=TRUE,Inputs!$B$32,0))),0)</f>
        <v/>
      </c>
      <c r="R649">
        <f>IF(AND(Inputs!$B$38&lt;&gt;"pvp",Inputs!$B$43&gt;0),IF(Inputs!$B$43&lt;=0,0,(INT(Inputs!$B$43/IF(Inputs!$B$38="pvp",15,MAX(0.1,Skills!D16-IF(Skills!E16=TRUE,Inputs!$B$32,0))))+1)),0)</f>
        <v/>
      </c>
      <c r="S649">
        <f>IFERROR(O649/N649,0)</f>
        <v/>
      </c>
      <c r="T649" t="n">
        <v>0</v>
      </c>
      <c r="V649" t="n">
        <v>0</v>
      </c>
    </row>
    <row r="650">
      <c r="A650">
        <f>Skills!A17</f>
        <v/>
      </c>
      <c r="B650">
        <f>Skills!B17</f>
        <v/>
      </c>
      <c r="C650">
        <f>Inputs!$B$3&gt;=115</f>
        <v/>
      </c>
      <c r="D650">
        <f>IF(Skills!C17=1,60+Inputs!$B$25+Inputs!$B$29,IF(Skills!C17=2,90+Inputs!$B$26+Inputs!$B$29,IF(Skills!C17=3,120+Inputs!$B$27+Inputs!$B$29,MAX(0,(Inputs!$B$3-100)*3)+Inputs!$B$28+Inputs!$B$29)))</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f>(1-Summary!$B$55)*T650+Summary!$B$55*V650</f>
        <v/>
      </c>
      <c r="P650">
        <f>IF(B670=0,0,O650/B670)</f>
        <v/>
      </c>
      <c r="Q650">
        <f>IFERROR(1/IF(Inputs!$B$38="pvp",15,MAX(0.1,Skills!D17-IF(Skills!E17=TRUE,Inputs!$B$32,0))),0)</f>
        <v/>
      </c>
      <c r="R650">
        <f>IF(AND(Inputs!$B$38&lt;&gt;"pvp",Inputs!$B$43&gt;0),IF(Inputs!$B$43&lt;=0,0,(INT(Inputs!$B$43/IF(Inputs!$B$38="pvp",15,MAX(0.1,Skills!D17-IF(Skills!E17=TRUE,Inputs!$B$32,0))))+1)),0)</f>
        <v/>
      </c>
      <c r="S650">
        <f>IFERROR(O650/N650,0)</f>
        <v/>
      </c>
      <c r="T650" t="n">
        <v>0</v>
      </c>
      <c r="V650" t="n">
        <v>0</v>
      </c>
    </row>
    <row r="651">
      <c r="A651">
        <f>Skills!A18</f>
        <v/>
      </c>
      <c r="B651">
        <f>Skills!B18</f>
        <v/>
      </c>
      <c r="C651">
        <f>Inputs!$B$3&gt;=74</f>
        <v/>
      </c>
      <c r="D651">
        <f>IF(Skills!C18=1,60+Inputs!$B$25+Inputs!$B$29,IF(Skills!C18=2,90+Inputs!$B$26+Inputs!$B$29,IF(Skills!C18=3,120+Inputs!$B$27+Inputs!$B$29,MAX(0,(Inputs!$B$3-100)*3)+Inputs!$B$28+Inputs!$B$29)))</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f>(1-Summary!$B$55)*T651+Summary!$B$55*V651</f>
        <v/>
      </c>
      <c r="P651">
        <f>IF(B670=0,0,O651/B670)</f>
        <v/>
      </c>
      <c r="Q651">
        <f>IFERROR(1/IF(Inputs!$B$38="pvp",15,MAX(0.1,Skills!D18-IF(Skills!E18=TRUE,Inputs!$B$32,0))),0)</f>
        <v/>
      </c>
      <c r="R651">
        <f>IF(AND(Inputs!$B$38&lt;&gt;"pvp",Inputs!$B$43&gt;0),IF(Inputs!$B$43&lt;=0,0,(INT(Inputs!$B$43/IF(Inputs!$B$38="pvp",15,MAX(0.1,Skills!D18-IF(Skills!E18=TRUE,Inputs!$B$32,0))))+1)),0)</f>
        <v/>
      </c>
      <c r="S651">
        <f>IFERROR(O651/N651,0)</f>
        <v/>
      </c>
      <c r="T651" t="n">
        <v>0</v>
      </c>
      <c r="V651" t="n">
        <v>0</v>
      </c>
    </row>
    <row r="652">
      <c r="A652">
        <f>Skills!A19</f>
        <v/>
      </c>
      <c r="B652">
        <f>Skills!B19</f>
        <v/>
      </c>
      <c r="C652">
        <f>TRUE</f>
        <v/>
      </c>
      <c r="D652">
        <f>IF(Skills!C19=1,60+Inputs!$B$25+Inputs!$B$29,IF(Skills!C19=2,90+Inputs!$B$26+Inputs!$B$29,IF(Skills!C19=3,120+Inputs!$B$27+Inputs!$B$29,MAX(0,(Inputs!$B$3-100)*3)+Inputs!$B$28+Inputs!$B$29)))</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f>(1-Summary!$B$55)*T652+Summary!$B$55*V652</f>
        <v/>
      </c>
      <c r="P652">
        <f>IF(B670=0,0,O652/B670)</f>
        <v/>
      </c>
      <c r="Q652">
        <f>IFERROR(1/IF(Inputs!$B$38="pvp",15,MAX(0.1,Skills!D19-IF(Skills!E19=TRUE,Inputs!$B$32,0))),0)</f>
        <v/>
      </c>
      <c r="R652">
        <f>IF(AND(Inputs!$B$38&lt;&gt;"pvp",Inputs!$B$43&gt;0),IF(Inputs!$B$43&lt;=0,0,(INT(Inputs!$B$43/IF(Inputs!$B$38="pvp",15,MAX(0.1,Skills!D19-IF(Skills!E19=TRUE,Inputs!$B$32,0))))+1)),0)</f>
        <v/>
      </c>
      <c r="S652">
        <f>IFERROR(O652/N652,0)</f>
        <v/>
      </c>
      <c r="T652" t="n">
        <v>0</v>
      </c>
      <c r="V652" t="n">
        <v>0</v>
      </c>
    </row>
    <row r="653">
      <c r="A653">
        <f>Skills!A20</f>
        <v/>
      </c>
      <c r="B653">
        <f>Skills!B20</f>
        <v/>
      </c>
      <c r="C653">
        <f>Inputs!$B$3&gt;=33</f>
        <v/>
      </c>
      <c r="D653">
        <f>IF(Skills!C20=1,60+Inputs!$B$25+Inputs!$B$29,IF(Skills!C20=2,90+Inputs!$B$26+Inputs!$B$29,IF(Skills!C20=3,120+Inputs!$B$27+Inputs!$B$29,MAX(0,(Inputs!$B$3-100)*3)+Inputs!$B$28+Inputs!$B$29)))</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f>(1-Summary!$B$55)*T653+Summary!$B$55*V653</f>
        <v/>
      </c>
      <c r="P653">
        <f>IF(B670=0,0,O653/B670)</f>
        <v/>
      </c>
      <c r="Q653" t="n">
        <v>0</v>
      </c>
      <c r="R653" t="n">
        <v>0</v>
      </c>
      <c r="S653">
        <f>IFERROR(O653/N653,0)</f>
        <v/>
      </c>
      <c r="T653" t="n">
        <v>0</v>
      </c>
      <c r="V653" t="n">
        <v>0</v>
      </c>
    </row>
    <row r="654">
      <c r="A654">
        <f>Skills!A21</f>
        <v/>
      </c>
      <c r="B654">
        <f>Skills!B21</f>
        <v/>
      </c>
      <c r="C654">
        <f>Inputs!$B$3&gt;=38</f>
        <v/>
      </c>
      <c r="D654">
        <f>IF(Skills!C21=1,60+Inputs!$B$25+Inputs!$B$29,IF(Skills!C21=2,90+Inputs!$B$26+Inputs!$B$29,IF(Skills!C21=3,120+Inputs!$B$27+Inputs!$B$29,MAX(0,(Inputs!$B$3-100)*3)+Inputs!$B$28+Inputs!$B$29)))</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f>(1-Summary!$B$55)*T654+Summary!$B$55*V654</f>
        <v/>
      </c>
      <c r="P654">
        <f>IF(B670=0,0,O654/B670)</f>
        <v/>
      </c>
      <c r="Q654" t="n">
        <v>0</v>
      </c>
      <c r="R654" t="n">
        <v>0</v>
      </c>
      <c r="S654">
        <f>IFERROR(O654/N654,0)</f>
        <v/>
      </c>
      <c r="T654" t="n">
        <v>0</v>
      </c>
      <c r="V654" t="n">
        <v>0</v>
      </c>
    </row>
    <row r="655">
      <c r="A655">
        <f>Skills!A22</f>
        <v/>
      </c>
      <c r="B655">
        <f>Skills!B22</f>
        <v/>
      </c>
      <c r="C655">
        <f>Inputs!$B$3&gt;=43</f>
        <v/>
      </c>
      <c r="D655">
        <f>IF(Skills!C22=1,60+Inputs!$B$25+Inputs!$B$29,IF(Skills!C22=2,90+Inputs!$B$26+Inputs!$B$29,IF(Skills!C22=3,120+Inputs!$B$27+Inputs!$B$29,MAX(0,(Inputs!$B$3-100)*3)+Inputs!$B$28+Inputs!$B$29)))</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f>(1-Summary!$B$55)*T655+Summary!$B$55*V655</f>
        <v/>
      </c>
      <c r="P655">
        <f>IF(B670=0,0,O655/B670)</f>
        <v/>
      </c>
      <c r="Q655" t="n">
        <v>0</v>
      </c>
      <c r="R655" t="n">
        <v>0</v>
      </c>
      <c r="S655">
        <f>IFERROR(O655/N655,0)</f>
        <v/>
      </c>
      <c r="T655" t="n">
        <v>0</v>
      </c>
      <c r="V655" t="n">
        <v>0</v>
      </c>
    </row>
    <row r="656">
      <c r="A656">
        <f>Skills!A23</f>
        <v/>
      </c>
      <c r="B656">
        <f>Skills!B23</f>
        <v/>
      </c>
      <c r="C656">
        <f>Inputs!$B$3&gt;=120</f>
        <v/>
      </c>
      <c r="D656">
        <f>IF(Skills!C23=1,60+Inputs!$B$25+Inputs!$B$29,IF(Skills!C23=2,90+Inputs!$B$26+Inputs!$B$29,IF(Skills!C23=3,120+Inputs!$B$27+Inputs!$B$29,MAX(0,(Inputs!$B$3-100)*3)+Inputs!$B$28+Inputs!$B$29)))</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f>(1-Summary!$B$55)*T656+Summary!$B$55*V656</f>
        <v/>
      </c>
      <c r="P656">
        <f>IF(B670=0,0,O656/B670)</f>
        <v/>
      </c>
      <c r="Q656" t="n">
        <v>0</v>
      </c>
      <c r="R656" t="n">
        <v>0</v>
      </c>
      <c r="S656">
        <f>IFERROR(O656/N656,0)</f>
        <v/>
      </c>
      <c r="T656" t="n">
        <v>0</v>
      </c>
      <c r="V656" t="n">
        <v>0</v>
      </c>
    </row>
    <row r="657">
      <c r="A657">
        <f>Skills!A24</f>
        <v/>
      </c>
      <c r="B657">
        <f>Skills!B24</f>
        <v/>
      </c>
      <c r="C657">
        <f>Inputs!$B$3&gt;=120</f>
        <v/>
      </c>
      <c r="D657">
        <f>IF(Skills!C24=1,60+Inputs!$B$25+Inputs!$B$29,IF(Skills!C24=2,90+Inputs!$B$26+Inputs!$B$29,IF(Skills!C24=3,120+Inputs!$B$27+Inputs!$B$29,MAX(0,(Inputs!$B$3-100)*3)+Inputs!$B$28+Inputs!$B$29)))</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f>(1-Summary!$B$55)*T657+Summary!$B$55*V657</f>
        <v/>
      </c>
      <c r="P657">
        <f>IF(B670=0,0,O657/B670)</f>
        <v/>
      </c>
      <c r="Q657" t="n">
        <v>0</v>
      </c>
      <c r="R657" t="n">
        <v>0</v>
      </c>
      <c r="S657">
        <f>IFERROR(O657/N657,0)</f>
        <v/>
      </c>
      <c r="T657" t="n">
        <v>0</v>
      </c>
      <c r="V657" t="n">
        <v>0</v>
      </c>
    </row>
    <row r="659">
      <c r="A659" t="inlineStr">
        <is>
          <t>Attack% Bucket Multiplier</t>
        </is>
      </c>
      <c r="B659">
        <f>(1+(((C646=TRUE)*F646*MIN(1,Skills!T13*(Skills!J13/100)*B664))+((C651=TRUE)*F651*IF(AND(Inputs!$B$38&lt;&gt;"pvp",Inputs!$B$43&gt;0),(((R651-1)*(Skills!T18*(1+Inputs!$B$34/100))+MIN((Skills!T18*(1+Inputs!$B$34/100)),MAX(0,Inputs!$B$43-((R651-1)*Skills!D18))))/Inputs!$B$43),IF(Inputs!$B$38="pvp",MIN((Skills!T18*(1+Inputs!$B$34/100)),15)/15,(Skills!T18*(1+Inputs!$B$34/100))/Skills!D18)))+0)/100)</f>
        <v/>
      </c>
    </row>
    <row r="660">
      <c r="A660" t="inlineStr">
        <is>
          <t>Global Crit Rate Bonus %</t>
        </is>
      </c>
      <c r="B660" t="n">
        <v>0</v>
      </c>
    </row>
    <row r="661">
      <c r="A661" t="inlineStr">
        <is>
          <t>Attack Speed Buff Bonus %</t>
        </is>
      </c>
      <c r="B661">
        <f>((C652=TRUE)*F652*IF(AND(Inputs!$B$38&lt;&gt;"pvp",Inputs!$B$43&gt;0),(((R652-1)*(Skills!T19*(1+Inputs!$B$34/100))+MIN((Skills!T19*(1+Inputs!$B$34/100)),MAX(0,Inputs!$B$43-((R652-1)*Skills!D19))))/Inputs!$B$43),IF(Inputs!$B$38="pvp",MIN((Skills!T19*(1+Inputs!$B$34/100)),15)/15,(Skills!T19*(1+Inputs!$B$34/100))/Skills!D19)))</f>
        <v/>
      </c>
    </row>
    <row r="662">
      <c r="A662" t="inlineStr">
        <is>
          <t>Actions Per Second</t>
        </is>
      </c>
      <c r="B662">
        <f>1+MIN(150,150*(1-(1-(Inputs!$B$11+((C653=TRUE)*(F653-Calc!F20)))/150)*(1-B661/150)))/100</f>
        <v/>
      </c>
    </row>
    <row r="663">
      <c r="A663" t="inlineStr">
        <is>
          <t>Skill + Buff Cast Rate</t>
        </is>
      </c>
      <c r="B663">
        <f>IF(AND(Inputs!$B$38&lt;&gt;"pvp",Inputs!$B$43&gt;0),SUMPRODUCT((Skills!E2:E24=TRUE)*(C635:C657=TRUE)*R635:R657*Skills!F2:F24)/Inputs!$B$43,SUMPRODUCT((Skills!E2:E24=TRUE)*(C635:C657=TRUE)*Q635:Q657*Skills!F2:F24))</f>
        <v/>
      </c>
    </row>
    <row r="664">
      <c r="A664" t="inlineStr">
        <is>
          <t>Blast Casts Per Second</t>
        </is>
      </c>
      <c r="B664">
        <f>MAX(0,B662-B663)</f>
        <v/>
      </c>
    </row>
    <row r="665">
      <c r="A665" t="inlineStr">
        <is>
          <t>Global Critical Damage Bonus % (unused)</t>
        </is>
      </c>
      <c r="B665" t="n">
        <v>0</v>
      </c>
    </row>
    <row r="666">
      <c r="A666" t="inlineStr">
        <is>
          <t>Global Final Damage Bonus % (Divine Shield + Guardian + Divine Blessing + Greater Vessel of Light)</t>
        </is>
      </c>
      <c r="B666">
        <f>((C648=TRUE)*F648*IF(AND(Inputs!$B$38&lt;&gt;"pvp",Inputs!$B$43&gt;0),(((R648-1)*(Skills!T15*(1+Inputs!$B$34/100))+MIN((Skills!T15*(1+Inputs!$B$34/100)),MAX(0,Inputs!$B$43-((R648-1)*Skills!D15))))/Inputs!$B$43),IF(Inputs!$B$38="pvp",MIN((Skills!T15*(1+Inputs!$B$34/100)),15)/15,(Skills!T15*(1+Inputs!$B$34/100))/Skills!D15)))+((C649=TRUE)*F649*IF(AND(Inputs!$B$38&lt;&gt;"pvp",Inputs!$B$43&gt;0),(((R649-1)*(Skills!T16*(1+Inputs!$B$34/100))+MIN((Skills!T16*(1+Inputs!$B$34/100)),MAX(0,Inputs!$B$43-((R649-1)*Skills!D16))))/Inputs!$B$43),IF(Inputs!$B$38="pvp",MIN((Skills!T16*(1+Inputs!$B$34/100)),15)/15,(Skills!T16*(1+Inputs!$B$34/100))/Skills!D16)))+((C650=TRUE)*F650*IF(AND(Inputs!$B$38&lt;&gt;"pvp",Inputs!$B$43&gt;0),(((R650-1)*(Skills!T17*(1+Inputs!$B$34/100))+MIN((Skills!T17*(1+Inputs!$B$34/100)),MAX(0,Inputs!$B$43-((R650-1)*Skills!D17))))/Inputs!$B$43),IF(Inputs!$B$38="pvp",MIN((Skills!T17*(1+Inputs!$B$34/100)),15)/15,(Skills!T17*(1+Inputs!$B$34/100))/Skills!D17)))+((C647=TRUE)*F647*MIN(1,Skills!T13*(Skills!J13/100)*B664))</f>
        <v/>
      </c>
    </row>
    <row r="667">
      <c r="A667" t="inlineStr">
        <is>
          <t>Buff-Casting Startup Delay (s, fixed-duration only)</t>
        </is>
      </c>
      <c r="B667">
        <f>IF(AND(Inputs!$B$38&lt;&gt;"pvp",Inputs!$B$43&gt;0),SUMPRODUCT((Skills!T2:T24&gt;0)*(Skills!E2:E24=TRUE)*(C635:C657=TRUE))/B662,0)</f>
        <v/>
      </c>
    </row>
    <row r="668">
      <c r="A668" t="inlineStr">
        <is>
          <t>Boss-Only Total DPS (this block's swept value)</t>
        </is>
      </c>
      <c r="B668">
        <f>SUM(T635:T657)</f>
        <v/>
      </c>
    </row>
    <row r="669">
      <c r="A669" t="inlineStr">
        <is>
          <t>Normal-Only Total DPS (this block's swept value)</t>
        </is>
      </c>
      <c r="B669">
        <f>SUM(V635:V657)</f>
        <v/>
      </c>
    </row>
    <row r="670">
      <c r="A670" s="5" t="inlineStr">
        <is>
          <t>TOTAL DPS</t>
        </is>
      </c>
      <c r="B670" s="5">
        <f>SUM(O635:O657)</f>
        <v/>
      </c>
    </row>
    <row r="673">
      <c r="A673" s="5" t="inlineStr">
        <is>
          <t>Stat: Skill Level Bonus — 1st Job</t>
        </is>
      </c>
    </row>
    <row r="674">
      <c r="A674" s="9" t="inlineStr">
        <is>
          <t>Key</t>
        </is>
      </c>
      <c r="B674" s="9" t="inlineStr">
        <is>
          <t>Name</t>
        </is>
      </c>
      <c r="C674" s="9" t="inlineStr">
        <is>
          <t>Unlocked</t>
        </is>
      </c>
      <c r="D674" s="9" t="inlineStr">
        <is>
          <t>InputLevel</t>
        </is>
      </c>
      <c r="E674" s="9" t="inlineStr">
        <is>
          <t>Factor</t>
        </is>
      </c>
      <c r="F674" s="9" t="inlineStr">
        <is>
          <t>CoefficientPercent</t>
        </is>
      </c>
      <c r="G674" s="9" t="inlineStr">
        <is>
          <t>EffectiveHits</t>
        </is>
      </c>
      <c r="H674" s="9" t="inlineStr">
        <is>
          <t>ProcProbability</t>
        </is>
      </c>
      <c r="I674" s="9" t="inlineStr">
        <is>
          <t>MapleHeroMultiplier</t>
        </is>
      </c>
      <c r="J674" s="9" t="inlineStr">
        <is>
          <t>BaseDamage</t>
        </is>
      </c>
      <c r="K674" s="9" t="inlineStr">
        <is>
          <t>BaseHitDamage</t>
        </is>
      </c>
      <c r="L674" s="9" t="inlineStr">
        <is>
          <t>NonCritAvg</t>
        </is>
      </c>
      <c r="M674" s="9" t="inlineStr">
        <is>
          <t>CritAvg</t>
        </is>
      </c>
      <c r="N674" s="9" t="inlineStr">
        <is>
          <t>ExpectedDamage(perHit)</t>
        </is>
      </c>
      <c r="O674" s="9" t="inlineStr">
        <is>
          <t>DPS</t>
        </is>
      </c>
      <c r="P674" s="9" t="inlineStr">
        <is>
          <t>% of Total</t>
        </is>
      </c>
      <c r="Q674" s="9" t="inlineStr">
        <is>
          <t>InvCooldown</t>
        </is>
      </c>
      <c r="R674" s="9" t="inlineStr">
        <is>
          <t>CastsInFight</t>
        </is>
      </c>
      <c r="S674" s="9"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706)/100)*(1+(IF(Skills!A2="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675)</f>
        <v/>
      </c>
      <c r="L675">
        <f>K675*(MIN(Inputs!$B$22+((C695=TRUE)*(F695-Calc!F22)),Inputs!$B$23+((C697=TRUE)*(F697-Calc!F24)))/100+(Inputs!$B$23+((C697=TRUE)*(F697-Calc!F24)))/100)/2</f>
        <v/>
      </c>
      <c r="M675">
        <f>L675*(1+(Inputs!$B$10+0+B705)/100)</f>
        <v/>
      </c>
      <c r="N675">
        <f>L675*(1-MIN((Inputs!$B$9+0+B700),100)/100)+M675*(MIN((Inputs!$B$9+0+B700),100)/100)</f>
        <v/>
      </c>
      <c r="O675">
        <f>(1-Summary!$B$55)*T675+Summary!$B$55*V675</f>
        <v/>
      </c>
      <c r="P675">
        <f>IF(B710=0,0,O675/B710)</f>
        <v/>
      </c>
      <c r="Q675" t="n">
        <v>0</v>
      </c>
      <c r="R675" t="n">
        <v>0</v>
      </c>
      <c r="S675">
        <f>IFERROR(O675/N675,0)</f>
        <v/>
      </c>
      <c r="T675">
        <f>IF(C675,(Skills!G2*N675*B704)*IF(Inputs!$B$38="pvp",1,1+(Inputs!$B$20+0+Skills!P2)/100),0)</f>
        <v/>
      </c>
      <c r="U675">
        <f>MAX(0,(Inputs!$B$3-100)*3)+Inputs!$B$28+Inputs!$B$29</f>
        <v/>
      </c>
      <c r="V675">
        <f>IF(C675,(Skills!G2*N675*B704)*IF(Inputs!$B$38="pvp",1,(1+(Inputs!$B$21+Skills!Q2)/100)*(MIN((6+Inputs!$B$33),Inputs!$B$37))),0)</f>
        <v/>
      </c>
    </row>
    <row r="676">
      <c r="A676">
        <f>Skills!A3</f>
        <v/>
      </c>
      <c r="B676">
        <f>Skills!B3</f>
        <v/>
      </c>
      <c r="C676">
        <f>Inputs!$B$3&gt;=50</f>
        <v/>
      </c>
      <c r="D676">
        <f>IF(Skills!C3=1,60+(Inputs!$B$25+1)+Inputs!$B$29,IF(Skills!C3=2,90+Inputs!$B$26+Inputs!$B$29,IF(Skills!C3=3,120+Inputs!$B$27+Inputs!$B$29,MAX(0,(Inputs!$B$3-100)*3)+Inputs!$B$28+Inputs!$B$29)))</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Inputs!$B$3&gt;=35</f>
        <v/>
      </c>
      <c r="D677">
        <f>IF(Skills!C4=1,60+(Inputs!$B$25+1)+Inputs!$B$29,IF(Skills!C4=2,90+Inputs!$B$26+Inputs!$B$29,IF(Skills!C4=3,120+Inputs!$B$27+Inputs!$B$29,MAX(0,(Inputs!$B$3-100)*3)+Inputs!$B$28+Inputs!$B$29)))</f>
        <v/>
      </c>
      <c r="E677">
        <f>INDEX(FactorTable!$B$2:$Y$301, MATCH(ROUND(MIN(300,MAX(1,D677)),0), FactorTable!$A$2:$A$301,0), Skills!M4+1)</f>
        <v/>
      </c>
      <c r="F677">
        <f>IF(Skills!N4=TRUE,(Skills!L4/10)*(E677/1000),Skills!L4/10)+Skills!O4</f>
        <v/>
      </c>
      <c r="G677">
        <f>Skills!G4*IF(Skills!H4&gt;0,Skills!I4/Skills!H4,1)</f>
        <v/>
      </c>
      <c r="H677">
        <f>1-(1-Skills!J4/100)^Skills!K4</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706)/100)*(1+4.0*IF(C685=TRUE,F685,0)/100)*(1+(IF(Skills!A4="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677)</f>
        <v/>
      </c>
      <c r="L677">
        <f>K677*(MIN(Inputs!$B$22+((C695=TRUE)*(F695-Calc!F22)),Inputs!$B$23+((C697=TRUE)*(F697-Calc!F24)))/100+(Inputs!$B$23+((C697=TRUE)*(F697-Calc!F24)))/100)/2</f>
        <v/>
      </c>
      <c r="M677">
        <f>L677*(1+(Inputs!$B$10+0+B705)/100)</f>
        <v/>
      </c>
      <c r="N677">
        <f>L677*(1-MIN((Inputs!$B$9+0+B700),100)/100)+M677*(MIN((Inputs!$B$9+0+B700),100)/100)</f>
        <v/>
      </c>
      <c r="O677">
        <f>(1-Summary!$B$55)*T677+Summary!$B$55*V677</f>
        <v/>
      </c>
      <c r="P677">
        <f>IF(B710=0,0,O677/B710)</f>
        <v/>
      </c>
      <c r="Q677">
        <f>IFERROR(1/IF(Inputs!$B$38="pvp",15,MAX(0.1,Skills!D4-IF(Skills!E4=TRUE,Inputs!$B$32,0))),0)</f>
        <v/>
      </c>
      <c r="R677">
        <f>IF(AND(Inputs!$B$38&lt;&gt;"pvp",Inputs!$B$43&gt;0),IF(MAX(0,Inputs!$B$43-B707)&lt;=0,0,(INT(MAX(0,Inputs!$B$43-B707)/IF(Inputs!$B$38="pvp",15,MAX(0.1,Skills!D4-IF(Skills!E4=TRUE,Inputs!$B$32,0))))+1)),0)</f>
        <v/>
      </c>
      <c r="S677">
        <f>IFERROR(O677/N677,0)</f>
        <v/>
      </c>
      <c r="T677">
        <f>IF(C677,(H677*N677*IF(AND(Inputs!$B$38&lt;&gt;"pvp",Inputs!$B$43&gt;0),((Skills!G4*((R677-1)*IF(Skills!H4&gt;0,Skills!I4/Skills!H4,1)+IF(Skills!H4&gt;0,MIN(Skills!I4,MAX(0,MAX(0,Inputs!$B$43-B707)-((R677-1)*IF(Inputs!$B$38="pvp",15,MAX(0.1,Skills!D4-IF(Skills!E4=TRUE,Inputs!$B$32,0))))))/Skills!H4,1)))/Inputs!$B$43),G677*Q677))*IF(Inputs!$B$38="pvp",1,1+(Inputs!$B$20+0+Skills!P4)/100),0)</f>
        <v/>
      </c>
      <c r="U677">
        <f>290*U676/1000</f>
        <v/>
      </c>
      <c r="V677">
        <f>IF(C677,(H677*N677*IF(AND(Inputs!$B$38&lt;&gt;"pvp",Inputs!$B$43&gt;0),((Skills!G4*((R677-1)*IF(Skills!H4&gt;0,Skills!I4/Skills!H4,1)+IF(Skills!H4&gt;0,MIN(Skills!I4,MAX(0,MAX(0,Inputs!$B$43-B707)-((R677-1)*IF(Inputs!$B$38="pvp",15,MAX(0.1,Skills!D4-IF(Skills!E4=TRUE,Inputs!$B$32,0))))))/Skills!H4,1)))/Inputs!$B$43),G677*Q677))*IF(Inputs!$B$38="pvp",1,(1+(Inputs!$B$21+Skills!Q4)/100)*(MIN(Skills!R4,Inputs!$B$37))),0)</f>
        <v/>
      </c>
    </row>
    <row r="678">
      <c r="A678">
        <f>Skills!A5</f>
        <v/>
      </c>
      <c r="B678">
        <f>Skills!B5</f>
        <v/>
      </c>
      <c r="C678">
        <f>Inputs!$B$3&gt;=66</f>
        <v/>
      </c>
      <c r="D678">
        <f>IF(Skills!C5=1,60+(Inputs!$B$25+1)+Inputs!$B$29,IF(Skills!C5=2,90+Inputs!$B$26+Inputs!$B$29,IF(Skills!C5=3,120+Inputs!$B$27+Inputs!$B$29,MAX(0,(Inputs!$B$3-100)*3)+Inputs!$B$28+Inputs!$B$29)))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706)/100)*(1+1.0*IF(C685=TRUE,F685,0)/100)*(1+(IF(Skills!A5="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678)</f>
        <v/>
      </c>
      <c r="L678">
        <f>K678*(MIN(Inputs!$B$22+((C695=TRUE)*(F695-Calc!F22)),Inputs!$B$23+((C697=TRUE)*(F697-Calc!F24)))/100+(Inputs!$B$23+((C697=TRUE)*(F697-Calc!F24)))/100)/2</f>
        <v/>
      </c>
      <c r="M678">
        <f>L678*(1+(Inputs!$B$10+0+B705)/100)</f>
        <v/>
      </c>
      <c r="N678">
        <f>L678*(1-MIN((Inputs!$B$9+0+B700),100)/100)+M678*(MIN((Inputs!$B$9+0+B700),100)/100)</f>
        <v/>
      </c>
      <c r="O678">
        <f>(1-Summary!$B$55)*T678+Summary!$B$55*V678</f>
        <v/>
      </c>
      <c r="P678">
        <f>IF(B710=0,0,O678/B710)</f>
        <v/>
      </c>
      <c r="Q678">
        <f>IFERROR(1/IF(Inputs!$B$38="pvp",15,MAX(0.1,Skills!D5-IF(Skills!E5=TRUE,Inputs!$B$32,0))),0)</f>
        <v/>
      </c>
      <c r="R678">
        <f>IF(AND(Inputs!$B$38&lt;&gt;"pvp",Inputs!$B$43&gt;0),IF(MAX(0,Inputs!$B$43-B707)&lt;=0,0,(INT(MAX(0,Inputs!$B$43-B707)/IF(Inputs!$B$38="pvp",15,MAX(0.1,Skills!D5-IF(Skills!E5=TRUE,Inputs!$B$32,0))))+1)),0)</f>
        <v/>
      </c>
      <c r="S678">
        <f>IFERROR(O678/N678,0)</f>
        <v/>
      </c>
      <c r="T678">
        <f>IF(C678,(H678*N678*IF(AND(Inputs!$B$38&lt;&gt;"pvp",Inputs!$B$43&gt;0),((Skills!G5*((R678-1)*IF(Skills!H5&gt;0,Skills!I5/Skills!H5,1)+IF(Skills!H5&gt;0,MIN(Skills!I5,MAX(0,MAX(0,Inputs!$B$43-B707)-((R678-1)*IF(Inputs!$B$38="pvp",15,MAX(0.1,Skills!D5-IF(Skills!E5=TRUE,Inputs!$B$32,0))))))/Skills!H5,1)))/Inputs!$B$43),G678*Q678))*IF(Inputs!$B$38="pvp",1,1+(Inputs!$B$20+0+Skills!P5)/100),0)</f>
        <v/>
      </c>
      <c r="V678">
        <f>IF(C678,(H678*N678*IF(AND(Inputs!$B$38&lt;&gt;"pvp",Inputs!$B$43&gt;0),((Skills!G5*((R678-1)*IF(Skills!H5&gt;0,Skills!I5/Skills!H5,1)+IF(Skills!H5&gt;0,MIN(Skills!I5,MAX(0,MAX(0,Inputs!$B$43-B707)-((R678-1)*IF(Inputs!$B$38="pvp",15,MAX(0.1,Skills!D5-IF(Skills!E5=TRUE,Inputs!$B$32,0))))))/Skills!H5,1)))/Inputs!$B$43),G678*Q678))*IF(Inputs!$B$38="pvp",1,(1+(Inputs!$B$21+Skills!Q5)/100)*(MIN(Skills!R5,Inputs!$B$37))),0)</f>
        <v/>
      </c>
    </row>
    <row r="679">
      <c r="A679">
        <f>Skills!A6</f>
        <v/>
      </c>
      <c r="B679">
        <f>Skills!B6</f>
        <v/>
      </c>
      <c r="C679">
        <f>Inputs!$B$3&gt;=103</f>
        <v/>
      </c>
      <c r="D679">
        <f>IF(Skills!C6=1,60+(Inputs!$B$25+1)+Inputs!$B$29,IF(Skills!C6=2,90+Inputs!$B$26+Inputs!$B$29,IF(Skills!C6=3,120+Inputs!$B$27+Inputs!$B$29,MAX(0,(Inputs!$B$3-100)*3)+Inputs!$B$28+Inputs!$B$29)))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706)/100)*(1+(IF(Skills!A6="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679)</f>
        <v/>
      </c>
      <c r="L679">
        <f>K679*(MIN(Inputs!$B$22+((C695=TRUE)*(F695-Calc!F22)),Inputs!$B$23+((C697=TRUE)*(F697-Calc!F24)))/100+(Inputs!$B$23+((C697=TRUE)*(F697-Calc!F24)))/100)/2</f>
        <v/>
      </c>
      <c r="M679">
        <f>L679*(1+(Inputs!$B$10+0+B705)/100)</f>
        <v/>
      </c>
      <c r="N679">
        <f>L679*(1-MIN((Inputs!$B$9+0+B700),100)/100)+M679*(MIN((Inputs!$B$9+0+B700),100)/100)</f>
        <v/>
      </c>
      <c r="O679">
        <f>(1-Summary!$B$55)*T679+Summary!$B$55*V679</f>
        <v/>
      </c>
      <c r="P679">
        <f>IF(B710=0,0,O679/B710)</f>
        <v/>
      </c>
      <c r="Q679">
        <f>IFERROR(1/IF(Inputs!$B$38="pvp",15,MAX(0.1,Skills!D6-IF(Skills!E6=TRUE,Inputs!$B$32,0))),0)</f>
        <v/>
      </c>
      <c r="R679">
        <f>IF(AND(Inputs!$B$38&lt;&gt;"pvp",Inputs!$B$43&gt;0),IF(MAX(0,Inputs!$B$43-B707)&lt;=0,0,(INT(MAX(0,Inputs!$B$43-B707)/IF(Inputs!$B$38="pvp",15,MAX(0.1,Skills!D6-IF(Skills!E6=TRUE,Inputs!$B$32,0))))+1)),0)</f>
        <v/>
      </c>
      <c r="S679">
        <f>IFERROR(O679/N679,0)</f>
        <v/>
      </c>
      <c r="T679">
        <f>IF(C679,(H679*N679*IF(AND(Inputs!$B$38&lt;&gt;"pvp",Inputs!$B$43&gt;0),((Skills!G6*((R679-1)*IF(Skills!H6&gt;0,Skills!I6/Skills!H6,1)+IF(Skills!H6&gt;0,MIN(Skills!I6,MAX(0,MAX(0,Inputs!$B$43-B707)-((R679-1)*IF(Inputs!$B$38="pvp",15,MAX(0.1,Skills!D6-IF(Skills!E6=TRUE,Inputs!$B$32,0))))))/Skills!H6,1)))/Inputs!$B$43),G679*Q679))*IF(Inputs!$B$38="pvp",1,1+(Inputs!$B$20+0+Skills!P6)/100),0)</f>
        <v/>
      </c>
      <c r="V679">
        <f>IF(C679,(H679*N679*IF(AND(Inputs!$B$38&lt;&gt;"pvp",Inputs!$B$43&gt;0),((Skills!G6*((R679-1)*IF(Skills!H6&gt;0,Skills!I6/Skills!H6,1)+IF(Skills!H6&gt;0,MIN(Skills!I6,MAX(0,MAX(0,Inputs!$B$43-B707)-((R679-1)*IF(Inputs!$B$38="pvp",15,MAX(0.1,Skills!D6-IF(Skills!E6=TRUE,Inputs!$B$32,0))))))/Skills!H6,1)))/Inputs!$B$43),G679*Q679))*IF(Inputs!$B$38="pvp",1,(1+(Inputs!$B$21+Skills!Q6)/100)*(MIN(Skills!R6,Inputs!$B$37))),0)</f>
        <v/>
      </c>
    </row>
    <row r="680">
      <c r="A680">
        <f>Skills!A7</f>
        <v/>
      </c>
      <c r="B680">
        <f>Skills!B7</f>
        <v/>
      </c>
      <c r="C680">
        <f>Inputs!$B$3&gt;=107</f>
        <v/>
      </c>
      <c r="D680">
        <f>IF(Skills!C7=1,60+(Inputs!$B$25+1)+Inputs!$B$29,IF(Skills!C7=2,90+Inputs!$B$26+Inputs!$B$29,IF(Skills!C7=3,120+Inputs!$B$27+Inputs!$B$29,MAX(0,(Inputs!$B$3-100)*3)+Inputs!$B$28+Inputs!$B$29)))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706)/100)*(1+(IF(Skills!A7="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680)</f>
        <v/>
      </c>
      <c r="L680">
        <f>K680*(MIN(Inputs!$B$22+((C695=TRUE)*(F695-Calc!F22)),Inputs!$B$23+((C697=TRUE)*(F697-Calc!F24)))/100+(Inputs!$B$23+((C697=TRUE)*(F697-Calc!F24)))/100)/2</f>
        <v/>
      </c>
      <c r="M680">
        <f>L680*(1+(Inputs!$B$10+0+B705)/100)</f>
        <v/>
      </c>
      <c r="N680">
        <f>L680*(1-MIN((Inputs!$B$9+0+B700),100)/100)+M680*(MIN((Inputs!$B$9+0+B700),100)/100)</f>
        <v/>
      </c>
      <c r="O680">
        <f>(1-Summary!$B$55)*T680+Summary!$B$55*V680</f>
        <v/>
      </c>
      <c r="P680">
        <f>IF(B710=0,0,O680/B710)</f>
        <v/>
      </c>
      <c r="Q680">
        <f>IFERROR(1/IF(Inputs!$B$38="pvp",15,MAX(0.1,Skills!D7-IF(Skills!E7=TRUE,Inputs!$B$32,0))),0)</f>
        <v/>
      </c>
      <c r="R680">
        <f>IF(AND(Inputs!$B$38&lt;&gt;"pvp",Inputs!$B$43&gt;0),IF(MAX(0,Inputs!$B$43-B707)&lt;=0,0,(INT(MAX(0,Inputs!$B$43-B707)/IF(Inputs!$B$38="pvp",15,MAX(0.1,Skills!D7-IF(Skills!E7=TRUE,Inputs!$B$32,0))))+1)),0)</f>
        <v/>
      </c>
      <c r="S680">
        <f>IFERROR(O680/N680,0)</f>
        <v/>
      </c>
      <c r="T680">
        <f>IF(C680,(H680*N680*IF(AND(Inputs!$B$38&lt;&gt;"pvp",Inputs!$B$43&gt;0),((Skills!G7*((R680-1)*IF(Skills!H7&gt;0,Skills!I7/Skills!H7,1)+IF(Skills!H7&gt;0,MIN(Skills!I7,MAX(0,MAX(0,Inputs!$B$43-B707)-((R680-1)*IF(Inputs!$B$38="pvp",15,MAX(0.1,Skills!D7-IF(Skills!E7=TRUE,Inputs!$B$32,0))))))/Skills!H7,1)))/Inputs!$B$43),G680*Q680))*IF(Inputs!$B$38="pvp",1,1+(Inputs!$B$20+0+Skills!P7)/100),0)</f>
        <v/>
      </c>
      <c r="V680">
        <f>IF(C680,(H680*N680*IF(AND(Inputs!$B$38&lt;&gt;"pvp",Inputs!$B$43&gt;0),((Skills!G7*((R680-1)*IF(Skills!H7&gt;0,Skills!I7/Skills!H7,1)+IF(Skills!H7&gt;0,MIN(Skills!I7,MAX(0,MAX(0,Inputs!$B$43-B707)-((R680-1)*IF(Inputs!$B$38="pvp",15,MAX(0.1,Skills!D7-IF(Skills!E7=TRUE,Inputs!$B$32,0))))))/Skills!H7,1)))/Inputs!$B$43),G680*Q680))*IF(Inputs!$B$38="pvp",1,(1+(Inputs!$B$21+Skills!Q7)/100)*(MIN(Skills!R7,Inputs!$B$37))),0)</f>
        <v/>
      </c>
    </row>
    <row r="681">
      <c r="A681">
        <f>Skills!A8</f>
        <v/>
      </c>
      <c r="B681">
        <f>Skills!B8</f>
        <v/>
      </c>
      <c r="C681">
        <f>Inputs!$B$3&gt;=107</f>
        <v/>
      </c>
      <c r="D681">
        <f>IF(Skills!C8=1,60+(Inputs!$B$25+1)+Inputs!$B$29,IF(Skills!C8=2,90+Inputs!$B$26+Inputs!$B$29,IF(Skills!C8=3,120+Inputs!$B$27+Inputs!$B$29,MAX(0,(Inputs!$B$3-100)*3)+Inputs!$B$28+Inputs!$B$29)))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706)/100)*(1+(IF(Skills!A8="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681)</f>
        <v/>
      </c>
      <c r="L681">
        <f>K681*(MIN(Inputs!$B$22+((C695=TRUE)*(F695-Calc!F22)),Inputs!$B$23+((C697=TRUE)*(F697-Calc!F24)))/100+(Inputs!$B$23+((C697=TRUE)*(F697-Calc!F24)))/100)/2</f>
        <v/>
      </c>
      <c r="M681">
        <f>L681*(1+(Inputs!$B$10+0+B705)/100)</f>
        <v/>
      </c>
      <c r="N681">
        <f>L681*(1-MIN((Inputs!$B$9+0+B700),100)/100)+M681*(MIN((Inputs!$B$9+0+B700),100)/100)</f>
        <v/>
      </c>
      <c r="O681">
        <f>(1-Summary!$B$55)*T681+Summary!$B$55*V681</f>
        <v/>
      </c>
      <c r="P681">
        <f>IF(B710=0,0,O681/B710)</f>
        <v/>
      </c>
      <c r="Q681">
        <f>IFERROR(1/IF(Inputs!$B$38="pvp",15,MAX(0.1,Skills!D8-IF(Skills!E8=TRUE,Inputs!$B$32,0))),0)</f>
        <v/>
      </c>
      <c r="R681">
        <f>IF(AND(Inputs!$B$38&lt;&gt;"pvp",Inputs!$B$43&gt;0),IF(MAX(0,Inputs!$B$43-B707)&lt;=0,0,(INT(MAX(0,Inputs!$B$43-B707)/IF(Inputs!$B$38="pvp",15,MAX(0.1,Skills!D8-IF(Skills!E8=TRUE,Inputs!$B$32,0))))+1)),0)</f>
        <v/>
      </c>
      <c r="S681">
        <f>IFERROR(O681/N681,0)</f>
        <v/>
      </c>
      <c r="T681">
        <f>IF(C681,(H681*N681*IF(AND(Inputs!$B$38&lt;&gt;"pvp",Inputs!$B$43&gt;0),((Skills!G8*((R681-1)*IF(Skills!H8&gt;0,Skills!I8/Skills!H8,1)+IF(Skills!H8&gt;0,MIN(Skills!I8,MAX(0,MAX(0,Inputs!$B$43-B707)-((R681-1)*IF(Inputs!$B$38="pvp",15,MAX(0.1,Skills!D8-IF(Skills!E8=TRUE,Inputs!$B$32,0))))))/Skills!H8,1)))/Inputs!$B$43),G681*Q681))*IF(Inputs!$B$38="pvp",1,1+(Inputs!$B$20+0+Skills!P8)/100),0)</f>
        <v/>
      </c>
      <c r="V681">
        <f>IF(C681,(H681*N681*IF(AND(Inputs!$B$38&lt;&gt;"pvp",Inputs!$B$43&gt;0),((Skills!G8*((R681-1)*IF(Skills!H8&gt;0,Skills!I8/Skills!H8,1)+IF(Skills!H8&gt;0,MIN(Skills!I8,MAX(0,MAX(0,Inputs!$B$43-B707)-((R681-1)*IF(Inputs!$B$38="pvp",15,MAX(0.1,Skills!D8-IF(Skills!E8=TRUE,Inputs!$B$32,0))))))/Skills!H8,1)))/Inputs!$B$43),G681*Q681))*IF(Inputs!$B$38="pvp",1,(1+(Inputs!$B$21+Skills!Q8)/100)*(MIN(Skills!R8,Inputs!$B$37))),0)</f>
        <v/>
      </c>
    </row>
    <row r="682">
      <c r="A682">
        <f>Skills!A9</f>
        <v/>
      </c>
      <c r="B682">
        <f>Skills!B9</f>
        <v/>
      </c>
      <c r="C682">
        <f>Inputs!$B$3&gt;=125</f>
        <v/>
      </c>
      <c r="D682">
        <f>IF(Skills!C9=1,60+(Inputs!$B$25+1)+Inputs!$B$29,IF(Skills!C9=2,90+Inputs!$B$26+Inputs!$B$29,IF(Skills!C9=3,120+Inputs!$B$27+Inputs!$B$29,MAX(0,(Inputs!$B$3-100)*3)+Inputs!$B$28+Inputs!$B$29)))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706)/100)*(1+(IF(Skills!A9="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682)</f>
        <v/>
      </c>
      <c r="L682">
        <f>K682*(MIN(Inputs!$B$22+((C695=TRUE)*(F695-Calc!F22)),Inputs!$B$23+((C697=TRUE)*(F697-Calc!F24)))/100+(Inputs!$B$23+((C697=TRUE)*(F697-Calc!F24)))/100)/2</f>
        <v/>
      </c>
      <c r="M682">
        <f>L682*(1+(Inputs!$B$10+0+B705)/100)</f>
        <v/>
      </c>
      <c r="N682">
        <f>L682*(1-MIN((Inputs!$B$9+0+B700),100)/100)+M682*(MIN((Inputs!$B$9+0+B700),100)/100)</f>
        <v/>
      </c>
      <c r="O682">
        <f>(1-Summary!$B$55)*T682+Summary!$B$55*V682</f>
        <v/>
      </c>
      <c r="P682">
        <f>IF(B710=0,0,O682/B710)</f>
        <v/>
      </c>
      <c r="Q682">
        <f>IFERROR(1/IF(Inputs!$B$38="pvp",15,MAX(0.1,Skills!D9-IF(Skills!E9=TRUE,Inputs!$B$32,0))),0)</f>
        <v/>
      </c>
      <c r="R682">
        <f>IF(AND(Inputs!$B$38&lt;&gt;"pvp",Inputs!$B$43&gt;0),IF(MAX(0,Inputs!$B$43-B707)&lt;=0,0,(INT(MAX(0,Inputs!$B$43-B707)/IF(Inputs!$B$38="pvp",15,MAX(0.1,Skills!D9-IF(Skills!E9=TRUE,Inputs!$B$32,0))))+1)),0)</f>
        <v/>
      </c>
      <c r="S682">
        <f>IFERROR(O682/N682,0)</f>
        <v/>
      </c>
      <c r="T682">
        <f>IF(C682,(H682*N682*IF(AND(Inputs!$B$38&lt;&gt;"pvp",Inputs!$B$43&gt;0),((Skills!G9*((R682-1)*IF(Skills!H9&gt;0,Skills!I9/Skills!H9,1)+IF(Skills!H9&gt;0,MIN(Skills!I9,MAX(0,MAX(0,Inputs!$B$43-B707)-((R682-1)*IF(Inputs!$B$38="pvp",15,MAX(0.1,Skills!D9-IF(Skills!E9=TRUE,Inputs!$B$32,0))))))/Skills!H9,1)))/Inputs!$B$43),G682*Q682))*IF(Inputs!$B$38="pvp",1,1+(Inputs!$B$20+0+Skills!P9)/100),0)</f>
        <v/>
      </c>
      <c r="V682">
        <f>IF(C682,(H682*N682*IF(AND(Inputs!$B$38&lt;&gt;"pvp",Inputs!$B$43&gt;0),((Skills!G9*((R682-1)*IF(Skills!H9&gt;0,Skills!I9/Skills!H9,1)+IF(Skills!H9&gt;0,MIN(Skills!I9,MAX(0,MAX(0,Inputs!$B$43-B707)-((R682-1)*IF(Inputs!$B$38="pvp",15,MAX(0.1,Skills!D9-IF(Skills!E9=TRUE,Inputs!$B$32,0))))))/Skills!H9,1)))/Inputs!$B$43),G682*Q682))*IF(Inputs!$B$38="pvp",1,(1+(Inputs!$B$21+Skills!Q9)/100)*(MIN(Skills!R9,Inputs!$B$37))),0)</f>
        <v/>
      </c>
    </row>
    <row r="683">
      <c r="A683">
        <f>Skills!A10</f>
        <v/>
      </c>
      <c r="B683">
        <f>Skills!B10</f>
        <v/>
      </c>
      <c r="C683">
        <f>Inputs!$B$3&gt;=117</f>
        <v/>
      </c>
      <c r="D683">
        <f>IF(Skills!C10=1,60+(Inputs!$B$25+1)+Inputs!$B$29,IF(Skills!C10=2,90+Inputs!$B$26+Inputs!$B$29,IF(Skills!C10=3,120+Inputs!$B$27+Inputs!$B$29,MAX(0,(Inputs!$B$3-100)*3)+Inputs!$B$28+Inputs!$B$29)))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nputs!$B$16/100)*(5000/(6000+Inputs!$B$42*(1-(Inputs!$B$19+0)/100)))*(1+(Inputs!$B$24+0+B706)/100)*(1+(IF(Skills!A10="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683)</f>
        <v/>
      </c>
      <c r="L683">
        <f>K683*(MIN(Inputs!$B$22+((C695=TRUE)*(F695-Calc!F22)),Inputs!$B$23+((C697=TRUE)*(F697-Calc!F24)))/100+(Inputs!$B$23+((C697=TRUE)*(F697-Calc!F24)))/100)/2</f>
        <v/>
      </c>
      <c r="M683">
        <f>L683*(1+(Inputs!$B$10+0+B705)/100)</f>
        <v/>
      </c>
      <c r="N683">
        <f>L683*(1-MIN((Inputs!$B$9+0+B700),100)/100)+M683*(MIN((Inputs!$B$9+0+B700),100)/100)</f>
        <v/>
      </c>
      <c r="O683">
        <f>(1-Summary!$B$55)*T683+Summary!$B$55*V683</f>
        <v/>
      </c>
      <c r="P683">
        <f>IF(B710=0,0,O683/B710)</f>
        <v/>
      </c>
      <c r="Q683">
        <f>IFERROR(1/IF(Inputs!$B$38="pvp",15,MAX(0.1,Skills!D10-IF(Skills!E10=TRUE,Inputs!$B$32,0))),0)</f>
        <v/>
      </c>
      <c r="R683">
        <f>IF(AND(Inputs!$B$38&lt;&gt;"pvp",Inputs!$B$43&gt;0),IF(MAX(0,Inputs!$B$43-B707)&lt;=0,0,(INT(MAX(0,Inputs!$B$43-B707)/IF(Inputs!$B$38="pvp",15,MAX(0.1,Skills!D10-IF(Skills!E10=TRUE,Inputs!$B$32,0))))+1)),0)</f>
        <v/>
      </c>
      <c r="S683">
        <f>IFERROR(O683/N683,0)</f>
        <v/>
      </c>
      <c r="T683">
        <f>IF(C683,(H683*N683*IF(AND(Inputs!$B$38&lt;&gt;"pvp",Inputs!$B$43&gt;0),((Skills!G10*((R683-1)*IF(Skills!H10&gt;0,Skills!I10/Skills!H10,1)+IF(Skills!H10&gt;0,MIN(Skills!I10,MAX(0,MAX(0,Inputs!$B$43-B707)-((R683-1)*IF(Inputs!$B$38="pvp",15,MAX(0.1,Skills!D10-IF(Skills!E10=TRUE,Inputs!$B$32,0))))))/Skills!H10,1)))/Inputs!$B$43),G683*Q683))*IF(Inputs!$B$38="pvp",1,1+(Inputs!$B$20+0+Skills!P10)/100),0)</f>
        <v/>
      </c>
      <c r="V683">
        <f>IF(C683,(H683*N683*IF(AND(Inputs!$B$38&lt;&gt;"pvp",Inputs!$B$43&gt;0),((Skills!G10*((R683-1)*IF(Skills!H10&gt;0,Skills!I10/Skills!H10,1)+IF(Skills!H10&gt;0,MIN(Skills!I10,MAX(0,MAX(0,Inputs!$B$43-B707)-((R683-1)*IF(Inputs!$B$38="pvp",15,MAX(0.1,Skills!D10-IF(Skills!E10=TRUE,Inputs!$B$32,0))))))/Skills!H10,1)))/Inputs!$B$43),G683*Q683))*IF(Inputs!$B$38="pvp",1,(1+(Inputs!$B$21+Skills!Q10)/100)*(MIN(Skills!R10,Inputs!$B$37))),0)</f>
        <v/>
      </c>
    </row>
    <row r="684">
      <c r="A684">
        <f>Skills!A11</f>
        <v/>
      </c>
      <c r="B684">
        <f>Skills!B11</f>
        <v/>
      </c>
      <c r="C684">
        <f>Inputs!$B$3&gt;=63</f>
        <v/>
      </c>
      <c r="D684">
        <f>IF(Skills!C11=1,60+(Inputs!$B$25+1)+Inputs!$B$29,IF(Skills!C11=2,90+Inputs!$B$26+Inputs!$B$29,IF(Skills!C11=3,120+Inputs!$B$27+Inputs!$B$29,MAX(0,(Inputs!$B$3-100)*3)+Inputs!$B$28+Inputs!$B$29)))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nputs!$B$16/100)*(5000/(6000+Inputs!$B$42*(1-(Inputs!$B$19+0)/100)))*(1+(Inputs!$B$24+0+B706)/100)*(1+1.5*IF(C685=TRUE,F685,0)/100)*(1+(IF(Skills!A11="BLAST",Inputs!$B$17+((C694=TRUE)*(F694-Calc!F21)),Inputs!$B$18+((C696=TRUE)*(F696-Calc!F23))))/100)*((1+(((C686=TRUE)*F686*MIN(1,Skills!T13*(Skills!J13/100)*B704))+((C691=TRUE)*F691*IF(AND(Inputs!$B$38&lt;&gt;"pvp",Inputs!$B$43&gt;0),(((R691-1)*(Skills!T18*(1+Inputs!$B$34/100))+MIN((Skills!T18*(1+Inputs!$B$34/100)),MAX(0,Inputs!$B$43-((R691-1)*Skills!D18))))/Inputs!$B$43),IF(Inputs!$B$38="pvp",MIN((Skills!T18*(1+Inputs!$B$34/100)),15)/15,(Skills!T18*(1+Inputs!$B$34/100))/Skills!D18)))+0)/100)*I684)</f>
        <v/>
      </c>
      <c r="L684">
        <f>K684*(MIN(Inputs!$B$22+((C695=TRUE)*(F695-Calc!F22)),Inputs!$B$23+((C697=TRUE)*(F697-Calc!F24)))/100+(Inputs!$B$23+((C697=TRUE)*(F697-Calc!F24)))/100)/2</f>
        <v/>
      </c>
      <c r="M684">
        <f>L684*(1+(Inputs!$B$10+0+B705)/100)</f>
        <v/>
      </c>
      <c r="N684">
        <f>L684*(1-MIN((Inputs!$B$9+0+B700),100)/100)+M684*(MIN((Inputs!$B$9+0+B700),100)/100)</f>
        <v/>
      </c>
      <c r="O684">
        <f>(1-Summary!$B$55)*T684+Summary!$B$55*V684</f>
        <v/>
      </c>
      <c r="P684">
        <f>IF(B710=0,0,O684/B710)</f>
        <v/>
      </c>
      <c r="Q684">
        <f>IFERROR(1/IF(Inputs!$B$38="pvp",15,MAX(0.1,Skills!D11-IF(Skills!E11=TRUE,Inputs!$B$32,0))),0)</f>
        <v/>
      </c>
      <c r="R684">
        <f>IF(AND(Inputs!$B$38&lt;&gt;"pvp",Inputs!$B$43&gt;0),IF(MAX(0,Inputs!$B$43-B707)&lt;=0,0,(INT(MAX(0,Inputs!$B$43-B707)/IF(Inputs!$B$38="pvp",15,MAX(0.1,Skills!D11-IF(Skills!E11=TRUE,Inputs!$B$32,0))))+1)),0)</f>
        <v/>
      </c>
      <c r="S684">
        <f>IFERROR(O684/N684,0)</f>
        <v/>
      </c>
      <c r="T684">
        <f>IF(C684,(H684*N684*IF(AND(Inputs!$B$38&lt;&gt;"pvp",Inputs!$B$43&gt;0),((Skills!G11*((R684-1)*IF(Skills!H11&gt;0,Skills!I11/Skills!H11,1)+IF(Skills!H11&gt;0,MIN(Skills!I11,MAX(0,MAX(0,Inputs!$B$43-B707)-((R684-1)*IF(Inputs!$B$38="pvp",15,MAX(0.1,Skills!D11-IF(Skills!E11=TRUE,Inputs!$B$32,0))))))/Skills!H11,1)))/Inputs!$B$43),G684*Q684))*IF(Inputs!$B$38="pvp",1,1+(Inputs!$B$20+0+Skills!P11)/100),0)</f>
        <v/>
      </c>
      <c r="V684">
        <f>IF(C684,(H684*N684*IF(AND(Inputs!$B$38&lt;&gt;"pvp",Inputs!$B$43&gt;0),((Skills!G11*((R684-1)*IF(Skills!H11&gt;0,Skills!I11/Skills!H11,1)+IF(Skills!H11&gt;0,MIN(Skills!I11,MAX(0,MAX(0,Inputs!$B$43-B707)-((R684-1)*IF(Inputs!$B$38="pvp",15,MAX(0.1,Skills!D11-IF(Skills!E11=TRUE,Inputs!$B$32,0))))))/Skills!H11,1)))/Inputs!$B$43),G684*Q684))*IF(Inputs!$B$38="pvp",1,(1+(Inputs!$B$21+Skills!Q11)/100)*(MIN(Skills!R11,Inputs!$B$37))),0)</f>
        <v/>
      </c>
    </row>
    <row r="685">
      <c r="A685">
        <f>Skills!A12</f>
        <v/>
      </c>
      <c r="B685">
        <f>Skills!B12</f>
        <v/>
      </c>
      <c r="C685">
        <f>Inputs!$B$3&gt;=100</f>
        <v/>
      </c>
      <c r="D685">
        <f>IF(Skills!C12=1,60+(Inputs!$B$25+1)+Inputs!$B$29,IF(Skills!C12=2,90+Inputs!$B$26+Inputs!$B$29,IF(Skills!C12=3,120+Inputs!$B$27+Inputs!$B$29,MAX(0,(Inputs!$B$3-100)*3)+Inputs!$B$28+Inputs!$B$29)))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IF(Skills!C13=1,60+(Inputs!$B$25+1)+Inputs!$B$29,IF(Skills!C13=2,90+Inputs!$B$26+Inputs!$B$29,IF(Skills!C13=3,120+Inputs!$B$27+Inputs!$B$29,MAX(0,(Inputs!$B$3-100)*3)+Inputs!$B$28+Inputs!$B$29)))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f>(1-Summary!$B$55)*T686+Summary!$B$55*V686</f>
        <v/>
      </c>
      <c r="P686">
        <f>IF(B710=0,0,O686/B710)</f>
        <v/>
      </c>
      <c r="Q686" t="n">
        <v>0</v>
      </c>
      <c r="R686" t="n">
        <v>0</v>
      </c>
      <c r="S686">
        <f>IFERROR(O686/N686,0)</f>
        <v/>
      </c>
      <c r="T686" t="n">
        <v>0</v>
      </c>
      <c r="V686" t="n">
        <v>0</v>
      </c>
    </row>
    <row r="687">
      <c r="A687">
        <f>Skills!A14</f>
        <v/>
      </c>
      <c r="B687">
        <f>Skills!B14</f>
        <v/>
      </c>
      <c r="C687">
        <f>Inputs!$B$3&gt;=110</f>
        <v/>
      </c>
      <c r="D687">
        <f>IF(Skills!C14=1,60+(Inputs!$B$25+1)+Inputs!$B$29,IF(Skills!C14=2,90+Inputs!$B$26+Inputs!$B$29,IF(Skills!C14=3,120+Inputs!$B$27+Inputs!$B$29,MAX(0,(Inputs!$B$3-100)*3)+Inputs!$B$28+Inputs!$B$29)))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f>(1-Summary!$B$55)*T687+Summary!$B$55*V687</f>
        <v/>
      </c>
      <c r="P687">
        <f>IF(B710=0,0,O687/B710)</f>
        <v/>
      </c>
      <c r="Q687" t="n">
        <v>0</v>
      </c>
      <c r="R687" t="n">
        <v>0</v>
      </c>
      <c r="S687">
        <f>IFERROR(O687/N687,0)</f>
        <v/>
      </c>
      <c r="T687" t="n">
        <v>0</v>
      </c>
      <c r="V687" t="n">
        <v>0</v>
      </c>
    </row>
    <row r="688">
      <c r="A688">
        <f>Skills!A15</f>
        <v/>
      </c>
      <c r="B688">
        <f>Skills!B15</f>
        <v/>
      </c>
      <c r="C688">
        <f>Inputs!$B$3&gt;=75</f>
        <v/>
      </c>
      <c r="D688">
        <f>IF(Skills!C15=1,60+(Inputs!$B$25+1)+Inputs!$B$29,IF(Skills!C15=2,90+Inputs!$B$26+Inputs!$B$29,IF(Skills!C15=3,120+Inputs!$B$27+Inputs!$B$29,MAX(0,(Inputs!$B$3-100)*3)+Inputs!$B$28+Inputs!$B$29)))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f>(1-Summary!$B$55)*T688+Summary!$B$55*V688</f>
        <v/>
      </c>
      <c r="P688">
        <f>IF(B710=0,0,O688/B710)</f>
        <v/>
      </c>
      <c r="Q688">
        <f>IFERROR(1/IF(Inputs!$B$38="pvp",15,MAX(0.1,Skills!D15-IF(Skills!E15=TRUE,Inputs!$B$32,0))),0)</f>
        <v/>
      </c>
      <c r="R688">
        <f>IF(AND(Inputs!$B$38&lt;&gt;"pvp",Inputs!$B$43&gt;0),IF(Inputs!$B$43&lt;=0,0,(INT(Inputs!$B$43/IF(Inputs!$B$38="pvp",15,MAX(0.1,Skills!D15-IF(Skills!E15=TRUE,Inputs!$B$32,0))))+1)),0)</f>
        <v/>
      </c>
      <c r="S688">
        <f>IFERROR(O688/N688,0)</f>
        <v/>
      </c>
      <c r="T688" t="n">
        <v>0</v>
      </c>
      <c r="V688" t="n">
        <v>0</v>
      </c>
    </row>
    <row r="689">
      <c r="A689">
        <f>Skills!A16</f>
        <v/>
      </c>
      <c r="B689">
        <f>Skills!B16</f>
        <v/>
      </c>
      <c r="C689">
        <f>Inputs!$B$3&gt;=105</f>
        <v/>
      </c>
      <c r="D689">
        <f>IF(Skills!C16=1,60+(Inputs!$B$25+1)+Inputs!$B$29,IF(Skills!C16=2,90+Inputs!$B$26+Inputs!$B$29,IF(Skills!C16=3,120+Inputs!$B$27+Inputs!$B$29,MAX(0,(Inputs!$B$3-100)*3)+Inputs!$B$28+Inputs!$B$29)))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f>(1-Summary!$B$55)*T689+Summary!$B$55*V689</f>
        <v/>
      </c>
      <c r="P689">
        <f>IF(B710=0,0,O689/B710)</f>
        <v/>
      </c>
      <c r="Q689">
        <f>IFERROR(1/IF(Inputs!$B$38="pvp",15,MAX(0.1,Skills!D16-IF(Skills!E16=TRUE,Inputs!$B$32,0))),0)</f>
        <v/>
      </c>
      <c r="R689">
        <f>IF(AND(Inputs!$B$38&lt;&gt;"pvp",Inputs!$B$43&gt;0),IF(Inputs!$B$43&lt;=0,0,(INT(Inputs!$B$43/IF(Inputs!$B$38="pvp",15,MAX(0.1,Skills!D16-IF(Skills!E16=TRUE,Inputs!$B$32,0))))+1)),0)</f>
        <v/>
      </c>
      <c r="S689">
        <f>IFERROR(O689/N689,0)</f>
        <v/>
      </c>
      <c r="T689" t="n">
        <v>0</v>
      </c>
      <c r="V689" t="n">
        <v>0</v>
      </c>
    </row>
    <row r="690">
      <c r="A690">
        <f>Skills!A17</f>
        <v/>
      </c>
      <c r="B690">
        <f>Skills!B17</f>
        <v/>
      </c>
      <c r="C690">
        <f>Inputs!$B$3&gt;=115</f>
        <v/>
      </c>
      <c r="D690">
        <f>IF(Skills!C17=1,60+(Inputs!$B$25+1)+Inputs!$B$29,IF(Skills!C17=2,90+Inputs!$B$26+Inputs!$B$29,IF(Skills!C17=3,120+Inputs!$B$27+Inputs!$B$29,MAX(0,(Inputs!$B$3-100)*3)+Inputs!$B$28+Inputs!$B$29)))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f>(1-Summary!$B$55)*T690+Summary!$B$55*V690</f>
        <v/>
      </c>
      <c r="P690">
        <f>IF(B710=0,0,O690/B710)</f>
        <v/>
      </c>
      <c r="Q690">
        <f>IFERROR(1/IF(Inputs!$B$38="pvp",15,MAX(0.1,Skills!D17-IF(Skills!E17=TRUE,Inputs!$B$32,0))),0)</f>
        <v/>
      </c>
      <c r="R690">
        <f>IF(AND(Inputs!$B$38&lt;&gt;"pvp",Inputs!$B$43&gt;0),IF(Inputs!$B$43&lt;=0,0,(INT(Inputs!$B$43/IF(Inputs!$B$38="pvp",15,MAX(0.1,Skills!D17-IF(Skills!E17=TRUE,Inputs!$B$32,0))))+1)),0)</f>
        <v/>
      </c>
      <c r="S690">
        <f>IFERROR(O690/N690,0)</f>
        <v/>
      </c>
      <c r="T690" t="n">
        <v>0</v>
      </c>
      <c r="V690" t="n">
        <v>0</v>
      </c>
    </row>
    <row r="691">
      <c r="A691">
        <f>Skills!A18</f>
        <v/>
      </c>
      <c r="B691">
        <f>Skills!B18</f>
        <v/>
      </c>
      <c r="C691">
        <f>Inputs!$B$3&gt;=74</f>
        <v/>
      </c>
      <c r="D691">
        <f>IF(Skills!C18=1,60+(Inputs!$B$25+1)+Inputs!$B$29,IF(Skills!C18=2,90+Inputs!$B$26+Inputs!$B$29,IF(Skills!C18=3,120+Inputs!$B$27+Inputs!$B$29,MAX(0,(Inputs!$B$3-100)*3)+Inputs!$B$28+Inputs!$B$29)))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f>(1-Summary!$B$55)*T691+Summary!$B$55*V691</f>
        <v/>
      </c>
      <c r="P691">
        <f>IF(B710=0,0,O691/B710)</f>
        <v/>
      </c>
      <c r="Q691">
        <f>IFERROR(1/IF(Inputs!$B$38="pvp",15,MAX(0.1,Skills!D18-IF(Skills!E18=TRUE,Inputs!$B$32,0))),0)</f>
        <v/>
      </c>
      <c r="R691">
        <f>IF(AND(Inputs!$B$38&lt;&gt;"pvp",Inputs!$B$43&gt;0),IF(Inputs!$B$43&lt;=0,0,(INT(Inputs!$B$43/IF(Inputs!$B$38="pvp",15,MAX(0.1,Skills!D18-IF(Skills!E18=TRUE,Inputs!$B$32,0))))+1)),0)</f>
        <v/>
      </c>
      <c r="S691">
        <f>IFERROR(O691/N691,0)</f>
        <v/>
      </c>
      <c r="T691" t="n">
        <v>0</v>
      </c>
      <c r="V691" t="n">
        <v>0</v>
      </c>
    </row>
    <row r="692">
      <c r="A692">
        <f>Skills!A19</f>
        <v/>
      </c>
      <c r="B692">
        <f>Skills!B19</f>
        <v/>
      </c>
      <c r="C692">
        <f>TRUE</f>
        <v/>
      </c>
      <c r="D692">
        <f>IF(Skills!C19=1,60+(Inputs!$B$25+1)+Inputs!$B$29,IF(Skills!C19=2,90+Inputs!$B$26+Inputs!$B$29,IF(Skills!C19=3,120+Inputs!$B$27+Inputs!$B$29,MAX(0,(Inputs!$B$3-100)*3)+Inputs!$B$28+Inputs!$B$29)))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f>(1-Summary!$B$55)*T692+Summary!$B$55*V692</f>
        <v/>
      </c>
      <c r="P692">
        <f>IF(B710=0,0,O692/B710)</f>
        <v/>
      </c>
      <c r="Q692">
        <f>IFERROR(1/IF(Inputs!$B$38="pvp",15,MAX(0.1,Skills!D19-IF(Skills!E19=TRUE,Inputs!$B$32,0))),0)</f>
        <v/>
      </c>
      <c r="R692">
        <f>IF(AND(Inputs!$B$38&lt;&gt;"pvp",Inputs!$B$43&gt;0),IF(Inputs!$B$43&lt;=0,0,(INT(Inputs!$B$43/IF(Inputs!$B$38="pvp",15,MAX(0.1,Skills!D19-IF(Skills!E19=TRUE,Inputs!$B$32,0))))+1)),0)</f>
        <v/>
      </c>
      <c r="S692">
        <f>IFERROR(O692/N692,0)</f>
        <v/>
      </c>
      <c r="T692" t="n">
        <v>0</v>
      </c>
      <c r="V692" t="n">
        <v>0</v>
      </c>
    </row>
    <row r="693">
      <c r="A693">
        <f>Skills!A20</f>
        <v/>
      </c>
      <c r="B693">
        <f>Skills!B20</f>
        <v/>
      </c>
      <c r="C693">
        <f>Inputs!$B$3&gt;=33</f>
        <v/>
      </c>
      <c r="D693">
        <f>IF(Skills!C20=1,60+(Inputs!$B$25+1)+Inputs!$B$29,IF(Skills!C20=2,90+Inputs!$B$26+Inputs!$B$29,IF(Skills!C20=3,120+Inputs!$B$27+Inputs!$B$29,MAX(0,(Inputs!$B$3-100)*3)+Inputs!$B$28+Inputs!$B$29)))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f>(1-Summary!$B$55)*T693+Summary!$B$55*V693</f>
        <v/>
      </c>
      <c r="P693">
        <f>IF(B710=0,0,O693/B710)</f>
        <v/>
      </c>
      <c r="Q693" t="n">
        <v>0</v>
      </c>
      <c r="R693" t="n">
        <v>0</v>
      </c>
      <c r="S693">
        <f>IFERROR(O693/N693,0)</f>
        <v/>
      </c>
      <c r="T693" t="n">
        <v>0</v>
      </c>
      <c r="V693" t="n">
        <v>0</v>
      </c>
    </row>
    <row r="694">
      <c r="A694">
        <f>Skills!A21</f>
        <v/>
      </c>
      <c r="B694">
        <f>Skills!B21</f>
        <v/>
      </c>
      <c r="C694">
        <f>Inputs!$B$3&gt;=38</f>
        <v/>
      </c>
      <c r="D694">
        <f>IF(Skills!C21=1,60+(Inputs!$B$25+1)+Inputs!$B$29,IF(Skills!C21=2,90+Inputs!$B$26+Inputs!$B$29,IF(Skills!C21=3,120+Inputs!$B$27+Inputs!$B$29,MAX(0,(Inputs!$B$3-100)*3)+Inputs!$B$28+Inputs!$B$29)))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f>(1-Summary!$B$55)*T694+Summary!$B$55*V694</f>
        <v/>
      </c>
      <c r="P694">
        <f>IF(B710=0,0,O694/B710)</f>
        <v/>
      </c>
      <c r="Q694" t="n">
        <v>0</v>
      </c>
      <c r="R694" t="n">
        <v>0</v>
      </c>
      <c r="S694">
        <f>IFERROR(O694/N694,0)</f>
        <v/>
      </c>
      <c r="T694" t="n">
        <v>0</v>
      </c>
      <c r="V694" t="n">
        <v>0</v>
      </c>
    </row>
    <row r="695">
      <c r="A695">
        <f>Skills!A22</f>
        <v/>
      </c>
      <c r="B695">
        <f>Skills!B22</f>
        <v/>
      </c>
      <c r="C695">
        <f>Inputs!$B$3&gt;=43</f>
        <v/>
      </c>
      <c r="D695">
        <f>IF(Skills!C22=1,60+(Inputs!$B$25+1)+Inputs!$B$29,IF(Skills!C22=2,90+Inputs!$B$26+Inputs!$B$29,IF(Skills!C22=3,120+Inputs!$B$27+Inputs!$B$29,MAX(0,(Inputs!$B$3-100)*3)+Inputs!$B$28+Inputs!$B$29)))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f>(1-Summary!$B$55)*T695+Summary!$B$55*V695</f>
        <v/>
      </c>
      <c r="P695">
        <f>IF(B710=0,0,O695/B710)</f>
        <v/>
      </c>
      <c r="Q695" t="n">
        <v>0</v>
      </c>
      <c r="R695" t="n">
        <v>0</v>
      </c>
      <c r="S695">
        <f>IFERROR(O695/N695,0)</f>
        <v/>
      </c>
      <c r="T695" t="n">
        <v>0</v>
      </c>
      <c r="V695" t="n">
        <v>0</v>
      </c>
    </row>
    <row r="696">
      <c r="A696">
        <f>Skills!A23</f>
        <v/>
      </c>
      <c r="B696">
        <f>Skills!B23</f>
        <v/>
      </c>
      <c r="C696">
        <f>Inputs!$B$3&gt;=120</f>
        <v/>
      </c>
      <c r="D696">
        <f>IF(Skills!C23=1,60+(Inputs!$B$25+1)+Inputs!$B$29,IF(Skills!C23=2,90+Inputs!$B$26+Inputs!$B$29,IF(Skills!C23=3,120+Inputs!$B$27+Inputs!$B$29,MAX(0,(Inputs!$B$3-100)*3)+Inputs!$B$28+Inputs!$B$29)))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f>(1-Summary!$B$55)*T696+Summary!$B$55*V696</f>
        <v/>
      </c>
      <c r="P696">
        <f>IF(B710=0,0,O696/B710)</f>
        <v/>
      </c>
      <c r="Q696" t="n">
        <v>0</v>
      </c>
      <c r="R696" t="n">
        <v>0</v>
      </c>
      <c r="S696">
        <f>IFERROR(O696/N696,0)</f>
        <v/>
      </c>
      <c r="T696" t="n">
        <v>0</v>
      </c>
      <c r="V696" t="n">
        <v>0</v>
      </c>
    </row>
    <row r="697">
      <c r="A697">
        <f>Skills!A24</f>
        <v/>
      </c>
      <c r="B697">
        <f>Skills!B24</f>
        <v/>
      </c>
      <c r="C697">
        <f>Inputs!$B$3&gt;=120</f>
        <v/>
      </c>
      <c r="D697">
        <f>IF(Skills!C24=1,60+(Inputs!$B$25+1)+Inputs!$B$29,IF(Skills!C24=2,90+Inputs!$B$26+Inputs!$B$29,IF(Skills!C24=3,120+Inputs!$B$27+Inputs!$B$29,MAX(0,(Inputs!$B$3-100)*3)+Inputs!$B$28+Inputs!$B$29)))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f>(1-Summary!$B$55)*T697+Summary!$B$55*V697</f>
        <v/>
      </c>
      <c r="P697">
        <f>IF(B710=0,0,O697/B710)</f>
        <v/>
      </c>
      <c r="Q697" t="n">
        <v>0</v>
      </c>
      <c r="R697" t="n">
        <v>0</v>
      </c>
      <c r="S697">
        <f>IFERROR(O697/N697,0)</f>
        <v/>
      </c>
      <c r="T697" t="n">
        <v>0</v>
      </c>
      <c r="V697" t="n">
        <v>0</v>
      </c>
    </row>
    <row r="699">
      <c r="A699" t="inlineStr">
        <is>
          <t>Attack% Bucket Multiplier</t>
        </is>
      </c>
      <c r="B699">
        <f>(1+(((C686=TRUE)*F686*MIN(1,Skills!T13*(Skills!J13/100)*B704))+((C691=TRUE)*F691*IF(AND(Inputs!$B$38&lt;&gt;"pvp",Inputs!$B$43&gt;0),(((R691-1)*(Skills!T18*(1+Inputs!$B$34/100))+MIN((Skills!T18*(1+Inputs!$B$34/100)),MAX(0,Inputs!$B$43-((R691-1)*Skills!D18))))/Inputs!$B$43),IF(Inputs!$B$38="pvp",MIN((Skills!T18*(1+Inputs!$B$34/100)),15)/15,(Skills!T18*(1+Inputs!$B$34/100))/Skills!D18)))+0)/100)</f>
        <v/>
      </c>
    </row>
    <row r="700">
      <c r="A700" t="inlineStr">
        <is>
          <t>Global Crit Rate Bonus %</t>
        </is>
      </c>
      <c r="B700" t="n">
        <v>0</v>
      </c>
    </row>
    <row r="701">
      <c r="A701" t="inlineStr">
        <is>
          <t>Attack Speed Buff Bonus %</t>
        </is>
      </c>
      <c r="B701">
        <f>((C692=TRUE)*F692*IF(AND(Inputs!$B$38&lt;&gt;"pvp",Inputs!$B$43&gt;0),(((R692-1)*(Skills!T19*(1+Inputs!$B$34/100))+MIN((Skills!T19*(1+Inputs!$B$34/100)),MAX(0,Inputs!$B$43-((R692-1)*Skills!D19))))/Inputs!$B$43),IF(Inputs!$B$38="pvp",MIN((Skills!T19*(1+Inputs!$B$34/100)),15)/15,(Skills!T19*(1+Inputs!$B$34/100))/Skills!D19)))</f>
        <v/>
      </c>
    </row>
    <row r="702">
      <c r="A702" t="inlineStr">
        <is>
          <t>Actions Per Second</t>
        </is>
      </c>
      <c r="B702">
        <f>1+MIN(150,150*(1-(1-(Inputs!$B$11+((C693=TRUE)*(F693-Calc!F20)))/150)*(1-B701/150)))/100</f>
        <v/>
      </c>
    </row>
    <row r="703">
      <c r="A703" t="inlineStr">
        <is>
          <t>Skill + Buff Cast Rate</t>
        </is>
      </c>
      <c r="B703">
        <f>IF(AND(Inputs!$B$38&lt;&gt;"pvp",Inputs!$B$43&gt;0),SUMPRODUCT((Skills!E2:E24=TRUE)*(C675:C697=TRUE)*R675:R697*Skills!F2:F24)/Inputs!$B$43,SUMPRODUCT((Skills!E2:E24=TRUE)*(C675:C697=TRUE)*Q675:Q697*Skills!F2:F24))</f>
        <v/>
      </c>
    </row>
    <row r="704">
      <c r="A704" t="inlineStr">
        <is>
          <t>Blast Casts Per Second</t>
        </is>
      </c>
      <c r="B704">
        <f>MAX(0,B702-B703)</f>
        <v/>
      </c>
    </row>
    <row r="705">
      <c r="A705" t="inlineStr">
        <is>
          <t>Global Critical Damage Bonus % (unused)</t>
        </is>
      </c>
      <c r="B705" t="n">
        <v>0</v>
      </c>
    </row>
    <row r="706">
      <c r="A706" t="inlineStr">
        <is>
          <t>Global Final Damage Bonus % (Divine Shield + Guardian + Divine Blessing + Greater Vessel of Light)</t>
        </is>
      </c>
      <c r="B706">
        <f>((C688=TRUE)*F688*IF(AND(Inputs!$B$38&lt;&gt;"pvp",Inputs!$B$43&gt;0),(((R688-1)*(Skills!T15*(1+Inputs!$B$34/100))+MIN((Skills!T15*(1+Inputs!$B$34/100)),MAX(0,Inputs!$B$43-((R688-1)*Skills!D15))))/Inputs!$B$43),IF(Inputs!$B$38="pvp",MIN((Skills!T15*(1+Inputs!$B$34/100)),15)/15,(Skills!T15*(1+Inputs!$B$34/100))/Skills!D15)))+((C689=TRUE)*F689*IF(AND(Inputs!$B$38&lt;&gt;"pvp",Inputs!$B$43&gt;0),(((R689-1)*(Skills!T16*(1+Inputs!$B$34/100))+MIN((Skills!T16*(1+Inputs!$B$34/100)),MAX(0,Inputs!$B$43-((R689-1)*Skills!D16))))/Inputs!$B$43),IF(Inputs!$B$38="pvp",MIN((Skills!T16*(1+Inputs!$B$34/100)),15)/15,(Skills!T16*(1+Inputs!$B$34/100))/Skills!D16)))+((C690=TRUE)*F690*IF(AND(Inputs!$B$38&lt;&gt;"pvp",Inputs!$B$43&gt;0),(((R690-1)*(Skills!T17*(1+Inputs!$B$34/100))+MIN((Skills!T17*(1+Inputs!$B$34/100)),MAX(0,Inputs!$B$43-((R690-1)*Skills!D17))))/Inputs!$B$43),IF(Inputs!$B$38="pvp",MIN((Skills!T17*(1+Inputs!$B$34/100)),15)/15,(Skills!T17*(1+Inputs!$B$34/100))/Skills!D17)))+((C687=TRUE)*F687*MIN(1,Skills!T13*(Skills!J13/100)*B704))</f>
        <v/>
      </c>
    </row>
    <row r="707">
      <c r="A707" t="inlineStr">
        <is>
          <t>Buff-Casting Startup Delay (s, fixed-duration only)</t>
        </is>
      </c>
      <c r="B707">
        <f>IF(AND(Inputs!$B$38&lt;&gt;"pvp",Inputs!$B$43&gt;0),SUMPRODUCT((Skills!T2:T24&gt;0)*(Skills!E2:E24=TRUE)*(C675:C697=TRUE))/B702,0)</f>
        <v/>
      </c>
    </row>
    <row r="708">
      <c r="A708" t="inlineStr">
        <is>
          <t>Boss-Only Total DPS (this block's swept value)</t>
        </is>
      </c>
      <c r="B708">
        <f>SUM(T675:T697)</f>
        <v/>
      </c>
    </row>
    <row r="709">
      <c r="A709" t="inlineStr">
        <is>
          <t>Normal-Only Total DPS (this block's swept value)</t>
        </is>
      </c>
      <c r="B709">
        <f>SUM(V675:V697)</f>
        <v/>
      </c>
    </row>
    <row r="710">
      <c r="A710" s="5" t="inlineStr">
        <is>
          <t>TOTAL DPS</t>
        </is>
      </c>
      <c r="B710" s="5">
        <f>SUM(O675:O697)</f>
        <v/>
      </c>
    </row>
    <row r="713">
      <c r="A713" s="5" t="inlineStr">
        <is>
          <t>Stat: Skill Level Bonus — 2nd Job</t>
        </is>
      </c>
    </row>
    <row r="714">
      <c r="A714" s="9" t="inlineStr">
        <is>
          <t>Key</t>
        </is>
      </c>
      <c r="B714" s="9" t="inlineStr">
        <is>
          <t>Name</t>
        </is>
      </c>
      <c r="C714" s="9" t="inlineStr">
        <is>
          <t>Unlocked</t>
        </is>
      </c>
      <c r="D714" s="9" t="inlineStr">
        <is>
          <t>InputLevel</t>
        </is>
      </c>
      <c r="E714" s="9" t="inlineStr">
        <is>
          <t>Factor</t>
        </is>
      </c>
      <c r="F714" s="9" t="inlineStr">
        <is>
          <t>CoefficientPercent</t>
        </is>
      </c>
      <c r="G714" s="9" t="inlineStr">
        <is>
          <t>EffectiveHits</t>
        </is>
      </c>
      <c r="H714" s="9" t="inlineStr">
        <is>
          <t>ProcProbability</t>
        </is>
      </c>
      <c r="I714" s="9" t="inlineStr">
        <is>
          <t>MapleHeroMultiplier</t>
        </is>
      </c>
      <c r="J714" s="9" t="inlineStr">
        <is>
          <t>BaseDamage</t>
        </is>
      </c>
      <c r="K714" s="9" t="inlineStr">
        <is>
          <t>BaseHitDamage</t>
        </is>
      </c>
      <c r="L714" s="9" t="inlineStr">
        <is>
          <t>NonCritAvg</t>
        </is>
      </c>
      <c r="M714" s="9" t="inlineStr">
        <is>
          <t>CritAvg</t>
        </is>
      </c>
      <c r="N714" s="9" t="inlineStr">
        <is>
          <t>ExpectedDamage(perHit)</t>
        </is>
      </c>
      <c r="O714" s="9" t="inlineStr">
        <is>
          <t>DPS</t>
        </is>
      </c>
      <c r="P714" s="9" t="inlineStr">
        <is>
          <t>% of Total</t>
        </is>
      </c>
      <c r="Q714" s="9" t="inlineStr">
        <is>
          <t>InvCooldown</t>
        </is>
      </c>
      <c r="R714" s="9" t="inlineStr">
        <is>
          <t>CastsInFight</t>
        </is>
      </c>
      <c r="S714" s="9"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746)/100)*(1+(IF(Skills!A2="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715)</f>
        <v/>
      </c>
      <c r="L715">
        <f>K715*(MIN(Inputs!$B$22+((C735=TRUE)*(F735-Calc!F22)),Inputs!$B$23+((C737=TRUE)*(F737-Calc!F24)))/100+(Inputs!$B$23+((C737=TRUE)*(F737-Calc!F24)))/100)/2</f>
        <v/>
      </c>
      <c r="M715">
        <f>L715*(1+(Inputs!$B$10+0+B745)/100)</f>
        <v/>
      </c>
      <c r="N715">
        <f>L715*(1-MIN((Inputs!$B$9+0+B740),100)/100)+M715*(MIN((Inputs!$B$9+0+B740),100)/100)</f>
        <v/>
      </c>
      <c r="O715">
        <f>(1-Summary!$B$55)*T715+Summary!$B$55*V715</f>
        <v/>
      </c>
      <c r="P715">
        <f>IF(B750=0,0,O715/B750)</f>
        <v/>
      </c>
      <c r="Q715" t="n">
        <v>0</v>
      </c>
      <c r="R715" t="n">
        <v>0</v>
      </c>
      <c r="S715">
        <f>IFERROR(O715/N715,0)</f>
        <v/>
      </c>
      <c r="T715">
        <f>IF(C715,(Skills!G2*N715*B744)*IF(Inputs!$B$38="pvp",1,1+(Inputs!$B$20+0+Skills!P2)/100),0)</f>
        <v/>
      </c>
      <c r="U715">
        <f>MAX(0,(Inputs!$B$3-100)*3)+Inputs!$B$28+Inputs!$B$29</f>
        <v/>
      </c>
      <c r="V715">
        <f>IF(C715,(Skills!G2*N715*B744)*IF(Inputs!$B$38="pvp",1,(1+(Inputs!$B$21+Skills!Q2)/100)*(MIN((6+Inputs!$B$33),Inputs!$B$37))),0)</f>
        <v/>
      </c>
    </row>
    <row r="716">
      <c r="A716">
        <f>Skills!A3</f>
        <v/>
      </c>
      <c r="B716">
        <f>Skills!B3</f>
        <v/>
      </c>
      <c r="C716">
        <f>Inputs!$B$3&gt;=50</f>
        <v/>
      </c>
      <c r="D716">
        <f>IF(Skills!C3=1,60+Inputs!$B$25+Inputs!$B$29,IF(Skills!C3=2,90+(Inputs!$B$26+1)+Inputs!$B$29,IF(Skills!C3=3,120+Inputs!$B$27+Inputs!$B$29,MAX(0,(Inputs!$B$3-100)*3)+Inputs!$B$28+Inputs!$B$29)))</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Inputs!$B$3&gt;=35</f>
        <v/>
      </c>
      <c r="D717">
        <f>IF(Skills!C4=1,60+Inputs!$B$25+Inputs!$B$29,IF(Skills!C4=2,90+(Inputs!$B$26+1)+Inputs!$B$29,IF(Skills!C4=3,120+Inputs!$B$27+Inputs!$B$29,MAX(0,(Inputs!$B$3-100)*3)+Inputs!$B$28+Inputs!$B$29)))</f>
        <v/>
      </c>
      <c r="E717">
        <f>INDEX(FactorTable!$B$2:$Y$301, MATCH(ROUND(MIN(300,MAX(1,D717)),0), FactorTable!$A$2:$A$301,0), Skills!M4+1)</f>
        <v/>
      </c>
      <c r="F717">
        <f>IF(Skills!N4=TRUE,(Skills!L4/10)*(E717/1000),Skills!L4/10)+Skills!O4</f>
        <v/>
      </c>
      <c r="G717">
        <f>Skills!G4*IF(Skills!H4&gt;0,Skills!I4/Skills!H4,1)</f>
        <v/>
      </c>
      <c r="H717">
        <f>1-(1-Skills!J4/100)^Skills!K4</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746)/100)*(1+4.0*IF(C725=TRUE,F725,0)/100)*(1+(IF(Skills!A4="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717)</f>
        <v/>
      </c>
      <c r="L717">
        <f>K717*(MIN(Inputs!$B$22+((C735=TRUE)*(F735-Calc!F22)),Inputs!$B$23+((C737=TRUE)*(F737-Calc!F24)))/100+(Inputs!$B$23+((C737=TRUE)*(F737-Calc!F24)))/100)/2</f>
        <v/>
      </c>
      <c r="M717">
        <f>L717*(1+(Inputs!$B$10+0+B745)/100)</f>
        <v/>
      </c>
      <c r="N717">
        <f>L717*(1-MIN((Inputs!$B$9+0+B740),100)/100)+M717*(MIN((Inputs!$B$9+0+B740),100)/100)</f>
        <v/>
      </c>
      <c r="O717">
        <f>(1-Summary!$B$55)*T717+Summary!$B$55*V717</f>
        <v/>
      </c>
      <c r="P717">
        <f>IF(B750=0,0,O717/B750)</f>
        <v/>
      </c>
      <c r="Q717">
        <f>IFERROR(1/IF(Inputs!$B$38="pvp",15,MAX(0.1,Skills!D4-IF(Skills!E4=TRUE,Inputs!$B$32,0))),0)</f>
        <v/>
      </c>
      <c r="R717">
        <f>IF(AND(Inputs!$B$38&lt;&gt;"pvp",Inputs!$B$43&gt;0),IF(MAX(0,Inputs!$B$43-B747)&lt;=0,0,(INT(MAX(0,Inputs!$B$43-B747)/IF(Inputs!$B$38="pvp",15,MAX(0.1,Skills!D4-IF(Skills!E4=TRUE,Inputs!$B$32,0))))+1)),0)</f>
        <v/>
      </c>
      <c r="S717">
        <f>IFERROR(O717/N717,0)</f>
        <v/>
      </c>
      <c r="T717">
        <f>IF(C717,(H717*N717*IF(AND(Inputs!$B$38&lt;&gt;"pvp",Inputs!$B$43&gt;0),((Skills!G4*((R717-1)*IF(Skills!H4&gt;0,Skills!I4/Skills!H4,1)+IF(Skills!H4&gt;0,MIN(Skills!I4,MAX(0,MAX(0,Inputs!$B$43-B747)-((R717-1)*IF(Inputs!$B$38="pvp",15,MAX(0.1,Skills!D4-IF(Skills!E4=TRUE,Inputs!$B$32,0))))))/Skills!H4,1)))/Inputs!$B$43),G717*Q717))*IF(Inputs!$B$38="pvp",1,1+(Inputs!$B$20+0+Skills!P4)/100),0)</f>
        <v/>
      </c>
      <c r="U717">
        <f>290*U716/1000</f>
        <v/>
      </c>
      <c r="V717">
        <f>IF(C717,(H717*N717*IF(AND(Inputs!$B$38&lt;&gt;"pvp",Inputs!$B$43&gt;0),((Skills!G4*((R717-1)*IF(Skills!H4&gt;0,Skills!I4/Skills!H4,1)+IF(Skills!H4&gt;0,MIN(Skills!I4,MAX(0,MAX(0,Inputs!$B$43-B747)-((R717-1)*IF(Inputs!$B$38="pvp",15,MAX(0.1,Skills!D4-IF(Skills!E4=TRUE,Inputs!$B$32,0))))))/Skills!H4,1)))/Inputs!$B$43),G717*Q717))*IF(Inputs!$B$38="pvp",1,(1+(Inputs!$B$21+Skills!Q4)/100)*(MIN(Skills!R4,Inputs!$B$37))),0)</f>
        <v/>
      </c>
    </row>
    <row r="718">
      <c r="A718">
        <f>Skills!A5</f>
        <v/>
      </c>
      <c r="B718">
        <f>Skills!B5</f>
        <v/>
      </c>
      <c r="C718">
        <f>Inputs!$B$3&gt;=66</f>
        <v/>
      </c>
      <c r="D718">
        <f>IF(Skills!C5=1,60+Inputs!$B$25+Inputs!$B$29,IF(Skills!C5=2,90+(Inputs!$B$26+1)+Inputs!$B$29,IF(Skills!C5=3,120+Inputs!$B$27+Inputs!$B$29,MAX(0,(Inputs!$B$3-100)*3)+Inputs!$B$28+Inputs!$B$29)))</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746)/100)*(1+1.0*IF(C725=TRUE,F725,0)/100)*(1+(IF(Skills!A5="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718)</f>
        <v/>
      </c>
      <c r="L718">
        <f>K718*(MIN(Inputs!$B$22+((C735=TRUE)*(F735-Calc!F22)),Inputs!$B$23+((C737=TRUE)*(F737-Calc!F24)))/100+(Inputs!$B$23+((C737=TRUE)*(F737-Calc!F24)))/100)/2</f>
        <v/>
      </c>
      <c r="M718">
        <f>L718*(1+(Inputs!$B$10+0+B745)/100)</f>
        <v/>
      </c>
      <c r="N718">
        <f>L718*(1-MIN((Inputs!$B$9+0+B740),100)/100)+M718*(MIN((Inputs!$B$9+0+B740),100)/100)</f>
        <v/>
      </c>
      <c r="O718">
        <f>(1-Summary!$B$55)*T718+Summary!$B$55*V718</f>
        <v/>
      </c>
      <c r="P718">
        <f>IF(B750=0,0,O718/B750)</f>
        <v/>
      </c>
      <c r="Q718">
        <f>IFERROR(1/IF(Inputs!$B$38="pvp",15,MAX(0.1,Skills!D5-IF(Skills!E5=TRUE,Inputs!$B$32,0))),0)</f>
        <v/>
      </c>
      <c r="R718">
        <f>IF(AND(Inputs!$B$38&lt;&gt;"pvp",Inputs!$B$43&gt;0),IF(MAX(0,Inputs!$B$43-B747)&lt;=0,0,(INT(MAX(0,Inputs!$B$43-B747)/IF(Inputs!$B$38="pvp",15,MAX(0.1,Skills!D5-IF(Skills!E5=TRUE,Inputs!$B$32,0))))+1)),0)</f>
        <v/>
      </c>
      <c r="S718">
        <f>IFERROR(O718/N718,0)</f>
        <v/>
      </c>
      <c r="T718">
        <f>IF(C718,(H718*N718*IF(AND(Inputs!$B$38&lt;&gt;"pvp",Inputs!$B$43&gt;0),((Skills!G5*((R718-1)*IF(Skills!H5&gt;0,Skills!I5/Skills!H5,1)+IF(Skills!H5&gt;0,MIN(Skills!I5,MAX(0,MAX(0,Inputs!$B$43-B747)-((R718-1)*IF(Inputs!$B$38="pvp",15,MAX(0.1,Skills!D5-IF(Skills!E5=TRUE,Inputs!$B$32,0))))))/Skills!H5,1)))/Inputs!$B$43),G718*Q718))*IF(Inputs!$B$38="pvp",1,1+(Inputs!$B$20+0+Skills!P5)/100),0)</f>
        <v/>
      </c>
      <c r="V718">
        <f>IF(C718,(H718*N718*IF(AND(Inputs!$B$38&lt;&gt;"pvp",Inputs!$B$43&gt;0),((Skills!G5*((R718-1)*IF(Skills!H5&gt;0,Skills!I5/Skills!H5,1)+IF(Skills!H5&gt;0,MIN(Skills!I5,MAX(0,MAX(0,Inputs!$B$43-B747)-((R718-1)*IF(Inputs!$B$38="pvp",15,MAX(0.1,Skills!D5-IF(Skills!E5=TRUE,Inputs!$B$32,0))))))/Skills!H5,1)))/Inputs!$B$43),G718*Q718))*IF(Inputs!$B$38="pvp",1,(1+(Inputs!$B$21+Skills!Q5)/100)*(MIN(Skills!R5,Inputs!$B$37))),0)</f>
        <v/>
      </c>
    </row>
    <row r="719">
      <c r="A719">
        <f>Skills!A6</f>
        <v/>
      </c>
      <c r="B719">
        <f>Skills!B6</f>
        <v/>
      </c>
      <c r="C719">
        <f>Inputs!$B$3&gt;=103</f>
        <v/>
      </c>
      <c r="D719">
        <f>IF(Skills!C6=1,60+Inputs!$B$25+Inputs!$B$29,IF(Skills!C6=2,90+(Inputs!$B$26+1)+Inputs!$B$29,IF(Skills!C6=3,120+Inputs!$B$27+Inputs!$B$29,MAX(0,(Inputs!$B$3-100)*3)+Inputs!$B$28+Inputs!$B$29)))</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746)/100)*(1+(IF(Skills!A6="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719)</f>
        <v/>
      </c>
      <c r="L719">
        <f>K719*(MIN(Inputs!$B$22+((C735=TRUE)*(F735-Calc!F22)),Inputs!$B$23+((C737=TRUE)*(F737-Calc!F24)))/100+(Inputs!$B$23+((C737=TRUE)*(F737-Calc!F24)))/100)/2</f>
        <v/>
      </c>
      <c r="M719">
        <f>L719*(1+(Inputs!$B$10+0+B745)/100)</f>
        <v/>
      </c>
      <c r="N719">
        <f>L719*(1-MIN((Inputs!$B$9+0+B740),100)/100)+M719*(MIN((Inputs!$B$9+0+B740),100)/100)</f>
        <v/>
      </c>
      <c r="O719">
        <f>(1-Summary!$B$55)*T719+Summary!$B$55*V719</f>
        <v/>
      </c>
      <c r="P719">
        <f>IF(B750=0,0,O719/B750)</f>
        <v/>
      </c>
      <c r="Q719">
        <f>IFERROR(1/IF(Inputs!$B$38="pvp",15,MAX(0.1,Skills!D6-IF(Skills!E6=TRUE,Inputs!$B$32,0))),0)</f>
        <v/>
      </c>
      <c r="R719">
        <f>IF(AND(Inputs!$B$38&lt;&gt;"pvp",Inputs!$B$43&gt;0),IF(MAX(0,Inputs!$B$43-B747)&lt;=0,0,(INT(MAX(0,Inputs!$B$43-B747)/IF(Inputs!$B$38="pvp",15,MAX(0.1,Skills!D6-IF(Skills!E6=TRUE,Inputs!$B$32,0))))+1)),0)</f>
        <v/>
      </c>
      <c r="S719">
        <f>IFERROR(O719/N719,0)</f>
        <v/>
      </c>
      <c r="T719">
        <f>IF(C719,(H719*N719*IF(AND(Inputs!$B$38&lt;&gt;"pvp",Inputs!$B$43&gt;0),((Skills!G6*((R719-1)*IF(Skills!H6&gt;0,Skills!I6/Skills!H6,1)+IF(Skills!H6&gt;0,MIN(Skills!I6,MAX(0,MAX(0,Inputs!$B$43-B747)-((R719-1)*IF(Inputs!$B$38="pvp",15,MAX(0.1,Skills!D6-IF(Skills!E6=TRUE,Inputs!$B$32,0))))))/Skills!H6,1)))/Inputs!$B$43),G719*Q719))*IF(Inputs!$B$38="pvp",1,1+(Inputs!$B$20+0+Skills!P6)/100),0)</f>
        <v/>
      </c>
      <c r="V719">
        <f>IF(C719,(H719*N719*IF(AND(Inputs!$B$38&lt;&gt;"pvp",Inputs!$B$43&gt;0),((Skills!G6*((R719-1)*IF(Skills!H6&gt;0,Skills!I6/Skills!H6,1)+IF(Skills!H6&gt;0,MIN(Skills!I6,MAX(0,MAX(0,Inputs!$B$43-B747)-((R719-1)*IF(Inputs!$B$38="pvp",15,MAX(0.1,Skills!D6-IF(Skills!E6=TRUE,Inputs!$B$32,0))))))/Skills!H6,1)))/Inputs!$B$43),G719*Q719))*IF(Inputs!$B$38="pvp",1,(1+(Inputs!$B$21+Skills!Q6)/100)*(MIN(Skills!R6,Inputs!$B$37))),0)</f>
        <v/>
      </c>
    </row>
    <row r="720">
      <c r="A720">
        <f>Skills!A7</f>
        <v/>
      </c>
      <c r="B720">
        <f>Skills!B7</f>
        <v/>
      </c>
      <c r="C720">
        <f>Inputs!$B$3&gt;=107</f>
        <v/>
      </c>
      <c r="D720">
        <f>IF(Skills!C7=1,60+Inputs!$B$25+Inputs!$B$29,IF(Skills!C7=2,90+(Inputs!$B$26+1)+Inputs!$B$29,IF(Skills!C7=3,120+Inputs!$B$27+Inputs!$B$29,MAX(0,(Inputs!$B$3-100)*3)+Inputs!$B$28+Inputs!$B$29)))</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746)/100)*(1+(IF(Skills!A7="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720)</f>
        <v/>
      </c>
      <c r="L720">
        <f>K720*(MIN(Inputs!$B$22+((C735=TRUE)*(F735-Calc!F22)),Inputs!$B$23+((C737=TRUE)*(F737-Calc!F24)))/100+(Inputs!$B$23+((C737=TRUE)*(F737-Calc!F24)))/100)/2</f>
        <v/>
      </c>
      <c r="M720">
        <f>L720*(1+(Inputs!$B$10+0+B745)/100)</f>
        <v/>
      </c>
      <c r="N720">
        <f>L720*(1-MIN((Inputs!$B$9+0+B740),100)/100)+M720*(MIN((Inputs!$B$9+0+B740),100)/100)</f>
        <v/>
      </c>
      <c r="O720">
        <f>(1-Summary!$B$55)*T720+Summary!$B$55*V720</f>
        <v/>
      </c>
      <c r="P720">
        <f>IF(B750=0,0,O720/B750)</f>
        <v/>
      </c>
      <c r="Q720">
        <f>IFERROR(1/IF(Inputs!$B$38="pvp",15,MAX(0.1,Skills!D7-IF(Skills!E7=TRUE,Inputs!$B$32,0))),0)</f>
        <v/>
      </c>
      <c r="R720">
        <f>IF(AND(Inputs!$B$38&lt;&gt;"pvp",Inputs!$B$43&gt;0),IF(MAX(0,Inputs!$B$43-B747)&lt;=0,0,(INT(MAX(0,Inputs!$B$43-B747)/IF(Inputs!$B$38="pvp",15,MAX(0.1,Skills!D7-IF(Skills!E7=TRUE,Inputs!$B$32,0))))+1)),0)</f>
        <v/>
      </c>
      <c r="S720">
        <f>IFERROR(O720/N720,0)</f>
        <v/>
      </c>
      <c r="T720">
        <f>IF(C720,(H720*N720*IF(AND(Inputs!$B$38&lt;&gt;"pvp",Inputs!$B$43&gt;0),((Skills!G7*((R720-1)*IF(Skills!H7&gt;0,Skills!I7/Skills!H7,1)+IF(Skills!H7&gt;0,MIN(Skills!I7,MAX(0,MAX(0,Inputs!$B$43-B747)-((R720-1)*IF(Inputs!$B$38="pvp",15,MAX(0.1,Skills!D7-IF(Skills!E7=TRUE,Inputs!$B$32,0))))))/Skills!H7,1)))/Inputs!$B$43),G720*Q720))*IF(Inputs!$B$38="pvp",1,1+(Inputs!$B$20+0+Skills!P7)/100),0)</f>
        <v/>
      </c>
      <c r="V720">
        <f>IF(C720,(H720*N720*IF(AND(Inputs!$B$38&lt;&gt;"pvp",Inputs!$B$43&gt;0),((Skills!G7*((R720-1)*IF(Skills!H7&gt;0,Skills!I7/Skills!H7,1)+IF(Skills!H7&gt;0,MIN(Skills!I7,MAX(0,MAX(0,Inputs!$B$43-B747)-((R720-1)*IF(Inputs!$B$38="pvp",15,MAX(0.1,Skills!D7-IF(Skills!E7=TRUE,Inputs!$B$32,0))))))/Skills!H7,1)))/Inputs!$B$43),G720*Q720))*IF(Inputs!$B$38="pvp",1,(1+(Inputs!$B$21+Skills!Q7)/100)*(MIN(Skills!R7,Inputs!$B$37))),0)</f>
        <v/>
      </c>
    </row>
    <row r="721">
      <c r="A721">
        <f>Skills!A8</f>
        <v/>
      </c>
      <c r="B721">
        <f>Skills!B8</f>
        <v/>
      </c>
      <c r="C721">
        <f>Inputs!$B$3&gt;=107</f>
        <v/>
      </c>
      <c r="D721">
        <f>IF(Skills!C8=1,60+Inputs!$B$25+Inputs!$B$29,IF(Skills!C8=2,90+(Inputs!$B$26+1)+Inputs!$B$29,IF(Skills!C8=3,120+Inputs!$B$27+Inputs!$B$29,MAX(0,(Inputs!$B$3-100)*3)+Inputs!$B$28+Inputs!$B$29)))</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746)/100)*(1+(IF(Skills!A8="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721)</f>
        <v/>
      </c>
      <c r="L721">
        <f>K721*(MIN(Inputs!$B$22+((C735=TRUE)*(F735-Calc!F22)),Inputs!$B$23+((C737=TRUE)*(F737-Calc!F24)))/100+(Inputs!$B$23+((C737=TRUE)*(F737-Calc!F24)))/100)/2</f>
        <v/>
      </c>
      <c r="M721">
        <f>L721*(1+(Inputs!$B$10+0+B745)/100)</f>
        <v/>
      </c>
      <c r="N721">
        <f>L721*(1-MIN((Inputs!$B$9+0+B740),100)/100)+M721*(MIN((Inputs!$B$9+0+B740),100)/100)</f>
        <v/>
      </c>
      <c r="O721">
        <f>(1-Summary!$B$55)*T721+Summary!$B$55*V721</f>
        <v/>
      </c>
      <c r="P721">
        <f>IF(B750=0,0,O721/B750)</f>
        <v/>
      </c>
      <c r="Q721">
        <f>IFERROR(1/IF(Inputs!$B$38="pvp",15,MAX(0.1,Skills!D8-IF(Skills!E8=TRUE,Inputs!$B$32,0))),0)</f>
        <v/>
      </c>
      <c r="R721">
        <f>IF(AND(Inputs!$B$38&lt;&gt;"pvp",Inputs!$B$43&gt;0),IF(MAX(0,Inputs!$B$43-B747)&lt;=0,0,(INT(MAX(0,Inputs!$B$43-B747)/IF(Inputs!$B$38="pvp",15,MAX(0.1,Skills!D8-IF(Skills!E8=TRUE,Inputs!$B$32,0))))+1)),0)</f>
        <v/>
      </c>
      <c r="S721">
        <f>IFERROR(O721/N721,0)</f>
        <v/>
      </c>
      <c r="T721">
        <f>IF(C721,(H721*N721*IF(AND(Inputs!$B$38&lt;&gt;"pvp",Inputs!$B$43&gt;0),((Skills!G8*((R721-1)*IF(Skills!H8&gt;0,Skills!I8/Skills!H8,1)+IF(Skills!H8&gt;0,MIN(Skills!I8,MAX(0,MAX(0,Inputs!$B$43-B747)-((R721-1)*IF(Inputs!$B$38="pvp",15,MAX(0.1,Skills!D8-IF(Skills!E8=TRUE,Inputs!$B$32,0))))))/Skills!H8,1)))/Inputs!$B$43),G721*Q721))*IF(Inputs!$B$38="pvp",1,1+(Inputs!$B$20+0+Skills!P8)/100),0)</f>
        <v/>
      </c>
      <c r="V721">
        <f>IF(C721,(H721*N721*IF(AND(Inputs!$B$38&lt;&gt;"pvp",Inputs!$B$43&gt;0),((Skills!G8*((R721-1)*IF(Skills!H8&gt;0,Skills!I8/Skills!H8,1)+IF(Skills!H8&gt;0,MIN(Skills!I8,MAX(0,MAX(0,Inputs!$B$43-B747)-((R721-1)*IF(Inputs!$B$38="pvp",15,MAX(0.1,Skills!D8-IF(Skills!E8=TRUE,Inputs!$B$32,0))))))/Skills!H8,1)))/Inputs!$B$43),G721*Q721))*IF(Inputs!$B$38="pvp",1,(1+(Inputs!$B$21+Skills!Q8)/100)*(MIN(Skills!R8,Inputs!$B$37))),0)</f>
        <v/>
      </c>
    </row>
    <row r="722">
      <c r="A722">
        <f>Skills!A9</f>
        <v/>
      </c>
      <c r="B722">
        <f>Skills!B9</f>
        <v/>
      </c>
      <c r="C722">
        <f>Inputs!$B$3&gt;=125</f>
        <v/>
      </c>
      <c r="D722">
        <f>IF(Skills!C9=1,60+Inputs!$B$25+Inputs!$B$29,IF(Skills!C9=2,90+(Inputs!$B$26+1)+Inputs!$B$29,IF(Skills!C9=3,120+Inputs!$B$27+Inputs!$B$29,MAX(0,(Inputs!$B$3-100)*3)+Inputs!$B$28+Inputs!$B$29)))</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746)/100)*(1+(IF(Skills!A9="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722)</f>
        <v/>
      </c>
      <c r="L722">
        <f>K722*(MIN(Inputs!$B$22+((C735=TRUE)*(F735-Calc!F22)),Inputs!$B$23+((C737=TRUE)*(F737-Calc!F24)))/100+(Inputs!$B$23+((C737=TRUE)*(F737-Calc!F24)))/100)/2</f>
        <v/>
      </c>
      <c r="M722">
        <f>L722*(1+(Inputs!$B$10+0+B745)/100)</f>
        <v/>
      </c>
      <c r="N722">
        <f>L722*(1-MIN((Inputs!$B$9+0+B740),100)/100)+M722*(MIN((Inputs!$B$9+0+B740),100)/100)</f>
        <v/>
      </c>
      <c r="O722">
        <f>(1-Summary!$B$55)*T722+Summary!$B$55*V722</f>
        <v/>
      </c>
      <c r="P722">
        <f>IF(B750=0,0,O722/B750)</f>
        <v/>
      </c>
      <c r="Q722">
        <f>IFERROR(1/IF(Inputs!$B$38="pvp",15,MAX(0.1,Skills!D9-IF(Skills!E9=TRUE,Inputs!$B$32,0))),0)</f>
        <v/>
      </c>
      <c r="R722">
        <f>IF(AND(Inputs!$B$38&lt;&gt;"pvp",Inputs!$B$43&gt;0),IF(MAX(0,Inputs!$B$43-B747)&lt;=0,0,(INT(MAX(0,Inputs!$B$43-B747)/IF(Inputs!$B$38="pvp",15,MAX(0.1,Skills!D9-IF(Skills!E9=TRUE,Inputs!$B$32,0))))+1)),0)</f>
        <v/>
      </c>
      <c r="S722">
        <f>IFERROR(O722/N722,0)</f>
        <v/>
      </c>
      <c r="T722">
        <f>IF(C722,(H722*N722*IF(AND(Inputs!$B$38&lt;&gt;"pvp",Inputs!$B$43&gt;0),((Skills!G9*((R722-1)*IF(Skills!H9&gt;0,Skills!I9/Skills!H9,1)+IF(Skills!H9&gt;0,MIN(Skills!I9,MAX(0,MAX(0,Inputs!$B$43-B747)-((R722-1)*IF(Inputs!$B$38="pvp",15,MAX(0.1,Skills!D9-IF(Skills!E9=TRUE,Inputs!$B$32,0))))))/Skills!H9,1)))/Inputs!$B$43),G722*Q722))*IF(Inputs!$B$38="pvp",1,1+(Inputs!$B$20+0+Skills!P9)/100),0)</f>
        <v/>
      </c>
      <c r="V722">
        <f>IF(C722,(H722*N722*IF(AND(Inputs!$B$38&lt;&gt;"pvp",Inputs!$B$43&gt;0),((Skills!G9*((R722-1)*IF(Skills!H9&gt;0,Skills!I9/Skills!H9,1)+IF(Skills!H9&gt;0,MIN(Skills!I9,MAX(0,MAX(0,Inputs!$B$43-B747)-((R722-1)*IF(Inputs!$B$38="pvp",15,MAX(0.1,Skills!D9-IF(Skills!E9=TRUE,Inputs!$B$32,0))))))/Skills!H9,1)))/Inputs!$B$43),G722*Q722))*IF(Inputs!$B$38="pvp",1,(1+(Inputs!$B$21+Skills!Q9)/100)*(MIN(Skills!R9,Inputs!$B$37))),0)</f>
        <v/>
      </c>
    </row>
    <row r="723">
      <c r="A723">
        <f>Skills!A10</f>
        <v/>
      </c>
      <c r="B723">
        <f>Skills!B10</f>
        <v/>
      </c>
      <c r="C723">
        <f>Inputs!$B$3&gt;=117</f>
        <v/>
      </c>
      <c r="D723">
        <f>IF(Skills!C10=1,60+Inputs!$B$25+Inputs!$B$29,IF(Skills!C10=2,90+(Inputs!$B$26+1)+Inputs!$B$29,IF(Skills!C10=3,120+Inputs!$B$27+Inputs!$B$29,MAX(0,(Inputs!$B$3-100)*3)+Inputs!$B$28+Inputs!$B$29)))</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((Inputs!$B$6*(1+Inputs!$B$7/100))+(((Inputs!$B$12*(1+Inputs!$B$13/100))-(Inputs!$B$12*(1+Inputs!$B$13/100)))+0.25*(Inputs!$B$14-Inputs!$B$14))*(1+Inputs!$B$7/100))*(F723/100)</f>
        <v/>
      </c>
      <c r="K723">
        <f>J723*(1+((Inputs!$B$12*(1+Inputs!$B$13/100))*0.01+Inputs!$B$14*0.0025)/100)*(1+Inputs!$B$15/100)*(1+Inputs!$B$16/100)*(5000/(6000+Inputs!$B$42*(1-(Inputs!$B$19+0)/100)))*(1+(Inputs!$B$24+0+B746)/100)*(1+(IF(Skills!A10="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723)</f>
        <v/>
      </c>
      <c r="L723">
        <f>K723*(MIN(Inputs!$B$22+((C735=TRUE)*(F735-Calc!F22)),Inputs!$B$23+((C737=TRUE)*(F737-Calc!F24)))/100+(Inputs!$B$23+((C737=TRUE)*(F737-Calc!F24)))/100)/2</f>
        <v/>
      </c>
      <c r="M723">
        <f>L723*(1+(Inputs!$B$10+0+B745)/100)</f>
        <v/>
      </c>
      <c r="N723">
        <f>L723*(1-MIN((Inputs!$B$9+0+B740),100)/100)+M723*(MIN((Inputs!$B$9+0+B740),100)/100)</f>
        <v/>
      </c>
      <c r="O723">
        <f>(1-Summary!$B$55)*T723+Summary!$B$55*V723</f>
        <v/>
      </c>
      <c r="P723">
        <f>IF(B750=0,0,O723/B750)</f>
        <v/>
      </c>
      <c r="Q723">
        <f>IFERROR(1/IF(Inputs!$B$38="pvp",15,MAX(0.1,Skills!D10-IF(Skills!E10=TRUE,Inputs!$B$32,0))),0)</f>
        <v/>
      </c>
      <c r="R723">
        <f>IF(AND(Inputs!$B$38&lt;&gt;"pvp",Inputs!$B$43&gt;0),IF(MAX(0,Inputs!$B$43-B747)&lt;=0,0,(INT(MAX(0,Inputs!$B$43-B747)/IF(Inputs!$B$38="pvp",15,MAX(0.1,Skills!D10-IF(Skills!E10=TRUE,Inputs!$B$32,0))))+1)),0)</f>
        <v/>
      </c>
      <c r="S723">
        <f>IFERROR(O723/N723,0)</f>
        <v/>
      </c>
      <c r="T723">
        <f>IF(C723,(H723*N723*IF(AND(Inputs!$B$38&lt;&gt;"pvp",Inputs!$B$43&gt;0),((Skills!G10*((R723-1)*IF(Skills!H10&gt;0,Skills!I10/Skills!H10,1)+IF(Skills!H10&gt;0,MIN(Skills!I10,MAX(0,MAX(0,Inputs!$B$43-B747)-((R723-1)*IF(Inputs!$B$38="pvp",15,MAX(0.1,Skills!D10-IF(Skills!E10=TRUE,Inputs!$B$32,0))))))/Skills!H10,1)))/Inputs!$B$43),G723*Q723))*IF(Inputs!$B$38="pvp",1,1+(Inputs!$B$20+0+Skills!P10)/100),0)</f>
        <v/>
      </c>
      <c r="V723">
        <f>IF(C723,(H723*N723*IF(AND(Inputs!$B$38&lt;&gt;"pvp",Inputs!$B$43&gt;0),((Skills!G10*((R723-1)*IF(Skills!H10&gt;0,Skills!I10/Skills!H10,1)+IF(Skills!H10&gt;0,MIN(Skills!I10,MAX(0,MAX(0,Inputs!$B$43-B747)-((R723-1)*IF(Inputs!$B$38="pvp",15,MAX(0.1,Skills!D10-IF(Skills!E10=TRUE,Inputs!$B$32,0))))))/Skills!H10,1)))/Inputs!$B$43),G723*Q723))*IF(Inputs!$B$38="pvp",1,(1+(Inputs!$B$21+Skills!Q10)/100)*(MIN(Skills!R10,Inputs!$B$37))),0)</f>
        <v/>
      </c>
    </row>
    <row r="724">
      <c r="A724">
        <f>Skills!A11</f>
        <v/>
      </c>
      <c r="B724">
        <f>Skills!B11</f>
        <v/>
      </c>
      <c r="C724">
        <f>Inputs!$B$3&gt;=63</f>
        <v/>
      </c>
      <c r="D724">
        <f>IF(Skills!C11=1,60+Inputs!$B$25+Inputs!$B$29,IF(Skills!C11=2,90+(Inputs!$B$26+1)+Inputs!$B$29,IF(Skills!C11=3,120+Inputs!$B$27+Inputs!$B$29,MAX(0,(Inputs!$B$3-100)*3)+Inputs!$B$28+Inputs!$B$29)))</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((Inputs!$B$6*(1+Inputs!$B$7/100))+(((Inputs!$B$12*(1+Inputs!$B$13/100))-(Inputs!$B$12*(1+Inputs!$B$13/100)))+0.25*(Inputs!$B$14-Inputs!$B$14))*(1+Inputs!$B$7/100))*(F724/100)</f>
        <v/>
      </c>
      <c r="K724">
        <f>J724*(1+((Inputs!$B$12*(1+Inputs!$B$13/100))*0.01+Inputs!$B$14*0.0025)/100)*(1+Inputs!$B$15/100)*(1+Inputs!$B$16/100)*(5000/(6000+Inputs!$B$42*(1-(Inputs!$B$19+0)/100)))*(1+(Inputs!$B$24+0+B746)/100)*(1+1.5*IF(C725=TRUE,F725,0)/100)*(1+(IF(Skills!A11="BLAST",Inputs!$B$17+((C734=TRUE)*(F734-Calc!F21)),Inputs!$B$18+((C736=TRUE)*(F736-Calc!F23))))/100)*((1+(((C726=TRUE)*F726*MIN(1,Skills!T13*(Skills!J13/100)*B744))+((C731=TRUE)*F731*IF(AND(Inputs!$B$38&lt;&gt;"pvp",Inputs!$B$43&gt;0),(((R731-1)*(Skills!T18*(1+Inputs!$B$34/100))+MIN((Skills!T18*(1+Inputs!$B$34/100)),MAX(0,Inputs!$B$43-((R731-1)*Skills!D18))))/Inputs!$B$43),IF(Inputs!$B$38="pvp",MIN((Skills!T18*(1+Inputs!$B$34/100)),15)/15,(Skills!T18*(1+Inputs!$B$34/100))/Skills!D18)))+0)/100)*I724)</f>
        <v/>
      </c>
      <c r="L724">
        <f>K724*(MIN(Inputs!$B$22+((C735=TRUE)*(F735-Calc!F22)),Inputs!$B$23+((C737=TRUE)*(F737-Calc!F24)))/100+(Inputs!$B$23+((C737=TRUE)*(F737-Calc!F24)))/100)/2</f>
        <v/>
      </c>
      <c r="M724">
        <f>L724*(1+(Inputs!$B$10+0+B745)/100)</f>
        <v/>
      </c>
      <c r="N724">
        <f>L724*(1-MIN((Inputs!$B$9+0+B740),100)/100)+M724*(MIN((Inputs!$B$9+0+B740),100)/100)</f>
        <v/>
      </c>
      <c r="O724">
        <f>(1-Summary!$B$55)*T724+Summary!$B$55*V724</f>
        <v/>
      </c>
      <c r="P724">
        <f>IF(B750=0,0,O724/B750)</f>
        <v/>
      </c>
      <c r="Q724">
        <f>IFERROR(1/IF(Inputs!$B$38="pvp",15,MAX(0.1,Skills!D11-IF(Skills!E11=TRUE,Inputs!$B$32,0))),0)</f>
        <v/>
      </c>
      <c r="R724">
        <f>IF(AND(Inputs!$B$38&lt;&gt;"pvp",Inputs!$B$43&gt;0),IF(MAX(0,Inputs!$B$43-B747)&lt;=0,0,(INT(MAX(0,Inputs!$B$43-B747)/IF(Inputs!$B$38="pvp",15,MAX(0.1,Skills!D11-IF(Skills!E11=TRUE,Inputs!$B$32,0))))+1)),0)</f>
        <v/>
      </c>
      <c r="S724">
        <f>IFERROR(O724/N724,0)</f>
        <v/>
      </c>
      <c r="T724">
        <f>IF(C724,(H724*N724*IF(AND(Inputs!$B$38&lt;&gt;"pvp",Inputs!$B$43&gt;0),((Skills!G11*((R724-1)*IF(Skills!H11&gt;0,Skills!I11/Skills!H11,1)+IF(Skills!H11&gt;0,MIN(Skills!I11,MAX(0,MAX(0,Inputs!$B$43-B747)-((R724-1)*IF(Inputs!$B$38="pvp",15,MAX(0.1,Skills!D11-IF(Skills!E11=TRUE,Inputs!$B$32,0))))))/Skills!H11,1)))/Inputs!$B$43),G724*Q724))*IF(Inputs!$B$38="pvp",1,1+(Inputs!$B$20+0+Skills!P11)/100),0)</f>
        <v/>
      </c>
      <c r="V724">
        <f>IF(C724,(H724*N724*IF(AND(Inputs!$B$38&lt;&gt;"pvp",Inputs!$B$43&gt;0),((Skills!G11*((R724-1)*IF(Skills!H11&gt;0,Skills!I11/Skills!H11,1)+IF(Skills!H11&gt;0,MIN(Skills!I11,MAX(0,MAX(0,Inputs!$B$43-B747)-((R724-1)*IF(Inputs!$B$38="pvp",15,MAX(0.1,Skills!D11-IF(Skills!E11=TRUE,Inputs!$B$32,0))))))/Skills!H11,1)))/Inputs!$B$43),G724*Q724))*IF(Inputs!$B$38="pvp",1,(1+(Inputs!$B$21+Skills!Q11)/100)*(MIN(Skills!R11,Inputs!$B$37))),0)</f>
        <v/>
      </c>
    </row>
    <row r="725">
      <c r="A725">
        <f>Skills!A12</f>
        <v/>
      </c>
      <c r="B725">
        <f>Skills!B12</f>
        <v/>
      </c>
      <c r="C725">
        <f>Inputs!$B$3&gt;=100</f>
        <v/>
      </c>
      <c r="D725">
        <f>IF(Skills!C12=1,60+Inputs!$B$25+Inputs!$B$29,IF(Skills!C12=2,90+(Inputs!$B$26+1)+Inputs!$B$29,IF(Skills!C12=3,120+Inputs!$B$27+Inputs!$B$29,MAX(0,(Inputs!$B$3-100)*3)+Inputs!$B$28+Inputs!$B$29)))</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IF(Skills!C13=1,60+Inputs!$B$25+Inputs!$B$29,IF(Skills!C13=2,90+(Inputs!$B$26+1)+Inputs!$B$29,IF(Skills!C13=3,120+Inputs!$B$27+Inputs!$B$29,MAX(0,(Inputs!$B$3-100)*3)+Inputs!$B$28+Inputs!$B$29)))</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f>(1-Summary!$B$55)*T726+Summary!$B$55*V726</f>
        <v/>
      </c>
      <c r="P726">
        <f>IF(B750=0,0,O726/B750)</f>
        <v/>
      </c>
      <c r="Q726" t="n">
        <v>0</v>
      </c>
      <c r="R726" t="n">
        <v>0</v>
      </c>
      <c r="S726">
        <f>IFERROR(O726/N726,0)</f>
        <v/>
      </c>
      <c r="T726" t="n">
        <v>0</v>
      </c>
      <c r="V726" t="n">
        <v>0</v>
      </c>
    </row>
    <row r="727">
      <c r="A727">
        <f>Skills!A14</f>
        <v/>
      </c>
      <c r="B727">
        <f>Skills!B14</f>
        <v/>
      </c>
      <c r="C727">
        <f>Inputs!$B$3&gt;=110</f>
        <v/>
      </c>
      <c r="D727">
        <f>IF(Skills!C14=1,60+Inputs!$B$25+Inputs!$B$29,IF(Skills!C14=2,90+(Inputs!$B$26+1)+Inputs!$B$29,IF(Skills!C14=3,120+Inputs!$B$27+Inputs!$B$29,MAX(0,(Inputs!$B$3-100)*3)+Inputs!$B$28+Inputs!$B$29)))</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f>(1-Summary!$B$55)*T727+Summary!$B$55*V727</f>
        <v/>
      </c>
      <c r="P727">
        <f>IF(B750=0,0,O727/B750)</f>
        <v/>
      </c>
      <c r="Q727" t="n">
        <v>0</v>
      </c>
      <c r="R727" t="n">
        <v>0</v>
      </c>
      <c r="S727">
        <f>IFERROR(O727/N727,0)</f>
        <v/>
      </c>
      <c r="T727" t="n">
        <v>0</v>
      </c>
      <c r="V727" t="n">
        <v>0</v>
      </c>
    </row>
    <row r="728">
      <c r="A728">
        <f>Skills!A15</f>
        <v/>
      </c>
      <c r="B728">
        <f>Skills!B15</f>
        <v/>
      </c>
      <c r="C728">
        <f>Inputs!$B$3&gt;=75</f>
        <v/>
      </c>
      <c r="D728">
        <f>IF(Skills!C15=1,60+Inputs!$B$25+Inputs!$B$29,IF(Skills!C15=2,90+(Inputs!$B$26+1)+Inputs!$B$29,IF(Skills!C15=3,120+Inputs!$B$27+Inputs!$B$29,MAX(0,(Inputs!$B$3-100)*3)+Inputs!$B$28+Inputs!$B$29)))</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f>(1-Summary!$B$55)*T728+Summary!$B$55*V728</f>
        <v/>
      </c>
      <c r="P728">
        <f>IF(B750=0,0,O728/B750)</f>
        <v/>
      </c>
      <c r="Q728">
        <f>IFERROR(1/IF(Inputs!$B$38="pvp",15,MAX(0.1,Skills!D15-IF(Skills!E15=TRUE,Inputs!$B$32,0))),0)</f>
        <v/>
      </c>
      <c r="R728">
        <f>IF(AND(Inputs!$B$38&lt;&gt;"pvp",Inputs!$B$43&gt;0),IF(Inputs!$B$43&lt;=0,0,(INT(Inputs!$B$43/IF(Inputs!$B$38="pvp",15,MAX(0.1,Skills!D15-IF(Skills!E15=TRUE,Inputs!$B$32,0))))+1)),0)</f>
        <v/>
      </c>
      <c r="S728">
        <f>IFERROR(O728/N728,0)</f>
        <v/>
      </c>
      <c r="T728" t="n">
        <v>0</v>
      </c>
      <c r="V728" t="n">
        <v>0</v>
      </c>
    </row>
    <row r="729">
      <c r="A729">
        <f>Skills!A16</f>
        <v/>
      </c>
      <c r="B729">
        <f>Skills!B16</f>
        <v/>
      </c>
      <c r="C729">
        <f>Inputs!$B$3&gt;=105</f>
        <v/>
      </c>
      <c r="D729">
        <f>IF(Skills!C16=1,60+Inputs!$B$25+Inputs!$B$29,IF(Skills!C16=2,90+(Inputs!$B$26+1)+Inputs!$B$29,IF(Skills!C16=3,120+Inputs!$B$27+Inputs!$B$29,MAX(0,(Inputs!$B$3-100)*3)+Inputs!$B$28+Inputs!$B$29)))</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f>(1-Summary!$B$55)*T729+Summary!$B$55*V729</f>
        <v/>
      </c>
      <c r="P729">
        <f>IF(B750=0,0,O729/B750)</f>
        <v/>
      </c>
      <c r="Q729">
        <f>IFERROR(1/IF(Inputs!$B$38="pvp",15,MAX(0.1,Skills!D16-IF(Skills!E16=TRUE,Inputs!$B$32,0))),0)</f>
        <v/>
      </c>
      <c r="R729">
        <f>IF(AND(Inputs!$B$38&lt;&gt;"pvp",Inputs!$B$43&gt;0),IF(Inputs!$B$43&lt;=0,0,(INT(Inputs!$B$43/IF(Inputs!$B$38="pvp",15,MAX(0.1,Skills!D16-IF(Skills!E16=TRUE,Inputs!$B$32,0))))+1)),0)</f>
        <v/>
      </c>
      <c r="S729">
        <f>IFERROR(O729/N729,0)</f>
        <v/>
      </c>
      <c r="T729" t="n">
        <v>0</v>
      </c>
      <c r="V729" t="n">
        <v>0</v>
      </c>
    </row>
    <row r="730">
      <c r="A730">
        <f>Skills!A17</f>
        <v/>
      </c>
      <c r="B730">
        <f>Skills!B17</f>
        <v/>
      </c>
      <c r="C730">
        <f>Inputs!$B$3&gt;=115</f>
        <v/>
      </c>
      <c r="D730">
        <f>IF(Skills!C17=1,60+Inputs!$B$25+Inputs!$B$29,IF(Skills!C17=2,90+(Inputs!$B$26+1)+Inputs!$B$29,IF(Skills!C17=3,120+Inputs!$B$27+Inputs!$B$29,MAX(0,(Inputs!$B$3-100)*3)+Inputs!$B$28+Inputs!$B$29)))</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f>(1-Summary!$B$55)*T730+Summary!$B$55*V730</f>
        <v/>
      </c>
      <c r="P730">
        <f>IF(B750=0,0,O730/B750)</f>
        <v/>
      </c>
      <c r="Q730">
        <f>IFERROR(1/IF(Inputs!$B$38="pvp",15,MAX(0.1,Skills!D17-IF(Skills!E17=TRUE,Inputs!$B$32,0))),0)</f>
        <v/>
      </c>
      <c r="R730">
        <f>IF(AND(Inputs!$B$38&lt;&gt;"pvp",Inputs!$B$43&gt;0),IF(Inputs!$B$43&lt;=0,0,(INT(Inputs!$B$43/IF(Inputs!$B$38="pvp",15,MAX(0.1,Skills!D17-IF(Skills!E17=TRUE,Inputs!$B$32,0))))+1)),0)</f>
        <v/>
      </c>
      <c r="S730">
        <f>IFERROR(O730/N730,0)</f>
        <v/>
      </c>
      <c r="T730" t="n">
        <v>0</v>
      </c>
      <c r="V730" t="n">
        <v>0</v>
      </c>
    </row>
    <row r="731">
      <c r="A731">
        <f>Skills!A18</f>
        <v/>
      </c>
      <c r="B731">
        <f>Skills!B18</f>
        <v/>
      </c>
      <c r="C731">
        <f>Inputs!$B$3&gt;=74</f>
        <v/>
      </c>
      <c r="D731">
        <f>IF(Skills!C18=1,60+Inputs!$B$25+Inputs!$B$29,IF(Skills!C18=2,90+(Inputs!$B$26+1)+Inputs!$B$29,IF(Skills!C18=3,120+Inputs!$B$27+Inputs!$B$29,MAX(0,(Inputs!$B$3-100)*3)+Inputs!$B$28+Inputs!$B$29)))</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f>(1-Summary!$B$55)*T731+Summary!$B$55*V731</f>
        <v/>
      </c>
      <c r="P731">
        <f>IF(B750=0,0,O731/B750)</f>
        <v/>
      </c>
      <c r="Q731">
        <f>IFERROR(1/IF(Inputs!$B$38="pvp",15,MAX(0.1,Skills!D18-IF(Skills!E18=TRUE,Inputs!$B$32,0))),0)</f>
        <v/>
      </c>
      <c r="R731">
        <f>IF(AND(Inputs!$B$38&lt;&gt;"pvp",Inputs!$B$43&gt;0),IF(Inputs!$B$43&lt;=0,0,(INT(Inputs!$B$43/IF(Inputs!$B$38="pvp",15,MAX(0.1,Skills!D18-IF(Skills!E18=TRUE,Inputs!$B$32,0))))+1)),0)</f>
        <v/>
      </c>
      <c r="S731">
        <f>IFERROR(O731/N731,0)</f>
        <v/>
      </c>
      <c r="T731" t="n">
        <v>0</v>
      </c>
      <c r="V731" t="n">
        <v>0</v>
      </c>
    </row>
    <row r="732">
      <c r="A732">
        <f>Skills!A19</f>
        <v/>
      </c>
      <c r="B732">
        <f>Skills!B19</f>
        <v/>
      </c>
      <c r="C732">
        <f>TRUE</f>
        <v/>
      </c>
      <c r="D732">
        <f>IF(Skills!C19=1,60+Inputs!$B$25+Inputs!$B$29,IF(Skills!C19=2,90+(Inputs!$B$26+1)+Inputs!$B$29,IF(Skills!C19=3,120+Inputs!$B$27+Inputs!$B$29,MAX(0,(Inputs!$B$3-100)*3)+Inputs!$B$28+Inputs!$B$29)))</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f>(1-Summary!$B$55)*T732+Summary!$B$55*V732</f>
        <v/>
      </c>
      <c r="P732">
        <f>IF(B750=0,0,O732/B750)</f>
        <v/>
      </c>
      <c r="Q732">
        <f>IFERROR(1/IF(Inputs!$B$38="pvp",15,MAX(0.1,Skills!D19-IF(Skills!E19=TRUE,Inputs!$B$32,0))),0)</f>
        <v/>
      </c>
      <c r="R732">
        <f>IF(AND(Inputs!$B$38&lt;&gt;"pvp",Inputs!$B$43&gt;0),IF(Inputs!$B$43&lt;=0,0,(INT(Inputs!$B$43/IF(Inputs!$B$38="pvp",15,MAX(0.1,Skills!D19-IF(Skills!E19=TRUE,Inputs!$B$32,0))))+1)),0)</f>
        <v/>
      </c>
      <c r="S732">
        <f>IFERROR(O732/N732,0)</f>
        <v/>
      </c>
      <c r="T732" t="n">
        <v>0</v>
      </c>
      <c r="V732" t="n">
        <v>0</v>
      </c>
    </row>
    <row r="733">
      <c r="A733">
        <f>Skills!A20</f>
        <v/>
      </c>
      <c r="B733">
        <f>Skills!B20</f>
        <v/>
      </c>
      <c r="C733">
        <f>Inputs!$B$3&gt;=33</f>
        <v/>
      </c>
      <c r="D733">
        <f>IF(Skills!C20=1,60+Inputs!$B$25+Inputs!$B$29,IF(Skills!C20=2,90+(Inputs!$B$26+1)+Inputs!$B$29,IF(Skills!C20=3,120+Inputs!$B$27+Inputs!$B$29,MAX(0,(Inputs!$B$3-100)*3)+Inputs!$B$28+Inputs!$B$29)))</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f>(1-Summary!$B$55)*T733+Summary!$B$55*V733</f>
        <v/>
      </c>
      <c r="P733">
        <f>IF(B750=0,0,O733/B750)</f>
        <v/>
      </c>
      <c r="Q733" t="n">
        <v>0</v>
      </c>
      <c r="R733" t="n">
        <v>0</v>
      </c>
      <c r="S733">
        <f>IFERROR(O733/N733,0)</f>
        <v/>
      </c>
      <c r="T733" t="n">
        <v>0</v>
      </c>
      <c r="V733" t="n">
        <v>0</v>
      </c>
    </row>
    <row r="734">
      <c r="A734">
        <f>Skills!A21</f>
        <v/>
      </c>
      <c r="B734">
        <f>Skills!B21</f>
        <v/>
      </c>
      <c r="C734">
        <f>Inputs!$B$3&gt;=38</f>
        <v/>
      </c>
      <c r="D734">
        <f>IF(Skills!C21=1,60+Inputs!$B$25+Inputs!$B$29,IF(Skills!C21=2,90+(Inputs!$B$26+1)+Inputs!$B$29,IF(Skills!C21=3,120+Inputs!$B$27+Inputs!$B$29,MAX(0,(Inputs!$B$3-100)*3)+Inputs!$B$28+Inputs!$B$29)))</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f>(1-Summary!$B$55)*T734+Summary!$B$55*V734</f>
        <v/>
      </c>
      <c r="P734">
        <f>IF(B750=0,0,O734/B750)</f>
        <v/>
      </c>
      <c r="Q734" t="n">
        <v>0</v>
      </c>
      <c r="R734" t="n">
        <v>0</v>
      </c>
      <c r="S734">
        <f>IFERROR(O734/N734,0)</f>
        <v/>
      </c>
      <c r="T734" t="n">
        <v>0</v>
      </c>
      <c r="V734" t="n">
        <v>0</v>
      </c>
    </row>
    <row r="735">
      <c r="A735">
        <f>Skills!A22</f>
        <v/>
      </c>
      <c r="B735">
        <f>Skills!B22</f>
        <v/>
      </c>
      <c r="C735">
        <f>Inputs!$B$3&gt;=43</f>
        <v/>
      </c>
      <c r="D735">
        <f>IF(Skills!C22=1,60+Inputs!$B$25+Inputs!$B$29,IF(Skills!C22=2,90+(Inputs!$B$26+1)+Inputs!$B$29,IF(Skills!C22=3,120+Inputs!$B$27+Inputs!$B$29,MAX(0,(Inputs!$B$3-100)*3)+Inputs!$B$28+Inputs!$B$29)))</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f>(1-Summary!$B$55)*T735+Summary!$B$55*V735</f>
        <v/>
      </c>
      <c r="P735">
        <f>IF(B750=0,0,O735/B750)</f>
        <v/>
      </c>
      <c r="Q735" t="n">
        <v>0</v>
      </c>
      <c r="R735" t="n">
        <v>0</v>
      </c>
      <c r="S735">
        <f>IFERROR(O735/N735,0)</f>
        <v/>
      </c>
      <c r="T735" t="n">
        <v>0</v>
      </c>
      <c r="V735" t="n">
        <v>0</v>
      </c>
    </row>
    <row r="736">
      <c r="A736">
        <f>Skills!A23</f>
        <v/>
      </c>
      <c r="B736">
        <f>Skills!B23</f>
        <v/>
      </c>
      <c r="C736">
        <f>Inputs!$B$3&gt;=120</f>
        <v/>
      </c>
      <c r="D736">
        <f>IF(Skills!C23=1,60+Inputs!$B$25+Inputs!$B$29,IF(Skills!C23=2,90+(Inputs!$B$26+1)+Inputs!$B$29,IF(Skills!C23=3,120+Inputs!$B$27+Inputs!$B$29,MAX(0,(Inputs!$B$3-100)*3)+Inputs!$B$28+Inputs!$B$29)))</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f>(1-Summary!$B$55)*T736+Summary!$B$55*V736</f>
        <v/>
      </c>
      <c r="P736">
        <f>IF(B750=0,0,O736/B750)</f>
        <v/>
      </c>
      <c r="Q736" t="n">
        <v>0</v>
      </c>
      <c r="R736" t="n">
        <v>0</v>
      </c>
      <c r="S736">
        <f>IFERROR(O736/N736,0)</f>
        <v/>
      </c>
      <c r="T736" t="n">
        <v>0</v>
      </c>
      <c r="V736" t="n">
        <v>0</v>
      </c>
    </row>
    <row r="737">
      <c r="A737">
        <f>Skills!A24</f>
        <v/>
      </c>
      <c r="B737">
        <f>Skills!B24</f>
        <v/>
      </c>
      <c r="C737">
        <f>Inputs!$B$3&gt;=120</f>
        <v/>
      </c>
      <c r="D737">
        <f>IF(Skills!C24=1,60+Inputs!$B$25+Inputs!$B$29,IF(Skills!C24=2,90+(Inputs!$B$26+1)+Inputs!$B$29,IF(Skills!C24=3,120+Inputs!$B$27+Inputs!$B$29,MAX(0,(Inputs!$B$3-100)*3)+Inputs!$B$28+Inputs!$B$29)))</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f>(1-Summary!$B$55)*T737+Summary!$B$55*V737</f>
        <v/>
      </c>
      <c r="P737">
        <f>IF(B750=0,0,O737/B750)</f>
        <v/>
      </c>
      <c r="Q737" t="n">
        <v>0</v>
      </c>
      <c r="R737" t="n">
        <v>0</v>
      </c>
      <c r="S737">
        <f>IFERROR(O737/N737,0)</f>
        <v/>
      </c>
      <c r="T737" t="n">
        <v>0</v>
      </c>
      <c r="V737" t="n">
        <v>0</v>
      </c>
    </row>
    <row r="739">
      <c r="A739" t="inlineStr">
        <is>
          <t>Attack% Bucket Multiplier</t>
        </is>
      </c>
      <c r="B739">
        <f>(1+(((C726=TRUE)*F726*MIN(1,Skills!T13*(Skills!J13/100)*B744))+((C731=TRUE)*F731*IF(AND(Inputs!$B$38&lt;&gt;"pvp",Inputs!$B$43&gt;0),(((R731-1)*(Skills!T18*(1+Inputs!$B$34/100))+MIN((Skills!T18*(1+Inputs!$B$34/100)),MAX(0,Inputs!$B$43-((R731-1)*Skills!D18))))/Inputs!$B$43),IF(Inputs!$B$38="pvp",MIN((Skills!T18*(1+Inputs!$B$34/100)),15)/15,(Skills!T18*(1+Inputs!$B$34/100))/Skills!D18)))+0)/100)</f>
        <v/>
      </c>
    </row>
    <row r="740">
      <c r="A740" t="inlineStr">
        <is>
          <t>Global Crit Rate Bonus %</t>
        </is>
      </c>
      <c r="B740" t="n">
        <v>0</v>
      </c>
    </row>
    <row r="741">
      <c r="A741" t="inlineStr">
        <is>
          <t>Attack Speed Buff Bonus %</t>
        </is>
      </c>
      <c r="B741">
        <f>((C732=TRUE)*F732*IF(AND(Inputs!$B$38&lt;&gt;"pvp",Inputs!$B$43&gt;0),(((R732-1)*(Skills!T19*(1+Inputs!$B$34/100))+MIN((Skills!T19*(1+Inputs!$B$34/100)),MAX(0,Inputs!$B$43-((R732-1)*Skills!D19))))/Inputs!$B$43),IF(Inputs!$B$38="pvp",MIN((Skills!T19*(1+Inputs!$B$34/100)),15)/15,(Skills!T19*(1+Inputs!$B$34/100))/Skills!D19)))</f>
        <v/>
      </c>
    </row>
    <row r="742">
      <c r="A742" t="inlineStr">
        <is>
          <t>Actions Per Second</t>
        </is>
      </c>
      <c r="B742">
        <f>1+MIN(150,150*(1-(1-(Inputs!$B$11+((C733=TRUE)*(F733-Calc!F20)))/150)*(1-B741/150)))/100</f>
        <v/>
      </c>
    </row>
    <row r="743">
      <c r="A743" t="inlineStr">
        <is>
          <t>Skill + Buff Cast Rate</t>
        </is>
      </c>
      <c r="B743">
        <f>IF(AND(Inputs!$B$38&lt;&gt;"pvp",Inputs!$B$43&gt;0),SUMPRODUCT((Skills!E2:E24=TRUE)*(C715:C737=TRUE)*R715:R737*Skills!F2:F24)/Inputs!$B$43,SUMPRODUCT((Skills!E2:E24=TRUE)*(C715:C737=TRUE)*Q715:Q737*Skills!F2:F24))</f>
        <v/>
      </c>
    </row>
    <row r="744">
      <c r="A744" t="inlineStr">
        <is>
          <t>Blast Casts Per Second</t>
        </is>
      </c>
      <c r="B744">
        <f>MAX(0,B742-B743)</f>
        <v/>
      </c>
    </row>
    <row r="745">
      <c r="A745" t="inlineStr">
        <is>
          <t>Global Critical Damage Bonus % (unused)</t>
        </is>
      </c>
      <c r="B745" t="n">
        <v>0</v>
      </c>
    </row>
    <row r="746">
      <c r="A746" t="inlineStr">
        <is>
          <t>Global Final Damage Bonus % (Divine Shield + Guardian + Divine Blessing + Greater Vessel of Light)</t>
        </is>
      </c>
      <c r="B746">
        <f>((C728=TRUE)*F728*IF(AND(Inputs!$B$38&lt;&gt;"pvp",Inputs!$B$43&gt;0),(((R728-1)*(Skills!T15*(1+Inputs!$B$34/100))+MIN((Skills!T15*(1+Inputs!$B$34/100)),MAX(0,Inputs!$B$43-((R728-1)*Skills!D15))))/Inputs!$B$43),IF(Inputs!$B$38="pvp",MIN((Skills!T15*(1+Inputs!$B$34/100)),15)/15,(Skills!T15*(1+Inputs!$B$34/100))/Skills!D15)))+((C729=TRUE)*F729*IF(AND(Inputs!$B$38&lt;&gt;"pvp",Inputs!$B$43&gt;0),(((R729-1)*(Skills!T16*(1+Inputs!$B$34/100))+MIN((Skills!T16*(1+Inputs!$B$34/100)),MAX(0,Inputs!$B$43-((R729-1)*Skills!D16))))/Inputs!$B$43),IF(Inputs!$B$38="pvp",MIN((Skills!T16*(1+Inputs!$B$34/100)),15)/15,(Skills!T16*(1+Inputs!$B$34/100))/Skills!D16)))+((C730=TRUE)*F730*IF(AND(Inputs!$B$38&lt;&gt;"pvp",Inputs!$B$43&gt;0),(((R730-1)*(Skills!T17*(1+Inputs!$B$34/100))+MIN((Skills!T17*(1+Inputs!$B$34/100)),MAX(0,Inputs!$B$43-((R730-1)*Skills!D17))))/Inputs!$B$43),IF(Inputs!$B$38="pvp",MIN((Skills!T17*(1+Inputs!$B$34/100)),15)/15,(Skills!T17*(1+Inputs!$B$34/100))/Skills!D17)))+((C727=TRUE)*F727*MIN(1,Skills!T13*(Skills!J13/100)*B744))</f>
        <v/>
      </c>
    </row>
    <row r="747">
      <c r="A747" t="inlineStr">
        <is>
          <t>Buff-Casting Startup Delay (s, fixed-duration only)</t>
        </is>
      </c>
      <c r="B747">
        <f>IF(AND(Inputs!$B$38&lt;&gt;"pvp",Inputs!$B$43&gt;0),SUMPRODUCT((Skills!T2:T24&gt;0)*(Skills!E2:E24=TRUE)*(C715:C737=TRUE))/B742,0)</f>
        <v/>
      </c>
    </row>
    <row r="748">
      <c r="A748" t="inlineStr">
        <is>
          <t>Boss-Only Total DPS (this block's swept value)</t>
        </is>
      </c>
      <c r="B748">
        <f>SUM(T715:T737)</f>
        <v/>
      </c>
    </row>
    <row r="749">
      <c r="A749" t="inlineStr">
        <is>
          <t>Normal-Only Total DPS (this block's swept value)</t>
        </is>
      </c>
      <c r="B749">
        <f>SUM(V715:V737)</f>
        <v/>
      </c>
    </row>
    <row r="750">
      <c r="A750" s="5" t="inlineStr">
        <is>
          <t>TOTAL DPS</t>
        </is>
      </c>
      <c r="B750" s="5">
        <f>SUM(O715:O737)</f>
        <v/>
      </c>
    </row>
    <row r="753">
      <c r="A753" s="5" t="inlineStr">
        <is>
          <t>Stat: Skill Level Bonus — 3rd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786)/100)*(1+(IF(Skills!A2="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755)</f>
        <v/>
      </c>
      <c r="L755">
        <f>K755*(MIN(Inputs!$B$22+((C775=TRUE)*(F775-Calc!F22)),Inputs!$B$23+((C777=TRUE)*(F777-Calc!F24)))/100+(Inputs!$B$23+((C777=TRUE)*(F777-Calc!F24)))/100)/2</f>
        <v/>
      </c>
      <c r="M755">
        <f>L755*(1+(Inputs!$B$10+0+B785)/100)</f>
        <v/>
      </c>
      <c r="N755">
        <f>L755*(1-MIN((Inputs!$B$9+0+B780),100)/100)+M755*(MIN((Inputs!$B$9+0+B780),100)/100)</f>
        <v/>
      </c>
      <c r="O755">
        <f>(1-Summary!$B$55)*T755+Summary!$B$55*V755</f>
        <v/>
      </c>
      <c r="P755">
        <f>IF(B790=0,0,O755/B790)</f>
        <v/>
      </c>
      <c r="Q755" t="n">
        <v>0</v>
      </c>
      <c r="R755" t="n">
        <v>0</v>
      </c>
      <c r="S755">
        <f>IFERROR(O755/N755,0)</f>
        <v/>
      </c>
      <c r="T755">
        <f>IF(C755,(Skills!G2*N755*B784)*IF(Inputs!$B$38="pvp",1,1+(Inputs!$B$20+0+Skills!P2)/100),0)</f>
        <v/>
      </c>
      <c r="U755">
        <f>MAX(0,(Inputs!$B$3-100)*3)+Inputs!$B$28+Inputs!$B$29</f>
        <v/>
      </c>
      <c r="V755">
        <f>IF(C755,(Skills!G2*N755*B784)*IF(Inputs!$B$38="pvp",1,(1+(Inputs!$B$21+Skills!Q2)/100)*(MIN((6+Inputs!$B$33),Inputs!$B$37))),0)</f>
        <v/>
      </c>
    </row>
    <row r="756">
      <c r="A756">
        <f>Skills!A3</f>
        <v/>
      </c>
      <c r="B756">
        <f>Skills!B3</f>
        <v/>
      </c>
      <c r="C756">
        <f>Inputs!$B$3&gt;=50</f>
        <v/>
      </c>
      <c r="D756">
        <f>IF(Skills!C3=1,60+Inputs!$B$25+Inputs!$B$29,IF(Skills!C3=2,90+Inputs!$B$26+Inputs!$B$29,IF(Skills!C3=3,120+(Inputs!$B$27+1)+Inputs!$B$29,MAX(0,(Inputs!$B$3-100)*3)+Inputs!$B$28+Inputs!$B$29)))</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Inputs!$B$3&gt;=35</f>
        <v/>
      </c>
      <c r="D757">
        <f>IF(Skills!C4=1,60+Inputs!$B$25+Inputs!$B$29,IF(Skills!C4=2,90+Inputs!$B$26+Inputs!$B$29,IF(Skills!C4=3,120+(Inputs!$B$27+1)+Inputs!$B$29,MAX(0,(Inputs!$B$3-100)*3)+Inputs!$B$28+Inputs!$B$29)))</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786)/100)*(1+4.0*IF(C765=TRUE,F765,0)/100)*(1+(IF(Skills!A4="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757)</f>
        <v/>
      </c>
      <c r="L757">
        <f>K757*(MIN(Inputs!$B$22+((C775=TRUE)*(F775-Calc!F22)),Inputs!$B$23+((C777=TRUE)*(F777-Calc!F24)))/100+(Inputs!$B$23+((C777=TRUE)*(F777-Calc!F24)))/100)/2</f>
        <v/>
      </c>
      <c r="M757">
        <f>L757*(1+(Inputs!$B$10+0+B785)/100)</f>
        <v/>
      </c>
      <c r="N757">
        <f>L757*(1-MIN((Inputs!$B$9+0+B780),100)/100)+M757*(MIN((Inputs!$B$9+0+B780),100)/100)</f>
        <v/>
      </c>
      <c r="O757">
        <f>(1-Summary!$B$55)*T757+Summary!$B$55*V757</f>
        <v/>
      </c>
      <c r="P757">
        <f>IF(B790=0,0,O757/B790)</f>
        <v/>
      </c>
      <c r="Q757">
        <f>IFERROR(1/IF(Inputs!$B$38="pvp",15,MAX(0.1,Skills!D4-IF(Skills!E4=TRUE,Inputs!$B$32,0))),0)</f>
        <v/>
      </c>
      <c r="R757">
        <f>IF(AND(Inputs!$B$38&lt;&gt;"pvp",Inputs!$B$43&gt;0),IF(MAX(0,Inputs!$B$43-B787)&lt;=0,0,(INT(MAX(0,Inputs!$B$43-B787)/IF(Inputs!$B$38="pvp",15,MAX(0.1,Skills!D4-IF(Skills!E4=TRUE,Inputs!$B$32,0))))+1)),0)</f>
        <v/>
      </c>
      <c r="S757">
        <f>IFERROR(O757/N757,0)</f>
        <v/>
      </c>
      <c r="T757">
        <f>IF(C757,(H757*N757*IF(AND(Inputs!$B$38&lt;&gt;"pvp",Inputs!$B$43&gt;0),((Skills!G4*((R757-1)*IF(Skills!H4&gt;0,Skills!I4/Skills!H4,1)+IF(Skills!H4&gt;0,MIN(Skills!I4,MAX(0,MAX(0,Inputs!$B$43-B787)-((R757-1)*IF(Inputs!$B$38="pvp",15,MAX(0.1,Skills!D4-IF(Skills!E4=TRUE,Inputs!$B$32,0))))))/Skills!H4,1)))/Inputs!$B$43),G757*Q757))*IF(Inputs!$B$38="pvp",1,1+(Inputs!$B$20+0+Skills!P4)/100),0)</f>
        <v/>
      </c>
      <c r="U757">
        <f>290*U756/1000</f>
        <v/>
      </c>
      <c r="V757">
        <f>IF(C757,(H757*N757*IF(AND(Inputs!$B$38&lt;&gt;"pvp",Inputs!$B$43&gt;0),((Skills!G4*((R757-1)*IF(Skills!H4&gt;0,Skills!I4/Skills!H4,1)+IF(Skills!H4&gt;0,MIN(Skills!I4,MAX(0,MAX(0,Inputs!$B$43-B787)-((R757-1)*IF(Inputs!$B$38="pvp",15,MAX(0.1,Skills!D4-IF(Skills!E4=TRUE,Inputs!$B$32,0))))))/Skills!H4,1)))/Inputs!$B$43),G757*Q757))*IF(Inputs!$B$38="pvp",1,(1+(Inputs!$B$21+Skills!Q4)/100)*(MIN(Skills!R4,Inputs!$B$37))),0)</f>
        <v/>
      </c>
    </row>
    <row r="758">
      <c r="A758">
        <f>Skills!A5</f>
        <v/>
      </c>
      <c r="B758">
        <f>Skills!B5</f>
        <v/>
      </c>
      <c r="C758">
        <f>Inputs!$B$3&gt;=66</f>
        <v/>
      </c>
      <c r="D758">
        <f>IF(Skills!C5=1,60+Inputs!$B$25+Inputs!$B$29,IF(Skills!C5=2,90+Inputs!$B$26+Inputs!$B$29,IF(Skills!C5=3,120+(Inputs!$B$27+1)+Inputs!$B$29,MAX(0,(Inputs!$B$3-100)*3)+Inputs!$B$28+Inputs!$B$29)))</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786)/100)*(1+1.0*IF(C765=TRUE,F765,0)/100)*(1+(IF(Skills!A5="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758)</f>
        <v/>
      </c>
      <c r="L758">
        <f>K758*(MIN(Inputs!$B$22+((C775=TRUE)*(F775-Calc!F22)),Inputs!$B$23+((C777=TRUE)*(F777-Calc!F24)))/100+(Inputs!$B$23+((C777=TRUE)*(F777-Calc!F24)))/100)/2</f>
        <v/>
      </c>
      <c r="M758">
        <f>L758*(1+(Inputs!$B$10+0+B785)/100)</f>
        <v/>
      </c>
      <c r="N758">
        <f>L758*(1-MIN((Inputs!$B$9+0+B780),100)/100)+M758*(MIN((Inputs!$B$9+0+B780),100)/100)</f>
        <v/>
      </c>
      <c r="O758">
        <f>(1-Summary!$B$55)*T758+Summary!$B$55*V758</f>
        <v/>
      </c>
      <c r="P758">
        <f>IF(B790=0,0,O758/B790)</f>
        <v/>
      </c>
      <c r="Q758">
        <f>IFERROR(1/IF(Inputs!$B$38="pvp",15,MAX(0.1,Skills!D5-IF(Skills!E5=TRUE,Inputs!$B$32,0))),0)</f>
        <v/>
      </c>
      <c r="R758">
        <f>IF(AND(Inputs!$B$38&lt;&gt;"pvp",Inputs!$B$43&gt;0),IF(MAX(0,Inputs!$B$43-B787)&lt;=0,0,(INT(MAX(0,Inputs!$B$43-B787)/IF(Inputs!$B$38="pvp",15,MAX(0.1,Skills!D5-IF(Skills!E5=TRUE,Inputs!$B$32,0))))+1)),0)</f>
        <v/>
      </c>
      <c r="S758">
        <f>IFERROR(O758/N758,0)</f>
        <v/>
      </c>
      <c r="T758">
        <f>IF(C758,(H758*N758*IF(AND(Inputs!$B$38&lt;&gt;"pvp",Inputs!$B$43&gt;0),((Skills!G5*((R758-1)*IF(Skills!H5&gt;0,Skills!I5/Skills!H5,1)+IF(Skills!H5&gt;0,MIN(Skills!I5,MAX(0,MAX(0,Inputs!$B$43-B787)-((R758-1)*IF(Inputs!$B$38="pvp",15,MAX(0.1,Skills!D5-IF(Skills!E5=TRUE,Inputs!$B$32,0))))))/Skills!H5,1)))/Inputs!$B$43),G758*Q758))*IF(Inputs!$B$38="pvp",1,1+(Inputs!$B$20+0+Skills!P5)/100),0)</f>
        <v/>
      </c>
      <c r="V758">
        <f>IF(C758,(H758*N758*IF(AND(Inputs!$B$38&lt;&gt;"pvp",Inputs!$B$43&gt;0),((Skills!G5*((R758-1)*IF(Skills!H5&gt;0,Skills!I5/Skills!H5,1)+IF(Skills!H5&gt;0,MIN(Skills!I5,MAX(0,MAX(0,Inputs!$B$43-B787)-((R758-1)*IF(Inputs!$B$38="pvp",15,MAX(0.1,Skills!D5-IF(Skills!E5=TRUE,Inputs!$B$32,0))))))/Skills!H5,1)))/Inputs!$B$43),G758*Q758))*IF(Inputs!$B$38="pvp",1,(1+(Inputs!$B$21+Skills!Q5)/100)*(MIN(Skills!R5,Inputs!$B$37))),0)</f>
        <v/>
      </c>
    </row>
    <row r="759">
      <c r="A759">
        <f>Skills!A6</f>
        <v/>
      </c>
      <c r="B759">
        <f>Skills!B6</f>
        <v/>
      </c>
      <c r="C759">
        <f>Inputs!$B$3&gt;=103</f>
        <v/>
      </c>
      <c r="D759">
        <f>IF(Skills!C6=1,60+Inputs!$B$25+Inputs!$B$29,IF(Skills!C6=2,90+Inputs!$B$26+Inputs!$B$29,IF(Skills!C6=3,120+(Inputs!$B$27+1)+Inputs!$B$29,MAX(0,(Inputs!$B$3-100)*3)+Inputs!$B$28+Inputs!$B$29)))</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786)/100)*(1+(IF(Skills!A6="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759)</f>
        <v/>
      </c>
      <c r="L759">
        <f>K759*(MIN(Inputs!$B$22+((C775=TRUE)*(F775-Calc!F22)),Inputs!$B$23+((C777=TRUE)*(F777-Calc!F24)))/100+(Inputs!$B$23+((C777=TRUE)*(F777-Calc!F24)))/100)/2</f>
        <v/>
      </c>
      <c r="M759">
        <f>L759*(1+(Inputs!$B$10+0+B785)/100)</f>
        <v/>
      </c>
      <c r="N759">
        <f>L759*(1-MIN((Inputs!$B$9+0+B780),100)/100)+M759*(MIN((Inputs!$B$9+0+B780),100)/100)</f>
        <v/>
      </c>
      <c r="O759">
        <f>(1-Summary!$B$55)*T759+Summary!$B$55*V759</f>
        <v/>
      </c>
      <c r="P759">
        <f>IF(B790=0,0,O759/B790)</f>
        <v/>
      </c>
      <c r="Q759">
        <f>IFERROR(1/IF(Inputs!$B$38="pvp",15,MAX(0.1,Skills!D6-IF(Skills!E6=TRUE,Inputs!$B$32,0))),0)</f>
        <v/>
      </c>
      <c r="R759">
        <f>IF(AND(Inputs!$B$38&lt;&gt;"pvp",Inputs!$B$43&gt;0),IF(MAX(0,Inputs!$B$43-B787)&lt;=0,0,(INT(MAX(0,Inputs!$B$43-B787)/IF(Inputs!$B$38="pvp",15,MAX(0.1,Skills!D6-IF(Skills!E6=TRUE,Inputs!$B$32,0))))+1)),0)</f>
        <v/>
      </c>
      <c r="S759">
        <f>IFERROR(O759/N759,0)</f>
        <v/>
      </c>
      <c r="T759">
        <f>IF(C759,(H759*N759*IF(AND(Inputs!$B$38&lt;&gt;"pvp",Inputs!$B$43&gt;0),((Skills!G6*((R759-1)*IF(Skills!H6&gt;0,Skills!I6/Skills!H6,1)+IF(Skills!H6&gt;0,MIN(Skills!I6,MAX(0,MAX(0,Inputs!$B$43-B787)-((R759-1)*IF(Inputs!$B$38="pvp",15,MAX(0.1,Skills!D6-IF(Skills!E6=TRUE,Inputs!$B$32,0))))))/Skills!H6,1)))/Inputs!$B$43),G759*Q759))*IF(Inputs!$B$38="pvp",1,1+(Inputs!$B$20+0+Skills!P6)/100),0)</f>
        <v/>
      </c>
      <c r="V759">
        <f>IF(C759,(H759*N759*IF(AND(Inputs!$B$38&lt;&gt;"pvp",Inputs!$B$43&gt;0),((Skills!G6*((R759-1)*IF(Skills!H6&gt;0,Skills!I6/Skills!H6,1)+IF(Skills!H6&gt;0,MIN(Skills!I6,MAX(0,MAX(0,Inputs!$B$43-B787)-((R759-1)*IF(Inputs!$B$38="pvp",15,MAX(0.1,Skills!D6-IF(Skills!E6=TRUE,Inputs!$B$32,0))))))/Skills!H6,1)))/Inputs!$B$43),G759*Q759))*IF(Inputs!$B$38="pvp",1,(1+(Inputs!$B$21+Skills!Q6)/100)*(MIN(Skills!R6,Inputs!$B$37))),0)</f>
        <v/>
      </c>
    </row>
    <row r="760">
      <c r="A760">
        <f>Skills!A7</f>
        <v/>
      </c>
      <c r="B760">
        <f>Skills!B7</f>
        <v/>
      </c>
      <c r="C760">
        <f>Inputs!$B$3&gt;=107</f>
        <v/>
      </c>
      <c r="D760">
        <f>IF(Skills!C7=1,60+Inputs!$B$25+Inputs!$B$29,IF(Skills!C7=2,90+Inputs!$B$26+Inputs!$B$29,IF(Skills!C7=3,120+(Inputs!$B$27+1)+Inputs!$B$29,MAX(0,(Inputs!$B$3-100)*3)+Inputs!$B$28+Inputs!$B$29)))</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786)/100)*(1+(IF(Skills!A7="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760)</f>
        <v/>
      </c>
      <c r="L760">
        <f>K760*(MIN(Inputs!$B$22+((C775=TRUE)*(F775-Calc!F22)),Inputs!$B$23+((C777=TRUE)*(F777-Calc!F24)))/100+(Inputs!$B$23+((C777=TRUE)*(F777-Calc!F24)))/100)/2</f>
        <v/>
      </c>
      <c r="M760">
        <f>L760*(1+(Inputs!$B$10+0+B785)/100)</f>
        <v/>
      </c>
      <c r="N760">
        <f>L760*(1-MIN((Inputs!$B$9+0+B780),100)/100)+M760*(MIN((Inputs!$B$9+0+B780),100)/100)</f>
        <v/>
      </c>
      <c r="O760">
        <f>(1-Summary!$B$55)*T760+Summary!$B$55*V760</f>
        <v/>
      </c>
      <c r="P760">
        <f>IF(B790=0,0,O760/B790)</f>
        <v/>
      </c>
      <c r="Q760">
        <f>IFERROR(1/IF(Inputs!$B$38="pvp",15,MAX(0.1,Skills!D7-IF(Skills!E7=TRUE,Inputs!$B$32,0))),0)</f>
        <v/>
      </c>
      <c r="R760">
        <f>IF(AND(Inputs!$B$38&lt;&gt;"pvp",Inputs!$B$43&gt;0),IF(MAX(0,Inputs!$B$43-B787)&lt;=0,0,(INT(MAX(0,Inputs!$B$43-B787)/IF(Inputs!$B$38="pvp",15,MAX(0.1,Skills!D7-IF(Skills!E7=TRUE,Inputs!$B$32,0))))+1)),0)</f>
        <v/>
      </c>
      <c r="S760">
        <f>IFERROR(O760/N760,0)</f>
        <v/>
      </c>
      <c r="T760">
        <f>IF(C760,(H760*N760*IF(AND(Inputs!$B$38&lt;&gt;"pvp",Inputs!$B$43&gt;0),((Skills!G7*((R760-1)*IF(Skills!H7&gt;0,Skills!I7/Skills!H7,1)+IF(Skills!H7&gt;0,MIN(Skills!I7,MAX(0,MAX(0,Inputs!$B$43-B787)-((R760-1)*IF(Inputs!$B$38="pvp",15,MAX(0.1,Skills!D7-IF(Skills!E7=TRUE,Inputs!$B$32,0))))))/Skills!H7,1)))/Inputs!$B$43),G760*Q760))*IF(Inputs!$B$38="pvp",1,1+(Inputs!$B$20+0+Skills!P7)/100),0)</f>
        <v/>
      </c>
      <c r="V760">
        <f>IF(C760,(H760*N760*IF(AND(Inputs!$B$38&lt;&gt;"pvp",Inputs!$B$43&gt;0),((Skills!G7*((R760-1)*IF(Skills!H7&gt;0,Skills!I7/Skills!H7,1)+IF(Skills!H7&gt;0,MIN(Skills!I7,MAX(0,MAX(0,Inputs!$B$43-B787)-((R760-1)*IF(Inputs!$B$38="pvp",15,MAX(0.1,Skills!D7-IF(Skills!E7=TRUE,Inputs!$B$32,0))))))/Skills!H7,1)))/Inputs!$B$43),G760*Q760))*IF(Inputs!$B$38="pvp",1,(1+(Inputs!$B$21+Skills!Q7)/100)*(MIN(Skills!R7,Inputs!$B$37))),0)</f>
        <v/>
      </c>
    </row>
    <row r="761">
      <c r="A761">
        <f>Skills!A8</f>
        <v/>
      </c>
      <c r="B761">
        <f>Skills!B8</f>
        <v/>
      </c>
      <c r="C761">
        <f>Inputs!$B$3&gt;=107</f>
        <v/>
      </c>
      <c r="D761">
        <f>IF(Skills!C8=1,60+Inputs!$B$25+Inputs!$B$29,IF(Skills!C8=2,90+Inputs!$B$26+Inputs!$B$29,IF(Skills!C8=3,120+(Inputs!$B$27+1)+Inputs!$B$29,MAX(0,(Inputs!$B$3-100)*3)+Inputs!$B$28+Inputs!$B$29)))</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786)/100)*(1+(IF(Skills!A8="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761)</f>
        <v/>
      </c>
      <c r="L761">
        <f>K761*(MIN(Inputs!$B$22+((C775=TRUE)*(F775-Calc!F22)),Inputs!$B$23+((C777=TRUE)*(F777-Calc!F24)))/100+(Inputs!$B$23+((C777=TRUE)*(F777-Calc!F24)))/100)/2</f>
        <v/>
      </c>
      <c r="M761">
        <f>L761*(1+(Inputs!$B$10+0+B785)/100)</f>
        <v/>
      </c>
      <c r="N761">
        <f>L761*(1-MIN((Inputs!$B$9+0+B780),100)/100)+M761*(MIN((Inputs!$B$9+0+B780),100)/100)</f>
        <v/>
      </c>
      <c r="O761">
        <f>(1-Summary!$B$55)*T761+Summary!$B$55*V761</f>
        <v/>
      </c>
      <c r="P761">
        <f>IF(B790=0,0,O761/B790)</f>
        <v/>
      </c>
      <c r="Q761">
        <f>IFERROR(1/IF(Inputs!$B$38="pvp",15,MAX(0.1,Skills!D8-IF(Skills!E8=TRUE,Inputs!$B$32,0))),0)</f>
        <v/>
      </c>
      <c r="R761">
        <f>IF(AND(Inputs!$B$38&lt;&gt;"pvp",Inputs!$B$43&gt;0),IF(MAX(0,Inputs!$B$43-B787)&lt;=0,0,(INT(MAX(0,Inputs!$B$43-B787)/IF(Inputs!$B$38="pvp",15,MAX(0.1,Skills!D8-IF(Skills!E8=TRUE,Inputs!$B$32,0))))+1)),0)</f>
        <v/>
      </c>
      <c r="S761">
        <f>IFERROR(O761/N761,0)</f>
        <v/>
      </c>
      <c r="T761">
        <f>IF(C761,(H761*N761*IF(AND(Inputs!$B$38&lt;&gt;"pvp",Inputs!$B$43&gt;0),((Skills!G8*((R761-1)*IF(Skills!H8&gt;0,Skills!I8/Skills!H8,1)+IF(Skills!H8&gt;0,MIN(Skills!I8,MAX(0,MAX(0,Inputs!$B$43-B787)-((R761-1)*IF(Inputs!$B$38="pvp",15,MAX(0.1,Skills!D8-IF(Skills!E8=TRUE,Inputs!$B$32,0))))))/Skills!H8,1)))/Inputs!$B$43),G761*Q761))*IF(Inputs!$B$38="pvp",1,1+(Inputs!$B$20+0+Skills!P8)/100),0)</f>
        <v/>
      </c>
      <c r="V761">
        <f>IF(C761,(H761*N761*IF(AND(Inputs!$B$38&lt;&gt;"pvp",Inputs!$B$43&gt;0),((Skills!G8*((R761-1)*IF(Skills!H8&gt;0,Skills!I8/Skills!H8,1)+IF(Skills!H8&gt;0,MIN(Skills!I8,MAX(0,MAX(0,Inputs!$B$43-B787)-((R761-1)*IF(Inputs!$B$38="pvp",15,MAX(0.1,Skills!D8-IF(Skills!E8=TRUE,Inputs!$B$32,0))))))/Skills!H8,1)))/Inputs!$B$43),G761*Q761))*IF(Inputs!$B$38="pvp",1,(1+(Inputs!$B$21+Skills!Q8)/100)*(MIN(Skills!R8,Inputs!$B$37))),0)</f>
        <v/>
      </c>
    </row>
    <row r="762">
      <c r="A762">
        <f>Skills!A9</f>
        <v/>
      </c>
      <c r="B762">
        <f>Skills!B9</f>
        <v/>
      </c>
      <c r="C762">
        <f>Inputs!$B$3&gt;=125</f>
        <v/>
      </c>
      <c r="D762">
        <f>IF(Skills!C9=1,60+Inputs!$B$25+Inputs!$B$29,IF(Skills!C9=2,90+Inputs!$B$26+Inputs!$B$29,IF(Skills!C9=3,120+(Inputs!$B$27+1)+Inputs!$B$29,MAX(0,(Inputs!$B$3-100)*3)+Inputs!$B$28+Inputs!$B$29)))</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786)/100)*(1+(IF(Skills!A9="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762)</f>
        <v/>
      </c>
      <c r="L762">
        <f>K762*(MIN(Inputs!$B$22+((C775=TRUE)*(F775-Calc!F22)),Inputs!$B$23+((C777=TRUE)*(F777-Calc!F24)))/100+(Inputs!$B$23+((C777=TRUE)*(F777-Calc!F24)))/100)/2</f>
        <v/>
      </c>
      <c r="M762">
        <f>L762*(1+(Inputs!$B$10+0+B785)/100)</f>
        <v/>
      </c>
      <c r="N762">
        <f>L762*(1-MIN((Inputs!$B$9+0+B780),100)/100)+M762*(MIN((Inputs!$B$9+0+B780),100)/100)</f>
        <v/>
      </c>
      <c r="O762">
        <f>(1-Summary!$B$55)*T762+Summary!$B$55*V762</f>
        <v/>
      </c>
      <c r="P762">
        <f>IF(B790=0,0,O762/B790)</f>
        <v/>
      </c>
      <c r="Q762">
        <f>IFERROR(1/IF(Inputs!$B$38="pvp",15,MAX(0.1,Skills!D9-IF(Skills!E9=TRUE,Inputs!$B$32,0))),0)</f>
        <v/>
      </c>
      <c r="R762">
        <f>IF(AND(Inputs!$B$38&lt;&gt;"pvp",Inputs!$B$43&gt;0),IF(MAX(0,Inputs!$B$43-B787)&lt;=0,0,(INT(MAX(0,Inputs!$B$43-B787)/IF(Inputs!$B$38="pvp",15,MAX(0.1,Skills!D9-IF(Skills!E9=TRUE,Inputs!$B$32,0))))+1)),0)</f>
        <v/>
      </c>
      <c r="S762">
        <f>IFERROR(O762/N762,0)</f>
        <v/>
      </c>
      <c r="T762">
        <f>IF(C762,(H762*N762*IF(AND(Inputs!$B$38&lt;&gt;"pvp",Inputs!$B$43&gt;0),((Skills!G9*((R762-1)*IF(Skills!H9&gt;0,Skills!I9/Skills!H9,1)+IF(Skills!H9&gt;0,MIN(Skills!I9,MAX(0,MAX(0,Inputs!$B$43-B787)-((R762-1)*IF(Inputs!$B$38="pvp",15,MAX(0.1,Skills!D9-IF(Skills!E9=TRUE,Inputs!$B$32,0))))))/Skills!H9,1)))/Inputs!$B$43),G762*Q762))*IF(Inputs!$B$38="pvp",1,1+(Inputs!$B$20+0+Skills!P9)/100),0)</f>
        <v/>
      </c>
      <c r="V762">
        <f>IF(C762,(H762*N762*IF(AND(Inputs!$B$38&lt;&gt;"pvp",Inputs!$B$43&gt;0),((Skills!G9*((R762-1)*IF(Skills!H9&gt;0,Skills!I9/Skills!H9,1)+IF(Skills!H9&gt;0,MIN(Skills!I9,MAX(0,MAX(0,Inputs!$B$43-B787)-((R762-1)*IF(Inputs!$B$38="pvp",15,MAX(0.1,Skills!D9-IF(Skills!E9=TRUE,Inputs!$B$32,0))))))/Skills!H9,1)))/Inputs!$B$43),G762*Q762))*IF(Inputs!$B$38="pvp",1,(1+(Inputs!$B$21+Skills!Q9)/100)*(MIN(Skills!R9,Inputs!$B$37))),0)</f>
        <v/>
      </c>
    </row>
    <row r="763">
      <c r="A763">
        <f>Skills!A10</f>
        <v/>
      </c>
      <c r="B763">
        <f>Skills!B10</f>
        <v/>
      </c>
      <c r="C763">
        <f>Inputs!$B$3&gt;=117</f>
        <v/>
      </c>
      <c r="D763">
        <f>IF(Skills!C10=1,60+Inputs!$B$25+Inputs!$B$29,IF(Skills!C10=2,90+Inputs!$B$26+Inputs!$B$29,IF(Skills!C10=3,120+(Inputs!$B$27+1)+Inputs!$B$29,MAX(0,(Inputs!$B$3-100)*3)+Inputs!$B$28+Inputs!$B$29)))</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nputs!$B$16/100)*(5000/(6000+Inputs!$B$42*(1-(Inputs!$B$19+0)/100)))*(1+(Inputs!$B$24+0+B786)/100)*(1+(IF(Skills!A10="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763)</f>
        <v/>
      </c>
      <c r="L763">
        <f>K763*(MIN(Inputs!$B$22+((C775=TRUE)*(F775-Calc!F22)),Inputs!$B$23+((C777=TRUE)*(F777-Calc!F24)))/100+(Inputs!$B$23+((C777=TRUE)*(F777-Calc!F24)))/100)/2</f>
        <v/>
      </c>
      <c r="M763">
        <f>L763*(1+(Inputs!$B$10+0+B785)/100)</f>
        <v/>
      </c>
      <c r="N763">
        <f>L763*(1-MIN((Inputs!$B$9+0+B780),100)/100)+M763*(MIN((Inputs!$B$9+0+B780),100)/100)</f>
        <v/>
      </c>
      <c r="O763">
        <f>(1-Summary!$B$55)*T763+Summary!$B$55*V763</f>
        <v/>
      </c>
      <c r="P763">
        <f>IF(B790=0,0,O763/B790)</f>
        <v/>
      </c>
      <c r="Q763">
        <f>IFERROR(1/IF(Inputs!$B$38="pvp",15,MAX(0.1,Skills!D10-IF(Skills!E10=TRUE,Inputs!$B$32,0))),0)</f>
        <v/>
      </c>
      <c r="R763">
        <f>IF(AND(Inputs!$B$38&lt;&gt;"pvp",Inputs!$B$43&gt;0),IF(MAX(0,Inputs!$B$43-B787)&lt;=0,0,(INT(MAX(0,Inputs!$B$43-B787)/IF(Inputs!$B$38="pvp",15,MAX(0.1,Skills!D10-IF(Skills!E10=TRUE,Inputs!$B$32,0))))+1)),0)</f>
        <v/>
      </c>
      <c r="S763">
        <f>IFERROR(O763/N763,0)</f>
        <v/>
      </c>
      <c r="T763">
        <f>IF(C763,(H763*N763*IF(AND(Inputs!$B$38&lt;&gt;"pvp",Inputs!$B$43&gt;0),((Skills!G10*((R763-1)*IF(Skills!H10&gt;0,Skills!I10/Skills!H10,1)+IF(Skills!H10&gt;0,MIN(Skills!I10,MAX(0,MAX(0,Inputs!$B$43-B787)-((R763-1)*IF(Inputs!$B$38="pvp",15,MAX(0.1,Skills!D10-IF(Skills!E10=TRUE,Inputs!$B$32,0))))))/Skills!H10,1)))/Inputs!$B$43),G763*Q763))*IF(Inputs!$B$38="pvp",1,1+(Inputs!$B$20+0+Skills!P10)/100),0)</f>
        <v/>
      </c>
      <c r="V763">
        <f>IF(C763,(H763*N763*IF(AND(Inputs!$B$38&lt;&gt;"pvp",Inputs!$B$43&gt;0),((Skills!G10*((R763-1)*IF(Skills!H10&gt;0,Skills!I10/Skills!H10,1)+IF(Skills!H10&gt;0,MIN(Skills!I10,MAX(0,MAX(0,Inputs!$B$43-B787)-((R763-1)*IF(Inputs!$B$38="pvp",15,MAX(0.1,Skills!D10-IF(Skills!E10=TRUE,Inputs!$B$32,0))))))/Skills!H10,1)))/Inputs!$B$43),G763*Q763))*IF(Inputs!$B$38="pvp",1,(1+(Inputs!$B$21+Skills!Q10)/100)*(MIN(Skills!R10,Inputs!$B$37))),0)</f>
        <v/>
      </c>
    </row>
    <row r="764">
      <c r="A764">
        <f>Skills!A11</f>
        <v/>
      </c>
      <c r="B764">
        <f>Skills!B11</f>
        <v/>
      </c>
      <c r="C764">
        <f>Inputs!$B$3&gt;=63</f>
        <v/>
      </c>
      <c r="D764">
        <f>IF(Skills!C11=1,60+Inputs!$B$25+Inputs!$B$29,IF(Skills!C11=2,90+Inputs!$B$26+Inputs!$B$29,IF(Skills!C11=3,120+(Inputs!$B$27+1)+Inputs!$B$29,MAX(0,(Inputs!$B$3-100)*3)+Inputs!$B$28+Inputs!$B$29)))</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nputs!$B$16/100)*(5000/(6000+Inputs!$B$42*(1-(Inputs!$B$19+0)/100)))*(1+(Inputs!$B$24+0+B786)/100)*(1+1.5*IF(C765=TRUE,F765,0)/100)*(1+(IF(Skills!A11="BLAST",Inputs!$B$17+((C774=TRUE)*(F774-Calc!F21)),Inputs!$B$18+((C776=TRUE)*(F776-Calc!F23))))/100)*((1+(((C766=TRUE)*F766*MIN(1,Skills!T13*(Skills!J13/100)*B784))+((C771=TRUE)*F771*IF(AND(Inputs!$B$38&lt;&gt;"pvp",Inputs!$B$43&gt;0),(((R771-1)*(Skills!T18*(1+Inputs!$B$34/100))+MIN((Skills!T18*(1+Inputs!$B$34/100)),MAX(0,Inputs!$B$43-((R771-1)*Skills!D18))))/Inputs!$B$43),IF(Inputs!$B$38="pvp",MIN((Skills!T18*(1+Inputs!$B$34/100)),15)/15,(Skills!T18*(1+Inputs!$B$34/100))/Skills!D18)))+0)/100)*I764)</f>
        <v/>
      </c>
      <c r="L764">
        <f>K764*(MIN(Inputs!$B$22+((C775=TRUE)*(F775-Calc!F22)),Inputs!$B$23+((C777=TRUE)*(F777-Calc!F24)))/100+(Inputs!$B$23+((C777=TRUE)*(F777-Calc!F24)))/100)/2</f>
        <v/>
      </c>
      <c r="M764">
        <f>L764*(1+(Inputs!$B$10+0+B785)/100)</f>
        <v/>
      </c>
      <c r="N764">
        <f>L764*(1-MIN((Inputs!$B$9+0+B780),100)/100)+M764*(MIN((Inputs!$B$9+0+B780),100)/100)</f>
        <v/>
      </c>
      <c r="O764">
        <f>(1-Summary!$B$55)*T764+Summary!$B$55*V764</f>
        <v/>
      </c>
      <c r="P764">
        <f>IF(B790=0,0,O764/B790)</f>
        <v/>
      </c>
      <c r="Q764">
        <f>IFERROR(1/IF(Inputs!$B$38="pvp",15,MAX(0.1,Skills!D11-IF(Skills!E11=TRUE,Inputs!$B$32,0))),0)</f>
        <v/>
      </c>
      <c r="R764">
        <f>IF(AND(Inputs!$B$38&lt;&gt;"pvp",Inputs!$B$43&gt;0),IF(MAX(0,Inputs!$B$43-B787)&lt;=0,0,(INT(MAX(0,Inputs!$B$43-B787)/IF(Inputs!$B$38="pvp",15,MAX(0.1,Skills!D11-IF(Skills!E11=TRUE,Inputs!$B$32,0))))+1)),0)</f>
        <v/>
      </c>
      <c r="S764">
        <f>IFERROR(O764/N764,0)</f>
        <v/>
      </c>
      <c r="T764">
        <f>IF(C764,(H764*N764*IF(AND(Inputs!$B$38&lt;&gt;"pvp",Inputs!$B$43&gt;0),((Skills!G11*((R764-1)*IF(Skills!H11&gt;0,Skills!I11/Skills!H11,1)+IF(Skills!H11&gt;0,MIN(Skills!I11,MAX(0,MAX(0,Inputs!$B$43-B787)-((R764-1)*IF(Inputs!$B$38="pvp",15,MAX(0.1,Skills!D11-IF(Skills!E11=TRUE,Inputs!$B$32,0))))))/Skills!H11,1)))/Inputs!$B$43),G764*Q764))*IF(Inputs!$B$38="pvp",1,1+(Inputs!$B$20+0+Skills!P11)/100),0)</f>
        <v/>
      </c>
      <c r="V764">
        <f>IF(C764,(H764*N764*IF(AND(Inputs!$B$38&lt;&gt;"pvp",Inputs!$B$43&gt;0),((Skills!G11*((R764-1)*IF(Skills!H11&gt;0,Skills!I11/Skills!H11,1)+IF(Skills!H11&gt;0,MIN(Skills!I11,MAX(0,MAX(0,Inputs!$B$43-B787)-((R764-1)*IF(Inputs!$B$38="pvp",15,MAX(0.1,Skills!D11-IF(Skills!E11=TRUE,Inputs!$B$32,0))))))/Skills!H11,1)))/Inputs!$B$43),G764*Q764))*IF(Inputs!$B$38="pvp",1,(1+(Inputs!$B$21+Skills!Q11)/100)*(MIN(Skills!R11,Inputs!$B$37))),0)</f>
        <v/>
      </c>
    </row>
    <row r="765">
      <c r="A765">
        <f>Skills!A12</f>
        <v/>
      </c>
      <c r="B765">
        <f>Skills!B12</f>
        <v/>
      </c>
      <c r="C765">
        <f>Inputs!$B$3&gt;=100</f>
        <v/>
      </c>
      <c r="D765">
        <f>IF(Skills!C12=1,60+Inputs!$B$25+Inputs!$B$29,IF(Skills!C12=2,90+Inputs!$B$26+Inputs!$B$29,IF(Skills!C12=3,120+(Inputs!$B$27+1)+Inputs!$B$29,MAX(0,(Inputs!$B$3-100)*3)+Inputs!$B$28+Inputs!$B$29)))</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IF(Skills!C13=1,60+Inputs!$B$25+Inputs!$B$29,IF(Skills!C13=2,90+Inputs!$B$26+Inputs!$B$29,IF(Skills!C13=3,120+(Inputs!$B$27+1)+Inputs!$B$29,MAX(0,(Inputs!$B$3-100)*3)+Inputs!$B$28+Inputs!$B$29)))</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f>(1-Summary!$B$55)*T766+Summary!$B$55*V766</f>
        <v/>
      </c>
      <c r="P766">
        <f>IF(B790=0,0,O766/B790)</f>
        <v/>
      </c>
      <c r="Q766" t="n">
        <v>0</v>
      </c>
      <c r="R766" t="n">
        <v>0</v>
      </c>
      <c r="S766">
        <f>IFERROR(O766/N766,0)</f>
        <v/>
      </c>
      <c r="T766" t="n">
        <v>0</v>
      </c>
      <c r="V766" t="n">
        <v>0</v>
      </c>
    </row>
    <row r="767">
      <c r="A767">
        <f>Skills!A14</f>
        <v/>
      </c>
      <c r="B767">
        <f>Skills!B14</f>
        <v/>
      </c>
      <c r="C767">
        <f>Inputs!$B$3&gt;=110</f>
        <v/>
      </c>
      <c r="D767">
        <f>IF(Skills!C14=1,60+Inputs!$B$25+Inputs!$B$29,IF(Skills!C14=2,90+Inputs!$B$26+Inputs!$B$29,IF(Skills!C14=3,120+(Inputs!$B$27+1)+Inputs!$B$29,MAX(0,(Inputs!$B$3-100)*3)+Inputs!$B$28+Inputs!$B$29)))</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f>(1-Summary!$B$55)*T767+Summary!$B$55*V767</f>
        <v/>
      </c>
      <c r="P767">
        <f>IF(B790=0,0,O767/B790)</f>
        <v/>
      </c>
      <c r="Q767" t="n">
        <v>0</v>
      </c>
      <c r="R767" t="n">
        <v>0</v>
      </c>
      <c r="S767">
        <f>IFERROR(O767/N767,0)</f>
        <v/>
      </c>
      <c r="T767" t="n">
        <v>0</v>
      </c>
      <c r="V767" t="n">
        <v>0</v>
      </c>
    </row>
    <row r="768">
      <c r="A768">
        <f>Skills!A15</f>
        <v/>
      </c>
      <c r="B768">
        <f>Skills!B15</f>
        <v/>
      </c>
      <c r="C768">
        <f>Inputs!$B$3&gt;=75</f>
        <v/>
      </c>
      <c r="D768">
        <f>IF(Skills!C15=1,60+Inputs!$B$25+Inputs!$B$29,IF(Skills!C15=2,90+Inputs!$B$26+Inputs!$B$29,IF(Skills!C15=3,120+(Inputs!$B$27+1)+Inputs!$B$29,MAX(0,(Inputs!$B$3-100)*3)+Inputs!$B$28+Inputs!$B$29)))</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f>(1-Summary!$B$55)*T768+Summary!$B$55*V768</f>
        <v/>
      </c>
      <c r="P768">
        <f>IF(B790=0,0,O768/B790)</f>
        <v/>
      </c>
      <c r="Q768">
        <f>IFERROR(1/IF(Inputs!$B$38="pvp",15,MAX(0.1,Skills!D15-IF(Skills!E15=TRUE,Inputs!$B$32,0))),0)</f>
        <v/>
      </c>
      <c r="R768">
        <f>IF(AND(Inputs!$B$38&lt;&gt;"pvp",Inputs!$B$43&gt;0),IF(Inputs!$B$43&lt;=0,0,(INT(Inputs!$B$43/IF(Inputs!$B$38="pvp",15,MAX(0.1,Skills!D15-IF(Skills!E15=TRUE,Inputs!$B$32,0))))+1)),0)</f>
        <v/>
      </c>
      <c r="S768">
        <f>IFERROR(O768/N768,0)</f>
        <v/>
      </c>
      <c r="T768" t="n">
        <v>0</v>
      </c>
      <c r="V768" t="n">
        <v>0</v>
      </c>
    </row>
    <row r="769">
      <c r="A769">
        <f>Skills!A16</f>
        <v/>
      </c>
      <c r="B769">
        <f>Skills!B16</f>
        <v/>
      </c>
      <c r="C769">
        <f>Inputs!$B$3&gt;=105</f>
        <v/>
      </c>
      <c r="D769">
        <f>IF(Skills!C16=1,60+Inputs!$B$25+Inputs!$B$29,IF(Skills!C16=2,90+Inputs!$B$26+Inputs!$B$29,IF(Skills!C16=3,120+(Inputs!$B$27+1)+Inputs!$B$29,MAX(0,(Inputs!$B$3-100)*3)+Inputs!$B$28+Inputs!$B$29)))</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f>(1-Summary!$B$55)*T769+Summary!$B$55*V769</f>
        <v/>
      </c>
      <c r="P769">
        <f>IF(B790=0,0,O769/B790)</f>
        <v/>
      </c>
      <c r="Q769">
        <f>IFERROR(1/IF(Inputs!$B$38="pvp",15,MAX(0.1,Skills!D16-IF(Skills!E16=TRUE,Inputs!$B$32,0))),0)</f>
        <v/>
      </c>
      <c r="R769">
        <f>IF(AND(Inputs!$B$38&lt;&gt;"pvp",Inputs!$B$43&gt;0),IF(Inputs!$B$43&lt;=0,0,(INT(Inputs!$B$43/IF(Inputs!$B$38="pvp",15,MAX(0.1,Skills!D16-IF(Skills!E16=TRUE,Inputs!$B$32,0))))+1)),0)</f>
        <v/>
      </c>
      <c r="S769">
        <f>IFERROR(O769/N769,0)</f>
        <v/>
      </c>
      <c r="T769" t="n">
        <v>0</v>
      </c>
      <c r="V769" t="n">
        <v>0</v>
      </c>
    </row>
    <row r="770">
      <c r="A770">
        <f>Skills!A17</f>
        <v/>
      </c>
      <c r="B770">
        <f>Skills!B17</f>
        <v/>
      </c>
      <c r="C770">
        <f>Inputs!$B$3&gt;=115</f>
        <v/>
      </c>
      <c r="D770">
        <f>IF(Skills!C17=1,60+Inputs!$B$25+Inputs!$B$29,IF(Skills!C17=2,90+Inputs!$B$26+Inputs!$B$29,IF(Skills!C17=3,120+(Inputs!$B$27+1)+Inputs!$B$29,MAX(0,(Inputs!$B$3-100)*3)+Inputs!$B$28+Inputs!$B$29)))</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f>(1-Summary!$B$55)*T770+Summary!$B$55*V770</f>
        <v/>
      </c>
      <c r="P770">
        <f>IF(B790=0,0,O770/B790)</f>
        <v/>
      </c>
      <c r="Q770">
        <f>IFERROR(1/IF(Inputs!$B$38="pvp",15,MAX(0.1,Skills!D17-IF(Skills!E17=TRUE,Inputs!$B$32,0))),0)</f>
        <v/>
      </c>
      <c r="R770">
        <f>IF(AND(Inputs!$B$38&lt;&gt;"pvp",Inputs!$B$43&gt;0),IF(Inputs!$B$43&lt;=0,0,(INT(Inputs!$B$43/IF(Inputs!$B$38="pvp",15,MAX(0.1,Skills!D17-IF(Skills!E17=TRUE,Inputs!$B$32,0))))+1)),0)</f>
        <v/>
      </c>
      <c r="S770">
        <f>IFERROR(O770/N770,0)</f>
        <v/>
      </c>
      <c r="T770" t="n">
        <v>0</v>
      </c>
      <c r="V770" t="n">
        <v>0</v>
      </c>
    </row>
    <row r="771">
      <c r="A771">
        <f>Skills!A18</f>
        <v/>
      </c>
      <c r="B771">
        <f>Skills!B18</f>
        <v/>
      </c>
      <c r="C771">
        <f>Inputs!$B$3&gt;=74</f>
        <v/>
      </c>
      <c r="D771">
        <f>IF(Skills!C18=1,60+Inputs!$B$25+Inputs!$B$29,IF(Skills!C18=2,90+Inputs!$B$26+Inputs!$B$29,IF(Skills!C18=3,120+(Inputs!$B$27+1)+Inputs!$B$29,MAX(0,(Inputs!$B$3-100)*3)+Inputs!$B$28+Inputs!$B$29)))</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f>(1-Summary!$B$55)*T771+Summary!$B$55*V771</f>
        <v/>
      </c>
      <c r="P771">
        <f>IF(B790=0,0,O771/B790)</f>
        <v/>
      </c>
      <c r="Q771">
        <f>IFERROR(1/IF(Inputs!$B$38="pvp",15,MAX(0.1,Skills!D18-IF(Skills!E18=TRUE,Inputs!$B$32,0))),0)</f>
        <v/>
      </c>
      <c r="R771">
        <f>IF(AND(Inputs!$B$38&lt;&gt;"pvp",Inputs!$B$43&gt;0),IF(Inputs!$B$43&lt;=0,0,(INT(Inputs!$B$43/IF(Inputs!$B$38="pvp",15,MAX(0.1,Skills!D18-IF(Skills!E18=TRUE,Inputs!$B$32,0))))+1)),0)</f>
        <v/>
      </c>
      <c r="S771">
        <f>IFERROR(O771/N771,0)</f>
        <v/>
      </c>
      <c r="T771" t="n">
        <v>0</v>
      </c>
      <c r="V771" t="n">
        <v>0</v>
      </c>
    </row>
    <row r="772">
      <c r="A772">
        <f>Skills!A19</f>
        <v/>
      </c>
      <c r="B772">
        <f>Skills!B19</f>
        <v/>
      </c>
      <c r="C772">
        <f>TRUE</f>
        <v/>
      </c>
      <c r="D772">
        <f>IF(Skills!C19=1,60+Inputs!$B$25+Inputs!$B$29,IF(Skills!C19=2,90+Inputs!$B$26+Inputs!$B$29,IF(Skills!C19=3,120+(Inputs!$B$27+1)+Inputs!$B$29,MAX(0,(Inputs!$B$3-100)*3)+Inputs!$B$28+Inputs!$B$29)))</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f>(1-Summary!$B$55)*T772+Summary!$B$55*V772</f>
        <v/>
      </c>
      <c r="P772">
        <f>IF(B790=0,0,O772/B790)</f>
        <v/>
      </c>
      <c r="Q772">
        <f>IFERROR(1/IF(Inputs!$B$38="pvp",15,MAX(0.1,Skills!D19-IF(Skills!E19=TRUE,Inputs!$B$32,0))),0)</f>
        <v/>
      </c>
      <c r="R772">
        <f>IF(AND(Inputs!$B$38&lt;&gt;"pvp",Inputs!$B$43&gt;0),IF(Inputs!$B$43&lt;=0,0,(INT(Inputs!$B$43/IF(Inputs!$B$38="pvp",15,MAX(0.1,Skills!D19-IF(Skills!E19=TRUE,Inputs!$B$32,0))))+1)),0)</f>
        <v/>
      </c>
      <c r="S772">
        <f>IFERROR(O772/N772,0)</f>
        <v/>
      </c>
      <c r="T772" t="n">
        <v>0</v>
      </c>
      <c r="V772" t="n">
        <v>0</v>
      </c>
    </row>
    <row r="773">
      <c r="A773">
        <f>Skills!A20</f>
        <v/>
      </c>
      <c r="B773">
        <f>Skills!B20</f>
        <v/>
      </c>
      <c r="C773">
        <f>Inputs!$B$3&gt;=33</f>
        <v/>
      </c>
      <c r="D773">
        <f>IF(Skills!C20=1,60+Inputs!$B$25+Inputs!$B$29,IF(Skills!C20=2,90+Inputs!$B$26+Inputs!$B$29,IF(Skills!C20=3,120+(Inputs!$B$27+1)+Inputs!$B$29,MAX(0,(Inputs!$B$3-100)*3)+Inputs!$B$28+Inputs!$B$29)))</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f>(1-Summary!$B$55)*T773+Summary!$B$55*V773</f>
        <v/>
      </c>
      <c r="P773">
        <f>IF(B790=0,0,O773/B790)</f>
        <v/>
      </c>
      <c r="Q773" t="n">
        <v>0</v>
      </c>
      <c r="R773" t="n">
        <v>0</v>
      </c>
      <c r="S773">
        <f>IFERROR(O773/N773,0)</f>
        <v/>
      </c>
      <c r="T773" t="n">
        <v>0</v>
      </c>
      <c r="V773" t="n">
        <v>0</v>
      </c>
    </row>
    <row r="774">
      <c r="A774">
        <f>Skills!A21</f>
        <v/>
      </c>
      <c r="B774">
        <f>Skills!B21</f>
        <v/>
      </c>
      <c r="C774">
        <f>Inputs!$B$3&gt;=38</f>
        <v/>
      </c>
      <c r="D774">
        <f>IF(Skills!C21=1,60+Inputs!$B$25+Inputs!$B$29,IF(Skills!C21=2,90+Inputs!$B$26+Inputs!$B$29,IF(Skills!C21=3,120+(Inputs!$B$27+1)+Inputs!$B$29,MAX(0,(Inputs!$B$3-100)*3)+Inputs!$B$28+Inputs!$B$29)))</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f>(1-Summary!$B$55)*T774+Summary!$B$55*V774</f>
        <v/>
      </c>
      <c r="P774">
        <f>IF(B790=0,0,O774/B790)</f>
        <v/>
      </c>
      <c r="Q774" t="n">
        <v>0</v>
      </c>
      <c r="R774" t="n">
        <v>0</v>
      </c>
      <c r="S774">
        <f>IFERROR(O774/N774,0)</f>
        <v/>
      </c>
      <c r="T774" t="n">
        <v>0</v>
      </c>
      <c r="V774" t="n">
        <v>0</v>
      </c>
    </row>
    <row r="775">
      <c r="A775">
        <f>Skills!A22</f>
        <v/>
      </c>
      <c r="B775">
        <f>Skills!B22</f>
        <v/>
      </c>
      <c r="C775">
        <f>Inputs!$B$3&gt;=43</f>
        <v/>
      </c>
      <c r="D775">
        <f>IF(Skills!C22=1,60+Inputs!$B$25+Inputs!$B$29,IF(Skills!C22=2,90+Inputs!$B$26+Inputs!$B$29,IF(Skills!C22=3,120+(Inputs!$B$27+1)+Inputs!$B$29,MAX(0,(Inputs!$B$3-100)*3)+Inputs!$B$28+Inputs!$B$29)))</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f>(1-Summary!$B$55)*T775+Summary!$B$55*V775</f>
        <v/>
      </c>
      <c r="P775">
        <f>IF(B790=0,0,O775/B790)</f>
        <v/>
      </c>
      <c r="Q775" t="n">
        <v>0</v>
      </c>
      <c r="R775" t="n">
        <v>0</v>
      </c>
      <c r="S775">
        <f>IFERROR(O775/N775,0)</f>
        <v/>
      </c>
      <c r="T775" t="n">
        <v>0</v>
      </c>
      <c r="V775" t="n">
        <v>0</v>
      </c>
    </row>
    <row r="776">
      <c r="A776">
        <f>Skills!A23</f>
        <v/>
      </c>
      <c r="B776">
        <f>Skills!B23</f>
        <v/>
      </c>
      <c r="C776">
        <f>Inputs!$B$3&gt;=120</f>
        <v/>
      </c>
      <c r="D776">
        <f>IF(Skills!C23=1,60+Inputs!$B$25+Inputs!$B$29,IF(Skills!C23=2,90+Inputs!$B$26+Inputs!$B$29,IF(Skills!C23=3,120+(Inputs!$B$27+1)+Inputs!$B$29,MAX(0,(Inputs!$B$3-100)*3)+Inputs!$B$28+Inputs!$B$29)))</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f>(1-Summary!$B$55)*T776+Summary!$B$55*V776</f>
        <v/>
      </c>
      <c r="P776">
        <f>IF(B790=0,0,O776/B790)</f>
        <v/>
      </c>
      <c r="Q776" t="n">
        <v>0</v>
      </c>
      <c r="R776" t="n">
        <v>0</v>
      </c>
      <c r="S776">
        <f>IFERROR(O776/N776,0)</f>
        <v/>
      </c>
      <c r="T776" t="n">
        <v>0</v>
      </c>
      <c r="V776" t="n">
        <v>0</v>
      </c>
    </row>
    <row r="777">
      <c r="A777">
        <f>Skills!A24</f>
        <v/>
      </c>
      <c r="B777">
        <f>Skills!B24</f>
        <v/>
      </c>
      <c r="C777">
        <f>Inputs!$B$3&gt;=120</f>
        <v/>
      </c>
      <c r="D777">
        <f>IF(Skills!C24=1,60+Inputs!$B$25+Inputs!$B$29,IF(Skills!C24=2,90+Inputs!$B$26+Inputs!$B$29,IF(Skills!C24=3,120+(Inputs!$B$27+1)+Inputs!$B$29,MAX(0,(Inputs!$B$3-100)*3)+Inputs!$B$28+Inputs!$B$29)))</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f>(1-Summary!$B$55)*T777+Summary!$B$55*V777</f>
        <v/>
      </c>
      <c r="P777">
        <f>IF(B790=0,0,O777/B790)</f>
        <v/>
      </c>
      <c r="Q777" t="n">
        <v>0</v>
      </c>
      <c r="R777" t="n">
        <v>0</v>
      </c>
      <c r="S777">
        <f>IFERROR(O777/N777,0)</f>
        <v/>
      </c>
      <c r="T777" t="n">
        <v>0</v>
      </c>
      <c r="V777" t="n">
        <v>0</v>
      </c>
    </row>
    <row r="779">
      <c r="A779" t="inlineStr">
        <is>
          <t>Attack% Bucket Multiplier</t>
        </is>
      </c>
      <c r="B779">
        <f>(1+(((C766=TRUE)*F766*MIN(1,Skills!T13*(Skills!J13/100)*B784))+((C771=TRUE)*F771*IF(AND(Inputs!$B$38&lt;&gt;"pvp",Inputs!$B$43&gt;0),(((R771-1)*(Skills!T18*(1+Inputs!$B$34/100))+MIN((Skills!T18*(1+Inputs!$B$34/100)),MAX(0,Inputs!$B$43-((R771-1)*Skills!D18))))/Inputs!$B$43),IF(Inputs!$B$38="pvp",MIN((Skills!T18*(1+Inputs!$B$34/100)),15)/15,(Skills!T18*(1+Inputs!$B$34/100))/Skills!D18)))+0)/100)</f>
        <v/>
      </c>
    </row>
    <row r="780">
      <c r="A780" t="inlineStr">
        <is>
          <t>Global Crit Rate Bonus %</t>
        </is>
      </c>
      <c r="B780" t="n">
        <v>0</v>
      </c>
    </row>
    <row r="781">
      <c r="A781" t="inlineStr">
        <is>
          <t>Attack Speed Buff Bonus %</t>
        </is>
      </c>
      <c r="B781">
        <f>((C772=TRUE)*F772*IF(AND(Inputs!$B$38&lt;&gt;"pvp",Inputs!$B$43&gt;0),(((R772-1)*(Skills!T19*(1+Inputs!$B$34/100))+MIN((Skills!T19*(1+Inputs!$B$34/100)),MAX(0,Inputs!$B$43-((R772-1)*Skills!D19))))/Inputs!$B$43),IF(Inputs!$B$38="pvp",MIN((Skills!T19*(1+Inputs!$B$34/100)),15)/15,(Skills!T19*(1+Inputs!$B$34/100))/Skills!D19)))</f>
        <v/>
      </c>
    </row>
    <row r="782">
      <c r="A782" t="inlineStr">
        <is>
          <t>Actions Per Second</t>
        </is>
      </c>
      <c r="B782">
        <f>1+MIN(150,150*(1-(1-(Inputs!$B$11+((C773=TRUE)*(F773-Calc!F20)))/150)*(1-B781/150)))/100</f>
        <v/>
      </c>
    </row>
    <row r="783">
      <c r="A783" t="inlineStr">
        <is>
          <t>Skill + Buff Cast Rate</t>
        </is>
      </c>
      <c r="B783">
        <f>IF(AND(Inputs!$B$38&lt;&gt;"pvp",Inputs!$B$43&gt;0),SUMPRODUCT((Skills!E2:E24=TRUE)*(C755:C777=TRUE)*R755:R777*Skills!F2:F24)/Inputs!$B$43,SUMPRODUCT((Skills!E2:E24=TRUE)*(C755:C777=TRUE)*Q755:Q777*Skills!F2:F24))</f>
        <v/>
      </c>
    </row>
    <row r="784">
      <c r="A784" t="inlineStr">
        <is>
          <t>Blast Casts Per Second</t>
        </is>
      </c>
      <c r="B784">
        <f>MAX(0,B782-B783)</f>
        <v/>
      </c>
    </row>
    <row r="785">
      <c r="A785" t="inlineStr">
        <is>
          <t>Global Critical Damage Bonus % (unused)</t>
        </is>
      </c>
      <c r="B785" t="n">
        <v>0</v>
      </c>
    </row>
    <row r="786">
      <c r="A786" t="inlineStr">
        <is>
          <t>Global Final Damage Bonus % (Divine Shield + Guardian + Divine Blessing + Greater Vessel of Light)</t>
        </is>
      </c>
      <c r="B786">
        <f>((C768=TRUE)*F768*IF(AND(Inputs!$B$38&lt;&gt;"pvp",Inputs!$B$43&gt;0),(((R768-1)*(Skills!T15*(1+Inputs!$B$34/100))+MIN((Skills!T15*(1+Inputs!$B$34/100)),MAX(0,Inputs!$B$43-((R768-1)*Skills!D15))))/Inputs!$B$43),IF(Inputs!$B$38="pvp",MIN((Skills!T15*(1+Inputs!$B$34/100)),15)/15,(Skills!T15*(1+Inputs!$B$34/100))/Skills!D15)))+((C769=TRUE)*F769*IF(AND(Inputs!$B$38&lt;&gt;"pvp",Inputs!$B$43&gt;0),(((R769-1)*(Skills!T16*(1+Inputs!$B$34/100))+MIN((Skills!T16*(1+Inputs!$B$34/100)),MAX(0,Inputs!$B$43-((R769-1)*Skills!D16))))/Inputs!$B$43),IF(Inputs!$B$38="pvp",MIN((Skills!T16*(1+Inputs!$B$34/100)),15)/15,(Skills!T16*(1+Inputs!$B$34/100))/Skills!D16)))+((C770=TRUE)*F770*IF(AND(Inputs!$B$38&lt;&gt;"pvp",Inputs!$B$43&gt;0),(((R770-1)*(Skills!T17*(1+Inputs!$B$34/100))+MIN((Skills!T17*(1+Inputs!$B$34/100)),MAX(0,Inputs!$B$43-((R770-1)*Skills!D17))))/Inputs!$B$43),IF(Inputs!$B$38="pvp",MIN((Skills!T17*(1+Inputs!$B$34/100)),15)/15,(Skills!T17*(1+Inputs!$B$34/100))/Skills!D17)))+((C767=TRUE)*F767*MIN(1,Skills!T13*(Skills!J13/100)*B784))</f>
        <v/>
      </c>
    </row>
    <row r="787">
      <c r="A787" t="inlineStr">
        <is>
          <t>Buff-Casting Startup Delay (s, fixed-duration only)</t>
        </is>
      </c>
      <c r="B787">
        <f>IF(AND(Inputs!$B$38&lt;&gt;"pvp",Inputs!$B$43&gt;0),SUMPRODUCT((Skills!T2:T24&gt;0)*(Skills!E2:E24=TRUE)*(C755:C777=TRUE))/B782,0)</f>
        <v/>
      </c>
    </row>
    <row r="788">
      <c r="A788" t="inlineStr">
        <is>
          <t>Boss-Only Total DPS (this block's swept value)</t>
        </is>
      </c>
      <c r="B788">
        <f>SUM(T755:T777)</f>
        <v/>
      </c>
    </row>
    <row r="789">
      <c r="A789" t="inlineStr">
        <is>
          <t>Normal-Only Total DPS (this block's swept value)</t>
        </is>
      </c>
      <c r="B789">
        <f>SUM(V755:V777)</f>
        <v/>
      </c>
    </row>
    <row r="790">
      <c r="A790" s="5" t="inlineStr">
        <is>
          <t>TOTAL DPS</t>
        </is>
      </c>
      <c r="B790" s="5">
        <f>SUM(O755:O777)</f>
        <v/>
      </c>
    </row>
    <row r="793">
      <c r="A793" s="5" t="inlineStr">
        <is>
          <t>Stat: Skill Level Bonus — 4th Job</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826)/100)*(1+(IF(Skills!A2="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795)</f>
        <v/>
      </c>
      <c r="L795">
        <f>K795*(MIN(Inputs!$B$22+((C815=TRUE)*(F815-Calc!F22)),Inputs!$B$23+((C817=TRUE)*(F817-Calc!F24)))/100+(Inputs!$B$23+((C817=TRUE)*(F817-Calc!F24)))/100)/2</f>
        <v/>
      </c>
      <c r="M795">
        <f>L795*(1+(Inputs!$B$10+0+B825)/100)</f>
        <v/>
      </c>
      <c r="N795">
        <f>L795*(1-MIN((Inputs!$B$9+0+B820),100)/100)+M795*(MIN((Inputs!$B$9+0+B820),100)/100)</f>
        <v/>
      </c>
      <c r="O795">
        <f>(1-Summary!$B$55)*T795+Summary!$B$55*V795</f>
        <v/>
      </c>
      <c r="P795">
        <f>IF(B830=0,0,O795/B830)</f>
        <v/>
      </c>
      <c r="Q795" t="n">
        <v>0</v>
      </c>
      <c r="R795" t="n">
        <v>0</v>
      </c>
      <c r="S795">
        <f>IFERROR(O795/N795,0)</f>
        <v/>
      </c>
      <c r="T795">
        <f>IF(C795,(Skills!G2*N795*B824)*IF(Inputs!$B$38="pvp",1,1+(Inputs!$B$20+0+Skills!P2)/100),0)</f>
        <v/>
      </c>
      <c r="U795">
        <f>MAX(0,(Inputs!$B$3-100)*3)+(Inputs!$B$28+1)+Inputs!$B$29</f>
        <v/>
      </c>
      <c r="V795">
        <f>IF(C795,(Skills!G2*N795*B824)*IF(Inputs!$B$38="pvp",1,(1+(Inputs!$B$21+Skills!Q2)/100)*(MIN((6+Inputs!$B$33),Inputs!$B$37))),0)</f>
        <v/>
      </c>
    </row>
    <row r="796">
      <c r="A796">
        <f>Skills!A3</f>
        <v/>
      </c>
      <c r="B796">
        <f>Skills!B3</f>
        <v/>
      </c>
      <c r="C796">
        <f>Inputs!$B$3&gt;=50</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826)/100)*(1+4.0*IF(C805=TRUE,F805,0)/100)*(1+(IF(Skills!A4="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797)</f>
        <v/>
      </c>
      <c r="L797">
        <f>K797*(MIN(Inputs!$B$22+((C815=TRUE)*(F815-Calc!F22)),Inputs!$B$23+((C817=TRUE)*(F817-Calc!F24)))/100+(Inputs!$B$23+((C817=TRUE)*(F817-Calc!F24)))/100)/2</f>
        <v/>
      </c>
      <c r="M797">
        <f>L797*(1+(Inputs!$B$10+0+B825)/100)</f>
        <v/>
      </c>
      <c r="N797">
        <f>L797*(1-MIN((Inputs!$B$9+0+B820),100)/100)+M797*(MIN((Inputs!$B$9+0+B820),100)/100)</f>
        <v/>
      </c>
      <c r="O797">
        <f>(1-Summary!$B$55)*T797+Summary!$B$55*V797</f>
        <v/>
      </c>
      <c r="P797">
        <f>IF(B830=0,0,O797/B830)</f>
        <v/>
      </c>
      <c r="Q797">
        <f>IFERROR(1/IF(Inputs!$B$38="pvp",15,MAX(0.1,Skills!D4-IF(Skills!E4=TRUE,Inputs!$B$32,0))),0)</f>
        <v/>
      </c>
      <c r="R797">
        <f>IF(AND(Inputs!$B$38&lt;&gt;"pvp",Inputs!$B$43&gt;0),IF(MAX(0,Inputs!$B$43-B827)&lt;=0,0,(INT(MAX(0,Inputs!$B$43-B827)/IF(Inputs!$B$38="pvp",15,MAX(0.1,Skills!D4-IF(Skills!E4=TRUE,Inputs!$B$32,0))))+1)),0)</f>
        <v/>
      </c>
      <c r="S797">
        <f>IFERROR(O797/N797,0)</f>
        <v/>
      </c>
      <c r="T797">
        <f>IF(C797,(H797*N797*IF(AND(Inputs!$B$38&lt;&gt;"pvp",Inputs!$B$43&gt;0),((Skills!G4*((R797-1)*IF(Skills!H4&gt;0,Skills!I4/Skills!H4,1)+IF(Skills!H4&gt;0,MIN(Skills!I4,MAX(0,MAX(0,Inputs!$B$43-B827)-((R797-1)*IF(Inputs!$B$38="pvp",15,MAX(0.1,Skills!D4-IF(Skills!E4=TRUE,Inputs!$B$32,0))))))/Skills!H4,1)))/Inputs!$B$43),G797*Q797))*IF(Inputs!$B$38="pvp",1,1+(Inputs!$B$20+0+Skills!P4)/100),0)</f>
        <v/>
      </c>
      <c r="U797">
        <f>290*U796/1000</f>
        <v/>
      </c>
      <c r="V797">
        <f>IF(C797,(H797*N797*IF(AND(Inputs!$B$38&lt;&gt;"pvp",Inputs!$B$43&gt;0),((Skills!G4*((R797-1)*IF(Skills!H4&gt;0,Skills!I4/Skills!H4,1)+IF(Skills!H4&gt;0,MIN(Skills!I4,MAX(0,MAX(0,Inputs!$B$43-B827)-((R797-1)*IF(Inputs!$B$38="pvp",15,MAX(0.1,Skills!D4-IF(Skills!E4=TRUE,Inputs!$B$32,0))))))/Skills!H4,1)))/Inputs!$B$43),G797*Q797))*IF(Inputs!$B$38="pvp",1,(1+(Inputs!$B$21+Skills!Q4)/100)*(MIN(Skills!R4,Inputs!$B$37))),0)</f>
        <v/>
      </c>
    </row>
    <row r="798">
      <c r="A798">
        <f>Skills!A5</f>
        <v/>
      </c>
      <c r="B798">
        <f>Skills!B5</f>
        <v/>
      </c>
      <c r="C798">
        <f>Inputs!$B$3&gt;=66</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826)/100)*(1+1.0*IF(C805=TRUE,F805,0)/100)*(1+(IF(Skills!A5="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798)</f>
        <v/>
      </c>
      <c r="L798">
        <f>K798*(MIN(Inputs!$B$22+((C815=TRUE)*(F815-Calc!F22)),Inputs!$B$23+((C817=TRUE)*(F817-Calc!F24)))/100+(Inputs!$B$23+((C817=TRUE)*(F817-Calc!F24)))/100)/2</f>
        <v/>
      </c>
      <c r="M798">
        <f>L798*(1+(Inputs!$B$10+0+B825)/100)</f>
        <v/>
      </c>
      <c r="N798">
        <f>L798*(1-MIN((Inputs!$B$9+0+B820),100)/100)+M798*(MIN((Inputs!$B$9+0+B820),100)/100)</f>
        <v/>
      </c>
      <c r="O798">
        <f>(1-Summary!$B$55)*T798+Summary!$B$55*V798</f>
        <v/>
      </c>
      <c r="P798">
        <f>IF(B830=0,0,O798/B830)</f>
        <v/>
      </c>
      <c r="Q798">
        <f>IFERROR(1/IF(Inputs!$B$38="pvp",15,MAX(0.1,Skills!D5-IF(Skills!E5=TRUE,Inputs!$B$32,0))),0)</f>
        <v/>
      </c>
      <c r="R798">
        <f>IF(AND(Inputs!$B$38&lt;&gt;"pvp",Inputs!$B$43&gt;0),IF(MAX(0,Inputs!$B$43-B827)&lt;=0,0,(INT(MAX(0,Inputs!$B$43-B827)/IF(Inputs!$B$38="pvp",15,MAX(0.1,Skills!D5-IF(Skills!E5=TRUE,Inputs!$B$32,0))))+1)),0)</f>
        <v/>
      </c>
      <c r="S798">
        <f>IFERROR(O798/N798,0)</f>
        <v/>
      </c>
      <c r="T798">
        <f>IF(C798,(H798*N798*IF(AND(Inputs!$B$38&lt;&gt;"pvp",Inputs!$B$43&gt;0),((Skills!G5*((R798-1)*IF(Skills!H5&gt;0,Skills!I5/Skills!H5,1)+IF(Skills!H5&gt;0,MIN(Skills!I5,MAX(0,MAX(0,Inputs!$B$43-B827)-((R798-1)*IF(Inputs!$B$38="pvp",15,MAX(0.1,Skills!D5-IF(Skills!E5=TRUE,Inputs!$B$32,0))))))/Skills!H5,1)))/Inputs!$B$43),G798*Q798))*IF(Inputs!$B$38="pvp",1,1+(Inputs!$B$20+0+Skills!P5)/100),0)</f>
        <v/>
      </c>
      <c r="V798">
        <f>IF(C798,(H798*N798*IF(AND(Inputs!$B$38&lt;&gt;"pvp",Inputs!$B$43&gt;0),((Skills!G5*((R798-1)*IF(Skills!H5&gt;0,Skills!I5/Skills!H5,1)+IF(Skills!H5&gt;0,MIN(Skills!I5,MAX(0,MAX(0,Inputs!$B$43-B827)-((R798-1)*IF(Inputs!$B$38="pvp",15,MAX(0.1,Skills!D5-IF(Skills!E5=TRUE,Inputs!$B$32,0))))))/Skills!H5,1)))/Inputs!$B$43),G798*Q798))*IF(Inputs!$B$38="pvp",1,(1+(Inputs!$B$21+Skills!Q5)/100)*(MIN(Skills!R5,Inputs!$B$37))),0)</f>
        <v/>
      </c>
    </row>
    <row r="799">
      <c r="A799">
        <f>Skills!A6</f>
        <v/>
      </c>
      <c r="B799">
        <f>Skills!B6</f>
        <v/>
      </c>
      <c r="C799">
        <f>Inputs!$B$3&gt;=103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826)/100)*(1+(IF(Skills!A6="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799)</f>
        <v/>
      </c>
      <c r="L799">
        <f>K799*(MIN(Inputs!$B$22+((C815=TRUE)*(F815-Calc!F22)),Inputs!$B$23+((C817=TRUE)*(F817-Calc!F24)))/100+(Inputs!$B$23+((C817=TRUE)*(F817-Calc!F24)))/100)/2</f>
        <v/>
      </c>
      <c r="M799">
        <f>L799*(1+(Inputs!$B$10+0+B825)/100)</f>
        <v/>
      </c>
      <c r="N799">
        <f>L799*(1-MIN((Inputs!$B$9+0+B820),100)/100)+M799*(MIN((Inputs!$B$9+0+B820),100)/100)</f>
        <v/>
      </c>
      <c r="O799">
        <f>(1-Summary!$B$55)*T799+Summary!$B$55*V799</f>
        <v/>
      </c>
      <c r="P799">
        <f>IF(B830=0,0,O799/B830)</f>
        <v/>
      </c>
      <c r="Q799">
        <f>IFERROR(1/IF(Inputs!$B$38="pvp",15,MAX(0.1,Skills!D6-IF(Skills!E6=TRUE,Inputs!$B$32,0))),0)</f>
        <v/>
      </c>
      <c r="R799">
        <f>IF(AND(Inputs!$B$38&lt;&gt;"pvp",Inputs!$B$43&gt;0),IF(MAX(0,Inputs!$B$43-B827)&lt;=0,0,(INT(MAX(0,Inputs!$B$43-B827)/IF(Inputs!$B$38="pvp",15,MAX(0.1,Skills!D6-IF(Skills!E6=TRUE,Inputs!$B$32,0))))+1)),0)</f>
        <v/>
      </c>
      <c r="S799">
        <f>IFERROR(O799/N799,0)</f>
        <v/>
      </c>
      <c r="T799">
        <f>IF(C799,(H799*N799*IF(AND(Inputs!$B$38&lt;&gt;"pvp",Inputs!$B$43&gt;0),((Skills!G6*((R799-1)*IF(Skills!H6&gt;0,Skills!I6/Skills!H6,1)+IF(Skills!H6&gt;0,MIN(Skills!I6,MAX(0,MAX(0,Inputs!$B$43-B827)-((R799-1)*IF(Inputs!$B$38="pvp",15,MAX(0.1,Skills!D6-IF(Skills!E6=TRUE,Inputs!$B$32,0))))))/Skills!H6,1)))/Inputs!$B$43),G799*Q799))*IF(Inputs!$B$38="pvp",1,1+(Inputs!$B$20+0+Skills!P6)/100),0)</f>
        <v/>
      </c>
      <c r="V799">
        <f>IF(C799,(H799*N799*IF(AND(Inputs!$B$38&lt;&gt;"pvp",Inputs!$B$43&gt;0),((Skills!G6*((R799-1)*IF(Skills!H6&gt;0,Skills!I6/Skills!H6,1)+IF(Skills!H6&gt;0,MIN(Skills!I6,MAX(0,MAX(0,Inputs!$B$43-B827)-((R799-1)*IF(Inputs!$B$38="pvp",15,MAX(0.1,Skills!D6-IF(Skills!E6=TRUE,Inputs!$B$32,0))))))/Skills!H6,1)))/Inputs!$B$43),G799*Q799))*IF(Inputs!$B$38="pvp",1,(1+(Inputs!$B$21+Skills!Q6)/100)*(MIN(Skills!R6,Inputs!$B$37))),0)</f>
        <v/>
      </c>
    </row>
    <row r="800">
      <c r="A800">
        <f>Skills!A7</f>
        <v/>
      </c>
      <c r="B800">
        <f>Skills!B7</f>
        <v/>
      </c>
      <c r="C800">
        <f>Inputs!$B$3&gt;=107</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826)/100)*(1+(IF(Skills!A7="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800)</f>
        <v/>
      </c>
      <c r="L800">
        <f>K800*(MIN(Inputs!$B$22+((C815=TRUE)*(F815-Calc!F22)),Inputs!$B$23+((C817=TRUE)*(F817-Calc!F24)))/100+(Inputs!$B$23+((C817=TRUE)*(F817-Calc!F24)))/100)/2</f>
        <v/>
      </c>
      <c r="M800">
        <f>L800*(1+(Inputs!$B$10+0+B825)/100)</f>
        <v/>
      </c>
      <c r="N800">
        <f>L800*(1-MIN((Inputs!$B$9+0+B820),100)/100)+M800*(MIN((Inputs!$B$9+0+B820),100)/100)</f>
        <v/>
      </c>
      <c r="O800">
        <f>(1-Summary!$B$55)*T800+Summary!$B$55*V800</f>
        <v/>
      </c>
      <c r="P800">
        <f>IF(B830=0,0,O800/B830)</f>
        <v/>
      </c>
      <c r="Q800">
        <f>IFERROR(1/IF(Inputs!$B$38="pvp",15,MAX(0.1,Skills!D7-IF(Skills!E7=TRUE,Inputs!$B$32,0))),0)</f>
        <v/>
      </c>
      <c r="R800">
        <f>IF(AND(Inputs!$B$38&lt;&gt;"pvp",Inputs!$B$43&gt;0),IF(MAX(0,Inputs!$B$43-B827)&lt;=0,0,(INT(MAX(0,Inputs!$B$43-B827)/IF(Inputs!$B$38="pvp",15,MAX(0.1,Skills!D7-IF(Skills!E7=TRUE,Inputs!$B$32,0))))+1)),0)</f>
        <v/>
      </c>
      <c r="S800">
        <f>IFERROR(O800/N800,0)</f>
        <v/>
      </c>
      <c r="T800">
        <f>IF(C800,(H800*N800*IF(AND(Inputs!$B$38&lt;&gt;"pvp",Inputs!$B$43&gt;0),((Skills!G7*((R800-1)*IF(Skills!H7&gt;0,Skills!I7/Skills!H7,1)+IF(Skills!H7&gt;0,MIN(Skills!I7,MAX(0,MAX(0,Inputs!$B$43-B827)-((R800-1)*IF(Inputs!$B$38="pvp",15,MAX(0.1,Skills!D7-IF(Skills!E7=TRUE,Inputs!$B$32,0))))))/Skills!H7,1)))/Inputs!$B$43),G800*Q800))*IF(Inputs!$B$38="pvp",1,1+(Inputs!$B$20+0+Skills!P7)/100),0)</f>
        <v/>
      </c>
      <c r="V800">
        <f>IF(C800,(H800*N800*IF(AND(Inputs!$B$38&lt;&gt;"pvp",Inputs!$B$43&gt;0),((Skills!G7*((R800-1)*IF(Skills!H7&gt;0,Skills!I7/Skills!H7,1)+IF(Skills!H7&gt;0,MIN(Skills!I7,MAX(0,MAX(0,Inputs!$B$43-B827)-((R800-1)*IF(Inputs!$B$38="pvp",15,MAX(0.1,Skills!D7-IF(Skills!E7=TRUE,Inputs!$B$32,0))))))/Skills!H7,1)))/Inputs!$B$43),G800*Q800))*IF(Inputs!$B$38="pvp",1,(1+(Inputs!$B$21+Skills!Q7)/100)*(MIN(Skills!R7,Inputs!$B$37))),0)</f>
        <v/>
      </c>
    </row>
    <row r="801">
      <c r="A801">
        <f>Skills!A8</f>
        <v/>
      </c>
      <c r="B801">
        <f>Skills!B8</f>
        <v/>
      </c>
      <c r="C801">
        <f>Inputs!$B$3&gt;=107</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826)/100)*(1+(IF(Skills!A8="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801)</f>
        <v/>
      </c>
      <c r="L801">
        <f>K801*(MIN(Inputs!$B$22+((C815=TRUE)*(F815-Calc!F22)),Inputs!$B$23+((C817=TRUE)*(F817-Calc!F24)))/100+(Inputs!$B$23+((C817=TRUE)*(F817-Calc!F24)))/100)/2</f>
        <v/>
      </c>
      <c r="M801">
        <f>L801*(1+(Inputs!$B$10+0+B825)/100)</f>
        <v/>
      </c>
      <c r="N801">
        <f>L801*(1-MIN((Inputs!$B$9+0+B820),100)/100)+M801*(MIN((Inputs!$B$9+0+B820),100)/100)</f>
        <v/>
      </c>
      <c r="O801">
        <f>(1-Summary!$B$55)*T801+Summary!$B$55*V801</f>
        <v/>
      </c>
      <c r="P801">
        <f>IF(B830=0,0,O801/B830)</f>
        <v/>
      </c>
      <c r="Q801">
        <f>IFERROR(1/IF(Inputs!$B$38="pvp",15,MAX(0.1,Skills!D8-IF(Skills!E8=TRUE,Inputs!$B$32,0))),0)</f>
        <v/>
      </c>
      <c r="R801">
        <f>IF(AND(Inputs!$B$38&lt;&gt;"pvp",Inputs!$B$43&gt;0),IF(MAX(0,Inputs!$B$43-B827)&lt;=0,0,(INT(MAX(0,Inputs!$B$43-B827)/IF(Inputs!$B$38="pvp",15,MAX(0.1,Skills!D8-IF(Skills!E8=TRUE,Inputs!$B$32,0))))+1)),0)</f>
        <v/>
      </c>
      <c r="S801">
        <f>IFERROR(O801/N801,0)</f>
        <v/>
      </c>
      <c r="T801">
        <f>IF(C801,(H801*N801*IF(AND(Inputs!$B$38&lt;&gt;"pvp",Inputs!$B$43&gt;0),((Skills!G8*((R801-1)*IF(Skills!H8&gt;0,Skills!I8/Skills!H8,1)+IF(Skills!H8&gt;0,MIN(Skills!I8,MAX(0,MAX(0,Inputs!$B$43-B827)-((R801-1)*IF(Inputs!$B$38="pvp",15,MAX(0.1,Skills!D8-IF(Skills!E8=TRUE,Inputs!$B$32,0))))))/Skills!H8,1)))/Inputs!$B$43),G801*Q801))*IF(Inputs!$B$38="pvp",1,1+(Inputs!$B$20+0+Skills!P8)/100),0)</f>
        <v/>
      </c>
      <c r="V801">
        <f>IF(C801,(H801*N801*IF(AND(Inputs!$B$38&lt;&gt;"pvp",Inputs!$B$43&gt;0),((Skills!G8*((R801-1)*IF(Skills!H8&gt;0,Skills!I8/Skills!H8,1)+IF(Skills!H8&gt;0,MIN(Skills!I8,MAX(0,MAX(0,Inputs!$B$43-B827)-((R801-1)*IF(Inputs!$B$38="pvp",15,MAX(0.1,Skills!D8-IF(Skills!E8=TRUE,Inputs!$B$32,0))))))/Skills!H8,1)))/Inputs!$B$43),G801*Q801))*IF(Inputs!$B$38="pvp",1,(1+(Inputs!$B$21+Skills!Q8)/100)*(MIN(Skills!R8,Inputs!$B$37))),0)</f>
        <v/>
      </c>
    </row>
    <row r="802">
      <c r="A802">
        <f>Skills!A9</f>
        <v/>
      </c>
      <c r="B802">
        <f>Skills!B9</f>
        <v/>
      </c>
      <c r="C802">
        <f>Inputs!$B$3&gt;=125</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826)/100)*(1+(IF(Skills!A9="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802)</f>
        <v/>
      </c>
      <c r="L802">
        <f>K802*(MIN(Inputs!$B$22+((C815=TRUE)*(F815-Calc!F22)),Inputs!$B$23+((C817=TRUE)*(F817-Calc!F24)))/100+(Inputs!$B$23+((C817=TRUE)*(F817-Calc!F24)))/100)/2</f>
        <v/>
      </c>
      <c r="M802">
        <f>L802*(1+(Inputs!$B$10+0+B825)/100)</f>
        <v/>
      </c>
      <c r="N802">
        <f>L802*(1-MIN((Inputs!$B$9+0+B820),100)/100)+M802*(MIN((Inputs!$B$9+0+B820),100)/100)</f>
        <v/>
      </c>
      <c r="O802">
        <f>(1-Summary!$B$55)*T802+Summary!$B$55*V802</f>
        <v/>
      </c>
      <c r="P802">
        <f>IF(B830=0,0,O802/B830)</f>
        <v/>
      </c>
      <c r="Q802">
        <f>IFERROR(1/IF(Inputs!$B$38="pvp",15,MAX(0.1,Skills!D9-IF(Skills!E9=TRUE,Inputs!$B$32,0))),0)</f>
        <v/>
      </c>
      <c r="R802">
        <f>IF(AND(Inputs!$B$38&lt;&gt;"pvp",Inputs!$B$43&gt;0),IF(MAX(0,Inputs!$B$43-B827)&lt;=0,0,(INT(MAX(0,Inputs!$B$43-B827)/IF(Inputs!$B$38="pvp",15,MAX(0.1,Skills!D9-IF(Skills!E9=TRUE,Inputs!$B$32,0))))+1)),0)</f>
        <v/>
      </c>
      <c r="S802">
        <f>IFERROR(O802/N802,0)</f>
        <v/>
      </c>
      <c r="T802">
        <f>IF(C802,(H802*N802*IF(AND(Inputs!$B$38&lt;&gt;"pvp",Inputs!$B$43&gt;0),((Skills!G9*((R802-1)*IF(Skills!H9&gt;0,Skills!I9/Skills!H9,1)+IF(Skills!H9&gt;0,MIN(Skills!I9,MAX(0,MAX(0,Inputs!$B$43-B827)-((R802-1)*IF(Inputs!$B$38="pvp",15,MAX(0.1,Skills!D9-IF(Skills!E9=TRUE,Inputs!$B$32,0))))))/Skills!H9,1)))/Inputs!$B$43),G802*Q802))*IF(Inputs!$B$38="pvp",1,1+(Inputs!$B$20+0+Skills!P9)/100),0)</f>
        <v/>
      </c>
      <c r="V802">
        <f>IF(C802,(H802*N802*IF(AND(Inputs!$B$38&lt;&gt;"pvp",Inputs!$B$43&gt;0),((Skills!G9*((R802-1)*IF(Skills!H9&gt;0,Skills!I9/Skills!H9,1)+IF(Skills!H9&gt;0,MIN(Skills!I9,MAX(0,MAX(0,Inputs!$B$43-B827)-((R802-1)*IF(Inputs!$B$38="pvp",15,MAX(0.1,Skills!D9-IF(Skills!E9=TRUE,Inputs!$B$32,0))))))/Skills!H9,1)))/Inputs!$B$43),G802*Q802))*IF(Inputs!$B$38="pvp",1,(1+(Inputs!$B$21+Skills!Q9)/100)*(MIN(Skills!R9,Inputs!$B$37))),0)</f>
        <v/>
      </c>
    </row>
    <row r="803">
      <c r="A803">
        <f>Skills!A10</f>
        <v/>
      </c>
      <c r="B803">
        <f>Skills!B10</f>
        <v/>
      </c>
      <c r="C803">
        <f>Inputs!$B$3&gt;=117</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nputs!$B$16/100)*(5000/(6000+Inputs!$B$42*(1-(Inputs!$B$19+0)/100)))*(1+(Inputs!$B$24+0+B826)/100)*(1+(IF(Skills!A10="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803)</f>
        <v/>
      </c>
      <c r="L803">
        <f>K803*(MIN(Inputs!$B$22+((C815=TRUE)*(F815-Calc!F22)),Inputs!$B$23+((C817=TRUE)*(F817-Calc!F24)))/100+(Inputs!$B$23+((C817=TRUE)*(F817-Calc!F24)))/100)/2</f>
        <v/>
      </c>
      <c r="M803">
        <f>L803*(1+(Inputs!$B$10+0+B825)/100)</f>
        <v/>
      </c>
      <c r="N803">
        <f>L803*(1-MIN((Inputs!$B$9+0+B820),100)/100)+M803*(MIN((Inputs!$B$9+0+B820),100)/100)</f>
        <v/>
      </c>
      <c r="O803">
        <f>(1-Summary!$B$55)*T803+Summary!$B$55*V803</f>
        <v/>
      </c>
      <c r="P803">
        <f>IF(B830=0,0,O803/B830)</f>
        <v/>
      </c>
      <c r="Q803">
        <f>IFERROR(1/IF(Inputs!$B$38="pvp",15,MAX(0.1,Skills!D10-IF(Skills!E10=TRUE,Inputs!$B$32,0))),0)</f>
        <v/>
      </c>
      <c r="R803">
        <f>IF(AND(Inputs!$B$38&lt;&gt;"pvp",Inputs!$B$43&gt;0),IF(MAX(0,Inputs!$B$43-B827)&lt;=0,0,(INT(MAX(0,Inputs!$B$43-B827)/IF(Inputs!$B$38="pvp",15,MAX(0.1,Skills!D10-IF(Skills!E10=TRUE,Inputs!$B$32,0))))+1)),0)</f>
        <v/>
      </c>
      <c r="S803">
        <f>IFERROR(O803/N803,0)</f>
        <v/>
      </c>
      <c r="T803">
        <f>IF(C803,(H803*N803*IF(AND(Inputs!$B$38&lt;&gt;"pvp",Inputs!$B$43&gt;0),((Skills!G10*((R803-1)*IF(Skills!H10&gt;0,Skills!I10/Skills!H10,1)+IF(Skills!H10&gt;0,MIN(Skills!I10,MAX(0,MAX(0,Inputs!$B$43-B827)-((R803-1)*IF(Inputs!$B$38="pvp",15,MAX(0.1,Skills!D10-IF(Skills!E10=TRUE,Inputs!$B$32,0))))))/Skills!H10,1)))/Inputs!$B$43),G803*Q803))*IF(Inputs!$B$38="pvp",1,1+(Inputs!$B$20+0+Skills!P10)/100),0)</f>
        <v/>
      </c>
      <c r="V803">
        <f>IF(C803,(H803*N803*IF(AND(Inputs!$B$38&lt;&gt;"pvp",Inputs!$B$43&gt;0),((Skills!G10*((R803-1)*IF(Skills!H10&gt;0,Skills!I10/Skills!H10,1)+IF(Skills!H10&gt;0,MIN(Skills!I10,MAX(0,MAX(0,Inputs!$B$43-B827)-((R803-1)*IF(Inputs!$B$38="pvp",15,MAX(0.1,Skills!D10-IF(Skills!E10=TRUE,Inputs!$B$32,0))))))/Skills!H10,1)))/Inputs!$B$43),G803*Q803))*IF(Inputs!$B$38="pvp",1,(1+(Inputs!$B$21+Skills!Q10)/100)*(MIN(Skills!R10,Inputs!$B$37))),0)</f>
        <v/>
      </c>
    </row>
    <row r="804">
      <c r="A804">
        <f>Skills!A11</f>
        <v/>
      </c>
      <c r="B804">
        <f>Skills!B11</f>
        <v/>
      </c>
      <c r="C804">
        <f>Inputs!$B$3&gt;=63</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nputs!$B$16/100)*(5000/(6000+Inputs!$B$42*(1-(Inputs!$B$19+0)/100)))*(1+(Inputs!$B$24+0+B826)/100)*(1+1.5*IF(C805=TRUE,F805,0)/100)*(1+(IF(Skills!A11="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804)</f>
        <v/>
      </c>
      <c r="L804">
        <f>K804*(MIN(Inputs!$B$22+((C815=TRUE)*(F815-Calc!F22)),Inputs!$B$23+((C817=TRUE)*(F817-Calc!F24)))/100+(Inputs!$B$23+((C817=TRUE)*(F817-Calc!F24)))/100)/2</f>
        <v/>
      </c>
      <c r="M804">
        <f>L804*(1+(Inputs!$B$10+0+B825)/100)</f>
        <v/>
      </c>
      <c r="N804">
        <f>L804*(1-MIN((Inputs!$B$9+0+B820),100)/100)+M804*(MIN((Inputs!$B$9+0+B820),100)/100)</f>
        <v/>
      </c>
      <c r="O804">
        <f>(1-Summary!$B$55)*T804+Summary!$B$55*V804</f>
        <v/>
      </c>
      <c r="P804">
        <f>IF(B830=0,0,O804/B830)</f>
        <v/>
      </c>
      <c r="Q804">
        <f>IFERROR(1/IF(Inputs!$B$38="pvp",15,MAX(0.1,Skills!D11-IF(Skills!E11=TRUE,Inputs!$B$32,0))),0)</f>
        <v/>
      </c>
      <c r="R804">
        <f>IF(AND(Inputs!$B$38&lt;&gt;"pvp",Inputs!$B$43&gt;0),IF(MAX(0,Inputs!$B$43-B827)&lt;=0,0,(INT(MAX(0,Inputs!$B$43-B827)/IF(Inputs!$B$38="pvp",15,MAX(0.1,Skills!D11-IF(Skills!E11=TRUE,Inputs!$B$32,0))))+1)),0)</f>
        <v/>
      </c>
      <c r="S804">
        <f>IFERROR(O804/N804,0)</f>
        <v/>
      </c>
      <c r="T804">
        <f>IF(C804,(H804*N804*IF(AND(Inputs!$B$38&lt;&gt;"pvp",Inputs!$B$43&gt;0),((Skills!G11*((R804-1)*IF(Skills!H11&gt;0,Skills!I11/Skills!H11,1)+IF(Skills!H11&gt;0,MIN(Skills!I11,MAX(0,MAX(0,Inputs!$B$43-B827)-((R804-1)*IF(Inputs!$B$38="pvp",15,MAX(0.1,Skills!D11-IF(Skills!E11=TRUE,Inputs!$B$32,0))))))/Skills!H11,1)))/Inputs!$B$43),G804*Q804))*IF(Inputs!$B$38="pvp",1,1+(Inputs!$B$20+0+Skills!P11)/100),0)</f>
        <v/>
      </c>
      <c r="V804">
        <f>IF(C804,(H804*N804*IF(AND(Inputs!$B$38&lt;&gt;"pvp",Inputs!$B$43&gt;0),((Skills!G11*((R804-1)*IF(Skills!H11&gt;0,Skills!I11/Skills!H11,1)+IF(Skills!H11&gt;0,MIN(Skills!I11,MAX(0,MAX(0,Inputs!$B$43-B827)-((R804-1)*IF(Inputs!$B$38="pvp",15,MAX(0.1,Skills!D11-IF(Skills!E11=TRUE,Inputs!$B$32,0))))))/Skills!H11,1)))/Inputs!$B$43),G804*Q804))*IF(Inputs!$B$38="pvp",1,(1+(Inputs!$B$21+Skills!Q11)/100)*(MIN(Skills!R11,Inputs!$B$37))),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f>(1-Summary!$B$55)*T806+Summary!$B$55*V806</f>
        <v/>
      </c>
      <c r="P806">
        <f>IF(B830=0,0,O806/B830)</f>
        <v/>
      </c>
      <c r="Q806" t="n">
        <v>0</v>
      </c>
      <c r="R806" t="n">
        <v>0</v>
      </c>
      <c r="S806">
        <f>IFERROR(O806/N806,0)</f>
        <v/>
      </c>
      <c r="T806" t="n">
        <v>0</v>
      </c>
      <c r="V806" t="n">
        <v>0</v>
      </c>
    </row>
    <row r="807">
      <c r="A807">
        <f>Skills!A14</f>
        <v/>
      </c>
      <c r="B807">
        <f>Skills!B14</f>
        <v/>
      </c>
      <c r="C807">
        <f>Inputs!$B$3&gt;=110</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f>(1-Summary!$B$55)*T807+Summary!$B$55*V807</f>
        <v/>
      </c>
      <c r="P807">
        <f>IF(B830=0,0,O807/B830)</f>
        <v/>
      </c>
      <c r="Q807" t="n">
        <v>0</v>
      </c>
      <c r="R807" t="n">
        <v>0</v>
      </c>
      <c r="S807">
        <f>IFERROR(O807/N807,0)</f>
        <v/>
      </c>
      <c r="T807" t="n">
        <v>0</v>
      </c>
      <c r="V807" t="n">
        <v>0</v>
      </c>
    </row>
    <row r="808">
      <c r="A808">
        <f>Skills!A15</f>
        <v/>
      </c>
      <c r="B808">
        <f>Skills!B15</f>
        <v/>
      </c>
      <c r="C808">
        <f>Inputs!$B$3&gt;=75</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f>(1-Summary!$B$55)*T808+Summary!$B$55*V808</f>
        <v/>
      </c>
      <c r="P808">
        <f>IF(B830=0,0,O808/B830)</f>
        <v/>
      </c>
      <c r="Q808">
        <f>IFERROR(1/IF(Inputs!$B$38="pvp",15,MAX(0.1,Skills!D15-IF(Skills!E15=TRUE,Inputs!$B$32,0))),0)</f>
        <v/>
      </c>
      <c r="R808">
        <f>IF(AND(Inputs!$B$38&lt;&gt;"pvp",Inputs!$B$43&gt;0),IF(Inputs!$B$43&lt;=0,0,(INT(Inputs!$B$43/IF(Inputs!$B$38="pvp",15,MAX(0.1,Skills!D15-IF(Skills!E15=TRUE,Inputs!$B$32,0))))+1)),0)</f>
        <v/>
      </c>
      <c r="S808">
        <f>IFERROR(O808/N808,0)</f>
        <v/>
      </c>
      <c r="T808" t="n">
        <v>0</v>
      </c>
      <c r="V808" t="n">
        <v>0</v>
      </c>
    </row>
    <row r="809">
      <c r="A809">
        <f>Skills!A16</f>
        <v/>
      </c>
      <c r="B809">
        <f>Skills!B16</f>
        <v/>
      </c>
      <c r="C809">
        <f>Inputs!$B$3&gt;=105</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f>(1-Summary!$B$55)*T809+Summary!$B$55*V809</f>
        <v/>
      </c>
      <c r="P809">
        <f>IF(B830=0,0,O809/B830)</f>
        <v/>
      </c>
      <c r="Q809">
        <f>IFERROR(1/IF(Inputs!$B$38="pvp",15,MAX(0.1,Skills!D16-IF(Skills!E16=TRUE,Inputs!$B$32,0))),0)</f>
        <v/>
      </c>
      <c r="R809">
        <f>IF(AND(Inputs!$B$38&lt;&gt;"pvp",Inputs!$B$43&gt;0),IF(Inputs!$B$43&lt;=0,0,(INT(Inputs!$B$43/IF(Inputs!$B$38="pvp",15,MAX(0.1,Skills!D16-IF(Skills!E16=TRUE,Inputs!$B$32,0))))+1)),0)</f>
        <v/>
      </c>
      <c r="S809">
        <f>IFERROR(O809/N809,0)</f>
        <v/>
      </c>
      <c r="T809" t="n">
        <v>0</v>
      </c>
      <c r="V809" t="n">
        <v>0</v>
      </c>
    </row>
    <row r="810">
      <c r="A810">
        <f>Skills!A17</f>
        <v/>
      </c>
      <c r="B810">
        <f>Skills!B17</f>
        <v/>
      </c>
      <c r="C810">
        <f>Inputs!$B$3&gt;=115</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f>(1-Summary!$B$55)*T810+Summary!$B$55*V810</f>
        <v/>
      </c>
      <c r="P810">
        <f>IF(B830=0,0,O810/B830)</f>
        <v/>
      </c>
      <c r="Q810">
        <f>IFERROR(1/IF(Inputs!$B$38="pvp",15,MAX(0.1,Skills!D17-IF(Skills!E17=TRUE,Inputs!$B$32,0))),0)</f>
        <v/>
      </c>
      <c r="R810">
        <f>IF(AND(Inputs!$B$38&lt;&gt;"pvp",Inputs!$B$43&gt;0),IF(Inputs!$B$43&lt;=0,0,(INT(Inputs!$B$43/IF(Inputs!$B$38="pvp",15,MAX(0.1,Skills!D17-IF(Skills!E17=TRUE,Inputs!$B$32,0))))+1)),0)</f>
        <v/>
      </c>
      <c r="S810">
        <f>IFERROR(O810/N810,0)</f>
        <v/>
      </c>
      <c r="T810" t="n">
        <v>0</v>
      </c>
      <c r="V810" t="n">
        <v>0</v>
      </c>
    </row>
    <row r="811">
      <c r="A811">
        <f>Skills!A18</f>
        <v/>
      </c>
      <c r="B811">
        <f>Skills!B18</f>
        <v/>
      </c>
      <c r="C811">
        <f>Inputs!$B$3&gt;=74</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f>(1-Summary!$B$55)*T811+Summary!$B$55*V811</f>
        <v/>
      </c>
      <c r="P811">
        <f>IF(B830=0,0,O811/B830)</f>
        <v/>
      </c>
      <c r="Q811">
        <f>IFERROR(1/IF(Inputs!$B$38="pvp",15,MAX(0.1,Skills!D18-IF(Skills!E18=TRUE,Inputs!$B$32,0))),0)</f>
        <v/>
      </c>
      <c r="R811">
        <f>IF(AND(Inputs!$B$38&lt;&gt;"pvp",Inputs!$B$43&gt;0),IF(Inputs!$B$43&lt;=0,0,(INT(Inputs!$B$43/IF(Inputs!$B$38="pvp",15,MAX(0.1,Skills!D18-IF(Skills!E18=TRUE,Inputs!$B$32,0))))+1)),0)</f>
        <v/>
      </c>
      <c r="S811">
        <f>IFERROR(O811/N811,0)</f>
        <v/>
      </c>
      <c r="T811" t="n">
        <v>0</v>
      </c>
      <c r="V811" t="n">
        <v>0</v>
      </c>
    </row>
    <row r="812">
      <c r="A812">
        <f>Skills!A19</f>
        <v/>
      </c>
      <c r="B812">
        <f>Skills!B19</f>
        <v/>
      </c>
      <c r="C812">
        <f>TRUE</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f>(1-Summary!$B$55)*T812+Summary!$B$55*V812</f>
        <v/>
      </c>
      <c r="P812">
        <f>IF(B830=0,0,O812/B830)</f>
        <v/>
      </c>
      <c r="Q812">
        <f>IFERROR(1/IF(Inputs!$B$38="pvp",15,MAX(0.1,Skills!D19-IF(Skills!E19=TRUE,Inputs!$B$32,0))),0)</f>
        <v/>
      </c>
      <c r="R812">
        <f>IF(AND(Inputs!$B$38&lt;&gt;"pvp",Inputs!$B$43&gt;0),IF(Inputs!$B$43&lt;=0,0,(INT(Inputs!$B$43/IF(Inputs!$B$38="pvp",15,MAX(0.1,Skills!D19-IF(Skills!E19=TRUE,Inputs!$B$32,0))))+1)),0)</f>
        <v/>
      </c>
      <c r="S812">
        <f>IFERROR(O812/N812,0)</f>
        <v/>
      </c>
      <c r="T812" t="n">
        <v>0</v>
      </c>
      <c r="V812" t="n">
        <v>0</v>
      </c>
    </row>
    <row r="813">
      <c r="A813">
        <f>Skills!A20</f>
        <v/>
      </c>
      <c r="B813">
        <f>Skills!B20</f>
        <v/>
      </c>
      <c r="C813">
        <f>Inputs!$B$3&gt;=33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f>(1-Summary!$B$55)*T813+Summary!$B$55*V813</f>
        <v/>
      </c>
      <c r="P813">
        <f>IF(B830=0,0,O813/B830)</f>
        <v/>
      </c>
      <c r="Q813" t="n">
        <v>0</v>
      </c>
      <c r="R813" t="n">
        <v>0</v>
      </c>
      <c r="S813">
        <f>IFERROR(O813/N813,0)</f>
        <v/>
      </c>
      <c r="T813" t="n">
        <v>0</v>
      </c>
      <c r="V813" t="n">
        <v>0</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f>(1-Summary!$B$55)*T814+Summary!$B$55*V814</f>
        <v/>
      </c>
      <c r="P814">
        <f>IF(B830=0,0,O814/B830)</f>
        <v/>
      </c>
      <c r="Q814" t="n">
        <v>0</v>
      </c>
      <c r="R814" t="n">
        <v>0</v>
      </c>
      <c r="S814">
        <f>IFERROR(O814/N814,0)</f>
        <v/>
      </c>
      <c r="T814" t="n">
        <v>0</v>
      </c>
      <c r="V814" t="n">
        <v>0</v>
      </c>
    </row>
    <row r="815">
      <c r="A815">
        <f>Skills!A22</f>
        <v/>
      </c>
      <c r="B815">
        <f>Skills!B22</f>
        <v/>
      </c>
      <c r="C815">
        <f>Inputs!$B$3&gt;=43</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f>(1-Summary!$B$55)*T815+Summary!$B$55*V815</f>
        <v/>
      </c>
      <c r="P815">
        <f>IF(B830=0,0,O815/B830)</f>
        <v/>
      </c>
      <c r="Q815" t="n">
        <v>0</v>
      </c>
      <c r="R815" t="n">
        <v>0</v>
      </c>
      <c r="S815">
        <f>IFERROR(O815/N815,0)</f>
        <v/>
      </c>
      <c r="T815" t="n">
        <v>0</v>
      </c>
      <c r="V815" t="n">
        <v>0</v>
      </c>
    </row>
    <row r="816">
      <c r="A816">
        <f>Skills!A23</f>
        <v/>
      </c>
      <c r="B816">
        <f>Skills!B23</f>
        <v/>
      </c>
      <c r="C816">
        <f>Inputs!$B$3&gt;=120</f>
        <v/>
      </c>
      <c r="D816">
        <f>IF(Skills!C23=1,60+Inputs!$B$25+Inputs!$B$29,IF(Skills!C23=2,90+Inputs!$B$26+Inputs!$B$29,IF(Skills!C23=3,120+Inputs!$B$27+Inputs!$B$29,MAX(0,(Inputs!$B$3-100)*3)+(Inputs!$B$28+1)+Inputs!$B$29)))</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f>(1-Summary!$B$55)*T816+Summary!$B$55*V816</f>
        <v/>
      </c>
      <c r="P816">
        <f>IF(B830=0,0,O816/B830)</f>
        <v/>
      </c>
      <c r="Q816" t="n">
        <v>0</v>
      </c>
      <c r="R816" t="n">
        <v>0</v>
      </c>
      <c r="S816">
        <f>IFERROR(O816/N816,0)</f>
        <v/>
      </c>
      <c r="T816" t="n">
        <v>0</v>
      </c>
      <c r="V816" t="n">
        <v>0</v>
      </c>
    </row>
    <row r="817">
      <c r="A817">
        <f>Skills!A24</f>
        <v/>
      </c>
      <c r="B817">
        <f>Skills!B24</f>
        <v/>
      </c>
      <c r="C817">
        <f>Inputs!$B$3&gt;=120</f>
        <v/>
      </c>
      <c r="D817">
        <f>IF(Skills!C24=1,60+Inputs!$B$25+Inputs!$B$29,IF(Skills!C24=2,90+Inputs!$B$26+Inputs!$B$29,IF(Skills!C24=3,120+Inputs!$B$27+Inputs!$B$29,MAX(0,(Inputs!$B$3-100)*3)+(Inputs!$B$28+1)+Inputs!$B$29)))</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f>(1-Summary!$B$55)*T817+Summary!$B$55*V817</f>
        <v/>
      </c>
      <c r="P817">
        <f>IF(B830=0,0,O817/B830)</f>
        <v/>
      </c>
      <c r="Q817" t="n">
        <v>0</v>
      </c>
      <c r="R817" t="n">
        <v>0</v>
      </c>
      <c r="S817">
        <f>IFERROR(O817/N817,0)</f>
        <v/>
      </c>
      <c r="T817" t="n">
        <v>0</v>
      </c>
      <c r="V817" t="n">
        <v>0</v>
      </c>
    </row>
    <row r="819">
      <c r="A819" t="inlineStr">
        <is>
          <t>Attack% Bucket Multiplier</t>
        </is>
      </c>
      <c r="B819">
        <f>(1+(((C806=TRUE)*F806*MIN(1,Skills!T13*(Skills!J13/100)*B824))+((C811=TRUE)*F811*IF(AND(Inputs!$B$38&lt;&gt;"pvp",Inputs!$B$43&gt;0),(((R811-1)*(Skills!T18*(1+Inputs!$B$34/100))+MIN((Skills!T18*(1+Inputs!$B$34/100)),MAX(0,Inputs!$B$43-((R811-1)*Skills!D18))))/Inputs!$B$43),IF(Inputs!$B$38="pvp",MIN((Skills!T18*(1+Inputs!$B$34/100)),15)/15,(Skills!T18*(1+Inputs!$B$34/100))/Skills!D18)))+0)/100)</f>
        <v/>
      </c>
    </row>
    <row r="820">
      <c r="A820" t="inlineStr">
        <is>
          <t>Global Crit Rate Bonus %</t>
        </is>
      </c>
      <c r="B820" t="n">
        <v>0</v>
      </c>
    </row>
    <row r="821">
      <c r="A821" t="inlineStr">
        <is>
          <t>Attack Speed Buff Bonus %</t>
        </is>
      </c>
      <c r="B821">
        <f>((C812=TRUE)*F812*IF(AND(Inputs!$B$38&lt;&gt;"pvp",Inputs!$B$43&gt;0),(((R812-1)*(Skills!T19*(1+Inputs!$B$34/100))+MIN((Skills!T19*(1+Inputs!$B$34/100)),MAX(0,Inputs!$B$43-((R812-1)*Skills!D19))))/Inputs!$B$43),IF(Inputs!$B$38="pvp",MIN((Skills!T19*(1+Inputs!$B$34/100)),15)/15,(Skills!T19*(1+Inputs!$B$34/100))/Skills!D19)))</f>
        <v/>
      </c>
    </row>
    <row r="822">
      <c r="A822" t="inlineStr">
        <is>
          <t>Actions Per Second</t>
        </is>
      </c>
      <c r="B822">
        <f>1+MIN(150,150*(1-(1-(Inputs!$B$11+((C813=TRUE)*(F813-Calc!F20)))/150)*(1-B821/150)))/100</f>
        <v/>
      </c>
    </row>
    <row r="823">
      <c r="A823" t="inlineStr">
        <is>
          <t>Skill + Buff Cast Rate</t>
        </is>
      </c>
      <c r="B823">
        <f>IF(AND(Inputs!$B$38&lt;&gt;"pvp",Inputs!$B$43&gt;0),SUMPRODUCT((Skills!E2:E24=TRUE)*(C795:C817=TRUE)*R795:R817*Skills!F2:F24)/Inputs!$B$43,SUMPRODUCT((Skills!E2:E24=TRUE)*(C795:C817=TRUE)*Q795:Q817*Skills!F2:F24))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$38&lt;&gt;"pvp",Inputs!$B$43&gt;0),(((R808-1)*(Skills!T15*(1+Inputs!$B$34/100))+MIN((Skills!T15*(1+Inputs!$B$34/100)),MAX(0,Inputs!$B$43-((R808-1)*Skills!D15))))/Inputs!$B$43),IF(Inputs!$B$38="pvp",MIN((Skills!T15*(1+Inputs!$B$34/100)),15)/15,(Skills!T15*(1+Inputs!$B$34/100))/Skills!D15)))+((C809=TRUE)*F809*IF(AND(Inputs!$B$38&lt;&gt;"pvp",Inputs!$B$43&gt;0),(((R809-1)*(Skills!T16*(1+Inputs!$B$34/100))+MIN((Skills!T16*(1+Inputs!$B$34/100)),MAX(0,Inputs!$B$43-((R809-1)*Skills!D16))))/Inputs!$B$43),IF(Inputs!$B$38="pvp",MIN((Skills!T16*(1+Inputs!$B$34/100)),15)/15,(Skills!T16*(1+Inputs!$B$34/100))/Skills!D16)))+((C810=TRUE)*F810*IF(AND(Inputs!$B$38&lt;&gt;"pvp",Inputs!$B$43&gt;0),(((R810-1)*(Skills!T17*(1+Inputs!$B$34/100))+MIN((Skills!T17*(1+Inputs!$B$34/100)),MAX(0,Inputs!$B$43-((R810-1)*Skills!D17))))/Inputs!$B$43),IF(Inputs!$B$38="pvp",MIN((Skills!T17*(1+Inputs!$B$34/100)),15)/15,(Skills!T17*(1+Inputs!$B$34/100))/Skills!D17)))+((C807=TRUE)*F807*MIN(1,Skills!T13*(Skills!J13/100)*B824))</f>
        <v/>
      </c>
    </row>
    <row r="827">
      <c r="A827" t="inlineStr">
        <is>
          <t>Buff-Casting Startup Delay (s, fixed-duration only)</t>
        </is>
      </c>
      <c r="B827">
        <f>IF(AND(Inputs!$B$38&lt;&gt;"pvp",Inputs!$B$43&gt;0),SUMPRODUCT((Skills!T2:T24&gt;0)*(Skills!E2:E24=TRUE)*(C795:C817=TRUE))/B822,0)</f>
        <v/>
      </c>
    </row>
    <row r="828">
      <c r="A828" t="inlineStr">
        <is>
          <t>Boss-Only Total DPS (this block's swept value)</t>
        </is>
      </c>
      <c r="B828">
        <f>SUM(T795:T817)</f>
        <v/>
      </c>
    </row>
    <row r="829">
      <c r="A829" t="inlineStr">
        <is>
          <t>Normal-Only Total DPS (this block's swept value)</t>
        </is>
      </c>
      <c r="B829">
        <f>SUM(V795:V817)</f>
        <v/>
      </c>
    </row>
    <row r="830">
      <c r="A830" s="5" t="inlineStr">
        <is>
          <t>TOTAL DPS</t>
        </is>
      </c>
      <c r="B830" s="5">
        <f>SUM(O795:O817)</f>
        <v/>
      </c>
    </row>
    <row r="833">
      <c r="A833" s="5" t="inlineStr">
        <is>
          <t>Stat: Skill Level Bonus — All Skills</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866)/100)*(1+(IF(Skills!A2="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835)</f>
        <v/>
      </c>
      <c r="L835">
        <f>K835*(MIN(Inputs!$B$22+((C855=TRUE)*(F855-Calc!F22)),Inputs!$B$23+((C857=TRUE)*(F857-Calc!F24)))/100+(Inputs!$B$23+((C857=TRUE)*(F857-Calc!F24)))/100)/2</f>
        <v/>
      </c>
      <c r="M835">
        <f>L835*(1+(Inputs!$B$10+0+B865)/100)</f>
        <v/>
      </c>
      <c r="N835">
        <f>L835*(1-MIN((Inputs!$B$9+0+B860),100)/100)+M835*(MIN((Inputs!$B$9+0+B860),100)/100)</f>
        <v/>
      </c>
      <c r="O835">
        <f>(1-Summary!$B$55)*T835+Summary!$B$55*V835</f>
        <v/>
      </c>
      <c r="P835">
        <f>IF(B870=0,0,O835/B870)</f>
        <v/>
      </c>
      <c r="Q835" t="n">
        <v>0</v>
      </c>
      <c r="R835" t="n">
        <v>0</v>
      </c>
      <c r="S835">
        <f>IFERROR(O835/N835,0)</f>
        <v/>
      </c>
      <c r="T835">
        <f>IF(C835,(Skills!G2*N835*B864)*IF(Inputs!$B$38="pvp",1,1+(Inputs!$B$20+0+Skills!P2)/100),0)</f>
        <v/>
      </c>
      <c r="U835">
        <f>MAX(0,(Inputs!$B$3-100)*3)+Inputs!$B$28+(Inputs!$B$29+1)</f>
        <v/>
      </c>
      <c r="V835">
        <f>IF(C835,(Skills!G2*N835*B864)*IF(Inputs!$B$38="pvp",1,(1+(Inputs!$B$21+Skills!Q2)/100)*(MIN((6+Inputs!$B$33),Inputs!$B$37))),0)</f>
        <v/>
      </c>
    </row>
    <row r="836">
      <c r="A836">
        <f>Skills!A3</f>
        <v/>
      </c>
      <c r="B836">
        <f>Skills!B3</f>
        <v/>
      </c>
      <c r="C836">
        <f>Inputs!$B$3&gt;=50</f>
        <v/>
      </c>
      <c r="D836">
        <f>IF(Skills!C3=1,60+Inputs!$B$25+(Inputs!$B$29+1),IF(Skills!C3=2,90+Inputs!$B$26+(Inputs!$B$29+1),IF(Skills!C3=3,120+Inputs!$B$27+(Inputs!$B$29+1),MAX(0,(Inputs!$B$3-100)*3)+Inputs!$B$28+(Inputs!$B$29+1))))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Inputs!$B$3&gt;=35</f>
        <v/>
      </c>
      <c r="D837">
        <f>IF(Skills!C4=1,60+Inputs!$B$25+(Inputs!$B$29+1),IF(Skills!C4=2,90+Inputs!$B$26+(Inputs!$B$29+1),IF(Skills!C4=3,120+Inputs!$B$27+(Inputs!$B$29+1),MAX(0,(Inputs!$B$3-100)*3)+Inputs!$B$28+(Inputs!$B$29+1))))</f>
        <v/>
      </c>
      <c r="E837">
        <f>INDEX(FactorTable!$B$2:$Y$301, MATCH(ROUND(MIN(300,MAX(1,D837)),0), FactorTable!$A$2:$A$301,0), Skills!M4+1)</f>
        <v/>
      </c>
      <c r="F837">
        <f>IF(Skills!N4=TRUE,(Skills!L4/10)*(E837/1000),Skills!L4/10)+Skills!O4</f>
        <v/>
      </c>
      <c r="G837">
        <f>Skills!G4*IF(Skills!H4&gt;0,Skills!I4/Skills!H4,1)</f>
        <v/>
      </c>
      <c r="H837">
        <f>1-(1-Skills!J4/100)^Skills!K4</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866)/100)*(1+4.0*IF(C845=TRUE,F845,0)/100)*(1+(IF(Skills!A4="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837)</f>
        <v/>
      </c>
      <c r="L837">
        <f>K837*(MIN(Inputs!$B$22+((C855=TRUE)*(F855-Calc!F22)),Inputs!$B$23+((C857=TRUE)*(F857-Calc!F24)))/100+(Inputs!$B$23+((C857=TRUE)*(F857-Calc!F24)))/100)/2</f>
        <v/>
      </c>
      <c r="M837">
        <f>L837*(1+(Inputs!$B$10+0+B865)/100)</f>
        <v/>
      </c>
      <c r="N837">
        <f>L837*(1-MIN((Inputs!$B$9+0+B860),100)/100)+M837*(MIN((Inputs!$B$9+0+B860),100)/100)</f>
        <v/>
      </c>
      <c r="O837">
        <f>(1-Summary!$B$55)*T837+Summary!$B$55*V837</f>
        <v/>
      </c>
      <c r="P837">
        <f>IF(B870=0,0,O837/B870)</f>
        <v/>
      </c>
      <c r="Q837">
        <f>IFERROR(1/IF(Inputs!$B$38="pvp",15,MAX(0.1,Skills!D4-IF(Skills!E4=TRUE,Inputs!$B$32,0))),0)</f>
        <v/>
      </c>
      <c r="R837">
        <f>IF(AND(Inputs!$B$38&lt;&gt;"pvp",Inputs!$B$43&gt;0),IF(MAX(0,Inputs!$B$43-B867)&lt;=0,0,(INT(MAX(0,Inputs!$B$43-B867)/IF(Inputs!$B$38="pvp",15,MAX(0.1,Skills!D4-IF(Skills!E4=TRUE,Inputs!$B$32,0))))+1)),0)</f>
        <v/>
      </c>
      <c r="S837">
        <f>IFERROR(O837/N837,0)</f>
        <v/>
      </c>
      <c r="T837">
        <f>IF(C837,(H837*N837*IF(AND(Inputs!$B$38&lt;&gt;"pvp",Inputs!$B$43&gt;0),((Skills!G4*((R837-1)*IF(Skills!H4&gt;0,Skills!I4/Skills!H4,1)+IF(Skills!H4&gt;0,MIN(Skills!I4,MAX(0,MAX(0,Inputs!$B$43-B867)-((R837-1)*IF(Inputs!$B$38="pvp",15,MAX(0.1,Skills!D4-IF(Skills!E4=TRUE,Inputs!$B$32,0))))))/Skills!H4,1)))/Inputs!$B$43),G837*Q837))*IF(Inputs!$B$38="pvp",1,1+(Inputs!$B$20+0+Skills!P4)/100),0)</f>
        <v/>
      </c>
      <c r="U837">
        <f>290*U836/1000</f>
        <v/>
      </c>
      <c r="V837">
        <f>IF(C837,(H837*N837*IF(AND(Inputs!$B$38&lt;&gt;"pvp",Inputs!$B$43&gt;0),((Skills!G4*((R837-1)*IF(Skills!H4&gt;0,Skills!I4/Skills!H4,1)+IF(Skills!H4&gt;0,MIN(Skills!I4,MAX(0,MAX(0,Inputs!$B$43-B867)-((R837-1)*IF(Inputs!$B$38="pvp",15,MAX(0.1,Skills!D4-IF(Skills!E4=TRUE,Inputs!$B$32,0))))))/Skills!H4,1)))/Inputs!$B$43),G837*Q837))*IF(Inputs!$B$38="pvp",1,(1+(Inputs!$B$21+Skills!Q4)/100)*(MIN(Skills!R4,Inputs!$B$37))),0)</f>
        <v/>
      </c>
    </row>
    <row r="838">
      <c r="A838">
        <f>Skills!A5</f>
        <v/>
      </c>
      <c r="B838">
        <f>Skills!B5</f>
        <v/>
      </c>
      <c r="C838">
        <f>Inputs!$B$3&gt;=66</f>
        <v/>
      </c>
      <c r="D838">
        <f>IF(Skills!C5=1,60+Inputs!$B$25+(Inputs!$B$29+1),IF(Skills!C5=2,90+Inputs!$B$26+(Inputs!$B$29+1),IF(Skills!C5=3,120+Inputs!$B$27+(Inputs!$B$29+1),MAX(0,(Inputs!$B$3-100)*3)+Inputs!$B$28+(Inputs!$B$29+1))))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866)/100)*(1+1.0*IF(C845=TRUE,F845,0)/100)*(1+(IF(Skills!A5="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838)</f>
        <v/>
      </c>
      <c r="L838">
        <f>K838*(MIN(Inputs!$B$22+((C855=TRUE)*(F855-Calc!F22)),Inputs!$B$23+((C857=TRUE)*(F857-Calc!F24)))/100+(Inputs!$B$23+((C857=TRUE)*(F857-Calc!F24)))/100)/2</f>
        <v/>
      </c>
      <c r="M838">
        <f>L838*(1+(Inputs!$B$10+0+B865)/100)</f>
        <v/>
      </c>
      <c r="N838">
        <f>L838*(1-MIN((Inputs!$B$9+0+B860),100)/100)+M838*(MIN((Inputs!$B$9+0+B860),100)/100)</f>
        <v/>
      </c>
      <c r="O838">
        <f>(1-Summary!$B$55)*T838+Summary!$B$55*V838</f>
        <v/>
      </c>
      <c r="P838">
        <f>IF(B870=0,0,O838/B870)</f>
        <v/>
      </c>
      <c r="Q838">
        <f>IFERROR(1/IF(Inputs!$B$38="pvp",15,MAX(0.1,Skills!D5-IF(Skills!E5=TRUE,Inputs!$B$32,0))),0)</f>
        <v/>
      </c>
      <c r="R838">
        <f>IF(AND(Inputs!$B$38&lt;&gt;"pvp",Inputs!$B$43&gt;0),IF(MAX(0,Inputs!$B$43-B867)&lt;=0,0,(INT(MAX(0,Inputs!$B$43-B867)/IF(Inputs!$B$38="pvp",15,MAX(0.1,Skills!D5-IF(Skills!E5=TRUE,Inputs!$B$32,0))))+1)),0)</f>
        <v/>
      </c>
      <c r="S838">
        <f>IFERROR(O838/N838,0)</f>
        <v/>
      </c>
      <c r="T838">
        <f>IF(C838,(H838*N838*IF(AND(Inputs!$B$38&lt;&gt;"pvp",Inputs!$B$43&gt;0),((Skills!G5*((R838-1)*IF(Skills!H5&gt;0,Skills!I5/Skills!H5,1)+IF(Skills!H5&gt;0,MIN(Skills!I5,MAX(0,MAX(0,Inputs!$B$43-B867)-((R838-1)*IF(Inputs!$B$38="pvp",15,MAX(0.1,Skills!D5-IF(Skills!E5=TRUE,Inputs!$B$32,0))))))/Skills!H5,1)))/Inputs!$B$43),G838*Q838))*IF(Inputs!$B$38="pvp",1,1+(Inputs!$B$20+0+Skills!P5)/100),0)</f>
        <v/>
      </c>
      <c r="V838">
        <f>IF(C838,(H838*N838*IF(AND(Inputs!$B$38&lt;&gt;"pvp",Inputs!$B$43&gt;0),((Skills!G5*((R838-1)*IF(Skills!H5&gt;0,Skills!I5/Skills!H5,1)+IF(Skills!H5&gt;0,MIN(Skills!I5,MAX(0,MAX(0,Inputs!$B$43-B867)-((R838-1)*IF(Inputs!$B$38="pvp",15,MAX(0.1,Skills!D5-IF(Skills!E5=TRUE,Inputs!$B$32,0))))))/Skills!H5,1)))/Inputs!$B$43),G838*Q838))*IF(Inputs!$B$38="pvp",1,(1+(Inputs!$B$21+Skills!Q5)/100)*(MIN(Skills!R5,Inputs!$B$37))),0)</f>
        <v/>
      </c>
    </row>
    <row r="839">
      <c r="A839">
        <f>Skills!A6</f>
        <v/>
      </c>
      <c r="B839">
        <f>Skills!B6</f>
        <v/>
      </c>
      <c r="C839">
        <f>Inputs!$B$3&gt;=103</f>
        <v/>
      </c>
      <c r="D839">
        <f>IF(Skills!C6=1,60+Inputs!$B$25+(Inputs!$B$29+1),IF(Skills!C6=2,90+Inputs!$B$26+(Inputs!$B$29+1),IF(Skills!C6=3,120+Inputs!$B$27+(Inputs!$B$29+1),MAX(0,(Inputs!$B$3-100)*3)+Inputs!$B$28+(Inputs!$B$29+1))))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866)/100)*(1+(IF(Skills!A6="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839)</f>
        <v/>
      </c>
      <c r="L839">
        <f>K839*(MIN(Inputs!$B$22+((C855=TRUE)*(F855-Calc!F22)),Inputs!$B$23+((C857=TRUE)*(F857-Calc!F24)))/100+(Inputs!$B$23+((C857=TRUE)*(F857-Calc!F24)))/100)/2</f>
        <v/>
      </c>
      <c r="M839">
        <f>L839*(1+(Inputs!$B$10+0+B865)/100)</f>
        <v/>
      </c>
      <c r="N839">
        <f>L839*(1-MIN((Inputs!$B$9+0+B860),100)/100)+M839*(MIN((Inputs!$B$9+0+B860),100)/100)</f>
        <v/>
      </c>
      <c r="O839">
        <f>(1-Summary!$B$55)*T839+Summary!$B$55*V839</f>
        <v/>
      </c>
      <c r="P839">
        <f>IF(B870=0,0,O839/B870)</f>
        <v/>
      </c>
      <c r="Q839">
        <f>IFERROR(1/IF(Inputs!$B$38="pvp",15,MAX(0.1,Skills!D6-IF(Skills!E6=TRUE,Inputs!$B$32,0))),0)</f>
        <v/>
      </c>
      <c r="R839">
        <f>IF(AND(Inputs!$B$38&lt;&gt;"pvp",Inputs!$B$43&gt;0),IF(MAX(0,Inputs!$B$43-B867)&lt;=0,0,(INT(MAX(0,Inputs!$B$43-B867)/IF(Inputs!$B$38="pvp",15,MAX(0.1,Skills!D6-IF(Skills!E6=TRUE,Inputs!$B$32,0))))+1)),0)</f>
        <v/>
      </c>
      <c r="S839">
        <f>IFERROR(O839/N839,0)</f>
        <v/>
      </c>
      <c r="T839">
        <f>IF(C839,(H839*N839*IF(AND(Inputs!$B$38&lt;&gt;"pvp",Inputs!$B$43&gt;0),((Skills!G6*((R839-1)*IF(Skills!H6&gt;0,Skills!I6/Skills!H6,1)+IF(Skills!H6&gt;0,MIN(Skills!I6,MAX(0,MAX(0,Inputs!$B$43-B867)-((R839-1)*IF(Inputs!$B$38="pvp",15,MAX(0.1,Skills!D6-IF(Skills!E6=TRUE,Inputs!$B$32,0))))))/Skills!H6,1)))/Inputs!$B$43),G839*Q839))*IF(Inputs!$B$38="pvp",1,1+(Inputs!$B$20+0+Skills!P6)/100),0)</f>
        <v/>
      </c>
      <c r="V839">
        <f>IF(C839,(H839*N839*IF(AND(Inputs!$B$38&lt;&gt;"pvp",Inputs!$B$43&gt;0),((Skills!G6*((R839-1)*IF(Skills!H6&gt;0,Skills!I6/Skills!H6,1)+IF(Skills!H6&gt;0,MIN(Skills!I6,MAX(0,MAX(0,Inputs!$B$43-B867)-((R839-1)*IF(Inputs!$B$38="pvp",15,MAX(0.1,Skills!D6-IF(Skills!E6=TRUE,Inputs!$B$32,0))))))/Skills!H6,1)))/Inputs!$B$43),G839*Q839))*IF(Inputs!$B$38="pvp",1,(1+(Inputs!$B$21+Skills!Q6)/100)*(MIN(Skills!R6,Inputs!$B$37))),0)</f>
        <v/>
      </c>
    </row>
    <row r="840">
      <c r="A840">
        <f>Skills!A7</f>
        <v/>
      </c>
      <c r="B840">
        <f>Skills!B7</f>
        <v/>
      </c>
      <c r="C840">
        <f>Inputs!$B$3&gt;=107</f>
        <v/>
      </c>
      <c r="D840">
        <f>IF(Skills!C7=1,60+Inputs!$B$25+(Inputs!$B$29+1),IF(Skills!C7=2,90+Inputs!$B$26+(Inputs!$B$29+1),IF(Skills!C7=3,120+Inputs!$B$27+(Inputs!$B$29+1),MAX(0,(Inputs!$B$3-100)*3)+Inputs!$B$28+(Inputs!$B$29+1))))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866)/100)*(1+(IF(Skills!A7="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840)</f>
        <v/>
      </c>
      <c r="L840">
        <f>K840*(MIN(Inputs!$B$22+((C855=TRUE)*(F855-Calc!F22)),Inputs!$B$23+((C857=TRUE)*(F857-Calc!F24)))/100+(Inputs!$B$23+((C857=TRUE)*(F857-Calc!F24)))/100)/2</f>
        <v/>
      </c>
      <c r="M840">
        <f>L840*(1+(Inputs!$B$10+0+B865)/100)</f>
        <v/>
      </c>
      <c r="N840">
        <f>L840*(1-MIN((Inputs!$B$9+0+B860),100)/100)+M840*(MIN((Inputs!$B$9+0+B860),100)/100)</f>
        <v/>
      </c>
      <c r="O840">
        <f>(1-Summary!$B$55)*T840+Summary!$B$55*V840</f>
        <v/>
      </c>
      <c r="P840">
        <f>IF(B870=0,0,O840/B870)</f>
        <v/>
      </c>
      <c r="Q840">
        <f>IFERROR(1/IF(Inputs!$B$38="pvp",15,MAX(0.1,Skills!D7-IF(Skills!E7=TRUE,Inputs!$B$32,0))),0)</f>
        <v/>
      </c>
      <c r="R840">
        <f>IF(AND(Inputs!$B$38&lt;&gt;"pvp",Inputs!$B$43&gt;0),IF(MAX(0,Inputs!$B$43-B867)&lt;=0,0,(INT(MAX(0,Inputs!$B$43-B867)/IF(Inputs!$B$38="pvp",15,MAX(0.1,Skills!D7-IF(Skills!E7=TRUE,Inputs!$B$32,0))))+1)),0)</f>
        <v/>
      </c>
      <c r="S840">
        <f>IFERROR(O840/N840,0)</f>
        <v/>
      </c>
      <c r="T840">
        <f>IF(C840,(H840*N840*IF(AND(Inputs!$B$38&lt;&gt;"pvp",Inputs!$B$43&gt;0),((Skills!G7*((R840-1)*IF(Skills!H7&gt;0,Skills!I7/Skills!H7,1)+IF(Skills!H7&gt;0,MIN(Skills!I7,MAX(0,MAX(0,Inputs!$B$43-B867)-((R840-1)*IF(Inputs!$B$38="pvp",15,MAX(0.1,Skills!D7-IF(Skills!E7=TRUE,Inputs!$B$32,0))))))/Skills!H7,1)))/Inputs!$B$43),G840*Q840))*IF(Inputs!$B$38="pvp",1,1+(Inputs!$B$20+0+Skills!P7)/100),0)</f>
        <v/>
      </c>
      <c r="V840">
        <f>IF(C840,(H840*N840*IF(AND(Inputs!$B$38&lt;&gt;"pvp",Inputs!$B$43&gt;0),((Skills!G7*((R840-1)*IF(Skills!H7&gt;0,Skills!I7/Skills!H7,1)+IF(Skills!H7&gt;0,MIN(Skills!I7,MAX(0,MAX(0,Inputs!$B$43-B867)-((R840-1)*IF(Inputs!$B$38="pvp",15,MAX(0.1,Skills!D7-IF(Skills!E7=TRUE,Inputs!$B$32,0))))))/Skills!H7,1)))/Inputs!$B$43),G840*Q840))*IF(Inputs!$B$38="pvp",1,(1+(Inputs!$B$21+Skills!Q7)/100)*(MIN(Skills!R7,Inputs!$B$37))),0)</f>
        <v/>
      </c>
    </row>
    <row r="841">
      <c r="A841">
        <f>Skills!A8</f>
        <v/>
      </c>
      <c r="B841">
        <f>Skills!B8</f>
        <v/>
      </c>
      <c r="C841">
        <f>Inputs!$B$3&gt;=107</f>
        <v/>
      </c>
      <c r="D841">
        <f>IF(Skills!C8=1,60+Inputs!$B$25+(Inputs!$B$29+1),IF(Skills!C8=2,90+Inputs!$B$26+(Inputs!$B$29+1),IF(Skills!C8=3,120+Inputs!$B$27+(Inputs!$B$29+1),MAX(0,(Inputs!$B$3-100)*3)+Inputs!$B$28+(Inputs!$B$29+1))))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866)/100)*(1+(IF(Skills!A8="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841)</f>
        <v/>
      </c>
      <c r="L841">
        <f>K841*(MIN(Inputs!$B$22+((C855=TRUE)*(F855-Calc!F22)),Inputs!$B$23+((C857=TRUE)*(F857-Calc!F24)))/100+(Inputs!$B$23+((C857=TRUE)*(F857-Calc!F24)))/100)/2</f>
        <v/>
      </c>
      <c r="M841">
        <f>L841*(1+(Inputs!$B$10+0+B865)/100)</f>
        <v/>
      </c>
      <c r="N841">
        <f>L841*(1-MIN((Inputs!$B$9+0+B860),100)/100)+M841*(MIN((Inputs!$B$9+0+B860),100)/100)</f>
        <v/>
      </c>
      <c r="O841">
        <f>(1-Summary!$B$55)*T841+Summary!$B$55*V841</f>
        <v/>
      </c>
      <c r="P841">
        <f>IF(B870=0,0,O841/B870)</f>
        <v/>
      </c>
      <c r="Q841">
        <f>IFERROR(1/IF(Inputs!$B$38="pvp",15,MAX(0.1,Skills!D8-IF(Skills!E8=TRUE,Inputs!$B$32,0))),0)</f>
        <v/>
      </c>
      <c r="R841">
        <f>IF(AND(Inputs!$B$38&lt;&gt;"pvp",Inputs!$B$43&gt;0),IF(MAX(0,Inputs!$B$43-B867)&lt;=0,0,(INT(MAX(0,Inputs!$B$43-B867)/IF(Inputs!$B$38="pvp",15,MAX(0.1,Skills!D8-IF(Skills!E8=TRUE,Inputs!$B$32,0))))+1)),0)</f>
        <v/>
      </c>
      <c r="S841">
        <f>IFERROR(O841/N841,0)</f>
        <v/>
      </c>
      <c r="T841">
        <f>IF(C841,(H841*N841*IF(AND(Inputs!$B$38&lt;&gt;"pvp",Inputs!$B$43&gt;0),((Skills!G8*((R841-1)*IF(Skills!H8&gt;0,Skills!I8/Skills!H8,1)+IF(Skills!H8&gt;0,MIN(Skills!I8,MAX(0,MAX(0,Inputs!$B$43-B867)-((R841-1)*IF(Inputs!$B$38="pvp",15,MAX(0.1,Skills!D8-IF(Skills!E8=TRUE,Inputs!$B$32,0))))))/Skills!H8,1)))/Inputs!$B$43),G841*Q841))*IF(Inputs!$B$38="pvp",1,1+(Inputs!$B$20+0+Skills!P8)/100),0)</f>
        <v/>
      </c>
      <c r="V841">
        <f>IF(C841,(H841*N841*IF(AND(Inputs!$B$38&lt;&gt;"pvp",Inputs!$B$43&gt;0),((Skills!G8*((R841-1)*IF(Skills!H8&gt;0,Skills!I8/Skills!H8,1)+IF(Skills!H8&gt;0,MIN(Skills!I8,MAX(0,MAX(0,Inputs!$B$43-B867)-((R841-1)*IF(Inputs!$B$38="pvp",15,MAX(0.1,Skills!D8-IF(Skills!E8=TRUE,Inputs!$B$32,0))))))/Skills!H8,1)))/Inputs!$B$43),G841*Q841))*IF(Inputs!$B$38="pvp",1,(1+(Inputs!$B$21+Skills!Q8)/100)*(MIN(Skills!R8,Inputs!$B$37))),0)</f>
        <v/>
      </c>
    </row>
    <row r="842">
      <c r="A842">
        <f>Skills!A9</f>
        <v/>
      </c>
      <c r="B842">
        <f>Skills!B9</f>
        <v/>
      </c>
      <c r="C842">
        <f>Inputs!$B$3&gt;=125</f>
        <v/>
      </c>
      <c r="D842">
        <f>IF(Skills!C9=1,60+Inputs!$B$25+(Inputs!$B$29+1),IF(Skills!C9=2,90+Inputs!$B$26+(Inputs!$B$29+1),IF(Skills!C9=3,120+Inputs!$B$27+(Inputs!$B$29+1),MAX(0,(Inputs!$B$3-100)*3)+Inputs!$B$28+(Inputs!$B$29+1))))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866)/100)*(1+(IF(Skills!A9="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842)</f>
        <v/>
      </c>
      <c r="L842">
        <f>K842*(MIN(Inputs!$B$22+((C855=TRUE)*(F855-Calc!F22)),Inputs!$B$23+((C857=TRUE)*(F857-Calc!F24)))/100+(Inputs!$B$23+((C857=TRUE)*(F857-Calc!F24)))/100)/2</f>
        <v/>
      </c>
      <c r="M842">
        <f>L842*(1+(Inputs!$B$10+0+B865)/100)</f>
        <v/>
      </c>
      <c r="N842">
        <f>L842*(1-MIN((Inputs!$B$9+0+B860),100)/100)+M842*(MIN((Inputs!$B$9+0+B860),100)/100)</f>
        <v/>
      </c>
      <c r="O842">
        <f>(1-Summary!$B$55)*T842+Summary!$B$55*V842</f>
        <v/>
      </c>
      <c r="P842">
        <f>IF(B870=0,0,O842/B870)</f>
        <v/>
      </c>
      <c r="Q842">
        <f>IFERROR(1/IF(Inputs!$B$38="pvp",15,MAX(0.1,Skills!D9-IF(Skills!E9=TRUE,Inputs!$B$32,0))),0)</f>
        <v/>
      </c>
      <c r="R842">
        <f>IF(AND(Inputs!$B$38&lt;&gt;"pvp",Inputs!$B$43&gt;0),IF(MAX(0,Inputs!$B$43-B867)&lt;=0,0,(INT(MAX(0,Inputs!$B$43-B867)/IF(Inputs!$B$38="pvp",15,MAX(0.1,Skills!D9-IF(Skills!E9=TRUE,Inputs!$B$32,0))))+1)),0)</f>
        <v/>
      </c>
      <c r="S842">
        <f>IFERROR(O842/N842,0)</f>
        <v/>
      </c>
      <c r="T842">
        <f>IF(C842,(H842*N842*IF(AND(Inputs!$B$38&lt;&gt;"pvp",Inputs!$B$43&gt;0),((Skills!G9*((R842-1)*IF(Skills!H9&gt;0,Skills!I9/Skills!H9,1)+IF(Skills!H9&gt;0,MIN(Skills!I9,MAX(0,MAX(0,Inputs!$B$43-B867)-((R842-1)*IF(Inputs!$B$38="pvp",15,MAX(0.1,Skills!D9-IF(Skills!E9=TRUE,Inputs!$B$32,0))))))/Skills!H9,1)))/Inputs!$B$43),G842*Q842))*IF(Inputs!$B$38="pvp",1,1+(Inputs!$B$20+0+Skills!P9)/100),0)</f>
        <v/>
      </c>
      <c r="V842">
        <f>IF(C842,(H842*N842*IF(AND(Inputs!$B$38&lt;&gt;"pvp",Inputs!$B$43&gt;0),((Skills!G9*((R842-1)*IF(Skills!H9&gt;0,Skills!I9/Skills!H9,1)+IF(Skills!H9&gt;0,MIN(Skills!I9,MAX(0,MAX(0,Inputs!$B$43-B867)-((R842-1)*IF(Inputs!$B$38="pvp",15,MAX(0.1,Skills!D9-IF(Skills!E9=TRUE,Inputs!$B$32,0))))))/Skills!H9,1)))/Inputs!$B$43),G842*Q842))*IF(Inputs!$B$38="pvp",1,(1+(Inputs!$B$21+Skills!Q9)/100)*(MIN(Skills!R9,Inputs!$B$37))),0)</f>
        <v/>
      </c>
    </row>
    <row r="843">
      <c r="A843">
        <f>Skills!A10</f>
        <v/>
      </c>
      <c r="B843">
        <f>Skills!B10</f>
        <v/>
      </c>
      <c r="C843">
        <f>Inputs!$B$3&gt;=117</f>
        <v/>
      </c>
      <c r="D843">
        <f>IF(Skills!C10=1,60+Inputs!$B$25+(Inputs!$B$29+1),IF(Skills!C10=2,90+Inputs!$B$26+(Inputs!$B$29+1),IF(Skills!C10=3,120+Inputs!$B$27+(Inputs!$B$29+1),MAX(0,(Inputs!$B$3-100)*3)+Inputs!$B$28+(Inputs!$B$29+1))))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((Inputs!$B$6*(1+Inputs!$B$7/100))+(((Inputs!$B$12*(1+Inputs!$B$13/100))-(Inputs!$B$12*(1+Inputs!$B$13/100)))+0.25*(Inputs!$B$14-Inputs!$B$14))*(1+Inputs!$B$7/100))*(F843/100)</f>
        <v/>
      </c>
      <c r="K843">
        <f>J843*(1+((Inputs!$B$12*(1+Inputs!$B$13/100))*0.01+Inputs!$B$14*0.0025)/100)*(1+Inputs!$B$15/100)*(1+Inputs!$B$16/100)*(5000/(6000+Inputs!$B$42*(1-(Inputs!$B$19+0)/100)))*(1+(Inputs!$B$24+0+B866)/100)*(1+(IF(Skills!A10="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843)</f>
        <v/>
      </c>
      <c r="L843">
        <f>K843*(MIN(Inputs!$B$22+((C855=TRUE)*(F855-Calc!F22)),Inputs!$B$23+((C857=TRUE)*(F857-Calc!F24)))/100+(Inputs!$B$23+((C857=TRUE)*(F857-Calc!F24)))/100)/2</f>
        <v/>
      </c>
      <c r="M843">
        <f>L843*(1+(Inputs!$B$10+0+B865)/100)</f>
        <v/>
      </c>
      <c r="N843">
        <f>L843*(1-MIN((Inputs!$B$9+0+B860),100)/100)+M843*(MIN((Inputs!$B$9+0+B860),100)/100)</f>
        <v/>
      </c>
      <c r="O843">
        <f>(1-Summary!$B$55)*T843+Summary!$B$55*V843</f>
        <v/>
      </c>
      <c r="P843">
        <f>IF(B870=0,0,O843/B870)</f>
        <v/>
      </c>
      <c r="Q843">
        <f>IFERROR(1/IF(Inputs!$B$38="pvp",15,MAX(0.1,Skills!D10-IF(Skills!E10=TRUE,Inputs!$B$32,0))),0)</f>
        <v/>
      </c>
      <c r="R843">
        <f>IF(AND(Inputs!$B$38&lt;&gt;"pvp",Inputs!$B$43&gt;0),IF(MAX(0,Inputs!$B$43-B867)&lt;=0,0,(INT(MAX(0,Inputs!$B$43-B867)/IF(Inputs!$B$38="pvp",15,MAX(0.1,Skills!D10-IF(Skills!E10=TRUE,Inputs!$B$32,0))))+1)),0)</f>
        <v/>
      </c>
      <c r="S843">
        <f>IFERROR(O843/N843,0)</f>
        <v/>
      </c>
      <c r="T843">
        <f>IF(C843,(H843*N843*IF(AND(Inputs!$B$38&lt;&gt;"pvp",Inputs!$B$43&gt;0),((Skills!G10*((R843-1)*IF(Skills!H10&gt;0,Skills!I10/Skills!H10,1)+IF(Skills!H10&gt;0,MIN(Skills!I10,MAX(0,MAX(0,Inputs!$B$43-B867)-((R843-1)*IF(Inputs!$B$38="pvp",15,MAX(0.1,Skills!D10-IF(Skills!E10=TRUE,Inputs!$B$32,0))))))/Skills!H10,1)))/Inputs!$B$43),G843*Q843))*IF(Inputs!$B$38="pvp",1,1+(Inputs!$B$20+0+Skills!P10)/100),0)</f>
        <v/>
      </c>
      <c r="V843">
        <f>IF(C843,(H843*N843*IF(AND(Inputs!$B$38&lt;&gt;"pvp",Inputs!$B$43&gt;0),((Skills!G10*((R843-1)*IF(Skills!H10&gt;0,Skills!I10/Skills!H10,1)+IF(Skills!H10&gt;0,MIN(Skills!I10,MAX(0,MAX(0,Inputs!$B$43-B867)-((R843-1)*IF(Inputs!$B$38="pvp",15,MAX(0.1,Skills!D10-IF(Skills!E10=TRUE,Inputs!$B$32,0))))))/Skills!H10,1)))/Inputs!$B$43),G843*Q843))*IF(Inputs!$B$38="pvp",1,(1+(Inputs!$B$21+Skills!Q10)/100)*(MIN(Skills!R10,Inputs!$B$37))),0)</f>
        <v/>
      </c>
    </row>
    <row r="844">
      <c r="A844">
        <f>Skills!A11</f>
        <v/>
      </c>
      <c r="B844">
        <f>Skills!B11</f>
        <v/>
      </c>
      <c r="C844">
        <f>Inputs!$B$3&gt;=63</f>
        <v/>
      </c>
      <c r="D844">
        <f>IF(Skills!C11=1,60+Inputs!$B$25+(Inputs!$B$29+1),IF(Skills!C11=2,90+Inputs!$B$26+(Inputs!$B$29+1),IF(Skills!C11=3,120+Inputs!$B$27+(Inputs!$B$29+1),MAX(0,(Inputs!$B$3-100)*3)+Inputs!$B$28+(Inputs!$B$29+1))))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((Inputs!$B$6*(1+Inputs!$B$7/100))+(((Inputs!$B$12*(1+Inputs!$B$13/100))-(Inputs!$B$12*(1+Inputs!$B$13/100)))+0.25*(Inputs!$B$14-Inputs!$B$14))*(1+Inputs!$B$7/100))*(F844/100)</f>
        <v/>
      </c>
      <c r="K844">
        <f>J844*(1+((Inputs!$B$12*(1+Inputs!$B$13/100))*0.01+Inputs!$B$14*0.0025)/100)*(1+Inputs!$B$15/100)*(1+Inputs!$B$16/100)*(5000/(6000+Inputs!$B$42*(1-(Inputs!$B$19+0)/100)))*(1+(Inputs!$B$24+0+B866)/100)*(1+1.5*IF(C845=TRUE,F845,0)/100)*(1+(IF(Skills!A11="BLAST",Inputs!$B$17+((C854=TRUE)*(F854-Calc!F21)),Inputs!$B$18+((C856=TRUE)*(F856-Calc!F23))))/100)*((1+(((C846=TRUE)*F846*MIN(1,Skills!T13*(Skills!J13/100)*B864))+((C851=TRUE)*F851*IF(AND(Inputs!$B$38&lt;&gt;"pvp",Inputs!$B$43&gt;0),(((R851-1)*(Skills!T18*(1+Inputs!$B$34/100))+MIN((Skills!T18*(1+Inputs!$B$34/100)),MAX(0,Inputs!$B$43-((R851-1)*Skills!D18))))/Inputs!$B$43),IF(Inputs!$B$38="pvp",MIN((Skills!T18*(1+Inputs!$B$34/100)),15)/15,(Skills!T18*(1+Inputs!$B$34/100))/Skills!D18)))+0)/100)*I844)</f>
        <v/>
      </c>
      <c r="L844">
        <f>K844*(MIN(Inputs!$B$22+((C855=TRUE)*(F855-Calc!F22)),Inputs!$B$23+((C857=TRUE)*(F857-Calc!F24)))/100+(Inputs!$B$23+((C857=TRUE)*(F857-Calc!F24)))/100)/2</f>
        <v/>
      </c>
      <c r="M844">
        <f>L844*(1+(Inputs!$B$10+0+B865)/100)</f>
        <v/>
      </c>
      <c r="N844">
        <f>L844*(1-MIN((Inputs!$B$9+0+B860),100)/100)+M844*(MIN((Inputs!$B$9+0+B860),100)/100)</f>
        <v/>
      </c>
      <c r="O844">
        <f>(1-Summary!$B$55)*T844+Summary!$B$55*V844</f>
        <v/>
      </c>
      <c r="P844">
        <f>IF(B870=0,0,O844/B870)</f>
        <v/>
      </c>
      <c r="Q844">
        <f>IFERROR(1/IF(Inputs!$B$38="pvp",15,MAX(0.1,Skills!D11-IF(Skills!E11=TRUE,Inputs!$B$32,0))),0)</f>
        <v/>
      </c>
      <c r="R844">
        <f>IF(AND(Inputs!$B$38&lt;&gt;"pvp",Inputs!$B$43&gt;0),IF(MAX(0,Inputs!$B$43-B867)&lt;=0,0,(INT(MAX(0,Inputs!$B$43-B867)/IF(Inputs!$B$38="pvp",15,MAX(0.1,Skills!D11-IF(Skills!E11=TRUE,Inputs!$B$32,0))))+1)),0)</f>
        <v/>
      </c>
      <c r="S844">
        <f>IFERROR(O844/N844,0)</f>
        <v/>
      </c>
      <c r="T844">
        <f>IF(C844,(H844*N844*IF(AND(Inputs!$B$38&lt;&gt;"pvp",Inputs!$B$43&gt;0),((Skills!G11*((R844-1)*IF(Skills!H11&gt;0,Skills!I11/Skills!H11,1)+IF(Skills!H11&gt;0,MIN(Skills!I11,MAX(0,MAX(0,Inputs!$B$43-B867)-((R844-1)*IF(Inputs!$B$38="pvp",15,MAX(0.1,Skills!D11-IF(Skills!E11=TRUE,Inputs!$B$32,0))))))/Skills!H11,1)))/Inputs!$B$43),G844*Q844))*IF(Inputs!$B$38="pvp",1,1+(Inputs!$B$20+0+Skills!P11)/100),0)</f>
        <v/>
      </c>
      <c r="V844">
        <f>IF(C844,(H844*N844*IF(AND(Inputs!$B$38&lt;&gt;"pvp",Inputs!$B$43&gt;0),((Skills!G11*((R844-1)*IF(Skills!H11&gt;0,Skills!I11/Skills!H11,1)+IF(Skills!H11&gt;0,MIN(Skills!I11,MAX(0,MAX(0,Inputs!$B$43-B867)-((R844-1)*IF(Inputs!$B$38="pvp",15,MAX(0.1,Skills!D11-IF(Skills!E11=TRUE,Inputs!$B$32,0))))))/Skills!H11,1)))/Inputs!$B$43),G844*Q844))*IF(Inputs!$B$38="pvp",1,(1+(Inputs!$B$21+Skills!Q11)/100)*(MIN(Skills!R11,Inputs!$B$37))),0)</f>
        <v/>
      </c>
    </row>
    <row r="845">
      <c r="A845">
        <f>Skills!A12</f>
        <v/>
      </c>
      <c r="B845">
        <f>Skills!B12</f>
        <v/>
      </c>
      <c r="C845">
        <f>Inputs!$B$3&gt;=100</f>
        <v/>
      </c>
      <c r="D845">
        <f>IF(Skills!C12=1,60+Inputs!$B$25+(Inputs!$B$29+1),IF(Skills!C12=2,90+Inputs!$B$26+(Inputs!$B$29+1),IF(Skills!C12=3,120+Inputs!$B$27+(Inputs!$B$29+1),MAX(0,(Inputs!$B$3-100)*3)+Inputs!$B$28+(Inputs!$B$29+1))))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IF(Skills!C13=1,60+Inputs!$B$25+(Inputs!$B$29+1),IF(Skills!C13=2,90+Inputs!$B$26+(Inputs!$B$29+1),IF(Skills!C13=3,120+Inputs!$B$27+(Inputs!$B$29+1),MAX(0,(Inputs!$B$3-100)*3)+Inputs!$B$28+(Inputs!$B$29+1))))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f>(1-Summary!$B$55)*T846+Summary!$B$55*V846</f>
        <v/>
      </c>
      <c r="P846">
        <f>IF(B870=0,0,O846/B870)</f>
        <v/>
      </c>
      <c r="Q846" t="n">
        <v>0</v>
      </c>
      <c r="R846" t="n">
        <v>0</v>
      </c>
      <c r="S846">
        <f>IFERROR(O846/N846,0)</f>
        <v/>
      </c>
      <c r="T846" t="n">
        <v>0</v>
      </c>
      <c r="V846" t="n">
        <v>0</v>
      </c>
    </row>
    <row r="847">
      <c r="A847">
        <f>Skills!A14</f>
        <v/>
      </c>
      <c r="B847">
        <f>Skills!B14</f>
        <v/>
      </c>
      <c r="C847">
        <f>Inputs!$B$3&gt;=110</f>
        <v/>
      </c>
      <c r="D847">
        <f>IF(Skills!C14=1,60+Inputs!$B$25+(Inputs!$B$29+1),IF(Skills!C14=2,90+Inputs!$B$26+(Inputs!$B$29+1),IF(Skills!C14=3,120+Inputs!$B$27+(Inputs!$B$29+1),MAX(0,(Inputs!$B$3-100)*3)+Inputs!$B$28+(Inputs!$B$29+1))))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f>(1-Summary!$B$55)*T847+Summary!$B$55*V847</f>
        <v/>
      </c>
      <c r="P847">
        <f>IF(B870=0,0,O847/B870)</f>
        <v/>
      </c>
      <c r="Q847" t="n">
        <v>0</v>
      </c>
      <c r="R847" t="n">
        <v>0</v>
      </c>
      <c r="S847">
        <f>IFERROR(O847/N847,0)</f>
        <v/>
      </c>
      <c r="T847" t="n">
        <v>0</v>
      </c>
      <c r="V847" t="n">
        <v>0</v>
      </c>
    </row>
    <row r="848">
      <c r="A848">
        <f>Skills!A15</f>
        <v/>
      </c>
      <c r="B848">
        <f>Skills!B15</f>
        <v/>
      </c>
      <c r="C848">
        <f>Inputs!$B$3&gt;=75</f>
        <v/>
      </c>
      <c r="D848">
        <f>IF(Skills!C15=1,60+Inputs!$B$25+(Inputs!$B$29+1),IF(Skills!C15=2,90+Inputs!$B$26+(Inputs!$B$29+1),IF(Skills!C15=3,120+Inputs!$B$27+(Inputs!$B$29+1),MAX(0,(Inputs!$B$3-100)*3)+Inputs!$B$28+(Inputs!$B$29+1))))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f>(1-Summary!$B$55)*T848+Summary!$B$55*V848</f>
        <v/>
      </c>
      <c r="P848">
        <f>IF(B870=0,0,O848/B870)</f>
        <v/>
      </c>
      <c r="Q848">
        <f>IFERROR(1/IF(Inputs!$B$38="pvp",15,MAX(0.1,Skills!D15-IF(Skills!E15=TRUE,Inputs!$B$32,0))),0)</f>
        <v/>
      </c>
      <c r="R848">
        <f>IF(AND(Inputs!$B$38&lt;&gt;"pvp",Inputs!$B$43&gt;0),IF(Inputs!$B$43&lt;=0,0,(INT(Inputs!$B$43/IF(Inputs!$B$38="pvp",15,MAX(0.1,Skills!D15-IF(Skills!E15=TRUE,Inputs!$B$32,0))))+1)),0)</f>
        <v/>
      </c>
      <c r="S848">
        <f>IFERROR(O848/N848,0)</f>
        <v/>
      </c>
      <c r="T848" t="n">
        <v>0</v>
      </c>
      <c r="V848" t="n">
        <v>0</v>
      </c>
    </row>
    <row r="849">
      <c r="A849">
        <f>Skills!A16</f>
        <v/>
      </c>
      <c r="B849">
        <f>Skills!B16</f>
        <v/>
      </c>
      <c r="C849">
        <f>Inputs!$B$3&gt;=105</f>
        <v/>
      </c>
      <c r="D849">
        <f>IF(Skills!C16=1,60+Inputs!$B$25+(Inputs!$B$29+1),IF(Skills!C16=2,90+Inputs!$B$26+(Inputs!$B$29+1),IF(Skills!C16=3,120+Inputs!$B$27+(Inputs!$B$29+1),MAX(0,(Inputs!$B$3-100)*3)+Inputs!$B$28+(Inputs!$B$29+1))))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f>(1-Summary!$B$55)*T849+Summary!$B$55*V849</f>
        <v/>
      </c>
      <c r="P849">
        <f>IF(B870=0,0,O849/B870)</f>
        <v/>
      </c>
      <c r="Q849">
        <f>IFERROR(1/IF(Inputs!$B$38="pvp",15,MAX(0.1,Skills!D16-IF(Skills!E16=TRUE,Inputs!$B$32,0))),0)</f>
        <v/>
      </c>
      <c r="R849">
        <f>IF(AND(Inputs!$B$38&lt;&gt;"pvp",Inputs!$B$43&gt;0),IF(Inputs!$B$43&lt;=0,0,(INT(Inputs!$B$43/IF(Inputs!$B$38="pvp",15,MAX(0.1,Skills!D16-IF(Skills!E16=TRUE,Inputs!$B$32,0))))+1)),0)</f>
        <v/>
      </c>
      <c r="S849">
        <f>IFERROR(O849/N849,0)</f>
        <v/>
      </c>
      <c r="T849" t="n">
        <v>0</v>
      </c>
      <c r="V849" t="n">
        <v>0</v>
      </c>
    </row>
    <row r="850">
      <c r="A850">
        <f>Skills!A17</f>
        <v/>
      </c>
      <c r="B850">
        <f>Skills!B17</f>
        <v/>
      </c>
      <c r="C850">
        <f>Inputs!$B$3&gt;=115</f>
        <v/>
      </c>
      <c r="D850">
        <f>IF(Skills!C17=1,60+Inputs!$B$25+(Inputs!$B$29+1),IF(Skills!C17=2,90+Inputs!$B$26+(Inputs!$B$29+1),IF(Skills!C17=3,120+Inputs!$B$27+(Inputs!$B$29+1),MAX(0,(Inputs!$B$3-100)*3)+Inputs!$B$28+(Inputs!$B$29+1))))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f>(1-Summary!$B$55)*T850+Summary!$B$55*V850</f>
        <v/>
      </c>
      <c r="P850">
        <f>IF(B870=0,0,O850/B870)</f>
        <v/>
      </c>
      <c r="Q850">
        <f>IFERROR(1/IF(Inputs!$B$38="pvp",15,MAX(0.1,Skills!D17-IF(Skills!E17=TRUE,Inputs!$B$32,0))),0)</f>
        <v/>
      </c>
      <c r="R850">
        <f>IF(AND(Inputs!$B$38&lt;&gt;"pvp",Inputs!$B$43&gt;0),IF(Inputs!$B$43&lt;=0,0,(INT(Inputs!$B$43/IF(Inputs!$B$38="pvp",15,MAX(0.1,Skills!D17-IF(Skills!E17=TRUE,Inputs!$B$32,0))))+1)),0)</f>
        <v/>
      </c>
      <c r="S850">
        <f>IFERROR(O850/N850,0)</f>
        <v/>
      </c>
      <c r="T850" t="n">
        <v>0</v>
      </c>
      <c r="V850" t="n">
        <v>0</v>
      </c>
    </row>
    <row r="851">
      <c r="A851">
        <f>Skills!A18</f>
        <v/>
      </c>
      <c r="B851">
        <f>Skills!B18</f>
        <v/>
      </c>
      <c r="C851">
        <f>Inputs!$B$3&gt;=74</f>
        <v/>
      </c>
      <c r="D851">
        <f>IF(Skills!C18=1,60+Inputs!$B$25+(Inputs!$B$29+1),IF(Skills!C18=2,90+Inputs!$B$26+(Inputs!$B$29+1),IF(Skills!C18=3,120+Inputs!$B$27+(Inputs!$B$29+1),MAX(0,(Inputs!$B$3-100)*3)+Inputs!$B$28+(Inputs!$B$29+1))))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f>(1-Summary!$B$55)*T851+Summary!$B$55*V851</f>
        <v/>
      </c>
      <c r="P851">
        <f>IF(B870=0,0,O851/B870)</f>
        <v/>
      </c>
      <c r="Q851">
        <f>IFERROR(1/IF(Inputs!$B$38="pvp",15,MAX(0.1,Skills!D18-IF(Skills!E18=TRUE,Inputs!$B$32,0))),0)</f>
        <v/>
      </c>
      <c r="R851">
        <f>IF(AND(Inputs!$B$38&lt;&gt;"pvp",Inputs!$B$43&gt;0),IF(Inputs!$B$43&lt;=0,0,(INT(Inputs!$B$43/IF(Inputs!$B$38="pvp",15,MAX(0.1,Skills!D18-IF(Skills!E18=TRUE,Inputs!$B$32,0))))+1)),0)</f>
        <v/>
      </c>
      <c r="S851">
        <f>IFERROR(O851/N851,0)</f>
        <v/>
      </c>
      <c r="T851" t="n">
        <v>0</v>
      </c>
      <c r="V851" t="n">
        <v>0</v>
      </c>
    </row>
    <row r="852">
      <c r="A852">
        <f>Skills!A19</f>
        <v/>
      </c>
      <c r="B852">
        <f>Skills!B19</f>
        <v/>
      </c>
      <c r="C852">
        <f>TRUE</f>
        <v/>
      </c>
      <c r="D852">
        <f>IF(Skills!C19=1,60+Inputs!$B$25+(Inputs!$B$29+1),IF(Skills!C19=2,90+Inputs!$B$26+(Inputs!$B$29+1),IF(Skills!C19=3,120+Inputs!$B$27+(Inputs!$B$29+1),MAX(0,(Inputs!$B$3-100)*3)+Inputs!$B$28+(Inputs!$B$29+1))))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f>(1-Summary!$B$55)*T852+Summary!$B$55*V852</f>
        <v/>
      </c>
      <c r="P852">
        <f>IF(B870=0,0,O852/B870)</f>
        <v/>
      </c>
      <c r="Q852">
        <f>IFERROR(1/IF(Inputs!$B$38="pvp",15,MAX(0.1,Skills!D19-IF(Skills!E19=TRUE,Inputs!$B$32,0))),0)</f>
        <v/>
      </c>
      <c r="R852">
        <f>IF(AND(Inputs!$B$38&lt;&gt;"pvp",Inputs!$B$43&gt;0),IF(Inputs!$B$43&lt;=0,0,(INT(Inputs!$B$43/IF(Inputs!$B$38="pvp",15,MAX(0.1,Skills!D19-IF(Skills!E19=TRUE,Inputs!$B$32,0))))+1)),0)</f>
        <v/>
      </c>
      <c r="S852">
        <f>IFERROR(O852/N852,0)</f>
        <v/>
      </c>
      <c r="T852" t="n">
        <v>0</v>
      </c>
      <c r="V852" t="n">
        <v>0</v>
      </c>
    </row>
    <row r="853">
      <c r="A853">
        <f>Skills!A20</f>
        <v/>
      </c>
      <c r="B853">
        <f>Skills!B20</f>
        <v/>
      </c>
      <c r="C853">
        <f>Inputs!$B$3&gt;=33</f>
        <v/>
      </c>
      <c r="D853">
        <f>IF(Skills!C20=1,60+Inputs!$B$25+(Inputs!$B$29+1),IF(Skills!C20=2,90+Inputs!$B$26+(Inputs!$B$29+1),IF(Skills!C20=3,120+Inputs!$B$27+(Inputs!$B$29+1),MAX(0,(Inputs!$B$3-100)*3)+Inputs!$B$28+(Inputs!$B$29+1))))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f>(1-Summary!$B$55)*T853+Summary!$B$55*V853</f>
        <v/>
      </c>
      <c r="P853">
        <f>IF(B870=0,0,O853/B870)</f>
        <v/>
      </c>
      <c r="Q853" t="n">
        <v>0</v>
      </c>
      <c r="R853" t="n">
        <v>0</v>
      </c>
      <c r="S853">
        <f>IFERROR(O853/N853,0)</f>
        <v/>
      </c>
      <c r="T853" t="n">
        <v>0</v>
      </c>
      <c r="V853" t="n">
        <v>0</v>
      </c>
    </row>
    <row r="854">
      <c r="A854">
        <f>Skills!A21</f>
        <v/>
      </c>
      <c r="B854">
        <f>Skills!B21</f>
        <v/>
      </c>
      <c r="C854">
        <f>Inputs!$B$3&gt;=38</f>
        <v/>
      </c>
      <c r="D854">
        <f>IF(Skills!C21=1,60+Inputs!$B$25+(Inputs!$B$29+1),IF(Skills!C21=2,90+Inputs!$B$26+(Inputs!$B$29+1),IF(Skills!C21=3,120+Inputs!$B$27+(Inputs!$B$29+1),MAX(0,(Inputs!$B$3-100)*3)+Inputs!$B$28+(Inputs!$B$29+1))))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f>(1-Summary!$B$55)*T854+Summary!$B$55*V854</f>
        <v/>
      </c>
      <c r="P854">
        <f>IF(B870=0,0,O854/B870)</f>
        <v/>
      </c>
      <c r="Q854" t="n">
        <v>0</v>
      </c>
      <c r="R854" t="n">
        <v>0</v>
      </c>
      <c r="S854">
        <f>IFERROR(O854/N854,0)</f>
        <v/>
      </c>
      <c r="T854" t="n">
        <v>0</v>
      </c>
      <c r="V854" t="n">
        <v>0</v>
      </c>
    </row>
    <row r="855">
      <c r="A855">
        <f>Skills!A22</f>
        <v/>
      </c>
      <c r="B855">
        <f>Skills!B22</f>
        <v/>
      </c>
      <c r="C855">
        <f>Inputs!$B$3&gt;=43</f>
        <v/>
      </c>
      <c r="D855">
        <f>IF(Skills!C22=1,60+Inputs!$B$25+(Inputs!$B$29+1),IF(Skills!C22=2,90+Inputs!$B$26+(Inputs!$B$29+1),IF(Skills!C22=3,120+Inputs!$B$27+(Inputs!$B$29+1),MAX(0,(Inputs!$B$3-100)*3)+Inputs!$B$28+(Inputs!$B$29+1))))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f>(1-Summary!$B$55)*T855+Summary!$B$55*V855</f>
        <v/>
      </c>
      <c r="P855">
        <f>IF(B870=0,0,O855/B870)</f>
        <v/>
      </c>
      <c r="Q855" t="n">
        <v>0</v>
      </c>
      <c r="R855" t="n">
        <v>0</v>
      </c>
      <c r="S855">
        <f>IFERROR(O855/N855,0)</f>
        <v/>
      </c>
      <c r="T855" t="n">
        <v>0</v>
      </c>
      <c r="V855" t="n">
        <v>0</v>
      </c>
    </row>
    <row r="856">
      <c r="A856">
        <f>Skills!A23</f>
        <v/>
      </c>
      <c r="B856">
        <f>Skills!B23</f>
        <v/>
      </c>
      <c r="C856">
        <f>Inputs!$B$3&gt;=120</f>
        <v/>
      </c>
      <c r="D856">
        <f>IF(Skills!C23=1,60+Inputs!$B$25+(Inputs!$B$29+1),IF(Skills!C23=2,90+Inputs!$B$26+(Inputs!$B$29+1),IF(Skills!C23=3,120+Inputs!$B$27+(Inputs!$B$29+1),MAX(0,(Inputs!$B$3-100)*3)+Inputs!$B$28+(Inputs!$B$29+1))))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f>(1-Summary!$B$55)*T856+Summary!$B$55*V856</f>
        <v/>
      </c>
      <c r="P856">
        <f>IF(B870=0,0,O856/B870)</f>
        <v/>
      </c>
      <c r="Q856" t="n">
        <v>0</v>
      </c>
      <c r="R856" t="n">
        <v>0</v>
      </c>
      <c r="S856">
        <f>IFERROR(O856/N856,0)</f>
        <v/>
      </c>
      <c r="T856" t="n">
        <v>0</v>
      </c>
      <c r="V856" t="n">
        <v>0</v>
      </c>
    </row>
    <row r="857">
      <c r="A857">
        <f>Skills!A24</f>
        <v/>
      </c>
      <c r="B857">
        <f>Skills!B24</f>
        <v/>
      </c>
      <c r="C857">
        <f>Inputs!$B$3&gt;=120</f>
        <v/>
      </c>
      <c r="D857">
        <f>IF(Skills!C24=1,60+Inputs!$B$25+(Inputs!$B$29+1),IF(Skills!C24=2,90+Inputs!$B$26+(Inputs!$B$29+1),IF(Skills!C24=3,120+Inputs!$B$27+(Inputs!$B$29+1),MAX(0,(Inputs!$B$3-100)*3)+Inputs!$B$28+(Inputs!$B$29+1))))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f>(1-Summary!$B$55)*T857+Summary!$B$55*V857</f>
        <v/>
      </c>
      <c r="P857">
        <f>IF(B870=0,0,O857/B870)</f>
        <v/>
      </c>
      <c r="Q857" t="n">
        <v>0</v>
      </c>
      <c r="R857" t="n">
        <v>0</v>
      </c>
      <c r="S857">
        <f>IFERROR(O857/N857,0)</f>
        <v/>
      </c>
      <c r="T857" t="n">
        <v>0</v>
      </c>
      <c r="V857" t="n">
        <v>0</v>
      </c>
    </row>
    <row r="859">
      <c r="A859" t="inlineStr">
        <is>
          <t>Attack% Bucket Multiplier</t>
        </is>
      </c>
      <c r="B859">
        <f>(1+(((C846=TRUE)*F846*MIN(1,Skills!T13*(Skills!J13/100)*B864))+((C851=TRUE)*F851*IF(AND(Inputs!$B$38&lt;&gt;"pvp",Inputs!$B$43&gt;0),(((R851-1)*(Skills!T18*(1+Inputs!$B$34/100))+MIN((Skills!T18*(1+Inputs!$B$34/100)),MAX(0,Inputs!$B$43-((R851-1)*Skills!D18))))/Inputs!$B$43),IF(Inputs!$B$38="pvp",MIN((Skills!T18*(1+Inputs!$B$34/100)),15)/15,(Skills!T18*(1+Inputs!$B$34/100))/Skills!D18)))+0)/100)</f>
        <v/>
      </c>
    </row>
    <row r="860">
      <c r="A860" t="inlineStr">
        <is>
          <t>Global Crit Rate Bonus %</t>
        </is>
      </c>
      <c r="B860" t="n">
        <v>0</v>
      </c>
    </row>
    <row r="861">
      <c r="A861" t="inlineStr">
        <is>
          <t>Attack Speed Buff Bonus %</t>
        </is>
      </c>
      <c r="B861">
        <f>((C852=TRUE)*F852*IF(AND(Inputs!$B$38&lt;&gt;"pvp",Inputs!$B$43&gt;0),(((R852-1)*(Skills!T19*(1+Inputs!$B$34/100))+MIN((Skills!T19*(1+Inputs!$B$34/100)),MAX(0,Inputs!$B$43-((R852-1)*Skills!D19))))/Inputs!$B$43),IF(Inputs!$B$38="pvp",MIN((Skills!T19*(1+Inputs!$B$34/100)),15)/15,(Skills!T19*(1+Inputs!$B$34/100))/Skills!D19)))</f>
        <v/>
      </c>
    </row>
    <row r="862">
      <c r="A862" t="inlineStr">
        <is>
          <t>Actions Per Second</t>
        </is>
      </c>
      <c r="B862">
        <f>1+MIN(150,150*(1-(1-(Inputs!$B$11+((C853=TRUE)*(F853-Calc!F20)))/150)*(1-B861/150)))/100</f>
        <v/>
      </c>
    </row>
    <row r="863">
      <c r="A863" t="inlineStr">
        <is>
          <t>Skill + Buff Cast Rate</t>
        </is>
      </c>
      <c r="B863">
        <f>IF(AND(Inputs!$B$38&lt;&gt;"pvp",Inputs!$B$43&gt;0),SUMPRODUCT((Skills!E2:E24=TRUE)*(C835:C857=TRUE)*R835:R857*Skills!F2:F24)/Inputs!$B$43,SUMPRODUCT((Skills!E2:E24=TRUE)*(C835:C857=TRUE)*Q835:Q857*Skills!F2:F24))</f>
        <v/>
      </c>
    </row>
    <row r="864">
      <c r="A864" t="inlineStr">
        <is>
          <t>Blast Casts Per Second</t>
        </is>
      </c>
      <c r="B864">
        <f>MAX(0,B862-B863)</f>
        <v/>
      </c>
    </row>
    <row r="865">
      <c r="A865" t="inlineStr">
        <is>
          <t>Global Critical Damage Bonus % (unused)</t>
        </is>
      </c>
      <c r="B865" t="n">
        <v>0</v>
      </c>
    </row>
    <row r="866">
      <c r="A866" t="inlineStr">
        <is>
          <t>Global Final Damage Bonus % (Divine Shield + Guardian + Divine Blessing + Greater Vessel of Light)</t>
        </is>
      </c>
      <c r="B866">
        <f>((C848=TRUE)*F848*IF(AND(Inputs!$B$38&lt;&gt;"pvp",Inputs!$B$43&gt;0),(((R848-1)*(Skills!T15*(1+Inputs!$B$34/100))+MIN((Skills!T15*(1+Inputs!$B$34/100)),MAX(0,Inputs!$B$43-((R848-1)*Skills!D15))))/Inputs!$B$43),IF(Inputs!$B$38="pvp",MIN((Skills!T15*(1+Inputs!$B$34/100)),15)/15,(Skills!T15*(1+Inputs!$B$34/100))/Skills!D15)))+((C849=TRUE)*F849*IF(AND(Inputs!$B$38&lt;&gt;"pvp",Inputs!$B$43&gt;0),(((R849-1)*(Skills!T16*(1+Inputs!$B$34/100))+MIN((Skills!T16*(1+Inputs!$B$34/100)),MAX(0,Inputs!$B$43-((R849-1)*Skills!D16))))/Inputs!$B$43),IF(Inputs!$B$38="pvp",MIN((Skills!T16*(1+Inputs!$B$34/100)),15)/15,(Skills!T16*(1+Inputs!$B$34/100))/Skills!D16)))+((C850=TRUE)*F850*IF(AND(Inputs!$B$38&lt;&gt;"pvp",Inputs!$B$43&gt;0),(((R850-1)*(Skills!T17*(1+Inputs!$B$34/100))+MIN((Skills!T17*(1+Inputs!$B$34/100)),MAX(0,Inputs!$B$43-((R850-1)*Skills!D17))))/Inputs!$B$43),IF(Inputs!$B$38="pvp",MIN((Skills!T17*(1+Inputs!$B$34/100)),15)/15,(Skills!T17*(1+Inputs!$B$34/100))/Skills!D17)))+((C847=TRUE)*F847*MIN(1,Skills!T13*(Skills!J13/100)*B864))</f>
        <v/>
      </c>
    </row>
    <row r="867">
      <c r="A867" t="inlineStr">
        <is>
          <t>Buff-Casting Startup Delay (s, fixed-duration only)</t>
        </is>
      </c>
      <c r="B867">
        <f>IF(AND(Inputs!$B$38&lt;&gt;"pvp",Inputs!$B$43&gt;0),SUMPRODUCT((Skills!T2:T24&gt;0)*(Skills!E2:E24=TRUE)*(C835:C857=TRUE))/B862,0)</f>
        <v/>
      </c>
    </row>
    <row r="868">
      <c r="A868" t="inlineStr">
        <is>
          <t>Boss-Only Total DPS (this block's swept value)</t>
        </is>
      </c>
      <c r="B868">
        <f>SUM(T835:T857)</f>
        <v/>
      </c>
    </row>
    <row r="869">
      <c r="A869" t="inlineStr">
        <is>
          <t>Normal-Only Total DPS (this block's swept value)</t>
        </is>
      </c>
      <c r="B869">
        <f>SUM(V835:V857)</f>
        <v/>
      </c>
    </row>
    <row r="870">
      <c r="A870" s="5" t="inlineStr">
        <is>
          <t>TOTAL DPS</t>
        </is>
      </c>
      <c r="B870" s="5">
        <f>SUM(O835:O857)</f>
        <v/>
      </c>
    </row>
    <row r="873">
      <c r="A873" s="5" t="inlineStr">
        <is>
          <t>Stat: Flat ATTACK</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(((Inputs!$B$6+1)*(1+Inputs!$B$7/100))+(((Inputs!$B$12*(1+Inputs!$B$13/100))-(Inputs!$B$12*(1+Inputs!$B$13/100)))+0.25*(Inputs!$B$14-Inputs!$B$14))*(1+Inputs!$B$7/100))*(F875/100)</f>
        <v/>
      </c>
      <c r="K875">
        <f>J875*(1+((Inputs!$B$12*(1+Inputs!$B$13/100))*0.01+Inputs!$B$14*0.0025)/100)*(1+Inputs!$B$15/100)*(1+Inputs!$B$16/100)*(5000/(6000+Inputs!$B$42*(1-(Inputs!$B$19+0)/100)))*(1+(Inputs!$B$24+0+B906)/100)*(1+(IF(Skills!A2="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875)</f>
        <v/>
      </c>
      <c r="L875">
        <f>K875*(MIN(Inputs!$B$22+((C895=TRUE)*(F895-Calc!F22)),Inputs!$B$23+((C897=TRUE)*(F897-Calc!F24)))/100+(Inputs!$B$23+((C897=TRUE)*(F897-Calc!F24)))/100)/2</f>
        <v/>
      </c>
      <c r="M875">
        <f>L875*(1+(Inputs!$B$10+0+B905)/100)</f>
        <v/>
      </c>
      <c r="N875">
        <f>L875*(1-MIN((Inputs!$B$9+0+B900),100)/100)+M875*(MIN((Inputs!$B$9+0+B900),100)/100)</f>
        <v/>
      </c>
      <c r="O875">
        <f>(1-Summary!$B$55)*T875+Summary!$B$55*V875</f>
        <v/>
      </c>
      <c r="P875">
        <f>IF(B910=0,0,O875/B910)</f>
        <v/>
      </c>
      <c r="Q875" t="n">
        <v>0</v>
      </c>
      <c r="R875" t="n">
        <v>0</v>
      </c>
      <c r="S875">
        <f>IFERROR(O875/N875,0)</f>
        <v/>
      </c>
      <c r="T875">
        <f>IF(C875,(Skills!G2*N875*B904)*IF(Inputs!$B$38="pvp",1,1+(Inputs!$B$20+0+Skills!P2)/100),0)</f>
        <v/>
      </c>
      <c r="U875">
        <f>MAX(0,(Inputs!$B$3-100)*3)+Inputs!$B$28+Inputs!$B$29</f>
        <v/>
      </c>
      <c r="V875">
        <f>IF(C875,(Skills!G2*N875*B904)*IF(Inputs!$B$38="pvp",1,(1+(Inputs!$B$21+Skills!Q2)/100)*(MIN((6+Inputs!$B$33),Inputs!$B$37))),0)</f>
        <v/>
      </c>
    </row>
    <row r="876">
      <c r="A876">
        <f>Skills!A3</f>
        <v/>
      </c>
      <c r="B876">
        <f>Skills!B3</f>
        <v/>
      </c>
      <c r="C876">
        <f>Inputs!$B$3&gt;=50</f>
        <v/>
      </c>
      <c r="D876">
        <f>IF(Skills!C3=1,60+Inputs!$B$25+Inputs!$B$29,IF(Skills!C3=2,90+Inputs!$B$26+Inputs!$B$29,IF(Skills!C3=3,120+Inputs!$B$27+Inputs!$B$29,MAX(0,(Inputs!$B$3-100)*3)+Inputs!$B$28+Inputs!$B$29)))</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Inputs!$B$3&gt;=35</f>
        <v/>
      </c>
      <c r="D877">
        <f>IF(Skills!C4=1,60+Inputs!$B$25+Inputs!$B$29,IF(Skills!C4=2,90+Inputs!$B$26+Inputs!$B$29,IF(Skills!C4=3,120+Inputs!$B$27+Inputs!$B$29,MAX(0,(Inputs!$B$3-100)*3)+Inputs!$B$28+Inputs!$B$29)))</f>
        <v/>
      </c>
      <c r="E877">
        <f>INDEX(FactorTable!$B$2:$Y$301, MATCH(ROUND(MIN(300,MAX(1,D877)),0), FactorTable!$A$2:$A$301,0), Skills!M4+1)</f>
        <v/>
      </c>
      <c r="F877">
        <f>IF(Skills!N4=TRUE,(Skills!L4/10)*(E877/1000),Skills!L4/10)+Skills!O4</f>
        <v/>
      </c>
      <c r="G877">
        <f>Skills!G4*IF(Skills!H4&gt;0,Skills!I4/Skills!H4,1)</f>
        <v/>
      </c>
      <c r="H877">
        <f>1-(1-Skills!J4/100)^Skills!K4</f>
        <v/>
      </c>
      <c r="I877" t="inlineStr">
        <is>
          <t>1</t>
        </is>
      </c>
      <c r="J877">
        <f>(((Inputs!$B$6+1)*(1+Inputs!$B$7/100))+(((Inputs!$B$12*(1+Inputs!$B$13/100))-(Inputs!$B$12*(1+Inputs!$B$13/100)))+0.25*(Inputs!$B$14-Inputs!$B$14))*(1+Inputs!$B$7/100))*(F877/100)</f>
        <v/>
      </c>
      <c r="K877">
        <f>J877*(1+((Inputs!$B$12*(1+Inputs!$B$13/100))*0.01+Inputs!$B$14*0.0025)/100)*(1+Inputs!$B$15/100)*(1+Inputs!$B$16/100)*(5000/(6000+Inputs!$B$42*(1-(Inputs!$B$19+0)/100)))*(1+(Inputs!$B$24+0+B906)/100)*(1+4.0*IF(C885=TRUE,F885,0)/100)*(1+(IF(Skills!A4="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877)</f>
        <v/>
      </c>
      <c r="L877">
        <f>K877*(MIN(Inputs!$B$22+((C895=TRUE)*(F895-Calc!F22)),Inputs!$B$23+((C897=TRUE)*(F897-Calc!F24)))/100+(Inputs!$B$23+((C897=TRUE)*(F897-Calc!F24)))/100)/2</f>
        <v/>
      </c>
      <c r="M877">
        <f>L877*(1+(Inputs!$B$10+0+B905)/100)</f>
        <v/>
      </c>
      <c r="N877">
        <f>L877*(1-MIN((Inputs!$B$9+0+B900),100)/100)+M877*(MIN((Inputs!$B$9+0+B900),100)/100)</f>
        <v/>
      </c>
      <c r="O877">
        <f>(1-Summary!$B$55)*T877+Summary!$B$55*V877</f>
        <v/>
      </c>
      <c r="P877">
        <f>IF(B910=0,0,O877/B910)</f>
        <v/>
      </c>
      <c r="Q877">
        <f>IFERROR(1/IF(Inputs!$B$38="pvp",15,MAX(0.1,Skills!D4-IF(Skills!E4=TRUE,Inputs!$B$32,0))),0)</f>
        <v/>
      </c>
      <c r="R877">
        <f>IF(AND(Inputs!$B$38&lt;&gt;"pvp",Inputs!$B$43&gt;0),IF(MAX(0,Inputs!$B$43-B907)&lt;=0,0,(INT(MAX(0,Inputs!$B$43-B907)/IF(Inputs!$B$38="pvp",15,MAX(0.1,Skills!D4-IF(Skills!E4=TRUE,Inputs!$B$32,0))))+1)),0)</f>
        <v/>
      </c>
      <c r="S877">
        <f>IFERROR(O877/N877,0)</f>
        <v/>
      </c>
      <c r="T877">
        <f>IF(C877,(H877*N877*IF(AND(Inputs!$B$38&lt;&gt;"pvp",Inputs!$B$43&gt;0),((Skills!G4*((R877-1)*IF(Skills!H4&gt;0,Skills!I4/Skills!H4,1)+IF(Skills!H4&gt;0,MIN(Skills!I4,MAX(0,MAX(0,Inputs!$B$43-B907)-((R877-1)*IF(Inputs!$B$38="pvp",15,MAX(0.1,Skills!D4-IF(Skills!E4=TRUE,Inputs!$B$32,0))))))/Skills!H4,1)))/Inputs!$B$43),G877*Q877))*IF(Inputs!$B$38="pvp",1,1+(Inputs!$B$20+0+Skills!P4)/100),0)</f>
        <v/>
      </c>
      <c r="U877">
        <f>290*U876/1000</f>
        <v/>
      </c>
      <c r="V877">
        <f>IF(C877,(H877*N877*IF(AND(Inputs!$B$38&lt;&gt;"pvp",Inputs!$B$43&gt;0),((Skills!G4*((R877-1)*IF(Skills!H4&gt;0,Skills!I4/Skills!H4,1)+IF(Skills!H4&gt;0,MIN(Skills!I4,MAX(0,MAX(0,Inputs!$B$43-B907)-((R877-1)*IF(Inputs!$B$38="pvp",15,MAX(0.1,Skills!D4-IF(Skills!E4=TRUE,Inputs!$B$32,0))))))/Skills!H4,1)))/Inputs!$B$43),G877*Q877))*IF(Inputs!$B$38="pvp",1,(1+(Inputs!$B$21+Skills!Q4)/100)*(MIN(Skills!R4,Inputs!$B$37))),0)</f>
        <v/>
      </c>
    </row>
    <row r="878">
      <c r="A878">
        <f>Skills!A5</f>
        <v/>
      </c>
      <c r="B878">
        <f>Skills!B5</f>
        <v/>
      </c>
      <c r="C878">
        <f>Inputs!$B$3&gt;=66</f>
        <v/>
      </c>
      <c r="D878">
        <f>IF(Skills!C5=1,60+Inputs!$B$25+Inputs!$B$29,IF(Skills!C5=2,90+Inputs!$B$26+Inputs!$B$29,IF(Skills!C5=3,120+Inputs!$B$27+Inputs!$B$29,MAX(0,(Inputs!$B$3-100)*3)+Inputs!$B$28+Inputs!$B$29)))</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(((Inputs!$B$6+1)*(1+Inputs!$B$7/100))+(((Inputs!$B$12*(1+Inputs!$B$13/100))-(Inputs!$B$12*(1+Inputs!$B$13/100)))+0.25*(Inputs!$B$14-Inputs!$B$14))*(1+Inputs!$B$7/100))*(F878/100)</f>
        <v/>
      </c>
      <c r="K878">
        <f>J878*(1+((Inputs!$B$12*(1+Inputs!$B$13/100))*0.01+Inputs!$B$14*0.0025)/100)*(1+Inputs!$B$15/100)*(1+Inputs!$B$16/100)*(5000/(6000+Inputs!$B$42*(1-(Inputs!$B$19+0)/100)))*(1+(Inputs!$B$24+0+B906)/100)*(1+1.0*IF(C885=TRUE,F885,0)/100)*(1+(IF(Skills!A5="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878)</f>
        <v/>
      </c>
      <c r="L878">
        <f>K878*(MIN(Inputs!$B$22+((C895=TRUE)*(F895-Calc!F22)),Inputs!$B$23+((C897=TRUE)*(F897-Calc!F24)))/100+(Inputs!$B$23+((C897=TRUE)*(F897-Calc!F24)))/100)/2</f>
        <v/>
      </c>
      <c r="M878">
        <f>L878*(1+(Inputs!$B$10+0+B905)/100)</f>
        <v/>
      </c>
      <c r="N878">
        <f>L878*(1-MIN((Inputs!$B$9+0+B900),100)/100)+M878*(MIN((Inputs!$B$9+0+B900),100)/100)</f>
        <v/>
      </c>
      <c r="O878">
        <f>(1-Summary!$B$55)*T878+Summary!$B$55*V878</f>
        <v/>
      </c>
      <c r="P878">
        <f>IF(B910=0,0,O878/B910)</f>
        <v/>
      </c>
      <c r="Q878">
        <f>IFERROR(1/IF(Inputs!$B$38="pvp",15,MAX(0.1,Skills!D5-IF(Skills!E5=TRUE,Inputs!$B$32,0))),0)</f>
        <v/>
      </c>
      <c r="R878">
        <f>IF(AND(Inputs!$B$38&lt;&gt;"pvp",Inputs!$B$43&gt;0),IF(MAX(0,Inputs!$B$43-B907)&lt;=0,0,(INT(MAX(0,Inputs!$B$43-B907)/IF(Inputs!$B$38="pvp",15,MAX(0.1,Skills!D5-IF(Skills!E5=TRUE,Inputs!$B$32,0))))+1)),0)</f>
        <v/>
      </c>
      <c r="S878">
        <f>IFERROR(O878/N878,0)</f>
        <v/>
      </c>
      <c r="T878">
        <f>IF(C878,(H878*N878*IF(AND(Inputs!$B$38&lt;&gt;"pvp",Inputs!$B$43&gt;0),((Skills!G5*((R878-1)*IF(Skills!H5&gt;0,Skills!I5/Skills!H5,1)+IF(Skills!H5&gt;0,MIN(Skills!I5,MAX(0,MAX(0,Inputs!$B$43-B907)-((R878-1)*IF(Inputs!$B$38="pvp",15,MAX(0.1,Skills!D5-IF(Skills!E5=TRUE,Inputs!$B$32,0))))))/Skills!H5,1)))/Inputs!$B$43),G878*Q878))*IF(Inputs!$B$38="pvp",1,1+(Inputs!$B$20+0+Skills!P5)/100),0)</f>
        <v/>
      </c>
      <c r="V878">
        <f>IF(C878,(H878*N878*IF(AND(Inputs!$B$38&lt;&gt;"pvp",Inputs!$B$43&gt;0),((Skills!G5*((R878-1)*IF(Skills!H5&gt;0,Skills!I5/Skills!H5,1)+IF(Skills!H5&gt;0,MIN(Skills!I5,MAX(0,MAX(0,Inputs!$B$43-B907)-((R878-1)*IF(Inputs!$B$38="pvp",15,MAX(0.1,Skills!D5-IF(Skills!E5=TRUE,Inputs!$B$32,0))))))/Skills!H5,1)))/Inputs!$B$43),G878*Q878))*IF(Inputs!$B$38="pvp",1,(1+(Inputs!$B$21+Skills!Q5)/100)*(MIN(Skills!R5,Inputs!$B$37))),0)</f>
        <v/>
      </c>
    </row>
    <row r="879">
      <c r="A879">
        <f>Skills!A6</f>
        <v/>
      </c>
      <c r="B879">
        <f>Skills!B6</f>
        <v/>
      </c>
      <c r="C879">
        <f>Inputs!$B$3&gt;=103</f>
        <v/>
      </c>
      <c r="D879">
        <f>IF(Skills!C6=1,60+Inputs!$B$25+Inputs!$B$29,IF(Skills!C6=2,90+Inputs!$B$26+Inputs!$B$29,IF(Skills!C6=3,120+Inputs!$B$27+Inputs!$B$29,MAX(0,(Inputs!$B$3-100)*3)+Inputs!$B$28+Inputs!$B$29)))</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(((Inputs!$B$6+1)*(1+Inputs!$B$7/100))+(((Inputs!$B$12*(1+Inputs!$B$13/100))-(Inputs!$B$12*(1+Inputs!$B$13/100)))+0.25*(Inputs!$B$14-Inputs!$B$14))*(1+Inputs!$B$7/100))*(F879/100)</f>
        <v/>
      </c>
      <c r="K879">
        <f>J879*(1+((Inputs!$B$12*(1+Inputs!$B$13/100))*0.01+Inputs!$B$14*0.0025)/100)*(1+Inputs!$B$15/100)*(1+Inputs!$B$16/100)*(5000/(6000+Inputs!$B$42*(1-(Inputs!$B$19+0)/100)))*(1+(Inputs!$B$24+0+B906)/100)*(1+(IF(Skills!A6="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879)</f>
        <v/>
      </c>
      <c r="L879">
        <f>K879*(MIN(Inputs!$B$22+((C895=TRUE)*(F895-Calc!F22)),Inputs!$B$23+((C897=TRUE)*(F897-Calc!F24)))/100+(Inputs!$B$23+((C897=TRUE)*(F897-Calc!F24)))/100)/2</f>
        <v/>
      </c>
      <c r="M879">
        <f>L879*(1+(Inputs!$B$10+0+B905)/100)</f>
        <v/>
      </c>
      <c r="N879">
        <f>L879*(1-MIN((Inputs!$B$9+0+B900),100)/100)+M879*(MIN((Inputs!$B$9+0+B900),100)/100)</f>
        <v/>
      </c>
      <c r="O879">
        <f>(1-Summary!$B$55)*T879+Summary!$B$55*V879</f>
        <v/>
      </c>
      <c r="P879">
        <f>IF(B910=0,0,O879/B910)</f>
        <v/>
      </c>
      <c r="Q879">
        <f>IFERROR(1/IF(Inputs!$B$38="pvp",15,MAX(0.1,Skills!D6-IF(Skills!E6=TRUE,Inputs!$B$32,0))),0)</f>
        <v/>
      </c>
      <c r="R879">
        <f>IF(AND(Inputs!$B$38&lt;&gt;"pvp",Inputs!$B$43&gt;0),IF(MAX(0,Inputs!$B$43-B907)&lt;=0,0,(INT(MAX(0,Inputs!$B$43-B907)/IF(Inputs!$B$38="pvp",15,MAX(0.1,Skills!D6-IF(Skills!E6=TRUE,Inputs!$B$32,0))))+1)),0)</f>
        <v/>
      </c>
      <c r="S879">
        <f>IFERROR(O879/N879,0)</f>
        <v/>
      </c>
      <c r="T879">
        <f>IF(C879,(H879*N879*IF(AND(Inputs!$B$38&lt;&gt;"pvp",Inputs!$B$43&gt;0),((Skills!G6*((R879-1)*IF(Skills!H6&gt;0,Skills!I6/Skills!H6,1)+IF(Skills!H6&gt;0,MIN(Skills!I6,MAX(0,MAX(0,Inputs!$B$43-B907)-((R879-1)*IF(Inputs!$B$38="pvp",15,MAX(0.1,Skills!D6-IF(Skills!E6=TRUE,Inputs!$B$32,0))))))/Skills!H6,1)))/Inputs!$B$43),G879*Q879))*IF(Inputs!$B$38="pvp",1,1+(Inputs!$B$20+0+Skills!P6)/100),0)</f>
        <v/>
      </c>
      <c r="V879">
        <f>IF(C879,(H879*N879*IF(AND(Inputs!$B$38&lt;&gt;"pvp",Inputs!$B$43&gt;0),((Skills!G6*((R879-1)*IF(Skills!H6&gt;0,Skills!I6/Skills!H6,1)+IF(Skills!H6&gt;0,MIN(Skills!I6,MAX(0,MAX(0,Inputs!$B$43-B907)-((R879-1)*IF(Inputs!$B$38="pvp",15,MAX(0.1,Skills!D6-IF(Skills!E6=TRUE,Inputs!$B$32,0))))))/Skills!H6,1)))/Inputs!$B$43),G879*Q879))*IF(Inputs!$B$38="pvp",1,(1+(Inputs!$B$21+Skills!Q6)/100)*(MIN(Skills!R6,Inputs!$B$37))),0)</f>
        <v/>
      </c>
    </row>
    <row r="880">
      <c r="A880">
        <f>Skills!A7</f>
        <v/>
      </c>
      <c r="B880">
        <f>Skills!B7</f>
        <v/>
      </c>
      <c r="C880">
        <f>Inputs!$B$3&gt;=107</f>
        <v/>
      </c>
      <c r="D880">
        <f>IF(Skills!C7=1,60+Inputs!$B$25+Inputs!$B$29,IF(Skills!C7=2,90+Inputs!$B$26+Inputs!$B$29,IF(Skills!C7=3,120+Inputs!$B$27+Inputs!$B$29,MAX(0,(Inputs!$B$3-100)*3)+Inputs!$B$28+Inputs!$B$29)))</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(((Inputs!$B$6+1)*(1+Inputs!$B$7/100))+(((Inputs!$B$12*(1+Inputs!$B$13/100))-(Inputs!$B$12*(1+Inputs!$B$13/100)))+0.25*(Inputs!$B$14-Inputs!$B$14))*(1+Inputs!$B$7/100))*(F880/100)</f>
        <v/>
      </c>
      <c r="K880">
        <f>J880*(1+((Inputs!$B$12*(1+Inputs!$B$13/100))*0.01+Inputs!$B$14*0.0025)/100)*(1+Inputs!$B$15/100)*(1+Inputs!$B$16/100)*(5000/(6000+Inputs!$B$42*(1-(Inputs!$B$19+0)/100)))*(1+(Inputs!$B$24+0+B906)/100)*(1+(IF(Skills!A7="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880)</f>
        <v/>
      </c>
      <c r="L880">
        <f>K880*(MIN(Inputs!$B$22+((C895=TRUE)*(F895-Calc!F22)),Inputs!$B$23+((C897=TRUE)*(F897-Calc!F24)))/100+(Inputs!$B$23+((C897=TRUE)*(F897-Calc!F24)))/100)/2</f>
        <v/>
      </c>
      <c r="M880">
        <f>L880*(1+(Inputs!$B$10+0+B905)/100)</f>
        <v/>
      </c>
      <c r="N880">
        <f>L880*(1-MIN((Inputs!$B$9+0+B900),100)/100)+M880*(MIN((Inputs!$B$9+0+B900),100)/100)</f>
        <v/>
      </c>
      <c r="O880">
        <f>(1-Summary!$B$55)*T880+Summary!$B$55*V880</f>
        <v/>
      </c>
      <c r="P880">
        <f>IF(B910=0,0,O880/B910)</f>
        <v/>
      </c>
      <c r="Q880">
        <f>IFERROR(1/IF(Inputs!$B$38="pvp",15,MAX(0.1,Skills!D7-IF(Skills!E7=TRUE,Inputs!$B$32,0))),0)</f>
        <v/>
      </c>
      <c r="R880">
        <f>IF(AND(Inputs!$B$38&lt;&gt;"pvp",Inputs!$B$43&gt;0),IF(MAX(0,Inputs!$B$43-B907)&lt;=0,0,(INT(MAX(0,Inputs!$B$43-B907)/IF(Inputs!$B$38="pvp",15,MAX(0.1,Skills!D7-IF(Skills!E7=TRUE,Inputs!$B$32,0))))+1)),0)</f>
        <v/>
      </c>
      <c r="S880">
        <f>IFERROR(O880/N880,0)</f>
        <v/>
      </c>
      <c r="T880">
        <f>IF(C880,(H880*N880*IF(AND(Inputs!$B$38&lt;&gt;"pvp",Inputs!$B$43&gt;0),((Skills!G7*((R880-1)*IF(Skills!H7&gt;0,Skills!I7/Skills!H7,1)+IF(Skills!H7&gt;0,MIN(Skills!I7,MAX(0,MAX(0,Inputs!$B$43-B907)-((R880-1)*IF(Inputs!$B$38="pvp",15,MAX(0.1,Skills!D7-IF(Skills!E7=TRUE,Inputs!$B$32,0))))))/Skills!H7,1)))/Inputs!$B$43),G880*Q880))*IF(Inputs!$B$38="pvp",1,1+(Inputs!$B$20+0+Skills!P7)/100),0)</f>
        <v/>
      </c>
      <c r="V880">
        <f>IF(C880,(H880*N880*IF(AND(Inputs!$B$38&lt;&gt;"pvp",Inputs!$B$43&gt;0),((Skills!G7*((R880-1)*IF(Skills!H7&gt;0,Skills!I7/Skills!H7,1)+IF(Skills!H7&gt;0,MIN(Skills!I7,MAX(0,MAX(0,Inputs!$B$43-B907)-((R880-1)*IF(Inputs!$B$38="pvp",15,MAX(0.1,Skills!D7-IF(Skills!E7=TRUE,Inputs!$B$32,0))))))/Skills!H7,1)))/Inputs!$B$43),G880*Q880))*IF(Inputs!$B$38="pvp",1,(1+(Inputs!$B$21+Skills!Q7)/100)*(MIN(Skills!R7,Inputs!$B$37))),0)</f>
        <v/>
      </c>
    </row>
    <row r="881">
      <c r="A881">
        <f>Skills!A8</f>
        <v/>
      </c>
      <c r="B881">
        <f>Skills!B8</f>
        <v/>
      </c>
      <c r="C881">
        <f>Inputs!$B$3&gt;=107</f>
        <v/>
      </c>
      <c r="D881">
        <f>IF(Skills!C8=1,60+Inputs!$B$25+Inputs!$B$29,IF(Skills!C8=2,90+Inputs!$B$26+Inputs!$B$29,IF(Skills!C8=3,120+Inputs!$B$27+Inputs!$B$29,MAX(0,(Inputs!$B$3-100)*3)+Inputs!$B$28+Inputs!$B$29)))</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(((Inputs!$B$6+1)*(1+Inputs!$B$7/100))+(((Inputs!$B$12*(1+Inputs!$B$13/100))-(Inputs!$B$12*(1+Inputs!$B$13/100)))+0.25*(Inputs!$B$14-Inputs!$B$14))*(1+Inputs!$B$7/100))*(F881/100)</f>
        <v/>
      </c>
      <c r="K881">
        <f>J881*(1+((Inputs!$B$12*(1+Inputs!$B$13/100))*0.01+Inputs!$B$14*0.0025)/100)*(1+Inputs!$B$15/100)*(1+Inputs!$B$16/100)*(5000/(6000+Inputs!$B$42*(1-(Inputs!$B$19+0)/100)))*(1+(Inputs!$B$24+0+B906)/100)*(1+(IF(Skills!A8="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881)</f>
        <v/>
      </c>
      <c r="L881">
        <f>K881*(MIN(Inputs!$B$22+((C895=TRUE)*(F895-Calc!F22)),Inputs!$B$23+((C897=TRUE)*(F897-Calc!F24)))/100+(Inputs!$B$23+((C897=TRUE)*(F897-Calc!F24)))/100)/2</f>
        <v/>
      </c>
      <c r="M881">
        <f>L881*(1+(Inputs!$B$10+0+B905)/100)</f>
        <v/>
      </c>
      <c r="N881">
        <f>L881*(1-MIN((Inputs!$B$9+0+B900),100)/100)+M881*(MIN((Inputs!$B$9+0+B900),100)/100)</f>
        <v/>
      </c>
      <c r="O881">
        <f>(1-Summary!$B$55)*T881+Summary!$B$55*V881</f>
        <v/>
      </c>
      <c r="P881">
        <f>IF(B910=0,0,O881/B910)</f>
        <v/>
      </c>
      <c r="Q881">
        <f>IFERROR(1/IF(Inputs!$B$38="pvp",15,MAX(0.1,Skills!D8-IF(Skills!E8=TRUE,Inputs!$B$32,0))),0)</f>
        <v/>
      </c>
      <c r="R881">
        <f>IF(AND(Inputs!$B$38&lt;&gt;"pvp",Inputs!$B$43&gt;0),IF(MAX(0,Inputs!$B$43-B907)&lt;=0,0,(INT(MAX(0,Inputs!$B$43-B907)/IF(Inputs!$B$38="pvp",15,MAX(0.1,Skills!D8-IF(Skills!E8=TRUE,Inputs!$B$32,0))))+1)),0)</f>
        <v/>
      </c>
      <c r="S881">
        <f>IFERROR(O881/N881,0)</f>
        <v/>
      </c>
      <c r="T881">
        <f>IF(C881,(H881*N881*IF(AND(Inputs!$B$38&lt;&gt;"pvp",Inputs!$B$43&gt;0),((Skills!G8*((R881-1)*IF(Skills!H8&gt;0,Skills!I8/Skills!H8,1)+IF(Skills!H8&gt;0,MIN(Skills!I8,MAX(0,MAX(0,Inputs!$B$43-B907)-((R881-1)*IF(Inputs!$B$38="pvp",15,MAX(0.1,Skills!D8-IF(Skills!E8=TRUE,Inputs!$B$32,0))))))/Skills!H8,1)))/Inputs!$B$43),G881*Q881))*IF(Inputs!$B$38="pvp",1,1+(Inputs!$B$20+0+Skills!P8)/100),0)</f>
        <v/>
      </c>
      <c r="V881">
        <f>IF(C881,(H881*N881*IF(AND(Inputs!$B$38&lt;&gt;"pvp",Inputs!$B$43&gt;0),((Skills!G8*((R881-1)*IF(Skills!H8&gt;0,Skills!I8/Skills!H8,1)+IF(Skills!H8&gt;0,MIN(Skills!I8,MAX(0,MAX(0,Inputs!$B$43-B907)-((R881-1)*IF(Inputs!$B$38="pvp",15,MAX(0.1,Skills!D8-IF(Skills!E8=TRUE,Inputs!$B$32,0))))))/Skills!H8,1)))/Inputs!$B$43),G881*Q881))*IF(Inputs!$B$38="pvp",1,(1+(Inputs!$B$21+Skills!Q8)/100)*(MIN(Skills!R8,Inputs!$B$37))),0)</f>
        <v/>
      </c>
    </row>
    <row r="882">
      <c r="A882">
        <f>Skills!A9</f>
        <v/>
      </c>
      <c r="B882">
        <f>Skills!B9</f>
        <v/>
      </c>
      <c r="C882">
        <f>Inputs!$B$3&gt;=125</f>
        <v/>
      </c>
      <c r="D882">
        <f>IF(Skills!C9=1,60+Inputs!$B$25+Inputs!$B$29,IF(Skills!C9=2,90+Inputs!$B$26+Inputs!$B$29,IF(Skills!C9=3,120+Inputs!$B$27+Inputs!$B$29,MAX(0,(Inputs!$B$3-100)*3)+Inputs!$B$28+Inputs!$B$29)))</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(((Inputs!$B$6+1)*(1+Inputs!$B$7/100))+(((Inputs!$B$12*(1+Inputs!$B$13/100))-(Inputs!$B$12*(1+Inputs!$B$13/100)))+0.25*(Inputs!$B$14-Inputs!$B$14))*(1+Inputs!$B$7/100))*(F882/100)</f>
        <v/>
      </c>
      <c r="K882">
        <f>J882*(1+((Inputs!$B$12*(1+Inputs!$B$13/100))*0.01+Inputs!$B$14*0.0025)/100)*(1+Inputs!$B$15/100)*(1+Inputs!$B$16/100)*(5000/(6000+Inputs!$B$42*(1-(Inputs!$B$19+0)/100)))*(1+(Inputs!$B$24+0+B906)/100)*(1+(IF(Skills!A9="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882)</f>
        <v/>
      </c>
      <c r="L882">
        <f>K882*(MIN(Inputs!$B$22+((C895=TRUE)*(F895-Calc!F22)),Inputs!$B$23+((C897=TRUE)*(F897-Calc!F24)))/100+(Inputs!$B$23+((C897=TRUE)*(F897-Calc!F24)))/100)/2</f>
        <v/>
      </c>
      <c r="M882">
        <f>L882*(1+(Inputs!$B$10+0+B905)/100)</f>
        <v/>
      </c>
      <c r="N882">
        <f>L882*(1-MIN((Inputs!$B$9+0+B900),100)/100)+M882*(MIN((Inputs!$B$9+0+B900),100)/100)</f>
        <v/>
      </c>
      <c r="O882">
        <f>(1-Summary!$B$55)*T882+Summary!$B$55*V882</f>
        <v/>
      </c>
      <c r="P882">
        <f>IF(B910=0,0,O882/B910)</f>
        <v/>
      </c>
      <c r="Q882">
        <f>IFERROR(1/IF(Inputs!$B$38="pvp",15,MAX(0.1,Skills!D9-IF(Skills!E9=TRUE,Inputs!$B$32,0))),0)</f>
        <v/>
      </c>
      <c r="R882">
        <f>IF(AND(Inputs!$B$38&lt;&gt;"pvp",Inputs!$B$43&gt;0),IF(MAX(0,Inputs!$B$43-B907)&lt;=0,0,(INT(MAX(0,Inputs!$B$43-B907)/IF(Inputs!$B$38="pvp",15,MAX(0.1,Skills!D9-IF(Skills!E9=TRUE,Inputs!$B$32,0))))+1)),0)</f>
        <v/>
      </c>
      <c r="S882">
        <f>IFERROR(O882/N882,0)</f>
        <v/>
      </c>
      <c r="T882">
        <f>IF(C882,(H882*N882*IF(AND(Inputs!$B$38&lt;&gt;"pvp",Inputs!$B$43&gt;0),((Skills!G9*((R882-1)*IF(Skills!H9&gt;0,Skills!I9/Skills!H9,1)+IF(Skills!H9&gt;0,MIN(Skills!I9,MAX(0,MAX(0,Inputs!$B$43-B907)-((R882-1)*IF(Inputs!$B$38="pvp",15,MAX(0.1,Skills!D9-IF(Skills!E9=TRUE,Inputs!$B$32,0))))))/Skills!H9,1)))/Inputs!$B$43),G882*Q882))*IF(Inputs!$B$38="pvp",1,1+(Inputs!$B$20+0+Skills!P9)/100),0)</f>
        <v/>
      </c>
      <c r="V882">
        <f>IF(C882,(H882*N882*IF(AND(Inputs!$B$38&lt;&gt;"pvp",Inputs!$B$43&gt;0),((Skills!G9*((R882-1)*IF(Skills!H9&gt;0,Skills!I9/Skills!H9,1)+IF(Skills!H9&gt;0,MIN(Skills!I9,MAX(0,MAX(0,Inputs!$B$43-B907)-((R882-1)*IF(Inputs!$B$38="pvp",15,MAX(0.1,Skills!D9-IF(Skills!E9=TRUE,Inputs!$B$32,0))))))/Skills!H9,1)))/Inputs!$B$43),G882*Q882))*IF(Inputs!$B$38="pvp",1,(1+(Inputs!$B$21+Skills!Q9)/100)*(MIN(Skills!R9,Inputs!$B$37))),0)</f>
        <v/>
      </c>
    </row>
    <row r="883">
      <c r="A883">
        <f>Skills!A10</f>
        <v/>
      </c>
      <c r="B883">
        <f>Skills!B10</f>
        <v/>
      </c>
      <c r="C883">
        <f>Inputs!$B$3&gt;=117</f>
        <v/>
      </c>
      <c r="D883">
        <f>IF(Skills!C10=1,60+Inputs!$B$25+Inputs!$B$29,IF(Skills!C10=2,90+Inputs!$B$26+Inputs!$B$29,IF(Skills!C10=3,120+Inputs!$B$27+Inputs!$B$29,MAX(0,(Inputs!$B$3-100)*3)+Inputs!$B$28+Inputs!$B$29)))</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(((Inputs!$B$6+1)*(1+Inputs!$B$7/100))+(((Inputs!$B$12*(1+Inputs!$B$13/100))-(Inputs!$B$12*(1+Inputs!$B$13/100)))+0.25*(Inputs!$B$14-Inputs!$B$14))*(1+Inputs!$B$7/100))*(F883/100)</f>
        <v/>
      </c>
      <c r="K883">
        <f>J883*(1+((Inputs!$B$12*(1+Inputs!$B$13/100))*0.01+Inputs!$B$14*0.0025)/100)*(1+Inputs!$B$15/100)*(1+Inputs!$B$16/100)*(5000/(6000+Inputs!$B$42*(1-(Inputs!$B$19+0)/100)))*(1+(Inputs!$B$24+0+B906)/100)*(1+(IF(Skills!A10="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883)</f>
        <v/>
      </c>
      <c r="L883">
        <f>K883*(MIN(Inputs!$B$22+((C895=TRUE)*(F895-Calc!F22)),Inputs!$B$23+((C897=TRUE)*(F897-Calc!F24)))/100+(Inputs!$B$23+((C897=TRUE)*(F897-Calc!F24)))/100)/2</f>
        <v/>
      </c>
      <c r="M883">
        <f>L883*(1+(Inputs!$B$10+0+B905)/100)</f>
        <v/>
      </c>
      <c r="N883">
        <f>L883*(1-MIN((Inputs!$B$9+0+B900),100)/100)+M883*(MIN((Inputs!$B$9+0+B900),100)/100)</f>
        <v/>
      </c>
      <c r="O883">
        <f>(1-Summary!$B$55)*T883+Summary!$B$55*V883</f>
        <v/>
      </c>
      <c r="P883">
        <f>IF(B910=0,0,O883/B910)</f>
        <v/>
      </c>
      <c r="Q883">
        <f>IFERROR(1/IF(Inputs!$B$38="pvp",15,MAX(0.1,Skills!D10-IF(Skills!E10=TRUE,Inputs!$B$32,0))),0)</f>
        <v/>
      </c>
      <c r="R883">
        <f>IF(AND(Inputs!$B$38&lt;&gt;"pvp",Inputs!$B$43&gt;0),IF(MAX(0,Inputs!$B$43-B907)&lt;=0,0,(INT(MAX(0,Inputs!$B$43-B907)/IF(Inputs!$B$38="pvp",15,MAX(0.1,Skills!D10-IF(Skills!E10=TRUE,Inputs!$B$32,0))))+1)),0)</f>
        <v/>
      </c>
      <c r="S883">
        <f>IFERROR(O883/N883,0)</f>
        <v/>
      </c>
      <c r="T883">
        <f>IF(C883,(H883*N883*IF(AND(Inputs!$B$38&lt;&gt;"pvp",Inputs!$B$43&gt;0),((Skills!G10*((R883-1)*IF(Skills!H10&gt;0,Skills!I10/Skills!H10,1)+IF(Skills!H10&gt;0,MIN(Skills!I10,MAX(0,MAX(0,Inputs!$B$43-B907)-((R883-1)*IF(Inputs!$B$38="pvp",15,MAX(0.1,Skills!D10-IF(Skills!E10=TRUE,Inputs!$B$32,0))))))/Skills!H10,1)))/Inputs!$B$43),G883*Q883))*IF(Inputs!$B$38="pvp",1,1+(Inputs!$B$20+0+Skills!P10)/100),0)</f>
        <v/>
      </c>
      <c r="V883">
        <f>IF(C883,(H883*N883*IF(AND(Inputs!$B$38&lt;&gt;"pvp",Inputs!$B$43&gt;0),((Skills!G10*((R883-1)*IF(Skills!H10&gt;0,Skills!I10/Skills!H10,1)+IF(Skills!H10&gt;0,MIN(Skills!I10,MAX(0,MAX(0,Inputs!$B$43-B907)-((R883-1)*IF(Inputs!$B$38="pvp",15,MAX(0.1,Skills!D10-IF(Skills!E10=TRUE,Inputs!$B$32,0))))))/Skills!H10,1)))/Inputs!$B$43),G883*Q883))*IF(Inputs!$B$38="pvp",1,(1+(Inputs!$B$21+Skills!Q10)/100)*(MIN(Skills!R10,Inputs!$B$37))),0)</f>
        <v/>
      </c>
    </row>
    <row r="884">
      <c r="A884">
        <f>Skills!A11</f>
        <v/>
      </c>
      <c r="B884">
        <f>Skills!B11</f>
        <v/>
      </c>
      <c r="C884">
        <f>Inputs!$B$3&gt;=63</f>
        <v/>
      </c>
      <c r="D884">
        <f>IF(Skills!C11=1,60+Inputs!$B$25+Inputs!$B$29,IF(Skills!C11=2,90+Inputs!$B$26+Inputs!$B$29,IF(Skills!C11=3,120+Inputs!$B$27+Inputs!$B$29,MAX(0,(Inputs!$B$3-100)*3)+Inputs!$B$28+Inputs!$B$29)))</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(((Inputs!$B$6+1)*(1+Inputs!$B$7/100))+(((Inputs!$B$12*(1+Inputs!$B$13/100))-(Inputs!$B$12*(1+Inputs!$B$13/100)))+0.25*(Inputs!$B$14-Inputs!$B$14))*(1+Inputs!$B$7/100))*(F884/100)</f>
        <v/>
      </c>
      <c r="K884">
        <f>J884*(1+((Inputs!$B$12*(1+Inputs!$B$13/100))*0.01+Inputs!$B$14*0.0025)/100)*(1+Inputs!$B$15/100)*(1+Inputs!$B$16/100)*(5000/(6000+Inputs!$B$42*(1-(Inputs!$B$19+0)/100)))*(1+(Inputs!$B$24+0+B906)/100)*(1+1.5*IF(C885=TRUE,F885,0)/100)*(1+(IF(Skills!A11="BLAST",Inputs!$B$17+((C894=TRUE)*(F894-Calc!F21)),Inputs!$B$18+((C896=TRUE)*(F896-Calc!F23))))/100)*((1+(((C886=TRUE)*F886*MIN(1,Skills!T13*(Skills!J13/100)*B904))+((C891=TRUE)*F891*IF(AND(Inputs!$B$38&lt;&gt;"pvp",Inputs!$B$43&gt;0),(((R891-1)*(Skills!T18*(1+Inputs!$B$34/100))+MIN((Skills!T18*(1+Inputs!$B$34/100)),MAX(0,Inputs!$B$43-((R891-1)*Skills!D18))))/Inputs!$B$43),IF(Inputs!$B$38="pvp",MIN((Skills!T18*(1+Inputs!$B$34/100)),15)/15,(Skills!T18*(1+Inputs!$B$34/100))/Skills!D18)))+0)/100)*I884)</f>
        <v/>
      </c>
      <c r="L884">
        <f>K884*(MIN(Inputs!$B$22+((C895=TRUE)*(F895-Calc!F22)),Inputs!$B$23+((C897=TRUE)*(F897-Calc!F24)))/100+(Inputs!$B$23+((C897=TRUE)*(F897-Calc!F24)))/100)/2</f>
        <v/>
      </c>
      <c r="M884">
        <f>L884*(1+(Inputs!$B$10+0+B905)/100)</f>
        <v/>
      </c>
      <c r="N884">
        <f>L884*(1-MIN((Inputs!$B$9+0+B900),100)/100)+M884*(MIN((Inputs!$B$9+0+B900),100)/100)</f>
        <v/>
      </c>
      <c r="O884">
        <f>(1-Summary!$B$55)*T884+Summary!$B$55*V884</f>
        <v/>
      </c>
      <c r="P884">
        <f>IF(B910=0,0,O884/B910)</f>
        <v/>
      </c>
      <c r="Q884">
        <f>IFERROR(1/IF(Inputs!$B$38="pvp",15,MAX(0.1,Skills!D11-IF(Skills!E11=TRUE,Inputs!$B$32,0))),0)</f>
        <v/>
      </c>
      <c r="R884">
        <f>IF(AND(Inputs!$B$38&lt;&gt;"pvp",Inputs!$B$43&gt;0),IF(MAX(0,Inputs!$B$43-B907)&lt;=0,0,(INT(MAX(0,Inputs!$B$43-B907)/IF(Inputs!$B$38="pvp",15,MAX(0.1,Skills!D11-IF(Skills!E11=TRUE,Inputs!$B$32,0))))+1)),0)</f>
        <v/>
      </c>
      <c r="S884">
        <f>IFERROR(O884/N884,0)</f>
        <v/>
      </c>
      <c r="T884">
        <f>IF(C884,(H884*N884*IF(AND(Inputs!$B$38&lt;&gt;"pvp",Inputs!$B$43&gt;0),((Skills!G11*((R884-1)*IF(Skills!H11&gt;0,Skills!I11/Skills!H11,1)+IF(Skills!H11&gt;0,MIN(Skills!I11,MAX(0,MAX(0,Inputs!$B$43-B907)-((R884-1)*IF(Inputs!$B$38="pvp",15,MAX(0.1,Skills!D11-IF(Skills!E11=TRUE,Inputs!$B$32,0))))))/Skills!H11,1)))/Inputs!$B$43),G884*Q884))*IF(Inputs!$B$38="pvp",1,1+(Inputs!$B$20+0+Skills!P11)/100),0)</f>
        <v/>
      </c>
      <c r="V884">
        <f>IF(C884,(H884*N884*IF(AND(Inputs!$B$38&lt;&gt;"pvp",Inputs!$B$43&gt;0),((Skills!G11*((R884-1)*IF(Skills!H11&gt;0,Skills!I11/Skills!H11,1)+IF(Skills!H11&gt;0,MIN(Skills!I11,MAX(0,MAX(0,Inputs!$B$43-B907)-((R884-1)*IF(Inputs!$B$38="pvp",15,MAX(0.1,Skills!D11-IF(Skills!E11=TRUE,Inputs!$B$32,0))))))/Skills!H11,1)))/Inputs!$B$43),G884*Q884))*IF(Inputs!$B$38="pvp",1,(1+(Inputs!$B$21+Skills!Q11)/100)*(MIN(Skills!R11,Inputs!$B$37))),0)</f>
        <v/>
      </c>
    </row>
    <row r="885">
      <c r="A885">
        <f>Skills!A12</f>
        <v/>
      </c>
      <c r="B885">
        <f>Skills!B12</f>
        <v/>
      </c>
      <c r="C885">
        <f>Inputs!$B$3&gt;=100</f>
        <v/>
      </c>
      <c r="D885">
        <f>IF(Skills!C12=1,60+Inputs!$B$25+Inputs!$B$29,IF(Skills!C12=2,90+Inputs!$B$26+Inputs!$B$29,IF(Skills!C12=3,120+Inputs!$B$27+Inputs!$B$29,MAX(0,(Inputs!$B$3-100)*3)+Inputs!$B$28+Inputs!$B$29)))</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IF(Skills!C13=1,60+Inputs!$B$25+Inputs!$B$29,IF(Skills!C13=2,90+Inputs!$B$26+Inputs!$B$29,IF(Skills!C13=3,120+Inputs!$B$27+Inputs!$B$29,MAX(0,(Inputs!$B$3-100)*3)+Inputs!$B$28+Inputs!$B$29)))</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f>(1-Summary!$B$55)*T886+Summary!$B$55*V886</f>
        <v/>
      </c>
      <c r="P886">
        <f>IF(B910=0,0,O886/B910)</f>
        <v/>
      </c>
      <c r="Q886" t="n">
        <v>0</v>
      </c>
      <c r="R886" t="n">
        <v>0</v>
      </c>
      <c r="S886">
        <f>IFERROR(O886/N886,0)</f>
        <v/>
      </c>
      <c r="T886" t="n">
        <v>0</v>
      </c>
      <c r="V886" t="n">
        <v>0</v>
      </c>
    </row>
    <row r="887">
      <c r="A887">
        <f>Skills!A14</f>
        <v/>
      </c>
      <c r="B887">
        <f>Skills!B14</f>
        <v/>
      </c>
      <c r="C887">
        <f>Inputs!$B$3&gt;=110</f>
        <v/>
      </c>
      <c r="D887">
        <f>IF(Skills!C14=1,60+Inputs!$B$25+Inputs!$B$29,IF(Skills!C14=2,90+Inputs!$B$26+Inputs!$B$29,IF(Skills!C14=3,120+Inputs!$B$27+Inputs!$B$29,MAX(0,(Inputs!$B$3-100)*3)+Inputs!$B$28+Inputs!$B$29)))</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f>(1-Summary!$B$55)*T887+Summary!$B$55*V887</f>
        <v/>
      </c>
      <c r="P887">
        <f>IF(B910=0,0,O887/B910)</f>
        <v/>
      </c>
      <c r="Q887" t="n">
        <v>0</v>
      </c>
      <c r="R887" t="n">
        <v>0</v>
      </c>
      <c r="S887">
        <f>IFERROR(O887/N887,0)</f>
        <v/>
      </c>
      <c r="T887" t="n">
        <v>0</v>
      </c>
      <c r="V887" t="n">
        <v>0</v>
      </c>
    </row>
    <row r="888">
      <c r="A888">
        <f>Skills!A15</f>
        <v/>
      </c>
      <c r="B888">
        <f>Skills!B15</f>
        <v/>
      </c>
      <c r="C888">
        <f>Inputs!$B$3&gt;=75</f>
        <v/>
      </c>
      <c r="D888">
        <f>IF(Skills!C15=1,60+Inputs!$B$25+Inputs!$B$29,IF(Skills!C15=2,90+Inputs!$B$26+Inputs!$B$29,IF(Skills!C15=3,120+Inputs!$B$27+Inputs!$B$29,MAX(0,(Inputs!$B$3-100)*3)+Inputs!$B$28+Inputs!$B$29)))</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f>(1-Summary!$B$55)*T888+Summary!$B$55*V888</f>
        <v/>
      </c>
      <c r="P888">
        <f>IF(B910=0,0,O888/B910)</f>
        <v/>
      </c>
      <c r="Q888">
        <f>IFERROR(1/IF(Inputs!$B$38="pvp",15,MAX(0.1,Skills!D15-IF(Skills!E15=TRUE,Inputs!$B$32,0))),0)</f>
        <v/>
      </c>
      <c r="R888">
        <f>IF(AND(Inputs!$B$38&lt;&gt;"pvp",Inputs!$B$43&gt;0),IF(Inputs!$B$43&lt;=0,0,(INT(Inputs!$B$43/IF(Inputs!$B$38="pvp",15,MAX(0.1,Skills!D15-IF(Skills!E15=TRUE,Inputs!$B$32,0))))+1)),0)</f>
        <v/>
      </c>
      <c r="S888">
        <f>IFERROR(O888/N888,0)</f>
        <v/>
      </c>
      <c r="T888" t="n">
        <v>0</v>
      </c>
      <c r="V888" t="n">
        <v>0</v>
      </c>
    </row>
    <row r="889">
      <c r="A889">
        <f>Skills!A16</f>
        <v/>
      </c>
      <c r="B889">
        <f>Skills!B16</f>
        <v/>
      </c>
      <c r="C889">
        <f>Inputs!$B$3&gt;=105</f>
        <v/>
      </c>
      <c r="D889">
        <f>IF(Skills!C16=1,60+Inputs!$B$25+Inputs!$B$29,IF(Skills!C16=2,90+Inputs!$B$26+Inputs!$B$29,IF(Skills!C16=3,120+Inputs!$B$27+Inputs!$B$29,MAX(0,(Inputs!$B$3-100)*3)+Inputs!$B$28+Inputs!$B$29)))</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f>(1-Summary!$B$55)*T889+Summary!$B$55*V889</f>
        <v/>
      </c>
      <c r="P889">
        <f>IF(B910=0,0,O889/B910)</f>
        <v/>
      </c>
      <c r="Q889">
        <f>IFERROR(1/IF(Inputs!$B$38="pvp",15,MAX(0.1,Skills!D16-IF(Skills!E16=TRUE,Inputs!$B$32,0))),0)</f>
        <v/>
      </c>
      <c r="R889">
        <f>IF(AND(Inputs!$B$38&lt;&gt;"pvp",Inputs!$B$43&gt;0),IF(Inputs!$B$43&lt;=0,0,(INT(Inputs!$B$43/IF(Inputs!$B$38="pvp",15,MAX(0.1,Skills!D16-IF(Skills!E16=TRUE,Inputs!$B$32,0))))+1)),0)</f>
        <v/>
      </c>
      <c r="S889">
        <f>IFERROR(O889/N889,0)</f>
        <v/>
      </c>
      <c r="T889" t="n">
        <v>0</v>
      </c>
      <c r="V889" t="n">
        <v>0</v>
      </c>
    </row>
    <row r="890">
      <c r="A890">
        <f>Skills!A17</f>
        <v/>
      </c>
      <c r="B890">
        <f>Skills!B17</f>
        <v/>
      </c>
      <c r="C890">
        <f>Inputs!$B$3&gt;=115</f>
        <v/>
      </c>
      <c r="D890">
        <f>IF(Skills!C17=1,60+Inputs!$B$25+Inputs!$B$29,IF(Skills!C17=2,90+Inputs!$B$26+Inputs!$B$29,IF(Skills!C17=3,120+Inputs!$B$27+Inputs!$B$29,MAX(0,(Inputs!$B$3-100)*3)+Inputs!$B$28+Inputs!$B$29)))</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f>(1-Summary!$B$55)*T890+Summary!$B$55*V890</f>
        <v/>
      </c>
      <c r="P890">
        <f>IF(B910=0,0,O890/B910)</f>
        <v/>
      </c>
      <c r="Q890">
        <f>IFERROR(1/IF(Inputs!$B$38="pvp",15,MAX(0.1,Skills!D17-IF(Skills!E17=TRUE,Inputs!$B$32,0))),0)</f>
        <v/>
      </c>
      <c r="R890">
        <f>IF(AND(Inputs!$B$38&lt;&gt;"pvp",Inputs!$B$43&gt;0),IF(Inputs!$B$43&lt;=0,0,(INT(Inputs!$B$43/IF(Inputs!$B$38="pvp",15,MAX(0.1,Skills!D17-IF(Skills!E17=TRUE,Inputs!$B$32,0))))+1)),0)</f>
        <v/>
      </c>
      <c r="S890">
        <f>IFERROR(O890/N890,0)</f>
        <v/>
      </c>
      <c r="T890" t="n">
        <v>0</v>
      </c>
      <c r="V890" t="n">
        <v>0</v>
      </c>
    </row>
    <row r="891">
      <c r="A891">
        <f>Skills!A18</f>
        <v/>
      </c>
      <c r="B891">
        <f>Skills!B18</f>
        <v/>
      </c>
      <c r="C891">
        <f>Inputs!$B$3&gt;=74</f>
        <v/>
      </c>
      <c r="D891">
        <f>IF(Skills!C18=1,60+Inputs!$B$25+Inputs!$B$29,IF(Skills!C18=2,90+Inputs!$B$26+Inputs!$B$29,IF(Skills!C18=3,120+Inputs!$B$27+Inputs!$B$29,MAX(0,(Inputs!$B$3-100)*3)+Inputs!$B$28+Inputs!$B$29)))</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f>(1-Summary!$B$55)*T891+Summary!$B$55*V891</f>
        <v/>
      </c>
      <c r="P891">
        <f>IF(B910=0,0,O891/B910)</f>
        <v/>
      </c>
      <c r="Q891">
        <f>IFERROR(1/IF(Inputs!$B$38="pvp",15,MAX(0.1,Skills!D18-IF(Skills!E18=TRUE,Inputs!$B$32,0))),0)</f>
        <v/>
      </c>
      <c r="R891">
        <f>IF(AND(Inputs!$B$38&lt;&gt;"pvp",Inputs!$B$43&gt;0),IF(Inputs!$B$43&lt;=0,0,(INT(Inputs!$B$43/IF(Inputs!$B$38="pvp",15,MAX(0.1,Skills!D18-IF(Skills!E18=TRUE,Inputs!$B$32,0))))+1)),0)</f>
        <v/>
      </c>
      <c r="S891">
        <f>IFERROR(O891/N891,0)</f>
        <v/>
      </c>
      <c r="T891" t="n">
        <v>0</v>
      </c>
      <c r="V891" t="n">
        <v>0</v>
      </c>
    </row>
    <row r="892">
      <c r="A892">
        <f>Skills!A19</f>
        <v/>
      </c>
      <c r="B892">
        <f>Skills!B19</f>
        <v/>
      </c>
      <c r="C892">
        <f>TRUE</f>
        <v/>
      </c>
      <c r="D892">
        <f>IF(Skills!C19=1,60+Inputs!$B$25+Inputs!$B$29,IF(Skills!C19=2,90+Inputs!$B$26+Inputs!$B$29,IF(Skills!C19=3,120+Inputs!$B$27+Inputs!$B$29,MAX(0,(Inputs!$B$3-100)*3)+Inputs!$B$28+Inputs!$B$29)))</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f>(1-Summary!$B$55)*T892+Summary!$B$55*V892</f>
        <v/>
      </c>
      <c r="P892">
        <f>IF(B910=0,0,O892/B910)</f>
        <v/>
      </c>
      <c r="Q892">
        <f>IFERROR(1/IF(Inputs!$B$38="pvp",15,MAX(0.1,Skills!D19-IF(Skills!E19=TRUE,Inputs!$B$32,0))),0)</f>
        <v/>
      </c>
      <c r="R892">
        <f>IF(AND(Inputs!$B$38&lt;&gt;"pvp",Inputs!$B$43&gt;0),IF(Inputs!$B$43&lt;=0,0,(INT(Inputs!$B$43/IF(Inputs!$B$38="pvp",15,MAX(0.1,Skills!D19-IF(Skills!E19=TRUE,Inputs!$B$32,0))))+1)),0)</f>
        <v/>
      </c>
      <c r="S892">
        <f>IFERROR(O892/N892,0)</f>
        <v/>
      </c>
      <c r="T892" t="n">
        <v>0</v>
      </c>
      <c r="V892" t="n">
        <v>0</v>
      </c>
    </row>
    <row r="893">
      <c r="A893">
        <f>Skills!A20</f>
        <v/>
      </c>
      <c r="B893">
        <f>Skills!B20</f>
        <v/>
      </c>
      <c r="C893">
        <f>Inputs!$B$3&gt;=33</f>
        <v/>
      </c>
      <c r="D893">
        <f>IF(Skills!C20=1,60+Inputs!$B$25+Inputs!$B$29,IF(Skills!C20=2,90+Inputs!$B$26+Inputs!$B$29,IF(Skills!C20=3,120+Inputs!$B$27+Inputs!$B$29,MAX(0,(Inputs!$B$3-100)*3)+Inputs!$B$28+Inputs!$B$29)))</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f>(1-Summary!$B$55)*T893+Summary!$B$55*V893</f>
        <v/>
      </c>
      <c r="P893">
        <f>IF(B910=0,0,O893/B910)</f>
        <v/>
      </c>
      <c r="Q893" t="n">
        <v>0</v>
      </c>
      <c r="R893" t="n">
        <v>0</v>
      </c>
      <c r="S893">
        <f>IFERROR(O893/N893,0)</f>
        <v/>
      </c>
      <c r="T893" t="n">
        <v>0</v>
      </c>
      <c r="V893" t="n">
        <v>0</v>
      </c>
    </row>
    <row r="894">
      <c r="A894">
        <f>Skills!A21</f>
        <v/>
      </c>
      <c r="B894">
        <f>Skills!B21</f>
        <v/>
      </c>
      <c r="C894">
        <f>Inputs!$B$3&gt;=38</f>
        <v/>
      </c>
      <c r="D894">
        <f>IF(Skills!C21=1,60+Inputs!$B$25+Inputs!$B$29,IF(Skills!C21=2,90+Inputs!$B$26+Inputs!$B$29,IF(Skills!C21=3,120+Inputs!$B$27+Inputs!$B$29,MAX(0,(Inputs!$B$3-100)*3)+Inputs!$B$28+Inputs!$B$29)))</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f>(1-Summary!$B$55)*T894+Summary!$B$55*V894</f>
        <v/>
      </c>
      <c r="P894">
        <f>IF(B910=0,0,O894/B910)</f>
        <v/>
      </c>
      <c r="Q894" t="n">
        <v>0</v>
      </c>
      <c r="R894" t="n">
        <v>0</v>
      </c>
      <c r="S894">
        <f>IFERROR(O894/N894,0)</f>
        <v/>
      </c>
      <c r="T894" t="n">
        <v>0</v>
      </c>
      <c r="V894" t="n">
        <v>0</v>
      </c>
    </row>
    <row r="895">
      <c r="A895">
        <f>Skills!A22</f>
        <v/>
      </c>
      <c r="B895">
        <f>Skills!B22</f>
        <v/>
      </c>
      <c r="C895">
        <f>Inputs!$B$3&gt;=43</f>
        <v/>
      </c>
      <c r="D895">
        <f>IF(Skills!C22=1,60+Inputs!$B$25+Inputs!$B$29,IF(Skills!C22=2,90+Inputs!$B$26+Inputs!$B$29,IF(Skills!C22=3,120+Inputs!$B$27+Inputs!$B$29,MAX(0,(Inputs!$B$3-100)*3)+Inputs!$B$28+Inputs!$B$29)))</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f>(1-Summary!$B$55)*T895+Summary!$B$55*V895</f>
        <v/>
      </c>
      <c r="P895">
        <f>IF(B910=0,0,O895/B910)</f>
        <v/>
      </c>
      <c r="Q895" t="n">
        <v>0</v>
      </c>
      <c r="R895" t="n">
        <v>0</v>
      </c>
      <c r="S895">
        <f>IFERROR(O895/N895,0)</f>
        <v/>
      </c>
      <c r="T895" t="n">
        <v>0</v>
      </c>
      <c r="V895" t="n">
        <v>0</v>
      </c>
    </row>
    <row r="896">
      <c r="A896">
        <f>Skills!A23</f>
        <v/>
      </c>
      <c r="B896">
        <f>Skills!B23</f>
        <v/>
      </c>
      <c r="C896">
        <f>Inputs!$B$3&gt;=120</f>
        <v/>
      </c>
      <c r="D896">
        <f>IF(Skills!C23=1,60+Inputs!$B$25+Inputs!$B$29,IF(Skills!C23=2,90+Inputs!$B$26+Inputs!$B$29,IF(Skills!C23=3,120+Inputs!$B$27+Inputs!$B$29,MAX(0,(Inputs!$B$3-100)*3)+Inputs!$B$28+Inputs!$B$29)))</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f>(1-Summary!$B$55)*T896+Summary!$B$55*V896</f>
        <v/>
      </c>
      <c r="P896">
        <f>IF(B910=0,0,O896/B910)</f>
        <v/>
      </c>
      <c r="Q896" t="n">
        <v>0</v>
      </c>
      <c r="R896" t="n">
        <v>0</v>
      </c>
      <c r="S896">
        <f>IFERROR(O896/N896,0)</f>
        <v/>
      </c>
      <c r="T896" t="n">
        <v>0</v>
      </c>
      <c r="V896" t="n">
        <v>0</v>
      </c>
    </row>
    <row r="897">
      <c r="A897">
        <f>Skills!A24</f>
        <v/>
      </c>
      <c r="B897">
        <f>Skills!B24</f>
        <v/>
      </c>
      <c r="C897">
        <f>Inputs!$B$3&gt;=120</f>
        <v/>
      </c>
      <c r="D897">
        <f>IF(Skills!C24=1,60+Inputs!$B$25+Inputs!$B$29,IF(Skills!C24=2,90+Inputs!$B$26+Inputs!$B$29,IF(Skills!C24=3,120+Inputs!$B$27+Inputs!$B$29,MAX(0,(Inputs!$B$3-100)*3)+Inputs!$B$28+Inputs!$B$29)))</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f>(1-Summary!$B$55)*T897+Summary!$B$55*V897</f>
        <v/>
      </c>
      <c r="P897">
        <f>IF(B910=0,0,O897/B910)</f>
        <v/>
      </c>
      <c r="Q897" t="n">
        <v>0</v>
      </c>
      <c r="R897" t="n">
        <v>0</v>
      </c>
      <c r="S897">
        <f>IFERROR(O897/N897,0)</f>
        <v/>
      </c>
      <c r="T897" t="n">
        <v>0</v>
      </c>
      <c r="V897" t="n">
        <v>0</v>
      </c>
    </row>
    <row r="899">
      <c r="A899" t="inlineStr">
        <is>
          <t>Attack% Bucket Multiplier</t>
        </is>
      </c>
      <c r="B899">
        <f>(1+(((C886=TRUE)*F886*MIN(1,Skills!T13*(Skills!J13/100)*B904))+((C891=TRUE)*F891*IF(AND(Inputs!$B$38&lt;&gt;"pvp",Inputs!$B$43&gt;0),(((R891-1)*(Skills!T18*(1+Inputs!$B$34/100))+MIN((Skills!T18*(1+Inputs!$B$34/100)),MAX(0,Inputs!$B$43-((R891-1)*Skills!D18))))/Inputs!$B$43),IF(Inputs!$B$38="pvp",MIN((Skills!T18*(1+Inputs!$B$34/100)),15)/15,(Skills!T18*(1+Inputs!$B$34/100))/Skills!D18)))+0)/100)</f>
        <v/>
      </c>
    </row>
    <row r="900">
      <c r="A900" t="inlineStr">
        <is>
          <t>Global Crit Rate Bonus %</t>
        </is>
      </c>
      <c r="B900" t="n">
        <v>0</v>
      </c>
    </row>
    <row r="901">
      <c r="A901" t="inlineStr">
        <is>
          <t>Attack Speed Buff Bonus %</t>
        </is>
      </c>
      <c r="B901">
        <f>((C892=TRUE)*F892*IF(AND(Inputs!$B$38&lt;&gt;"pvp",Inputs!$B$43&gt;0),(((R892-1)*(Skills!T19*(1+Inputs!$B$34/100))+MIN((Skills!T19*(1+Inputs!$B$34/100)),MAX(0,Inputs!$B$43-((R892-1)*Skills!D19))))/Inputs!$B$43),IF(Inputs!$B$38="pvp",MIN((Skills!T19*(1+Inputs!$B$34/100)),15)/15,(Skills!T19*(1+Inputs!$B$34/100))/Skills!D19)))</f>
        <v/>
      </c>
    </row>
    <row r="902">
      <c r="A902" t="inlineStr">
        <is>
          <t>Actions Per Second</t>
        </is>
      </c>
      <c r="B902">
        <f>1+MIN(150,150*(1-(1-(Inputs!$B$11+((C893=TRUE)*(F893-Calc!F20)))/150)*(1-B901/150)))/100</f>
        <v/>
      </c>
    </row>
    <row r="903">
      <c r="A903" t="inlineStr">
        <is>
          <t>Skill + Buff Cast Rate</t>
        </is>
      </c>
      <c r="B903">
        <f>IF(AND(Inputs!$B$38&lt;&gt;"pvp",Inputs!$B$43&gt;0),SUMPRODUCT((Skills!E2:E24=TRUE)*(C875:C897=TRUE)*R875:R897*Skills!F2:F24)/Inputs!$B$43,SUMPRODUCT((Skills!E2:E24=TRUE)*(C875:C897=TRUE)*Q875:Q897*Skills!F2:F24))</f>
        <v/>
      </c>
    </row>
    <row r="904">
      <c r="A904" t="inlineStr">
        <is>
          <t>Blast Casts Per Second</t>
        </is>
      </c>
      <c r="B904">
        <f>MAX(0,B902-B903)</f>
        <v/>
      </c>
    </row>
    <row r="905">
      <c r="A905" t="inlineStr">
        <is>
          <t>Global Critical Damage Bonus % (unused)</t>
        </is>
      </c>
      <c r="B905" t="n">
        <v>0</v>
      </c>
    </row>
    <row r="906">
      <c r="A906" t="inlineStr">
        <is>
          <t>Global Final Damage Bonus % (Divine Shield + Guardian + Divine Blessing + Greater Vessel of Light)</t>
        </is>
      </c>
      <c r="B906">
        <f>((C888=TRUE)*F888*IF(AND(Inputs!$B$38&lt;&gt;"pvp",Inputs!$B$43&gt;0),(((R888-1)*(Skills!T15*(1+Inputs!$B$34/100))+MIN((Skills!T15*(1+Inputs!$B$34/100)),MAX(0,Inputs!$B$43-((R888-1)*Skills!D15))))/Inputs!$B$43),IF(Inputs!$B$38="pvp",MIN((Skills!T15*(1+Inputs!$B$34/100)),15)/15,(Skills!T15*(1+Inputs!$B$34/100))/Skills!D15)))+((C889=TRUE)*F889*IF(AND(Inputs!$B$38&lt;&gt;"pvp",Inputs!$B$43&gt;0),(((R889-1)*(Skills!T16*(1+Inputs!$B$34/100))+MIN((Skills!T16*(1+Inputs!$B$34/100)),MAX(0,Inputs!$B$43-((R889-1)*Skills!D16))))/Inputs!$B$43),IF(Inputs!$B$38="pvp",MIN((Skills!T16*(1+Inputs!$B$34/100)),15)/15,(Skills!T16*(1+Inputs!$B$34/100))/Skills!D16)))+((C890=TRUE)*F890*IF(AND(Inputs!$B$38&lt;&gt;"pvp",Inputs!$B$43&gt;0),(((R890-1)*(Skills!T17*(1+Inputs!$B$34/100))+MIN((Skills!T17*(1+Inputs!$B$34/100)),MAX(0,Inputs!$B$43-((R890-1)*Skills!D17))))/Inputs!$B$43),IF(Inputs!$B$38="pvp",MIN((Skills!T17*(1+Inputs!$B$34/100)),15)/15,(Skills!T17*(1+Inputs!$B$34/100))/Skills!D17)))+((C887=TRUE)*F887*MIN(1,Skills!T13*(Skills!J13/100)*B904))</f>
        <v/>
      </c>
    </row>
    <row r="907">
      <c r="A907" t="inlineStr">
        <is>
          <t>Buff-Casting Startup Delay (s, fixed-duration only)</t>
        </is>
      </c>
      <c r="B907">
        <f>IF(AND(Inputs!$B$38&lt;&gt;"pvp",Inputs!$B$43&gt;0),SUMPRODUCT((Skills!T2:T24&gt;0)*(Skills!E2:E24=TRUE)*(C875:C897=TRUE))/B902,0)</f>
        <v/>
      </c>
    </row>
    <row r="908">
      <c r="A908" t="inlineStr">
        <is>
          <t>Boss-Only Total DPS (this block's swept value)</t>
        </is>
      </c>
      <c r="B908">
        <f>SUM(T875:T897)</f>
        <v/>
      </c>
    </row>
    <row r="909">
      <c r="A909" t="inlineStr">
        <is>
          <t>Normal-Only Total DPS (this block's swept value)</t>
        </is>
      </c>
      <c r="B909">
        <f>SUM(V875:V897)</f>
        <v/>
      </c>
    </row>
    <row r="910">
      <c r="A910" s="5" t="inlineStr">
        <is>
          <t>TOTAL DPS</t>
        </is>
      </c>
      <c r="B910" s="5">
        <f>SUM(O875:O897)</f>
        <v/>
      </c>
    </row>
    <row r="913">
      <c r="A913" s="5" t="inlineStr">
        <is>
          <t>Stat: ATTACK %</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((Inputs!$B$6*(1+(Inputs!$B$7+1)/100))+(((Inputs!$B$12*(1+Inputs!$B$13/100))-(Inputs!$B$12*(1+Inputs!$B$13/100)))+0.25*(Inputs!$B$14-Inputs!$B$14))*(1+(Inputs!$B$7+1)/100))*(F915/100)</f>
        <v/>
      </c>
      <c r="K915">
        <f>J915*(1+((Inputs!$B$12*(1+Inputs!$B$13/100))*0.01+Inputs!$B$14*0.0025)/100)*(1+Inputs!$B$15/100)*(1+Inputs!$B$16/100)*(5000/(6000+Inputs!$B$42*(1-(Inputs!$B$19+0)/100)))*(1+(Inputs!$B$24+0+B946)/100)*(1+(IF(Skills!A2="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915)</f>
        <v/>
      </c>
      <c r="L915">
        <f>K915*(MIN(Inputs!$B$22+((C935=TRUE)*(F935-Calc!F22)),Inputs!$B$23+((C937=TRUE)*(F937-Calc!F24)))/100+(Inputs!$B$23+((C937=TRUE)*(F937-Calc!F24)))/100)/2</f>
        <v/>
      </c>
      <c r="M915">
        <f>L915*(1+(Inputs!$B$10+0+B945)/100)</f>
        <v/>
      </c>
      <c r="N915">
        <f>L915*(1-MIN((Inputs!$B$9+0+B940),100)/100)+M915*(MIN((Inputs!$B$9+0+B940),100)/100)</f>
        <v/>
      </c>
      <c r="O915">
        <f>(1-Summary!$B$55)*T915+Summary!$B$55*V915</f>
        <v/>
      </c>
      <c r="P915">
        <f>IF(B950=0,0,O915/B950)</f>
        <v/>
      </c>
      <c r="Q915" t="n">
        <v>0</v>
      </c>
      <c r="R915" t="n">
        <v>0</v>
      </c>
      <c r="S915">
        <f>IFERROR(O915/N915,0)</f>
        <v/>
      </c>
      <c r="T915">
        <f>IF(C915,(Skills!G2*N915*B944)*IF(Inputs!$B$38="pvp",1,1+(Inputs!$B$20+0+Skills!P2)/100),0)</f>
        <v/>
      </c>
      <c r="U915">
        <f>MAX(0,(Inputs!$B$3-100)*3)+Inputs!$B$28+Inputs!$B$29</f>
        <v/>
      </c>
      <c r="V915">
        <f>IF(C915,(Skills!G2*N915*B944)*IF(Inputs!$B$38="pvp",1,(1+(Inputs!$B$21+Skills!Q2)/100)*(MIN((6+Inputs!$B$33),Inputs!$B$37))),0)</f>
        <v/>
      </c>
    </row>
    <row r="916">
      <c r="A916">
        <f>Skills!A3</f>
        <v/>
      </c>
      <c r="B916">
        <f>Skills!B3</f>
        <v/>
      </c>
      <c r="C916">
        <f>Inputs!$B$3&gt;=50</f>
        <v/>
      </c>
      <c r="D916">
        <f>IF(Skills!C3=1,60+Inputs!$B$25+Inputs!$B$29,IF(Skills!C3=2,90+Inputs!$B$26+Inputs!$B$29,IF(Skills!C3=3,120+Inputs!$B$27+Inputs!$B$29,MAX(0,(Inputs!$B$3-100)*3)+Inputs!$B$28+Inputs!$B$29)))</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Inputs!$B$3&gt;=35</f>
        <v/>
      </c>
      <c r="D917">
        <f>IF(Skills!C4=1,60+Inputs!$B$25+Inputs!$B$29,IF(Skills!C4=2,90+Inputs!$B$26+Inputs!$B$29,IF(Skills!C4=3,120+Inputs!$B$27+Inputs!$B$29,MAX(0,(Inputs!$B$3-100)*3)+Inputs!$B$28+Inputs!$B$29)))</f>
        <v/>
      </c>
      <c r="E917">
        <f>INDEX(FactorTable!$B$2:$Y$301, MATCH(ROUND(MIN(300,MAX(1,D917)),0), FactorTable!$A$2:$A$301,0), Skills!M4+1)</f>
        <v/>
      </c>
      <c r="F917">
        <f>IF(Skills!N4=TRUE,(Skills!L4/10)*(E917/1000),Skills!L4/10)+Skills!O4</f>
        <v/>
      </c>
      <c r="G917">
        <f>Skills!G4*IF(Skills!H4&gt;0,Skills!I4/Skills!H4,1)</f>
        <v/>
      </c>
      <c r="H917">
        <f>1-(1-Skills!J4/100)^Skills!K4</f>
        <v/>
      </c>
      <c r="I917" t="inlineStr">
        <is>
          <t>1</t>
        </is>
      </c>
      <c r="J917">
        <f>((Inputs!$B$6*(1+(Inputs!$B$7+1)/100))+(((Inputs!$B$12*(1+Inputs!$B$13/100))-(Inputs!$B$12*(1+Inputs!$B$13/100)))+0.25*(Inputs!$B$14-Inputs!$B$14))*(1+(Inputs!$B$7+1)/100))*(F917/100)</f>
        <v/>
      </c>
      <c r="K917">
        <f>J917*(1+((Inputs!$B$12*(1+Inputs!$B$13/100))*0.01+Inputs!$B$14*0.0025)/100)*(1+Inputs!$B$15/100)*(1+Inputs!$B$16/100)*(5000/(6000+Inputs!$B$42*(1-(Inputs!$B$19+0)/100)))*(1+(Inputs!$B$24+0+B946)/100)*(1+4.0*IF(C925=TRUE,F925,0)/100)*(1+(IF(Skills!A4="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917)</f>
        <v/>
      </c>
      <c r="L917">
        <f>K917*(MIN(Inputs!$B$22+((C935=TRUE)*(F935-Calc!F22)),Inputs!$B$23+((C937=TRUE)*(F937-Calc!F24)))/100+(Inputs!$B$23+((C937=TRUE)*(F937-Calc!F24)))/100)/2</f>
        <v/>
      </c>
      <c r="M917">
        <f>L917*(1+(Inputs!$B$10+0+B945)/100)</f>
        <v/>
      </c>
      <c r="N917">
        <f>L917*(1-MIN((Inputs!$B$9+0+B940),100)/100)+M917*(MIN((Inputs!$B$9+0+B940),100)/100)</f>
        <v/>
      </c>
      <c r="O917">
        <f>(1-Summary!$B$55)*T917+Summary!$B$55*V917</f>
        <v/>
      </c>
      <c r="P917">
        <f>IF(B950=0,0,O917/B950)</f>
        <v/>
      </c>
      <c r="Q917">
        <f>IFERROR(1/IF(Inputs!$B$38="pvp",15,MAX(0.1,Skills!D4-IF(Skills!E4=TRUE,Inputs!$B$32,0))),0)</f>
        <v/>
      </c>
      <c r="R917">
        <f>IF(AND(Inputs!$B$38&lt;&gt;"pvp",Inputs!$B$43&gt;0),IF(MAX(0,Inputs!$B$43-B947)&lt;=0,0,(INT(MAX(0,Inputs!$B$43-B947)/IF(Inputs!$B$38="pvp",15,MAX(0.1,Skills!D4-IF(Skills!E4=TRUE,Inputs!$B$32,0))))+1)),0)</f>
        <v/>
      </c>
      <c r="S917">
        <f>IFERROR(O917/N917,0)</f>
        <v/>
      </c>
      <c r="T917">
        <f>IF(C917,(H917*N917*IF(AND(Inputs!$B$38&lt;&gt;"pvp",Inputs!$B$43&gt;0),((Skills!G4*((R917-1)*IF(Skills!H4&gt;0,Skills!I4/Skills!H4,1)+IF(Skills!H4&gt;0,MIN(Skills!I4,MAX(0,MAX(0,Inputs!$B$43-B947)-((R917-1)*IF(Inputs!$B$38="pvp",15,MAX(0.1,Skills!D4-IF(Skills!E4=TRUE,Inputs!$B$32,0))))))/Skills!H4,1)))/Inputs!$B$43),G917*Q917))*IF(Inputs!$B$38="pvp",1,1+(Inputs!$B$20+0+Skills!P4)/100),0)</f>
        <v/>
      </c>
      <c r="U917">
        <f>290*U916/1000</f>
        <v/>
      </c>
      <c r="V917">
        <f>IF(C917,(H917*N917*IF(AND(Inputs!$B$38&lt;&gt;"pvp",Inputs!$B$43&gt;0),((Skills!G4*((R917-1)*IF(Skills!H4&gt;0,Skills!I4/Skills!H4,1)+IF(Skills!H4&gt;0,MIN(Skills!I4,MAX(0,MAX(0,Inputs!$B$43-B947)-((R917-1)*IF(Inputs!$B$38="pvp",15,MAX(0.1,Skills!D4-IF(Skills!E4=TRUE,Inputs!$B$32,0))))))/Skills!H4,1)))/Inputs!$B$43),G917*Q917))*IF(Inputs!$B$38="pvp",1,(1+(Inputs!$B$21+Skills!Q4)/100)*(MIN(Skills!R4,Inputs!$B$37))),0)</f>
        <v/>
      </c>
    </row>
    <row r="918">
      <c r="A918">
        <f>Skills!A5</f>
        <v/>
      </c>
      <c r="B918">
        <f>Skills!B5</f>
        <v/>
      </c>
      <c r="C918">
        <f>Inputs!$B$3&gt;=66</f>
        <v/>
      </c>
      <c r="D918">
        <f>IF(Skills!C5=1,60+Inputs!$B$25+Inputs!$B$29,IF(Skills!C5=2,90+Inputs!$B$26+Inputs!$B$29,IF(Skills!C5=3,120+Inputs!$B$27+Inputs!$B$29,MAX(0,(Inputs!$B$3-100)*3)+Inputs!$B$28+Inputs!$B$29)))</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((Inputs!$B$6*(1+(Inputs!$B$7+1)/100))+(((Inputs!$B$12*(1+Inputs!$B$13/100))-(Inputs!$B$12*(1+Inputs!$B$13/100)))+0.25*(Inputs!$B$14-Inputs!$B$14))*(1+(Inputs!$B$7+1)/100))*(F918/100)</f>
        <v/>
      </c>
      <c r="K918">
        <f>J918*(1+((Inputs!$B$12*(1+Inputs!$B$13/100))*0.01+Inputs!$B$14*0.0025)/100)*(1+Inputs!$B$15/100)*(1+Inputs!$B$16/100)*(5000/(6000+Inputs!$B$42*(1-(Inputs!$B$19+0)/100)))*(1+(Inputs!$B$24+0+B946)/100)*(1+1.0*IF(C925=TRUE,F925,0)/100)*(1+(IF(Skills!A5="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918)</f>
        <v/>
      </c>
      <c r="L918">
        <f>K918*(MIN(Inputs!$B$22+((C935=TRUE)*(F935-Calc!F22)),Inputs!$B$23+((C937=TRUE)*(F937-Calc!F24)))/100+(Inputs!$B$23+((C937=TRUE)*(F937-Calc!F24)))/100)/2</f>
        <v/>
      </c>
      <c r="M918">
        <f>L918*(1+(Inputs!$B$10+0+B945)/100)</f>
        <v/>
      </c>
      <c r="N918">
        <f>L918*(1-MIN((Inputs!$B$9+0+B940),100)/100)+M918*(MIN((Inputs!$B$9+0+B940),100)/100)</f>
        <v/>
      </c>
      <c r="O918">
        <f>(1-Summary!$B$55)*T918+Summary!$B$55*V918</f>
        <v/>
      </c>
      <c r="P918">
        <f>IF(B950=0,0,O918/B950)</f>
        <v/>
      </c>
      <c r="Q918">
        <f>IFERROR(1/IF(Inputs!$B$38="pvp",15,MAX(0.1,Skills!D5-IF(Skills!E5=TRUE,Inputs!$B$32,0))),0)</f>
        <v/>
      </c>
      <c r="R918">
        <f>IF(AND(Inputs!$B$38&lt;&gt;"pvp",Inputs!$B$43&gt;0),IF(MAX(0,Inputs!$B$43-B947)&lt;=0,0,(INT(MAX(0,Inputs!$B$43-B947)/IF(Inputs!$B$38="pvp",15,MAX(0.1,Skills!D5-IF(Skills!E5=TRUE,Inputs!$B$32,0))))+1)),0)</f>
        <v/>
      </c>
      <c r="S918">
        <f>IFERROR(O918/N918,0)</f>
        <v/>
      </c>
      <c r="T918">
        <f>IF(C918,(H918*N918*IF(AND(Inputs!$B$38&lt;&gt;"pvp",Inputs!$B$43&gt;0),((Skills!G5*((R918-1)*IF(Skills!H5&gt;0,Skills!I5/Skills!H5,1)+IF(Skills!H5&gt;0,MIN(Skills!I5,MAX(0,MAX(0,Inputs!$B$43-B947)-((R918-1)*IF(Inputs!$B$38="pvp",15,MAX(0.1,Skills!D5-IF(Skills!E5=TRUE,Inputs!$B$32,0))))))/Skills!H5,1)))/Inputs!$B$43),G918*Q918))*IF(Inputs!$B$38="pvp",1,1+(Inputs!$B$20+0+Skills!P5)/100),0)</f>
        <v/>
      </c>
      <c r="V918">
        <f>IF(C918,(H918*N918*IF(AND(Inputs!$B$38&lt;&gt;"pvp",Inputs!$B$43&gt;0),((Skills!G5*((R918-1)*IF(Skills!H5&gt;0,Skills!I5/Skills!H5,1)+IF(Skills!H5&gt;0,MIN(Skills!I5,MAX(0,MAX(0,Inputs!$B$43-B947)-((R918-1)*IF(Inputs!$B$38="pvp",15,MAX(0.1,Skills!D5-IF(Skills!E5=TRUE,Inputs!$B$32,0))))))/Skills!H5,1)))/Inputs!$B$43),G918*Q918))*IF(Inputs!$B$38="pvp",1,(1+(Inputs!$B$21+Skills!Q5)/100)*(MIN(Skills!R5,Inputs!$B$37))),0)</f>
        <v/>
      </c>
    </row>
    <row r="919">
      <c r="A919">
        <f>Skills!A6</f>
        <v/>
      </c>
      <c r="B919">
        <f>Skills!B6</f>
        <v/>
      </c>
      <c r="C919">
        <f>Inputs!$B$3&gt;=103</f>
        <v/>
      </c>
      <c r="D919">
        <f>IF(Skills!C6=1,60+Inputs!$B$25+Inputs!$B$29,IF(Skills!C6=2,90+Inputs!$B$26+Inputs!$B$29,IF(Skills!C6=3,120+Inputs!$B$27+Inputs!$B$29,MAX(0,(Inputs!$B$3-100)*3)+Inputs!$B$28+Inputs!$B$29)))</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((Inputs!$B$6*(1+(Inputs!$B$7+1)/100))+(((Inputs!$B$12*(1+Inputs!$B$13/100))-(Inputs!$B$12*(1+Inputs!$B$13/100)))+0.25*(Inputs!$B$14-Inputs!$B$14))*(1+(Inputs!$B$7+1)/100))*(F919/100)</f>
        <v/>
      </c>
      <c r="K919">
        <f>J919*(1+((Inputs!$B$12*(1+Inputs!$B$13/100))*0.01+Inputs!$B$14*0.0025)/100)*(1+Inputs!$B$15/100)*(1+Inputs!$B$16/100)*(5000/(6000+Inputs!$B$42*(1-(Inputs!$B$19+0)/100)))*(1+(Inputs!$B$24+0+B946)/100)*(1+(IF(Skills!A6="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919)</f>
        <v/>
      </c>
      <c r="L919">
        <f>K919*(MIN(Inputs!$B$22+((C935=TRUE)*(F935-Calc!F22)),Inputs!$B$23+((C937=TRUE)*(F937-Calc!F24)))/100+(Inputs!$B$23+((C937=TRUE)*(F937-Calc!F24)))/100)/2</f>
        <v/>
      </c>
      <c r="M919">
        <f>L919*(1+(Inputs!$B$10+0+B945)/100)</f>
        <v/>
      </c>
      <c r="N919">
        <f>L919*(1-MIN((Inputs!$B$9+0+B940),100)/100)+M919*(MIN((Inputs!$B$9+0+B940),100)/100)</f>
        <v/>
      </c>
      <c r="O919">
        <f>(1-Summary!$B$55)*T919+Summary!$B$55*V919</f>
        <v/>
      </c>
      <c r="P919">
        <f>IF(B950=0,0,O919/B950)</f>
        <v/>
      </c>
      <c r="Q919">
        <f>IFERROR(1/IF(Inputs!$B$38="pvp",15,MAX(0.1,Skills!D6-IF(Skills!E6=TRUE,Inputs!$B$32,0))),0)</f>
        <v/>
      </c>
      <c r="R919">
        <f>IF(AND(Inputs!$B$38&lt;&gt;"pvp",Inputs!$B$43&gt;0),IF(MAX(0,Inputs!$B$43-B947)&lt;=0,0,(INT(MAX(0,Inputs!$B$43-B947)/IF(Inputs!$B$38="pvp",15,MAX(0.1,Skills!D6-IF(Skills!E6=TRUE,Inputs!$B$32,0))))+1)),0)</f>
        <v/>
      </c>
      <c r="S919">
        <f>IFERROR(O919/N919,0)</f>
        <v/>
      </c>
      <c r="T919">
        <f>IF(C919,(H919*N919*IF(AND(Inputs!$B$38&lt;&gt;"pvp",Inputs!$B$43&gt;0),((Skills!G6*((R919-1)*IF(Skills!H6&gt;0,Skills!I6/Skills!H6,1)+IF(Skills!H6&gt;0,MIN(Skills!I6,MAX(0,MAX(0,Inputs!$B$43-B947)-((R919-1)*IF(Inputs!$B$38="pvp",15,MAX(0.1,Skills!D6-IF(Skills!E6=TRUE,Inputs!$B$32,0))))))/Skills!H6,1)))/Inputs!$B$43),G919*Q919))*IF(Inputs!$B$38="pvp",1,1+(Inputs!$B$20+0+Skills!P6)/100),0)</f>
        <v/>
      </c>
      <c r="V919">
        <f>IF(C919,(H919*N919*IF(AND(Inputs!$B$38&lt;&gt;"pvp",Inputs!$B$43&gt;0),((Skills!G6*((R919-1)*IF(Skills!H6&gt;0,Skills!I6/Skills!H6,1)+IF(Skills!H6&gt;0,MIN(Skills!I6,MAX(0,MAX(0,Inputs!$B$43-B947)-((R919-1)*IF(Inputs!$B$38="pvp",15,MAX(0.1,Skills!D6-IF(Skills!E6=TRUE,Inputs!$B$32,0))))))/Skills!H6,1)))/Inputs!$B$43),G919*Q919))*IF(Inputs!$B$38="pvp",1,(1+(Inputs!$B$21+Skills!Q6)/100)*(MIN(Skills!R6,Inputs!$B$37))),0)</f>
        <v/>
      </c>
    </row>
    <row r="920">
      <c r="A920">
        <f>Skills!A7</f>
        <v/>
      </c>
      <c r="B920">
        <f>Skills!B7</f>
        <v/>
      </c>
      <c r="C920">
        <f>Inputs!$B$3&gt;=107</f>
        <v/>
      </c>
      <c r="D920">
        <f>IF(Skills!C7=1,60+Inputs!$B$25+Inputs!$B$29,IF(Skills!C7=2,90+Inputs!$B$26+Inputs!$B$29,IF(Skills!C7=3,120+Inputs!$B$27+Inputs!$B$29,MAX(0,(Inputs!$B$3-100)*3)+Inputs!$B$28+Inputs!$B$29)))</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((Inputs!$B$6*(1+(Inputs!$B$7+1)/100))+(((Inputs!$B$12*(1+Inputs!$B$13/100))-(Inputs!$B$12*(1+Inputs!$B$13/100)))+0.25*(Inputs!$B$14-Inputs!$B$14))*(1+(Inputs!$B$7+1)/100))*(F920/100)</f>
        <v/>
      </c>
      <c r="K920">
        <f>J920*(1+((Inputs!$B$12*(1+Inputs!$B$13/100))*0.01+Inputs!$B$14*0.0025)/100)*(1+Inputs!$B$15/100)*(1+Inputs!$B$16/100)*(5000/(6000+Inputs!$B$42*(1-(Inputs!$B$19+0)/100)))*(1+(Inputs!$B$24+0+B946)/100)*(1+(IF(Skills!A7="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920)</f>
        <v/>
      </c>
      <c r="L920">
        <f>K920*(MIN(Inputs!$B$22+((C935=TRUE)*(F935-Calc!F22)),Inputs!$B$23+((C937=TRUE)*(F937-Calc!F24)))/100+(Inputs!$B$23+((C937=TRUE)*(F937-Calc!F24)))/100)/2</f>
        <v/>
      </c>
      <c r="M920">
        <f>L920*(1+(Inputs!$B$10+0+B945)/100)</f>
        <v/>
      </c>
      <c r="N920">
        <f>L920*(1-MIN((Inputs!$B$9+0+B940),100)/100)+M920*(MIN((Inputs!$B$9+0+B940),100)/100)</f>
        <v/>
      </c>
      <c r="O920">
        <f>(1-Summary!$B$55)*T920+Summary!$B$55*V920</f>
        <v/>
      </c>
      <c r="P920">
        <f>IF(B950=0,0,O920/B950)</f>
        <v/>
      </c>
      <c r="Q920">
        <f>IFERROR(1/IF(Inputs!$B$38="pvp",15,MAX(0.1,Skills!D7-IF(Skills!E7=TRUE,Inputs!$B$32,0))),0)</f>
        <v/>
      </c>
      <c r="R920">
        <f>IF(AND(Inputs!$B$38&lt;&gt;"pvp",Inputs!$B$43&gt;0),IF(MAX(0,Inputs!$B$43-B947)&lt;=0,0,(INT(MAX(0,Inputs!$B$43-B947)/IF(Inputs!$B$38="pvp",15,MAX(0.1,Skills!D7-IF(Skills!E7=TRUE,Inputs!$B$32,0))))+1)),0)</f>
        <v/>
      </c>
      <c r="S920">
        <f>IFERROR(O920/N920,0)</f>
        <v/>
      </c>
      <c r="T920">
        <f>IF(C920,(H920*N920*IF(AND(Inputs!$B$38&lt;&gt;"pvp",Inputs!$B$43&gt;0),((Skills!G7*((R920-1)*IF(Skills!H7&gt;0,Skills!I7/Skills!H7,1)+IF(Skills!H7&gt;0,MIN(Skills!I7,MAX(0,MAX(0,Inputs!$B$43-B947)-((R920-1)*IF(Inputs!$B$38="pvp",15,MAX(0.1,Skills!D7-IF(Skills!E7=TRUE,Inputs!$B$32,0))))))/Skills!H7,1)))/Inputs!$B$43),G920*Q920))*IF(Inputs!$B$38="pvp",1,1+(Inputs!$B$20+0+Skills!P7)/100),0)</f>
        <v/>
      </c>
      <c r="V920">
        <f>IF(C920,(H920*N920*IF(AND(Inputs!$B$38&lt;&gt;"pvp",Inputs!$B$43&gt;0),((Skills!G7*((R920-1)*IF(Skills!H7&gt;0,Skills!I7/Skills!H7,1)+IF(Skills!H7&gt;0,MIN(Skills!I7,MAX(0,MAX(0,Inputs!$B$43-B947)-((R920-1)*IF(Inputs!$B$38="pvp",15,MAX(0.1,Skills!D7-IF(Skills!E7=TRUE,Inputs!$B$32,0))))))/Skills!H7,1)))/Inputs!$B$43),G920*Q920))*IF(Inputs!$B$38="pvp",1,(1+(Inputs!$B$21+Skills!Q7)/100)*(MIN(Skills!R7,Inputs!$B$37))),0)</f>
        <v/>
      </c>
    </row>
    <row r="921">
      <c r="A921">
        <f>Skills!A8</f>
        <v/>
      </c>
      <c r="B921">
        <f>Skills!B8</f>
        <v/>
      </c>
      <c r="C921">
        <f>Inputs!$B$3&gt;=107</f>
        <v/>
      </c>
      <c r="D921">
        <f>IF(Skills!C8=1,60+Inputs!$B$25+Inputs!$B$29,IF(Skills!C8=2,90+Inputs!$B$26+Inputs!$B$29,IF(Skills!C8=3,120+Inputs!$B$27+Inputs!$B$29,MAX(0,(Inputs!$B$3-100)*3)+Inputs!$B$28+Inputs!$B$29)))</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((Inputs!$B$6*(1+(Inputs!$B$7+1)/100))+(((Inputs!$B$12*(1+Inputs!$B$13/100))-(Inputs!$B$12*(1+Inputs!$B$13/100)))+0.25*(Inputs!$B$14-Inputs!$B$14))*(1+(Inputs!$B$7+1)/100))*(F921/100)</f>
        <v/>
      </c>
      <c r="K921">
        <f>J921*(1+((Inputs!$B$12*(1+Inputs!$B$13/100))*0.01+Inputs!$B$14*0.0025)/100)*(1+Inputs!$B$15/100)*(1+Inputs!$B$16/100)*(5000/(6000+Inputs!$B$42*(1-(Inputs!$B$19+0)/100)))*(1+(Inputs!$B$24+0+B946)/100)*(1+(IF(Skills!A8="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921)</f>
        <v/>
      </c>
      <c r="L921">
        <f>K921*(MIN(Inputs!$B$22+((C935=TRUE)*(F935-Calc!F22)),Inputs!$B$23+((C937=TRUE)*(F937-Calc!F24)))/100+(Inputs!$B$23+((C937=TRUE)*(F937-Calc!F24)))/100)/2</f>
        <v/>
      </c>
      <c r="M921">
        <f>L921*(1+(Inputs!$B$10+0+B945)/100)</f>
        <v/>
      </c>
      <c r="N921">
        <f>L921*(1-MIN((Inputs!$B$9+0+B940),100)/100)+M921*(MIN((Inputs!$B$9+0+B940),100)/100)</f>
        <v/>
      </c>
      <c r="O921">
        <f>(1-Summary!$B$55)*T921+Summary!$B$55*V921</f>
        <v/>
      </c>
      <c r="P921">
        <f>IF(B950=0,0,O921/B950)</f>
        <v/>
      </c>
      <c r="Q921">
        <f>IFERROR(1/IF(Inputs!$B$38="pvp",15,MAX(0.1,Skills!D8-IF(Skills!E8=TRUE,Inputs!$B$32,0))),0)</f>
        <v/>
      </c>
      <c r="R921">
        <f>IF(AND(Inputs!$B$38&lt;&gt;"pvp",Inputs!$B$43&gt;0),IF(MAX(0,Inputs!$B$43-B947)&lt;=0,0,(INT(MAX(0,Inputs!$B$43-B947)/IF(Inputs!$B$38="pvp",15,MAX(0.1,Skills!D8-IF(Skills!E8=TRUE,Inputs!$B$32,0))))+1)),0)</f>
        <v/>
      </c>
      <c r="S921">
        <f>IFERROR(O921/N921,0)</f>
        <v/>
      </c>
      <c r="T921">
        <f>IF(C921,(H921*N921*IF(AND(Inputs!$B$38&lt;&gt;"pvp",Inputs!$B$43&gt;0),((Skills!G8*((R921-1)*IF(Skills!H8&gt;0,Skills!I8/Skills!H8,1)+IF(Skills!H8&gt;0,MIN(Skills!I8,MAX(0,MAX(0,Inputs!$B$43-B947)-((R921-1)*IF(Inputs!$B$38="pvp",15,MAX(0.1,Skills!D8-IF(Skills!E8=TRUE,Inputs!$B$32,0))))))/Skills!H8,1)))/Inputs!$B$43),G921*Q921))*IF(Inputs!$B$38="pvp",1,1+(Inputs!$B$20+0+Skills!P8)/100),0)</f>
        <v/>
      </c>
      <c r="V921">
        <f>IF(C921,(H921*N921*IF(AND(Inputs!$B$38&lt;&gt;"pvp",Inputs!$B$43&gt;0),((Skills!G8*((R921-1)*IF(Skills!H8&gt;0,Skills!I8/Skills!H8,1)+IF(Skills!H8&gt;0,MIN(Skills!I8,MAX(0,MAX(0,Inputs!$B$43-B947)-((R921-1)*IF(Inputs!$B$38="pvp",15,MAX(0.1,Skills!D8-IF(Skills!E8=TRUE,Inputs!$B$32,0))))))/Skills!H8,1)))/Inputs!$B$43),G921*Q921))*IF(Inputs!$B$38="pvp",1,(1+(Inputs!$B$21+Skills!Q8)/100)*(MIN(Skills!R8,Inputs!$B$37))),0)</f>
        <v/>
      </c>
    </row>
    <row r="922">
      <c r="A922">
        <f>Skills!A9</f>
        <v/>
      </c>
      <c r="B922">
        <f>Skills!B9</f>
        <v/>
      </c>
      <c r="C922">
        <f>Inputs!$B$3&gt;=125</f>
        <v/>
      </c>
      <c r="D922">
        <f>IF(Skills!C9=1,60+Inputs!$B$25+Inputs!$B$29,IF(Skills!C9=2,90+Inputs!$B$26+Inputs!$B$29,IF(Skills!C9=3,120+Inputs!$B$27+Inputs!$B$29,MAX(0,(Inputs!$B$3-100)*3)+Inputs!$B$28+Inputs!$B$29)))</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((Inputs!$B$6*(1+(Inputs!$B$7+1)/100))+(((Inputs!$B$12*(1+Inputs!$B$13/100))-(Inputs!$B$12*(1+Inputs!$B$13/100)))+0.25*(Inputs!$B$14-Inputs!$B$14))*(1+(Inputs!$B$7+1)/100))*(F922/100)</f>
        <v/>
      </c>
      <c r="K922">
        <f>J922*(1+((Inputs!$B$12*(1+Inputs!$B$13/100))*0.01+Inputs!$B$14*0.0025)/100)*(1+Inputs!$B$15/100)*(1+Inputs!$B$16/100)*(5000/(6000+Inputs!$B$42*(1-(Inputs!$B$19+0)/100)))*(1+(Inputs!$B$24+0+B946)/100)*(1+(IF(Skills!A9="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922)</f>
        <v/>
      </c>
      <c r="L922">
        <f>K922*(MIN(Inputs!$B$22+((C935=TRUE)*(F935-Calc!F22)),Inputs!$B$23+((C937=TRUE)*(F937-Calc!F24)))/100+(Inputs!$B$23+((C937=TRUE)*(F937-Calc!F24)))/100)/2</f>
        <v/>
      </c>
      <c r="M922">
        <f>L922*(1+(Inputs!$B$10+0+B945)/100)</f>
        <v/>
      </c>
      <c r="N922">
        <f>L922*(1-MIN((Inputs!$B$9+0+B940),100)/100)+M922*(MIN((Inputs!$B$9+0+B940),100)/100)</f>
        <v/>
      </c>
      <c r="O922">
        <f>(1-Summary!$B$55)*T922+Summary!$B$55*V922</f>
        <v/>
      </c>
      <c r="P922">
        <f>IF(B950=0,0,O922/B950)</f>
        <v/>
      </c>
      <c r="Q922">
        <f>IFERROR(1/IF(Inputs!$B$38="pvp",15,MAX(0.1,Skills!D9-IF(Skills!E9=TRUE,Inputs!$B$32,0))),0)</f>
        <v/>
      </c>
      <c r="R922">
        <f>IF(AND(Inputs!$B$38&lt;&gt;"pvp",Inputs!$B$43&gt;0),IF(MAX(0,Inputs!$B$43-B947)&lt;=0,0,(INT(MAX(0,Inputs!$B$43-B947)/IF(Inputs!$B$38="pvp",15,MAX(0.1,Skills!D9-IF(Skills!E9=TRUE,Inputs!$B$32,0))))+1)),0)</f>
        <v/>
      </c>
      <c r="S922">
        <f>IFERROR(O922/N922,0)</f>
        <v/>
      </c>
      <c r="T922">
        <f>IF(C922,(H922*N922*IF(AND(Inputs!$B$38&lt;&gt;"pvp",Inputs!$B$43&gt;0),((Skills!G9*((R922-1)*IF(Skills!H9&gt;0,Skills!I9/Skills!H9,1)+IF(Skills!H9&gt;0,MIN(Skills!I9,MAX(0,MAX(0,Inputs!$B$43-B947)-((R922-1)*IF(Inputs!$B$38="pvp",15,MAX(0.1,Skills!D9-IF(Skills!E9=TRUE,Inputs!$B$32,0))))))/Skills!H9,1)))/Inputs!$B$43),G922*Q922))*IF(Inputs!$B$38="pvp",1,1+(Inputs!$B$20+0+Skills!P9)/100),0)</f>
        <v/>
      </c>
      <c r="V922">
        <f>IF(C922,(H922*N922*IF(AND(Inputs!$B$38&lt;&gt;"pvp",Inputs!$B$43&gt;0),((Skills!G9*((R922-1)*IF(Skills!H9&gt;0,Skills!I9/Skills!H9,1)+IF(Skills!H9&gt;0,MIN(Skills!I9,MAX(0,MAX(0,Inputs!$B$43-B947)-((R922-1)*IF(Inputs!$B$38="pvp",15,MAX(0.1,Skills!D9-IF(Skills!E9=TRUE,Inputs!$B$32,0))))))/Skills!H9,1)))/Inputs!$B$43),G922*Q922))*IF(Inputs!$B$38="pvp",1,(1+(Inputs!$B$21+Skills!Q9)/100)*(MIN(Skills!R9,Inputs!$B$37))),0)</f>
        <v/>
      </c>
    </row>
    <row r="923">
      <c r="A923">
        <f>Skills!A10</f>
        <v/>
      </c>
      <c r="B923">
        <f>Skills!B10</f>
        <v/>
      </c>
      <c r="C923">
        <f>Inputs!$B$3&gt;=117</f>
        <v/>
      </c>
      <c r="D923">
        <f>IF(Skills!C10=1,60+Inputs!$B$25+Inputs!$B$29,IF(Skills!C10=2,90+Inputs!$B$26+Inputs!$B$29,IF(Skills!C10=3,120+Inputs!$B$27+Inputs!$B$29,MAX(0,(Inputs!$B$3-100)*3)+Inputs!$B$28+Inputs!$B$29)))</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((Inputs!$B$6*(1+(Inputs!$B$7+1)/100))+(((Inputs!$B$12*(1+Inputs!$B$13/100))-(Inputs!$B$12*(1+Inputs!$B$13/100)))+0.25*(Inputs!$B$14-Inputs!$B$14))*(1+(Inputs!$B$7+1)/100))*(F923/100)</f>
        <v/>
      </c>
      <c r="K923">
        <f>J923*(1+((Inputs!$B$12*(1+Inputs!$B$13/100))*0.01+Inputs!$B$14*0.0025)/100)*(1+Inputs!$B$15/100)*(1+Inputs!$B$16/100)*(5000/(6000+Inputs!$B$42*(1-(Inputs!$B$19+0)/100)))*(1+(Inputs!$B$24+0+B946)/100)*(1+(IF(Skills!A10="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923)</f>
        <v/>
      </c>
      <c r="L923">
        <f>K923*(MIN(Inputs!$B$22+((C935=TRUE)*(F935-Calc!F22)),Inputs!$B$23+((C937=TRUE)*(F937-Calc!F24)))/100+(Inputs!$B$23+((C937=TRUE)*(F937-Calc!F24)))/100)/2</f>
        <v/>
      </c>
      <c r="M923">
        <f>L923*(1+(Inputs!$B$10+0+B945)/100)</f>
        <v/>
      </c>
      <c r="N923">
        <f>L923*(1-MIN((Inputs!$B$9+0+B940),100)/100)+M923*(MIN((Inputs!$B$9+0+B940),100)/100)</f>
        <v/>
      </c>
      <c r="O923">
        <f>(1-Summary!$B$55)*T923+Summary!$B$55*V923</f>
        <v/>
      </c>
      <c r="P923">
        <f>IF(B950=0,0,O923/B950)</f>
        <v/>
      </c>
      <c r="Q923">
        <f>IFERROR(1/IF(Inputs!$B$38="pvp",15,MAX(0.1,Skills!D10-IF(Skills!E10=TRUE,Inputs!$B$32,0))),0)</f>
        <v/>
      </c>
      <c r="R923">
        <f>IF(AND(Inputs!$B$38&lt;&gt;"pvp",Inputs!$B$43&gt;0),IF(MAX(0,Inputs!$B$43-B947)&lt;=0,0,(INT(MAX(0,Inputs!$B$43-B947)/IF(Inputs!$B$38="pvp",15,MAX(0.1,Skills!D10-IF(Skills!E10=TRUE,Inputs!$B$32,0))))+1)),0)</f>
        <v/>
      </c>
      <c r="S923">
        <f>IFERROR(O923/N923,0)</f>
        <v/>
      </c>
      <c r="T923">
        <f>IF(C923,(H923*N923*IF(AND(Inputs!$B$38&lt;&gt;"pvp",Inputs!$B$43&gt;0),((Skills!G10*((R923-1)*IF(Skills!H10&gt;0,Skills!I10/Skills!H10,1)+IF(Skills!H10&gt;0,MIN(Skills!I10,MAX(0,MAX(0,Inputs!$B$43-B947)-((R923-1)*IF(Inputs!$B$38="pvp",15,MAX(0.1,Skills!D10-IF(Skills!E10=TRUE,Inputs!$B$32,0))))))/Skills!H10,1)))/Inputs!$B$43),G923*Q923))*IF(Inputs!$B$38="pvp",1,1+(Inputs!$B$20+0+Skills!P10)/100),0)</f>
        <v/>
      </c>
      <c r="V923">
        <f>IF(C923,(H923*N923*IF(AND(Inputs!$B$38&lt;&gt;"pvp",Inputs!$B$43&gt;0),((Skills!G10*((R923-1)*IF(Skills!H10&gt;0,Skills!I10/Skills!H10,1)+IF(Skills!H10&gt;0,MIN(Skills!I10,MAX(0,MAX(0,Inputs!$B$43-B947)-((R923-1)*IF(Inputs!$B$38="pvp",15,MAX(0.1,Skills!D10-IF(Skills!E10=TRUE,Inputs!$B$32,0))))))/Skills!H10,1)))/Inputs!$B$43),G923*Q923))*IF(Inputs!$B$38="pvp",1,(1+(Inputs!$B$21+Skills!Q10)/100)*(MIN(Skills!R10,Inputs!$B$37))),0)</f>
        <v/>
      </c>
    </row>
    <row r="924">
      <c r="A924">
        <f>Skills!A11</f>
        <v/>
      </c>
      <c r="B924">
        <f>Skills!B11</f>
        <v/>
      </c>
      <c r="C924">
        <f>Inputs!$B$3&gt;=63</f>
        <v/>
      </c>
      <c r="D924">
        <f>IF(Skills!C11=1,60+Inputs!$B$25+Inputs!$B$29,IF(Skills!C11=2,90+Inputs!$B$26+Inputs!$B$29,IF(Skills!C11=3,120+Inputs!$B$27+Inputs!$B$29,MAX(0,(Inputs!$B$3-100)*3)+Inputs!$B$28+Inputs!$B$29)))</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((Inputs!$B$6*(1+(Inputs!$B$7+1)/100))+(((Inputs!$B$12*(1+Inputs!$B$13/100))-(Inputs!$B$12*(1+Inputs!$B$13/100)))+0.25*(Inputs!$B$14-Inputs!$B$14))*(1+(Inputs!$B$7+1)/100))*(F924/100)</f>
        <v/>
      </c>
      <c r="K924">
        <f>J924*(1+((Inputs!$B$12*(1+Inputs!$B$13/100))*0.01+Inputs!$B$14*0.0025)/100)*(1+Inputs!$B$15/100)*(1+Inputs!$B$16/100)*(5000/(6000+Inputs!$B$42*(1-(Inputs!$B$19+0)/100)))*(1+(Inputs!$B$24+0+B946)/100)*(1+1.5*IF(C925=TRUE,F925,0)/100)*(1+(IF(Skills!A11="BLAST",Inputs!$B$17+((C934=TRUE)*(F934-Calc!F21)),Inputs!$B$18+((C936=TRUE)*(F936-Calc!F23))))/100)*((1+(((C926=TRUE)*F926*MIN(1,Skills!T13*(Skills!J13/100)*B944))+((C931=TRUE)*F931*IF(AND(Inputs!$B$38&lt;&gt;"pvp",Inputs!$B$43&gt;0),(((R931-1)*(Skills!T18*(1+Inputs!$B$34/100))+MIN((Skills!T18*(1+Inputs!$B$34/100)),MAX(0,Inputs!$B$43-((R931-1)*Skills!D18))))/Inputs!$B$43),IF(Inputs!$B$38="pvp",MIN((Skills!T18*(1+Inputs!$B$34/100)),15)/15,(Skills!T18*(1+Inputs!$B$34/100))/Skills!D18)))+0)/100)*I924)</f>
        <v/>
      </c>
      <c r="L924">
        <f>K924*(MIN(Inputs!$B$22+((C935=TRUE)*(F935-Calc!F22)),Inputs!$B$23+((C937=TRUE)*(F937-Calc!F24)))/100+(Inputs!$B$23+((C937=TRUE)*(F937-Calc!F24)))/100)/2</f>
        <v/>
      </c>
      <c r="M924">
        <f>L924*(1+(Inputs!$B$10+0+B945)/100)</f>
        <v/>
      </c>
      <c r="N924">
        <f>L924*(1-MIN((Inputs!$B$9+0+B940),100)/100)+M924*(MIN((Inputs!$B$9+0+B940),100)/100)</f>
        <v/>
      </c>
      <c r="O924">
        <f>(1-Summary!$B$55)*T924+Summary!$B$55*V924</f>
        <v/>
      </c>
      <c r="P924">
        <f>IF(B950=0,0,O924/B950)</f>
        <v/>
      </c>
      <c r="Q924">
        <f>IFERROR(1/IF(Inputs!$B$38="pvp",15,MAX(0.1,Skills!D11-IF(Skills!E11=TRUE,Inputs!$B$32,0))),0)</f>
        <v/>
      </c>
      <c r="R924">
        <f>IF(AND(Inputs!$B$38&lt;&gt;"pvp",Inputs!$B$43&gt;0),IF(MAX(0,Inputs!$B$43-B947)&lt;=0,0,(INT(MAX(0,Inputs!$B$43-B947)/IF(Inputs!$B$38="pvp",15,MAX(0.1,Skills!D11-IF(Skills!E11=TRUE,Inputs!$B$32,0))))+1)),0)</f>
        <v/>
      </c>
      <c r="S924">
        <f>IFERROR(O924/N924,0)</f>
        <v/>
      </c>
      <c r="T924">
        <f>IF(C924,(H924*N924*IF(AND(Inputs!$B$38&lt;&gt;"pvp",Inputs!$B$43&gt;0),((Skills!G11*((R924-1)*IF(Skills!H11&gt;0,Skills!I11/Skills!H11,1)+IF(Skills!H11&gt;0,MIN(Skills!I11,MAX(0,MAX(0,Inputs!$B$43-B947)-((R924-1)*IF(Inputs!$B$38="pvp",15,MAX(0.1,Skills!D11-IF(Skills!E11=TRUE,Inputs!$B$32,0))))))/Skills!H11,1)))/Inputs!$B$43),G924*Q924))*IF(Inputs!$B$38="pvp",1,1+(Inputs!$B$20+0+Skills!P11)/100),0)</f>
        <v/>
      </c>
      <c r="V924">
        <f>IF(C924,(H924*N924*IF(AND(Inputs!$B$38&lt;&gt;"pvp",Inputs!$B$43&gt;0),((Skills!G11*((R924-1)*IF(Skills!H11&gt;0,Skills!I11/Skills!H11,1)+IF(Skills!H11&gt;0,MIN(Skills!I11,MAX(0,MAX(0,Inputs!$B$43-B947)-((R924-1)*IF(Inputs!$B$38="pvp",15,MAX(0.1,Skills!D11-IF(Skills!E11=TRUE,Inputs!$B$32,0))))))/Skills!H11,1)))/Inputs!$B$43),G924*Q924))*IF(Inputs!$B$38="pvp",1,(1+(Inputs!$B$21+Skills!Q11)/100)*(MIN(Skills!R11,Inputs!$B$37))),0)</f>
        <v/>
      </c>
    </row>
    <row r="925">
      <c r="A925">
        <f>Skills!A12</f>
        <v/>
      </c>
      <c r="B925">
        <f>Skills!B12</f>
        <v/>
      </c>
      <c r="C925">
        <f>Inputs!$B$3&gt;=100</f>
        <v/>
      </c>
      <c r="D925">
        <f>IF(Skills!C12=1,60+Inputs!$B$25+Inputs!$B$29,IF(Skills!C12=2,90+Inputs!$B$26+Inputs!$B$29,IF(Skills!C12=3,120+Inputs!$B$27+Inputs!$B$29,MAX(0,(Inputs!$B$3-100)*3)+Inputs!$B$28+Inputs!$B$29)))</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IF(Skills!C13=1,60+Inputs!$B$25+Inputs!$B$29,IF(Skills!C13=2,90+Inputs!$B$26+Inputs!$B$29,IF(Skills!C13=3,120+Inputs!$B$27+Inputs!$B$29,MAX(0,(Inputs!$B$3-100)*3)+Inputs!$B$28+Inputs!$B$29)))</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(1-Summary!$B$55)*T926+Summary!$B$55*V926</f>
        <v/>
      </c>
      <c r="P926">
        <f>IF(B950=0,0,O926/B950)</f>
        <v/>
      </c>
      <c r="Q926" t="n">
        <v>0</v>
      </c>
      <c r="R926" t="n">
        <v>0</v>
      </c>
      <c r="S926">
        <f>IFERROR(O926/N926,0)</f>
        <v/>
      </c>
      <c r="T926" t="n">
        <v>0</v>
      </c>
      <c r="V926" t="n">
        <v>0</v>
      </c>
    </row>
    <row r="927">
      <c r="A927">
        <f>Skills!A14</f>
        <v/>
      </c>
      <c r="B927">
        <f>Skills!B14</f>
        <v/>
      </c>
      <c r="C927">
        <f>Inputs!$B$3&gt;=110</f>
        <v/>
      </c>
      <c r="D927">
        <f>IF(Skills!C14=1,60+Inputs!$B$25+Inputs!$B$29,IF(Skills!C14=2,90+Inputs!$B$26+Inputs!$B$29,IF(Skills!C14=3,120+Inputs!$B$27+Inputs!$B$29,MAX(0,(Inputs!$B$3-100)*3)+Inputs!$B$28+Inputs!$B$29)))</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(1-Summary!$B$55)*T927+Summary!$B$55*V927</f>
        <v/>
      </c>
      <c r="P927">
        <f>IF(B950=0,0,O927/B950)</f>
        <v/>
      </c>
      <c r="Q927" t="n">
        <v>0</v>
      </c>
      <c r="R927" t="n">
        <v>0</v>
      </c>
      <c r="S927">
        <f>IFERROR(O927/N927,0)</f>
        <v/>
      </c>
      <c r="T927" t="n">
        <v>0</v>
      </c>
      <c r="V927" t="n">
        <v>0</v>
      </c>
    </row>
    <row r="928">
      <c r="A928">
        <f>Skills!A15</f>
        <v/>
      </c>
      <c r="B928">
        <f>Skills!B15</f>
        <v/>
      </c>
      <c r="C928">
        <f>Inputs!$B$3&gt;=75</f>
        <v/>
      </c>
      <c r="D928">
        <f>IF(Skills!C15=1,60+Inputs!$B$25+Inputs!$B$29,IF(Skills!C15=2,90+Inputs!$B$26+Inputs!$B$29,IF(Skills!C15=3,120+Inputs!$B$27+Inputs!$B$29,MAX(0,(Inputs!$B$3-100)*3)+Inputs!$B$28+Inputs!$B$29)))</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(1-Summary!$B$55)*T928+Summary!$B$55*V928</f>
        <v/>
      </c>
      <c r="P928">
        <f>IF(B950=0,0,O928/B950)</f>
        <v/>
      </c>
      <c r="Q928">
        <f>IFERROR(1/IF(Inputs!$B$38="pvp",15,MAX(0.1,Skills!D15-IF(Skills!E15=TRUE,Inputs!$B$32,0))),0)</f>
        <v/>
      </c>
      <c r="R928">
        <f>IF(AND(Inputs!$B$38&lt;&gt;"pvp",Inputs!$B$43&gt;0),IF(Inputs!$B$43&lt;=0,0,(INT(Inputs!$B$43/IF(Inputs!$B$38="pvp",15,MAX(0.1,Skills!D15-IF(Skills!E15=TRUE,Inputs!$B$32,0))))+1)),0)</f>
        <v/>
      </c>
      <c r="S928">
        <f>IFERROR(O928/N928,0)</f>
        <v/>
      </c>
      <c r="T928" t="n">
        <v>0</v>
      </c>
      <c r="V928" t="n">
        <v>0</v>
      </c>
    </row>
    <row r="929">
      <c r="A929">
        <f>Skills!A16</f>
        <v/>
      </c>
      <c r="B929">
        <f>Skills!B16</f>
        <v/>
      </c>
      <c r="C929">
        <f>Inputs!$B$3&gt;=105</f>
        <v/>
      </c>
      <c r="D929">
        <f>IF(Skills!C16=1,60+Inputs!$B$25+Inputs!$B$29,IF(Skills!C16=2,90+Inputs!$B$26+Inputs!$B$29,IF(Skills!C16=3,120+Inputs!$B$27+Inputs!$B$29,MAX(0,(Inputs!$B$3-100)*3)+Inputs!$B$28+Inputs!$B$29)))</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(1-Summary!$B$55)*T929+Summary!$B$55*V929</f>
        <v/>
      </c>
      <c r="P929">
        <f>IF(B950=0,0,O929/B950)</f>
        <v/>
      </c>
      <c r="Q929">
        <f>IFERROR(1/IF(Inputs!$B$38="pvp",15,MAX(0.1,Skills!D16-IF(Skills!E16=TRUE,Inputs!$B$32,0))),0)</f>
        <v/>
      </c>
      <c r="R929">
        <f>IF(AND(Inputs!$B$38&lt;&gt;"pvp",Inputs!$B$43&gt;0),IF(Inputs!$B$43&lt;=0,0,(INT(Inputs!$B$43/IF(Inputs!$B$38="pvp",15,MAX(0.1,Skills!D16-IF(Skills!E16=TRUE,Inputs!$B$32,0))))+1)),0)</f>
        <v/>
      </c>
      <c r="S929">
        <f>IFERROR(O929/N929,0)</f>
        <v/>
      </c>
      <c r="T929" t="n">
        <v>0</v>
      </c>
      <c r="V929" t="n">
        <v>0</v>
      </c>
    </row>
    <row r="930">
      <c r="A930">
        <f>Skills!A17</f>
        <v/>
      </c>
      <c r="B930">
        <f>Skills!B17</f>
        <v/>
      </c>
      <c r="C930">
        <f>Inputs!$B$3&gt;=115</f>
        <v/>
      </c>
      <c r="D930">
        <f>IF(Skills!C17=1,60+Inputs!$B$25+Inputs!$B$29,IF(Skills!C17=2,90+Inputs!$B$26+Inputs!$B$29,IF(Skills!C17=3,120+Inputs!$B$27+Inputs!$B$29,MAX(0,(Inputs!$B$3-100)*3)+Inputs!$B$28+Inputs!$B$29)))</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(1-Summary!$B$55)*T930+Summary!$B$55*V930</f>
        <v/>
      </c>
      <c r="P930">
        <f>IF(B950=0,0,O930/B950)</f>
        <v/>
      </c>
      <c r="Q930">
        <f>IFERROR(1/IF(Inputs!$B$38="pvp",15,MAX(0.1,Skills!D17-IF(Skills!E17=TRUE,Inputs!$B$32,0))),0)</f>
        <v/>
      </c>
      <c r="R930">
        <f>IF(AND(Inputs!$B$38&lt;&gt;"pvp",Inputs!$B$43&gt;0),IF(Inputs!$B$43&lt;=0,0,(INT(Inputs!$B$43/IF(Inputs!$B$38="pvp",15,MAX(0.1,Skills!D17-IF(Skills!E17=TRUE,Inputs!$B$32,0))))+1)),0)</f>
        <v/>
      </c>
      <c r="S930">
        <f>IFERROR(O930/N930,0)</f>
        <v/>
      </c>
      <c r="T930" t="n">
        <v>0</v>
      </c>
      <c r="V930" t="n">
        <v>0</v>
      </c>
    </row>
    <row r="931">
      <c r="A931">
        <f>Skills!A18</f>
        <v/>
      </c>
      <c r="B931">
        <f>Skills!B18</f>
        <v/>
      </c>
      <c r="C931">
        <f>Inputs!$B$3&gt;=74</f>
        <v/>
      </c>
      <c r="D931">
        <f>IF(Skills!C18=1,60+Inputs!$B$25+Inputs!$B$29,IF(Skills!C18=2,90+Inputs!$B$26+Inputs!$B$29,IF(Skills!C18=3,120+Inputs!$B$27+Inputs!$B$29,MAX(0,(Inputs!$B$3-100)*3)+Inputs!$B$28+Inputs!$B$29)))</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(1-Summary!$B$55)*T931+Summary!$B$55*V931</f>
        <v/>
      </c>
      <c r="P931">
        <f>IF(B950=0,0,O931/B950)</f>
        <v/>
      </c>
      <c r="Q931">
        <f>IFERROR(1/IF(Inputs!$B$38="pvp",15,MAX(0.1,Skills!D18-IF(Skills!E18=TRUE,Inputs!$B$32,0))),0)</f>
        <v/>
      </c>
      <c r="R931">
        <f>IF(AND(Inputs!$B$38&lt;&gt;"pvp",Inputs!$B$43&gt;0),IF(Inputs!$B$43&lt;=0,0,(INT(Inputs!$B$43/IF(Inputs!$B$38="pvp",15,MAX(0.1,Skills!D18-IF(Skills!E18=TRUE,Inputs!$B$32,0))))+1)),0)</f>
        <v/>
      </c>
      <c r="S931">
        <f>IFERROR(O931/N931,0)</f>
        <v/>
      </c>
      <c r="T931" t="n">
        <v>0</v>
      </c>
      <c r="V931" t="n">
        <v>0</v>
      </c>
    </row>
    <row r="932">
      <c r="A932">
        <f>Skills!A19</f>
        <v/>
      </c>
      <c r="B932">
        <f>Skills!B19</f>
        <v/>
      </c>
      <c r="C932">
        <f>TRUE</f>
        <v/>
      </c>
      <c r="D932">
        <f>IF(Skills!C19=1,60+Inputs!$B$25+Inputs!$B$29,IF(Skills!C19=2,90+Inputs!$B$26+Inputs!$B$29,IF(Skills!C19=3,120+Inputs!$B$27+Inputs!$B$29,MAX(0,(Inputs!$B$3-100)*3)+Inputs!$B$28+Inputs!$B$29)))</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(1-Summary!$B$55)*T932+Summary!$B$55*V932</f>
        <v/>
      </c>
      <c r="P932">
        <f>IF(B950=0,0,O932/B950)</f>
        <v/>
      </c>
      <c r="Q932">
        <f>IFERROR(1/IF(Inputs!$B$38="pvp",15,MAX(0.1,Skills!D19-IF(Skills!E19=TRUE,Inputs!$B$32,0))),0)</f>
        <v/>
      </c>
      <c r="R932">
        <f>IF(AND(Inputs!$B$38&lt;&gt;"pvp",Inputs!$B$43&gt;0),IF(Inputs!$B$43&lt;=0,0,(INT(Inputs!$B$43/IF(Inputs!$B$38="pvp",15,MAX(0.1,Skills!D19-IF(Skills!E19=TRUE,Inputs!$B$32,0))))+1)),0)</f>
        <v/>
      </c>
      <c r="S932">
        <f>IFERROR(O932/N932,0)</f>
        <v/>
      </c>
      <c r="T932" t="n">
        <v>0</v>
      </c>
      <c r="V932" t="n">
        <v>0</v>
      </c>
    </row>
    <row r="933">
      <c r="A933">
        <f>Skills!A20</f>
        <v/>
      </c>
      <c r="B933">
        <f>Skills!B20</f>
        <v/>
      </c>
      <c r="C933">
        <f>Inputs!$B$3&gt;=33</f>
        <v/>
      </c>
      <c r="D933">
        <f>IF(Skills!C20=1,60+Inputs!$B$25+Inputs!$B$29,IF(Skills!C20=2,90+Inputs!$B$26+Inputs!$B$29,IF(Skills!C20=3,120+Inputs!$B$27+Inputs!$B$29,MAX(0,(Inputs!$B$3-100)*3)+Inputs!$B$28+Inputs!$B$29)))</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(1-Summary!$B$55)*T933+Summary!$B$55*V933</f>
        <v/>
      </c>
      <c r="P933">
        <f>IF(B950=0,0,O933/B950)</f>
        <v/>
      </c>
      <c r="Q933" t="n">
        <v>0</v>
      </c>
      <c r="R933" t="n">
        <v>0</v>
      </c>
      <c r="S933">
        <f>IFERROR(O933/N933,0)</f>
        <v/>
      </c>
      <c r="T933" t="n">
        <v>0</v>
      </c>
      <c r="V933" t="n">
        <v>0</v>
      </c>
    </row>
    <row r="934">
      <c r="A934">
        <f>Skills!A21</f>
        <v/>
      </c>
      <c r="B934">
        <f>Skills!B21</f>
        <v/>
      </c>
      <c r="C934">
        <f>Inputs!$B$3&gt;=38</f>
        <v/>
      </c>
      <c r="D934">
        <f>IF(Skills!C21=1,60+Inputs!$B$25+Inputs!$B$29,IF(Skills!C21=2,90+Inputs!$B$26+Inputs!$B$29,IF(Skills!C21=3,120+Inputs!$B$27+Inputs!$B$29,MAX(0,(Inputs!$B$3-100)*3)+Inputs!$B$28+Inputs!$B$29)))</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(1-Summary!$B$55)*T934+Summary!$B$55*V934</f>
        <v/>
      </c>
      <c r="P934">
        <f>IF(B950=0,0,O934/B950)</f>
        <v/>
      </c>
      <c r="Q934" t="n">
        <v>0</v>
      </c>
      <c r="R934" t="n">
        <v>0</v>
      </c>
      <c r="S934">
        <f>IFERROR(O934/N934,0)</f>
        <v/>
      </c>
      <c r="T934" t="n">
        <v>0</v>
      </c>
      <c r="V934" t="n">
        <v>0</v>
      </c>
    </row>
    <row r="935">
      <c r="A935">
        <f>Skills!A22</f>
        <v/>
      </c>
      <c r="B935">
        <f>Skills!B22</f>
        <v/>
      </c>
      <c r="C935">
        <f>Inputs!$B$3&gt;=43</f>
        <v/>
      </c>
      <c r="D935">
        <f>IF(Skills!C22=1,60+Inputs!$B$25+Inputs!$B$29,IF(Skills!C22=2,90+Inputs!$B$26+Inputs!$B$29,IF(Skills!C22=3,120+Inputs!$B$27+Inputs!$B$29,MAX(0,(Inputs!$B$3-100)*3)+Inputs!$B$28+Inputs!$B$29)))</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(1-Summary!$B$55)*T935+Summary!$B$55*V935</f>
        <v/>
      </c>
      <c r="P935">
        <f>IF(B950=0,0,O935/B950)</f>
        <v/>
      </c>
      <c r="Q935" t="n">
        <v>0</v>
      </c>
      <c r="R935" t="n">
        <v>0</v>
      </c>
      <c r="S935">
        <f>IFERROR(O935/N935,0)</f>
        <v/>
      </c>
      <c r="T935" t="n">
        <v>0</v>
      </c>
      <c r="V935" t="n">
        <v>0</v>
      </c>
    </row>
    <row r="936">
      <c r="A936">
        <f>Skills!A23</f>
        <v/>
      </c>
      <c r="B936">
        <f>Skills!B23</f>
        <v/>
      </c>
      <c r="C936">
        <f>Inputs!$B$3&gt;=120</f>
        <v/>
      </c>
      <c r="D936">
        <f>IF(Skills!C23=1,60+Inputs!$B$25+Inputs!$B$29,IF(Skills!C23=2,90+Inputs!$B$26+Inputs!$B$29,IF(Skills!C23=3,120+Inputs!$B$27+Inputs!$B$29,MAX(0,(Inputs!$B$3-100)*3)+Inputs!$B$28+Inputs!$B$29)))</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(1-Summary!$B$55)*T936+Summary!$B$55*V936</f>
        <v/>
      </c>
      <c r="P936">
        <f>IF(B950=0,0,O936/B950)</f>
        <v/>
      </c>
      <c r="Q936" t="n">
        <v>0</v>
      </c>
      <c r="R936" t="n">
        <v>0</v>
      </c>
      <c r="S936">
        <f>IFERROR(O936/N936,0)</f>
        <v/>
      </c>
      <c r="T936" t="n">
        <v>0</v>
      </c>
      <c r="V936" t="n">
        <v>0</v>
      </c>
    </row>
    <row r="937">
      <c r="A937">
        <f>Skills!A24</f>
        <v/>
      </c>
      <c r="B937">
        <f>Skills!B24</f>
        <v/>
      </c>
      <c r="C937">
        <f>Inputs!$B$3&gt;=120</f>
        <v/>
      </c>
      <c r="D937">
        <f>IF(Skills!C24=1,60+Inputs!$B$25+Inputs!$B$29,IF(Skills!C24=2,90+Inputs!$B$26+Inputs!$B$29,IF(Skills!C24=3,120+Inputs!$B$27+Inputs!$B$29,MAX(0,(Inputs!$B$3-100)*3)+Inputs!$B$28+Inputs!$B$29)))</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(1-Summary!$B$55)*T937+Summary!$B$55*V937</f>
        <v/>
      </c>
      <c r="P937">
        <f>IF(B950=0,0,O937/B950)</f>
        <v/>
      </c>
      <c r="Q937" t="n">
        <v>0</v>
      </c>
      <c r="R937" t="n">
        <v>0</v>
      </c>
      <c r="S937">
        <f>IFERROR(O937/N937,0)</f>
        <v/>
      </c>
      <c r="T937" t="n">
        <v>0</v>
      </c>
      <c r="V937" t="n">
        <v>0</v>
      </c>
    </row>
    <row r="939">
      <c r="A939" t="inlineStr">
        <is>
          <t>Attack% Bucket Multiplier</t>
        </is>
      </c>
      <c r="B939">
        <f>(1+(((C926=TRUE)*F926*MIN(1,Skills!T13*(Skills!J13/100)*B944))+((C931=TRUE)*F931*IF(AND(Inputs!$B$38&lt;&gt;"pvp",Inputs!$B$43&gt;0),(((R931-1)*(Skills!T18*(1+Inputs!$B$34/100))+MIN((Skills!T18*(1+Inputs!$B$34/100)),MAX(0,Inputs!$B$43-((R931-1)*Skills!D18))))/Inputs!$B$43),IF(Inputs!$B$38="pvp",MIN((Skills!T18*(1+Inputs!$B$34/100)),15)/15,(Skills!T18*(1+Inputs!$B$34/100))/Skills!D18)))+0)/100)</f>
        <v/>
      </c>
    </row>
    <row r="940">
      <c r="A940" t="inlineStr">
        <is>
          <t>Global Crit Rate Bonus %</t>
        </is>
      </c>
      <c r="B940" t="n">
        <v>0</v>
      </c>
    </row>
    <row r="941">
      <c r="A941" t="inlineStr">
        <is>
          <t>Attack Speed Buff Bonus %</t>
        </is>
      </c>
      <c r="B941">
        <f>((C932=TRUE)*F932*IF(AND(Inputs!$B$38&lt;&gt;"pvp",Inputs!$B$43&gt;0),(((R932-1)*(Skills!T19*(1+Inputs!$B$34/100))+MIN((Skills!T19*(1+Inputs!$B$34/100)),MAX(0,Inputs!$B$43-((R932-1)*Skills!D19))))/Inputs!$B$43),IF(Inputs!$B$38="pvp",MIN((Skills!T19*(1+Inputs!$B$34/100)),15)/15,(Skills!T19*(1+Inputs!$B$34/100))/Skills!D19)))</f>
        <v/>
      </c>
    </row>
    <row r="942">
      <c r="A942" t="inlineStr">
        <is>
          <t>Actions Per Second</t>
        </is>
      </c>
      <c r="B942">
        <f>1+MIN(150,150*(1-(1-(Inputs!$B$11+((C933=TRUE)*(F933-Calc!F20)))/150)*(1-B941/150)))/100</f>
        <v/>
      </c>
    </row>
    <row r="943">
      <c r="A943" t="inlineStr">
        <is>
          <t>Skill + Buff Cast Rate</t>
        </is>
      </c>
      <c r="B943">
        <f>IF(AND(Inputs!$B$38&lt;&gt;"pvp",Inputs!$B$43&gt;0),SUMPRODUCT((Skills!E2:E24=TRUE)*(C915:C937=TRUE)*R915:R937*Skills!F2:F24)/Inputs!$B$43,SUMPRODUCT((Skills!E2:E24=TRUE)*(C915:C937=TRUE)*Q915:Q937*Skills!F2:F24))</f>
        <v/>
      </c>
    </row>
    <row r="944">
      <c r="A944" t="inlineStr">
        <is>
          <t>Blast Casts Per Second</t>
        </is>
      </c>
      <c r="B944">
        <f>MAX(0,B942-B943)</f>
        <v/>
      </c>
    </row>
    <row r="945">
      <c r="A945" t="inlineStr">
        <is>
          <t>Global Critical Damage Bonus % (unused)</t>
        </is>
      </c>
      <c r="B945" t="n">
        <v>0</v>
      </c>
    </row>
    <row r="946">
      <c r="A946" t="inlineStr">
        <is>
          <t>Global Final Damage Bonus % (Divine Shield + Guardian + Divine Blessing + Greater Vessel of Light)</t>
        </is>
      </c>
      <c r="B946">
        <f>((C928=TRUE)*F928*IF(AND(Inputs!$B$38&lt;&gt;"pvp",Inputs!$B$43&gt;0),(((R928-1)*(Skills!T15*(1+Inputs!$B$34/100))+MIN((Skills!T15*(1+Inputs!$B$34/100)),MAX(0,Inputs!$B$43-((R928-1)*Skills!D15))))/Inputs!$B$43),IF(Inputs!$B$38="pvp",MIN((Skills!T15*(1+Inputs!$B$34/100)),15)/15,(Skills!T15*(1+Inputs!$B$34/100))/Skills!D15)))+((C929=TRUE)*F929*IF(AND(Inputs!$B$38&lt;&gt;"pvp",Inputs!$B$43&gt;0),(((R929-1)*(Skills!T16*(1+Inputs!$B$34/100))+MIN((Skills!T16*(1+Inputs!$B$34/100)),MAX(0,Inputs!$B$43-((R929-1)*Skills!D16))))/Inputs!$B$43),IF(Inputs!$B$38="pvp",MIN((Skills!T16*(1+Inputs!$B$34/100)),15)/15,(Skills!T16*(1+Inputs!$B$34/100))/Skills!D16)))+((C930=TRUE)*F930*IF(AND(Inputs!$B$38&lt;&gt;"pvp",Inputs!$B$43&gt;0),(((R930-1)*(Skills!T17*(1+Inputs!$B$34/100))+MIN((Skills!T17*(1+Inputs!$B$34/100)),MAX(0,Inputs!$B$43-((R930-1)*Skills!D17))))/Inputs!$B$43),IF(Inputs!$B$38="pvp",MIN((Skills!T17*(1+Inputs!$B$34/100)),15)/15,(Skills!T17*(1+Inputs!$B$34/100))/Skills!D17)))+((C927=TRUE)*F927*MIN(1,Skills!T13*(Skills!J13/100)*B944))</f>
        <v/>
      </c>
    </row>
    <row r="947">
      <c r="A947" t="inlineStr">
        <is>
          <t>Buff-Casting Startup Delay (s, fixed-duration only)</t>
        </is>
      </c>
      <c r="B947">
        <f>IF(AND(Inputs!$B$38&lt;&gt;"pvp",Inputs!$B$43&gt;0),SUMPRODUCT((Skills!T2:T24&gt;0)*(Skills!E2:E24=TRUE)*(C915:C937=TRUE))/B942,0)</f>
        <v/>
      </c>
    </row>
    <row r="948">
      <c r="A948" t="inlineStr">
        <is>
          <t>Boss-Only Total DPS (this block's swept value)</t>
        </is>
      </c>
      <c r="B948">
        <f>SUM(T915:T937)</f>
        <v/>
      </c>
    </row>
    <row r="949">
      <c r="A949" t="inlineStr">
        <is>
          <t>Normal-Only Total DPS (this block's swept value)</t>
        </is>
      </c>
      <c r="B949">
        <f>SUM(V915:V937)</f>
        <v/>
      </c>
    </row>
    <row r="950">
      <c r="A950" s="5" t="inlineStr">
        <is>
          <t>TOTAL DPS</t>
        </is>
      </c>
      <c r="B950" s="5">
        <f>SUM(O915:O937)</f>
        <v/>
      </c>
    </row>
    <row r="953">
      <c r="A953" s="5" t="inlineStr">
        <is>
          <t>Stat: Skill Cooldown Decrease (seconds)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((Inputs!$B$6*(1+Inputs!$B$7/100))+(((Inputs!$B$12*(1+Inputs!$B$13/100))-(Inputs!$B$12*(1+Inputs!$B$13/100)))+0.25*(Inputs!$B$14-Inputs!$B$14))*(1+Inputs!$B$7/100))*(F955/100)</f>
        <v/>
      </c>
      <c r="K955">
        <f>J955*(1+((Inputs!$B$12*(1+Inputs!$B$13/100))*0.01+Inputs!$B$14*0.0025)/100)*(1+Inputs!$B$15/100)*(1+Inputs!$B$16/100)*(5000/(6000+Inputs!$B$42*(1-(Inputs!$B$19+0)/100)))*(1+(Inputs!$B$24+0+B986)/100)*(1+(IF(Skills!A2="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955)</f>
        <v/>
      </c>
      <c r="L955">
        <f>K955*(MIN(Inputs!$B$22+((C975=TRUE)*(F975-Calc!F22)),Inputs!$B$23+((C977=TRUE)*(F977-Calc!F24)))/100+(Inputs!$B$23+((C977=TRUE)*(F977-Calc!F24)))/100)/2</f>
        <v/>
      </c>
      <c r="M955">
        <f>L955*(1+(Inputs!$B$10+0+B985)/100)</f>
        <v/>
      </c>
      <c r="N955">
        <f>L955*(1-MIN((Inputs!$B$9+0+B980),100)/100)+M955*(MIN((Inputs!$B$9+0+B980),100)/100)</f>
        <v/>
      </c>
      <c r="O955">
        <f>(1-Summary!$B$55)*T955+Summary!$B$55*V955</f>
        <v/>
      </c>
      <c r="P955">
        <f>IF(B990=0,0,O955/B990)</f>
        <v/>
      </c>
      <c r="Q955" t="n">
        <v>0</v>
      </c>
      <c r="R955" t="n">
        <v>0</v>
      </c>
      <c r="S955">
        <f>IFERROR(O955/N955,0)</f>
        <v/>
      </c>
      <c r="T955">
        <f>IF(C955,(Skills!G2*N955*B984)*IF(Inputs!$B$38="pvp",1,1+(Inputs!$B$20+0+Skills!P2)/100),0)</f>
        <v/>
      </c>
      <c r="U955">
        <f>MAX(0,(Inputs!$B$3-100)*3)+Inputs!$B$28+Inputs!$B$29</f>
        <v/>
      </c>
      <c r="V955">
        <f>IF(C955,(Skills!G2*N955*B984)*IF(Inputs!$B$38="pvp",1,(1+(Inputs!$B$21+Skills!Q2)/100)*(MIN((6+Inputs!$B$33),Inputs!$B$37))),0)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Inputs!$B$3&gt;=35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f>Skills!G4*IF(Skills!H4&gt;0,Skills!I4/Skills!H4,1)</f>
        <v/>
      </c>
      <c r="H957">
        <f>1-(1-Skills!J4/100)^Skills!K4</f>
        <v/>
      </c>
      <c r="I957" t="inlineStr">
        <is>
          <t>1</t>
        </is>
      </c>
      <c r="J957">
        <f>((Inputs!$B$6*(1+Inputs!$B$7/100))+(((Inputs!$B$12*(1+Inputs!$B$13/100))-(Inputs!$B$12*(1+Inputs!$B$13/100)))+0.25*(Inputs!$B$14-Inputs!$B$14))*(1+Inputs!$B$7/100))*(F957/100)</f>
        <v/>
      </c>
      <c r="K957">
        <f>J957*(1+((Inputs!$B$12*(1+Inputs!$B$13/100))*0.01+Inputs!$B$14*0.0025)/100)*(1+Inputs!$B$15/100)*(1+Inputs!$B$16/100)*(5000/(6000+Inputs!$B$42*(1-(Inputs!$B$19+0)/100)))*(1+(Inputs!$B$24+0+B986)/100)*(1+4.0*IF(C965=TRUE,F965,0)/100)*(1+(IF(Skills!A4="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957)</f>
        <v/>
      </c>
      <c r="L957">
        <f>K957*(MIN(Inputs!$B$22+((C975=TRUE)*(F975-Calc!F22)),Inputs!$B$23+((C977=TRUE)*(F977-Calc!F24)))/100+(Inputs!$B$23+((C977=TRUE)*(F977-Calc!F24)))/100)/2</f>
        <v/>
      </c>
      <c r="M957">
        <f>L957*(1+(Inputs!$B$10+0+B985)/100)</f>
        <v/>
      </c>
      <c r="N957">
        <f>L957*(1-MIN((Inputs!$B$9+0+B980),100)/100)+M957*(MIN((Inputs!$B$9+0+B980),100)/100)</f>
        <v/>
      </c>
      <c r="O957">
        <f>(1-Summary!$B$55)*T957+Summary!$B$55*V957</f>
        <v/>
      </c>
      <c r="P957">
        <f>IF(B990=0,0,O957/B990)</f>
        <v/>
      </c>
      <c r="Q957">
        <f>IFERROR(1/IF(Inputs!$B$38="pvp",15,MAX(0.1,Skills!D4-IF(Skills!E4=TRUE,(Inputs!$B$32+1),0))),0)</f>
        <v/>
      </c>
      <c r="R957">
        <f>IF(AND(Inputs!$B$38&lt;&gt;"pvp",Inputs!$B$43&gt;0),IF(MAX(0,Inputs!$B$43-B987)&lt;=0,0,(INT(MAX(0,Inputs!$B$43-B987)/IF(Inputs!$B$38="pvp",15,MAX(0.1,Skills!D4-IF(Skills!E4=TRUE,(Inputs!$B$32+1),0))))+1)),0)</f>
        <v/>
      </c>
      <c r="S957">
        <f>IFERROR(O957/N957,0)</f>
        <v/>
      </c>
      <c r="T957">
        <f>IF(C957,(H957*N957*IF(AND(Inputs!$B$38&lt;&gt;"pvp",Inputs!$B$43&gt;0),((Skills!G4*((R957-1)*IF(Skills!H4&gt;0,Skills!I4/Skills!H4,1)+IF(Skills!H4&gt;0,MIN(Skills!I4,MAX(0,MAX(0,Inputs!$B$43-B987)-((R957-1)*IF(Inputs!$B$38="pvp",15,MAX(0.1,Skills!D4-IF(Skills!E4=TRUE,(Inputs!$B$32+1),0))))))/Skills!H4,1)))/Inputs!$B$43),G957*Q957))*IF(Inputs!$B$38="pvp",1,1+(Inputs!$B$20+0+Skills!P4)/100),0)</f>
        <v/>
      </c>
      <c r="U957">
        <f>290*U956/1000</f>
        <v/>
      </c>
      <c r="V957">
        <f>IF(C957,(H957*N957*IF(AND(Inputs!$B$38&lt;&gt;"pvp",Inputs!$B$43&gt;0),((Skills!G4*((R957-1)*IF(Skills!H4&gt;0,Skills!I4/Skills!H4,1)+IF(Skills!H4&gt;0,MIN(Skills!I4,MAX(0,MAX(0,Inputs!$B$43-B987)-((R957-1)*IF(Inputs!$B$38="pvp",15,MAX(0.1,Skills!D4-IF(Skills!E4=TRUE,(Inputs!$B$32+1),0))))))/Skills!H4,1)))/Inputs!$B$43),G957*Q957))*IF(Inputs!$B$38="pvp",1,(1+(Inputs!$B$21+Skills!Q4)/100)*(MIN(Skills!R4,Inputs!$B$37))),0)</f>
        <v/>
      </c>
    </row>
    <row r="958">
      <c r="A958">
        <f>Skills!A5</f>
        <v/>
      </c>
      <c r="B958">
        <f>Skills!B5</f>
        <v/>
      </c>
      <c r="C958">
        <f>Inputs!$B$3&gt;=66</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((Inputs!$B$6*(1+Inputs!$B$7/100))+(((Inputs!$B$12*(1+Inputs!$B$13/100))-(Inputs!$B$12*(1+Inputs!$B$13/100)))+0.25*(Inputs!$B$14-Inputs!$B$14))*(1+Inputs!$B$7/100))*(F958/100)</f>
        <v/>
      </c>
      <c r="K958">
        <f>J958*(1+((Inputs!$B$12*(1+Inputs!$B$13/100))*0.01+Inputs!$B$14*0.0025)/100)*(1+Inputs!$B$15/100)*(1+Inputs!$B$16/100)*(5000/(6000+Inputs!$B$42*(1-(Inputs!$B$19+0)/100)))*(1+(Inputs!$B$24+0+B986)/100)*(1+1.0*IF(C965=TRUE,F965,0)/100)*(1+(IF(Skills!A5="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958)</f>
        <v/>
      </c>
      <c r="L958">
        <f>K958*(MIN(Inputs!$B$22+((C975=TRUE)*(F975-Calc!F22)),Inputs!$B$23+((C977=TRUE)*(F977-Calc!F24)))/100+(Inputs!$B$23+((C977=TRUE)*(F977-Calc!F24)))/100)/2</f>
        <v/>
      </c>
      <c r="M958">
        <f>L958*(1+(Inputs!$B$10+0+B985)/100)</f>
        <v/>
      </c>
      <c r="N958">
        <f>L958*(1-MIN((Inputs!$B$9+0+B980),100)/100)+M958*(MIN((Inputs!$B$9+0+B980),100)/100)</f>
        <v/>
      </c>
      <c r="O958">
        <f>(1-Summary!$B$55)*T958+Summary!$B$55*V958</f>
        <v/>
      </c>
      <c r="P958">
        <f>IF(B990=0,0,O958/B990)</f>
        <v/>
      </c>
      <c r="Q958">
        <f>IFERROR(1/IF(Inputs!$B$38="pvp",15,MAX(0.1,Skills!D5-IF(Skills!E5=TRUE,(Inputs!$B$32+1),0))),0)</f>
        <v/>
      </c>
      <c r="R958">
        <f>IF(AND(Inputs!$B$38&lt;&gt;"pvp",Inputs!$B$43&gt;0),IF(MAX(0,Inputs!$B$43-B987)&lt;=0,0,(INT(MAX(0,Inputs!$B$43-B987)/IF(Inputs!$B$38="pvp",15,MAX(0.1,Skills!D5-IF(Skills!E5=TRUE,(Inputs!$B$32+1),0))))+1)),0)</f>
        <v/>
      </c>
      <c r="S958">
        <f>IFERROR(O958/N958,0)</f>
        <v/>
      </c>
      <c r="T958">
        <f>IF(C958,(H958*N958*IF(AND(Inputs!$B$38&lt;&gt;"pvp",Inputs!$B$43&gt;0),((Skills!G5*((R958-1)*IF(Skills!H5&gt;0,Skills!I5/Skills!H5,1)+IF(Skills!H5&gt;0,MIN(Skills!I5,MAX(0,MAX(0,Inputs!$B$43-B987)-((R958-1)*IF(Inputs!$B$38="pvp",15,MAX(0.1,Skills!D5-IF(Skills!E5=TRUE,(Inputs!$B$32+1),0))))))/Skills!H5,1)))/Inputs!$B$43),G958*Q958))*IF(Inputs!$B$38="pvp",1,1+(Inputs!$B$20+0+Skills!P5)/100),0)</f>
        <v/>
      </c>
      <c r="V958">
        <f>IF(C958,(H958*N958*IF(AND(Inputs!$B$38&lt;&gt;"pvp",Inputs!$B$43&gt;0),((Skills!G5*((R958-1)*IF(Skills!H5&gt;0,Skills!I5/Skills!H5,1)+IF(Skills!H5&gt;0,MIN(Skills!I5,MAX(0,MAX(0,Inputs!$B$43-B987)-((R958-1)*IF(Inputs!$B$38="pvp",15,MAX(0.1,Skills!D5-IF(Skills!E5=TRUE,(Inputs!$B$32+1),0))))))/Skills!H5,1)))/Inputs!$B$43),G958*Q958))*IF(Inputs!$B$38="pvp",1,(1+(Inputs!$B$21+Skills!Q5)/100)*(MIN(Skills!R5,Inputs!$B$37))),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((Inputs!$B$6*(1+Inputs!$B$7/100))+(((Inputs!$B$12*(1+Inputs!$B$13/100))-(Inputs!$B$12*(1+Inputs!$B$13/100)))+0.25*(Inputs!$B$14-Inputs!$B$14))*(1+Inputs!$B$7/100))*(F959/100)</f>
        <v/>
      </c>
      <c r="K959">
        <f>J959*(1+((Inputs!$B$12*(1+Inputs!$B$13/100))*0.01+Inputs!$B$14*0.0025)/100)*(1+Inputs!$B$15/100)*(1+Inputs!$B$16/100)*(5000/(6000+Inputs!$B$42*(1-(Inputs!$B$19+0)/100)))*(1+(Inputs!$B$24+0+B986)/100)*(1+(IF(Skills!A6="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959)</f>
        <v/>
      </c>
      <c r="L959">
        <f>K959*(MIN(Inputs!$B$22+((C975=TRUE)*(F975-Calc!F22)),Inputs!$B$23+((C977=TRUE)*(F977-Calc!F24)))/100+(Inputs!$B$23+((C977=TRUE)*(F977-Calc!F24)))/100)/2</f>
        <v/>
      </c>
      <c r="M959">
        <f>L959*(1+(Inputs!$B$10+0+B985)/100)</f>
        <v/>
      </c>
      <c r="N959">
        <f>L959*(1-MIN((Inputs!$B$9+0+B980),100)/100)+M959*(MIN((Inputs!$B$9+0+B980),100)/100)</f>
        <v/>
      </c>
      <c r="O959">
        <f>(1-Summary!$B$55)*T959+Summary!$B$55*V959</f>
        <v/>
      </c>
      <c r="P959">
        <f>IF(B990=0,0,O959/B990)</f>
        <v/>
      </c>
      <c r="Q959">
        <f>IFERROR(1/IF(Inputs!$B$38="pvp",15,MAX(0.1,Skills!D6-IF(Skills!E6=TRUE,(Inputs!$B$32+1),0))),0)</f>
        <v/>
      </c>
      <c r="R959">
        <f>IF(AND(Inputs!$B$38&lt;&gt;"pvp",Inputs!$B$43&gt;0),IF(MAX(0,Inputs!$B$43-B987)&lt;=0,0,(INT(MAX(0,Inputs!$B$43-B987)/IF(Inputs!$B$38="pvp",15,MAX(0.1,Skills!D6-IF(Skills!E6=TRUE,(Inputs!$B$32+1),0))))+1)),0)</f>
        <v/>
      </c>
      <c r="S959">
        <f>IFERROR(O959/N959,0)</f>
        <v/>
      </c>
      <c r="T959">
        <f>IF(C959,(H959*N959*IF(AND(Inputs!$B$38&lt;&gt;"pvp",Inputs!$B$43&gt;0),((Skills!G6*((R959-1)*IF(Skills!H6&gt;0,Skills!I6/Skills!H6,1)+IF(Skills!H6&gt;0,MIN(Skills!I6,MAX(0,MAX(0,Inputs!$B$43-B987)-((R959-1)*IF(Inputs!$B$38="pvp",15,MAX(0.1,Skills!D6-IF(Skills!E6=TRUE,(Inputs!$B$32+1),0))))))/Skills!H6,1)))/Inputs!$B$43),G959*Q959))*IF(Inputs!$B$38="pvp",1,1+(Inputs!$B$20+0+Skills!P6)/100),0)</f>
        <v/>
      </c>
      <c r="V959">
        <f>IF(C959,(H959*N959*IF(AND(Inputs!$B$38&lt;&gt;"pvp",Inputs!$B$43&gt;0),((Skills!G6*((R959-1)*IF(Skills!H6&gt;0,Skills!I6/Skills!H6,1)+IF(Skills!H6&gt;0,MIN(Skills!I6,MAX(0,MAX(0,Inputs!$B$43-B987)-((R959-1)*IF(Inputs!$B$38="pvp",15,MAX(0.1,Skills!D6-IF(Skills!E6=TRUE,(Inputs!$B$32+1),0))))))/Skills!H6,1)))/Inputs!$B$43),G959*Q959))*IF(Inputs!$B$38="pvp",1,(1+(Inputs!$B$21+Skills!Q6)/100)*(MIN(Skills!R6,Inputs!$B$37))),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((Inputs!$B$6*(1+Inputs!$B$7/100))+(((Inputs!$B$12*(1+Inputs!$B$13/100))-(Inputs!$B$12*(1+Inputs!$B$13/100)))+0.25*(Inputs!$B$14-Inputs!$B$14))*(1+Inputs!$B$7/100))*(F960/100)</f>
        <v/>
      </c>
      <c r="K960">
        <f>J960*(1+((Inputs!$B$12*(1+Inputs!$B$13/100))*0.01+Inputs!$B$14*0.0025)/100)*(1+Inputs!$B$15/100)*(1+Inputs!$B$16/100)*(5000/(6000+Inputs!$B$42*(1-(Inputs!$B$19+0)/100)))*(1+(Inputs!$B$24+0+B986)/100)*(1+(IF(Skills!A7="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960)</f>
        <v/>
      </c>
      <c r="L960">
        <f>K960*(MIN(Inputs!$B$22+((C975=TRUE)*(F975-Calc!F22)),Inputs!$B$23+((C977=TRUE)*(F977-Calc!F24)))/100+(Inputs!$B$23+((C977=TRUE)*(F977-Calc!F24)))/100)/2</f>
        <v/>
      </c>
      <c r="M960">
        <f>L960*(1+(Inputs!$B$10+0+B985)/100)</f>
        <v/>
      </c>
      <c r="N960">
        <f>L960*(1-MIN((Inputs!$B$9+0+B980),100)/100)+M960*(MIN((Inputs!$B$9+0+B980),100)/100)</f>
        <v/>
      </c>
      <c r="O960">
        <f>(1-Summary!$B$55)*T960+Summary!$B$55*V960</f>
        <v/>
      </c>
      <c r="P960">
        <f>IF(B990=0,0,O960/B990)</f>
        <v/>
      </c>
      <c r="Q960">
        <f>IFERROR(1/IF(Inputs!$B$38="pvp",15,MAX(0.1,Skills!D7-IF(Skills!E7=TRUE,(Inputs!$B$32+1),0))),0)</f>
        <v/>
      </c>
      <c r="R960">
        <f>IF(AND(Inputs!$B$38&lt;&gt;"pvp",Inputs!$B$43&gt;0),IF(MAX(0,Inputs!$B$43-B987)&lt;=0,0,(INT(MAX(0,Inputs!$B$43-B987)/IF(Inputs!$B$38="pvp",15,MAX(0.1,Skills!D7-IF(Skills!E7=TRUE,(Inputs!$B$32+1),0))))+1)),0)</f>
        <v/>
      </c>
      <c r="S960">
        <f>IFERROR(O960/N960,0)</f>
        <v/>
      </c>
      <c r="T960">
        <f>IF(C960,(H960*N960*IF(AND(Inputs!$B$38&lt;&gt;"pvp",Inputs!$B$43&gt;0),((Skills!G7*((R960-1)*IF(Skills!H7&gt;0,Skills!I7/Skills!H7,1)+IF(Skills!H7&gt;0,MIN(Skills!I7,MAX(0,MAX(0,Inputs!$B$43-B987)-((R960-1)*IF(Inputs!$B$38="pvp",15,MAX(0.1,Skills!D7-IF(Skills!E7=TRUE,(Inputs!$B$32+1),0))))))/Skills!H7,1)))/Inputs!$B$43),G960*Q960))*IF(Inputs!$B$38="pvp",1,1+(Inputs!$B$20+0+Skills!P7)/100),0)</f>
        <v/>
      </c>
      <c r="V960">
        <f>IF(C960,(H960*N960*IF(AND(Inputs!$B$38&lt;&gt;"pvp",Inputs!$B$43&gt;0),((Skills!G7*((R960-1)*IF(Skills!H7&gt;0,Skills!I7/Skills!H7,1)+IF(Skills!H7&gt;0,MIN(Skills!I7,MAX(0,MAX(0,Inputs!$B$43-B987)-((R960-1)*IF(Inputs!$B$38="pvp",15,MAX(0.1,Skills!D7-IF(Skills!E7=TRUE,(Inputs!$B$32+1),0))))))/Skills!H7,1)))/Inputs!$B$43),G960*Q960))*IF(Inputs!$B$38="pvp",1,(1+(Inputs!$B$21+Skills!Q7)/100)*(MIN(Skills!R7,Inputs!$B$37))),0)</f>
        <v/>
      </c>
    </row>
    <row r="961">
      <c r="A961">
        <f>Skills!A8</f>
        <v/>
      </c>
      <c r="B961">
        <f>Skills!B8</f>
        <v/>
      </c>
      <c r="C961">
        <f>Inputs!$B$3&gt;=107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((Inputs!$B$6*(1+Inputs!$B$7/100))+(((Inputs!$B$12*(1+Inputs!$B$13/100))-(Inputs!$B$12*(1+Inputs!$B$13/100)))+0.25*(Inputs!$B$14-Inputs!$B$14))*(1+Inputs!$B$7/100))*(F961/100)</f>
        <v/>
      </c>
      <c r="K961">
        <f>J961*(1+((Inputs!$B$12*(1+Inputs!$B$13/100))*0.01+Inputs!$B$14*0.0025)/100)*(1+Inputs!$B$15/100)*(1+Inputs!$B$16/100)*(5000/(6000+Inputs!$B$42*(1-(Inputs!$B$19+0)/100)))*(1+(Inputs!$B$24+0+B986)/100)*(1+(IF(Skills!A8="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961)</f>
        <v/>
      </c>
      <c r="L961">
        <f>K961*(MIN(Inputs!$B$22+((C975=TRUE)*(F975-Calc!F22)),Inputs!$B$23+((C977=TRUE)*(F977-Calc!F24)))/100+(Inputs!$B$23+((C977=TRUE)*(F977-Calc!F24)))/100)/2</f>
        <v/>
      </c>
      <c r="M961">
        <f>L961*(1+(Inputs!$B$10+0+B985)/100)</f>
        <v/>
      </c>
      <c r="N961">
        <f>L961*(1-MIN((Inputs!$B$9+0+B980),100)/100)+M961*(MIN((Inputs!$B$9+0+B980),100)/100)</f>
        <v/>
      </c>
      <c r="O961">
        <f>(1-Summary!$B$55)*T961+Summary!$B$55*V961</f>
        <v/>
      </c>
      <c r="P961">
        <f>IF(B990=0,0,O961/B990)</f>
        <v/>
      </c>
      <c r="Q961">
        <f>IFERROR(1/IF(Inputs!$B$38="pvp",15,MAX(0.1,Skills!D8-IF(Skills!E8=TRUE,(Inputs!$B$32+1),0))),0)</f>
        <v/>
      </c>
      <c r="R961">
        <f>IF(AND(Inputs!$B$38&lt;&gt;"pvp",Inputs!$B$43&gt;0),IF(MAX(0,Inputs!$B$43-B987)&lt;=0,0,(INT(MAX(0,Inputs!$B$43-B987)/IF(Inputs!$B$38="pvp",15,MAX(0.1,Skills!D8-IF(Skills!E8=TRUE,(Inputs!$B$32+1),0))))+1)),0)</f>
        <v/>
      </c>
      <c r="S961">
        <f>IFERROR(O961/N961,0)</f>
        <v/>
      </c>
      <c r="T961">
        <f>IF(C961,(H961*N961*IF(AND(Inputs!$B$38&lt;&gt;"pvp",Inputs!$B$43&gt;0),((Skills!G8*((R961-1)*IF(Skills!H8&gt;0,Skills!I8/Skills!H8,1)+IF(Skills!H8&gt;0,MIN(Skills!I8,MAX(0,MAX(0,Inputs!$B$43-B987)-((R961-1)*IF(Inputs!$B$38="pvp",15,MAX(0.1,Skills!D8-IF(Skills!E8=TRUE,(Inputs!$B$32+1),0))))))/Skills!H8,1)))/Inputs!$B$43),G961*Q961))*IF(Inputs!$B$38="pvp",1,1+(Inputs!$B$20+0+Skills!P8)/100),0)</f>
        <v/>
      </c>
      <c r="V961">
        <f>IF(C961,(H961*N961*IF(AND(Inputs!$B$38&lt;&gt;"pvp",Inputs!$B$43&gt;0),((Skills!G8*((R961-1)*IF(Skills!H8&gt;0,Skills!I8/Skills!H8,1)+IF(Skills!H8&gt;0,MIN(Skills!I8,MAX(0,MAX(0,Inputs!$B$43-B987)-((R961-1)*IF(Inputs!$B$38="pvp",15,MAX(0.1,Skills!D8-IF(Skills!E8=TRUE,(Inputs!$B$32+1),0))))))/Skills!H8,1)))/Inputs!$B$43),G961*Q961))*IF(Inputs!$B$38="pvp",1,(1+(Inputs!$B$21+Skills!Q8)/100)*(MIN(Skills!R8,Inputs!$B$37))),0)</f>
        <v/>
      </c>
    </row>
    <row r="962">
      <c r="A962">
        <f>Skills!A9</f>
        <v/>
      </c>
      <c r="B962">
        <f>Skills!B9</f>
        <v/>
      </c>
      <c r="C962">
        <f>Inputs!$B$3&gt;=125</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((Inputs!$B$6*(1+Inputs!$B$7/100))+(((Inputs!$B$12*(1+Inputs!$B$13/100))-(Inputs!$B$12*(1+Inputs!$B$13/100)))+0.25*(Inputs!$B$14-Inputs!$B$14))*(1+Inputs!$B$7/100))*(F962/100)</f>
        <v/>
      </c>
      <c r="K962">
        <f>J962*(1+((Inputs!$B$12*(1+Inputs!$B$13/100))*0.01+Inputs!$B$14*0.0025)/100)*(1+Inputs!$B$15/100)*(1+Inputs!$B$16/100)*(5000/(6000+Inputs!$B$42*(1-(Inputs!$B$19+0)/100)))*(1+(Inputs!$B$24+0+B986)/100)*(1+(IF(Skills!A9="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962)</f>
        <v/>
      </c>
      <c r="L962">
        <f>K962*(MIN(Inputs!$B$22+((C975=TRUE)*(F975-Calc!F22)),Inputs!$B$23+((C977=TRUE)*(F977-Calc!F24)))/100+(Inputs!$B$23+((C977=TRUE)*(F977-Calc!F24)))/100)/2</f>
        <v/>
      </c>
      <c r="M962">
        <f>L962*(1+(Inputs!$B$10+0+B985)/100)</f>
        <v/>
      </c>
      <c r="N962">
        <f>L962*(1-MIN((Inputs!$B$9+0+B980),100)/100)+M962*(MIN((Inputs!$B$9+0+B980),100)/100)</f>
        <v/>
      </c>
      <c r="O962">
        <f>(1-Summary!$B$55)*T962+Summary!$B$55*V962</f>
        <v/>
      </c>
      <c r="P962">
        <f>IF(B990=0,0,O962/B990)</f>
        <v/>
      </c>
      <c r="Q962">
        <f>IFERROR(1/IF(Inputs!$B$38="pvp",15,MAX(0.1,Skills!D9-IF(Skills!E9=TRUE,(Inputs!$B$32+1),0))),0)</f>
        <v/>
      </c>
      <c r="R962">
        <f>IF(AND(Inputs!$B$38&lt;&gt;"pvp",Inputs!$B$43&gt;0),IF(MAX(0,Inputs!$B$43-B987)&lt;=0,0,(INT(MAX(0,Inputs!$B$43-B987)/IF(Inputs!$B$38="pvp",15,MAX(0.1,Skills!D9-IF(Skills!E9=TRUE,(Inputs!$B$32+1),0))))+1)),0)</f>
        <v/>
      </c>
      <c r="S962">
        <f>IFERROR(O962/N962,0)</f>
        <v/>
      </c>
      <c r="T962">
        <f>IF(C962,(H962*N962*IF(AND(Inputs!$B$38&lt;&gt;"pvp",Inputs!$B$43&gt;0),((Skills!G9*((R962-1)*IF(Skills!H9&gt;0,Skills!I9/Skills!H9,1)+IF(Skills!H9&gt;0,MIN(Skills!I9,MAX(0,MAX(0,Inputs!$B$43-B987)-((R962-1)*IF(Inputs!$B$38="pvp",15,MAX(0.1,Skills!D9-IF(Skills!E9=TRUE,(Inputs!$B$32+1),0))))))/Skills!H9,1)))/Inputs!$B$43),G962*Q962))*IF(Inputs!$B$38="pvp",1,1+(Inputs!$B$20+0+Skills!P9)/100),0)</f>
        <v/>
      </c>
      <c r="V962">
        <f>IF(C962,(H962*N962*IF(AND(Inputs!$B$38&lt;&gt;"pvp",Inputs!$B$43&gt;0),((Skills!G9*((R962-1)*IF(Skills!H9&gt;0,Skills!I9/Skills!H9,1)+IF(Skills!H9&gt;0,MIN(Skills!I9,MAX(0,MAX(0,Inputs!$B$43-B987)-((R962-1)*IF(Inputs!$B$38="pvp",15,MAX(0.1,Skills!D9-IF(Skills!E9=TRUE,(Inputs!$B$32+1),0))))))/Skills!H9,1)))/Inputs!$B$43),G962*Q962))*IF(Inputs!$B$38="pvp",1,(1+(Inputs!$B$21+Skills!Q9)/100)*(MIN(Skills!R9,Inputs!$B$37))),0)</f>
        <v/>
      </c>
    </row>
    <row r="963">
      <c r="A963">
        <f>Skills!A10</f>
        <v/>
      </c>
      <c r="B963">
        <f>Skills!B10</f>
        <v/>
      </c>
      <c r="C963">
        <f>Inputs!$B$3&gt;=117</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((Inputs!$B$6*(1+Inputs!$B$7/100))+(((Inputs!$B$12*(1+Inputs!$B$13/100))-(Inputs!$B$12*(1+Inputs!$B$13/100)))+0.25*(Inputs!$B$14-Inputs!$B$14))*(1+Inputs!$B$7/100))*(F963/100)</f>
        <v/>
      </c>
      <c r="K963">
        <f>J963*(1+((Inputs!$B$12*(1+Inputs!$B$13/100))*0.01+Inputs!$B$14*0.0025)/100)*(1+Inputs!$B$15/100)*(1+Inputs!$B$16/100)*(5000/(6000+Inputs!$B$42*(1-(Inputs!$B$19+0)/100)))*(1+(Inputs!$B$24+0+B986)/100)*(1+(IF(Skills!A10="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963)</f>
        <v/>
      </c>
      <c r="L963">
        <f>K963*(MIN(Inputs!$B$22+((C975=TRUE)*(F975-Calc!F22)),Inputs!$B$23+((C977=TRUE)*(F977-Calc!F24)))/100+(Inputs!$B$23+((C977=TRUE)*(F977-Calc!F24)))/100)/2</f>
        <v/>
      </c>
      <c r="M963">
        <f>L963*(1+(Inputs!$B$10+0+B985)/100)</f>
        <v/>
      </c>
      <c r="N963">
        <f>L963*(1-MIN((Inputs!$B$9+0+B980),100)/100)+M963*(MIN((Inputs!$B$9+0+B980),100)/100)</f>
        <v/>
      </c>
      <c r="O963">
        <f>(1-Summary!$B$55)*T963+Summary!$B$55*V963</f>
        <v/>
      </c>
      <c r="P963">
        <f>IF(B990=0,0,O963/B990)</f>
        <v/>
      </c>
      <c r="Q963">
        <f>IFERROR(1/IF(Inputs!$B$38="pvp",15,MAX(0.1,Skills!D10-IF(Skills!E10=TRUE,(Inputs!$B$32+1),0))),0)</f>
        <v/>
      </c>
      <c r="R963">
        <f>IF(AND(Inputs!$B$38&lt;&gt;"pvp",Inputs!$B$43&gt;0),IF(MAX(0,Inputs!$B$43-B987)&lt;=0,0,(INT(MAX(0,Inputs!$B$43-B987)/IF(Inputs!$B$38="pvp",15,MAX(0.1,Skills!D10-IF(Skills!E10=TRUE,(Inputs!$B$32+1),0))))+1)),0)</f>
        <v/>
      </c>
      <c r="S963">
        <f>IFERROR(O963/N963,0)</f>
        <v/>
      </c>
      <c r="T963">
        <f>IF(C963,(H963*N963*IF(AND(Inputs!$B$38&lt;&gt;"pvp",Inputs!$B$43&gt;0),((Skills!G10*((R963-1)*IF(Skills!H10&gt;0,Skills!I10/Skills!H10,1)+IF(Skills!H10&gt;0,MIN(Skills!I10,MAX(0,MAX(0,Inputs!$B$43-B987)-((R963-1)*IF(Inputs!$B$38="pvp",15,MAX(0.1,Skills!D10-IF(Skills!E10=TRUE,(Inputs!$B$32+1),0))))))/Skills!H10,1)))/Inputs!$B$43),G963*Q963))*IF(Inputs!$B$38="pvp",1,1+(Inputs!$B$20+0+Skills!P10)/100),0)</f>
        <v/>
      </c>
      <c r="V963">
        <f>IF(C963,(H963*N963*IF(AND(Inputs!$B$38&lt;&gt;"pvp",Inputs!$B$43&gt;0),((Skills!G10*((R963-1)*IF(Skills!H10&gt;0,Skills!I10/Skills!H10,1)+IF(Skills!H10&gt;0,MIN(Skills!I10,MAX(0,MAX(0,Inputs!$B$43-B987)-((R963-1)*IF(Inputs!$B$38="pvp",15,MAX(0.1,Skills!D10-IF(Skills!E10=TRUE,(Inputs!$B$32+1),0))))))/Skills!H10,1)))/Inputs!$B$43),G963*Q963))*IF(Inputs!$B$38="pvp",1,(1+(Inputs!$B$21+Skills!Q10)/100)*(MIN(Skills!R10,Inputs!$B$37))),0)</f>
        <v/>
      </c>
    </row>
    <row r="964">
      <c r="A964">
        <f>Skills!A11</f>
        <v/>
      </c>
      <c r="B964">
        <f>Skills!B11</f>
        <v/>
      </c>
      <c r="C964">
        <f>Inputs!$B$3&gt;=63</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((Inputs!$B$6*(1+Inputs!$B$7/100))+(((Inputs!$B$12*(1+Inputs!$B$13/100))-(Inputs!$B$12*(1+Inputs!$B$13/100)))+0.25*(Inputs!$B$14-Inputs!$B$14))*(1+Inputs!$B$7/100))*(F964/100)</f>
        <v/>
      </c>
      <c r="K964">
        <f>J964*(1+((Inputs!$B$12*(1+Inputs!$B$13/100))*0.01+Inputs!$B$14*0.0025)/100)*(1+Inputs!$B$15/100)*(1+Inputs!$B$16/100)*(5000/(6000+Inputs!$B$42*(1-(Inputs!$B$19+0)/100)))*(1+(Inputs!$B$24+0+B986)/100)*(1+1.5*IF(C965=TRUE,F965,0)/100)*(1+(IF(Skills!A11="BLAST",Inputs!$B$17+((C974=TRUE)*(F974-Calc!F21)),Inputs!$B$18+((C976=TRUE)*(F976-Calc!F23))))/100)*((1+(((C966=TRUE)*F966*MIN(1,Skills!T13*(Skills!J13/100)*B984))+((C971=TRUE)*F971*IF(AND(Inputs!$B$38&lt;&gt;"pvp",Inputs!$B$43&gt;0),(((R971-1)*(Skills!T18*(1+Inputs!$B$34/100))+MIN((Skills!T18*(1+Inputs!$B$34/100)),MAX(0,Inputs!$B$43-((R971-1)*Skills!D18))))/Inputs!$B$43),IF(Inputs!$B$38="pvp",MIN((Skills!T18*(1+Inputs!$B$34/100)),15)/15,(Skills!T18*(1+Inputs!$B$34/100))/Skills!D18)))+0)/100)*I964)</f>
        <v/>
      </c>
      <c r="L964">
        <f>K964*(MIN(Inputs!$B$22+((C975=TRUE)*(F975-Calc!F22)),Inputs!$B$23+((C977=TRUE)*(F977-Calc!F24)))/100+(Inputs!$B$23+((C977=TRUE)*(F977-Calc!F24)))/100)/2</f>
        <v/>
      </c>
      <c r="M964">
        <f>L964*(1+(Inputs!$B$10+0+B985)/100)</f>
        <v/>
      </c>
      <c r="N964">
        <f>L964*(1-MIN((Inputs!$B$9+0+B980),100)/100)+M964*(MIN((Inputs!$B$9+0+B980),100)/100)</f>
        <v/>
      </c>
      <c r="O964">
        <f>(1-Summary!$B$55)*T964+Summary!$B$55*V964</f>
        <v/>
      </c>
      <c r="P964">
        <f>IF(B990=0,0,O964/B990)</f>
        <v/>
      </c>
      <c r="Q964">
        <f>IFERROR(1/IF(Inputs!$B$38="pvp",15,MAX(0.1,Skills!D11-IF(Skills!E11=TRUE,(Inputs!$B$32+1),0))),0)</f>
        <v/>
      </c>
      <c r="R964">
        <f>IF(AND(Inputs!$B$38&lt;&gt;"pvp",Inputs!$B$43&gt;0),IF(MAX(0,Inputs!$B$43-B987)&lt;=0,0,(INT(MAX(0,Inputs!$B$43-B987)/IF(Inputs!$B$38="pvp",15,MAX(0.1,Skills!D11-IF(Skills!E11=TRUE,(Inputs!$B$32+1),0))))+1)),0)</f>
        <v/>
      </c>
      <c r="S964">
        <f>IFERROR(O964/N964,0)</f>
        <v/>
      </c>
      <c r="T964">
        <f>IF(C964,(H964*N964*IF(AND(Inputs!$B$38&lt;&gt;"pvp",Inputs!$B$43&gt;0),((Skills!G11*((R964-1)*IF(Skills!H11&gt;0,Skills!I11/Skills!H11,1)+IF(Skills!H11&gt;0,MIN(Skills!I11,MAX(0,MAX(0,Inputs!$B$43-B987)-((R964-1)*IF(Inputs!$B$38="pvp",15,MAX(0.1,Skills!D11-IF(Skills!E11=TRUE,(Inputs!$B$32+1),0))))))/Skills!H11,1)))/Inputs!$B$43),G964*Q964))*IF(Inputs!$B$38="pvp",1,1+(Inputs!$B$20+0+Skills!P11)/100),0)</f>
        <v/>
      </c>
      <c r="V964">
        <f>IF(C964,(H964*N964*IF(AND(Inputs!$B$38&lt;&gt;"pvp",Inputs!$B$43&gt;0),((Skills!G11*((R964-1)*IF(Skills!H11&gt;0,Skills!I11/Skills!H11,1)+IF(Skills!H11&gt;0,MIN(Skills!I11,MAX(0,MAX(0,Inputs!$B$43-B987)-((R964-1)*IF(Inputs!$B$38="pvp",15,MAX(0.1,Skills!D11-IF(Skills!E11=TRUE,(Inputs!$B$32+1),0))))))/Skills!H11,1)))/Inputs!$B$43),G964*Q964))*IF(Inputs!$B$38="pvp",1,(1+(Inputs!$B$21+Skills!Q11)/100)*(MIN(Skills!R11,Inputs!$B$37))),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(1-Summary!$B$55)*T966+Summary!$B$55*V966</f>
        <v/>
      </c>
      <c r="P966">
        <f>IF(B990=0,0,O966/B990)</f>
        <v/>
      </c>
      <c r="Q966" t="n">
        <v>0</v>
      </c>
      <c r="R966" t="n">
        <v>0</v>
      </c>
      <c r="S966">
        <f>IFERROR(O966/N966,0)</f>
        <v/>
      </c>
      <c r="T966" t="n">
        <v>0</v>
      </c>
      <c r="V966" t="n">
        <v>0</v>
      </c>
    </row>
    <row r="967">
      <c r="A967">
        <f>Skills!A14</f>
        <v/>
      </c>
      <c r="B967">
        <f>Skills!B14</f>
        <v/>
      </c>
      <c r="C967">
        <f>Inputs!$B$3&gt;=110</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(1-Summary!$B$55)*T967+Summary!$B$55*V967</f>
        <v/>
      </c>
      <c r="P967">
        <f>IF(B990=0,0,O967/B990)</f>
        <v/>
      </c>
      <c r="Q967" t="n">
        <v>0</v>
      </c>
      <c r="R967" t="n">
        <v>0</v>
      </c>
      <c r="S967">
        <f>IFERROR(O967/N967,0)</f>
        <v/>
      </c>
      <c r="T967" t="n">
        <v>0</v>
      </c>
      <c r="V967" t="n">
        <v>0</v>
      </c>
    </row>
    <row r="968">
      <c r="A968">
        <f>Skills!A15</f>
        <v/>
      </c>
      <c r="B968">
        <f>Skills!B15</f>
        <v/>
      </c>
      <c r="C968">
        <f>Inputs!$B$3&gt;=75</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(1-Summary!$B$55)*T968+Summary!$B$55*V968</f>
        <v/>
      </c>
      <c r="P968">
        <f>IF(B990=0,0,O968/B990)</f>
        <v/>
      </c>
      <c r="Q968">
        <f>IFERROR(1/IF(Inputs!$B$38="pvp",15,MAX(0.1,Skills!D15-IF(Skills!E15=TRUE,(Inputs!$B$32+1),0))),0)</f>
        <v/>
      </c>
      <c r="R968">
        <f>IF(AND(Inputs!$B$38&lt;&gt;"pvp",Inputs!$B$43&gt;0),IF(Inputs!$B$43&lt;=0,0,(INT(Inputs!$B$43/IF(Inputs!$B$38="pvp",15,MAX(0.1,Skills!D15-IF(Skills!E15=TRUE,(Inputs!$B$32+1),0))))+1)),0)</f>
        <v/>
      </c>
      <c r="S968">
        <f>IFERROR(O968/N968,0)</f>
        <v/>
      </c>
      <c r="T968" t="n">
        <v>0</v>
      </c>
      <c r="V968" t="n">
        <v>0</v>
      </c>
    </row>
    <row r="969">
      <c r="A969">
        <f>Skills!A16</f>
        <v/>
      </c>
      <c r="B969">
        <f>Skills!B16</f>
        <v/>
      </c>
      <c r="C969">
        <f>Inputs!$B$3&gt;=105</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(1-Summary!$B$55)*T969+Summary!$B$55*V969</f>
        <v/>
      </c>
      <c r="P969">
        <f>IF(B990=0,0,O969/B990)</f>
        <v/>
      </c>
      <c r="Q969">
        <f>IFERROR(1/IF(Inputs!$B$38="pvp",15,MAX(0.1,Skills!D16-IF(Skills!E16=TRUE,(Inputs!$B$32+1),0))),0)</f>
        <v/>
      </c>
      <c r="R969">
        <f>IF(AND(Inputs!$B$38&lt;&gt;"pvp",Inputs!$B$43&gt;0),IF(Inputs!$B$43&lt;=0,0,(INT(Inputs!$B$43/IF(Inputs!$B$38="pvp",15,MAX(0.1,Skills!D16-IF(Skills!E16=TRUE,(Inputs!$B$32+1),0))))+1)),0)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(1-Summary!$B$55)*T970+Summary!$B$55*V970</f>
        <v/>
      </c>
      <c r="P970">
        <f>IF(B990=0,0,O970/B990)</f>
        <v/>
      </c>
      <c r="Q970">
        <f>IFERROR(1/IF(Inputs!$B$38="pvp",15,MAX(0.1,Skills!D17-IF(Skills!E17=TRUE,(Inputs!$B$32+1),0))),0)</f>
        <v/>
      </c>
      <c r="R970">
        <f>IF(AND(Inputs!$B$38&lt;&gt;"pvp",Inputs!$B$43&gt;0),IF(Inputs!$B$43&lt;=0,0,(INT(Inputs!$B$43/IF(Inputs!$B$38="pvp",15,MAX(0.1,Skills!D17-IF(Skills!E17=TRUE,(Inputs!$B$32+1),0))))+1)),0)</f>
        <v/>
      </c>
      <c r="S970">
        <f>IFERROR(O970/N970,0)</f>
        <v/>
      </c>
      <c r="T970" t="n">
        <v>0</v>
      </c>
      <c r="V970" t="n">
        <v>0</v>
      </c>
    </row>
    <row r="971">
      <c r="A971">
        <f>Skills!A18</f>
        <v/>
      </c>
      <c r="B971">
        <f>Skills!B18</f>
        <v/>
      </c>
      <c r="C971">
        <f>Inputs!$B$3&gt;=74</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(1-Summary!$B$55)*T971+Summary!$B$55*V971</f>
        <v/>
      </c>
      <c r="P971">
        <f>IF(B990=0,0,O971/B990)</f>
        <v/>
      </c>
      <c r="Q971">
        <f>IFERROR(1/IF(Inputs!$B$38="pvp",15,MAX(0.1,Skills!D18-IF(Skills!E18=TRUE,(Inputs!$B$32+1),0))),0)</f>
        <v/>
      </c>
      <c r="R971">
        <f>IF(AND(Inputs!$B$38&lt;&gt;"pvp",Inputs!$B$43&gt;0),IF(Inputs!$B$43&lt;=0,0,(INT(Inputs!$B$43/IF(Inputs!$B$38="pvp",15,MAX(0.1,Skills!D18-IF(Skills!E18=TRUE,(Inputs!$B$32+1),0))))+1)),0)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(1-Summary!$B$55)*T972+Summary!$B$55*V972</f>
        <v/>
      </c>
      <c r="P972">
        <f>IF(B990=0,0,O972/B990)</f>
        <v/>
      </c>
      <c r="Q972">
        <f>IFERROR(1/IF(Inputs!$B$38="pvp",15,MAX(0.1,Skills!D19-IF(Skills!E19=TRUE,(Inputs!$B$32+1),0))),0)</f>
        <v/>
      </c>
      <c r="R972">
        <f>IF(AND(Inputs!$B$38&lt;&gt;"pvp",Inputs!$B$43&gt;0),IF(Inputs!$B$43&lt;=0,0,(INT(Inputs!$B$43/IF(Inputs!$B$38="pvp",15,MAX(0.1,Skills!D19-IF(Skills!E19=TRUE,(Inputs!$B$32+1),0))))+1)),0)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(1-Summary!$B$55)*T973+Summary!$B$55*V973</f>
        <v/>
      </c>
      <c r="P973">
        <f>IF(B990=0,0,O973/B990)</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(1-Summary!$B$55)*T974+Summary!$B$55*V974</f>
        <v/>
      </c>
      <c r="P974">
        <f>IF(B990=0,0,O974/B990)</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(1-Summary!$B$55)*T975+Summary!$B$55*V975</f>
        <v/>
      </c>
      <c r="P975">
        <f>IF(B990=0,0,O975/B990)</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(1-Summary!$B$55)*T976+Summary!$B$55*V976</f>
        <v/>
      </c>
      <c r="P976">
        <f>IF(B990=0,0,O976/B990)</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(1-Summary!$B$55)*T977+Summary!$B$55*V977</f>
        <v/>
      </c>
      <c r="P977">
        <f>IF(B990=0,0,O977/B990)</f>
        <v/>
      </c>
      <c r="Q977" t="n">
        <v>0</v>
      </c>
      <c r="R977" t="n">
        <v>0</v>
      </c>
      <c r="S977">
        <f>IFERROR(O977/N977,0)</f>
        <v/>
      </c>
      <c r="T977" t="n">
        <v>0</v>
      </c>
      <c r="V977" t="n">
        <v>0</v>
      </c>
    </row>
    <row r="979">
      <c r="A979" t="inlineStr">
        <is>
          <t>Attack% Bucket Multiplier</t>
        </is>
      </c>
      <c r="B979">
        <f>(1+(((C966=TRUE)*F966*MIN(1,Skills!T13*(Skills!J13/100)*B984))+((C971=TRUE)*F971*IF(AND(Inputs!$B$38&lt;&gt;"pvp",Inputs!$B$43&gt;0),(((R971-1)*(Skills!T18*(1+Inputs!$B$34/100))+MIN((Skills!T18*(1+Inputs!$B$34/100)),MAX(0,Inputs!$B$43-((R971-1)*Skills!D18))))/Inputs!$B$43),IF(Inputs!$B$38="pvp",MIN((Skills!T18*(1+Inputs!$B$34/100)),15)/15,(Skills!T18*(1+Inputs!$B$34/100))/Skills!D18)))+0)/100)</f>
        <v/>
      </c>
    </row>
    <row r="980">
      <c r="A980" t="inlineStr">
        <is>
          <t>Global Crit Rate Bonus %</t>
        </is>
      </c>
      <c r="B980" t="n">
        <v>0</v>
      </c>
    </row>
    <row r="981">
      <c r="A981" t="inlineStr">
        <is>
          <t>Attack Speed Buff Bonus %</t>
        </is>
      </c>
      <c r="B981">
        <f>((C972=TRUE)*F972*IF(AND(Inputs!$B$38&lt;&gt;"pvp",Inputs!$B$43&gt;0),(((R972-1)*(Skills!T19*(1+Inputs!$B$34/100))+MIN((Skills!T19*(1+Inputs!$B$34/100)),MAX(0,Inputs!$B$43-((R972-1)*Skills!D19))))/Inputs!$B$43),IF(Inputs!$B$38="pvp",MIN((Skills!T19*(1+Inputs!$B$34/100)),15)/15,(Skills!T19*(1+Inputs!$B$34/100))/Skills!D19)))</f>
        <v/>
      </c>
    </row>
    <row r="982">
      <c r="A982" t="inlineStr">
        <is>
          <t>Actions Per Second</t>
        </is>
      </c>
      <c r="B982">
        <f>1+MIN(150,150*(1-(1-(Inputs!$B$11+((C973=TRUE)*(F973-Calc!F20)))/150)*(1-B981/150)))/100</f>
        <v/>
      </c>
    </row>
    <row r="983">
      <c r="A983" t="inlineStr">
        <is>
          <t>Skill + Buff Cast Rate</t>
        </is>
      </c>
      <c r="B983">
        <f>IF(AND(Inputs!$B$38&lt;&gt;"pvp",Inputs!$B$43&gt;0),SUMPRODUCT((Skills!E2:E24=TRUE)*(C955:C977=TRUE)*R955:R977*Skills!F2:F24)/Inputs!$B$43,SUMPRODUCT((Skills!E2:E24=TRUE)*(C955:C977=TRUE)*Q955:Q977*Skills!F2:F24))</f>
        <v/>
      </c>
    </row>
    <row r="984">
      <c r="A984" t="inlineStr">
        <is>
          <t>Blast Casts Per Second</t>
        </is>
      </c>
      <c r="B984">
        <f>MAX(0,B982-B983)</f>
        <v/>
      </c>
    </row>
    <row r="985">
      <c r="A985" t="inlineStr">
        <is>
          <t>Global Critical Damage Bonus % (unused)</t>
        </is>
      </c>
      <c r="B985" t="n">
        <v>0</v>
      </c>
    </row>
    <row r="986">
      <c r="A986" t="inlineStr">
        <is>
          <t>Global Final Damage Bonus % (Divine Shield + Guardian + Divine Blessing + Greater Vessel of Light)</t>
        </is>
      </c>
      <c r="B986">
        <f>((C968=TRUE)*F968*IF(AND(Inputs!$B$38&lt;&gt;"pvp",Inputs!$B$43&gt;0),(((R968-1)*(Skills!T15*(1+Inputs!$B$34/100))+MIN((Skills!T15*(1+Inputs!$B$34/100)),MAX(0,Inputs!$B$43-((R968-1)*Skills!D15))))/Inputs!$B$43),IF(Inputs!$B$38="pvp",MIN((Skills!T15*(1+Inputs!$B$34/100)),15)/15,(Skills!T15*(1+Inputs!$B$34/100))/Skills!D15)))+((C969=TRUE)*F969*IF(AND(Inputs!$B$38&lt;&gt;"pvp",Inputs!$B$43&gt;0),(((R969-1)*(Skills!T16*(1+Inputs!$B$34/100))+MIN((Skills!T16*(1+Inputs!$B$34/100)),MAX(0,Inputs!$B$43-((R969-1)*Skills!D16))))/Inputs!$B$43),IF(Inputs!$B$38="pvp",MIN((Skills!T16*(1+Inputs!$B$34/100)),15)/15,(Skills!T16*(1+Inputs!$B$34/100))/Skills!D16)))+((C970=TRUE)*F970*IF(AND(Inputs!$B$38&lt;&gt;"pvp",Inputs!$B$43&gt;0),(((R970-1)*(Skills!T17*(1+Inputs!$B$34/100))+MIN((Skills!T17*(1+Inputs!$B$34/100)),MAX(0,Inputs!$B$43-((R970-1)*Skills!D17))))/Inputs!$B$43),IF(Inputs!$B$38="pvp",MIN((Skills!T17*(1+Inputs!$B$34/100)),15)/15,(Skills!T17*(1+Inputs!$B$34/100))/Skills!D17)))+((C967=TRUE)*F967*MIN(1,Skills!T13*(Skills!J13/100)*B984))</f>
        <v/>
      </c>
    </row>
    <row r="987">
      <c r="A987" t="inlineStr">
        <is>
          <t>Buff-Casting Startup Delay (s, fixed-duration only)</t>
        </is>
      </c>
      <c r="B987">
        <f>IF(AND(Inputs!$B$38&lt;&gt;"pvp",Inputs!$B$43&gt;0),SUMPRODUCT((Skills!T2:T24&gt;0)*(Skills!E2:E24=TRUE)*(C955:C977=TRUE))/B982,0)</f>
        <v/>
      </c>
    </row>
    <row r="988">
      <c r="A988" t="inlineStr">
        <is>
          <t>Boss-Only Total DPS (this block's swept value)</t>
        </is>
      </c>
      <c r="B988">
        <f>SUM(T955:T977)</f>
        <v/>
      </c>
    </row>
    <row r="989">
      <c r="A989" t="inlineStr">
        <is>
          <t>Normal-Only Total DPS (this block's swept value)</t>
        </is>
      </c>
      <c r="B989">
        <f>SUM(V955:V977)</f>
        <v/>
      </c>
    </row>
    <row r="990">
      <c r="A990" s="5" t="inlineStr">
        <is>
          <t>TOTAL DPS</t>
        </is>
      </c>
      <c r="B990" s="5">
        <f>SUM(O955:O977)</f>
        <v/>
      </c>
    </row>
    <row r="993">
      <c r="A993" s="5" t="inlineStr">
        <is>
          <t>Stat: Basic Attack Target Increase (flat)</t>
        </is>
      </c>
    </row>
    <row r="994">
      <c r="A994" s="9" t="inlineStr">
        <is>
          <t>Key</t>
        </is>
      </c>
      <c r="B994" s="9" t="inlineStr">
        <is>
          <t>Name</t>
        </is>
      </c>
      <c r="C994" s="9" t="inlineStr">
        <is>
          <t>Unlocked</t>
        </is>
      </c>
      <c r="D994" s="9" t="inlineStr">
        <is>
          <t>InputLevel</t>
        </is>
      </c>
      <c r="E994" s="9" t="inlineStr">
        <is>
          <t>Factor</t>
        </is>
      </c>
      <c r="F994" s="9" t="inlineStr">
        <is>
          <t>CoefficientPercent</t>
        </is>
      </c>
      <c r="G994" s="9" t="inlineStr">
        <is>
          <t>EffectiveHits</t>
        </is>
      </c>
      <c r="H994" s="9" t="inlineStr">
        <is>
          <t>ProcProbability</t>
        </is>
      </c>
      <c r="I994" s="9" t="inlineStr">
        <is>
          <t>MapleHeroMultiplier</t>
        </is>
      </c>
      <c r="J994" s="9" t="inlineStr">
        <is>
          <t>BaseDamage</t>
        </is>
      </c>
      <c r="K994" s="9" t="inlineStr">
        <is>
          <t>BaseHitDamage</t>
        </is>
      </c>
      <c r="L994" s="9" t="inlineStr">
        <is>
          <t>NonCritAvg</t>
        </is>
      </c>
      <c r="M994" s="9" t="inlineStr">
        <is>
          <t>CritAvg</t>
        </is>
      </c>
      <c r="N994" s="9" t="inlineStr">
        <is>
          <t>ExpectedDamage(perHit)</t>
        </is>
      </c>
      <c r="O994" s="9" t="inlineStr">
        <is>
          <t>DPS</t>
        </is>
      </c>
      <c r="P994" s="9" t="inlineStr">
        <is>
          <t>% of Total</t>
        </is>
      </c>
      <c r="Q994" s="9" t="inlineStr">
        <is>
          <t>InvCooldown</t>
        </is>
      </c>
      <c r="R994" s="9" t="inlineStr">
        <is>
          <t>CastsInFight</t>
        </is>
      </c>
      <c r="S994" s="9"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1026)/100)*(1+(IF(Skills!A2="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995)</f>
        <v/>
      </c>
      <c r="L995">
        <f>K995*(MIN(Inputs!$B$22+((C1015=TRUE)*(F1015-Calc!F22)),Inputs!$B$23+((C1017=TRUE)*(F1017-Calc!F24)))/100+(Inputs!$B$23+((C1017=TRUE)*(F1017-Calc!F24)))/100)/2</f>
        <v/>
      </c>
      <c r="M995">
        <f>L995*(1+(Inputs!$B$10+0+B1025)/100)</f>
        <v/>
      </c>
      <c r="N995">
        <f>L995*(1-MIN((Inputs!$B$9+0+B1020),100)/100)+M995*(MIN((Inputs!$B$9+0+B1020),100)/100)</f>
        <v/>
      </c>
      <c r="O995">
        <f>(1-Summary!$B$55)*T995+Summary!$B$55*V995</f>
        <v/>
      </c>
      <c r="P995">
        <f>IF(B1030=0,0,O995/B1030)</f>
        <v/>
      </c>
      <c r="Q995" t="n">
        <v>0</v>
      </c>
      <c r="R995" t="n">
        <v>0</v>
      </c>
      <c r="S995">
        <f>IFERROR(O995/N995,0)</f>
        <v/>
      </c>
      <c r="T995">
        <f>IF(C995,(Skills!G2*N995*B1024)*IF(Inputs!$B$38="pvp",1,1+(Inputs!$B$20+0+Skills!P2)/100),0)</f>
        <v/>
      </c>
      <c r="U995">
        <f>MAX(0,(Inputs!$B$3-100)*3)+Inputs!$B$28+Inputs!$B$29</f>
        <v/>
      </c>
      <c r="V995">
        <f>IF(C995,(Skills!G2*N995*B1024)*IF(Inputs!$B$38="pvp",1,(1+(Inputs!$B$21+Skills!Q2)/100)*(MIN((6+(Inputs!$B$33+1)),Inputs!$B$37))),0)</f>
        <v/>
      </c>
    </row>
    <row r="996">
      <c r="A996">
        <f>Skills!A3</f>
        <v/>
      </c>
      <c r="B996">
        <f>Skills!B3</f>
        <v/>
      </c>
      <c r="C996">
        <f>Inputs!$B$3&gt;=50</f>
        <v/>
      </c>
      <c r="D996">
        <f>IF(Skills!C3=1,60+Inputs!$B$25+Inputs!$B$29,IF(Skills!C3=2,90+Inputs!$B$26+Inputs!$B$29,IF(Skills!C3=3,120+Inputs!$B$27+Inputs!$B$29,MAX(0,(Inputs!$B$3-100)*3)+Inputs!$B$28+Inputs!$B$29)))</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Inputs!$B$3&gt;=35</f>
        <v/>
      </c>
      <c r="D997">
        <f>IF(Skills!C4=1,60+Inputs!$B$25+Inputs!$B$29,IF(Skills!C4=2,90+Inputs!$B$26+Inputs!$B$29,IF(Skills!C4=3,120+Inputs!$B$27+Inputs!$B$29,MAX(0,(Inputs!$B$3-100)*3)+Inputs!$B$28+Inputs!$B$29)))</f>
        <v/>
      </c>
      <c r="E997">
        <f>INDEX(FactorTable!$B$2:$Y$301, MATCH(ROUND(MIN(300,MAX(1,D997)),0), FactorTable!$A$2:$A$301,0), Skills!M4+1)</f>
        <v/>
      </c>
      <c r="F997">
        <f>IF(Skills!N4=TRUE,(Skills!L4/10)*(E997/1000),Skills!L4/10)+Skills!O4</f>
        <v/>
      </c>
      <c r="G997">
        <f>Skills!G4*IF(Skills!H4&gt;0,Skills!I4/Skills!H4,1)</f>
        <v/>
      </c>
      <c r="H997">
        <f>1-(1-Skills!J4/100)^Skills!K4</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1026)/100)*(1+4.0*IF(C1005=TRUE,F1005,0)/100)*(1+(IF(Skills!A4="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997)</f>
        <v/>
      </c>
      <c r="L997">
        <f>K997*(MIN(Inputs!$B$22+((C1015=TRUE)*(F1015-Calc!F22)),Inputs!$B$23+((C1017=TRUE)*(F1017-Calc!F24)))/100+(Inputs!$B$23+((C1017=TRUE)*(F1017-Calc!F24)))/100)/2</f>
        <v/>
      </c>
      <c r="M997">
        <f>L997*(1+(Inputs!$B$10+0+B1025)/100)</f>
        <v/>
      </c>
      <c r="N997">
        <f>L997*(1-MIN((Inputs!$B$9+0+B1020),100)/100)+M997*(MIN((Inputs!$B$9+0+B1020),100)/100)</f>
        <v/>
      </c>
      <c r="O997">
        <f>(1-Summary!$B$55)*T997+Summary!$B$55*V997</f>
        <v/>
      </c>
      <c r="P997">
        <f>IF(B1030=0,0,O997/B1030)</f>
        <v/>
      </c>
      <c r="Q997">
        <f>IFERROR(1/IF(Inputs!$B$38="pvp",15,MAX(0.1,Skills!D4-IF(Skills!E4=TRUE,Inputs!$B$32,0))),0)</f>
        <v/>
      </c>
      <c r="R997">
        <f>IF(AND(Inputs!$B$38&lt;&gt;"pvp",Inputs!$B$43&gt;0),IF(MAX(0,Inputs!$B$43-B1027)&lt;=0,0,(INT(MAX(0,Inputs!$B$43-B1027)/IF(Inputs!$B$38="pvp",15,MAX(0.1,Skills!D4-IF(Skills!E4=TRUE,Inputs!$B$32,0))))+1)),0)</f>
        <v/>
      </c>
      <c r="S997">
        <f>IFERROR(O997/N997,0)</f>
        <v/>
      </c>
      <c r="T997">
        <f>IF(C997,(H997*N997*IF(AND(Inputs!$B$38&lt;&gt;"pvp",Inputs!$B$43&gt;0),((Skills!G4*((R997-1)*IF(Skills!H4&gt;0,Skills!I4/Skills!H4,1)+IF(Skills!H4&gt;0,MIN(Skills!I4,MAX(0,MAX(0,Inputs!$B$43-B1027)-((R997-1)*IF(Inputs!$B$38="pvp",15,MAX(0.1,Skills!D4-IF(Skills!E4=TRUE,Inputs!$B$32,0))))))/Skills!H4,1)))/Inputs!$B$43),G997*Q997))*IF(Inputs!$B$38="pvp",1,1+(Inputs!$B$20+0+Skills!P4)/100),0)</f>
        <v/>
      </c>
      <c r="U997">
        <f>290*U996/1000</f>
        <v/>
      </c>
      <c r="V997">
        <f>IF(C997,(H997*N997*IF(AND(Inputs!$B$38&lt;&gt;"pvp",Inputs!$B$43&gt;0),((Skills!G4*((R997-1)*IF(Skills!H4&gt;0,Skills!I4/Skills!H4,1)+IF(Skills!H4&gt;0,MIN(Skills!I4,MAX(0,MAX(0,Inputs!$B$43-B1027)-((R997-1)*IF(Inputs!$B$38="pvp",15,MAX(0.1,Skills!D4-IF(Skills!E4=TRUE,Inputs!$B$32,0))))))/Skills!H4,1)))/Inputs!$B$43),G997*Q997))*IF(Inputs!$B$38="pvp",1,(1+(Inputs!$B$21+Skills!Q4)/100)*(MIN(Skills!R4,Inputs!$B$37))),0)</f>
        <v/>
      </c>
    </row>
    <row r="998">
      <c r="A998">
        <f>Skills!A5</f>
        <v/>
      </c>
      <c r="B998">
        <f>Skills!B5</f>
        <v/>
      </c>
      <c r="C998">
        <f>Inputs!$B$3&gt;=66</f>
        <v/>
      </c>
      <c r="D998">
        <f>IF(Skills!C5=1,60+Inputs!$B$25+Inputs!$B$29,IF(Skills!C5=2,90+Inputs!$B$26+Inputs!$B$29,IF(Skills!C5=3,120+Inputs!$B$27+Inputs!$B$29,MAX(0,(Inputs!$B$3-100)*3)+Inputs!$B$28+Inputs!$B$29)))</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1026)/100)*(1+1.0*IF(C1005=TRUE,F1005,0)/100)*(1+(IF(Skills!A5="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998)</f>
        <v/>
      </c>
      <c r="L998">
        <f>K998*(MIN(Inputs!$B$22+((C1015=TRUE)*(F1015-Calc!F22)),Inputs!$B$23+((C1017=TRUE)*(F1017-Calc!F24)))/100+(Inputs!$B$23+((C1017=TRUE)*(F1017-Calc!F24)))/100)/2</f>
        <v/>
      </c>
      <c r="M998">
        <f>L998*(1+(Inputs!$B$10+0+B1025)/100)</f>
        <v/>
      </c>
      <c r="N998">
        <f>L998*(1-MIN((Inputs!$B$9+0+B1020),100)/100)+M998*(MIN((Inputs!$B$9+0+B1020),100)/100)</f>
        <v/>
      </c>
      <c r="O998">
        <f>(1-Summary!$B$55)*T998+Summary!$B$55*V998</f>
        <v/>
      </c>
      <c r="P998">
        <f>IF(B1030=0,0,O998/B1030)</f>
        <v/>
      </c>
      <c r="Q998">
        <f>IFERROR(1/IF(Inputs!$B$38="pvp",15,MAX(0.1,Skills!D5-IF(Skills!E5=TRUE,Inputs!$B$32,0))),0)</f>
        <v/>
      </c>
      <c r="R998">
        <f>IF(AND(Inputs!$B$38&lt;&gt;"pvp",Inputs!$B$43&gt;0),IF(MAX(0,Inputs!$B$43-B1027)&lt;=0,0,(INT(MAX(0,Inputs!$B$43-B1027)/IF(Inputs!$B$38="pvp",15,MAX(0.1,Skills!D5-IF(Skills!E5=TRUE,Inputs!$B$32,0))))+1)),0)</f>
        <v/>
      </c>
      <c r="S998">
        <f>IFERROR(O998/N998,0)</f>
        <v/>
      </c>
      <c r="T998">
        <f>IF(C998,(H998*N998*IF(AND(Inputs!$B$38&lt;&gt;"pvp",Inputs!$B$43&gt;0),((Skills!G5*((R998-1)*IF(Skills!H5&gt;0,Skills!I5/Skills!H5,1)+IF(Skills!H5&gt;0,MIN(Skills!I5,MAX(0,MAX(0,Inputs!$B$43-B1027)-((R998-1)*IF(Inputs!$B$38="pvp",15,MAX(0.1,Skills!D5-IF(Skills!E5=TRUE,Inputs!$B$32,0))))))/Skills!H5,1)))/Inputs!$B$43),G998*Q998))*IF(Inputs!$B$38="pvp",1,1+(Inputs!$B$20+0+Skills!P5)/100),0)</f>
        <v/>
      </c>
      <c r="V998">
        <f>IF(C998,(H998*N998*IF(AND(Inputs!$B$38&lt;&gt;"pvp",Inputs!$B$43&gt;0),((Skills!G5*((R998-1)*IF(Skills!H5&gt;0,Skills!I5/Skills!H5,1)+IF(Skills!H5&gt;0,MIN(Skills!I5,MAX(0,MAX(0,Inputs!$B$43-B1027)-((R998-1)*IF(Inputs!$B$38="pvp",15,MAX(0.1,Skills!D5-IF(Skills!E5=TRUE,Inputs!$B$32,0))))))/Skills!H5,1)))/Inputs!$B$43),G998*Q998))*IF(Inputs!$B$38="pvp",1,(1+(Inputs!$B$21+Skills!Q5)/100)*(MIN(Skills!R5,Inputs!$B$37))),0)</f>
        <v/>
      </c>
    </row>
    <row r="999">
      <c r="A999">
        <f>Skills!A6</f>
        <v/>
      </c>
      <c r="B999">
        <f>Skills!B6</f>
        <v/>
      </c>
      <c r="C999">
        <f>Inputs!$B$3&gt;=103</f>
        <v/>
      </c>
      <c r="D999">
        <f>IF(Skills!C6=1,60+Inputs!$B$25+Inputs!$B$29,IF(Skills!C6=2,90+Inputs!$B$26+Inputs!$B$29,IF(Skills!C6=3,120+Inputs!$B$27+Inputs!$B$29,MAX(0,(Inputs!$B$3-100)*3)+Inputs!$B$28+Inputs!$B$29)))</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1026)/100)*(1+(IF(Skills!A6="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999)</f>
        <v/>
      </c>
      <c r="L999">
        <f>K999*(MIN(Inputs!$B$22+((C1015=TRUE)*(F1015-Calc!F22)),Inputs!$B$23+((C1017=TRUE)*(F1017-Calc!F24)))/100+(Inputs!$B$23+((C1017=TRUE)*(F1017-Calc!F24)))/100)/2</f>
        <v/>
      </c>
      <c r="M999">
        <f>L999*(1+(Inputs!$B$10+0+B1025)/100)</f>
        <v/>
      </c>
      <c r="N999">
        <f>L999*(1-MIN((Inputs!$B$9+0+B1020),100)/100)+M999*(MIN((Inputs!$B$9+0+B1020),100)/100)</f>
        <v/>
      </c>
      <c r="O999">
        <f>(1-Summary!$B$55)*T999+Summary!$B$55*V999</f>
        <v/>
      </c>
      <c r="P999">
        <f>IF(B1030=0,0,O999/B1030)</f>
        <v/>
      </c>
      <c r="Q999">
        <f>IFERROR(1/IF(Inputs!$B$38="pvp",15,MAX(0.1,Skills!D6-IF(Skills!E6=TRUE,Inputs!$B$32,0))),0)</f>
        <v/>
      </c>
      <c r="R999">
        <f>IF(AND(Inputs!$B$38&lt;&gt;"pvp",Inputs!$B$43&gt;0),IF(MAX(0,Inputs!$B$43-B1027)&lt;=0,0,(INT(MAX(0,Inputs!$B$43-B1027)/IF(Inputs!$B$38="pvp",15,MAX(0.1,Skills!D6-IF(Skills!E6=TRUE,Inputs!$B$32,0))))+1)),0)</f>
        <v/>
      </c>
      <c r="S999">
        <f>IFERROR(O999/N999,0)</f>
        <v/>
      </c>
      <c r="T999">
        <f>IF(C999,(H999*N999*IF(AND(Inputs!$B$38&lt;&gt;"pvp",Inputs!$B$43&gt;0),((Skills!G6*((R999-1)*IF(Skills!H6&gt;0,Skills!I6/Skills!H6,1)+IF(Skills!H6&gt;0,MIN(Skills!I6,MAX(0,MAX(0,Inputs!$B$43-B1027)-((R999-1)*IF(Inputs!$B$38="pvp",15,MAX(0.1,Skills!D6-IF(Skills!E6=TRUE,Inputs!$B$32,0))))))/Skills!H6,1)))/Inputs!$B$43),G999*Q999))*IF(Inputs!$B$38="pvp",1,1+(Inputs!$B$20+0+Skills!P6)/100),0)</f>
        <v/>
      </c>
      <c r="V999">
        <f>IF(C999,(H999*N999*IF(AND(Inputs!$B$38&lt;&gt;"pvp",Inputs!$B$43&gt;0),((Skills!G6*((R999-1)*IF(Skills!H6&gt;0,Skills!I6/Skills!H6,1)+IF(Skills!H6&gt;0,MIN(Skills!I6,MAX(0,MAX(0,Inputs!$B$43-B1027)-((R999-1)*IF(Inputs!$B$38="pvp",15,MAX(0.1,Skills!D6-IF(Skills!E6=TRUE,Inputs!$B$32,0))))))/Skills!H6,1)))/Inputs!$B$43),G999*Q999))*IF(Inputs!$B$38="pvp",1,(1+(Inputs!$B$21+Skills!Q6)/100)*(MIN(Skills!R6,Inputs!$B$37))),0)</f>
        <v/>
      </c>
    </row>
    <row r="1000">
      <c r="A1000">
        <f>Skills!A7</f>
        <v/>
      </c>
      <c r="B1000">
        <f>Skills!B7</f>
        <v/>
      </c>
      <c r="C1000">
        <f>Inputs!$B$3&gt;=107</f>
        <v/>
      </c>
      <c r="D1000">
        <f>IF(Skills!C7=1,60+Inputs!$B$25+Inputs!$B$29,IF(Skills!C7=2,90+Inputs!$B$26+Inputs!$B$29,IF(Skills!C7=3,120+Inputs!$B$27+Inputs!$B$29,MAX(0,(Inputs!$B$3-100)*3)+Inputs!$B$28+Inputs!$B$29)))</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1026)/100)*(1+(IF(Skills!A7="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1000)</f>
        <v/>
      </c>
      <c r="L1000">
        <f>K1000*(MIN(Inputs!$B$22+((C1015=TRUE)*(F1015-Calc!F22)),Inputs!$B$23+((C1017=TRUE)*(F1017-Calc!F24)))/100+(Inputs!$B$23+((C1017=TRUE)*(F1017-Calc!F24)))/100)/2</f>
        <v/>
      </c>
      <c r="M1000">
        <f>L1000*(1+(Inputs!$B$10+0+B1025)/100)</f>
        <v/>
      </c>
      <c r="N1000">
        <f>L1000*(1-MIN((Inputs!$B$9+0+B1020),100)/100)+M1000*(MIN((Inputs!$B$9+0+B1020),100)/100)</f>
        <v/>
      </c>
      <c r="O1000">
        <f>(1-Summary!$B$55)*T1000+Summary!$B$55*V1000</f>
        <v/>
      </c>
      <c r="P1000">
        <f>IF(B1030=0,0,O1000/B1030)</f>
        <v/>
      </c>
      <c r="Q1000">
        <f>IFERROR(1/IF(Inputs!$B$38="pvp",15,MAX(0.1,Skills!D7-IF(Skills!E7=TRUE,Inputs!$B$32,0))),0)</f>
        <v/>
      </c>
      <c r="R1000">
        <f>IF(AND(Inputs!$B$38&lt;&gt;"pvp",Inputs!$B$43&gt;0),IF(MAX(0,Inputs!$B$43-B1027)&lt;=0,0,(INT(MAX(0,Inputs!$B$43-B1027)/IF(Inputs!$B$38="pvp",15,MAX(0.1,Skills!D7-IF(Skills!E7=TRUE,Inputs!$B$32,0))))+1)),0)</f>
        <v/>
      </c>
      <c r="S1000">
        <f>IFERROR(O1000/N1000,0)</f>
        <v/>
      </c>
      <c r="T1000">
        <f>IF(C1000,(H1000*N1000*IF(AND(Inputs!$B$38&lt;&gt;"pvp",Inputs!$B$43&gt;0),((Skills!G7*((R1000-1)*IF(Skills!H7&gt;0,Skills!I7/Skills!H7,1)+IF(Skills!H7&gt;0,MIN(Skills!I7,MAX(0,MAX(0,Inputs!$B$43-B1027)-((R1000-1)*IF(Inputs!$B$38="pvp",15,MAX(0.1,Skills!D7-IF(Skills!E7=TRUE,Inputs!$B$32,0))))))/Skills!H7,1)))/Inputs!$B$43),G1000*Q1000))*IF(Inputs!$B$38="pvp",1,1+(Inputs!$B$20+0+Skills!P7)/100),0)</f>
        <v/>
      </c>
      <c r="V1000">
        <f>IF(C1000,(H1000*N1000*IF(AND(Inputs!$B$38&lt;&gt;"pvp",Inputs!$B$43&gt;0),((Skills!G7*((R1000-1)*IF(Skills!H7&gt;0,Skills!I7/Skills!H7,1)+IF(Skills!H7&gt;0,MIN(Skills!I7,MAX(0,MAX(0,Inputs!$B$43-B1027)-((R1000-1)*IF(Inputs!$B$38="pvp",15,MAX(0.1,Skills!D7-IF(Skills!E7=TRUE,Inputs!$B$32,0))))))/Skills!H7,1)))/Inputs!$B$43),G1000*Q1000))*IF(Inputs!$B$38="pvp",1,(1+(Inputs!$B$21+Skills!Q7)/100)*(MIN(Skills!R7,Inputs!$B$37))),0)</f>
        <v/>
      </c>
    </row>
    <row r="1001">
      <c r="A1001">
        <f>Skills!A8</f>
        <v/>
      </c>
      <c r="B1001">
        <f>Skills!B8</f>
        <v/>
      </c>
      <c r="C1001">
        <f>Inputs!$B$3&gt;=107</f>
        <v/>
      </c>
      <c r="D1001">
        <f>IF(Skills!C8=1,60+Inputs!$B$25+Inputs!$B$29,IF(Skills!C8=2,90+Inputs!$B$26+Inputs!$B$29,IF(Skills!C8=3,120+Inputs!$B$27+Inputs!$B$29,MAX(0,(Inputs!$B$3-100)*3)+Inputs!$B$28+Inputs!$B$29)))</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1026)/100)*(1+(IF(Skills!A8="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1001)</f>
        <v/>
      </c>
      <c r="L1001">
        <f>K1001*(MIN(Inputs!$B$22+((C1015=TRUE)*(F1015-Calc!F22)),Inputs!$B$23+((C1017=TRUE)*(F1017-Calc!F24)))/100+(Inputs!$B$23+((C1017=TRUE)*(F1017-Calc!F24)))/100)/2</f>
        <v/>
      </c>
      <c r="M1001">
        <f>L1001*(1+(Inputs!$B$10+0+B1025)/100)</f>
        <v/>
      </c>
      <c r="N1001">
        <f>L1001*(1-MIN((Inputs!$B$9+0+B1020),100)/100)+M1001*(MIN((Inputs!$B$9+0+B1020),100)/100)</f>
        <v/>
      </c>
      <c r="O1001">
        <f>(1-Summary!$B$55)*T1001+Summary!$B$55*V1001</f>
        <v/>
      </c>
      <c r="P1001">
        <f>IF(B1030=0,0,O1001/B1030)</f>
        <v/>
      </c>
      <c r="Q1001">
        <f>IFERROR(1/IF(Inputs!$B$38="pvp",15,MAX(0.1,Skills!D8-IF(Skills!E8=TRUE,Inputs!$B$32,0))),0)</f>
        <v/>
      </c>
      <c r="R1001">
        <f>IF(AND(Inputs!$B$38&lt;&gt;"pvp",Inputs!$B$43&gt;0),IF(MAX(0,Inputs!$B$43-B1027)&lt;=0,0,(INT(MAX(0,Inputs!$B$43-B1027)/IF(Inputs!$B$38="pvp",15,MAX(0.1,Skills!D8-IF(Skills!E8=TRUE,Inputs!$B$32,0))))+1)),0)</f>
        <v/>
      </c>
      <c r="S1001">
        <f>IFERROR(O1001/N1001,0)</f>
        <v/>
      </c>
      <c r="T1001">
        <f>IF(C1001,(H1001*N1001*IF(AND(Inputs!$B$38&lt;&gt;"pvp",Inputs!$B$43&gt;0),((Skills!G8*((R1001-1)*IF(Skills!H8&gt;0,Skills!I8/Skills!H8,1)+IF(Skills!H8&gt;0,MIN(Skills!I8,MAX(0,MAX(0,Inputs!$B$43-B1027)-((R1001-1)*IF(Inputs!$B$38="pvp",15,MAX(0.1,Skills!D8-IF(Skills!E8=TRUE,Inputs!$B$32,0))))))/Skills!H8,1)))/Inputs!$B$43),G1001*Q1001))*IF(Inputs!$B$38="pvp",1,1+(Inputs!$B$20+0+Skills!P8)/100),0)</f>
        <v/>
      </c>
      <c r="V1001">
        <f>IF(C1001,(H1001*N1001*IF(AND(Inputs!$B$38&lt;&gt;"pvp",Inputs!$B$43&gt;0),((Skills!G8*((R1001-1)*IF(Skills!H8&gt;0,Skills!I8/Skills!H8,1)+IF(Skills!H8&gt;0,MIN(Skills!I8,MAX(0,MAX(0,Inputs!$B$43-B1027)-((R1001-1)*IF(Inputs!$B$38="pvp",15,MAX(0.1,Skills!D8-IF(Skills!E8=TRUE,Inputs!$B$32,0))))))/Skills!H8,1)))/Inputs!$B$43),G1001*Q1001))*IF(Inputs!$B$38="pvp",1,(1+(Inputs!$B$21+Skills!Q8)/100)*(MIN(Skills!R8,Inputs!$B$37))),0)</f>
        <v/>
      </c>
    </row>
    <row r="1002">
      <c r="A1002">
        <f>Skills!A9</f>
        <v/>
      </c>
      <c r="B1002">
        <f>Skills!B9</f>
        <v/>
      </c>
      <c r="C1002">
        <f>Inputs!$B$3&gt;=125</f>
        <v/>
      </c>
      <c r="D1002">
        <f>IF(Skills!C9=1,60+Inputs!$B$25+Inputs!$B$29,IF(Skills!C9=2,90+Inputs!$B$26+Inputs!$B$29,IF(Skills!C9=3,120+Inputs!$B$27+Inputs!$B$29,MAX(0,(Inputs!$B$3-100)*3)+Inputs!$B$28+Inputs!$B$29)))</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1026)/100)*(1+(IF(Skills!A9="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1002)</f>
        <v/>
      </c>
      <c r="L1002">
        <f>K1002*(MIN(Inputs!$B$22+((C1015=TRUE)*(F1015-Calc!F22)),Inputs!$B$23+((C1017=TRUE)*(F1017-Calc!F24)))/100+(Inputs!$B$23+((C1017=TRUE)*(F1017-Calc!F24)))/100)/2</f>
        <v/>
      </c>
      <c r="M1002">
        <f>L1002*(1+(Inputs!$B$10+0+B1025)/100)</f>
        <v/>
      </c>
      <c r="N1002">
        <f>L1002*(1-MIN((Inputs!$B$9+0+B1020),100)/100)+M1002*(MIN((Inputs!$B$9+0+B1020),100)/100)</f>
        <v/>
      </c>
      <c r="O1002">
        <f>(1-Summary!$B$55)*T1002+Summary!$B$55*V1002</f>
        <v/>
      </c>
      <c r="P1002">
        <f>IF(B1030=0,0,O1002/B1030)</f>
        <v/>
      </c>
      <c r="Q1002">
        <f>IFERROR(1/IF(Inputs!$B$38="pvp",15,MAX(0.1,Skills!D9-IF(Skills!E9=TRUE,Inputs!$B$32,0))),0)</f>
        <v/>
      </c>
      <c r="R1002">
        <f>IF(AND(Inputs!$B$38&lt;&gt;"pvp",Inputs!$B$43&gt;0),IF(MAX(0,Inputs!$B$43-B1027)&lt;=0,0,(INT(MAX(0,Inputs!$B$43-B1027)/IF(Inputs!$B$38="pvp",15,MAX(0.1,Skills!D9-IF(Skills!E9=TRUE,Inputs!$B$32,0))))+1)),0)</f>
        <v/>
      </c>
      <c r="S1002">
        <f>IFERROR(O1002/N1002,0)</f>
        <v/>
      </c>
      <c r="T1002">
        <f>IF(C1002,(H1002*N1002*IF(AND(Inputs!$B$38&lt;&gt;"pvp",Inputs!$B$43&gt;0),((Skills!G9*((R1002-1)*IF(Skills!H9&gt;0,Skills!I9/Skills!H9,1)+IF(Skills!H9&gt;0,MIN(Skills!I9,MAX(0,MAX(0,Inputs!$B$43-B1027)-((R1002-1)*IF(Inputs!$B$38="pvp",15,MAX(0.1,Skills!D9-IF(Skills!E9=TRUE,Inputs!$B$32,0))))))/Skills!H9,1)))/Inputs!$B$43),G1002*Q1002))*IF(Inputs!$B$38="pvp",1,1+(Inputs!$B$20+0+Skills!P9)/100),0)</f>
        <v/>
      </c>
      <c r="V1002">
        <f>IF(C1002,(H1002*N1002*IF(AND(Inputs!$B$38&lt;&gt;"pvp",Inputs!$B$43&gt;0),((Skills!G9*((R1002-1)*IF(Skills!H9&gt;0,Skills!I9/Skills!H9,1)+IF(Skills!H9&gt;0,MIN(Skills!I9,MAX(0,MAX(0,Inputs!$B$43-B1027)-((R1002-1)*IF(Inputs!$B$38="pvp",15,MAX(0.1,Skills!D9-IF(Skills!E9=TRUE,Inputs!$B$32,0))))))/Skills!H9,1)))/Inputs!$B$43),G1002*Q1002))*IF(Inputs!$B$38="pvp",1,(1+(Inputs!$B$21+Skills!Q9)/100)*(MIN(Skills!R9,Inputs!$B$37))),0)</f>
        <v/>
      </c>
    </row>
    <row r="1003">
      <c r="A1003">
        <f>Skills!A10</f>
        <v/>
      </c>
      <c r="B1003">
        <f>Skills!B10</f>
        <v/>
      </c>
      <c r="C1003">
        <f>Inputs!$B$3&gt;=117</f>
        <v/>
      </c>
      <c r="D1003">
        <f>IF(Skills!C10=1,60+Inputs!$B$25+Inputs!$B$29,IF(Skills!C10=2,90+Inputs!$B$26+Inputs!$B$29,IF(Skills!C10=3,120+Inputs!$B$27+Inputs!$B$29,MAX(0,(Inputs!$B$3-100)*3)+Inputs!$B$28+Inputs!$B$29)))</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((Inputs!$B$6*(1+Inputs!$B$7/100))+(((Inputs!$B$12*(1+Inputs!$B$13/100))-(Inputs!$B$12*(1+Inputs!$B$13/100)))+0.25*(Inputs!$B$14-Inputs!$B$14))*(1+Inputs!$B$7/100))*(F1003/100)</f>
        <v/>
      </c>
      <c r="K1003">
        <f>J1003*(1+((Inputs!$B$12*(1+Inputs!$B$13/100))*0.01+Inputs!$B$14*0.0025)/100)*(1+Inputs!$B$15/100)*(1+Inputs!$B$16/100)*(5000/(6000+Inputs!$B$42*(1-(Inputs!$B$19+0)/100)))*(1+(Inputs!$B$24+0+B1026)/100)*(1+(IF(Skills!A10="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1003)</f>
        <v/>
      </c>
      <c r="L1003">
        <f>K1003*(MIN(Inputs!$B$22+((C1015=TRUE)*(F1015-Calc!F22)),Inputs!$B$23+((C1017=TRUE)*(F1017-Calc!F24)))/100+(Inputs!$B$23+((C1017=TRUE)*(F1017-Calc!F24)))/100)/2</f>
        <v/>
      </c>
      <c r="M1003">
        <f>L1003*(1+(Inputs!$B$10+0+B1025)/100)</f>
        <v/>
      </c>
      <c r="N1003">
        <f>L1003*(1-MIN((Inputs!$B$9+0+B1020),100)/100)+M1003*(MIN((Inputs!$B$9+0+B1020),100)/100)</f>
        <v/>
      </c>
      <c r="O1003">
        <f>(1-Summary!$B$55)*T1003+Summary!$B$55*V1003</f>
        <v/>
      </c>
      <c r="P1003">
        <f>IF(B1030=0,0,O1003/B1030)</f>
        <v/>
      </c>
      <c r="Q1003">
        <f>IFERROR(1/IF(Inputs!$B$38="pvp",15,MAX(0.1,Skills!D10-IF(Skills!E10=TRUE,Inputs!$B$32,0))),0)</f>
        <v/>
      </c>
      <c r="R1003">
        <f>IF(AND(Inputs!$B$38&lt;&gt;"pvp",Inputs!$B$43&gt;0),IF(MAX(0,Inputs!$B$43-B1027)&lt;=0,0,(INT(MAX(0,Inputs!$B$43-B1027)/IF(Inputs!$B$38="pvp",15,MAX(0.1,Skills!D10-IF(Skills!E10=TRUE,Inputs!$B$32,0))))+1)),0)</f>
        <v/>
      </c>
      <c r="S1003">
        <f>IFERROR(O1003/N1003,0)</f>
        <v/>
      </c>
      <c r="T1003">
        <f>IF(C1003,(H1003*N1003*IF(AND(Inputs!$B$38&lt;&gt;"pvp",Inputs!$B$43&gt;0),((Skills!G10*((R1003-1)*IF(Skills!H10&gt;0,Skills!I10/Skills!H10,1)+IF(Skills!H10&gt;0,MIN(Skills!I10,MAX(0,MAX(0,Inputs!$B$43-B1027)-((R1003-1)*IF(Inputs!$B$38="pvp",15,MAX(0.1,Skills!D10-IF(Skills!E10=TRUE,Inputs!$B$32,0))))))/Skills!H10,1)))/Inputs!$B$43),G1003*Q1003))*IF(Inputs!$B$38="pvp",1,1+(Inputs!$B$20+0+Skills!P10)/100),0)</f>
        <v/>
      </c>
      <c r="V1003">
        <f>IF(C1003,(H1003*N1003*IF(AND(Inputs!$B$38&lt;&gt;"pvp",Inputs!$B$43&gt;0),((Skills!G10*((R1003-1)*IF(Skills!H10&gt;0,Skills!I10/Skills!H10,1)+IF(Skills!H10&gt;0,MIN(Skills!I10,MAX(0,MAX(0,Inputs!$B$43-B1027)-((R1003-1)*IF(Inputs!$B$38="pvp",15,MAX(0.1,Skills!D10-IF(Skills!E10=TRUE,Inputs!$B$32,0))))))/Skills!H10,1)))/Inputs!$B$43),G1003*Q1003))*IF(Inputs!$B$38="pvp",1,(1+(Inputs!$B$21+Skills!Q10)/100)*(MIN(Skills!R10,Inputs!$B$37))),0)</f>
        <v/>
      </c>
    </row>
    <row r="1004">
      <c r="A1004">
        <f>Skills!A11</f>
        <v/>
      </c>
      <c r="B1004">
        <f>Skills!B11</f>
        <v/>
      </c>
      <c r="C1004">
        <f>Inputs!$B$3&gt;=63</f>
        <v/>
      </c>
      <c r="D1004">
        <f>IF(Skills!C11=1,60+Inputs!$B$25+Inputs!$B$29,IF(Skills!C11=2,90+Inputs!$B$26+Inputs!$B$29,IF(Skills!C11=3,120+Inputs!$B$27+Inputs!$B$29,MAX(0,(Inputs!$B$3-100)*3)+Inputs!$B$28+Inputs!$B$29)))</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((Inputs!$B$6*(1+Inputs!$B$7/100))+(((Inputs!$B$12*(1+Inputs!$B$13/100))-(Inputs!$B$12*(1+Inputs!$B$13/100)))+0.25*(Inputs!$B$14-Inputs!$B$14))*(1+Inputs!$B$7/100))*(F1004/100)</f>
        <v/>
      </c>
      <c r="K1004">
        <f>J1004*(1+((Inputs!$B$12*(1+Inputs!$B$13/100))*0.01+Inputs!$B$14*0.0025)/100)*(1+Inputs!$B$15/100)*(1+Inputs!$B$16/100)*(5000/(6000+Inputs!$B$42*(1-(Inputs!$B$19+0)/100)))*(1+(Inputs!$B$24+0+B1026)/100)*(1+1.5*IF(C1005=TRUE,F1005,0)/100)*(1+(IF(Skills!A11="BLAST",Inputs!$B$17+((C1014=TRUE)*(F1014-Calc!F21)),Inputs!$B$18+((C1016=TRUE)*(F1016-Calc!F23))))/100)*((1+(((C1006=TRUE)*F1006*MIN(1,Skills!T13*(Skills!J13/100)*B1024))+((C1011=TRUE)*F1011*IF(AND(Inputs!$B$38&lt;&gt;"pvp",Inputs!$B$43&gt;0),(((R1011-1)*(Skills!T18*(1+Inputs!$B$34/100))+MIN((Skills!T18*(1+Inputs!$B$34/100)),MAX(0,Inputs!$B$43-((R1011-1)*Skills!D18))))/Inputs!$B$43),IF(Inputs!$B$38="pvp",MIN((Skills!T18*(1+Inputs!$B$34/100)),15)/15,(Skills!T18*(1+Inputs!$B$34/100))/Skills!D18)))+0)/100)*I1004)</f>
        <v/>
      </c>
      <c r="L1004">
        <f>K1004*(MIN(Inputs!$B$22+((C1015=TRUE)*(F1015-Calc!F22)),Inputs!$B$23+((C1017=TRUE)*(F1017-Calc!F24)))/100+(Inputs!$B$23+((C1017=TRUE)*(F1017-Calc!F24)))/100)/2</f>
        <v/>
      </c>
      <c r="M1004">
        <f>L1004*(1+(Inputs!$B$10+0+B1025)/100)</f>
        <v/>
      </c>
      <c r="N1004">
        <f>L1004*(1-MIN((Inputs!$B$9+0+B1020),100)/100)+M1004*(MIN((Inputs!$B$9+0+B1020),100)/100)</f>
        <v/>
      </c>
      <c r="O1004">
        <f>(1-Summary!$B$55)*T1004+Summary!$B$55*V1004</f>
        <v/>
      </c>
      <c r="P1004">
        <f>IF(B1030=0,0,O1004/B1030)</f>
        <v/>
      </c>
      <c r="Q1004">
        <f>IFERROR(1/IF(Inputs!$B$38="pvp",15,MAX(0.1,Skills!D11-IF(Skills!E11=TRUE,Inputs!$B$32,0))),0)</f>
        <v/>
      </c>
      <c r="R1004">
        <f>IF(AND(Inputs!$B$38&lt;&gt;"pvp",Inputs!$B$43&gt;0),IF(MAX(0,Inputs!$B$43-B1027)&lt;=0,0,(INT(MAX(0,Inputs!$B$43-B1027)/IF(Inputs!$B$38="pvp",15,MAX(0.1,Skills!D11-IF(Skills!E11=TRUE,Inputs!$B$32,0))))+1)),0)</f>
        <v/>
      </c>
      <c r="S1004">
        <f>IFERROR(O1004/N1004,0)</f>
        <v/>
      </c>
      <c r="T1004">
        <f>IF(C1004,(H1004*N1004*IF(AND(Inputs!$B$38&lt;&gt;"pvp",Inputs!$B$43&gt;0),((Skills!G11*((R1004-1)*IF(Skills!H11&gt;0,Skills!I11/Skills!H11,1)+IF(Skills!H11&gt;0,MIN(Skills!I11,MAX(0,MAX(0,Inputs!$B$43-B1027)-((R1004-1)*IF(Inputs!$B$38="pvp",15,MAX(0.1,Skills!D11-IF(Skills!E11=TRUE,Inputs!$B$32,0))))))/Skills!H11,1)))/Inputs!$B$43),G1004*Q1004))*IF(Inputs!$B$38="pvp",1,1+(Inputs!$B$20+0+Skills!P11)/100),0)</f>
        <v/>
      </c>
      <c r="V1004">
        <f>IF(C1004,(H1004*N1004*IF(AND(Inputs!$B$38&lt;&gt;"pvp",Inputs!$B$43&gt;0),((Skills!G11*((R1004-1)*IF(Skills!H11&gt;0,Skills!I11/Skills!H11,1)+IF(Skills!H11&gt;0,MIN(Skills!I11,MAX(0,MAX(0,Inputs!$B$43-B1027)-((R1004-1)*IF(Inputs!$B$38="pvp",15,MAX(0.1,Skills!D11-IF(Skills!E11=TRUE,Inputs!$B$32,0))))))/Skills!H11,1)))/Inputs!$B$43),G1004*Q1004))*IF(Inputs!$B$38="pvp",1,(1+(Inputs!$B$21+Skills!Q11)/100)*(MIN(Skills!R11,Inputs!$B$37))),0)</f>
        <v/>
      </c>
    </row>
    <row r="1005">
      <c r="A1005">
        <f>Skills!A12</f>
        <v/>
      </c>
      <c r="B1005">
        <f>Skills!B12</f>
        <v/>
      </c>
      <c r="C1005">
        <f>Inputs!$B$3&gt;=100</f>
        <v/>
      </c>
      <c r="D1005">
        <f>IF(Skills!C12=1,60+Inputs!$B$25+Inputs!$B$29,IF(Skills!C12=2,90+Inputs!$B$26+Inputs!$B$29,IF(Skills!C12=3,120+Inputs!$B$27+Inputs!$B$29,MAX(0,(Inputs!$B$3-100)*3)+Inputs!$B$28+Inputs!$B$29)))</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IF(Skills!C13=1,60+Inputs!$B$25+Inputs!$B$29,IF(Skills!C13=2,90+Inputs!$B$26+Inputs!$B$29,IF(Skills!C13=3,120+Inputs!$B$27+Inputs!$B$29,MAX(0,(Inputs!$B$3-100)*3)+Inputs!$B$28+Inputs!$B$29)))</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f>(1-Summary!$B$55)*T1006+Summary!$B$55*V1006</f>
        <v/>
      </c>
      <c r="P1006">
        <f>IF(B1030=0,0,O1006/B1030)</f>
        <v/>
      </c>
      <c r="Q1006" t="n">
        <v>0</v>
      </c>
      <c r="R1006" t="n">
        <v>0</v>
      </c>
      <c r="S1006">
        <f>IFERROR(O1006/N1006,0)</f>
        <v/>
      </c>
      <c r="T1006" t="n">
        <v>0</v>
      </c>
      <c r="V1006" t="n">
        <v>0</v>
      </c>
    </row>
    <row r="1007">
      <c r="A1007">
        <f>Skills!A14</f>
        <v/>
      </c>
      <c r="B1007">
        <f>Skills!B14</f>
        <v/>
      </c>
      <c r="C1007">
        <f>Inputs!$B$3&gt;=110</f>
        <v/>
      </c>
      <c r="D1007">
        <f>IF(Skills!C14=1,60+Inputs!$B$25+Inputs!$B$29,IF(Skills!C14=2,90+Inputs!$B$26+Inputs!$B$29,IF(Skills!C14=3,120+Inputs!$B$27+Inputs!$B$29,MAX(0,(Inputs!$B$3-100)*3)+Inputs!$B$28+Inputs!$B$29)))</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f>(1-Summary!$B$55)*T1007+Summary!$B$55*V1007</f>
        <v/>
      </c>
      <c r="P1007">
        <f>IF(B1030=0,0,O1007/B1030)</f>
        <v/>
      </c>
      <c r="Q1007" t="n">
        <v>0</v>
      </c>
      <c r="R1007" t="n">
        <v>0</v>
      </c>
      <c r="S1007">
        <f>IFERROR(O1007/N1007,0)</f>
        <v/>
      </c>
      <c r="T1007" t="n">
        <v>0</v>
      </c>
      <c r="V1007" t="n">
        <v>0</v>
      </c>
    </row>
    <row r="1008">
      <c r="A1008">
        <f>Skills!A15</f>
        <v/>
      </c>
      <c r="B1008">
        <f>Skills!B15</f>
        <v/>
      </c>
      <c r="C1008">
        <f>Inputs!$B$3&gt;=75</f>
        <v/>
      </c>
      <c r="D1008">
        <f>IF(Skills!C15=1,60+Inputs!$B$25+Inputs!$B$29,IF(Skills!C15=2,90+Inputs!$B$26+Inputs!$B$29,IF(Skills!C15=3,120+Inputs!$B$27+Inputs!$B$29,MAX(0,(Inputs!$B$3-100)*3)+Inputs!$B$28+Inputs!$B$29)))</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f>(1-Summary!$B$55)*T1008+Summary!$B$55*V1008</f>
        <v/>
      </c>
      <c r="P1008">
        <f>IF(B1030=0,0,O1008/B1030)</f>
        <v/>
      </c>
      <c r="Q1008">
        <f>IFERROR(1/IF(Inputs!$B$38="pvp",15,MAX(0.1,Skills!D15-IF(Skills!E15=TRUE,Inputs!$B$32,0))),0)</f>
        <v/>
      </c>
      <c r="R1008">
        <f>IF(AND(Inputs!$B$38&lt;&gt;"pvp",Inputs!$B$43&gt;0),IF(Inputs!$B$43&lt;=0,0,(INT(Inputs!$B$43/IF(Inputs!$B$38="pvp",15,MAX(0.1,Skills!D15-IF(Skills!E15=TRUE,Inputs!$B$32,0))))+1)),0)</f>
        <v/>
      </c>
      <c r="S1008">
        <f>IFERROR(O1008/N1008,0)</f>
        <v/>
      </c>
      <c r="T1008" t="n">
        <v>0</v>
      </c>
      <c r="V1008" t="n">
        <v>0</v>
      </c>
    </row>
    <row r="1009">
      <c r="A1009">
        <f>Skills!A16</f>
        <v/>
      </c>
      <c r="B1009">
        <f>Skills!B16</f>
        <v/>
      </c>
      <c r="C1009">
        <f>Inputs!$B$3&gt;=105</f>
        <v/>
      </c>
      <c r="D1009">
        <f>IF(Skills!C16=1,60+Inputs!$B$25+Inputs!$B$29,IF(Skills!C16=2,90+Inputs!$B$26+Inputs!$B$29,IF(Skills!C16=3,120+Inputs!$B$27+Inputs!$B$29,MAX(0,(Inputs!$B$3-100)*3)+Inputs!$B$28+Inputs!$B$29)))</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f>(1-Summary!$B$55)*T1009+Summary!$B$55*V1009</f>
        <v/>
      </c>
      <c r="P1009">
        <f>IF(B1030=0,0,O1009/B1030)</f>
        <v/>
      </c>
      <c r="Q1009">
        <f>IFERROR(1/IF(Inputs!$B$38="pvp",15,MAX(0.1,Skills!D16-IF(Skills!E16=TRUE,Inputs!$B$32,0))),0)</f>
        <v/>
      </c>
      <c r="R1009">
        <f>IF(AND(Inputs!$B$38&lt;&gt;"pvp",Inputs!$B$43&gt;0),IF(Inputs!$B$43&lt;=0,0,(INT(Inputs!$B$43/IF(Inputs!$B$38="pvp",15,MAX(0.1,Skills!D16-IF(Skills!E16=TRUE,Inputs!$B$32,0))))+1)),0)</f>
        <v/>
      </c>
      <c r="S1009">
        <f>IFERROR(O1009/N1009,0)</f>
        <v/>
      </c>
      <c r="T1009" t="n">
        <v>0</v>
      </c>
      <c r="V1009" t="n">
        <v>0</v>
      </c>
    </row>
    <row r="1010">
      <c r="A1010">
        <f>Skills!A17</f>
        <v/>
      </c>
      <c r="B1010">
        <f>Skills!B17</f>
        <v/>
      </c>
      <c r="C1010">
        <f>Inputs!$B$3&gt;=115</f>
        <v/>
      </c>
      <c r="D1010">
        <f>IF(Skills!C17=1,60+Inputs!$B$25+Inputs!$B$29,IF(Skills!C17=2,90+Inputs!$B$26+Inputs!$B$29,IF(Skills!C17=3,120+Inputs!$B$27+Inputs!$B$29,MAX(0,(Inputs!$B$3-100)*3)+Inputs!$B$28+Inputs!$B$29)))</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f>(1-Summary!$B$55)*T1010+Summary!$B$55*V1010</f>
        <v/>
      </c>
      <c r="P1010">
        <f>IF(B1030=0,0,O1010/B1030)</f>
        <v/>
      </c>
      <c r="Q1010">
        <f>IFERROR(1/IF(Inputs!$B$38="pvp",15,MAX(0.1,Skills!D17-IF(Skills!E17=TRUE,Inputs!$B$32,0))),0)</f>
        <v/>
      </c>
      <c r="R1010">
        <f>IF(AND(Inputs!$B$38&lt;&gt;"pvp",Inputs!$B$43&gt;0),IF(Inputs!$B$43&lt;=0,0,(INT(Inputs!$B$43/IF(Inputs!$B$38="pvp",15,MAX(0.1,Skills!D17-IF(Skills!E17=TRUE,Inputs!$B$32,0))))+1)),0)</f>
        <v/>
      </c>
      <c r="S1010">
        <f>IFERROR(O1010/N1010,0)</f>
        <v/>
      </c>
      <c r="T1010" t="n">
        <v>0</v>
      </c>
      <c r="V1010" t="n">
        <v>0</v>
      </c>
    </row>
    <row r="1011">
      <c r="A1011">
        <f>Skills!A18</f>
        <v/>
      </c>
      <c r="B1011">
        <f>Skills!B18</f>
        <v/>
      </c>
      <c r="C1011">
        <f>Inputs!$B$3&gt;=74</f>
        <v/>
      </c>
      <c r="D1011">
        <f>IF(Skills!C18=1,60+Inputs!$B$25+Inputs!$B$29,IF(Skills!C18=2,90+Inputs!$B$26+Inputs!$B$29,IF(Skills!C18=3,120+Inputs!$B$27+Inputs!$B$29,MAX(0,(Inputs!$B$3-100)*3)+Inputs!$B$28+Inputs!$B$29)))</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f>(1-Summary!$B$55)*T1011+Summary!$B$55*V1011</f>
        <v/>
      </c>
      <c r="P1011">
        <f>IF(B1030=0,0,O1011/B1030)</f>
        <v/>
      </c>
      <c r="Q1011">
        <f>IFERROR(1/IF(Inputs!$B$38="pvp",15,MAX(0.1,Skills!D18-IF(Skills!E18=TRUE,Inputs!$B$32,0))),0)</f>
        <v/>
      </c>
      <c r="R1011">
        <f>IF(AND(Inputs!$B$38&lt;&gt;"pvp",Inputs!$B$43&gt;0),IF(Inputs!$B$43&lt;=0,0,(INT(Inputs!$B$43/IF(Inputs!$B$38="pvp",15,MAX(0.1,Skills!D18-IF(Skills!E18=TRUE,Inputs!$B$32,0))))+1)),0)</f>
        <v/>
      </c>
      <c r="S1011">
        <f>IFERROR(O1011/N1011,0)</f>
        <v/>
      </c>
      <c r="T1011" t="n">
        <v>0</v>
      </c>
      <c r="V1011" t="n">
        <v>0</v>
      </c>
    </row>
    <row r="1012">
      <c r="A1012">
        <f>Skills!A19</f>
        <v/>
      </c>
      <c r="B1012">
        <f>Skills!B19</f>
        <v/>
      </c>
      <c r="C1012">
        <f>TRUE</f>
        <v/>
      </c>
      <c r="D1012">
        <f>IF(Skills!C19=1,60+Inputs!$B$25+Inputs!$B$29,IF(Skills!C19=2,90+Inputs!$B$26+Inputs!$B$29,IF(Skills!C19=3,120+Inputs!$B$27+Inputs!$B$29,MAX(0,(Inputs!$B$3-100)*3)+Inputs!$B$28+Inputs!$B$29)))</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f>(1-Summary!$B$55)*T1012+Summary!$B$55*V1012</f>
        <v/>
      </c>
      <c r="P1012">
        <f>IF(B1030=0,0,O1012/B1030)</f>
        <v/>
      </c>
      <c r="Q1012">
        <f>IFERROR(1/IF(Inputs!$B$38="pvp",15,MAX(0.1,Skills!D19-IF(Skills!E19=TRUE,Inputs!$B$32,0))),0)</f>
        <v/>
      </c>
      <c r="R1012">
        <f>IF(AND(Inputs!$B$38&lt;&gt;"pvp",Inputs!$B$43&gt;0),IF(Inputs!$B$43&lt;=0,0,(INT(Inputs!$B$43/IF(Inputs!$B$38="pvp",15,MAX(0.1,Skills!D19-IF(Skills!E19=TRUE,Inputs!$B$32,0))))+1)),0)</f>
        <v/>
      </c>
      <c r="S1012">
        <f>IFERROR(O1012/N1012,0)</f>
        <v/>
      </c>
      <c r="T1012" t="n">
        <v>0</v>
      </c>
      <c r="V1012" t="n">
        <v>0</v>
      </c>
    </row>
    <row r="1013">
      <c r="A1013">
        <f>Skills!A20</f>
        <v/>
      </c>
      <c r="B1013">
        <f>Skills!B20</f>
        <v/>
      </c>
      <c r="C1013">
        <f>Inputs!$B$3&gt;=33</f>
        <v/>
      </c>
      <c r="D1013">
        <f>IF(Skills!C20=1,60+Inputs!$B$25+Inputs!$B$29,IF(Skills!C20=2,90+Inputs!$B$26+Inputs!$B$29,IF(Skills!C20=3,120+Inputs!$B$27+Inputs!$B$29,MAX(0,(Inputs!$B$3-100)*3)+Inputs!$B$28+Inputs!$B$29)))</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f>(1-Summary!$B$55)*T1013+Summary!$B$55*V1013</f>
        <v/>
      </c>
      <c r="P1013">
        <f>IF(B1030=0,0,O1013/B1030)</f>
        <v/>
      </c>
      <c r="Q1013" t="n">
        <v>0</v>
      </c>
      <c r="R1013" t="n">
        <v>0</v>
      </c>
      <c r="S1013">
        <f>IFERROR(O1013/N1013,0)</f>
        <v/>
      </c>
      <c r="T1013" t="n">
        <v>0</v>
      </c>
      <c r="V1013" t="n">
        <v>0</v>
      </c>
    </row>
    <row r="1014">
      <c r="A1014">
        <f>Skills!A21</f>
        <v/>
      </c>
      <c r="B1014">
        <f>Skills!B21</f>
        <v/>
      </c>
      <c r="C1014">
        <f>Inputs!$B$3&gt;=38</f>
        <v/>
      </c>
      <c r="D1014">
        <f>IF(Skills!C21=1,60+Inputs!$B$25+Inputs!$B$29,IF(Skills!C21=2,90+Inputs!$B$26+Inputs!$B$29,IF(Skills!C21=3,120+Inputs!$B$27+Inputs!$B$29,MAX(0,(Inputs!$B$3-100)*3)+Inputs!$B$28+Inputs!$B$29)))</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f>(1-Summary!$B$55)*T1014+Summary!$B$55*V1014</f>
        <v/>
      </c>
      <c r="P1014">
        <f>IF(B1030=0,0,O1014/B1030)</f>
        <v/>
      </c>
      <c r="Q1014" t="n">
        <v>0</v>
      </c>
      <c r="R1014" t="n">
        <v>0</v>
      </c>
      <c r="S1014">
        <f>IFERROR(O1014/N1014,0)</f>
        <v/>
      </c>
      <c r="T1014" t="n">
        <v>0</v>
      </c>
      <c r="V1014" t="n">
        <v>0</v>
      </c>
    </row>
    <row r="1015">
      <c r="A1015">
        <f>Skills!A22</f>
        <v/>
      </c>
      <c r="B1015">
        <f>Skills!B22</f>
        <v/>
      </c>
      <c r="C1015">
        <f>Inputs!$B$3&gt;=43</f>
        <v/>
      </c>
      <c r="D1015">
        <f>IF(Skills!C22=1,60+Inputs!$B$25+Inputs!$B$29,IF(Skills!C22=2,90+Inputs!$B$26+Inputs!$B$29,IF(Skills!C22=3,120+Inputs!$B$27+Inputs!$B$29,MAX(0,(Inputs!$B$3-100)*3)+Inputs!$B$28+Inputs!$B$29)))</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f>(1-Summary!$B$55)*T1015+Summary!$B$55*V1015</f>
        <v/>
      </c>
      <c r="P1015">
        <f>IF(B1030=0,0,O1015/B1030)</f>
        <v/>
      </c>
      <c r="Q1015" t="n">
        <v>0</v>
      </c>
      <c r="R1015" t="n">
        <v>0</v>
      </c>
      <c r="S1015">
        <f>IFERROR(O1015/N1015,0)</f>
        <v/>
      </c>
      <c r="T1015" t="n">
        <v>0</v>
      </c>
      <c r="V1015" t="n">
        <v>0</v>
      </c>
    </row>
    <row r="1016">
      <c r="A1016">
        <f>Skills!A23</f>
        <v/>
      </c>
      <c r="B1016">
        <f>Skills!B23</f>
        <v/>
      </c>
      <c r="C1016">
        <f>Inputs!$B$3&gt;=120</f>
        <v/>
      </c>
      <c r="D1016">
        <f>IF(Skills!C23=1,60+Inputs!$B$25+Inputs!$B$29,IF(Skills!C23=2,90+Inputs!$B$26+Inputs!$B$29,IF(Skills!C23=3,120+Inputs!$B$27+Inputs!$B$29,MAX(0,(Inputs!$B$3-100)*3)+Inputs!$B$28+Inputs!$B$29)))</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f>(1-Summary!$B$55)*T1016+Summary!$B$55*V1016</f>
        <v/>
      </c>
      <c r="P1016">
        <f>IF(B1030=0,0,O1016/B1030)</f>
        <v/>
      </c>
      <c r="Q1016" t="n">
        <v>0</v>
      </c>
      <c r="R1016" t="n">
        <v>0</v>
      </c>
      <c r="S1016">
        <f>IFERROR(O1016/N1016,0)</f>
        <v/>
      </c>
      <c r="T1016" t="n">
        <v>0</v>
      </c>
      <c r="V1016" t="n">
        <v>0</v>
      </c>
    </row>
    <row r="1017">
      <c r="A1017">
        <f>Skills!A24</f>
        <v/>
      </c>
      <c r="B1017">
        <f>Skills!B24</f>
        <v/>
      </c>
      <c r="C1017">
        <f>Inputs!$B$3&gt;=120</f>
        <v/>
      </c>
      <c r="D1017">
        <f>IF(Skills!C24=1,60+Inputs!$B$25+Inputs!$B$29,IF(Skills!C24=2,90+Inputs!$B$26+Inputs!$B$29,IF(Skills!C24=3,120+Inputs!$B$27+Inputs!$B$29,MAX(0,(Inputs!$B$3-100)*3)+Inputs!$B$28+Inputs!$B$29)))</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f>(1-Summary!$B$55)*T1017+Summary!$B$55*V1017</f>
        <v/>
      </c>
      <c r="P1017">
        <f>IF(B1030=0,0,O1017/B1030)</f>
        <v/>
      </c>
      <c r="Q1017" t="n">
        <v>0</v>
      </c>
      <c r="R1017" t="n">
        <v>0</v>
      </c>
      <c r="S1017">
        <f>IFERROR(O1017/N1017,0)</f>
        <v/>
      </c>
      <c r="T1017" t="n">
        <v>0</v>
      </c>
      <c r="V1017" t="n">
        <v>0</v>
      </c>
    </row>
    <row r="1019">
      <c r="A1019" t="inlineStr">
        <is>
          <t>Attack% Bucket Multiplier</t>
        </is>
      </c>
      <c r="B1019">
        <f>(1+(((C1006=TRUE)*F1006*MIN(1,Skills!T13*(Skills!J13/100)*B1024))+((C1011=TRUE)*F1011*IF(AND(Inputs!$B$38&lt;&gt;"pvp",Inputs!$B$43&gt;0),(((R1011-1)*(Skills!T18*(1+Inputs!$B$34/100))+MIN((Skills!T18*(1+Inputs!$B$34/100)),MAX(0,Inputs!$B$43-((R1011-1)*Skills!D18))))/Inputs!$B$43),IF(Inputs!$B$38="pvp",MIN((Skills!T18*(1+Inputs!$B$34/100)),15)/15,(Skills!T18*(1+Inputs!$B$34/100))/Skills!D18)))+0)/100)</f>
        <v/>
      </c>
    </row>
    <row r="1020">
      <c r="A1020" t="inlineStr">
        <is>
          <t>Global Crit Rate Bonus %</t>
        </is>
      </c>
      <c r="B1020" t="n">
        <v>0</v>
      </c>
    </row>
    <row r="1021">
      <c r="A1021" t="inlineStr">
        <is>
          <t>Attack Speed Buff Bonus %</t>
        </is>
      </c>
      <c r="B1021">
        <f>((C1012=TRUE)*F1012*IF(AND(Inputs!$B$38&lt;&gt;"pvp",Inputs!$B$43&gt;0),(((R1012-1)*(Skills!T19*(1+Inputs!$B$34/100))+MIN((Skills!T19*(1+Inputs!$B$34/100)),MAX(0,Inputs!$B$43-((R1012-1)*Skills!D19))))/Inputs!$B$43),IF(Inputs!$B$38="pvp",MIN((Skills!T19*(1+Inputs!$B$34/100)),15)/15,(Skills!T19*(1+Inputs!$B$34/100))/Skills!D19)))</f>
        <v/>
      </c>
    </row>
    <row r="1022">
      <c r="A1022" t="inlineStr">
        <is>
          <t>Actions Per Second</t>
        </is>
      </c>
      <c r="B1022">
        <f>1+MIN(150,150*(1-(1-(Inputs!$B$11+((C1013=TRUE)*(F1013-Calc!F20)))/150)*(1-B1021/150)))/100</f>
        <v/>
      </c>
    </row>
    <row r="1023">
      <c r="A1023" t="inlineStr">
        <is>
          <t>Skill + Buff Cast Rate</t>
        </is>
      </c>
      <c r="B1023">
        <f>IF(AND(Inputs!$B$38&lt;&gt;"pvp",Inputs!$B$43&gt;0),SUMPRODUCT((Skills!E2:E24=TRUE)*(C995:C1017=TRUE)*R995:R1017*Skills!F2:F24)/Inputs!$B$43,SUMPRODUCT((Skills!E2:E24=TRUE)*(C995:C1017=TRUE)*Q995:Q1017*Skills!F2:F24))</f>
        <v/>
      </c>
    </row>
    <row r="1024">
      <c r="A1024" t="inlineStr">
        <is>
          <t>Blast Casts Per Second</t>
        </is>
      </c>
      <c r="B1024">
        <f>MAX(0,B1022-B1023)</f>
        <v/>
      </c>
    </row>
    <row r="1025">
      <c r="A1025" t="inlineStr">
        <is>
          <t>Global Critical Damage Bonus % (unused)</t>
        </is>
      </c>
      <c r="B1025" t="n">
        <v>0</v>
      </c>
    </row>
    <row r="1026">
      <c r="A1026" t="inlineStr">
        <is>
          <t>Global Final Damage Bonus % (Divine Shield + Guardian + Divine Blessing + Greater Vessel of Light)</t>
        </is>
      </c>
      <c r="B1026">
        <f>((C1008=TRUE)*F1008*IF(AND(Inputs!$B$38&lt;&gt;"pvp",Inputs!$B$43&gt;0),(((R1008-1)*(Skills!T15*(1+Inputs!$B$34/100))+MIN((Skills!T15*(1+Inputs!$B$34/100)),MAX(0,Inputs!$B$43-((R1008-1)*Skills!D15))))/Inputs!$B$43),IF(Inputs!$B$38="pvp",MIN((Skills!T15*(1+Inputs!$B$34/100)),15)/15,(Skills!T15*(1+Inputs!$B$34/100))/Skills!D15)))+((C1009=TRUE)*F1009*IF(AND(Inputs!$B$38&lt;&gt;"pvp",Inputs!$B$43&gt;0),(((R1009-1)*(Skills!T16*(1+Inputs!$B$34/100))+MIN((Skills!T16*(1+Inputs!$B$34/100)),MAX(0,Inputs!$B$43-((R1009-1)*Skills!D16))))/Inputs!$B$43),IF(Inputs!$B$38="pvp",MIN((Skills!T16*(1+Inputs!$B$34/100)),15)/15,(Skills!T16*(1+Inputs!$B$34/100))/Skills!D16)))+((C1010=TRUE)*F1010*IF(AND(Inputs!$B$38&lt;&gt;"pvp",Inputs!$B$43&gt;0),(((R1010-1)*(Skills!T17*(1+Inputs!$B$34/100))+MIN((Skills!T17*(1+Inputs!$B$34/100)),MAX(0,Inputs!$B$43-((R1010-1)*Skills!D17))))/Inputs!$B$43),IF(Inputs!$B$38="pvp",MIN((Skills!T17*(1+Inputs!$B$34/100)),15)/15,(Skills!T17*(1+Inputs!$B$34/100))/Skills!D17)))+((C1007=TRUE)*F1007*MIN(1,Skills!T13*(Skills!J13/100)*B1024))</f>
        <v/>
      </c>
    </row>
    <row r="1027">
      <c r="A1027" t="inlineStr">
        <is>
          <t>Buff-Casting Startup Delay (s, fixed-duration only)</t>
        </is>
      </c>
      <c r="B1027">
        <f>IF(AND(Inputs!$B$38&lt;&gt;"pvp",Inputs!$B$43&gt;0),SUMPRODUCT((Skills!T2:T24&gt;0)*(Skills!E2:E24=TRUE)*(C995:C1017=TRUE))/B1022,0)</f>
        <v/>
      </c>
    </row>
    <row r="1028">
      <c r="A1028" t="inlineStr">
        <is>
          <t>Boss-Only Total DPS (this block's swept value)</t>
        </is>
      </c>
      <c r="B1028">
        <f>SUM(T995:T1017)</f>
        <v/>
      </c>
    </row>
    <row r="1029">
      <c r="A1029" t="inlineStr">
        <is>
          <t>Normal-Only Total DPS (this block's swept value)</t>
        </is>
      </c>
      <c r="B1029">
        <f>SUM(V995:V1017)</f>
        <v/>
      </c>
    </row>
    <row r="1030">
      <c r="A1030" s="5" t="inlineStr">
        <is>
          <t>TOTAL DPS</t>
        </is>
      </c>
      <c r="B1030" s="5">
        <f>SUM(O995:O1017)</f>
        <v/>
      </c>
    </row>
    <row r="1033">
      <c r="A1033" s="5" t="inlineStr">
        <is>
          <t>Stat: Buff Duration Increase %</t>
        </is>
      </c>
    </row>
    <row r="1034">
      <c r="A1034" s="9" t="inlineStr">
        <is>
          <t>Key</t>
        </is>
      </c>
      <c r="B1034" s="9" t="inlineStr">
        <is>
          <t>Name</t>
        </is>
      </c>
      <c r="C1034" s="9" t="inlineStr">
        <is>
          <t>Unlocked</t>
        </is>
      </c>
      <c r="D1034" s="9" t="inlineStr">
        <is>
          <t>InputLevel</t>
        </is>
      </c>
      <c r="E1034" s="9" t="inlineStr">
        <is>
          <t>Factor</t>
        </is>
      </c>
      <c r="F1034" s="9" t="inlineStr">
        <is>
          <t>CoefficientPercent</t>
        </is>
      </c>
      <c r="G1034" s="9" t="inlineStr">
        <is>
          <t>EffectiveHits</t>
        </is>
      </c>
      <c r="H1034" s="9" t="inlineStr">
        <is>
          <t>ProcProbability</t>
        </is>
      </c>
      <c r="I1034" s="9" t="inlineStr">
        <is>
          <t>MapleHeroMultiplier</t>
        </is>
      </c>
      <c r="J1034" s="9" t="inlineStr">
        <is>
          <t>BaseDamage</t>
        </is>
      </c>
      <c r="K1034" s="9" t="inlineStr">
        <is>
          <t>BaseHitDamage</t>
        </is>
      </c>
      <c r="L1034" s="9" t="inlineStr">
        <is>
          <t>NonCritAvg</t>
        </is>
      </c>
      <c r="M1034" s="9" t="inlineStr">
        <is>
          <t>CritAvg</t>
        </is>
      </c>
      <c r="N1034" s="9" t="inlineStr">
        <is>
          <t>ExpectedDamage(perHit)</t>
        </is>
      </c>
      <c r="O1034" s="9" t="inlineStr">
        <is>
          <t>DPS</t>
        </is>
      </c>
      <c r="P1034" s="9" t="inlineStr">
        <is>
          <t>% of Total</t>
        </is>
      </c>
      <c r="Q1034" s="9" t="inlineStr">
        <is>
          <t>InvCooldown</t>
        </is>
      </c>
      <c r="R1034" s="9" t="inlineStr">
        <is>
          <t>CastsInFight</t>
        </is>
      </c>
      <c r="S1034" s="9"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1066)/100)*(1+(IF(Skills!A2="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1035)</f>
        <v/>
      </c>
      <c r="L1035">
        <f>K1035*(MIN(Inputs!$B$22+((C1055=TRUE)*(F1055-Calc!F22)),Inputs!$B$23+((C1057=TRUE)*(F1057-Calc!F24)))/100+(Inputs!$B$23+((C1057=TRUE)*(F1057-Calc!F24)))/100)/2</f>
        <v/>
      </c>
      <c r="M1035">
        <f>L1035*(1+(Inputs!$B$10+0+B1065)/100)</f>
        <v/>
      </c>
      <c r="N1035">
        <f>L1035*(1-MIN((Inputs!$B$9+0+B1060),100)/100)+M1035*(MIN((Inputs!$B$9+0+B1060),100)/100)</f>
        <v/>
      </c>
      <c r="O1035">
        <f>(1-Summary!$B$55)*T1035+Summary!$B$55*V1035</f>
        <v/>
      </c>
      <c r="P1035">
        <f>IF(B1070=0,0,O1035/B1070)</f>
        <v/>
      </c>
      <c r="Q1035" t="n">
        <v>0</v>
      </c>
      <c r="R1035" t="n">
        <v>0</v>
      </c>
      <c r="S1035">
        <f>IFERROR(O1035/N1035,0)</f>
        <v/>
      </c>
      <c r="T1035">
        <f>IF(C1035,(Skills!G2*N1035*B1064)*IF(Inputs!$B$38="pvp",1,1+(Inputs!$B$20+0+Skills!P2)/100),0)</f>
        <v/>
      </c>
      <c r="U1035">
        <f>MAX(0,(Inputs!$B$3-100)*3)+Inputs!$B$28+Inputs!$B$29</f>
        <v/>
      </c>
      <c r="V1035">
        <f>IF(C1035,(Skills!G2*N1035*B1064)*IF(Inputs!$B$38="pvp",1,(1+(Inputs!$B$21+Skills!Q2)/100)*(MIN((6+Inputs!$B$33),Inputs!$B$37))),0)</f>
        <v/>
      </c>
    </row>
    <row r="1036">
      <c r="A1036">
        <f>Skills!A3</f>
        <v/>
      </c>
      <c r="B1036">
        <f>Skills!B3</f>
        <v/>
      </c>
      <c r="C1036">
        <f>Inputs!$B$3&gt;=50</f>
        <v/>
      </c>
      <c r="D1036">
        <f>IF(Skills!C3=1,60+Inputs!$B$25+Inputs!$B$29,IF(Skills!C3=2,90+Inputs!$B$26+Inputs!$B$29,IF(Skills!C3=3,120+Inputs!$B$27+Inputs!$B$29,MAX(0,(Inputs!$B$3-100)*3)+Inputs!$B$28+Inputs!$B$29)))</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Inputs!$B$3&gt;=35</f>
        <v/>
      </c>
      <c r="D1037">
        <f>IF(Skills!C4=1,60+Inputs!$B$25+Inputs!$B$29,IF(Skills!C4=2,90+Inputs!$B$26+Inputs!$B$29,IF(Skills!C4=3,120+Inputs!$B$27+Inputs!$B$29,MAX(0,(Inputs!$B$3-100)*3)+Inputs!$B$28+Inputs!$B$29)))</f>
        <v/>
      </c>
      <c r="E1037">
        <f>INDEX(FactorTable!$B$2:$Y$301, MATCH(ROUND(MIN(300,MAX(1,D1037)),0), FactorTable!$A$2:$A$301,0), Skills!M4+1)</f>
        <v/>
      </c>
      <c r="F1037">
        <f>IF(Skills!N4=TRUE,(Skills!L4/10)*(E1037/1000),Skills!L4/10)+Skills!O4</f>
        <v/>
      </c>
      <c r="G1037">
        <f>Skills!G4*IF(Skills!H4&gt;0,Skills!I4/Skills!H4,1)</f>
        <v/>
      </c>
      <c r="H1037">
        <f>1-(1-Skills!J4/100)^Skills!K4</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1066)/100)*(1+4.0*IF(C1045=TRUE,F1045,0)/100)*(1+(IF(Skills!A4="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1037)</f>
        <v/>
      </c>
      <c r="L1037">
        <f>K1037*(MIN(Inputs!$B$22+((C1055=TRUE)*(F1055-Calc!F22)),Inputs!$B$23+((C1057=TRUE)*(F1057-Calc!F24)))/100+(Inputs!$B$23+((C1057=TRUE)*(F1057-Calc!F24)))/100)/2</f>
        <v/>
      </c>
      <c r="M1037">
        <f>L1037*(1+(Inputs!$B$10+0+B1065)/100)</f>
        <v/>
      </c>
      <c r="N1037">
        <f>L1037*(1-MIN((Inputs!$B$9+0+B1060),100)/100)+M1037*(MIN((Inputs!$B$9+0+B1060),100)/100)</f>
        <v/>
      </c>
      <c r="O1037">
        <f>(1-Summary!$B$55)*T1037+Summary!$B$55*V1037</f>
        <v/>
      </c>
      <c r="P1037">
        <f>IF(B1070=0,0,O1037/B1070)</f>
        <v/>
      </c>
      <c r="Q1037">
        <f>IFERROR(1/IF(Inputs!$B$38="pvp",15,MAX(0.1,Skills!D4-IF(Skills!E4=TRUE,Inputs!$B$32,0))),0)</f>
        <v/>
      </c>
      <c r="R1037">
        <f>IF(AND(Inputs!$B$38&lt;&gt;"pvp",Inputs!$B$43&gt;0),IF(MAX(0,Inputs!$B$43-B1067)&lt;=0,0,(INT(MAX(0,Inputs!$B$43-B1067)/IF(Inputs!$B$38="pvp",15,MAX(0.1,Skills!D4-IF(Skills!E4=TRUE,Inputs!$B$32,0))))+1)),0)</f>
        <v/>
      </c>
      <c r="S1037">
        <f>IFERROR(O1037/N1037,0)</f>
        <v/>
      </c>
      <c r="T1037">
        <f>IF(C1037,(H1037*N1037*IF(AND(Inputs!$B$38&lt;&gt;"pvp",Inputs!$B$43&gt;0),((Skills!G4*((R1037-1)*IF(Skills!H4&gt;0,Skills!I4/Skills!H4,1)+IF(Skills!H4&gt;0,MIN(Skills!I4,MAX(0,MAX(0,Inputs!$B$43-B1067)-((R1037-1)*IF(Inputs!$B$38="pvp",15,MAX(0.1,Skills!D4-IF(Skills!E4=TRUE,Inputs!$B$32,0))))))/Skills!H4,1)))/Inputs!$B$43),G1037*Q1037))*IF(Inputs!$B$38="pvp",1,1+(Inputs!$B$20+0+Skills!P4)/100),0)</f>
        <v/>
      </c>
      <c r="U1037">
        <f>290*U1036/1000</f>
        <v/>
      </c>
      <c r="V1037">
        <f>IF(C1037,(H1037*N1037*IF(AND(Inputs!$B$38&lt;&gt;"pvp",Inputs!$B$43&gt;0),((Skills!G4*((R1037-1)*IF(Skills!H4&gt;0,Skills!I4/Skills!H4,1)+IF(Skills!H4&gt;0,MIN(Skills!I4,MAX(0,MAX(0,Inputs!$B$43-B1067)-((R1037-1)*IF(Inputs!$B$38="pvp",15,MAX(0.1,Skills!D4-IF(Skills!E4=TRUE,Inputs!$B$32,0))))))/Skills!H4,1)))/Inputs!$B$43),G1037*Q1037))*IF(Inputs!$B$38="pvp",1,(1+(Inputs!$B$21+Skills!Q4)/100)*(MIN(Skills!R4,Inputs!$B$37))),0)</f>
        <v/>
      </c>
    </row>
    <row r="1038">
      <c r="A1038">
        <f>Skills!A5</f>
        <v/>
      </c>
      <c r="B1038">
        <f>Skills!B5</f>
        <v/>
      </c>
      <c r="C1038">
        <f>Inputs!$B$3&gt;=66</f>
        <v/>
      </c>
      <c r="D1038">
        <f>IF(Skills!C5=1,60+Inputs!$B$25+Inputs!$B$29,IF(Skills!C5=2,90+Inputs!$B$26+Inputs!$B$29,IF(Skills!C5=3,120+Inputs!$B$27+Inputs!$B$29,MAX(0,(Inputs!$B$3-100)*3)+Inputs!$B$28+Inputs!$B$29)))</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1066)/100)*(1+1.0*IF(C1045=TRUE,F1045,0)/100)*(1+(IF(Skills!A5="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1038)</f>
        <v/>
      </c>
      <c r="L1038">
        <f>K1038*(MIN(Inputs!$B$22+((C1055=TRUE)*(F1055-Calc!F22)),Inputs!$B$23+((C1057=TRUE)*(F1057-Calc!F24)))/100+(Inputs!$B$23+((C1057=TRUE)*(F1057-Calc!F24)))/100)/2</f>
        <v/>
      </c>
      <c r="M1038">
        <f>L1038*(1+(Inputs!$B$10+0+B1065)/100)</f>
        <v/>
      </c>
      <c r="N1038">
        <f>L1038*(1-MIN((Inputs!$B$9+0+B1060),100)/100)+M1038*(MIN((Inputs!$B$9+0+B1060),100)/100)</f>
        <v/>
      </c>
      <c r="O1038">
        <f>(1-Summary!$B$55)*T1038+Summary!$B$55*V1038</f>
        <v/>
      </c>
      <c r="P1038">
        <f>IF(B1070=0,0,O1038/B1070)</f>
        <v/>
      </c>
      <c r="Q1038">
        <f>IFERROR(1/IF(Inputs!$B$38="pvp",15,MAX(0.1,Skills!D5-IF(Skills!E5=TRUE,Inputs!$B$32,0))),0)</f>
        <v/>
      </c>
      <c r="R1038">
        <f>IF(AND(Inputs!$B$38&lt;&gt;"pvp",Inputs!$B$43&gt;0),IF(MAX(0,Inputs!$B$43-B1067)&lt;=0,0,(INT(MAX(0,Inputs!$B$43-B1067)/IF(Inputs!$B$38="pvp",15,MAX(0.1,Skills!D5-IF(Skills!E5=TRUE,Inputs!$B$32,0))))+1)),0)</f>
        <v/>
      </c>
      <c r="S1038">
        <f>IFERROR(O1038/N1038,0)</f>
        <v/>
      </c>
      <c r="T1038">
        <f>IF(C1038,(H1038*N1038*IF(AND(Inputs!$B$38&lt;&gt;"pvp",Inputs!$B$43&gt;0),((Skills!G5*((R1038-1)*IF(Skills!H5&gt;0,Skills!I5/Skills!H5,1)+IF(Skills!H5&gt;0,MIN(Skills!I5,MAX(0,MAX(0,Inputs!$B$43-B1067)-((R1038-1)*IF(Inputs!$B$38="pvp",15,MAX(0.1,Skills!D5-IF(Skills!E5=TRUE,Inputs!$B$32,0))))))/Skills!H5,1)))/Inputs!$B$43),G1038*Q1038))*IF(Inputs!$B$38="pvp",1,1+(Inputs!$B$20+0+Skills!P5)/100),0)</f>
        <v/>
      </c>
      <c r="V1038">
        <f>IF(C1038,(H1038*N1038*IF(AND(Inputs!$B$38&lt;&gt;"pvp",Inputs!$B$43&gt;0),((Skills!G5*((R1038-1)*IF(Skills!H5&gt;0,Skills!I5/Skills!H5,1)+IF(Skills!H5&gt;0,MIN(Skills!I5,MAX(0,MAX(0,Inputs!$B$43-B1067)-((R1038-1)*IF(Inputs!$B$38="pvp",15,MAX(0.1,Skills!D5-IF(Skills!E5=TRUE,Inputs!$B$32,0))))))/Skills!H5,1)))/Inputs!$B$43),G1038*Q1038))*IF(Inputs!$B$38="pvp",1,(1+(Inputs!$B$21+Skills!Q5)/100)*(MIN(Skills!R5,Inputs!$B$37))),0)</f>
        <v/>
      </c>
    </row>
    <row r="1039">
      <c r="A1039">
        <f>Skills!A6</f>
        <v/>
      </c>
      <c r="B1039">
        <f>Skills!B6</f>
        <v/>
      </c>
      <c r="C1039">
        <f>Inputs!$B$3&gt;=103</f>
        <v/>
      </c>
      <c r="D1039">
        <f>IF(Skills!C6=1,60+Inputs!$B$25+Inputs!$B$29,IF(Skills!C6=2,90+Inputs!$B$26+Inputs!$B$29,IF(Skills!C6=3,120+Inputs!$B$27+Inputs!$B$29,MAX(0,(Inputs!$B$3-100)*3)+Inputs!$B$28+Inputs!$B$29)))</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1066)/100)*(1+(IF(Skills!A6="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1039)</f>
        <v/>
      </c>
      <c r="L1039">
        <f>K1039*(MIN(Inputs!$B$22+((C1055=TRUE)*(F1055-Calc!F22)),Inputs!$B$23+((C1057=TRUE)*(F1057-Calc!F24)))/100+(Inputs!$B$23+((C1057=TRUE)*(F1057-Calc!F24)))/100)/2</f>
        <v/>
      </c>
      <c r="M1039">
        <f>L1039*(1+(Inputs!$B$10+0+B1065)/100)</f>
        <v/>
      </c>
      <c r="N1039">
        <f>L1039*(1-MIN((Inputs!$B$9+0+B1060),100)/100)+M1039*(MIN((Inputs!$B$9+0+B1060),100)/100)</f>
        <v/>
      </c>
      <c r="O1039">
        <f>(1-Summary!$B$55)*T1039+Summary!$B$55*V1039</f>
        <v/>
      </c>
      <c r="P1039">
        <f>IF(B1070=0,0,O1039/B1070)</f>
        <v/>
      </c>
      <c r="Q1039">
        <f>IFERROR(1/IF(Inputs!$B$38="pvp",15,MAX(0.1,Skills!D6-IF(Skills!E6=TRUE,Inputs!$B$32,0))),0)</f>
        <v/>
      </c>
      <c r="R1039">
        <f>IF(AND(Inputs!$B$38&lt;&gt;"pvp",Inputs!$B$43&gt;0),IF(MAX(0,Inputs!$B$43-B1067)&lt;=0,0,(INT(MAX(0,Inputs!$B$43-B1067)/IF(Inputs!$B$38="pvp",15,MAX(0.1,Skills!D6-IF(Skills!E6=TRUE,Inputs!$B$32,0))))+1)),0)</f>
        <v/>
      </c>
      <c r="S1039">
        <f>IFERROR(O1039/N1039,0)</f>
        <v/>
      </c>
      <c r="T1039">
        <f>IF(C1039,(H1039*N1039*IF(AND(Inputs!$B$38&lt;&gt;"pvp",Inputs!$B$43&gt;0),((Skills!G6*((R1039-1)*IF(Skills!H6&gt;0,Skills!I6/Skills!H6,1)+IF(Skills!H6&gt;0,MIN(Skills!I6,MAX(0,MAX(0,Inputs!$B$43-B1067)-((R1039-1)*IF(Inputs!$B$38="pvp",15,MAX(0.1,Skills!D6-IF(Skills!E6=TRUE,Inputs!$B$32,0))))))/Skills!H6,1)))/Inputs!$B$43),G1039*Q1039))*IF(Inputs!$B$38="pvp",1,1+(Inputs!$B$20+0+Skills!P6)/100),0)</f>
        <v/>
      </c>
      <c r="V1039">
        <f>IF(C1039,(H1039*N1039*IF(AND(Inputs!$B$38&lt;&gt;"pvp",Inputs!$B$43&gt;0),((Skills!G6*((R1039-1)*IF(Skills!H6&gt;0,Skills!I6/Skills!H6,1)+IF(Skills!H6&gt;0,MIN(Skills!I6,MAX(0,MAX(0,Inputs!$B$43-B1067)-((R1039-1)*IF(Inputs!$B$38="pvp",15,MAX(0.1,Skills!D6-IF(Skills!E6=TRUE,Inputs!$B$32,0))))))/Skills!H6,1)))/Inputs!$B$43),G1039*Q1039))*IF(Inputs!$B$38="pvp",1,(1+(Inputs!$B$21+Skills!Q6)/100)*(MIN(Skills!R6,Inputs!$B$37))),0)</f>
        <v/>
      </c>
    </row>
    <row r="1040">
      <c r="A1040">
        <f>Skills!A7</f>
        <v/>
      </c>
      <c r="B1040">
        <f>Skills!B7</f>
        <v/>
      </c>
      <c r="C1040">
        <f>Inputs!$B$3&gt;=107</f>
        <v/>
      </c>
      <c r="D1040">
        <f>IF(Skills!C7=1,60+Inputs!$B$25+Inputs!$B$29,IF(Skills!C7=2,90+Inputs!$B$26+Inputs!$B$29,IF(Skills!C7=3,120+Inputs!$B$27+Inputs!$B$29,MAX(0,(Inputs!$B$3-100)*3)+Inputs!$B$28+Inputs!$B$29)))</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1066)/100)*(1+(IF(Skills!A7="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1040)</f>
        <v/>
      </c>
      <c r="L1040">
        <f>K1040*(MIN(Inputs!$B$22+((C1055=TRUE)*(F1055-Calc!F22)),Inputs!$B$23+((C1057=TRUE)*(F1057-Calc!F24)))/100+(Inputs!$B$23+((C1057=TRUE)*(F1057-Calc!F24)))/100)/2</f>
        <v/>
      </c>
      <c r="M1040">
        <f>L1040*(1+(Inputs!$B$10+0+B1065)/100)</f>
        <v/>
      </c>
      <c r="N1040">
        <f>L1040*(1-MIN((Inputs!$B$9+0+B1060),100)/100)+M1040*(MIN((Inputs!$B$9+0+B1060),100)/100)</f>
        <v/>
      </c>
      <c r="O1040">
        <f>(1-Summary!$B$55)*T1040+Summary!$B$55*V1040</f>
        <v/>
      </c>
      <c r="P1040">
        <f>IF(B1070=0,0,O1040/B1070)</f>
        <v/>
      </c>
      <c r="Q1040">
        <f>IFERROR(1/IF(Inputs!$B$38="pvp",15,MAX(0.1,Skills!D7-IF(Skills!E7=TRUE,Inputs!$B$32,0))),0)</f>
        <v/>
      </c>
      <c r="R1040">
        <f>IF(AND(Inputs!$B$38&lt;&gt;"pvp",Inputs!$B$43&gt;0),IF(MAX(0,Inputs!$B$43-B1067)&lt;=0,0,(INT(MAX(0,Inputs!$B$43-B1067)/IF(Inputs!$B$38="pvp",15,MAX(0.1,Skills!D7-IF(Skills!E7=TRUE,Inputs!$B$32,0))))+1)),0)</f>
        <v/>
      </c>
      <c r="S1040">
        <f>IFERROR(O1040/N1040,0)</f>
        <v/>
      </c>
      <c r="T1040">
        <f>IF(C1040,(H1040*N1040*IF(AND(Inputs!$B$38&lt;&gt;"pvp",Inputs!$B$43&gt;0),((Skills!G7*((R1040-1)*IF(Skills!H7&gt;0,Skills!I7/Skills!H7,1)+IF(Skills!H7&gt;0,MIN(Skills!I7,MAX(0,MAX(0,Inputs!$B$43-B1067)-((R1040-1)*IF(Inputs!$B$38="pvp",15,MAX(0.1,Skills!D7-IF(Skills!E7=TRUE,Inputs!$B$32,0))))))/Skills!H7,1)))/Inputs!$B$43),G1040*Q1040))*IF(Inputs!$B$38="pvp",1,1+(Inputs!$B$20+0+Skills!P7)/100),0)</f>
        <v/>
      </c>
      <c r="V1040">
        <f>IF(C1040,(H1040*N1040*IF(AND(Inputs!$B$38&lt;&gt;"pvp",Inputs!$B$43&gt;0),((Skills!G7*((R1040-1)*IF(Skills!H7&gt;0,Skills!I7/Skills!H7,1)+IF(Skills!H7&gt;0,MIN(Skills!I7,MAX(0,MAX(0,Inputs!$B$43-B1067)-((R1040-1)*IF(Inputs!$B$38="pvp",15,MAX(0.1,Skills!D7-IF(Skills!E7=TRUE,Inputs!$B$32,0))))))/Skills!H7,1)))/Inputs!$B$43),G1040*Q1040))*IF(Inputs!$B$38="pvp",1,(1+(Inputs!$B$21+Skills!Q7)/100)*(MIN(Skills!R7,Inputs!$B$37))),0)</f>
        <v/>
      </c>
    </row>
    <row r="1041">
      <c r="A1041">
        <f>Skills!A8</f>
        <v/>
      </c>
      <c r="B1041">
        <f>Skills!B8</f>
        <v/>
      </c>
      <c r="C1041">
        <f>Inputs!$B$3&gt;=107</f>
        <v/>
      </c>
      <c r="D1041">
        <f>IF(Skills!C8=1,60+Inputs!$B$25+Inputs!$B$29,IF(Skills!C8=2,90+Inputs!$B$26+Inputs!$B$29,IF(Skills!C8=3,120+Inputs!$B$27+Inputs!$B$29,MAX(0,(Inputs!$B$3-100)*3)+Inputs!$B$28+Inputs!$B$29)))</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1066)/100)*(1+(IF(Skills!A8="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1041)</f>
        <v/>
      </c>
      <c r="L1041">
        <f>K1041*(MIN(Inputs!$B$22+((C1055=TRUE)*(F1055-Calc!F22)),Inputs!$B$23+((C1057=TRUE)*(F1057-Calc!F24)))/100+(Inputs!$B$23+((C1057=TRUE)*(F1057-Calc!F24)))/100)/2</f>
        <v/>
      </c>
      <c r="M1041">
        <f>L1041*(1+(Inputs!$B$10+0+B1065)/100)</f>
        <v/>
      </c>
      <c r="N1041">
        <f>L1041*(1-MIN((Inputs!$B$9+0+B1060),100)/100)+M1041*(MIN((Inputs!$B$9+0+B1060),100)/100)</f>
        <v/>
      </c>
      <c r="O1041">
        <f>(1-Summary!$B$55)*T1041+Summary!$B$55*V1041</f>
        <v/>
      </c>
      <c r="P1041">
        <f>IF(B1070=0,0,O1041/B1070)</f>
        <v/>
      </c>
      <c r="Q1041">
        <f>IFERROR(1/IF(Inputs!$B$38="pvp",15,MAX(0.1,Skills!D8-IF(Skills!E8=TRUE,Inputs!$B$32,0))),0)</f>
        <v/>
      </c>
      <c r="R1041">
        <f>IF(AND(Inputs!$B$38&lt;&gt;"pvp",Inputs!$B$43&gt;0),IF(MAX(0,Inputs!$B$43-B1067)&lt;=0,0,(INT(MAX(0,Inputs!$B$43-B1067)/IF(Inputs!$B$38="pvp",15,MAX(0.1,Skills!D8-IF(Skills!E8=TRUE,Inputs!$B$32,0))))+1)),0)</f>
        <v/>
      </c>
      <c r="S1041">
        <f>IFERROR(O1041/N1041,0)</f>
        <v/>
      </c>
      <c r="T1041">
        <f>IF(C1041,(H1041*N1041*IF(AND(Inputs!$B$38&lt;&gt;"pvp",Inputs!$B$43&gt;0),((Skills!G8*((R1041-1)*IF(Skills!H8&gt;0,Skills!I8/Skills!H8,1)+IF(Skills!H8&gt;0,MIN(Skills!I8,MAX(0,MAX(0,Inputs!$B$43-B1067)-((R1041-1)*IF(Inputs!$B$38="pvp",15,MAX(0.1,Skills!D8-IF(Skills!E8=TRUE,Inputs!$B$32,0))))))/Skills!H8,1)))/Inputs!$B$43),G1041*Q1041))*IF(Inputs!$B$38="pvp",1,1+(Inputs!$B$20+0+Skills!P8)/100),0)</f>
        <v/>
      </c>
      <c r="V1041">
        <f>IF(C1041,(H1041*N1041*IF(AND(Inputs!$B$38&lt;&gt;"pvp",Inputs!$B$43&gt;0),((Skills!G8*((R1041-1)*IF(Skills!H8&gt;0,Skills!I8/Skills!H8,1)+IF(Skills!H8&gt;0,MIN(Skills!I8,MAX(0,MAX(0,Inputs!$B$43-B1067)-((R1041-1)*IF(Inputs!$B$38="pvp",15,MAX(0.1,Skills!D8-IF(Skills!E8=TRUE,Inputs!$B$32,0))))))/Skills!H8,1)))/Inputs!$B$43),G1041*Q1041))*IF(Inputs!$B$38="pvp",1,(1+(Inputs!$B$21+Skills!Q8)/100)*(MIN(Skills!R8,Inputs!$B$37))),0)</f>
        <v/>
      </c>
    </row>
    <row r="1042">
      <c r="A1042">
        <f>Skills!A9</f>
        <v/>
      </c>
      <c r="B1042">
        <f>Skills!B9</f>
        <v/>
      </c>
      <c r="C1042">
        <f>Inputs!$B$3&gt;=125</f>
        <v/>
      </c>
      <c r="D1042">
        <f>IF(Skills!C9=1,60+Inputs!$B$25+Inputs!$B$29,IF(Skills!C9=2,90+Inputs!$B$26+Inputs!$B$29,IF(Skills!C9=3,120+Inputs!$B$27+Inputs!$B$29,MAX(0,(Inputs!$B$3-100)*3)+Inputs!$B$28+Inputs!$B$29)))</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1066)/100)*(1+(IF(Skills!A9="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1042)</f>
        <v/>
      </c>
      <c r="L1042">
        <f>K1042*(MIN(Inputs!$B$22+((C1055=TRUE)*(F1055-Calc!F22)),Inputs!$B$23+((C1057=TRUE)*(F1057-Calc!F24)))/100+(Inputs!$B$23+((C1057=TRUE)*(F1057-Calc!F24)))/100)/2</f>
        <v/>
      </c>
      <c r="M1042">
        <f>L1042*(1+(Inputs!$B$10+0+B1065)/100)</f>
        <v/>
      </c>
      <c r="N1042">
        <f>L1042*(1-MIN((Inputs!$B$9+0+B1060),100)/100)+M1042*(MIN((Inputs!$B$9+0+B1060),100)/100)</f>
        <v/>
      </c>
      <c r="O1042">
        <f>(1-Summary!$B$55)*T1042+Summary!$B$55*V1042</f>
        <v/>
      </c>
      <c r="P1042">
        <f>IF(B1070=0,0,O1042/B1070)</f>
        <v/>
      </c>
      <c r="Q1042">
        <f>IFERROR(1/IF(Inputs!$B$38="pvp",15,MAX(0.1,Skills!D9-IF(Skills!E9=TRUE,Inputs!$B$32,0))),0)</f>
        <v/>
      </c>
      <c r="R1042">
        <f>IF(AND(Inputs!$B$38&lt;&gt;"pvp",Inputs!$B$43&gt;0),IF(MAX(0,Inputs!$B$43-B1067)&lt;=0,0,(INT(MAX(0,Inputs!$B$43-B1067)/IF(Inputs!$B$38="pvp",15,MAX(0.1,Skills!D9-IF(Skills!E9=TRUE,Inputs!$B$32,0))))+1)),0)</f>
        <v/>
      </c>
      <c r="S1042">
        <f>IFERROR(O1042/N1042,0)</f>
        <v/>
      </c>
      <c r="T1042">
        <f>IF(C1042,(H1042*N1042*IF(AND(Inputs!$B$38&lt;&gt;"pvp",Inputs!$B$43&gt;0),((Skills!G9*((R1042-1)*IF(Skills!H9&gt;0,Skills!I9/Skills!H9,1)+IF(Skills!H9&gt;0,MIN(Skills!I9,MAX(0,MAX(0,Inputs!$B$43-B1067)-((R1042-1)*IF(Inputs!$B$38="pvp",15,MAX(0.1,Skills!D9-IF(Skills!E9=TRUE,Inputs!$B$32,0))))))/Skills!H9,1)))/Inputs!$B$43),G1042*Q1042))*IF(Inputs!$B$38="pvp",1,1+(Inputs!$B$20+0+Skills!P9)/100),0)</f>
        <v/>
      </c>
      <c r="V1042">
        <f>IF(C1042,(H1042*N1042*IF(AND(Inputs!$B$38&lt;&gt;"pvp",Inputs!$B$43&gt;0),((Skills!G9*((R1042-1)*IF(Skills!H9&gt;0,Skills!I9/Skills!H9,1)+IF(Skills!H9&gt;0,MIN(Skills!I9,MAX(0,MAX(0,Inputs!$B$43-B1067)-((R1042-1)*IF(Inputs!$B$38="pvp",15,MAX(0.1,Skills!D9-IF(Skills!E9=TRUE,Inputs!$B$32,0))))))/Skills!H9,1)))/Inputs!$B$43),G1042*Q1042))*IF(Inputs!$B$38="pvp",1,(1+(Inputs!$B$21+Skills!Q9)/100)*(MIN(Skills!R9,Inputs!$B$37))),0)</f>
        <v/>
      </c>
    </row>
    <row r="1043">
      <c r="A1043">
        <f>Skills!A10</f>
        <v/>
      </c>
      <c r="B1043">
        <f>Skills!B10</f>
        <v/>
      </c>
      <c r="C1043">
        <f>Inputs!$B$3&gt;=117</f>
        <v/>
      </c>
      <c r="D1043">
        <f>IF(Skills!C10=1,60+Inputs!$B$25+Inputs!$B$29,IF(Skills!C10=2,90+Inputs!$B$26+Inputs!$B$29,IF(Skills!C10=3,120+Inputs!$B$27+Inputs!$B$29,MAX(0,(Inputs!$B$3-100)*3)+Inputs!$B$28+Inputs!$B$29)))</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+0+B1066)/100)*(1+(IF(Skills!A10="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1043)</f>
        <v/>
      </c>
      <c r="L1043">
        <f>K1043*(MIN(Inputs!$B$22+((C1055=TRUE)*(F1055-Calc!F22)),Inputs!$B$23+((C1057=TRUE)*(F1057-Calc!F24)))/100+(Inputs!$B$23+((C1057=TRUE)*(F1057-Calc!F24)))/100)/2</f>
        <v/>
      </c>
      <c r="M1043">
        <f>L1043*(1+(Inputs!$B$10+0+B1065)/100)</f>
        <v/>
      </c>
      <c r="N1043">
        <f>L1043*(1-MIN((Inputs!$B$9+0+B1060),100)/100)+M1043*(MIN((Inputs!$B$9+0+B1060),100)/100)</f>
        <v/>
      </c>
      <c r="O1043">
        <f>(1-Summary!$B$55)*T1043+Summary!$B$55*V1043</f>
        <v/>
      </c>
      <c r="P1043">
        <f>IF(B1070=0,0,O1043/B1070)</f>
        <v/>
      </c>
      <c r="Q1043">
        <f>IFERROR(1/IF(Inputs!$B$38="pvp",15,MAX(0.1,Skills!D10-IF(Skills!E10=TRUE,Inputs!$B$32,0))),0)</f>
        <v/>
      </c>
      <c r="R1043">
        <f>IF(AND(Inputs!$B$38&lt;&gt;"pvp",Inputs!$B$43&gt;0),IF(MAX(0,Inputs!$B$43-B1067)&lt;=0,0,(INT(MAX(0,Inputs!$B$43-B1067)/IF(Inputs!$B$38="pvp",15,MAX(0.1,Skills!D10-IF(Skills!E10=TRUE,Inputs!$B$32,0))))+1)),0)</f>
        <v/>
      </c>
      <c r="S1043">
        <f>IFERROR(O1043/N1043,0)</f>
        <v/>
      </c>
      <c r="T1043">
        <f>IF(C1043,(H1043*N1043*IF(AND(Inputs!$B$38&lt;&gt;"pvp",Inputs!$B$43&gt;0),((Skills!G10*((R1043-1)*IF(Skills!H10&gt;0,Skills!I10/Skills!H10,1)+IF(Skills!H10&gt;0,MIN(Skills!I10,MAX(0,MAX(0,Inputs!$B$43-B1067)-((R1043-1)*IF(Inputs!$B$38="pvp",15,MAX(0.1,Skills!D10-IF(Skills!E10=TRUE,Inputs!$B$32,0))))))/Skills!H10,1)))/Inputs!$B$43),G1043*Q1043))*IF(Inputs!$B$38="pvp",1,1+(Inputs!$B$20+0+Skills!P10)/100),0)</f>
        <v/>
      </c>
      <c r="V1043">
        <f>IF(C1043,(H1043*N1043*IF(AND(Inputs!$B$38&lt;&gt;"pvp",Inputs!$B$43&gt;0),((Skills!G10*((R1043-1)*IF(Skills!H10&gt;0,Skills!I10/Skills!H10,1)+IF(Skills!H10&gt;0,MIN(Skills!I10,MAX(0,MAX(0,Inputs!$B$43-B1067)-((R1043-1)*IF(Inputs!$B$38="pvp",15,MAX(0.1,Skills!D10-IF(Skills!E10=TRUE,Inputs!$B$32,0))))))/Skills!H10,1)))/Inputs!$B$43),G1043*Q1043))*IF(Inputs!$B$38="pvp",1,(1+(Inputs!$B$21+Skills!Q10)/100)*(MIN(Skills!R10,Inputs!$B$37))),0)</f>
        <v/>
      </c>
    </row>
    <row r="1044">
      <c r="A1044">
        <f>Skills!A11</f>
        <v/>
      </c>
      <c r="B1044">
        <f>Skills!B11</f>
        <v/>
      </c>
      <c r="C1044">
        <f>Inputs!$B$3&gt;=63</f>
        <v/>
      </c>
      <c r="D1044">
        <f>IF(Skills!C11=1,60+Inputs!$B$25+Inputs!$B$29,IF(Skills!C11=2,90+Inputs!$B$26+Inputs!$B$29,IF(Skills!C11=3,120+Inputs!$B$27+Inputs!$B$29,MAX(0,(Inputs!$B$3-100)*3)+Inputs!$B$28+Inputs!$B$29)))</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((Inputs!$B$6*(1+Inputs!$B$7/100))+(((Inputs!$B$12*(1+Inputs!$B$13/100))-(Inputs!$B$12*(1+Inputs!$B$13/100)))+0.25*(Inputs!$B$14-Inputs!$B$14))*(1+Inputs!$B$7/100))*(F1044/100)</f>
        <v/>
      </c>
      <c r="K1044">
        <f>J1044*(1+((Inputs!$B$12*(1+Inputs!$B$13/100))*0.01+Inputs!$B$14*0.0025)/100)*(1+Inputs!$B$15/100)*(1+Inputs!$B$16/100)*(5000/(6000+Inputs!$B$42*(1-(Inputs!$B$19+0)/100)))*(1+(Inputs!$B$24+0+B1066)/100)*(1+1.5*IF(C1045=TRUE,F1045,0)/100)*(1+(IF(Skills!A11="BLAST",Inputs!$B$17+((C1054=TRUE)*(F1054-Calc!F21)),Inputs!$B$18+((C1056=TRUE)*(F1056-Calc!F23))))/100)*((1+(((C1046=TRUE)*F1046*MIN(1,Skills!T13*(Skills!J13/100)*B1064))+((C1051=TRUE)*F1051*IF(AND(Inputs!$B$38&lt;&gt;"pvp",Inputs!$B$43&gt;0),(((R1051-1)*(Skills!T18*(1+(Inputs!$B$34+1)/100))+MIN((Skills!T18*(1+(Inputs!$B$34+1)/100)),MAX(0,Inputs!$B$43-((R1051-1)*Skills!D18))))/Inputs!$B$43),IF(Inputs!$B$38="pvp",MIN((Skills!T18*(1+(Inputs!$B$34+1)/100)),15)/15,(Skills!T18*(1+(Inputs!$B$34+1)/100))/Skills!D18)))+0)/100)*I1044)</f>
        <v/>
      </c>
      <c r="L1044">
        <f>K1044*(MIN(Inputs!$B$22+((C1055=TRUE)*(F1055-Calc!F22)),Inputs!$B$23+((C1057=TRUE)*(F1057-Calc!F24)))/100+(Inputs!$B$23+((C1057=TRUE)*(F1057-Calc!F24)))/100)/2</f>
        <v/>
      </c>
      <c r="M1044">
        <f>L1044*(1+(Inputs!$B$10+0+B1065)/100)</f>
        <v/>
      </c>
      <c r="N1044">
        <f>L1044*(1-MIN((Inputs!$B$9+0+B1060),100)/100)+M1044*(MIN((Inputs!$B$9+0+B1060),100)/100)</f>
        <v/>
      </c>
      <c r="O1044">
        <f>(1-Summary!$B$55)*T1044+Summary!$B$55*V1044</f>
        <v/>
      </c>
      <c r="P1044">
        <f>IF(B1070=0,0,O1044/B1070)</f>
        <v/>
      </c>
      <c r="Q1044">
        <f>IFERROR(1/IF(Inputs!$B$38="pvp",15,MAX(0.1,Skills!D11-IF(Skills!E11=TRUE,Inputs!$B$32,0))),0)</f>
        <v/>
      </c>
      <c r="R1044">
        <f>IF(AND(Inputs!$B$38&lt;&gt;"pvp",Inputs!$B$43&gt;0),IF(MAX(0,Inputs!$B$43-B1067)&lt;=0,0,(INT(MAX(0,Inputs!$B$43-B1067)/IF(Inputs!$B$38="pvp",15,MAX(0.1,Skills!D11-IF(Skills!E11=TRUE,Inputs!$B$32,0))))+1)),0)</f>
        <v/>
      </c>
      <c r="S1044">
        <f>IFERROR(O1044/N1044,0)</f>
        <v/>
      </c>
      <c r="T1044">
        <f>IF(C1044,(H1044*N1044*IF(AND(Inputs!$B$38&lt;&gt;"pvp",Inputs!$B$43&gt;0),((Skills!G11*((R1044-1)*IF(Skills!H11&gt;0,Skills!I11/Skills!H11,1)+IF(Skills!H11&gt;0,MIN(Skills!I11,MAX(0,MAX(0,Inputs!$B$43-B1067)-((R1044-1)*IF(Inputs!$B$38="pvp",15,MAX(0.1,Skills!D11-IF(Skills!E11=TRUE,Inputs!$B$32,0))))))/Skills!H11,1)))/Inputs!$B$43),G1044*Q1044))*IF(Inputs!$B$38="pvp",1,1+(Inputs!$B$20+0+Skills!P11)/100),0)</f>
        <v/>
      </c>
      <c r="V1044">
        <f>IF(C1044,(H1044*N1044*IF(AND(Inputs!$B$38&lt;&gt;"pvp",Inputs!$B$43&gt;0),((Skills!G11*((R1044-1)*IF(Skills!H11&gt;0,Skills!I11/Skills!H11,1)+IF(Skills!H11&gt;0,MIN(Skills!I11,MAX(0,MAX(0,Inputs!$B$43-B1067)-((R1044-1)*IF(Inputs!$B$38="pvp",15,MAX(0.1,Skills!D11-IF(Skills!E11=TRUE,Inputs!$B$32,0))))))/Skills!H11,1)))/Inputs!$B$43),G1044*Q1044))*IF(Inputs!$B$38="pvp",1,(1+(Inputs!$B$21+Skills!Q11)/100)*(MIN(Skills!R11,Inputs!$B$37))),0)</f>
        <v/>
      </c>
    </row>
    <row r="1045">
      <c r="A1045">
        <f>Skills!A12</f>
        <v/>
      </c>
      <c r="B1045">
        <f>Skills!B12</f>
        <v/>
      </c>
      <c r="C1045">
        <f>Inputs!$B$3&gt;=100</f>
        <v/>
      </c>
      <c r="D1045">
        <f>IF(Skills!C12=1,60+Inputs!$B$25+Inputs!$B$29,IF(Skills!C12=2,90+Inputs!$B$26+Inputs!$B$29,IF(Skills!C12=3,120+Inputs!$B$27+Inputs!$B$29,MAX(0,(Inputs!$B$3-100)*3)+Inputs!$B$28+Inputs!$B$29)))</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IF(Skills!C13=1,60+Inputs!$B$25+Inputs!$B$29,IF(Skills!C13=2,90+Inputs!$B$26+Inputs!$B$29,IF(Skills!C13=3,120+Inputs!$B$27+Inputs!$B$29,MAX(0,(Inputs!$B$3-100)*3)+Inputs!$B$28+Inputs!$B$29)))</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f>(1-Summary!$B$55)*T1046+Summary!$B$55*V1046</f>
        <v/>
      </c>
      <c r="P1046">
        <f>IF(B1070=0,0,O1046/B1070)</f>
        <v/>
      </c>
      <c r="Q1046" t="n">
        <v>0</v>
      </c>
      <c r="R1046" t="n">
        <v>0</v>
      </c>
      <c r="S1046">
        <f>IFERROR(O1046/N1046,0)</f>
        <v/>
      </c>
      <c r="T1046" t="n">
        <v>0</v>
      </c>
      <c r="V1046" t="n">
        <v>0</v>
      </c>
    </row>
    <row r="1047">
      <c r="A1047">
        <f>Skills!A14</f>
        <v/>
      </c>
      <c r="B1047">
        <f>Skills!B14</f>
        <v/>
      </c>
      <c r="C1047">
        <f>Inputs!$B$3&gt;=110</f>
        <v/>
      </c>
      <c r="D1047">
        <f>IF(Skills!C14=1,60+Inputs!$B$25+Inputs!$B$29,IF(Skills!C14=2,90+Inputs!$B$26+Inputs!$B$29,IF(Skills!C14=3,120+Inputs!$B$27+Inputs!$B$29,MAX(0,(Inputs!$B$3-100)*3)+Inputs!$B$28+Inputs!$B$29)))</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f>(1-Summary!$B$55)*T1047+Summary!$B$55*V1047</f>
        <v/>
      </c>
      <c r="P1047">
        <f>IF(B1070=0,0,O1047/B1070)</f>
        <v/>
      </c>
      <c r="Q1047" t="n">
        <v>0</v>
      </c>
      <c r="R1047" t="n">
        <v>0</v>
      </c>
      <c r="S1047">
        <f>IFERROR(O1047/N1047,0)</f>
        <v/>
      </c>
      <c r="T1047" t="n">
        <v>0</v>
      </c>
      <c r="V1047" t="n">
        <v>0</v>
      </c>
    </row>
    <row r="1048">
      <c r="A1048">
        <f>Skills!A15</f>
        <v/>
      </c>
      <c r="B1048">
        <f>Skills!B15</f>
        <v/>
      </c>
      <c r="C1048">
        <f>Inputs!$B$3&gt;=75</f>
        <v/>
      </c>
      <c r="D1048">
        <f>IF(Skills!C15=1,60+Inputs!$B$25+Inputs!$B$29,IF(Skills!C15=2,90+Inputs!$B$26+Inputs!$B$29,IF(Skills!C15=3,120+Inputs!$B$27+Inputs!$B$29,MAX(0,(Inputs!$B$3-100)*3)+Inputs!$B$28+Inputs!$B$29)))</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f>(1-Summary!$B$55)*T1048+Summary!$B$55*V1048</f>
        <v/>
      </c>
      <c r="P1048">
        <f>IF(B1070=0,0,O1048/B1070)</f>
        <v/>
      </c>
      <c r="Q1048">
        <f>IFERROR(1/IF(Inputs!$B$38="pvp",15,MAX(0.1,Skills!D15-IF(Skills!E15=TRUE,Inputs!$B$32,0))),0)</f>
        <v/>
      </c>
      <c r="R1048">
        <f>IF(AND(Inputs!$B$38&lt;&gt;"pvp",Inputs!$B$43&gt;0),IF(Inputs!$B$43&lt;=0,0,(INT(Inputs!$B$43/IF(Inputs!$B$38="pvp",15,MAX(0.1,Skills!D15-IF(Skills!E15=TRUE,Inputs!$B$32,0))))+1)),0)</f>
        <v/>
      </c>
      <c r="S1048">
        <f>IFERROR(O1048/N1048,0)</f>
        <v/>
      </c>
      <c r="T1048" t="n">
        <v>0</v>
      </c>
      <c r="V1048" t="n">
        <v>0</v>
      </c>
    </row>
    <row r="1049">
      <c r="A1049">
        <f>Skills!A16</f>
        <v/>
      </c>
      <c r="B1049">
        <f>Skills!B16</f>
        <v/>
      </c>
      <c r="C1049">
        <f>Inputs!$B$3&gt;=105</f>
        <v/>
      </c>
      <c r="D1049">
        <f>IF(Skills!C16=1,60+Inputs!$B$25+Inputs!$B$29,IF(Skills!C16=2,90+Inputs!$B$26+Inputs!$B$29,IF(Skills!C16=3,120+Inputs!$B$27+Inputs!$B$29,MAX(0,(Inputs!$B$3-100)*3)+Inputs!$B$28+Inputs!$B$29)))</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f>(1-Summary!$B$55)*T1049+Summary!$B$55*V1049</f>
        <v/>
      </c>
      <c r="P1049">
        <f>IF(B1070=0,0,O1049/B1070)</f>
        <v/>
      </c>
      <c r="Q1049">
        <f>IFERROR(1/IF(Inputs!$B$38="pvp",15,MAX(0.1,Skills!D16-IF(Skills!E16=TRUE,Inputs!$B$32,0))),0)</f>
        <v/>
      </c>
      <c r="R1049">
        <f>IF(AND(Inputs!$B$38&lt;&gt;"pvp",Inputs!$B$43&gt;0),IF(Inputs!$B$43&lt;=0,0,(INT(Inputs!$B$43/IF(Inputs!$B$38="pvp",15,MAX(0.1,Skills!D16-IF(Skills!E16=TRUE,Inputs!$B$32,0))))+1)),0)</f>
        <v/>
      </c>
      <c r="S1049">
        <f>IFERROR(O1049/N1049,0)</f>
        <v/>
      </c>
      <c r="T1049" t="n">
        <v>0</v>
      </c>
      <c r="V1049" t="n">
        <v>0</v>
      </c>
    </row>
    <row r="1050">
      <c r="A1050">
        <f>Skills!A17</f>
        <v/>
      </c>
      <c r="B1050">
        <f>Skills!B17</f>
        <v/>
      </c>
      <c r="C1050">
        <f>Inputs!$B$3&gt;=115</f>
        <v/>
      </c>
      <c r="D1050">
        <f>IF(Skills!C17=1,60+Inputs!$B$25+Inputs!$B$29,IF(Skills!C17=2,90+Inputs!$B$26+Inputs!$B$29,IF(Skills!C17=3,120+Inputs!$B$27+Inputs!$B$29,MAX(0,(Inputs!$B$3-100)*3)+Inputs!$B$28+Inputs!$B$29)))</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f>(1-Summary!$B$55)*T1050+Summary!$B$55*V1050</f>
        <v/>
      </c>
      <c r="P1050">
        <f>IF(B1070=0,0,O1050/B1070)</f>
        <v/>
      </c>
      <c r="Q1050">
        <f>IFERROR(1/IF(Inputs!$B$38="pvp",15,MAX(0.1,Skills!D17-IF(Skills!E17=TRUE,Inputs!$B$32,0))),0)</f>
        <v/>
      </c>
      <c r="R1050">
        <f>IF(AND(Inputs!$B$38&lt;&gt;"pvp",Inputs!$B$43&gt;0),IF(Inputs!$B$43&lt;=0,0,(INT(Inputs!$B$43/IF(Inputs!$B$38="pvp",15,MAX(0.1,Skills!D17-IF(Skills!E17=TRUE,Inputs!$B$32,0))))+1)),0)</f>
        <v/>
      </c>
      <c r="S1050">
        <f>IFERROR(O1050/N1050,0)</f>
        <v/>
      </c>
      <c r="T1050" t="n">
        <v>0</v>
      </c>
      <c r="V1050" t="n">
        <v>0</v>
      </c>
    </row>
    <row r="1051">
      <c r="A1051">
        <f>Skills!A18</f>
        <v/>
      </c>
      <c r="B1051">
        <f>Skills!B18</f>
        <v/>
      </c>
      <c r="C1051">
        <f>Inputs!$B$3&gt;=74</f>
        <v/>
      </c>
      <c r="D1051">
        <f>IF(Skills!C18=1,60+Inputs!$B$25+Inputs!$B$29,IF(Skills!C18=2,90+Inputs!$B$26+Inputs!$B$29,IF(Skills!C18=3,120+Inputs!$B$27+Inputs!$B$29,MAX(0,(Inputs!$B$3-100)*3)+Inputs!$B$28+Inputs!$B$29)))</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f>(1-Summary!$B$55)*T1051+Summary!$B$55*V1051</f>
        <v/>
      </c>
      <c r="P1051">
        <f>IF(B1070=0,0,O1051/B1070)</f>
        <v/>
      </c>
      <c r="Q1051">
        <f>IFERROR(1/IF(Inputs!$B$38="pvp",15,MAX(0.1,Skills!D18-IF(Skills!E18=TRUE,Inputs!$B$32,0))),0)</f>
        <v/>
      </c>
      <c r="R1051">
        <f>IF(AND(Inputs!$B$38&lt;&gt;"pvp",Inputs!$B$43&gt;0),IF(Inputs!$B$43&lt;=0,0,(INT(Inputs!$B$43/IF(Inputs!$B$38="pvp",15,MAX(0.1,Skills!D18-IF(Skills!E18=TRUE,Inputs!$B$32,0))))+1)),0)</f>
        <v/>
      </c>
      <c r="S1051">
        <f>IFERROR(O1051/N1051,0)</f>
        <v/>
      </c>
      <c r="T1051" t="n">
        <v>0</v>
      </c>
      <c r="V1051" t="n">
        <v>0</v>
      </c>
    </row>
    <row r="1052">
      <c r="A1052">
        <f>Skills!A19</f>
        <v/>
      </c>
      <c r="B1052">
        <f>Skills!B19</f>
        <v/>
      </c>
      <c r="C1052">
        <f>TRUE</f>
        <v/>
      </c>
      <c r="D1052">
        <f>IF(Skills!C19=1,60+Inputs!$B$25+Inputs!$B$29,IF(Skills!C19=2,90+Inputs!$B$26+Inputs!$B$29,IF(Skills!C19=3,120+Inputs!$B$27+Inputs!$B$29,MAX(0,(Inputs!$B$3-100)*3)+Inputs!$B$28+Inputs!$B$29)))</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f>(1-Summary!$B$55)*T1052+Summary!$B$55*V1052</f>
        <v/>
      </c>
      <c r="P1052">
        <f>IF(B1070=0,0,O1052/B1070)</f>
        <v/>
      </c>
      <c r="Q1052">
        <f>IFERROR(1/IF(Inputs!$B$38="pvp",15,MAX(0.1,Skills!D19-IF(Skills!E19=TRUE,Inputs!$B$32,0))),0)</f>
        <v/>
      </c>
      <c r="R1052">
        <f>IF(AND(Inputs!$B$38&lt;&gt;"pvp",Inputs!$B$43&gt;0),IF(Inputs!$B$43&lt;=0,0,(INT(Inputs!$B$43/IF(Inputs!$B$38="pvp",15,MAX(0.1,Skills!D19-IF(Skills!E19=TRUE,Inputs!$B$32,0))))+1)),0)</f>
        <v/>
      </c>
      <c r="S1052">
        <f>IFERROR(O1052/N1052,0)</f>
        <v/>
      </c>
      <c r="T1052" t="n">
        <v>0</v>
      </c>
      <c r="V1052" t="n">
        <v>0</v>
      </c>
    </row>
    <row r="1053">
      <c r="A1053">
        <f>Skills!A20</f>
        <v/>
      </c>
      <c r="B1053">
        <f>Skills!B20</f>
        <v/>
      </c>
      <c r="C1053">
        <f>Inputs!$B$3&gt;=33</f>
        <v/>
      </c>
      <c r="D1053">
        <f>IF(Skills!C20=1,60+Inputs!$B$25+Inputs!$B$29,IF(Skills!C20=2,90+Inputs!$B$26+Inputs!$B$29,IF(Skills!C20=3,120+Inputs!$B$27+Inputs!$B$29,MAX(0,(Inputs!$B$3-100)*3)+Inputs!$B$28+Inputs!$B$29)))</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f>(1-Summary!$B$55)*T1053+Summary!$B$55*V1053</f>
        <v/>
      </c>
      <c r="P1053">
        <f>IF(B1070=0,0,O1053/B1070)</f>
        <v/>
      </c>
      <c r="Q1053" t="n">
        <v>0</v>
      </c>
      <c r="R1053" t="n">
        <v>0</v>
      </c>
      <c r="S1053">
        <f>IFERROR(O1053/N1053,0)</f>
        <v/>
      </c>
      <c r="T1053" t="n">
        <v>0</v>
      </c>
      <c r="V1053" t="n">
        <v>0</v>
      </c>
    </row>
    <row r="1054">
      <c r="A1054">
        <f>Skills!A21</f>
        <v/>
      </c>
      <c r="B1054">
        <f>Skills!B21</f>
        <v/>
      </c>
      <c r="C1054">
        <f>Inputs!$B$3&gt;=38</f>
        <v/>
      </c>
      <c r="D1054">
        <f>IF(Skills!C21=1,60+Inputs!$B$25+Inputs!$B$29,IF(Skills!C21=2,90+Inputs!$B$26+Inputs!$B$29,IF(Skills!C21=3,120+Inputs!$B$27+Inputs!$B$29,MAX(0,(Inputs!$B$3-100)*3)+Inputs!$B$28+Inputs!$B$29)))</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f>(1-Summary!$B$55)*T1054+Summary!$B$55*V1054</f>
        <v/>
      </c>
      <c r="P1054">
        <f>IF(B1070=0,0,O1054/B1070)</f>
        <v/>
      </c>
      <c r="Q1054" t="n">
        <v>0</v>
      </c>
      <c r="R1054" t="n">
        <v>0</v>
      </c>
      <c r="S1054">
        <f>IFERROR(O1054/N1054,0)</f>
        <v/>
      </c>
      <c r="T1054" t="n">
        <v>0</v>
      </c>
      <c r="V1054" t="n">
        <v>0</v>
      </c>
    </row>
    <row r="1055">
      <c r="A1055">
        <f>Skills!A22</f>
        <v/>
      </c>
      <c r="B1055">
        <f>Skills!B22</f>
        <v/>
      </c>
      <c r="C1055">
        <f>Inputs!$B$3&gt;=43</f>
        <v/>
      </c>
      <c r="D1055">
        <f>IF(Skills!C22=1,60+Inputs!$B$25+Inputs!$B$29,IF(Skills!C22=2,90+Inputs!$B$26+Inputs!$B$29,IF(Skills!C22=3,120+Inputs!$B$27+Inputs!$B$29,MAX(0,(Inputs!$B$3-100)*3)+Inputs!$B$28+Inputs!$B$29)))</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f>(1-Summary!$B$55)*T1055+Summary!$B$55*V1055</f>
        <v/>
      </c>
      <c r="P1055">
        <f>IF(B1070=0,0,O1055/B1070)</f>
        <v/>
      </c>
      <c r="Q1055" t="n">
        <v>0</v>
      </c>
      <c r="R1055" t="n">
        <v>0</v>
      </c>
      <c r="S1055">
        <f>IFERROR(O1055/N1055,0)</f>
        <v/>
      </c>
      <c r="T1055" t="n">
        <v>0</v>
      </c>
      <c r="V1055" t="n">
        <v>0</v>
      </c>
    </row>
    <row r="1056">
      <c r="A1056">
        <f>Skills!A23</f>
        <v/>
      </c>
      <c r="B1056">
        <f>Skills!B23</f>
        <v/>
      </c>
      <c r="C1056">
        <f>Inputs!$B$3&gt;=120</f>
        <v/>
      </c>
      <c r="D1056">
        <f>IF(Skills!C23=1,60+Inputs!$B$25+Inputs!$B$29,IF(Skills!C23=2,90+Inputs!$B$26+Inputs!$B$29,IF(Skills!C23=3,120+Inputs!$B$27+Inputs!$B$29,MAX(0,(Inputs!$B$3-100)*3)+Inputs!$B$28+Inputs!$B$29)))</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f>(1-Summary!$B$55)*T1056+Summary!$B$55*V1056</f>
        <v/>
      </c>
      <c r="P1056">
        <f>IF(B1070=0,0,O1056/B1070)</f>
        <v/>
      </c>
      <c r="Q1056" t="n">
        <v>0</v>
      </c>
      <c r="R1056" t="n">
        <v>0</v>
      </c>
      <c r="S1056">
        <f>IFERROR(O1056/N1056,0)</f>
        <v/>
      </c>
      <c r="T1056" t="n">
        <v>0</v>
      </c>
      <c r="V1056" t="n">
        <v>0</v>
      </c>
    </row>
    <row r="1057">
      <c r="A1057">
        <f>Skills!A24</f>
        <v/>
      </c>
      <c r="B1057">
        <f>Skills!B24</f>
        <v/>
      </c>
      <c r="C1057">
        <f>Inputs!$B$3&gt;=120</f>
        <v/>
      </c>
      <c r="D1057">
        <f>IF(Skills!C24=1,60+Inputs!$B$25+Inputs!$B$29,IF(Skills!C24=2,90+Inputs!$B$26+Inputs!$B$29,IF(Skills!C24=3,120+Inputs!$B$27+Inputs!$B$29,MAX(0,(Inputs!$B$3-100)*3)+Inputs!$B$28+Inputs!$B$29)))</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f>(1-Summary!$B$55)*T1057+Summary!$B$55*V1057</f>
        <v/>
      </c>
      <c r="P1057">
        <f>IF(B1070=0,0,O1057/B1070)</f>
        <v/>
      </c>
      <c r="Q1057" t="n">
        <v>0</v>
      </c>
      <c r="R1057" t="n">
        <v>0</v>
      </c>
      <c r="S1057">
        <f>IFERROR(O1057/N1057,0)</f>
        <v/>
      </c>
      <c r="T1057" t="n">
        <v>0</v>
      </c>
      <c r="V1057" t="n">
        <v>0</v>
      </c>
    </row>
    <row r="1059">
      <c r="A1059" t="inlineStr">
        <is>
          <t>Attack% Bucket Multiplier</t>
        </is>
      </c>
      <c r="B1059">
        <f>(1+(((C1046=TRUE)*F1046*MIN(1,Skills!T13*(Skills!J13/100)*B1064))+((C1051=TRUE)*F1051*IF(AND(Inputs!$B$38&lt;&gt;"pvp",Inputs!$B$43&gt;0),(((R1051-1)*(Skills!T18*(1+(Inputs!$B$34+1)/100))+MIN((Skills!T18*(1+(Inputs!$B$34+1)/100)),MAX(0,Inputs!$B$43-((R1051-1)*Skills!D18))))/Inputs!$B$43),IF(Inputs!$B$38="pvp",MIN((Skills!T18*(1+(Inputs!$B$34+1)/100)),15)/15,(Skills!T18*(1+(Inputs!$B$34+1)/100))/Skills!D18)))+0)/100)</f>
        <v/>
      </c>
    </row>
    <row r="1060">
      <c r="A1060" t="inlineStr">
        <is>
          <t>Global Crit Rate Bonus %</t>
        </is>
      </c>
      <c r="B1060" t="n">
        <v>0</v>
      </c>
    </row>
    <row r="1061">
      <c r="A1061" t="inlineStr">
        <is>
          <t>Attack Speed Buff Bonus %</t>
        </is>
      </c>
      <c r="B1061">
        <f>((C1052=TRUE)*F1052*IF(AND(Inputs!$B$38&lt;&gt;"pvp",Inputs!$B$43&gt;0),(((R1052-1)*(Skills!T19*(1+(Inputs!$B$34+1)/100))+MIN((Skills!T19*(1+(Inputs!$B$34+1)/100)),MAX(0,Inputs!$B$43-((R1052-1)*Skills!D19))))/Inputs!$B$43),IF(Inputs!$B$38="pvp",MIN((Skills!T19*(1+(Inputs!$B$34+1)/100)),15)/15,(Skills!T19*(1+(Inputs!$B$34+1)/100))/Skills!D19)))</f>
        <v/>
      </c>
    </row>
    <row r="1062">
      <c r="A1062" t="inlineStr">
        <is>
          <t>Actions Per Second</t>
        </is>
      </c>
      <c r="B1062">
        <f>1+MIN(150,150*(1-(1-(Inputs!$B$11+((C1053=TRUE)*(F1053-Calc!F20)))/150)*(1-B1061/150)))/100</f>
        <v/>
      </c>
    </row>
    <row r="1063">
      <c r="A1063" t="inlineStr">
        <is>
          <t>Skill + Buff Cast Rate</t>
        </is>
      </c>
      <c r="B1063">
        <f>IF(AND(Inputs!$B$38&lt;&gt;"pvp",Inputs!$B$43&gt;0),SUMPRODUCT((Skills!E2:E24=TRUE)*(C1035:C1057=TRUE)*R1035:R1057*Skills!F2:F24)/Inputs!$B$43,SUMPRODUCT((Skills!E2:E24=TRUE)*(C1035:C1057=TRUE)*Q1035:Q1057*Skills!F2:F24))</f>
        <v/>
      </c>
    </row>
    <row r="1064">
      <c r="A1064" t="inlineStr">
        <is>
          <t>Blast Casts Per Second</t>
        </is>
      </c>
      <c r="B1064">
        <f>MAX(0,B1062-B1063)</f>
        <v/>
      </c>
    </row>
    <row r="1065">
      <c r="A1065" t="inlineStr">
        <is>
          <t>Global Critical Damage Bonus % (unused)</t>
        </is>
      </c>
      <c r="B1065" t="n">
        <v>0</v>
      </c>
    </row>
    <row r="1066">
      <c r="A1066" t="inlineStr">
        <is>
          <t>Global Final Damage Bonus % (Divine Shield + Guardian + Divine Blessing + Greater Vessel of Light)</t>
        </is>
      </c>
      <c r="B1066">
        <f>((C1048=TRUE)*F1048*IF(AND(Inputs!$B$38&lt;&gt;"pvp",Inputs!$B$43&gt;0),(((R1048-1)*(Skills!T15*(1+(Inputs!$B$34+1)/100))+MIN((Skills!T15*(1+(Inputs!$B$34+1)/100)),MAX(0,Inputs!$B$43-((R1048-1)*Skills!D15))))/Inputs!$B$43),IF(Inputs!$B$38="pvp",MIN((Skills!T15*(1+(Inputs!$B$34+1)/100)),15)/15,(Skills!T15*(1+(Inputs!$B$34+1)/100))/Skills!D15)))+((C1049=TRUE)*F1049*IF(AND(Inputs!$B$38&lt;&gt;"pvp",Inputs!$B$43&gt;0),(((R1049-1)*(Skills!T16*(1+(Inputs!$B$34+1)/100))+MIN((Skills!T16*(1+(Inputs!$B$34+1)/100)),MAX(0,Inputs!$B$43-((R1049-1)*Skills!D16))))/Inputs!$B$43),IF(Inputs!$B$38="pvp",MIN((Skills!T16*(1+(Inputs!$B$34+1)/100)),15)/15,(Skills!T16*(1+(Inputs!$B$34+1)/100))/Skills!D16)))+((C1050=TRUE)*F1050*IF(AND(Inputs!$B$38&lt;&gt;"pvp",Inputs!$B$43&gt;0),(((R1050-1)*(Skills!T17*(1+(Inputs!$B$34+1)/100))+MIN((Skills!T17*(1+(Inputs!$B$34+1)/100)),MAX(0,Inputs!$B$43-((R1050-1)*Skills!D17))))/Inputs!$B$43),IF(Inputs!$B$38="pvp",MIN((Skills!T17*(1+(Inputs!$B$34+1)/100)),15)/15,(Skills!T17*(1+(Inputs!$B$34+1)/100))/Skills!D17)))+((C1047=TRUE)*F1047*MIN(1,Skills!T13*(Skills!J13/100)*B1064))</f>
        <v/>
      </c>
    </row>
    <row r="1067">
      <c r="A1067" t="inlineStr">
        <is>
          <t>Buff-Casting Startup Delay (s, fixed-duration only)</t>
        </is>
      </c>
      <c r="B1067">
        <f>IF(AND(Inputs!$B$38&lt;&gt;"pvp",Inputs!$B$43&gt;0),SUMPRODUCT((Skills!T2:T24&gt;0)*(Skills!E2:E24=TRUE)*(C1035:C1057=TRUE))/B1062,0)</f>
        <v/>
      </c>
    </row>
    <row r="1068">
      <c r="A1068" t="inlineStr">
        <is>
          <t>Boss-Only Total DPS (this block's swept value)</t>
        </is>
      </c>
      <c r="B1068">
        <f>SUM(T1035:T1057)</f>
        <v/>
      </c>
    </row>
    <row r="1069">
      <c r="A1069" t="inlineStr">
        <is>
          <t>Normal-Only Total DPS (this block's swept value)</t>
        </is>
      </c>
      <c r="B1069">
        <f>SUM(V1035:V1057)</f>
        <v/>
      </c>
    </row>
    <row r="1070">
      <c r="A1070" s="5" t="inlineStr">
        <is>
          <t>TOTAL DPS</t>
        </is>
      </c>
      <c r="B1070" s="5">
        <f>SUM(O1035:O1057)</f>
        <v/>
      </c>
    </row>
    <row r="1073">
      <c r="A1073" s="7" t="inlineStr">
        <is>
          <t>Cooldown Reduction Milestone Sweep (absolute CDR seconds, fixed-duration content only)</t>
        </is>
      </c>
    </row>
    <row r="1074">
      <c r="A1074" s="9" t="inlineStr">
        <is>
          <t>CDR (s)</t>
        </is>
      </c>
      <c r="B1074" s="9" t="inlineStr">
        <is>
          <t>Total DPS</t>
        </is>
      </c>
      <c r="C1074" s="9" t="inlineStr">
        <is>
          <t>DPS Gain (vs prior step)</t>
        </is>
      </c>
      <c r="D1074" s="9" t="inlineStr">
        <is>
          <t>% Gain (vs current CDR)</t>
        </is>
      </c>
    </row>
    <row r="1075">
      <c r="A1075" t="n">
        <v>0.5</v>
      </c>
      <c r="B1075">
        <f>B1124</f>
        <v/>
      </c>
      <c r="C1075" t="n">
        <v>0</v>
      </c>
      <c r="D1075">
        <f>IF(Summary!$B$3=0,0,(B1075-Summary!$B$3)/Summary!$B$3*100)</f>
        <v/>
      </c>
    </row>
    <row r="1076">
      <c r="A1076" t="n">
        <v>1</v>
      </c>
      <c r="B1076">
        <f>B1164</f>
        <v/>
      </c>
      <c r="C1076">
        <f>B1076-B1075</f>
        <v/>
      </c>
      <c r="D1076">
        <f>IF(Summary!$B$3=0,0,(B1076-Summary!$B$3)/Summary!$B$3*100)</f>
        <v/>
      </c>
    </row>
    <row r="1077">
      <c r="A1077" t="n">
        <v>1.5</v>
      </c>
      <c r="B1077">
        <f>B1204</f>
        <v/>
      </c>
      <c r="C1077">
        <f>B1077-B1076</f>
        <v/>
      </c>
      <c r="D1077">
        <f>IF(Summary!$B$3=0,0,(B1077-Summary!$B$3)/Summary!$B$3*100)</f>
        <v/>
      </c>
    </row>
    <row r="1078">
      <c r="A1078" t="n">
        <v>2</v>
      </c>
      <c r="B1078">
        <f>B1244</f>
        <v/>
      </c>
      <c r="C1078">
        <f>B1078-B1077</f>
        <v/>
      </c>
      <c r="D1078">
        <f>IF(Summary!$B$3=0,0,(B1078-Summary!$B$3)/Summary!$B$3*100)</f>
        <v/>
      </c>
    </row>
    <row r="1079">
      <c r="A1079" t="n">
        <v>2.5</v>
      </c>
      <c r="B1079">
        <f>B1284</f>
        <v/>
      </c>
      <c r="C1079">
        <f>B1079-B1078</f>
        <v/>
      </c>
      <c r="D1079">
        <f>IF(Summary!$B$3=0,0,(B1079-Summary!$B$3)/Summary!$B$3*100)</f>
        <v/>
      </c>
    </row>
    <row r="1080">
      <c r="A1080" t="n">
        <v>3</v>
      </c>
      <c r="B1080">
        <f>B1324</f>
        <v/>
      </c>
      <c r="C1080">
        <f>B1080-B1079</f>
        <v/>
      </c>
      <c r="D1080">
        <f>IF(Summary!$B$3=0,0,(B1080-Summary!$B$3)/Summary!$B$3*100)</f>
        <v/>
      </c>
    </row>
    <row r="1081">
      <c r="A1081" t="n">
        <v>3.5</v>
      </c>
      <c r="B1081">
        <f>B1364</f>
        <v/>
      </c>
      <c r="C1081">
        <f>B1081-B1080</f>
        <v/>
      </c>
      <c r="D1081">
        <f>IF(Summary!$B$3=0,0,(B1081-Summary!$B$3)/Summary!$B$3*100)</f>
        <v/>
      </c>
    </row>
    <row r="1082">
      <c r="A1082" t="n">
        <v>4</v>
      </c>
      <c r="B1082">
        <f>B1404</f>
        <v/>
      </c>
      <c r="C1082">
        <f>B1082-B1081</f>
        <v/>
      </c>
      <c r="D1082">
        <f>IF(Summary!$B$3=0,0,(B1082-Summary!$B$3)/Summary!$B$3*100)</f>
        <v/>
      </c>
    </row>
    <row r="1083">
      <c r="A1083" t="n">
        <v>4.5</v>
      </c>
      <c r="B1083">
        <f>B1444</f>
        <v/>
      </c>
      <c r="C1083">
        <f>B1083-B1082</f>
        <v/>
      </c>
      <c r="D1083">
        <f>IF(Summary!$B$3=0,0,(B1083-Summary!$B$3)/Summary!$B$3*100)</f>
        <v/>
      </c>
    </row>
    <row r="1084">
      <c r="A1084" t="n">
        <v>5</v>
      </c>
      <c r="B1084">
        <f>B1484</f>
        <v/>
      </c>
      <c r="C1084">
        <f>B1084-B1083</f>
        <v/>
      </c>
      <c r="D1084">
        <f>IF(Summary!$B$3=0,0,(B1084-Summary!$B$3)/Summary!$B$3*100)</f>
        <v/>
      </c>
    </row>
    <row r="1087">
      <c r="A1087" s="5" t="inlineStr">
        <is>
          <t>Stat: CDR = 0.5s</t>
        </is>
      </c>
    </row>
    <row r="1088">
      <c r="A1088" s="9" t="inlineStr">
        <is>
          <t>Key</t>
        </is>
      </c>
      <c r="B1088" s="9" t="inlineStr">
        <is>
          <t>Name</t>
        </is>
      </c>
      <c r="C1088" s="9" t="inlineStr">
        <is>
          <t>Unlocked</t>
        </is>
      </c>
      <c r="D1088" s="9" t="inlineStr">
        <is>
          <t>InputLevel</t>
        </is>
      </c>
      <c r="E1088" s="9" t="inlineStr">
        <is>
          <t>Factor</t>
        </is>
      </c>
      <c r="F1088" s="9" t="inlineStr">
        <is>
          <t>CoefficientPercent</t>
        </is>
      </c>
      <c r="G1088" s="9" t="inlineStr">
        <is>
          <t>EffectiveHits</t>
        </is>
      </c>
      <c r="H1088" s="9" t="inlineStr">
        <is>
          <t>ProcProbability</t>
        </is>
      </c>
      <c r="I1088" s="9" t="inlineStr">
        <is>
          <t>MapleHeroMultiplier</t>
        </is>
      </c>
      <c r="J1088" s="9" t="inlineStr">
        <is>
          <t>BaseDamage</t>
        </is>
      </c>
      <c r="K1088" s="9" t="inlineStr">
        <is>
          <t>BaseHitDamage</t>
        </is>
      </c>
      <c r="L1088" s="9" t="inlineStr">
        <is>
          <t>NonCritAvg</t>
        </is>
      </c>
      <c r="M1088" s="9" t="inlineStr">
        <is>
          <t>CritAvg</t>
        </is>
      </c>
      <c r="N1088" s="9" t="inlineStr">
        <is>
          <t>ExpectedDamage(perHit)</t>
        </is>
      </c>
      <c r="O1088" s="9" t="inlineStr">
        <is>
          <t>DPS</t>
        </is>
      </c>
      <c r="P1088" s="9" t="inlineStr">
        <is>
          <t>% of Total</t>
        </is>
      </c>
      <c r="Q1088" s="9" t="inlineStr">
        <is>
          <t>InvCooldown</t>
        </is>
      </c>
      <c r="R1088" s="9" t="inlineStr">
        <is>
          <t>CastsInFight</t>
        </is>
      </c>
      <c r="S1088" s="9" t="inlineStr">
        <is>
          <t>HitRate(perSec)</t>
        </is>
      </c>
      <c r="U1088" t="inlineStr">
        <is>
          <t>helpers</t>
        </is>
      </c>
    </row>
    <row r="1089">
      <c r="A1089">
        <f>Skills!A2</f>
        <v/>
      </c>
      <c r="B1089">
        <f>Skills!B2</f>
        <v/>
      </c>
      <c r="C1089">
        <f>Inputs!$B$3&gt;=100</f>
        <v/>
      </c>
      <c r="D1089" t="inlineStr"/>
      <c r="E1089" t="inlineStr"/>
      <c r="F1089">
        <f>U1091+Skills!O2</f>
        <v/>
      </c>
      <c r="G1089">
        <f>Skills!G2*IF(Skills!H2&gt;0,Skills!I2/Skills!H2,1)</f>
        <v/>
      </c>
      <c r="H1089">
        <f>1-(1-Skills!J2/100)^Skills!K2</f>
        <v/>
      </c>
      <c r="I1089" t="inlineStr">
        <is>
          <t>1</t>
        </is>
      </c>
      <c r="J1089">
        <f>((Inputs!$B$6*(1+Inputs!$B$7/100))+(((Inputs!$B$12*(1+Inputs!$B$13/100))-(Inputs!$B$12*(1+Inputs!$B$13/100)))+0.25*(Inputs!$B$14-Inputs!$B$14))*(1+Inputs!$B$7/100))*(F1089/100)</f>
        <v/>
      </c>
      <c r="K1089">
        <f>J1089*(1+((Inputs!$B$12*(1+Inputs!$B$13/100))*0.01+Inputs!$B$14*0.0025)/100)*(1+Inputs!$B$15/100)*(1+Inputs!$B$16/100)*(5000/(6000+Inputs!$B$42*(1-(Inputs!$B$19+0)/100)))*(1+(Inputs!$B$24+0+B1120)/100)*(1+(IF(Skills!A2="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1089)</f>
        <v/>
      </c>
      <c r="L1089">
        <f>K1089*(MIN(Inputs!$B$22+((C1109=TRUE)*(F1109-Calc!F22)),Inputs!$B$23+((C1111=TRUE)*(F1111-Calc!F24)))/100+(Inputs!$B$23+((C1111=TRUE)*(F1111-Calc!F24)))/100)/2</f>
        <v/>
      </c>
      <c r="M1089">
        <f>L1089*(1+(Inputs!$B$10+0+B1119)/100)</f>
        <v/>
      </c>
      <c r="N1089">
        <f>L1089*(1-MIN((Inputs!$B$9+0+B1114),100)/100)+M1089*(MIN((Inputs!$B$9+0+B1114),100)/100)</f>
        <v/>
      </c>
      <c r="O1089">
        <f>(1-Summary!$B$55)*T1089+Summary!$B$55*V1089</f>
        <v/>
      </c>
      <c r="P1089">
        <f>IF(B1124=0,0,O1089/B1124)</f>
        <v/>
      </c>
      <c r="Q1089" t="n">
        <v>0</v>
      </c>
      <c r="R1089" t="n">
        <v>0</v>
      </c>
      <c r="S1089">
        <f>IFERROR(O1089/N1089,0)</f>
        <v/>
      </c>
      <c r="T1089">
        <f>IF(C1089,(Skills!G2*N1089*B1118)*IF(Inputs!$B$38="pvp",1,1+(Inputs!$B$20+0+Skills!P2)/100),0)</f>
        <v/>
      </c>
      <c r="U1089">
        <f>MAX(0,(Inputs!$B$3-100)*3)+Inputs!$B$28+Inputs!$B$29</f>
        <v/>
      </c>
      <c r="V1089">
        <f>IF(C1089,(Skills!G2*N1089*B1118)*IF(Inputs!$B$38="pvp",1,(1+(Inputs!$B$21+Skills!Q2)/100)*(MIN((6+Inputs!$B$33),Inputs!$B$37))),0)</f>
        <v/>
      </c>
    </row>
    <row r="1090">
      <c r="A1090">
        <f>Skills!A3</f>
        <v/>
      </c>
      <c r="B1090">
        <f>Skills!B3</f>
        <v/>
      </c>
      <c r="C1090">
        <f>Inputs!$B$3&gt;=50</f>
        <v/>
      </c>
      <c r="D1090">
        <f>IF(Skills!C3=1,60+Inputs!$B$25+Inputs!$B$29,IF(Skills!C3=2,90+Inputs!$B$26+Inputs!$B$29,IF(Skills!C3=3,120+Inputs!$B$27+Inputs!$B$29,MAX(0,(Inputs!$B$3-100)*3)+Inputs!$B$28+Inputs!$B$29)))</f>
        <v/>
      </c>
      <c r="E1090">
        <f>INDEX(FactorTable!$B$2:$Y$301, MATCH(ROUND(MIN(300,MAX(1,D1090)),0), FactorTable!$A$2:$A$301,0), Skills!M3+1)</f>
        <v/>
      </c>
      <c r="F1090">
        <f>IF(Skills!N3=TRUE,(Skills!L3/10)*(E1090/1000),Skills!L3/10)+Skills!O3</f>
        <v/>
      </c>
      <c r="G1090" t="inlineStr"/>
      <c r="H1090" t="inlineStr"/>
      <c r="I1090" t="inlineStr">
        <is>
          <t>1</t>
        </is>
      </c>
      <c r="J1090" t="inlineStr"/>
      <c r="K1090" t="inlineStr"/>
      <c r="L1090" t="inlineStr"/>
      <c r="M1090" t="inlineStr"/>
      <c r="N1090" t="inlineStr"/>
      <c r="O1090" t="inlineStr"/>
      <c r="P1090" t="inlineStr"/>
      <c r="Q1090" t="inlineStr"/>
      <c r="R1090" t="inlineStr"/>
      <c r="S1090" t="inlineStr"/>
      <c r="U1090">
        <f>INDEX(FactorTable!$B$2:$Y$301, MATCH(ROUND(MIN(300,MAX(1,U1089)),0), FactorTable!$A$2:$A$301,0), 22)</f>
        <v/>
      </c>
    </row>
    <row r="1091">
      <c r="A1091">
        <f>Skills!A4</f>
        <v/>
      </c>
      <c r="B1091">
        <f>Skills!B4</f>
        <v/>
      </c>
      <c r="C1091">
        <f>Inputs!$B$3&gt;=35</f>
        <v/>
      </c>
      <c r="D1091">
        <f>IF(Skills!C4=1,60+Inputs!$B$25+Inputs!$B$29,IF(Skills!C4=2,90+Inputs!$B$26+Inputs!$B$29,IF(Skills!C4=3,120+Inputs!$B$27+Inputs!$B$29,MAX(0,(Inputs!$B$3-100)*3)+Inputs!$B$28+Inputs!$B$29)))</f>
        <v/>
      </c>
      <c r="E1091">
        <f>INDEX(FactorTable!$B$2:$Y$301, MATCH(ROUND(MIN(300,MAX(1,D1091)),0), FactorTable!$A$2:$A$301,0), Skills!M4+1)</f>
        <v/>
      </c>
      <c r="F1091">
        <f>IF(Skills!N4=TRUE,(Skills!L4/10)*(E1091/1000),Skills!L4/10)+Skills!O4</f>
        <v/>
      </c>
      <c r="G1091">
        <f>Skills!G4*IF(Skills!H4&gt;0,Skills!I4/Skills!H4,1)</f>
        <v/>
      </c>
      <c r="H1091">
        <f>1-(1-Skills!J4/100)^Skills!K4</f>
        <v/>
      </c>
      <c r="I1091" t="inlineStr">
        <is>
          <t>1</t>
        </is>
      </c>
      <c r="J1091">
        <f>((Inputs!$B$6*(1+Inputs!$B$7/100))+(((Inputs!$B$12*(1+Inputs!$B$13/100))-(Inputs!$B$12*(1+Inputs!$B$13/100)))+0.25*(Inputs!$B$14-Inputs!$B$14))*(1+Inputs!$B$7/100))*(F1091/100)</f>
        <v/>
      </c>
      <c r="K1091">
        <f>J1091*(1+((Inputs!$B$12*(1+Inputs!$B$13/100))*0.01+Inputs!$B$14*0.0025)/100)*(1+Inputs!$B$15/100)*(1+Inputs!$B$16/100)*(5000/(6000+Inputs!$B$42*(1-(Inputs!$B$19+0)/100)))*(1+(Inputs!$B$24+0+B1120)/100)*(1+4.0*IF(C1099=TRUE,F1099,0)/100)*(1+(IF(Skills!A4="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1091)</f>
        <v/>
      </c>
      <c r="L1091">
        <f>K1091*(MIN(Inputs!$B$22+((C1109=TRUE)*(F1109-Calc!F22)),Inputs!$B$23+((C1111=TRUE)*(F1111-Calc!F24)))/100+(Inputs!$B$23+((C1111=TRUE)*(F1111-Calc!F24)))/100)/2</f>
        <v/>
      </c>
      <c r="M1091">
        <f>L1091*(1+(Inputs!$B$10+0+B1119)/100)</f>
        <v/>
      </c>
      <c r="N1091">
        <f>L1091*(1-MIN((Inputs!$B$9+0+B1114),100)/100)+M1091*(MIN((Inputs!$B$9+0+B1114),100)/100)</f>
        <v/>
      </c>
      <c r="O1091">
        <f>(1-Summary!$B$55)*T1091+Summary!$B$55*V1091</f>
        <v/>
      </c>
      <c r="P1091">
        <f>IF(B1124=0,0,O1091/B1124)</f>
        <v/>
      </c>
      <c r="Q1091">
        <f>IFERROR(1/IF(Inputs!$B$38="pvp",15,MAX(0.1,Skills!D4-IF(Skills!E4=TRUE,0.5,0))),0)</f>
        <v/>
      </c>
      <c r="R1091">
        <f>IF(AND(Inputs!$B$38&lt;&gt;"pvp",Inputs!$B$43&gt;0),IF(MAX(0,Inputs!$B$43-B1121)&lt;=0,0,(INT(MAX(0,Inputs!$B$43-B1121)/IF(Inputs!$B$38="pvp",15,MAX(0.1,Skills!D4-IF(Skills!E4=TRUE,0.5,0))))+1)),0)</f>
        <v/>
      </c>
      <c r="S1091">
        <f>IFERROR(O1091/N1091,0)</f>
        <v/>
      </c>
      <c r="T1091">
        <f>IF(C1091,(H1091*N1091*IF(AND(Inputs!$B$38&lt;&gt;"pvp",Inputs!$B$43&gt;0),((Skills!G4*((R1091-1)*IF(Skills!H4&gt;0,Skills!I4/Skills!H4,1)+IF(Skills!H4&gt;0,MIN(Skills!I4,MAX(0,MAX(0,Inputs!$B$43-B1121)-((R1091-1)*IF(Inputs!$B$38="pvp",15,MAX(0.1,Skills!D4-IF(Skills!E4=TRUE,0.5,0))))))/Skills!H4,1)))/Inputs!$B$43),G1091*Q1091))*IF(Inputs!$B$38="pvp",1,1+(Inputs!$B$20+0+Skills!P4)/100),0)</f>
        <v/>
      </c>
      <c r="U1091">
        <f>290*U1090/1000</f>
        <v/>
      </c>
      <c r="V1091">
        <f>IF(C1091,(H1091*N1091*IF(AND(Inputs!$B$38&lt;&gt;"pvp",Inputs!$B$43&gt;0),((Skills!G4*((R1091-1)*IF(Skills!H4&gt;0,Skills!I4/Skills!H4,1)+IF(Skills!H4&gt;0,MIN(Skills!I4,MAX(0,MAX(0,Inputs!$B$43-B1121)-((R1091-1)*IF(Inputs!$B$38="pvp",15,MAX(0.1,Skills!D4-IF(Skills!E4=TRUE,0.5,0))))))/Skills!H4,1)))/Inputs!$B$43),G1091*Q1091))*IF(Inputs!$B$38="pvp",1,(1+(Inputs!$B$21+Skills!Q4)/100)*(MIN(Skills!R4,Inputs!$B$37))),0)</f>
        <v/>
      </c>
    </row>
    <row r="1092">
      <c r="A1092">
        <f>Skills!A5</f>
        <v/>
      </c>
      <c r="B1092">
        <f>Skills!B5</f>
        <v/>
      </c>
      <c r="C1092">
        <f>Inputs!$B$3&gt;=66</f>
        <v/>
      </c>
      <c r="D1092">
        <f>IF(Skills!C5=1,60+Inputs!$B$25+Inputs!$B$29,IF(Skills!C5=2,90+Inputs!$B$26+Inputs!$B$29,IF(Skills!C5=3,120+Inputs!$B$27+Inputs!$B$29,MAX(0,(Inputs!$B$3-100)*3)+Inputs!$B$28+Inputs!$B$29)))</f>
        <v/>
      </c>
      <c r="E1092">
        <f>INDEX(FactorTable!$B$2:$Y$301, MATCH(ROUND(MIN(300,MAX(1,D1092)),0), FactorTable!$A$2:$A$301,0), Skills!M5+1)</f>
        <v/>
      </c>
      <c r="F1092">
        <f>IF(Skills!N5=TRUE,(Skills!L5/10)*(E1092/1000),Skills!L5/10)+Skills!O5</f>
        <v/>
      </c>
      <c r="G1092">
        <f>Skills!G5*IF(Skills!H5&gt;0,Skills!I5/Skills!H5,1)</f>
        <v/>
      </c>
      <c r="H1092">
        <f>1-(1-Skills!J5/100)^Skills!K5</f>
        <v/>
      </c>
      <c r="I1092" t="inlineStr">
        <is>
          <t>1</t>
        </is>
      </c>
      <c r="J1092">
        <f>((Inputs!$B$6*(1+Inputs!$B$7/100))+(((Inputs!$B$12*(1+Inputs!$B$13/100))-(Inputs!$B$12*(1+Inputs!$B$13/100)))+0.25*(Inputs!$B$14-Inputs!$B$14))*(1+Inputs!$B$7/100))*(F1092/100)</f>
        <v/>
      </c>
      <c r="K1092">
        <f>J1092*(1+((Inputs!$B$12*(1+Inputs!$B$13/100))*0.01+Inputs!$B$14*0.0025)/100)*(1+Inputs!$B$15/100)*(1+Inputs!$B$16/100)*(5000/(6000+Inputs!$B$42*(1-(Inputs!$B$19+0)/100)))*(1+(Inputs!$B$24+0+B1120)/100)*(1+1.0*IF(C1099=TRUE,F1099,0)/100)*(1+(IF(Skills!A5="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1092)</f>
        <v/>
      </c>
      <c r="L1092">
        <f>K1092*(MIN(Inputs!$B$22+((C1109=TRUE)*(F1109-Calc!F22)),Inputs!$B$23+((C1111=TRUE)*(F1111-Calc!F24)))/100+(Inputs!$B$23+((C1111=TRUE)*(F1111-Calc!F24)))/100)/2</f>
        <v/>
      </c>
      <c r="M1092">
        <f>L1092*(1+(Inputs!$B$10+0+B1119)/100)</f>
        <v/>
      </c>
      <c r="N1092">
        <f>L1092*(1-MIN((Inputs!$B$9+0+B1114),100)/100)+M1092*(MIN((Inputs!$B$9+0+B1114),100)/100)</f>
        <v/>
      </c>
      <c r="O1092">
        <f>(1-Summary!$B$55)*T1092+Summary!$B$55*V1092</f>
        <v/>
      </c>
      <c r="P1092">
        <f>IF(B1124=0,0,O1092/B1124)</f>
        <v/>
      </c>
      <c r="Q1092">
        <f>IFERROR(1/IF(Inputs!$B$38="pvp",15,MAX(0.1,Skills!D5-IF(Skills!E5=TRUE,0.5,0))),0)</f>
        <v/>
      </c>
      <c r="R1092">
        <f>IF(AND(Inputs!$B$38&lt;&gt;"pvp",Inputs!$B$43&gt;0),IF(MAX(0,Inputs!$B$43-B1121)&lt;=0,0,(INT(MAX(0,Inputs!$B$43-B1121)/IF(Inputs!$B$38="pvp",15,MAX(0.1,Skills!D5-IF(Skills!E5=TRUE,0.5,0))))+1)),0)</f>
        <v/>
      </c>
      <c r="S1092">
        <f>IFERROR(O1092/N1092,0)</f>
        <v/>
      </c>
      <c r="T1092">
        <f>IF(C1092,(H1092*N1092*IF(AND(Inputs!$B$38&lt;&gt;"pvp",Inputs!$B$43&gt;0),((Skills!G5*((R1092-1)*IF(Skills!H5&gt;0,Skills!I5/Skills!H5,1)+IF(Skills!H5&gt;0,MIN(Skills!I5,MAX(0,MAX(0,Inputs!$B$43-B1121)-((R1092-1)*IF(Inputs!$B$38="pvp",15,MAX(0.1,Skills!D5-IF(Skills!E5=TRUE,0.5,0))))))/Skills!H5,1)))/Inputs!$B$43),G1092*Q1092))*IF(Inputs!$B$38="pvp",1,1+(Inputs!$B$20+0+Skills!P5)/100),0)</f>
        <v/>
      </c>
      <c r="V1092">
        <f>IF(C1092,(H1092*N1092*IF(AND(Inputs!$B$38&lt;&gt;"pvp",Inputs!$B$43&gt;0),((Skills!G5*((R1092-1)*IF(Skills!H5&gt;0,Skills!I5/Skills!H5,1)+IF(Skills!H5&gt;0,MIN(Skills!I5,MAX(0,MAX(0,Inputs!$B$43-B1121)-((R1092-1)*IF(Inputs!$B$38="pvp",15,MAX(0.1,Skills!D5-IF(Skills!E5=TRUE,0.5,0))))))/Skills!H5,1)))/Inputs!$B$43),G1092*Q1092))*IF(Inputs!$B$38="pvp",1,(1+(Inputs!$B$21+Skills!Q5)/100)*(MIN(Skills!R5,Inputs!$B$37))),0)</f>
        <v/>
      </c>
    </row>
    <row r="1093">
      <c r="A1093">
        <f>Skills!A6</f>
        <v/>
      </c>
      <c r="B1093">
        <f>Skills!B6</f>
        <v/>
      </c>
      <c r="C1093">
        <f>Inputs!$B$3&gt;=103</f>
        <v/>
      </c>
      <c r="D1093">
        <f>IF(Skills!C6=1,60+Inputs!$B$25+Inputs!$B$29,IF(Skills!C6=2,90+Inputs!$B$26+Inputs!$B$29,IF(Skills!C6=3,120+Inputs!$B$27+Inputs!$B$29,MAX(0,(Inputs!$B$3-100)*3)+Inputs!$B$28+Inputs!$B$29)))</f>
        <v/>
      </c>
      <c r="E1093">
        <f>INDEX(FactorTable!$B$2:$Y$301, MATCH(ROUND(MIN(300,MAX(1,D1093)),0), FactorTable!$A$2:$A$301,0), Skills!M6+1)</f>
        <v/>
      </c>
      <c r="F1093">
        <f>IF(Skills!N6=TRUE,(Skills!L6/10)*(E1093/1000),Skills!L6/10)+Skills!O6</f>
        <v/>
      </c>
      <c r="G1093">
        <f>Skills!G6*IF(Skills!H6&gt;0,Skills!I6/Skills!H6,1)</f>
        <v/>
      </c>
      <c r="H1093">
        <f>1-(1-Skills!J6/100)^Skills!K6</f>
        <v/>
      </c>
      <c r="I1093" t="inlineStr">
        <is>
          <t>1</t>
        </is>
      </c>
      <c r="J1093">
        <f>((Inputs!$B$6*(1+Inputs!$B$7/100))+(((Inputs!$B$12*(1+Inputs!$B$13/100))-(Inputs!$B$12*(1+Inputs!$B$13/100)))+0.25*(Inputs!$B$14-Inputs!$B$14))*(1+Inputs!$B$7/100))*(F1093/100)</f>
        <v/>
      </c>
      <c r="K1093">
        <f>J1093*(1+((Inputs!$B$12*(1+Inputs!$B$13/100))*0.01+Inputs!$B$14*0.0025)/100)*(1+Inputs!$B$15/100)*(1+Inputs!$B$16/100)*(5000/(6000+Inputs!$B$42*(1-(Inputs!$B$19+0)/100)))*(1+(Inputs!$B$24+0+B1120)/100)*(1+(IF(Skills!A6="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1093)</f>
        <v/>
      </c>
      <c r="L1093">
        <f>K1093*(MIN(Inputs!$B$22+((C1109=TRUE)*(F1109-Calc!F22)),Inputs!$B$23+((C1111=TRUE)*(F1111-Calc!F24)))/100+(Inputs!$B$23+((C1111=TRUE)*(F1111-Calc!F24)))/100)/2</f>
        <v/>
      </c>
      <c r="M1093">
        <f>L1093*(1+(Inputs!$B$10+0+B1119)/100)</f>
        <v/>
      </c>
      <c r="N1093">
        <f>L1093*(1-MIN((Inputs!$B$9+0+B1114),100)/100)+M1093*(MIN((Inputs!$B$9+0+B1114),100)/100)</f>
        <v/>
      </c>
      <c r="O1093">
        <f>(1-Summary!$B$55)*T1093+Summary!$B$55*V1093</f>
        <v/>
      </c>
      <c r="P1093">
        <f>IF(B1124=0,0,O1093/B1124)</f>
        <v/>
      </c>
      <c r="Q1093">
        <f>IFERROR(1/IF(Inputs!$B$38="pvp",15,MAX(0.1,Skills!D6-IF(Skills!E6=TRUE,0.5,0))),0)</f>
        <v/>
      </c>
      <c r="R1093">
        <f>IF(AND(Inputs!$B$38&lt;&gt;"pvp",Inputs!$B$43&gt;0),IF(MAX(0,Inputs!$B$43-B1121)&lt;=0,0,(INT(MAX(0,Inputs!$B$43-B1121)/IF(Inputs!$B$38="pvp",15,MAX(0.1,Skills!D6-IF(Skills!E6=TRUE,0.5,0))))+1)),0)</f>
        <v/>
      </c>
      <c r="S1093">
        <f>IFERROR(O1093/N1093,0)</f>
        <v/>
      </c>
      <c r="T1093">
        <f>IF(C1093,(H1093*N1093*IF(AND(Inputs!$B$38&lt;&gt;"pvp",Inputs!$B$43&gt;0),((Skills!G6*((R1093-1)*IF(Skills!H6&gt;0,Skills!I6/Skills!H6,1)+IF(Skills!H6&gt;0,MIN(Skills!I6,MAX(0,MAX(0,Inputs!$B$43-B1121)-((R1093-1)*IF(Inputs!$B$38="pvp",15,MAX(0.1,Skills!D6-IF(Skills!E6=TRUE,0.5,0))))))/Skills!H6,1)))/Inputs!$B$43),G1093*Q1093))*IF(Inputs!$B$38="pvp",1,1+(Inputs!$B$20+0+Skills!P6)/100),0)</f>
        <v/>
      </c>
      <c r="V1093">
        <f>IF(C1093,(H1093*N1093*IF(AND(Inputs!$B$38&lt;&gt;"pvp",Inputs!$B$43&gt;0),((Skills!G6*((R1093-1)*IF(Skills!H6&gt;0,Skills!I6/Skills!H6,1)+IF(Skills!H6&gt;0,MIN(Skills!I6,MAX(0,MAX(0,Inputs!$B$43-B1121)-((R1093-1)*IF(Inputs!$B$38="pvp",15,MAX(0.1,Skills!D6-IF(Skills!E6=TRUE,0.5,0))))))/Skills!H6,1)))/Inputs!$B$43),G1093*Q1093))*IF(Inputs!$B$38="pvp",1,(1+(Inputs!$B$21+Skills!Q6)/100)*(MIN(Skills!R6,Inputs!$B$37))),0)</f>
        <v/>
      </c>
    </row>
    <row r="1094">
      <c r="A1094">
        <f>Skills!A7</f>
        <v/>
      </c>
      <c r="B1094">
        <f>Skills!B7</f>
        <v/>
      </c>
      <c r="C1094">
        <f>Inputs!$B$3&gt;=107</f>
        <v/>
      </c>
      <c r="D1094">
        <f>IF(Skills!C7=1,60+Inputs!$B$25+Inputs!$B$29,IF(Skills!C7=2,90+Inputs!$B$26+Inputs!$B$29,IF(Skills!C7=3,120+Inputs!$B$27+Inputs!$B$29,MAX(0,(Inputs!$B$3-100)*3)+Inputs!$B$28+Inputs!$B$29)))</f>
        <v/>
      </c>
      <c r="E1094">
        <f>INDEX(FactorTable!$B$2:$Y$301, MATCH(ROUND(MIN(300,MAX(1,D1094)),0), FactorTable!$A$2:$A$301,0), Skills!M7+1)</f>
        <v/>
      </c>
      <c r="F1094">
        <f>IF(Skills!N7=TRUE,(Skills!L7/10)*(E1094/1000),Skills!L7/10)+Skills!O7</f>
        <v/>
      </c>
      <c r="G1094">
        <f>Skills!G7*IF(Skills!H7&gt;0,Skills!I7/Skills!H7,1)</f>
        <v/>
      </c>
      <c r="H1094">
        <f>1-(1-Skills!J7/100)^Skills!K7</f>
        <v/>
      </c>
      <c r="I1094" t="inlineStr">
        <is>
          <t>1</t>
        </is>
      </c>
      <c r="J1094">
        <f>((Inputs!$B$6*(1+Inputs!$B$7/100))+(((Inputs!$B$12*(1+Inputs!$B$13/100))-(Inputs!$B$12*(1+Inputs!$B$13/100)))+0.25*(Inputs!$B$14-Inputs!$B$14))*(1+Inputs!$B$7/100))*(F1094/100)</f>
        <v/>
      </c>
      <c r="K1094">
        <f>J1094*(1+((Inputs!$B$12*(1+Inputs!$B$13/100))*0.01+Inputs!$B$14*0.0025)/100)*(1+Inputs!$B$15/100)*(1+Inputs!$B$16/100)*(5000/(6000+Inputs!$B$42*(1-(Inputs!$B$19+0)/100)))*(1+(Inputs!$B$24+0+B1120)/100)*(1+(IF(Skills!A7="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1094)</f>
        <v/>
      </c>
      <c r="L1094">
        <f>K1094*(MIN(Inputs!$B$22+((C1109=TRUE)*(F1109-Calc!F22)),Inputs!$B$23+((C1111=TRUE)*(F1111-Calc!F24)))/100+(Inputs!$B$23+((C1111=TRUE)*(F1111-Calc!F24)))/100)/2</f>
        <v/>
      </c>
      <c r="M1094">
        <f>L1094*(1+(Inputs!$B$10+0+B1119)/100)</f>
        <v/>
      </c>
      <c r="N1094">
        <f>L1094*(1-MIN((Inputs!$B$9+0+B1114),100)/100)+M1094*(MIN((Inputs!$B$9+0+B1114),100)/100)</f>
        <v/>
      </c>
      <c r="O1094">
        <f>(1-Summary!$B$55)*T1094+Summary!$B$55*V1094</f>
        <v/>
      </c>
      <c r="P1094">
        <f>IF(B1124=0,0,O1094/B1124)</f>
        <v/>
      </c>
      <c r="Q1094">
        <f>IFERROR(1/IF(Inputs!$B$38="pvp",15,MAX(0.1,Skills!D7-IF(Skills!E7=TRUE,0.5,0))),0)</f>
        <v/>
      </c>
      <c r="R1094">
        <f>IF(AND(Inputs!$B$38&lt;&gt;"pvp",Inputs!$B$43&gt;0),IF(MAX(0,Inputs!$B$43-B1121)&lt;=0,0,(INT(MAX(0,Inputs!$B$43-B1121)/IF(Inputs!$B$38="pvp",15,MAX(0.1,Skills!D7-IF(Skills!E7=TRUE,0.5,0))))+1)),0)</f>
        <v/>
      </c>
      <c r="S1094">
        <f>IFERROR(O1094/N1094,0)</f>
        <v/>
      </c>
      <c r="T1094">
        <f>IF(C1094,(H1094*N1094*IF(AND(Inputs!$B$38&lt;&gt;"pvp",Inputs!$B$43&gt;0),((Skills!G7*((R1094-1)*IF(Skills!H7&gt;0,Skills!I7/Skills!H7,1)+IF(Skills!H7&gt;0,MIN(Skills!I7,MAX(0,MAX(0,Inputs!$B$43-B1121)-((R1094-1)*IF(Inputs!$B$38="pvp",15,MAX(0.1,Skills!D7-IF(Skills!E7=TRUE,0.5,0))))))/Skills!H7,1)))/Inputs!$B$43),G1094*Q1094))*IF(Inputs!$B$38="pvp",1,1+(Inputs!$B$20+0+Skills!P7)/100),0)</f>
        <v/>
      </c>
      <c r="V1094">
        <f>IF(C1094,(H1094*N1094*IF(AND(Inputs!$B$38&lt;&gt;"pvp",Inputs!$B$43&gt;0),((Skills!G7*((R1094-1)*IF(Skills!H7&gt;0,Skills!I7/Skills!H7,1)+IF(Skills!H7&gt;0,MIN(Skills!I7,MAX(0,MAX(0,Inputs!$B$43-B1121)-((R1094-1)*IF(Inputs!$B$38="pvp",15,MAX(0.1,Skills!D7-IF(Skills!E7=TRUE,0.5,0))))))/Skills!H7,1)))/Inputs!$B$43),G1094*Q1094))*IF(Inputs!$B$38="pvp",1,(1+(Inputs!$B$21+Skills!Q7)/100)*(MIN(Skills!R7,Inputs!$B$37))),0)</f>
        <v/>
      </c>
    </row>
    <row r="1095">
      <c r="A1095">
        <f>Skills!A8</f>
        <v/>
      </c>
      <c r="B1095">
        <f>Skills!B8</f>
        <v/>
      </c>
      <c r="C1095">
        <f>Inputs!$B$3&gt;=107</f>
        <v/>
      </c>
      <c r="D1095">
        <f>IF(Skills!C8=1,60+Inputs!$B$25+Inputs!$B$29,IF(Skills!C8=2,90+Inputs!$B$26+Inputs!$B$29,IF(Skills!C8=3,120+Inputs!$B$27+Inputs!$B$29,MAX(0,(Inputs!$B$3-100)*3)+Inputs!$B$28+Inputs!$B$29)))</f>
        <v/>
      </c>
      <c r="E1095">
        <f>INDEX(FactorTable!$B$2:$Y$301, MATCH(ROUND(MIN(300,MAX(1,D1095)),0), FactorTable!$A$2:$A$301,0), Skills!M8+1)</f>
        <v/>
      </c>
      <c r="F1095">
        <f>IF(Skills!N8=TRUE,(Skills!L8/10)*(E1095/1000),Skills!L8/10)+Skills!O8</f>
        <v/>
      </c>
      <c r="G1095">
        <f>Skills!G8*IF(Skills!H8&gt;0,Skills!I8/Skills!H8,1)</f>
        <v/>
      </c>
      <c r="H1095">
        <f>1-(1-Skills!J8/100)^Skills!K8</f>
        <v/>
      </c>
      <c r="I1095" t="inlineStr">
        <is>
          <t>1</t>
        </is>
      </c>
      <c r="J1095">
        <f>((Inputs!$B$6*(1+Inputs!$B$7/100))+(((Inputs!$B$12*(1+Inputs!$B$13/100))-(Inputs!$B$12*(1+Inputs!$B$13/100)))+0.25*(Inputs!$B$14-Inputs!$B$14))*(1+Inputs!$B$7/100))*(F1095/100)</f>
        <v/>
      </c>
      <c r="K1095">
        <f>J1095*(1+((Inputs!$B$12*(1+Inputs!$B$13/100))*0.01+Inputs!$B$14*0.0025)/100)*(1+Inputs!$B$15/100)*(1+Inputs!$B$16/100)*(5000/(6000+Inputs!$B$42*(1-(Inputs!$B$19+0)/100)))*(1+(Inputs!$B$24+0+B1120)/100)*(1+(IF(Skills!A8="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1095)</f>
        <v/>
      </c>
      <c r="L1095">
        <f>K1095*(MIN(Inputs!$B$22+((C1109=TRUE)*(F1109-Calc!F22)),Inputs!$B$23+((C1111=TRUE)*(F1111-Calc!F24)))/100+(Inputs!$B$23+((C1111=TRUE)*(F1111-Calc!F24)))/100)/2</f>
        <v/>
      </c>
      <c r="M1095">
        <f>L1095*(1+(Inputs!$B$10+0+B1119)/100)</f>
        <v/>
      </c>
      <c r="N1095">
        <f>L1095*(1-MIN((Inputs!$B$9+0+B1114),100)/100)+M1095*(MIN((Inputs!$B$9+0+B1114),100)/100)</f>
        <v/>
      </c>
      <c r="O1095">
        <f>(1-Summary!$B$55)*T1095+Summary!$B$55*V1095</f>
        <v/>
      </c>
      <c r="P1095">
        <f>IF(B1124=0,0,O1095/B1124)</f>
        <v/>
      </c>
      <c r="Q1095">
        <f>IFERROR(1/IF(Inputs!$B$38="pvp",15,MAX(0.1,Skills!D8-IF(Skills!E8=TRUE,0.5,0))),0)</f>
        <v/>
      </c>
      <c r="R1095">
        <f>IF(AND(Inputs!$B$38&lt;&gt;"pvp",Inputs!$B$43&gt;0),IF(MAX(0,Inputs!$B$43-B1121)&lt;=0,0,(INT(MAX(0,Inputs!$B$43-B1121)/IF(Inputs!$B$38="pvp",15,MAX(0.1,Skills!D8-IF(Skills!E8=TRUE,0.5,0))))+1)),0)</f>
        <v/>
      </c>
      <c r="S1095">
        <f>IFERROR(O1095/N1095,0)</f>
        <v/>
      </c>
      <c r="T1095">
        <f>IF(C1095,(H1095*N1095*IF(AND(Inputs!$B$38&lt;&gt;"pvp",Inputs!$B$43&gt;0),((Skills!G8*((R1095-1)*IF(Skills!H8&gt;0,Skills!I8/Skills!H8,1)+IF(Skills!H8&gt;0,MIN(Skills!I8,MAX(0,MAX(0,Inputs!$B$43-B1121)-((R1095-1)*IF(Inputs!$B$38="pvp",15,MAX(0.1,Skills!D8-IF(Skills!E8=TRUE,0.5,0))))))/Skills!H8,1)))/Inputs!$B$43),G1095*Q1095))*IF(Inputs!$B$38="pvp",1,1+(Inputs!$B$20+0+Skills!P8)/100),0)</f>
        <v/>
      </c>
      <c r="V1095">
        <f>IF(C1095,(H1095*N1095*IF(AND(Inputs!$B$38&lt;&gt;"pvp",Inputs!$B$43&gt;0),((Skills!G8*((R1095-1)*IF(Skills!H8&gt;0,Skills!I8/Skills!H8,1)+IF(Skills!H8&gt;0,MIN(Skills!I8,MAX(0,MAX(0,Inputs!$B$43-B1121)-((R1095-1)*IF(Inputs!$B$38="pvp",15,MAX(0.1,Skills!D8-IF(Skills!E8=TRUE,0.5,0))))))/Skills!H8,1)))/Inputs!$B$43),G1095*Q1095))*IF(Inputs!$B$38="pvp",1,(1+(Inputs!$B$21+Skills!Q8)/100)*(MIN(Skills!R8,Inputs!$B$37))),0)</f>
        <v/>
      </c>
    </row>
    <row r="1096">
      <c r="A1096">
        <f>Skills!A9</f>
        <v/>
      </c>
      <c r="B1096">
        <f>Skills!B9</f>
        <v/>
      </c>
      <c r="C1096">
        <f>Inputs!$B$3&gt;=125</f>
        <v/>
      </c>
      <c r="D1096">
        <f>IF(Skills!C9=1,60+Inputs!$B$25+Inputs!$B$29,IF(Skills!C9=2,90+Inputs!$B$26+Inputs!$B$29,IF(Skills!C9=3,120+Inputs!$B$27+Inputs!$B$29,MAX(0,(Inputs!$B$3-100)*3)+Inputs!$B$28+Inputs!$B$29)))</f>
        <v/>
      </c>
      <c r="E1096">
        <f>INDEX(FactorTable!$B$2:$Y$301, MATCH(ROUND(MIN(300,MAX(1,D1096)),0), FactorTable!$A$2:$A$301,0), Skills!M9+1)</f>
        <v/>
      </c>
      <c r="F1096">
        <f>IF(Skills!N9=TRUE,(Skills!L9/10)*(E1096/1000),Skills!L9/10)+Skills!O9</f>
        <v/>
      </c>
      <c r="G1096">
        <f>Skills!G9*IF(Skills!H9&gt;0,Skills!I9/Skills!H9,1)</f>
        <v/>
      </c>
      <c r="H1096">
        <f>1-(1-Skills!J9/100)^Skills!K9</f>
        <v/>
      </c>
      <c r="I1096" t="inlineStr">
        <is>
          <t>1</t>
        </is>
      </c>
      <c r="J1096">
        <f>((Inputs!$B$6*(1+Inputs!$B$7/100))+(((Inputs!$B$12*(1+Inputs!$B$13/100))-(Inputs!$B$12*(1+Inputs!$B$13/100)))+0.25*(Inputs!$B$14-Inputs!$B$14))*(1+Inputs!$B$7/100))*(F1096/100)</f>
        <v/>
      </c>
      <c r="K1096">
        <f>J1096*(1+((Inputs!$B$12*(1+Inputs!$B$13/100))*0.01+Inputs!$B$14*0.0025)/100)*(1+Inputs!$B$15/100)*(1+Inputs!$B$16/100)*(5000/(6000+Inputs!$B$42*(1-(Inputs!$B$19+0)/100)))*(1+(Inputs!$B$24+0+B1120)/100)*(1+(IF(Skills!A9="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1096)</f>
        <v/>
      </c>
      <c r="L1096">
        <f>K1096*(MIN(Inputs!$B$22+((C1109=TRUE)*(F1109-Calc!F22)),Inputs!$B$23+((C1111=TRUE)*(F1111-Calc!F24)))/100+(Inputs!$B$23+((C1111=TRUE)*(F1111-Calc!F24)))/100)/2</f>
        <v/>
      </c>
      <c r="M1096">
        <f>L1096*(1+(Inputs!$B$10+0+B1119)/100)</f>
        <v/>
      </c>
      <c r="N1096">
        <f>L1096*(1-MIN((Inputs!$B$9+0+B1114),100)/100)+M1096*(MIN((Inputs!$B$9+0+B1114),100)/100)</f>
        <v/>
      </c>
      <c r="O1096">
        <f>(1-Summary!$B$55)*T1096+Summary!$B$55*V1096</f>
        <v/>
      </c>
      <c r="P1096">
        <f>IF(B1124=0,0,O1096/B1124)</f>
        <v/>
      </c>
      <c r="Q1096">
        <f>IFERROR(1/IF(Inputs!$B$38="pvp",15,MAX(0.1,Skills!D9-IF(Skills!E9=TRUE,0.5,0))),0)</f>
        <v/>
      </c>
      <c r="R1096">
        <f>IF(AND(Inputs!$B$38&lt;&gt;"pvp",Inputs!$B$43&gt;0),IF(MAX(0,Inputs!$B$43-B1121)&lt;=0,0,(INT(MAX(0,Inputs!$B$43-B1121)/IF(Inputs!$B$38="pvp",15,MAX(0.1,Skills!D9-IF(Skills!E9=TRUE,0.5,0))))+1)),0)</f>
        <v/>
      </c>
      <c r="S1096">
        <f>IFERROR(O1096/N1096,0)</f>
        <v/>
      </c>
      <c r="T1096">
        <f>IF(C1096,(H1096*N1096*IF(AND(Inputs!$B$38&lt;&gt;"pvp",Inputs!$B$43&gt;0),((Skills!G9*((R1096-1)*IF(Skills!H9&gt;0,Skills!I9/Skills!H9,1)+IF(Skills!H9&gt;0,MIN(Skills!I9,MAX(0,MAX(0,Inputs!$B$43-B1121)-((R1096-1)*IF(Inputs!$B$38="pvp",15,MAX(0.1,Skills!D9-IF(Skills!E9=TRUE,0.5,0))))))/Skills!H9,1)))/Inputs!$B$43),G1096*Q1096))*IF(Inputs!$B$38="pvp",1,1+(Inputs!$B$20+0+Skills!P9)/100),0)</f>
        <v/>
      </c>
      <c r="V1096">
        <f>IF(C1096,(H1096*N1096*IF(AND(Inputs!$B$38&lt;&gt;"pvp",Inputs!$B$43&gt;0),((Skills!G9*((R1096-1)*IF(Skills!H9&gt;0,Skills!I9/Skills!H9,1)+IF(Skills!H9&gt;0,MIN(Skills!I9,MAX(0,MAX(0,Inputs!$B$43-B1121)-((R1096-1)*IF(Inputs!$B$38="pvp",15,MAX(0.1,Skills!D9-IF(Skills!E9=TRUE,0.5,0))))))/Skills!H9,1)))/Inputs!$B$43),G1096*Q1096))*IF(Inputs!$B$38="pvp",1,(1+(Inputs!$B$21+Skills!Q9)/100)*(MIN(Skills!R9,Inputs!$B$37))),0)</f>
        <v/>
      </c>
    </row>
    <row r="1097">
      <c r="A1097">
        <f>Skills!A10</f>
        <v/>
      </c>
      <c r="B1097">
        <f>Skills!B10</f>
        <v/>
      </c>
      <c r="C1097">
        <f>Inputs!$B$3&gt;=117</f>
        <v/>
      </c>
      <c r="D1097">
        <f>IF(Skills!C10=1,60+Inputs!$B$25+Inputs!$B$29,IF(Skills!C10=2,90+Inputs!$B$26+Inputs!$B$29,IF(Skills!C10=3,120+Inputs!$B$27+Inputs!$B$29,MAX(0,(Inputs!$B$3-100)*3)+Inputs!$B$28+Inputs!$B$29)))</f>
        <v/>
      </c>
      <c r="E1097">
        <f>INDEX(FactorTable!$B$2:$Y$301, MATCH(ROUND(MIN(300,MAX(1,D1097)),0), FactorTable!$A$2:$A$301,0), Skills!M10+1)</f>
        <v/>
      </c>
      <c r="F1097">
        <f>IF(Skills!N10=TRUE,(Skills!L10/10)*(E1097/1000),Skills!L10/10)+Skills!O10</f>
        <v/>
      </c>
      <c r="G1097">
        <f>Skills!G10*IF(Skills!H10&gt;0,Skills!I10/Skills!H10,1)</f>
        <v/>
      </c>
      <c r="H1097">
        <f>1-(1-Skills!J10/100)^Skills!K10</f>
        <v/>
      </c>
      <c r="I1097" t="inlineStr">
        <is>
          <t>1</t>
        </is>
      </c>
      <c r="J1097">
        <f>((Inputs!$B$6*(1+Inputs!$B$7/100))+(((Inputs!$B$12*(1+Inputs!$B$13/100))-(Inputs!$B$12*(1+Inputs!$B$13/100)))+0.25*(Inputs!$B$14-Inputs!$B$14))*(1+Inputs!$B$7/100))*(F1097/100)</f>
        <v/>
      </c>
      <c r="K1097">
        <f>J1097*(1+((Inputs!$B$12*(1+Inputs!$B$13/100))*0.01+Inputs!$B$14*0.0025)/100)*(1+Inputs!$B$15/100)*(1+Inputs!$B$16/100)*(5000/(6000+Inputs!$B$42*(1-(Inputs!$B$19+0)/100)))*(1+(Inputs!$B$24+0+B1120)/100)*(1+(IF(Skills!A10="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1097)</f>
        <v/>
      </c>
      <c r="L1097">
        <f>K1097*(MIN(Inputs!$B$22+((C1109=TRUE)*(F1109-Calc!F22)),Inputs!$B$23+((C1111=TRUE)*(F1111-Calc!F24)))/100+(Inputs!$B$23+((C1111=TRUE)*(F1111-Calc!F24)))/100)/2</f>
        <v/>
      </c>
      <c r="M1097">
        <f>L1097*(1+(Inputs!$B$10+0+B1119)/100)</f>
        <v/>
      </c>
      <c r="N1097">
        <f>L1097*(1-MIN((Inputs!$B$9+0+B1114),100)/100)+M1097*(MIN((Inputs!$B$9+0+B1114),100)/100)</f>
        <v/>
      </c>
      <c r="O1097">
        <f>(1-Summary!$B$55)*T1097+Summary!$B$55*V1097</f>
        <v/>
      </c>
      <c r="P1097">
        <f>IF(B1124=0,0,O1097/B1124)</f>
        <v/>
      </c>
      <c r="Q1097">
        <f>IFERROR(1/IF(Inputs!$B$38="pvp",15,MAX(0.1,Skills!D10-IF(Skills!E10=TRUE,0.5,0))),0)</f>
        <v/>
      </c>
      <c r="R1097">
        <f>IF(AND(Inputs!$B$38&lt;&gt;"pvp",Inputs!$B$43&gt;0),IF(MAX(0,Inputs!$B$43-B1121)&lt;=0,0,(INT(MAX(0,Inputs!$B$43-B1121)/IF(Inputs!$B$38="pvp",15,MAX(0.1,Skills!D10-IF(Skills!E10=TRUE,0.5,0))))+1)),0)</f>
        <v/>
      </c>
      <c r="S1097">
        <f>IFERROR(O1097/N1097,0)</f>
        <v/>
      </c>
      <c r="T1097">
        <f>IF(C1097,(H1097*N1097*IF(AND(Inputs!$B$38&lt;&gt;"pvp",Inputs!$B$43&gt;0),((Skills!G10*((R1097-1)*IF(Skills!H10&gt;0,Skills!I10/Skills!H10,1)+IF(Skills!H10&gt;0,MIN(Skills!I10,MAX(0,MAX(0,Inputs!$B$43-B1121)-((R1097-1)*IF(Inputs!$B$38="pvp",15,MAX(0.1,Skills!D10-IF(Skills!E10=TRUE,0.5,0))))))/Skills!H10,1)))/Inputs!$B$43),G1097*Q1097))*IF(Inputs!$B$38="pvp",1,1+(Inputs!$B$20+0+Skills!P10)/100),0)</f>
        <v/>
      </c>
      <c r="V1097">
        <f>IF(C1097,(H1097*N1097*IF(AND(Inputs!$B$38&lt;&gt;"pvp",Inputs!$B$43&gt;0),((Skills!G10*((R1097-1)*IF(Skills!H10&gt;0,Skills!I10/Skills!H10,1)+IF(Skills!H10&gt;0,MIN(Skills!I10,MAX(0,MAX(0,Inputs!$B$43-B1121)-((R1097-1)*IF(Inputs!$B$38="pvp",15,MAX(0.1,Skills!D10-IF(Skills!E10=TRUE,0.5,0))))))/Skills!H10,1)))/Inputs!$B$43),G1097*Q1097))*IF(Inputs!$B$38="pvp",1,(1+(Inputs!$B$21+Skills!Q10)/100)*(MIN(Skills!R10,Inputs!$B$37))),0)</f>
        <v/>
      </c>
    </row>
    <row r="1098">
      <c r="A1098">
        <f>Skills!A11</f>
        <v/>
      </c>
      <c r="B1098">
        <f>Skills!B11</f>
        <v/>
      </c>
      <c r="C1098">
        <f>Inputs!$B$3&gt;=63</f>
        <v/>
      </c>
      <c r="D1098">
        <f>IF(Skills!C11=1,60+Inputs!$B$25+Inputs!$B$29,IF(Skills!C11=2,90+Inputs!$B$26+Inputs!$B$29,IF(Skills!C11=3,120+Inputs!$B$27+Inputs!$B$29,MAX(0,(Inputs!$B$3-100)*3)+Inputs!$B$28+Inputs!$B$29)))</f>
        <v/>
      </c>
      <c r="E1098">
        <f>INDEX(FactorTable!$B$2:$Y$301, MATCH(ROUND(MIN(300,MAX(1,D1098)),0), FactorTable!$A$2:$A$301,0), Skills!M11+1)</f>
        <v/>
      </c>
      <c r="F1098">
        <f>IF(Skills!N11=TRUE,(Skills!L11/10)*(E1098/1000),Skills!L11/10)+Skills!O11</f>
        <v/>
      </c>
      <c r="G1098">
        <f>Skills!G11*IF(Skills!H11&gt;0,Skills!I11/Skills!H11,1)</f>
        <v/>
      </c>
      <c r="H1098">
        <f>1-(1-Skills!J11/100)^Skills!K11</f>
        <v/>
      </c>
      <c r="I1098" t="inlineStr">
        <is>
          <t>1</t>
        </is>
      </c>
      <c r="J1098">
        <f>((Inputs!$B$6*(1+Inputs!$B$7/100))+(((Inputs!$B$12*(1+Inputs!$B$13/100))-(Inputs!$B$12*(1+Inputs!$B$13/100)))+0.25*(Inputs!$B$14-Inputs!$B$14))*(1+Inputs!$B$7/100))*(F1098/100)</f>
        <v/>
      </c>
      <c r="K1098">
        <f>J1098*(1+((Inputs!$B$12*(1+Inputs!$B$13/100))*0.01+Inputs!$B$14*0.0025)/100)*(1+Inputs!$B$15/100)*(1+Inputs!$B$16/100)*(5000/(6000+Inputs!$B$42*(1-(Inputs!$B$19+0)/100)))*(1+(Inputs!$B$24+0+B1120)/100)*(1+1.5*IF(C1099=TRUE,F1099,0)/100)*(1+(IF(Skills!A11="BLAST",Inputs!$B$17+((C1108=TRUE)*(F1108-Calc!F21)),Inputs!$B$18+((C1110=TRUE)*(F1110-Calc!F23))))/100)*((1+(((C1100=TRUE)*F1100*MIN(1,Skills!T13*(Skills!J13/100)*B1118))+((C1105=TRUE)*F1105*IF(AND(Inputs!$B$38&lt;&gt;"pvp",Inputs!$B$43&gt;0),(((R1105-1)*(Skills!T18*(1+Inputs!$B$34/100))+MIN((Skills!T18*(1+Inputs!$B$34/100)),MAX(0,Inputs!$B$43-((R1105-1)*Skills!D18))))/Inputs!$B$43),IF(Inputs!$B$38="pvp",MIN((Skills!T18*(1+Inputs!$B$34/100)),15)/15,(Skills!T18*(1+Inputs!$B$34/100))/Skills!D18)))+0)/100)*I1098)</f>
        <v/>
      </c>
      <c r="L1098">
        <f>K1098*(MIN(Inputs!$B$22+((C1109=TRUE)*(F1109-Calc!F22)),Inputs!$B$23+((C1111=TRUE)*(F1111-Calc!F24)))/100+(Inputs!$B$23+((C1111=TRUE)*(F1111-Calc!F24)))/100)/2</f>
        <v/>
      </c>
      <c r="M1098">
        <f>L1098*(1+(Inputs!$B$10+0+B1119)/100)</f>
        <v/>
      </c>
      <c r="N1098">
        <f>L1098*(1-MIN((Inputs!$B$9+0+B1114),100)/100)+M1098*(MIN((Inputs!$B$9+0+B1114),100)/100)</f>
        <v/>
      </c>
      <c r="O1098">
        <f>(1-Summary!$B$55)*T1098+Summary!$B$55*V1098</f>
        <v/>
      </c>
      <c r="P1098">
        <f>IF(B1124=0,0,O1098/B1124)</f>
        <v/>
      </c>
      <c r="Q1098">
        <f>IFERROR(1/IF(Inputs!$B$38="pvp",15,MAX(0.1,Skills!D11-IF(Skills!E11=TRUE,0.5,0))),0)</f>
        <v/>
      </c>
      <c r="R1098">
        <f>IF(AND(Inputs!$B$38&lt;&gt;"pvp",Inputs!$B$43&gt;0),IF(MAX(0,Inputs!$B$43-B1121)&lt;=0,0,(INT(MAX(0,Inputs!$B$43-B1121)/IF(Inputs!$B$38="pvp",15,MAX(0.1,Skills!D11-IF(Skills!E11=TRUE,0.5,0))))+1)),0)</f>
        <v/>
      </c>
      <c r="S1098">
        <f>IFERROR(O1098/N1098,0)</f>
        <v/>
      </c>
      <c r="T1098">
        <f>IF(C1098,(H1098*N1098*IF(AND(Inputs!$B$38&lt;&gt;"pvp",Inputs!$B$43&gt;0),((Skills!G11*((R1098-1)*IF(Skills!H11&gt;0,Skills!I11/Skills!H11,1)+IF(Skills!H11&gt;0,MIN(Skills!I11,MAX(0,MAX(0,Inputs!$B$43-B1121)-((R1098-1)*IF(Inputs!$B$38="pvp",15,MAX(0.1,Skills!D11-IF(Skills!E11=TRUE,0.5,0))))))/Skills!H11,1)))/Inputs!$B$43),G1098*Q1098))*IF(Inputs!$B$38="pvp",1,1+(Inputs!$B$20+0+Skills!P11)/100),0)</f>
        <v/>
      </c>
      <c r="V1098">
        <f>IF(C1098,(H1098*N1098*IF(AND(Inputs!$B$38&lt;&gt;"pvp",Inputs!$B$43&gt;0),((Skills!G11*((R1098-1)*IF(Skills!H11&gt;0,Skills!I11/Skills!H11,1)+IF(Skills!H11&gt;0,MIN(Skills!I11,MAX(0,MAX(0,Inputs!$B$43-B1121)-((R1098-1)*IF(Inputs!$B$38="pvp",15,MAX(0.1,Skills!D11-IF(Skills!E11=TRUE,0.5,0))))))/Skills!H11,1)))/Inputs!$B$43),G1098*Q1098))*IF(Inputs!$B$38="pvp",1,(1+(Inputs!$B$21+Skills!Q11)/100)*(MIN(Skills!R11,Inputs!$B$37))),0)</f>
        <v/>
      </c>
    </row>
    <row r="1099">
      <c r="A1099">
        <f>Skills!A12</f>
        <v/>
      </c>
      <c r="B1099">
        <f>Skills!B12</f>
        <v/>
      </c>
      <c r="C1099">
        <f>Inputs!$B$3&gt;=100</f>
        <v/>
      </c>
      <c r="D1099">
        <f>IF(Skills!C12=1,60+Inputs!$B$25+Inputs!$B$29,IF(Skills!C12=2,90+Inputs!$B$26+Inputs!$B$29,IF(Skills!C12=3,120+Inputs!$B$27+Inputs!$B$29,MAX(0,(Inputs!$B$3-100)*3)+Inputs!$B$28+Inputs!$B$29)))</f>
        <v/>
      </c>
      <c r="E1099">
        <f>INDEX(FactorTable!$B$2:$Y$301, MATCH(ROUND(MIN(300,MAX(1,D1099)),0), FactorTable!$A$2:$A$301,0), Skills!M12+1)</f>
        <v/>
      </c>
      <c r="F1099">
        <f>IF(Skills!N12=TRUE,(Skills!L12/10)*(E1099/1000),Skills!L12/10)+Skills!O12</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Skills!A13</f>
        <v/>
      </c>
      <c r="B1100">
        <f>Skills!B13</f>
        <v/>
      </c>
      <c r="C1100">
        <f>Inputs!$B$3&gt;=45</f>
        <v/>
      </c>
      <c r="D1100">
        <f>IF(Skills!C13=1,60+Inputs!$B$25+Inputs!$B$29,IF(Skills!C13=2,90+Inputs!$B$26+Inputs!$B$29,IF(Skills!C13=3,120+Inputs!$B$27+Inputs!$B$29,MAX(0,(Inputs!$B$3-100)*3)+Inputs!$B$28+Inputs!$B$29)))</f>
        <v/>
      </c>
      <c r="E1100">
        <f>INDEX(FactorTable!$B$2:$Y$301, MATCH(ROUND(MIN(300,MAX(1,D1100)),0), FactorTable!$A$2:$A$301,0), Skills!M13+1)</f>
        <v/>
      </c>
      <c r="F1100">
        <f>IF(Skills!N13=TRUE,(Skills!L13/10)*(E1100/1000),Skills!L13/10)+Skills!O13</f>
        <v/>
      </c>
      <c r="G1100">
        <f>Skills!G13*IF(Skills!H13&gt;0,Skills!I13/Skills!H13,1)</f>
        <v/>
      </c>
      <c r="H1100">
        <f>1-(1-Skills!J13/100)^Skills!K13</f>
        <v/>
      </c>
      <c r="I1100" t="inlineStr">
        <is>
          <t>1</t>
        </is>
      </c>
      <c r="J1100" t="inlineStr"/>
      <c r="K1100" t="inlineStr"/>
      <c r="L1100" t="inlineStr"/>
      <c r="M1100" t="inlineStr"/>
      <c r="N1100" t="inlineStr"/>
      <c r="O1100">
        <f>(1-Summary!$B$55)*T1100+Summary!$B$55*V1100</f>
        <v/>
      </c>
      <c r="P1100">
        <f>IF(B1124=0,0,O1100/B1124)</f>
        <v/>
      </c>
      <c r="Q1100" t="n">
        <v>0</v>
      </c>
      <c r="R1100" t="n">
        <v>0</v>
      </c>
      <c r="S1100">
        <f>IFERROR(O1100/N1100,0)</f>
        <v/>
      </c>
      <c r="T1100" t="n">
        <v>0</v>
      </c>
      <c r="V1100" t="n">
        <v>0</v>
      </c>
    </row>
    <row r="1101">
      <c r="A1101">
        <f>Skills!A14</f>
        <v/>
      </c>
      <c r="B1101">
        <f>Skills!B14</f>
        <v/>
      </c>
      <c r="C1101">
        <f>Inputs!$B$3&gt;=110</f>
        <v/>
      </c>
      <c r="D1101">
        <f>IF(Skills!C14=1,60+Inputs!$B$25+Inputs!$B$29,IF(Skills!C14=2,90+Inputs!$B$26+Inputs!$B$29,IF(Skills!C14=3,120+Inputs!$B$27+Inputs!$B$29,MAX(0,(Inputs!$B$3-100)*3)+Inputs!$B$28+Inputs!$B$29)))</f>
        <v/>
      </c>
      <c r="E1101">
        <f>INDEX(FactorTable!$B$2:$Y$301, MATCH(ROUND(MIN(300,MAX(1,D1101)),0), FactorTable!$A$2:$A$301,0), Skills!M14+1)</f>
        <v/>
      </c>
      <c r="F1101">
        <f>IF(Skills!N14=TRUE,(Skills!L14/10)*(E1101/1000),Skills!L14/10)+Skills!O14</f>
        <v/>
      </c>
      <c r="G1101">
        <f>Skills!G14*IF(Skills!H14&gt;0,Skills!I14/Skills!H14,1)</f>
        <v/>
      </c>
      <c r="H1101">
        <f>1-(1-Skills!J14/100)^Skills!K14</f>
        <v/>
      </c>
      <c r="I1101" t="inlineStr">
        <is>
          <t>1</t>
        </is>
      </c>
      <c r="J1101" t="inlineStr"/>
      <c r="K1101" t="inlineStr"/>
      <c r="L1101" t="inlineStr"/>
      <c r="M1101" t="inlineStr"/>
      <c r="N1101" t="inlineStr"/>
      <c r="O1101">
        <f>(1-Summary!$B$55)*T1101+Summary!$B$55*V1101</f>
        <v/>
      </c>
      <c r="P1101">
        <f>IF(B1124=0,0,O1101/B1124)</f>
        <v/>
      </c>
      <c r="Q1101" t="n">
        <v>0</v>
      </c>
      <c r="R1101" t="n">
        <v>0</v>
      </c>
      <c r="S1101">
        <f>IFERROR(O1101/N1101,0)</f>
        <v/>
      </c>
      <c r="T1101" t="n">
        <v>0</v>
      </c>
      <c r="V1101" t="n">
        <v>0</v>
      </c>
    </row>
    <row r="1102">
      <c r="A1102">
        <f>Skills!A15</f>
        <v/>
      </c>
      <c r="B1102">
        <f>Skills!B15</f>
        <v/>
      </c>
      <c r="C1102">
        <f>Inputs!$B$3&gt;=75</f>
        <v/>
      </c>
      <c r="D1102">
        <f>IF(Skills!C15=1,60+Inputs!$B$25+Inputs!$B$29,IF(Skills!C15=2,90+Inputs!$B$26+Inputs!$B$29,IF(Skills!C15=3,120+Inputs!$B$27+Inputs!$B$29,MAX(0,(Inputs!$B$3-100)*3)+Inputs!$B$28+Inputs!$B$29)))</f>
        <v/>
      </c>
      <c r="E1102">
        <f>INDEX(FactorTable!$B$2:$Y$301, MATCH(ROUND(MIN(300,MAX(1,D1102)),0), FactorTable!$A$2:$A$301,0), Skills!M15+1)</f>
        <v/>
      </c>
      <c r="F1102">
        <f>IF(Skills!N15=TRUE,(Skills!L15/10)*(E1102/1000),Skills!L15/10)+Skills!O15</f>
        <v/>
      </c>
      <c r="G1102">
        <f>Skills!G15*IF(Skills!H15&gt;0,Skills!I15/Skills!H15,1)</f>
        <v/>
      </c>
      <c r="H1102">
        <f>1-(1-Skills!J15/100)^Skills!K15</f>
        <v/>
      </c>
      <c r="I1102" t="inlineStr">
        <is>
          <t>1</t>
        </is>
      </c>
      <c r="J1102" t="inlineStr"/>
      <c r="K1102" t="inlineStr"/>
      <c r="L1102" t="inlineStr"/>
      <c r="M1102" t="inlineStr"/>
      <c r="N1102" t="inlineStr"/>
      <c r="O1102">
        <f>(1-Summary!$B$55)*T1102+Summary!$B$55*V1102</f>
        <v/>
      </c>
      <c r="P1102">
        <f>IF(B1124=0,0,O1102/B1124)</f>
        <v/>
      </c>
      <c r="Q1102">
        <f>IFERROR(1/IF(Inputs!$B$38="pvp",15,MAX(0.1,Skills!D15-IF(Skills!E15=TRUE,0.5,0))),0)</f>
        <v/>
      </c>
      <c r="R1102">
        <f>IF(AND(Inputs!$B$38&lt;&gt;"pvp",Inputs!$B$43&gt;0),IF(Inputs!$B$43&lt;=0,0,(INT(Inputs!$B$43/IF(Inputs!$B$38="pvp",15,MAX(0.1,Skills!D15-IF(Skills!E15=TRUE,0.5,0))))+1)),0)</f>
        <v/>
      </c>
      <c r="S1102">
        <f>IFERROR(O1102/N1102,0)</f>
        <v/>
      </c>
      <c r="T1102" t="n">
        <v>0</v>
      </c>
      <c r="V1102" t="n">
        <v>0</v>
      </c>
    </row>
    <row r="1103">
      <c r="A1103">
        <f>Skills!A16</f>
        <v/>
      </c>
      <c r="B1103">
        <f>Skills!B16</f>
        <v/>
      </c>
      <c r="C1103">
        <f>Inputs!$B$3&gt;=105</f>
        <v/>
      </c>
      <c r="D1103">
        <f>IF(Skills!C16=1,60+Inputs!$B$25+Inputs!$B$29,IF(Skills!C16=2,90+Inputs!$B$26+Inputs!$B$29,IF(Skills!C16=3,120+Inputs!$B$27+Inputs!$B$29,MAX(0,(Inputs!$B$3-100)*3)+Inputs!$B$28+Inputs!$B$29)))</f>
        <v/>
      </c>
      <c r="E1103">
        <f>INDEX(FactorTable!$B$2:$Y$301, MATCH(ROUND(MIN(300,MAX(1,D1103)),0), FactorTable!$A$2:$A$301,0), Skills!M16+1)</f>
        <v/>
      </c>
      <c r="F1103">
        <f>IF(Skills!N16=TRUE,(Skills!L16/10)*(E1103/1000),Skills!L16/10)+Skills!O16</f>
        <v/>
      </c>
      <c r="G1103">
        <f>Skills!G16*IF(Skills!H16&gt;0,Skills!I16/Skills!H16,1)</f>
        <v/>
      </c>
      <c r="H1103">
        <f>1-(1-Skills!J16/100)^Skills!K16</f>
        <v/>
      </c>
      <c r="I1103" t="inlineStr">
        <is>
          <t>1</t>
        </is>
      </c>
      <c r="J1103" t="inlineStr"/>
      <c r="K1103" t="inlineStr"/>
      <c r="L1103" t="inlineStr"/>
      <c r="M1103" t="inlineStr"/>
      <c r="N1103" t="inlineStr"/>
      <c r="O1103">
        <f>(1-Summary!$B$55)*T1103+Summary!$B$55*V1103</f>
        <v/>
      </c>
      <c r="P1103">
        <f>IF(B1124=0,0,O1103/B1124)</f>
        <v/>
      </c>
      <c r="Q1103">
        <f>IFERROR(1/IF(Inputs!$B$38="pvp",15,MAX(0.1,Skills!D16-IF(Skills!E16=TRUE,0.5,0))),0)</f>
        <v/>
      </c>
      <c r="R1103">
        <f>IF(AND(Inputs!$B$38&lt;&gt;"pvp",Inputs!$B$43&gt;0),IF(Inputs!$B$43&lt;=0,0,(INT(Inputs!$B$43/IF(Inputs!$B$38="pvp",15,MAX(0.1,Skills!D16-IF(Skills!E16=TRUE,0.5,0))))+1)),0)</f>
        <v/>
      </c>
      <c r="S1103">
        <f>IFERROR(O1103/N1103,0)</f>
        <v/>
      </c>
      <c r="T1103" t="n">
        <v>0</v>
      </c>
      <c r="V1103" t="n">
        <v>0</v>
      </c>
    </row>
    <row r="1104">
      <c r="A1104">
        <f>Skills!A17</f>
        <v/>
      </c>
      <c r="B1104">
        <f>Skills!B17</f>
        <v/>
      </c>
      <c r="C1104">
        <f>Inputs!$B$3&gt;=115</f>
        <v/>
      </c>
      <c r="D1104">
        <f>IF(Skills!C17=1,60+Inputs!$B$25+Inputs!$B$29,IF(Skills!C17=2,90+Inputs!$B$26+Inputs!$B$29,IF(Skills!C17=3,120+Inputs!$B$27+Inputs!$B$29,MAX(0,(Inputs!$B$3-100)*3)+Inputs!$B$28+Inputs!$B$29)))</f>
        <v/>
      </c>
      <c r="E1104">
        <f>INDEX(FactorTable!$B$2:$Y$301, MATCH(ROUND(MIN(300,MAX(1,D1104)),0), FactorTable!$A$2:$A$301,0), Skills!M17+1)</f>
        <v/>
      </c>
      <c r="F1104">
        <f>IF(Skills!N17=TRUE,(Skills!L17/10)*(E1104/1000),Skills!L17/10)+Skills!O17</f>
        <v/>
      </c>
      <c r="G1104">
        <f>Skills!G17*IF(Skills!H17&gt;0,Skills!I17/Skills!H17,1)</f>
        <v/>
      </c>
      <c r="H1104">
        <f>1-(1-Skills!J17/100)^Skills!K17</f>
        <v/>
      </c>
      <c r="I1104" t="inlineStr">
        <is>
          <t>1</t>
        </is>
      </c>
      <c r="J1104" t="inlineStr"/>
      <c r="K1104" t="inlineStr"/>
      <c r="L1104" t="inlineStr"/>
      <c r="M1104" t="inlineStr"/>
      <c r="N1104" t="inlineStr"/>
      <c r="O1104">
        <f>(1-Summary!$B$55)*T1104+Summary!$B$55*V1104</f>
        <v/>
      </c>
      <c r="P1104">
        <f>IF(B1124=0,0,O1104/B1124)</f>
        <v/>
      </c>
      <c r="Q1104">
        <f>IFERROR(1/IF(Inputs!$B$38="pvp",15,MAX(0.1,Skills!D17-IF(Skills!E17=TRUE,0.5,0))),0)</f>
        <v/>
      </c>
      <c r="R1104">
        <f>IF(AND(Inputs!$B$38&lt;&gt;"pvp",Inputs!$B$43&gt;0),IF(Inputs!$B$43&lt;=0,0,(INT(Inputs!$B$43/IF(Inputs!$B$38="pvp",15,MAX(0.1,Skills!D17-IF(Skills!E17=TRUE,0.5,0))))+1)),0)</f>
        <v/>
      </c>
      <c r="S1104">
        <f>IFERROR(O1104/N1104,0)</f>
        <v/>
      </c>
      <c r="T1104" t="n">
        <v>0</v>
      </c>
      <c r="V1104" t="n">
        <v>0</v>
      </c>
    </row>
    <row r="1105">
      <c r="A1105">
        <f>Skills!A18</f>
        <v/>
      </c>
      <c r="B1105">
        <f>Skills!B18</f>
        <v/>
      </c>
      <c r="C1105">
        <f>Inputs!$B$3&gt;=74</f>
        <v/>
      </c>
      <c r="D1105">
        <f>IF(Skills!C18=1,60+Inputs!$B$25+Inputs!$B$29,IF(Skills!C18=2,90+Inputs!$B$26+Inputs!$B$29,IF(Skills!C18=3,120+Inputs!$B$27+Inputs!$B$29,MAX(0,(Inputs!$B$3-100)*3)+Inputs!$B$28+Inputs!$B$29)))</f>
        <v/>
      </c>
      <c r="E1105">
        <f>INDEX(FactorTable!$B$2:$Y$301, MATCH(ROUND(MIN(300,MAX(1,D1105)),0), FactorTable!$A$2:$A$301,0), Skills!M18+1)</f>
        <v/>
      </c>
      <c r="F1105">
        <f>IF(Skills!N18=TRUE,(Skills!L18/10)*(E1105/1000),Skills!L18/10)+Skills!O18</f>
        <v/>
      </c>
      <c r="G1105">
        <f>Skills!G18*IF(Skills!H18&gt;0,Skills!I18/Skills!H18,1)</f>
        <v/>
      </c>
      <c r="H1105">
        <f>1-(1-Skills!J18/100)^Skills!K18</f>
        <v/>
      </c>
      <c r="I1105" t="inlineStr">
        <is>
          <t>1</t>
        </is>
      </c>
      <c r="J1105" t="inlineStr"/>
      <c r="K1105" t="inlineStr"/>
      <c r="L1105" t="inlineStr"/>
      <c r="M1105" t="inlineStr"/>
      <c r="N1105" t="inlineStr"/>
      <c r="O1105">
        <f>(1-Summary!$B$55)*T1105+Summary!$B$55*V1105</f>
        <v/>
      </c>
      <c r="P1105">
        <f>IF(B1124=0,0,O1105/B1124)</f>
        <v/>
      </c>
      <c r="Q1105">
        <f>IFERROR(1/IF(Inputs!$B$38="pvp",15,MAX(0.1,Skills!D18-IF(Skills!E18=TRUE,0.5,0))),0)</f>
        <v/>
      </c>
      <c r="R1105">
        <f>IF(AND(Inputs!$B$38&lt;&gt;"pvp",Inputs!$B$43&gt;0),IF(Inputs!$B$43&lt;=0,0,(INT(Inputs!$B$43/IF(Inputs!$B$38="pvp",15,MAX(0.1,Skills!D18-IF(Skills!E18=TRUE,0.5,0))))+1)),0)</f>
        <v/>
      </c>
      <c r="S1105">
        <f>IFERROR(O1105/N1105,0)</f>
        <v/>
      </c>
      <c r="T1105" t="n">
        <v>0</v>
      </c>
      <c r="V1105" t="n">
        <v>0</v>
      </c>
    </row>
    <row r="1106">
      <c r="A1106">
        <f>Skills!A19</f>
        <v/>
      </c>
      <c r="B1106">
        <f>Skills!B19</f>
        <v/>
      </c>
      <c r="C1106">
        <f>TRUE</f>
        <v/>
      </c>
      <c r="D1106">
        <f>IF(Skills!C19=1,60+Inputs!$B$25+Inputs!$B$29,IF(Skills!C19=2,90+Inputs!$B$26+Inputs!$B$29,IF(Skills!C19=3,120+Inputs!$B$27+Inputs!$B$29,MAX(0,(Inputs!$B$3-100)*3)+Inputs!$B$28+Inputs!$B$29)))</f>
        <v/>
      </c>
      <c r="E1106">
        <f>INDEX(FactorTable!$B$2:$Y$301, MATCH(ROUND(MIN(300,MAX(1,D1106)),0), FactorTable!$A$2:$A$301,0), Skills!M19+1)</f>
        <v/>
      </c>
      <c r="F1106">
        <f>IF(Skills!N19=TRUE,(Skills!L19/10)*(E1106/1000),Skills!L19/10)+Skills!O19</f>
        <v/>
      </c>
      <c r="G1106">
        <f>Skills!G19*IF(Skills!H19&gt;0,Skills!I19/Skills!H19,1)</f>
        <v/>
      </c>
      <c r="H1106">
        <f>1-(1-Skills!J19/100)^Skills!K19</f>
        <v/>
      </c>
      <c r="I1106" t="inlineStr">
        <is>
          <t>1</t>
        </is>
      </c>
      <c r="J1106" t="inlineStr"/>
      <c r="K1106" t="inlineStr"/>
      <c r="L1106" t="inlineStr"/>
      <c r="M1106" t="inlineStr"/>
      <c r="N1106" t="inlineStr"/>
      <c r="O1106">
        <f>(1-Summary!$B$55)*T1106+Summary!$B$55*V1106</f>
        <v/>
      </c>
      <c r="P1106">
        <f>IF(B1124=0,0,O1106/B1124)</f>
        <v/>
      </c>
      <c r="Q1106">
        <f>IFERROR(1/IF(Inputs!$B$38="pvp",15,MAX(0.1,Skills!D19-IF(Skills!E19=TRUE,0.5,0))),0)</f>
        <v/>
      </c>
      <c r="R1106">
        <f>IF(AND(Inputs!$B$38&lt;&gt;"pvp",Inputs!$B$43&gt;0),IF(Inputs!$B$43&lt;=0,0,(INT(Inputs!$B$43/IF(Inputs!$B$38="pvp",15,MAX(0.1,Skills!D19-IF(Skills!E19=TRUE,0.5,0))))+1)),0)</f>
        <v/>
      </c>
      <c r="S1106">
        <f>IFERROR(O1106/N1106,0)</f>
        <v/>
      </c>
      <c r="T1106" t="n">
        <v>0</v>
      </c>
      <c r="V1106" t="n">
        <v>0</v>
      </c>
    </row>
    <row r="1107">
      <c r="A1107">
        <f>Skills!A20</f>
        <v/>
      </c>
      <c r="B1107">
        <f>Skills!B20</f>
        <v/>
      </c>
      <c r="C1107">
        <f>Inputs!$B$3&gt;=33</f>
        <v/>
      </c>
      <c r="D1107">
        <f>IF(Skills!C20=1,60+Inputs!$B$25+Inputs!$B$29,IF(Skills!C20=2,90+Inputs!$B$26+Inputs!$B$29,IF(Skills!C20=3,120+Inputs!$B$27+Inputs!$B$29,MAX(0,(Inputs!$B$3-100)*3)+Inputs!$B$28+Inputs!$B$29)))</f>
        <v/>
      </c>
      <c r="E1107">
        <f>INDEX(FactorTable!$B$2:$Y$301, MATCH(ROUND(MIN(300,MAX(1,D1107)),0), FactorTable!$A$2:$A$301,0), Skills!M20+1)</f>
        <v/>
      </c>
      <c r="F1107">
        <f>IF(Skills!N20=TRUE,(Skills!L20/10)*(E1107/1000),Skills!L20/10)+Skills!O20</f>
        <v/>
      </c>
      <c r="G1107">
        <f>Skills!G20*IF(Skills!H20&gt;0,Skills!I20/Skills!H20,1)</f>
        <v/>
      </c>
      <c r="H1107">
        <f>1-(1-Skills!J20/100)^Skills!K20</f>
        <v/>
      </c>
      <c r="I1107" t="inlineStr">
        <is>
          <t>1</t>
        </is>
      </c>
      <c r="J1107" t="inlineStr"/>
      <c r="K1107" t="inlineStr"/>
      <c r="L1107" t="inlineStr"/>
      <c r="M1107" t="inlineStr"/>
      <c r="N1107" t="inlineStr"/>
      <c r="O1107">
        <f>(1-Summary!$B$55)*T1107+Summary!$B$55*V1107</f>
        <v/>
      </c>
      <c r="P1107">
        <f>IF(B1124=0,0,O1107/B1124)</f>
        <v/>
      </c>
      <c r="Q1107" t="n">
        <v>0</v>
      </c>
      <c r="R1107" t="n">
        <v>0</v>
      </c>
      <c r="S1107">
        <f>IFERROR(O1107/N1107,0)</f>
        <v/>
      </c>
      <c r="T1107" t="n">
        <v>0</v>
      </c>
      <c r="V1107" t="n">
        <v>0</v>
      </c>
    </row>
    <row r="1108">
      <c r="A1108">
        <f>Skills!A21</f>
        <v/>
      </c>
      <c r="B1108">
        <f>Skills!B21</f>
        <v/>
      </c>
      <c r="C1108">
        <f>Inputs!$B$3&gt;=38</f>
        <v/>
      </c>
      <c r="D1108">
        <f>IF(Skills!C21=1,60+Inputs!$B$25+Inputs!$B$29,IF(Skills!C21=2,90+Inputs!$B$26+Inputs!$B$29,IF(Skills!C21=3,120+Inputs!$B$27+Inputs!$B$29,MAX(0,(Inputs!$B$3-100)*3)+Inputs!$B$28+Inputs!$B$29)))</f>
        <v/>
      </c>
      <c r="E1108">
        <f>INDEX(FactorTable!$B$2:$Y$301, MATCH(ROUND(MIN(300,MAX(1,D1108)),0), FactorTable!$A$2:$A$301,0), Skills!M21+1)</f>
        <v/>
      </c>
      <c r="F1108">
        <f>IF(Skills!N21=TRUE,(Skills!L21/10)*(E1108/1000),Skills!L21/10)+Skills!O21</f>
        <v/>
      </c>
      <c r="G1108">
        <f>Skills!G21*IF(Skills!H21&gt;0,Skills!I21/Skills!H21,1)</f>
        <v/>
      </c>
      <c r="H1108">
        <f>1-(1-Skills!J21/100)^Skills!K21</f>
        <v/>
      </c>
      <c r="I1108" t="inlineStr">
        <is>
          <t>1</t>
        </is>
      </c>
      <c r="J1108" t="inlineStr"/>
      <c r="K1108" t="inlineStr"/>
      <c r="L1108" t="inlineStr"/>
      <c r="M1108" t="inlineStr"/>
      <c r="N1108" t="inlineStr"/>
      <c r="O1108">
        <f>(1-Summary!$B$55)*T1108+Summary!$B$55*V1108</f>
        <v/>
      </c>
      <c r="P1108">
        <f>IF(B1124=0,0,O1108/B1124)</f>
        <v/>
      </c>
      <c r="Q1108" t="n">
        <v>0</v>
      </c>
      <c r="R1108" t="n">
        <v>0</v>
      </c>
      <c r="S1108">
        <f>IFERROR(O1108/N1108,0)</f>
        <v/>
      </c>
      <c r="T1108" t="n">
        <v>0</v>
      </c>
      <c r="V1108" t="n">
        <v>0</v>
      </c>
    </row>
    <row r="1109">
      <c r="A1109">
        <f>Skills!A22</f>
        <v/>
      </c>
      <c r="B1109">
        <f>Skills!B22</f>
        <v/>
      </c>
      <c r="C1109">
        <f>Inputs!$B$3&gt;=43</f>
        <v/>
      </c>
      <c r="D1109">
        <f>IF(Skills!C22=1,60+Inputs!$B$25+Inputs!$B$29,IF(Skills!C22=2,90+Inputs!$B$26+Inputs!$B$29,IF(Skills!C22=3,120+Inputs!$B$27+Inputs!$B$29,MAX(0,(Inputs!$B$3-100)*3)+Inputs!$B$28+Inputs!$B$29)))</f>
        <v/>
      </c>
      <c r="E1109">
        <f>INDEX(FactorTable!$B$2:$Y$301, MATCH(ROUND(MIN(300,MAX(1,D1109)),0), FactorTable!$A$2:$A$301,0), Skills!M22+1)</f>
        <v/>
      </c>
      <c r="F1109">
        <f>IF(Skills!N22=TRUE,(Skills!L22/10)*(E1109/1000),Skills!L22/10)+Skills!O22</f>
        <v/>
      </c>
      <c r="G1109">
        <f>Skills!G22*IF(Skills!H22&gt;0,Skills!I22/Skills!H22,1)</f>
        <v/>
      </c>
      <c r="H1109">
        <f>1-(1-Skills!J22/100)^Skills!K22</f>
        <v/>
      </c>
      <c r="I1109" t="inlineStr">
        <is>
          <t>1</t>
        </is>
      </c>
      <c r="J1109" t="inlineStr"/>
      <c r="K1109" t="inlineStr"/>
      <c r="L1109" t="inlineStr"/>
      <c r="M1109" t="inlineStr"/>
      <c r="N1109" t="inlineStr"/>
      <c r="O1109">
        <f>(1-Summary!$B$55)*T1109+Summary!$B$55*V1109</f>
        <v/>
      </c>
      <c r="P1109">
        <f>IF(B1124=0,0,O1109/B1124)</f>
        <v/>
      </c>
      <c r="Q1109" t="n">
        <v>0</v>
      </c>
      <c r="R1109" t="n">
        <v>0</v>
      </c>
      <c r="S1109">
        <f>IFERROR(O1109/N1109,0)</f>
        <v/>
      </c>
      <c r="T1109" t="n">
        <v>0</v>
      </c>
      <c r="V1109" t="n">
        <v>0</v>
      </c>
    </row>
    <row r="1110">
      <c r="A1110">
        <f>Skills!A23</f>
        <v/>
      </c>
      <c r="B1110">
        <f>Skills!B23</f>
        <v/>
      </c>
      <c r="C1110">
        <f>Inputs!$B$3&gt;=120</f>
        <v/>
      </c>
      <c r="D1110">
        <f>IF(Skills!C23=1,60+Inputs!$B$25+Inputs!$B$29,IF(Skills!C23=2,90+Inputs!$B$26+Inputs!$B$29,IF(Skills!C23=3,120+Inputs!$B$27+Inputs!$B$29,MAX(0,(Inputs!$B$3-100)*3)+Inputs!$B$28+Inputs!$B$29)))</f>
        <v/>
      </c>
      <c r="E1110">
        <f>INDEX(FactorTable!$B$2:$Y$301, MATCH(ROUND(MIN(300,MAX(1,D1110)),0), FactorTable!$A$2:$A$301,0), Skills!M23+1)</f>
        <v/>
      </c>
      <c r="F1110">
        <f>IF(Skills!N23=TRUE,(Skills!L23/10)*(E1110/1000),Skills!L23/10)+Skills!O23</f>
        <v/>
      </c>
      <c r="G1110">
        <f>Skills!G23*IF(Skills!H23&gt;0,Skills!I23/Skills!H23,1)</f>
        <v/>
      </c>
      <c r="H1110">
        <f>1-(1-Skills!J23/100)^Skills!K23</f>
        <v/>
      </c>
      <c r="I1110" t="inlineStr">
        <is>
          <t>1</t>
        </is>
      </c>
      <c r="J1110" t="inlineStr"/>
      <c r="K1110" t="inlineStr"/>
      <c r="L1110" t="inlineStr"/>
      <c r="M1110" t="inlineStr"/>
      <c r="N1110" t="inlineStr"/>
      <c r="O1110">
        <f>(1-Summary!$B$55)*T1110+Summary!$B$55*V1110</f>
        <v/>
      </c>
      <c r="P1110">
        <f>IF(B1124=0,0,O1110/B1124)</f>
        <v/>
      </c>
      <c r="Q1110" t="n">
        <v>0</v>
      </c>
      <c r="R1110" t="n">
        <v>0</v>
      </c>
      <c r="S1110">
        <f>IFERROR(O1110/N1110,0)</f>
        <v/>
      </c>
      <c r="T1110" t="n">
        <v>0</v>
      </c>
      <c r="V1110" t="n">
        <v>0</v>
      </c>
    </row>
    <row r="1111">
      <c r="A1111">
        <f>Skills!A24</f>
        <v/>
      </c>
      <c r="B1111">
        <f>Skills!B24</f>
        <v/>
      </c>
      <c r="C1111">
        <f>Inputs!$B$3&gt;=120</f>
        <v/>
      </c>
      <c r="D1111">
        <f>IF(Skills!C24=1,60+Inputs!$B$25+Inputs!$B$29,IF(Skills!C24=2,90+Inputs!$B$26+Inputs!$B$29,IF(Skills!C24=3,120+Inputs!$B$27+Inputs!$B$29,MAX(0,(Inputs!$B$3-100)*3)+Inputs!$B$28+Inputs!$B$29)))</f>
        <v/>
      </c>
      <c r="E1111">
        <f>INDEX(FactorTable!$B$2:$Y$301, MATCH(ROUND(MIN(300,MAX(1,D1111)),0), FactorTable!$A$2:$A$301,0), Skills!M24+1)</f>
        <v/>
      </c>
      <c r="F1111">
        <f>IF(Skills!N24=TRUE,(Skills!L24/10)*(E1111/1000),Skills!L24/10)+Skills!O24</f>
        <v/>
      </c>
      <c r="G1111">
        <f>Skills!G24*IF(Skills!H24&gt;0,Skills!I24/Skills!H24,1)</f>
        <v/>
      </c>
      <c r="H1111">
        <f>1-(1-Skills!J24/100)^Skills!K24</f>
        <v/>
      </c>
      <c r="I1111" t="inlineStr">
        <is>
          <t>1</t>
        </is>
      </c>
      <c r="J1111" t="inlineStr"/>
      <c r="K1111" t="inlineStr"/>
      <c r="L1111" t="inlineStr"/>
      <c r="M1111" t="inlineStr"/>
      <c r="N1111" t="inlineStr"/>
      <c r="O1111">
        <f>(1-Summary!$B$55)*T1111+Summary!$B$55*V1111</f>
        <v/>
      </c>
      <c r="P1111">
        <f>IF(B1124=0,0,O1111/B1124)</f>
        <v/>
      </c>
      <c r="Q1111" t="n">
        <v>0</v>
      </c>
      <c r="R1111" t="n">
        <v>0</v>
      </c>
      <c r="S1111">
        <f>IFERROR(O1111/N1111,0)</f>
        <v/>
      </c>
      <c r="T1111" t="n">
        <v>0</v>
      </c>
      <c r="V1111" t="n">
        <v>0</v>
      </c>
    </row>
    <row r="1113">
      <c r="A1113" t="inlineStr">
        <is>
          <t>Attack% Bucket Multiplier</t>
        </is>
      </c>
      <c r="B1113">
        <f>(1+(((C1100=TRUE)*F1100*MIN(1,Skills!T13*(Skills!J13/100)*B1118))+((C1105=TRUE)*F1105*IF(AND(Inputs!$B$38&lt;&gt;"pvp",Inputs!$B$43&gt;0),(((R1105-1)*(Skills!T18*(1+Inputs!$B$34/100))+MIN((Skills!T18*(1+Inputs!$B$34/100)),MAX(0,Inputs!$B$43-((R1105-1)*Skills!D18))))/Inputs!$B$43),IF(Inputs!$B$38="pvp",MIN((Skills!T18*(1+Inputs!$B$34/100)),15)/15,(Skills!T18*(1+Inputs!$B$34/100))/Skills!D18)))+0)/100)</f>
        <v/>
      </c>
    </row>
    <row r="1114">
      <c r="A1114" t="inlineStr">
        <is>
          <t>Global Crit Rate Bonus %</t>
        </is>
      </c>
      <c r="B1114" t="n">
        <v>0</v>
      </c>
    </row>
    <row r="1115">
      <c r="A1115" t="inlineStr">
        <is>
          <t>Attack Speed Buff Bonus %</t>
        </is>
      </c>
      <c r="B1115">
        <f>((C1106=TRUE)*F1106*IF(AND(Inputs!$B$38&lt;&gt;"pvp",Inputs!$B$43&gt;0),(((R1106-1)*(Skills!T19*(1+Inputs!$B$34/100))+MIN((Skills!T19*(1+Inputs!$B$34/100)),MAX(0,Inputs!$B$43-((R1106-1)*Skills!D19))))/Inputs!$B$43),IF(Inputs!$B$38="pvp",MIN((Skills!T19*(1+Inputs!$B$34/100)),15)/15,(Skills!T19*(1+Inputs!$B$34/100))/Skills!D19)))</f>
        <v/>
      </c>
    </row>
    <row r="1116">
      <c r="A1116" t="inlineStr">
        <is>
          <t>Actions Per Second</t>
        </is>
      </c>
      <c r="B1116">
        <f>1+MIN(150,150*(1-(1-(Inputs!$B$11+((C1107=TRUE)*(F1107-Calc!F20)))/150)*(1-B1115/150)))/100</f>
        <v/>
      </c>
    </row>
    <row r="1117">
      <c r="A1117" t="inlineStr">
        <is>
          <t>Skill + Buff Cast Rate</t>
        </is>
      </c>
      <c r="B1117">
        <f>IF(AND(Inputs!$B$38&lt;&gt;"pvp",Inputs!$B$43&gt;0),SUMPRODUCT((Skills!E2:E24=TRUE)*(C1089:C1111=TRUE)*R1089:R1111*Skills!F2:F24)/Inputs!$B$43,SUMPRODUCT((Skills!E2:E24=TRUE)*(C1089:C1111=TRUE)*Q1089:Q1111*Skills!F2:F24))</f>
        <v/>
      </c>
    </row>
    <row r="1118">
      <c r="A1118" t="inlineStr">
        <is>
          <t>Blast Casts Per Second</t>
        </is>
      </c>
      <c r="B1118">
        <f>MAX(0,B1116-B1117)</f>
        <v/>
      </c>
    </row>
    <row r="1119">
      <c r="A1119" t="inlineStr">
        <is>
          <t>Global Critical Damage Bonus % (unused)</t>
        </is>
      </c>
      <c r="B1119" t="n">
        <v>0</v>
      </c>
    </row>
    <row r="1120">
      <c r="A1120" t="inlineStr">
        <is>
          <t>Global Final Damage Bonus % (Divine Shield + Guardian + Divine Blessing + Greater Vessel of Light)</t>
        </is>
      </c>
      <c r="B1120">
        <f>((C1102=TRUE)*F1102*IF(AND(Inputs!$B$38&lt;&gt;"pvp",Inputs!$B$43&gt;0),(((R1102-1)*(Skills!T15*(1+Inputs!$B$34/100))+MIN((Skills!T15*(1+Inputs!$B$34/100)),MAX(0,Inputs!$B$43-((R1102-1)*Skills!D15))))/Inputs!$B$43),IF(Inputs!$B$38="pvp",MIN((Skills!T15*(1+Inputs!$B$34/100)),15)/15,(Skills!T15*(1+Inputs!$B$34/100))/Skills!D15)))+((C1103=TRUE)*F1103*IF(AND(Inputs!$B$38&lt;&gt;"pvp",Inputs!$B$43&gt;0),(((R1103-1)*(Skills!T16*(1+Inputs!$B$34/100))+MIN((Skills!T16*(1+Inputs!$B$34/100)),MAX(0,Inputs!$B$43-((R1103-1)*Skills!D16))))/Inputs!$B$43),IF(Inputs!$B$38="pvp",MIN((Skills!T16*(1+Inputs!$B$34/100)),15)/15,(Skills!T16*(1+Inputs!$B$34/100))/Skills!D16)))+((C1104=TRUE)*F1104*IF(AND(Inputs!$B$38&lt;&gt;"pvp",Inputs!$B$43&gt;0),(((R1104-1)*(Skills!T17*(1+Inputs!$B$34/100))+MIN((Skills!T17*(1+Inputs!$B$34/100)),MAX(0,Inputs!$B$43-((R1104-1)*Skills!D17))))/Inputs!$B$43),IF(Inputs!$B$38="pvp",MIN((Skills!T17*(1+Inputs!$B$34/100)),15)/15,(Skills!T17*(1+Inputs!$B$34/100))/Skills!D17)))+((C1101=TRUE)*F1101*MIN(1,Skills!T13*(Skills!J13/100)*B1118))</f>
        <v/>
      </c>
    </row>
    <row r="1121">
      <c r="A1121" t="inlineStr">
        <is>
          <t>Buff-Casting Startup Delay (s, fixed-duration only)</t>
        </is>
      </c>
      <c r="B1121">
        <f>IF(AND(Inputs!$B$38&lt;&gt;"pvp",Inputs!$B$43&gt;0),SUMPRODUCT((Skills!T2:T24&gt;0)*(Skills!E2:E24=TRUE)*(C1089:C1111=TRUE))/B1116,0)</f>
        <v/>
      </c>
    </row>
    <row r="1122">
      <c r="A1122" t="inlineStr">
        <is>
          <t>Boss-Only Total DPS (this block's swept value)</t>
        </is>
      </c>
      <c r="B1122">
        <f>SUM(T1089:T1111)</f>
        <v/>
      </c>
    </row>
    <row r="1123">
      <c r="A1123" t="inlineStr">
        <is>
          <t>Normal-Only Total DPS (this block's swept value)</t>
        </is>
      </c>
      <c r="B1123">
        <f>SUM(V1089:V1111)</f>
        <v/>
      </c>
    </row>
    <row r="1124">
      <c r="A1124" s="5" t="inlineStr">
        <is>
          <t>TOTAL DPS</t>
        </is>
      </c>
      <c r="B1124" s="5">
        <f>SUM(O1089:O1111)</f>
        <v/>
      </c>
    </row>
    <row r="1127">
      <c r="A1127" s="5" t="inlineStr">
        <is>
          <t>Stat: CDR = 1.0s</t>
        </is>
      </c>
    </row>
    <row r="1128">
      <c r="A1128" s="9" t="inlineStr">
        <is>
          <t>Key</t>
        </is>
      </c>
      <c r="B1128" s="9" t="inlineStr">
        <is>
          <t>Name</t>
        </is>
      </c>
      <c r="C1128" s="9" t="inlineStr">
        <is>
          <t>Unlocked</t>
        </is>
      </c>
      <c r="D1128" s="9" t="inlineStr">
        <is>
          <t>InputLevel</t>
        </is>
      </c>
      <c r="E1128" s="9" t="inlineStr">
        <is>
          <t>Factor</t>
        </is>
      </c>
      <c r="F1128" s="9" t="inlineStr">
        <is>
          <t>CoefficientPercent</t>
        </is>
      </c>
      <c r="G1128" s="9" t="inlineStr">
        <is>
          <t>EffectiveHits</t>
        </is>
      </c>
      <c r="H1128" s="9" t="inlineStr">
        <is>
          <t>ProcProbability</t>
        </is>
      </c>
      <c r="I1128" s="9" t="inlineStr">
        <is>
          <t>MapleHeroMultiplier</t>
        </is>
      </c>
      <c r="J1128" s="9" t="inlineStr">
        <is>
          <t>BaseDamage</t>
        </is>
      </c>
      <c r="K1128" s="9" t="inlineStr">
        <is>
          <t>BaseHitDamage</t>
        </is>
      </c>
      <c r="L1128" s="9" t="inlineStr">
        <is>
          <t>NonCritAvg</t>
        </is>
      </c>
      <c r="M1128" s="9" t="inlineStr">
        <is>
          <t>CritAvg</t>
        </is>
      </c>
      <c r="N1128" s="9" t="inlineStr">
        <is>
          <t>ExpectedDamage(perHit)</t>
        </is>
      </c>
      <c r="O1128" s="9" t="inlineStr">
        <is>
          <t>DPS</t>
        </is>
      </c>
      <c r="P1128" s="9" t="inlineStr">
        <is>
          <t>% of Total</t>
        </is>
      </c>
      <c r="Q1128" s="9" t="inlineStr">
        <is>
          <t>InvCooldown</t>
        </is>
      </c>
      <c r="R1128" s="9" t="inlineStr">
        <is>
          <t>CastsInFight</t>
        </is>
      </c>
      <c r="S1128" s="9"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Inputs!$B$19+0)/100)))*(1+(Inputs!$B$24+0+B1160)/100)*(1+(IF(Skills!A2="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1129)</f>
        <v/>
      </c>
      <c r="L1129">
        <f>K1129*(MIN(Inputs!$B$22+((C1149=TRUE)*(F1149-Calc!F22)),Inputs!$B$23+((C1151=TRUE)*(F1151-Calc!F24)))/100+(Inputs!$B$23+((C1151=TRUE)*(F1151-Calc!F24)))/100)/2</f>
        <v/>
      </c>
      <c r="M1129">
        <f>L1129*(1+(Inputs!$B$10+0+B1159)/100)</f>
        <v/>
      </c>
      <c r="N1129">
        <f>L1129*(1-MIN((Inputs!$B$9+0+B1154),100)/100)+M1129*(MIN((Inputs!$B$9+0+B1154),100)/100)</f>
        <v/>
      </c>
      <c r="O1129">
        <f>(1-Summary!$B$55)*T1129+Summary!$B$55*V1129</f>
        <v/>
      </c>
      <c r="P1129">
        <f>IF(B1164=0,0,O1129/B1164)</f>
        <v/>
      </c>
      <c r="Q1129" t="n">
        <v>0</v>
      </c>
      <c r="R1129" t="n">
        <v>0</v>
      </c>
      <c r="S1129">
        <f>IFERROR(O1129/N1129,0)</f>
        <v/>
      </c>
      <c r="T1129">
        <f>IF(C1129,(Skills!G2*N1129*B1158)*IF(Inputs!$B$38="pvp",1,1+(Inputs!$B$20+0+Skills!P2)/100),0)</f>
        <v/>
      </c>
      <c r="U1129">
        <f>MAX(0,(Inputs!$B$3-100)*3)+Inputs!$B$28+Inputs!$B$29</f>
        <v/>
      </c>
      <c r="V1129">
        <f>IF(C1129,(Skills!G2*N1129*B1158)*IF(Inputs!$B$38="pvp",1,(1+(Inputs!$B$21+Skills!Q2)/100)*(MIN((6+Inputs!$B$33),Inputs!$B$37))),0)</f>
        <v/>
      </c>
    </row>
    <row r="1130">
      <c r="A1130">
        <f>Skills!A3</f>
        <v/>
      </c>
      <c r="B1130">
        <f>Skills!B3</f>
        <v/>
      </c>
      <c r="C1130">
        <f>Inputs!$B$3&gt;=50</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t="inlineStr"/>
      <c r="H1130" t="inlineStr"/>
      <c r="I1130" t="inlineStr">
        <is>
          <t>1</t>
        </is>
      </c>
      <c r="J1130" t="inlineStr"/>
      <c r="K1130" t="inlineStr"/>
      <c r="L1130" t="inlineStr"/>
      <c r="M1130" t="inlineStr"/>
      <c r="N1130" t="inlineStr"/>
      <c r="O1130" t="inlineStr"/>
      <c r="P1130" t="inlineStr"/>
      <c r="Q1130" t="inlineStr"/>
      <c r="R1130" t="inlineStr"/>
      <c r="S1130" t="inlineStr"/>
      <c r="U1130">
        <f>INDEX(FactorTable!$B$2:$Y$301, MATCH(ROUND(MIN(300,MAX(1,U1129)),0), FactorTable!$A$2:$A$301,0), 22)</f>
        <v/>
      </c>
    </row>
    <row r="1131">
      <c r="A1131">
        <f>Skills!A4</f>
        <v/>
      </c>
      <c r="B1131">
        <f>Skills!B4</f>
        <v/>
      </c>
      <c r="C1131">
        <f>Inputs!$B$3&gt;=35</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Inputs!$B$19+0)/100)))*(1+(Inputs!$B$24+0+B1160)/100)*(1+4.0*IF(C1139=TRUE,F1139,0)/100)*(1+(IF(Skills!A4="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1131)</f>
        <v/>
      </c>
      <c r="L1131">
        <f>K1131*(MIN(Inputs!$B$22+((C1149=TRUE)*(F1149-Calc!F22)),Inputs!$B$23+((C1151=TRUE)*(F1151-Calc!F24)))/100+(Inputs!$B$23+((C1151=TRUE)*(F1151-Calc!F24)))/100)/2</f>
        <v/>
      </c>
      <c r="M1131">
        <f>L1131*(1+(Inputs!$B$10+0+B1159)/100)</f>
        <v/>
      </c>
      <c r="N1131">
        <f>L1131*(1-MIN((Inputs!$B$9+0+B1154),100)/100)+M1131*(MIN((Inputs!$B$9+0+B1154),100)/100)</f>
        <v/>
      </c>
      <c r="O1131">
        <f>(1-Summary!$B$55)*T1131+Summary!$B$55*V1131</f>
        <v/>
      </c>
      <c r="P1131">
        <f>IF(B1164=0,0,O1131/B1164)</f>
        <v/>
      </c>
      <c r="Q1131">
        <f>IFERROR(1/IF(Inputs!$B$38="pvp",15,MAX(0.1,Skills!D4-IF(Skills!E4=TRUE,1.0,0))),0)</f>
        <v/>
      </c>
      <c r="R1131">
        <f>IF(AND(Inputs!$B$38&lt;&gt;"pvp",Inputs!$B$43&gt;0),IF(MAX(0,Inputs!$B$43-B1161)&lt;=0,0,(INT(MAX(0,Inputs!$B$43-B1161)/IF(Inputs!$B$38="pvp",15,MAX(0.1,Skills!D4-IF(Skills!E4=TRUE,1.0,0))))+1)),0)</f>
        <v/>
      </c>
      <c r="S1131">
        <f>IFERROR(O1131/N1131,0)</f>
        <v/>
      </c>
      <c r="T1131">
        <f>IF(C1131,(H1131*N1131*IF(AND(Inputs!$B$38&lt;&gt;"pvp",Inputs!$B$43&gt;0),((Skills!G4*((R1131-1)*IF(Skills!H4&gt;0,Skills!I4/Skills!H4,1)+IF(Skills!H4&gt;0,MIN(Skills!I4,MAX(0,MAX(0,Inputs!$B$43-B1161)-((R1131-1)*IF(Inputs!$B$38="pvp",15,MAX(0.1,Skills!D4-IF(Skills!E4=TRUE,1.0,0))))))/Skills!H4,1)))/Inputs!$B$43),G1131*Q1131))*IF(Inputs!$B$38="pvp",1,1+(Inputs!$B$20+0+Skills!P4)/100),0)</f>
        <v/>
      </c>
      <c r="U1131">
        <f>290*U1130/1000</f>
        <v/>
      </c>
      <c r="V1131">
        <f>IF(C1131,(H1131*N1131*IF(AND(Inputs!$B$38&lt;&gt;"pvp",Inputs!$B$43&gt;0),((Skills!G4*((R1131-1)*IF(Skills!H4&gt;0,Skills!I4/Skills!H4,1)+IF(Skills!H4&gt;0,MIN(Skills!I4,MAX(0,MAX(0,Inputs!$B$43-B1161)-((R1131-1)*IF(Inputs!$B$38="pvp",15,MAX(0.1,Skills!D4-IF(Skills!E4=TRUE,1.0,0))))))/Skills!H4,1)))/Inputs!$B$43),G1131*Q1131))*IF(Inputs!$B$38="pvp",1,(1+(Inputs!$B$21+Skills!Q4)/100)*(MIN(Skills!R4,Inputs!$B$37))),0)</f>
        <v/>
      </c>
    </row>
    <row r="1132">
      <c r="A1132">
        <f>Skills!A5</f>
        <v/>
      </c>
      <c r="B1132">
        <f>Skills!B5</f>
        <v/>
      </c>
      <c r="C1132">
        <f>Inputs!$B$3&gt;=66</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Inputs!$B$19+0)/100)))*(1+(Inputs!$B$24+0+B1160)/100)*(1+1.0*IF(C1139=TRUE,F1139,0)/100)*(1+(IF(Skills!A5="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1132)</f>
        <v/>
      </c>
      <c r="L1132">
        <f>K1132*(MIN(Inputs!$B$22+((C1149=TRUE)*(F1149-Calc!F22)),Inputs!$B$23+((C1151=TRUE)*(F1151-Calc!F24)))/100+(Inputs!$B$23+((C1151=TRUE)*(F1151-Calc!F24)))/100)/2</f>
        <v/>
      </c>
      <c r="M1132">
        <f>L1132*(1+(Inputs!$B$10+0+B1159)/100)</f>
        <v/>
      </c>
      <c r="N1132">
        <f>L1132*(1-MIN((Inputs!$B$9+0+B1154),100)/100)+M1132*(MIN((Inputs!$B$9+0+B1154),100)/100)</f>
        <v/>
      </c>
      <c r="O1132">
        <f>(1-Summary!$B$55)*T1132+Summary!$B$55*V1132</f>
        <v/>
      </c>
      <c r="P1132">
        <f>IF(B1164=0,0,O1132/B1164)</f>
        <v/>
      </c>
      <c r="Q1132">
        <f>IFERROR(1/IF(Inputs!$B$38="pvp",15,MAX(0.1,Skills!D5-IF(Skills!E5=TRUE,1.0,0))),0)</f>
        <v/>
      </c>
      <c r="R1132">
        <f>IF(AND(Inputs!$B$38&lt;&gt;"pvp",Inputs!$B$43&gt;0),IF(MAX(0,Inputs!$B$43-B1161)&lt;=0,0,(INT(MAX(0,Inputs!$B$43-B1161)/IF(Inputs!$B$38="pvp",15,MAX(0.1,Skills!D5-IF(Skills!E5=TRUE,1.0,0))))+1)),0)</f>
        <v/>
      </c>
      <c r="S1132">
        <f>IFERROR(O1132/N1132,0)</f>
        <v/>
      </c>
      <c r="T1132">
        <f>IF(C1132,(H1132*N1132*IF(AND(Inputs!$B$38&lt;&gt;"pvp",Inputs!$B$43&gt;0),((Skills!G5*((R1132-1)*IF(Skills!H5&gt;0,Skills!I5/Skills!H5,1)+IF(Skills!H5&gt;0,MIN(Skills!I5,MAX(0,MAX(0,Inputs!$B$43-B1161)-((R1132-1)*IF(Inputs!$B$38="pvp",15,MAX(0.1,Skills!D5-IF(Skills!E5=TRUE,1.0,0))))))/Skills!H5,1)))/Inputs!$B$43),G1132*Q1132))*IF(Inputs!$B$38="pvp",1,1+(Inputs!$B$20+0+Skills!P5)/100),0)</f>
        <v/>
      </c>
      <c r="V1132">
        <f>IF(C1132,(H1132*N1132*IF(AND(Inputs!$B$38&lt;&gt;"pvp",Inputs!$B$43&gt;0),((Skills!G5*((R1132-1)*IF(Skills!H5&gt;0,Skills!I5/Skills!H5,1)+IF(Skills!H5&gt;0,MIN(Skills!I5,MAX(0,MAX(0,Inputs!$B$43-B1161)-((R1132-1)*IF(Inputs!$B$38="pvp",15,MAX(0.1,Skills!D5-IF(Skills!E5=TRUE,1.0,0))))))/Skills!H5,1)))/Inputs!$B$43),G1132*Q1132))*IF(Inputs!$B$38="pvp",1,(1+(Inputs!$B$21+Skills!Q5)/100)*(MIN(Skills!R5,Inputs!$B$37))),0)</f>
        <v/>
      </c>
    </row>
    <row r="1133">
      <c r="A1133">
        <f>Skills!A6</f>
        <v/>
      </c>
      <c r="B1133">
        <f>Skills!B6</f>
        <v/>
      </c>
      <c r="C1133">
        <f>Inputs!$B$3&gt;=103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Inputs!$B$19+0)/100)))*(1+(Inputs!$B$24+0+B1160)/100)*(1+(IF(Skills!A6="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1133)</f>
        <v/>
      </c>
      <c r="L1133">
        <f>K1133*(MIN(Inputs!$B$22+((C1149=TRUE)*(F1149-Calc!F22)),Inputs!$B$23+((C1151=TRUE)*(F1151-Calc!F24)))/100+(Inputs!$B$23+((C1151=TRUE)*(F1151-Calc!F24)))/100)/2</f>
        <v/>
      </c>
      <c r="M1133">
        <f>L1133*(1+(Inputs!$B$10+0+B1159)/100)</f>
        <v/>
      </c>
      <c r="N1133">
        <f>L1133*(1-MIN((Inputs!$B$9+0+B1154),100)/100)+M1133*(MIN((Inputs!$B$9+0+B1154),100)/100)</f>
        <v/>
      </c>
      <c r="O1133">
        <f>(1-Summary!$B$55)*T1133+Summary!$B$55*V1133</f>
        <v/>
      </c>
      <c r="P1133">
        <f>IF(B1164=0,0,O1133/B1164)</f>
        <v/>
      </c>
      <c r="Q1133">
        <f>IFERROR(1/IF(Inputs!$B$38="pvp",15,MAX(0.1,Skills!D6-IF(Skills!E6=TRUE,1.0,0))),0)</f>
        <v/>
      </c>
      <c r="R1133">
        <f>IF(AND(Inputs!$B$38&lt;&gt;"pvp",Inputs!$B$43&gt;0),IF(MAX(0,Inputs!$B$43-B1161)&lt;=0,0,(INT(MAX(0,Inputs!$B$43-B1161)/IF(Inputs!$B$38="pvp",15,MAX(0.1,Skills!D6-IF(Skills!E6=TRUE,1.0,0))))+1)),0)</f>
        <v/>
      </c>
      <c r="S1133">
        <f>IFERROR(O1133/N1133,0)</f>
        <v/>
      </c>
      <c r="T1133">
        <f>IF(C1133,(H1133*N1133*IF(AND(Inputs!$B$38&lt;&gt;"pvp",Inputs!$B$43&gt;0),((Skills!G6*((R1133-1)*IF(Skills!H6&gt;0,Skills!I6/Skills!H6,1)+IF(Skills!H6&gt;0,MIN(Skills!I6,MAX(0,MAX(0,Inputs!$B$43-B1161)-((R1133-1)*IF(Inputs!$B$38="pvp",15,MAX(0.1,Skills!D6-IF(Skills!E6=TRUE,1.0,0))))))/Skills!H6,1)))/Inputs!$B$43),G1133*Q1133))*IF(Inputs!$B$38="pvp",1,1+(Inputs!$B$20+0+Skills!P6)/100),0)</f>
        <v/>
      </c>
      <c r="V1133">
        <f>IF(C1133,(H1133*N1133*IF(AND(Inputs!$B$38&lt;&gt;"pvp",Inputs!$B$43&gt;0),((Skills!G6*((R1133-1)*IF(Skills!H6&gt;0,Skills!I6/Skills!H6,1)+IF(Skills!H6&gt;0,MIN(Skills!I6,MAX(0,MAX(0,Inputs!$B$43-B1161)-((R1133-1)*IF(Inputs!$B$38="pvp",15,MAX(0.1,Skills!D6-IF(Skills!E6=TRUE,1.0,0))))))/Skills!H6,1)))/Inputs!$B$43),G1133*Q1133))*IF(Inputs!$B$38="pvp",1,(1+(Inputs!$B$21+Skills!Q6)/100)*(MIN(Skills!R6,Inputs!$B$37))),0)</f>
        <v/>
      </c>
    </row>
    <row r="1134">
      <c r="A1134">
        <f>Skills!A7</f>
        <v/>
      </c>
      <c r="B1134">
        <f>Skills!B7</f>
        <v/>
      </c>
      <c r="C1134">
        <f>Inputs!$B$3&gt;=107</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Inputs!$B$19+0)/100)))*(1+(Inputs!$B$24+0+B1160)/100)*(1+(IF(Skills!A7="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1134)</f>
        <v/>
      </c>
      <c r="L1134">
        <f>K1134*(MIN(Inputs!$B$22+((C1149=TRUE)*(F1149-Calc!F22)),Inputs!$B$23+((C1151=TRUE)*(F1151-Calc!F24)))/100+(Inputs!$B$23+((C1151=TRUE)*(F1151-Calc!F24)))/100)/2</f>
        <v/>
      </c>
      <c r="M1134">
        <f>L1134*(1+(Inputs!$B$10+0+B1159)/100)</f>
        <v/>
      </c>
      <c r="N1134">
        <f>L1134*(1-MIN((Inputs!$B$9+0+B1154),100)/100)+M1134*(MIN((Inputs!$B$9+0+B1154),100)/100)</f>
        <v/>
      </c>
      <c r="O1134">
        <f>(1-Summary!$B$55)*T1134+Summary!$B$55*V1134</f>
        <v/>
      </c>
      <c r="P1134">
        <f>IF(B1164=0,0,O1134/B1164)</f>
        <v/>
      </c>
      <c r="Q1134">
        <f>IFERROR(1/IF(Inputs!$B$38="pvp",15,MAX(0.1,Skills!D7-IF(Skills!E7=TRUE,1.0,0))),0)</f>
        <v/>
      </c>
      <c r="R1134">
        <f>IF(AND(Inputs!$B$38&lt;&gt;"pvp",Inputs!$B$43&gt;0),IF(MAX(0,Inputs!$B$43-B1161)&lt;=0,0,(INT(MAX(0,Inputs!$B$43-B1161)/IF(Inputs!$B$38="pvp",15,MAX(0.1,Skills!D7-IF(Skills!E7=TRUE,1.0,0))))+1)),0)</f>
        <v/>
      </c>
      <c r="S1134">
        <f>IFERROR(O1134/N1134,0)</f>
        <v/>
      </c>
      <c r="T1134">
        <f>IF(C1134,(H1134*N1134*IF(AND(Inputs!$B$38&lt;&gt;"pvp",Inputs!$B$43&gt;0),((Skills!G7*((R1134-1)*IF(Skills!H7&gt;0,Skills!I7/Skills!H7,1)+IF(Skills!H7&gt;0,MIN(Skills!I7,MAX(0,MAX(0,Inputs!$B$43-B1161)-((R1134-1)*IF(Inputs!$B$38="pvp",15,MAX(0.1,Skills!D7-IF(Skills!E7=TRUE,1.0,0))))))/Skills!H7,1)))/Inputs!$B$43),G1134*Q1134))*IF(Inputs!$B$38="pvp",1,1+(Inputs!$B$20+0+Skills!P7)/100),0)</f>
        <v/>
      </c>
      <c r="V1134">
        <f>IF(C1134,(H1134*N1134*IF(AND(Inputs!$B$38&lt;&gt;"pvp",Inputs!$B$43&gt;0),((Skills!G7*((R1134-1)*IF(Skills!H7&gt;0,Skills!I7/Skills!H7,1)+IF(Skills!H7&gt;0,MIN(Skills!I7,MAX(0,MAX(0,Inputs!$B$43-B1161)-((R1134-1)*IF(Inputs!$B$38="pvp",15,MAX(0.1,Skills!D7-IF(Skills!E7=TRUE,1.0,0))))))/Skills!H7,1)))/Inputs!$B$43),G1134*Q1134))*IF(Inputs!$B$38="pvp",1,(1+(Inputs!$B$21+Skills!Q7)/100)*(MIN(Skills!R7,Inputs!$B$37))),0)</f>
        <v/>
      </c>
    </row>
    <row r="1135">
      <c r="A1135">
        <f>Skills!A8</f>
        <v/>
      </c>
      <c r="B1135">
        <f>Skills!B8</f>
        <v/>
      </c>
      <c r="C1135">
        <f>Inputs!$B$3&gt;=107</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Inputs!$B$19+0)/100)))*(1+(Inputs!$B$24+0+B1160)/100)*(1+(IF(Skills!A8="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1135)</f>
        <v/>
      </c>
      <c r="L1135">
        <f>K1135*(MIN(Inputs!$B$22+((C1149=TRUE)*(F1149-Calc!F22)),Inputs!$B$23+((C1151=TRUE)*(F1151-Calc!F24)))/100+(Inputs!$B$23+((C1151=TRUE)*(F1151-Calc!F24)))/100)/2</f>
        <v/>
      </c>
      <c r="M1135">
        <f>L1135*(1+(Inputs!$B$10+0+B1159)/100)</f>
        <v/>
      </c>
      <c r="N1135">
        <f>L1135*(1-MIN((Inputs!$B$9+0+B1154),100)/100)+M1135*(MIN((Inputs!$B$9+0+B1154),100)/100)</f>
        <v/>
      </c>
      <c r="O1135">
        <f>(1-Summary!$B$55)*T1135+Summary!$B$55*V1135</f>
        <v/>
      </c>
      <c r="P1135">
        <f>IF(B1164=0,0,O1135/B1164)</f>
        <v/>
      </c>
      <c r="Q1135">
        <f>IFERROR(1/IF(Inputs!$B$38="pvp",15,MAX(0.1,Skills!D8-IF(Skills!E8=TRUE,1.0,0))),0)</f>
        <v/>
      </c>
      <c r="R1135">
        <f>IF(AND(Inputs!$B$38&lt;&gt;"pvp",Inputs!$B$43&gt;0),IF(MAX(0,Inputs!$B$43-B1161)&lt;=0,0,(INT(MAX(0,Inputs!$B$43-B1161)/IF(Inputs!$B$38="pvp",15,MAX(0.1,Skills!D8-IF(Skills!E8=TRUE,1.0,0))))+1)),0)</f>
        <v/>
      </c>
      <c r="S1135">
        <f>IFERROR(O1135/N1135,0)</f>
        <v/>
      </c>
      <c r="T1135">
        <f>IF(C1135,(H1135*N1135*IF(AND(Inputs!$B$38&lt;&gt;"pvp",Inputs!$B$43&gt;0),((Skills!G8*((R1135-1)*IF(Skills!H8&gt;0,Skills!I8/Skills!H8,1)+IF(Skills!H8&gt;0,MIN(Skills!I8,MAX(0,MAX(0,Inputs!$B$43-B1161)-((R1135-1)*IF(Inputs!$B$38="pvp",15,MAX(0.1,Skills!D8-IF(Skills!E8=TRUE,1.0,0))))))/Skills!H8,1)))/Inputs!$B$43),G1135*Q1135))*IF(Inputs!$B$38="pvp",1,1+(Inputs!$B$20+0+Skills!P8)/100),0)</f>
        <v/>
      </c>
      <c r="V1135">
        <f>IF(C1135,(H1135*N1135*IF(AND(Inputs!$B$38&lt;&gt;"pvp",Inputs!$B$43&gt;0),((Skills!G8*((R1135-1)*IF(Skills!H8&gt;0,Skills!I8/Skills!H8,1)+IF(Skills!H8&gt;0,MIN(Skills!I8,MAX(0,MAX(0,Inputs!$B$43-B1161)-((R1135-1)*IF(Inputs!$B$38="pvp",15,MAX(0.1,Skills!D8-IF(Skills!E8=TRUE,1.0,0))))))/Skills!H8,1)))/Inputs!$B$43),G1135*Q1135))*IF(Inputs!$B$38="pvp",1,(1+(Inputs!$B$21+Skills!Q8)/100)*(MIN(Skills!R8,Inputs!$B$37))),0)</f>
        <v/>
      </c>
    </row>
    <row r="1136">
      <c r="A1136">
        <f>Skills!A9</f>
        <v/>
      </c>
      <c r="B1136">
        <f>Skills!B9</f>
        <v/>
      </c>
      <c r="C1136">
        <f>Inputs!$B$3&gt;=125</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Inputs!$B$19+0)/100)))*(1+(Inputs!$B$24+0+B1160)/100)*(1+(IF(Skills!A9="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1136)</f>
        <v/>
      </c>
      <c r="L1136">
        <f>K1136*(MIN(Inputs!$B$22+((C1149=TRUE)*(F1149-Calc!F22)),Inputs!$B$23+((C1151=TRUE)*(F1151-Calc!F24)))/100+(Inputs!$B$23+((C1151=TRUE)*(F1151-Calc!F24)))/100)/2</f>
        <v/>
      </c>
      <c r="M1136">
        <f>L1136*(1+(Inputs!$B$10+0+B1159)/100)</f>
        <v/>
      </c>
      <c r="N1136">
        <f>L1136*(1-MIN((Inputs!$B$9+0+B1154),100)/100)+M1136*(MIN((Inputs!$B$9+0+B1154),100)/100)</f>
        <v/>
      </c>
      <c r="O1136">
        <f>(1-Summary!$B$55)*T1136+Summary!$B$55*V1136</f>
        <v/>
      </c>
      <c r="P1136">
        <f>IF(B1164=0,0,O1136/B1164)</f>
        <v/>
      </c>
      <c r="Q1136">
        <f>IFERROR(1/IF(Inputs!$B$38="pvp",15,MAX(0.1,Skills!D9-IF(Skills!E9=TRUE,1.0,0))),0)</f>
        <v/>
      </c>
      <c r="R1136">
        <f>IF(AND(Inputs!$B$38&lt;&gt;"pvp",Inputs!$B$43&gt;0),IF(MAX(0,Inputs!$B$43-B1161)&lt;=0,0,(INT(MAX(0,Inputs!$B$43-B1161)/IF(Inputs!$B$38="pvp",15,MAX(0.1,Skills!D9-IF(Skills!E9=TRUE,1.0,0))))+1)),0)</f>
        <v/>
      </c>
      <c r="S1136">
        <f>IFERROR(O1136/N1136,0)</f>
        <v/>
      </c>
      <c r="T1136">
        <f>IF(C1136,(H1136*N1136*IF(AND(Inputs!$B$38&lt;&gt;"pvp",Inputs!$B$43&gt;0),((Skills!G9*((R1136-1)*IF(Skills!H9&gt;0,Skills!I9/Skills!H9,1)+IF(Skills!H9&gt;0,MIN(Skills!I9,MAX(0,MAX(0,Inputs!$B$43-B1161)-((R1136-1)*IF(Inputs!$B$38="pvp",15,MAX(0.1,Skills!D9-IF(Skills!E9=TRUE,1.0,0))))))/Skills!H9,1)))/Inputs!$B$43),G1136*Q1136))*IF(Inputs!$B$38="pvp",1,1+(Inputs!$B$20+0+Skills!P9)/100),0)</f>
        <v/>
      </c>
      <c r="V1136">
        <f>IF(C1136,(H1136*N1136*IF(AND(Inputs!$B$38&lt;&gt;"pvp",Inputs!$B$43&gt;0),((Skills!G9*((R1136-1)*IF(Skills!H9&gt;0,Skills!I9/Skills!H9,1)+IF(Skills!H9&gt;0,MIN(Skills!I9,MAX(0,MAX(0,Inputs!$B$43-B1161)-((R1136-1)*IF(Inputs!$B$38="pvp",15,MAX(0.1,Skills!D9-IF(Skills!E9=TRUE,1.0,0))))))/Skills!H9,1)))/Inputs!$B$43),G1136*Q1136))*IF(Inputs!$B$38="pvp",1,(1+(Inputs!$B$21+Skills!Q9)/100)*(MIN(Skills!R9,Inputs!$B$37))),0)</f>
        <v/>
      </c>
    </row>
    <row r="1137">
      <c r="A1137">
        <f>Skills!A10</f>
        <v/>
      </c>
      <c r="B1137">
        <f>Skills!B10</f>
        <v/>
      </c>
      <c r="C1137">
        <f>Inputs!$B$3&gt;=117</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Inputs!$B$19+0)/100)))*(1+(Inputs!$B$24+0+B1160)/100)*(1+(IF(Skills!A10="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1137)</f>
        <v/>
      </c>
      <c r="L1137">
        <f>K1137*(MIN(Inputs!$B$22+((C1149=TRUE)*(F1149-Calc!F22)),Inputs!$B$23+((C1151=TRUE)*(F1151-Calc!F24)))/100+(Inputs!$B$23+((C1151=TRUE)*(F1151-Calc!F24)))/100)/2</f>
        <v/>
      </c>
      <c r="M1137">
        <f>L1137*(1+(Inputs!$B$10+0+B1159)/100)</f>
        <v/>
      </c>
      <c r="N1137">
        <f>L1137*(1-MIN((Inputs!$B$9+0+B1154),100)/100)+M1137*(MIN((Inputs!$B$9+0+B1154),100)/100)</f>
        <v/>
      </c>
      <c r="O1137">
        <f>(1-Summary!$B$55)*T1137+Summary!$B$55*V1137</f>
        <v/>
      </c>
      <c r="P1137">
        <f>IF(B1164=0,0,O1137/B1164)</f>
        <v/>
      </c>
      <c r="Q1137">
        <f>IFERROR(1/IF(Inputs!$B$38="pvp",15,MAX(0.1,Skills!D10-IF(Skills!E10=TRUE,1.0,0))),0)</f>
        <v/>
      </c>
      <c r="R1137">
        <f>IF(AND(Inputs!$B$38&lt;&gt;"pvp",Inputs!$B$43&gt;0),IF(MAX(0,Inputs!$B$43-B1161)&lt;=0,0,(INT(MAX(0,Inputs!$B$43-B1161)/IF(Inputs!$B$38="pvp",15,MAX(0.1,Skills!D10-IF(Skills!E10=TRUE,1.0,0))))+1)),0)</f>
        <v/>
      </c>
      <c r="S1137">
        <f>IFERROR(O1137/N1137,0)</f>
        <v/>
      </c>
      <c r="T1137">
        <f>IF(C1137,(H1137*N1137*IF(AND(Inputs!$B$38&lt;&gt;"pvp",Inputs!$B$43&gt;0),((Skills!G10*((R1137-1)*IF(Skills!H10&gt;0,Skills!I10/Skills!H10,1)+IF(Skills!H10&gt;0,MIN(Skills!I10,MAX(0,MAX(0,Inputs!$B$43-B1161)-((R1137-1)*IF(Inputs!$B$38="pvp",15,MAX(0.1,Skills!D10-IF(Skills!E10=TRUE,1.0,0))))))/Skills!H10,1)))/Inputs!$B$43),G1137*Q1137))*IF(Inputs!$B$38="pvp",1,1+(Inputs!$B$20+0+Skills!P10)/100),0)</f>
        <v/>
      </c>
      <c r="V1137">
        <f>IF(C1137,(H1137*N1137*IF(AND(Inputs!$B$38&lt;&gt;"pvp",Inputs!$B$43&gt;0),((Skills!G10*((R1137-1)*IF(Skills!H10&gt;0,Skills!I10/Skills!H10,1)+IF(Skills!H10&gt;0,MIN(Skills!I10,MAX(0,MAX(0,Inputs!$B$43-B1161)-((R1137-1)*IF(Inputs!$B$38="pvp",15,MAX(0.1,Skills!D10-IF(Skills!E10=TRUE,1.0,0))))))/Skills!H10,1)))/Inputs!$B$43),G1137*Q1137))*IF(Inputs!$B$38="pvp",1,(1+(Inputs!$B$21+Skills!Q10)/100)*(MIN(Skills!R10,Inputs!$B$37))),0)</f>
        <v/>
      </c>
    </row>
    <row r="1138">
      <c r="A1138">
        <f>Skills!A11</f>
        <v/>
      </c>
      <c r="B1138">
        <f>Skills!B11</f>
        <v/>
      </c>
      <c r="C1138">
        <f>Inputs!$B$3&gt;=63</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Inputs!$B$19+0)/100)))*(1+(Inputs!$B$24+0+B1160)/100)*(1+1.5*IF(C1139=TRUE,F1139,0)/100)*(1+(IF(Skills!A11="BLAST",Inputs!$B$17+((C1148=TRUE)*(F1148-Calc!F21)),Inputs!$B$18+((C1150=TRUE)*(F1150-Calc!F23))))/100)*((1+(((C1140=TRUE)*F1140*MIN(1,Skills!T13*(Skills!J13/100)*B1158))+((C1145=TRUE)*F1145*IF(AND(Inputs!$B$38&lt;&gt;"pvp",Inputs!$B$43&gt;0),(((R1145-1)*(Skills!T18*(1+Inputs!$B$34/100))+MIN((Skills!T18*(1+Inputs!$B$34/100)),MAX(0,Inputs!$B$43-((R1145-1)*Skills!D18))))/Inputs!$B$43),IF(Inputs!$B$38="pvp",MIN((Skills!T18*(1+Inputs!$B$34/100)),15)/15,(Skills!T18*(1+Inputs!$B$34/100))/Skills!D18)))+0)/100)*I1138)</f>
        <v/>
      </c>
      <c r="L1138">
        <f>K1138*(MIN(Inputs!$B$22+((C1149=TRUE)*(F1149-Calc!F22)),Inputs!$B$23+((C1151=TRUE)*(F1151-Calc!F24)))/100+(Inputs!$B$23+((C1151=TRUE)*(F1151-Calc!F24)))/100)/2</f>
        <v/>
      </c>
      <c r="M1138">
        <f>L1138*(1+(Inputs!$B$10+0+B1159)/100)</f>
        <v/>
      </c>
      <c r="N1138">
        <f>L1138*(1-MIN((Inputs!$B$9+0+B1154),100)/100)+M1138*(MIN((Inputs!$B$9+0+B1154),100)/100)</f>
        <v/>
      </c>
      <c r="O1138">
        <f>(1-Summary!$B$55)*T1138+Summary!$B$55*V1138</f>
        <v/>
      </c>
      <c r="P1138">
        <f>IF(B1164=0,0,O1138/B1164)</f>
        <v/>
      </c>
      <c r="Q1138">
        <f>IFERROR(1/IF(Inputs!$B$38="pvp",15,MAX(0.1,Skills!D11-IF(Skills!E11=TRUE,1.0,0))),0)</f>
        <v/>
      </c>
      <c r="R1138">
        <f>IF(AND(Inputs!$B$38&lt;&gt;"pvp",Inputs!$B$43&gt;0),IF(MAX(0,Inputs!$B$43-B1161)&lt;=0,0,(INT(MAX(0,Inputs!$B$43-B1161)/IF(Inputs!$B$38="pvp",15,MAX(0.1,Skills!D11-IF(Skills!E11=TRUE,1.0,0))))+1)),0)</f>
        <v/>
      </c>
      <c r="S1138">
        <f>IFERROR(O1138/N1138,0)</f>
        <v/>
      </c>
      <c r="T1138">
        <f>IF(C1138,(H1138*N1138*IF(AND(Inputs!$B$38&lt;&gt;"pvp",Inputs!$B$43&gt;0),((Skills!G11*((R1138-1)*IF(Skills!H11&gt;0,Skills!I11/Skills!H11,1)+IF(Skills!H11&gt;0,MIN(Skills!I11,MAX(0,MAX(0,Inputs!$B$43-B1161)-((R1138-1)*IF(Inputs!$B$38="pvp",15,MAX(0.1,Skills!D11-IF(Skills!E11=TRUE,1.0,0))))))/Skills!H11,1)))/Inputs!$B$43),G1138*Q1138))*IF(Inputs!$B$38="pvp",1,1+(Inputs!$B$20+0+Skills!P11)/100),0)</f>
        <v/>
      </c>
      <c r="V1138">
        <f>IF(C1138,(H1138*N1138*IF(AND(Inputs!$B$38&lt;&gt;"pvp",Inputs!$B$43&gt;0),((Skills!G11*((R1138-1)*IF(Skills!H11&gt;0,Skills!I11/Skills!H11,1)+IF(Skills!H11&gt;0,MIN(Skills!I11,MAX(0,MAX(0,Inputs!$B$43-B1161)-((R1138-1)*IF(Inputs!$B$38="pvp",15,MAX(0.1,Skills!D11-IF(Skills!E11=TRUE,1.0,0))))))/Skills!H11,1)))/Inputs!$B$43),G1138*Q1138))*IF(Inputs!$B$38="pvp",1,(1+(Inputs!$B$21+Skills!Q11)/100)*(MIN(Skills!R11,Inputs!$B$37))),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row>
    <row r="1140">
      <c r="A1140">
        <f>Skills!A13</f>
        <v/>
      </c>
      <c r="B1140">
        <f>Skills!B13</f>
        <v/>
      </c>
      <c r="C1140">
        <f>Inputs!$B$3&gt;=45</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t="inlineStr"/>
      <c r="K1140" t="inlineStr"/>
      <c r="L1140" t="inlineStr"/>
      <c r="M1140" t="inlineStr"/>
      <c r="N1140" t="inlineStr"/>
      <c r="O1140">
        <f>(1-Summary!$B$55)*T1140+Summary!$B$55*V1140</f>
        <v/>
      </c>
      <c r="P1140">
        <f>IF(B1164=0,0,O1140/B1164)</f>
        <v/>
      </c>
      <c r="Q1140" t="n">
        <v>0</v>
      </c>
      <c r="R1140" t="n">
        <v>0</v>
      </c>
      <c r="S1140">
        <f>IFERROR(O1140/N1140,0)</f>
        <v/>
      </c>
      <c r="T1140" t="n">
        <v>0</v>
      </c>
      <c r="V1140" t="n">
        <v>0</v>
      </c>
    </row>
    <row r="1141">
      <c r="A1141">
        <f>Skills!A14</f>
        <v/>
      </c>
      <c r="B1141">
        <f>Skills!B14</f>
        <v/>
      </c>
      <c r="C1141">
        <f>Inputs!$B$3&gt;=110</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t="inlineStr"/>
      <c r="K1141" t="inlineStr"/>
      <c r="L1141" t="inlineStr"/>
      <c r="M1141" t="inlineStr"/>
      <c r="N1141" t="inlineStr"/>
      <c r="O1141">
        <f>(1-Summary!$B$55)*T1141+Summary!$B$55*V1141</f>
        <v/>
      </c>
      <c r="P1141">
        <f>IF(B1164=0,0,O1141/B1164)</f>
        <v/>
      </c>
      <c r="Q1141" t="n">
        <v>0</v>
      </c>
      <c r="R1141" t="n">
        <v>0</v>
      </c>
      <c r="S1141">
        <f>IFERROR(O1141/N1141,0)</f>
        <v/>
      </c>
      <c r="T1141" t="n">
        <v>0</v>
      </c>
      <c r="V1141" t="n">
        <v>0</v>
      </c>
    </row>
    <row r="1142">
      <c r="A1142">
        <f>Skills!A15</f>
        <v/>
      </c>
      <c r="B1142">
        <f>Skills!B15</f>
        <v/>
      </c>
      <c r="C1142">
        <f>Inputs!$B$3&gt;=75</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Skills!G15*IF(Skills!H15&gt;0,Skills!I15/Skills!H15,1)</f>
        <v/>
      </c>
      <c r="H1142">
        <f>1-(1-Skills!J15/100)^Skills!K15</f>
        <v/>
      </c>
      <c r="I1142" t="inlineStr">
        <is>
          <t>1</t>
        </is>
      </c>
      <c r="J1142" t="inlineStr"/>
      <c r="K1142" t="inlineStr"/>
      <c r="L1142" t="inlineStr"/>
      <c r="M1142" t="inlineStr"/>
      <c r="N1142" t="inlineStr"/>
      <c r="O1142">
        <f>(1-Summary!$B$55)*T1142+Summary!$B$55*V1142</f>
        <v/>
      </c>
      <c r="P1142">
        <f>IF(B1164=0,0,O1142/B1164)</f>
        <v/>
      </c>
      <c r="Q1142">
        <f>IFERROR(1/IF(Inputs!$B$38="pvp",15,MAX(0.1,Skills!D15-IF(Skills!E15=TRUE,1.0,0))),0)</f>
        <v/>
      </c>
      <c r="R1142">
        <f>IF(AND(Inputs!$B$38&lt;&gt;"pvp",Inputs!$B$43&gt;0),IF(Inputs!$B$43&lt;=0,0,(INT(Inputs!$B$43/IF(Inputs!$B$38="pvp",15,MAX(0.1,Skills!D15-IF(Skills!E15=TRUE,1.0,0))))+1)),0)</f>
        <v/>
      </c>
      <c r="S1142">
        <f>IFERROR(O1142/N1142,0)</f>
        <v/>
      </c>
      <c r="T1142" t="n">
        <v>0</v>
      </c>
      <c r="V1142" t="n">
        <v>0</v>
      </c>
    </row>
    <row r="1143">
      <c r="A1143">
        <f>Skills!A16</f>
        <v/>
      </c>
      <c r="B1143">
        <f>Skills!B16</f>
        <v/>
      </c>
      <c r="C1143">
        <f>Inputs!$B$3&gt;=105</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Skills!G16*IF(Skills!H16&gt;0,Skills!I16/Skills!H16,1)</f>
        <v/>
      </c>
      <c r="H1143">
        <f>1-(1-Skills!J16/100)^Skills!K16</f>
        <v/>
      </c>
      <c r="I1143" t="inlineStr">
        <is>
          <t>1</t>
        </is>
      </c>
      <c r="J1143" t="inlineStr"/>
      <c r="K1143" t="inlineStr"/>
      <c r="L1143" t="inlineStr"/>
      <c r="M1143" t="inlineStr"/>
      <c r="N1143" t="inlineStr"/>
      <c r="O1143">
        <f>(1-Summary!$B$55)*T1143+Summary!$B$55*V1143</f>
        <v/>
      </c>
      <c r="P1143">
        <f>IF(B1164=0,0,O1143/B1164)</f>
        <v/>
      </c>
      <c r="Q1143">
        <f>IFERROR(1/IF(Inputs!$B$38="pvp",15,MAX(0.1,Skills!D16-IF(Skills!E16=TRUE,1.0,0))),0)</f>
        <v/>
      </c>
      <c r="R1143">
        <f>IF(AND(Inputs!$B$38&lt;&gt;"pvp",Inputs!$B$43&gt;0),IF(Inputs!$B$43&lt;=0,0,(INT(Inputs!$B$43/IF(Inputs!$B$38="pvp",15,MAX(0.1,Skills!D16-IF(Skills!E16=TRUE,1.0,0))))+1)),0)</f>
        <v/>
      </c>
      <c r="S1143">
        <f>IFERROR(O1143/N1143,0)</f>
        <v/>
      </c>
      <c r="T1143" t="n">
        <v>0</v>
      </c>
      <c r="V1143" t="n">
        <v>0</v>
      </c>
    </row>
    <row r="1144">
      <c r="A1144">
        <f>Skills!A17</f>
        <v/>
      </c>
      <c r="B1144">
        <f>Skills!B17</f>
        <v/>
      </c>
      <c r="C1144">
        <f>Inputs!$B$3&gt;=115</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(1-Summary!$B$55)*T1144+Summary!$B$55*V1144</f>
        <v/>
      </c>
      <c r="P1144">
        <f>IF(B1164=0,0,O1144/B1164)</f>
        <v/>
      </c>
      <c r="Q1144">
        <f>IFERROR(1/IF(Inputs!$B$38="pvp",15,MAX(0.1,Skills!D17-IF(Skills!E17=TRUE,1.0,0))),0)</f>
        <v/>
      </c>
      <c r="R1144">
        <f>IF(AND(Inputs!$B$38&lt;&gt;"pvp",Inputs!$B$43&gt;0),IF(Inputs!$B$43&lt;=0,0,(INT(Inputs!$B$43/IF(Inputs!$B$38="pvp",15,MAX(0.1,Skills!D17-IF(Skills!E17=TRUE,1.0,0))))+1)),0)</f>
        <v/>
      </c>
      <c r="S1144">
        <f>IFERROR(O1144/N1144,0)</f>
        <v/>
      </c>
      <c r="T1144" t="n">
        <v>0</v>
      </c>
      <c r="V1144" t="n">
        <v>0</v>
      </c>
    </row>
    <row r="1145">
      <c r="A1145">
        <f>Skills!A18</f>
        <v/>
      </c>
      <c r="B1145">
        <f>Skills!B18</f>
        <v/>
      </c>
      <c r="C1145">
        <f>Inputs!$B$3&gt;=74</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(1-Summary!$B$55)*T1145+Summary!$B$55*V1145</f>
        <v/>
      </c>
      <c r="P1145">
        <f>IF(B1164=0,0,O1145/B1164)</f>
        <v/>
      </c>
      <c r="Q1145">
        <f>IFERROR(1/IF(Inputs!$B$38="pvp",15,MAX(0.1,Skills!D18-IF(Skills!E18=TRUE,1.0,0))),0)</f>
        <v/>
      </c>
      <c r="R1145">
        <f>IF(AND(Inputs!$B$38&lt;&gt;"pvp",Inputs!$B$43&gt;0),IF(Inputs!$B$43&lt;=0,0,(INT(Inputs!$B$43/IF(Inputs!$B$38="pvp",15,MAX(0.1,Skills!D18-IF(Skills!E18=TRUE,1.0,0))))+1)),0)</f>
        <v/>
      </c>
      <c r="S1145">
        <f>IFERROR(O1145/N1145,0)</f>
        <v/>
      </c>
      <c r="T1145" t="n">
        <v>0</v>
      </c>
      <c r="V1145" t="n">
        <v>0</v>
      </c>
    </row>
    <row r="1146">
      <c r="A1146">
        <f>Skills!A19</f>
        <v/>
      </c>
      <c r="B1146">
        <f>Skills!B19</f>
        <v/>
      </c>
      <c r="C1146">
        <f>TRUE</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(1-Summary!$B$55)*T1146+Summary!$B$55*V1146</f>
        <v/>
      </c>
      <c r="P1146">
        <f>IF(B1164=0,0,O1146/B1164)</f>
        <v/>
      </c>
      <c r="Q1146">
        <f>IFERROR(1/IF(Inputs!$B$38="pvp",15,MAX(0.1,Skills!D19-IF(Skills!E19=TRUE,1.0,0))),0)</f>
        <v/>
      </c>
      <c r="R1146">
        <f>IF(AND(Inputs!$B$38&lt;&gt;"pvp",Inputs!$B$43&gt;0),IF(Inputs!$B$43&lt;=0,0,(INT(Inputs!$B$43/IF(Inputs!$B$38="pvp",15,MAX(0.1,Skills!D19-IF(Skills!E19=TRUE,1.0,0))))+1)),0)</f>
        <v/>
      </c>
      <c r="S1146">
        <f>IFERROR(O1146/N1146,0)</f>
        <v/>
      </c>
      <c r="T1146" t="n">
        <v>0</v>
      </c>
      <c r="V1146" t="n">
        <v>0</v>
      </c>
    </row>
    <row r="1147">
      <c r="A1147">
        <f>Skills!A20</f>
        <v/>
      </c>
      <c r="B1147">
        <f>Skills!B20</f>
        <v/>
      </c>
      <c r="C1147">
        <f>Inputs!$B$3&gt;=33</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(1-Summary!$B$55)*T1147+Summary!$B$55*V1147</f>
        <v/>
      </c>
      <c r="P1147">
        <f>IF(B1164=0,0,O1147/B1164)</f>
        <v/>
      </c>
      <c r="Q1147" t="n">
        <v>0</v>
      </c>
      <c r="R1147" t="n">
        <v>0</v>
      </c>
      <c r="S1147">
        <f>IFERROR(O1147/N1147,0)</f>
        <v/>
      </c>
      <c r="T1147" t="n">
        <v>0</v>
      </c>
      <c r="V1147" t="n">
        <v>0</v>
      </c>
    </row>
    <row r="1148">
      <c r="A1148">
        <f>Skills!A21</f>
        <v/>
      </c>
      <c r="B1148">
        <f>Skills!B21</f>
        <v/>
      </c>
      <c r="C1148">
        <f>Inputs!$B$3&gt;=38</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(1-Summary!$B$55)*T1148+Summary!$B$55*V1148</f>
        <v/>
      </c>
      <c r="P1148">
        <f>IF(B1164=0,0,O1148/B1164)</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(1-Summary!$B$55)*T1149+Summary!$B$55*V1149</f>
        <v/>
      </c>
      <c r="P1149">
        <f>IF(B1164=0,0,O1149/B1164)</f>
        <v/>
      </c>
      <c r="Q1149" t="n">
        <v>0</v>
      </c>
      <c r="R1149" t="n">
        <v>0</v>
      </c>
      <c r="S1149">
        <f>IFERROR(O1149/N1149,0)</f>
        <v/>
      </c>
      <c r="T1149" t="n">
        <v>0</v>
      </c>
      <c r="V1149" t="n">
        <v>0</v>
      </c>
    </row>
    <row r="1150">
      <c r="A1150">
        <f>Skills!A23</f>
        <v/>
      </c>
      <c r="B1150">
        <f>Skills!B23</f>
        <v/>
      </c>
      <c r="C1150">
        <f>Inputs!$B$3&gt;=120</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(1-Summary!$B$55)*T1150+Summary!$B$55*V1150</f>
        <v/>
      </c>
      <c r="P1150">
        <f>IF(B1164=0,0,O1150/B1164)</f>
        <v/>
      </c>
      <c r="Q1150" t="n">
        <v>0</v>
      </c>
      <c r="R1150" t="n">
        <v>0</v>
      </c>
      <c r="S1150">
        <f>IFERROR(O1150/N1150,0)</f>
        <v/>
      </c>
      <c r="T1150" t="n">
        <v>0</v>
      </c>
      <c r="V1150" t="n">
        <v>0</v>
      </c>
    </row>
    <row r="1151">
      <c r="A1151">
        <f>Skills!A24</f>
        <v/>
      </c>
      <c r="B1151">
        <f>Skills!B24</f>
        <v/>
      </c>
      <c r="C1151">
        <f>Inputs!$B$3&gt;=120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(1-Summary!$B$55)*T1151+Summary!$B$55*V1151</f>
        <v/>
      </c>
      <c r="P1151">
        <f>IF(B1164=0,0,O1151/B1164)</f>
        <v/>
      </c>
      <c r="Q1151" t="n">
        <v>0</v>
      </c>
      <c r="R1151" t="n">
        <v>0</v>
      </c>
      <c r="S1151">
        <f>IFERROR(O1151/N1151,0)</f>
        <v/>
      </c>
      <c r="T1151" t="n">
        <v>0</v>
      </c>
      <c r="V1151" t="n">
        <v>0</v>
      </c>
    </row>
    <row r="1153">
      <c r="A1153" t="inlineStr">
        <is>
          <t>Attack% Bucket Multiplier</t>
        </is>
      </c>
      <c r="B1153">
        <f>(1+(((C1140=TRUE)*F1140*MIN(1,Skills!T13*(Skills!J13/100)*B1158))+((C1145=TRUE)*F1145*IF(AND(Inputs!$B$38&lt;&gt;"pvp",Inputs!$B$43&gt;0),(((R1145-1)*(Skills!T18*(1+Inputs!$B$34/100))+MIN((Skills!T18*(1+Inputs!$B$34/100)),MAX(0,Inputs!$B$43-((R1145-1)*Skills!D18))))/Inputs!$B$43),IF(Inputs!$B$38="pvp",MIN((Skills!T18*(1+Inputs!$B$34/100)),15)/15,(Skills!T18*(1+Inputs!$B$34/100))/Skills!D18)))+0)/100)</f>
        <v/>
      </c>
    </row>
    <row r="1154">
      <c r="A1154" t="inlineStr">
        <is>
          <t>Global Crit Rate Bonus %</t>
        </is>
      </c>
      <c r="B1154" t="n">
        <v>0</v>
      </c>
    </row>
    <row r="1155">
      <c r="A1155" t="inlineStr">
        <is>
          <t>Attack Speed Buff Bonus %</t>
        </is>
      </c>
      <c r="B1155">
        <f>((C1146=TRUE)*F1146*IF(AND(Inputs!$B$38&lt;&gt;"pvp",Inputs!$B$43&gt;0),(((R1146-1)*(Skills!T19*(1+Inputs!$B$34/100))+MIN((Skills!T19*(1+Inputs!$B$34/100)),MAX(0,Inputs!$B$43-((R1146-1)*Skills!D19))))/Inputs!$B$43),IF(Inputs!$B$38="pvp",MIN((Skills!T19*(1+Inputs!$B$34/100)),15)/15,(Skills!T19*(1+Inputs!$B$34/100))/Skills!D19)))</f>
        <v/>
      </c>
    </row>
    <row r="1156">
      <c r="A1156" t="inlineStr">
        <is>
          <t>Actions Per Second</t>
        </is>
      </c>
      <c r="B1156">
        <f>1+MIN(150,150*(1-(1-(Inputs!$B$11+((C1147=TRUE)*(F1147-Calc!F20)))/150)*(1-B1155/150)))/100</f>
        <v/>
      </c>
    </row>
    <row r="1157">
      <c r="A1157" t="inlineStr">
        <is>
          <t>Skill + Buff Cast Rate</t>
        </is>
      </c>
      <c r="B1157">
        <f>IF(AND(Inputs!$B$38&lt;&gt;"pvp",Inputs!$B$43&gt;0),SUMPRODUCT((Skills!E2:E24=TRUE)*(C1129:C1151=TRUE)*R1129:R1151*Skills!F2:F24)/Inputs!$B$43,SUMPRODUCT((Skills!E2:E24=TRUE)*(C1129:C1151=TRUE)*Q1129:Q1151*Skills!F2:F24))</f>
        <v/>
      </c>
    </row>
    <row r="1158">
      <c r="A1158" t="inlineStr">
        <is>
          <t>Blast Casts Per Second</t>
        </is>
      </c>
      <c r="B1158">
        <f>MAX(0,B1156-B1157)</f>
        <v/>
      </c>
    </row>
    <row r="1159">
      <c r="A1159" t="inlineStr">
        <is>
          <t>Global Critical Damage Bonus % (unused)</t>
        </is>
      </c>
      <c r="B1159" t="n">
        <v>0</v>
      </c>
    </row>
    <row r="1160">
      <c r="A1160" t="inlineStr">
        <is>
          <t>Global Final Damage Bonus % (Divine Shield + Guardian + Divine Blessing + Greater Vessel of Light)</t>
        </is>
      </c>
      <c r="B1160">
        <f>((C1142=TRUE)*F1142*IF(AND(Inputs!$B$38&lt;&gt;"pvp",Inputs!$B$43&gt;0),(((R1142-1)*(Skills!T15*(1+Inputs!$B$34/100))+MIN((Skills!T15*(1+Inputs!$B$34/100)),MAX(0,Inputs!$B$43-((R1142-1)*Skills!D15))))/Inputs!$B$43),IF(Inputs!$B$38="pvp",MIN((Skills!T15*(1+Inputs!$B$34/100)),15)/15,(Skills!T15*(1+Inputs!$B$34/100))/Skills!D15)))+((C1143=TRUE)*F1143*IF(AND(Inputs!$B$38&lt;&gt;"pvp",Inputs!$B$43&gt;0),(((R1143-1)*(Skills!T16*(1+Inputs!$B$34/100))+MIN((Skills!T16*(1+Inputs!$B$34/100)),MAX(0,Inputs!$B$43-((R1143-1)*Skills!D16))))/Inputs!$B$43),IF(Inputs!$B$38="pvp",MIN((Skills!T16*(1+Inputs!$B$34/100)),15)/15,(Skills!T16*(1+Inputs!$B$34/100))/Skills!D16)))+((C1144=TRUE)*F1144*IF(AND(Inputs!$B$38&lt;&gt;"pvp",Inputs!$B$43&gt;0),(((R1144-1)*(Skills!T17*(1+Inputs!$B$34/100))+MIN((Skills!T17*(1+Inputs!$B$34/100)),MAX(0,Inputs!$B$43-((R1144-1)*Skills!D17))))/Inputs!$B$43),IF(Inputs!$B$38="pvp",MIN((Skills!T17*(1+Inputs!$B$34/100)),15)/15,(Skills!T17*(1+Inputs!$B$34/100))/Skills!D17)))+((C1141=TRUE)*F1141*MIN(1,Skills!T13*(Skills!J13/100)*B1158))</f>
        <v/>
      </c>
    </row>
    <row r="1161">
      <c r="A1161" t="inlineStr">
        <is>
          <t>Buff-Casting Startup Delay (s, fixed-duration only)</t>
        </is>
      </c>
      <c r="B1161">
        <f>IF(AND(Inputs!$B$38&lt;&gt;"pvp",Inputs!$B$43&gt;0),SUMPRODUCT((Skills!T2:T24&gt;0)*(Skills!E2:E24=TRUE)*(C1129:C1151=TRUE))/B1156,0)</f>
        <v/>
      </c>
    </row>
    <row r="1162">
      <c r="A1162" t="inlineStr">
        <is>
          <t>Boss-Only Total DPS (this block's swept value)</t>
        </is>
      </c>
      <c r="B1162">
        <f>SUM(T1129:T1151)</f>
        <v/>
      </c>
    </row>
    <row r="1163">
      <c r="A1163" t="inlineStr">
        <is>
          <t>Normal-Only Total DPS (this block's swept value)</t>
        </is>
      </c>
      <c r="B1163">
        <f>SUM(V1129:V1151)</f>
        <v/>
      </c>
    </row>
    <row r="1164">
      <c r="A1164" s="5" t="inlineStr">
        <is>
          <t>TOTAL DPS</t>
        </is>
      </c>
      <c r="B1164" s="5">
        <f>SUM(O1129:O1151)</f>
        <v/>
      </c>
    </row>
    <row r="1167">
      <c r="A1167" s="5" t="inlineStr">
        <is>
          <t>Stat: CDR = 1.5s</t>
        </is>
      </c>
    </row>
    <row r="1168">
      <c r="A1168" s="9" t="inlineStr">
        <is>
          <t>Key</t>
        </is>
      </c>
      <c r="B1168" s="9" t="inlineStr">
        <is>
          <t>Name</t>
        </is>
      </c>
      <c r="C1168" s="9" t="inlineStr">
        <is>
          <t>Unlocked</t>
        </is>
      </c>
      <c r="D1168" s="9" t="inlineStr">
        <is>
          <t>InputLevel</t>
        </is>
      </c>
      <c r="E1168" s="9" t="inlineStr">
        <is>
          <t>Factor</t>
        </is>
      </c>
      <c r="F1168" s="9" t="inlineStr">
        <is>
          <t>CoefficientPercent</t>
        </is>
      </c>
      <c r="G1168" s="9" t="inlineStr">
        <is>
          <t>EffectiveHits</t>
        </is>
      </c>
      <c r="H1168" s="9" t="inlineStr">
        <is>
          <t>ProcProbability</t>
        </is>
      </c>
      <c r="I1168" s="9" t="inlineStr">
        <is>
          <t>MapleHeroMultiplier</t>
        </is>
      </c>
      <c r="J1168" s="9" t="inlineStr">
        <is>
          <t>BaseDamage</t>
        </is>
      </c>
      <c r="K1168" s="9" t="inlineStr">
        <is>
          <t>BaseHitDamage</t>
        </is>
      </c>
      <c r="L1168" s="9" t="inlineStr">
        <is>
          <t>NonCritAvg</t>
        </is>
      </c>
      <c r="M1168" s="9" t="inlineStr">
        <is>
          <t>CritAvg</t>
        </is>
      </c>
      <c r="N1168" s="9" t="inlineStr">
        <is>
          <t>ExpectedDamage(perHit)</t>
        </is>
      </c>
      <c r="O1168" s="9" t="inlineStr">
        <is>
          <t>DPS</t>
        </is>
      </c>
      <c r="P1168" s="9" t="inlineStr">
        <is>
          <t>% of Total</t>
        </is>
      </c>
      <c r="Q1168" s="9" t="inlineStr">
        <is>
          <t>InvCooldown</t>
        </is>
      </c>
      <c r="R1168" s="9" t="inlineStr">
        <is>
          <t>CastsInFight</t>
        </is>
      </c>
      <c r="S1168" s="9" t="inlineStr">
        <is>
          <t>HitRate(perSec)</t>
        </is>
      </c>
      <c r="U1168" t="inlineStr">
        <is>
          <t>helpers</t>
        </is>
      </c>
    </row>
    <row r="1169">
      <c r="A1169">
        <f>Skills!A2</f>
        <v/>
      </c>
      <c r="B1169">
        <f>Skills!B2</f>
        <v/>
      </c>
      <c r="C1169">
        <f>Inputs!$B$3&gt;=100</f>
        <v/>
      </c>
      <c r="D1169" t="inlineStr"/>
      <c r="E1169" t="inlineStr"/>
      <c r="F1169">
        <f>U1171+Skills!O2</f>
        <v/>
      </c>
      <c r="G1169">
        <f>Skills!G2*IF(Skills!H2&gt;0,Skills!I2/Skills!H2,1)</f>
        <v/>
      </c>
      <c r="H1169">
        <f>1-(1-Skills!J2/100)^Skills!K2</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+0+B1200)/100)*(1+(IF(Skills!A2="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1169)</f>
        <v/>
      </c>
      <c r="L1169">
        <f>K1169*(MIN(Inputs!$B$22+((C1189=TRUE)*(F1189-Calc!F22)),Inputs!$B$23+((C1191=TRUE)*(F1191-Calc!F24)))/100+(Inputs!$B$23+((C1191=TRUE)*(F1191-Calc!F24)))/100)/2</f>
        <v/>
      </c>
      <c r="M1169">
        <f>L1169*(1+(Inputs!$B$10+0+B1199)/100)</f>
        <v/>
      </c>
      <c r="N1169">
        <f>L1169*(1-MIN((Inputs!$B$9+0+B1194),100)/100)+M1169*(MIN((Inputs!$B$9+0+B1194),100)/100)</f>
        <v/>
      </c>
      <c r="O1169">
        <f>(1-Summary!$B$55)*T1169+Summary!$B$55*V1169</f>
        <v/>
      </c>
      <c r="P1169">
        <f>IF(B1204=0,0,O1169/B1204)</f>
        <v/>
      </c>
      <c r="Q1169" t="n">
        <v>0</v>
      </c>
      <c r="R1169" t="n">
        <v>0</v>
      </c>
      <c r="S1169">
        <f>IFERROR(O1169/N1169,0)</f>
        <v/>
      </c>
      <c r="T1169">
        <f>IF(C1169,(Skills!G2*N1169*B1198)*IF(Inputs!$B$38="pvp",1,1+(Inputs!$B$20+0+Skills!P2)/100),0)</f>
        <v/>
      </c>
      <c r="U1169">
        <f>MAX(0,(Inputs!$B$3-100)*3)+Inputs!$B$28+Inputs!$B$29</f>
        <v/>
      </c>
      <c r="V1169">
        <f>IF(C1169,(Skills!G2*N1169*B1198)*IF(Inputs!$B$38="pvp",1,(1+(Inputs!$B$21+Skills!Q2)/100)*(MIN((6+Inputs!$B$33),Inputs!$B$37))),0)</f>
        <v/>
      </c>
    </row>
    <row r="1170">
      <c r="A1170">
        <f>Skills!A3</f>
        <v/>
      </c>
      <c r="B1170">
        <f>Skills!B3</f>
        <v/>
      </c>
      <c r="C1170">
        <f>Inputs!$B$3&gt;=50</f>
        <v/>
      </c>
      <c r="D1170">
        <f>IF(Skills!C3=1,60+Inputs!$B$25+Inputs!$B$29,IF(Skills!C3=2,90+Inputs!$B$26+Inputs!$B$29,IF(Skills!C3=3,120+Inputs!$B$27+Inputs!$B$29,MAX(0,(Inputs!$B$3-100)*3)+Inputs!$B$28+Inputs!$B$29)))</f>
        <v/>
      </c>
      <c r="E1170">
        <f>INDEX(FactorTable!$B$2:$Y$301, MATCH(ROUND(MIN(300,MAX(1,D1170)),0), FactorTable!$A$2:$A$301,0), Skills!M3+1)</f>
        <v/>
      </c>
      <c r="F1170">
        <f>IF(Skills!N3=TRUE,(Skills!L3/10)*(E1170/1000),Skills!L3/10)+Skills!O3</f>
        <v/>
      </c>
      <c r="G1170" t="inlineStr"/>
      <c r="H1170" t="inlineStr"/>
      <c r="I1170" t="inlineStr">
        <is>
          <t>1</t>
        </is>
      </c>
      <c r="J1170" t="inlineStr"/>
      <c r="K1170" t="inlineStr"/>
      <c r="L1170" t="inlineStr"/>
      <c r="M1170" t="inlineStr"/>
      <c r="N1170" t="inlineStr"/>
      <c r="O1170" t="inlineStr"/>
      <c r="P1170" t="inlineStr"/>
      <c r="Q1170" t="inlineStr"/>
      <c r="R1170" t="inlineStr"/>
      <c r="S1170" t="inlineStr"/>
      <c r="U1170">
        <f>INDEX(FactorTable!$B$2:$Y$301, MATCH(ROUND(MIN(300,MAX(1,U1169)),0), FactorTable!$A$2:$A$301,0), 22)</f>
        <v/>
      </c>
    </row>
    <row r="1171">
      <c r="A1171">
        <f>Skills!A4</f>
        <v/>
      </c>
      <c r="B1171">
        <f>Skills!B4</f>
        <v/>
      </c>
      <c r="C1171">
        <f>Inputs!$B$3&gt;=35</f>
        <v/>
      </c>
      <c r="D1171">
        <f>IF(Skills!C4=1,60+Inputs!$B$25+Inputs!$B$29,IF(Skills!C4=2,90+Inputs!$B$26+Inputs!$B$29,IF(Skills!C4=3,120+Inputs!$B$27+Inputs!$B$29,MAX(0,(Inputs!$B$3-100)*3)+Inputs!$B$28+Inputs!$B$29)))</f>
        <v/>
      </c>
      <c r="E1171">
        <f>INDEX(FactorTable!$B$2:$Y$301, MATCH(ROUND(MIN(300,MAX(1,D1171)),0), FactorTable!$A$2:$A$301,0), Skills!M4+1)</f>
        <v/>
      </c>
      <c r="F1171">
        <f>IF(Skills!N4=TRUE,(Skills!L4/10)*(E1171/1000),Skills!L4/10)+Skills!O4</f>
        <v/>
      </c>
      <c r="G1171">
        <f>Skills!G4*IF(Skills!H4&gt;0,Skills!I4/Skills!H4,1)</f>
        <v/>
      </c>
      <c r="H1171">
        <f>1-(1-Skills!J4/100)^Skills!K4</f>
        <v/>
      </c>
      <c r="I1171" t="inlineStr">
        <is>
          <t>1</t>
        </is>
      </c>
      <c r="J1171">
        <f>((Inputs!$B$6*(1+Inputs!$B$7/100))+(((Inputs!$B$12*(1+Inputs!$B$13/100))-(Inputs!$B$12*(1+Inputs!$B$13/100)))+0.25*(Inputs!$B$14-Inputs!$B$14))*(1+Inputs!$B$7/100))*(F1171/100)</f>
        <v/>
      </c>
      <c r="K1171">
        <f>J1171*(1+((Inputs!$B$12*(1+Inputs!$B$13/100))*0.01+Inputs!$B$14*0.0025)/100)*(1+Inputs!$B$15/100)*(1+Inputs!$B$16/100)*(5000/(6000+Inputs!$B$42*(1-(Inputs!$B$19+0)/100)))*(1+(Inputs!$B$24+0+B1200)/100)*(1+4.0*IF(C1179=TRUE,F1179,0)/100)*(1+(IF(Skills!A4="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1171)</f>
        <v/>
      </c>
      <c r="L1171">
        <f>K1171*(MIN(Inputs!$B$22+((C1189=TRUE)*(F1189-Calc!F22)),Inputs!$B$23+((C1191=TRUE)*(F1191-Calc!F24)))/100+(Inputs!$B$23+((C1191=TRUE)*(F1191-Calc!F24)))/100)/2</f>
        <v/>
      </c>
      <c r="M1171">
        <f>L1171*(1+(Inputs!$B$10+0+B1199)/100)</f>
        <v/>
      </c>
      <c r="N1171">
        <f>L1171*(1-MIN((Inputs!$B$9+0+B1194),100)/100)+M1171*(MIN((Inputs!$B$9+0+B1194),100)/100)</f>
        <v/>
      </c>
      <c r="O1171">
        <f>(1-Summary!$B$55)*T1171+Summary!$B$55*V1171</f>
        <v/>
      </c>
      <c r="P1171">
        <f>IF(B1204=0,0,O1171/B1204)</f>
        <v/>
      </c>
      <c r="Q1171">
        <f>IFERROR(1/IF(Inputs!$B$38="pvp",15,MAX(0.1,Skills!D4-IF(Skills!E4=TRUE,1.5,0))),0)</f>
        <v/>
      </c>
      <c r="R1171">
        <f>IF(AND(Inputs!$B$38&lt;&gt;"pvp",Inputs!$B$43&gt;0),IF(MAX(0,Inputs!$B$43-B1201)&lt;=0,0,(INT(MAX(0,Inputs!$B$43-B1201)/IF(Inputs!$B$38="pvp",15,MAX(0.1,Skills!D4-IF(Skills!E4=TRUE,1.5,0))))+1)),0)</f>
        <v/>
      </c>
      <c r="S1171">
        <f>IFERROR(O1171/N1171,0)</f>
        <v/>
      </c>
      <c r="T1171">
        <f>IF(C1171,(H1171*N1171*IF(AND(Inputs!$B$38&lt;&gt;"pvp",Inputs!$B$43&gt;0),((Skills!G4*((R1171-1)*IF(Skills!H4&gt;0,Skills!I4/Skills!H4,1)+IF(Skills!H4&gt;0,MIN(Skills!I4,MAX(0,MAX(0,Inputs!$B$43-B1201)-((R1171-1)*IF(Inputs!$B$38="pvp",15,MAX(0.1,Skills!D4-IF(Skills!E4=TRUE,1.5,0))))))/Skills!H4,1)))/Inputs!$B$43),G1171*Q1171))*IF(Inputs!$B$38="pvp",1,1+(Inputs!$B$20+0+Skills!P4)/100),0)</f>
        <v/>
      </c>
      <c r="U1171">
        <f>290*U1170/1000</f>
        <v/>
      </c>
      <c r="V1171">
        <f>IF(C1171,(H1171*N1171*IF(AND(Inputs!$B$38&lt;&gt;"pvp",Inputs!$B$43&gt;0),((Skills!G4*((R1171-1)*IF(Skills!H4&gt;0,Skills!I4/Skills!H4,1)+IF(Skills!H4&gt;0,MIN(Skills!I4,MAX(0,MAX(0,Inputs!$B$43-B1201)-((R1171-1)*IF(Inputs!$B$38="pvp",15,MAX(0.1,Skills!D4-IF(Skills!E4=TRUE,1.5,0))))))/Skills!H4,1)))/Inputs!$B$43),G1171*Q1171))*IF(Inputs!$B$38="pvp",1,(1+(Inputs!$B$21+Skills!Q4)/100)*(MIN(Skills!R4,Inputs!$B$37))),0)</f>
        <v/>
      </c>
    </row>
    <row r="1172">
      <c r="A1172">
        <f>Skills!A5</f>
        <v/>
      </c>
      <c r="B1172">
        <f>Skills!B5</f>
        <v/>
      </c>
      <c r="C1172">
        <f>Inputs!$B$3&gt;=66</f>
        <v/>
      </c>
      <c r="D1172">
        <f>IF(Skills!C5=1,60+Inputs!$B$25+Inputs!$B$29,IF(Skills!C5=2,90+Inputs!$B$26+Inputs!$B$29,IF(Skills!C5=3,120+Inputs!$B$27+Inputs!$B$29,MAX(0,(Inputs!$B$3-100)*3)+Inputs!$B$28+Inputs!$B$29)))</f>
        <v/>
      </c>
      <c r="E1172">
        <f>INDEX(FactorTable!$B$2:$Y$301, MATCH(ROUND(MIN(300,MAX(1,D1172)),0), FactorTable!$A$2:$A$301,0), Skills!M5+1)</f>
        <v/>
      </c>
      <c r="F1172">
        <f>IF(Skills!N5=TRUE,(Skills!L5/10)*(E1172/1000),Skills!L5/10)+Skills!O5</f>
        <v/>
      </c>
      <c r="G1172">
        <f>Skills!G5*IF(Skills!H5&gt;0,Skills!I5/Skills!H5,1)</f>
        <v/>
      </c>
      <c r="H1172">
        <f>1-(1-Skills!J5/100)^Skills!K5</f>
        <v/>
      </c>
      <c r="I1172" t="inlineStr">
        <is>
          <t>1</t>
        </is>
      </c>
      <c r="J1172">
        <f>((Inputs!$B$6*(1+Inputs!$B$7/100))+(((Inputs!$B$12*(1+Inputs!$B$13/100))-(Inputs!$B$12*(1+Inputs!$B$13/100)))+0.25*(Inputs!$B$14-Inputs!$B$14))*(1+Inputs!$B$7/100))*(F1172/100)</f>
        <v/>
      </c>
      <c r="K1172">
        <f>J1172*(1+((Inputs!$B$12*(1+Inputs!$B$13/100))*0.01+Inputs!$B$14*0.0025)/100)*(1+Inputs!$B$15/100)*(1+Inputs!$B$16/100)*(5000/(6000+Inputs!$B$42*(1-(Inputs!$B$19+0)/100)))*(1+(Inputs!$B$24+0+B1200)/100)*(1+1.0*IF(C1179=TRUE,F1179,0)/100)*(1+(IF(Skills!A5="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1172)</f>
        <v/>
      </c>
      <c r="L1172">
        <f>K1172*(MIN(Inputs!$B$22+((C1189=TRUE)*(F1189-Calc!F22)),Inputs!$B$23+((C1191=TRUE)*(F1191-Calc!F24)))/100+(Inputs!$B$23+((C1191=TRUE)*(F1191-Calc!F24)))/100)/2</f>
        <v/>
      </c>
      <c r="M1172">
        <f>L1172*(1+(Inputs!$B$10+0+B1199)/100)</f>
        <v/>
      </c>
      <c r="N1172">
        <f>L1172*(1-MIN((Inputs!$B$9+0+B1194),100)/100)+M1172*(MIN((Inputs!$B$9+0+B1194),100)/100)</f>
        <v/>
      </c>
      <c r="O1172">
        <f>(1-Summary!$B$55)*T1172+Summary!$B$55*V1172</f>
        <v/>
      </c>
      <c r="P1172">
        <f>IF(B1204=0,0,O1172/B1204)</f>
        <v/>
      </c>
      <c r="Q1172">
        <f>IFERROR(1/IF(Inputs!$B$38="pvp",15,MAX(0.1,Skills!D5-IF(Skills!E5=TRUE,1.5,0))),0)</f>
        <v/>
      </c>
      <c r="R1172">
        <f>IF(AND(Inputs!$B$38&lt;&gt;"pvp",Inputs!$B$43&gt;0),IF(MAX(0,Inputs!$B$43-B1201)&lt;=0,0,(INT(MAX(0,Inputs!$B$43-B1201)/IF(Inputs!$B$38="pvp",15,MAX(0.1,Skills!D5-IF(Skills!E5=TRUE,1.5,0))))+1)),0)</f>
        <v/>
      </c>
      <c r="S1172">
        <f>IFERROR(O1172/N1172,0)</f>
        <v/>
      </c>
      <c r="T1172">
        <f>IF(C1172,(H1172*N1172*IF(AND(Inputs!$B$38&lt;&gt;"pvp",Inputs!$B$43&gt;0),((Skills!G5*((R1172-1)*IF(Skills!H5&gt;0,Skills!I5/Skills!H5,1)+IF(Skills!H5&gt;0,MIN(Skills!I5,MAX(0,MAX(0,Inputs!$B$43-B1201)-((R1172-1)*IF(Inputs!$B$38="pvp",15,MAX(0.1,Skills!D5-IF(Skills!E5=TRUE,1.5,0))))))/Skills!H5,1)))/Inputs!$B$43),G1172*Q1172))*IF(Inputs!$B$38="pvp",1,1+(Inputs!$B$20+0+Skills!P5)/100),0)</f>
        <v/>
      </c>
      <c r="V1172">
        <f>IF(C1172,(H1172*N1172*IF(AND(Inputs!$B$38&lt;&gt;"pvp",Inputs!$B$43&gt;0),((Skills!G5*((R1172-1)*IF(Skills!H5&gt;0,Skills!I5/Skills!H5,1)+IF(Skills!H5&gt;0,MIN(Skills!I5,MAX(0,MAX(0,Inputs!$B$43-B1201)-((R1172-1)*IF(Inputs!$B$38="pvp",15,MAX(0.1,Skills!D5-IF(Skills!E5=TRUE,1.5,0))))))/Skills!H5,1)))/Inputs!$B$43),G1172*Q1172))*IF(Inputs!$B$38="pvp",1,(1+(Inputs!$B$21+Skills!Q5)/100)*(MIN(Skills!R5,Inputs!$B$37))),0)</f>
        <v/>
      </c>
    </row>
    <row r="1173">
      <c r="A1173">
        <f>Skills!A6</f>
        <v/>
      </c>
      <c r="B1173">
        <f>Skills!B6</f>
        <v/>
      </c>
      <c r="C1173">
        <f>Inputs!$B$3&gt;=103</f>
        <v/>
      </c>
      <c r="D1173">
        <f>IF(Skills!C6=1,60+Inputs!$B$25+Inputs!$B$29,IF(Skills!C6=2,90+Inputs!$B$26+Inputs!$B$29,IF(Skills!C6=3,120+Inputs!$B$27+Inputs!$B$29,MAX(0,(Inputs!$B$3-100)*3)+Inputs!$B$28+Inputs!$B$29)))</f>
        <v/>
      </c>
      <c r="E1173">
        <f>INDEX(FactorTable!$B$2:$Y$301, MATCH(ROUND(MIN(300,MAX(1,D1173)),0), FactorTable!$A$2:$A$301,0), Skills!M6+1)</f>
        <v/>
      </c>
      <c r="F1173">
        <f>IF(Skills!N6=TRUE,(Skills!L6/10)*(E1173/1000),Skills!L6/10)+Skills!O6</f>
        <v/>
      </c>
      <c r="G1173">
        <f>Skills!G6*IF(Skills!H6&gt;0,Skills!I6/Skills!H6,1)</f>
        <v/>
      </c>
      <c r="H1173">
        <f>1-(1-Skills!J6/100)^Skills!K6</f>
        <v/>
      </c>
      <c r="I1173" t="inlineStr">
        <is>
          <t>1</t>
        </is>
      </c>
      <c r="J1173">
        <f>((Inputs!$B$6*(1+Inputs!$B$7/100))+(((Inputs!$B$12*(1+Inputs!$B$13/100))-(Inputs!$B$12*(1+Inputs!$B$13/100)))+0.25*(Inputs!$B$14-Inputs!$B$14))*(1+Inputs!$B$7/100))*(F1173/100)</f>
        <v/>
      </c>
      <c r="K1173">
        <f>J1173*(1+((Inputs!$B$12*(1+Inputs!$B$13/100))*0.01+Inputs!$B$14*0.0025)/100)*(1+Inputs!$B$15/100)*(1+Inputs!$B$16/100)*(5000/(6000+Inputs!$B$42*(1-(Inputs!$B$19+0)/100)))*(1+(Inputs!$B$24+0+B1200)/100)*(1+(IF(Skills!A6="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1173)</f>
        <v/>
      </c>
      <c r="L1173">
        <f>K1173*(MIN(Inputs!$B$22+((C1189=TRUE)*(F1189-Calc!F22)),Inputs!$B$23+((C1191=TRUE)*(F1191-Calc!F24)))/100+(Inputs!$B$23+((C1191=TRUE)*(F1191-Calc!F24)))/100)/2</f>
        <v/>
      </c>
      <c r="M1173">
        <f>L1173*(1+(Inputs!$B$10+0+B1199)/100)</f>
        <v/>
      </c>
      <c r="N1173">
        <f>L1173*(1-MIN((Inputs!$B$9+0+B1194),100)/100)+M1173*(MIN((Inputs!$B$9+0+B1194),100)/100)</f>
        <v/>
      </c>
      <c r="O1173">
        <f>(1-Summary!$B$55)*T1173+Summary!$B$55*V1173</f>
        <v/>
      </c>
      <c r="P1173">
        <f>IF(B1204=0,0,O1173/B1204)</f>
        <v/>
      </c>
      <c r="Q1173">
        <f>IFERROR(1/IF(Inputs!$B$38="pvp",15,MAX(0.1,Skills!D6-IF(Skills!E6=TRUE,1.5,0))),0)</f>
        <v/>
      </c>
      <c r="R1173">
        <f>IF(AND(Inputs!$B$38&lt;&gt;"pvp",Inputs!$B$43&gt;0),IF(MAX(0,Inputs!$B$43-B1201)&lt;=0,0,(INT(MAX(0,Inputs!$B$43-B1201)/IF(Inputs!$B$38="pvp",15,MAX(0.1,Skills!D6-IF(Skills!E6=TRUE,1.5,0))))+1)),0)</f>
        <v/>
      </c>
      <c r="S1173">
        <f>IFERROR(O1173/N1173,0)</f>
        <v/>
      </c>
      <c r="T1173">
        <f>IF(C1173,(H1173*N1173*IF(AND(Inputs!$B$38&lt;&gt;"pvp",Inputs!$B$43&gt;0),((Skills!G6*((R1173-1)*IF(Skills!H6&gt;0,Skills!I6/Skills!H6,1)+IF(Skills!H6&gt;0,MIN(Skills!I6,MAX(0,MAX(0,Inputs!$B$43-B1201)-((R1173-1)*IF(Inputs!$B$38="pvp",15,MAX(0.1,Skills!D6-IF(Skills!E6=TRUE,1.5,0))))))/Skills!H6,1)))/Inputs!$B$43),G1173*Q1173))*IF(Inputs!$B$38="pvp",1,1+(Inputs!$B$20+0+Skills!P6)/100),0)</f>
        <v/>
      </c>
      <c r="V1173">
        <f>IF(C1173,(H1173*N1173*IF(AND(Inputs!$B$38&lt;&gt;"pvp",Inputs!$B$43&gt;0),((Skills!G6*((R1173-1)*IF(Skills!H6&gt;0,Skills!I6/Skills!H6,1)+IF(Skills!H6&gt;0,MIN(Skills!I6,MAX(0,MAX(0,Inputs!$B$43-B1201)-((R1173-1)*IF(Inputs!$B$38="pvp",15,MAX(0.1,Skills!D6-IF(Skills!E6=TRUE,1.5,0))))))/Skills!H6,1)))/Inputs!$B$43),G1173*Q1173))*IF(Inputs!$B$38="pvp",1,(1+(Inputs!$B$21+Skills!Q6)/100)*(MIN(Skills!R6,Inputs!$B$37))),0)</f>
        <v/>
      </c>
    </row>
    <row r="1174">
      <c r="A1174">
        <f>Skills!A7</f>
        <v/>
      </c>
      <c r="B1174">
        <f>Skills!B7</f>
        <v/>
      </c>
      <c r="C1174">
        <f>Inputs!$B$3&gt;=107</f>
        <v/>
      </c>
      <c r="D1174">
        <f>IF(Skills!C7=1,60+Inputs!$B$25+Inputs!$B$29,IF(Skills!C7=2,90+Inputs!$B$26+Inputs!$B$29,IF(Skills!C7=3,120+Inputs!$B$27+Inputs!$B$29,MAX(0,(Inputs!$B$3-100)*3)+Inputs!$B$28+Inputs!$B$29)))</f>
        <v/>
      </c>
      <c r="E1174">
        <f>INDEX(FactorTable!$B$2:$Y$301, MATCH(ROUND(MIN(300,MAX(1,D1174)),0), FactorTable!$A$2:$A$301,0), Skills!M7+1)</f>
        <v/>
      </c>
      <c r="F1174">
        <f>IF(Skills!N7=TRUE,(Skills!L7/10)*(E1174/1000),Skills!L7/10)+Skills!O7</f>
        <v/>
      </c>
      <c r="G1174">
        <f>Skills!G7*IF(Skills!H7&gt;0,Skills!I7/Skills!H7,1)</f>
        <v/>
      </c>
      <c r="H1174">
        <f>1-(1-Skills!J7/100)^Skills!K7</f>
        <v/>
      </c>
      <c r="I1174" t="inlineStr">
        <is>
          <t>1</t>
        </is>
      </c>
      <c r="J1174">
        <f>((Inputs!$B$6*(1+Inputs!$B$7/100))+(((Inputs!$B$12*(1+Inputs!$B$13/100))-(Inputs!$B$12*(1+Inputs!$B$13/100)))+0.25*(Inputs!$B$14-Inputs!$B$14))*(1+Inputs!$B$7/100))*(F1174/100)</f>
        <v/>
      </c>
      <c r="K1174">
        <f>J1174*(1+((Inputs!$B$12*(1+Inputs!$B$13/100))*0.01+Inputs!$B$14*0.0025)/100)*(1+Inputs!$B$15/100)*(1+Inputs!$B$16/100)*(5000/(6000+Inputs!$B$42*(1-(Inputs!$B$19+0)/100)))*(1+(Inputs!$B$24+0+B1200)/100)*(1+(IF(Skills!A7="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1174)</f>
        <v/>
      </c>
      <c r="L1174">
        <f>K1174*(MIN(Inputs!$B$22+((C1189=TRUE)*(F1189-Calc!F22)),Inputs!$B$23+((C1191=TRUE)*(F1191-Calc!F24)))/100+(Inputs!$B$23+((C1191=TRUE)*(F1191-Calc!F24)))/100)/2</f>
        <v/>
      </c>
      <c r="M1174">
        <f>L1174*(1+(Inputs!$B$10+0+B1199)/100)</f>
        <v/>
      </c>
      <c r="N1174">
        <f>L1174*(1-MIN((Inputs!$B$9+0+B1194),100)/100)+M1174*(MIN((Inputs!$B$9+0+B1194),100)/100)</f>
        <v/>
      </c>
      <c r="O1174">
        <f>(1-Summary!$B$55)*T1174+Summary!$B$55*V1174</f>
        <v/>
      </c>
      <c r="P1174">
        <f>IF(B1204=0,0,O1174/B1204)</f>
        <v/>
      </c>
      <c r="Q1174">
        <f>IFERROR(1/IF(Inputs!$B$38="pvp",15,MAX(0.1,Skills!D7-IF(Skills!E7=TRUE,1.5,0))),0)</f>
        <v/>
      </c>
      <c r="R1174">
        <f>IF(AND(Inputs!$B$38&lt;&gt;"pvp",Inputs!$B$43&gt;0),IF(MAX(0,Inputs!$B$43-B1201)&lt;=0,0,(INT(MAX(0,Inputs!$B$43-B1201)/IF(Inputs!$B$38="pvp",15,MAX(0.1,Skills!D7-IF(Skills!E7=TRUE,1.5,0))))+1)),0)</f>
        <v/>
      </c>
      <c r="S1174">
        <f>IFERROR(O1174/N1174,0)</f>
        <v/>
      </c>
      <c r="T1174">
        <f>IF(C1174,(H1174*N1174*IF(AND(Inputs!$B$38&lt;&gt;"pvp",Inputs!$B$43&gt;0),((Skills!G7*((R1174-1)*IF(Skills!H7&gt;0,Skills!I7/Skills!H7,1)+IF(Skills!H7&gt;0,MIN(Skills!I7,MAX(0,MAX(0,Inputs!$B$43-B1201)-((R1174-1)*IF(Inputs!$B$38="pvp",15,MAX(0.1,Skills!D7-IF(Skills!E7=TRUE,1.5,0))))))/Skills!H7,1)))/Inputs!$B$43),G1174*Q1174))*IF(Inputs!$B$38="pvp",1,1+(Inputs!$B$20+0+Skills!P7)/100),0)</f>
        <v/>
      </c>
      <c r="V1174">
        <f>IF(C1174,(H1174*N1174*IF(AND(Inputs!$B$38&lt;&gt;"pvp",Inputs!$B$43&gt;0),((Skills!G7*((R1174-1)*IF(Skills!H7&gt;0,Skills!I7/Skills!H7,1)+IF(Skills!H7&gt;0,MIN(Skills!I7,MAX(0,MAX(0,Inputs!$B$43-B1201)-((R1174-1)*IF(Inputs!$B$38="pvp",15,MAX(0.1,Skills!D7-IF(Skills!E7=TRUE,1.5,0))))))/Skills!H7,1)))/Inputs!$B$43),G1174*Q1174))*IF(Inputs!$B$38="pvp",1,(1+(Inputs!$B$21+Skills!Q7)/100)*(MIN(Skills!R7,Inputs!$B$37))),0)</f>
        <v/>
      </c>
    </row>
    <row r="1175">
      <c r="A1175">
        <f>Skills!A8</f>
        <v/>
      </c>
      <c r="B1175">
        <f>Skills!B8</f>
        <v/>
      </c>
      <c r="C1175">
        <f>Inputs!$B$3&gt;=107</f>
        <v/>
      </c>
      <c r="D1175">
        <f>IF(Skills!C8=1,60+Inputs!$B$25+Inputs!$B$29,IF(Skills!C8=2,90+Inputs!$B$26+Inputs!$B$29,IF(Skills!C8=3,120+Inputs!$B$27+Inputs!$B$29,MAX(0,(Inputs!$B$3-100)*3)+Inputs!$B$28+Inputs!$B$29)))</f>
        <v/>
      </c>
      <c r="E1175">
        <f>INDEX(FactorTable!$B$2:$Y$301, MATCH(ROUND(MIN(300,MAX(1,D1175)),0), FactorTable!$A$2:$A$301,0), Skills!M8+1)</f>
        <v/>
      </c>
      <c r="F1175">
        <f>IF(Skills!N8=TRUE,(Skills!L8/10)*(E1175/1000),Skills!L8/10)+Skills!O8</f>
        <v/>
      </c>
      <c r="G1175">
        <f>Skills!G8*IF(Skills!H8&gt;0,Skills!I8/Skills!H8,1)</f>
        <v/>
      </c>
      <c r="H1175">
        <f>1-(1-Skills!J8/100)^Skills!K8</f>
        <v/>
      </c>
      <c r="I1175" t="inlineStr">
        <is>
          <t>1</t>
        </is>
      </c>
      <c r="J1175">
        <f>((Inputs!$B$6*(1+Inputs!$B$7/100))+(((Inputs!$B$12*(1+Inputs!$B$13/100))-(Inputs!$B$12*(1+Inputs!$B$13/100)))+0.25*(Inputs!$B$14-Inputs!$B$14))*(1+Inputs!$B$7/100))*(F1175/100)</f>
        <v/>
      </c>
      <c r="K1175">
        <f>J1175*(1+((Inputs!$B$12*(1+Inputs!$B$13/100))*0.01+Inputs!$B$14*0.0025)/100)*(1+Inputs!$B$15/100)*(1+Inputs!$B$16/100)*(5000/(6000+Inputs!$B$42*(1-(Inputs!$B$19+0)/100)))*(1+(Inputs!$B$24+0+B1200)/100)*(1+(IF(Skills!A8="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1175)</f>
        <v/>
      </c>
      <c r="L1175">
        <f>K1175*(MIN(Inputs!$B$22+((C1189=TRUE)*(F1189-Calc!F22)),Inputs!$B$23+((C1191=TRUE)*(F1191-Calc!F24)))/100+(Inputs!$B$23+((C1191=TRUE)*(F1191-Calc!F24)))/100)/2</f>
        <v/>
      </c>
      <c r="M1175">
        <f>L1175*(1+(Inputs!$B$10+0+B1199)/100)</f>
        <v/>
      </c>
      <c r="N1175">
        <f>L1175*(1-MIN((Inputs!$B$9+0+B1194),100)/100)+M1175*(MIN((Inputs!$B$9+0+B1194),100)/100)</f>
        <v/>
      </c>
      <c r="O1175">
        <f>(1-Summary!$B$55)*T1175+Summary!$B$55*V1175</f>
        <v/>
      </c>
      <c r="P1175">
        <f>IF(B1204=0,0,O1175/B1204)</f>
        <v/>
      </c>
      <c r="Q1175">
        <f>IFERROR(1/IF(Inputs!$B$38="pvp",15,MAX(0.1,Skills!D8-IF(Skills!E8=TRUE,1.5,0))),0)</f>
        <v/>
      </c>
      <c r="R1175">
        <f>IF(AND(Inputs!$B$38&lt;&gt;"pvp",Inputs!$B$43&gt;0),IF(MAX(0,Inputs!$B$43-B1201)&lt;=0,0,(INT(MAX(0,Inputs!$B$43-B1201)/IF(Inputs!$B$38="pvp",15,MAX(0.1,Skills!D8-IF(Skills!E8=TRUE,1.5,0))))+1)),0)</f>
        <v/>
      </c>
      <c r="S1175">
        <f>IFERROR(O1175/N1175,0)</f>
        <v/>
      </c>
      <c r="T1175">
        <f>IF(C1175,(H1175*N1175*IF(AND(Inputs!$B$38&lt;&gt;"pvp",Inputs!$B$43&gt;0),((Skills!G8*((R1175-1)*IF(Skills!H8&gt;0,Skills!I8/Skills!H8,1)+IF(Skills!H8&gt;0,MIN(Skills!I8,MAX(0,MAX(0,Inputs!$B$43-B1201)-((R1175-1)*IF(Inputs!$B$38="pvp",15,MAX(0.1,Skills!D8-IF(Skills!E8=TRUE,1.5,0))))))/Skills!H8,1)))/Inputs!$B$43),G1175*Q1175))*IF(Inputs!$B$38="pvp",1,1+(Inputs!$B$20+0+Skills!P8)/100),0)</f>
        <v/>
      </c>
      <c r="V1175">
        <f>IF(C1175,(H1175*N1175*IF(AND(Inputs!$B$38&lt;&gt;"pvp",Inputs!$B$43&gt;0),((Skills!G8*((R1175-1)*IF(Skills!H8&gt;0,Skills!I8/Skills!H8,1)+IF(Skills!H8&gt;0,MIN(Skills!I8,MAX(0,MAX(0,Inputs!$B$43-B1201)-((R1175-1)*IF(Inputs!$B$38="pvp",15,MAX(0.1,Skills!D8-IF(Skills!E8=TRUE,1.5,0))))))/Skills!H8,1)))/Inputs!$B$43),G1175*Q1175))*IF(Inputs!$B$38="pvp",1,(1+(Inputs!$B$21+Skills!Q8)/100)*(MIN(Skills!R8,Inputs!$B$37))),0)</f>
        <v/>
      </c>
    </row>
    <row r="1176">
      <c r="A1176">
        <f>Skills!A9</f>
        <v/>
      </c>
      <c r="B1176">
        <f>Skills!B9</f>
        <v/>
      </c>
      <c r="C1176">
        <f>Inputs!$B$3&gt;=125</f>
        <v/>
      </c>
      <c r="D1176">
        <f>IF(Skills!C9=1,60+Inputs!$B$25+Inputs!$B$29,IF(Skills!C9=2,90+Inputs!$B$26+Inputs!$B$29,IF(Skills!C9=3,120+Inputs!$B$27+Inputs!$B$29,MAX(0,(Inputs!$B$3-100)*3)+Inputs!$B$28+Inputs!$B$29)))</f>
        <v/>
      </c>
      <c r="E1176">
        <f>INDEX(FactorTable!$B$2:$Y$301, MATCH(ROUND(MIN(300,MAX(1,D1176)),0), FactorTable!$A$2:$A$301,0), Skills!M9+1)</f>
        <v/>
      </c>
      <c r="F1176">
        <f>IF(Skills!N9=TRUE,(Skills!L9/10)*(E1176/1000),Skills!L9/10)+Skills!O9</f>
        <v/>
      </c>
      <c r="G1176">
        <f>Skills!G9*IF(Skills!H9&gt;0,Skills!I9/Skills!H9,1)</f>
        <v/>
      </c>
      <c r="H1176">
        <f>1-(1-Skills!J9/100)^Skills!K9</f>
        <v/>
      </c>
      <c r="I1176" t="inlineStr">
        <is>
          <t>1</t>
        </is>
      </c>
      <c r="J1176">
        <f>((Inputs!$B$6*(1+Inputs!$B$7/100))+(((Inputs!$B$12*(1+Inputs!$B$13/100))-(Inputs!$B$12*(1+Inputs!$B$13/100)))+0.25*(Inputs!$B$14-Inputs!$B$14))*(1+Inputs!$B$7/100))*(F1176/100)</f>
        <v/>
      </c>
      <c r="K1176">
        <f>J1176*(1+((Inputs!$B$12*(1+Inputs!$B$13/100))*0.01+Inputs!$B$14*0.0025)/100)*(1+Inputs!$B$15/100)*(1+Inputs!$B$16/100)*(5000/(6000+Inputs!$B$42*(1-(Inputs!$B$19+0)/100)))*(1+(Inputs!$B$24+0+B1200)/100)*(1+(IF(Skills!A9="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1176)</f>
        <v/>
      </c>
      <c r="L1176">
        <f>K1176*(MIN(Inputs!$B$22+((C1189=TRUE)*(F1189-Calc!F22)),Inputs!$B$23+((C1191=TRUE)*(F1191-Calc!F24)))/100+(Inputs!$B$23+((C1191=TRUE)*(F1191-Calc!F24)))/100)/2</f>
        <v/>
      </c>
      <c r="M1176">
        <f>L1176*(1+(Inputs!$B$10+0+B1199)/100)</f>
        <v/>
      </c>
      <c r="N1176">
        <f>L1176*(1-MIN((Inputs!$B$9+0+B1194),100)/100)+M1176*(MIN((Inputs!$B$9+0+B1194),100)/100)</f>
        <v/>
      </c>
      <c r="O1176">
        <f>(1-Summary!$B$55)*T1176+Summary!$B$55*V1176</f>
        <v/>
      </c>
      <c r="P1176">
        <f>IF(B1204=0,0,O1176/B1204)</f>
        <v/>
      </c>
      <c r="Q1176">
        <f>IFERROR(1/IF(Inputs!$B$38="pvp",15,MAX(0.1,Skills!D9-IF(Skills!E9=TRUE,1.5,0))),0)</f>
        <v/>
      </c>
      <c r="R1176">
        <f>IF(AND(Inputs!$B$38&lt;&gt;"pvp",Inputs!$B$43&gt;0),IF(MAX(0,Inputs!$B$43-B1201)&lt;=0,0,(INT(MAX(0,Inputs!$B$43-B1201)/IF(Inputs!$B$38="pvp",15,MAX(0.1,Skills!D9-IF(Skills!E9=TRUE,1.5,0))))+1)),0)</f>
        <v/>
      </c>
      <c r="S1176">
        <f>IFERROR(O1176/N1176,0)</f>
        <v/>
      </c>
      <c r="T1176">
        <f>IF(C1176,(H1176*N1176*IF(AND(Inputs!$B$38&lt;&gt;"pvp",Inputs!$B$43&gt;0),((Skills!G9*((R1176-1)*IF(Skills!H9&gt;0,Skills!I9/Skills!H9,1)+IF(Skills!H9&gt;0,MIN(Skills!I9,MAX(0,MAX(0,Inputs!$B$43-B1201)-((R1176-1)*IF(Inputs!$B$38="pvp",15,MAX(0.1,Skills!D9-IF(Skills!E9=TRUE,1.5,0))))))/Skills!H9,1)))/Inputs!$B$43),G1176*Q1176))*IF(Inputs!$B$38="pvp",1,1+(Inputs!$B$20+0+Skills!P9)/100),0)</f>
        <v/>
      </c>
      <c r="V1176">
        <f>IF(C1176,(H1176*N1176*IF(AND(Inputs!$B$38&lt;&gt;"pvp",Inputs!$B$43&gt;0),((Skills!G9*((R1176-1)*IF(Skills!H9&gt;0,Skills!I9/Skills!H9,1)+IF(Skills!H9&gt;0,MIN(Skills!I9,MAX(0,MAX(0,Inputs!$B$43-B1201)-((R1176-1)*IF(Inputs!$B$38="pvp",15,MAX(0.1,Skills!D9-IF(Skills!E9=TRUE,1.5,0))))))/Skills!H9,1)))/Inputs!$B$43),G1176*Q1176))*IF(Inputs!$B$38="pvp",1,(1+(Inputs!$B$21+Skills!Q9)/100)*(MIN(Skills!R9,Inputs!$B$37))),0)</f>
        <v/>
      </c>
    </row>
    <row r="1177">
      <c r="A1177">
        <f>Skills!A10</f>
        <v/>
      </c>
      <c r="B1177">
        <f>Skills!B10</f>
        <v/>
      </c>
      <c r="C1177">
        <f>Inputs!$B$3&gt;=117</f>
        <v/>
      </c>
      <c r="D1177">
        <f>IF(Skills!C10=1,60+Inputs!$B$25+Inputs!$B$29,IF(Skills!C10=2,90+Inputs!$B$26+Inputs!$B$29,IF(Skills!C10=3,120+Inputs!$B$27+Inputs!$B$29,MAX(0,(Inputs!$B$3-100)*3)+Inputs!$B$28+Inputs!$B$29)))</f>
        <v/>
      </c>
      <c r="E1177">
        <f>INDEX(FactorTable!$B$2:$Y$301, MATCH(ROUND(MIN(300,MAX(1,D1177)),0), FactorTable!$A$2:$A$301,0), Skills!M10+1)</f>
        <v/>
      </c>
      <c r="F1177">
        <f>IF(Skills!N10=TRUE,(Skills!L10/10)*(E1177/1000),Skills!L10/10)+Skills!O10</f>
        <v/>
      </c>
      <c r="G1177">
        <f>Skills!G10*IF(Skills!H10&gt;0,Skills!I10/Skills!H10,1)</f>
        <v/>
      </c>
      <c r="H1177">
        <f>1-(1-Skills!J10/100)^Skills!K10</f>
        <v/>
      </c>
      <c r="I1177" t="inlineStr">
        <is>
          <t>1</t>
        </is>
      </c>
      <c r="J1177">
        <f>((Inputs!$B$6*(1+Inputs!$B$7/100))+(((Inputs!$B$12*(1+Inputs!$B$13/100))-(Inputs!$B$12*(1+Inputs!$B$13/100)))+0.25*(Inputs!$B$14-Inputs!$B$14))*(1+Inputs!$B$7/100))*(F1177/100)</f>
        <v/>
      </c>
      <c r="K1177">
        <f>J1177*(1+((Inputs!$B$12*(1+Inputs!$B$13/100))*0.01+Inputs!$B$14*0.0025)/100)*(1+Inputs!$B$15/100)*(1+Inputs!$B$16/100)*(5000/(6000+Inputs!$B$42*(1-(Inputs!$B$19+0)/100)))*(1+(Inputs!$B$24+0+B1200)/100)*(1+(IF(Skills!A10="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1177)</f>
        <v/>
      </c>
      <c r="L1177">
        <f>K1177*(MIN(Inputs!$B$22+((C1189=TRUE)*(F1189-Calc!F22)),Inputs!$B$23+((C1191=TRUE)*(F1191-Calc!F24)))/100+(Inputs!$B$23+((C1191=TRUE)*(F1191-Calc!F24)))/100)/2</f>
        <v/>
      </c>
      <c r="M1177">
        <f>L1177*(1+(Inputs!$B$10+0+B1199)/100)</f>
        <v/>
      </c>
      <c r="N1177">
        <f>L1177*(1-MIN((Inputs!$B$9+0+B1194),100)/100)+M1177*(MIN((Inputs!$B$9+0+B1194),100)/100)</f>
        <v/>
      </c>
      <c r="O1177">
        <f>(1-Summary!$B$55)*T1177+Summary!$B$55*V1177</f>
        <v/>
      </c>
      <c r="P1177">
        <f>IF(B1204=0,0,O1177/B1204)</f>
        <v/>
      </c>
      <c r="Q1177">
        <f>IFERROR(1/IF(Inputs!$B$38="pvp",15,MAX(0.1,Skills!D10-IF(Skills!E10=TRUE,1.5,0))),0)</f>
        <v/>
      </c>
      <c r="R1177">
        <f>IF(AND(Inputs!$B$38&lt;&gt;"pvp",Inputs!$B$43&gt;0),IF(MAX(0,Inputs!$B$43-B1201)&lt;=0,0,(INT(MAX(0,Inputs!$B$43-B1201)/IF(Inputs!$B$38="pvp",15,MAX(0.1,Skills!D10-IF(Skills!E10=TRUE,1.5,0))))+1)),0)</f>
        <v/>
      </c>
      <c r="S1177">
        <f>IFERROR(O1177/N1177,0)</f>
        <v/>
      </c>
      <c r="T1177">
        <f>IF(C1177,(H1177*N1177*IF(AND(Inputs!$B$38&lt;&gt;"pvp",Inputs!$B$43&gt;0),((Skills!G10*((R1177-1)*IF(Skills!H10&gt;0,Skills!I10/Skills!H10,1)+IF(Skills!H10&gt;0,MIN(Skills!I10,MAX(0,MAX(0,Inputs!$B$43-B1201)-((R1177-1)*IF(Inputs!$B$38="pvp",15,MAX(0.1,Skills!D10-IF(Skills!E10=TRUE,1.5,0))))))/Skills!H10,1)))/Inputs!$B$43),G1177*Q1177))*IF(Inputs!$B$38="pvp",1,1+(Inputs!$B$20+0+Skills!P10)/100),0)</f>
        <v/>
      </c>
      <c r="V1177">
        <f>IF(C1177,(H1177*N1177*IF(AND(Inputs!$B$38&lt;&gt;"pvp",Inputs!$B$43&gt;0),((Skills!G10*((R1177-1)*IF(Skills!H10&gt;0,Skills!I10/Skills!H10,1)+IF(Skills!H10&gt;0,MIN(Skills!I10,MAX(0,MAX(0,Inputs!$B$43-B1201)-((R1177-1)*IF(Inputs!$B$38="pvp",15,MAX(0.1,Skills!D10-IF(Skills!E10=TRUE,1.5,0))))))/Skills!H10,1)))/Inputs!$B$43),G1177*Q1177))*IF(Inputs!$B$38="pvp",1,(1+(Inputs!$B$21+Skills!Q10)/100)*(MIN(Skills!R10,Inputs!$B$37))),0)</f>
        <v/>
      </c>
    </row>
    <row r="1178">
      <c r="A1178">
        <f>Skills!A11</f>
        <v/>
      </c>
      <c r="B1178">
        <f>Skills!B11</f>
        <v/>
      </c>
      <c r="C1178">
        <f>Inputs!$B$3&gt;=63</f>
        <v/>
      </c>
      <c r="D1178">
        <f>IF(Skills!C11=1,60+Inputs!$B$25+Inputs!$B$29,IF(Skills!C11=2,90+Inputs!$B$26+Inputs!$B$29,IF(Skills!C11=3,120+Inputs!$B$27+Inputs!$B$29,MAX(0,(Inputs!$B$3-100)*3)+Inputs!$B$28+Inputs!$B$29)))</f>
        <v/>
      </c>
      <c r="E1178">
        <f>INDEX(FactorTable!$B$2:$Y$301, MATCH(ROUND(MIN(300,MAX(1,D1178)),0), FactorTable!$A$2:$A$301,0), Skills!M11+1)</f>
        <v/>
      </c>
      <c r="F1178">
        <f>IF(Skills!N11=TRUE,(Skills!L11/10)*(E1178/1000),Skills!L11/10)+Skills!O11</f>
        <v/>
      </c>
      <c r="G1178">
        <f>Skills!G11*IF(Skills!H11&gt;0,Skills!I11/Skills!H11,1)</f>
        <v/>
      </c>
      <c r="H1178">
        <f>1-(1-Skills!J11/100)^Skills!K11</f>
        <v/>
      </c>
      <c r="I1178" t="inlineStr">
        <is>
          <t>1</t>
        </is>
      </c>
      <c r="J1178">
        <f>((Inputs!$B$6*(1+Inputs!$B$7/100))+(((Inputs!$B$12*(1+Inputs!$B$13/100))-(Inputs!$B$12*(1+Inputs!$B$13/100)))+0.25*(Inputs!$B$14-Inputs!$B$14))*(1+Inputs!$B$7/100))*(F1178/100)</f>
        <v/>
      </c>
      <c r="K1178">
        <f>J1178*(1+((Inputs!$B$12*(1+Inputs!$B$13/100))*0.01+Inputs!$B$14*0.0025)/100)*(1+Inputs!$B$15/100)*(1+Inputs!$B$16/100)*(5000/(6000+Inputs!$B$42*(1-(Inputs!$B$19+0)/100)))*(1+(Inputs!$B$24+0+B1200)/100)*(1+1.5*IF(C1179=TRUE,F1179,0)/100)*(1+(IF(Skills!A11="BLAST",Inputs!$B$17+((C1188=TRUE)*(F1188-Calc!F21)),Inputs!$B$18+((C1190=TRUE)*(F1190-Calc!F23))))/100)*((1+(((C1180=TRUE)*F1180*MIN(1,Skills!T13*(Skills!J13/100)*B1198))+((C1185=TRUE)*F1185*IF(AND(Inputs!$B$38&lt;&gt;"pvp",Inputs!$B$43&gt;0),(((R1185-1)*(Skills!T18*(1+Inputs!$B$34/100))+MIN((Skills!T18*(1+Inputs!$B$34/100)),MAX(0,Inputs!$B$43-((R1185-1)*Skills!D18))))/Inputs!$B$43),IF(Inputs!$B$38="pvp",MIN((Skills!T18*(1+Inputs!$B$34/100)),15)/15,(Skills!T18*(1+Inputs!$B$34/100))/Skills!D18)))+0)/100)*I1178)</f>
        <v/>
      </c>
      <c r="L1178">
        <f>K1178*(MIN(Inputs!$B$22+((C1189=TRUE)*(F1189-Calc!F22)),Inputs!$B$23+((C1191=TRUE)*(F1191-Calc!F24)))/100+(Inputs!$B$23+((C1191=TRUE)*(F1191-Calc!F24)))/100)/2</f>
        <v/>
      </c>
      <c r="M1178">
        <f>L1178*(1+(Inputs!$B$10+0+B1199)/100)</f>
        <v/>
      </c>
      <c r="N1178">
        <f>L1178*(1-MIN((Inputs!$B$9+0+B1194),100)/100)+M1178*(MIN((Inputs!$B$9+0+B1194),100)/100)</f>
        <v/>
      </c>
      <c r="O1178">
        <f>(1-Summary!$B$55)*T1178+Summary!$B$55*V1178</f>
        <v/>
      </c>
      <c r="P1178">
        <f>IF(B1204=0,0,O1178/B1204)</f>
        <v/>
      </c>
      <c r="Q1178">
        <f>IFERROR(1/IF(Inputs!$B$38="pvp",15,MAX(0.1,Skills!D11-IF(Skills!E11=TRUE,1.5,0))),0)</f>
        <v/>
      </c>
      <c r="R1178">
        <f>IF(AND(Inputs!$B$38&lt;&gt;"pvp",Inputs!$B$43&gt;0),IF(MAX(0,Inputs!$B$43-B1201)&lt;=0,0,(INT(MAX(0,Inputs!$B$43-B1201)/IF(Inputs!$B$38="pvp",15,MAX(0.1,Skills!D11-IF(Skills!E11=TRUE,1.5,0))))+1)),0)</f>
        <v/>
      </c>
      <c r="S1178">
        <f>IFERROR(O1178/N1178,0)</f>
        <v/>
      </c>
      <c r="T1178">
        <f>IF(C1178,(H1178*N1178*IF(AND(Inputs!$B$38&lt;&gt;"pvp",Inputs!$B$43&gt;0),((Skills!G11*((R1178-1)*IF(Skills!H11&gt;0,Skills!I11/Skills!H11,1)+IF(Skills!H11&gt;0,MIN(Skills!I11,MAX(0,MAX(0,Inputs!$B$43-B1201)-((R1178-1)*IF(Inputs!$B$38="pvp",15,MAX(0.1,Skills!D11-IF(Skills!E11=TRUE,1.5,0))))))/Skills!H11,1)))/Inputs!$B$43),G1178*Q1178))*IF(Inputs!$B$38="pvp",1,1+(Inputs!$B$20+0+Skills!P11)/100),0)</f>
        <v/>
      </c>
      <c r="V1178">
        <f>IF(C1178,(H1178*N1178*IF(AND(Inputs!$B$38&lt;&gt;"pvp",Inputs!$B$43&gt;0),((Skills!G11*((R1178-1)*IF(Skills!H11&gt;0,Skills!I11/Skills!H11,1)+IF(Skills!H11&gt;0,MIN(Skills!I11,MAX(0,MAX(0,Inputs!$B$43-B1201)-((R1178-1)*IF(Inputs!$B$38="pvp",15,MAX(0.1,Skills!D11-IF(Skills!E11=TRUE,1.5,0))))))/Skills!H11,1)))/Inputs!$B$43),G1178*Q1178))*IF(Inputs!$B$38="pvp",1,(1+(Inputs!$B$21+Skills!Q11)/100)*(MIN(Skills!R11,Inputs!$B$37))),0)</f>
        <v/>
      </c>
    </row>
    <row r="1179">
      <c r="A1179">
        <f>Skills!A12</f>
        <v/>
      </c>
      <c r="B1179">
        <f>Skills!B12</f>
        <v/>
      </c>
      <c r="C1179">
        <f>Inputs!$B$3&gt;=100</f>
        <v/>
      </c>
      <c r="D1179">
        <f>IF(Skills!C12=1,60+Inputs!$B$25+Inputs!$B$29,IF(Skills!C12=2,90+Inputs!$B$26+Inputs!$B$29,IF(Skills!C12=3,120+Inputs!$B$27+Inputs!$B$29,MAX(0,(Inputs!$B$3-100)*3)+Inputs!$B$28+Inputs!$B$29)))</f>
        <v/>
      </c>
      <c r="E1179">
        <f>INDEX(FactorTable!$B$2:$Y$301, MATCH(ROUND(MIN(300,MAX(1,D1179)),0), FactorTable!$A$2:$A$301,0), Skills!M12+1)</f>
        <v/>
      </c>
      <c r="F1179">
        <f>IF(Skills!N12=TRUE,(Skills!L12/10)*(E1179/1000),Skills!L12/10)+Skills!O12</f>
        <v/>
      </c>
      <c r="G1179" t="inlineStr"/>
      <c r="H1179" t="inlineStr"/>
      <c r="I1179" t="inlineStr">
        <is>
          <t>1</t>
        </is>
      </c>
      <c r="J1179" t="inlineStr"/>
      <c r="K1179" t="inlineStr"/>
      <c r="L1179" t="inlineStr"/>
      <c r="M1179" t="inlineStr"/>
      <c r="N1179" t="inlineStr"/>
      <c r="O1179" t="inlineStr"/>
      <c r="P1179" t="inlineStr"/>
      <c r="Q1179" t="inlineStr"/>
      <c r="R1179" t="inlineStr"/>
      <c r="S1179" t="inlineStr"/>
    </row>
    <row r="1180">
      <c r="A1180">
        <f>Skills!A13</f>
        <v/>
      </c>
      <c r="B1180">
        <f>Skills!B13</f>
        <v/>
      </c>
      <c r="C1180">
        <f>Inputs!$B$3&gt;=45</f>
        <v/>
      </c>
      <c r="D1180">
        <f>IF(Skills!C13=1,60+Inputs!$B$25+Inputs!$B$29,IF(Skills!C13=2,90+Inputs!$B$26+Inputs!$B$29,IF(Skills!C13=3,120+Inputs!$B$27+Inputs!$B$29,MAX(0,(Inputs!$B$3-100)*3)+Inputs!$B$28+Inputs!$B$29)))</f>
        <v/>
      </c>
      <c r="E1180">
        <f>INDEX(FactorTable!$B$2:$Y$301, MATCH(ROUND(MIN(300,MAX(1,D1180)),0), FactorTable!$A$2:$A$301,0), Skills!M13+1)</f>
        <v/>
      </c>
      <c r="F1180">
        <f>IF(Skills!N13=TRUE,(Skills!L13/10)*(E1180/1000),Skills!L13/10)+Skills!O13</f>
        <v/>
      </c>
      <c r="G1180">
        <f>Skills!G13*IF(Skills!H13&gt;0,Skills!I13/Skills!H13,1)</f>
        <v/>
      </c>
      <c r="H1180">
        <f>1-(1-Skills!J13/100)^Skills!K13</f>
        <v/>
      </c>
      <c r="I1180" t="inlineStr">
        <is>
          <t>1</t>
        </is>
      </c>
      <c r="J1180" t="inlineStr"/>
      <c r="K1180" t="inlineStr"/>
      <c r="L1180" t="inlineStr"/>
      <c r="M1180" t="inlineStr"/>
      <c r="N1180" t="inlineStr"/>
      <c r="O1180">
        <f>(1-Summary!$B$55)*T1180+Summary!$B$55*V1180</f>
        <v/>
      </c>
      <c r="P1180">
        <f>IF(B1204=0,0,O1180/B1204)</f>
        <v/>
      </c>
      <c r="Q1180" t="n">
        <v>0</v>
      </c>
      <c r="R1180" t="n">
        <v>0</v>
      </c>
      <c r="S1180">
        <f>IFERROR(O1180/N1180,0)</f>
        <v/>
      </c>
      <c r="T1180" t="n">
        <v>0</v>
      </c>
      <c r="V1180" t="n">
        <v>0</v>
      </c>
    </row>
    <row r="1181">
      <c r="A1181">
        <f>Skills!A14</f>
        <v/>
      </c>
      <c r="B1181">
        <f>Skills!B14</f>
        <v/>
      </c>
      <c r="C1181">
        <f>Inputs!$B$3&gt;=110</f>
        <v/>
      </c>
      <c r="D1181">
        <f>IF(Skills!C14=1,60+Inputs!$B$25+Inputs!$B$29,IF(Skills!C14=2,90+Inputs!$B$26+Inputs!$B$29,IF(Skills!C14=3,120+Inputs!$B$27+Inputs!$B$29,MAX(0,(Inputs!$B$3-100)*3)+Inputs!$B$28+Inputs!$B$29)))</f>
        <v/>
      </c>
      <c r="E1181">
        <f>INDEX(FactorTable!$B$2:$Y$301, MATCH(ROUND(MIN(300,MAX(1,D1181)),0), FactorTable!$A$2:$A$301,0), Skills!M14+1)</f>
        <v/>
      </c>
      <c r="F1181">
        <f>IF(Skills!N14=TRUE,(Skills!L14/10)*(E1181/1000),Skills!L14/10)+Skills!O14</f>
        <v/>
      </c>
      <c r="G1181">
        <f>Skills!G14*IF(Skills!H14&gt;0,Skills!I14/Skills!H14,1)</f>
        <v/>
      </c>
      <c r="H1181">
        <f>1-(1-Skills!J14/100)^Skills!K14</f>
        <v/>
      </c>
      <c r="I1181" t="inlineStr">
        <is>
          <t>1</t>
        </is>
      </c>
      <c r="J1181" t="inlineStr"/>
      <c r="K1181" t="inlineStr"/>
      <c r="L1181" t="inlineStr"/>
      <c r="M1181" t="inlineStr"/>
      <c r="N1181" t="inlineStr"/>
      <c r="O1181">
        <f>(1-Summary!$B$55)*T1181+Summary!$B$55*V1181</f>
        <v/>
      </c>
      <c r="P1181">
        <f>IF(B1204=0,0,O1181/B1204)</f>
        <v/>
      </c>
      <c r="Q1181" t="n">
        <v>0</v>
      </c>
      <c r="R1181" t="n">
        <v>0</v>
      </c>
      <c r="S1181">
        <f>IFERROR(O1181/N1181,0)</f>
        <v/>
      </c>
      <c r="T1181" t="n">
        <v>0</v>
      </c>
      <c r="V1181" t="n">
        <v>0</v>
      </c>
    </row>
    <row r="1182">
      <c r="A1182">
        <f>Skills!A15</f>
        <v/>
      </c>
      <c r="B1182">
        <f>Skills!B15</f>
        <v/>
      </c>
      <c r="C1182">
        <f>Inputs!$B$3&gt;=75</f>
        <v/>
      </c>
      <c r="D1182">
        <f>IF(Skills!C15=1,60+Inputs!$B$25+Inputs!$B$29,IF(Skills!C15=2,90+Inputs!$B$26+Inputs!$B$29,IF(Skills!C15=3,120+Inputs!$B$27+Inputs!$B$29,MAX(0,(Inputs!$B$3-100)*3)+Inputs!$B$28+Inputs!$B$29)))</f>
        <v/>
      </c>
      <c r="E1182">
        <f>INDEX(FactorTable!$B$2:$Y$301, MATCH(ROUND(MIN(300,MAX(1,D1182)),0), FactorTable!$A$2:$A$301,0), Skills!M15+1)</f>
        <v/>
      </c>
      <c r="F1182">
        <f>IF(Skills!N15=TRUE,(Skills!L15/10)*(E1182/1000),Skills!L15/10)+Skills!O15</f>
        <v/>
      </c>
      <c r="G1182">
        <f>Skills!G15*IF(Skills!H15&gt;0,Skills!I15/Skills!H15,1)</f>
        <v/>
      </c>
      <c r="H1182">
        <f>1-(1-Skills!J15/100)^Skills!K15</f>
        <v/>
      </c>
      <c r="I1182" t="inlineStr">
        <is>
          <t>1</t>
        </is>
      </c>
      <c r="J1182" t="inlineStr"/>
      <c r="K1182" t="inlineStr"/>
      <c r="L1182" t="inlineStr"/>
      <c r="M1182" t="inlineStr"/>
      <c r="N1182" t="inlineStr"/>
      <c r="O1182">
        <f>(1-Summary!$B$55)*T1182+Summary!$B$55*V1182</f>
        <v/>
      </c>
      <c r="P1182">
        <f>IF(B1204=0,0,O1182/B1204)</f>
        <v/>
      </c>
      <c r="Q1182">
        <f>IFERROR(1/IF(Inputs!$B$38="pvp",15,MAX(0.1,Skills!D15-IF(Skills!E15=TRUE,1.5,0))),0)</f>
        <v/>
      </c>
      <c r="R1182">
        <f>IF(AND(Inputs!$B$38&lt;&gt;"pvp",Inputs!$B$43&gt;0),IF(Inputs!$B$43&lt;=0,0,(INT(Inputs!$B$43/IF(Inputs!$B$38="pvp",15,MAX(0.1,Skills!D15-IF(Skills!E15=TRUE,1.5,0))))+1)),0)</f>
        <v/>
      </c>
      <c r="S1182">
        <f>IFERROR(O1182/N1182,0)</f>
        <v/>
      </c>
      <c r="T1182" t="n">
        <v>0</v>
      </c>
      <c r="V1182" t="n">
        <v>0</v>
      </c>
    </row>
    <row r="1183">
      <c r="A1183">
        <f>Skills!A16</f>
        <v/>
      </c>
      <c r="B1183">
        <f>Skills!B16</f>
        <v/>
      </c>
      <c r="C1183">
        <f>Inputs!$B$3&gt;=105</f>
        <v/>
      </c>
      <c r="D1183">
        <f>IF(Skills!C16=1,60+Inputs!$B$25+Inputs!$B$29,IF(Skills!C16=2,90+Inputs!$B$26+Inputs!$B$29,IF(Skills!C16=3,120+Inputs!$B$27+Inputs!$B$29,MAX(0,(Inputs!$B$3-100)*3)+Inputs!$B$28+Inputs!$B$29)))</f>
        <v/>
      </c>
      <c r="E1183">
        <f>INDEX(FactorTable!$B$2:$Y$301, MATCH(ROUND(MIN(300,MAX(1,D1183)),0), FactorTable!$A$2:$A$301,0), Skills!M16+1)</f>
        <v/>
      </c>
      <c r="F1183">
        <f>IF(Skills!N16=TRUE,(Skills!L16/10)*(E1183/1000),Skills!L16/10)+Skills!O16</f>
        <v/>
      </c>
      <c r="G1183">
        <f>Skills!G16*IF(Skills!H16&gt;0,Skills!I16/Skills!H16,1)</f>
        <v/>
      </c>
      <c r="H1183">
        <f>1-(1-Skills!J16/100)^Skills!K16</f>
        <v/>
      </c>
      <c r="I1183" t="inlineStr">
        <is>
          <t>1</t>
        </is>
      </c>
      <c r="J1183" t="inlineStr"/>
      <c r="K1183" t="inlineStr"/>
      <c r="L1183" t="inlineStr"/>
      <c r="M1183" t="inlineStr"/>
      <c r="N1183" t="inlineStr"/>
      <c r="O1183">
        <f>(1-Summary!$B$55)*T1183+Summary!$B$55*V1183</f>
        <v/>
      </c>
      <c r="P1183">
        <f>IF(B1204=0,0,O1183/B1204)</f>
        <v/>
      </c>
      <c r="Q1183">
        <f>IFERROR(1/IF(Inputs!$B$38="pvp",15,MAX(0.1,Skills!D16-IF(Skills!E16=TRUE,1.5,0))),0)</f>
        <v/>
      </c>
      <c r="R1183">
        <f>IF(AND(Inputs!$B$38&lt;&gt;"pvp",Inputs!$B$43&gt;0),IF(Inputs!$B$43&lt;=0,0,(INT(Inputs!$B$43/IF(Inputs!$B$38="pvp",15,MAX(0.1,Skills!D16-IF(Skills!E16=TRUE,1.5,0))))+1)),0)</f>
        <v/>
      </c>
      <c r="S1183">
        <f>IFERROR(O1183/N1183,0)</f>
        <v/>
      </c>
      <c r="T1183" t="n">
        <v>0</v>
      </c>
      <c r="V1183" t="n">
        <v>0</v>
      </c>
    </row>
    <row r="1184">
      <c r="A1184">
        <f>Skills!A17</f>
        <v/>
      </c>
      <c r="B1184">
        <f>Skills!B17</f>
        <v/>
      </c>
      <c r="C1184">
        <f>Inputs!$B$3&gt;=115</f>
        <v/>
      </c>
      <c r="D1184">
        <f>IF(Skills!C17=1,60+Inputs!$B$25+Inputs!$B$29,IF(Skills!C17=2,90+Inputs!$B$26+Inputs!$B$29,IF(Skills!C17=3,120+Inputs!$B$27+Inputs!$B$29,MAX(0,(Inputs!$B$3-100)*3)+Inputs!$B$28+Inputs!$B$29)))</f>
        <v/>
      </c>
      <c r="E1184">
        <f>INDEX(FactorTable!$B$2:$Y$301, MATCH(ROUND(MIN(300,MAX(1,D1184)),0), FactorTable!$A$2:$A$301,0), Skills!M17+1)</f>
        <v/>
      </c>
      <c r="F1184">
        <f>IF(Skills!N17=TRUE,(Skills!L17/10)*(E1184/1000),Skills!L17/10)+Skills!O17</f>
        <v/>
      </c>
      <c r="G1184">
        <f>Skills!G17*IF(Skills!H17&gt;0,Skills!I17/Skills!H17,1)</f>
        <v/>
      </c>
      <c r="H1184">
        <f>1-(1-Skills!J17/100)^Skills!K17</f>
        <v/>
      </c>
      <c r="I1184" t="inlineStr">
        <is>
          <t>1</t>
        </is>
      </c>
      <c r="J1184" t="inlineStr"/>
      <c r="K1184" t="inlineStr"/>
      <c r="L1184" t="inlineStr"/>
      <c r="M1184" t="inlineStr"/>
      <c r="N1184" t="inlineStr"/>
      <c r="O1184">
        <f>(1-Summary!$B$55)*T1184+Summary!$B$55*V1184</f>
        <v/>
      </c>
      <c r="P1184">
        <f>IF(B1204=0,0,O1184/B1204)</f>
        <v/>
      </c>
      <c r="Q1184">
        <f>IFERROR(1/IF(Inputs!$B$38="pvp",15,MAX(0.1,Skills!D17-IF(Skills!E17=TRUE,1.5,0))),0)</f>
        <v/>
      </c>
      <c r="R1184">
        <f>IF(AND(Inputs!$B$38&lt;&gt;"pvp",Inputs!$B$43&gt;0),IF(Inputs!$B$43&lt;=0,0,(INT(Inputs!$B$43/IF(Inputs!$B$38="pvp",15,MAX(0.1,Skills!D17-IF(Skills!E17=TRUE,1.5,0))))+1)),0)</f>
        <v/>
      </c>
      <c r="S1184">
        <f>IFERROR(O1184/N1184,0)</f>
        <v/>
      </c>
      <c r="T1184" t="n">
        <v>0</v>
      </c>
      <c r="V1184" t="n">
        <v>0</v>
      </c>
    </row>
    <row r="1185">
      <c r="A1185">
        <f>Skills!A18</f>
        <v/>
      </c>
      <c r="B1185">
        <f>Skills!B18</f>
        <v/>
      </c>
      <c r="C1185">
        <f>Inputs!$B$3&gt;=74</f>
        <v/>
      </c>
      <c r="D1185">
        <f>IF(Skills!C18=1,60+Inputs!$B$25+Inputs!$B$29,IF(Skills!C18=2,90+Inputs!$B$26+Inputs!$B$29,IF(Skills!C18=3,120+Inputs!$B$27+Inputs!$B$29,MAX(0,(Inputs!$B$3-100)*3)+Inputs!$B$28+Inputs!$B$29)))</f>
        <v/>
      </c>
      <c r="E1185">
        <f>INDEX(FactorTable!$B$2:$Y$301, MATCH(ROUND(MIN(300,MAX(1,D1185)),0), FactorTable!$A$2:$A$301,0), Skills!M18+1)</f>
        <v/>
      </c>
      <c r="F1185">
        <f>IF(Skills!N18=TRUE,(Skills!L18/10)*(E1185/1000),Skills!L18/10)+Skills!O18</f>
        <v/>
      </c>
      <c r="G1185">
        <f>Skills!G18*IF(Skills!H18&gt;0,Skills!I18/Skills!H18,1)</f>
        <v/>
      </c>
      <c r="H1185">
        <f>1-(1-Skills!J18/100)^Skills!K18</f>
        <v/>
      </c>
      <c r="I1185" t="inlineStr">
        <is>
          <t>1</t>
        </is>
      </c>
      <c r="J1185" t="inlineStr"/>
      <c r="K1185" t="inlineStr"/>
      <c r="L1185" t="inlineStr"/>
      <c r="M1185" t="inlineStr"/>
      <c r="N1185" t="inlineStr"/>
      <c r="O1185">
        <f>(1-Summary!$B$55)*T1185+Summary!$B$55*V1185</f>
        <v/>
      </c>
      <c r="P1185">
        <f>IF(B1204=0,0,O1185/B1204)</f>
        <v/>
      </c>
      <c r="Q1185">
        <f>IFERROR(1/IF(Inputs!$B$38="pvp",15,MAX(0.1,Skills!D18-IF(Skills!E18=TRUE,1.5,0))),0)</f>
        <v/>
      </c>
      <c r="R1185">
        <f>IF(AND(Inputs!$B$38&lt;&gt;"pvp",Inputs!$B$43&gt;0),IF(Inputs!$B$43&lt;=0,0,(INT(Inputs!$B$43/IF(Inputs!$B$38="pvp",15,MAX(0.1,Skills!D18-IF(Skills!E18=TRUE,1.5,0))))+1)),0)</f>
        <v/>
      </c>
      <c r="S1185">
        <f>IFERROR(O1185/N1185,0)</f>
        <v/>
      </c>
      <c r="T1185" t="n">
        <v>0</v>
      </c>
      <c r="V1185" t="n">
        <v>0</v>
      </c>
    </row>
    <row r="1186">
      <c r="A1186">
        <f>Skills!A19</f>
        <v/>
      </c>
      <c r="B1186">
        <f>Skills!B19</f>
        <v/>
      </c>
      <c r="C1186">
        <f>TRUE</f>
        <v/>
      </c>
      <c r="D1186">
        <f>IF(Skills!C19=1,60+Inputs!$B$25+Inputs!$B$29,IF(Skills!C19=2,90+Inputs!$B$26+Inputs!$B$29,IF(Skills!C19=3,120+Inputs!$B$27+Inputs!$B$29,MAX(0,(Inputs!$B$3-100)*3)+Inputs!$B$28+Inputs!$B$29)))</f>
        <v/>
      </c>
      <c r="E1186">
        <f>INDEX(FactorTable!$B$2:$Y$301, MATCH(ROUND(MIN(300,MAX(1,D1186)),0), FactorTable!$A$2:$A$301,0), Skills!M19+1)</f>
        <v/>
      </c>
      <c r="F1186">
        <f>IF(Skills!N19=TRUE,(Skills!L19/10)*(E1186/1000),Skills!L19/10)+Skills!O19</f>
        <v/>
      </c>
      <c r="G1186">
        <f>Skills!G19*IF(Skills!H19&gt;0,Skills!I19/Skills!H19,1)</f>
        <v/>
      </c>
      <c r="H1186">
        <f>1-(1-Skills!J19/100)^Skills!K19</f>
        <v/>
      </c>
      <c r="I1186" t="inlineStr">
        <is>
          <t>1</t>
        </is>
      </c>
      <c r="J1186" t="inlineStr"/>
      <c r="K1186" t="inlineStr"/>
      <c r="L1186" t="inlineStr"/>
      <c r="M1186" t="inlineStr"/>
      <c r="N1186" t="inlineStr"/>
      <c r="O1186">
        <f>(1-Summary!$B$55)*T1186+Summary!$B$55*V1186</f>
        <v/>
      </c>
      <c r="P1186">
        <f>IF(B1204=0,0,O1186/B1204)</f>
        <v/>
      </c>
      <c r="Q1186">
        <f>IFERROR(1/IF(Inputs!$B$38="pvp",15,MAX(0.1,Skills!D19-IF(Skills!E19=TRUE,1.5,0))),0)</f>
        <v/>
      </c>
      <c r="R1186">
        <f>IF(AND(Inputs!$B$38&lt;&gt;"pvp",Inputs!$B$43&gt;0),IF(Inputs!$B$43&lt;=0,0,(INT(Inputs!$B$43/IF(Inputs!$B$38="pvp",15,MAX(0.1,Skills!D19-IF(Skills!E19=TRUE,1.5,0))))+1)),0)</f>
        <v/>
      </c>
      <c r="S1186">
        <f>IFERROR(O1186/N1186,0)</f>
        <v/>
      </c>
      <c r="T1186" t="n">
        <v>0</v>
      </c>
      <c r="V1186" t="n">
        <v>0</v>
      </c>
    </row>
    <row r="1187">
      <c r="A1187">
        <f>Skills!A20</f>
        <v/>
      </c>
      <c r="B1187">
        <f>Skills!B20</f>
        <v/>
      </c>
      <c r="C1187">
        <f>Inputs!$B$3&gt;=33</f>
        <v/>
      </c>
      <c r="D1187">
        <f>IF(Skills!C20=1,60+Inputs!$B$25+Inputs!$B$29,IF(Skills!C20=2,90+Inputs!$B$26+Inputs!$B$29,IF(Skills!C20=3,120+Inputs!$B$27+Inputs!$B$29,MAX(0,(Inputs!$B$3-100)*3)+Inputs!$B$28+Inputs!$B$29)))</f>
        <v/>
      </c>
      <c r="E1187">
        <f>INDEX(FactorTable!$B$2:$Y$301, MATCH(ROUND(MIN(300,MAX(1,D1187)),0), FactorTable!$A$2:$A$301,0), Skills!M20+1)</f>
        <v/>
      </c>
      <c r="F1187">
        <f>IF(Skills!N20=TRUE,(Skills!L20/10)*(E1187/1000),Skills!L20/10)+Skills!O20</f>
        <v/>
      </c>
      <c r="G1187">
        <f>Skills!G20*IF(Skills!H20&gt;0,Skills!I20/Skills!H20,1)</f>
        <v/>
      </c>
      <c r="H1187">
        <f>1-(1-Skills!J20/100)^Skills!K20</f>
        <v/>
      </c>
      <c r="I1187" t="inlineStr">
        <is>
          <t>1</t>
        </is>
      </c>
      <c r="J1187" t="inlineStr"/>
      <c r="K1187" t="inlineStr"/>
      <c r="L1187" t="inlineStr"/>
      <c r="M1187" t="inlineStr"/>
      <c r="N1187" t="inlineStr"/>
      <c r="O1187">
        <f>(1-Summary!$B$55)*T1187+Summary!$B$55*V1187</f>
        <v/>
      </c>
      <c r="P1187">
        <f>IF(B1204=0,0,O1187/B1204)</f>
        <v/>
      </c>
      <c r="Q1187" t="n">
        <v>0</v>
      </c>
      <c r="R1187" t="n">
        <v>0</v>
      </c>
      <c r="S1187">
        <f>IFERROR(O1187/N1187,0)</f>
        <v/>
      </c>
      <c r="T1187" t="n">
        <v>0</v>
      </c>
      <c r="V1187" t="n">
        <v>0</v>
      </c>
    </row>
    <row r="1188">
      <c r="A1188">
        <f>Skills!A21</f>
        <v/>
      </c>
      <c r="B1188">
        <f>Skills!B21</f>
        <v/>
      </c>
      <c r="C1188">
        <f>Inputs!$B$3&gt;=38</f>
        <v/>
      </c>
      <c r="D1188">
        <f>IF(Skills!C21=1,60+Inputs!$B$25+Inputs!$B$29,IF(Skills!C21=2,90+Inputs!$B$26+Inputs!$B$29,IF(Skills!C21=3,120+Inputs!$B$27+Inputs!$B$29,MAX(0,(Inputs!$B$3-100)*3)+Inputs!$B$28+Inputs!$B$29)))</f>
        <v/>
      </c>
      <c r="E1188">
        <f>INDEX(FactorTable!$B$2:$Y$301, MATCH(ROUND(MIN(300,MAX(1,D1188)),0), FactorTable!$A$2:$A$301,0), Skills!M21+1)</f>
        <v/>
      </c>
      <c r="F1188">
        <f>IF(Skills!N21=TRUE,(Skills!L21/10)*(E1188/1000),Skills!L21/10)+Skills!O21</f>
        <v/>
      </c>
      <c r="G1188">
        <f>Skills!G21*IF(Skills!H21&gt;0,Skills!I21/Skills!H21,1)</f>
        <v/>
      </c>
      <c r="H1188">
        <f>1-(1-Skills!J21/100)^Skills!K21</f>
        <v/>
      </c>
      <c r="I1188" t="inlineStr">
        <is>
          <t>1</t>
        </is>
      </c>
      <c r="J1188" t="inlineStr"/>
      <c r="K1188" t="inlineStr"/>
      <c r="L1188" t="inlineStr"/>
      <c r="M1188" t="inlineStr"/>
      <c r="N1188" t="inlineStr"/>
      <c r="O1188">
        <f>(1-Summary!$B$55)*T1188+Summary!$B$55*V1188</f>
        <v/>
      </c>
      <c r="P1188">
        <f>IF(B1204=0,0,O1188/B1204)</f>
        <v/>
      </c>
      <c r="Q1188" t="n">
        <v>0</v>
      </c>
      <c r="R1188" t="n">
        <v>0</v>
      </c>
      <c r="S1188">
        <f>IFERROR(O1188/N1188,0)</f>
        <v/>
      </c>
      <c r="T1188" t="n">
        <v>0</v>
      </c>
      <c r="V1188" t="n">
        <v>0</v>
      </c>
    </row>
    <row r="1189">
      <c r="A1189">
        <f>Skills!A22</f>
        <v/>
      </c>
      <c r="B1189">
        <f>Skills!B22</f>
        <v/>
      </c>
      <c r="C1189">
        <f>Inputs!$B$3&gt;=43</f>
        <v/>
      </c>
      <c r="D1189">
        <f>IF(Skills!C22=1,60+Inputs!$B$25+Inputs!$B$29,IF(Skills!C22=2,90+Inputs!$B$26+Inputs!$B$29,IF(Skills!C22=3,120+Inputs!$B$27+Inputs!$B$29,MAX(0,(Inputs!$B$3-100)*3)+Inputs!$B$28+Inputs!$B$29)))</f>
        <v/>
      </c>
      <c r="E1189">
        <f>INDEX(FactorTable!$B$2:$Y$301, MATCH(ROUND(MIN(300,MAX(1,D1189)),0), FactorTable!$A$2:$A$301,0), Skills!M22+1)</f>
        <v/>
      </c>
      <c r="F1189">
        <f>IF(Skills!N22=TRUE,(Skills!L22/10)*(E1189/1000),Skills!L22/10)+Skills!O22</f>
        <v/>
      </c>
      <c r="G1189">
        <f>Skills!G22*IF(Skills!H22&gt;0,Skills!I22/Skills!H22,1)</f>
        <v/>
      </c>
      <c r="H1189">
        <f>1-(1-Skills!J22/100)^Skills!K22</f>
        <v/>
      </c>
      <c r="I1189" t="inlineStr">
        <is>
          <t>1</t>
        </is>
      </c>
      <c r="J1189" t="inlineStr"/>
      <c r="K1189" t="inlineStr"/>
      <c r="L1189" t="inlineStr"/>
      <c r="M1189" t="inlineStr"/>
      <c r="N1189" t="inlineStr"/>
      <c r="O1189">
        <f>(1-Summary!$B$55)*T1189+Summary!$B$55*V1189</f>
        <v/>
      </c>
      <c r="P1189">
        <f>IF(B1204=0,0,O1189/B1204)</f>
        <v/>
      </c>
      <c r="Q1189" t="n">
        <v>0</v>
      </c>
      <c r="R1189" t="n">
        <v>0</v>
      </c>
      <c r="S1189">
        <f>IFERROR(O1189/N1189,0)</f>
        <v/>
      </c>
      <c r="T1189" t="n">
        <v>0</v>
      </c>
      <c r="V1189" t="n">
        <v>0</v>
      </c>
    </row>
    <row r="1190">
      <c r="A1190">
        <f>Skills!A23</f>
        <v/>
      </c>
      <c r="B1190">
        <f>Skills!B23</f>
        <v/>
      </c>
      <c r="C1190">
        <f>Inputs!$B$3&gt;=120</f>
        <v/>
      </c>
      <c r="D1190">
        <f>IF(Skills!C23=1,60+Inputs!$B$25+Inputs!$B$29,IF(Skills!C23=2,90+Inputs!$B$26+Inputs!$B$29,IF(Skills!C23=3,120+Inputs!$B$27+Inputs!$B$29,MAX(0,(Inputs!$B$3-100)*3)+Inputs!$B$28+Inputs!$B$29)))</f>
        <v/>
      </c>
      <c r="E1190">
        <f>INDEX(FactorTable!$B$2:$Y$301, MATCH(ROUND(MIN(300,MAX(1,D1190)),0), FactorTable!$A$2:$A$301,0), Skills!M23+1)</f>
        <v/>
      </c>
      <c r="F1190">
        <f>IF(Skills!N23=TRUE,(Skills!L23/10)*(E1190/1000),Skills!L23/10)+Skills!O23</f>
        <v/>
      </c>
      <c r="G1190">
        <f>Skills!G23*IF(Skills!H23&gt;0,Skills!I23/Skills!H23,1)</f>
        <v/>
      </c>
      <c r="H1190">
        <f>1-(1-Skills!J23/100)^Skills!K23</f>
        <v/>
      </c>
      <c r="I1190" t="inlineStr">
        <is>
          <t>1</t>
        </is>
      </c>
      <c r="J1190" t="inlineStr"/>
      <c r="K1190" t="inlineStr"/>
      <c r="L1190" t="inlineStr"/>
      <c r="M1190" t="inlineStr"/>
      <c r="N1190" t="inlineStr"/>
      <c r="O1190">
        <f>(1-Summary!$B$55)*T1190+Summary!$B$55*V1190</f>
        <v/>
      </c>
      <c r="P1190">
        <f>IF(B1204=0,0,O1190/B1204)</f>
        <v/>
      </c>
      <c r="Q1190" t="n">
        <v>0</v>
      </c>
      <c r="R1190" t="n">
        <v>0</v>
      </c>
      <c r="S1190">
        <f>IFERROR(O1190/N1190,0)</f>
        <v/>
      </c>
      <c r="T1190" t="n">
        <v>0</v>
      </c>
      <c r="V1190" t="n">
        <v>0</v>
      </c>
    </row>
    <row r="1191">
      <c r="A1191">
        <f>Skills!A24</f>
        <v/>
      </c>
      <c r="B1191">
        <f>Skills!B24</f>
        <v/>
      </c>
      <c r="C1191">
        <f>Inputs!$B$3&gt;=120</f>
        <v/>
      </c>
      <c r="D1191">
        <f>IF(Skills!C24=1,60+Inputs!$B$25+Inputs!$B$29,IF(Skills!C24=2,90+Inputs!$B$26+Inputs!$B$29,IF(Skills!C24=3,120+Inputs!$B$27+Inputs!$B$29,MAX(0,(Inputs!$B$3-100)*3)+Inputs!$B$28+Inputs!$B$29)))</f>
        <v/>
      </c>
      <c r="E1191">
        <f>INDEX(FactorTable!$B$2:$Y$301, MATCH(ROUND(MIN(300,MAX(1,D1191)),0), FactorTable!$A$2:$A$301,0), Skills!M24+1)</f>
        <v/>
      </c>
      <c r="F1191">
        <f>IF(Skills!N24=TRUE,(Skills!L24/10)*(E1191/1000),Skills!L24/10)+Skills!O24</f>
        <v/>
      </c>
      <c r="G1191">
        <f>Skills!G24*IF(Skills!H24&gt;0,Skills!I24/Skills!H24,1)</f>
        <v/>
      </c>
      <c r="H1191">
        <f>1-(1-Skills!J24/100)^Skills!K24</f>
        <v/>
      </c>
      <c r="I1191" t="inlineStr">
        <is>
          <t>1</t>
        </is>
      </c>
      <c r="J1191" t="inlineStr"/>
      <c r="K1191" t="inlineStr"/>
      <c r="L1191" t="inlineStr"/>
      <c r="M1191" t="inlineStr"/>
      <c r="N1191" t="inlineStr"/>
      <c r="O1191">
        <f>(1-Summary!$B$55)*T1191+Summary!$B$55*V1191</f>
        <v/>
      </c>
      <c r="P1191">
        <f>IF(B1204=0,0,O1191/B1204)</f>
        <v/>
      </c>
      <c r="Q1191" t="n">
        <v>0</v>
      </c>
      <c r="R1191" t="n">
        <v>0</v>
      </c>
      <c r="S1191">
        <f>IFERROR(O1191/N1191,0)</f>
        <v/>
      </c>
      <c r="T1191" t="n">
        <v>0</v>
      </c>
      <c r="V1191" t="n">
        <v>0</v>
      </c>
    </row>
    <row r="1193">
      <c r="A1193" t="inlineStr">
        <is>
          <t>Attack% Bucket Multiplier</t>
        </is>
      </c>
      <c r="B1193">
        <f>(1+(((C1180=TRUE)*F1180*MIN(1,Skills!T13*(Skills!J13/100)*B1198))+((C1185=TRUE)*F1185*IF(AND(Inputs!$B$38&lt;&gt;"pvp",Inputs!$B$43&gt;0),(((R1185-1)*(Skills!T18*(1+Inputs!$B$34/100))+MIN((Skills!T18*(1+Inputs!$B$34/100)),MAX(0,Inputs!$B$43-((R1185-1)*Skills!D18))))/Inputs!$B$43),IF(Inputs!$B$38="pvp",MIN((Skills!T18*(1+Inputs!$B$34/100)),15)/15,(Skills!T18*(1+Inputs!$B$34/100))/Skills!D18)))+0)/100)</f>
        <v/>
      </c>
    </row>
    <row r="1194">
      <c r="A1194" t="inlineStr">
        <is>
          <t>Global Crit Rate Bonus %</t>
        </is>
      </c>
      <c r="B1194" t="n">
        <v>0</v>
      </c>
    </row>
    <row r="1195">
      <c r="A1195" t="inlineStr">
        <is>
          <t>Attack Speed Buff Bonus %</t>
        </is>
      </c>
      <c r="B1195">
        <f>((C1186=TRUE)*F1186*IF(AND(Inputs!$B$38&lt;&gt;"pvp",Inputs!$B$43&gt;0),(((R1186-1)*(Skills!T19*(1+Inputs!$B$34/100))+MIN((Skills!T19*(1+Inputs!$B$34/100)),MAX(0,Inputs!$B$43-((R1186-1)*Skills!D19))))/Inputs!$B$43),IF(Inputs!$B$38="pvp",MIN((Skills!T19*(1+Inputs!$B$34/100)),15)/15,(Skills!T19*(1+Inputs!$B$34/100))/Skills!D19)))</f>
        <v/>
      </c>
    </row>
    <row r="1196">
      <c r="A1196" t="inlineStr">
        <is>
          <t>Actions Per Second</t>
        </is>
      </c>
      <c r="B1196">
        <f>1+MIN(150,150*(1-(1-(Inputs!$B$11+((C1187=TRUE)*(F1187-Calc!F20)))/150)*(1-B1195/150)))/100</f>
        <v/>
      </c>
    </row>
    <row r="1197">
      <c r="A1197" t="inlineStr">
        <is>
          <t>Skill + Buff Cast Rate</t>
        </is>
      </c>
      <c r="B1197">
        <f>IF(AND(Inputs!$B$38&lt;&gt;"pvp",Inputs!$B$43&gt;0),SUMPRODUCT((Skills!E2:E24=TRUE)*(C1169:C1191=TRUE)*R1169:R1191*Skills!F2:F24)/Inputs!$B$43,SUMPRODUCT((Skills!E2:E24=TRUE)*(C1169:C1191=TRUE)*Q1169:Q1191*Skills!F2:F24))</f>
        <v/>
      </c>
    </row>
    <row r="1198">
      <c r="A1198" t="inlineStr">
        <is>
          <t>Blast Casts Per Second</t>
        </is>
      </c>
      <c r="B1198">
        <f>MAX(0,B1196-B1197)</f>
        <v/>
      </c>
    </row>
    <row r="1199">
      <c r="A1199" t="inlineStr">
        <is>
          <t>Global Critical Damage Bonus % (unused)</t>
        </is>
      </c>
      <c r="B1199" t="n">
        <v>0</v>
      </c>
    </row>
    <row r="1200">
      <c r="A1200" t="inlineStr">
        <is>
          <t>Global Final Damage Bonus % (Divine Shield + Guardian + Divine Blessing + Greater Vessel of Light)</t>
        </is>
      </c>
      <c r="B1200">
        <f>((C1182=TRUE)*F1182*IF(AND(Inputs!$B$38&lt;&gt;"pvp",Inputs!$B$43&gt;0),(((R1182-1)*(Skills!T15*(1+Inputs!$B$34/100))+MIN((Skills!T15*(1+Inputs!$B$34/100)),MAX(0,Inputs!$B$43-((R1182-1)*Skills!D15))))/Inputs!$B$43),IF(Inputs!$B$38="pvp",MIN((Skills!T15*(1+Inputs!$B$34/100)),15)/15,(Skills!T15*(1+Inputs!$B$34/100))/Skills!D15)))+((C1183=TRUE)*F1183*IF(AND(Inputs!$B$38&lt;&gt;"pvp",Inputs!$B$43&gt;0),(((R1183-1)*(Skills!T16*(1+Inputs!$B$34/100))+MIN((Skills!T16*(1+Inputs!$B$34/100)),MAX(0,Inputs!$B$43-((R1183-1)*Skills!D16))))/Inputs!$B$43),IF(Inputs!$B$38="pvp",MIN((Skills!T16*(1+Inputs!$B$34/100)),15)/15,(Skills!T16*(1+Inputs!$B$34/100))/Skills!D16)))+((C1184=TRUE)*F1184*IF(AND(Inputs!$B$38&lt;&gt;"pvp",Inputs!$B$43&gt;0),(((R1184-1)*(Skills!T17*(1+Inputs!$B$34/100))+MIN((Skills!T17*(1+Inputs!$B$34/100)),MAX(0,Inputs!$B$43-((R1184-1)*Skills!D17))))/Inputs!$B$43),IF(Inputs!$B$38="pvp",MIN((Skills!T17*(1+Inputs!$B$34/100)),15)/15,(Skills!T17*(1+Inputs!$B$34/100))/Skills!D17)))+((C1181=TRUE)*F1181*MIN(1,Skills!T13*(Skills!J13/100)*B1198))</f>
        <v/>
      </c>
    </row>
    <row r="1201">
      <c r="A1201" t="inlineStr">
        <is>
          <t>Buff-Casting Startup Delay (s, fixed-duration only)</t>
        </is>
      </c>
      <c r="B1201">
        <f>IF(AND(Inputs!$B$38&lt;&gt;"pvp",Inputs!$B$43&gt;0),SUMPRODUCT((Skills!T2:T24&gt;0)*(Skills!E2:E24=TRUE)*(C1169:C1191=TRUE))/B1196,0)</f>
        <v/>
      </c>
    </row>
    <row r="1202">
      <c r="A1202" t="inlineStr">
        <is>
          <t>Boss-Only Total DPS (this block's swept value)</t>
        </is>
      </c>
      <c r="B1202">
        <f>SUM(T1169:T1191)</f>
        <v/>
      </c>
    </row>
    <row r="1203">
      <c r="A1203" t="inlineStr">
        <is>
          <t>Normal-Only Total DPS (this block's swept value)</t>
        </is>
      </c>
      <c r="B1203">
        <f>SUM(V1169:V1191)</f>
        <v/>
      </c>
    </row>
    <row r="1204">
      <c r="A1204" s="5" t="inlineStr">
        <is>
          <t>TOTAL DPS</t>
        </is>
      </c>
      <c r="B1204" s="5">
        <f>SUM(O1169:O1191)</f>
        <v/>
      </c>
    </row>
    <row r="1207">
      <c r="A1207" s="5" t="inlineStr">
        <is>
          <t>Stat: CDR = 2.0s</t>
        </is>
      </c>
    </row>
    <row r="1208">
      <c r="A1208" s="9" t="inlineStr">
        <is>
          <t>Key</t>
        </is>
      </c>
      <c r="B1208" s="9" t="inlineStr">
        <is>
          <t>Name</t>
        </is>
      </c>
      <c r="C1208" s="9" t="inlineStr">
        <is>
          <t>Unlocked</t>
        </is>
      </c>
      <c r="D1208" s="9" t="inlineStr">
        <is>
          <t>InputLevel</t>
        </is>
      </c>
      <c r="E1208" s="9" t="inlineStr">
        <is>
          <t>Factor</t>
        </is>
      </c>
      <c r="F1208" s="9" t="inlineStr">
        <is>
          <t>CoefficientPercent</t>
        </is>
      </c>
      <c r="G1208" s="9" t="inlineStr">
        <is>
          <t>EffectiveHits</t>
        </is>
      </c>
      <c r="H1208" s="9" t="inlineStr">
        <is>
          <t>ProcProbability</t>
        </is>
      </c>
      <c r="I1208" s="9" t="inlineStr">
        <is>
          <t>MapleHeroMultiplier</t>
        </is>
      </c>
      <c r="J1208" s="9" t="inlineStr">
        <is>
          <t>BaseDamage</t>
        </is>
      </c>
      <c r="K1208" s="9" t="inlineStr">
        <is>
          <t>BaseHitDamage</t>
        </is>
      </c>
      <c r="L1208" s="9" t="inlineStr">
        <is>
          <t>NonCritAvg</t>
        </is>
      </c>
      <c r="M1208" s="9" t="inlineStr">
        <is>
          <t>CritAvg</t>
        </is>
      </c>
      <c r="N1208" s="9" t="inlineStr">
        <is>
          <t>ExpectedDamage(perHit)</t>
        </is>
      </c>
      <c r="O1208" s="9" t="inlineStr">
        <is>
          <t>DPS</t>
        </is>
      </c>
      <c r="P1208" s="9" t="inlineStr">
        <is>
          <t>% of Total</t>
        </is>
      </c>
      <c r="Q1208" s="9" t="inlineStr">
        <is>
          <t>InvCooldown</t>
        </is>
      </c>
      <c r="R1208" s="9" t="inlineStr">
        <is>
          <t>CastsInFight</t>
        </is>
      </c>
      <c r="S1208" s="9"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((Inputs!$B$6*(1+Inputs!$B$7/100))+(((Inputs!$B$12*(1+Inputs!$B$13/100))-(Inputs!$B$12*(1+Inputs!$B$13/100)))+0.25*(Inputs!$B$14-Inputs!$B$14))*(1+Inputs!$B$7/100))*(F1209/100)</f>
        <v/>
      </c>
      <c r="K1209">
        <f>J1209*(1+((Inputs!$B$12*(1+Inputs!$B$13/100))*0.01+Inputs!$B$14*0.0025)/100)*(1+Inputs!$B$15/100)*(1+Inputs!$B$16/100)*(5000/(6000+Inputs!$B$42*(1-(Inputs!$B$19+0)/100)))*(1+(Inputs!$B$24+0+B1240)/100)*(1+(IF(Skills!A2="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1209)</f>
        <v/>
      </c>
      <c r="L1209">
        <f>K1209*(MIN(Inputs!$B$22+((C1229=TRUE)*(F1229-Calc!F22)),Inputs!$B$23+((C1231=TRUE)*(F1231-Calc!F24)))/100+(Inputs!$B$23+((C1231=TRUE)*(F1231-Calc!F24)))/100)/2</f>
        <v/>
      </c>
      <c r="M1209">
        <f>L1209*(1+(Inputs!$B$10+0+B1239)/100)</f>
        <v/>
      </c>
      <c r="N1209">
        <f>L1209*(1-MIN((Inputs!$B$9+0+B1234),100)/100)+M1209*(MIN((Inputs!$B$9+0+B1234),100)/100)</f>
        <v/>
      </c>
      <c r="O1209">
        <f>(1-Summary!$B$55)*T1209+Summary!$B$55*V1209</f>
        <v/>
      </c>
      <c r="P1209">
        <f>IF(B1244=0,0,O1209/B1244)</f>
        <v/>
      </c>
      <c r="Q1209" t="n">
        <v>0</v>
      </c>
      <c r="R1209" t="n">
        <v>0</v>
      </c>
      <c r="S1209">
        <f>IFERROR(O1209/N1209,0)</f>
        <v/>
      </c>
      <c r="T1209">
        <f>IF(C1209,(Skills!G2*N1209*B1238)*IF(Inputs!$B$38="pvp",1,1+(Inputs!$B$20+0+Skills!P2)/100),0)</f>
        <v/>
      </c>
      <c r="U1209">
        <f>MAX(0,(Inputs!$B$3-100)*3)+Inputs!$B$28+Inputs!$B$29</f>
        <v/>
      </c>
      <c r="V1209">
        <f>IF(C1209,(Skills!G2*N1209*B1238)*IF(Inputs!$B$38="pvp",1,(1+(Inputs!$B$21+Skills!Q2)/100)*(MIN((6+Inputs!$B$33),Inputs!$B$37))),0)</f>
        <v/>
      </c>
    </row>
    <row r="1210">
      <c r="A1210">
        <f>Skills!A3</f>
        <v/>
      </c>
      <c r="B1210">
        <f>Skills!B3</f>
        <v/>
      </c>
      <c r="C1210">
        <f>Inputs!$B$3&gt;=50</f>
        <v/>
      </c>
      <c r="D1210">
        <f>IF(Skills!C3=1,60+Inputs!$B$25+Inputs!$B$29,IF(Skills!C3=2,90+Inputs!$B$26+Inputs!$B$29,IF(Skills!C3=3,120+Inputs!$B$27+Inputs!$B$29,MAX(0,(Inputs!$B$3-100)*3)+Inputs!$B$28+Inputs!$B$29)))</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Inputs!$B$3&gt;=35</f>
        <v/>
      </c>
      <c r="D1211">
        <f>IF(Skills!C4=1,60+Inputs!$B$25+Inputs!$B$29,IF(Skills!C4=2,90+Inputs!$B$26+Inputs!$B$29,IF(Skills!C4=3,120+Inputs!$B$27+Inputs!$B$29,MAX(0,(Inputs!$B$3-100)*3)+Inputs!$B$28+Inputs!$B$29)))</f>
        <v/>
      </c>
      <c r="E1211">
        <f>INDEX(FactorTable!$B$2:$Y$301, MATCH(ROUND(MIN(300,MAX(1,D1211)),0), FactorTable!$A$2:$A$301,0), Skills!M4+1)</f>
        <v/>
      </c>
      <c r="F1211">
        <f>IF(Skills!N4=TRUE,(Skills!L4/10)*(E1211/1000),Skills!L4/10)+Skills!O4</f>
        <v/>
      </c>
      <c r="G1211">
        <f>Skills!G4*IF(Skills!H4&gt;0,Skills!I4/Skills!H4,1)</f>
        <v/>
      </c>
      <c r="H1211">
        <f>1-(1-Skills!J4/100)^Skills!K4</f>
        <v/>
      </c>
      <c r="I1211" t="inlineStr">
        <is>
          <t>1</t>
        </is>
      </c>
      <c r="J1211">
        <f>((Inputs!$B$6*(1+Inputs!$B$7/100))+(((Inputs!$B$12*(1+Inputs!$B$13/100))-(Inputs!$B$12*(1+Inputs!$B$13/100)))+0.25*(Inputs!$B$14-Inputs!$B$14))*(1+Inputs!$B$7/100))*(F1211/100)</f>
        <v/>
      </c>
      <c r="K1211">
        <f>J1211*(1+((Inputs!$B$12*(1+Inputs!$B$13/100))*0.01+Inputs!$B$14*0.0025)/100)*(1+Inputs!$B$15/100)*(1+Inputs!$B$16/100)*(5000/(6000+Inputs!$B$42*(1-(Inputs!$B$19+0)/100)))*(1+(Inputs!$B$24+0+B1240)/100)*(1+4.0*IF(C1219=TRUE,F1219,0)/100)*(1+(IF(Skills!A4="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1211)</f>
        <v/>
      </c>
      <c r="L1211">
        <f>K1211*(MIN(Inputs!$B$22+((C1229=TRUE)*(F1229-Calc!F22)),Inputs!$B$23+((C1231=TRUE)*(F1231-Calc!F24)))/100+(Inputs!$B$23+((C1231=TRUE)*(F1231-Calc!F24)))/100)/2</f>
        <v/>
      </c>
      <c r="M1211">
        <f>L1211*(1+(Inputs!$B$10+0+B1239)/100)</f>
        <v/>
      </c>
      <c r="N1211">
        <f>L1211*(1-MIN((Inputs!$B$9+0+B1234),100)/100)+M1211*(MIN((Inputs!$B$9+0+B1234),100)/100)</f>
        <v/>
      </c>
      <c r="O1211">
        <f>(1-Summary!$B$55)*T1211+Summary!$B$55*V1211</f>
        <v/>
      </c>
      <c r="P1211">
        <f>IF(B1244=0,0,O1211/B1244)</f>
        <v/>
      </c>
      <c r="Q1211">
        <f>IFERROR(1/IF(Inputs!$B$38="pvp",15,MAX(0.1,Skills!D4-IF(Skills!E4=TRUE,2.0,0))),0)</f>
        <v/>
      </c>
      <c r="R1211">
        <f>IF(AND(Inputs!$B$38&lt;&gt;"pvp",Inputs!$B$43&gt;0),IF(MAX(0,Inputs!$B$43-B1241)&lt;=0,0,(INT(MAX(0,Inputs!$B$43-B1241)/IF(Inputs!$B$38="pvp",15,MAX(0.1,Skills!D4-IF(Skills!E4=TRUE,2.0,0))))+1)),0)</f>
        <v/>
      </c>
      <c r="S1211">
        <f>IFERROR(O1211/N1211,0)</f>
        <v/>
      </c>
      <c r="T1211">
        <f>IF(C1211,(H1211*N1211*IF(AND(Inputs!$B$38&lt;&gt;"pvp",Inputs!$B$43&gt;0),((Skills!G4*((R1211-1)*IF(Skills!H4&gt;0,Skills!I4/Skills!H4,1)+IF(Skills!H4&gt;0,MIN(Skills!I4,MAX(0,MAX(0,Inputs!$B$43-B1241)-((R1211-1)*IF(Inputs!$B$38="pvp",15,MAX(0.1,Skills!D4-IF(Skills!E4=TRUE,2.0,0))))))/Skills!H4,1)))/Inputs!$B$43),G1211*Q1211))*IF(Inputs!$B$38="pvp",1,1+(Inputs!$B$20+0+Skills!P4)/100),0)</f>
        <v/>
      </c>
      <c r="U1211">
        <f>290*U1210/1000</f>
        <v/>
      </c>
      <c r="V1211">
        <f>IF(C1211,(H1211*N1211*IF(AND(Inputs!$B$38&lt;&gt;"pvp",Inputs!$B$43&gt;0),((Skills!G4*((R1211-1)*IF(Skills!H4&gt;0,Skills!I4/Skills!H4,1)+IF(Skills!H4&gt;0,MIN(Skills!I4,MAX(0,MAX(0,Inputs!$B$43-B1241)-((R1211-1)*IF(Inputs!$B$38="pvp",15,MAX(0.1,Skills!D4-IF(Skills!E4=TRUE,2.0,0))))))/Skills!H4,1)))/Inputs!$B$43),G1211*Q1211))*IF(Inputs!$B$38="pvp",1,(1+(Inputs!$B$21+Skills!Q4)/100)*(MIN(Skills!R4,Inputs!$B$37))),0)</f>
        <v/>
      </c>
    </row>
    <row r="1212">
      <c r="A1212">
        <f>Skills!A5</f>
        <v/>
      </c>
      <c r="B1212">
        <f>Skills!B5</f>
        <v/>
      </c>
      <c r="C1212">
        <f>Inputs!$B$3&gt;=66</f>
        <v/>
      </c>
      <c r="D1212">
        <f>IF(Skills!C5=1,60+Inputs!$B$25+Inputs!$B$29,IF(Skills!C5=2,90+Inputs!$B$26+Inputs!$B$29,IF(Skills!C5=3,120+Inputs!$B$27+Inputs!$B$29,MAX(0,(Inputs!$B$3-100)*3)+Inputs!$B$28+Inputs!$B$29)))</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((Inputs!$B$6*(1+Inputs!$B$7/100))+(((Inputs!$B$12*(1+Inputs!$B$13/100))-(Inputs!$B$12*(1+Inputs!$B$13/100)))+0.25*(Inputs!$B$14-Inputs!$B$14))*(1+Inputs!$B$7/100))*(F1212/100)</f>
        <v/>
      </c>
      <c r="K1212">
        <f>J1212*(1+((Inputs!$B$12*(1+Inputs!$B$13/100))*0.01+Inputs!$B$14*0.0025)/100)*(1+Inputs!$B$15/100)*(1+Inputs!$B$16/100)*(5000/(6000+Inputs!$B$42*(1-(Inputs!$B$19+0)/100)))*(1+(Inputs!$B$24+0+B1240)/100)*(1+1.0*IF(C1219=TRUE,F1219,0)/100)*(1+(IF(Skills!A5="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1212)</f>
        <v/>
      </c>
      <c r="L1212">
        <f>K1212*(MIN(Inputs!$B$22+((C1229=TRUE)*(F1229-Calc!F22)),Inputs!$B$23+((C1231=TRUE)*(F1231-Calc!F24)))/100+(Inputs!$B$23+((C1231=TRUE)*(F1231-Calc!F24)))/100)/2</f>
        <v/>
      </c>
      <c r="M1212">
        <f>L1212*(1+(Inputs!$B$10+0+B1239)/100)</f>
        <v/>
      </c>
      <c r="N1212">
        <f>L1212*(1-MIN((Inputs!$B$9+0+B1234),100)/100)+M1212*(MIN((Inputs!$B$9+0+B1234),100)/100)</f>
        <v/>
      </c>
      <c r="O1212">
        <f>(1-Summary!$B$55)*T1212+Summary!$B$55*V1212</f>
        <v/>
      </c>
      <c r="P1212">
        <f>IF(B1244=0,0,O1212/B1244)</f>
        <v/>
      </c>
      <c r="Q1212">
        <f>IFERROR(1/IF(Inputs!$B$38="pvp",15,MAX(0.1,Skills!D5-IF(Skills!E5=TRUE,2.0,0))),0)</f>
        <v/>
      </c>
      <c r="R1212">
        <f>IF(AND(Inputs!$B$38&lt;&gt;"pvp",Inputs!$B$43&gt;0),IF(MAX(0,Inputs!$B$43-B1241)&lt;=0,0,(INT(MAX(0,Inputs!$B$43-B1241)/IF(Inputs!$B$38="pvp",15,MAX(0.1,Skills!D5-IF(Skills!E5=TRUE,2.0,0))))+1)),0)</f>
        <v/>
      </c>
      <c r="S1212">
        <f>IFERROR(O1212/N1212,0)</f>
        <v/>
      </c>
      <c r="T1212">
        <f>IF(C1212,(H1212*N1212*IF(AND(Inputs!$B$38&lt;&gt;"pvp",Inputs!$B$43&gt;0),((Skills!G5*((R1212-1)*IF(Skills!H5&gt;0,Skills!I5/Skills!H5,1)+IF(Skills!H5&gt;0,MIN(Skills!I5,MAX(0,MAX(0,Inputs!$B$43-B1241)-((R1212-1)*IF(Inputs!$B$38="pvp",15,MAX(0.1,Skills!D5-IF(Skills!E5=TRUE,2.0,0))))))/Skills!H5,1)))/Inputs!$B$43),G1212*Q1212))*IF(Inputs!$B$38="pvp",1,1+(Inputs!$B$20+0+Skills!P5)/100),0)</f>
        <v/>
      </c>
      <c r="V1212">
        <f>IF(C1212,(H1212*N1212*IF(AND(Inputs!$B$38&lt;&gt;"pvp",Inputs!$B$43&gt;0),((Skills!G5*((R1212-1)*IF(Skills!H5&gt;0,Skills!I5/Skills!H5,1)+IF(Skills!H5&gt;0,MIN(Skills!I5,MAX(0,MAX(0,Inputs!$B$43-B1241)-((R1212-1)*IF(Inputs!$B$38="pvp",15,MAX(0.1,Skills!D5-IF(Skills!E5=TRUE,2.0,0))))))/Skills!H5,1)))/Inputs!$B$43),G1212*Q1212))*IF(Inputs!$B$38="pvp",1,(1+(Inputs!$B$21+Skills!Q5)/100)*(MIN(Skills!R5,Inputs!$B$37))),0)</f>
        <v/>
      </c>
    </row>
    <row r="1213">
      <c r="A1213">
        <f>Skills!A6</f>
        <v/>
      </c>
      <c r="B1213">
        <f>Skills!B6</f>
        <v/>
      </c>
      <c r="C1213">
        <f>Inputs!$B$3&gt;=103</f>
        <v/>
      </c>
      <c r="D1213">
        <f>IF(Skills!C6=1,60+Inputs!$B$25+Inputs!$B$29,IF(Skills!C6=2,90+Inputs!$B$26+Inputs!$B$29,IF(Skills!C6=3,120+Inputs!$B$27+Inputs!$B$29,MAX(0,(Inputs!$B$3-100)*3)+Inputs!$B$28+Inputs!$B$29)))</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((Inputs!$B$6*(1+Inputs!$B$7/100))+(((Inputs!$B$12*(1+Inputs!$B$13/100))-(Inputs!$B$12*(1+Inputs!$B$13/100)))+0.25*(Inputs!$B$14-Inputs!$B$14))*(1+Inputs!$B$7/100))*(F1213/100)</f>
        <v/>
      </c>
      <c r="K1213">
        <f>J1213*(1+((Inputs!$B$12*(1+Inputs!$B$13/100))*0.01+Inputs!$B$14*0.0025)/100)*(1+Inputs!$B$15/100)*(1+Inputs!$B$16/100)*(5000/(6000+Inputs!$B$42*(1-(Inputs!$B$19+0)/100)))*(1+(Inputs!$B$24+0+B1240)/100)*(1+(IF(Skills!A6="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1213)</f>
        <v/>
      </c>
      <c r="L1213">
        <f>K1213*(MIN(Inputs!$B$22+((C1229=TRUE)*(F1229-Calc!F22)),Inputs!$B$23+((C1231=TRUE)*(F1231-Calc!F24)))/100+(Inputs!$B$23+((C1231=TRUE)*(F1231-Calc!F24)))/100)/2</f>
        <v/>
      </c>
      <c r="M1213">
        <f>L1213*(1+(Inputs!$B$10+0+B1239)/100)</f>
        <v/>
      </c>
      <c r="N1213">
        <f>L1213*(1-MIN((Inputs!$B$9+0+B1234),100)/100)+M1213*(MIN((Inputs!$B$9+0+B1234),100)/100)</f>
        <v/>
      </c>
      <c r="O1213">
        <f>(1-Summary!$B$55)*T1213+Summary!$B$55*V1213</f>
        <v/>
      </c>
      <c r="P1213">
        <f>IF(B1244=0,0,O1213/B1244)</f>
        <v/>
      </c>
      <c r="Q1213">
        <f>IFERROR(1/IF(Inputs!$B$38="pvp",15,MAX(0.1,Skills!D6-IF(Skills!E6=TRUE,2.0,0))),0)</f>
        <v/>
      </c>
      <c r="R1213">
        <f>IF(AND(Inputs!$B$38&lt;&gt;"pvp",Inputs!$B$43&gt;0),IF(MAX(0,Inputs!$B$43-B1241)&lt;=0,0,(INT(MAX(0,Inputs!$B$43-B1241)/IF(Inputs!$B$38="pvp",15,MAX(0.1,Skills!D6-IF(Skills!E6=TRUE,2.0,0))))+1)),0)</f>
        <v/>
      </c>
      <c r="S1213">
        <f>IFERROR(O1213/N1213,0)</f>
        <v/>
      </c>
      <c r="T1213">
        <f>IF(C1213,(H1213*N1213*IF(AND(Inputs!$B$38&lt;&gt;"pvp",Inputs!$B$43&gt;0),((Skills!G6*((R1213-1)*IF(Skills!H6&gt;0,Skills!I6/Skills!H6,1)+IF(Skills!H6&gt;0,MIN(Skills!I6,MAX(0,MAX(0,Inputs!$B$43-B1241)-((R1213-1)*IF(Inputs!$B$38="pvp",15,MAX(0.1,Skills!D6-IF(Skills!E6=TRUE,2.0,0))))))/Skills!H6,1)))/Inputs!$B$43),G1213*Q1213))*IF(Inputs!$B$38="pvp",1,1+(Inputs!$B$20+0+Skills!P6)/100),0)</f>
        <v/>
      </c>
      <c r="V1213">
        <f>IF(C1213,(H1213*N1213*IF(AND(Inputs!$B$38&lt;&gt;"pvp",Inputs!$B$43&gt;0),((Skills!G6*((R1213-1)*IF(Skills!H6&gt;0,Skills!I6/Skills!H6,1)+IF(Skills!H6&gt;0,MIN(Skills!I6,MAX(0,MAX(0,Inputs!$B$43-B1241)-((R1213-1)*IF(Inputs!$B$38="pvp",15,MAX(0.1,Skills!D6-IF(Skills!E6=TRUE,2.0,0))))))/Skills!H6,1)))/Inputs!$B$43),G1213*Q1213))*IF(Inputs!$B$38="pvp",1,(1+(Inputs!$B$21+Skills!Q6)/100)*(MIN(Skills!R6,Inputs!$B$37))),0)</f>
        <v/>
      </c>
    </row>
    <row r="1214">
      <c r="A1214">
        <f>Skills!A7</f>
        <v/>
      </c>
      <c r="B1214">
        <f>Skills!B7</f>
        <v/>
      </c>
      <c r="C1214">
        <f>Inputs!$B$3&gt;=107</f>
        <v/>
      </c>
      <c r="D1214">
        <f>IF(Skills!C7=1,60+Inputs!$B$25+Inputs!$B$29,IF(Skills!C7=2,90+Inputs!$B$26+Inputs!$B$29,IF(Skills!C7=3,120+Inputs!$B$27+Inputs!$B$29,MAX(0,(Inputs!$B$3-100)*3)+Inputs!$B$28+Inputs!$B$29)))</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((Inputs!$B$6*(1+Inputs!$B$7/100))+(((Inputs!$B$12*(1+Inputs!$B$13/100))-(Inputs!$B$12*(1+Inputs!$B$13/100)))+0.25*(Inputs!$B$14-Inputs!$B$14))*(1+Inputs!$B$7/100))*(F1214/100)</f>
        <v/>
      </c>
      <c r="K1214">
        <f>J1214*(1+((Inputs!$B$12*(1+Inputs!$B$13/100))*0.01+Inputs!$B$14*0.0025)/100)*(1+Inputs!$B$15/100)*(1+Inputs!$B$16/100)*(5000/(6000+Inputs!$B$42*(1-(Inputs!$B$19+0)/100)))*(1+(Inputs!$B$24+0+B1240)/100)*(1+(IF(Skills!A7="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1214)</f>
        <v/>
      </c>
      <c r="L1214">
        <f>K1214*(MIN(Inputs!$B$22+((C1229=TRUE)*(F1229-Calc!F22)),Inputs!$B$23+((C1231=TRUE)*(F1231-Calc!F24)))/100+(Inputs!$B$23+((C1231=TRUE)*(F1231-Calc!F24)))/100)/2</f>
        <v/>
      </c>
      <c r="M1214">
        <f>L1214*(1+(Inputs!$B$10+0+B1239)/100)</f>
        <v/>
      </c>
      <c r="N1214">
        <f>L1214*(1-MIN((Inputs!$B$9+0+B1234),100)/100)+M1214*(MIN((Inputs!$B$9+0+B1234),100)/100)</f>
        <v/>
      </c>
      <c r="O1214">
        <f>(1-Summary!$B$55)*T1214+Summary!$B$55*V1214</f>
        <v/>
      </c>
      <c r="P1214">
        <f>IF(B1244=0,0,O1214/B1244)</f>
        <v/>
      </c>
      <c r="Q1214">
        <f>IFERROR(1/IF(Inputs!$B$38="pvp",15,MAX(0.1,Skills!D7-IF(Skills!E7=TRUE,2.0,0))),0)</f>
        <v/>
      </c>
      <c r="R1214">
        <f>IF(AND(Inputs!$B$38&lt;&gt;"pvp",Inputs!$B$43&gt;0),IF(MAX(0,Inputs!$B$43-B1241)&lt;=0,0,(INT(MAX(0,Inputs!$B$43-B1241)/IF(Inputs!$B$38="pvp",15,MAX(0.1,Skills!D7-IF(Skills!E7=TRUE,2.0,0))))+1)),0)</f>
        <v/>
      </c>
      <c r="S1214">
        <f>IFERROR(O1214/N1214,0)</f>
        <v/>
      </c>
      <c r="T1214">
        <f>IF(C1214,(H1214*N1214*IF(AND(Inputs!$B$38&lt;&gt;"pvp",Inputs!$B$43&gt;0),((Skills!G7*((R1214-1)*IF(Skills!H7&gt;0,Skills!I7/Skills!H7,1)+IF(Skills!H7&gt;0,MIN(Skills!I7,MAX(0,MAX(0,Inputs!$B$43-B1241)-((R1214-1)*IF(Inputs!$B$38="pvp",15,MAX(0.1,Skills!D7-IF(Skills!E7=TRUE,2.0,0))))))/Skills!H7,1)))/Inputs!$B$43),G1214*Q1214))*IF(Inputs!$B$38="pvp",1,1+(Inputs!$B$20+0+Skills!P7)/100),0)</f>
        <v/>
      </c>
      <c r="V1214">
        <f>IF(C1214,(H1214*N1214*IF(AND(Inputs!$B$38&lt;&gt;"pvp",Inputs!$B$43&gt;0),((Skills!G7*((R1214-1)*IF(Skills!H7&gt;0,Skills!I7/Skills!H7,1)+IF(Skills!H7&gt;0,MIN(Skills!I7,MAX(0,MAX(0,Inputs!$B$43-B1241)-((R1214-1)*IF(Inputs!$B$38="pvp",15,MAX(0.1,Skills!D7-IF(Skills!E7=TRUE,2.0,0))))))/Skills!H7,1)))/Inputs!$B$43),G1214*Q1214))*IF(Inputs!$B$38="pvp",1,(1+(Inputs!$B$21+Skills!Q7)/100)*(MIN(Skills!R7,Inputs!$B$37))),0)</f>
        <v/>
      </c>
    </row>
    <row r="1215">
      <c r="A1215">
        <f>Skills!A8</f>
        <v/>
      </c>
      <c r="B1215">
        <f>Skills!B8</f>
        <v/>
      </c>
      <c r="C1215">
        <f>Inputs!$B$3&gt;=107</f>
        <v/>
      </c>
      <c r="D1215">
        <f>IF(Skills!C8=1,60+Inputs!$B$25+Inputs!$B$29,IF(Skills!C8=2,90+Inputs!$B$26+Inputs!$B$29,IF(Skills!C8=3,120+Inputs!$B$27+Inputs!$B$29,MAX(0,(Inputs!$B$3-100)*3)+Inputs!$B$28+Inputs!$B$29)))</f>
        <v/>
      </c>
      <c r="E1215">
        <f>INDEX(FactorTable!$B$2:$Y$301, MATCH(ROUND(MIN(300,MAX(1,D1215)),0), FactorTable!$A$2:$A$301,0), Skills!M8+1)</f>
        <v/>
      </c>
      <c r="F1215">
        <f>IF(Skills!N8=TRUE,(Skills!L8/10)*(E1215/1000),Skills!L8/10)+Skills!O8</f>
        <v/>
      </c>
      <c r="G1215">
        <f>Skills!G8*IF(Skills!H8&gt;0,Skills!I8/Skills!H8,1)</f>
        <v/>
      </c>
      <c r="H1215">
        <f>1-(1-Skills!J8/100)^Skills!K8</f>
        <v/>
      </c>
      <c r="I1215" t="inlineStr">
        <is>
          <t>1</t>
        </is>
      </c>
      <c r="J1215">
        <f>((Inputs!$B$6*(1+Inputs!$B$7/100))+(((Inputs!$B$12*(1+Inputs!$B$13/100))-(Inputs!$B$12*(1+Inputs!$B$13/100)))+0.25*(Inputs!$B$14-Inputs!$B$14))*(1+Inputs!$B$7/100))*(F1215/100)</f>
        <v/>
      </c>
      <c r="K1215">
        <f>J1215*(1+((Inputs!$B$12*(1+Inputs!$B$13/100))*0.01+Inputs!$B$14*0.0025)/100)*(1+Inputs!$B$15/100)*(1+Inputs!$B$16/100)*(5000/(6000+Inputs!$B$42*(1-(Inputs!$B$19+0)/100)))*(1+(Inputs!$B$24+0+B1240)/100)*(1+(IF(Skills!A8="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1215)</f>
        <v/>
      </c>
      <c r="L1215">
        <f>K1215*(MIN(Inputs!$B$22+((C1229=TRUE)*(F1229-Calc!F22)),Inputs!$B$23+((C1231=TRUE)*(F1231-Calc!F24)))/100+(Inputs!$B$23+((C1231=TRUE)*(F1231-Calc!F24)))/100)/2</f>
        <v/>
      </c>
      <c r="M1215">
        <f>L1215*(1+(Inputs!$B$10+0+B1239)/100)</f>
        <v/>
      </c>
      <c r="N1215">
        <f>L1215*(1-MIN((Inputs!$B$9+0+B1234),100)/100)+M1215*(MIN((Inputs!$B$9+0+B1234),100)/100)</f>
        <v/>
      </c>
      <c r="O1215">
        <f>(1-Summary!$B$55)*T1215+Summary!$B$55*V1215</f>
        <v/>
      </c>
      <c r="P1215">
        <f>IF(B1244=0,0,O1215/B1244)</f>
        <v/>
      </c>
      <c r="Q1215">
        <f>IFERROR(1/IF(Inputs!$B$38="pvp",15,MAX(0.1,Skills!D8-IF(Skills!E8=TRUE,2.0,0))),0)</f>
        <v/>
      </c>
      <c r="R1215">
        <f>IF(AND(Inputs!$B$38&lt;&gt;"pvp",Inputs!$B$43&gt;0),IF(MAX(0,Inputs!$B$43-B1241)&lt;=0,0,(INT(MAX(0,Inputs!$B$43-B1241)/IF(Inputs!$B$38="pvp",15,MAX(0.1,Skills!D8-IF(Skills!E8=TRUE,2.0,0))))+1)),0)</f>
        <v/>
      </c>
      <c r="S1215">
        <f>IFERROR(O1215/N1215,0)</f>
        <v/>
      </c>
      <c r="T1215">
        <f>IF(C1215,(H1215*N1215*IF(AND(Inputs!$B$38&lt;&gt;"pvp",Inputs!$B$43&gt;0),((Skills!G8*((R1215-1)*IF(Skills!H8&gt;0,Skills!I8/Skills!H8,1)+IF(Skills!H8&gt;0,MIN(Skills!I8,MAX(0,MAX(0,Inputs!$B$43-B1241)-((R1215-1)*IF(Inputs!$B$38="pvp",15,MAX(0.1,Skills!D8-IF(Skills!E8=TRUE,2.0,0))))))/Skills!H8,1)))/Inputs!$B$43),G1215*Q1215))*IF(Inputs!$B$38="pvp",1,1+(Inputs!$B$20+0+Skills!P8)/100),0)</f>
        <v/>
      </c>
      <c r="V1215">
        <f>IF(C1215,(H1215*N1215*IF(AND(Inputs!$B$38&lt;&gt;"pvp",Inputs!$B$43&gt;0),((Skills!G8*((R1215-1)*IF(Skills!H8&gt;0,Skills!I8/Skills!H8,1)+IF(Skills!H8&gt;0,MIN(Skills!I8,MAX(0,MAX(0,Inputs!$B$43-B1241)-((R1215-1)*IF(Inputs!$B$38="pvp",15,MAX(0.1,Skills!D8-IF(Skills!E8=TRUE,2.0,0))))))/Skills!H8,1)))/Inputs!$B$43),G1215*Q1215))*IF(Inputs!$B$38="pvp",1,(1+(Inputs!$B$21+Skills!Q8)/100)*(MIN(Skills!R8,Inputs!$B$37))),0)</f>
        <v/>
      </c>
    </row>
    <row r="1216">
      <c r="A1216">
        <f>Skills!A9</f>
        <v/>
      </c>
      <c r="B1216">
        <f>Skills!B9</f>
        <v/>
      </c>
      <c r="C1216">
        <f>Inputs!$B$3&gt;=125</f>
        <v/>
      </c>
      <c r="D1216">
        <f>IF(Skills!C9=1,60+Inputs!$B$25+Inputs!$B$29,IF(Skills!C9=2,90+Inputs!$B$26+Inputs!$B$29,IF(Skills!C9=3,120+Inputs!$B$27+Inputs!$B$29,MAX(0,(Inputs!$B$3-100)*3)+Inputs!$B$28+Inputs!$B$29)))</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((Inputs!$B$6*(1+Inputs!$B$7/100))+(((Inputs!$B$12*(1+Inputs!$B$13/100))-(Inputs!$B$12*(1+Inputs!$B$13/100)))+0.25*(Inputs!$B$14-Inputs!$B$14))*(1+Inputs!$B$7/100))*(F1216/100)</f>
        <v/>
      </c>
      <c r="K1216">
        <f>J1216*(1+((Inputs!$B$12*(1+Inputs!$B$13/100))*0.01+Inputs!$B$14*0.0025)/100)*(1+Inputs!$B$15/100)*(1+Inputs!$B$16/100)*(5000/(6000+Inputs!$B$42*(1-(Inputs!$B$19+0)/100)))*(1+(Inputs!$B$24+0+B1240)/100)*(1+(IF(Skills!A9="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1216)</f>
        <v/>
      </c>
      <c r="L1216">
        <f>K1216*(MIN(Inputs!$B$22+((C1229=TRUE)*(F1229-Calc!F22)),Inputs!$B$23+((C1231=TRUE)*(F1231-Calc!F24)))/100+(Inputs!$B$23+((C1231=TRUE)*(F1231-Calc!F24)))/100)/2</f>
        <v/>
      </c>
      <c r="M1216">
        <f>L1216*(1+(Inputs!$B$10+0+B1239)/100)</f>
        <v/>
      </c>
      <c r="N1216">
        <f>L1216*(1-MIN((Inputs!$B$9+0+B1234),100)/100)+M1216*(MIN((Inputs!$B$9+0+B1234),100)/100)</f>
        <v/>
      </c>
      <c r="O1216">
        <f>(1-Summary!$B$55)*T1216+Summary!$B$55*V1216</f>
        <v/>
      </c>
      <c r="P1216">
        <f>IF(B1244=0,0,O1216/B1244)</f>
        <v/>
      </c>
      <c r="Q1216">
        <f>IFERROR(1/IF(Inputs!$B$38="pvp",15,MAX(0.1,Skills!D9-IF(Skills!E9=TRUE,2.0,0))),0)</f>
        <v/>
      </c>
      <c r="R1216">
        <f>IF(AND(Inputs!$B$38&lt;&gt;"pvp",Inputs!$B$43&gt;0),IF(MAX(0,Inputs!$B$43-B1241)&lt;=0,0,(INT(MAX(0,Inputs!$B$43-B1241)/IF(Inputs!$B$38="pvp",15,MAX(0.1,Skills!D9-IF(Skills!E9=TRUE,2.0,0))))+1)),0)</f>
        <v/>
      </c>
      <c r="S1216">
        <f>IFERROR(O1216/N1216,0)</f>
        <v/>
      </c>
      <c r="T1216">
        <f>IF(C1216,(H1216*N1216*IF(AND(Inputs!$B$38&lt;&gt;"pvp",Inputs!$B$43&gt;0),((Skills!G9*((R1216-1)*IF(Skills!H9&gt;0,Skills!I9/Skills!H9,1)+IF(Skills!H9&gt;0,MIN(Skills!I9,MAX(0,MAX(0,Inputs!$B$43-B1241)-((R1216-1)*IF(Inputs!$B$38="pvp",15,MAX(0.1,Skills!D9-IF(Skills!E9=TRUE,2.0,0))))))/Skills!H9,1)))/Inputs!$B$43),G1216*Q1216))*IF(Inputs!$B$38="pvp",1,1+(Inputs!$B$20+0+Skills!P9)/100),0)</f>
        <v/>
      </c>
      <c r="V1216">
        <f>IF(C1216,(H1216*N1216*IF(AND(Inputs!$B$38&lt;&gt;"pvp",Inputs!$B$43&gt;0),((Skills!G9*((R1216-1)*IF(Skills!H9&gt;0,Skills!I9/Skills!H9,1)+IF(Skills!H9&gt;0,MIN(Skills!I9,MAX(0,MAX(0,Inputs!$B$43-B1241)-((R1216-1)*IF(Inputs!$B$38="pvp",15,MAX(0.1,Skills!D9-IF(Skills!E9=TRUE,2.0,0))))))/Skills!H9,1)))/Inputs!$B$43),G1216*Q1216))*IF(Inputs!$B$38="pvp",1,(1+(Inputs!$B$21+Skills!Q9)/100)*(MIN(Skills!R9,Inputs!$B$37))),0)</f>
        <v/>
      </c>
    </row>
    <row r="1217">
      <c r="A1217">
        <f>Skills!A10</f>
        <v/>
      </c>
      <c r="B1217">
        <f>Skills!B10</f>
        <v/>
      </c>
      <c r="C1217">
        <f>Inputs!$B$3&gt;=117</f>
        <v/>
      </c>
      <c r="D1217">
        <f>IF(Skills!C10=1,60+Inputs!$B$25+Inputs!$B$29,IF(Skills!C10=2,90+Inputs!$B$26+Inputs!$B$29,IF(Skills!C10=3,120+Inputs!$B$27+Inputs!$B$29,MAX(0,(Inputs!$B$3-100)*3)+Inputs!$B$28+Inputs!$B$29)))</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((Inputs!$B$6*(1+Inputs!$B$7/100))+(((Inputs!$B$12*(1+Inputs!$B$13/100))-(Inputs!$B$12*(1+Inputs!$B$13/100)))+0.25*(Inputs!$B$14-Inputs!$B$14))*(1+Inputs!$B$7/100))*(F1217/100)</f>
        <v/>
      </c>
      <c r="K1217">
        <f>J1217*(1+((Inputs!$B$12*(1+Inputs!$B$13/100))*0.01+Inputs!$B$14*0.0025)/100)*(1+Inputs!$B$15/100)*(1+Inputs!$B$16/100)*(5000/(6000+Inputs!$B$42*(1-(Inputs!$B$19+0)/100)))*(1+(Inputs!$B$24+0+B1240)/100)*(1+(IF(Skills!A10="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1217)</f>
        <v/>
      </c>
      <c r="L1217">
        <f>K1217*(MIN(Inputs!$B$22+((C1229=TRUE)*(F1229-Calc!F22)),Inputs!$B$23+((C1231=TRUE)*(F1231-Calc!F24)))/100+(Inputs!$B$23+((C1231=TRUE)*(F1231-Calc!F24)))/100)/2</f>
        <v/>
      </c>
      <c r="M1217">
        <f>L1217*(1+(Inputs!$B$10+0+B1239)/100)</f>
        <v/>
      </c>
      <c r="N1217">
        <f>L1217*(1-MIN((Inputs!$B$9+0+B1234),100)/100)+M1217*(MIN((Inputs!$B$9+0+B1234),100)/100)</f>
        <v/>
      </c>
      <c r="O1217">
        <f>(1-Summary!$B$55)*T1217+Summary!$B$55*V1217</f>
        <v/>
      </c>
      <c r="P1217">
        <f>IF(B1244=0,0,O1217/B1244)</f>
        <v/>
      </c>
      <c r="Q1217">
        <f>IFERROR(1/IF(Inputs!$B$38="pvp",15,MAX(0.1,Skills!D10-IF(Skills!E10=TRUE,2.0,0))),0)</f>
        <v/>
      </c>
      <c r="R1217">
        <f>IF(AND(Inputs!$B$38&lt;&gt;"pvp",Inputs!$B$43&gt;0),IF(MAX(0,Inputs!$B$43-B1241)&lt;=0,0,(INT(MAX(0,Inputs!$B$43-B1241)/IF(Inputs!$B$38="pvp",15,MAX(0.1,Skills!D10-IF(Skills!E10=TRUE,2.0,0))))+1)),0)</f>
        <v/>
      </c>
      <c r="S1217">
        <f>IFERROR(O1217/N1217,0)</f>
        <v/>
      </c>
      <c r="T1217">
        <f>IF(C1217,(H1217*N1217*IF(AND(Inputs!$B$38&lt;&gt;"pvp",Inputs!$B$43&gt;0),((Skills!G10*((R1217-1)*IF(Skills!H10&gt;0,Skills!I10/Skills!H10,1)+IF(Skills!H10&gt;0,MIN(Skills!I10,MAX(0,MAX(0,Inputs!$B$43-B1241)-((R1217-1)*IF(Inputs!$B$38="pvp",15,MAX(0.1,Skills!D10-IF(Skills!E10=TRUE,2.0,0))))))/Skills!H10,1)))/Inputs!$B$43),G1217*Q1217))*IF(Inputs!$B$38="pvp",1,1+(Inputs!$B$20+0+Skills!P10)/100),0)</f>
        <v/>
      </c>
      <c r="V1217">
        <f>IF(C1217,(H1217*N1217*IF(AND(Inputs!$B$38&lt;&gt;"pvp",Inputs!$B$43&gt;0),((Skills!G10*((R1217-1)*IF(Skills!H10&gt;0,Skills!I10/Skills!H10,1)+IF(Skills!H10&gt;0,MIN(Skills!I10,MAX(0,MAX(0,Inputs!$B$43-B1241)-((R1217-1)*IF(Inputs!$B$38="pvp",15,MAX(0.1,Skills!D10-IF(Skills!E10=TRUE,2.0,0))))))/Skills!H10,1)))/Inputs!$B$43),G1217*Q1217))*IF(Inputs!$B$38="pvp",1,(1+(Inputs!$B$21+Skills!Q10)/100)*(MIN(Skills!R10,Inputs!$B$37))),0)</f>
        <v/>
      </c>
    </row>
    <row r="1218">
      <c r="A1218">
        <f>Skills!A11</f>
        <v/>
      </c>
      <c r="B1218">
        <f>Skills!B11</f>
        <v/>
      </c>
      <c r="C1218">
        <f>Inputs!$B$3&gt;=63</f>
        <v/>
      </c>
      <c r="D1218">
        <f>IF(Skills!C11=1,60+Inputs!$B$25+Inputs!$B$29,IF(Skills!C11=2,90+Inputs!$B$26+Inputs!$B$29,IF(Skills!C11=3,120+Inputs!$B$27+Inputs!$B$29,MAX(0,(Inputs!$B$3-100)*3)+Inputs!$B$28+Inputs!$B$29)))</f>
        <v/>
      </c>
      <c r="E1218">
        <f>INDEX(FactorTable!$B$2:$Y$301, MATCH(ROUND(MIN(300,MAX(1,D1218)),0), FactorTable!$A$2:$A$301,0), Skills!M11+1)</f>
        <v/>
      </c>
      <c r="F1218">
        <f>IF(Skills!N11=TRUE,(Skills!L11/10)*(E1218/1000),Skills!L11/10)+Skills!O11</f>
        <v/>
      </c>
      <c r="G1218">
        <f>Skills!G11*IF(Skills!H11&gt;0,Skills!I11/Skills!H11,1)</f>
        <v/>
      </c>
      <c r="H1218">
        <f>1-(1-Skills!J11/100)^Skills!K11</f>
        <v/>
      </c>
      <c r="I1218" t="inlineStr">
        <is>
          <t>1</t>
        </is>
      </c>
      <c r="J1218">
        <f>((Inputs!$B$6*(1+Inputs!$B$7/100))+(((Inputs!$B$12*(1+Inputs!$B$13/100))-(Inputs!$B$12*(1+Inputs!$B$13/100)))+0.25*(Inputs!$B$14-Inputs!$B$14))*(1+Inputs!$B$7/100))*(F1218/100)</f>
        <v/>
      </c>
      <c r="K1218">
        <f>J1218*(1+((Inputs!$B$12*(1+Inputs!$B$13/100))*0.01+Inputs!$B$14*0.0025)/100)*(1+Inputs!$B$15/100)*(1+Inputs!$B$16/100)*(5000/(6000+Inputs!$B$42*(1-(Inputs!$B$19+0)/100)))*(1+(Inputs!$B$24+0+B1240)/100)*(1+1.5*IF(C1219=TRUE,F1219,0)/100)*(1+(IF(Skills!A11="BLAST",Inputs!$B$17+((C1228=TRUE)*(F1228-Calc!F21)),Inputs!$B$18+((C1230=TRUE)*(F1230-Calc!F23))))/100)*((1+(((C1220=TRUE)*F1220*MIN(1,Skills!T13*(Skills!J13/100)*B1238))+((C1225=TRUE)*F1225*IF(AND(Inputs!$B$38&lt;&gt;"pvp",Inputs!$B$43&gt;0),(((R1225-1)*(Skills!T18*(1+Inputs!$B$34/100))+MIN((Skills!T18*(1+Inputs!$B$34/100)),MAX(0,Inputs!$B$43-((R1225-1)*Skills!D18))))/Inputs!$B$43),IF(Inputs!$B$38="pvp",MIN((Skills!T18*(1+Inputs!$B$34/100)),15)/15,(Skills!T18*(1+Inputs!$B$34/100))/Skills!D18)))+0)/100)*I1218)</f>
        <v/>
      </c>
      <c r="L1218">
        <f>K1218*(MIN(Inputs!$B$22+((C1229=TRUE)*(F1229-Calc!F22)),Inputs!$B$23+((C1231=TRUE)*(F1231-Calc!F24)))/100+(Inputs!$B$23+((C1231=TRUE)*(F1231-Calc!F24)))/100)/2</f>
        <v/>
      </c>
      <c r="M1218">
        <f>L1218*(1+(Inputs!$B$10+0+B1239)/100)</f>
        <v/>
      </c>
      <c r="N1218">
        <f>L1218*(1-MIN((Inputs!$B$9+0+B1234),100)/100)+M1218*(MIN((Inputs!$B$9+0+B1234),100)/100)</f>
        <v/>
      </c>
      <c r="O1218">
        <f>(1-Summary!$B$55)*T1218+Summary!$B$55*V1218</f>
        <v/>
      </c>
      <c r="P1218">
        <f>IF(B1244=0,0,O1218/B1244)</f>
        <v/>
      </c>
      <c r="Q1218">
        <f>IFERROR(1/IF(Inputs!$B$38="pvp",15,MAX(0.1,Skills!D11-IF(Skills!E11=TRUE,2.0,0))),0)</f>
        <v/>
      </c>
      <c r="R1218">
        <f>IF(AND(Inputs!$B$38&lt;&gt;"pvp",Inputs!$B$43&gt;0),IF(MAX(0,Inputs!$B$43-B1241)&lt;=0,0,(INT(MAX(0,Inputs!$B$43-B1241)/IF(Inputs!$B$38="pvp",15,MAX(0.1,Skills!D11-IF(Skills!E11=TRUE,2.0,0))))+1)),0)</f>
        <v/>
      </c>
      <c r="S1218">
        <f>IFERROR(O1218/N1218,0)</f>
        <v/>
      </c>
      <c r="T1218">
        <f>IF(C1218,(H1218*N1218*IF(AND(Inputs!$B$38&lt;&gt;"pvp",Inputs!$B$43&gt;0),((Skills!G11*((R1218-1)*IF(Skills!H11&gt;0,Skills!I11/Skills!H11,1)+IF(Skills!H11&gt;0,MIN(Skills!I11,MAX(0,MAX(0,Inputs!$B$43-B1241)-((R1218-1)*IF(Inputs!$B$38="pvp",15,MAX(0.1,Skills!D11-IF(Skills!E11=TRUE,2.0,0))))))/Skills!H11,1)))/Inputs!$B$43),G1218*Q1218))*IF(Inputs!$B$38="pvp",1,1+(Inputs!$B$20+0+Skills!P11)/100),0)</f>
        <v/>
      </c>
      <c r="V1218">
        <f>IF(C1218,(H1218*N1218*IF(AND(Inputs!$B$38&lt;&gt;"pvp",Inputs!$B$43&gt;0),((Skills!G11*((R1218-1)*IF(Skills!H11&gt;0,Skills!I11/Skills!H11,1)+IF(Skills!H11&gt;0,MIN(Skills!I11,MAX(0,MAX(0,Inputs!$B$43-B1241)-((R1218-1)*IF(Inputs!$B$38="pvp",15,MAX(0.1,Skills!D11-IF(Skills!E11=TRUE,2.0,0))))))/Skills!H11,1)))/Inputs!$B$43),G1218*Q1218))*IF(Inputs!$B$38="pvp",1,(1+(Inputs!$B$21+Skills!Q11)/100)*(MIN(Skills!R11,Inputs!$B$37))),0)</f>
        <v/>
      </c>
    </row>
    <row r="1219">
      <c r="A1219">
        <f>Skills!A12</f>
        <v/>
      </c>
      <c r="B1219">
        <f>Skills!B12</f>
        <v/>
      </c>
      <c r="C1219">
        <f>Inputs!$B$3&gt;=100</f>
        <v/>
      </c>
      <c r="D1219">
        <f>IF(Skills!C12=1,60+Inputs!$B$25+Inputs!$B$29,IF(Skills!C12=2,90+Inputs!$B$26+Inputs!$B$29,IF(Skills!C12=3,120+Inputs!$B$27+Inputs!$B$29,MAX(0,(Inputs!$B$3-100)*3)+Inputs!$B$28+Inputs!$B$29)))</f>
        <v/>
      </c>
      <c r="E1219">
        <f>INDEX(FactorTable!$B$2:$Y$301, MATCH(ROUND(MIN(300,MAX(1,D1219)),0), FactorTable!$A$2:$A$301,0), Skills!M12+1)</f>
        <v/>
      </c>
      <c r="F1219">
        <f>IF(Skills!N12=TRUE,(Skills!L12/10)*(E1219/1000),Skills!L12/10)+Skills!O12</f>
        <v/>
      </c>
      <c r="G1219" t="inlineStr"/>
      <c r="H1219" t="inlineStr"/>
      <c r="I1219" t="inlineStr">
        <is>
          <t>1</t>
        </is>
      </c>
      <c r="J1219" t="inlineStr"/>
      <c r="K1219" t="inlineStr"/>
      <c r="L1219" t="inlineStr"/>
      <c r="M1219" t="inlineStr"/>
      <c r="N1219" t="inlineStr"/>
      <c r="O1219" t="inlineStr"/>
      <c r="P1219" t="inlineStr"/>
      <c r="Q1219" t="inlineStr"/>
      <c r="R1219" t="inlineStr"/>
      <c r="S1219" t="inlineStr"/>
    </row>
    <row r="1220">
      <c r="A1220">
        <f>Skills!A13</f>
        <v/>
      </c>
      <c r="B1220">
        <f>Skills!B13</f>
        <v/>
      </c>
      <c r="C1220">
        <f>Inputs!$B$3&gt;=45</f>
        <v/>
      </c>
      <c r="D1220">
        <f>IF(Skills!C13=1,60+Inputs!$B$25+Inputs!$B$29,IF(Skills!C13=2,90+Inputs!$B$26+Inputs!$B$29,IF(Skills!C13=3,120+Inputs!$B$27+Inputs!$B$29,MAX(0,(Inputs!$B$3-100)*3)+Inputs!$B$28+Inputs!$B$29)))</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(1-Summary!$B$55)*T1220+Summary!$B$55*V1220</f>
        <v/>
      </c>
      <c r="P1220">
        <f>IF(B1244=0,0,O1220/B1244)</f>
        <v/>
      </c>
      <c r="Q1220" t="n">
        <v>0</v>
      </c>
      <c r="R1220" t="n">
        <v>0</v>
      </c>
      <c r="S1220">
        <f>IFERROR(O1220/N1220,0)</f>
        <v/>
      </c>
      <c r="T1220" t="n">
        <v>0</v>
      </c>
      <c r="V1220" t="n">
        <v>0</v>
      </c>
    </row>
    <row r="1221">
      <c r="A1221">
        <f>Skills!A14</f>
        <v/>
      </c>
      <c r="B1221">
        <f>Skills!B14</f>
        <v/>
      </c>
      <c r="C1221">
        <f>Inputs!$B$3&gt;=110</f>
        <v/>
      </c>
      <c r="D1221">
        <f>IF(Skills!C14=1,60+Inputs!$B$25+Inputs!$B$29,IF(Skills!C14=2,90+Inputs!$B$26+Inputs!$B$29,IF(Skills!C14=3,120+Inputs!$B$27+Inputs!$B$29,MAX(0,(Inputs!$B$3-100)*3)+Inputs!$B$28+Inputs!$B$29)))</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(1-Summary!$B$55)*T1221+Summary!$B$55*V1221</f>
        <v/>
      </c>
      <c r="P1221">
        <f>IF(B1244=0,0,O1221/B1244)</f>
        <v/>
      </c>
      <c r="Q1221" t="n">
        <v>0</v>
      </c>
      <c r="R1221" t="n">
        <v>0</v>
      </c>
      <c r="S1221">
        <f>IFERROR(O1221/N1221,0)</f>
        <v/>
      </c>
      <c r="T1221" t="n">
        <v>0</v>
      </c>
      <c r="V1221" t="n">
        <v>0</v>
      </c>
    </row>
    <row r="1222">
      <c r="A1222">
        <f>Skills!A15</f>
        <v/>
      </c>
      <c r="B1222">
        <f>Skills!B15</f>
        <v/>
      </c>
      <c r="C1222">
        <f>Inputs!$B$3&gt;=75</f>
        <v/>
      </c>
      <c r="D1222">
        <f>IF(Skills!C15=1,60+Inputs!$B$25+Inputs!$B$29,IF(Skills!C15=2,90+Inputs!$B$26+Inputs!$B$29,IF(Skills!C15=3,120+Inputs!$B$27+Inputs!$B$29,MAX(0,(Inputs!$B$3-100)*3)+Inputs!$B$28+Inputs!$B$29)))</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(1-Summary!$B$55)*T1222+Summary!$B$55*V1222</f>
        <v/>
      </c>
      <c r="P1222">
        <f>IF(B1244=0,0,O1222/B1244)</f>
        <v/>
      </c>
      <c r="Q1222">
        <f>IFERROR(1/IF(Inputs!$B$38="pvp",15,MAX(0.1,Skills!D15-IF(Skills!E15=TRUE,2.0,0))),0)</f>
        <v/>
      </c>
      <c r="R1222">
        <f>IF(AND(Inputs!$B$38&lt;&gt;"pvp",Inputs!$B$43&gt;0),IF(Inputs!$B$43&lt;=0,0,(INT(Inputs!$B$43/IF(Inputs!$B$38="pvp",15,MAX(0.1,Skills!D15-IF(Skills!E15=TRUE,2.0,0))))+1)),0)</f>
        <v/>
      </c>
      <c r="S1222">
        <f>IFERROR(O1222/N1222,0)</f>
        <v/>
      </c>
      <c r="T1222" t="n">
        <v>0</v>
      </c>
      <c r="V1222" t="n">
        <v>0</v>
      </c>
    </row>
    <row r="1223">
      <c r="A1223">
        <f>Skills!A16</f>
        <v/>
      </c>
      <c r="B1223">
        <f>Skills!B16</f>
        <v/>
      </c>
      <c r="C1223">
        <f>Inputs!$B$3&gt;=105</f>
        <v/>
      </c>
      <c r="D1223">
        <f>IF(Skills!C16=1,60+Inputs!$B$25+Inputs!$B$29,IF(Skills!C16=2,90+Inputs!$B$26+Inputs!$B$29,IF(Skills!C16=3,120+Inputs!$B$27+Inputs!$B$29,MAX(0,(Inputs!$B$3-100)*3)+Inputs!$B$28+Inputs!$B$29)))</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(1-Summary!$B$55)*T1223+Summary!$B$55*V1223</f>
        <v/>
      </c>
      <c r="P1223">
        <f>IF(B1244=0,0,O1223/B1244)</f>
        <v/>
      </c>
      <c r="Q1223">
        <f>IFERROR(1/IF(Inputs!$B$38="pvp",15,MAX(0.1,Skills!D16-IF(Skills!E16=TRUE,2.0,0))),0)</f>
        <v/>
      </c>
      <c r="R1223">
        <f>IF(AND(Inputs!$B$38&lt;&gt;"pvp",Inputs!$B$43&gt;0),IF(Inputs!$B$43&lt;=0,0,(INT(Inputs!$B$43/IF(Inputs!$B$38="pvp",15,MAX(0.1,Skills!D16-IF(Skills!E16=TRUE,2.0,0))))+1)),0)</f>
        <v/>
      </c>
      <c r="S1223">
        <f>IFERROR(O1223/N1223,0)</f>
        <v/>
      </c>
      <c r="T1223" t="n">
        <v>0</v>
      </c>
      <c r="V1223" t="n">
        <v>0</v>
      </c>
    </row>
    <row r="1224">
      <c r="A1224">
        <f>Skills!A17</f>
        <v/>
      </c>
      <c r="B1224">
        <f>Skills!B17</f>
        <v/>
      </c>
      <c r="C1224">
        <f>Inputs!$B$3&gt;=115</f>
        <v/>
      </c>
      <c r="D1224">
        <f>IF(Skills!C17=1,60+Inputs!$B$25+Inputs!$B$29,IF(Skills!C17=2,90+Inputs!$B$26+Inputs!$B$29,IF(Skills!C17=3,120+Inputs!$B$27+Inputs!$B$29,MAX(0,(Inputs!$B$3-100)*3)+Inputs!$B$28+Inputs!$B$29)))</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(1-Summary!$B$55)*T1224+Summary!$B$55*V1224</f>
        <v/>
      </c>
      <c r="P1224">
        <f>IF(B1244=0,0,O1224/B1244)</f>
        <v/>
      </c>
      <c r="Q1224">
        <f>IFERROR(1/IF(Inputs!$B$38="pvp",15,MAX(0.1,Skills!D17-IF(Skills!E17=TRUE,2.0,0))),0)</f>
        <v/>
      </c>
      <c r="R1224">
        <f>IF(AND(Inputs!$B$38&lt;&gt;"pvp",Inputs!$B$43&gt;0),IF(Inputs!$B$43&lt;=0,0,(INT(Inputs!$B$43/IF(Inputs!$B$38="pvp",15,MAX(0.1,Skills!D17-IF(Skills!E17=TRUE,2.0,0))))+1)),0)</f>
        <v/>
      </c>
      <c r="S1224">
        <f>IFERROR(O1224/N1224,0)</f>
        <v/>
      </c>
      <c r="T1224" t="n">
        <v>0</v>
      </c>
      <c r="V1224" t="n">
        <v>0</v>
      </c>
    </row>
    <row r="1225">
      <c r="A1225">
        <f>Skills!A18</f>
        <v/>
      </c>
      <c r="B1225">
        <f>Skills!B18</f>
        <v/>
      </c>
      <c r="C1225">
        <f>Inputs!$B$3&gt;=74</f>
        <v/>
      </c>
      <c r="D1225">
        <f>IF(Skills!C18=1,60+Inputs!$B$25+Inputs!$B$29,IF(Skills!C18=2,90+Inputs!$B$26+Inputs!$B$29,IF(Skills!C18=3,120+Inputs!$B$27+Inputs!$B$29,MAX(0,(Inputs!$B$3-100)*3)+Inputs!$B$28+Inputs!$B$29)))</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(1-Summary!$B$55)*T1225+Summary!$B$55*V1225</f>
        <v/>
      </c>
      <c r="P1225">
        <f>IF(B1244=0,0,O1225/B1244)</f>
        <v/>
      </c>
      <c r="Q1225">
        <f>IFERROR(1/IF(Inputs!$B$38="pvp",15,MAX(0.1,Skills!D18-IF(Skills!E18=TRUE,2.0,0))),0)</f>
        <v/>
      </c>
      <c r="R1225">
        <f>IF(AND(Inputs!$B$38&lt;&gt;"pvp",Inputs!$B$43&gt;0),IF(Inputs!$B$43&lt;=0,0,(INT(Inputs!$B$43/IF(Inputs!$B$38="pvp",15,MAX(0.1,Skills!D18-IF(Skills!E18=TRUE,2.0,0))))+1)),0)</f>
        <v/>
      </c>
      <c r="S1225">
        <f>IFERROR(O1225/N1225,0)</f>
        <v/>
      </c>
      <c r="T1225" t="n">
        <v>0</v>
      </c>
      <c r="V1225" t="n">
        <v>0</v>
      </c>
    </row>
    <row r="1226">
      <c r="A1226">
        <f>Skills!A19</f>
        <v/>
      </c>
      <c r="B1226">
        <f>Skills!B19</f>
        <v/>
      </c>
      <c r="C1226">
        <f>TRUE</f>
        <v/>
      </c>
      <c r="D1226">
        <f>IF(Skills!C19=1,60+Inputs!$B$25+Inputs!$B$29,IF(Skills!C19=2,90+Inputs!$B$26+Inputs!$B$29,IF(Skills!C19=3,120+Inputs!$B$27+Inputs!$B$29,MAX(0,(Inputs!$B$3-100)*3)+Inputs!$B$28+Inputs!$B$29)))</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(1-Summary!$B$55)*T1226+Summary!$B$55*V1226</f>
        <v/>
      </c>
      <c r="P1226">
        <f>IF(B1244=0,0,O1226/B1244)</f>
        <v/>
      </c>
      <c r="Q1226">
        <f>IFERROR(1/IF(Inputs!$B$38="pvp",15,MAX(0.1,Skills!D19-IF(Skills!E19=TRUE,2.0,0))),0)</f>
        <v/>
      </c>
      <c r="R1226">
        <f>IF(AND(Inputs!$B$38&lt;&gt;"pvp",Inputs!$B$43&gt;0),IF(Inputs!$B$43&lt;=0,0,(INT(Inputs!$B$43/IF(Inputs!$B$38="pvp",15,MAX(0.1,Skills!D19-IF(Skills!E19=TRUE,2.0,0))))+1)),0)</f>
        <v/>
      </c>
      <c r="S1226">
        <f>IFERROR(O1226/N1226,0)</f>
        <v/>
      </c>
      <c r="T1226" t="n">
        <v>0</v>
      </c>
      <c r="V1226" t="n">
        <v>0</v>
      </c>
    </row>
    <row r="1227">
      <c r="A1227">
        <f>Skills!A20</f>
        <v/>
      </c>
      <c r="B1227">
        <f>Skills!B20</f>
        <v/>
      </c>
      <c r="C1227">
        <f>Inputs!$B$3&gt;=33</f>
        <v/>
      </c>
      <c r="D1227">
        <f>IF(Skills!C20=1,60+Inputs!$B$25+Inputs!$B$29,IF(Skills!C20=2,90+Inputs!$B$26+Inputs!$B$29,IF(Skills!C20=3,120+Inputs!$B$27+Inputs!$B$29,MAX(0,(Inputs!$B$3-100)*3)+Inputs!$B$28+Inputs!$B$29)))</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(1-Summary!$B$55)*T1227+Summary!$B$55*V1227</f>
        <v/>
      </c>
      <c r="P1227">
        <f>IF(B1244=0,0,O1227/B1244)</f>
        <v/>
      </c>
      <c r="Q1227" t="n">
        <v>0</v>
      </c>
      <c r="R1227" t="n">
        <v>0</v>
      </c>
      <c r="S1227">
        <f>IFERROR(O1227/N1227,0)</f>
        <v/>
      </c>
      <c r="T1227" t="n">
        <v>0</v>
      </c>
      <c r="V1227" t="n">
        <v>0</v>
      </c>
    </row>
    <row r="1228">
      <c r="A1228">
        <f>Skills!A21</f>
        <v/>
      </c>
      <c r="B1228">
        <f>Skills!B21</f>
        <v/>
      </c>
      <c r="C1228">
        <f>Inputs!$B$3&gt;=38</f>
        <v/>
      </c>
      <c r="D1228">
        <f>IF(Skills!C21=1,60+Inputs!$B$25+Inputs!$B$29,IF(Skills!C21=2,90+Inputs!$B$26+Inputs!$B$29,IF(Skills!C21=3,120+Inputs!$B$27+Inputs!$B$29,MAX(0,(Inputs!$B$3-100)*3)+Inputs!$B$28+Inputs!$B$29)))</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(1-Summary!$B$55)*T1228+Summary!$B$55*V1228</f>
        <v/>
      </c>
      <c r="P1228">
        <f>IF(B1244=0,0,O1228/B1244)</f>
        <v/>
      </c>
      <c r="Q1228" t="n">
        <v>0</v>
      </c>
      <c r="R1228" t="n">
        <v>0</v>
      </c>
      <c r="S1228">
        <f>IFERROR(O1228/N1228,0)</f>
        <v/>
      </c>
      <c r="T1228" t="n">
        <v>0</v>
      </c>
      <c r="V1228" t="n">
        <v>0</v>
      </c>
    </row>
    <row r="1229">
      <c r="A1229">
        <f>Skills!A22</f>
        <v/>
      </c>
      <c r="B1229">
        <f>Skills!B22</f>
        <v/>
      </c>
      <c r="C1229">
        <f>Inputs!$B$3&gt;=43</f>
        <v/>
      </c>
      <c r="D1229">
        <f>IF(Skills!C22=1,60+Inputs!$B$25+Inputs!$B$29,IF(Skills!C22=2,90+Inputs!$B$26+Inputs!$B$29,IF(Skills!C22=3,120+Inputs!$B$27+Inputs!$B$29,MAX(0,(Inputs!$B$3-100)*3)+Inputs!$B$28+Inputs!$B$29)))</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(1-Summary!$B$55)*T1229+Summary!$B$55*V1229</f>
        <v/>
      </c>
      <c r="P1229">
        <f>IF(B1244=0,0,O1229/B1244)</f>
        <v/>
      </c>
      <c r="Q1229" t="n">
        <v>0</v>
      </c>
      <c r="R1229" t="n">
        <v>0</v>
      </c>
      <c r="S1229">
        <f>IFERROR(O1229/N1229,0)</f>
        <v/>
      </c>
      <c r="T1229" t="n">
        <v>0</v>
      </c>
      <c r="V1229" t="n">
        <v>0</v>
      </c>
    </row>
    <row r="1230">
      <c r="A1230">
        <f>Skills!A23</f>
        <v/>
      </c>
      <c r="B1230">
        <f>Skills!B23</f>
        <v/>
      </c>
      <c r="C1230">
        <f>Inputs!$B$3&gt;=120</f>
        <v/>
      </c>
      <c r="D1230">
        <f>IF(Skills!C23=1,60+Inputs!$B$25+Inputs!$B$29,IF(Skills!C23=2,90+Inputs!$B$26+Inputs!$B$29,IF(Skills!C23=3,120+Inputs!$B$27+Inputs!$B$29,MAX(0,(Inputs!$B$3-100)*3)+Inputs!$B$28+Inputs!$B$29)))</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(1-Summary!$B$55)*T1230+Summary!$B$55*V1230</f>
        <v/>
      </c>
      <c r="P1230">
        <f>IF(B1244=0,0,O1230/B1244)</f>
        <v/>
      </c>
      <c r="Q1230" t="n">
        <v>0</v>
      </c>
      <c r="R1230" t="n">
        <v>0</v>
      </c>
      <c r="S1230">
        <f>IFERROR(O1230/N1230,0)</f>
        <v/>
      </c>
      <c r="T1230" t="n">
        <v>0</v>
      </c>
      <c r="V1230" t="n">
        <v>0</v>
      </c>
    </row>
    <row r="1231">
      <c r="A1231">
        <f>Skills!A24</f>
        <v/>
      </c>
      <c r="B1231">
        <f>Skills!B24</f>
        <v/>
      </c>
      <c r="C1231">
        <f>Inputs!$B$3&gt;=120</f>
        <v/>
      </c>
      <c r="D1231">
        <f>IF(Skills!C24=1,60+Inputs!$B$25+Inputs!$B$29,IF(Skills!C24=2,90+Inputs!$B$26+Inputs!$B$29,IF(Skills!C24=3,120+Inputs!$B$27+Inputs!$B$29,MAX(0,(Inputs!$B$3-100)*3)+Inputs!$B$28+Inputs!$B$29)))</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(1-Summary!$B$55)*T1231+Summary!$B$55*V1231</f>
        <v/>
      </c>
      <c r="P1231">
        <f>IF(B1244=0,0,O1231/B1244)</f>
        <v/>
      </c>
      <c r="Q1231" t="n">
        <v>0</v>
      </c>
      <c r="R1231" t="n">
        <v>0</v>
      </c>
      <c r="S1231">
        <f>IFERROR(O1231/N1231,0)</f>
        <v/>
      </c>
      <c r="T1231" t="n">
        <v>0</v>
      </c>
      <c r="V1231" t="n">
        <v>0</v>
      </c>
    </row>
    <row r="1233">
      <c r="A1233" t="inlineStr">
        <is>
          <t>Attack% Bucket Multiplier</t>
        </is>
      </c>
      <c r="B1233">
        <f>(1+(((C1220=TRUE)*F1220*MIN(1,Skills!T13*(Skills!J13/100)*B1238))+((C1225=TRUE)*F1225*IF(AND(Inputs!$B$38&lt;&gt;"pvp",Inputs!$B$43&gt;0),(((R1225-1)*(Skills!T18*(1+Inputs!$B$34/100))+MIN((Skills!T18*(1+Inputs!$B$34/100)),MAX(0,Inputs!$B$43-((R1225-1)*Skills!D18))))/Inputs!$B$43),IF(Inputs!$B$38="pvp",MIN((Skills!T18*(1+Inputs!$B$34/100)),15)/15,(Skills!T18*(1+Inputs!$B$34/100))/Skills!D18)))+0)/100)</f>
        <v/>
      </c>
    </row>
    <row r="1234">
      <c r="A1234" t="inlineStr">
        <is>
          <t>Global Crit Rate Bonus %</t>
        </is>
      </c>
      <c r="B1234" t="n">
        <v>0</v>
      </c>
    </row>
    <row r="1235">
      <c r="A1235" t="inlineStr">
        <is>
          <t>Attack Speed Buff Bonus %</t>
        </is>
      </c>
      <c r="B1235">
        <f>((C1226=TRUE)*F1226*IF(AND(Inputs!$B$38&lt;&gt;"pvp",Inputs!$B$43&gt;0),(((R1226-1)*(Skills!T19*(1+Inputs!$B$34/100))+MIN((Skills!T19*(1+Inputs!$B$34/100)),MAX(0,Inputs!$B$43-((R1226-1)*Skills!D19))))/Inputs!$B$43),IF(Inputs!$B$38="pvp",MIN((Skills!T19*(1+Inputs!$B$34/100)),15)/15,(Skills!T19*(1+Inputs!$B$34/100))/Skills!D19)))</f>
        <v/>
      </c>
    </row>
    <row r="1236">
      <c r="A1236" t="inlineStr">
        <is>
          <t>Actions Per Second</t>
        </is>
      </c>
      <c r="B1236">
        <f>1+MIN(150,150*(1-(1-(Inputs!$B$11+((C1227=TRUE)*(F1227-Calc!F20)))/150)*(1-B1235/150)))/100</f>
        <v/>
      </c>
    </row>
    <row r="1237">
      <c r="A1237" t="inlineStr">
        <is>
          <t>Skill + Buff Cast Rate</t>
        </is>
      </c>
      <c r="B1237">
        <f>IF(AND(Inputs!$B$38&lt;&gt;"pvp",Inputs!$B$43&gt;0),SUMPRODUCT((Skills!E2:E24=TRUE)*(C1209:C1231=TRUE)*R1209:R1231*Skills!F2:F24)/Inputs!$B$43,SUMPRODUCT((Skills!E2:E24=TRUE)*(C1209:C1231=TRUE)*Q1209:Q1231*Skills!F2:F24))</f>
        <v/>
      </c>
    </row>
    <row r="1238">
      <c r="A1238" t="inlineStr">
        <is>
          <t>Blast Casts Per Second</t>
        </is>
      </c>
      <c r="B1238">
        <f>MAX(0,B1236-B1237)</f>
        <v/>
      </c>
    </row>
    <row r="1239">
      <c r="A1239" t="inlineStr">
        <is>
          <t>Global Critical Damage Bonus % (unused)</t>
        </is>
      </c>
      <c r="B1239" t="n">
        <v>0</v>
      </c>
    </row>
    <row r="1240">
      <c r="A1240" t="inlineStr">
        <is>
          <t>Global Final Damage Bonus % (Divine Shield + Guardian + Divine Blessing + Greater Vessel of Light)</t>
        </is>
      </c>
      <c r="B1240">
        <f>((C1222=TRUE)*F1222*IF(AND(Inputs!$B$38&lt;&gt;"pvp",Inputs!$B$43&gt;0),(((R1222-1)*(Skills!T15*(1+Inputs!$B$34/100))+MIN((Skills!T15*(1+Inputs!$B$34/100)),MAX(0,Inputs!$B$43-((R1222-1)*Skills!D15))))/Inputs!$B$43),IF(Inputs!$B$38="pvp",MIN((Skills!T15*(1+Inputs!$B$34/100)),15)/15,(Skills!T15*(1+Inputs!$B$34/100))/Skills!D15)))+((C1223=TRUE)*F1223*IF(AND(Inputs!$B$38&lt;&gt;"pvp",Inputs!$B$43&gt;0),(((R1223-1)*(Skills!T16*(1+Inputs!$B$34/100))+MIN((Skills!T16*(1+Inputs!$B$34/100)),MAX(0,Inputs!$B$43-((R1223-1)*Skills!D16))))/Inputs!$B$43),IF(Inputs!$B$38="pvp",MIN((Skills!T16*(1+Inputs!$B$34/100)),15)/15,(Skills!T16*(1+Inputs!$B$34/100))/Skills!D16)))+((C1224=TRUE)*F1224*IF(AND(Inputs!$B$38&lt;&gt;"pvp",Inputs!$B$43&gt;0),(((R1224-1)*(Skills!T17*(1+Inputs!$B$34/100))+MIN((Skills!T17*(1+Inputs!$B$34/100)),MAX(0,Inputs!$B$43-((R1224-1)*Skills!D17))))/Inputs!$B$43),IF(Inputs!$B$38="pvp",MIN((Skills!T17*(1+Inputs!$B$34/100)),15)/15,(Skills!T17*(1+Inputs!$B$34/100))/Skills!D17)))+((C1221=TRUE)*F1221*MIN(1,Skills!T13*(Skills!J13/100)*B1238))</f>
        <v/>
      </c>
    </row>
    <row r="1241">
      <c r="A1241" t="inlineStr">
        <is>
          <t>Buff-Casting Startup Delay (s, fixed-duration only)</t>
        </is>
      </c>
      <c r="B1241">
        <f>IF(AND(Inputs!$B$38&lt;&gt;"pvp",Inputs!$B$43&gt;0),SUMPRODUCT((Skills!T2:T24&gt;0)*(Skills!E2:E24=TRUE)*(C1209:C1231=TRUE))/B1236,0)</f>
        <v/>
      </c>
    </row>
    <row r="1242">
      <c r="A1242" t="inlineStr">
        <is>
          <t>Boss-Only Total DPS (this block's swept value)</t>
        </is>
      </c>
      <c r="B1242">
        <f>SUM(T1209:T1231)</f>
        <v/>
      </c>
    </row>
    <row r="1243">
      <c r="A1243" t="inlineStr">
        <is>
          <t>Normal-Only Total DPS (this block's swept value)</t>
        </is>
      </c>
      <c r="B1243">
        <f>SUM(V1209:V1231)</f>
        <v/>
      </c>
    </row>
    <row r="1244">
      <c r="A1244" s="5" t="inlineStr">
        <is>
          <t>TOTAL DPS</t>
        </is>
      </c>
      <c r="B1244" s="5">
        <f>SUM(O1209:O1231)</f>
        <v/>
      </c>
    </row>
    <row r="1247">
      <c r="A1247" s="5" t="inlineStr">
        <is>
          <t>Stat: CDR = 2.5s</t>
        </is>
      </c>
    </row>
    <row r="1248">
      <c r="A1248" s="9" t="inlineStr">
        <is>
          <t>Key</t>
        </is>
      </c>
      <c r="B1248" s="9" t="inlineStr">
        <is>
          <t>Name</t>
        </is>
      </c>
      <c r="C1248" s="9" t="inlineStr">
        <is>
          <t>Unlocked</t>
        </is>
      </c>
      <c r="D1248" s="9" t="inlineStr">
        <is>
          <t>InputLevel</t>
        </is>
      </c>
      <c r="E1248" s="9" t="inlineStr">
        <is>
          <t>Factor</t>
        </is>
      </c>
      <c r="F1248" s="9" t="inlineStr">
        <is>
          <t>CoefficientPercent</t>
        </is>
      </c>
      <c r="G1248" s="9" t="inlineStr">
        <is>
          <t>EffectiveHits</t>
        </is>
      </c>
      <c r="H1248" s="9" t="inlineStr">
        <is>
          <t>ProcProbability</t>
        </is>
      </c>
      <c r="I1248" s="9" t="inlineStr">
        <is>
          <t>MapleHeroMultiplier</t>
        </is>
      </c>
      <c r="J1248" s="9" t="inlineStr">
        <is>
          <t>BaseDamage</t>
        </is>
      </c>
      <c r="K1248" s="9" t="inlineStr">
        <is>
          <t>BaseHitDamage</t>
        </is>
      </c>
      <c r="L1248" s="9" t="inlineStr">
        <is>
          <t>NonCritAvg</t>
        </is>
      </c>
      <c r="M1248" s="9" t="inlineStr">
        <is>
          <t>CritAvg</t>
        </is>
      </c>
      <c r="N1248" s="9" t="inlineStr">
        <is>
          <t>ExpectedDamage(perHit)</t>
        </is>
      </c>
      <c r="O1248" s="9" t="inlineStr">
        <is>
          <t>DPS</t>
        </is>
      </c>
      <c r="P1248" s="9" t="inlineStr">
        <is>
          <t>% of Total</t>
        </is>
      </c>
      <c r="Q1248" s="9" t="inlineStr">
        <is>
          <t>InvCooldown</t>
        </is>
      </c>
      <c r="R1248" s="9" t="inlineStr">
        <is>
          <t>CastsInFight</t>
        </is>
      </c>
      <c r="S1248" s="9"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Inputs!$B$19+0)/100)))*(1+(Inputs!$B$24+0+B1280)/100)*(1+(IF(Skills!A2="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1249)</f>
        <v/>
      </c>
      <c r="L1249">
        <f>K1249*(MIN(Inputs!$B$22+((C1269=TRUE)*(F1269-Calc!F22)),Inputs!$B$23+((C1271=TRUE)*(F1271-Calc!F24)))/100+(Inputs!$B$23+((C1271=TRUE)*(F1271-Calc!F24)))/100)/2</f>
        <v/>
      </c>
      <c r="M1249">
        <f>L1249*(1+(Inputs!$B$10+0+B1279)/100)</f>
        <v/>
      </c>
      <c r="N1249">
        <f>L1249*(1-MIN((Inputs!$B$9+0+B1274),100)/100)+M1249*(MIN((Inputs!$B$9+0+B1274),100)/100)</f>
        <v/>
      </c>
      <c r="O1249">
        <f>(1-Summary!$B$55)*T1249+Summary!$B$55*V1249</f>
        <v/>
      </c>
      <c r="P1249">
        <f>IF(B1284=0,0,O1249/B1284)</f>
        <v/>
      </c>
      <c r="Q1249" t="n">
        <v>0</v>
      </c>
      <c r="R1249" t="n">
        <v>0</v>
      </c>
      <c r="S1249">
        <f>IFERROR(O1249/N1249,0)</f>
        <v/>
      </c>
      <c r="T1249">
        <f>IF(C1249,(Skills!G2*N1249*B1278)*IF(Inputs!$B$38="pvp",1,1+(Inputs!$B$20+0+Skills!P2)/100),0)</f>
        <v/>
      </c>
      <c r="U1249">
        <f>MAX(0,(Inputs!$B$3-100)*3)+Inputs!$B$28+Inputs!$B$29</f>
        <v/>
      </c>
      <c r="V1249">
        <f>IF(C1249,(Skills!G2*N1249*B1278)*IF(Inputs!$B$38="pvp",1,(1+(Inputs!$B$21+Skills!Q2)/100)*(MIN((6+Inputs!$B$33),Inputs!$B$37))),0)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Inputs!$B$3&gt;=35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f>Skills!G4*IF(Skills!H4&gt;0,Skills!I4/Skills!H4,1)</f>
        <v/>
      </c>
      <c r="H1251">
        <f>1-(1-Skills!J4/100)^Skills!K4</f>
        <v/>
      </c>
      <c r="I1251" t="inlineStr">
        <is>
          <t>1</t>
        </is>
      </c>
      <c r="J1251">
        <f>((Inputs!$B$6*(1+Inputs!$B$7/100))+(((Inputs!$B$12*(1+Inputs!$B$13/100))-(Inputs!$B$12*(1+Inputs!$B$13/100)))+0.25*(Inputs!$B$14-Inputs!$B$14))*(1+Inputs!$B$7/100))*(F1251/100)</f>
        <v/>
      </c>
      <c r="K1251">
        <f>J1251*(1+((Inputs!$B$12*(1+Inputs!$B$13/100))*0.01+Inputs!$B$14*0.0025)/100)*(1+Inputs!$B$15/100)*(1+Inputs!$B$16/100)*(5000/(6000+Inputs!$B$42*(1-(Inputs!$B$19+0)/100)))*(1+(Inputs!$B$24+0+B1280)/100)*(1+4.0*IF(C1259=TRUE,F1259,0)/100)*(1+(IF(Skills!A4="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1251)</f>
        <v/>
      </c>
      <c r="L1251">
        <f>K1251*(MIN(Inputs!$B$22+((C1269=TRUE)*(F1269-Calc!F22)),Inputs!$B$23+((C1271=TRUE)*(F1271-Calc!F24)))/100+(Inputs!$B$23+((C1271=TRUE)*(F1271-Calc!F24)))/100)/2</f>
        <v/>
      </c>
      <c r="M1251">
        <f>L1251*(1+(Inputs!$B$10+0+B1279)/100)</f>
        <v/>
      </c>
      <c r="N1251">
        <f>L1251*(1-MIN((Inputs!$B$9+0+B1274),100)/100)+M1251*(MIN((Inputs!$B$9+0+B1274),100)/100)</f>
        <v/>
      </c>
      <c r="O1251">
        <f>(1-Summary!$B$55)*T1251+Summary!$B$55*V1251</f>
        <v/>
      </c>
      <c r="P1251">
        <f>IF(B1284=0,0,O1251/B1284)</f>
        <v/>
      </c>
      <c r="Q1251">
        <f>IFERROR(1/IF(Inputs!$B$38="pvp",15,MAX(0.1,Skills!D4-IF(Skills!E4=TRUE,2.5,0))),0)</f>
        <v/>
      </c>
      <c r="R1251">
        <f>IF(AND(Inputs!$B$38&lt;&gt;"pvp",Inputs!$B$43&gt;0),IF(MAX(0,Inputs!$B$43-B1281)&lt;=0,0,(INT(MAX(0,Inputs!$B$43-B1281)/IF(Inputs!$B$38="pvp",15,MAX(0.1,Skills!D4-IF(Skills!E4=TRUE,2.5,0))))+1)),0)</f>
        <v/>
      </c>
      <c r="S1251">
        <f>IFERROR(O1251/N1251,0)</f>
        <v/>
      </c>
      <c r="T1251">
        <f>IF(C1251,(H1251*N1251*IF(AND(Inputs!$B$38&lt;&gt;"pvp",Inputs!$B$43&gt;0),((Skills!G4*((R1251-1)*IF(Skills!H4&gt;0,Skills!I4/Skills!H4,1)+IF(Skills!H4&gt;0,MIN(Skills!I4,MAX(0,MAX(0,Inputs!$B$43-B1281)-((R1251-1)*IF(Inputs!$B$38="pvp",15,MAX(0.1,Skills!D4-IF(Skills!E4=TRUE,2.5,0))))))/Skills!H4,1)))/Inputs!$B$43),G1251*Q1251))*IF(Inputs!$B$38="pvp",1,1+(Inputs!$B$20+0+Skills!P4)/100),0)</f>
        <v/>
      </c>
      <c r="U1251">
        <f>290*U1250/1000</f>
        <v/>
      </c>
      <c r="V1251">
        <f>IF(C1251,(H1251*N1251*IF(AND(Inputs!$B$38&lt;&gt;"pvp",Inputs!$B$43&gt;0),((Skills!G4*((R1251-1)*IF(Skills!H4&gt;0,Skills!I4/Skills!H4,1)+IF(Skills!H4&gt;0,MIN(Skills!I4,MAX(0,MAX(0,Inputs!$B$43-B1281)-((R1251-1)*IF(Inputs!$B$38="pvp",15,MAX(0.1,Skills!D4-IF(Skills!E4=TRUE,2.5,0))))))/Skills!H4,1)))/Inputs!$B$43),G1251*Q1251))*IF(Inputs!$B$38="pvp",1,(1+(Inputs!$B$21+Skills!Q4)/100)*(MIN(Skills!R4,Inputs!$B$37))),0)</f>
        <v/>
      </c>
    </row>
    <row r="1252">
      <c r="A1252">
        <f>Skills!A5</f>
        <v/>
      </c>
      <c r="B1252">
        <f>Skills!B5</f>
        <v/>
      </c>
      <c r="C1252">
        <f>Inputs!$B$3&gt;=66</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Inputs!$B$19+0)/100)))*(1+(Inputs!$B$24+0+B1280)/100)*(1+1.0*IF(C1259=TRUE,F1259,0)/100)*(1+(IF(Skills!A5="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1252)</f>
        <v/>
      </c>
      <c r="L1252">
        <f>K1252*(MIN(Inputs!$B$22+((C1269=TRUE)*(F1269-Calc!F22)),Inputs!$B$23+((C1271=TRUE)*(F1271-Calc!F24)))/100+(Inputs!$B$23+((C1271=TRUE)*(F1271-Calc!F24)))/100)/2</f>
        <v/>
      </c>
      <c r="M1252">
        <f>L1252*(1+(Inputs!$B$10+0+B1279)/100)</f>
        <v/>
      </c>
      <c r="N1252">
        <f>L1252*(1-MIN((Inputs!$B$9+0+B1274),100)/100)+M1252*(MIN((Inputs!$B$9+0+B1274),100)/100)</f>
        <v/>
      </c>
      <c r="O1252">
        <f>(1-Summary!$B$55)*T1252+Summary!$B$55*V1252</f>
        <v/>
      </c>
      <c r="P1252">
        <f>IF(B1284=0,0,O1252/B1284)</f>
        <v/>
      </c>
      <c r="Q1252">
        <f>IFERROR(1/IF(Inputs!$B$38="pvp",15,MAX(0.1,Skills!D5-IF(Skills!E5=TRUE,2.5,0))),0)</f>
        <v/>
      </c>
      <c r="R1252">
        <f>IF(AND(Inputs!$B$38&lt;&gt;"pvp",Inputs!$B$43&gt;0),IF(MAX(0,Inputs!$B$43-B1281)&lt;=0,0,(INT(MAX(0,Inputs!$B$43-B1281)/IF(Inputs!$B$38="pvp",15,MAX(0.1,Skills!D5-IF(Skills!E5=TRUE,2.5,0))))+1)),0)</f>
        <v/>
      </c>
      <c r="S1252">
        <f>IFERROR(O1252/N1252,0)</f>
        <v/>
      </c>
      <c r="T1252">
        <f>IF(C1252,(H1252*N1252*IF(AND(Inputs!$B$38&lt;&gt;"pvp",Inputs!$B$43&gt;0),((Skills!G5*((R1252-1)*IF(Skills!H5&gt;0,Skills!I5/Skills!H5,1)+IF(Skills!H5&gt;0,MIN(Skills!I5,MAX(0,MAX(0,Inputs!$B$43-B1281)-((R1252-1)*IF(Inputs!$B$38="pvp",15,MAX(0.1,Skills!D5-IF(Skills!E5=TRUE,2.5,0))))))/Skills!H5,1)))/Inputs!$B$43),G1252*Q1252))*IF(Inputs!$B$38="pvp",1,1+(Inputs!$B$20+0+Skills!P5)/100),0)</f>
        <v/>
      </c>
      <c r="V1252">
        <f>IF(C1252,(H1252*N1252*IF(AND(Inputs!$B$38&lt;&gt;"pvp",Inputs!$B$43&gt;0),((Skills!G5*((R1252-1)*IF(Skills!H5&gt;0,Skills!I5/Skills!H5,1)+IF(Skills!H5&gt;0,MIN(Skills!I5,MAX(0,MAX(0,Inputs!$B$43-B1281)-((R1252-1)*IF(Inputs!$B$38="pvp",15,MAX(0.1,Skills!D5-IF(Skills!E5=TRUE,2.5,0))))))/Skills!H5,1)))/Inputs!$B$43),G1252*Q1252))*IF(Inputs!$B$38="pvp",1,(1+(Inputs!$B$21+Skills!Q5)/100)*(MIN(Skills!R5,Inputs!$B$37))),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Inputs!$B$19+0)/100)))*(1+(Inputs!$B$24+0+B1280)/100)*(1+(IF(Skills!A6="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1253)</f>
        <v/>
      </c>
      <c r="L1253">
        <f>K1253*(MIN(Inputs!$B$22+((C1269=TRUE)*(F1269-Calc!F22)),Inputs!$B$23+((C1271=TRUE)*(F1271-Calc!F24)))/100+(Inputs!$B$23+((C1271=TRUE)*(F1271-Calc!F24)))/100)/2</f>
        <v/>
      </c>
      <c r="M1253">
        <f>L1253*(1+(Inputs!$B$10+0+B1279)/100)</f>
        <v/>
      </c>
      <c r="N1253">
        <f>L1253*(1-MIN((Inputs!$B$9+0+B1274),100)/100)+M1253*(MIN((Inputs!$B$9+0+B1274),100)/100)</f>
        <v/>
      </c>
      <c r="O1253">
        <f>(1-Summary!$B$55)*T1253+Summary!$B$55*V1253</f>
        <v/>
      </c>
      <c r="P1253">
        <f>IF(B1284=0,0,O1253/B1284)</f>
        <v/>
      </c>
      <c r="Q1253">
        <f>IFERROR(1/IF(Inputs!$B$38="pvp",15,MAX(0.1,Skills!D6-IF(Skills!E6=TRUE,2.5,0))),0)</f>
        <v/>
      </c>
      <c r="R1253">
        <f>IF(AND(Inputs!$B$38&lt;&gt;"pvp",Inputs!$B$43&gt;0),IF(MAX(0,Inputs!$B$43-B1281)&lt;=0,0,(INT(MAX(0,Inputs!$B$43-B1281)/IF(Inputs!$B$38="pvp",15,MAX(0.1,Skills!D6-IF(Skills!E6=TRUE,2.5,0))))+1)),0)</f>
        <v/>
      </c>
      <c r="S1253">
        <f>IFERROR(O1253/N1253,0)</f>
        <v/>
      </c>
      <c r="T1253">
        <f>IF(C1253,(H1253*N1253*IF(AND(Inputs!$B$38&lt;&gt;"pvp",Inputs!$B$43&gt;0),((Skills!G6*((R1253-1)*IF(Skills!H6&gt;0,Skills!I6/Skills!H6,1)+IF(Skills!H6&gt;0,MIN(Skills!I6,MAX(0,MAX(0,Inputs!$B$43-B1281)-((R1253-1)*IF(Inputs!$B$38="pvp",15,MAX(0.1,Skills!D6-IF(Skills!E6=TRUE,2.5,0))))))/Skills!H6,1)))/Inputs!$B$43),G1253*Q1253))*IF(Inputs!$B$38="pvp",1,1+(Inputs!$B$20+0+Skills!P6)/100),0)</f>
        <v/>
      </c>
      <c r="V1253">
        <f>IF(C1253,(H1253*N1253*IF(AND(Inputs!$B$38&lt;&gt;"pvp",Inputs!$B$43&gt;0),((Skills!G6*((R1253-1)*IF(Skills!H6&gt;0,Skills!I6/Skills!H6,1)+IF(Skills!H6&gt;0,MIN(Skills!I6,MAX(0,MAX(0,Inputs!$B$43-B1281)-((R1253-1)*IF(Inputs!$B$38="pvp",15,MAX(0.1,Skills!D6-IF(Skills!E6=TRUE,2.5,0))))))/Skills!H6,1)))/Inputs!$B$43),G1253*Q1253))*IF(Inputs!$B$38="pvp",1,(1+(Inputs!$B$21+Skills!Q6)/100)*(MIN(Skills!R6,Inputs!$B$37))),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Inputs!$B$19+0)/100)))*(1+(Inputs!$B$24+0+B1280)/100)*(1+(IF(Skills!A7="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1254)</f>
        <v/>
      </c>
      <c r="L1254">
        <f>K1254*(MIN(Inputs!$B$22+((C1269=TRUE)*(F1269-Calc!F22)),Inputs!$B$23+((C1271=TRUE)*(F1271-Calc!F24)))/100+(Inputs!$B$23+((C1271=TRUE)*(F1271-Calc!F24)))/100)/2</f>
        <v/>
      </c>
      <c r="M1254">
        <f>L1254*(1+(Inputs!$B$10+0+B1279)/100)</f>
        <v/>
      </c>
      <c r="N1254">
        <f>L1254*(1-MIN((Inputs!$B$9+0+B1274),100)/100)+M1254*(MIN((Inputs!$B$9+0+B1274),100)/100)</f>
        <v/>
      </c>
      <c r="O1254">
        <f>(1-Summary!$B$55)*T1254+Summary!$B$55*V1254</f>
        <v/>
      </c>
      <c r="P1254">
        <f>IF(B1284=0,0,O1254/B1284)</f>
        <v/>
      </c>
      <c r="Q1254">
        <f>IFERROR(1/IF(Inputs!$B$38="pvp",15,MAX(0.1,Skills!D7-IF(Skills!E7=TRUE,2.5,0))),0)</f>
        <v/>
      </c>
      <c r="R1254">
        <f>IF(AND(Inputs!$B$38&lt;&gt;"pvp",Inputs!$B$43&gt;0),IF(MAX(0,Inputs!$B$43-B1281)&lt;=0,0,(INT(MAX(0,Inputs!$B$43-B1281)/IF(Inputs!$B$38="pvp",15,MAX(0.1,Skills!D7-IF(Skills!E7=TRUE,2.5,0))))+1)),0)</f>
        <v/>
      </c>
      <c r="S1254">
        <f>IFERROR(O1254/N1254,0)</f>
        <v/>
      </c>
      <c r="T1254">
        <f>IF(C1254,(H1254*N1254*IF(AND(Inputs!$B$38&lt;&gt;"pvp",Inputs!$B$43&gt;0),((Skills!G7*((R1254-1)*IF(Skills!H7&gt;0,Skills!I7/Skills!H7,1)+IF(Skills!H7&gt;0,MIN(Skills!I7,MAX(0,MAX(0,Inputs!$B$43-B1281)-((R1254-1)*IF(Inputs!$B$38="pvp",15,MAX(0.1,Skills!D7-IF(Skills!E7=TRUE,2.5,0))))))/Skills!H7,1)))/Inputs!$B$43),G1254*Q1254))*IF(Inputs!$B$38="pvp",1,1+(Inputs!$B$20+0+Skills!P7)/100),0)</f>
        <v/>
      </c>
      <c r="V1254">
        <f>IF(C1254,(H1254*N1254*IF(AND(Inputs!$B$38&lt;&gt;"pvp",Inputs!$B$43&gt;0),((Skills!G7*((R1254-1)*IF(Skills!H7&gt;0,Skills!I7/Skills!H7,1)+IF(Skills!H7&gt;0,MIN(Skills!I7,MAX(0,MAX(0,Inputs!$B$43-B1281)-((R1254-1)*IF(Inputs!$B$38="pvp",15,MAX(0.1,Skills!D7-IF(Skills!E7=TRUE,2.5,0))))))/Skills!H7,1)))/Inputs!$B$43),G1254*Q1254))*IF(Inputs!$B$38="pvp",1,(1+(Inputs!$B$21+Skills!Q7)/100)*(MIN(Skills!R7,Inputs!$B$37))),0)</f>
        <v/>
      </c>
    </row>
    <row r="1255">
      <c r="A1255">
        <f>Skills!A8</f>
        <v/>
      </c>
      <c r="B1255">
        <f>Skills!B8</f>
        <v/>
      </c>
      <c r="C1255">
        <f>Inputs!$B$3&gt;=107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Inputs!$B$19+0)/100)))*(1+(Inputs!$B$24+0+B1280)/100)*(1+(IF(Skills!A8="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1255)</f>
        <v/>
      </c>
      <c r="L1255">
        <f>K1255*(MIN(Inputs!$B$22+((C1269=TRUE)*(F1269-Calc!F22)),Inputs!$B$23+((C1271=TRUE)*(F1271-Calc!F24)))/100+(Inputs!$B$23+((C1271=TRUE)*(F1271-Calc!F24)))/100)/2</f>
        <v/>
      </c>
      <c r="M1255">
        <f>L1255*(1+(Inputs!$B$10+0+B1279)/100)</f>
        <v/>
      </c>
      <c r="N1255">
        <f>L1255*(1-MIN((Inputs!$B$9+0+B1274),100)/100)+M1255*(MIN((Inputs!$B$9+0+B1274),100)/100)</f>
        <v/>
      </c>
      <c r="O1255">
        <f>(1-Summary!$B$55)*T1255+Summary!$B$55*V1255</f>
        <v/>
      </c>
      <c r="P1255">
        <f>IF(B1284=0,0,O1255/B1284)</f>
        <v/>
      </c>
      <c r="Q1255">
        <f>IFERROR(1/IF(Inputs!$B$38="pvp",15,MAX(0.1,Skills!D8-IF(Skills!E8=TRUE,2.5,0))),0)</f>
        <v/>
      </c>
      <c r="R1255">
        <f>IF(AND(Inputs!$B$38&lt;&gt;"pvp",Inputs!$B$43&gt;0),IF(MAX(0,Inputs!$B$43-B1281)&lt;=0,0,(INT(MAX(0,Inputs!$B$43-B1281)/IF(Inputs!$B$38="pvp",15,MAX(0.1,Skills!D8-IF(Skills!E8=TRUE,2.5,0))))+1)),0)</f>
        <v/>
      </c>
      <c r="S1255">
        <f>IFERROR(O1255/N1255,0)</f>
        <v/>
      </c>
      <c r="T1255">
        <f>IF(C1255,(H1255*N1255*IF(AND(Inputs!$B$38&lt;&gt;"pvp",Inputs!$B$43&gt;0),((Skills!G8*((R1255-1)*IF(Skills!H8&gt;0,Skills!I8/Skills!H8,1)+IF(Skills!H8&gt;0,MIN(Skills!I8,MAX(0,MAX(0,Inputs!$B$43-B1281)-((R1255-1)*IF(Inputs!$B$38="pvp",15,MAX(0.1,Skills!D8-IF(Skills!E8=TRUE,2.5,0))))))/Skills!H8,1)))/Inputs!$B$43),G1255*Q1255))*IF(Inputs!$B$38="pvp",1,1+(Inputs!$B$20+0+Skills!P8)/100),0)</f>
        <v/>
      </c>
      <c r="V1255">
        <f>IF(C1255,(H1255*N1255*IF(AND(Inputs!$B$38&lt;&gt;"pvp",Inputs!$B$43&gt;0),((Skills!G8*((R1255-1)*IF(Skills!H8&gt;0,Skills!I8/Skills!H8,1)+IF(Skills!H8&gt;0,MIN(Skills!I8,MAX(0,MAX(0,Inputs!$B$43-B1281)-((R1255-1)*IF(Inputs!$B$38="pvp",15,MAX(0.1,Skills!D8-IF(Skills!E8=TRUE,2.5,0))))))/Skills!H8,1)))/Inputs!$B$43),G1255*Q1255))*IF(Inputs!$B$38="pvp",1,(1+(Inputs!$B$21+Skills!Q8)/100)*(MIN(Skills!R8,Inputs!$B$37))),0)</f>
        <v/>
      </c>
    </row>
    <row r="1256">
      <c r="A1256">
        <f>Skills!A9</f>
        <v/>
      </c>
      <c r="B1256">
        <f>Skills!B9</f>
        <v/>
      </c>
      <c r="C1256">
        <f>Inputs!$B$3&gt;=125</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Inputs!$B$19+0)/100)))*(1+(Inputs!$B$24+0+B1280)/100)*(1+(IF(Skills!A9="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1256)</f>
        <v/>
      </c>
      <c r="L1256">
        <f>K1256*(MIN(Inputs!$B$22+((C1269=TRUE)*(F1269-Calc!F22)),Inputs!$B$23+((C1271=TRUE)*(F1271-Calc!F24)))/100+(Inputs!$B$23+((C1271=TRUE)*(F1271-Calc!F24)))/100)/2</f>
        <v/>
      </c>
      <c r="M1256">
        <f>L1256*(1+(Inputs!$B$10+0+B1279)/100)</f>
        <v/>
      </c>
      <c r="N1256">
        <f>L1256*(1-MIN((Inputs!$B$9+0+B1274),100)/100)+M1256*(MIN((Inputs!$B$9+0+B1274),100)/100)</f>
        <v/>
      </c>
      <c r="O1256">
        <f>(1-Summary!$B$55)*T1256+Summary!$B$55*V1256</f>
        <v/>
      </c>
      <c r="P1256">
        <f>IF(B1284=0,0,O1256/B1284)</f>
        <v/>
      </c>
      <c r="Q1256">
        <f>IFERROR(1/IF(Inputs!$B$38="pvp",15,MAX(0.1,Skills!D9-IF(Skills!E9=TRUE,2.5,0))),0)</f>
        <v/>
      </c>
      <c r="R1256">
        <f>IF(AND(Inputs!$B$38&lt;&gt;"pvp",Inputs!$B$43&gt;0),IF(MAX(0,Inputs!$B$43-B1281)&lt;=0,0,(INT(MAX(0,Inputs!$B$43-B1281)/IF(Inputs!$B$38="pvp",15,MAX(0.1,Skills!D9-IF(Skills!E9=TRUE,2.5,0))))+1)),0)</f>
        <v/>
      </c>
      <c r="S1256">
        <f>IFERROR(O1256/N1256,0)</f>
        <v/>
      </c>
      <c r="T1256">
        <f>IF(C1256,(H1256*N1256*IF(AND(Inputs!$B$38&lt;&gt;"pvp",Inputs!$B$43&gt;0),((Skills!G9*((R1256-1)*IF(Skills!H9&gt;0,Skills!I9/Skills!H9,1)+IF(Skills!H9&gt;0,MIN(Skills!I9,MAX(0,MAX(0,Inputs!$B$43-B1281)-((R1256-1)*IF(Inputs!$B$38="pvp",15,MAX(0.1,Skills!D9-IF(Skills!E9=TRUE,2.5,0))))))/Skills!H9,1)))/Inputs!$B$43),G1256*Q1256))*IF(Inputs!$B$38="pvp",1,1+(Inputs!$B$20+0+Skills!P9)/100),0)</f>
        <v/>
      </c>
      <c r="V1256">
        <f>IF(C1256,(H1256*N1256*IF(AND(Inputs!$B$38&lt;&gt;"pvp",Inputs!$B$43&gt;0),((Skills!G9*((R1256-1)*IF(Skills!H9&gt;0,Skills!I9/Skills!H9,1)+IF(Skills!H9&gt;0,MIN(Skills!I9,MAX(0,MAX(0,Inputs!$B$43-B1281)-((R1256-1)*IF(Inputs!$B$38="pvp",15,MAX(0.1,Skills!D9-IF(Skills!E9=TRUE,2.5,0))))))/Skills!H9,1)))/Inputs!$B$43),G1256*Q1256))*IF(Inputs!$B$38="pvp",1,(1+(Inputs!$B$21+Skills!Q9)/100)*(MIN(Skills!R9,Inputs!$B$37))),0)</f>
        <v/>
      </c>
    </row>
    <row r="1257">
      <c r="A1257">
        <f>Skills!A10</f>
        <v/>
      </c>
      <c r="B1257">
        <f>Skills!B10</f>
        <v/>
      </c>
      <c r="C1257">
        <f>Inputs!$B$3&gt;=117</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Inputs!$B$19+0)/100)))*(1+(Inputs!$B$24+0+B1280)/100)*(1+(IF(Skills!A10="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1257)</f>
        <v/>
      </c>
      <c r="L1257">
        <f>K1257*(MIN(Inputs!$B$22+((C1269=TRUE)*(F1269-Calc!F22)),Inputs!$B$23+((C1271=TRUE)*(F1271-Calc!F24)))/100+(Inputs!$B$23+((C1271=TRUE)*(F1271-Calc!F24)))/100)/2</f>
        <v/>
      </c>
      <c r="M1257">
        <f>L1257*(1+(Inputs!$B$10+0+B1279)/100)</f>
        <v/>
      </c>
      <c r="N1257">
        <f>L1257*(1-MIN((Inputs!$B$9+0+B1274),100)/100)+M1257*(MIN((Inputs!$B$9+0+B1274),100)/100)</f>
        <v/>
      </c>
      <c r="O1257">
        <f>(1-Summary!$B$55)*T1257+Summary!$B$55*V1257</f>
        <v/>
      </c>
      <c r="P1257">
        <f>IF(B1284=0,0,O1257/B1284)</f>
        <v/>
      </c>
      <c r="Q1257">
        <f>IFERROR(1/IF(Inputs!$B$38="pvp",15,MAX(0.1,Skills!D10-IF(Skills!E10=TRUE,2.5,0))),0)</f>
        <v/>
      </c>
      <c r="R1257">
        <f>IF(AND(Inputs!$B$38&lt;&gt;"pvp",Inputs!$B$43&gt;0),IF(MAX(0,Inputs!$B$43-B1281)&lt;=0,0,(INT(MAX(0,Inputs!$B$43-B1281)/IF(Inputs!$B$38="pvp",15,MAX(0.1,Skills!D10-IF(Skills!E10=TRUE,2.5,0))))+1)),0)</f>
        <v/>
      </c>
      <c r="S1257">
        <f>IFERROR(O1257/N1257,0)</f>
        <v/>
      </c>
      <c r="T1257">
        <f>IF(C1257,(H1257*N1257*IF(AND(Inputs!$B$38&lt;&gt;"pvp",Inputs!$B$43&gt;0),((Skills!G10*((R1257-1)*IF(Skills!H10&gt;0,Skills!I10/Skills!H10,1)+IF(Skills!H10&gt;0,MIN(Skills!I10,MAX(0,MAX(0,Inputs!$B$43-B1281)-((R1257-1)*IF(Inputs!$B$38="pvp",15,MAX(0.1,Skills!D10-IF(Skills!E10=TRUE,2.5,0))))))/Skills!H10,1)))/Inputs!$B$43),G1257*Q1257))*IF(Inputs!$B$38="pvp",1,1+(Inputs!$B$20+0+Skills!P10)/100),0)</f>
        <v/>
      </c>
      <c r="V1257">
        <f>IF(C1257,(H1257*N1257*IF(AND(Inputs!$B$38&lt;&gt;"pvp",Inputs!$B$43&gt;0),((Skills!G10*((R1257-1)*IF(Skills!H10&gt;0,Skills!I10/Skills!H10,1)+IF(Skills!H10&gt;0,MIN(Skills!I10,MAX(0,MAX(0,Inputs!$B$43-B1281)-((R1257-1)*IF(Inputs!$B$38="pvp",15,MAX(0.1,Skills!D10-IF(Skills!E10=TRUE,2.5,0))))))/Skills!H10,1)))/Inputs!$B$43),G1257*Q1257))*IF(Inputs!$B$38="pvp",1,(1+(Inputs!$B$21+Skills!Q10)/100)*(MIN(Skills!R10,Inputs!$B$37))),0)</f>
        <v/>
      </c>
    </row>
    <row r="1258">
      <c r="A1258">
        <f>Skills!A11</f>
        <v/>
      </c>
      <c r="B1258">
        <f>Skills!B11</f>
        <v/>
      </c>
      <c r="C1258">
        <f>Inputs!$B$3&gt;=63</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Inputs!$B$19+0)/100)))*(1+(Inputs!$B$24+0+B1280)/100)*(1+1.5*IF(C1259=TRUE,F1259,0)/100)*(1+(IF(Skills!A11="BLAST",Inputs!$B$17+((C1268=TRUE)*(F1268-Calc!F21)),Inputs!$B$18+((C1270=TRUE)*(F1270-Calc!F23))))/100)*((1+(((C1260=TRUE)*F1260*MIN(1,Skills!T13*(Skills!J13/100)*B1278))+((C1265=TRUE)*F1265*IF(AND(Inputs!$B$38&lt;&gt;"pvp",Inputs!$B$43&gt;0),(((R1265-1)*(Skills!T18*(1+Inputs!$B$34/100))+MIN((Skills!T18*(1+Inputs!$B$34/100)),MAX(0,Inputs!$B$43-((R1265-1)*Skills!D18))))/Inputs!$B$43),IF(Inputs!$B$38="pvp",MIN((Skills!T18*(1+Inputs!$B$34/100)),15)/15,(Skills!T18*(1+Inputs!$B$34/100))/Skills!D18)))+0)/100)*I1258)</f>
        <v/>
      </c>
      <c r="L1258">
        <f>K1258*(MIN(Inputs!$B$22+((C1269=TRUE)*(F1269-Calc!F22)),Inputs!$B$23+((C1271=TRUE)*(F1271-Calc!F24)))/100+(Inputs!$B$23+((C1271=TRUE)*(F1271-Calc!F24)))/100)/2</f>
        <v/>
      </c>
      <c r="M1258">
        <f>L1258*(1+(Inputs!$B$10+0+B1279)/100)</f>
        <v/>
      </c>
      <c r="N1258">
        <f>L1258*(1-MIN((Inputs!$B$9+0+B1274),100)/100)+M1258*(MIN((Inputs!$B$9+0+B1274),100)/100)</f>
        <v/>
      </c>
      <c r="O1258">
        <f>(1-Summary!$B$55)*T1258+Summary!$B$55*V1258</f>
        <v/>
      </c>
      <c r="P1258">
        <f>IF(B1284=0,0,O1258/B1284)</f>
        <v/>
      </c>
      <c r="Q1258">
        <f>IFERROR(1/IF(Inputs!$B$38="pvp",15,MAX(0.1,Skills!D11-IF(Skills!E11=TRUE,2.5,0))),0)</f>
        <v/>
      </c>
      <c r="R1258">
        <f>IF(AND(Inputs!$B$38&lt;&gt;"pvp",Inputs!$B$43&gt;0),IF(MAX(0,Inputs!$B$43-B1281)&lt;=0,0,(INT(MAX(0,Inputs!$B$43-B1281)/IF(Inputs!$B$38="pvp",15,MAX(0.1,Skills!D11-IF(Skills!E11=TRUE,2.5,0))))+1)),0)</f>
        <v/>
      </c>
      <c r="S1258">
        <f>IFERROR(O1258/N1258,0)</f>
        <v/>
      </c>
      <c r="T1258">
        <f>IF(C1258,(H1258*N1258*IF(AND(Inputs!$B$38&lt;&gt;"pvp",Inputs!$B$43&gt;0),((Skills!G11*((R1258-1)*IF(Skills!H11&gt;0,Skills!I11/Skills!H11,1)+IF(Skills!H11&gt;0,MIN(Skills!I11,MAX(0,MAX(0,Inputs!$B$43-B1281)-((R1258-1)*IF(Inputs!$B$38="pvp",15,MAX(0.1,Skills!D11-IF(Skills!E11=TRUE,2.5,0))))))/Skills!H11,1)))/Inputs!$B$43),G1258*Q1258))*IF(Inputs!$B$38="pvp",1,1+(Inputs!$B$20+0+Skills!P11)/100),0)</f>
        <v/>
      </c>
      <c r="V1258">
        <f>IF(C1258,(H1258*N1258*IF(AND(Inputs!$B$38&lt;&gt;"pvp",Inputs!$B$43&gt;0),((Skills!G11*((R1258-1)*IF(Skills!H11&gt;0,Skills!I11/Skills!H11,1)+IF(Skills!H11&gt;0,MIN(Skills!I11,MAX(0,MAX(0,Inputs!$B$43-B1281)-((R1258-1)*IF(Inputs!$B$38="pvp",15,MAX(0.1,Skills!D11-IF(Skills!E11=TRUE,2.5,0))))))/Skills!H11,1)))/Inputs!$B$43),G1258*Q1258))*IF(Inputs!$B$38="pvp",1,(1+(Inputs!$B$21+Skills!Q11)/100)*(MIN(Skills!R11,Inputs!$B$37))),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(1-Summary!$B$55)*T1260+Summary!$B$55*V1260</f>
        <v/>
      </c>
      <c r="P1260">
        <f>IF(B1284=0,0,O1260/B1284)</f>
        <v/>
      </c>
      <c r="Q1260" t="n">
        <v>0</v>
      </c>
      <c r="R1260" t="n">
        <v>0</v>
      </c>
      <c r="S1260">
        <f>IFERROR(O1260/N1260,0)</f>
        <v/>
      </c>
      <c r="T1260" t="n">
        <v>0</v>
      </c>
      <c r="V1260" t="n">
        <v>0</v>
      </c>
    </row>
    <row r="1261">
      <c r="A1261">
        <f>Skills!A14</f>
        <v/>
      </c>
      <c r="B1261">
        <f>Skills!B14</f>
        <v/>
      </c>
      <c r="C1261">
        <f>Inputs!$B$3&gt;=110</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(1-Summary!$B$55)*T1261+Summary!$B$55*V1261</f>
        <v/>
      </c>
      <c r="P1261">
        <f>IF(B1284=0,0,O1261/B1284)</f>
        <v/>
      </c>
      <c r="Q1261" t="n">
        <v>0</v>
      </c>
      <c r="R1261" t="n">
        <v>0</v>
      </c>
      <c r="S1261">
        <f>IFERROR(O1261/N1261,0)</f>
        <v/>
      </c>
      <c r="T1261" t="n">
        <v>0</v>
      </c>
      <c r="V1261" t="n">
        <v>0</v>
      </c>
    </row>
    <row r="1262">
      <c r="A1262">
        <f>Skills!A15</f>
        <v/>
      </c>
      <c r="B1262">
        <f>Skills!B15</f>
        <v/>
      </c>
      <c r="C1262">
        <f>Inputs!$B$3&gt;=75</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(1-Summary!$B$55)*T1262+Summary!$B$55*V1262</f>
        <v/>
      </c>
      <c r="P1262">
        <f>IF(B1284=0,0,O1262/B1284)</f>
        <v/>
      </c>
      <c r="Q1262">
        <f>IFERROR(1/IF(Inputs!$B$38="pvp",15,MAX(0.1,Skills!D15-IF(Skills!E15=TRUE,2.5,0))),0)</f>
        <v/>
      </c>
      <c r="R1262">
        <f>IF(AND(Inputs!$B$38&lt;&gt;"pvp",Inputs!$B$43&gt;0),IF(Inputs!$B$43&lt;=0,0,(INT(Inputs!$B$43/IF(Inputs!$B$38="pvp",15,MAX(0.1,Skills!D15-IF(Skills!E15=TRUE,2.5,0))))+1)),0)</f>
        <v/>
      </c>
      <c r="S1262">
        <f>IFERROR(O1262/N1262,0)</f>
        <v/>
      </c>
      <c r="T1262" t="n">
        <v>0</v>
      </c>
      <c r="V1262" t="n">
        <v>0</v>
      </c>
    </row>
    <row r="1263">
      <c r="A1263">
        <f>Skills!A16</f>
        <v/>
      </c>
      <c r="B1263">
        <f>Skills!B16</f>
        <v/>
      </c>
      <c r="C1263">
        <f>Inputs!$B$3&gt;=105</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(1-Summary!$B$55)*T1263+Summary!$B$55*V1263</f>
        <v/>
      </c>
      <c r="P1263">
        <f>IF(B1284=0,0,O1263/B1284)</f>
        <v/>
      </c>
      <c r="Q1263">
        <f>IFERROR(1/IF(Inputs!$B$38="pvp",15,MAX(0.1,Skills!D16-IF(Skills!E16=TRUE,2.5,0))),0)</f>
        <v/>
      </c>
      <c r="R1263">
        <f>IF(AND(Inputs!$B$38&lt;&gt;"pvp",Inputs!$B$43&gt;0),IF(Inputs!$B$43&lt;=0,0,(INT(Inputs!$B$43/IF(Inputs!$B$38="pvp",15,MAX(0.1,Skills!D16-IF(Skills!E16=TRUE,2.5,0))))+1)),0)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(1-Summary!$B$55)*T1264+Summary!$B$55*V1264</f>
        <v/>
      </c>
      <c r="P1264">
        <f>IF(B1284=0,0,O1264/B1284)</f>
        <v/>
      </c>
      <c r="Q1264">
        <f>IFERROR(1/IF(Inputs!$B$38="pvp",15,MAX(0.1,Skills!D17-IF(Skills!E17=TRUE,2.5,0))),0)</f>
        <v/>
      </c>
      <c r="R1264">
        <f>IF(AND(Inputs!$B$38&lt;&gt;"pvp",Inputs!$B$43&gt;0),IF(Inputs!$B$43&lt;=0,0,(INT(Inputs!$B$43/IF(Inputs!$B$38="pvp",15,MAX(0.1,Skills!D17-IF(Skills!E17=TRUE,2.5,0))))+1)),0)</f>
        <v/>
      </c>
      <c r="S1264">
        <f>IFERROR(O1264/N1264,0)</f>
        <v/>
      </c>
      <c r="T1264" t="n">
        <v>0</v>
      </c>
      <c r="V1264" t="n">
        <v>0</v>
      </c>
    </row>
    <row r="1265">
      <c r="A1265">
        <f>Skills!A18</f>
        <v/>
      </c>
      <c r="B1265">
        <f>Skills!B18</f>
        <v/>
      </c>
      <c r="C1265">
        <f>Inputs!$B$3&gt;=74</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(1-Summary!$B$55)*T1265+Summary!$B$55*V1265</f>
        <v/>
      </c>
      <c r="P1265">
        <f>IF(B1284=0,0,O1265/B1284)</f>
        <v/>
      </c>
      <c r="Q1265">
        <f>IFERROR(1/IF(Inputs!$B$38="pvp",15,MAX(0.1,Skills!D18-IF(Skills!E18=TRUE,2.5,0))),0)</f>
        <v/>
      </c>
      <c r="R1265">
        <f>IF(AND(Inputs!$B$38&lt;&gt;"pvp",Inputs!$B$43&gt;0),IF(Inputs!$B$43&lt;=0,0,(INT(Inputs!$B$43/IF(Inputs!$B$38="pvp",15,MAX(0.1,Skills!D18-IF(Skills!E18=TRUE,2.5,0))))+1)),0)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(1-Summary!$B$55)*T1266+Summary!$B$55*V1266</f>
        <v/>
      </c>
      <c r="P1266">
        <f>IF(B1284=0,0,O1266/B1284)</f>
        <v/>
      </c>
      <c r="Q1266">
        <f>IFERROR(1/IF(Inputs!$B$38="pvp",15,MAX(0.1,Skills!D19-IF(Skills!E19=TRUE,2.5,0))),0)</f>
        <v/>
      </c>
      <c r="R1266">
        <f>IF(AND(Inputs!$B$38&lt;&gt;"pvp",Inputs!$B$43&gt;0),IF(Inputs!$B$43&lt;=0,0,(INT(Inputs!$B$43/IF(Inputs!$B$38="pvp",15,MAX(0.1,Skills!D19-IF(Skills!E19=TRUE,2.5,0))))+1)),0)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(1-Summary!$B$55)*T1267+Summary!$B$55*V1267</f>
        <v/>
      </c>
      <c r="P1267">
        <f>IF(B1284=0,0,O1267/B1284)</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(1-Summary!$B$55)*T1268+Summary!$B$55*V1268</f>
        <v/>
      </c>
      <c r="P1268">
        <f>IF(B1284=0,0,O1268/B1284)</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(1-Summary!$B$55)*T1269+Summary!$B$55*V1269</f>
        <v/>
      </c>
      <c r="P1269">
        <f>IF(B1284=0,0,O1269/B1284)</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(1-Summary!$B$55)*T1270+Summary!$B$55*V1270</f>
        <v/>
      </c>
      <c r="P1270">
        <f>IF(B1284=0,0,O1270/B1284)</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(1-Summary!$B$55)*T1271+Summary!$B$55*V1271</f>
        <v/>
      </c>
      <c r="P1271">
        <f>IF(B1284=0,0,O1271/B1284)</f>
        <v/>
      </c>
      <c r="Q1271" t="n">
        <v>0</v>
      </c>
      <c r="R1271" t="n">
        <v>0</v>
      </c>
      <c r="S1271">
        <f>IFERROR(O1271/N1271,0)</f>
        <v/>
      </c>
      <c r="T1271" t="n">
        <v>0</v>
      </c>
      <c r="V1271" t="n">
        <v>0</v>
      </c>
    </row>
    <row r="1273">
      <c r="A1273" t="inlineStr">
        <is>
          <t>Attack% Bucket Multiplier</t>
        </is>
      </c>
      <c r="B1273">
        <f>(1+(((C1260=TRUE)*F1260*MIN(1,Skills!T13*(Skills!J13/100)*B1278))+((C1265=TRUE)*F1265*IF(AND(Inputs!$B$38&lt;&gt;"pvp",Inputs!$B$43&gt;0),(((R1265-1)*(Skills!T18*(1+Inputs!$B$34/100))+MIN((Skills!T18*(1+Inputs!$B$34/100)),MAX(0,Inputs!$B$43-((R1265-1)*Skills!D18))))/Inputs!$B$43),IF(Inputs!$B$38="pvp",MIN((Skills!T18*(1+Inputs!$B$34/100)),15)/15,(Skills!T18*(1+Inputs!$B$34/100))/Skills!D18)))+0)/100)</f>
        <v/>
      </c>
    </row>
    <row r="1274">
      <c r="A1274" t="inlineStr">
        <is>
          <t>Global Crit Rate Bonus %</t>
        </is>
      </c>
      <c r="B1274" t="n">
        <v>0</v>
      </c>
    </row>
    <row r="1275">
      <c r="A1275" t="inlineStr">
        <is>
          <t>Attack Speed Buff Bonus %</t>
        </is>
      </c>
      <c r="B1275">
        <f>((C1266=TRUE)*F1266*IF(AND(Inputs!$B$38&lt;&gt;"pvp",Inputs!$B$43&gt;0),(((R1266-1)*(Skills!T19*(1+Inputs!$B$34/100))+MIN((Skills!T19*(1+Inputs!$B$34/100)),MAX(0,Inputs!$B$43-((R1266-1)*Skills!D19))))/Inputs!$B$43),IF(Inputs!$B$38="pvp",MIN((Skills!T19*(1+Inputs!$B$34/100)),15)/15,(Skills!T19*(1+Inputs!$B$34/100))/Skills!D19)))</f>
        <v/>
      </c>
    </row>
    <row r="1276">
      <c r="A1276" t="inlineStr">
        <is>
          <t>Actions Per Second</t>
        </is>
      </c>
      <c r="B1276">
        <f>1+MIN(150,150*(1-(1-(Inputs!$B$11+((C1267=TRUE)*(F1267-Calc!F20)))/150)*(1-B1275/150)))/100</f>
        <v/>
      </c>
    </row>
    <row r="1277">
      <c r="A1277" t="inlineStr">
        <is>
          <t>Skill + Buff Cast Rate</t>
        </is>
      </c>
      <c r="B1277">
        <f>IF(AND(Inputs!$B$38&lt;&gt;"pvp",Inputs!$B$43&gt;0),SUMPRODUCT((Skills!E2:E24=TRUE)*(C1249:C1271=TRUE)*R1249:R1271*Skills!F2:F24)/Inputs!$B$43,SUMPRODUCT((Skills!E2:E24=TRUE)*(C1249:C1271=TRUE)*Q1249:Q1271*Skills!F2:F24))</f>
        <v/>
      </c>
    </row>
    <row r="1278">
      <c r="A1278" t="inlineStr">
        <is>
          <t>Blast Casts Per Second</t>
        </is>
      </c>
      <c r="B1278">
        <f>MAX(0,B1276-B1277)</f>
        <v/>
      </c>
    </row>
    <row r="1279">
      <c r="A1279" t="inlineStr">
        <is>
          <t>Global Critical Damage Bonus % (unused)</t>
        </is>
      </c>
      <c r="B1279" t="n">
        <v>0</v>
      </c>
    </row>
    <row r="1280">
      <c r="A1280" t="inlineStr">
        <is>
          <t>Global Final Damage Bonus % (Divine Shield + Guardian + Divine Blessing + Greater Vessel of Light)</t>
        </is>
      </c>
      <c r="B1280">
        <f>((C1262=TRUE)*F1262*IF(AND(Inputs!$B$38&lt;&gt;"pvp",Inputs!$B$43&gt;0),(((R1262-1)*(Skills!T15*(1+Inputs!$B$34/100))+MIN((Skills!T15*(1+Inputs!$B$34/100)),MAX(0,Inputs!$B$43-((R1262-1)*Skills!D15))))/Inputs!$B$43),IF(Inputs!$B$38="pvp",MIN((Skills!T15*(1+Inputs!$B$34/100)),15)/15,(Skills!T15*(1+Inputs!$B$34/100))/Skills!D15)))+((C1263=TRUE)*F1263*IF(AND(Inputs!$B$38&lt;&gt;"pvp",Inputs!$B$43&gt;0),(((R1263-1)*(Skills!T16*(1+Inputs!$B$34/100))+MIN((Skills!T16*(1+Inputs!$B$34/100)),MAX(0,Inputs!$B$43-((R1263-1)*Skills!D16))))/Inputs!$B$43),IF(Inputs!$B$38="pvp",MIN((Skills!T16*(1+Inputs!$B$34/100)),15)/15,(Skills!T16*(1+Inputs!$B$34/100))/Skills!D16)))+((C1264=TRUE)*F1264*IF(AND(Inputs!$B$38&lt;&gt;"pvp",Inputs!$B$43&gt;0),(((R1264-1)*(Skills!T17*(1+Inputs!$B$34/100))+MIN((Skills!T17*(1+Inputs!$B$34/100)),MAX(0,Inputs!$B$43-((R1264-1)*Skills!D17))))/Inputs!$B$43),IF(Inputs!$B$38="pvp",MIN((Skills!T17*(1+Inputs!$B$34/100)),15)/15,(Skills!T17*(1+Inputs!$B$34/100))/Skills!D17)))+((C1261=TRUE)*F1261*MIN(1,Skills!T13*(Skills!J13/100)*B1278))</f>
        <v/>
      </c>
    </row>
    <row r="1281">
      <c r="A1281" t="inlineStr">
        <is>
          <t>Buff-Casting Startup Delay (s, fixed-duration only)</t>
        </is>
      </c>
      <c r="B1281">
        <f>IF(AND(Inputs!$B$38&lt;&gt;"pvp",Inputs!$B$43&gt;0),SUMPRODUCT((Skills!T2:T24&gt;0)*(Skills!E2:E24=TRUE)*(C1249:C1271=TRUE))/B1276,0)</f>
        <v/>
      </c>
    </row>
    <row r="1282">
      <c r="A1282" t="inlineStr">
        <is>
          <t>Boss-Only Total DPS (this block's swept value)</t>
        </is>
      </c>
      <c r="B1282">
        <f>SUM(T1249:T1271)</f>
        <v/>
      </c>
    </row>
    <row r="1283">
      <c r="A1283" t="inlineStr">
        <is>
          <t>Normal-Only Total DPS (this block's swept value)</t>
        </is>
      </c>
      <c r="B1283">
        <f>SUM(V1249:V1271)</f>
        <v/>
      </c>
    </row>
    <row r="1284">
      <c r="A1284" s="5" t="inlineStr">
        <is>
          <t>TOTAL DPS</t>
        </is>
      </c>
      <c r="B1284" s="5">
        <f>SUM(O1249:O1271)</f>
        <v/>
      </c>
    </row>
    <row r="1287">
      <c r="A1287" s="5" t="inlineStr">
        <is>
          <t>Stat: CDR = 3.0s</t>
        </is>
      </c>
    </row>
    <row r="1288">
      <c r="A1288" s="9" t="inlineStr">
        <is>
          <t>Key</t>
        </is>
      </c>
      <c r="B1288" s="9" t="inlineStr">
        <is>
          <t>Name</t>
        </is>
      </c>
      <c r="C1288" s="9" t="inlineStr">
        <is>
          <t>Unlocked</t>
        </is>
      </c>
      <c r="D1288" s="9" t="inlineStr">
        <is>
          <t>InputLevel</t>
        </is>
      </c>
      <c r="E1288" s="9" t="inlineStr">
        <is>
          <t>Factor</t>
        </is>
      </c>
      <c r="F1288" s="9" t="inlineStr">
        <is>
          <t>CoefficientPercent</t>
        </is>
      </c>
      <c r="G1288" s="9" t="inlineStr">
        <is>
          <t>EffectiveHits</t>
        </is>
      </c>
      <c r="H1288" s="9" t="inlineStr">
        <is>
          <t>ProcProbability</t>
        </is>
      </c>
      <c r="I1288" s="9" t="inlineStr">
        <is>
          <t>MapleHeroMultiplier</t>
        </is>
      </c>
      <c r="J1288" s="9" t="inlineStr">
        <is>
          <t>BaseDamage</t>
        </is>
      </c>
      <c r="K1288" s="9" t="inlineStr">
        <is>
          <t>BaseHitDamage</t>
        </is>
      </c>
      <c r="L1288" s="9" t="inlineStr">
        <is>
          <t>NonCritAvg</t>
        </is>
      </c>
      <c r="M1288" s="9" t="inlineStr">
        <is>
          <t>CritAvg</t>
        </is>
      </c>
      <c r="N1288" s="9" t="inlineStr">
        <is>
          <t>ExpectedDamage(perHit)</t>
        </is>
      </c>
      <c r="O1288" s="9" t="inlineStr">
        <is>
          <t>DPS</t>
        </is>
      </c>
      <c r="P1288" s="9" t="inlineStr">
        <is>
          <t>% of Total</t>
        </is>
      </c>
      <c r="Q1288" s="9" t="inlineStr">
        <is>
          <t>InvCooldown</t>
        </is>
      </c>
      <c r="R1288" s="9" t="inlineStr">
        <is>
          <t>CastsInFight</t>
        </is>
      </c>
      <c r="S1288" s="9" t="inlineStr">
        <is>
          <t>HitRate(perSec)</t>
        </is>
      </c>
      <c r="U1288" t="inlineStr">
        <is>
          <t>helpers</t>
        </is>
      </c>
    </row>
    <row r="1289">
      <c r="A1289">
        <f>Skills!A2</f>
        <v/>
      </c>
      <c r="B1289">
        <f>Skills!B2</f>
        <v/>
      </c>
      <c r="C1289">
        <f>Inputs!$B$3&gt;=100</f>
        <v/>
      </c>
      <c r="D1289" t="inlineStr"/>
      <c r="E1289" t="inlineStr"/>
      <c r="F1289">
        <f>U1291+Skills!O2</f>
        <v/>
      </c>
      <c r="G1289">
        <f>Skills!G2*IF(Skills!H2&gt;0,Skills!I2/Skills!H2,1)</f>
        <v/>
      </c>
      <c r="H1289">
        <f>1-(1-Skills!J2/100)^Skills!K2</f>
        <v/>
      </c>
      <c r="I1289" t="inlineStr">
        <is>
          <t>1</t>
        </is>
      </c>
      <c r="J1289">
        <f>((Inputs!$B$6*(1+Inputs!$B$7/100))+(((Inputs!$B$12*(1+Inputs!$B$13/100))-(Inputs!$B$12*(1+Inputs!$B$13/100)))+0.25*(Inputs!$B$14-Inputs!$B$14))*(1+Inputs!$B$7/100))*(F1289/100)</f>
        <v/>
      </c>
      <c r="K1289">
        <f>J1289*(1+((Inputs!$B$12*(1+Inputs!$B$13/100))*0.01+Inputs!$B$14*0.0025)/100)*(1+Inputs!$B$15/100)*(1+Inputs!$B$16/100)*(5000/(6000+Inputs!$B$42*(1-(Inputs!$B$19+0)/100)))*(1+(Inputs!$B$24+0+B1320)/100)*(1+(IF(Skills!A2="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1289)</f>
        <v/>
      </c>
      <c r="L1289">
        <f>K1289*(MIN(Inputs!$B$22+((C1309=TRUE)*(F1309-Calc!F22)),Inputs!$B$23+((C1311=TRUE)*(F1311-Calc!F24)))/100+(Inputs!$B$23+((C1311=TRUE)*(F1311-Calc!F24)))/100)/2</f>
        <v/>
      </c>
      <c r="M1289">
        <f>L1289*(1+(Inputs!$B$10+0+B1319)/100)</f>
        <v/>
      </c>
      <c r="N1289">
        <f>L1289*(1-MIN((Inputs!$B$9+0+B1314),100)/100)+M1289*(MIN((Inputs!$B$9+0+B1314),100)/100)</f>
        <v/>
      </c>
      <c r="O1289">
        <f>(1-Summary!$B$55)*T1289+Summary!$B$55*V1289</f>
        <v/>
      </c>
      <c r="P1289">
        <f>IF(B1324=0,0,O1289/B1324)</f>
        <v/>
      </c>
      <c r="Q1289" t="n">
        <v>0</v>
      </c>
      <c r="R1289" t="n">
        <v>0</v>
      </c>
      <c r="S1289">
        <f>IFERROR(O1289/N1289,0)</f>
        <v/>
      </c>
      <c r="T1289">
        <f>IF(C1289,(Skills!G2*N1289*B1318)*IF(Inputs!$B$38="pvp",1,1+(Inputs!$B$20+0+Skills!P2)/100),0)</f>
        <v/>
      </c>
      <c r="U1289">
        <f>MAX(0,(Inputs!$B$3-100)*3)+Inputs!$B$28+Inputs!$B$29</f>
        <v/>
      </c>
      <c r="V1289">
        <f>IF(C1289,(Skills!G2*N1289*B1318)*IF(Inputs!$B$38="pvp",1,(1+(Inputs!$B$21+Skills!Q2)/100)*(MIN((6+Inputs!$B$33),Inputs!$B$37))),0)</f>
        <v/>
      </c>
    </row>
    <row r="1290">
      <c r="A1290">
        <f>Skills!A3</f>
        <v/>
      </c>
      <c r="B1290">
        <f>Skills!B3</f>
        <v/>
      </c>
      <c r="C1290">
        <f>Inputs!$B$3&gt;=50</f>
        <v/>
      </c>
      <c r="D1290">
        <f>IF(Skills!C3=1,60+Inputs!$B$25+Inputs!$B$29,IF(Skills!C3=2,90+Inputs!$B$26+Inputs!$B$29,IF(Skills!C3=3,120+Inputs!$B$27+Inputs!$B$29,MAX(0,(Inputs!$B$3-100)*3)+Inputs!$B$28+Inputs!$B$29)))</f>
        <v/>
      </c>
      <c r="E1290">
        <f>INDEX(FactorTable!$B$2:$Y$301, MATCH(ROUND(MIN(300,MAX(1,D1290)),0), FactorTable!$A$2:$A$301,0), Skills!M3+1)</f>
        <v/>
      </c>
      <c r="F1290">
        <f>IF(Skills!N3=TRUE,(Skills!L3/10)*(E1290/1000),Skills!L3/10)+Skills!O3</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U1290">
        <f>INDEX(FactorTable!$B$2:$Y$301, MATCH(ROUND(MIN(300,MAX(1,U1289)),0), FactorTable!$A$2:$A$301,0), 22)</f>
        <v/>
      </c>
    </row>
    <row r="1291">
      <c r="A1291">
        <f>Skills!A4</f>
        <v/>
      </c>
      <c r="B1291">
        <f>Skills!B4</f>
        <v/>
      </c>
      <c r="C1291">
        <f>Inputs!$B$3&gt;=35</f>
        <v/>
      </c>
      <c r="D1291">
        <f>IF(Skills!C4=1,60+Inputs!$B$25+Inputs!$B$29,IF(Skills!C4=2,90+Inputs!$B$26+Inputs!$B$29,IF(Skills!C4=3,120+Inputs!$B$27+Inputs!$B$29,MAX(0,(Inputs!$B$3-100)*3)+Inputs!$B$28+Inputs!$B$29)))</f>
        <v/>
      </c>
      <c r="E1291">
        <f>INDEX(FactorTable!$B$2:$Y$301, MATCH(ROUND(MIN(300,MAX(1,D1291)),0), FactorTable!$A$2:$A$301,0), Skills!M4+1)</f>
        <v/>
      </c>
      <c r="F1291">
        <f>IF(Skills!N4=TRUE,(Skills!L4/10)*(E1291/1000),Skills!L4/10)+Skills!O4</f>
        <v/>
      </c>
      <c r="G1291">
        <f>Skills!G4*IF(Skills!H4&gt;0,Skills!I4/Skills!H4,1)</f>
        <v/>
      </c>
      <c r="H1291">
        <f>1-(1-Skills!J4/100)^Skills!K4</f>
        <v/>
      </c>
      <c r="I1291" t="inlineStr">
        <is>
          <t>1</t>
        </is>
      </c>
      <c r="J1291">
        <f>((Inputs!$B$6*(1+Inputs!$B$7/100))+(((Inputs!$B$12*(1+Inputs!$B$13/100))-(Inputs!$B$12*(1+Inputs!$B$13/100)))+0.25*(Inputs!$B$14-Inputs!$B$14))*(1+Inputs!$B$7/100))*(F1291/100)</f>
        <v/>
      </c>
      <c r="K1291">
        <f>J1291*(1+((Inputs!$B$12*(1+Inputs!$B$13/100))*0.01+Inputs!$B$14*0.0025)/100)*(1+Inputs!$B$15/100)*(1+Inputs!$B$16/100)*(5000/(6000+Inputs!$B$42*(1-(Inputs!$B$19+0)/100)))*(1+(Inputs!$B$24+0+B1320)/100)*(1+4.0*IF(C1299=TRUE,F1299,0)/100)*(1+(IF(Skills!A4="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1291)</f>
        <v/>
      </c>
      <c r="L1291">
        <f>K1291*(MIN(Inputs!$B$22+((C1309=TRUE)*(F1309-Calc!F22)),Inputs!$B$23+((C1311=TRUE)*(F1311-Calc!F24)))/100+(Inputs!$B$23+((C1311=TRUE)*(F1311-Calc!F24)))/100)/2</f>
        <v/>
      </c>
      <c r="M1291">
        <f>L1291*(1+(Inputs!$B$10+0+B1319)/100)</f>
        <v/>
      </c>
      <c r="N1291">
        <f>L1291*(1-MIN((Inputs!$B$9+0+B1314),100)/100)+M1291*(MIN((Inputs!$B$9+0+B1314),100)/100)</f>
        <v/>
      </c>
      <c r="O1291">
        <f>(1-Summary!$B$55)*T1291+Summary!$B$55*V1291</f>
        <v/>
      </c>
      <c r="P1291">
        <f>IF(B1324=0,0,O1291/B1324)</f>
        <v/>
      </c>
      <c r="Q1291">
        <f>IFERROR(1/IF(Inputs!$B$38="pvp",15,MAX(0.1,Skills!D4-IF(Skills!E4=TRUE,3.0,0))),0)</f>
        <v/>
      </c>
      <c r="R1291">
        <f>IF(AND(Inputs!$B$38&lt;&gt;"pvp",Inputs!$B$43&gt;0),IF(MAX(0,Inputs!$B$43-B1321)&lt;=0,0,(INT(MAX(0,Inputs!$B$43-B1321)/IF(Inputs!$B$38="pvp",15,MAX(0.1,Skills!D4-IF(Skills!E4=TRUE,3.0,0))))+1)),0)</f>
        <v/>
      </c>
      <c r="S1291">
        <f>IFERROR(O1291/N1291,0)</f>
        <v/>
      </c>
      <c r="T1291">
        <f>IF(C1291,(H1291*N1291*IF(AND(Inputs!$B$38&lt;&gt;"pvp",Inputs!$B$43&gt;0),((Skills!G4*((R1291-1)*IF(Skills!H4&gt;0,Skills!I4/Skills!H4,1)+IF(Skills!H4&gt;0,MIN(Skills!I4,MAX(0,MAX(0,Inputs!$B$43-B1321)-((R1291-1)*IF(Inputs!$B$38="pvp",15,MAX(0.1,Skills!D4-IF(Skills!E4=TRUE,3.0,0))))))/Skills!H4,1)))/Inputs!$B$43),G1291*Q1291))*IF(Inputs!$B$38="pvp",1,1+(Inputs!$B$20+0+Skills!P4)/100),0)</f>
        <v/>
      </c>
      <c r="U1291">
        <f>290*U1290/1000</f>
        <v/>
      </c>
      <c r="V1291">
        <f>IF(C1291,(H1291*N1291*IF(AND(Inputs!$B$38&lt;&gt;"pvp",Inputs!$B$43&gt;0),((Skills!G4*((R1291-1)*IF(Skills!H4&gt;0,Skills!I4/Skills!H4,1)+IF(Skills!H4&gt;0,MIN(Skills!I4,MAX(0,MAX(0,Inputs!$B$43-B1321)-((R1291-1)*IF(Inputs!$B$38="pvp",15,MAX(0.1,Skills!D4-IF(Skills!E4=TRUE,3.0,0))))))/Skills!H4,1)))/Inputs!$B$43),G1291*Q1291))*IF(Inputs!$B$38="pvp",1,(1+(Inputs!$B$21+Skills!Q4)/100)*(MIN(Skills!R4,Inputs!$B$37))),0)</f>
        <v/>
      </c>
    </row>
    <row r="1292">
      <c r="A1292">
        <f>Skills!A5</f>
        <v/>
      </c>
      <c r="B1292">
        <f>Skills!B5</f>
        <v/>
      </c>
      <c r="C1292">
        <f>Inputs!$B$3&gt;=66</f>
        <v/>
      </c>
      <c r="D1292">
        <f>IF(Skills!C5=1,60+Inputs!$B$25+Inputs!$B$29,IF(Skills!C5=2,90+Inputs!$B$26+Inputs!$B$29,IF(Skills!C5=3,120+Inputs!$B$27+Inputs!$B$29,MAX(0,(Inputs!$B$3-100)*3)+Inputs!$B$28+Inputs!$B$29)))</f>
        <v/>
      </c>
      <c r="E1292">
        <f>INDEX(FactorTable!$B$2:$Y$301, MATCH(ROUND(MIN(300,MAX(1,D1292)),0), FactorTable!$A$2:$A$301,0), Skills!M5+1)</f>
        <v/>
      </c>
      <c r="F1292">
        <f>IF(Skills!N5=TRUE,(Skills!L5/10)*(E1292/1000),Skills!L5/10)+Skills!O5</f>
        <v/>
      </c>
      <c r="G1292">
        <f>Skills!G5*IF(Skills!H5&gt;0,Skills!I5/Skills!H5,1)</f>
        <v/>
      </c>
      <c r="H1292">
        <f>1-(1-Skills!J5/100)^Skills!K5</f>
        <v/>
      </c>
      <c r="I1292" t="inlineStr">
        <is>
          <t>1</t>
        </is>
      </c>
      <c r="J1292">
        <f>((Inputs!$B$6*(1+Inputs!$B$7/100))+(((Inputs!$B$12*(1+Inputs!$B$13/100))-(Inputs!$B$12*(1+Inputs!$B$13/100)))+0.25*(Inputs!$B$14-Inputs!$B$14))*(1+Inputs!$B$7/100))*(F1292/100)</f>
        <v/>
      </c>
      <c r="K1292">
        <f>J1292*(1+((Inputs!$B$12*(1+Inputs!$B$13/100))*0.01+Inputs!$B$14*0.0025)/100)*(1+Inputs!$B$15/100)*(1+Inputs!$B$16/100)*(5000/(6000+Inputs!$B$42*(1-(Inputs!$B$19+0)/100)))*(1+(Inputs!$B$24+0+B1320)/100)*(1+1.0*IF(C1299=TRUE,F1299,0)/100)*(1+(IF(Skills!A5="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1292)</f>
        <v/>
      </c>
      <c r="L1292">
        <f>K1292*(MIN(Inputs!$B$22+((C1309=TRUE)*(F1309-Calc!F22)),Inputs!$B$23+((C1311=TRUE)*(F1311-Calc!F24)))/100+(Inputs!$B$23+((C1311=TRUE)*(F1311-Calc!F24)))/100)/2</f>
        <v/>
      </c>
      <c r="M1292">
        <f>L1292*(1+(Inputs!$B$10+0+B1319)/100)</f>
        <v/>
      </c>
      <c r="N1292">
        <f>L1292*(1-MIN((Inputs!$B$9+0+B1314),100)/100)+M1292*(MIN((Inputs!$B$9+0+B1314),100)/100)</f>
        <v/>
      </c>
      <c r="O1292">
        <f>(1-Summary!$B$55)*T1292+Summary!$B$55*V1292</f>
        <v/>
      </c>
      <c r="P1292">
        <f>IF(B1324=0,0,O1292/B1324)</f>
        <v/>
      </c>
      <c r="Q1292">
        <f>IFERROR(1/IF(Inputs!$B$38="pvp",15,MAX(0.1,Skills!D5-IF(Skills!E5=TRUE,3.0,0))),0)</f>
        <v/>
      </c>
      <c r="R1292">
        <f>IF(AND(Inputs!$B$38&lt;&gt;"pvp",Inputs!$B$43&gt;0),IF(MAX(0,Inputs!$B$43-B1321)&lt;=0,0,(INT(MAX(0,Inputs!$B$43-B1321)/IF(Inputs!$B$38="pvp",15,MAX(0.1,Skills!D5-IF(Skills!E5=TRUE,3.0,0))))+1)),0)</f>
        <v/>
      </c>
      <c r="S1292">
        <f>IFERROR(O1292/N1292,0)</f>
        <v/>
      </c>
      <c r="T1292">
        <f>IF(C1292,(H1292*N1292*IF(AND(Inputs!$B$38&lt;&gt;"pvp",Inputs!$B$43&gt;0),((Skills!G5*((R1292-1)*IF(Skills!H5&gt;0,Skills!I5/Skills!H5,1)+IF(Skills!H5&gt;0,MIN(Skills!I5,MAX(0,MAX(0,Inputs!$B$43-B1321)-((R1292-1)*IF(Inputs!$B$38="pvp",15,MAX(0.1,Skills!D5-IF(Skills!E5=TRUE,3.0,0))))))/Skills!H5,1)))/Inputs!$B$43),G1292*Q1292))*IF(Inputs!$B$38="pvp",1,1+(Inputs!$B$20+0+Skills!P5)/100),0)</f>
        <v/>
      </c>
      <c r="V1292">
        <f>IF(C1292,(H1292*N1292*IF(AND(Inputs!$B$38&lt;&gt;"pvp",Inputs!$B$43&gt;0),((Skills!G5*((R1292-1)*IF(Skills!H5&gt;0,Skills!I5/Skills!H5,1)+IF(Skills!H5&gt;0,MIN(Skills!I5,MAX(0,MAX(0,Inputs!$B$43-B1321)-((R1292-1)*IF(Inputs!$B$38="pvp",15,MAX(0.1,Skills!D5-IF(Skills!E5=TRUE,3.0,0))))))/Skills!H5,1)))/Inputs!$B$43),G1292*Q1292))*IF(Inputs!$B$38="pvp",1,(1+(Inputs!$B$21+Skills!Q5)/100)*(MIN(Skills!R5,Inputs!$B$37))),0)</f>
        <v/>
      </c>
    </row>
    <row r="1293">
      <c r="A1293">
        <f>Skills!A6</f>
        <v/>
      </c>
      <c r="B1293">
        <f>Skills!B6</f>
        <v/>
      </c>
      <c r="C1293">
        <f>Inputs!$B$3&gt;=103</f>
        <v/>
      </c>
      <c r="D1293">
        <f>IF(Skills!C6=1,60+Inputs!$B$25+Inputs!$B$29,IF(Skills!C6=2,90+Inputs!$B$26+Inputs!$B$29,IF(Skills!C6=3,120+Inputs!$B$27+Inputs!$B$29,MAX(0,(Inputs!$B$3-100)*3)+Inputs!$B$28+Inputs!$B$29)))</f>
        <v/>
      </c>
      <c r="E1293">
        <f>INDEX(FactorTable!$B$2:$Y$301, MATCH(ROUND(MIN(300,MAX(1,D1293)),0), FactorTable!$A$2:$A$301,0), Skills!M6+1)</f>
        <v/>
      </c>
      <c r="F1293">
        <f>IF(Skills!N6=TRUE,(Skills!L6/10)*(E1293/1000),Skills!L6/10)+Skills!O6</f>
        <v/>
      </c>
      <c r="G1293">
        <f>Skills!G6*IF(Skills!H6&gt;0,Skills!I6/Skills!H6,1)</f>
        <v/>
      </c>
      <c r="H1293">
        <f>1-(1-Skills!J6/100)^Skills!K6</f>
        <v/>
      </c>
      <c r="I1293" t="inlineStr">
        <is>
          <t>1</t>
        </is>
      </c>
      <c r="J1293">
        <f>((Inputs!$B$6*(1+Inputs!$B$7/100))+(((Inputs!$B$12*(1+Inputs!$B$13/100))-(Inputs!$B$12*(1+Inputs!$B$13/100)))+0.25*(Inputs!$B$14-Inputs!$B$14))*(1+Inputs!$B$7/100))*(F1293/100)</f>
        <v/>
      </c>
      <c r="K1293">
        <f>J1293*(1+((Inputs!$B$12*(1+Inputs!$B$13/100))*0.01+Inputs!$B$14*0.0025)/100)*(1+Inputs!$B$15/100)*(1+Inputs!$B$16/100)*(5000/(6000+Inputs!$B$42*(1-(Inputs!$B$19+0)/100)))*(1+(Inputs!$B$24+0+B1320)/100)*(1+(IF(Skills!A6="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1293)</f>
        <v/>
      </c>
      <c r="L1293">
        <f>K1293*(MIN(Inputs!$B$22+((C1309=TRUE)*(F1309-Calc!F22)),Inputs!$B$23+((C1311=TRUE)*(F1311-Calc!F24)))/100+(Inputs!$B$23+((C1311=TRUE)*(F1311-Calc!F24)))/100)/2</f>
        <v/>
      </c>
      <c r="M1293">
        <f>L1293*(1+(Inputs!$B$10+0+B1319)/100)</f>
        <v/>
      </c>
      <c r="N1293">
        <f>L1293*(1-MIN((Inputs!$B$9+0+B1314),100)/100)+M1293*(MIN((Inputs!$B$9+0+B1314),100)/100)</f>
        <v/>
      </c>
      <c r="O1293">
        <f>(1-Summary!$B$55)*T1293+Summary!$B$55*V1293</f>
        <v/>
      </c>
      <c r="P1293">
        <f>IF(B1324=0,0,O1293/B1324)</f>
        <v/>
      </c>
      <c r="Q1293">
        <f>IFERROR(1/IF(Inputs!$B$38="pvp",15,MAX(0.1,Skills!D6-IF(Skills!E6=TRUE,3.0,0))),0)</f>
        <v/>
      </c>
      <c r="R1293">
        <f>IF(AND(Inputs!$B$38&lt;&gt;"pvp",Inputs!$B$43&gt;0),IF(MAX(0,Inputs!$B$43-B1321)&lt;=0,0,(INT(MAX(0,Inputs!$B$43-B1321)/IF(Inputs!$B$38="pvp",15,MAX(0.1,Skills!D6-IF(Skills!E6=TRUE,3.0,0))))+1)),0)</f>
        <v/>
      </c>
      <c r="S1293">
        <f>IFERROR(O1293/N1293,0)</f>
        <v/>
      </c>
      <c r="T1293">
        <f>IF(C1293,(H1293*N1293*IF(AND(Inputs!$B$38&lt;&gt;"pvp",Inputs!$B$43&gt;0),((Skills!G6*((R1293-1)*IF(Skills!H6&gt;0,Skills!I6/Skills!H6,1)+IF(Skills!H6&gt;0,MIN(Skills!I6,MAX(0,MAX(0,Inputs!$B$43-B1321)-((R1293-1)*IF(Inputs!$B$38="pvp",15,MAX(0.1,Skills!D6-IF(Skills!E6=TRUE,3.0,0))))))/Skills!H6,1)))/Inputs!$B$43),G1293*Q1293))*IF(Inputs!$B$38="pvp",1,1+(Inputs!$B$20+0+Skills!P6)/100),0)</f>
        <v/>
      </c>
      <c r="V1293">
        <f>IF(C1293,(H1293*N1293*IF(AND(Inputs!$B$38&lt;&gt;"pvp",Inputs!$B$43&gt;0),((Skills!G6*((R1293-1)*IF(Skills!H6&gt;0,Skills!I6/Skills!H6,1)+IF(Skills!H6&gt;0,MIN(Skills!I6,MAX(0,MAX(0,Inputs!$B$43-B1321)-((R1293-1)*IF(Inputs!$B$38="pvp",15,MAX(0.1,Skills!D6-IF(Skills!E6=TRUE,3.0,0))))))/Skills!H6,1)))/Inputs!$B$43),G1293*Q1293))*IF(Inputs!$B$38="pvp",1,(1+(Inputs!$B$21+Skills!Q6)/100)*(MIN(Skills!R6,Inputs!$B$37))),0)</f>
        <v/>
      </c>
    </row>
    <row r="1294">
      <c r="A1294">
        <f>Skills!A7</f>
        <v/>
      </c>
      <c r="B1294">
        <f>Skills!B7</f>
        <v/>
      </c>
      <c r="C1294">
        <f>Inputs!$B$3&gt;=107</f>
        <v/>
      </c>
      <c r="D1294">
        <f>IF(Skills!C7=1,60+Inputs!$B$25+Inputs!$B$29,IF(Skills!C7=2,90+Inputs!$B$26+Inputs!$B$29,IF(Skills!C7=3,120+Inputs!$B$27+Inputs!$B$29,MAX(0,(Inputs!$B$3-100)*3)+Inputs!$B$28+Inputs!$B$29)))</f>
        <v/>
      </c>
      <c r="E1294">
        <f>INDEX(FactorTable!$B$2:$Y$301, MATCH(ROUND(MIN(300,MAX(1,D1294)),0), FactorTable!$A$2:$A$301,0), Skills!M7+1)</f>
        <v/>
      </c>
      <c r="F1294">
        <f>IF(Skills!N7=TRUE,(Skills!L7/10)*(E1294/1000),Skills!L7/10)+Skills!O7</f>
        <v/>
      </c>
      <c r="G1294">
        <f>Skills!G7*IF(Skills!H7&gt;0,Skills!I7/Skills!H7,1)</f>
        <v/>
      </c>
      <c r="H1294">
        <f>1-(1-Skills!J7/100)^Skills!K7</f>
        <v/>
      </c>
      <c r="I1294" t="inlineStr">
        <is>
          <t>1</t>
        </is>
      </c>
      <c r="J1294">
        <f>((Inputs!$B$6*(1+Inputs!$B$7/100))+(((Inputs!$B$12*(1+Inputs!$B$13/100))-(Inputs!$B$12*(1+Inputs!$B$13/100)))+0.25*(Inputs!$B$14-Inputs!$B$14))*(1+Inputs!$B$7/100))*(F1294/100)</f>
        <v/>
      </c>
      <c r="K1294">
        <f>J1294*(1+((Inputs!$B$12*(1+Inputs!$B$13/100))*0.01+Inputs!$B$14*0.0025)/100)*(1+Inputs!$B$15/100)*(1+Inputs!$B$16/100)*(5000/(6000+Inputs!$B$42*(1-(Inputs!$B$19+0)/100)))*(1+(Inputs!$B$24+0+B1320)/100)*(1+(IF(Skills!A7="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1294)</f>
        <v/>
      </c>
      <c r="L1294">
        <f>K1294*(MIN(Inputs!$B$22+((C1309=TRUE)*(F1309-Calc!F22)),Inputs!$B$23+((C1311=TRUE)*(F1311-Calc!F24)))/100+(Inputs!$B$23+((C1311=TRUE)*(F1311-Calc!F24)))/100)/2</f>
        <v/>
      </c>
      <c r="M1294">
        <f>L1294*(1+(Inputs!$B$10+0+B1319)/100)</f>
        <v/>
      </c>
      <c r="N1294">
        <f>L1294*(1-MIN((Inputs!$B$9+0+B1314),100)/100)+M1294*(MIN((Inputs!$B$9+0+B1314),100)/100)</f>
        <v/>
      </c>
      <c r="O1294">
        <f>(1-Summary!$B$55)*T1294+Summary!$B$55*V1294</f>
        <v/>
      </c>
      <c r="P1294">
        <f>IF(B1324=0,0,O1294/B1324)</f>
        <v/>
      </c>
      <c r="Q1294">
        <f>IFERROR(1/IF(Inputs!$B$38="pvp",15,MAX(0.1,Skills!D7-IF(Skills!E7=TRUE,3.0,0))),0)</f>
        <v/>
      </c>
      <c r="R1294">
        <f>IF(AND(Inputs!$B$38&lt;&gt;"pvp",Inputs!$B$43&gt;0),IF(MAX(0,Inputs!$B$43-B1321)&lt;=0,0,(INT(MAX(0,Inputs!$B$43-B1321)/IF(Inputs!$B$38="pvp",15,MAX(0.1,Skills!D7-IF(Skills!E7=TRUE,3.0,0))))+1)),0)</f>
        <v/>
      </c>
      <c r="S1294">
        <f>IFERROR(O1294/N1294,0)</f>
        <v/>
      </c>
      <c r="T1294">
        <f>IF(C1294,(H1294*N1294*IF(AND(Inputs!$B$38&lt;&gt;"pvp",Inputs!$B$43&gt;0),((Skills!G7*((R1294-1)*IF(Skills!H7&gt;0,Skills!I7/Skills!H7,1)+IF(Skills!H7&gt;0,MIN(Skills!I7,MAX(0,MAX(0,Inputs!$B$43-B1321)-((R1294-1)*IF(Inputs!$B$38="pvp",15,MAX(0.1,Skills!D7-IF(Skills!E7=TRUE,3.0,0))))))/Skills!H7,1)))/Inputs!$B$43),G1294*Q1294))*IF(Inputs!$B$38="pvp",1,1+(Inputs!$B$20+0+Skills!P7)/100),0)</f>
        <v/>
      </c>
      <c r="V1294">
        <f>IF(C1294,(H1294*N1294*IF(AND(Inputs!$B$38&lt;&gt;"pvp",Inputs!$B$43&gt;0),((Skills!G7*((R1294-1)*IF(Skills!H7&gt;0,Skills!I7/Skills!H7,1)+IF(Skills!H7&gt;0,MIN(Skills!I7,MAX(0,MAX(0,Inputs!$B$43-B1321)-((R1294-1)*IF(Inputs!$B$38="pvp",15,MAX(0.1,Skills!D7-IF(Skills!E7=TRUE,3.0,0))))))/Skills!H7,1)))/Inputs!$B$43),G1294*Q1294))*IF(Inputs!$B$38="pvp",1,(1+(Inputs!$B$21+Skills!Q7)/100)*(MIN(Skills!R7,Inputs!$B$37))),0)</f>
        <v/>
      </c>
    </row>
    <row r="1295">
      <c r="A1295">
        <f>Skills!A8</f>
        <v/>
      </c>
      <c r="B1295">
        <f>Skills!B8</f>
        <v/>
      </c>
      <c r="C1295">
        <f>Inputs!$B$3&gt;=107</f>
        <v/>
      </c>
      <c r="D1295">
        <f>IF(Skills!C8=1,60+Inputs!$B$25+Inputs!$B$29,IF(Skills!C8=2,90+Inputs!$B$26+Inputs!$B$29,IF(Skills!C8=3,120+Inputs!$B$27+Inputs!$B$29,MAX(0,(Inputs!$B$3-100)*3)+Inputs!$B$28+Inputs!$B$29)))</f>
        <v/>
      </c>
      <c r="E1295">
        <f>INDEX(FactorTable!$B$2:$Y$301, MATCH(ROUND(MIN(300,MAX(1,D1295)),0), FactorTable!$A$2:$A$301,0), Skills!M8+1)</f>
        <v/>
      </c>
      <c r="F1295">
        <f>IF(Skills!N8=TRUE,(Skills!L8/10)*(E1295/1000),Skills!L8/10)+Skills!O8</f>
        <v/>
      </c>
      <c r="G1295">
        <f>Skills!G8*IF(Skills!H8&gt;0,Skills!I8/Skills!H8,1)</f>
        <v/>
      </c>
      <c r="H1295">
        <f>1-(1-Skills!J8/100)^Skills!K8</f>
        <v/>
      </c>
      <c r="I1295" t="inlineStr">
        <is>
          <t>1</t>
        </is>
      </c>
      <c r="J1295">
        <f>((Inputs!$B$6*(1+Inputs!$B$7/100))+(((Inputs!$B$12*(1+Inputs!$B$13/100))-(Inputs!$B$12*(1+Inputs!$B$13/100)))+0.25*(Inputs!$B$14-Inputs!$B$14))*(1+Inputs!$B$7/100))*(F1295/100)</f>
        <v/>
      </c>
      <c r="K1295">
        <f>J1295*(1+((Inputs!$B$12*(1+Inputs!$B$13/100))*0.01+Inputs!$B$14*0.0025)/100)*(1+Inputs!$B$15/100)*(1+Inputs!$B$16/100)*(5000/(6000+Inputs!$B$42*(1-(Inputs!$B$19+0)/100)))*(1+(Inputs!$B$24+0+B1320)/100)*(1+(IF(Skills!A8="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1295)</f>
        <v/>
      </c>
      <c r="L1295">
        <f>K1295*(MIN(Inputs!$B$22+((C1309=TRUE)*(F1309-Calc!F22)),Inputs!$B$23+((C1311=TRUE)*(F1311-Calc!F24)))/100+(Inputs!$B$23+((C1311=TRUE)*(F1311-Calc!F24)))/100)/2</f>
        <v/>
      </c>
      <c r="M1295">
        <f>L1295*(1+(Inputs!$B$10+0+B1319)/100)</f>
        <v/>
      </c>
      <c r="N1295">
        <f>L1295*(1-MIN((Inputs!$B$9+0+B1314),100)/100)+M1295*(MIN((Inputs!$B$9+0+B1314),100)/100)</f>
        <v/>
      </c>
      <c r="O1295">
        <f>(1-Summary!$B$55)*T1295+Summary!$B$55*V1295</f>
        <v/>
      </c>
      <c r="P1295">
        <f>IF(B1324=0,0,O1295/B1324)</f>
        <v/>
      </c>
      <c r="Q1295">
        <f>IFERROR(1/IF(Inputs!$B$38="pvp",15,MAX(0.1,Skills!D8-IF(Skills!E8=TRUE,3.0,0))),0)</f>
        <v/>
      </c>
      <c r="R1295">
        <f>IF(AND(Inputs!$B$38&lt;&gt;"pvp",Inputs!$B$43&gt;0),IF(MAX(0,Inputs!$B$43-B1321)&lt;=0,0,(INT(MAX(0,Inputs!$B$43-B1321)/IF(Inputs!$B$38="pvp",15,MAX(0.1,Skills!D8-IF(Skills!E8=TRUE,3.0,0))))+1)),0)</f>
        <v/>
      </c>
      <c r="S1295">
        <f>IFERROR(O1295/N1295,0)</f>
        <v/>
      </c>
      <c r="T1295">
        <f>IF(C1295,(H1295*N1295*IF(AND(Inputs!$B$38&lt;&gt;"pvp",Inputs!$B$43&gt;0),((Skills!G8*((R1295-1)*IF(Skills!H8&gt;0,Skills!I8/Skills!H8,1)+IF(Skills!H8&gt;0,MIN(Skills!I8,MAX(0,MAX(0,Inputs!$B$43-B1321)-((R1295-1)*IF(Inputs!$B$38="pvp",15,MAX(0.1,Skills!D8-IF(Skills!E8=TRUE,3.0,0))))))/Skills!H8,1)))/Inputs!$B$43),G1295*Q1295))*IF(Inputs!$B$38="pvp",1,1+(Inputs!$B$20+0+Skills!P8)/100),0)</f>
        <v/>
      </c>
      <c r="V1295">
        <f>IF(C1295,(H1295*N1295*IF(AND(Inputs!$B$38&lt;&gt;"pvp",Inputs!$B$43&gt;0),((Skills!G8*((R1295-1)*IF(Skills!H8&gt;0,Skills!I8/Skills!H8,1)+IF(Skills!H8&gt;0,MIN(Skills!I8,MAX(0,MAX(0,Inputs!$B$43-B1321)-((R1295-1)*IF(Inputs!$B$38="pvp",15,MAX(0.1,Skills!D8-IF(Skills!E8=TRUE,3.0,0))))))/Skills!H8,1)))/Inputs!$B$43),G1295*Q1295))*IF(Inputs!$B$38="pvp",1,(1+(Inputs!$B$21+Skills!Q8)/100)*(MIN(Skills!R8,Inputs!$B$37))),0)</f>
        <v/>
      </c>
    </row>
    <row r="1296">
      <c r="A1296">
        <f>Skills!A9</f>
        <v/>
      </c>
      <c r="B1296">
        <f>Skills!B9</f>
        <v/>
      </c>
      <c r="C1296">
        <f>Inputs!$B$3&gt;=125</f>
        <v/>
      </c>
      <c r="D1296">
        <f>IF(Skills!C9=1,60+Inputs!$B$25+Inputs!$B$29,IF(Skills!C9=2,90+Inputs!$B$26+Inputs!$B$29,IF(Skills!C9=3,120+Inputs!$B$27+Inputs!$B$29,MAX(0,(Inputs!$B$3-100)*3)+Inputs!$B$28+Inputs!$B$29)))</f>
        <v/>
      </c>
      <c r="E1296">
        <f>INDEX(FactorTable!$B$2:$Y$301, MATCH(ROUND(MIN(300,MAX(1,D1296)),0), FactorTable!$A$2:$A$301,0), Skills!M9+1)</f>
        <v/>
      </c>
      <c r="F1296">
        <f>IF(Skills!N9=TRUE,(Skills!L9/10)*(E1296/1000),Skills!L9/10)+Skills!O9</f>
        <v/>
      </c>
      <c r="G1296">
        <f>Skills!G9*IF(Skills!H9&gt;0,Skills!I9/Skills!H9,1)</f>
        <v/>
      </c>
      <c r="H1296">
        <f>1-(1-Skills!J9/100)^Skills!K9</f>
        <v/>
      </c>
      <c r="I1296" t="inlineStr">
        <is>
          <t>1</t>
        </is>
      </c>
      <c r="J1296">
        <f>((Inputs!$B$6*(1+Inputs!$B$7/100))+(((Inputs!$B$12*(1+Inputs!$B$13/100))-(Inputs!$B$12*(1+Inputs!$B$13/100)))+0.25*(Inputs!$B$14-Inputs!$B$14))*(1+Inputs!$B$7/100))*(F1296/100)</f>
        <v/>
      </c>
      <c r="K1296">
        <f>J1296*(1+((Inputs!$B$12*(1+Inputs!$B$13/100))*0.01+Inputs!$B$14*0.0025)/100)*(1+Inputs!$B$15/100)*(1+Inputs!$B$16/100)*(5000/(6000+Inputs!$B$42*(1-(Inputs!$B$19+0)/100)))*(1+(Inputs!$B$24+0+B1320)/100)*(1+(IF(Skills!A9="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1296)</f>
        <v/>
      </c>
      <c r="L1296">
        <f>K1296*(MIN(Inputs!$B$22+((C1309=TRUE)*(F1309-Calc!F22)),Inputs!$B$23+((C1311=TRUE)*(F1311-Calc!F24)))/100+(Inputs!$B$23+((C1311=TRUE)*(F1311-Calc!F24)))/100)/2</f>
        <v/>
      </c>
      <c r="M1296">
        <f>L1296*(1+(Inputs!$B$10+0+B1319)/100)</f>
        <v/>
      </c>
      <c r="N1296">
        <f>L1296*(1-MIN((Inputs!$B$9+0+B1314),100)/100)+M1296*(MIN((Inputs!$B$9+0+B1314),100)/100)</f>
        <v/>
      </c>
      <c r="O1296">
        <f>(1-Summary!$B$55)*T1296+Summary!$B$55*V1296</f>
        <v/>
      </c>
      <c r="P1296">
        <f>IF(B1324=0,0,O1296/B1324)</f>
        <v/>
      </c>
      <c r="Q1296">
        <f>IFERROR(1/IF(Inputs!$B$38="pvp",15,MAX(0.1,Skills!D9-IF(Skills!E9=TRUE,3.0,0))),0)</f>
        <v/>
      </c>
      <c r="R1296">
        <f>IF(AND(Inputs!$B$38&lt;&gt;"pvp",Inputs!$B$43&gt;0),IF(MAX(0,Inputs!$B$43-B1321)&lt;=0,0,(INT(MAX(0,Inputs!$B$43-B1321)/IF(Inputs!$B$38="pvp",15,MAX(0.1,Skills!D9-IF(Skills!E9=TRUE,3.0,0))))+1)),0)</f>
        <v/>
      </c>
      <c r="S1296">
        <f>IFERROR(O1296/N1296,0)</f>
        <v/>
      </c>
      <c r="T1296">
        <f>IF(C1296,(H1296*N1296*IF(AND(Inputs!$B$38&lt;&gt;"pvp",Inputs!$B$43&gt;0),((Skills!G9*((R1296-1)*IF(Skills!H9&gt;0,Skills!I9/Skills!H9,1)+IF(Skills!H9&gt;0,MIN(Skills!I9,MAX(0,MAX(0,Inputs!$B$43-B1321)-((R1296-1)*IF(Inputs!$B$38="pvp",15,MAX(0.1,Skills!D9-IF(Skills!E9=TRUE,3.0,0))))))/Skills!H9,1)))/Inputs!$B$43),G1296*Q1296))*IF(Inputs!$B$38="pvp",1,1+(Inputs!$B$20+0+Skills!P9)/100),0)</f>
        <v/>
      </c>
      <c r="V1296">
        <f>IF(C1296,(H1296*N1296*IF(AND(Inputs!$B$38&lt;&gt;"pvp",Inputs!$B$43&gt;0),((Skills!G9*((R1296-1)*IF(Skills!H9&gt;0,Skills!I9/Skills!H9,1)+IF(Skills!H9&gt;0,MIN(Skills!I9,MAX(0,MAX(0,Inputs!$B$43-B1321)-((R1296-1)*IF(Inputs!$B$38="pvp",15,MAX(0.1,Skills!D9-IF(Skills!E9=TRUE,3.0,0))))))/Skills!H9,1)))/Inputs!$B$43),G1296*Q1296))*IF(Inputs!$B$38="pvp",1,(1+(Inputs!$B$21+Skills!Q9)/100)*(MIN(Skills!R9,Inputs!$B$37))),0)</f>
        <v/>
      </c>
    </row>
    <row r="1297">
      <c r="A1297">
        <f>Skills!A10</f>
        <v/>
      </c>
      <c r="B1297">
        <f>Skills!B10</f>
        <v/>
      </c>
      <c r="C1297">
        <f>Inputs!$B$3&gt;=117</f>
        <v/>
      </c>
      <c r="D1297">
        <f>IF(Skills!C10=1,60+Inputs!$B$25+Inputs!$B$29,IF(Skills!C10=2,90+Inputs!$B$26+Inputs!$B$29,IF(Skills!C10=3,120+Inputs!$B$27+Inputs!$B$29,MAX(0,(Inputs!$B$3-100)*3)+Inputs!$B$28+Inputs!$B$29)))</f>
        <v/>
      </c>
      <c r="E1297">
        <f>INDEX(FactorTable!$B$2:$Y$301, MATCH(ROUND(MIN(300,MAX(1,D1297)),0), FactorTable!$A$2:$A$301,0), Skills!M10+1)</f>
        <v/>
      </c>
      <c r="F1297">
        <f>IF(Skills!N10=TRUE,(Skills!L10/10)*(E1297/1000),Skills!L10/10)+Skills!O10</f>
        <v/>
      </c>
      <c r="G1297">
        <f>Skills!G10*IF(Skills!H10&gt;0,Skills!I10/Skills!H10,1)</f>
        <v/>
      </c>
      <c r="H1297">
        <f>1-(1-Skills!J10/100)^Skills!K10</f>
        <v/>
      </c>
      <c r="I1297" t="inlineStr">
        <is>
          <t>1</t>
        </is>
      </c>
      <c r="J1297">
        <f>((Inputs!$B$6*(1+Inputs!$B$7/100))+(((Inputs!$B$12*(1+Inputs!$B$13/100))-(Inputs!$B$12*(1+Inputs!$B$13/100)))+0.25*(Inputs!$B$14-Inputs!$B$14))*(1+Inputs!$B$7/100))*(F1297/100)</f>
        <v/>
      </c>
      <c r="K1297">
        <f>J1297*(1+((Inputs!$B$12*(1+Inputs!$B$13/100))*0.01+Inputs!$B$14*0.0025)/100)*(1+Inputs!$B$15/100)*(1+Inputs!$B$16/100)*(5000/(6000+Inputs!$B$42*(1-(Inputs!$B$19+0)/100)))*(1+(Inputs!$B$24+0+B1320)/100)*(1+(IF(Skills!A10="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1297)</f>
        <v/>
      </c>
      <c r="L1297">
        <f>K1297*(MIN(Inputs!$B$22+((C1309=TRUE)*(F1309-Calc!F22)),Inputs!$B$23+((C1311=TRUE)*(F1311-Calc!F24)))/100+(Inputs!$B$23+((C1311=TRUE)*(F1311-Calc!F24)))/100)/2</f>
        <v/>
      </c>
      <c r="M1297">
        <f>L1297*(1+(Inputs!$B$10+0+B1319)/100)</f>
        <v/>
      </c>
      <c r="N1297">
        <f>L1297*(1-MIN((Inputs!$B$9+0+B1314),100)/100)+M1297*(MIN((Inputs!$B$9+0+B1314),100)/100)</f>
        <v/>
      </c>
      <c r="O1297">
        <f>(1-Summary!$B$55)*T1297+Summary!$B$55*V1297</f>
        <v/>
      </c>
      <c r="P1297">
        <f>IF(B1324=0,0,O1297/B1324)</f>
        <v/>
      </c>
      <c r="Q1297">
        <f>IFERROR(1/IF(Inputs!$B$38="pvp",15,MAX(0.1,Skills!D10-IF(Skills!E10=TRUE,3.0,0))),0)</f>
        <v/>
      </c>
      <c r="R1297">
        <f>IF(AND(Inputs!$B$38&lt;&gt;"pvp",Inputs!$B$43&gt;0),IF(MAX(0,Inputs!$B$43-B1321)&lt;=0,0,(INT(MAX(0,Inputs!$B$43-B1321)/IF(Inputs!$B$38="pvp",15,MAX(0.1,Skills!D10-IF(Skills!E10=TRUE,3.0,0))))+1)),0)</f>
        <v/>
      </c>
      <c r="S1297">
        <f>IFERROR(O1297/N1297,0)</f>
        <v/>
      </c>
      <c r="T1297">
        <f>IF(C1297,(H1297*N1297*IF(AND(Inputs!$B$38&lt;&gt;"pvp",Inputs!$B$43&gt;0),((Skills!G10*((R1297-1)*IF(Skills!H10&gt;0,Skills!I10/Skills!H10,1)+IF(Skills!H10&gt;0,MIN(Skills!I10,MAX(0,MAX(0,Inputs!$B$43-B1321)-((R1297-1)*IF(Inputs!$B$38="pvp",15,MAX(0.1,Skills!D10-IF(Skills!E10=TRUE,3.0,0))))))/Skills!H10,1)))/Inputs!$B$43),G1297*Q1297))*IF(Inputs!$B$38="pvp",1,1+(Inputs!$B$20+0+Skills!P10)/100),0)</f>
        <v/>
      </c>
      <c r="V1297">
        <f>IF(C1297,(H1297*N1297*IF(AND(Inputs!$B$38&lt;&gt;"pvp",Inputs!$B$43&gt;0),((Skills!G10*((R1297-1)*IF(Skills!H10&gt;0,Skills!I10/Skills!H10,1)+IF(Skills!H10&gt;0,MIN(Skills!I10,MAX(0,MAX(0,Inputs!$B$43-B1321)-((R1297-1)*IF(Inputs!$B$38="pvp",15,MAX(0.1,Skills!D10-IF(Skills!E10=TRUE,3.0,0))))))/Skills!H10,1)))/Inputs!$B$43),G1297*Q1297))*IF(Inputs!$B$38="pvp",1,(1+(Inputs!$B$21+Skills!Q10)/100)*(MIN(Skills!R10,Inputs!$B$37))),0)</f>
        <v/>
      </c>
    </row>
    <row r="1298">
      <c r="A1298">
        <f>Skills!A11</f>
        <v/>
      </c>
      <c r="B1298">
        <f>Skills!B11</f>
        <v/>
      </c>
      <c r="C1298">
        <f>Inputs!$B$3&gt;=63</f>
        <v/>
      </c>
      <c r="D1298">
        <f>IF(Skills!C11=1,60+Inputs!$B$25+Inputs!$B$29,IF(Skills!C11=2,90+Inputs!$B$26+Inputs!$B$29,IF(Skills!C11=3,120+Inputs!$B$27+Inputs!$B$29,MAX(0,(Inputs!$B$3-100)*3)+Inputs!$B$28+Inputs!$B$29)))</f>
        <v/>
      </c>
      <c r="E1298">
        <f>INDEX(FactorTable!$B$2:$Y$301, MATCH(ROUND(MIN(300,MAX(1,D1298)),0), FactorTable!$A$2:$A$301,0), Skills!M11+1)</f>
        <v/>
      </c>
      <c r="F1298">
        <f>IF(Skills!N11=TRUE,(Skills!L11/10)*(E1298/1000),Skills!L11/10)+Skills!O11</f>
        <v/>
      </c>
      <c r="G1298">
        <f>Skills!G11*IF(Skills!H11&gt;0,Skills!I11/Skills!H11,1)</f>
        <v/>
      </c>
      <c r="H1298">
        <f>1-(1-Skills!J11/100)^Skills!K11</f>
        <v/>
      </c>
      <c r="I1298" t="inlineStr">
        <is>
          <t>1</t>
        </is>
      </c>
      <c r="J1298">
        <f>((Inputs!$B$6*(1+Inputs!$B$7/100))+(((Inputs!$B$12*(1+Inputs!$B$13/100))-(Inputs!$B$12*(1+Inputs!$B$13/100)))+0.25*(Inputs!$B$14-Inputs!$B$14))*(1+Inputs!$B$7/100))*(F1298/100)</f>
        <v/>
      </c>
      <c r="K1298">
        <f>J1298*(1+((Inputs!$B$12*(1+Inputs!$B$13/100))*0.01+Inputs!$B$14*0.0025)/100)*(1+Inputs!$B$15/100)*(1+Inputs!$B$16/100)*(5000/(6000+Inputs!$B$42*(1-(Inputs!$B$19+0)/100)))*(1+(Inputs!$B$24+0+B1320)/100)*(1+1.5*IF(C1299=TRUE,F1299,0)/100)*(1+(IF(Skills!A11="BLAST",Inputs!$B$17+((C1308=TRUE)*(F1308-Calc!F21)),Inputs!$B$18+((C1310=TRUE)*(F1310-Calc!F23))))/100)*((1+(((C1300=TRUE)*F1300*MIN(1,Skills!T13*(Skills!J13/100)*B1318))+((C1305=TRUE)*F1305*IF(AND(Inputs!$B$38&lt;&gt;"pvp",Inputs!$B$43&gt;0),(((R1305-1)*(Skills!T18*(1+Inputs!$B$34/100))+MIN((Skills!T18*(1+Inputs!$B$34/100)),MAX(0,Inputs!$B$43-((R1305-1)*Skills!D18))))/Inputs!$B$43),IF(Inputs!$B$38="pvp",MIN((Skills!T18*(1+Inputs!$B$34/100)),15)/15,(Skills!T18*(1+Inputs!$B$34/100))/Skills!D18)))+0)/100)*I1298)</f>
        <v/>
      </c>
      <c r="L1298">
        <f>K1298*(MIN(Inputs!$B$22+((C1309=TRUE)*(F1309-Calc!F22)),Inputs!$B$23+((C1311=TRUE)*(F1311-Calc!F24)))/100+(Inputs!$B$23+((C1311=TRUE)*(F1311-Calc!F24)))/100)/2</f>
        <v/>
      </c>
      <c r="M1298">
        <f>L1298*(1+(Inputs!$B$10+0+B1319)/100)</f>
        <v/>
      </c>
      <c r="N1298">
        <f>L1298*(1-MIN((Inputs!$B$9+0+B1314),100)/100)+M1298*(MIN((Inputs!$B$9+0+B1314),100)/100)</f>
        <v/>
      </c>
      <c r="O1298">
        <f>(1-Summary!$B$55)*T1298+Summary!$B$55*V1298</f>
        <v/>
      </c>
      <c r="P1298">
        <f>IF(B1324=0,0,O1298/B1324)</f>
        <v/>
      </c>
      <c r="Q1298">
        <f>IFERROR(1/IF(Inputs!$B$38="pvp",15,MAX(0.1,Skills!D11-IF(Skills!E11=TRUE,3.0,0))),0)</f>
        <v/>
      </c>
      <c r="R1298">
        <f>IF(AND(Inputs!$B$38&lt;&gt;"pvp",Inputs!$B$43&gt;0),IF(MAX(0,Inputs!$B$43-B1321)&lt;=0,0,(INT(MAX(0,Inputs!$B$43-B1321)/IF(Inputs!$B$38="pvp",15,MAX(0.1,Skills!D11-IF(Skills!E11=TRUE,3.0,0))))+1)),0)</f>
        <v/>
      </c>
      <c r="S1298">
        <f>IFERROR(O1298/N1298,0)</f>
        <v/>
      </c>
      <c r="T1298">
        <f>IF(C1298,(H1298*N1298*IF(AND(Inputs!$B$38&lt;&gt;"pvp",Inputs!$B$43&gt;0),((Skills!G11*((R1298-1)*IF(Skills!H11&gt;0,Skills!I11/Skills!H11,1)+IF(Skills!H11&gt;0,MIN(Skills!I11,MAX(0,MAX(0,Inputs!$B$43-B1321)-((R1298-1)*IF(Inputs!$B$38="pvp",15,MAX(0.1,Skills!D11-IF(Skills!E11=TRUE,3.0,0))))))/Skills!H11,1)))/Inputs!$B$43),G1298*Q1298))*IF(Inputs!$B$38="pvp",1,1+(Inputs!$B$20+0+Skills!P11)/100),0)</f>
        <v/>
      </c>
      <c r="V1298">
        <f>IF(C1298,(H1298*N1298*IF(AND(Inputs!$B$38&lt;&gt;"pvp",Inputs!$B$43&gt;0),((Skills!G11*((R1298-1)*IF(Skills!H11&gt;0,Skills!I11/Skills!H11,1)+IF(Skills!H11&gt;0,MIN(Skills!I11,MAX(0,MAX(0,Inputs!$B$43-B1321)-((R1298-1)*IF(Inputs!$B$38="pvp",15,MAX(0.1,Skills!D11-IF(Skills!E11=TRUE,3.0,0))))))/Skills!H11,1)))/Inputs!$B$43),G1298*Q1298))*IF(Inputs!$B$38="pvp",1,(1+(Inputs!$B$21+Skills!Q11)/100)*(MIN(Skills!R11,Inputs!$B$37))),0)</f>
        <v/>
      </c>
    </row>
    <row r="1299">
      <c r="A1299">
        <f>Skills!A12</f>
        <v/>
      </c>
      <c r="B1299">
        <f>Skills!B12</f>
        <v/>
      </c>
      <c r="C1299">
        <f>Inputs!$B$3&gt;=100</f>
        <v/>
      </c>
      <c r="D1299">
        <f>IF(Skills!C12=1,60+Inputs!$B$25+Inputs!$B$29,IF(Skills!C12=2,90+Inputs!$B$26+Inputs!$B$29,IF(Skills!C12=3,120+Inputs!$B$27+Inputs!$B$29,MAX(0,(Inputs!$B$3-100)*3)+Inputs!$B$28+Inputs!$B$29)))</f>
        <v/>
      </c>
      <c r="E1299">
        <f>INDEX(FactorTable!$B$2:$Y$301, MATCH(ROUND(MIN(300,MAX(1,D1299)),0), FactorTable!$A$2:$A$301,0), Skills!M12+1)</f>
        <v/>
      </c>
      <c r="F1299">
        <f>IF(Skills!N12=TRUE,(Skills!L12/10)*(E1299/1000),Skills!L12/10)+Skills!O12</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Skills!A13</f>
        <v/>
      </c>
      <c r="B1300">
        <f>Skills!B13</f>
        <v/>
      </c>
      <c r="C1300">
        <f>Inputs!$B$3&gt;=45</f>
        <v/>
      </c>
      <c r="D1300">
        <f>IF(Skills!C13=1,60+Inputs!$B$25+Inputs!$B$29,IF(Skills!C13=2,90+Inputs!$B$26+Inputs!$B$29,IF(Skills!C13=3,120+Inputs!$B$27+Inputs!$B$29,MAX(0,(Inputs!$B$3-100)*3)+Inputs!$B$28+Inputs!$B$29)))</f>
        <v/>
      </c>
      <c r="E1300">
        <f>INDEX(FactorTable!$B$2:$Y$301, MATCH(ROUND(MIN(300,MAX(1,D1300)),0), FactorTable!$A$2:$A$301,0), Skills!M13+1)</f>
        <v/>
      </c>
      <c r="F1300">
        <f>IF(Skills!N13=TRUE,(Skills!L13/10)*(E1300/1000),Skills!L13/10)+Skills!O13</f>
        <v/>
      </c>
      <c r="G1300">
        <f>Skills!G13*IF(Skills!H13&gt;0,Skills!I13/Skills!H13,1)</f>
        <v/>
      </c>
      <c r="H1300">
        <f>1-(1-Skills!J13/100)^Skills!K13</f>
        <v/>
      </c>
      <c r="I1300" t="inlineStr">
        <is>
          <t>1</t>
        </is>
      </c>
      <c r="J1300" t="inlineStr"/>
      <c r="K1300" t="inlineStr"/>
      <c r="L1300" t="inlineStr"/>
      <c r="M1300" t="inlineStr"/>
      <c r="N1300" t="inlineStr"/>
      <c r="O1300">
        <f>(1-Summary!$B$55)*T1300+Summary!$B$55*V1300</f>
        <v/>
      </c>
      <c r="P1300">
        <f>IF(B1324=0,0,O1300/B1324)</f>
        <v/>
      </c>
      <c r="Q1300" t="n">
        <v>0</v>
      </c>
      <c r="R1300" t="n">
        <v>0</v>
      </c>
      <c r="S1300">
        <f>IFERROR(O1300/N1300,0)</f>
        <v/>
      </c>
      <c r="T1300" t="n">
        <v>0</v>
      </c>
      <c r="V1300" t="n">
        <v>0</v>
      </c>
    </row>
    <row r="1301">
      <c r="A1301">
        <f>Skills!A14</f>
        <v/>
      </c>
      <c r="B1301">
        <f>Skills!B14</f>
        <v/>
      </c>
      <c r="C1301">
        <f>Inputs!$B$3&gt;=110</f>
        <v/>
      </c>
      <c r="D1301">
        <f>IF(Skills!C14=1,60+Inputs!$B$25+Inputs!$B$29,IF(Skills!C14=2,90+Inputs!$B$26+Inputs!$B$29,IF(Skills!C14=3,120+Inputs!$B$27+Inputs!$B$29,MAX(0,(Inputs!$B$3-100)*3)+Inputs!$B$28+Inputs!$B$29)))</f>
        <v/>
      </c>
      <c r="E1301">
        <f>INDEX(FactorTable!$B$2:$Y$301, MATCH(ROUND(MIN(300,MAX(1,D1301)),0), FactorTable!$A$2:$A$301,0), Skills!M14+1)</f>
        <v/>
      </c>
      <c r="F1301">
        <f>IF(Skills!N14=TRUE,(Skills!L14/10)*(E1301/1000),Skills!L14/10)+Skills!O14</f>
        <v/>
      </c>
      <c r="G1301">
        <f>Skills!G14*IF(Skills!H14&gt;0,Skills!I14/Skills!H14,1)</f>
        <v/>
      </c>
      <c r="H1301">
        <f>1-(1-Skills!J14/100)^Skills!K14</f>
        <v/>
      </c>
      <c r="I1301" t="inlineStr">
        <is>
          <t>1</t>
        </is>
      </c>
      <c r="J1301" t="inlineStr"/>
      <c r="K1301" t="inlineStr"/>
      <c r="L1301" t="inlineStr"/>
      <c r="M1301" t="inlineStr"/>
      <c r="N1301" t="inlineStr"/>
      <c r="O1301">
        <f>(1-Summary!$B$55)*T1301+Summary!$B$55*V1301</f>
        <v/>
      </c>
      <c r="P1301">
        <f>IF(B1324=0,0,O1301/B1324)</f>
        <v/>
      </c>
      <c r="Q1301" t="n">
        <v>0</v>
      </c>
      <c r="R1301" t="n">
        <v>0</v>
      </c>
      <c r="S1301">
        <f>IFERROR(O1301/N1301,0)</f>
        <v/>
      </c>
      <c r="T1301" t="n">
        <v>0</v>
      </c>
      <c r="V1301" t="n">
        <v>0</v>
      </c>
    </row>
    <row r="1302">
      <c r="A1302">
        <f>Skills!A15</f>
        <v/>
      </c>
      <c r="B1302">
        <f>Skills!B15</f>
        <v/>
      </c>
      <c r="C1302">
        <f>Inputs!$B$3&gt;=75</f>
        <v/>
      </c>
      <c r="D1302">
        <f>IF(Skills!C15=1,60+Inputs!$B$25+Inputs!$B$29,IF(Skills!C15=2,90+Inputs!$B$26+Inputs!$B$29,IF(Skills!C15=3,120+Inputs!$B$27+Inputs!$B$29,MAX(0,(Inputs!$B$3-100)*3)+Inputs!$B$28+Inputs!$B$29)))</f>
        <v/>
      </c>
      <c r="E1302">
        <f>INDEX(FactorTable!$B$2:$Y$301, MATCH(ROUND(MIN(300,MAX(1,D1302)),0), FactorTable!$A$2:$A$301,0), Skills!M15+1)</f>
        <v/>
      </c>
      <c r="F1302">
        <f>IF(Skills!N15=TRUE,(Skills!L15/10)*(E1302/1000),Skills!L15/10)+Skills!O15</f>
        <v/>
      </c>
      <c r="G1302">
        <f>Skills!G15*IF(Skills!H15&gt;0,Skills!I15/Skills!H15,1)</f>
        <v/>
      </c>
      <c r="H1302">
        <f>1-(1-Skills!J15/100)^Skills!K15</f>
        <v/>
      </c>
      <c r="I1302" t="inlineStr">
        <is>
          <t>1</t>
        </is>
      </c>
      <c r="J1302" t="inlineStr"/>
      <c r="K1302" t="inlineStr"/>
      <c r="L1302" t="inlineStr"/>
      <c r="M1302" t="inlineStr"/>
      <c r="N1302" t="inlineStr"/>
      <c r="O1302">
        <f>(1-Summary!$B$55)*T1302+Summary!$B$55*V1302</f>
        <v/>
      </c>
      <c r="P1302">
        <f>IF(B1324=0,0,O1302/B1324)</f>
        <v/>
      </c>
      <c r="Q1302">
        <f>IFERROR(1/IF(Inputs!$B$38="pvp",15,MAX(0.1,Skills!D15-IF(Skills!E15=TRUE,3.0,0))),0)</f>
        <v/>
      </c>
      <c r="R1302">
        <f>IF(AND(Inputs!$B$38&lt;&gt;"pvp",Inputs!$B$43&gt;0),IF(Inputs!$B$43&lt;=0,0,(INT(Inputs!$B$43/IF(Inputs!$B$38="pvp",15,MAX(0.1,Skills!D15-IF(Skills!E15=TRUE,3.0,0))))+1)),0)</f>
        <v/>
      </c>
      <c r="S1302">
        <f>IFERROR(O1302/N1302,0)</f>
        <v/>
      </c>
      <c r="T1302" t="n">
        <v>0</v>
      </c>
      <c r="V1302" t="n">
        <v>0</v>
      </c>
    </row>
    <row r="1303">
      <c r="A1303">
        <f>Skills!A16</f>
        <v/>
      </c>
      <c r="B1303">
        <f>Skills!B16</f>
        <v/>
      </c>
      <c r="C1303">
        <f>Inputs!$B$3&gt;=105</f>
        <v/>
      </c>
      <c r="D1303">
        <f>IF(Skills!C16=1,60+Inputs!$B$25+Inputs!$B$29,IF(Skills!C16=2,90+Inputs!$B$26+Inputs!$B$29,IF(Skills!C16=3,120+Inputs!$B$27+Inputs!$B$29,MAX(0,(Inputs!$B$3-100)*3)+Inputs!$B$28+Inputs!$B$29)))</f>
        <v/>
      </c>
      <c r="E1303">
        <f>INDEX(FactorTable!$B$2:$Y$301, MATCH(ROUND(MIN(300,MAX(1,D1303)),0), FactorTable!$A$2:$A$301,0), Skills!M16+1)</f>
        <v/>
      </c>
      <c r="F1303">
        <f>IF(Skills!N16=TRUE,(Skills!L16/10)*(E1303/1000),Skills!L16/10)+Skills!O16</f>
        <v/>
      </c>
      <c r="G1303">
        <f>Skills!G16*IF(Skills!H16&gt;0,Skills!I16/Skills!H16,1)</f>
        <v/>
      </c>
      <c r="H1303">
        <f>1-(1-Skills!J16/100)^Skills!K16</f>
        <v/>
      </c>
      <c r="I1303" t="inlineStr">
        <is>
          <t>1</t>
        </is>
      </c>
      <c r="J1303" t="inlineStr"/>
      <c r="K1303" t="inlineStr"/>
      <c r="L1303" t="inlineStr"/>
      <c r="M1303" t="inlineStr"/>
      <c r="N1303" t="inlineStr"/>
      <c r="O1303">
        <f>(1-Summary!$B$55)*T1303+Summary!$B$55*V1303</f>
        <v/>
      </c>
      <c r="P1303">
        <f>IF(B1324=0,0,O1303/B1324)</f>
        <v/>
      </c>
      <c r="Q1303">
        <f>IFERROR(1/IF(Inputs!$B$38="pvp",15,MAX(0.1,Skills!D16-IF(Skills!E16=TRUE,3.0,0))),0)</f>
        <v/>
      </c>
      <c r="R1303">
        <f>IF(AND(Inputs!$B$38&lt;&gt;"pvp",Inputs!$B$43&gt;0),IF(Inputs!$B$43&lt;=0,0,(INT(Inputs!$B$43/IF(Inputs!$B$38="pvp",15,MAX(0.1,Skills!D16-IF(Skills!E16=TRUE,3.0,0))))+1)),0)</f>
        <v/>
      </c>
      <c r="S1303">
        <f>IFERROR(O1303/N1303,0)</f>
        <v/>
      </c>
      <c r="T1303" t="n">
        <v>0</v>
      </c>
      <c r="V1303" t="n">
        <v>0</v>
      </c>
    </row>
    <row r="1304">
      <c r="A1304">
        <f>Skills!A17</f>
        <v/>
      </c>
      <c r="B1304">
        <f>Skills!B17</f>
        <v/>
      </c>
      <c r="C1304">
        <f>Inputs!$B$3&gt;=115</f>
        <v/>
      </c>
      <c r="D1304">
        <f>IF(Skills!C17=1,60+Inputs!$B$25+Inputs!$B$29,IF(Skills!C17=2,90+Inputs!$B$26+Inputs!$B$29,IF(Skills!C17=3,120+Inputs!$B$27+Inputs!$B$29,MAX(0,(Inputs!$B$3-100)*3)+Inputs!$B$28+Inputs!$B$29)))</f>
        <v/>
      </c>
      <c r="E1304">
        <f>INDEX(FactorTable!$B$2:$Y$301, MATCH(ROUND(MIN(300,MAX(1,D1304)),0), FactorTable!$A$2:$A$301,0), Skills!M17+1)</f>
        <v/>
      </c>
      <c r="F1304">
        <f>IF(Skills!N17=TRUE,(Skills!L17/10)*(E1304/1000),Skills!L17/10)+Skills!O17</f>
        <v/>
      </c>
      <c r="G1304">
        <f>Skills!G17*IF(Skills!H17&gt;0,Skills!I17/Skills!H17,1)</f>
        <v/>
      </c>
      <c r="H1304">
        <f>1-(1-Skills!J17/100)^Skills!K17</f>
        <v/>
      </c>
      <c r="I1304" t="inlineStr">
        <is>
          <t>1</t>
        </is>
      </c>
      <c r="J1304" t="inlineStr"/>
      <c r="K1304" t="inlineStr"/>
      <c r="L1304" t="inlineStr"/>
      <c r="M1304" t="inlineStr"/>
      <c r="N1304" t="inlineStr"/>
      <c r="O1304">
        <f>(1-Summary!$B$55)*T1304+Summary!$B$55*V1304</f>
        <v/>
      </c>
      <c r="P1304">
        <f>IF(B1324=0,0,O1304/B1324)</f>
        <v/>
      </c>
      <c r="Q1304">
        <f>IFERROR(1/IF(Inputs!$B$38="pvp",15,MAX(0.1,Skills!D17-IF(Skills!E17=TRUE,3.0,0))),0)</f>
        <v/>
      </c>
      <c r="R1304">
        <f>IF(AND(Inputs!$B$38&lt;&gt;"pvp",Inputs!$B$43&gt;0),IF(Inputs!$B$43&lt;=0,0,(INT(Inputs!$B$43/IF(Inputs!$B$38="pvp",15,MAX(0.1,Skills!D17-IF(Skills!E17=TRUE,3.0,0))))+1)),0)</f>
        <v/>
      </c>
      <c r="S1304">
        <f>IFERROR(O1304/N1304,0)</f>
        <v/>
      </c>
      <c r="T1304" t="n">
        <v>0</v>
      </c>
      <c r="V1304" t="n">
        <v>0</v>
      </c>
    </row>
    <row r="1305">
      <c r="A1305">
        <f>Skills!A18</f>
        <v/>
      </c>
      <c r="B1305">
        <f>Skills!B18</f>
        <v/>
      </c>
      <c r="C1305">
        <f>Inputs!$B$3&gt;=74</f>
        <v/>
      </c>
      <c r="D1305">
        <f>IF(Skills!C18=1,60+Inputs!$B$25+Inputs!$B$29,IF(Skills!C18=2,90+Inputs!$B$26+Inputs!$B$29,IF(Skills!C18=3,120+Inputs!$B$27+Inputs!$B$29,MAX(0,(Inputs!$B$3-100)*3)+Inputs!$B$28+Inputs!$B$29)))</f>
        <v/>
      </c>
      <c r="E1305">
        <f>INDEX(FactorTable!$B$2:$Y$301, MATCH(ROUND(MIN(300,MAX(1,D1305)),0), FactorTable!$A$2:$A$301,0), Skills!M18+1)</f>
        <v/>
      </c>
      <c r="F1305">
        <f>IF(Skills!N18=TRUE,(Skills!L18/10)*(E1305/1000),Skills!L18/10)+Skills!O18</f>
        <v/>
      </c>
      <c r="G1305">
        <f>Skills!G18*IF(Skills!H18&gt;0,Skills!I18/Skills!H18,1)</f>
        <v/>
      </c>
      <c r="H1305">
        <f>1-(1-Skills!J18/100)^Skills!K18</f>
        <v/>
      </c>
      <c r="I1305" t="inlineStr">
        <is>
          <t>1</t>
        </is>
      </c>
      <c r="J1305" t="inlineStr"/>
      <c r="K1305" t="inlineStr"/>
      <c r="L1305" t="inlineStr"/>
      <c r="M1305" t="inlineStr"/>
      <c r="N1305" t="inlineStr"/>
      <c r="O1305">
        <f>(1-Summary!$B$55)*T1305+Summary!$B$55*V1305</f>
        <v/>
      </c>
      <c r="P1305">
        <f>IF(B1324=0,0,O1305/B1324)</f>
        <v/>
      </c>
      <c r="Q1305">
        <f>IFERROR(1/IF(Inputs!$B$38="pvp",15,MAX(0.1,Skills!D18-IF(Skills!E18=TRUE,3.0,0))),0)</f>
        <v/>
      </c>
      <c r="R1305">
        <f>IF(AND(Inputs!$B$38&lt;&gt;"pvp",Inputs!$B$43&gt;0),IF(Inputs!$B$43&lt;=0,0,(INT(Inputs!$B$43/IF(Inputs!$B$38="pvp",15,MAX(0.1,Skills!D18-IF(Skills!E18=TRUE,3.0,0))))+1)),0)</f>
        <v/>
      </c>
      <c r="S1305">
        <f>IFERROR(O1305/N1305,0)</f>
        <v/>
      </c>
      <c r="T1305" t="n">
        <v>0</v>
      </c>
      <c r="V1305" t="n">
        <v>0</v>
      </c>
    </row>
    <row r="1306">
      <c r="A1306">
        <f>Skills!A19</f>
        <v/>
      </c>
      <c r="B1306">
        <f>Skills!B19</f>
        <v/>
      </c>
      <c r="C1306">
        <f>TRUE</f>
        <v/>
      </c>
      <c r="D1306">
        <f>IF(Skills!C19=1,60+Inputs!$B$25+Inputs!$B$29,IF(Skills!C19=2,90+Inputs!$B$26+Inputs!$B$29,IF(Skills!C19=3,120+Inputs!$B$27+Inputs!$B$29,MAX(0,(Inputs!$B$3-100)*3)+Inputs!$B$28+Inputs!$B$29)))</f>
        <v/>
      </c>
      <c r="E1306">
        <f>INDEX(FactorTable!$B$2:$Y$301, MATCH(ROUND(MIN(300,MAX(1,D1306)),0), FactorTable!$A$2:$A$301,0), Skills!M19+1)</f>
        <v/>
      </c>
      <c r="F1306">
        <f>IF(Skills!N19=TRUE,(Skills!L19/10)*(E1306/1000),Skills!L19/10)+Skills!O19</f>
        <v/>
      </c>
      <c r="G1306">
        <f>Skills!G19*IF(Skills!H19&gt;0,Skills!I19/Skills!H19,1)</f>
        <v/>
      </c>
      <c r="H1306">
        <f>1-(1-Skills!J19/100)^Skills!K19</f>
        <v/>
      </c>
      <c r="I1306" t="inlineStr">
        <is>
          <t>1</t>
        </is>
      </c>
      <c r="J1306" t="inlineStr"/>
      <c r="K1306" t="inlineStr"/>
      <c r="L1306" t="inlineStr"/>
      <c r="M1306" t="inlineStr"/>
      <c r="N1306" t="inlineStr"/>
      <c r="O1306">
        <f>(1-Summary!$B$55)*T1306+Summary!$B$55*V1306</f>
        <v/>
      </c>
      <c r="P1306">
        <f>IF(B1324=0,0,O1306/B1324)</f>
        <v/>
      </c>
      <c r="Q1306">
        <f>IFERROR(1/IF(Inputs!$B$38="pvp",15,MAX(0.1,Skills!D19-IF(Skills!E19=TRUE,3.0,0))),0)</f>
        <v/>
      </c>
      <c r="R1306">
        <f>IF(AND(Inputs!$B$38&lt;&gt;"pvp",Inputs!$B$43&gt;0),IF(Inputs!$B$43&lt;=0,0,(INT(Inputs!$B$43/IF(Inputs!$B$38="pvp",15,MAX(0.1,Skills!D19-IF(Skills!E19=TRUE,3.0,0))))+1)),0)</f>
        <v/>
      </c>
      <c r="S1306">
        <f>IFERROR(O1306/N1306,0)</f>
        <v/>
      </c>
      <c r="T1306" t="n">
        <v>0</v>
      </c>
      <c r="V1306" t="n">
        <v>0</v>
      </c>
    </row>
    <row r="1307">
      <c r="A1307">
        <f>Skills!A20</f>
        <v/>
      </c>
      <c r="B1307">
        <f>Skills!B20</f>
        <v/>
      </c>
      <c r="C1307">
        <f>Inputs!$B$3&gt;=33</f>
        <v/>
      </c>
      <c r="D1307">
        <f>IF(Skills!C20=1,60+Inputs!$B$25+Inputs!$B$29,IF(Skills!C20=2,90+Inputs!$B$26+Inputs!$B$29,IF(Skills!C20=3,120+Inputs!$B$27+Inputs!$B$29,MAX(0,(Inputs!$B$3-100)*3)+Inputs!$B$28+Inputs!$B$29)))</f>
        <v/>
      </c>
      <c r="E1307">
        <f>INDEX(FactorTable!$B$2:$Y$301, MATCH(ROUND(MIN(300,MAX(1,D1307)),0), FactorTable!$A$2:$A$301,0), Skills!M20+1)</f>
        <v/>
      </c>
      <c r="F1307">
        <f>IF(Skills!N20=TRUE,(Skills!L20/10)*(E1307/1000),Skills!L20/10)+Skills!O20</f>
        <v/>
      </c>
      <c r="G1307">
        <f>Skills!G20*IF(Skills!H20&gt;0,Skills!I20/Skills!H20,1)</f>
        <v/>
      </c>
      <c r="H1307">
        <f>1-(1-Skills!J20/100)^Skills!K20</f>
        <v/>
      </c>
      <c r="I1307" t="inlineStr">
        <is>
          <t>1</t>
        </is>
      </c>
      <c r="J1307" t="inlineStr"/>
      <c r="K1307" t="inlineStr"/>
      <c r="L1307" t="inlineStr"/>
      <c r="M1307" t="inlineStr"/>
      <c r="N1307" t="inlineStr"/>
      <c r="O1307">
        <f>(1-Summary!$B$55)*T1307+Summary!$B$55*V1307</f>
        <v/>
      </c>
      <c r="P1307">
        <f>IF(B1324=0,0,O1307/B1324)</f>
        <v/>
      </c>
      <c r="Q1307" t="n">
        <v>0</v>
      </c>
      <c r="R1307" t="n">
        <v>0</v>
      </c>
      <c r="S1307">
        <f>IFERROR(O1307/N1307,0)</f>
        <v/>
      </c>
      <c r="T1307" t="n">
        <v>0</v>
      </c>
      <c r="V1307" t="n">
        <v>0</v>
      </c>
    </row>
    <row r="1308">
      <c r="A1308">
        <f>Skills!A21</f>
        <v/>
      </c>
      <c r="B1308">
        <f>Skills!B21</f>
        <v/>
      </c>
      <c r="C1308">
        <f>Inputs!$B$3&gt;=38</f>
        <v/>
      </c>
      <c r="D1308">
        <f>IF(Skills!C21=1,60+Inputs!$B$25+Inputs!$B$29,IF(Skills!C21=2,90+Inputs!$B$26+Inputs!$B$29,IF(Skills!C21=3,120+Inputs!$B$27+Inputs!$B$29,MAX(0,(Inputs!$B$3-100)*3)+Inputs!$B$28+Inputs!$B$29)))</f>
        <v/>
      </c>
      <c r="E1308">
        <f>INDEX(FactorTable!$B$2:$Y$301, MATCH(ROUND(MIN(300,MAX(1,D1308)),0), FactorTable!$A$2:$A$301,0), Skills!M21+1)</f>
        <v/>
      </c>
      <c r="F1308">
        <f>IF(Skills!N21=TRUE,(Skills!L21/10)*(E1308/1000),Skills!L21/10)+Skills!O21</f>
        <v/>
      </c>
      <c r="G1308">
        <f>Skills!G21*IF(Skills!H21&gt;0,Skills!I21/Skills!H21,1)</f>
        <v/>
      </c>
      <c r="H1308">
        <f>1-(1-Skills!J21/100)^Skills!K21</f>
        <v/>
      </c>
      <c r="I1308" t="inlineStr">
        <is>
          <t>1</t>
        </is>
      </c>
      <c r="J1308" t="inlineStr"/>
      <c r="K1308" t="inlineStr"/>
      <c r="L1308" t="inlineStr"/>
      <c r="M1308" t="inlineStr"/>
      <c r="N1308" t="inlineStr"/>
      <c r="O1308">
        <f>(1-Summary!$B$55)*T1308+Summary!$B$55*V1308</f>
        <v/>
      </c>
      <c r="P1308">
        <f>IF(B1324=0,0,O1308/B1324)</f>
        <v/>
      </c>
      <c r="Q1308" t="n">
        <v>0</v>
      </c>
      <c r="R1308" t="n">
        <v>0</v>
      </c>
      <c r="S1308">
        <f>IFERROR(O1308/N1308,0)</f>
        <v/>
      </c>
      <c r="T1308" t="n">
        <v>0</v>
      </c>
      <c r="V1308" t="n">
        <v>0</v>
      </c>
    </row>
    <row r="1309">
      <c r="A1309">
        <f>Skills!A22</f>
        <v/>
      </c>
      <c r="B1309">
        <f>Skills!B22</f>
        <v/>
      </c>
      <c r="C1309">
        <f>Inputs!$B$3&gt;=43</f>
        <v/>
      </c>
      <c r="D1309">
        <f>IF(Skills!C22=1,60+Inputs!$B$25+Inputs!$B$29,IF(Skills!C22=2,90+Inputs!$B$26+Inputs!$B$29,IF(Skills!C22=3,120+Inputs!$B$27+Inputs!$B$29,MAX(0,(Inputs!$B$3-100)*3)+Inputs!$B$28+Inputs!$B$29)))</f>
        <v/>
      </c>
      <c r="E1309">
        <f>INDEX(FactorTable!$B$2:$Y$301, MATCH(ROUND(MIN(300,MAX(1,D1309)),0), FactorTable!$A$2:$A$301,0), Skills!M22+1)</f>
        <v/>
      </c>
      <c r="F1309">
        <f>IF(Skills!N22=TRUE,(Skills!L22/10)*(E1309/1000),Skills!L22/10)+Skills!O22</f>
        <v/>
      </c>
      <c r="G1309">
        <f>Skills!G22*IF(Skills!H22&gt;0,Skills!I22/Skills!H22,1)</f>
        <v/>
      </c>
      <c r="H1309">
        <f>1-(1-Skills!J22/100)^Skills!K22</f>
        <v/>
      </c>
      <c r="I1309" t="inlineStr">
        <is>
          <t>1</t>
        </is>
      </c>
      <c r="J1309" t="inlineStr"/>
      <c r="K1309" t="inlineStr"/>
      <c r="L1309" t="inlineStr"/>
      <c r="M1309" t="inlineStr"/>
      <c r="N1309" t="inlineStr"/>
      <c r="O1309">
        <f>(1-Summary!$B$55)*T1309+Summary!$B$55*V1309</f>
        <v/>
      </c>
      <c r="P1309">
        <f>IF(B1324=0,0,O1309/B1324)</f>
        <v/>
      </c>
      <c r="Q1309" t="n">
        <v>0</v>
      </c>
      <c r="R1309" t="n">
        <v>0</v>
      </c>
      <c r="S1309">
        <f>IFERROR(O1309/N1309,0)</f>
        <v/>
      </c>
      <c r="T1309" t="n">
        <v>0</v>
      </c>
      <c r="V1309" t="n">
        <v>0</v>
      </c>
    </row>
    <row r="1310">
      <c r="A1310">
        <f>Skills!A23</f>
        <v/>
      </c>
      <c r="B1310">
        <f>Skills!B23</f>
        <v/>
      </c>
      <c r="C1310">
        <f>Inputs!$B$3&gt;=120</f>
        <v/>
      </c>
      <c r="D1310">
        <f>IF(Skills!C23=1,60+Inputs!$B$25+Inputs!$B$29,IF(Skills!C23=2,90+Inputs!$B$26+Inputs!$B$29,IF(Skills!C23=3,120+Inputs!$B$27+Inputs!$B$29,MAX(0,(Inputs!$B$3-100)*3)+Inputs!$B$28+Inputs!$B$29)))</f>
        <v/>
      </c>
      <c r="E1310">
        <f>INDEX(FactorTable!$B$2:$Y$301, MATCH(ROUND(MIN(300,MAX(1,D1310)),0), FactorTable!$A$2:$A$301,0), Skills!M23+1)</f>
        <v/>
      </c>
      <c r="F1310">
        <f>IF(Skills!N23=TRUE,(Skills!L23/10)*(E1310/1000),Skills!L23/10)+Skills!O23</f>
        <v/>
      </c>
      <c r="G1310">
        <f>Skills!G23*IF(Skills!H23&gt;0,Skills!I23/Skills!H23,1)</f>
        <v/>
      </c>
      <c r="H1310">
        <f>1-(1-Skills!J23/100)^Skills!K23</f>
        <v/>
      </c>
      <c r="I1310" t="inlineStr">
        <is>
          <t>1</t>
        </is>
      </c>
      <c r="J1310" t="inlineStr"/>
      <c r="K1310" t="inlineStr"/>
      <c r="L1310" t="inlineStr"/>
      <c r="M1310" t="inlineStr"/>
      <c r="N1310" t="inlineStr"/>
      <c r="O1310">
        <f>(1-Summary!$B$55)*T1310+Summary!$B$55*V1310</f>
        <v/>
      </c>
      <c r="P1310">
        <f>IF(B1324=0,0,O1310/B1324)</f>
        <v/>
      </c>
      <c r="Q1310" t="n">
        <v>0</v>
      </c>
      <c r="R1310" t="n">
        <v>0</v>
      </c>
      <c r="S1310">
        <f>IFERROR(O1310/N1310,0)</f>
        <v/>
      </c>
      <c r="T1310" t="n">
        <v>0</v>
      </c>
      <c r="V1310" t="n">
        <v>0</v>
      </c>
    </row>
    <row r="1311">
      <c r="A1311">
        <f>Skills!A24</f>
        <v/>
      </c>
      <c r="B1311">
        <f>Skills!B24</f>
        <v/>
      </c>
      <c r="C1311">
        <f>Inputs!$B$3&gt;=120</f>
        <v/>
      </c>
      <c r="D1311">
        <f>IF(Skills!C24=1,60+Inputs!$B$25+Inputs!$B$29,IF(Skills!C24=2,90+Inputs!$B$26+Inputs!$B$29,IF(Skills!C24=3,120+Inputs!$B$27+Inputs!$B$29,MAX(0,(Inputs!$B$3-100)*3)+Inputs!$B$28+Inputs!$B$29)))</f>
        <v/>
      </c>
      <c r="E1311">
        <f>INDEX(FactorTable!$B$2:$Y$301, MATCH(ROUND(MIN(300,MAX(1,D1311)),0), FactorTable!$A$2:$A$301,0), Skills!M24+1)</f>
        <v/>
      </c>
      <c r="F1311">
        <f>IF(Skills!N24=TRUE,(Skills!L24/10)*(E1311/1000),Skills!L24/10)+Skills!O24</f>
        <v/>
      </c>
      <c r="G1311">
        <f>Skills!G24*IF(Skills!H24&gt;0,Skills!I24/Skills!H24,1)</f>
        <v/>
      </c>
      <c r="H1311">
        <f>1-(1-Skills!J24/100)^Skills!K24</f>
        <v/>
      </c>
      <c r="I1311" t="inlineStr">
        <is>
          <t>1</t>
        </is>
      </c>
      <c r="J1311" t="inlineStr"/>
      <c r="K1311" t="inlineStr"/>
      <c r="L1311" t="inlineStr"/>
      <c r="M1311" t="inlineStr"/>
      <c r="N1311" t="inlineStr"/>
      <c r="O1311">
        <f>(1-Summary!$B$55)*T1311+Summary!$B$55*V1311</f>
        <v/>
      </c>
      <c r="P1311">
        <f>IF(B1324=0,0,O1311/B1324)</f>
        <v/>
      </c>
      <c r="Q1311" t="n">
        <v>0</v>
      </c>
      <c r="R1311" t="n">
        <v>0</v>
      </c>
      <c r="S1311">
        <f>IFERROR(O1311/N1311,0)</f>
        <v/>
      </c>
      <c r="T1311" t="n">
        <v>0</v>
      </c>
      <c r="V1311" t="n">
        <v>0</v>
      </c>
    </row>
    <row r="1313">
      <c r="A1313" t="inlineStr">
        <is>
          <t>Attack% Bucket Multiplier</t>
        </is>
      </c>
      <c r="B1313">
        <f>(1+(((C1300=TRUE)*F1300*MIN(1,Skills!T13*(Skills!J13/100)*B1318))+((C1305=TRUE)*F1305*IF(AND(Inputs!$B$38&lt;&gt;"pvp",Inputs!$B$43&gt;0),(((R1305-1)*(Skills!T18*(1+Inputs!$B$34/100))+MIN((Skills!T18*(1+Inputs!$B$34/100)),MAX(0,Inputs!$B$43-((R1305-1)*Skills!D18))))/Inputs!$B$43),IF(Inputs!$B$38="pvp",MIN((Skills!T18*(1+Inputs!$B$34/100)),15)/15,(Skills!T18*(1+Inputs!$B$34/100))/Skills!D18)))+0)/100)</f>
        <v/>
      </c>
    </row>
    <row r="1314">
      <c r="A1314" t="inlineStr">
        <is>
          <t>Global Crit Rate Bonus %</t>
        </is>
      </c>
      <c r="B1314" t="n">
        <v>0</v>
      </c>
    </row>
    <row r="1315">
      <c r="A1315" t="inlineStr">
        <is>
          <t>Attack Speed Buff Bonus %</t>
        </is>
      </c>
      <c r="B1315">
        <f>((C1306=TRUE)*F1306*IF(AND(Inputs!$B$38&lt;&gt;"pvp",Inputs!$B$43&gt;0),(((R1306-1)*(Skills!T19*(1+Inputs!$B$34/100))+MIN((Skills!T19*(1+Inputs!$B$34/100)),MAX(0,Inputs!$B$43-((R1306-1)*Skills!D19))))/Inputs!$B$43),IF(Inputs!$B$38="pvp",MIN((Skills!T19*(1+Inputs!$B$34/100)),15)/15,(Skills!T19*(1+Inputs!$B$34/100))/Skills!D19)))</f>
        <v/>
      </c>
    </row>
    <row r="1316">
      <c r="A1316" t="inlineStr">
        <is>
          <t>Actions Per Second</t>
        </is>
      </c>
      <c r="B1316">
        <f>1+MIN(150,150*(1-(1-(Inputs!$B$11+((C1307=TRUE)*(F1307-Calc!F20)))/150)*(1-B1315/150)))/100</f>
        <v/>
      </c>
    </row>
    <row r="1317">
      <c r="A1317" t="inlineStr">
        <is>
          <t>Skill + Buff Cast Rate</t>
        </is>
      </c>
      <c r="B1317">
        <f>IF(AND(Inputs!$B$38&lt;&gt;"pvp",Inputs!$B$43&gt;0),SUMPRODUCT((Skills!E2:E24=TRUE)*(C1289:C1311=TRUE)*R1289:R1311*Skills!F2:F24)/Inputs!$B$43,SUMPRODUCT((Skills!E2:E24=TRUE)*(C1289:C1311=TRUE)*Q1289:Q1311*Skills!F2:F24))</f>
        <v/>
      </c>
    </row>
    <row r="1318">
      <c r="A1318" t="inlineStr">
        <is>
          <t>Blast Casts Per Second</t>
        </is>
      </c>
      <c r="B1318">
        <f>MAX(0,B1316-B1317)</f>
        <v/>
      </c>
    </row>
    <row r="1319">
      <c r="A1319" t="inlineStr">
        <is>
          <t>Global Critical Damage Bonus % (unused)</t>
        </is>
      </c>
      <c r="B1319" t="n">
        <v>0</v>
      </c>
    </row>
    <row r="1320">
      <c r="A1320" t="inlineStr">
        <is>
          <t>Global Final Damage Bonus % (Divine Shield + Guardian + Divine Blessing + Greater Vessel of Light)</t>
        </is>
      </c>
      <c r="B1320">
        <f>((C1302=TRUE)*F1302*IF(AND(Inputs!$B$38&lt;&gt;"pvp",Inputs!$B$43&gt;0),(((R1302-1)*(Skills!T15*(1+Inputs!$B$34/100))+MIN((Skills!T15*(1+Inputs!$B$34/100)),MAX(0,Inputs!$B$43-((R1302-1)*Skills!D15))))/Inputs!$B$43),IF(Inputs!$B$38="pvp",MIN((Skills!T15*(1+Inputs!$B$34/100)),15)/15,(Skills!T15*(1+Inputs!$B$34/100))/Skills!D15)))+((C1303=TRUE)*F1303*IF(AND(Inputs!$B$38&lt;&gt;"pvp",Inputs!$B$43&gt;0),(((R1303-1)*(Skills!T16*(1+Inputs!$B$34/100))+MIN((Skills!T16*(1+Inputs!$B$34/100)),MAX(0,Inputs!$B$43-((R1303-1)*Skills!D16))))/Inputs!$B$43),IF(Inputs!$B$38="pvp",MIN((Skills!T16*(1+Inputs!$B$34/100)),15)/15,(Skills!T16*(1+Inputs!$B$34/100))/Skills!D16)))+((C1304=TRUE)*F1304*IF(AND(Inputs!$B$38&lt;&gt;"pvp",Inputs!$B$43&gt;0),(((R1304-1)*(Skills!T17*(1+Inputs!$B$34/100))+MIN((Skills!T17*(1+Inputs!$B$34/100)),MAX(0,Inputs!$B$43-((R1304-1)*Skills!D17))))/Inputs!$B$43),IF(Inputs!$B$38="pvp",MIN((Skills!T17*(1+Inputs!$B$34/100)),15)/15,(Skills!T17*(1+Inputs!$B$34/100))/Skills!D17)))+((C1301=TRUE)*F1301*MIN(1,Skills!T13*(Skills!J13/100)*B1318))</f>
        <v/>
      </c>
    </row>
    <row r="1321">
      <c r="A1321" t="inlineStr">
        <is>
          <t>Buff-Casting Startup Delay (s, fixed-duration only)</t>
        </is>
      </c>
      <c r="B1321">
        <f>IF(AND(Inputs!$B$38&lt;&gt;"pvp",Inputs!$B$43&gt;0),SUMPRODUCT((Skills!T2:T24&gt;0)*(Skills!E2:E24=TRUE)*(C1289:C1311=TRUE))/B1316,0)</f>
        <v/>
      </c>
    </row>
    <row r="1322">
      <c r="A1322" t="inlineStr">
        <is>
          <t>Boss-Only Total DPS (this block's swept value)</t>
        </is>
      </c>
      <c r="B1322">
        <f>SUM(T1289:T1311)</f>
        <v/>
      </c>
    </row>
    <row r="1323">
      <c r="A1323" t="inlineStr">
        <is>
          <t>Normal-Only Total DPS (this block's swept value)</t>
        </is>
      </c>
      <c r="B1323">
        <f>SUM(V1289:V1311)</f>
        <v/>
      </c>
    </row>
    <row r="1324">
      <c r="A1324" s="5" t="inlineStr">
        <is>
          <t>TOTAL DPS</t>
        </is>
      </c>
      <c r="B1324" s="5">
        <f>SUM(O1289:O1311)</f>
        <v/>
      </c>
    </row>
    <row r="1327">
      <c r="A1327" s="5" t="inlineStr">
        <is>
          <t>Stat: CDR = 3.5s</t>
        </is>
      </c>
    </row>
    <row r="1328">
      <c r="A1328" s="9" t="inlineStr">
        <is>
          <t>Key</t>
        </is>
      </c>
      <c r="B1328" s="9" t="inlineStr">
        <is>
          <t>Name</t>
        </is>
      </c>
      <c r="C1328" s="9" t="inlineStr">
        <is>
          <t>Unlocked</t>
        </is>
      </c>
      <c r="D1328" s="9" t="inlineStr">
        <is>
          <t>InputLevel</t>
        </is>
      </c>
      <c r="E1328" s="9" t="inlineStr">
        <is>
          <t>Factor</t>
        </is>
      </c>
      <c r="F1328" s="9" t="inlineStr">
        <is>
          <t>CoefficientPercent</t>
        </is>
      </c>
      <c r="G1328" s="9" t="inlineStr">
        <is>
          <t>EffectiveHits</t>
        </is>
      </c>
      <c r="H1328" s="9" t="inlineStr">
        <is>
          <t>ProcProbability</t>
        </is>
      </c>
      <c r="I1328" s="9" t="inlineStr">
        <is>
          <t>MapleHeroMultiplier</t>
        </is>
      </c>
      <c r="J1328" s="9" t="inlineStr">
        <is>
          <t>BaseDamage</t>
        </is>
      </c>
      <c r="K1328" s="9" t="inlineStr">
        <is>
          <t>BaseHitDamage</t>
        </is>
      </c>
      <c r="L1328" s="9" t="inlineStr">
        <is>
          <t>NonCritAvg</t>
        </is>
      </c>
      <c r="M1328" s="9" t="inlineStr">
        <is>
          <t>CritAvg</t>
        </is>
      </c>
      <c r="N1328" s="9" t="inlineStr">
        <is>
          <t>ExpectedDamage(perHit)</t>
        </is>
      </c>
      <c r="O1328" s="9" t="inlineStr">
        <is>
          <t>DPS</t>
        </is>
      </c>
      <c r="P1328" s="9" t="inlineStr">
        <is>
          <t>% of Total</t>
        </is>
      </c>
      <c r="Q1328" s="9" t="inlineStr">
        <is>
          <t>InvCooldown</t>
        </is>
      </c>
      <c r="R1328" s="9" t="inlineStr">
        <is>
          <t>CastsInFight</t>
        </is>
      </c>
      <c r="S1328" s="9" t="inlineStr">
        <is>
          <t>HitRate(perSec)</t>
        </is>
      </c>
      <c r="U1328" t="inlineStr">
        <is>
          <t>helpers</t>
        </is>
      </c>
    </row>
    <row r="1329">
      <c r="A1329">
        <f>Skills!A2</f>
        <v/>
      </c>
      <c r="B1329">
        <f>Skills!B2</f>
        <v/>
      </c>
      <c r="C1329">
        <f>Inputs!$B$3&gt;=100</f>
        <v/>
      </c>
      <c r="D1329" t="inlineStr"/>
      <c r="E1329" t="inlineStr"/>
      <c r="F1329">
        <f>U1331+Skills!O2</f>
        <v/>
      </c>
      <c r="G1329">
        <f>Skills!G2*IF(Skills!H2&gt;0,Skills!I2/Skills!H2,1)</f>
        <v/>
      </c>
      <c r="H1329">
        <f>1-(1-Skills!J2/100)^Skills!K2</f>
        <v/>
      </c>
      <c r="I1329" t="inlineStr">
        <is>
          <t>1</t>
        </is>
      </c>
      <c r="J1329">
        <f>((Inputs!$B$6*(1+Inputs!$B$7/100))+(((Inputs!$B$12*(1+Inputs!$B$13/100))-(Inputs!$B$12*(1+Inputs!$B$13/100)))+0.25*(Inputs!$B$14-Inputs!$B$14))*(1+Inputs!$B$7/100))*(F1329/100)</f>
        <v/>
      </c>
      <c r="K1329">
        <f>J1329*(1+((Inputs!$B$12*(1+Inputs!$B$13/100))*0.01+Inputs!$B$14*0.0025)/100)*(1+Inputs!$B$15/100)*(1+Inputs!$B$16/100)*(5000/(6000+Inputs!$B$42*(1-(Inputs!$B$19+0)/100)))*(1+(Inputs!$B$24+0+B1360)/100)*(1+(IF(Skills!A2="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1329)</f>
        <v/>
      </c>
      <c r="L1329">
        <f>K1329*(MIN(Inputs!$B$22+((C1349=TRUE)*(F1349-Calc!F22)),Inputs!$B$23+((C1351=TRUE)*(F1351-Calc!F24)))/100+(Inputs!$B$23+((C1351=TRUE)*(F1351-Calc!F24)))/100)/2</f>
        <v/>
      </c>
      <c r="M1329">
        <f>L1329*(1+(Inputs!$B$10+0+B1359)/100)</f>
        <v/>
      </c>
      <c r="N1329">
        <f>L1329*(1-MIN((Inputs!$B$9+0+B1354),100)/100)+M1329*(MIN((Inputs!$B$9+0+B1354),100)/100)</f>
        <v/>
      </c>
      <c r="O1329">
        <f>(1-Summary!$B$55)*T1329+Summary!$B$55*V1329</f>
        <v/>
      </c>
      <c r="P1329">
        <f>IF(B1364=0,0,O1329/B1364)</f>
        <v/>
      </c>
      <c r="Q1329" t="n">
        <v>0</v>
      </c>
      <c r="R1329" t="n">
        <v>0</v>
      </c>
      <c r="S1329">
        <f>IFERROR(O1329/N1329,0)</f>
        <v/>
      </c>
      <c r="T1329">
        <f>IF(C1329,(Skills!G2*N1329*B1358)*IF(Inputs!$B$38="pvp",1,1+(Inputs!$B$20+0+Skills!P2)/100),0)</f>
        <v/>
      </c>
      <c r="U1329">
        <f>MAX(0,(Inputs!$B$3-100)*3)+Inputs!$B$28+Inputs!$B$29</f>
        <v/>
      </c>
      <c r="V1329">
        <f>IF(C1329,(Skills!G2*N1329*B1358)*IF(Inputs!$B$38="pvp",1,(1+(Inputs!$B$21+Skills!Q2)/100)*(MIN((6+Inputs!$B$33),Inputs!$B$37))),0)</f>
        <v/>
      </c>
    </row>
    <row r="1330">
      <c r="A1330">
        <f>Skills!A3</f>
        <v/>
      </c>
      <c r="B1330">
        <f>Skills!B3</f>
        <v/>
      </c>
      <c r="C1330">
        <f>Inputs!$B$3&gt;=50</f>
        <v/>
      </c>
      <c r="D1330">
        <f>IF(Skills!C3=1,60+Inputs!$B$25+Inputs!$B$29,IF(Skills!C3=2,90+Inputs!$B$26+Inputs!$B$29,IF(Skills!C3=3,120+Inputs!$B$27+Inputs!$B$29,MAX(0,(Inputs!$B$3-100)*3)+Inputs!$B$28+Inputs!$B$29)))</f>
        <v/>
      </c>
      <c r="E1330">
        <f>INDEX(FactorTable!$B$2:$Y$301, MATCH(ROUND(MIN(300,MAX(1,D1330)),0), FactorTable!$A$2:$A$301,0), Skills!M3+1)</f>
        <v/>
      </c>
      <c r="F1330">
        <f>IF(Skills!N3=TRUE,(Skills!L3/10)*(E1330/1000),Skills!L3/10)+Skills!O3</f>
        <v/>
      </c>
      <c r="G1330" t="inlineStr"/>
      <c r="H1330" t="inlineStr"/>
      <c r="I1330" t="inlineStr">
        <is>
          <t>1</t>
        </is>
      </c>
      <c r="J1330" t="inlineStr"/>
      <c r="K1330" t="inlineStr"/>
      <c r="L1330" t="inlineStr"/>
      <c r="M1330" t="inlineStr"/>
      <c r="N1330" t="inlineStr"/>
      <c r="O1330" t="inlineStr"/>
      <c r="P1330" t="inlineStr"/>
      <c r="Q1330" t="inlineStr"/>
      <c r="R1330" t="inlineStr"/>
      <c r="S1330" t="inlineStr"/>
      <c r="U1330">
        <f>INDEX(FactorTable!$B$2:$Y$301, MATCH(ROUND(MIN(300,MAX(1,U1329)),0), FactorTable!$A$2:$A$301,0), 22)</f>
        <v/>
      </c>
    </row>
    <row r="1331">
      <c r="A1331">
        <f>Skills!A4</f>
        <v/>
      </c>
      <c r="B1331">
        <f>Skills!B4</f>
        <v/>
      </c>
      <c r="C1331">
        <f>Inputs!$B$3&gt;=35</f>
        <v/>
      </c>
      <c r="D1331">
        <f>IF(Skills!C4=1,60+Inputs!$B$25+Inputs!$B$29,IF(Skills!C4=2,90+Inputs!$B$26+Inputs!$B$29,IF(Skills!C4=3,120+Inputs!$B$27+Inputs!$B$29,MAX(0,(Inputs!$B$3-100)*3)+Inputs!$B$28+Inputs!$B$29)))</f>
        <v/>
      </c>
      <c r="E1331">
        <f>INDEX(FactorTable!$B$2:$Y$301, MATCH(ROUND(MIN(300,MAX(1,D1331)),0), FactorTable!$A$2:$A$301,0), Skills!M4+1)</f>
        <v/>
      </c>
      <c r="F1331">
        <f>IF(Skills!N4=TRUE,(Skills!L4/10)*(E1331/1000),Skills!L4/10)+Skills!O4</f>
        <v/>
      </c>
      <c r="G1331">
        <f>Skills!G4*IF(Skills!H4&gt;0,Skills!I4/Skills!H4,1)</f>
        <v/>
      </c>
      <c r="H1331">
        <f>1-(1-Skills!J4/100)^Skills!K4</f>
        <v/>
      </c>
      <c r="I1331" t="inlineStr">
        <is>
          <t>1</t>
        </is>
      </c>
      <c r="J1331">
        <f>((Inputs!$B$6*(1+Inputs!$B$7/100))+(((Inputs!$B$12*(1+Inputs!$B$13/100))-(Inputs!$B$12*(1+Inputs!$B$13/100)))+0.25*(Inputs!$B$14-Inputs!$B$14))*(1+Inputs!$B$7/100))*(F1331/100)</f>
        <v/>
      </c>
      <c r="K1331">
        <f>J1331*(1+((Inputs!$B$12*(1+Inputs!$B$13/100))*0.01+Inputs!$B$14*0.0025)/100)*(1+Inputs!$B$15/100)*(1+Inputs!$B$16/100)*(5000/(6000+Inputs!$B$42*(1-(Inputs!$B$19+0)/100)))*(1+(Inputs!$B$24+0+B1360)/100)*(1+4.0*IF(C1339=TRUE,F1339,0)/100)*(1+(IF(Skills!A4="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1331)</f>
        <v/>
      </c>
      <c r="L1331">
        <f>K1331*(MIN(Inputs!$B$22+((C1349=TRUE)*(F1349-Calc!F22)),Inputs!$B$23+((C1351=TRUE)*(F1351-Calc!F24)))/100+(Inputs!$B$23+((C1351=TRUE)*(F1351-Calc!F24)))/100)/2</f>
        <v/>
      </c>
      <c r="M1331">
        <f>L1331*(1+(Inputs!$B$10+0+B1359)/100)</f>
        <v/>
      </c>
      <c r="N1331">
        <f>L1331*(1-MIN((Inputs!$B$9+0+B1354),100)/100)+M1331*(MIN((Inputs!$B$9+0+B1354),100)/100)</f>
        <v/>
      </c>
      <c r="O1331">
        <f>(1-Summary!$B$55)*T1331+Summary!$B$55*V1331</f>
        <v/>
      </c>
      <c r="P1331">
        <f>IF(B1364=0,0,O1331/B1364)</f>
        <v/>
      </c>
      <c r="Q1331">
        <f>IFERROR(1/IF(Inputs!$B$38="pvp",15,MAX(0.1,Skills!D4-IF(Skills!E4=TRUE,3.5,0))),0)</f>
        <v/>
      </c>
      <c r="R1331">
        <f>IF(AND(Inputs!$B$38&lt;&gt;"pvp",Inputs!$B$43&gt;0),IF(MAX(0,Inputs!$B$43-B1361)&lt;=0,0,(INT(MAX(0,Inputs!$B$43-B1361)/IF(Inputs!$B$38="pvp",15,MAX(0.1,Skills!D4-IF(Skills!E4=TRUE,3.5,0))))+1)),0)</f>
        <v/>
      </c>
      <c r="S1331">
        <f>IFERROR(O1331/N1331,0)</f>
        <v/>
      </c>
      <c r="T1331">
        <f>IF(C1331,(H1331*N1331*IF(AND(Inputs!$B$38&lt;&gt;"pvp",Inputs!$B$43&gt;0),((Skills!G4*((R1331-1)*IF(Skills!H4&gt;0,Skills!I4/Skills!H4,1)+IF(Skills!H4&gt;0,MIN(Skills!I4,MAX(0,MAX(0,Inputs!$B$43-B1361)-((R1331-1)*IF(Inputs!$B$38="pvp",15,MAX(0.1,Skills!D4-IF(Skills!E4=TRUE,3.5,0))))))/Skills!H4,1)))/Inputs!$B$43),G1331*Q1331))*IF(Inputs!$B$38="pvp",1,1+(Inputs!$B$20+0+Skills!P4)/100),0)</f>
        <v/>
      </c>
      <c r="U1331">
        <f>290*U1330/1000</f>
        <v/>
      </c>
      <c r="V1331">
        <f>IF(C1331,(H1331*N1331*IF(AND(Inputs!$B$38&lt;&gt;"pvp",Inputs!$B$43&gt;0),((Skills!G4*((R1331-1)*IF(Skills!H4&gt;0,Skills!I4/Skills!H4,1)+IF(Skills!H4&gt;0,MIN(Skills!I4,MAX(0,MAX(0,Inputs!$B$43-B1361)-((R1331-1)*IF(Inputs!$B$38="pvp",15,MAX(0.1,Skills!D4-IF(Skills!E4=TRUE,3.5,0))))))/Skills!H4,1)))/Inputs!$B$43),G1331*Q1331))*IF(Inputs!$B$38="pvp",1,(1+(Inputs!$B$21+Skills!Q4)/100)*(MIN(Skills!R4,Inputs!$B$37))),0)</f>
        <v/>
      </c>
    </row>
    <row r="1332">
      <c r="A1332">
        <f>Skills!A5</f>
        <v/>
      </c>
      <c r="B1332">
        <f>Skills!B5</f>
        <v/>
      </c>
      <c r="C1332">
        <f>Inputs!$B$3&gt;=66</f>
        <v/>
      </c>
      <c r="D1332">
        <f>IF(Skills!C5=1,60+Inputs!$B$25+Inputs!$B$29,IF(Skills!C5=2,90+Inputs!$B$26+Inputs!$B$29,IF(Skills!C5=3,120+Inputs!$B$27+Inputs!$B$29,MAX(0,(Inputs!$B$3-100)*3)+Inputs!$B$28+Inputs!$B$29)))</f>
        <v/>
      </c>
      <c r="E1332">
        <f>INDEX(FactorTable!$B$2:$Y$301, MATCH(ROUND(MIN(300,MAX(1,D1332)),0), FactorTable!$A$2:$A$301,0), Skills!M5+1)</f>
        <v/>
      </c>
      <c r="F1332">
        <f>IF(Skills!N5=TRUE,(Skills!L5/10)*(E1332/1000),Skills!L5/10)+Skills!O5</f>
        <v/>
      </c>
      <c r="G1332">
        <f>Skills!G5*IF(Skills!H5&gt;0,Skills!I5/Skills!H5,1)</f>
        <v/>
      </c>
      <c r="H1332">
        <f>1-(1-Skills!J5/100)^Skills!K5</f>
        <v/>
      </c>
      <c r="I1332" t="inlineStr">
        <is>
          <t>1</t>
        </is>
      </c>
      <c r="J1332">
        <f>((Inputs!$B$6*(1+Inputs!$B$7/100))+(((Inputs!$B$12*(1+Inputs!$B$13/100))-(Inputs!$B$12*(1+Inputs!$B$13/100)))+0.25*(Inputs!$B$14-Inputs!$B$14))*(1+Inputs!$B$7/100))*(F1332/100)</f>
        <v/>
      </c>
      <c r="K1332">
        <f>J1332*(1+((Inputs!$B$12*(1+Inputs!$B$13/100))*0.01+Inputs!$B$14*0.0025)/100)*(1+Inputs!$B$15/100)*(1+Inputs!$B$16/100)*(5000/(6000+Inputs!$B$42*(1-(Inputs!$B$19+0)/100)))*(1+(Inputs!$B$24+0+B1360)/100)*(1+1.0*IF(C1339=TRUE,F1339,0)/100)*(1+(IF(Skills!A5="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1332)</f>
        <v/>
      </c>
      <c r="L1332">
        <f>K1332*(MIN(Inputs!$B$22+((C1349=TRUE)*(F1349-Calc!F22)),Inputs!$B$23+((C1351=TRUE)*(F1351-Calc!F24)))/100+(Inputs!$B$23+((C1351=TRUE)*(F1351-Calc!F24)))/100)/2</f>
        <v/>
      </c>
      <c r="M1332">
        <f>L1332*(1+(Inputs!$B$10+0+B1359)/100)</f>
        <v/>
      </c>
      <c r="N1332">
        <f>L1332*(1-MIN((Inputs!$B$9+0+B1354),100)/100)+M1332*(MIN((Inputs!$B$9+0+B1354),100)/100)</f>
        <v/>
      </c>
      <c r="O1332">
        <f>(1-Summary!$B$55)*T1332+Summary!$B$55*V1332</f>
        <v/>
      </c>
      <c r="P1332">
        <f>IF(B1364=0,0,O1332/B1364)</f>
        <v/>
      </c>
      <c r="Q1332">
        <f>IFERROR(1/IF(Inputs!$B$38="pvp",15,MAX(0.1,Skills!D5-IF(Skills!E5=TRUE,3.5,0))),0)</f>
        <v/>
      </c>
      <c r="R1332">
        <f>IF(AND(Inputs!$B$38&lt;&gt;"pvp",Inputs!$B$43&gt;0),IF(MAX(0,Inputs!$B$43-B1361)&lt;=0,0,(INT(MAX(0,Inputs!$B$43-B1361)/IF(Inputs!$B$38="pvp",15,MAX(0.1,Skills!D5-IF(Skills!E5=TRUE,3.5,0))))+1)),0)</f>
        <v/>
      </c>
      <c r="S1332">
        <f>IFERROR(O1332/N1332,0)</f>
        <v/>
      </c>
      <c r="T1332">
        <f>IF(C1332,(H1332*N1332*IF(AND(Inputs!$B$38&lt;&gt;"pvp",Inputs!$B$43&gt;0),((Skills!G5*((R1332-1)*IF(Skills!H5&gt;0,Skills!I5/Skills!H5,1)+IF(Skills!H5&gt;0,MIN(Skills!I5,MAX(0,MAX(0,Inputs!$B$43-B1361)-((R1332-1)*IF(Inputs!$B$38="pvp",15,MAX(0.1,Skills!D5-IF(Skills!E5=TRUE,3.5,0))))))/Skills!H5,1)))/Inputs!$B$43),G1332*Q1332))*IF(Inputs!$B$38="pvp",1,1+(Inputs!$B$20+0+Skills!P5)/100),0)</f>
        <v/>
      </c>
      <c r="V1332">
        <f>IF(C1332,(H1332*N1332*IF(AND(Inputs!$B$38&lt;&gt;"pvp",Inputs!$B$43&gt;0),((Skills!G5*((R1332-1)*IF(Skills!H5&gt;0,Skills!I5/Skills!H5,1)+IF(Skills!H5&gt;0,MIN(Skills!I5,MAX(0,MAX(0,Inputs!$B$43-B1361)-((R1332-1)*IF(Inputs!$B$38="pvp",15,MAX(0.1,Skills!D5-IF(Skills!E5=TRUE,3.5,0))))))/Skills!H5,1)))/Inputs!$B$43),G1332*Q1332))*IF(Inputs!$B$38="pvp",1,(1+(Inputs!$B$21+Skills!Q5)/100)*(MIN(Skills!R5,Inputs!$B$37))),0)</f>
        <v/>
      </c>
    </row>
    <row r="1333">
      <c r="A1333">
        <f>Skills!A6</f>
        <v/>
      </c>
      <c r="B1333">
        <f>Skills!B6</f>
        <v/>
      </c>
      <c r="C1333">
        <f>Inputs!$B$3&gt;=103</f>
        <v/>
      </c>
      <c r="D1333">
        <f>IF(Skills!C6=1,60+Inputs!$B$25+Inputs!$B$29,IF(Skills!C6=2,90+Inputs!$B$26+Inputs!$B$29,IF(Skills!C6=3,120+Inputs!$B$27+Inputs!$B$29,MAX(0,(Inputs!$B$3-100)*3)+Inputs!$B$28+Inputs!$B$29)))</f>
        <v/>
      </c>
      <c r="E1333">
        <f>INDEX(FactorTable!$B$2:$Y$301, MATCH(ROUND(MIN(300,MAX(1,D1333)),0), FactorTable!$A$2:$A$301,0), Skills!M6+1)</f>
        <v/>
      </c>
      <c r="F1333">
        <f>IF(Skills!N6=TRUE,(Skills!L6/10)*(E1333/1000),Skills!L6/10)+Skills!O6</f>
        <v/>
      </c>
      <c r="G1333">
        <f>Skills!G6*IF(Skills!H6&gt;0,Skills!I6/Skills!H6,1)</f>
        <v/>
      </c>
      <c r="H1333">
        <f>1-(1-Skills!J6/100)^Skills!K6</f>
        <v/>
      </c>
      <c r="I1333" t="inlineStr">
        <is>
          <t>1</t>
        </is>
      </c>
      <c r="J1333">
        <f>((Inputs!$B$6*(1+Inputs!$B$7/100))+(((Inputs!$B$12*(1+Inputs!$B$13/100))-(Inputs!$B$12*(1+Inputs!$B$13/100)))+0.25*(Inputs!$B$14-Inputs!$B$14))*(1+Inputs!$B$7/100))*(F1333/100)</f>
        <v/>
      </c>
      <c r="K1333">
        <f>J1333*(1+((Inputs!$B$12*(1+Inputs!$B$13/100))*0.01+Inputs!$B$14*0.0025)/100)*(1+Inputs!$B$15/100)*(1+Inputs!$B$16/100)*(5000/(6000+Inputs!$B$42*(1-(Inputs!$B$19+0)/100)))*(1+(Inputs!$B$24+0+B1360)/100)*(1+(IF(Skills!A6="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1333)</f>
        <v/>
      </c>
      <c r="L1333">
        <f>K1333*(MIN(Inputs!$B$22+((C1349=TRUE)*(F1349-Calc!F22)),Inputs!$B$23+((C1351=TRUE)*(F1351-Calc!F24)))/100+(Inputs!$B$23+((C1351=TRUE)*(F1351-Calc!F24)))/100)/2</f>
        <v/>
      </c>
      <c r="M1333">
        <f>L1333*(1+(Inputs!$B$10+0+B1359)/100)</f>
        <v/>
      </c>
      <c r="N1333">
        <f>L1333*(1-MIN((Inputs!$B$9+0+B1354),100)/100)+M1333*(MIN((Inputs!$B$9+0+B1354),100)/100)</f>
        <v/>
      </c>
      <c r="O1333">
        <f>(1-Summary!$B$55)*T1333+Summary!$B$55*V1333</f>
        <v/>
      </c>
      <c r="P1333">
        <f>IF(B1364=0,0,O1333/B1364)</f>
        <v/>
      </c>
      <c r="Q1333">
        <f>IFERROR(1/IF(Inputs!$B$38="pvp",15,MAX(0.1,Skills!D6-IF(Skills!E6=TRUE,3.5,0))),0)</f>
        <v/>
      </c>
      <c r="R1333">
        <f>IF(AND(Inputs!$B$38&lt;&gt;"pvp",Inputs!$B$43&gt;0),IF(MAX(0,Inputs!$B$43-B1361)&lt;=0,0,(INT(MAX(0,Inputs!$B$43-B1361)/IF(Inputs!$B$38="pvp",15,MAX(0.1,Skills!D6-IF(Skills!E6=TRUE,3.5,0))))+1)),0)</f>
        <v/>
      </c>
      <c r="S1333">
        <f>IFERROR(O1333/N1333,0)</f>
        <v/>
      </c>
      <c r="T1333">
        <f>IF(C1333,(H1333*N1333*IF(AND(Inputs!$B$38&lt;&gt;"pvp",Inputs!$B$43&gt;0),((Skills!G6*((R1333-1)*IF(Skills!H6&gt;0,Skills!I6/Skills!H6,1)+IF(Skills!H6&gt;0,MIN(Skills!I6,MAX(0,MAX(0,Inputs!$B$43-B1361)-((R1333-1)*IF(Inputs!$B$38="pvp",15,MAX(0.1,Skills!D6-IF(Skills!E6=TRUE,3.5,0))))))/Skills!H6,1)))/Inputs!$B$43),G1333*Q1333))*IF(Inputs!$B$38="pvp",1,1+(Inputs!$B$20+0+Skills!P6)/100),0)</f>
        <v/>
      </c>
      <c r="V1333">
        <f>IF(C1333,(H1333*N1333*IF(AND(Inputs!$B$38&lt;&gt;"pvp",Inputs!$B$43&gt;0),((Skills!G6*((R1333-1)*IF(Skills!H6&gt;0,Skills!I6/Skills!H6,1)+IF(Skills!H6&gt;0,MIN(Skills!I6,MAX(0,MAX(0,Inputs!$B$43-B1361)-((R1333-1)*IF(Inputs!$B$38="pvp",15,MAX(0.1,Skills!D6-IF(Skills!E6=TRUE,3.5,0))))))/Skills!H6,1)))/Inputs!$B$43),G1333*Q1333))*IF(Inputs!$B$38="pvp",1,(1+(Inputs!$B$21+Skills!Q6)/100)*(MIN(Skills!R6,Inputs!$B$37))),0)</f>
        <v/>
      </c>
    </row>
    <row r="1334">
      <c r="A1334">
        <f>Skills!A7</f>
        <v/>
      </c>
      <c r="B1334">
        <f>Skills!B7</f>
        <v/>
      </c>
      <c r="C1334">
        <f>Inputs!$B$3&gt;=107</f>
        <v/>
      </c>
      <c r="D1334">
        <f>IF(Skills!C7=1,60+Inputs!$B$25+Inputs!$B$29,IF(Skills!C7=2,90+Inputs!$B$26+Inputs!$B$29,IF(Skills!C7=3,120+Inputs!$B$27+Inputs!$B$29,MAX(0,(Inputs!$B$3-100)*3)+Inputs!$B$28+Inputs!$B$29)))</f>
        <v/>
      </c>
      <c r="E1334">
        <f>INDEX(FactorTable!$B$2:$Y$301, MATCH(ROUND(MIN(300,MAX(1,D1334)),0), FactorTable!$A$2:$A$301,0), Skills!M7+1)</f>
        <v/>
      </c>
      <c r="F1334">
        <f>IF(Skills!N7=TRUE,(Skills!L7/10)*(E1334/1000),Skills!L7/10)+Skills!O7</f>
        <v/>
      </c>
      <c r="G1334">
        <f>Skills!G7*IF(Skills!H7&gt;0,Skills!I7/Skills!H7,1)</f>
        <v/>
      </c>
      <c r="H1334">
        <f>1-(1-Skills!J7/100)^Skills!K7</f>
        <v/>
      </c>
      <c r="I1334" t="inlineStr">
        <is>
          <t>1</t>
        </is>
      </c>
      <c r="J1334">
        <f>((Inputs!$B$6*(1+Inputs!$B$7/100))+(((Inputs!$B$12*(1+Inputs!$B$13/100))-(Inputs!$B$12*(1+Inputs!$B$13/100)))+0.25*(Inputs!$B$14-Inputs!$B$14))*(1+Inputs!$B$7/100))*(F1334/100)</f>
        <v/>
      </c>
      <c r="K1334">
        <f>J1334*(1+((Inputs!$B$12*(1+Inputs!$B$13/100))*0.01+Inputs!$B$14*0.0025)/100)*(1+Inputs!$B$15/100)*(1+Inputs!$B$16/100)*(5000/(6000+Inputs!$B$42*(1-(Inputs!$B$19+0)/100)))*(1+(Inputs!$B$24+0+B1360)/100)*(1+(IF(Skills!A7="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1334)</f>
        <v/>
      </c>
      <c r="L1334">
        <f>K1334*(MIN(Inputs!$B$22+((C1349=TRUE)*(F1349-Calc!F22)),Inputs!$B$23+((C1351=TRUE)*(F1351-Calc!F24)))/100+(Inputs!$B$23+((C1351=TRUE)*(F1351-Calc!F24)))/100)/2</f>
        <v/>
      </c>
      <c r="M1334">
        <f>L1334*(1+(Inputs!$B$10+0+B1359)/100)</f>
        <v/>
      </c>
      <c r="N1334">
        <f>L1334*(1-MIN((Inputs!$B$9+0+B1354),100)/100)+M1334*(MIN((Inputs!$B$9+0+B1354),100)/100)</f>
        <v/>
      </c>
      <c r="O1334">
        <f>(1-Summary!$B$55)*T1334+Summary!$B$55*V1334</f>
        <v/>
      </c>
      <c r="P1334">
        <f>IF(B1364=0,0,O1334/B1364)</f>
        <v/>
      </c>
      <c r="Q1334">
        <f>IFERROR(1/IF(Inputs!$B$38="pvp",15,MAX(0.1,Skills!D7-IF(Skills!E7=TRUE,3.5,0))),0)</f>
        <v/>
      </c>
      <c r="R1334">
        <f>IF(AND(Inputs!$B$38&lt;&gt;"pvp",Inputs!$B$43&gt;0),IF(MAX(0,Inputs!$B$43-B1361)&lt;=0,0,(INT(MAX(0,Inputs!$B$43-B1361)/IF(Inputs!$B$38="pvp",15,MAX(0.1,Skills!D7-IF(Skills!E7=TRUE,3.5,0))))+1)),0)</f>
        <v/>
      </c>
      <c r="S1334">
        <f>IFERROR(O1334/N1334,0)</f>
        <v/>
      </c>
      <c r="T1334">
        <f>IF(C1334,(H1334*N1334*IF(AND(Inputs!$B$38&lt;&gt;"pvp",Inputs!$B$43&gt;0),((Skills!G7*((R1334-1)*IF(Skills!H7&gt;0,Skills!I7/Skills!H7,1)+IF(Skills!H7&gt;0,MIN(Skills!I7,MAX(0,MAX(0,Inputs!$B$43-B1361)-((R1334-1)*IF(Inputs!$B$38="pvp",15,MAX(0.1,Skills!D7-IF(Skills!E7=TRUE,3.5,0))))))/Skills!H7,1)))/Inputs!$B$43),G1334*Q1334))*IF(Inputs!$B$38="pvp",1,1+(Inputs!$B$20+0+Skills!P7)/100),0)</f>
        <v/>
      </c>
      <c r="V1334">
        <f>IF(C1334,(H1334*N1334*IF(AND(Inputs!$B$38&lt;&gt;"pvp",Inputs!$B$43&gt;0),((Skills!G7*((R1334-1)*IF(Skills!H7&gt;0,Skills!I7/Skills!H7,1)+IF(Skills!H7&gt;0,MIN(Skills!I7,MAX(0,MAX(0,Inputs!$B$43-B1361)-((R1334-1)*IF(Inputs!$B$38="pvp",15,MAX(0.1,Skills!D7-IF(Skills!E7=TRUE,3.5,0))))))/Skills!H7,1)))/Inputs!$B$43),G1334*Q1334))*IF(Inputs!$B$38="pvp",1,(1+(Inputs!$B$21+Skills!Q7)/100)*(MIN(Skills!R7,Inputs!$B$37))),0)</f>
        <v/>
      </c>
    </row>
    <row r="1335">
      <c r="A1335">
        <f>Skills!A8</f>
        <v/>
      </c>
      <c r="B1335">
        <f>Skills!B8</f>
        <v/>
      </c>
      <c r="C1335">
        <f>Inputs!$B$3&gt;=107</f>
        <v/>
      </c>
      <c r="D1335">
        <f>IF(Skills!C8=1,60+Inputs!$B$25+Inputs!$B$29,IF(Skills!C8=2,90+Inputs!$B$26+Inputs!$B$29,IF(Skills!C8=3,120+Inputs!$B$27+Inputs!$B$29,MAX(0,(Inputs!$B$3-100)*3)+Inputs!$B$28+Inputs!$B$29)))</f>
        <v/>
      </c>
      <c r="E1335">
        <f>INDEX(FactorTable!$B$2:$Y$301, MATCH(ROUND(MIN(300,MAX(1,D1335)),0), FactorTable!$A$2:$A$301,0), Skills!M8+1)</f>
        <v/>
      </c>
      <c r="F1335">
        <f>IF(Skills!N8=TRUE,(Skills!L8/10)*(E1335/1000),Skills!L8/10)+Skills!O8</f>
        <v/>
      </c>
      <c r="G1335">
        <f>Skills!G8*IF(Skills!H8&gt;0,Skills!I8/Skills!H8,1)</f>
        <v/>
      </c>
      <c r="H1335">
        <f>1-(1-Skills!J8/100)^Skills!K8</f>
        <v/>
      </c>
      <c r="I1335" t="inlineStr">
        <is>
          <t>1</t>
        </is>
      </c>
      <c r="J1335">
        <f>((Inputs!$B$6*(1+Inputs!$B$7/100))+(((Inputs!$B$12*(1+Inputs!$B$13/100))-(Inputs!$B$12*(1+Inputs!$B$13/100)))+0.25*(Inputs!$B$14-Inputs!$B$14))*(1+Inputs!$B$7/100))*(F1335/100)</f>
        <v/>
      </c>
      <c r="K1335">
        <f>J1335*(1+((Inputs!$B$12*(1+Inputs!$B$13/100))*0.01+Inputs!$B$14*0.0025)/100)*(1+Inputs!$B$15/100)*(1+Inputs!$B$16/100)*(5000/(6000+Inputs!$B$42*(1-(Inputs!$B$19+0)/100)))*(1+(Inputs!$B$24+0+B1360)/100)*(1+(IF(Skills!A8="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1335)</f>
        <v/>
      </c>
      <c r="L1335">
        <f>K1335*(MIN(Inputs!$B$22+((C1349=TRUE)*(F1349-Calc!F22)),Inputs!$B$23+((C1351=TRUE)*(F1351-Calc!F24)))/100+(Inputs!$B$23+((C1351=TRUE)*(F1351-Calc!F24)))/100)/2</f>
        <v/>
      </c>
      <c r="M1335">
        <f>L1335*(1+(Inputs!$B$10+0+B1359)/100)</f>
        <v/>
      </c>
      <c r="N1335">
        <f>L1335*(1-MIN((Inputs!$B$9+0+B1354),100)/100)+M1335*(MIN((Inputs!$B$9+0+B1354),100)/100)</f>
        <v/>
      </c>
      <c r="O1335">
        <f>(1-Summary!$B$55)*T1335+Summary!$B$55*V1335</f>
        <v/>
      </c>
      <c r="P1335">
        <f>IF(B1364=0,0,O1335/B1364)</f>
        <v/>
      </c>
      <c r="Q1335">
        <f>IFERROR(1/IF(Inputs!$B$38="pvp",15,MAX(0.1,Skills!D8-IF(Skills!E8=TRUE,3.5,0))),0)</f>
        <v/>
      </c>
      <c r="R1335">
        <f>IF(AND(Inputs!$B$38&lt;&gt;"pvp",Inputs!$B$43&gt;0),IF(MAX(0,Inputs!$B$43-B1361)&lt;=0,0,(INT(MAX(0,Inputs!$B$43-B1361)/IF(Inputs!$B$38="pvp",15,MAX(0.1,Skills!D8-IF(Skills!E8=TRUE,3.5,0))))+1)),0)</f>
        <v/>
      </c>
      <c r="S1335">
        <f>IFERROR(O1335/N1335,0)</f>
        <v/>
      </c>
      <c r="T1335">
        <f>IF(C1335,(H1335*N1335*IF(AND(Inputs!$B$38&lt;&gt;"pvp",Inputs!$B$43&gt;0),((Skills!G8*((R1335-1)*IF(Skills!H8&gt;0,Skills!I8/Skills!H8,1)+IF(Skills!H8&gt;0,MIN(Skills!I8,MAX(0,MAX(0,Inputs!$B$43-B1361)-((R1335-1)*IF(Inputs!$B$38="pvp",15,MAX(0.1,Skills!D8-IF(Skills!E8=TRUE,3.5,0))))))/Skills!H8,1)))/Inputs!$B$43),G1335*Q1335))*IF(Inputs!$B$38="pvp",1,1+(Inputs!$B$20+0+Skills!P8)/100),0)</f>
        <v/>
      </c>
      <c r="V1335">
        <f>IF(C1335,(H1335*N1335*IF(AND(Inputs!$B$38&lt;&gt;"pvp",Inputs!$B$43&gt;0),((Skills!G8*((R1335-1)*IF(Skills!H8&gt;0,Skills!I8/Skills!H8,1)+IF(Skills!H8&gt;0,MIN(Skills!I8,MAX(0,MAX(0,Inputs!$B$43-B1361)-((R1335-1)*IF(Inputs!$B$38="pvp",15,MAX(0.1,Skills!D8-IF(Skills!E8=TRUE,3.5,0))))))/Skills!H8,1)))/Inputs!$B$43),G1335*Q1335))*IF(Inputs!$B$38="pvp",1,(1+(Inputs!$B$21+Skills!Q8)/100)*(MIN(Skills!R8,Inputs!$B$37))),0)</f>
        <v/>
      </c>
    </row>
    <row r="1336">
      <c r="A1336">
        <f>Skills!A9</f>
        <v/>
      </c>
      <c r="B1336">
        <f>Skills!B9</f>
        <v/>
      </c>
      <c r="C1336">
        <f>Inputs!$B$3&gt;=125</f>
        <v/>
      </c>
      <c r="D1336">
        <f>IF(Skills!C9=1,60+Inputs!$B$25+Inputs!$B$29,IF(Skills!C9=2,90+Inputs!$B$26+Inputs!$B$29,IF(Skills!C9=3,120+Inputs!$B$27+Inputs!$B$29,MAX(0,(Inputs!$B$3-100)*3)+Inputs!$B$28+Inputs!$B$29)))</f>
        <v/>
      </c>
      <c r="E1336">
        <f>INDEX(FactorTable!$B$2:$Y$301, MATCH(ROUND(MIN(300,MAX(1,D1336)),0), FactorTable!$A$2:$A$301,0), Skills!M9+1)</f>
        <v/>
      </c>
      <c r="F1336">
        <f>IF(Skills!N9=TRUE,(Skills!L9/10)*(E1336/1000),Skills!L9/10)+Skills!O9</f>
        <v/>
      </c>
      <c r="G1336">
        <f>Skills!G9*IF(Skills!H9&gt;0,Skills!I9/Skills!H9,1)</f>
        <v/>
      </c>
      <c r="H1336">
        <f>1-(1-Skills!J9/100)^Skills!K9</f>
        <v/>
      </c>
      <c r="I1336" t="inlineStr">
        <is>
          <t>1</t>
        </is>
      </c>
      <c r="J1336">
        <f>((Inputs!$B$6*(1+Inputs!$B$7/100))+(((Inputs!$B$12*(1+Inputs!$B$13/100))-(Inputs!$B$12*(1+Inputs!$B$13/100)))+0.25*(Inputs!$B$14-Inputs!$B$14))*(1+Inputs!$B$7/100))*(F1336/100)</f>
        <v/>
      </c>
      <c r="K1336">
        <f>J1336*(1+((Inputs!$B$12*(1+Inputs!$B$13/100))*0.01+Inputs!$B$14*0.0025)/100)*(1+Inputs!$B$15/100)*(1+Inputs!$B$16/100)*(5000/(6000+Inputs!$B$42*(1-(Inputs!$B$19+0)/100)))*(1+(Inputs!$B$24+0+B1360)/100)*(1+(IF(Skills!A9="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1336)</f>
        <v/>
      </c>
      <c r="L1336">
        <f>K1336*(MIN(Inputs!$B$22+((C1349=TRUE)*(F1349-Calc!F22)),Inputs!$B$23+((C1351=TRUE)*(F1351-Calc!F24)))/100+(Inputs!$B$23+((C1351=TRUE)*(F1351-Calc!F24)))/100)/2</f>
        <v/>
      </c>
      <c r="M1336">
        <f>L1336*(1+(Inputs!$B$10+0+B1359)/100)</f>
        <v/>
      </c>
      <c r="N1336">
        <f>L1336*(1-MIN((Inputs!$B$9+0+B1354),100)/100)+M1336*(MIN((Inputs!$B$9+0+B1354),100)/100)</f>
        <v/>
      </c>
      <c r="O1336">
        <f>(1-Summary!$B$55)*T1336+Summary!$B$55*V1336</f>
        <v/>
      </c>
      <c r="P1336">
        <f>IF(B1364=0,0,O1336/B1364)</f>
        <v/>
      </c>
      <c r="Q1336">
        <f>IFERROR(1/IF(Inputs!$B$38="pvp",15,MAX(0.1,Skills!D9-IF(Skills!E9=TRUE,3.5,0))),0)</f>
        <v/>
      </c>
      <c r="R1336">
        <f>IF(AND(Inputs!$B$38&lt;&gt;"pvp",Inputs!$B$43&gt;0),IF(MAX(0,Inputs!$B$43-B1361)&lt;=0,0,(INT(MAX(0,Inputs!$B$43-B1361)/IF(Inputs!$B$38="pvp",15,MAX(0.1,Skills!D9-IF(Skills!E9=TRUE,3.5,0))))+1)),0)</f>
        <v/>
      </c>
      <c r="S1336">
        <f>IFERROR(O1336/N1336,0)</f>
        <v/>
      </c>
      <c r="T1336">
        <f>IF(C1336,(H1336*N1336*IF(AND(Inputs!$B$38&lt;&gt;"pvp",Inputs!$B$43&gt;0),((Skills!G9*((R1336-1)*IF(Skills!H9&gt;0,Skills!I9/Skills!H9,1)+IF(Skills!H9&gt;0,MIN(Skills!I9,MAX(0,MAX(0,Inputs!$B$43-B1361)-((R1336-1)*IF(Inputs!$B$38="pvp",15,MAX(0.1,Skills!D9-IF(Skills!E9=TRUE,3.5,0))))))/Skills!H9,1)))/Inputs!$B$43),G1336*Q1336))*IF(Inputs!$B$38="pvp",1,1+(Inputs!$B$20+0+Skills!P9)/100),0)</f>
        <v/>
      </c>
      <c r="V1336">
        <f>IF(C1336,(H1336*N1336*IF(AND(Inputs!$B$38&lt;&gt;"pvp",Inputs!$B$43&gt;0),((Skills!G9*((R1336-1)*IF(Skills!H9&gt;0,Skills!I9/Skills!H9,1)+IF(Skills!H9&gt;0,MIN(Skills!I9,MAX(0,MAX(0,Inputs!$B$43-B1361)-((R1336-1)*IF(Inputs!$B$38="pvp",15,MAX(0.1,Skills!D9-IF(Skills!E9=TRUE,3.5,0))))))/Skills!H9,1)))/Inputs!$B$43),G1336*Q1336))*IF(Inputs!$B$38="pvp",1,(1+(Inputs!$B$21+Skills!Q9)/100)*(MIN(Skills!R9,Inputs!$B$37))),0)</f>
        <v/>
      </c>
    </row>
    <row r="1337">
      <c r="A1337">
        <f>Skills!A10</f>
        <v/>
      </c>
      <c r="B1337">
        <f>Skills!B10</f>
        <v/>
      </c>
      <c r="C1337">
        <f>Inputs!$B$3&gt;=117</f>
        <v/>
      </c>
      <c r="D1337">
        <f>IF(Skills!C10=1,60+Inputs!$B$25+Inputs!$B$29,IF(Skills!C10=2,90+Inputs!$B$26+Inputs!$B$29,IF(Skills!C10=3,120+Inputs!$B$27+Inputs!$B$29,MAX(0,(Inputs!$B$3-100)*3)+Inputs!$B$28+Inputs!$B$29)))</f>
        <v/>
      </c>
      <c r="E1337">
        <f>INDEX(FactorTable!$B$2:$Y$301, MATCH(ROUND(MIN(300,MAX(1,D1337)),0), FactorTable!$A$2:$A$301,0), Skills!M10+1)</f>
        <v/>
      </c>
      <c r="F1337">
        <f>IF(Skills!N10=TRUE,(Skills!L10/10)*(E1337/1000),Skills!L10/10)+Skills!O10</f>
        <v/>
      </c>
      <c r="G1337">
        <f>Skills!G10*IF(Skills!H10&gt;0,Skills!I10/Skills!H10,1)</f>
        <v/>
      </c>
      <c r="H1337">
        <f>1-(1-Skills!J10/100)^Skills!K10</f>
        <v/>
      </c>
      <c r="I1337" t="inlineStr">
        <is>
          <t>1</t>
        </is>
      </c>
      <c r="J1337">
        <f>((Inputs!$B$6*(1+Inputs!$B$7/100))+(((Inputs!$B$12*(1+Inputs!$B$13/100))-(Inputs!$B$12*(1+Inputs!$B$13/100)))+0.25*(Inputs!$B$14-Inputs!$B$14))*(1+Inputs!$B$7/100))*(F1337/100)</f>
        <v/>
      </c>
      <c r="K1337">
        <f>J1337*(1+((Inputs!$B$12*(1+Inputs!$B$13/100))*0.01+Inputs!$B$14*0.0025)/100)*(1+Inputs!$B$15/100)*(1+Inputs!$B$16/100)*(5000/(6000+Inputs!$B$42*(1-(Inputs!$B$19+0)/100)))*(1+(Inputs!$B$24+0+B1360)/100)*(1+(IF(Skills!A10="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1337)</f>
        <v/>
      </c>
      <c r="L1337">
        <f>K1337*(MIN(Inputs!$B$22+((C1349=TRUE)*(F1349-Calc!F22)),Inputs!$B$23+((C1351=TRUE)*(F1351-Calc!F24)))/100+(Inputs!$B$23+((C1351=TRUE)*(F1351-Calc!F24)))/100)/2</f>
        <v/>
      </c>
      <c r="M1337">
        <f>L1337*(1+(Inputs!$B$10+0+B1359)/100)</f>
        <v/>
      </c>
      <c r="N1337">
        <f>L1337*(1-MIN((Inputs!$B$9+0+B1354),100)/100)+M1337*(MIN((Inputs!$B$9+0+B1354),100)/100)</f>
        <v/>
      </c>
      <c r="O1337">
        <f>(1-Summary!$B$55)*T1337+Summary!$B$55*V1337</f>
        <v/>
      </c>
      <c r="P1337">
        <f>IF(B1364=0,0,O1337/B1364)</f>
        <v/>
      </c>
      <c r="Q1337">
        <f>IFERROR(1/IF(Inputs!$B$38="pvp",15,MAX(0.1,Skills!D10-IF(Skills!E10=TRUE,3.5,0))),0)</f>
        <v/>
      </c>
      <c r="R1337">
        <f>IF(AND(Inputs!$B$38&lt;&gt;"pvp",Inputs!$B$43&gt;0),IF(MAX(0,Inputs!$B$43-B1361)&lt;=0,0,(INT(MAX(0,Inputs!$B$43-B1361)/IF(Inputs!$B$38="pvp",15,MAX(0.1,Skills!D10-IF(Skills!E10=TRUE,3.5,0))))+1)),0)</f>
        <v/>
      </c>
      <c r="S1337">
        <f>IFERROR(O1337/N1337,0)</f>
        <v/>
      </c>
      <c r="T1337">
        <f>IF(C1337,(H1337*N1337*IF(AND(Inputs!$B$38&lt;&gt;"pvp",Inputs!$B$43&gt;0),((Skills!G10*((R1337-1)*IF(Skills!H10&gt;0,Skills!I10/Skills!H10,1)+IF(Skills!H10&gt;0,MIN(Skills!I10,MAX(0,MAX(0,Inputs!$B$43-B1361)-((R1337-1)*IF(Inputs!$B$38="pvp",15,MAX(0.1,Skills!D10-IF(Skills!E10=TRUE,3.5,0))))))/Skills!H10,1)))/Inputs!$B$43),G1337*Q1337))*IF(Inputs!$B$38="pvp",1,1+(Inputs!$B$20+0+Skills!P10)/100),0)</f>
        <v/>
      </c>
      <c r="V1337">
        <f>IF(C1337,(H1337*N1337*IF(AND(Inputs!$B$38&lt;&gt;"pvp",Inputs!$B$43&gt;0),((Skills!G10*((R1337-1)*IF(Skills!H10&gt;0,Skills!I10/Skills!H10,1)+IF(Skills!H10&gt;0,MIN(Skills!I10,MAX(0,MAX(0,Inputs!$B$43-B1361)-((R1337-1)*IF(Inputs!$B$38="pvp",15,MAX(0.1,Skills!D10-IF(Skills!E10=TRUE,3.5,0))))))/Skills!H10,1)))/Inputs!$B$43),G1337*Q1337))*IF(Inputs!$B$38="pvp",1,(1+(Inputs!$B$21+Skills!Q10)/100)*(MIN(Skills!R10,Inputs!$B$37))),0)</f>
        <v/>
      </c>
    </row>
    <row r="1338">
      <c r="A1338">
        <f>Skills!A11</f>
        <v/>
      </c>
      <c r="B1338">
        <f>Skills!B11</f>
        <v/>
      </c>
      <c r="C1338">
        <f>Inputs!$B$3&gt;=63</f>
        <v/>
      </c>
      <c r="D1338">
        <f>IF(Skills!C11=1,60+Inputs!$B$25+Inputs!$B$29,IF(Skills!C11=2,90+Inputs!$B$26+Inputs!$B$29,IF(Skills!C11=3,120+Inputs!$B$27+Inputs!$B$29,MAX(0,(Inputs!$B$3-100)*3)+Inputs!$B$28+Inputs!$B$29)))</f>
        <v/>
      </c>
      <c r="E1338">
        <f>INDEX(FactorTable!$B$2:$Y$301, MATCH(ROUND(MIN(300,MAX(1,D1338)),0), FactorTable!$A$2:$A$301,0), Skills!M11+1)</f>
        <v/>
      </c>
      <c r="F1338">
        <f>IF(Skills!N11=TRUE,(Skills!L11/10)*(E1338/1000),Skills!L11/10)+Skills!O11</f>
        <v/>
      </c>
      <c r="G1338">
        <f>Skills!G11*IF(Skills!H11&gt;0,Skills!I11/Skills!H11,1)</f>
        <v/>
      </c>
      <c r="H1338">
        <f>1-(1-Skills!J11/100)^Skills!K11</f>
        <v/>
      </c>
      <c r="I1338" t="inlineStr">
        <is>
          <t>1</t>
        </is>
      </c>
      <c r="J1338">
        <f>((Inputs!$B$6*(1+Inputs!$B$7/100))+(((Inputs!$B$12*(1+Inputs!$B$13/100))-(Inputs!$B$12*(1+Inputs!$B$13/100)))+0.25*(Inputs!$B$14-Inputs!$B$14))*(1+Inputs!$B$7/100))*(F1338/100)</f>
        <v/>
      </c>
      <c r="K1338">
        <f>J1338*(1+((Inputs!$B$12*(1+Inputs!$B$13/100))*0.01+Inputs!$B$14*0.0025)/100)*(1+Inputs!$B$15/100)*(1+Inputs!$B$16/100)*(5000/(6000+Inputs!$B$42*(1-(Inputs!$B$19+0)/100)))*(1+(Inputs!$B$24+0+B1360)/100)*(1+1.5*IF(C1339=TRUE,F1339,0)/100)*(1+(IF(Skills!A11="BLAST",Inputs!$B$17+((C1348=TRUE)*(F1348-Calc!F21)),Inputs!$B$18+((C1350=TRUE)*(F1350-Calc!F23))))/100)*((1+(((C1340=TRUE)*F1340*MIN(1,Skills!T13*(Skills!J13/100)*B1358))+((C1345=TRUE)*F1345*IF(AND(Inputs!$B$38&lt;&gt;"pvp",Inputs!$B$43&gt;0),(((R1345-1)*(Skills!T18*(1+Inputs!$B$34/100))+MIN((Skills!T18*(1+Inputs!$B$34/100)),MAX(0,Inputs!$B$43-((R1345-1)*Skills!D18))))/Inputs!$B$43),IF(Inputs!$B$38="pvp",MIN((Skills!T18*(1+Inputs!$B$34/100)),15)/15,(Skills!T18*(1+Inputs!$B$34/100))/Skills!D18)))+0)/100)*I1338)</f>
        <v/>
      </c>
      <c r="L1338">
        <f>K1338*(MIN(Inputs!$B$22+((C1349=TRUE)*(F1349-Calc!F22)),Inputs!$B$23+((C1351=TRUE)*(F1351-Calc!F24)))/100+(Inputs!$B$23+((C1351=TRUE)*(F1351-Calc!F24)))/100)/2</f>
        <v/>
      </c>
      <c r="M1338">
        <f>L1338*(1+(Inputs!$B$10+0+B1359)/100)</f>
        <v/>
      </c>
      <c r="N1338">
        <f>L1338*(1-MIN((Inputs!$B$9+0+B1354),100)/100)+M1338*(MIN((Inputs!$B$9+0+B1354),100)/100)</f>
        <v/>
      </c>
      <c r="O1338">
        <f>(1-Summary!$B$55)*T1338+Summary!$B$55*V1338</f>
        <v/>
      </c>
      <c r="P1338">
        <f>IF(B1364=0,0,O1338/B1364)</f>
        <v/>
      </c>
      <c r="Q1338">
        <f>IFERROR(1/IF(Inputs!$B$38="pvp",15,MAX(0.1,Skills!D11-IF(Skills!E11=TRUE,3.5,0))),0)</f>
        <v/>
      </c>
      <c r="R1338">
        <f>IF(AND(Inputs!$B$38&lt;&gt;"pvp",Inputs!$B$43&gt;0),IF(MAX(0,Inputs!$B$43-B1361)&lt;=0,0,(INT(MAX(0,Inputs!$B$43-B1361)/IF(Inputs!$B$38="pvp",15,MAX(0.1,Skills!D11-IF(Skills!E11=TRUE,3.5,0))))+1)),0)</f>
        <v/>
      </c>
      <c r="S1338">
        <f>IFERROR(O1338/N1338,0)</f>
        <v/>
      </c>
      <c r="T1338">
        <f>IF(C1338,(H1338*N1338*IF(AND(Inputs!$B$38&lt;&gt;"pvp",Inputs!$B$43&gt;0),((Skills!G11*((R1338-1)*IF(Skills!H11&gt;0,Skills!I11/Skills!H11,1)+IF(Skills!H11&gt;0,MIN(Skills!I11,MAX(0,MAX(0,Inputs!$B$43-B1361)-((R1338-1)*IF(Inputs!$B$38="pvp",15,MAX(0.1,Skills!D11-IF(Skills!E11=TRUE,3.5,0))))))/Skills!H11,1)))/Inputs!$B$43),G1338*Q1338))*IF(Inputs!$B$38="pvp",1,1+(Inputs!$B$20+0+Skills!P11)/100),0)</f>
        <v/>
      </c>
      <c r="V1338">
        <f>IF(C1338,(H1338*N1338*IF(AND(Inputs!$B$38&lt;&gt;"pvp",Inputs!$B$43&gt;0),((Skills!G11*((R1338-1)*IF(Skills!H11&gt;0,Skills!I11/Skills!H11,1)+IF(Skills!H11&gt;0,MIN(Skills!I11,MAX(0,MAX(0,Inputs!$B$43-B1361)-((R1338-1)*IF(Inputs!$B$38="pvp",15,MAX(0.1,Skills!D11-IF(Skills!E11=TRUE,3.5,0))))))/Skills!H11,1)))/Inputs!$B$43),G1338*Q1338))*IF(Inputs!$B$38="pvp",1,(1+(Inputs!$B$21+Skills!Q11)/100)*(MIN(Skills!R11,Inputs!$B$37))),0)</f>
        <v/>
      </c>
    </row>
    <row r="1339">
      <c r="A1339">
        <f>Skills!A12</f>
        <v/>
      </c>
      <c r="B1339">
        <f>Skills!B12</f>
        <v/>
      </c>
      <c r="C1339">
        <f>Inputs!$B$3&gt;=100</f>
        <v/>
      </c>
      <c r="D1339">
        <f>IF(Skills!C12=1,60+Inputs!$B$25+Inputs!$B$29,IF(Skills!C12=2,90+Inputs!$B$26+Inputs!$B$29,IF(Skills!C12=3,120+Inputs!$B$27+Inputs!$B$29,MAX(0,(Inputs!$B$3-100)*3)+Inputs!$B$28+Inputs!$B$29)))</f>
        <v/>
      </c>
      <c r="E1339">
        <f>INDEX(FactorTable!$B$2:$Y$301, MATCH(ROUND(MIN(300,MAX(1,D1339)),0), FactorTable!$A$2:$A$301,0), Skills!M12+1)</f>
        <v/>
      </c>
      <c r="F1339">
        <f>IF(Skills!N12=TRUE,(Skills!L12/10)*(E1339/1000),Skills!L12/10)+Skills!O12</f>
        <v/>
      </c>
      <c r="G1339" t="inlineStr"/>
      <c r="H1339" t="inlineStr"/>
      <c r="I1339" t="inlineStr">
        <is>
          <t>1</t>
        </is>
      </c>
      <c r="J1339" t="inlineStr"/>
      <c r="K1339" t="inlineStr"/>
      <c r="L1339" t="inlineStr"/>
      <c r="M1339" t="inlineStr"/>
      <c r="N1339" t="inlineStr"/>
      <c r="O1339" t="inlineStr"/>
      <c r="P1339" t="inlineStr"/>
      <c r="Q1339" t="inlineStr"/>
      <c r="R1339" t="inlineStr"/>
      <c r="S1339" t="inlineStr"/>
    </row>
    <row r="1340">
      <c r="A1340">
        <f>Skills!A13</f>
        <v/>
      </c>
      <c r="B1340">
        <f>Skills!B13</f>
        <v/>
      </c>
      <c r="C1340">
        <f>Inputs!$B$3&gt;=45</f>
        <v/>
      </c>
      <c r="D1340">
        <f>IF(Skills!C13=1,60+Inputs!$B$25+Inputs!$B$29,IF(Skills!C13=2,90+Inputs!$B$26+Inputs!$B$29,IF(Skills!C13=3,120+Inputs!$B$27+Inputs!$B$29,MAX(0,(Inputs!$B$3-100)*3)+Inputs!$B$28+Inputs!$B$29)))</f>
        <v/>
      </c>
      <c r="E1340">
        <f>INDEX(FactorTable!$B$2:$Y$301, MATCH(ROUND(MIN(300,MAX(1,D1340)),0), FactorTable!$A$2:$A$301,0), Skills!M13+1)</f>
        <v/>
      </c>
      <c r="F1340">
        <f>IF(Skills!N13=TRUE,(Skills!L13/10)*(E1340/1000),Skills!L13/10)+Skills!O13</f>
        <v/>
      </c>
      <c r="G1340">
        <f>Skills!G13*IF(Skills!H13&gt;0,Skills!I13/Skills!H13,1)</f>
        <v/>
      </c>
      <c r="H1340">
        <f>1-(1-Skills!J13/100)^Skills!K13</f>
        <v/>
      </c>
      <c r="I1340" t="inlineStr">
        <is>
          <t>1</t>
        </is>
      </c>
      <c r="J1340" t="inlineStr"/>
      <c r="K1340" t="inlineStr"/>
      <c r="L1340" t="inlineStr"/>
      <c r="M1340" t="inlineStr"/>
      <c r="N1340" t="inlineStr"/>
      <c r="O1340">
        <f>(1-Summary!$B$55)*T1340+Summary!$B$55*V1340</f>
        <v/>
      </c>
      <c r="P1340">
        <f>IF(B1364=0,0,O1340/B1364)</f>
        <v/>
      </c>
      <c r="Q1340" t="n">
        <v>0</v>
      </c>
      <c r="R1340" t="n">
        <v>0</v>
      </c>
      <c r="S1340">
        <f>IFERROR(O1340/N1340,0)</f>
        <v/>
      </c>
      <c r="T1340" t="n">
        <v>0</v>
      </c>
      <c r="V1340" t="n">
        <v>0</v>
      </c>
    </row>
    <row r="1341">
      <c r="A1341">
        <f>Skills!A14</f>
        <v/>
      </c>
      <c r="B1341">
        <f>Skills!B14</f>
        <v/>
      </c>
      <c r="C1341">
        <f>Inputs!$B$3&gt;=110</f>
        <v/>
      </c>
      <c r="D1341">
        <f>IF(Skills!C14=1,60+Inputs!$B$25+Inputs!$B$29,IF(Skills!C14=2,90+Inputs!$B$26+Inputs!$B$29,IF(Skills!C14=3,120+Inputs!$B$27+Inputs!$B$29,MAX(0,(Inputs!$B$3-100)*3)+Inputs!$B$28+Inputs!$B$29)))</f>
        <v/>
      </c>
      <c r="E1341">
        <f>INDEX(FactorTable!$B$2:$Y$301, MATCH(ROUND(MIN(300,MAX(1,D1341)),0), FactorTable!$A$2:$A$301,0), Skills!M14+1)</f>
        <v/>
      </c>
      <c r="F1341">
        <f>IF(Skills!N14=TRUE,(Skills!L14/10)*(E1341/1000),Skills!L14/10)+Skills!O14</f>
        <v/>
      </c>
      <c r="G1341">
        <f>Skills!G14*IF(Skills!H14&gt;0,Skills!I14/Skills!H14,1)</f>
        <v/>
      </c>
      <c r="H1341">
        <f>1-(1-Skills!J14/100)^Skills!K14</f>
        <v/>
      </c>
      <c r="I1341" t="inlineStr">
        <is>
          <t>1</t>
        </is>
      </c>
      <c r="J1341" t="inlineStr"/>
      <c r="K1341" t="inlineStr"/>
      <c r="L1341" t="inlineStr"/>
      <c r="M1341" t="inlineStr"/>
      <c r="N1341" t="inlineStr"/>
      <c r="O1341">
        <f>(1-Summary!$B$55)*T1341+Summary!$B$55*V1341</f>
        <v/>
      </c>
      <c r="P1341">
        <f>IF(B1364=0,0,O1341/B1364)</f>
        <v/>
      </c>
      <c r="Q1341" t="n">
        <v>0</v>
      </c>
      <c r="R1341" t="n">
        <v>0</v>
      </c>
      <c r="S1341">
        <f>IFERROR(O1341/N1341,0)</f>
        <v/>
      </c>
      <c r="T1341" t="n">
        <v>0</v>
      </c>
      <c r="V1341" t="n">
        <v>0</v>
      </c>
    </row>
    <row r="1342">
      <c r="A1342">
        <f>Skills!A15</f>
        <v/>
      </c>
      <c r="B1342">
        <f>Skills!B15</f>
        <v/>
      </c>
      <c r="C1342">
        <f>Inputs!$B$3&gt;=75</f>
        <v/>
      </c>
      <c r="D1342">
        <f>IF(Skills!C15=1,60+Inputs!$B$25+Inputs!$B$29,IF(Skills!C15=2,90+Inputs!$B$26+Inputs!$B$29,IF(Skills!C15=3,120+Inputs!$B$27+Inputs!$B$29,MAX(0,(Inputs!$B$3-100)*3)+Inputs!$B$28+Inputs!$B$29)))</f>
        <v/>
      </c>
      <c r="E1342">
        <f>INDEX(FactorTable!$B$2:$Y$301, MATCH(ROUND(MIN(300,MAX(1,D1342)),0), FactorTable!$A$2:$A$301,0), Skills!M15+1)</f>
        <v/>
      </c>
      <c r="F1342">
        <f>IF(Skills!N15=TRUE,(Skills!L15/10)*(E1342/1000),Skills!L15/10)+Skills!O15</f>
        <v/>
      </c>
      <c r="G1342">
        <f>Skills!G15*IF(Skills!H15&gt;0,Skills!I15/Skills!H15,1)</f>
        <v/>
      </c>
      <c r="H1342">
        <f>1-(1-Skills!J15/100)^Skills!K15</f>
        <v/>
      </c>
      <c r="I1342" t="inlineStr">
        <is>
          <t>1</t>
        </is>
      </c>
      <c r="J1342" t="inlineStr"/>
      <c r="K1342" t="inlineStr"/>
      <c r="L1342" t="inlineStr"/>
      <c r="M1342" t="inlineStr"/>
      <c r="N1342" t="inlineStr"/>
      <c r="O1342">
        <f>(1-Summary!$B$55)*T1342+Summary!$B$55*V1342</f>
        <v/>
      </c>
      <c r="P1342">
        <f>IF(B1364=0,0,O1342/B1364)</f>
        <v/>
      </c>
      <c r="Q1342">
        <f>IFERROR(1/IF(Inputs!$B$38="pvp",15,MAX(0.1,Skills!D15-IF(Skills!E15=TRUE,3.5,0))),0)</f>
        <v/>
      </c>
      <c r="R1342">
        <f>IF(AND(Inputs!$B$38&lt;&gt;"pvp",Inputs!$B$43&gt;0),IF(Inputs!$B$43&lt;=0,0,(INT(Inputs!$B$43/IF(Inputs!$B$38="pvp",15,MAX(0.1,Skills!D15-IF(Skills!E15=TRUE,3.5,0))))+1)),0)</f>
        <v/>
      </c>
      <c r="S1342">
        <f>IFERROR(O1342/N1342,0)</f>
        <v/>
      </c>
      <c r="T1342" t="n">
        <v>0</v>
      </c>
      <c r="V1342" t="n">
        <v>0</v>
      </c>
    </row>
    <row r="1343">
      <c r="A1343">
        <f>Skills!A16</f>
        <v/>
      </c>
      <c r="B1343">
        <f>Skills!B16</f>
        <v/>
      </c>
      <c r="C1343">
        <f>Inputs!$B$3&gt;=105</f>
        <v/>
      </c>
      <c r="D1343">
        <f>IF(Skills!C16=1,60+Inputs!$B$25+Inputs!$B$29,IF(Skills!C16=2,90+Inputs!$B$26+Inputs!$B$29,IF(Skills!C16=3,120+Inputs!$B$27+Inputs!$B$29,MAX(0,(Inputs!$B$3-100)*3)+Inputs!$B$28+Inputs!$B$29)))</f>
        <v/>
      </c>
      <c r="E1343">
        <f>INDEX(FactorTable!$B$2:$Y$301, MATCH(ROUND(MIN(300,MAX(1,D1343)),0), FactorTable!$A$2:$A$301,0), Skills!M16+1)</f>
        <v/>
      </c>
      <c r="F1343">
        <f>IF(Skills!N16=TRUE,(Skills!L16/10)*(E1343/1000),Skills!L16/10)+Skills!O16</f>
        <v/>
      </c>
      <c r="G1343">
        <f>Skills!G16*IF(Skills!H16&gt;0,Skills!I16/Skills!H16,1)</f>
        <v/>
      </c>
      <c r="H1343">
        <f>1-(1-Skills!J16/100)^Skills!K16</f>
        <v/>
      </c>
      <c r="I1343" t="inlineStr">
        <is>
          <t>1</t>
        </is>
      </c>
      <c r="J1343" t="inlineStr"/>
      <c r="K1343" t="inlineStr"/>
      <c r="L1343" t="inlineStr"/>
      <c r="M1343" t="inlineStr"/>
      <c r="N1343" t="inlineStr"/>
      <c r="O1343">
        <f>(1-Summary!$B$55)*T1343+Summary!$B$55*V1343</f>
        <v/>
      </c>
      <c r="P1343">
        <f>IF(B1364=0,0,O1343/B1364)</f>
        <v/>
      </c>
      <c r="Q1343">
        <f>IFERROR(1/IF(Inputs!$B$38="pvp",15,MAX(0.1,Skills!D16-IF(Skills!E16=TRUE,3.5,0))),0)</f>
        <v/>
      </c>
      <c r="R1343">
        <f>IF(AND(Inputs!$B$38&lt;&gt;"pvp",Inputs!$B$43&gt;0),IF(Inputs!$B$43&lt;=0,0,(INT(Inputs!$B$43/IF(Inputs!$B$38="pvp",15,MAX(0.1,Skills!D16-IF(Skills!E16=TRUE,3.5,0))))+1)),0)</f>
        <v/>
      </c>
      <c r="S1343">
        <f>IFERROR(O1343/N1343,0)</f>
        <v/>
      </c>
      <c r="T1343" t="n">
        <v>0</v>
      </c>
      <c r="V1343" t="n">
        <v>0</v>
      </c>
    </row>
    <row r="1344">
      <c r="A1344">
        <f>Skills!A17</f>
        <v/>
      </c>
      <c r="B1344">
        <f>Skills!B17</f>
        <v/>
      </c>
      <c r="C1344">
        <f>Inputs!$B$3&gt;=115</f>
        <v/>
      </c>
      <c r="D1344">
        <f>IF(Skills!C17=1,60+Inputs!$B$25+Inputs!$B$29,IF(Skills!C17=2,90+Inputs!$B$26+Inputs!$B$29,IF(Skills!C17=3,120+Inputs!$B$27+Inputs!$B$29,MAX(0,(Inputs!$B$3-100)*3)+Inputs!$B$28+Inputs!$B$29)))</f>
        <v/>
      </c>
      <c r="E1344">
        <f>INDEX(FactorTable!$B$2:$Y$301, MATCH(ROUND(MIN(300,MAX(1,D1344)),0), FactorTable!$A$2:$A$301,0), Skills!M17+1)</f>
        <v/>
      </c>
      <c r="F1344">
        <f>IF(Skills!N17=TRUE,(Skills!L17/10)*(E1344/1000),Skills!L17/10)+Skills!O17</f>
        <v/>
      </c>
      <c r="G1344">
        <f>Skills!G17*IF(Skills!H17&gt;0,Skills!I17/Skills!H17,1)</f>
        <v/>
      </c>
      <c r="H1344">
        <f>1-(1-Skills!J17/100)^Skills!K17</f>
        <v/>
      </c>
      <c r="I1344" t="inlineStr">
        <is>
          <t>1</t>
        </is>
      </c>
      <c r="J1344" t="inlineStr"/>
      <c r="K1344" t="inlineStr"/>
      <c r="L1344" t="inlineStr"/>
      <c r="M1344" t="inlineStr"/>
      <c r="N1344" t="inlineStr"/>
      <c r="O1344">
        <f>(1-Summary!$B$55)*T1344+Summary!$B$55*V1344</f>
        <v/>
      </c>
      <c r="P1344">
        <f>IF(B1364=0,0,O1344/B1364)</f>
        <v/>
      </c>
      <c r="Q1344">
        <f>IFERROR(1/IF(Inputs!$B$38="pvp",15,MAX(0.1,Skills!D17-IF(Skills!E17=TRUE,3.5,0))),0)</f>
        <v/>
      </c>
      <c r="R1344">
        <f>IF(AND(Inputs!$B$38&lt;&gt;"pvp",Inputs!$B$43&gt;0),IF(Inputs!$B$43&lt;=0,0,(INT(Inputs!$B$43/IF(Inputs!$B$38="pvp",15,MAX(0.1,Skills!D17-IF(Skills!E17=TRUE,3.5,0))))+1)),0)</f>
        <v/>
      </c>
      <c r="S1344">
        <f>IFERROR(O1344/N1344,0)</f>
        <v/>
      </c>
      <c r="T1344" t="n">
        <v>0</v>
      </c>
      <c r="V1344" t="n">
        <v>0</v>
      </c>
    </row>
    <row r="1345">
      <c r="A1345">
        <f>Skills!A18</f>
        <v/>
      </c>
      <c r="B1345">
        <f>Skills!B18</f>
        <v/>
      </c>
      <c r="C1345">
        <f>Inputs!$B$3&gt;=74</f>
        <v/>
      </c>
      <c r="D1345">
        <f>IF(Skills!C18=1,60+Inputs!$B$25+Inputs!$B$29,IF(Skills!C18=2,90+Inputs!$B$26+Inputs!$B$29,IF(Skills!C18=3,120+Inputs!$B$27+Inputs!$B$29,MAX(0,(Inputs!$B$3-100)*3)+Inputs!$B$28+Inputs!$B$29)))</f>
        <v/>
      </c>
      <c r="E1345">
        <f>INDEX(FactorTable!$B$2:$Y$301, MATCH(ROUND(MIN(300,MAX(1,D1345)),0), FactorTable!$A$2:$A$301,0), Skills!M18+1)</f>
        <v/>
      </c>
      <c r="F1345">
        <f>IF(Skills!N18=TRUE,(Skills!L18/10)*(E1345/1000),Skills!L18/10)+Skills!O18</f>
        <v/>
      </c>
      <c r="G1345">
        <f>Skills!G18*IF(Skills!H18&gt;0,Skills!I18/Skills!H18,1)</f>
        <v/>
      </c>
      <c r="H1345">
        <f>1-(1-Skills!J18/100)^Skills!K18</f>
        <v/>
      </c>
      <c r="I1345" t="inlineStr">
        <is>
          <t>1</t>
        </is>
      </c>
      <c r="J1345" t="inlineStr"/>
      <c r="K1345" t="inlineStr"/>
      <c r="L1345" t="inlineStr"/>
      <c r="M1345" t="inlineStr"/>
      <c r="N1345" t="inlineStr"/>
      <c r="O1345">
        <f>(1-Summary!$B$55)*T1345+Summary!$B$55*V1345</f>
        <v/>
      </c>
      <c r="P1345">
        <f>IF(B1364=0,0,O1345/B1364)</f>
        <v/>
      </c>
      <c r="Q1345">
        <f>IFERROR(1/IF(Inputs!$B$38="pvp",15,MAX(0.1,Skills!D18-IF(Skills!E18=TRUE,3.5,0))),0)</f>
        <v/>
      </c>
      <c r="R1345">
        <f>IF(AND(Inputs!$B$38&lt;&gt;"pvp",Inputs!$B$43&gt;0),IF(Inputs!$B$43&lt;=0,0,(INT(Inputs!$B$43/IF(Inputs!$B$38="pvp",15,MAX(0.1,Skills!D18-IF(Skills!E18=TRUE,3.5,0))))+1)),0)</f>
        <v/>
      </c>
      <c r="S1345">
        <f>IFERROR(O1345/N1345,0)</f>
        <v/>
      </c>
      <c r="T1345" t="n">
        <v>0</v>
      </c>
      <c r="V1345" t="n">
        <v>0</v>
      </c>
    </row>
    <row r="1346">
      <c r="A1346">
        <f>Skills!A19</f>
        <v/>
      </c>
      <c r="B1346">
        <f>Skills!B19</f>
        <v/>
      </c>
      <c r="C1346">
        <f>TRUE</f>
        <v/>
      </c>
      <c r="D1346">
        <f>IF(Skills!C19=1,60+Inputs!$B$25+Inputs!$B$29,IF(Skills!C19=2,90+Inputs!$B$26+Inputs!$B$29,IF(Skills!C19=3,120+Inputs!$B$27+Inputs!$B$29,MAX(0,(Inputs!$B$3-100)*3)+Inputs!$B$28+Inputs!$B$29)))</f>
        <v/>
      </c>
      <c r="E1346">
        <f>INDEX(FactorTable!$B$2:$Y$301, MATCH(ROUND(MIN(300,MAX(1,D1346)),0), FactorTable!$A$2:$A$301,0), Skills!M19+1)</f>
        <v/>
      </c>
      <c r="F1346">
        <f>IF(Skills!N19=TRUE,(Skills!L19/10)*(E1346/1000),Skills!L19/10)+Skills!O19</f>
        <v/>
      </c>
      <c r="G1346">
        <f>Skills!G19*IF(Skills!H19&gt;0,Skills!I19/Skills!H19,1)</f>
        <v/>
      </c>
      <c r="H1346">
        <f>1-(1-Skills!J19/100)^Skills!K19</f>
        <v/>
      </c>
      <c r="I1346" t="inlineStr">
        <is>
          <t>1</t>
        </is>
      </c>
      <c r="J1346" t="inlineStr"/>
      <c r="K1346" t="inlineStr"/>
      <c r="L1346" t="inlineStr"/>
      <c r="M1346" t="inlineStr"/>
      <c r="N1346" t="inlineStr"/>
      <c r="O1346">
        <f>(1-Summary!$B$55)*T1346+Summary!$B$55*V1346</f>
        <v/>
      </c>
      <c r="P1346">
        <f>IF(B1364=0,0,O1346/B1364)</f>
        <v/>
      </c>
      <c r="Q1346">
        <f>IFERROR(1/IF(Inputs!$B$38="pvp",15,MAX(0.1,Skills!D19-IF(Skills!E19=TRUE,3.5,0))),0)</f>
        <v/>
      </c>
      <c r="R1346">
        <f>IF(AND(Inputs!$B$38&lt;&gt;"pvp",Inputs!$B$43&gt;0),IF(Inputs!$B$43&lt;=0,0,(INT(Inputs!$B$43/IF(Inputs!$B$38="pvp",15,MAX(0.1,Skills!D19-IF(Skills!E19=TRUE,3.5,0))))+1)),0)</f>
        <v/>
      </c>
      <c r="S1346">
        <f>IFERROR(O1346/N1346,0)</f>
        <v/>
      </c>
      <c r="T1346" t="n">
        <v>0</v>
      </c>
      <c r="V1346" t="n">
        <v>0</v>
      </c>
    </row>
    <row r="1347">
      <c r="A1347">
        <f>Skills!A20</f>
        <v/>
      </c>
      <c r="B1347">
        <f>Skills!B20</f>
        <v/>
      </c>
      <c r="C1347">
        <f>Inputs!$B$3&gt;=33</f>
        <v/>
      </c>
      <c r="D1347">
        <f>IF(Skills!C20=1,60+Inputs!$B$25+Inputs!$B$29,IF(Skills!C20=2,90+Inputs!$B$26+Inputs!$B$29,IF(Skills!C20=3,120+Inputs!$B$27+Inputs!$B$29,MAX(0,(Inputs!$B$3-100)*3)+Inputs!$B$28+Inputs!$B$29)))</f>
        <v/>
      </c>
      <c r="E1347">
        <f>INDEX(FactorTable!$B$2:$Y$301, MATCH(ROUND(MIN(300,MAX(1,D1347)),0), FactorTable!$A$2:$A$301,0), Skills!M20+1)</f>
        <v/>
      </c>
      <c r="F1347">
        <f>IF(Skills!N20=TRUE,(Skills!L20/10)*(E1347/1000),Skills!L20/10)+Skills!O20</f>
        <v/>
      </c>
      <c r="G1347">
        <f>Skills!G20*IF(Skills!H20&gt;0,Skills!I20/Skills!H20,1)</f>
        <v/>
      </c>
      <c r="H1347">
        <f>1-(1-Skills!J20/100)^Skills!K20</f>
        <v/>
      </c>
      <c r="I1347" t="inlineStr">
        <is>
          <t>1</t>
        </is>
      </c>
      <c r="J1347" t="inlineStr"/>
      <c r="K1347" t="inlineStr"/>
      <c r="L1347" t="inlineStr"/>
      <c r="M1347" t="inlineStr"/>
      <c r="N1347" t="inlineStr"/>
      <c r="O1347">
        <f>(1-Summary!$B$55)*T1347+Summary!$B$55*V1347</f>
        <v/>
      </c>
      <c r="P1347">
        <f>IF(B1364=0,0,O1347/B1364)</f>
        <v/>
      </c>
      <c r="Q1347" t="n">
        <v>0</v>
      </c>
      <c r="R1347" t="n">
        <v>0</v>
      </c>
      <c r="S1347">
        <f>IFERROR(O1347/N1347,0)</f>
        <v/>
      </c>
      <c r="T1347" t="n">
        <v>0</v>
      </c>
      <c r="V1347" t="n">
        <v>0</v>
      </c>
    </row>
    <row r="1348">
      <c r="A1348">
        <f>Skills!A21</f>
        <v/>
      </c>
      <c r="B1348">
        <f>Skills!B21</f>
        <v/>
      </c>
      <c r="C1348">
        <f>Inputs!$B$3&gt;=38</f>
        <v/>
      </c>
      <c r="D1348">
        <f>IF(Skills!C21=1,60+Inputs!$B$25+Inputs!$B$29,IF(Skills!C21=2,90+Inputs!$B$26+Inputs!$B$29,IF(Skills!C21=3,120+Inputs!$B$27+Inputs!$B$29,MAX(0,(Inputs!$B$3-100)*3)+Inputs!$B$28+Inputs!$B$29)))</f>
        <v/>
      </c>
      <c r="E1348">
        <f>INDEX(FactorTable!$B$2:$Y$301, MATCH(ROUND(MIN(300,MAX(1,D1348)),0), FactorTable!$A$2:$A$301,0), Skills!M21+1)</f>
        <v/>
      </c>
      <c r="F1348">
        <f>IF(Skills!N21=TRUE,(Skills!L21/10)*(E1348/1000),Skills!L21/10)+Skills!O21</f>
        <v/>
      </c>
      <c r="G1348">
        <f>Skills!G21*IF(Skills!H21&gt;0,Skills!I21/Skills!H21,1)</f>
        <v/>
      </c>
      <c r="H1348">
        <f>1-(1-Skills!J21/100)^Skills!K21</f>
        <v/>
      </c>
      <c r="I1348" t="inlineStr">
        <is>
          <t>1</t>
        </is>
      </c>
      <c r="J1348" t="inlineStr"/>
      <c r="K1348" t="inlineStr"/>
      <c r="L1348" t="inlineStr"/>
      <c r="M1348" t="inlineStr"/>
      <c r="N1348" t="inlineStr"/>
      <c r="O1348">
        <f>(1-Summary!$B$55)*T1348+Summary!$B$55*V1348</f>
        <v/>
      </c>
      <c r="P1348">
        <f>IF(B1364=0,0,O1348/B1364)</f>
        <v/>
      </c>
      <c r="Q1348" t="n">
        <v>0</v>
      </c>
      <c r="R1348" t="n">
        <v>0</v>
      </c>
      <c r="S1348">
        <f>IFERROR(O1348/N1348,0)</f>
        <v/>
      </c>
      <c r="T1348" t="n">
        <v>0</v>
      </c>
      <c r="V1348" t="n">
        <v>0</v>
      </c>
    </row>
    <row r="1349">
      <c r="A1349">
        <f>Skills!A22</f>
        <v/>
      </c>
      <c r="B1349">
        <f>Skills!B22</f>
        <v/>
      </c>
      <c r="C1349">
        <f>Inputs!$B$3&gt;=43</f>
        <v/>
      </c>
      <c r="D1349">
        <f>IF(Skills!C22=1,60+Inputs!$B$25+Inputs!$B$29,IF(Skills!C22=2,90+Inputs!$B$26+Inputs!$B$29,IF(Skills!C22=3,120+Inputs!$B$27+Inputs!$B$29,MAX(0,(Inputs!$B$3-100)*3)+Inputs!$B$28+Inputs!$B$29)))</f>
        <v/>
      </c>
      <c r="E1349">
        <f>INDEX(FactorTable!$B$2:$Y$301, MATCH(ROUND(MIN(300,MAX(1,D1349)),0), FactorTable!$A$2:$A$301,0), Skills!M22+1)</f>
        <v/>
      </c>
      <c r="F1349">
        <f>IF(Skills!N22=TRUE,(Skills!L22/10)*(E1349/1000),Skills!L22/10)+Skills!O22</f>
        <v/>
      </c>
      <c r="G1349">
        <f>Skills!G22*IF(Skills!H22&gt;0,Skills!I22/Skills!H22,1)</f>
        <v/>
      </c>
      <c r="H1349">
        <f>1-(1-Skills!J22/100)^Skills!K22</f>
        <v/>
      </c>
      <c r="I1349" t="inlineStr">
        <is>
          <t>1</t>
        </is>
      </c>
      <c r="J1349" t="inlineStr"/>
      <c r="K1349" t="inlineStr"/>
      <c r="L1349" t="inlineStr"/>
      <c r="M1349" t="inlineStr"/>
      <c r="N1349" t="inlineStr"/>
      <c r="O1349">
        <f>(1-Summary!$B$55)*T1349+Summary!$B$55*V1349</f>
        <v/>
      </c>
      <c r="P1349">
        <f>IF(B1364=0,0,O1349/B1364)</f>
        <v/>
      </c>
      <c r="Q1349" t="n">
        <v>0</v>
      </c>
      <c r="R1349" t="n">
        <v>0</v>
      </c>
      <c r="S1349">
        <f>IFERROR(O1349/N1349,0)</f>
        <v/>
      </c>
      <c r="T1349" t="n">
        <v>0</v>
      </c>
      <c r="V1349" t="n">
        <v>0</v>
      </c>
    </row>
    <row r="1350">
      <c r="A1350">
        <f>Skills!A23</f>
        <v/>
      </c>
      <c r="B1350">
        <f>Skills!B23</f>
        <v/>
      </c>
      <c r="C1350">
        <f>Inputs!$B$3&gt;=120</f>
        <v/>
      </c>
      <c r="D1350">
        <f>IF(Skills!C23=1,60+Inputs!$B$25+Inputs!$B$29,IF(Skills!C23=2,90+Inputs!$B$26+Inputs!$B$29,IF(Skills!C23=3,120+Inputs!$B$27+Inputs!$B$29,MAX(0,(Inputs!$B$3-100)*3)+Inputs!$B$28+Inputs!$B$29)))</f>
        <v/>
      </c>
      <c r="E1350">
        <f>INDEX(FactorTable!$B$2:$Y$301, MATCH(ROUND(MIN(300,MAX(1,D1350)),0), FactorTable!$A$2:$A$301,0), Skills!M23+1)</f>
        <v/>
      </c>
      <c r="F1350">
        <f>IF(Skills!N23=TRUE,(Skills!L23/10)*(E1350/1000),Skills!L23/10)+Skills!O23</f>
        <v/>
      </c>
      <c r="G1350">
        <f>Skills!G23*IF(Skills!H23&gt;0,Skills!I23/Skills!H23,1)</f>
        <v/>
      </c>
      <c r="H1350">
        <f>1-(1-Skills!J23/100)^Skills!K23</f>
        <v/>
      </c>
      <c r="I1350" t="inlineStr">
        <is>
          <t>1</t>
        </is>
      </c>
      <c r="J1350" t="inlineStr"/>
      <c r="K1350" t="inlineStr"/>
      <c r="L1350" t="inlineStr"/>
      <c r="M1350" t="inlineStr"/>
      <c r="N1350" t="inlineStr"/>
      <c r="O1350">
        <f>(1-Summary!$B$55)*T1350+Summary!$B$55*V1350</f>
        <v/>
      </c>
      <c r="P1350">
        <f>IF(B1364=0,0,O1350/B1364)</f>
        <v/>
      </c>
      <c r="Q1350" t="n">
        <v>0</v>
      </c>
      <c r="R1350" t="n">
        <v>0</v>
      </c>
      <c r="S1350">
        <f>IFERROR(O1350/N1350,0)</f>
        <v/>
      </c>
      <c r="T1350" t="n">
        <v>0</v>
      </c>
      <c r="V1350" t="n">
        <v>0</v>
      </c>
    </row>
    <row r="1351">
      <c r="A1351">
        <f>Skills!A24</f>
        <v/>
      </c>
      <c r="B1351">
        <f>Skills!B24</f>
        <v/>
      </c>
      <c r="C1351">
        <f>Inputs!$B$3&gt;=120</f>
        <v/>
      </c>
      <c r="D1351">
        <f>IF(Skills!C24=1,60+Inputs!$B$25+Inputs!$B$29,IF(Skills!C24=2,90+Inputs!$B$26+Inputs!$B$29,IF(Skills!C24=3,120+Inputs!$B$27+Inputs!$B$29,MAX(0,(Inputs!$B$3-100)*3)+Inputs!$B$28+Inputs!$B$29)))</f>
        <v/>
      </c>
      <c r="E1351">
        <f>INDEX(FactorTable!$B$2:$Y$301, MATCH(ROUND(MIN(300,MAX(1,D1351)),0), FactorTable!$A$2:$A$301,0), Skills!M24+1)</f>
        <v/>
      </c>
      <c r="F1351">
        <f>IF(Skills!N24=TRUE,(Skills!L24/10)*(E1351/1000),Skills!L24/10)+Skills!O24</f>
        <v/>
      </c>
      <c r="G1351">
        <f>Skills!G24*IF(Skills!H24&gt;0,Skills!I24/Skills!H24,1)</f>
        <v/>
      </c>
      <c r="H1351">
        <f>1-(1-Skills!J24/100)^Skills!K24</f>
        <v/>
      </c>
      <c r="I1351" t="inlineStr">
        <is>
          <t>1</t>
        </is>
      </c>
      <c r="J1351" t="inlineStr"/>
      <c r="K1351" t="inlineStr"/>
      <c r="L1351" t="inlineStr"/>
      <c r="M1351" t="inlineStr"/>
      <c r="N1351" t="inlineStr"/>
      <c r="O1351">
        <f>(1-Summary!$B$55)*T1351+Summary!$B$55*V1351</f>
        <v/>
      </c>
      <c r="P1351">
        <f>IF(B1364=0,0,O1351/B1364)</f>
        <v/>
      </c>
      <c r="Q1351" t="n">
        <v>0</v>
      </c>
      <c r="R1351" t="n">
        <v>0</v>
      </c>
      <c r="S1351">
        <f>IFERROR(O1351/N1351,0)</f>
        <v/>
      </c>
      <c r="T1351" t="n">
        <v>0</v>
      </c>
      <c r="V1351" t="n">
        <v>0</v>
      </c>
    </row>
    <row r="1353">
      <c r="A1353" t="inlineStr">
        <is>
          <t>Attack% Bucket Multiplier</t>
        </is>
      </c>
      <c r="B1353">
        <f>(1+(((C1340=TRUE)*F1340*MIN(1,Skills!T13*(Skills!J13/100)*B1358))+((C1345=TRUE)*F1345*IF(AND(Inputs!$B$38&lt;&gt;"pvp",Inputs!$B$43&gt;0),(((R1345-1)*(Skills!T18*(1+Inputs!$B$34/100))+MIN((Skills!T18*(1+Inputs!$B$34/100)),MAX(0,Inputs!$B$43-((R1345-1)*Skills!D18))))/Inputs!$B$43),IF(Inputs!$B$38="pvp",MIN((Skills!T18*(1+Inputs!$B$34/100)),15)/15,(Skills!T18*(1+Inputs!$B$34/100))/Skills!D18)))+0)/100)</f>
        <v/>
      </c>
    </row>
    <row r="1354">
      <c r="A1354" t="inlineStr">
        <is>
          <t>Global Crit Rate Bonus %</t>
        </is>
      </c>
      <c r="B1354" t="n">
        <v>0</v>
      </c>
    </row>
    <row r="1355">
      <c r="A1355" t="inlineStr">
        <is>
          <t>Attack Speed Buff Bonus %</t>
        </is>
      </c>
      <c r="B1355">
        <f>((C1346=TRUE)*F1346*IF(AND(Inputs!$B$38&lt;&gt;"pvp",Inputs!$B$43&gt;0),(((R1346-1)*(Skills!T19*(1+Inputs!$B$34/100))+MIN((Skills!T19*(1+Inputs!$B$34/100)),MAX(0,Inputs!$B$43-((R1346-1)*Skills!D19))))/Inputs!$B$43),IF(Inputs!$B$38="pvp",MIN((Skills!T19*(1+Inputs!$B$34/100)),15)/15,(Skills!T19*(1+Inputs!$B$34/100))/Skills!D19)))</f>
        <v/>
      </c>
    </row>
    <row r="1356">
      <c r="A1356" t="inlineStr">
        <is>
          <t>Actions Per Second</t>
        </is>
      </c>
      <c r="B1356">
        <f>1+MIN(150,150*(1-(1-(Inputs!$B$11+((C1347=TRUE)*(F1347-Calc!F20)))/150)*(1-B1355/150)))/100</f>
        <v/>
      </c>
    </row>
    <row r="1357">
      <c r="A1357" t="inlineStr">
        <is>
          <t>Skill + Buff Cast Rate</t>
        </is>
      </c>
      <c r="B1357">
        <f>IF(AND(Inputs!$B$38&lt;&gt;"pvp",Inputs!$B$43&gt;0),SUMPRODUCT((Skills!E2:E24=TRUE)*(C1329:C1351=TRUE)*R1329:R1351*Skills!F2:F24)/Inputs!$B$43,SUMPRODUCT((Skills!E2:E24=TRUE)*(C1329:C1351=TRUE)*Q1329:Q1351*Skills!F2:F24))</f>
        <v/>
      </c>
    </row>
    <row r="1358">
      <c r="A1358" t="inlineStr">
        <is>
          <t>Blast Casts Per Second</t>
        </is>
      </c>
      <c r="B1358">
        <f>MAX(0,B1356-B1357)</f>
        <v/>
      </c>
    </row>
    <row r="1359">
      <c r="A1359" t="inlineStr">
        <is>
          <t>Global Critical Damage Bonus % (unused)</t>
        </is>
      </c>
      <c r="B1359" t="n">
        <v>0</v>
      </c>
    </row>
    <row r="1360">
      <c r="A1360" t="inlineStr">
        <is>
          <t>Global Final Damage Bonus % (Divine Shield + Guardian + Divine Blessing + Greater Vessel of Light)</t>
        </is>
      </c>
      <c r="B1360">
        <f>((C1342=TRUE)*F1342*IF(AND(Inputs!$B$38&lt;&gt;"pvp",Inputs!$B$43&gt;0),(((R1342-1)*(Skills!T15*(1+Inputs!$B$34/100))+MIN((Skills!T15*(1+Inputs!$B$34/100)),MAX(0,Inputs!$B$43-((R1342-1)*Skills!D15))))/Inputs!$B$43),IF(Inputs!$B$38="pvp",MIN((Skills!T15*(1+Inputs!$B$34/100)),15)/15,(Skills!T15*(1+Inputs!$B$34/100))/Skills!D15)))+((C1343=TRUE)*F1343*IF(AND(Inputs!$B$38&lt;&gt;"pvp",Inputs!$B$43&gt;0),(((R1343-1)*(Skills!T16*(1+Inputs!$B$34/100))+MIN((Skills!T16*(1+Inputs!$B$34/100)),MAX(0,Inputs!$B$43-((R1343-1)*Skills!D16))))/Inputs!$B$43),IF(Inputs!$B$38="pvp",MIN((Skills!T16*(1+Inputs!$B$34/100)),15)/15,(Skills!T16*(1+Inputs!$B$34/100))/Skills!D16)))+((C1344=TRUE)*F1344*IF(AND(Inputs!$B$38&lt;&gt;"pvp",Inputs!$B$43&gt;0),(((R1344-1)*(Skills!T17*(1+Inputs!$B$34/100))+MIN((Skills!T17*(1+Inputs!$B$34/100)),MAX(0,Inputs!$B$43-((R1344-1)*Skills!D17))))/Inputs!$B$43),IF(Inputs!$B$38="pvp",MIN((Skills!T17*(1+Inputs!$B$34/100)),15)/15,(Skills!T17*(1+Inputs!$B$34/100))/Skills!D17)))+((C1341=TRUE)*F1341*MIN(1,Skills!T13*(Skills!J13/100)*B1358))</f>
        <v/>
      </c>
    </row>
    <row r="1361">
      <c r="A1361" t="inlineStr">
        <is>
          <t>Buff-Casting Startup Delay (s, fixed-duration only)</t>
        </is>
      </c>
      <c r="B1361">
        <f>IF(AND(Inputs!$B$38&lt;&gt;"pvp",Inputs!$B$43&gt;0),SUMPRODUCT((Skills!T2:T24&gt;0)*(Skills!E2:E24=TRUE)*(C1329:C1351=TRUE))/B1356,0)</f>
        <v/>
      </c>
    </row>
    <row r="1362">
      <c r="A1362" t="inlineStr">
        <is>
          <t>Boss-Only Total DPS (this block's swept value)</t>
        </is>
      </c>
      <c r="B1362">
        <f>SUM(T1329:T1351)</f>
        <v/>
      </c>
    </row>
    <row r="1363">
      <c r="A1363" t="inlineStr">
        <is>
          <t>Normal-Only Total DPS (this block's swept value)</t>
        </is>
      </c>
      <c r="B1363">
        <f>SUM(V1329:V1351)</f>
        <v/>
      </c>
    </row>
    <row r="1364">
      <c r="A1364" s="5" t="inlineStr">
        <is>
          <t>TOTAL DPS</t>
        </is>
      </c>
      <c r="B1364" s="5">
        <f>SUM(O1329:O1351)</f>
        <v/>
      </c>
    </row>
    <row r="1367">
      <c r="A1367" s="5" t="inlineStr">
        <is>
          <t>Stat: CDR = 4.0s</t>
        </is>
      </c>
    </row>
    <row r="1368">
      <c r="A1368" s="9" t="inlineStr">
        <is>
          <t>Key</t>
        </is>
      </c>
      <c r="B1368" s="9" t="inlineStr">
        <is>
          <t>Name</t>
        </is>
      </c>
      <c r="C1368" s="9" t="inlineStr">
        <is>
          <t>Unlocked</t>
        </is>
      </c>
      <c r="D1368" s="9" t="inlineStr">
        <is>
          <t>InputLevel</t>
        </is>
      </c>
      <c r="E1368" s="9" t="inlineStr">
        <is>
          <t>Factor</t>
        </is>
      </c>
      <c r="F1368" s="9" t="inlineStr">
        <is>
          <t>CoefficientPercent</t>
        </is>
      </c>
      <c r="G1368" s="9" t="inlineStr">
        <is>
          <t>EffectiveHits</t>
        </is>
      </c>
      <c r="H1368" s="9" t="inlineStr">
        <is>
          <t>ProcProbability</t>
        </is>
      </c>
      <c r="I1368" s="9" t="inlineStr">
        <is>
          <t>MapleHeroMultiplier</t>
        </is>
      </c>
      <c r="J1368" s="9" t="inlineStr">
        <is>
          <t>BaseDamage</t>
        </is>
      </c>
      <c r="K1368" s="9" t="inlineStr">
        <is>
          <t>BaseHitDamage</t>
        </is>
      </c>
      <c r="L1368" s="9" t="inlineStr">
        <is>
          <t>NonCritAvg</t>
        </is>
      </c>
      <c r="M1368" s="9" t="inlineStr">
        <is>
          <t>CritAvg</t>
        </is>
      </c>
      <c r="N1368" s="9" t="inlineStr">
        <is>
          <t>ExpectedDamage(perHit)</t>
        </is>
      </c>
      <c r="O1368" s="9" t="inlineStr">
        <is>
          <t>DPS</t>
        </is>
      </c>
      <c r="P1368" s="9" t="inlineStr">
        <is>
          <t>% of Total</t>
        </is>
      </c>
      <c r="Q1368" s="9" t="inlineStr">
        <is>
          <t>InvCooldown</t>
        </is>
      </c>
      <c r="R1368" s="9" t="inlineStr">
        <is>
          <t>CastsInFight</t>
        </is>
      </c>
      <c r="S1368" s="9" t="inlineStr">
        <is>
          <t>HitRate(perSec)</t>
        </is>
      </c>
      <c r="U1368" t="inlineStr">
        <is>
          <t>helpers</t>
        </is>
      </c>
    </row>
    <row r="1369">
      <c r="A1369">
        <f>Skills!A2</f>
        <v/>
      </c>
      <c r="B1369">
        <f>Skills!B2</f>
        <v/>
      </c>
      <c r="C1369">
        <f>Inputs!$B$3&gt;=100</f>
        <v/>
      </c>
      <c r="D1369" t="inlineStr"/>
      <c r="E1369" t="inlineStr"/>
      <c r="F1369">
        <f>U1371+Skills!O2</f>
        <v/>
      </c>
      <c r="G1369">
        <f>Skills!G2*IF(Skills!H2&gt;0,Skills!I2/Skills!H2,1)</f>
        <v/>
      </c>
      <c r="H1369">
        <f>1-(1-Skills!J2/100)^Skills!K2</f>
        <v/>
      </c>
      <c r="I1369" t="inlineStr">
        <is>
          <t>1</t>
        </is>
      </c>
      <c r="J1369">
        <f>((Inputs!$B$6*(1+Inputs!$B$7/100))+(((Inputs!$B$12*(1+Inputs!$B$13/100))-(Inputs!$B$12*(1+Inputs!$B$13/100)))+0.25*(Inputs!$B$14-Inputs!$B$14))*(1+Inputs!$B$7/100))*(F1369/100)</f>
        <v/>
      </c>
      <c r="K1369">
        <f>J1369*(1+((Inputs!$B$12*(1+Inputs!$B$13/100))*0.01+Inputs!$B$14*0.0025)/100)*(1+Inputs!$B$15/100)*(1+Inputs!$B$16/100)*(5000/(6000+Inputs!$B$42*(1-(Inputs!$B$19+0)/100)))*(1+(Inputs!$B$24+0+B1400)/100)*(1+(IF(Skills!A2="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1369)</f>
        <v/>
      </c>
      <c r="L1369">
        <f>K1369*(MIN(Inputs!$B$22+((C1389=TRUE)*(F1389-Calc!F22)),Inputs!$B$23+((C1391=TRUE)*(F1391-Calc!F24)))/100+(Inputs!$B$23+((C1391=TRUE)*(F1391-Calc!F24)))/100)/2</f>
        <v/>
      </c>
      <c r="M1369">
        <f>L1369*(1+(Inputs!$B$10+0+B1399)/100)</f>
        <v/>
      </c>
      <c r="N1369">
        <f>L1369*(1-MIN((Inputs!$B$9+0+B1394),100)/100)+M1369*(MIN((Inputs!$B$9+0+B1394),100)/100)</f>
        <v/>
      </c>
      <c r="O1369">
        <f>(1-Summary!$B$55)*T1369+Summary!$B$55*V1369</f>
        <v/>
      </c>
      <c r="P1369">
        <f>IF(B1404=0,0,O1369/B1404)</f>
        <v/>
      </c>
      <c r="Q1369" t="n">
        <v>0</v>
      </c>
      <c r="R1369" t="n">
        <v>0</v>
      </c>
      <c r="S1369">
        <f>IFERROR(O1369/N1369,0)</f>
        <v/>
      </c>
      <c r="T1369">
        <f>IF(C1369,(Skills!G2*N1369*B1398)*IF(Inputs!$B$38="pvp",1,1+(Inputs!$B$20+0+Skills!P2)/100),0)</f>
        <v/>
      </c>
      <c r="U1369">
        <f>MAX(0,(Inputs!$B$3-100)*3)+Inputs!$B$28+Inputs!$B$29</f>
        <v/>
      </c>
      <c r="V1369">
        <f>IF(C1369,(Skills!G2*N1369*B1398)*IF(Inputs!$B$38="pvp",1,(1+(Inputs!$B$21+Skills!Q2)/100)*(MIN((6+Inputs!$B$33),Inputs!$B$37))),0)</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U1370">
        <f>INDEX(FactorTable!$B$2:$Y$301, MATCH(ROUND(MIN(300,MAX(1,U1369)),0), FactorTable!$A$2:$A$301,0), 22)</f>
        <v/>
      </c>
    </row>
    <row r="1371">
      <c r="A1371">
        <f>Skills!A4</f>
        <v/>
      </c>
      <c r="B1371">
        <f>Skills!B4</f>
        <v/>
      </c>
      <c r="C1371">
        <f>Inputs!$B$3&gt;=35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f>Skills!G4*IF(Skills!H4&gt;0,Skills!I4/Skills!H4,1)</f>
        <v/>
      </c>
      <c r="H1371">
        <f>1-(1-Skills!J4/100)^Skills!K4</f>
        <v/>
      </c>
      <c r="I1371" t="inlineStr">
        <is>
          <t>1</t>
        </is>
      </c>
      <c r="J1371">
        <f>((Inputs!$B$6*(1+Inputs!$B$7/100))+(((Inputs!$B$12*(1+Inputs!$B$13/100))-(Inputs!$B$12*(1+Inputs!$B$13/100)))+0.25*(Inputs!$B$14-Inputs!$B$14))*(1+Inputs!$B$7/100))*(F1371/100)</f>
        <v/>
      </c>
      <c r="K1371">
        <f>J1371*(1+((Inputs!$B$12*(1+Inputs!$B$13/100))*0.01+Inputs!$B$14*0.0025)/100)*(1+Inputs!$B$15/100)*(1+Inputs!$B$16/100)*(5000/(6000+Inputs!$B$42*(1-(Inputs!$B$19+0)/100)))*(1+(Inputs!$B$24+0+B1400)/100)*(1+4.0*IF(C1379=TRUE,F1379,0)/100)*(1+(IF(Skills!A4="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1371)</f>
        <v/>
      </c>
      <c r="L1371">
        <f>K1371*(MIN(Inputs!$B$22+((C1389=TRUE)*(F1389-Calc!F22)),Inputs!$B$23+((C1391=TRUE)*(F1391-Calc!F24)))/100+(Inputs!$B$23+((C1391=TRUE)*(F1391-Calc!F24)))/100)/2</f>
        <v/>
      </c>
      <c r="M1371">
        <f>L1371*(1+(Inputs!$B$10+0+B1399)/100)</f>
        <v/>
      </c>
      <c r="N1371">
        <f>L1371*(1-MIN((Inputs!$B$9+0+B1394),100)/100)+M1371*(MIN((Inputs!$B$9+0+B1394),100)/100)</f>
        <v/>
      </c>
      <c r="O1371">
        <f>(1-Summary!$B$55)*T1371+Summary!$B$55*V1371</f>
        <v/>
      </c>
      <c r="P1371">
        <f>IF(B1404=0,0,O1371/B1404)</f>
        <v/>
      </c>
      <c r="Q1371">
        <f>IFERROR(1/IF(Inputs!$B$38="pvp",15,MAX(0.1,Skills!D4-IF(Skills!E4=TRUE,4.0,0))),0)</f>
        <v/>
      </c>
      <c r="R1371">
        <f>IF(AND(Inputs!$B$38&lt;&gt;"pvp",Inputs!$B$43&gt;0),IF(MAX(0,Inputs!$B$43-B1401)&lt;=0,0,(INT(MAX(0,Inputs!$B$43-B1401)/IF(Inputs!$B$38="pvp",15,MAX(0.1,Skills!D4-IF(Skills!E4=TRUE,4.0,0))))+1)),0)</f>
        <v/>
      </c>
      <c r="S1371">
        <f>IFERROR(O1371/N1371,0)</f>
        <v/>
      </c>
      <c r="T1371">
        <f>IF(C1371,(H1371*N1371*IF(AND(Inputs!$B$38&lt;&gt;"pvp",Inputs!$B$43&gt;0),((Skills!G4*((R1371-1)*IF(Skills!H4&gt;0,Skills!I4/Skills!H4,1)+IF(Skills!H4&gt;0,MIN(Skills!I4,MAX(0,MAX(0,Inputs!$B$43-B1401)-((R1371-1)*IF(Inputs!$B$38="pvp",15,MAX(0.1,Skills!D4-IF(Skills!E4=TRUE,4.0,0))))))/Skills!H4,1)))/Inputs!$B$43),G1371*Q1371))*IF(Inputs!$B$38="pvp",1,1+(Inputs!$B$20+0+Skills!P4)/100),0)</f>
        <v/>
      </c>
      <c r="U1371">
        <f>290*U1370/1000</f>
        <v/>
      </c>
      <c r="V1371">
        <f>IF(C1371,(H1371*N1371*IF(AND(Inputs!$B$38&lt;&gt;"pvp",Inputs!$B$43&gt;0),((Skills!G4*((R1371-1)*IF(Skills!H4&gt;0,Skills!I4/Skills!H4,1)+IF(Skills!H4&gt;0,MIN(Skills!I4,MAX(0,MAX(0,Inputs!$B$43-B1401)-((R1371-1)*IF(Inputs!$B$38="pvp",15,MAX(0.1,Skills!D4-IF(Skills!E4=TRUE,4.0,0))))))/Skills!H4,1)))/Inputs!$B$43),G1371*Q1371))*IF(Inputs!$B$38="pvp",1,(1+(Inputs!$B$21+Skills!Q4)/100)*(MIN(Skills!R4,Inputs!$B$37))),0)</f>
        <v/>
      </c>
    </row>
    <row r="1372">
      <c r="A1372">
        <f>Skills!A5</f>
        <v/>
      </c>
      <c r="B1372">
        <f>Skills!B5</f>
        <v/>
      </c>
      <c r="C1372">
        <f>Inputs!$B$3&gt;=66</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Skills!G5*IF(Skills!H5&gt;0,Skills!I5/Skills!H5,1)</f>
        <v/>
      </c>
      <c r="H1372">
        <f>1-(1-Skills!J5/100)^Skills!K5</f>
        <v/>
      </c>
      <c r="I1372" t="inlineStr">
        <is>
          <t>1</t>
        </is>
      </c>
      <c r="J1372">
        <f>((Inputs!$B$6*(1+Inputs!$B$7/100))+(((Inputs!$B$12*(1+Inputs!$B$13/100))-(Inputs!$B$12*(1+Inputs!$B$13/100)))+0.25*(Inputs!$B$14-Inputs!$B$14))*(1+Inputs!$B$7/100))*(F1372/100)</f>
        <v/>
      </c>
      <c r="K1372">
        <f>J1372*(1+((Inputs!$B$12*(1+Inputs!$B$13/100))*0.01+Inputs!$B$14*0.0025)/100)*(1+Inputs!$B$15/100)*(1+Inputs!$B$16/100)*(5000/(6000+Inputs!$B$42*(1-(Inputs!$B$19+0)/100)))*(1+(Inputs!$B$24+0+B1400)/100)*(1+1.0*IF(C1379=TRUE,F1379,0)/100)*(1+(IF(Skills!A5="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1372)</f>
        <v/>
      </c>
      <c r="L1372">
        <f>K1372*(MIN(Inputs!$B$22+((C1389=TRUE)*(F1389-Calc!F22)),Inputs!$B$23+((C1391=TRUE)*(F1391-Calc!F24)))/100+(Inputs!$B$23+((C1391=TRUE)*(F1391-Calc!F24)))/100)/2</f>
        <v/>
      </c>
      <c r="M1372">
        <f>L1372*(1+(Inputs!$B$10+0+B1399)/100)</f>
        <v/>
      </c>
      <c r="N1372">
        <f>L1372*(1-MIN((Inputs!$B$9+0+B1394),100)/100)+M1372*(MIN((Inputs!$B$9+0+B1394),100)/100)</f>
        <v/>
      </c>
      <c r="O1372">
        <f>(1-Summary!$B$55)*T1372+Summary!$B$55*V1372</f>
        <v/>
      </c>
      <c r="P1372">
        <f>IF(B1404=0,0,O1372/B1404)</f>
        <v/>
      </c>
      <c r="Q1372">
        <f>IFERROR(1/IF(Inputs!$B$38="pvp",15,MAX(0.1,Skills!D5-IF(Skills!E5=TRUE,4.0,0))),0)</f>
        <v/>
      </c>
      <c r="R1372">
        <f>IF(AND(Inputs!$B$38&lt;&gt;"pvp",Inputs!$B$43&gt;0),IF(MAX(0,Inputs!$B$43-B1401)&lt;=0,0,(INT(MAX(0,Inputs!$B$43-B1401)/IF(Inputs!$B$38="pvp",15,MAX(0.1,Skills!D5-IF(Skills!E5=TRUE,4.0,0))))+1)),0)</f>
        <v/>
      </c>
      <c r="S1372">
        <f>IFERROR(O1372/N1372,0)</f>
        <v/>
      </c>
      <c r="T1372">
        <f>IF(C1372,(H1372*N1372*IF(AND(Inputs!$B$38&lt;&gt;"pvp",Inputs!$B$43&gt;0),((Skills!G5*((R1372-1)*IF(Skills!H5&gt;0,Skills!I5/Skills!H5,1)+IF(Skills!H5&gt;0,MIN(Skills!I5,MAX(0,MAX(0,Inputs!$B$43-B1401)-((R1372-1)*IF(Inputs!$B$38="pvp",15,MAX(0.1,Skills!D5-IF(Skills!E5=TRUE,4.0,0))))))/Skills!H5,1)))/Inputs!$B$43),G1372*Q1372))*IF(Inputs!$B$38="pvp",1,1+(Inputs!$B$20+0+Skills!P5)/100),0)</f>
        <v/>
      </c>
      <c r="V1372">
        <f>IF(C1372,(H1372*N1372*IF(AND(Inputs!$B$38&lt;&gt;"pvp",Inputs!$B$43&gt;0),((Skills!G5*((R1372-1)*IF(Skills!H5&gt;0,Skills!I5/Skills!H5,1)+IF(Skills!H5&gt;0,MIN(Skills!I5,MAX(0,MAX(0,Inputs!$B$43-B1401)-((R1372-1)*IF(Inputs!$B$38="pvp",15,MAX(0.1,Skills!D5-IF(Skills!E5=TRUE,4.0,0))))))/Skills!H5,1)))/Inputs!$B$43),G1372*Q1372))*IF(Inputs!$B$38="pvp",1,(1+(Inputs!$B$21+Skills!Q5)/100)*(MIN(Skills!R5,Inputs!$B$37))),0)</f>
        <v/>
      </c>
    </row>
    <row r="1373">
      <c r="A1373">
        <f>Skills!A6</f>
        <v/>
      </c>
      <c r="B1373">
        <f>Skills!B6</f>
        <v/>
      </c>
      <c r="C1373">
        <f>Inputs!$B$3&gt;=103</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Skills!G6*IF(Skills!H6&gt;0,Skills!I6/Skills!H6,1)</f>
        <v/>
      </c>
      <c r="H1373">
        <f>1-(1-Skills!J6/100)^Skills!K6</f>
        <v/>
      </c>
      <c r="I1373" t="inlineStr">
        <is>
          <t>1</t>
        </is>
      </c>
      <c r="J1373">
        <f>((Inputs!$B$6*(1+Inputs!$B$7/100))+(((Inputs!$B$12*(1+Inputs!$B$13/100))-(Inputs!$B$12*(1+Inputs!$B$13/100)))+0.25*(Inputs!$B$14-Inputs!$B$14))*(1+Inputs!$B$7/100))*(F1373/100)</f>
        <v/>
      </c>
      <c r="K1373">
        <f>J1373*(1+((Inputs!$B$12*(1+Inputs!$B$13/100))*0.01+Inputs!$B$14*0.0025)/100)*(1+Inputs!$B$15/100)*(1+Inputs!$B$16/100)*(5000/(6000+Inputs!$B$42*(1-(Inputs!$B$19+0)/100)))*(1+(Inputs!$B$24+0+B1400)/100)*(1+(IF(Skills!A6="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1373)</f>
        <v/>
      </c>
      <c r="L1373">
        <f>K1373*(MIN(Inputs!$B$22+((C1389=TRUE)*(F1389-Calc!F22)),Inputs!$B$23+((C1391=TRUE)*(F1391-Calc!F24)))/100+(Inputs!$B$23+((C1391=TRUE)*(F1391-Calc!F24)))/100)/2</f>
        <v/>
      </c>
      <c r="M1373">
        <f>L1373*(1+(Inputs!$B$10+0+B1399)/100)</f>
        <v/>
      </c>
      <c r="N1373">
        <f>L1373*(1-MIN((Inputs!$B$9+0+B1394),100)/100)+M1373*(MIN((Inputs!$B$9+0+B1394),100)/100)</f>
        <v/>
      </c>
      <c r="O1373">
        <f>(1-Summary!$B$55)*T1373+Summary!$B$55*V1373</f>
        <v/>
      </c>
      <c r="P1373">
        <f>IF(B1404=0,0,O1373/B1404)</f>
        <v/>
      </c>
      <c r="Q1373">
        <f>IFERROR(1/IF(Inputs!$B$38="pvp",15,MAX(0.1,Skills!D6-IF(Skills!E6=TRUE,4.0,0))),0)</f>
        <v/>
      </c>
      <c r="R1373">
        <f>IF(AND(Inputs!$B$38&lt;&gt;"pvp",Inputs!$B$43&gt;0),IF(MAX(0,Inputs!$B$43-B1401)&lt;=0,0,(INT(MAX(0,Inputs!$B$43-B1401)/IF(Inputs!$B$38="pvp",15,MAX(0.1,Skills!D6-IF(Skills!E6=TRUE,4.0,0))))+1)),0)</f>
        <v/>
      </c>
      <c r="S1373">
        <f>IFERROR(O1373/N1373,0)</f>
        <v/>
      </c>
      <c r="T1373">
        <f>IF(C1373,(H1373*N1373*IF(AND(Inputs!$B$38&lt;&gt;"pvp",Inputs!$B$43&gt;0),((Skills!G6*((R1373-1)*IF(Skills!H6&gt;0,Skills!I6/Skills!H6,1)+IF(Skills!H6&gt;0,MIN(Skills!I6,MAX(0,MAX(0,Inputs!$B$43-B1401)-((R1373-1)*IF(Inputs!$B$38="pvp",15,MAX(0.1,Skills!D6-IF(Skills!E6=TRUE,4.0,0))))))/Skills!H6,1)))/Inputs!$B$43),G1373*Q1373))*IF(Inputs!$B$38="pvp",1,1+(Inputs!$B$20+0+Skills!P6)/100),0)</f>
        <v/>
      </c>
      <c r="V1373">
        <f>IF(C1373,(H1373*N1373*IF(AND(Inputs!$B$38&lt;&gt;"pvp",Inputs!$B$43&gt;0),((Skills!G6*((R1373-1)*IF(Skills!H6&gt;0,Skills!I6/Skills!H6,1)+IF(Skills!H6&gt;0,MIN(Skills!I6,MAX(0,MAX(0,Inputs!$B$43-B1401)-((R1373-1)*IF(Inputs!$B$38="pvp",15,MAX(0.1,Skills!D6-IF(Skills!E6=TRUE,4.0,0))))))/Skills!H6,1)))/Inputs!$B$43),G1373*Q1373))*IF(Inputs!$B$38="pvp",1,(1+(Inputs!$B$21+Skills!Q6)/100)*(MIN(Skills!R6,Inputs!$B$37))),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f>Skills!G7*IF(Skills!H7&gt;0,Skills!I7/Skills!H7,1)</f>
        <v/>
      </c>
      <c r="H1374">
        <f>1-(1-Skills!J7/100)^Skills!K7</f>
        <v/>
      </c>
      <c r="I1374" t="inlineStr">
        <is>
          <t>1</t>
        </is>
      </c>
      <c r="J1374">
        <f>((Inputs!$B$6*(1+Inputs!$B$7/100))+(((Inputs!$B$12*(1+Inputs!$B$13/100))-(Inputs!$B$12*(1+Inputs!$B$13/100)))+0.25*(Inputs!$B$14-Inputs!$B$14))*(1+Inputs!$B$7/100))*(F1374/100)</f>
        <v/>
      </c>
      <c r="K1374">
        <f>J1374*(1+((Inputs!$B$12*(1+Inputs!$B$13/100))*0.01+Inputs!$B$14*0.0025)/100)*(1+Inputs!$B$15/100)*(1+Inputs!$B$16/100)*(5000/(6000+Inputs!$B$42*(1-(Inputs!$B$19+0)/100)))*(1+(Inputs!$B$24+0+B1400)/100)*(1+(IF(Skills!A7="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1374)</f>
        <v/>
      </c>
      <c r="L1374">
        <f>K1374*(MIN(Inputs!$B$22+((C1389=TRUE)*(F1389-Calc!F22)),Inputs!$B$23+((C1391=TRUE)*(F1391-Calc!F24)))/100+(Inputs!$B$23+((C1391=TRUE)*(F1391-Calc!F24)))/100)/2</f>
        <v/>
      </c>
      <c r="M1374">
        <f>L1374*(1+(Inputs!$B$10+0+B1399)/100)</f>
        <v/>
      </c>
      <c r="N1374">
        <f>L1374*(1-MIN((Inputs!$B$9+0+B1394),100)/100)+M1374*(MIN((Inputs!$B$9+0+B1394),100)/100)</f>
        <v/>
      </c>
      <c r="O1374">
        <f>(1-Summary!$B$55)*T1374+Summary!$B$55*V1374</f>
        <v/>
      </c>
      <c r="P1374">
        <f>IF(B1404=0,0,O1374/B1404)</f>
        <v/>
      </c>
      <c r="Q1374">
        <f>IFERROR(1/IF(Inputs!$B$38="pvp",15,MAX(0.1,Skills!D7-IF(Skills!E7=TRUE,4.0,0))),0)</f>
        <v/>
      </c>
      <c r="R1374">
        <f>IF(AND(Inputs!$B$38&lt;&gt;"pvp",Inputs!$B$43&gt;0),IF(MAX(0,Inputs!$B$43-B1401)&lt;=0,0,(INT(MAX(0,Inputs!$B$43-B1401)/IF(Inputs!$B$38="pvp",15,MAX(0.1,Skills!D7-IF(Skills!E7=TRUE,4.0,0))))+1)),0)</f>
        <v/>
      </c>
      <c r="S1374">
        <f>IFERROR(O1374/N1374,0)</f>
        <v/>
      </c>
      <c r="T1374">
        <f>IF(C1374,(H1374*N1374*IF(AND(Inputs!$B$38&lt;&gt;"pvp",Inputs!$B$43&gt;0),((Skills!G7*((R1374-1)*IF(Skills!H7&gt;0,Skills!I7/Skills!H7,1)+IF(Skills!H7&gt;0,MIN(Skills!I7,MAX(0,MAX(0,Inputs!$B$43-B1401)-((R1374-1)*IF(Inputs!$B$38="pvp",15,MAX(0.1,Skills!D7-IF(Skills!E7=TRUE,4.0,0))))))/Skills!H7,1)))/Inputs!$B$43),G1374*Q1374))*IF(Inputs!$B$38="pvp",1,1+(Inputs!$B$20+0+Skills!P7)/100),0)</f>
        <v/>
      </c>
      <c r="V1374">
        <f>IF(C1374,(H1374*N1374*IF(AND(Inputs!$B$38&lt;&gt;"pvp",Inputs!$B$43&gt;0),((Skills!G7*((R1374-1)*IF(Skills!H7&gt;0,Skills!I7/Skills!H7,1)+IF(Skills!H7&gt;0,MIN(Skills!I7,MAX(0,MAX(0,Inputs!$B$43-B1401)-((R1374-1)*IF(Inputs!$B$38="pvp",15,MAX(0.1,Skills!D7-IF(Skills!E7=TRUE,4.0,0))))))/Skills!H7,1)))/Inputs!$B$43),G1374*Q1374))*IF(Inputs!$B$38="pvp",1,(1+(Inputs!$B$21+Skills!Q7)/100)*(MIN(Skills!R7,Inputs!$B$37))),0)</f>
        <v/>
      </c>
    </row>
    <row r="1375">
      <c r="A1375">
        <f>Skills!A8</f>
        <v/>
      </c>
      <c r="B1375">
        <f>Skills!B8</f>
        <v/>
      </c>
      <c r="C1375">
        <f>Inputs!$B$3&gt;=107</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Skills!G8*IF(Skills!H8&gt;0,Skills!I8/Skills!H8,1)</f>
        <v/>
      </c>
      <c r="H1375">
        <f>1-(1-Skills!J8/100)^Skills!K8</f>
        <v/>
      </c>
      <c r="I1375" t="inlineStr">
        <is>
          <t>1</t>
        </is>
      </c>
      <c r="J1375">
        <f>((Inputs!$B$6*(1+Inputs!$B$7/100))+(((Inputs!$B$12*(1+Inputs!$B$13/100))-(Inputs!$B$12*(1+Inputs!$B$13/100)))+0.25*(Inputs!$B$14-Inputs!$B$14))*(1+Inputs!$B$7/100))*(F1375/100)</f>
        <v/>
      </c>
      <c r="K1375">
        <f>J1375*(1+((Inputs!$B$12*(1+Inputs!$B$13/100))*0.01+Inputs!$B$14*0.0025)/100)*(1+Inputs!$B$15/100)*(1+Inputs!$B$16/100)*(5000/(6000+Inputs!$B$42*(1-(Inputs!$B$19+0)/100)))*(1+(Inputs!$B$24+0+B1400)/100)*(1+(IF(Skills!A8="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1375)</f>
        <v/>
      </c>
      <c r="L1375">
        <f>K1375*(MIN(Inputs!$B$22+((C1389=TRUE)*(F1389-Calc!F22)),Inputs!$B$23+((C1391=TRUE)*(F1391-Calc!F24)))/100+(Inputs!$B$23+((C1391=TRUE)*(F1391-Calc!F24)))/100)/2</f>
        <v/>
      </c>
      <c r="M1375">
        <f>L1375*(1+(Inputs!$B$10+0+B1399)/100)</f>
        <v/>
      </c>
      <c r="N1375">
        <f>L1375*(1-MIN((Inputs!$B$9+0+B1394),100)/100)+M1375*(MIN((Inputs!$B$9+0+B1394),100)/100)</f>
        <v/>
      </c>
      <c r="O1375">
        <f>(1-Summary!$B$55)*T1375+Summary!$B$55*V1375</f>
        <v/>
      </c>
      <c r="P1375">
        <f>IF(B1404=0,0,O1375/B1404)</f>
        <v/>
      </c>
      <c r="Q1375">
        <f>IFERROR(1/IF(Inputs!$B$38="pvp",15,MAX(0.1,Skills!D8-IF(Skills!E8=TRUE,4.0,0))),0)</f>
        <v/>
      </c>
      <c r="R1375">
        <f>IF(AND(Inputs!$B$38&lt;&gt;"pvp",Inputs!$B$43&gt;0),IF(MAX(0,Inputs!$B$43-B1401)&lt;=0,0,(INT(MAX(0,Inputs!$B$43-B1401)/IF(Inputs!$B$38="pvp",15,MAX(0.1,Skills!D8-IF(Skills!E8=TRUE,4.0,0))))+1)),0)</f>
        <v/>
      </c>
      <c r="S1375">
        <f>IFERROR(O1375/N1375,0)</f>
        <v/>
      </c>
      <c r="T1375">
        <f>IF(C1375,(H1375*N1375*IF(AND(Inputs!$B$38&lt;&gt;"pvp",Inputs!$B$43&gt;0),((Skills!G8*((R1375-1)*IF(Skills!H8&gt;0,Skills!I8/Skills!H8,1)+IF(Skills!H8&gt;0,MIN(Skills!I8,MAX(0,MAX(0,Inputs!$B$43-B1401)-((R1375-1)*IF(Inputs!$B$38="pvp",15,MAX(0.1,Skills!D8-IF(Skills!E8=TRUE,4.0,0))))))/Skills!H8,1)))/Inputs!$B$43),G1375*Q1375))*IF(Inputs!$B$38="pvp",1,1+(Inputs!$B$20+0+Skills!P8)/100),0)</f>
        <v/>
      </c>
      <c r="V1375">
        <f>IF(C1375,(H1375*N1375*IF(AND(Inputs!$B$38&lt;&gt;"pvp",Inputs!$B$43&gt;0),((Skills!G8*((R1375-1)*IF(Skills!H8&gt;0,Skills!I8/Skills!H8,1)+IF(Skills!H8&gt;0,MIN(Skills!I8,MAX(0,MAX(0,Inputs!$B$43-B1401)-((R1375-1)*IF(Inputs!$B$38="pvp",15,MAX(0.1,Skills!D8-IF(Skills!E8=TRUE,4.0,0))))))/Skills!H8,1)))/Inputs!$B$43),G1375*Q1375))*IF(Inputs!$B$38="pvp",1,(1+(Inputs!$B$21+Skills!Q8)/100)*(MIN(Skills!R8,Inputs!$B$37))),0)</f>
        <v/>
      </c>
    </row>
    <row r="1376">
      <c r="A1376">
        <f>Skills!A9</f>
        <v/>
      </c>
      <c r="B1376">
        <f>Skills!B9</f>
        <v/>
      </c>
      <c r="C1376">
        <f>Inputs!$B$3&gt;=125</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Skills!G9*IF(Skills!H9&gt;0,Skills!I9/Skills!H9,1)</f>
        <v/>
      </c>
      <c r="H1376">
        <f>1-(1-Skills!J9/100)^Skills!K9</f>
        <v/>
      </c>
      <c r="I1376" t="inlineStr">
        <is>
          <t>1</t>
        </is>
      </c>
      <c r="J1376">
        <f>((Inputs!$B$6*(1+Inputs!$B$7/100))+(((Inputs!$B$12*(1+Inputs!$B$13/100))-(Inputs!$B$12*(1+Inputs!$B$13/100)))+0.25*(Inputs!$B$14-Inputs!$B$14))*(1+Inputs!$B$7/100))*(F1376/100)</f>
        <v/>
      </c>
      <c r="K1376">
        <f>J1376*(1+((Inputs!$B$12*(1+Inputs!$B$13/100))*0.01+Inputs!$B$14*0.0025)/100)*(1+Inputs!$B$15/100)*(1+Inputs!$B$16/100)*(5000/(6000+Inputs!$B$42*(1-(Inputs!$B$19+0)/100)))*(1+(Inputs!$B$24+0+B1400)/100)*(1+(IF(Skills!A9="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1376)</f>
        <v/>
      </c>
      <c r="L1376">
        <f>K1376*(MIN(Inputs!$B$22+((C1389=TRUE)*(F1389-Calc!F22)),Inputs!$B$23+((C1391=TRUE)*(F1391-Calc!F24)))/100+(Inputs!$B$23+((C1391=TRUE)*(F1391-Calc!F24)))/100)/2</f>
        <v/>
      </c>
      <c r="M1376">
        <f>L1376*(1+(Inputs!$B$10+0+B1399)/100)</f>
        <v/>
      </c>
      <c r="N1376">
        <f>L1376*(1-MIN((Inputs!$B$9+0+B1394),100)/100)+M1376*(MIN((Inputs!$B$9+0+B1394),100)/100)</f>
        <v/>
      </c>
      <c r="O1376">
        <f>(1-Summary!$B$55)*T1376+Summary!$B$55*V1376</f>
        <v/>
      </c>
      <c r="P1376">
        <f>IF(B1404=0,0,O1376/B1404)</f>
        <v/>
      </c>
      <c r="Q1376">
        <f>IFERROR(1/IF(Inputs!$B$38="pvp",15,MAX(0.1,Skills!D9-IF(Skills!E9=TRUE,4.0,0))),0)</f>
        <v/>
      </c>
      <c r="R1376">
        <f>IF(AND(Inputs!$B$38&lt;&gt;"pvp",Inputs!$B$43&gt;0),IF(MAX(0,Inputs!$B$43-B1401)&lt;=0,0,(INT(MAX(0,Inputs!$B$43-B1401)/IF(Inputs!$B$38="pvp",15,MAX(0.1,Skills!D9-IF(Skills!E9=TRUE,4.0,0))))+1)),0)</f>
        <v/>
      </c>
      <c r="S1376">
        <f>IFERROR(O1376/N1376,0)</f>
        <v/>
      </c>
      <c r="T1376">
        <f>IF(C1376,(H1376*N1376*IF(AND(Inputs!$B$38&lt;&gt;"pvp",Inputs!$B$43&gt;0),((Skills!G9*((R1376-1)*IF(Skills!H9&gt;0,Skills!I9/Skills!H9,1)+IF(Skills!H9&gt;0,MIN(Skills!I9,MAX(0,MAX(0,Inputs!$B$43-B1401)-((R1376-1)*IF(Inputs!$B$38="pvp",15,MAX(0.1,Skills!D9-IF(Skills!E9=TRUE,4.0,0))))))/Skills!H9,1)))/Inputs!$B$43),G1376*Q1376))*IF(Inputs!$B$38="pvp",1,1+(Inputs!$B$20+0+Skills!P9)/100),0)</f>
        <v/>
      </c>
      <c r="V1376">
        <f>IF(C1376,(H1376*N1376*IF(AND(Inputs!$B$38&lt;&gt;"pvp",Inputs!$B$43&gt;0),((Skills!G9*((R1376-1)*IF(Skills!H9&gt;0,Skills!I9/Skills!H9,1)+IF(Skills!H9&gt;0,MIN(Skills!I9,MAX(0,MAX(0,Inputs!$B$43-B1401)-((R1376-1)*IF(Inputs!$B$38="pvp",15,MAX(0.1,Skills!D9-IF(Skills!E9=TRUE,4.0,0))))))/Skills!H9,1)))/Inputs!$B$43),G1376*Q1376))*IF(Inputs!$B$38="pvp",1,(1+(Inputs!$B$21+Skills!Q9)/100)*(MIN(Skills!R9,Inputs!$B$37))),0)</f>
        <v/>
      </c>
    </row>
    <row r="1377">
      <c r="A1377">
        <f>Skills!A10</f>
        <v/>
      </c>
      <c r="B1377">
        <f>Skills!B10</f>
        <v/>
      </c>
      <c r="C1377">
        <f>Inputs!$B$3&gt;=117</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f>Skills!G10*IF(Skills!H10&gt;0,Skills!I10/Skills!H10,1)</f>
        <v/>
      </c>
      <c r="H1377">
        <f>1-(1-Skills!J10/100)^Skills!K10</f>
        <v/>
      </c>
      <c r="I1377" t="inlineStr">
        <is>
          <t>1</t>
        </is>
      </c>
      <c r="J1377">
        <f>((Inputs!$B$6*(1+Inputs!$B$7/100))+(((Inputs!$B$12*(1+Inputs!$B$13/100))-(Inputs!$B$12*(1+Inputs!$B$13/100)))+0.25*(Inputs!$B$14-Inputs!$B$14))*(1+Inputs!$B$7/100))*(F1377/100)</f>
        <v/>
      </c>
      <c r="K1377">
        <f>J1377*(1+((Inputs!$B$12*(1+Inputs!$B$13/100))*0.01+Inputs!$B$14*0.0025)/100)*(1+Inputs!$B$15/100)*(1+Inputs!$B$16/100)*(5000/(6000+Inputs!$B$42*(1-(Inputs!$B$19+0)/100)))*(1+(Inputs!$B$24+0+B1400)/100)*(1+(IF(Skills!A10="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1377)</f>
        <v/>
      </c>
      <c r="L1377">
        <f>K1377*(MIN(Inputs!$B$22+((C1389=TRUE)*(F1389-Calc!F22)),Inputs!$B$23+((C1391=TRUE)*(F1391-Calc!F24)))/100+(Inputs!$B$23+((C1391=TRUE)*(F1391-Calc!F24)))/100)/2</f>
        <v/>
      </c>
      <c r="M1377">
        <f>L1377*(1+(Inputs!$B$10+0+B1399)/100)</f>
        <v/>
      </c>
      <c r="N1377">
        <f>L1377*(1-MIN((Inputs!$B$9+0+B1394),100)/100)+M1377*(MIN((Inputs!$B$9+0+B1394),100)/100)</f>
        <v/>
      </c>
      <c r="O1377">
        <f>(1-Summary!$B$55)*T1377+Summary!$B$55*V1377</f>
        <v/>
      </c>
      <c r="P1377">
        <f>IF(B1404=0,0,O1377/B1404)</f>
        <v/>
      </c>
      <c r="Q1377">
        <f>IFERROR(1/IF(Inputs!$B$38="pvp",15,MAX(0.1,Skills!D10-IF(Skills!E10=TRUE,4.0,0))),0)</f>
        <v/>
      </c>
      <c r="R1377">
        <f>IF(AND(Inputs!$B$38&lt;&gt;"pvp",Inputs!$B$43&gt;0),IF(MAX(0,Inputs!$B$43-B1401)&lt;=0,0,(INT(MAX(0,Inputs!$B$43-B1401)/IF(Inputs!$B$38="pvp",15,MAX(0.1,Skills!D10-IF(Skills!E10=TRUE,4.0,0))))+1)),0)</f>
        <v/>
      </c>
      <c r="S1377">
        <f>IFERROR(O1377/N1377,0)</f>
        <v/>
      </c>
      <c r="T1377">
        <f>IF(C1377,(H1377*N1377*IF(AND(Inputs!$B$38&lt;&gt;"pvp",Inputs!$B$43&gt;0),((Skills!G10*((R1377-1)*IF(Skills!H10&gt;0,Skills!I10/Skills!H10,1)+IF(Skills!H10&gt;0,MIN(Skills!I10,MAX(0,MAX(0,Inputs!$B$43-B1401)-((R1377-1)*IF(Inputs!$B$38="pvp",15,MAX(0.1,Skills!D10-IF(Skills!E10=TRUE,4.0,0))))))/Skills!H10,1)))/Inputs!$B$43),G1377*Q1377))*IF(Inputs!$B$38="pvp",1,1+(Inputs!$B$20+0+Skills!P10)/100),0)</f>
        <v/>
      </c>
      <c r="V1377">
        <f>IF(C1377,(H1377*N1377*IF(AND(Inputs!$B$38&lt;&gt;"pvp",Inputs!$B$43&gt;0),((Skills!G10*((R1377-1)*IF(Skills!H10&gt;0,Skills!I10/Skills!H10,1)+IF(Skills!H10&gt;0,MIN(Skills!I10,MAX(0,MAX(0,Inputs!$B$43-B1401)-((R1377-1)*IF(Inputs!$B$38="pvp",15,MAX(0.1,Skills!D10-IF(Skills!E10=TRUE,4.0,0))))))/Skills!H10,1)))/Inputs!$B$43),G1377*Q1377))*IF(Inputs!$B$38="pvp",1,(1+(Inputs!$B$21+Skills!Q10)/100)*(MIN(Skills!R10,Inputs!$B$37))),0)</f>
        <v/>
      </c>
    </row>
    <row r="1378">
      <c r="A1378">
        <f>Skills!A11</f>
        <v/>
      </c>
      <c r="B1378">
        <f>Skills!B11</f>
        <v/>
      </c>
      <c r="C1378">
        <f>Inputs!$B$3&gt;=63</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Skills!G11*IF(Skills!H11&gt;0,Skills!I11/Skills!H11,1)</f>
        <v/>
      </c>
      <c r="H1378">
        <f>1-(1-Skills!J11/100)^Skills!K11</f>
        <v/>
      </c>
      <c r="I1378" t="inlineStr">
        <is>
          <t>1</t>
        </is>
      </c>
      <c r="J1378">
        <f>((Inputs!$B$6*(1+Inputs!$B$7/100))+(((Inputs!$B$12*(1+Inputs!$B$13/100))-(Inputs!$B$12*(1+Inputs!$B$13/100)))+0.25*(Inputs!$B$14-Inputs!$B$14))*(1+Inputs!$B$7/100))*(F1378/100)</f>
        <v/>
      </c>
      <c r="K1378">
        <f>J1378*(1+((Inputs!$B$12*(1+Inputs!$B$13/100))*0.01+Inputs!$B$14*0.0025)/100)*(1+Inputs!$B$15/100)*(1+Inputs!$B$16/100)*(5000/(6000+Inputs!$B$42*(1-(Inputs!$B$19+0)/100)))*(1+(Inputs!$B$24+0+B1400)/100)*(1+1.5*IF(C1379=TRUE,F1379,0)/100)*(1+(IF(Skills!A11="BLAST",Inputs!$B$17+((C1388=TRUE)*(F1388-Calc!F21)),Inputs!$B$18+((C1390=TRUE)*(F1390-Calc!F23))))/100)*((1+(((C1380=TRUE)*F1380*MIN(1,Skills!T13*(Skills!J13/100)*B1398))+((C1385=TRUE)*F1385*IF(AND(Inputs!$B$38&lt;&gt;"pvp",Inputs!$B$43&gt;0),(((R1385-1)*(Skills!T18*(1+Inputs!$B$34/100))+MIN((Skills!T18*(1+Inputs!$B$34/100)),MAX(0,Inputs!$B$43-((R1385-1)*Skills!D18))))/Inputs!$B$43),IF(Inputs!$B$38="pvp",MIN((Skills!T18*(1+Inputs!$B$34/100)),15)/15,(Skills!T18*(1+Inputs!$B$34/100))/Skills!D18)))+0)/100)*I1378)</f>
        <v/>
      </c>
      <c r="L1378">
        <f>K1378*(MIN(Inputs!$B$22+((C1389=TRUE)*(F1389-Calc!F22)),Inputs!$B$23+((C1391=TRUE)*(F1391-Calc!F24)))/100+(Inputs!$B$23+((C1391=TRUE)*(F1391-Calc!F24)))/100)/2</f>
        <v/>
      </c>
      <c r="M1378">
        <f>L1378*(1+(Inputs!$B$10+0+B1399)/100)</f>
        <v/>
      </c>
      <c r="N1378">
        <f>L1378*(1-MIN((Inputs!$B$9+0+B1394),100)/100)+M1378*(MIN((Inputs!$B$9+0+B1394),100)/100)</f>
        <v/>
      </c>
      <c r="O1378">
        <f>(1-Summary!$B$55)*T1378+Summary!$B$55*V1378</f>
        <v/>
      </c>
      <c r="P1378">
        <f>IF(B1404=0,0,O1378/B1404)</f>
        <v/>
      </c>
      <c r="Q1378">
        <f>IFERROR(1/IF(Inputs!$B$38="pvp",15,MAX(0.1,Skills!D11-IF(Skills!E11=TRUE,4.0,0))),0)</f>
        <v/>
      </c>
      <c r="R1378">
        <f>IF(AND(Inputs!$B$38&lt;&gt;"pvp",Inputs!$B$43&gt;0),IF(MAX(0,Inputs!$B$43-B1401)&lt;=0,0,(INT(MAX(0,Inputs!$B$43-B1401)/IF(Inputs!$B$38="pvp",15,MAX(0.1,Skills!D11-IF(Skills!E11=TRUE,4.0,0))))+1)),0)</f>
        <v/>
      </c>
      <c r="S1378">
        <f>IFERROR(O1378/N1378,0)</f>
        <v/>
      </c>
      <c r="T1378">
        <f>IF(C1378,(H1378*N1378*IF(AND(Inputs!$B$38&lt;&gt;"pvp",Inputs!$B$43&gt;0),((Skills!G11*((R1378-1)*IF(Skills!H11&gt;0,Skills!I11/Skills!H11,1)+IF(Skills!H11&gt;0,MIN(Skills!I11,MAX(0,MAX(0,Inputs!$B$43-B1401)-((R1378-1)*IF(Inputs!$B$38="pvp",15,MAX(0.1,Skills!D11-IF(Skills!E11=TRUE,4.0,0))))))/Skills!H11,1)))/Inputs!$B$43),G1378*Q1378))*IF(Inputs!$B$38="pvp",1,1+(Inputs!$B$20+0+Skills!P11)/100),0)</f>
        <v/>
      </c>
      <c r="V1378">
        <f>IF(C1378,(H1378*N1378*IF(AND(Inputs!$B$38&lt;&gt;"pvp",Inputs!$B$43&gt;0),((Skills!G11*((R1378-1)*IF(Skills!H11&gt;0,Skills!I11/Skills!H11,1)+IF(Skills!H11&gt;0,MIN(Skills!I11,MAX(0,MAX(0,Inputs!$B$43-B1401)-((R1378-1)*IF(Inputs!$B$38="pvp",15,MAX(0.1,Skills!D11-IF(Skills!E11=TRUE,4.0,0))))))/Skills!H11,1)))/Inputs!$B$43),G1378*Q1378))*IF(Inputs!$B$38="pvp",1,(1+(Inputs!$B$21+Skills!Q11)/100)*(MIN(Skills!R11,Inputs!$B$37))),0)</f>
        <v/>
      </c>
    </row>
    <row r="1379">
      <c r="A1379">
        <f>Skills!A12</f>
        <v/>
      </c>
      <c r="B1379">
        <f>Skills!B12</f>
        <v/>
      </c>
      <c r="C1379">
        <f>Inputs!$B$3&gt;=100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row>
    <row r="1380">
      <c r="A1380">
        <f>Skills!A13</f>
        <v/>
      </c>
      <c r="B1380">
        <f>Skills!B13</f>
        <v/>
      </c>
      <c r="C1380">
        <f>Inputs!$B$3&gt;=45</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Skills!G13*IF(Skills!H13&gt;0,Skills!I13/Skills!H13,1)</f>
        <v/>
      </c>
      <c r="H1380">
        <f>1-(1-Skills!J13/100)^Skills!K13</f>
        <v/>
      </c>
      <c r="I1380" t="inlineStr">
        <is>
          <t>1</t>
        </is>
      </c>
      <c r="J1380" t="inlineStr"/>
      <c r="K1380" t="inlineStr"/>
      <c r="L1380" t="inlineStr"/>
      <c r="M1380" t="inlineStr"/>
      <c r="N1380" t="inlineStr"/>
      <c r="O1380">
        <f>(1-Summary!$B$55)*T1380+Summary!$B$55*V1380</f>
        <v/>
      </c>
      <c r="P1380">
        <f>IF(B1404=0,0,O1380/B1404)</f>
        <v/>
      </c>
      <c r="Q1380" t="n">
        <v>0</v>
      </c>
      <c r="R1380" t="n">
        <v>0</v>
      </c>
      <c r="S1380">
        <f>IFERROR(O1380/N1380,0)</f>
        <v/>
      </c>
      <c r="T1380" t="n">
        <v>0</v>
      </c>
      <c r="V1380" t="n">
        <v>0</v>
      </c>
    </row>
    <row r="1381">
      <c r="A1381">
        <f>Skills!A14</f>
        <v/>
      </c>
      <c r="B1381">
        <f>Skills!B14</f>
        <v/>
      </c>
      <c r="C1381">
        <f>Inputs!$B$3&gt;=110</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f>Skills!G14*IF(Skills!H14&gt;0,Skills!I14/Skills!H14,1)</f>
        <v/>
      </c>
      <c r="H1381">
        <f>1-(1-Skills!J14/100)^Skills!K14</f>
        <v/>
      </c>
      <c r="I1381" t="inlineStr">
        <is>
          <t>1</t>
        </is>
      </c>
      <c r="J1381" t="inlineStr"/>
      <c r="K1381" t="inlineStr"/>
      <c r="L1381" t="inlineStr"/>
      <c r="M1381" t="inlineStr"/>
      <c r="N1381" t="inlineStr"/>
      <c r="O1381">
        <f>(1-Summary!$B$55)*T1381+Summary!$B$55*V1381</f>
        <v/>
      </c>
      <c r="P1381">
        <f>IF(B1404=0,0,O1381/B1404)</f>
        <v/>
      </c>
      <c r="Q1381" t="n">
        <v>0</v>
      </c>
      <c r="R1381" t="n">
        <v>0</v>
      </c>
      <c r="S1381">
        <f>IFERROR(O1381/N1381,0)</f>
        <v/>
      </c>
      <c r="T1381" t="n">
        <v>0</v>
      </c>
      <c r="V1381" t="n">
        <v>0</v>
      </c>
    </row>
    <row r="1382">
      <c r="A1382">
        <f>Skills!A15</f>
        <v/>
      </c>
      <c r="B1382">
        <f>Skills!B15</f>
        <v/>
      </c>
      <c r="C1382">
        <f>Inputs!$B$3&gt;=75</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Skills!G15*IF(Skills!H15&gt;0,Skills!I15/Skills!H15,1)</f>
        <v/>
      </c>
      <c r="H1382">
        <f>1-(1-Skills!J15/100)^Skills!K15</f>
        <v/>
      </c>
      <c r="I1382" t="inlineStr">
        <is>
          <t>1</t>
        </is>
      </c>
      <c r="J1382" t="inlineStr"/>
      <c r="K1382" t="inlineStr"/>
      <c r="L1382" t="inlineStr"/>
      <c r="M1382" t="inlineStr"/>
      <c r="N1382" t="inlineStr"/>
      <c r="O1382">
        <f>(1-Summary!$B$55)*T1382+Summary!$B$55*V1382</f>
        <v/>
      </c>
      <c r="P1382">
        <f>IF(B1404=0,0,O1382/B1404)</f>
        <v/>
      </c>
      <c r="Q1382">
        <f>IFERROR(1/IF(Inputs!$B$38="pvp",15,MAX(0.1,Skills!D15-IF(Skills!E15=TRUE,4.0,0))),0)</f>
        <v/>
      </c>
      <c r="R1382">
        <f>IF(AND(Inputs!$B$38&lt;&gt;"pvp",Inputs!$B$43&gt;0),IF(Inputs!$B$43&lt;=0,0,(INT(Inputs!$B$43/IF(Inputs!$B$38="pvp",15,MAX(0.1,Skills!D15-IF(Skills!E15=TRUE,4.0,0))))+1)),0)</f>
        <v/>
      </c>
      <c r="S1382">
        <f>IFERROR(O1382/N1382,0)</f>
        <v/>
      </c>
      <c r="T1382" t="n">
        <v>0</v>
      </c>
      <c r="V1382" t="n">
        <v>0</v>
      </c>
    </row>
    <row r="1383">
      <c r="A1383">
        <f>Skills!A16</f>
        <v/>
      </c>
      <c r="B1383">
        <f>Skills!B16</f>
        <v/>
      </c>
      <c r="C1383">
        <f>Inputs!$B$3&gt;=105</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Skills!G16*IF(Skills!H16&gt;0,Skills!I16/Skills!H16,1)</f>
        <v/>
      </c>
      <c r="H1383">
        <f>1-(1-Skills!J16/100)^Skills!K16</f>
        <v/>
      </c>
      <c r="I1383" t="inlineStr">
        <is>
          <t>1</t>
        </is>
      </c>
      <c r="J1383" t="inlineStr"/>
      <c r="K1383" t="inlineStr"/>
      <c r="L1383" t="inlineStr"/>
      <c r="M1383" t="inlineStr"/>
      <c r="N1383" t="inlineStr"/>
      <c r="O1383">
        <f>(1-Summary!$B$55)*T1383+Summary!$B$55*V1383</f>
        <v/>
      </c>
      <c r="P1383">
        <f>IF(B1404=0,0,O1383/B1404)</f>
        <v/>
      </c>
      <c r="Q1383">
        <f>IFERROR(1/IF(Inputs!$B$38="pvp",15,MAX(0.1,Skills!D16-IF(Skills!E16=TRUE,4.0,0))),0)</f>
        <v/>
      </c>
      <c r="R1383">
        <f>IF(AND(Inputs!$B$38&lt;&gt;"pvp",Inputs!$B$43&gt;0),IF(Inputs!$B$43&lt;=0,0,(INT(Inputs!$B$43/IF(Inputs!$B$38="pvp",15,MAX(0.1,Skills!D16-IF(Skills!E16=TRUE,4.0,0))))+1)),0)</f>
        <v/>
      </c>
      <c r="S1383">
        <f>IFERROR(O1383/N1383,0)</f>
        <v/>
      </c>
      <c r="T1383" t="n">
        <v>0</v>
      </c>
      <c r="V1383" t="n">
        <v>0</v>
      </c>
    </row>
    <row r="1384">
      <c r="A1384">
        <f>Skills!A17</f>
        <v/>
      </c>
      <c r="B1384">
        <f>Skills!B17</f>
        <v/>
      </c>
      <c r="C1384">
        <f>Inputs!$B$3&gt;=115</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Skills!G17*IF(Skills!H17&gt;0,Skills!I17/Skills!H17,1)</f>
        <v/>
      </c>
      <c r="H1384">
        <f>1-(1-Skills!J17/100)^Skills!K17</f>
        <v/>
      </c>
      <c r="I1384" t="inlineStr">
        <is>
          <t>1</t>
        </is>
      </c>
      <c r="J1384" t="inlineStr"/>
      <c r="K1384" t="inlineStr"/>
      <c r="L1384" t="inlineStr"/>
      <c r="M1384" t="inlineStr"/>
      <c r="N1384" t="inlineStr"/>
      <c r="O1384">
        <f>(1-Summary!$B$55)*T1384+Summary!$B$55*V1384</f>
        <v/>
      </c>
      <c r="P1384">
        <f>IF(B1404=0,0,O1384/B1404)</f>
        <v/>
      </c>
      <c r="Q1384">
        <f>IFERROR(1/IF(Inputs!$B$38="pvp",15,MAX(0.1,Skills!D17-IF(Skills!E17=TRUE,4.0,0))),0)</f>
        <v/>
      </c>
      <c r="R1384">
        <f>IF(AND(Inputs!$B$38&lt;&gt;"pvp",Inputs!$B$43&gt;0),IF(Inputs!$B$43&lt;=0,0,(INT(Inputs!$B$43/IF(Inputs!$B$38="pvp",15,MAX(0.1,Skills!D17-IF(Skills!E17=TRUE,4.0,0))))+1)),0)</f>
        <v/>
      </c>
      <c r="S1384">
        <f>IFERROR(O1384/N1384,0)</f>
        <v/>
      </c>
      <c r="T1384" t="n">
        <v>0</v>
      </c>
      <c r="V1384" t="n">
        <v>0</v>
      </c>
    </row>
    <row r="1385">
      <c r="A1385">
        <f>Skills!A18</f>
        <v/>
      </c>
      <c r="B1385">
        <f>Skills!B18</f>
        <v/>
      </c>
      <c r="C1385">
        <f>Inputs!$B$3&gt;=74</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Skills!G18*IF(Skills!H18&gt;0,Skills!I18/Skills!H18,1)</f>
        <v/>
      </c>
      <c r="H1385">
        <f>1-(1-Skills!J18/100)^Skills!K18</f>
        <v/>
      </c>
      <c r="I1385" t="inlineStr">
        <is>
          <t>1</t>
        </is>
      </c>
      <c r="J1385" t="inlineStr"/>
      <c r="K1385" t="inlineStr"/>
      <c r="L1385" t="inlineStr"/>
      <c r="M1385" t="inlineStr"/>
      <c r="N1385" t="inlineStr"/>
      <c r="O1385">
        <f>(1-Summary!$B$55)*T1385+Summary!$B$55*V1385</f>
        <v/>
      </c>
      <c r="P1385">
        <f>IF(B1404=0,0,O1385/B1404)</f>
        <v/>
      </c>
      <c r="Q1385">
        <f>IFERROR(1/IF(Inputs!$B$38="pvp",15,MAX(0.1,Skills!D18-IF(Skills!E18=TRUE,4.0,0))),0)</f>
        <v/>
      </c>
      <c r="R1385">
        <f>IF(AND(Inputs!$B$38&lt;&gt;"pvp",Inputs!$B$43&gt;0),IF(Inputs!$B$43&lt;=0,0,(INT(Inputs!$B$43/IF(Inputs!$B$38="pvp",15,MAX(0.1,Skills!D18-IF(Skills!E18=TRUE,4.0,0))))+1)),0)</f>
        <v/>
      </c>
      <c r="S1385">
        <f>IFERROR(O1385/N1385,0)</f>
        <v/>
      </c>
      <c r="T1385" t="n">
        <v>0</v>
      </c>
      <c r="V1385" t="n">
        <v>0</v>
      </c>
    </row>
    <row r="1386">
      <c r="A1386">
        <f>Skills!A19</f>
        <v/>
      </c>
      <c r="B1386">
        <f>Skills!B19</f>
        <v/>
      </c>
      <c r="C1386">
        <f>TRUE</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Skills!G19*IF(Skills!H19&gt;0,Skills!I19/Skills!H19,1)</f>
        <v/>
      </c>
      <c r="H1386">
        <f>1-(1-Skills!J19/100)^Skills!K19</f>
        <v/>
      </c>
      <c r="I1386" t="inlineStr">
        <is>
          <t>1</t>
        </is>
      </c>
      <c r="J1386" t="inlineStr"/>
      <c r="K1386" t="inlineStr"/>
      <c r="L1386" t="inlineStr"/>
      <c r="M1386" t="inlineStr"/>
      <c r="N1386" t="inlineStr"/>
      <c r="O1386">
        <f>(1-Summary!$B$55)*T1386+Summary!$B$55*V1386</f>
        <v/>
      </c>
      <c r="P1386">
        <f>IF(B1404=0,0,O1386/B1404)</f>
        <v/>
      </c>
      <c r="Q1386">
        <f>IFERROR(1/IF(Inputs!$B$38="pvp",15,MAX(0.1,Skills!D19-IF(Skills!E19=TRUE,4.0,0))),0)</f>
        <v/>
      </c>
      <c r="R1386">
        <f>IF(AND(Inputs!$B$38&lt;&gt;"pvp",Inputs!$B$43&gt;0),IF(Inputs!$B$43&lt;=0,0,(INT(Inputs!$B$43/IF(Inputs!$B$38="pvp",15,MAX(0.1,Skills!D19-IF(Skills!E19=TRUE,4.0,0))))+1)),0)</f>
        <v/>
      </c>
      <c r="S1386">
        <f>IFERROR(O1386/N1386,0)</f>
        <v/>
      </c>
      <c r="T1386" t="n">
        <v>0</v>
      </c>
      <c r="V1386" t="n">
        <v>0</v>
      </c>
    </row>
    <row r="1387">
      <c r="A1387">
        <f>Skills!A20</f>
        <v/>
      </c>
      <c r="B1387">
        <f>Skills!B20</f>
        <v/>
      </c>
      <c r="C1387">
        <f>Inputs!$B$3&gt;=33</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Skills!G20*IF(Skills!H20&gt;0,Skills!I20/Skills!H20,1)</f>
        <v/>
      </c>
      <c r="H1387">
        <f>1-(1-Skills!J20/100)^Skills!K20</f>
        <v/>
      </c>
      <c r="I1387" t="inlineStr">
        <is>
          <t>1</t>
        </is>
      </c>
      <c r="J1387" t="inlineStr"/>
      <c r="K1387" t="inlineStr"/>
      <c r="L1387" t="inlineStr"/>
      <c r="M1387" t="inlineStr"/>
      <c r="N1387" t="inlineStr"/>
      <c r="O1387">
        <f>(1-Summary!$B$55)*T1387+Summary!$B$55*V1387</f>
        <v/>
      </c>
      <c r="P1387">
        <f>IF(B1404=0,0,O1387/B1404)</f>
        <v/>
      </c>
      <c r="Q1387" t="n">
        <v>0</v>
      </c>
      <c r="R1387" t="n">
        <v>0</v>
      </c>
      <c r="S1387">
        <f>IFERROR(O1387/N1387,0)</f>
        <v/>
      </c>
      <c r="T1387" t="n">
        <v>0</v>
      </c>
      <c r="V1387" t="n">
        <v>0</v>
      </c>
    </row>
    <row r="1388">
      <c r="A1388">
        <f>Skills!A21</f>
        <v/>
      </c>
      <c r="B1388">
        <f>Skills!B21</f>
        <v/>
      </c>
      <c r="C1388">
        <f>Inputs!$B$3&gt;=38</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Skills!G21*IF(Skills!H21&gt;0,Skills!I21/Skills!H21,1)</f>
        <v/>
      </c>
      <c r="H1388">
        <f>1-(1-Skills!J21/100)^Skills!K21</f>
        <v/>
      </c>
      <c r="I1388" t="inlineStr">
        <is>
          <t>1</t>
        </is>
      </c>
      <c r="J1388" t="inlineStr"/>
      <c r="K1388" t="inlineStr"/>
      <c r="L1388" t="inlineStr"/>
      <c r="M1388" t="inlineStr"/>
      <c r="N1388" t="inlineStr"/>
      <c r="O1388">
        <f>(1-Summary!$B$55)*T1388+Summary!$B$55*V1388</f>
        <v/>
      </c>
      <c r="P1388">
        <f>IF(B1404=0,0,O1388/B1404)</f>
        <v/>
      </c>
      <c r="Q1388" t="n">
        <v>0</v>
      </c>
      <c r="R1388" t="n">
        <v>0</v>
      </c>
      <c r="S1388">
        <f>IFERROR(O1388/N1388,0)</f>
        <v/>
      </c>
      <c r="T1388" t="n">
        <v>0</v>
      </c>
      <c r="V1388" t="n">
        <v>0</v>
      </c>
    </row>
    <row r="1389">
      <c r="A1389">
        <f>Skills!A22</f>
        <v/>
      </c>
      <c r="B1389">
        <f>Skills!B22</f>
        <v/>
      </c>
      <c r="C1389">
        <f>Inputs!$B$3&gt;=43</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Skills!G22*IF(Skills!H22&gt;0,Skills!I22/Skills!H22,1)</f>
        <v/>
      </c>
      <c r="H1389">
        <f>1-(1-Skills!J22/100)^Skills!K22</f>
        <v/>
      </c>
      <c r="I1389" t="inlineStr">
        <is>
          <t>1</t>
        </is>
      </c>
      <c r="J1389" t="inlineStr"/>
      <c r="K1389" t="inlineStr"/>
      <c r="L1389" t="inlineStr"/>
      <c r="M1389" t="inlineStr"/>
      <c r="N1389" t="inlineStr"/>
      <c r="O1389">
        <f>(1-Summary!$B$55)*T1389+Summary!$B$55*V1389</f>
        <v/>
      </c>
      <c r="P1389">
        <f>IF(B1404=0,0,O1389/B1404)</f>
        <v/>
      </c>
      <c r="Q1389" t="n">
        <v>0</v>
      </c>
      <c r="R1389" t="n">
        <v>0</v>
      </c>
      <c r="S1389">
        <f>IFERROR(O1389/N1389,0)</f>
        <v/>
      </c>
      <c r="T1389" t="n">
        <v>0</v>
      </c>
      <c r="V1389" t="n">
        <v>0</v>
      </c>
    </row>
    <row r="1390">
      <c r="A1390">
        <f>Skills!A23</f>
        <v/>
      </c>
      <c r="B1390">
        <f>Skills!B23</f>
        <v/>
      </c>
      <c r="C1390">
        <f>Inputs!$B$3&gt;=120</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Skills!G23*IF(Skills!H23&gt;0,Skills!I23/Skills!H23,1)</f>
        <v/>
      </c>
      <c r="H1390">
        <f>1-(1-Skills!J23/100)^Skills!K23</f>
        <v/>
      </c>
      <c r="I1390" t="inlineStr">
        <is>
          <t>1</t>
        </is>
      </c>
      <c r="J1390" t="inlineStr"/>
      <c r="K1390" t="inlineStr"/>
      <c r="L1390" t="inlineStr"/>
      <c r="M1390" t="inlineStr"/>
      <c r="N1390" t="inlineStr"/>
      <c r="O1390">
        <f>(1-Summary!$B$55)*T1390+Summary!$B$55*V1390</f>
        <v/>
      </c>
      <c r="P1390">
        <f>IF(B1404=0,0,O1390/B1404)</f>
        <v/>
      </c>
      <c r="Q1390" t="n">
        <v>0</v>
      </c>
      <c r="R1390" t="n">
        <v>0</v>
      </c>
      <c r="S1390">
        <f>IFERROR(O1390/N1390,0)</f>
        <v/>
      </c>
      <c r="T1390" t="n">
        <v>0</v>
      </c>
      <c r="V1390" t="n">
        <v>0</v>
      </c>
    </row>
    <row r="1391">
      <c r="A1391">
        <f>Skills!A24</f>
        <v/>
      </c>
      <c r="B1391">
        <f>Skills!B24</f>
        <v/>
      </c>
      <c r="C1391">
        <f>Inputs!$B$3&gt;=120</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Skills!G24*IF(Skills!H24&gt;0,Skills!I24/Skills!H24,1)</f>
        <v/>
      </c>
      <c r="H1391">
        <f>1-(1-Skills!J24/100)^Skills!K24</f>
        <v/>
      </c>
      <c r="I1391" t="inlineStr">
        <is>
          <t>1</t>
        </is>
      </c>
      <c r="J1391" t="inlineStr"/>
      <c r="K1391" t="inlineStr"/>
      <c r="L1391" t="inlineStr"/>
      <c r="M1391" t="inlineStr"/>
      <c r="N1391" t="inlineStr"/>
      <c r="O1391">
        <f>(1-Summary!$B$55)*T1391+Summary!$B$55*V1391</f>
        <v/>
      </c>
      <c r="P1391">
        <f>IF(B1404=0,0,O1391/B1404)</f>
        <v/>
      </c>
      <c r="Q1391" t="n">
        <v>0</v>
      </c>
      <c r="R1391" t="n">
        <v>0</v>
      </c>
      <c r="S1391">
        <f>IFERROR(O1391/N1391,0)</f>
        <v/>
      </c>
      <c r="T1391" t="n">
        <v>0</v>
      </c>
      <c r="V1391" t="n">
        <v>0</v>
      </c>
    </row>
    <row r="1393">
      <c r="A1393" t="inlineStr">
        <is>
          <t>Attack% Bucket Multiplier</t>
        </is>
      </c>
      <c r="B1393">
        <f>(1+(((C1380=TRUE)*F1380*MIN(1,Skills!T13*(Skills!J13/100)*B1398))+((C1385=TRUE)*F1385*IF(AND(Inputs!$B$38&lt;&gt;"pvp",Inputs!$B$43&gt;0),(((R1385-1)*(Skills!T18*(1+Inputs!$B$34/100))+MIN((Skills!T18*(1+Inputs!$B$34/100)),MAX(0,Inputs!$B$43-((R1385-1)*Skills!D18))))/Inputs!$B$43),IF(Inputs!$B$38="pvp",MIN((Skills!T18*(1+Inputs!$B$34/100)),15)/15,(Skills!T18*(1+Inputs!$B$34/100))/Skills!D18)))+0)/100)</f>
        <v/>
      </c>
    </row>
    <row r="1394">
      <c r="A1394" t="inlineStr">
        <is>
          <t>Global Crit Rate Bonus %</t>
        </is>
      </c>
      <c r="B1394" t="n">
        <v>0</v>
      </c>
    </row>
    <row r="1395">
      <c r="A1395" t="inlineStr">
        <is>
          <t>Attack Speed Buff Bonus %</t>
        </is>
      </c>
      <c r="B1395">
        <f>((C1386=TRUE)*F1386*IF(AND(Inputs!$B$38&lt;&gt;"pvp",Inputs!$B$43&gt;0),(((R1386-1)*(Skills!T19*(1+Inputs!$B$34/100))+MIN((Skills!T19*(1+Inputs!$B$34/100)),MAX(0,Inputs!$B$43-((R1386-1)*Skills!D19))))/Inputs!$B$43),IF(Inputs!$B$38="pvp",MIN((Skills!T19*(1+Inputs!$B$34/100)),15)/15,(Skills!T19*(1+Inputs!$B$34/100))/Skills!D19)))</f>
        <v/>
      </c>
    </row>
    <row r="1396">
      <c r="A1396" t="inlineStr">
        <is>
          <t>Actions Per Second</t>
        </is>
      </c>
      <c r="B1396">
        <f>1+MIN(150,150*(1-(1-(Inputs!$B$11+((C1387=TRUE)*(F1387-Calc!F20)))/150)*(1-B1395/150)))/100</f>
        <v/>
      </c>
    </row>
    <row r="1397">
      <c r="A1397" t="inlineStr">
        <is>
          <t>Skill + Buff Cast Rate</t>
        </is>
      </c>
      <c r="B1397">
        <f>IF(AND(Inputs!$B$38&lt;&gt;"pvp",Inputs!$B$43&gt;0),SUMPRODUCT((Skills!E2:E24=TRUE)*(C1369:C1391=TRUE)*R1369:R1391*Skills!F2:F24)/Inputs!$B$43,SUMPRODUCT((Skills!E2:E24=TRUE)*(C1369:C1391=TRUE)*Q1369:Q1391*Skills!F2:F24))</f>
        <v/>
      </c>
    </row>
    <row r="1398">
      <c r="A1398" t="inlineStr">
        <is>
          <t>Blast Casts Per Second</t>
        </is>
      </c>
      <c r="B1398">
        <f>MAX(0,B1396-B1397)</f>
        <v/>
      </c>
    </row>
    <row r="1399">
      <c r="A1399" t="inlineStr">
        <is>
          <t>Global Critical Damage Bonus % (unused)</t>
        </is>
      </c>
      <c r="B1399" t="n">
        <v>0</v>
      </c>
    </row>
    <row r="1400">
      <c r="A1400" t="inlineStr">
        <is>
          <t>Global Final Damage Bonus % (Divine Shield + Guardian + Divine Blessing + Greater Vessel of Light)</t>
        </is>
      </c>
      <c r="B1400">
        <f>((C1382=TRUE)*F1382*IF(AND(Inputs!$B$38&lt;&gt;"pvp",Inputs!$B$43&gt;0),(((R1382-1)*(Skills!T15*(1+Inputs!$B$34/100))+MIN((Skills!T15*(1+Inputs!$B$34/100)),MAX(0,Inputs!$B$43-((R1382-1)*Skills!D15))))/Inputs!$B$43),IF(Inputs!$B$38="pvp",MIN((Skills!T15*(1+Inputs!$B$34/100)),15)/15,(Skills!T15*(1+Inputs!$B$34/100))/Skills!D15)))+((C1383=TRUE)*F1383*IF(AND(Inputs!$B$38&lt;&gt;"pvp",Inputs!$B$43&gt;0),(((R1383-1)*(Skills!T16*(1+Inputs!$B$34/100))+MIN((Skills!T16*(1+Inputs!$B$34/100)),MAX(0,Inputs!$B$43-((R1383-1)*Skills!D16))))/Inputs!$B$43),IF(Inputs!$B$38="pvp",MIN((Skills!T16*(1+Inputs!$B$34/100)),15)/15,(Skills!T16*(1+Inputs!$B$34/100))/Skills!D16)))+((C1384=TRUE)*F1384*IF(AND(Inputs!$B$38&lt;&gt;"pvp",Inputs!$B$43&gt;0),(((R1384-1)*(Skills!T17*(1+Inputs!$B$34/100))+MIN((Skills!T17*(1+Inputs!$B$34/100)),MAX(0,Inputs!$B$43-((R1384-1)*Skills!D17))))/Inputs!$B$43),IF(Inputs!$B$38="pvp",MIN((Skills!T17*(1+Inputs!$B$34/100)),15)/15,(Skills!T17*(1+Inputs!$B$34/100))/Skills!D17)))+((C1381=TRUE)*F1381*MIN(1,Skills!T13*(Skills!J13/100)*B1398))</f>
        <v/>
      </c>
    </row>
    <row r="1401">
      <c r="A1401" t="inlineStr">
        <is>
          <t>Buff-Casting Startup Delay (s, fixed-duration only)</t>
        </is>
      </c>
      <c r="B1401">
        <f>IF(AND(Inputs!$B$38&lt;&gt;"pvp",Inputs!$B$43&gt;0),SUMPRODUCT((Skills!T2:T24&gt;0)*(Skills!E2:E24=TRUE)*(C1369:C1391=TRUE))/B1396,0)</f>
        <v/>
      </c>
    </row>
    <row r="1402">
      <c r="A1402" t="inlineStr">
        <is>
          <t>Boss-Only Total DPS (this block's swept value)</t>
        </is>
      </c>
      <c r="B1402">
        <f>SUM(T1369:T1391)</f>
        <v/>
      </c>
    </row>
    <row r="1403">
      <c r="A1403" t="inlineStr">
        <is>
          <t>Normal-Only Total DPS (this block's swept value)</t>
        </is>
      </c>
      <c r="B1403">
        <f>SUM(V1369:V1391)</f>
        <v/>
      </c>
    </row>
    <row r="1404">
      <c r="A1404" s="5" t="inlineStr">
        <is>
          <t>TOTAL DPS</t>
        </is>
      </c>
      <c r="B1404" s="5">
        <f>SUM(O1369:O1391)</f>
        <v/>
      </c>
    </row>
    <row r="1407">
      <c r="A1407" s="5" t="inlineStr">
        <is>
          <t>Stat: CDR = 4.5s</t>
        </is>
      </c>
    </row>
    <row r="1408">
      <c r="A1408" s="9" t="inlineStr">
        <is>
          <t>Key</t>
        </is>
      </c>
      <c r="B1408" s="9" t="inlineStr">
        <is>
          <t>Name</t>
        </is>
      </c>
      <c r="C1408" s="9" t="inlineStr">
        <is>
          <t>Unlocked</t>
        </is>
      </c>
      <c r="D1408" s="9" t="inlineStr">
        <is>
          <t>InputLevel</t>
        </is>
      </c>
      <c r="E1408" s="9" t="inlineStr">
        <is>
          <t>Factor</t>
        </is>
      </c>
      <c r="F1408" s="9" t="inlineStr">
        <is>
          <t>CoefficientPercent</t>
        </is>
      </c>
      <c r="G1408" s="9" t="inlineStr">
        <is>
          <t>EffectiveHits</t>
        </is>
      </c>
      <c r="H1408" s="9" t="inlineStr">
        <is>
          <t>ProcProbability</t>
        </is>
      </c>
      <c r="I1408" s="9" t="inlineStr">
        <is>
          <t>MapleHeroMultiplier</t>
        </is>
      </c>
      <c r="J1408" s="9" t="inlineStr">
        <is>
          <t>BaseDamage</t>
        </is>
      </c>
      <c r="K1408" s="9" t="inlineStr">
        <is>
          <t>BaseHitDamage</t>
        </is>
      </c>
      <c r="L1408" s="9" t="inlineStr">
        <is>
          <t>NonCritAvg</t>
        </is>
      </c>
      <c r="M1408" s="9" t="inlineStr">
        <is>
          <t>CritAvg</t>
        </is>
      </c>
      <c r="N1408" s="9" t="inlineStr">
        <is>
          <t>ExpectedDamage(perHit)</t>
        </is>
      </c>
      <c r="O1408" s="9" t="inlineStr">
        <is>
          <t>DPS</t>
        </is>
      </c>
      <c r="P1408" s="9" t="inlineStr">
        <is>
          <t>% of Total</t>
        </is>
      </c>
      <c r="Q1408" s="9" t="inlineStr">
        <is>
          <t>InvCooldown</t>
        </is>
      </c>
      <c r="R1408" s="9" t="inlineStr">
        <is>
          <t>CastsInFight</t>
        </is>
      </c>
      <c r="S1408" s="9" t="inlineStr">
        <is>
          <t>HitRate(perSec)</t>
        </is>
      </c>
      <c r="U1408" t="inlineStr">
        <is>
          <t>helpers</t>
        </is>
      </c>
    </row>
    <row r="1409">
      <c r="A1409">
        <f>Skills!A2</f>
        <v/>
      </c>
      <c r="B1409">
        <f>Skills!B2</f>
        <v/>
      </c>
      <c r="C1409">
        <f>Inputs!$B$3&gt;=100</f>
        <v/>
      </c>
      <c r="D1409" t="inlineStr"/>
      <c r="E1409" t="inlineStr"/>
      <c r="F1409">
        <f>U1411+Skills!O2</f>
        <v/>
      </c>
      <c r="G1409">
        <f>Skills!G2*IF(Skills!H2&gt;0,Skills!I2/Skills!H2,1)</f>
        <v/>
      </c>
      <c r="H1409">
        <f>1-(1-Skills!J2/100)^Skills!K2</f>
        <v/>
      </c>
      <c r="I1409" t="inlineStr">
        <is>
          <t>1</t>
        </is>
      </c>
      <c r="J1409">
        <f>((Inputs!$B$6*(1+Inputs!$B$7/100))+(((Inputs!$B$12*(1+Inputs!$B$13/100))-(Inputs!$B$12*(1+Inputs!$B$13/100)))+0.25*(Inputs!$B$14-Inputs!$B$14))*(1+Inputs!$B$7/100))*(F1409/100)</f>
        <v/>
      </c>
      <c r="K1409">
        <f>J1409*(1+((Inputs!$B$12*(1+Inputs!$B$13/100))*0.01+Inputs!$B$14*0.0025)/100)*(1+Inputs!$B$15/100)*(1+Inputs!$B$16/100)*(5000/(6000+Inputs!$B$42*(1-(Inputs!$B$19+0)/100)))*(1+(Inputs!$B$24+0+B1440)/100)*(1+(IF(Skills!A2="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1409)</f>
        <v/>
      </c>
      <c r="L1409">
        <f>K1409*(MIN(Inputs!$B$22+((C1429=TRUE)*(F1429-Calc!F22)),Inputs!$B$23+((C1431=TRUE)*(F1431-Calc!F24)))/100+(Inputs!$B$23+((C1431=TRUE)*(F1431-Calc!F24)))/100)/2</f>
        <v/>
      </c>
      <c r="M1409">
        <f>L1409*(1+(Inputs!$B$10+0+B1439)/100)</f>
        <v/>
      </c>
      <c r="N1409">
        <f>L1409*(1-MIN((Inputs!$B$9+0+B1434),100)/100)+M1409*(MIN((Inputs!$B$9+0+B1434),100)/100)</f>
        <v/>
      </c>
      <c r="O1409">
        <f>(1-Summary!$B$55)*T1409+Summary!$B$55*V1409</f>
        <v/>
      </c>
      <c r="P1409">
        <f>IF(B1444=0,0,O1409/B1444)</f>
        <v/>
      </c>
      <c r="Q1409" t="n">
        <v>0</v>
      </c>
      <c r="R1409" t="n">
        <v>0</v>
      </c>
      <c r="S1409">
        <f>IFERROR(O1409/N1409,0)</f>
        <v/>
      </c>
      <c r="T1409">
        <f>IF(C1409,(Skills!G2*N1409*B1438)*IF(Inputs!$B$38="pvp",1,1+(Inputs!$B$20+0+Skills!P2)/100),0)</f>
        <v/>
      </c>
      <c r="U1409">
        <f>MAX(0,(Inputs!$B$3-100)*3)+Inputs!$B$28+Inputs!$B$29</f>
        <v/>
      </c>
      <c r="V1409">
        <f>IF(C1409,(Skills!G2*N1409*B1438)*IF(Inputs!$B$38="pvp",1,(1+(Inputs!$B$21+Skills!Q2)/100)*(MIN((6+Inputs!$B$33),Inputs!$B$37))),0)</f>
        <v/>
      </c>
    </row>
    <row r="1410">
      <c r="A1410">
        <f>Skills!A3</f>
        <v/>
      </c>
      <c r="B1410">
        <f>Skills!B3</f>
        <v/>
      </c>
      <c r="C1410">
        <f>Inputs!$B$3&gt;=50</f>
        <v/>
      </c>
      <c r="D1410">
        <f>IF(Skills!C3=1,60+Inputs!$B$25+Inputs!$B$29,IF(Skills!C3=2,90+Inputs!$B$26+Inputs!$B$29,IF(Skills!C3=3,120+Inputs!$B$27+Inputs!$B$29,MAX(0,(Inputs!$B$3-100)*3)+Inputs!$B$28+Inputs!$B$29)))</f>
        <v/>
      </c>
      <c r="E1410">
        <f>INDEX(FactorTable!$B$2:$Y$301, MATCH(ROUND(MIN(300,MAX(1,D1410)),0), FactorTable!$A$2:$A$301,0), Skills!M3+1)</f>
        <v/>
      </c>
      <c r="F1410">
        <f>IF(Skills!N3=TRUE,(Skills!L3/10)*(E1410/1000),Skills!L3/10)+Skills!O3</f>
        <v/>
      </c>
      <c r="G1410" t="inlineStr"/>
      <c r="H1410" t="inlineStr"/>
      <c r="I1410" t="inlineStr">
        <is>
          <t>1</t>
        </is>
      </c>
      <c r="J1410" t="inlineStr"/>
      <c r="K1410" t="inlineStr"/>
      <c r="L1410" t="inlineStr"/>
      <c r="M1410" t="inlineStr"/>
      <c r="N1410" t="inlineStr"/>
      <c r="O1410" t="inlineStr"/>
      <c r="P1410" t="inlineStr"/>
      <c r="Q1410" t="inlineStr"/>
      <c r="R1410" t="inlineStr"/>
      <c r="S1410" t="inlineStr"/>
      <c r="U1410">
        <f>INDEX(FactorTable!$B$2:$Y$301, MATCH(ROUND(MIN(300,MAX(1,U1409)),0), FactorTable!$A$2:$A$301,0), 22)</f>
        <v/>
      </c>
    </row>
    <row r="1411">
      <c r="A1411">
        <f>Skills!A4</f>
        <v/>
      </c>
      <c r="B1411">
        <f>Skills!B4</f>
        <v/>
      </c>
      <c r="C1411">
        <f>Inputs!$B$3&gt;=35</f>
        <v/>
      </c>
      <c r="D1411">
        <f>IF(Skills!C4=1,60+Inputs!$B$25+Inputs!$B$29,IF(Skills!C4=2,90+Inputs!$B$26+Inputs!$B$29,IF(Skills!C4=3,120+Inputs!$B$27+Inputs!$B$29,MAX(0,(Inputs!$B$3-100)*3)+Inputs!$B$28+Inputs!$B$29)))</f>
        <v/>
      </c>
      <c r="E1411">
        <f>INDEX(FactorTable!$B$2:$Y$301, MATCH(ROUND(MIN(300,MAX(1,D1411)),0), FactorTable!$A$2:$A$301,0), Skills!M4+1)</f>
        <v/>
      </c>
      <c r="F1411">
        <f>IF(Skills!N4=TRUE,(Skills!L4/10)*(E1411/1000),Skills!L4/10)+Skills!O4</f>
        <v/>
      </c>
      <c r="G1411">
        <f>Skills!G4*IF(Skills!H4&gt;0,Skills!I4/Skills!H4,1)</f>
        <v/>
      </c>
      <c r="H1411">
        <f>1-(1-Skills!J4/100)^Skills!K4</f>
        <v/>
      </c>
      <c r="I1411" t="inlineStr">
        <is>
          <t>1</t>
        </is>
      </c>
      <c r="J1411">
        <f>((Inputs!$B$6*(1+Inputs!$B$7/100))+(((Inputs!$B$12*(1+Inputs!$B$13/100))-(Inputs!$B$12*(1+Inputs!$B$13/100)))+0.25*(Inputs!$B$14-Inputs!$B$14))*(1+Inputs!$B$7/100))*(F1411/100)</f>
        <v/>
      </c>
      <c r="K1411">
        <f>J1411*(1+((Inputs!$B$12*(1+Inputs!$B$13/100))*0.01+Inputs!$B$14*0.0025)/100)*(1+Inputs!$B$15/100)*(1+Inputs!$B$16/100)*(5000/(6000+Inputs!$B$42*(1-(Inputs!$B$19+0)/100)))*(1+(Inputs!$B$24+0+B1440)/100)*(1+4.0*IF(C1419=TRUE,F1419,0)/100)*(1+(IF(Skills!A4="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1411)</f>
        <v/>
      </c>
      <c r="L1411">
        <f>K1411*(MIN(Inputs!$B$22+((C1429=TRUE)*(F1429-Calc!F22)),Inputs!$B$23+((C1431=TRUE)*(F1431-Calc!F24)))/100+(Inputs!$B$23+((C1431=TRUE)*(F1431-Calc!F24)))/100)/2</f>
        <v/>
      </c>
      <c r="M1411">
        <f>L1411*(1+(Inputs!$B$10+0+B1439)/100)</f>
        <v/>
      </c>
      <c r="N1411">
        <f>L1411*(1-MIN((Inputs!$B$9+0+B1434),100)/100)+M1411*(MIN((Inputs!$B$9+0+B1434),100)/100)</f>
        <v/>
      </c>
      <c r="O1411">
        <f>(1-Summary!$B$55)*T1411+Summary!$B$55*V1411</f>
        <v/>
      </c>
      <c r="P1411">
        <f>IF(B1444=0,0,O1411/B1444)</f>
        <v/>
      </c>
      <c r="Q1411">
        <f>IFERROR(1/IF(Inputs!$B$38="pvp",15,MAX(0.1,Skills!D4-IF(Skills!E4=TRUE,4.5,0))),0)</f>
        <v/>
      </c>
      <c r="R1411">
        <f>IF(AND(Inputs!$B$38&lt;&gt;"pvp",Inputs!$B$43&gt;0),IF(MAX(0,Inputs!$B$43-B1441)&lt;=0,0,(INT(MAX(0,Inputs!$B$43-B1441)/IF(Inputs!$B$38="pvp",15,MAX(0.1,Skills!D4-IF(Skills!E4=TRUE,4.5,0))))+1)),0)</f>
        <v/>
      </c>
      <c r="S1411">
        <f>IFERROR(O1411/N1411,0)</f>
        <v/>
      </c>
      <c r="T1411">
        <f>IF(C1411,(H1411*N1411*IF(AND(Inputs!$B$38&lt;&gt;"pvp",Inputs!$B$43&gt;0),((Skills!G4*((R1411-1)*IF(Skills!H4&gt;0,Skills!I4/Skills!H4,1)+IF(Skills!H4&gt;0,MIN(Skills!I4,MAX(0,MAX(0,Inputs!$B$43-B1441)-((R1411-1)*IF(Inputs!$B$38="pvp",15,MAX(0.1,Skills!D4-IF(Skills!E4=TRUE,4.5,0))))))/Skills!H4,1)))/Inputs!$B$43),G1411*Q1411))*IF(Inputs!$B$38="pvp",1,1+(Inputs!$B$20+0+Skills!P4)/100),0)</f>
        <v/>
      </c>
      <c r="U1411">
        <f>290*U1410/1000</f>
        <v/>
      </c>
      <c r="V1411">
        <f>IF(C1411,(H1411*N1411*IF(AND(Inputs!$B$38&lt;&gt;"pvp",Inputs!$B$43&gt;0),((Skills!G4*((R1411-1)*IF(Skills!H4&gt;0,Skills!I4/Skills!H4,1)+IF(Skills!H4&gt;0,MIN(Skills!I4,MAX(0,MAX(0,Inputs!$B$43-B1441)-((R1411-1)*IF(Inputs!$B$38="pvp",15,MAX(0.1,Skills!D4-IF(Skills!E4=TRUE,4.5,0))))))/Skills!H4,1)))/Inputs!$B$43),G1411*Q1411))*IF(Inputs!$B$38="pvp",1,(1+(Inputs!$B$21+Skills!Q4)/100)*(MIN(Skills!R4,Inputs!$B$37))),0)</f>
        <v/>
      </c>
    </row>
    <row r="1412">
      <c r="A1412">
        <f>Skills!A5</f>
        <v/>
      </c>
      <c r="B1412">
        <f>Skills!B5</f>
        <v/>
      </c>
      <c r="C1412">
        <f>Inputs!$B$3&gt;=66</f>
        <v/>
      </c>
      <c r="D1412">
        <f>IF(Skills!C5=1,60+Inputs!$B$25+Inputs!$B$29,IF(Skills!C5=2,90+Inputs!$B$26+Inputs!$B$29,IF(Skills!C5=3,120+Inputs!$B$27+Inputs!$B$29,MAX(0,(Inputs!$B$3-100)*3)+Inputs!$B$28+Inputs!$B$29)))</f>
        <v/>
      </c>
      <c r="E1412">
        <f>INDEX(FactorTable!$B$2:$Y$301, MATCH(ROUND(MIN(300,MAX(1,D1412)),0), FactorTable!$A$2:$A$301,0), Skills!M5+1)</f>
        <v/>
      </c>
      <c r="F1412">
        <f>IF(Skills!N5=TRUE,(Skills!L5/10)*(E1412/1000),Skills!L5/10)+Skills!O5</f>
        <v/>
      </c>
      <c r="G1412">
        <f>Skills!G5*IF(Skills!H5&gt;0,Skills!I5/Skills!H5,1)</f>
        <v/>
      </c>
      <c r="H1412">
        <f>1-(1-Skills!J5/100)^Skills!K5</f>
        <v/>
      </c>
      <c r="I1412" t="inlineStr">
        <is>
          <t>1</t>
        </is>
      </c>
      <c r="J1412">
        <f>((Inputs!$B$6*(1+Inputs!$B$7/100))+(((Inputs!$B$12*(1+Inputs!$B$13/100))-(Inputs!$B$12*(1+Inputs!$B$13/100)))+0.25*(Inputs!$B$14-Inputs!$B$14))*(1+Inputs!$B$7/100))*(F1412/100)</f>
        <v/>
      </c>
      <c r="K1412">
        <f>J1412*(1+((Inputs!$B$12*(1+Inputs!$B$13/100))*0.01+Inputs!$B$14*0.0025)/100)*(1+Inputs!$B$15/100)*(1+Inputs!$B$16/100)*(5000/(6000+Inputs!$B$42*(1-(Inputs!$B$19+0)/100)))*(1+(Inputs!$B$24+0+B1440)/100)*(1+1.0*IF(C1419=TRUE,F1419,0)/100)*(1+(IF(Skills!A5="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1412)</f>
        <v/>
      </c>
      <c r="L1412">
        <f>K1412*(MIN(Inputs!$B$22+((C1429=TRUE)*(F1429-Calc!F22)),Inputs!$B$23+((C1431=TRUE)*(F1431-Calc!F24)))/100+(Inputs!$B$23+((C1431=TRUE)*(F1431-Calc!F24)))/100)/2</f>
        <v/>
      </c>
      <c r="M1412">
        <f>L1412*(1+(Inputs!$B$10+0+B1439)/100)</f>
        <v/>
      </c>
      <c r="N1412">
        <f>L1412*(1-MIN((Inputs!$B$9+0+B1434),100)/100)+M1412*(MIN((Inputs!$B$9+0+B1434),100)/100)</f>
        <v/>
      </c>
      <c r="O1412">
        <f>(1-Summary!$B$55)*T1412+Summary!$B$55*V1412</f>
        <v/>
      </c>
      <c r="P1412">
        <f>IF(B1444=0,0,O1412/B1444)</f>
        <v/>
      </c>
      <c r="Q1412">
        <f>IFERROR(1/IF(Inputs!$B$38="pvp",15,MAX(0.1,Skills!D5-IF(Skills!E5=TRUE,4.5,0))),0)</f>
        <v/>
      </c>
      <c r="R1412">
        <f>IF(AND(Inputs!$B$38&lt;&gt;"pvp",Inputs!$B$43&gt;0),IF(MAX(0,Inputs!$B$43-B1441)&lt;=0,0,(INT(MAX(0,Inputs!$B$43-B1441)/IF(Inputs!$B$38="pvp",15,MAX(0.1,Skills!D5-IF(Skills!E5=TRUE,4.5,0))))+1)),0)</f>
        <v/>
      </c>
      <c r="S1412">
        <f>IFERROR(O1412/N1412,0)</f>
        <v/>
      </c>
      <c r="T1412">
        <f>IF(C1412,(H1412*N1412*IF(AND(Inputs!$B$38&lt;&gt;"pvp",Inputs!$B$43&gt;0),((Skills!G5*((R1412-1)*IF(Skills!H5&gt;0,Skills!I5/Skills!H5,1)+IF(Skills!H5&gt;0,MIN(Skills!I5,MAX(0,MAX(0,Inputs!$B$43-B1441)-((R1412-1)*IF(Inputs!$B$38="pvp",15,MAX(0.1,Skills!D5-IF(Skills!E5=TRUE,4.5,0))))))/Skills!H5,1)))/Inputs!$B$43),G1412*Q1412))*IF(Inputs!$B$38="pvp",1,1+(Inputs!$B$20+0+Skills!P5)/100),0)</f>
        <v/>
      </c>
      <c r="V1412">
        <f>IF(C1412,(H1412*N1412*IF(AND(Inputs!$B$38&lt;&gt;"pvp",Inputs!$B$43&gt;0),((Skills!G5*((R1412-1)*IF(Skills!H5&gt;0,Skills!I5/Skills!H5,1)+IF(Skills!H5&gt;0,MIN(Skills!I5,MAX(0,MAX(0,Inputs!$B$43-B1441)-((R1412-1)*IF(Inputs!$B$38="pvp",15,MAX(0.1,Skills!D5-IF(Skills!E5=TRUE,4.5,0))))))/Skills!H5,1)))/Inputs!$B$43),G1412*Q1412))*IF(Inputs!$B$38="pvp",1,(1+(Inputs!$B$21+Skills!Q5)/100)*(MIN(Skills!R5,Inputs!$B$37))),0)</f>
        <v/>
      </c>
    </row>
    <row r="1413">
      <c r="A1413">
        <f>Skills!A6</f>
        <v/>
      </c>
      <c r="B1413">
        <f>Skills!B6</f>
        <v/>
      </c>
      <c r="C1413">
        <f>Inputs!$B$3&gt;=103</f>
        <v/>
      </c>
      <c r="D1413">
        <f>IF(Skills!C6=1,60+Inputs!$B$25+Inputs!$B$29,IF(Skills!C6=2,90+Inputs!$B$26+Inputs!$B$29,IF(Skills!C6=3,120+Inputs!$B$27+Inputs!$B$29,MAX(0,(Inputs!$B$3-100)*3)+Inputs!$B$28+Inputs!$B$29)))</f>
        <v/>
      </c>
      <c r="E1413">
        <f>INDEX(FactorTable!$B$2:$Y$301, MATCH(ROUND(MIN(300,MAX(1,D1413)),0), FactorTable!$A$2:$A$301,0), Skills!M6+1)</f>
        <v/>
      </c>
      <c r="F1413">
        <f>IF(Skills!N6=TRUE,(Skills!L6/10)*(E1413/1000),Skills!L6/10)+Skills!O6</f>
        <v/>
      </c>
      <c r="G1413">
        <f>Skills!G6*IF(Skills!H6&gt;0,Skills!I6/Skills!H6,1)</f>
        <v/>
      </c>
      <c r="H1413">
        <f>1-(1-Skills!J6/100)^Skills!K6</f>
        <v/>
      </c>
      <c r="I1413" t="inlineStr">
        <is>
          <t>1</t>
        </is>
      </c>
      <c r="J1413">
        <f>((Inputs!$B$6*(1+Inputs!$B$7/100))+(((Inputs!$B$12*(1+Inputs!$B$13/100))-(Inputs!$B$12*(1+Inputs!$B$13/100)))+0.25*(Inputs!$B$14-Inputs!$B$14))*(1+Inputs!$B$7/100))*(F1413/100)</f>
        <v/>
      </c>
      <c r="K1413">
        <f>J1413*(1+((Inputs!$B$12*(1+Inputs!$B$13/100))*0.01+Inputs!$B$14*0.0025)/100)*(1+Inputs!$B$15/100)*(1+Inputs!$B$16/100)*(5000/(6000+Inputs!$B$42*(1-(Inputs!$B$19+0)/100)))*(1+(Inputs!$B$24+0+B1440)/100)*(1+(IF(Skills!A6="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1413)</f>
        <v/>
      </c>
      <c r="L1413">
        <f>K1413*(MIN(Inputs!$B$22+((C1429=TRUE)*(F1429-Calc!F22)),Inputs!$B$23+((C1431=TRUE)*(F1431-Calc!F24)))/100+(Inputs!$B$23+((C1431=TRUE)*(F1431-Calc!F24)))/100)/2</f>
        <v/>
      </c>
      <c r="M1413">
        <f>L1413*(1+(Inputs!$B$10+0+B1439)/100)</f>
        <v/>
      </c>
      <c r="N1413">
        <f>L1413*(1-MIN((Inputs!$B$9+0+B1434),100)/100)+M1413*(MIN((Inputs!$B$9+0+B1434),100)/100)</f>
        <v/>
      </c>
      <c r="O1413">
        <f>(1-Summary!$B$55)*T1413+Summary!$B$55*V1413</f>
        <v/>
      </c>
      <c r="P1413">
        <f>IF(B1444=0,0,O1413/B1444)</f>
        <v/>
      </c>
      <c r="Q1413">
        <f>IFERROR(1/IF(Inputs!$B$38="pvp",15,MAX(0.1,Skills!D6-IF(Skills!E6=TRUE,4.5,0))),0)</f>
        <v/>
      </c>
      <c r="R1413">
        <f>IF(AND(Inputs!$B$38&lt;&gt;"pvp",Inputs!$B$43&gt;0),IF(MAX(0,Inputs!$B$43-B1441)&lt;=0,0,(INT(MAX(0,Inputs!$B$43-B1441)/IF(Inputs!$B$38="pvp",15,MAX(0.1,Skills!D6-IF(Skills!E6=TRUE,4.5,0))))+1)),0)</f>
        <v/>
      </c>
      <c r="S1413">
        <f>IFERROR(O1413/N1413,0)</f>
        <v/>
      </c>
      <c r="T1413">
        <f>IF(C1413,(H1413*N1413*IF(AND(Inputs!$B$38&lt;&gt;"pvp",Inputs!$B$43&gt;0),((Skills!G6*((R1413-1)*IF(Skills!H6&gt;0,Skills!I6/Skills!H6,1)+IF(Skills!H6&gt;0,MIN(Skills!I6,MAX(0,MAX(0,Inputs!$B$43-B1441)-((R1413-1)*IF(Inputs!$B$38="pvp",15,MAX(0.1,Skills!D6-IF(Skills!E6=TRUE,4.5,0))))))/Skills!H6,1)))/Inputs!$B$43),G1413*Q1413))*IF(Inputs!$B$38="pvp",1,1+(Inputs!$B$20+0+Skills!P6)/100),0)</f>
        <v/>
      </c>
      <c r="V1413">
        <f>IF(C1413,(H1413*N1413*IF(AND(Inputs!$B$38&lt;&gt;"pvp",Inputs!$B$43&gt;0),((Skills!G6*((R1413-1)*IF(Skills!H6&gt;0,Skills!I6/Skills!H6,1)+IF(Skills!H6&gt;0,MIN(Skills!I6,MAX(0,MAX(0,Inputs!$B$43-B1441)-((R1413-1)*IF(Inputs!$B$38="pvp",15,MAX(0.1,Skills!D6-IF(Skills!E6=TRUE,4.5,0))))))/Skills!H6,1)))/Inputs!$B$43),G1413*Q1413))*IF(Inputs!$B$38="pvp",1,(1+(Inputs!$B$21+Skills!Q6)/100)*(MIN(Skills!R6,Inputs!$B$37))),0)</f>
        <v/>
      </c>
    </row>
    <row r="1414">
      <c r="A1414">
        <f>Skills!A7</f>
        <v/>
      </c>
      <c r="B1414">
        <f>Skills!B7</f>
        <v/>
      </c>
      <c r="C1414">
        <f>Inputs!$B$3&gt;=107</f>
        <v/>
      </c>
      <c r="D1414">
        <f>IF(Skills!C7=1,60+Inputs!$B$25+Inputs!$B$29,IF(Skills!C7=2,90+Inputs!$B$26+Inputs!$B$29,IF(Skills!C7=3,120+Inputs!$B$27+Inputs!$B$29,MAX(0,(Inputs!$B$3-100)*3)+Inputs!$B$28+Inputs!$B$29)))</f>
        <v/>
      </c>
      <c r="E1414">
        <f>INDEX(FactorTable!$B$2:$Y$301, MATCH(ROUND(MIN(300,MAX(1,D1414)),0), FactorTable!$A$2:$A$301,0), Skills!M7+1)</f>
        <v/>
      </c>
      <c r="F1414">
        <f>IF(Skills!N7=TRUE,(Skills!L7/10)*(E1414/1000),Skills!L7/10)+Skills!O7</f>
        <v/>
      </c>
      <c r="G1414">
        <f>Skills!G7*IF(Skills!H7&gt;0,Skills!I7/Skills!H7,1)</f>
        <v/>
      </c>
      <c r="H1414">
        <f>1-(1-Skills!J7/100)^Skills!K7</f>
        <v/>
      </c>
      <c r="I1414" t="inlineStr">
        <is>
          <t>1</t>
        </is>
      </c>
      <c r="J1414">
        <f>((Inputs!$B$6*(1+Inputs!$B$7/100))+(((Inputs!$B$12*(1+Inputs!$B$13/100))-(Inputs!$B$12*(1+Inputs!$B$13/100)))+0.25*(Inputs!$B$14-Inputs!$B$14))*(1+Inputs!$B$7/100))*(F1414/100)</f>
        <v/>
      </c>
      <c r="K1414">
        <f>J1414*(1+((Inputs!$B$12*(1+Inputs!$B$13/100))*0.01+Inputs!$B$14*0.0025)/100)*(1+Inputs!$B$15/100)*(1+Inputs!$B$16/100)*(5000/(6000+Inputs!$B$42*(1-(Inputs!$B$19+0)/100)))*(1+(Inputs!$B$24+0+B1440)/100)*(1+(IF(Skills!A7="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1414)</f>
        <v/>
      </c>
      <c r="L1414">
        <f>K1414*(MIN(Inputs!$B$22+((C1429=TRUE)*(F1429-Calc!F22)),Inputs!$B$23+((C1431=TRUE)*(F1431-Calc!F24)))/100+(Inputs!$B$23+((C1431=TRUE)*(F1431-Calc!F24)))/100)/2</f>
        <v/>
      </c>
      <c r="M1414">
        <f>L1414*(1+(Inputs!$B$10+0+B1439)/100)</f>
        <v/>
      </c>
      <c r="N1414">
        <f>L1414*(1-MIN((Inputs!$B$9+0+B1434),100)/100)+M1414*(MIN((Inputs!$B$9+0+B1434),100)/100)</f>
        <v/>
      </c>
      <c r="O1414">
        <f>(1-Summary!$B$55)*T1414+Summary!$B$55*V1414</f>
        <v/>
      </c>
      <c r="P1414">
        <f>IF(B1444=0,0,O1414/B1444)</f>
        <v/>
      </c>
      <c r="Q1414">
        <f>IFERROR(1/IF(Inputs!$B$38="pvp",15,MAX(0.1,Skills!D7-IF(Skills!E7=TRUE,4.5,0))),0)</f>
        <v/>
      </c>
      <c r="R1414">
        <f>IF(AND(Inputs!$B$38&lt;&gt;"pvp",Inputs!$B$43&gt;0),IF(MAX(0,Inputs!$B$43-B1441)&lt;=0,0,(INT(MAX(0,Inputs!$B$43-B1441)/IF(Inputs!$B$38="pvp",15,MAX(0.1,Skills!D7-IF(Skills!E7=TRUE,4.5,0))))+1)),0)</f>
        <v/>
      </c>
      <c r="S1414">
        <f>IFERROR(O1414/N1414,0)</f>
        <v/>
      </c>
      <c r="T1414">
        <f>IF(C1414,(H1414*N1414*IF(AND(Inputs!$B$38&lt;&gt;"pvp",Inputs!$B$43&gt;0),((Skills!G7*((R1414-1)*IF(Skills!H7&gt;0,Skills!I7/Skills!H7,1)+IF(Skills!H7&gt;0,MIN(Skills!I7,MAX(0,MAX(0,Inputs!$B$43-B1441)-((R1414-1)*IF(Inputs!$B$38="pvp",15,MAX(0.1,Skills!D7-IF(Skills!E7=TRUE,4.5,0))))))/Skills!H7,1)))/Inputs!$B$43),G1414*Q1414))*IF(Inputs!$B$38="pvp",1,1+(Inputs!$B$20+0+Skills!P7)/100),0)</f>
        <v/>
      </c>
      <c r="V1414">
        <f>IF(C1414,(H1414*N1414*IF(AND(Inputs!$B$38&lt;&gt;"pvp",Inputs!$B$43&gt;0),((Skills!G7*((R1414-1)*IF(Skills!H7&gt;0,Skills!I7/Skills!H7,1)+IF(Skills!H7&gt;0,MIN(Skills!I7,MAX(0,MAX(0,Inputs!$B$43-B1441)-((R1414-1)*IF(Inputs!$B$38="pvp",15,MAX(0.1,Skills!D7-IF(Skills!E7=TRUE,4.5,0))))))/Skills!H7,1)))/Inputs!$B$43),G1414*Q1414))*IF(Inputs!$B$38="pvp",1,(1+(Inputs!$B$21+Skills!Q7)/100)*(MIN(Skills!R7,Inputs!$B$37))),0)</f>
        <v/>
      </c>
    </row>
    <row r="1415">
      <c r="A1415">
        <f>Skills!A8</f>
        <v/>
      </c>
      <c r="B1415">
        <f>Skills!B8</f>
        <v/>
      </c>
      <c r="C1415">
        <f>Inputs!$B$3&gt;=107</f>
        <v/>
      </c>
      <c r="D1415">
        <f>IF(Skills!C8=1,60+Inputs!$B$25+Inputs!$B$29,IF(Skills!C8=2,90+Inputs!$B$26+Inputs!$B$29,IF(Skills!C8=3,120+Inputs!$B$27+Inputs!$B$29,MAX(0,(Inputs!$B$3-100)*3)+Inputs!$B$28+Inputs!$B$29)))</f>
        <v/>
      </c>
      <c r="E1415">
        <f>INDEX(FactorTable!$B$2:$Y$301, MATCH(ROUND(MIN(300,MAX(1,D1415)),0), FactorTable!$A$2:$A$301,0), Skills!M8+1)</f>
        <v/>
      </c>
      <c r="F1415">
        <f>IF(Skills!N8=TRUE,(Skills!L8/10)*(E1415/1000),Skills!L8/10)+Skills!O8</f>
        <v/>
      </c>
      <c r="G1415">
        <f>Skills!G8*IF(Skills!H8&gt;0,Skills!I8/Skills!H8,1)</f>
        <v/>
      </c>
      <c r="H1415">
        <f>1-(1-Skills!J8/100)^Skills!K8</f>
        <v/>
      </c>
      <c r="I1415" t="inlineStr">
        <is>
          <t>1</t>
        </is>
      </c>
      <c r="J1415">
        <f>((Inputs!$B$6*(1+Inputs!$B$7/100))+(((Inputs!$B$12*(1+Inputs!$B$13/100))-(Inputs!$B$12*(1+Inputs!$B$13/100)))+0.25*(Inputs!$B$14-Inputs!$B$14))*(1+Inputs!$B$7/100))*(F1415/100)</f>
        <v/>
      </c>
      <c r="K1415">
        <f>J1415*(1+((Inputs!$B$12*(1+Inputs!$B$13/100))*0.01+Inputs!$B$14*0.0025)/100)*(1+Inputs!$B$15/100)*(1+Inputs!$B$16/100)*(5000/(6000+Inputs!$B$42*(1-(Inputs!$B$19+0)/100)))*(1+(Inputs!$B$24+0+B1440)/100)*(1+(IF(Skills!A8="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1415)</f>
        <v/>
      </c>
      <c r="L1415">
        <f>K1415*(MIN(Inputs!$B$22+((C1429=TRUE)*(F1429-Calc!F22)),Inputs!$B$23+((C1431=TRUE)*(F1431-Calc!F24)))/100+(Inputs!$B$23+((C1431=TRUE)*(F1431-Calc!F24)))/100)/2</f>
        <v/>
      </c>
      <c r="M1415">
        <f>L1415*(1+(Inputs!$B$10+0+B1439)/100)</f>
        <v/>
      </c>
      <c r="N1415">
        <f>L1415*(1-MIN((Inputs!$B$9+0+B1434),100)/100)+M1415*(MIN((Inputs!$B$9+0+B1434),100)/100)</f>
        <v/>
      </c>
      <c r="O1415">
        <f>(1-Summary!$B$55)*T1415+Summary!$B$55*V1415</f>
        <v/>
      </c>
      <c r="P1415">
        <f>IF(B1444=0,0,O1415/B1444)</f>
        <v/>
      </c>
      <c r="Q1415">
        <f>IFERROR(1/IF(Inputs!$B$38="pvp",15,MAX(0.1,Skills!D8-IF(Skills!E8=TRUE,4.5,0))),0)</f>
        <v/>
      </c>
      <c r="R1415">
        <f>IF(AND(Inputs!$B$38&lt;&gt;"pvp",Inputs!$B$43&gt;0),IF(MAX(0,Inputs!$B$43-B1441)&lt;=0,0,(INT(MAX(0,Inputs!$B$43-B1441)/IF(Inputs!$B$38="pvp",15,MAX(0.1,Skills!D8-IF(Skills!E8=TRUE,4.5,0))))+1)),0)</f>
        <v/>
      </c>
      <c r="S1415">
        <f>IFERROR(O1415/N1415,0)</f>
        <v/>
      </c>
      <c r="T1415">
        <f>IF(C1415,(H1415*N1415*IF(AND(Inputs!$B$38&lt;&gt;"pvp",Inputs!$B$43&gt;0),((Skills!G8*((R1415-1)*IF(Skills!H8&gt;0,Skills!I8/Skills!H8,1)+IF(Skills!H8&gt;0,MIN(Skills!I8,MAX(0,MAX(0,Inputs!$B$43-B1441)-((R1415-1)*IF(Inputs!$B$38="pvp",15,MAX(0.1,Skills!D8-IF(Skills!E8=TRUE,4.5,0))))))/Skills!H8,1)))/Inputs!$B$43),G1415*Q1415))*IF(Inputs!$B$38="pvp",1,1+(Inputs!$B$20+0+Skills!P8)/100),0)</f>
        <v/>
      </c>
      <c r="V1415">
        <f>IF(C1415,(H1415*N1415*IF(AND(Inputs!$B$38&lt;&gt;"pvp",Inputs!$B$43&gt;0),((Skills!G8*((R1415-1)*IF(Skills!H8&gt;0,Skills!I8/Skills!H8,1)+IF(Skills!H8&gt;0,MIN(Skills!I8,MAX(0,MAX(0,Inputs!$B$43-B1441)-((R1415-1)*IF(Inputs!$B$38="pvp",15,MAX(0.1,Skills!D8-IF(Skills!E8=TRUE,4.5,0))))))/Skills!H8,1)))/Inputs!$B$43),G1415*Q1415))*IF(Inputs!$B$38="pvp",1,(1+(Inputs!$B$21+Skills!Q8)/100)*(MIN(Skills!R8,Inputs!$B$37))),0)</f>
        <v/>
      </c>
    </row>
    <row r="1416">
      <c r="A1416">
        <f>Skills!A9</f>
        <v/>
      </c>
      <c r="B1416">
        <f>Skills!B9</f>
        <v/>
      </c>
      <c r="C1416">
        <f>Inputs!$B$3&gt;=125</f>
        <v/>
      </c>
      <c r="D1416">
        <f>IF(Skills!C9=1,60+Inputs!$B$25+Inputs!$B$29,IF(Skills!C9=2,90+Inputs!$B$26+Inputs!$B$29,IF(Skills!C9=3,120+Inputs!$B$27+Inputs!$B$29,MAX(0,(Inputs!$B$3-100)*3)+Inputs!$B$28+Inputs!$B$29)))</f>
        <v/>
      </c>
      <c r="E1416">
        <f>INDEX(FactorTable!$B$2:$Y$301, MATCH(ROUND(MIN(300,MAX(1,D1416)),0), FactorTable!$A$2:$A$301,0), Skills!M9+1)</f>
        <v/>
      </c>
      <c r="F1416">
        <f>IF(Skills!N9=TRUE,(Skills!L9/10)*(E1416/1000),Skills!L9/10)+Skills!O9</f>
        <v/>
      </c>
      <c r="G1416">
        <f>Skills!G9*IF(Skills!H9&gt;0,Skills!I9/Skills!H9,1)</f>
        <v/>
      </c>
      <c r="H1416">
        <f>1-(1-Skills!J9/100)^Skills!K9</f>
        <v/>
      </c>
      <c r="I1416" t="inlineStr">
        <is>
          <t>1</t>
        </is>
      </c>
      <c r="J1416">
        <f>((Inputs!$B$6*(1+Inputs!$B$7/100))+(((Inputs!$B$12*(1+Inputs!$B$13/100))-(Inputs!$B$12*(1+Inputs!$B$13/100)))+0.25*(Inputs!$B$14-Inputs!$B$14))*(1+Inputs!$B$7/100))*(F1416/100)</f>
        <v/>
      </c>
      <c r="K1416">
        <f>J1416*(1+((Inputs!$B$12*(1+Inputs!$B$13/100))*0.01+Inputs!$B$14*0.0025)/100)*(1+Inputs!$B$15/100)*(1+Inputs!$B$16/100)*(5000/(6000+Inputs!$B$42*(1-(Inputs!$B$19+0)/100)))*(1+(Inputs!$B$24+0+B1440)/100)*(1+(IF(Skills!A9="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1416)</f>
        <v/>
      </c>
      <c r="L1416">
        <f>K1416*(MIN(Inputs!$B$22+((C1429=TRUE)*(F1429-Calc!F22)),Inputs!$B$23+((C1431=TRUE)*(F1431-Calc!F24)))/100+(Inputs!$B$23+((C1431=TRUE)*(F1431-Calc!F24)))/100)/2</f>
        <v/>
      </c>
      <c r="M1416">
        <f>L1416*(1+(Inputs!$B$10+0+B1439)/100)</f>
        <v/>
      </c>
      <c r="N1416">
        <f>L1416*(1-MIN((Inputs!$B$9+0+B1434),100)/100)+M1416*(MIN((Inputs!$B$9+0+B1434),100)/100)</f>
        <v/>
      </c>
      <c r="O1416">
        <f>(1-Summary!$B$55)*T1416+Summary!$B$55*V1416</f>
        <v/>
      </c>
      <c r="P1416">
        <f>IF(B1444=0,0,O1416/B1444)</f>
        <v/>
      </c>
      <c r="Q1416">
        <f>IFERROR(1/IF(Inputs!$B$38="pvp",15,MAX(0.1,Skills!D9-IF(Skills!E9=TRUE,4.5,0))),0)</f>
        <v/>
      </c>
      <c r="R1416">
        <f>IF(AND(Inputs!$B$38&lt;&gt;"pvp",Inputs!$B$43&gt;0),IF(MAX(0,Inputs!$B$43-B1441)&lt;=0,0,(INT(MAX(0,Inputs!$B$43-B1441)/IF(Inputs!$B$38="pvp",15,MAX(0.1,Skills!D9-IF(Skills!E9=TRUE,4.5,0))))+1)),0)</f>
        <v/>
      </c>
      <c r="S1416">
        <f>IFERROR(O1416/N1416,0)</f>
        <v/>
      </c>
      <c r="T1416">
        <f>IF(C1416,(H1416*N1416*IF(AND(Inputs!$B$38&lt;&gt;"pvp",Inputs!$B$43&gt;0),((Skills!G9*((R1416-1)*IF(Skills!H9&gt;0,Skills!I9/Skills!H9,1)+IF(Skills!H9&gt;0,MIN(Skills!I9,MAX(0,MAX(0,Inputs!$B$43-B1441)-((R1416-1)*IF(Inputs!$B$38="pvp",15,MAX(0.1,Skills!D9-IF(Skills!E9=TRUE,4.5,0))))))/Skills!H9,1)))/Inputs!$B$43),G1416*Q1416))*IF(Inputs!$B$38="pvp",1,1+(Inputs!$B$20+0+Skills!P9)/100),0)</f>
        <v/>
      </c>
      <c r="V1416">
        <f>IF(C1416,(H1416*N1416*IF(AND(Inputs!$B$38&lt;&gt;"pvp",Inputs!$B$43&gt;0),((Skills!G9*((R1416-1)*IF(Skills!H9&gt;0,Skills!I9/Skills!H9,1)+IF(Skills!H9&gt;0,MIN(Skills!I9,MAX(0,MAX(0,Inputs!$B$43-B1441)-((R1416-1)*IF(Inputs!$B$38="pvp",15,MAX(0.1,Skills!D9-IF(Skills!E9=TRUE,4.5,0))))))/Skills!H9,1)))/Inputs!$B$43),G1416*Q1416))*IF(Inputs!$B$38="pvp",1,(1+(Inputs!$B$21+Skills!Q9)/100)*(MIN(Skills!R9,Inputs!$B$37))),0)</f>
        <v/>
      </c>
    </row>
    <row r="1417">
      <c r="A1417">
        <f>Skills!A10</f>
        <v/>
      </c>
      <c r="B1417">
        <f>Skills!B10</f>
        <v/>
      </c>
      <c r="C1417">
        <f>Inputs!$B$3&gt;=117</f>
        <v/>
      </c>
      <c r="D1417">
        <f>IF(Skills!C10=1,60+Inputs!$B$25+Inputs!$B$29,IF(Skills!C10=2,90+Inputs!$B$26+Inputs!$B$29,IF(Skills!C10=3,120+Inputs!$B$27+Inputs!$B$29,MAX(0,(Inputs!$B$3-100)*3)+Inputs!$B$28+Inputs!$B$29)))</f>
        <v/>
      </c>
      <c r="E1417">
        <f>INDEX(FactorTable!$B$2:$Y$301, MATCH(ROUND(MIN(300,MAX(1,D1417)),0), FactorTable!$A$2:$A$301,0), Skills!M10+1)</f>
        <v/>
      </c>
      <c r="F1417">
        <f>IF(Skills!N10=TRUE,(Skills!L10/10)*(E1417/1000),Skills!L10/10)+Skills!O10</f>
        <v/>
      </c>
      <c r="G1417">
        <f>Skills!G10*IF(Skills!H10&gt;0,Skills!I10/Skills!H10,1)</f>
        <v/>
      </c>
      <c r="H1417">
        <f>1-(1-Skills!J10/100)^Skills!K10</f>
        <v/>
      </c>
      <c r="I1417" t="inlineStr">
        <is>
          <t>1</t>
        </is>
      </c>
      <c r="J1417">
        <f>((Inputs!$B$6*(1+Inputs!$B$7/100))+(((Inputs!$B$12*(1+Inputs!$B$13/100))-(Inputs!$B$12*(1+Inputs!$B$13/100)))+0.25*(Inputs!$B$14-Inputs!$B$14))*(1+Inputs!$B$7/100))*(F1417/100)</f>
        <v/>
      </c>
      <c r="K1417">
        <f>J1417*(1+((Inputs!$B$12*(1+Inputs!$B$13/100))*0.01+Inputs!$B$14*0.0025)/100)*(1+Inputs!$B$15/100)*(1+Inputs!$B$16/100)*(5000/(6000+Inputs!$B$42*(1-(Inputs!$B$19+0)/100)))*(1+(Inputs!$B$24+0+B1440)/100)*(1+(IF(Skills!A10="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1417)</f>
        <v/>
      </c>
      <c r="L1417">
        <f>K1417*(MIN(Inputs!$B$22+((C1429=TRUE)*(F1429-Calc!F22)),Inputs!$B$23+((C1431=TRUE)*(F1431-Calc!F24)))/100+(Inputs!$B$23+((C1431=TRUE)*(F1431-Calc!F24)))/100)/2</f>
        <v/>
      </c>
      <c r="M1417">
        <f>L1417*(1+(Inputs!$B$10+0+B1439)/100)</f>
        <v/>
      </c>
      <c r="N1417">
        <f>L1417*(1-MIN((Inputs!$B$9+0+B1434),100)/100)+M1417*(MIN((Inputs!$B$9+0+B1434),100)/100)</f>
        <v/>
      </c>
      <c r="O1417">
        <f>(1-Summary!$B$55)*T1417+Summary!$B$55*V1417</f>
        <v/>
      </c>
      <c r="P1417">
        <f>IF(B1444=0,0,O1417/B1444)</f>
        <v/>
      </c>
      <c r="Q1417">
        <f>IFERROR(1/IF(Inputs!$B$38="pvp",15,MAX(0.1,Skills!D10-IF(Skills!E10=TRUE,4.5,0))),0)</f>
        <v/>
      </c>
      <c r="R1417">
        <f>IF(AND(Inputs!$B$38&lt;&gt;"pvp",Inputs!$B$43&gt;0),IF(MAX(0,Inputs!$B$43-B1441)&lt;=0,0,(INT(MAX(0,Inputs!$B$43-B1441)/IF(Inputs!$B$38="pvp",15,MAX(0.1,Skills!D10-IF(Skills!E10=TRUE,4.5,0))))+1)),0)</f>
        <v/>
      </c>
      <c r="S1417">
        <f>IFERROR(O1417/N1417,0)</f>
        <v/>
      </c>
      <c r="T1417">
        <f>IF(C1417,(H1417*N1417*IF(AND(Inputs!$B$38&lt;&gt;"pvp",Inputs!$B$43&gt;0),((Skills!G10*((R1417-1)*IF(Skills!H10&gt;0,Skills!I10/Skills!H10,1)+IF(Skills!H10&gt;0,MIN(Skills!I10,MAX(0,MAX(0,Inputs!$B$43-B1441)-((R1417-1)*IF(Inputs!$B$38="pvp",15,MAX(0.1,Skills!D10-IF(Skills!E10=TRUE,4.5,0))))))/Skills!H10,1)))/Inputs!$B$43),G1417*Q1417))*IF(Inputs!$B$38="pvp",1,1+(Inputs!$B$20+0+Skills!P10)/100),0)</f>
        <v/>
      </c>
      <c r="V1417">
        <f>IF(C1417,(H1417*N1417*IF(AND(Inputs!$B$38&lt;&gt;"pvp",Inputs!$B$43&gt;0),((Skills!G10*((R1417-1)*IF(Skills!H10&gt;0,Skills!I10/Skills!H10,1)+IF(Skills!H10&gt;0,MIN(Skills!I10,MAX(0,MAX(0,Inputs!$B$43-B1441)-((R1417-1)*IF(Inputs!$B$38="pvp",15,MAX(0.1,Skills!D10-IF(Skills!E10=TRUE,4.5,0))))))/Skills!H10,1)))/Inputs!$B$43),G1417*Q1417))*IF(Inputs!$B$38="pvp",1,(1+(Inputs!$B$21+Skills!Q10)/100)*(MIN(Skills!R10,Inputs!$B$37))),0)</f>
        <v/>
      </c>
    </row>
    <row r="1418">
      <c r="A1418">
        <f>Skills!A11</f>
        <v/>
      </c>
      <c r="B1418">
        <f>Skills!B11</f>
        <v/>
      </c>
      <c r="C1418">
        <f>Inputs!$B$3&gt;=63</f>
        <v/>
      </c>
      <c r="D1418">
        <f>IF(Skills!C11=1,60+Inputs!$B$25+Inputs!$B$29,IF(Skills!C11=2,90+Inputs!$B$26+Inputs!$B$29,IF(Skills!C11=3,120+Inputs!$B$27+Inputs!$B$29,MAX(0,(Inputs!$B$3-100)*3)+Inputs!$B$28+Inputs!$B$29)))</f>
        <v/>
      </c>
      <c r="E1418">
        <f>INDEX(FactorTable!$B$2:$Y$301, MATCH(ROUND(MIN(300,MAX(1,D1418)),0), FactorTable!$A$2:$A$301,0), Skills!M11+1)</f>
        <v/>
      </c>
      <c r="F1418">
        <f>IF(Skills!N11=TRUE,(Skills!L11/10)*(E1418/1000),Skills!L11/10)+Skills!O11</f>
        <v/>
      </c>
      <c r="G1418">
        <f>Skills!G11*IF(Skills!H11&gt;0,Skills!I11/Skills!H11,1)</f>
        <v/>
      </c>
      <c r="H1418">
        <f>1-(1-Skills!J11/100)^Skills!K11</f>
        <v/>
      </c>
      <c r="I1418" t="inlineStr">
        <is>
          <t>1</t>
        </is>
      </c>
      <c r="J1418">
        <f>((Inputs!$B$6*(1+Inputs!$B$7/100))+(((Inputs!$B$12*(1+Inputs!$B$13/100))-(Inputs!$B$12*(1+Inputs!$B$13/100)))+0.25*(Inputs!$B$14-Inputs!$B$14))*(1+Inputs!$B$7/100))*(F1418/100)</f>
        <v/>
      </c>
      <c r="K1418">
        <f>J1418*(1+((Inputs!$B$12*(1+Inputs!$B$13/100))*0.01+Inputs!$B$14*0.0025)/100)*(1+Inputs!$B$15/100)*(1+Inputs!$B$16/100)*(5000/(6000+Inputs!$B$42*(1-(Inputs!$B$19+0)/100)))*(1+(Inputs!$B$24+0+B1440)/100)*(1+1.5*IF(C1419=TRUE,F1419,0)/100)*(1+(IF(Skills!A11="BLAST",Inputs!$B$17+((C1428=TRUE)*(F1428-Calc!F21)),Inputs!$B$18+((C1430=TRUE)*(F1430-Calc!F23))))/100)*((1+(((C1420=TRUE)*F1420*MIN(1,Skills!T13*(Skills!J13/100)*B1438))+((C1425=TRUE)*F1425*IF(AND(Inputs!$B$38&lt;&gt;"pvp",Inputs!$B$43&gt;0),(((R1425-1)*(Skills!T18*(1+Inputs!$B$34/100))+MIN((Skills!T18*(1+Inputs!$B$34/100)),MAX(0,Inputs!$B$43-((R1425-1)*Skills!D18))))/Inputs!$B$43),IF(Inputs!$B$38="pvp",MIN((Skills!T18*(1+Inputs!$B$34/100)),15)/15,(Skills!T18*(1+Inputs!$B$34/100))/Skills!D18)))+0)/100)*I1418)</f>
        <v/>
      </c>
      <c r="L1418">
        <f>K1418*(MIN(Inputs!$B$22+((C1429=TRUE)*(F1429-Calc!F22)),Inputs!$B$23+((C1431=TRUE)*(F1431-Calc!F24)))/100+(Inputs!$B$23+((C1431=TRUE)*(F1431-Calc!F24)))/100)/2</f>
        <v/>
      </c>
      <c r="M1418">
        <f>L1418*(1+(Inputs!$B$10+0+B1439)/100)</f>
        <v/>
      </c>
      <c r="N1418">
        <f>L1418*(1-MIN((Inputs!$B$9+0+B1434),100)/100)+M1418*(MIN((Inputs!$B$9+0+B1434),100)/100)</f>
        <v/>
      </c>
      <c r="O1418">
        <f>(1-Summary!$B$55)*T1418+Summary!$B$55*V1418</f>
        <v/>
      </c>
      <c r="P1418">
        <f>IF(B1444=0,0,O1418/B1444)</f>
        <v/>
      </c>
      <c r="Q1418">
        <f>IFERROR(1/IF(Inputs!$B$38="pvp",15,MAX(0.1,Skills!D11-IF(Skills!E11=TRUE,4.5,0))),0)</f>
        <v/>
      </c>
      <c r="R1418">
        <f>IF(AND(Inputs!$B$38&lt;&gt;"pvp",Inputs!$B$43&gt;0),IF(MAX(0,Inputs!$B$43-B1441)&lt;=0,0,(INT(MAX(0,Inputs!$B$43-B1441)/IF(Inputs!$B$38="pvp",15,MAX(0.1,Skills!D11-IF(Skills!E11=TRUE,4.5,0))))+1)),0)</f>
        <v/>
      </c>
      <c r="S1418">
        <f>IFERROR(O1418/N1418,0)</f>
        <v/>
      </c>
      <c r="T1418">
        <f>IF(C1418,(H1418*N1418*IF(AND(Inputs!$B$38&lt;&gt;"pvp",Inputs!$B$43&gt;0),((Skills!G11*((R1418-1)*IF(Skills!H11&gt;0,Skills!I11/Skills!H11,1)+IF(Skills!H11&gt;0,MIN(Skills!I11,MAX(0,MAX(0,Inputs!$B$43-B1441)-((R1418-1)*IF(Inputs!$B$38="pvp",15,MAX(0.1,Skills!D11-IF(Skills!E11=TRUE,4.5,0))))))/Skills!H11,1)))/Inputs!$B$43),G1418*Q1418))*IF(Inputs!$B$38="pvp",1,1+(Inputs!$B$20+0+Skills!P11)/100),0)</f>
        <v/>
      </c>
      <c r="V1418">
        <f>IF(C1418,(H1418*N1418*IF(AND(Inputs!$B$38&lt;&gt;"pvp",Inputs!$B$43&gt;0),((Skills!G11*((R1418-1)*IF(Skills!H11&gt;0,Skills!I11/Skills!H11,1)+IF(Skills!H11&gt;0,MIN(Skills!I11,MAX(0,MAX(0,Inputs!$B$43-B1441)-((R1418-1)*IF(Inputs!$B$38="pvp",15,MAX(0.1,Skills!D11-IF(Skills!E11=TRUE,4.5,0))))))/Skills!H11,1)))/Inputs!$B$43),G1418*Q1418))*IF(Inputs!$B$38="pvp",1,(1+(Inputs!$B$21+Skills!Q11)/100)*(MIN(Skills!R11,Inputs!$B$37))),0)</f>
        <v/>
      </c>
    </row>
    <row r="1419">
      <c r="A1419">
        <f>Skills!A12</f>
        <v/>
      </c>
      <c r="B1419">
        <f>Skills!B12</f>
        <v/>
      </c>
      <c r="C1419">
        <f>Inputs!$B$3&gt;=100</f>
        <v/>
      </c>
      <c r="D1419">
        <f>IF(Skills!C12=1,60+Inputs!$B$25+Inputs!$B$29,IF(Skills!C12=2,90+Inputs!$B$26+Inputs!$B$29,IF(Skills!C12=3,120+Inputs!$B$27+Inputs!$B$29,MAX(0,(Inputs!$B$3-100)*3)+Inputs!$B$28+Inputs!$B$29)))</f>
        <v/>
      </c>
      <c r="E1419">
        <f>INDEX(FactorTable!$B$2:$Y$301, MATCH(ROUND(MIN(300,MAX(1,D1419)),0), FactorTable!$A$2:$A$301,0), Skills!M12+1)</f>
        <v/>
      </c>
      <c r="F1419">
        <f>IF(Skills!N12=TRUE,(Skills!L12/10)*(E1419/1000),Skills!L12/10)+Skills!O12</f>
        <v/>
      </c>
      <c r="G1419" t="inlineStr"/>
      <c r="H1419" t="inlineStr"/>
      <c r="I1419" t="inlineStr">
        <is>
          <t>1</t>
        </is>
      </c>
      <c r="J1419" t="inlineStr"/>
      <c r="K1419" t="inlineStr"/>
      <c r="L1419" t="inlineStr"/>
      <c r="M1419" t="inlineStr"/>
      <c r="N1419" t="inlineStr"/>
      <c r="O1419" t="inlineStr"/>
      <c r="P1419" t="inlineStr"/>
      <c r="Q1419" t="inlineStr"/>
      <c r="R1419" t="inlineStr"/>
      <c r="S1419" t="inlineStr"/>
    </row>
    <row r="1420">
      <c r="A1420">
        <f>Skills!A13</f>
        <v/>
      </c>
      <c r="B1420">
        <f>Skills!B13</f>
        <v/>
      </c>
      <c r="C1420">
        <f>Inputs!$B$3&gt;=45</f>
        <v/>
      </c>
      <c r="D1420">
        <f>IF(Skills!C13=1,60+Inputs!$B$25+Inputs!$B$29,IF(Skills!C13=2,90+Inputs!$B$26+Inputs!$B$29,IF(Skills!C13=3,120+Inputs!$B$27+Inputs!$B$29,MAX(0,(Inputs!$B$3-100)*3)+Inputs!$B$28+Inputs!$B$29)))</f>
        <v/>
      </c>
      <c r="E1420">
        <f>INDEX(FactorTable!$B$2:$Y$301, MATCH(ROUND(MIN(300,MAX(1,D1420)),0), FactorTable!$A$2:$A$301,0), Skills!M13+1)</f>
        <v/>
      </c>
      <c r="F1420">
        <f>IF(Skills!N13=TRUE,(Skills!L13/10)*(E1420/1000),Skills!L13/10)+Skills!O13</f>
        <v/>
      </c>
      <c r="G1420">
        <f>Skills!G13*IF(Skills!H13&gt;0,Skills!I13/Skills!H13,1)</f>
        <v/>
      </c>
      <c r="H1420">
        <f>1-(1-Skills!J13/100)^Skills!K13</f>
        <v/>
      </c>
      <c r="I1420" t="inlineStr">
        <is>
          <t>1</t>
        </is>
      </c>
      <c r="J1420" t="inlineStr"/>
      <c r="K1420" t="inlineStr"/>
      <c r="L1420" t="inlineStr"/>
      <c r="M1420" t="inlineStr"/>
      <c r="N1420" t="inlineStr"/>
      <c r="O1420">
        <f>(1-Summary!$B$55)*T1420+Summary!$B$55*V1420</f>
        <v/>
      </c>
      <c r="P1420">
        <f>IF(B1444=0,0,O1420/B1444)</f>
        <v/>
      </c>
      <c r="Q1420" t="n">
        <v>0</v>
      </c>
      <c r="R1420" t="n">
        <v>0</v>
      </c>
      <c r="S1420">
        <f>IFERROR(O1420/N1420,0)</f>
        <v/>
      </c>
      <c r="T1420" t="n">
        <v>0</v>
      </c>
      <c r="V1420" t="n">
        <v>0</v>
      </c>
    </row>
    <row r="1421">
      <c r="A1421">
        <f>Skills!A14</f>
        <v/>
      </c>
      <c r="B1421">
        <f>Skills!B14</f>
        <v/>
      </c>
      <c r="C1421">
        <f>Inputs!$B$3&gt;=110</f>
        <v/>
      </c>
      <c r="D1421">
        <f>IF(Skills!C14=1,60+Inputs!$B$25+Inputs!$B$29,IF(Skills!C14=2,90+Inputs!$B$26+Inputs!$B$29,IF(Skills!C14=3,120+Inputs!$B$27+Inputs!$B$29,MAX(0,(Inputs!$B$3-100)*3)+Inputs!$B$28+Inputs!$B$29)))</f>
        <v/>
      </c>
      <c r="E1421">
        <f>INDEX(FactorTable!$B$2:$Y$301, MATCH(ROUND(MIN(300,MAX(1,D1421)),0), FactorTable!$A$2:$A$301,0), Skills!M14+1)</f>
        <v/>
      </c>
      <c r="F1421">
        <f>IF(Skills!N14=TRUE,(Skills!L14/10)*(E1421/1000),Skills!L14/10)+Skills!O14</f>
        <v/>
      </c>
      <c r="G1421">
        <f>Skills!G14*IF(Skills!H14&gt;0,Skills!I14/Skills!H14,1)</f>
        <v/>
      </c>
      <c r="H1421">
        <f>1-(1-Skills!J14/100)^Skills!K14</f>
        <v/>
      </c>
      <c r="I1421" t="inlineStr">
        <is>
          <t>1</t>
        </is>
      </c>
      <c r="J1421" t="inlineStr"/>
      <c r="K1421" t="inlineStr"/>
      <c r="L1421" t="inlineStr"/>
      <c r="M1421" t="inlineStr"/>
      <c r="N1421" t="inlineStr"/>
      <c r="O1421">
        <f>(1-Summary!$B$55)*T1421+Summary!$B$55*V1421</f>
        <v/>
      </c>
      <c r="P1421">
        <f>IF(B1444=0,0,O1421/B1444)</f>
        <v/>
      </c>
      <c r="Q1421" t="n">
        <v>0</v>
      </c>
      <c r="R1421" t="n">
        <v>0</v>
      </c>
      <c r="S1421">
        <f>IFERROR(O1421/N1421,0)</f>
        <v/>
      </c>
      <c r="T1421" t="n">
        <v>0</v>
      </c>
      <c r="V1421" t="n">
        <v>0</v>
      </c>
    </row>
    <row r="1422">
      <c r="A1422">
        <f>Skills!A15</f>
        <v/>
      </c>
      <c r="B1422">
        <f>Skills!B15</f>
        <v/>
      </c>
      <c r="C1422">
        <f>Inputs!$B$3&gt;=75</f>
        <v/>
      </c>
      <c r="D1422">
        <f>IF(Skills!C15=1,60+Inputs!$B$25+Inputs!$B$29,IF(Skills!C15=2,90+Inputs!$B$26+Inputs!$B$29,IF(Skills!C15=3,120+Inputs!$B$27+Inputs!$B$29,MAX(0,(Inputs!$B$3-100)*3)+Inputs!$B$28+Inputs!$B$29)))</f>
        <v/>
      </c>
      <c r="E1422">
        <f>INDEX(FactorTable!$B$2:$Y$301, MATCH(ROUND(MIN(300,MAX(1,D1422)),0), FactorTable!$A$2:$A$301,0), Skills!M15+1)</f>
        <v/>
      </c>
      <c r="F1422">
        <f>IF(Skills!N15=TRUE,(Skills!L15/10)*(E1422/1000),Skills!L15/10)+Skills!O15</f>
        <v/>
      </c>
      <c r="G1422">
        <f>Skills!G15*IF(Skills!H15&gt;0,Skills!I15/Skills!H15,1)</f>
        <v/>
      </c>
      <c r="H1422">
        <f>1-(1-Skills!J15/100)^Skills!K15</f>
        <v/>
      </c>
      <c r="I1422" t="inlineStr">
        <is>
          <t>1</t>
        </is>
      </c>
      <c r="J1422" t="inlineStr"/>
      <c r="K1422" t="inlineStr"/>
      <c r="L1422" t="inlineStr"/>
      <c r="M1422" t="inlineStr"/>
      <c r="N1422" t="inlineStr"/>
      <c r="O1422">
        <f>(1-Summary!$B$55)*T1422+Summary!$B$55*V1422</f>
        <v/>
      </c>
      <c r="P1422">
        <f>IF(B1444=0,0,O1422/B1444)</f>
        <v/>
      </c>
      <c r="Q1422">
        <f>IFERROR(1/IF(Inputs!$B$38="pvp",15,MAX(0.1,Skills!D15-IF(Skills!E15=TRUE,4.5,0))),0)</f>
        <v/>
      </c>
      <c r="R1422">
        <f>IF(AND(Inputs!$B$38&lt;&gt;"pvp",Inputs!$B$43&gt;0),IF(Inputs!$B$43&lt;=0,0,(INT(Inputs!$B$43/IF(Inputs!$B$38="pvp",15,MAX(0.1,Skills!D15-IF(Skills!E15=TRUE,4.5,0))))+1)),0)</f>
        <v/>
      </c>
      <c r="S1422">
        <f>IFERROR(O1422/N1422,0)</f>
        <v/>
      </c>
      <c r="T1422" t="n">
        <v>0</v>
      </c>
      <c r="V1422" t="n">
        <v>0</v>
      </c>
    </row>
    <row r="1423">
      <c r="A1423">
        <f>Skills!A16</f>
        <v/>
      </c>
      <c r="B1423">
        <f>Skills!B16</f>
        <v/>
      </c>
      <c r="C1423">
        <f>Inputs!$B$3&gt;=105</f>
        <v/>
      </c>
      <c r="D1423">
        <f>IF(Skills!C16=1,60+Inputs!$B$25+Inputs!$B$29,IF(Skills!C16=2,90+Inputs!$B$26+Inputs!$B$29,IF(Skills!C16=3,120+Inputs!$B$27+Inputs!$B$29,MAX(0,(Inputs!$B$3-100)*3)+Inputs!$B$28+Inputs!$B$29)))</f>
        <v/>
      </c>
      <c r="E1423">
        <f>INDEX(FactorTable!$B$2:$Y$301, MATCH(ROUND(MIN(300,MAX(1,D1423)),0), FactorTable!$A$2:$A$301,0), Skills!M16+1)</f>
        <v/>
      </c>
      <c r="F1423">
        <f>IF(Skills!N16=TRUE,(Skills!L16/10)*(E1423/1000),Skills!L16/10)+Skills!O16</f>
        <v/>
      </c>
      <c r="G1423">
        <f>Skills!G16*IF(Skills!H16&gt;0,Skills!I16/Skills!H16,1)</f>
        <v/>
      </c>
      <c r="H1423">
        <f>1-(1-Skills!J16/100)^Skills!K16</f>
        <v/>
      </c>
      <c r="I1423" t="inlineStr">
        <is>
          <t>1</t>
        </is>
      </c>
      <c r="J1423" t="inlineStr"/>
      <c r="K1423" t="inlineStr"/>
      <c r="L1423" t="inlineStr"/>
      <c r="M1423" t="inlineStr"/>
      <c r="N1423" t="inlineStr"/>
      <c r="O1423">
        <f>(1-Summary!$B$55)*T1423+Summary!$B$55*V1423</f>
        <v/>
      </c>
      <c r="P1423">
        <f>IF(B1444=0,0,O1423/B1444)</f>
        <v/>
      </c>
      <c r="Q1423">
        <f>IFERROR(1/IF(Inputs!$B$38="pvp",15,MAX(0.1,Skills!D16-IF(Skills!E16=TRUE,4.5,0))),0)</f>
        <v/>
      </c>
      <c r="R1423">
        <f>IF(AND(Inputs!$B$38&lt;&gt;"pvp",Inputs!$B$43&gt;0),IF(Inputs!$B$43&lt;=0,0,(INT(Inputs!$B$43/IF(Inputs!$B$38="pvp",15,MAX(0.1,Skills!D16-IF(Skills!E16=TRUE,4.5,0))))+1)),0)</f>
        <v/>
      </c>
      <c r="S1423">
        <f>IFERROR(O1423/N1423,0)</f>
        <v/>
      </c>
      <c r="T1423" t="n">
        <v>0</v>
      </c>
      <c r="V1423" t="n">
        <v>0</v>
      </c>
    </row>
    <row r="1424">
      <c r="A1424">
        <f>Skills!A17</f>
        <v/>
      </c>
      <c r="B1424">
        <f>Skills!B17</f>
        <v/>
      </c>
      <c r="C1424">
        <f>Inputs!$B$3&gt;=115</f>
        <v/>
      </c>
      <c r="D1424">
        <f>IF(Skills!C17=1,60+Inputs!$B$25+Inputs!$B$29,IF(Skills!C17=2,90+Inputs!$B$26+Inputs!$B$29,IF(Skills!C17=3,120+Inputs!$B$27+Inputs!$B$29,MAX(0,(Inputs!$B$3-100)*3)+Inputs!$B$28+Inputs!$B$29)))</f>
        <v/>
      </c>
      <c r="E1424">
        <f>INDEX(FactorTable!$B$2:$Y$301, MATCH(ROUND(MIN(300,MAX(1,D1424)),0), FactorTable!$A$2:$A$301,0), Skills!M17+1)</f>
        <v/>
      </c>
      <c r="F1424">
        <f>IF(Skills!N17=TRUE,(Skills!L17/10)*(E1424/1000),Skills!L17/10)+Skills!O17</f>
        <v/>
      </c>
      <c r="G1424">
        <f>Skills!G17*IF(Skills!H17&gt;0,Skills!I17/Skills!H17,1)</f>
        <v/>
      </c>
      <c r="H1424">
        <f>1-(1-Skills!J17/100)^Skills!K17</f>
        <v/>
      </c>
      <c r="I1424" t="inlineStr">
        <is>
          <t>1</t>
        </is>
      </c>
      <c r="J1424" t="inlineStr"/>
      <c r="K1424" t="inlineStr"/>
      <c r="L1424" t="inlineStr"/>
      <c r="M1424" t="inlineStr"/>
      <c r="N1424" t="inlineStr"/>
      <c r="O1424">
        <f>(1-Summary!$B$55)*T1424+Summary!$B$55*V1424</f>
        <v/>
      </c>
      <c r="P1424">
        <f>IF(B1444=0,0,O1424/B1444)</f>
        <v/>
      </c>
      <c r="Q1424">
        <f>IFERROR(1/IF(Inputs!$B$38="pvp",15,MAX(0.1,Skills!D17-IF(Skills!E17=TRUE,4.5,0))),0)</f>
        <v/>
      </c>
      <c r="R1424">
        <f>IF(AND(Inputs!$B$38&lt;&gt;"pvp",Inputs!$B$43&gt;0),IF(Inputs!$B$43&lt;=0,0,(INT(Inputs!$B$43/IF(Inputs!$B$38="pvp",15,MAX(0.1,Skills!D17-IF(Skills!E17=TRUE,4.5,0))))+1)),0)</f>
        <v/>
      </c>
      <c r="S1424">
        <f>IFERROR(O1424/N1424,0)</f>
        <v/>
      </c>
      <c r="T1424" t="n">
        <v>0</v>
      </c>
      <c r="V1424" t="n">
        <v>0</v>
      </c>
    </row>
    <row r="1425">
      <c r="A1425">
        <f>Skills!A18</f>
        <v/>
      </c>
      <c r="B1425">
        <f>Skills!B18</f>
        <v/>
      </c>
      <c r="C1425">
        <f>Inputs!$B$3&gt;=74</f>
        <v/>
      </c>
      <c r="D1425">
        <f>IF(Skills!C18=1,60+Inputs!$B$25+Inputs!$B$29,IF(Skills!C18=2,90+Inputs!$B$26+Inputs!$B$29,IF(Skills!C18=3,120+Inputs!$B$27+Inputs!$B$29,MAX(0,(Inputs!$B$3-100)*3)+Inputs!$B$28+Inputs!$B$29)))</f>
        <v/>
      </c>
      <c r="E1425">
        <f>INDEX(FactorTable!$B$2:$Y$301, MATCH(ROUND(MIN(300,MAX(1,D1425)),0), FactorTable!$A$2:$A$301,0), Skills!M18+1)</f>
        <v/>
      </c>
      <c r="F1425">
        <f>IF(Skills!N18=TRUE,(Skills!L18/10)*(E1425/1000),Skills!L18/10)+Skills!O18</f>
        <v/>
      </c>
      <c r="G1425">
        <f>Skills!G18*IF(Skills!H18&gt;0,Skills!I18/Skills!H18,1)</f>
        <v/>
      </c>
      <c r="H1425">
        <f>1-(1-Skills!J18/100)^Skills!K18</f>
        <v/>
      </c>
      <c r="I1425" t="inlineStr">
        <is>
          <t>1</t>
        </is>
      </c>
      <c r="J1425" t="inlineStr"/>
      <c r="K1425" t="inlineStr"/>
      <c r="L1425" t="inlineStr"/>
      <c r="M1425" t="inlineStr"/>
      <c r="N1425" t="inlineStr"/>
      <c r="O1425">
        <f>(1-Summary!$B$55)*T1425+Summary!$B$55*V1425</f>
        <v/>
      </c>
      <c r="P1425">
        <f>IF(B1444=0,0,O1425/B1444)</f>
        <v/>
      </c>
      <c r="Q1425">
        <f>IFERROR(1/IF(Inputs!$B$38="pvp",15,MAX(0.1,Skills!D18-IF(Skills!E18=TRUE,4.5,0))),0)</f>
        <v/>
      </c>
      <c r="R1425">
        <f>IF(AND(Inputs!$B$38&lt;&gt;"pvp",Inputs!$B$43&gt;0),IF(Inputs!$B$43&lt;=0,0,(INT(Inputs!$B$43/IF(Inputs!$B$38="pvp",15,MAX(0.1,Skills!D18-IF(Skills!E18=TRUE,4.5,0))))+1)),0)</f>
        <v/>
      </c>
      <c r="S1425">
        <f>IFERROR(O1425/N1425,0)</f>
        <v/>
      </c>
      <c r="T1425" t="n">
        <v>0</v>
      </c>
      <c r="V1425" t="n">
        <v>0</v>
      </c>
    </row>
    <row r="1426">
      <c r="A1426">
        <f>Skills!A19</f>
        <v/>
      </c>
      <c r="B1426">
        <f>Skills!B19</f>
        <v/>
      </c>
      <c r="C1426">
        <f>TRUE</f>
        <v/>
      </c>
      <c r="D1426">
        <f>IF(Skills!C19=1,60+Inputs!$B$25+Inputs!$B$29,IF(Skills!C19=2,90+Inputs!$B$26+Inputs!$B$29,IF(Skills!C19=3,120+Inputs!$B$27+Inputs!$B$29,MAX(0,(Inputs!$B$3-100)*3)+Inputs!$B$28+Inputs!$B$29)))</f>
        <v/>
      </c>
      <c r="E1426">
        <f>INDEX(FactorTable!$B$2:$Y$301, MATCH(ROUND(MIN(300,MAX(1,D1426)),0), FactorTable!$A$2:$A$301,0), Skills!M19+1)</f>
        <v/>
      </c>
      <c r="F1426">
        <f>IF(Skills!N19=TRUE,(Skills!L19/10)*(E1426/1000),Skills!L19/10)+Skills!O19</f>
        <v/>
      </c>
      <c r="G1426">
        <f>Skills!G19*IF(Skills!H19&gt;0,Skills!I19/Skills!H19,1)</f>
        <v/>
      </c>
      <c r="H1426">
        <f>1-(1-Skills!J19/100)^Skills!K19</f>
        <v/>
      </c>
      <c r="I1426" t="inlineStr">
        <is>
          <t>1</t>
        </is>
      </c>
      <c r="J1426" t="inlineStr"/>
      <c r="K1426" t="inlineStr"/>
      <c r="L1426" t="inlineStr"/>
      <c r="M1426" t="inlineStr"/>
      <c r="N1426" t="inlineStr"/>
      <c r="O1426">
        <f>(1-Summary!$B$55)*T1426+Summary!$B$55*V1426</f>
        <v/>
      </c>
      <c r="P1426">
        <f>IF(B1444=0,0,O1426/B1444)</f>
        <v/>
      </c>
      <c r="Q1426">
        <f>IFERROR(1/IF(Inputs!$B$38="pvp",15,MAX(0.1,Skills!D19-IF(Skills!E19=TRUE,4.5,0))),0)</f>
        <v/>
      </c>
      <c r="R1426">
        <f>IF(AND(Inputs!$B$38&lt;&gt;"pvp",Inputs!$B$43&gt;0),IF(Inputs!$B$43&lt;=0,0,(INT(Inputs!$B$43/IF(Inputs!$B$38="pvp",15,MAX(0.1,Skills!D19-IF(Skills!E19=TRUE,4.5,0))))+1)),0)</f>
        <v/>
      </c>
      <c r="S1426">
        <f>IFERROR(O1426/N1426,0)</f>
        <v/>
      </c>
      <c r="T1426" t="n">
        <v>0</v>
      </c>
      <c r="V1426" t="n">
        <v>0</v>
      </c>
    </row>
    <row r="1427">
      <c r="A1427">
        <f>Skills!A20</f>
        <v/>
      </c>
      <c r="B1427">
        <f>Skills!B20</f>
        <v/>
      </c>
      <c r="C1427">
        <f>Inputs!$B$3&gt;=33</f>
        <v/>
      </c>
      <c r="D1427">
        <f>IF(Skills!C20=1,60+Inputs!$B$25+Inputs!$B$29,IF(Skills!C20=2,90+Inputs!$B$26+Inputs!$B$29,IF(Skills!C20=3,120+Inputs!$B$27+Inputs!$B$29,MAX(0,(Inputs!$B$3-100)*3)+Inputs!$B$28+Inputs!$B$29)))</f>
        <v/>
      </c>
      <c r="E1427">
        <f>INDEX(FactorTable!$B$2:$Y$301, MATCH(ROUND(MIN(300,MAX(1,D1427)),0), FactorTable!$A$2:$A$301,0), Skills!M20+1)</f>
        <v/>
      </c>
      <c r="F1427">
        <f>IF(Skills!N20=TRUE,(Skills!L20/10)*(E1427/1000),Skills!L20/10)+Skills!O20</f>
        <v/>
      </c>
      <c r="G1427">
        <f>Skills!G20*IF(Skills!H20&gt;0,Skills!I20/Skills!H20,1)</f>
        <v/>
      </c>
      <c r="H1427">
        <f>1-(1-Skills!J20/100)^Skills!K20</f>
        <v/>
      </c>
      <c r="I1427" t="inlineStr">
        <is>
          <t>1</t>
        </is>
      </c>
      <c r="J1427" t="inlineStr"/>
      <c r="K1427" t="inlineStr"/>
      <c r="L1427" t="inlineStr"/>
      <c r="M1427" t="inlineStr"/>
      <c r="N1427" t="inlineStr"/>
      <c r="O1427">
        <f>(1-Summary!$B$55)*T1427+Summary!$B$55*V1427</f>
        <v/>
      </c>
      <c r="P1427">
        <f>IF(B1444=0,0,O1427/B1444)</f>
        <v/>
      </c>
      <c r="Q1427" t="n">
        <v>0</v>
      </c>
      <c r="R1427" t="n">
        <v>0</v>
      </c>
      <c r="S1427">
        <f>IFERROR(O1427/N1427,0)</f>
        <v/>
      </c>
      <c r="T1427" t="n">
        <v>0</v>
      </c>
      <c r="V1427" t="n">
        <v>0</v>
      </c>
    </row>
    <row r="1428">
      <c r="A1428">
        <f>Skills!A21</f>
        <v/>
      </c>
      <c r="B1428">
        <f>Skills!B21</f>
        <v/>
      </c>
      <c r="C1428">
        <f>Inputs!$B$3&gt;=38</f>
        <v/>
      </c>
      <c r="D1428">
        <f>IF(Skills!C21=1,60+Inputs!$B$25+Inputs!$B$29,IF(Skills!C21=2,90+Inputs!$B$26+Inputs!$B$29,IF(Skills!C21=3,120+Inputs!$B$27+Inputs!$B$29,MAX(0,(Inputs!$B$3-100)*3)+Inputs!$B$28+Inputs!$B$29)))</f>
        <v/>
      </c>
      <c r="E1428">
        <f>INDEX(FactorTable!$B$2:$Y$301, MATCH(ROUND(MIN(300,MAX(1,D1428)),0), FactorTable!$A$2:$A$301,0), Skills!M21+1)</f>
        <v/>
      </c>
      <c r="F1428">
        <f>IF(Skills!N21=TRUE,(Skills!L21/10)*(E1428/1000),Skills!L21/10)+Skills!O21</f>
        <v/>
      </c>
      <c r="G1428">
        <f>Skills!G21*IF(Skills!H21&gt;0,Skills!I21/Skills!H21,1)</f>
        <v/>
      </c>
      <c r="H1428">
        <f>1-(1-Skills!J21/100)^Skills!K21</f>
        <v/>
      </c>
      <c r="I1428" t="inlineStr">
        <is>
          <t>1</t>
        </is>
      </c>
      <c r="J1428" t="inlineStr"/>
      <c r="K1428" t="inlineStr"/>
      <c r="L1428" t="inlineStr"/>
      <c r="M1428" t="inlineStr"/>
      <c r="N1428" t="inlineStr"/>
      <c r="O1428">
        <f>(1-Summary!$B$55)*T1428+Summary!$B$55*V1428</f>
        <v/>
      </c>
      <c r="P1428">
        <f>IF(B1444=0,0,O1428/B1444)</f>
        <v/>
      </c>
      <c r="Q1428" t="n">
        <v>0</v>
      </c>
      <c r="R1428" t="n">
        <v>0</v>
      </c>
      <c r="S1428">
        <f>IFERROR(O1428/N1428,0)</f>
        <v/>
      </c>
      <c r="T1428" t="n">
        <v>0</v>
      </c>
      <c r="V1428" t="n">
        <v>0</v>
      </c>
    </row>
    <row r="1429">
      <c r="A1429">
        <f>Skills!A22</f>
        <v/>
      </c>
      <c r="B1429">
        <f>Skills!B22</f>
        <v/>
      </c>
      <c r="C1429">
        <f>Inputs!$B$3&gt;=43</f>
        <v/>
      </c>
      <c r="D1429">
        <f>IF(Skills!C22=1,60+Inputs!$B$25+Inputs!$B$29,IF(Skills!C22=2,90+Inputs!$B$26+Inputs!$B$29,IF(Skills!C22=3,120+Inputs!$B$27+Inputs!$B$29,MAX(0,(Inputs!$B$3-100)*3)+Inputs!$B$28+Inputs!$B$29)))</f>
        <v/>
      </c>
      <c r="E1429">
        <f>INDEX(FactorTable!$B$2:$Y$301, MATCH(ROUND(MIN(300,MAX(1,D1429)),0), FactorTable!$A$2:$A$301,0), Skills!M22+1)</f>
        <v/>
      </c>
      <c r="F1429">
        <f>IF(Skills!N22=TRUE,(Skills!L22/10)*(E1429/1000),Skills!L22/10)+Skills!O22</f>
        <v/>
      </c>
      <c r="G1429">
        <f>Skills!G22*IF(Skills!H22&gt;0,Skills!I22/Skills!H22,1)</f>
        <v/>
      </c>
      <c r="H1429">
        <f>1-(1-Skills!J22/100)^Skills!K22</f>
        <v/>
      </c>
      <c r="I1429" t="inlineStr">
        <is>
          <t>1</t>
        </is>
      </c>
      <c r="J1429" t="inlineStr"/>
      <c r="K1429" t="inlineStr"/>
      <c r="L1429" t="inlineStr"/>
      <c r="M1429" t="inlineStr"/>
      <c r="N1429" t="inlineStr"/>
      <c r="O1429">
        <f>(1-Summary!$B$55)*T1429+Summary!$B$55*V1429</f>
        <v/>
      </c>
      <c r="P1429">
        <f>IF(B1444=0,0,O1429/B1444)</f>
        <v/>
      </c>
      <c r="Q1429" t="n">
        <v>0</v>
      </c>
      <c r="R1429" t="n">
        <v>0</v>
      </c>
      <c r="S1429">
        <f>IFERROR(O1429/N1429,0)</f>
        <v/>
      </c>
      <c r="T1429" t="n">
        <v>0</v>
      </c>
      <c r="V1429" t="n">
        <v>0</v>
      </c>
    </row>
    <row r="1430">
      <c r="A1430">
        <f>Skills!A23</f>
        <v/>
      </c>
      <c r="B1430">
        <f>Skills!B23</f>
        <v/>
      </c>
      <c r="C1430">
        <f>Inputs!$B$3&gt;=120</f>
        <v/>
      </c>
      <c r="D1430">
        <f>IF(Skills!C23=1,60+Inputs!$B$25+Inputs!$B$29,IF(Skills!C23=2,90+Inputs!$B$26+Inputs!$B$29,IF(Skills!C23=3,120+Inputs!$B$27+Inputs!$B$29,MAX(0,(Inputs!$B$3-100)*3)+Inputs!$B$28+Inputs!$B$29)))</f>
        <v/>
      </c>
      <c r="E1430">
        <f>INDEX(FactorTable!$B$2:$Y$301, MATCH(ROUND(MIN(300,MAX(1,D1430)),0), FactorTable!$A$2:$A$301,0), Skills!M23+1)</f>
        <v/>
      </c>
      <c r="F1430">
        <f>IF(Skills!N23=TRUE,(Skills!L23/10)*(E1430/1000),Skills!L23/10)+Skills!O23</f>
        <v/>
      </c>
      <c r="G1430">
        <f>Skills!G23*IF(Skills!H23&gt;0,Skills!I23/Skills!H23,1)</f>
        <v/>
      </c>
      <c r="H1430">
        <f>1-(1-Skills!J23/100)^Skills!K23</f>
        <v/>
      </c>
      <c r="I1430" t="inlineStr">
        <is>
          <t>1</t>
        </is>
      </c>
      <c r="J1430" t="inlineStr"/>
      <c r="K1430" t="inlineStr"/>
      <c r="L1430" t="inlineStr"/>
      <c r="M1430" t="inlineStr"/>
      <c r="N1430" t="inlineStr"/>
      <c r="O1430">
        <f>(1-Summary!$B$55)*T1430+Summary!$B$55*V1430</f>
        <v/>
      </c>
      <c r="P1430">
        <f>IF(B1444=0,0,O1430/B1444)</f>
        <v/>
      </c>
      <c r="Q1430" t="n">
        <v>0</v>
      </c>
      <c r="R1430" t="n">
        <v>0</v>
      </c>
      <c r="S1430">
        <f>IFERROR(O1430/N1430,0)</f>
        <v/>
      </c>
      <c r="T1430" t="n">
        <v>0</v>
      </c>
      <c r="V1430" t="n">
        <v>0</v>
      </c>
    </row>
    <row r="1431">
      <c r="A1431">
        <f>Skills!A24</f>
        <v/>
      </c>
      <c r="B1431">
        <f>Skills!B24</f>
        <v/>
      </c>
      <c r="C1431">
        <f>Inputs!$B$3&gt;=120</f>
        <v/>
      </c>
      <c r="D1431">
        <f>IF(Skills!C24=1,60+Inputs!$B$25+Inputs!$B$29,IF(Skills!C24=2,90+Inputs!$B$26+Inputs!$B$29,IF(Skills!C24=3,120+Inputs!$B$27+Inputs!$B$29,MAX(0,(Inputs!$B$3-100)*3)+Inputs!$B$28+Inputs!$B$29)))</f>
        <v/>
      </c>
      <c r="E1431">
        <f>INDEX(FactorTable!$B$2:$Y$301, MATCH(ROUND(MIN(300,MAX(1,D1431)),0), FactorTable!$A$2:$A$301,0), Skills!M24+1)</f>
        <v/>
      </c>
      <c r="F1431">
        <f>IF(Skills!N24=TRUE,(Skills!L24/10)*(E1431/1000),Skills!L24/10)+Skills!O24</f>
        <v/>
      </c>
      <c r="G1431">
        <f>Skills!G24*IF(Skills!H24&gt;0,Skills!I24/Skills!H24,1)</f>
        <v/>
      </c>
      <c r="H1431">
        <f>1-(1-Skills!J24/100)^Skills!K24</f>
        <v/>
      </c>
      <c r="I1431" t="inlineStr">
        <is>
          <t>1</t>
        </is>
      </c>
      <c r="J1431" t="inlineStr"/>
      <c r="K1431" t="inlineStr"/>
      <c r="L1431" t="inlineStr"/>
      <c r="M1431" t="inlineStr"/>
      <c r="N1431" t="inlineStr"/>
      <c r="O1431">
        <f>(1-Summary!$B$55)*T1431+Summary!$B$55*V1431</f>
        <v/>
      </c>
      <c r="P1431">
        <f>IF(B1444=0,0,O1431/B1444)</f>
        <v/>
      </c>
      <c r="Q1431" t="n">
        <v>0</v>
      </c>
      <c r="R1431" t="n">
        <v>0</v>
      </c>
      <c r="S1431">
        <f>IFERROR(O1431/N1431,0)</f>
        <v/>
      </c>
      <c r="T1431" t="n">
        <v>0</v>
      </c>
      <c r="V1431" t="n">
        <v>0</v>
      </c>
    </row>
    <row r="1433">
      <c r="A1433" t="inlineStr">
        <is>
          <t>Attack% Bucket Multiplier</t>
        </is>
      </c>
      <c r="B1433">
        <f>(1+(((C1420=TRUE)*F1420*MIN(1,Skills!T13*(Skills!J13/100)*B1438))+((C1425=TRUE)*F1425*IF(AND(Inputs!$B$38&lt;&gt;"pvp",Inputs!$B$43&gt;0),(((R1425-1)*(Skills!T18*(1+Inputs!$B$34/100))+MIN((Skills!T18*(1+Inputs!$B$34/100)),MAX(0,Inputs!$B$43-((R1425-1)*Skills!D18))))/Inputs!$B$43),IF(Inputs!$B$38="pvp",MIN((Skills!T18*(1+Inputs!$B$34/100)),15)/15,(Skills!T18*(1+Inputs!$B$34/100))/Skills!D18)))+0)/100)</f>
        <v/>
      </c>
    </row>
    <row r="1434">
      <c r="A1434" t="inlineStr">
        <is>
          <t>Global Crit Rate Bonus %</t>
        </is>
      </c>
      <c r="B1434" t="n">
        <v>0</v>
      </c>
    </row>
    <row r="1435">
      <c r="A1435" t="inlineStr">
        <is>
          <t>Attack Speed Buff Bonus %</t>
        </is>
      </c>
      <c r="B1435">
        <f>((C1426=TRUE)*F1426*IF(AND(Inputs!$B$38&lt;&gt;"pvp",Inputs!$B$43&gt;0),(((R1426-1)*(Skills!T19*(1+Inputs!$B$34/100))+MIN((Skills!T19*(1+Inputs!$B$34/100)),MAX(0,Inputs!$B$43-((R1426-1)*Skills!D19))))/Inputs!$B$43),IF(Inputs!$B$38="pvp",MIN((Skills!T19*(1+Inputs!$B$34/100)),15)/15,(Skills!T19*(1+Inputs!$B$34/100))/Skills!D19)))</f>
        <v/>
      </c>
    </row>
    <row r="1436">
      <c r="A1436" t="inlineStr">
        <is>
          <t>Actions Per Second</t>
        </is>
      </c>
      <c r="B1436">
        <f>1+MIN(150,150*(1-(1-(Inputs!$B$11+((C1427=TRUE)*(F1427-Calc!F20)))/150)*(1-B1435/150)))/100</f>
        <v/>
      </c>
    </row>
    <row r="1437">
      <c r="A1437" t="inlineStr">
        <is>
          <t>Skill + Buff Cast Rate</t>
        </is>
      </c>
      <c r="B1437">
        <f>IF(AND(Inputs!$B$38&lt;&gt;"pvp",Inputs!$B$43&gt;0),SUMPRODUCT((Skills!E2:E24=TRUE)*(C1409:C1431=TRUE)*R1409:R1431*Skills!F2:F24)/Inputs!$B$43,SUMPRODUCT((Skills!E2:E24=TRUE)*(C1409:C1431=TRUE)*Q1409:Q1431*Skills!F2:F24))</f>
        <v/>
      </c>
    </row>
    <row r="1438">
      <c r="A1438" t="inlineStr">
        <is>
          <t>Blast Casts Per Second</t>
        </is>
      </c>
      <c r="B1438">
        <f>MAX(0,B1436-B1437)</f>
        <v/>
      </c>
    </row>
    <row r="1439">
      <c r="A1439" t="inlineStr">
        <is>
          <t>Global Critical Damage Bonus % (unused)</t>
        </is>
      </c>
      <c r="B1439" t="n">
        <v>0</v>
      </c>
    </row>
    <row r="1440">
      <c r="A1440" t="inlineStr">
        <is>
          <t>Global Final Damage Bonus % (Divine Shield + Guardian + Divine Blessing + Greater Vessel of Light)</t>
        </is>
      </c>
      <c r="B1440">
        <f>((C1422=TRUE)*F1422*IF(AND(Inputs!$B$38&lt;&gt;"pvp",Inputs!$B$43&gt;0),(((R1422-1)*(Skills!T15*(1+Inputs!$B$34/100))+MIN((Skills!T15*(1+Inputs!$B$34/100)),MAX(0,Inputs!$B$43-((R1422-1)*Skills!D15))))/Inputs!$B$43),IF(Inputs!$B$38="pvp",MIN((Skills!T15*(1+Inputs!$B$34/100)),15)/15,(Skills!T15*(1+Inputs!$B$34/100))/Skills!D15)))+((C1423=TRUE)*F1423*IF(AND(Inputs!$B$38&lt;&gt;"pvp",Inputs!$B$43&gt;0),(((R1423-1)*(Skills!T16*(1+Inputs!$B$34/100))+MIN((Skills!T16*(1+Inputs!$B$34/100)),MAX(0,Inputs!$B$43-((R1423-1)*Skills!D16))))/Inputs!$B$43),IF(Inputs!$B$38="pvp",MIN((Skills!T16*(1+Inputs!$B$34/100)),15)/15,(Skills!T16*(1+Inputs!$B$34/100))/Skills!D16)))+((C1424=TRUE)*F1424*IF(AND(Inputs!$B$38&lt;&gt;"pvp",Inputs!$B$43&gt;0),(((R1424-1)*(Skills!T17*(1+Inputs!$B$34/100))+MIN((Skills!T17*(1+Inputs!$B$34/100)),MAX(0,Inputs!$B$43-((R1424-1)*Skills!D17))))/Inputs!$B$43),IF(Inputs!$B$38="pvp",MIN((Skills!T17*(1+Inputs!$B$34/100)),15)/15,(Skills!T17*(1+Inputs!$B$34/100))/Skills!D17)))+((C1421=TRUE)*F1421*MIN(1,Skills!T13*(Skills!J13/100)*B1438))</f>
        <v/>
      </c>
    </row>
    <row r="1441">
      <c r="A1441" t="inlineStr">
        <is>
          <t>Buff-Casting Startup Delay (s, fixed-duration only)</t>
        </is>
      </c>
      <c r="B1441">
        <f>IF(AND(Inputs!$B$38&lt;&gt;"pvp",Inputs!$B$43&gt;0),SUMPRODUCT((Skills!T2:T24&gt;0)*(Skills!E2:E24=TRUE)*(C1409:C1431=TRUE))/B1436,0)</f>
        <v/>
      </c>
    </row>
    <row r="1442">
      <c r="A1442" t="inlineStr">
        <is>
          <t>Boss-Only Total DPS (this block's swept value)</t>
        </is>
      </c>
      <c r="B1442">
        <f>SUM(T1409:T1431)</f>
        <v/>
      </c>
    </row>
    <row r="1443">
      <c r="A1443" t="inlineStr">
        <is>
          <t>Normal-Only Total DPS (this block's swept value)</t>
        </is>
      </c>
      <c r="B1443">
        <f>SUM(V1409:V1431)</f>
        <v/>
      </c>
    </row>
    <row r="1444">
      <c r="A1444" s="5" t="inlineStr">
        <is>
          <t>TOTAL DPS</t>
        </is>
      </c>
      <c r="B1444" s="5">
        <f>SUM(O1409:O1431)</f>
        <v/>
      </c>
    </row>
    <row r="1447">
      <c r="A1447" s="5" t="inlineStr">
        <is>
          <t>Stat: CDR = 5.0s</t>
        </is>
      </c>
    </row>
    <row r="1448">
      <c r="A1448" s="9" t="inlineStr">
        <is>
          <t>Key</t>
        </is>
      </c>
      <c r="B1448" s="9" t="inlineStr">
        <is>
          <t>Name</t>
        </is>
      </c>
      <c r="C1448" s="9" t="inlineStr">
        <is>
          <t>Unlocked</t>
        </is>
      </c>
      <c r="D1448" s="9" t="inlineStr">
        <is>
          <t>InputLevel</t>
        </is>
      </c>
      <c r="E1448" s="9" t="inlineStr">
        <is>
          <t>Factor</t>
        </is>
      </c>
      <c r="F1448" s="9" t="inlineStr">
        <is>
          <t>CoefficientPercent</t>
        </is>
      </c>
      <c r="G1448" s="9" t="inlineStr">
        <is>
          <t>EffectiveHits</t>
        </is>
      </c>
      <c r="H1448" s="9" t="inlineStr">
        <is>
          <t>ProcProbability</t>
        </is>
      </c>
      <c r="I1448" s="9" t="inlineStr">
        <is>
          <t>MapleHeroMultiplier</t>
        </is>
      </c>
      <c r="J1448" s="9" t="inlineStr">
        <is>
          <t>BaseDamage</t>
        </is>
      </c>
      <c r="K1448" s="9" t="inlineStr">
        <is>
          <t>BaseHitDamage</t>
        </is>
      </c>
      <c r="L1448" s="9" t="inlineStr">
        <is>
          <t>NonCritAvg</t>
        </is>
      </c>
      <c r="M1448" s="9" t="inlineStr">
        <is>
          <t>CritAvg</t>
        </is>
      </c>
      <c r="N1448" s="9" t="inlineStr">
        <is>
          <t>ExpectedDamage(perHit)</t>
        </is>
      </c>
      <c r="O1448" s="9" t="inlineStr">
        <is>
          <t>DPS</t>
        </is>
      </c>
      <c r="P1448" s="9" t="inlineStr">
        <is>
          <t>% of Total</t>
        </is>
      </c>
      <c r="Q1448" s="9" t="inlineStr">
        <is>
          <t>InvCooldown</t>
        </is>
      </c>
      <c r="R1448" s="9" t="inlineStr">
        <is>
          <t>CastsInFight</t>
        </is>
      </c>
      <c r="S1448" s="9"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$42*(1-(Inputs!$B$19+0)/100)))*(1+(Inputs!$B$24+0+B1480)/100)*(1+(IF(Skills!A2="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1449)</f>
        <v/>
      </c>
      <c r="L1449">
        <f>K1449*(MIN(Inputs!$B$22+((C1469=TRUE)*(F1469-Calc!F22)),Inputs!$B$23+((C1471=TRUE)*(F1471-Calc!F24)))/100+(Inputs!$B$23+((C1471=TRUE)*(F1471-Calc!F24)))/100)/2</f>
        <v/>
      </c>
      <c r="M1449">
        <f>L1449*(1+(Inputs!$B$10+0+B1479)/100)</f>
        <v/>
      </c>
      <c r="N1449">
        <f>L1449*(1-MIN((Inputs!$B$9+0+B1474),100)/100)+M1449*(MIN((Inputs!$B$9+0+B1474),100)/100)</f>
        <v/>
      </c>
      <c r="O1449">
        <f>(1-Summary!$B$55)*T1449+Summary!$B$55*V1449</f>
        <v/>
      </c>
      <c r="P1449">
        <f>IF(B1484=0,0,O1449/B1484)</f>
        <v/>
      </c>
      <c r="Q1449" t="n">
        <v>0</v>
      </c>
      <c r="R1449" t="n">
        <v>0</v>
      </c>
      <c r="S1449">
        <f>IFERROR(O1449/N1449,0)</f>
        <v/>
      </c>
      <c r="T1449">
        <f>IF(C1449,(Skills!G2*N1449*B1478)*IF(Inputs!$B$38="pvp",1,1+(Inputs!$B$20+0+Skills!P2)/100),0)</f>
        <v/>
      </c>
      <c r="U1449">
        <f>MAX(0,(Inputs!$B$3-100)*3)+Inputs!$B$28+Inputs!$B$29</f>
        <v/>
      </c>
      <c r="V1449">
        <f>IF(C1449,(Skills!G2*N1449*B1478)*IF(Inputs!$B$38="pvp",1,(1+(Inputs!$B$21+Skills!Q2)/100)*(MIN((6+Inputs!$B$33),Inputs!$B$37))),0)</f>
        <v/>
      </c>
    </row>
    <row r="1450">
      <c r="A1450">
        <f>Skills!A3</f>
        <v/>
      </c>
      <c r="B1450">
        <f>Skills!B3</f>
        <v/>
      </c>
      <c r="C1450">
        <f>Inputs!$B$3&gt;=50</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t="inlineStr"/>
      <c r="H1450" t="inlineStr"/>
      <c r="I1450" t="inlineStr">
        <is>
          <t>1</t>
        </is>
      </c>
      <c r="J1450" t="inlineStr"/>
      <c r="K1450" t="inlineStr"/>
      <c r="L1450" t="inlineStr"/>
      <c r="M1450" t="inlineStr"/>
      <c r="N1450" t="inlineStr"/>
      <c r="O1450" t="inlineStr"/>
      <c r="P1450" t="inlineStr"/>
      <c r="Q1450" t="inlineStr"/>
      <c r="R1450" t="inlineStr"/>
      <c r="S1450" t="inlineStr"/>
      <c r="U1450">
        <f>INDEX(FactorTable!$B$2:$Y$301, MATCH(ROUND(MIN(300,MAX(1,U1449)),0), FactorTable!$A$2:$A$301,0), 22)</f>
        <v/>
      </c>
    </row>
    <row r="1451">
      <c r="A1451">
        <f>Skills!A4</f>
        <v/>
      </c>
      <c r="B1451">
        <f>Skills!B4</f>
        <v/>
      </c>
      <c r="C1451">
        <f>Inputs!$B$3&gt;=35</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Skills!G4*IF(Skills!H4&gt;0,Skills!I4/Skills!H4,1)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$42*(1-(Inputs!$B$19+0)/100)))*(1+(Inputs!$B$24+0+B1480)/100)*(1+4.0*IF(C1459=TRUE,F1459,0)/100)*(1+(IF(Skills!A4="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1451)</f>
        <v/>
      </c>
      <c r="L1451">
        <f>K1451*(MIN(Inputs!$B$22+((C1469=TRUE)*(F1469-Calc!F22)),Inputs!$B$23+((C1471=TRUE)*(F1471-Calc!F24)))/100+(Inputs!$B$23+((C1471=TRUE)*(F1471-Calc!F24)))/100)/2</f>
        <v/>
      </c>
      <c r="M1451">
        <f>L1451*(1+(Inputs!$B$10+0+B1479)/100)</f>
        <v/>
      </c>
      <c r="N1451">
        <f>L1451*(1-MIN((Inputs!$B$9+0+B1474),100)/100)+M1451*(MIN((Inputs!$B$9+0+B1474),100)/100)</f>
        <v/>
      </c>
      <c r="O1451">
        <f>(1-Summary!$B$55)*T1451+Summary!$B$55*V1451</f>
        <v/>
      </c>
      <c r="P1451">
        <f>IF(B1484=0,0,O1451/B1484)</f>
        <v/>
      </c>
      <c r="Q1451">
        <f>IFERROR(1/IF(Inputs!$B$38="pvp",15,MAX(0.1,Skills!D4-IF(Skills!E4=TRUE,5.0,0))),0)</f>
        <v/>
      </c>
      <c r="R1451">
        <f>IF(AND(Inputs!$B$38&lt;&gt;"pvp",Inputs!$B$43&gt;0),IF(MAX(0,Inputs!$B$43-B1481)&lt;=0,0,(INT(MAX(0,Inputs!$B$43-B1481)/IF(Inputs!$B$38="pvp",15,MAX(0.1,Skills!D4-IF(Skills!E4=TRUE,5.0,0))))+1)),0)</f>
        <v/>
      </c>
      <c r="S1451">
        <f>IFERROR(O1451/N1451,0)</f>
        <v/>
      </c>
      <c r="T1451">
        <f>IF(C1451,(H1451*N1451*IF(AND(Inputs!$B$38&lt;&gt;"pvp",Inputs!$B$43&gt;0),((Skills!G4*((R1451-1)*IF(Skills!H4&gt;0,Skills!I4/Skills!H4,1)+IF(Skills!H4&gt;0,MIN(Skills!I4,MAX(0,MAX(0,Inputs!$B$43-B1481)-((R1451-1)*IF(Inputs!$B$38="pvp",15,MAX(0.1,Skills!D4-IF(Skills!E4=TRUE,5.0,0))))))/Skills!H4,1)))/Inputs!$B$43),G1451*Q1451))*IF(Inputs!$B$38="pvp",1,1+(Inputs!$B$20+0+Skills!P4)/100),0)</f>
        <v/>
      </c>
      <c r="U1451">
        <f>290*U1450/1000</f>
        <v/>
      </c>
      <c r="V1451">
        <f>IF(C1451,(H1451*N1451*IF(AND(Inputs!$B$38&lt;&gt;"pvp",Inputs!$B$43&gt;0),((Skills!G4*((R1451-1)*IF(Skills!H4&gt;0,Skills!I4/Skills!H4,1)+IF(Skills!H4&gt;0,MIN(Skills!I4,MAX(0,MAX(0,Inputs!$B$43-B1481)-((R1451-1)*IF(Inputs!$B$38="pvp",15,MAX(0.1,Skills!D4-IF(Skills!E4=TRUE,5.0,0))))))/Skills!H4,1)))/Inputs!$B$43),G1451*Q1451))*IF(Inputs!$B$38="pvp",1,(1+(Inputs!$B$21+Skills!Q4)/100)*(MIN(Skills!R4,Inputs!$B$37))),0)</f>
        <v/>
      </c>
    </row>
    <row r="1452">
      <c r="A1452">
        <f>Skills!A5</f>
        <v/>
      </c>
      <c r="B1452">
        <f>Skills!B5</f>
        <v/>
      </c>
      <c r="C1452">
        <f>Inputs!$B$3&gt;=66</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f>((Inputs!$B$6*(1+Inputs!$B$7/100))+(((Inputs!$B$12*(1+Inputs!$B$13/100))-(Inputs!$B$12*(1+Inputs!$B$13/100)))+0.25*(Inputs!$B$14-Inputs!$B$14))*(1+Inputs!$B$7/100))*(F1452/100)</f>
        <v/>
      </c>
      <c r="K1452">
        <f>J1452*(1+((Inputs!$B$12*(1+Inputs!$B$13/100))*0.01+Inputs!$B$14*0.0025)/100)*(1+Inputs!$B$15/100)*(1+Inputs!$B$16/100)*(5000/(6000+Inputs!$B$42*(1-(Inputs!$B$19+0)/100)))*(1+(Inputs!$B$24+0+B1480)/100)*(1+1.0*IF(C1459=TRUE,F1459,0)/100)*(1+(IF(Skills!A5="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1452)</f>
        <v/>
      </c>
      <c r="L1452">
        <f>K1452*(MIN(Inputs!$B$22+((C1469=TRUE)*(F1469-Calc!F22)),Inputs!$B$23+((C1471=TRUE)*(F1471-Calc!F24)))/100+(Inputs!$B$23+((C1471=TRUE)*(F1471-Calc!F24)))/100)/2</f>
        <v/>
      </c>
      <c r="M1452">
        <f>L1452*(1+(Inputs!$B$10+0+B1479)/100)</f>
        <v/>
      </c>
      <c r="N1452">
        <f>L1452*(1-MIN((Inputs!$B$9+0+B1474),100)/100)+M1452*(MIN((Inputs!$B$9+0+B1474),100)/100)</f>
        <v/>
      </c>
      <c r="O1452">
        <f>(1-Summary!$B$55)*T1452+Summary!$B$55*V1452</f>
        <v/>
      </c>
      <c r="P1452">
        <f>IF(B1484=0,0,O1452/B1484)</f>
        <v/>
      </c>
      <c r="Q1452">
        <f>IFERROR(1/IF(Inputs!$B$38="pvp",15,MAX(0.1,Skills!D5-IF(Skills!E5=TRUE,5.0,0))),0)</f>
        <v/>
      </c>
      <c r="R1452">
        <f>IF(AND(Inputs!$B$38&lt;&gt;"pvp",Inputs!$B$43&gt;0),IF(MAX(0,Inputs!$B$43-B1481)&lt;=0,0,(INT(MAX(0,Inputs!$B$43-B1481)/IF(Inputs!$B$38="pvp",15,MAX(0.1,Skills!D5-IF(Skills!E5=TRUE,5.0,0))))+1)),0)</f>
        <v/>
      </c>
      <c r="S1452">
        <f>IFERROR(O1452/N1452,0)</f>
        <v/>
      </c>
      <c r="T1452">
        <f>IF(C1452,(H1452*N1452*IF(AND(Inputs!$B$38&lt;&gt;"pvp",Inputs!$B$43&gt;0),((Skills!G5*((R1452-1)*IF(Skills!H5&gt;0,Skills!I5/Skills!H5,1)+IF(Skills!H5&gt;0,MIN(Skills!I5,MAX(0,MAX(0,Inputs!$B$43-B1481)-((R1452-1)*IF(Inputs!$B$38="pvp",15,MAX(0.1,Skills!D5-IF(Skills!E5=TRUE,5.0,0))))))/Skills!H5,1)))/Inputs!$B$43),G1452*Q1452))*IF(Inputs!$B$38="pvp",1,1+(Inputs!$B$20+0+Skills!P5)/100),0)</f>
        <v/>
      </c>
      <c r="V1452">
        <f>IF(C1452,(H1452*N1452*IF(AND(Inputs!$B$38&lt;&gt;"pvp",Inputs!$B$43&gt;0),((Skills!G5*((R1452-1)*IF(Skills!H5&gt;0,Skills!I5/Skills!H5,1)+IF(Skills!H5&gt;0,MIN(Skills!I5,MAX(0,MAX(0,Inputs!$B$43-B1481)-((R1452-1)*IF(Inputs!$B$38="pvp",15,MAX(0.1,Skills!D5-IF(Skills!E5=TRUE,5.0,0))))))/Skills!H5,1)))/Inputs!$B$43),G1452*Q1452))*IF(Inputs!$B$38="pvp",1,(1+(Inputs!$B$21+Skills!Q5)/100)*(MIN(Skills!R5,Inputs!$B$37))),0)</f>
        <v/>
      </c>
    </row>
    <row r="1453">
      <c r="A1453">
        <f>Skills!A6</f>
        <v/>
      </c>
      <c r="B1453">
        <f>Skills!B6</f>
        <v/>
      </c>
      <c r="C1453">
        <f>Inputs!$B$3&gt;=103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$42*(1-(Inputs!$B$19+0)/100)))*(1+(Inputs!$B$24+0+B1480)/100)*(1+(IF(Skills!A6="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1453)</f>
        <v/>
      </c>
      <c r="L1453">
        <f>K1453*(MIN(Inputs!$B$22+((C1469=TRUE)*(F1469-Calc!F22)),Inputs!$B$23+((C1471=TRUE)*(F1471-Calc!F24)))/100+(Inputs!$B$23+((C1471=TRUE)*(F1471-Calc!F24)))/100)/2</f>
        <v/>
      </c>
      <c r="M1453">
        <f>L1453*(1+(Inputs!$B$10+0+B1479)/100)</f>
        <v/>
      </c>
      <c r="N1453">
        <f>L1453*(1-MIN((Inputs!$B$9+0+B1474),100)/100)+M1453*(MIN((Inputs!$B$9+0+B1474),100)/100)</f>
        <v/>
      </c>
      <c r="O1453">
        <f>(1-Summary!$B$55)*T1453+Summary!$B$55*V1453</f>
        <v/>
      </c>
      <c r="P1453">
        <f>IF(B1484=0,0,O1453/B1484)</f>
        <v/>
      </c>
      <c r="Q1453">
        <f>IFERROR(1/IF(Inputs!$B$38="pvp",15,MAX(0.1,Skills!D6-IF(Skills!E6=TRUE,5.0,0))),0)</f>
        <v/>
      </c>
      <c r="R1453">
        <f>IF(AND(Inputs!$B$38&lt;&gt;"pvp",Inputs!$B$43&gt;0),IF(MAX(0,Inputs!$B$43-B1481)&lt;=0,0,(INT(MAX(0,Inputs!$B$43-B1481)/IF(Inputs!$B$38="pvp",15,MAX(0.1,Skills!D6-IF(Skills!E6=TRUE,5.0,0))))+1)),0)</f>
        <v/>
      </c>
      <c r="S1453">
        <f>IFERROR(O1453/N1453,0)</f>
        <v/>
      </c>
      <c r="T1453">
        <f>IF(C1453,(H1453*N1453*IF(AND(Inputs!$B$38&lt;&gt;"pvp",Inputs!$B$43&gt;0),((Skills!G6*((R1453-1)*IF(Skills!H6&gt;0,Skills!I6/Skills!H6,1)+IF(Skills!H6&gt;0,MIN(Skills!I6,MAX(0,MAX(0,Inputs!$B$43-B1481)-((R1453-1)*IF(Inputs!$B$38="pvp",15,MAX(0.1,Skills!D6-IF(Skills!E6=TRUE,5.0,0))))))/Skills!H6,1)))/Inputs!$B$43),G1453*Q1453))*IF(Inputs!$B$38="pvp",1,1+(Inputs!$B$20+0+Skills!P6)/100),0)</f>
        <v/>
      </c>
      <c r="V1453">
        <f>IF(C1453,(H1453*N1453*IF(AND(Inputs!$B$38&lt;&gt;"pvp",Inputs!$B$43&gt;0),((Skills!G6*((R1453-1)*IF(Skills!H6&gt;0,Skills!I6/Skills!H6,1)+IF(Skills!H6&gt;0,MIN(Skills!I6,MAX(0,MAX(0,Inputs!$B$43-B1481)-((R1453-1)*IF(Inputs!$B$38="pvp",15,MAX(0.1,Skills!D6-IF(Skills!E6=TRUE,5.0,0))))))/Skills!H6,1)))/Inputs!$B$43),G1453*Q1453))*IF(Inputs!$B$38="pvp",1,(1+(Inputs!$B$21+Skills!Q6)/100)*(MIN(Skills!R6,Inputs!$B$37))),0)</f>
        <v/>
      </c>
    </row>
    <row r="1454">
      <c r="A1454">
        <f>Skills!A7</f>
        <v/>
      </c>
      <c r="B1454">
        <f>Skills!B7</f>
        <v/>
      </c>
      <c r="C1454">
        <f>Inputs!$B$3&gt;=107</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$42*(1-(Inputs!$B$19+0)/100)))*(1+(Inputs!$B$24+0+B1480)/100)*(1+(IF(Skills!A7="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1454)</f>
        <v/>
      </c>
      <c r="L1454">
        <f>K1454*(MIN(Inputs!$B$22+((C1469=TRUE)*(F1469-Calc!F22)),Inputs!$B$23+((C1471=TRUE)*(F1471-Calc!F24)))/100+(Inputs!$B$23+((C1471=TRUE)*(F1471-Calc!F24)))/100)/2</f>
        <v/>
      </c>
      <c r="M1454">
        <f>L1454*(1+(Inputs!$B$10+0+B1479)/100)</f>
        <v/>
      </c>
      <c r="N1454">
        <f>L1454*(1-MIN((Inputs!$B$9+0+B1474),100)/100)+M1454*(MIN((Inputs!$B$9+0+B1474),100)/100)</f>
        <v/>
      </c>
      <c r="O1454">
        <f>(1-Summary!$B$55)*T1454+Summary!$B$55*V1454</f>
        <v/>
      </c>
      <c r="P1454">
        <f>IF(B1484=0,0,O1454/B1484)</f>
        <v/>
      </c>
      <c r="Q1454">
        <f>IFERROR(1/IF(Inputs!$B$38="pvp",15,MAX(0.1,Skills!D7-IF(Skills!E7=TRUE,5.0,0))),0)</f>
        <v/>
      </c>
      <c r="R1454">
        <f>IF(AND(Inputs!$B$38&lt;&gt;"pvp",Inputs!$B$43&gt;0),IF(MAX(0,Inputs!$B$43-B1481)&lt;=0,0,(INT(MAX(0,Inputs!$B$43-B1481)/IF(Inputs!$B$38="pvp",15,MAX(0.1,Skills!D7-IF(Skills!E7=TRUE,5.0,0))))+1)),0)</f>
        <v/>
      </c>
      <c r="S1454">
        <f>IFERROR(O1454/N1454,0)</f>
        <v/>
      </c>
      <c r="T1454">
        <f>IF(C1454,(H1454*N1454*IF(AND(Inputs!$B$38&lt;&gt;"pvp",Inputs!$B$43&gt;0),((Skills!G7*((R1454-1)*IF(Skills!H7&gt;0,Skills!I7/Skills!H7,1)+IF(Skills!H7&gt;0,MIN(Skills!I7,MAX(0,MAX(0,Inputs!$B$43-B1481)-((R1454-1)*IF(Inputs!$B$38="pvp",15,MAX(0.1,Skills!D7-IF(Skills!E7=TRUE,5.0,0))))))/Skills!H7,1)))/Inputs!$B$43),G1454*Q1454))*IF(Inputs!$B$38="pvp",1,1+(Inputs!$B$20+0+Skills!P7)/100),0)</f>
        <v/>
      </c>
      <c r="V1454">
        <f>IF(C1454,(H1454*N1454*IF(AND(Inputs!$B$38&lt;&gt;"pvp",Inputs!$B$43&gt;0),((Skills!G7*((R1454-1)*IF(Skills!H7&gt;0,Skills!I7/Skills!H7,1)+IF(Skills!H7&gt;0,MIN(Skills!I7,MAX(0,MAX(0,Inputs!$B$43-B1481)-((R1454-1)*IF(Inputs!$B$38="pvp",15,MAX(0.1,Skills!D7-IF(Skills!E7=TRUE,5.0,0))))))/Skills!H7,1)))/Inputs!$B$43),G1454*Q1454))*IF(Inputs!$B$38="pvp",1,(1+(Inputs!$B$21+Skills!Q7)/100)*(MIN(Skills!R7,Inputs!$B$37))),0)</f>
        <v/>
      </c>
    </row>
    <row r="1455">
      <c r="A1455">
        <f>Skills!A8</f>
        <v/>
      </c>
      <c r="B1455">
        <f>Skills!B8</f>
        <v/>
      </c>
      <c r="C1455">
        <f>Inputs!$B$3&gt;=107</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f>((Inputs!$B$6*(1+Inputs!$B$7/100))+(((Inputs!$B$12*(1+Inputs!$B$13/100))-(Inputs!$B$12*(1+Inputs!$B$13/100)))+0.25*(Inputs!$B$14-Inputs!$B$14))*(1+Inputs!$B$7/100))*(F1455/100)</f>
        <v/>
      </c>
      <c r="K1455">
        <f>J1455*(1+((Inputs!$B$12*(1+Inputs!$B$13/100))*0.01+Inputs!$B$14*0.0025)/100)*(1+Inputs!$B$15/100)*(1+Inputs!$B$16/100)*(5000/(6000+Inputs!$B$42*(1-(Inputs!$B$19+0)/100)))*(1+(Inputs!$B$24+0+B1480)/100)*(1+(IF(Skills!A8="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1455)</f>
        <v/>
      </c>
      <c r="L1455">
        <f>K1455*(MIN(Inputs!$B$22+((C1469=TRUE)*(F1469-Calc!F22)),Inputs!$B$23+((C1471=TRUE)*(F1471-Calc!F24)))/100+(Inputs!$B$23+((C1471=TRUE)*(F1471-Calc!F24)))/100)/2</f>
        <v/>
      </c>
      <c r="M1455">
        <f>L1455*(1+(Inputs!$B$10+0+B1479)/100)</f>
        <v/>
      </c>
      <c r="N1455">
        <f>L1455*(1-MIN((Inputs!$B$9+0+B1474),100)/100)+M1455*(MIN((Inputs!$B$9+0+B1474),100)/100)</f>
        <v/>
      </c>
      <c r="O1455">
        <f>(1-Summary!$B$55)*T1455+Summary!$B$55*V1455</f>
        <v/>
      </c>
      <c r="P1455">
        <f>IF(B1484=0,0,O1455/B1484)</f>
        <v/>
      </c>
      <c r="Q1455">
        <f>IFERROR(1/IF(Inputs!$B$38="pvp",15,MAX(0.1,Skills!D8-IF(Skills!E8=TRUE,5.0,0))),0)</f>
        <v/>
      </c>
      <c r="R1455">
        <f>IF(AND(Inputs!$B$38&lt;&gt;"pvp",Inputs!$B$43&gt;0),IF(MAX(0,Inputs!$B$43-B1481)&lt;=0,0,(INT(MAX(0,Inputs!$B$43-B1481)/IF(Inputs!$B$38="pvp",15,MAX(0.1,Skills!D8-IF(Skills!E8=TRUE,5.0,0))))+1)),0)</f>
        <v/>
      </c>
      <c r="S1455">
        <f>IFERROR(O1455/N1455,0)</f>
        <v/>
      </c>
      <c r="T1455">
        <f>IF(C1455,(H1455*N1455*IF(AND(Inputs!$B$38&lt;&gt;"pvp",Inputs!$B$43&gt;0),((Skills!G8*((R1455-1)*IF(Skills!H8&gt;0,Skills!I8/Skills!H8,1)+IF(Skills!H8&gt;0,MIN(Skills!I8,MAX(0,MAX(0,Inputs!$B$43-B1481)-((R1455-1)*IF(Inputs!$B$38="pvp",15,MAX(0.1,Skills!D8-IF(Skills!E8=TRUE,5.0,0))))))/Skills!H8,1)))/Inputs!$B$43),G1455*Q1455))*IF(Inputs!$B$38="pvp",1,1+(Inputs!$B$20+0+Skills!P8)/100),0)</f>
        <v/>
      </c>
      <c r="V1455">
        <f>IF(C1455,(H1455*N1455*IF(AND(Inputs!$B$38&lt;&gt;"pvp",Inputs!$B$43&gt;0),((Skills!G8*((R1455-1)*IF(Skills!H8&gt;0,Skills!I8/Skills!H8,1)+IF(Skills!H8&gt;0,MIN(Skills!I8,MAX(0,MAX(0,Inputs!$B$43-B1481)-((R1455-1)*IF(Inputs!$B$38="pvp",15,MAX(0.1,Skills!D8-IF(Skills!E8=TRUE,5.0,0))))))/Skills!H8,1)))/Inputs!$B$43),G1455*Q1455))*IF(Inputs!$B$38="pvp",1,(1+(Inputs!$B$21+Skills!Q8)/100)*(MIN(Skills!R8,Inputs!$B$37))),0)</f>
        <v/>
      </c>
    </row>
    <row r="1456">
      <c r="A1456">
        <f>Skills!A9</f>
        <v/>
      </c>
      <c r="B1456">
        <f>Skills!B9</f>
        <v/>
      </c>
      <c r="C1456">
        <f>Inputs!$B$3&gt;=125</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$42*(1-(Inputs!$B$19+0)/100)))*(1+(Inputs!$B$24+0+B1480)/100)*(1+(IF(Skills!A9="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1456)</f>
        <v/>
      </c>
      <c r="L1456">
        <f>K1456*(MIN(Inputs!$B$22+((C1469=TRUE)*(F1469-Calc!F22)),Inputs!$B$23+((C1471=TRUE)*(F1471-Calc!F24)))/100+(Inputs!$B$23+((C1471=TRUE)*(F1471-Calc!F24)))/100)/2</f>
        <v/>
      </c>
      <c r="M1456">
        <f>L1456*(1+(Inputs!$B$10+0+B1479)/100)</f>
        <v/>
      </c>
      <c r="N1456">
        <f>L1456*(1-MIN((Inputs!$B$9+0+B1474),100)/100)+M1456*(MIN((Inputs!$B$9+0+B1474),100)/100)</f>
        <v/>
      </c>
      <c r="O1456">
        <f>(1-Summary!$B$55)*T1456+Summary!$B$55*V1456</f>
        <v/>
      </c>
      <c r="P1456">
        <f>IF(B1484=0,0,O1456/B1484)</f>
        <v/>
      </c>
      <c r="Q1456">
        <f>IFERROR(1/IF(Inputs!$B$38="pvp",15,MAX(0.1,Skills!D9-IF(Skills!E9=TRUE,5.0,0))),0)</f>
        <v/>
      </c>
      <c r="R1456">
        <f>IF(AND(Inputs!$B$38&lt;&gt;"pvp",Inputs!$B$43&gt;0),IF(MAX(0,Inputs!$B$43-B1481)&lt;=0,0,(INT(MAX(0,Inputs!$B$43-B1481)/IF(Inputs!$B$38="pvp",15,MAX(0.1,Skills!D9-IF(Skills!E9=TRUE,5.0,0))))+1)),0)</f>
        <v/>
      </c>
      <c r="S1456">
        <f>IFERROR(O1456/N1456,0)</f>
        <v/>
      </c>
      <c r="T1456">
        <f>IF(C1456,(H1456*N1456*IF(AND(Inputs!$B$38&lt;&gt;"pvp",Inputs!$B$43&gt;0),((Skills!G9*((R1456-1)*IF(Skills!H9&gt;0,Skills!I9/Skills!H9,1)+IF(Skills!H9&gt;0,MIN(Skills!I9,MAX(0,MAX(0,Inputs!$B$43-B1481)-((R1456-1)*IF(Inputs!$B$38="pvp",15,MAX(0.1,Skills!D9-IF(Skills!E9=TRUE,5.0,0))))))/Skills!H9,1)))/Inputs!$B$43),G1456*Q1456))*IF(Inputs!$B$38="pvp",1,1+(Inputs!$B$20+0+Skills!P9)/100),0)</f>
        <v/>
      </c>
      <c r="V1456">
        <f>IF(C1456,(H1456*N1456*IF(AND(Inputs!$B$38&lt;&gt;"pvp",Inputs!$B$43&gt;0),((Skills!G9*((R1456-1)*IF(Skills!H9&gt;0,Skills!I9/Skills!H9,1)+IF(Skills!H9&gt;0,MIN(Skills!I9,MAX(0,MAX(0,Inputs!$B$43-B1481)-((R1456-1)*IF(Inputs!$B$38="pvp",15,MAX(0.1,Skills!D9-IF(Skills!E9=TRUE,5.0,0))))))/Skills!H9,1)))/Inputs!$B$43),G1456*Q1456))*IF(Inputs!$B$38="pvp",1,(1+(Inputs!$B$21+Skills!Q9)/100)*(MIN(Skills!R9,Inputs!$B$37))),0)</f>
        <v/>
      </c>
    </row>
    <row r="1457">
      <c r="A1457">
        <f>Skills!A10</f>
        <v/>
      </c>
      <c r="B1457">
        <f>Skills!B10</f>
        <v/>
      </c>
      <c r="C1457">
        <f>Inputs!$B$3&gt;=117</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$42*(1-(Inputs!$B$19+0)/100)))*(1+(Inputs!$B$24+0+B1480)/100)*(1+(IF(Skills!A10="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1457)</f>
        <v/>
      </c>
      <c r="L1457">
        <f>K1457*(MIN(Inputs!$B$22+((C1469=TRUE)*(F1469-Calc!F22)),Inputs!$B$23+((C1471=TRUE)*(F1471-Calc!F24)))/100+(Inputs!$B$23+((C1471=TRUE)*(F1471-Calc!F24)))/100)/2</f>
        <v/>
      </c>
      <c r="M1457">
        <f>L1457*(1+(Inputs!$B$10+0+B1479)/100)</f>
        <v/>
      </c>
      <c r="N1457">
        <f>L1457*(1-MIN((Inputs!$B$9+0+B1474),100)/100)+M1457*(MIN((Inputs!$B$9+0+B1474),100)/100)</f>
        <v/>
      </c>
      <c r="O1457">
        <f>(1-Summary!$B$55)*T1457+Summary!$B$55*V1457</f>
        <v/>
      </c>
      <c r="P1457">
        <f>IF(B1484=0,0,O1457/B1484)</f>
        <v/>
      </c>
      <c r="Q1457">
        <f>IFERROR(1/IF(Inputs!$B$38="pvp",15,MAX(0.1,Skills!D10-IF(Skills!E10=TRUE,5.0,0))),0)</f>
        <v/>
      </c>
      <c r="R1457">
        <f>IF(AND(Inputs!$B$38&lt;&gt;"pvp",Inputs!$B$43&gt;0),IF(MAX(0,Inputs!$B$43-B1481)&lt;=0,0,(INT(MAX(0,Inputs!$B$43-B1481)/IF(Inputs!$B$38="pvp",15,MAX(0.1,Skills!D10-IF(Skills!E10=TRUE,5.0,0))))+1)),0)</f>
        <v/>
      </c>
      <c r="S1457">
        <f>IFERROR(O1457/N1457,0)</f>
        <v/>
      </c>
      <c r="T1457">
        <f>IF(C1457,(H1457*N1457*IF(AND(Inputs!$B$38&lt;&gt;"pvp",Inputs!$B$43&gt;0),((Skills!G10*((R1457-1)*IF(Skills!H10&gt;0,Skills!I10/Skills!H10,1)+IF(Skills!H10&gt;0,MIN(Skills!I10,MAX(0,MAX(0,Inputs!$B$43-B1481)-((R1457-1)*IF(Inputs!$B$38="pvp",15,MAX(0.1,Skills!D10-IF(Skills!E10=TRUE,5.0,0))))))/Skills!H10,1)))/Inputs!$B$43),G1457*Q1457))*IF(Inputs!$B$38="pvp",1,1+(Inputs!$B$20+0+Skills!P10)/100),0)</f>
        <v/>
      </c>
      <c r="V1457">
        <f>IF(C1457,(H1457*N1457*IF(AND(Inputs!$B$38&lt;&gt;"pvp",Inputs!$B$43&gt;0),((Skills!G10*((R1457-1)*IF(Skills!H10&gt;0,Skills!I10/Skills!H10,1)+IF(Skills!H10&gt;0,MIN(Skills!I10,MAX(0,MAX(0,Inputs!$B$43-B1481)-((R1457-1)*IF(Inputs!$B$38="pvp",15,MAX(0.1,Skills!D10-IF(Skills!E10=TRUE,5.0,0))))))/Skills!H10,1)))/Inputs!$B$43),G1457*Q1457))*IF(Inputs!$B$38="pvp",1,(1+(Inputs!$B$21+Skills!Q10)/100)*(MIN(Skills!R10,Inputs!$B$37))),0)</f>
        <v/>
      </c>
    </row>
    <row r="1458">
      <c r="A1458">
        <f>Skills!A11</f>
        <v/>
      </c>
      <c r="B1458">
        <f>Skills!B11</f>
        <v/>
      </c>
      <c r="C1458">
        <f>Inputs!$B$3&gt;=63</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f>((Inputs!$B$6*(1+Inputs!$B$7/100))+(((Inputs!$B$12*(1+Inputs!$B$13/100))-(Inputs!$B$12*(1+Inputs!$B$13/100)))+0.25*(Inputs!$B$14-Inputs!$B$14))*(1+Inputs!$B$7/100))*(F1458/100)</f>
        <v/>
      </c>
      <c r="K1458">
        <f>J1458*(1+((Inputs!$B$12*(1+Inputs!$B$13/100))*0.01+Inputs!$B$14*0.0025)/100)*(1+Inputs!$B$15/100)*(1+Inputs!$B$16/100)*(5000/(6000+Inputs!$B$42*(1-(Inputs!$B$19+0)/100)))*(1+(Inputs!$B$24+0+B1480)/100)*(1+1.5*IF(C1459=TRUE,F1459,0)/100)*(1+(IF(Skills!A11="BLAST",Inputs!$B$17+((C1468=TRUE)*(F1468-Calc!F21)),Inputs!$B$18+((C1470=TRUE)*(F1470-Calc!F23))))/100)*((1+(((C1460=TRUE)*F1460*MIN(1,Skills!T13*(Skills!J13/100)*B1478))+((C1465=TRUE)*F1465*IF(AND(Inputs!$B$38&lt;&gt;"pvp",Inputs!$B$43&gt;0),(((R1465-1)*(Skills!T18*(1+Inputs!$B$34/100))+MIN((Skills!T18*(1+Inputs!$B$34/100)),MAX(0,Inputs!$B$43-((R1465-1)*Skills!D18))))/Inputs!$B$43),IF(Inputs!$B$38="pvp",MIN((Skills!T18*(1+Inputs!$B$34/100)),15)/15,(Skills!T18*(1+Inputs!$B$34/100))/Skills!D18)))+0)/100)*I1458)</f>
        <v/>
      </c>
      <c r="L1458">
        <f>K1458*(MIN(Inputs!$B$22+((C1469=TRUE)*(F1469-Calc!F22)),Inputs!$B$23+((C1471=TRUE)*(F1471-Calc!F24)))/100+(Inputs!$B$23+((C1471=TRUE)*(F1471-Calc!F24)))/100)/2</f>
        <v/>
      </c>
      <c r="M1458">
        <f>L1458*(1+(Inputs!$B$10+0+B1479)/100)</f>
        <v/>
      </c>
      <c r="N1458">
        <f>L1458*(1-MIN((Inputs!$B$9+0+B1474),100)/100)+M1458*(MIN((Inputs!$B$9+0+B1474),100)/100)</f>
        <v/>
      </c>
      <c r="O1458">
        <f>(1-Summary!$B$55)*T1458+Summary!$B$55*V1458</f>
        <v/>
      </c>
      <c r="P1458">
        <f>IF(B1484=0,0,O1458/B1484)</f>
        <v/>
      </c>
      <c r="Q1458">
        <f>IFERROR(1/IF(Inputs!$B$38="pvp",15,MAX(0.1,Skills!D11-IF(Skills!E11=TRUE,5.0,0))),0)</f>
        <v/>
      </c>
      <c r="R1458">
        <f>IF(AND(Inputs!$B$38&lt;&gt;"pvp",Inputs!$B$43&gt;0),IF(MAX(0,Inputs!$B$43-B1481)&lt;=0,0,(INT(MAX(0,Inputs!$B$43-B1481)/IF(Inputs!$B$38="pvp",15,MAX(0.1,Skills!D11-IF(Skills!E11=TRUE,5.0,0))))+1)),0)</f>
        <v/>
      </c>
      <c r="S1458">
        <f>IFERROR(O1458/N1458,0)</f>
        <v/>
      </c>
      <c r="T1458">
        <f>IF(C1458,(H1458*N1458*IF(AND(Inputs!$B$38&lt;&gt;"pvp",Inputs!$B$43&gt;0),((Skills!G11*((R1458-1)*IF(Skills!H11&gt;0,Skills!I11/Skills!H11,1)+IF(Skills!H11&gt;0,MIN(Skills!I11,MAX(0,MAX(0,Inputs!$B$43-B1481)-((R1458-1)*IF(Inputs!$B$38="pvp",15,MAX(0.1,Skills!D11-IF(Skills!E11=TRUE,5.0,0))))))/Skills!H11,1)))/Inputs!$B$43),G1458*Q1458))*IF(Inputs!$B$38="pvp",1,1+(Inputs!$B$20+0+Skills!P11)/100),0)</f>
        <v/>
      </c>
      <c r="V1458">
        <f>IF(C1458,(H1458*N1458*IF(AND(Inputs!$B$38&lt;&gt;"pvp",Inputs!$B$43&gt;0),((Skills!G11*((R1458-1)*IF(Skills!H11&gt;0,Skills!I11/Skills!H11,1)+IF(Skills!H11&gt;0,MIN(Skills!I11,MAX(0,MAX(0,Inputs!$B$43-B1481)-((R1458-1)*IF(Inputs!$B$38="pvp",15,MAX(0.1,Skills!D11-IF(Skills!E11=TRUE,5.0,0))))))/Skills!H11,1)))/Inputs!$B$43),G1458*Q1458))*IF(Inputs!$B$38="pvp",1,(1+(Inputs!$B$21+Skills!Q11)/100)*(MIN(Skills!R11,Inputs!$B$37))),0)</f>
        <v/>
      </c>
    </row>
    <row r="1459">
      <c r="A1459">
        <f>Skills!A12</f>
        <v/>
      </c>
      <c r="B1459">
        <f>Skills!B12</f>
        <v/>
      </c>
      <c r="C1459">
        <f>Inputs!$B$3&gt;=100</f>
        <v/>
      </c>
      <c r="D1459">
        <f>IF(Skills!C12=1,60+Inputs!$B$25+Inputs!$B$29,IF(Skills!C12=2,90+Inputs!$B$26+Inputs!$B$29,IF(Skills!C12=3,120+Inputs!$B$27+Inputs!$B$29,MAX(0,(Inputs!$B$3-100)*3)+Inputs!$B$28+Inputs!$B$29)))</f>
        <v/>
      </c>
      <c r="E1459">
        <f>INDEX(FactorTable!$B$2:$Y$301, MATCH(ROUND(MIN(300,MAX(1,D1459)),0), FactorTable!$A$2:$A$301,0), Skills!M12+1)</f>
        <v/>
      </c>
      <c r="F1459">
        <f>IF(Skills!N12=TRUE,(Skills!L12/10)*(E1459/1000),Skills!L12/10)+Skills!O12</f>
        <v/>
      </c>
      <c r="G1459" t="inlineStr"/>
      <c r="H1459" t="inlineStr"/>
      <c r="I1459" t="inlineStr">
        <is>
          <t>1</t>
        </is>
      </c>
      <c r="J1459" t="inlineStr"/>
      <c r="K1459" t="inlineStr"/>
      <c r="L1459" t="inlineStr"/>
      <c r="M1459" t="inlineStr"/>
      <c r="N1459" t="inlineStr"/>
      <c r="O1459" t="inlineStr"/>
      <c r="P1459" t="inlineStr"/>
      <c r="Q1459" t="inlineStr"/>
      <c r="R1459" t="inlineStr"/>
      <c r="S1459" t="inlineStr"/>
    </row>
    <row r="1460">
      <c r="A1460">
        <f>Skills!A13</f>
        <v/>
      </c>
      <c r="B1460">
        <f>Skills!B13</f>
        <v/>
      </c>
      <c r="C1460">
        <f>Inputs!$B$3&gt;=45</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t="inlineStr"/>
      <c r="K1460" t="inlineStr"/>
      <c r="L1460" t="inlineStr"/>
      <c r="M1460" t="inlineStr"/>
      <c r="N1460" t="inlineStr"/>
      <c r="O1460">
        <f>(1-Summary!$B$55)*T1460+Summary!$B$55*V1460</f>
        <v/>
      </c>
      <c r="P1460">
        <f>IF(B1484=0,0,O1460/B1484)</f>
        <v/>
      </c>
      <c r="Q1460" t="n">
        <v>0</v>
      </c>
      <c r="R1460" t="n">
        <v>0</v>
      </c>
      <c r="S1460">
        <f>IFERROR(O1460/N1460,0)</f>
        <v/>
      </c>
      <c r="T1460" t="n">
        <v>0</v>
      </c>
      <c r="V1460" t="n">
        <v>0</v>
      </c>
    </row>
    <row r="1461">
      <c r="A1461">
        <f>Skills!A14</f>
        <v/>
      </c>
      <c r="B1461">
        <f>Skills!B14</f>
        <v/>
      </c>
      <c r="C1461">
        <f>Inputs!$B$3&gt;=110</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t="inlineStr"/>
      <c r="K1461" t="inlineStr"/>
      <c r="L1461" t="inlineStr"/>
      <c r="M1461" t="inlineStr"/>
      <c r="N1461" t="inlineStr"/>
      <c r="O1461">
        <f>(1-Summary!$B$55)*T1461+Summary!$B$55*V1461</f>
        <v/>
      </c>
      <c r="P1461">
        <f>IF(B1484=0,0,O1461/B1484)</f>
        <v/>
      </c>
      <c r="Q1461" t="n">
        <v>0</v>
      </c>
      <c r="R1461" t="n">
        <v>0</v>
      </c>
      <c r="S1461">
        <f>IFERROR(O1461/N1461,0)</f>
        <v/>
      </c>
      <c r="T1461" t="n">
        <v>0</v>
      </c>
      <c r="V1461" t="n">
        <v>0</v>
      </c>
    </row>
    <row r="1462">
      <c r="A1462">
        <f>Skills!A15</f>
        <v/>
      </c>
      <c r="B1462">
        <f>Skills!B15</f>
        <v/>
      </c>
      <c r="C1462">
        <f>Inputs!$B$3&gt;=75</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f>Skills!G15*IF(Skills!H15&gt;0,Skills!I15/Skills!H15,1)</f>
        <v/>
      </c>
      <c r="H1462">
        <f>1-(1-Skills!J15/100)^Skills!K15</f>
        <v/>
      </c>
      <c r="I1462" t="inlineStr">
        <is>
          <t>1</t>
        </is>
      </c>
      <c r="J1462" t="inlineStr"/>
      <c r="K1462" t="inlineStr"/>
      <c r="L1462" t="inlineStr"/>
      <c r="M1462" t="inlineStr"/>
      <c r="N1462" t="inlineStr"/>
      <c r="O1462">
        <f>(1-Summary!$B$55)*T1462+Summary!$B$55*V1462</f>
        <v/>
      </c>
      <c r="P1462">
        <f>IF(B1484=0,0,O1462/B1484)</f>
        <v/>
      </c>
      <c r="Q1462">
        <f>IFERROR(1/IF(Inputs!$B$38="pvp",15,MAX(0.1,Skills!D15-IF(Skills!E15=TRUE,5.0,0))),0)</f>
        <v/>
      </c>
      <c r="R1462">
        <f>IF(AND(Inputs!$B$38&lt;&gt;"pvp",Inputs!$B$43&gt;0),IF(Inputs!$B$43&lt;=0,0,(INT(Inputs!$B$43/IF(Inputs!$B$38="pvp",15,MAX(0.1,Skills!D15-IF(Skills!E15=TRUE,5.0,0))))+1)),0)</f>
        <v/>
      </c>
      <c r="S1462">
        <f>IFERROR(O1462/N1462,0)</f>
        <v/>
      </c>
      <c r="T1462" t="n">
        <v>0</v>
      </c>
      <c r="V1462" t="n">
        <v>0</v>
      </c>
    </row>
    <row r="1463">
      <c r="A1463">
        <f>Skills!A16</f>
        <v/>
      </c>
      <c r="B1463">
        <f>Skills!B16</f>
        <v/>
      </c>
      <c r="C1463">
        <f>Inputs!$B$3&gt;=105</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f>Skills!G16*IF(Skills!H16&gt;0,Skills!I16/Skills!H16,1)</f>
        <v/>
      </c>
      <c r="H1463">
        <f>1-(1-Skills!J16/100)^Skills!K16</f>
        <v/>
      </c>
      <c r="I1463" t="inlineStr">
        <is>
          <t>1</t>
        </is>
      </c>
      <c r="J1463" t="inlineStr"/>
      <c r="K1463" t="inlineStr"/>
      <c r="L1463" t="inlineStr"/>
      <c r="M1463" t="inlineStr"/>
      <c r="N1463" t="inlineStr"/>
      <c r="O1463">
        <f>(1-Summary!$B$55)*T1463+Summary!$B$55*V1463</f>
        <v/>
      </c>
      <c r="P1463">
        <f>IF(B1484=0,0,O1463/B1484)</f>
        <v/>
      </c>
      <c r="Q1463">
        <f>IFERROR(1/IF(Inputs!$B$38="pvp",15,MAX(0.1,Skills!D16-IF(Skills!E16=TRUE,5.0,0))),0)</f>
        <v/>
      </c>
      <c r="R1463">
        <f>IF(AND(Inputs!$B$38&lt;&gt;"pvp",Inputs!$B$43&gt;0),IF(Inputs!$B$43&lt;=0,0,(INT(Inputs!$B$43/IF(Inputs!$B$38="pvp",15,MAX(0.1,Skills!D16-IF(Skills!E16=TRUE,5.0,0))))+1)),0)</f>
        <v/>
      </c>
      <c r="S1463">
        <f>IFERROR(O1463/N1463,0)</f>
        <v/>
      </c>
      <c r="T1463" t="n">
        <v>0</v>
      </c>
      <c r="V1463" t="n">
        <v>0</v>
      </c>
    </row>
    <row r="1464">
      <c r="A1464">
        <f>Skills!A17</f>
        <v/>
      </c>
      <c r="B1464">
        <f>Skills!B17</f>
        <v/>
      </c>
      <c r="C1464">
        <f>Inputs!$B$3&gt;=115</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t="inlineStr"/>
      <c r="K1464" t="inlineStr"/>
      <c r="L1464" t="inlineStr"/>
      <c r="M1464" t="inlineStr"/>
      <c r="N1464" t="inlineStr"/>
      <c r="O1464">
        <f>(1-Summary!$B$55)*T1464+Summary!$B$55*V1464</f>
        <v/>
      </c>
      <c r="P1464">
        <f>IF(B1484=0,0,O1464/B1484)</f>
        <v/>
      </c>
      <c r="Q1464">
        <f>IFERROR(1/IF(Inputs!$B$38="pvp",15,MAX(0.1,Skills!D17-IF(Skills!E17=TRUE,5.0,0))),0)</f>
        <v/>
      </c>
      <c r="R1464">
        <f>IF(AND(Inputs!$B$38&lt;&gt;"pvp",Inputs!$B$43&gt;0),IF(Inputs!$B$43&lt;=0,0,(INT(Inputs!$B$43/IF(Inputs!$B$38="pvp",15,MAX(0.1,Skills!D17-IF(Skills!E17=TRUE,5.0,0))))+1)),0)</f>
        <v/>
      </c>
      <c r="S1464">
        <f>IFERROR(O1464/N1464,0)</f>
        <v/>
      </c>
      <c r="T1464" t="n">
        <v>0</v>
      </c>
      <c r="V1464" t="n">
        <v>0</v>
      </c>
    </row>
    <row r="1465">
      <c r="A1465">
        <f>Skills!A18</f>
        <v/>
      </c>
      <c r="B1465">
        <f>Skills!B18</f>
        <v/>
      </c>
      <c r="C1465">
        <f>Inputs!$B$3&gt;=74</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f>(1-Summary!$B$55)*T1465+Summary!$B$55*V1465</f>
        <v/>
      </c>
      <c r="P1465">
        <f>IF(B1484=0,0,O1465/B1484)</f>
        <v/>
      </c>
      <c r="Q1465">
        <f>IFERROR(1/IF(Inputs!$B$38="pvp",15,MAX(0.1,Skills!D18-IF(Skills!E18=TRUE,5.0,0))),0)</f>
        <v/>
      </c>
      <c r="R1465">
        <f>IF(AND(Inputs!$B$38&lt;&gt;"pvp",Inputs!$B$43&gt;0),IF(Inputs!$B$43&lt;=0,0,(INT(Inputs!$B$43/IF(Inputs!$B$38="pvp",15,MAX(0.1,Skills!D18-IF(Skills!E18=TRUE,5.0,0))))+1)),0)</f>
        <v/>
      </c>
      <c r="S1465">
        <f>IFERROR(O1465/N1465,0)</f>
        <v/>
      </c>
      <c r="T1465" t="n">
        <v>0</v>
      </c>
      <c r="V1465" t="n">
        <v>0</v>
      </c>
    </row>
    <row r="1466">
      <c r="A1466">
        <f>Skills!A19</f>
        <v/>
      </c>
      <c r="B1466">
        <f>Skills!B19</f>
        <v/>
      </c>
      <c r="C1466">
        <f>TRUE</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f>(1-Summary!$B$55)*T1466+Summary!$B$55*V1466</f>
        <v/>
      </c>
      <c r="P1466">
        <f>IF(B1484=0,0,O1466/B1484)</f>
        <v/>
      </c>
      <c r="Q1466">
        <f>IFERROR(1/IF(Inputs!$B$38="pvp",15,MAX(0.1,Skills!D19-IF(Skills!E19=TRUE,5.0,0))),0)</f>
        <v/>
      </c>
      <c r="R1466">
        <f>IF(AND(Inputs!$B$38&lt;&gt;"pvp",Inputs!$B$43&gt;0),IF(Inputs!$B$43&lt;=0,0,(INT(Inputs!$B$43/IF(Inputs!$B$38="pvp",15,MAX(0.1,Skills!D19-IF(Skills!E19=TRUE,5.0,0))))+1)),0)</f>
        <v/>
      </c>
      <c r="S1466">
        <f>IFERROR(O1466/N1466,0)</f>
        <v/>
      </c>
      <c r="T1466" t="n">
        <v>0</v>
      </c>
      <c r="V1466" t="n">
        <v>0</v>
      </c>
    </row>
    <row r="1467">
      <c r="A1467">
        <f>Skills!A20</f>
        <v/>
      </c>
      <c r="B1467">
        <f>Skills!B20</f>
        <v/>
      </c>
      <c r="C1467">
        <f>Inputs!$B$3&gt;=33</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f>(1-Summary!$B$55)*T1467+Summary!$B$55*V1467</f>
        <v/>
      </c>
      <c r="P1467">
        <f>IF(B1484=0,0,O1467/B1484)</f>
        <v/>
      </c>
      <c r="Q1467" t="n">
        <v>0</v>
      </c>
      <c r="R1467" t="n">
        <v>0</v>
      </c>
      <c r="S1467">
        <f>IFERROR(O1467/N1467,0)</f>
        <v/>
      </c>
      <c r="T1467" t="n">
        <v>0</v>
      </c>
      <c r="V1467" t="n">
        <v>0</v>
      </c>
    </row>
    <row r="1468">
      <c r="A1468">
        <f>Skills!A21</f>
        <v/>
      </c>
      <c r="B1468">
        <f>Skills!B21</f>
        <v/>
      </c>
      <c r="C1468">
        <f>Inputs!$B$3&gt;=38</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f>(1-Summary!$B$55)*T1468+Summary!$B$55*V1468</f>
        <v/>
      </c>
      <c r="P1468">
        <f>IF(B1484=0,0,O1468/B1484)</f>
        <v/>
      </c>
      <c r="Q1468" t="n">
        <v>0</v>
      </c>
      <c r="R1468" t="n">
        <v>0</v>
      </c>
      <c r="S1468">
        <f>IFERROR(O1468/N1468,0)</f>
        <v/>
      </c>
      <c r="T1468" t="n">
        <v>0</v>
      </c>
      <c r="V1468" t="n">
        <v>0</v>
      </c>
    </row>
    <row r="1469">
      <c r="A1469">
        <f>Skills!A22</f>
        <v/>
      </c>
      <c r="B1469">
        <f>Skills!B22</f>
        <v/>
      </c>
      <c r="C1469">
        <f>Inputs!$B$3&gt;=43</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f>(1-Summary!$B$55)*T1469+Summary!$B$55*V1469</f>
        <v/>
      </c>
      <c r="P1469">
        <f>IF(B1484=0,0,O1469/B1484)</f>
        <v/>
      </c>
      <c r="Q1469" t="n">
        <v>0</v>
      </c>
      <c r="R1469" t="n">
        <v>0</v>
      </c>
      <c r="S1469">
        <f>IFERROR(O1469/N1469,0)</f>
        <v/>
      </c>
      <c r="T1469" t="n">
        <v>0</v>
      </c>
      <c r="V1469" t="n">
        <v>0</v>
      </c>
    </row>
    <row r="1470">
      <c r="A1470">
        <f>Skills!A23</f>
        <v/>
      </c>
      <c r="B1470">
        <f>Skills!B23</f>
        <v/>
      </c>
      <c r="C1470">
        <f>Inputs!$B$3&gt;=120</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f>(1-Summary!$B$55)*T1470+Summary!$B$55*V1470</f>
        <v/>
      </c>
      <c r="P1470">
        <f>IF(B1484=0,0,O1470/B1484)</f>
        <v/>
      </c>
      <c r="Q1470" t="n">
        <v>0</v>
      </c>
      <c r="R1470" t="n">
        <v>0</v>
      </c>
      <c r="S1470">
        <f>IFERROR(O1470/N1470,0)</f>
        <v/>
      </c>
      <c r="T1470" t="n">
        <v>0</v>
      </c>
      <c r="V1470" t="n">
        <v>0</v>
      </c>
    </row>
    <row r="1471">
      <c r="A1471">
        <f>Skills!A24</f>
        <v/>
      </c>
      <c r="B1471">
        <f>Skills!B24</f>
        <v/>
      </c>
      <c r="C1471">
        <f>Inputs!$B$3&gt;=120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f>(1-Summary!$B$55)*T1471+Summary!$B$55*V1471</f>
        <v/>
      </c>
      <c r="P1471">
        <f>IF(B1484=0,0,O1471/B1484)</f>
        <v/>
      </c>
      <c r="Q1471" t="n">
        <v>0</v>
      </c>
      <c r="R1471" t="n">
        <v>0</v>
      </c>
      <c r="S1471">
        <f>IFERROR(O1471/N1471,0)</f>
        <v/>
      </c>
      <c r="T1471" t="n">
        <v>0</v>
      </c>
      <c r="V1471" t="n">
        <v>0</v>
      </c>
    </row>
    <row r="1473">
      <c r="A1473" t="inlineStr">
        <is>
          <t>Attack% Bucket Multiplier</t>
        </is>
      </c>
      <c r="B1473">
        <f>(1+(((C1460=TRUE)*F1460*MIN(1,Skills!T13*(Skills!J13/100)*B1478))+((C1465=TRUE)*F1465*IF(AND(Inputs!$B$38&lt;&gt;"pvp",Inputs!$B$43&gt;0),(((R1465-1)*(Skills!T18*(1+Inputs!$B$34/100))+MIN((Skills!T18*(1+Inputs!$B$34/100)),MAX(0,Inputs!$B$43-((R1465-1)*Skills!D18))))/Inputs!$B$43),IF(Inputs!$B$38="pvp",MIN((Skills!T18*(1+Inputs!$B$34/100)),15)/15,(Skills!T18*(1+Inputs!$B$34/100))/Skills!D18)))+0)/100)</f>
        <v/>
      </c>
    </row>
    <row r="1474">
      <c r="A1474" t="inlineStr">
        <is>
          <t>Global Crit Rate Bonus %</t>
        </is>
      </c>
      <c r="B1474" t="n">
        <v>0</v>
      </c>
    </row>
    <row r="1475">
      <c r="A1475" t="inlineStr">
        <is>
          <t>Attack Speed Buff Bonus %</t>
        </is>
      </c>
      <c r="B1475">
        <f>((C1466=TRUE)*F1466*IF(AND(Inputs!$B$38&lt;&gt;"pvp",Inputs!$B$43&gt;0),(((R1466-1)*(Skills!T19*(1+Inputs!$B$34/100))+MIN((Skills!T19*(1+Inputs!$B$34/100)),MAX(0,Inputs!$B$43-((R1466-1)*Skills!D19))))/Inputs!$B$43),IF(Inputs!$B$38="pvp",MIN((Skills!T19*(1+Inputs!$B$34/100)),15)/15,(Skills!T19*(1+Inputs!$B$34/100))/Skills!D19)))</f>
        <v/>
      </c>
    </row>
    <row r="1476">
      <c r="A1476" t="inlineStr">
        <is>
          <t>Actions Per Second</t>
        </is>
      </c>
      <c r="B1476">
        <f>1+MIN(150,150*(1-(1-(Inputs!$B$11+((C1467=TRUE)*(F1467-Calc!F20)))/150)*(1-B1475/150)))/100</f>
        <v/>
      </c>
    </row>
    <row r="1477">
      <c r="A1477" t="inlineStr">
        <is>
          <t>Skill + Buff Cast Rate</t>
        </is>
      </c>
      <c r="B1477">
        <f>IF(AND(Inputs!$B$38&lt;&gt;"pvp",Inputs!$B$43&gt;0),SUMPRODUCT((Skills!E2:E24=TRUE)*(C1449:C1471=TRUE)*R1449:R1471*Skills!F2:F24)/Inputs!$B$43,SUMPRODUCT((Skills!E2:E24=TRUE)*(C1449:C1471=TRUE)*Q1449:Q1471*Skills!F2:F24))</f>
        <v/>
      </c>
    </row>
    <row r="1478">
      <c r="A1478" t="inlineStr">
        <is>
          <t>Blast Casts Per Second</t>
        </is>
      </c>
      <c r="B1478">
        <f>MAX(0,B1476-B1477)</f>
        <v/>
      </c>
    </row>
    <row r="1479">
      <c r="A1479" t="inlineStr">
        <is>
          <t>Global Critical Damage Bonus % (unused)</t>
        </is>
      </c>
      <c r="B1479" t="n">
        <v>0</v>
      </c>
    </row>
    <row r="1480">
      <c r="A1480" t="inlineStr">
        <is>
          <t>Global Final Damage Bonus % (Divine Shield + Guardian + Divine Blessing + Greater Vessel of Light)</t>
        </is>
      </c>
      <c r="B1480">
        <f>((C1462=TRUE)*F1462*IF(AND(Inputs!$B$38&lt;&gt;"pvp",Inputs!$B$43&gt;0),(((R1462-1)*(Skills!T15*(1+Inputs!$B$34/100))+MIN((Skills!T15*(1+Inputs!$B$34/100)),MAX(0,Inputs!$B$43-((R1462-1)*Skills!D15))))/Inputs!$B$43),IF(Inputs!$B$38="pvp",MIN((Skills!T15*(1+Inputs!$B$34/100)),15)/15,(Skills!T15*(1+Inputs!$B$34/100))/Skills!D15)))+((C1463=TRUE)*F1463*IF(AND(Inputs!$B$38&lt;&gt;"pvp",Inputs!$B$43&gt;0),(((R1463-1)*(Skills!T16*(1+Inputs!$B$34/100))+MIN((Skills!T16*(1+Inputs!$B$34/100)),MAX(0,Inputs!$B$43-((R1463-1)*Skills!D16))))/Inputs!$B$43),IF(Inputs!$B$38="pvp",MIN((Skills!T16*(1+Inputs!$B$34/100)),15)/15,(Skills!T16*(1+Inputs!$B$34/100))/Skills!D16)))+((C1464=TRUE)*F1464*IF(AND(Inputs!$B$38&lt;&gt;"pvp",Inputs!$B$43&gt;0),(((R1464-1)*(Skills!T17*(1+Inputs!$B$34/100))+MIN((Skills!T17*(1+Inputs!$B$34/100)),MAX(0,Inputs!$B$43-((R1464-1)*Skills!D17))))/Inputs!$B$43),IF(Inputs!$B$38="pvp",MIN((Skills!T17*(1+Inputs!$B$34/100)),15)/15,(Skills!T17*(1+Inputs!$B$34/100))/Skills!D17)))+((C1461=TRUE)*F1461*MIN(1,Skills!T13*(Skills!J13/100)*B1478))</f>
        <v/>
      </c>
    </row>
    <row r="1481">
      <c r="A1481" t="inlineStr">
        <is>
          <t>Buff-Casting Startup Delay (s, fixed-duration only)</t>
        </is>
      </c>
      <c r="B1481">
        <f>IF(AND(Inputs!$B$38&lt;&gt;"pvp",Inputs!$B$43&gt;0),SUMPRODUCT((Skills!T2:T24&gt;0)*(Skills!E2:E24=TRUE)*(C1449:C1471=TRUE))/B1476,0)</f>
        <v/>
      </c>
    </row>
    <row r="1482">
      <c r="A1482" t="inlineStr">
        <is>
          <t>Boss-Only Total DPS (this block's swept value)</t>
        </is>
      </c>
      <c r="B1482">
        <f>SUM(T1449:T1471)</f>
        <v/>
      </c>
    </row>
    <row r="1483">
      <c r="A1483" t="inlineStr">
        <is>
          <t>Normal-Only Total DPS (this block's swept value)</t>
        </is>
      </c>
      <c r="B1483">
        <f>SUM(V1449:V1471)</f>
        <v/>
      </c>
    </row>
    <row r="1484">
      <c r="A1484" s="5" t="inlineStr">
        <is>
          <t>TOTAL DPS</t>
        </is>
      </c>
      <c r="B1484" s="5">
        <f>SUM(O1449:O1471)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2026-09-20T08:58:50Z</dcterms:created>
  <dcterms:modified xsi:type="dcterms:W3CDTF">2026-09-20T08:58:50Z</dcterms:modified>
</cp:coreProperties>
</file>