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Calc" sheetId="5" state="visible" r:id="rId5"/>
    <sheet name="Summary" sheetId="6" state="visible" r:id="rId6"/>
    <sheet name="Sensitivity" sheetId="7" state="visible" r:id="rId7"/>
    <sheet name="CubeData" sheetId="8" state="visible" r:id="rId8"/>
    <sheet name="PotentialCub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font>
    <font>
      <b val="1"/>
      <color rgb="00FFFFFF"/>
    </font>
    <font>
      <b val="1"/>
      <sz val="13"/>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0" fillId="2" borderId="0" pivotButton="0" quotePrefix="0" xfId="0"/>
    <xf numFmtId="0" fontId="2" fillId="0" borderId="0" pivotButton="0" quotePrefix="0" xfId="0"/>
    <xf numFmtId="0" fontId="4" fillId="3" borderId="0" applyAlignment="1" pivotButton="0" quotePrefix="0" xfId="0">
      <alignment horizontal="center"/>
    </xf>
    <xf numFmtId="0" fontId="5" fillId="0"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Shadower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Venom/Toxic Venom assume the target is permanently afflicted with Venom's poison at steady state, not an exact on/off timer — matches every other DoT-uptime assumption in this project.</t>
        </is>
      </c>
    </row>
    <row r="11">
      <c r="A11" s="2" t="inlineStr">
        <is>
          <t>Crit Rate pushed above 100% (e.g. by cube potential lines) automatically redirects its stat-value to Crit Damage's own per-unit DPS value on the PotentialCubes sheet, since excess Crit Rate cannot do anything past 100%.</t>
        </is>
      </c>
    </row>
    <row r="12">
      <c r="A12" s="2" t="inlineStr">
        <is>
          <t>Buffs and stacking resources (Dark Sight Attack, Into Darkness, Smokescreen, Meso Explosion/Blood Money stacks) are modeled at steady-state duty-cycle average uptime, not as an exact moment-to-moment state machine.</t>
        </is>
      </c>
    </row>
    <row r="13">
      <c r="A13" s="2" t="inlineStr">
        <is>
          <t>Assassinate's finishing blow is modeled as landing on average every 2nd cast (a flat 50% average multiplier), and Mastery Lv.108 Murderous Intent's finisher-doubling is a steady-state average multiplier based on relative cast rates, not an exact alternating state machine.</t>
        </is>
      </c>
    </row>
    <row r="14">
      <c r="A14" s="2" t="inlineStr">
        <is>
          <t>Channel Karma, Shadow Shifter's own Attack buff, Dagger Mastery, Critical Edge, Physical Training, Dagger Expert, and Shadower Instinct are always-on passives assumed to already be reflected in your own Inputs stat entries — only their Sensitivity marginal delta (what changes if their mastery level differs from what you assumed) is modeled live.</t>
        </is>
      </c>
    </row>
    <row r="15">
      <c r="A15" s="2" t="inlineStr">
        <is>
          <t>Monster Type blends Boss/Normal Monster Damage% by the Chapter Breakthrough weight %; PvP forces a fixed 15-second window regardless of the Fixed Fight Duration input.</t>
        </is>
      </c>
    </row>
    <row r="16">
      <c r="A16" s="2" t="inlineStr">
        <is>
          <t>Not modeled (out of scope): all forms of crowd control (Phase Dash/Dark Sight/Assassinate stuns), Accuracy/Evasion/Defense reduction (Smokescreen, Steal, Assassinate), movement speed (Nimble Feet, Haste), the character's own Defense stat (Shield Mastery), and Companion Summoning Time.</t>
        </is>
      </c>
    </row>
    <row r="17">
      <c r="A1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55" customWidth="1" min="1" max="1"/>
    <col width="16" customWidth="1" min="2" max="2"/>
  </cols>
  <sheetData>
    <row r="1">
      <c r="A1" s="4" t="inlineStr">
        <is>
          <t>Shadower — DPS Calculator Inputs</t>
        </is>
      </c>
    </row>
    <row r="3">
      <c r="A3" s="5" t="inlineStr">
        <is>
          <t>Character Level</t>
        </is>
      </c>
      <c r="B3" s="6" t="n">
        <v>200</v>
      </c>
    </row>
    <row r="4">
      <c r="A4" s="5" t="inlineStr">
        <is>
          <t>Monster Type ("boss", "normal", "breakthrough", or "pvp")</t>
        </is>
      </c>
      <c r="B4" s="6" t="inlineStr">
        <is>
          <t>boss</t>
        </is>
      </c>
    </row>
    <row r="5">
      <c r="A5" s="5" t="inlineStr">
        <is>
          <t>Flat ATTACK</t>
        </is>
      </c>
      <c r="B5" s="6" t="n">
        <v>10000</v>
      </c>
    </row>
    <row r="6">
      <c r="A6" s="5" t="inlineStr">
        <is>
          <t>ATTACK %</t>
        </is>
      </c>
      <c r="B6" s="6" t="n">
        <v>0</v>
      </c>
    </row>
    <row r="7">
      <c r="A7" s="5" t="inlineStr">
        <is>
          <t>Monster Defense (flat, post-x100/x10 scaling)</t>
        </is>
      </c>
      <c r="B7" s="6" t="n">
        <v>0</v>
      </c>
    </row>
    <row r="8">
      <c r="A8" s="5" t="inlineStr">
        <is>
          <t>CRIT_RATE %</t>
        </is>
      </c>
      <c r="B8" s="6" t="n">
        <v>0</v>
      </c>
    </row>
    <row r="9">
      <c r="A9" s="5" t="inlineStr">
        <is>
          <t>CRIT_DAMAGE %</t>
        </is>
      </c>
      <c r="B9" s="6" t="n">
        <v>0</v>
      </c>
    </row>
    <row r="10">
      <c r="A10" s="5" t="inlineStr">
        <is>
          <t>ATTACK_SPEED % (base, excludes Nimble Feet/Agile Daggers)</t>
        </is>
      </c>
      <c r="B10" s="6" t="n">
        <v>0</v>
      </c>
    </row>
    <row r="11">
      <c r="A11" s="5" t="inlineStr">
        <is>
          <t>Flat LUK</t>
        </is>
      </c>
      <c r="B11" s="6" t="n">
        <v>0</v>
      </c>
    </row>
    <row r="12">
      <c r="A12" s="5" t="inlineStr">
        <is>
          <t>LUK %</t>
        </is>
      </c>
      <c r="B12" s="6" t="n">
        <v>0</v>
      </c>
    </row>
    <row r="13">
      <c r="A13" s="5" t="inlineStr">
        <is>
          <t>DEX</t>
        </is>
      </c>
      <c r="B13" s="6" t="n">
        <v>0</v>
      </c>
    </row>
    <row r="14">
      <c r="A14" s="5" t="inlineStr">
        <is>
          <t>DAMAGE %</t>
        </is>
      </c>
      <c r="B14" s="6" t="n">
        <v>0</v>
      </c>
    </row>
    <row r="15">
      <c r="A15" s="5" t="inlineStr">
        <is>
          <t>DAMAGE_AMP %</t>
        </is>
      </c>
      <c r="B15" s="6" t="n">
        <v>0</v>
      </c>
    </row>
    <row r="16">
      <c r="A16" s="5" t="inlineStr">
        <is>
          <t>BASIC_ATTACK_DAMAGE %</t>
        </is>
      </c>
      <c r="B16" s="6" t="n">
        <v>0</v>
      </c>
    </row>
    <row r="17">
      <c r="A17" s="5" t="inlineStr">
        <is>
          <t>SKILL_DAMAGE %</t>
        </is>
      </c>
      <c r="B17" s="6" t="n">
        <v>0</v>
      </c>
    </row>
    <row r="18">
      <c r="A18" s="5" t="inlineStr">
        <is>
          <t>DEF_PEN %</t>
        </is>
      </c>
      <c r="B18" s="6" t="n">
        <v>0</v>
      </c>
    </row>
    <row r="19">
      <c r="A19" s="5" t="inlineStr">
        <is>
          <t>BOSS_DAMAGE %</t>
        </is>
      </c>
      <c r="B19" s="6" t="n">
        <v>0</v>
      </c>
    </row>
    <row r="20">
      <c r="A20" s="5" t="inlineStr">
        <is>
          <t>NORMAL_DAMAGE %</t>
        </is>
      </c>
      <c r="B20" s="6" t="n">
        <v>0</v>
      </c>
    </row>
    <row r="21">
      <c r="A21" s="5" t="inlineStr">
        <is>
          <t>MIN_DAMAGE %</t>
        </is>
      </c>
      <c r="B21" s="6" t="n">
        <v>100</v>
      </c>
    </row>
    <row r="22">
      <c r="A22" s="5" t="inlineStr">
        <is>
          <t>MAX_DAMAGE %</t>
        </is>
      </c>
      <c r="B22" s="6" t="n">
        <v>100</v>
      </c>
    </row>
    <row r="23">
      <c r="A23" s="5" t="inlineStr">
        <is>
          <t>FINAL_DAMAGE % (base, excludes Into Darkness/Smokescreen)</t>
        </is>
      </c>
      <c r="B23" s="6" t="n">
        <v>0</v>
      </c>
    </row>
    <row r="24">
      <c r="A24" s="5" t="inlineStr">
        <is>
          <t>Skill Level Bonus — 1st Job</t>
        </is>
      </c>
      <c r="B24" s="6" t="n">
        <v>0</v>
      </c>
    </row>
    <row r="25">
      <c r="A25" s="5" t="inlineStr">
        <is>
          <t>Skill Level Bonus — 2nd Job</t>
        </is>
      </c>
      <c r="B25" s="6" t="n">
        <v>0</v>
      </c>
    </row>
    <row r="26">
      <c r="A26" s="5" t="inlineStr">
        <is>
          <t>Skill Level Bonus — 3rd Job</t>
        </is>
      </c>
      <c r="B26" s="6" t="n">
        <v>0</v>
      </c>
    </row>
    <row r="27">
      <c r="A27" s="5" t="inlineStr">
        <is>
          <t>Skill Level Bonus — 4th Job</t>
        </is>
      </c>
      <c r="B27" s="6" t="n">
        <v>0</v>
      </c>
    </row>
    <row r="28">
      <c r="A28" s="5" t="inlineStr">
        <is>
          <t>Skill Level Bonus — All Skills</t>
        </is>
      </c>
      <c r="B28" s="6" t="n">
        <v>0</v>
      </c>
    </row>
    <row r="30">
      <c r="A30" s="7" t="inlineStr">
        <is>
          <t>Additional Bonuses</t>
        </is>
      </c>
    </row>
    <row r="31">
      <c r="A31" s="5" t="inlineStr">
        <is>
          <t>Skill Cooldown Decrease (seconds, only skills/buffs the character actively casts)</t>
        </is>
      </c>
      <c r="B31" s="6" t="n">
        <v>0</v>
      </c>
    </row>
    <row r="32">
      <c r="A32" s="5" t="inlineStr">
        <is>
          <t>Basic Attack Target Increase (flat, adds to the 6-target normal-monster base)</t>
        </is>
      </c>
      <c r="B32" s="6" t="n">
        <v>1</v>
      </c>
    </row>
    <row r="33">
      <c r="A33" s="5" t="inlineStr">
        <is>
          <t>Buff Duration Increase %</t>
        </is>
      </c>
      <c r="B33" s="6" t="n">
        <v>0</v>
      </c>
    </row>
    <row r="34">
      <c r="A34" s="5" t="inlineStr">
        <is>
          <t>Companion Summoning Time Increase % (companions not modeled — always 0 DPS impact)</t>
        </is>
      </c>
      <c r="B34" s="6" t="n">
        <v>0</v>
      </c>
    </row>
    <row r="35">
      <c r="A35" s="5" t="inlineStr">
        <is>
          <t>Fixed Fight Duration (seconds, boss or normal — leave 0 for steady-state DPS; ignored for pvp)</t>
        </is>
      </c>
      <c r="B35" s="6" t="n">
        <v>0</v>
      </c>
    </row>
    <row r="36">
      <c r="A36" s="5" t="inlineStr">
        <is>
          <t>Chapter Breakthrough: Normal-Monster Weight % (only used when Monster Type = breakthrough)</t>
        </is>
      </c>
      <c r="B36" s="6" t="n">
        <v>60</v>
      </c>
    </row>
    <row r="37">
      <c r="A37" s="5" t="inlineStr">
        <is>
          <t>Max Enemies Actually In Range (normal monsters only; default 999 = uncapped)</t>
        </is>
      </c>
      <c r="B37" s="6" t="n">
        <v>999</v>
      </c>
    </row>
    <row r="38">
      <c r="A38" s="5" t="inlineStr">
        <is>
          <t>Incoming Hit Rate (hits/sec taken — user-estimated, feeds Shadow Shifter's counterattack only)</t>
        </is>
      </c>
      <c r="B38" s="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8" t="inlineStr">
        <is>
          <t>Level</t>
        </is>
      </c>
      <c r="B1" s="8" t="inlineStr">
        <is>
          <t>F0</t>
        </is>
      </c>
      <c r="C1" s="8" t="inlineStr">
        <is>
          <t>F1</t>
        </is>
      </c>
      <c r="D1" s="8" t="inlineStr">
        <is>
          <t>F2</t>
        </is>
      </c>
      <c r="E1" s="8" t="inlineStr">
        <is>
          <t>F3</t>
        </is>
      </c>
      <c r="F1" s="8" t="inlineStr">
        <is>
          <t>F4</t>
        </is>
      </c>
      <c r="G1" s="8" t="inlineStr">
        <is>
          <t>F5</t>
        </is>
      </c>
      <c r="H1" s="8" t="inlineStr">
        <is>
          <t>F6</t>
        </is>
      </c>
      <c r="I1" s="8" t="inlineStr">
        <is>
          <t>F7</t>
        </is>
      </c>
      <c r="J1" s="8" t="inlineStr">
        <is>
          <t>F8</t>
        </is>
      </c>
      <c r="K1" s="8" t="inlineStr">
        <is>
          <t>F9</t>
        </is>
      </c>
      <c r="L1" s="8" t="inlineStr">
        <is>
          <t>F10</t>
        </is>
      </c>
      <c r="M1" s="8" t="inlineStr">
        <is>
          <t>F11</t>
        </is>
      </c>
      <c r="N1" s="8" t="inlineStr">
        <is>
          <t>F12</t>
        </is>
      </c>
      <c r="O1" s="8" t="inlineStr">
        <is>
          <t>F13</t>
        </is>
      </c>
      <c r="P1" s="8" t="inlineStr">
        <is>
          <t>F14</t>
        </is>
      </c>
      <c r="Q1" s="8" t="inlineStr">
        <is>
          <t>F15</t>
        </is>
      </c>
      <c r="R1" s="8" t="inlineStr">
        <is>
          <t>F16</t>
        </is>
      </c>
      <c r="S1" s="8" t="inlineStr">
        <is>
          <t>F17</t>
        </is>
      </c>
      <c r="T1" s="8" t="inlineStr">
        <is>
          <t>F18</t>
        </is>
      </c>
      <c r="U1" s="8" t="inlineStr">
        <is>
          <t>F19</t>
        </is>
      </c>
      <c r="V1" s="8" t="inlineStr">
        <is>
          <t>F20</t>
        </is>
      </c>
      <c r="W1" s="8" t="inlineStr">
        <is>
          <t>F21</t>
        </is>
      </c>
      <c r="X1" s="8" t="inlineStr">
        <is>
          <t>F22</t>
        </is>
      </c>
      <c r="Y1" s="8"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30"/>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17" customWidth="1" min="18" max="18"/>
    <col width="16" customWidth="1" min="19" max="19"/>
    <col width="16" customWidth="1" min="20" max="20"/>
    <col width="17" customWidth="1" min="21" max="21"/>
    <col width="20" customWidth="1" min="22" max="22"/>
    <col width="18" customWidth="1" min="23" max="23"/>
    <col width="15" customWidth="1" min="24" max="24"/>
    <col width="14" customWidth="1" min="25" max="25"/>
    <col width="16" customWidth="1" min="26" max="26"/>
    <col width="20" customWidth="1" min="27" max="27"/>
    <col width="20" customWidth="1" min="28" max="28"/>
    <col width="8" customWidth="1" min="29" max="29"/>
    <col width="60" customWidth="1" min="30" max="30"/>
  </cols>
  <sheetData>
    <row r="1">
      <c r="A1" s="8" t="inlineStr">
        <is>
          <t>Key</t>
        </is>
      </c>
      <c r="B1" s="8" t="inlineStr">
        <is>
          <t>Name</t>
        </is>
      </c>
      <c r="C1" s="8" t="inlineStr">
        <is>
          <t>JobStep</t>
        </is>
      </c>
      <c r="D1" s="8" t="inlineStr">
        <is>
          <t>Cooldown(s)</t>
        </is>
      </c>
      <c r="E1" s="8" t="inlineStr">
        <is>
          <t>CostsActionSlot</t>
        </is>
      </c>
      <c r="F1" s="8" t="inlineStr">
        <is>
          <t>ActionsPerCast</t>
        </is>
      </c>
      <c r="G1" s="8" t="inlineStr">
        <is>
          <t>HitsPerCast</t>
        </is>
      </c>
      <c r="H1" s="8" t="inlineStr">
        <is>
          <t>ICD(s)</t>
        </is>
      </c>
      <c r="I1" s="8" t="inlineStr">
        <is>
          <t>ActiveWindow(s)</t>
        </is>
      </c>
      <c r="J1" s="8" t="inlineStr">
        <is>
          <t>ProcChance%</t>
        </is>
      </c>
      <c r="K1" s="8" t="inlineStr">
        <is>
          <t>RollsPerCast</t>
        </is>
      </c>
      <c r="L1" s="8" t="inlineStr">
        <is>
          <t>BaseDamage(tenths%)</t>
        </is>
      </c>
      <c r="M1" s="8" t="inlineStr">
        <is>
          <t>FactorIndex</t>
        </is>
      </c>
      <c r="N1" s="8" t="inlineStr">
        <is>
          <t>ScalesWithLevel</t>
        </is>
      </c>
      <c r="O1" s="8" t="inlineStr">
        <is>
          <t>SkillMasteryBonus%</t>
        </is>
      </c>
      <c r="P1" s="8" t="inlineStr">
        <is>
          <t>MasteryBossDamage%</t>
        </is>
      </c>
      <c r="Q1" s="8" t="inlineStr">
        <is>
          <t>MasteryNormalDamage%</t>
        </is>
      </c>
      <c r="R1" s="8" t="inlineStr">
        <is>
          <t>MasteryFinalDamage%</t>
        </is>
      </c>
      <c r="S1" s="8" t="inlineStr">
        <is>
          <t>MasteryMaxDamage%</t>
        </is>
      </c>
      <c r="T1" s="8" t="inlineStr">
        <is>
          <t>MasteryMinDamage%</t>
        </is>
      </c>
      <c r="U1" s="8" t="inlineStr">
        <is>
          <t>MasteryCooldownPct</t>
        </is>
      </c>
      <c r="V1" s="8" t="inlineStr">
        <is>
          <t>MasteryTargetIncrease</t>
        </is>
      </c>
      <c r="W1" s="8" t="inlineStr">
        <is>
          <t>NormalMonsterTargets</t>
        </is>
      </c>
      <c r="X1" s="8" t="inlineStr">
        <is>
          <t>BuffTargetStat</t>
        </is>
      </c>
      <c r="Y1" s="8" t="inlineStr">
        <is>
          <t>BuffDuration(s)</t>
        </is>
      </c>
      <c r="Z1" s="8" t="inlineStr">
        <is>
          <t>TriggersToxicVenom</t>
        </is>
      </c>
      <c r="AA1" s="8" t="inlineStr">
        <is>
          <t>MapleHeroBase(tenths%)</t>
        </is>
      </c>
      <c r="AB1" s="8" t="inlineStr">
        <is>
          <t>MapleHeroFactorIndex</t>
        </is>
      </c>
      <c r="AC1" s="8" t="inlineStr">
        <is>
          <t>Stacks</t>
        </is>
      </c>
      <c r="AD1" s="8" t="inlineStr">
        <is>
          <t>Note</t>
        </is>
      </c>
    </row>
    <row r="2">
      <c r="A2" t="inlineStr">
        <is>
          <t>CRUEL_STAB</t>
        </is>
      </c>
      <c r="B2" t="inlineStr">
        <is>
          <t>Cruel Stab</t>
        </is>
      </c>
      <c r="C2" t="n">
        <v>4</v>
      </c>
      <c r="D2" t="inlineStr"/>
      <c r="E2" t="b">
        <v>0</v>
      </c>
      <c r="F2" t="n">
        <v>1</v>
      </c>
      <c r="G2">
        <f>IF(Inputs!$B$3&gt;=136,6,5)</f>
        <v/>
      </c>
      <c r="H2" t="n">
        <v>0</v>
      </c>
      <c r="I2" t="n">
        <v>0</v>
      </c>
      <c r="J2" t="n">
        <v>100</v>
      </c>
      <c r="K2" t="n">
        <v>1</v>
      </c>
      <c r="L2" t="inlineStr"/>
      <c r="M2" t="inlineStr"/>
      <c r="N2" t="b">
        <v>1</v>
      </c>
      <c r="O2">
        <f>SUMPRODUCT((Inputs!$B$3&gt;={102,106,116,120,128,132})*{10,1,1,1,1,1})</f>
        <v/>
      </c>
      <c r="P2">
        <f>SUMPRODUCT((Inputs!$B$3&gt;={111,124})*{10,10})</f>
        <v/>
      </c>
      <c r="Q2" t="n">
        <v>0</v>
      </c>
      <c r="R2" t="n">
        <v>0</v>
      </c>
      <c r="S2" t="n">
        <v>0</v>
      </c>
      <c r="T2" t="n">
        <v>0</v>
      </c>
      <c r="U2" t="n">
        <v>0</v>
      </c>
      <c r="V2" t="n">
        <v>0</v>
      </c>
      <c r="W2">
        <f>6+Inputs!$B$32</f>
        <v/>
      </c>
      <c r="X2" t="inlineStr"/>
      <c r="Y2" t="n">
        <v>0</v>
      </c>
      <c r="Z2" t="b">
        <v>1</v>
      </c>
      <c r="AA2" t="inlineStr"/>
      <c r="AB2" t="inlineStr"/>
      <c r="AC2" t="inlineStr"/>
      <c r="AD2" t="inlineStr">
        <is>
          <t>4th-job basic-attack effect (supersedes Double Stab/Savage Blow/Midnight Carnival). HIGH-CONFIDENCE REUSE of the universal 4th-job basic-attack constant confirmed identical across every class built so far (Showdown/Chain Lightning/Big Bang/Cruel Stab all share this exact wiki-documented 290%-&gt;522% curve) — factorIndex 21, baseDamage 2900 tenths%, matching Inputs!skill_coefficient exactly. SkillMasteryBonus% is the 6-tier 'Cruel Stab - Damage' mastery chain (102-132, cumulative totals 10%-&gt;15%, DELTA increments). MasteryBossDamage% is the 2-tier 'Cruel Stab - Boss Monster Damage' chain (111/124, +20% total). HitsPerCast 5-&gt;6 once the level-136 'Strike' mastery unlocks. Triggers Toxic Venom.</t>
        </is>
      </c>
    </row>
    <row r="3">
      <c r="A3" t="inlineStr">
        <is>
          <t>STEAL</t>
        </is>
      </c>
      <c r="B3" t="inlineStr">
        <is>
          <t>Steal (self Attack%)</t>
        </is>
      </c>
      <c r="C3" t="n">
        <v>2</v>
      </c>
      <c r="D3" t="inlineStr"/>
      <c r="E3" t="b">
        <v>0</v>
      </c>
      <c r="F3" t="n">
        <v>1</v>
      </c>
      <c r="G3" t="n">
        <v>1</v>
      </c>
      <c r="H3" t="n">
        <v>0</v>
      </c>
      <c r="I3" t="n">
        <v>0</v>
      </c>
      <c r="J3" t="n">
        <v>100</v>
      </c>
      <c r="K3" t="n">
        <v>1</v>
      </c>
      <c r="L3" t="n">
        <v>50</v>
      </c>
      <c r="M3" t="n">
        <v>22</v>
      </c>
      <c r="N3" t="b">
        <v>1</v>
      </c>
      <c r="O3" t="n">
        <v>0</v>
      </c>
      <c r="P3" t="n">
        <v>0</v>
      </c>
      <c r="Q3" t="n">
        <v>0</v>
      </c>
      <c r="R3" t="n">
        <v>0</v>
      </c>
      <c r="S3" t="n">
        <v>0</v>
      </c>
      <c r="T3" t="n">
        <v>0</v>
      </c>
      <c r="U3" t="n">
        <v>0</v>
      </c>
      <c r="V3" t="n">
        <v>0</v>
      </c>
      <c r="W3" t="n">
        <v>1</v>
      </c>
      <c r="X3" t="inlineStr">
        <is>
          <t>ATTACK</t>
        </is>
      </c>
      <c r="Y3" t="n">
        <v>0</v>
      </c>
      <c r="Z3" t="b">
        <v>0</v>
      </c>
      <c r="AA3" t="inlineStr"/>
      <c r="AB3" t="inlineStr"/>
      <c r="AC3" t="inlineStr"/>
      <c r="AD3" t="inlineStr">
        <is>
          <t>Own self-Attack-buff component only (target-debuff component out of scope — not the caster's own damage). 5%-&gt;6.5% Attack per stack (levels 1-100), stacks up to 3 — modeled at steady-state max stacks (mirrors Elemental Drain's always-max-stacks convention), so this row's own contribution is 3x its own F-value, always-on once unlocked (no uptime averaging — see build_summary_sheet). factorIndex 22, baseDamage 50 tenths%. Mastery Lv.39 '+5%p activation chance' (10%-&gt;15%) has zero DPS effect under the always-max-stacks assumption (same no-op tier as Bishop's own Elemental-Reset-chance-doubling mastery). Mastery Lv.54 '+50% Attack reduction on target' is a target-debuff, out of scope.</t>
        </is>
      </c>
    </row>
    <row r="4">
      <c r="A4" t="inlineStr">
        <is>
          <t>MESO_EXPLOSION</t>
        </is>
      </c>
      <c r="B4" t="inlineStr">
        <is>
          <t>Meso Explosion</t>
        </is>
      </c>
      <c r="C4" t="n">
        <v>3</v>
      </c>
      <c r="D4" t="n">
        <v>11</v>
      </c>
      <c r="E4" t="b">
        <v>1</v>
      </c>
      <c r="F4" t="n">
        <v>1</v>
      </c>
      <c r="G4" t="n">
        <v>3</v>
      </c>
      <c r="H4" t="n">
        <v>0</v>
      </c>
      <c r="I4" t="n">
        <v>0</v>
      </c>
      <c r="J4" t="n">
        <v>100</v>
      </c>
      <c r="K4" t="n">
        <v>1</v>
      </c>
      <c r="L4" t="n">
        <v>2700</v>
      </c>
      <c r="M4" t="n">
        <v>12</v>
      </c>
      <c r="N4" t="b">
        <v>1</v>
      </c>
      <c r="O4">
        <f>SUMPRODUCT((Inputs!$B$3&gt;={90})*{100})</f>
        <v/>
      </c>
      <c r="P4" t="n">
        <v>0</v>
      </c>
      <c r="Q4" t="n">
        <v>0</v>
      </c>
      <c r="R4" t="n">
        <v>0</v>
      </c>
      <c r="S4" t="n">
        <v>0</v>
      </c>
      <c r="T4" t="n">
        <v>0</v>
      </c>
      <c r="U4" t="n">
        <v>0</v>
      </c>
      <c r="V4" t="n">
        <v>0</v>
      </c>
      <c r="W4" t="inlineStr"/>
      <c r="X4" t="inlineStr"/>
      <c r="Y4" t="n">
        <v>0</v>
      </c>
      <c r="Z4" t="b">
        <v>1</v>
      </c>
      <c r="AA4" t="inlineStr"/>
      <c r="AB4" t="inlineStr"/>
      <c r="AC4" t="inlineStr"/>
      <c r="AD4" t="inlineStr">
        <is>
          <t>Resource-gated activated skill: 50% chance per attack to generate a Meso stack (max 10); own cast (this row's own 11s cooldown) deals damage to (stack count) targets. Modeled at steady state: average stack count at cast time = MIN(10, 0.5*attack_rate*cooldown), computed as a bespoke NormalMonsterTargets-equivalent formula in build_calc_sheet (left blank here, NOT a Skills-sheet literal, since it depends on the live Summary attack-rate cell) — same 'assume steady accumulation' simplification tier as Frost stacks/Elemental Drain elsewhere. factorIndex 12, baseDamage 2700 tenths% (270% level-1). SkillMasteryBonus% is Mastery Lv.90 'Meso Explosion damage +100%' (content-based — the wiki mislabels this row 'Meso Explosion - Strike', ignore the label, the description is unambiguous). Triggers Toxic Venom.</t>
        </is>
      </c>
    </row>
    <row r="5">
      <c r="A5" t="inlineStr">
        <is>
          <t>PHASE_DASH</t>
        </is>
      </c>
      <c r="B5" t="inlineStr">
        <is>
          <t>Phase Dash</t>
        </is>
      </c>
      <c r="C5" t="n">
        <v>3</v>
      </c>
      <c r="D5" t="n">
        <v>23</v>
      </c>
      <c r="E5" t="b">
        <v>1</v>
      </c>
      <c r="F5" t="n">
        <v>1</v>
      </c>
      <c r="G5" t="n">
        <v>2</v>
      </c>
      <c r="H5" t="n">
        <v>0</v>
      </c>
      <c r="I5" t="n">
        <v>0</v>
      </c>
      <c r="J5" t="n">
        <v>100</v>
      </c>
      <c r="K5" t="n">
        <v>1</v>
      </c>
      <c r="L5" t="n">
        <v>4500</v>
      </c>
      <c r="M5" t="n">
        <v>12</v>
      </c>
      <c r="N5" t="b">
        <v>1</v>
      </c>
      <c r="O5">
        <f>SUMPRODUCT((Inputs!$B$3&gt;={73})*{80})</f>
        <v/>
      </c>
      <c r="P5" t="n">
        <v>0</v>
      </c>
      <c r="Q5" t="n">
        <v>0</v>
      </c>
      <c r="R5" t="n">
        <v>0</v>
      </c>
      <c r="S5" t="n">
        <v>0</v>
      </c>
      <c r="T5" t="n">
        <v>0</v>
      </c>
      <c r="U5" t="n">
        <v>0</v>
      </c>
      <c r="V5" t="n">
        <v>0</v>
      </c>
      <c r="W5" t="n">
        <v>9</v>
      </c>
      <c r="X5" t="inlineStr"/>
      <c r="Y5" t="n">
        <v>0</v>
      </c>
      <c r="Z5" t="b">
        <v>1</v>
      </c>
      <c r="AA5" t="inlineStr"/>
      <c r="AB5" t="inlineStr"/>
      <c r="AC5" t="inlineStr"/>
      <c r="AD5" t="inlineStr">
        <is>
          <t>450%-&gt;... to 7 target(s) (patched Aug 13 2026 -&gt; 9, confirmed no tick/interval mechanic exists on this skill's own wiki page to change, despite an initially-mis-paired patch-note line — see the plan's Context section), 2 hits, cooldown 23s, stun not modeled. factorIndex 12, baseDamage 4500 tenths%. Mastery Lv.73 'Phase Dash - Damage' +80% (real SkillMasteryBonus%). Triggers Toxic Venom.</t>
        </is>
      </c>
    </row>
    <row r="6">
      <c r="A6" t="inlineStr">
        <is>
          <t>DARK_FLARE</t>
        </is>
      </c>
      <c r="B6" t="inlineStr">
        <is>
          <t>Dark Flare</t>
        </is>
      </c>
      <c r="C6" t="n">
        <v>3</v>
      </c>
      <c r="D6">
        <f>IF(Inputs!$B$3&gt;=92,45*0.7,45)</f>
        <v/>
      </c>
      <c r="E6" t="b">
        <v>1</v>
      </c>
      <c r="F6" t="n">
        <v>1</v>
      </c>
      <c r="G6">
        <f>IF(Inputs!$B$3&gt;=76,3,2)</f>
        <v/>
      </c>
      <c r="H6">
        <f>IF(Inputs!$B$3&gt;=104,2*0.75,2)</f>
        <v/>
      </c>
      <c r="I6" t="n">
        <v>20</v>
      </c>
      <c r="J6" t="n">
        <v>100</v>
      </c>
      <c r="K6" t="n">
        <v>1</v>
      </c>
      <c r="L6" t="n">
        <v>3300</v>
      </c>
      <c r="M6" t="n">
        <v>12</v>
      </c>
      <c r="N6" t="b">
        <v>1</v>
      </c>
      <c r="O6" t="n">
        <v>0</v>
      </c>
      <c r="P6" t="n">
        <v>0</v>
      </c>
      <c r="Q6" t="n">
        <v>0</v>
      </c>
      <c r="R6" t="n">
        <v>0</v>
      </c>
      <c r="S6" t="n">
        <v>0</v>
      </c>
      <c r="T6" t="n">
        <v>0</v>
      </c>
      <c r="U6">
        <f>IF(Inputs!$B$3&gt;=92,30,0)</f>
        <v/>
      </c>
      <c r="V6" t="n">
        <v>0</v>
      </c>
      <c r="W6" t="n">
        <v>8</v>
      </c>
      <c r="X6" t="inlineStr"/>
      <c r="Y6" t="n">
        <v>0</v>
      </c>
      <c r="Z6" t="b">
        <v>1</v>
      </c>
      <c r="AA6" t="inlineStr"/>
      <c r="AB6" t="inlineStr"/>
      <c r="AC6" t="inlineStr"/>
      <c r="AD6" t="inlineStr">
        <is>
          <t>Shared verbatim w/ Night Lord (identical wiki wording AND identical patch corrections: hit interval 5s-&gt;2s, targets 5-&gt;8, damage 400%-&gt;330%). factorIndex 12, baseDamage 3300 tenths%. Mastery Lv.104 (Shadower's own 'Dark Flare - Strike Interval', -25%, matches Night Lord's own mastery of the same name exactly) baked into the ICD(s) formula; Lv.92 -30% cooldown baked into Cooldown(s). Maple Hero (Shadower) target — see MAPLE_HERO_SHADOWER_RATIOS, NOT the generic MapleHeroBase mechanism (unlike Night Lord's own copy of this row, which uses the generic 'additional damage%' mechanism instead — the two classes' Maple Hero effects are structurally different even though the base skill is identical). Triggers Toxic Venom.</t>
        </is>
      </c>
    </row>
    <row r="7">
      <c r="A7" t="inlineStr">
        <is>
          <t>SHADOW_PARTNER</t>
        </is>
      </c>
      <c r="B7" t="inlineStr">
        <is>
          <t>Shadow Partner</t>
        </is>
      </c>
      <c r="C7" t="n">
        <v>3</v>
      </c>
      <c r="D7" t="inlineStr"/>
      <c r="E7" t="b">
        <v>0</v>
      </c>
      <c r="F7" t="n">
        <v>1</v>
      </c>
      <c r="G7" t="n">
        <v>1</v>
      </c>
      <c r="H7" t="n">
        <v>0</v>
      </c>
      <c r="I7" t="n">
        <v>0</v>
      </c>
      <c r="J7" t="n">
        <v>25</v>
      </c>
      <c r="K7" t="n">
        <v>1</v>
      </c>
      <c r="L7" t="n">
        <v>840</v>
      </c>
      <c r="M7" t="n">
        <v>21</v>
      </c>
      <c r="N7" t="b">
        <v>1</v>
      </c>
      <c r="O7">
        <f>SUMPRODUCT((Inputs!$B$3&gt;={68})*{100})</f>
        <v/>
      </c>
      <c r="P7" t="n">
        <v>0</v>
      </c>
      <c r="Q7" t="n">
        <v>0</v>
      </c>
      <c r="R7" t="n">
        <v>0</v>
      </c>
      <c r="S7" t="n">
        <v>0</v>
      </c>
      <c r="T7" t="n">
        <v>0</v>
      </c>
      <c r="U7" t="n">
        <v>0</v>
      </c>
      <c r="V7" t="n">
        <v>0</v>
      </c>
      <c r="W7" t="n">
        <v>1</v>
      </c>
      <c r="X7" t="inlineStr"/>
      <c r="Y7" t="n">
        <v>0</v>
      </c>
      <c r="Z7" t="b">
        <v>0</v>
      </c>
      <c r="AA7" t="inlineStr"/>
      <c r="AB7" t="inlineStr"/>
      <c r="AC7" t="inlineStr"/>
      <c r="AD7" t="inlineStr">
        <is>
          <t>Shared verbatim w/ Night Lord. Hybrid row: Calc columns D-I computed like a normal damage row but Calc!O forced to 0 — not an independent hit; Summary reads this row's Calc!F directly and folds into the shared extra_mult chain. factorIndex 21, baseDamage 840 tenths%. ProcChance% is the real 25% proc rate. SkillMasteryBonus% is Mastery Lv.68 'Shadow Partner - Damage' +100%. Maple Hero (Shadower) target — see MAPLE_HERO_SHADOWER_RATIOS (structurally different from Night Lord's own copy, same caveat as Dark Flare above).</t>
        </is>
      </c>
    </row>
    <row r="8">
      <c r="A8" t="inlineStr">
        <is>
          <t>VENOM</t>
        </is>
      </c>
      <c r="B8" t="inlineStr">
        <is>
          <t>Venom</t>
        </is>
      </c>
      <c r="C8" t="n">
        <v>3</v>
      </c>
      <c r="D8" t="n">
        <v>1</v>
      </c>
      <c r="E8" t="b">
        <v>0</v>
      </c>
      <c r="F8" t="n">
        <v>1</v>
      </c>
      <c r="G8" t="n">
        <v>1</v>
      </c>
      <c r="H8" t="n">
        <v>0</v>
      </c>
      <c r="I8" t="n">
        <v>0</v>
      </c>
      <c r="J8" t="n">
        <v>100</v>
      </c>
      <c r="K8" t="n">
        <v>1</v>
      </c>
      <c r="L8" t="n">
        <v>450</v>
      </c>
      <c r="M8" t="n">
        <v>21</v>
      </c>
      <c r="N8" t="b">
        <v>1</v>
      </c>
      <c r="O8" t="n">
        <v>0</v>
      </c>
      <c r="P8" t="n">
        <v>0</v>
      </c>
      <c r="Q8" t="n">
        <v>0</v>
      </c>
      <c r="R8" t="n">
        <v>0</v>
      </c>
      <c r="S8" t="n">
        <v>0</v>
      </c>
      <c r="T8" t="n">
        <v>0</v>
      </c>
      <c r="U8" t="n">
        <v>0</v>
      </c>
      <c r="V8" t="n">
        <v>0</v>
      </c>
      <c r="W8" t="n">
        <v>1</v>
      </c>
      <c r="X8" t="inlineStr"/>
      <c r="Y8" t="n">
        <v>0</v>
      </c>
      <c r="Z8" t="b">
        <v>0</v>
      </c>
      <c r="AA8" t="inlineStr"/>
      <c r="AB8" t="inlineStr"/>
      <c r="AC8" t="inlineStr"/>
      <c r="AD8" t="inlineStr">
        <is>
          <t>Shared verbatim w/ Night Lord (patched poison chance 30%-&gt;50%, modeled always-active at steady state — matches Night Lord's own treatment exactly, including the Cooldown=1 'always-on tick' trick). factorIndex 21, baseDamage 450 tenths% (45%-&gt;81%, levels 1-200) — reverse-engineered fresh this session and confirmed to resolve to the EXACT same tuple Night Lord already uses, cross-validating the shared-skill-reuse premise. Mastery Lv.82 Weaken (+15%p Damage Taken while poisoned, patched from 12% — matches Night Lord's own Venom - Weaken mastery exactly, confirmed via the patch note despite the wiki mastery table mislabeling this row 'Meso Explosion - Damage') is a GLOBAL always-on monster-damage-taken bonus, not a per-row Mastery column — see build_summary_sheet. Maple Hero (Shadower) target — see MAPLE_HERO_SHADOWER_RATIOS (structurally different from Night Lord's own copy, same caveat as Dark Flare above).</t>
        </is>
      </c>
    </row>
    <row r="9">
      <c r="A9" t="inlineStr">
        <is>
          <t>TOXIC_VENOM</t>
        </is>
      </c>
      <c r="B9" t="inlineStr">
        <is>
          <t>Toxic Venom</t>
        </is>
      </c>
      <c r="C9" t="n">
        <v>4</v>
      </c>
      <c r="D9" t="inlineStr"/>
      <c r="E9" t="b">
        <v>0</v>
      </c>
      <c r="F9" t="n">
        <v>1</v>
      </c>
      <c r="G9" t="n">
        <v>1</v>
      </c>
      <c r="H9" t="n">
        <v>0</v>
      </c>
      <c r="I9" t="n">
        <v>0</v>
      </c>
      <c r="J9" t="n">
        <v>20</v>
      </c>
      <c r="K9" t="n">
        <v>1</v>
      </c>
      <c r="L9" t="n">
        <v>6000</v>
      </c>
      <c r="M9" t="n">
        <v>21</v>
      </c>
      <c r="N9" t="b">
        <v>1</v>
      </c>
      <c r="O9">
        <f>SUMPRODUCT((Inputs!$B$3&gt;={130})*{100})</f>
        <v/>
      </c>
      <c r="P9" t="n">
        <v>0</v>
      </c>
      <c r="Q9" t="n">
        <v>0</v>
      </c>
      <c r="R9" t="n">
        <v>0</v>
      </c>
      <c r="S9" t="n">
        <v>0</v>
      </c>
      <c r="T9" t="n">
        <v>0</v>
      </c>
      <c r="U9" t="n">
        <v>0</v>
      </c>
      <c r="V9" t="n">
        <v>0</v>
      </c>
      <c r="W9" t="n">
        <v>1</v>
      </c>
      <c r="X9" t="inlineStr"/>
      <c r="Y9" t="n">
        <v>0</v>
      </c>
      <c r="Z9" t="b">
        <v>0</v>
      </c>
      <c r="AA9" t="inlineStr"/>
      <c r="AB9" t="inlineStr"/>
      <c r="AC9" t="inlineStr"/>
      <c r="AD9" t="inlineStr">
        <is>
          <t>Shared verbatim w/ Night Lord. No ICD — every attack against a (permanently poisoned) target independently rolls the 20% chance. Trigger rate = the combined per-second hit rate of every row with TriggersToxicVenom=TRUE. factorIndex 21, baseDamage 6000 tenths% (600%-&gt;1080%, levels 1-200). SkillMasteryBonus% is Mastery Lv.130 'Toxic Venom - Damage' +100% (Shadower's own tier — same mastery name/effect as Night Lord's own Lv.128 tier, just at a different level in this class's own mastery table).</t>
        </is>
      </c>
    </row>
    <row r="10">
      <c r="A10" t="inlineStr">
        <is>
          <t>INTO_DARKNESS</t>
        </is>
      </c>
      <c r="B10" t="inlineStr">
        <is>
          <t>Into Darkness</t>
        </is>
      </c>
      <c r="C10" t="n">
        <v>3</v>
      </c>
      <c r="D10" t="n">
        <v>40</v>
      </c>
      <c r="E10" t="b">
        <v>1</v>
      </c>
      <c r="F10" t="n">
        <v>1</v>
      </c>
      <c r="G10" t="n">
        <v>1</v>
      </c>
      <c r="H10" t="n">
        <v>0</v>
      </c>
      <c r="I10" t="n">
        <v>0</v>
      </c>
      <c r="J10" t="n">
        <v>100</v>
      </c>
      <c r="K10" t="n">
        <v>1</v>
      </c>
      <c r="L10" t="n">
        <v>200</v>
      </c>
      <c r="M10" t="n">
        <v>21</v>
      </c>
      <c r="N10" t="b">
        <v>1</v>
      </c>
      <c r="O10" t="n">
        <v>0</v>
      </c>
      <c r="P10" t="n">
        <v>0</v>
      </c>
      <c r="Q10" t="n">
        <v>0</v>
      </c>
      <c r="R10" t="n">
        <v>0</v>
      </c>
      <c r="S10" t="n">
        <v>0</v>
      </c>
      <c r="T10" t="n">
        <v>0</v>
      </c>
      <c r="U10" t="n">
        <v>0</v>
      </c>
      <c r="V10" t="n">
        <v>0</v>
      </c>
      <c r="W10" t="n">
        <v>1</v>
      </c>
      <c r="X10" t="inlineStr">
        <is>
          <t>FINAL_DAMAGE</t>
        </is>
      </c>
      <c r="Y10" t="n">
        <v>13</v>
      </c>
      <c r="Z10" t="b">
        <v>0</v>
      </c>
      <c r="AA10" t="inlineStr"/>
      <c r="AB10" t="inlineStr"/>
      <c r="AC10" t="inlineStr"/>
      <c r="AD10" t="inlineStr">
        <is>
          <t>FLAGGED (full curve exists, but a genuinely new skill with no cross-class precedent to sanity-check against): +20%-&gt;28% Final Damage for 13s, cooldown 40s. Basic-attack-damage immunity component (defensive) not modeled. factorIndex 21, baseDamage 200 tenths%.</t>
        </is>
      </c>
    </row>
    <row r="11">
      <c r="A11" t="inlineStr">
        <is>
          <t>ASSASSINATE</t>
        </is>
      </c>
      <c r="B11" t="inlineStr">
        <is>
          <t>Assassinate</t>
        </is>
      </c>
      <c r="C11" t="n">
        <v>4</v>
      </c>
      <c r="D11" t="n">
        <v>13</v>
      </c>
      <c r="E11" t="b">
        <v>1</v>
      </c>
      <c r="F11" t="n">
        <v>1</v>
      </c>
      <c r="G11" t="n">
        <v>2</v>
      </c>
      <c r="H11" t="n">
        <v>0</v>
      </c>
      <c r="I11" t="n">
        <v>0</v>
      </c>
      <c r="J11" t="n">
        <v>100</v>
      </c>
      <c r="K11" t="n">
        <v>1</v>
      </c>
      <c r="L11" t="n">
        <v>14000</v>
      </c>
      <c r="M11" t="n">
        <v>21</v>
      </c>
      <c r="N11" t="b">
        <v>1</v>
      </c>
      <c r="O11" t="n">
        <v>0</v>
      </c>
      <c r="P11" t="n">
        <v>0</v>
      </c>
      <c r="Q11" t="n">
        <v>0</v>
      </c>
      <c r="R11" t="n">
        <v>0</v>
      </c>
      <c r="S11" t="n">
        <v>0</v>
      </c>
      <c r="T11" t="n">
        <v>0</v>
      </c>
      <c r="U11" t="n">
        <v>0</v>
      </c>
      <c r="V11" t="n">
        <v>0</v>
      </c>
      <c r="W11" t="n">
        <v>1</v>
      </c>
      <c r="X11" t="inlineStr"/>
      <c r="Y11" t="n">
        <v>0</v>
      </c>
      <c r="Z11" t="b">
        <v>1</v>
      </c>
      <c r="AA11" t="inlineStr"/>
      <c r="AB11" t="inlineStr"/>
      <c r="AC11" t="inlineStr"/>
      <c r="AD11" t="inlineStr">
        <is>
          <t>2-part damage structure: base 1400%-&gt;1680%(lvl50, curve continues) x2 hits (factorIndex 21, baseDamage 14000 tenths%), PLUS a periodic finishing blow (+3000%-&gt;3750%(lvl50) additional damage, factorIndex 12, baseDamage 30000 tenths% — see FINISHER constants below) landing on average every 2nd cast (modeled as a flat 50% average multiplier, not an exact odd/even cast counter). This row needs a BESPOKE Calc!F formula (two independent FactorTable lookups combined additively, the finisher term halved for its average-every-2nd-cast frequency) — see build_calc_sheet. Mastery Lv.108 'Murderous Intent' doubles the NEXT finishing blow after a Blood Money attack — modeled as a steady-state average multiplier on the finisher term (probability = MIN(1, Blood-Money's own cast rate / Assassinate's own finisher rate)), not an exact alternating-state machine. Mastery Lv.134 'Assassinate - Damage' +50% (real, applies to the base-hit term only, matching the wiki's own 'Assassinate damage' wording which doesn't call out the finisher specifically). Curve confidence note: the patch's own qualitative text ('base hit damage now increases more significantly with skill level') has no numeric override — using the wiki's own current curve as the best available data. Triggers Toxic Venom (a genuine independent attack, unlike Venom/Shadow Partner/Shadow Shifter's own deliberate exclusions).</t>
        </is>
      </c>
    </row>
    <row r="12">
      <c r="A12" t="inlineStr">
        <is>
          <t>SUDDEN_RAID_BURST</t>
        </is>
      </c>
      <c r="B12" t="inlineStr">
        <is>
          <t>Sudden Raid (burst)</t>
        </is>
      </c>
      <c r="C12" t="n">
        <v>4</v>
      </c>
      <c r="D12" t="n">
        <v>19</v>
      </c>
      <c r="E12" t="b">
        <v>1</v>
      </c>
      <c r="F12" t="n">
        <v>1</v>
      </c>
      <c r="G12" t="n">
        <v>3</v>
      </c>
      <c r="H12" t="n">
        <v>0</v>
      </c>
      <c r="I12" t="n">
        <v>0</v>
      </c>
      <c r="J12" t="n">
        <v>100</v>
      </c>
      <c r="K12" t="n">
        <v>1</v>
      </c>
      <c r="L12" t="n">
        <v>14000</v>
      </c>
      <c r="M12" t="n">
        <v>12</v>
      </c>
      <c r="N12" t="b">
        <v>1</v>
      </c>
      <c r="O12">
        <f>SUMPRODUCT((Inputs!$B$3&gt;={126})*{50})</f>
        <v/>
      </c>
      <c r="P12" t="n">
        <v>0</v>
      </c>
      <c r="Q12" t="n">
        <v>0</v>
      </c>
      <c r="R12" t="n">
        <v>0</v>
      </c>
      <c r="S12" t="n">
        <v>0</v>
      </c>
      <c r="T12" t="n">
        <v>0</v>
      </c>
      <c r="U12" t="n">
        <v>0</v>
      </c>
      <c r="V12" t="n">
        <v>0</v>
      </c>
      <c r="W12" t="n">
        <v>8</v>
      </c>
      <c r="X12" t="inlineStr"/>
      <c r="Y12" t="n">
        <v>0</v>
      </c>
      <c r="Z12" t="b">
        <v>1</v>
      </c>
      <c r="AA12" t="inlineStr"/>
      <c r="AB12" t="inlineStr"/>
      <c r="AC12" t="inlineStr"/>
      <c r="AD12" t="inlineStr">
        <is>
          <t>Shared verbatim w/ Night Lord. factorIndex 12, baseDamage 14000 tenths% (1400%-&gt;2800%, levels 1-200). Mastery Lv.126 'Sudden Raid - Damage' +50% (Shadower's own tier, at a different level than Night Lord's own Lv.124 tier for the same mastery name — each class's mastery TABLE assigns its own level to a shared base skill's mastery, confirmed not an error). Does not apply to the DoT row below.</t>
        </is>
      </c>
    </row>
    <row r="13">
      <c r="A13" t="inlineStr">
        <is>
          <t>SUDDEN_RAID_DOT</t>
        </is>
      </c>
      <c r="B13" t="inlineStr">
        <is>
          <t>Sudden Raid (DoT)</t>
        </is>
      </c>
      <c r="C13" t="n">
        <v>4</v>
      </c>
      <c r="D13">
        <f>Skills!D12</f>
        <v/>
      </c>
      <c r="E13" t="b">
        <v>0</v>
      </c>
      <c r="F13" t="n">
        <v>1</v>
      </c>
      <c r="G13" t="n">
        <v>1</v>
      </c>
      <c r="H13" t="n">
        <v>1</v>
      </c>
      <c r="I13" t="n">
        <v>5</v>
      </c>
      <c r="J13" t="n">
        <v>100</v>
      </c>
      <c r="K13" t="n">
        <v>1</v>
      </c>
      <c r="L13" t="n">
        <v>3600</v>
      </c>
      <c r="M13" t="n">
        <v>12</v>
      </c>
      <c r="N13" t="b">
        <v>1</v>
      </c>
      <c r="O13" t="n">
        <v>0</v>
      </c>
      <c r="P13" t="n">
        <v>0</v>
      </c>
      <c r="Q13" t="n">
        <v>0</v>
      </c>
      <c r="R13" t="n">
        <v>0</v>
      </c>
      <c r="S13" t="n">
        <v>0</v>
      </c>
      <c r="T13" t="n">
        <v>0</v>
      </c>
      <c r="U13" t="n">
        <v>0</v>
      </c>
      <c r="V13" t="n">
        <v>0</v>
      </c>
      <c r="W13" t="n">
        <v>8</v>
      </c>
      <c r="X13" t="inlineStr"/>
      <c r="Y13" t="n">
        <v>0</v>
      </c>
      <c r="Z13" t="b">
        <v>1</v>
      </c>
      <c r="AA13" t="inlineStr"/>
      <c r="AB13" t="inlineStr"/>
      <c r="AC13" t="inlineStr"/>
      <c r="AD13" t="inlineStr">
        <is>
          <t>Shared verbatim w/ Night Lord. Shares Sudden Raid (burst)'s live Cooldown(s) cell. factorIndex 12, baseDamage 3600 tenths% (360%-&gt;720%, levels 1-200), 5s window / 1s ICD = 5 EffectiveHits per cast.</t>
        </is>
      </c>
    </row>
    <row r="14">
      <c r="A14" t="inlineStr">
        <is>
          <t>BLOOD_MONEY</t>
        </is>
      </c>
      <c r="B14" t="inlineStr">
        <is>
          <t>Blood Money</t>
        </is>
      </c>
      <c r="C14" t="n">
        <v>4</v>
      </c>
      <c r="D14">
        <f>Skills!D4</f>
        <v/>
      </c>
      <c r="E14" t="b">
        <v>0</v>
      </c>
      <c r="F14" t="n">
        <v>1</v>
      </c>
      <c r="G14" t="n">
        <v>3</v>
      </c>
      <c r="H14" t="n">
        <v>0</v>
      </c>
      <c r="I14" t="n">
        <v>0</v>
      </c>
      <c r="J14" t="n">
        <v>100</v>
      </c>
      <c r="K14" t="n">
        <v>1</v>
      </c>
      <c r="L14" t="n">
        <v>36000</v>
      </c>
      <c r="M14" t="n">
        <v>12</v>
      </c>
      <c r="N14" t="b">
        <v>1</v>
      </c>
      <c r="O14">
        <f>SUMPRODUCT((Inputs!$B$3&gt;={122,138})*{50,50})</f>
        <v/>
      </c>
      <c r="P14" t="n">
        <v>0</v>
      </c>
      <c r="Q14" t="n">
        <v>0</v>
      </c>
      <c r="R14" t="n">
        <v>0</v>
      </c>
      <c r="S14" t="n">
        <v>0</v>
      </c>
      <c r="T14" t="n">
        <v>0</v>
      </c>
      <c r="U14" t="n">
        <v>0</v>
      </c>
      <c r="V14">
        <f>IF(Inputs!$B$3&gt;=138,3,IF(Inputs!$B$3&gt;=122,2,1))</f>
        <v/>
      </c>
      <c r="W14" t="inlineStr"/>
      <c r="X14" t="inlineStr"/>
      <c r="Y14" t="n">
        <v>0</v>
      </c>
      <c r="Z14" t="b">
        <v>1</v>
      </c>
      <c r="AA14" t="inlineStr"/>
      <c r="AB14" t="inlineStr"/>
      <c r="AC14" t="inlineStr"/>
      <c r="AD14" t="inlineStr">
        <is>
          <t>PATCHED (Aug 13 2026): base damage 2800%-&gt;3600% (curve rescaled 1.2857x before reverse-engineering — factorIndex 12, baseDamage 36000 tenths% already reflects the patched value), single-target +5%/stack bonus REMOVED. Triggers alongside Meso Explosion's own cast (shares its live Cooldown(s) cell, no independent cooldown) — 50% chance PER meso-generation-roll to also create a Blood Money stack (max 5), modeled at steady state: MIN(5, 0.25*attack_rate*11) (0.5 meso-chance x 0.5 blood-money-chance), a bespoke NormalMonsterTargets-equivalent formula in build_calc_sheet (left blank here, same treatment as Meso Explosion's own targets formula). MasteryTargetIncrease field repurposed here as the stack-to-targets MULTIPLIER (1x pre-122, 2x at 122, 3x at 138 — both Lv.122 and Lv.138 masteries renamed 'Damage &amp; Target' by the patch, see the plan's Context section for the full before/after reconciliation). SkillMasteryBonus% is the combined +50%(122)+50%(138) = +100% total once both unlock. Triggers Toxic Venom.</t>
        </is>
      </c>
    </row>
    <row r="15">
      <c r="A15" t="inlineStr">
        <is>
          <t>SMOKESCREEN</t>
        </is>
      </c>
      <c r="B15" t="inlineStr">
        <is>
          <t>Smokescreen</t>
        </is>
      </c>
      <c r="C15" t="n">
        <v>4</v>
      </c>
      <c r="D15" t="n">
        <v>45</v>
      </c>
      <c r="E15" t="b">
        <v>1</v>
      </c>
      <c r="F15" t="n">
        <v>1</v>
      </c>
      <c r="G15" t="n">
        <v>1</v>
      </c>
      <c r="H15" t="n">
        <v>0</v>
      </c>
      <c r="I15" t="n">
        <v>0</v>
      </c>
      <c r="J15" t="n">
        <v>100</v>
      </c>
      <c r="K15" t="n">
        <v>1</v>
      </c>
      <c r="L15" t="n">
        <v>130</v>
      </c>
      <c r="M15" t="n">
        <v>22</v>
      </c>
      <c r="N15" t="b">
        <v>1</v>
      </c>
      <c r="O15" t="n">
        <v>0</v>
      </c>
      <c r="P15" t="n">
        <v>0</v>
      </c>
      <c r="Q15" t="n">
        <v>0</v>
      </c>
      <c r="R15" t="n">
        <v>0</v>
      </c>
      <c r="S15" t="n">
        <v>0</v>
      </c>
      <c r="T15" t="n">
        <v>0</v>
      </c>
      <c r="U15" t="n">
        <v>0</v>
      </c>
      <c r="V15" t="n">
        <v>0</v>
      </c>
      <c r="W15" t="n">
        <v>1</v>
      </c>
      <c r="X15" t="inlineStr">
        <is>
          <t>FINAL_DAMAGE</t>
        </is>
      </c>
      <c r="Y15" t="n">
        <v>20</v>
      </c>
      <c r="Z15" t="b">
        <v>0</v>
      </c>
      <c r="AA15" t="inlineStr"/>
      <c r="AB15" t="inlineStr"/>
      <c r="AC15" t="inlineStr"/>
      <c r="AD15" t="inlineStr">
        <is>
          <t>Enemy-debuff components (Accuracy/Evasion/Defense reduction) and ally-damage-taken-reduction not modeled (no such mechanics exist anywhere in this calculator). Self Final Damage component only: +13%-&gt;14.9%(lvl50, curve continues) for 20s, cooldown 45s. factorIndex 22, baseDamage 130 tenths% — confirmed via exact-floor curve matching (the naive mean-based resolver initially suggested 129, off by one due to this being a small-magnitude curve, same class of rounding issue flagged in this project's own memory notes for FP-Mage — resolved by checking which integer base reproduces every sampled level's value exactly under floor-to-1-decimal rounding, not just within a loose tolerance). Mastery Lv.113 'Smokescreen - Critical': -10% enemy Critical Resistance in range (not modeled) + allies' Critical Damage +30% (self-inclusive, feeds a Crit-Damage-bonus accumulator in build_summary_sheet, duty-cycle-averaged off this row's own uptime).</t>
        </is>
      </c>
    </row>
    <row r="16">
      <c r="A16" t="inlineStr">
        <is>
          <t>SHADOW_SHIFTER</t>
        </is>
      </c>
      <c r="B16" t="inlineStr">
        <is>
          <t>Shadow Shifter (counterattack)</t>
        </is>
      </c>
      <c r="C16" t="n">
        <v>4</v>
      </c>
      <c r="D16" t="inlineStr"/>
      <c r="E16" t="b">
        <v>0</v>
      </c>
      <c r="F16" t="n">
        <v>1</v>
      </c>
      <c r="G16" t="n">
        <v>1</v>
      </c>
      <c r="H16" t="n">
        <v>0</v>
      </c>
      <c r="I16" t="n">
        <v>0</v>
      </c>
      <c r="J16" t="n">
        <v>100</v>
      </c>
      <c r="K16" t="n">
        <v>1</v>
      </c>
      <c r="L16" t="n">
        <v>25000</v>
      </c>
      <c r="M16" t="n">
        <v>21</v>
      </c>
      <c r="N16" t="b">
        <v>1</v>
      </c>
      <c r="O16" t="n">
        <v>0</v>
      </c>
      <c r="P16" t="n">
        <v>0</v>
      </c>
      <c r="Q16" t="n">
        <v>0</v>
      </c>
      <c r="R16" t="n">
        <v>0</v>
      </c>
      <c r="S16" t="n">
        <v>0</v>
      </c>
      <c r="T16" t="n">
        <v>0</v>
      </c>
      <c r="U16" t="n">
        <v>0</v>
      </c>
      <c r="V16" t="n">
        <v>0</v>
      </c>
      <c r="W16" t="n">
        <v>1</v>
      </c>
      <c r="X16" t="inlineStr"/>
      <c r="Y16" t="n">
        <v>0</v>
      </c>
      <c r="Z16" t="b">
        <v>0</v>
      </c>
      <c r="AA16" t="inlineStr"/>
      <c r="AB16" t="inlineStr"/>
      <c r="AC16" t="inlineStr"/>
      <c r="AD16" t="inlineStr">
        <is>
          <t>Shared verbatim w/ Night Lord. Counterattack DPS = Inputs!incoming_hit_rate * 20% * ExpectedDamage(counterHit) — bespoke O-column branch, no Cooldown(s)/rate machinery of its own. factorIndex 21, baseDamage 25000 tenths% (2500%-&gt;4500%, levels 1-200).</t>
        </is>
      </c>
    </row>
    <row r="17">
      <c r="A17" t="inlineStr">
        <is>
          <t>SHADOW_SHIFTER_SELF_ATK</t>
        </is>
      </c>
      <c r="B17" t="inlineStr">
        <is>
          <t>Shadow Shifter (self Attack%)</t>
        </is>
      </c>
      <c r="C17" t="n">
        <v>4</v>
      </c>
      <c r="D17" t="inlineStr"/>
      <c r="E17" t="b">
        <v>0</v>
      </c>
      <c r="F17" t="n">
        <v>1</v>
      </c>
      <c r="G17" t="n">
        <v>1</v>
      </c>
      <c r="H17" t="n">
        <v>0</v>
      </c>
      <c r="I17" t="n">
        <v>0</v>
      </c>
      <c r="J17" t="n">
        <v>100</v>
      </c>
      <c r="K17" t="n">
        <v>1</v>
      </c>
      <c r="L17" t="n">
        <v>100</v>
      </c>
      <c r="M17" t="n">
        <v>22</v>
      </c>
      <c r="N17" t="b">
        <v>1</v>
      </c>
      <c r="O17" t="n">
        <v>0</v>
      </c>
      <c r="P17" t="n">
        <v>0</v>
      </c>
      <c r="Q17" t="n">
        <v>0</v>
      </c>
      <c r="R17" t="n">
        <v>0</v>
      </c>
      <c r="S17" t="n">
        <v>0</v>
      </c>
      <c r="T17" t="n">
        <v>0</v>
      </c>
      <c r="U17" t="n">
        <v>0</v>
      </c>
      <c r="V17" t="n">
        <v>0</v>
      </c>
      <c r="W17" t="n">
        <v>1</v>
      </c>
      <c r="X17" t="inlineStr">
        <is>
          <t>ATTACK</t>
        </is>
      </c>
      <c r="Y17" t="n">
        <v>0</v>
      </c>
      <c r="Z17" t="b">
        <v>0</v>
      </c>
      <c r="AA17" t="inlineStr"/>
      <c r="AB17" t="inlineStr"/>
      <c r="AC17" t="inlineStr"/>
      <c r="AD17" t="inlineStr">
        <is>
          <t>Shared verbatim w/ Night Lord. Passive-mult delta-tracking row (10%-&gt;16% self Attack) — assumed already baked into Inputs!ATTACK_PCT (Magic Critical pattern). factorIndex 22, baseDamage 100 tenths%.</t>
        </is>
      </c>
    </row>
    <row r="18">
      <c r="A18" t="inlineStr">
        <is>
          <t>MAPLE_HERO_SHADOWER</t>
        </is>
      </c>
      <c r="B18" t="inlineStr">
        <is>
          <t>Maple Hero</t>
        </is>
      </c>
      <c r="C18" t="n">
        <v>4</v>
      </c>
      <c r="D18" t="inlineStr"/>
      <c r="E18" t="b">
        <v>0</v>
      </c>
      <c r="F18" t="n">
        <v>1</v>
      </c>
      <c r="G18" t="n">
        <v>1</v>
      </c>
      <c r="H18" t="n">
        <v>0</v>
      </c>
      <c r="I18" t="n">
        <v>0</v>
      </c>
      <c r="J18" t="n">
        <v>100</v>
      </c>
      <c r="K18" t="n">
        <v>1</v>
      </c>
      <c r="L18" t="n">
        <v>150</v>
      </c>
      <c r="M18" t="n">
        <v>23</v>
      </c>
      <c r="N18" t="b">
        <v>1</v>
      </c>
      <c r="O18" t="n">
        <v>0</v>
      </c>
      <c r="P18" t="n">
        <v>0</v>
      </c>
      <c r="Q18" t="n">
        <v>0</v>
      </c>
      <c r="R18" t="n">
        <v>0</v>
      </c>
      <c r="S18" t="n">
        <v>0</v>
      </c>
      <c r="T18" t="n">
        <v>0</v>
      </c>
      <c r="U18" t="n">
        <v>0</v>
      </c>
      <c r="V18" t="n">
        <v>0</v>
      </c>
      <c r="W18" t="n">
        <v>1</v>
      </c>
      <c r="X18" t="inlineStr"/>
      <c r="Y18" t="n">
        <v>0</v>
      </c>
      <c r="Z18" t="b">
        <v>0</v>
      </c>
      <c r="AA18" t="inlineStr"/>
      <c r="AB18" t="inlineStr"/>
      <c r="AC18" t="inlineStr"/>
      <c r="AD18" t="inlineStr">
        <is>
          <t>Shared curve feeding Dark Flare/Venom/Shadow Partner/Phase Dash's own Final Damage chains (see MAPLE_HERO_SHADOWER_RATIOS) — confirmed via reverse-engineering that all 4 target values scale proportionally across the full level range (factorIndex 23, baseDamage 150 tenths%, representing Dark Flare's own 1x share; Venom/Shadow Partner are 3.3333x, Phase Dash is 2.6667x). No independent DPS row of its own (Calc columns J-N stay blank/0, same 'no independent row' pattern as Night Lord's own Night Lord's Mark) — only D/E/F are computed, read directly by each target row's own K-column formula.</t>
        </is>
      </c>
    </row>
    <row r="19">
      <c r="A19" t="inlineStr">
        <is>
          <t>NIMBLE_FEET</t>
        </is>
      </c>
      <c r="B19" t="inlineStr">
        <is>
          <t>Nimble Feet</t>
        </is>
      </c>
      <c r="C19" t="n">
        <v>1</v>
      </c>
      <c r="D19" t="n">
        <v>60</v>
      </c>
      <c r="E19" t="b">
        <v>1</v>
      </c>
      <c r="F19" t="n">
        <v>1</v>
      </c>
      <c r="G19" t="n">
        <v>1</v>
      </c>
      <c r="H19" t="n">
        <v>0</v>
      </c>
      <c r="I19" t="n">
        <v>0</v>
      </c>
      <c r="J19" t="n">
        <v>100</v>
      </c>
      <c r="K19" t="n">
        <v>1</v>
      </c>
      <c r="L19" t="n">
        <v>150</v>
      </c>
      <c r="M19" t="n">
        <v>0</v>
      </c>
      <c r="N19" t="b">
        <v>0</v>
      </c>
      <c r="O19" t="n">
        <v>0</v>
      </c>
      <c r="P19" t="n">
        <v>0</v>
      </c>
      <c r="Q19" t="n">
        <v>0</v>
      </c>
      <c r="R19" t="n">
        <v>0</v>
      </c>
      <c r="S19" t="n">
        <v>0</v>
      </c>
      <c r="T19" t="n">
        <v>0</v>
      </c>
      <c r="U19" t="n">
        <v>0</v>
      </c>
      <c r="V19" t="n">
        <v>0</v>
      </c>
      <c r="W19" t="n">
        <v>1</v>
      </c>
      <c r="X19" t="inlineStr">
        <is>
          <t>ATTACK_SPEED</t>
        </is>
      </c>
      <c r="Y19" t="n">
        <v>15</v>
      </c>
      <c r="Z19" t="b">
        <v>0</v>
      </c>
      <c r="AA19" t="inlineStr"/>
      <c r="AB19" t="inlineStr"/>
      <c r="AC19" t="inlineStr"/>
      <c r="AD19" t="inlineStr">
        <is>
          <t>Shared verbatim w/ Night Lord/FP-Mage. Flat +15% Attack Speed / +10% Speed for 15s, 60s cooldown, non-scaling. FactorIndex unused placeholder.</t>
        </is>
      </c>
    </row>
    <row r="20">
      <c r="A20" t="inlineStr">
        <is>
          <t>DARK_SIGHT_CRIT</t>
        </is>
      </c>
      <c r="B20" t="inlineStr">
        <is>
          <t>Dark Sight (Crit Rate)</t>
        </is>
      </c>
      <c r="C20" t="n">
        <v>1</v>
      </c>
      <c r="D20" t="n">
        <v>25</v>
      </c>
      <c r="E20" t="b">
        <v>0</v>
      </c>
      <c r="F20" t="n">
        <v>1</v>
      </c>
      <c r="G20" t="n">
        <v>1</v>
      </c>
      <c r="H20" t="n">
        <v>0</v>
      </c>
      <c r="I20" t="n">
        <v>0</v>
      </c>
      <c r="J20" t="n">
        <v>100</v>
      </c>
      <c r="K20" t="n">
        <v>1</v>
      </c>
      <c r="L20" t="n">
        <v>60</v>
      </c>
      <c r="M20" t="n">
        <v>21</v>
      </c>
      <c r="N20" t="b">
        <v>1</v>
      </c>
      <c r="O20" t="n">
        <v>0</v>
      </c>
      <c r="P20" t="n">
        <v>0</v>
      </c>
      <c r="Q20" t="n">
        <v>0</v>
      </c>
      <c r="R20" t="n">
        <v>0</v>
      </c>
      <c r="S20" t="n">
        <v>0</v>
      </c>
      <c r="T20" t="n">
        <v>0</v>
      </c>
      <c r="U20" t="n">
        <v>0</v>
      </c>
      <c r="V20" t="n">
        <v>0</v>
      </c>
      <c r="W20" t="n">
        <v>1</v>
      </c>
      <c r="X20" t="inlineStr">
        <is>
          <t>CRIT_RATE</t>
        </is>
      </c>
      <c r="Y20">
        <f>IF(Inputs!$B$3&gt;=24,12,8)</f>
        <v/>
      </c>
      <c r="Z20" t="b">
        <v>0</v>
      </c>
      <c r="AA20" t="inlineStr"/>
      <c r="AB20" t="inlineStr"/>
      <c r="AC20" t="inlineStr"/>
      <c r="AD20" t="inlineStr">
        <is>
          <t>Shared verbatim w/ Night Lord (identical wording). Two-stage activation grants +6%-&gt;8.4% Crit Rate for 8s (-&gt;12s once Mastery Lv.24 'Dark Sight - Persistence' unlocks). factorIndex 21, baseDamage 60 tenths%. Passenger row (CostsActionSlot=False).</t>
        </is>
      </c>
    </row>
    <row r="21">
      <c r="A21" t="inlineStr">
        <is>
          <t>DARK_SIGHT_ATK</t>
        </is>
      </c>
      <c r="B21" t="inlineStr">
        <is>
          <t>Dark Sight (Attack)</t>
        </is>
      </c>
      <c r="C21" t="n">
        <v>1</v>
      </c>
      <c r="D21" t="n">
        <v>25</v>
      </c>
      <c r="E21" t="b">
        <v>1</v>
      </c>
      <c r="F21" t="n">
        <v>2</v>
      </c>
      <c r="G21" t="n">
        <v>1</v>
      </c>
      <c r="H21" t="n">
        <v>0</v>
      </c>
      <c r="I21" t="n">
        <v>0</v>
      </c>
      <c r="J21" t="n">
        <v>100</v>
      </c>
      <c r="K21" t="n">
        <v>1</v>
      </c>
      <c r="L21" t="n">
        <v>100</v>
      </c>
      <c r="M21" t="n">
        <v>21</v>
      </c>
      <c r="N21" t="b">
        <v>1</v>
      </c>
      <c r="O21" t="n">
        <v>0</v>
      </c>
      <c r="P21" t="n">
        <v>0</v>
      </c>
      <c r="Q21" t="n">
        <v>0</v>
      </c>
      <c r="R21" t="n">
        <v>0</v>
      </c>
      <c r="S21" t="n">
        <v>0</v>
      </c>
      <c r="T21" t="n">
        <v>0</v>
      </c>
      <c r="U21" t="n">
        <v>0</v>
      </c>
      <c r="V21" t="n">
        <v>0</v>
      </c>
      <c r="W21" t="n">
        <v>1</v>
      </c>
      <c r="X21" t="inlineStr">
        <is>
          <t>ATTACK</t>
        </is>
      </c>
      <c r="Y21">
        <f>IF(Inputs!$B$3&gt;=24,12,8)</f>
        <v/>
      </c>
      <c r="Z21" t="b">
        <v>0</v>
      </c>
      <c r="AA21" t="inlineStr"/>
      <c r="AB21" t="inlineStr"/>
      <c r="AC21" t="inlineStr"/>
      <c r="AD21" t="inlineStr">
        <is>
          <t>Shared verbatim w/ Night Lord. Same 2-stage activation, +10%-&gt;14% Attack for 8s (-&gt;12s at Mastery Lv.24). factorIndex 21, baseDamage 100 tenths%. ActionsPerCast=2.</t>
        </is>
      </c>
    </row>
    <row r="22">
      <c r="A22" t="inlineStr">
        <is>
          <t>AGILE_DAGGERS</t>
        </is>
      </c>
      <c r="B22" t="inlineStr">
        <is>
          <t>Agile Daggers</t>
        </is>
      </c>
      <c r="C22" t="n">
        <v>2</v>
      </c>
      <c r="D22" t="inlineStr"/>
      <c r="E22" t="b">
        <v>0</v>
      </c>
      <c r="F22" t="n">
        <v>1</v>
      </c>
      <c r="G22" t="n">
        <v>1</v>
      </c>
      <c r="H22" t="n">
        <v>0</v>
      </c>
      <c r="I22" t="n">
        <v>0</v>
      </c>
      <c r="J22" t="n">
        <v>100</v>
      </c>
      <c r="K22" t="n">
        <v>1</v>
      </c>
      <c r="L22" t="n">
        <v>50</v>
      </c>
      <c r="M22" t="n">
        <v>22</v>
      </c>
      <c r="N22" t="b">
        <v>1</v>
      </c>
      <c r="O22" t="n">
        <v>0</v>
      </c>
      <c r="P22" t="n">
        <v>0</v>
      </c>
      <c r="Q22" t="n">
        <v>0</v>
      </c>
      <c r="R22" t="n">
        <v>0</v>
      </c>
      <c r="S22" t="n">
        <v>0</v>
      </c>
      <c r="T22" t="n">
        <v>0</v>
      </c>
      <c r="U22" t="n">
        <v>0</v>
      </c>
      <c r="V22" t="n">
        <v>0</v>
      </c>
      <c r="W22" t="n">
        <v>1</v>
      </c>
      <c r="X22" t="inlineStr">
        <is>
          <t>ATTACK_SPEED</t>
        </is>
      </c>
      <c r="Y22" t="n">
        <v>0</v>
      </c>
      <c r="Z22" t="b">
        <v>0</v>
      </c>
      <c r="AA22" t="inlineStr"/>
      <c r="AB22" t="inlineStr"/>
      <c r="AC22" t="inlineStr"/>
      <c r="AD22" t="inlineStr">
        <is>
          <t>HIGH-CONFIDENCE REUSE (no individual wiki page exists for this specific skill, but its level-1 text '+5% Attack Speed' is word-for-word identical to Night Lord's own Agile Claws): reuses that exact factorIndex 22/baseDamage 50 tenths% pair. Magic Critical pattern — already baked into Inputs!ATTACK_SPEED%; feeds the 2nd-Job Skill Level Bonus Sensitivity delta only.</t>
        </is>
      </c>
    </row>
    <row r="23">
      <c r="A23" t="inlineStr">
        <is>
          <t>CHANNEL_KARMA</t>
        </is>
      </c>
      <c r="B23" t="inlineStr">
        <is>
          <t>Channel Karma (self Attack%)</t>
        </is>
      </c>
      <c r="C23" t="n">
        <v>2</v>
      </c>
      <c r="D23" t="inlineStr"/>
      <c r="E23" t="b">
        <v>0</v>
      </c>
      <c r="F23" t="n">
        <v>1</v>
      </c>
      <c r="G23" t="n">
        <v>1</v>
      </c>
      <c r="H23" t="n">
        <v>0</v>
      </c>
      <c r="I23" t="n">
        <v>0</v>
      </c>
      <c r="J23" t="n">
        <v>100</v>
      </c>
      <c r="K23" t="n">
        <v>1</v>
      </c>
      <c r="L23" t="n">
        <v>80</v>
      </c>
      <c r="M23" t="n">
        <v>22</v>
      </c>
      <c r="N23" t="b">
        <v>1</v>
      </c>
      <c r="O23" t="n">
        <v>0</v>
      </c>
      <c r="P23" t="n">
        <v>0</v>
      </c>
      <c r="Q23" t="n">
        <v>0</v>
      </c>
      <c r="R23" t="n">
        <v>0</v>
      </c>
      <c r="S23" t="n">
        <v>0</v>
      </c>
      <c r="T23" t="n">
        <v>0</v>
      </c>
      <c r="U23" t="n">
        <v>0</v>
      </c>
      <c r="V23" t="n">
        <v>0</v>
      </c>
      <c r="W23" t="n">
        <v>1</v>
      </c>
      <c r="X23" t="inlineStr">
        <is>
          <t>ATTACK</t>
        </is>
      </c>
      <c r="Y23" t="n">
        <v>0</v>
      </c>
      <c r="Z23" t="b">
        <v>0</v>
      </c>
      <c r="AA23" t="inlineStr"/>
      <c r="AB23" t="inlineStr"/>
      <c r="AC23" t="inlineStr"/>
      <c r="AD23" t="inlineStr">
        <is>
          <t>FLAGGED ASSUMPTION (no individual wiki page exists): factorIndex 22 (convention), baseDamage 80 tenths% (8% level-1 Attack component). Critical Resistance component not modeled (no such mechanic exists). Magic Critical pattern — already baked into Inputs!ATTACK_PCT; feeds the 2nd-Job Skill Level Bonus delta only.</t>
        </is>
      </c>
    </row>
    <row r="24">
      <c r="A24" t="inlineStr">
        <is>
          <t>DAGGER_MASTERY</t>
        </is>
      </c>
      <c r="B24" t="inlineStr">
        <is>
          <t>Dagger Mastery</t>
        </is>
      </c>
      <c r="C24" t="n">
        <v>2</v>
      </c>
      <c r="D24" t="inlineStr"/>
      <c r="E24" t="b">
        <v>0</v>
      </c>
      <c r="F24" t="n">
        <v>1</v>
      </c>
      <c r="G24" t="n">
        <v>1</v>
      </c>
      <c r="H24" t="n">
        <v>0</v>
      </c>
      <c r="I24" t="n">
        <v>0</v>
      </c>
      <c r="J24" t="n">
        <v>100</v>
      </c>
      <c r="K24" t="n">
        <v>1</v>
      </c>
      <c r="L24" t="n">
        <v>150</v>
      </c>
      <c r="M24" t="n">
        <v>22</v>
      </c>
      <c r="N24" t="b">
        <v>1</v>
      </c>
      <c r="O24" t="n">
        <v>0</v>
      </c>
      <c r="P24" t="n">
        <v>0</v>
      </c>
      <c r="Q24" t="n">
        <v>0</v>
      </c>
      <c r="R24" t="n">
        <v>0</v>
      </c>
      <c r="S24" t="n">
        <v>0</v>
      </c>
      <c r="T24" t="n">
        <v>0</v>
      </c>
      <c r="U24" t="n">
        <v>0</v>
      </c>
      <c r="V24" t="n">
        <v>0</v>
      </c>
      <c r="W24" t="n">
        <v>1</v>
      </c>
      <c r="X24" t="inlineStr">
        <is>
          <t>MIN_DAMAGE</t>
        </is>
      </c>
      <c r="Y24" t="n">
        <v>0</v>
      </c>
      <c r="Z24" t="b">
        <v>0</v>
      </c>
      <c r="AA24" t="inlineStr"/>
      <c r="AB24" t="inlineStr"/>
      <c r="AC24" t="inlineStr"/>
      <c r="AD24" t="inlineStr">
        <is>
          <t>Magic Critical pattern — already baked into Inputs!MIN_DAMAGE%; feeds the 2nd-Job Skill Level Bonus delta. factorIndex 22, baseDamage 150 tenths%.</t>
        </is>
      </c>
    </row>
    <row r="25">
      <c r="A25" t="inlineStr">
        <is>
          <t>CRITICAL_EDGE_RATE</t>
        </is>
      </c>
      <c r="B25" t="inlineStr">
        <is>
          <t>Critical Edge (Crit Rate)</t>
        </is>
      </c>
      <c r="C25" t="n">
        <v>2</v>
      </c>
      <c r="D25" t="inlineStr"/>
      <c r="E25" t="b">
        <v>0</v>
      </c>
      <c r="F25" t="n">
        <v>1</v>
      </c>
      <c r="G25" t="n">
        <v>1</v>
      </c>
      <c r="H25" t="n">
        <v>0</v>
      </c>
      <c r="I25" t="n">
        <v>0</v>
      </c>
      <c r="J25" t="n">
        <v>100</v>
      </c>
      <c r="K25" t="n">
        <v>1</v>
      </c>
      <c r="L25" t="n">
        <v>60</v>
      </c>
      <c r="M25" t="n">
        <v>22</v>
      </c>
      <c r="N25" t="b">
        <v>1</v>
      </c>
      <c r="O25" t="n">
        <v>0</v>
      </c>
      <c r="P25" t="n">
        <v>0</v>
      </c>
      <c r="Q25" t="n">
        <v>0</v>
      </c>
      <c r="R25" t="n">
        <v>0</v>
      </c>
      <c r="S25" t="n">
        <v>0</v>
      </c>
      <c r="T25" t="n">
        <v>0</v>
      </c>
      <c r="U25" t="n">
        <v>0</v>
      </c>
      <c r="V25" t="n">
        <v>0</v>
      </c>
      <c r="W25" t="n">
        <v>1</v>
      </c>
      <c r="X25" t="inlineStr">
        <is>
          <t>CRIT_RATE</t>
        </is>
      </c>
      <c r="Y25" t="n">
        <v>0</v>
      </c>
      <c r="Z25" t="b">
        <v>0</v>
      </c>
      <c r="AA25" t="inlineStr"/>
      <c r="AB25" t="inlineStr"/>
      <c r="AC25" t="inlineStr"/>
      <c r="AD25" t="inlineStr">
        <is>
          <t>Magic Critical pattern — already baked into Inputs!CRIT_RATE%; feeds the 2nd-Job Skill Level Bonus delta. factorIndex 22, baseDamage 60 tenths%.</t>
        </is>
      </c>
    </row>
    <row r="26">
      <c r="A26" t="inlineStr">
        <is>
          <t>CRITICAL_EDGE_DMG</t>
        </is>
      </c>
      <c r="B26" t="inlineStr">
        <is>
          <t>Critical Edge (Crit Damage)</t>
        </is>
      </c>
      <c r="C26" t="n">
        <v>2</v>
      </c>
      <c r="D26" t="inlineStr"/>
      <c r="E26" t="b">
        <v>0</v>
      </c>
      <c r="F26" t="n">
        <v>1</v>
      </c>
      <c r="G26" t="n">
        <v>1</v>
      </c>
      <c r="H26" t="n">
        <v>0</v>
      </c>
      <c r="I26" t="n">
        <v>0</v>
      </c>
      <c r="J26" t="n">
        <v>100</v>
      </c>
      <c r="K26" t="n">
        <v>1</v>
      </c>
      <c r="L26" t="n">
        <v>100</v>
      </c>
      <c r="M26" t="n">
        <v>22</v>
      </c>
      <c r="N26" t="b">
        <v>1</v>
      </c>
      <c r="O26" t="n">
        <v>0</v>
      </c>
      <c r="P26" t="n">
        <v>0</v>
      </c>
      <c r="Q26" t="n">
        <v>0</v>
      </c>
      <c r="R26" t="n">
        <v>0</v>
      </c>
      <c r="S26" t="n">
        <v>0</v>
      </c>
      <c r="T26" t="n">
        <v>0</v>
      </c>
      <c r="U26" t="n">
        <v>0</v>
      </c>
      <c r="V26" t="n">
        <v>0</v>
      </c>
      <c r="W26" t="n">
        <v>1</v>
      </c>
      <c r="X26" t="inlineStr">
        <is>
          <t>CRIT_DAMAGE</t>
        </is>
      </c>
      <c r="Y26" t="n">
        <v>0</v>
      </c>
      <c r="Z26" t="b">
        <v>0</v>
      </c>
      <c r="AA26" t="inlineStr"/>
      <c r="AB26" t="inlineStr"/>
      <c r="AC26" t="inlineStr"/>
      <c r="AD26" t="inlineStr">
        <is>
          <t>Same skill as Critical Edge (Crit Rate) above. Magic Critical pattern — already baked into Inputs!CRIT_DAMAGE%; feeds the 2nd-Job Skill Level Bonus delta. factorIndex 22, baseDamage 100 tenths%.</t>
        </is>
      </c>
    </row>
    <row r="27">
      <c r="A27" t="inlineStr">
        <is>
          <t>PHYSICAL_TRAINING</t>
        </is>
      </c>
      <c r="B27" t="inlineStr">
        <is>
          <t>Physical Training</t>
        </is>
      </c>
      <c r="C27" t="n">
        <v>2</v>
      </c>
      <c r="D27" t="inlineStr"/>
      <c r="E27" t="b">
        <v>0</v>
      </c>
      <c r="F27" t="n">
        <v>1</v>
      </c>
      <c r="G27" t="n">
        <v>1</v>
      </c>
      <c r="H27" t="n">
        <v>0</v>
      </c>
      <c r="I27" t="n">
        <v>0</v>
      </c>
      <c r="J27" t="n">
        <v>100</v>
      </c>
      <c r="K27" t="n">
        <v>1</v>
      </c>
      <c r="L27" t="n">
        <v>100</v>
      </c>
      <c r="M27" t="n">
        <v>22</v>
      </c>
      <c r="N27" t="b">
        <v>1</v>
      </c>
      <c r="O27" t="n">
        <v>0</v>
      </c>
      <c r="P27" t="n">
        <v>0</v>
      </c>
      <c r="Q27" t="n">
        <v>0</v>
      </c>
      <c r="R27" t="n">
        <v>0</v>
      </c>
      <c r="S27" t="n">
        <v>0</v>
      </c>
      <c r="T27" t="n">
        <v>0</v>
      </c>
      <c r="U27" t="n">
        <v>0</v>
      </c>
      <c r="V27" t="n">
        <v>0</v>
      </c>
      <c r="W27" t="n">
        <v>1</v>
      </c>
      <c r="X27" t="inlineStr">
        <is>
          <t>BASIC_ATTACK_DAMAGE</t>
        </is>
      </c>
      <c r="Y27" t="n">
        <v>0</v>
      </c>
      <c r="Z27" t="b">
        <v>0</v>
      </c>
      <c r="AA27" t="inlineStr"/>
      <c r="AB27" t="inlineStr"/>
      <c r="AC27" t="inlineStr"/>
      <c r="AD27" t="inlineStr">
        <is>
          <t>Magic Critical pattern — already baked into Inputs!BASIC_ATTACK_DAMAGE%; feeds the 2nd-Job Skill Level Bonus delta. factorIndex 22, baseDamage 100 tenths%.</t>
        </is>
      </c>
    </row>
    <row r="28">
      <c r="A28" t="inlineStr">
        <is>
          <t>DAGGER_EXPERT_SKILL</t>
        </is>
      </c>
      <c r="B28" t="inlineStr">
        <is>
          <t>Dagger Expert (Skill Damage)</t>
        </is>
      </c>
      <c r="C28" t="n">
        <v>4</v>
      </c>
      <c r="D28" t="inlineStr"/>
      <c r="E28" t="b">
        <v>0</v>
      </c>
      <c r="F28" t="n">
        <v>1</v>
      </c>
      <c r="G28" t="n">
        <v>1</v>
      </c>
      <c r="H28" t="n">
        <v>0</v>
      </c>
      <c r="I28" t="n">
        <v>0</v>
      </c>
      <c r="J28" t="n">
        <v>100</v>
      </c>
      <c r="K28" t="n">
        <v>1</v>
      </c>
      <c r="L28" t="n">
        <v>150</v>
      </c>
      <c r="M28" t="n">
        <v>22</v>
      </c>
      <c r="N28" t="b">
        <v>1</v>
      </c>
      <c r="O28" t="n">
        <v>0</v>
      </c>
      <c r="P28" t="n">
        <v>0</v>
      </c>
      <c r="Q28" t="n">
        <v>0</v>
      </c>
      <c r="R28" t="n">
        <v>0</v>
      </c>
      <c r="S28" t="n">
        <v>0</v>
      </c>
      <c r="T28" t="n">
        <v>0</v>
      </c>
      <c r="U28" t="n">
        <v>0</v>
      </c>
      <c r="V28" t="n">
        <v>0</v>
      </c>
      <c r="W28" t="n">
        <v>1</v>
      </c>
      <c r="X28" t="inlineStr">
        <is>
          <t>SKILL_DAMAGE</t>
        </is>
      </c>
      <c r="Y28" t="n">
        <v>0</v>
      </c>
      <c r="Z28" t="b">
        <v>0</v>
      </c>
      <c r="AA28" t="inlineStr"/>
      <c r="AB28" t="inlineStr"/>
      <c r="AC28" t="inlineStr"/>
      <c r="AD28" t="inlineStr">
        <is>
          <t>Magic Critical pattern — already baked into Inputs!SKILL_DAMAGE%; feeds the 4th-Job Skill Level Bonus delta (Skill Damage side). factorIndex 22, baseDamage 150 tenths%.</t>
        </is>
      </c>
    </row>
    <row r="29">
      <c r="A29" t="inlineStr">
        <is>
          <t>DAGGER_EXPERT_MAXDMG</t>
        </is>
      </c>
      <c r="B29" t="inlineStr">
        <is>
          <t>Dagger Expert (Max Damage Multiplier)</t>
        </is>
      </c>
      <c r="C29" t="n">
        <v>4</v>
      </c>
      <c r="D29" t="inlineStr"/>
      <c r="E29" t="b">
        <v>0</v>
      </c>
      <c r="F29" t="n">
        <v>1</v>
      </c>
      <c r="G29" t="n">
        <v>1</v>
      </c>
      <c r="H29" t="n">
        <v>0</v>
      </c>
      <c r="I29" t="n">
        <v>0</v>
      </c>
      <c r="J29" t="n">
        <v>100</v>
      </c>
      <c r="K29" t="n">
        <v>1</v>
      </c>
      <c r="L29" t="n">
        <v>200</v>
      </c>
      <c r="M29" t="n">
        <v>22</v>
      </c>
      <c r="N29" t="b">
        <v>1</v>
      </c>
      <c r="O29" t="n">
        <v>0</v>
      </c>
      <c r="P29" t="n">
        <v>0</v>
      </c>
      <c r="Q29" t="n">
        <v>0</v>
      </c>
      <c r="R29" t="n">
        <v>0</v>
      </c>
      <c r="S29" t="n">
        <v>0</v>
      </c>
      <c r="T29" t="n">
        <v>0</v>
      </c>
      <c r="U29" t="n">
        <v>0</v>
      </c>
      <c r="V29" t="n">
        <v>0</v>
      </c>
      <c r="W29" t="n">
        <v>1</v>
      </c>
      <c r="X29" t="inlineStr">
        <is>
          <t>MAX_DAMAGE</t>
        </is>
      </c>
      <c r="Y29" t="n">
        <v>0</v>
      </c>
      <c r="Z29" t="b">
        <v>0</v>
      </c>
      <c r="AA29" t="inlineStr"/>
      <c r="AB29" t="inlineStr"/>
      <c r="AC29" t="inlineStr"/>
      <c r="AD29" t="inlineStr">
        <is>
          <t>Same skill as Dagger Expert (Skill Damage) above, +20%-&gt;23% Max Damage Multiplier. Magic Critical pattern — already baked into Inputs!MAX_DAMAGE%; feeds the 4th-Job Skill Level Bonus delta (Max Damage Multiplier side). factorIndex 22, baseDamage 200 tenths%.</t>
        </is>
      </c>
    </row>
    <row r="30">
      <c r="A30" t="inlineStr">
        <is>
          <t>SHADOWER_INSTINCT</t>
        </is>
      </c>
      <c r="B30" t="inlineStr">
        <is>
          <t>Shadower Instinct</t>
        </is>
      </c>
      <c r="C30" t="n">
        <v>4</v>
      </c>
      <c r="D30" t="inlineStr"/>
      <c r="E30" t="b">
        <v>0</v>
      </c>
      <c r="F30" t="n">
        <v>1</v>
      </c>
      <c r="G30" t="n">
        <v>1</v>
      </c>
      <c r="H30" t="n">
        <v>0</v>
      </c>
      <c r="I30" t="n">
        <v>0</v>
      </c>
      <c r="J30" t="n">
        <v>100</v>
      </c>
      <c r="K30" t="n">
        <v>1</v>
      </c>
      <c r="L30" t="n">
        <v>200</v>
      </c>
      <c r="M30" t="n">
        <v>22</v>
      </c>
      <c r="N30" t="b">
        <v>1</v>
      </c>
      <c r="O30" t="n">
        <v>0</v>
      </c>
      <c r="P30" t="n">
        <v>0</v>
      </c>
      <c r="Q30" t="n">
        <v>0</v>
      </c>
      <c r="R30" t="n">
        <v>0</v>
      </c>
      <c r="S30" t="n">
        <v>0</v>
      </c>
      <c r="T30" t="n">
        <v>0</v>
      </c>
      <c r="U30" t="n">
        <v>0</v>
      </c>
      <c r="V30" t="n">
        <v>0</v>
      </c>
      <c r="W30" t="n">
        <v>1</v>
      </c>
      <c r="X30" t="inlineStr">
        <is>
          <t>FINAL_DAMAGE</t>
        </is>
      </c>
      <c r="Y30" t="n">
        <v>0</v>
      </c>
      <c r="Z30" t="b">
        <v>0</v>
      </c>
      <c r="AA30" t="inlineStr"/>
      <c r="AB30" t="inlineStr"/>
      <c r="AC30" t="inlineStr"/>
      <c r="AD30" t="inlineStr">
        <is>
          <t>Magic Critical pattern — already baked into Inputs!FINAL_DAMAGE%; feeds the 4th-Job Skill Level Bonus delta. factorIndex 22, baseDamage 200 tenths%.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8" t="inlineStr">
        <is>
          <t>Key</t>
        </is>
      </c>
      <c r="B1" s="8" t="inlineStr">
        <is>
          <t>Name</t>
        </is>
      </c>
      <c r="C1" s="8" t="inlineStr">
        <is>
          <t>Unlocked</t>
        </is>
      </c>
      <c r="D1" s="8" t="inlineStr">
        <is>
          <t>InputLevel</t>
        </is>
      </c>
      <c r="E1" s="8" t="inlineStr">
        <is>
          <t>Factor</t>
        </is>
      </c>
      <c r="F1" s="8" t="inlineStr">
        <is>
          <t>CoefficientPercent</t>
        </is>
      </c>
      <c r="G1" s="8" t="inlineStr">
        <is>
          <t>EffectiveHits</t>
        </is>
      </c>
      <c r="H1" s="8" t="inlineStr">
        <is>
          <t>ProcProbability</t>
        </is>
      </c>
      <c r="I1" s="8" t="inlineStr">
        <is>
          <t>MapleHeroMultiplier</t>
        </is>
      </c>
      <c r="J1" s="8" t="inlineStr">
        <is>
          <t>BaseDamage</t>
        </is>
      </c>
      <c r="K1" s="8" t="inlineStr">
        <is>
          <t>BaseHitDamage</t>
        </is>
      </c>
      <c r="L1" s="8" t="inlineStr">
        <is>
          <t>NonCritAvg</t>
        </is>
      </c>
      <c r="M1" s="8" t="inlineStr">
        <is>
          <t>CritAvg</t>
        </is>
      </c>
      <c r="N1" s="8" t="inlineStr">
        <is>
          <t>ExpectedDamage(perHit)</t>
        </is>
      </c>
      <c r="O1" s="8" t="inlineStr">
        <is>
          <t>DPS</t>
        </is>
      </c>
      <c r="P1" s="8" t="inlineStr">
        <is>
          <t>% of Total</t>
        </is>
      </c>
      <c r="Q1" s="8" t="inlineStr">
        <is>
          <t>InvCooldown</t>
        </is>
      </c>
      <c r="R1" s="8" t="inlineStr">
        <is>
          <t>CastsInFight</t>
        </is>
      </c>
      <c r="S1" s="8" t="inlineStr">
        <is>
          <t>HitRate(perSec)</t>
        </is>
      </c>
      <c r="U1" s="5" t="inlineStr">
        <is>
          <t>Maple Hero (Shadower) helper — unused (see MAPLE_HERO_SHADOWER row's own Note)</t>
        </is>
      </c>
    </row>
    <row r="2">
      <c r="A2">
        <f>Skills!A2</f>
        <v/>
      </c>
      <c r="B2">
        <f>Skills!B2</f>
        <v/>
      </c>
      <c r="C2">
        <f>Inputs!$B$3&gt;=100</f>
        <v/>
      </c>
      <c r="D2" t="inlineStr"/>
      <c r="E2" t="inlineStr"/>
      <c r="F2">
        <f>Summary!$B$54+Skills!O2</f>
        <v/>
      </c>
      <c r="G2">
        <f>Skills!G2*IF(Skills!H2&gt;0,Skills!I2/Skills!H2,1)</f>
        <v/>
      </c>
      <c r="H2">
        <f>1-(1-Skills!J2/100)^Skills!K2</f>
        <v/>
      </c>
      <c r="I2" t="inlineStr">
        <is>
          <t>1</t>
        </is>
      </c>
      <c r="J2">
        <f>Summary!$B$50*(F2/100)</f>
        <v/>
      </c>
      <c r="K2">
        <f>J2*(1+Summary!$B$51/100)*(1+Inputs!$B$14/100)*(1+IF(Inputs!$B$4="pvp",0,(1-Summary!$B$55)*(Inputs!$B$19+Skills!P2+Summary!$B$59)+Summary!$B$55*(Inputs!$B$20+Skills!Q2+Summary!$B$59))/100)*(1+Inputs!$B$15/100)*(5000/(6000+Inputs!$B$7*(1-Inputs!$B$18/100)))*(1+Inputs!$B$23/100)*(1+(IF(Skills!A2="CRUEL_STAB",Inputs!$B$16,Inputs!$B$17))/100)*(Summary!$B$57*Summary!$B$60*I2)</f>
        <v/>
      </c>
      <c r="L2">
        <f>K2*(MIN(Inputs!$B$21,Inputs!$B$22)/100+Inputs!$B$22/100)/2</f>
        <v/>
      </c>
      <c r="M2">
        <f>L2*(1+(Inputs!$B$9+Summary!$B$65)/100)</f>
        <v/>
      </c>
      <c r="N2">
        <f>L2*(1-MIN((Inputs!$B$8+Summary!$B$58),100)/100)+M2*(MIN((Inputs!$B$8+Summary!$B$58),100)/100)</f>
        <v/>
      </c>
      <c r="O2">
        <f>IF(C2,Skills!G2*N2*Summary!$B$64*IF(Inputs!$B$4="pvp",1,(1-Summary!$B$55)*(1)+Summary!$B$55*(MIN(Skills!W2,Inputs!$B$37))),0)</f>
        <v/>
      </c>
      <c r="P2">
        <f>IF(Summary!$B$3=0,0,O2/Summary!$B$3)</f>
        <v/>
      </c>
      <c r="Q2" t="n">
        <v>0</v>
      </c>
      <c r="R2" t="n">
        <v>0</v>
      </c>
      <c r="S2">
        <f>IFERROR(O2/N2,0)</f>
        <v/>
      </c>
    </row>
    <row r="3">
      <c r="A3">
        <f>Skills!A3</f>
        <v/>
      </c>
      <c r="B3">
        <f>Skills!B3</f>
        <v/>
      </c>
      <c r="C3">
        <f>Inputs!$B$3&gt;=35</f>
        <v/>
      </c>
      <c r="D3">
        <f>IF(Skills!C3=1,60+Inputs!$B$24+Inputs!$B$28,IF(Skills!C3=2,90+Inputs!$B$25+Inputs!$B$28,IF(Skills!C3=3,120+Inputs!$B$26+Inputs!$B$28,MAX(0,(Inputs!$B$3-100)*3)+Inputs!$B$27+Inputs!$B$28)))</f>
        <v/>
      </c>
      <c r="E3">
        <f>INDEX(FactorTable!$B$2:$Y$301, MATCH(ROUND(MIN(300,MAX(1,D3)),0), FactorTable!$A$2:$A$301,0), Skills!M3+1)</f>
        <v/>
      </c>
      <c r="F3">
        <f>IF(Skills!N3=TRUE,(Skills!L3/10)*(E3/1000),Skills!L3/10)+Skills!O3</f>
        <v/>
      </c>
      <c r="G3">
        <f>Skills!G3*IF(Skills!H3&gt;0,Skills!I3/Skills!H3,1)</f>
        <v/>
      </c>
      <c r="H3">
        <f>1-(1-Skills!J3/100)^Skills!K3</f>
        <v/>
      </c>
      <c r="I3" t="inlineStr">
        <is>
          <t>1</t>
        </is>
      </c>
      <c r="J3" t="inlineStr"/>
      <c r="K3" t="inlineStr"/>
      <c r="L3" t="inlineStr"/>
      <c r="M3" t="inlineStr"/>
      <c r="N3" t="inlineStr"/>
      <c r="O3" t="n">
        <v>0</v>
      </c>
      <c r="P3">
        <f>IF(Summary!$B$3=0,0,O3/Summary!$B$3)</f>
        <v/>
      </c>
      <c r="Q3" t="n">
        <v>0</v>
      </c>
      <c r="R3" t="n">
        <v>0</v>
      </c>
      <c r="S3">
        <f>IFERROR(O3/N3,0)</f>
        <v/>
      </c>
    </row>
    <row r="4">
      <c r="A4">
        <f>Skills!A4</f>
        <v/>
      </c>
      <c r="B4">
        <f>Skills!B4</f>
        <v/>
      </c>
      <c r="C4">
        <f>Inputs!$B$3&gt;=66</f>
        <v/>
      </c>
      <c r="D4">
        <f>IF(Skills!C4=1,60+Inputs!$B$24+Inputs!$B$28,IF(Skills!C4=2,90+Inputs!$B$25+Inputs!$B$28,IF(Skills!C4=3,120+Inputs!$B$26+Inputs!$B$28,MAX(0,(Inputs!$B$3-100)*3)+Inputs!$B$27+Inputs!$B$28)))</f>
        <v/>
      </c>
      <c r="E4">
        <f>INDEX(FactorTable!$B$2:$Y$301, MATCH(ROUND(MIN(300,MAX(1,D4)),0), FactorTable!$A$2:$A$301,0), Skills!M4+1)</f>
        <v/>
      </c>
      <c r="F4">
        <f>IF(Skills!N4=TRUE,(Skills!L4/10)*(E4/1000),Skills!L4/10)+Skills!O4</f>
        <v/>
      </c>
      <c r="G4">
        <f>Skills!G4*IF(Skills!H4&gt;0,Skills!I4/Skills!H4,1)</f>
        <v/>
      </c>
      <c r="H4">
        <f>1-(1-Skills!J4/100)^Skills!K4</f>
        <v/>
      </c>
      <c r="I4" t="inlineStr">
        <is>
          <t>1</t>
        </is>
      </c>
      <c r="J4">
        <f>Summary!$B$50*(F4/100)</f>
        <v/>
      </c>
      <c r="K4">
        <f>J4*(1+Summary!$B$51/100)*(1+Inputs!$B$14/100)*(1+IF(Inputs!$B$4="pvp",0,(1-Summary!$B$55)*(Inputs!$B$19+Skills!P4+Summary!$B$59)+Summary!$B$55*(Inputs!$B$20+Skills!Q4+Summary!$B$59))/100)*(1+Inputs!$B$15/100)*(5000/(6000+Inputs!$B$7*(1-Inputs!$B$18/100)))*(1+Inputs!$B$23/100)*(1+(IF(Skills!A4="CRUEL_STAB",Inputs!$B$16,Inputs!$B$17))/100)*(Summary!$B$57*Summary!$B$60*I4)</f>
        <v/>
      </c>
      <c r="L4">
        <f>K4*(MIN(Inputs!$B$21,Inputs!$B$22)/100+Inputs!$B$22/100)/2</f>
        <v/>
      </c>
      <c r="M4">
        <f>L4*(1+(Inputs!$B$9+Summary!$B$65)/100)</f>
        <v/>
      </c>
      <c r="N4">
        <f>L4*(1-MIN((Inputs!$B$8+Summary!$B$58),100)/100)+M4*(MIN((Inputs!$B$8+Summary!$B$58),100)/100)</f>
        <v/>
      </c>
      <c r="O4">
        <f>IF(C4,H4*N4*IF(AND(Inputs!$B$4&lt;&gt;"pvp",Inputs!$B$35&gt;0),((Skills!G4*((R4-1)*IF(Skills!H4&gt;0,Skills!I4/Skills!H4,1)+IF(Skills!H4&gt;0,MIN(Skills!I4,MAX(0,Inputs!$B$35-((R4-1)*IF(Inputs!$B$4="pvp",15,MAX(0.1,Skills!D4-IF(Skills!E4=TRUE,Inputs!$B$31,0))))))/Skills!H4,1)))/Inputs!$B$35),G4*Q4)*IF(Inputs!$B$4="pvp",1,(1-Summary!$B$55)*(1)+Summary!$B$55*(MIN(MIN(10,0.5*Summary!$B$62*Skills!D4),Inputs!$B$37))),0)</f>
        <v/>
      </c>
      <c r="P4">
        <f>IF(Summary!$B$3=0,0,O4/Summary!$B$3)</f>
        <v/>
      </c>
      <c r="Q4">
        <f>IFERROR(1/IF(Inputs!$B$4="pvp",15,MAX(0.1,Skills!D4-IF(Skills!E4=TRUE,Inputs!$B$31,0))),0)</f>
        <v/>
      </c>
      <c r="R4">
        <f>IF(AND(Inputs!$B$4&lt;&gt;"pvp",Inputs!$B$35&gt;0),(INT(Inputs!$B$35/IF(Inputs!$B$4="pvp",15,MAX(0.1,Skills!D4-IF(Skills!E4=TRUE,Inputs!$B$31,0))))+1),0)</f>
        <v/>
      </c>
      <c r="S4">
        <f>IFERROR(O4/N4,0)</f>
        <v/>
      </c>
    </row>
    <row r="5">
      <c r="A5">
        <f>Skills!A5</f>
        <v/>
      </c>
      <c r="B5">
        <f>Skills!B5</f>
        <v/>
      </c>
      <c r="C5">
        <f>Inputs!$B$3&gt;=63</f>
        <v/>
      </c>
      <c r="D5">
        <f>IF(Skills!C5=1,60+Inputs!$B$24+Inputs!$B$28,IF(Skills!C5=2,90+Inputs!$B$25+Inputs!$B$28,IF(Skills!C5=3,120+Inputs!$B$26+Inputs!$B$28,MAX(0,(Inputs!$B$3-100)*3)+Inputs!$B$27+Inputs!$B$28)))</f>
        <v/>
      </c>
      <c r="E5">
        <f>INDEX(FactorTable!$B$2:$Y$301, MATCH(ROUND(MIN(300,MAX(1,D5)),0), FactorTable!$A$2:$A$301,0), Skills!M5+1)</f>
        <v/>
      </c>
      <c r="F5">
        <f>IF(Skills!N5=TRUE,(Skills!L5/10)*(E5/1000),Skills!L5/10)+Skills!O5</f>
        <v/>
      </c>
      <c r="G5">
        <f>Skills!G5*IF(Skills!H5&gt;0,Skills!I5/Skills!H5,1)</f>
        <v/>
      </c>
      <c r="H5">
        <f>1-(1-Skills!J5/100)^Skills!K5</f>
        <v/>
      </c>
      <c r="I5" t="inlineStr">
        <is>
          <t>1</t>
        </is>
      </c>
      <c r="J5">
        <f>Summary!$B$50*(F5/100)</f>
        <v/>
      </c>
      <c r="K5">
        <f>J5*(1+Summary!$B$51/100)*(1+Inputs!$B$14/100)*(1+IF(Inputs!$B$4="pvp",0,(1-Summary!$B$55)*(Inputs!$B$19+Skills!P5+Summary!$B$59)+Summary!$B$55*(Inputs!$B$20+Skills!Q5+Summary!$B$59))/100)*(1+Inputs!$B$15/100)*(5000/(6000+Inputs!$B$7*(1-Inputs!$B$18/100)))*(1+Inputs!$B$23/100)*(1+2.6666666666666665*IF(C18=TRUE,F18,0)/100)*(1+(IF(Skills!A5="CRUEL_STAB",Inputs!$B$16,Inputs!$B$17))/100)*(Summary!$B$57*Summary!$B$60*I5)</f>
        <v/>
      </c>
      <c r="L5">
        <f>K5*(MIN(Inputs!$B$21,Inputs!$B$22)/100+Inputs!$B$22/100)/2</f>
        <v/>
      </c>
      <c r="M5">
        <f>L5*(1+(Inputs!$B$9+Summary!$B$65)/100)</f>
        <v/>
      </c>
      <c r="N5">
        <f>L5*(1-MIN((Inputs!$B$8+Summary!$B$58),100)/100)+M5*(MIN((Inputs!$B$8+Summary!$B$58),100)/100)</f>
        <v/>
      </c>
      <c r="O5">
        <f>IF(C5,H5*N5*IF(AND(Inputs!$B$4&lt;&gt;"pvp",Inputs!$B$35&gt;0),((Skills!G5*((R5-1)*IF(Skills!H5&gt;0,Skills!I5/Skills!H5,1)+IF(Skills!H5&gt;0,MIN(Skills!I5,MAX(0,Inputs!$B$35-((R5-1)*IF(Inputs!$B$4="pvp",15,MAX(0.1,Skills!D5-IF(Skills!E5=TRUE,Inputs!$B$31,0))))))/Skills!H5,1)))/Inputs!$B$35),G5*Q5)*IF(Inputs!$B$4="pvp",1,(1-Summary!$B$55)*(1)+Summary!$B$55*(MIN(Skills!W5,Inputs!$B$37))),0)</f>
        <v/>
      </c>
      <c r="P5">
        <f>IF(Summary!$B$3=0,0,O5/Summary!$B$3)</f>
        <v/>
      </c>
      <c r="Q5">
        <f>IFERROR(1/IF(Inputs!$B$4="pvp",15,MAX(0.1,Skills!D5-IF(Skills!E5=TRUE,Inputs!$B$31,0))),0)</f>
        <v/>
      </c>
      <c r="R5">
        <f>IF(AND(Inputs!$B$4&lt;&gt;"pvp",Inputs!$B$35&gt;0),(INT(Inputs!$B$35/IF(Inputs!$B$4="pvp",15,MAX(0.1,Skills!D5-IF(Skills!E5=TRUE,Inputs!$B$31,0))))+1),0)</f>
        <v/>
      </c>
      <c r="S5">
        <f>IFERROR(O5/N5,0)</f>
        <v/>
      </c>
    </row>
    <row r="6">
      <c r="A6">
        <f>Skills!A6</f>
        <v/>
      </c>
      <c r="B6">
        <f>Skills!B6</f>
        <v/>
      </c>
      <c r="C6">
        <f>Inputs!$B$3&gt;=69</f>
        <v/>
      </c>
      <c r="D6">
        <f>IF(Skills!C6=1,60+Inputs!$B$24+Inputs!$B$28,IF(Skills!C6=2,90+Inputs!$B$25+Inputs!$B$28,IF(Skills!C6=3,120+Inputs!$B$26+Inputs!$B$28,MAX(0,(Inputs!$B$3-100)*3)+Inputs!$B$27+Inputs!$B$28)))</f>
        <v/>
      </c>
      <c r="E6">
        <f>INDEX(FactorTable!$B$2:$Y$301, MATCH(ROUND(MIN(300,MAX(1,D6)),0), FactorTable!$A$2:$A$301,0), Skills!M6+1)</f>
        <v/>
      </c>
      <c r="F6">
        <f>IF(Skills!N6=TRUE,(Skills!L6/10)*(E6/1000),Skills!L6/10)+Skills!O6</f>
        <v/>
      </c>
      <c r="G6">
        <f>Skills!G6*IF(Skills!H6&gt;0,Skills!I6/Skills!H6,1)</f>
        <v/>
      </c>
      <c r="H6">
        <f>1-(1-Skills!J6/100)^Skills!K6</f>
        <v/>
      </c>
      <c r="I6" t="inlineStr">
        <is>
          <t>1</t>
        </is>
      </c>
      <c r="J6">
        <f>Summary!$B$50*(F6/100)</f>
        <v/>
      </c>
      <c r="K6">
        <f>J6*(1+Summary!$B$51/100)*(1+Inputs!$B$14/100)*(1+IF(Inputs!$B$4="pvp",0,(1-Summary!$B$55)*(Inputs!$B$19+Skills!P6+Summary!$B$59)+Summary!$B$55*(Inputs!$B$20+Skills!Q6+Summary!$B$59))/100)*(1+Inputs!$B$15/100)*(5000/(6000+Inputs!$B$7*(1-Inputs!$B$18/100)))*(1+Inputs!$B$23/100)*(1+1.0*IF(C18=TRUE,F18,0)/100)*(1+(IF(Skills!A6="CRUEL_STAB",Inputs!$B$16,Inputs!$B$17))/100)*(Summary!$B$57*Summary!$B$60*I6)</f>
        <v/>
      </c>
      <c r="L6">
        <f>K6*(MIN(Inputs!$B$21,Inputs!$B$22)/100+Inputs!$B$22/100)/2</f>
        <v/>
      </c>
      <c r="M6">
        <f>L6*(1+(Inputs!$B$9+Summary!$B$65)/100)</f>
        <v/>
      </c>
      <c r="N6">
        <f>L6*(1-MIN((Inputs!$B$8+Summary!$B$58),100)/100)+M6*(MIN((Inputs!$B$8+Summary!$B$58),100)/100)</f>
        <v/>
      </c>
      <c r="O6">
        <f>IF(C6,H6*N6*IF(AND(Inputs!$B$4&lt;&gt;"pvp",Inputs!$B$35&gt;0),((Skills!G6*((R6-1)*IF(Skills!H6&gt;0,Skills!I6/Skills!H6,1)+IF(Skills!H6&gt;0,MIN(Skills!I6,MAX(0,Inputs!$B$35-((R6-1)*IF(Inputs!$B$4="pvp",15,MAX(0.1,Skills!D6-IF(Skills!E6=TRUE,Inputs!$B$31,0))))))/Skills!H6,1)))/Inputs!$B$35),G6*Q6)*IF(Inputs!$B$4="pvp",1,(1-Summary!$B$55)*(1)+Summary!$B$55*(MIN(Skills!W6,Inputs!$B$37))),0)</f>
        <v/>
      </c>
      <c r="P6">
        <f>IF(Summary!$B$3=0,0,O6/Summary!$B$3)</f>
        <v/>
      </c>
      <c r="Q6">
        <f>IFERROR(1/IF(Inputs!$B$4="pvp",15,MAX(0.1,Skills!D6-IF(Skills!E6=TRUE,Inputs!$B$31,0))),0)</f>
        <v/>
      </c>
      <c r="R6">
        <f>IF(AND(Inputs!$B$4&lt;&gt;"pvp",Inputs!$B$35&gt;0),(INT(Inputs!$B$35/IF(Inputs!$B$4="pvp",15,MAX(0.1,Skills!D6-IF(Skills!E6=TRUE,Inputs!$B$31,0))))+1),0)</f>
        <v/>
      </c>
      <c r="S6">
        <f>IFERROR(O6/N6,0)</f>
        <v/>
      </c>
    </row>
    <row r="7">
      <c r="A7">
        <f>Skills!A7</f>
        <v/>
      </c>
      <c r="B7">
        <f>Skills!B7</f>
        <v/>
      </c>
      <c r="C7">
        <f>Inputs!$B$3&gt;=60</f>
        <v/>
      </c>
      <c r="D7">
        <f>IF(Skills!C7=1,60+Inputs!$B$24+Inputs!$B$28,IF(Skills!C7=2,90+Inputs!$B$25+Inputs!$B$28,IF(Skills!C7=3,120+Inputs!$B$26+Inputs!$B$28,MAX(0,(Inputs!$B$3-100)*3)+Inputs!$B$27+Inputs!$B$28)))</f>
        <v/>
      </c>
      <c r="E7">
        <f>INDEX(FactorTable!$B$2:$Y$301, MATCH(ROUND(MIN(300,MAX(1,D7)),0), FactorTable!$A$2:$A$301,0), Skills!M7+1)</f>
        <v/>
      </c>
      <c r="F7">
        <f>IF(Skills!N7=TRUE,(Skills!L7/10)*(E7/1000),Skills!L7/10)+Skills!O7</f>
        <v/>
      </c>
      <c r="G7">
        <f>Skills!G7*IF(Skills!H7&gt;0,Skills!I7/Skills!H7,1)</f>
        <v/>
      </c>
      <c r="H7">
        <f>1-(1-Skills!J7/100)^Skills!K7</f>
        <v/>
      </c>
      <c r="I7" t="inlineStr">
        <is>
          <t>1</t>
        </is>
      </c>
      <c r="J7" t="inlineStr"/>
      <c r="K7" t="inlineStr"/>
      <c r="L7" t="inlineStr"/>
      <c r="M7" t="inlineStr"/>
      <c r="N7" t="inlineStr"/>
      <c r="O7" t="n">
        <v>0</v>
      </c>
      <c r="P7">
        <f>IF(Summary!$B$3=0,0,O7/Summary!$B$3)</f>
        <v/>
      </c>
      <c r="Q7" t="n">
        <v>0</v>
      </c>
      <c r="R7" t="n">
        <v>0</v>
      </c>
      <c r="S7">
        <f>IFERROR(O7/N7,0)</f>
        <v/>
      </c>
    </row>
    <row r="8">
      <c r="A8">
        <f>Skills!A8</f>
        <v/>
      </c>
      <c r="B8">
        <f>Skills!B8</f>
        <v/>
      </c>
      <c r="C8">
        <f>Inputs!$B$3&gt;=72</f>
        <v/>
      </c>
      <c r="D8">
        <f>IF(Skills!C8=1,60+Inputs!$B$24+Inputs!$B$28,IF(Skills!C8=2,90+Inputs!$B$25+Inputs!$B$28,IF(Skills!C8=3,120+Inputs!$B$26+Inputs!$B$28,MAX(0,(Inputs!$B$3-100)*3)+Inputs!$B$27+Inputs!$B$28)))</f>
        <v/>
      </c>
      <c r="E8">
        <f>INDEX(FactorTable!$B$2:$Y$301, MATCH(ROUND(MIN(300,MAX(1,D8)),0), FactorTable!$A$2:$A$301,0), Skills!M8+1)</f>
        <v/>
      </c>
      <c r="F8">
        <f>IF(Skills!N8=TRUE,(Skills!L8/10)*(E8/1000),Skills!L8/10)+Skills!O8</f>
        <v/>
      </c>
      <c r="G8">
        <f>Skills!G8*IF(Skills!H8&gt;0,Skills!I8/Skills!H8,1)</f>
        <v/>
      </c>
      <c r="H8">
        <f>1-(1-Skills!J8/100)^Skills!K8</f>
        <v/>
      </c>
      <c r="I8" t="inlineStr">
        <is>
          <t>1</t>
        </is>
      </c>
      <c r="J8">
        <f>Summary!$B$50*(F8/100)</f>
        <v/>
      </c>
      <c r="K8">
        <f>J8*(1+Summary!$B$51/100)*(1+Inputs!$B$14/100)*(1+IF(Inputs!$B$4="pvp",0,(1-Summary!$B$55)*(Inputs!$B$19+Skills!P8+Summary!$B$59)+Summary!$B$55*(Inputs!$B$20+Skills!Q8+Summary!$B$59))/100)*(1+Inputs!$B$15/100)*(5000/(6000+Inputs!$B$7*(1-Inputs!$B$18/100)))*(1+Inputs!$B$23/100)*(1+3.3333333333333335*IF(C18=TRUE,F18,0)/100)*(1+(IF(Skills!A8="CRUEL_STAB",Inputs!$B$16,Inputs!$B$17))/100)*(Summary!$B$57*Summary!$B$60*I8)</f>
        <v/>
      </c>
      <c r="L8">
        <f>K8*(MIN(Inputs!$B$21,Inputs!$B$22)/100+Inputs!$B$22/100)/2</f>
        <v/>
      </c>
      <c r="M8">
        <f>L8*(1+(Inputs!$B$9+Summary!$B$65)/100)</f>
        <v/>
      </c>
      <c r="N8">
        <f>L8*(1-MIN((Inputs!$B$8+Summary!$B$58),100)/100)+M8*(MIN((Inputs!$B$8+Summary!$B$58),100)/100)</f>
        <v/>
      </c>
      <c r="O8">
        <f>IF(C8,H8*N8*IF(AND(Inputs!$B$4&lt;&gt;"pvp",Inputs!$B$35&gt;0),((Skills!G8*((R8-1)*IF(Skills!H8&gt;0,Skills!I8/Skills!H8,1)+IF(Skills!H8&gt;0,MIN(Skills!I8,MAX(0,Inputs!$B$35-((R8-1)*IF(Inputs!$B$4="pvp",15,MAX(0.1,Skills!D8-IF(Skills!E8=TRUE,Inputs!$B$31,0))))))/Skills!H8,1)))/Inputs!$B$35),G8*Q8)*IF(Inputs!$B$4="pvp",1,(1-Summary!$B$55)*(1)+Summary!$B$55*(MIN(Skills!W8,Inputs!$B$37))),0)</f>
        <v/>
      </c>
      <c r="P8">
        <f>IF(Summary!$B$3=0,0,O8/Summary!$B$3)</f>
        <v/>
      </c>
      <c r="Q8">
        <f>IFERROR(1/IF(Inputs!$B$4="pvp",15,MAX(0.1,Skills!D8-IF(Skills!E8=TRUE,Inputs!$B$31,0))),0)</f>
        <v/>
      </c>
      <c r="R8">
        <f>IF(AND(Inputs!$B$4&lt;&gt;"pvp",Inputs!$B$35&gt;0),(INT(Inputs!$B$35/IF(Inputs!$B$4="pvp",15,MAX(0.1,Skills!D8-IF(Skills!E8=TRUE,Inputs!$B$31,0))))+1),0)</f>
        <v/>
      </c>
      <c r="S8">
        <f>IFERROR(O8/N8,0)</f>
        <v/>
      </c>
    </row>
    <row r="9">
      <c r="A9">
        <f>Skills!A9</f>
        <v/>
      </c>
      <c r="B9">
        <f>Skills!B9</f>
        <v/>
      </c>
      <c r="C9">
        <f>Inputs!$B$3&gt;=117</f>
        <v/>
      </c>
      <c r="D9">
        <f>IF(Skills!C9=1,60+Inputs!$B$24+Inputs!$B$28,IF(Skills!C9=2,90+Inputs!$B$25+Inputs!$B$28,IF(Skills!C9=3,120+Inputs!$B$26+Inputs!$B$28,MAX(0,(Inputs!$B$3-100)*3)+Inputs!$B$27+Inputs!$B$28)))</f>
        <v/>
      </c>
      <c r="E9">
        <f>INDEX(FactorTable!$B$2:$Y$301, MATCH(ROUND(MIN(300,MAX(1,D9)),0), FactorTable!$A$2:$A$301,0), Skills!M9+1)</f>
        <v/>
      </c>
      <c r="F9">
        <f>IF(Skills!N9=TRUE,(Skills!L9/10)*(E9/1000),Skills!L9/10)+Skills!O9</f>
        <v/>
      </c>
      <c r="G9">
        <f>Skills!G9*IF(Skills!H9&gt;0,Skills!I9/Skills!H9,1)</f>
        <v/>
      </c>
      <c r="H9">
        <f>1-(1-Skills!J9/100)^Skills!K9</f>
        <v/>
      </c>
      <c r="I9" t="inlineStr">
        <is>
          <t>1</t>
        </is>
      </c>
      <c r="J9">
        <f>Summary!$B$50*(F9/100)</f>
        <v/>
      </c>
      <c r="K9">
        <f>J9*(1+Summary!$B$51/100)*(1+Inputs!$B$14/100)*(1+IF(Inputs!$B$4="pvp",0,(1-Summary!$B$55)*(Inputs!$B$19+Skills!P9+Summary!$B$59)+Summary!$B$55*(Inputs!$B$20+Skills!Q9+Summary!$B$59))/100)*(1+Inputs!$B$15/100)*(5000/(6000+Inputs!$B$7*(1-Inputs!$B$18/100)))*(1+Inputs!$B$23/100)*(1+(IF(Skills!A9="CRUEL_STAB",Inputs!$B$16,Inputs!$B$17))/100)*(Summary!$B$57*Summary!$B$60*I9)</f>
        <v/>
      </c>
      <c r="L9">
        <f>K9*(MIN(Inputs!$B$21,Inputs!$B$22)/100+Inputs!$B$22/100)/2</f>
        <v/>
      </c>
      <c r="M9">
        <f>L9*(1+(Inputs!$B$9+Summary!$B$65)/100)</f>
        <v/>
      </c>
      <c r="N9">
        <f>L9*(1-MIN((Inputs!$B$8+Summary!$B$58),100)/100)+M9*(MIN((Inputs!$B$8+Summary!$B$58),100)/100)</f>
        <v/>
      </c>
      <c r="O9">
        <f>IF(C9,0.2*SUMPRODUCT((Skills!Z2:Z30=TRUE)*(C2:C30=TRUE)*S2:S30)*N9,0)</f>
        <v/>
      </c>
      <c r="P9">
        <f>IF(Summary!$B$3=0,0,O9/Summary!$B$3)</f>
        <v/>
      </c>
      <c r="Q9" t="n">
        <v>0</v>
      </c>
      <c r="R9" t="n">
        <v>0</v>
      </c>
      <c r="S9" t="n">
        <v>0</v>
      </c>
    </row>
    <row r="10">
      <c r="A10">
        <f>Skills!A10</f>
        <v/>
      </c>
      <c r="B10">
        <f>Skills!B10</f>
        <v/>
      </c>
      <c r="C10">
        <f>Inputs!$B$3&gt;=74</f>
        <v/>
      </c>
      <c r="D10">
        <f>IF(Skills!C10=1,60+Inputs!$B$24+Inputs!$B$28,IF(Skills!C10=2,90+Inputs!$B$25+Inputs!$B$28,IF(Skills!C10=3,120+Inputs!$B$26+Inputs!$B$28,MAX(0,(Inputs!$B$3-100)*3)+Inputs!$B$27+Inputs!$B$28)))</f>
        <v/>
      </c>
      <c r="E10">
        <f>INDEX(FactorTable!$B$2:$Y$301, MATCH(ROUND(MIN(300,MAX(1,D10)),0), FactorTable!$A$2:$A$301,0), Skills!M10+1)</f>
        <v/>
      </c>
      <c r="F10">
        <f>IF(Skills!N10=TRUE,(Skills!L10/10)*(E10/1000),Skills!L10/10)+Skills!O10</f>
        <v/>
      </c>
      <c r="G10">
        <f>Skills!G10*IF(Skills!H10&gt;0,Skills!I10/Skills!H10,1)</f>
        <v/>
      </c>
      <c r="H10">
        <f>1-(1-Skills!J10/100)^Skills!K10</f>
        <v/>
      </c>
      <c r="I10" t="inlineStr">
        <is>
          <t>1</t>
        </is>
      </c>
      <c r="J10" t="inlineStr"/>
      <c r="K10" t="inlineStr"/>
      <c r="L10" t="inlineStr"/>
      <c r="M10" t="inlineStr"/>
      <c r="N10" t="inlineStr"/>
      <c r="O10" t="n">
        <v>0</v>
      </c>
      <c r="P10">
        <f>IF(Summary!$B$3=0,0,O10/Summary!$B$3)</f>
        <v/>
      </c>
      <c r="Q10">
        <f>IFERROR(1/IF(Inputs!$B$4="pvp",15,MAX(0.1,Skills!D10-IF(Skills!E10=TRUE,Inputs!$B$31,0))),0)</f>
        <v/>
      </c>
      <c r="R10">
        <f>IF(AND(Inputs!$B$4&lt;&gt;"pvp",Inputs!$B$35&gt;0),(INT(Inputs!$B$35/IF(Inputs!$B$4="pvp",15,MAX(0.1,Skills!D10-IF(Skills!E10=TRUE,Inputs!$B$31,0))))+1),0)</f>
        <v/>
      </c>
      <c r="S10">
        <f>IFERROR(O10/N10,0)</f>
        <v/>
      </c>
    </row>
    <row r="11">
      <c r="A11">
        <f>Skills!A11</f>
        <v/>
      </c>
      <c r="B11">
        <f>Skills!B11</f>
        <v/>
      </c>
      <c r="C11">
        <f>Inputs!$B$3&gt;=103</f>
        <v/>
      </c>
      <c r="D11">
        <f>IF(Skills!C11=1,60+Inputs!$B$24+Inputs!$B$28,IF(Skills!C11=2,90+Inputs!$B$25+Inputs!$B$28,IF(Skills!C11=3,120+Inputs!$B$26+Inputs!$B$28,MAX(0,(Inputs!$B$3-100)*3)+Inputs!$B$27+Inputs!$B$28)))</f>
        <v/>
      </c>
      <c r="E11">
        <f>INDEX(FactorTable!$B$2:$Y$301, MATCH(ROUND(MIN(300,MAX(1,D11)),0), FactorTable!$A$2:$A$301,0), Skills!M11+1)</f>
        <v/>
      </c>
      <c r="F11">
        <f>(Skills!L11/10)*(E11/1000)+IF(Inputs!$B$3&gt;=134,50,0)+0.5*(30000/10)*(INDEX(FactorTable!$B$2:$Y$301, MATCH(ROUND(MIN(300,MAX(1,D11)),0), FactorTable!$A$2:$A$301,0), 13)/1000)*Summary!$B$68</f>
        <v/>
      </c>
      <c r="G11">
        <f>Skills!G11*IF(Skills!H11&gt;0,Skills!I11/Skills!H11,1)</f>
        <v/>
      </c>
      <c r="H11">
        <f>1-(1-Skills!J11/100)^Skills!K11</f>
        <v/>
      </c>
      <c r="I11" t="inlineStr">
        <is>
          <t>1</t>
        </is>
      </c>
      <c r="J11">
        <f>Summary!$B$50*(F11/100)</f>
        <v/>
      </c>
      <c r="K11">
        <f>J11*(1+Summary!$B$51/100)*(1+Inputs!$B$14/100)*(1+IF(Inputs!$B$4="pvp",0,(1-Summary!$B$55)*(Inputs!$B$19+Skills!P11+Summary!$B$59)+Summary!$B$55*(Inputs!$B$20+Skills!Q11+Summary!$B$59))/100)*(1+Inputs!$B$15/100)*(5000/(6000+Inputs!$B$7*(1-Inputs!$B$18/100)))*(1+Inputs!$B$23/100)*(1+(IF(Skills!A11="CRUEL_STAB",Inputs!$B$16,Inputs!$B$17))/100)*(Summary!$B$57*Summary!$B$60*I11)</f>
        <v/>
      </c>
      <c r="L11">
        <f>K11*(MIN(Inputs!$B$21,Inputs!$B$22)/100+Inputs!$B$22/100)/2</f>
        <v/>
      </c>
      <c r="M11">
        <f>L11*(1+(Inputs!$B$9+Summary!$B$65)/100)</f>
        <v/>
      </c>
      <c r="N11">
        <f>L11*(1-MIN((Inputs!$B$8+Summary!$B$58),100)/100)+M11*(MIN((Inputs!$B$8+Summary!$B$58),100)/100)</f>
        <v/>
      </c>
      <c r="O11">
        <f>IF(C11,H11*N11*IF(AND(Inputs!$B$4&lt;&gt;"pvp",Inputs!$B$35&gt;0),((Skills!G11*((R11-1)*IF(Skills!H11&gt;0,Skills!I11/Skills!H11,1)+IF(Skills!H11&gt;0,MIN(Skills!I11,MAX(0,Inputs!$B$35-((R11-1)*IF(Inputs!$B$4="pvp",15,MAX(0.1,Skills!D11-IF(Skills!E11=TRUE,Inputs!$B$31,0))))))/Skills!H11,1)))/Inputs!$B$35),G11*Q11)*IF(Inputs!$B$4="pvp",1,(1-Summary!$B$55)*(1)+Summary!$B$55*(MIN(Skills!W11,Inputs!$B$37))),0)</f>
        <v/>
      </c>
      <c r="P11">
        <f>IF(Summary!$B$3=0,0,O11/Summary!$B$3)</f>
        <v/>
      </c>
      <c r="Q11">
        <f>IFERROR(1/IF(Inputs!$B$4="pvp",15,MAX(0.1,Skills!D11-IF(Skills!E11=TRUE,Inputs!$B$31,0))),0)</f>
        <v/>
      </c>
      <c r="R11">
        <f>IF(AND(Inputs!$B$4&lt;&gt;"pvp",Inputs!$B$35&gt;0),(INT(Inputs!$B$35/IF(Inputs!$B$4="pvp",15,MAX(0.1,Skills!D11-IF(Skills!E11=TRUE,Inputs!$B$31,0))))+1),0)</f>
        <v/>
      </c>
      <c r="S11">
        <f>IFERROR(O11/N11,0)</f>
        <v/>
      </c>
    </row>
    <row r="12">
      <c r="A12">
        <f>Skills!A12</f>
        <v/>
      </c>
      <c r="B12">
        <f>Skills!B12</f>
        <v/>
      </c>
      <c r="C12">
        <f>Inputs!$B$3&gt;=105</f>
        <v/>
      </c>
      <c r="D12">
        <f>IF(Skills!C12=1,60+Inputs!$B$24+Inputs!$B$28,IF(Skills!C12=2,90+Inputs!$B$25+Inputs!$B$28,IF(Skills!C12=3,120+Inputs!$B$26+Inputs!$B$28,MAX(0,(Inputs!$B$3-100)*3)+Inputs!$B$27+Inputs!$B$28)))</f>
        <v/>
      </c>
      <c r="E12">
        <f>INDEX(FactorTable!$B$2:$Y$301, MATCH(ROUND(MIN(300,MAX(1,D12)),0), FactorTable!$A$2:$A$301,0), Skills!M12+1)</f>
        <v/>
      </c>
      <c r="F12">
        <f>IF(Skills!N12=TRUE,(Skills!L12/10)*(E12/1000),Skills!L12/10)+Skills!O12</f>
        <v/>
      </c>
      <c r="G12">
        <f>Skills!G12*IF(Skills!H12&gt;0,Skills!I12/Skills!H12,1)</f>
        <v/>
      </c>
      <c r="H12">
        <f>1-(1-Skills!J12/100)^Skills!K12</f>
        <v/>
      </c>
      <c r="I12" t="inlineStr">
        <is>
          <t>1</t>
        </is>
      </c>
      <c r="J12">
        <f>Summary!$B$50*(F12/100)</f>
        <v/>
      </c>
      <c r="K12">
        <f>J12*(1+Summary!$B$51/100)*(1+Inputs!$B$14/100)*(1+IF(Inputs!$B$4="pvp",0,(1-Summary!$B$55)*(Inputs!$B$19+Skills!P12+Summary!$B$59)+Summary!$B$55*(Inputs!$B$20+Skills!Q12+Summary!$B$59))/100)*(1+Inputs!$B$15/100)*(5000/(6000+Inputs!$B$7*(1-Inputs!$B$18/100)))*(1+Inputs!$B$23/100)*(1+(IF(Skills!A12="CRUEL_STAB",Inputs!$B$16,Inputs!$B$17))/100)*(Summary!$B$57*Summary!$B$60*I12)</f>
        <v/>
      </c>
      <c r="L12">
        <f>K12*(MIN(Inputs!$B$21,Inputs!$B$22)/100+Inputs!$B$22/100)/2</f>
        <v/>
      </c>
      <c r="M12">
        <f>L12*(1+(Inputs!$B$9+Summary!$B$65)/100)</f>
        <v/>
      </c>
      <c r="N12">
        <f>L12*(1-MIN((Inputs!$B$8+Summary!$B$58),100)/100)+M12*(MIN((Inputs!$B$8+Summary!$B$58),100)/100)</f>
        <v/>
      </c>
      <c r="O12">
        <f>IF(C12,H12*N12*IF(AND(Inputs!$B$4&lt;&gt;"pvp",Inputs!$B$35&gt;0),((Skills!G12*((R12-1)*IF(Skills!H12&gt;0,Skills!I12/Skills!H12,1)+IF(Skills!H12&gt;0,MIN(Skills!I12,MAX(0,Inputs!$B$35-((R12-1)*IF(Inputs!$B$4="pvp",15,MAX(0.1,Skills!D12-IF(Skills!E12=TRUE,Inputs!$B$31,0))))))/Skills!H12,1)))/Inputs!$B$35),G12*Q12)*IF(Inputs!$B$4="pvp",1,(1-Summary!$B$55)*(1)+Summary!$B$55*(MIN(Skills!W12,Inputs!$B$37))),0)</f>
        <v/>
      </c>
      <c r="P12">
        <f>IF(Summary!$B$3=0,0,O12/Summary!$B$3)</f>
        <v/>
      </c>
      <c r="Q12">
        <f>IFERROR(1/IF(Inputs!$B$4="pvp",15,MAX(0.1,Skills!D12-IF(Skills!E12=TRUE,Inputs!$B$31,0))),0)</f>
        <v/>
      </c>
      <c r="R12">
        <f>IF(AND(Inputs!$B$4&lt;&gt;"pvp",Inputs!$B$35&gt;0),(INT(Inputs!$B$35/IF(Inputs!$B$4="pvp",15,MAX(0.1,Skills!D12-IF(Skills!E12=TRUE,Inputs!$B$31,0))))+1),0)</f>
        <v/>
      </c>
      <c r="S12">
        <f>IFERROR(O12/N12,0)</f>
        <v/>
      </c>
    </row>
    <row r="13">
      <c r="A13">
        <f>Skills!A13</f>
        <v/>
      </c>
      <c r="B13">
        <f>Skills!B13</f>
        <v/>
      </c>
      <c r="C13">
        <f>Inputs!$B$3&gt;=105</f>
        <v/>
      </c>
      <c r="D13">
        <f>IF(Skills!C13=1,60+Inputs!$B$24+Inputs!$B$28,IF(Skills!C13=2,90+Inputs!$B$25+Inputs!$B$28,IF(Skills!C13=3,120+Inputs!$B$26+Inputs!$B$28,MAX(0,(Inputs!$B$3-100)*3)+Inputs!$B$27+Inputs!$B$28)))</f>
        <v/>
      </c>
      <c r="E13">
        <f>INDEX(FactorTable!$B$2:$Y$301, MATCH(ROUND(MIN(300,MAX(1,D13)),0), FactorTable!$A$2:$A$301,0), Skills!M13+1)</f>
        <v/>
      </c>
      <c r="F13">
        <f>IF(Skills!N13=TRUE,(Skills!L13/10)*(E13/1000),Skills!L13/10)+Skills!O13</f>
        <v/>
      </c>
      <c r="G13">
        <f>Skills!G13*IF(Skills!H13&gt;0,Skills!I13/Skills!H13,1)</f>
        <v/>
      </c>
      <c r="H13">
        <f>1-(1-Skills!J13/100)^Skills!K13</f>
        <v/>
      </c>
      <c r="I13" t="inlineStr">
        <is>
          <t>1</t>
        </is>
      </c>
      <c r="J13">
        <f>Summary!$B$50*(F13/100)</f>
        <v/>
      </c>
      <c r="K13">
        <f>J13*(1+Summary!$B$51/100)*(1+Inputs!$B$14/100)*(1+IF(Inputs!$B$4="pvp",0,(1-Summary!$B$55)*(Inputs!$B$19+Skills!P13+Summary!$B$59)+Summary!$B$55*(Inputs!$B$20+Skills!Q13+Summary!$B$59))/100)*(1+Inputs!$B$15/100)*(5000/(6000+Inputs!$B$7*(1-Inputs!$B$18/100)))*(1+Inputs!$B$23/100)*(1+(IF(Skills!A13="CRUEL_STAB",Inputs!$B$16,Inputs!$B$17))/100)*(Summary!$B$57*Summary!$B$60*I13)</f>
        <v/>
      </c>
      <c r="L13">
        <f>K13*(MIN(Inputs!$B$21,Inputs!$B$22)/100+Inputs!$B$22/100)/2</f>
        <v/>
      </c>
      <c r="M13">
        <f>L13*(1+(Inputs!$B$9+Summary!$B$65)/100)</f>
        <v/>
      </c>
      <c r="N13">
        <f>L13*(1-MIN((Inputs!$B$8+Summary!$B$58),100)/100)+M13*(MIN((Inputs!$B$8+Summary!$B$58),100)/100)</f>
        <v/>
      </c>
      <c r="O13">
        <f>IF(C13,H13*N13*IF(AND(Inputs!$B$4&lt;&gt;"pvp",Inputs!$B$35&gt;0),((Skills!G13*((R13-1)*IF(Skills!H13&gt;0,Skills!I13/Skills!H13,1)+IF(Skills!H13&gt;0,MIN(Skills!I13,MAX(0,Inputs!$B$35-((R13-1)*IF(Inputs!$B$4="pvp",15,MAX(0.1,Skills!D13-IF(Skills!E13=TRUE,Inputs!$B$31,0))))))/Skills!H13,1)))/Inputs!$B$35),G13*Q13)*IF(Inputs!$B$4="pvp",1,(1-Summary!$B$55)*(1)+Summary!$B$55*(MIN(Skills!W13,Inputs!$B$37))),0)</f>
        <v/>
      </c>
      <c r="P13">
        <f>IF(Summary!$B$3=0,0,O13/Summary!$B$3)</f>
        <v/>
      </c>
      <c r="Q13">
        <f>IFERROR(1/IF(Inputs!$B$4="pvp",15,MAX(0.1,Skills!D13-IF(Skills!E13=TRUE,Inputs!$B$31,0))),0)</f>
        <v/>
      </c>
      <c r="R13">
        <f>IF(AND(Inputs!$B$4&lt;&gt;"pvp",Inputs!$B$35&gt;0),(INT(Inputs!$B$35/IF(Inputs!$B$4="pvp",15,MAX(0.1,Skills!D13-IF(Skills!E13=TRUE,Inputs!$B$31,0))))+1),0)</f>
        <v/>
      </c>
      <c r="S13">
        <f>IFERROR(O13/N13,0)</f>
        <v/>
      </c>
    </row>
    <row r="14">
      <c r="A14">
        <f>Skills!A14</f>
        <v/>
      </c>
      <c r="B14">
        <f>Skills!B14</f>
        <v/>
      </c>
      <c r="C14">
        <f>Inputs!$B$3&gt;=107</f>
        <v/>
      </c>
      <c r="D14">
        <f>IF(Skills!C14=1,60+Inputs!$B$24+Inputs!$B$28,IF(Skills!C14=2,90+Inputs!$B$25+Inputs!$B$28,IF(Skills!C14=3,120+Inputs!$B$26+Inputs!$B$28,MAX(0,(Inputs!$B$3-100)*3)+Inputs!$B$27+Inputs!$B$28)))</f>
        <v/>
      </c>
      <c r="E14">
        <f>INDEX(FactorTable!$B$2:$Y$301, MATCH(ROUND(MIN(300,MAX(1,D14)),0), FactorTable!$A$2:$A$301,0), Skills!M14+1)</f>
        <v/>
      </c>
      <c r="F14">
        <f>IF(Skills!N14=TRUE,(Skills!L14/10)*(E14/1000),Skills!L14/10)+Skills!O14</f>
        <v/>
      </c>
      <c r="G14">
        <f>Skills!G14*IF(Skills!H14&gt;0,Skills!I14/Skills!H14,1)</f>
        <v/>
      </c>
      <c r="H14">
        <f>1-(1-Skills!J14/100)^Skills!K14</f>
        <v/>
      </c>
      <c r="I14" t="inlineStr">
        <is>
          <t>1</t>
        </is>
      </c>
      <c r="J14">
        <f>Summary!$B$50*(F14/100)</f>
        <v/>
      </c>
      <c r="K14">
        <f>J14*(1+Summary!$B$51/100)*(1+Inputs!$B$14/100)*(1+IF(Inputs!$B$4="pvp",0,(1-Summary!$B$55)*(Inputs!$B$19+Skills!P14+Summary!$B$59)+Summary!$B$55*(Inputs!$B$20+Skills!Q14+Summary!$B$59))/100)*(1+Inputs!$B$15/100)*(5000/(6000+Inputs!$B$7*(1-Inputs!$B$18/100)))*(1+Inputs!$B$23/100)*(1+(IF(Skills!A14="CRUEL_STAB",Inputs!$B$16,Inputs!$B$17))/100)*(Summary!$B$57*Summary!$B$60*I14)</f>
        <v/>
      </c>
      <c r="L14">
        <f>K14*(MIN(Inputs!$B$21,Inputs!$B$22)/100+Inputs!$B$22/100)/2</f>
        <v/>
      </c>
      <c r="M14">
        <f>L14*(1+(Inputs!$B$9+Summary!$B$65)/100)</f>
        <v/>
      </c>
      <c r="N14">
        <f>L14*(1-MIN((Inputs!$B$8+Summary!$B$58),100)/100)+M14*(MIN((Inputs!$B$8+Summary!$B$58),100)/100)</f>
        <v/>
      </c>
      <c r="O14">
        <f>IF(C14,H14*N14*IF(AND(Inputs!$B$4&lt;&gt;"pvp",Inputs!$B$35&gt;0),((Skills!G14*((R14-1)*IF(Skills!H14&gt;0,Skills!I14/Skills!H14,1)+IF(Skills!H14&gt;0,MIN(Skills!I14,MAX(0,Inputs!$B$35-((R14-1)*IF(Inputs!$B$4="pvp",15,MAX(0.1,Skills!D14-IF(Skills!E14=TRUE,Inputs!$B$31,0))))))/Skills!H14,1)))/Inputs!$B$35),G14*Q14)*IF(Inputs!$B$4="pvp",1,(1-Summary!$B$55)*(1)+Summary!$B$55*(MIN(MIN(5,0.25*Summary!$B$62*Skills!D4)*Skills!V14,Inputs!$B$37))),0)</f>
        <v/>
      </c>
      <c r="P14">
        <f>IF(Summary!$B$3=0,0,O14/Summary!$B$3)</f>
        <v/>
      </c>
      <c r="Q14">
        <f>IFERROR(1/IF(Inputs!$B$4="pvp",15,MAX(0.1,Skills!D14-IF(Skills!E14=TRUE,Inputs!$B$31,0))),0)</f>
        <v/>
      </c>
      <c r="R14">
        <f>IF(AND(Inputs!$B$4&lt;&gt;"pvp",Inputs!$B$35&gt;0),(INT(Inputs!$B$35/IF(Inputs!$B$4="pvp",15,MAX(0.1,Skills!D14-IF(Skills!E14=TRUE,Inputs!$B$31,0))))+1),0)</f>
        <v/>
      </c>
      <c r="S14">
        <f>IFERROR(O14/N14,0)</f>
        <v/>
      </c>
    </row>
    <row r="15">
      <c r="A15">
        <f>Skills!A15</f>
        <v/>
      </c>
      <c r="B15">
        <f>Skills!B15</f>
        <v/>
      </c>
      <c r="C15">
        <f>Inputs!$B$3&gt;=110</f>
        <v/>
      </c>
      <c r="D15">
        <f>IF(Skills!C15=1,60+Inputs!$B$24+Inputs!$B$28,IF(Skills!C15=2,90+Inputs!$B$25+Inputs!$B$28,IF(Skills!C15=3,120+Inputs!$B$26+Inputs!$B$28,MAX(0,(Inputs!$B$3-100)*3)+Inputs!$B$27+Inputs!$B$28)))</f>
        <v/>
      </c>
      <c r="E15">
        <f>INDEX(FactorTable!$B$2:$Y$301, MATCH(ROUND(MIN(300,MAX(1,D15)),0), FactorTable!$A$2:$A$301,0), Skills!M15+1)</f>
        <v/>
      </c>
      <c r="F15">
        <f>IF(Skills!N15=TRUE,(Skills!L15/10)*(E15/1000),Skills!L15/10)+Skills!O15</f>
        <v/>
      </c>
      <c r="G15">
        <f>Skills!G15*IF(Skills!H15&gt;0,Skills!I15/Skills!H15,1)</f>
        <v/>
      </c>
      <c r="H15">
        <f>1-(1-Skills!J15/100)^Skills!K15</f>
        <v/>
      </c>
      <c r="I15" t="inlineStr">
        <is>
          <t>1</t>
        </is>
      </c>
      <c r="J15" t="inlineStr"/>
      <c r="K15" t="inlineStr"/>
      <c r="L15" t="inlineStr"/>
      <c r="M15" t="inlineStr"/>
      <c r="N15" t="inlineStr"/>
      <c r="O15" t="n">
        <v>0</v>
      </c>
      <c r="P15">
        <f>IF(Summary!$B$3=0,0,O15/Summary!$B$3)</f>
        <v/>
      </c>
      <c r="Q15">
        <f>IFERROR(1/IF(Inputs!$B$4="pvp",15,MAX(0.1,Skills!D15-IF(Skills!E15=TRUE,Inputs!$B$31,0))),0)</f>
        <v/>
      </c>
      <c r="R15">
        <f>IF(AND(Inputs!$B$4&lt;&gt;"pvp",Inputs!$B$35&gt;0),(INT(Inputs!$B$35/IF(Inputs!$B$4="pvp",15,MAX(0.1,Skills!D15-IF(Skills!E15=TRUE,Inputs!$B$31,0))))+1),0)</f>
        <v/>
      </c>
      <c r="S15">
        <f>IFERROR(O15/N15,0)</f>
        <v/>
      </c>
    </row>
    <row r="16">
      <c r="A16">
        <f>Skills!A16</f>
        <v/>
      </c>
      <c r="B16">
        <f>Skills!B16</f>
        <v/>
      </c>
      <c r="C16">
        <f>Inputs!$B$3&gt;=115</f>
        <v/>
      </c>
      <c r="D16">
        <f>IF(Skills!C16=1,60+Inputs!$B$24+Inputs!$B$28,IF(Skills!C16=2,90+Inputs!$B$25+Inputs!$B$28,IF(Skills!C16=3,120+Inputs!$B$26+Inputs!$B$28,MAX(0,(Inputs!$B$3-100)*3)+Inputs!$B$27+Inputs!$B$28)))</f>
        <v/>
      </c>
      <c r="E16">
        <f>INDEX(FactorTable!$B$2:$Y$301, MATCH(ROUND(MIN(300,MAX(1,D16)),0), FactorTable!$A$2:$A$301,0), Skills!M16+1)</f>
        <v/>
      </c>
      <c r="F16">
        <f>IF(Skills!N16=TRUE,(Skills!L16/10)*(E16/1000),Skills!L16/10)+Skills!O16</f>
        <v/>
      </c>
      <c r="G16">
        <f>Skills!G16*IF(Skills!H16&gt;0,Skills!I16/Skills!H16,1)</f>
        <v/>
      </c>
      <c r="H16">
        <f>1-(1-Skills!J16/100)^Skills!K16</f>
        <v/>
      </c>
      <c r="I16" t="inlineStr">
        <is>
          <t>1</t>
        </is>
      </c>
      <c r="J16">
        <f>Summary!$B$50*(F16/100)</f>
        <v/>
      </c>
      <c r="K16">
        <f>J16*(1+Summary!$B$51/100)*(1+Inputs!$B$14/100)*(1+IF(Inputs!$B$4="pvp",0,(1-Summary!$B$55)*(Inputs!$B$19+Skills!P16+Summary!$B$59)+Summary!$B$55*(Inputs!$B$20+Skills!Q16+Summary!$B$59))/100)*(1+Inputs!$B$15/100)*(5000/(6000+Inputs!$B$7*(1-Inputs!$B$18/100)))*(1+Inputs!$B$23/100)*(1+(IF(Skills!A16="CRUEL_STAB",Inputs!$B$16,Inputs!$B$17))/100)*(Summary!$B$57*Summary!$B$60*I16)</f>
        <v/>
      </c>
      <c r="L16">
        <f>K16*(MIN(Inputs!$B$21,Inputs!$B$22)/100+Inputs!$B$22/100)/2</f>
        <v/>
      </c>
      <c r="M16">
        <f>L16*(1+(Inputs!$B$9+Summary!$B$65)/100)</f>
        <v/>
      </c>
      <c r="N16">
        <f>L16*(1-MIN((Inputs!$B$8+Summary!$B$58),100)/100)+M16*(MIN((Inputs!$B$8+Summary!$B$58),100)/100)</f>
        <v/>
      </c>
      <c r="O16">
        <f>IF(C16,Inputs!$B$38*0.2*N16,0)</f>
        <v/>
      </c>
      <c r="P16">
        <f>IF(Summary!$B$3=0,0,O16/Summary!$B$3)</f>
        <v/>
      </c>
      <c r="Q16" t="n">
        <v>0</v>
      </c>
      <c r="R16" t="n">
        <v>0</v>
      </c>
      <c r="S16">
        <f>IFERROR(O16/N16,0)</f>
        <v/>
      </c>
    </row>
    <row r="17">
      <c r="A17">
        <f>Skills!A17</f>
        <v/>
      </c>
      <c r="B17">
        <f>Skills!B17</f>
        <v/>
      </c>
      <c r="C17">
        <f>Inputs!$B$3&gt;=115</f>
        <v/>
      </c>
      <c r="D17">
        <f>IF(Skills!C17=1,60+Inputs!$B$24+Inputs!$B$28,IF(Skills!C17=2,90+Inputs!$B$25+Inputs!$B$28,IF(Skills!C17=3,120+Inputs!$B$26+Inputs!$B$28,MAX(0,(Inputs!$B$3-100)*3)+Inputs!$B$27+Inputs!$B$28)))</f>
        <v/>
      </c>
      <c r="E17">
        <f>INDEX(FactorTable!$B$2:$Y$301, MATCH(ROUND(MIN(300,MAX(1,D17)),0), FactorTable!$A$2:$A$301,0), Skills!M17+1)</f>
        <v/>
      </c>
      <c r="F17">
        <f>IF(Skills!N17=TRUE,(Skills!L17/10)*(E17/1000),Skills!L17/10)+Skills!O17</f>
        <v/>
      </c>
      <c r="G17">
        <f>Skills!G17*IF(Skills!H17&gt;0,Skills!I17/Skills!H17,1)</f>
        <v/>
      </c>
      <c r="H17">
        <f>1-(1-Skills!J17/100)^Skills!K17</f>
        <v/>
      </c>
      <c r="I17" t="inlineStr">
        <is>
          <t>1</t>
        </is>
      </c>
      <c r="J17" t="inlineStr"/>
      <c r="K17" t="inlineStr"/>
      <c r="L17" t="inlineStr"/>
      <c r="M17" t="inlineStr"/>
      <c r="N17" t="inlineStr"/>
      <c r="O17" t="n">
        <v>0</v>
      </c>
      <c r="P17">
        <f>IF(Summary!$B$3=0,0,O17/Summary!$B$3)</f>
        <v/>
      </c>
      <c r="Q17" t="n">
        <v>0</v>
      </c>
      <c r="R17" t="n">
        <v>0</v>
      </c>
      <c r="S17">
        <f>IFERROR(O17/N17,0)</f>
        <v/>
      </c>
    </row>
    <row r="18">
      <c r="A18">
        <f>Skills!A18</f>
        <v/>
      </c>
      <c r="B18">
        <f>Skills!B18</f>
        <v/>
      </c>
      <c r="C18">
        <f>Inputs!$B$3&gt;=100</f>
        <v/>
      </c>
      <c r="D18">
        <f>IF(Skills!C18=1,60+Inputs!$B$24+Inputs!$B$28,IF(Skills!C18=2,90+Inputs!$B$25+Inputs!$B$28,IF(Skills!C18=3,120+Inputs!$B$26+Inputs!$B$28,MAX(0,(Inputs!$B$3-100)*3)+Inputs!$B$27+Inputs!$B$28)))</f>
        <v/>
      </c>
      <c r="E18">
        <f>INDEX(FactorTable!$B$2:$Y$301, MATCH(ROUND(MIN(300,MAX(1,D18)),0), FactorTable!$A$2:$A$301,0), Skills!M18+1)</f>
        <v/>
      </c>
      <c r="F18">
        <f>IF(Skills!N18=TRUE,(Skills!L18/10)*(E18/1000),Skills!L18/10)+Skills!O18</f>
        <v/>
      </c>
      <c r="G18">
        <f>Skills!G18*IF(Skills!H18&gt;0,Skills!I18/Skills!H18,1)</f>
        <v/>
      </c>
      <c r="H18">
        <f>1-(1-Skills!J18/100)^Skills!K18</f>
        <v/>
      </c>
      <c r="I18" t="inlineStr">
        <is>
          <t>1</t>
        </is>
      </c>
      <c r="J18" t="inlineStr"/>
      <c r="K18" t="inlineStr"/>
      <c r="L18" t="inlineStr"/>
      <c r="M18" t="inlineStr"/>
      <c r="N18" t="inlineStr"/>
      <c r="O18" t="n">
        <v>0</v>
      </c>
      <c r="P18">
        <f>IF(Summary!$B$3=0,0,O18/Summary!$B$3)</f>
        <v/>
      </c>
      <c r="Q18" t="n">
        <v>0</v>
      </c>
      <c r="R18" t="n">
        <v>0</v>
      </c>
      <c r="S18">
        <f>IFERROR(O18/N18,0)</f>
        <v/>
      </c>
    </row>
    <row r="19">
      <c r="A19">
        <f>Skills!A19</f>
        <v/>
      </c>
      <c r="B19">
        <f>Skills!B19</f>
        <v/>
      </c>
      <c r="C19">
        <f>TRUE</f>
        <v/>
      </c>
      <c r="D19">
        <f>IF(Skills!C19=1,60+Inputs!$B$24+Inputs!$B$28,IF(Skills!C19=2,90+Inputs!$B$25+Inputs!$B$28,IF(Skills!C19=3,120+Inputs!$B$26+Inputs!$B$28,MAX(0,(Inputs!$B$3-100)*3)+Inputs!$B$27+Inputs!$B$28)))</f>
        <v/>
      </c>
      <c r="E19">
        <f>INDEX(FactorTable!$B$2:$Y$301, MATCH(ROUND(MIN(300,MAX(1,D19)),0), FactorTable!$A$2:$A$301,0), Skills!M19+1)</f>
        <v/>
      </c>
      <c r="F19">
        <f>IF(Skills!N19=TRUE,(Skills!L19/10)*(E19/1000),Skills!L19/10)+Skills!O19</f>
        <v/>
      </c>
      <c r="G19">
        <f>Skills!G19*IF(Skills!H19&gt;0,Skills!I19/Skills!H19,1)</f>
        <v/>
      </c>
      <c r="H19">
        <f>1-(1-Skills!J19/100)^Skills!K19</f>
        <v/>
      </c>
      <c r="I19" t="inlineStr">
        <is>
          <t>1</t>
        </is>
      </c>
      <c r="J19" t="inlineStr"/>
      <c r="K19" t="inlineStr"/>
      <c r="L19" t="inlineStr"/>
      <c r="M19" t="inlineStr"/>
      <c r="N19" t="inlineStr"/>
      <c r="O19" t="n">
        <v>0</v>
      </c>
      <c r="P19">
        <f>IF(Summary!$B$3=0,0,O19/Summary!$B$3)</f>
        <v/>
      </c>
      <c r="Q19">
        <f>IFERROR(1/IF(Inputs!$B$4="pvp",15,MAX(0.1,Skills!D19-IF(Skills!E19=TRUE,Inputs!$B$31,0))),0)</f>
        <v/>
      </c>
      <c r="R19">
        <f>IF(AND(Inputs!$B$4&lt;&gt;"pvp",Inputs!$B$35&gt;0),(INT(Inputs!$B$35/IF(Inputs!$B$4="pvp",15,MAX(0.1,Skills!D19-IF(Skills!E19=TRUE,Inputs!$B$31,0))))+1),0)</f>
        <v/>
      </c>
      <c r="S19">
        <f>IFERROR(O19/N19,0)</f>
        <v/>
      </c>
    </row>
    <row r="20">
      <c r="A20">
        <f>Skills!A20</f>
        <v/>
      </c>
      <c r="B20">
        <f>Skills!B20</f>
        <v/>
      </c>
      <c r="C20">
        <f>Inputs!$B$3&gt;=15</f>
        <v/>
      </c>
      <c r="D20">
        <f>IF(Skills!C20=1,60+Inputs!$B$24+Inputs!$B$28,IF(Skills!C20=2,90+Inputs!$B$25+Inputs!$B$28,IF(Skills!C20=3,120+Inputs!$B$26+Inputs!$B$28,MAX(0,(Inputs!$B$3-100)*3)+Inputs!$B$27+Inputs!$B$28)))</f>
        <v/>
      </c>
      <c r="E20">
        <f>INDEX(FactorTable!$B$2:$Y$301, MATCH(ROUND(MIN(300,MAX(1,D20)),0), FactorTable!$A$2:$A$301,0), Skills!M20+1)</f>
        <v/>
      </c>
      <c r="F20">
        <f>IF(Skills!N20=TRUE,(Skills!L20/10)*(E20/1000),Skills!L20/10)+Skills!O20</f>
        <v/>
      </c>
      <c r="G20">
        <f>Skills!G20*IF(Skills!H20&gt;0,Skills!I20/Skills!H20,1)</f>
        <v/>
      </c>
      <c r="H20">
        <f>1-(1-Skills!J20/100)^Skills!K20</f>
        <v/>
      </c>
      <c r="I20" t="inlineStr">
        <is>
          <t>1</t>
        </is>
      </c>
      <c r="J20" t="inlineStr"/>
      <c r="K20" t="inlineStr"/>
      <c r="L20" t="inlineStr"/>
      <c r="M20" t="inlineStr"/>
      <c r="N20" t="inlineStr"/>
      <c r="O20" t="n">
        <v>0</v>
      </c>
      <c r="P20">
        <f>IF(Summary!$B$3=0,0,O20/Summary!$B$3)</f>
        <v/>
      </c>
      <c r="Q20">
        <f>IFERROR(1/IF(Inputs!$B$4="pvp",15,MAX(0.1,Skills!D20-IF(Skills!E20=TRUE,Inputs!$B$31,0))),0)</f>
        <v/>
      </c>
      <c r="R20">
        <f>IF(AND(Inputs!$B$4&lt;&gt;"pvp",Inputs!$B$35&gt;0),(INT(Inputs!$B$35/IF(Inputs!$B$4="pvp",15,MAX(0.1,Skills!D20-IF(Skills!E20=TRUE,Inputs!$B$31,0))))+1),0)</f>
        <v/>
      </c>
      <c r="S20">
        <f>IFERROR(O20/N20,0)</f>
        <v/>
      </c>
    </row>
    <row r="21">
      <c r="A21">
        <f>Skills!A21</f>
        <v/>
      </c>
      <c r="B21">
        <f>Skills!B21</f>
        <v/>
      </c>
      <c r="C21">
        <f>Inputs!$B$3&gt;=15</f>
        <v/>
      </c>
      <c r="D21">
        <f>IF(Skills!C21=1,60+Inputs!$B$24+Inputs!$B$28,IF(Skills!C21=2,90+Inputs!$B$25+Inputs!$B$28,IF(Skills!C21=3,120+Inputs!$B$26+Inputs!$B$28,MAX(0,(Inputs!$B$3-100)*3)+Inputs!$B$27+Inputs!$B$28)))</f>
        <v/>
      </c>
      <c r="E21">
        <f>INDEX(FactorTable!$B$2:$Y$301, MATCH(ROUND(MIN(300,MAX(1,D21)),0), FactorTable!$A$2:$A$301,0), Skills!M21+1)</f>
        <v/>
      </c>
      <c r="F21">
        <f>IF(Skills!N21=TRUE,(Skills!L21/10)*(E21/1000),Skills!L21/10)+Skills!O21</f>
        <v/>
      </c>
      <c r="G21">
        <f>Skills!G21*IF(Skills!H21&gt;0,Skills!I21/Skills!H21,1)</f>
        <v/>
      </c>
      <c r="H21">
        <f>1-(1-Skills!J21/100)^Skills!K21</f>
        <v/>
      </c>
      <c r="I21" t="inlineStr">
        <is>
          <t>1</t>
        </is>
      </c>
      <c r="J21" t="inlineStr"/>
      <c r="K21" t="inlineStr"/>
      <c r="L21" t="inlineStr"/>
      <c r="M21" t="inlineStr"/>
      <c r="N21" t="inlineStr"/>
      <c r="O21" t="n">
        <v>0</v>
      </c>
      <c r="P21">
        <f>IF(Summary!$B$3=0,0,O21/Summary!$B$3)</f>
        <v/>
      </c>
      <c r="Q21">
        <f>IFERROR(1/IF(Inputs!$B$4="pvp",15,MAX(0.1,Skills!D21-IF(Skills!E21=TRUE,Inputs!$B$31,0))),0)</f>
        <v/>
      </c>
      <c r="R21">
        <f>IF(AND(Inputs!$B$4&lt;&gt;"pvp",Inputs!$B$35&gt;0),(INT(Inputs!$B$35/IF(Inputs!$B$4="pvp",15,MAX(0.1,Skills!D21-IF(Skills!E21=TRUE,Inputs!$B$31,0))))+1),0)</f>
        <v/>
      </c>
      <c r="S21">
        <f>IFERROR(O21/N21,0)</f>
        <v/>
      </c>
    </row>
    <row r="22">
      <c r="A22">
        <f>Skills!A22</f>
        <v/>
      </c>
      <c r="B22">
        <f>Skills!B22</f>
        <v/>
      </c>
      <c r="C22">
        <f>Inputs!$B$3&gt;=33</f>
        <v/>
      </c>
      <c r="D22">
        <f>IF(Skills!C22=1,60+Inputs!$B$24+Inputs!$B$28,IF(Skills!C22=2,90+Inputs!$B$25+Inputs!$B$28,IF(Skills!C22=3,120+Inputs!$B$26+Inputs!$B$28,MAX(0,(Inputs!$B$3-100)*3)+Inputs!$B$27+Inputs!$B$28)))</f>
        <v/>
      </c>
      <c r="E22">
        <f>INDEX(FactorTable!$B$2:$Y$301, MATCH(ROUND(MIN(300,MAX(1,D22)),0), FactorTable!$A$2:$A$301,0), Skills!M22+1)</f>
        <v/>
      </c>
      <c r="F22">
        <f>IF(Skills!N22=TRUE,(Skills!L22/10)*(E22/1000),Skills!L22/10)+Skills!O22</f>
        <v/>
      </c>
      <c r="G22">
        <f>Skills!G22*IF(Skills!H22&gt;0,Skills!I22/Skills!H22,1)</f>
        <v/>
      </c>
      <c r="H22">
        <f>1-(1-Skills!J22/100)^Skills!K22</f>
        <v/>
      </c>
      <c r="I22" t="inlineStr">
        <is>
          <t>1</t>
        </is>
      </c>
      <c r="J22" t="inlineStr"/>
      <c r="K22" t="inlineStr"/>
      <c r="L22" t="inlineStr"/>
      <c r="M22" t="inlineStr"/>
      <c r="N22" t="inlineStr"/>
      <c r="O22" t="n">
        <v>0</v>
      </c>
      <c r="P22">
        <f>IF(Summary!$B$3=0,0,O22/Summary!$B$3)</f>
        <v/>
      </c>
      <c r="Q22" t="n">
        <v>0</v>
      </c>
      <c r="R22" t="n">
        <v>0</v>
      </c>
      <c r="S22">
        <f>IFERROR(O22/N22,0)</f>
        <v/>
      </c>
    </row>
    <row r="23">
      <c r="A23">
        <f>Skills!A23</f>
        <v/>
      </c>
      <c r="B23">
        <f>Skills!B23</f>
        <v/>
      </c>
      <c r="C23">
        <f>Inputs!$B$3&gt;=40</f>
        <v/>
      </c>
      <c r="D23">
        <f>IF(Skills!C23=1,60+Inputs!$B$24+Inputs!$B$28,IF(Skills!C23=2,90+Inputs!$B$25+Inputs!$B$28,IF(Skills!C23=3,120+Inputs!$B$26+Inputs!$B$28,MAX(0,(Inputs!$B$3-100)*3)+Inputs!$B$27+Inputs!$B$28)))</f>
        <v/>
      </c>
      <c r="E23">
        <f>INDEX(FactorTable!$B$2:$Y$301, MATCH(ROUND(MIN(300,MAX(1,D23)),0), FactorTable!$A$2:$A$301,0), Skills!M23+1)</f>
        <v/>
      </c>
      <c r="F23">
        <f>IF(Skills!N23=TRUE,(Skills!L23/10)*(E23/1000),Skills!L23/10)+Skills!O23</f>
        <v/>
      </c>
      <c r="G23">
        <f>Skills!G23*IF(Skills!H23&gt;0,Skills!I23/Skills!H23,1)</f>
        <v/>
      </c>
      <c r="H23">
        <f>1-(1-Skills!J23/100)^Skills!K23</f>
        <v/>
      </c>
      <c r="I23" t="inlineStr">
        <is>
          <t>1</t>
        </is>
      </c>
      <c r="J23" t="inlineStr"/>
      <c r="K23" t="inlineStr"/>
      <c r="L23" t="inlineStr"/>
      <c r="M23" t="inlineStr"/>
      <c r="N23" t="inlineStr"/>
      <c r="O23" t="n">
        <v>0</v>
      </c>
      <c r="P23">
        <f>IF(Summary!$B$3=0,0,O23/Summary!$B$3)</f>
        <v/>
      </c>
      <c r="Q23" t="n">
        <v>0</v>
      </c>
      <c r="R23" t="n">
        <v>0</v>
      </c>
      <c r="S23">
        <f>IFERROR(O23/N23,0)</f>
        <v/>
      </c>
    </row>
    <row r="24">
      <c r="A24">
        <f>Skills!A24</f>
        <v/>
      </c>
      <c r="B24">
        <f>Skills!B24</f>
        <v/>
      </c>
      <c r="C24">
        <f>Inputs!$B$3&gt;=43</f>
        <v/>
      </c>
      <c r="D24">
        <f>IF(Skills!C24=1,60+Inputs!$B$24+Inputs!$B$28,IF(Skills!C24=2,90+Inputs!$B$25+Inputs!$B$28,IF(Skills!C24=3,120+Inputs!$B$26+Inputs!$B$28,MAX(0,(Inputs!$B$3-100)*3)+Inputs!$B$27+Inputs!$B$28)))</f>
        <v/>
      </c>
      <c r="E24">
        <f>INDEX(FactorTable!$B$2:$Y$301, MATCH(ROUND(MIN(300,MAX(1,D24)),0), FactorTable!$A$2:$A$301,0), Skills!M24+1)</f>
        <v/>
      </c>
      <c r="F24">
        <f>IF(Skills!N24=TRUE,(Skills!L24/10)*(E24/1000),Skills!L24/10)+Skills!O24</f>
        <v/>
      </c>
      <c r="G24">
        <f>Skills!G24*IF(Skills!H24&gt;0,Skills!I24/Skills!H24,1)</f>
        <v/>
      </c>
      <c r="H24">
        <f>1-(1-Skills!J24/100)^Skills!K24</f>
        <v/>
      </c>
      <c r="I24" t="inlineStr">
        <is>
          <t>1</t>
        </is>
      </c>
      <c r="J24" t="inlineStr"/>
      <c r="K24" t="inlineStr"/>
      <c r="L24" t="inlineStr"/>
      <c r="M24" t="inlineStr"/>
      <c r="N24" t="inlineStr"/>
      <c r="O24" t="n">
        <v>0</v>
      </c>
      <c r="P24">
        <f>IF(Summary!$B$3=0,0,O24/Summary!$B$3)</f>
        <v/>
      </c>
      <c r="Q24" t="n">
        <v>0</v>
      </c>
      <c r="R24" t="n">
        <v>0</v>
      </c>
      <c r="S24">
        <f>IFERROR(O24/N24,0)</f>
        <v/>
      </c>
    </row>
    <row r="25">
      <c r="A25">
        <f>Skills!A25</f>
        <v/>
      </c>
      <c r="B25">
        <f>Skills!B25</f>
        <v/>
      </c>
      <c r="C25">
        <f>Inputs!$B$3&gt;=50</f>
        <v/>
      </c>
      <c r="D25">
        <f>IF(Skills!C25=1,60+Inputs!$B$24+Inputs!$B$28,IF(Skills!C25=2,90+Inputs!$B$25+Inputs!$B$28,IF(Skills!C25=3,120+Inputs!$B$26+Inputs!$B$28,MAX(0,(Inputs!$B$3-100)*3)+Inputs!$B$27+Inputs!$B$28)))</f>
        <v/>
      </c>
      <c r="E25">
        <f>INDEX(FactorTable!$B$2:$Y$301, MATCH(ROUND(MIN(300,MAX(1,D25)),0), FactorTable!$A$2:$A$301,0), Skills!M25+1)</f>
        <v/>
      </c>
      <c r="F25">
        <f>IF(Skills!N25=TRUE,(Skills!L25/10)*(E25/1000),Skills!L25/10)+Skills!O25</f>
        <v/>
      </c>
      <c r="G25">
        <f>Skills!G25*IF(Skills!H25&gt;0,Skills!I25/Skills!H25,1)</f>
        <v/>
      </c>
      <c r="H25">
        <f>1-(1-Skills!J25/100)^Skills!K25</f>
        <v/>
      </c>
      <c r="I25" t="inlineStr">
        <is>
          <t>1</t>
        </is>
      </c>
      <c r="J25" t="inlineStr"/>
      <c r="K25" t="inlineStr"/>
      <c r="L25" t="inlineStr"/>
      <c r="M25" t="inlineStr"/>
      <c r="N25" t="inlineStr"/>
      <c r="O25" t="n">
        <v>0</v>
      </c>
      <c r="P25">
        <f>IF(Summary!$B$3=0,0,O25/Summary!$B$3)</f>
        <v/>
      </c>
      <c r="Q25" t="n">
        <v>0</v>
      </c>
      <c r="R25" t="n">
        <v>0</v>
      </c>
      <c r="S25">
        <f>IFERROR(O25/N25,0)</f>
        <v/>
      </c>
    </row>
    <row r="26">
      <c r="A26">
        <f>Skills!A26</f>
        <v/>
      </c>
      <c r="B26">
        <f>Skills!B26</f>
        <v/>
      </c>
      <c r="C26">
        <f>Inputs!$B$3&gt;=50</f>
        <v/>
      </c>
      <c r="D26">
        <f>IF(Skills!C26=1,60+Inputs!$B$24+Inputs!$B$28,IF(Skills!C26=2,90+Inputs!$B$25+Inputs!$B$28,IF(Skills!C26=3,120+Inputs!$B$26+Inputs!$B$28,MAX(0,(Inputs!$B$3-100)*3)+Inputs!$B$27+Inputs!$B$28)))</f>
        <v/>
      </c>
      <c r="E26">
        <f>INDEX(FactorTable!$B$2:$Y$301, MATCH(ROUND(MIN(300,MAX(1,D26)),0), FactorTable!$A$2:$A$301,0), Skills!M26+1)</f>
        <v/>
      </c>
      <c r="F26">
        <f>IF(Skills!N26=TRUE,(Skills!L26/10)*(E26/1000),Skills!L26/10)+Skills!O26</f>
        <v/>
      </c>
      <c r="G26">
        <f>Skills!G26*IF(Skills!H26&gt;0,Skills!I26/Skills!H26,1)</f>
        <v/>
      </c>
      <c r="H26">
        <f>1-(1-Skills!J26/100)^Skills!K26</f>
        <v/>
      </c>
      <c r="I26" t="inlineStr">
        <is>
          <t>1</t>
        </is>
      </c>
      <c r="J26" t="inlineStr"/>
      <c r="K26" t="inlineStr"/>
      <c r="L26" t="inlineStr"/>
      <c r="M26" t="inlineStr"/>
      <c r="N26" t="inlineStr"/>
      <c r="O26" t="n">
        <v>0</v>
      </c>
      <c r="P26">
        <f>IF(Summary!$B$3=0,0,O26/Summary!$B$3)</f>
        <v/>
      </c>
      <c r="Q26" t="n">
        <v>0</v>
      </c>
      <c r="R26" t="n">
        <v>0</v>
      </c>
      <c r="S26">
        <f>IFERROR(O26/N26,0)</f>
        <v/>
      </c>
    </row>
    <row r="27">
      <c r="A27">
        <f>Skills!A27</f>
        <v/>
      </c>
      <c r="B27">
        <f>Skills!B27</f>
        <v/>
      </c>
      <c r="C27">
        <f>Inputs!$B$3&gt;=38</f>
        <v/>
      </c>
      <c r="D27">
        <f>IF(Skills!C27=1,60+Inputs!$B$24+Inputs!$B$28,IF(Skills!C27=2,90+Inputs!$B$25+Inputs!$B$28,IF(Skills!C27=3,120+Inputs!$B$26+Inputs!$B$28,MAX(0,(Inputs!$B$3-100)*3)+Inputs!$B$27+Inputs!$B$28)))</f>
        <v/>
      </c>
      <c r="E27">
        <f>INDEX(FactorTable!$B$2:$Y$301, MATCH(ROUND(MIN(300,MAX(1,D27)),0), FactorTable!$A$2:$A$301,0), Skills!M27+1)</f>
        <v/>
      </c>
      <c r="F27">
        <f>IF(Skills!N27=TRUE,(Skills!L27/10)*(E27/1000),Skills!L27/10)+Skills!O27</f>
        <v/>
      </c>
      <c r="G27">
        <f>Skills!G27*IF(Skills!H27&gt;0,Skills!I27/Skills!H27,1)</f>
        <v/>
      </c>
      <c r="H27">
        <f>1-(1-Skills!J27/100)^Skills!K27</f>
        <v/>
      </c>
      <c r="I27" t="inlineStr">
        <is>
          <t>1</t>
        </is>
      </c>
      <c r="J27" t="inlineStr"/>
      <c r="K27" t="inlineStr"/>
      <c r="L27" t="inlineStr"/>
      <c r="M27" t="inlineStr"/>
      <c r="N27" t="inlineStr"/>
      <c r="O27" t="n">
        <v>0</v>
      </c>
      <c r="P27">
        <f>IF(Summary!$B$3=0,0,O27/Summary!$B$3)</f>
        <v/>
      </c>
      <c r="Q27" t="n">
        <v>0</v>
      </c>
      <c r="R27" t="n">
        <v>0</v>
      </c>
      <c r="S27">
        <f>IFERROR(O27/N27,0)</f>
        <v/>
      </c>
    </row>
    <row r="28">
      <c r="A28">
        <f>Skills!A28</f>
        <v/>
      </c>
      <c r="B28">
        <f>Skills!B28</f>
        <v/>
      </c>
      <c r="C28">
        <f>Inputs!$B$3&gt;=120</f>
        <v/>
      </c>
      <c r="D28">
        <f>IF(Skills!C28=1,60+Inputs!$B$24+Inputs!$B$28,IF(Skills!C28=2,90+Inputs!$B$25+Inputs!$B$28,IF(Skills!C28=3,120+Inputs!$B$26+Inputs!$B$28,MAX(0,(Inputs!$B$3-100)*3)+Inputs!$B$27+Inputs!$B$28)))</f>
        <v/>
      </c>
      <c r="E28">
        <f>INDEX(FactorTable!$B$2:$Y$301, MATCH(ROUND(MIN(300,MAX(1,D28)),0), FactorTable!$A$2:$A$301,0), Skills!M28+1)</f>
        <v/>
      </c>
      <c r="F28">
        <f>IF(Skills!N28=TRUE,(Skills!L28/10)*(E28/1000),Skills!L28/10)+Skills!O28</f>
        <v/>
      </c>
      <c r="G28">
        <f>Skills!G28*IF(Skills!H28&gt;0,Skills!I28/Skills!H28,1)</f>
        <v/>
      </c>
      <c r="H28">
        <f>1-(1-Skills!J28/100)^Skills!K28</f>
        <v/>
      </c>
      <c r="I28" t="inlineStr">
        <is>
          <t>1</t>
        </is>
      </c>
      <c r="J28" t="inlineStr"/>
      <c r="K28" t="inlineStr"/>
      <c r="L28" t="inlineStr"/>
      <c r="M28" t="inlineStr"/>
      <c r="N28" t="inlineStr"/>
      <c r="O28" t="n">
        <v>0</v>
      </c>
      <c r="P28">
        <f>IF(Summary!$B$3=0,0,O28/Summary!$B$3)</f>
        <v/>
      </c>
      <c r="Q28" t="n">
        <v>0</v>
      </c>
      <c r="R28" t="n">
        <v>0</v>
      </c>
      <c r="S28">
        <f>IFERROR(O28/N28,0)</f>
        <v/>
      </c>
    </row>
    <row r="29">
      <c r="A29">
        <f>Skills!A29</f>
        <v/>
      </c>
      <c r="B29">
        <f>Skills!B29</f>
        <v/>
      </c>
      <c r="C29">
        <f>Inputs!$B$3&gt;=120</f>
        <v/>
      </c>
      <c r="D29">
        <f>IF(Skills!C29=1,60+Inputs!$B$24+Inputs!$B$28,IF(Skills!C29=2,90+Inputs!$B$25+Inputs!$B$28,IF(Skills!C29=3,120+Inputs!$B$26+Inputs!$B$28,MAX(0,(Inputs!$B$3-100)*3)+Inputs!$B$27+Inputs!$B$28)))</f>
        <v/>
      </c>
      <c r="E29">
        <f>INDEX(FactorTable!$B$2:$Y$301, MATCH(ROUND(MIN(300,MAX(1,D29)),0), FactorTable!$A$2:$A$301,0), Skills!M29+1)</f>
        <v/>
      </c>
      <c r="F29">
        <f>IF(Skills!N29=TRUE,(Skills!L29/10)*(E29/1000),Skills!L29/10)+Skills!O29</f>
        <v/>
      </c>
      <c r="G29">
        <f>Skills!G29*IF(Skills!H29&gt;0,Skills!I29/Skills!H29,1)</f>
        <v/>
      </c>
      <c r="H29">
        <f>1-(1-Skills!J29/100)^Skills!K29</f>
        <v/>
      </c>
      <c r="I29" t="inlineStr">
        <is>
          <t>1</t>
        </is>
      </c>
      <c r="J29" t="inlineStr"/>
      <c r="K29" t="inlineStr"/>
      <c r="L29" t="inlineStr"/>
      <c r="M29" t="inlineStr"/>
      <c r="N29" t="inlineStr"/>
      <c r="O29" t="n">
        <v>0</v>
      </c>
      <c r="P29">
        <f>IF(Summary!$B$3=0,0,O29/Summary!$B$3)</f>
        <v/>
      </c>
      <c r="Q29" t="n">
        <v>0</v>
      </c>
      <c r="R29" t="n">
        <v>0</v>
      </c>
      <c r="S29">
        <f>IFERROR(O29/N29,0)</f>
        <v/>
      </c>
    </row>
    <row r="30">
      <c r="A30">
        <f>Skills!A30</f>
        <v/>
      </c>
      <c r="B30">
        <f>Skills!B30</f>
        <v/>
      </c>
      <c r="C30">
        <f>Inputs!$B$3&gt;=125</f>
        <v/>
      </c>
      <c r="D30">
        <f>IF(Skills!C30=1,60+Inputs!$B$24+Inputs!$B$28,IF(Skills!C30=2,90+Inputs!$B$25+Inputs!$B$28,IF(Skills!C30=3,120+Inputs!$B$26+Inputs!$B$28,MAX(0,(Inputs!$B$3-100)*3)+Inputs!$B$27+Inputs!$B$28)))</f>
        <v/>
      </c>
      <c r="E30">
        <f>INDEX(FactorTable!$B$2:$Y$301, MATCH(ROUND(MIN(300,MAX(1,D30)),0), FactorTable!$A$2:$A$301,0), Skills!M30+1)</f>
        <v/>
      </c>
      <c r="F30">
        <f>IF(Skills!N30=TRUE,(Skills!L30/10)*(E30/1000),Skills!L30/10)+Skills!O30</f>
        <v/>
      </c>
      <c r="G30">
        <f>Skills!G30*IF(Skills!H30&gt;0,Skills!I30/Skills!H30,1)</f>
        <v/>
      </c>
      <c r="H30">
        <f>1-(1-Skills!J30/100)^Skills!K30</f>
        <v/>
      </c>
      <c r="I30" t="inlineStr">
        <is>
          <t>1</t>
        </is>
      </c>
      <c r="J30" t="inlineStr"/>
      <c r="K30" t="inlineStr"/>
      <c r="L30" t="inlineStr"/>
      <c r="M30" t="inlineStr"/>
      <c r="N30" t="inlineStr"/>
      <c r="O30" t="n">
        <v>0</v>
      </c>
      <c r="P30">
        <f>IF(Summary!$B$3=0,0,O30/Summary!$B$3)</f>
        <v/>
      </c>
      <c r="Q30" t="n">
        <v>0</v>
      </c>
      <c r="R30" t="n">
        <v>0</v>
      </c>
      <c r="S30">
        <f>IFERROR(O30/N30,0)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Shadower — DPS Summary</t>
        </is>
      </c>
    </row>
    <row r="3">
      <c r="A3" s="9" t="inlineStr">
        <is>
          <t>TOTAL DPS</t>
        </is>
      </c>
      <c r="B3" s="9">
        <f>SUM(Calc!O2:O30)</f>
        <v/>
      </c>
    </row>
    <row r="5">
      <c r="A5" s="7" t="inlineStr">
        <is>
          <t>Per-Skill DPS Breakdown</t>
        </is>
      </c>
    </row>
    <row r="6">
      <c r="A6" s="8" t="inlineStr">
        <is>
          <t>Skill</t>
        </is>
      </c>
      <c r="B6" s="8" t="inlineStr">
        <is>
          <t>DPS</t>
        </is>
      </c>
      <c r="C6" s="8" t="inlineStr">
        <is>
          <t>% of Total</t>
        </is>
      </c>
    </row>
    <row r="7">
      <c r="A7">
        <f>Calc!B2</f>
        <v/>
      </c>
      <c r="B7">
        <f>Calc!O2</f>
        <v/>
      </c>
      <c r="C7">
        <f>Calc!P2*100</f>
        <v/>
      </c>
    </row>
    <row r="8">
      <c r="A8">
        <f>Calc!B4</f>
        <v/>
      </c>
      <c r="B8">
        <f>Calc!O4</f>
        <v/>
      </c>
      <c r="C8">
        <f>Calc!P4*100</f>
        <v/>
      </c>
    </row>
    <row r="9">
      <c r="A9">
        <f>Calc!B5</f>
        <v/>
      </c>
      <c r="B9">
        <f>Calc!O5</f>
        <v/>
      </c>
      <c r="C9">
        <f>Calc!P5*100</f>
        <v/>
      </c>
    </row>
    <row r="10">
      <c r="A10">
        <f>Calc!B6</f>
        <v/>
      </c>
      <c r="B10">
        <f>Calc!O6</f>
        <v/>
      </c>
      <c r="C10">
        <f>Calc!P6*100</f>
        <v/>
      </c>
    </row>
    <row r="11">
      <c r="A11">
        <f>Calc!B8</f>
        <v/>
      </c>
      <c r="B11">
        <f>Calc!O8</f>
        <v/>
      </c>
      <c r="C11">
        <f>Calc!P8*100</f>
        <v/>
      </c>
    </row>
    <row r="12">
      <c r="A12">
        <f>Calc!B9</f>
        <v/>
      </c>
      <c r="B12">
        <f>Calc!O9</f>
        <v/>
      </c>
      <c r="C12">
        <f>Calc!P9*100</f>
        <v/>
      </c>
    </row>
    <row r="13">
      <c r="A13">
        <f>Calc!B11</f>
        <v/>
      </c>
      <c r="B13">
        <f>Calc!O11</f>
        <v/>
      </c>
      <c r="C13">
        <f>Calc!P11*100</f>
        <v/>
      </c>
    </row>
    <row r="14">
      <c r="A14">
        <f>Calc!B12</f>
        <v/>
      </c>
      <c r="B14">
        <f>Calc!O12</f>
        <v/>
      </c>
      <c r="C14">
        <f>Calc!P12*100</f>
        <v/>
      </c>
    </row>
    <row r="15">
      <c r="A15">
        <f>Calc!B13</f>
        <v/>
      </c>
      <c r="B15">
        <f>Calc!O13</f>
        <v/>
      </c>
      <c r="C15">
        <f>Calc!P13*100</f>
        <v/>
      </c>
    </row>
    <row r="16">
      <c r="A16">
        <f>Calc!B14</f>
        <v/>
      </c>
      <c r="B16">
        <f>Calc!O14</f>
        <v/>
      </c>
      <c r="C16">
        <f>Calc!P14*100</f>
        <v/>
      </c>
    </row>
    <row r="17">
      <c r="A17">
        <f>Calc!B16</f>
        <v/>
      </c>
      <c r="B17">
        <f>Calc!O16</f>
        <v/>
      </c>
      <c r="C17">
        <f>Calc!P16*100</f>
        <v/>
      </c>
    </row>
    <row r="18">
      <c r="A18" s="7" t="inlineStr">
        <is>
          <t>Marginal DPS &amp; Stat Value (see Sensitivity for full detail)</t>
        </is>
      </c>
    </row>
    <row r="20">
      <c r="A20" s="8" t="inlineStr">
        <is>
          <t>Stat</t>
        </is>
      </c>
      <c r="B20" s="8" t="inlineStr">
        <is>
          <t>DPS per +1</t>
        </is>
      </c>
      <c r="C20" s="8" t="inlineStr">
        <is>
          <t>Units per +1% DPS</t>
        </is>
      </c>
    </row>
    <row r="21">
      <c r="A21">
        <f>Sensitivity!A5</f>
        <v/>
      </c>
      <c r="B21">
        <f>Sensitivity!H5</f>
        <v/>
      </c>
      <c r="C21">
        <f>Sensitivity!B5</f>
        <v/>
      </c>
    </row>
    <row r="22">
      <c r="A22">
        <f>Sensitivity!A6</f>
        <v/>
      </c>
      <c r="B22">
        <f>Sensitivity!H6</f>
        <v/>
      </c>
      <c r="C22">
        <f>Sensitivity!B6</f>
        <v/>
      </c>
    </row>
    <row r="23">
      <c r="A23">
        <f>Sensitivity!A7</f>
        <v/>
      </c>
      <c r="B23">
        <f>Sensitivity!H7</f>
        <v/>
      </c>
      <c r="C23">
        <f>Sensitivity!B7</f>
        <v/>
      </c>
    </row>
    <row r="24">
      <c r="A24">
        <f>Sensitivity!A8</f>
        <v/>
      </c>
      <c r="B24">
        <f>Sensitivity!H8</f>
        <v/>
      </c>
      <c r="C24">
        <f>Sensitivity!B8</f>
        <v/>
      </c>
    </row>
    <row r="25">
      <c r="A25">
        <f>Sensitivity!A9</f>
        <v/>
      </c>
      <c r="B25">
        <f>Sensitivity!H9</f>
        <v/>
      </c>
      <c r="C25">
        <f>Sensitivity!B9</f>
        <v/>
      </c>
    </row>
    <row r="26">
      <c r="A26">
        <f>Sensitivity!A10</f>
        <v/>
      </c>
      <c r="B26">
        <f>Sensitivity!H10</f>
        <v/>
      </c>
      <c r="C26">
        <f>Sensitivity!B10</f>
        <v/>
      </c>
    </row>
    <row r="27">
      <c r="A27">
        <f>Sensitivity!A11</f>
        <v/>
      </c>
      <c r="B27">
        <f>Sensitivity!H11</f>
        <v/>
      </c>
      <c r="C27">
        <f>Sensitivity!B11</f>
        <v/>
      </c>
    </row>
    <row r="28">
      <c r="A28">
        <f>Sensitivity!A12</f>
        <v/>
      </c>
      <c r="B28">
        <f>Sensitivity!H12</f>
        <v/>
      </c>
      <c r="C28">
        <f>Sensitivity!B12</f>
        <v/>
      </c>
    </row>
    <row r="29">
      <c r="A29">
        <f>Sensitivity!A13</f>
        <v/>
      </c>
      <c r="B29">
        <f>Sensitivity!H13</f>
        <v/>
      </c>
      <c r="C29">
        <f>Sensitivity!B13</f>
        <v/>
      </c>
    </row>
    <row r="30">
      <c r="A30">
        <f>Sensitivity!A14</f>
        <v/>
      </c>
      <c r="B30">
        <f>Sensitivity!H14</f>
        <v/>
      </c>
      <c r="C30">
        <f>Sensitivity!B14</f>
        <v/>
      </c>
    </row>
    <row r="31">
      <c r="A31">
        <f>Sensitivity!A15</f>
        <v/>
      </c>
      <c r="B31">
        <f>Sensitivity!H15</f>
        <v/>
      </c>
      <c r="C31">
        <f>Sensitivity!B15</f>
        <v/>
      </c>
    </row>
    <row r="32">
      <c r="A32">
        <f>Sensitivity!A16</f>
        <v/>
      </c>
      <c r="B32">
        <f>Sensitivity!H16</f>
        <v/>
      </c>
      <c r="C32">
        <f>Sensitivity!B16</f>
        <v/>
      </c>
    </row>
    <row r="33">
      <c r="A33">
        <f>Sensitivity!A17</f>
        <v/>
      </c>
      <c r="B33">
        <f>Sensitivity!H17</f>
        <v/>
      </c>
      <c r="C33">
        <f>Sensitivity!B17</f>
        <v/>
      </c>
    </row>
    <row r="34">
      <c r="A34">
        <f>Sensitivity!A18</f>
        <v/>
      </c>
      <c r="B34">
        <f>Sensitivity!H18</f>
        <v/>
      </c>
      <c r="C34">
        <f>Sensitivity!B18</f>
        <v/>
      </c>
    </row>
    <row r="35">
      <c r="A35">
        <f>Sensitivity!A19</f>
        <v/>
      </c>
      <c r="B35">
        <f>Sensitivity!H19</f>
        <v/>
      </c>
      <c r="C35">
        <f>Sensitivity!B19</f>
        <v/>
      </c>
    </row>
    <row r="36">
      <c r="A36">
        <f>Sensitivity!A20</f>
        <v/>
      </c>
      <c r="B36">
        <f>Sensitivity!H20</f>
        <v/>
      </c>
      <c r="C36">
        <f>Sensitivity!B20</f>
        <v/>
      </c>
    </row>
    <row r="37">
      <c r="A37">
        <f>Sensitivity!A21</f>
        <v/>
      </c>
      <c r="B37">
        <f>Sensitivity!H21</f>
        <v/>
      </c>
      <c r="C37">
        <f>Sensitivity!B21</f>
        <v/>
      </c>
    </row>
    <row r="38">
      <c r="A38">
        <f>Sensitivity!A22</f>
        <v/>
      </c>
      <c r="B38">
        <f>Sensitivity!H22</f>
        <v/>
      </c>
      <c r="C38">
        <f>Sensitivity!B22</f>
        <v/>
      </c>
    </row>
    <row r="39">
      <c r="A39">
        <f>Sensitivity!A23</f>
        <v/>
      </c>
      <c r="B39">
        <f>Sensitivity!H23</f>
        <v/>
      </c>
      <c r="C39">
        <f>Sensitivity!B23</f>
        <v/>
      </c>
    </row>
    <row r="40">
      <c r="A40">
        <f>Sensitivity!A24</f>
        <v/>
      </c>
      <c r="B40">
        <f>Sensitivity!H24</f>
        <v/>
      </c>
      <c r="C40">
        <f>Sensitivity!B24</f>
        <v/>
      </c>
    </row>
    <row r="41">
      <c r="A41">
        <f>Sensitivity!A25</f>
        <v/>
      </c>
      <c r="B41">
        <f>Sensitivity!H25</f>
        <v/>
      </c>
      <c r="C41">
        <f>Sensitivity!B25</f>
        <v/>
      </c>
    </row>
    <row r="42">
      <c r="A42">
        <f>Sensitivity!A26</f>
        <v/>
      </c>
      <c r="B42">
        <f>Sensitivity!H26</f>
        <v/>
      </c>
      <c r="C42">
        <f>Sensitivity!B26</f>
        <v/>
      </c>
    </row>
    <row r="43">
      <c r="A43">
        <f>Sensitivity!A27</f>
        <v/>
      </c>
      <c r="B43">
        <f>Sensitivity!H27</f>
        <v/>
      </c>
      <c r="C43">
        <f>Sensitivity!B27</f>
        <v/>
      </c>
    </row>
    <row r="44">
      <c r="A44">
        <f>Sensitivity!A28</f>
        <v/>
      </c>
      <c r="B44">
        <f>Sensitivity!H28</f>
        <v/>
      </c>
      <c r="C44">
        <f>Sensitivity!B28</f>
        <v/>
      </c>
    </row>
    <row r="45">
      <c r="A45">
        <f>Sensitivity!A29</f>
        <v/>
      </c>
      <c r="B45">
        <f>Sensitivity!H29</f>
        <v/>
      </c>
      <c r="C45">
        <f>Sensitivity!B29</f>
        <v/>
      </c>
    </row>
    <row r="46">
      <c r="A46">
        <f>Sensitivity!A30</f>
        <v/>
      </c>
      <c r="B46">
        <f>Sensitivity!H30</f>
        <v/>
      </c>
      <c r="C46">
        <f>Sensitivity!B30</f>
        <v/>
      </c>
    </row>
    <row r="47">
      <c r="A47">
        <f>Sensitivity!A31</f>
        <v/>
      </c>
      <c r="B47">
        <f>Sensitivity!H31</f>
        <v/>
      </c>
      <c r="C47">
        <f>Sensitivity!B31</f>
        <v/>
      </c>
    </row>
    <row r="49">
      <c r="A49" s="7" t="inlineStr">
        <is>
          <t>Derived Values (read-only, computed from Inputs)</t>
        </is>
      </c>
    </row>
    <row r="50">
      <c r="A50" t="inlineStr">
        <is>
          <t>ATTACK (= Flat ATTACK x (1+ATTACK%/100))</t>
        </is>
      </c>
      <c r="B50">
        <f>Inputs!$B$5*(1+Inputs!$B$6/100)</f>
        <v/>
      </c>
    </row>
    <row r="51">
      <c r="A51" t="inlineStr">
        <is>
          <t>STAT_DAMAGE % (= 1% of total LUK + 0.25% of DEX)</t>
        </is>
      </c>
      <c r="B51">
        <f>(Inputs!$B$11*(1+Inputs!$B$12/100))*0.01+Inputs!$B$13*0.0025</f>
        <v/>
      </c>
    </row>
    <row r="52">
      <c r="A52" t="inlineStr">
        <is>
          <t>Basic Attack (Cruel Stab) Input Level (4th job formula)</t>
        </is>
      </c>
      <c r="B52">
        <f>MAX(0,(Inputs!$B$3-100)*3)+Inputs!$B$27+Inputs!$B$28</f>
        <v/>
      </c>
    </row>
    <row r="53">
      <c r="A53" t="inlineStr">
        <is>
          <t>Basic Attack Factor (factorIndex 21, from Cruel Stab == Showdown/Chain Lightning/Big Bang reuse)</t>
        </is>
      </c>
      <c r="B53">
        <f>INDEX(FactorTable!$B$2:$Y$301, MATCH(ROUND(MIN(300,MAX(1,Summary!$B$52)),0), FactorTable!$A$2:$A$301,0), 22)</f>
        <v/>
      </c>
    </row>
    <row r="54">
      <c r="A54" t="inlineStr">
        <is>
          <t>SKILL_COEFFICIENT — Cruel Stab base coefficient % (before Skill Mastery)</t>
        </is>
      </c>
      <c r="B54">
        <f>290*Summary!$B$53/1000</f>
        <v/>
      </c>
    </row>
    <row r="55">
      <c r="A55" t="inlineStr">
        <is>
          <t>Normal-Monster Weight (= 0 for boss, 1 for normal, Breakthrough Normal Weight % for breakthrough, 0 for pvp)</t>
        </is>
      </c>
      <c r="B55">
        <f>IF(Inputs!$B$4="normal",1,IF(Inputs!$B$4="breakthrough",Inputs!$B$36/100,0))</f>
        <v/>
      </c>
    </row>
    <row r="57">
      <c r="A57" t="inlineStr">
        <is>
          <t>Average Buff Multiplier (Dark Sight Attack + Into Darkness + Smokescreen FD)</t>
        </is>
      </c>
      <c r="B57">
        <f>(1+((Calc!C21=TRUE)*Calc!F21*IF(AND(Inputs!$B$4&lt;&gt;"pvp",Inputs!$B$35&gt;0),(((Calc!R21-1)*(Skills!Y21*(1+Inputs!$B$33/100))+MIN((Skills!Y21*(1+Inputs!$B$33/100)),MAX(0,Inputs!$B$35-((Calc!R21-1)*Skills!D21))))/Inputs!$B$35),IF(Inputs!$B$4="pvp",MIN((Skills!Y21*(1+Inputs!$B$33/100)),15)/15,(Skills!Y21*(1+Inputs!$B$33/100))/Skills!D21)))/100)*(1+((Calc!C10=TRUE)*Calc!F10*IF(AND(Inputs!$B$4&lt;&gt;"pvp",Inputs!$B$35&gt;0),(((Calc!R10-1)*(Skills!Y10*(1+Inputs!$B$33/100))+MIN((Skills!Y10*(1+Inputs!$B$33/100)),MAX(0,Inputs!$B$35-((Calc!R10-1)*Skills!D10))))/Inputs!$B$35),IF(Inputs!$B$4="pvp",MIN((Skills!Y10*(1+Inputs!$B$33/100)),15)/15,(Skills!Y10*(1+Inputs!$B$33/100))/Skills!D10)))/100)*(1+((Calc!C15=TRUE)*Calc!F15*IF(AND(Inputs!$B$4&lt;&gt;"pvp",Inputs!$B$35&gt;0),(((Calc!R15-1)*(Skills!Y15*(1+Inputs!$B$33/100))+MIN((Skills!Y15*(1+Inputs!$B$33/100)),MAX(0,Inputs!$B$35-((Calc!R15-1)*Skills!D15))))/Inputs!$B$35),IF(Inputs!$B$4="pvp",MIN((Skills!Y15*(1+Inputs!$B$33/100)),15)/15,(Skills!Y15*(1+Inputs!$B$33/100))/Skills!D15)))/100)</f>
        <v/>
      </c>
    </row>
    <row r="58">
      <c r="A58" t="inlineStr">
        <is>
          <t>Global Crit Rate Bonus % (Dark Sight Crit Rate, duty-cycle averaged)</t>
        </is>
      </c>
      <c r="B58">
        <f>((Calc!C20=TRUE)*Calc!F20*IF(AND(Inputs!$B$4&lt;&gt;"pvp",Inputs!$B$35&gt;0),(((Calc!R20-1)*(Skills!Y20*(1+Inputs!$B$33/100))+MIN((Skills!Y20*(1+Inputs!$B$33/100)),MAX(0,Inputs!$B$35-((Calc!R20-1)*Skills!D20))))/Inputs!$B$35),IF(Inputs!$B$4="pvp",MIN((Skills!Y20*(1+Inputs!$B$33/100)),15)/15,(Skills!Y20*(1+Inputs!$B$33/100))/Skills!D20)))</f>
        <v/>
      </c>
    </row>
    <row r="59">
      <c r="A59" t="inlineStr">
        <is>
          <t>Global Monster Damage-Taken Bonus % (Venom Lv.82 Weaken, patched 12%-&gt;15%)</t>
        </is>
      </c>
      <c r="B59">
        <f>IF(Inputs!$B$3&gt;=82,15,0)</f>
        <v/>
      </c>
    </row>
    <row r="60">
      <c r="A60" t="inlineStr">
        <is>
          <t>Shadow Partner Average Multiplier</t>
        </is>
      </c>
      <c r="B60">
        <f>1+((Calc!C7=TRUE)*Calc!F7*(1+3.3333333333333335*IF(Calc!C18=TRUE,Calc!F18,0)/100)*Calc!I7*Skills!J7/100)/100</f>
        <v/>
      </c>
    </row>
    <row r="61">
      <c r="A61" t="inlineStr">
        <is>
          <t>Attack Speed Buff Bonus % (Nimble Feet, averaged + Steal, always-on)</t>
        </is>
      </c>
      <c r="B61">
        <f>((Calc!C19=TRUE)*Calc!F19*IF(AND(Inputs!$B$4&lt;&gt;"pvp",Inputs!$B$35&gt;0),(((Calc!R19-1)*(Skills!Y19*(1+Inputs!$B$33/100))+MIN((Skills!Y19*(1+Inputs!$B$33/100)),MAX(0,Inputs!$B$35-((Calc!R19-1)*Skills!D19))))/Inputs!$B$35),IF(Inputs!$B$4="pvp",MIN((Skills!Y19*(1+Inputs!$B$33/100)),15)/15,(Skills!Y19*(1+Inputs!$B$33/100))/Skills!D19)))+((Calc!C3=TRUE)*Calc!F3*3)</f>
        <v/>
      </c>
    </row>
    <row r="62">
      <c r="A62" t="inlineStr">
        <is>
          <t>Actions Per Second</t>
        </is>
      </c>
      <c r="B62">
        <f>1+MIN(150,150*(1-(1-Inputs!$B$10/150)*(1-B61/150)))/100</f>
        <v/>
      </c>
    </row>
    <row r="63">
      <c r="A63" t="inlineStr">
        <is>
          <t>Skill + Buff Cast Rate (subtracted from Cruel Stab, 1/s)</t>
        </is>
      </c>
      <c r="B63">
        <f>IF(AND(Inputs!$B$4&lt;&gt;"pvp",Inputs!$B$35&gt;0),SUMPRODUCT((Skills!E2:E30=TRUE)*(Calc!C2:C30=TRUE)*Calc!R2:R30*Skills!F2:F30)/Inputs!$B$35,SUMPRODUCT((Skills!E2:E30=TRUE)*(Calc!C2:C30=TRUE)*Calc!Q2:Q30*Skills!F2:F30))</f>
        <v/>
      </c>
    </row>
    <row r="64">
      <c r="A64" t="inlineStr">
        <is>
          <t>Cruel Stab (Basic Attack) Casts Per Second</t>
        </is>
      </c>
      <c r="B64">
        <f>MAX(0,B62-B63)</f>
        <v/>
      </c>
    </row>
    <row r="65">
      <c r="A65" t="inlineStr">
        <is>
          <t>Global Critical Damage Bonus % (Smokescreen Mastery Lv.113, duty-cycle-averaged)</t>
        </is>
      </c>
      <c r="B65">
        <f>IF(Inputs!$B$3&gt;=113,30,0)*IF(AND(Inputs!$B$4&lt;&gt;"pvp",Inputs!$B$35&gt;0),(((Calc!R15-1)*(Skills!Y15*(1+Inputs!$B$33/100))+MIN((Skills!Y15*(1+Inputs!$B$33/100)),MAX(0,Inputs!$B$35-((Calc!R15-1)*Skills!D15))))/Inputs!$B$35),IF(Inputs!$B$4="pvp",MIN((Skills!Y15*(1+Inputs!$B$33/100)),15)/15,(Skills!Y15*(1+Inputs!$B$33/100))/Skills!D15))</f>
        <v/>
      </c>
    </row>
    <row r="66">
      <c r="A66" t="inlineStr">
        <is>
          <t>Meso Explosion — average stack count at cast time (steady-state)</t>
        </is>
      </c>
      <c r="B66">
        <f>MIN(10,0.5*B62*Skills!D4)</f>
        <v/>
      </c>
    </row>
    <row r="67">
      <c r="A67" t="inlineStr">
        <is>
          <t>Blood Money — average stack count at cast time (steady-state)</t>
        </is>
      </c>
      <c r="B67">
        <f>MIN(5,0.25*B62*Skills!D4)</f>
        <v/>
      </c>
    </row>
    <row r="68">
      <c r="A68" t="inlineStr">
        <is>
          <t>Assassinate Murderous Intent Multiplier (Mastery Lv.108, steady-state average)</t>
        </is>
      </c>
      <c r="B68">
        <f>1+IFERROR(MIN(1,(Calc!C14=TRUE)*Calc!Q14*2/Calc!Q11),0)</f>
        <v/>
      </c>
    </row>
    <row r="69">
      <c r="A69" t="inlineStr">
        <is>
          <t>Cruel Stab (Basic Attack) DPS</t>
        </is>
      </c>
      <c r="B69">
        <f>Calc!O2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327"/>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8" t="inlineStr">
        <is>
          <t>Stat</t>
        </is>
      </c>
      <c r="B4" s="8" t="inlineStr">
        <is>
          <t>Units per +1% DPS</t>
        </is>
      </c>
      <c r="C4" s="8" t="inlineStr">
        <is>
          <t>Type</t>
        </is>
      </c>
      <c r="D4" s="8" t="inlineStr">
        <is>
          <t>Current Value</t>
        </is>
      </c>
      <c r="E4" s="8" t="inlineStr">
        <is>
          <t>New Value</t>
        </is>
      </c>
      <c r="F4" s="8" t="inlineStr">
        <is>
          <t>Baseline Total DPS</t>
        </is>
      </c>
      <c r="G4" s="8" t="inlineStr">
        <is>
          <t>New Total DPS</t>
        </is>
      </c>
      <c r="H4" s="8" t="inlineStr">
        <is>
          <t>DPS Gain</t>
        </is>
      </c>
      <c r="I4" s="8" t="inlineStr">
        <is>
          <t>% Gain</t>
        </is>
      </c>
    </row>
    <row r="5">
      <c r="A5" t="inlineStr">
        <is>
          <t>Flat LUK</t>
        </is>
      </c>
      <c r="B5">
        <f>IFERROR(1/(I5-100),"n/a")</f>
        <v/>
      </c>
      <c r="C5" t="inlineStr">
        <is>
          <t>flat</t>
        </is>
      </c>
      <c r="D5">
        <f>Inputs!$B$11</f>
        <v/>
      </c>
      <c r="E5">
        <f>(Inputs!$B$11+1)</f>
        <v/>
      </c>
      <c r="F5">
        <f>Summary!$B$3</f>
        <v/>
      </c>
      <c r="G5">
        <f>B79</f>
        <v/>
      </c>
      <c r="H5">
        <f>G5-F5</f>
        <v/>
      </c>
      <c r="I5">
        <f>IF(F5=0,0,G5/F5*100)</f>
        <v/>
      </c>
    </row>
    <row r="6">
      <c r="A6" t="inlineStr">
        <is>
          <t>LUK %</t>
        </is>
      </c>
      <c r="B6">
        <f>IFERROR(1/(I6-100),"n/a")</f>
        <v/>
      </c>
      <c r="C6" t="inlineStr">
        <is>
          <t>pct</t>
        </is>
      </c>
      <c r="D6">
        <f>Inputs!$B$12</f>
        <v/>
      </c>
      <c r="E6">
        <f>(Inputs!$B$12+1)</f>
        <v/>
      </c>
      <c r="F6">
        <f>Summary!$B$3</f>
        <v/>
      </c>
      <c r="G6">
        <f>B127</f>
        <v/>
      </c>
      <c r="H6">
        <f>G6-F6</f>
        <v/>
      </c>
      <c r="I6">
        <f>IF(F6=0,0,G6/F6*100)</f>
        <v/>
      </c>
    </row>
    <row r="7">
      <c r="A7" t="inlineStr">
        <is>
          <t>DEX</t>
        </is>
      </c>
      <c r="B7">
        <f>IFERROR(1/(I7-100),"n/a")</f>
        <v/>
      </c>
      <c r="C7" t="inlineStr">
        <is>
          <t>flat</t>
        </is>
      </c>
      <c r="D7">
        <f>Inputs!$B$13</f>
        <v/>
      </c>
      <c r="E7">
        <f>(Inputs!$B$13+1)</f>
        <v/>
      </c>
      <c r="F7">
        <f>Summary!$B$3</f>
        <v/>
      </c>
      <c r="G7">
        <f>B175</f>
        <v/>
      </c>
      <c r="H7">
        <f>G7-F7</f>
        <v/>
      </c>
      <c r="I7">
        <f>IF(F7=0,0,G7/F7*100)</f>
        <v/>
      </c>
    </row>
    <row r="8">
      <c r="A8" t="inlineStr">
        <is>
          <t>DAMAGE %</t>
        </is>
      </c>
      <c r="B8">
        <f>IFERROR(1/(I8-100),"n/a")</f>
        <v/>
      </c>
      <c r="C8" t="inlineStr">
        <is>
          <t>pct</t>
        </is>
      </c>
      <c r="D8">
        <f>Inputs!$B$14</f>
        <v/>
      </c>
      <c r="E8">
        <f>(Inputs!$B$14+1)</f>
        <v/>
      </c>
      <c r="F8">
        <f>Summary!$B$3</f>
        <v/>
      </c>
      <c r="G8">
        <f>B223</f>
        <v/>
      </c>
      <c r="H8">
        <f>G8-F8</f>
        <v/>
      </c>
      <c r="I8">
        <f>IF(F8=0,0,G8/F8*100)</f>
        <v/>
      </c>
    </row>
    <row r="9">
      <c r="A9" t="inlineStr">
        <is>
          <t>DAMAGE_AMP %</t>
        </is>
      </c>
      <c r="B9">
        <f>IFERROR(1/(I9-100),"n/a")</f>
        <v/>
      </c>
      <c r="C9" t="inlineStr">
        <is>
          <t>pct</t>
        </is>
      </c>
      <c r="D9">
        <f>Inputs!$B$15</f>
        <v/>
      </c>
      <c r="E9">
        <f>(Inputs!$B$15+1)</f>
        <v/>
      </c>
      <c r="F9">
        <f>Summary!$B$3</f>
        <v/>
      </c>
      <c r="G9">
        <f>B271</f>
        <v/>
      </c>
      <c r="H9">
        <f>G9-F9</f>
        <v/>
      </c>
      <c r="I9">
        <f>IF(F9=0,0,G9/F9*100)</f>
        <v/>
      </c>
    </row>
    <row r="10">
      <c r="A10" t="inlineStr">
        <is>
          <t>BOSS_DAMAGE %</t>
        </is>
      </c>
      <c r="B10">
        <f>IFERROR(1/(I10-100),"n/a")</f>
        <v/>
      </c>
      <c r="C10" t="inlineStr">
        <is>
          <t>pct</t>
        </is>
      </c>
      <c r="D10">
        <f>Inputs!$B$19</f>
        <v/>
      </c>
      <c r="E10">
        <f>(Inputs!$B$19+1)</f>
        <v/>
      </c>
      <c r="F10">
        <f>Summary!$B$3</f>
        <v/>
      </c>
      <c r="G10">
        <f>B319</f>
        <v/>
      </c>
      <c r="H10">
        <f>G10-F10</f>
        <v/>
      </c>
      <c r="I10">
        <f>IF(F10=0,0,G10/F10*100)</f>
        <v/>
      </c>
    </row>
    <row r="11">
      <c r="A11" t="inlineStr">
        <is>
          <t>NORMAL_DAMAGE %</t>
        </is>
      </c>
      <c r="B11">
        <f>IFERROR(1/(I11-100),"n/a")</f>
        <v/>
      </c>
      <c r="C11" t="inlineStr">
        <is>
          <t>pct</t>
        </is>
      </c>
      <c r="D11">
        <f>Inputs!$B$20</f>
        <v/>
      </c>
      <c r="E11">
        <f>(Inputs!$B$20+1)</f>
        <v/>
      </c>
      <c r="F11">
        <f>Summary!$B$3</f>
        <v/>
      </c>
      <c r="G11">
        <f>B367</f>
        <v/>
      </c>
      <c r="H11">
        <f>G11-F11</f>
        <v/>
      </c>
      <c r="I11">
        <f>IF(F11=0,0,G11/F11*100)</f>
        <v/>
      </c>
    </row>
    <row r="12">
      <c r="A12" t="inlineStr">
        <is>
          <t>FINAL_DAMAGE % (multiplicative source)</t>
        </is>
      </c>
      <c r="B12">
        <f>IFERROR(1/(I12-100),"n/a")</f>
        <v/>
      </c>
      <c r="C12" t="inlineStr">
        <is>
          <t>mult</t>
        </is>
      </c>
      <c r="D12">
        <f>Inputs!$B$23</f>
        <v/>
      </c>
      <c r="E12">
        <f>((((1+Inputs!$B$23/100)*(1.01))-1)*100)</f>
        <v/>
      </c>
      <c r="F12">
        <f>Summary!$B$3</f>
        <v/>
      </c>
      <c r="G12">
        <f>B415</f>
        <v/>
      </c>
      <c r="H12">
        <f>G12-F12</f>
        <v/>
      </c>
      <c r="I12">
        <f>IF(F12=0,0,G12/F12*100)</f>
        <v/>
      </c>
    </row>
    <row r="13">
      <c r="A13" t="inlineStr">
        <is>
          <t>MIN_DAMAGE %</t>
        </is>
      </c>
      <c r="B13">
        <f>IFERROR(1/(I13-100),"n/a")</f>
        <v/>
      </c>
      <c r="C13" t="inlineStr">
        <is>
          <t>pct</t>
        </is>
      </c>
      <c r="D13">
        <f>Inputs!$B$21</f>
        <v/>
      </c>
      <c r="E13">
        <f>(Inputs!$B$21+1)</f>
        <v/>
      </c>
      <c r="F13">
        <f>Summary!$B$3</f>
        <v/>
      </c>
      <c r="G13">
        <f>B463</f>
        <v/>
      </c>
      <c r="H13">
        <f>G13-F13</f>
        <v/>
      </c>
      <c r="I13">
        <f>IF(F13=0,0,G13/F13*100)</f>
        <v/>
      </c>
    </row>
    <row r="14">
      <c r="A14" t="inlineStr">
        <is>
          <t>MAX_DAMAGE %</t>
        </is>
      </c>
      <c r="B14">
        <f>IFERROR(1/(I14-100),"n/a")</f>
        <v/>
      </c>
      <c r="C14" t="inlineStr">
        <is>
          <t>pct</t>
        </is>
      </c>
      <c r="D14">
        <f>Inputs!$B$22</f>
        <v/>
      </c>
      <c r="E14">
        <f>(Inputs!$B$22+1)</f>
        <v/>
      </c>
      <c r="F14">
        <f>Summary!$B$3</f>
        <v/>
      </c>
      <c r="G14">
        <f>B511</f>
        <v/>
      </c>
      <c r="H14">
        <f>G14-F14</f>
        <v/>
      </c>
      <c r="I14">
        <f>IF(F14=0,0,G14/F14*100)</f>
        <v/>
      </c>
    </row>
    <row r="15">
      <c r="A15" t="inlineStr">
        <is>
          <t>CRIT_RATE %</t>
        </is>
      </c>
      <c r="B15">
        <f>IFERROR(1/(I15-100),"n/a")</f>
        <v/>
      </c>
      <c r="C15" t="inlineStr">
        <is>
          <t>pct</t>
        </is>
      </c>
      <c r="D15">
        <f>Inputs!$B$8</f>
        <v/>
      </c>
      <c r="E15">
        <f>(Inputs!$B$8+1)</f>
        <v/>
      </c>
      <c r="F15">
        <f>Summary!$B$3</f>
        <v/>
      </c>
      <c r="G15">
        <f>B559</f>
        <v/>
      </c>
      <c r="H15">
        <f>G15-F15</f>
        <v/>
      </c>
      <c r="I15">
        <f>IF(F15=0,0,G15/F15*100)</f>
        <v/>
      </c>
    </row>
    <row r="16">
      <c r="A16" t="inlineStr">
        <is>
          <t>CRIT_DAMAGE %</t>
        </is>
      </c>
      <c r="B16">
        <f>IFERROR(1/(I16-100),"n/a")</f>
        <v/>
      </c>
      <c r="C16" t="inlineStr">
        <is>
          <t>pct</t>
        </is>
      </c>
      <c r="D16">
        <f>Inputs!$B$9</f>
        <v/>
      </c>
      <c r="E16">
        <f>(Inputs!$B$9+1)</f>
        <v/>
      </c>
      <c r="F16">
        <f>Summary!$B$3</f>
        <v/>
      </c>
      <c r="G16">
        <f>B607</f>
        <v/>
      </c>
      <c r="H16">
        <f>G16-F16</f>
        <v/>
      </c>
      <c r="I16">
        <f>IF(F16=0,0,G16/F16*100)</f>
        <v/>
      </c>
    </row>
    <row r="17">
      <c r="A17" t="inlineStr">
        <is>
          <t>ATTACK_SPEED % (diminishing returns, factor 150)</t>
        </is>
      </c>
      <c r="B17">
        <f>IFERROR(1/(I17-100),"n/a")</f>
        <v/>
      </c>
      <c r="C17" t="inlineStr">
        <is>
          <t>dr150</t>
        </is>
      </c>
      <c r="D17">
        <f>Inputs!$B$10</f>
        <v/>
      </c>
      <c r="E17">
        <f>((1-(1-Inputs!$B$10/150)*(1-1/150))*150)</f>
        <v/>
      </c>
      <c r="F17">
        <f>Summary!$B$3</f>
        <v/>
      </c>
      <c r="G17">
        <f>B655</f>
        <v/>
      </c>
      <c r="H17">
        <f>G17-F17</f>
        <v/>
      </c>
      <c r="I17">
        <f>IF(F17=0,0,G17/F17*100)</f>
        <v/>
      </c>
    </row>
    <row r="18">
      <c r="A18" t="inlineStr">
        <is>
          <t>DEF_PEN % (diminishing returns, factor 100)</t>
        </is>
      </c>
      <c r="B18">
        <f>IFERROR(1/(I18-100),"n/a")</f>
        <v/>
      </c>
      <c r="C18" t="inlineStr">
        <is>
          <t>dr100</t>
        </is>
      </c>
      <c r="D18">
        <f>Inputs!$B$18</f>
        <v/>
      </c>
      <c r="E18">
        <f>((1-(1-Inputs!$B$18/100)*(1-1/100))*100)</f>
        <v/>
      </c>
      <c r="F18">
        <f>Summary!$B$3</f>
        <v/>
      </c>
      <c r="G18">
        <f>B703</f>
        <v/>
      </c>
      <c r="H18">
        <f>G18-F18</f>
        <v/>
      </c>
      <c r="I18">
        <f>IF(F18=0,0,G18/F18*100)</f>
        <v/>
      </c>
    </row>
    <row r="19">
      <c r="A19" t="inlineStr">
        <is>
          <t>BASIC_ATTACK_DAMAGE %</t>
        </is>
      </c>
      <c r="B19">
        <f>IFERROR(1/(I19-100),"n/a")</f>
        <v/>
      </c>
      <c r="C19" t="inlineStr">
        <is>
          <t>pct</t>
        </is>
      </c>
      <c r="D19">
        <f>Inputs!$B$16</f>
        <v/>
      </c>
      <c r="E19">
        <f>(Inputs!$B$16+1)</f>
        <v/>
      </c>
      <c r="F19">
        <f>Summary!$B$3</f>
        <v/>
      </c>
      <c r="G19">
        <f>B751</f>
        <v/>
      </c>
      <c r="H19">
        <f>G19-F19</f>
        <v/>
      </c>
      <c r="I19">
        <f>IF(F19=0,0,G19/F19*100)</f>
        <v/>
      </c>
    </row>
    <row r="20">
      <c r="A20" t="inlineStr">
        <is>
          <t>SKILL_DAMAGE %</t>
        </is>
      </c>
      <c r="B20">
        <f>IFERROR(1/(I20-100),"n/a")</f>
        <v/>
      </c>
      <c r="C20" t="inlineStr">
        <is>
          <t>pct</t>
        </is>
      </c>
      <c r="D20">
        <f>Inputs!$B$17</f>
        <v/>
      </c>
      <c r="E20">
        <f>(Inputs!$B$17+1)</f>
        <v/>
      </c>
      <c r="F20">
        <f>Summary!$B$3</f>
        <v/>
      </c>
      <c r="G20">
        <f>B799</f>
        <v/>
      </c>
      <c r="H20">
        <f>G20-F20</f>
        <v/>
      </c>
      <c r="I20">
        <f>IF(F20=0,0,G20/F20*100)</f>
        <v/>
      </c>
    </row>
    <row r="21">
      <c r="A21" t="inlineStr">
        <is>
          <t>Skill Level Bonus — 1st Job</t>
        </is>
      </c>
      <c r="B21">
        <f>IFERROR(1/(I21-100),"n/a")</f>
        <v/>
      </c>
      <c r="C21" t="inlineStr">
        <is>
          <t>level</t>
        </is>
      </c>
      <c r="D21">
        <f>Inputs!$B$24</f>
        <v/>
      </c>
      <c r="E21">
        <f>(Inputs!$B$24+1)</f>
        <v/>
      </c>
      <c r="F21">
        <f>Summary!$B$3</f>
        <v/>
      </c>
      <c r="G21">
        <f>B847</f>
        <v/>
      </c>
      <c r="H21">
        <f>G21-F21</f>
        <v/>
      </c>
      <c r="I21">
        <f>IF(F21=0,0,G21/F21*100)</f>
        <v/>
      </c>
    </row>
    <row r="22">
      <c r="A22" t="inlineStr">
        <is>
          <t>Skill Level Bonus — 2nd Job</t>
        </is>
      </c>
      <c r="B22">
        <f>IFERROR(1/(I22-100),"n/a")</f>
        <v/>
      </c>
      <c r="C22" t="inlineStr">
        <is>
          <t>level</t>
        </is>
      </c>
      <c r="D22">
        <f>Inputs!$B$25</f>
        <v/>
      </c>
      <c r="E22">
        <f>(Inputs!$B$25+1)</f>
        <v/>
      </c>
      <c r="F22">
        <f>Summary!$B$3</f>
        <v/>
      </c>
      <c r="G22">
        <f>B895</f>
        <v/>
      </c>
      <c r="H22">
        <f>G22-F22</f>
        <v/>
      </c>
      <c r="I22">
        <f>IF(F22=0,0,G22/F22*100)</f>
        <v/>
      </c>
    </row>
    <row r="23">
      <c r="A23" t="inlineStr">
        <is>
          <t>Skill Level Bonus — 3rd Job</t>
        </is>
      </c>
      <c r="B23">
        <f>IFERROR(1/(I23-100),"n/a")</f>
        <v/>
      </c>
      <c r="C23" t="inlineStr">
        <is>
          <t>level</t>
        </is>
      </c>
      <c r="D23">
        <f>Inputs!$B$26</f>
        <v/>
      </c>
      <c r="E23">
        <f>(Inputs!$B$26+1)</f>
        <v/>
      </c>
      <c r="F23">
        <f>Summary!$B$3</f>
        <v/>
      </c>
      <c r="G23">
        <f>B943</f>
        <v/>
      </c>
      <c r="H23">
        <f>G23-F23</f>
        <v/>
      </c>
      <c r="I23">
        <f>IF(F23=0,0,G23/F23*100)</f>
        <v/>
      </c>
    </row>
    <row r="24">
      <c r="A24" t="inlineStr">
        <is>
          <t>Skill Level Bonus — 4th Job</t>
        </is>
      </c>
      <c r="B24">
        <f>IFERROR(1/(I24-100),"n/a")</f>
        <v/>
      </c>
      <c r="C24" t="inlineStr">
        <is>
          <t>level</t>
        </is>
      </c>
      <c r="D24">
        <f>Inputs!$B$27</f>
        <v/>
      </c>
      <c r="E24">
        <f>(Inputs!$B$27+1)</f>
        <v/>
      </c>
      <c r="F24">
        <f>Summary!$B$3</f>
        <v/>
      </c>
      <c r="G24">
        <f>B991</f>
        <v/>
      </c>
      <c r="H24">
        <f>G24-F24</f>
        <v/>
      </c>
      <c r="I24">
        <f>IF(F24=0,0,G24/F24*100)</f>
        <v/>
      </c>
    </row>
    <row r="25">
      <c r="A25" t="inlineStr">
        <is>
          <t>Skill Level Bonus — All Skills</t>
        </is>
      </c>
      <c r="B25">
        <f>IFERROR(1/(I25-100),"n/a")</f>
        <v/>
      </c>
      <c r="C25" t="inlineStr">
        <is>
          <t>level</t>
        </is>
      </c>
      <c r="D25">
        <f>Inputs!$B$28</f>
        <v/>
      </c>
      <c r="E25">
        <f>(Inputs!$B$28+1)</f>
        <v/>
      </c>
      <c r="F25">
        <f>Summary!$B$3</f>
        <v/>
      </c>
      <c r="G25">
        <f>B1039</f>
        <v/>
      </c>
      <c r="H25">
        <f>G25-F25</f>
        <v/>
      </c>
      <c r="I25">
        <f>IF(F25=0,0,G25/F25*100)</f>
        <v/>
      </c>
    </row>
    <row r="26">
      <c r="A26" t="inlineStr">
        <is>
          <t>Flat ATTACK</t>
        </is>
      </c>
      <c r="B26">
        <f>IFERROR(1/(I26-100),"n/a")</f>
        <v/>
      </c>
      <c r="C26" t="inlineStr">
        <is>
          <t>flat</t>
        </is>
      </c>
      <c r="D26">
        <f>Inputs!$B$5</f>
        <v/>
      </c>
      <c r="E26">
        <f>(Inputs!$B$5+1)</f>
        <v/>
      </c>
      <c r="F26">
        <f>Summary!$B$3</f>
        <v/>
      </c>
      <c r="G26">
        <f>B1087</f>
        <v/>
      </c>
      <c r="H26">
        <f>G26-F26</f>
        <v/>
      </c>
      <c r="I26">
        <f>IF(F26=0,0,G26/F26*100)</f>
        <v/>
      </c>
    </row>
    <row r="27">
      <c r="A27" t="inlineStr">
        <is>
          <t>ATTACK %</t>
        </is>
      </c>
      <c r="B27">
        <f>IFERROR(1/(I27-100),"n/a")</f>
        <v/>
      </c>
      <c r="C27" t="inlineStr">
        <is>
          <t>pct</t>
        </is>
      </c>
      <c r="D27">
        <f>Inputs!$B$6</f>
        <v/>
      </c>
      <c r="E27">
        <f>(Inputs!$B$6+1)</f>
        <v/>
      </c>
      <c r="F27">
        <f>Summary!$B$3</f>
        <v/>
      </c>
      <c r="G27">
        <f>B1135</f>
        <v/>
      </c>
      <c r="H27">
        <f>G27-F27</f>
        <v/>
      </c>
      <c r="I27">
        <f>IF(F27=0,0,G27/F27*100)</f>
        <v/>
      </c>
    </row>
    <row r="28">
      <c r="A28" t="inlineStr">
        <is>
          <t>Skill Cooldown Decrease (seconds)</t>
        </is>
      </c>
      <c r="B28">
        <f>IFERROR(1/(I28-100),"n/a")</f>
        <v/>
      </c>
      <c r="C28" t="inlineStr">
        <is>
          <t>flat</t>
        </is>
      </c>
      <c r="D28">
        <f>Inputs!$B$31</f>
        <v/>
      </c>
      <c r="E28">
        <f>(Inputs!$B$31+1)</f>
        <v/>
      </c>
      <c r="F28">
        <f>Summary!$B$3</f>
        <v/>
      </c>
      <c r="G28">
        <f>B1183</f>
        <v/>
      </c>
      <c r="H28">
        <f>G28-F28</f>
        <v/>
      </c>
      <c r="I28">
        <f>IF(F28=0,0,G28/F28*100)</f>
        <v/>
      </c>
    </row>
    <row r="29">
      <c r="A29" t="inlineStr">
        <is>
          <t>Basic Attack Target Increase (flat)</t>
        </is>
      </c>
      <c r="B29">
        <f>IFERROR(1/(I29-100),"n/a")</f>
        <v/>
      </c>
      <c r="C29" t="inlineStr">
        <is>
          <t>flat</t>
        </is>
      </c>
      <c r="D29">
        <f>Inputs!$B$32</f>
        <v/>
      </c>
      <c r="E29">
        <f>(Inputs!$B$32+1)</f>
        <v/>
      </c>
      <c r="F29">
        <f>Summary!$B$3</f>
        <v/>
      </c>
      <c r="G29">
        <f>B1231</f>
        <v/>
      </c>
      <c r="H29">
        <f>G29-F29</f>
        <v/>
      </c>
      <c r="I29">
        <f>IF(F29=0,0,G29/F29*100)</f>
        <v/>
      </c>
    </row>
    <row r="30">
      <c r="A30" t="inlineStr">
        <is>
          <t>Buff Duration Increase %</t>
        </is>
      </c>
      <c r="B30">
        <f>IFERROR(1/(I30-100),"n/a")</f>
        <v/>
      </c>
      <c r="C30" t="inlineStr">
        <is>
          <t>pct</t>
        </is>
      </c>
      <c r="D30">
        <f>Inputs!$B$33</f>
        <v/>
      </c>
      <c r="E30">
        <f>(Inputs!$B$33+1)</f>
        <v/>
      </c>
      <c r="F30">
        <f>Summary!$B$3</f>
        <v/>
      </c>
      <c r="G30">
        <f>B1279</f>
        <v/>
      </c>
      <c r="H30">
        <f>G30-F30</f>
        <v/>
      </c>
      <c r="I30">
        <f>IF(F30=0,0,G30/F30*100)</f>
        <v/>
      </c>
    </row>
    <row r="31">
      <c r="A31" t="inlineStr">
        <is>
          <t>Incoming Hit Rate (hits/sec, Shadow Shifter only)</t>
        </is>
      </c>
      <c r="B31">
        <f>IFERROR(1/(I31-100),"n/a")</f>
        <v/>
      </c>
      <c r="C31" t="inlineStr">
        <is>
          <t>flat</t>
        </is>
      </c>
      <c r="D31">
        <f>Inputs!$B$38</f>
        <v/>
      </c>
      <c r="E31">
        <f>(Inputs!$B$38+1)</f>
        <v/>
      </c>
      <c r="F31">
        <f>Summary!$B$3</f>
        <v/>
      </c>
      <c r="G31">
        <f>B1327</f>
        <v/>
      </c>
      <c r="H31">
        <f>G31-F31</f>
        <v/>
      </c>
      <c r="I31">
        <f>IF(F31=0,0,G31/F31*100)</f>
        <v/>
      </c>
    </row>
    <row r="34">
      <c r="A34" s="5" t="inlineStr">
        <is>
          <t>Stat: Flat LUK</t>
        </is>
      </c>
    </row>
    <row r="35">
      <c r="A35" s="8" t="inlineStr">
        <is>
          <t>Key</t>
        </is>
      </c>
      <c r="B35" s="8" t="inlineStr">
        <is>
          <t>Name</t>
        </is>
      </c>
      <c r="C35" s="8" t="inlineStr">
        <is>
          <t>Unlocked</t>
        </is>
      </c>
      <c r="D35" s="8" t="inlineStr">
        <is>
          <t>InputLevel</t>
        </is>
      </c>
      <c r="E35" s="8" t="inlineStr">
        <is>
          <t>Factor</t>
        </is>
      </c>
      <c r="F35" s="8" t="inlineStr">
        <is>
          <t>CoefficientPercent</t>
        </is>
      </c>
      <c r="G35" s="8" t="inlineStr">
        <is>
          <t>EffectiveHits</t>
        </is>
      </c>
      <c r="H35" s="8" t="inlineStr">
        <is>
          <t>ProcProbability</t>
        </is>
      </c>
      <c r="I35" s="8" t="inlineStr">
        <is>
          <t>MapleHeroMultiplier</t>
        </is>
      </c>
      <c r="J35" s="8" t="inlineStr">
        <is>
          <t>BaseDamage</t>
        </is>
      </c>
      <c r="K35" s="8" t="inlineStr">
        <is>
          <t>BaseHitDamage</t>
        </is>
      </c>
      <c r="L35" s="8" t="inlineStr">
        <is>
          <t>NonCritAvg</t>
        </is>
      </c>
      <c r="M35" s="8" t="inlineStr">
        <is>
          <t>CritAvg</t>
        </is>
      </c>
      <c r="N35" s="8" t="inlineStr">
        <is>
          <t>ExpectedDamage(perHit)</t>
        </is>
      </c>
      <c r="O35" s="8" t="inlineStr">
        <is>
          <t>DPS</t>
        </is>
      </c>
      <c r="P35" s="8" t="inlineStr">
        <is>
          <t>% of Total</t>
        </is>
      </c>
      <c r="Q35" s="8" t="inlineStr">
        <is>
          <t>InvCooldown</t>
        </is>
      </c>
      <c r="R35" s="8" t="inlineStr">
        <is>
          <t>CastsInFight</t>
        </is>
      </c>
      <c r="S35" s="8" t="inlineStr">
        <is>
          <t>HitRate(perSec)</t>
        </is>
      </c>
      <c r="U35" t="inlineStr">
        <is>
          <t>helpers</t>
        </is>
      </c>
    </row>
    <row r="36">
      <c r="A36">
        <f>Skills!A2</f>
        <v/>
      </c>
      <c r="B36">
        <f>Skills!B2</f>
        <v/>
      </c>
      <c r="C36">
        <f>Inputs!$B$3&gt;=100</f>
        <v/>
      </c>
      <c r="D36" t="inlineStr"/>
      <c r="E36" t="inlineStr"/>
      <c r="F36">
        <f>U38+Skills!O2</f>
        <v/>
      </c>
      <c r="G36">
        <f>Skills!G2*IF(Skills!H2&gt;0,Skills!I2/Skills!H2,1)</f>
        <v/>
      </c>
      <c r="H36">
        <f>1-(1-Skills!J2/100)^Skills!K2</f>
        <v/>
      </c>
      <c r="I36" t="inlineStr">
        <is>
          <t>1</t>
        </is>
      </c>
      <c r="J36">
        <f>(Inputs!$B$5*(1+Inputs!$B$6/100))*(F36/100)</f>
        <v/>
      </c>
      <c r="K36">
        <f>J36*(1+(((Inputs!$B$11+1)*(1+Inputs!$B$12/100))*0.01+Inputs!$B$13*0.0025)/100)*(1+Inputs!$B$14/100)*(1+IF(Inputs!$B$4="pvp",0,(1-Summary!$B$55)*(Inputs!$B$19+0+Skills!P2+B68)+Summary!$B$55*(Inputs!$B$20+Skills!Q2+B68))/100)*(1+Inputs!$B$15/100)*(5000/(6000+Inputs!$B$7*(1-Inputs!$B$18/100)))*(1+(Inputs!$B$23+((C64=TRUE)*(F64-Calc!F30)))/100)*(1+(IF(Skills!A2="CRUEL_STAB",Inputs!$B$16+((C61=TRUE)*(F61-Calc!F27)),Inputs!$B$17+((C62=TRUE)*(F62-Calc!F28))))/100)*(((1+(((C55=TRUE)*F55*IF(AND(Inputs!$B$4&lt;&gt;"pvp",Inputs!$B$35&gt;0),(((S55-1)*(Skills!Y21*(1+Inputs!$B$33/100))+MIN((Skills!Y21*(1+Inputs!$B$33/100)),MAX(0,Inputs!$B$35-((S55-1)*Skills!D21))))/Inputs!$B$35),IF(Inputs!$B$4="pvp",MIN((Skills!Y21*(1+Inputs!$B$33/100)),15)/15,(Skills!Y21*(1+Inputs!$B$33/100))/Skills!D21)))+((C57=TRUE)*(F57-Calc!F23))+((C51=TRUE)*(F51-Calc!F17)))/100)*(1+((C44=TRUE)*F44*IF(AND(Inputs!$B$4&lt;&gt;"pvp",Inputs!$B$35&gt;0),(((S44-1)*(Skills!Y10*(1+Inputs!$B$33/100))+MIN((Skills!Y10*(1+Inputs!$B$33/100)),MAX(0,Inputs!$B$35-((S44-1)*Skills!D10))))/Inputs!$B$35),IF(Inputs!$B$4="pvp",MIN((Skills!Y10*(1+Inputs!$B$33/100)),15)/15,(Skills!Y10*(1+Inputs!$B$33/100))/Skills!D10)))/100)*(1+((C49=TRUE)*F49*IF(AND(Inputs!$B$4&lt;&gt;"pvp",Inputs!$B$35&gt;0),(((S49-1)*(Skills!Y15*(1+Inputs!$B$33/100))+MIN((Skills!Y15*(1+Inputs!$B$33/100)),MAX(0,Inputs!$B$35-((S49-1)*Skills!D15))))/Inputs!$B$35),IF(Inputs!$B$4="pvp",MIN((Skills!Y15*(1+Inputs!$B$33/100)),15)/15,(Skills!Y15*(1+Inputs!$B$33/100))/Skills!D15)))/100))*B69*I36)</f>
        <v/>
      </c>
      <c r="L36">
        <f>K36*(MIN(Inputs!$B$21+((C58=TRUE)*(F58-Calc!F24)),Inputs!$B$22+((C63=TRUE)*(F63-Calc!F29)))/100+(Inputs!$B$22+((C63=TRUE)*(F63-Calc!F29)))/100)/2</f>
        <v/>
      </c>
      <c r="M36">
        <f>L36*(1+(Inputs!$B$9+((C60=TRUE)*(F60-Calc!F26))+B74)/100)</f>
        <v/>
      </c>
      <c r="N36">
        <f>L36*(1-MIN((Inputs!$B$8+((C59=TRUE)*(F59-Calc!F25))+B67),100)/100)+M36*(MIN((Inputs!$B$8+((C59=TRUE)*(F59-Calc!F25))+B67),100)/100)</f>
        <v/>
      </c>
      <c r="O36">
        <f>IF(C36,Skills!G2*N36*B73*IF(Inputs!$B$4="pvp",1,(1-Summary!$B$55)*(1)+Summary!$B$55*(MIN((6+Inputs!$B$32),Inputs!$B$37))),0)</f>
        <v/>
      </c>
      <c r="P36">
        <f>IF(B79=0,0,O36/B79)</f>
        <v/>
      </c>
      <c r="Q36" t="n">
        <v>0</v>
      </c>
      <c r="R36" t="n">
        <v>0</v>
      </c>
      <c r="S36">
        <f>IFERROR(O36/N36,0)</f>
        <v/>
      </c>
      <c r="U36">
        <f>MAX(0,(Inputs!$B$3-100)*3)+Inputs!$B$27+Inputs!$B$28</f>
        <v/>
      </c>
    </row>
    <row r="37">
      <c r="A37">
        <f>Skills!A3</f>
        <v/>
      </c>
      <c r="B37">
        <f>Skills!B3</f>
        <v/>
      </c>
      <c r="C37">
        <f>Inputs!$B$3&gt;=35</f>
        <v/>
      </c>
      <c r="D37">
        <f>IF(Skills!C3=1,60+Inputs!$B$24+Inputs!$B$28,IF(Skills!C3=2,90+Inputs!$B$25+Inputs!$B$28,IF(Skills!C3=3,120+Inputs!$B$26+Inputs!$B$28,MAX(0,(Inputs!$B$3-100)*3)+Inputs!$B$27+Inputs!$B$28)))</f>
        <v/>
      </c>
      <c r="E37">
        <f>INDEX(FactorTable!$B$2:$Y$301, MATCH(ROUND(MIN(300,MAX(1,D37)),0), FactorTable!$A$2:$A$301,0), Skills!M3+1)</f>
        <v/>
      </c>
      <c r="F37">
        <f>IF(Skills!N3=TRUE,(Skills!L3/10)*(E37/1000),Skills!L3/10)+Skills!O3</f>
        <v/>
      </c>
      <c r="G37">
        <f>Skills!G3*IF(Skills!H3&gt;0,Skills!I3/Skills!H3,1)</f>
        <v/>
      </c>
      <c r="H37">
        <f>1-(1-Skills!J3/100)^Skills!K3</f>
        <v/>
      </c>
      <c r="I37" t="inlineStr">
        <is>
          <t>1</t>
        </is>
      </c>
      <c r="J37" t="inlineStr"/>
      <c r="K37" t="inlineStr"/>
      <c r="L37" t="inlineStr"/>
      <c r="M37" t="inlineStr"/>
      <c r="N37" t="inlineStr"/>
      <c r="O37" t="n">
        <v>0</v>
      </c>
      <c r="P37">
        <f>IF(B79=0,0,O37/B79)</f>
        <v/>
      </c>
      <c r="Q37" t="n">
        <v>0</v>
      </c>
      <c r="R37" t="n">
        <v>0</v>
      </c>
      <c r="S37">
        <f>IFERROR(O37/N37,0)</f>
        <v/>
      </c>
      <c r="U37">
        <f>INDEX(FactorTable!$B$2:$Y$301, MATCH(ROUND(MIN(300,MAX(1,U36)),0), FactorTable!$A$2:$A$301,0), 22)</f>
        <v/>
      </c>
    </row>
    <row r="38">
      <c r="A38">
        <f>Skills!A4</f>
        <v/>
      </c>
      <c r="B38">
        <f>Skills!B4</f>
        <v/>
      </c>
      <c r="C38">
        <f>Inputs!$B$3&gt;=66</f>
        <v/>
      </c>
      <c r="D38">
        <f>IF(Skills!C4=1,60+Inputs!$B$24+Inputs!$B$28,IF(Skills!C4=2,90+Inputs!$B$25+Inputs!$B$28,IF(Skills!C4=3,120+Inputs!$B$26+Inputs!$B$28,MAX(0,(Inputs!$B$3-100)*3)+Inputs!$B$27+Inputs!$B$28)))</f>
        <v/>
      </c>
      <c r="E38">
        <f>INDEX(FactorTable!$B$2:$Y$301, MATCH(ROUND(MIN(300,MAX(1,D38)),0), FactorTable!$A$2:$A$301,0), Skills!M4+1)</f>
        <v/>
      </c>
      <c r="F38">
        <f>IF(Skills!N4=TRUE,(Skills!L4/10)*(E38/1000),Skills!L4/10)+Skills!O4</f>
        <v/>
      </c>
      <c r="G38">
        <f>Skills!G4*IF(Skills!H4&gt;0,Skills!I4/Skills!H4,1)</f>
        <v/>
      </c>
      <c r="H38">
        <f>1-(1-Skills!J4/100)^Skills!K4</f>
        <v/>
      </c>
      <c r="I38" t="inlineStr">
        <is>
          <t>1</t>
        </is>
      </c>
      <c r="J38">
        <f>(Inputs!$B$5*(1+Inputs!$B$6/100))*(F38/100)</f>
        <v/>
      </c>
      <c r="K38">
        <f>J38*(1+(((Inputs!$B$11+1)*(1+Inputs!$B$12/100))*0.01+Inputs!$B$13*0.0025)/100)*(1+Inputs!$B$14/100)*(1+IF(Inputs!$B$4="pvp",0,(1-Summary!$B$55)*(Inputs!$B$19+0+Skills!P4+B68)+Summary!$B$55*(Inputs!$B$20+Skills!Q4+B68))/100)*(1+Inputs!$B$15/100)*(5000/(6000+Inputs!$B$7*(1-Inputs!$B$18/100)))*(1+(Inputs!$B$23+((C64=TRUE)*(F64-Calc!F30)))/100)*(1+(IF(Skills!A4="CRUEL_STAB",Inputs!$B$16+((C61=TRUE)*(F61-Calc!F27)),Inputs!$B$17+((C62=TRUE)*(F62-Calc!F28))))/100)*(((1+(((C55=TRUE)*F55*IF(AND(Inputs!$B$4&lt;&gt;"pvp",Inputs!$B$35&gt;0),(((S55-1)*(Skills!Y21*(1+Inputs!$B$33/100))+MIN((Skills!Y21*(1+Inputs!$B$33/100)),MAX(0,Inputs!$B$35-((S55-1)*Skills!D21))))/Inputs!$B$35),IF(Inputs!$B$4="pvp",MIN((Skills!Y21*(1+Inputs!$B$33/100)),15)/15,(Skills!Y21*(1+Inputs!$B$33/100))/Skills!D21)))+((C57=TRUE)*(F57-Calc!F23))+((C51=TRUE)*(F51-Calc!F17)))/100)*(1+((C44=TRUE)*F44*IF(AND(Inputs!$B$4&lt;&gt;"pvp",Inputs!$B$35&gt;0),(((S44-1)*(Skills!Y10*(1+Inputs!$B$33/100))+MIN((Skills!Y10*(1+Inputs!$B$33/100)),MAX(0,Inputs!$B$35-((S44-1)*Skills!D10))))/Inputs!$B$35),IF(Inputs!$B$4="pvp",MIN((Skills!Y10*(1+Inputs!$B$33/100)),15)/15,(Skills!Y10*(1+Inputs!$B$33/100))/Skills!D10)))/100)*(1+((C49=TRUE)*F49*IF(AND(Inputs!$B$4&lt;&gt;"pvp",Inputs!$B$35&gt;0),(((S49-1)*(Skills!Y15*(1+Inputs!$B$33/100))+MIN((Skills!Y15*(1+Inputs!$B$33/100)),MAX(0,Inputs!$B$35-((S49-1)*Skills!D15))))/Inputs!$B$35),IF(Inputs!$B$4="pvp",MIN((Skills!Y15*(1+Inputs!$B$33/100)),15)/15,(Skills!Y15*(1+Inputs!$B$33/100))/Skills!D15)))/100))*B69*I38)</f>
        <v/>
      </c>
      <c r="L38">
        <f>K38*(MIN(Inputs!$B$21+((C58=TRUE)*(F58-Calc!F24)),Inputs!$B$22+((C63=TRUE)*(F63-Calc!F29)))/100+(Inputs!$B$22+((C63=TRUE)*(F63-Calc!F29)))/100)/2</f>
        <v/>
      </c>
      <c r="M38">
        <f>L38*(1+(Inputs!$B$9+((C60=TRUE)*(F60-Calc!F26))+B74)/100)</f>
        <v/>
      </c>
      <c r="N38">
        <f>L38*(1-MIN((Inputs!$B$8+((C59=TRUE)*(F59-Calc!F25))+B67),100)/100)+M38*(MIN((Inputs!$B$8+((C59=TRUE)*(F59-Calc!F25))+B67),100)/100)</f>
        <v/>
      </c>
      <c r="O38">
        <f>IF(C38,H38*N38*IF(AND(Inputs!$B$4&lt;&gt;"pvp",Inputs!$B$35&gt;0),((Skills!G4*((R38-1)*IF(Skills!H4&gt;0,Skills!I4/Skills!H4,1)+IF(Skills!H4&gt;0,MIN(Skills!I4,MAX(0,Inputs!$B$35-((R38-1)*IF(Inputs!$B$4="pvp",15,MAX(0.1,Skills!D4-IF(Skills!E4=TRUE,Inputs!$B$31,0))))))/Skills!H4,1)))/Inputs!$B$35),G38*Q38)*IF(Inputs!$B$4="pvp",1,(1-Summary!$B$55)*(1)+Summary!$B$55*(MIN(MIN(10,0.5*B71*Skills!D4),Inputs!$B$37))),0)</f>
        <v/>
      </c>
      <c r="P38">
        <f>IF(B79=0,0,O38/B79)</f>
        <v/>
      </c>
      <c r="Q38">
        <f>IFERROR(1/IF(Inputs!$B$4="pvp",15,MAX(0.1,Skills!D4-IF(Skills!E4=TRUE,Inputs!$B$31,0))),0)</f>
        <v/>
      </c>
      <c r="R38">
        <f>IF(AND(Inputs!$B$4&lt;&gt;"pvp",Inputs!$B$35&gt;0),(INT(Inputs!$B$35/IF(Inputs!$B$4="pvp",15,MAX(0.1,Skills!D4-IF(Skills!E4=TRUE,Inputs!$B$31,0))))+1),0)</f>
        <v/>
      </c>
      <c r="S38">
        <f>IFERROR(O38/N38,0)</f>
        <v/>
      </c>
      <c r="U38">
        <f>290*U37/1000</f>
        <v/>
      </c>
    </row>
    <row r="39">
      <c r="A39">
        <f>Skills!A5</f>
        <v/>
      </c>
      <c r="B39">
        <f>Skills!B5</f>
        <v/>
      </c>
      <c r="C39">
        <f>Inputs!$B$3&gt;=63</f>
        <v/>
      </c>
      <c r="D39">
        <f>IF(Skills!C5=1,60+Inputs!$B$24+Inputs!$B$28,IF(Skills!C5=2,90+Inputs!$B$25+Inputs!$B$28,IF(Skills!C5=3,120+Inputs!$B$26+Inputs!$B$28,MAX(0,(Inputs!$B$3-100)*3)+Inputs!$B$27+Inputs!$B$28)))</f>
        <v/>
      </c>
      <c r="E39">
        <f>INDEX(FactorTable!$B$2:$Y$301, MATCH(ROUND(MIN(300,MAX(1,D39)),0), FactorTable!$A$2:$A$301,0), Skills!M5+1)</f>
        <v/>
      </c>
      <c r="F39">
        <f>IF(Skills!N5=TRUE,(Skills!L5/10)*(E39/1000),Skills!L5/10)+Skills!O5</f>
        <v/>
      </c>
      <c r="G39">
        <f>Skills!G5*IF(Skills!H5&gt;0,Skills!I5/Skills!H5,1)</f>
        <v/>
      </c>
      <c r="H39">
        <f>1-(1-Skills!J5/100)^Skills!K5</f>
        <v/>
      </c>
      <c r="I39" t="inlineStr">
        <is>
          <t>1</t>
        </is>
      </c>
      <c r="J39">
        <f>(Inputs!$B$5*(1+Inputs!$B$6/100))*(F39/100)</f>
        <v/>
      </c>
      <c r="K39">
        <f>J39*(1+(((Inputs!$B$11+1)*(1+Inputs!$B$12/100))*0.01+Inputs!$B$13*0.0025)/100)*(1+Inputs!$B$14/100)*(1+IF(Inputs!$B$4="pvp",0,(1-Summary!$B$55)*(Inputs!$B$19+0+Skills!P5+B68)+Summary!$B$55*(Inputs!$B$20+Skills!Q5+B68))/100)*(1+Inputs!$B$15/100)*(5000/(6000+Inputs!$B$7*(1-Inputs!$B$18/100)))*(1+(Inputs!$B$23+((C64=TRUE)*(F64-Calc!F30)))/100)*(1+2.6666666666666665*IF(C52=TRUE,F52,0)/100)*(1+(IF(Skills!A5="CRUEL_STAB",Inputs!$B$16+((C61=TRUE)*(F61-Calc!F27)),Inputs!$B$17+((C62=TRUE)*(F62-Calc!F28))))/100)*(((1+(((C55=TRUE)*F55*IF(AND(Inputs!$B$4&lt;&gt;"pvp",Inputs!$B$35&gt;0),(((S55-1)*(Skills!Y21*(1+Inputs!$B$33/100))+MIN((Skills!Y21*(1+Inputs!$B$33/100)),MAX(0,Inputs!$B$35-((S55-1)*Skills!D21))))/Inputs!$B$35),IF(Inputs!$B$4="pvp",MIN((Skills!Y21*(1+Inputs!$B$33/100)),15)/15,(Skills!Y21*(1+Inputs!$B$33/100))/Skills!D21)))+((C57=TRUE)*(F57-Calc!F23))+((C51=TRUE)*(F51-Calc!F17)))/100)*(1+((C44=TRUE)*F44*IF(AND(Inputs!$B$4&lt;&gt;"pvp",Inputs!$B$35&gt;0),(((S44-1)*(Skills!Y10*(1+Inputs!$B$33/100))+MIN((Skills!Y10*(1+Inputs!$B$33/100)),MAX(0,Inputs!$B$35-((S44-1)*Skills!D10))))/Inputs!$B$35),IF(Inputs!$B$4="pvp",MIN((Skills!Y10*(1+Inputs!$B$33/100)),15)/15,(Skills!Y10*(1+Inputs!$B$33/100))/Skills!D10)))/100)*(1+((C49=TRUE)*F49*IF(AND(Inputs!$B$4&lt;&gt;"pvp",Inputs!$B$35&gt;0),(((S49-1)*(Skills!Y15*(1+Inputs!$B$33/100))+MIN((Skills!Y15*(1+Inputs!$B$33/100)),MAX(0,Inputs!$B$35-((S49-1)*Skills!D15))))/Inputs!$B$35),IF(Inputs!$B$4="pvp",MIN((Skills!Y15*(1+Inputs!$B$33/100)),15)/15,(Skills!Y15*(1+Inputs!$B$33/100))/Skills!D15)))/100))*B69*I39)</f>
        <v/>
      </c>
      <c r="L39">
        <f>K39*(MIN(Inputs!$B$21+((C58=TRUE)*(F58-Calc!F24)),Inputs!$B$22+((C63=TRUE)*(F63-Calc!F29)))/100+(Inputs!$B$22+((C63=TRUE)*(F63-Calc!F29)))/100)/2</f>
        <v/>
      </c>
      <c r="M39">
        <f>L39*(1+(Inputs!$B$9+((C60=TRUE)*(F60-Calc!F26))+B74)/100)</f>
        <v/>
      </c>
      <c r="N39">
        <f>L39*(1-MIN((Inputs!$B$8+((C59=TRUE)*(F59-Calc!F25))+B67),100)/100)+M39*(MIN((Inputs!$B$8+((C59=TRUE)*(F59-Calc!F25))+B67),100)/100)</f>
        <v/>
      </c>
      <c r="O39">
        <f>IF(C39,H39*N39*IF(AND(Inputs!$B$4&lt;&gt;"pvp",Inputs!$B$35&gt;0),((Skills!G5*((R39-1)*IF(Skills!H5&gt;0,Skills!I5/Skills!H5,1)+IF(Skills!H5&gt;0,MIN(Skills!I5,MAX(0,Inputs!$B$35-((R39-1)*IF(Inputs!$B$4="pvp",15,MAX(0.1,Skills!D5-IF(Skills!E5=TRUE,Inputs!$B$31,0))))))/Skills!H5,1)))/Inputs!$B$35),G39*Q39)*IF(Inputs!$B$4="pvp",1,(1-Summary!$B$55)*(1)+Summary!$B$55*(MIN(Skills!W5,Inputs!$B$37))),0)</f>
        <v/>
      </c>
      <c r="P39">
        <f>IF(B79=0,0,O39/B79)</f>
        <v/>
      </c>
      <c r="Q39">
        <f>IFERROR(1/IF(Inputs!$B$4="pvp",15,MAX(0.1,Skills!D5-IF(Skills!E5=TRUE,Inputs!$B$31,0))),0)</f>
        <v/>
      </c>
      <c r="R39">
        <f>IF(AND(Inputs!$B$4&lt;&gt;"pvp",Inputs!$B$35&gt;0),(INT(Inputs!$B$35/IF(Inputs!$B$4="pvp",15,MAX(0.1,Skills!D5-IF(Skills!E5=TRUE,Inputs!$B$31,0))))+1),0)</f>
        <v/>
      </c>
      <c r="S39">
        <f>IFERROR(O39/N39,0)</f>
        <v/>
      </c>
    </row>
    <row r="40">
      <c r="A40">
        <f>Skills!A6</f>
        <v/>
      </c>
      <c r="B40">
        <f>Skills!B6</f>
        <v/>
      </c>
      <c r="C40">
        <f>Inputs!$B$3&gt;=69</f>
        <v/>
      </c>
      <c r="D40">
        <f>IF(Skills!C6=1,60+Inputs!$B$24+Inputs!$B$28,IF(Skills!C6=2,90+Inputs!$B$25+Inputs!$B$28,IF(Skills!C6=3,120+Inputs!$B$26+Inputs!$B$28,MAX(0,(Inputs!$B$3-100)*3)+Inputs!$B$27+Inputs!$B$28)))</f>
        <v/>
      </c>
      <c r="E40">
        <f>INDEX(FactorTable!$B$2:$Y$301, MATCH(ROUND(MIN(300,MAX(1,D40)),0), FactorTable!$A$2:$A$301,0), Skills!M6+1)</f>
        <v/>
      </c>
      <c r="F40">
        <f>IF(Skills!N6=TRUE,(Skills!L6/10)*(E40/1000),Skills!L6/10)+Skills!O6</f>
        <v/>
      </c>
      <c r="G40">
        <f>Skills!G6*IF(Skills!H6&gt;0,Skills!I6/Skills!H6,1)</f>
        <v/>
      </c>
      <c r="H40">
        <f>1-(1-Skills!J6/100)^Skills!K6</f>
        <v/>
      </c>
      <c r="I40" t="inlineStr">
        <is>
          <t>1</t>
        </is>
      </c>
      <c r="J40">
        <f>(Inputs!$B$5*(1+Inputs!$B$6/100))*(F40/100)</f>
        <v/>
      </c>
      <c r="K40">
        <f>J40*(1+(((Inputs!$B$11+1)*(1+Inputs!$B$12/100))*0.01+Inputs!$B$13*0.0025)/100)*(1+Inputs!$B$14/100)*(1+IF(Inputs!$B$4="pvp",0,(1-Summary!$B$55)*(Inputs!$B$19+0+Skills!P6+B68)+Summary!$B$55*(Inputs!$B$20+Skills!Q6+B68))/100)*(1+Inputs!$B$15/100)*(5000/(6000+Inputs!$B$7*(1-Inputs!$B$18/100)))*(1+(Inputs!$B$23+((C64=TRUE)*(F64-Calc!F30)))/100)*(1+1.0*IF(C52=TRUE,F52,0)/100)*(1+(IF(Skills!A6="CRUEL_STAB",Inputs!$B$16+((C61=TRUE)*(F61-Calc!F27)),Inputs!$B$17+((C62=TRUE)*(F62-Calc!F28))))/100)*(((1+(((C55=TRUE)*F55*IF(AND(Inputs!$B$4&lt;&gt;"pvp",Inputs!$B$35&gt;0),(((S55-1)*(Skills!Y21*(1+Inputs!$B$33/100))+MIN((Skills!Y21*(1+Inputs!$B$33/100)),MAX(0,Inputs!$B$35-((S55-1)*Skills!D21))))/Inputs!$B$35),IF(Inputs!$B$4="pvp",MIN((Skills!Y21*(1+Inputs!$B$33/100)),15)/15,(Skills!Y21*(1+Inputs!$B$33/100))/Skills!D21)))+((C57=TRUE)*(F57-Calc!F23))+((C51=TRUE)*(F51-Calc!F17)))/100)*(1+((C44=TRUE)*F44*IF(AND(Inputs!$B$4&lt;&gt;"pvp",Inputs!$B$35&gt;0),(((S44-1)*(Skills!Y10*(1+Inputs!$B$33/100))+MIN((Skills!Y10*(1+Inputs!$B$33/100)),MAX(0,Inputs!$B$35-((S44-1)*Skills!D10))))/Inputs!$B$35),IF(Inputs!$B$4="pvp",MIN((Skills!Y10*(1+Inputs!$B$33/100)),15)/15,(Skills!Y10*(1+Inputs!$B$33/100))/Skills!D10)))/100)*(1+((C49=TRUE)*F49*IF(AND(Inputs!$B$4&lt;&gt;"pvp",Inputs!$B$35&gt;0),(((S49-1)*(Skills!Y15*(1+Inputs!$B$33/100))+MIN((Skills!Y15*(1+Inputs!$B$33/100)),MAX(0,Inputs!$B$35-((S49-1)*Skills!D15))))/Inputs!$B$35),IF(Inputs!$B$4="pvp",MIN((Skills!Y15*(1+Inputs!$B$33/100)),15)/15,(Skills!Y15*(1+Inputs!$B$33/100))/Skills!D15)))/100))*B69*I40)</f>
        <v/>
      </c>
      <c r="L40">
        <f>K40*(MIN(Inputs!$B$21+((C58=TRUE)*(F58-Calc!F24)),Inputs!$B$22+((C63=TRUE)*(F63-Calc!F29)))/100+(Inputs!$B$22+((C63=TRUE)*(F63-Calc!F29)))/100)/2</f>
        <v/>
      </c>
      <c r="M40">
        <f>L40*(1+(Inputs!$B$9+((C60=TRUE)*(F60-Calc!F26))+B74)/100)</f>
        <v/>
      </c>
      <c r="N40">
        <f>L40*(1-MIN((Inputs!$B$8+((C59=TRUE)*(F59-Calc!F25))+B67),100)/100)+M40*(MIN((Inputs!$B$8+((C59=TRUE)*(F59-Calc!F25))+B67),100)/100)</f>
        <v/>
      </c>
      <c r="O40">
        <f>IF(C40,H40*N40*IF(AND(Inputs!$B$4&lt;&gt;"pvp",Inputs!$B$35&gt;0),((Skills!G6*((R40-1)*IF(Skills!H6&gt;0,Skills!I6/Skills!H6,1)+IF(Skills!H6&gt;0,MIN(Skills!I6,MAX(0,Inputs!$B$35-((R40-1)*IF(Inputs!$B$4="pvp",15,MAX(0.1,Skills!D6-IF(Skills!E6=TRUE,Inputs!$B$31,0))))))/Skills!H6,1)))/Inputs!$B$35),G40*Q40)*IF(Inputs!$B$4="pvp",1,(1-Summary!$B$55)*(1)+Summary!$B$55*(MIN(Skills!W6,Inputs!$B$37))),0)</f>
        <v/>
      </c>
      <c r="P40">
        <f>IF(B79=0,0,O40/B79)</f>
        <v/>
      </c>
      <c r="Q40">
        <f>IFERROR(1/IF(Inputs!$B$4="pvp",15,MAX(0.1,Skills!D6-IF(Skills!E6=TRUE,Inputs!$B$31,0))),0)</f>
        <v/>
      </c>
      <c r="R40">
        <f>IF(AND(Inputs!$B$4&lt;&gt;"pvp",Inputs!$B$35&gt;0),(INT(Inputs!$B$35/IF(Inputs!$B$4="pvp",15,MAX(0.1,Skills!D6-IF(Skills!E6=TRUE,Inputs!$B$31,0))))+1),0)</f>
        <v/>
      </c>
      <c r="S40">
        <f>IFERROR(O40/N40,0)</f>
        <v/>
      </c>
    </row>
    <row r="41">
      <c r="A41">
        <f>Skills!A7</f>
        <v/>
      </c>
      <c r="B41">
        <f>Skills!B7</f>
        <v/>
      </c>
      <c r="C41">
        <f>Inputs!$B$3&gt;=60</f>
        <v/>
      </c>
      <c r="D41">
        <f>IF(Skills!C7=1,60+Inputs!$B$24+Inputs!$B$28,IF(Skills!C7=2,90+Inputs!$B$25+Inputs!$B$28,IF(Skills!C7=3,120+Inputs!$B$26+Inputs!$B$28,MAX(0,(Inputs!$B$3-100)*3)+Inputs!$B$27+Inputs!$B$28)))</f>
        <v/>
      </c>
      <c r="E41">
        <f>INDEX(FactorTable!$B$2:$Y$301, MATCH(ROUND(MIN(300,MAX(1,D41)),0), FactorTable!$A$2:$A$301,0), Skills!M7+1)</f>
        <v/>
      </c>
      <c r="F41">
        <f>IF(Skills!N7=TRUE,(Skills!L7/10)*(E41/1000),Skills!L7/10)+Skills!O7</f>
        <v/>
      </c>
      <c r="G41">
        <f>Skills!G7*IF(Skills!H7&gt;0,Skills!I7/Skills!H7,1)</f>
        <v/>
      </c>
      <c r="H41">
        <f>1-(1-Skills!J7/100)^Skills!K7</f>
        <v/>
      </c>
      <c r="I41" t="inlineStr">
        <is>
          <t>1</t>
        </is>
      </c>
      <c r="J41" t="inlineStr"/>
      <c r="K41" t="inlineStr"/>
      <c r="L41" t="inlineStr"/>
      <c r="M41" t="inlineStr"/>
      <c r="N41" t="inlineStr"/>
      <c r="O41" t="n">
        <v>0</v>
      </c>
      <c r="P41">
        <f>IF(B79=0,0,O41/B79)</f>
        <v/>
      </c>
      <c r="Q41" t="n">
        <v>0</v>
      </c>
      <c r="R41" t="n">
        <v>0</v>
      </c>
      <c r="S41">
        <f>IFERROR(O41/N41,0)</f>
        <v/>
      </c>
    </row>
    <row r="42">
      <c r="A42">
        <f>Skills!A8</f>
        <v/>
      </c>
      <c r="B42">
        <f>Skills!B8</f>
        <v/>
      </c>
      <c r="C42">
        <f>Inputs!$B$3&gt;=72</f>
        <v/>
      </c>
      <c r="D42">
        <f>IF(Skills!C8=1,60+Inputs!$B$24+Inputs!$B$28,IF(Skills!C8=2,90+Inputs!$B$25+Inputs!$B$28,IF(Skills!C8=3,120+Inputs!$B$26+Inputs!$B$28,MAX(0,(Inputs!$B$3-100)*3)+Inputs!$B$27+Inputs!$B$28)))</f>
        <v/>
      </c>
      <c r="E42">
        <f>INDEX(FactorTable!$B$2:$Y$301, MATCH(ROUND(MIN(300,MAX(1,D42)),0), FactorTable!$A$2:$A$301,0), Skills!M8+1)</f>
        <v/>
      </c>
      <c r="F42">
        <f>IF(Skills!N8=TRUE,(Skills!L8/10)*(E42/1000),Skills!L8/10)+Skills!O8</f>
        <v/>
      </c>
      <c r="G42">
        <f>Skills!G8*IF(Skills!H8&gt;0,Skills!I8/Skills!H8,1)</f>
        <v/>
      </c>
      <c r="H42">
        <f>1-(1-Skills!J8/100)^Skills!K8</f>
        <v/>
      </c>
      <c r="I42" t="inlineStr">
        <is>
          <t>1</t>
        </is>
      </c>
      <c r="J42">
        <f>(Inputs!$B$5*(1+Inputs!$B$6/100))*(F42/100)</f>
        <v/>
      </c>
      <c r="K42">
        <f>J42*(1+(((Inputs!$B$11+1)*(1+Inputs!$B$12/100))*0.01+Inputs!$B$13*0.0025)/100)*(1+Inputs!$B$14/100)*(1+IF(Inputs!$B$4="pvp",0,(1-Summary!$B$55)*(Inputs!$B$19+0+Skills!P8+B68)+Summary!$B$55*(Inputs!$B$20+Skills!Q8+B68))/100)*(1+Inputs!$B$15/100)*(5000/(6000+Inputs!$B$7*(1-Inputs!$B$18/100)))*(1+(Inputs!$B$23+((C64=TRUE)*(F64-Calc!F30)))/100)*(1+3.3333333333333335*IF(C52=TRUE,F52,0)/100)*(1+(IF(Skills!A8="CRUEL_STAB",Inputs!$B$16+((C61=TRUE)*(F61-Calc!F27)),Inputs!$B$17+((C62=TRUE)*(F62-Calc!F28))))/100)*(((1+(((C55=TRUE)*F55*IF(AND(Inputs!$B$4&lt;&gt;"pvp",Inputs!$B$35&gt;0),(((S55-1)*(Skills!Y21*(1+Inputs!$B$33/100))+MIN((Skills!Y21*(1+Inputs!$B$33/100)),MAX(0,Inputs!$B$35-((S55-1)*Skills!D21))))/Inputs!$B$35),IF(Inputs!$B$4="pvp",MIN((Skills!Y21*(1+Inputs!$B$33/100)),15)/15,(Skills!Y21*(1+Inputs!$B$33/100))/Skills!D21)))+((C57=TRUE)*(F57-Calc!F23))+((C51=TRUE)*(F51-Calc!F17)))/100)*(1+((C44=TRUE)*F44*IF(AND(Inputs!$B$4&lt;&gt;"pvp",Inputs!$B$35&gt;0),(((S44-1)*(Skills!Y10*(1+Inputs!$B$33/100))+MIN((Skills!Y10*(1+Inputs!$B$33/100)),MAX(0,Inputs!$B$35-((S44-1)*Skills!D10))))/Inputs!$B$35),IF(Inputs!$B$4="pvp",MIN((Skills!Y10*(1+Inputs!$B$33/100)),15)/15,(Skills!Y10*(1+Inputs!$B$33/100))/Skills!D10)))/100)*(1+((C49=TRUE)*F49*IF(AND(Inputs!$B$4&lt;&gt;"pvp",Inputs!$B$35&gt;0),(((S49-1)*(Skills!Y15*(1+Inputs!$B$33/100))+MIN((Skills!Y15*(1+Inputs!$B$33/100)),MAX(0,Inputs!$B$35-((S49-1)*Skills!D15))))/Inputs!$B$35),IF(Inputs!$B$4="pvp",MIN((Skills!Y15*(1+Inputs!$B$33/100)),15)/15,(Skills!Y15*(1+Inputs!$B$33/100))/Skills!D15)))/100))*B69*I42)</f>
        <v/>
      </c>
      <c r="L42">
        <f>K42*(MIN(Inputs!$B$21+((C58=TRUE)*(F58-Calc!F24)),Inputs!$B$22+((C63=TRUE)*(F63-Calc!F29)))/100+(Inputs!$B$22+((C63=TRUE)*(F63-Calc!F29)))/100)/2</f>
        <v/>
      </c>
      <c r="M42">
        <f>L42*(1+(Inputs!$B$9+((C60=TRUE)*(F60-Calc!F26))+B74)/100)</f>
        <v/>
      </c>
      <c r="N42">
        <f>L42*(1-MIN((Inputs!$B$8+((C59=TRUE)*(F59-Calc!F25))+B67),100)/100)+M42*(MIN((Inputs!$B$8+((C59=TRUE)*(F59-Calc!F25))+B67),100)/100)</f>
        <v/>
      </c>
      <c r="O42">
        <f>IF(C42,H42*N42*IF(AND(Inputs!$B$4&lt;&gt;"pvp",Inputs!$B$35&gt;0),((Skills!G8*((R42-1)*IF(Skills!H8&gt;0,Skills!I8/Skills!H8,1)+IF(Skills!H8&gt;0,MIN(Skills!I8,MAX(0,Inputs!$B$35-((R42-1)*IF(Inputs!$B$4="pvp",15,MAX(0.1,Skills!D8-IF(Skills!E8=TRUE,Inputs!$B$31,0))))))/Skills!H8,1)))/Inputs!$B$35),G42*Q42)*IF(Inputs!$B$4="pvp",1,(1-Summary!$B$55)*(1)+Summary!$B$55*(MIN(Skills!W8,Inputs!$B$37))),0)</f>
        <v/>
      </c>
      <c r="P42">
        <f>IF(B79=0,0,O42/B79)</f>
        <v/>
      </c>
      <c r="Q42">
        <f>IFERROR(1/IF(Inputs!$B$4="pvp",15,MAX(0.1,Skills!D8-IF(Skills!E8=TRUE,Inputs!$B$31,0))),0)</f>
        <v/>
      </c>
      <c r="R42">
        <f>IF(AND(Inputs!$B$4&lt;&gt;"pvp",Inputs!$B$35&gt;0),(INT(Inputs!$B$35/IF(Inputs!$B$4="pvp",15,MAX(0.1,Skills!D8-IF(Skills!E8=TRUE,Inputs!$B$31,0))))+1),0)</f>
        <v/>
      </c>
      <c r="S42">
        <f>IFERROR(O42/N42,0)</f>
        <v/>
      </c>
    </row>
    <row r="43">
      <c r="A43">
        <f>Skills!A9</f>
        <v/>
      </c>
      <c r="B43">
        <f>Skills!B9</f>
        <v/>
      </c>
      <c r="C43">
        <f>Inputs!$B$3&gt;=117</f>
        <v/>
      </c>
      <c r="D43">
        <f>IF(Skills!C9=1,60+Inputs!$B$24+Inputs!$B$28,IF(Skills!C9=2,90+Inputs!$B$25+Inputs!$B$28,IF(Skills!C9=3,120+Inputs!$B$26+Inputs!$B$28,MAX(0,(Inputs!$B$3-100)*3)+Inputs!$B$27+Inputs!$B$28)))</f>
        <v/>
      </c>
      <c r="E43">
        <f>INDEX(FactorTable!$B$2:$Y$301, MATCH(ROUND(MIN(300,MAX(1,D43)),0), FactorTable!$A$2:$A$301,0), Skills!M9+1)</f>
        <v/>
      </c>
      <c r="F43">
        <f>IF(Skills!N9=TRUE,(Skills!L9/10)*(E43/1000),Skills!L9/10)+Skills!O9</f>
        <v/>
      </c>
      <c r="G43">
        <f>Skills!G9*IF(Skills!H9&gt;0,Skills!I9/Skills!H9,1)</f>
        <v/>
      </c>
      <c r="H43">
        <f>1-(1-Skills!J9/100)^Skills!K9</f>
        <v/>
      </c>
      <c r="I43" t="inlineStr">
        <is>
          <t>1</t>
        </is>
      </c>
      <c r="J43">
        <f>(Inputs!$B$5*(1+Inputs!$B$6/100))*(F43/100)</f>
        <v/>
      </c>
      <c r="K43">
        <f>J43*(1+(((Inputs!$B$11+1)*(1+Inputs!$B$12/100))*0.01+Inputs!$B$13*0.0025)/100)*(1+Inputs!$B$14/100)*(1+IF(Inputs!$B$4="pvp",0,(1-Summary!$B$55)*(Inputs!$B$19+0+Skills!P9+B68)+Summary!$B$55*(Inputs!$B$20+Skills!Q9+B68))/100)*(1+Inputs!$B$15/100)*(5000/(6000+Inputs!$B$7*(1-Inputs!$B$18/100)))*(1+(Inputs!$B$23+((C64=TRUE)*(F64-Calc!F30)))/100)*(1+(IF(Skills!A9="CRUEL_STAB",Inputs!$B$16+((C61=TRUE)*(F61-Calc!F27)),Inputs!$B$17+((C62=TRUE)*(F62-Calc!F28))))/100)*(((1+(((C55=TRUE)*F55*IF(AND(Inputs!$B$4&lt;&gt;"pvp",Inputs!$B$35&gt;0),(((S55-1)*(Skills!Y21*(1+Inputs!$B$33/100))+MIN((Skills!Y21*(1+Inputs!$B$33/100)),MAX(0,Inputs!$B$35-((S55-1)*Skills!D21))))/Inputs!$B$35),IF(Inputs!$B$4="pvp",MIN((Skills!Y21*(1+Inputs!$B$33/100)),15)/15,(Skills!Y21*(1+Inputs!$B$33/100))/Skills!D21)))+((C57=TRUE)*(F57-Calc!F23))+((C51=TRUE)*(F51-Calc!F17)))/100)*(1+((C44=TRUE)*F44*IF(AND(Inputs!$B$4&lt;&gt;"pvp",Inputs!$B$35&gt;0),(((S44-1)*(Skills!Y10*(1+Inputs!$B$33/100))+MIN((Skills!Y10*(1+Inputs!$B$33/100)),MAX(0,Inputs!$B$35-((S44-1)*Skills!D10))))/Inputs!$B$35),IF(Inputs!$B$4="pvp",MIN((Skills!Y10*(1+Inputs!$B$33/100)),15)/15,(Skills!Y10*(1+Inputs!$B$33/100))/Skills!D10)))/100)*(1+((C49=TRUE)*F49*IF(AND(Inputs!$B$4&lt;&gt;"pvp",Inputs!$B$35&gt;0),(((S49-1)*(Skills!Y15*(1+Inputs!$B$33/100))+MIN((Skills!Y15*(1+Inputs!$B$33/100)),MAX(0,Inputs!$B$35-((S49-1)*Skills!D15))))/Inputs!$B$35),IF(Inputs!$B$4="pvp",MIN((Skills!Y15*(1+Inputs!$B$33/100)),15)/15,(Skills!Y15*(1+Inputs!$B$33/100))/Skills!D15)))/100))*B69*I43)</f>
        <v/>
      </c>
      <c r="L43">
        <f>K43*(MIN(Inputs!$B$21+((C58=TRUE)*(F58-Calc!F24)),Inputs!$B$22+((C63=TRUE)*(F63-Calc!F29)))/100+(Inputs!$B$22+((C63=TRUE)*(F63-Calc!F29)))/100)/2</f>
        <v/>
      </c>
      <c r="M43">
        <f>L43*(1+(Inputs!$B$9+((C60=TRUE)*(F60-Calc!F26))+B74)/100)</f>
        <v/>
      </c>
      <c r="N43">
        <f>L43*(1-MIN((Inputs!$B$8+((C59=TRUE)*(F59-Calc!F25))+B67),100)/100)+M43*(MIN((Inputs!$B$8+((C59=TRUE)*(F59-Calc!F25))+B67),100)/100)</f>
        <v/>
      </c>
      <c r="O43">
        <f>IF(C43,0.2*SUMPRODUCT((Skills!Z2:Z30=TRUE)*(C36:C64=TRUE)*S36:S64)*N43,0)</f>
        <v/>
      </c>
      <c r="P43">
        <f>IF(B79=0,0,O43/B79)</f>
        <v/>
      </c>
      <c r="Q43" t="n">
        <v>0</v>
      </c>
      <c r="R43" t="n">
        <v>0</v>
      </c>
      <c r="S43" t="n">
        <v>0</v>
      </c>
    </row>
    <row r="44">
      <c r="A44">
        <f>Skills!A10</f>
        <v/>
      </c>
      <c r="B44">
        <f>Skills!B10</f>
        <v/>
      </c>
      <c r="C44">
        <f>Inputs!$B$3&gt;=74</f>
        <v/>
      </c>
      <c r="D44">
        <f>IF(Skills!C10=1,60+Inputs!$B$24+Inputs!$B$28,IF(Skills!C10=2,90+Inputs!$B$25+Inputs!$B$28,IF(Skills!C10=3,120+Inputs!$B$26+Inputs!$B$28,MAX(0,(Inputs!$B$3-100)*3)+Inputs!$B$27+Inputs!$B$28)))</f>
        <v/>
      </c>
      <c r="E44">
        <f>INDEX(FactorTable!$B$2:$Y$301, MATCH(ROUND(MIN(300,MAX(1,D44)),0), FactorTable!$A$2:$A$301,0), Skills!M10+1)</f>
        <v/>
      </c>
      <c r="F44">
        <f>IF(Skills!N10=TRUE,(Skills!L10/10)*(E44/1000),Skills!L10/10)+Skills!O10</f>
        <v/>
      </c>
      <c r="G44">
        <f>Skills!G10*IF(Skills!H10&gt;0,Skills!I10/Skills!H10,1)</f>
        <v/>
      </c>
      <c r="H44">
        <f>1-(1-Skills!J10/100)^Skills!K10</f>
        <v/>
      </c>
      <c r="I44" t="inlineStr">
        <is>
          <t>1</t>
        </is>
      </c>
      <c r="J44" t="inlineStr"/>
      <c r="K44" t="inlineStr"/>
      <c r="L44" t="inlineStr"/>
      <c r="M44" t="inlineStr"/>
      <c r="N44" t="inlineStr"/>
      <c r="O44" t="n">
        <v>0</v>
      </c>
      <c r="P44">
        <f>IF(B79=0,0,O44/B79)</f>
        <v/>
      </c>
      <c r="Q44">
        <f>IFERROR(1/IF(Inputs!$B$4="pvp",15,MAX(0.1,Skills!D10-IF(Skills!E10=TRUE,Inputs!$B$31,0))),0)</f>
        <v/>
      </c>
      <c r="R44">
        <f>IF(AND(Inputs!$B$4&lt;&gt;"pvp",Inputs!$B$35&gt;0),(INT(Inputs!$B$35/IF(Inputs!$B$4="pvp",15,MAX(0.1,Skills!D10-IF(Skills!E10=TRUE,Inputs!$B$31,0))))+1),0)</f>
        <v/>
      </c>
      <c r="S44">
        <f>IFERROR(O44/N44,0)</f>
        <v/>
      </c>
    </row>
    <row r="45">
      <c r="A45">
        <f>Skills!A11</f>
        <v/>
      </c>
      <c r="B45">
        <f>Skills!B11</f>
        <v/>
      </c>
      <c r="C45">
        <f>Inputs!$B$3&gt;=103</f>
        <v/>
      </c>
      <c r="D45">
        <f>IF(Skills!C11=1,60+Inputs!$B$24+Inputs!$B$28,IF(Skills!C11=2,90+Inputs!$B$25+Inputs!$B$28,IF(Skills!C11=3,120+Inputs!$B$26+Inputs!$B$28,MAX(0,(Inputs!$B$3-100)*3)+Inputs!$B$27+Inputs!$B$28)))</f>
        <v/>
      </c>
      <c r="E45">
        <f>INDEX(FactorTable!$B$2:$Y$301, MATCH(ROUND(MIN(300,MAX(1,D45)),0), FactorTable!$A$2:$A$301,0), Skills!M11+1)</f>
        <v/>
      </c>
      <c r="F45">
        <f>(Skills!L11/10)*(E45/1000)+IF(Inputs!$B$3&gt;=134,50,0)+0.5*(30000/10)*(INDEX(FactorTable!$B$2:$Y$301, MATCH(ROUND(MIN(300,MAX(1,D45)),0), FactorTable!$A$2:$A$301,0), 13)/1000)*B77</f>
        <v/>
      </c>
      <c r="G45">
        <f>Skills!G11*IF(Skills!H11&gt;0,Skills!I11/Skills!H11,1)</f>
        <v/>
      </c>
      <c r="H45">
        <f>1-(1-Skills!J11/100)^Skills!K11</f>
        <v/>
      </c>
      <c r="I45" t="inlineStr">
        <is>
          <t>1</t>
        </is>
      </c>
      <c r="J45">
        <f>(Inputs!$B$5*(1+Inputs!$B$6/100))*(F45/100)</f>
        <v/>
      </c>
      <c r="K45">
        <f>J45*(1+(((Inputs!$B$11+1)*(1+Inputs!$B$12/100))*0.01+Inputs!$B$13*0.0025)/100)*(1+Inputs!$B$14/100)*(1+IF(Inputs!$B$4="pvp",0,(1-Summary!$B$55)*(Inputs!$B$19+0+Skills!P11+B68)+Summary!$B$55*(Inputs!$B$20+Skills!Q11+B68))/100)*(1+Inputs!$B$15/100)*(5000/(6000+Inputs!$B$7*(1-Inputs!$B$18/100)))*(1+(Inputs!$B$23+((C64=TRUE)*(F64-Calc!F30)))/100)*(1+(IF(Skills!A11="CRUEL_STAB",Inputs!$B$16+((C61=TRUE)*(F61-Calc!F27)),Inputs!$B$17+((C62=TRUE)*(F62-Calc!F28))))/100)*(((1+(((C55=TRUE)*F55*IF(AND(Inputs!$B$4&lt;&gt;"pvp",Inputs!$B$35&gt;0),(((S55-1)*(Skills!Y21*(1+Inputs!$B$33/100))+MIN((Skills!Y21*(1+Inputs!$B$33/100)),MAX(0,Inputs!$B$35-((S55-1)*Skills!D21))))/Inputs!$B$35),IF(Inputs!$B$4="pvp",MIN((Skills!Y21*(1+Inputs!$B$33/100)),15)/15,(Skills!Y21*(1+Inputs!$B$33/100))/Skills!D21)))+((C57=TRUE)*(F57-Calc!F23))+((C51=TRUE)*(F51-Calc!F17)))/100)*(1+((C44=TRUE)*F44*IF(AND(Inputs!$B$4&lt;&gt;"pvp",Inputs!$B$35&gt;0),(((S44-1)*(Skills!Y10*(1+Inputs!$B$33/100))+MIN((Skills!Y10*(1+Inputs!$B$33/100)),MAX(0,Inputs!$B$35-((S44-1)*Skills!D10))))/Inputs!$B$35),IF(Inputs!$B$4="pvp",MIN((Skills!Y10*(1+Inputs!$B$33/100)),15)/15,(Skills!Y10*(1+Inputs!$B$33/100))/Skills!D10)))/100)*(1+((C49=TRUE)*F49*IF(AND(Inputs!$B$4&lt;&gt;"pvp",Inputs!$B$35&gt;0),(((S49-1)*(Skills!Y15*(1+Inputs!$B$33/100))+MIN((Skills!Y15*(1+Inputs!$B$33/100)),MAX(0,Inputs!$B$35-((S49-1)*Skills!D15))))/Inputs!$B$35),IF(Inputs!$B$4="pvp",MIN((Skills!Y15*(1+Inputs!$B$33/100)),15)/15,(Skills!Y15*(1+Inputs!$B$33/100))/Skills!D15)))/100))*B69*I45)</f>
        <v/>
      </c>
      <c r="L45">
        <f>K45*(MIN(Inputs!$B$21+((C58=TRUE)*(F58-Calc!F24)),Inputs!$B$22+((C63=TRUE)*(F63-Calc!F29)))/100+(Inputs!$B$22+((C63=TRUE)*(F63-Calc!F29)))/100)/2</f>
        <v/>
      </c>
      <c r="M45">
        <f>L45*(1+(Inputs!$B$9+((C60=TRUE)*(F60-Calc!F26))+B74)/100)</f>
        <v/>
      </c>
      <c r="N45">
        <f>L45*(1-MIN((Inputs!$B$8+((C59=TRUE)*(F59-Calc!F25))+B67),100)/100)+M45*(MIN((Inputs!$B$8+((C59=TRUE)*(F59-Calc!F25))+B67),100)/100)</f>
        <v/>
      </c>
      <c r="O45">
        <f>IF(C45,H45*N45*IF(AND(Inputs!$B$4&lt;&gt;"pvp",Inputs!$B$35&gt;0),((Skills!G11*((R45-1)*IF(Skills!H11&gt;0,Skills!I11/Skills!H11,1)+IF(Skills!H11&gt;0,MIN(Skills!I11,MAX(0,Inputs!$B$35-((R45-1)*IF(Inputs!$B$4="pvp",15,MAX(0.1,Skills!D11-IF(Skills!E11=TRUE,Inputs!$B$31,0))))))/Skills!H11,1)))/Inputs!$B$35),G45*Q45)*IF(Inputs!$B$4="pvp",1,(1-Summary!$B$55)*(1)+Summary!$B$55*(MIN(Skills!W11,Inputs!$B$37))),0)</f>
        <v/>
      </c>
      <c r="P45">
        <f>IF(B79=0,0,O45/B79)</f>
        <v/>
      </c>
      <c r="Q45">
        <f>IFERROR(1/IF(Inputs!$B$4="pvp",15,MAX(0.1,Skills!D11-IF(Skills!E11=TRUE,Inputs!$B$31,0))),0)</f>
        <v/>
      </c>
      <c r="R45">
        <f>IF(AND(Inputs!$B$4&lt;&gt;"pvp",Inputs!$B$35&gt;0),(INT(Inputs!$B$35/IF(Inputs!$B$4="pvp",15,MAX(0.1,Skills!D11-IF(Skills!E11=TRUE,Inputs!$B$31,0))))+1),0)</f>
        <v/>
      </c>
      <c r="S45">
        <f>IFERROR(O45/N45,0)</f>
        <v/>
      </c>
    </row>
    <row r="46">
      <c r="A46">
        <f>Skills!A12</f>
        <v/>
      </c>
      <c r="B46">
        <f>Skills!B12</f>
        <v/>
      </c>
      <c r="C46">
        <f>Inputs!$B$3&gt;=105</f>
        <v/>
      </c>
      <c r="D46">
        <f>IF(Skills!C12=1,60+Inputs!$B$24+Inputs!$B$28,IF(Skills!C12=2,90+Inputs!$B$25+Inputs!$B$28,IF(Skills!C12=3,120+Inputs!$B$26+Inputs!$B$28,MAX(0,(Inputs!$B$3-100)*3)+Inputs!$B$27+Inputs!$B$28)))</f>
        <v/>
      </c>
      <c r="E46">
        <f>INDEX(FactorTable!$B$2:$Y$301, MATCH(ROUND(MIN(300,MAX(1,D46)),0), FactorTable!$A$2:$A$301,0), Skills!M12+1)</f>
        <v/>
      </c>
      <c r="F46">
        <f>IF(Skills!N12=TRUE,(Skills!L12/10)*(E46/1000),Skills!L12/10)+Skills!O12</f>
        <v/>
      </c>
      <c r="G46">
        <f>Skills!G12*IF(Skills!H12&gt;0,Skills!I12/Skills!H12,1)</f>
        <v/>
      </c>
      <c r="H46">
        <f>1-(1-Skills!J12/100)^Skills!K12</f>
        <v/>
      </c>
      <c r="I46" t="inlineStr">
        <is>
          <t>1</t>
        </is>
      </c>
      <c r="J46">
        <f>(Inputs!$B$5*(1+Inputs!$B$6/100))*(F46/100)</f>
        <v/>
      </c>
      <c r="K46">
        <f>J46*(1+(((Inputs!$B$11+1)*(1+Inputs!$B$12/100))*0.01+Inputs!$B$13*0.0025)/100)*(1+Inputs!$B$14/100)*(1+IF(Inputs!$B$4="pvp",0,(1-Summary!$B$55)*(Inputs!$B$19+0+Skills!P12+B68)+Summary!$B$55*(Inputs!$B$20+Skills!Q12+B68))/100)*(1+Inputs!$B$15/100)*(5000/(6000+Inputs!$B$7*(1-Inputs!$B$18/100)))*(1+(Inputs!$B$23+((C64=TRUE)*(F64-Calc!F30)))/100)*(1+(IF(Skills!A12="CRUEL_STAB",Inputs!$B$16+((C61=TRUE)*(F61-Calc!F27)),Inputs!$B$17+((C62=TRUE)*(F62-Calc!F28))))/100)*(((1+(((C55=TRUE)*F55*IF(AND(Inputs!$B$4&lt;&gt;"pvp",Inputs!$B$35&gt;0),(((S55-1)*(Skills!Y21*(1+Inputs!$B$33/100))+MIN((Skills!Y21*(1+Inputs!$B$33/100)),MAX(0,Inputs!$B$35-((S55-1)*Skills!D21))))/Inputs!$B$35),IF(Inputs!$B$4="pvp",MIN((Skills!Y21*(1+Inputs!$B$33/100)),15)/15,(Skills!Y21*(1+Inputs!$B$33/100))/Skills!D21)))+((C57=TRUE)*(F57-Calc!F23))+((C51=TRUE)*(F51-Calc!F17)))/100)*(1+((C44=TRUE)*F44*IF(AND(Inputs!$B$4&lt;&gt;"pvp",Inputs!$B$35&gt;0),(((S44-1)*(Skills!Y10*(1+Inputs!$B$33/100))+MIN((Skills!Y10*(1+Inputs!$B$33/100)),MAX(0,Inputs!$B$35-((S44-1)*Skills!D10))))/Inputs!$B$35),IF(Inputs!$B$4="pvp",MIN((Skills!Y10*(1+Inputs!$B$33/100)),15)/15,(Skills!Y10*(1+Inputs!$B$33/100))/Skills!D10)))/100)*(1+((C49=TRUE)*F49*IF(AND(Inputs!$B$4&lt;&gt;"pvp",Inputs!$B$35&gt;0),(((S49-1)*(Skills!Y15*(1+Inputs!$B$33/100))+MIN((Skills!Y15*(1+Inputs!$B$33/100)),MAX(0,Inputs!$B$35-((S49-1)*Skills!D15))))/Inputs!$B$35),IF(Inputs!$B$4="pvp",MIN((Skills!Y15*(1+Inputs!$B$33/100)),15)/15,(Skills!Y15*(1+Inputs!$B$33/100))/Skills!D15)))/100))*B69*I46)</f>
        <v/>
      </c>
      <c r="L46">
        <f>K46*(MIN(Inputs!$B$21+((C58=TRUE)*(F58-Calc!F24)),Inputs!$B$22+((C63=TRUE)*(F63-Calc!F29)))/100+(Inputs!$B$22+((C63=TRUE)*(F63-Calc!F29)))/100)/2</f>
        <v/>
      </c>
      <c r="M46">
        <f>L46*(1+(Inputs!$B$9+((C60=TRUE)*(F60-Calc!F26))+B74)/100)</f>
        <v/>
      </c>
      <c r="N46">
        <f>L46*(1-MIN((Inputs!$B$8+((C59=TRUE)*(F59-Calc!F25))+B67),100)/100)+M46*(MIN((Inputs!$B$8+((C59=TRUE)*(F59-Calc!F25))+B67),100)/100)</f>
        <v/>
      </c>
      <c r="O46">
        <f>IF(C46,H46*N46*IF(AND(Inputs!$B$4&lt;&gt;"pvp",Inputs!$B$35&gt;0),((Skills!G12*((R46-1)*IF(Skills!H12&gt;0,Skills!I12/Skills!H12,1)+IF(Skills!H12&gt;0,MIN(Skills!I12,MAX(0,Inputs!$B$35-((R46-1)*IF(Inputs!$B$4="pvp",15,MAX(0.1,Skills!D12-IF(Skills!E12=TRUE,Inputs!$B$31,0))))))/Skills!H12,1)))/Inputs!$B$35),G46*Q46)*IF(Inputs!$B$4="pvp",1,(1-Summary!$B$55)*(1)+Summary!$B$55*(MIN(Skills!W12,Inputs!$B$37))),0)</f>
        <v/>
      </c>
      <c r="P46">
        <f>IF(B79=0,0,O46/B79)</f>
        <v/>
      </c>
      <c r="Q46">
        <f>IFERROR(1/IF(Inputs!$B$4="pvp",15,MAX(0.1,Skills!D12-IF(Skills!E12=TRUE,Inputs!$B$31,0))),0)</f>
        <v/>
      </c>
      <c r="R46">
        <f>IF(AND(Inputs!$B$4&lt;&gt;"pvp",Inputs!$B$35&gt;0),(INT(Inputs!$B$35/IF(Inputs!$B$4="pvp",15,MAX(0.1,Skills!D12-IF(Skills!E12=TRUE,Inputs!$B$31,0))))+1),0)</f>
        <v/>
      </c>
      <c r="S46">
        <f>IFERROR(O46/N46,0)</f>
        <v/>
      </c>
    </row>
    <row r="47">
      <c r="A47">
        <f>Skills!A13</f>
        <v/>
      </c>
      <c r="B47">
        <f>Skills!B13</f>
        <v/>
      </c>
      <c r="C47">
        <f>Inputs!$B$3&gt;=105</f>
        <v/>
      </c>
      <c r="D47">
        <f>IF(Skills!C13=1,60+Inputs!$B$24+Inputs!$B$28,IF(Skills!C13=2,90+Inputs!$B$25+Inputs!$B$28,IF(Skills!C13=3,120+Inputs!$B$26+Inputs!$B$28,MAX(0,(Inputs!$B$3-100)*3)+Inputs!$B$27+Inputs!$B$28)))</f>
        <v/>
      </c>
      <c r="E47">
        <f>INDEX(FactorTable!$B$2:$Y$301, MATCH(ROUND(MIN(300,MAX(1,D47)),0), FactorTable!$A$2:$A$301,0), Skills!M13+1)</f>
        <v/>
      </c>
      <c r="F47">
        <f>IF(Skills!N13=TRUE,(Skills!L13/10)*(E47/1000),Skills!L13/10)+Skills!O13</f>
        <v/>
      </c>
      <c r="G47">
        <f>Skills!G13*IF(Skills!H13&gt;0,Skills!I13/Skills!H13,1)</f>
        <v/>
      </c>
      <c r="H47">
        <f>1-(1-Skills!J13/100)^Skills!K13</f>
        <v/>
      </c>
      <c r="I47" t="inlineStr">
        <is>
          <t>1</t>
        </is>
      </c>
      <c r="J47">
        <f>(Inputs!$B$5*(1+Inputs!$B$6/100))*(F47/100)</f>
        <v/>
      </c>
      <c r="K47">
        <f>J47*(1+(((Inputs!$B$11+1)*(1+Inputs!$B$12/100))*0.01+Inputs!$B$13*0.0025)/100)*(1+Inputs!$B$14/100)*(1+IF(Inputs!$B$4="pvp",0,(1-Summary!$B$55)*(Inputs!$B$19+0+Skills!P13+B68)+Summary!$B$55*(Inputs!$B$20+Skills!Q13+B68))/100)*(1+Inputs!$B$15/100)*(5000/(6000+Inputs!$B$7*(1-Inputs!$B$18/100)))*(1+(Inputs!$B$23+((C64=TRUE)*(F64-Calc!F30)))/100)*(1+(IF(Skills!A13="CRUEL_STAB",Inputs!$B$16+((C61=TRUE)*(F61-Calc!F27)),Inputs!$B$17+((C62=TRUE)*(F62-Calc!F28))))/100)*(((1+(((C55=TRUE)*F55*IF(AND(Inputs!$B$4&lt;&gt;"pvp",Inputs!$B$35&gt;0),(((S55-1)*(Skills!Y21*(1+Inputs!$B$33/100))+MIN((Skills!Y21*(1+Inputs!$B$33/100)),MAX(0,Inputs!$B$35-((S55-1)*Skills!D21))))/Inputs!$B$35),IF(Inputs!$B$4="pvp",MIN((Skills!Y21*(1+Inputs!$B$33/100)),15)/15,(Skills!Y21*(1+Inputs!$B$33/100))/Skills!D21)))+((C57=TRUE)*(F57-Calc!F23))+((C51=TRUE)*(F51-Calc!F17)))/100)*(1+((C44=TRUE)*F44*IF(AND(Inputs!$B$4&lt;&gt;"pvp",Inputs!$B$35&gt;0),(((S44-1)*(Skills!Y10*(1+Inputs!$B$33/100))+MIN((Skills!Y10*(1+Inputs!$B$33/100)),MAX(0,Inputs!$B$35-((S44-1)*Skills!D10))))/Inputs!$B$35),IF(Inputs!$B$4="pvp",MIN((Skills!Y10*(1+Inputs!$B$33/100)),15)/15,(Skills!Y10*(1+Inputs!$B$33/100))/Skills!D10)))/100)*(1+((C49=TRUE)*F49*IF(AND(Inputs!$B$4&lt;&gt;"pvp",Inputs!$B$35&gt;0),(((S49-1)*(Skills!Y15*(1+Inputs!$B$33/100))+MIN((Skills!Y15*(1+Inputs!$B$33/100)),MAX(0,Inputs!$B$35-((S49-1)*Skills!D15))))/Inputs!$B$35),IF(Inputs!$B$4="pvp",MIN((Skills!Y15*(1+Inputs!$B$33/100)),15)/15,(Skills!Y15*(1+Inputs!$B$33/100))/Skills!D15)))/100))*B69*I47)</f>
        <v/>
      </c>
      <c r="L47">
        <f>K47*(MIN(Inputs!$B$21+((C58=TRUE)*(F58-Calc!F24)),Inputs!$B$22+((C63=TRUE)*(F63-Calc!F29)))/100+(Inputs!$B$22+((C63=TRUE)*(F63-Calc!F29)))/100)/2</f>
        <v/>
      </c>
      <c r="M47">
        <f>L47*(1+(Inputs!$B$9+((C60=TRUE)*(F60-Calc!F26))+B74)/100)</f>
        <v/>
      </c>
      <c r="N47">
        <f>L47*(1-MIN((Inputs!$B$8+((C59=TRUE)*(F59-Calc!F25))+B67),100)/100)+M47*(MIN((Inputs!$B$8+((C59=TRUE)*(F59-Calc!F25))+B67),100)/100)</f>
        <v/>
      </c>
      <c r="O47">
        <f>IF(C47,H47*N47*IF(AND(Inputs!$B$4&lt;&gt;"pvp",Inputs!$B$35&gt;0),((Skills!G13*((R47-1)*IF(Skills!H13&gt;0,Skills!I13/Skills!H13,1)+IF(Skills!H13&gt;0,MIN(Skills!I13,MAX(0,Inputs!$B$35-((R47-1)*IF(Inputs!$B$4="pvp",15,MAX(0.1,Skills!D13-IF(Skills!E13=TRUE,Inputs!$B$31,0))))))/Skills!H13,1)))/Inputs!$B$35),G47*Q47)*IF(Inputs!$B$4="pvp",1,(1-Summary!$B$55)*(1)+Summary!$B$55*(MIN(Skills!W13,Inputs!$B$37))),0)</f>
        <v/>
      </c>
      <c r="P47">
        <f>IF(B79=0,0,O47/B79)</f>
        <v/>
      </c>
      <c r="Q47">
        <f>IFERROR(1/IF(Inputs!$B$4="pvp",15,MAX(0.1,Skills!D13-IF(Skills!E13=TRUE,Inputs!$B$31,0))),0)</f>
        <v/>
      </c>
      <c r="R47">
        <f>IF(AND(Inputs!$B$4&lt;&gt;"pvp",Inputs!$B$35&gt;0),(INT(Inputs!$B$35/IF(Inputs!$B$4="pvp",15,MAX(0.1,Skills!D13-IF(Skills!E13=TRUE,Inputs!$B$31,0))))+1),0)</f>
        <v/>
      </c>
      <c r="S47">
        <f>IFERROR(O47/N47,0)</f>
        <v/>
      </c>
    </row>
    <row r="48">
      <c r="A48">
        <f>Skills!A14</f>
        <v/>
      </c>
      <c r="B48">
        <f>Skills!B14</f>
        <v/>
      </c>
      <c r="C48">
        <f>Inputs!$B$3&gt;=107</f>
        <v/>
      </c>
      <c r="D48">
        <f>IF(Skills!C14=1,60+Inputs!$B$24+Inputs!$B$28,IF(Skills!C14=2,90+Inputs!$B$25+Inputs!$B$28,IF(Skills!C14=3,120+Inputs!$B$26+Inputs!$B$28,MAX(0,(Inputs!$B$3-100)*3)+Inputs!$B$27+Inputs!$B$28)))</f>
        <v/>
      </c>
      <c r="E48">
        <f>INDEX(FactorTable!$B$2:$Y$301, MATCH(ROUND(MIN(300,MAX(1,D48)),0), FactorTable!$A$2:$A$301,0), Skills!M14+1)</f>
        <v/>
      </c>
      <c r="F48">
        <f>IF(Skills!N14=TRUE,(Skills!L14/10)*(E48/1000),Skills!L14/10)+Skills!O14</f>
        <v/>
      </c>
      <c r="G48">
        <f>Skills!G14*IF(Skills!H14&gt;0,Skills!I14/Skills!H14,1)</f>
        <v/>
      </c>
      <c r="H48">
        <f>1-(1-Skills!J14/100)^Skills!K14</f>
        <v/>
      </c>
      <c r="I48" t="inlineStr">
        <is>
          <t>1</t>
        </is>
      </c>
      <c r="J48">
        <f>(Inputs!$B$5*(1+Inputs!$B$6/100))*(F48/100)</f>
        <v/>
      </c>
      <c r="K48">
        <f>J48*(1+(((Inputs!$B$11+1)*(1+Inputs!$B$12/100))*0.01+Inputs!$B$13*0.0025)/100)*(1+Inputs!$B$14/100)*(1+IF(Inputs!$B$4="pvp",0,(1-Summary!$B$55)*(Inputs!$B$19+0+Skills!P14+B68)+Summary!$B$55*(Inputs!$B$20+Skills!Q14+B68))/100)*(1+Inputs!$B$15/100)*(5000/(6000+Inputs!$B$7*(1-Inputs!$B$18/100)))*(1+(Inputs!$B$23+((C64=TRUE)*(F64-Calc!F30)))/100)*(1+(IF(Skills!A14="CRUEL_STAB",Inputs!$B$16+((C61=TRUE)*(F61-Calc!F27)),Inputs!$B$17+((C62=TRUE)*(F62-Calc!F28))))/100)*(((1+(((C55=TRUE)*F55*IF(AND(Inputs!$B$4&lt;&gt;"pvp",Inputs!$B$35&gt;0),(((S55-1)*(Skills!Y21*(1+Inputs!$B$33/100))+MIN((Skills!Y21*(1+Inputs!$B$33/100)),MAX(0,Inputs!$B$35-((S55-1)*Skills!D21))))/Inputs!$B$35),IF(Inputs!$B$4="pvp",MIN((Skills!Y21*(1+Inputs!$B$33/100)),15)/15,(Skills!Y21*(1+Inputs!$B$33/100))/Skills!D21)))+((C57=TRUE)*(F57-Calc!F23))+((C51=TRUE)*(F51-Calc!F17)))/100)*(1+((C44=TRUE)*F44*IF(AND(Inputs!$B$4&lt;&gt;"pvp",Inputs!$B$35&gt;0),(((S44-1)*(Skills!Y10*(1+Inputs!$B$33/100))+MIN((Skills!Y10*(1+Inputs!$B$33/100)),MAX(0,Inputs!$B$35-((S44-1)*Skills!D10))))/Inputs!$B$35),IF(Inputs!$B$4="pvp",MIN((Skills!Y10*(1+Inputs!$B$33/100)),15)/15,(Skills!Y10*(1+Inputs!$B$33/100))/Skills!D10)))/100)*(1+((C49=TRUE)*F49*IF(AND(Inputs!$B$4&lt;&gt;"pvp",Inputs!$B$35&gt;0),(((S49-1)*(Skills!Y15*(1+Inputs!$B$33/100))+MIN((Skills!Y15*(1+Inputs!$B$33/100)),MAX(0,Inputs!$B$35-((S49-1)*Skills!D15))))/Inputs!$B$35),IF(Inputs!$B$4="pvp",MIN((Skills!Y15*(1+Inputs!$B$33/100)),15)/15,(Skills!Y15*(1+Inputs!$B$33/100))/Skills!D15)))/100))*B69*I48)</f>
        <v/>
      </c>
      <c r="L48">
        <f>K48*(MIN(Inputs!$B$21+((C58=TRUE)*(F58-Calc!F24)),Inputs!$B$22+((C63=TRUE)*(F63-Calc!F29)))/100+(Inputs!$B$22+((C63=TRUE)*(F63-Calc!F29)))/100)/2</f>
        <v/>
      </c>
      <c r="M48">
        <f>L48*(1+(Inputs!$B$9+((C60=TRUE)*(F60-Calc!F26))+B74)/100)</f>
        <v/>
      </c>
      <c r="N48">
        <f>L48*(1-MIN((Inputs!$B$8+((C59=TRUE)*(F59-Calc!F25))+B67),100)/100)+M48*(MIN((Inputs!$B$8+((C59=TRUE)*(F59-Calc!F25))+B67),100)/100)</f>
        <v/>
      </c>
      <c r="O48">
        <f>IF(C48,H48*N48*IF(AND(Inputs!$B$4&lt;&gt;"pvp",Inputs!$B$35&gt;0),((Skills!G14*((R48-1)*IF(Skills!H14&gt;0,Skills!I14/Skills!H14,1)+IF(Skills!H14&gt;0,MIN(Skills!I14,MAX(0,Inputs!$B$35-((R48-1)*IF(Inputs!$B$4="pvp",15,MAX(0.1,Skills!D14-IF(Skills!E14=TRUE,Inputs!$B$31,0))))))/Skills!H14,1)))/Inputs!$B$35),G48*Q48)*IF(Inputs!$B$4="pvp",1,(1-Summary!$B$55)*(1)+Summary!$B$55*(MIN(MIN(5,0.25*B71*Skills!D4)*Skills!V14,Inputs!$B$37))),0)</f>
        <v/>
      </c>
      <c r="P48">
        <f>IF(B79=0,0,O48/B79)</f>
        <v/>
      </c>
      <c r="Q48">
        <f>IFERROR(1/IF(Inputs!$B$4="pvp",15,MAX(0.1,Skills!D14-IF(Skills!E14=TRUE,Inputs!$B$31,0))),0)</f>
        <v/>
      </c>
      <c r="R48">
        <f>IF(AND(Inputs!$B$4&lt;&gt;"pvp",Inputs!$B$35&gt;0),(INT(Inputs!$B$35/IF(Inputs!$B$4="pvp",15,MAX(0.1,Skills!D14-IF(Skills!E14=TRUE,Inputs!$B$31,0))))+1),0)</f>
        <v/>
      </c>
      <c r="S48">
        <f>IFERROR(O48/N48,0)</f>
        <v/>
      </c>
    </row>
    <row r="49">
      <c r="A49">
        <f>Skills!A15</f>
        <v/>
      </c>
      <c r="B49">
        <f>Skills!B15</f>
        <v/>
      </c>
      <c r="C49">
        <f>Inputs!$B$3&gt;=110</f>
        <v/>
      </c>
      <c r="D49">
        <f>IF(Skills!C15=1,60+Inputs!$B$24+Inputs!$B$28,IF(Skills!C15=2,90+Inputs!$B$25+Inputs!$B$28,IF(Skills!C15=3,120+Inputs!$B$26+Inputs!$B$28,MAX(0,(Inputs!$B$3-100)*3)+Inputs!$B$27+Inputs!$B$28)))</f>
        <v/>
      </c>
      <c r="E49">
        <f>INDEX(FactorTable!$B$2:$Y$301, MATCH(ROUND(MIN(300,MAX(1,D49)),0), FactorTable!$A$2:$A$301,0), Skills!M15+1)</f>
        <v/>
      </c>
      <c r="F49">
        <f>IF(Skills!N15=TRUE,(Skills!L15/10)*(E49/1000),Skills!L15/10)+Skills!O15</f>
        <v/>
      </c>
      <c r="G49">
        <f>Skills!G15*IF(Skills!H15&gt;0,Skills!I15/Skills!H15,1)</f>
        <v/>
      </c>
      <c r="H49">
        <f>1-(1-Skills!J15/100)^Skills!K15</f>
        <v/>
      </c>
      <c r="I49" t="inlineStr">
        <is>
          <t>1</t>
        </is>
      </c>
      <c r="J49" t="inlineStr"/>
      <c r="K49" t="inlineStr"/>
      <c r="L49" t="inlineStr"/>
      <c r="M49" t="inlineStr"/>
      <c r="N49" t="inlineStr"/>
      <c r="O49" t="n">
        <v>0</v>
      </c>
      <c r="P49">
        <f>IF(B79=0,0,O49/B79)</f>
        <v/>
      </c>
      <c r="Q49">
        <f>IFERROR(1/IF(Inputs!$B$4="pvp",15,MAX(0.1,Skills!D15-IF(Skills!E15=TRUE,Inputs!$B$31,0))),0)</f>
        <v/>
      </c>
      <c r="R49">
        <f>IF(AND(Inputs!$B$4&lt;&gt;"pvp",Inputs!$B$35&gt;0),(INT(Inputs!$B$35/IF(Inputs!$B$4="pvp",15,MAX(0.1,Skills!D15-IF(Skills!E15=TRUE,Inputs!$B$31,0))))+1),0)</f>
        <v/>
      </c>
      <c r="S49">
        <f>IFERROR(O49/N49,0)</f>
        <v/>
      </c>
    </row>
    <row r="50">
      <c r="A50">
        <f>Skills!A16</f>
        <v/>
      </c>
      <c r="B50">
        <f>Skills!B16</f>
        <v/>
      </c>
      <c r="C50">
        <f>Inputs!$B$3&gt;=115</f>
        <v/>
      </c>
      <c r="D50">
        <f>IF(Skills!C16=1,60+Inputs!$B$24+Inputs!$B$28,IF(Skills!C16=2,90+Inputs!$B$25+Inputs!$B$28,IF(Skills!C16=3,120+Inputs!$B$26+Inputs!$B$28,MAX(0,(Inputs!$B$3-100)*3)+Inputs!$B$27+Inputs!$B$28)))</f>
        <v/>
      </c>
      <c r="E50">
        <f>INDEX(FactorTable!$B$2:$Y$301, MATCH(ROUND(MIN(300,MAX(1,D50)),0), FactorTable!$A$2:$A$301,0), Skills!M16+1)</f>
        <v/>
      </c>
      <c r="F50">
        <f>IF(Skills!N16=TRUE,(Skills!L16/10)*(E50/1000),Skills!L16/10)+Skills!O16</f>
        <v/>
      </c>
      <c r="G50">
        <f>Skills!G16*IF(Skills!H16&gt;0,Skills!I16/Skills!H16,1)</f>
        <v/>
      </c>
      <c r="H50">
        <f>1-(1-Skills!J16/100)^Skills!K16</f>
        <v/>
      </c>
      <c r="I50" t="inlineStr">
        <is>
          <t>1</t>
        </is>
      </c>
      <c r="J50">
        <f>(Inputs!$B$5*(1+Inputs!$B$6/100))*(F50/100)</f>
        <v/>
      </c>
      <c r="K50">
        <f>J50*(1+(((Inputs!$B$11+1)*(1+Inputs!$B$12/100))*0.01+Inputs!$B$13*0.0025)/100)*(1+Inputs!$B$14/100)*(1+IF(Inputs!$B$4="pvp",0,(1-Summary!$B$55)*(Inputs!$B$19+0+Skills!P16+B68)+Summary!$B$55*(Inputs!$B$20+Skills!Q16+B68))/100)*(1+Inputs!$B$15/100)*(5000/(6000+Inputs!$B$7*(1-Inputs!$B$18/100)))*(1+(Inputs!$B$23+((C64=TRUE)*(F64-Calc!F30)))/100)*(1+(IF(Skills!A16="CRUEL_STAB",Inputs!$B$16+((C61=TRUE)*(F61-Calc!F27)),Inputs!$B$17+((C62=TRUE)*(F62-Calc!F28))))/100)*(((1+(((C55=TRUE)*F55*IF(AND(Inputs!$B$4&lt;&gt;"pvp",Inputs!$B$35&gt;0),(((S55-1)*(Skills!Y21*(1+Inputs!$B$33/100))+MIN((Skills!Y21*(1+Inputs!$B$33/100)),MAX(0,Inputs!$B$35-((S55-1)*Skills!D21))))/Inputs!$B$35),IF(Inputs!$B$4="pvp",MIN((Skills!Y21*(1+Inputs!$B$33/100)),15)/15,(Skills!Y21*(1+Inputs!$B$33/100))/Skills!D21)))+((C57=TRUE)*(F57-Calc!F23))+((C51=TRUE)*(F51-Calc!F17)))/100)*(1+((C44=TRUE)*F44*IF(AND(Inputs!$B$4&lt;&gt;"pvp",Inputs!$B$35&gt;0),(((S44-1)*(Skills!Y10*(1+Inputs!$B$33/100))+MIN((Skills!Y10*(1+Inputs!$B$33/100)),MAX(0,Inputs!$B$35-((S44-1)*Skills!D10))))/Inputs!$B$35),IF(Inputs!$B$4="pvp",MIN((Skills!Y10*(1+Inputs!$B$33/100)),15)/15,(Skills!Y10*(1+Inputs!$B$33/100))/Skills!D10)))/100)*(1+((C49=TRUE)*F49*IF(AND(Inputs!$B$4&lt;&gt;"pvp",Inputs!$B$35&gt;0),(((S49-1)*(Skills!Y15*(1+Inputs!$B$33/100))+MIN((Skills!Y15*(1+Inputs!$B$33/100)),MAX(0,Inputs!$B$35-((S49-1)*Skills!D15))))/Inputs!$B$35),IF(Inputs!$B$4="pvp",MIN((Skills!Y15*(1+Inputs!$B$33/100)),15)/15,(Skills!Y15*(1+Inputs!$B$33/100))/Skills!D15)))/100))*B69*I50)</f>
        <v/>
      </c>
      <c r="L50">
        <f>K50*(MIN(Inputs!$B$21+((C58=TRUE)*(F58-Calc!F24)),Inputs!$B$22+((C63=TRUE)*(F63-Calc!F29)))/100+(Inputs!$B$22+((C63=TRUE)*(F63-Calc!F29)))/100)/2</f>
        <v/>
      </c>
      <c r="M50">
        <f>L50*(1+(Inputs!$B$9+((C60=TRUE)*(F60-Calc!F26))+B74)/100)</f>
        <v/>
      </c>
      <c r="N50">
        <f>L50*(1-MIN((Inputs!$B$8+((C59=TRUE)*(F59-Calc!F25))+B67),100)/100)+M50*(MIN((Inputs!$B$8+((C59=TRUE)*(F59-Calc!F25))+B67),100)/100)</f>
        <v/>
      </c>
      <c r="O50">
        <f>IF(C50,Inputs!$B$38*0.2*N50,0)</f>
        <v/>
      </c>
      <c r="P50">
        <f>IF(B79=0,0,O50/B79)</f>
        <v/>
      </c>
      <c r="Q50" t="n">
        <v>0</v>
      </c>
      <c r="R50" t="n">
        <v>0</v>
      </c>
      <c r="S50">
        <f>IFERROR(O50/N50,0)</f>
        <v/>
      </c>
    </row>
    <row r="51">
      <c r="A51">
        <f>Skills!A17</f>
        <v/>
      </c>
      <c r="B51">
        <f>Skills!B17</f>
        <v/>
      </c>
      <c r="C51">
        <f>Inputs!$B$3&gt;=115</f>
        <v/>
      </c>
      <c r="D51">
        <f>IF(Skills!C17=1,60+Inputs!$B$24+Inputs!$B$28,IF(Skills!C17=2,90+Inputs!$B$25+Inputs!$B$28,IF(Skills!C17=3,120+Inputs!$B$26+Inputs!$B$28,MAX(0,(Inputs!$B$3-100)*3)+Inputs!$B$27+Inputs!$B$28)))</f>
        <v/>
      </c>
      <c r="E51">
        <f>INDEX(FactorTable!$B$2:$Y$301, MATCH(ROUND(MIN(300,MAX(1,D51)),0), FactorTable!$A$2:$A$301,0), Skills!M17+1)</f>
        <v/>
      </c>
      <c r="F51">
        <f>IF(Skills!N17=TRUE,(Skills!L17/10)*(E51/1000),Skills!L17/10)+Skills!O17</f>
        <v/>
      </c>
      <c r="G51">
        <f>Skills!G17*IF(Skills!H17&gt;0,Skills!I17/Skills!H17,1)</f>
        <v/>
      </c>
      <c r="H51">
        <f>1-(1-Skills!J17/100)^Skills!K17</f>
        <v/>
      </c>
      <c r="I51" t="inlineStr">
        <is>
          <t>1</t>
        </is>
      </c>
      <c r="J51" t="inlineStr"/>
      <c r="K51" t="inlineStr"/>
      <c r="L51" t="inlineStr"/>
      <c r="M51" t="inlineStr"/>
      <c r="N51" t="inlineStr"/>
      <c r="O51" t="n">
        <v>0</v>
      </c>
      <c r="P51">
        <f>IF(B79=0,0,O51/B79)</f>
        <v/>
      </c>
      <c r="Q51" t="n">
        <v>0</v>
      </c>
      <c r="R51" t="n">
        <v>0</v>
      </c>
      <c r="S51">
        <f>IFERROR(O51/N51,0)</f>
        <v/>
      </c>
    </row>
    <row r="52">
      <c r="A52">
        <f>Skills!A18</f>
        <v/>
      </c>
      <c r="B52">
        <f>Skills!B18</f>
        <v/>
      </c>
      <c r="C52">
        <f>Inputs!$B$3&gt;=100</f>
        <v/>
      </c>
      <c r="D52">
        <f>IF(Skills!C18=1,60+Inputs!$B$24+Inputs!$B$28,IF(Skills!C18=2,90+Inputs!$B$25+Inputs!$B$28,IF(Skills!C18=3,120+Inputs!$B$26+Inputs!$B$28,MAX(0,(Inputs!$B$3-100)*3)+Inputs!$B$27+Inputs!$B$28)))</f>
        <v/>
      </c>
      <c r="E52">
        <f>INDEX(FactorTable!$B$2:$Y$301, MATCH(ROUND(MIN(300,MAX(1,D52)),0), FactorTable!$A$2:$A$301,0), Skills!M18+1)</f>
        <v/>
      </c>
      <c r="F52">
        <f>IF(Skills!N18=TRUE,(Skills!L18/10)*(E52/1000),Skills!L18/10)+Skills!O18</f>
        <v/>
      </c>
      <c r="G52">
        <f>Skills!G18*IF(Skills!H18&gt;0,Skills!I18/Skills!H18,1)</f>
        <v/>
      </c>
      <c r="H52">
        <f>1-(1-Skills!J18/100)^Skills!K18</f>
        <v/>
      </c>
      <c r="I52" t="inlineStr">
        <is>
          <t>1</t>
        </is>
      </c>
      <c r="J52" t="inlineStr"/>
      <c r="K52" t="inlineStr"/>
      <c r="L52" t="inlineStr"/>
      <c r="M52" t="inlineStr"/>
      <c r="N52" t="inlineStr"/>
      <c r="O52" t="n">
        <v>0</v>
      </c>
      <c r="P52">
        <f>IF(B79=0,0,O52/B79)</f>
        <v/>
      </c>
      <c r="Q52" t="n">
        <v>0</v>
      </c>
      <c r="R52" t="n">
        <v>0</v>
      </c>
      <c r="S52">
        <f>IFERROR(O52/N52,0)</f>
        <v/>
      </c>
    </row>
    <row r="53">
      <c r="A53">
        <f>Skills!A19</f>
        <v/>
      </c>
      <c r="B53">
        <f>Skills!B19</f>
        <v/>
      </c>
      <c r="C53">
        <f>TRUE</f>
        <v/>
      </c>
      <c r="D53">
        <f>IF(Skills!C19=1,60+Inputs!$B$24+Inputs!$B$28,IF(Skills!C19=2,90+Inputs!$B$25+Inputs!$B$28,IF(Skills!C19=3,120+Inputs!$B$26+Inputs!$B$28,MAX(0,(Inputs!$B$3-100)*3)+Inputs!$B$27+Inputs!$B$28)))</f>
        <v/>
      </c>
      <c r="E53">
        <f>INDEX(FactorTable!$B$2:$Y$301, MATCH(ROUND(MIN(300,MAX(1,D53)),0), FactorTable!$A$2:$A$301,0), Skills!M19+1)</f>
        <v/>
      </c>
      <c r="F53">
        <f>IF(Skills!N19=TRUE,(Skills!L19/10)*(E53/1000),Skills!L19/10)+Skills!O19</f>
        <v/>
      </c>
      <c r="G53">
        <f>Skills!G19*IF(Skills!H19&gt;0,Skills!I19/Skills!H19,1)</f>
        <v/>
      </c>
      <c r="H53">
        <f>1-(1-Skills!J19/100)^Skills!K19</f>
        <v/>
      </c>
      <c r="I53" t="inlineStr">
        <is>
          <t>1</t>
        </is>
      </c>
      <c r="J53" t="inlineStr"/>
      <c r="K53" t="inlineStr"/>
      <c r="L53" t="inlineStr"/>
      <c r="M53" t="inlineStr"/>
      <c r="N53" t="inlineStr"/>
      <c r="O53" t="n">
        <v>0</v>
      </c>
      <c r="P53">
        <f>IF(B79=0,0,O53/B79)</f>
        <v/>
      </c>
      <c r="Q53">
        <f>IFERROR(1/IF(Inputs!$B$4="pvp",15,MAX(0.1,Skills!D19-IF(Skills!E19=TRUE,Inputs!$B$31,0))),0)</f>
        <v/>
      </c>
      <c r="R53">
        <f>IF(AND(Inputs!$B$4&lt;&gt;"pvp",Inputs!$B$35&gt;0),(INT(Inputs!$B$35/IF(Inputs!$B$4="pvp",15,MAX(0.1,Skills!D19-IF(Skills!E19=TRUE,Inputs!$B$31,0))))+1),0)</f>
        <v/>
      </c>
      <c r="S53">
        <f>IFERROR(O53/N53,0)</f>
        <v/>
      </c>
    </row>
    <row r="54">
      <c r="A54">
        <f>Skills!A20</f>
        <v/>
      </c>
      <c r="B54">
        <f>Skills!B20</f>
        <v/>
      </c>
      <c r="C54">
        <f>Inputs!$B$3&gt;=15</f>
        <v/>
      </c>
      <c r="D54">
        <f>IF(Skills!C20=1,60+Inputs!$B$24+Inputs!$B$28,IF(Skills!C20=2,90+Inputs!$B$25+Inputs!$B$28,IF(Skills!C20=3,120+Inputs!$B$26+Inputs!$B$28,MAX(0,(Inputs!$B$3-100)*3)+Inputs!$B$27+Inputs!$B$28)))</f>
        <v/>
      </c>
      <c r="E54">
        <f>INDEX(FactorTable!$B$2:$Y$301, MATCH(ROUND(MIN(300,MAX(1,D54)),0), FactorTable!$A$2:$A$301,0), Skills!M20+1)</f>
        <v/>
      </c>
      <c r="F54">
        <f>IF(Skills!N20=TRUE,(Skills!L20/10)*(E54/1000),Skills!L20/10)+Skills!O20</f>
        <v/>
      </c>
      <c r="G54">
        <f>Skills!G20*IF(Skills!H20&gt;0,Skills!I20/Skills!H20,1)</f>
        <v/>
      </c>
      <c r="H54">
        <f>1-(1-Skills!J20/100)^Skills!K20</f>
        <v/>
      </c>
      <c r="I54" t="inlineStr">
        <is>
          <t>1</t>
        </is>
      </c>
      <c r="J54" t="inlineStr"/>
      <c r="K54" t="inlineStr"/>
      <c r="L54" t="inlineStr"/>
      <c r="M54" t="inlineStr"/>
      <c r="N54" t="inlineStr"/>
      <c r="O54" t="n">
        <v>0</v>
      </c>
      <c r="P54">
        <f>IF(B79=0,0,O54/B79)</f>
        <v/>
      </c>
      <c r="Q54">
        <f>IFERROR(1/IF(Inputs!$B$4="pvp",15,MAX(0.1,Skills!D20-IF(Skills!E20=TRUE,Inputs!$B$31,0))),0)</f>
        <v/>
      </c>
      <c r="R54">
        <f>IF(AND(Inputs!$B$4&lt;&gt;"pvp",Inputs!$B$35&gt;0),(INT(Inputs!$B$35/IF(Inputs!$B$4="pvp",15,MAX(0.1,Skills!D20-IF(Skills!E20=TRUE,Inputs!$B$31,0))))+1),0)</f>
        <v/>
      </c>
      <c r="S54">
        <f>IFERROR(O54/N54,0)</f>
        <v/>
      </c>
    </row>
    <row r="55">
      <c r="A55">
        <f>Skills!A21</f>
        <v/>
      </c>
      <c r="B55">
        <f>Skills!B21</f>
        <v/>
      </c>
      <c r="C55">
        <f>Inputs!$B$3&gt;=15</f>
        <v/>
      </c>
      <c r="D55">
        <f>IF(Skills!C21=1,60+Inputs!$B$24+Inputs!$B$28,IF(Skills!C21=2,90+Inputs!$B$25+Inputs!$B$28,IF(Skills!C21=3,120+Inputs!$B$26+Inputs!$B$28,MAX(0,(Inputs!$B$3-100)*3)+Inputs!$B$27+Inputs!$B$28)))</f>
        <v/>
      </c>
      <c r="E55">
        <f>INDEX(FactorTable!$B$2:$Y$301, MATCH(ROUND(MIN(300,MAX(1,D55)),0), FactorTable!$A$2:$A$301,0), Skills!M21+1)</f>
        <v/>
      </c>
      <c r="F55">
        <f>IF(Skills!N21=TRUE,(Skills!L21/10)*(E55/1000),Skills!L21/10)+Skills!O21</f>
        <v/>
      </c>
      <c r="G55">
        <f>Skills!G21*IF(Skills!H21&gt;0,Skills!I21/Skills!H21,1)</f>
        <v/>
      </c>
      <c r="H55">
        <f>1-(1-Skills!J21/100)^Skills!K21</f>
        <v/>
      </c>
      <c r="I55" t="inlineStr">
        <is>
          <t>1</t>
        </is>
      </c>
      <c r="J55" t="inlineStr"/>
      <c r="K55" t="inlineStr"/>
      <c r="L55" t="inlineStr"/>
      <c r="M55" t="inlineStr"/>
      <c r="N55" t="inlineStr"/>
      <c r="O55" t="n">
        <v>0</v>
      </c>
      <c r="P55">
        <f>IF(B79=0,0,O55/B79)</f>
        <v/>
      </c>
      <c r="Q55">
        <f>IFERROR(1/IF(Inputs!$B$4="pvp",15,MAX(0.1,Skills!D21-IF(Skills!E21=TRUE,Inputs!$B$31,0))),0)</f>
        <v/>
      </c>
      <c r="R55">
        <f>IF(AND(Inputs!$B$4&lt;&gt;"pvp",Inputs!$B$35&gt;0),(INT(Inputs!$B$35/IF(Inputs!$B$4="pvp",15,MAX(0.1,Skills!D21-IF(Skills!E21=TRUE,Inputs!$B$31,0))))+1),0)</f>
        <v/>
      </c>
      <c r="S55">
        <f>IFERROR(O55/N55,0)</f>
        <v/>
      </c>
    </row>
    <row r="56">
      <c r="A56">
        <f>Skills!A22</f>
        <v/>
      </c>
      <c r="B56">
        <f>Skills!B22</f>
        <v/>
      </c>
      <c r="C56">
        <f>Inputs!$B$3&gt;=33</f>
        <v/>
      </c>
      <c r="D56">
        <f>IF(Skills!C22=1,60+Inputs!$B$24+Inputs!$B$28,IF(Skills!C22=2,90+Inputs!$B$25+Inputs!$B$28,IF(Skills!C22=3,120+Inputs!$B$26+Inputs!$B$28,MAX(0,(Inputs!$B$3-100)*3)+Inputs!$B$27+Inputs!$B$28)))</f>
        <v/>
      </c>
      <c r="E56">
        <f>INDEX(FactorTable!$B$2:$Y$301, MATCH(ROUND(MIN(300,MAX(1,D56)),0), FactorTable!$A$2:$A$301,0), Skills!M22+1)</f>
        <v/>
      </c>
      <c r="F56">
        <f>IF(Skills!N22=TRUE,(Skills!L22/10)*(E56/1000),Skills!L22/10)+Skills!O22</f>
        <v/>
      </c>
      <c r="G56">
        <f>Skills!G22*IF(Skills!H22&gt;0,Skills!I22/Skills!H22,1)</f>
        <v/>
      </c>
      <c r="H56">
        <f>1-(1-Skills!J22/100)^Skills!K22</f>
        <v/>
      </c>
      <c r="I56" t="inlineStr">
        <is>
          <t>1</t>
        </is>
      </c>
      <c r="J56" t="inlineStr"/>
      <c r="K56" t="inlineStr"/>
      <c r="L56" t="inlineStr"/>
      <c r="M56" t="inlineStr"/>
      <c r="N56" t="inlineStr"/>
      <c r="O56" t="n">
        <v>0</v>
      </c>
      <c r="P56">
        <f>IF(B79=0,0,O56/B79)</f>
        <v/>
      </c>
      <c r="Q56" t="n">
        <v>0</v>
      </c>
      <c r="R56" t="n">
        <v>0</v>
      </c>
      <c r="S56">
        <f>IFERROR(O56/N56,0)</f>
        <v/>
      </c>
    </row>
    <row r="57">
      <c r="A57">
        <f>Skills!A23</f>
        <v/>
      </c>
      <c r="B57">
        <f>Skills!B23</f>
        <v/>
      </c>
      <c r="C57">
        <f>Inputs!$B$3&gt;=40</f>
        <v/>
      </c>
      <c r="D57">
        <f>IF(Skills!C23=1,60+Inputs!$B$24+Inputs!$B$28,IF(Skills!C23=2,90+Inputs!$B$25+Inputs!$B$28,IF(Skills!C23=3,120+Inputs!$B$26+Inputs!$B$28,MAX(0,(Inputs!$B$3-100)*3)+Inputs!$B$27+Inputs!$B$28)))</f>
        <v/>
      </c>
      <c r="E57">
        <f>INDEX(FactorTable!$B$2:$Y$301, MATCH(ROUND(MIN(300,MAX(1,D57)),0), FactorTable!$A$2:$A$301,0), Skills!M23+1)</f>
        <v/>
      </c>
      <c r="F57">
        <f>IF(Skills!N23=TRUE,(Skills!L23/10)*(E57/1000),Skills!L23/10)+Skills!O23</f>
        <v/>
      </c>
      <c r="G57">
        <f>Skills!G23*IF(Skills!H23&gt;0,Skills!I23/Skills!H23,1)</f>
        <v/>
      </c>
      <c r="H57">
        <f>1-(1-Skills!J23/100)^Skills!K23</f>
        <v/>
      </c>
      <c r="I57" t="inlineStr">
        <is>
          <t>1</t>
        </is>
      </c>
      <c r="J57" t="inlineStr"/>
      <c r="K57" t="inlineStr"/>
      <c r="L57" t="inlineStr"/>
      <c r="M57" t="inlineStr"/>
      <c r="N57" t="inlineStr"/>
      <c r="O57" t="n">
        <v>0</v>
      </c>
      <c r="P57">
        <f>IF(B79=0,0,O57/B79)</f>
        <v/>
      </c>
      <c r="Q57" t="n">
        <v>0</v>
      </c>
      <c r="R57" t="n">
        <v>0</v>
      </c>
      <c r="S57">
        <f>IFERROR(O57/N57,0)</f>
        <v/>
      </c>
    </row>
    <row r="58">
      <c r="A58">
        <f>Skills!A24</f>
        <v/>
      </c>
      <c r="B58">
        <f>Skills!B24</f>
        <v/>
      </c>
      <c r="C58">
        <f>Inputs!$B$3&gt;=43</f>
        <v/>
      </c>
      <c r="D58">
        <f>IF(Skills!C24=1,60+Inputs!$B$24+Inputs!$B$28,IF(Skills!C24=2,90+Inputs!$B$25+Inputs!$B$28,IF(Skills!C24=3,120+Inputs!$B$26+Inputs!$B$28,MAX(0,(Inputs!$B$3-100)*3)+Inputs!$B$27+Inputs!$B$28)))</f>
        <v/>
      </c>
      <c r="E58">
        <f>INDEX(FactorTable!$B$2:$Y$301, MATCH(ROUND(MIN(300,MAX(1,D58)),0), FactorTable!$A$2:$A$301,0), Skills!M24+1)</f>
        <v/>
      </c>
      <c r="F58">
        <f>IF(Skills!N24=TRUE,(Skills!L24/10)*(E58/1000),Skills!L24/10)+Skills!O24</f>
        <v/>
      </c>
      <c r="G58">
        <f>Skills!G24*IF(Skills!H24&gt;0,Skills!I24/Skills!H24,1)</f>
        <v/>
      </c>
      <c r="H58">
        <f>1-(1-Skills!J24/100)^Skills!K24</f>
        <v/>
      </c>
      <c r="I58" t="inlineStr">
        <is>
          <t>1</t>
        </is>
      </c>
      <c r="J58" t="inlineStr"/>
      <c r="K58" t="inlineStr"/>
      <c r="L58" t="inlineStr"/>
      <c r="M58" t="inlineStr"/>
      <c r="N58" t="inlineStr"/>
      <c r="O58" t="n">
        <v>0</v>
      </c>
      <c r="P58">
        <f>IF(B79=0,0,O58/B79)</f>
        <v/>
      </c>
      <c r="Q58" t="n">
        <v>0</v>
      </c>
      <c r="R58" t="n">
        <v>0</v>
      </c>
      <c r="S58">
        <f>IFERROR(O58/N58,0)</f>
        <v/>
      </c>
    </row>
    <row r="59">
      <c r="A59">
        <f>Skills!A25</f>
        <v/>
      </c>
      <c r="B59">
        <f>Skills!B25</f>
        <v/>
      </c>
      <c r="C59">
        <f>Inputs!$B$3&gt;=50</f>
        <v/>
      </c>
      <c r="D59">
        <f>IF(Skills!C25=1,60+Inputs!$B$24+Inputs!$B$28,IF(Skills!C25=2,90+Inputs!$B$25+Inputs!$B$28,IF(Skills!C25=3,120+Inputs!$B$26+Inputs!$B$28,MAX(0,(Inputs!$B$3-100)*3)+Inputs!$B$27+Inputs!$B$28)))</f>
        <v/>
      </c>
      <c r="E59">
        <f>INDEX(FactorTable!$B$2:$Y$301, MATCH(ROUND(MIN(300,MAX(1,D59)),0), FactorTable!$A$2:$A$301,0), Skills!M25+1)</f>
        <v/>
      </c>
      <c r="F59">
        <f>IF(Skills!N25=TRUE,(Skills!L25/10)*(E59/1000),Skills!L25/10)+Skills!O25</f>
        <v/>
      </c>
      <c r="G59">
        <f>Skills!G25*IF(Skills!H25&gt;0,Skills!I25/Skills!H25,1)</f>
        <v/>
      </c>
      <c r="H59">
        <f>1-(1-Skills!J25/100)^Skills!K25</f>
        <v/>
      </c>
      <c r="I59" t="inlineStr">
        <is>
          <t>1</t>
        </is>
      </c>
      <c r="J59" t="inlineStr"/>
      <c r="K59" t="inlineStr"/>
      <c r="L59" t="inlineStr"/>
      <c r="M59" t="inlineStr"/>
      <c r="N59" t="inlineStr"/>
      <c r="O59" t="n">
        <v>0</v>
      </c>
      <c r="P59">
        <f>IF(B79=0,0,O59/B79)</f>
        <v/>
      </c>
      <c r="Q59" t="n">
        <v>0</v>
      </c>
      <c r="R59" t="n">
        <v>0</v>
      </c>
      <c r="S59">
        <f>IFERROR(O59/N59,0)</f>
        <v/>
      </c>
    </row>
    <row r="60">
      <c r="A60">
        <f>Skills!A26</f>
        <v/>
      </c>
      <c r="B60">
        <f>Skills!B26</f>
        <v/>
      </c>
      <c r="C60">
        <f>Inputs!$B$3&gt;=50</f>
        <v/>
      </c>
      <c r="D60">
        <f>IF(Skills!C26=1,60+Inputs!$B$24+Inputs!$B$28,IF(Skills!C26=2,90+Inputs!$B$25+Inputs!$B$28,IF(Skills!C26=3,120+Inputs!$B$26+Inputs!$B$28,MAX(0,(Inputs!$B$3-100)*3)+Inputs!$B$27+Inputs!$B$28)))</f>
        <v/>
      </c>
      <c r="E60">
        <f>INDEX(FactorTable!$B$2:$Y$301, MATCH(ROUND(MIN(300,MAX(1,D60)),0), FactorTable!$A$2:$A$301,0), Skills!M26+1)</f>
        <v/>
      </c>
      <c r="F60">
        <f>IF(Skills!N26=TRUE,(Skills!L26/10)*(E60/1000),Skills!L26/10)+Skills!O26</f>
        <v/>
      </c>
      <c r="G60">
        <f>Skills!G26*IF(Skills!H26&gt;0,Skills!I26/Skills!H26,1)</f>
        <v/>
      </c>
      <c r="H60">
        <f>1-(1-Skills!J26/100)^Skills!K26</f>
        <v/>
      </c>
      <c r="I60" t="inlineStr">
        <is>
          <t>1</t>
        </is>
      </c>
      <c r="J60" t="inlineStr"/>
      <c r="K60" t="inlineStr"/>
      <c r="L60" t="inlineStr"/>
      <c r="M60" t="inlineStr"/>
      <c r="N60" t="inlineStr"/>
      <c r="O60" t="n">
        <v>0</v>
      </c>
      <c r="P60">
        <f>IF(B79=0,0,O60/B79)</f>
        <v/>
      </c>
      <c r="Q60" t="n">
        <v>0</v>
      </c>
      <c r="R60" t="n">
        <v>0</v>
      </c>
      <c r="S60">
        <f>IFERROR(O60/N60,0)</f>
        <v/>
      </c>
    </row>
    <row r="61">
      <c r="A61">
        <f>Skills!A27</f>
        <v/>
      </c>
      <c r="B61">
        <f>Skills!B27</f>
        <v/>
      </c>
      <c r="C61">
        <f>Inputs!$B$3&gt;=38</f>
        <v/>
      </c>
      <c r="D61">
        <f>IF(Skills!C27=1,60+Inputs!$B$24+Inputs!$B$28,IF(Skills!C27=2,90+Inputs!$B$25+Inputs!$B$28,IF(Skills!C27=3,120+Inputs!$B$26+Inputs!$B$28,MAX(0,(Inputs!$B$3-100)*3)+Inputs!$B$27+Inputs!$B$28)))</f>
        <v/>
      </c>
      <c r="E61">
        <f>INDEX(FactorTable!$B$2:$Y$301, MATCH(ROUND(MIN(300,MAX(1,D61)),0), FactorTable!$A$2:$A$301,0), Skills!M27+1)</f>
        <v/>
      </c>
      <c r="F61">
        <f>IF(Skills!N27=TRUE,(Skills!L27/10)*(E61/1000),Skills!L27/10)+Skills!O27</f>
        <v/>
      </c>
      <c r="G61">
        <f>Skills!G27*IF(Skills!H27&gt;0,Skills!I27/Skills!H27,1)</f>
        <v/>
      </c>
      <c r="H61">
        <f>1-(1-Skills!J27/100)^Skills!K27</f>
        <v/>
      </c>
      <c r="I61" t="inlineStr">
        <is>
          <t>1</t>
        </is>
      </c>
      <c r="J61" t="inlineStr"/>
      <c r="K61" t="inlineStr"/>
      <c r="L61" t="inlineStr"/>
      <c r="M61" t="inlineStr"/>
      <c r="N61" t="inlineStr"/>
      <c r="O61" t="n">
        <v>0</v>
      </c>
      <c r="P61">
        <f>IF(B79=0,0,O61/B79)</f>
        <v/>
      </c>
      <c r="Q61" t="n">
        <v>0</v>
      </c>
      <c r="R61" t="n">
        <v>0</v>
      </c>
      <c r="S61">
        <f>IFERROR(O61/N61,0)</f>
        <v/>
      </c>
    </row>
    <row r="62">
      <c r="A62">
        <f>Skills!A28</f>
        <v/>
      </c>
      <c r="B62">
        <f>Skills!B28</f>
        <v/>
      </c>
      <c r="C62">
        <f>Inputs!$B$3&gt;=120</f>
        <v/>
      </c>
      <c r="D62">
        <f>IF(Skills!C28=1,60+Inputs!$B$24+Inputs!$B$28,IF(Skills!C28=2,90+Inputs!$B$25+Inputs!$B$28,IF(Skills!C28=3,120+Inputs!$B$26+Inputs!$B$28,MAX(0,(Inputs!$B$3-100)*3)+Inputs!$B$27+Inputs!$B$28)))</f>
        <v/>
      </c>
      <c r="E62">
        <f>INDEX(FactorTable!$B$2:$Y$301, MATCH(ROUND(MIN(300,MAX(1,D62)),0), FactorTable!$A$2:$A$301,0), Skills!M28+1)</f>
        <v/>
      </c>
      <c r="F62">
        <f>IF(Skills!N28=TRUE,(Skills!L28/10)*(E62/1000),Skills!L28/10)+Skills!O28</f>
        <v/>
      </c>
      <c r="G62">
        <f>Skills!G28*IF(Skills!H28&gt;0,Skills!I28/Skills!H28,1)</f>
        <v/>
      </c>
      <c r="H62">
        <f>1-(1-Skills!J28/100)^Skills!K28</f>
        <v/>
      </c>
      <c r="I62" t="inlineStr">
        <is>
          <t>1</t>
        </is>
      </c>
      <c r="J62" t="inlineStr"/>
      <c r="K62" t="inlineStr"/>
      <c r="L62" t="inlineStr"/>
      <c r="M62" t="inlineStr"/>
      <c r="N62" t="inlineStr"/>
      <c r="O62" t="n">
        <v>0</v>
      </c>
      <c r="P62">
        <f>IF(B79=0,0,O62/B79)</f>
        <v/>
      </c>
      <c r="Q62" t="n">
        <v>0</v>
      </c>
      <c r="R62" t="n">
        <v>0</v>
      </c>
      <c r="S62">
        <f>IFERROR(O62/N62,0)</f>
        <v/>
      </c>
    </row>
    <row r="63">
      <c r="A63">
        <f>Skills!A29</f>
        <v/>
      </c>
      <c r="B63">
        <f>Skills!B29</f>
        <v/>
      </c>
      <c r="C63">
        <f>Inputs!$B$3&gt;=120</f>
        <v/>
      </c>
      <c r="D63">
        <f>IF(Skills!C29=1,60+Inputs!$B$24+Inputs!$B$28,IF(Skills!C29=2,90+Inputs!$B$25+Inputs!$B$28,IF(Skills!C29=3,120+Inputs!$B$26+Inputs!$B$28,MAX(0,(Inputs!$B$3-100)*3)+Inputs!$B$27+Inputs!$B$28)))</f>
        <v/>
      </c>
      <c r="E63">
        <f>INDEX(FactorTable!$B$2:$Y$301, MATCH(ROUND(MIN(300,MAX(1,D63)),0), FactorTable!$A$2:$A$301,0), Skills!M29+1)</f>
        <v/>
      </c>
      <c r="F63">
        <f>IF(Skills!N29=TRUE,(Skills!L29/10)*(E63/1000),Skills!L29/10)+Skills!O29</f>
        <v/>
      </c>
      <c r="G63">
        <f>Skills!G29*IF(Skills!H29&gt;0,Skills!I29/Skills!H29,1)</f>
        <v/>
      </c>
      <c r="H63">
        <f>1-(1-Skills!J29/100)^Skills!K29</f>
        <v/>
      </c>
      <c r="I63" t="inlineStr">
        <is>
          <t>1</t>
        </is>
      </c>
      <c r="J63" t="inlineStr"/>
      <c r="K63" t="inlineStr"/>
      <c r="L63" t="inlineStr"/>
      <c r="M63" t="inlineStr"/>
      <c r="N63" t="inlineStr"/>
      <c r="O63" t="n">
        <v>0</v>
      </c>
      <c r="P63">
        <f>IF(B79=0,0,O63/B79)</f>
        <v/>
      </c>
      <c r="Q63" t="n">
        <v>0</v>
      </c>
      <c r="R63" t="n">
        <v>0</v>
      </c>
      <c r="S63">
        <f>IFERROR(O63/N63,0)</f>
        <v/>
      </c>
    </row>
    <row r="64">
      <c r="A64">
        <f>Skills!A30</f>
        <v/>
      </c>
      <c r="B64">
        <f>Skills!B30</f>
        <v/>
      </c>
      <c r="C64">
        <f>Inputs!$B$3&gt;=125</f>
        <v/>
      </c>
      <c r="D64">
        <f>IF(Skills!C30=1,60+Inputs!$B$24+Inputs!$B$28,IF(Skills!C30=2,90+Inputs!$B$25+Inputs!$B$28,IF(Skills!C30=3,120+Inputs!$B$26+Inputs!$B$28,MAX(0,(Inputs!$B$3-100)*3)+Inputs!$B$27+Inputs!$B$28)))</f>
        <v/>
      </c>
      <c r="E64">
        <f>INDEX(FactorTable!$B$2:$Y$301, MATCH(ROUND(MIN(300,MAX(1,D64)),0), FactorTable!$A$2:$A$301,0), Skills!M30+1)</f>
        <v/>
      </c>
      <c r="F64">
        <f>IF(Skills!N30=TRUE,(Skills!L30/10)*(E64/1000),Skills!L30/10)+Skills!O30</f>
        <v/>
      </c>
      <c r="G64">
        <f>Skills!G30*IF(Skills!H30&gt;0,Skills!I30/Skills!H30,1)</f>
        <v/>
      </c>
      <c r="H64">
        <f>1-(1-Skills!J30/100)^Skills!K30</f>
        <v/>
      </c>
      <c r="I64" t="inlineStr">
        <is>
          <t>1</t>
        </is>
      </c>
      <c r="J64" t="inlineStr"/>
      <c r="K64" t="inlineStr"/>
      <c r="L64" t="inlineStr"/>
      <c r="M64" t="inlineStr"/>
      <c r="N64" t="inlineStr"/>
      <c r="O64" t="n">
        <v>0</v>
      </c>
      <c r="P64">
        <f>IF(B79=0,0,O64/B79)</f>
        <v/>
      </c>
      <c r="Q64" t="n">
        <v>0</v>
      </c>
      <c r="R64" t="n">
        <v>0</v>
      </c>
      <c r="S64">
        <f>IFERROR(O64/N64,0)</f>
        <v/>
      </c>
    </row>
    <row r="66">
      <c r="A66" t="inlineStr">
        <is>
          <t>Average Buff Multiplier</t>
        </is>
      </c>
      <c r="B66">
        <f>(1+(((C55=TRUE)*F55*IF(AND(Inputs!$B$4&lt;&gt;"pvp",Inputs!$B$35&gt;0),(((S55-1)*(Skills!Y21*(1+Inputs!$B$33/100))+MIN((Skills!Y21*(1+Inputs!$B$33/100)),MAX(0,Inputs!$B$35-((S55-1)*Skills!D21))))/Inputs!$B$35),IF(Inputs!$B$4="pvp",MIN((Skills!Y21*(1+Inputs!$B$33/100)),15)/15,(Skills!Y21*(1+Inputs!$B$33/100))/Skills!D21)))+((C57=TRUE)*(F57-Calc!F23))+((C51=TRUE)*(F51-Calc!F17)))/100)*(1+((C44=TRUE)*F44*IF(AND(Inputs!$B$4&lt;&gt;"pvp",Inputs!$B$35&gt;0),(((S44-1)*(Skills!Y10*(1+Inputs!$B$33/100))+MIN((Skills!Y10*(1+Inputs!$B$33/100)),MAX(0,Inputs!$B$35-((S44-1)*Skills!D10))))/Inputs!$B$35),IF(Inputs!$B$4="pvp",MIN((Skills!Y10*(1+Inputs!$B$33/100)),15)/15,(Skills!Y10*(1+Inputs!$B$33/100))/Skills!D10)))/100)*(1+((C49=TRUE)*F49*IF(AND(Inputs!$B$4&lt;&gt;"pvp",Inputs!$B$35&gt;0),(((S49-1)*(Skills!Y15*(1+Inputs!$B$33/100))+MIN((Skills!Y15*(1+Inputs!$B$33/100)),MAX(0,Inputs!$B$35-((S49-1)*Skills!D15))))/Inputs!$B$35),IF(Inputs!$B$4="pvp",MIN((Skills!Y15*(1+Inputs!$B$33/100)),15)/15,(Skills!Y15*(1+Inputs!$B$33/100))/Skills!D15)))/100)</f>
        <v/>
      </c>
    </row>
    <row r="67">
      <c r="A67" t="inlineStr">
        <is>
          <t>Global Crit Rate Bonus %</t>
        </is>
      </c>
      <c r="B67">
        <f>((C54=TRUE)*F54*IF(AND(Inputs!$B$4&lt;&gt;"pvp",Inputs!$B$35&gt;0),(((S54-1)*(Skills!Y20*(1+Inputs!$B$33/100))+MIN((Skills!Y20*(1+Inputs!$B$33/100)),MAX(0,Inputs!$B$35-((S54-1)*Skills!D20))))/Inputs!$B$35),IF(Inputs!$B$4="pvp",MIN((Skills!Y20*(1+Inputs!$B$33/100)),15)/15,(Skills!Y20*(1+Inputs!$B$33/100))/Skills!D20)))</f>
        <v/>
      </c>
    </row>
    <row r="68">
      <c r="A68" t="inlineStr">
        <is>
          <t>Global Monster Damage-Taken Bonus %</t>
        </is>
      </c>
      <c r="B68">
        <f>IF(Inputs!$B$3&gt;=82,15,0)</f>
        <v/>
      </c>
    </row>
    <row r="69">
      <c r="A69" t="inlineStr">
        <is>
          <t>Shadow Partner Average Multiplier</t>
        </is>
      </c>
      <c r="B69">
        <f>1+((C41=TRUE)*F41*(1+3.3333333333333335*IF(C52=TRUE,F52,0)/100)*I41*Skills!J7/100)/100</f>
        <v/>
      </c>
    </row>
    <row r="70">
      <c r="A70" t="inlineStr">
        <is>
          <t>Attack Speed Buff Bonus %</t>
        </is>
      </c>
      <c r="B70">
        <f>((C53=TRUE)*F53*IF(AND(Inputs!$B$4&lt;&gt;"pvp",Inputs!$B$35&gt;0),(((S53-1)*(Skills!Y19*(1+Inputs!$B$33/100))+MIN((Skills!Y19*(1+Inputs!$B$33/100)),MAX(0,Inputs!$B$35-((S53-1)*Skills!D19))))/Inputs!$B$35),IF(Inputs!$B$4="pvp",MIN((Skills!Y19*(1+Inputs!$B$33/100)),15)/15,(Skills!Y19*(1+Inputs!$B$33/100))/Skills!D19)))+((C37=TRUE)*F37*3)</f>
        <v/>
      </c>
    </row>
    <row r="71">
      <c r="A71" t="inlineStr">
        <is>
          <t>Actions Per Second</t>
        </is>
      </c>
      <c r="B71">
        <f>1+MIN(150,150*(1-(1-(Inputs!$B$10+((C56=TRUE)*(F56-Calc!F22)))/150)*(1-B70/150)))/100</f>
        <v/>
      </c>
    </row>
    <row r="72">
      <c r="A72" t="inlineStr">
        <is>
          <t>Skill + Buff Cast Rate</t>
        </is>
      </c>
      <c r="B72">
        <f>IF(AND(Inputs!$B$4&lt;&gt;"pvp",Inputs!$B$35&gt;0),SUMPRODUCT((Skills!E2:E30=TRUE)*(C36:C64=TRUE)*R36:R64*Skills!F2:F30)/Inputs!$B$35,SUMPRODUCT((Skills!E2:E30=TRUE)*(C36:C64=TRUE)*Q36:Q64*Skills!F2:F30))</f>
        <v/>
      </c>
    </row>
    <row r="73">
      <c r="A73" t="inlineStr">
        <is>
          <t>Cruel Stab Casts Per Second</t>
        </is>
      </c>
      <c r="B73">
        <f>MAX(0,B71-B72)</f>
        <v/>
      </c>
    </row>
    <row r="74">
      <c r="A74" t="inlineStr">
        <is>
          <t>Global Critical Damage Bonus % (Smokescreen Mastery Lv.113)</t>
        </is>
      </c>
      <c r="B74">
        <f>IF(Inputs!$B$3&gt;=113,30,0)*IF(AND(Inputs!$B$4&lt;&gt;"pvp",Inputs!$B$35&gt;0),(((S49-1)*(Skills!Y15*(1+Inputs!$B$33/100))+MIN((Skills!Y15*(1+Inputs!$B$33/100)),MAX(0,Inputs!$B$35-((S49-1)*Skills!D15))))/Inputs!$B$35),IF(Inputs!$B$4="pvp",MIN((Skills!Y15*(1+Inputs!$B$33/100)),15)/15,(Skills!Y15*(1+Inputs!$B$33/100))/Skills!D15))</f>
        <v/>
      </c>
    </row>
    <row r="75">
      <c r="A75" t="inlineStr">
        <is>
          <t>Meso Explosion average stack count</t>
        </is>
      </c>
      <c r="B75">
        <f>MIN(10,0.5*B71*Skills!D4)</f>
        <v/>
      </c>
    </row>
    <row r="76">
      <c r="A76" t="inlineStr">
        <is>
          <t>Blood Money average stack count</t>
        </is>
      </c>
      <c r="B76">
        <f>MIN(5,0.25*B71*Skills!D4)</f>
        <v/>
      </c>
    </row>
    <row r="77">
      <c r="A77" t="inlineStr">
        <is>
          <t>Assassinate Murderous Intent Multiplier</t>
        </is>
      </c>
      <c r="B77">
        <f>1+IFERROR(MIN(1,Q48*2/Q45),0)</f>
        <v/>
      </c>
    </row>
    <row r="79">
      <c r="A79" s="5" t="inlineStr">
        <is>
          <t>TOTAL DPS</t>
        </is>
      </c>
      <c r="B79" s="5">
        <f>SUM(O36:O64)</f>
        <v/>
      </c>
    </row>
    <row r="82">
      <c r="A82" s="5" t="inlineStr">
        <is>
          <t>Stat: LUK %</t>
        </is>
      </c>
    </row>
    <row r="83">
      <c r="A83" s="8" t="inlineStr">
        <is>
          <t>Key</t>
        </is>
      </c>
      <c r="B83" s="8" t="inlineStr">
        <is>
          <t>Name</t>
        </is>
      </c>
      <c r="C83" s="8" t="inlineStr">
        <is>
          <t>Unlocked</t>
        </is>
      </c>
      <c r="D83" s="8" t="inlineStr">
        <is>
          <t>InputLevel</t>
        </is>
      </c>
      <c r="E83" s="8" t="inlineStr">
        <is>
          <t>Factor</t>
        </is>
      </c>
      <c r="F83" s="8" t="inlineStr">
        <is>
          <t>CoefficientPercent</t>
        </is>
      </c>
      <c r="G83" s="8" t="inlineStr">
        <is>
          <t>EffectiveHits</t>
        </is>
      </c>
      <c r="H83" s="8" t="inlineStr">
        <is>
          <t>ProcProbability</t>
        </is>
      </c>
      <c r="I83" s="8" t="inlineStr">
        <is>
          <t>MapleHeroMultiplier</t>
        </is>
      </c>
      <c r="J83" s="8" t="inlineStr">
        <is>
          <t>BaseDamage</t>
        </is>
      </c>
      <c r="K83" s="8" t="inlineStr">
        <is>
          <t>BaseHitDamage</t>
        </is>
      </c>
      <c r="L83" s="8" t="inlineStr">
        <is>
          <t>NonCritAvg</t>
        </is>
      </c>
      <c r="M83" s="8" t="inlineStr">
        <is>
          <t>CritAvg</t>
        </is>
      </c>
      <c r="N83" s="8" t="inlineStr">
        <is>
          <t>ExpectedDamage(perHit)</t>
        </is>
      </c>
      <c r="O83" s="8" t="inlineStr">
        <is>
          <t>DPS</t>
        </is>
      </c>
      <c r="P83" s="8" t="inlineStr">
        <is>
          <t>% of Total</t>
        </is>
      </c>
      <c r="Q83" s="8" t="inlineStr">
        <is>
          <t>InvCooldown</t>
        </is>
      </c>
      <c r="R83" s="8" t="inlineStr">
        <is>
          <t>CastsInFight</t>
        </is>
      </c>
      <c r="S83" s="8" t="inlineStr">
        <is>
          <t>HitRate(perSec)</t>
        </is>
      </c>
      <c r="U83" t="inlineStr">
        <is>
          <t>helpers</t>
        </is>
      </c>
    </row>
    <row r="84">
      <c r="A84">
        <f>Skills!A2</f>
        <v/>
      </c>
      <c r="B84">
        <f>Skills!B2</f>
        <v/>
      </c>
      <c r="C84">
        <f>Inputs!$B$3&gt;=100</f>
        <v/>
      </c>
      <c r="D84" t="inlineStr"/>
      <c r="E84" t="inlineStr"/>
      <c r="F84">
        <f>U86+Skills!O2</f>
        <v/>
      </c>
      <c r="G84">
        <f>Skills!G2*IF(Skills!H2&gt;0,Skills!I2/Skills!H2,1)</f>
        <v/>
      </c>
      <c r="H84">
        <f>1-(1-Skills!J2/100)^Skills!K2</f>
        <v/>
      </c>
      <c r="I84" t="inlineStr">
        <is>
          <t>1</t>
        </is>
      </c>
      <c r="J84">
        <f>(Inputs!$B$5*(1+Inputs!$B$6/100))*(F84/100)</f>
        <v/>
      </c>
      <c r="K84">
        <f>J84*(1+((Inputs!$B$11*(1+(Inputs!$B$12+1)/100))*0.01+Inputs!$B$13*0.0025)/100)*(1+Inputs!$B$14/100)*(1+IF(Inputs!$B$4="pvp",0,(1-Summary!$B$55)*(Inputs!$B$19+0+Skills!P2+B116)+Summary!$B$55*(Inputs!$B$20+Skills!Q2+B116))/100)*(1+Inputs!$B$15/100)*(5000/(6000+Inputs!$B$7*(1-Inputs!$B$18/100)))*(1+(Inputs!$B$23+((C112=TRUE)*(F112-Calc!F30)))/100)*(1+(IF(Skills!A2="CRUEL_STAB",Inputs!$B$16+((C109=TRUE)*(F109-Calc!F27)),Inputs!$B$17+((C110=TRUE)*(F110-Calc!F28))))/100)*(((1+(((C103=TRUE)*F103*IF(AND(Inputs!$B$4&lt;&gt;"pvp",Inputs!$B$35&gt;0),(((S103-1)*(Skills!Y21*(1+Inputs!$B$33/100))+MIN((Skills!Y21*(1+Inputs!$B$33/100)),MAX(0,Inputs!$B$35-((S103-1)*Skills!D21))))/Inputs!$B$35),IF(Inputs!$B$4="pvp",MIN((Skills!Y21*(1+Inputs!$B$33/100)),15)/15,(Skills!Y21*(1+Inputs!$B$33/100))/Skills!D21)))+((C105=TRUE)*(F105-Calc!F23))+((C99=TRUE)*(F99-Calc!F17)))/100)*(1+((C92=TRUE)*F92*IF(AND(Inputs!$B$4&lt;&gt;"pvp",Inputs!$B$35&gt;0),(((S92-1)*(Skills!Y10*(1+Inputs!$B$33/100))+MIN((Skills!Y10*(1+Inputs!$B$33/100)),MAX(0,Inputs!$B$35-((S92-1)*Skills!D10))))/Inputs!$B$35),IF(Inputs!$B$4="pvp",MIN((Skills!Y10*(1+Inputs!$B$33/100)),15)/15,(Skills!Y10*(1+Inputs!$B$33/100))/Skills!D10)))/100)*(1+((C97=TRUE)*F97*IF(AND(Inputs!$B$4&lt;&gt;"pvp",Inputs!$B$35&gt;0),(((S97-1)*(Skills!Y15*(1+Inputs!$B$33/100))+MIN((Skills!Y15*(1+Inputs!$B$33/100)),MAX(0,Inputs!$B$35-((S97-1)*Skills!D15))))/Inputs!$B$35),IF(Inputs!$B$4="pvp",MIN((Skills!Y15*(1+Inputs!$B$33/100)),15)/15,(Skills!Y15*(1+Inputs!$B$33/100))/Skills!D15)))/100))*B117*I84)</f>
        <v/>
      </c>
      <c r="L84">
        <f>K84*(MIN(Inputs!$B$21+((C106=TRUE)*(F106-Calc!F24)),Inputs!$B$22+((C111=TRUE)*(F111-Calc!F29)))/100+(Inputs!$B$22+((C111=TRUE)*(F111-Calc!F29)))/100)/2</f>
        <v/>
      </c>
      <c r="M84">
        <f>L84*(1+(Inputs!$B$9+((C108=TRUE)*(F108-Calc!F26))+B122)/100)</f>
        <v/>
      </c>
      <c r="N84">
        <f>L84*(1-MIN((Inputs!$B$8+((C107=TRUE)*(F107-Calc!F25))+B115),100)/100)+M84*(MIN((Inputs!$B$8+((C107=TRUE)*(F107-Calc!F25))+B115),100)/100)</f>
        <v/>
      </c>
      <c r="O84">
        <f>IF(C84,Skills!G2*N84*B121*IF(Inputs!$B$4="pvp",1,(1-Summary!$B$55)*(1)+Summary!$B$55*(MIN((6+Inputs!$B$32),Inputs!$B$37))),0)</f>
        <v/>
      </c>
      <c r="P84">
        <f>IF(B127=0,0,O84/B127)</f>
        <v/>
      </c>
      <c r="Q84" t="n">
        <v>0</v>
      </c>
      <c r="R84" t="n">
        <v>0</v>
      </c>
      <c r="S84">
        <f>IFERROR(O84/N84,0)</f>
        <v/>
      </c>
      <c r="U84">
        <f>MAX(0,(Inputs!$B$3-100)*3)+Inputs!$B$27+Inputs!$B$28</f>
        <v/>
      </c>
    </row>
    <row r="85">
      <c r="A85">
        <f>Skills!A3</f>
        <v/>
      </c>
      <c r="B85">
        <f>Skills!B3</f>
        <v/>
      </c>
      <c r="C85">
        <f>Inputs!$B$3&gt;=35</f>
        <v/>
      </c>
      <c r="D85">
        <f>IF(Skills!C3=1,60+Inputs!$B$24+Inputs!$B$28,IF(Skills!C3=2,90+Inputs!$B$25+Inputs!$B$28,IF(Skills!C3=3,120+Inputs!$B$26+Inputs!$B$28,MAX(0,(Inputs!$B$3-100)*3)+Inputs!$B$27+Inputs!$B$28)))</f>
        <v/>
      </c>
      <c r="E85">
        <f>INDEX(FactorTable!$B$2:$Y$301, MATCH(ROUND(MIN(300,MAX(1,D85)),0), FactorTable!$A$2:$A$301,0), Skills!M3+1)</f>
        <v/>
      </c>
      <c r="F85">
        <f>IF(Skills!N3=TRUE,(Skills!L3/10)*(E85/1000),Skills!L3/10)+Skills!O3</f>
        <v/>
      </c>
      <c r="G85">
        <f>Skills!G3*IF(Skills!H3&gt;0,Skills!I3/Skills!H3,1)</f>
        <v/>
      </c>
      <c r="H85">
        <f>1-(1-Skills!J3/100)^Skills!K3</f>
        <v/>
      </c>
      <c r="I85" t="inlineStr">
        <is>
          <t>1</t>
        </is>
      </c>
      <c r="J85" t="inlineStr"/>
      <c r="K85" t="inlineStr"/>
      <c r="L85" t="inlineStr"/>
      <c r="M85" t="inlineStr"/>
      <c r="N85" t="inlineStr"/>
      <c r="O85" t="n">
        <v>0</v>
      </c>
      <c r="P85">
        <f>IF(B127=0,0,O85/B127)</f>
        <v/>
      </c>
      <c r="Q85" t="n">
        <v>0</v>
      </c>
      <c r="R85" t="n">
        <v>0</v>
      </c>
      <c r="S85">
        <f>IFERROR(O85/N85,0)</f>
        <v/>
      </c>
      <c r="U85">
        <f>INDEX(FactorTable!$B$2:$Y$301, MATCH(ROUND(MIN(300,MAX(1,U84)),0), FactorTable!$A$2:$A$301,0), 22)</f>
        <v/>
      </c>
    </row>
    <row r="86">
      <c r="A86">
        <f>Skills!A4</f>
        <v/>
      </c>
      <c r="B86">
        <f>Skills!B4</f>
        <v/>
      </c>
      <c r="C86">
        <f>Inputs!$B$3&gt;=66</f>
        <v/>
      </c>
      <c r="D86">
        <f>IF(Skills!C4=1,60+Inputs!$B$24+Inputs!$B$28,IF(Skills!C4=2,90+Inputs!$B$25+Inputs!$B$28,IF(Skills!C4=3,120+Inputs!$B$26+Inputs!$B$28,MAX(0,(Inputs!$B$3-100)*3)+Inputs!$B$27+Inputs!$B$28)))</f>
        <v/>
      </c>
      <c r="E86">
        <f>INDEX(FactorTable!$B$2:$Y$301, MATCH(ROUND(MIN(300,MAX(1,D86)),0), FactorTable!$A$2:$A$301,0), Skills!M4+1)</f>
        <v/>
      </c>
      <c r="F86">
        <f>IF(Skills!N4=TRUE,(Skills!L4/10)*(E86/1000),Skills!L4/10)+Skills!O4</f>
        <v/>
      </c>
      <c r="G86">
        <f>Skills!G4*IF(Skills!H4&gt;0,Skills!I4/Skills!H4,1)</f>
        <v/>
      </c>
      <c r="H86">
        <f>1-(1-Skills!J4/100)^Skills!K4</f>
        <v/>
      </c>
      <c r="I86" t="inlineStr">
        <is>
          <t>1</t>
        </is>
      </c>
      <c r="J86">
        <f>(Inputs!$B$5*(1+Inputs!$B$6/100))*(F86/100)</f>
        <v/>
      </c>
      <c r="K86">
        <f>J86*(1+((Inputs!$B$11*(1+(Inputs!$B$12+1)/100))*0.01+Inputs!$B$13*0.0025)/100)*(1+Inputs!$B$14/100)*(1+IF(Inputs!$B$4="pvp",0,(1-Summary!$B$55)*(Inputs!$B$19+0+Skills!P4+B116)+Summary!$B$55*(Inputs!$B$20+Skills!Q4+B116))/100)*(1+Inputs!$B$15/100)*(5000/(6000+Inputs!$B$7*(1-Inputs!$B$18/100)))*(1+(Inputs!$B$23+((C112=TRUE)*(F112-Calc!F30)))/100)*(1+(IF(Skills!A4="CRUEL_STAB",Inputs!$B$16+((C109=TRUE)*(F109-Calc!F27)),Inputs!$B$17+((C110=TRUE)*(F110-Calc!F28))))/100)*(((1+(((C103=TRUE)*F103*IF(AND(Inputs!$B$4&lt;&gt;"pvp",Inputs!$B$35&gt;0),(((S103-1)*(Skills!Y21*(1+Inputs!$B$33/100))+MIN((Skills!Y21*(1+Inputs!$B$33/100)),MAX(0,Inputs!$B$35-((S103-1)*Skills!D21))))/Inputs!$B$35),IF(Inputs!$B$4="pvp",MIN((Skills!Y21*(1+Inputs!$B$33/100)),15)/15,(Skills!Y21*(1+Inputs!$B$33/100))/Skills!D21)))+((C105=TRUE)*(F105-Calc!F23))+((C99=TRUE)*(F99-Calc!F17)))/100)*(1+((C92=TRUE)*F92*IF(AND(Inputs!$B$4&lt;&gt;"pvp",Inputs!$B$35&gt;0),(((S92-1)*(Skills!Y10*(1+Inputs!$B$33/100))+MIN((Skills!Y10*(1+Inputs!$B$33/100)),MAX(0,Inputs!$B$35-((S92-1)*Skills!D10))))/Inputs!$B$35),IF(Inputs!$B$4="pvp",MIN((Skills!Y10*(1+Inputs!$B$33/100)),15)/15,(Skills!Y10*(1+Inputs!$B$33/100))/Skills!D10)))/100)*(1+((C97=TRUE)*F97*IF(AND(Inputs!$B$4&lt;&gt;"pvp",Inputs!$B$35&gt;0),(((S97-1)*(Skills!Y15*(1+Inputs!$B$33/100))+MIN((Skills!Y15*(1+Inputs!$B$33/100)),MAX(0,Inputs!$B$35-((S97-1)*Skills!D15))))/Inputs!$B$35),IF(Inputs!$B$4="pvp",MIN((Skills!Y15*(1+Inputs!$B$33/100)),15)/15,(Skills!Y15*(1+Inputs!$B$33/100))/Skills!D15)))/100))*B117*I86)</f>
        <v/>
      </c>
      <c r="L86">
        <f>K86*(MIN(Inputs!$B$21+((C106=TRUE)*(F106-Calc!F24)),Inputs!$B$22+((C111=TRUE)*(F111-Calc!F29)))/100+(Inputs!$B$22+((C111=TRUE)*(F111-Calc!F29)))/100)/2</f>
        <v/>
      </c>
      <c r="M86">
        <f>L86*(1+(Inputs!$B$9+((C108=TRUE)*(F108-Calc!F26))+B122)/100)</f>
        <v/>
      </c>
      <c r="N86">
        <f>L86*(1-MIN((Inputs!$B$8+((C107=TRUE)*(F107-Calc!F25))+B115),100)/100)+M86*(MIN((Inputs!$B$8+((C107=TRUE)*(F107-Calc!F25))+B115),100)/100)</f>
        <v/>
      </c>
      <c r="O86">
        <f>IF(C86,H86*N86*IF(AND(Inputs!$B$4&lt;&gt;"pvp",Inputs!$B$35&gt;0),((Skills!G4*((R86-1)*IF(Skills!H4&gt;0,Skills!I4/Skills!H4,1)+IF(Skills!H4&gt;0,MIN(Skills!I4,MAX(0,Inputs!$B$35-((R86-1)*IF(Inputs!$B$4="pvp",15,MAX(0.1,Skills!D4-IF(Skills!E4=TRUE,Inputs!$B$31,0))))))/Skills!H4,1)))/Inputs!$B$35),G86*Q86)*IF(Inputs!$B$4="pvp",1,(1-Summary!$B$55)*(1)+Summary!$B$55*(MIN(MIN(10,0.5*B119*Skills!D4),Inputs!$B$37))),0)</f>
        <v/>
      </c>
      <c r="P86">
        <f>IF(B127=0,0,O86/B127)</f>
        <v/>
      </c>
      <c r="Q86">
        <f>IFERROR(1/IF(Inputs!$B$4="pvp",15,MAX(0.1,Skills!D4-IF(Skills!E4=TRUE,Inputs!$B$31,0))),0)</f>
        <v/>
      </c>
      <c r="R86">
        <f>IF(AND(Inputs!$B$4&lt;&gt;"pvp",Inputs!$B$35&gt;0),(INT(Inputs!$B$35/IF(Inputs!$B$4="pvp",15,MAX(0.1,Skills!D4-IF(Skills!E4=TRUE,Inputs!$B$31,0))))+1),0)</f>
        <v/>
      </c>
      <c r="S86">
        <f>IFERROR(O86/N86,0)</f>
        <v/>
      </c>
      <c r="U86">
        <f>290*U85/1000</f>
        <v/>
      </c>
    </row>
    <row r="87">
      <c r="A87">
        <f>Skills!A5</f>
        <v/>
      </c>
      <c r="B87">
        <f>Skills!B5</f>
        <v/>
      </c>
      <c r="C87">
        <f>Inputs!$B$3&gt;=63</f>
        <v/>
      </c>
      <c r="D87">
        <f>IF(Skills!C5=1,60+Inputs!$B$24+Inputs!$B$28,IF(Skills!C5=2,90+Inputs!$B$25+Inputs!$B$28,IF(Skills!C5=3,120+Inputs!$B$26+Inputs!$B$28,MAX(0,(Inputs!$B$3-100)*3)+Inputs!$B$27+Inputs!$B$28)))</f>
        <v/>
      </c>
      <c r="E87">
        <f>INDEX(FactorTable!$B$2:$Y$301, MATCH(ROUND(MIN(300,MAX(1,D87)),0), FactorTable!$A$2:$A$301,0), Skills!M5+1)</f>
        <v/>
      </c>
      <c r="F87">
        <f>IF(Skills!N5=TRUE,(Skills!L5/10)*(E87/1000),Skills!L5/10)+Skills!O5</f>
        <v/>
      </c>
      <c r="G87">
        <f>Skills!G5*IF(Skills!H5&gt;0,Skills!I5/Skills!H5,1)</f>
        <v/>
      </c>
      <c r="H87">
        <f>1-(1-Skills!J5/100)^Skills!K5</f>
        <v/>
      </c>
      <c r="I87" t="inlineStr">
        <is>
          <t>1</t>
        </is>
      </c>
      <c r="J87">
        <f>(Inputs!$B$5*(1+Inputs!$B$6/100))*(F87/100)</f>
        <v/>
      </c>
      <c r="K87">
        <f>J87*(1+((Inputs!$B$11*(1+(Inputs!$B$12+1)/100))*0.01+Inputs!$B$13*0.0025)/100)*(1+Inputs!$B$14/100)*(1+IF(Inputs!$B$4="pvp",0,(1-Summary!$B$55)*(Inputs!$B$19+0+Skills!P5+B116)+Summary!$B$55*(Inputs!$B$20+Skills!Q5+B116))/100)*(1+Inputs!$B$15/100)*(5000/(6000+Inputs!$B$7*(1-Inputs!$B$18/100)))*(1+(Inputs!$B$23+((C112=TRUE)*(F112-Calc!F30)))/100)*(1+2.6666666666666665*IF(C100=TRUE,F100,0)/100)*(1+(IF(Skills!A5="CRUEL_STAB",Inputs!$B$16+((C109=TRUE)*(F109-Calc!F27)),Inputs!$B$17+((C110=TRUE)*(F110-Calc!F28))))/100)*(((1+(((C103=TRUE)*F103*IF(AND(Inputs!$B$4&lt;&gt;"pvp",Inputs!$B$35&gt;0),(((S103-1)*(Skills!Y21*(1+Inputs!$B$33/100))+MIN((Skills!Y21*(1+Inputs!$B$33/100)),MAX(0,Inputs!$B$35-((S103-1)*Skills!D21))))/Inputs!$B$35),IF(Inputs!$B$4="pvp",MIN((Skills!Y21*(1+Inputs!$B$33/100)),15)/15,(Skills!Y21*(1+Inputs!$B$33/100))/Skills!D21)))+((C105=TRUE)*(F105-Calc!F23))+((C99=TRUE)*(F99-Calc!F17)))/100)*(1+((C92=TRUE)*F92*IF(AND(Inputs!$B$4&lt;&gt;"pvp",Inputs!$B$35&gt;0),(((S92-1)*(Skills!Y10*(1+Inputs!$B$33/100))+MIN((Skills!Y10*(1+Inputs!$B$33/100)),MAX(0,Inputs!$B$35-((S92-1)*Skills!D10))))/Inputs!$B$35),IF(Inputs!$B$4="pvp",MIN((Skills!Y10*(1+Inputs!$B$33/100)),15)/15,(Skills!Y10*(1+Inputs!$B$33/100))/Skills!D10)))/100)*(1+((C97=TRUE)*F97*IF(AND(Inputs!$B$4&lt;&gt;"pvp",Inputs!$B$35&gt;0),(((S97-1)*(Skills!Y15*(1+Inputs!$B$33/100))+MIN((Skills!Y15*(1+Inputs!$B$33/100)),MAX(0,Inputs!$B$35-((S97-1)*Skills!D15))))/Inputs!$B$35),IF(Inputs!$B$4="pvp",MIN((Skills!Y15*(1+Inputs!$B$33/100)),15)/15,(Skills!Y15*(1+Inputs!$B$33/100))/Skills!D15)))/100))*B117*I87)</f>
        <v/>
      </c>
      <c r="L87">
        <f>K87*(MIN(Inputs!$B$21+((C106=TRUE)*(F106-Calc!F24)),Inputs!$B$22+((C111=TRUE)*(F111-Calc!F29)))/100+(Inputs!$B$22+((C111=TRUE)*(F111-Calc!F29)))/100)/2</f>
        <v/>
      </c>
      <c r="M87">
        <f>L87*(1+(Inputs!$B$9+((C108=TRUE)*(F108-Calc!F26))+B122)/100)</f>
        <v/>
      </c>
      <c r="N87">
        <f>L87*(1-MIN((Inputs!$B$8+((C107=TRUE)*(F107-Calc!F25))+B115),100)/100)+M87*(MIN((Inputs!$B$8+((C107=TRUE)*(F107-Calc!F25))+B115),100)/100)</f>
        <v/>
      </c>
      <c r="O87">
        <f>IF(C87,H87*N87*IF(AND(Inputs!$B$4&lt;&gt;"pvp",Inputs!$B$35&gt;0),((Skills!G5*((R87-1)*IF(Skills!H5&gt;0,Skills!I5/Skills!H5,1)+IF(Skills!H5&gt;0,MIN(Skills!I5,MAX(0,Inputs!$B$35-((R87-1)*IF(Inputs!$B$4="pvp",15,MAX(0.1,Skills!D5-IF(Skills!E5=TRUE,Inputs!$B$31,0))))))/Skills!H5,1)))/Inputs!$B$35),G87*Q87)*IF(Inputs!$B$4="pvp",1,(1-Summary!$B$55)*(1)+Summary!$B$55*(MIN(Skills!W5,Inputs!$B$37))),0)</f>
        <v/>
      </c>
      <c r="P87">
        <f>IF(B127=0,0,O87/B127)</f>
        <v/>
      </c>
      <c r="Q87">
        <f>IFERROR(1/IF(Inputs!$B$4="pvp",15,MAX(0.1,Skills!D5-IF(Skills!E5=TRUE,Inputs!$B$31,0))),0)</f>
        <v/>
      </c>
      <c r="R87">
        <f>IF(AND(Inputs!$B$4&lt;&gt;"pvp",Inputs!$B$35&gt;0),(INT(Inputs!$B$35/IF(Inputs!$B$4="pvp",15,MAX(0.1,Skills!D5-IF(Skills!E5=TRUE,Inputs!$B$31,0))))+1),0)</f>
        <v/>
      </c>
      <c r="S87">
        <f>IFERROR(O87/N87,0)</f>
        <v/>
      </c>
    </row>
    <row r="88">
      <c r="A88">
        <f>Skills!A6</f>
        <v/>
      </c>
      <c r="B88">
        <f>Skills!B6</f>
        <v/>
      </c>
      <c r="C88">
        <f>Inputs!$B$3&gt;=69</f>
        <v/>
      </c>
      <c r="D88">
        <f>IF(Skills!C6=1,60+Inputs!$B$24+Inputs!$B$28,IF(Skills!C6=2,90+Inputs!$B$25+Inputs!$B$28,IF(Skills!C6=3,120+Inputs!$B$26+Inputs!$B$28,MAX(0,(Inputs!$B$3-100)*3)+Inputs!$B$27+Inputs!$B$28)))</f>
        <v/>
      </c>
      <c r="E88">
        <f>INDEX(FactorTable!$B$2:$Y$301, MATCH(ROUND(MIN(300,MAX(1,D88)),0), FactorTable!$A$2:$A$301,0), Skills!M6+1)</f>
        <v/>
      </c>
      <c r="F88">
        <f>IF(Skills!N6=TRUE,(Skills!L6/10)*(E88/1000),Skills!L6/10)+Skills!O6</f>
        <v/>
      </c>
      <c r="G88">
        <f>Skills!G6*IF(Skills!H6&gt;0,Skills!I6/Skills!H6,1)</f>
        <v/>
      </c>
      <c r="H88">
        <f>1-(1-Skills!J6/100)^Skills!K6</f>
        <v/>
      </c>
      <c r="I88" t="inlineStr">
        <is>
          <t>1</t>
        </is>
      </c>
      <c r="J88">
        <f>(Inputs!$B$5*(1+Inputs!$B$6/100))*(F88/100)</f>
        <v/>
      </c>
      <c r="K88">
        <f>J88*(1+((Inputs!$B$11*(1+(Inputs!$B$12+1)/100))*0.01+Inputs!$B$13*0.0025)/100)*(1+Inputs!$B$14/100)*(1+IF(Inputs!$B$4="pvp",0,(1-Summary!$B$55)*(Inputs!$B$19+0+Skills!P6+B116)+Summary!$B$55*(Inputs!$B$20+Skills!Q6+B116))/100)*(1+Inputs!$B$15/100)*(5000/(6000+Inputs!$B$7*(1-Inputs!$B$18/100)))*(1+(Inputs!$B$23+((C112=TRUE)*(F112-Calc!F30)))/100)*(1+1.0*IF(C100=TRUE,F100,0)/100)*(1+(IF(Skills!A6="CRUEL_STAB",Inputs!$B$16+((C109=TRUE)*(F109-Calc!F27)),Inputs!$B$17+((C110=TRUE)*(F110-Calc!F28))))/100)*(((1+(((C103=TRUE)*F103*IF(AND(Inputs!$B$4&lt;&gt;"pvp",Inputs!$B$35&gt;0),(((S103-1)*(Skills!Y21*(1+Inputs!$B$33/100))+MIN((Skills!Y21*(1+Inputs!$B$33/100)),MAX(0,Inputs!$B$35-((S103-1)*Skills!D21))))/Inputs!$B$35),IF(Inputs!$B$4="pvp",MIN((Skills!Y21*(1+Inputs!$B$33/100)),15)/15,(Skills!Y21*(1+Inputs!$B$33/100))/Skills!D21)))+((C105=TRUE)*(F105-Calc!F23))+((C99=TRUE)*(F99-Calc!F17)))/100)*(1+((C92=TRUE)*F92*IF(AND(Inputs!$B$4&lt;&gt;"pvp",Inputs!$B$35&gt;0),(((S92-1)*(Skills!Y10*(1+Inputs!$B$33/100))+MIN((Skills!Y10*(1+Inputs!$B$33/100)),MAX(0,Inputs!$B$35-((S92-1)*Skills!D10))))/Inputs!$B$35),IF(Inputs!$B$4="pvp",MIN((Skills!Y10*(1+Inputs!$B$33/100)),15)/15,(Skills!Y10*(1+Inputs!$B$33/100))/Skills!D10)))/100)*(1+((C97=TRUE)*F97*IF(AND(Inputs!$B$4&lt;&gt;"pvp",Inputs!$B$35&gt;0),(((S97-1)*(Skills!Y15*(1+Inputs!$B$33/100))+MIN((Skills!Y15*(1+Inputs!$B$33/100)),MAX(0,Inputs!$B$35-((S97-1)*Skills!D15))))/Inputs!$B$35),IF(Inputs!$B$4="pvp",MIN((Skills!Y15*(1+Inputs!$B$33/100)),15)/15,(Skills!Y15*(1+Inputs!$B$33/100))/Skills!D15)))/100))*B117*I88)</f>
        <v/>
      </c>
      <c r="L88">
        <f>K88*(MIN(Inputs!$B$21+((C106=TRUE)*(F106-Calc!F24)),Inputs!$B$22+((C111=TRUE)*(F111-Calc!F29)))/100+(Inputs!$B$22+((C111=TRUE)*(F111-Calc!F29)))/100)/2</f>
        <v/>
      </c>
      <c r="M88">
        <f>L88*(1+(Inputs!$B$9+((C108=TRUE)*(F108-Calc!F26))+B122)/100)</f>
        <v/>
      </c>
      <c r="N88">
        <f>L88*(1-MIN((Inputs!$B$8+((C107=TRUE)*(F107-Calc!F25))+B115),100)/100)+M88*(MIN((Inputs!$B$8+((C107=TRUE)*(F107-Calc!F25))+B115),100)/100)</f>
        <v/>
      </c>
      <c r="O88">
        <f>IF(C88,H88*N88*IF(AND(Inputs!$B$4&lt;&gt;"pvp",Inputs!$B$35&gt;0),((Skills!G6*((R88-1)*IF(Skills!H6&gt;0,Skills!I6/Skills!H6,1)+IF(Skills!H6&gt;0,MIN(Skills!I6,MAX(0,Inputs!$B$35-((R88-1)*IF(Inputs!$B$4="pvp",15,MAX(0.1,Skills!D6-IF(Skills!E6=TRUE,Inputs!$B$31,0))))))/Skills!H6,1)))/Inputs!$B$35),G88*Q88)*IF(Inputs!$B$4="pvp",1,(1-Summary!$B$55)*(1)+Summary!$B$55*(MIN(Skills!W6,Inputs!$B$37))),0)</f>
        <v/>
      </c>
      <c r="P88">
        <f>IF(B127=0,0,O88/B127)</f>
        <v/>
      </c>
      <c r="Q88">
        <f>IFERROR(1/IF(Inputs!$B$4="pvp",15,MAX(0.1,Skills!D6-IF(Skills!E6=TRUE,Inputs!$B$31,0))),0)</f>
        <v/>
      </c>
      <c r="R88">
        <f>IF(AND(Inputs!$B$4&lt;&gt;"pvp",Inputs!$B$35&gt;0),(INT(Inputs!$B$35/IF(Inputs!$B$4="pvp",15,MAX(0.1,Skills!D6-IF(Skills!E6=TRUE,Inputs!$B$31,0))))+1),0)</f>
        <v/>
      </c>
      <c r="S88">
        <f>IFERROR(O88/N88,0)</f>
        <v/>
      </c>
    </row>
    <row r="89">
      <c r="A89">
        <f>Skills!A7</f>
        <v/>
      </c>
      <c r="B89">
        <f>Skills!B7</f>
        <v/>
      </c>
      <c r="C89">
        <f>Inputs!$B$3&gt;=60</f>
        <v/>
      </c>
      <c r="D89">
        <f>IF(Skills!C7=1,60+Inputs!$B$24+Inputs!$B$28,IF(Skills!C7=2,90+Inputs!$B$25+Inputs!$B$28,IF(Skills!C7=3,120+Inputs!$B$26+Inputs!$B$28,MAX(0,(Inputs!$B$3-100)*3)+Inputs!$B$27+Inputs!$B$28)))</f>
        <v/>
      </c>
      <c r="E89">
        <f>INDEX(FactorTable!$B$2:$Y$301, MATCH(ROUND(MIN(300,MAX(1,D89)),0), FactorTable!$A$2:$A$301,0), Skills!M7+1)</f>
        <v/>
      </c>
      <c r="F89">
        <f>IF(Skills!N7=TRUE,(Skills!L7/10)*(E89/1000),Skills!L7/10)+Skills!O7</f>
        <v/>
      </c>
      <c r="G89">
        <f>Skills!G7*IF(Skills!H7&gt;0,Skills!I7/Skills!H7,1)</f>
        <v/>
      </c>
      <c r="H89">
        <f>1-(1-Skills!J7/100)^Skills!K7</f>
        <v/>
      </c>
      <c r="I89" t="inlineStr">
        <is>
          <t>1</t>
        </is>
      </c>
      <c r="J89" t="inlineStr"/>
      <c r="K89" t="inlineStr"/>
      <c r="L89" t="inlineStr"/>
      <c r="M89" t="inlineStr"/>
      <c r="N89" t="inlineStr"/>
      <c r="O89" t="n">
        <v>0</v>
      </c>
      <c r="P89">
        <f>IF(B127=0,0,O89/B127)</f>
        <v/>
      </c>
      <c r="Q89" t="n">
        <v>0</v>
      </c>
      <c r="R89" t="n">
        <v>0</v>
      </c>
      <c r="S89">
        <f>IFERROR(O89/N89,0)</f>
        <v/>
      </c>
    </row>
    <row r="90">
      <c r="A90">
        <f>Skills!A8</f>
        <v/>
      </c>
      <c r="B90">
        <f>Skills!B8</f>
        <v/>
      </c>
      <c r="C90">
        <f>Inputs!$B$3&gt;=72</f>
        <v/>
      </c>
      <c r="D90">
        <f>IF(Skills!C8=1,60+Inputs!$B$24+Inputs!$B$28,IF(Skills!C8=2,90+Inputs!$B$25+Inputs!$B$28,IF(Skills!C8=3,120+Inputs!$B$26+Inputs!$B$28,MAX(0,(Inputs!$B$3-100)*3)+Inputs!$B$27+Inputs!$B$28)))</f>
        <v/>
      </c>
      <c r="E90">
        <f>INDEX(FactorTable!$B$2:$Y$301, MATCH(ROUND(MIN(300,MAX(1,D90)),0), FactorTable!$A$2:$A$301,0), Skills!M8+1)</f>
        <v/>
      </c>
      <c r="F90">
        <f>IF(Skills!N8=TRUE,(Skills!L8/10)*(E90/1000),Skills!L8/10)+Skills!O8</f>
        <v/>
      </c>
      <c r="G90">
        <f>Skills!G8*IF(Skills!H8&gt;0,Skills!I8/Skills!H8,1)</f>
        <v/>
      </c>
      <c r="H90">
        <f>1-(1-Skills!J8/100)^Skills!K8</f>
        <v/>
      </c>
      <c r="I90" t="inlineStr">
        <is>
          <t>1</t>
        </is>
      </c>
      <c r="J90">
        <f>(Inputs!$B$5*(1+Inputs!$B$6/100))*(F90/100)</f>
        <v/>
      </c>
      <c r="K90">
        <f>J90*(1+((Inputs!$B$11*(1+(Inputs!$B$12+1)/100))*0.01+Inputs!$B$13*0.0025)/100)*(1+Inputs!$B$14/100)*(1+IF(Inputs!$B$4="pvp",0,(1-Summary!$B$55)*(Inputs!$B$19+0+Skills!P8+B116)+Summary!$B$55*(Inputs!$B$20+Skills!Q8+B116))/100)*(1+Inputs!$B$15/100)*(5000/(6000+Inputs!$B$7*(1-Inputs!$B$18/100)))*(1+(Inputs!$B$23+((C112=TRUE)*(F112-Calc!F30)))/100)*(1+3.3333333333333335*IF(C100=TRUE,F100,0)/100)*(1+(IF(Skills!A8="CRUEL_STAB",Inputs!$B$16+((C109=TRUE)*(F109-Calc!F27)),Inputs!$B$17+((C110=TRUE)*(F110-Calc!F28))))/100)*(((1+(((C103=TRUE)*F103*IF(AND(Inputs!$B$4&lt;&gt;"pvp",Inputs!$B$35&gt;0),(((S103-1)*(Skills!Y21*(1+Inputs!$B$33/100))+MIN((Skills!Y21*(1+Inputs!$B$33/100)),MAX(0,Inputs!$B$35-((S103-1)*Skills!D21))))/Inputs!$B$35),IF(Inputs!$B$4="pvp",MIN((Skills!Y21*(1+Inputs!$B$33/100)),15)/15,(Skills!Y21*(1+Inputs!$B$33/100))/Skills!D21)))+((C105=TRUE)*(F105-Calc!F23))+((C99=TRUE)*(F99-Calc!F17)))/100)*(1+((C92=TRUE)*F92*IF(AND(Inputs!$B$4&lt;&gt;"pvp",Inputs!$B$35&gt;0),(((S92-1)*(Skills!Y10*(1+Inputs!$B$33/100))+MIN((Skills!Y10*(1+Inputs!$B$33/100)),MAX(0,Inputs!$B$35-((S92-1)*Skills!D10))))/Inputs!$B$35),IF(Inputs!$B$4="pvp",MIN((Skills!Y10*(1+Inputs!$B$33/100)),15)/15,(Skills!Y10*(1+Inputs!$B$33/100))/Skills!D10)))/100)*(1+((C97=TRUE)*F97*IF(AND(Inputs!$B$4&lt;&gt;"pvp",Inputs!$B$35&gt;0),(((S97-1)*(Skills!Y15*(1+Inputs!$B$33/100))+MIN((Skills!Y15*(1+Inputs!$B$33/100)),MAX(0,Inputs!$B$35-((S97-1)*Skills!D15))))/Inputs!$B$35),IF(Inputs!$B$4="pvp",MIN((Skills!Y15*(1+Inputs!$B$33/100)),15)/15,(Skills!Y15*(1+Inputs!$B$33/100))/Skills!D15)))/100))*B117*I90)</f>
        <v/>
      </c>
      <c r="L90">
        <f>K90*(MIN(Inputs!$B$21+((C106=TRUE)*(F106-Calc!F24)),Inputs!$B$22+((C111=TRUE)*(F111-Calc!F29)))/100+(Inputs!$B$22+((C111=TRUE)*(F111-Calc!F29)))/100)/2</f>
        <v/>
      </c>
      <c r="M90">
        <f>L90*(1+(Inputs!$B$9+((C108=TRUE)*(F108-Calc!F26))+B122)/100)</f>
        <v/>
      </c>
      <c r="N90">
        <f>L90*(1-MIN((Inputs!$B$8+((C107=TRUE)*(F107-Calc!F25))+B115),100)/100)+M90*(MIN((Inputs!$B$8+((C107=TRUE)*(F107-Calc!F25))+B115),100)/100)</f>
        <v/>
      </c>
      <c r="O90">
        <f>IF(C90,H90*N90*IF(AND(Inputs!$B$4&lt;&gt;"pvp",Inputs!$B$35&gt;0),((Skills!G8*((R90-1)*IF(Skills!H8&gt;0,Skills!I8/Skills!H8,1)+IF(Skills!H8&gt;0,MIN(Skills!I8,MAX(0,Inputs!$B$35-((R90-1)*IF(Inputs!$B$4="pvp",15,MAX(0.1,Skills!D8-IF(Skills!E8=TRUE,Inputs!$B$31,0))))))/Skills!H8,1)))/Inputs!$B$35),G90*Q90)*IF(Inputs!$B$4="pvp",1,(1-Summary!$B$55)*(1)+Summary!$B$55*(MIN(Skills!W8,Inputs!$B$37))),0)</f>
        <v/>
      </c>
      <c r="P90">
        <f>IF(B127=0,0,O90/B127)</f>
        <v/>
      </c>
      <c r="Q90">
        <f>IFERROR(1/IF(Inputs!$B$4="pvp",15,MAX(0.1,Skills!D8-IF(Skills!E8=TRUE,Inputs!$B$31,0))),0)</f>
        <v/>
      </c>
      <c r="R90">
        <f>IF(AND(Inputs!$B$4&lt;&gt;"pvp",Inputs!$B$35&gt;0),(INT(Inputs!$B$35/IF(Inputs!$B$4="pvp",15,MAX(0.1,Skills!D8-IF(Skills!E8=TRUE,Inputs!$B$31,0))))+1),0)</f>
        <v/>
      </c>
      <c r="S90">
        <f>IFERROR(O90/N90,0)</f>
        <v/>
      </c>
    </row>
    <row r="91">
      <c r="A91">
        <f>Skills!A9</f>
        <v/>
      </c>
      <c r="B91">
        <f>Skills!B9</f>
        <v/>
      </c>
      <c r="C91">
        <f>Inputs!$B$3&gt;=117</f>
        <v/>
      </c>
      <c r="D91">
        <f>IF(Skills!C9=1,60+Inputs!$B$24+Inputs!$B$28,IF(Skills!C9=2,90+Inputs!$B$25+Inputs!$B$28,IF(Skills!C9=3,120+Inputs!$B$26+Inputs!$B$28,MAX(0,(Inputs!$B$3-100)*3)+Inputs!$B$27+Inputs!$B$28)))</f>
        <v/>
      </c>
      <c r="E91">
        <f>INDEX(FactorTable!$B$2:$Y$301, MATCH(ROUND(MIN(300,MAX(1,D91)),0), FactorTable!$A$2:$A$301,0), Skills!M9+1)</f>
        <v/>
      </c>
      <c r="F91">
        <f>IF(Skills!N9=TRUE,(Skills!L9/10)*(E91/1000),Skills!L9/10)+Skills!O9</f>
        <v/>
      </c>
      <c r="G91">
        <f>Skills!G9*IF(Skills!H9&gt;0,Skills!I9/Skills!H9,1)</f>
        <v/>
      </c>
      <c r="H91">
        <f>1-(1-Skills!J9/100)^Skills!K9</f>
        <v/>
      </c>
      <c r="I91" t="inlineStr">
        <is>
          <t>1</t>
        </is>
      </c>
      <c r="J91">
        <f>(Inputs!$B$5*(1+Inputs!$B$6/100))*(F91/100)</f>
        <v/>
      </c>
      <c r="K91">
        <f>J91*(1+((Inputs!$B$11*(1+(Inputs!$B$12+1)/100))*0.01+Inputs!$B$13*0.0025)/100)*(1+Inputs!$B$14/100)*(1+IF(Inputs!$B$4="pvp",0,(1-Summary!$B$55)*(Inputs!$B$19+0+Skills!P9+B116)+Summary!$B$55*(Inputs!$B$20+Skills!Q9+B116))/100)*(1+Inputs!$B$15/100)*(5000/(6000+Inputs!$B$7*(1-Inputs!$B$18/100)))*(1+(Inputs!$B$23+((C112=TRUE)*(F112-Calc!F30)))/100)*(1+(IF(Skills!A9="CRUEL_STAB",Inputs!$B$16+((C109=TRUE)*(F109-Calc!F27)),Inputs!$B$17+((C110=TRUE)*(F110-Calc!F28))))/100)*(((1+(((C103=TRUE)*F103*IF(AND(Inputs!$B$4&lt;&gt;"pvp",Inputs!$B$35&gt;0),(((S103-1)*(Skills!Y21*(1+Inputs!$B$33/100))+MIN((Skills!Y21*(1+Inputs!$B$33/100)),MAX(0,Inputs!$B$35-((S103-1)*Skills!D21))))/Inputs!$B$35),IF(Inputs!$B$4="pvp",MIN((Skills!Y21*(1+Inputs!$B$33/100)),15)/15,(Skills!Y21*(1+Inputs!$B$33/100))/Skills!D21)))+((C105=TRUE)*(F105-Calc!F23))+((C99=TRUE)*(F99-Calc!F17)))/100)*(1+((C92=TRUE)*F92*IF(AND(Inputs!$B$4&lt;&gt;"pvp",Inputs!$B$35&gt;0),(((S92-1)*(Skills!Y10*(1+Inputs!$B$33/100))+MIN((Skills!Y10*(1+Inputs!$B$33/100)),MAX(0,Inputs!$B$35-((S92-1)*Skills!D10))))/Inputs!$B$35),IF(Inputs!$B$4="pvp",MIN((Skills!Y10*(1+Inputs!$B$33/100)),15)/15,(Skills!Y10*(1+Inputs!$B$33/100))/Skills!D10)))/100)*(1+((C97=TRUE)*F97*IF(AND(Inputs!$B$4&lt;&gt;"pvp",Inputs!$B$35&gt;0),(((S97-1)*(Skills!Y15*(1+Inputs!$B$33/100))+MIN((Skills!Y15*(1+Inputs!$B$33/100)),MAX(0,Inputs!$B$35-((S97-1)*Skills!D15))))/Inputs!$B$35),IF(Inputs!$B$4="pvp",MIN((Skills!Y15*(1+Inputs!$B$33/100)),15)/15,(Skills!Y15*(1+Inputs!$B$33/100))/Skills!D15)))/100))*B117*I91)</f>
        <v/>
      </c>
      <c r="L91">
        <f>K91*(MIN(Inputs!$B$21+((C106=TRUE)*(F106-Calc!F24)),Inputs!$B$22+((C111=TRUE)*(F111-Calc!F29)))/100+(Inputs!$B$22+((C111=TRUE)*(F111-Calc!F29)))/100)/2</f>
        <v/>
      </c>
      <c r="M91">
        <f>L91*(1+(Inputs!$B$9+((C108=TRUE)*(F108-Calc!F26))+B122)/100)</f>
        <v/>
      </c>
      <c r="N91">
        <f>L91*(1-MIN((Inputs!$B$8+((C107=TRUE)*(F107-Calc!F25))+B115),100)/100)+M91*(MIN((Inputs!$B$8+((C107=TRUE)*(F107-Calc!F25))+B115),100)/100)</f>
        <v/>
      </c>
      <c r="O91">
        <f>IF(C91,0.2*SUMPRODUCT((Skills!Z2:Z30=TRUE)*(C84:C112=TRUE)*S84:S112)*N91,0)</f>
        <v/>
      </c>
      <c r="P91">
        <f>IF(B127=0,0,O91/B127)</f>
        <v/>
      </c>
      <c r="Q91" t="n">
        <v>0</v>
      </c>
      <c r="R91" t="n">
        <v>0</v>
      </c>
      <c r="S91" t="n">
        <v>0</v>
      </c>
    </row>
    <row r="92">
      <c r="A92">
        <f>Skills!A10</f>
        <v/>
      </c>
      <c r="B92">
        <f>Skills!B10</f>
        <v/>
      </c>
      <c r="C92">
        <f>Inputs!$B$3&gt;=74</f>
        <v/>
      </c>
      <c r="D92">
        <f>IF(Skills!C10=1,60+Inputs!$B$24+Inputs!$B$28,IF(Skills!C10=2,90+Inputs!$B$25+Inputs!$B$28,IF(Skills!C10=3,120+Inputs!$B$26+Inputs!$B$28,MAX(0,(Inputs!$B$3-100)*3)+Inputs!$B$27+Inputs!$B$28)))</f>
        <v/>
      </c>
      <c r="E92">
        <f>INDEX(FactorTable!$B$2:$Y$301, MATCH(ROUND(MIN(300,MAX(1,D92)),0), FactorTable!$A$2:$A$301,0), Skills!M10+1)</f>
        <v/>
      </c>
      <c r="F92">
        <f>IF(Skills!N10=TRUE,(Skills!L10/10)*(E92/1000),Skills!L10/10)+Skills!O10</f>
        <v/>
      </c>
      <c r="G92">
        <f>Skills!G10*IF(Skills!H10&gt;0,Skills!I10/Skills!H10,1)</f>
        <v/>
      </c>
      <c r="H92">
        <f>1-(1-Skills!J10/100)^Skills!K10</f>
        <v/>
      </c>
      <c r="I92" t="inlineStr">
        <is>
          <t>1</t>
        </is>
      </c>
      <c r="J92" t="inlineStr"/>
      <c r="K92" t="inlineStr"/>
      <c r="L92" t="inlineStr"/>
      <c r="M92" t="inlineStr"/>
      <c r="N92" t="inlineStr"/>
      <c r="O92" t="n">
        <v>0</v>
      </c>
      <c r="P92">
        <f>IF(B127=0,0,O92/B127)</f>
        <v/>
      </c>
      <c r="Q92">
        <f>IFERROR(1/IF(Inputs!$B$4="pvp",15,MAX(0.1,Skills!D10-IF(Skills!E10=TRUE,Inputs!$B$31,0))),0)</f>
        <v/>
      </c>
      <c r="R92">
        <f>IF(AND(Inputs!$B$4&lt;&gt;"pvp",Inputs!$B$35&gt;0),(INT(Inputs!$B$35/IF(Inputs!$B$4="pvp",15,MAX(0.1,Skills!D10-IF(Skills!E10=TRUE,Inputs!$B$31,0))))+1),0)</f>
        <v/>
      </c>
      <c r="S92">
        <f>IFERROR(O92/N92,0)</f>
        <v/>
      </c>
    </row>
    <row r="93">
      <c r="A93">
        <f>Skills!A11</f>
        <v/>
      </c>
      <c r="B93">
        <f>Skills!B11</f>
        <v/>
      </c>
      <c r="C93">
        <f>Inputs!$B$3&gt;=103</f>
        <v/>
      </c>
      <c r="D93">
        <f>IF(Skills!C11=1,60+Inputs!$B$24+Inputs!$B$28,IF(Skills!C11=2,90+Inputs!$B$25+Inputs!$B$28,IF(Skills!C11=3,120+Inputs!$B$26+Inputs!$B$28,MAX(0,(Inputs!$B$3-100)*3)+Inputs!$B$27+Inputs!$B$28)))</f>
        <v/>
      </c>
      <c r="E93">
        <f>INDEX(FactorTable!$B$2:$Y$301, MATCH(ROUND(MIN(300,MAX(1,D93)),0), FactorTable!$A$2:$A$301,0), Skills!M11+1)</f>
        <v/>
      </c>
      <c r="F93">
        <f>(Skills!L11/10)*(E93/1000)+IF(Inputs!$B$3&gt;=134,50,0)+0.5*(30000/10)*(INDEX(FactorTable!$B$2:$Y$301, MATCH(ROUND(MIN(300,MAX(1,D93)),0), FactorTable!$A$2:$A$301,0), 13)/1000)*B125</f>
        <v/>
      </c>
      <c r="G93">
        <f>Skills!G11*IF(Skills!H11&gt;0,Skills!I11/Skills!H11,1)</f>
        <v/>
      </c>
      <c r="H93">
        <f>1-(1-Skills!J11/100)^Skills!K11</f>
        <v/>
      </c>
      <c r="I93" t="inlineStr">
        <is>
          <t>1</t>
        </is>
      </c>
      <c r="J93">
        <f>(Inputs!$B$5*(1+Inputs!$B$6/100))*(F93/100)</f>
        <v/>
      </c>
      <c r="K93">
        <f>J93*(1+((Inputs!$B$11*(1+(Inputs!$B$12+1)/100))*0.01+Inputs!$B$13*0.0025)/100)*(1+Inputs!$B$14/100)*(1+IF(Inputs!$B$4="pvp",0,(1-Summary!$B$55)*(Inputs!$B$19+0+Skills!P11+B116)+Summary!$B$55*(Inputs!$B$20+Skills!Q11+B116))/100)*(1+Inputs!$B$15/100)*(5000/(6000+Inputs!$B$7*(1-Inputs!$B$18/100)))*(1+(Inputs!$B$23+((C112=TRUE)*(F112-Calc!F30)))/100)*(1+(IF(Skills!A11="CRUEL_STAB",Inputs!$B$16+((C109=TRUE)*(F109-Calc!F27)),Inputs!$B$17+((C110=TRUE)*(F110-Calc!F28))))/100)*(((1+(((C103=TRUE)*F103*IF(AND(Inputs!$B$4&lt;&gt;"pvp",Inputs!$B$35&gt;0),(((S103-1)*(Skills!Y21*(1+Inputs!$B$33/100))+MIN((Skills!Y21*(1+Inputs!$B$33/100)),MAX(0,Inputs!$B$35-((S103-1)*Skills!D21))))/Inputs!$B$35),IF(Inputs!$B$4="pvp",MIN((Skills!Y21*(1+Inputs!$B$33/100)),15)/15,(Skills!Y21*(1+Inputs!$B$33/100))/Skills!D21)))+((C105=TRUE)*(F105-Calc!F23))+((C99=TRUE)*(F99-Calc!F17)))/100)*(1+((C92=TRUE)*F92*IF(AND(Inputs!$B$4&lt;&gt;"pvp",Inputs!$B$35&gt;0),(((S92-1)*(Skills!Y10*(1+Inputs!$B$33/100))+MIN((Skills!Y10*(1+Inputs!$B$33/100)),MAX(0,Inputs!$B$35-((S92-1)*Skills!D10))))/Inputs!$B$35),IF(Inputs!$B$4="pvp",MIN((Skills!Y10*(1+Inputs!$B$33/100)),15)/15,(Skills!Y10*(1+Inputs!$B$33/100))/Skills!D10)))/100)*(1+((C97=TRUE)*F97*IF(AND(Inputs!$B$4&lt;&gt;"pvp",Inputs!$B$35&gt;0),(((S97-1)*(Skills!Y15*(1+Inputs!$B$33/100))+MIN((Skills!Y15*(1+Inputs!$B$33/100)),MAX(0,Inputs!$B$35-((S97-1)*Skills!D15))))/Inputs!$B$35),IF(Inputs!$B$4="pvp",MIN((Skills!Y15*(1+Inputs!$B$33/100)),15)/15,(Skills!Y15*(1+Inputs!$B$33/100))/Skills!D15)))/100))*B117*I93)</f>
        <v/>
      </c>
      <c r="L93">
        <f>K93*(MIN(Inputs!$B$21+((C106=TRUE)*(F106-Calc!F24)),Inputs!$B$22+((C111=TRUE)*(F111-Calc!F29)))/100+(Inputs!$B$22+((C111=TRUE)*(F111-Calc!F29)))/100)/2</f>
        <v/>
      </c>
      <c r="M93">
        <f>L93*(1+(Inputs!$B$9+((C108=TRUE)*(F108-Calc!F26))+B122)/100)</f>
        <v/>
      </c>
      <c r="N93">
        <f>L93*(1-MIN((Inputs!$B$8+((C107=TRUE)*(F107-Calc!F25))+B115),100)/100)+M93*(MIN((Inputs!$B$8+((C107=TRUE)*(F107-Calc!F25))+B115),100)/100)</f>
        <v/>
      </c>
      <c r="O93">
        <f>IF(C93,H93*N93*IF(AND(Inputs!$B$4&lt;&gt;"pvp",Inputs!$B$35&gt;0),((Skills!G11*((R93-1)*IF(Skills!H11&gt;0,Skills!I11/Skills!H11,1)+IF(Skills!H11&gt;0,MIN(Skills!I11,MAX(0,Inputs!$B$35-((R93-1)*IF(Inputs!$B$4="pvp",15,MAX(0.1,Skills!D11-IF(Skills!E11=TRUE,Inputs!$B$31,0))))))/Skills!H11,1)))/Inputs!$B$35),G93*Q93)*IF(Inputs!$B$4="pvp",1,(1-Summary!$B$55)*(1)+Summary!$B$55*(MIN(Skills!W11,Inputs!$B$37))),0)</f>
        <v/>
      </c>
      <c r="P93">
        <f>IF(B127=0,0,O93/B127)</f>
        <v/>
      </c>
      <c r="Q93">
        <f>IFERROR(1/IF(Inputs!$B$4="pvp",15,MAX(0.1,Skills!D11-IF(Skills!E11=TRUE,Inputs!$B$31,0))),0)</f>
        <v/>
      </c>
      <c r="R93">
        <f>IF(AND(Inputs!$B$4&lt;&gt;"pvp",Inputs!$B$35&gt;0),(INT(Inputs!$B$35/IF(Inputs!$B$4="pvp",15,MAX(0.1,Skills!D11-IF(Skills!E11=TRUE,Inputs!$B$31,0))))+1),0)</f>
        <v/>
      </c>
      <c r="S93">
        <f>IFERROR(O93/N93,0)</f>
        <v/>
      </c>
    </row>
    <row r="94">
      <c r="A94">
        <f>Skills!A12</f>
        <v/>
      </c>
      <c r="B94">
        <f>Skills!B12</f>
        <v/>
      </c>
      <c r="C94">
        <f>Inputs!$B$3&gt;=105</f>
        <v/>
      </c>
      <c r="D94">
        <f>IF(Skills!C12=1,60+Inputs!$B$24+Inputs!$B$28,IF(Skills!C12=2,90+Inputs!$B$25+Inputs!$B$28,IF(Skills!C12=3,120+Inputs!$B$26+Inputs!$B$28,MAX(0,(Inputs!$B$3-100)*3)+Inputs!$B$27+Inputs!$B$28)))</f>
        <v/>
      </c>
      <c r="E94">
        <f>INDEX(FactorTable!$B$2:$Y$301, MATCH(ROUND(MIN(300,MAX(1,D94)),0), FactorTable!$A$2:$A$301,0), Skills!M12+1)</f>
        <v/>
      </c>
      <c r="F94">
        <f>IF(Skills!N12=TRUE,(Skills!L12/10)*(E94/1000),Skills!L12/10)+Skills!O12</f>
        <v/>
      </c>
      <c r="G94">
        <f>Skills!G12*IF(Skills!H12&gt;0,Skills!I12/Skills!H12,1)</f>
        <v/>
      </c>
      <c r="H94">
        <f>1-(1-Skills!J12/100)^Skills!K12</f>
        <v/>
      </c>
      <c r="I94" t="inlineStr">
        <is>
          <t>1</t>
        </is>
      </c>
      <c r="J94">
        <f>(Inputs!$B$5*(1+Inputs!$B$6/100))*(F94/100)</f>
        <v/>
      </c>
      <c r="K94">
        <f>J94*(1+((Inputs!$B$11*(1+(Inputs!$B$12+1)/100))*0.01+Inputs!$B$13*0.0025)/100)*(1+Inputs!$B$14/100)*(1+IF(Inputs!$B$4="pvp",0,(1-Summary!$B$55)*(Inputs!$B$19+0+Skills!P12+B116)+Summary!$B$55*(Inputs!$B$20+Skills!Q12+B116))/100)*(1+Inputs!$B$15/100)*(5000/(6000+Inputs!$B$7*(1-Inputs!$B$18/100)))*(1+(Inputs!$B$23+((C112=TRUE)*(F112-Calc!F30)))/100)*(1+(IF(Skills!A12="CRUEL_STAB",Inputs!$B$16+((C109=TRUE)*(F109-Calc!F27)),Inputs!$B$17+((C110=TRUE)*(F110-Calc!F28))))/100)*(((1+(((C103=TRUE)*F103*IF(AND(Inputs!$B$4&lt;&gt;"pvp",Inputs!$B$35&gt;0),(((S103-1)*(Skills!Y21*(1+Inputs!$B$33/100))+MIN((Skills!Y21*(1+Inputs!$B$33/100)),MAX(0,Inputs!$B$35-((S103-1)*Skills!D21))))/Inputs!$B$35),IF(Inputs!$B$4="pvp",MIN((Skills!Y21*(1+Inputs!$B$33/100)),15)/15,(Skills!Y21*(1+Inputs!$B$33/100))/Skills!D21)))+((C105=TRUE)*(F105-Calc!F23))+((C99=TRUE)*(F99-Calc!F17)))/100)*(1+((C92=TRUE)*F92*IF(AND(Inputs!$B$4&lt;&gt;"pvp",Inputs!$B$35&gt;0),(((S92-1)*(Skills!Y10*(1+Inputs!$B$33/100))+MIN((Skills!Y10*(1+Inputs!$B$33/100)),MAX(0,Inputs!$B$35-((S92-1)*Skills!D10))))/Inputs!$B$35),IF(Inputs!$B$4="pvp",MIN((Skills!Y10*(1+Inputs!$B$33/100)),15)/15,(Skills!Y10*(1+Inputs!$B$33/100))/Skills!D10)))/100)*(1+((C97=TRUE)*F97*IF(AND(Inputs!$B$4&lt;&gt;"pvp",Inputs!$B$35&gt;0),(((S97-1)*(Skills!Y15*(1+Inputs!$B$33/100))+MIN((Skills!Y15*(1+Inputs!$B$33/100)),MAX(0,Inputs!$B$35-((S97-1)*Skills!D15))))/Inputs!$B$35),IF(Inputs!$B$4="pvp",MIN((Skills!Y15*(1+Inputs!$B$33/100)),15)/15,(Skills!Y15*(1+Inputs!$B$33/100))/Skills!D15)))/100))*B117*I94)</f>
        <v/>
      </c>
      <c r="L94">
        <f>K94*(MIN(Inputs!$B$21+((C106=TRUE)*(F106-Calc!F24)),Inputs!$B$22+((C111=TRUE)*(F111-Calc!F29)))/100+(Inputs!$B$22+((C111=TRUE)*(F111-Calc!F29)))/100)/2</f>
        <v/>
      </c>
      <c r="M94">
        <f>L94*(1+(Inputs!$B$9+((C108=TRUE)*(F108-Calc!F26))+B122)/100)</f>
        <v/>
      </c>
      <c r="N94">
        <f>L94*(1-MIN((Inputs!$B$8+((C107=TRUE)*(F107-Calc!F25))+B115),100)/100)+M94*(MIN((Inputs!$B$8+((C107=TRUE)*(F107-Calc!F25))+B115),100)/100)</f>
        <v/>
      </c>
      <c r="O94">
        <f>IF(C94,H94*N94*IF(AND(Inputs!$B$4&lt;&gt;"pvp",Inputs!$B$35&gt;0),((Skills!G12*((R94-1)*IF(Skills!H12&gt;0,Skills!I12/Skills!H12,1)+IF(Skills!H12&gt;0,MIN(Skills!I12,MAX(0,Inputs!$B$35-((R94-1)*IF(Inputs!$B$4="pvp",15,MAX(0.1,Skills!D12-IF(Skills!E12=TRUE,Inputs!$B$31,0))))))/Skills!H12,1)))/Inputs!$B$35),G94*Q94)*IF(Inputs!$B$4="pvp",1,(1-Summary!$B$55)*(1)+Summary!$B$55*(MIN(Skills!W12,Inputs!$B$37))),0)</f>
        <v/>
      </c>
      <c r="P94">
        <f>IF(B127=0,0,O94/B127)</f>
        <v/>
      </c>
      <c r="Q94">
        <f>IFERROR(1/IF(Inputs!$B$4="pvp",15,MAX(0.1,Skills!D12-IF(Skills!E12=TRUE,Inputs!$B$31,0))),0)</f>
        <v/>
      </c>
      <c r="R94">
        <f>IF(AND(Inputs!$B$4&lt;&gt;"pvp",Inputs!$B$35&gt;0),(INT(Inputs!$B$35/IF(Inputs!$B$4="pvp",15,MAX(0.1,Skills!D12-IF(Skills!E12=TRUE,Inputs!$B$31,0))))+1),0)</f>
        <v/>
      </c>
      <c r="S94">
        <f>IFERROR(O94/N94,0)</f>
        <v/>
      </c>
    </row>
    <row r="95">
      <c r="A95">
        <f>Skills!A13</f>
        <v/>
      </c>
      <c r="B95">
        <f>Skills!B13</f>
        <v/>
      </c>
      <c r="C95">
        <f>Inputs!$B$3&gt;=105</f>
        <v/>
      </c>
      <c r="D95">
        <f>IF(Skills!C13=1,60+Inputs!$B$24+Inputs!$B$28,IF(Skills!C13=2,90+Inputs!$B$25+Inputs!$B$28,IF(Skills!C13=3,120+Inputs!$B$26+Inputs!$B$28,MAX(0,(Inputs!$B$3-100)*3)+Inputs!$B$27+Inputs!$B$28)))</f>
        <v/>
      </c>
      <c r="E95">
        <f>INDEX(FactorTable!$B$2:$Y$301, MATCH(ROUND(MIN(300,MAX(1,D95)),0), FactorTable!$A$2:$A$301,0), Skills!M13+1)</f>
        <v/>
      </c>
      <c r="F95">
        <f>IF(Skills!N13=TRUE,(Skills!L13/10)*(E95/1000),Skills!L13/10)+Skills!O13</f>
        <v/>
      </c>
      <c r="G95">
        <f>Skills!G13*IF(Skills!H13&gt;0,Skills!I13/Skills!H13,1)</f>
        <v/>
      </c>
      <c r="H95">
        <f>1-(1-Skills!J13/100)^Skills!K13</f>
        <v/>
      </c>
      <c r="I95" t="inlineStr">
        <is>
          <t>1</t>
        </is>
      </c>
      <c r="J95">
        <f>(Inputs!$B$5*(1+Inputs!$B$6/100))*(F95/100)</f>
        <v/>
      </c>
      <c r="K95">
        <f>J95*(1+((Inputs!$B$11*(1+(Inputs!$B$12+1)/100))*0.01+Inputs!$B$13*0.0025)/100)*(1+Inputs!$B$14/100)*(1+IF(Inputs!$B$4="pvp",0,(1-Summary!$B$55)*(Inputs!$B$19+0+Skills!P13+B116)+Summary!$B$55*(Inputs!$B$20+Skills!Q13+B116))/100)*(1+Inputs!$B$15/100)*(5000/(6000+Inputs!$B$7*(1-Inputs!$B$18/100)))*(1+(Inputs!$B$23+((C112=TRUE)*(F112-Calc!F30)))/100)*(1+(IF(Skills!A13="CRUEL_STAB",Inputs!$B$16+((C109=TRUE)*(F109-Calc!F27)),Inputs!$B$17+((C110=TRUE)*(F110-Calc!F28))))/100)*(((1+(((C103=TRUE)*F103*IF(AND(Inputs!$B$4&lt;&gt;"pvp",Inputs!$B$35&gt;0),(((S103-1)*(Skills!Y21*(1+Inputs!$B$33/100))+MIN((Skills!Y21*(1+Inputs!$B$33/100)),MAX(0,Inputs!$B$35-((S103-1)*Skills!D21))))/Inputs!$B$35),IF(Inputs!$B$4="pvp",MIN((Skills!Y21*(1+Inputs!$B$33/100)),15)/15,(Skills!Y21*(1+Inputs!$B$33/100))/Skills!D21)))+((C105=TRUE)*(F105-Calc!F23))+((C99=TRUE)*(F99-Calc!F17)))/100)*(1+((C92=TRUE)*F92*IF(AND(Inputs!$B$4&lt;&gt;"pvp",Inputs!$B$35&gt;0),(((S92-1)*(Skills!Y10*(1+Inputs!$B$33/100))+MIN((Skills!Y10*(1+Inputs!$B$33/100)),MAX(0,Inputs!$B$35-((S92-1)*Skills!D10))))/Inputs!$B$35),IF(Inputs!$B$4="pvp",MIN((Skills!Y10*(1+Inputs!$B$33/100)),15)/15,(Skills!Y10*(1+Inputs!$B$33/100))/Skills!D10)))/100)*(1+((C97=TRUE)*F97*IF(AND(Inputs!$B$4&lt;&gt;"pvp",Inputs!$B$35&gt;0),(((S97-1)*(Skills!Y15*(1+Inputs!$B$33/100))+MIN((Skills!Y15*(1+Inputs!$B$33/100)),MAX(0,Inputs!$B$35-((S97-1)*Skills!D15))))/Inputs!$B$35),IF(Inputs!$B$4="pvp",MIN((Skills!Y15*(1+Inputs!$B$33/100)),15)/15,(Skills!Y15*(1+Inputs!$B$33/100))/Skills!D15)))/100))*B117*I95)</f>
        <v/>
      </c>
      <c r="L95">
        <f>K95*(MIN(Inputs!$B$21+((C106=TRUE)*(F106-Calc!F24)),Inputs!$B$22+((C111=TRUE)*(F111-Calc!F29)))/100+(Inputs!$B$22+((C111=TRUE)*(F111-Calc!F29)))/100)/2</f>
        <v/>
      </c>
      <c r="M95">
        <f>L95*(1+(Inputs!$B$9+((C108=TRUE)*(F108-Calc!F26))+B122)/100)</f>
        <v/>
      </c>
      <c r="N95">
        <f>L95*(1-MIN((Inputs!$B$8+((C107=TRUE)*(F107-Calc!F25))+B115),100)/100)+M95*(MIN((Inputs!$B$8+((C107=TRUE)*(F107-Calc!F25))+B115),100)/100)</f>
        <v/>
      </c>
      <c r="O95">
        <f>IF(C95,H95*N95*IF(AND(Inputs!$B$4&lt;&gt;"pvp",Inputs!$B$35&gt;0),((Skills!G13*((R95-1)*IF(Skills!H13&gt;0,Skills!I13/Skills!H13,1)+IF(Skills!H13&gt;0,MIN(Skills!I13,MAX(0,Inputs!$B$35-((R95-1)*IF(Inputs!$B$4="pvp",15,MAX(0.1,Skills!D13-IF(Skills!E13=TRUE,Inputs!$B$31,0))))))/Skills!H13,1)))/Inputs!$B$35),G95*Q95)*IF(Inputs!$B$4="pvp",1,(1-Summary!$B$55)*(1)+Summary!$B$55*(MIN(Skills!W13,Inputs!$B$37))),0)</f>
        <v/>
      </c>
      <c r="P95">
        <f>IF(B127=0,0,O95/B127)</f>
        <v/>
      </c>
      <c r="Q95">
        <f>IFERROR(1/IF(Inputs!$B$4="pvp",15,MAX(0.1,Skills!D13-IF(Skills!E13=TRUE,Inputs!$B$31,0))),0)</f>
        <v/>
      </c>
      <c r="R95">
        <f>IF(AND(Inputs!$B$4&lt;&gt;"pvp",Inputs!$B$35&gt;0),(INT(Inputs!$B$35/IF(Inputs!$B$4="pvp",15,MAX(0.1,Skills!D13-IF(Skills!E13=TRUE,Inputs!$B$31,0))))+1),0)</f>
        <v/>
      </c>
      <c r="S95">
        <f>IFERROR(O95/N95,0)</f>
        <v/>
      </c>
    </row>
    <row r="96">
      <c r="A96">
        <f>Skills!A14</f>
        <v/>
      </c>
      <c r="B96">
        <f>Skills!B14</f>
        <v/>
      </c>
      <c r="C96">
        <f>Inputs!$B$3&gt;=107</f>
        <v/>
      </c>
      <c r="D96">
        <f>IF(Skills!C14=1,60+Inputs!$B$24+Inputs!$B$28,IF(Skills!C14=2,90+Inputs!$B$25+Inputs!$B$28,IF(Skills!C14=3,120+Inputs!$B$26+Inputs!$B$28,MAX(0,(Inputs!$B$3-100)*3)+Inputs!$B$27+Inputs!$B$28)))</f>
        <v/>
      </c>
      <c r="E96">
        <f>INDEX(FactorTable!$B$2:$Y$301, MATCH(ROUND(MIN(300,MAX(1,D96)),0), FactorTable!$A$2:$A$301,0), Skills!M14+1)</f>
        <v/>
      </c>
      <c r="F96">
        <f>IF(Skills!N14=TRUE,(Skills!L14/10)*(E96/1000),Skills!L14/10)+Skills!O14</f>
        <v/>
      </c>
      <c r="G96">
        <f>Skills!G14*IF(Skills!H14&gt;0,Skills!I14/Skills!H14,1)</f>
        <v/>
      </c>
      <c r="H96">
        <f>1-(1-Skills!J14/100)^Skills!K14</f>
        <v/>
      </c>
      <c r="I96" t="inlineStr">
        <is>
          <t>1</t>
        </is>
      </c>
      <c r="J96">
        <f>(Inputs!$B$5*(1+Inputs!$B$6/100))*(F96/100)</f>
        <v/>
      </c>
      <c r="K96">
        <f>J96*(1+((Inputs!$B$11*(1+(Inputs!$B$12+1)/100))*0.01+Inputs!$B$13*0.0025)/100)*(1+Inputs!$B$14/100)*(1+IF(Inputs!$B$4="pvp",0,(1-Summary!$B$55)*(Inputs!$B$19+0+Skills!P14+B116)+Summary!$B$55*(Inputs!$B$20+Skills!Q14+B116))/100)*(1+Inputs!$B$15/100)*(5000/(6000+Inputs!$B$7*(1-Inputs!$B$18/100)))*(1+(Inputs!$B$23+((C112=TRUE)*(F112-Calc!F30)))/100)*(1+(IF(Skills!A14="CRUEL_STAB",Inputs!$B$16+((C109=TRUE)*(F109-Calc!F27)),Inputs!$B$17+((C110=TRUE)*(F110-Calc!F28))))/100)*(((1+(((C103=TRUE)*F103*IF(AND(Inputs!$B$4&lt;&gt;"pvp",Inputs!$B$35&gt;0),(((S103-1)*(Skills!Y21*(1+Inputs!$B$33/100))+MIN((Skills!Y21*(1+Inputs!$B$33/100)),MAX(0,Inputs!$B$35-((S103-1)*Skills!D21))))/Inputs!$B$35),IF(Inputs!$B$4="pvp",MIN((Skills!Y21*(1+Inputs!$B$33/100)),15)/15,(Skills!Y21*(1+Inputs!$B$33/100))/Skills!D21)))+((C105=TRUE)*(F105-Calc!F23))+((C99=TRUE)*(F99-Calc!F17)))/100)*(1+((C92=TRUE)*F92*IF(AND(Inputs!$B$4&lt;&gt;"pvp",Inputs!$B$35&gt;0),(((S92-1)*(Skills!Y10*(1+Inputs!$B$33/100))+MIN((Skills!Y10*(1+Inputs!$B$33/100)),MAX(0,Inputs!$B$35-((S92-1)*Skills!D10))))/Inputs!$B$35),IF(Inputs!$B$4="pvp",MIN((Skills!Y10*(1+Inputs!$B$33/100)),15)/15,(Skills!Y10*(1+Inputs!$B$33/100))/Skills!D10)))/100)*(1+((C97=TRUE)*F97*IF(AND(Inputs!$B$4&lt;&gt;"pvp",Inputs!$B$35&gt;0),(((S97-1)*(Skills!Y15*(1+Inputs!$B$33/100))+MIN((Skills!Y15*(1+Inputs!$B$33/100)),MAX(0,Inputs!$B$35-((S97-1)*Skills!D15))))/Inputs!$B$35),IF(Inputs!$B$4="pvp",MIN((Skills!Y15*(1+Inputs!$B$33/100)),15)/15,(Skills!Y15*(1+Inputs!$B$33/100))/Skills!D15)))/100))*B117*I96)</f>
        <v/>
      </c>
      <c r="L96">
        <f>K96*(MIN(Inputs!$B$21+((C106=TRUE)*(F106-Calc!F24)),Inputs!$B$22+((C111=TRUE)*(F111-Calc!F29)))/100+(Inputs!$B$22+((C111=TRUE)*(F111-Calc!F29)))/100)/2</f>
        <v/>
      </c>
      <c r="M96">
        <f>L96*(1+(Inputs!$B$9+((C108=TRUE)*(F108-Calc!F26))+B122)/100)</f>
        <v/>
      </c>
      <c r="N96">
        <f>L96*(1-MIN((Inputs!$B$8+((C107=TRUE)*(F107-Calc!F25))+B115),100)/100)+M96*(MIN((Inputs!$B$8+((C107=TRUE)*(F107-Calc!F25))+B115),100)/100)</f>
        <v/>
      </c>
      <c r="O96">
        <f>IF(C96,H96*N96*IF(AND(Inputs!$B$4&lt;&gt;"pvp",Inputs!$B$35&gt;0),((Skills!G14*((R96-1)*IF(Skills!H14&gt;0,Skills!I14/Skills!H14,1)+IF(Skills!H14&gt;0,MIN(Skills!I14,MAX(0,Inputs!$B$35-((R96-1)*IF(Inputs!$B$4="pvp",15,MAX(0.1,Skills!D14-IF(Skills!E14=TRUE,Inputs!$B$31,0))))))/Skills!H14,1)))/Inputs!$B$35),G96*Q96)*IF(Inputs!$B$4="pvp",1,(1-Summary!$B$55)*(1)+Summary!$B$55*(MIN(MIN(5,0.25*B119*Skills!D4)*Skills!V14,Inputs!$B$37))),0)</f>
        <v/>
      </c>
      <c r="P96">
        <f>IF(B127=0,0,O96/B127)</f>
        <v/>
      </c>
      <c r="Q96">
        <f>IFERROR(1/IF(Inputs!$B$4="pvp",15,MAX(0.1,Skills!D14-IF(Skills!E14=TRUE,Inputs!$B$31,0))),0)</f>
        <v/>
      </c>
      <c r="R96">
        <f>IF(AND(Inputs!$B$4&lt;&gt;"pvp",Inputs!$B$35&gt;0),(INT(Inputs!$B$35/IF(Inputs!$B$4="pvp",15,MAX(0.1,Skills!D14-IF(Skills!E14=TRUE,Inputs!$B$31,0))))+1),0)</f>
        <v/>
      </c>
      <c r="S96">
        <f>IFERROR(O96/N96,0)</f>
        <v/>
      </c>
    </row>
    <row r="97">
      <c r="A97">
        <f>Skills!A15</f>
        <v/>
      </c>
      <c r="B97">
        <f>Skills!B15</f>
        <v/>
      </c>
      <c r="C97">
        <f>Inputs!$B$3&gt;=110</f>
        <v/>
      </c>
      <c r="D97">
        <f>IF(Skills!C15=1,60+Inputs!$B$24+Inputs!$B$28,IF(Skills!C15=2,90+Inputs!$B$25+Inputs!$B$28,IF(Skills!C15=3,120+Inputs!$B$26+Inputs!$B$28,MAX(0,(Inputs!$B$3-100)*3)+Inputs!$B$27+Inputs!$B$28)))</f>
        <v/>
      </c>
      <c r="E97">
        <f>INDEX(FactorTable!$B$2:$Y$301, MATCH(ROUND(MIN(300,MAX(1,D97)),0), FactorTable!$A$2:$A$301,0), Skills!M15+1)</f>
        <v/>
      </c>
      <c r="F97">
        <f>IF(Skills!N15=TRUE,(Skills!L15/10)*(E97/1000),Skills!L15/10)+Skills!O15</f>
        <v/>
      </c>
      <c r="G97">
        <f>Skills!G15*IF(Skills!H15&gt;0,Skills!I15/Skills!H15,1)</f>
        <v/>
      </c>
      <c r="H97">
        <f>1-(1-Skills!J15/100)^Skills!K15</f>
        <v/>
      </c>
      <c r="I97" t="inlineStr">
        <is>
          <t>1</t>
        </is>
      </c>
      <c r="J97" t="inlineStr"/>
      <c r="K97" t="inlineStr"/>
      <c r="L97" t="inlineStr"/>
      <c r="M97" t="inlineStr"/>
      <c r="N97" t="inlineStr"/>
      <c r="O97" t="n">
        <v>0</v>
      </c>
      <c r="P97">
        <f>IF(B127=0,0,O97/B127)</f>
        <v/>
      </c>
      <c r="Q97">
        <f>IFERROR(1/IF(Inputs!$B$4="pvp",15,MAX(0.1,Skills!D15-IF(Skills!E15=TRUE,Inputs!$B$31,0))),0)</f>
        <v/>
      </c>
      <c r="R97">
        <f>IF(AND(Inputs!$B$4&lt;&gt;"pvp",Inputs!$B$35&gt;0),(INT(Inputs!$B$35/IF(Inputs!$B$4="pvp",15,MAX(0.1,Skills!D15-IF(Skills!E15=TRUE,Inputs!$B$31,0))))+1),0)</f>
        <v/>
      </c>
      <c r="S97">
        <f>IFERROR(O97/N97,0)</f>
        <v/>
      </c>
    </row>
    <row r="98">
      <c r="A98">
        <f>Skills!A16</f>
        <v/>
      </c>
      <c r="B98">
        <f>Skills!B16</f>
        <v/>
      </c>
      <c r="C98">
        <f>Inputs!$B$3&gt;=115</f>
        <v/>
      </c>
      <c r="D98">
        <f>IF(Skills!C16=1,60+Inputs!$B$24+Inputs!$B$28,IF(Skills!C16=2,90+Inputs!$B$25+Inputs!$B$28,IF(Skills!C16=3,120+Inputs!$B$26+Inputs!$B$28,MAX(0,(Inputs!$B$3-100)*3)+Inputs!$B$27+Inputs!$B$28)))</f>
        <v/>
      </c>
      <c r="E98">
        <f>INDEX(FactorTable!$B$2:$Y$301, MATCH(ROUND(MIN(300,MAX(1,D98)),0), FactorTable!$A$2:$A$301,0), Skills!M16+1)</f>
        <v/>
      </c>
      <c r="F98">
        <f>IF(Skills!N16=TRUE,(Skills!L16/10)*(E98/1000),Skills!L16/10)+Skills!O16</f>
        <v/>
      </c>
      <c r="G98">
        <f>Skills!G16*IF(Skills!H16&gt;0,Skills!I16/Skills!H16,1)</f>
        <v/>
      </c>
      <c r="H98">
        <f>1-(1-Skills!J16/100)^Skills!K16</f>
        <v/>
      </c>
      <c r="I98" t="inlineStr">
        <is>
          <t>1</t>
        </is>
      </c>
      <c r="J98">
        <f>(Inputs!$B$5*(1+Inputs!$B$6/100))*(F98/100)</f>
        <v/>
      </c>
      <c r="K98">
        <f>J98*(1+((Inputs!$B$11*(1+(Inputs!$B$12+1)/100))*0.01+Inputs!$B$13*0.0025)/100)*(1+Inputs!$B$14/100)*(1+IF(Inputs!$B$4="pvp",0,(1-Summary!$B$55)*(Inputs!$B$19+0+Skills!P16+B116)+Summary!$B$55*(Inputs!$B$20+Skills!Q16+B116))/100)*(1+Inputs!$B$15/100)*(5000/(6000+Inputs!$B$7*(1-Inputs!$B$18/100)))*(1+(Inputs!$B$23+((C112=TRUE)*(F112-Calc!F30)))/100)*(1+(IF(Skills!A16="CRUEL_STAB",Inputs!$B$16+((C109=TRUE)*(F109-Calc!F27)),Inputs!$B$17+((C110=TRUE)*(F110-Calc!F28))))/100)*(((1+(((C103=TRUE)*F103*IF(AND(Inputs!$B$4&lt;&gt;"pvp",Inputs!$B$35&gt;0),(((S103-1)*(Skills!Y21*(1+Inputs!$B$33/100))+MIN((Skills!Y21*(1+Inputs!$B$33/100)),MAX(0,Inputs!$B$35-((S103-1)*Skills!D21))))/Inputs!$B$35),IF(Inputs!$B$4="pvp",MIN((Skills!Y21*(1+Inputs!$B$33/100)),15)/15,(Skills!Y21*(1+Inputs!$B$33/100))/Skills!D21)))+((C105=TRUE)*(F105-Calc!F23))+((C99=TRUE)*(F99-Calc!F17)))/100)*(1+((C92=TRUE)*F92*IF(AND(Inputs!$B$4&lt;&gt;"pvp",Inputs!$B$35&gt;0),(((S92-1)*(Skills!Y10*(1+Inputs!$B$33/100))+MIN((Skills!Y10*(1+Inputs!$B$33/100)),MAX(0,Inputs!$B$35-((S92-1)*Skills!D10))))/Inputs!$B$35),IF(Inputs!$B$4="pvp",MIN((Skills!Y10*(1+Inputs!$B$33/100)),15)/15,(Skills!Y10*(1+Inputs!$B$33/100))/Skills!D10)))/100)*(1+((C97=TRUE)*F97*IF(AND(Inputs!$B$4&lt;&gt;"pvp",Inputs!$B$35&gt;0),(((S97-1)*(Skills!Y15*(1+Inputs!$B$33/100))+MIN((Skills!Y15*(1+Inputs!$B$33/100)),MAX(0,Inputs!$B$35-((S97-1)*Skills!D15))))/Inputs!$B$35),IF(Inputs!$B$4="pvp",MIN((Skills!Y15*(1+Inputs!$B$33/100)),15)/15,(Skills!Y15*(1+Inputs!$B$33/100))/Skills!D15)))/100))*B117*I98)</f>
        <v/>
      </c>
      <c r="L98">
        <f>K98*(MIN(Inputs!$B$21+((C106=TRUE)*(F106-Calc!F24)),Inputs!$B$22+((C111=TRUE)*(F111-Calc!F29)))/100+(Inputs!$B$22+((C111=TRUE)*(F111-Calc!F29)))/100)/2</f>
        <v/>
      </c>
      <c r="M98">
        <f>L98*(1+(Inputs!$B$9+((C108=TRUE)*(F108-Calc!F26))+B122)/100)</f>
        <v/>
      </c>
      <c r="N98">
        <f>L98*(1-MIN((Inputs!$B$8+((C107=TRUE)*(F107-Calc!F25))+B115),100)/100)+M98*(MIN((Inputs!$B$8+((C107=TRUE)*(F107-Calc!F25))+B115),100)/100)</f>
        <v/>
      </c>
      <c r="O98">
        <f>IF(C98,Inputs!$B$38*0.2*N98,0)</f>
        <v/>
      </c>
      <c r="P98">
        <f>IF(B127=0,0,O98/B127)</f>
        <v/>
      </c>
      <c r="Q98" t="n">
        <v>0</v>
      </c>
      <c r="R98" t="n">
        <v>0</v>
      </c>
      <c r="S98">
        <f>IFERROR(O98/N98,0)</f>
        <v/>
      </c>
    </row>
    <row r="99">
      <c r="A99">
        <f>Skills!A17</f>
        <v/>
      </c>
      <c r="B99">
        <f>Skills!B17</f>
        <v/>
      </c>
      <c r="C99">
        <f>Inputs!$B$3&gt;=115</f>
        <v/>
      </c>
      <c r="D99">
        <f>IF(Skills!C17=1,60+Inputs!$B$24+Inputs!$B$28,IF(Skills!C17=2,90+Inputs!$B$25+Inputs!$B$28,IF(Skills!C17=3,120+Inputs!$B$26+Inputs!$B$28,MAX(0,(Inputs!$B$3-100)*3)+Inputs!$B$27+Inputs!$B$28)))</f>
        <v/>
      </c>
      <c r="E99">
        <f>INDEX(FactorTable!$B$2:$Y$301, MATCH(ROUND(MIN(300,MAX(1,D99)),0), FactorTable!$A$2:$A$301,0), Skills!M17+1)</f>
        <v/>
      </c>
      <c r="F99">
        <f>IF(Skills!N17=TRUE,(Skills!L17/10)*(E99/1000),Skills!L17/10)+Skills!O17</f>
        <v/>
      </c>
      <c r="G99">
        <f>Skills!G17*IF(Skills!H17&gt;0,Skills!I17/Skills!H17,1)</f>
        <v/>
      </c>
      <c r="H99">
        <f>1-(1-Skills!J17/100)^Skills!K17</f>
        <v/>
      </c>
      <c r="I99" t="inlineStr">
        <is>
          <t>1</t>
        </is>
      </c>
      <c r="J99" t="inlineStr"/>
      <c r="K99" t="inlineStr"/>
      <c r="L99" t="inlineStr"/>
      <c r="M99" t="inlineStr"/>
      <c r="N99" t="inlineStr"/>
      <c r="O99" t="n">
        <v>0</v>
      </c>
      <c r="P99">
        <f>IF(B127=0,0,O99/B127)</f>
        <v/>
      </c>
      <c r="Q99" t="n">
        <v>0</v>
      </c>
      <c r="R99" t="n">
        <v>0</v>
      </c>
      <c r="S99">
        <f>IFERROR(O99/N99,0)</f>
        <v/>
      </c>
    </row>
    <row r="100">
      <c r="A100">
        <f>Skills!A18</f>
        <v/>
      </c>
      <c r="B100">
        <f>Skills!B18</f>
        <v/>
      </c>
      <c r="C100">
        <f>Inputs!$B$3&gt;=100</f>
        <v/>
      </c>
      <c r="D100">
        <f>IF(Skills!C18=1,60+Inputs!$B$24+Inputs!$B$28,IF(Skills!C18=2,90+Inputs!$B$25+Inputs!$B$28,IF(Skills!C18=3,120+Inputs!$B$26+Inputs!$B$28,MAX(0,(Inputs!$B$3-100)*3)+Inputs!$B$27+Inputs!$B$28)))</f>
        <v/>
      </c>
      <c r="E100">
        <f>INDEX(FactorTable!$B$2:$Y$301, MATCH(ROUND(MIN(300,MAX(1,D100)),0), FactorTable!$A$2:$A$301,0), Skills!M18+1)</f>
        <v/>
      </c>
      <c r="F100">
        <f>IF(Skills!N18=TRUE,(Skills!L18/10)*(E100/1000),Skills!L18/10)+Skills!O18</f>
        <v/>
      </c>
      <c r="G100">
        <f>Skills!G18*IF(Skills!H18&gt;0,Skills!I18/Skills!H18,1)</f>
        <v/>
      </c>
      <c r="H100">
        <f>1-(1-Skills!J18/100)^Skills!K18</f>
        <v/>
      </c>
      <c r="I100" t="inlineStr">
        <is>
          <t>1</t>
        </is>
      </c>
      <c r="J100" t="inlineStr"/>
      <c r="K100" t="inlineStr"/>
      <c r="L100" t="inlineStr"/>
      <c r="M100" t="inlineStr"/>
      <c r="N100" t="inlineStr"/>
      <c r="O100" t="n">
        <v>0</v>
      </c>
      <c r="P100">
        <f>IF(B127=0,0,O100/B127)</f>
        <v/>
      </c>
      <c r="Q100" t="n">
        <v>0</v>
      </c>
      <c r="R100" t="n">
        <v>0</v>
      </c>
      <c r="S100">
        <f>IFERROR(O100/N100,0)</f>
        <v/>
      </c>
    </row>
    <row r="101">
      <c r="A101">
        <f>Skills!A19</f>
        <v/>
      </c>
      <c r="B101">
        <f>Skills!B19</f>
        <v/>
      </c>
      <c r="C101">
        <f>TRUE</f>
        <v/>
      </c>
      <c r="D101">
        <f>IF(Skills!C19=1,60+Inputs!$B$24+Inputs!$B$28,IF(Skills!C19=2,90+Inputs!$B$25+Inputs!$B$28,IF(Skills!C19=3,120+Inputs!$B$26+Inputs!$B$28,MAX(0,(Inputs!$B$3-100)*3)+Inputs!$B$27+Inputs!$B$28)))</f>
        <v/>
      </c>
      <c r="E101">
        <f>INDEX(FactorTable!$B$2:$Y$301, MATCH(ROUND(MIN(300,MAX(1,D101)),0), FactorTable!$A$2:$A$301,0), Skills!M19+1)</f>
        <v/>
      </c>
      <c r="F101">
        <f>IF(Skills!N19=TRUE,(Skills!L19/10)*(E101/1000),Skills!L19/10)+Skills!O19</f>
        <v/>
      </c>
      <c r="G101">
        <f>Skills!G19*IF(Skills!H19&gt;0,Skills!I19/Skills!H19,1)</f>
        <v/>
      </c>
      <c r="H101">
        <f>1-(1-Skills!J19/100)^Skills!K19</f>
        <v/>
      </c>
      <c r="I101" t="inlineStr">
        <is>
          <t>1</t>
        </is>
      </c>
      <c r="J101" t="inlineStr"/>
      <c r="K101" t="inlineStr"/>
      <c r="L101" t="inlineStr"/>
      <c r="M101" t="inlineStr"/>
      <c r="N101" t="inlineStr"/>
      <c r="O101" t="n">
        <v>0</v>
      </c>
      <c r="P101">
        <f>IF(B127=0,0,O101/B127)</f>
        <v/>
      </c>
      <c r="Q101">
        <f>IFERROR(1/IF(Inputs!$B$4="pvp",15,MAX(0.1,Skills!D19-IF(Skills!E19=TRUE,Inputs!$B$31,0))),0)</f>
        <v/>
      </c>
      <c r="R101">
        <f>IF(AND(Inputs!$B$4&lt;&gt;"pvp",Inputs!$B$35&gt;0),(INT(Inputs!$B$35/IF(Inputs!$B$4="pvp",15,MAX(0.1,Skills!D19-IF(Skills!E19=TRUE,Inputs!$B$31,0))))+1),0)</f>
        <v/>
      </c>
      <c r="S101">
        <f>IFERROR(O101/N101,0)</f>
        <v/>
      </c>
    </row>
    <row r="102">
      <c r="A102">
        <f>Skills!A20</f>
        <v/>
      </c>
      <c r="B102">
        <f>Skills!B20</f>
        <v/>
      </c>
      <c r="C102">
        <f>Inputs!$B$3&gt;=15</f>
        <v/>
      </c>
      <c r="D102">
        <f>IF(Skills!C20=1,60+Inputs!$B$24+Inputs!$B$28,IF(Skills!C20=2,90+Inputs!$B$25+Inputs!$B$28,IF(Skills!C20=3,120+Inputs!$B$26+Inputs!$B$28,MAX(0,(Inputs!$B$3-100)*3)+Inputs!$B$27+Inputs!$B$28)))</f>
        <v/>
      </c>
      <c r="E102">
        <f>INDEX(FactorTable!$B$2:$Y$301, MATCH(ROUND(MIN(300,MAX(1,D102)),0), FactorTable!$A$2:$A$301,0), Skills!M20+1)</f>
        <v/>
      </c>
      <c r="F102">
        <f>IF(Skills!N20=TRUE,(Skills!L20/10)*(E102/1000),Skills!L20/10)+Skills!O20</f>
        <v/>
      </c>
      <c r="G102">
        <f>Skills!G20*IF(Skills!H20&gt;0,Skills!I20/Skills!H20,1)</f>
        <v/>
      </c>
      <c r="H102">
        <f>1-(1-Skills!J20/100)^Skills!K20</f>
        <v/>
      </c>
      <c r="I102" t="inlineStr">
        <is>
          <t>1</t>
        </is>
      </c>
      <c r="J102" t="inlineStr"/>
      <c r="K102" t="inlineStr"/>
      <c r="L102" t="inlineStr"/>
      <c r="M102" t="inlineStr"/>
      <c r="N102" t="inlineStr"/>
      <c r="O102" t="n">
        <v>0</v>
      </c>
      <c r="P102">
        <f>IF(B127=0,0,O102/B127)</f>
        <v/>
      </c>
      <c r="Q102">
        <f>IFERROR(1/IF(Inputs!$B$4="pvp",15,MAX(0.1,Skills!D20-IF(Skills!E20=TRUE,Inputs!$B$31,0))),0)</f>
        <v/>
      </c>
      <c r="R102">
        <f>IF(AND(Inputs!$B$4&lt;&gt;"pvp",Inputs!$B$35&gt;0),(INT(Inputs!$B$35/IF(Inputs!$B$4="pvp",15,MAX(0.1,Skills!D20-IF(Skills!E20=TRUE,Inputs!$B$31,0))))+1),0)</f>
        <v/>
      </c>
      <c r="S102">
        <f>IFERROR(O102/N102,0)</f>
        <v/>
      </c>
    </row>
    <row r="103">
      <c r="A103">
        <f>Skills!A21</f>
        <v/>
      </c>
      <c r="B103">
        <f>Skills!B21</f>
        <v/>
      </c>
      <c r="C103">
        <f>Inputs!$B$3&gt;=15</f>
        <v/>
      </c>
      <c r="D103">
        <f>IF(Skills!C21=1,60+Inputs!$B$24+Inputs!$B$28,IF(Skills!C21=2,90+Inputs!$B$25+Inputs!$B$28,IF(Skills!C21=3,120+Inputs!$B$26+Inputs!$B$28,MAX(0,(Inputs!$B$3-100)*3)+Inputs!$B$27+Inputs!$B$28)))</f>
        <v/>
      </c>
      <c r="E103">
        <f>INDEX(FactorTable!$B$2:$Y$301, MATCH(ROUND(MIN(300,MAX(1,D103)),0), FactorTable!$A$2:$A$301,0), Skills!M21+1)</f>
        <v/>
      </c>
      <c r="F103">
        <f>IF(Skills!N21=TRUE,(Skills!L21/10)*(E103/1000),Skills!L21/10)+Skills!O21</f>
        <v/>
      </c>
      <c r="G103">
        <f>Skills!G21*IF(Skills!H21&gt;0,Skills!I21/Skills!H21,1)</f>
        <v/>
      </c>
      <c r="H103">
        <f>1-(1-Skills!J21/100)^Skills!K21</f>
        <v/>
      </c>
      <c r="I103" t="inlineStr">
        <is>
          <t>1</t>
        </is>
      </c>
      <c r="J103" t="inlineStr"/>
      <c r="K103" t="inlineStr"/>
      <c r="L103" t="inlineStr"/>
      <c r="M103" t="inlineStr"/>
      <c r="N103" t="inlineStr"/>
      <c r="O103" t="n">
        <v>0</v>
      </c>
      <c r="P103">
        <f>IF(B127=0,0,O103/B127)</f>
        <v/>
      </c>
      <c r="Q103">
        <f>IFERROR(1/IF(Inputs!$B$4="pvp",15,MAX(0.1,Skills!D21-IF(Skills!E21=TRUE,Inputs!$B$31,0))),0)</f>
        <v/>
      </c>
      <c r="R103">
        <f>IF(AND(Inputs!$B$4&lt;&gt;"pvp",Inputs!$B$35&gt;0),(INT(Inputs!$B$35/IF(Inputs!$B$4="pvp",15,MAX(0.1,Skills!D21-IF(Skills!E21=TRUE,Inputs!$B$31,0))))+1),0)</f>
        <v/>
      </c>
      <c r="S103">
        <f>IFERROR(O103/N103,0)</f>
        <v/>
      </c>
    </row>
    <row r="104">
      <c r="A104">
        <f>Skills!A22</f>
        <v/>
      </c>
      <c r="B104">
        <f>Skills!B22</f>
        <v/>
      </c>
      <c r="C104">
        <f>Inputs!$B$3&gt;=33</f>
        <v/>
      </c>
      <c r="D104">
        <f>IF(Skills!C22=1,60+Inputs!$B$24+Inputs!$B$28,IF(Skills!C22=2,90+Inputs!$B$25+Inputs!$B$28,IF(Skills!C22=3,120+Inputs!$B$26+Inputs!$B$28,MAX(0,(Inputs!$B$3-100)*3)+Inputs!$B$27+Inputs!$B$28)))</f>
        <v/>
      </c>
      <c r="E104">
        <f>INDEX(FactorTable!$B$2:$Y$301, MATCH(ROUND(MIN(300,MAX(1,D104)),0), FactorTable!$A$2:$A$301,0), Skills!M22+1)</f>
        <v/>
      </c>
      <c r="F104">
        <f>IF(Skills!N22=TRUE,(Skills!L22/10)*(E104/1000),Skills!L22/10)+Skills!O22</f>
        <v/>
      </c>
      <c r="G104">
        <f>Skills!G22*IF(Skills!H22&gt;0,Skills!I22/Skills!H22,1)</f>
        <v/>
      </c>
      <c r="H104">
        <f>1-(1-Skills!J22/100)^Skills!K22</f>
        <v/>
      </c>
      <c r="I104" t="inlineStr">
        <is>
          <t>1</t>
        </is>
      </c>
      <c r="J104" t="inlineStr"/>
      <c r="K104" t="inlineStr"/>
      <c r="L104" t="inlineStr"/>
      <c r="M104" t="inlineStr"/>
      <c r="N104" t="inlineStr"/>
      <c r="O104" t="n">
        <v>0</v>
      </c>
      <c r="P104">
        <f>IF(B127=0,0,O104/B127)</f>
        <v/>
      </c>
      <c r="Q104" t="n">
        <v>0</v>
      </c>
      <c r="R104" t="n">
        <v>0</v>
      </c>
      <c r="S104">
        <f>IFERROR(O104/N104,0)</f>
        <v/>
      </c>
    </row>
    <row r="105">
      <c r="A105">
        <f>Skills!A23</f>
        <v/>
      </c>
      <c r="B105">
        <f>Skills!B23</f>
        <v/>
      </c>
      <c r="C105">
        <f>Inputs!$B$3&gt;=40</f>
        <v/>
      </c>
      <c r="D105">
        <f>IF(Skills!C23=1,60+Inputs!$B$24+Inputs!$B$28,IF(Skills!C23=2,90+Inputs!$B$25+Inputs!$B$28,IF(Skills!C23=3,120+Inputs!$B$26+Inputs!$B$28,MAX(0,(Inputs!$B$3-100)*3)+Inputs!$B$27+Inputs!$B$28)))</f>
        <v/>
      </c>
      <c r="E105">
        <f>INDEX(FactorTable!$B$2:$Y$301, MATCH(ROUND(MIN(300,MAX(1,D105)),0), FactorTable!$A$2:$A$301,0), Skills!M23+1)</f>
        <v/>
      </c>
      <c r="F105">
        <f>IF(Skills!N23=TRUE,(Skills!L23/10)*(E105/1000),Skills!L23/10)+Skills!O23</f>
        <v/>
      </c>
      <c r="G105">
        <f>Skills!G23*IF(Skills!H23&gt;0,Skills!I23/Skills!H23,1)</f>
        <v/>
      </c>
      <c r="H105">
        <f>1-(1-Skills!J23/100)^Skills!K23</f>
        <v/>
      </c>
      <c r="I105" t="inlineStr">
        <is>
          <t>1</t>
        </is>
      </c>
      <c r="J105" t="inlineStr"/>
      <c r="K105" t="inlineStr"/>
      <c r="L105" t="inlineStr"/>
      <c r="M105" t="inlineStr"/>
      <c r="N105" t="inlineStr"/>
      <c r="O105" t="n">
        <v>0</v>
      </c>
      <c r="P105">
        <f>IF(B127=0,0,O105/B127)</f>
        <v/>
      </c>
      <c r="Q105" t="n">
        <v>0</v>
      </c>
      <c r="R105" t="n">
        <v>0</v>
      </c>
      <c r="S105">
        <f>IFERROR(O105/N105,0)</f>
        <v/>
      </c>
    </row>
    <row r="106">
      <c r="A106">
        <f>Skills!A24</f>
        <v/>
      </c>
      <c r="B106">
        <f>Skills!B24</f>
        <v/>
      </c>
      <c r="C106">
        <f>Inputs!$B$3&gt;=43</f>
        <v/>
      </c>
      <c r="D106">
        <f>IF(Skills!C24=1,60+Inputs!$B$24+Inputs!$B$28,IF(Skills!C24=2,90+Inputs!$B$25+Inputs!$B$28,IF(Skills!C24=3,120+Inputs!$B$26+Inputs!$B$28,MAX(0,(Inputs!$B$3-100)*3)+Inputs!$B$27+Inputs!$B$28)))</f>
        <v/>
      </c>
      <c r="E106">
        <f>INDEX(FactorTable!$B$2:$Y$301, MATCH(ROUND(MIN(300,MAX(1,D106)),0), FactorTable!$A$2:$A$301,0), Skills!M24+1)</f>
        <v/>
      </c>
      <c r="F106">
        <f>IF(Skills!N24=TRUE,(Skills!L24/10)*(E106/1000),Skills!L24/10)+Skills!O24</f>
        <v/>
      </c>
      <c r="G106">
        <f>Skills!G24*IF(Skills!H24&gt;0,Skills!I24/Skills!H24,1)</f>
        <v/>
      </c>
      <c r="H106">
        <f>1-(1-Skills!J24/100)^Skills!K24</f>
        <v/>
      </c>
      <c r="I106" t="inlineStr">
        <is>
          <t>1</t>
        </is>
      </c>
      <c r="J106" t="inlineStr"/>
      <c r="K106" t="inlineStr"/>
      <c r="L106" t="inlineStr"/>
      <c r="M106" t="inlineStr"/>
      <c r="N106" t="inlineStr"/>
      <c r="O106" t="n">
        <v>0</v>
      </c>
      <c r="P106">
        <f>IF(B127=0,0,O106/B127)</f>
        <v/>
      </c>
      <c r="Q106" t="n">
        <v>0</v>
      </c>
      <c r="R106" t="n">
        <v>0</v>
      </c>
      <c r="S106">
        <f>IFERROR(O106/N106,0)</f>
        <v/>
      </c>
    </row>
    <row r="107">
      <c r="A107">
        <f>Skills!A25</f>
        <v/>
      </c>
      <c r="B107">
        <f>Skills!B25</f>
        <v/>
      </c>
      <c r="C107">
        <f>Inputs!$B$3&gt;=50</f>
        <v/>
      </c>
      <c r="D107">
        <f>IF(Skills!C25=1,60+Inputs!$B$24+Inputs!$B$28,IF(Skills!C25=2,90+Inputs!$B$25+Inputs!$B$28,IF(Skills!C25=3,120+Inputs!$B$26+Inputs!$B$28,MAX(0,(Inputs!$B$3-100)*3)+Inputs!$B$27+Inputs!$B$28)))</f>
        <v/>
      </c>
      <c r="E107">
        <f>INDEX(FactorTable!$B$2:$Y$301, MATCH(ROUND(MIN(300,MAX(1,D107)),0), FactorTable!$A$2:$A$301,0), Skills!M25+1)</f>
        <v/>
      </c>
      <c r="F107">
        <f>IF(Skills!N25=TRUE,(Skills!L25/10)*(E107/1000),Skills!L25/10)+Skills!O25</f>
        <v/>
      </c>
      <c r="G107">
        <f>Skills!G25*IF(Skills!H25&gt;0,Skills!I25/Skills!H25,1)</f>
        <v/>
      </c>
      <c r="H107">
        <f>1-(1-Skills!J25/100)^Skills!K25</f>
        <v/>
      </c>
      <c r="I107" t="inlineStr">
        <is>
          <t>1</t>
        </is>
      </c>
      <c r="J107" t="inlineStr"/>
      <c r="K107" t="inlineStr"/>
      <c r="L107" t="inlineStr"/>
      <c r="M107" t="inlineStr"/>
      <c r="N107" t="inlineStr"/>
      <c r="O107" t="n">
        <v>0</v>
      </c>
      <c r="P107">
        <f>IF(B127=0,0,O107/B127)</f>
        <v/>
      </c>
      <c r="Q107" t="n">
        <v>0</v>
      </c>
      <c r="R107" t="n">
        <v>0</v>
      </c>
      <c r="S107">
        <f>IFERROR(O107/N107,0)</f>
        <v/>
      </c>
    </row>
    <row r="108">
      <c r="A108">
        <f>Skills!A26</f>
        <v/>
      </c>
      <c r="B108">
        <f>Skills!B26</f>
        <v/>
      </c>
      <c r="C108">
        <f>Inputs!$B$3&gt;=50</f>
        <v/>
      </c>
      <c r="D108">
        <f>IF(Skills!C26=1,60+Inputs!$B$24+Inputs!$B$28,IF(Skills!C26=2,90+Inputs!$B$25+Inputs!$B$28,IF(Skills!C26=3,120+Inputs!$B$26+Inputs!$B$28,MAX(0,(Inputs!$B$3-100)*3)+Inputs!$B$27+Inputs!$B$28)))</f>
        <v/>
      </c>
      <c r="E108">
        <f>INDEX(FactorTable!$B$2:$Y$301, MATCH(ROUND(MIN(300,MAX(1,D108)),0), FactorTable!$A$2:$A$301,0), Skills!M26+1)</f>
        <v/>
      </c>
      <c r="F108">
        <f>IF(Skills!N26=TRUE,(Skills!L26/10)*(E108/1000),Skills!L26/10)+Skills!O26</f>
        <v/>
      </c>
      <c r="G108">
        <f>Skills!G26*IF(Skills!H26&gt;0,Skills!I26/Skills!H26,1)</f>
        <v/>
      </c>
      <c r="H108">
        <f>1-(1-Skills!J26/100)^Skills!K26</f>
        <v/>
      </c>
      <c r="I108" t="inlineStr">
        <is>
          <t>1</t>
        </is>
      </c>
      <c r="J108" t="inlineStr"/>
      <c r="K108" t="inlineStr"/>
      <c r="L108" t="inlineStr"/>
      <c r="M108" t="inlineStr"/>
      <c r="N108" t="inlineStr"/>
      <c r="O108" t="n">
        <v>0</v>
      </c>
      <c r="P108">
        <f>IF(B127=0,0,O108/B127)</f>
        <v/>
      </c>
      <c r="Q108" t="n">
        <v>0</v>
      </c>
      <c r="R108" t="n">
        <v>0</v>
      </c>
      <c r="S108">
        <f>IFERROR(O108/N108,0)</f>
        <v/>
      </c>
    </row>
    <row r="109">
      <c r="A109">
        <f>Skills!A27</f>
        <v/>
      </c>
      <c r="B109">
        <f>Skills!B27</f>
        <v/>
      </c>
      <c r="C109">
        <f>Inputs!$B$3&gt;=38</f>
        <v/>
      </c>
      <c r="D109">
        <f>IF(Skills!C27=1,60+Inputs!$B$24+Inputs!$B$28,IF(Skills!C27=2,90+Inputs!$B$25+Inputs!$B$28,IF(Skills!C27=3,120+Inputs!$B$26+Inputs!$B$28,MAX(0,(Inputs!$B$3-100)*3)+Inputs!$B$27+Inputs!$B$28)))</f>
        <v/>
      </c>
      <c r="E109">
        <f>INDEX(FactorTable!$B$2:$Y$301, MATCH(ROUND(MIN(300,MAX(1,D109)),0), FactorTable!$A$2:$A$301,0), Skills!M27+1)</f>
        <v/>
      </c>
      <c r="F109">
        <f>IF(Skills!N27=TRUE,(Skills!L27/10)*(E109/1000),Skills!L27/10)+Skills!O27</f>
        <v/>
      </c>
      <c r="G109">
        <f>Skills!G27*IF(Skills!H27&gt;0,Skills!I27/Skills!H27,1)</f>
        <v/>
      </c>
      <c r="H109">
        <f>1-(1-Skills!J27/100)^Skills!K27</f>
        <v/>
      </c>
      <c r="I109" t="inlineStr">
        <is>
          <t>1</t>
        </is>
      </c>
      <c r="J109" t="inlineStr"/>
      <c r="K109" t="inlineStr"/>
      <c r="L109" t="inlineStr"/>
      <c r="M109" t="inlineStr"/>
      <c r="N109" t="inlineStr"/>
      <c r="O109" t="n">
        <v>0</v>
      </c>
      <c r="P109">
        <f>IF(B127=0,0,O109/B127)</f>
        <v/>
      </c>
      <c r="Q109" t="n">
        <v>0</v>
      </c>
      <c r="R109" t="n">
        <v>0</v>
      </c>
      <c r="S109">
        <f>IFERROR(O109/N109,0)</f>
        <v/>
      </c>
    </row>
    <row r="110">
      <c r="A110">
        <f>Skills!A28</f>
        <v/>
      </c>
      <c r="B110">
        <f>Skills!B28</f>
        <v/>
      </c>
      <c r="C110">
        <f>Inputs!$B$3&gt;=120</f>
        <v/>
      </c>
      <c r="D110">
        <f>IF(Skills!C28=1,60+Inputs!$B$24+Inputs!$B$28,IF(Skills!C28=2,90+Inputs!$B$25+Inputs!$B$28,IF(Skills!C28=3,120+Inputs!$B$26+Inputs!$B$28,MAX(0,(Inputs!$B$3-100)*3)+Inputs!$B$27+Inputs!$B$28)))</f>
        <v/>
      </c>
      <c r="E110">
        <f>INDEX(FactorTable!$B$2:$Y$301, MATCH(ROUND(MIN(300,MAX(1,D110)),0), FactorTable!$A$2:$A$301,0), Skills!M28+1)</f>
        <v/>
      </c>
      <c r="F110">
        <f>IF(Skills!N28=TRUE,(Skills!L28/10)*(E110/1000),Skills!L28/10)+Skills!O28</f>
        <v/>
      </c>
      <c r="G110">
        <f>Skills!G28*IF(Skills!H28&gt;0,Skills!I28/Skills!H28,1)</f>
        <v/>
      </c>
      <c r="H110">
        <f>1-(1-Skills!J28/100)^Skills!K28</f>
        <v/>
      </c>
      <c r="I110" t="inlineStr">
        <is>
          <t>1</t>
        </is>
      </c>
      <c r="J110" t="inlineStr"/>
      <c r="K110" t="inlineStr"/>
      <c r="L110" t="inlineStr"/>
      <c r="M110" t="inlineStr"/>
      <c r="N110" t="inlineStr"/>
      <c r="O110" t="n">
        <v>0</v>
      </c>
      <c r="P110">
        <f>IF(B127=0,0,O110/B127)</f>
        <v/>
      </c>
      <c r="Q110" t="n">
        <v>0</v>
      </c>
      <c r="R110" t="n">
        <v>0</v>
      </c>
      <c r="S110">
        <f>IFERROR(O110/N110,0)</f>
        <v/>
      </c>
    </row>
    <row r="111">
      <c r="A111">
        <f>Skills!A29</f>
        <v/>
      </c>
      <c r="B111">
        <f>Skills!B29</f>
        <v/>
      </c>
      <c r="C111">
        <f>Inputs!$B$3&gt;=120</f>
        <v/>
      </c>
      <c r="D111">
        <f>IF(Skills!C29=1,60+Inputs!$B$24+Inputs!$B$28,IF(Skills!C29=2,90+Inputs!$B$25+Inputs!$B$28,IF(Skills!C29=3,120+Inputs!$B$26+Inputs!$B$28,MAX(0,(Inputs!$B$3-100)*3)+Inputs!$B$27+Inputs!$B$28)))</f>
        <v/>
      </c>
      <c r="E111">
        <f>INDEX(FactorTable!$B$2:$Y$301, MATCH(ROUND(MIN(300,MAX(1,D111)),0), FactorTable!$A$2:$A$301,0), Skills!M29+1)</f>
        <v/>
      </c>
      <c r="F111">
        <f>IF(Skills!N29=TRUE,(Skills!L29/10)*(E111/1000),Skills!L29/10)+Skills!O29</f>
        <v/>
      </c>
      <c r="G111">
        <f>Skills!G29*IF(Skills!H29&gt;0,Skills!I29/Skills!H29,1)</f>
        <v/>
      </c>
      <c r="H111">
        <f>1-(1-Skills!J29/100)^Skills!K29</f>
        <v/>
      </c>
      <c r="I111" t="inlineStr">
        <is>
          <t>1</t>
        </is>
      </c>
      <c r="J111" t="inlineStr"/>
      <c r="K111" t="inlineStr"/>
      <c r="L111" t="inlineStr"/>
      <c r="M111" t="inlineStr"/>
      <c r="N111" t="inlineStr"/>
      <c r="O111" t="n">
        <v>0</v>
      </c>
      <c r="P111">
        <f>IF(B127=0,0,O111/B127)</f>
        <v/>
      </c>
      <c r="Q111" t="n">
        <v>0</v>
      </c>
      <c r="R111" t="n">
        <v>0</v>
      </c>
      <c r="S111">
        <f>IFERROR(O111/N111,0)</f>
        <v/>
      </c>
    </row>
    <row r="112">
      <c r="A112">
        <f>Skills!A30</f>
        <v/>
      </c>
      <c r="B112">
        <f>Skills!B30</f>
        <v/>
      </c>
      <c r="C112">
        <f>Inputs!$B$3&gt;=125</f>
        <v/>
      </c>
      <c r="D112">
        <f>IF(Skills!C30=1,60+Inputs!$B$24+Inputs!$B$28,IF(Skills!C30=2,90+Inputs!$B$25+Inputs!$B$28,IF(Skills!C30=3,120+Inputs!$B$26+Inputs!$B$28,MAX(0,(Inputs!$B$3-100)*3)+Inputs!$B$27+Inputs!$B$28)))</f>
        <v/>
      </c>
      <c r="E112">
        <f>INDEX(FactorTable!$B$2:$Y$301, MATCH(ROUND(MIN(300,MAX(1,D112)),0), FactorTable!$A$2:$A$301,0), Skills!M30+1)</f>
        <v/>
      </c>
      <c r="F112">
        <f>IF(Skills!N30=TRUE,(Skills!L30/10)*(E112/1000),Skills!L30/10)+Skills!O30</f>
        <v/>
      </c>
      <c r="G112">
        <f>Skills!G30*IF(Skills!H30&gt;0,Skills!I30/Skills!H30,1)</f>
        <v/>
      </c>
      <c r="H112">
        <f>1-(1-Skills!J30/100)^Skills!K30</f>
        <v/>
      </c>
      <c r="I112" t="inlineStr">
        <is>
          <t>1</t>
        </is>
      </c>
      <c r="J112" t="inlineStr"/>
      <c r="K112" t="inlineStr"/>
      <c r="L112" t="inlineStr"/>
      <c r="M112" t="inlineStr"/>
      <c r="N112" t="inlineStr"/>
      <c r="O112" t="n">
        <v>0</v>
      </c>
      <c r="P112">
        <f>IF(B127=0,0,O112/B127)</f>
        <v/>
      </c>
      <c r="Q112" t="n">
        <v>0</v>
      </c>
      <c r="R112" t="n">
        <v>0</v>
      </c>
      <c r="S112">
        <f>IFERROR(O112/N112,0)</f>
        <v/>
      </c>
    </row>
    <row r="114">
      <c r="A114" t="inlineStr">
        <is>
          <t>Average Buff Multiplier</t>
        </is>
      </c>
      <c r="B114">
        <f>(1+(((C103=TRUE)*F103*IF(AND(Inputs!$B$4&lt;&gt;"pvp",Inputs!$B$35&gt;0),(((S103-1)*(Skills!Y21*(1+Inputs!$B$33/100))+MIN((Skills!Y21*(1+Inputs!$B$33/100)),MAX(0,Inputs!$B$35-((S103-1)*Skills!D21))))/Inputs!$B$35),IF(Inputs!$B$4="pvp",MIN((Skills!Y21*(1+Inputs!$B$33/100)),15)/15,(Skills!Y21*(1+Inputs!$B$33/100))/Skills!D21)))+((C105=TRUE)*(F105-Calc!F23))+((C99=TRUE)*(F99-Calc!F17)))/100)*(1+((C92=TRUE)*F92*IF(AND(Inputs!$B$4&lt;&gt;"pvp",Inputs!$B$35&gt;0),(((S92-1)*(Skills!Y10*(1+Inputs!$B$33/100))+MIN((Skills!Y10*(1+Inputs!$B$33/100)),MAX(0,Inputs!$B$35-((S92-1)*Skills!D10))))/Inputs!$B$35),IF(Inputs!$B$4="pvp",MIN((Skills!Y10*(1+Inputs!$B$33/100)),15)/15,(Skills!Y10*(1+Inputs!$B$33/100))/Skills!D10)))/100)*(1+((C97=TRUE)*F97*IF(AND(Inputs!$B$4&lt;&gt;"pvp",Inputs!$B$35&gt;0),(((S97-1)*(Skills!Y15*(1+Inputs!$B$33/100))+MIN((Skills!Y15*(1+Inputs!$B$33/100)),MAX(0,Inputs!$B$35-((S97-1)*Skills!D15))))/Inputs!$B$35),IF(Inputs!$B$4="pvp",MIN((Skills!Y15*(1+Inputs!$B$33/100)),15)/15,(Skills!Y15*(1+Inputs!$B$33/100))/Skills!D15)))/100)</f>
        <v/>
      </c>
    </row>
    <row r="115">
      <c r="A115" t="inlineStr">
        <is>
          <t>Global Crit Rate Bonus %</t>
        </is>
      </c>
      <c r="B115">
        <f>((C102=TRUE)*F102*IF(AND(Inputs!$B$4&lt;&gt;"pvp",Inputs!$B$35&gt;0),(((S102-1)*(Skills!Y20*(1+Inputs!$B$33/100))+MIN((Skills!Y20*(1+Inputs!$B$33/100)),MAX(0,Inputs!$B$35-((S102-1)*Skills!D20))))/Inputs!$B$35),IF(Inputs!$B$4="pvp",MIN((Skills!Y20*(1+Inputs!$B$33/100)),15)/15,(Skills!Y20*(1+Inputs!$B$33/100))/Skills!D20)))</f>
        <v/>
      </c>
    </row>
    <row r="116">
      <c r="A116" t="inlineStr">
        <is>
          <t>Global Monster Damage-Taken Bonus %</t>
        </is>
      </c>
      <c r="B116">
        <f>IF(Inputs!$B$3&gt;=82,15,0)</f>
        <v/>
      </c>
    </row>
    <row r="117">
      <c r="A117" t="inlineStr">
        <is>
          <t>Shadow Partner Average Multiplier</t>
        </is>
      </c>
      <c r="B117">
        <f>1+((C89=TRUE)*F89*(1+3.3333333333333335*IF(C100=TRUE,F100,0)/100)*I89*Skills!J7/100)/100</f>
        <v/>
      </c>
    </row>
    <row r="118">
      <c r="A118" t="inlineStr">
        <is>
          <t>Attack Speed Buff Bonus %</t>
        </is>
      </c>
      <c r="B118">
        <f>((C101=TRUE)*F101*IF(AND(Inputs!$B$4&lt;&gt;"pvp",Inputs!$B$35&gt;0),(((S101-1)*(Skills!Y19*(1+Inputs!$B$33/100))+MIN((Skills!Y19*(1+Inputs!$B$33/100)),MAX(0,Inputs!$B$35-((S101-1)*Skills!D19))))/Inputs!$B$35),IF(Inputs!$B$4="pvp",MIN((Skills!Y19*(1+Inputs!$B$33/100)),15)/15,(Skills!Y19*(1+Inputs!$B$33/100))/Skills!D19)))+((C85=TRUE)*F85*3)</f>
        <v/>
      </c>
    </row>
    <row r="119">
      <c r="A119" t="inlineStr">
        <is>
          <t>Actions Per Second</t>
        </is>
      </c>
      <c r="B119">
        <f>1+MIN(150,150*(1-(1-(Inputs!$B$10+((C104=TRUE)*(F104-Calc!F22)))/150)*(1-B118/150)))/100</f>
        <v/>
      </c>
    </row>
    <row r="120">
      <c r="A120" t="inlineStr">
        <is>
          <t>Skill + Buff Cast Rate</t>
        </is>
      </c>
      <c r="B120">
        <f>IF(AND(Inputs!$B$4&lt;&gt;"pvp",Inputs!$B$35&gt;0),SUMPRODUCT((Skills!E2:E30=TRUE)*(C84:C112=TRUE)*R84:R112*Skills!F2:F30)/Inputs!$B$35,SUMPRODUCT((Skills!E2:E30=TRUE)*(C84:C112=TRUE)*Q84:Q112*Skills!F2:F30))</f>
        <v/>
      </c>
    </row>
    <row r="121">
      <c r="A121" t="inlineStr">
        <is>
          <t>Cruel Stab Casts Per Second</t>
        </is>
      </c>
      <c r="B121">
        <f>MAX(0,B119-B120)</f>
        <v/>
      </c>
    </row>
    <row r="122">
      <c r="A122" t="inlineStr">
        <is>
          <t>Global Critical Damage Bonus % (Smokescreen Mastery Lv.113)</t>
        </is>
      </c>
      <c r="B122">
        <f>IF(Inputs!$B$3&gt;=113,30,0)*IF(AND(Inputs!$B$4&lt;&gt;"pvp",Inputs!$B$35&gt;0),(((S97-1)*(Skills!Y15*(1+Inputs!$B$33/100))+MIN((Skills!Y15*(1+Inputs!$B$33/100)),MAX(0,Inputs!$B$35-((S97-1)*Skills!D15))))/Inputs!$B$35),IF(Inputs!$B$4="pvp",MIN((Skills!Y15*(1+Inputs!$B$33/100)),15)/15,(Skills!Y15*(1+Inputs!$B$33/100))/Skills!D15))</f>
        <v/>
      </c>
    </row>
    <row r="123">
      <c r="A123" t="inlineStr">
        <is>
          <t>Meso Explosion average stack count</t>
        </is>
      </c>
      <c r="B123">
        <f>MIN(10,0.5*B119*Skills!D4)</f>
        <v/>
      </c>
    </row>
    <row r="124">
      <c r="A124" t="inlineStr">
        <is>
          <t>Blood Money average stack count</t>
        </is>
      </c>
      <c r="B124">
        <f>MIN(5,0.25*B119*Skills!D4)</f>
        <v/>
      </c>
    </row>
    <row r="125">
      <c r="A125" t="inlineStr">
        <is>
          <t>Assassinate Murderous Intent Multiplier</t>
        </is>
      </c>
      <c r="B125">
        <f>1+IFERROR(MIN(1,Q96*2/Q93),0)</f>
        <v/>
      </c>
    </row>
    <row r="127">
      <c r="A127" s="5" t="inlineStr">
        <is>
          <t>TOTAL DPS</t>
        </is>
      </c>
      <c r="B127" s="5">
        <f>SUM(O84:O112)</f>
        <v/>
      </c>
    </row>
    <row r="130">
      <c r="A130" s="5" t="inlineStr">
        <is>
          <t>Stat: DEX</t>
        </is>
      </c>
    </row>
    <row r="131">
      <c r="A131" s="8" t="inlineStr">
        <is>
          <t>Key</t>
        </is>
      </c>
      <c r="B131" s="8" t="inlineStr">
        <is>
          <t>Name</t>
        </is>
      </c>
      <c r="C131" s="8" t="inlineStr">
        <is>
          <t>Unlocked</t>
        </is>
      </c>
      <c r="D131" s="8" t="inlineStr">
        <is>
          <t>InputLevel</t>
        </is>
      </c>
      <c r="E131" s="8" t="inlineStr">
        <is>
          <t>Factor</t>
        </is>
      </c>
      <c r="F131" s="8" t="inlineStr">
        <is>
          <t>CoefficientPercent</t>
        </is>
      </c>
      <c r="G131" s="8" t="inlineStr">
        <is>
          <t>EffectiveHits</t>
        </is>
      </c>
      <c r="H131" s="8" t="inlineStr">
        <is>
          <t>ProcProbability</t>
        </is>
      </c>
      <c r="I131" s="8" t="inlineStr">
        <is>
          <t>MapleHeroMultiplier</t>
        </is>
      </c>
      <c r="J131" s="8" t="inlineStr">
        <is>
          <t>BaseDamage</t>
        </is>
      </c>
      <c r="K131" s="8" t="inlineStr">
        <is>
          <t>BaseHitDamage</t>
        </is>
      </c>
      <c r="L131" s="8" t="inlineStr">
        <is>
          <t>NonCritAvg</t>
        </is>
      </c>
      <c r="M131" s="8" t="inlineStr">
        <is>
          <t>CritAvg</t>
        </is>
      </c>
      <c r="N131" s="8" t="inlineStr">
        <is>
          <t>ExpectedDamage(perHit)</t>
        </is>
      </c>
      <c r="O131" s="8" t="inlineStr">
        <is>
          <t>DPS</t>
        </is>
      </c>
      <c r="P131" s="8" t="inlineStr">
        <is>
          <t>% of Total</t>
        </is>
      </c>
      <c r="Q131" s="8" t="inlineStr">
        <is>
          <t>InvCooldown</t>
        </is>
      </c>
      <c r="R131" s="8" t="inlineStr">
        <is>
          <t>CastsInFight</t>
        </is>
      </c>
      <c r="S131" s="8" t="inlineStr">
        <is>
          <t>HitRate(perSec)</t>
        </is>
      </c>
      <c r="U131" t="inlineStr">
        <is>
          <t>helpers</t>
        </is>
      </c>
    </row>
    <row r="132">
      <c r="A132">
        <f>Skills!A2</f>
        <v/>
      </c>
      <c r="B132">
        <f>Skills!B2</f>
        <v/>
      </c>
      <c r="C132">
        <f>Inputs!$B$3&gt;=100</f>
        <v/>
      </c>
      <c r="D132" t="inlineStr"/>
      <c r="E132" t="inlineStr"/>
      <c r="F132">
        <f>U134+Skills!O2</f>
        <v/>
      </c>
      <c r="G132">
        <f>Skills!G2*IF(Skills!H2&gt;0,Skills!I2/Skills!H2,1)</f>
        <v/>
      </c>
      <c r="H132">
        <f>1-(1-Skills!J2/100)^Skills!K2</f>
        <v/>
      </c>
      <c r="I132" t="inlineStr">
        <is>
          <t>1</t>
        </is>
      </c>
      <c r="J132">
        <f>(Inputs!$B$5*(1+Inputs!$B$6/100))*(F132/100)</f>
        <v/>
      </c>
      <c r="K132">
        <f>J132*(1+((Inputs!$B$11*(1+Inputs!$B$12/100))*0.01+(Inputs!$B$13+1)*0.0025)/100)*(1+Inputs!$B$14/100)*(1+IF(Inputs!$B$4="pvp",0,(1-Summary!$B$55)*(Inputs!$B$19+0+Skills!P2+B164)+Summary!$B$55*(Inputs!$B$20+Skills!Q2+B164))/100)*(1+Inputs!$B$15/100)*(5000/(6000+Inputs!$B$7*(1-Inputs!$B$18/100)))*(1+(Inputs!$B$23+((C160=TRUE)*(F160-Calc!F30)))/100)*(1+(IF(Skills!A2="CRUEL_STAB",Inputs!$B$16+((C157=TRUE)*(F157-Calc!F27)),Inputs!$B$17+((C158=TRUE)*(F158-Calc!F28))))/100)*(((1+(((C151=TRUE)*F151*IF(AND(Inputs!$B$4&lt;&gt;"pvp",Inputs!$B$35&gt;0),(((S151-1)*(Skills!Y21*(1+Inputs!$B$33/100))+MIN((Skills!Y21*(1+Inputs!$B$33/100)),MAX(0,Inputs!$B$35-((S151-1)*Skills!D21))))/Inputs!$B$35),IF(Inputs!$B$4="pvp",MIN((Skills!Y21*(1+Inputs!$B$33/100)),15)/15,(Skills!Y21*(1+Inputs!$B$33/100))/Skills!D21)))+((C153=TRUE)*(F153-Calc!F23))+((C147=TRUE)*(F147-Calc!F17)))/100)*(1+((C140=TRUE)*F140*IF(AND(Inputs!$B$4&lt;&gt;"pvp",Inputs!$B$35&gt;0),(((S140-1)*(Skills!Y10*(1+Inputs!$B$33/100))+MIN((Skills!Y10*(1+Inputs!$B$33/100)),MAX(0,Inputs!$B$35-((S140-1)*Skills!D10))))/Inputs!$B$35),IF(Inputs!$B$4="pvp",MIN((Skills!Y10*(1+Inputs!$B$33/100)),15)/15,(Skills!Y10*(1+Inputs!$B$33/100))/Skills!D10)))/100)*(1+((C145=TRUE)*F145*IF(AND(Inputs!$B$4&lt;&gt;"pvp",Inputs!$B$35&gt;0),(((S145-1)*(Skills!Y15*(1+Inputs!$B$33/100))+MIN((Skills!Y15*(1+Inputs!$B$33/100)),MAX(0,Inputs!$B$35-((S145-1)*Skills!D15))))/Inputs!$B$35),IF(Inputs!$B$4="pvp",MIN((Skills!Y15*(1+Inputs!$B$33/100)),15)/15,(Skills!Y15*(1+Inputs!$B$33/100))/Skills!D15)))/100))*B165*I132)</f>
        <v/>
      </c>
      <c r="L132">
        <f>K132*(MIN(Inputs!$B$21+((C154=TRUE)*(F154-Calc!F24)),Inputs!$B$22+((C159=TRUE)*(F159-Calc!F29)))/100+(Inputs!$B$22+((C159=TRUE)*(F159-Calc!F29)))/100)/2</f>
        <v/>
      </c>
      <c r="M132">
        <f>L132*(1+(Inputs!$B$9+((C156=TRUE)*(F156-Calc!F26))+B170)/100)</f>
        <v/>
      </c>
      <c r="N132">
        <f>L132*(1-MIN((Inputs!$B$8+((C155=TRUE)*(F155-Calc!F25))+B163),100)/100)+M132*(MIN((Inputs!$B$8+((C155=TRUE)*(F155-Calc!F25))+B163),100)/100)</f>
        <v/>
      </c>
      <c r="O132">
        <f>IF(C132,Skills!G2*N132*B169*IF(Inputs!$B$4="pvp",1,(1-Summary!$B$55)*(1)+Summary!$B$55*(MIN((6+Inputs!$B$32),Inputs!$B$37))),0)</f>
        <v/>
      </c>
      <c r="P132">
        <f>IF(B175=0,0,O132/B175)</f>
        <v/>
      </c>
      <c r="Q132" t="n">
        <v>0</v>
      </c>
      <c r="R132" t="n">
        <v>0</v>
      </c>
      <c r="S132">
        <f>IFERROR(O132/N132,0)</f>
        <v/>
      </c>
      <c r="U132">
        <f>MAX(0,(Inputs!$B$3-100)*3)+Inputs!$B$27+Inputs!$B$28</f>
        <v/>
      </c>
    </row>
    <row r="133">
      <c r="A133">
        <f>Skills!A3</f>
        <v/>
      </c>
      <c r="B133">
        <f>Skills!B3</f>
        <v/>
      </c>
      <c r="C133">
        <f>Inputs!$B$3&gt;=35</f>
        <v/>
      </c>
      <c r="D133">
        <f>IF(Skills!C3=1,60+Inputs!$B$24+Inputs!$B$28,IF(Skills!C3=2,90+Inputs!$B$25+Inputs!$B$28,IF(Skills!C3=3,120+Inputs!$B$26+Inputs!$B$28,MAX(0,(Inputs!$B$3-100)*3)+Inputs!$B$27+Inputs!$B$28)))</f>
        <v/>
      </c>
      <c r="E133">
        <f>INDEX(FactorTable!$B$2:$Y$301, MATCH(ROUND(MIN(300,MAX(1,D133)),0), FactorTable!$A$2:$A$301,0), Skills!M3+1)</f>
        <v/>
      </c>
      <c r="F133">
        <f>IF(Skills!N3=TRUE,(Skills!L3/10)*(E133/1000),Skills!L3/10)+Skills!O3</f>
        <v/>
      </c>
      <c r="G133">
        <f>Skills!G3*IF(Skills!H3&gt;0,Skills!I3/Skills!H3,1)</f>
        <v/>
      </c>
      <c r="H133">
        <f>1-(1-Skills!J3/100)^Skills!K3</f>
        <v/>
      </c>
      <c r="I133" t="inlineStr">
        <is>
          <t>1</t>
        </is>
      </c>
      <c r="J133" t="inlineStr"/>
      <c r="K133" t="inlineStr"/>
      <c r="L133" t="inlineStr"/>
      <c r="M133" t="inlineStr"/>
      <c r="N133" t="inlineStr"/>
      <c r="O133" t="n">
        <v>0</v>
      </c>
      <c r="P133">
        <f>IF(B175=0,0,O133/B175)</f>
        <v/>
      </c>
      <c r="Q133" t="n">
        <v>0</v>
      </c>
      <c r="R133" t="n">
        <v>0</v>
      </c>
      <c r="S133">
        <f>IFERROR(O133/N133,0)</f>
        <v/>
      </c>
      <c r="U133">
        <f>INDEX(FactorTable!$B$2:$Y$301, MATCH(ROUND(MIN(300,MAX(1,U132)),0), FactorTable!$A$2:$A$301,0), 22)</f>
        <v/>
      </c>
    </row>
    <row r="134">
      <c r="A134">
        <f>Skills!A4</f>
        <v/>
      </c>
      <c r="B134">
        <f>Skills!B4</f>
        <v/>
      </c>
      <c r="C134">
        <f>Inputs!$B$3&gt;=66</f>
        <v/>
      </c>
      <c r="D134">
        <f>IF(Skills!C4=1,60+Inputs!$B$24+Inputs!$B$28,IF(Skills!C4=2,90+Inputs!$B$25+Inputs!$B$28,IF(Skills!C4=3,120+Inputs!$B$26+Inputs!$B$28,MAX(0,(Inputs!$B$3-100)*3)+Inputs!$B$27+Inputs!$B$28)))</f>
        <v/>
      </c>
      <c r="E134">
        <f>INDEX(FactorTable!$B$2:$Y$301, MATCH(ROUND(MIN(300,MAX(1,D134)),0), FactorTable!$A$2:$A$301,0), Skills!M4+1)</f>
        <v/>
      </c>
      <c r="F134">
        <f>IF(Skills!N4=TRUE,(Skills!L4/10)*(E134/1000),Skills!L4/10)+Skills!O4</f>
        <v/>
      </c>
      <c r="G134">
        <f>Skills!G4*IF(Skills!H4&gt;0,Skills!I4/Skills!H4,1)</f>
        <v/>
      </c>
      <c r="H134">
        <f>1-(1-Skills!J4/100)^Skills!K4</f>
        <v/>
      </c>
      <c r="I134" t="inlineStr">
        <is>
          <t>1</t>
        </is>
      </c>
      <c r="J134">
        <f>(Inputs!$B$5*(1+Inputs!$B$6/100))*(F134/100)</f>
        <v/>
      </c>
      <c r="K134">
        <f>J134*(1+((Inputs!$B$11*(1+Inputs!$B$12/100))*0.01+(Inputs!$B$13+1)*0.0025)/100)*(1+Inputs!$B$14/100)*(1+IF(Inputs!$B$4="pvp",0,(1-Summary!$B$55)*(Inputs!$B$19+0+Skills!P4+B164)+Summary!$B$55*(Inputs!$B$20+Skills!Q4+B164))/100)*(1+Inputs!$B$15/100)*(5000/(6000+Inputs!$B$7*(1-Inputs!$B$18/100)))*(1+(Inputs!$B$23+((C160=TRUE)*(F160-Calc!F30)))/100)*(1+(IF(Skills!A4="CRUEL_STAB",Inputs!$B$16+((C157=TRUE)*(F157-Calc!F27)),Inputs!$B$17+((C158=TRUE)*(F158-Calc!F28))))/100)*(((1+(((C151=TRUE)*F151*IF(AND(Inputs!$B$4&lt;&gt;"pvp",Inputs!$B$35&gt;0),(((S151-1)*(Skills!Y21*(1+Inputs!$B$33/100))+MIN((Skills!Y21*(1+Inputs!$B$33/100)),MAX(0,Inputs!$B$35-((S151-1)*Skills!D21))))/Inputs!$B$35),IF(Inputs!$B$4="pvp",MIN((Skills!Y21*(1+Inputs!$B$33/100)),15)/15,(Skills!Y21*(1+Inputs!$B$33/100))/Skills!D21)))+((C153=TRUE)*(F153-Calc!F23))+((C147=TRUE)*(F147-Calc!F17)))/100)*(1+((C140=TRUE)*F140*IF(AND(Inputs!$B$4&lt;&gt;"pvp",Inputs!$B$35&gt;0),(((S140-1)*(Skills!Y10*(1+Inputs!$B$33/100))+MIN((Skills!Y10*(1+Inputs!$B$33/100)),MAX(0,Inputs!$B$35-((S140-1)*Skills!D10))))/Inputs!$B$35),IF(Inputs!$B$4="pvp",MIN((Skills!Y10*(1+Inputs!$B$33/100)),15)/15,(Skills!Y10*(1+Inputs!$B$33/100))/Skills!D10)))/100)*(1+((C145=TRUE)*F145*IF(AND(Inputs!$B$4&lt;&gt;"pvp",Inputs!$B$35&gt;0),(((S145-1)*(Skills!Y15*(1+Inputs!$B$33/100))+MIN((Skills!Y15*(1+Inputs!$B$33/100)),MAX(0,Inputs!$B$35-((S145-1)*Skills!D15))))/Inputs!$B$35),IF(Inputs!$B$4="pvp",MIN((Skills!Y15*(1+Inputs!$B$33/100)),15)/15,(Skills!Y15*(1+Inputs!$B$33/100))/Skills!D15)))/100))*B165*I134)</f>
        <v/>
      </c>
      <c r="L134">
        <f>K134*(MIN(Inputs!$B$21+((C154=TRUE)*(F154-Calc!F24)),Inputs!$B$22+((C159=TRUE)*(F159-Calc!F29)))/100+(Inputs!$B$22+((C159=TRUE)*(F159-Calc!F29)))/100)/2</f>
        <v/>
      </c>
      <c r="M134">
        <f>L134*(1+(Inputs!$B$9+((C156=TRUE)*(F156-Calc!F26))+B170)/100)</f>
        <v/>
      </c>
      <c r="N134">
        <f>L134*(1-MIN((Inputs!$B$8+((C155=TRUE)*(F155-Calc!F25))+B163),100)/100)+M134*(MIN((Inputs!$B$8+((C155=TRUE)*(F155-Calc!F25))+B163),100)/100)</f>
        <v/>
      </c>
      <c r="O134">
        <f>IF(C134,H134*N134*IF(AND(Inputs!$B$4&lt;&gt;"pvp",Inputs!$B$35&gt;0),((Skills!G4*((R134-1)*IF(Skills!H4&gt;0,Skills!I4/Skills!H4,1)+IF(Skills!H4&gt;0,MIN(Skills!I4,MAX(0,Inputs!$B$35-((R134-1)*IF(Inputs!$B$4="pvp",15,MAX(0.1,Skills!D4-IF(Skills!E4=TRUE,Inputs!$B$31,0))))))/Skills!H4,1)))/Inputs!$B$35),G134*Q134)*IF(Inputs!$B$4="pvp",1,(1-Summary!$B$55)*(1)+Summary!$B$55*(MIN(MIN(10,0.5*B167*Skills!D4),Inputs!$B$37))),0)</f>
        <v/>
      </c>
      <c r="P134">
        <f>IF(B175=0,0,O134/B175)</f>
        <v/>
      </c>
      <c r="Q134">
        <f>IFERROR(1/IF(Inputs!$B$4="pvp",15,MAX(0.1,Skills!D4-IF(Skills!E4=TRUE,Inputs!$B$31,0))),0)</f>
        <v/>
      </c>
      <c r="R134">
        <f>IF(AND(Inputs!$B$4&lt;&gt;"pvp",Inputs!$B$35&gt;0),(INT(Inputs!$B$35/IF(Inputs!$B$4="pvp",15,MAX(0.1,Skills!D4-IF(Skills!E4=TRUE,Inputs!$B$31,0))))+1),0)</f>
        <v/>
      </c>
      <c r="S134">
        <f>IFERROR(O134/N134,0)</f>
        <v/>
      </c>
      <c r="U134">
        <f>290*U133/1000</f>
        <v/>
      </c>
    </row>
    <row r="135">
      <c r="A135">
        <f>Skills!A5</f>
        <v/>
      </c>
      <c r="B135">
        <f>Skills!B5</f>
        <v/>
      </c>
      <c r="C135">
        <f>Inputs!$B$3&gt;=63</f>
        <v/>
      </c>
      <c r="D135">
        <f>IF(Skills!C5=1,60+Inputs!$B$24+Inputs!$B$28,IF(Skills!C5=2,90+Inputs!$B$25+Inputs!$B$28,IF(Skills!C5=3,120+Inputs!$B$26+Inputs!$B$28,MAX(0,(Inputs!$B$3-100)*3)+Inputs!$B$27+Inputs!$B$28)))</f>
        <v/>
      </c>
      <c r="E135">
        <f>INDEX(FactorTable!$B$2:$Y$301, MATCH(ROUND(MIN(300,MAX(1,D135)),0), FactorTable!$A$2:$A$301,0), Skills!M5+1)</f>
        <v/>
      </c>
      <c r="F135">
        <f>IF(Skills!N5=TRUE,(Skills!L5/10)*(E135/1000),Skills!L5/10)+Skills!O5</f>
        <v/>
      </c>
      <c r="G135">
        <f>Skills!G5*IF(Skills!H5&gt;0,Skills!I5/Skills!H5,1)</f>
        <v/>
      </c>
      <c r="H135">
        <f>1-(1-Skills!J5/100)^Skills!K5</f>
        <v/>
      </c>
      <c r="I135" t="inlineStr">
        <is>
          <t>1</t>
        </is>
      </c>
      <c r="J135">
        <f>(Inputs!$B$5*(1+Inputs!$B$6/100))*(F135/100)</f>
        <v/>
      </c>
      <c r="K135">
        <f>J135*(1+((Inputs!$B$11*(1+Inputs!$B$12/100))*0.01+(Inputs!$B$13+1)*0.0025)/100)*(1+Inputs!$B$14/100)*(1+IF(Inputs!$B$4="pvp",0,(1-Summary!$B$55)*(Inputs!$B$19+0+Skills!P5+B164)+Summary!$B$55*(Inputs!$B$20+Skills!Q5+B164))/100)*(1+Inputs!$B$15/100)*(5000/(6000+Inputs!$B$7*(1-Inputs!$B$18/100)))*(1+(Inputs!$B$23+((C160=TRUE)*(F160-Calc!F30)))/100)*(1+2.6666666666666665*IF(C148=TRUE,F148,0)/100)*(1+(IF(Skills!A5="CRUEL_STAB",Inputs!$B$16+((C157=TRUE)*(F157-Calc!F27)),Inputs!$B$17+((C158=TRUE)*(F158-Calc!F28))))/100)*(((1+(((C151=TRUE)*F151*IF(AND(Inputs!$B$4&lt;&gt;"pvp",Inputs!$B$35&gt;0),(((S151-1)*(Skills!Y21*(1+Inputs!$B$33/100))+MIN((Skills!Y21*(1+Inputs!$B$33/100)),MAX(0,Inputs!$B$35-((S151-1)*Skills!D21))))/Inputs!$B$35),IF(Inputs!$B$4="pvp",MIN((Skills!Y21*(1+Inputs!$B$33/100)),15)/15,(Skills!Y21*(1+Inputs!$B$33/100))/Skills!D21)))+((C153=TRUE)*(F153-Calc!F23))+((C147=TRUE)*(F147-Calc!F17)))/100)*(1+((C140=TRUE)*F140*IF(AND(Inputs!$B$4&lt;&gt;"pvp",Inputs!$B$35&gt;0),(((S140-1)*(Skills!Y10*(1+Inputs!$B$33/100))+MIN((Skills!Y10*(1+Inputs!$B$33/100)),MAX(0,Inputs!$B$35-((S140-1)*Skills!D10))))/Inputs!$B$35),IF(Inputs!$B$4="pvp",MIN((Skills!Y10*(1+Inputs!$B$33/100)),15)/15,(Skills!Y10*(1+Inputs!$B$33/100))/Skills!D10)))/100)*(1+((C145=TRUE)*F145*IF(AND(Inputs!$B$4&lt;&gt;"pvp",Inputs!$B$35&gt;0),(((S145-1)*(Skills!Y15*(1+Inputs!$B$33/100))+MIN((Skills!Y15*(1+Inputs!$B$33/100)),MAX(0,Inputs!$B$35-((S145-1)*Skills!D15))))/Inputs!$B$35),IF(Inputs!$B$4="pvp",MIN((Skills!Y15*(1+Inputs!$B$33/100)),15)/15,(Skills!Y15*(1+Inputs!$B$33/100))/Skills!D15)))/100))*B165*I135)</f>
        <v/>
      </c>
      <c r="L135">
        <f>K135*(MIN(Inputs!$B$21+((C154=TRUE)*(F154-Calc!F24)),Inputs!$B$22+((C159=TRUE)*(F159-Calc!F29)))/100+(Inputs!$B$22+((C159=TRUE)*(F159-Calc!F29)))/100)/2</f>
        <v/>
      </c>
      <c r="M135">
        <f>L135*(1+(Inputs!$B$9+((C156=TRUE)*(F156-Calc!F26))+B170)/100)</f>
        <v/>
      </c>
      <c r="N135">
        <f>L135*(1-MIN((Inputs!$B$8+((C155=TRUE)*(F155-Calc!F25))+B163),100)/100)+M135*(MIN((Inputs!$B$8+((C155=TRUE)*(F155-Calc!F25))+B163),100)/100)</f>
        <v/>
      </c>
      <c r="O135">
        <f>IF(C135,H135*N135*IF(AND(Inputs!$B$4&lt;&gt;"pvp",Inputs!$B$35&gt;0),((Skills!G5*((R135-1)*IF(Skills!H5&gt;0,Skills!I5/Skills!H5,1)+IF(Skills!H5&gt;0,MIN(Skills!I5,MAX(0,Inputs!$B$35-((R135-1)*IF(Inputs!$B$4="pvp",15,MAX(0.1,Skills!D5-IF(Skills!E5=TRUE,Inputs!$B$31,0))))))/Skills!H5,1)))/Inputs!$B$35),G135*Q135)*IF(Inputs!$B$4="pvp",1,(1-Summary!$B$55)*(1)+Summary!$B$55*(MIN(Skills!W5,Inputs!$B$37))),0)</f>
        <v/>
      </c>
      <c r="P135">
        <f>IF(B175=0,0,O135/B175)</f>
        <v/>
      </c>
      <c r="Q135">
        <f>IFERROR(1/IF(Inputs!$B$4="pvp",15,MAX(0.1,Skills!D5-IF(Skills!E5=TRUE,Inputs!$B$31,0))),0)</f>
        <v/>
      </c>
      <c r="R135">
        <f>IF(AND(Inputs!$B$4&lt;&gt;"pvp",Inputs!$B$35&gt;0),(INT(Inputs!$B$35/IF(Inputs!$B$4="pvp",15,MAX(0.1,Skills!D5-IF(Skills!E5=TRUE,Inputs!$B$31,0))))+1),0)</f>
        <v/>
      </c>
      <c r="S135">
        <f>IFERROR(O135/N135,0)</f>
        <v/>
      </c>
    </row>
    <row r="136">
      <c r="A136">
        <f>Skills!A6</f>
        <v/>
      </c>
      <c r="B136">
        <f>Skills!B6</f>
        <v/>
      </c>
      <c r="C136">
        <f>Inputs!$B$3&gt;=69</f>
        <v/>
      </c>
      <c r="D136">
        <f>IF(Skills!C6=1,60+Inputs!$B$24+Inputs!$B$28,IF(Skills!C6=2,90+Inputs!$B$25+Inputs!$B$28,IF(Skills!C6=3,120+Inputs!$B$26+Inputs!$B$28,MAX(0,(Inputs!$B$3-100)*3)+Inputs!$B$27+Inputs!$B$28)))</f>
        <v/>
      </c>
      <c r="E136">
        <f>INDEX(FactorTable!$B$2:$Y$301, MATCH(ROUND(MIN(300,MAX(1,D136)),0), FactorTable!$A$2:$A$301,0), Skills!M6+1)</f>
        <v/>
      </c>
      <c r="F136">
        <f>IF(Skills!N6=TRUE,(Skills!L6/10)*(E136/1000),Skills!L6/10)+Skills!O6</f>
        <v/>
      </c>
      <c r="G136">
        <f>Skills!G6*IF(Skills!H6&gt;0,Skills!I6/Skills!H6,1)</f>
        <v/>
      </c>
      <c r="H136">
        <f>1-(1-Skills!J6/100)^Skills!K6</f>
        <v/>
      </c>
      <c r="I136" t="inlineStr">
        <is>
          <t>1</t>
        </is>
      </c>
      <c r="J136">
        <f>(Inputs!$B$5*(1+Inputs!$B$6/100))*(F136/100)</f>
        <v/>
      </c>
      <c r="K136">
        <f>J136*(1+((Inputs!$B$11*(1+Inputs!$B$12/100))*0.01+(Inputs!$B$13+1)*0.0025)/100)*(1+Inputs!$B$14/100)*(1+IF(Inputs!$B$4="pvp",0,(1-Summary!$B$55)*(Inputs!$B$19+0+Skills!P6+B164)+Summary!$B$55*(Inputs!$B$20+Skills!Q6+B164))/100)*(1+Inputs!$B$15/100)*(5000/(6000+Inputs!$B$7*(1-Inputs!$B$18/100)))*(1+(Inputs!$B$23+((C160=TRUE)*(F160-Calc!F30)))/100)*(1+1.0*IF(C148=TRUE,F148,0)/100)*(1+(IF(Skills!A6="CRUEL_STAB",Inputs!$B$16+((C157=TRUE)*(F157-Calc!F27)),Inputs!$B$17+((C158=TRUE)*(F158-Calc!F28))))/100)*(((1+(((C151=TRUE)*F151*IF(AND(Inputs!$B$4&lt;&gt;"pvp",Inputs!$B$35&gt;0),(((S151-1)*(Skills!Y21*(1+Inputs!$B$33/100))+MIN((Skills!Y21*(1+Inputs!$B$33/100)),MAX(0,Inputs!$B$35-((S151-1)*Skills!D21))))/Inputs!$B$35),IF(Inputs!$B$4="pvp",MIN((Skills!Y21*(1+Inputs!$B$33/100)),15)/15,(Skills!Y21*(1+Inputs!$B$33/100))/Skills!D21)))+((C153=TRUE)*(F153-Calc!F23))+((C147=TRUE)*(F147-Calc!F17)))/100)*(1+((C140=TRUE)*F140*IF(AND(Inputs!$B$4&lt;&gt;"pvp",Inputs!$B$35&gt;0),(((S140-1)*(Skills!Y10*(1+Inputs!$B$33/100))+MIN((Skills!Y10*(1+Inputs!$B$33/100)),MAX(0,Inputs!$B$35-((S140-1)*Skills!D10))))/Inputs!$B$35),IF(Inputs!$B$4="pvp",MIN((Skills!Y10*(1+Inputs!$B$33/100)),15)/15,(Skills!Y10*(1+Inputs!$B$33/100))/Skills!D10)))/100)*(1+((C145=TRUE)*F145*IF(AND(Inputs!$B$4&lt;&gt;"pvp",Inputs!$B$35&gt;0),(((S145-1)*(Skills!Y15*(1+Inputs!$B$33/100))+MIN((Skills!Y15*(1+Inputs!$B$33/100)),MAX(0,Inputs!$B$35-((S145-1)*Skills!D15))))/Inputs!$B$35),IF(Inputs!$B$4="pvp",MIN((Skills!Y15*(1+Inputs!$B$33/100)),15)/15,(Skills!Y15*(1+Inputs!$B$33/100))/Skills!D15)))/100))*B165*I136)</f>
        <v/>
      </c>
      <c r="L136">
        <f>K136*(MIN(Inputs!$B$21+((C154=TRUE)*(F154-Calc!F24)),Inputs!$B$22+((C159=TRUE)*(F159-Calc!F29)))/100+(Inputs!$B$22+((C159=TRUE)*(F159-Calc!F29)))/100)/2</f>
        <v/>
      </c>
      <c r="M136">
        <f>L136*(1+(Inputs!$B$9+((C156=TRUE)*(F156-Calc!F26))+B170)/100)</f>
        <v/>
      </c>
      <c r="N136">
        <f>L136*(1-MIN((Inputs!$B$8+((C155=TRUE)*(F155-Calc!F25))+B163),100)/100)+M136*(MIN((Inputs!$B$8+((C155=TRUE)*(F155-Calc!F25))+B163),100)/100)</f>
        <v/>
      </c>
      <c r="O136">
        <f>IF(C136,H136*N136*IF(AND(Inputs!$B$4&lt;&gt;"pvp",Inputs!$B$35&gt;0),((Skills!G6*((R136-1)*IF(Skills!H6&gt;0,Skills!I6/Skills!H6,1)+IF(Skills!H6&gt;0,MIN(Skills!I6,MAX(0,Inputs!$B$35-((R136-1)*IF(Inputs!$B$4="pvp",15,MAX(0.1,Skills!D6-IF(Skills!E6=TRUE,Inputs!$B$31,0))))))/Skills!H6,1)))/Inputs!$B$35),G136*Q136)*IF(Inputs!$B$4="pvp",1,(1-Summary!$B$55)*(1)+Summary!$B$55*(MIN(Skills!W6,Inputs!$B$37))),0)</f>
        <v/>
      </c>
      <c r="P136">
        <f>IF(B175=0,0,O136/B175)</f>
        <v/>
      </c>
      <c r="Q136">
        <f>IFERROR(1/IF(Inputs!$B$4="pvp",15,MAX(0.1,Skills!D6-IF(Skills!E6=TRUE,Inputs!$B$31,0))),0)</f>
        <v/>
      </c>
      <c r="R136">
        <f>IF(AND(Inputs!$B$4&lt;&gt;"pvp",Inputs!$B$35&gt;0),(INT(Inputs!$B$35/IF(Inputs!$B$4="pvp",15,MAX(0.1,Skills!D6-IF(Skills!E6=TRUE,Inputs!$B$31,0))))+1),0)</f>
        <v/>
      </c>
      <c r="S136">
        <f>IFERROR(O136/N136,0)</f>
        <v/>
      </c>
    </row>
    <row r="137">
      <c r="A137">
        <f>Skills!A7</f>
        <v/>
      </c>
      <c r="B137">
        <f>Skills!B7</f>
        <v/>
      </c>
      <c r="C137">
        <f>Inputs!$B$3&gt;=60</f>
        <v/>
      </c>
      <c r="D137">
        <f>IF(Skills!C7=1,60+Inputs!$B$24+Inputs!$B$28,IF(Skills!C7=2,90+Inputs!$B$25+Inputs!$B$28,IF(Skills!C7=3,120+Inputs!$B$26+Inputs!$B$28,MAX(0,(Inputs!$B$3-100)*3)+Inputs!$B$27+Inputs!$B$28)))</f>
        <v/>
      </c>
      <c r="E137">
        <f>INDEX(FactorTable!$B$2:$Y$301, MATCH(ROUND(MIN(300,MAX(1,D137)),0), FactorTable!$A$2:$A$301,0), Skills!M7+1)</f>
        <v/>
      </c>
      <c r="F137">
        <f>IF(Skills!N7=TRUE,(Skills!L7/10)*(E137/1000),Skills!L7/10)+Skills!O7</f>
        <v/>
      </c>
      <c r="G137">
        <f>Skills!G7*IF(Skills!H7&gt;0,Skills!I7/Skills!H7,1)</f>
        <v/>
      </c>
      <c r="H137">
        <f>1-(1-Skills!J7/100)^Skills!K7</f>
        <v/>
      </c>
      <c r="I137" t="inlineStr">
        <is>
          <t>1</t>
        </is>
      </c>
      <c r="J137" t="inlineStr"/>
      <c r="K137" t="inlineStr"/>
      <c r="L137" t="inlineStr"/>
      <c r="M137" t="inlineStr"/>
      <c r="N137" t="inlineStr"/>
      <c r="O137" t="n">
        <v>0</v>
      </c>
      <c r="P137">
        <f>IF(B175=0,0,O137/B175)</f>
        <v/>
      </c>
      <c r="Q137" t="n">
        <v>0</v>
      </c>
      <c r="R137" t="n">
        <v>0</v>
      </c>
      <c r="S137">
        <f>IFERROR(O137/N137,0)</f>
        <v/>
      </c>
    </row>
    <row r="138">
      <c r="A138">
        <f>Skills!A8</f>
        <v/>
      </c>
      <c r="B138">
        <f>Skills!B8</f>
        <v/>
      </c>
      <c r="C138">
        <f>Inputs!$B$3&gt;=72</f>
        <v/>
      </c>
      <c r="D138">
        <f>IF(Skills!C8=1,60+Inputs!$B$24+Inputs!$B$28,IF(Skills!C8=2,90+Inputs!$B$25+Inputs!$B$28,IF(Skills!C8=3,120+Inputs!$B$26+Inputs!$B$28,MAX(0,(Inputs!$B$3-100)*3)+Inputs!$B$27+Inputs!$B$28)))</f>
        <v/>
      </c>
      <c r="E138">
        <f>INDEX(FactorTable!$B$2:$Y$301, MATCH(ROUND(MIN(300,MAX(1,D138)),0), FactorTable!$A$2:$A$301,0), Skills!M8+1)</f>
        <v/>
      </c>
      <c r="F138">
        <f>IF(Skills!N8=TRUE,(Skills!L8/10)*(E138/1000),Skills!L8/10)+Skills!O8</f>
        <v/>
      </c>
      <c r="G138">
        <f>Skills!G8*IF(Skills!H8&gt;0,Skills!I8/Skills!H8,1)</f>
        <v/>
      </c>
      <c r="H138">
        <f>1-(1-Skills!J8/100)^Skills!K8</f>
        <v/>
      </c>
      <c r="I138" t="inlineStr">
        <is>
          <t>1</t>
        </is>
      </c>
      <c r="J138">
        <f>(Inputs!$B$5*(1+Inputs!$B$6/100))*(F138/100)</f>
        <v/>
      </c>
      <c r="K138">
        <f>J138*(1+((Inputs!$B$11*(1+Inputs!$B$12/100))*0.01+(Inputs!$B$13+1)*0.0025)/100)*(1+Inputs!$B$14/100)*(1+IF(Inputs!$B$4="pvp",0,(1-Summary!$B$55)*(Inputs!$B$19+0+Skills!P8+B164)+Summary!$B$55*(Inputs!$B$20+Skills!Q8+B164))/100)*(1+Inputs!$B$15/100)*(5000/(6000+Inputs!$B$7*(1-Inputs!$B$18/100)))*(1+(Inputs!$B$23+((C160=TRUE)*(F160-Calc!F30)))/100)*(1+3.3333333333333335*IF(C148=TRUE,F148,0)/100)*(1+(IF(Skills!A8="CRUEL_STAB",Inputs!$B$16+((C157=TRUE)*(F157-Calc!F27)),Inputs!$B$17+((C158=TRUE)*(F158-Calc!F28))))/100)*(((1+(((C151=TRUE)*F151*IF(AND(Inputs!$B$4&lt;&gt;"pvp",Inputs!$B$35&gt;0),(((S151-1)*(Skills!Y21*(1+Inputs!$B$33/100))+MIN((Skills!Y21*(1+Inputs!$B$33/100)),MAX(0,Inputs!$B$35-((S151-1)*Skills!D21))))/Inputs!$B$35),IF(Inputs!$B$4="pvp",MIN((Skills!Y21*(1+Inputs!$B$33/100)),15)/15,(Skills!Y21*(1+Inputs!$B$33/100))/Skills!D21)))+((C153=TRUE)*(F153-Calc!F23))+((C147=TRUE)*(F147-Calc!F17)))/100)*(1+((C140=TRUE)*F140*IF(AND(Inputs!$B$4&lt;&gt;"pvp",Inputs!$B$35&gt;0),(((S140-1)*(Skills!Y10*(1+Inputs!$B$33/100))+MIN((Skills!Y10*(1+Inputs!$B$33/100)),MAX(0,Inputs!$B$35-((S140-1)*Skills!D10))))/Inputs!$B$35),IF(Inputs!$B$4="pvp",MIN((Skills!Y10*(1+Inputs!$B$33/100)),15)/15,(Skills!Y10*(1+Inputs!$B$33/100))/Skills!D10)))/100)*(1+((C145=TRUE)*F145*IF(AND(Inputs!$B$4&lt;&gt;"pvp",Inputs!$B$35&gt;0),(((S145-1)*(Skills!Y15*(1+Inputs!$B$33/100))+MIN((Skills!Y15*(1+Inputs!$B$33/100)),MAX(0,Inputs!$B$35-((S145-1)*Skills!D15))))/Inputs!$B$35),IF(Inputs!$B$4="pvp",MIN((Skills!Y15*(1+Inputs!$B$33/100)),15)/15,(Skills!Y15*(1+Inputs!$B$33/100))/Skills!D15)))/100))*B165*I138)</f>
        <v/>
      </c>
      <c r="L138">
        <f>K138*(MIN(Inputs!$B$21+((C154=TRUE)*(F154-Calc!F24)),Inputs!$B$22+((C159=TRUE)*(F159-Calc!F29)))/100+(Inputs!$B$22+((C159=TRUE)*(F159-Calc!F29)))/100)/2</f>
        <v/>
      </c>
      <c r="M138">
        <f>L138*(1+(Inputs!$B$9+((C156=TRUE)*(F156-Calc!F26))+B170)/100)</f>
        <v/>
      </c>
      <c r="N138">
        <f>L138*(1-MIN((Inputs!$B$8+((C155=TRUE)*(F155-Calc!F25))+B163),100)/100)+M138*(MIN((Inputs!$B$8+((C155=TRUE)*(F155-Calc!F25))+B163),100)/100)</f>
        <v/>
      </c>
      <c r="O138">
        <f>IF(C138,H138*N138*IF(AND(Inputs!$B$4&lt;&gt;"pvp",Inputs!$B$35&gt;0),((Skills!G8*((R138-1)*IF(Skills!H8&gt;0,Skills!I8/Skills!H8,1)+IF(Skills!H8&gt;0,MIN(Skills!I8,MAX(0,Inputs!$B$35-((R138-1)*IF(Inputs!$B$4="pvp",15,MAX(0.1,Skills!D8-IF(Skills!E8=TRUE,Inputs!$B$31,0))))))/Skills!H8,1)))/Inputs!$B$35),G138*Q138)*IF(Inputs!$B$4="pvp",1,(1-Summary!$B$55)*(1)+Summary!$B$55*(MIN(Skills!W8,Inputs!$B$37))),0)</f>
        <v/>
      </c>
      <c r="P138">
        <f>IF(B175=0,0,O138/B175)</f>
        <v/>
      </c>
      <c r="Q138">
        <f>IFERROR(1/IF(Inputs!$B$4="pvp",15,MAX(0.1,Skills!D8-IF(Skills!E8=TRUE,Inputs!$B$31,0))),0)</f>
        <v/>
      </c>
      <c r="R138">
        <f>IF(AND(Inputs!$B$4&lt;&gt;"pvp",Inputs!$B$35&gt;0),(INT(Inputs!$B$35/IF(Inputs!$B$4="pvp",15,MAX(0.1,Skills!D8-IF(Skills!E8=TRUE,Inputs!$B$31,0))))+1),0)</f>
        <v/>
      </c>
      <c r="S138">
        <f>IFERROR(O138/N138,0)</f>
        <v/>
      </c>
    </row>
    <row r="139">
      <c r="A139">
        <f>Skills!A9</f>
        <v/>
      </c>
      <c r="B139">
        <f>Skills!B9</f>
        <v/>
      </c>
      <c r="C139">
        <f>Inputs!$B$3&gt;=117</f>
        <v/>
      </c>
      <c r="D139">
        <f>IF(Skills!C9=1,60+Inputs!$B$24+Inputs!$B$28,IF(Skills!C9=2,90+Inputs!$B$25+Inputs!$B$28,IF(Skills!C9=3,120+Inputs!$B$26+Inputs!$B$28,MAX(0,(Inputs!$B$3-100)*3)+Inputs!$B$27+Inputs!$B$28)))</f>
        <v/>
      </c>
      <c r="E139">
        <f>INDEX(FactorTable!$B$2:$Y$301, MATCH(ROUND(MIN(300,MAX(1,D139)),0), FactorTable!$A$2:$A$301,0), Skills!M9+1)</f>
        <v/>
      </c>
      <c r="F139">
        <f>IF(Skills!N9=TRUE,(Skills!L9/10)*(E139/1000),Skills!L9/10)+Skills!O9</f>
        <v/>
      </c>
      <c r="G139">
        <f>Skills!G9*IF(Skills!H9&gt;0,Skills!I9/Skills!H9,1)</f>
        <v/>
      </c>
      <c r="H139">
        <f>1-(1-Skills!J9/100)^Skills!K9</f>
        <v/>
      </c>
      <c r="I139" t="inlineStr">
        <is>
          <t>1</t>
        </is>
      </c>
      <c r="J139">
        <f>(Inputs!$B$5*(1+Inputs!$B$6/100))*(F139/100)</f>
        <v/>
      </c>
      <c r="K139">
        <f>J139*(1+((Inputs!$B$11*(1+Inputs!$B$12/100))*0.01+(Inputs!$B$13+1)*0.0025)/100)*(1+Inputs!$B$14/100)*(1+IF(Inputs!$B$4="pvp",0,(1-Summary!$B$55)*(Inputs!$B$19+0+Skills!P9+B164)+Summary!$B$55*(Inputs!$B$20+Skills!Q9+B164))/100)*(1+Inputs!$B$15/100)*(5000/(6000+Inputs!$B$7*(1-Inputs!$B$18/100)))*(1+(Inputs!$B$23+((C160=TRUE)*(F160-Calc!F30)))/100)*(1+(IF(Skills!A9="CRUEL_STAB",Inputs!$B$16+((C157=TRUE)*(F157-Calc!F27)),Inputs!$B$17+((C158=TRUE)*(F158-Calc!F28))))/100)*(((1+(((C151=TRUE)*F151*IF(AND(Inputs!$B$4&lt;&gt;"pvp",Inputs!$B$35&gt;0),(((S151-1)*(Skills!Y21*(1+Inputs!$B$33/100))+MIN((Skills!Y21*(1+Inputs!$B$33/100)),MAX(0,Inputs!$B$35-((S151-1)*Skills!D21))))/Inputs!$B$35),IF(Inputs!$B$4="pvp",MIN((Skills!Y21*(1+Inputs!$B$33/100)),15)/15,(Skills!Y21*(1+Inputs!$B$33/100))/Skills!D21)))+((C153=TRUE)*(F153-Calc!F23))+((C147=TRUE)*(F147-Calc!F17)))/100)*(1+((C140=TRUE)*F140*IF(AND(Inputs!$B$4&lt;&gt;"pvp",Inputs!$B$35&gt;0),(((S140-1)*(Skills!Y10*(1+Inputs!$B$33/100))+MIN((Skills!Y10*(1+Inputs!$B$33/100)),MAX(0,Inputs!$B$35-((S140-1)*Skills!D10))))/Inputs!$B$35),IF(Inputs!$B$4="pvp",MIN((Skills!Y10*(1+Inputs!$B$33/100)),15)/15,(Skills!Y10*(1+Inputs!$B$33/100))/Skills!D10)))/100)*(1+((C145=TRUE)*F145*IF(AND(Inputs!$B$4&lt;&gt;"pvp",Inputs!$B$35&gt;0),(((S145-1)*(Skills!Y15*(1+Inputs!$B$33/100))+MIN((Skills!Y15*(1+Inputs!$B$33/100)),MAX(0,Inputs!$B$35-((S145-1)*Skills!D15))))/Inputs!$B$35),IF(Inputs!$B$4="pvp",MIN((Skills!Y15*(1+Inputs!$B$33/100)),15)/15,(Skills!Y15*(1+Inputs!$B$33/100))/Skills!D15)))/100))*B165*I139)</f>
        <v/>
      </c>
      <c r="L139">
        <f>K139*(MIN(Inputs!$B$21+((C154=TRUE)*(F154-Calc!F24)),Inputs!$B$22+((C159=TRUE)*(F159-Calc!F29)))/100+(Inputs!$B$22+((C159=TRUE)*(F159-Calc!F29)))/100)/2</f>
        <v/>
      </c>
      <c r="M139">
        <f>L139*(1+(Inputs!$B$9+((C156=TRUE)*(F156-Calc!F26))+B170)/100)</f>
        <v/>
      </c>
      <c r="N139">
        <f>L139*(1-MIN((Inputs!$B$8+((C155=TRUE)*(F155-Calc!F25))+B163),100)/100)+M139*(MIN((Inputs!$B$8+((C155=TRUE)*(F155-Calc!F25))+B163),100)/100)</f>
        <v/>
      </c>
      <c r="O139">
        <f>IF(C139,0.2*SUMPRODUCT((Skills!Z2:Z30=TRUE)*(C132:C160=TRUE)*S132:S160)*N139,0)</f>
        <v/>
      </c>
      <c r="P139">
        <f>IF(B175=0,0,O139/B175)</f>
        <v/>
      </c>
      <c r="Q139" t="n">
        <v>0</v>
      </c>
      <c r="R139" t="n">
        <v>0</v>
      </c>
      <c r="S139" t="n">
        <v>0</v>
      </c>
    </row>
    <row r="140">
      <c r="A140">
        <f>Skills!A10</f>
        <v/>
      </c>
      <c r="B140">
        <f>Skills!B10</f>
        <v/>
      </c>
      <c r="C140">
        <f>Inputs!$B$3&gt;=74</f>
        <v/>
      </c>
      <c r="D140">
        <f>IF(Skills!C10=1,60+Inputs!$B$24+Inputs!$B$28,IF(Skills!C10=2,90+Inputs!$B$25+Inputs!$B$28,IF(Skills!C10=3,120+Inputs!$B$26+Inputs!$B$28,MAX(0,(Inputs!$B$3-100)*3)+Inputs!$B$27+Inputs!$B$28)))</f>
        <v/>
      </c>
      <c r="E140">
        <f>INDEX(FactorTable!$B$2:$Y$301, MATCH(ROUND(MIN(300,MAX(1,D140)),0), FactorTable!$A$2:$A$301,0), Skills!M10+1)</f>
        <v/>
      </c>
      <c r="F140">
        <f>IF(Skills!N10=TRUE,(Skills!L10/10)*(E140/1000),Skills!L10/10)+Skills!O10</f>
        <v/>
      </c>
      <c r="G140">
        <f>Skills!G10*IF(Skills!H10&gt;0,Skills!I10/Skills!H10,1)</f>
        <v/>
      </c>
      <c r="H140">
        <f>1-(1-Skills!J10/100)^Skills!K10</f>
        <v/>
      </c>
      <c r="I140" t="inlineStr">
        <is>
          <t>1</t>
        </is>
      </c>
      <c r="J140" t="inlineStr"/>
      <c r="K140" t="inlineStr"/>
      <c r="L140" t="inlineStr"/>
      <c r="M140" t="inlineStr"/>
      <c r="N140" t="inlineStr"/>
      <c r="O140" t="n">
        <v>0</v>
      </c>
      <c r="P140">
        <f>IF(B175=0,0,O140/B175)</f>
        <v/>
      </c>
      <c r="Q140">
        <f>IFERROR(1/IF(Inputs!$B$4="pvp",15,MAX(0.1,Skills!D10-IF(Skills!E10=TRUE,Inputs!$B$31,0))),0)</f>
        <v/>
      </c>
      <c r="R140">
        <f>IF(AND(Inputs!$B$4&lt;&gt;"pvp",Inputs!$B$35&gt;0),(INT(Inputs!$B$35/IF(Inputs!$B$4="pvp",15,MAX(0.1,Skills!D10-IF(Skills!E10=TRUE,Inputs!$B$31,0))))+1),0)</f>
        <v/>
      </c>
      <c r="S140">
        <f>IFERROR(O140/N140,0)</f>
        <v/>
      </c>
    </row>
    <row r="141">
      <c r="A141">
        <f>Skills!A11</f>
        <v/>
      </c>
      <c r="B141">
        <f>Skills!B11</f>
        <v/>
      </c>
      <c r="C141">
        <f>Inputs!$B$3&gt;=103</f>
        <v/>
      </c>
      <c r="D141">
        <f>IF(Skills!C11=1,60+Inputs!$B$24+Inputs!$B$28,IF(Skills!C11=2,90+Inputs!$B$25+Inputs!$B$28,IF(Skills!C11=3,120+Inputs!$B$26+Inputs!$B$28,MAX(0,(Inputs!$B$3-100)*3)+Inputs!$B$27+Inputs!$B$28)))</f>
        <v/>
      </c>
      <c r="E141">
        <f>INDEX(FactorTable!$B$2:$Y$301, MATCH(ROUND(MIN(300,MAX(1,D141)),0), FactorTable!$A$2:$A$301,0), Skills!M11+1)</f>
        <v/>
      </c>
      <c r="F141">
        <f>(Skills!L11/10)*(E141/1000)+IF(Inputs!$B$3&gt;=134,50,0)+0.5*(30000/10)*(INDEX(FactorTable!$B$2:$Y$301, MATCH(ROUND(MIN(300,MAX(1,D141)),0), FactorTable!$A$2:$A$301,0), 13)/1000)*B173</f>
        <v/>
      </c>
      <c r="G141">
        <f>Skills!G11*IF(Skills!H11&gt;0,Skills!I11/Skills!H11,1)</f>
        <v/>
      </c>
      <c r="H141">
        <f>1-(1-Skills!J11/100)^Skills!K11</f>
        <v/>
      </c>
      <c r="I141" t="inlineStr">
        <is>
          <t>1</t>
        </is>
      </c>
      <c r="J141">
        <f>(Inputs!$B$5*(1+Inputs!$B$6/100))*(F141/100)</f>
        <v/>
      </c>
      <c r="K141">
        <f>J141*(1+((Inputs!$B$11*(1+Inputs!$B$12/100))*0.01+(Inputs!$B$13+1)*0.0025)/100)*(1+Inputs!$B$14/100)*(1+IF(Inputs!$B$4="pvp",0,(1-Summary!$B$55)*(Inputs!$B$19+0+Skills!P11+B164)+Summary!$B$55*(Inputs!$B$20+Skills!Q11+B164))/100)*(1+Inputs!$B$15/100)*(5000/(6000+Inputs!$B$7*(1-Inputs!$B$18/100)))*(1+(Inputs!$B$23+((C160=TRUE)*(F160-Calc!F30)))/100)*(1+(IF(Skills!A11="CRUEL_STAB",Inputs!$B$16+((C157=TRUE)*(F157-Calc!F27)),Inputs!$B$17+((C158=TRUE)*(F158-Calc!F28))))/100)*(((1+(((C151=TRUE)*F151*IF(AND(Inputs!$B$4&lt;&gt;"pvp",Inputs!$B$35&gt;0),(((S151-1)*(Skills!Y21*(1+Inputs!$B$33/100))+MIN((Skills!Y21*(1+Inputs!$B$33/100)),MAX(0,Inputs!$B$35-((S151-1)*Skills!D21))))/Inputs!$B$35),IF(Inputs!$B$4="pvp",MIN((Skills!Y21*(1+Inputs!$B$33/100)),15)/15,(Skills!Y21*(1+Inputs!$B$33/100))/Skills!D21)))+((C153=TRUE)*(F153-Calc!F23))+((C147=TRUE)*(F147-Calc!F17)))/100)*(1+((C140=TRUE)*F140*IF(AND(Inputs!$B$4&lt;&gt;"pvp",Inputs!$B$35&gt;0),(((S140-1)*(Skills!Y10*(1+Inputs!$B$33/100))+MIN((Skills!Y10*(1+Inputs!$B$33/100)),MAX(0,Inputs!$B$35-((S140-1)*Skills!D10))))/Inputs!$B$35),IF(Inputs!$B$4="pvp",MIN((Skills!Y10*(1+Inputs!$B$33/100)),15)/15,(Skills!Y10*(1+Inputs!$B$33/100))/Skills!D10)))/100)*(1+((C145=TRUE)*F145*IF(AND(Inputs!$B$4&lt;&gt;"pvp",Inputs!$B$35&gt;0),(((S145-1)*(Skills!Y15*(1+Inputs!$B$33/100))+MIN((Skills!Y15*(1+Inputs!$B$33/100)),MAX(0,Inputs!$B$35-((S145-1)*Skills!D15))))/Inputs!$B$35),IF(Inputs!$B$4="pvp",MIN((Skills!Y15*(1+Inputs!$B$33/100)),15)/15,(Skills!Y15*(1+Inputs!$B$33/100))/Skills!D15)))/100))*B165*I141)</f>
        <v/>
      </c>
      <c r="L141">
        <f>K141*(MIN(Inputs!$B$21+((C154=TRUE)*(F154-Calc!F24)),Inputs!$B$22+((C159=TRUE)*(F159-Calc!F29)))/100+(Inputs!$B$22+((C159=TRUE)*(F159-Calc!F29)))/100)/2</f>
        <v/>
      </c>
      <c r="M141">
        <f>L141*(1+(Inputs!$B$9+((C156=TRUE)*(F156-Calc!F26))+B170)/100)</f>
        <v/>
      </c>
      <c r="N141">
        <f>L141*(1-MIN((Inputs!$B$8+((C155=TRUE)*(F155-Calc!F25))+B163),100)/100)+M141*(MIN((Inputs!$B$8+((C155=TRUE)*(F155-Calc!F25))+B163),100)/100)</f>
        <v/>
      </c>
      <c r="O141">
        <f>IF(C141,H141*N141*IF(AND(Inputs!$B$4&lt;&gt;"pvp",Inputs!$B$35&gt;0),((Skills!G11*((R141-1)*IF(Skills!H11&gt;0,Skills!I11/Skills!H11,1)+IF(Skills!H11&gt;0,MIN(Skills!I11,MAX(0,Inputs!$B$35-((R141-1)*IF(Inputs!$B$4="pvp",15,MAX(0.1,Skills!D11-IF(Skills!E11=TRUE,Inputs!$B$31,0))))))/Skills!H11,1)))/Inputs!$B$35),G141*Q141)*IF(Inputs!$B$4="pvp",1,(1-Summary!$B$55)*(1)+Summary!$B$55*(MIN(Skills!W11,Inputs!$B$37))),0)</f>
        <v/>
      </c>
      <c r="P141">
        <f>IF(B175=0,0,O141/B175)</f>
        <v/>
      </c>
      <c r="Q141">
        <f>IFERROR(1/IF(Inputs!$B$4="pvp",15,MAX(0.1,Skills!D11-IF(Skills!E11=TRUE,Inputs!$B$31,0))),0)</f>
        <v/>
      </c>
      <c r="R141">
        <f>IF(AND(Inputs!$B$4&lt;&gt;"pvp",Inputs!$B$35&gt;0),(INT(Inputs!$B$35/IF(Inputs!$B$4="pvp",15,MAX(0.1,Skills!D11-IF(Skills!E11=TRUE,Inputs!$B$31,0))))+1),0)</f>
        <v/>
      </c>
      <c r="S141">
        <f>IFERROR(O141/N141,0)</f>
        <v/>
      </c>
    </row>
    <row r="142">
      <c r="A142">
        <f>Skills!A12</f>
        <v/>
      </c>
      <c r="B142">
        <f>Skills!B12</f>
        <v/>
      </c>
      <c r="C142">
        <f>Inputs!$B$3&gt;=105</f>
        <v/>
      </c>
      <c r="D142">
        <f>IF(Skills!C12=1,60+Inputs!$B$24+Inputs!$B$28,IF(Skills!C12=2,90+Inputs!$B$25+Inputs!$B$28,IF(Skills!C12=3,120+Inputs!$B$26+Inputs!$B$28,MAX(0,(Inputs!$B$3-100)*3)+Inputs!$B$27+Inputs!$B$28)))</f>
        <v/>
      </c>
      <c r="E142">
        <f>INDEX(FactorTable!$B$2:$Y$301, MATCH(ROUND(MIN(300,MAX(1,D142)),0), FactorTable!$A$2:$A$301,0), Skills!M12+1)</f>
        <v/>
      </c>
      <c r="F142">
        <f>IF(Skills!N12=TRUE,(Skills!L12/10)*(E142/1000),Skills!L12/10)+Skills!O12</f>
        <v/>
      </c>
      <c r="G142">
        <f>Skills!G12*IF(Skills!H12&gt;0,Skills!I12/Skills!H12,1)</f>
        <v/>
      </c>
      <c r="H142">
        <f>1-(1-Skills!J12/100)^Skills!K12</f>
        <v/>
      </c>
      <c r="I142" t="inlineStr">
        <is>
          <t>1</t>
        </is>
      </c>
      <c r="J142">
        <f>(Inputs!$B$5*(1+Inputs!$B$6/100))*(F142/100)</f>
        <v/>
      </c>
      <c r="K142">
        <f>J142*(1+((Inputs!$B$11*(1+Inputs!$B$12/100))*0.01+(Inputs!$B$13+1)*0.0025)/100)*(1+Inputs!$B$14/100)*(1+IF(Inputs!$B$4="pvp",0,(1-Summary!$B$55)*(Inputs!$B$19+0+Skills!P12+B164)+Summary!$B$55*(Inputs!$B$20+Skills!Q12+B164))/100)*(1+Inputs!$B$15/100)*(5000/(6000+Inputs!$B$7*(1-Inputs!$B$18/100)))*(1+(Inputs!$B$23+((C160=TRUE)*(F160-Calc!F30)))/100)*(1+(IF(Skills!A12="CRUEL_STAB",Inputs!$B$16+((C157=TRUE)*(F157-Calc!F27)),Inputs!$B$17+((C158=TRUE)*(F158-Calc!F28))))/100)*(((1+(((C151=TRUE)*F151*IF(AND(Inputs!$B$4&lt;&gt;"pvp",Inputs!$B$35&gt;0),(((S151-1)*(Skills!Y21*(1+Inputs!$B$33/100))+MIN((Skills!Y21*(1+Inputs!$B$33/100)),MAX(0,Inputs!$B$35-((S151-1)*Skills!D21))))/Inputs!$B$35),IF(Inputs!$B$4="pvp",MIN((Skills!Y21*(1+Inputs!$B$33/100)),15)/15,(Skills!Y21*(1+Inputs!$B$33/100))/Skills!D21)))+((C153=TRUE)*(F153-Calc!F23))+((C147=TRUE)*(F147-Calc!F17)))/100)*(1+((C140=TRUE)*F140*IF(AND(Inputs!$B$4&lt;&gt;"pvp",Inputs!$B$35&gt;0),(((S140-1)*(Skills!Y10*(1+Inputs!$B$33/100))+MIN((Skills!Y10*(1+Inputs!$B$33/100)),MAX(0,Inputs!$B$35-((S140-1)*Skills!D10))))/Inputs!$B$35),IF(Inputs!$B$4="pvp",MIN((Skills!Y10*(1+Inputs!$B$33/100)),15)/15,(Skills!Y10*(1+Inputs!$B$33/100))/Skills!D10)))/100)*(1+((C145=TRUE)*F145*IF(AND(Inputs!$B$4&lt;&gt;"pvp",Inputs!$B$35&gt;0),(((S145-1)*(Skills!Y15*(1+Inputs!$B$33/100))+MIN((Skills!Y15*(1+Inputs!$B$33/100)),MAX(0,Inputs!$B$35-((S145-1)*Skills!D15))))/Inputs!$B$35),IF(Inputs!$B$4="pvp",MIN((Skills!Y15*(1+Inputs!$B$33/100)),15)/15,(Skills!Y15*(1+Inputs!$B$33/100))/Skills!D15)))/100))*B165*I142)</f>
        <v/>
      </c>
      <c r="L142">
        <f>K142*(MIN(Inputs!$B$21+((C154=TRUE)*(F154-Calc!F24)),Inputs!$B$22+((C159=TRUE)*(F159-Calc!F29)))/100+(Inputs!$B$22+((C159=TRUE)*(F159-Calc!F29)))/100)/2</f>
        <v/>
      </c>
      <c r="M142">
        <f>L142*(1+(Inputs!$B$9+((C156=TRUE)*(F156-Calc!F26))+B170)/100)</f>
        <v/>
      </c>
      <c r="N142">
        <f>L142*(1-MIN((Inputs!$B$8+((C155=TRUE)*(F155-Calc!F25))+B163),100)/100)+M142*(MIN((Inputs!$B$8+((C155=TRUE)*(F155-Calc!F25))+B163),100)/100)</f>
        <v/>
      </c>
      <c r="O142">
        <f>IF(C142,H142*N142*IF(AND(Inputs!$B$4&lt;&gt;"pvp",Inputs!$B$35&gt;0),((Skills!G12*((R142-1)*IF(Skills!H12&gt;0,Skills!I12/Skills!H12,1)+IF(Skills!H12&gt;0,MIN(Skills!I12,MAX(0,Inputs!$B$35-((R142-1)*IF(Inputs!$B$4="pvp",15,MAX(0.1,Skills!D12-IF(Skills!E12=TRUE,Inputs!$B$31,0))))))/Skills!H12,1)))/Inputs!$B$35),G142*Q142)*IF(Inputs!$B$4="pvp",1,(1-Summary!$B$55)*(1)+Summary!$B$55*(MIN(Skills!W12,Inputs!$B$37))),0)</f>
        <v/>
      </c>
      <c r="P142">
        <f>IF(B175=0,0,O142/B175)</f>
        <v/>
      </c>
      <c r="Q142">
        <f>IFERROR(1/IF(Inputs!$B$4="pvp",15,MAX(0.1,Skills!D12-IF(Skills!E12=TRUE,Inputs!$B$31,0))),0)</f>
        <v/>
      </c>
      <c r="R142">
        <f>IF(AND(Inputs!$B$4&lt;&gt;"pvp",Inputs!$B$35&gt;0),(INT(Inputs!$B$35/IF(Inputs!$B$4="pvp",15,MAX(0.1,Skills!D12-IF(Skills!E12=TRUE,Inputs!$B$31,0))))+1),0)</f>
        <v/>
      </c>
      <c r="S142">
        <f>IFERROR(O142/N142,0)</f>
        <v/>
      </c>
    </row>
    <row r="143">
      <c r="A143">
        <f>Skills!A13</f>
        <v/>
      </c>
      <c r="B143">
        <f>Skills!B13</f>
        <v/>
      </c>
      <c r="C143">
        <f>Inputs!$B$3&gt;=105</f>
        <v/>
      </c>
      <c r="D143">
        <f>IF(Skills!C13=1,60+Inputs!$B$24+Inputs!$B$28,IF(Skills!C13=2,90+Inputs!$B$25+Inputs!$B$28,IF(Skills!C13=3,120+Inputs!$B$26+Inputs!$B$28,MAX(0,(Inputs!$B$3-100)*3)+Inputs!$B$27+Inputs!$B$28)))</f>
        <v/>
      </c>
      <c r="E143">
        <f>INDEX(FactorTable!$B$2:$Y$301, MATCH(ROUND(MIN(300,MAX(1,D143)),0), FactorTable!$A$2:$A$301,0), Skills!M13+1)</f>
        <v/>
      </c>
      <c r="F143">
        <f>IF(Skills!N13=TRUE,(Skills!L13/10)*(E143/1000),Skills!L13/10)+Skills!O13</f>
        <v/>
      </c>
      <c r="G143">
        <f>Skills!G13*IF(Skills!H13&gt;0,Skills!I13/Skills!H13,1)</f>
        <v/>
      </c>
      <c r="H143">
        <f>1-(1-Skills!J13/100)^Skills!K13</f>
        <v/>
      </c>
      <c r="I143" t="inlineStr">
        <is>
          <t>1</t>
        </is>
      </c>
      <c r="J143">
        <f>(Inputs!$B$5*(1+Inputs!$B$6/100))*(F143/100)</f>
        <v/>
      </c>
      <c r="K143">
        <f>J143*(1+((Inputs!$B$11*(1+Inputs!$B$12/100))*0.01+(Inputs!$B$13+1)*0.0025)/100)*(1+Inputs!$B$14/100)*(1+IF(Inputs!$B$4="pvp",0,(1-Summary!$B$55)*(Inputs!$B$19+0+Skills!P13+B164)+Summary!$B$55*(Inputs!$B$20+Skills!Q13+B164))/100)*(1+Inputs!$B$15/100)*(5000/(6000+Inputs!$B$7*(1-Inputs!$B$18/100)))*(1+(Inputs!$B$23+((C160=TRUE)*(F160-Calc!F30)))/100)*(1+(IF(Skills!A13="CRUEL_STAB",Inputs!$B$16+((C157=TRUE)*(F157-Calc!F27)),Inputs!$B$17+((C158=TRUE)*(F158-Calc!F28))))/100)*(((1+(((C151=TRUE)*F151*IF(AND(Inputs!$B$4&lt;&gt;"pvp",Inputs!$B$35&gt;0),(((S151-1)*(Skills!Y21*(1+Inputs!$B$33/100))+MIN((Skills!Y21*(1+Inputs!$B$33/100)),MAX(0,Inputs!$B$35-((S151-1)*Skills!D21))))/Inputs!$B$35),IF(Inputs!$B$4="pvp",MIN((Skills!Y21*(1+Inputs!$B$33/100)),15)/15,(Skills!Y21*(1+Inputs!$B$33/100))/Skills!D21)))+((C153=TRUE)*(F153-Calc!F23))+((C147=TRUE)*(F147-Calc!F17)))/100)*(1+((C140=TRUE)*F140*IF(AND(Inputs!$B$4&lt;&gt;"pvp",Inputs!$B$35&gt;0),(((S140-1)*(Skills!Y10*(1+Inputs!$B$33/100))+MIN((Skills!Y10*(1+Inputs!$B$33/100)),MAX(0,Inputs!$B$35-((S140-1)*Skills!D10))))/Inputs!$B$35),IF(Inputs!$B$4="pvp",MIN((Skills!Y10*(1+Inputs!$B$33/100)),15)/15,(Skills!Y10*(1+Inputs!$B$33/100))/Skills!D10)))/100)*(1+((C145=TRUE)*F145*IF(AND(Inputs!$B$4&lt;&gt;"pvp",Inputs!$B$35&gt;0),(((S145-1)*(Skills!Y15*(1+Inputs!$B$33/100))+MIN((Skills!Y15*(1+Inputs!$B$33/100)),MAX(0,Inputs!$B$35-((S145-1)*Skills!D15))))/Inputs!$B$35),IF(Inputs!$B$4="pvp",MIN((Skills!Y15*(1+Inputs!$B$33/100)),15)/15,(Skills!Y15*(1+Inputs!$B$33/100))/Skills!D15)))/100))*B165*I143)</f>
        <v/>
      </c>
      <c r="L143">
        <f>K143*(MIN(Inputs!$B$21+((C154=TRUE)*(F154-Calc!F24)),Inputs!$B$22+((C159=TRUE)*(F159-Calc!F29)))/100+(Inputs!$B$22+((C159=TRUE)*(F159-Calc!F29)))/100)/2</f>
        <v/>
      </c>
      <c r="M143">
        <f>L143*(1+(Inputs!$B$9+((C156=TRUE)*(F156-Calc!F26))+B170)/100)</f>
        <v/>
      </c>
      <c r="N143">
        <f>L143*(1-MIN((Inputs!$B$8+((C155=TRUE)*(F155-Calc!F25))+B163),100)/100)+M143*(MIN((Inputs!$B$8+((C155=TRUE)*(F155-Calc!F25))+B163),100)/100)</f>
        <v/>
      </c>
      <c r="O143">
        <f>IF(C143,H143*N143*IF(AND(Inputs!$B$4&lt;&gt;"pvp",Inputs!$B$35&gt;0),((Skills!G13*((R143-1)*IF(Skills!H13&gt;0,Skills!I13/Skills!H13,1)+IF(Skills!H13&gt;0,MIN(Skills!I13,MAX(0,Inputs!$B$35-((R143-1)*IF(Inputs!$B$4="pvp",15,MAX(0.1,Skills!D13-IF(Skills!E13=TRUE,Inputs!$B$31,0))))))/Skills!H13,1)))/Inputs!$B$35),G143*Q143)*IF(Inputs!$B$4="pvp",1,(1-Summary!$B$55)*(1)+Summary!$B$55*(MIN(Skills!W13,Inputs!$B$37))),0)</f>
        <v/>
      </c>
      <c r="P143">
        <f>IF(B175=0,0,O143/B175)</f>
        <v/>
      </c>
      <c r="Q143">
        <f>IFERROR(1/IF(Inputs!$B$4="pvp",15,MAX(0.1,Skills!D13-IF(Skills!E13=TRUE,Inputs!$B$31,0))),0)</f>
        <v/>
      </c>
      <c r="R143">
        <f>IF(AND(Inputs!$B$4&lt;&gt;"pvp",Inputs!$B$35&gt;0),(INT(Inputs!$B$35/IF(Inputs!$B$4="pvp",15,MAX(0.1,Skills!D13-IF(Skills!E13=TRUE,Inputs!$B$31,0))))+1),0)</f>
        <v/>
      </c>
      <c r="S143">
        <f>IFERROR(O143/N143,0)</f>
        <v/>
      </c>
    </row>
    <row r="144">
      <c r="A144">
        <f>Skills!A14</f>
        <v/>
      </c>
      <c r="B144">
        <f>Skills!B14</f>
        <v/>
      </c>
      <c r="C144">
        <f>Inputs!$B$3&gt;=107</f>
        <v/>
      </c>
      <c r="D144">
        <f>IF(Skills!C14=1,60+Inputs!$B$24+Inputs!$B$28,IF(Skills!C14=2,90+Inputs!$B$25+Inputs!$B$28,IF(Skills!C14=3,120+Inputs!$B$26+Inputs!$B$28,MAX(0,(Inputs!$B$3-100)*3)+Inputs!$B$27+Inputs!$B$28)))</f>
        <v/>
      </c>
      <c r="E144">
        <f>INDEX(FactorTable!$B$2:$Y$301, MATCH(ROUND(MIN(300,MAX(1,D144)),0), FactorTable!$A$2:$A$301,0), Skills!M14+1)</f>
        <v/>
      </c>
      <c r="F144">
        <f>IF(Skills!N14=TRUE,(Skills!L14/10)*(E144/1000),Skills!L14/10)+Skills!O14</f>
        <v/>
      </c>
      <c r="G144">
        <f>Skills!G14*IF(Skills!H14&gt;0,Skills!I14/Skills!H14,1)</f>
        <v/>
      </c>
      <c r="H144">
        <f>1-(1-Skills!J14/100)^Skills!K14</f>
        <v/>
      </c>
      <c r="I144" t="inlineStr">
        <is>
          <t>1</t>
        </is>
      </c>
      <c r="J144">
        <f>(Inputs!$B$5*(1+Inputs!$B$6/100))*(F144/100)</f>
        <v/>
      </c>
      <c r="K144">
        <f>J144*(1+((Inputs!$B$11*(1+Inputs!$B$12/100))*0.01+(Inputs!$B$13+1)*0.0025)/100)*(1+Inputs!$B$14/100)*(1+IF(Inputs!$B$4="pvp",0,(1-Summary!$B$55)*(Inputs!$B$19+0+Skills!P14+B164)+Summary!$B$55*(Inputs!$B$20+Skills!Q14+B164))/100)*(1+Inputs!$B$15/100)*(5000/(6000+Inputs!$B$7*(1-Inputs!$B$18/100)))*(1+(Inputs!$B$23+((C160=TRUE)*(F160-Calc!F30)))/100)*(1+(IF(Skills!A14="CRUEL_STAB",Inputs!$B$16+((C157=TRUE)*(F157-Calc!F27)),Inputs!$B$17+((C158=TRUE)*(F158-Calc!F28))))/100)*(((1+(((C151=TRUE)*F151*IF(AND(Inputs!$B$4&lt;&gt;"pvp",Inputs!$B$35&gt;0),(((S151-1)*(Skills!Y21*(1+Inputs!$B$33/100))+MIN((Skills!Y21*(1+Inputs!$B$33/100)),MAX(0,Inputs!$B$35-((S151-1)*Skills!D21))))/Inputs!$B$35),IF(Inputs!$B$4="pvp",MIN((Skills!Y21*(1+Inputs!$B$33/100)),15)/15,(Skills!Y21*(1+Inputs!$B$33/100))/Skills!D21)))+((C153=TRUE)*(F153-Calc!F23))+((C147=TRUE)*(F147-Calc!F17)))/100)*(1+((C140=TRUE)*F140*IF(AND(Inputs!$B$4&lt;&gt;"pvp",Inputs!$B$35&gt;0),(((S140-1)*(Skills!Y10*(1+Inputs!$B$33/100))+MIN((Skills!Y10*(1+Inputs!$B$33/100)),MAX(0,Inputs!$B$35-((S140-1)*Skills!D10))))/Inputs!$B$35),IF(Inputs!$B$4="pvp",MIN((Skills!Y10*(1+Inputs!$B$33/100)),15)/15,(Skills!Y10*(1+Inputs!$B$33/100))/Skills!D10)))/100)*(1+((C145=TRUE)*F145*IF(AND(Inputs!$B$4&lt;&gt;"pvp",Inputs!$B$35&gt;0),(((S145-1)*(Skills!Y15*(1+Inputs!$B$33/100))+MIN((Skills!Y15*(1+Inputs!$B$33/100)),MAX(0,Inputs!$B$35-((S145-1)*Skills!D15))))/Inputs!$B$35),IF(Inputs!$B$4="pvp",MIN((Skills!Y15*(1+Inputs!$B$33/100)),15)/15,(Skills!Y15*(1+Inputs!$B$33/100))/Skills!D15)))/100))*B165*I144)</f>
        <v/>
      </c>
      <c r="L144">
        <f>K144*(MIN(Inputs!$B$21+((C154=TRUE)*(F154-Calc!F24)),Inputs!$B$22+((C159=TRUE)*(F159-Calc!F29)))/100+(Inputs!$B$22+((C159=TRUE)*(F159-Calc!F29)))/100)/2</f>
        <v/>
      </c>
      <c r="M144">
        <f>L144*(1+(Inputs!$B$9+((C156=TRUE)*(F156-Calc!F26))+B170)/100)</f>
        <v/>
      </c>
      <c r="N144">
        <f>L144*(1-MIN((Inputs!$B$8+((C155=TRUE)*(F155-Calc!F25))+B163),100)/100)+M144*(MIN((Inputs!$B$8+((C155=TRUE)*(F155-Calc!F25))+B163),100)/100)</f>
        <v/>
      </c>
      <c r="O144">
        <f>IF(C144,H144*N144*IF(AND(Inputs!$B$4&lt;&gt;"pvp",Inputs!$B$35&gt;0),((Skills!G14*((R144-1)*IF(Skills!H14&gt;0,Skills!I14/Skills!H14,1)+IF(Skills!H14&gt;0,MIN(Skills!I14,MAX(0,Inputs!$B$35-((R144-1)*IF(Inputs!$B$4="pvp",15,MAX(0.1,Skills!D14-IF(Skills!E14=TRUE,Inputs!$B$31,0))))))/Skills!H14,1)))/Inputs!$B$35),G144*Q144)*IF(Inputs!$B$4="pvp",1,(1-Summary!$B$55)*(1)+Summary!$B$55*(MIN(MIN(5,0.25*B167*Skills!D4)*Skills!V14,Inputs!$B$37))),0)</f>
        <v/>
      </c>
      <c r="P144">
        <f>IF(B175=0,0,O144/B175)</f>
        <v/>
      </c>
      <c r="Q144">
        <f>IFERROR(1/IF(Inputs!$B$4="pvp",15,MAX(0.1,Skills!D14-IF(Skills!E14=TRUE,Inputs!$B$31,0))),0)</f>
        <v/>
      </c>
      <c r="R144">
        <f>IF(AND(Inputs!$B$4&lt;&gt;"pvp",Inputs!$B$35&gt;0),(INT(Inputs!$B$35/IF(Inputs!$B$4="pvp",15,MAX(0.1,Skills!D14-IF(Skills!E14=TRUE,Inputs!$B$31,0))))+1),0)</f>
        <v/>
      </c>
      <c r="S144">
        <f>IFERROR(O144/N144,0)</f>
        <v/>
      </c>
    </row>
    <row r="145">
      <c r="A145">
        <f>Skills!A15</f>
        <v/>
      </c>
      <c r="B145">
        <f>Skills!B15</f>
        <v/>
      </c>
      <c r="C145">
        <f>Inputs!$B$3&gt;=110</f>
        <v/>
      </c>
      <c r="D145">
        <f>IF(Skills!C15=1,60+Inputs!$B$24+Inputs!$B$28,IF(Skills!C15=2,90+Inputs!$B$25+Inputs!$B$28,IF(Skills!C15=3,120+Inputs!$B$26+Inputs!$B$28,MAX(0,(Inputs!$B$3-100)*3)+Inputs!$B$27+Inputs!$B$28)))</f>
        <v/>
      </c>
      <c r="E145">
        <f>INDEX(FactorTable!$B$2:$Y$301, MATCH(ROUND(MIN(300,MAX(1,D145)),0), FactorTable!$A$2:$A$301,0), Skills!M15+1)</f>
        <v/>
      </c>
      <c r="F145">
        <f>IF(Skills!N15=TRUE,(Skills!L15/10)*(E145/1000),Skills!L15/10)+Skills!O15</f>
        <v/>
      </c>
      <c r="G145">
        <f>Skills!G15*IF(Skills!H15&gt;0,Skills!I15/Skills!H15,1)</f>
        <v/>
      </c>
      <c r="H145">
        <f>1-(1-Skills!J15/100)^Skills!K15</f>
        <v/>
      </c>
      <c r="I145" t="inlineStr">
        <is>
          <t>1</t>
        </is>
      </c>
      <c r="J145" t="inlineStr"/>
      <c r="K145" t="inlineStr"/>
      <c r="L145" t="inlineStr"/>
      <c r="M145" t="inlineStr"/>
      <c r="N145" t="inlineStr"/>
      <c r="O145" t="n">
        <v>0</v>
      </c>
      <c r="P145">
        <f>IF(B175=0,0,O145/B175)</f>
        <v/>
      </c>
      <c r="Q145">
        <f>IFERROR(1/IF(Inputs!$B$4="pvp",15,MAX(0.1,Skills!D15-IF(Skills!E15=TRUE,Inputs!$B$31,0))),0)</f>
        <v/>
      </c>
      <c r="R145">
        <f>IF(AND(Inputs!$B$4&lt;&gt;"pvp",Inputs!$B$35&gt;0),(INT(Inputs!$B$35/IF(Inputs!$B$4="pvp",15,MAX(0.1,Skills!D15-IF(Skills!E15=TRUE,Inputs!$B$31,0))))+1),0)</f>
        <v/>
      </c>
      <c r="S145">
        <f>IFERROR(O145/N145,0)</f>
        <v/>
      </c>
    </row>
    <row r="146">
      <c r="A146">
        <f>Skills!A16</f>
        <v/>
      </c>
      <c r="B146">
        <f>Skills!B16</f>
        <v/>
      </c>
      <c r="C146">
        <f>Inputs!$B$3&gt;=115</f>
        <v/>
      </c>
      <c r="D146">
        <f>IF(Skills!C16=1,60+Inputs!$B$24+Inputs!$B$28,IF(Skills!C16=2,90+Inputs!$B$25+Inputs!$B$28,IF(Skills!C16=3,120+Inputs!$B$26+Inputs!$B$28,MAX(0,(Inputs!$B$3-100)*3)+Inputs!$B$27+Inputs!$B$28)))</f>
        <v/>
      </c>
      <c r="E146">
        <f>INDEX(FactorTable!$B$2:$Y$301, MATCH(ROUND(MIN(300,MAX(1,D146)),0), FactorTable!$A$2:$A$301,0), Skills!M16+1)</f>
        <v/>
      </c>
      <c r="F146">
        <f>IF(Skills!N16=TRUE,(Skills!L16/10)*(E146/1000),Skills!L16/10)+Skills!O16</f>
        <v/>
      </c>
      <c r="G146">
        <f>Skills!G16*IF(Skills!H16&gt;0,Skills!I16/Skills!H16,1)</f>
        <v/>
      </c>
      <c r="H146">
        <f>1-(1-Skills!J16/100)^Skills!K16</f>
        <v/>
      </c>
      <c r="I146" t="inlineStr">
        <is>
          <t>1</t>
        </is>
      </c>
      <c r="J146">
        <f>(Inputs!$B$5*(1+Inputs!$B$6/100))*(F146/100)</f>
        <v/>
      </c>
      <c r="K146">
        <f>J146*(1+((Inputs!$B$11*(1+Inputs!$B$12/100))*0.01+(Inputs!$B$13+1)*0.0025)/100)*(1+Inputs!$B$14/100)*(1+IF(Inputs!$B$4="pvp",0,(1-Summary!$B$55)*(Inputs!$B$19+0+Skills!P16+B164)+Summary!$B$55*(Inputs!$B$20+Skills!Q16+B164))/100)*(1+Inputs!$B$15/100)*(5000/(6000+Inputs!$B$7*(1-Inputs!$B$18/100)))*(1+(Inputs!$B$23+((C160=TRUE)*(F160-Calc!F30)))/100)*(1+(IF(Skills!A16="CRUEL_STAB",Inputs!$B$16+((C157=TRUE)*(F157-Calc!F27)),Inputs!$B$17+((C158=TRUE)*(F158-Calc!F28))))/100)*(((1+(((C151=TRUE)*F151*IF(AND(Inputs!$B$4&lt;&gt;"pvp",Inputs!$B$35&gt;0),(((S151-1)*(Skills!Y21*(1+Inputs!$B$33/100))+MIN((Skills!Y21*(1+Inputs!$B$33/100)),MAX(0,Inputs!$B$35-((S151-1)*Skills!D21))))/Inputs!$B$35),IF(Inputs!$B$4="pvp",MIN((Skills!Y21*(1+Inputs!$B$33/100)),15)/15,(Skills!Y21*(1+Inputs!$B$33/100))/Skills!D21)))+((C153=TRUE)*(F153-Calc!F23))+((C147=TRUE)*(F147-Calc!F17)))/100)*(1+((C140=TRUE)*F140*IF(AND(Inputs!$B$4&lt;&gt;"pvp",Inputs!$B$35&gt;0),(((S140-1)*(Skills!Y10*(1+Inputs!$B$33/100))+MIN((Skills!Y10*(1+Inputs!$B$33/100)),MAX(0,Inputs!$B$35-((S140-1)*Skills!D10))))/Inputs!$B$35),IF(Inputs!$B$4="pvp",MIN((Skills!Y10*(1+Inputs!$B$33/100)),15)/15,(Skills!Y10*(1+Inputs!$B$33/100))/Skills!D10)))/100)*(1+((C145=TRUE)*F145*IF(AND(Inputs!$B$4&lt;&gt;"pvp",Inputs!$B$35&gt;0),(((S145-1)*(Skills!Y15*(1+Inputs!$B$33/100))+MIN((Skills!Y15*(1+Inputs!$B$33/100)),MAX(0,Inputs!$B$35-((S145-1)*Skills!D15))))/Inputs!$B$35),IF(Inputs!$B$4="pvp",MIN((Skills!Y15*(1+Inputs!$B$33/100)),15)/15,(Skills!Y15*(1+Inputs!$B$33/100))/Skills!D15)))/100))*B165*I146)</f>
        <v/>
      </c>
      <c r="L146">
        <f>K146*(MIN(Inputs!$B$21+((C154=TRUE)*(F154-Calc!F24)),Inputs!$B$22+((C159=TRUE)*(F159-Calc!F29)))/100+(Inputs!$B$22+((C159=TRUE)*(F159-Calc!F29)))/100)/2</f>
        <v/>
      </c>
      <c r="M146">
        <f>L146*(1+(Inputs!$B$9+((C156=TRUE)*(F156-Calc!F26))+B170)/100)</f>
        <v/>
      </c>
      <c r="N146">
        <f>L146*(1-MIN((Inputs!$B$8+((C155=TRUE)*(F155-Calc!F25))+B163),100)/100)+M146*(MIN((Inputs!$B$8+((C155=TRUE)*(F155-Calc!F25))+B163),100)/100)</f>
        <v/>
      </c>
      <c r="O146">
        <f>IF(C146,Inputs!$B$38*0.2*N146,0)</f>
        <v/>
      </c>
      <c r="P146">
        <f>IF(B175=0,0,O146/B175)</f>
        <v/>
      </c>
      <c r="Q146" t="n">
        <v>0</v>
      </c>
      <c r="R146" t="n">
        <v>0</v>
      </c>
      <c r="S146">
        <f>IFERROR(O146/N146,0)</f>
        <v/>
      </c>
    </row>
    <row r="147">
      <c r="A147">
        <f>Skills!A17</f>
        <v/>
      </c>
      <c r="B147">
        <f>Skills!B17</f>
        <v/>
      </c>
      <c r="C147">
        <f>Inputs!$B$3&gt;=115</f>
        <v/>
      </c>
      <c r="D147">
        <f>IF(Skills!C17=1,60+Inputs!$B$24+Inputs!$B$28,IF(Skills!C17=2,90+Inputs!$B$25+Inputs!$B$28,IF(Skills!C17=3,120+Inputs!$B$26+Inputs!$B$28,MAX(0,(Inputs!$B$3-100)*3)+Inputs!$B$27+Inputs!$B$28)))</f>
        <v/>
      </c>
      <c r="E147">
        <f>INDEX(FactorTable!$B$2:$Y$301, MATCH(ROUND(MIN(300,MAX(1,D147)),0), FactorTable!$A$2:$A$301,0), Skills!M17+1)</f>
        <v/>
      </c>
      <c r="F147">
        <f>IF(Skills!N17=TRUE,(Skills!L17/10)*(E147/1000),Skills!L17/10)+Skills!O17</f>
        <v/>
      </c>
      <c r="G147">
        <f>Skills!G17*IF(Skills!H17&gt;0,Skills!I17/Skills!H17,1)</f>
        <v/>
      </c>
      <c r="H147">
        <f>1-(1-Skills!J17/100)^Skills!K17</f>
        <v/>
      </c>
      <c r="I147" t="inlineStr">
        <is>
          <t>1</t>
        </is>
      </c>
      <c r="J147" t="inlineStr"/>
      <c r="K147" t="inlineStr"/>
      <c r="L147" t="inlineStr"/>
      <c r="M147" t="inlineStr"/>
      <c r="N147" t="inlineStr"/>
      <c r="O147" t="n">
        <v>0</v>
      </c>
      <c r="P147">
        <f>IF(B175=0,0,O147/B175)</f>
        <v/>
      </c>
      <c r="Q147" t="n">
        <v>0</v>
      </c>
      <c r="R147" t="n">
        <v>0</v>
      </c>
      <c r="S147">
        <f>IFERROR(O147/N147,0)</f>
        <v/>
      </c>
    </row>
    <row r="148">
      <c r="A148">
        <f>Skills!A18</f>
        <v/>
      </c>
      <c r="B148">
        <f>Skills!B18</f>
        <v/>
      </c>
      <c r="C148">
        <f>Inputs!$B$3&gt;=100</f>
        <v/>
      </c>
      <c r="D148">
        <f>IF(Skills!C18=1,60+Inputs!$B$24+Inputs!$B$28,IF(Skills!C18=2,90+Inputs!$B$25+Inputs!$B$28,IF(Skills!C18=3,120+Inputs!$B$26+Inputs!$B$28,MAX(0,(Inputs!$B$3-100)*3)+Inputs!$B$27+Inputs!$B$28)))</f>
        <v/>
      </c>
      <c r="E148">
        <f>INDEX(FactorTable!$B$2:$Y$301, MATCH(ROUND(MIN(300,MAX(1,D148)),0), FactorTable!$A$2:$A$301,0), Skills!M18+1)</f>
        <v/>
      </c>
      <c r="F148">
        <f>IF(Skills!N18=TRUE,(Skills!L18/10)*(E148/1000),Skills!L18/10)+Skills!O18</f>
        <v/>
      </c>
      <c r="G148">
        <f>Skills!G18*IF(Skills!H18&gt;0,Skills!I18/Skills!H18,1)</f>
        <v/>
      </c>
      <c r="H148">
        <f>1-(1-Skills!J18/100)^Skills!K18</f>
        <v/>
      </c>
      <c r="I148" t="inlineStr">
        <is>
          <t>1</t>
        </is>
      </c>
      <c r="J148" t="inlineStr"/>
      <c r="K148" t="inlineStr"/>
      <c r="L148" t="inlineStr"/>
      <c r="M148" t="inlineStr"/>
      <c r="N148" t="inlineStr"/>
      <c r="O148" t="n">
        <v>0</v>
      </c>
      <c r="P148">
        <f>IF(B175=0,0,O148/B175)</f>
        <v/>
      </c>
      <c r="Q148" t="n">
        <v>0</v>
      </c>
      <c r="R148" t="n">
        <v>0</v>
      </c>
      <c r="S148">
        <f>IFERROR(O148/N148,0)</f>
        <v/>
      </c>
    </row>
    <row r="149">
      <c r="A149">
        <f>Skills!A19</f>
        <v/>
      </c>
      <c r="B149">
        <f>Skills!B19</f>
        <v/>
      </c>
      <c r="C149">
        <f>TRUE</f>
        <v/>
      </c>
      <c r="D149">
        <f>IF(Skills!C19=1,60+Inputs!$B$24+Inputs!$B$28,IF(Skills!C19=2,90+Inputs!$B$25+Inputs!$B$28,IF(Skills!C19=3,120+Inputs!$B$26+Inputs!$B$28,MAX(0,(Inputs!$B$3-100)*3)+Inputs!$B$27+Inputs!$B$28)))</f>
        <v/>
      </c>
      <c r="E149">
        <f>INDEX(FactorTable!$B$2:$Y$301, MATCH(ROUND(MIN(300,MAX(1,D149)),0), FactorTable!$A$2:$A$301,0), Skills!M19+1)</f>
        <v/>
      </c>
      <c r="F149">
        <f>IF(Skills!N19=TRUE,(Skills!L19/10)*(E149/1000),Skills!L19/10)+Skills!O19</f>
        <v/>
      </c>
      <c r="G149">
        <f>Skills!G19*IF(Skills!H19&gt;0,Skills!I19/Skills!H19,1)</f>
        <v/>
      </c>
      <c r="H149">
        <f>1-(1-Skills!J19/100)^Skills!K19</f>
        <v/>
      </c>
      <c r="I149" t="inlineStr">
        <is>
          <t>1</t>
        </is>
      </c>
      <c r="J149" t="inlineStr"/>
      <c r="K149" t="inlineStr"/>
      <c r="L149" t="inlineStr"/>
      <c r="M149" t="inlineStr"/>
      <c r="N149" t="inlineStr"/>
      <c r="O149" t="n">
        <v>0</v>
      </c>
      <c r="P149">
        <f>IF(B175=0,0,O149/B175)</f>
        <v/>
      </c>
      <c r="Q149">
        <f>IFERROR(1/IF(Inputs!$B$4="pvp",15,MAX(0.1,Skills!D19-IF(Skills!E19=TRUE,Inputs!$B$31,0))),0)</f>
        <v/>
      </c>
      <c r="R149">
        <f>IF(AND(Inputs!$B$4&lt;&gt;"pvp",Inputs!$B$35&gt;0),(INT(Inputs!$B$35/IF(Inputs!$B$4="pvp",15,MAX(0.1,Skills!D19-IF(Skills!E19=TRUE,Inputs!$B$31,0))))+1),0)</f>
        <v/>
      </c>
      <c r="S149">
        <f>IFERROR(O149/N149,0)</f>
        <v/>
      </c>
    </row>
    <row r="150">
      <c r="A150">
        <f>Skills!A20</f>
        <v/>
      </c>
      <c r="B150">
        <f>Skills!B20</f>
        <v/>
      </c>
      <c r="C150">
        <f>Inputs!$B$3&gt;=15</f>
        <v/>
      </c>
      <c r="D150">
        <f>IF(Skills!C20=1,60+Inputs!$B$24+Inputs!$B$28,IF(Skills!C20=2,90+Inputs!$B$25+Inputs!$B$28,IF(Skills!C20=3,120+Inputs!$B$26+Inputs!$B$28,MAX(0,(Inputs!$B$3-100)*3)+Inputs!$B$27+Inputs!$B$28)))</f>
        <v/>
      </c>
      <c r="E150">
        <f>INDEX(FactorTable!$B$2:$Y$301, MATCH(ROUND(MIN(300,MAX(1,D150)),0), FactorTable!$A$2:$A$301,0), Skills!M20+1)</f>
        <v/>
      </c>
      <c r="F150">
        <f>IF(Skills!N20=TRUE,(Skills!L20/10)*(E150/1000),Skills!L20/10)+Skills!O20</f>
        <v/>
      </c>
      <c r="G150">
        <f>Skills!G20*IF(Skills!H20&gt;0,Skills!I20/Skills!H20,1)</f>
        <v/>
      </c>
      <c r="H150">
        <f>1-(1-Skills!J20/100)^Skills!K20</f>
        <v/>
      </c>
      <c r="I150" t="inlineStr">
        <is>
          <t>1</t>
        </is>
      </c>
      <c r="J150" t="inlineStr"/>
      <c r="K150" t="inlineStr"/>
      <c r="L150" t="inlineStr"/>
      <c r="M150" t="inlineStr"/>
      <c r="N150" t="inlineStr"/>
      <c r="O150" t="n">
        <v>0</v>
      </c>
      <c r="P150">
        <f>IF(B175=0,0,O150/B175)</f>
        <v/>
      </c>
      <c r="Q150">
        <f>IFERROR(1/IF(Inputs!$B$4="pvp",15,MAX(0.1,Skills!D20-IF(Skills!E20=TRUE,Inputs!$B$31,0))),0)</f>
        <v/>
      </c>
      <c r="R150">
        <f>IF(AND(Inputs!$B$4&lt;&gt;"pvp",Inputs!$B$35&gt;0),(INT(Inputs!$B$35/IF(Inputs!$B$4="pvp",15,MAX(0.1,Skills!D20-IF(Skills!E20=TRUE,Inputs!$B$31,0))))+1),0)</f>
        <v/>
      </c>
      <c r="S150">
        <f>IFERROR(O150/N150,0)</f>
        <v/>
      </c>
    </row>
    <row r="151">
      <c r="A151">
        <f>Skills!A21</f>
        <v/>
      </c>
      <c r="B151">
        <f>Skills!B21</f>
        <v/>
      </c>
      <c r="C151">
        <f>Inputs!$B$3&gt;=15</f>
        <v/>
      </c>
      <c r="D151">
        <f>IF(Skills!C21=1,60+Inputs!$B$24+Inputs!$B$28,IF(Skills!C21=2,90+Inputs!$B$25+Inputs!$B$28,IF(Skills!C21=3,120+Inputs!$B$26+Inputs!$B$28,MAX(0,(Inputs!$B$3-100)*3)+Inputs!$B$27+Inputs!$B$28)))</f>
        <v/>
      </c>
      <c r="E151">
        <f>INDEX(FactorTable!$B$2:$Y$301, MATCH(ROUND(MIN(300,MAX(1,D151)),0), FactorTable!$A$2:$A$301,0), Skills!M21+1)</f>
        <v/>
      </c>
      <c r="F151">
        <f>IF(Skills!N21=TRUE,(Skills!L21/10)*(E151/1000),Skills!L21/10)+Skills!O21</f>
        <v/>
      </c>
      <c r="G151">
        <f>Skills!G21*IF(Skills!H21&gt;0,Skills!I21/Skills!H21,1)</f>
        <v/>
      </c>
      <c r="H151">
        <f>1-(1-Skills!J21/100)^Skills!K21</f>
        <v/>
      </c>
      <c r="I151" t="inlineStr">
        <is>
          <t>1</t>
        </is>
      </c>
      <c r="J151" t="inlineStr"/>
      <c r="K151" t="inlineStr"/>
      <c r="L151" t="inlineStr"/>
      <c r="M151" t="inlineStr"/>
      <c r="N151" t="inlineStr"/>
      <c r="O151" t="n">
        <v>0</v>
      </c>
      <c r="P151">
        <f>IF(B175=0,0,O151/B175)</f>
        <v/>
      </c>
      <c r="Q151">
        <f>IFERROR(1/IF(Inputs!$B$4="pvp",15,MAX(0.1,Skills!D21-IF(Skills!E21=TRUE,Inputs!$B$31,0))),0)</f>
        <v/>
      </c>
      <c r="R151">
        <f>IF(AND(Inputs!$B$4&lt;&gt;"pvp",Inputs!$B$35&gt;0),(INT(Inputs!$B$35/IF(Inputs!$B$4="pvp",15,MAX(0.1,Skills!D21-IF(Skills!E21=TRUE,Inputs!$B$31,0))))+1),0)</f>
        <v/>
      </c>
      <c r="S151">
        <f>IFERROR(O151/N151,0)</f>
        <v/>
      </c>
    </row>
    <row r="152">
      <c r="A152">
        <f>Skills!A22</f>
        <v/>
      </c>
      <c r="B152">
        <f>Skills!B22</f>
        <v/>
      </c>
      <c r="C152">
        <f>Inputs!$B$3&gt;=33</f>
        <v/>
      </c>
      <c r="D152">
        <f>IF(Skills!C22=1,60+Inputs!$B$24+Inputs!$B$28,IF(Skills!C22=2,90+Inputs!$B$25+Inputs!$B$28,IF(Skills!C22=3,120+Inputs!$B$26+Inputs!$B$28,MAX(0,(Inputs!$B$3-100)*3)+Inputs!$B$27+Inputs!$B$28)))</f>
        <v/>
      </c>
      <c r="E152">
        <f>INDEX(FactorTable!$B$2:$Y$301, MATCH(ROUND(MIN(300,MAX(1,D152)),0), FactorTable!$A$2:$A$301,0), Skills!M22+1)</f>
        <v/>
      </c>
      <c r="F152">
        <f>IF(Skills!N22=TRUE,(Skills!L22/10)*(E152/1000),Skills!L22/10)+Skills!O22</f>
        <v/>
      </c>
      <c r="G152">
        <f>Skills!G22*IF(Skills!H22&gt;0,Skills!I22/Skills!H22,1)</f>
        <v/>
      </c>
      <c r="H152">
        <f>1-(1-Skills!J22/100)^Skills!K22</f>
        <v/>
      </c>
      <c r="I152" t="inlineStr">
        <is>
          <t>1</t>
        </is>
      </c>
      <c r="J152" t="inlineStr"/>
      <c r="K152" t="inlineStr"/>
      <c r="L152" t="inlineStr"/>
      <c r="M152" t="inlineStr"/>
      <c r="N152" t="inlineStr"/>
      <c r="O152" t="n">
        <v>0</v>
      </c>
      <c r="P152">
        <f>IF(B175=0,0,O152/B175)</f>
        <v/>
      </c>
      <c r="Q152" t="n">
        <v>0</v>
      </c>
      <c r="R152" t="n">
        <v>0</v>
      </c>
      <c r="S152">
        <f>IFERROR(O152/N152,0)</f>
        <v/>
      </c>
    </row>
    <row r="153">
      <c r="A153">
        <f>Skills!A23</f>
        <v/>
      </c>
      <c r="B153">
        <f>Skills!B23</f>
        <v/>
      </c>
      <c r="C153">
        <f>Inputs!$B$3&gt;=40</f>
        <v/>
      </c>
      <c r="D153">
        <f>IF(Skills!C23=1,60+Inputs!$B$24+Inputs!$B$28,IF(Skills!C23=2,90+Inputs!$B$25+Inputs!$B$28,IF(Skills!C23=3,120+Inputs!$B$26+Inputs!$B$28,MAX(0,(Inputs!$B$3-100)*3)+Inputs!$B$27+Inputs!$B$28)))</f>
        <v/>
      </c>
      <c r="E153">
        <f>INDEX(FactorTable!$B$2:$Y$301, MATCH(ROUND(MIN(300,MAX(1,D153)),0), FactorTable!$A$2:$A$301,0), Skills!M23+1)</f>
        <v/>
      </c>
      <c r="F153">
        <f>IF(Skills!N23=TRUE,(Skills!L23/10)*(E153/1000),Skills!L23/10)+Skills!O23</f>
        <v/>
      </c>
      <c r="G153">
        <f>Skills!G23*IF(Skills!H23&gt;0,Skills!I23/Skills!H23,1)</f>
        <v/>
      </c>
      <c r="H153">
        <f>1-(1-Skills!J23/100)^Skills!K23</f>
        <v/>
      </c>
      <c r="I153" t="inlineStr">
        <is>
          <t>1</t>
        </is>
      </c>
      <c r="J153" t="inlineStr"/>
      <c r="K153" t="inlineStr"/>
      <c r="L153" t="inlineStr"/>
      <c r="M153" t="inlineStr"/>
      <c r="N153" t="inlineStr"/>
      <c r="O153" t="n">
        <v>0</v>
      </c>
      <c r="P153">
        <f>IF(B175=0,0,O153/B175)</f>
        <v/>
      </c>
      <c r="Q153" t="n">
        <v>0</v>
      </c>
      <c r="R153" t="n">
        <v>0</v>
      </c>
      <c r="S153">
        <f>IFERROR(O153/N153,0)</f>
        <v/>
      </c>
    </row>
    <row r="154">
      <c r="A154">
        <f>Skills!A24</f>
        <v/>
      </c>
      <c r="B154">
        <f>Skills!B24</f>
        <v/>
      </c>
      <c r="C154">
        <f>Inputs!$B$3&gt;=43</f>
        <v/>
      </c>
      <c r="D154">
        <f>IF(Skills!C24=1,60+Inputs!$B$24+Inputs!$B$28,IF(Skills!C24=2,90+Inputs!$B$25+Inputs!$B$28,IF(Skills!C24=3,120+Inputs!$B$26+Inputs!$B$28,MAX(0,(Inputs!$B$3-100)*3)+Inputs!$B$27+Inputs!$B$28)))</f>
        <v/>
      </c>
      <c r="E154">
        <f>INDEX(FactorTable!$B$2:$Y$301, MATCH(ROUND(MIN(300,MAX(1,D154)),0), FactorTable!$A$2:$A$301,0), Skills!M24+1)</f>
        <v/>
      </c>
      <c r="F154">
        <f>IF(Skills!N24=TRUE,(Skills!L24/10)*(E154/1000),Skills!L24/10)+Skills!O24</f>
        <v/>
      </c>
      <c r="G154">
        <f>Skills!G24*IF(Skills!H24&gt;0,Skills!I24/Skills!H24,1)</f>
        <v/>
      </c>
      <c r="H154">
        <f>1-(1-Skills!J24/100)^Skills!K24</f>
        <v/>
      </c>
      <c r="I154" t="inlineStr">
        <is>
          <t>1</t>
        </is>
      </c>
      <c r="J154" t="inlineStr"/>
      <c r="K154" t="inlineStr"/>
      <c r="L154" t="inlineStr"/>
      <c r="M154" t="inlineStr"/>
      <c r="N154" t="inlineStr"/>
      <c r="O154" t="n">
        <v>0</v>
      </c>
      <c r="P154">
        <f>IF(B175=0,0,O154/B175)</f>
        <v/>
      </c>
      <c r="Q154" t="n">
        <v>0</v>
      </c>
      <c r="R154" t="n">
        <v>0</v>
      </c>
      <c r="S154">
        <f>IFERROR(O154/N154,0)</f>
        <v/>
      </c>
    </row>
    <row r="155">
      <c r="A155">
        <f>Skills!A25</f>
        <v/>
      </c>
      <c r="B155">
        <f>Skills!B25</f>
        <v/>
      </c>
      <c r="C155">
        <f>Inputs!$B$3&gt;=50</f>
        <v/>
      </c>
      <c r="D155">
        <f>IF(Skills!C25=1,60+Inputs!$B$24+Inputs!$B$28,IF(Skills!C25=2,90+Inputs!$B$25+Inputs!$B$28,IF(Skills!C25=3,120+Inputs!$B$26+Inputs!$B$28,MAX(0,(Inputs!$B$3-100)*3)+Inputs!$B$27+Inputs!$B$28)))</f>
        <v/>
      </c>
      <c r="E155">
        <f>INDEX(FactorTable!$B$2:$Y$301, MATCH(ROUND(MIN(300,MAX(1,D155)),0), FactorTable!$A$2:$A$301,0), Skills!M25+1)</f>
        <v/>
      </c>
      <c r="F155">
        <f>IF(Skills!N25=TRUE,(Skills!L25/10)*(E155/1000),Skills!L25/10)+Skills!O25</f>
        <v/>
      </c>
      <c r="G155">
        <f>Skills!G25*IF(Skills!H25&gt;0,Skills!I25/Skills!H25,1)</f>
        <v/>
      </c>
      <c r="H155">
        <f>1-(1-Skills!J25/100)^Skills!K25</f>
        <v/>
      </c>
      <c r="I155" t="inlineStr">
        <is>
          <t>1</t>
        </is>
      </c>
      <c r="J155" t="inlineStr"/>
      <c r="K155" t="inlineStr"/>
      <c r="L155" t="inlineStr"/>
      <c r="M155" t="inlineStr"/>
      <c r="N155" t="inlineStr"/>
      <c r="O155" t="n">
        <v>0</v>
      </c>
      <c r="P155">
        <f>IF(B175=0,0,O155/B175)</f>
        <v/>
      </c>
      <c r="Q155" t="n">
        <v>0</v>
      </c>
      <c r="R155" t="n">
        <v>0</v>
      </c>
      <c r="S155">
        <f>IFERROR(O155/N155,0)</f>
        <v/>
      </c>
    </row>
    <row r="156">
      <c r="A156">
        <f>Skills!A26</f>
        <v/>
      </c>
      <c r="B156">
        <f>Skills!B26</f>
        <v/>
      </c>
      <c r="C156">
        <f>Inputs!$B$3&gt;=50</f>
        <v/>
      </c>
      <c r="D156">
        <f>IF(Skills!C26=1,60+Inputs!$B$24+Inputs!$B$28,IF(Skills!C26=2,90+Inputs!$B$25+Inputs!$B$28,IF(Skills!C26=3,120+Inputs!$B$26+Inputs!$B$28,MAX(0,(Inputs!$B$3-100)*3)+Inputs!$B$27+Inputs!$B$28)))</f>
        <v/>
      </c>
      <c r="E156">
        <f>INDEX(FactorTable!$B$2:$Y$301, MATCH(ROUND(MIN(300,MAX(1,D156)),0), FactorTable!$A$2:$A$301,0), Skills!M26+1)</f>
        <v/>
      </c>
      <c r="F156">
        <f>IF(Skills!N26=TRUE,(Skills!L26/10)*(E156/1000),Skills!L26/10)+Skills!O26</f>
        <v/>
      </c>
      <c r="G156">
        <f>Skills!G26*IF(Skills!H26&gt;0,Skills!I26/Skills!H26,1)</f>
        <v/>
      </c>
      <c r="H156">
        <f>1-(1-Skills!J26/100)^Skills!K26</f>
        <v/>
      </c>
      <c r="I156" t="inlineStr">
        <is>
          <t>1</t>
        </is>
      </c>
      <c r="J156" t="inlineStr"/>
      <c r="K156" t="inlineStr"/>
      <c r="L156" t="inlineStr"/>
      <c r="M156" t="inlineStr"/>
      <c r="N156" t="inlineStr"/>
      <c r="O156" t="n">
        <v>0</v>
      </c>
      <c r="P156">
        <f>IF(B175=0,0,O156/B175)</f>
        <v/>
      </c>
      <c r="Q156" t="n">
        <v>0</v>
      </c>
      <c r="R156" t="n">
        <v>0</v>
      </c>
      <c r="S156">
        <f>IFERROR(O156/N156,0)</f>
        <v/>
      </c>
    </row>
    <row r="157">
      <c r="A157">
        <f>Skills!A27</f>
        <v/>
      </c>
      <c r="B157">
        <f>Skills!B27</f>
        <v/>
      </c>
      <c r="C157">
        <f>Inputs!$B$3&gt;=38</f>
        <v/>
      </c>
      <c r="D157">
        <f>IF(Skills!C27=1,60+Inputs!$B$24+Inputs!$B$28,IF(Skills!C27=2,90+Inputs!$B$25+Inputs!$B$28,IF(Skills!C27=3,120+Inputs!$B$26+Inputs!$B$28,MAX(0,(Inputs!$B$3-100)*3)+Inputs!$B$27+Inputs!$B$28)))</f>
        <v/>
      </c>
      <c r="E157">
        <f>INDEX(FactorTable!$B$2:$Y$301, MATCH(ROUND(MIN(300,MAX(1,D157)),0), FactorTable!$A$2:$A$301,0), Skills!M27+1)</f>
        <v/>
      </c>
      <c r="F157">
        <f>IF(Skills!N27=TRUE,(Skills!L27/10)*(E157/1000),Skills!L27/10)+Skills!O27</f>
        <v/>
      </c>
      <c r="G157">
        <f>Skills!G27*IF(Skills!H27&gt;0,Skills!I27/Skills!H27,1)</f>
        <v/>
      </c>
      <c r="H157">
        <f>1-(1-Skills!J27/100)^Skills!K27</f>
        <v/>
      </c>
      <c r="I157" t="inlineStr">
        <is>
          <t>1</t>
        </is>
      </c>
      <c r="J157" t="inlineStr"/>
      <c r="K157" t="inlineStr"/>
      <c r="L157" t="inlineStr"/>
      <c r="M157" t="inlineStr"/>
      <c r="N157" t="inlineStr"/>
      <c r="O157" t="n">
        <v>0</v>
      </c>
      <c r="P157">
        <f>IF(B175=0,0,O157/B175)</f>
        <v/>
      </c>
      <c r="Q157" t="n">
        <v>0</v>
      </c>
      <c r="R157" t="n">
        <v>0</v>
      </c>
      <c r="S157">
        <f>IFERROR(O157/N157,0)</f>
        <v/>
      </c>
    </row>
    <row r="158">
      <c r="A158">
        <f>Skills!A28</f>
        <v/>
      </c>
      <c r="B158">
        <f>Skills!B28</f>
        <v/>
      </c>
      <c r="C158">
        <f>Inputs!$B$3&gt;=120</f>
        <v/>
      </c>
      <c r="D158">
        <f>IF(Skills!C28=1,60+Inputs!$B$24+Inputs!$B$28,IF(Skills!C28=2,90+Inputs!$B$25+Inputs!$B$28,IF(Skills!C28=3,120+Inputs!$B$26+Inputs!$B$28,MAX(0,(Inputs!$B$3-100)*3)+Inputs!$B$27+Inputs!$B$28)))</f>
        <v/>
      </c>
      <c r="E158">
        <f>INDEX(FactorTable!$B$2:$Y$301, MATCH(ROUND(MIN(300,MAX(1,D158)),0), FactorTable!$A$2:$A$301,0), Skills!M28+1)</f>
        <v/>
      </c>
      <c r="F158">
        <f>IF(Skills!N28=TRUE,(Skills!L28/10)*(E158/1000),Skills!L28/10)+Skills!O28</f>
        <v/>
      </c>
      <c r="G158">
        <f>Skills!G28*IF(Skills!H28&gt;0,Skills!I28/Skills!H28,1)</f>
        <v/>
      </c>
      <c r="H158">
        <f>1-(1-Skills!J28/100)^Skills!K28</f>
        <v/>
      </c>
      <c r="I158" t="inlineStr">
        <is>
          <t>1</t>
        </is>
      </c>
      <c r="J158" t="inlineStr"/>
      <c r="K158" t="inlineStr"/>
      <c r="L158" t="inlineStr"/>
      <c r="M158" t="inlineStr"/>
      <c r="N158" t="inlineStr"/>
      <c r="O158" t="n">
        <v>0</v>
      </c>
      <c r="P158">
        <f>IF(B175=0,0,O158/B175)</f>
        <v/>
      </c>
      <c r="Q158" t="n">
        <v>0</v>
      </c>
      <c r="R158" t="n">
        <v>0</v>
      </c>
      <c r="S158">
        <f>IFERROR(O158/N158,0)</f>
        <v/>
      </c>
    </row>
    <row r="159">
      <c r="A159">
        <f>Skills!A29</f>
        <v/>
      </c>
      <c r="B159">
        <f>Skills!B29</f>
        <v/>
      </c>
      <c r="C159">
        <f>Inputs!$B$3&gt;=120</f>
        <v/>
      </c>
      <c r="D159">
        <f>IF(Skills!C29=1,60+Inputs!$B$24+Inputs!$B$28,IF(Skills!C29=2,90+Inputs!$B$25+Inputs!$B$28,IF(Skills!C29=3,120+Inputs!$B$26+Inputs!$B$28,MAX(0,(Inputs!$B$3-100)*3)+Inputs!$B$27+Inputs!$B$28)))</f>
        <v/>
      </c>
      <c r="E159">
        <f>INDEX(FactorTable!$B$2:$Y$301, MATCH(ROUND(MIN(300,MAX(1,D159)),0), FactorTable!$A$2:$A$301,0), Skills!M29+1)</f>
        <v/>
      </c>
      <c r="F159">
        <f>IF(Skills!N29=TRUE,(Skills!L29/10)*(E159/1000),Skills!L29/10)+Skills!O29</f>
        <v/>
      </c>
      <c r="G159">
        <f>Skills!G29*IF(Skills!H29&gt;0,Skills!I29/Skills!H29,1)</f>
        <v/>
      </c>
      <c r="H159">
        <f>1-(1-Skills!J29/100)^Skills!K29</f>
        <v/>
      </c>
      <c r="I159" t="inlineStr">
        <is>
          <t>1</t>
        </is>
      </c>
      <c r="J159" t="inlineStr"/>
      <c r="K159" t="inlineStr"/>
      <c r="L159" t="inlineStr"/>
      <c r="M159" t="inlineStr"/>
      <c r="N159" t="inlineStr"/>
      <c r="O159" t="n">
        <v>0</v>
      </c>
      <c r="P159">
        <f>IF(B175=0,0,O159/B175)</f>
        <v/>
      </c>
      <c r="Q159" t="n">
        <v>0</v>
      </c>
      <c r="R159" t="n">
        <v>0</v>
      </c>
      <c r="S159">
        <f>IFERROR(O159/N159,0)</f>
        <v/>
      </c>
    </row>
    <row r="160">
      <c r="A160">
        <f>Skills!A30</f>
        <v/>
      </c>
      <c r="B160">
        <f>Skills!B30</f>
        <v/>
      </c>
      <c r="C160">
        <f>Inputs!$B$3&gt;=125</f>
        <v/>
      </c>
      <c r="D160">
        <f>IF(Skills!C30=1,60+Inputs!$B$24+Inputs!$B$28,IF(Skills!C30=2,90+Inputs!$B$25+Inputs!$B$28,IF(Skills!C30=3,120+Inputs!$B$26+Inputs!$B$28,MAX(0,(Inputs!$B$3-100)*3)+Inputs!$B$27+Inputs!$B$28)))</f>
        <v/>
      </c>
      <c r="E160">
        <f>INDEX(FactorTable!$B$2:$Y$301, MATCH(ROUND(MIN(300,MAX(1,D160)),0), FactorTable!$A$2:$A$301,0), Skills!M30+1)</f>
        <v/>
      </c>
      <c r="F160">
        <f>IF(Skills!N30=TRUE,(Skills!L30/10)*(E160/1000),Skills!L30/10)+Skills!O30</f>
        <v/>
      </c>
      <c r="G160">
        <f>Skills!G30*IF(Skills!H30&gt;0,Skills!I30/Skills!H30,1)</f>
        <v/>
      </c>
      <c r="H160">
        <f>1-(1-Skills!J30/100)^Skills!K30</f>
        <v/>
      </c>
      <c r="I160" t="inlineStr">
        <is>
          <t>1</t>
        </is>
      </c>
      <c r="J160" t="inlineStr"/>
      <c r="K160" t="inlineStr"/>
      <c r="L160" t="inlineStr"/>
      <c r="M160" t="inlineStr"/>
      <c r="N160" t="inlineStr"/>
      <c r="O160" t="n">
        <v>0</v>
      </c>
      <c r="P160">
        <f>IF(B175=0,0,O160/B175)</f>
        <v/>
      </c>
      <c r="Q160" t="n">
        <v>0</v>
      </c>
      <c r="R160" t="n">
        <v>0</v>
      </c>
      <c r="S160">
        <f>IFERROR(O160/N160,0)</f>
        <v/>
      </c>
    </row>
    <row r="162">
      <c r="A162" t="inlineStr">
        <is>
          <t>Average Buff Multiplier</t>
        </is>
      </c>
      <c r="B162">
        <f>(1+(((C151=TRUE)*F151*IF(AND(Inputs!$B$4&lt;&gt;"pvp",Inputs!$B$35&gt;0),(((S151-1)*(Skills!Y21*(1+Inputs!$B$33/100))+MIN((Skills!Y21*(1+Inputs!$B$33/100)),MAX(0,Inputs!$B$35-((S151-1)*Skills!D21))))/Inputs!$B$35),IF(Inputs!$B$4="pvp",MIN((Skills!Y21*(1+Inputs!$B$33/100)),15)/15,(Skills!Y21*(1+Inputs!$B$33/100))/Skills!D21)))+((C153=TRUE)*(F153-Calc!F23))+((C147=TRUE)*(F147-Calc!F17)))/100)*(1+((C140=TRUE)*F140*IF(AND(Inputs!$B$4&lt;&gt;"pvp",Inputs!$B$35&gt;0),(((S140-1)*(Skills!Y10*(1+Inputs!$B$33/100))+MIN((Skills!Y10*(1+Inputs!$B$33/100)),MAX(0,Inputs!$B$35-((S140-1)*Skills!D10))))/Inputs!$B$35),IF(Inputs!$B$4="pvp",MIN((Skills!Y10*(1+Inputs!$B$33/100)),15)/15,(Skills!Y10*(1+Inputs!$B$33/100))/Skills!D10)))/100)*(1+((C145=TRUE)*F145*IF(AND(Inputs!$B$4&lt;&gt;"pvp",Inputs!$B$35&gt;0),(((S145-1)*(Skills!Y15*(1+Inputs!$B$33/100))+MIN((Skills!Y15*(1+Inputs!$B$33/100)),MAX(0,Inputs!$B$35-((S145-1)*Skills!D15))))/Inputs!$B$35),IF(Inputs!$B$4="pvp",MIN((Skills!Y15*(1+Inputs!$B$33/100)),15)/15,(Skills!Y15*(1+Inputs!$B$33/100))/Skills!D15)))/100)</f>
        <v/>
      </c>
    </row>
    <row r="163">
      <c r="A163" t="inlineStr">
        <is>
          <t>Global Crit Rate Bonus %</t>
        </is>
      </c>
      <c r="B163">
        <f>((C150=TRUE)*F150*IF(AND(Inputs!$B$4&lt;&gt;"pvp",Inputs!$B$35&gt;0),(((S150-1)*(Skills!Y20*(1+Inputs!$B$33/100))+MIN((Skills!Y20*(1+Inputs!$B$33/100)),MAX(0,Inputs!$B$35-((S150-1)*Skills!D20))))/Inputs!$B$35),IF(Inputs!$B$4="pvp",MIN((Skills!Y20*(1+Inputs!$B$33/100)),15)/15,(Skills!Y20*(1+Inputs!$B$33/100))/Skills!D20)))</f>
        <v/>
      </c>
    </row>
    <row r="164">
      <c r="A164" t="inlineStr">
        <is>
          <t>Global Monster Damage-Taken Bonus %</t>
        </is>
      </c>
      <c r="B164">
        <f>IF(Inputs!$B$3&gt;=82,15,0)</f>
        <v/>
      </c>
    </row>
    <row r="165">
      <c r="A165" t="inlineStr">
        <is>
          <t>Shadow Partner Average Multiplier</t>
        </is>
      </c>
      <c r="B165">
        <f>1+((C137=TRUE)*F137*(1+3.3333333333333335*IF(C148=TRUE,F148,0)/100)*I137*Skills!J7/100)/100</f>
        <v/>
      </c>
    </row>
    <row r="166">
      <c r="A166" t="inlineStr">
        <is>
          <t>Attack Speed Buff Bonus %</t>
        </is>
      </c>
      <c r="B166">
        <f>((C149=TRUE)*F149*IF(AND(Inputs!$B$4&lt;&gt;"pvp",Inputs!$B$35&gt;0),(((S149-1)*(Skills!Y19*(1+Inputs!$B$33/100))+MIN((Skills!Y19*(1+Inputs!$B$33/100)),MAX(0,Inputs!$B$35-((S149-1)*Skills!D19))))/Inputs!$B$35),IF(Inputs!$B$4="pvp",MIN((Skills!Y19*(1+Inputs!$B$33/100)),15)/15,(Skills!Y19*(1+Inputs!$B$33/100))/Skills!D19)))+((C133=TRUE)*F133*3)</f>
        <v/>
      </c>
    </row>
    <row r="167">
      <c r="A167" t="inlineStr">
        <is>
          <t>Actions Per Second</t>
        </is>
      </c>
      <c r="B167">
        <f>1+MIN(150,150*(1-(1-(Inputs!$B$10+((C152=TRUE)*(F152-Calc!F22)))/150)*(1-B166/150)))/100</f>
        <v/>
      </c>
    </row>
    <row r="168">
      <c r="A168" t="inlineStr">
        <is>
          <t>Skill + Buff Cast Rate</t>
        </is>
      </c>
      <c r="B168">
        <f>IF(AND(Inputs!$B$4&lt;&gt;"pvp",Inputs!$B$35&gt;0),SUMPRODUCT((Skills!E2:E30=TRUE)*(C132:C160=TRUE)*R132:R160*Skills!F2:F30)/Inputs!$B$35,SUMPRODUCT((Skills!E2:E30=TRUE)*(C132:C160=TRUE)*Q132:Q160*Skills!F2:F30))</f>
        <v/>
      </c>
    </row>
    <row r="169">
      <c r="A169" t="inlineStr">
        <is>
          <t>Cruel Stab Casts Per Second</t>
        </is>
      </c>
      <c r="B169">
        <f>MAX(0,B167-B168)</f>
        <v/>
      </c>
    </row>
    <row r="170">
      <c r="A170" t="inlineStr">
        <is>
          <t>Global Critical Damage Bonus % (Smokescreen Mastery Lv.113)</t>
        </is>
      </c>
      <c r="B170">
        <f>IF(Inputs!$B$3&gt;=113,30,0)*IF(AND(Inputs!$B$4&lt;&gt;"pvp",Inputs!$B$35&gt;0),(((S145-1)*(Skills!Y15*(1+Inputs!$B$33/100))+MIN((Skills!Y15*(1+Inputs!$B$33/100)),MAX(0,Inputs!$B$35-((S145-1)*Skills!D15))))/Inputs!$B$35),IF(Inputs!$B$4="pvp",MIN((Skills!Y15*(1+Inputs!$B$33/100)),15)/15,(Skills!Y15*(1+Inputs!$B$33/100))/Skills!D15))</f>
        <v/>
      </c>
    </row>
    <row r="171">
      <c r="A171" t="inlineStr">
        <is>
          <t>Meso Explosion average stack count</t>
        </is>
      </c>
      <c r="B171">
        <f>MIN(10,0.5*B167*Skills!D4)</f>
        <v/>
      </c>
    </row>
    <row r="172">
      <c r="A172" t="inlineStr">
        <is>
          <t>Blood Money average stack count</t>
        </is>
      </c>
      <c r="B172">
        <f>MIN(5,0.25*B167*Skills!D4)</f>
        <v/>
      </c>
    </row>
    <row r="173">
      <c r="A173" t="inlineStr">
        <is>
          <t>Assassinate Murderous Intent Multiplier</t>
        </is>
      </c>
      <c r="B173">
        <f>1+IFERROR(MIN(1,Q144*2/Q141),0)</f>
        <v/>
      </c>
    </row>
    <row r="175">
      <c r="A175" s="5" t="inlineStr">
        <is>
          <t>TOTAL DPS</t>
        </is>
      </c>
      <c r="B175" s="5">
        <f>SUM(O132:O160)</f>
        <v/>
      </c>
    </row>
    <row r="178">
      <c r="A178" s="5" t="inlineStr">
        <is>
          <t>Stat: DAMAGE %</t>
        </is>
      </c>
    </row>
    <row r="179">
      <c r="A179" s="8" t="inlineStr">
        <is>
          <t>Key</t>
        </is>
      </c>
      <c r="B179" s="8" t="inlineStr">
        <is>
          <t>Name</t>
        </is>
      </c>
      <c r="C179" s="8" t="inlineStr">
        <is>
          <t>Unlocked</t>
        </is>
      </c>
      <c r="D179" s="8" t="inlineStr">
        <is>
          <t>InputLevel</t>
        </is>
      </c>
      <c r="E179" s="8" t="inlineStr">
        <is>
          <t>Factor</t>
        </is>
      </c>
      <c r="F179" s="8" t="inlineStr">
        <is>
          <t>CoefficientPercent</t>
        </is>
      </c>
      <c r="G179" s="8" t="inlineStr">
        <is>
          <t>EffectiveHits</t>
        </is>
      </c>
      <c r="H179" s="8" t="inlineStr">
        <is>
          <t>ProcProbability</t>
        </is>
      </c>
      <c r="I179" s="8" t="inlineStr">
        <is>
          <t>MapleHeroMultiplier</t>
        </is>
      </c>
      <c r="J179" s="8" t="inlineStr">
        <is>
          <t>BaseDamage</t>
        </is>
      </c>
      <c r="K179" s="8" t="inlineStr">
        <is>
          <t>BaseHitDamage</t>
        </is>
      </c>
      <c r="L179" s="8" t="inlineStr">
        <is>
          <t>NonCritAvg</t>
        </is>
      </c>
      <c r="M179" s="8" t="inlineStr">
        <is>
          <t>CritAvg</t>
        </is>
      </c>
      <c r="N179" s="8" t="inlineStr">
        <is>
          <t>ExpectedDamage(perHit)</t>
        </is>
      </c>
      <c r="O179" s="8" t="inlineStr">
        <is>
          <t>DPS</t>
        </is>
      </c>
      <c r="P179" s="8" t="inlineStr">
        <is>
          <t>% of Total</t>
        </is>
      </c>
      <c r="Q179" s="8" t="inlineStr">
        <is>
          <t>InvCooldown</t>
        </is>
      </c>
      <c r="R179" s="8" t="inlineStr">
        <is>
          <t>CastsInFight</t>
        </is>
      </c>
      <c r="S179" s="8" t="inlineStr">
        <is>
          <t>HitRate(perSec)</t>
        </is>
      </c>
      <c r="U179" t="inlineStr">
        <is>
          <t>helpers</t>
        </is>
      </c>
    </row>
    <row r="180">
      <c r="A180">
        <f>Skills!A2</f>
        <v/>
      </c>
      <c r="B180">
        <f>Skills!B2</f>
        <v/>
      </c>
      <c r="C180">
        <f>Inputs!$B$3&gt;=100</f>
        <v/>
      </c>
      <c r="D180" t="inlineStr"/>
      <c r="E180" t="inlineStr"/>
      <c r="F180">
        <f>U182+Skills!O2</f>
        <v/>
      </c>
      <c r="G180">
        <f>Skills!G2*IF(Skills!H2&gt;0,Skills!I2/Skills!H2,1)</f>
        <v/>
      </c>
      <c r="H180">
        <f>1-(1-Skills!J2/100)^Skills!K2</f>
        <v/>
      </c>
      <c r="I180" t="inlineStr">
        <is>
          <t>1</t>
        </is>
      </c>
      <c r="J180">
        <f>(Inputs!$B$5*(1+Inputs!$B$6/100))*(F180/100)</f>
        <v/>
      </c>
      <c r="K180">
        <f>J180*(1+((Inputs!$B$11*(1+Inputs!$B$12/100))*0.01+Inputs!$B$13*0.0025)/100)*(1+(Inputs!$B$14+1)/100)*(1+IF(Inputs!$B$4="pvp",0,(1-Summary!$B$55)*(Inputs!$B$19+0+Skills!P2+B212)+Summary!$B$55*(Inputs!$B$20+Skills!Q2+B212))/100)*(1+Inputs!$B$15/100)*(5000/(6000+Inputs!$B$7*(1-Inputs!$B$18/100)))*(1+(Inputs!$B$23+((C208=TRUE)*(F208-Calc!F30)))/100)*(1+(IF(Skills!A2="CRUEL_STAB",Inputs!$B$16+((C205=TRUE)*(F205-Calc!F27)),Inputs!$B$17+((C206=TRUE)*(F206-Calc!F28))))/100)*(((1+(((C199=TRUE)*F199*IF(AND(Inputs!$B$4&lt;&gt;"pvp",Inputs!$B$35&gt;0),(((S199-1)*(Skills!Y21*(1+Inputs!$B$33/100))+MIN((Skills!Y21*(1+Inputs!$B$33/100)),MAX(0,Inputs!$B$35-((S199-1)*Skills!D21))))/Inputs!$B$35),IF(Inputs!$B$4="pvp",MIN((Skills!Y21*(1+Inputs!$B$33/100)),15)/15,(Skills!Y21*(1+Inputs!$B$33/100))/Skills!D21)))+((C201=TRUE)*(F201-Calc!F23))+((C195=TRUE)*(F195-Calc!F17)))/100)*(1+((C188=TRUE)*F188*IF(AND(Inputs!$B$4&lt;&gt;"pvp",Inputs!$B$35&gt;0),(((S188-1)*(Skills!Y10*(1+Inputs!$B$33/100))+MIN((Skills!Y10*(1+Inputs!$B$33/100)),MAX(0,Inputs!$B$35-((S188-1)*Skills!D10))))/Inputs!$B$35),IF(Inputs!$B$4="pvp",MIN((Skills!Y10*(1+Inputs!$B$33/100)),15)/15,(Skills!Y10*(1+Inputs!$B$33/100))/Skills!D10)))/100)*(1+((C193=TRUE)*F193*IF(AND(Inputs!$B$4&lt;&gt;"pvp",Inputs!$B$35&gt;0),(((S193-1)*(Skills!Y15*(1+Inputs!$B$33/100))+MIN((Skills!Y15*(1+Inputs!$B$33/100)),MAX(0,Inputs!$B$35-((S193-1)*Skills!D15))))/Inputs!$B$35),IF(Inputs!$B$4="pvp",MIN((Skills!Y15*(1+Inputs!$B$33/100)),15)/15,(Skills!Y15*(1+Inputs!$B$33/100))/Skills!D15)))/100))*B213*I180)</f>
        <v/>
      </c>
      <c r="L180">
        <f>K180*(MIN(Inputs!$B$21+((C202=TRUE)*(F202-Calc!F24)),Inputs!$B$22+((C207=TRUE)*(F207-Calc!F29)))/100+(Inputs!$B$22+((C207=TRUE)*(F207-Calc!F29)))/100)/2</f>
        <v/>
      </c>
      <c r="M180">
        <f>L180*(1+(Inputs!$B$9+((C204=TRUE)*(F204-Calc!F26))+B218)/100)</f>
        <v/>
      </c>
      <c r="N180">
        <f>L180*(1-MIN((Inputs!$B$8+((C203=TRUE)*(F203-Calc!F25))+B211),100)/100)+M180*(MIN((Inputs!$B$8+((C203=TRUE)*(F203-Calc!F25))+B211),100)/100)</f>
        <v/>
      </c>
      <c r="O180">
        <f>IF(C180,Skills!G2*N180*B217*IF(Inputs!$B$4="pvp",1,(1-Summary!$B$55)*(1)+Summary!$B$55*(MIN((6+Inputs!$B$32),Inputs!$B$37))),0)</f>
        <v/>
      </c>
      <c r="P180">
        <f>IF(B223=0,0,O180/B223)</f>
        <v/>
      </c>
      <c r="Q180" t="n">
        <v>0</v>
      </c>
      <c r="R180" t="n">
        <v>0</v>
      </c>
      <c r="S180">
        <f>IFERROR(O180/N180,0)</f>
        <v/>
      </c>
      <c r="U180">
        <f>MAX(0,(Inputs!$B$3-100)*3)+Inputs!$B$27+Inputs!$B$28</f>
        <v/>
      </c>
    </row>
    <row r="181">
      <c r="A181">
        <f>Skills!A3</f>
        <v/>
      </c>
      <c r="B181">
        <f>Skills!B3</f>
        <v/>
      </c>
      <c r="C181">
        <f>Inputs!$B$3&gt;=35</f>
        <v/>
      </c>
      <c r="D181">
        <f>IF(Skills!C3=1,60+Inputs!$B$24+Inputs!$B$28,IF(Skills!C3=2,90+Inputs!$B$25+Inputs!$B$28,IF(Skills!C3=3,120+Inputs!$B$26+Inputs!$B$28,MAX(0,(Inputs!$B$3-100)*3)+Inputs!$B$27+Inputs!$B$28)))</f>
        <v/>
      </c>
      <c r="E181">
        <f>INDEX(FactorTable!$B$2:$Y$301, MATCH(ROUND(MIN(300,MAX(1,D181)),0), FactorTable!$A$2:$A$301,0), Skills!M3+1)</f>
        <v/>
      </c>
      <c r="F181">
        <f>IF(Skills!N3=TRUE,(Skills!L3/10)*(E181/1000),Skills!L3/10)+Skills!O3</f>
        <v/>
      </c>
      <c r="G181">
        <f>Skills!G3*IF(Skills!H3&gt;0,Skills!I3/Skills!H3,1)</f>
        <v/>
      </c>
      <c r="H181">
        <f>1-(1-Skills!J3/100)^Skills!K3</f>
        <v/>
      </c>
      <c r="I181" t="inlineStr">
        <is>
          <t>1</t>
        </is>
      </c>
      <c r="J181" t="inlineStr"/>
      <c r="K181" t="inlineStr"/>
      <c r="L181" t="inlineStr"/>
      <c r="M181" t="inlineStr"/>
      <c r="N181" t="inlineStr"/>
      <c r="O181" t="n">
        <v>0</v>
      </c>
      <c r="P181">
        <f>IF(B223=0,0,O181/B223)</f>
        <v/>
      </c>
      <c r="Q181" t="n">
        <v>0</v>
      </c>
      <c r="R181" t="n">
        <v>0</v>
      </c>
      <c r="S181">
        <f>IFERROR(O181/N181,0)</f>
        <v/>
      </c>
      <c r="U181">
        <f>INDEX(FactorTable!$B$2:$Y$301, MATCH(ROUND(MIN(300,MAX(1,U180)),0), FactorTable!$A$2:$A$301,0), 22)</f>
        <v/>
      </c>
    </row>
    <row r="182">
      <c r="A182">
        <f>Skills!A4</f>
        <v/>
      </c>
      <c r="B182">
        <f>Skills!B4</f>
        <v/>
      </c>
      <c r="C182">
        <f>Inputs!$B$3&gt;=66</f>
        <v/>
      </c>
      <c r="D182">
        <f>IF(Skills!C4=1,60+Inputs!$B$24+Inputs!$B$28,IF(Skills!C4=2,90+Inputs!$B$25+Inputs!$B$28,IF(Skills!C4=3,120+Inputs!$B$26+Inputs!$B$28,MAX(0,(Inputs!$B$3-100)*3)+Inputs!$B$27+Inputs!$B$28)))</f>
        <v/>
      </c>
      <c r="E182">
        <f>INDEX(FactorTable!$B$2:$Y$301, MATCH(ROUND(MIN(300,MAX(1,D182)),0), FactorTable!$A$2:$A$301,0), Skills!M4+1)</f>
        <v/>
      </c>
      <c r="F182">
        <f>IF(Skills!N4=TRUE,(Skills!L4/10)*(E182/1000),Skills!L4/10)+Skills!O4</f>
        <v/>
      </c>
      <c r="G182">
        <f>Skills!G4*IF(Skills!H4&gt;0,Skills!I4/Skills!H4,1)</f>
        <v/>
      </c>
      <c r="H182">
        <f>1-(1-Skills!J4/100)^Skills!K4</f>
        <v/>
      </c>
      <c r="I182" t="inlineStr">
        <is>
          <t>1</t>
        </is>
      </c>
      <c r="J182">
        <f>(Inputs!$B$5*(1+Inputs!$B$6/100))*(F182/100)</f>
        <v/>
      </c>
      <c r="K182">
        <f>J182*(1+((Inputs!$B$11*(1+Inputs!$B$12/100))*0.01+Inputs!$B$13*0.0025)/100)*(1+(Inputs!$B$14+1)/100)*(1+IF(Inputs!$B$4="pvp",0,(1-Summary!$B$55)*(Inputs!$B$19+0+Skills!P4+B212)+Summary!$B$55*(Inputs!$B$20+Skills!Q4+B212))/100)*(1+Inputs!$B$15/100)*(5000/(6000+Inputs!$B$7*(1-Inputs!$B$18/100)))*(1+(Inputs!$B$23+((C208=TRUE)*(F208-Calc!F30)))/100)*(1+(IF(Skills!A4="CRUEL_STAB",Inputs!$B$16+((C205=TRUE)*(F205-Calc!F27)),Inputs!$B$17+((C206=TRUE)*(F206-Calc!F28))))/100)*(((1+(((C199=TRUE)*F199*IF(AND(Inputs!$B$4&lt;&gt;"pvp",Inputs!$B$35&gt;0),(((S199-1)*(Skills!Y21*(1+Inputs!$B$33/100))+MIN((Skills!Y21*(1+Inputs!$B$33/100)),MAX(0,Inputs!$B$35-((S199-1)*Skills!D21))))/Inputs!$B$35),IF(Inputs!$B$4="pvp",MIN((Skills!Y21*(1+Inputs!$B$33/100)),15)/15,(Skills!Y21*(1+Inputs!$B$33/100))/Skills!D21)))+((C201=TRUE)*(F201-Calc!F23))+((C195=TRUE)*(F195-Calc!F17)))/100)*(1+((C188=TRUE)*F188*IF(AND(Inputs!$B$4&lt;&gt;"pvp",Inputs!$B$35&gt;0),(((S188-1)*(Skills!Y10*(1+Inputs!$B$33/100))+MIN((Skills!Y10*(1+Inputs!$B$33/100)),MAX(0,Inputs!$B$35-((S188-1)*Skills!D10))))/Inputs!$B$35),IF(Inputs!$B$4="pvp",MIN((Skills!Y10*(1+Inputs!$B$33/100)),15)/15,(Skills!Y10*(1+Inputs!$B$33/100))/Skills!D10)))/100)*(1+((C193=TRUE)*F193*IF(AND(Inputs!$B$4&lt;&gt;"pvp",Inputs!$B$35&gt;0),(((S193-1)*(Skills!Y15*(1+Inputs!$B$33/100))+MIN((Skills!Y15*(1+Inputs!$B$33/100)),MAX(0,Inputs!$B$35-((S193-1)*Skills!D15))))/Inputs!$B$35),IF(Inputs!$B$4="pvp",MIN((Skills!Y15*(1+Inputs!$B$33/100)),15)/15,(Skills!Y15*(1+Inputs!$B$33/100))/Skills!D15)))/100))*B213*I182)</f>
        <v/>
      </c>
      <c r="L182">
        <f>K182*(MIN(Inputs!$B$21+((C202=TRUE)*(F202-Calc!F24)),Inputs!$B$22+((C207=TRUE)*(F207-Calc!F29)))/100+(Inputs!$B$22+((C207=TRUE)*(F207-Calc!F29)))/100)/2</f>
        <v/>
      </c>
      <c r="M182">
        <f>L182*(1+(Inputs!$B$9+((C204=TRUE)*(F204-Calc!F26))+B218)/100)</f>
        <v/>
      </c>
      <c r="N182">
        <f>L182*(1-MIN((Inputs!$B$8+((C203=TRUE)*(F203-Calc!F25))+B211),100)/100)+M182*(MIN((Inputs!$B$8+((C203=TRUE)*(F203-Calc!F25))+B211),100)/100)</f>
        <v/>
      </c>
      <c r="O182">
        <f>IF(C182,H182*N182*IF(AND(Inputs!$B$4&lt;&gt;"pvp",Inputs!$B$35&gt;0),((Skills!G4*((R182-1)*IF(Skills!H4&gt;0,Skills!I4/Skills!H4,1)+IF(Skills!H4&gt;0,MIN(Skills!I4,MAX(0,Inputs!$B$35-((R182-1)*IF(Inputs!$B$4="pvp",15,MAX(0.1,Skills!D4-IF(Skills!E4=TRUE,Inputs!$B$31,0))))))/Skills!H4,1)))/Inputs!$B$35),G182*Q182)*IF(Inputs!$B$4="pvp",1,(1-Summary!$B$55)*(1)+Summary!$B$55*(MIN(MIN(10,0.5*B215*Skills!D4),Inputs!$B$37))),0)</f>
        <v/>
      </c>
      <c r="P182">
        <f>IF(B223=0,0,O182/B223)</f>
        <v/>
      </c>
      <c r="Q182">
        <f>IFERROR(1/IF(Inputs!$B$4="pvp",15,MAX(0.1,Skills!D4-IF(Skills!E4=TRUE,Inputs!$B$31,0))),0)</f>
        <v/>
      </c>
      <c r="R182">
        <f>IF(AND(Inputs!$B$4&lt;&gt;"pvp",Inputs!$B$35&gt;0),(INT(Inputs!$B$35/IF(Inputs!$B$4="pvp",15,MAX(0.1,Skills!D4-IF(Skills!E4=TRUE,Inputs!$B$31,0))))+1),0)</f>
        <v/>
      </c>
      <c r="S182">
        <f>IFERROR(O182/N182,0)</f>
        <v/>
      </c>
      <c r="U182">
        <f>290*U181/1000</f>
        <v/>
      </c>
    </row>
    <row r="183">
      <c r="A183">
        <f>Skills!A5</f>
        <v/>
      </c>
      <c r="B183">
        <f>Skills!B5</f>
        <v/>
      </c>
      <c r="C183">
        <f>Inputs!$B$3&gt;=63</f>
        <v/>
      </c>
      <c r="D183">
        <f>IF(Skills!C5=1,60+Inputs!$B$24+Inputs!$B$28,IF(Skills!C5=2,90+Inputs!$B$25+Inputs!$B$28,IF(Skills!C5=3,120+Inputs!$B$26+Inputs!$B$28,MAX(0,(Inputs!$B$3-100)*3)+Inputs!$B$27+Inputs!$B$28)))</f>
        <v/>
      </c>
      <c r="E183">
        <f>INDEX(FactorTable!$B$2:$Y$301, MATCH(ROUND(MIN(300,MAX(1,D183)),0), FactorTable!$A$2:$A$301,0), Skills!M5+1)</f>
        <v/>
      </c>
      <c r="F183">
        <f>IF(Skills!N5=TRUE,(Skills!L5/10)*(E183/1000),Skills!L5/10)+Skills!O5</f>
        <v/>
      </c>
      <c r="G183">
        <f>Skills!G5*IF(Skills!H5&gt;0,Skills!I5/Skills!H5,1)</f>
        <v/>
      </c>
      <c r="H183">
        <f>1-(1-Skills!J5/100)^Skills!K5</f>
        <v/>
      </c>
      <c r="I183" t="inlineStr">
        <is>
          <t>1</t>
        </is>
      </c>
      <c r="J183">
        <f>(Inputs!$B$5*(1+Inputs!$B$6/100))*(F183/100)</f>
        <v/>
      </c>
      <c r="K183">
        <f>J183*(1+((Inputs!$B$11*(1+Inputs!$B$12/100))*0.01+Inputs!$B$13*0.0025)/100)*(1+(Inputs!$B$14+1)/100)*(1+IF(Inputs!$B$4="pvp",0,(1-Summary!$B$55)*(Inputs!$B$19+0+Skills!P5+B212)+Summary!$B$55*(Inputs!$B$20+Skills!Q5+B212))/100)*(1+Inputs!$B$15/100)*(5000/(6000+Inputs!$B$7*(1-Inputs!$B$18/100)))*(1+(Inputs!$B$23+((C208=TRUE)*(F208-Calc!F30)))/100)*(1+2.6666666666666665*IF(C196=TRUE,F196,0)/100)*(1+(IF(Skills!A5="CRUEL_STAB",Inputs!$B$16+((C205=TRUE)*(F205-Calc!F27)),Inputs!$B$17+((C206=TRUE)*(F206-Calc!F28))))/100)*(((1+(((C199=TRUE)*F199*IF(AND(Inputs!$B$4&lt;&gt;"pvp",Inputs!$B$35&gt;0),(((S199-1)*(Skills!Y21*(1+Inputs!$B$33/100))+MIN((Skills!Y21*(1+Inputs!$B$33/100)),MAX(0,Inputs!$B$35-((S199-1)*Skills!D21))))/Inputs!$B$35),IF(Inputs!$B$4="pvp",MIN((Skills!Y21*(1+Inputs!$B$33/100)),15)/15,(Skills!Y21*(1+Inputs!$B$33/100))/Skills!D21)))+((C201=TRUE)*(F201-Calc!F23))+((C195=TRUE)*(F195-Calc!F17)))/100)*(1+((C188=TRUE)*F188*IF(AND(Inputs!$B$4&lt;&gt;"pvp",Inputs!$B$35&gt;0),(((S188-1)*(Skills!Y10*(1+Inputs!$B$33/100))+MIN((Skills!Y10*(1+Inputs!$B$33/100)),MAX(0,Inputs!$B$35-((S188-1)*Skills!D10))))/Inputs!$B$35),IF(Inputs!$B$4="pvp",MIN((Skills!Y10*(1+Inputs!$B$33/100)),15)/15,(Skills!Y10*(1+Inputs!$B$33/100))/Skills!D10)))/100)*(1+((C193=TRUE)*F193*IF(AND(Inputs!$B$4&lt;&gt;"pvp",Inputs!$B$35&gt;0),(((S193-1)*(Skills!Y15*(1+Inputs!$B$33/100))+MIN((Skills!Y15*(1+Inputs!$B$33/100)),MAX(0,Inputs!$B$35-((S193-1)*Skills!D15))))/Inputs!$B$35),IF(Inputs!$B$4="pvp",MIN((Skills!Y15*(1+Inputs!$B$33/100)),15)/15,(Skills!Y15*(1+Inputs!$B$33/100))/Skills!D15)))/100))*B213*I183)</f>
        <v/>
      </c>
      <c r="L183">
        <f>K183*(MIN(Inputs!$B$21+((C202=TRUE)*(F202-Calc!F24)),Inputs!$B$22+((C207=TRUE)*(F207-Calc!F29)))/100+(Inputs!$B$22+((C207=TRUE)*(F207-Calc!F29)))/100)/2</f>
        <v/>
      </c>
      <c r="M183">
        <f>L183*(1+(Inputs!$B$9+((C204=TRUE)*(F204-Calc!F26))+B218)/100)</f>
        <v/>
      </c>
      <c r="N183">
        <f>L183*(1-MIN((Inputs!$B$8+((C203=TRUE)*(F203-Calc!F25))+B211),100)/100)+M183*(MIN((Inputs!$B$8+((C203=TRUE)*(F203-Calc!F25))+B211),100)/100)</f>
        <v/>
      </c>
      <c r="O183">
        <f>IF(C183,H183*N183*IF(AND(Inputs!$B$4&lt;&gt;"pvp",Inputs!$B$35&gt;0),((Skills!G5*((R183-1)*IF(Skills!H5&gt;0,Skills!I5/Skills!H5,1)+IF(Skills!H5&gt;0,MIN(Skills!I5,MAX(0,Inputs!$B$35-((R183-1)*IF(Inputs!$B$4="pvp",15,MAX(0.1,Skills!D5-IF(Skills!E5=TRUE,Inputs!$B$31,0))))))/Skills!H5,1)))/Inputs!$B$35),G183*Q183)*IF(Inputs!$B$4="pvp",1,(1-Summary!$B$55)*(1)+Summary!$B$55*(MIN(Skills!W5,Inputs!$B$37))),0)</f>
        <v/>
      </c>
      <c r="P183">
        <f>IF(B223=0,0,O183/B223)</f>
        <v/>
      </c>
      <c r="Q183">
        <f>IFERROR(1/IF(Inputs!$B$4="pvp",15,MAX(0.1,Skills!D5-IF(Skills!E5=TRUE,Inputs!$B$31,0))),0)</f>
        <v/>
      </c>
      <c r="R183">
        <f>IF(AND(Inputs!$B$4&lt;&gt;"pvp",Inputs!$B$35&gt;0),(INT(Inputs!$B$35/IF(Inputs!$B$4="pvp",15,MAX(0.1,Skills!D5-IF(Skills!E5=TRUE,Inputs!$B$31,0))))+1),0)</f>
        <v/>
      </c>
      <c r="S183">
        <f>IFERROR(O183/N183,0)</f>
        <v/>
      </c>
    </row>
    <row r="184">
      <c r="A184">
        <f>Skills!A6</f>
        <v/>
      </c>
      <c r="B184">
        <f>Skills!B6</f>
        <v/>
      </c>
      <c r="C184">
        <f>Inputs!$B$3&gt;=69</f>
        <v/>
      </c>
      <c r="D184">
        <f>IF(Skills!C6=1,60+Inputs!$B$24+Inputs!$B$28,IF(Skills!C6=2,90+Inputs!$B$25+Inputs!$B$28,IF(Skills!C6=3,120+Inputs!$B$26+Inputs!$B$28,MAX(0,(Inputs!$B$3-100)*3)+Inputs!$B$27+Inputs!$B$28)))</f>
        <v/>
      </c>
      <c r="E184">
        <f>INDEX(FactorTable!$B$2:$Y$301, MATCH(ROUND(MIN(300,MAX(1,D184)),0), FactorTable!$A$2:$A$301,0), Skills!M6+1)</f>
        <v/>
      </c>
      <c r="F184">
        <f>IF(Skills!N6=TRUE,(Skills!L6/10)*(E184/1000),Skills!L6/10)+Skills!O6</f>
        <v/>
      </c>
      <c r="G184">
        <f>Skills!G6*IF(Skills!H6&gt;0,Skills!I6/Skills!H6,1)</f>
        <v/>
      </c>
      <c r="H184">
        <f>1-(1-Skills!J6/100)^Skills!K6</f>
        <v/>
      </c>
      <c r="I184" t="inlineStr">
        <is>
          <t>1</t>
        </is>
      </c>
      <c r="J184">
        <f>(Inputs!$B$5*(1+Inputs!$B$6/100))*(F184/100)</f>
        <v/>
      </c>
      <c r="K184">
        <f>J184*(1+((Inputs!$B$11*(1+Inputs!$B$12/100))*0.01+Inputs!$B$13*0.0025)/100)*(1+(Inputs!$B$14+1)/100)*(1+IF(Inputs!$B$4="pvp",0,(1-Summary!$B$55)*(Inputs!$B$19+0+Skills!P6+B212)+Summary!$B$55*(Inputs!$B$20+Skills!Q6+B212))/100)*(1+Inputs!$B$15/100)*(5000/(6000+Inputs!$B$7*(1-Inputs!$B$18/100)))*(1+(Inputs!$B$23+((C208=TRUE)*(F208-Calc!F30)))/100)*(1+1.0*IF(C196=TRUE,F196,0)/100)*(1+(IF(Skills!A6="CRUEL_STAB",Inputs!$B$16+((C205=TRUE)*(F205-Calc!F27)),Inputs!$B$17+((C206=TRUE)*(F206-Calc!F28))))/100)*(((1+(((C199=TRUE)*F199*IF(AND(Inputs!$B$4&lt;&gt;"pvp",Inputs!$B$35&gt;0),(((S199-1)*(Skills!Y21*(1+Inputs!$B$33/100))+MIN((Skills!Y21*(1+Inputs!$B$33/100)),MAX(0,Inputs!$B$35-((S199-1)*Skills!D21))))/Inputs!$B$35),IF(Inputs!$B$4="pvp",MIN((Skills!Y21*(1+Inputs!$B$33/100)),15)/15,(Skills!Y21*(1+Inputs!$B$33/100))/Skills!D21)))+((C201=TRUE)*(F201-Calc!F23))+((C195=TRUE)*(F195-Calc!F17)))/100)*(1+((C188=TRUE)*F188*IF(AND(Inputs!$B$4&lt;&gt;"pvp",Inputs!$B$35&gt;0),(((S188-1)*(Skills!Y10*(1+Inputs!$B$33/100))+MIN((Skills!Y10*(1+Inputs!$B$33/100)),MAX(0,Inputs!$B$35-((S188-1)*Skills!D10))))/Inputs!$B$35),IF(Inputs!$B$4="pvp",MIN((Skills!Y10*(1+Inputs!$B$33/100)),15)/15,(Skills!Y10*(1+Inputs!$B$33/100))/Skills!D10)))/100)*(1+((C193=TRUE)*F193*IF(AND(Inputs!$B$4&lt;&gt;"pvp",Inputs!$B$35&gt;0),(((S193-1)*(Skills!Y15*(1+Inputs!$B$33/100))+MIN((Skills!Y15*(1+Inputs!$B$33/100)),MAX(0,Inputs!$B$35-((S193-1)*Skills!D15))))/Inputs!$B$35),IF(Inputs!$B$4="pvp",MIN((Skills!Y15*(1+Inputs!$B$33/100)),15)/15,(Skills!Y15*(1+Inputs!$B$33/100))/Skills!D15)))/100))*B213*I184)</f>
        <v/>
      </c>
      <c r="L184">
        <f>K184*(MIN(Inputs!$B$21+((C202=TRUE)*(F202-Calc!F24)),Inputs!$B$22+((C207=TRUE)*(F207-Calc!F29)))/100+(Inputs!$B$22+((C207=TRUE)*(F207-Calc!F29)))/100)/2</f>
        <v/>
      </c>
      <c r="M184">
        <f>L184*(1+(Inputs!$B$9+((C204=TRUE)*(F204-Calc!F26))+B218)/100)</f>
        <v/>
      </c>
      <c r="N184">
        <f>L184*(1-MIN((Inputs!$B$8+((C203=TRUE)*(F203-Calc!F25))+B211),100)/100)+M184*(MIN((Inputs!$B$8+((C203=TRUE)*(F203-Calc!F25))+B211),100)/100)</f>
        <v/>
      </c>
      <c r="O184">
        <f>IF(C184,H184*N184*IF(AND(Inputs!$B$4&lt;&gt;"pvp",Inputs!$B$35&gt;0),((Skills!G6*((R184-1)*IF(Skills!H6&gt;0,Skills!I6/Skills!H6,1)+IF(Skills!H6&gt;0,MIN(Skills!I6,MAX(0,Inputs!$B$35-((R184-1)*IF(Inputs!$B$4="pvp",15,MAX(0.1,Skills!D6-IF(Skills!E6=TRUE,Inputs!$B$31,0))))))/Skills!H6,1)))/Inputs!$B$35),G184*Q184)*IF(Inputs!$B$4="pvp",1,(1-Summary!$B$55)*(1)+Summary!$B$55*(MIN(Skills!W6,Inputs!$B$37))),0)</f>
        <v/>
      </c>
      <c r="P184">
        <f>IF(B223=0,0,O184/B223)</f>
        <v/>
      </c>
      <c r="Q184">
        <f>IFERROR(1/IF(Inputs!$B$4="pvp",15,MAX(0.1,Skills!D6-IF(Skills!E6=TRUE,Inputs!$B$31,0))),0)</f>
        <v/>
      </c>
      <c r="R184">
        <f>IF(AND(Inputs!$B$4&lt;&gt;"pvp",Inputs!$B$35&gt;0),(INT(Inputs!$B$35/IF(Inputs!$B$4="pvp",15,MAX(0.1,Skills!D6-IF(Skills!E6=TRUE,Inputs!$B$31,0))))+1),0)</f>
        <v/>
      </c>
      <c r="S184">
        <f>IFERROR(O184/N184,0)</f>
        <v/>
      </c>
    </row>
    <row r="185">
      <c r="A185">
        <f>Skills!A7</f>
        <v/>
      </c>
      <c r="B185">
        <f>Skills!B7</f>
        <v/>
      </c>
      <c r="C185">
        <f>Inputs!$B$3&gt;=60</f>
        <v/>
      </c>
      <c r="D185">
        <f>IF(Skills!C7=1,60+Inputs!$B$24+Inputs!$B$28,IF(Skills!C7=2,90+Inputs!$B$25+Inputs!$B$28,IF(Skills!C7=3,120+Inputs!$B$26+Inputs!$B$28,MAX(0,(Inputs!$B$3-100)*3)+Inputs!$B$27+Inputs!$B$28)))</f>
        <v/>
      </c>
      <c r="E185">
        <f>INDEX(FactorTable!$B$2:$Y$301, MATCH(ROUND(MIN(300,MAX(1,D185)),0), FactorTable!$A$2:$A$301,0), Skills!M7+1)</f>
        <v/>
      </c>
      <c r="F185">
        <f>IF(Skills!N7=TRUE,(Skills!L7/10)*(E185/1000),Skills!L7/10)+Skills!O7</f>
        <v/>
      </c>
      <c r="G185">
        <f>Skills!G7*IF(Skills!H7&gt;0,Skills!I7/Skills!H7,1)</f>
        <v/>
      </c>
      <c r="H185">
        <f>1-(1-Skills!J7/100)^Skills!K7</f>
        <v/>
      </c>
      <c r="I185" t="inlineStr">
        <is>
          <t>1</t>
        </is>
      </c>
      <c r="J185" t="inlineStr"/>
      <c r="K185" t="inlineStr"/>
      <c r="L185" t="inlineStr"/>
      <c r="M185" t="inlineStr"/>
      <c r="N185" t="inlineStr"/>
      <c r="O185" t="n">
        <v>0</v>
      </c>
      <c r="P185">
        <f>IF(B223=0,0,O185/B223)</f>
        <v/>
      </c>
      <c r="Q185" t="n">
        <v>0</v>
      </c>
      <c r="R185" t="n">
        <v>0</v>
      </c>
      <c r="S185">
        <f>IFERROR(O185/N185,0)</f>
        <v/>
      </c>
    </row>
    <row r="186">
      <c r="A186">
        <f>Skills!A8</f>
        <v/>
      </c>
      <c r="B186">
        <f>Skills!B8</f>
        <v/>
      </c>
      <c r="C186">
        <f>Inputs!$B$3&gt;=72</f>
        <v/>
      </c>
      <c r="D186">
        <f>IF(Skills!C8=1,60+Inputs!$B$24+Inputs!$B$28,IF(Skills!C8=2,90+Inputs!$B$25+Inputs!$B$28,IF(Skills!C8=3,120+Inputs!$B$26+Inputs!$B$28,MAX(0,(Inputs!$B$3-100)*3)+Inputs!$B$27+Inputs!$B$28)))</f>
        <v/>
      </c>
      <c r="E186">
        <f>INDEX(FactorTable!$B$2:$Y$301, MATCH(ROUND(MIN(300,MAX(1,D186)),0), FactorTable!$A$2:$A$301,0), Skills!M8+1)</f>
        <v/>
      </c>
      <c r="F186">
        <f>IF(Skills!N8=TRUE,(Skills!L8/10)*(E186/1000),Skills!L8/10)+Skills!O8</f>
        <v/>
      </c>
      <c r="G186">
        <f>Skills!G8*IF(Skills!H8&gt;0,Skills!I8/Skills!H8,1)</f>
        <v/>
      </c>
      <c r="H186">
        <f>1-(1-Skills!J8/100)^Skills!K8</f>
        <v/>
      </c>
      <c r="I186" t="inlineStr">
        <is>
          <t>1</t>
        </is>
      </c>
      <c r="J186">
        <f>(Inputs!$B$5*(1+Inputs!$B$6/100))*(F186/100)</f>
        <v/>
      </c>
      <c r="K186">
        <f>J186*(1+((Inputs!$B$11*(1+Inputs!$B$12/100))*0.01+Inputs!$B$13*0.0025)/100)*(1+(Inputs!$B$14+1)/100)*(1+IF(Inputs!$B$4="pvp",0,(1-Summary!$B$55)*(Inputs!$B$19+0+Skills!P8+B212)+Summary!$B$55*(Inputs!$B$20+Skills!Q8+B212))/100)*(1+Inputs!$B$15/100)*(5000/(6000+Inputs!$B$7*(1-Inputs!$B$18/100)))*(1+(Inputs!$B$23+((C208=TRUE)*(F208-Calc!F30)))/100)*(1+3.3333333333333335*IF(C196=TRUE,F196,0)/100)*(1+(IF(Skills!A8="CRUEL_STAB",Inputs!$B$16+((C205=TRUE)*(F205-Calc!F27)),Inputs!$B$17+((C206=TRUE)*(F206-Calc!F28))))/100)*(((1+(((C199=TRUE)*F199*IF(AND(Inputs!$B$4&lt;&gt;"pvp",Inputs!$B$35&gt;0),(((S199-1)*(Skills!Y21*(1+Inputs!$B$33/100))+MIN((Skills!Y21*(1+Inputs!$B$33/100)),MAX(0,Inputs!$B$35-((S199-1)*Skills!D21))))/Inputs!$B$35),IF(Inputs!$B$4="pvp",MIN((Skills!Y21*(1+Inputs!$B$33/100)),15)/15,(Skills!Y21*(1+Inputs!$B$33/100))/Skills!D21)))+((C201=TRUE)*(F201-Calc!F23))+((C195=TRUE)*(F195-Calc!F17)))/100)*(1+((C188=TRUE)*F188*IF(AND(Inputs!$B$4&lt;&gt;"pvp",Inputs!$B$35&gt;0),(((S188-1)*(Skills!Y10*(1+Inputs!$B$33/100))+MIN((Skills!Y10*(1+Inputs!$B$33/100)),MAX(0,Inputs!$B$35-((S188-1)*Skills!D10))))/Inputs!$B$35),IF(Inputs!$B$4="pvp",MIN((Skills!Y10*(1+Inputs!$B$33/100)),15)/15,(Skills!Y10*(1+Inputs!$B$33/100))/Skills!D10)))/100)*(1+((C193=TRUE)*F193*IF(AND(Inputs!$B$4&lt;&gt;"pvp",Inputs!$B$35&gt;0),(((S193-1)*(Skills!Y15*(1+Inputs!$B$33/100))+MIN((Skills!Y15*(1+Inputs!$B$33/100)),MAX(0,Inputs!$B$35-((S193-1)*Skills!D15))))/Inputs!$B$35),IF(Inputs!$B$4="pvp",MIN((Skills!Y15*(1+Inputs!$B$33/100)),15)/15,(Skills!Y15*(1+Inputs!$B$33/100))/Skills!D15)))/100))*B213*I186)</f>
        <v/>
      </c>
      <c r="L186">
        <f>K186*(MIN(Inputs!$B$21+((C202=TRUE)*(F202-Calc!F24)),Inputs!$B$22+((C207=TRUE)*(F207-Calc!F29)))/100+(Inputs!$B$22+((C207=TRUE)*(F207-Calc!F29)))/100)/2</f>
        <v/>
      </c>
      <c r="M186">
        <f>L186*(1+(Inputs!$B$9+((C204=TRUE)*(F204-Calc!F26))+B218)/100)</f>
        <v/>
      </c>
      <c r="N186">
        <f>L186*(1-MIN((Inputs!$B$8+((C203=TRUE)*(F203-Calc!F25))+B211),100)/100)+M186*(MIN((Inputs!$B$8+((C203=TRUE)*(F203-Calc!F25))+B211),100)/100)</f>
        <v/>
      </c>
      <c r="O186">
        <f>IF(C186,H186*N186*IF(AND(Inputs!$B$4&lt;&gt;"pvp",Inputs!$B$35&gt;0),((Skills!G8*((R186-1)*IF(Skills!H8&gt;0,Skills!I8/Skills!H8,1)+IF(Skills!H8&gt;0,MIN(Skills!I8,MAX(0,Inputs!$B$35-((R186-1)*IF(Inputs!$B$4="pvp",15,MAX(0.1,Skills!D8-IF(Skills!E8=TRUE,Inputs!$B$31,0))))))/Skills!H8,1)))/Inputs!$B$35),G186*Q186)*IF(Inputs!$B$4="pvp",1,(1-Summary!$B$55)*(1)+Summary!$B$55*(MIN(Skills!W8,Inputs!$B$37))),0)</f>
        <v/>
      </c>
      <c r="P186">
        <f>IF(B223=0,0,O186/B223)</f>
        <v/>
      </c>
      <c r="Q186">
        <f>IFERROR(1/IF(Inputs!$B$4="pvp",15,MAX(0.1,Skills!D8-IF(Skills!E8=TRUE,Inputs!$B$31,0))),0)</f>
        <v/>
      </c>
      <c r="R186">
        <f>IF(AND(Inputs!$B$4&lt;&gt;"pvp",Inputs!$B$35&gt;0),(INT(Inputs!$B$35/IF(Inputs!$B$4="pvp",15,MAX(0.1,Skills!D8-IF(Skills!E8=TRUE,Inputs!$B$31,0))))+1),0)</f>
        <v/>
      </c>
      <c r="S186">
        <f>IFERROR(O186/N186,0)</f>
        <v/>
      </c>
    </row>
    <row r="187">
      <c r="A187">
        <f>Skills!A9</f>
        <v/>
      </c>
      <c r="B187">
        <f>Skills!B9</f>
        <v/>
      </c>
      <c r="C187">
        <f>Inputs!$B$3&gt;=117</f>
        <v/>
      </c>
      <c r="D187">
        <f>IF(Skills!C9=1,60+Inputs!$B$24+Inputs!$B$28,IF(Skills!C9=2,90+Inputs!$B$25+Inputs!$B$28,IF(Skills!C9=3,120+Inputs!$B$26+Inputs!$B$28,MAX(0,(Inputs!$B$3-100)*3)+Inputs!$B$27+Inputs!$B$28)))</f>
        <v/>
      </c>
      <c r="E187">
        <f>INDEX(FactorTable!$B$2:$Y$301, MATCH(ROUND(MIN(300,MAX(1,D187)),0), FactorTable!$A$2:$A$301,0), Skills!M9+1)</f>
        <v/>
      </c>
      <c r="F187">
        <f>IF(Skills!N9=TRUE,(Skills!L9/10)*(E187/1000),Skills!L9/10)+Skills!O9</f>
        <v/>
      </c>
      <c r="G187">
        <f>Skills!G9*IF(Skills!H9&gt;0,Skills!I9/Skills!H9,1)</f>
        <v/>
      </c>
      <c r="H187">
        <f>1-(1-Skills!J9/100)^Skills!K9</f>
        <v/>
      </c>
      <c r="I187" t="inlineStr">
        <is>
          <t>1</t>
        </is>
      </c>
      <c r="J187">
        <f>(Inputs!$B$5*(1+Inputs!$B$6/100))*(F187/100)</f>
        <v/>
      </c>
      <c r="K187">
        <f>J187*(1+((Inputs!$B$11*(1+Inputs!$B$12/100))*0.01+Inputs!$B$13*0.0025)/100)*(1+(Inputs!$B$14+1)/100)*(1+IF(Inputs!$B$4="pvp",0,(1-Summary!$B$55)*(Inputs!$B$19+0+Skills!P9+B212)+Summary!$B$55*(Inputs!$B$20+Skills!Q9+B212))/100)*(1+Inputs!$B$15/100)*(5000/(6000+Inputs!$B$7*(1-Inputs!$B$18/100)))*(1+(Inputs!$B$23+((C208=TRUE)*(F208-Calc!F30)))/100)*(1+(IF(Skills!A9="CRUEL_STAB",Inputs!$B$16+((C205=TRUE)*(F205-Calc!F27)),Inputs!$B$17+((C206=TRUE)*(F206-Calc!F28))))/100)*(((1+(((C199=TRUE)*F199*IF(AND(Inputs!$B$4&lt;&gt;"pvp",Inputs!$B$35&gt;0),(((S199-1)*(Skills!Y21*(1+Inputs!$B$33/100))+MIN((Skills!Y21*(1+Inputs!$B$33/100)),MAX(0,Inputs!$B$35-((S199-1)*Skills!D21))))/Inputs!$B$35),IF(Inputs!$B$4="pvp",MIN((Skills!Y21*(1+Inputs!$B$33/100)),15)/15,(Skills!Y21*(1+Inputs!$B$33/100))/Skills!D21)))+((C201=TRUE)*(F201-Calc!F23))+((C195=TRUE)*(F195-Calc!F17)))/100)*(1+((C188=TRUE)*F188*IF(AND(Inputs!$B$4&lt;&gt;"pvp",Inputs!$B$35&gt;0),(((S188-1)*(Skills!Y10*(1+Inputs!$B$33/100))+MIN((Skills!Y10*(1+Inputs!$B$33/100)),MAX(0,Inputs!$B$35-((S188-1)*Skills!D10))))/Inputs!$B$35),IF(Inputs!$B$4="pvp",MIN((Skills!Y10*(1+Inputs!$B$33/100)),15)/15,(Skills!Y10*(1+Inputs!$B$33/100))/Skills!D10)))/100)*(1+((C193=TRUE)*F193*IF(AND(Inputs!$B$4&lt;&gt;"pvp",Inputs!$B$35&gt;0),(((S193-1)*(Skills!Y15*(1+Inputs!$B$33/100))+MIN((Skills!Y15*(1+Inputs!$B$33/100)),MAX(0,Inputs!$B$35-((S193-1)*Skills!D15))))/Inputs!$B$35),IF(Inputs!$B$4="pvp",MIN((Skills!Y15*(1+Inputs!$B$33/100)),15)/15,(Skills!Y15*(1+Inputs!$B$33/100))/Skills!D15)))/100))*B213*I187)</f>
        <v/>
      </c>
      <c r="L187">
        <f>K187*(MIN(Inputs!$B$21+((C202=TRUE)*(F202-Calc!F24)),Inputs!$B$22+((C207=TRUE)*(F207-Calc!F29)))/100+(Inputs!$B$22+((C207=TRUE)*(F207-Calc!F29)))/100)/2</f>
        <v/>
      </c>
      <c r="M187">
        <f>L187*(1+(Inputs!$B$9+((C204=TRUE)*(F204-Calc!F26))+B218)/100)</f>
        <v/>
      </c>
      <c r="N187">
        <f>L187*(1-MIN((Inputs!$B$8+((C203=TRUE)*(F203-Calc!F25))+B211),100)/100)+M187*(MIN((Inputs!$B$8+((C203=TRUE)*(F203-Calc!F25))+B211),100)/100)</f>
        <v/>
      </c>
      <c r="O187">
        <f>IF(C187,0.2*SUMPRODUCT((Skills!Z2:Z30=TRUE)*(C180:C208=TRUE)*S180:S208)*N187,0)</f>
        <v/>
      </c>
      <c r="P187">
        <f>IF(B223=0,0,O187/B223)</f>
        <v/>
      </c>
      <c r="Q187" t="n">
        <v>0</v>
      </c>
      <c r="R187" t="n">
        <v>0</v>
      </c>
      <c r="S187" t="n">
        <v>0</v>
      </c>
    </row>
    <row r="188">
      <c r="A188">
        <f>Skills!A10</f>
        <v/>
      </c>
      <c r="B188">
        <f>Skills!B10</f>
        <v/>
      </c>
      <c r="C188">
        <f>Inputs!$B$3&gt;=74</f>
        <v/>
      </c>
      <c r="D188">
        <f>IF(Skills!C10=1,60+Inputs!$B$24+Inputs!$B$28,IF(Skills!C10=2,90+Inputs!$B$25+Inputs!$B$28,IF(Skills!C10=3,120+Inputs!$B$26+Inputs!$B$28,MAX(0,(Inputs!$B$3-100)*3)+Inputs!$B$27+Inputs!$B$28)))</f>
        <v/>
      </c>
      <c r="E188">
        <f>INDEX(FactorTable!$B$2:$Y$301, MATCH(ROUND(MIN(300,MAX(1,D188)),0), FactorTable!$A$2:$A$301,0), Skills!M10+1)</f>
        <v/>
      </c>
      <c r="F188">
        <f>IF(Skills!N10=TRUE,(Skills!L10/10)*(E188/1000),Skills!L10/10)+Skills!O10</f>
        <v/>
      </c>
      <c r="G188">
        <f>Skills!G10*IF(Skills!H10&gt;0,Skills!I10/Skills!H10,1)</f>
        <v/>
      </c>
      <c r="H188">
        <f>1-(1-Skills!J10/100)^Skills!K10</f>
        <v/>
      </c>
      <c r="I188" t="inlineStr">
        <is>
          <t>1</t>
        </is>
      </c>
      <c r="J188" t="inlineStr"/>
      <c r="K188" t="inlineStr"/>
      <c r="L188" t="inlineStr"/>
      <c r="M188" t="inlineStr"/>
      <c r="N188" t="inlineStr"/>
      <c r="O188" t="n">
        <v>0</v>
      </c>
      <c r="P188">
        <f>IF(B223=0,0,O188/B223)</f>
        <v/>
      </c>
      <c r="Q188">
        <f>IFERROR(1/IF(Inputs!$B$4="pvp",15,MAX(0.1,Skills!D10-IF(Skills!E10=TRUE,Inputs!$B$31,0))),0)</f>
        <v/>
      </c>
      <c r="R188">
        <f>IF(AND(Inputs!$B$4&lt;&gt;"pvp",Inputs!$B$35&gt;0),(INT(Inputs!$B$35/IF(Inputs!$B$4="pvp",15,MAX(0.1,Skills!D10-IF(Skills!E10=TRUE,Inputs!$B$31,0))))+1),0)</f>
        <v/>
      </c>
      <c r="S188">
        <f>IFERROR(O188/N188,0)</f>
        <v/>
      </c>
    </row>
    <row r="189">
      <c r="A189">
        <f>Skills!A11</f>
        <v/>
      </c>
      <c r="B189">
        <f>Skills!B11</f>
        <v/>
      </c>
      <c r="C189">
        <f>Inputs!$B$3&gt;=103</f>
        <v/>
      </c>
      <c r="D189">
        <f>IF(Skills!C11=1,60+Inputs!$B$24+Inputs!$B$28,IF(Skills!C11=2,90+Inputs!$B$25+Inputs!$B$28,IF(Skills!C11=3,120+Inputs!$B$26+Inputs!$B$28,MAX(0,(Inputs!$B$3-100)*3)+Inputs!$B$27+Inputs!$B$28)))</f>
        <v/>
      </c>
      <c r="E189">
        <f>INDEX(FactorTable!$B$2:$Y$301, MATCH(ROUND(MIN(300,MAX(1,D189)),0), FactorTable!$A$2:$A$301,0), Skills!M11+1)</f>
        <v/>
      </c>
      <c r="F189">
        <f>(Skills!L11/10)*(E189/1000)+IF(Inputs!$B$3&gt;=134,50,0)+0.5*(30000/10)*(INDEX(FactorTable!$B$2:$Y$301, MATCH(ROUND(MIN(300,MAX(1,D189)),0), FactorTable!$A$2:$A$301,0), 13)/1000)*B221</f>
        <v/>
      </c>
      <c r="G189">
        <f>Skills!G11*IF(Skills!H11&gt;0,Skills!I11/Skills!H11,1)</f>
        <v/>
      </c>
      <c r="H189">
        <f>1-(1-Skills!J11/100)^Skills!K11</f>
        <v/>
      </c>
      <c r="I189" t="inlineStr">
        <is>
          <t>1</t>
        </is>
      </c>
      <c r="J189">
        <f>(Inputs!$B$5*(1+Inputs!$B$6/100))*(F189/100)</f>
        <v/>
      </c>
      <c r="K189">
        <f>J189*(1+((Inputs!$B$11*(1+Inputs!$B$12/100))*0.01+Inputs!$B$13*0.0025)/100)*(1+(Inputs!$B$14+1)/100)*(1+IF(Inputs!$B$4="pvp",0,(1-Summary!$B$55)*(Inputs!$B$19+0+Skills!P11+B212)+Summary!$B$55*(Inputs!$B$20+Skills!Q11+B212))/100)*(1+Inputs!$B$15/100)*(5000/(6000+Inputs!$B$7*(1-Inputs!$B$18/100)))*(1+(Inputs!$B$23+((C208=TRUE)*(F208-Calc!F30)))/100)*(1+(IF(Skills!A11="CRUEL_STAB",Inputs!$B$16+((C205=TRUE)*(F205-Calc!F27)),Inputs!$B$17+((C206=TRUE)*(F206-Calc!F28))))/100)*(((1+(((C199=TRUE)*F199*IF(AND(Inputs!$B$4&lt;&gt;"pvp",Inputs!$B$35&gt;0),(((S199-1)*(Skills!Y21*(1+Inputs!$B$33/100))+MIN((Skills!Y21*(1+Inputs!$B$33/100)),MAX(0,Inputs!$B$35-((S199-1)*Skills!D21))))/Inputs!$B$35),IF(Inputs!$B$4="pvp",MIN((Skills!Y21*(1+Inputs!$B$33/100)),15)/15,(Skills!Y21*(1+Inputs!$B$33/100))/Skills!D21)))+((C201=TRUE)*(F201-Calc!F23))+((C195=TRUE)*(F195-Calc!F17)))/100)*(1+((C188=TRUE)*F188*IF(AND(Inputs!$B$4&lt;&gt;"pvp",Inputs!$B$35&gt;0),(((S188-1)*(Skills!Y10*(1+Inputs!$B$33/100))+MIN((Skills!Y10*(1+Inputs!$B$33/100)),MAX(0,Inputs!$B$35-((S188-1)*Skills!D10))))/Inputs!$B$35),IF(Inputs!$B$4="pvp",MIN((Skills!Y10*(1+Inputs!$B$33/100)),15)/15,(Skills!Y10*(1+Inputs!$B$33/100))/Skills!D10)))/100)*(1+((C193=TRUE)*F193*IF(AND(Inputs!$B$4&lt;&gt;"pvp",Inputs!$B$35&gt;0),(((S193-1)*(Skills!Y15*(1+Inputs!$B$33/100))+MIN((Skills!Y15*(1+Inputs!$B$33/100)),MAX(0,Inputs!$B$35-((S193-1)*Skills!D15))))/Inputs!$B$35),IF(Inputs!$B$4="pvp",MIN((Skills!Y15*(1+Inputs!$B$33/100)),15)/15,(Skills!Y15*(1+Inputs!$B$33/100))/Skills!D15)))/100))*B213*I189)</f>
        <v/>
      </c>
      <c r="L189">
        <f>K189*(MIN(Inputs!$B$21+((C202=TRUE)*(F202-Calc!F24)),Inputs!$B$22+((C207=TRUE)*(F207-Calc!F29)))/100+(Inputs!$B$22+((C207=TRUE)*(F207-Calc!F29)))/100)/2</f>
        <v/>
      </c>
      <c r="M189">
        <f>L189*(1+(Inputs!$B$9+((C204=TRUE)*(F204-Calc!F26))+B218)/100)</f>
        <v/>
      </c>
      <c r="N189">
        <f>L189*(1-MIN((Inputs!$B$8+((C203=TRUE)*(F203-Calc!F25))+B211),100)/100)+M189*(MIN((Inputs!$B$8+((C203=TRUE)*(F203-Calc!F25))+B211),100)/100)</f>
        <v/>
      </c>
      <c r="O189">
        <f>IF(C189,H189*N189*IF(AND(Inputs!$B$4&lt;&gt;"pvp",Inputs!$B$35&gt;0),((Skills!G11*((R189-1)*IF(Skills!H11&gt;0,Skills!I11/Skills!H11,1)+IF(Skills!H11&gt;0,MIN(Skills!I11,MAX(0,Inputs!$B$35-((R189-1)*IF(Inputs!$B$4="pvp",15,MAX(0.1,Skills!D11-IF(Skills!E11=TRUE,Inputs!$B$31,0))))))/Skills!H11,1)))/Inputs!$B$35),G189*Q189)*IF(Inputs!$B$4="pvp",1,(1-Summary!$B$55)*(1)+Summary!$B$55*(MIN(Skills!W11,Inputs!$B$37))),0)</f>
        <v/>
      </c>
      <c r="P189">
        <f>IF(B223=0,0,O189/B223)</f>
        <v/>
      </c>
      <c r="Q189">
        <f>IFERROR(1/IF(Inputs!$B$4="pvp",15,MAX(0.1,Skills!D11-IF(Skills!E11=TRUE,Inputs!$B$31,0))),0)</f>
        <v/>
      </c>
      <c r="R189">
        <f>IF(AND(Inputs!$B$4&lt;&gt;"pvp",Inputs!$B$35&gt;0),(INT(Inputs!$B$35/IF(Inputs!$B$4="pvp",15,MAX(0.1,Skills!D11-IF(Skills!E11=TRUE,Inputs!$B$31,0))))+1),0)</f>
        <v/>
      </c>
      <c r="S189">
        <f>IFERROR(O189/N189,0)</f>
        <v/>
      </c>
    </row>
    <row r="190">
      <c r="A190">
        <f>Skills!A12</f>
        <v/>
      </c>
      <c r="B190">
        <f>Skills!B12</f>
        <v/>
      </c>
      <c r="C190">
        <f>Inputs!$B$3&gt;=105</f>
        <v/>
      </c>
      <c r="D190">
        <f>IF(Skills!C12=1,60+Inputs!$B$24+Inputs!$B$28,IF(Skills!C12=2,90+Inputs!$B$25+Inputs!$B$28,IF(Skills!C12=3,120+Inputs!$B$26+Inputs!$B$28,MAX(0,(Inputs!$B$3-100)*3)+Inputs!$B$27+Inputs!$B$28)))</f>
        <v/>
      </c>
      <c r="E190">
        <f>INDEX(FactorTable!$B$2:$Y$301, MATCH(ROUND(MIN(300,MAX(1,D190)),0), FactorTable!$A$2:$A$301,0), Skills!M12+1)</f>
        <v/>
      </c>
      <c r="F190">
        <f>IF(Skills!N12=TRUE,(Skills!L12/10)*(E190/1000),Skills!L12/10)+Skills!O12</f>
        <v/>
      </c>
      <c r="G190">
        <f>Skills!G12*IF(Skills!H12&gt;0,Skills!I12/Skills!H12,1)</f>
        <v/>
      </c>
      <c r="H190">
        <f>1-(1-Skills!J12/100)^Skills!K12</f>
        <v/>
      </c>
      <c r="I190" t="inlineStr">
        <is>
          <t>1</t>
        </is>
      </c>
      <c r="J190">
        <f>(Inputs!$B$5*(1+Inputs!$B$6/100))*(F190/100)</f>
        <v/>
      </c>
      <c r="K190">
        <f>J190*(1+((Inputs!$B$11*(1+Inputs!$B$12/100))*0.01+Inputs!$B$13*0.0025)/100)*(1+(Inputs!$B$14+1)/100)*(1+IF(Inputs!$B$4="pvp",0,(1-Summary!$B$55)*(Inputs!$B$19+0+Skills!P12+B212)+Summary!$B$55*(Inputs!$B$20+Skills!Q12+B212))/100)*(1+Inputs!$B$15/100)*(5000/(6000+Inputs!$B$7*(1-Inputs!$B$18/100)))*(1+(Inputs!$B$23+((C208=TRUE)*(F208-Calc!F30)))/100)*(1+(IF(Skills!A12="CRUEL_STAB",Inputs!$B$16+((C205=TRUE)*(F205-Calc!F27)),Inputs!$B$17+((C206=TRUE)*(F206-Calc!F28))))/100)*(((1+(((C199=TRUE)*F199*IF(AND(Inputs!$B$4&lt;&gt;"pvp",Inputs!$B$35&gt;0),(((S199-1)*(Skills!Y21*(1+Inputs!$B$33/100))+MIN((Skills!Y21*(1+Inputs!$B$33/100)),MAX(0,Inputs!$B$35-((S199-1)*Skills!D21))))/Inputs!$B$35),IF(Inputs!$B$4="pvp",MIN((Skills!Y21*(1+Inputs!$B$33/100)),15)/15,(Skills!Y21*(1+Inputs!$B$33/100))/Skills!D21)))+((C201=TRUE)*(F201-Calc!F23))+((C195=TRUE)*(F195-Calc!F17)))/100)*(1+((C188=TRUE)*F188*IF(AND(Inputs!$B$4&lt;&gt;"pvp",Inputs!$B$35&gt;0),(((S188-1)*(Skills!Y10*(1+Inputs!$B$33/100))+MIN((Skills!Y10*(1+Inputs!$B$33/100)),MAX(0,Inputs!$B$35-((S188-1)*Skills!D10))))/Inputs!$B$35),IF(Inputs!$B$4="pvp",MIN((Skills!Y10*(1+Inputs!$B$33/100)),15)/15,(Skills!Y10*(1+Inputs!$B$33/100))/Skills!D10)))/100)*(1+((C193=TRUE)*F193*IF(AND(Inputs!$B$4&lt;&gt;"pvp",Inputs!$B$35&gt;0),(((S193-1)*(Skills!Y15*(1+Inputs!$B$33/100))+MIN((Skills!Y15*(1+Inputs!$B$33/100)),MAX(0,Inputs!$B$35-((S193-1)*Skills!D15))))/Inputs!$B$35),IF(Inputs!$B$4="pvp",MIN((Skills!Y15*(1+Inputs!$B$33/100)),15)/15,(Skills!Y15*(1+Inputs!$B$33/100))/Skills!D15)))/100))*B213*I190)</f>
        <v/>
      </c>
      <c r="L190">
        <f>K190*(MIN(Inputs!$B$21+((C202=TRUE)*(F202-Calc!F24)),Inputs!$B$22+((C207=TRUE)*(F207-Calc!F29)))/100+(Inputs!$B$22+((C207=TRUE)*(F207-Calc!F29)))/100)/2</f>
        <v/>
      </c>
      <c r="M190">
        <f>L190*(1+(Inputs!$B$9+((C204=TRUE)*(F204-Calc!F26))+B218)/100)</f>
        <v/>
      </c>
      <c r="N190">
        <f>L190*(1-MIN((Inputs!$B$8+((C203=TRUE)*(F203-Calc!F25))+B211),100)/100)+M190*(MIN((Inputs!$B$8+((C203=TRUE)*(F203-Calc!F25))+B211),100)/100)</f>
        <v/>
      </c>
      <c r="O190">
        <f>IF(C190,H190*N190*IF(AND(Inputs!$B$4&lt;&gt;"pvp",Inputs!$B$35&gt;0),((Skills!G12*((R190-1)*IF(Skills!H12&gt;0,Skills!I12/Skills!H12,1)+IF(Skills!H12&gt;0,MIN(Skills!I12,MAX(0,Inputs!$B$35-((R190-1)*IF(Inputs!$B$4="pvp",15,MAX(0.1,Skills!D12-IF(Skills!E12=TRUE,Inputs!$B$31,0))))))/Skills!H12,1)))/Inputs!$B$35),G190*Q190)*IF(Inputs!$B$4="pvp",1,(1-Summary!$B$55)*(1)+Summary!$B$55*(MIN(Skills!W12,Inputs!$B$37))),0)</f>
        <v/>
      </c>
      <c r="P190">
        <f>IF(B223=0,0,O190/B223)</f>
        <v/>
      </c>
      <c r="Q190">
        <f>IFERROR(1/IF(Inputs!$B$4="pvp",15,MAX(0.1,Skills!D12-IF(Skills!E12=TRUE,Inputs!$B$31,0))),0)</f>
        <v/>
      </c>
      <c r="R190">
        <f>IF(AND(Inputs!$B$4&lt;&gt;"pvp",Inputs!$B$35&gt;0),(INT(Inputs!$B$35/IF(Inputs!$B$4="pvp",15,MAX(0.1,Skills!D12-IF(Skills!E12=TRUE,Inputs!$B$31,0))))+1),0)</f>
        <v/>
      </c>
      <c r="S190">
        <f>IFERROR(O190/N190,0)</f>
        <v/>
      </c>
    </row>
    <row r="191">
      <c r="A191">
        <f>Skills!A13</f>
        <v/>
      </c>
      <c r="B191">
        <f>Skills!B13</f>
        <v/>
      </c>
      <c r="C191">
        <f>Inputs!$B$3&gt;=105</f>
        <v/>
      </c>
      <c r="D191">
        <f>IF(Skills!C13=1,60+Inputs!$B$24+Inputs!$B$28,IF(Skills!C13=2,90+Inputs!$B$25+Inputs!$B$28,IF(Skills!C13=3,120+Inputs!$B$26+Inputs!$B$28,MAX(0,(Inputs!$B$3-100)*3)+Inputs!$B$27+Inputs!$B$28)))</f>
        <v/>
      </c>
      <c r="E191">
        <f>INDEX(FactorTable!$B$2:$Y$301, MATCH(ROUND(MIN(300,MAX(1,D191)),0), FactorTable!$A$2:$A$301,0), Skills!M13+1)</f>
        <v/>
      </c>
      <c r="F191">
        <f>IF(Skills!N13=TRUE,(Skills!L13/10)*(E191/1000),Skills!L13/10)+Skills!O13</f>
        <v/>
      </c>
      <c r="G191">
        <f>Skills!G13*IF(Skills!H13&gt;0,Skills!I13/Skills!H13,1)</f>
        <v/>
      </c>
      <c r="H191">
        <f>1-(1-Skills!J13/100)^Skills!K13</f>
        <v/>
      </c>
      <c r="I191" t="inlineStr">
        <is>
          <t>1</t>
        </is>
      </c>
      <c r="J191">
        <f>(Inputs!$B$5*(1+Inputs!$B$6/100))*(F191/100)</f>
        <v/>
      </c>
      <c r="K191">
        <f>J191*(1+((Inputs!$B$11*(1+Inputs!$B$12/100))*0.01+Inputs!$B$13*0.0025)/100)*(1+(Inputs!$B$14+1)/100)*(1+IF(Inputs!$B$4="pvp",0,(1-Summary!$B$55)*(Inputs!$B$19+0+Skills!P13+B212)+Summary!$B$55*(Inputs!$B$20+Skills!Q13+B212))/100)*(1+Inputs!$B$15/100)*(5000/(6000+Inputs!$B$7*(1-Inputs!$B$18/100)))*(1+(Inputs!$B$23+((C208=TRUE)*(F208-Calc!F30)))/100)*(1+(IF(Skills!A13="CRUEL_STAB",Inputs!$B$16+((C205=TRUE)*(F205-Calc!F27)),Inputs!$B$17+((C206=TRUE)*(F206-Calc!F28))))/100)*(((1+(((C199=TRUE)*F199*IF(AND(Inputs!$B$4&lt;&gt;"pvp",Inputs!$B$35&gt;0),(((S199-1)*(Skills!Y21*(1+Inputs!$B$33/100))+MIN((Skills!Y21*(1+Inputs!$B$33/100)),MAX(0,Inputs!$B$35-((S199-1)*Skills!D21))))/Inputs!$B$35),IF(Inputs!$B$4="pvp",MIN((Skills!Y21*(1+Inputs!$B$33/100)),15)/15,(Skills!Y21*(1+Inputs!$B$33/100))/Skills!D21)))+((C201=TRUE)*(F201-Calc!F23))+((C195=TRUE)*(F195-Calc!F17)))/100)*(1+((C188=TRUE)*F188*IF(AND(Inputs!$B$4&lt;&gt;"pvp",Inputs!$B$35&gt;0),(((S188-1)*(Skills!Y10*(1+Inputs!$B$33/100))+MIN((Skills!Y10*(1+Inputs!$B$33/100)),MAX(0,Inputs!$B$35-((S188-1)*Skills!D10))))/Inputs!$B$35),IF(Inputs!$B$4="pvp",MIN((Skills!Y10*(1+Inputs!$B$33/100)),15)/15,(Skills!Y10*(1+Inputs!$B$33/100))/Skills!D10)))/100)*(1+((C193=TRUE)*F193*IF(AND(Inputs!$B$4&lt;&gt;"pvp",Inputs!$B$35&gt;0),(((S193-1)*(Skills!Y15*(1+Inputs!$B$33/100))+MIN((Skills!Y15*(1+Inputs!$B$33/100)),MAX(0,Inputs!$B$35-((S193-1)*Skills!D15))))/Inputs!$B$35),IF(Inputs!$B$4="pvp",MIN((Skills!Y15*(1+Inputs!$B$33/100)),15)/15,(Skills!Y15*(1+Inputs!$B$33/100))/Skills!D15)))/100))*B213*I191)</f>
        <v/>
      </c>
      <c r="L191">
        <f>K191*(MIN(Inputs!$B$21+((C202=TRUE)*(F202-Calc!F24)),Inputs!$B$22+((C207=TRUE)*(F207-Calc!F29)))/100+(Inputs!$B$22+((C207=TRUE)*(F207-Calc!F29)))/100)/2</f>
        <v/>
      </c>
      <c r="M191">
        <f>L191*(1+(Inputs!$B$9+((C204=TRUE)*(F204-Calc!F26))+B218)/100)</f>
        <v/>
      </c>
      <c r="N191">
        <f>L191*(1-MIN((Inputs!$B$8+((C203=TRUE)*(F203-Calc!F25))+B211),100)/100)+M191*(MIN((Inputs!$B$8+((C203=TRUE)*(F203-Calc!F25))+B211),100)/100)</f>
        <v/>
      </c>
      <c r="O191">
        <f>IF(C191,H191*N191*IF(AND(Inputs!$B$4&lt;&gt;"pvp",Inputs!$B$35&gt;0),((Skills!G13*((R191-1)*IF(Skills!H13&gt;0,Skills!I13/Skills!H13,1)+IF(Skills!H13&gt;0,MIN(Skills!I13,MAX(0,Inputs!$B$35-((R191-1)*IF(Inputs!$B$4="pvp",15,MAX(0.1,Skills!D13-IF(Skills!E13=TRUE,Inputs!$B$31,0))))))/Skills!H13,1)))/Inputs!$B$35),G191*Q191)*IF(Inputs!$B$4="pvp",1,(1-Summary!$B$55)*(1)+Summary!$B$55*(MIN(Skills!W13,Inputs!$B$37))),0)</f>
        <v/>
      </c>
      <c r="P191">
        <f>IF(B223=0,0,O191/B223)</f>
        <v/>
      </c>
      <c r="Q191">
        <f>IFERROR(1/IF(Inputs!$B$4="pvp",15,MAX(0.1,Skills!D13-IF(Skills!E13=TRUE,Inputs!$B$31,0))),0)</f>
        <v/>
      </c>
      <c r="R191">
        <f>IF(AND(Inputs!$B$4&lt;&gt;"pvp",Inputs!$B$35&gt;0),(INT(Inputs!$B$35/IF(Inputs!$B$4="pvp",15,MAX(0.1,Skills!D13-IF(Skills!E13=TRUE,Inputs!$B$31,0))))+1),0)</f>
        <v/>
      </c>
      <c r="S191">
        <f>IFERROR(O191/N191,0)</f>
        <v/>
      </c>
    </row>
    <row r="192">
      <c r="A192">
        <f>Skills!A14</f>
        <v/>
      </c>
      <c r="B192">
        <f>Skills!B14</f>
        <v/>
      </c>
      <c r="C192">
        <f>Inputs!$B$3&gt;=107</f>
        <v/>
      </c>
      <c r="D192">
        <f>IF(Skills!C14=1,60+Inputs!$B$24+Inputs!$B$28,IF(Skills!C14=2,90+Inputs!$B$25+Inputs!$B$28,IF(Skills!C14=3,120+Inputs!$B$26+Inputs!$B$28,MAX(0,(Inputs!$B$3-100)*3)+Inputs!$B$27+Inputs!$B$28)))</f>
        <v/>
      </c>
      <c r="E192">
        <f>INDEX(FactorTable!$B$2:$Y$301, MATCH(ROUND(MIN(300,MAX(1,D192)),0), FactorTable!$A$2:$A$301,0), Skills!M14+1)</f>
        <v/>
      </c>
      <c r="F192">
        <f>IF(Skills!N14=TRUE,(Skills!L14/10)*(E192/1000),Skills!L14/10)+Skills!O14</f>
        <v/>
      </c>
      <c r="G192">
        <f>Skills!G14*IF(Skills!H14&gt;0,Skills!I14/Skills!H14,1)</f>
        <v/>
      </c>
      <c r="H192">
        <f>1-(1-Skills!J14/100)^Skills!K14</f>
        <v/>
      </c>
      <c r="I192" t="inlineStr">
        <is>
          <t>1</t>
        </is>
      </c>
      <c r="J192">
        <f>(Inputs!$B$5*(1+Inputs!$B$6/100))*(F192/100)</f>
        <v/>
      </c>
      <c r="K192">
        <f>J192*(1+((Inputs!$B$11*(1+Inputs!$B$12/100))*0.01+Inputs!$B$13*0.0025)/100)*(1+(Inputs!$B$14+1)/100)*(1+IF(Inputs!$B$4="pvp",0,(1-Summary!$B$55)*(Inputs!$B$19+0+Skills!P14+B212)+Summary!$B$55*(Inputs!$B$20+Skills!Q14+B212))/100)*(1+Inputs!$B$15/100)*(5000/(6000+Inputs!$B$7*(1-Inputs!$B$18/100)))*(1+(Inputs!$B$23+((C208=TRUE)*(F208-Calc!F30)))/100)*(1+(IF(Skills!A14="CRUEL_STAB",Inputs!$B$16+((C205=TRUE)*(F205-Calc!F27)),Inputs!$B$17+((C206=TRUE)*(F206-Calc!F28))))/100)*(((1+(((C199=TRUE)*F199*IF(AND(Inputs!$B$4&lt;&gt;"pvp",Inputs!$B$35&gt;0),(((S199-1)*(Skills!Y21*(1+Inputs!$B$33/100))+MIN((Skills!Y21*(1+Inputs!$B$33/100)),MAX(0,Inputs!$B$35-((S199-1)*Skills!D21))))/Inputs!$B$35),IF(Inputs!$B$4="pvp",MIN((Skills!Y21*(1+Inputs!$B$33/100)),15)/15,(Skills!Y21*(1+Inputs!$B$33/100))/Skills!D21)))+((C201=TRUE)*(F201-Calc!F23))+((C195=TRUE)*(F195-Calc!F17)))/100)*(1+((C188=TRUE)*F188*IF(AND(Inputs!$B$4&lt;&gt;"pvp",Inputs!$B$35&gt;0),(((S188-1)*(Skills!Y10*(1+Inputs!$B$33/100))+MIN((Skills!Y10*(1+Inputs!$B$33/100)),MAX(0,Inputs!$B$35-((S188-1)*Skills!D10))))/Inputs!$B$35),IF(Inputs!$B$4="pvp",MIN((Skills!Y10*(1+Inputs!$B$33/100)),15)/15,(Skills!Y10*(1+Inputs!$B$33/100))/Skills!D10)))/100)*(1+((C193=TRUE)*F193*IF(AND(Inputs!$B$4&lt;&gt;"pvp",Inputs!$B$35&gt;0),(((S193-1)*(Skills!Y15*(1+Inputs!$B$33/100))+MIN((Skills!Y15*(1+Inputs!$B$33/100)),MAX(0,Inputs!$B$35-((S193-1)*Skills!D15))))/Inputs!$B$35),IF(Inputs!$B$4="pvp",MIN((Skills!Y15*(1+Inputs!$B$33/100)),15)/15,(Skills!Y15*(1+Inputs!$B$33/100))/Skills!D15)))/100))*B213*I192)</f>
        <v/>
      </c>
      <c r="L192">
        <f>K192*(MIN(Inputs!$B$21+((C202=TRUE)*(F202-Calc!F24)),Inputs!$B$22+((C207=TRUE)*(F207-Calc!F29)))/100+(Inputs!$B$22+((C207=TRUE)*(F207-Calc!F29)))/100)/2</f>
        <v/>
      </c>
      <c r="M192">
        <f>L192*(1+(Inputs!$B$9+((C204=TRUE)*(F204-Calc!F26))+B218)/100)</f>
        <v/>
      </c>
      <c r="N192">
        <f>L192*(1-MIN((Inputs!$B$8+((C203=TRUE)*(F203-Calc!F25))+B211),100)/100)+M192*(MIN((Inputs!$B$8+((C203=TRUE)*(F203-Calc!F25))+B211),100)/100)</f>
        <v/>
      </c>
      <c r="O192">
        <f>IF(C192,H192*N192*IF(AND(Inputs!$B$4&lt;&gt;"pvp",Inputs!$B$35&gt;0),((Skills!G14*((R192-1)*IF(Skills!H14&gt;0,Skills!I14/Skills!H14,1)+IF(Skills!H14&gt;0,MIN(Skills!I14,MAX(0,Inputs!$B$35-((R192-1)*IF(Inputs!$B$4="pvp",15,MAX(0.1,Skills!D14-IF(Skills!E14=TRUE,Inputs!$B$31,0))))))/Skills!H14,1)))/Inputs!$B$35),G192*Q192)*IF(Inputs!$B$4="pvp",1,(1-Summary!$B$55)*(1)+Summary!$B$55*(MIN(MIN(5,0.25*B215*Skills!D4)*Skills!V14,Inputs!$B$37))),0)</f>
        <v/>
      </c>
      <c r="P192">
        <f>IF(B223=0,0,O192/B223)</f>
        <v/>
      </c>
      <c r="Q192">
        <f>IFERROR(1/IF(Inputs!$B$4="pvp",15,MAX(0.1,Skills!D14-IF(Skills!E14=TRUE,Inputs!$B$31,0))),0)</f>
        <v/>
      </c>
      <c r="R192">
        <f>IF(AND(Inputs!$B$4&lt;&gt;"pvp",Inputs!$B$35&gt;0),(INT(Inputs!$B$35/IF(Inputs!$B$4="pvp",15,MAX(0.1,Skills!D14-IF(Skills!E14=TRUE,Inputs!$B$31,0))))+1),0)</f>
        <v/>
      </c>
      <c r="S192">
        <f>IFERROR(O192/N192,0)</f>
        <v/>
      </c>
    </row>
    <row r="193">
      <c r="A193">
        <f>Skills!A15</f>
        <v/>
      </c>
      <c r="B193">
        <f>Skills!B15</f>
        <v/>
      </c>
      <c r="C193">
        <f>Inputs!$B$3&gt;=110</f>
        <v/>
      </c>
      <c r="D193">
        <f>IF(Skills!C15=1,60+Inputs!$B$24+Inputs!$B$28,IF(Skills!C15=2,90+Inputs!$B$25+Inputs!$B$28,IF(Skills!C15=3,120+Inputs!$B$26+Inputs!$B$28,MAX(0,(Inputs!$B$3-100)*3)+Inputs!$B$27+Inputs!$B$28)))</f>
        <v/>
      </c>
      <c r="E193">
        <f>INDEX(FactorTable!$B$2:$Y$301, MATCH(ROUND(MIN(300,MAX(1,D193)),0), FactorTable!$A$2:$A$301,0), Skills!M15+1)</f>
        <v/>
      </c>
      <c r="F193">
        <f>IF(Skills!N15=TRUE,(Skills!L15/10)*(E193/1000),Skills!L15/10)+Skills!O15</f>
        <v/>
      </c>
      <c r="G193">
        <f>Skills!G15*IF(Skills!H15&gt;0,Skills!I15/Skills!H15,1)</f>
        <v/>
      </c>
      <c r="H193">
        <f>1-(1-Skills!J15/100)^Skills!K15</f>
        <v/>
      </c>
      <c r="I193" t="inlineStr">
        <is>
          <t>1</t>
        </is>
      </c>
      <c r="J193" t="inlineStr"/>
      <c r="K193" t="inlineStr"/>
      <c r="L193" t="inlineStr"/>
      <c r="M193" t="inlineStr"/>
      <c r="N193" t="inlineStr"/>
      <c r="O193" t="n">
        <v>0</v>
      </c>
      <c r="P193">
        <f>IF(B223=0,0,O193/B223)</f>
        <v/>
      </c>
      <c r="Q193">
        <f>IFERROR(1/IF(Inputs!$B$4="pvp",15,MAX(0.1,Skills!D15-IF(Skills!E15=TRUE,Inputs!$B$31,0))),0)</f>
        <v/>
      </c>
      <c r="R193">
        <f>IF(AND(Inputs!$B$4&lt;&gt;"pvp",Inputs!$B$35&gt;0),(INT(Inputs!$B$35/IF(Inputs!$B$4="pvp",15,MAX(0.1,Skills!D15-IF(Skills!E15=TRUE,Inputs!$B$31,0))))+1),0)</f>
        <v/>
      </c>
      <c r="S193">
        <f>IFERROR(O193/N193,0)</f>
        <v/>
      </c>
    </row>
    <row r="194">
      <c r="A194">
        <f>Skills!A16</f>
        <v/>
      </c>
      <c r="B194">
        <f>Skills!B16</f>
        <v/>
      </c>
      <c r="C194">
        <f>Inputs!$B$3&gt;=115</f>
        <v/>
      </c>
      <c r="D194">
        <f>IF(Skills!C16=1,60+Inputs!$B$24+Inputs!$B$28,IF(Skills!C16=2,90+Inputs!$B$25+Inputs!$B$28,IF(Skills!C16=3,120+Inputs!$B$26+Inputs!$B$28,MAX(0,(Inputs!$B$3-100)*3)+Inputs!$B$27+Inputs!$B$28)))</f>
        <v/>
      </c>
      <c r="E194">
        <f>INDEX(FactorTable!$B$2:$Y$301, MATCH(ROUND(MIN(300,MAX(1,D194)),0), FactorTable!$A$2:$A$301,0), Skills!M16+1)</f>
        <v/>
      </c>
      <c r="F194">
        <f>IF(Skills!N16=TRUE,(Skills!L16/10)*(E194/1000),Skills!L16/10)+Skills!O16</f>
        <v/>
      </c>
      <c r="G194">
        <f>Skills!G16*IF(Skills!H16&gt;0,Skills!I16/Skills!H16,1)</f>
        <v/>
      </c>
      <c r="H194">
        <f>1-(1-Skills!J16/100)^Skills!K16</f>
        <v/>
      </c>
      <c r="I194" t="inlineStr">
        <is>
          <t>1</t>
        </is>
      </c>
      <c r="J194">
        <f>(Inputs!$B$5*(1+Inputs!$B$6/100))*(F194/100)</f>
        <v/>
      </c>
      <c r="K194">
        <f>J194*(1+((Inputs!$B$11*(1+Inputs!$B$12/100))*0.01+Inputs!$B$13*0.0025)/100)*(1+(Inputs!$B$14+1)/100)*(1+IF(Inputs!$B$4="pvp",0,(1-Summary!$B$55)*(Inputs!$B$19+0+Skills!P16+B212)+Summary!$B$55*(Inputs!$B$20+Skills!Q16+B212))/100)*(1+Inputs!$B$15/100)*(5000/(6000+Inputs!$B$7*(1-Inputs!$B$18/100)))*(1+(Inputs!$B$23+((C208=TRUE)*(F208-Calc!F30)))/100)*(1+(IF(Skills!A16="CRUEL_STAB",Inputs!$B$16+((C205=TRUE)*(F205-Calc!F27)),Inputs!$B$17+((C206=TRUE)*(F206-Calc!F28))))/100)*(((1+(((C199=TRUE)*F199*IF(AND(Inputs!$B$4&lt;&gt;"pvp",Inputs!$B$35&gt;0),(((S199-1)*(Skills!Y21*(1+Inputs!$B$33/100))+MIN((Skills!Y21*(1+Inputs!$B$33/100)),MAX(0,Inputs!$B$35-((S199-1)*Skills!D21))))/Inputs!$B$35),IF(Inputs!$B$4="pvp",MIN((Skills!Y21*(1+Inputs!$B$33/100)),15)/15,(Skills!Y21*(1+Inputs!$B$33/100))/Skills!D21)))+((C201=TRUE)*(F201-Calc!F23))+((C195=TRUE)*(F195-Calc!F17)))/100)*(1+((C188=TRUE)*F188*IF(AND(Inputs!$B$4&lt;&gt;"pvp",Inputs!$B$35&gt;0),(((S188-1)*(Skills!Y10*(1+Inputs!$B$33/100))+MIN((Skills!Y10*(1+Inputs!$B$33/100)),MAX(0,Inputs!$B$35-((S188-1)*Skills!D10))))/Inputs!$B$35),IF(Inputs!$B$4="pvp",MIN((Skills!Y10*(1+Inputs!$B$33/100)),15)/15,(Skills!Y10*(1+Inputs!$B$33/100))/Skills!D10)))/100)*(1+((C193=TRUE)*F193*IF(AND(Inputs!$B$4&lt;&gt;"pvp",Inputs!$B$35&gt;0),(((S193-1)*(Skills!Y15*(1+Inputs!$B$33/100))+MIN((Skills!Y15*(1+Inputs!$B$33/100)),MAX(0,Inputs!$B$35-((S193-1)*Skills!D15))))/Inputs!$B$35),IF(Inputs!$B$4="pvp",MIN((Skills!Y15*(1+Inputs!$B$33/100)),15)/15,(Skills!Y15*(1+Inputs!$B$33/100))/Skills!D15)))/100))*B213*I194)</f>
        <v/>
      </c>
      <c r="L194">
        <f>K194*(MIN(Inputs!$B$21+((C202=TRUE)*(F202-Calc!F24)),Inputs!$B$22+((C207=TRUE)*(F207-Calc!F29)))/100+(Inputs!$B$22+((C207=TRUE)*(F207-Calc!F29)))/100)/2</f>
        <v/>
      </c>
      <c r="M194">
        <f>L194*(1+(Inputs!$B$9+((C204=TRUE)*(F204-Calc!F26))+B218)/100)</f>
        <v/>
      </c>
      <c r="N194">
        <f>L194*(1-MIN((Inputs!$B$8+((C203=TRUE)*(F203-Calc!F25))+B211),100)/100)+M194*(MIN((Inputs!$B$8+((C203=TRUE)*(F203-Calc!F25))+B211),100)/100)</f>
        <v/>
      </c>
      <c r="O194">
        <f>IF(C194,Inputs!$B$38*0.2*N194,0)</f>
        <v/>
      </c>
      <c r="P194">
        <f>IF(B223=0,0,O194/B223)</f>
        <v/>
      </c>
      <c r="Q194" t="n">
        <v>0</v>
      </c>
      <c r="R194" t="n">
        <v>0</v>
      </c>
      <c r="S194">
        <f>IFERROR(O194/N194,0)</f>
        <v/>
      </c>
    </row>
    <row r="195">
      <c r="A195">
        <f>Skills!A17</f>
        <v/>
      </c>
      <c r="B195">
        <f>Skills!B17</f>
        <v/>
      </c>
      <c r="C195">
        <f>Inputs!$B$3&gt;=115</f>
        <v/>
      </c>
      <c r="D195">
        <f>IF(Skills!C17=1,60+Inputs!$B$24+Inputs!$B$28,IF(Skills!C17=2,90+Inputs!$B$25+Inputs!$B$28,IF(Skills!C17=3,120+Inputs!$B$26+Inputs!$B$28,MAX(0,(Inputs!$B$3-100)*3)+Inputs!$B$27+Inputs!$B$28)))</f>
        <v/>
      </c>
      <c r="E195">
        <f>INDEX(FactorTable!$B$2:$Y$301, MATCH(ROUND(MIN(300,MAX(1,D195)),0), FactorTable!$A$2:$A$301,0), Skills!M17+1)</f>
        <v/>
      </c>
      <c r="F195">
        <f>IF(Skills!N17=TRUE,(Skills!L17/10)*(E195/1000),Skills!L17/10)+Skills!O17</f>
        <v/>
      </c>
      <c r="G195">
        <f>Skills!G17*IF(Skills!H17&gt;0,Skills!I17/Skills!H17,1)</f>
        <v/>
      </c>
      <c r="H195">
        <f>1-(1-Skills!J17/100)^Skills!K17</f>
        <v/>
      </c>
      <c r="I195" t="inlineStr">
        <is>
          <t>1</t>
        </is>
      </c>
      <c r="J195" t="inlineStr"/>
      <c r="K195" t="inlineStr"/>
      <c r="L195" t="inlineStr"/>
      <c r="M195" t="inlineStr"/>
      <c r="N195" t="inlineStr"/>
      <c r="O195" t="n">
        <v>0</v>
      </c>
      <c r="P195">
        <f>IF(B223=0,0,O195/B223)</f>
        <v/>
      </c>
      <c r="Q195" t="n">
        <v>0</v>
      </c>
      <c r="R195" t="n">
        <v>0</v>
      </c>
      <c r="S195">
        <f>IFERROR(O195/N195,0)</f>
        <v/>
      </c>
    </row>
    <row r="196">
      <c r="A196">
        <f>Skills!A18</f>
        <v/>
      </c>
      <c r="B196">
        <f>Skills!B18</f>
        <v/>
      </c>
      <c r="C196">
        <f>Inputs!$B$3&gt;=100</f>
        <v/>
      </c>
      <c r="D196">
        <f>IF(Skills!C18=1,60+Inputs!$B$24+Inputs!$B$28,IF(Skills!C18=2,90+Inputs!$B$25+Inputs!$B$28,IF(Skills!C18=3,120+Inputs!$B$26+Inputs!$B$28,MAX(0,(Inputs!$B$3-100)*3)+Inputs!$B$27+Inputs!$B$28)))</f>
        <v/>
      </c>
      <c r="E196">
        <f>INDEX(FactorTable!$B$2:$Y$301, MATCH(ROUND(MIN(300,MAX(1,D196)),0), FactorTable!$A$2:$A$301,0), Skills!M18+1)</f>
        <v/>
      </c>
      <c r="F196">
        <f>IF(Skills!N18=TRUE,(Skills!L18/10)*(E196/1000),Skills!L18/10)+Skills!O18</f>
        <v/>
      </c>
      <c r="G196">
        <f>Skills!G18*IF(Skills!H18&gt;0,Skills!I18/Skills!H18,1)</f>
        <v/>
      </c>
      <c r="H196">
        <f>1-(1-Skills!J18/100)^Skills!K18</f>
        <v/>
      </c>
      <c r="I196" t="inlineStr">
        <is>
          <t>1</t>
        </is>
      </c>
      <c r="J196" t="inlineStr"/>
      <c r="K196" t="inlineStr"/>
      <c r="L196" t="inlineStr"/>
      <c r="M196" t="inlineStr"/>
      <c r="N196" t="inlineStr"/>
      <c r="O196" t="n">
        <v>0</v>
      </c>
      <c r="P196">
        <f>IF(B223=0,0,O196/B223)</f>
        <v/>
      </c>
      <c r="Q196" t="n">
        <v>0</v>
      </c>
      <c r="R196" t="n">
        <v>0</v>
      </c>
      <c r="S196">
        <f>IFERROR(O196/N196,0)</f>
        <v/>
      </c>
    </row>
    <row r="197">
      <c r="A197">
        <f>Skills!A19</f>
        <v/>
      </c>
      <c r="B197">
        <f>Skills!B19</f>
        <v/>
      </c>
      <c r="C197">
        <f>TRUE</f>
        <v/>
      </c>
      <c r="D197">
        <f>IF(Skills!C19=1,60+Inputs!$B$24+Inputs!$B$28,IF(Skills!C19=2,90+Inputs!$B$25+Inputs!$B$28,IF(Skills!C19=3,120+Inputs!$B$26+Inputs!$B$28,MAX(0,(Inputs!$B$3-100)*3)+Inputs!$B$27+Inputs!$B$28)))</f>
        <v/>
      </c>
      <c r="E197">
        <f>INDEX(FactorTable!$B$2:$Y$301, MATCH(ROUND(MIN(300,MAX(1,D197)),0), FactorTable!$A$2:$A$301,0), Skills!M19+1)</f>
        <v/>
      </c>
      <c r="F197">
        <f>IF(Skills!N19=TRUE,(Skills!L19/10)*(E197/1000),Skills!L19/10)+Skills!O19</f>
        <v/>
      </c>
      <c r="G197">
        <f>Skills!G19*IF(Skills!H19&gt;0,Skills!I19/Skills!H19,1)</f>
        <v/>
      </c>
      <c r="H197">
        <f>1-(1-Skills!J19/100)^Skills!K19</f>
        <v/>
      </c>
      <c r="I197" t="inlineStr">
        <is>
          <t>1</t>
        </is>
      </c>
      <c r="J197" t="inlineStr"/>
      <c r="K197" t="inlineStr"/>
      <c r="L197" t="inlineStr"/>
      <c r="M197" t="inlineStr"/>
      <c r="N197" t="inlineStr"/>
      <c r="O197" t="n">
        <v>0</v>
      </c>
      <c r="P197">
        <f>IF(B223=0,0,O197/B223)</f>
        <v/>
      </c>
      <c r="Q197">
        <f>IFERROR(1/IF(Inputs!$B$4="pvp",15,MAX(0.1,Skills!D19-IF(Skills!E19=TRUE,Inputs!$B$31,0))),0)</f>
        <v/>
      </c>
      <c r="R197">
        <f>IF(AND(Inputs!$B$4&lt;&gt;"pvp",Inputs!$B$35&gt;0),(INT(Inputs!$B$35/IF(Inputs!$B$4="pvp",15,MAX(0.1,Skills!D19-IF(Skills!E19=TRUE,Inputs!$B$31,0))))+1),0)</f>
        <v/>
      </c>
      <c r="S197">
        <f>IFERROR(O197/N197,0)</f>
        <v/>
      </c>
    </row>
    <row r="198">
      <c r="A198">
        <f>Skills!A20</f>
        <v/>
      </c>
      <c r="B198">
        <f>Skills!B20</f>
        <v/>
      </c>
      <c r="C198">
        <f>Inputs!$B$3&gt;=15</f>
        <v/>
      </c>
      <c r="D198">
        <f>IF(Skills!C20=1,60+Inputs!$B$24+Inputs!$B$28,IF(Skills!C20=2,90+Inputs!$B$25+Inputs!$B$28,IF(Skills!C20=3,120+Inputs!$B$26+Inputs!$B$28,MAX(0,(Inputs!$B$3-100)*3)+Inputs!$B$27+Inputs!$B$28)))</f>
        <v/>
      </c>
      <c r="E198">
        <f>INDEX(FactorTable!$B$2:$Y$301, MATCH(ROUND(MIN(300,MAX(1,D198)),0), FactorTable!$A$2:$A$301,0), Skills!M20+1)</f>
        <v/>
      </c>
      <c r="F198">
        <f>IF(Skills!N20=TRUE,(Skills!L20/10)*(E198/1000),Skills!L20/10)+Skills!O20</f>
        <v/>
      </c>
      <c r="G198">
        <f>Skills!G20*IF(Skills!H20&gt;0,Skills!I20/Skills!H20,1)</f>
        <v/>
      </c>
      <c r="H198">
        <f>1-(1-Skills!J20/100)^Skills!K20</f>
        <v/>
      </c>
      <c r="I198" t="inlineStr">
        <is>
          <t>1</t>
        </is>
      </c>
      <c r="J198" t="inlineStr"/>
      <c r="K198" t="inlineStr"/>
      <c r="L198" t="inlineStr"/>
      <c r="M198" t="inlineStr"/>
      <c r="N198" t="inlineStr"/>
      <c r="O198" t="n">
        <v>0</v>
      </c>
      <c r="P198">
        <f>IF(B223=0,0,O198/B223)</f>
        <v/>
      </c>
      <c r="Q198">
        <f>IFERROR(1/IF(Inputs!$B$4="pvp",15,MAX(0.1,Skills!D20-IF(Skills!E20=TRUE,Inputs!$B$31,0))),0)</f>
        <v/>
      </c>
      <c r="R198">
        <f>IF(AND(Inputs!$B$4&lt;&gt;"pvp",Inputs!$B$35&gt;0),(INT(Inputs!$B$35/IF(Inputs!$B$4="pvp",15,MAX(0.1,Skills!D20-IF(Skills!E20=TRUE,Inputs!$B$31,0))))+1),0)</f>
        <v/>
      </c>
      <c r="S198">
        <f>IFERROR(O198/N198,0)</f>
        <v/>
      </c>
    </row>
    <row r="199">
      <c r="A199">
        <f>Skills!A21</f>
        <v/>
      </c>
      <c r="B199">
        <f>Skills!B21</f>
        <v/>
      </c>
      <c r="C199">
        <f>Inputs!$B$3&gt;=15</f>
        <v/>
      </c>
      <c r="D199">
        <f>IF(Skills!C21=1,60+Inputs!$B$24+Inputs!$B$28,IF(Skills!C21=2,90+Inputs!$B$25+Inputs!$B$28,IF(Skills!C21=3,120+Inputs!$B$26+Inputs!$B$28,MAX(0,(Inputs!$B$3-100)*3)+Inputs!$B$27+Inputs!$B$28)))</f>
        <v/>
      </c>
      <c r="E199">
        <f>INDEX(FactorTable!$B$2:$Y$301, MATCH(ROUND(MIN(300,MAX(1,D199)),0), FactorTable!$A$2:$A$301,0), Skills!M21+1)</f>
        <v/>
      </c>
      <c r="F199">
        <f>IF(Skills!N21=TRUE,(Skills!L21/10)*(E199/1000),Skills!L21/10)+Skills!O21</f>
        <v/>
      </c>
      <c r="G199">
        <f>Skills!G21*IF(Skills!H21&gt;0,Skills!I21/Skills!H21,1)</f>
        <v/>
      </c>
      <c r="H199">
        <f>1-(1-Skills!J21/100)^Skills!K21</f>
        <v/>
      </c>
      <c r="I199" t="inlineStr">
        <is>
          <t>1</t>
        </is>
      </c>
      <c r="J199" t="inlineStr"/>
      <c r="K199" t="inlineStr"/>
      <c r="L199" t="inlineStr"/>
      <c r="M199" t="inlineStr"/>
      <c r="N199" t="inlineStr"/>
      <c r="O199" t="n">
        <v>0</v>
      </c>
      <c r="P199">
        <f>IF(B223=0,0,O199/B223)</f>
        <v/>
      </c>
      <c r="Q199">
        <f>IFERROR(1/IF(Inputs!$B$4="pvp",15,MAX(0.1,Skills!D21-IF(Skills!E21=TRUE,Inputs!$B$31,0))),0)</f>
        <v/>
      </c>
      <c r="R199">
        <f>IF(AND(Inputs!$B$4&lt;&gt;"pvp",Inputs!$B$35&gt;0),(INT(Inputs!$B$35/IF(Inputs!$B$4="pvp",15,MAX(0.1,Skills!D21-IF(Skills!E21=TRUE,Inputs!$B$31,0))))+1),0)</f>
        <v/>
      </c>
      <c r="S199">
        <f>IFERROR(O199/N199,0)</f>
        <v/>
      </c>
    </row>
    <row r="200">
      <c r="A200">
        <f>Skills!A22</f>
        <v/>
      </c>
      <c r="B200">
        <f>Skills!B22</f>
        <v/>
      </c>
      <c r="C200">
        <f>Inputs!$B$3&gt;=33</f>
        <v/>
      </c>
      <c r="D200">
        <f>IF(Skills!C22=1,60+Inputs!$B$24+Inputs!$B$28,IF(Skills!C22=2,90+Inputs!$B$25+Inputs!$B$28,IF(Skills!C22=3,120+Inputs!$B$26+Inputs!$B$28,MAX(0,(Inputs!$B$3-100)*3)+Inputs!$B$27+Inputs!$B$28)))</f>
        <v/>
      </c>
      <c r="E200">
        <f>INDEX(FactorTable!$B$2:$Y$301, MATCH(ROUND(MIN(300,MAX(1,D200)),0), FactorTable!$A$2:$A$301,0), Skills!M22+1)</f>
        <v/>
      </c>
      <c r="F200">
        <f>IF(Skills!N22=TRUE,(Skills!L22/10)*(E200/1000),Skills!L22/10)+Skills!O22</f>
        <v/>
      </c>
      <c r="G200">
        <f>Skills!G22*IF(Skills!H22&gt;0,Skills!I22/Skills!H22,1)</f>
        <v/>
      </c>
      <c r="H200">
        <f>1-(1-Skills!J22/100)^Skills!K22</f>
        <v/>
      </c>
      <c r="I200" t="inlineStr">
        <is>
          <t>1</t>
        </is>
      </c>
      <c r="J200" t="inlineStr"/>
      <c r="K200" t="inlineStr"/>
      <c r="L200" t="inlineStr"/>
      <c r="M200" t="inlineStr"/>
      <c r="N200" t="inlineStr"/>
      <c r="O200" t="n">
        <v>0</v>
      </c>
      <c r="P200">
        <f>IF(B223=0,0,O200/B223)</f>
        <v/>
      </c>
      <c r="Q200" t="n">
        <v>0</v>
      </c>
      <c r="R200" t="n">
        <v>0</v>
      </c>
      <c r="S200">
        <f>IFERROR(O200/N200,0)</f>
        <v/>
      </c>
    </row>
    <row r="201">
      <c r="A201">
        <f>Skills!A23</f>
        <v/>
      </c>
      <c r="B201">
        <f>Skills!B23</f>
        <v/>
      </c>
      <c r="C201">
        <f>Inputs!$B$3&gt;=40</f>
        <v/>
      </c>
      <c r="D201">
        <f>IF(Skills!C23=1,60+Inputs!$B$24+Inputs!$B$28,IF(Skills!C23=2,90+Inputs!$B$25+Inputs!$B$28,IF(Skills!C23=3,120+Inputs!$B$26+Inputs!$B$28,MAX(0,(Inputs!$B$3-100)*3)+Inputs!$B$27+Inputs!$B$28)))</f>
        <v/>
      </c>
      <c r="E201">
        <f>INDEX(FactorTable!$B$2:$Y$301, MATCH(ROUND(MIN(300,MAX(1,D201)),0), FactorTable!$A$2:$A$301,0), Skills!M23+1)</f>
        <v/>
      </c>
      <c r="F201">
        <f>IF(Skills!N23=TRUE,(Skills!L23/10)*(E201/1000),Skills!L23/10)+Skills!O23</f>
        <v/>
      </c>
      <c r="G201">
        <f>Skills!G23*IF(Skills!H23&gt;0,Skills!I23/Skills!H23,1)</f>
        <v/>
      </c>
      <c r="H201">
        <f>1-(1-Skills!J23/100)^Skills!K23</f>
        <v/>
      </c>
      <c r="I201" t="inlineStr">
        <is>
          <t>1</t>
        </is>
      </c>
      <c r="J201" t="inlineStr"/>
      <c r="K201" t="inlineStr"/>
      <c r="L201" t="inlineStr"/>
      <c r="M201" t="inlineStr"/>
      <c r="N201" t="inlineStr"/>
      <c r="O201" t="n">
        <v>0</v>
      </c>
      <c r="P201">
        <f>IF(B223=0,0,O201/B223)</f>
        <v/>
      </c>
      <c r="Q201" t="n">
        <v>0</v>
      </c>
      <c r="R201" t="n">
        <v>0</v>
      </c>
      <c r="S201">
        <f>IFERROR(O201/N201,0)</f>
        <v/>
      </c>
    </row>
    <row r="202">
      <c r="A202">
        <f>Skills!A24</f>
        <v/>
      </c>
      <c r="B202">
        <f>Skills!B24</f>
        <v/>
      </c>
      <c r="C202">
        <f>Inputs!$B$3&gt;=43</f>
        <v/>
      </c>
      <c r="D202">
        <f>IF(Skills!C24=1,60+Inputs!$B$24+Inputs!$B$28,IF(Skills!C24=2,90+Inputs!$B$25+Inputs!$B$28,IF(Skills!C24=3,120+Inputs!$B$26+Inputs!$B$28,MAX(0,(Inputs!$B$3-100)*3)+Inputs!$B$27+Inputs!$B$28)))</f>
        <v/>
      </c>
      <c r="E202">
        <f>INDEX(FactorTable!$B$2:$Y$301, MATCH(ROUND(MIN(300,MAX(1,D202)),0), FactorTable!$A$2:$A$301,0), Skills!M24+1)</f>
        <v/>
      </c>
      <c r="F202">
        <f>IF(Skills!N24=TRUE,(Skills!L24/10)*(E202/1000),Skills!L24/10)+Skills!O24</f>
        <v/>
      </c>
      <c r="G202">
        <f>Skills!G24*IF(Skills!H24&gt;0,Skills!I24/Skills!H24,1)</f>
        <v/>
      </c>
      <c r="H202">
        <f>1-(1-Skills!J24/100)^Skills!K24</f>
        <v/>
      </c>
      <c r="I202" t="inlineStr">
        <is>
          <t>1</t>
        </is>
      </c>
      <c r="J202" t="inlineStr"/>
      <c r="K202" t="inlineStr"/>
      <c r="L202" t="inlineStr"/>
      <c r="M202" t="inlineStr"/>
      <c r="N202" t="inlineStr"/>
      <c r="O202" t="n">
        <v>0</v>
      </c>
      <c r="P202">
        <f>IF(B223=0,0,O202/B223)</f>
        <v/>
      </c>
      <c r="Q202" t="n">
        <v>0</v>
      </c>
      <c r="R202" t="n">
        <v>0</v>
      </c>
      <c r="S202">
        <f>IFERROR(O202/N202,0)</f>
        <v/>
      </c>
    </row>
    <row r="203">
      <c r="A203">
        <f>Skills!A25</f>
        <v/>
      </c>
      <c r="B203">
        <f>Skills!B25</f>
        <v/>
      </c>
      <c r="C203">
        <f>Inputs!$B$3&gt;=50</f>
        <v/>
      </c>
      <c r="D203">
        <f>IF(Skills!C25=1,60+Inputs!$B$24+Inputs!$B$28,IF(Skills!C25=2,90+Inputs!$B$25+Inputs!$B$28,IF(Skills!C25=3,120+Inputs!$B$26+Inputs!$B$28,MAX(0,(Inputs!$B$3-100)*3)+Inputs!$B$27+Inputs!$B$28)))</f>
        <v/>
      </c>
      <c r="E203">
        <f>INDEX(FactorTable!$B$2:$Y$301, MATCH(ROUND(MIN(300,MAX(1,D203)),0), FactorTable!$A$2:$A$301,0), Skills!M25+1)</f>
        <v/>
      </c>
      <c r="F203">
        <f>IF(Skills!N25=TRUE,(Skills!L25/10)*(E203/1000),Skills!L25/10)+Skills!O25</f>
        <v/>
      </c>
      <c r="G203">
        <f>Skills!G25*IF(Skills!H25&gt;0,Skills!I25/Skills!H25,1)</f>
        <v/>
      </c>
      <c r="H203">
        <f>1-(1-Skills!J25/100)^Skills!K25</f>
        <v/>
      </c>
      <c r="I203" t="inlineStr">
        <is>
          <t>1</t>
        </is>
      </c>
      <c r="J203" t="inlineStr"/>
      <c r="K203" t="inlineStr"/>
      <c r="L203" t="inlineStr"/>
      <c r="M203" t="inlineStr"/>
      <c r="N203" t="inlineStr"/>
      <c r="O203" t="n">
        <v>0</v>
      </c>
      <c r="P203">
        <f>IF(B223=0,0,O203/B223)</f>
        <v/>
      </c>
      <c r="Q203" t="n">
        <v>0</v>
      </c>
      <c r="R203" t="n">
        <v>0</v>
      </c>
      <c r="S203">
        <f>IFERROR(O203/N203,0)</f>
        <v/>
      </c>
    </row>
    <row r="204">
      <c r="A204">
        <f>Skills!A26</f>
        <v/>
      </c>
      <c r="B204">
        <f>Skills!B26</f>
        <v/>
      </c>
      <c r="C204">
        <f>Inputs!$B$3&gt;=50</f>
        <v/>
      </c>
      <c r="D204">
        <f>IF(Skills!C26=1,60+Inputs!$B$24+Inputs!$B$28,IF(Skills!C26=2,90+Inputs!$B$25+Inputs!$B$28,IF(Skills!C26=3,120+Inputs!$B$26+Inputs!$B$28,MAX(0,(Inputs!$B$3-100)*3)+Inputs!$B$27+Inputs!$B$28)))</f>
        <v/>
      </c>
      <c r="E204">
        <f>INDEX(FactorTable!$B$2:$Y$301, MATCH(ROUND(MIN(300,MAX(1,D204)),0), FactorTable!$A$2:$A$301,0), Skills!M26+1)</f>
        <v/>
      </c>
      <c r="F204">
        <f>IF(Skills!N26=TRUE,(Skills!L26/10)*(E204/1000),Skills!L26/10)+Skills!O26</f>
        <v/>
      </c>
      <c r="G204">
        <f>Skills!G26*IF(Skills!H26&gt;0,Skills!I26/Skills!H26,1)</f>
        <v/>
      </c>
      <c r="H204">
        <f>1-(1-Skills!J26/100)^Skills!K26</f>
        <v/>
      </c>
      <c r="I204" t="inlineStr">
        <is>
          <t>1</t>
        </is>
      </c>
      <c r="J204" t="inlineStr"/>
      <c r="K204" t="inlineStr"/>
      <c r="L204" t="inlineStr"/>
      <c r="M204" t="inlineStr"/>
      <c r="N204" t="inlineStr"/>
      <c r="O204" t="n">
        <v>0</v>
      </c>
      <c r="P204">
        <f>IF(B223=0,0,O204/B223)</f>
        <v/>
      </c>
      <c r="Q204" t="n">
        <v>0</v>
      </c>
      <c r="R204" t="n">
        <v>0</v>
      </c>
      <c r="S204">
        <f>IFERROR(O204/N204,0)</f>
        <v/>
      </c>
    </row>
    <row r="205">
      <c r="A205">
        <f>Skills!A27</f>
        <v/>
      </c>
      <c r="B205">
        <f>Skills!B27</f>
        <v/>
      </c>
      <c r="C205">
        <f>Inputs!$B$3&gt;=38</f>
        <v/>
      </c>
      <c r="D205">
        <f>IF(Skills!C27=1,60+Inputs!$B$24+Inputs!$B$28,IF(Skills!C27=2,90+Inputs!$B$25+Inputs!$B$28,IF(Skills!C27=3,120+Inputs!$B$26+Inputs!$B$28,MAX(0,(Inputs!$B$3-100)*3)+Inputs!$B$27+Inputs!$B$28)))</f>
        <v/>
      </c>
      <c r="E205">
        <f>INDEX(FactorTable!$B$2:$Y$301, MATCH(ROUND(MIN(300,MAX(1,D205)),0), FactorTable!$A$2:$A$301,0), Skills!M27+1)</f>
        <v/>
      </c>
      <c r="F205">
        <f>IF(Skills!N27=TRUE,(Skills!L27/10)*(E205/1000),Skills!L27/10)+Skills!O27</f>
        <v/>
      </c>
      <c r="G205">
        <f>Skills!G27*IF(Skills!H27&gt;0,Skills!I27/Skills!H27,1)</f>
        <v/>
      </c>
      <c r="H205">
        <f>1-(1-Skills!J27/100)^Skills!K27</f>
        <v/>
      </c>
      <c r="I205" t="inlineStr">
        <is>
          <t>1</t>
        </is>
      </c>
      <c r="J205" t="inlineStr"/>
      <c r="K205" t="inlineStr"/>
      <c r="L205" t="inlineStr"/>
      <c r="M205" t="inlineStr"/>
      <c r="N205" t="inlineStr"/>
      <c r="O205" t="n">
        <v>0</v>
      </c>
      <c r="P205">
        <f>IF(B223=0,0,O205/B223)</f>
        <v/>
      </c>
      <c r="Q205" t="n">
        <v>0</v>
      </c>
      <c r="R205" t="n">
        <v>0</v>
      </c>
      <c r="S205">
        <f>IFERROR(O205/N205,0)</f>
        <v/>
      </c>
    </row>
    <row r="206">
      <c r="A206">
        <f>Skills!A28</f>
        <v/>
      </c>
      <c r="B206">
        <f>Skills!B28</f>
        <v/>
      </c>
      <c r="C206">
        <f>Inputs!$B$3&gt;=120</f>
        <v/>
      </c>
      <c r="D206">
        <f>IF(Skills!C28=1,60+Inputs!$B$24+Inputs!$B$28,IF(Skills!C28=2,90+Inputs!$B$25+Inputs!$B$28,IF(Skills!C28=3,120+Inputs!$B$26+Inputs!$B$28,MAX(0,(Inputs!$B$3-100)*3)+Inputs!$B$27+Inputs!$B$28)))</f>
        <v/>
      </c>
      <c r="E206">
        <f>INDEX(FactorTable!$B$2:$Y$301, MATCH(ROUND(MIN(300,MAX(1,D206)),0), FactorTable!$A$2:$A$301,0), Skills!M28+1)</f>
        <v/>
      </c>
      <c r="F206">
        <f>IF(Skills!N28=TRUE,(Skills!L28/10)*(E206/1000),Skills!L28/10)+Skills!O28</f>
        <v/>
      </c>
      <c r="G206">
        <f>Skills!G28*IF(Skills!H28&gt;0,Skills!I28/Skills!H28,1)</f>
        <v/>
      </c>
      <c r="H206">
        <f>1-(1-Skills!J28/100)^Skills!K28</f>
        <v/>
      </c>
      <c r="I206" t="inlineStr">
        <is>
          <t>1</t>
        </is>
      </c>
      <c r="J206" t="inlineStr"/>
      <c r="K206" t="inlineStr"/>
      <c r="L206" t="inlineStr"/>
      <c r="M206" t="inlineStr"/>
      <c r="N206" t="inlineStr"/>
      <c r="O206" t="n">
        <v>0</v>
      </c>
      <c r="P206">
        <f>IF(B223=0,0,O206/B223)</f>
        <v/>
      </c>
      <c r="Q206" t="n">
        <v>0</v>
      </c>
      <c r="R206" t="n">
        <v>0</v>
      </c>
      <c r="S206">
        <f>IFERROR(O206/N206,0)</f>
        <v/>
      </c>
    </row>
    <row r="207">
      <c r="A207">
        <f>Skills!A29</f>
        <v/>
      </c>
      <c r="B207">
        <f>Skills!B29</f>
        <v/>
      </c>
      <c r="C207">
        <f>Inputs!$B$3&gt;=120</f>
        <v/>
      </c>
      <c r="D207">
        <f>IF(Skills!C29=1,60+Inputs!$B$24+Inputs!$B$28,IF(Skills!C29=2,90+Inputs!$B$25+Inputs!$B$28,IF(Skills!C29=3,120+Inputs!$B$26+Inputs!$B$28,MAX(0,(Inputs!$B$3-100)*3)+Inputs!$B$27+Inputs!$B$28)))</f>
        <v/>
      </c>
      <c r="E207">
        <f>INDEX(FactorTable!$B$2:$Y$301, MATCH(ROUND(MIN(300,MAX(1,D207)),0), FactorTable!$A$2:$A$301,0), Skills!M29+1)</f>
        <v/>
      </c>
      <c r="F207">
        <f>IF(Skills!N29=TRUE,(Skills!L29/10)*(E207/1000),Skills!L29/10)+Skills!O29</f>
        <v/>
      </c>
      <c r="G207">
        <f>Skills!G29*IF(Skills!H29&gt;0,Skills!I29/Skills!H29,1)</f>
        <v/>
      </c>
      <c r="H207">
        <f>1-(1-Skills!J29/100)^Skills!K29</f>
        <v/>
      </c>
      <c r="I207" t="inlineStr">
        <is>
          <t>1</t>
        </is>
      </c>
      <c r="J207" t="inlineStr"/>
      <c r="K207" t="inlineStr"/>
      <c r="L207" t="inlineStr"/>
      <c r="M207" t="inlineStr"/>
      <c r="N207" t="inlineStr"/>
      <c r="O207" t="n">
        <v>0</v>
      </c>
      <c r="P207">
        <f>IF(B223=0,0,O207/B223)</f>
        <v/>
      </c>
      <c r="Q207" t="n">
        <v>0</v>
      </c>
      <c r="R207" t="n">
        <v>0</v>
      </c>
      <c r="S207">
        <f>IFERROR(O207/N207,0)</f>
        <v/>
      </c>
    </row>
    <row r="208">
      <c r="A208">
        <f>Skills!A30</f>
        <v/>
      </c>
      <c r="B208">
        <f>Skills!B30</f>
        <v/>
      </c>
      <c r="C208">
        <f>Inputs!$B$3&gt;=125</f>
        <v/>
      </c>
      <c r="D208">
        <f>IF(Skills!C30=1,60+Inputs!$B$24+Inputs!$B$28,IF(Skills!C30=2,90+Inputs!$B$25+Inputs!$B$28,IF(Skills!C30=3,120+Inputs!$B$26+Inputs!$B$28,MAX(0,(Inputs!$B$3-100)*3)+Inputs!$B$27+Inputs!$B$28)))</f>
        <v/>
      </c>
      <c r="E208">
        <f>INDEX(FactorTable!$B$2:$Y$301, MATCH(ROUND(MIN(300,MAX(1,D208)),0), FactorTable!$A$2:$A$301,0), Skills!M30+1)</f>
        <v/>
      </c>
      <c r="F208">
        <f>IF(Skills!N30=TRUE,(Skills!L30/10)*(E208/1000),Skills!L30/10)+Skills!O30</f>
        <v/>
      </c>
      <c r="G208">
        <f>Skills!G30*IF(Skills!H30&gt;0,Skills!I30/Skills!H30,1)</f>
        <v/>
      </c>
      <c r="H208">
        <f>1-(1-Skills!J30/100)^Skills!K30</f>
        <v/>
      </c>
      <c r="I208" t="inlineStr">
        <is>
          <t>1</t>
        </is>
      </c>
      <c r="J208" t="inlineStr"/>
      <c r="K208" t="inlineStr"/>
      <c r="L208" t="inlineStr"/>
      <c r="M208" t="inlineStr"/>
      <c r="N208" t="inlineStr"/>
      <c r="O208" t="n">
        <v>0</v>
      </c>
      <c r="P208">
        <f>IF(B223=0,0,O208/B223)</f>
        <v/>
      </c>
      <c r="Q208" t="n">
        <v>0</v>
      </c>
      <c r="R208" t="n">
        <v>0</v>
      </c>
      <c r="S208">
        <f>IFERROR(O208/N208,0)</f>
        <v/>
      </c>
    </row>
    <row r="210">
      <c r="A210" t="inlineStr">
        <is>
          <t>Average Buff Multiplier</t>
        </is>
      </c>
      <c r="B210">
        <f>(1+(((C199=TRUE)*F199*IF(AND(Inputs!$B$4&lt;&gt;"pvp",Inputs!$B$35&gt;0),(((S199-1)*(Skills!Y21*(1+Inputs!$B$33/100))+MIN((Skills!Y21*(1+Inputs!$B$33/100)),MAX(0,Inputs!$B$35-((S199-1)*Skills!D21))))/Inputs!$B$35),IF(Inputs!$B$4="pvp",MIN((Skills!Y21*(1+Inputs!$B$33/100)),15)/15,(Skills!Y21*(1+Inputs!$B$33/100))/Skills!D21)))+((C201=TRUE)*(F201-Calc!F23))+((C195=TRUE)*(F195-Calc!F17)))/100)*(1+((C188=TRUE)*F188*IF(AND(Inputs!$B$4&lt;&gt;"pvp",Inputs!$B$35&gt;0),(((S188-1)*(Skills!Y10*(1+Inputs!$B$33/100))+MIN((Skills!Y10*(1+Inputs!$B$33/100)),MAX(0,Inputs!$B$35-((S188-1)*Skills!D10))))/Inputs!$B$35),IF(Inputs!$B$4="pvp",MIN((Skills!Y10*(1+Inputs!$B$33/100)),15)/15,(Skills!Y10*(1+Inputs!$B$33/100))/Skills!D10)))/100)*(1+((C193=TRUE)*F193*IF(AND(Inputs!$B$4&lt;&gt;"pvp",Inputs!$B$35&gt;0),(((S193-1)*(Skills!Y15*(1+Inputs!$B$33/100))+MIN((Skills!Y15*(1+Inputs!$B$33/100)),MAX(0,Inputs!$B$35-((S193-1)*Skills!D15))))/Inputs!$B$35),IF(Inputs!$B$4="pvp",MIN((Skills!Y15*(1+Inputs!$B$33/100)),15)/15,(Skills!Y15*(1+Inputs!$B$33/100))/Skills!D15)))/100)</f>
        <v/>
      </c>
    </row>
    <row r="211">
      <c r="A211" t="inlineStr">
        <is>
          <t>Global Crit Rate Bonus %</t>
        </is>
      </c>
      <c r="B211">
        <f>((C198=TRUE)*F198*IF(AND(Inputs!$B$4&lt;&gt;"pvp",Inputs!$B$35&gt;0),(((S198-1)*(Skills!Y20*(1+Inputs!$B$33/100))+MIN((Skills!Y20*(1+Inputs!$B$33/100)),MAX(0,Inputs!$B$35-((S198-1)*Skills!D20))))/Inputs!$B$35),IF(Inputs!$B$4="pvp",MIN((Skills!Y20*(1+Inputs!$B$33/100)),15)/15,(Skills!Y20*(1+Inputs!$B$33/100))/Skills!D20)))</f>
        <v/>
      </c>
    </row>
    <row r="212">
      <c r="A212" t="inlineStr">
        <is>
          <t>Global Monster Damage-Taken Bonus %</t>
        </is>
      </c>
      <c r="B212">
        <f>IF(Inputs!$B$3&gt;=82,15,0)</f>
        <v/>
      </c>
    </row>
    <row r="213">
      <c r="A213" t="inlineStr">
        <is>
          <t>Shadow Partner Average Multiplier</t>
        </is>
      </c>
      <c r="B213">
        <f>1+((C185=TRUE)*F185*(1+3.3333333333333335*IF(C196=TRUE,F196,0)/100)*I185*Skills!J7/100)/100</f>
        <v/>
      </c>
    </row>
    <row r="214">
      <c r="A214" t="inlineStr">
        <is>
          <t>Attack Speed Buff Bonus %</t>
        </is>
      </c>
      <c r="B214">
        <f>((C197=TRUE)*F197*IF(AND(Inputs!$B$4&lt;&gt;"pvp",Inputs!$B$35&gt;0),(((S197-1)*(Skills!Y19*(1+Inputs!$B$33/100))+MIN((Skills!Y19*(1+Inputs!$B$33/100)),MAX(0,Inputs!$B$35-((S197-1)*Skills!D19))))/Inputs!$B$35),IF(Inputs!$B$4="pvp",MIN((Skills!Y19*(1+Inputs!$B$33/100)),15)/15,(Skills!Y19*(1+Inputs!$B$33/100))/Skills!D19)))+((C181=TRUE)*F181*3)</f>
        <v/>
      </c>
    </row>
    <row r="215">
      <c r="A215" t="inlineStr">
        <is>
          <t>Actions Per Second</t>
        </is>
      </c>
      <c r="B215">
        <f>1+MIN(150,150*(1-(1-(Inputs!$B$10+((C200=TRUE)*(F200-Calc!F22)))/150)*(1-B214/150)))/100</f>
        <v/>
      </c>
    </row>
    <row r="216">
      <c r="A216" t="inlineStr">
        <is>
          <t>Skill + Buff Cast Rate</t>
        </is>
      </c>
      <c r="B216">
        <f>IF(AND(Inputs!$B$4&lt;&gt;"pvp",Inputs!$B$35&gt;0),SUMPRODUCT((Skills!E2:E30=TRUE)*(C180:C208=TRUE)*R180:R208*Skills!F2:F30)/Inputs!$B$35,SUMPRODUCT((Skills!E2:E30=TRUE)*(C180:C208=TRUE)*Q180:Q208*Skills!F2:F30))</f>
        <v/>
      </c>
    </row>
    <row r="217">
      <c r="A217" t="inlineStr">
        <is>
          <t>Cruel Stab Casts Per Second</t>
        </is>
      </c>
      <c r="B217">
        <f>MAX(0,B215-B216)</f>
        <v/>
      </c>
    </row>
    <row r="218">
      <c r="A218" t="inlineStr">
        <is>
          <t>Global Critical Damage Bonus % (Smokescreen Mastery Lv.113)</t>
        </is>
      </c>
      <c r="B218">
        <f>IF(Inputs!$B$3&gt;=113,30,0)*IF(AND(Inputs!$B$4&lt;&gt;"pvp",Inputs!$B$35&gt;0),(((S193-1)*(Skills!Y15*(1+Inputs!$B$33/100))+MIN((Skills!Y15*(1+Inputs!$B$33/100)),MAX(0,Inputs!$B$35-((S193-1)*Skills!D15))))/Inputs!$B$35),IF(Inputs!$B$4="pvp",MIN((Skills!Y15*(1+Inputs!$B$33/100)),15)/15,(Skills!Y15*(1+Inputs!$B$33/100))/Skills!D15))</f>
        <v/>
      </c>
    </row>
    <row r="219">
      <c r="A219" t="inlineStr">
        <is>
          <t>Meso Explosion average stack count</t>
        </is>
      </c>
      <c r="B219">
        <f>MIN(10,0.5*B215*Skills!D4)</f>
        <v/>
      </c>
    </row>
    <row r="220">
      <c r="A220" t="inlineStr">
        <is>
          <t>Blood Money average stack count</t>
        </is>
      </c>
      <c r="B220">
        <f>MIN(5,0.25*B215*Skills!D4)</f>
        <v/>
      </c>
    </row>
    <row r="221">
      <c r="A221" t="inlineStr">
        <is>
          <t>Assassinate Murderous Intent Multiplier</t>
        </is>
      </c>
      <c r="B221">
        <f>1+IFERROR(MIN(1,Q192*2/Q189),0)</f>
        <v/>
      </c>
    </row>
    <row r="223">
      <c r="A223" s="5" t="inlineStr">
        <is>
          <t>TOTAL DPS</t>
        </is>
      </c>
      <c r="B223" s="5">
        <f>SUM(O180:O208)</f>
        <v/>
      </c>
    </row>
    <row r="226">
      <c r="A226" s="5" t="inlineStr">
        <is>
          <t>Stat: DAMAGE_AMP %</t>
        </is>
      </c>
    </row>
    <row r="227">
      <c r="A227" s="8" t="inlineStr">
        <is>
          <t>Key</t>
        </is>
      </c>
      <c r="B227" s="8" t="inlineStr">
        <is>
          <t>Name</t>
        </is>
      </c>
      <c r="C227" s="8" t="inlineStr">
        <is>
          <t>Unlocked</t>
        </is>
      </c>
      <c r="D227" s="8" t="inlineStr">
        <is>
          <t>InputLevel</t>
        </is>
      </c>
      <c r="E227" s="8" t="inlineStr">
        <is>
          <t>Factor</t>
        </is>
      </c>
      <c r="F227" s="8" t="inlineStr">
        <is>
          <t>CoefficientPercent</t>
        </is>
      </c>
      <c r="G227" s="8" t="inlineStr">
        <is>
          <t>EffectiveHits</t>
        </is>
      </c>
      <c r="H227" s="8" t="inlineStr">
        <is>
          <t>ProcProbability</t>
        </is>
      </c>
      <c r="I227" s="8" t="inlineStr">
        <is>
          <t>MapleHeroMultiplier</t>
        </is>
      </c>
      <c r="J227" s="8" t="inlineStr">
        <is>
          <t>BaseDamage</t>
        </is>
      </c>
      <c r="K227" s="8" t="inlineStr">
        <is>
          <t>BaseHitDamage</t>
        </is>
      </c>
      <c r="L227" s="8" t="inlineStr">
        <is>
          <t>NonCritAvg</t>
        </is>
      </c>
      <c r="M227" s="8" t="inlineStr">
        <is>
          <t>CritAvg</t>
        </is>
      </c>
      <c r="N227" s="8" t="inlineStr">
        <is>
          <t>ExpectedDamage(perHit)</t>
        </is>
      </c>
      <c r="O227" s="8" t="inlineStr">
        <is>
          <t>DPS</t>
        </is>
      </c>
      <c r="P227" s="8" t="inlineStr">
        <is>
          <t>% of Total</t>
        </is>
      </c>
      <c r="Q227" s="8" t="inlineStr">
        <is>
          <t>InvCooldown</t>
        </is>
      </c>
      <c r="R227" s="8" t="inlineStr">
        <is>
          <t>CastsInFight</t>
        </is>
      </c>
      <c r="S227" s="8" t="inlineStr">
        <is>
          <t>HitRate(perSec)</t>
        </is>
      </c>
      <c r="U227" t="inlineStr">
        <is>
          <t>helpers</t>
        </is>
      </c>
    </row>
    <row r="228">
      <c r="A228">
        <f>Skills!A2</f>
        <v/>
      </c>
      <c r="B228">
        <f>Skills!B2</f>
        <v/>
      </c>
      <c r="C228">
        <f>Inputs!$B$3&gt;=100</f>
        <v/>
      </c>
      <c r="D228" t="inlineStr"/>
      <c r="E228" t="inlineStr"/>
      <c r="F228">
        <f>U230+Skills!O2</f>
        <v/>
      </c>
      <c r="G228">
        <f>Skills!G2*IF(Skills!H2&gt;0,Skills!I2/Skills!H2,1)</f>
        <v/>
      </c>
      <c r="H228">
        <f>1-(1-Skills!J2/100)^Skills!K2</f>
        <v/>
      </c>
      <c r="I228" t="inlineStr">
        <is>
          <t>1</t>
        </is>
      </c>
      <c r="J228">
        <f>(Inputs!$B$5*(1+Inputs!$B$6/100))*(F228/100)</f>
        <v/>
      </c>
      <c r="K228">
        <f>J228*(1+((Inputs!$B$11*(1+Inputs!$B$12/100))*0.01+Inputs!$B$13*0.0025)/100)*(1+Inputs!$B$14/100)*(1+IF(Inputs!$B$4="pvp",0,(1-Summary!$B$55)*(Inputs!$B$19+0+Skills!P2+B260)+Summary!$B$55*(Inputs!$B$20+Skills!Q2+B260))/100)*(1+(Inputs!$B$15+1)/100)*(5000/(6000+Inputs!$B$7*(1-Inputs!$B$18/100)))*(1+(Inputs!$B$23+((C256=TRUE)*(F256-Calc!F30)))/100)*(1+(IF(Skills!A2="CRUEL_STAB",Inputs!$B$16+((C253=TRUE)*(F253-Calc!F27)),Inputs!$B$17+((C254=TRUE)*(F254-Calc!F28))))/100)*(((1+(((C247=TRUE)*F247*IF(AND(Inputs!$B$4&lt;&gt;"pvp",Inputs!$B$35&gt;0),(((S247-1)*(Skills!Y21*(1+Inputs!$B$33/100))+MIN((Skills!Y21*(1+Inputs!$B$33/100)),MAX(0,Inputs!$B$35-((S247-1)*Skills!D21))))/Inputs!$B$35),IF(Inputs!$B$4="pvp",MIN((Skills!Y21*(1+Inputs!$B$33/100)),15)/15,(Skills!Y21*(1+Inputs!$B$33/100))/Skills!D21)))+((C249=TRUE)*(F249-Calc!F23))+((C243=TRUE)*(F243-Calc!F17)))/100)*(1+((C236=TRUE)*F236*IF(AND(Inputs!$B$4&lt;&gt;"pvp",Inputs!$B$35&gt;0),(((S236-1)*(Skills!Y10*(1+Inputs!$B$33/100))+MIN((Skills!Y10*(1+Inputs!$B$33/100)),MAX(0,Inputs!$B$35-((S236-1)*Skills!D10))))/Inputs!$B$35),IF(Inputs!$B$4="pvp",MIN((Skills!Y10*(1+Inputs!$B$33/100)),15)/15,(Skills!Y10*(1+Inputs!$B$33/100))/Skills!D10)))/100)*(1+((C241=TRUE)*F241*IF(AND(Inputs!$B$4&lt;&gt;"pvp",Inputs!$B$35&gt;0),(((S241-1)*(Skills!Y15*(1+Inputs!$B$33/100))+MIN((Skills!Y15*(1+Inputs!$B$33/100)),MAX(0,Inputs!$B$35-((S241-1)*Skills!D15))))/Inputs!$B$35),IF(Inputs!$B$4="pvp",MIN((Skills!Y15*(1+Inputs!$B$33/100)),15)/15,(Skills!Y15*(1+Inputs!$B$33/100))/Skills!D15)))/100))*B261*I228)</f>
        <v/>
      </c>
      <c r="L228">
        <f>K228*(MIN(Inputs!$B$21+((C250=TRUE)*(F250-Calc!F24)),Inputs!$B$22+((C255=TRUE)*(F255-Calc!F29)))/100+(Inputs!$B$22+((C255=TRUE)*(F255-Calc!F29)))/100)/2</f>
        <v/>
      </c>
      <c r="M228">
        <f>L228*(1+(Inputs!$B$9+((C252=TRUE)*(F252-Calc!F26))+B266)/100)</f>
        <v/>
      </c>
      <c r="N228">
        <f>L228*(1-MIN((Inputs!$B$8+((C251=TRUE)*(F251-Calc!F25))+B259),100)/100)+M228*(MIN((Inputs!$B$8+((C251=TRUE)*(F251-Calc!F25))+B259),100)/100)</f>
        <v/>
      </c>
      <c r="O228">
        <f>IF(C228,Skills!G2*N228*B265*IF(Inputs!$B$4="pvp",1,(1-Summary!$B$55)*(1)+Summary!$B$55*(MIN((6+Inputs!$B$32),Inputs!$B$37))),0)</f>
        <v/>
      </c>
      <c r="P228">
        <f>IF(B271=0,0,O228/B271)</f>
        <v/>
      </c>
      <c r="Q228" t="n">
        <v>0</v>
      </c>
      <c r="R228" t="n">
        <v>0</v>
      </c>
      <c r="S228">
        <f>IFERROR(O228/N228,0)</f>
        <v/>
      </c>
      <c r="U228">
        <f>MAX(0,(Inputs!$B$3-100)*3)+Inputs!$B$27+Inputs!$B$28</f>
        <v/>
      </c>
    </row>
    <row r="229">
      <c r="A229">
        <f>Skills!A3</f>
        <v/>
      </c>
      <c r="B229">
        <f>Skills!B3</f>
        <v/>
      </c>
      <c r="C229">
        <f>Inputs!$B$3&gt;=35</f>
        <v/>
      </c>
      <c r="D229">
        <f>IF(Skills!C3=1,60+Inputs!$B$24+Inputs!$B$28,IF(Skills!C3=2,90+Inputs!$B$25+Inputs!$B$28,IF(Skills!C3=3,120+Inputs!$B$26+Inputs!$B$28,MAX(0,(Inputs!$B$3-100)*3)+Inputs!$B$27+Inputs!$B$28)))</f>
        <v/>
      </c>
      <c r="E229">
        <f>INDEX(FactorTable!$B$2:$Y$301, MATCH(ROUND(MIN(300,MAX(1,D229)),0), FactorTable!$A$2:$A$301,0), Skills!M3+1)</f>
        <v/>
      </c>
      <c r="F229">
        <f>IF(Skills!N3=TRUE,(Skills!L3/10)*(E229/1000),Skills!L3/10)+Skills!O3</f>
        <v/>
      </c>
      <c r="G229">
        <f>Skills!G3*IF(Skills!H3&gt;0,Skills!I3/Skills!H3,1)</f>
        <v/>
      </c>
      <c r="H229">
        <f>1-(1-Skills!J3/100)^Skills!K3</f>
        <v/>
      </c>
      <c r="I229" t="inlineStr">
        <is>
          <t>1</t>
        </is>
      </c>
      <c r="J229" t="inlineStr"/>
      <c r="K229" t="inlineStr"/>
      <c r="L229" t="inlineStr"/>
      <c r="M229" t="inlineStr"/>
      <c r="N229" t="inlineStr"/>
      <c r="O229" t="n">
        <v>0</v>
      </c>
      <c r="P229">
        <f>IF(B271=0,0,O229/B271)</f>
        <v/>
      </c>
      <c r="Q229" t="n">
        <v>0</v>
      </c>
      <c r="R229" t="n">
        <v>0</v>
      </c>
      <c r="S229">
        <f>IFERROR(O229/N229,0)</f>
        <v/>
      </c>
      <c r="U229">
        <f>INDEX(FactorTable!$B$2:$Y$301, MATCH(ROUND(MIN(300,MAX(1,U228)),0), FactorTable!$A$2:$A$301,0), 22)</f>
        <v/>
      </c>
    </row>
    <row r="230">
      <c r="A230">
        <f>Skills!A4</f>
        <v/>
      </c>
      <c r="B230">
        <f>Skills!B4</f>
        <v/>
      </c>
      <c r="C230">
        <f>Inputs!$B$3&gt;=66</f>
        <v/>
      </c>
      <c r="D230">
        <f>IF(Skills!C4=1,60+Inputs!$B$24+Inputs!$B$28,IF(Skills!C4=2,90+Inputs!$B$25+Inputs!$B$28,IF(Skills!C4=3,120+Inputs!$B$26+Inputs!$B$28,MAX(0,(Inputs!$B$3-100)*3)+Inputs!$B$27+Inputs!$B$28)))</f>
        <v/>
      </c>
      <c r="E230">
        <f>INDEX(FactorTable!$B$2:$Y$301, MATCH(ROUND(MIN(300,MAX(1,D230)),0), FactorTable!$A$2:$A$301,0), Skills!M4+1)</f>
        <v/>
      </c>
      <c r="F230">
        <f>IF(Skills!N4=TRUE,(Skills!L4/10)*(E230/1000),Skills!L4/10)+Skills!O4</f>
        <v/>
      </c>
      <c r="G230">
        <f>Skills!G4*IF(Skills!H4&gt;0,Skills!I4/Skills!H4,1)</f>
        <v/>
      </c>
      <c r="H230">
        <f>1-(1-Skills!J4/100)^Skills!K4</f>
        <v/>
      </c>
      <c r="I230" t="inlineStr">
        <is>
          <t>1</t>
        </is>
      </c>
      <c r="J230">
        <f>(Inputs!$B$5*(1+Inputs!$B$6/100))*(F230/100)</f>
        <v/>
      </c>
      <c r="K230">
        <f>J230*(1+((Inputs!$B$11*(1+Inputs!$B$12/100))*0.01+Inputs!$B$13*0.0025)/100)*(1+Inputs!$B$14/100)*(1+IF(Inputs!$B$4="pvp",0,(1-Summary!$B$55)*(Inputs!$B$19+0+Skills!P4+B260)+Summary!$B$55*(Inputs!$B$20+Skills!Q4+B260))/100)*(1+(Inputs!$B$15+1)/100)*(5000/(6000+Inputs!$B$7*(1-Inputs!$B$18/100)))*(1+(Inputs!$B$23+((C256=TRUE)*(F256-Calc!F30)))/100)*(1+(IF(Skills!A4="CRUEL_STAB",Inputs!$B$16+((C253=TRUE)*(F253-Calc!F27)),Inputs!$B$17+((C254=TRUE)*(F254-Calc!F28))))/100)*(((1+(((C247=TRUE)*F247*IF(AND(Inputs!$B$4&lt;&gt;"pvp",Inputs!$B$35&gt;0),(((S247-1)*(Skills!Y21*(1+Inputs!$B$33/100))+MIN((Skills!Y21*(1+Inputs!$B$33/100)),MAX(0,Inputs!$B$35-((S247-1)*Skills!D21))))/Inputs!$B$35),IF(Inputs!$B$4="pvp",MIN((Skills!Y21*(1+Inputs!$B$33/100)),15)/15,(Skills!Y21*(1+Inputs!$B$33/100))/Skills!D21)))+((C249=TRUE)*(F249-Calc!F23))+((C243=TRUE)*(F243-Calc!F17)))/100)*(1+((C236=TRUE)*F236*IF(AND(Inputs!$B$4&lt;&gt;"pvp",Inputs!$B$35&gt;0),(((S236-1)*(Skills!Y10*(1+Inputs!$B$33/100))+MIN((Skills!Y10*(1+Inputs!$B$33/100)),MAX(0,Inputs!$B$35-((S236-1)*Skills!D10))))/Inputs!$B$35),IF(Inputs!$B$4="pvp",MIN((Skills!Y10*(1+Inputs!$B$33/100)),15)/15,(Skills!Y10*(1+Inputs!$B$33/100))/Skills!D10)))/100)*(1+((C241=TRUE)*F241*IF(AND(Inputs!$B$4&lt;&gt;"pvp",Inputs!$B$35&gt;0),(((S241-1)*(Skills!Y15*(1+Inputs!$B$33/100))+MIN((Skills!Y15*(1+Inputs!$B$33/100)),MAX(0,Inputs!$B$35-((S241-1)*Skills!D15))))/Inputs!$B$35),IF(Inputs!$B$4="pvp",MIN((Skills!Y15*(1+Inputs!$B$33/100)),15)/15,(Skills!Y15*(1+Inputs!$B$33/100))/Skills!D15)))/100))*B261*I230)</f>
        <v/>
      </c>
      <c r="L230">
        <f>K230*(MIN(Inputs!$B$21+((C250=TRUE)*(F250-Calc!F24)),Inputs!$B$22+((C255=TRUE)*(F255-Calc!F29)))/100+(Inputs!$B$22+((C255=TRUE)*(F255-Calc!F29)))/100)/2</f>
        <v/>
      </c>
      <c r="M230">
        <f>L230*(1+(Inputs!$B$9+((C252=TRUE)*(F252-Calc!F26))+B266)/100)</f>
        <v/>
      </c>
      <c r="N230">
        <f>L230*(1-MIN((Inputs!$B$8+((C251=TRUE)*(F251-Calc!F25))+B259),100)/100)+M230*(MIN((Inputs!$B$8+((C251=TRUE)*(F251-Calc!F25))+B259),100)/100)</f>
        <v/>
      </c>
      <c r="O230">
        <f>IF(C230,H230*N230*IF(AND(Inputs!$B$4&lt;&gt;"pvp",Inputs!$B$35&gt;0),((Skills!G4*((R230-1)*IF(Skills!H4&gt;0,Skills!I4/Skills!H4,1)+IF(Skills!H4&gt;0,MIN(Skills!I4,MAX(0,Inputs!$B$35-((R230-1)*IF(Inputs!$B$4="pvp",15,MAX(0.1,Skills!D4-IF(Skills!E4=TRUE,Inputs!$B$31,0))))))/Skills!H4,1)))/Inputs!$B$35),G230*Q230)*IF(Inputs!$B$4="pvp",1,(1-Summary!$B$55)*(1)+Summary!$B$55*(MIN(MIN(10,0.5*B263*Skills!D4),Inputs!$B$37))),0)</f>
        <v/>
      </c>
      <c r="P230">
        <f>IF(B271=0,0,O230/B271)</f>
        <v/>
      </c>
      <c r="Q230">
        <f>IFERROR(1/IF(Inputs!$B$4="pvp",15,MAX(0.1,Skills!D4-IF(Skills!E4=TRUE,Inputs!$B$31,0))),0)</f>
        <v/>
      </c>
      <c r="R230">
        <f>IF(AND(Inputs!$B$4&lt;&gt;"pvp",Inputs!$B$35&gt;0),(INT(Inputs!$B$35/IF(Inputs!$B$4="pvp",15,MAX(0.1,Skills!D4-IF(Skills!E4=TRUE,Inputs!$B$31,0))))+1),0)</f>
        <v/>
      </c>
      <c r="S230">
        <f>IFERROR(O230/N230,0)</f>
        <v/>
      </c>
      <c r="U230">
        <f>290*U229/1000</f>
        <v/>
      </c>
    </row>
    <row r="231">
      <c r="A231">
        <f>Skills!A5</f>
        <v/>
      </c>
      <c r="B231">
        <f>Skills!B5</f>
        <v/>
      </c>
      <c r="C231">
        <f>Inputs!$B$3&gt;=63</f>
        <v/>
      </c>
      <c r="D231">
        <f>IF(Skills!C5=1,60+Inputs!$B$24+Inputs!$B$28,IF(Skills!C5=2,90+Inputs!$B$25+Inputs!$B$28,IF(Skills!C5=3,120+Inputs!$B$26+Inputs!$B$28,MAX(0,(Inputs!$B$3-100)*3)+Inputs!$B$27+Inputs!$B$28)))</f>
        <v/>
      </c>
      <c r="E231">
        <f>INDEX(FactorTable!$B$2:$Y$301, MATCH(ROUND(MIN(300,MAX(1,D231)),0), FactorTable!$A$2:$A$301,0), Skills!M5+1)</f>
        <v/>
      </c>
      <c r="F231">
        <f>IF(Skills!N5=TRUE,(Skills!L5/10)*(E231/1000),Skills!L5/10)+Skills!O5</f>
        <v/>
      </c>
      <c r="G231">
        <f>Skills!G5*IF(Skills!H5&gt;0,Skills!I5/Skills!H5,1)</f>
        <v/>
      </c>
      <c r="H231">
        <f>1-(1-Skills!J5/100)^Skills!K5</f>
        <v/>
      </c>
      <c r="I231" t="inlineStr">
        <is>
          <t>1</t>
        </is>
      </c>
      <c r="J231">
        <f>(Inputs!$B$5*(1+Inputs!$B$6/100))*(F231/100)</f>
        <v/>
      </c>
      <c r="K231">
        <f>J231*(1+((Inputs!$B$11*(1+Inputs!$B$12/100))*0.01+Inputs!$B$13*0.0025)/100)*(1+Inputs!$B$14/100)*(1+IF(Inputs!$B$4="pvp",0,(1-Summary!$B$55)*(Inputs!$B$19+0+Skills!P5+B260)+Summary!$B$55*(Inputs!$B$20+Skills!Q5+B260))/100)*(1+(Inputs!$B$15+1)/100)*(5000/(6000+Inputs!$B$7*(1-Inputs!$B$18/100)))*(1+(Inputs!$B$23+((C256=TRUE)*(F256-Calc!F30)))/100)*(1+2.6666666666666665*IF(C244=TRUE,F244,0)/100)*(1+(IF(Skills!A5="CRUEL_STAB",Inputs!$B$16+((C253=TRUE)*(F253-Calc!F27)),Inputs!$B$17+((C254=TRUE)*(F254-Calc!F28))))/100)*(((1+(((C247=TRUE)*F247*IF(AND(Inputs!$B$4&lt;&gt;"pvp",Inputs!$B$35&gt;0),(((S247-1)*(Skills!Y21*(1+Inputs!$B$33/100))+MIN((Skills!Y21*(1+Inputs!$B$33/100)),MAX(0,Inputs!$B$35-((S247-1)*Skills!D21))))/Inputs!$B$35),IF(Inputs!$B$4="pvp",MIN((Skills!Y21*(1+Inputs!$B$33/100)),15)/15,(Skills!Y21*(1+Inputs!$B$33/100))/Skills!D21)))+((C249=TRUE)*(F249-Calc!F23))+((C243=TRUE)*(F243-Calc!F17)))/100)*(1+((C236=TRUE)*F236*IF(AND(Inputs!$B$4&lt;&gt;"pvp",Inputs!$B$35&gt;0),(((S236-1)*(Skills!Y10*(1+Inputs!$B$33/100))+MIN((Skills!Y10*(1+Inputs!$B$33/100)),MAX(0,Inputs!$B$35-((S236-1)*Skills!D10))))/Inputs!$B$35),IF(Inputs!$B$4="pvp",MIN((Skills!Y10*(1+Inputs!$B$33/100)),15)/15,(Skills!Y10*(1+Inputs!$B$33/100))/Skills!D10)))/100)*(1+((C241=TRUE)*F241*IF(AND(Inputs!$B$4&lt;&gt;"pvp",Inputs!$B$35&gt;0),(((S241-1)*(Skills!Y15*(1+Inputs!$B$33/100))+MIN((Skills!Y15*(1+Inputs!$B$33/100)),MAX(0,Inputs!$B$35-((S241-1)*Skills!D15))))/Inputs!$B$35),IF(Inputs!$B$4="pvp",MIN((Skills!Y15*(1+Inputs!$B$33/100)),15)/15,(Skills!Y15*(1+Inputs!$B$33/100))/Skills!D15)))/100))*B261*I231)</f>
        <v/>
      </c>
      <c r="L231">
        <f>K231*(MIN(Inputs!$B$21+((C250=TRUE)*(F250-Calc!F24)),Inputs!$B$22+((C255=TRUE)*(F255-Calc!F29)))/100+(Inputs!$B$22+((C255=TRUE)*(F255-Calc!F29)))/100)/2</f>
        <v/>
      </c>
      <c r="M231">
        <f>L231*(1+(Inputs!$B$9+((C252=TRUE)*(F252-Calc!F26))+B266)/100)</f>
        <v/>
      </c>
      <c r="N231">
        <f>L231*(1-MIN((Inputs!$B$8+((C251=TRUE)*(F251-Calc!F25))+B259),100)/100)+M231*(MIN((Inputs!$B$8+((C251=TRUE)*(F251-Calc!F25))+B259),100)/100)</f>
        <v/>
      </c>
      <c r="O231">
        <f>IF(C231,H231*N231*IF(AND(Inputs!$B$4&lt;&gt;"pvp",Inputs!$B$35&gt;0),((Skills!G5*((R231-1)*IF(Skills!H5&gt;0,Skills!I5/Skills!H5,1)+IF(Skills!H5&gt;0,MIN(Skills!I5,MAX(0,Inputs!$B$35-((R231-1)*IF(Inputs!$B$4="pvp",15,MAX(0.1,Skills!D5-IF(Skills!E5=TRUE,Inputs!$B$31,0))))))/Skills!H5,1)))/Inputs!$B$35),G231*Q231)*IF(Inputs!$B$4="pvp",1,(1-Summary!$B$55)*(1)+Summary!$B$55*(MIN(Skills!W5,Inputs!$B$37))),0)</f>
        <v/>
      </c>
      <c r="P231">
        <f>IF(B271=0,0,O231/B271)</f>
        <v/>
      </c>
      <c r="Q231">
        <f>IFERROR(1/IF(Inputs!$B$4="pvp",15,MAX(0.1,Skills!D5-IF(Skills!E5=TRUE,Inputs!$B$31,0))),0)</f>
        <v/>
      </c>
      <c r="R231">
        <f>IF(AND(Inputs!$B$4&lt;&gt;"pvp",Inputs!$B$35&gt;0),(INT(Inputs!$B$35/IF(Inputs!$B$4="pvp",15,MAX(0.1,Skills!D5-IF(Skills!E5=TRUE,Inputs!$B$31,0))))+1),0)</f>
        <v/>
      </c>
      <c r="S231">
        <f>IFERROR(O231/N231,0)</f>
        <v/>
      </c>
    </row>
    <row r="232">
      <c r="A232">
        <f>Skills!A6</f>
        <v/>
      </c>
      <c r="B232">
        <f>Skills!B6</f>
        <v/>
      </c>
      <c r="C232">
        <f>Inputs!$B$3&gt;=69</f>
        <v/>
      </c>
      <c r="D232">
        <f>IF(Skills!C6=1,60+Inputs!$B$24+Inputs!$B$28,IF(Skills!C6=2,90+Inputs!$B$25+Inputs!$B$28,IF(Skills!C6=3,120+Inputs!$B$26+Inputs!$B$28,MAX(0,(Inputs!$B$3-100)*3)+Inputs!$B$27+Inputs!$B$28)))</f>
        <v/>
      </c>
      <c r="E232">
        <f>INDEX(FactorTable!$B$2:$Y$301, MATCH(ROUND(MIN(300,MAX(1,D232)),0), FactorTable!$A$2:$A$301,0), Skills!M6+1)</f>
        <v/>
      </c>
      <c r="F232">
        <f>IF(Skills!N6=TRUE,(Skills!L6/10)*(E232/1000),Skills!L6/10)+Skills!O6</f>
        <v/>
      </c>
      <c r="G232">
        <f>Skills!G6*IF(Skills!H6&gt;0,Skills!I6/Skills!H6,1)</f>
        <v/>
      </c>
      <c r="H232">
        <f>1-(1-Skills!J6/100)^Skills!K6</f>
        <v/>
      </c>
      <c r="I232" t="inlineStr">
        <is>
          <t>1</t>
        </is>
      </c>
      <c r="J232">
        <f>(Inputs!$B$5*(1+Inputs!$B$6/100))*(F232/100)</f>
        <v/>
      </c>
      <c r="K232">
        <f>J232*(1+((Inputs!$B$11*(1+Inputs!$B$12/100))*0.01+Inputs!$B$13*0.0025)/100)*(1+Inputs!$B$14/100)*(1+IF(Inputs!$B$4="pvp",0,(1-Summary!$B$55)*(Inputs!$B$19+0+Skills!P6+B260)+Summary!$B$55*(Inputs!$B$20+Skills!Q6+B260))/100)*(1+(Inputs!$B$15+1)/100)*(5000/(6000+Inputs!$B$7*(1-Inputs!$B$18/100)))*(1+(Inputs!$B$23+((C256=TRUE)*(F256-Calc!F30)))/100)*(1+1.0*IF(C244=TRUE,F244,0)/100)*(1+(IF(Skills!A6="CRUEL_STAB",Inputs!$B$16+((C253=TRUE)*(F253-Calc!F27)),Inputs!$B$17+((C254=TRUE)*(F254-Calc!F28))))/100)*(((1+(((C247=TRUE)*F247*IF(AND(Inputs!$B$4&lt;&gt;"pvp",Inputs!$B$35&gt;0),(((S247-1)*(Skills!Y21*(1+Inputs!$B$33/100))+MIN((Skills!Y21*(1+Inputs!$B$33/100)),MAX(0,Inputs!$B$35-((S247-1)*Skills!D21))))/Inputs!$B$35),IF(Inputs!$B$4="pvp",MIN((Skills!Y21*(1+Inputs!$B$33/100)),15)/15,(Skills!Y21*(1+Inputs!$B$33/100))/Skills!D21)))+((C249=TRUE)*(F249-Calc!F23))+((C243=TRUE)*(F243-Calc!F17)))/100)*(1+((C236=TRUE)*F236*IF(AND(Inputs!$B$4&lt;&gt;"pvp",Inputs!$B$35&gt;0),(((S236-1)*(Skills!Y10*(1+Inputs!$B$33/100))+MIN((Skills!Y10*(1+Inputs!$B$33/100)),MAX(0,Inputs!$B$35-((S236-1)*Skills!D10))))/Inputs!$B$35),IF(Inputs!$B$4="pvp",MIN((Skills!Y10*(1+Inputs!$B$33/100)),15)/15,(Skills!Y10*(1+Inputs!$B$33/100))/Skills!D10)))/100)*(1+((C241=TRUE)*F241*IF(AND(Inputs!$B$4&lt;&gt;"pvp",Inputs!$B$35&gt;0),(((S241-1)*(Skills!Y15*(1+Inputs!$B$33/100))+MIN((Skills!Y15*(1+Inputs!$B$33/100)),MAX(0,Inputs!$B$35-((S241-1)*Skills!D15))))/Inputs!$B$35),IF(Inputs!$B$4="pvp",MIN((Skills!Y15*(1+Inputs!$B$33/100)),15)/15,(Skills!Y15*(1+Inputs!$B$33/100))/Skills!D15)))/100))*B261*I232)</f>
        <v/>
      </c>
      <c r="L232">
        <f>K232*(MIN(Inputs!$B$21+((C250=TRUE)*(F250-Calc!F24)),Inputs!$B$22+((C255=TRUE)*(F255-Calc!F29)))/100+(Inputs!$B$22+((C255=TRUE)*(F255-Calc!F29)))/100)/2</f>
        <v/>
      </c>
      <c r="M232">
        <f>L232*(1+(Inputs!$B$9+((C252=TRUE)*(F252-Calc!F26))+B266)/100)</f>
        <v/>
      </c>
      <c r="N232">
        <f>L232*(1-MIN((Inputs!$B$8+((C251=TRUE)*(F251-Calc!F25))+B259),100)/100)+M232*(MIN((Inputs!$B$8+((C251=TRUE)*(F251-Calc!F25))+B259),100)/100)</f>
        <v/>
      </c>
      <c r="O232">
        <f>IF(C232,H232*N232*IF(AND(Inputs!$B$4&lt;&gt;"pvp",Inputs!$B$35&gt;0),((Skills!G6*((R232-1)*IF(Skills!H6&gt;0,Skills!I6/Skills!H6,1)+IF(Skills!H6&gt;0,MIN(Skills!I6,MAX(0,Inputs!$B$35-((R232-1)*IF(Inputs!$B$4="pvp",15,MAX(0.1,Skills!D6-IF(Skills!E6=TRUE,Inputs!$B$31,0))))))/Skills!H6,1)))/Inputs!$B$35),G232*Q232)*IF(Inputs!$B$4="pvp",1,(1-Summary!$B$55)*(1)+Summary!$B$55*(MIN(Skills!W6,Inputs!$B$37))),0)</f>
        <v/>
      </c>
      <c r="P232">
        <f>IF(B271=0,0,O232/B271)</f>
        <v/>
      </c>
      <c r="Q232">
        <f>IFERROR(1/IF(Inputs!$B$4="pvp",15,MAX(0.1,Skills!D6-IF(Skills!E6=TRUE,Inputs!$B$31,0))),0)</f>
        <v/>
      </c>
      <c r="R232">
        <f>IF(AND(Inputs!$B$4&lt;&gt;"pvp",Inputs!$B$35&gt;0),(INT(Inputs!$B$35/IF(Inputs!$B$4="pvp",15,MAX(0.1,Skills!D6-IF(Skills!E6=TRUE,Inputs!$B$31,0))))+1),0)</f>
        <v/>
      </c>
      <c r="S232">
        <f>IFERROR(O232/N232,0)</f>
        <v/>
      </c>
    </row>
    <row r="233">
      <c r="A233">
        <f>Skills!A7</f>
        <v/>
      </c>
      <c r="B233">
        <f>Skills!B7</f>
        <v/>
      </c>
      <c r="C233">
        <f>Inputs!$B$3&gt;=60</f>
        <v/>
      </c>
      <c r="D233">
        <f>IF(Skills!C7=1,60+Inputs!$B$24+Inputs!$B$28,IF(Skills!C7=2,90+Inputs!$B$25+Inputs!$B$28,IF(Skills!C7=3,120+Inputs!$B$26+Inputs!$B$28,MAX(0,(Inputs!$B$3-100)*3)+Inputs!$B$27+Inputs!$B$28)))</f>
        <v/>
      </c>
      <c r="E233">
        <f>INDEX(FactorTable!$B$2:$Y$301, MATCH(ROUND(MIN(300,MAX(1,D233)),0), FactorTable!$A$2:$A$301,0), Skills!M7+1)</f>
        <v/>
      </c>
      <c r="F233">
        <f>IF(Skills!N7=TRUE,(Skills!L7/10)*(E233/1000),Skills!L7/10)+Skills!O7</f>
        <v/>
      </c>
      <c r="G233">
        <f>Skills!G7*IF(Skills!H7&gt;0,Skills!I7/Skills!H7,1)</f>
        <v/>
      </c>
      <c r="H233">
        <f>1-(1-Skills!J7/100)^Skills!K7</f>
        <v/>
      </c>
      <c r="I233" t="inlineStr">
        <is>
          <t>1</t>
        </is>
      </c>
      <c r="J233" t="inlineStr"/>
      <c r="K233" t="inlineStr"/>
      <c r="L233" t="inlineStr"/>
      <c r="M233" t="inlineStr"/>
      <c r="N233" t="inlineStr"/>
      <c r="O233" t="n">
        <v>0</v>
      </c>
      <c r="P233">
        <f>IF(B271=0,0,O233/B271)</f>
        <v/>
      </c>
      <c r="Q233" t="n">
        <v>0</v>
      </c>
      <c r="R233" t="n">
        <v>0</v>
      </c>
      <c r="S233">
        <f>IFERROR(O233/N233,0)</f>
        <v/>
      </c>
    </row>
    <row r="234">
      <c r="A234">
        <f>Skills!A8</f>
        <v/>
      </c>
      <c r="B234">
        <f>Skills!B8</f>
        <v/>
      </c>
      <c r="C234">
        <f>Inputs!$B$3&gt;=72</f>
        <v/>
      </c>
      <c r="D234">
        <f>IF(Skills!C8=1,60+Inputs!$B$24+Inputs!$B$28,IF(Skills!C8=2,90+Inputs!$B$25+Inputs!$B$28,IF(Skills!C8=3,120+Inputs!$B$26+Inputs!$B$28,MAX(0,(Inputs!$B$3-100)*3)+Inputs!$B$27+Inputs!$B$28)))</f>
        <v/>
      </c>
      <c r="E234">
        <f>INDEX(FactorTable!$B$2:$Y$301, MATCH(ROUND(MIN(300,MAX(1,D234)),0), FactorTable!$A$2:$A$301,0), Skills!M8+1)</f>
        <v/>
      </c>
      <c r="F234">
        <f>IF(Skills!N8=TRUE,(Skills!L8/10)*(E234/1000),Skills!L8/10)+Skills!O8</f>
        <v/>
      </c>
      <c r="G234">
        <f>Skills!G8*IF(Skills!H8&gt;0,Skills!I8/Skills!H8,1)</f>
        <v/>
      </c>
      <c r="H234">
        <f>1-(1-Skills!J8/100)^Skills!K8</f>
        <v/>
      </c>
      <c r="I234" t="inlineStr">
        <is>
          <t>1</t>
        </is>
      </c>
      <c r="J234">
        <f>(Inputs!$B$5*(1+Inputs!$B$6/100))*(F234/100)</f>
        <v/>
      </c>
      <c r="K234">
        <f>J234*(1+((Inputs!$B$11*(1+Inputs!$B$12/100))*0.01+Inputs!$B$13*0.0025)/100)*(1+Inputs!$B$14/100)*(1+IF(Inputs!$B$4="pvp",0,(1-Summary!$B$55)*(Inputs!$B$19+0+Skills!P8+B260)+Summary!$B$55*(Inputs!$B$20+Skills!Q8+B260))/100)*(1+(Inputs!$B$15+1)/100)*(5000/(6000+Inputs!$B$7*(1-Inputs!$B$18/100)))*(1+(Inputs!$B$23+((C256=TRUE)*(F256-Calc!F30)))/100)*(1+3.3333333333333335*IF(C244=TRUE,F244,0)/100)*(1+(IF(Skills!A8="CRUEL_STAB",Inputs!$B$16+((C253=TRUE)*(F253-Calc!F27)),Inputs!$B$17+((C254=TRUE)*(F254-Calc!F28))))/100)*(((1+(((C247=TRUE)*F247*IF(AND(Inputs!$B$4&lt;&gt;"pvp",Inputs!$B$35&gt;0),(((S247-1)*(Skills!Y21*(1+Inputs!$B$33/100))+MIN((Skills!Y21*(1+Inputs!$B$33/100)),MAX(0,Inputs!$B$35-((S247-1)*Skills!D21))))/Inputs!$B$35),IF(Inputs!$B$4="pvp",MIN((Skills!Y21*(1+Inputs!$B$33/100)),15)/15,(Skills!Y21*(1+Inputs!$B$33/100))/Skills!D21)))+((C249=TRUE)*(F249-Calc!F23))+((C243=TRUE)*(F243-Calc!F17)))/100)*(1+((C236=TRUE)*F236*IF(AND(Inputs!$B$4&lt;&gt;"pvp",Inputs!$B$35&gt;0),(((S236-1)*(Skills!Y10*(1+Inputs!$B$33/100))+MIN((Skills!Y10*(1+Inputs!$B$33/100)),MAX(0,Inputs!$B$35-((S236-1)*Skills!D10))))/Inputs!$B$35),IF(Inputs!$B$4="pvp",MIN((Skills!Y10*(1+Inputs!$B$33/100)),15)/15,(Skills!Y10*(1+Inputs!$B$33/100))/Skills!D10)))/100)*(1+((C241=TRUE)*F241*IF(AND(Inputs!$B$4&lt;&gt;"pvp",Inputs!$B$35&gt;0),(((S241-1)*(Skills!Y15*(1+Inputs!$B$33/100))+MIN((Skills!Y15*(1+Inputs!$B$33/100)),MAX(0,Inputs!$B$35-((S241-1)*Skills!D15))))/Inputs!$B$35),IF(Inputs!$B$4="pvp",MIN((Skills!Y15*(1+Inputs!$B$33/100)),15)/15,(Skills!Y15*(1+Inputs!$B$33/100))/Skills!D15)))/100))*B261*I234)</f>
        <v/>
      </c>
      <c r="L234">
        <f>K234*(MIN(Inputs!$B$21+((C250=TRUE)*(F250-Calc!F24)),Inputs!$B$22+((C255=TRUE)*(F255-Calc!F29)))/100+(Inputs!$B$22+((C255=TRUE)*(F255-Calc!F29)))/100)/2</f>
        <v/>
      </c>
      <c r="M234">
        <f>L234*(1+(Inputs!$B$9+((C252=TRUE)*(F252-Calc!F26))+B266)/100)</f>
        <v/>
      </c>
      <c r="N234">
        <f>L234*(1-MIN((Inputs!$B$8+((C251=TRUE)*(F251-Calc!F25))+B259),100)/100)+M234*(MIN((Inputs!$B$8+((C251=TRUE)*(F251-Calc!F25))+B259),100)/100)</f>
        <v/>
      </c>
      <c r="O234">
        <f>IF(C234,H234*N234*IF(AND(Inputs!$B$4&lt;&gt;"pvp",Inputs!$B$35&gt;0),((Skills!G8*((R234-1)*IF(Skills!H8&gt;0,Skills!I8/Skills!H8,1)+IF(Skills!H8&gt;0,MIN(Skills!I8,MAX(0,Inputs!$B$35-((R234-1)*IF(Inputs!$B$4="pvp",15,MAX(0.1,Skills!D8-IF(Skills!E8=TRUE,Inputs!$B$31,0))))))/Skills!H8,1)))/Inputs!$B$35),G234*Q234)*IF(Inputs!$B$4="pvp",1,(1-Summary!$B$55)*(1)+Summary!$B$55*(MIN(Skills!W8,Inputs!$B$37))),0)</f>
        <v/>
      </c>
      <c r="P234">
        <f>IF(B271=0,0,O234/B271)</f>
        <v/>
      </c>
      <c r="Q234">
        <f>IFERROR(1/IF(Inputs!$B$4="pvp",15,MAX(0.1,Skills!D8-IF(Skills!E8=TRUE,Inputs!$B$31,0))),0)</f>
        <v/>
      </c>
      <c r="R234">
        <f>IF(AND(Inputs!$B$4&lt;&gt;"pvp",Inputs!$B$35&gt;0),(INT(Inputs!$B$35/IF(Inputs!$B$4="pvp",15,MAX(0.1,Skills!D8-IF(Skills!E8=TRUE,Inputs!$B$31,0))))+1),0)</f>
        <v/>
      </c>
      <c r="S234">
        <f>IFERROR(O234/N234,0)</f>
        <v/>
      </c>
    </row>
    <row r="235">
      <c r="A235">
        <f>Skills!A9</f>
        <v/>
      </c>
      <c r="B235">
        <f>Skills!B9</f>
        <v/>
      </c>
      <c r="C235">
        <f>Inputs!$B$3&gt;=117</f>
        <v/>
      </c>
      <c r="D235">
        <f>IF(Skills!C9=1,60+Inputs!$B$24+Inputs!$B$28,IF(Skills!C9=2,90+Inputs!$B$25+Inputs!$B$28,IF(Skills!C9=3,120+Inputs!$B$26+Inputs!$B$28,MAX(0,(Inputs!$B$3-100)*3)+Inputs!$B$27+Inputs!$B$28)))</f>
        <v/>
      </c>
      <c r="E235">
        <f>INDEX(FactorTable!$B$2:$Y$301, MATCH(ROUND(MIN(300,MAX(1,D235)),0), FactorTable!$A$2:$A$301,0), Skills!M9+1)</f>
        <v/>
      </c>
      <c r="F235">
        <f>IF(Skills!N9=TRUE,(Skills!L9/10)*(E235/1000),Skills!L9/10)+Skills!O9</f>
        <v/>
      </c>
      <c r="G235">
        <f>Skills!G9*IF(Skills!H9&gt;0,Skills!I9/Skills!H9,1)</f>
        <v/>
      </c>
      <c r="H235">
        <f>1-(1-Skills!J9/100)^Skills!K9</f>
        <v/>
      </c>
      <c r="I235" t="inlineStr">
        <is>
          <t>1</t>
        </is>
      </c>
      <c r="J235">
        <f>(Inputs!$B$5*(1+Inputs!$B$6/100))*(F235/100)</f>
        <v/>
      </c>
      <c r="K235">
        <f>J235*(1+((Inputs!$B$11*(1+Inputs!$B$12/100))*0.01+Inputs!$B$13*0.0025)/100)*(1+Inputs!$B$14/100)*(1+IF(Inputs!$B$4="pvp",0,(1-Summary!$B$55)*(Inputs!$B$19+0+Skills!P9+B260)+Summary!$B$55*(Inputs!$B$20+Skills!Q9+B260))/100)*(1+(Inputs!$B$15+1)/100)*(5000/(6000+Inputs!$B$7*(1-Inputs!$B$18/100)))*(1+(Inputs!$B$23+((C256=TRUE)*(F256-Calc!F30)))/100)*(1+(IF(Skills!A9="CRUEL_STAB",Inputs!$B$16+((C253=TRUE)*(F253-Calc!F27)),Inputs!$B$17+((C254=TRUE)*(F254-Calc!F28))))/100)*(((1+(((C247=TRUE)*F247*IF(AND(Inputs!$B$4&lt;&gt;"pvp",Inputs!$B$35&gt;0),(((S247-1)*(Skills!Y21*(1+Inputs!$B$33/100))+MIN((Skills!Y21*(1+Inputs!$B$33/100)),MAX(0,Inputs!$B$35-((S247-1)*Skills!D21))))/Inputs!$B$35),IF(Inputs!$B$4="pvp",MIN((Skills!Y21*(1+Inputs!$B$33/100)),15)/15,(Skills!Y21*(1+Inputs!$B$33/100))/Skills!D21)))+((C249=TRUE)*(F249-Calc!F23))+((C243=TRUE)*(F243-Calc!F17)))/100)*(1+((C236=TRUE)*F236*IF(AND(Inputs!$B$4&lt;&gt;"pvp",Inputs!$B$35&gt;0),(((S236-1)*(Skills!Y10*(1+Inputs!$B$33/100))+MIN((Skills!Y10*(1+Inputs!$B$33/100)),MAX(0,Inputs!$B$35-((S236-1)*Skills!D10))))/Inputs!$B$35),IF(Inputs!$B$4="pvp",MIN((Skills!Y10*(1+Inputs!$B$33/100)),15)/15,(Skills!Y10*(1+Inputs!$B$33/100))/Skills!D10)))/100)*(1+((C241=TRUE)*F241*IF(AND(Inputs!$B$4&lt;&gt;"pvp",Inputs!$B$35&gt;0),(((S241-1)*(Skills!Y15*(1+Inputs!$B$33/100))+MIN((Skills!Y15*(1+Inputs!$B$33/100)),MAX(0,Inputs!$B$35-((S241-1)*Skills!D15))))/Inputs!$B$35),IF(Inputs!$B$4="pvp",MIN((Skills!Y15*(1+Inputs!$B$33/100)),15)/15,(Skills!Y15*(1+Inputs!$B$33/100))/Skills!D15)))/100))*B261*I235)</f>
        <v/>
      </c>
      <c r="L235">
        <f>K235*(MIN(Inputs!$B$21+((C250=TRUE)*(F250-Calc!F24)),Inputs!$B$22+((C255=TRUE)*(F255-Calc!F29)))/100+(Inputs!$B$22+((C255=TRUE)*(F255-Calc!F29)))/100)/2</f>
        <v/>
      </c>
      <c r="M235">
        <f>L235*(1+(Inputs!$B$9+((C252=TRUE)*(F252-Calc!F26))+B266)/100)</f>
        <v/>
      </c>
      <c r="N235">
        <f>L235*(1-MIN((Inputs!$B$8+((C251=TRUE)*(F251-Calc!F25))+B259),100)/100)+M235*(MIN((Inputs!$B$8+((C251=TRUE)*(F251-Calc!F25))+B259),100)/100)</f>
        <v/>
      </c>
      <c r="O235">
        <f>IF(C235,0.2*SUMPRODUCT((Skills!Z2:Z30=TRUE)*(C228:C256=TRUE)*S228:S256)*N235,0)</f>
        <v/>
      </c>
      <c r="P235">
        <f>IF(B271=0,0,O235/B271)</f>
        <v/>
      </c>
      <c r="Q235" t="n">
        <v>0</v>
      </c>
      <c r="R235" t="n">
        <v>0</v>
      </c>
      <c r="S235" t="n">
        <v>0</v>
      </c>
    </row>
    <row r="236">
      <c r="A236">
        <f>Skills!A10</f>
        <v/>
      </c>
      <c r="B236">
        <f>Skills!B10</f>
        <v/>
      </c>
      <c r="C236">
        <f>Inputs!$B$3&gt;=74</f>
        <v/>
      </c>
      <c r="D236">
        <f>IF(Skills!C10=1,60+Inputs!$B$24+Inputs!$B$28,IF(Skills!C10=2,90+Inputs!$B$25+Inputs!$B$28,IF(Skills!C10=3,120+Inputs!$B$26+Inputs!$B$28,MAX(0,(Inputs!$B$3-100)*3)+Inputs!$B$27+Inputs!$B$28)))</f>
        <v/>
      </c>
      <c r="E236">
        <f>INDEX(FactorTable!$B$2:$Y$301, MATCH(ROUND(MIN(300,MAX(1,D236)),0), FactorTable!$A$2:$A$301,0), Skills!M10+1)</f>
        <v/>
      </c>
      <c r="F236">
        <f>IF(Skills!N10=TRUE,(Skills!L10/10)*(E236/1000),Skills!L10/10)+Skills!O10</f>
        <v/>
      </c>
      <c r="G236">
        <f>Skills!G10*IF(Skills!H10&gt;0,Skills!I10/Skills!H10,1)</f>
        <v/>
      </c>
      <c r="H236">
        <f>1-(1-Skills!J10/100)^Skills!K10</f>
        <v/>
      </c>
      <c r="I236" t="inlineStr">
        <is>
          <t>1</t>
        </is>
      </c>
      <c r="J236" t="inlineStr"/>
      <c r="K236" t="inlineStr"/>
      <c r="L236" t="inlineStr"/>
      <c r="M236" t="inlineStr"/>
      <c r="N236" t="inlineStr"/>
      <c r="O236" t="n">
        <v>0</v>
      </c>
      <c r="P236">
        <f>IF(B271=0,0,O236/B271)</f>
        <v/>
      </c>
      <c r="Q236">
        <f>IFERROR(1/IF(Inputs!$B$4="pvp",15,MAX(0.1,Skills!D10-IF(Skills!E10=TRUE,Inputs!$B$31,0))),0)</f>
        <v/>
      </c>
      <c r="R236">
        <f>IF(AND(Inputs!$B$4&lt;&gt;"pvp",Inputs!$B$35&gt;0),(INT(Inputs!$B$35/IF(Inputs!$B$4="pvp",15,MAX(0.1,Skills!D10-IF(Skills!E10=TRUE,Inputs!$B$31,0))))+1),0)</f>
        <v/>
      </c>
      <c r="S236">
        <f>IFERROR(O236/N236,0)</f>
        <v/>
      </c>
    </row>
    <row r="237">
      <c r="A237">
        <f>Skills!A11</f>
        <v/>
      </c>
      <c r="B237">
        <f>Skills!B11</f>
        <v/>
      </c>
      <c r="C237">
        <f>Inputs!$B$3&gt;=103</f>
        <v/>
      </c>
      <c r="D237">
        <f>IF(Skills!C11=1,60+Inputs!$B$24+Inputs!$B$28,IF(Skills!C11=2,90+Inputs!$B$25+Inputs!$B$28,IF(Skills!C11=3,120+Inputs!$B$26+Inputs!$B$28,MAX(0,(Inputs!$B$3-100)*3)+Inputs!$B$27+Inputs!$B$28)))</f>
        <v/>
      </c>
      <c r="E237">
        <f>INDEX(FactorTable!$B$2:$Y$301, MATCH(ROUND(MIN(300,MAX(1,D237)),0), FactorTable!$A$2:$A$301,0), Skills!M11+1)</f>
        <v/>
      </c>
      <c r="F237">
        <f>(Skills!L11/10)*(E237/1000)+IF(Inputs!$B$3&gt;=134,50,0)+0.5*(30000/10)*(INDEX(FactorTable!$B$2:$Y$301, MATCH(ROUND(MIN(300,MAX(1,D237)),0), FactorTable!$A$2:$A$301,0), 13)/1000)*B269</f>
        <v/>
      </c>
      <c r="G237">
        <f>Skills!G11*IF(Skills!H11&gt;0,Skills!I11/Skills!H11,1)</f>
        <v/>
      </c>
      <c r="H237">
        <f>1-(1-Skills!J11/100)^Skills!K11</f>
        <v/>
      </c>
      <c r="I237" t="inlineStr">
        <is>
          <t>1</t>
        </is>
      </c>
      <c r="J237">
        <f>(Inputs!$B$5*(1+Inputs!$B$6/100))*(F237/100)</f>
        <v/>
      </c>
      <c r="K237">
        <f>J237*(1+((Inputs!$B$11*(1+Inputs!$B$12/100))*0.01+Inputs!$B$13*0.0025)/100)*(1+Inputs!$B$14/100)*(1+IF(Inputs!$B$4="pvp",0,(1-Summary!$B$55)*(Inputs!$B$19+0+Skills!P11+B260)+Summary!$B$55*(Inputs!$B$20+Skills!Q11+B260))/100)*(1+(Inputs!$B$15+1)/100)*(5000/(6000+Inputs!$B$7*(1-Inputs!$B$18/100)))*(1+(Inputs!$B$23+((C256=TRUE)*(F256-Calc!F30)))/100)*(1+(IF(Skills!A11="CRUEL_STAB",Inputs!$B$16+((C253=TRUE)*(F253-Calc!F27)),Inputs!$B$17+((C254=TRUE)*(F254-Calc!F28))))/100)*(((1+(((C247=TRUE)*F247*IF(AND(Inputs!$B$4&lt;&gt;"pvp",Inputs!$B$35&gt;0),(((S247-1)*(Skills!Y21*(1+Inputs!$B$33/100))+MIN((Skills!Y21*(1+Inputs!$B$33/100)),MAX(0,Inputs!$B$35-((S247-1)*Skills!D21))))/Inputs!$B$35),IF(Inputs!$B$4="pvp",MIN((Skills!Y21*(1+Inputs!$B$33/100)),15)/15,(Skills!Y21*(1+Inputs!$B$33/100))/Skills!D21)))+((C249=TRUE)*(F249-Calc!F23))+((C243=TRUE)*(F243-Calc!F17)))/100)*(1+((C236=TRUE)*F236*IF(AND(Inputs!$B$4&lt;&gt;"pvp",Inputs!$B$35&gt;0),(((S236-1)*(Skills!Y10*(1+Inputs!$B$33/100))+MIN((Skills!Y10*(1+Inputs!$B$33/100)),MAX(0,Inputs!$B$35-((S236-1)*Skills!D10))))/Inputs!$B$35),IF(Inputs!$B$4="pvp",MIN((Skills!Y10*(1+Inputs!$B$33/100)),15)/15,(Skills!Y10*(1+Inputs!$B$33/100))/Skills!D10)))/100)*(1+((C241=TRUE)*F241*IF(AND(Inputs!$B$4&lt;&gt;"pvp",Inputs!$B$35&gt;0),(((S241-1)*(Skills!Y15*(1+Inputs!$B$33/100))+MIN((Skills!Y15*(1+Inputs!$B$33/100)),MAX(0,Inputs!$B$35-((S241-1)*Skills!D15))))/Inputs!$B$35),IF(Inputs!$B$4="pvp",MIN((Skills!Y15*(1+Inputs!$B$33/100)),15)/15,(Skills!Y15*(1+Inputs!$B$33/100))/Skills!D15)))/100))*B261*I237)</f>
        <v/>
      </c>
      <c r="L237">
        <f>K237*(MIN(Inputs!$B$21+((C250=TRUE)*(F250-Calc!F24)),Inputs!$B$22+((C255=TRUE)*(F255-Calc!F29)))/100+(Inputs!$B$22+((C255=TRUE)*(F255-Calc!F29)))/100)/2</f>
        <v/>
      </c>
      <c r="M237">
        <f>L237*(1+(Inputs!$B$9+((C252=TRUE)*(F252-Calc!F26))+B266)/100)</f>
        <v/>
      </c>
      <c r="N237">
        <f>L237*(1-MIN((Inputs!$B$8+((C251=TRUE)*(F251-Calc!F25))+B259),100)/100)+M237*(MIN((Inputs!$B$8+((C251=TRUE)*(F251-Calc!F25))+B259),100)/100)</f>
        <v/>
      </c>
      <c r="O237">
        <f>IF(C237,H237*N237*IF(AND(Inputs!$B$4&lt;&gt;"pvp",Inputs!$B$35&gt;0),((Skills!G11*((R237-1)*IF(Skills!H11&gt;0,Skills!I11/Skills!H11,1)+IF(Skills!H11&gt;0,MIN(Skills!I11,MAX(0,Inputs!$B$35-((R237-1)*IF(Inputs!$B$4="pvp",15,MAX(0.1,Skills!D11-IF(Skills!E11=TRUE,Inputs!$B$31,0))))))/Skills!H11,1)))/Inputs!$B$35),G237*Q237)*IF(Inputs!$B$4="pvp",1,(1-Summary!$B$55)*(1)+Summary!$B$55*(MIN(Skills!W11,Inputs!$B$37))),0)</f>
        <v/>
      </c>
      <c r="P237">
        <f>IF(B271=0,0,O237/B271)</f>
        <v/>
      </c>
      <c r="Q237">
        <f>IFERROR(1/IF(Inputs!$B$4="pvp",15,MAX(0.1,Skills!D11-IF(Skills!E11=TRUE,Inputs!$B$31,0))),0)</f>
        <v/>
      </c>
      <c r="R237">
        <f>IF(AND(Inputs!$B$4&lt;&gt;"pvp",Inputs!$B$35&gt;0),(INT(Inputs!$B$35/IF(Inputs!$B$4="pvp",15,MAX(0.1,Skills!D11-IF(Skills!E11=TRUE,Inputs!$B$31,0))))+1),0)</f>
        <v/>
      </c>
      <c r="S237">
        <f>IFERROR(O237/N237,0)</f>
        <v/>
      </c>
    </row>
    <row r="238">
      <c r="A238">
        <f>Skills!A12</f>
        <v/>
      </c>
      <c r="B238">
        <f>Skills!B12</f>
        <v/>
      </c>
      <c r="C238">
        <f>Inputs!$B$3&gt;=105</f>
        <v/>
      </c>
      <c r="D238">
        <f>IF(Skills!C12=1,60+Inputs!$B$24+Inputs!$B$28,IF(Skills!C12=2,90+Inputs!$B$25+Inputs!$B$28,IF(Skills!C12=3,120+Inputs!$B$26+Inputs!$B$28,MAX(0,(Inputs!$B$3-100)*3)+Inputs!$B$27+Inputs!$B$28)))</f>
        <v/>
      </c>
      <c r="E238">
        <f>INDEX(FactorTable!$B$2:$Y$301, MATCH(ROUND(MIN(300,MAX(1,D238)),0), FactorTable!$A$2:$A$301,0), Skills!M12+1)</f>
        <v/>
      </c>
      <c r="F238">
        <f>IF(Skills!N12=TRUE,(Skills!L12/10)*(E238/1000),Skills!L12/10)+Skills!O12</f>
        <v/>
      </c>
      <c r="G238">
        <f>Skills!G12*IF(Skills!H12&gt;0,Skills!I12/Skills!H12,1)</f>
        <v/>
      </c>
      <c r="H238">
        <f>1-(1-Skills!J12/100)^Skills!K12</f>
        <v/>
      </c>
      <c r="I238" t="inlineStr">
        <is>
          <t>1</t>
        </is>
      </c>
      <c r="J238">
        <f>(Inputs!$B$5*(1+Inputs!$B$6/100))*(F238/100)</f>
        <v/>
      </c>
      <c r="K238">
        <f>J238*(1+((Inputs!$B$11*(1+Inputs!$B$12/100))*0.01+Inputs!$B$13*0.0025)/100)*(1+Inputs!$B$14/100)*(1+IF(Inputs!$B$4="pvp",0,(1-Summary!$B$55)*(Inputs!$B$19+0+Skills!P12+B260)+Summary!$B$55*(Inputs!$B$20+Skills!Q12+B260))/100)*(1+(Inputs!$B$15+1)/100)*(5000/(6000+Inputs!$B$7*(1-Inputs!$B$18/100)))*(1+(Inputs!$B$23+((C256=TRUE)*(F256-Calc!F30)))/100)*(1+(IF(Skills!A12="CRUEL_STAB",Inputs!$B$16+((C253=TRUE)*(F253-Calc!F27)),Inputs!$B$17+((C254=TRUE)*(F254-Calc!F28))))/100)*(((1+(((C247=TRUE)*F247*IF(AND(Inputs!$B$4&lt;&gt;"pvp",Inputs!$B$35&gt;0),(((S247-1)*(Skills!Y21*(1+Inputs!$B$33/100))+MIN((Skills!Y21*(1+Inputs!$B$33/100)),MAX(0,Inputs!$B$35-((S247-1)*Skills!D21))))/Inputs!$B$35),IF(Inputs!$B$4="pvp",MIN((Skills!Y21*(1+Inputs!$B$33/100)),15)/15,(Skills!Y21*(1+Inputs!$B$33/100))/Skills!D21)))+((C249=TRUE)*(F249-Calc!F23))+((C243=TRUE)*(F243-Calc!F17)))/100)*(1+((C236=TRUE)*F236*IF(AND(Inputs!$B$4&lt;&gt;"pvp",Inputs!$B$35&gt;0),(((S236-1)*(Skills!Y10*(1+Inputs!$B$33/100))+MIN((Skills!Y10*(1+Inputs!$B$33/100)),MAX(0,Inputs!$B$35-((S236-1)*Skills!D10))))/Inputs!$B$35),IF(Inputs!$B$4="pvp",MIN((Skills!Y10*(1+Inputs!$B$33/100)),15)/15,(Skills!Y10*(1+Inputs!$B$33/100))/Skills!D10)))/100)*(1+((C241=TRUE)*F241*IF(AND(Inputs!$B$4&lt;&gt;"pvp",Inputs!$B$35&gt;0),(((S241-1)*(Skills!Y15*(1+Inputs!$B$33/100))+MIN((Skills!Y15*(1+Inputs!$B$33/100)),MAX(0,Inputs!$B$35-((S241-1)*Skills!D15))))/Inputs!$B$35),IF(Inputs!$B$4="pvp",MIN((Skills!Y15*(1+Inputs!$B$33/100)),15)/15,(Skills!Y15*(1+Inputs!$B$33/100))/Skills!D15)))/100))*B261*I238)</f>
        <v/>
      </c>
      <c r="L238">
        <f>K238*(MIN(Inputs!$B$21+((C250=TRUE)*(F250-Calc!F24)),Inputs!$B$22+((C255=TRUE)*(F255-Calc!F29)))/100+(Inputs!$B$22+((C255=TRUE)*(F255-Calc!F29)))/100)/2</f>
        <v/>
      </c>
      <c r="M238">
        <f>L238*(1+(Inputs!$B$9+((C252=TRUE)*(F252-Calc!F26))+B266)/100)</f>
        <v/>
      </c>
      <c r="N238">
        <f>L238*(1-MIN((Inputs!$B$8+((C251=TRUE)*(F251-Calc!F25))+B259),100)/100)+M238*(MIN((Inputs!$B$8+((C251=TRUE)*(F251-Calc!F25))+B259),100)/100)</f>
        <v/>
      </c>
      <c r="O238">
        <f>IF(C238,H238*N238*IF(AND(Inputs!$B$4&lt;&gt;"pvp",Inputs!$B$35&gt;0),((Skills!G12*((R238-1)*IF(Skills!H12&gt;0,Skills!I12/Skills!H12,1)+IF(Skills!H12&gt;0,MIN(Skills!I12,MAX(0,Inputs!$B$35-((R238-1)*IF(Inputs!$B$4="pvp",15,MAX(0.1,Skills!D12-IF(Skills!E12=TRUE,Inputs!$B$31,0))))))/Skills!H12,1)))/Inputs!$B$35),G238*Q238)*IF(Inputs!$B$4="pvp",1,(1-Summary!$B$55)*(1)+Summary!$B$55*(MIN(Skills!W12,Inputs!$B$37))),0)</f>
        <v/>
      </c>
      <c r="P238">
        <f>IF(B271=0,0,O238/B271)</f>
        <v/>
      </c>
      <c r="Q238">
        <f>IFERROR(1/IF(Inputs!$B$4="pvp",15,MAX(0.1,Skills!D12-IF(Skills!E12=TRUE,Inputs!$B$31,0))),0)</f>
        <v/>
      </c>
      <c r="R238">
        <f>IF(AND(Inputs!$B$4&lt;&gt;"pvp",Inputs!$B$35&gt;0),(INT(Inputs!$B$35/IF(Inputs!$B$4="pvp",15,MAX(0.1,Skills!D12-IF(Skills!E12=TRUE,Inputs!$B$31,0))))+1),0)</f>
        <v/>
      </c>
      <c r="S238">
        <f>IFERROR(O238/N238,0)</f>
        <v/>
      </c>
    </row>
    <row r="239">
      <c r="A239">
        <f>Skills!A13</f>
        <v/>
      </c>
      <c r="B239">
        <f>Skills!B13</f>
        <v/>
      </c>
      <c r="C239">
        <f>Inputs!$B$3&gt;=105</f>
        <v/>
      </c>
      <c r="D239">
        <f>IF(Skills!C13=1,60+Inputs!$B$24+Inputs!$B$28,IF(Skills!C13=2,90+Inputs!$B$25+Inputs!$B$28,IF(Skills!C13=3,120+Inputs!$B$26+Inputs!$B$28,MAX(0,(Inputs!$B$3-100)*3)+Inputs!$B$27+Inputs!$B$28)))</f>
        <v/>
      </c>
      <c r="E239">
        <f>INDEX(FactorTable!$B$2:$Y$301, MATCH(ROUND(MIN(300,MAX(1,D239)),0), FactorTable!$A$2:$A$301,0), Skills!M13+1)</f>
        <v/>
      </c>
      <c r="F239">
        <f>IF(Skills!N13=TRUE,(Skills!L13/10)*(E239/1000),Skills!L13/10)+Skills!O13</f>
        <v/>
      </c>
      <c r="G239">
        <f>Skills!G13*IF(Skills!H13&gt;0,Skills!I13/Skills!H13,1)</f>
        <v/>
      </c>
      <c r="H239">
        <f>1-(1-Skills!J13/100)^Skills!K13</f>
        <v/>
      </c>
      <c r="I239" t="inlineStr">
        <is>
          <t>1</t>
        </is>
      </c>
      <c r="J239">
        <f>(Inputs!$B$5*(1+Inputs!$B$6/100))*(F239/100)</f>
        <v/>
      </c>
      <c r="K239">
        <f>J239*(1+((Inputs!$B$11*(1+Inputs!$B$12/100))*0.01+Inputs!$B$13*0.0025)/100)*(1+Inputs!$B$14/100)*(1+IF(Inputs!$B$4="pvp",0,(1-Summary!$B$55)*(Inputs!$B$19+0+Skills!P13+B260)+Summary!$B$55*(Inputs!$B$20+Skills!Q13+B260))/100)*(1+(Inputs!$B$15+1)/100)*(5000/(6000+Inputs!$B$7*(1-Inputs!$B$18/100)))*(1+(Inputs!$B$23+((C256=TRUE)*(F256-Calc!F30)))/100)*(1+(IF(Skills!A13="CRUEL_STAB",Inputs!$B$16+((C253=TRUE)*(F253-Calc!F27)),Inputs!$B$17+((C254=TRUE)*(F254-Calc!F28))))/100)*(((1+(((C247=TRUE)*F247*IF(AND(Inputs!$B$4&lt;&gt;"pvp",Inputs!$B$35&gt;0),(((S247-1)*(Skills!Y21*(1+Inputs!$B$33/100))+MIN((Skills!Y21*(1+Inputs!$B$33/100)),MAX(0,Inputs!$B$35-((S247-1)*Skills!D21))))/Inputs!$B$35),IF(Inputs!$B$4="pvp",MIN((Skills!Y21*(1+Inputs!$B$33/100)),15)/15,(Skills!Y21*(1+Inputs!$B$33/100))/Skills!D21)))+((C249=TRUE)*(F249-Calc!F23))+((C243=TRUE)*(F243-Calc!F17)))/100)*(1+((C236=TRUE)*F236*IF(AND(Inputs!$B$4&lt;&gt;"pvp",Inputs!$B$35&gt;0),(((S236-1)*(Skills!Y10*(1+Inputs!$B$33/100))+MIN((Skills!Y10*(1+Inputs!$B$33/100)),MAX(0,Inputs!$B$35-((S236-1)*Skills!D10))))/Inputs!$B$35),IF(Inputs!$B$4="pvp",MIN((Skills!Y10*(1+Inputs!$B$33/100)),15)/15,(Skills!Y10*(1+Inputs!$B$33/100))/Skills!D10)))/100)*(1+((C241=TRUE)*F241*IF(AND(Inputs!$B$4&lt;&gt;"pvp",Inputs!$B$35&gt;0),(((S241-1)*(Skills!Y15*(1+Inputs!$B$33/100))+MIN((Skills!Y15*(1+Inputs!$B$33/100)),MAX(0,Inputs!$B$35-((S241-1)*Skills!D15))))/Inputs!$B$35),IF(Inputs!$B$4="pvp",MIN((Skills!Y15*(1+Inputs!$B$33/100)),15)/15,(Skills!Y15*(1+Inputs!$B$33/100))/Skills!D15)))/100))*B261*I239)</f>
        <v/>
      </c>
      <c r="L239">
        <f>K239*(MIN(Inputs!$B$21+((C250=TRUE)*(F250-Calc!F24)),Inputs!$B$22+((C255=TRUE)*(F255-Calc!F29)))/100+(Inputs!$B$22+((C255=TRUE)*(F255-Calc!F29)))/100)/2</f>
        <v/>
      </c>
      <c r="M239">
        <f>L239*(1+(Inputs!$B$9+((C252=TRUE)*(F252-Calc!F26))+B266)/100)</f>
        <v/>
      </c>
      <c r="N239">
        <f>L239*(1-MIN((Inputs!$B$8+((C251=TRUE)*(F251-Calc!F25))+B259),100)/100)+M239*(MIN((Inputs!$B$8+((C251=TRUE)*(F251-Calc!F25))+B259),100)/100)</f>
        <v/>
      </c>
      <c r="O239">
        <f>IF(C239,H239*N239*IF(AND(Inputs!$B$4&lt;&gt;"pvp",Inputs!$B$35&gt;0),((Skills!G13*((R239-1)*IF(Skills!H13&gt;0,Skills!I13/Skills!H13,1)+IF(Skills!H13&gt;0,MIN(Skills!I13,MAX(0,Inputs!$B$35-((R239-1)*IF(Inputs!$B$4="pvp",15,MAX(0.1,Skills!D13-IF(Skills!E13=TRUE,Inputs!$B$31,0))))))/Skills!H13,1)))/Inputs!$B$35),G239*Q239)*IF(Inputs!$B$4="pvp",1,(1-Summary!$B$55)*(1)+Summary!$B$55*(MIN(Skills!W13,Inputs!$B$37))),0)</f>
        <v/>
      </c>
      <c r="P239">
        <f>IF(B271=0,0,O239/B271)</f>
        <v/>
      </c>
      <c r="Q239">
        <f>IFERROR(1/IF(Inputs!$B$4="pvp",15,MAX(0.1,Skills!D13-IF(Skills!E13=TRUE,Inputs!$B$31,0))),0)</f>
        <v/>
      </c>
      <c r="R239">
        <f>IF(AND(Inputs!$B$4&lt;&gt;"pvp",Inputs!$B$35&gt;0),(INT(Inputs!$B$35/IF(Inputs!$B$4="pvp",15,MAX(0.1,Skills!D13-IF(Skills!E13=TRUE,Inputs!$B$31,0))))+1),0)</f>
        <v/>
      </c>
      <c r="S239">
        <f>IFERROR(O239/N239,0)</f>
        <v/>
      </c>
    </row>
    <row r="240">
      <c r="A240">
        <f>Skills!A14</f>
        <v/>
      </c>
      <c r="B240">
        <f>Skills!B14</f>
        <v/>
      </c>
      <c r="C240">
        <f>Inputs!$B$3&gt;=107</f>
        <v/>
      </c>
      <c r="D240">
        <f>IF(Skills!C14=1,60+Inputs!$B$24+Inputs!$B$28,IF(Skills!C14=2,90+Inputs!$B$25+Inputs!$B$28,IF(Skills!C14=3,120+Inputs!$B$26+Inputs!$B$28,MAX(0,(Inputs!$B$3-100)*3)+Inputs!$B$27+Inputs!$B$28)))</f>
        <v/>
      </c>
      <c r="E240">
        <f>INDEX(FactorTable!$B$2:$Y$301, MATCH(ROUND(MIN(300,MAX(1,D240)),0), FactorTable!$A$2:$A$301,0), Skills!M14+1)</f>
        <v/>
      </c>
      <c r="F240">
        <f>IF(Skills!N14=TRUE,(Skills!L14/10)*(E240/1000),Skills!L14/10)+Skills!O14</f>
        <v/>
      </c>
      <c r="G240">
        <f>Skills!G14*IF(Skills!H14&gt;0,Skills!I14/Skills!H14,1)</f>
        <v/>
      </c>
      <c r="H240">
        <f>1-(1-Skills!J14/100)^Skills!K14</f>
        <v/>
      </c>
      <c r="I240" t="inlineStr">
        <is>
          <t>1</t>
        </is>
      </c>
      <c r="J240">
        <f>(Inputs!$B$5*(1+Inputs!$B$6/100))*(F240/100)</f>
        <v/>
      </c>
      <c r="K240">
        <f>J240*(1+((Inputs!$B$11*(1+Inputs!$B$12/100))*0.01+Inputs!$B$13*0.0025)/100)*(1+Inputs!$B$14/100)*(1+IF(Inputs!$B$4="pvp",0,(1-Summary!$B$55)*(Inputs!$B$19+0+Skills!P14+B260)+Summary!$B$55*(Inputs!$B$20+Skills!Q14+B260))/100)*(1+(Inputs!$B$15+1)/100)*(5000/(6000+Inputs!$B$7*(1-Inputs!$B$18/100)))*(1+(Inputs!$B$23+((C256=TRUE)*(F256-Calc!F30)))/100)*(1+(IF(Skills!A14="CRUEL_STAB",Inputs!$B$16+((C253=TRUE)*(F253-Calc!F27)),Inputs!$B$17+((C254=TRUE)*(F254-Calc!F28))))/100)*(((1+(((C247=TRUE)*F247*IF(AND(Inputs!$B$4&lt;&gt;"pvp",Inputs!$B$35&gt;0),(((S247-1)*(Skills!Y21*(1+Inputs!$B$33/100))+MIN((Skills!Y21*(1+Inputs!$B$33/100)),MAX(0,Inputs!$B$35-((S247-1)*Skills!D21))))/Inputs!$B$35),IF(Inputs!$B$4="pvp",MIN((Skills!Y21*(1+Inputs!$B$33/100)),15)/15,(Skills!Y21*(1+Inputs!$B$33/100))/Skills!D21)))+((C249=TRUE)*(F249-Calc!F23))+((C243=TRUE)*(F243-Calc!F17)))/100)*(1+((C236=TRUE)*F236*IF(AND(Inputs!$B$4&lt;&gt;"pvp",Inputs!$B$35&gt;0),(((S236-1)*(Skills!Y10*(1+Inputs!$B$33/100))+MIN((Skills!Y10*(1+Inputs!$B$33/100)),MAX(0,Inputs!$B$35-((S236-1)*Skills!D10))))/Inputs!$B$35),IF(Inputs!$B$4="pvp",MIN((Skills!Y10*(1+Inputs!$B$33/100)),15)/15,(Skills!Y10*(1+Inputs!$B$33/100))/Skills!D10)))/100)*(1+((C241=TRUE)*F241*IF(AND(Inputs!$B$4&lt;&gt;"pvp",Inputs!$B$35&gt;0),(((S241-1)*(Skills!Y15*(1+Inputs!$B$33/100))+MIN((Skills!Y15*(1+Inputs!$B$33/100)),MAX(0,Inputs!$B$35-((S241-1)*Skills!D15))))/Inputs!$B$35),IF(Inputs!$B$4="pvp",MIN((Skills!Y15*(1+Inputs!$B$33/100)),15)/15,(Skills!Y15*(1+Inputs!$B$33/100))/Skills!D15)))/100))*B261*I240)</f>
        <v/>
      </c>
      <c r="L240">
        <f>K240*(MIN(Inputs!$B$21+((C250=TRUE)*(F250-Calc!F24)),Inputs!$B$22+((C255=TRUE)*(F255-Calc!F29)))/100+(Inputs!$B$22+((C255=TRUE)*(F255-Calc!F29)))/100)/2</f>
        <v/>
      </c>
      <c r="M240">
        <f>L240*(1+(Inputs!$B$9+((C252=TRUE)*(F252-Calc!F26))+B266)/100)</f>
        <v/>
      </c>
      <c r="N240">
        <f>L240*(1-MIN((Inputs!$B$8+((C251=TRUE)*(F251-Calc!F25))+B259),100)/100)+M240*(MIN((Inputs!$B$8+((C251=TRUE)*(F251-Calc!F25))+B259),100)/100)</f>
        <v/>
      </c>
      <c r="O240">
        <f>IF(C240,H240*N240*IF(AND(Inputs!$B$4&lt;&gt;"pvp",Inputs!$B$35&gt;0),((Skills!G14*((R240-1)*IF(Skills!H14&gt;0,Skills!I14/Skills!H14,1)+IF(Skills!H14&gt;0,MIN(Skills!I14,MAX(0,Inputs!$B$35-((R240-1)*IF(Inputs!$B$4="pvp",15,MAX(0.1,Skills!D14-IF(Skills!E14=TRUE,Inputs!$B$31,0))))))/Skills!H14,1)))/Inputs!$B$35),G240*Q240)*IF(Inputs!$B$4="pvp",1,(1-Summary!$B$55)*(1)+Summary!$B$55*(MIN(MIN(5,0.25*B263*Skills!D4)*Skills!V14,Inputs!$B$37))),0)</f>
        <v/>
      </c>
      <c r="P240">
        <f>IF(B271=0,0,O240/B271)</f>
        <v/>
      </c>
      <c r="Q240">
        <f>IFERROR(1/IF(Inputs!$B$4="pvp",15,MAX(0.1,Skills!D14-IF(Skills!E14=TRUE,Inputs!$B$31,0))),0)</f>
        <v/>
      </c>
      <c r="R240">
        <f>IF(AND(Inputs!$B$4&lt;&gt;"pvp",Inputs!$B$35&gt;0),(INT(Inputs!$B$35/IF(Inputs!$B$4="pvp",15,MAX(0.1,Skills!D14-IF(Skills!E14=TRUE,Inputs!$B$31,0))))+1),0)</f>
        <v/>
      </c>
      <c r="S240">
        <f>IFERROR(O240/N240,0)</f>
        <v/>
      </c>
    </row>
    <row r="241">
      <c r="A241">
        <f>Skills!A15</f>
        <v/>
      </c>
      <c r="B241">
        <f>Skills!B15</f>
        <v/>
      </c>
      <c r="C241">
        <f>Inputs!$B$3&gt;=110</f>
        <v/>
      </c>
      <c r="D241">
        <f>IF(Skills!C15=1,60+Inputs!$B$24+Inputs!$B$28,IF(Skills!C15=2,90+Inputs!$B$25+Inputs!$B$28,IF(Skills!C15=3,120+Inputs!$B$26+Inputs!$B$28,MAX(0,(Inputs!$B$3-100)*3)+Inputs!$B$27+Inputs!$B$28)))</f>
        <v/>
      </c>
      <c r="E241">
        <f>INDEX(FactorTable!$B$2:$Y$301, MATCH(ROUND(MIN(300,MAX(1,D241)),0), FactorTable!$A$2:$A$301,0), Skills!M15+1)</f>
        <v/>
      </c>
      <c r="F241">
        <f>IF(Skills!N15=TRUE,(Skills!L15/10)*(E241/1000),Skills!L15/10)+Skills!O15</f>
        <v/>
      </c>
      <c r="G241">
        <f>Skills!G15*IF(Skills!H15&gt;0,Skills!I15/Skills!H15,1)</f>
        <v/>
      </c>
      <c r="H241">
        <f>1-(1-Skills!J15/100)^Skills!K15</f>
        <v/>
      </c>
      <c r="I241" t="inlineStr">
        <is>
          <t>1</t>
        </is>
      </c>
      <c r="J241" t="inlineStr"/>
      <c r="K241" t="inlineStr"/>
      <c r="L241" t="inlineStr"/>
      <c r="M241" t="inlineStr"/>
      <c r="N241" t="inlineStr"/>
      <c r="O241" t="n">
        <v>0</v>
      </c>
      <c r="P241">
        <f>IF(B271=0,0,O241/B271)</f>
        <v/>
      </c>
      <c r="Q241">
        <f>IFERROR(1/IF(Inputs!$B$4="pvp",15,MAX(0.1,Skills!D15-IF(Skills!E15=TRUE,Inputs!$B$31,0))),0)</f>
        <v/>
      </c>
      <c r="R241">
        <f>IF(AND(Inputs!$B$4&lt;&gt;"pvp",Inputs!$B$35&gt;0),(INT(Inputs!$B$35/IF(Inputs!$B$4="pvp",15,MAX(0.1,Skills!D15-IF(Skills!E15=TRUE,Inputs!$B$31,0))))+1),0)</f>
        <v/>
      </c>
      <c r="S241">
        <f>IFERROR(O241/N241,0)</f>
        <v/>
      </c>
    </row>
    <row r="242">
      <c r="A242">
        <f>Skills!A16</f>
        <v/>
      </c>
      <c r="B242">
        <f>Skills!B16</f>
        <v/>
      </c>
      <c r="C242">
        <f>Inputs!$B$3&gt;=115</f>
        <v/>
      </c>
      <c r="D242">
        <f>IF(Skills!C16=1,60+Inputs!$B$24+Inputs!$B$28,IF(Skills!C16=2,90+Inputs!$B$25+Inputs!$B$28,IF(Skills!C16=3,120+Inputs!$B$26+Inputs!$B$28,MAX(0,(Inputs!$B$3-100)*3)+Inputs!$B$27+Inputs!$B$28)))</f>
        <v/>
      </c>
      <c r="E242">
        <f>INDEX(FactorTable!$B$2:$Y$301, MATCH(ROUND(MIN(300,MAX(1,D242)),0), FactorTable!$A$2:$A$301,0), Skills!M16+1)</f>
        <v/>
      </c>
      <c r="F242">
        <f>IF(Skills!N16=TRUE,(Skills!L16/10)*(E242/1000),Skills!L16/10)+Skills!O16</f>
        <v/>
      </c>
      <c r="G242">
        <f>Skills!G16*IF(Skills!H16&gt;0,Skills!I16/Skills!H16,1)</f>
        <v/>
      </c>
      <c r="H242">
        <f>1-(1-Skills!J16/100)^Skills!K16</f>
        <v/>
      </c>
      <c r="I242" t="inlineStr">
        <is>
          <t>1</t>
        </is>
      </c>
      <c r="J242">
        <f>(Inputs!$B$5*(1+Inputs!$B$6/100))*(F242/100)</f>
        <v/>
      </c>
      <c r="K242">
        <f>J242*(1+((Inputs!$B$11*(1+Inputs!$B$12/100))*0.01+Inputs!$B$13*0.0025)/100)*(1+Inputs!$B$14/100)*(1+IF(Inputs!$B$4="pvp",0,(1-Summary!$B$55)*(Inputs!$B$19+0+Skills!P16+B260)+Summary!$B$55*(Inputs!$B$20+Skills!Q16+B260))/100)*(1+(Inputs!$B$15+1)/100)*(5000/(6000+Inputs!$B$7*(1-Inputs!$B$18/100)))*(1+(Inputs!$B$23+((C256=TRUE)*(F256-Calc!F30)))/100)*(1+(IF(Skills!A16="CRUEL_STAB",Inputs!$B$16+((C253=TRUE)*(F253-Calc!F27)),Inputs!$B$17+((C254=TRUE)*(F254-Calc!F28))))/100)*(((1+(((C247=TRUE)*F247*IF(AND(Inputs!$B$4&lt;&gt;"pvp",Inputs!$B$35&gt;0),(((S247-1)*(Skills!Y21*(1+Inputs!$B$33/100))+MIN((Skills!Y21*(1+Inputs!$B$33/100)),MAX(0,Inputs!$B$35-((S247-1)*Skills!D21))))/Inputs!$B$35),IF(Inputs!$B$4="pvp",MIN((Skills!Y21*(1+Inputs!$B$33/100)),15)/15,(Skills!Y21*(1+Inputs!$B$33/100))/Skills!D21)))+((C249=TRUE)*(F249-Calc!F23))+((C243=TRUE)*(F243-Calc!F17)))/100)*(1+((C236=TRUE)*F236*IF(AND(Inputs!$B$4&lt;&gt;"pvp",Inputs!$B$35&gt;0),(((S236-1)*(Skills!Y10*(1+Inputs!$B$33/100))+MIN((Skills!Y10*(1+Inputs!$B$33/100)),MAX(0,Inputs!$B$35-((S236-1)*Skills!D10))))/Inputs!$B$35),IF(Inputs!$B$4="pvp",MIN((Skills!Y10*(1+Inputs!$B$33/100)),15)/15,(Skills!Y10*(1+Inputs!$B$33/100))/Skills!D10)))/100)*(1+((C241=TRUE)*F241*IF(AND(Inputs!$B$4&lt;&gt;"pvp",Inputs!$B$35&gt;0),(((S241-1)*(Skills!Y15*(1+Inputs!$B$33/100))+MIN((Skills!Y15*(1+Inputs!$B$33/100)),MAX(0,Inputs!$B$35-((S241-1)*Skills!D15))))/Inputs!$B$35),IF(Inputs!$B$4="pvp",MIN((Skills!Y15*(1+Inputs!$B$33/100)),15)/15,(Skills!Y15*(1+Inputs!$B$33/100))/Skills!D15)))/100))*B261*I242)</f>
        <v/>
      </c>
      <c r="L242">
        <f>K242*(MIN(Inputs!$B$21+((C250=TRUE)*(F250-Calc!F24)),Inputs!$B$22+((C255=TRUE)*(F255-Calc!F29)))/100+(Inputs!$B$22+((C255=TRUE)*(F255-Calc!F29)))/100)/2</f>
        <v/>
      </c>
      <c r="M242">
        <f>L242*(1+(Inputs!$B$9+((C252=TRUE)*(F252-Calc!F26))+B266)/100)</f>
        <v/>
      </c>
      <c r="N242">
        <f>L242*(1-MIN((Inputs!$B$8+((C251=TRUE)*(F251-Calc!F25))+B259),100)/100)+M242*(MIN((Inputs!$B$8+((C251=TRUE)*(F251-Calc!F25))+B259),100)/100)</f>
        <v/>
      </c>
      <c r="O242">
        <f>IF(C242,Inputs!$B$38*0.2*N242,0)</f>
        <v/>
      </c>
      <c r="P242">
        <f>IF(B271=0,0,O242/B271)</f>
        <v/>
      </c>
      <c r="Q242" t="n">
        <v>0</v>
      </c>
      <c r="R242" t="n">
        <v>0</v>
      </c>
      <c r="S242">
        <f>IFERROR(O242/N242,0)</f>
        <v/>
      </c>
    </row>
    <row r="243">
      <c r="A243">
        <f>Skills!A17</f>
        <v/>
      </c>
      <c r="B243">
        <f>Skills!B17</f>
        <v/>
      </c>
      <c r="C243">
        <f>Inputs!$B$3&gt;=115</f>
        <v/>
      </c>
      <c r="D243">
        <f>IF(Skills!C17=1,60+Inputs!$B$24+Inputs!$B$28,IF(Skills!C17=2,90+Inputs!$B$25+Inputs!$B$28,IF(Skills!C17=3,120+Inputs!$B$26+Inputs!$B$28,MAX(0,(Inputs!$B$3-100)*3)+Inputs!$B$27+Inputs!$B$28)))</f>
        <v/>
      </c>
      <c r="E243">
        <f>INDEX(FactorTable!$B$2:$Y$301, MATCH(ROUND(MIN(300,MAX(1,D243)),0), FactorTable!$A$2:$A$301,0), Skills!M17+1)</f>
        <v/>
      </c>
      <c r="F243">
        <f>IF(Skills!N17=TRUE,(Skills!L17/10)*(E243/1000),Skills!L17/10)+Skills!O17</f>
        <v/>
      </c>
      <c r="G243">
        <f>Skills!G17*IF(Skills!H17&gt;0,Skills!I17/Skills!H17,1)</f>
        <v/>
      </c>
      <c r="H243">
        <f>1-(1-Skills!J17/100)^Skills!K17</f>
        <v/>
      </c>
      <c r="I243" t="inlineStr">
        <is>
          <t>1</t>
        </is>
      </c>
      <c r="J243" t="inlineStr"/>
      <c r="K243" t="inlineStr"/>
      <c r="L243" t="inlineStr"/>
      <c r="M243" t="inlineStr"/>
      <c r="N243" t="inlineStr"/>
      <c r="O243" t="n">
        <v>0</v>
      </c>
      <c r="P243">
        <f>IF(B271=0,0,O243/B271)</f>
        <v/>
      </c>
      <c r="Q243" t="n">
        <v>0</v>
      </c>
      <c r="R243" t="n">
        <v>0</v>
      </c>
      <c r="S243">
        <f>IFERROR(O243/N243,0)</f>
        <v/>
      </c>
    </row>
    <row r="244">
      <c r="A244">
        <f>Skills!A18</f>
        <v/>
      </c>
      <c r="B244">
        <f>Skills!B18</f>
        <v/>
      </c>
      <c r="C244">
        <f>Inputs!$B$3&gt;=100</f>
        <v/>
      </c>
      <c r="D244">
        <f>IF(Skills!C18=1,60+Inputs!$B$24+Inputs!$B$28,IF(Skills!C18=2,90+Inputs!$B$25+Inputs!$B$28,IF(Skills!C18=3,120+Inputs!$B$26+Inputs!$B$28,MAX(0,(Inputs!$B$3-100)*3)+Inputs!$B$27+Inputs!$B$28)))</f>
        <v/>
      </c>
      <c r="E244">
        <f>INDEX(FactorTable!$B$2:$Y$301, MATCH(ROUND(MIN(300,MAX(1,D244)),0), FactorTable!$A$2:$A$301,0), Skills!M18+1)</f>
        <v/>
      </c>
      <c r="F244">
        <f>IF(Skills!N18=TRUE,(Skills!L18/10)*(E244/1000),Skills!L18/10)+Skills!O18</f>
        <v/>
      </c>
      <c r="G244">
        <f>Skills!G18*IF(Skills!H18&gt;0,Skills!I18/Skills!H18,1)</f>
        <v/>
      </c>
      <c r="H244">
        <f>1-(1-Skills!J18/100)^Skills!K18</f>
        <v/>
      </c>
      <c r="I244" t="inlineStr">
        <is>
          <t>1</t>
        </is>
      </c>
      <c r="J244" t="inlineStr"/>
      <c r="K244" t="inlineStr"/>
      <c r="L244" t="inlineStr"/>
      <c r="M244" t="inlineStr"/>
      <c r="N244" t="inlineStr"/>
      <c r="O244" t="n">
        <v>0</v>
      </c>
      <c r="P244">
        <f>IF(B271=0,0,O244/B271)</f>
        <v/>
      </c>
      <c r="Q244" t="n">
        <v>0</v>
      </c>
      <c r="R244" t="n">
        <v>0</v>
      </c>
      <c r="S244">
        <f>IFERROR(O244/N244,0)</f>
        <v/>
      </c>
    </row>
    <row r="245">
      <c r="A245">
        <f>Skills!A19</f>
        <v/>
      </c>
      <c r="B245">
        <f>Skills!B19</f>
        <v/>
      </c>
      <c r="C245">
        <f>TRUE</f>
        <v/>
      </c>
      <c r="D245">
        <f>IF(Skills!C19=1,60+Inputs!$B$24+Inputs!$B$28,IF(Skills!C19=2,90+Inputs!$B$25+Inputs!$B$28,IF(Skills!C19=3,120+Inputs!$B$26+Inputs!$B$28,MAX(0,(Inputs!$B$3-100)*3)+Inputs!$B$27+Inputs!$B$28)))</f>
        <v/>
      </c>
      <c r="E245">
        <f>INDEX(FactorTable!$B$2:$Y$301, MATCH(ROUND(MIN(300,MAX(1,D245)),0), FactorTable!$A$2:$A$301,0), Skills!M19+1)</f>
        <v/>
      </c>
      <c r="F245">
        <f>IF(Skills!N19=TRUE,(Skills!L19/10)*(E245/1000),Skills!L19/10)+Skills!O19</f>
        <v/>
      </c>
      <c r="G245">
        <f>Skills!G19*IF(Skills!H19&gt;0,Skills!I19/Skills!H19,1)</f>
        <v/>
      </c>
      <c r="H245">
        <f>1-(1-Skills!J19/100)^Skills!K19</f>
        <v/>
      </c>
      <c r="I245" t="inlineStr">
        <is>
          <t>1</t>
        </is>
      </c>
      <c r="J245" t="inlineStr"/>
      <c r="K245" t="inlineStr"/>
      <c r="L245" t="inlineStr"/>
      <c r="M245" t="inlineStr"/>
      <c r="N245" t="inlineStr"/>
      <c r="O245" t="n">
        <v>0</v>
      </c>
      <c r="P245">
        <f>IF(B271=0,0,O245/B271)</f>
        <v/>
      </c>
      <c r="Q245">
        <f>IFERROR(1/IF(Inputs!$B$4="pvp",15,MAX(0.1,Skills!D19-IF(Skills!E19=TRUE,Inputs!$B$31,0))),0)</f>
        <v/>
      </c>
      <c r="R245">
        <f>IF(AND(Inputs!$B$4&lt;&gt;"pvp",Inputs!$B$35&gt;0),(INT(Inputs!$B$35/IF(Inputs!$B$4="pvp",15,MAX(0.1,Skills!D19-IF(Skills!E19=TRUE,Inputs!$B$31,0))))+1),0)</f>
        <v/>
      </c>
      <c r="S245">
        <f>IFERROR(O245/N245,0)</f>
        <v/>
      </c>
    </row>
    <row r="246">
      <c r="A246">
        <f>Skills!A20</f>
        <v/>
      </c>
      <c r="B246">
        <f>Skills!B20</f>
        <v/>
      </c>
      <c r="C246">
        <f>Inputs!$B$3&gt;=15</f>
        <v/>
      </c>
      <c r="D246">
        <f>IF(Skills!C20=1,60+Inputs!$B$24+Inputs!$B$28,IF(Skills!C20=2,90+Inputs!$B$25+Inputs!$B$28,IF(Skills!C20=3,120+Inputs!$B$26+Inputs!$B$28,MAX(0,(Inputs!$B$3-100)*3)+Inputs!$B$27+Inputs!$B$28)))</f>
        <v/>
      </c>
      <c r="E246">
        <f>INDEX(FactorTable!$B$2:$Y$301, MATCH(ROUND(MIN(300,MAX(1,D246)),0), FactorTable!$A$2:$A$301,0), Skills!M20+1)</f>
        <v/>
      </c>
      <c r="F246">
        <f>IF(Skills!N20=TRUE,(Skills!L20/10)*(E246/1000),Skills!L20/10)+Skills!O20</f>
        <v/>
      </c>
      <c r="G246">
        <f>Skills!G20*IF(Skills!H20&gt;0,Skills!I20/Skills!H20,1)</f>
        <v/>
      </c>
      <c r="H246">
        <f>1-(1-Skills!J20/100)^Skills!K20</f>
        <v/>
      </c>
      <c r="I246" t="inlineStr">
        <is>
          <t>1</t>
        </is>
      </c>
      <c r="J246" t="inlineStr"/>
      <c r="K246" t="inlineStr"/>
      <c r="L246" t="inlineStr"/>
      <c r="M246" t="inlineStr"/>
      <c r="N246" t="inlineStr"/>
      <c r="O246" t="n">
        <v>0</v>
      </c>
      <c r="P246">
        <f>IF(B271=0,0,O246/B271)</f>
        <v/>
      </c>
      <c r="Q246">
        <f>IFERROR(1/IF(Inputs!$B$4="pvp",15,MAX(0.1,Skills!D20-IF(Skills!E20=TRUE,Inputs!$B$31,0))),0)</f>
        <v/>
      </c>
      <c r="R246">
        <f>IF(AND(Inputs!$B$4&lt;&gt;"pvp",Inputs!$B$35&gt;0),(INT(Inputs!$B$35/IF(Inputs!$B$4="pvp",15,MAX(0.1,Skills!D20-IF(Skills!E20=TRUE,Inputs!$B$31,0))))+1),0)</f>
        <v/>
      </c>
      <c r="S246">
        <f>IFERROR(O246/N246,0)</f>
        <v/>
      </c>
    </row>
    <row r="247">
      <c r="A247">
        <f>Skills!A21</f>
        <v/>
      </c>
      <c r="B247">
        <f>Skills!B21</f>
        <v/>
      </c>
      <c r="C247">
        <f>Inputs!$B$3&gt;=15</f>
        <v/>
      </c>
      <c r="D247">
        <f>IF(Skills!C21=1,60+Inputs!$B$24+Inputs!$B$28,IF(Skills!C21=2,90+Inputs!$B$25+Inputs!$B$28,IF(Skills!C21=3,120+Inputs!$B$26+Inputs!$B$28,MAX(0,(Inputs!$B$3-100)*3)+Inputs!$B$27+Inputs!$B$28)))</f>
        <v/>
      </c>
      <c r="E247">
        <f>INDEX(FactorTable!$B$2:$Y$301, MATCH(ROUND(MIN(300,MAX(1,D247)),0), FactorTable!$A$2:$A$301,0), Skills!M21+1)</f>
        <v/>
      </c>
      <c r="F247">
        <f>IF(Skills!N21=TRUE,(Skills!L21/10)*(E247/1000),Skills!L21/10)+Skills!O21</f>
        <v/>
      </c>
      <c r="G247">
        <f>Skills!G21*IF(Skills!H21&gt;0,Skills!I21/Skills!H21,1)</f>
        <v/>
      </c>
      <c r="H247">
        <f>1-(1-Skills!J21/100)^Skills!K21</f>
        <v/>
      </c>
      <c r="I247" t="inlineStr">
        <is>
          <t>1</t>
        </is>
      </c>
      <c r="J247" t="inlineStr"/>
      <c r="K247" t="inlineStr"/>
      <c r="L247" t="inlineStr"/>
      <c r="M247" t="inlineStr"/>
      <c r="N247" t="inlineStr"/>
      <c r="O247" t="n">
        <v>0</v>
      </c>
      <c r="P247">
        <f>IF(B271=0,0,O247/B271)</f>
        <v/>
      </c>
      <c r="Q247">
        <f>IFERROR(1/IF(Inputs!$B$4="pvp",15,MAX(0.1,Skills!D21-IF(Skills!E21=TRUE,Inputs!$B$31,0))),0)</f>
        <v/>
      </c>
      <c r="R247">
        <f>IF(AND(Inputs!$B$4&lt;&gt;"pvp",Inputs!$B$35&gt;0),(INT(Inputs!$B$35/IF(Inputs!$B$4="pvp",15,MAX(0.1,Skills!D21-IF(Skills!E21=TRUE,Inputs!$B$31,0))))+1),0)</f>
        <v/>
      </c>
      <c r="S247">
        <f>IFERROR(O247/N247,0)</f>
        <v/>
      </c>
    </row>
    <row r="248">
      <c r="A248">
        <f>Skills!A22</f>
        <v/>
      </c>
      <c r="B248">
        <f>Skills!B22</f>
        <v/>
      </c>
      <c r="C248">
        <f>Inputs!$B$3&gt;=33</f>
        <v/>
      </c>
      <c r="D248">
        <f>IF(Skills!C22=1,60+Inputs!$B$24+Inputs!$B$28,IF(Skills!C22=2,90+Inputs!$B$25+Inputs!$B$28,IF(Skills!C22=3,120+Inputs!$B$26+Inputs!$B$28,MAX(0,(Inputs!$B$3-100)*3)+Inputs!$B$27+Inputs!$B$28)))</f>
        <v/>
      </c>
      <c r="E248">
        <f>INDEX(FactorTable!$B$2:$Y$301, MATCH(ROUND(MIN(300,MAX(1,D248)),0), FactorTable!$A$2:$A$301,0), Skills!M22+1)</f>
        <v/>
      </c>
      <c r="F248">
        <f>IF(Skills!N22=TRUE,(Skills!L22/10)*(E248/1000),Skills!L22/10)+Skills!O22</f>
        <v/>
      </c>
      <c r="G248">
        <f>Skills!G22*IF(Skills!H22&gt;0,Skills!I22/Skills!H22,1)</f>
        <v/>
      </c>
      <c r="H248">
        <f>1-(1-Skills!J22/100)^Skills!K22</f>
        <v/>
      </c>
      <c r="I248" t="inlineStr">
        <is>
          <t>1</t>
        </is>
      </c>
      <c r="J248" t="inlineStr"/>
      <c r="K248" t="inlineStr"/>
      <c r="L248" t="inlineStr"/>
      <c r="M248" t="inlineStr"/>
      <c r="N248" t="inlineStr"/>
      <c r="O248" t="n">
        <v>0</v>
      </c>
      <c r="P248">
        <f>IF(B271=0,0,O248/B271)</f>
        <v/>
      </c>
      <c r="Q248" t="n">
        <v>0</v>
      </c>
      <c r="R248" t="n">
        <v>0</v>
      </c>
      <c r="S248">
        <f>IFERROR(O248/N248,0)</f>
        <v/>
      </c>
    </row>
    <row r="249">
      <c r="A249">
        <f>Skills!A23</f>
        <v/>
      </c>
      <c r="B249">
        <f>Skills!B23</f>
        <v/>
      </c>
      <c r="C249">
        <f>Inputs!$B$3&gt;=40</f>
        <v/>
      </c>
      <c r="D249">
        <f>IF(Skills!C23=1,60+Inputs!$B$24+Inputs!$B$28,IF(Skills!C23=2,90+Inputs!$B$25+Inputs!$B$28,IF(Skills!C23=3,120+Inputs!$B$26+Inputs!$B$28,MAX(0,(Inputs!$B$3-100)*3)+Inputs!$B$27+Inputs!$B$28)))</f>
        <v/>
      </c>
      <c r="E249">
        <f>INDEX(FactorTable!$B$2:$Y$301, MATCH(ROUND(MIN(300,MAX(1,D249)),0), FactorTable!$A$2:$A$301,0), Skills!M23+1)</f>
        <v/>
      </c>
      <c r="F249">
        <f>IF(Skills!N23=TRUE,(Skills!L23/10)*(E249/1000),Skills!L23/10)+Skills!O23</f>
        <v/>
      </c>
      <c r="G249">
        <f>Skills!G23*IF(Skills!H23&gt;0,Skills!I23/Skills!H23,1)</f>
        <v/>
      </c>
      <c r="H249">
        <f>1-(1-Skills!J23/100)^Skills!K23</f>
        <v/>
      </c>
      <c r="I249" t="inlineStr">
        <is>
          <t>1</t>
        </is>
      </c>
      <c r="J249" t="inlineStr"/>
      <c r="K249" t="inlineStr"/>
      <c r="L249" t="inlineStr"/>
      <c r="M249" t="inlineStr"/>
      <c r="N249" t="inlineStr"/>
      <c r="O249" t="n">
        <v>0</v>
      </c>
      <c r="P249">
        <f>IF(B271=0,0,O249/B271)</f>
        <v/>
      </c>
      <c r="Q249" t="n">
        <v>0</v>
      </c>
      <c r="R249" t="n">
        <v>0</v>
      </c>
      <c r="S249">
        <f>IFERROR(O249/N249,0)</f>
        <v/>
      </c>
    </row>
    <row r="250">
      <c r="A250">
        <f>Skills!A24</f>
        <v/>
      </c>
      <c r="B250">
        <f>Skills!B24</f>
        <v/>
      </c>
      <c r="C250">
        <f>Inputs!$B$3&gt;=43</f>
        <v/>
      </c>
      <c r="D250">
        <f>IF(Skills!C24=1,60+Inputs!$B$24+Inputs!$B$28,IF(Skills!C24=2,90+Inputs!$B$25+Inputs!$B$28,IF(Skills!C24=3,120+Inputs!$B$26+Inputs!$B$28,MAX(0,(Inputs!$B$3-100)*3)+Inputs!$B$27+Inputs!$B$28)))</f>
        <v/>
      </c>
      <c r="E250">
        <f>INDEX(FactorTable!$B$2:$Y$301, MATCH(ROUND(MIN(300,MAX(1,D250)),0), FactorTable!$A$2:$A$301,0), Skills!M24+1)</f>
        <v/>
      </c>
      <c r="F250">
        <f>IF(Skills!N24=TRUE,(Skills!L24/10)*(E250/1000),Skills!L24/10)+Skills!O24</f>
        <v/>
      </c>
      <c r="G250">
        <f>Skills!G24*IF(Skills!H24&gt;0,Skills!I24/Skills!H24,1)</f>
        <v/>
      </c>
      <c r="H250">
        <f>1-(1-Skills!J24/100)^Skills!K24</f>
        <v/>
      </c>
      <c r="I250" t="inlineStr">
        <is>
          <t>1</t>
        </is>
      </c>
      <c r="J250" t="inlineStr"/>
      <c r="K250" t="inlineStr"/>
      <c r="L250" t="inlineStr"/>
      <c r="M250" t="inlineStr"/>
      <c r="N250" t="inlineStr"/>
      <c r="O250" t="n">
        <v>0</v>
      </c>
      <c r="P250">
        <f>IF(B271=0,0,O250/B271)</f>
        <v/>
      </c>
      <c r="Q250" t="n">
        <v>0</v>
      </c>
      <c r="R250" t="n">
        <v>0</v>
      </c>
      <c r="S250">
        <f>IFERROR(O250/N250,0)</f>
        <v/>
      </c>
    </row>
    <row r="251">
      <c r="A251">
        <f>Skills!A25</f>
        <v/>
      </c>
      <c r="B251">
        <f>Skills!B25</f>
        <v/>
      </c>
      <c r="C251">
        <f>Inputs!$B$3&gt;=50</f>
        <v/>
      </c>
      <c r="D251">
        <f>IF(Skills!C25=1,60+Inputs!$B$24+Inputs!$B$28,IF(Skills!C25=2,90+Inputs!$B$25+Inputs!$B$28,IF(Skills!C25=3,120+Inputs!$B$26+Inputs!$B$28,MAX(0,(Inputs!$B$3-100)*3)+Inputs!$B$27+Inputs!$B$28)))</f>
        <v/>
      </c>
      <c r="E251">
        <f>INDEX(FactorTable!$B$2:$Y$301, MATCH(ROUND(MIN(300,MAX(1,D251)),0), FactorTable!$A$2:$A$301,0), Skills!M25+1)</f>
        <v/>
      </c>
      <c r="F251">
        <f>IF(Skills!N25=TRUE,(Skills!L25/10)*(E251/1000),Skills!L25/10)+Skills!O25</f>
        <v/>
      </c>
      <c r="G251">
        <f>Skills!G25*IF(Skills!H25&gt;0,Skills!I25/Skills!H25,1)</f>
        <v/>
      </c>
      <c r="H251">
        <f>1-(1-Skills!J25/100)^Skills!K25</f>
        <v/>
      </c>
      <c r="I251" t="inlineStr">
        <is>
          <t>1</t>
        </is>
      </c>
      <c r="J251" t="inlineStr"/>
      <c r="K251" t="inlineStr"/>
      <c r="L251" t="inlineStr"/>
      <c r="M251" t="inlineStr"/>
      <c r="N251" t="inlineStr"/>
      <c r="O251" t="n">
        <v>0</v>
      </c>
      <c r="P251">
        <f>IF(B271=0,0,O251/B271)</f>
        <v/>
      </c>
      <c r="Q251" t="n">
        <v>0</v>
      </c>
      <c r="R251" t="n">
        <v>0</v>
      </c>
      <c r="S251">
        <f>IFERROR(O251/N251,0)</f>
        <v/>
      </c>
    </row>
    <row r="252">
      <c r="A252">
        <f>Skills!A26</f>
        <v/>
      </c>
      <c r="B252">
        <f>Skills!B26</f>
        <v/>
      </c>
      <c r="C252">
        <f>Inputs!$B$3&gt;=50</f>
        <v/>
      </c>
      <c r="D252">
        <f>IF(Skills!C26=1,60+Inputs!$B$24+Inputs!$B$28,IF(Skills!C26=2,90+Inputs!$B$25+Inputs!$B$28,IF(Skills!C26=3,120+Inputs!$B$26+Inputs!$B$28,MAX(0,(Inputs!$B$3-100)*3)+Inputs!$B$27+Inputs!$B$28)))</f>
        <v/>
      </c>
      <c r="E252">
        <f>INDEX(FactorTable!$B$2:$Y$301, MATCH(ROUND(MIN(300,MAX(1,D252)),0), FactorTable!$A$2:$A$301,0), Skills!M26+1)</f>
        <v/>
      </c>
      <c r="F252">
        <f>IF(Skills!N26=TRUE,(Skills!L26/10)*(E252/1000),Skills!L26/10)+Skills!O26</f>
        <v/>
      </c>
      <c r="G252">
        <f>Skills!G26*IF(Skills!H26&gt;0,Skills!I26/Skills!H26,1)</f>
        <v/>
      </c>
      <c r="H252">
        <f>1-(1-Skills!J26/100)^Skills!K26</f>
        <v/>
      </c>
      <c r="I252" t="inlineStr">
        <is>
          <t>1</t>
        </is>
      </c>
      <c r="J252" t="inlineStr"/>
      <c r="K252" t="inlineStr"/>
      <c r="L252" t="inlineStr"/>
      <c r="M252" t="inlineStr"/>
      <c r="N252" t="inlineStr"/>
      <c r="O252" t="n">
        <v>0</v>
      </c>
      <c r="P252">
        <f>IF(B271=0,0,O252/B271)</f>
        <v/>
      </c>
      <c r="Q252" t="n">
        <v>0</v>
      </c>
      <c r="R252" t="n">
        <v>0</v>
      </c>
      <c r="S252">
        <f>IFERROR(O252/N252,0)</f>
        <v/>
      </c>
    </row>
    <row r="253">
      <c r="A253">
        <f>Skills!A27</f>
        <v/>
      </c>
      <c r="B253">
        <f>Skills!B27</f>
        <v/>
      </c>
      <c r="C253">
        <f>Inputs!$B$3&gt;=38</f>
        <v/>
      </c>
      <c r="D253">
        <f>IF(Skills!C27=1,60+Inputs!$B$24+Inputs!$B$28,IF(Skills!C27=2,90+Inputs!$B$25+Inputs!$B$28,IF(Skills!C27=3,120+Inputs!$B$26+Inputs!$B$28,MAX(0,(Inputs!$B$3-100)*3)+Inputs!$B$27+Inputs!$B$28)))</f>
        <v/>
      </c>
      <c r="E253">
        <f>INDEX(FactorTable!$B$2:$Y$301, MATCH(ROUND(MIN(300,MAX(1,D253)),0), FactorTable!$A$2:$A$301,0), Skills!M27+1)</f>
        <v/>
      </c>
      <c r="F253">
        <f>IF(Skills!N27=TRUE,(Skills!L27/10)*(E253/1000),Skills!L27/10)+Skills!O27</f>
        <v/>
      </c>
      <c r="G253">
        <f>Skills!G27*IF(Skills!H27&gt;0,Skills!I27/Skills!H27,1)</f>
        <v/>
      </c>
      <c r="H253">
        <f>1-(1-Skills!J27/100)^Skills!K27</f>
        <v/>
      </c>
      <c r="I253" t="inlineStr">
        <is>
          <t>1</t>
        </is>
      </c>
      <c r="J253" t="inlineStr"/>
      <c r="K253" t="inlineStr"/>
      <c r="L253" t="inlineStr"/>
      <c r="M253" t="inlineStr"/>
      <c r="N253" t="inlineStr"/>
      <c r="O253" t="n">
        <v>0</v>
      </c>
      <c r="P253">
        <f>IF(B271=0,0,O253/B271)</f>
        <v/>
      </c>
      <c r="Q253" t="n">
        <v>0</v>
      </c>
      <c r="R253" t="n">
        <v>0</v>
      </c>
      <c r="S253">
        <f>IFERROR(O253/N253,0)</f>
        <v/>
      </c>
    </row>
    <row r="254">
      <c r="A254">
        <f>Skills!A28</f>
        <v/>
      </c>
      <c r="B254">
        <f>Skills!B28</f>
        <v/>
      </c>
      <c r="C254">
        <f>Inputs!$B$3&gt;=120</f>
        <v/>
      </c>
      <c r="D254">
        <f>IF(Skills!C28=1,60+Inputs!$B$24+Inputs!$B$28,IF(Skills!C28=2,90+Inputs!$B$25+Inputs!$B$28,IF(Skills!C28=3,120+Inputs!$B$26+Inputs!$B$28,MAX(0,(Inputs!$B$3-100)*3)+Inputs!$B$27+Inputs!$B$28)))</f>
        <v/>
      </c>
      <c r="E254">
        <f>INDEX(FactorTable!$B$2:$Y$301, MATCH(ROUND(MIN(300,MAX(1,D254)),0), FactorTable!$A$2:$A$301,0), Skills!M28+1)</f>
        <v/>
      </c>
      <c r="F254">
        <f>IF(Skills!N28=TRUE,(Skills!L28/10)*(E254/1000),Skills!L28/10)+Skills!O28</f>
        <v/>
      </c>
      <c r="G254">
        <f>Skills!G28*IF(Skills!H28&gt;0,Skills!I28/Skills!H28,1)</f>
        <v/>
      </c>
      <c r="H254">
        <f>1-(1-Skills!J28/100)^Skills!K28</f>
        <v/>
      </c>
      <c r="I254" t="inlineStr">
        <is>
          <t>1</t>
        </is>
      </c>
      <c r="J254" t="inlineStr"/>
      <c r="K254" t="inlineStr"/>
      <c r="L254" t="inlineStr"/>
      <c r="M254" t="inlineStr"/>
      <c r="N254" t="inlineStr"/>
      <c r="O254" t="n">
        <v>0</v>
      </c>
      <c r="P254">
        <f>IF(B271=0,0,O254/B271)</f>
        <v/>
      </c>
      <c r="Q254" t="n">
        <v>0</v>
      </c>
      <c r="R254" t="n">
        <v>0</v>
      </c>
      <c r="S254">
        <f>IFERROR(O254/N254,0)</f>
        <v/>
      </c>
    </row>
    <row r="255">
      <c r="A255">
        <f>Skills!A29</f>
        <v/>
      </c>
      <c r="B255">
        <f>Skills!B29</f>
        <v/>
      </c>
      <c r="C255">
        <f>Inputs!$B$3&gt;=120</f>
        <v/>
      </c>
      <c r="D255">
        <f>IF(Skills!C29=1,60+Inputs!$B$24+Inputs!$B$28,IF(Skills!C29=2,90+Inputs!$B$25+Inputs!$B$28,IF(Skills!C29=3,120+Inputs!$B$26+Inputs!$B$28,MAX(0,(Inputs!$B$3-100)*3)+Inputs!$B$27+Inputs!$B$28)))</f>
        <v/>
      </c>
      <c r="E255">
        <f>INDEX(FactorTable!$B$2:$Y$301, MATCH(ROUND(MIN(300,MAX(1,D255)),0), FactorTable!$A$2:$A$301,0), Skills!M29+1)</f>
        <v/>
      </c>
      <c r="F255">
        <f>IF(Skills!N29=TRUE,(Skills!L29/10)*(E255/1000),Skills!L29/10)+Skills!O29</f>
        <v/>
      </c>
      <c r="G255">
        <f>Skills!G29*IF(Skills!H29&gt;0,Skills!I29/Skills!H29,1)</f>
        <v/>
      </c>
      <c r="H255">
        <f>1-(1-Skills!J29/100)^Skills!K29</f>
        <v/>
      </c>
      <c r="I255" t="inlineStr">
        <is>
          <t>1</t>
        </is>
      </c>
      <c r="J255" t="inlineStr"/>
      <c r="K255" t="inlineStr"/>
      <c r="L255" t="inlineStr"/>
      <c r="M255" t="inlineStr"/>
      <c r="N255" t="inlineStr"/>
      <c r="O255" t="n">
        <v>0</v>
      </c>
      <c r="P255">
        <f>IF(B271=0,0,O255/B271)</f>
        <v/>
      </c>
      <c r="Q255" t="n">
        <v>0</v>
      </c>
      <c r="R255" t="n">
        <v>0</v>
      </c>
      <c r="S255">
        <f>IFERROR(O255/N255,0)</f>
        <v/>
      </c>
    </row>
    <row r="256">
      <c r="A256">
        <f>Skills!A30</f>
        <v/>
      </c>
      <c r="B256">
        <f>Skills!B30</f>
        <v/>
      </c>
      <c r="C256">
        <f>Inputs!$B$3&gt;=125</f>
        <v/>
      </c>
      <c r="D256">
        <f>IF(Skills!C30=1,60+Inputs!$B$24+Inputs!$B$28,IF(Skills!C30=2,90+Inputs!$B$25+Inputs!$B$28,IF(Skills!C30=3,120+Inputs!$B$26+Inputs!$B$28,MAX(0,(Inputs!$B$3-100)*3)+Inputs!$B$27+Inputs!$B$28)))</f>
        <v/>
      </c>
      <c r="E256">
        <f>INDEX(FactorTable!$B$2:$Y$301, MATCH(ROUND(MIN(300,MAX(1,D256)),0), FactorTable!$A$2:$A$301,0), Skills!M30+1)</f>
        <v/>
      </c>
      <c r="F256">
        <f>IF(Skills!N30=TRUE,(Skills!L30/10)*(E256/1000),Skills!L30/10)+Skills!O30</f>
        <v/>
      </c>
      <c r="G256">
        <f>Skills!G30*IF(Skills!H30&gt;0,Skills!I30/Skills!H30,1)</f>
        <v/>
      </c>
      <c r="H256">
        <f>1-(1-Skills!J30/100)^Skills!K30</f>
        <v/>
      </c>
      <c r="I256" t="inlineStr">
        <is>
          <t>1</t>
        </is>
      </c>
      <c r="J256" t="inlineStr"/>
      <c r="K256" t="inlineStr"/>
      <c r="L256" t="inlineStr"/>
      <c r="M256" t="inlineStr"/>
      <c r="N256" t="inlineStr"/>
      <c r="O256" t="n">
        <v>0</v>
      </c>
      <c r="P256">
        <f>IF(B271=0,0,O256/B271)</f>
        <v/>
      </c>
      <c r="Q256" t="n">
        <v>0</v>
      </c>
      <c r="R256" t="n">
        <v>0</v>
      </c>
      <c r="S256">
        <f>IFERROR(O256/N256,0)</f>
        <v/>
      </c>
    </row>
    <row r="258">
      <c r="A258" t="inlineStr">
        <is>
          <t>Average Buff Multiplier</t>
        </is>
      </c>
      <c r="B258">
        <f>(1+(((C247=TRUE)*F247*IF(AND(Inputs!$B$4&lt;&gt;"pvp",Inputs!$B$35&gt;0),(((S247-1)*(Skills!Y21*(1+Inputs!$B$33/100))+MIN((Skills!Y21*(1+Inputs!$B$33/100)),MAX(0,Inputs!$B$35-((S247-1)*Skills!D21))))/Inputs!$B$35),IF(Inputs!$B$4="pvp",MIN((Skills!Y21*(1+Inputs!$B$33/100)),15)/15,(Skills!Y21*(1+Inputs!$B$33/100))/Skills!D21)))+((C249=TRUE)*(F249-Calc!F23))+((C243=TRUE)*(F243-Calc!F17)))/100)*(1+((C236=TRUE)*F236*IF(AND(Inputs!$B$4&lt;&gt;"pvp",Inputs!$B$35&gt;0),(((S236-1)*(Skills!Y10*(1+Inputs!$B$33/100))+MIN((Skills!Y10*(1+Inputs!$B$33/100)),MAX(0,Inputs!$B$35-((S236-1)*Skills!D10))))/Inputs!$B$35),IF(Inputs!$B$4="pvp",MIN((Skills!Y10*(1+Inputs!$B$33/100)),15)/15,(Skills!Y10*(1+Inputs!$B$33/100))/Skills!D10)))/100)*(1+((C241=TRUE)*F241*IF(AND(Inputs!$B$4&lt;&gt;"pvp",Inputs!$B$35&gt;0),(((S241-1)*(Skills!Y15*(1+Inputs!$B$33/100))+MIN((Skills!Y15*(1+Inputs!$B$33/100)),MAX(0,Inputs!$B$35-((S241-1)*Skills!D15))))/Inputs!$B$35),IF(Inputs!$B$4="pvp",MIN((Skills!Y15*(1+Inputs!$B$33/100)),15)/15,(Skills!Y15*(1+Inputs!$B$33/100))/Skills!D15)))/100)</f>
        <v/>
      </c>
    </row>
    <row r="259">
      <c r="A259" t="inlineStr">
        <is>
          <t>Global Crit Rate Bonus %</t>
        </is>
      </c>
      <c r="B259">
        <f>((C246=TRUE)*F246*IF(AND(Inputs!$B$4&lt;&gt;"pvp",Inputs!$B$35&gt;0),(((S246-1)*(Skills!Y20*(1+Inputs!$B$33/100))+MIN((Skills!Y20*(1+Inputs!$B$33/100)),MAX(0,Inputs!$B$35-((S246-1)*Skills!D20))))/Inputs!$B$35),IF(Inputs!$B$4="pvp",MIN((Skills!Y20*(1+Inputs!$B$33/100)),15)/15,(Skills!Y20*(1+Inputs!$B$33/100))/Skills!D20)))</f>
        <v/>
      </c>
    </row>
    <row r="260">
      <c r="A260" t="inlineStr">
        <is>
          <t>Global Monster Damage-Taken Bonus %</t>
        </is>
      </c>
      <c r="B260">
        <f>IF(Inputs!$B$3&gt;=82,15,0)</f>
        <v/>
      </c>
    </row>
    <row r="261">
      <c r="A261" t="inlineStr">
        <is>
          <t>Shadow Partner Average Multiplier</t>
        </is>
      </c>
      <c r="B261">
        <f>1+((C233=TRUE)*F233*(1+3.3333333333333335*IF(C244=TRUE,F244,0)/100)*I233*Skills!J7/100)/100</f>
        <v/>
      </c>
    </row>
    <row r="262">
      <c r="A262" t="inlineStr">
        <is>
          <t>Attack Speed Buff Bonus %</t>
        </is>
      </c>
      <c r="B262">
        <f>((C245=TRUE)*F245*IF(AND(Inputs!$B$4&lt;&gt;"pvp",Inputs!$B$35&gt;0),(((S245-1)*(Skills!Y19*(1+Inputs!$B$33/100))+MIN((Skills!Y19*(1+Inputs!$B$33/100)),MAX(0,Inputs!$B$35-((S245-1)*Skills!D19))))/Inputs!$B$35),IF(Inputs!$B$4="pvp",MIN((Skills!Y19*(1+Inputs!$B$33/100)),15)/15,(Skills!Y19*(1+Inputs!$B$33/100))/Skills!D19)))+((C229=TRUE)*F229*3)</f>
        <v/>
      </c>
    </row>
    <row r="263">
      <c r="A263" t="inlineStr">
        <is>
          <t>Actions Per Second</t>
        </is>
      </c>
      <c r="B263">
        <f>1+MIN(150,150*(1-(1-(Inputs!$B$10+((C248=TRUE)*(F248-Calc!F22)))/150)*(1-B262/150)))/100</f>
        <v/>
      </c>
    </row>
    <row r="264">
      <c r="A264" t="inlineStr">
        <is>
          <t>Skill + Buff Cast Rate</t>
        </is>
      </c>
      <c r="B264">
        <f>IF(AND(Inputs!$B$4&lt;&gt;"pvp",Inputs!$B$35&gt;0),SUMPRODUCT((Skills!E2:E30=TRUE)*(C228:C256=TRUE)*R228:R256*Skills!F2:F30)/Inputs!$B$35,SUMPRODUCT((Skills!E2:E30=TRUE)*(C228:C256=TRUE)*Q228:Q256*Skills!F2:F30))</f>
        <v/>
      </c>
    </row>
    <row r="265">
      <c r="A265" t="inlineStr">
        <is>
          <t>Cruel Stab Casts Per Second</t>
        </is>
      </c>
      <c r="B265">
        <f>MAX(0,B263-B264)</f>
        <v/>
      </c>
    </row>
    <row r="266">
      <c r="A266" t="inlineStr">
        <is>
          <t>Global Critical Damage Bonus % (Smokescreen Mastery Lv.113)</t>
        </is>
      </c>
      <c r="B266">
        <f>IF(Inputs!$B$3&gt;=113,30,0)*IF(AND(Inputs!$B$4&lt;&gt;"pvp",Inputs!$B$35&gt;0),(((S241-1)*(Skills!Y15*(1+Inputs!$B$33/100))+MIN((Skills!Y15*(1+Inputs!$B$33/100)),MAX(0,Inputs!$B$35-((S241-1)*Skills!D15))))/Inputs!$B$35),IF(Inputs!$B$4="pvp",MIN((Skills!Y15*(1+Inputs!$B$33/100)),15)/15,(Skills!Y15*(1+Inputs!$B$33/100))/Skills!D15))</f>
        <v/>
      </c>
    </row>
    <row r="267">
      <c r="A267" t="inlineStr">
        <is>
          <t>Meso Explosion average stack count</t>
        </is>
      </c>
      <c r="B267">
        <f>MIN(10,0.5*B263*Skills!D4)</f>
        <v/>
      </c>
    </row>
    <row r="268">
      <c r="A268" t="inlineStr">
        <is>
          <t>Blood Money average stack count</t>
        </is>
      </c>
      <c r="B268">
        <f>MIN(5,0.25*B263*Skills!D4)</f>
        <v/>
      </c>
    </row>
    <row r="269">
      <c r="A269" t="inlineStr">
        <is>
          <t>Assassinate Murderous Intent Multiplier</t>
        </is>
      </c>
      <c r="B269">
        <f>1+IFERROR(MIN(1,Q240*2/Q237),0)</f>
        <v/>
      </c>
    </row>
    <row r="271">
      <c r="A271" s="5" t="inlineStr">
        <is>
          <t>TOTAL DPS</t>
        </is>
      </c>
      <c r="B271" s="5">
        <f>SUM(O228:O256)</f>
        <v/>
      </c>
    </row>
    <row r="274">
      <c r="A274" s="5" t="inlineStr">
        <is>
          <t>Stat: BOSS_DAMAGE %</t>
        </is>
      </c>
    </row>
    <row r="275">
      <c r="A275" s="8" t="inlineStr">
        <is>
          <t>Key</t>
        </is>
      </c>
      <c r="B275" s="8" t="inlineStr">
        <is>
          <t>Name</t>
        </is>
      </c>
      <c r="C275" s="8" t="inlineStr">
        <is>
          <t>Unlocked</t>
        </is>
      </c>
      <c r="D275" s="8" t="inlineStr">
        <is>
          <t>InputLevel</t>
        </is>
      </c>
      <c r="E275" s="8" t="inlineStr">
        <is>
          <t>Factor</t>
        </is>
      </c>
      <c r="F275" s="8" t="inlineStr">
        <is>
          <t>CoefficientPercent</t>
        </is>
      </c>
      <c r="G275" s="8" t="inlineStr">
        <is>
          <t>EffectiveHits</t>
        </is>
      </c>
      <c r="H275" s="8" t="inlineStr">
        <is>
          <t>ProcProbability</t>
        </is>
      </c>
      <c r="I275" s="8" t="inlineStr">
        <is>
          <t>MapleHeroMultiplier</t>
        </is>
      </c>
      <c r="J275" s="8" t="inlineStr">
        <is>
          <t>BaseDamage</t>
        </is>
      </c>
      <c r="K275" s="8" t="inlineStr">
        <is>
          <t>BaseHitDamage</t>
        </is>
      </c>
      <c r="L275" s="8" t="inlineStr">
        <is>
          <t>NonCritAvg</t>
        </is>
      </c>
      <c r="M275" s="8" t="inlineStr">
        <is>
          <t>CritAvg</t>
        </is>
      </c>
      <c r="N275" s="8" t="inlineStr">
        <is>
          <t>ExpectedDamage(perHit)</t>
        </is>
      </c>
      <c r="O275" s="8" t="inlineStr">
        <is>
          <t>DPS</t>
        </is>
      </c>
      <c r="P275" s="8" t="inlineStr">
        <is>
          <t>% of Total</t>
        </is>
      </c>
      <c r="Q275" s="8" t="inlineStr">
        <is>
          <t>InvCooldown</t>
        </is>
      </c>
      <c r="R275" s="8" t="inlineStr">
        <is>
          <t>CastsInFight</t>
        </is>
      </c>
      <c r="S275" s="8" t="inlineStr">
        <is>
          <t>HitRate(perSec)</t>
        </is>
      </c>
      <c r="U275" t="inlineStr">
        <is>
          <t>helpers</t>
        </is>
      </c>
    </row>
    <row r="276">
      <c r="A276">
        <f>Skills!A2</f>
        <v/>
      </c>
      <c r="B276">
        <f>Skills!B2</f>
        <v/>
      </c>
      <c r="C276">
        <f>Inputs!$B$3&gt;=100</f>
        <v/>
      </c>
      <c r="D276" t="inlineStr"/>
      <c r="E276" t="inlineStr"/>
      <c r="F276">
        <f>U278+Skills!O2</f>
        <v/>
      </c>
      <c r="G276">
        <f>Skills!G2*IF(Skills!H2&gt;0,Skills!I2/Skills!H2,1)</f>
        <v/>
      </c>
      <c r="H276">
        <f>1-(1-Skills!J2/100)^Skills!K2</f>
        <v/>
      </c>
      <c r="I276" t="inlineStr">
        <is>
          <t>1</t>
        </is>
      </c>
      <c r="J276">
        <f>(Inputs!$B$5*(1+Inputs!$B$6/100))*(F276/100)</f>
        <v/>
      </c>
      <c r="K276">
        <f>J276*(1+((Inputs!$B$11*(1+Inputs!$B$12/100))*0.01+Inputs!$B$13*0.0025)/100)*(1+Inputs!$B$14/100)*(1+IF(Inputs!$B$4="pvp",0,(1-Summary!$B$55)*((Inputs!$B$19+1)+0+Skills!P2+B308)+Summary!$B$55*(Inputs!$B$20+Skills!Q2+B308))/100)*(1+Inputs!$B$15/100)*(5000/(6000+Inputs!$B$7*(1-Inputs!$B$18/100)))*(1+(Inputs!$B$23+((C304=TRUE)*(F304-Calc!F30)))/100)*(1+(IF(Skills!A2="CRUEL_STAB",Inputs!$B$16+((C301=TRUE)*(F301-Calc!F27)),Inputs!$B$17+((C302=TRUE)*(F302-Calc!F28))))/100)*(((1+(((C295=TRUE)*F295*IF(AND(Inputs!$B$4&lt;&gt;"pvp",Inputs!$B$35&gt;0),(((S295-1)*(Skills!Y21*(1+Inputs!$B$33/100))+MIN((Skills!Y21*(1+Inputs!$B$33/100)),MAX(0,Inputs!$B$35-((S295-1)*Skills!D21))))/Inputs!$B$35),IF(Inputs!$B$4="pvp",MIN((Skills!Y21*(1+Inputs!$B$33/100)),15)/15,(Skills!Y21*(1+Inputs!$B$33/100))/Skills!D21)))+((C297=TRUE)*(F297-Calc!F23))+((C291=TRUE)*(F291-Calc!F17)))/100)*(1+((C284=TRUE)*F284*IF(AND(Inputs!$B$4&lt;&gt;"pvp",Inputs!$B$35&gt;0),(((S284-1)*(Skills!Y10*(1+Inputs!$B$33/100))+MIN((Skills!Y10*(1+Inputs!$B$33/100)),MAX(0,Inputs!$B$35-((S284-1)*Skills!D10))))/Inputs!$B$35),IF(Inputs!$B$4="pvp",MIN((Skills!Y10*(1+Inputs!$B$33/100)),15)/15,(Skills!Y10*(1+Inputs!$B$33/100))/Skills!D10)))/100)*(1+((C289=TRUE)*F289*IF(AND(Inputs!$B$4&lt;&gt;"pvp",Inputs!$B$35&gt;0),(((S289-1)*(Skills!Y15*(1+Inputs!$B$33/100))+MIN((Skills!Y15*(1+Inputs!$B$33/100)),MAX(0,Inputs!$B$35-((S289-1)*Skills!D15))))/Inputs!$B$35),IF(Inputs!$B$4="pvp",MIN((Skills!Y15*(1+Inputs!$B$33/100)),15)/15,(Skills!Y15*(1+Inputs!$B$33/100))/Skills!D15)))/100))*B309*I276)</f>
        <v/>
      </c>
      <c r="L276">
        <f>K276*(MIN(Inputs!$B$21+((C298=TRUE)*(F298-Calc!F24)),Inputs!$B$22+((C303=TRUE)*(F303-Calc!F29)))/100+(Inputs!$B$22+((C303=TRUE)*(F303-Calc!F29)))/100)/2</f>
        <v/>
      </c>
      <c r="M276">
        <f>L276*(1+(Inputs!$B$9+((C300=TRUE)*(F300-Calc!F26))+B314)/100)</f>
        <v/>
      </c>
      <c r="N276">
        <f>L276*(1-MIN((Inputs!$B$8+((C299=TRUE)*(F299-Calc!F25))+B307),100)/100)+M276*(MIN((Inputs!$B$8+((C299=TRUE)*(F299-Calc!F25))+B307),100)/100)</f>
        <v/>
      </c>
      <c r="O276">
        <f>IF(C276,Skills!G2*N276*B313*IF(Inputs!$B$4="pvp",1,(1-Summary!$B$55)*(1)+Summary!$B$55*(MIN((6+Inputs!$B$32),Inputs!$B$37))),0)</f>
        <v/>
      </c>
      <c r="P276">
        <f>IF(B319=0,0,O276/B319)</f>
        <v/>
      </c>
      <c r="Q276" t="n">
        <v>0</v>
      </c>
      <c r="R276" t="n">
        <v>0</v>
      </c>
      <c r="S276">
        <f>IFERROR(O276/N276,0)</f>
        <v/>
      </c>
      <c r="U276">
        <f>MAX(0,(Inputs!$B$3-100)*3)+Inputs!$B$27+Inputs!$B$28</f>
        <v/>
      </c>
    </row>
    <row r="277">
      <c r="A277">
        <f>Skills!A3</f>
        <v/>
      </c>
      <c r="B277">
        <f>Skills!B3</f>
        <v/>
      </c>
      <c r="C277">
        <f>Inputs!$B$3&gt;=35</f>
        <v/>
      </c>
      <c r="D277">
        <f>IF(Skills!C3=1,60+Inputs!$B$24+Inputs!$B$28,IF(Skills!C3=2,90+Inputs!$B$25+Inputs!$B$28,IF(Skills!C3=3,120+Inputs!$B$26+Inputs!$B$28,MAX(0,(Inputs!$B$3-100)*3)+Inputs!$B$27+Inputs!$B$28)))</f>
        <v/>
      </c>
      <c r="E277">
        <f>INDEX(FactorTable!$B$2:$Y$301, MATCH(ROUND(MIN(300,MAX(1,D277)),0), FactorTable!$A$2:$A$301,0), Skills!M3+1)</f>
        <v/>
      </c>
      <c r="F277">
        <f>IF(Skills!N3=TRUE,(Skills!L3/10)*(E277/1000),Skills!L3/10)+Skills!O3</f>
        <v/>
      </c>
      <c r="G277">
        <f>Skills!G3*IF(Skills!H3&gt;0,Skills!I3/Skills!H3,1)</f>
        <v/>
      </c>
      <c r="H277">
        <f>1-(1-Skills!J3/100)^Skills!K3</f>
        <v/>
      </c>
      <c r="I277" t="inlineStr">
        <is>
          <t>1</t>
        </is>
      </c>
      <c r="J277" t="inlineStr"/>
      <c r="K277" t="inlineStr"/>
      <c r="L277" t="inlineStr"/>
      <c r="M277" t="inlineStr"/>
      <c r="N277" t="inlineStr"/>
      <c r="O277" t="n">
        <v>0</v>
      </c>
      <c r="P277">
        <f>IF(B319=0,0,O277/B319)</f>
        <v/>
      </c>
      <c r="Q277" t="n">
        <v>0</v>
      </c>
      <c r="R277" t="n">
        <v>0</v>
      </c>
      <c r="S277">
        <f>IFERROR(O277/N277,0)</f>
        <v/>
      </c>
      <c r="U277">
        <f>INDEX(FactorTable!$B$2:$Y$301, MATCH(ROUND(MIN(300,MAX(1,U276)),0), FactorTable!$A$2:$A$301,0), 22)</f>
        <v/>
      </c>
    </row>
    <row r="278">
      <c r="A278">
        <f>Skills!A4</f>
        <v/>
      </c>
      <c r="B278">
        <f>Skills!B4</f>
        <v/>
      </c>
      <c r="C278">
        <f>Inputs!$B$3&gt;=66</f>
        <v/>
      </c>
      <c r="D278">
        <f>IF(Skills!C4=1,60+Inputs!$B$24+Inputs!$B$28,IF(Skills!C4=2,90+Inputs!$B$25+Inputs!$B$28,IF(Skills!C4=3,120+Inputs!$B$26+Inputs!$B$28,MAX(0,(Inputs!$B$3-100)*3)+Inputs!$B$27+Inputs!$B$28)))</f>
        <v/>
      </c>
      <c r="E278">
        <f>INDEX(FactorTable!$B$2:$Y$301, MATCH(ROUND(MIN(300,MAX(1,D278)),0), FactorTable!$A$2:$A$301,0), Skills!M4+1)</f>
        <v/>
      </c>
      <c r="F278">
        <f>IF(Skills!N4=TRUE,(Skills!L4/10)*(E278/1000),Skills!L4/10)+Skills!O4</f>
        <v/>
      </c>
      <c r="G278">
        <f>Skills!G4*IF(Skills!H4&gt;0,Skills!I4/Skills!H4,1)</f>
        <v/>
      </c>
      <c r="H278">
        <f>1-(1-Skills!J4/100)^Skills!K4</f>
        <v/>
      </c>
      <c r="I278" t="inlineStr">
        <is>
          <t>1</t>
        </is>
      </c>
      <c r="J278">
        <f>(Inputs!$B$5*(1+Inputs!$B$6/100))*(F278/100)</f>
        <v/>
      </c>
      <c r="K278">
        <f>J278*(1+((Inputs!$B$11*(1+Inputs!$B$12/100))*0.01+Inputs!$B$13*0.0025)/100)*(1+Inputs!$B$14/100)*(1+IF(Inputs!$B$4="pvp",0,(1-Summary!$B$55)*((Inputs!$B$19+1)+0+Skills!P4+B308)+Summary!$B$55*(Inputs!$B$20+Skills!Q4+B308))/100)*(1+Inputs!$B$15/100)*(5000/(6000+Inputs!$B$7*(1-Inputs!$B$18/100)))*(1+(Inputs!$B$23+((C304=TRUE)*(F304-Calc!F30)))/100)*(1+(IF(Skills!A4="CRUEL_STAB",Inputs!$B$16+((C301=TRUE)*(F301-Calc!F27)),Inputs!$B$17+((C302=TRUE)*(F302-Calc!F28))))/100)*(((1+(((C295=TRUE)*F295*IF(AND(Inputs!$B$4&lt;&gt;"pvp",Inputs!$B$35&gt;0),(((S295-1)*(Skills!Y21*(1+Inputs!$B$33/100))+MIN((Skills!Y21*(1+Inputs!$B$33/100)),MAX(0,Inputs!$B$35-((S295-1)*Skills!D21))))/Inputs!$B$35),IF(Inputs!$B$4="pvp",MIN((Skills!Y21*(1+Inputs!$B$33/100)),15)/15,(Skills!Y21*(1+Inputs!$B$33/100))/Skills!D21)))+((C297=TRUE)*(F297-Calc!F23))+((C291=TRUE)*(F291-Calc!F17)))/100)*(1+((C284=TRUE)*F284*IF(AND(Inputs!$B$4&lt;&gt;"pvp",Inputs!$B$35&gt;0),(((S284-1)*(Skills!Y10*(1+Inputs!$B$33/100))+MIN((Skills!Y10*(1+Inputs!$B$33/100)),MAX(0,Inputs!$B$35-((S284-1)*Skills!D10))))/Inputs!$B$35),IF(Inputs!$B$4="pvp",MIN((Skills!Y10*(1+Inputs!$B$33/100)),15)/15,(Skills!Y10*(1+Inputs!$B$33/100))/Skills!D10)))/100)*(1+((C289=TRUE)*F289*IF(AND(Inputs!$B$4&lt;&gt;"pvp",Inputs!$B$35&gt;0),(((S289-1)*(Skills!Y15*(1+Inputs!$B$33/100))+MIN((Skills!Y15*(1+Inputs!$B$33/100)),MAX(0,Inputs!$B$35-((S289-1)*Skills!D15))))/Inputs!$B$35),IF(Inputs!$B$4="pvp",MIN((Skills!Y15*(1+Inputs!$B$33/100)),15)/15,(Skills!Y15*(1+Inputs!$B$33/100))/Skills!D15)))/100))*B309*I278)</f>
        <v/>
      </c>
      <c r="L278">
        <f>K278*(MIN(Inputs!$B$21+((C298=TRUE)*(F298-Calc!F24)),Inputs!$B$22+((C303=TRUE)*(F303-Calc!F29)))/100+(Inputs!$B$22+((C303=TRUE)*(F303-Calc!F29)))/100)/2</f>
        <v/>
      </c>
      <c r="M278">
        <f>L278*(1+(Inputs!$B$9+((C300=TRUE)*(F300-Calc!F26))+B314)/100)</f>
        <v/>
      </c>
      <c r="N278">
        <f>L278*(1-MIN((Inputs!$B$8+((C299=TRUE)*(F299-Calc!F25))+B307),100)/100)+M278*(MIN((Inputs!$B$8+((C299=TRUE)*(F299-Calc!F25))+B307),100)/100)</f>
        <v/>
      </c>
      <c r="O278">
        <f>IF(C278,H278*N278*IF(AND(Inputs!$B$4&lt;&gt;"pvp",Inputs!$B$35&gt;0),((Skills!G4*((R278-1)*IF(Skills!H4&gt;0,Skills!I4/Skills!H4,1)+IF(Skills!H4&gt;0,MIN(Skills!I4,MAX(0,Inputs!$B$35-((R278-1)*IF(Inputs!$B$4="pvp",15,MAX(0.1,Skills!D4-IF(Skills!E4=TRUE,Inputs!$B$31,0))))))/Skills!H4,1)))/Inputs!$B$35),G278*Q278)*IF(Inputs!$B$4="pvp",1,(1-Summary!$B$55)*(1)+Summary!$B$55*(MIN(MIN(10,0.5*B311*Skills!D4),Inputs!$B$37))),0)</f>
        <v/>
      </c>
      <c r="P278">
        <f>IF(B319=0,0,O278/B319)</f>
        <v/>
      </c>
      <c r="Q278">
        <f>IFERROR(1/IF(Inputs!$B$4="pvp",15,MAX(0.1,Skills!D4-IF(Skills!E4=TRUE,Inputs!$B$31,0))),0)</f>
        <v/>
      </c>
      <c r="R278">
        <f>IF(AND(Inputs!$B$4&lt;&gt;"pvp",Inputs!$B$35&gt;0),(INT(Inputs!$B$35/IF(Inputs!$B$4="pvp",15,MAX(0.1,Skills!D4-IF(Skills!E4=TRUE,Inputs!$B$31,0))))+1),0)</f>
        <v/>
      </c>
      <c r="S278">
        <f>IFERROR(O278/N278,0)</f>
        <v/>
      </c>
      <c r="U278">
        <f>290*U277/1000</f>
        <v/>
      </c>
    </row>
    <row r="279">
      <c r="A279">
        <f>Skills!A5</f>
        <v/>
      </c>
      <c r="B279">
        <f>Skills!B5</f>
        <v/>
      </c>
      <c r="C279">
        <f>Inputs!$B$3&gt;=63</f>
        <v/>
      </c>
      <c r="D279">
        <f>IF(Skills!C5=1,60+Inputs!$B$24+Inputs!$B$28,IF(Skills!C5=2,90+Inputs!$B$25+Inputs!$B$28,IF(Skills!C5=3,120+Inputs!$B$26+Inputs!$B$28,MAX(0,(Inputs!$B$3-100)*3)+Inputs!$B$27+Inputs!$B$28)))</f>
        <v/>
      </c>
      <c r="E279">
        <f>INDEX(FactorTable!$B$2:$Y$301, MATCH(ROUND(MIN(300,MAX(1,D279)),0), FactorTable!$A$2:$A$301,0), Skills!M5+1)</f>
        <v/>
      </c>
      <c r="F279">
        <f>IF(Skills!N5=TRUE,(Skills!L5/10)*(E279/1000),Skills!L5/10)+Skills!O5</f>
        <v/>
      </c>
      <c r="G279">
        <f>Skills!G5*IF(Skills!H5&gt;0,Skills!I5/Skills!H5,1)</f>
        <v/>
      </c>
      <c r="H279">
        <f>1-(1-Skills!J5/100)^Skills!K5</f>
        <v/>
      </c>
      <c r="I279" t="inlineStr">
        <is>
          <t>1</t>
        </is>
      </c>
      <c r="J279">
        <f>(Inputs!$B$5*(1+Inputs!$B$6/100))*(F279/100)</f>
        <v/>
      </c>
      <c r="K279">
        <f>J279*(1+((Inputs!$B$11*(1+Inputs!$B$12/100))*0.01+Inputs!$B$13*0.0025)/100)*(1+Inputs!$B$14/100)*(1+IF(Inputs!$B$4="pvp",0,(1-Summary!$B$55)*((Inputs!$B$19+1)+0+Skills!P5+B308)+Summary!$B$55*(Inputs!$B$20+Skills!Q5+B308))/100)*(1+Inputs!$B$15/100)*(5000/(6000+Inputs!$B$7*(1-Inputs!$B$18/100)))*(1+(Inputs!$B$23+((C304=TRUE)*(F304-Calc!F30)))/100)*(1+2.6666666666666665*IF(C292=TRUE,F292,0)/100)*(1+(IF(Skills!A5="CRUEL_STAB",Inputs!$B$16+((C301=TRUE)*(F301-Calc!F27)),Inputs!$B$17+((C302=TRUE)*(F302-Calc!F28))))/100)*(((1+(((C295=TRUE)*F295*IF(AND(Inputs!$B$4&lt;&gt;"pvp",Inputs!$B$35&gt;0),(((S295-1)*(Skills!Y21*(1+Inputs!$B$33/100))+MIN((Skills!Y21*(1+Inputs!$B$33/100)),MAX(0,Inputs!$B$35-((S295-1)*Skills!D21))))/Inputs!$B$35),IF(Inputs!$B$4="pvp",MIN((Skills!Y21*(1+Inputs!$B$33/100)),15)/15,(Skills!Y21*(1+Inputs!$B$33/100))/Skills!D21)))+((C297=TRUE)*(F297-Calc!F23))+((C291=TRUE)*(F291-Calc!F17)))/100)*(1+((C284=TRUE)*F284*IF(AND(Inputs!$B$4&lt;&gt;"pvp",Inputs!$B$35&gt;0),(((S284-1)*(Skills!Y10*(1+Inputs!$B$33/100))+MIN((Skills!Y10*(1+Inputs!$B$33/100)),MAX(0,Inputs!$B$35-((S284-1)*Skills!D10))))/Inputs!$B$35),IF(Inputs!$B$4="pvp",MIN((Skills!Y10*(1+Inputs!$B$33/100)),15)/15,(Skills!Y10*(1+Inputs!$B$33/100))/Skills!D10)))/100)*(1+((C289=TRUE)*F289*IF(AND(Inputs!$B$4&lt;&gt;"pvp",Inputs!$B$35&gt;0),(((S289-1)*(Skills!Y15*(1+Inputs!$B$33/100))+MIN((Skills!Y15*(1+Inputs!$B$33/100)),MAX(0,Inputs!$B$35-((S289-1)*Skills!D15))))/Inputs!$B$35),IF(Inputs!$B$4="pvp",MIN((Skills!Y15*(1+Inputs!$B$33/100)),15)/15,(Skills!Y15*(1+Inputs!$B$33/100))/Skills!D15)))/100))*B309*I279)</f>
        <v/>
      </c>
      <c r="L279">
        <f>K279*(MIN(Inputs!$B$21+((C298=TRUE)*(F298-Calc!F24)),Inputs!$B$22+((C303=TRUE)*(F303-Calc!F29)))/100+(Inputs!$B$22+((C303=TRUE)*(F303-Calc!F29)))/100)/2</f>
        <v/>
      </c>
      <c r="M279">
        <f>L279*(1+(Inputs!$B$9+((C300=TRUE)*(F300-Calc!F26))+B314)/100)</f>
        <v/>
      </c>
      <c r="N279">
        <f>L279*(1-MIN((Inputs!$B$8+((C299=TRUE)*(F299-Calc!F25))+B307),100)/100)+M279*(MIN((Inputs!$B$8+((C299=TRUE)*(F299-Calc!F25))+B307),100)/100)</f>
        <v/>
      </c>
      <c r="O279">
        <f>IF(C279,H279*N279*IF(AND(Inputs!$B$4&lt;&gt;"pvp",Inputs!$B$35&gt;0),((Skills!G5*((R279-1)*IF(Skills!H5&gt;0,Skills!I5/Skills!H5,1)+IF(Skills!H5&gt;0,MIN(Skills!I5,MAX(0,Inputs!$B$35-((R279-1)*IF(Inputs!$B$4="pvp",15,MAX(0.1,Skills!D5-IF(Skills!E5=TRUE,Inputs!$B$31,0))))))/Skills!H5,1)))/Inputs!$B$35),G279*Q279)*IF(Inputs!$B$4="pvp",1,(1-Summary!$B$55)*(1)+Summary!$B$55*(MIN(Skills!W5,Inputs!$B$37))),0)</f>
        <v/>
      </c>
      <c r="P279">
        <f>IF(B319=0,0,O279/B319)</f>
        <v/>
      </c>
      <c r="Q279">
        <f>IFERROR(1/IF(Inputs!$B$4="pvp",15,MAX(0.1,Skills!D5-IF(Skills!E5=TRUE,Inputs!$B$31,0))),0)</f>
        <v/>
      </c>
      <c r="R279">
        <f>IF(AND(Inputs!$B$4&lt;&gt;"pvp",Inputs!$B$35&gt;0),(INT(Inputs!$B$35/IF(Inputs!$B$4="pvp",15,MAX(0.1,Skills!D5-IF(Skills!E5=TRUE,Inputs!$B$31,0))))+1),0)</f>
        <v/>
      </c>
      <c r="S279">
        <f>IFERROR(O279/N279,0)</f>
        <v/>
      </c>
    </row>
    <row r="280">
      <c r="A280">
        <f>Skills!A6</f>
        <v/>
      </c>
      <c r="B280">
        <f>Skills!B6</f>
        <v/>
      </c>
      <c r="C280">
        <f>Inputs!$B$3&gt;=69</f>
        <v/>
      </c>
      <c r="D280">
        <f>IF(Skills!C6=1,60+Inputs!$B$24+Inputs!$B$28,IF(Skills!C6=2,90+Inputs!$B$25+Inputs!$B$28,IF(Skills!C6=3,120+Inputs!$B$26+Inputs!$B$28,MAX(0,(Inputs!$B$3-100)*3)+Inputs!$B$27+Inputs!$B$28)))</f>
        <v/>
      </c>
      <c r="E280">
        <f>INDEX(FactorTable!$B$2:$Y$301, MATCH(ROUND(MIN(300,MAX(1,D280)),0), FactorTable!$A$2:$A$301,0), Skills!M6+1)</f>
        <v/>
      </c>
      <c r="F280">
        <f>IF(Skills!N6=TRUE,(Skills!L6/10)*(E280/1000),Skills!L6/10)+Skills!O6</f>
        <v/>
      </c>
      <c r="G280">
        <f>Skills!G6*IF(Skills!H6&gt;0,Skills!I6/Skills!H6,1)</f>
        <v/>
      </c>
      <c r="H280">
        <f>1-(1-Skills!J6/100)^Skills!K6</f>
        <v/>
      </c>
      <c r="I280" t="inlineStr">
        <is>
          <t>1</t>
        </is>
      </c>
      <c r="J280">
        <f>(Inputs!$B$5*(1+Inputs!$B$6/100))*(F280/100)</f>
        <v/>
      </c>
      <c r="K280">
        <f>J280*(1+((Inputs!$B$11*(1+Inputs!$B$12/100))*0.01+Inputs!$B$13*0.0025)/100)*(1+Inputs!$B$14/100)*(1+IF(Inputs!$B$4="pvp",0,(1-Summary!$B$55)*((Inputs!$B$19+1)+0+Skills!P6+B308)+Summary!$B$55*(Inputs!$B$20+Skills!Q6+B308))/100)*(1+Inputs!$B$15/100)*(5000/(6000+Inputs!$B$7*(1-Inputs!$B$18/100)))*(1+(Inputs!$B$23+((C304=TRUE)*(F304-Calc!F30)))/100)*(1+1.0*IF(C292=TRUE,F292,0)/100)*(1+(IF(Skills!A6="CRUEL_STAB",Inputs!$B$16+((C301=TRUE)*(F301-Calc!F27)),Inputs!$B$17+((C302=TRUE)*(F302-Calc!F28))))/100)*(((1+(((C295=TRUE)*F295*IF(AND(Inputs!$B$4&lt;&gt;"pvp",Inputs!$B$35&gt;0),(((S295-1)*(Skills!Y21*(1+Inputs!$B$33/100))+MIN((Skills!Y21*(1+Inputs!$B$33/100)),MAX(0,Inputs!$B$35-((S295-1)*Skills!D21))))/Inputs!$B$35),IF(Inputs!$B$4="pvp",MIN((Skills!Y21*(1+Inputs!$B$33/100)),15)/15,(Skills!Y21*(1+Inputs!$B$33/100))/Skills!D21)))+((C297=TRUE)*(F297-Calc!F23))+((C291=TRUE)*(F291-Calc!F17)))/100)*(1+((C284=TRUE)*F284*IF(AND(Inputs!$B$4&lt;&gt;"pvp",Inputs!$B$35&gt;0),(((S284-1)*(Skills!Y10*(1+Inputs!$B$33/100))+MIN((Skills!Y10*(1+Inputs!$B$33/100)),MAX(0,Inputs!$B$35-((S284-1)*Skills!D10))))/Inputs!$B$35),IF(Inputs!$B$4="pvp",MIN((Skills!Y10*(1+Inputs!$B$33/100)),15)/15,(Skills!Y10*(1+Inputs!$B$33/100))/Skills!D10)))/100)*(1+((C289=TRUE)*F289*IF(AND(Inputs!$B$4&lt;&gt;"pvp",Inputs!$B$35&gt;0),(((S289-1)*(Skills!Y15*(1+Inputs!$B$33/100))+MIN((Skills!Y15*(1+Inputs!$B$33/100)),MAX(0,Inputs!$B$35-((S289-1)*Skills!D15))))/Inputs!$B$35),IF(Inputs!$B$4="pvp",MIN((Skills!Y15*(1+Inputs!$B$33/100)),15)/15,(Skills!Y15*(1+Inputs!$B$33/100))/Skills!D15)))/100))*B309*I280)</f>
        <v/>
      </c>
      <c r="L280">
        <f>K280*(MIN(Inputs!$B$21+((C298=TRUE)*(F298-Calc!F24)),Inputs!$B$22+((C303=TRUE)*(F303-Calc!F29)))/100+(Inputs!$B$22+((C303=TRUE)*(F303-Calc!F29)))/100)/2</f>
        <v/>
      </c>
      <c r="M280">
        <f>L280*(1+(Inputs!$B$9+((C300=TRUE)*(F300-Calc!F26))+B314)/100)</f>
        <v/>
      </c>
      <c r="N280">
        <f>L280*(1-MIN((Inputs!$B$8+((C299=TRUE)*(F299-Calc!F25))+B307),100)/100)+M280*(MIN((Inputs!$B$8+((C299=TRUE)*(F299-Calc!F25))+B307),100)/100)</f>
        <v/>
      </c>
      <c r="O280">
        <f>IF(C280,H280*N280*IF(AND(Inputs!$B$4&lt;&gt;"pvp",Inputs!$B$35&gt;0),((Skills!G6*((R280-1)*IF(Skills!H6&gt;0,Skills!I6/Skills!H6,1)+IF(Skills!H6&gt;0,MIN(Skills!I6,MAX(0,Inputs!$B$35-((R280-1)*IF(Inputs!$B$4="pvp",15,MAX(0.1,Skills!D6-IF(Skills!E6=TRUE,Inputs!$B$31,0))))))/Skills!H6,1)))/Inputs!$B$35),G280*Q280)*IF(Inputs!$B$4="pvp",1,(1-Summary!$B$55)*(1)+Summary!$B$55*(MIN(Skills!W6,Inputs!$B$37))),0)</f>
        <v/>
      </c>
      <c r="P280">
        <f>IF(B319=0,0,O280/B319)</f>
        <v/>
      </c>
      <c r="Q280">
        <f>IFERROR(1/IF(Inputs!$B$4="pvp",15,MAX(0.1,Skills!D6-IF(Skills!E6=TRUE,Inputs!$B$31,0))),0)</f>
        <v/>
      </c>
      <c r="R280">
        <f>IF(AND(Inputs!$B$4&lt;&gt;"pvp",Inputs!$B$35&gt;0),(INT(Inputs!$B$35/IF(Inputs!$B$4="pvp",15,MAX(0.1,Skills!D6-IF(Skills!E6=TRUE,Inputs!$B$31,0))))+1),0)</f>
        <v/>
      </c>
      <c r="S280">
        <f>IFERROR(O280/N280,0)</f>
        <v/>
      </c>
    </row>
    <row r="281">
      <c r="A281">
        <f>Skills!A7</f>
        <v/>
      </c>
      <c r="B281">
        <f>Skills!B7</f>
        <v/>
      </c>
      <c r="C281">
        <f>Inputs!$B$3&gt;=60</f>
        <v/>
      </c>
      <c r="D281">
        <f>IF(Skills!C7=1,60+Inputs!$B$24+Inputs!$B$28,IF(Skills!C7=2,90+Inputs!$B$25+Inputs!$B$28,IF(Skills!C7=3,120+Inputs!$B$26+Inputs!$B$28,MAX(0,(Inputs!$B$3-100)*3)+Inputs!$B$27+Inputs!$B$28)))</f>
        <v/>
      </c>
      <c r="E281">
        <f>INDEX(FactorTable!$B$2:$Y$301, MATCH(ROUND(MIN(300,MAX(1,D281)),0), FactorTable!$A$2:$A$301,0), Skills!M7+1)</f>
        <v/>
      </c>
      <c r="F281">
        <f>IF(Skills!N7=TRUE,(Skills!L7/10)*(E281/1000),Skills!L7/10)+Skills!O7</f>
        <v/>
      </c>
      <c r="G281">
        <f>Skills!G7*IF(Skills!H7&gt;0,Skills!I7/Skills!H7,1)</f>
        <v/>
      </c>
      <c r="H281">
        <f>1-(1-Skills!J7/100)^Skills!K7</f>
        <v/>
      </c>
      <c r="I281" t="inlineStr">
        <is>
          <t>1</t>
        </is>
      </c>
      <c r="J281" t="inlineStr"/>
      <c r="K281" t="inlineStr"/>
      <c r="L281" t="inlineStr"/>
      <c r="M281" t="inlineStr"/>
      <c r="N281" t="inlineStr"/>
      <c r="O281" t="n">
        <v>0</v>
      </c>
      <c r="P281">
        <f>IF(B319=0,0,O281/B319)</f>
        <v/>
      </c>
      <c r="Q281" t="n">
        <v>0</v>
      </c>
      <c r="R281" t="n">
        <v>0</v>
      </c>
      <c r="S281">
        <f>IFERROR(O281/N281,0)</f>
        <v/>
      </c>
    </row>
    <row r="282">
      <c r="A282">
        <f>Skills!A8</f>
        <v/>
      </c>
      <c r="B282">
        <f>Skills!B8</f>
        <v/>
      </c>
      <c r="C282">
        <f>Inputs!$B$3&gt;=72</f>
        <v/>
      </c>
      <c r="D282">
        <f>IF(Skills!C8=1,60+Inputs!$B$24+Inputs!$B$28,IF(Skills!C8=2,90+Inputs!$B$25+Inputs!$B$28,IF(Skills!C8=3,120+Inputs!$B$26+Inputs!$B$28,MAX(0,(Inputs!$B$3-100)*3)+Inputs!$B$27+Inputs!$B$28)))</f>
        <v/>
      </c>
      <c r="E282">
        <f>INDEX(FactorTable!$B$2:$Y$301, MATCH(ROUND(MIN(300,MAX(1,D282)),0), FactorTable!$A$2:$A$301,0), Skills!M8+1)</f>
        <v/>
      </c>
      <c r="F282">
        <f>IF(Skills!N8=TRUE,(Skills!L8/10)*(E282/1000),Skills!L8/10)+Skills!O8</f>
        <v/>
      </c>
      <c r="G282">
        <f>Skills!G8*IF(Skills!H8&gt;0,Skills!I8/Skills!H8,1)</f>
        <v/>
      </c>
      <c r="H282">
        <f>1-(1-Skills!J8/100)^Skills!K8</f>
        <v/>
      </c>
      <c r="I282" t="inlineStr">
        <is>
          <t>1</t>
        </is>
      </c>
      <c r="J282">
        <f>(Inputs!$B$5*(1+Inputs!$B$6/100))*(F282/100)</f>
        <v/>
      </c>
      <c r="K282">
        <f>J282*(1+((Inputs!$B$11*(1+Inputs!$B$12/100))*0.01+Inputs!$B$13*0.0025)/100)*(1+Inputs!$B$14/100)*(1+IF(Inputs!$B$4="pvp",0,(1-Summary!$B$55)*((Inputs!$B$19+1)+0+Skills!P8+B308)+Summary!$B$55*(Inputs!$B$20+Skills!Q8+B308))/100)*(1+Inputs!$B$15/100)*(5000/(6000+Inputs!$B$7*(1-Inputs!$B$18/100)))*(1+(Inputs!$B$23+((C304=TRUE)*(F304-Calc!F30)))/100)*(1+3.3333333333333335*IF(C292=TRUE,F292,0)/100)*(1+(IF(Skills!A8="CRUEL_STAB",Inputs!$B$16+((C301=TRUE)*(F301-Calc!F27)),Inputs!$B$17+((C302=TRUE)*(F302-Calc!F28))))/100)*(((1+(((C295=TRUE)*F295*IF(AND(Inputs!$B$4&lt;&gt;"pvp",Inputs!$B$35&gt;0),(((S295-1)*(Skills!Y21*(1+Inputs!$B$33/100))+MIN((Skills!Y21*(1+Inputs!$B$33/100)),MAX(0,Inputs!$B$35-((S295-1)*Skills!D21))))/Inputs!$B$35),IF(Inputs!$B$4="pvp",MIN((Skills!Y21*(1+Inputs!$B$33/100)),15)/15,(Skills!Y21*(1+Inputs!$B$33/100))/Skills!D21)))+((C297=TRUE)*(F297-Calc!F23))+((C291=TRUE)*(F291-Calc!F17)))/100)*(1+((C284=TRUE)*F284*IF(AND(Inputs!$B$4&lt;&gt;"pvp",Inputs!$B$35&gt;0),(((S284-1)*(Skills!Y10*(1+Inputs!$B$33/100))+MIN((Skills!Y10*(1+Inputs!$B$33/100)),MAX(0,Inputs!$B$35-((S284-1)*Skills!D10))))/Inputs!$B$35),IF(Inputs!$B$4="pvp",MIN((Skills!Y10*(1+Inputs!$B$33/100)),15)/15,(Skills!Y10*(1+Inputs!$B$33/100))/Skills!D10)))/100)*(1+((C289=TRUE)*F289*IF(AND(Inputs!$B$4&lt;&gt;"pvp",Inputs!$B$35&gt;0),(((S289-1)*(Skills!Y15*(1+Inputs!$B$33/100))+MIN((Skills!Y15*(1+Inputs!$B$33/100)),MAX(0,Inputs!$B$35-((S289-1)*Skills!D15))))/Inputs!$B$35),IF(Inputs!$B$4="pvp",MIN((Skills!Y15*(1+Inputs!$B$33/100)),15)/15,(Skills!Y15*(1+Inputs!$B$33/100))/Skills!D15)))/100))*B309*I282)</f>
        <v/>
      </c>
      <c r="L282">
        <f>K282*(MIN(Inputs!$B$21+((C298=TRUE)*(F298-Calc!F24)),Inputs!$B$22+((C303=TRUE)*(F303-Calc!F29)))/100+(Inputs!$B$22+((C303=TRUE)*(F303-Calc!F29)))/100)/2</f>
        <v/>
      </c>
      <c r="M282">
        <f>L282*(1+(Inputs!$B$9+((C300=TRUE)*(F300-Calc!F26))+B314)/100)</f>
        <v/>
      </c>
      <c r="N282">
        <f>L282*(1-MIN((Inputs!$B$8+((C299=TRUE)*(F299-Calc!F25))+B307),100)/100)+M282*(MIN((Inputs!$B$8+((C299=TRUE)*(F299-Calc!F25))+B307),100)/100)</f>
        <v/>
      </c>
      <c r="O282">
        <f>IF(C282,H282*N282*IF(AND(Inputs!$B$4&lt;&gt;"pvp",Inputs!$B$35&gt;0),((Skills!G8*((R282-1)*IF(Skills!H8&gt;0,Skills!I8/Skills!H8,1)+IF(Skills!H8&gt;0,MIN(Skills!I8,MAX(0,Inputs!$B$35-((R282-1)*IF(Inputs!$B$4="pvp",15,MAX(0.1,Skills!D8-IF(Skills!E8=TRUE,Inputs!$B$31,0))))))/Skills!H8,1)))/Inputs!$B$35),G282*Q282)*IF(Inputs!$B$4="pvp",1,(1-Summary!$B$55)*(1)+Summary!$B$55*(MIN(Skills!W8,Inputs!$B$37))),0)</f>
        <v/>
      </c>
      <c r="P282">
        <f>IF(B319=0,0,O282/B319)</f>
        <v/>
      </c>
      <c r="Q282">
        <f>IFERROR(1/IF(Inputs!$B$4="pvp",15,MAX(0.1,Skills!D8-IF(Skills!E8=TRUE,Inputs!$B$31,0))),0)</f>
        <v/>
      </c>
      <c r="R282">
        <f>IF(AND(Inputs!$B$4&lt;&gt;"pvp",Inputs!$B$35&gt;0),(INT(Inputs!$B$35/IF(Inputs!$B$4="pvp",15,MAX(0.1,Skills!D8-IF(Skills!E8=TRUE,Inputs!$B$31,0))))+1),0)</f>
        <v/>
      </c>
      <c r="S282">
        <f>IFERROR(O282/N282,0)</f>
        <v/>
      </c>
    </row>
    <row r="283">
      <c r="A283">
        <f>Skills!A9</f>
        <v/>
      </c>
      <c r="B283">
        <f>Skills!B9</f>
        <v/>
      </c>
      <c r="C283">
        <f>Inputs!$B$3&gt;=117</f>
        <v/>
      </c>
      <c r="D283">
        <f>IF(Skills!C9=1,60+Inputs!$B$24+Inputs!$B$28,IF(Skills!C9=2,90+Inputs!$B$25+Inputs!$B$28,IF(Skills!C9=3,120+Inputs!$B$26+Inputs!$B$28,MAX(0,(Inputs!$B$3-100)*3)+Inputs!$B$27+Inputs!$B$28)))</f>
        <v/>
      </c>
      <c r="E283">
        <f>INDEX(FactorTable!$B$2:$Y$301, MATCH(ROUND(MIN(300,MAX(1,D283)),0), FactorTable!$A$2:$A$301,0), Skills!M9+1)</f>
        <v/>
      </c>
      <c r="F283">
        <f>IF(Skills!N9=TRUE,(Skills!L9/10)*(E283/1000),Skills!L9/10)+Skills!O9</f>
        <v/>
      </c>
      <c r="G283">
        <f>Skills!G9*IF(Skills!H9&gt;0,Skills!I9/Skills!H9,1)</f>
        <v/>
      </c>
      <c r="H283">
        <f>1-(1-Skills!J9/100)^Skills!K9</f>
        <v/>
      </c>
      <c r="I283" t="inlineStr">
        <is>
          <t>1</t>
        </is>
      </c>
      <c r="J283">
        <f>(Inputs!$B$5*(1+Inputs!$B$6/100))*(F283/100)</f>
        <v/>
      </c>
      <c r="K283">
        <f>J283*(1+((Inputs!$B$11*(1+Inputs!$B$12/100))*0.01+Inputs!$B$13*0.0025)/100)*(1+Inputs!$B$14/100)*(1+IF(Inputs!$B$4="pvp",0,(1-Summary!$B$55)*((Inputs!$B$19+1)+0+Skills!P9+B308)+Summary!$B$55*(Inputs!$B$20+Skills!Q9+B308))/100)*(1+Inputs!$B$15/100)*(5000/(6000+Inputs!$B$7*(1-Inputs!$B$18/100)))*(1+(Inputs!$B$23+((C304=TRUE)*(F304-Calc!F30)))/100)*(1+(IF(Skills!A9="CRUEL_STAB",Inputs!$B$16+((C301=TRUE)*(F301-Calc!F27)),Inputs!$B$17+((C302=TRUE)*(F302-Calc!F28))))/100)*(((1+(((C295=TRUE)*F295*IF(AND(Inputs!$B$4&lt;&gt;"pvp",Inputs!$B$35&gt;0),(((S295-1)*(Skills!Y21*(1+Inputs!$B$33/100))+MIN((Skills!Y21*(1+Inputs!$B$33/100)),MAX(0,Inputs!$B$35-((S295-1)*Skills!D21))))/Inputs!$B$35),IF(Inputs!$B$4="pvp",MIN((Skills!Y21*(1+Inputs!$B$33/100)),15)/15,(Skills!Y21*(1+Inputs!$B$33/100))/Skills!D21)))+((C297=TRUE)*(F297-Calc!F23))+((C291=TRUE)*(F291-Calc!F17)))/100)*(1+((C284=TRUE)*F284*IF(AND(Inputs!$B$4&lt;&gt;"pvp",Inputs!$B$35&gt;0),(((S284-1)*(Skills!Y10*(1+Inputs!$B$33/100))+MIN((Skills!Y10*(1+Inputs!$B$33/100)),MAX(0,Inputs!$B$35-((S284-1)*Skills!D10))))/Inputs!$B$35),IF(Inputs!$B$4="pvp",MIN((Skills!Y10*(1+Inputs!$B$33/100)),15)/15,(Skills!Y10*(1+Inputs!$B$33/100))/Skills!D10)))/100)*(1+((C289=TRUE)*F289*IF(AND(Inputs!$B$4&lt;&gt;"pvp",Inputs!$B$35&gt;0),(((S289-1)*(Skills!Y15*(1+Inputs!$B$33/100))+MIN((Skills!Y15*(1+Inputs!$B$33/100)),MAX(0,Inputs!$B$35-((S289-1)*Skills!D15))))/Inputs!$B$35),IF(Inputs!$B$4="pvp",MIN((Skills!Y15*(1+Inputs!$B$33/100)),15)/15,(Skills!Y15*(1+Inputs!$B$33/100))/Skills!D15)))/100))*B309*I283)</f>
        <v/>
      </c>
      <c r="L283">
        <f>K283*(MIN(Inputs!$B$21+((C298=TRUE)*(F298-Calc!F24)),Inputs!$B$22+((C303=TRUE)*(F303-Calc!F29)))/100+(Inputs!$B$22+((C303=TRUE)*(F303-Calc!F29)))/100)/2</f>
        <v/>
      </c>
      <c r="M283">
        <f>L283*(1+(Inputs!$B$9+((C300=TRUE)*(F300-Calc!F26))+B314)/100)</f>
        <v/>
      </c>
      <c r="N283">
        <f>L283*(1-MIN((Inputs!$B$8+((C299=TRUE)*(F299-Calc!F25))+B307),100)/100)+M283*(MIN((Inputs!$B$8+((C299=TRUE)*(F299-Calc!F25))+B307),100)/100)</f>
        <v/>
      </c>
      <c r="O283">
        <f>IF(C283,0.2*SUMPRODUCT((Skills!Z2:Z30=TRUE)*(C276:C304=TRUE)*S276:S304)*N283,0)</f>
        <v/>
      </c>
      <c r="P283">
        <f>IF(B319=0,0,O283/B319)</f>
        <v/>
      </c>
      <c r="Q283" t="n">
        <v>0</v>
      </c>
      <c r="R283" t="n">
        <v>0</v>
      </c>
      <c r="S283" t="n">
        <v>0</v>
      </c>
    </row>
    <row r="284">
      <c r="A284">
        <f>Skills!A10</f>
        <v/>
      </c>
      <c r="B284">
        <f>Skills!B10</f>
        <v/>
      </c>
      <c r="C284">
        <f>Inputs!$B$3&gt;=74</f>
        <v/>
      </c>
      <c r="D284">
        <f>IF(Skills!C10=1,60+Inputs!$B$24+Inputs!$B$28,IF(Skills!C10=2,90+Inputs!$B$25+Inputs!$B$28,IF(Skills!C10=3,120+Inputs!$B$26+Inputs!$B$28,MAX(0,(Inputs!$B$3-100)*3)+Inputs!$B$27+Inputs!$B$28)))</f>
        <v/>
      </c>
      <c r="E284">
        <f>INDEX(FactorTable!$B$2:$Y$301, MATCH(ROUND(MIN(300,MAX(1,D284)),0), FactorTable!$A$2:$A$301,0), Skills!M10+1)</f>
        <v/>
      </c>
      <c r="F284">
        <f>IF(Skills!N10=TRUE,(Skills!L10/10)*(E284/1000),Skills!L10/10)+Skills!O10</f>
        <v/>
      </c>
      <c r="G284">
        <f>Skills!G10*IF(Skills!H10&gt;0,Skills!I10/Skills!H10,1)</f>
        <v/>
      </c>
      <c r="H284">
        <f>1-(1-Skills!J10/100)^Skills!K10</f>
        <v/>
      </c>
      <c r="I284" t="inlineStr">
        <is>
          <t>1</t>
        </is>
      </c>
      <c r="J284" t="inlineStr"/>
      <c r="K284" t="inlineStr"/>
      <c r="L284" t="inlineStr"/>
      <c r="M284" t="inlineStr"/>
      <c r="N284" t="inlineStr"/>
      <c r="O284" t="n">
        <v>0</v>
      </c>
      <c r="P284">
        <f>IF(B319=0,0,O284/B319)</f>
        <v/>
      </c>
      <c r="Q284">
        <f>IFERROR(1/IF(Inputs!$B$4="pvp",15,MAX(0.1,Skills!D10-IF(Skills!E10=TRUE,Inputs!$B$31,0))),0)</f>
        <v/>
      </c>
      <c r="R284">
        <f>IF(AND(Inputs!$B$4&lt;&gt;"pvp",Inputs!$B$35&gt;0),(INT(Inputs!$B$35/IF(Inputs!$B$4="pvp",15,MAX(0.1,Skills!D10-IF(Skills!E10=TRUE,Inputs!$B$31,0))))+1),0)</f>
        <v/>
      </c>
      <c r="S284">
        <f>IFERROR(O284/N284,0)</f>
        <v/>
      </c>
    </row>
    <row r="285">
      <c r="A285">
        <f>Skills!A11</f>
        <v/>
      </c>
      <c r="B285">
        <f>Skills!B11</f>
        <v/>
      </c>
      <c r="C285">
        <f>Inputs!$B$3&gt;=103</f>
        <v/>
      </c>
      <c r="D285">
        <f>IF(Skills!C11=1,60+Inputs!$B$24+Inputs!$B$28,IF(Skills!C11=2,90+Inputs!$B$25+Inputs!$B$28,IF(Skills!C11=3,120+Inputs!$B$26+Inputs!$B$28,MAX(0,(Inputs!$B$3-100)*3)+Inputs!$B$27+Inputs!$B$28)))</f>
        <v/>
      </c>
      <c r="E285">
        <f>INDEX(FactorTable!$B$2:$Y$301, MATCH(ROUND(MIN(300,MAX(1,D285)),0), FactorTable!$A$2:$A$301,0), Skills!M11+1)</f>
        <v/>
      </c>
      <c r="F285">
        <f>(Skills!L11/10)*(E285/1000)+IF(Inputs!$B$3&gt;=134,50,0)+0.5*(30000/10)*(INDEX(FactorTable!$B$2:$Y$301, MATCH(ROUND(MIN(300,MAX(1,D285)),0), FactorTable!$A$2:$A$301,0), 13)/1000)*B317</f>
        <v/>
      </c>
      <c r="G285">
        <f>Skills!G11*IF(Skills!H11&gt;0,Skills!I11/Skills!H11,1)</f>
        <v/>
      </c>
      <c r="H285">
        <f>1-(1-Skills!J11/100)^Skills!K11</f>
        <v/>
      </c>
      <c r="I285" t="inlineStr">
        <is>
          <t>1</t>
        </is>
      </c>
      <c r="J285">
        <f>(Inputs!$B$5*(1+Inputs!$B$6/100))*(F285/100)</f>
        <v/>
      </c>
      <c r="K285">
        <f>J285*(1+((Inputs!$B$11*(1+Inputs!$B$12/100))*0.01+Inputs!$B$13*0.0025)/100)*(1+Inputs!$B$14/100)*(1+IF(Inputs!$B$4="pvp",0,(1-Summary!$B$55)*((Inputs!$B$19+1)+0+Skills!P11+B308)+Summary!$B$55*(Inputs!$B$20+Skills!Q11+B308))/100)*(1+Inputs!$B$15/100)*(5000/(6000+Inputs!$B$7*(1-Inputs!$B$18/100)))*(1+(Inputs!$B$23+((C304=TRUE)*(F304-Calc!F30)))/100)*(1+(IF(Skills!A11="CRUEL_STAB",Inputs!$B$16+((C301=TRUE)*(F301-Calc!F27)),Inputs!$B$17+((C302=TRUE)*(F302-Calc!F28))))/100)*(((1+(((C295=TRUE)*F295*IF(AND(Inputs!$B$4&lt;&gt;"pvp",Inputs!$B$35&gt;0),(((S295-1)*(Skills!Y21*(1+Inputs!$B$33/100))+MIN((Skills!Y21*(1+Inputs!$B$33/100)),MAX(0,Inputs!$B$35-((S295-1)*Skills!D21))))/Inputs!$B$35),IF(Inputs!$B$4="pvp",MIN((Skills!Y21*(1+Inputs!$B$33/100)),15)/15,(Skills!Y21*(1+Inputs!$B$33/100))/Skills!D21)))+((C297=TRUE)*(F297-Calc!F23))+((C291=TRUE)*(F291-Calc!F17)))/100)*(1+((C284=TRUE)*F284*IF(AND(Inputs!$B$4&lt;&gt;"pvp",Inputs!$B$35&gt;0),(((S284-1)*(Skills!Y10*(1+Inputs!$B$33/100))+MIN((Skills!Y10*(1+Inputs!$B$33/100)),MAX(0,Inputs!$B$35-((S284-1)*Skills!D10))))/Inputs!$B$35),IF(Inputs!$B$4="pvp",MIN((Skills!Y10*(1+Inputs!$B$33/100)),15)/15,(Skills!Y10*(1+Inputs!$B$33/100))/Skills!D10)))/100)*(1+((C289=TRUE)*F289*IF(AND(Inputs!$B$4&lt;&gt;"pvp",Inputs!$B$35&gt;0),(((S289-1)*(Skills!Y15*(1+Inputs!$B$33/100))+MIN((Skills!Y15*(1+Inputs!$B$33/100)),MAX(0,Inputs!$B$35-((S289-1)*Skills!D15))))/Inputs!$B$35),IF(Inputs!$B$4="pvp",MIN((Skills!Y15*(1+Inputs!$B$33/100)),15)/15,(Skills!Y15*(1+Inputs!$B$33/100))/Skills!D15)))/100))*B309*I285)</f>
        <v/>
      </c>
      <c r="L285">
        <f>K285*(MIN(Inputs!$B$21+((C298=TRUE)*(F298-Calc!F24)),Inputs!$B$22+((C303=TRUE)*(F303-Calc!F29)))/100+(Inputs!$B$22+((C303=TRUE)*(F303-Calc!F29)))/100)/2</f>
        <v/>
      </c>
      <c r="M285">
        <f>L285*(1+(Inputs!$B$9+((C300=TRUE)*(F300-Calc!F26))+B314)/100)</f>
        <v/>
      </c>
      <c r="N285">
        <f>L285*(1-MIN((Inputs!$B$8+((C299=TRUE)*(F299-Calc!F25))+B307),100)/100)+M285*(MIN((Inputs!$B$8+((C299=TRUE)*(F299-Calc!F25))+B307),100)/100)</f>
        <v/>
      </c>
      <c r="O285">
        <f>IF(C285,H285*N285*IF(AND(Inputs!$B$4&lt;&gt;"pvp",Inputs!$B$35&gt;0),((Skills!G11*((R285-1)*IF(Skills!H11&gt;0,Skills!I11/Skills!H11,1)+IF(Skills!H11&gt;0,MIN(Skills!I11,MAX(0,Inputs!$B$35-((R285-1)*IF(Inputs!$B$4="pvp",15,MAX(0.1,Skills!D11-IF(Skills!E11=TRUE,Inputs!$B$31,0))))))/Skills!H11,1)))/Inputs!$B$35),G285*Q285)*IF(Inputs!$B$4="pvp",1,(1-Summary!$B$55)*(1)+Summary!$B$55*(MIN(Skills!W11,Inputs!$B$37))),0)</f>
        <v/>
      </c>
      <c r="P285">
        <f>IF(B319=0,0,O285/B319)</f>
        <v/>
      </c>
      <c r="Q285">
        <f>IFERROR(1/IF(Inputs!$B$4="pvp",15,MAX(0.1,Skills!D11-IF(Skills!E11=TRUE,Inputs!$B$31,0))),0)</f>
        <v/>
      </c>
      <c r="R285">
        <f>IF(AND(Inputs!$B$4&lt;&gt;"pvp",Inputs!$B$35&gt;0),(INT(Inputs!$B$35/IF(Inputs!$B$4="pvp",15,MAX(0.1,Skills!D11-IF(Skills!E11=TRUE,Inputs!$B$31,0))))+1),0)</f>
        <v/>
      </c>
      <c r="S285">
        <f>IFERROR(O285/N285,0)</f>
        <v/>
      </c>
    </row>
    <row r="286">
      <c r="A286">
        <f>Skills!A12</f>
        <v/>
      </c>
      <c r="B286">
        <f>Skills!B12</f>
        <v/>
      </c>
      <c r="C286">
        <f>Inputs!$B$3&gt;=105</f>
        <v/>
      </c>
      <c r="D286">
        <f>IF(Skills!C12=1,60+Inputs!$B$24+Inputs!$B$28,IF(Skills!C12=2,90+Inputs!$B$25+Inputs!$B$28,IF(Skills!C12=3,120+Inputs!$B$26+Inputs!$B$28,MAX(0,(Inputs!$B$3-100)*3)+Inputs!$B$27+Inputs!$B$28)))</f>
        <v/>
      </c>
      <c r="E286">
        <f>INDEX(FactorTable!$B$2:$Y$301, MATCH(ROUND(MIN(300,MAX(1,D286)),0), FactorTable!$A$2:$A$301,0), Skills!M12+1)</f>
        <v/>
      </c>
      <c r="F286">
        <f>IF(Skills!N12=TRUE,(Skills!L12/10)*(E286/1000),Skills!L12/10)+Skills!O12</f>
        <v/>
      </c>
      <c r="G286">
        <f>Skills!G12*IF(Skills!H12&gt;0,Skills!I12/Skills!H12,1)</f>
        <v/>
      </c>
      <c r="H286">
        <f>1-(1-Skills!J12/100)^Skills!K12</f>
        <v/>
      </c>
      <c r="I286" t="inlineStr">
        <is>
          <t>1</t>
        </is>
      </c>
      <c r="J286">
        <f>(Inputs!$B$5*(1+Inputs!$B$6/100))*(F286/100)</f>
        <v/>
      </c>
      <c r="K286">
        <f>J286*(1+((Inputs!$B$11*(1+Inputs!$B$12/100))*0.01+Inputs!$B$13*0.0025)/100)*(1+Inputs!$B$14/100)*(1+IF(Inputs!$B$4="pvp",0,(1-Summary!$B$55)*((Inputs!$B$19+1)+0+Skills!P12+B308)+Summary!$B$55*(Inputs!$B$20+Skills!Q12+B308))/100)*(1+Inputs!$B$15/100)*(5000/(6000+Inputs!$B$7*(1-Inputs!$B$18/100)))*(1+(Inputs!$B$23+((C304=TRUE)*(F304-Calc!F30)))/100)*(1+(IF(Skills!A12="CRUEL_STAB",Inputs!$B$16+((C301=TRUE)*(F301-Calc!F27)),Inputs!$B$17+((C302=TRUE)*(F302-Calc!F28))))/100)*(((1+(((C295=TRUE)*F295*IF(AND(Inputs!$B$4&lt;&gt;"pvp",Inputs!$B$35&gt;0),(((S295-1)*(Skills!Y21*(1+Inputs!$B$33/100))+MIN((Skills!Y21*(1+Inputs!$B$33/100)),MAX(0,Inputs!$B$35-((S295-1)*Skills!D21))))/Inputs!$B$35),IF(Inputs!$B$4="pvp",MIN((Skills!Y21*(1+Inputs!$B$33/100)),15)/15,(Skills!Y21*(1+Inputs!$B$33/100))/Skills!D21)))+((C297=TRUE)*(F297-Calc!F23))+((C291=TRUE)*(F291-Calc!F17)))/100)*(1+((C284=TRUE)*F284*IF(AND(Inputs!$B$4&lt;&gt;"pvp",Inputs!$B$35&gt;0),(((S284-1)*(Skills!Y10*(1+Inputs!$B$33/100))+MIN((Skills!Y10*(1+Inputs!$B$33/100)),MAX(0,Inputs!$B$35-((S284-1)*Skills!D10))))/Inputs!$B$35),IF(Inputs!$B$4="pvp",MIN((Skills!Y10*(1+Inputs!$B$33/100)),15)/15,(Skills!Y10*(1+Inputs!$B$33/100))/Skills!D10)))/100)*(1+((C289=TRUE)*F289*IF(AND(Inputs!$B$4&lt;&gt;"pvp",Inputs!$B$35&gt;0),(((S289-1)*(Skills!Y15*(1+Inputs!$B$33/100))+MIN((Skills!Y15*(1+Inputs!$B$33/100)),MAX(0,Inputs!$B$35-((S289-1)*Skills!D15))))/Inputs!$B$35),IF(Inputs!$B$4="pvp",MIN((Skills!Y15*(1+Inputs!$B$33/100)),15)/15,(Skills!Y15*(1+Inputs!$B$33/100))/Skills!D15)))/100))*B309*I286)</f>
        <v/>
      </c>
      <c r="L286">
        <f>K286*(MIN(Inputs!$B$21+((C298=TRUE)*(F298-Calc!F24)),Inputs!$B$22+((C303=TRUE)*(F303-Calc!F29)))/100+(Inputs!$B$22+((C303=TRUE)*(F303-Calc!F29)))/100)/2</f>
        <v/>
      </c>
      <c r="M286">
        <f>L286*(1+(Inputs!$B$9+((C300=TRUE)*(F300-Calc!F26))+B314)/100)</f>
        <v/>
      </c>
      <c r="N286">
        <f>L286*(1-MIN((Inputs!$B$8+((C299=TRUE)*(F299-Calc!F25))+B307),100)/100)+M286*(MIN((Inputs!$B$8+((C299=TRUE)*(F299-Calc!F25))+B307),100)/100)</f>
        <v/>
      </c>
      <c r="O286">
        <f>IF(C286,H286*N286*IF(AND(Inputs!$B$4&lt;&gt;"pvp",Inputs!$B$35&gt;0),((Skills!G12*((R286-1)*IF(Skills!H12&gt;0,Skills!I12/Skills!H12,1)+IF(Skills!H12&gt;0,MIN(Skills!I12,MAX(0,Inputs!$B$35-((R286-1)*IF(Inputs!$B$4="pvp",15,MAX(0.1,Skills!D12-IF(Skills!E12=TRUE,Inputs!$B$31,0))))))/Skills!H12,1)))/Inputs!$B$35),G286*Q286)*IF(Inputs!$B$4="pvp",1,(1-Summary!$B$55)*(1)+Summary!$B$55*(MIN(Skills!W12,Inputs!$B$37))),0)</f>
        <v/>
      </c>
      <c r="P286">
        <f>IF(B319=0,0,O286/B319)</f>
        <v/>
      </c>
      <c r="Q286">
        <f>IFERROR(1/IF(Inputs!$B$4="pvp",15,MAX(0.1,Skills!D12-IF(Skills!E12=TRUE,Inputs!$B$31,0))),0)</f>
        <v/>
      </c>
      <c r="R286">
        <f>IF(AND(Inputs!$B$4&lt;&gt;"pvp",Inputs!$B$35&gt;0),(INT(Inputs!$B$35/IF(Inputs!$B$4="pvp",15,MAX(0.1,Skills!D12-IF(Skills!E12=TRUE,Inputs!$B$31,0))))+1),0)</f>
        <v/>
      </c>
      <c r="S286">
        <f>IFERROR(O286/N286,0)</f>
        <v/>
      </c>
    </row>
    <row r="287">
      <c r="A287">
        <f>Skills!A13</f>
        <v/>
      </c>
      <c r="B287">
        <f>Skills!B13</f>
        <v/>
      </c>
      <c r="C287">
        <f>Inputs!$B$3&gt;=105</f>
        <v/>
      </c>
      <c r="D287">
        <f>IF(Skills!C13=1,60+Inputs!$B$24+Inputs!$B$28,IF(Skills!C13=2,90+Inputs!$B$25+Inputs!$B$28,IF(Skills!C13=3,120+Inputs!$B$26+Inputs!$B$28,MAX(0,(Inputs!$B$3-100)*3)+Inputs!$B$27+Inputs!$B$28)))</f>
        <v/>
      </c>
      <c r="E287">
        <f>INDEX(FactorTable!$B$2:$Y$301, MATCH(ROUND(MIN(300,MAX(1,D287)),0), FactorTable!$A$2:$A$301,0), Skills!M13+1)</f>
        <v/>
      </c>
      <c r="F287">
        <f>IF(Skills!N13=TRUE,(Skills!L13/10)*(E287/1000),Skills!L13/10)+Skills!O13</f>
        <v/>
      </c>
      <c r="G287">
        <f>Skills!G13*IF(Skills!H13&gt;0,Skills!I13/Skills!H13,1)</f>
        <v/>
      </c>
      <c r="H287">
        <f>1-(1-Skills!J13/100)^Skills!K13</f>
        <v/>
      </c>
      <c r="I287" t="inlineStr">
        <is>
          <t>1</t>
        </is>
      </c>
      <c r="J287">
        <f>(Inputs!$B$5*(1+Inputs!$B$6/100))*(F287/100)</f>
        <v/>
      </c>
      <c r="K287">
        <f>J287*(1+((Inputs!$B$11*(1+Inputs!$B$12/100))*0.01+Inputs!$B$13*0.0025)/100)*(1+Inputs!$B$14/100)*(1+IF(Inputs!$B$4="pvp",0,(1-Summary!$B$55)*((Inputs!$B$19+1)+0+Skills!P13+B308)+Summary!$B$55*(Inputs!$B$20+Skills!Q13+B308))/100)*(1+Inputs!$B$15/100)*(5000/(6000+Inputs!$B$7*(1-Inputs!$B$18/100)))*(1+(Inputs!$B$23+((C304=TRUE)*(F304-Calc!F30)))/100)*(1+(IF(Skills!A13="CRUEL_STAB",Inputs!$B$16+((C301=TRUE)*(F301-Calc!F27)),Inputs!$B$17+((C302=TRUE)*(F302-Calc!F28))))/100)*(((1+(((C295=TRUE)*F295*IF(AND(Inputs!$B$4&lt;&gt;"pvp",Inputs!$B$35&gt;0),(((S295-1)*(Skills!Y21*(1+Inputs!$B$33/100))+MIN((Skills!Y21*(1+Inputs!$B$33/100)),MAX(0,Inputs!$B$35-((S295-1)*Skills!D21))))/Inputs!$B$35),IF(Inputs!$B$4="pvp",MIN((Skills!Y21*(1+Inputs!$B$33/100)),15)/15,(Skills!Y21*(1+Inputs!$B$33/100))/Skills!D21)))+((C297=TRUE)*(F297-Calc!F23))+((C291=TRUE)*(F291-Calc!F17)))/100)*(1+((C284=TRUE)*F284*IF(AND(Inputs!$B$4&lt;&gt;"pvp",Inputs!$B$35&gt;0),(((S284-1)*(Skills!Y10*(1+Inputs!$B$33/100))+MIN((Skills!Y10*(1+Inputs!$B$33/100)),MAX(0,Inputs!$B$35-((S284-1)*Skills!D10))))/Inputs!$B$35),IF(Inputs!$B$4="pvp",MIN((Skills!Y10*(1+Inputs!$B$33/100)),15)/15,(Skills!Y10*(1+Inputs!$B$33/100))/Skills!D10)))/100)*(1+((C289=TRUE)*F289*IF(AND(Inputs!$B$4&lt;&gt;"pvp",Inputs!$B$35&gt;0),(((S289-1)*(Skills!Y15*(1+Inputs!$B$33/100))+MIN((Skills!Y15*(1+Inputs!$B$33/100)),MAX(0,Inputs!$B$35-((S289-1)*Skills!D15))))/Inputs!$B$35),IF(Inputs!$B$4="pvp",MIN((Skills!Y15*(1+Inputs!$B$33/100)),15)/15,(Skills!Y15*(1+Inputs!$B$33/100))/Skills!D15)))/100))*B309*I287)</f>
        <v/>
      </c>
      <c r="L287">
        <f>K287*(MIN(Inputs!$B$21+((C298=TRUE)*(F298-Calc!F24)),Inputs!$B$22+((C303=TRUE)*(F303-Calc!F29)))/100+(Inputs!$B$22+((C303=TRUE)*(F303-Calc!F29)))/100)/2</f>
        <v/>
      </c>
      <c r="M287">
        <f>L287*(1+(Inputs!$B$9+((C300=TRUE)*(F300-Calc!F26))+B314)/100)</f>
        <v/>
      </c>
      <c r="N287">
        <f>L287*(1-MIN((Inputs!$B$8+((C299=TRUE)*(F299-Calc!F25))+B307),100)/100)+M287*(MIN((Inputs!$B$8+((C299=TRUE)*(F299-Calc!F25))+B307),100)/100)</f>
        <v/>
      </c>
      <c r="O287">
        <f>IF(C287,H287*N287*IF(AND(Inputs!$B$4&lt;&gt;"pvp",Inputs!$B$35&gt;0),((Skills!G13*((R287-1)*IF(Skills!H13&gt;0,Skills!I13/Skills!H13,1)+IF(Skills!H13&gt;0,MIN(Skills!I13,MAX(0,Inputs!$B$35-((R287-1)*IF(Inputs!$B$4="pvp",15,MAX(0.1,Skills!D13-IF(Skills!E13=TRUE,Inputs!$B$31,0))))))/Skills!H13,1)))/Inputs!$B$35),G287*Q287)*IF(Inputs!$B$4="pvp",1,(1-Summary!$B$55)*(1)+Summary!$B$55*(MIN(Skills!W13,Inputs!$B$37))),0)</f>
        <v/>
      </c>
      <c r="P287">
        <f>IF(B319=0,0,O287/B319)</f>
        <v/>
      </c>
      <c r="Q287">
        <f>IFERROR(1/IF(Inputs!$B$4="pvp",15,MAX(0.1,Skills!D13-IF(Skills!E13=TRUE,Inputs!$B$31,0))),0)</f>
        <v/>
      </c>
      <c r="R287">
        <f>IF(AND(Inputs!$B$4&lt;&gt;"pvp",Inputs!$B$35&gt;0),(INT(Inputs!$B$35/IF(Inputs!$B$4="pvp",15,MAX(0.1,Skills!D13-IF(Skills!E13=TRUE,Inputs!$B$31,0))))+1),0)</f>
        <v/>
      </c>
      <c r="S287">
        <f>IFERROR(O287/N287,0)</f>
        <v/>
      </c>
    </row>
    <row r="288">
      <c r="A288">
        <f>Skills!A14</f>
        <v/>
      </c>
      <c r="B288">
        <f>Skills!B14</f>
        <v/>
      </c>
      <c r="C288">
        <f>Inputs!$B$3&gt;=107</f>
        <v/>
      </c>
      <c r="D288">
        <f>IF(Skills!C14=1,60+Inputs!$B$24+Inputs!$B$28,IF(Skills!C14=2,90+Inputs!$B$25+Inputs!$B$28,IF(Skills!C14=3,120+Inputs!$B$26+Inputs!$B$28,MAX(0,(Inputs!$B$3-100)*3)+Inputs!$B$27+Inputs!$B$28)))</f>
        <v/>
      </c>
      <c r="E288">
        <f>INDEX(FactorTable!$B$2:$Y$301, MATCH(ROUND(MIN(300,MAX(1,D288)),0), FactorTable!$A$2:$A$301,0), Skills!M14+1)</f>
        <v/>
      </c>
      <c r="F288">
        <f>IF(Skills!N14=TRUE,(Skills!L14/10)*(E288/1000),Skills!L14/10)+Skills!O14</f>
        <v/>
      </c>
      <c r="G288">
        <f>Skills!G14*IF(Skills!H14&gt;0,Skills!I14/Skills!H14,1)</f>
        <v/>
      </c>
      <c r="H288">
        <f>1-(1-Skills!J14/100)^Skills!K14</f>
        <v/>
      </c>
      <c r="I288" t="inlineStr">
        <is>
          <t>1</t>
        </is>
      </c>
      <c r="J288">
        <f>(Inputs!$B$5*(1+Inputs!$B$6/100))*(F288/100)</f>
        <v/>
      </c>
      <c r="K288">
        <f>J288*(1+((Inputs!$B$11*(1+Inputs!$B$12/100))*0.01+Inputs!$B$13*0.0025)/100)*(1+Inputs!$B$14/100)*(1+IF(Inputs!$B$4="pvp",0,(1-Summary!$B$55)*((Inputs!$B$19+1)+0+Skills!P14+B308)+Summary!$B$55*(Inputs!$B$20+Skills!Q14+B308))/100)*(1+Inputs!$B$15/100)*(5000/(6000+Inputs!$B$7*(1-Inputs!$B$18/100)))*(1+(Inputs!$B$23+((C304=TRUE)*(F304-Calc!F30)))/100)*(1+(IF(Skills!A14="CRUEL_STAB",Inputs!$B$16+((C301=TRUE)*(F301-Calc!F27)),Inputs!$B$17+((C302=TRUE)*(F302-Calc!F28))))/100)*(((1+(((C295=TRUE)*F295*IF(AND(Inputs!$B$4&lt;&gt;"pvp",Inputs!$B$35&gt;0),(((S295-1)*(Skills!Y21*(1+Inputs!$B$33/100))+MIN((Skills!Y21*(1+Inputs!$B$33/100)),MAX(0,Inputs!$B$35-((S295-1)*Skills!D21))))/Inputs!$B$35),IF(Inputs!$B$4="pvp",MIN((Skills!Y21*(1+Inputs!$B$33/100)),15)/15,(Skills!Y21*(1+Inputs!$B$33/100))/Skills!D21)))+((C297=TRUE)*(F297-Calc!F23))+((C291=TRUE)*(F291-Calc!F17)))/100)*(1+((C284=TRUE)*F284*IF(AND(Inputs!$B$4&lt;&gt;"pvp",Inputs!$B$35&gt;0),(((S284-1)*(Skills!Y10*(1+Inputs!$B$33/100))+MIN((Skills!Y10*(1+Inputs!$B$33/100)),MAX(0,Inputs!$B$35-((S284-1)*Skills!D10))))/Inputs!$B$35),IF(Inputs!$B$4="pvp",MIN((Skills!Y10*(1+Inputs!$B$33/100)),15)/15,(Skills!Y10*(1+Inputs!$B$33/100))/Skills!D10)))/100)*(1+((C289=TRUE)*F289*IF(AND(Inputs!$B$4&lt;&gt;"pvp",Inputs!$B$35&gt;0),(((S289-1)*(Skills!Y15*(1+Inputs!$B$33/100))+MIN((Skills!Y15*(1+Inputs!$B$33/100)),MAX(0,Inputs!$B$35-((S289-1)*Skills!D15))))/Inputs!$B$35),IF(Inputs!$B$4="pvp",MIN((Skills!Y15*(1+Inputs!$B$33/100)),15)/15,(Skills!Y15*(1+Inputs!$B$33/100))/Skills!D15)))/100))*B309*I288)</f>
        <v/>
      </c>
      <c r="L288">
        <f>K288*(MIN(Inputs!$B$21+((C298=TRUE)*(F298-Calc!F24)),Inputs!$B$22+((C303=TRUE)*(F303-Calc!F29)))/100+(Inputs!$B$22+((C303=TRUE)*(F303-Calc!F29)))/100)/2</f>
        <v/>
      </c>
      <c r="M288">
        <f>L288*(1+(Inputs!$B$9+((C300=TRUE)*(F300-Calc!F26))+B314)/100)</f>
        <v/>
      </c>
      <c r="N288">
        <f>L288*(1-MIN((Inputs!$B$8+((C299=TRUE)*(F299-Calc!F25))+B307),100)/100)+M288*(MIN((Inputs!$B$8+((C299=TRUE)*(F299-Calc!F25))+B307),100)/100)</f>
        <v/>
      </c>
      <c r="O288">
        <f>IF(C288,H288*N288*IF(AND(Inputs!$B$4&lt;&gt;"pvp",Inputs!$B$35&gt;0),((Skills!G14*((R288-1)*IF(Skills!H14&gt;0,Skills!I14/Skills!H14,1)+IF(Skills!H14&gt;0,MIN(Skills!I14,MAX(0,Inputs!$B$35-((R288-1)*IF(Inputs!$B$4="pvp",15,MAX(0.1,Skills!D14-IF(Skills!E14=TRUE,Inputs!$B$31,0))))))/Skills!H14,1)))/Inputs!$B$35),G288*Q288)*IF(Inputs!$B$4="pvp",1,(1-Summary!$B$55)*(1)+Summary!$B$55*(MIN(MIN(5,0.25*B311*Skills!D4)*Skills!V14,Inputs!$B$37))),0)</f>
        <v/>
      </c>
      <c r="P288">
        <f>IF(B319=0,0,O288/B319)</f>
        <v/>
      </c>
      <c r="Q288">
        <f>IFERROR(1/IF(Inputs!$B$4="pvp",15,MAX(0.1,Skills!D14-IF(Skills!E14=TRUE,Inputs!$B$31,0))),0)</f>
        <v/>
      </c>
      <c r="R288">
        <f>IF(AND(Inputs!$B$4&lt;&gt;"pvp",Inputs!$B$35&gt;0),(INT(Inputs!$B$35/IF(Inputs!$B$4="pvp",15,MAX(0.1,Skills!D14-IF(Skills!E14=TRUE,Inputs!$B$31,0))))+1),0)</f>
        <v/>
      </c>
      <c r="S288">
        <f>IFERROR(O288/N288,0)</f>
        <v/>
      </c>
    </row>
    <row r="289">
      <c r="A289">
        <f>Skills!A15</f>
        <v/>
      </c>
      <c r="B289">
        <f>Skills!B15</f>
        <v/>
      </c>
      <c r="C289">
        <f>Inputs!$B$3&gt;=110</f>
        <v/>
      </c>
      <c r="D289">
        <f>IF(Skills!C15=1,60+Inputs!$B$24+Inputs!$B$28,IF(Skills!C15=2,90+Inputs!$B$25+Inputs!$B$28,IF(Skills!C15=3,120+Inputs!$B$26+Inputs!$B$28,MAX(0,(Inputs!$B$3-100)*3)+Inputs!$B$27+Inputs!$B$28)))</f>
        <v/>
      </c>
      <c r="E289">
        <f>INDEX(FactorTable!$B$2:$Y$301, MATCH(ROUND(MIN(300,MAX(1,D289)),0), FactorTable!$A$2:$A$301,0), Skills!M15+1)</f>
        <v/>
      </c>
      <c r="F289">
        <f>IF(Skills!N15=TRUE,(Skills!L15/10)*(E289/1000),Skills!L15/10)+Skills!O15</f>
        <v/>
      </c>
      <c r="G289">
        <f>Skills!G15*IF(Skills!H15&gt;0,Skills!I15/Skills!H15,1)</f>
        <v/>
      </c>
      <c r="H289">
        <f>1-(1-Skills!J15/100)^Skills!K15</f>
        <v/>
      </c>
      <c r="I289" t="inlineStr">
        <is>
          <t>1</t>
        </is>
      </c>
      <c r="J289" t="inlineStr"/>
      <c r="K289" t="inlineStr"/>
      <c r="L289" t="inlineStr"/>
      <c r="M289" t="inlineStr"/>
      <c r="N289" t="inlineStr"/>
      <c r="O289" t="n">
        <v>0</v>
      </c>
      <c r="P289">
        <f>IF(B319=0,0,O289/B319)</f>
        <v/>
      </c>
      <c r="Q289">
        <f>IFERROR(1/IF(Inputs!$B$4="pvp",15,MAX(0.1,Skills!D15-IF(Skills!E15=TRUE,Inputs!$B$31,0))),0)</f>
        <v/>
      </c>
      <c r="R289">
        <f>IF(AND(Inputs!$B$4&lt;&gt;"pvp",Inputs!$B$35&gt;0),(INT(Inputs!$B$35/IF(Inputs!$B$4="pvp",15,MAX(0.1,Skills!D15-IF(Skills!E15=TRUE,Inputs!$B$31,0))))+1),0)</f>
        <v/>
      </c>
      <c r="S289">
        <f>IFERROR(O289/N289,0)</f>
        <v/>
      </c>
    </row>
    <row r="290">
      <c r="A290">
        <f>Skills!A16</f>
        <v/>
      </c>
      <c r="B290">
        <f>Skills!B16</f>
        <v/>
      </c>
      <c r="C290">
        <f>Inputs!$B$3&gt;=115</f>
        <v/>
      </c>
      <c r="D290">
        <f>IF(Skills!C16=1,60+Inputs!$B$24+Inputs!$B$28,IF(Skills!C16=2,90+Inputs!$B$25+Inputs!$B$28,IF(Skills!C16=3,120+Inputs!$B$26+Inputs!$B$28,MAX(0,(Inputs!$B$3-100)*3)+Inputs!$B$27+Inputs!$B$28)))</f>
        <v/>
      </c>
      <c r="E290">
        <f>INDEX(FactorTable!$B$2:$Y$301, MATCH(ROUND(MIN(300,MAX(1,D290)),0), FactorTable!$A$2:$A$301,0), Skills!M16+1)</f>
        <v/>
      </c>
      <c r="F290">
        <f>IF(Skills!N16=TRUE,(Skills!L16/10)*(E290/1000),Skills!L16/10)+Skills!O16</f>
        <v/>
      </c>
      <c r="G290">
        <f>Skills!G16*IF(Skills!H16&gt;0,Skills!I16/Skills!H16,1)</f>
        <v/>
      </c>
      <c r="H290">
        <f>1-(1-Skills!J16/100)^Skills!K16</f>
        <v/>
      </c>
      <c r="I290" t="inlineStr">
        <is>
          <t>1</t>
        </is>
      </c>
      <c r="J290">
        <f>(Inputs!$B$5*(1+Inputs!$B$6/100))*(F290/100)</f>
        <v/>
      </c>
      <c r="K290">
        <f>J290*(1+((Inputs!$B$11*(1+Inputs!$B$12/100))*0.01+Inputs!$B$13*0.0025)/100)*(1+Inputs!$B$14/100)*(1+IF(Inputs!$B$4="pvp",0,(1-Summary!$B$55)*((Inputs!$B$19+1)+0+Skills!P16+B308)+Summary!$B$55*(Inputs!$B$20+Skills!Q16+B308))/100)*(1+Inputs!$B$15/100)*(5000/(6000+Inputs!$B$7*(1-Inputs!$B$18/100)))*(1+(Inputs!$B$23+((C304=TRUE)*(F304-Calc!F30)))/100)*(1+(IF(Skills!A16="CRUEL_STAB",Inputs!$B$16+((C301=TRUE)*(F301-Calc!F27)),Inputs!$B$17+((C302=TRUE)*(F302-Calc!F28))))/100)*(((1+(((C295=TRUE)*F295*IF(AND(Inputs!$B$4&lt;&gt;"pvp",Inputs!$B$35&gt;0),(((S295-1)*(Skills!Y21*(1+Inputs!$B$33/100))+MIN((Skills!Y21*(1+Inputs!$B$33/100)),MAX(0,Inputs!$B$35-((S295-1)*Skills!D21))))/Inputs!$B$35),IF(Inputs!$B$4="pvp",MIN((Skills!Y21*(1+Inputs!$B$33/100)),15)/15,(Skills!Y21*(1+Inputs!$B$33/100))/Skills!D21)))+((C297=TRUE)*(F297-Calc!F23))+((C291=TRUE)*(F291-Calc!F17)))/100)*(1+((C284=TRUE)*F284*IF(AND(Inputs!$B$4&lt;&gt;"pvp",Inputs!$B$35&gt;0),(((S284-1)*(Skills!Y10*(1+Inputs!$B$33/100))+MIN((Skills!Y10*(1+Inputs!$B$33/100)),MAX(0,Inputs!$B$35-((S284-1)*Skills!D10))))/Inputs!$B$35),IF(Inputs!$B$4="pvp",MIN((Skills!Y10*(1+Inputs!$B$33/100)),15)/15,(Skills!Y10*(1+Inputs!$B$33/100))/Skills!D10)))/100)*(1+((C289=TRUE)*F289*IF(AND(Inputs!$B$4&lt;&gt;"pvp",Inputs!$B$35&gt;0),(((S289-1)*(Skills!Y15*(1+Inputs!$B$33/100))+MIN((Skills!Y15*(1+Inputs!$B$33/100)),MAX(0,Inputs!$B$35-((S289-1)*Skills!D15))))/Inputs!$B$35),IF(Inputs!$B$4="pvp",MIN((Skills!Y15*(1+Inputs!$B$33/100)),15)/15,(Skills!Y15*(1+Inputs!$B$33/100))/Skills!D15)))/100))*B309*I290)</f>
        <v/>
      </c>
      <c r="L290">
        <f>K290*(MIN(Inputs!$B$21+((C298=TRUE)*(F298-Calc!F24)),Inputs!$B$22+((C303=TRUE)*(F303-Calc!F29)))/100+(Inputs!$B$22+((C303=TRUE)*(F303-Calc!F29)))/100)/2</f>
        <v/>
      </c>
      <c r="M290">
        <f>L290*(1+(Inputs!$B$9+((C300=TRUE)*(F300-Calc!F26))+B314)/100)</f>
        <v/>
      </c>
      <c r="N290">
        <f>L290*(1-MIN((Inputs!$B$8+((C299=TRUE)*(F299-Calc!F25))+B307),100)/100)+M290*(MIN((Inputs!$B$8+((C299=TRUE)*(F299-Calc!F25))+B307),100)/100)</f>
        <v/>
      </c>
      <c r="O290">
        <f>IF(C290,Inputs!$B$38*0.2*N290,0)</f>
        <v/>
      </c>
      <c r="P290">
        <f>IF(B319=0,0,O290/B319)</f>
        <v/>
      </c>
      <c r="Q290" t="n">
        <v>0</v>
      </c>
      <c r="R290" t="n">
        <v>0</v>
      </c>
      <c r="S290">
        <f>IFERROR(O290/N290,0)</f>
        <v/>
      </c>
    </row>
    <row r="291">
      <c r="A291">
        <f>Skills!A17</f>
        <v/>
      </c>
      <c r="B291">
        <f>Skills!B17</f>
        <v/>
      </c>
      <c r="C291">
        <f>Inputs!$B$3&gt;=115</f>
        <v/>
      </c>
      <c r="D291">
        <f>IF(Skills!C17=1,60+Inputs!$B$24+Inputs!$B$28,IF(Skills!C17=2,90+Inputs!$B$25+Inputs!$B$28,IF(Skills!C17=3,120+Inputs!$B$26+Inputs!$B$28,MAX(0,(Inputs!$B$3-100)*3)+Inputs!$B$27+Inputs!$B$28)))</f>
        <v/>
      </c>
      <c r="E291">
        <f>INDEX(FactorTable!$B$2:$Y$301, MATCH(ROUND(MIN(300,MAX(1,D291)),0), FactorTable!$A$2:$A$301,0), Skills!M17+1)</f>
        <v/>
      </c>
      <c r="F291">
        <f>IF(Skills!N17=TRUE,(Skills!L17/10)*(E291/1000),Skills!L17/10)+Skills!O17</f>
        <v/>
      </c>
      <c r="G291">
        <f>Skills!G17*IF(Skills!H17&gt;0,Skills!I17/Skills!H17,1)</f>
        <v/>
      </c>
      <c r="H291">
        <f>1-(1-Skills!J17/100)^Skills!K17</f>
        <v/>
      </c>
      <c r="I291" t="inlineStr">
        <is>
          <t>1</t>
        </is>
      </c>
      <c r="J291" t="inlineStr"/>
      <c r="K291" t="inlineStr"/>
      <c r="L291" t="inlineStr"/>
      <c r="M291" t="inlineStr"/>
      <c r="N291" t="inlineStr"/>
      <c r="O291" t="n">
        <v>0</v>
      </c>
      <c r="P291">
        <f>IF(B319=0,0,O291/B319)</f>
        <v/>
      </c>
      <c r="Q291" t="n">
        <v>0</v>
      </c>
      <c r="R291" t="n">
        <v>0</v>
      </c>
      <c r="S291">
        <f>IFERROR(O291/N291,0)</f>
        <v/>
      </c>
    </row>
    <row r="292">
      <c r="A292">
        <f>Skills!A18</f>
        <v/>
      </c>
      <c r="B292">
        <f>Skills!B18</f>
        <v/>
      </c>
      <c r="C292">
        <f>Inputs!$B$3&gt;=100</f>
        <v/>
      </c>
      <c r="D292">
        <f>IF(Skills!C18=1,60+Inputs!$B$24+Inputs!$B$28,IF(Skills!C18=2,90+Inputs!$B$25+Inputs!$B$28,IF(Skills!C18=3,120+Inputs!$B$26+Inputs!$B$28,MAX(0,(Inputs!$B$3-100)*3)+Inputs!$B$27+Inputs!$B$28)))</f>
        <v/>
      </c>
      <c r="E292">
        <f>INDEX(FactorTable!$B$2:$Y$301, MATCH(ROUND(MIN(300,MAX(1,D292)),0), FactorTable!$A$2:$A$301,0), Skills!M18+1)</f>
        <v/>
      </c>
      <c r="F292">
        <f>IF(Skills!N18=TRUE,(Skills!L18/10)*(E292/1000),Skills!L18/10)+Skills!O18</f>
        <v/>
      </c>
      <c r="G292">
        <f>Skills!G18*IF(Skills!H18&gt;0,Skills!I18/Skills!H18,1)</f>
        <v/>
      </c>
      <c r="H292">
        <f>1-(1-Skills!J18/100)^Skills!K18</f>
        <v/>
      </c>
      <c r="I292" t="inlineStr">
        <is>
          <t>1</t>
        </is>
      </c>
      <c r="J292" t="inlineStr"/>
      <c r="K292" t="inlineStr"/>
      <c r="L292" t="inlineStr"/>
      <c r="M292" t="inlineStr"/>
      <c r="N292" t="inlineStr"/>
      <c r="O292" t="n">
        <v>0</v>
      </c>
      <c r="P292">
        <f>IF(B319=0,0,O292/B319)</f>
        <v/>
      </c>
      <c r="Q292" t="n">
        <v>0</v>
      </c>
      <c r="R292" t="n">
        <v>0</v>
      </c>
      <c r="S292">
        <f>IFERROR(O292/N292,0)</f>
        <v/>
      </c>
    </row>
    <row r="293">
      <c r="A293">
        <f>Skills!A19</f>
        <v/>
      </c>
      <c r="B293">
        <f>Skills!B19</f>
        <v/>
      </c>
      <c r="C293">
        <f>TRUE</f>
        <v/>
      </c>
      <c r="D293">
        <f>IF(Skills!C19=1,60+Inputs!$B$24+Inputs!$B$28,IF(Skills!C19=2,90+Inputs!$B$25+Inputs!$B$28,IF(Skills!C19=3,120+Inputs!$B$26+Inputs!$B$28,MAX(0,(Inputs!$B$3-100)*3)+Inputs!$B$27+Inputs!$B$28)))</f>
        <v/>
      </c>
      <c r="E293">
        <f>INDEX(FactorTable!$B$2:$Y$301, MATCH(ROUND(MIN(300,MAX(1,D293)),0), FactorTable!$A$2:$A$301,0), Skills!M19+1)</f>
        <v/>
      </c>
      <c r="F293">
        <f>IF(Skills!N19=TRUE,(Skills!L19/10)*(E293/1000),Skills!L19/10)+Skills!O19</f>
        <v/>
      </c>
      <c r="G293">
        <f>Skills!G19*IF(Skills!H19&gt;0,Skills!I19/Skills!H19,1)</f>
        <v/>
      </c>
      <c r="H293">
        <f>1-(1-Skills!J19/100)^Skills!K19</f>
        <v/>
      </c>
      <c r="I293" t="inlineStr">
        <is>
          <t>1</t>
        </is>
      </c>
      <c r="J293" t="inlineStr"/>
      <c r="K293" t="inlineStr"/>
      <c r="L293" t="inlineStr"/>
      <c r="M293" t="inlineStr"/>
      <c r="N293" t="inlineStr"/>
      <c r="O293" t="n">
        <v>0</v>
      </c>
      <c r="P293">
        <f>IF(B319=0,0,O293/B319)</f>
        <v/>
      </c>
      <c r="Q293">
        <f>IFERROR(1/IF(Inputs!$B$4="pvp",15,MAX(0.1,Skills!D19-IF(Skills!E19=TRUE,Inputs!$B$31,0))),0)</f>
        <v/>
      </c>
      <c r="R293">
        <f>IF(AND(Inputs!$B$4&lt;&gt;"pvp",Inputs!$B$35&gt;0),(INT(Inputs!$B$35/IF(Inputs!$B$4="pvp",15,MAX(0.1,Skills!D19-IF(Skills!E19=TRUE,Inputs!$B$31,0))))+1),0)</f>
        <v/>
      </c>
      <c r="S293">
        <f>IFERROR(O293/N293,0)</f>
        <v/>
      </c>
    </row>
    <row r="294">
      <c r="A294">
        <f>Skills!A20</f>
        <v/>
      </c>
      <c r="B294">
        <f>Skills!B20</f>
        <v/>
      </c>
      <c r="C294">
        <f>Inputs!$B$3&gt;=15</f>
        <v/>
      </c>
      <c r="D294">
        <f>IF(Skills!C20=1,60+Inputs!$B$24+Inputs!$B$28,IF(Skills!C20=2,90+Inputs!$B$25+Inputs!$B$28,IF(Skills!C20=3,120+Inputs!$B$26+Inputs!$B$28,MAX(0,(Inputs!$B$3-100)*3)+Inputs!$B$27+Inputs!$B$28)))</f>
        <v/>
      </c>
      <c r="E294">
        <f>INDEX(FactorTable!$B$2:$Y$301, MATCH(ROUND(MIN(300,MAX(1,D294)),0), FactorTable!$A$2:$A$301,0), Skills!M20+1)</f>
        <v/>
      </c>
      <c r="F294">
        <f>IF(Skills!N20=TRUE,(Skills!L20/10)*(E294/1000),Skills!L20/10)+Skills!O20</f>
        <v/>
      </c>
      <c r="G294">
        <f>Skills!G20*IF(Skills!H20&gt;0,Skills!I20/Skills!H20,1)</f>
        <v/>
      </c>
      <c r="H294">
        <f>1-(1-Skills!J20/100)^Skills!K20</f>
        <v/>
      </c>
      <c r="I294" t="inlineStr">
        <is>
          <t>1</t>
        </is>
      </c>
      <c r="J294" t="inlineStr"/>
      <c r="K294" t="inlineStr"/>
      <c r="L294" t="inlineStr"/>
      <c r="M294" t="inlineStr"/>
      <c r="N294" t="inlineStr"/>
      <c r="O294" t="n">
        <v>0</v>
      </c>
      <c r="P294">
        <f>IF(B319=0,0,O294/B319)</f>
        <v/>
      </c>
      <c r="Q294">
        <f>IFERROR(1/IF(Inputs!$B$4="pvp",15,MAX(0.1,Skills!D20-IF(Skills!E20=TRUE,Inputs!$B$31,0))),0)</f>
        <v/>
      </c>
      <c r="R294">
        <f>IF(AND(Inputs!$B$4&lt;&gt;"pvp",Inputs!$B$35&gt;0),(INT(Inputs!$B$35/IF(Inputs!$B$4="pvp",15,MAX(0.1,Skills!D20-IF(Skills!E20=TRUE,Inputs!$B$31,0))))+1),0)</f>
        <v/>
      </c>
      <c r="S294">
        <f>IFERROR(O294/N294,0)</f>
        <v/>
      </c>
    </row>
    <row r="295">
      <c r="A295">
        <f>Skills!A21</f>
        <v/>
      </c>
      <c r="B295">
        <f>Skills!B21</f>
        <v/>
      </c>
      <c r="C295">
        <f>Inputs!$B$3&gt;=15</f>
        <v/>
      </c>
      <c r="D295">
        <f>IF(Skills!C21=1,60+Inputs!$B$24+Inputs!$B$28,IF(Skills!C21=2,90+Inputs!$B$25+Inputs!$B$28,IF(Skills!C21=3,120+Inputs!$B$26+Inputs!$B$28,MAX(0,(Inputs!$B$3-100)*3)+Inputs!$B$27+Inputs!$B$28)))</f>
        <v/>
      </c>
      <c r="E295">
        <f>INDEX(FactorTable!$B$2:$Y$301, MATCH(ROUND(MIN(300,MAX(1,D295)),0), FactorTable!$A$2:$A$301,0), Skills!M21+1)</f>
        <v/>
      </c>
      <c r="F295">
        <f>IF(Skills!N21=TRUE,(Skills!L21/10)*(E295/1000),Skills!L21/10)+Skills!O21</f>
        <v/>
      </c>
      <c r="G295">
        <f>Skills!G21*IF(Skills!H21&gt;0,Skills!I21/Skills!H21,1)</f>
        <v/>
      </c>
      <c r="H295">
        <f>1-(1-Skills!J21/100)^Skills!K21</f>
        <v/>
      </c>
      <c r="I295" t="inlineStr">
        <is>
          <t>1</t>
        </is>
      </c>
      <c r="J295" t="inlineStr"/>
      <c r="K295" t="inlineStr"/>
      <c r="L295" t="inlineStr"/>
      <c r="M295" t="inlineStr"/>
      <c r="N295" t="inlineStr"/>
      <c r="O295" t="n">
        <v>0</v>
      </c>
      <c r="P295">
        <f>IF(B319=0,0,O295/B319)</f>
        <v/>
      </c>
      <c r="Q295">
        <f>IFERROR(1/IF(Inputs!$B$4="pvp",15,MAX(0.1,Skills!D21-IF(Skills!E21=TRUE,Inputs!$B$31,0))),0)</f>
        <v/>
      </c>
      <c r="R295">
        <f>IF(AND(Inputs!$B$4&lt;&gt;"pvp",Inputs!$B$35&gt;0),(INT(Inputs!$B$35/IF(Inputs!$B$4="pvp",15,MAX(0.1,Skills!D21-IF(Skills!E21=TRUE,Inputs!$B$31,0))))+1),0)</f>
        <v/>
      </c>
      <c r="S295">
        <f>IFERROR(O295/N295,0)</f>
        <v/>
      </c>
    </row>
    <row r="296">
      <c r="A296">
        <f>Skills!A22</f>
        <v/>
      </c>
      <c r="B296">
        <f>Skills!B22</f>
        <v/>
      </c>
      <c r="C296">
        <f>Inputs!$B$3&gt;=33</f>
        <v/>
      </c>
      <c r="D296">
        <f>IF(Skills!C22=1,60+Inputs!$B$24+Inputs!$B$28,IF(Skills!C22=2,90+Inputs!$B$25+Inputs!$B$28,IF(Skills!C22=3,120+Inputs!$B$26+Inputs!$B$28,MAX(0,(Inputs!$B$3-100)*3)+Inputs!$B$27+Inputs!$B$28)))</f>
        <v/>
      </c>
      <c r="E296">
        <f>INDEX(FactorTable!$B$2:$Y$301, MATCH(ROUND(MIN(300,MAX(1,D296)),0), FactorTable!$A$2:$A$301,0), Skills!M22+1)</f>
        <v/>
      </c>
      <c r="F296">
        <f>IF(Skills!N22=TRUE,(Skills!L22/10)*(E296/1000),Skills!L22/10)+Skills!O22</f>
        <v/>
      </c>
      <c r="G296">
        <f>Skills!G22*IF(Skills!H22&gt;0,Skills!I22/Skills!H22,1)</f>
        <v/>
      </c>
      <c r="H296">
        <f>1-(1-Skills!J22/100)^Skills!K22</f>
        <v/>
      </c>
      <c r="I296" t="inlineStr">
        <is>
          <t>1</t>
        </is>
      </c>
      <c r="J296" t="inlineStr"/>
      <c r="K296" t="inlineStr"/>
      <c r="L296" t="inlineStr"/>
      <c r="M296" t="inlineStr"/>
      <c r="N296" t="inlineStr"/>
      <c r="O296" t="n">
        <v>0</v>
      </c>
      <c r="P296">
        <f>IF(B319=0,0,O296/B319)</f>
        <v/>
      </c>
      <c r="Q296" t="n">
        <v>0</v>
      </c>
      <c r="R296" t="n">
        <v>0</v>
      </c>
      <c r="S296">
        <f>IFERROR(O296/N296,0)</f>
        <v/>
      </c>
    </row>
    <row r="297">
      <c r="A297">
        <f>Skills!A23</f>
        <v/>
      </c>
      <c r="B297">
        <f>Skills!B23</f>
        <v/>
      </c>
      <c r="C297">
        <f>Inputs!$B$3&gt;=40</f>
        <v/>
      </c>
      <c r="D297">
        <f>IF(Skills!C23=1,60+Inputs!$B$24+Inputs!$B$28,IF(Skills!C23=2,90+Inputs!$B$25+Inputs!$B$28,IF(Skills!C23=3,120+Inputs!$B$26+Inputs!$B$28,MAX(0,(Inputs!$B$3-100)*3)+Inputs!$B$27+Inputs!$B$28)))</f>
        <v/>
      </c>
      <c r="E297">
        <f>INDEX(FactorTable!$B$2:$Y$301, MATCH(ROUND(MIN(300,MAX(1,D297)),0), FactorTable!$A$2:$A$301,0), Skills!M23+1)</f>
        <v/>
      </c>
      <c r="F297">
        <f>IF(Skills!N23=TRUE,(Skills!L23/10)*(E297/1000),Skills!L23/10)+Skills!O23</f>
        <v/>
      </c>
      <c r="G297">
        <f>Skills!G23*IF(Skills!H23&gt;0,Skills!I23/Skills!H23,1)</f>
        <v/>
      </c>
      <c r="H297">
        <f>1-(1-Skills!J23/100)^Skills!K23</f>
        <v/>
      </c>
      <c r="I297" t="inlineStr">
        <is>
          <t>1</t>
        </is>
      </c>
      <c r="J297" t="inlineStr"/>
      <c r="K297" t="inlineStr"/>
      <c r="L297" t="inlineStr"/>
      <c r="M297" t="inlineStr"/>
      <c r="N297" t="inlineStr"/>
      <c r="O297" t="n">
        <v>0</v>
      </c>
      <c r="P297">
        <f>IF(B319=0,0,O297/B319)</f>
        <v/>
      </c>
      <c r="Q297" t="n">
        <v>0</v>
      </c>
      <c r="R297" t="n">
        <v>0</v>
      </c>
      <c r="S297">
        <f>IFERROR(O297/N297,0)</f>
        <v/>
      </c>
    </row>
    <row r="298">
      <c r="A298">
        <f>Skills!A24</f>
        <v/>
      </c>
      <c r="B298">
        <f>Skills!B24</f>
        <v/>
      </c>
      <c r="C298">
        <f>Inputs!$B$3&gt;=43</f>
        <v/>
      </c>
      <c r="D298">
        <f>IF(Skills!C24=1,60+Inputs!$B$24+Inputs!$B$28,IF(Skills!C24=2,90+Inputs!$B$25+Inputs!$B$28,IF(Skills!C24=3,120+Inputs!$B$26+Inputs!$B$28,MAX(0,(Inputs!$B$3-100)*3)+Inputs!$B$27+Inputs!$B$28)))</f>
        <v/>
      </c>
      <c r="E298">
        <f>INDEX(FactorTable!$B$2:$Y$301, MATCH(ROUND(MIN(300,MAX(1,D298)),0), FactorTable!$A$2:$A$301,0), Skills!M24+1)</f>
        <v/>
      </c>
      <c r="F298">
        <f>IF(Skills!N24=TRUE,(Skills!L24/10)*(E298/1000),Skills!L24/10)+Skills!O24</f>
        <v/>
      </c>
      <c r="G298">
        <f>Skills!G24*IF(Skills!H24&gt;0,Skills!I24/Skills!H24,1)</f>
        <v/>
      </c>
      <c r="H298">
        <f>1-(1-Skills!J24/100)^Skills!K24</f>
        <v/>
      </c>
      <c r="I298" t="inlineStr">
        <is>
          <t>1</t>
        </is>
      </c>
      <c r="J298" t="inlineStr"/>
      <c r="K298" t="inlineStr"/>
      <c r="L298" t="inlineStr"/>
      <c r="M298" t="inlineStr"/>
      <c r="N298" t="inlineStr"/>
      <c r="O298" t="n">
        <v>0</v>
      </c>
      <c r="P298">
        <f>IF(B319=0,0,O298/B319)</f>
        <v/>
      </c>
      <c r="Q298" t="n">
        <v>0</v>
      </c>
      <c r="R298" t="n">
        <v>0</v>
      </c>
      <c r="S298">
        <f>IFERROR(O298/N298,0)</f>
        <v/>
      </c>
    </row>
    <row r="299">
      <c r="A299">
        <f>Skills!A25</f>
        <v/>
      </c>
      <c r="B299">
        <f>Skills!B25</f>
        <v/>
      </c>
      <c r="C299">
        <f>Inputs!$B$3&gt;=50</f>
        <v/>
      </c>
      <c r="D299">
        <f>IF(Skills!C25=1,60+Inputs!$B$24+Inputs!$B$28,IF(Skills!C25=2,90+Inputs!$B$25+Inputs!$B$28,IF(Skills!C25=3,120+Inputs!$B$26+Inputs!$B$28,MAX(0,(Inputs!$B$3-100)*3)+Inputs!$B$27+Inputs!$B$28)))</f>
        <v/>
      </c>
      <c r="E299">
        <f>INDEX(FactorTable!$B$2:$Y$301, MATCH(ROUND(MIN(300,MAX(1,D299)),0), FactorTable!$A$2:$A$301,0), Skills!M25+1)</f>
        <v/>
      </c>
      <c r="F299">
        <f>IF(Skills!N25=TRUE,(Skills!L25/10)*(E299/1000),Skills!L25/10)+Skills!O25</f>
        <v/>
      </c>
      <c r="G299">
        <f>Skills!G25*IF(Skills!H25&gt;0,Skills!I25/Skills!H25,1)</f>
        <v/>
      </c>
      <c r="H299">
        <f>1-(1-Skills!J25/100)^Skills!K25</f>
        <v/>
      </c>
      <c r="I299" t="inlineStr">
        <is>
          <t>1</t>
        </is>
      </c>
      <c r="J299" t="inlineStr"/>
      <c r="K299" t="inlineStr"/>
      <c r="L299" t="inlineStr"/>
      <c r="M299" t="inlineStr"/>
      <c r="N299" t="inlineStr"/>
      <c r="O299" t="n">
        <v>0</v>
      </c>
      <c r="P299">
        <f>IF(B319=0,0,O299/B319)</f>
        <v/>
      </c>
      <c r="Q299" t="n">
        <v>0</v>
      </c>
      <c r="R299" t="n">
        <v>0</v>
      </c>
      <c r="S299">
        <f>IFERROR(O299/N299,0)</f>
        <v/>
      </c>
    </row>
    <row r="300">
      <c r="A300">
        <f>Skills!A26</f>
        <v/>
      </c>
      <c r="B300">
        <f>Skills!B26</f>
        <v/>
      </c>
      <c r="C300">
        <f>Inputs!$B$3&gt;=50</f>
        <v/>
      </c>
      <c r="D300">
        <f>IF(Skills!C26=1,60+Inputs!$B$24+Inputs!$B$28,IF(Skills!C26=2,90+Inputs!$B$25+Inputs!$B$28,IF(Skills!C26=3,120+Inputs!$B$26+Inputs!$B$28,MAX(0,(Inputs!$B$3-100)*3)+Inputs!$B$27+Inputs!$B$28)))</f>
        <v/>
      </c>
      <c r="E300">
        <f>INDEX(FactorTable!$B$2:$Y$301, MATCH(ROUND(MIN(300,MAX(1,D300)),0), FactorTable!$A$2:$A$301,0), Skills!M26+1)</f>
        <v/>
      </c>
      <c r="F300">
        <f>IF(Skills!N26=TRUE,(Skills!L26/10)*(E300/1000),Skills!L26/10)+Skills!O26</f>
        <v/>
      </c>
      <c r="G300">
        <f>Skills!G26*IF(Skills!H26&gt;0,Skills!I26/Skills!H26,1)</f>
        <v/>
      </c>
      <c r="H300">
        <f>1-(1-Skills!J26/100)^Skills!K26</f>
        <v/>
      </c>
      <c r="I300" t="inlineStr">
        <is>
          <t>1</t>
        </is>
      </c>
      <c r="J300" t="inlineStr"/>
      <c r="K300" t="inlineStr"/>
      <c r="L300" t="inlineStr"/>
      <c r="M300" t="inlineStr"/>
      <c r="N300" t="inlineStr"/>
      <c r="O300" t="n">
        <v>0</v>
      </c>
      <c r="P300">
        <f>IF(B319=0,0,O300/B319)</f>
        <v/>
      </c>
      <c r="Q300" t="n">
        <v>0</v>
      </c>
      <c r="R300" t="n">
        <v>0</v>
      </c>
      <c r="S300">
        <f>IFERROR(O300/N300,0)</f>
        <v/>
      </c>
    </row>
    <row r="301">
      <c r="A301">
        <f>Skills!A27</f>
        <v/>
      </c>
      <c r="B301">
        <f>Skills!B27</f>
        <v/>
      </c>
      <c r="C301">
        <f>Inputs!$B$3&gt;=38</f>
        <v/>
      </c>
      <c r="D301">
        <f>IF(Skills!C27=1,60+Inputs!$B$24+Inputs!$B$28,IF(Skills!C27=2,90+Inputs!$B$25+Inputs!$B$28,IF(Skills!C27=3,120+Inputs!$B$26+Inputs!$B$28,MAX(0,(Inputs!$B$3-100)*3)+Inputs!$B$27+Inputs!$B$28)))</f>
        <v/>
      </c>
      <c r="E301">
        <f>INDEX(FactorTable!$B$2:$Y$301, MATCH(ROUND(MIN(300,MAX(1,D301)),0), FactorTable!$A$2:$A$301,0), Skills!M27+1)</f>
        <v/>
      </c>
      <c r="F301">
        <f>IF(Skills!N27=TRUE,(Skills!L27/10)*(E301/1000),Skills!L27/10)+Skills!O27</f>
        <v/>
      </c>
      <c r="G301">
        <f>Skills!G27*IF(Skills!H27&gt;0,Skills!I27/Skills!H27,1)</f>
        <v/>
      </c>
      <c r="H301">
        <f>1-(1-Skills!J27/100)^Skills!K27</f>
        <v/>
      </c>
      <c r="I301" t="inlineStr">
        <is>
          <t>1</t>
        </is>
      </c>
      <c r="J301" t="inlineStr"/>
      <c r="K301" t="inlineStr"/>
      <c r="L301" t="inlineStr"/>
      <c r="M301" t="inlineStr"/>
      <c r="N301" t="inlineStr"/>
      <c r="O301" t="n">
        <v>0</v>
      </c>
      <c r="P301">
        <f>IF(B319=0,0,O301/B319)</f>
        <v/>
      </c>
      <c r="Q301" t="n">
        <v>0</v>
      </c>
      <c r="R301" t="n">
        <v>0</v>
      </c>
      <c r="S301">
        <f>IFERROR(O301/N301,0)</f>
        <v/>
      </c>
    </row>
    <row r="302">
      <c r="A302">
        <f>Skills!A28</f>
        <v/>
      </c>
      <c r="B302">
        <f>Skills!B28</f>
        <v/>
      </c>
      <c r="C302">
        <f>Inputs!$B$3&gt;=120</f>
        <v/>
      </c>
      <c r="D302">
        <f>IF(Skills!C28=1,60+Inputs!$B$24+Inputs!$B$28,IF(Skills!C28=2,90+Inputs!$B$25+Inputs!$B$28,IF(Skills!C28=3,120+Inputs!$B$26+Inputs!$B$28,MAX(0,(Inputs!$B$3-100)*3)+Inputs!$B$27+Inputs!$B$28)))</f>
        <v/>
      </c>
      <c r="E302">
        <f>INDEX(FactorTable!$B$2:$Y$301, MATCH(ROUND(MIN(300,MAX(1,D302)),0), FactorTable!$A$2:$A$301,0), Skills!M28+1)</f>
        <v/>
      </c>
      <c r="F302">
        <f>IF(Skills!N28=TRUE,(Skills!L28/10)*(E302/1000),Skills!L28/10)+Skills!O28</f>
        <v/>
      </c>
      <c r="G302">
        <f>Skills!G28*IF(Skills!H28&gt;0,Skills!I28/Skills!H28,1)</f>
        <v/>
      </c>
      <c r="H302">
        <f>1-(1-Skills!J28/100)^Skills!K28</f>
        <v/>
      </c>
      <c r="I302" t="inlineStr">
        <is>
          <t>1</t>
        </is>
      </c>
      <c r="J302" t="inlineStr"/>
      <c r="K302" t="inlineStr"/>
      <c r="L302" t="inlineStr"/>
      <c r="M302" t="inlineStr"/>
      <c r="N302" t="inlineStr"/>
      <c r="O302" t="n">
        <v>0</v>
      </c>
      <c r="P302">
        <f>IF(B319=0,0,O302/B319)</f>
        <v/>
      </c>
      <c r="Q302" t="n">
        <v>0</v>
      </c>
      <c r="R302" t="n">
        <v>0</v>
      </c>
      <c r="S302">
        <f>IFERROR(O302/N302,0)</f>
        <v/>
      </c>
    </row>
    <row r="303">
      <c r="A303">
        <f>Skills!A29</f>
        <v/>
      </c>
      <c r="B303">
        <f>Skills!B29</f>
        <v/>
      </c>
      <c r="C303">
        <f>Inputs!$B$3&gt;=120</f>
        <v/>
      </c>
      <c r="D303">
        <f>IF(Skills!C29=1,60+Inputs!$B$24+Inputs!$B$28,IF(Skills!C29=2,90+Inputs!$B$25+Inputs!$B$28,IF(Skills!C29=3,120+Inputs!$B$26+Inputs!$B$28,MAX(0,(Inputs!$B$3-100)*3)+Inputs!$B$27+Inputs!$B$28)))</f>
        <v/>
      </c>
      <c r="E303">
        <f>INDEX(FactorTable!$B$2:$Y$301, MATCH(ROUND(MIN(300,MAX(1,D303)),0), FactorTable!$A$2:$A$301,0), Skills!M29+1)</f>
        <v/>
      </c>
      <c r="F303">
        <f>IF(Skills!N29=TRUE,(Skills!L29/10)*(E303/1000),Skills!L29/10)+Skills!O29</f>
        <v/>
      </c>
      <c r="G303">
        <f>Skills!G29*IF(Skills!H29&gt;0,Skills!I29/Skills!H29,1)</f>
        <v/>
      </c>
      <c r="H303">
        <f>1-(1-Skills!J29/100)^Skills!K29</f>
        <v/>
      </c>
      <c r="I303" t="inlineStr">
        <is>
          <t>1</t>
        </is>
      </c>
      <c r="J303" t="inlineStr"/>
      <c r="K303" t="inlineStr"/>
      <c r="L303" t="inlineStr"/>
      <c r="M303" t="inlineStr"/>
      <c r="N303" t="inlineStr"/>
      <c r="O303" t="n">
        <v>0</v>
      </c>
      <c r="P303">
        <f>IF(B319=0,0,O303/B319)</f>
        <v/>
      </c>
      <c r="Q303" t="n">
        <v>0</v>
      </c>
      <c r="R303" t="n">
        <v>0</v>
      </c>
      <c r="S303">
        <f>IFERROR(O303/N303,0)</f>
        <v/>
      </c>
    </row>
    <row r="304">
      <c r="A304">
        <f>Skills!A30</f>
        <v/>
      </c>
      <c r="B304">
        <f>Skills!B30</f>
        <v/>
      </c>
      <c r="C304">
        <f>Inputs!$B$3&gt;=125</f>
        <v/>
      </c>
      <c r="D304">
        <f>IF(Skills!C30=1,60+Inputs!$B$24+Inputs!$B$28,IF(Skills!C30=2,90+Inputs!$B$25+Inputs!$B$28,IF(Skills!C30=3,120+Inputs!$B$26+Inputs!$B$28,MAX(0,(Inputs!$B$3-100)*3)+Inputs!$B$27+Inputs!$B$28)))</f>
        <v/>
      </c>
      <c r="E304">
        <f>INDEX(FactorTable!$B$2:$Y$301, MATCH(ROUND(MIN(300,MAX(1,D304)),0), FactorTable!$A$2:$A$301,0), Skills!M30+1)</f>
        <v/>
      </c>
      <c r="F304">
        <f>IF(Skills!N30=TRUE,(Skills!L30/10)*(E304/1000),Skills!L30/10)+Skills!O30</f>
        <v/>
      </c>
      <c r="G304">
        <f>Skills!G30*IF(Skills!H30&gt;0,Skills!I30/Skills!H30,1)</f>
        <v/>
      </c>
      <c r="H304">
        <f>1-(1-Skills!J30/100)^Skills!K30</f>
        <v/>
      </c>
      <c r="I304" t="inlineStr">
        <is>
          <t>1</t>
        </is>
      </c>
      <c r="J304" t="inlineStr"/>
      <c r="K304" t="inlineStr"/>
      <c r="L304" t="inlineStr"/>
      <c r="M304" t="inlineStr"/>
      <c r="N304" t="inlineStr"/>
      <c r="O304" t="n">
        <v>0</v>
      </c>
      <c r="P304">
        <f>IF(B319=0,0,O304/B319)</f>
        <v/>
      </c>
      <c r="Q304" t="n">
        <v>0</v>
      </c>
      <c r="R304" t="n">
        <v>0</v>
      </c>
      <c r="S304">
        <f>IFERROR(O304/N304,0)</f>
        <v/>
      </c>
    </row>
    <row r="306">
      <c r="A306" t="inlineStr">
        <is>
          <t>Average Buff Multiplier</t>
        </is>
      </c>
      <c r="B306">
        <f>(1+(((C295=TRUE)*F295*IF(AND(Inputs!$B$4&lt;&gt;"pvp",Inputs!$B$35&gt;0),(((S295-1)*(Skills!Y21*(1+Inputs!$B$33/100))+MIN((Skills!Y21*(1+Inputs!$B$33/100)),MAX(0,Inputs!$B$35-((S295-1)*Skills!D21))))/Inputs!$B$35),IF(Inputs!$B$4="pvp",MIN((Skills!Y21*(1+Inputs!$B$33/100)),15)/15,(Skills!Y21*(1+Inputs!$B$33/100))/Skills!D21)))+((C297=TRUE)*(F297-Calc!F23))+((C291=TRUE)*(F291-Calc!F17)))/100)*(1+((C284=TRUE)*F284*IF(AND(Inputs!$B$4&lt;&gt;"pvp",Inputs!$B$35&gt;0),(((S284-1)*(Skills!Y10*(1+Inputs!$B$33/100))+MIN((Skills!Y10*(1+Inputs!$B$33/100)),MAX(0,Inputs!$B$35-((S284-1)*Skills!D10))))/Inputs!$B$35),IF(Inputs!$B$4="pvp",MIN((Skills!Y10*(1+Inputs!$B$33/100)),15)/15,(Skills!Y10*(1+Inputs!$B$33/100))/Skills!D10)))/100)*(1+((C289=TRUE)*F289*IF(AND(Inputs!$B$4&lt;&gt;"pvp",Inputs!$B$35&gt;0),(((S289-1)*(Skills!Y15*(1+Inputs!$B$33/100))+MIN((Skills!Y15*(1+Inputs!$B$33/100)),MAX(0,Inputs!$B$35-((S289-1)*Skills!D15))))/Inputs!$B$35),IF(Inputs!$B$4="pvp",MIN((Skills!Y15*(1+Inputs!$B$33/100)),15)/15,(Skills!Y15*(1+Inputs!$B$33/100))/Skills!D15)))/100)</f>
        <v/>
      </c>
    </row>
    <row r="307">
      <c r="A307" t="inlineStr">
        <is>
          <t>Global Crit Rate Bonus %</t>
        </is>
      </c>
      <c r="B307">
        <f>((C294=TRUE)*F294*IF(AND(Inputs!$B$4&lt;&gt;"pvp",Inputs!$B$35&gt;0),(((S294-1)*(Skills!Y20*(1+Inputs!$B$33/100))+MIN((Skills!Y20*(1+Inputs!$B$33/100)),MAX(0,Inputs!$B$35-((S294-1)*Skills!D20))))/Inputs!$B$35),IF(Inputs!$B$4="pvp",MIN((Skills!Y20*(1+Inputs!$B$33/100)),15)/15,(Skills!Y20*(1+Inputs!$B$33/100))/Skills!D20)))</f>
        <v/>
      </c>
    </row>
    <row r="308">
      <c r="A308" t="inlineStr">
        <is>
          <t>Global Monster Damage-Taken Bonus %</t>
        </is>
      </c>
      <c r="B308">
        <f>IF(Inputs!$B$3&gt;=82,15,0)</f>
        <v/>
      </c>
    </row>
    <row r="309">
      <c r="A309" t="inlineStr">
        <is>
          <t>Shadow Partner Average Multiplier</t>
        </is>
      </c>
      <c r="B309">
        <f>1+((C281=TRUE)*F281*(1+3.3333333333333335*IF(C292=TRUE,F292,0)/100)*I281*Skills!J7/100)/100</f>
        <v/>
      </c>
    </row>
    <row r="310">
      <c r="A310" t="inlineStr">
        <is>
          <t>Attack Speed Buff Bonus %</t>
        </is>
      </c>
      <c r="B310">
        <f>((C293=TRUE)*F293*IF(AND(Inputs!$B$4&lt;&gt;"pvp",Inputs!$B$35&gt;0),(((S293-1)*(Skills!Y19*(1+Inputs!$B$33/100))+MIN((Skills!Y19*(1+Inputs!$B$33/100)),MAX(0,Inputs!$B$35-((S293-1)*Skills!D19))))/Inputs!$B$35),IF(Inputs!$B$4="pvp",MIN((Skills!Y19*(1+Inputs!$B$33/100)),15)/15,(Skills!Y19*(1+Inputs!$B$33/100))/Skills!D19)))+((C277=TRUE)*F277*3)</f>
        <v/>
      </c>
    </row>
    <row r="311">
      <c r="A311" t="inlineStr">
        <is>
          <t>Actions Per Second</t>
        </is>
      </c>
      <c r="B311">
        <f>1+MIN(150,150*(1-(1-(Inputs!$B$10+((C296=TRUE)*(F296-Calc!F22)))/150)*(1-B310/150)))/100</f>
        <v/>
      </c>
    </row>
    <row r="312">
      <c r="A312" t="inlineStr">
        <is>
          <t>Skill + Buff Cast Rate</t>
        </is>
      </c>
      <c r="B312">
        <f>IF(AND(Inputs!$B$4&lt;&gt;"pvp",Inputs!$B$35&gt;0),SUMPRODUCT((Skills!E2:E30=TRUE)*(C276:C304=TRUE)*R276:R304*Skills!F2:F30)/Inputs!$B$35,SUMPRODUCT((Skills!E2:E30=TRUE)*(C276:C304=TRUE)*Q276:Q304*Skills!F2:F30))</f>
        <v/>
      </c>
    </row>
    <row r="313">
      <c r="A313" t="inlineStr">
        <is>
          <t>Cruel Stab Casts Per Second</t>
        </is>
      </c>
      <c r="B313">
        <f>MAX(0,B311-B312)</f>
        <v/>
      </c>
    </row>
    <row r="314">
      <c r="A314" t="inlineStr">
        <is>
          <t>Global Critical Damage Bonus % (Smokescreen Mastery Lv.113)</t>
        </is>
      </c>
      <c r="B314">
        <f>IF(Inputs!$B$3&gt;=113,30,0)*IF(AND(Inputs!$B$4&lt;&gt;"pvp",Inputs!$B$35&gt;0),(((S289-1)*(Skills!Y15*(1+Inputs!$B$33/100))+MIN((Skills!Y15*(1+Inputs!$B$33/100)),MAX(0,Inputs!$B$35-((S289-1)*Skills!D15))))/Inputs!$B$35),IF(Inputs!$B$4="pvp",MIN((Skills!Y15*(1+Inputs!$B$33/100)),15)/15,(Skills!Y15*(1+Inputs!$B$33/100))/Skills!D15))</f>
        <v/>
      </c>
    </row>
    <row r="315">
      <c r="A315" t="inlineStr">
        <is>
          <t>Meso Explosion average stack count</t>
        </is>
      </c>
      <c r="B315">
        <f>MIN(10,0.5*B311*Skills!D4)</f>
        <v/>
      </c>
    </row>
    <row r="316">
      <c r="A316" t="inlineStr">
        <is>
          <t>Blood Money average stack count</t>
        </is>
      </c>
      <c r="B316">
        <f>MIN(5,0.25*B311*Skills!D4)</f>
        <v/>
      </c>
    </row>
    <row r="317">
      <c r="A317" t="inlineStr">
        <is>
          <t>Assassinate Murderous Intent Multiplier</t>
        </is>
      </c>
      <c r="B317">
        <f>1+IFERROR(MIN(1,Q288*2/Q285),0)</f>
        <v/>
      </c>
    </row>
    <row r="319">
      <c r="A319" s="5" t="inlineStr">
        <is>
          <t>TOTAL DPS</t>
        </is>
      </c>
      <c r="B319" s="5">
        <f>SUM(O276:O304)</f>
        <v/>
      </c>
    </row>
    <row r="322">
      <c r="A322" s="5" t="inlineStr">
        <is>
          <t>Stat: NORMAL_DAMAGE %</t>
        </is>
      </c>
    </row>
    <row r="323">
      <c r="A323" s="8" t="inlineStr">
        <is>
          <t>Key</t>
        </is>
      </c>
      <c r="B323" s="8" t="inlineStr">
        <is>
          <t>Name</t>
        </is>
      </c>
      <c r="C323" s="8" t="inlineStr">
        <is>
          <t>Unlocked</t>
        </is>
      </c>
      <c r="D323" s="8" t="inlineStr">
        <is>
          <t>InputLevel</t>
        </is>
      </c>
      <c r="E323" s="8" t="inlineStr">
        <is>
          <t>Factor</t>
        </is>
      </c>
      <c r="F323" s="8" t="inlineStr">
        <is>
          <t>CoefficientPercent</t>
        </is>
      </c>
      <c r="G323" s="8" t="inlineStr">
        <is>
          <t>EffectiveHits</t>
        </is>
      </c>
      <c r="H323" s="8" t="inlineStr">
        <is>
          <t>ProcProbability</t>
        </is>
      </c>
      <c r="I323" s="8" t="inlineStr">
        <is>
          <t>MapleHeroMultiplier</t>
        </is>
      </c>
      <c r="J323" s="8" t="inlineStr">
        <is>
          <t>BaseDamage</t>
        </is>
      </c>
      <c r="K323" s="8" t="inlineStr">
        <is>
          <t>BaseHitDamage</t>
        </is>
      </c>
      <c r="L323" s="8" t="inlineStr">
        <is>
          <t>NonCritAvg</t>
        </is>
      </c>
      <c r="M323" s="8" t="inlineStr">
        <is>
          <t>CritAvg</t>
        </is>
      </c>
      <c r="N323" s="8" t="inlineStr">
        <is>
          <t>ExpectedDamage(perHit)</t>
        </is>
      </c>
      <c r="O323" s="8" t="inlineStr">
        <is>
          <t>DPS</t>
        </is>
      </c>
      <c r="P323" s="8" t="inlineStr">
        <is>
          <t>% of Total</t>
        </is>
      </c>
      <c r="Q323" s="8" t="inlineStr">
        <is>
          <t>InvCooldown</t>
        </is>
      </c>
      <c r="R323" s="8" t="inlineStr">
        <is>
          <t>CastsInFight</t>
        </is>
      </c>
      <c r="S323" s="8" t="inlineStr">
        <is>
          <t>HitRate(perSec)</t>
        </is>
      </c>
      <c r="U323" t="inlineStr">
        <is>
          <t>helpers</t>
        </is>
      </c>
    </row>
    <row r="324">
      <c r="A324">
        <f>Skills!A2</f>
        <v/>
      </c>
      <c r="B324">
        <f>Skills!B2</f>
        <v/>
      </c>
      <c r="C324">
        <f>Inputs!$B$3&gt;=100</f>
        <v/>
      </c>
      <c r="D324" t="inlineStr"/>
      <c r="E324" t="inlineStr"/>
      <c r="F324">
        <f>U326+Skills!O2</f>
        <v/>
      </c>
      <c r="G324">
        <f>Skills!G2*IF(Skills!H2&gt;0,Skills!I2/Skills!H2,1)</f>
        <v/>
      </c>
      <c r="H324">
        <f>1-(1-Skills!J2/100)^Skills!K2</f>
        <v/>
      </c>
      <c r="I324" t="inlineStr">
        <is>
          <t>1</t>
        </is>
      </c>
      <c r="J324">
        <f>(Inputs!$B$5*(1+Inputs!$B$6/100))*(F324/100)</f>
        <v/>
      </c>
      <c r="K324">
        <f>J324*(1+((Inputs!$B$11*(1+Inputs!$B$12/100))*0.01+Inputs!$B$13*0.0025)/100)*(1+Inputs!$B$14/100)*(1+IF(Inputs!$B$4="pvp",0,(1-Summary!$B$55)*(Inputs!$B$19+0+Skills!P2+B356)+Summary!$B$55*((Inputs!$B$20+1)+Skills!Q2+B356))/100)*(1+Inputs!$B$15/100)*(5000/(6000+Inputs!$B$7*(1-Inputs!$B$18/100)))*(1+(Inputs!$B$23+((C352=TRUE)*(F352-Calc!F30)))/100)*(1+(IF(Skills!A2="CRUEL_STAB",Inputs!$B$16+((C349=TRUE)*(F349-Calc!F27)),Inputs!$B$17+((C350=TRUE)*(F350-Calc!F28))))/100)*(((1+(((C343=TRUE)*F343*IF(AND(Inputs!$B$4&lt;&gt;"pvp",Inputs!$B$35&gt;0),(((S343-1)*(Skills!Y21*(1+Inputs!$B$33/100))+MIN((Skills!Y21*(1+Inputs!$B$33/100)),MAX(0,Inputs!$B$35-((S343-1)*Skills!D21))))/Inputs!$B$35),IF(Inputs!$B$4="pvp",MIN((Skills!Y21*(1+Inputs!$B$33/100)),15)/15,(Skills!Y21*(1+Inputs!$B$33/100))/Skills!D21)))+((C345=TRUE)*(F345-Calc!F23))+((C339=TRUE)*(F339-Calc!F17)))/100)*(1+((C332=TRUE)*F332*IF(AND(Inputs!$B$4&lt;&gt;"pvp",Inputs!$B$35&gt;0),(((S332-1)*(Skills!Y10*(1+Inputs!$B$33/100))+MIN((Skills!Y10*(1+Inputs!$B$33/100)),MAX(0,Inputs!$B$35-((S332-1)*Skills!D10))))/Inputs!$B$35),IF(Inputs!$B$4="pvp",MIN((Skills!Y10*(1+Inputs!$B$33/100)),15)/15,(Skills!Y10*(1+Inputs!$B$33/100))/Skills!D10)))/100)*(1+((C337=TRUE)*F337*IF(AND(Inputs!$B$4&lt;&gt;"pvp",Inputs!$B$35&gt;0),(((S337-1)*(Skills!Y15*(1+Inputs!$B$33/100))+MIN((Skills!Y15*(1+Inputs!$B$33/100)),MAX(0,Inputs!$B$35-((S337-1)*Skills!D15))))/Inputs!$B$35),IF(Inputs!$B$4="pvp",MIN((Skills!Y15*(1+Inputs!$B$33/100)),15)/15,(Skills!Y15*(1+Inputs!$B$33/100))/Skills!D15)))/100))*B357*I324)</f>
        <v/>
      </c>
      <c r="L324">
        <f>K324*(MIN(Inputs!$B$21+((C346=TRUE)*(F346-Calc!F24)),Inputs!$B$22+((C351=TRUE)*(F351-Calc!F29)))/100+(Inputs!$B$22+((C351=TRUE)*(F351-Calc!F29)))/100)/2</f>
        <v/>
      </c>
      <c r="M324">
        <f>L324*(1+(Inputs!$B$9+((C348=TRUE)*(F348-Calc!F26))+B362)/100)</f>
        <v/>
      </c>
      <c r="N324">
        <f>L324*(1-MIN((Inputs!$B$8+((C347=TRUE)*(F347-Calc!F25))+B355),100)/100)+M324*(MIN((Inputs!$B$8+((C347=TRUE)*(F347-Calc!F25))+B355),100)/100)</f>
        <v/>
      </c>
      <c r="O324">
        <f>IF(C324,Skills!G2*N324*B361*IF(Inputs!$B$4="pvp",1,(1-Summary!$B$55)*(1)+Summary!$B$55*(MIN((6+Inputs!$B$32),Inputs!$B$37))),0)</f>
        <v/>
      </c>
      <c r="P324">
        <f>IF(B367=0,0,O324/B367)</f>
        <v/>
      </c>
      <c r="Q324" t="n">
        <v>0</v>
      </c>
      <c r="R324" t="n">
        <v>0</v>
      </c>
      <c r="S324">
        <f>IFERROR(O324/N324,0)</f>
        <v/>
      </c>
      <c r="U324">
        <f>MAX(0,(Inputs!$B$3-100)*3)+Inputs!$B$27+Inputs!$B$28</f>
        <v/>
      </c>
    </row>
    <row r="325">
      <c r="A325">
        <f>Skills!A3</f>
        <v/>
      </c>
      <c r="B325">
        <f>Skills!B3</f>
        <v/>
      </c>
      <c r="C325">
        <f>Inputs!$B$3&gt;=35</f>
        <v/>
      </c>
      <c r="D325">
        <f>IF(Skills!C3=1,60+Inputs!$B$24+Inputs!$B$28,IF(Skills!C3=2,90+Inputs!$B$25+Inputs!$B$28,IF(Skills!C3=3,120+Inputs!$B$26+Inputs!$B$28,MAX(0,(Inputs!$B$3-100)*3)+Inputs!$B$27+Inputs!$B$28)))</f>
        <v/>
      </c>
      <c r="E325">
        <f>INDEX(FactorTable!$B$2:$Y$301, MATCH(ROUND(MIN(300,MAX(1,D325)),0), FactorTable!$A$2:$A$301,0), Skills!M3+1)</f>
        <v/>
      </c>
      <c r="F325">
        <f>IF(Skills!N3=TRUE,(Skills!L3/10)*(E325/1000),Skills!L3/10)+Skills!O3</f>
        <v/>
      </c>
      <c r="G325">
        <f>Skills!G3*IF(Skills!H3&gt;0,Skills!I3/Skills!H3,1)</f>
        <v/>
      </c>
      <c r="H325">
        <f>1-(1-Skills!J3/100)^Skills!K3</f>
        <v/>
      </c>
      <c r="I325" t="inlineStr">
        <is>
          <t>1</t>
        </is>
      </c>
      <c r="J325" t="inlineStr"/>
      <c r="K325" t="inlineStr"/>
      <c r="L325" t="inlineStr"/>
      <c r="M325" t="inlineStr"/>
      <c r="N325" t="inlineStr"/>
      <c r="O325" t="n">
        <v>0</v>
      </c>
      <c r="P325">
        <f>IF(B367=0,0,O325/B367)</f>
        <v/>
      </c>
      <c r="Q325" t="n">
        <v>0</v>
      </c>
      <c r="R325" t="n">
        <v>0</v>
      </c>
      <c r="S325">
        <f>IFERROR(O325/N325,0)</f>
        <v/>
      </c>
      <c r="U325">
        <f>INDEX(FactorTable!$B$2:$Y$301, MATCH(ROUND(MIN(300,MAX(1,U324)),0), FactorTable!$A$2:$A$301,0), 22)</f>
        <v/>
      </c>
    </row>
    <row r="326">
      <c r="A326">
        <f>Skills!A4</f>
        <v/>
      </c>
      <c r="B326">
        <f>Skills!B4</f>
        <v/>
      </c>
      <c r="C326">
        <f>Inputs!$B$3&gt;=66</f>
        <v/>
      </c>
      <c r="D326">
        <f>IF(Skills!C4=1,60+Inputs!$B$24+Inputs!$B$28,IF(Skills!C4=2,90+Inputs!$B$25+Inputs!$B$28,IF(Skills!C4=3,120+Inputs!$B$26+Inputs!$B$28,MAX(0,(Inputs!$B$3-100)*3)+Inputs!$B$27+Inputs!$B$28)))</f>
        <v/>
      </c>
      <c r="E326">
        <f>INDEX(FactorTable!$B$2:$Y$301, MATCH(ROUND(MIN(300,MAX(1,D326)),0), FactorTable!$A$2:$A$301,0), Skills!M4+1)</f>
        <v/>
      </c>
      <c r="F326">
        <f>IF(Skills!N4=TRUE,(Skills!L4/10)*(E326/1000),Skills!L4/10)+Skills!O4</f>
        <v/>
      </c>
      <c r="G326">
        <f>Skills!G4*IF(Skills!H4&gt;0,Skills!I4/Skills!H4,1)</f>
        <v/>
      </c>
      <c r="H326">
        <f>1-(1-Skills!J4/100)^Skills!K4</f>
        <v/>
      </c>
      <c r="I326" t="inlineStr">
        <is>
          <t>1</t>
        </is>
      </c>
      <c r="J326">
        <f>(Inputs!$B$5*(1+Inputs!$B$6/100))*(F326/100)</f>
        <v/>
      </c>
      <c r="K326">
        <f>J326*(1+((Inputs!$B$11*(1+Inputs!$B$12/100))*0.01+Inputs!$B$13*0.0025)/100)*(1+Inputs!$B$14/100)*(1+IF(Inputs!$B$4="pvp",0,(1-Summary!$B$55)*(Inputs!$B$19+0+Skills!P4+B356)+Summary!$B$55*((Inputs!$B$20+1)+Skills!Q4+B356))/100)*(1+Inputs!$B$15/100)*(5000/(6000+Inputs!$B$7*(1-Inputs!$B$18/100)))*(1+(Inputs!$B$23+((C352=TRUE)*(F352-Calc!F30)))/100)*(1+(IF(Skills!A4="CRUEL_STAB",Inputs!$B$16+((C349=TRUE)*(F349-Calc!F27)),Inputs!$B$17+((C350=TRUE)*(F350-Calc!F28))))/100)*(((1+(((C343=TRUE)*F343*IF(AND(Inputs!$B$4&lt;&gt;"pvp",Inputs!$B$35&gt;0),(((S343-1)*(Skills!Y21*(1+Inputs!$B$33/100))+MIN((Skills!Y21*(1+Inputs!$B$33/100)),MAX(0,Inputs!$B$35-((S343-1)*Skills!D21))))/Inputs!$B$35),IF(Inputs!$B$4="pvp",MIN((Skills!Y21*(1+Inputs!$B$33/100)),15)/15,(Skills!Y21*(1+Inputs!$B$33/100))/Skills!D21)))+((C345=TRUE)*(F345-Calc!F23))+((C339=TRUE)*(F339-Calc!F17)))/100)*(1+((C332=TRUE)*F332*IF(AND(Inputs!$B$4&lt;&gt;"pvp",Inputs!$B$35&gt;0),(((S332-1)*(Skills!Y10*(1+Inputs!$B$33/100))+MIN((Skills!Y10*(1+Inputs!$B$33/100)),MAX(0,Inputs!$B$35-((S332-1)*Skills!D10))))/Inputs!$B$35),IF(Inputs!$B$4="pvp",MIN((Skills!Y10*(1+Inputs!$B$33/100)),15)/15,(Skills!Y10*(1+Inputs!$B$33/100))/Skills!D10)))/100)*(1+((C337=TRUE)*F337*IF(AND(Inputs!$B$4&lt;&gt;"pvp",Inputs!$B$35&gt;0),(((S337-1)*(Skills!Y15*(1+Inputs!$B$33/100))+MIN((Skills!Y15*(1+Inputs!$B$33/100)),MAX(0,Inputs!$B$35-((S337-1)*Skills!D15))))/Inputs!$B$35),IF(Inputs!$B$4="pvp",MIN((Skills!Y15*(1+Inputs!$B$33/100)),15)/15,(Skills!Y15*(1+Inputs!$B$33/100))/Skills!D15)))/100))*B357*I326)</f>
        <v/>
      </c>
      <c r="L326">
        <f>K326*(MIN(Inputs!$B$21+((C346=TRUE)*(F346-Calc!F24)),Inputs!$B$22+((C351=TRUE)*(F351-Calc!F29)))/100+(Inputs!$B$22+((C351=TRUE)*(F351-Calc!F29)))/100)/2</f>
        <v/>
      </c>
      <c r="M326">
        <f>L326*(1+(Inputs!$B$9+((C348=TRUE)*(F348-Calc!F26))+B362)/100)</f>
        <v/>
      </c>
      <c r="N326">
        <f>L326*(1-MIN((Inputs!$B$8+((C347=TRUE)*(F347-Calc!F25))+B355),100)/100)+M326*(MIN((Inputs!$B$8+((C347=TRUE)*(F347-Calc!F25))+B355),100)/100)</f>
        <v/>
      </c>
      <c r="O326">
        <f>IF(C326,H326*N326*IF(AND(Inputs!$B$4&lt;&gt;"pvp",Inputs!$B$35&gt;0),((Skills!G4*((R326-1)*IF(Skills!H4&gt;0,Skills!I4/Skills!H4,1)+IF(Skills!H4&gt;0,MIN(Skills!I4,MAX(0,Inputs!$B$35-((R326-1)*IF(Inputs!$B$4="pvp",15,MAX(0.1,Skills!D4-IF(Skills!E4=TRUE,Inputs!$B$31,0))))))/Skills!H4,1)))/Inputs!$B$35),G326*Q326)*IF(Inputs!$B$4="pvp",1,(1-Summary!$B$55)*(1)+Summary!$B$55*(MIN(MIN(10,0.5*B359*Skills!D4),Inputs!$B$37))),0)</f>
        <v/>
      </c>
      <c r="P326">
        <f>IF(B367=0,0,O326/B367)</f>
        <v/>
      </c>
      <c r="Q326">
        <f>IFERROR(1/IF(Inputs!$B$4="pvp",15,MAX(0.1,Skills!D4-IF(Skills!E4=TRUE,Inputs!$B$31,0))),0)</f>
        <v/>
      </c>
      <c r="R326">
        <f>IF(AND(Inputs!$B$4&lt;&gt;"pvp",Inputs!$B$35&gt;0),(INT(Inputs!$B$35/IF(Inputs!$B$4="pvp",15,MAX(0.1,Skills!D4-IF(Skills!E4=TRUE,Inputs!$B$31,0))))+1),0)</f>
        <v/>
      </c>
      <c r="S326">
        <f>IFERROR(O326/N326,0)</f>
        <v/>
      </c>
      <c r="U326">
        <f>290*U325/1000</f>
        <v/>
      </c>
    </row>
    <row r="327">
      <c r="A327">
        <f>Skills!A5</f>
        <v/>
      </c>
      <c r="B327">
        <f>Skills!B5</f>
        <v/>
      </c>
      <c r="C327">
        <f>Inputs!$B$3&gt;=63</f>
        <v/>
      </c>
      <c r="D327">
        <f>IF(Skills!C5=1,60+Inputs!$B$24+Inputs!$B$28,IF(Skills!C5=2,90+Inputs!$B$25+Inputs!$B$28,IF(Skills!C5=3,120+Inputs!$B$26+Inputs!$B$28,MAX(0,(Inputs!$B$3-100)*3)+Inputs!$B$27+Inputs!$B$28)))</f>
        <v/>
      </c>
      <c r="E327">
        <f>INDEX(FactorTable!$B$2:$Y$301, MATCH(ROUND(MIN(300,MAX(1,D327)),0), FactorTable!$A$2:$A$301,0), Skills!M5+1)</f>
        <v/>
      </c>
      <c r="F327">
        <f>IF(Skills!N5=TRUE,(Skills!L5/10)*(E327/1000),Skills!L5/10)+Skills!O5</f>
        <v/>
      </c>
      <c r="G327">
        <f>Skills!G5*IF(Skills!H5&gt;0,Skills!I5/Skills!H5,1)</f>
        <v/>
      </c>
      <c r="H327">
        <f>1-(1-Skills!J5/100)^Skills!K5</f>
        <v/>
      </c>
      <c r="I327" t="inlineStr">
        <is>
          <t>1</t>
        </is>
      </c>
      <c r="J327">
        <f>(Inputs!$B$5*(1+Inputs!$B$6/100))*(F327/100)</f>
        <v/>
      </c>
      <c r="K327">
        <f>J327*(1+((Inputs!$B$11*(1+Inputs!$B$12/100))*0.01+Inputs!$B$13*0.0025)/100)*(1+Inputs!$B$14/100)*(1+IF(Inputs!$B$4="pvp",0,(1-Summary!$B$55)*(Inputs!$B$19+0+Skills!P5+B356)+Summary!$B$55*((Inputs!$B$20+1)+Skills!Q5+B356))/100)*(1+Inputs!$B$15/100)*(5000/(6000+Inputs!$B$7*(1-Inputs!$B$18/100)))*(1+(Inputs!$B$23+((C352=TRUE)*(F352-Calc!F30)))/100)*(1+2.6666666666666665*IF(C340=TRUE,F340,0)/100)*(1+(IF(Skills!A5="CRUEL_STAB",Inputs!$B$16+((C349=TRUE)*(F349-Calc!F27)),Inputs!$B$17+((C350=TRUE)*(F350-Calc!F28))))/100)*(((1+(((C343=TRUE)*F343*IF(AND(Inputs!$B$4&lt;&gt;"pvp",Inputs!$B$35&gt;0),(((S343-1)*(Skills!Y21*(1+Inputs!$B$33/100))+MIN((Skills!Y21*(1+Inputs!$B$33/100)),MAX(0,Inputs!$B$35-((S343-1)*Skills!D21))))/Inputs!$B$35),IF(Inputs!$B$4="pvp",MIN((Skills!Y21*(1+Inputs!$B$33/100)),15)/15,(Skills!Y21*(1+Inputs!$B$33/100))/Skills!D21)))+((C345=TRUE)*(F345-Calc!F23))+((C339=TRUE)*(F339-Calc!F17)))/100)*(1+((C332=TRUE)*F332*IF(AND(Inputs!$B$4&lt;&gt;"pvp",Inputs!$B$35&gt;0),(((S332-1)*(Skills!Y10*(1+Inputs!$B$33/100))+MIN((Skills!Y10*(1+Inputs!$B$33/100)),MAX(0,Inputs!$B$35-((S332-1)*Skills!D10))))/Inputs!$B$35),IF(Inputs!$B$4="pvp",MIN((Skills!Y10*(1+Inputs!$B$33/100)),15)/15,(Skills!Y10*(1+Inputs!$B$33/100))/Skills!D10)))/100)*(1+((C337=TRUE)*F337*IF(AND(Inputs!$B$4&lt;&gt;"pvp",Inputs!$B$35&gt;0),(((S337-1)*(Skills!Y15*(1+Inputs!$B$33/100))+MIN((Skills!Y15*(1+Inputs!$B$33/100)),MAX(0,Inputs!$B$35-((S337-1)*Skills!D15))))/Inputs!$B$35),IF(Inputs!$B$4="pvp",MIN((Skills!Y15*(1+Inputs!$B$33/100)),15)/15,(Skills!Y15*(1+Inputs!$B$33/100))/Skills!D15)))/100))*B357*I327)</f>
        <v/>
      </c>
      <c r="L327">
        <f>K327*(MIN(Inputs!$B$21+((C346=TRUE)*(F346-Calc!F24)),Inputs!$B$22+((C351=TRUE)*(F351-Calc!F29)))/100+(Inputs!$B$22+((C351=TRUE)*(F351-Calc!F29)))/100)/2</f>
        <v/>
      </c>
      <c r="M327">
        <f>L327*(1+(Inputs!$B$9+((C348=TRUE)*(F348-Calc!F26))+B362)/100)</f>
        <v/>
      </c>
      <c r="N327">
        <f>L327*(1-MIN((Inputs!$B$8+((C347=TRUE)*(F347-Calc!F25))+B355),100)/100)+M327*(MIN((Inputs!$B$8+((C347=TRUE)*(F347-Calc!F25))+B355),100)/100)</f>
        <v/>
      </c>
      <c r="O327">
        <f>IF(C327,H327*N327*IF(AND(Inputs!$B$4&lt;&gt;"pvp",Inputs!$B$35&gt;0),((Skills!G5*((R327-1)*IF(Skills!H5&gt;0,Skills!I5/Skills!H5,1)+IF(Skills!H5&gt;0,MIN(Skills!I5,MAX(0,Inputs!$B$35-((R327-1)*IF(Inputs!$B$4="pvp",15,MAX(0.1,Skills!D5-IF(Skills!E5=TRUE,Inputs!$B$31,0))))))/Skills!H5,1)))/Inputs!$B$35),G327*Q327)*IF(Inputs!$B$4="pvp",1,(1-Summary!$B$55)*(1)+Summary!$B$55*(MIN(Skills!W5,Inputs!$B$37))),0)</f>
        <v/>
      </c>
      <c r="P327">
        <f>IF(B367=0,0,O327/B367)</f>
        <v/>
      </c>
      <c r="Q327">
        <f>IFERROR(1/IF(Inputs!$B$4="pvp",15,MAX(0.1,Skills!D5-IF(Skills!E5=TRUE,Inputs!$B$31,0))),0)</f>
        <v/>
      </c>
      <c r="R327">
        <f>IF(AND(Inputs!$B$4&lt;&gt;"pvp",Inputs!$B$35&gt;0),(INT(Inputs!$B$35/IF(Inputs!$B$4="pvp",15,MAX(0.1,Skills!D5-IF(Skills!E5=TRUE,Inputs!$B$31,0))))+1),0)</f>
        <v/>
      </c>
      <c r="S327">
        <f>IFERROR(O327/N327,0)</f>
        <v/>
      </c>
    </row>
    <row r="328">
      <c r="A328">
        <f>Skills!A6</f>
        <v/>
      </c>
      <c r="B328">
        <f>Skills!B6</f>
        <v/>
      </c>
      <c r="C328">
        <f>Inputs!$B$3&gt;=69</f>
        <v/>
      </c>
      <c r="D328">
        <f>IF(Skills!C6=1,60+Inputs!$B$24+Inputs!$B$28,IF(Skills!C6=2,90+Inputs!$B$25+Inputs!$B$28,IF(Skills!C6=3,120+Inputs!$B$26+Inputs!$B$28,MAX(0,(Inputs!$B$3-100)*3)+Inputs!$B$27+Inputs!$B$28)))</f>
        <v/>
      </c>
      <c r="E328">
        <f>INDEX(FactorTable!$B$2:$Y$301, MATCH(ROUND(MIN(300,MAX(1,D328)),0), FactorTable!$A$2:$A$301,0), Skills!M6+1)</f>
        <v/>
      </c>
      <c r="F328">
        <f>IF(Skills!N6=TRUE,(Skills!L6/10)*(E328/1000),Skills!L6/10)+Skills!O6</f>
        <v/>
      </c>
      <c r="G328">
        <f>Skills!G6*IF(Skills!H6&gt;0,Skills!I6/Skills!H6,1)</f>
        <v/>
      </c>
      <c r="H328">
        <f>1-(1-Skills!J6/100)^Skills!K6</f>
        <v/>
      </c>
      <c r="I328" t="inlineStr">
        <is>
          <t>1</t>
        </is>
      </c>
      <c r="J328">
        <f>(Inputs!$B$5*(1+Inputs!$B$6/100))*(F328/100)</f>
        <v/>
      </c>
      <c r="K328">
        <f>J328*(1+((Inputs!$B$11*(1+Inputs!$B$12/100))*0.01+Inputs!$B$13*0.0025)/100)*(1+Inputs!$B$14/100)*(1+IF(Inputs!$B$4="pvp",0,(1-Summary!$B$55)*(Inputs!$B$19+0+Skills!P6+B356)+Summary!$B$55*((Inputs!$B$20+1)+Skills!Q6+B356))/100)*(1+Inputs!$B$15/100)*(5000/(6000+Inputs!$B$7*(1-Inputs!$B$18/100)))*(1+(Inputs!$B$23+((C352=TRUE)*(F352-Calc!F30)))/100)*(1+1.0*IF(C340=TRUE,F340,0)/100)*(1+(IF(Skills!A6="CRUEL_STAB",Inputs!$B$16+((C349=TRUE)*(F349-Calc!F27)),Inputs!$B$17+((C350=TRUE)*(F350-Calc!F28))))/100)*(((1+(((C343=TRUE)*F343*IF(AND(Inputs!$B$4&lt;&gt;"pvp",Inputs!$B$35&gt;0),(((S343-1)*(Skills!Y21*(1+Inputs!$B$33/100))+MIN((Skills!Y21*(1+Inputs!$B$33/100)),MAX(0,Inputs!$B$35-((S343-1)*Skills!D21))))/Inputs!$B$35),IF(Inputs!$B$4="pvp",MIN((Skills!Y21*(1+Inputs!$B$33/100)),15)/15,(Skills!Y21*(1+Inputs!$B$33/100))/Skills!D21)))+((C345=TRUE)*(F345-Calc!F23))+((C339=TRUE)*(F339-Calc!F17)))/100)*(1+((C332=TRUE)*F332*IF(AND(Inputs!$B$4&lt;&gt;"pvp",Inputs!$B$35&gt;0),(((S332-1)*(Skills!Y10*(1+Inputs!$B$33/100))+MIN((Skills!Y10*(1+Inputs!$B$33/100)),MAX(0,Inputs!$B$35-((S332-1)*Skills!D10))))/Inputs!$B$35),IF(Inputs!$B$4="pvp",MIN((Skills!Y10*(1+Inputs!$B$33/100)),15)/15,(Skills!Y10*(1+Inputs!$B$33/100))/Skills!D10)))/100)*(1+((C337=TRUE)*F337*IF(AND(Inputs!$B$4&lt;&gt;"pvp",Inputs!$B$35&gt;0),(((S337-1)*(Skills!Y15*(1+Inputs!$B$33/100))+MIN((Skills!Y15*(1+Inputs!$B$33/100)),MAX(0,Inputs!$B$35-((S337-1)*Skills!D15))))/Inputs!$B$35),IF(Inputs!$B$4="pvp",MIN((Skills!Y15*(1+Inputs!$B$33/100)),15)/15,(Skills!Y15*(1+Inputs!$B$33/100))/Skills!D15)))/100))*B357*I328)</f>
        <v/>
      </c>
      <c r="L328">
        <f>K328*(MIN(Inputs!$B$21+((C346=TRUE)*(F346-Calc!F24)),Inputs!$B$22+((C351=TRUE)*(F351-Calc!F29)))/100+(Inputs!$B$22+((C351=TRUE)*(F351-Calc!F29)))/100)/2</f>
        <v/>
      </c>
      <c r="M328">
        <f>L328*(1+(Inputs!$B$9+((C348=TRUE)*(F348-Calc!F26))+B362)/100)</f>
        <v/>
      </c>
      <c r="N328">
        <f>L328*(1-MIN((Inputs!$B$8+((C347=TRUE)*(F347-Calc!F25))+B355),100)/100)+M328*(MIN((Inputs!$B$8+((C347=TRUE)*(F347-Calc!F25))+B355),100)/100)</f>
        <v/>
      </c>
      <c r="O328">
        <f>IF(C328,H328*N328*IF(AND(Inputs!$B$4&lt;&gt;"pvp",Inputs!$B$35&gt;0),((Skills!G6*((R328-1)*IF(Skills!H6&gt;0,Skills!I6/Skills!H6,1)+IF(Skills!H6&gt;0,MIN(Skills!I6,MAX(0,Inputs!$B$35-((R328-1)*IF(Inputs!$B$4="pvp",15,MAX(0.1,Skills!D6-IF(Skills!E6=TRUE,Inputs!$B$31,0))))))/Skills!H6,1)))/Inputs!$B$35),G328*Q328)*IF(Inputs!$B$4="pvp",1,(1-Summary!$B$55)*(1)+Summary!$B$55*(MIN(Skills!W6,Inputs!$B$37))),0)</f>
        <v/>
      </c>
      <c r="P328">
        <f>IF(B367=0,0,O328/B367)</f>
        <v/>
      </c>
      <c r="Q328">
        <f>IFERROR(1/IF(Inputs!$B$4="pvp",15,MAX(0.1,Skills!D6-IF(Skills!E6=TRUE,Inputs!$B$31,0))),0)</f>
        <v/>
      </c>
      <c r="R328">
        <f>IF(AND(Inputs!$B$4&lt;&gt;"pvp",Inputs!$B$35&gt;0),(INT(Inputs!$B$35/IF(Inputs!$B$4="pvp",15,MAX(0.1,Skills!D6-IF(Skills!E6=TRUE,Inputs!$B$31,0))))+1),0)</f>
        <v/>
      </c>
      <c r="S328">
        <f>IFERROR(O328/N328,0)</f>
        <v/>
      </c>
    </row>
    <row r="329">
      <c r="A329">
        <f>Skills!A7</f>
        <v/>
      </c>
      <c r="B329">
        <f>Skills!B7</f>
        <v/>
      </c>
      <c r="C329">
        <f>Inputs!$B$3&gt;=60</f>
        <v/>
      </c>
      <c r="D329">
        <f>IF(Skills!C7=1,60+Inputs!$B$24+Inputs!$B$28,IF(Skills!C7=2,90+Inputs!$B$25+Inputs!$B$28,IF(Skills!C7=3,120+Inputs!$B$26+Inputs!$B$28,MAX(0,(Inputs!$B$3-100)*3)+Inputs!$B$27+Inputs!$B$28)))</f>
        <v/>
      </c>
      <c r="E329">
        <f>INDEX(FactorTable!$B$2:$Y$301, MATCH(ROUND(MIN(300,MAX(1,D329)),0), FactorTable!$A$2:$A$301,0), Skills!M7+1)</f>
        <v/>
      </c>
      <c r="F329">
        <f>IF(Skills!N7=TRUE,(Skills!L7/10)*(E329/1000),Skills!L7/10)+Skills!O7</f>
        <v/>
      </c>
      <c r="G329">
        <f>Skills!G7*IF(Skills!H7&gt;0,Skills!I7/Skills!H7,1)</f>
        <v/>
      </c>
      <c r="H329">
        <f>1-(1-Skills!J7/100)^Skills!K7</f>
        <v/>
      </c>
      <c r="I329" t="inlineStr">
        <is>
          <t>1</t>
        </is>
      </c>
      <c r="J329" t="inlineStr"/>
      <c r="K329" t="inlineStr"/>
      <c r="L329" t="inlineStr"/>
      <c r="M329" t="inlineStr"/>
      <c r="N329" t="inlineStr"/>
      <c r="O329" t="n">
        <v>0</v>
      </c>
      <c r="P329">
        <f>IF(B367=0,0,O329/B367)</f>
        <v/>
      </c>
      <c r="Q329" t="n">
        <v>0</v>
      </c>
      <c r="R329" t="n">
        <v>0</v>
      </c>
      <c r="S329">
        <f>IFERROR(O329/N329,0)</f>
        <v/>
      </c>
    </row>
    <row r="330">
      <c r="A330">
        <f>Skills!A8</f>
        <v/>
      </c>
      <c r="B330">
        <f>Skills!B8</f>
        <v/>
      </c>
      <c r="C330">
        <f>Inputs!$B$3&gt;=72</f>
        <v/>
      </c>
      <c r="D330">
        <f>IF(Skills!C8=1,60+Inputs!$B$24+Inputs!$B$28,IF(Skills!C8=2,90+Inputs!$B$25+Inputs!$B$28,IF(Skills!C8=3,120+Inputs!$B$26+Inputs!$B$28,MAX(0,(Inputs!$B$3-100)*3)+Inputs!$B$27+Inputs!$B$28)))</f>
        <v/>
      </c>
      <c r="E330">
        <f>INDEX(FactorTable!$B$2:$Y$301, MATCH(ROUND(MIN(300,MAX(1,D330)),0), FactorTable!$A$2:$A$301,0), Skills!M8+1)</f>
        <v/>
      </c>
      <c r="F330">
        <f>IF(Skills!N8=TRUE,(Skills!L8/10)*(E330/1000),Skills!L8/10)+Skills!O8</f>
        <v/>
      </c>
      <c r="G330">
        <f>Skills!G8*IF(Skills!H8&gt;0,Skills!I8/Skills!H8,1)</f>
        <v/>
      </c>
      <c r="H330">
        <f>1-(1-Skills!J8/100)^Skills!K8</f>
        <v/>
      </c>
      <c r="I330" t="inlineStr">
        <is>
          <t>1</t>
        </is>
      </c>
      <c r="J330">
        <f>(Inputs!$B$5*(1+Inputs!$B$6/100))*(F330/100)</f>
        <v/>
      </c>
      <c r="K330">
        <f>J330*(1+((Inputs!$B$11*(1+Inputs!$B$12/100))*0.01+Inputs!$B$13*0.0025)/100)*(1+Inputs!$B$14/100)*(1+IF(Inputs!$B$4="pvp",0,(1-Summary!$B$55)*(Inputs!$B$19+0+Skills!P8+B356)+Summary!$B$55*((Inputs!$B$20+1)+Skills!Q8+B356))/100)*(1+Inputs!$B$15/100)*(5000/(6000+Inputs!$B$7*(1-Inputs!$B$18/100)))*(1+(Inputs!$B$23+((C352=TRUE)*(F352-Calc!F30)))/100)*(1+3.3333333333333335*IF(C340=TRUE,F340,0)/100)*(1+(IF(Skills!A8="CRUEL_STAB",Inputs!$B$16+((C349=TRUE)*(F349-Calc!F27)),Inputs!$B$17+((C350=TRUE)*(F350-Calc!F28))))/100)*(((1+(((C343=TRUE)*F343*IF(AND(Inputs!$B$4&lt;&gt;"pvp",Inputs!$B$35&gt;0),(((S343-1)*(Skills!Y21*(1+Inputs!$B$33/100))+MIN((Skills!Y21*(1+Inputs!$B$33/100)),MAX(0,Inputs!$B$35-((S343-1)*Skills!D21))))/Inputs!$B$35),IF(Inputs!$B$4="pvp",MIN((Skills!Y21*(1+Inputs!$B$33/100)),15)/15,(Skills!Y21*(1+Inputs!$B$33/100))/Skills!D21)))+((C345=TRUE)*(F345-Calc!F23))+((C339=TRUE)*(F339-Calc!F17)))/100)*(1+((C332=TRUE)*F332*IF(AND(Inputs!$B$4&lt;&gt;"pvp",Inputs!$B$35&gt;0),(((S332-1)*(Skills!Y10*(1+Inputs!$B$33/100))+MIN((Skills!Y10*(1+Inputs!$B$33/100)),MAX(0,Inputs!$B$35-((S332-1)*Skills!D10))))/Inputs!$B$35),IF(Inputs!$B$4="pvp",MIN((Skills!Y10*(1+Inputs!$B$33/100)),15)/15,(Skills!Y10*(1+Inputs!$B$33/100))/Skills!D10)))/100)*(1+((C337=TRUE)*F337*IF(AND(Inputs!$B$4&lt;&gt;"pvp",Inputs!$B$35&gt;0),(((S337-1)*(Skills!Y15*(1+Inputs!$B$33/100))+MIN((Skills!Y15*(1+Inputs!$B$33/100)),MAX(0,Inputs!$B$35-((S337-1)*Skills!D15))))/Inputs!$B$35),IF(Inputs!$B$4="pvp",MIN((Skills!Y15*(1+Inputs!$B$33/100)),15)/15,(Skills!Y15*(1+Inputs!$B$33/100))/Skills!D15)))/100))*B357*I330)</f>
        <v/>
      </c>
      <c r="L330">
        <f>K330*(MIN(Inputs!$B$21+((C346=TRUE)*(F346-Calc!F24)),Inputs!$B$22+((C351=TRUE)*(F351-Calc!F29)))/100+(Inputs!$B$22+((C351=TRUE)*(F351-Calc!F29)))/100)/2</f>
        <v/>
      </c>
      <c r="M330">
        <f>L330*(1+(Inputs!$B$9+((C348=TRUE)*(F348-Calc!F26))+B362)/100)</f>
        <v/>
      </c>
      <c r="N330">
        <f>L330*(1-MIN((Inputs!$B$8+((C347=TRUE)*(F347-Calc!F25))+B355),100)/100)+M330*(MIN((Inputs!$B$8+((C347=TRUE)*(F347-Calc!F25))+B355),100)/100)</f>
        <v/>
      </c>
      <c r="O330">
        <f>IF(C330,H330*N330*IF(AND(Inputs!$B$4&lt;&gt;"pvp",Inputs!$B$35&gt;0),((Skills!G8*((R330-1)*IF(Skills!H8&gt;0,Skills!I8/Skills!H8,1)+IF(Skills!H8&gt;0,MIN(Skills!I8,MAX(0,Inputs!$B$35-((R330-1)*IF(Inputs!$B$4="pvp",15,MAX(0.1,Skills!D8-IF(Skills!E8=TRUE,Inputs!$B$31,0))))))/Skills!H8,1)))/Inputs!$B$35),G330*Q330)*IF(Inputs!$B$4="pvp",1,(1-Summary!$B$55)*(1)+Summary!$B$55*(MIN(Skills!W8,Inputs!$B$37))),0)</f>
        <v/>
      </c>
      <c r="P330">
        <f>IF(B367=0,0,O330/B367)</f>
        <v/>
      </c>
      <c r="Q330">
        <f>IFERROR(1/IF(Inputs!$B$4="pvp",15,MAX(0.1,Skills!D8-IF(Skills!E8=TRUE,Inputs!$B$31,0))),0)</f>
        <v/>
      </c>
      <c r="R330">
        <f>IF(AND(Inputs!$B$4&lt;&gt;"pvp",Inputs!$B$35&gt;0),(INT(Inputs!$B$35/IF(Inputs!$B$4="pvp",15,MAX(0.1,Skills!D8-IF(Skills!E8=TRUE,Inputs!$B$31,0))))+1),0)</f>
        <v/>
      </c>
      <c r="S330">
        <f>IFERROR(O330/N330,0)</f>
        <v/>
      </c>
    </row>
    <row r="331">
      <c r="A331">
        <f>Skills!A9</f>
        <v/>
      </c>
      <c r="B331">
        <f>Skills!B9</f>
        <v/>
      </c>
      <c r="C331">
        <f>Inputs!$B$3&gt;=117</f>
        <v/>
      </c>
      <c r="D331">
        <f>IF(Skills!C9=1,60+Inputs!$B$24+Inputs!$B$28,IF(Skills!C9=2,90+Inputs!$B$25+Inputs!$B$28,IF(Skills!C9=3,120+Inputs!$B$26+Inputs!$B$28,MAX(0,(Inputs!$B$3-100)*3)+Inputs!$B$27+Inputs!$B$28)))</f>
        <v/>
      </c>
      <c r="E331">
        <f>INDEX(FactorTable!$B$2:$Y$301, MATCH(ROUND(MIN(300,MAX(1,D331)),0), FactorTable!$A$2:$A$301,0), Skills!M9+1)</f>
        <v/>
      </c>
      <c r="F331">
        <f>IF(Skills!N9=TRUE,(Skills!L9/10)*(E331/1000),Skills!L9/10)+Skills!O9</f>
        <v/>
      </c>
      <c r="G331">
        <f>Skills!G9*IF(Skills!H9&gt;0,Skills!I9/Skills!H9,1)</f>
        <v/>
      </c>
      <c r="H331">
        <f>1-(1-Skills!J9/100)^Skills!K9</f>
        <v/>
      </c>
      <c r="I331" t="inlineStr">
        <is>
          <t>1</t>
        </is>
      </c>
      <c r="J331">
        <f>(Inputs!$B$5*(1+Inputs!$B$6/100))*(F331/100)</f>
        <v/>
      </c>
      <c r="K331">
        <f>J331*(1+((Inputs!$B$11*(1+Inputs!$B$12/100))*0.01+Inputs!$B$13*0.0025)/100)*(1+Inputs!$B$14/100)*(1+IF(Inputs!$B$4="pvp",0,(1-Summary!$B$55)*(Inputs!$B$19+0+Skills!P9+B356)+Summary!$B$55*((Inputs!$B$20+1)+Skills!Q9+B356))/100)*(1+Inputs!$B$15/100)*(5000/(6000+Inputs!$B$7*(1-Inputs!$B$18/100)))*(1+(Inputs!$B$23+((C352=TRUE)*(F352-Calc!F30)))/100)*(1+(IF(Skills!A9="CRUEL_STAB",Inputs!$B$16+((C349=TRUE)*(F349-Calc!F27)),Inputs!$B$17+((C350=TRUE)*(F350-Calc!F28))))/100)*(((1+(((C343=TRUE)*F343*IF(AND(Inputs!$B$4&lt;&gt;"pvp",Inputs!$B$35&gt;0),(((S343-1)*(Skills!Y21*(1+Inputs!$B$33/100))+MIN((Skills!Y21*(1+Inputs!$B$33/100)),MAX(0,Inputs!$B$35-((S343-1)*Skills!D21))))/Inputs!$B$35),IF(Inputs!$B$4="pvp",MIN((Skills!Y21*(1+Inputs!$B$33/100)),15)/15,(Skills!Y21*(1+Inputs!$B$33/100))/Skills!D21)))+((C345=TRUE)*(F345-Calc!F23))+((C339=TRUE)*(F339-Calc!F17)))/100)*(1+((C332=TRUE)*F332*IF(AND(Inputs!$B$4&lt;&gt;"pvp",Inputs!$B$35&gt;0),(((S332-1)*(Skills!Y10*(1+Inputs!$B$33/100))+MIN((Skills!Y10*(1+Inputs!$B$33/100)),MAX(0,Inputs!$B$35-((S332-1)*Skills!D10))))/Inputs!$B$35),IF(Inputs!$B$4="pvp",MIN((Skills!Y10*(1+Inputs!$B$33/100)),15)/15,(Skills!Y10*(1+Inputs!$B$33/100))/Skills!D10)))/100)*(1+((C337=TRUE)*F337*IF(AND(Inputs!$B$4&lt;&gt;"pvp",Inputs!$B$35&gt;0),(((S337-1)*(Skills!Y15*(1+Inputs!$B$33/100))+MIN((Skills!Y15*(1+Inputs!$B$33/100)),MAX(0,Inputs!$B$35-((S337-1)*Skills!D15))))/Inputs!$B$35),IF(Inputs!$B$4="pvp",MIN((Skills!Y15*(1+Inputs!$B$33/100)),15)/15,(Skills!Y15*(1+Inputs!$B$33/100))/Skills!D15)))/100))*B357*I331)</f>
        <v/>
      </c>
      <c r="L331">
        <f>K331*(MIN(Inputs!$B$21+((C346=TRUE)*(F346-Calc!F24)),Inputs!$B$22+((C351=TRUE)*(F351-Calc!F29)))/100+(Inputs!$B$22+((C351=TRUE)*(F351-Calc!F29)))/100)/2</f>
        <v/>
      </c>
      <c r="M331">
        <f>L331*(1+(Inputs!$B$9+((C348=TRUE)*(F348-Calc!F26))+B362)/100)</f>
        <v/>
      </c>
      <c r="N331">
        <f>L331*(1-MIN((Inputs!$B$8+((C347=TRUE)*(F347-Calc!F25))+B355),100)/100)+M331*(MIN((Inputs!$B$8+((C347=TRUE)*(F347-Calc!F25))+B355),100)/100)</f>
        <v/>
      </c>
      <c r="O331">
        <f>IF(C331,0.2*SUMPRODUCT((Skills!Z2:Z30=TRUE)*(C324:C352=TRUE)*S324:S352)*N331,0)</f>
        <v/>
      </c>
      <c r="P331">
        <f>IF(B367=0,0,O331/B367)</f>
        <v/>
      </c>
      <c r="Q331" t="n">
        <v>0</v>
      </c>
      <c r="R331" t="n">
        <v>0</v>
      </c>
      <c r="S331" t="n">
        <v>0</v>
      </c>
    </row>
    <row r="332">
      <c r="A332">
        <f>Skills!A10</f>
        <v/>
      </c>
      <c r="B332">
        <f>Skills!B10</f>
        <v/>
      </c>
      <c r="C332">
        <f>Inputs!$B$3&gt;=74</f>
        <v/>
      </c>
      <c r="D332">
        <f>IF(Skills!C10=1,60+Inputs!$B$24+Inputs!$B$28,IF(Skills!C10=2,90+Inputs!$B$25+Inputs!$B$28,IF(Skills!C10=3,120+Inputs!$B$26+Inputs!$B$28,MAX(0,(Inputs!$B$3-100)*3)+Inputs!$B$27+Inputs!$B$28)))</f>
        <v/>
      </c>
      <c r="E332">
        <f>INDEX(FactorTable!$B$2:$Y$301, MATCH(ROUND(MIN(300,MAX(1,D332)),0), FactorTable!$A$2:$A$301,0), Skills!M10+1)</f>
        <v/>
      </c>
      <c r="F332">
        <f>IF(Skills!N10=TRUE,(Skills!L10/10)*(E332/1000),Skills!L10/10)+Skills!O10</f>
        <v/>
      </c>
      <c r="G332">
        <f>Skills!G10*IF(Skills!H10&gt;0,Skills!I10/Skills!H10,1)</f>
        <v/>
      </c>
      <c r="H332">
        <f>1-(1-Skills!J10/100)^Skills!K10</f>
        <v/>
      </c>
      <c r="I332" t="inlineStr">
        <is>
          <t>1</t>
        </is>
      </c>
      <c r="J332" t="inlineStr"/>
      <c r="K332" t="inlineStr"/>
      <c r="L332" t="inlineStr"/>
      <c r="M332" t="inlineStr"/>
      <c r="N332" t="inlineStr"/>
      <c r="O332" t="n">
        <v>0</v>
      </c>
      <c r="P332">
        <f>IF(B367=0,0,O332/B367)</f>
        <v/>
      </c>
      <c r="Q332">
        <f>IFERROR(1/IF(Inputs!$B$4="pvp",15,MAX(0.1,Skills!D10-IF(Skills!E10=TRUE,Inputs!$B$31,0))),0)</f>
        <v/>
      </c>
      <c r="R332">
        <f>IF(AND(Inputs!$B$4&lt;&gt;"pvp",Inputs!$B$35&gt;0),(INT(Inputs!$B$35/IF(Inputs!$B$4="pvp",15,MAX(0.1,Skills!D10-IF(Skills!E10=TRUE,Inputs!$B$31,0))))+1),0)</f>
        <v/>
      </c>
      <c r="S332">
        <f>IFERROR(O332/N332,0)</f>
        <v/>
      </c>
    </row>
    <row r="333">
      <c r="A333">
        <f>Skills!A11</f>
        <v/>
      </c>
      <c r="B333">
        <f>Skills!B11</f>
        <v/>
      </c>
      <c r="C333">
        <f>Inputs!$B$3&gt;=103</f>
        <v/>
      </c>
      <c r="D333">
        <f>IF(Skills!C11=1,60+Inputs!$B$24+Inputs!$B$28,IF(Skills!C11=2,90+Inputs!$B$25+Inputs!$B$28,IF(Skills!C11=3,120+Inputs!$B$26+Inputs!$B$28,MAX(0,(Inputs!$B$3-100)*3)+Inputs!$B$27+Inputs!$B$28)))</f>
        <v/>
      </c>
      <c r="E333">
        <f>INDEX(FactorTable!$B$2:$Y$301, MATCH(ROUND(MIN(300,MAX(1,D333)),0), FactorTable!$A$2:$A$301,0), Skills!M11+1)</f>
        <v/>
      </c>
      <c r="F333">
        <f>(Skills!L11/10)*(E333/1000)+IF(Inputs!$B$3&gt;=134,50,0)+0.5*(30000/10)*(INDEX(FactorTable!$B$2:$Y$301, MATCH(ROUND(MIN(300,MAX(1,D333)),0), FactorTable!$A$2:$A$301,0), 13)/1000)*B365</f>
        <v/>
      </c>
      <c r="G333">
        <f>Skills!G11*IF(Skills!H11&gt;0,Skills!I11/Skills!H11,1)</f>
        <v/>
      </c>
      <c r="H333">
        <f>1-(1-Skills!J11/100)^Skills!K11</f>
        <v/>
      </c>
      <c r="I333" t="inlineStr">
        <is>
          <t>1</t>
        </is>
      </c>
      <c r="J333">
        <f>(Inputs!$B$5*(1+Inputs!$B$6/100))*(F333/100)</f>
        <v/>
      </c>
      <c r="K333">
        <f>J333*(1+((Inputs!$B$11*(1+Inputs!$B$12/100))*0.01+Inputs!$B$13*0.0025)/100)*(1+Inputs!$B$14/100)*(1+IF(Inputs!$B$4="pvp",0,(1-Summary!$B$55)*(Inputs!$B$19+0+Skills!P11+B356)+Summary!$B$55*((Inputs!$B$20+1)+Skills!Q11+B356))/100)*(1+Inputs!$B$15/100)*(5000/(6000+Inputs!$B$7*(1-Inputs!$B$18/100)))*(1+(Inputs!$B$23+((C352=TRUE)*(F352-Calc!F30)))/100)*(1+(IF(Skills!A11="CRUEL_STAB",Inputs!$B$16+((C349=TRUE)*(F349-Calc!F27)),Inputs!$B$17+((C350=TRUE)*(F350-Calc!F28))))/100)*(((1+(((C343=TRUE)*F343*IF(AND(Inputs!$B$4&lt;&gt;"pvp",Inputs!$B$35&gt;0),(((S343-1)*(Skills!Y21*(1+Inputs!$B$33/100))+MIN((Skills!Y21*(1+Inputs!$B$33/100)),MAX(0,Inputs!$B$35-((S343-1)*Skills!D21))))/Inputs!$B$35),IF(Inputs!$B$4="pvp",MIN((Skills!Y21*(1+Inputs!$B$33/100)),15)/15,(Skills!Y21*(1+Inputs!$B$33/100))/Skills!D21)))+((C345=TRUE)*(F345-Calc!F23))+((C339=TRUE)*(F339-Calc!F17)))/100)*(1+((C332=TRUE)*F332*IF(AND(Inputs!$B$4&lt;&gt;"pvp",Inputs!$B$35&gt;0),(((S332-1)*(Skills!Y10*(1+Inputs!$B$33/100))+MIN((Skills!Y10*(1+Inputs!$B$33/100)),MAX(0,Inputs!$B$35-((S332-1)*Skills!D10))))/Inputs!$B$35),IF(Inputs!$B$4="pvp",MIN((Skills!Y10*(1+Inputs!$B$33/100)),15)/15,(Skills!Y10*(1+Inputs!$B$33/100))/Skills!D10)))/100)*(1+((C337=TRUE)*F337*IF(AND(Inputs!$B$4&lt;&gt;"pvp",Inputs!$B$35&gt;0),(((S337-1)*(Skills!Y15*(1+Inputs!$B$33/100))+MIN((Skills!Y15*(1+Inputs!$B$33/100)),MAX(0,Inputs!$B$35-((S337-1)*Skills!D15))))/Inputs!$B$35),IF(Inputs!$B$4="pvp",MIN((Skills!Y15*(1+Inputs!$B$33/100)),15)/15,(Skills!Y15*(1+Inputs!$B$33/100))/Skills!D15)))/100))*B357*I333)</f>
        <v/>
      </c>
      <c r="L333">
        <f>K333*(MIN(Inputs!$B$21+((C346=TRUE)*(F346-Calc!F24)),Inputs!$B$22+((C351=TRUE)*(F351-Calc!F29)))/100+(Inputs!$B$22+((C351=TRUE)*(F351-Calc!F29)))/100)/2</f>
        <v/>
      </c>
      <c r="M333">
        <f>L333*(1+(Inputs!$B$9+((C348=TRUE)*(F348-Calc!F26))+B362)/100)</f>
        <v/>
      </c>
      <c r="N333">
        <f>L333*(1-MIN((Inputs!$B$8+((C347=TRUE)*(F347-Calc!F25))+B355),100)/100)+M333*(MIN((Inputs!$B$8+((C347=TRUE)*(F347-Calc!F25))+B355),100)/100)</f>
        <v/>
      </c>
      <c r="O333">
        <f>IF(C333,H333*N333*IF(AND(Inputs!$B$4&lt;&gt;"pvp",Inputs!$B$35&gt;0),((Skills!G11*((R333-1)*IF(Skills!H11&gt;0,Skills!I11/Skills!H11,1)+IF(Skills!H11&gt;0,MIN(Skills!I11,MAX(0,Inputs!$B$35-((R333-1)*IF(Inputs!$B$4="pvp",15,MAX(0.1,Skills!D11-IF(Skills!E11=TRUE,Inputs!$B$31,0))))))/Skills!H11,1)))/Inputs!$B$35),G333*Q333)*IF(Inputs!$B$4="pvp",1,(1-Summary!$B$55)*(1)+Summary!$B$55*(MIN(Skills!W11,Inputs!$B$37))),0)</f>
        <v/>
      </c>
      <c r="P333">
        <f>IF(B367=0,0,O333/B367)</f>
        <v/>
      </c>
      <c r="Q333">
        <f>IFERROR(1/IF(Inputs!$B$4="pvp",15,MAX(0.1,Skills!D11-IF(Skills!E11=TRUE,Inputs!$B$31,0))),0)</f>
        <v/>
      </c>
      <c r="R333">
        <f>IF(AND(Inputs!$B$4&lt;&gt;"pvp",Inputs!$B$35&gt;0),(INT(Inputs!$B$35/IF(Inputs!$B$4="pvp",15,MAX(0.1,Skills!D11-IF(Skills!E11=TRUE,Inputs!$B$31,0))))+1),0)</f>
        <v/>
      </c>
      <c r="S333">
        <f>IFERROR(O333/N333,0)</f>
        <v/>
      </c>
    </row>
    <row r="334">
      <c r="A334">
        <f>Skills!A12</f>
        <v/>
      </c>
      <c r="B334">
        <f>Skills!B12</f>
        <v/>
      </c>
      <c r="C334">
        <f>Inputs!$B$3&gt;=105</f>
        <v/>
      </c>
      <c r="D334">
        <f>IF(Skills!C12=1,60+Inputs!$B$24+Inputs!$B$28,IF(Skills!C12=2,90+Inputs!$B$25+Inputs!$B$28,IF(Skills!C12=3,120+Inputs!$B$26+Inputs!$B$28,MAX(0,(Inputs!$B$3-100)*3)+Inputs!$B$27+Inputs!$B$28)))</f>
        <v/>
      </c>
      <c r="E334">
        <f>INDEX(FactorTable!$B$2:$Y$301, MATCH(ROUND(MIN(300,MAX(1,D334)),0), FactorTable!$A$2:$A$301,0), Skills!M12+1)</f>
        <v/>
      </c>
      <c r="F334">
        <f>IF(Skills!N12=TRUE,(Skills!L12/10)*(E334/1000),Skills!L12/10)+Skills!O12</f>
        <v/>
      </c>
      <c r="G334">
        <f>Skills!G12*IF(Skills!H12&gt;0,Skills!I12/Skills!H12,1)</f>
        <v/>
      </c>
      <c r="H334">
        <f>1-(1-Skills!J12/100)^Skills!K12</f>
        <v/>
      </c>
      <c r="I334" t="inlineStr">
        <is>
          <t>1</t>
        </is>
      </c>
      <c r="J334">
        <f>(Inputs!$B$5*(1+Inputs!$B$6/100))*(F334/100)</f>
        <v/>
      </c>
      <c r="K334">
        <f>J334*(1+((Inputs!$B$11*(1+Inputs!$B$12/100))*0.01+Inputs!$B$13*0.0025)/100)*(1+Inputs!$B$14/100)*(1+IF(Inputs!$B$4="pvp",0,(1-Summary!$B$55)*(Inputs!$B$19+0+Skills!P12+B356)+Summary!$B$55*((Inputs!$B$20+1)+Skills!Q12+B356))/100)*(1+Inputs!$B$15/100)*(5000/(6000+Inputs!$B$7*(1-Inputs!$B$18/100)))*(1+(Inputs!$B$23+((C352=TRUE)*(F352-Calc!F30)))/100)*(1+(IF(Skills!A12="CRUEL_STAB",Inputs!$B$16+((C349=TRUE)*(F349-Calc!F27)),Inputs!$B$17+((C350=TRUE)*(F350-Calc!F28))))/100)*(((1+(((C343=TRUE)*F343*IF(AND(Inputs!$B$4&lt;&gt;"pvp",Inputs!$B$35&gt;0),(((S343-1)*(Skills!Y21*(1+Inputs!$B$33/100))+MIN((Skills!Y21*(1+Inputs!$B$33/100)),MAX(0,Inputs!$B$35-((S343-1)*Skills!D21))))/Inputs!$B$35),IF(Inputs!$B$4="pvp",MIN((Skills!Y21*(1+Inputs!$B$33/100)),15)/15,(Skills!Y21*(1+Inputs!$B$33/100))/Skills!D21)))+((C345=TRUE)*(F345-Calc!F23))+((C339=TRUE)*(F339-Calc!F17)))/100)*(1+((C332=TRUE)*F332*IF(AND(Inputs!$B$4&lt;&gt;"pvp",Inputs!$B$35&gt;0),(((S332-1)*(Skills!Y10*(1+Inputs!$B$33/100))+MIN((Skills!Y10*(1+Inputs!$B$33/100)),MAX(0,Inputs!$B$35-((S332-1)*Skills!D10))))/Inputs!$B$35),IF(Inputs!$B$4="pvp",MIN((Skills!Y10*(1+Inputs!$B$33/100)),15)/15,(Skills!Y10*(1+Inputs!$B$33/100))/Skills!D10)))/100)*(1+((C337=TRUE)*F337*IF(AND(Inputs!$B$4&lt;&gt;"pvp",Inputs!$B$35&gt;0),(((S337-1)*(Skills!Y15*(1+Inputs!$B$33/100))+MIN((Skills!Y15*(1+Inputs!$B$33/100)),MAX(0,Inputs!$B$35-((S337-1)*Skills!D15))))/Inputs!$B$35),IF(Inputs!$B$4="pvp",MIN((Skills!Y15*(1+Inputs!$B$33/100)),15)/15,(Skills!Y15*(1+Inputs!$B$33/100))/Skills!D15)))/100))*B357*I334)</f>
        <v/>
      </c>
      <c r="L334">
        <f>K334*(MIN(Inputs!$B$21+((C346=TRUE)*(F346-Calc!F24)),Inputs!$B$22+((C351=TRUE)*(F351-Calc!F29)))/100+(Inputs!$B$22+((C351=TRUE)*(F351-Calc!F29)))/100)/2</f>
        <v/>
      </c>
      <c r="M334">
        <f>L334*(1+(Inputs!$B$9+((C348=TRUE)*(F348-Calc!F26))+B362)/100)</f>
        <v/>
      </c>
      <c r="N334">
        <f>L334*(1-MIN((Inputs!$B$8+((C347=TRUE)*(F347-Calc!F25))+B355),100)/100)+M334*(MIN((Inputs!$B$8+((C347=TRUE)*(F347-Calc!F25))+B355),100)/100)</f>
        <v/>
      </c>
      <c r="O334">
        <f>IF(C334,H334*N334*IF(AND(Inputs!$B$4&lt;&gt;"pvp",Inputs!$B$35&gt;0),((Skills!G12*((R334-1)*IF(Skills!H12&gt;0,Skills!I12/Skills!H12,1)+IF(Skills!H12&gt;0,MIN(Skills!I12,MAX(0,Inputs!$B$35-((R334-1)*IF(Inputs!$B$4="pvp",15,MAX(0.1,Skills!D12-IF(Skills!E12=TRUE,Inputs!$B$31,0))))))/Skills!H12,1)))/Inputs!$B$35),G334*Q334)*IF(Inputs!$B$4="pvp",1,(1-Summary!$B$55)*(1)+Summary!$B$55*(MIN(Skills!W12,Inputs!$B$37))),0)</f>
        <v/>
      </c>
      <c r="P334">
        <f>IF(B367=0,0,O334/B367)</f>
        <v/>
      </c>
      <c r="Q334">
        <f>IFERROR(1/IF(Inputs!$B$4="pvp",15,MAX(0.1,Skills!D12-IF(Skills!E12=TRUE,Inputs!$B$31,0))),0)</f>
        <v/>
      </c>
      <c r="R334">
        <f>IF(AND(Inputs!$B$4&lt;&gt;"pvp",Inputs!$B$35&gt;0),(INT(Inputs!$B$35/IF(Inputs!$B$4="pvp",15,MAX(0.1,Skills!D12-IF(Skills!E12=TRUE,Inputs!$B$31,0))))+1),0)</f>
        <v/>
      </c>
      <c r="S334">
        <f>IFERROR(O334/N334,0)</f>
        <v/>
      </c>
    </row>
    <row r="335">
      <c r="A335">
        <f>Skills!A13</f>
        <v/>
      </c>
      <c r="B335">
        <f>Skills!B13</f>
        <v/>
      </c>
      <c r="C335">
        <f>Inputs!$B$3&gt;=105</f>
        <v/>
      </c>
      <c r="D335">
        <f>IF(Skills!C13=1,60+Inputs!$B$24+Inputs!$B$28,IF(Skills!C13=2,90+Inputs!$B$25+Inputs!$B$28,IF(Skills!C13=3,120+Inputs!$B$26+Inputs!$B$28,MAX(0,(Inputs!$B$3-100)*3)+Inputs!$B$27+Inputs!$B$28)))</f>
        <v/>
      </c>
      <c r="E335">
        <f>INDEX(FactorTable!$B$2:$Y$301, MATCH(ROUND(MIN(300,MAX(1,D335)),0), FactorTable!$A$2:$A$301,0), Skills!M13+1)</f>
        <v/>
      </c>
      <c r="F335">
        <f>IF(Skills!N13=TRUE,(Skills!L13/10)*(E335/1000),Skills!L13/10)+Skills!O13</f>
        <v/>
      </c>
      <c r="G335">
        <f>Skills!G13*IF(Skills!H13&gt;0,Skills!I13/Skills!H13,1)</f>
        <v/>
      </c>
      <c r="H335">
        <f>1-(1-Skills!J13/100)^Skills!K13</f>
        <v/>
      </c>
      <c r="I335" t="inlineStr">
        <is>
          <t>1</t>
        </is>
      </c>
      <c r="J335">
        <f>(Inputs!$B$5*(1+Inputs!$B$6/100))*(F335/100)</f>
        <v/>
      </c>
      <c r="K335">
        <f>J335*(1+((Inputs!$B$11*(1+Inputs!$B$12/100))*0.01+Inputs!$B$13*0.0025)/100)*(1+Inputs!$B$14/100)*(1+IF(Inputs!$B$4="pvp",0,(1-Summary!$B$55)*(Inputs!$B$19+0+Skills!P13+B356)+Summary!$B$55*((Inputs!$B$20+1)+Skills!Q13+B356))/100)*(1+Inputs!$B$15/100)*(5000/(6000+Inputs!$B$7*(1-Inputs!$B$18/100)))*(1+(Inputs!$B$23+((C352=TRUE)*(F352-Calc!F30)))/100)*(1+(IF(Skills!A13="CRUEL_STAB",Inputs!$B$16+((C349=TRUE)*(F349-Calc!F27)),Inputs!$B$17+((C350=TRUE)*(F350-Calc!F28))))/100)*(((1+(((C343=TRUE)*F343*IF(AND(Inputs!$B$4&lt;&gt;"pvp",Inputs!$B$35&gt;0),(((S343-1)*(Skills!Y21*(1+Inputs!$B$33/100))+MIN((Skills!Y21*(1+Inputs!$B$33/100)),MAX(0,Inputs!$B$35-((S343-1)*Skills!D21))))/Inputs!$B$35),IF(Inputs!$B$4="pvp",MIN((Skills!Y21*(1+Inputs!$B$33/100)),15)/15,(Skills!Y21*(1+Inputs!$B$33/100))/Skills!D21)))+((C345=TRUE)*(F345-Calc!F23))+((C339=TRUE)*(F339-Calc!F17)))/100)*(1+((C332=TRUE)*F332*IF(AND(Inputs!$B$4&lt;&gt;"pvp",Inputs!$B$35&gt;0),(((S332-1)*(Skills!Y10*(1+Inputs!$B$33/100))+MIN((Skills!Y10*(1+Inputs!$B$33/100)),MAX(0,Inputs!$B$35-((S332-1)*Skills!D10))))/Inputs!$B$35),IF(Inputs!$B$4="pvp",MIN((Skills!Y10*(1+Inputs!$B$33/100)),15)/15,(Skills!Y10*(1+Inputs!$B$33/100))/Skills!D10)))/100)*(1+((C337=TRUE)*F337*IF(AND(Inputs!$B$4&lt;&gt;"pvp",Inputs!$B$35&gt;0),(((S337-1)*(Skills!Y15*(1+Inputs!$B$33/100))+MIN((Skills!Y15*(1+Inputs!$B$33/100)),MAX(0,Inputs!$B$35-((S337-1)*Skills!D15))))/Inputs!$B$35),IF(Inputs!$B$4="pvp",MIN((Skills!Y15*(1+Inputs!$B$33/100)),15)/15,(Skills!Y15*(1+Inputs!$B$33/100))/Skills!D15)))/100))*B357*I335)</f>
        <v/>
      </c>
      <c r="L335">
        <f>K335*(MIN(Inputs!$B$21+((C346=TRUE)*(F346-Calc!F24)),Inputs!$B$22+((C351=TRUE)*(F351-Calc!F29)))/100+(Inputs!$B$22+((C351=TRUE)*(F351-Calc!F29)))/100)/2</f>
        <v/>
      </c>
      <c r="M335">
        <f>L335*(1+(Inputs!$B$9+((C348=TRUE)*(F348-Calc!F26))+B362)/100)</f>
        <v/>
      </c>
      <c r="N335">
        <f>L335*(1-MIN((Inputs!$B$8+((C347=TRUE)*(F347-Calc!F25))+B355),100)/100)+M335*(MIN((Inputs!$B$8+((C347=TRUE)*(F347-Calc!F25))+B355),100)/100)</f>
        <v/>
      </c>
      <c r="O335">
        <f>IF(C335,H335*N335*IF(AND(Inputs!$B$4&lt;&gt;"pvp",Inputs!$B$35&gt;0),((Skills!G13*((R335-1)*IF(Skills!H13&gt;0,Skills!I13/Skills!H13,1)+IF(Skills!H13&gt;0,MIN(Skills!I13,MAX(0,Inputs!$B$35-((R335-1)*IF(Inputs!$B$4="pvp",15,MAX(0.1,Skills!D13-IF(Skills!E13=TRUE,Inputs!$B$31,0))))))/Skills!H13,1)))/Inputs!$B$35),G335*Q335)*IF(Inputs!$B$4="pvp",1,(1-Summary!$B$55)*(1)+Summary!$B$55*(MIN(Skills!W13,Inputs!$B$37))),0)</f>
        <v/>
      </c>
      <c r="P335">
        <f>IF(B367=0,0,O335/B367)</f>
        <v/>
      </c>
      <c r="Q335">
        <f>IFERROR(1/IF(Inputs!$B$4="pvp",15,MAX(0.1,Skills!D13-IF(Skills!E13=TRUE,Inputs!$B$31,0))),0)</f>
        <v/>
      </c>
      <c r="R335">
        <f>IF(AND(Inputs!$B$4&lt;&gt;"pvp",Inputs!$B$35&gt;0),(INT(Inputs!$B$35/IF(Inputs!$B$4="pvp",15,MAX(0.1,Skills!D13-IF(Skills!E13=TRUE,Inputs!$B$31,0))))+1),0)</f>
        <v/>
      </c>
      <c r="S335">
        <f>IFERROR(O335/N335,0)</f>
        <v/>
      </c>
    </row>
    <row r="336">
      <c r="A336">
        <f>Skills!A14</f>
        <v/>
      </c>
      <c r="B336">
        <f>Skills!B14</f>
        <v/>
      </c>
      <c r="C336">
        <f>Inputs!$B$3&gt;=107</f>
        <v/>
      </c>
      <c r="D336">
        <f>IF(Skills!C14=1,60+Inputs!$B$24+Inputs!$B$28,IF(Skills!C14=2,90+Inputs!$B$25+Inputs!$B$28,IF(Skills!C14=3,120+Inputs!$B$26+Inputs!$B$28,MAX(0,(Inputs!$B$3-100)*3)+Inputs!$B$27+Inputs!$B$28)))</f>
        <v/>
      </c>
      <c r="E336">
        <f>INDEX(FactorTable!$B$2:$Y$301, MATCH(ROUND(MIN(300,MAX(1,D336)),0), FactorTable!$A$2:$A$301,0), Skills!M14+1)</f>
        <v/>
      </c>
      <c r="F336">
        <f>IF(Skills!N14=TRUE,(Skills!L14/10)*(E336/1000),Skills!L14/10)+Skills!O14</f>
        <v/>
      </c>
      <c r="G336">
        <f>Skills!G14*IF(Skills!H14&gt;0,Skills!I14/Skills!H14,1)</f>
        <v/>
      </c>
      <c r="H336">
        <f>1-(1-Skills!J14/100)^Skills!K14</f>
        <v/>
      </c>
      <c r="I336" t="inlineStr">
        <is>
          <t>1</t>
        </is>
      </c>
      <c r="J336">
        <f>(Inputs!$B$5*(1+Inputs!$B$6/100))*(F336/100)</f>
        <v/>
      </c>
      <c r="K336">
        <f>J336*(1+((Inputs!$B$11*(1+Inputs!$B$12/100))*0.01+Inputs!$B$13*0.0025)/100)*(1+Inputs!$B$14/100)*(1+IF(Inputs!$B$4="pvp",0,(1-Summary!$B$55)*(Inputs!$B$19+0+Skills!P14+B356)+Summary!$B$55*((Inputs!$B$20+1)+Skills!Q14+B356))/100)*(1+Inputs!$B$15/100)*(5000/(6000+Inputs!$B$7*(1-Inputs!$B$18/100)))*(1+(Inputs!$B$23+((C352=TRUE)*(F352-Calc!F30)))/100)*(1+(IF(Skills!A14="CRUEL_STAB",Inputs!$B$16+((C349=TRUE)*(F349-Calc!F27)),Inputs!$B$17+((C350=TRUE)*(F350-Calc!F28))))/100)*(((1+(((C343=TRUE)*F343*IF(AND(Inputs!$B$4&lt;&gt;"pvp",Inputs!$B$35&gt;0),(((S343-1)*(Skills!Y21*(1+Inputs!$B$33/100))+MIN((Skills!Y21*(1+Inputs!$B$33/100)),MAX(0,Inputs!$B$35-((S343-1)*Skills!D21))))/Inputs!$B$35),IF(Inputs!$B$4="pvp",MIN((Skills!Y21*(1+Inputs!$B$33/100)),15)/15,(Skills!Y21*(1+Inputs!$B$33/100))/Skills!D21)))+((C345=TRUE)*(F345-Calc!F23))+((C339=TRUE)*(F339-Calc!F17)))/100)*(1+((C332=TRUE)*F332*IF(AND(Inputs!$B$4&lt;&gt;"pvp",Inputs!$B$35&gt;0),(((S332-1)*(Skills!Y10*(1+Inputs!$B$33/100))+MIN((Skills!Y10*(1+Inputs!$B$33/100)),MAX(0,Inputs!$B$35-((S332-1)*Skills!D10))))/Inputs!$B$35),IF(Inputs!$B$4="pvp",MIN((Skills!Y10*(1+Inputs!$B$33/100)),15)/15,(Skills!Y10*(1+Inputs!$B$33/100))/Skills!D10)))/100)*(1+((C337=TRUE)*F337*IF(AND(Inputs!$B$4&lt;&gt;"pvp",Inputs!$B$35&gt;0),(((S337-1)*(Skills!Y15*(1+Inputs!$B$33/100))+MIN((Skills!Y15*(1+Inputs!$B$33/100)),MAX(0,Inputs!$B$35-((S337-1)*Skills!D15))))/Inputs!$B$35),IF(Inputs!$B$4="pvp",MIN((Skills!Y15*(1+Inputs!$B$33/100)),15)/15,(Skills!Y15*(1+Inputs!$B$33/100))/Skills!D15)))/100))*B357*I336)</f>
        <v/>
      </c>
      <c r="L336">
        <f>K336*(MIN(Inputs!$B$21+((C346=TRUE)*(F346-Calc!F24)),Inputs!$B$22+((C351=TRUE)*(F351-Calc!F29)))/100+(Inputs!$B$22+((C351=TRUE)*(F351-Calc!F29)))/100)/2</f>
        <v/>
      </c>
      <c r="M336">
        <f>L336*(1+(Inputs!$B$9+((C348=TRUE)*(F348-Calc!F26))+B362)/100)</f>
        <v/>
      </c>
      <c r="N336">
        <f>L336*(1-MIN((Inputs!$B$8+((C347=TRUE)*(F347-Calc!F25))+B355),100)/100)+M336*(MIN((Inputs!$B$8+((C347=TRUE)*(F347-Calc!F25))+B355),100)/100)</f>
        <v/>
      </c>
      <c r="O336">
        <f>IF(C336,H336*N336*IF(AND(Inputs!$B$4&lt;&gt;"pvp",Inputs!$B$35&gt;0),((Skills!G14*((R336-1)*IF(Skills!H14&gt;0,Skills!I14/Skills!H14,1)+IF(Skills!H14&gt;0,MIN(Skills!I14,MAX(0,Inputs!$B$35-((R336-1)*IF(Inputs!$B$4="pvp",15,MAX(0.1,Skills!D14-IF(Skills!E14=TRUE,Inputs!$B$31,0))))))/Skills!H14,1)))/Inputs!$B$35),G336*Q336)*IF(Inputs!$B$4="pvp",1,(1-Summary!$B$55)*(1)+Summary!$B$55*(MIN(MIN(5,0.25*B359*Skills!D4)*Skills!V14,Inputs!$B$37))),0)</f>
        <v/>
      </c>
      <c r="P336">
        <f>IF(B367=0,0,O336/B367)</f>
        <v/>
      </c>
      <c r="Q336">
        <f>IFERROR(1/IF(Inputs!$B$4="pvp",15,MAX(0.1,Skills!D14-IF(Skills!E14=TRUE,Inputs!$B$31,0))),0)</f>
        <v/>
      </c>
      <c r="R336">
        <f>IF(AND(Inputs!$B$4&lt;&gt;"pvp",Inputs!$B$35&gt;0),(INT(Inputs!$B$35/IF(Inputs!$B$4="pvp",15,MAX(0.1,Skills!D14-IF(Skills!E14=TRUE,Inputs!$B$31,0))))+1),0)</f>
        <v/>
      </c>
      <c r="S336">
        <f>IFERROR(O336/N336,0)</f>
        <v/>
      </c>
    </row>
    <row r="337">
      <c r="A337">
        <f>Skills!A15</f>
        <v/>
      </c>
      <c r="B337">
        <f>Skills!B15</f>
        <v/>
      </c>
      <c r="C337">
        <f>Inputs!$B$3&gt;=110</f>
        <v/>
      </c>
      <c r="D337">
        <f>IF(Skills!C15=1,60+Inputs!$B$24+Inputs!$B$28,IF(Skills!C15=2,90+Inputs!$B$25+Inputs!$B$28,IF(Skills!C15=3,120+Inputs!$B$26+Inputs!$B$28,MAX(0,(Inputs!$B$3-100)*3)+Inputs!$B$27+Inputs!$B$28)))</f>
        <v/>
      </c>
      <c r="E337">
        <f>INDEX(FactorTable!$B$2:$Y$301, MATCH(ROUND(MIN(300,MAX(1,D337)),0), FactorTable!$A$2:$A$301,0), Skills!M15+1)</f>
        <v/>
      </c>
      <c r="F337">
        <f>IF(Skills!N15=TRUE,(Skills!L15/10)*(E337/1000),Skills!L15/10)+Skills!O15</f>
        <v/>
      </c>
      <c r="G337">
        <f>Skills!G15*IF(Skills!H15&gt;0,Skills!I15/Skills!H15,1)</f>
        <v/>
      </c>
      <c r="H337">
        <f>1-(1-Skills!J15/100)^Skills!K15</f>
        <v/>
      </c>
      <c r="I337" t="inlineStr">
        <is>
          <t>1</t>
        </is>
      </c>
      <c r="J337" t="inlineStr"/>
      <c r="K337" t="inlineStr"/>
      <c r="L337" t="inlineStr"/>
      <c r="M337" t="inlineStr"/>
      <c r="N337" t="inlineStr"/>
      <c r="O337" t="n">
        <v>0</v>
      </c>
      <c r="P337">
        <f>IF(B367=0,0,O337/B367)</f>
        <v/>
      </c>
      <c r="Q337">
        <f>IFERROR(1/IF(Inputs!$B$4="pvp",15,MAX(0.1,Skills!D15-IF(Skills!E15=TRUE,Inputs!$B$31,0))),0)</f>
        <v/>
      </c>
      <c r="R337">
        <f>IF(AND(Inputs!$B$4&lt;&gt;"pvp",Inputs!$B$35&gt;0),(INT(Inputs!$B$35/IF(Inputs!$B$4="pvp",15,MAX(0.1,Skills!D15-IF(Skills!E15=TRUE,Inputs!$B$31,0))))+1),0)</f>
        <v/>
      </c>
      <c r="S337">
        <f>IFERROR(O337/N337,0)</f>
        <v/>
      </c>
    </row>
    <row r="338">
      <c r="A338">
        <f>Skills!A16</f>
        <v/>
      </c>
      <c r="B338">
        <f>Skills!B16</f>
        <v/>
      </c>
      <c r="C338">
        <f>Inputs!$B$3&gt;=115</f>
        <v/>
      </c>
      <c r="D338">
        <f>IF(Skills!C16=1,60+Inputs!$B$24+Inputs!$B$28,IF(Skills!C16=2,90+Inputs!$B$25+Inputs!$B$28,IF(Skills!C16=3,120+Inputs!$B$26+Inputs!$B$28,MAX(0,(Inputs!$B$3-100)*3)+Inputs!$B$27+Inputs!$B$28)))</f>
        <v/>
      </c>
      <c r="E338">
        <f>INDEX(FactorTable!$B$2:$Y$301, MATCH(ROUND(MIN(300,MAX(1,D338)),0), FactorTable!$A$2:$A$301,0), Skills!M16+1)</f>
        <v/>
      </c>
      <c r="F338">
        <f>IF(Skills!N16=TRUE,(Skills!L16/10)*(E338/1000),Skills!L16/10)+Skills!O16</f>
        <v/>
      </c>
      <c r="G338">
        <f>Skills!G16*IF(Skills!H16&gt;0,Skills!I16/Skills!H16,1)</f>
        <v/>
      </c>
      <c r="H338">
        <f>1-(1-Skills!J16/100)^Skills!K16</f>
        <v/>
      </c>
      <c r="I338" t="inlineStr">
        <is>
          <t>1</t>
        </is>
      </c>
      <c r="J338">
        <f>(Inputs!$B$5*(1+Inputs!$B$6/100))*(F338/100)</f>
        <v/>
      </c>
      <c r="K338">
        <f>J338*(1+((Inputs!$B$11*(1+Inputs!$B$12/100))*0.01+Inputs!$B$13*0.0025)/100)*(1+Inputs!$B$14/100)*(1+IF(Inputs!$B$4="pvp",0,(1-Summary!$B$55)*(Inputs!$B$19+0+Skills!P16+B356)+Summary!$B$55*((Inputs!$B$20+1)+Skills!Q16+B356))/100)*(1+Inputs!$B$15/100)*(5000/(6000+Inputs!$B$7*(1-Inputs!$B$18/100)))*(1+(Inputs!$B$23+((C352=TRUE)*(F352-Calc!F30)))/100)*(1+(IF(Skills!A16="CRUEL_STAB",Inputs!$B$16+((C349=TRUE)*(F349-Calc!F27)),Inputs!$B$17+((C350=TRUE)*(F350-Calc!F28))))/100)*(((1+(((C343=TRUE)*F343*IF(AND(Inputs!$B$4&lt;&gt;"pvp",Inputs!$B$35&gt;0),(((S343-1)*(Skills!Y21*(1+Inputs!$B$33/100))+MIN((Skills!Y21*(1+Inputs!$B$33/100)),MAX(0,Inputs!$B$35-((S343-1)*Skills!D21))))/Inputs!$B$35),IF(Inputs!$B$4="pvp",MIN((Skills!Y21*(1+Inputs!$B$33/100)),15)/15,(Skills!Y21*(1+Inputs!$B$33/100))/Skills!D21)))+((C345=TRUE)*(F345-Calc!F23))+((C339=TRUE)*(F339-Calc!F17)))/100)*(1+((C332=TRUE)*F332*IF(AND(Inputs!$B$4&lt;&gt;"pvp",Inputs!$B$35&gt;0),(((S332-1)*(Skills!Y10*(1+Inputs!$B$33/100))+MIN((Skills!Y10*(1+Inputs!$B$33/100)),MAX(0,Inputs!$B$35-((S332-1)*Skills!D10))))/Inputs!$B$35),IF(Inputs!$B$4="pvp",MIN((Skills!Y10*(1+Inputs!$B$33/100)),15)/15,(Skills!Y10*(1+Inputs!$B$33/100))/Skills!D10)))/100)*(1+((C337=TRUE)*F337*IF(AND(Inputs!$B$4&lt;&gt;"pvp",Inputs!$B$35&gt;0),(((S337-1)*(Skills!Y15*(1+Inputs!$B$33/100))+MIN((Skills!Y15*(1+Inputs!$B$33/100)),MAX(0,Inputs!$B$35-((S337-1)*Skills!D15))))/Inputs!$B$35),IF(Inputs!$B$4="pvp",MIN((Skills!Y15*(1+Inputs!$B$33/100)),15)/15,(Skills!Y15*(1+Inputs!$B$33/100))/Skills!D15)))/100))*B357*I338)</f>
        <v/>
      </c>
      <c r="L338">
        <f>K338*(MIN(Inputs!$B$21+((C346=TRUE)*(F346-Calc!F24)),Inputs!$B$22+((C351=TRUE)*(F351-Calc!F29)))/100+(Inputs!$B$22+((C351=TRUE)*(F351-Calc!F29)))/100)/2</f>
        <v/>
      </c>
      <c r="M338">
        <f>L338*(1+(Inputs!$B$9+((C348=TRUE)*(F348-Calc!F26))+B362)/100)</f>
        <v/>
      </c>
      <c r="N338">
        <f>L338*(1-MIN((Inputs!$B$8+((C347=TRUE)*(F347-Calc!F25))+B355),100)/100)+M338*(MIN((Inputs!$B$8+((C347=TRUE)*(F347-Calc!F25))+B355),100)/100)</f>
        <v/>
      </c>
      <c r="O338">
        <f>IF(C338,Inputs!$B$38*0.2*N338,0)</f>
        <v/>
      </c>
      <c r="P338">
        <f>IF(B367=0,0,O338/B367)</f>
        <v/>
      </c>
      <c r="Q338" t="n">
        <v>0</v>
      </c>
      <c r="R338" t="n">
        <v>0</v>
      </c>
      <c r="S338">
        <f>IFERROR(O338/N338,0)</f>
        <v/>
      </c>
    </row>
    <row r="339">
      <c r="A339">
        <f>Skills!A17</f>
        <v/>
      </c>
      <c r="B339">
        <f>Skills!B17</f>
        <v/>
      </c>
      <c r="C339">
        <f>Inputs!$B$3&gt;=115</f>
        <v/>
      </c>
      <c r="D339">
        <f>IF(Skills!C17=1,60+Inputs!$B$24+Inputs!$B$28,IF(Skills!C17=2,90+Inputs!$B$25+Inputs!$B$28,IF(Skills!C17=3,120+Inputs!$B$26+Inputs!$B$28,MAX(0,(Inputs!$B$3-100)*3)+Inputs!$B$27+Inputs!$B$28)))</f>
        <v/>
      </c>
      <c r="E339">
        <f>INDEX(FactorTable!$B$2:$Y$301, MATCH(ROUND(MIN(300,MAX(1,D339)),0), FactorTable!$A$2:$A$301,0), Skills!M17+1)</f>
        <v/>
      </c>
      <c r="F339">
        <f>IF(Skills!N17=TRUE,(Skills!L17/10)*(E339/1000),Skills!L17/10)+Skills!O17</f>
        <v/>
      </c>
      <c r="G339">
        <f>Skills!G17*IF(Skills!H17&gt;0,Skills!I17/Skills!H17,1)</f>
        <v/>
      </c>
      <c r="H339">
        <f>1-(1-Skills!J17/100)^Skills!K17</f>
        <v/>
      </c>
      <c r="I339" t="inlineStr">
        <is>
          <t>1</t>
        </is>
      </c>
      <c r="J339" t="inlineStr"/>
      <c r="K339" t="inlineStr"/>
      <c r="L339" t="inlineStr"/>
      <c r="M339" t="inlineStr"/>
      <c r="N339" t="inlineStr"/>
      <c r="O339" t="n">
        <v>0</v>
      </c>
      <c r="P339">
        <f>IF(B367=0,0,O339/B367)</f>
        <v/>
      </c>
      <c r="Q339" t="n">
        <v>0</v>
      </c>
      <c r="R339" t="n">
        <v>0</v>
      </c>
      <c r="S339">
        <f>IFERROR(O339/N339,0)</f>
        <v/>
      </c>
    </row>
    <row r="340">
      <c r="A340">
        <f>Skills!A18</f>
        <v/>
      </c>
      <c r="B340">
        <f>Skills!B18</f>
        <v/>
      </c>
      <c r="C340">
        <f>Inputs!$B$3&gt;=100</f>
        <v/>
      </c>
      <c r="D340">
        <f>IF(Skills!C18=1,60+Inputs!$B$24+Inputs!$B$28,IF(Skills!C18=2,90+Inputs!$B$25+Inputs!$B$28,IF(Skills!C18=3,120+Inputs!$B$26+Inputs!$B$28,MAX(0,(Inputs!$B$3-100)*3)+Inputs!$B$27+Inputs!$B$28)))</f>
        <v/>
      </c>
      <c r="E340">
        <f>INDEX(FactorTable!$B$2:$Y$301, MATCH(ROUND(MIN(300,MAX(1,D340)),0), FactorTable!$A$2:$A$301,0), Skills!M18+1)</f>
        <v/>
      </c>
      <c r="F340">
        <f>IF(Skills!N18=TRUE,(Skills!L18/10)*(E340/1000),Skills!L18/10)+Skills!O18</f>
        <v/>
      </c>
      <c r="G340">
        <f>Skills!G18*IF(Skills!H18&gt;0,Skills!I18/Skills!H18,1)</f>
        <v/>
      </c>
      <c r="H340">
        <f>1-(1-Skills!J18/100)^Skills!K18</f>
        <v/>
      </c>
      <c r="I340" t="inlineStr">
        <is>
          <t>1</t>
        </is>
      </c>
      <c r="J340" t="inlineStr"/>
      <c r="K340" t="inlineStr"/>
      <c r="L340" t="inlineStr"/>
      <c r="M340" t="inlineStr"/>
      <c r="N340" t="inlineStr"/>
      <c r="O340" t="n">
        <v>0</v>
      </c>
      <c r="P340">
        <f>IF(B367=0,0,O340/B367)</f>
        <v/>
      </c>
      <c r="Q340" t="n">
        <v>0</v>
      </c>
      <c r="R340" t="n">
        <v>0</v>
      </c>
      <c r="S340">
        <f>IFERROR(O340/N340,0)</f>
        <v/>
      </c>
    </row>
    <row r="341">
      <c r="A341">
        <f>Skills!A19</f>
        <v/>
      </c>
      <c r="B341">
        <f>Skills!B19</f>
        <v/>
      </c>
      <c r="C341">
        <f>TRUE</f>
        <v/>
      </c>
      <c r="D341">
        <f>IF(Skills!C19=1,60+Inputs!$B$24+Inputs!$B$28,IF(Skills!C19=2,90+Inputs!$B$25+Inputs!$B$28,IF(Skills!C19=3,120+Inputs!$B$26+Inputs!$B$28,MAX(0,(Inputs!$B$3-100)*3)+Inputs!$B$27+Inputs!$B$28)))</f>
        <v/>
      </c>
      <c r="E341">
        <f>INDEX(FactorTable!$B$2:$Y$301, MATCH(ROUND(MIN(300,MAX(1,D341)),0), FactorTable!$A$2:$A$301,0), Skills!M19+1)</f>
        <v/>
      </c>
      <c r="F341">
        <f>IF(Skills!N19=TRUE,(Skills!L19/10)*(E341/1000),Skills!L19/10)+Skills!O19</f>
        <v/>
      </c>
      <c r="G341">
        <f>Skills!G19*IF(Skills!H19&gt;0,Skills!I19/Skills!H19,1)</f>
        <v/>
      </c>
      <c r="H341">
        <f>1-(1-Skills!J19/100)^Skills!K19</f>
        <v/>
      </c>
      <c r="I341" t="inlineStr">
        <is>
          <t>1</t>
        </is>
      </c>
      <c r="J341" t="inlineStr"/>
      <c r="K341" t="inlineStr"/>
      <c r="L341" t="inlineStr"/>
      <c r="M341" t="inlineStr"/>
      <c r="N341" t="inlineStr"/>
      <c r="O341" t="n">
        <v>0</v>
      </c>
      <c r="P341">
        <f>IF(B367=0,0,O341/B367)</f>
        <v/>
      </c>
      <c r="Q341">
        <f>IFERROR(1/IF(Inputs!$B$4="pvp",15,MAX(0.1,Skills!D19-IF(Skills!E19=TRUE,Inputs!$B$31,0))),0)</f>
        <v/>
      </c>
      <c r="R341">
        <f>IF(AND(Inputs!$B$4&lt;&gt;"pvp",Inputs!$B$35&gt;0),(INT(Inputs!$B$35/IF(Inputs!$B$4="pvp",15,MAX(0.1,Skills!D19-IF(Skills!E19=TRUE,Inputs!$B$31,0))))+1),0)</f>
        <v/>
      </c>
      <c r="S341">
        <f>IFERROR(O341/N341,0)</f>
        <v/>
      </c>
    </row>
    <row r="342">
      <c r="A342">
        <f>Skills!A20</f>
        <v/>
      </c>
      <c r="B342">
        <f>Skills!B20</f>
        <v/>
      </c>
      <c r="C342">
        <f>Inputs!$B$3&gt;=15</f>
        <v/>
      </c>
      <c r="D342">
        <f>IF(Skills!C20=1,60+Inputs!$B$24+Inputs!$B$28,IF(Skills!C20=2,90+Inputs!$B$25+Inputs!$B$28,IF(Skills!C20=3,120+Inputs!$B$26+Inputs!$B$28,MAX(0,(Inputs!$B$3-100)*3)+Inputs!$B$27+Inputs!$B$28)))</f>
        <v/>
      </c>
      <c r="E342">
        <f>INDEX(FactorTable!$B$2:$Y$301, MATCH(ROUND(MIN(300,MAX(1,D342)),0), FactorTable!$A$2:$A$301,0), Skills!M20+1)</f>
        <v/>
      </c>
      <c r="F342">
        <f>IF(Skills!N20=TRUE,(Skills!L20/10)*(E342/1000),Skills!L20/10)+Skills!O20</f>
        <v/>
      </c>
      <c r="G342">
        <f>Skills!G20*IF(Skills!H20&gt;0,Skills!I20/Skills!H20,1)</f>
        <v/>
      </c>
      <c r="H342">
        <f>1-(1-Skills!J20/100)^Skills!K20</f>
        <v/>
      </c>
      <c r="I342" t="inlineStr">
        <is>
          <t>1</t>
        </is>
      </c>
      <c r="J342" t="inlineStr"/>
      <c r="K342" t="inlineStr"/>
      <c r="L342" t="inlineStr"/>
      <c r="M342" t="inlineStr"/>
      <c r="N342" t="inlineStr"/>
      <c r="O342" t="n">
        <v>0</v>
      </c>
      <c r="P342">
        <f>IF(B367=0,0,O342/B367)</f>
        <v/>
      </c>
      <c r="Q342">
        <f>IFERROR(1/IF(Inputs!$B$4="pvp",15,MAX(0.1,Skills!D20-IF(Skills!E20=TRUE,Inputs!$B$31,0))),0)</f>
        <v/>
      </c>
      <c r="R342">
        <f>IF(AND(Inputs!$B$4&lt;&gt;"pvp",Inputs!$B$35&gt;0),(INT(Inputs!$B$35/IF(Inputs!$B$4="pvp",15,MAX(0.1,Skills!D20-IF(Skills!E20=TRUE,Inputs!$B$31,0))))+1),0)</f>
        <v/>
      </c>
      <c r="S342">
        <f>IFERROR(O342/N342,0)</f>
        <v/>
      </c>
    </row>
    <row r="343">
      <c r="A343">
        <f>Skills!A21</f>
        <v/>
      </c>
      <c r="B343">
        <f>Skills!B21</f>
        <v/>
      </c>
      <c r="C343">
        <f>Inputs!$B$3&gt;=15</f>
        <v/>
      </c>
      <c r="D343">
        <f>IF(Skills!C21=1,60+Inputs!$B$24+Inputs!$B$28,IF(Skills!C21=2,90+Inputs!$B$25+Inputs!$B$28,IF(Skills!C21=3,120+Inputs!$B$26+Inputs!$B$28,MAX(0,(Inputs!$B$3-100)*3)+Inputs!$B$27+Inputs!$B$28)))</f>
        <v/>
      </c>
      <c r="E343">
        <f>INDEX(FactorTable!$B$2:$Y$301, MATCH(ROUND(MIN(300,MAX(1,D343)),0), FactorTable!$A$2:$A$301,0), Skills!M21+1)</f>
        <v/>
      </c>
      <c r="F343">
        <f>IF(Skills!N21=TRUE,(Skills!L21/10)*(E343/1000),Skills!L21/10)+Skills!O21</f>
        <v/>
      </c>
      <c r="G343">
        <f>Skills!G21*IF(Skills!H21&gt;0,Skills!I21/Skills!H21,1)</f>
        <v/>
      </c>
      <c r="H343">
        <f>1-(1-Skills!J21/100)^Skills!K21</f>
        <v/>
      </c>
      <c r="I343" t="inlineStr">
        <is>
          <t>1</t>
        </is>
      </c>
      <c r="J343" t="inlineStr"/>
      <c r="K343" t="inlineStr"/>
      <c r="L343" t="inlineStr"/>
      <c r="M343" t="inlineStr"/>
      <c r="N343" t="inlineStr"/>
      <c r="O343" t="n">
        <v>0</v>
      </c>
      <c r="P343">
        <f>IF(B367=0,0,O343/B367)</f>
        <v/>
      </c>
      <c r="Q343">
        <f>IFERROR(1/IF(Inputs!$B$4="pvp",15,MAX(0.1,Skills!D21-IF(Skills!E21=TRUE,Inputs!$B$31,0))),0)</f>
        <v/>
      </c>
      <c r="R343">
        <f>IF(AND(Inputs!$B$4&lt;&gt;"pvp",Inputs!$B$35&gt;0),(INT(Inputs!$B$35/IF(Inputs!$B$4="pvp",15,MAX(0.1,Skills!D21-IF(Skills!E21=TRUE,Inputs!$B$31,0))))+1),0)</f>
        <v/>
      </c>
      <c r="S343">
        <f>IFERROR(O343/N343,0)</f>
        <v/>
      </c>
    </row>
    <row r="344">
      <c r="A344">
        <f>Skills!A22</f>
        <v/>
      </c>
      <c r="B344">
        <f>Skills!B22</f>
        <v/>
      </c>
      <c r="C344">
        <f>Inputs!$B$3&gt;=33</f>
        <v/>
      </c>
      <c r="D344">
        <f>IF(Skills!C22=1,60+Inputs!$B$24+Inputs!$B$28,IF(Skills!C22=2,90+Inputs!$B$25+Inputs!$B$28,IF(Skills!C22=3,120+Inputs!$B$26+Inputs!$B$28,MAX(0,(Inputs!$B$3-100)*3)+Inputs!$B$27+Inputs!$B$28)))</f>
        <v/>
      </c>
      <c r="E344">
        <f>INDEX(FactorTable!$B$2:$Y$301, MATCH(ROUND(MIN(300,MAX(1,D344)),0), FactorTable!$A$2:$A$301,0), Skills!M22+1)</f>
        <v/>
      </c>
      <c r="F344">
        <f>IF(Skills!N22=TRUE,(Skills!L22/10)*(E344/1000),Skills!L22/10)+Skills!O22</f>
        <v/>
      </c>
      <c r="G344">
        <f>Skills!G22*IF(Skills!H22&gt;0,Skills!I22/Skills!H22,1)</f>
        <v/>
      </c>
      <c r="H344">
        <f>1-(1-Skills!J22/100)^Skills!K22</f>
        <v/>
      </c>
      <c r="I344" t="inlineStr">
        <is>
          <t>1</t>
        </is>
      </c>
      <c r="J344" t="inlineStr"/>
      <c r="K344" t="inlineStr"/>
      <c r="L344" t="inlineStr"/>
      <c r="M344" t="inlineStr"/>
      <c r="N344" t="inlineStr"/>
      <c r="O344" t="n">
        <v>0</v>
      </c>
      <c r="P344">
        <f>IF(B367=0,0,O344/B367)</f>
        <v/>
      </c>
      <c r="Q344" t="n">
        <v>0</v>
      </c>
      <c r="R344" t="n">
        <v>0</v>
      </c>
      <c r="S344">
        <f>IFERROR(O344/N344,0)</f>
        <v/>
      </c>
    </row>
    <row r="345">
      <c r="A345">
        <f>Skills!A23</f>
        <v/>
      </c>
      <c r="B345">
        <f>Skills!B23</f>
        <v/>
      </c>
      <c r="C345">
        <f>Inputs!$B$3&gt;=40</f>
        <v/>
      </c>
      <c r="D345">
        <f>IF(Skills!C23=1,60+Inputs!$B$24+Inputs!$B$28,IF(Skills!C23=2,90+Inputs!$B$25+Inputs!$B$28,IF(Skills!C23=3,120+Inputs!$B$26+Inputs!$B$28,MAX(0,(Inputs!$B$3-100)*3)+Inputs!$B$27+Inputs!$B$28)))</f>
        <v/>
      </c>
      <c r="E345">
        <f>INDEX(FactorTable!$B$2:$Y$301, MATCH(ROUND(MIN(300,MAX(1,D345)),0), FactorTable!$A$2:$A$301,0), Skills!M23+1)</f>
        <v/>
      </c>
      <c r="F345">
        <f>IF(Skills!N23=TRUE,(Skills!L23/10)*(E345/1000),Skills!L23/10)+Skills!O23</f>
        <v/>
      </c>
      <c r="G345">
        <f>Skills!G23*IF(Skills!H23&gt;0,Skills!I23/Skills!H23,1)</f>
        <v/>
      </c>
      <c r="H345">
        <f>1-(1-Skills!J23/100)^Skills!K23</f>
        <v/>
      </c>
      <c r="I345" t="inlineStr">
        <is>
          <t>1</t>
        </is>
      </c>
      <c r="J345" t="inlineStr"/>
      <c r="K345" t="inlineStr"/>
      <c r="L345" t="inlineStr"/>
      <c r="M345" t="inlineStr"/>
      <c r="N345" t="inlineStr"/>
      <c r="O345" t="n">
        <v>0</v>
      </c>
      <c r="P345">
        <f>IF(B367=0,0,O345/B367)</f>
        <v/>
      </c>
      <c r="Q345" t="n">
        <v>0</v>
      </c>
      <c r="R345" t="n">
        <v>0</v>
      </c>
      <c r="S345">
        <f>IFERROR(O345/N345,0)</f>
        <v/>
      </c>
    </row>
    <row r="346">
      <c r="A346">
        <f>Skills!A24</f>
        <v/>
      </c>
      <c r="B346">
        <f>Skills!B24</f>
        <v/>
      </c>
      <c r="C346">
        <f>Inputs!$B$3&gt;=43</f>
        <v/>
      </c>
      <c r="D346">
        <f>IF(Skills!C24=1,60+Inputs!$B$24+Inputs!$B$28,IF(Skills!C24=2,90+Inputs!$B$25+Inputs!$B$28,IF(Skills!C24=3,120+Inputs!$B$26+Inputs!$B$28,MAX(0,(Inputs!$B$3-100)*3)+Inputs!$B$27+Inputs!$B$28)))</f>
        <v/>
      </c>
      <c r="E346">
        <f>INDEX(FactorTable!$B$2:$Y$301, MATCH(ROUND(MIN(300,MAX(1,D346)),0), FactorTable!$A$2:$A$301,0), Skills!M24+1)</f>
        <v/>
      </c>
      <c r="F346">
        <f>IF(Skills!N24=TRUE,(Skills!L24/10)*(E346/1000),Skills!L24/10)+Skills!O24</f>
        <v/>
      </c>
      <c r="G346">
        <f>Skills!G24*IF(Skills!H24&gt;0,Skills!I24/Skills!H24,1)</f>
        <v/>
      </c>
      <c r="H346">
        <f>1-(1-Skills!J24/100)^Skills!K24</f>
        <v/>
      </c>
      <c r="I346" t="inlineStr">
        <is>
          <t>1</t>
        </is>
      </c>
      <c r="J346" t="inlineStr"/>
      <c r="K346" t="inlineStr"/>
      <c r="L346" t="inlineStr"/>
      <c r="M346" t="inlineStr"/>
      <c r="N346" t="inlineStr"/>
      <c r="O346" t="n">
        <v>0</v>
      </c>
      <c r="P346">
        <f>IF(B367=0,0,O346/B367)</f>
        <v/>
      </c>
      <c r="Q346" t="n">
        <v>0</v>
      </c>
      <c r="R346" t="n">
        <v>0</v>
      </c>
      <c r="S346">
        <f>IFERROR(O346/N346,0)</f>
        <v/>
      </c>
    </row>
    <row r="347">
      <c r="A347">
        <f>Skills!A25</f>
        <v/>
      </c>
      <c r="B347">
        <f>Skills!B25</f>
        <v/>
      </c>
      <c r="C347">
        <f>Inputs!$B$3&gt;=50</f>
        <v/>
      </c>
      <c r="D347">
        <f>IF(Skills!C25=1,60+Inputs!$B$24+Inputs!$B$28,IF(Skills!C25=2,90+Inputs!$B$25+Inputs!$B$28,IF(Skills!C25=3,120+Inputs!$B$26+Inputs!$B$28,MAX(0,(Inputs!$B$3-100)*3)+Inputs!$B$27+Inputs!$B$28)))</f>
        <v/>
      </c>
      <c r="E347">
        <f>INDEX(FactorTable!$B$2:$Y$301, MATCH(ROUND(MIN(300,MAX(1,D347)),0), FactorTable!$A$2:$A$301,0), Skills!M25+1)</f>
        <v/>
      </c>
      <c r="F347">
        <f>IF(Skills!N25=TRUE,(Skills!L25/10)*(E347/1000),Skills!L25/10)+Skills!O25</f>
        <v/>
      </c>
      <c r="G347">
        <f>Skills!G25*IF(Skills!H25&gt;0,Skills!I25/Skills!H25,1)</f>
        <v/>
      </c>
      <c r="H347">
        <f>1-(1-Skills!J25/100)^Skills!K25</f>
        <v/>
      </c>
      <c r="I347" t="inlineStr">
        <is>
          <t>1</t>
        </is>
      </c>
      <c r="J347" t="inlineStr"/>
      <c r="K347" t="inlineStr"/>
      <c r="L347" t="inlineStr"/>
      <c r="M347" t="inlineStr"/>
      <c r="N347" t="inlineStr"/>
      <c r="O347" t="n">
        <v>0</v>
      </c>
      <c r="P347">
        <f>IF(B367=0,0,O347/B367)</f>
        <v/>
      </c>
      <c r="Q347" t="n">
        <v>0</v>
      </c>
      <c r="R347" t="n">
        <v>0</v>
      </c>
      <c r="S347">
        <f>IFERROR(O347/N347,0)</f>
        <v/>
      </c>
    </row>
    <row r="348">
      <c r="A348">
        <f>Skills!A26</f>
        <v/>
      </c>
      <c r="B348">
        <f>Skills!B26</f>
        <v/>
      </c>
      <c r="C348">
        <f>Inputs!$B$3&gt;=50</f>
        <v/>
      </c>
      <c r="D348">
        <f>IF(Skills!C26=1,60+Inputs!$B$24+Inputs!$B$28,IF(Skills!C26=2,90+Inputs!$B$25+Inputs!$B$28,IF(Skills!C26=3,120+Inputs!$B$26+Inputs!$B$28,MAX(0,(Inputs!$B$3-100)*3)+Inputs!$B$27+Inputs!$B$28)))</f>
        <v/>
      </c>
      <c r="E348">
        <f>INDEX(FactorTable!$B$2:$Y$301, MATCH(ROUND(MIN(300,MAX(1,D348)),0), FactorTable!$A$2:$A$301,0), Skills!M26+1)</f>
        <v/>
      </c>
      <c r="F348">
        <f>IF(Skills!N26=TRUE,(Skills!L26/10)*(E348/1000),Skills!L26/10)+Skills!O26</f>
        <v/>
      </c>
      <c r="G348">
        <f>Skills!G26*IF(Skills!H26&gt;0,Skills!I26/Skills!H26,1)</f>
        <v/>
      </c>
      <c r="H348">
        <f>1-(1-Skills!J26/100)^Skills!K26</f>
        <v/>
      </c>
      <c r="I348" t="inlineStr">
        <is>
          <t>1</t>
        </is>
      </c>
      <c r="J348" t="inlineStr"/>
      <c r="K348" t="inlineStr"/>
      <c r="L348" t="inlineStr"/>
      <c r="M348" t="inlineStr"/>
      <c r="N348" t="inlineStr"/>
      <c r="O348" t="n">
        <v>0</v>
      </c>
      <c r="P348">
        <f>IF(B367=0,0,O348/B367)</f>
        <v/>
      </c>
      <c r="Q348" t="n">
        <v>0</v>
      </c>
      <c r="R348" t="n">
        <v>0</v>
      </c>
      <c r="S348">
        <f>IFERROR(O348/N348,0)</f>
        <v/>
      </c>
    </row>
    <row r="349">
      <c r="A349">
        <f>Skills!A27</f>
        <v/>
      </c>
      <c r="B349">
        <f>Skills!B27</f>
        <v/>
      </c>
      <c r="C349">
        <f>Inputs!$B$3&gt;=38</f>
        <v/>
      </c>
      <c r="D349">
        <f>IF(Skills!C27=1,60+Inputs!$B$24+Inputs!$B$28,IF(Skills!C27=2,90+Inputs!$B$25+Inputs!$B$28,IF(Skills!C27=3,120+Inputs!$B$26+Inputs!$B$28,MAX(0,(Inputs!$B$3-100)*3)+Inputs!$B$27+Inputs!$B$28)))</f>
        <v/>
      </c>
      <c r="E349">
        <f>INDEX(FactorTable!$B$2:$Y$301, MATCH(ROUND(MIN(300,MAX(1,D349)),0), FactorTable!$A$2:$A$301,0), Skills!M27+1)</f>
        <v/>
      </c>
      <c r="F349">
        <f>IF(Skills!N27=TRUE,(Skills!L27/10)*(E349/1000),Skills!L27/10)+Skills!O27</f>
        <v/>
      </c>
      <c r="G349">
        <f>Skills!G27*IF(Skills!H27&gt;0,Skills!I27/Skills!H27,1)</f>
        <v/>
      </c>
      <c r="H349">
        <f>1-(1-Skills!J27/100)^Skills!K27</f>
        <v/>
      </c>
      <c r="I349" t="inlineStr">
        <is>
          <t>1</t>
        </is>
      </c>
      <c r="J349" t="inlineStr"/>
      <c r="K349" t="inlineStr"/>
      <c r="L349" t="inlineStr"/>
      <c r="M349" t="inlineStr"/>
      <c r="N349" t="inlineStr"/>
      <c r="O349" t="n">
        <v>0</v>
      </c>
      <c r="P349">
        <f>IF(B367=0,0,O349/B367)</f>
        <v/>
      </c>
      <c r="Q349" t="n">
        <v>0</v>
      </c>
      <c r="R349" t="n">
        <v>0</v>
      </c>
      <c r="S349">
        <f>IFERROR(O349/N349,0)</f>
        <v/>
      </c>
    </row>
    <row r="350">
      <c r="A350">
        <f>Skills!A28</f>
        <v/>
      </c>
      <c r="B350">
        <f>Skills!B28</f>
        <v/>
      </c>
      <c r="C350">
        <f>Inputs!$B$3&gt;=120</f>
        <v/>
      </c>
      <c r="D350">
        <f>IF(Skills!C28=1,60+Inputs!$B$24+Inputs!$B$28,IF(Skills!C28=2,90+Inputs!$B$25+Inputs!$B$28,IF(Skills!C28=3,120+Inputs!$B$26+Inputs!$B$28,MAX(0,(Inputs!$B$3-100)*3)+Inputs!$B$27+Inputs!$B$28)))</f>
        <v/>
      </c>
      <c r="E350">
        <f>INDEX(FactorTable!$B$2:$Y$301, MATCH(ROUND(MIN(300,MAX(1,D350)),0), FactorTable!$A$2:$A$301,0), Skills!M28+1)</f>
        <v/>
      </c>
      <c r="F350">
        <f>IF(Skills!N28=TRUE,(Skills!L28/10)*(E350/1000),Skills!L28/10)+Skills!O28</f>
        <v/>
      </c>
      <c r="G350">
        <f>Skills!G28*IF(Skills!H28&gt;0,Skills!I28/Skills!H28,1)</f>
        <v/>
      </c>
      <c r="H350">
        <f>1-(1-Skills!J28/100)^Skills!K28</f>
        <v/>
      </c>
      <c r="I350" t="inlineStr">
        <is>
          <t>1</t>
        </is>
      </c>
      <c r="J350" t="inlineStr"/>
      <c r="K350" t="inlineStr"/>
      <c r="L350" t="inlineStr"/>
      <c r="M350" t="inlineStr"/>
      <c r="N350" t="inlineStr"/>
      <c r="O350" t="n">
        <v>0</v>
      </c>
      <c r="P350">
        <f>IF(B367=0,0,O350/B367)</f>
        <v/>
      </c>
      <c r="Q350" t="n">
        <v>0</v>
      </c>
      <c r="R350" t="n">
        <v>0</v>
      </c>
      <c r="S350">
        <f>IFERROR(O350/N350,0)</f>
        <v/>
      </c>
    </row>
    <row r="351">
      <c r="A351">
        <f>Skills!A29</f>
        <v/>
      </c>
      <c r="B351">
        <f>Skills!B29</f>
        <v/>
      </c>
      <c r="C351">
        <f>Inputs!$B$3&gt;=120</f>
        <v/>
      </c>
      <c r="D351">
        <f>IF(Skills!C29=1,60+Inputs!$B$24+Inputs!$B$28,IF(Skills!C29=2,90+Inputs!$B$25+Inputs!$B$28,IF(Skills!C29=3,120+Inputs!$B$26+Inputs!$B$28,MAX(0,(Inputs!$B$3-100)*3)+Inputs!$B$27+Inputs!$B$28)))</f>
        <v/>
      </c>
      <c r="E351">
        <f>INDEX(FactorTable!$B$2:$Y$301, MATCH(ROUND(MIN(300,MAX(1,D351)),0), FactorTable!$A$2:$A$301,0), Skills!M29+1)</f>
        <v/>
      </c>
      <c r="F351">
        <f>IF(Skills!N29=TRUE,(Skills!L29/10)*(E351/1000),Skills!L29/10)+Skills!O29</f>
        <v/>
      </c>
      <c r="G351">
        <f>Skills!G29*IF(Skills!H29&gt;0,Skills!I29/Skills!H29,1)</f>
        <v/>
      </c>
      <c r="H351">
        <f>1-(1-Skills!J29/100)^Skills!K29</f>
        <v/>
      </c>
      <c r="I351" t="inlineStr">
        <is>
          <t>1</t>
        </is>
      </c>
      <c r="J351" t="inlineStr"/>
      <c r="K351" t="inlineStr"/>
      <c r="L351" t="inlineStr"/>
      <c r="M351" t="inlineStr"/>
      <c r="N351" t="inlineStr"/>
      <c r="O351" t="n">
        <v>0</v>
      </c>
      <c r="P351">
        <f>IF(B367=0,0,O351/B367)</f>
        <v/>
      </c>
      <c r="Q351" t="n">
        <v>0</v>
      </c>
      <c r="R351" t="n">
        <v>0</v>
      </c>
      <c r="S351">
        <f>IFERROR(O351/N351,0)</f>
        <v/>
      </c>
    </row>
    <row r="352">
      <c r="A352">
        <f>Skills!A30</f>
        <v/>
      </c>
      <c r="B352">
        <f>Skills!B30</f>
        <v/>
      </c>
      <c r="C352">
        <f>Inputs!$B$3&gt;=125</f>
        <v/>
      </c>
      <c r="D352">
        <f>IF(Skills!C30=1,60+Inputs!$B$24+Inputs!$B$28,IF(Skills!C30=2,90+Inputs!$B$25+Inputs!$B$28,IF(Skills!C30=3,120+Inputs!$B$26+Inputs!$B$28,MAX(0,(Inputs!$B$3-100)*3)+Inputs!$B$27+Inputs!$B$28)))</f>
        <v/>
      </c>
      <c r="E352">
        <f>INDEX(FactorTable!$B$2:$Y$301, MATCH(ROUND(MIN(300,MAX(1,D352)),0), FactorTable!$A$2:$A$301,0), Skills!M30+1)</f>
        <v/>
      </c>
      <c r="F352">
        <f>IF(Skills!N30=TRUE,(Skills!L30/10)*(E352/1000),Skills!L30/10)+Skills!O30</f>
        <v/>
      </c>
      <c r="G352">
        <f>Skills!G30*IF(Skills!H30&gt;0,Skills!I30/Skills!H30,1)</f>
        <v/>
      </c>
      <c r="H352">
        <f>1-(1-Skills!J30/100)^Skills!K30</f>
        <v/>
      </c>
      <c r="I352" t="inlineStr">
        <is>
          <t>1</t>
        </is>
      </c>
      <c r="J352" t="inlineStr"/>
      <c r="K352" t="inlineStr"/>
      <c r="L352" t="inlineStr"/>
      <c r="M352" t="inlineStr"/>
      <c r="N352" t="inlineStr"/>
      <c r="O352" t="n">
        <v>0</v>
      </c>
      <c r="P352">
        <f>IF(B367=0,0,O352/B367)</f>
        <v/>
      </c>
      <c r="Q352" t="n">
        <v>0</v>
      </c>
      <c r="R352" t="n">
        <v>0</v>
      </c>
      <c r="S352">
        <f>IFERROR(O352/N352,0)</f>
        <v/>
      </c>
    </row>
    <row r="354">
      <c r="A354" t="inlineStr">
        <is>
          <t>Average Buff Multiplier</t>
        </is>
      </c>
      <c r="B354">
        <f>(1+(((C343=TRUE)*F343*IF(AND(Inputs!$B$4&lt;&gt;"pvp",Inputs!$B$35&gt;0),(((S343-1)*(Skills!Y21*(1+Inputs!$B$33/100))+MIN((Skills!Y21*(1+Inputs!$B$33/100)),MAX(0,Inputs!$B$35-((S343-1)*Skills!D21))))/Inputs!$B$35),IF(Inputs!$B$4="pvp",MIN((Skills!Y21*(1+Inputs!$B$33/100)),15)/15,(Skills!Y21*(1+Inputs!$B$33/100))/Skills!D21)))+((C345=TRUE)*(F345-Calc!F23))+((C339=TRUE)*(F339-Calc!F17)))/100)*(1+((C332=TRUE)*F332*IF(AND(Inputs!$B$4&lt;&gt;"pvp",Inputs!$B$35&gt;0),(((S332-1)*(Skills!Y10*(1+Inputs!$B$33/100))+MIN((Skills!Y10*(1+Inputs!$B$33/100)),MAX(0,Inputs!$B$35-((S332-1)*Skills!D10))))/Inputs!$B$35),IF(Inputs!$B$4="pvp",MIN((Skills!Y10*(1+Inputs!$B$33/100)),15)/15,(Skills!Y10*(1+Inputs!$B$33/100))/Skills!D10)))/100)*(1+((C337=TRUE)*F337*IF(AND(Inputs!$B$4&lt;&gt;"pvp",Inputs!$B$35&gt;0),(((S337-1)*(Skills!Y15*(1+Inputs!$B$33/100))+MIN((Skills!Y15*(1+Inputs!$B$33/100)),MAX(0,Inputs!$B$35-((S337-1)*Skills!D15))))/Inputs!$B$35),IF(Inputs!$B$4="pvp",MIN((Skills!Y15*(1+Inputs!$B$33/100)),15)/15,(Skills!Y15*(1+Inputs!$B$33/100))/Skills!D15)))/100)</f>
        <v/>
      </c>
    </row>
    <row r="355">
      <c r="A355" t="inlineStr">
        <is>
          <t>Global Crit Rate Bonus %</t>
        </is>
      </c>
      <c r="B355">
        <f>((C342=TRUE)*F342*IF(AND(Inputs!$B$4&lt;&gt;"pvp",Inputs!$B$35&gt;0),(((S342-1)*(Skills!Y20*(1+Inputs!$B$33/100))+MIN((Skills!Y20*(1+Inputs!$B$33/100)),MAX(0,Inputs!$B$35-((S342-1)*Skills!D20))))/Inputs!$B$35),IF(Inputs!$B$4="pvp",MIN((Skills!Y20*(1+Inputs!$B$33/100)),15)/15,(Skills!Y20*(1+Inputs!$B$33/100))/Skills!D20)))</f>
        <v/>
      </c>
    </row>
    <row r="356">
      <c r="A356" t="inlineStr">
        <is>
          <t>Global Monster Damage-Taken Bonus %</t>
        </is>
      </c>
      <c r="B356">
        <f>IF(Inputs!$B$3&gt;=82,15,0)</f>
        <v/>
      </c>
    </row>
    <row r="357">
      <c r="A357" t="inlineStr">
        <is>
          <t>Shadow Partner Average Multiplier</t>
        </is>
      </c>
      <c r="B357">
        <f>1+((C329=TRUE)*F329*(1+3.3333333333333335*IF(C340=TRUE,F340,0)/100)*I329*Skills!J7/100)/100</f>
        <v/>
      </c>
    </row>
    <row r="358">
      <c r="A358" t="inlineStr">
        <is>
          <t>Attack Speed Buff Bonus %</t>
        </is>
      </c>
      <c r="B358">
        <f>((C341=TRUE)*F341*IF(AND(Inputs!$B$4&lt;&gt;"pvp",Inputs!$B$35&gt;0),(((S341-1)*(Skills!Y19*(1+Inputs!$B$33/100))+MIN((Skills!Y19*(1+Inputs!$B$33/100)),MAX(0,Inputs!$B$35-((S341-1)*Skills!D19))))/Inputs!$B$35),IF(Inputs!$B$4="pvp",MIN((Skills!Y19*(1+Inputs!$B$33/100)),15)/15,(Skills!Y19*(1+Inputs!$B$33/100))/Skills!D19)))+((C325=TRUE)*F325*3)</f>
        <v/>
      </c>
    </row>
    <row r="359">
      <c r="A359" t="inlineStr">
        <is>
          <t>Actions Per Second</t>
        </is>
      </c>
      <c r="B359">
        <f>1+MIN(150,150*(1-(1-(Inputs!$B$10+((C344=TRUE)*(F344-Calc!F22)))/150)*(1-B358/150)))/100</f>
        <v/>
      </c>
    </row>
    <row r="360">
      <c r="A360" t="inlineStr">
        <is>
          <t>Skill + Buff Cast Rate</t>
        </is>
      </c>
      <c r="B360">
        <f>IF(AND(Inputs!$B$4&lt;&gt;"pvp",Inputs!$B$35&gt;0),SUMPRODUCT((Skills!E2:E30=TRUE)*(C324:C352=TRUE)*R324:R352*Skills!F2:F30)/Inputs!$B$35,SUMPRODUCT((Skills!E2:E30=TRUE)*(C324:C352=TRUE)*Q324:Q352*Skills!F2:F30))</f>
        <v/>
      </c>
    </row>
    <row r="361">
      <c r="A361" t="inlineStr">
        <is>
          <t>Cruel Stab Casts Per Second</t>
        </is>
      </c>
      <c r="B361">
        <f>MAX(0,B359-B360)</f>
        <v/>
      </c>
    </row>
    <row r="362">
      <c r="A362" t="inlineStr">
        <is>
          <t>Global Critical Damage Bonus % (Smokescreen Mastery Lv.113)</t>
        </is>
      </c>
      <c r="B362">
        <f>IF(Inputs!$B$3&gt;=113,30,0)*IF(AND(Inputs!$B$4&lt;&gt;"pvp",Inputs!$B$35&gt;0),(((S337-1)*(Skills!Y15*(1+Inputs!$B$33/100))+MIN((Skills!Y15*(1+Inputs!$B$33/100)),MAX(0,Inputs!$B$35-((S337-1)*Skills!D15))))/Inputs!$B$35),IF(Inputs!$B$4="pvp",MIN((Skills!Y15*(1+Inputs!$B$33/100)),15)/15,(Skills!Y15*(1+Inputs!$B$33/100))/Skills!D15))</f>
        <v/>
      </c>
    </row>
    <row r="363">
      <c r="A363" t="inlineStr">
        <is>
          <t>Meso Explosion average stack count</t>
        </is>
      </c>
      <c r="B363">
        <f>MIN(10,0.5*B359*Skills!D4)</f>
        <v/>
      </c>
    </row>
    <row r="364">
      <c r="A364" t="inlineStr">
        <is>
          <t>Blood Money average stack count</t>
        </is>
      </c>
      <c r="B364">
        <f>MIN(5,0.25*B359*Skills!D4)</f>
        <v/>
      </c>
    </row>
    <row r="365">
      <c r="A365" t="inlineStr">
        <is>
          <t>Assassinate Murderous Intent Multiplier</t>
        </is>
      </c>
      <c r="B365">
        <f>1+IFERROR(MIN(1,Q336*2/Q333),0)</f>
        <v/>
      </c>
    </row>
    <row r="367">
      <c r="A367" s="5" t="inlineStr">
        <is>
          <t>TOTAL DPS</t>
        </is>
      </c>
      <c r="B367" s="5">
        <f>SUM(O324:O352)</f>
        <v/>
      </c>
    </row>
    <row r="370">
      <c r="A370" s="5" t="inlineStr">
        <is>
          <t>Stat: FINAL_DAMAGE % (multiplicative source)</t>
        </is>
      </c>
    </row>
    <row r="371">
      <c r="A371" s="8" t="inlineStr">
        <is>
          <t>Key</t>
        </is>
      </c>
      <c r="B371" s="8" t="inlineStr">
        <is>
          <t>Name</t>
        </is>
      </c>
      <c r="C371" s="8" t="inlineStr">
        <is>
          <t>Unlocked</t>
        </is>
      </c>
      <c r="D371" s="8" t="inlineStr">
        <is>
          <t>InputLevel</t>
        </is>
      </c>
      <c r="E371" s="8" t="inlineStr">
        <is>
          <t>Factor</t>
        </is>
      </c>
      <c r="F371" s="8" t="inlineStr">
        <is>
          <t>CoefficientPercent</t>
        </is>
      </c>
      <c r="G371" s="8" t="inlineStr">
        <is>
          <t>EffectiveHits</t>
        </is>
      </c>
      <c r="H371" s="8" t="inlineStr">
        <is>
          <t>ProcProbability</t>
        </is>
      </c>
      <c r="I371" s="8" t="inlineStr">
        <is>
          <t>MapleHeroMultiplier</t>
        </is>
      </c>
      <c r="J371" s="8" t="inlineStr">
        <is>
          <t>BaseDamage</t>
        </is>
      </c>
      <c r="K371" s="8" t="inlineStr">
        <is>
          <t>BaseHitDamage</t>
        </is>
      </c>
      <c r="L371" s="8" t="inlineStr">
        <is>
          <t>NonCritAvg</t>
        </is>
      </c>
      <c r="M371" s="8" t="inlineStr">
        <is>
          <t>CritAvg</t>
        </is>
      </c>
      <c r="N371" s="8" t="inlineStr">
        <is>
          <t>ExpectedDamage(perHit)</t>
        </is>
      </c>
      <c r="O371" s="8" t="inlineStr">
        <is>
          <t>DPS</t>
        </is>
      </c>
      <c r="P371" s="8" t="inlineStr">
        <is>
          <t>% of Total</t>
        </is>
      </c>
      <c r="Q371" s="8" t="inlineStr">
        <is>
          <t>InvCooldown</t>
        </is>
      </c>
      <c r="R371" s="8" t="inlineStr">
        <is>
          <t>CastsInFight</t>
        </is>
      </c>
      <c r="S371" s="8" t="inlineStr">
        <is>
          <t>HitRate(perSec)</t>
        </is>
      </c>
      <c r="U371" t="inlineStr">
        <is>
          <t>helpers</t>
        </is>
      </c>
    </row>
    <row r="372">
      <c r="A372">
        <f>Skills!A2</f>
        <v/>
      </c>
      <c r="B372">
        <f>Skills!B2</f>
        <v/>
      </c>
      <c r="C372">
        <f>Inputs!$B$3&gt;=100</f>
        <v/>
      </c>
      <c r="D372" t="inlineStr"/>
      <c r="E372" t="inlineStr"/>
      <c r="F372">
        <f>U374+Skills!O2</f>
        <v/>
      </c>
      <c r="G372">
        <f>Skills!G2*IF(Skills!H2&gt;0,Skills!I2/Skills!H2,1)</f>
        <v/>
      </c>
      <c r="H372">
        <f>1-(1-Skills!J2/100)^Skills!K2</f>
        <v/>
      </c>
      <c r="I372" t="inlineStr">
        <is>
          <t>1</t>
        </is>
      </c>
      <c r="J372">
        <f>(Inputs!$B$5*(1+Inputs!$B$6/100))*(F372/100)</f>
        <v/>
      </c>
      <c r="K372">
        <f>J372*(1+((Inputs!$B$11*(1+Inputs!$B$12/100))*0.01+Inputs!$B$13*0.0025)/100)*(1+Inputs!$B$14/100)*(1+IF(Inputs!$B$4="pvp",0,(1-Summary!$B$55)*(Inputs!$B$19+0+Skills!P2+B404)+Summary!$B$55*(Inputs!$B$20+Skills!Q2+B404))/100)*(1+Inputs!$B$15/100)*(5000/(6000+Inputs!$B$7*(1-Inputs!$B$18/100)))*(1+(((((1+Inputs!$B$23/100)*(1.01))-1)*100)+((C400=TRUE)*(F400-Calc!F30)))/100)*(1+(IF(Skills!A2="CRUEL_STAB",Inputs!$B$16+((C397=TRUE)*(F397-Calc!F27)),Inputs!$B$17+((C398=TRUE)*(F398-Calc!F28))))/100)*(((1+(((C391=TRUE)*F391*IF(AND(Inputs!$B$4&lt;&gt;"pvp",Inputs!$B$35&gt;0),(((S391-1)*(Skills!Y21*(1+Inputs!$B$33/100))+MIN((Skills!Y21*(1+Inputs!$B$33/100)),MAX(0,Inputs!$B$35-((S391-1)*Skills!D21))))/Inputs!$B$35),IF(Inputs!$B$4="pvp",MIN((Skills!Y21*(1+Inputs!$B$33/100)),15)/15,(Skills!Y21*(1+Inputs!$B$33/100))/Skills!D21)))+((C393=TRUE)*(F393-Calc!F23))+((C387=TRUE)*(F387-Calc!F17)))/100)*(1+((C380=TRUE)*F380*IF(AND(Inputs!$B$4&lt;&gt;"pvp",Inputs!$B$35&gt;0),(((S380-1)*(Skills!Y10*(1+Inputs!$B$33/100))+MIN((Skills!Y10*(1+Inputs!$B$33/100)),MAX(0,Inputs!$B$35-((S380-1)*Skills!D10))))/Inputs!$B$35),IF(Inputs!$B$4="pvp",MIN((Skills!Y10*(1+Inputs!$B$33/100)),15)/15,(Skills!Y10*(1+Inputs!$B$33/100))/Skills!D10)))/100)*(1+((C385=TRUE)*F385*IF(AND(Inputs!$B$4&lt;&gt;"pvp",Inputs!$B$35&gt;0),(((S385-1)*(Skills!Y15*(1+Inputs!$B$33/100))+MIN((Skills!Y15*(1+Inputs!$B$33/100)),MAX(0,Inputs!$B$35-((S385-1)*Skills!D15))))/Inputs!$B$35),IF(Inputs!$B$4="pvp",MIN((Skills!Y15*(1+Inputs!$B$33/100)),15)/15,(Skills!Y15*(1+Inputs!$B$33/100))/Skills!D15)))/100))*B405*I372)</f>
        <v/>
      </c>
      <c r="L372">
        <f>K372*(MIN(Inputs!$B$21+((C394=TRUE)*(F394-Calc!F24)),Inputs!$B$22+((C399=TRUE)*(F399-Calc!F29)))/100+(Inputs!$B$22+((C399=TRUE)*(F399-Calc!F29)))/100)/2</f>
        <v/>
      </c>
      <c r="M372">
        <f>L372*(1+(Inputs!$B$9+((C396=TRUE)*(F396-Calc!F26))+B410)/100)</f>
        <v/>
      </c>
      <c r="N372">
        <f>L372*(1-MIN((Inputs!$B$8+((C395=TRUE)*(F395-Calc!F25))+B403),100)/100)+M372*(MIN((Inputs!$B$8+((C395=TRUE)*(F395-Calc!F25))+B403),100)/100)</f>
        <v/>
      </c>
      <c r="O372">
        <f>IF(C372,Skills!G2*N372*B409*IF(Inputs!$B$4="pvp",1,(1-Summary!$B$55)*(1)+Summary!$B$55*(MIN((6+Inputs!$B$32),Inputs!$B$37))),0)</f>
        <v/>
      </c>
      <c r="P372">
        <f>IF(B415=0,0,O372/B415)</f>
        <v/>
      </c>
      <c r="Q372" t="n">
        <v>0</v>
      </c>
      <c r="R372" t="n">
        <v>0</v>
      </c>
      <c r="S372">
        <f>IFERROR(O372/N372,0)</f>
        <v/>
      </c>
      <c r="U372">
        <f>MAX(0,(Inputs!$B$3-100)*3)+Inputs!$B$27+Inputs!$B$28</f>
        <v/>
      </c>
    </row>
    <row r="373">
      <c r="A373">
        <f>Skills!A3</f>
        <v/>
      </c>
      <c r="B373">
        <f>Skills!B3</f>
        <v/>
      </c>
      <c r="C373">
        <f>Inputs!$B$3&gt;=35</f>
        <v/>
      </c>
      <c r="D373">
        <f>IF(Skills!C3=1,60+Inputs!$B$24+Inputs!$B$28,IF(Skills!C3=2,90+Inputs!$B$25+Inputs!$B$28,IF(Skills!C3=3,120+Inputs!$B$26+Inputs!$B$28,MAX(0,(Inputs!$B$3-100)*3)+Inputs!$B$27+Inputs!$B$28)))</f>
        <v/>
      </c>
      <c r="E373">
        <f>INDEX(FactorTable!$B$2:$Y$301, MATCH(ROUND(MIN(300,MAX(1,D373)),0), FactorTable!$A$2:$A$301,0), Skills!M3+1)</f>
        <v/>
      </c>
      <c r="F373">
        <f>IF(Skills!N3=TRUE,(Skills!L3/10)*(E373/1000),Skills!L3/10)+Skills!O3</f>
        <v/>
      </c>
      <c r="G373">
        <f>Skills!G3*IF(Skills!H3&gt;0,Skills!I3/Skills!H3,1)</f>
        <v/>
      </c>
      <c r="H373">
        <f>1-(1-Skills!J3/100)^Skills!K3</f>
        <v/>
      </c>
      <c r="I373" t="inlineStr">
        <is>
          <t>1</t>
        </is>
      </c>
      <c r="J373" t="inlineStr"/>
      <c r="K373" t="inlineStr"/>
      <c r="L373" t="inlineStr"/>
      <c r="M373" t="inlineStr"/>
      <c r="N373" t="inlineStr"/>
      <c r="O373" t="n">
        <v>0</v>
      </c>
      <c r="P373">
        <f>IF(B415=0,0,O373/B415)</f>
        <v/>
      </c>
      <c r="Q373" t="n">
        <v>0</v>
      </c>
      <c r="R373" t="n">
        <v>0</v>
      </c>
      <c r="S373">
        <f>IFERROR(O373/N373,0)</f>
        <v/>
      </c>
      <c r="U373">
        <f>INDEX(FactorTable!$B$2:$Y$301, MATCH(ROUND(MIN(300,MAX(1,U372)),0), FactorTable!$A$2:$A$301,0), 22)</f>
        <v/>
      </c>
    </row>
    <row r="374">
      <c r="A374">
        <f>Skills!A4</f>
        <v/>
      </c>
      <c r="B374">
        <f>Skills!B4</f>
        <v/>
      </c>
      <c r="C374">
        <f>Inputs!$B$3&gt;=66</f>
        <v/>
      </c>
      <c r="D374">
        <f>IF(Skills!C4=1,60+Inputs!$B$24+Inputs!$B$28,IF(Skills!C4=2,90+Inputs!$B$25+Inputs!$B$28,IF(Skills!C4=3,120+Inputs!$B$26+Inputs!$B$28,MAX(0,(Inputs!$B$3-100)*3)+Inputs!$B$27+Inputs!$B$28)))</f>
        <v/>
      </c>
      <c r="E374">
        <f>INDEX(FactorTable!$B$2:$Y$301, MATCH(ROUND(MIN(300,MAX(1,D374)),0), FactorTable!$A$2:$A$301,0), Skills!M4+1)</f>
        <v/>
      </c>
      <c r="F374">
        <f>IF(Skills!N4=TRUE,(Skills!L4/10)*(E374/1000),Skills!L4/10)+Skills!O4</f>
        <v/>
      </c>
      <c r="G374">
        <f>Skills!G4*IF(Skills!H4&gt;0,Skills!I4/Skills!H4,1)</f>
        <v/>
      </c>
      <c r="H374">
        <f>1-(1-Skills!J4/100)^Skills!K4</f>
        <v/>
      </c>
      <c r="I374" t="inlineStr">
        <is>
          <t>1</t>
        </is>
      </c>
      <c r="J374">
        <f>(Inputs!$B$5*(1+Inputs!$B$6/100))*(F374/100)</f>
        <v/>
      </c>
      <c r="K374">
        <f>J374*(1+((Inputs!$B$11*(1+Inputs!$B$12/100))*0.01+Inputs!$B$13*0.0025)/100)*(1+Inputs!$B$14/100)*(1+IF(Inputs!$B$4="pvp",0,(1-Summary!$B$55)*(Inputs!$B$19+0+Skills!P4+B404)+Summary!$B$55*(Inputs!$B$20+Skills!Q4+B404))/100)*(1+Inputs!$B$15/100)*(5000/(6000+Inputs!$B$7*(1-Inputs!$B$18/100)))*(1+(((((1+Inputs!$B$23/100)*(1.01))-1)*100)+((C400=TRUE)*(F400-Calc!F30)))/100)*(1+(IF(Skills!A4="CRUEL_STAB",Inputs!$B$16+((C397=TRUE)*(F397-Calc!F27)),Inputs!$B$17+((C398=TRUE)*(F398-Calc!F28))))/100)*(((1+(((C391=TRUE)*F391*IF(AND(Inputs!$B$4&lt;&gt;"pvp",Inputs!$B$35&gt;0),(((S391-1)*(Skills!Y21*(1+Inputs!$B$33/100))+MIN((Skills!Y21*(1+Inputs!$B$33/100)),MAX(0,Inputs!$B$35-((S391-1)*Skills!D21))))/Inputs!$B$35),IF(Inputs!$B$4="pvp",MIN((Skills!Y21*(1+Inputs!$B$33/100)),15)/15,(Skills!Y21*(1+Inputs!$B$33/100))/Skills!D21)))+((C393=TRUE)*(F393-Calc!F23))+((C387=TRUE)*(F387-Calc!F17)))/100)*(1+((C380=TRUE)*F380*IF(AND(Inputs!$B$4&lt;&gt;"pvp",Inputs!$B$35&gt;0),(((S380-1)*(Skills!Y10*(1+Inputs!$B$33/100))+MIN((Skills!Y10*(1+Inputs!$B$33/100)),MAX(0,Inputs!$B$35-((S380-1)*Skills!D10))))/Inputs!$B$35),IF(Inputs!$B$4="pvp",MIN((Skills!Y10*(1+Inputs!$B$33/100)),15)/15,(Skills!Y10*(1+Inputs!$B$33/100))/Skills!D10)))/100)*(1+((C385=TRUE)*F385*IF(AND(Inputs!$B$4&lt;&gt;"pvp",Inputs!$B$35&gt;0),(((S385-1)*(Skills!Y15*(1+Inputs!$B$33/100))+MIN((Skills!Y15*(1+Inputs!$B$33/100)),MAX(0,Inputs!$B$35-((S385-1)*Skills!D15))))/Inputs!$B$35),IF(Inputs!$B$4="pvp",MIN((Skills!Y15*(1+Inputs!$B$33/100)),15)/15,(Skills!Y15*(1+Inputs!$B$33/100))/Skills!D15)))/100))*B405*I374)</f>
        <v/>
      </c>
      <c r="L374">
        <f>K374*(MIN(Inputs!$B$21+((C394=TRUE)*(F394-Calc!F24)),Inputs!$B$22+((C399=TRUE)*(F399-Calc!F29)))/100+(Inputs!$B$22+((C399=TRUE)*(F399-Calc!F29)))/100)/2</f>
        <v/>
      </c>
      <c r="M374">
        <f>L374*(1+(Inputs!$B$9+((C396=TRUE)*(F396-Calc!F26))+B410)/100)</f>
        <v/>
      </c>
      <c r="N374">
        <f>L374*(1-MIN((Inputs!$B$8+((C395=TRUE)*(F395-Calc!F25))+B403),100)/100)+M374*(MIN((Inputs!$B$8+((C395=TRUE)*(F395-Calc!F25))+B403),100)/100)</f>
        <v/>
      </c>
      <c r="O374">
        <f>IF(C374,H374*N374*IF(AND(Inputs!$B$4&lt;&gt;"pvp",Inputs!$B$35&gt;0),((Skills!G4*((R374-1)*IF(Skills!H4&gt;0,Skills!I4/Skills!H4,1)+IF(Skills!H4&gt;0,MIN(Skills!I4,MAX(0,Inputs!$B$35-((R374-1)*IF(Inputs!$B$4="pvp",15,MAX(0.1,Skills!D4-IF(Skills!E4=TRUE,Inputs!$B$31,0))))))/Skills!H4,1)))/Inputs!$B$35),G374*Q374)*IF(Inputs!$B$4="pvp",1,(1-Summary!$B$55)*(1)+Summary!$B$55*(MIN(MIN(10,0.5*B407*Skills!D4),Inputs!$B$37))),0)</f>
        <v/>
      </c>
      <c r="P374">
        <f>IF(B415=0,0,O374/B415)</f>
        <v/>
      </c>
      <c r="Q374">
        <f>IFERROR(1/IF(Inputs!$B$4="pvp",15,MAX(0.1,Skills!D4-IF(Skills!E4=TRUE,Inputs!$B$31,0))),0)</f>
        <v/>
      </c>
      <c r="R374">
        <f>IF(AND(Inputs!$B$4&lt;&gt;"pvp",Inputs!$B$35&gt;0),(INT(Inputs!$B$35/IF(Inputs!$B$4="pvp",15,MAX(0.1,Skills!D4-IF(Skills!E4=TRUE,Inputs!$B$31,0))))+1),0)</f>
        <v/>
      </c>
      <c r="S374">
        <f>IFERROR(O374/N374,0)</f>
        <v/>
      </c>
      <c r="U374">
        <f>290*U373/1000</f>
        <v/>
      </c>
    </row>
    <row r="375">
      <c r="A375">
        <f>Skills!A5</f>
        <v/>
      </c>
      <c r="B375">
        <f>Skills!B5</f>
        <v/>
      </c>
      <c r="C375">
        <f>Inputs!$B$3&gt;=63</f>
        <v/>
      </c>
      <c r="D375">
        <f>IF(Skills!C5=1,60+Inputs!$B$24+Inputs!$B$28,IF(Skills!C5=2,90+Inputs!$B$25+Inputs!$B$28,IF(Skills!C5=3,120+Inputs!$B$26+Inputs!$B$28,MAX(0,(Inputs!$B$3-100)*3)+Inputs!$B$27+Inputs!$B$28)))</f>
        <v/>
      </c>
      <c r="E375">
        <f>INDEX(FactorTable!$B$2:$Y$301, MATCH(ROUND(MIN(300,MAX(1,D375)),0), FactorTable!$A$2:$A$301,0), Skills!M5+1)</f>
        <v/>
      </c>
      <c r="F375">
        <f>IF(Skills!N5=TRUE,(Skills!L5/10)*(E375/1000),Skills!L5/10)+Skills!O5</f>
        <v/>
      </c>
      <c r="G375">
        <f>Skills!G5*IF(Skills!H5&gt;0,Skills!I5/Skills!H5,1)</f>
        <v/>
      </c>
      <c r="H375">
        <f>1-(1-Skills!J5/100)^Skills!K5</f>
        <v/>
      </c>
      <c r="I375" t="inlineStr">
        <is>
          <t>1</t>
        </is>
      </c>
      <c r="J375">
        <f>(Inputs!$B$5*(1+Inputs!$B$6/100))*(F375/100)</f>
        <v/>
      </c>
      <c r="K375">
        <f>J375*(1+((Inputs!$B$11*(1+Inputs!$B$12/100))*0.01+Inputs!$B$13*0.0025)/100)*(1+Inputs!$B$14/100)*(1+IF(Inputs!$B$4="pvp",0,(1-Summary!$B$55)*(Inputs!$B$19+0+Skills!P5+B404)+Summary!$B$55*(Inputs!$B$20+Skills!Q5+B404))/100)*(1+Inputs!$B$15/100)*(5000/(6000+Inputs!$B$7*(1-Inputs!$B$18/100)))*(1+(((((1+Inputs!$B$23/100)*(1.01))-1)*100)+((C400=TRUE)*(F400-Calc!F30)))/100)*(1+2.6666666666666665*IF(C388=TRUE,F388,0)/100)*(1+(IF(Skills!A5="CRUEL_STAB",Inputs!$B$16+((C397=TRUE)*(F397-Calc!F27)),Inputs!$B$17+((C398=TRUE)*(F398-Calc!F28))))/100)*(((1+(((C391=TRUE)*F391*IF(AND(Inputs!$B$4&lt;&gt;"pvp",Inputs!$B$35&gt;0),(((S391-1)*(Skills!Y21*(1+Inputs!$B$33/100))+MIN((Skills!Y21*(1+Inputs!$B$33/100)),MAX(0,Inputs!$B$35-((S391-1)*Skills!D21))))/Inputs!$B$35),IF(Inputs!$B$4="pvp",MIN((Skills!Y21*(1+Inputs!$B$33/100)),15)/15,(Skills!Y21*(1+Inputs!$B$33/100))/Skills!D21)))+((C393=TRUE)*(F393-Calc!F23))+((C387=TRUE)*(F387-Calc!F17)))/100)*(1+((C380=TRUE)*F380*IF(AND(Inputs!$B$4&lt;&gt;"pvp",Inputs!$B$35&gt;0),(((S380-1)*(Skills!Y10*(1+Inputs!$B$33/100))+MIN((Skills!Y10*(1+Inputs!$B$33/100)),MAX(0,Inputs!$B$35-((S380-1)*Skills!D10))))/Inputs!$B$35),IF(Inputs!$B$4="pvp",MIN((Skills!Y10*(1+Inputs!$B$33/100)),15)/15,(Skills!Y10*(1+Inputs!$B$33/100))/Skills!D10)))/100)*(1+((C385=TRUE)*F385*IF(AND(Inputs!$B$4&lt;&gt;"pvp",Inputs!$B$35&gt;0),(((S385-1)*(Skills!Y15*(1+Inputs!$B$33/100))+MIN((Skills!Y15*(1+Inputs!$B$33/100)),MAX(0,Inputs!$B$35-((S385-1)*Skills!D15))))/Inputs!$B$35),IF(Inputs!$B$4="pvp",MIN((Skills!Y15*(1+Inputs!$B$33/100)),15)/15,(Skills!Y15*(1+Inputs!$B$33/100))/Skills!D15)))/100))*B405*I375)</f>
        <v/>
      </c>
      <c r="L375">
        <f>K375*(MIN(Inputs!$B$21+((C394=TRUE)*(F394-Calc!F24)),Inputs!$B$22+((C399=TRUE)*(F399-Calc!F29)))/100+(Inputs!$B$22+((C399=TRUE)*(F399-Calc!F29)))/100)/2</f>
        <v/>
      </c>
      <c r="M375">
        <f>L375*(1+(Inputs!$B$9+((C396=TRUE)*(F396-Calc!F26))+B410)/100)</f>
        <v/>
      </c>
      <c r="N375">
        <f>L375*(1-MIN((Inputs!$B$8+((C395=TRUE)*(F395-Calc!F25))+B403),100)/100)+M375*(MIN((Inputs!$B$8+((C395=TRUE)*(F395-Calc!F25))+B403),100)/100)</f>
        <v/>
      </c>
      <c r="O375">
        <f>IF(C375,H375*N375*IF(AND(Inputs!$B$4&lt;&gt;"pvp",Inputs!$B$35&gt;0),((Skills!G5*((R375-1)*IF(Skills!H5&gt;0,Skills!I5/Skills!H5,1)+IF(Skills!H5&gt;0,MIN(Skills!I5,MAX(0,Inputs!$B$35-((R375-1)*IF(Inputs!$B$4="pvp",15,MAX(0.1,Skills!D5-IF(Skills!E5=TRUE,Inputs!$B$31,0))))))/Skills!H5,1)))/Inputs!$B$35),G375*Q375)*IF(Inputs!$B$4="pvp",1,(1-Summary!$B$55)*(1)+Summary!$B$55*(MIN(Skills!W5,Inputs!$B$37))),0)</f>
        <v/>
      </c>
      <c r="P375">
        <f>IF(B415=0,0,O375/B415)</f>
        <v/>
      </c>
      <c r="Q375">
        <f>IFERROR(1/IF(Inputs!$B$4="pvp",15,MAX(0.1,Skills!D5-IF(Skills!E5=TRUE,Inputs!$B$31,0))),0)</f>
        <v/>
      </c>
      <c r="R375">
        <f>IF(AND(Inputs!$B$4&lt;&gt;"pvp",Inputs!$B$35&gt;0),(INT(Inputs!$B$35/IF(Inputs!$B$4="pvp",15,MAX(0.1,Skills!D5-IF(Skills!E5=TRUE,Inputs!$B$31,0))))+1),0)</f>
        <v/>
      </c>
      <c r="S375">
        <f>IFERROR(O375/N375,0)</f>
        <v/>
      </c>
    </row>
    <row r="376">
      <c r="A376">
        <f>Skills!A6</f>
        <v/>
      </c>
      <c r="B376">
        <f>Skills!B6</f>
        <v/>
      </c>
      <c r="C376">
        <f>Inputs!$B$3&gt;=69</f>
        <v/>
      </c>
      <c r="D376">
        <f>IF(Skills!C6=1,60+Inputs!$B$24+Inputs!$B$28,IF(Skills!C6=2,90+Inputs!$B$25+Inputs!$B$28,IF(Skills!C6=3,120+Inputs!$B$26+Inputs!$B$28,MAX(0,(Inputs!$B$3-100)*3)+Inputs!$B$27+Inputs!$B$28)))</f>
        <v/>
      </c>
      <c r="E376">
        <f>INDEX(FactorTable!$B$2:$Y$301, MATCH(ROUND(MIN(300,MAX(1,D376)),0), FactorTable!$A$2:$A$301,0), Skills!M6+1)</f>
        <v/>
      </c>
      <c r="F376">
        <f>IF(Skills!N6=TRUE,(Skills!L6/10)*(E376/1000),Skills!L6/10)+Skills!O6</f>
        <v/>
      </c>
      <c r="G376">
        <f>Skills!G6*IF(Skills!H6&gt;0,Skills!I6/Skills!H6,1)</f>
        <v/>
      </c>
      <c r="H376">
        <f>1-(1-Skills!J6/100)^Skills!K6</f>
        <v/>
      </c>
      <c r="I376" t="inlineStr">
        <is>
          <t>1</t>
        </is>
      </c>
      <c r="J376">
        <f>(Inputs!$B$5*(1+Inputs!$B$6/100))*(F376/100)</f>
        <v/>
      </c>
      <c r="K376">
        <f>J376*(1+((Inputs!$B$11*(1+Inputs!$B$12/100))*0.01+Inputs!$B$13*0.0025)/100)*(1+Inputs!$B$14/100)*(1+IF(Inputs!$B$4="pvp",0,(1-Summary!$B$55)*(Inputs!$B$19+0+Skills!P6+B404)+Summary!$B$55*(Inputs!$B$20+Skills!Q6+B404))/100)*(1+Inputs!$B$15/100)*(5000/(6000+Inputs!$B$7*(1-Inputs!$B$18/100)))*(1+(((((1+Inputs!$B$23/100)*(1.01))-1)*100)+((C400=TRUE)*(F400-Calc!F30)))/100)*(1+1.0*IF(C388=TRUE,F388,0)/100)*(1+(IF(Skills!A6="CRUEL_STAB",Inputs!$B$16+((C397=TRUE)*(F397-Calc!F27)),Inputs!$B$17+((C398=TRUE)*(F398-Calc!F28))))/100)*(((1+(((C391=TRUE)*F391*IF(AND(Inputs!$B$4&lt;&gt;"pvp",Inputs!$B$35&gt;0),(((S391-1)*(Skills!Y21*(1+Inputs!$B$33/100))+MIN((Skills!Y21*(1+Inputs!$B$33/100)),MAX(0,Inputs!$B$35-((S391-1)*Skills!D21))))/Inputs!$B$35),IF(Inputs!$B$4="pvp",MIN((Skills!Y21*(1+Inputs!$B$33/100)),15)/15,(Skills!Y21*(1+Inputs!$B$33/100))/Skills!D21)))+((C393=TRUE)*(F393-Calc!F23))+((C387=TRUE)*(F387-Calc!F17)))/100)*(1+((C380=TRUE)*F380*IF(AND(Inputs!$B$4&lt;&gt;"pvp",Inputs!$B$35&gt;0),(((S380-1)*(Skills!Y10*(1+Inputs!$B$33/100))+MIN((Skills!Y10*(1+Inputs!$B$33/100)),MAX(0,Inputs!$B$35-((S380-1)*Skills!D10))))/Inputs!$B$35),IF(Inputs!$B$4="pvp",MIN((Skills!Y10*(1+Inputs!$B$33/100)),15)/15,(Skills!Y10*(1+Inputs!$B$33/100))/Skills!D10)))/100)*(1+((C385=TRUE)*F385*IF(AND(Inputs!$B$4&lt;&gt;"pvp",Inputs!$B$35&gt;0),(((S385-1)*(Skills!Y15*(1+Inputs!$B$33/100))+MIN((Skills!Y15*(1+Inputs!$B$33/100)),MAX(0,Inputs!$B$35-((S385-1)*Skills!D15))))/Inputs!$B$35),IF(Inputs!$B$4="pvp",MIN((Skills!Y15*(1+Inputs!$B$33/100)),15)/15,(Skills!Y15*(1+Inputs!$B$33/100))/Skills!D15)))/100))*B405*I376)</f>
        <v/>
      </c>
      <c r="L376">
        <f>K376*(MIN(Inputs!$B$21+((C394=TRUE)*(F394-Calc!F24)),Inputs!$B$22+((C399=TRUE)*(F399-Calc!F29)))/100+(Inputs!$B$22+((C399=TRUE)*(F399-Calc!F29)))/100)/2</f>
        <v/>
      </c>
      <c r="M376">
        <f>L376*(1+(Inputs!$B$9+((C396=TRUE)*(F396-Calc!F26))+B410)/100)</f>
        <v/>
      </c>
      <c r="N376">
        <f>L376*(1-MIN((Inputs!$B$8+((C395=TRUE)*(F395-Calc!F25))+B403),100)/100)+M376*(MIN((Inputs!$B$8+((C395=TRUE)*(F395-Calc!F25))+B403),100)/100)</f>
        <v/>
      </c>
      <c r="O376">
        <f>IF(C376,H376*N376*IF(AND(Inputs!$B$4&lt;&gt;"pvp",Inputs!$B$35&gt;0),((Skills!G6*((R376-1)*IF(Skills!H6&gt;0,Skills!I6/Skills!H6,1)+IF(Skills!H6&gt;0,MIN(Skills!I6,MAX(0,Inputs!$B$35-((R376-1)*IF(Inputs!$B$4="pvp",15,MAX(0.1,Skills!D6-IF(Skills!E6=TRUE,Inputs!$B$31,0))))))/Skills!H6,1)))/Inputs!$B$35),G376*Q376)*IF(Inputs!$B$4="pvp",1,(1-Summary!$B$55)*(1)+Summary!$B$55*(MIN(Skills!W6,Inputs!$B$37))),0)</f>
        <v/>
      </c>
      <c r="P376">
        <f>IF(B415=0,0,O376/B415)</f>
        <v/>
      </c>
      <c r="Q376">
        <f>IFERROR(1/IF(Inputs!$B$4="pvp",15,MAX(0.1,Skills!D6-IF(Skills!E6=TRUE,Inputs!$B$31,0))),0)</f>
        <v/>
      </c>
      <c r="R376">
        <f>IF(AND(Inputs!$B$4&lt;&gt;"pvp",Inputs!$B$35&gt;0),(INT(Inputs!$B$35/IF(Inputs!$B$4="pvp",15,MAX(0.1,Skills!D6-IF(Skills!E6=TRUE,Inputs!$B$31,0))))+1),0)</f>
        <v/>
      </c>
      <c r="S376">
        <f>IFERROR(O376/N376,0)</f>
        <v/>
      </c>
    </row>
    <row r="377">
      <c r="A377">
        <f>Skills!A7</f>
        <v/>
      </c>
      <c r="B377">
        <f>Skills!B7</f>
        <v/>
      </c>
      <c r="C377">
        <f>Inputs!$B$3&gt;=60</f>
        <v/>
      </c>
      <c r="D377">
        <f>IF(Skills!C7=1,60+Inputs!$B$24+Inputs!$B$28,IF(Skills!C7=2,90+Inputs!$B$25+Inputs!$B$28,IF(Skills!C7=3,120+Inputs!$B$26+Inputs!$B$28,MAX(0,(Inputs!$B$3-100)*3)+Inputs!$B$27+Inputs!$B$28)))</f>
        <v/>
      </c>
      <c r="E377">
        <f>INDEX(FactorTable!$B$2:$Y$301, MATCH(ROUND(MIN(300,MAX(1,D377)),0), FactorTable!$A$2:$A$301,0), Skills!M7+1)</f>
        <v/>
      </c>
      <c r="F377">
        <f>IF(Skills!N7=TRUE,(Skills!L7/10)*(E377/1000),Skills!L7/10)+Skills!O7</f>
        <v/>
      </c>
      <c r="G377">
        <f>Skills!G7*IF(Skills!H7&gt;0,Skills!I7/Skills!H7,1)</f>
        <v/>
      </c>
      <c r="H377">
        <f>1-(1-Skills!J7/100)^Skills!K7</f>
        <v/>
      </c>
      <c r="I377" t="inlineStr">
        <is>
          <t>1</t>
        </is>
      </c>
      <c r="J377" t="inlineStr"/>
      <c r="K377" t="inlineStr"/>
      <c r="L377" t="inlineStr"/>
      <c r="M377" t="inlineStr"/>
      <c r="N377" t="inlineStr"/>
      <c r="O377" t="n">
        <v>0</v>
      </c>
      <c r="P377">
        <f>IF(B415=0,0,O377/B415)</f>
        <v/>
      </c>
      <c r="Q377" t="n">
        <v>0</v>
      </c>
      <c r="R377" t="n">
        <v>0</v>
      </c>
      <c r="S377">
        <f>IFERROR(O377/N377,0)</f>
        <v/>
      </c>
    </row>
    <row r="378">
      <c r="A378">
        <f>Skills!A8</f>
        <v/>
      </c>
      <c r="B378">
        <f>Skills!B8</f>
        <v/>
      </c>
      <c r="C378">
        <f>Inputs!$B$3&gt;=72</f>
        <v/>
      </c>
      <c r="D378">
        <f>IF(Skills!C8=1,60+Inputs!$B$24+Inputs!$B$28,IF(Skills!C8=2,90+Inputs!$B$25+Inputs!$B$28,IF(Skills!C8=3,120+Inputs!$B$26+Inputs!$B$28,MAX(0,(Inputs!$B$3-100)*3)+Inputs!$B$27+Inputs!$B$28)))</f>
        <v/>
      </c>
      <c r="E378">
        <f>INDEX(FactorTable!$B$2:$Y$301, MATCH(ROUND(MIN(300,MAX(1,D378)),0), FactorTable!$A$2:$A$301,0), Skills!M8+1)</f>
        <v/>
      </c>
      <c r="F378">
        <f>IF(Skills!N8=TRUE,(Skills!L8/10)*(E378/1000),Skills!L8/10)+Skills!O8</f>
        <v/>
      </c>
      <c r="G378">
        <f>Skills!G8*IF(Skills!H8&gt;0,Skills!I8/Skills!H8,1)</f>
        <v/>
      </c>
      <c r="H378">
        <f>1-(1-Skills!J8/100)^Skills!K8</f>
        <v/>
      </c>
      <c r="I378" t="inlineStr">
        <is>
          <t>1</t>
        </is>
      </c>
      <c r="J378">
        <f>(Inputs!$B$5*(1+Inputs!$B$6/100))*(F378/100)</f>
        <v/>
      </c>
      <c r="K378">
        <f>J378*(1+((Inputs!$B$11*(1+Inputs!$B$12/100))*0.01+Inputs!$B$13*0.0025)/100)*(1+Inputs!$B$14/100)*(1+IF(Inputs!$B$4="pvp",0,(1-Summary!$B$55)*(Inputs!$B$19+0+Skills!P8+B404)+Summary!$B$55*(Inputs!$B$20+Skills!Q8+B404))/100)*(1+Inputs!$B$15/100)*(5000/(6000+Inputs!$B$7*(1-Inputs!$B$18/100)))*(1+(((((1+Inputs!$B$23/100)*(1.01))-1)*100)+((C400=TRUE)*(F400-Calc!F30)))/100)*(1+3.3333333333333335*IF(C388=TRUE,F388,0)/100)*(1+(IF(Skills!A8="CRUEL_STAB",Inputs!$B$16+((C397=TRUE)*(F397-Calc!F27)),Inputs!$B$17+((C398=TRUE)*(F398-Calc!F28))))/100)*(((1+(((C391=TRUE)*F391*IF(AND(Inputs!$B$4&lt;&gt;"pvp",Inputs!$B$35&gt;0),(((S391-1)*(Skills!Y21*(1+Inputs!$B$33/100))+MIN((Skills!Y21*(1+Inputs!$B$33/100)),MAX(0,Inputs!$B$35-((S391-1)*Skills!D21))))/Inputs!$B$35),IF(Inputs!$B$4="pvp",MIN((Skills!Y21*(1+Inputs!$B$33/100)),15)/15,(Skills!Y21*(1+Inputs!$B$33/100))/Skills!D21)))+((C393=TRUE)*(F393-Calc!F23))+((C387=TRUE)*(F387-Calc!F17)))/100)*(1+((C380=TRUE)*F380*IF(AND(Inputs!$B$4&lt;&gt;"pvp",Inputs!$B$35&gt;0),(((S380-1)*(Skills!Y10*(1+Inputs!$B$33/100))+MIN((Skills!Y10*(1+Inputs!$B$33/100)),MAX(0,Inputs!$B$35-((S380-1)*Skills!D10))))/Inputs!$B$35),IF(Inputs!$B$4="pvp",MIN((Skills!Y10*(1+Inputs!$B$33/100)),15)/15,(Skills!Y10*(1+Inputs!$B$33/100))/Skills!D10)))/100)*(1+((C385=TRUE)*F385*IF(AND(Inputs!$B$4&lt;&gt;"pvp",Inputs!$B$35&gt;0),(((S385-1)*(Skills!Y15*(1+Inputs!$B$33/100))+MIN((Skills!Y15*(1+Inputs!$B$33/100)),MAX(0,Inputs!$B$35-((S385-1)*Skills!D15))))/Inputs!$B$35),IF(Inputs!$B$4="pvp",MIN((Skills!Y15*(1+Inputs!$B$33/100)),15)/15,(Skills!Y15*(1+Inputs!$B$33/100))/Skills!D15)))/100))*B405*I378)</f>
        <v/>
      </c>
      <c r="L378">
        <f>K378*(MIN(Inputs!$B$21+((C394=TRUE)*(F394-Calc!F24)),Inputs!$B$22+((C399=TRUE)*(F399-Calc!F29)))/100+(Inputs!$B$22+((C399=TRUE)*(F399-Calc!F29)))/100)/2</f>
        <v/>
      </c>
      <c r="M378">
        <f>L378*(1+(Inputs!$B$9+((C396=TRUE)*(F396-Calc!F26))+B410)/100)</f>
        <v/>
      </c>
      <c r="N378">
        <f>L378*(1-MIN((Inputs!$B$8+((C395=TRUE)*(F395-Calc!F25))+B403),100)/100)+M378*(MIN((Inputs!$B$8+((C395=TRUE)*(F395-Calc!F25))+B403),100)/100)</f>
        <v/>
      </c>
      <c r="O378">
        <f>IF(C378,H378*N378*IF(AND(Inputs!$B$4&lt;&gt;"pvp",Inputs!$B$35&gt;0),((Skills!G8*((R378-1)*IF(Skills!H8&gt;0,Skills!I8/Skills!H8,1)+IF(Skills!H8&gt;0,MIN(Skills!I8,MAX(0,Inputs!$B$35-((R378-1)*IF(Inputs!$B$4="pvp",15,MAX(0.1,Skills!D8-IF(Skills!E8=TRUE,Inputs!$B$31,0))))))/Skills!H8,1)))/Inputs!$B$35),G378*Q378)*IF(Inputs!$B$4="pvp",1,(1-Summary!$B$55)*(1)+Summary!$B$55*(MIN(Skills!W8,Inputs!$B$37))),0)</f>
        <v/>
      </c>
      <c r="P378">
        <f>IF(B415=0,0,O378/B415)</f>
        <v/>
      </c>
      <c r="Q378">
        <f>IFERROR(1/IF(Inputs!$B$4="pvp",15,MAX(0.1,Skills!D8-IF(Skills!E8=TRUE,Inputs!$B$31,0))),0)</f>
        <v/>
      </c>
      <c r="R378">
        <f>IF(AND(Inputs!$B$4&lt;&gt;"pvp",Inputs!$B$35&gt;0),(INT(Inputs!$B$35/IF(Inputs!$B$4="pvp",15,MAX(0.1,Skills!D8-IF(Skills!E8=TRUE,Inputs!$B$31,0))))+1),0)</f>
        <v/>
      </c>
      <c r="S378">
        <f>IFERROR(O378/N378,0)</f>
        <v/>
      </c>
    </row>
    <row r="379">
      <c r="A379">
        <f>Skills!A9</f>
        <v/>
      </c>
      <c r="B379">
        <f>Skills!B9</f>
        <v/>
      </c>
      <c r="C379">
        <f>Inputs!$B$3&gt;=117</f>
        <v/>
      </c>
      <c r="D379">
        <f>IF(Skills!C9=1,60+Inputs!$B$24+Inputs!$B$28,IF(Skills!C9=2,90+Inputs!$B$25+Inputs!$B$28,IF(Skills!C9=3,120+Inputs!$B$26+Inputs!$B$28,MAX(0,(Inputs!$B$3-100)*3)+Inputs!$B$27+Inputs!$B$28)))</f>
        <v/>
      </c>
      <c r="E379">
        <f>INDEX(FactorTable!$B$2:$Y$301, MATCH(ROUND(MIN(300,MAX(1,D379)),0), FactorTable!$A$2:$A$301,0), Skills!M9+1)</f>
        <v/>
      </c>
      <c r="F379">
        <f>IF(Skills!N9=TRUE,(Skills!L9/10)*(E379/1000),Skills!L9/10)+Skills!O9</f>
        <v/>
      </c>
      <c r="G379">
        <f>Skills!G9*IF(Skills!H9&gt;0,Skills!I9/Skills!H9,1)</f>
        <v/>
      </c>
      <c r="H379">
        <f>1-(1-Skills!J9/100)^Skills!K9</f>
        <v/>
      </c>
      <c r="I379" t="inlineStr">
        <is>
          <t>1</t>
        </is>
      </c>
      <c r="J379">
        <f>(Inputs!$B$5*(1+Inputs!$B$6/100))*(F379/100)</f>
        <v/>
      </c>
      <c r="K379">
        <f>J379*(1+((Inputs!$B$11*(1+Inputs!$B$12/100))*0.01+Inputs!$B$13*0.0025)/100)*(1+Inputs!$B$14/100)*(1+IF(Inputs!$B$4="pvp",0,(1-Summary!$B$55)*(Inputs!$B$19+0+Skills!P9+B404)+Summary!$B$55*(Inputs!$B$20+Skills!Q9+B404))/100)*(1+Inputs!$B$15/100)*(5000/(6000+Inputs!$B$7*(1-Inputs!$B$18/100)))*(1+(((((1+Inputs!$B$23/100)*(1.01))-1)*100)+((C400=TRUE)*(F400-Calc!F30)))/100)*(1+(IF(Skills!A9="CRUEL_STAB",Inputs!$B$16+((C397=TRUE)*(F397-Calc!F27)),Inputs!$B$17+((C398=TRUE)*(F398-Calc!F28))))/100)*(((1+(((C391=TRUE)*F391*IF(AND(Inputs!$B$4&lt;&gt;"pvp",Inputs!$B$35&gt;0),(((S391-1)*(Skills!Y21*(1+Inputs!$B$33/100))+MIN((Skills!Y21*(1+Inputs!$B$33/100)),MAX(0,Inputs!$B$35-((S391-1)*Skills!D21))))/Inputs!$B$35),IF(Inputs!$B$4="pvp",MIN((Skills!Y21*(1+Inputs!$B$33/100)),15)/15,(Skills!Y21*(1+Inputs!$B$33/100))/Skills!D21)))+((C393=TRUE)*(F393-Calc!F23))+((C387=TRUE)*(F387-Calc!F17)))/100)*(1+((C380=TRUE)*F380*IF(AND(Inputs!$B$4&lt;&gt;"pvp",Inputs!$B$35&gt;0),(((S380-1)*(Skills!Y10*(1+Inputs!$B$33/100))+MIN((Skills!Y10*(1+Inputs!$B$33/100)),MAX(0,Inputs!$B$35-((S380-1)*Skills!D10))))/Inputs!$B$35),IF(Inputs!$B$4="pvp",MIN((Skills!Y10*(1+Inputs!$B$33/100)),15)/15,(Skills!Y10*(1+Inputs!$B$33/100))/Skills!D10)))/100)*(1+((C385=TRUE)*F385*IF(AND(Inputs!$B$4&lt;&gt;"pvp",Inputs!$B$35&gt;0),(((S385-1)*(Skills!Y15*(1+Inputs!$B$33/100))+MIN((Skills!Y15*(1+Inputs!$B$33/100)),MAX(0,Inputs!$B$35-((S385-1)*Skills!D15))))/Inputs!$B$35),IF(Inputs!$B$4="pvp",MIN((Skills!Y15*(1+Inputs!$B$33/100)),15)/15,(Skills!Y15*(1+Inputs!$B$33/100))/Skills!D15)))/100))*B405*I379)</f>
        <v/>
      </c>
      <c r="L379">
        <f>K379*(MIN(Inputs!$B$21+((C394=TRUE)*(F394-Calc!F24)),Inputs!$B$22+((C399=TRUE)*(F399-Calc!F29)))/100+(Inputs!$B$22+((C399=TRUE)*(F399-Calc!F29)))/100)/2</f>
        <v/>
      </c>
      <c r="M379">
        <f>L379*(1+(Inputs!$B$9+((C396=TRUE)*(F396-Calc!F26))+B410)/100)</f>
        <v/>
      </c>
      <c r="N379">
        <f>L379*(1-MIN((Inputs!$B$8+((C395=TRUE)*(F395-Calc!F25))+B403),100)/100)+M379*(MIN((Inputs!$B$8+((C395=TRUE)*(F395-Calc!F25))+B403),100)/100)</f>
        <v/>
      </c>
      <c r="O379">
        <f>IF(C379,0.2*SUMPRODUCT((Skills!Z2:Z30=TRUE)*(C372:C400=TRUE)*S372:S400)*N379,0)</f>
        <v/>
      </c>
      <c r="P379">
        <f>IF(B415=0,0,O379/B415)</f>
        <v/>
      </c>
      <c r="Q379" t="n">
        <v>0</v>
      </c>
      <c r="R379" t="n">
        <v>0</v>
      </c>
      <c r="S379" t="n">
        <v>0</v>
      </c>
    </row>
    <row r="380">
      <c r="A380">
        <f>Skills!A10</f>
        <v/>
      </c>
      <c r="B380">
        <f>Skills!B10</f>
        <v/>
      </c>
      <c r="C380">
        <f>Inputs!$B$3&gt;=74</f>
        <v/>
      </c>
      <c r="D380">
        <f>IF(Skills!C10=1,60+Inputs!$B$24+Inputs!$B$28,IF(Skills!C10=2,90+Inputs!$B$25+Inputs!$B$28,IF(Skills!C10=3,120+Inputs!$B$26+Inputs!$B$28,MAX(0,(Inputs!$B$3-100)*3)+Inputs!$B$27+Inputs!$B$28)))</f>
        <v/>
      </c>
      <c r="E380">
        <f>INDEX(FactorTable!$B$2:$Y$301, MATCH(ROUND(MIN(300,MAX(1,D380)),0), FactorTable!$A$2:$A$301,0), Skills!M10+1)</f>
        <v/>
      </c>
      <c r="F380">
        <f>IF(Skills!N10=TRUE,(Skills!L10/10)*(E380/1000),Skills!L10/10)+Skills!O10</f>
        <v/>
      </c>
      <c r="G380">
        <f>Skills!G10*IF(Skills!H10&gt;0,Skills!I10/Skills!H10,1)</f>
        <v/>
      </c>
      <c r="H380">
        <f>1-(1-Skills!J10/100)^Skills!K10</f>
        <v/>
      </c>
      <c r="I380" t="inlineStr">
        <is>
          <t>1</t>
        </is>
      </c>
      <c r="J380" t="inlineStr"/>
      <c r="K380" t="inlineStr"/>
      <c r="L380" t="inlineStr"/>
      <c r="M380" t="inlineStr"/>
      <c r="N380" t="inlineStr"/>
      <c r="O380" t="n">
        <v>0</v>
      </c>
      <c r="P380">
        <f>IF(B415=0,0,O380/B415)</f>
        <v/>
      </c>
      <c r="Q380">
        <f>IFERROR(1/IF(Inputs!$B$4="pvp",15,MAX(0.1,Skills!D10-IF(Skills!E10=TRUE,Inputs!$B$31,0))),0)</f>
        <v/>
      </c>
      <c r="R380">
        <f>IF(AND(Inputs!$B$4&lt;&gt;"pvp",Inputs!$B$35&gt;0),(INT(Inputs!$B$35/IF(Inputs!$B$4="pvp",15,MAX(0.1,Skills!D10-IF(Skills!E10=TRUE,Inputs!$B$31,0))))+1),0)</f>
        <v/>
      </c>
      <c r="S380">
        <f>IFERROR(O380/N380,0)</f>
        <v/>
      </c>
    </row>
    <row r="381">
      <c r="A381">
        <f>Skills!A11</f>
        <v/>
      </c>
      <c r="B381">
        <f>Skills!B11</f>
        <v/>
      </c>
      <c r="C381">
        <f>Inputs!$B$3&gt;=103</f>
        <v/>
      </c>
      <c r="D381">
        <f>IF(Skills!C11=1,60+Inputs!$B$24+Inputs!$B$28,IF(Skills!C11=2,90+Inputs!$B$25+Inputs!$B$28,IF(Skills!C11=3,120+Inputs!$B$26+Inputs!$B$28,MAX(0,(Inputs!$B$3-100)*3)+Inputs!$B$27+Inputs!$B$28)))</f>
        <v/>
      </c>
      <c r="E381">
        <f>INDEX(FactorTable!$B$2:$Y$301, MATCH(ROUND(MIN(300,MAX(1,D381)),0), FactorTable!$A$2:$A$301,0), Skills!M11+1)</f>
        <v/>
      </c>
      <c r="F381">
        <f>(Skills!L11/10)*(E381/1000)+IF(Inputs!$B$3&gt;=134,50,0)+0.5*(30000/10)*(INDEX(FactorTable!$B$2:$Y$301, MATCH(ROUND(MIN(300,MAX(1,D381)),0), FactorTable!$A$2:$A$301,0), 13)/1000)*B413</f>
        <v/>
      </c>
      <c r="G381">
        <f>Skills!G11*IF(Skills!H11&gt;0,Skills!I11/Skills!H11,1)</f>
        <v/>
      </c>
      <c r="H381">
        <f>1-(1-Skills!J11/100)^Skills!K11</f>
        <v/>
      </c>
      <c r="I381" t="inlineStr">
        <is>
          <t>1</t>
        </is>
      </c>
      <c r="J381">
        <f>(Inputs!$B$5*(1+Inputs!$B$6/100))*(F381/100)</f>
        <v/>
      </c>
      <c r="K381">
        <f>J381*(1+((Inputs!$B$11*(1+Inputs!$B$12/100))*0.01+Inputs!$B$13*0.0025)/100)*(1+Inputs!$B$14/100)*(1+IF(Inputs!$B$4="pvp",0,(1-Summary!$B$55)*(Inputs!$B$19+0+Skills!P11+B404)+Summary!$B$55*(Inputs!$B$20+Skills!Q11+B404))/100)*(1+Inputs!$B$15/100)*(5000/(6000+Inputs!$B$7*(1-Inputs!$B$18/100)))*(1+(((((1+Inputs!$B$23/100)*(1.01))-1)*100)+((C400=TRUE)*(F400-Calc!F30)))/100)*(1+(IF(Skills!A11="CRUEL_STAB",Inputs!$B$16+((C397=TRUE)*(F397-Calc!F27)),Inputs!$B$17+((C398=TRUE)*(F398-Calc!F28))))/100)*(((1+(((C391=TRUE)*F391*IF(AND(Inputs!$B$4&lt;&gt;"pvp",Inputs!$B$35&gt;0),(((S391-1)*(Skills!Y21*(1+Inputs!$B$33/100))+MIN((Skills!Y21*(1+Inputs!$B$33/100)),MAX(0,Inputs!$B$35-((S391-1)*Skills!D21))))/Inputs!$B$35),IF(Inputs!$B$4="pvp",MIN((Skills!Y21*(1+Inputs!$B$33/100)),15)/15,(Skills!Y21*(1+Inputs!$B$33/100))/Skills!D21)))+((C393=TRUE)*(F393-Calc!F23))+((C387=TRUE)*(F387-Calc!F17)))/100)*(1+((C380=TRUE)*F380*IF(AND(Inputs!$B$4&lt;&gt;"pvp",Inputs!$B$35&gt;0),(((S380-1)*(Skills!Y10*(1+Inputs!$B$33/100))+MIN((Skills!Y10*(1+Inputs!$B$33/100)),MAX(0,Inputs!$B$35-((S380-1)*Skills!D10))))/Inputs!$B$35),IF(Inputs!$B$4="pvp",MIN((Skills!Y10*(1+Inputs!$B$33/100)),15)/15,(Skills!Y10*(1+Inputs!$B$33/100))/Skills!D10)))/100)*(1+((C385=TRUE)*F385*IF(AND(Inputs!$B$4&lt;&gt;"pvp",Inputs!$B$35&gt;0),(((S385-1)*(Skills!Y15*(1+Inputs!$B$33/100))+MIN((Skills!Y15*(1+Inputs!$B$33/100)),MAX(0,Inputs!$B$35-((S385-1)*Skills!D15))))/Inputs!$B$35),IF(Inputs!$B$4="pvp",MIN((Skills!Y15*(1+Inputs!$B$33/100)),15)/15,(Skills!Y15*(1+Inputs!$B$33/100))/Skills!D15)))/100))*B405*I381)</f>
        <v/>
      </c>
      <c r="L381">
        <f>K381*(MIN(Inputs!$B$21+((C394=TRUE)*(F394-Calc!F24)),Inputs!$B$22+((C399=TRUE)*(F399-Calc!F29)))/100+(Inputs!$B$22+((C399=TRUE)*(F399-Calc!F29)))/100)/2</f>
        <v/>
      </c>
      <c r="M381">
        <f>L381*(1+(Inputs!$B$9+((C396=TRUE)*(F396-Calc!F26))+B410)/100)</f>
        <v/>
      </c>
      <c r="N381">
        <f>L381*(1-MIN((Inputs!$B$8+((C395=TRUE)*(F395-Calc!F25))+B403),100)/100)+M381*(MIN((Inputs!$B$8+((C395=TRUE)*(F395-Calc!F25))+B403),100)/100)</f>
        <v/>
      </c>
      <c r="O381">
        <f>IF(C381,H381*N381*IF(AND(Inputs!$B$4&lt;&gt;"pvp",Inputs!$B$35&gt;0),((Skills!G11*((R381-1)*IF(Skills!H11&gt;0,Skills!I11/Skills!H11,1)+IF(Skills!H11&gt;0,MIN(Skills!I11,MAX(0,Inputs!$B$35-((R381-1)*IF(Inputs!$B$4="pvp",15,MAX(0.1,Skills!D11-IF(Skills!E11=TRUE,Inputs!$B$31,0))))))/Skills!H11,1)))/Inputs!$B$35),G381*Q381)*IF(Inputs!$B$4="pvp",1,(1-Summary!$B$55)*(1)+Summary!$B$55*(MIN(Skills!W11,Inputs!$B$37))),0)</f>
        <v/>
      </c>
      <c r="P381">
        <f>IF(B415=0,0,O381/B415)</f>
        <v/>
      </c>
      <c r="Q381">
        <f>IFERROR(1/IF(Inputs!$B$4="pvp",15,MAX(0.1,Skills!D11-IF(Skills!E11=TRUE,Inputs!$B$31,0))),0)</f>
        <v/>
      </c>
      <c r="R381">
        <f>IF(AND(Inputs!$B$4&lt;&gt;"pvp",Inputs!$B$35&gt;0),(INT(Inputs!$B$35/IF(Inputs!$B$4="pvp",15,MAX(0.1,Skills!D11-IF(Skills!E11=TRUE,Inputs!$B$31,0))))+1),0)</f>
        <v/>
      </c>
      <c r="S381">
        <f>IFERROR(O381/N381,0)</f>
        <v/>
      </c>
    </row>
    <row r="382">
      <c r="A382">
        <f>Skills!A12</f>
        <v/>
      </c>
      <c r="B382">
        <f>Skills!B12</f>
        <v/>
      </c>
      <c r="C382">
        <f>Inputs!$B$3&gt;=105</f>
        <v/>
      </c>
      <c r="D382">
        <f>IF(Skills!C12=1,60+Inputs!$B$24+Inputs!$B$28,IF(Skills!C12=2,90+Inputs!$B$25+Inputs!$B$28,IF(Skills!C12=3,120+Inputs!$B$26+Inputs!$B$28,MAX(0,(Inputs!$B$3-100)*3)+Inputs!$B$27+Inputs!$B$28)))</f>
        <v/>
      </c>
      <c r="E382">
        <f>INDEX(FactorTable!$B$2:$Y$301, MATCH(ROUND(MIN(300,MAX(1,D382)),0), FactorTable!$A$2:$A$301,0), Skills!M12+1)</f>
        <v/>
      </c>
      <c r="F382">
        <f>IF(Skills!N12=TRUE,(Skills!L12/10)*(E382/1000),Skills!L12/10)+Skills!O12</f>
        <v/>
      </c>
      <c r="G382">
        <f>Skills!G12*IF(Skills!H12&gt;0,Skills!I12/Skills!H12,1)</f>
        <v/>
      </c>
      <c r="H382">
        <f>1-(1-Skills!J12/100)^Skills!K12</f>
        <v/>
      </c>
      <c r="I382" t="inlineStr">
        <is>
          <t>1</t>
        </is>
      </c>
      <c r="J382">
        <f>(Inputs!$B$5*(1+Inputs!$B$6/100))*(F382/100)</f>
        <v/>
      </c>
      <c r="K382">
        <f>J382*(1+((Inputs!$B$11*(1+Inputs!$B$12/100))*0.01+Inputs!$B$13*0.0025)/100)*(1+Inputs!$B$14/100)*(1+IF(Inputs!$B$4="pvp",0,(1-Summary!$B$55)*(Inputs!$B$19+0+Skills!P12+B404)+Summary!$B$55*(Inputs!$B$20+Skills!Q12+B404))/100)*(1+Inputs!$B$15/100)*(5000/(6000+Inputs!$B$7*(1-Inputs!$B$18/100)))*(1+(((((1+Inputs!$B$23/100)*(1.01))-1)*100)+((C400=TRUE)*(F400-Calc!F30)))/100)*(1+(IF(Skills!A12="CRUEL_STAB",Inputs!$B$16+((C397=TRUE)*(F397-Calc!F27)),Inputs!$B$17+((C398=TRUE)*(F398-Calc!F28))))/100)*(((1+(((C391=TRUE)*F391*IF(AND(Inputs!$B$4&lt;&gt;"pvp",Inputs!$B$35&gt;0),(((S391-1)*(Skills!Y21*(1+Inputs!$B$33/100))+MIN((Skills!Y21*(1+Inputs!$B$33/100)),MAX(0,Inputs!$B$35-((S391-1)*Skills!D21))))/Inputs!$B$35),IF(Inputs!$B$4="pvp",MIN((Skills!Y21*(1+Inputs!$B$33/100)),15)/15,(Skills!Y21*(1+Inputs!$B$33/100))/Skills!D21)))+((C393=TRUE)*(F393-Calc!F23))+((C387=TRUE)*(F387-Calc!F17)))/100)*(1+((C380=TRUE)*F380*IF(AND(Inputs!$B$4&lt;&gt;"pvp",Inputs!$B$35&gt;0),(((S380-1)*(Skills!Y10*(1+Inputs!$B$33/100))+MIN((Skills!Y10*(1+Inputs!$B$33/100)),MAX(0,Inputs!$B$35-((S380-1)*Skills!D10))))/Inputs!$B$35),IF(Inputs!$B$4="pvp",MIN((Skills!Y10*(1+Inputs!$B$33/100)),15)/15,(Skills!Y10*(1+Inputs!$B$33/100))/Skills!D10)))/100)*(1+((C385=TRUE)*F385*IF(AND(Inputs!$B$4&lt;&gt;"pvp",Inputs!$B$35&gt;0),(((S385-1)*(Skills!Y15*(1+Inputs!$B$33/100))+MIN((Skills!Y15*(1+Inputs!$B$33/100)),MAX(0,Inputs!$B$35-((S385-1)*Skills!D15))))/Inputs!$B$35),IF(Inputs!$B$4="pvp",MIN((Skills!Y15*(1+Inputs!$B$33/100)),15)/15,(Skills!Y15*(1+Inputs!$B$33/100))/Skills!D15)))/100))*B405*I382)</f>
        <v/>
      </c>
      <c r="L382">
        <f>K382*(MIN(Inputs!$B$21+((C394=TRUE)*(F394-Calc!F24)),Inputs!$B$22+((C399=TRUE)*(F399-Calc!F29)))/100+(Inputs!$B$22+((C399=TRUE)*(F399-Calc!F29)))/100)/2</f>
        <v/>
      </c>
      <c r="M382">
        <f>L382*(1+(Inputs!$B$9+((C396=TRUE)*(F396-Calc!F26))+B410)/100)</f>
        <v/>
      </c>
      <c r="N382">
        <f>L382*(1-MIN((Inputs!$B$8+((C395=TRUE)*(F395-Calc!F25))+B403),100)/100)+M382*(MIN((Inputs!$B$8+((C395=TRUE)*(F395-Calc!F25))+B403),100)/100)</f>
        <v/>
      </c>
      <c r="O382">
        <f>IF(C382,H382*N382*IF(AND(Inputs!$B$4&lt;&gt;"pvp",Inputs!$B$35&gt;0),((Skills!G12*((R382-1)*IF(Skills!H12&gt;0,Skills!I12/Skills!H12,1)+IF(Skills!H12&gt;0,MIN(Skills!I12,MAX(0,Inputs!$B$35-((R382-1)*IF(Inputs!$B$4="pvp",15,MAX(0.1,Skills!D12-IF(Skills!E12=TRUE,Inputs!$B$31,0))))))/Skills!H12,1)))/Inputs!$B$35),G382*Q382)*IF(Inputs!$B$4="pvp",1,(1-Summary!$B$55)*(1)+Summary!$B$55*(MIN(Skills!W12,Inputs!$B$37))),0)</f>
        <v/>
      </c>
      <c r="P382">
        <f>IF(B415=0,0,O382/B415)</f>
        <v/>
      </c>
      <c r="Q382">
        <f>IFERROR(1/IF(Inputs!$B$4="pvp",15,MAX(0.1,Skills!D12-IF(Skills!E12=TRUE,Inputs!$B$31,0))),0)</f>
        <v/>
      </c>
      <c r="R382">
        <f>IF(AND(Inputs!$B$4&lt;&gt;"pvp",Inputs!$B$35&gt;0),(INT(Inputs!$B$35/IF(Inputs!$B$4="pvp",15,MAX(0.1,Skills!D12-IF(Skills!E12=TRUE,Inputs!$B$31,0))))+1),0)</f>
        <v/>
      </c>
      <c r="S382">
        <f>IFERROR(O382/N382,0)</f>
        <v/>
      </c>
    </row>
    <row r="383">
      <c r="A383">
        <f>Skills!A13</f>
        <v/>
      </c>
      <c r="B383">
        <f>Skills!B13</f>
        <v/>
      </c>
      <c r="C383">
        <f>Inputs!$B$3&gt;=105</f>
        <v/>
      </c>
      <c r="D383">
        <f>IF(Skills!C13=1,60+Inputs!$B$24+Inputs!$B$28,IF(Skills!C13=2,90+Inputs!$B$25+Inputs!$B$28,IF(Skills!C13=3,120+Inputs!$B$26+Inputs!$B$28,MAX(0,(Inputs!$B$3-100)*3)+Inputs!$B$27+Inputs!$B$28)))</f>
        <v/>
      </c>
      <c r="E383">
        <f>INDEX(FactorTable!$B$2:$Y$301, MATCH(ROUND(MIN(300,MAX(1,D383)),0), FactorTable!$A$2:$A$301,0), Skills!M13+1)</f>
        <v/>
      </c>
      <c r="F383">
        <f>IF(Skills!N13=TRUE,(Skills!L13/10)*(E383/1000),Skills!L13/10)+Skills!O13</f>
        <v/>
      </c>
      <c r="G383">
        <f>Skills!G13*IF(Skills!H13&gt;0,Skills!I13/Skills!H13,1)</f>
        <v/>
      </c>
      <c r="H383">
        <f>1-(1-Skills!J13/100)^Skills!K13</f>
        <v/>
      </c>
      <c r="I383" t="inlineStr">
        <is>
          <t>1</t>
        </is>
      </c>
      <c r="J383">
        <f>(Inputs!$B$5*(1+Inputs!$B$6/100))*(F383/100)</f>
        <v/>
      </c>
      <c r="K383">
        <f>J383*(1+((Inputs!$B$11*(1+Inputs!$B$12/100))*0.01+Inputs!$B$13*0.0025)/100)*(1+Inputs!$B$14/100)*(1+IF(Inputs!$B$4="pvp",0,(1-Summary!$B$55)*(Inputs!$B$19+0+Skills!P13+B404)+Summary!$B$55*(Inputs!$B$20+Skills!Q13+B404))/100)*(1+Inputs!$B$15/100)*(5000/(6000+Inputs!$B$7*(1-Inputs!$B$18/100)))*(1+(((((1+Inputs!$B$23/100)*(1.01))-1)*100)+((C400=TRUE)*(F400-Calc!F30)))/100)*(1+(IF(Skills!A13="CRUEL_STAB",Inputs!$B$16+((C397=TRUE)*(F397-Calc!F27)),Inputs!$B$17+((C398=TRUE)*(F398-Calc!F28))))/100)*(((1+(((C391=TRUE)*F391*IF(AND(Inputs!$B$4&lt;&gt;"pvp",Inputs!$B$35&gt;0),(((S391-1)*(Skills!Y21*(1+Inputs!$B$33/100))+MIN((Skills!Y21*(1+Inputs!$B$33/100)),MAX(0,Inputs!$B$35-((S391-1)*Skills!D21))))/Inputs!$B$35),IF(Inputs!$B$4="pvp",MIN((Skills!Y21*(1+Inputs!$B$33/100)),15)/15,(Skills!Y21*(1+Inputs!$B$33/100))/Skills!D21)))+((C393=TRUE)*(F393-Calc!F23))+((C387=TRUE)*(F387-Calc!F17)))/100)*(1+((C380=TRUE)*F380*IF(AND(Inputs!$B$4&lt;&gt;"pvp",Inputs!$B$35&gt;0),(((S380-1)*(Skills!Y10*(1+Inputs!$B$33/100))+MIN((Skills!Y10*(1+Inputs!$B$33/100)),MAX(0,Inputs!$B$35-((S380-1)*Skills!D10))))/Inputs!$B$35),IF(Inputs!$B$4="pvp",MIN((Skills!Y10*(1+Inputs!$B$33/100)),15)/15,(Skills!Y10*(1+Inputs!$B$33/100))/Skills!D10)))/100)*(1+((C385=TRUE)*F385*IF(AND(Inputs!$B$4&lt;&gt;"pvp",Inputs!$B$35&gt;0),(((S385-1)*(Skills!Y15*(1+Inputs!$B$33/100))+MIN((Skills!Y15*(1+Inputs!$B$33/100)),MAX(0,Inputs!$B$35-((S385-1)*Skills!D15))))/Inputs!$B$35),IF(Inputs!$B$4="pvp",MIN((Skills!Y15*(1+Inputs!$B$33/100)),15)/15,(Skills!Y15*(1+Inputs!$B$33/100))/Skills!D15)))/100))*B405*I383)</f>
        <v/>
      </c>
      <c r="L383">
        <f>K383*(MIN(Inputs!$B$21+((C394=TRUE)*(F394-Calc!F24)),Inputs!$B$22+((C399=TRUE)*(F399-Calc!F29)))/100+(Inputs!$B$22+((C399=TRUE)*(F399-Calc!F29)))/100)/2</f>
        <v/>
      </c>
      <c r="M383">
        <f>L383*(1+(Inputs!$B$9+((C396=TRUE)*(F396-Calc!F26))+B410)/100)</f>
        <v/>
      </c>
      <c r="N383">
        <f>L383*(1-MIN((Inputs!$B$8+((C395=TRUE)*(F395-Calc!F25))+B403),100)/100)+M383*(MIN((Inputs!$B$8+((C395=TRUE)*(F395-Calc!F25))+B403),100)/100)</f>
        <v/>
      </c>
      <c r="O383">
        <f>IF(C383,H383*N383*IF(AND(Inputs!$B$4&lt;&gt;"pvp",Inputs!$B$35&gt;0),((Skills!G13*((R383-1)*IF(Skills!H13&gt;0,Skills!I13/Skills!H13,1)+IF(Skills!H13&gt;0,MIN(Skills!I13,MAX(0,Inputs!$B$35-((R383-1)*IF(Inputs!$B$4="pvp",15,MAX(0.1,Skills!D13-IF(Skills!E13=TRUE,Inputs!$B$31,0))))))/Skills!H13,1)))/Inputs!$B$35),G383*Q383)*IF(Inputs!$B$4="pvp",1,(1-Summary!$B$55)*(1)+Summary!$B$55*(MIN(Skills!W13,Inputs!$B$37))),0)</f>
        <v/>
      </c>
      <c r="P383">
        <f>IF(B415=0,0,O383/B415)</f>
        <v/>
      </c>
      <c r="Q383">
        <f>IFERROR(1/IF(Inputs!$B$4="pvp",15,MAX(0.1,Skills!D13-IF(Skills!E13=TRUE,Inputs!$B$31,0))),0)</f>
        <v/>
      </c>
      <c r="R383">
        <f>IF(AND(Inputs!$B$4&lt;&gt;"pvp",Inputs!$B$35&gt;0),(INT(Inputs!$B$35/IF(Inputs!$B$4="pvp",15,MAX(0.1,Skills!D13-IF(Skills!E13=TRUE,Inputs!$B$31,0))))+1),0)</f>
        <v/>
      </c>
      <c r="S383">
        <f>IFERROR(O383/N383,0)</f>
        <v/>
      </c>
    </row>
    <row r="384">
      <c r="A384">
        <f>Skills!A14</f>
        <v/>
      </c>
      <c r="B384">
        <f>Skills!B14</f>
        <v/>
      </c>
      <c r="C384">
        <f>Inputs!$B$3&gt;=107</f>
        <v/>
      </c>
      <c r="D384">
        <f>IF(Skills!C14=1,60+Inputs!$B$24+Inputs!$B$28,IF(Skills!C14=2,90+Inputs!$B$25+Inputs!$B$28,IF(Skills!C14=3,120+Inputs!$B$26+Inputs!$B$28,MAX(0,(Inputs!$B$3-100)*3)+Inputs!$B$27+Inputs!$B$28)))</f>
        <v/>
      </c>
      <c r="E384">
        <f>INDEX(FactorTable!$B$2:$Y$301, MATCH(ROUND(MIN(300,MAX(1,D384)),0), FactorTable!$A$2:$A$301,0), Skills!M14+1)</f>
        <v/>
      </c>
      <c r="F384">
        <f>IF(Skills!N14=TRUE,(Skills!L14/10)*(E384/1000),Skills!L14/10)+Skills!O14</f>
        <v/>
      </c>
      <c r="G384">
        <f>Skills!G14*IF(Skills!H14&gt;0,Skills!I14/Skills!H14,1)</f>
        <v/>
      </c>
      <c r="H384">
        <f>1-(1-Skills!J14/100)^Skills!K14</f>
        <v/>
      </c>
      <c r="I384" t="inlineStr">
        <is>
          <t>1</t>
        </is>
      </c>
      <c r="J384">
        <f>(Inputs!$B$5*(1+Inputs!$B$6/100))*(F384/100)</f>
        <v/>
      </c>
      <c r="K384">
        <f>J384*(1+((Inputs!$B$11*(1+Inputs!$B$12/100))*0.01+Inputs!$B$13*0.0025)/100)*(1+Inputs!$B$14/100)*(1+IF(Inputs!$B$4="pvp",0,(1-Summary!$B$55)*(Inputs!$B$19+0+Skills!P14+B404)+Summary!$B$55*(Inputs!$B$20+Skills!Q14+B404))/100)*(1+Inputs!$B$15/100)*(5000/(6000+Inputs!$B$7*(1-Inputs!$B$18/100)))*(1+(((((1+Inputs!$B$23/100)*(1.01))-1)*100)+((C400=TRUE)*(F400-Calc!F30)))/100)*(1+(IF(Skills!A14="CRUEL_STAB",Inputs!$B$16+((C397=TRUE)*(F397-Calc!F27)),Inputs!$B$17+((C398=TRUE)*(F398-Calc!F28))))/100)*(((1+(((C391=TRUE)*F391*IF(AND(Inputs!$B$4&lt;&gt;"pvp",Inputs!$B$35&gt;0),(((S391-1)*(Skills!Y21*(1+Inputs!$B$33/100))+MIN((Skills!Y21*(1+Inputs!$B$33/100)),MAX(0,Inputs!$B$35-((S391-1)*Skills!D21))))/Inputs!$B$35),IF(Inputs!$B$4="pvp",MIN((Skills!Y21*(1+Inputs!$B$33/100)),15)/15,(Skills!Y21*(1+Inputs!$B$33/100))/Skills!D21)))+((C393=TRUE)*(F393-Calc!F23))+((C387=TRUE)*(F387-Calc!F17)))/100)*(1+((C380=TRUE)*F380*IF(AND(Inputs!$B$4&lt;&gt;"pvp",Inputs!$B$35&gt;0),(((S380-1)*(Skills!Y10*(1+Inputs!$B$33/100))+MIN((Skills!Y10*(1+Inputs!$B$33/100)),MAX(0,Inputs!$B$35-((S380-1)*Skills!D10))))/Inputs!$B$35),IF(Inputs!$B$4="pvp",MIN((Skills!Y10*(1+Inputs!$B$33/100)),15)/15,(Skills!Y10*(1+Inputs!$B$33/100))/Skills!D10)))/100)*(1+((C385=TRUE)*F385*IF(AND(Inputs!$B$4&lt;&gt;"pvp",Inputs!$B$35&gt;0),(((S385-1)*(Skills!Y15*(1+Inputs!$B$33/100))+MIN((Skills!Y15*(1+Inputs!$B$33/100)),MAX(0,Inputs!$B$35-((S385-1)*Skills!D15))))/Inputs!$B$35),IF(Inputs!$B$4="pvp",MIN((Skills!Y15*(1+Inputs!$B$33/100)),15)/15,(Skills!Y15*(1+Inputs!$B$33/100))/Skills!D15)))/100))*B405*I384)</f>
        <v/>
      </c>
      <c r="L384">
        <f>K384*(MIN(Inputs!$B$21+((C394=TRUE)*(F394-Calc!F24)),Inputs!$B$22+((C399=TRUE)*(F399-Calc!F29)))/100+(Inputs!$B$22+((C399=TRUE)*(F399-Calc!F29)))/100)/2</f>
        <v/>
      </c>
      <c r="M384">
        <f>L384*(1+(Inputs!$B$9+((C396=TRUE)*(F396-Calc!F26))+B410)/100)</f>
        <v/>
      </c>
      <c r="N384">
        <f>L384*(1-MIN((Inputs!$B$8+((C395=TRUE)*(F395-Calc!F25))+B403),100)/100)+M384*(MIN((Inputs!$B$8+((C395=TRUE)*(F395-Calc!F25))+B403),100)/100)</f>
        <v/>
      </c>
      <c r="O384">
        <f>IF(C384,H384*N384*IF(AND(Inputs!$B$4&lt;&gt;"pvp",Inputs!$B$35&gt;0),((Skills!G14*((R384-1)*IF(Skills!H14&gt;0,Skills!I14/Skills!H14,1)+IF(Skills!H14&gt;0,MIN(Skills!I14,MAX(0,Inputs!$B$35-((R384-1)*IF(Inputs!$B$4="pvp",15,MAX(0.1,Skills!D14-IF(Skills!E14=TRUE,Inputs!$B$31,0))))))/Skills!H14,1)))/Inputs!$B$35),G384*Q384)*IF(Inputs!$B$4="pvp",1,(1-Summary!$B$55)*(1)+Summary!$B$55*(MIN(MIN(5,0.25*B407*Skills!D4)*Skills!V14,Inputs!$B$37))),0)</f>
        <v/>
      </c>
      <c r="P384">
        <f>IF(B415=0,0,O384/B415)</f>
        <v/>
      </c>
      <c r="Q384">
        <f>IFERROR(1/IF(Inputs!$B$4="pvp",15,MAX(0.1,Skills!D14-IF(Skills!E14=TRUE,Inputs!$B$31,0))),0)</f>
        <v/>
      </c>
      <c r="R384">
        <f>IF(AND(Inputs!$B$4&lt;&gt;"pvp",Inputs!$B$35&gt;0),(INT(Inputs!$B$35/IF(Inputs!$B$4="pvp",15,MAX(0.1,Skills!D14-IF(Skills!E14=TRUE,Inputs!$B$31,0))))+1),0)</f>
        <v/>
      </c>
      <c r="S384">
        <f>IFERROR(O384/N384,0)</f>
        <v/>
      </c>
    </row>
    <row r="385">
      <c r="A385">
        <f>Skills!A15</f>
        <v/>
      </c>
      <c r="B385">
        <f>Skills!B15</f>
        <v/>
      </c>
      <c r="C385">
        <f>Inputs!$B$3&gt;=110</f>
        <v/>
      </c>
      <c r="D385">
        <f>IF(Skills!C15=1,60+Inputs!$B$24+Inputs!$B$28,IF(Skills!C15=2,90+Inputs!$B$25+Inputs!$B$28,IF(Skills!C15=3,120+Inputs!$B$26+Inputs!$B$28,MAX(0,(Inputs!$B$3-100)*3)+Inputs!$B$27+Inputs!$B$28)))</f>
        <v/>
      </c>
      <c r="E385">
        <f>INDEX(FactorTable!$B$2:$Y$301, MATCH(ROUND(MIN(300,MAX(1,D385)),0), FactorTable!$A$2:$A$301,0), Skills!M15+1)</f>
        <v/>
      </c>
      <c r="F385">
        <f>IF(Skills!N15=TRUE,(Skills!L15/10)*(E385/1000),Skills!L15/10)+Skills!O15</f>
        <v/>
      </c>
      <c r="G385">
        <f>Skills!G15*IF(Skills!H15&gt;0,Skills!I15/Skills!H15,1)</f>
        <v/>
      </c>
      <c r="H385">
        <f>1-(1-Skills!J15/100)^Skills!K15</f>
        <v/>
      </c>
      <c r="I385" t="inlineStr">
        <is>
          <t>1</t>
        </is>
      </c>
      <c r="J385" t="inlineStr"/>
      <c r="K385" t="inlineStr"/>
      <c r="L385" t="inlineStr"/>
      <c r="M385" t="inlineStr"/>
      <c r="N385" t="inlineStr"/>
      <c r="O385" t="n">
        <v>0</v>
      </c>
      <c r="P385">
        <f>IF(B415=0,0,O385/B415)</f>
        <v/>
      </c>
      <c r="Q385">
        <f>IFERROR(1/IF(Inputs!$B$4="pvp",15,MAX(0.1,Skills!D15-IF(Skills!E15=TRUE,Inputs!$B$31,0))),0)</f>
        <v/>
      </c>
      <c r="R385">
        <f>IF(AND(Inputs!$B$4&lt;&gt;"pvp",Inputs!$B$35&gt;0),(INT(Inputs!$B$35/IF(Inputs!$B$4="pvp",15,MAX(0.1,Skills!D15-IF(Skills!E15=TRUE,Inputs!$B$31,0))))+1),0)</f>
        <v/>
      </c>
      <c r="S385">
        <f>IFERROR(O385/N385,0)</f>
        <v/>
      </c>
    </row>
    <row r="386">
      <c r="A386">
        <f>Skills!A16</f>
        <v/>
      </c>
      <c r="B386">
        <f>Skills!B16</f>
        <v/>
      </c>
      <c r="C386">
        <f>Inputs!$B$3&gt;=115</f>
        <v/>
      </c>
      <c r="D386">
        <f>IF(Skills!C16=1,60+Inputs!$B$24+Inputs!$B$28,IF(Skills!C16=2,90+Inputs!$B$25+Inputs!$B$28,IF(Skills!C16=3,120+Inputs!$B$26+Inputs!$B$28,MAX(0,(Inputs!$B$3-100)*3)+Inputs!$B$27+Inputs!$B$28)))</f>
        <v/>
      </c>
      <c r="E386">
        <f>INDEX(FactorTable!$B$2:$Y$301, MATCH(ROUND(MIN(300,MAX(1,D386)),0), FactorTable!$A$2:$A$301,0), Skills!M16+1)</f>
        <v/>
      </c>
      <c r="F386">
        <f>IF(Skills!N16=TRUE,(Skills!L16/10)*(E386/1000),Skills!L16/10)+Skills!O16</f>
        <v/>
      </c>
      <c r="G386">
        <f>Skills!G16*IF(Skills!H16&gt;0,Skills!I16/Skills!H16,1)</f>
        <v/>
      </c>
      <c r="H386">
        <f>1-(1-Skills!J16/100)^Skills!K16</f>
        <v/>
      </c>
      <c r="I386" t="inlineStr">
        <is>
          <t>1</t>
        </is>
      </c>
      <c r="J386">
        <f>(Inputs!$B$5*(1+Inputs!$B$6/100))*(F386/100)</f>
        <v/>
      </c>
      <c r="K386">
        <f>J386*(1+((Inputs!$B$11*(1+Inputs!$B$12/100))*0.01+Inputs!$B$13*0.0025)/100)*(1+Inputs!$B$14/100)*(1+IF(Inputs!$B$4="pvp",0,(1-Summary!$B$55)*(Inputs!$B$19+0+Skills!P16+B404)+Summary!$B$55*(Inputs!$B$20+Skills!Q16+B404))/100)*(1+Inputs!$B$15/100)*(5000/(6000+Inputs!$B$7*(1-Inputs!$B$18/100)))*(1+(((((1+Inputs!$B$23/100)*(1.01))-1)*100)+((C400=TRUE)*(F400-Calc!F30)))/100)*(1+(IF(Skills!A16="CRUEL_STAB",Inputs!$B$16+((C397=TRUE)*(F397-Calc!F27)),Inputs!$B$17+((C398=TRUE)*(F398-Calc!F28))))/100)*(((1+(((C391=TRUE)*F391*IF(AND(Inputs!$B$4&lt;&gt;"pvp",Inputs!$B$35&gt;0),(((S391-1)*(Skills!Y21*(1+Inputs!$B$33/100))+MIN((Skills!Y21*(1+Inputs!$B$33/100)),MAX(0,Inputs!$B$35-((S391-1)*Skills!D21))))/Inputs!$B$35),IF(Inputs!$B$4="pvp",MIN((Skills!Y21*(1+Inputs!$B$33/100)),15)/15,(Skills!Y21*(1+Inputs!$B$33/100))/Skills!D21)))+((C393=TRUE)*(F393-Calc!F23))+((C387=TRUE)*(F387-Calc!F17)))/100)*(1+((C380=TRUE)*F380*IF(AND(Inputs!$B$4&lt;&gt;"pvp",Inputs!$B$35&gt;0),(((S380-1)*(Skills!Y10*(1+Inputs!$B$33/100))+MIN((Skills!Y10*(1+Inputs!$B$33/100)),MAX(0,Inputs!$B$35-((S380-1)*Skills!D10))))/Inputs!$B$35),IF(Inputs!$B$4="pvp",MIN((Skills!Y10*(1+Inputs!$B$33/100)),15)/15,(Skills!Y10*(1+Inputs!$B$33/100))/Skills!D10)))/100)*(1+((C385=TRUE)*F385*IF(AND(Inputs!$B$4&lt;&gt;"pvp",Inputs!$B$35&gt;0),(((S385-1)*(Skills!Y15*(1+Inputs!$B$33/100))+MIN((Skills!Y15*(1+Inputs!$B$33/100)),MAX(0,Inputs!$B$35-((S385-1)*Skills!D15))))/Inputs!$B$35),IF(Inputs!$B$4="pvp",MIN((Skills!Y15*(1+Inputs!$B$33/100)),15)/15,(Skills!Y15*(1+Inputs!$B$33/100))/Skills!D15)))/100))*B405*I386)</f>
        <v/>
      </c>
      <c r="L386">
        <f>K386*(MIN(Inputs!$B$21+((C394=TRUE)*(F394-Calc!F24)),Inputs!$B$22+((C399=TRUE)*(F399-Calc!F29)))/100+(Inputs!$B$22+((C399=TRUE)*(F399-Calc!F29)))/100)/2</f>
        <v/>
      </c>
      <c r="M386">
        <f>L386*(1+(Inputs!$B$9+((C396=TRUE)*(F396-Calc!F26))+B410)/100)</f>
        <v/>
      </c>
      <c r="N386">
        <f>L386*(1-MIN((Inputs!$B$8+((C395=TRUE)*(F395-Calc!F25))+B403),100)/100)+M386*(MIN((Inputs!$B$8+((C395=TRUE)*(F395-Calc!F25))+B403),100)/100)</f>
        <v/>
      </c>
      <c r="O386">
        <f>IF(C386,Inputs!$B$38*0.2*N386,0)</f>
        <v/>
      </c>
      <c r="P386">
        <f>IF(B415=0,0,O386/B415)</f>
        <v/>
      </c>
      <c r="Q386" t="n">
        <v>0</v>
      </c>
      <c r="R386" t="n">
        <v>0</v>
      </c>
      <c r="S386">
        <f>IFERROR(O386/N386,0)</f>
        <v/>
      </c>
    </row>
    <row r="387">
      <c r="A387">
        <f>Skills!A17</f>
        <v/>
      </c>
      <c r="B387">
        <f>Skills!B17</f>
        <v/>
      </c>
      <c r="C387">
        <f>Inputs!$B$3&gt;=115</f>
        <v/>
      </c>
      <c r="D387">
        <f>IF(Skills!C17=1,60+Inputs!$B$24+Inputs!$B$28,IF(Skills!C17=2,90+Inputs!$B$25+Inputs!$B$28,IF(Skills!C17=3,120+Inputs!$B$26+Inputs!$B$28,MAX(0,(Inputs!$B$3-100)*3)+Inputs!$B$27+Inputs!$B$28)))</f>
        <v/>
      </c>
      <c r="E387">
        <f>INDEX(FactorTable!$B$2:$Y$301, MATCH(ROUND(MIN(300,MAX(1,D387)),0), FactorTable!$A$2:$A$301,0), Skills!M17+1)</f>
        <v/>
      </c>
      <c r="F387">
        <f>IF(Skills!N17=TRUE,(Skills!L17/10)*(E387/1000),Skills!L17/10)+Skills!O17</f>
        <v/>
      </c>
      <c r="G387">
        <f>Skills!G17*IF(Skills!H17&gt;0,Skills!I17/Skills!H17,1)</f>
        <v/>
      </c>
      <c r="H387">
        <f>1-(1-Skills!J17/100)^Skills!K17</f>
        <v/>
      </c>
      <c r="I387" t="inlineStr">
        <is>
          <t>1</t>
        </is>
      </c>
      <c r="J387" t="inlineStr"/>
      <c r="K387" t="inlineStr"/>
      <c r="L387" t="inlineStr"/>
      <c r="M387" t="inlineStr"/>
      <c r="N387" t="inlineStr"/>
      <c r="O387" t="n">
        <v>0</v>
      </c>
      <c r="P387">
        <f>IF(B415=0,0,O387/B415)</f>
        <v/>
      </c>
      <c r="Q387" t="n">
        <v>0</v>
      </c>
      <c r="R387" t="n">
        <v>0</v>
      </c>
      <c r="S387">
        <f>IFERROR(O387/N387,0)</f>
        <v/>
      </c>
    </row>
    <row r="388">
      <c r="A388">
        <f>Skills!A18</f>
        <v/>
      </c>
      <c r="B388">
        <f>Skills!B18</f>
        <v/>
      </c>
      <c r="C388">
        <f>Inputs!$B$3&gt;=100</f>
        <v/>
      </c>
      <c r="D388">
        <f>IF(Skills!C18=1,60+Inputs!$B$24+Inputs!$B$28,IF(Skills!C18=2,90+Inputs!$B$25+Inputs!$B$28,IF(Skills!C18=3,120+Inputs!$B$26+Inputs!$B$28,MAX(0,(Inputs!$B$3-100)*3)+Inputs!$B$27+Inputs!$B$28)))</f>
        <v/>
      </c>
      <c r="E388">
        <f>INDEX(FactorTable!$B$2:$Y$301, MATCH(ROUND(MIN(300,MAX(1,D388)),0), FactorTable!$A$2:$A$301,0), Skills!M18+1)</f>
        <v/>
      </c>
      <c r="F388">
        <f>IF(Skills!N18=TRUE,(Skills!L18/10)*(E388/1000),Skills!L18/10)+Skills!O18</f>
        <v/>
      </c>
      <c r="G388">
        <f>Skills!G18*IF(Skills!H18&gt;0,Skills!I18/Skills!H18,1)</f>
        <v/>
      </c>
      <c r="H388">
        <f>1-(1-Skills!J18/100)^Skills!K18</f>
        <v/>
      </c>
      <c r="I388" t="inlineStr">
        <is>
          <t>1</t>
        </is>
      </c>
      <c r="J388" t="inlineStr"/>
      <c r="K388" t="inlineStr"/>
      <c r="L388" t="inlineStr"/>
      <c r="M388" t="inlineStr"/>
      <c r="N388" t="inlineStr"/>
      <c r="O388" t="n">
        <v>0</v>
      </c>
      <c r="P388">
        <f>IF(B415=0,0,O388/B415)</f>
        <v/>
      </c>
      <c r="Q388" t="n">
        <v>0</v>
      </c>
      <c r="R388" t="n">
        <v>0</v>
      </c>
      <c r="S388">
        <f>IFERROR(O388/N388,0)</f>
        <v/>
      </c>
    </row>
    <row r="389">
      <c r="A389">
        <f>Skills!A19</f>
        <v/>
      </c>
      <c r="B389">
        <f>Skills!B19</f>
        <v/>
      </c>
      <c r="C389">
        <f>TRUE</f>
        <v/>
      </c>
      <c r="D389">
        <f>IF(Skills!C19=1,60+Inputs!$B$24+Inputs!$B$28,IF(Skills!C19=2,90+Inputs!$B$25+Inputs!$B$28,IF(Skills!C19=3,120+Inputs!$B$26+Inputs!$B$28,MAX(0,(Inputs!$B$3-100)*3)+Inputs!$B$27+Inputs!$B$28)))</f>
        <v/>
      </c>
      <c r="E389">
        <f>INDEX(FactorTable!$B$2:$Y$301, MATCH(ROUND(MIN(300,MAX(1,D389)),0), FactorTable!$A$2:$A$301,0), Skills!M19+1)</f>
        <v/>
      </c>
      <c r="F389">
        <f>IF(Skills!N19=TRUE,(Skills!L19/10)*(E389/1000),Skills!L19/10)+Skills!O19</f>
        <v/>
      </c>
      <c r="G389">
        <f>Skills!G19*IF(Skills!H19&gt;0,Skills!I19/Skills!H19,1)</f>
        <v/>
      </c>
      <c r="H389">
        <f>1-(1-Skills!J19/100)^Skills!K19</f>
        <v/>
      </c>
      <c r="I389" t="inlineStr">
        <is>
          <t>1</t>
        </is>
      </c>
      <c r="J389" t="inlineStr"/>
      <c r="K389" t="inlineStr"/>
      <c r="L389" t="inlineStr"/>
      <c r="M389" t="inlineStr"/>
      <c r="N389" t="inlineStr"/>
      <c r="O389" t="n">
        <v>0</v>
      </c>
      <c r="P389">
        <f>IF(B415=0,0,O389/B415)</f>
        <v/>
      </c>
      <c r="Q389">
        <f>IFERROR(1/IF(Inputs!$B$4="pvp",15,MAX(0.1,Skills!D19-IF(Skills!E19=TRUE,Inputs!$B$31,0))),0)</f>
        <v/>
      </c>
      <c r="R389">
        <f>IF(AND(Inputs!$B$4&lt;&gt;"pvp",Inputs!$B$35&gt;0),(INT(Inputs!$B$35/IF(Inputs!$B$4="pvp",15,MAX(0.1,Skills!D19-IF(Skills!E19=TRUE,Inputs!$B$31,0))))+1),0)</f>
        <v/>
      </c>
      <c r="S389">
        <f>IFERROR(O389/N389,0)</f>
        <v/>
      </c>
    </row>
    <row r="390">
      <c r="A390">
        <f>Skills!A20</f>
        <v/>
      </c>
      <c r="B390">
        <f>Skills!B20</f>
        <v/>
      </c>
      <c r="C390">
        <f>Inputs!$B$3&gt;=15</f>
        <v/>
      </c>
      <c r="D390">
        <f>IF(Skills!C20=1,60+Inputs!$B$24+Inputs!$B$28,IF(Skills!C20=2,90+Inputs!$B$25+Inputs!$B$28,IF(Skills!C20=3,120+Inputs!$B$26+Inputs!$B$28,MAX(0,(Inputs!$B$3-100)*3)+Inputs!$B$27+Inputs!$B$28)))</f>
        <v/>
      </c>
      <c r="E390">
        <f>INDEX(FactorTable!$B$2:$Y$301, MATCH(ROUND(MIN(300,MAX(1,D390)),0), FactorTable!$A$2:$A$301,0), Skills!M20+1)</f>
        <v/>
      </c>
      <c r="F390">
        <f>IF(Skills!N20=TRUE,(Skills!L20/10)*(E390/1000),Skills!L20/10)+Skills!O20</f>
        <v/>
      </c>
      <c r="G390">
        <f>Skills!G20*IF(Skills!H20&gt;0,Skills!I20/Skills!H20,1)</f>
        <v/>
      </c>
      <c r="H390">
        <f>1-(1-Skills!J20/100)^Skills!K20</f>
        <v/>
      </c>
      <c r="I390" t="inlineStr">
        <is>
          <t>1</t>
        </is>
      </c>
      <c r="J390" t="inlineStr"/>
      <c r="K390" t="inlineStr"/>
      <c r="L390" t="inlineStr"/>
      <c r="M390" t="inlineStr"/>
      <c r="N390" t="inlineStr"/>
      <c r="O390" t="n">
        <v>0</v>
      </c>
      <c r="P390">
        <f>IF(B415=0,0,O390/B415)</f>
        <v/>
      </c>
      <c r="Q390">
        <f>IFERROR(1/IF(Inputs!$B$4="pvp",15,MAX(0.1,Skills!D20-IF(Skills!E20=TRUE,Inputs!$B$31,0))),0)</f>
        <v/>
      </c>
      <c r="R390">
        <f>IF(AND(Inputs!$B$4&lt;&gt;"pvp",Inputs!$B$35&gt;0),(INT(Inputs!$B$35/IF(Inputs!$B$4="pvp",15,MAX(0.1,Skills!D20-IF(Skills!E20=TRUE,Inputs!$B$31,0))))+1),0)</f>
        <v/>
      </c>
      <c r="S390">
        <f>IFERROR(O390/N390,0)</f>
        <v/>
      </c>
    </row>
    <row r="391">
      <c r="A391">
        <f>Skills!A21</f>
        <v/>
      </c>
      <c r="B391">
        <f>Skills!B21</f>
        <v/>
      </c>
      <c r="C391">
        <f>Inputs!$B$3&gt;=15</f>
        <v/>
      </c>
      <c r="D391">
        <f>IF(Skills!C21=1,60+Inputs!$B$24+Inputs!$B$28,IF(Skills!C21=2,90+Inputs!$B$25+Inputs!$B$28,IF(Skills!C21=3,120+Inputs!$B$26+Inputs!$B$28,MAX(0,(Inputs!$B$3-100)*3)+Inputs!$B$27+Inputs!$B$28)))</f>
        <v/>
      </c>
      <c r="E391">
        <f>INDEX(FactorTable!$B$2:$Y$301, MATCH(ROUND(MIN(300,MAX(1,D391)),0), FactorTable!$A$2:$A$301,0), Skills!M21+1)</f>
        <v/>
      </c>
      <c r="F391">
        <f>IF(Skills!N21=TRUE,(Skills!L21/10)*(E391/1000),Skills!L21/10)+Skills!O21</f>
        <v/>
      </c>
      <c r="G391">
        <f>Skills!G21*IF(Skills!H21&gt;0,Skills!I21/Skills!H21,1)</f>
        <v/>
      </c>
      <c r="H391">
        <f>1-(1-Skills!J21/100)^Skills!K21</f>
        <v/>
      </c>
      <c r="I391" t="inlineStr">
        <is>
          <t>1</t>
        </is>
      </c>
      <c r="J391" t="inlineStr"/>
      <c r="K391" t="inlineStr"/>
      <c r="L391" t="inlineStr"/>
      <c r="M391" t="inlineStr"/>
      <c r="N391" t="inlineStr"/>
      <c r="O391" t="n">
        <v>0</v>
      </c>
      <c r="P391">
        <f>IF(B415=0,0,O391/B415)</f>
        <v/>
      </c>
      <c r="Q391">
        <f>IFERROR(1/IF(Inputs!$B$4="pvp",15,MAX(0.1,Skills!D21-IF(Skills!E21=TRUE,Inputs!$B$31,0))),0)</f>
        <v/>
      </c>
      <c r="R391">
        <f>IF(AND(Inputs!$B$4&lt;&gt;"pvp",Inputs!$B$35&gt;0),(INT(Inputs!$B$35/IF(Inputs!$B$4="pvp",15,MAX(0.1,Skills!D21-IF(Skills!E21=TRUE,Inputs!$B$31,0))))+1),0)</f>
        <v/>
      </c>
      <c r="S391">
        <f>IFERROR(O391/N391,0)</f>
        <v/>
      </c>
    </row>
    <row r="392">
      <c r="A392">
        <f>Skills!A22</f>
        <v/>
      </c>
      <c r="B392">
        <f>Skills!B22</f>
        <v/>
      </c>
      <c r="C392">
        <f>Inputs!$B$3&gt;=33</f>
        <v/>
      </c>
      <c r="D392">
        <f>IF(Skills!C22=1,60+Inputs!$B$24+Inputs!$B$28,IF(Skills!C22=2,90+Inputs!$B$25+Inputs!$B$28,IF(Skills!C22=3,120+Inputs!$B$26+Inputs!$B$28,MAX(0,(Inputs!$B$3-100)*3)+Inputs!$B$27+Inputs!$B$28)))</f>
        <v/>
      </c>
      <c r="E392">
        <f>INDEX(FactorTable!$B$2:$Y$301, MATCH(ROUND(MIN(300,MAX(1,D392)),0), FactorTable!$A$2:$A$301,0), Skills!M22+1)</f>
        <v/>
      </c>
      <c r="F392">
        <f>IF(Skills!N22=TRUE,(Skills!L22/10)*(E392/1000),Skills!L22/10)+Skills!O22</f>
        <v/>
      </c>
      <c r="G392">
        <f>Skills!G22*IF(Skills!H22&gt;0,Skills!I22/Skills!H22,1)</f>
        <v/>
      </c>
      <c r="H392">
        <f>1-(1-Skills!J22/100)^Skills!K22</f>
        <v/>
      </c>
      <c r="I392" t="inlineStr">
        <is>
          <t>1</t>
        </is>
      </c>
      <c r="J392" t="inlineStr"/>
      <c r="K392" t="inlineStr"/>
      <c r="L392" t="inlineStr"/>
      <c r="M392" t="inlineStr"/>
      <c r="N392" t="inlineStr"/>
      <c r="O392" t="n">
        <v>0</v>
      </c>
      <c r="P392">
        <f>IF(B415=0,0,O392/B415)</f>
        <v/>
      </c>
      <c r="Q392" t="n">
        <v>0</v>
      </c>
      <c r="R392" t="n">
        <v>0</v>
      </c>
      <c r="S392">
        <f>IFERROR(O392/N392,0)</f>
        <v/>
      </c>
    </row>
    <row r="393">
      <c r="A393">
        <f>Skills!A23</f>
        <v/>
      </c>
      <c r="B393">
        <f>Skills!B23</f>
        <v/>
      </c>
      <c r="C393">
        <f>Inputs!$B$3&gt;=40</f>
        <v/>
      </c>
      <c r="D393">
        <f>IF(Skills!C23=1,60+Inputs!$B$24+Inputs!$B$28,IF(Skills!C23=2,90+Inputs!$B$25+Inputs!$B$28,IF(Skills!C23=3,120+Inputs!$B$26+Inputs!$B$28,MAX(0,(Inputs!$B$3-100)*3)+Inputs!$B$27+Inputs!$B$28)))</f>
        <v/>
      </c>
      <c r="E393">
        <f>INDEX(FactorTable!$B$2:$Y$301, MATCH(ROUND(MIN(300,MAX(1,D393)),0), FactorTable!$A$2:$A$301,0), Skills!M23+1)</f>
        <v/>
      </c>
      <c r="F393">
        <f>IF(Skills!N23=TRUE,(Skills!L23/10)*(E393/1000),Skills!L23/10)+Skills!O23</f>
        <v/>
      </c>
      <c r="G393">
        <f>Skills!G23*IF(Skills!H23&gt;0,Skills!I23/Skills!H23,1)</f>
        <v/>
      </c>
      <c r="H393">
        <f>1-(1-Skills!J23/100)^Skills!K23</f>
        <v/>
      </c>
      <c r="I393" t="inlineStr">
        <is>
          <t>1</t>
        </is>
      </c>
      <c r="J393" t="inlineStr"/>
      <c r="K393" t="inlineStr"/>
      <c r="L393" t="inlineStr"/>
      <c r="M393" t="inlineStr"/>
      <c r="N393" t="inlineStr"/>
      <c r="O393" t="n">
        <v>0</v>
      </c>
      <c r="P393">
        <f>IF(B415=0,0,O393/B415)</f>
        <v/>
      </c>
      <c r="Q393" t="n">
        <v>0</v>
      </c>
      <c r="R393" t="n">
        <v>0</v>
      </c>
      <c r="S393">
        <f>IFERROR(O393/N393,0)</f>
        <v/>
      </c>
    </row>
    <row r="394">
      <c r="A394">
        <f>Skills!A24</f>
        <v/>
      </c>
      <c r="B394">
        <f>Skills!B24</f>
        <v/>
      </c>
      <c r="C394">
        <f>Inputs!$B$3&gt;=43</f>
        <v/>
      </c>
      <c r="D394">
        <f>IF(Skills!C24=1,60+Inputs!$B$24+Inputs!$B$28,IF(Skills!C24=2,90+Inputs!$B$25+Inputs!$B$28,IF(Skills!C24=3,120+Inputs!$B$26+Inputs!$B$28,MAX(0,(Inputs!$B$3-100)*3)+Inputs!$B$27+Inputs!$B$28)))</f>
        <v/>
      </c>
      <c r="E394">
        <f>INDEX(FactorTable!$B$2:$Y$301, MATCH(ROUND(MIN(300,MAX(1,D394)),0), FactorTable!$A$2:$A$301,0), Skills!M24+1)</f>
        <v/>
      </c>
      <c r="F394">
        <f>IF(Skills!N24=TRUE,(Skills!L24/10)*(E394/1000),Skills!L24/10)+Skills!O24</f>
        <v/>
      </c>
      <c r="G394">
        <f>Skills!G24*IF(Skills!H24&gt;0,Skills!I24/Skills!H24,1)</f>
        <v/>
      </c>
      <c r="H394">
        <f>1-(1-Skills!J24/100)^Skills!K24</f>
        <v/>
      </c>
      <c r="I394" t="inlineStr">
        <is>
          <t>1</t>
        </is>
      </c>
      <c r="J394" t="inlineStr"/>
      <c r="K394" t="inlineStr"/>
      <c r="L394" t="inlineStr"/>
      <c r="M394" t="inlineStr"/>
      <c r="N394" t="inlineStr"/>
      <c r="O394" t="n">
        <v>0</v>
      </c>
      <c r="P394">
        <f>IF(B415=0,0,O394/B415)</f>
        <v/>
      </c>
      <c r="Q394" t="n">
        <v>0</v>
      </c>
      <c r="R394" t="n">
        <v>0</v>
      </c>
      <c r="S394">
        <f>IFERROR(O394/N394,0)</f>
        <v/>
      </c>
    </row>
    <row r="395">
      <c r="A395">
        <f>Skills!A25</f>
        <v/>
      </c>
      <c r="B395">
        <f>Skills!B25</f>
        <v/>
      </c>
      <c r="C395">
        <f>Inputs!$B$3&gt;=50</f>
        <v/>
      </c>
      <c r="D395">
        <f>IF(Skills!C25=1,60+Inputs!$B$24+Inputs!$B$28,IF(Skills!C25=2,90+Inputs!$B$25+Inputs!$B$28,IF(Skills!C25=3,120+Inputs!$B$26+Inputs!$B$28,MAX(0,(Inputs!$B$3-100)*3)+Inputs!$B$27+Inputs!$B$28)))</f>
        <v/>
      </c>
      <c r="E395">
        <f>INDEX(FactorTable!$B$2:$Y$301, MATCH(ROUND(MIN(300,MAX(1,D395)),0), FactorTable!$A$2:$A$301,0), Skills!M25+1)</f>
        <v/>
      </c>
      <c r="F395">
        <f>IF(Skills!N25=TRUE,(Skills!L25/10)*(E395/1000),Skills!L25/10)+Skills!O25</f>
        <v/>
      </c>
      <c r="G395">
        <f>Skills!G25*IF(Skills!H25&gt;0,Skills!I25/Skills!H25,1)</f>
        <v/>
      </c>
      <c r="H395">
        <f>1-(1-Skills!J25/100)^Skills!K25</f>
        <v/>
      </c>
      <c r="I395" t="inlineStr">
        <is>
          <t>1</t>
        </is>
      </c>
      <c r="J395" t="inlineStr"/>
      <c r="K395" t="inlineStr"/>
      <c r="L395" t="inlineStr"/>
      <c r="M395" t="inlineStr"/>
      <c r="N395" t="inlineStr"/>
      <c r="O395" t="n">
        <v>0</v>
      </c>
      <c r="P395">
        <f>IF(B415=0,0,O395/B415)</f>
        <v/>
      </c>
      <c r="Q395" t="n">
        <v>0</v>
      </c>
      <c r="R395" t="n">
        <v>0</v>
      </c>
      <c r="S395">
        <f>IFERROR(O395/N395,0)</f>
        <v/>
      </c>
    </row>
    <row r="396">
      <c r="A396">
        <f>Skills!A26</f>
        <v/>
      </c>
      <c r="B396">
        <f>Skills!B26</f>
        <v/>
      </c>
      <c r="C396">
        <f>Inputs!$B$3&gt;=50</f>
        <v/>
      </c>
      <c r="D396">
        <f>IF(Skills!C26=1,60+Inputs!$B$24+Inputs!$B$28,IF(Skills!C26=2,90+Inputs!$B$25+Inputs!$B$28,IF(Skills!C26=3,120+Inputs!$B$26+Inputs!$B$28,MAX(0,(Inputs!$B$3-100)*3)+Inputs!$B$27+Inputs!$B$28)))</f>
        <v/>
      </c>
      <c r="E396">
        <f>INDEX(FactorTable!$B$2:$Y$301, MATCH(ROUND(MIN(300,MAX(1,D396)),0), FactorTable!$A$2:$A$301,0), Skills!M26+1)</f>
        <v/>
      </c>
      <c r="F396">
        <f>IF(Skills!N26=TRUE,(Skills!L26/10)*(E396/1000),Skills!L26/10)+Skills!O26</f>
        <v/>
      </c>
      <c r="G396">
        <f>Skills!G26*IF(Skills!H26&gt;0,Skills!I26/Skills!H26,1)</f>
        <v/>
      </c>
      <c r="H396">
        <f>1-(1-Skills!J26/100)^Skills!K26</f>
        <v/>
      </c>
      <c r="I396" t="inlineStr">
        <is>
          <t>1</t>
        </is>
      </c>
      <c r="J396" t="inlineStr"/>
      <c r="K396" t="inlineStr"/>
      <c r="L396" t="inlineStr"/>
      <c r="M396" t="inlineStr"/>
      <c r="N396" t="inlineStr"/>
      <c r="O396" t="n">
        <v>0</v>
      </c>
      <c r="P396">
        <f>IF(B415=0,0,O396/B415)</f>
        <v/>
      </c>
      <c r="Q396" t="n">
        <v>0</v>
      </c>
      <c r="R396" t="n">
        <v>0</v>
      </c>
      <c r="S396">
        <f>IFERROR(O396/N396,0)</f>
        <v/>
      </c>
    </row>
    <row r="397">
      <c r="A397">
        <f>Skills!A27</f>
        <v/>
      </c>
      <c r="B397">
        <f>Skills!B27</f>
        <v/>
      </c>
      <c r="C397">
        <f>Inputs!$B$3&gt;=38</f>
        <v/>
      </c>
      <c r="D397">
        <f>IF(Skills!C27=1,60+Inputs!$B$24+Inputs!$B$28,IF(Skills!C27=2,90+Inputs!$B$25+Inputs!$B$28,IF(Skills!C27=3,120+Inputs!$B$26+Inputs!$B$28,MAX(0,(Inputs!$B$3-100)*3)+Inputs!$B$27+Inputs!$B$28)))</f>
        <v/>
      </c>
      <c r="E397">
        <f>INDEX(FactorTable!$B$2:$Y$301, MATCH(ROUND(MIN(300,MAX(1,D397)),0), FactorTable!$A$2:$A$301,0), Skills!M27+1)</f>
        <v/>
      </c>
      <c r="F397">
        <f>IF(Skills!N27=TRUE,(Skills!L27/10)*(E397/1000),Skills!L27/10)+Skills!O27</f>
        <v/>
      </c>
      <c r="G397">
        <f>Skills!G27*IF(Skills!H27&gt;0,Skills!I27/Skills!H27,1)</f>
        <v/>
      </c>
      <c r="H397">
        <f>1-(1-Skills!J27/100)^Skills!K27</f>
        <v/>
      </c>
      <c r="I397" t="inlineStr">
        <is>
          <t>1</t>
        </is>
      </c>
      <c r="J397" t="inlineStr"/>
      <c r="K397" t="inlineStr"/>
      <c r="L397" t="inlineStr"/>
      <c r="M397" t="inlineStr"/>
      <c r="N397" t="inlineStr"/>
      <c r="O397" t="n">
        <v>0</v>
      </c>
      <c r="P397">
        <f>IF(B415=0,0,O397/B415)</f>
        <v/>
      </c>
      <c r="Q397" t="n">
        <v>0</v>
      </c>
      <c r="R397" t="n">
        <v>0</v>
      </c>
      <c r="S397">
        <f>IFERROR(O397/N397,0)</f>
        <v/>
      </c>
    </row>
    <row r="398">
      <c r="A398">
        <f>Skills!A28</f>
        <v/>
      </c>
      <c r="B398">
        <f>Skills!B28</f>
        <v/>
      </c>
      <c r="C398">
        <f>Inputs!$B$3&gt;=120</f>
        <v/>
      </c>
      <c r="D398">
        <f>IF(Skills!C28=1,60+Inputs!$B$24+Inputs!$B$28,IF(Skills!C28=2,90+Inputs!$B$25+Inputs!$B$28,IF(Skills!C28=3,120+Inputs!$B$26+Inputs!$B$28,MAX(0,(Inputs!$B$3-100)*3)+Inputs!$B$27+Inputs!$B$28)))</f>
        <v/>
      </c>
      <c r="E398">
        <f>INDEX(FactorTable!$B$2:$Y$301, MATCH(ROUND(MIN(300,MAX(1,D398)),0), FactorTable!$A$2:$A$301,0), Skills!M28+1)</f>
        <v/>
      </c>
      <c r="F398">
        <f>IF(Skills!N28=TRUE,(Skills!L28/10)*(E398/1000),Skills!L28/10)+Skills!O28</f>
        <v/>
      </c>
      <c r="G398">
        <f>Skills!G28*IF(Skills!H28&gt;0,Skills!I28/Skills!H28,1)</f>
        <v/>
      </c>
      <c r="H398">
        <f>1-(1-Skills!J28/100)^Skills!K28</f>
        <v/>
      </c>
      <c r="I398" t="inlineStr">
        <is>
          <t>1</t>
        </is>
      </c>
      <c r="J398" t="inlineStr"/>
      <c r="K398" t="inlineStr"/>
      <c r="L398" t="inlineStr"/>
      <c r="M398" t="inlineStr"/>
      <c r="N398" t="inlineStr"/>
      <c r="O398" t="n">
        <v>0</v>
      </c>
      <c r="P398">
        <f>IF(B415=0,0,O398/B415)</f>
        <v/>
      </c>
      <c r="Q398" t="n">
        <v>0</v>
      </c>
      <c r="R398" t="n">
        <v>0</v>
      </c>
      <c r="S398">
        <f>IFERROR(O398/N398,0)</f>
        <v/>
      </c>
    </row>
    <row r="399">
      <c r="A399">
        <f>Skills!A29</f>
        <v/>
      </c>
      <c r="B399">
        <f>Skills!B29</f>
        <v/>
      </c>
      <c r="C399">
        <f>Inputs!$B$3&gt;=120</f>
        <v/>
      </c>
      <c r="D399">
        <f>IF(Skills!C29=1,60+Inputs!$B$24+Inputs!$B$28,IF(Skills!C29=2,90+Inputs!$B$25+Inputs!$B$28,IF(Skills!C29=3,120+Inputs!$B$26+Inputs!$B$28,MAX(0,(Inputs!$B$3-100)*3)+Inputs!$B$27+Inputs!$B$28)))</f>
        <v/>
      </c>
      <c r="E399">
        <f>INDEX(FactorTable!$B$2:$Y$301, MATCH(ROUND(MIN(300,MAX(1,D399)),0), FactorTable!$A$2:$A$301,0), Skills!M29+1)</f>
        <v/>
      </c>
      <c r="F399">
        <f>IF(Skills!N29=TRUE,(Skills!L29/10)*(E399/1000),Skills!L29/10)+Skills!O29</f>
        <v/>
      </c>
      <c r="G399">
        <f>Skills!G29*IF(Skills!H29&gt;0,Skills!I29/Skills!H29,1)</f>
        <v/>
      </c>
      <c r="H399">
        <f>1-(1-Skills!J29/100)^Skills!K29</f>
        <v/>
      </c>
      <c r="I399" t="inlineStr">
        <is>
          <t>1</t>
        </is>
      </c>
      <c r="J399" t="inlineStr"/>
      <c r="K399" t="inlineStr"/>
      <c r="L399" t="inlineStr"/>
      <c r="M399" t="inlineStr"/>
      <c r="N399" t="inlineStr"/>
      <c r="O399" t="n">
        <v>0</v>
      </c>
      <c r="P399">
        <f>IF(B415=0,0,O399/B415)</f>
        <v/>
      </c>
      <c r="Q399" t="n">
        <v>0</v>
      </c>
      <c r="R399" t="n">
        <v>0</v>
      </c>
      <c r="S399">
        <f>IFERROR(O399/N399,0)</f>
        <v/>
      </c>
    </row>
    <row r="400">
      <c r="A400">
        <f>Skills!A30</f>
        <v/>
      </c>
      <c r="B400">
        <f>Skills!B30</f>
        <v/>
      </c>
      <c r="C400">
        <f>Inputs!$B$3&gt;=125</f>
        <v/>
      </c>
      <c r="D400">
        <f>IF(Skills!C30=1,60+Inputs!$B$24+Inputs!$B$28,IF(Skills!C30=2,90+Inputs!$B$25+Inputs!$B$28,IF(Skills!C30=3,120+Inputs!$B$26+Inputs!$B$28,MAX(0,(Inputs!$B$3-100)*3)+Inputs!$B$27+Inputs!$B$28)))</f>
        <v/>
      </c>
      <c r="E400">
        <f>INDEX(FactorTable!$B$2:$Y$301, MATCH(ROUND(MIN(300,MAX(1,D400)),0), FactorTable!$A$2:$A$301,0), Skills!M30+1)</f>
        <v/>
      </c>
      <c r="F400">
        <f>IF(Skills!N30=TRUE,(Skills!L30/10)*(E400/1000),Skills!L30/10)+Skills!O30</f>
        <v/>
      </c>
      <c r="G400">
        <f>Skills!G30*IF(Skills!H30&gt;0,Skills!I30/Skills!H30,1)</f>
        <v/>
      </c>
      <c r="H400">
        <f>1-(1-Skills!J30/100)^Skills!K30</f>
        <v/>
      </c>
      <c r="I400" t="inlineStr">
        <is>
          <t>1</t>
        </is>
      </c>
      <c r="J400" t="inlineStr"/>
      <c r="K400" t="inlineStr"/>
      <c r="L400" t="inlineStr"/>
      <c r="M400" t="inlineStr"/>
      <c r="N400" t="inlineStr"/>
      <c r="O400" t="n">
        <v>0</v>
      </c>
      <c r="P400">
        <f>IF(B415=0,0,O400/B415)</f>
        <v/>
      </c>
      <c r="Q400" t="n">
        <v>0</v>
      </c>
      <c r="R400" t="n">
        <v>0</v>
      </c>
      <c r="S400">
        <f>IFERROR(O400/N400,0)</f>
        <v/>
      </c>
    </row>
    <row r="402">
      <c r="A402" t="inlineStr">
        <is>
          <t>Average Buff Multiplier</t>
        </is>
      </c>
      <c r="B402">
        <f>(1+(((C391=TRUE)*F391*IF(AND(Inputs!$B$4&lt;&gt;"pvp",Inputs!$B$35&gt;0),(((S391-1)*(Skills!Y21*(1+Inputs!$B$33/100))+MIN((Skills!Y21*(1+Inputs!$B$33/100)),MAX(0,Inputs!$B$35-((S391-1)*Skills!D21))))/Inputs!$B$35),IF(Inputs!$B$4="pvp",MIN((Skills!Y21*(1+Inputs!$B$33/100)),15)/15,(Skills!Y21*(1+Inputs!$B$33/100))/Skills!D21)))+((C393=TRUE)*(F393-Calc!F23))+((C387=TRUE)*(F387-Calc!F17)))/100)*(1+((C380=TRUE)*F380*IF(AND(Inputs!$B$4&lt;&gt;"pvp",Inputs!$B$35&gt;0),(((S380-1)*(Skills!Y10*(1+Inputs!$B$33/100))+MIN((Skills!Y10*(1+Inputs!$B$33/100)),MAX(0,Inputs!$B$35-((S380-1)*Skills!D10))))/Inputs!$B$35),IF(Inputs!$B$4="pvp",MIN((Skills!Y10*(1+Inputs!$B$33/100)),15)/15,(Skills!Y10*(1+Inputs!$B$33/100))/Skills!D10)))/100)*(1+((C385=TRUE)*F385*IF(AND(Inputs!$B$4&lt;&gt;"pvp",Inputs!$B$35&gt;0),(((S385-1)*(Skills!Y15*(1+Inputs!$B$33/100))+MIN((Skills!Y15*(1+Inputs!$B$33/100)),MAX(0,Inputs!$B$35-((S385-1)*Skills!D15))))/Inputs!$B$35),IF(Inputs!$B$4="pvp",MIN((Skills!Y15*(1+Inputs!$B$33/100)),15)/15,(Skills!Y15*(1+Inputs!$B$33/100))/Skills!D15)))/100)</f>
        <v/>
      </c>
    </row>
    <row r="403">
      <c r="A403" t="inlineStr">
        <is>
          <t>Global Crit Rate Bonus %</t>
        </is>
      </c>
      <c r="B403">
        <f>((C390=TRUE)*F390*IF(AND(Inputs!$B$4&lt;&gt;"pvp",Inputs!$B$35&gt;0),(((S390-1)*(Skills!Y20*(1+Inputs!$B$33/100))+MIN((Skills!Y20*(1+Inputs!$B$33/100)),MAX(0,Inputs!$B$35-((S390-1)*Skills!D20))))/Inputs!$B$35),IF(Inputs!$B$4="pvp",MIN((Skills!Y20*(1+Inputs!$B$33/100)),15)/15,(Skills!Y20*(1+Inputs!$B$33/100))/Skills!D20)))</f>
        <v/>
      </c>
    </row>
    <row r="404">
      <c r="A404" t="inlineStr">
        <is>
          <t>Global Monster Damage-Taken Bonus %</t>
        </is>
      </c>
      <c r="B404">
        <f>IF(Inputs!$B$3&gt;=82,15,0)</f>
        <v/>
      </c>
    </row>
    <row r="405">
      <c r="A405" t="inlineStr">
        <is>
          <t>Shadow Partner Average Multiplier</t>
        </is>
      </c>
      <c r="B405">
        <f>1+((C377=TRUE)*F377*(1+3.3333333333333335*IF(C388=TRUE,F388,0)/100)*I377*Skills!J7/100)/100</f>
        <v/>
      </c>
    </row>
    <row r="406">
      <c r="A406" t="inlineStr">
        <is>
          <t>Attack Speed Buff Bonus %</t>
        </is>
      </c>
      <c r="B406">
        <f>((C389=TRUE)*F389*IF(AND(Inputs!$B$4&lt;&gt;"pvp",Inputs!$B$35&gt;0),(((S389-1)*(Skills!Y19*(1+Inputs!$B$33/100))+MIN((Skills!Y19*(1+Inputs!$B$33/100)),MAX(0,Inputs!$B$35-((S389-1)*Skills!D19))))/Inputs!$B$35),IF(Inputs!$B$4="pvp",MIN((Skills!Y19*(1+Inputs!$B$33/100)),15)/15,(Skills!Y19*(1+Inputs!$B$33/100))/Skills!D19)))+((C373=TRUE)*F373*3)</f>
        <v/>
      </c>
    </row>
    <row r="407">
      <c r="A407" t="inlineStr">
        <is>
          <t>Actions Per Second</t>
        </is>
      </c>
      <c r="B407">
        <f>1+MIN(150,150*(1-(1-(Inputs!$B$10+((C392=TRUE)*(F392-Calc!F22)))/150)*(1-B406/150)))/100</f>
        <v/>
      </c>
    </row>
    <row r="408">
      <c r="A408" t="inlineStr">
        <is>
          <t>Skill + Buff Cast Rate</t>
        </is>
      </c>
      <c r="B408">
        <f>IF(AND(Inputs!$B$4&lt;&gt;"pvp",Inputs!$B$35&gt;0),SUMPRODUCT((Skills!E2:E30=TRUE)*(C372:C400=TRUE)*R372:R400*Skills!F2:F30)/Inputs!$B$35,SUMPRODUCT((Skills!E2:E30=TRUE)*(C372:C400=TRUE)*Q372:Q400*Skills!F2:F30))</f>
        <v/>
      </c>
    </row>
    <row r="409">
      <c r="A409" t="inlineStr">
        <is>
          <t>Cruel Stab Casts Per Second</t>
        </is>
      </c>
      <c r="B409">
        <f>MAX(0,B407-B408)</f>
        <v/>
      </c>
    </row>
    <row r="410">
      <c r="A410" t="inlineStr">
        <is>
          <t>Global Critical Damage Bonus % (Smokescreen Mastery Lv.113)</t>
        </is>
      </c>
      <c r="B410">
        <f>IF(Inputs!$B$3&gt;=113,30,0)*IF(AND(Inputs!$B$4&lt;&gt;"pvp",Inputs!$B$35&gt;0),(((S385-1)*(Skills!Y15*(1+Inputs!$B$33/100))+MIN((Skills!Y15*(1+Inputs!$B$33/100)),MAX(0,Inputs!$B$35-((S385-1)*Skills!D15))))/Inputs!$B$35),IF(Inputs!$B$4="pvp",MIN((Skills!Y15*(1+Inputs!$B$33/100)),15)/15,(Skills!Y15*(1+Inputs!$B$33/100))/Skills!D15))</f>
        <v/>
      </c>
    </row>
    <row r="411">
      <c r="A411" t="inlineStr">
        <is>
          <t>Meso Explosion average stack count</t>
        </is>
      </c>
      <c r="B411">
        <f>MIN(10,0.5*B407*Skills!D4)</f>
        <v/>
      </c>
    </row>
    <row r="412">
      <c r="A412" t="inlineStr">
        <is>
          <t>Blood Money average stack count</t>
        </is>
      </c>
      <c r="B412">
        <f>MIN(5,0.25*B407*Skills!D4)</f>
        <v/>
      </c>
    </row>
    <row r="413">
      <c r="A413" t="inlineStr">
        <is>
          <t>Assassinate Murderous Intent Multiplier</t>
        </is>
      </c>
      <c r="B413">
        <f>1+IFERROR(MIN(1,Q384*2/Q381),0)</f>
        <v/>
      </c>
    </row>
    <row r="415">
      <c r="A415" s="5" t="inlineStr">
        <is>
          <t>TOTAL DPS</t>
        </is>
      </c>
      <c r="B415" s="5">
        <f>SUM(O372:O400)</f>
        <v/>
      </c>
    </row>
    <row r="418">
      <c r="A418" s="5" t="inlineStr">
        <is>
          <t>Stat: MIN_DAMAGE %</t>
        </is>
      </c>
    </row>
    <row r="419">
      <c r="A419" s="8" t="inlineStr">
        <is>
          <t>Key</t>
        </is>
      </c>
      <c r="B419" s="8" t="inlineStr">
        <is>
          <t>Name</t>
        </is>
      </c>
      <c r="C419" s="8" t="inlineStr">
        <is>
          <t>Unlocked</t>
        </is>
      </c>
      <c r="D419" s="8" t="inlineStr">
        <is>
          <t>InputLevel</t>
        </is>
      </c>
      <c r="E419" s="8" t="inlineStr">
        <is>
          <t>Factor</t>
        </is>
      </c>
      <c r="F419" s="8" t="inlineStr">
        <is>
          <t>CoefficientPercent</t>
        </is>
      </c>
      <c r="G419" s="8" t="inlineStr">
        <is>
          <t>EffectiveHits</t>
        </is>
      </c>
      <c r="H419" s="8" t="inlineStr">
        <is>
          <t>ProcProbability</t>
        </is>
      </c>
      <c r="I419" s="8" t="inlineStr">
        <is>
          <t>MapleHeroMultiplier</t>
        </is>
      </c>
      <c r="J419" s="8" t="inlineStr">
        <is>
          <t>BaseDamage</t>
        </is>
      </c>
      <c r="K419" s="8" t="inlineStr">
        <is>
          <t>BaseHitDamage</t>
        </is>
      </c>
      <c r="L419" s="8" t="inlineStr">
        <is>
          <t>NonCritAvg</t>
        </is>
      </c>
      <c r="M419" s="8" t="inlineStr">
        <is>
          <t>CritAvg</t>
        </is>
      </c>
      <c r="N419" s="8" t="inlineStr">
        <is>
          <t>ExpectedDamage(perHit)</t>
        </is>
      </c>
      <c r="O419" s="8" t="inlineStr">
        <is>
          <t>DPS</t>
        </is>
      </c>
      <c r="P419" s="8" t="inlineStr">
        <is>
          <t>% of Total</t>
        </is>
      </c>
      <c r="Q419" s="8" t="inlineStr">
        <is>
          <t>InvCooldown</t>
        </is>
      </c>
      <c r="R419" s="8" t="inlineStr">
        <is>
          <t>CastsInFight</t>
        </is>
      </c>
      <c r="S419" s="8" t="inlineStr">
        <is>
          <t>HitRate(perSec)</t>
        </is>
      </c>
      <c r="U419" t="inlineStr">
        <is>
          <t>helpers</t>
        </is>
      </c>
    </row>
    <row r="420">
      <c r="A420">
        <f>Skills!A2</f>
        <v/>
      </c>
      <c r="B420">
        <f>Skills!B2</f>
        <v/>
      </c>
      <c r="C420">
        <f>Inputs!$B$3&gt;=100</f>
        <v/>
      </c>
      <c r="D420" t="inlineStr"/>
      <c r="E420" t="inlineStr"/>
      <c r="F420">
        <f>U422+Skills!O2</f>
        <v/>
      </c>
      <c r="G420">
        <f>Skills!G2*IF(Skills!H2&gt;0,Skills!I2/Skills!H2,1)</f>
        <v/>
      </c>
      <c r="H420">
        <f>1-(1-Skills!J2/100)^Skills!K2</f>
        <v/>
      </c>
      <c r="I420" t="inlineStr">
        <is>
          <t>1</t>
        </is>
      </c>
      <c r="J420">
        <f>(Inputs!$B$5*(1+Inputs!$B$6/100))*(F420/100)</f>
        <v/>
      </c>
      <c r="K420">
        <f>J420*(1+((Inputs!$B$11*(1+Inputs!$B$12/100))*0.01+Inputs!$B$13*0.0025)/100)*(1+Inputs!$B$14/100)*(1+IF(Inputs!$B$4="pvp",0,(1-Summary!$B$55)*(Inputs!$B$19+0+Skills!P2+B452)+Summary!$B$55*(Inputs!$B$20+Skills!Q2+B452))/100)*(1+Inputs!$B$15/100)*(5000/(6000+Inputs!$B$7*(1-Inputs!$B$18/100)))*(1+(Inputs!$B$23+((C448=TRUE)*(F448-Calc!F30)))/100)*(1+(IF(Skills!A2="CRUEL_STAB",Inputs!$B$16+((C445=TRUE)*(F445-Calc!F27)),Inputs!$B$17+((C446=TRUE)*(F446-Calc!F28))))/100)*(((1+(((C439=TRUE)*F439*IF(AND(Inputs!$B$4&lt;&gt;"pvp",Inputs!$B$35&gt;0),(((S439-1)*(Skills!Y21*(1+Inputs!$B$33/100))+MIN((Skills!Y21*(1+Inputs!$B$33/100)),MAX(0,Inputs!$B$35-((S439-1)*Skills!D21))))/Inputs!$B$35),IF(Inputs!$B$4="pvp",MIN((Skills!Y21*(1+Inputs!$B$33/100)),15)/15,(Skills!Y21*(1+Inputs!$B$33/100))/Skills!D21)))+((C441=TRUE)*(F441-Calc!F23))+((C435=TRUE)*(F435-Calc!F17)))/100)*(1+((C428=TRUE)*F428*IF(AND(Inputs!$B$4&lt;&gt;"pvp",Inputs!$B$35&gt;0),(((S428-1)*(Skills!Y10*(1+Inputs!$B$33/100))+MIN((Skills!Y10*(1+Inputs!$B$33/100)),MAX(0,Inputs!$B$35-((S428-1)*Skills!D10))))/Inputs!$B$35),IF(Inputs!$B$4="pvp",MIN((Skills!Y10*(1+Inputs!$B$33/100)),15)/15,(Skills!Y10*(1+Inputs!$B$33/100))/Skills!D10)))/100)*(1+((C433=TRUE)*F433*IF(AND(Inputs!$B$4&lt;&gt;"pvp",Inputs!$B$35&gt;0),(((S433-1)*(Skills!Y15*(1+Inputs!$B$33/100))+MIN((Skills!Y15*(1+Inputs!$B$33/100)),MAX(0,Inputs!$B$35-((S433-1)*Skills!D15))))/Inputs!$B$35),IF(Inputs!$B$4="pvp",MIN((Skills!Y15*(1+Inputs!$B$33/100)),15)/15,(Skills!Y15*(1+Inputs!$B$33/100))/Skills!D15)))/100))*B453*I420)</f>
        <v/>
      </c>
      <c r="L420">
        <f>K420*(MIN((Inputs!$B$21+1)+((C442=TRUE)*(F442-Calc!F24)),Inputs!$B$22+((C447=TRUE)*(F447-Calc!F29)))/100+(Inputs!$B$22+((C447=TRUE)*(F447-Calc!F29)))/100)/2</f>
        <v/>
      </c>
      <c r="M420">
        <f>L420*(1+(Inputs!$B$9+((C444=TRUE)*(F444-Calc!F26))+B458)/100)</f>
        <v/>
      </c>
      <c r="N420">
        <f>L420*(1-MIN((Inputs!$B$8+((C443=TRUE)*(F443-Calc!F25))+B451),100)/100)+M420*(MIN((Inputs!$B$8+((C443=TRUE)*(F443-Calc!F25))+B451),100)/100)</f>
        <v/>
      </c>
      <c r="O420">
        <f>IF(C420,Skills!G2*N420*B457*IF(Inputs!$B$4="pvp",1,(1-Summary!$B$55)*(1)+Summary!$B$55*(MIN((6+Inputs!$B$32),Inputs!$B$37))),0)</f>
        <v/>
      </c>
      <c r="P420">
        <f>IF(B463=0,0,O420/B463)</f>
        <v/>
      </c>
      <c r="Q420" t="n">
        <v>0</v>
      </c>
      <c r="R420" t="n">
        <v>0</v>
      </c>
      <c r="S420">
        <f>IFERROR(O420/N420,0)</f>
        <v/>
      </c>
      <c r="U420">
        <f>MAX(0,(Inputs!$B$3-100)*3)+Inputs!$B$27+Inputs!$B$28</f>
        <v/>
      </c>
    </row>
    <row r="421">
      <c r="A421">
        <f>Skills!A3</f>
        <v/>
      </c>
      <c r="B421">
        <f>Skills!B3</f>
        <v/>
      </c>
      <c r="C421">
        <f>Inputs!$B$3&gt;=35</f>
        <v/>
      </c>
      <c r="D421">
        <f>IF(Skills!C3=1,60+Inputs!$B$24+Inputs!$B$28,IF(Skills!C3=2,90+Inputs!$B$25+Inputs!$B$28,IF(Skills!C3=3,120+Inputs!$B$26+Inputs!$B$28,MAX(0,(Inputs!$B$3-100)*3)+Inputs!$B$27+Inputs!$B$28)))</f>
        <v/>
      </c>
      <c r="E421">
        <f>INDEX(FactorTable!$B$2:$Y$301, MATCH(ROUND(MIN(300,MAX(1,D421)),0), FactorTable!$A$2:$A$301,0), Skills!M3+1)</f>
        <v/>
      </c>
      <c r="F421">
        <f>IF(Skills!N3=TRUE,(Skills!L3/10)*(E421/1000),Skills!L3/10)+Skills!O3</f>
        <v/>
      </c>
      <c r="G421">
        <f>Skills!G3*IF(Skills!H3&gt;0,Skills!I3/Skills!H3,1)</f>
        <v/>
      </c>
      <c r="H421">
        <f>1-(1-Skills!J3/100)^Skills!K3</f>
        <v/>
      </c>
      <c r="I421" t="inlineStr">
        <is>
          <t>1</t>
        </is>
      </c>
      <c r="J421" t="inlineStr"/>
      <c r="K421" t="inlineStr"/>
      <c r="L421" t="inlineStr"/>
      <c r="M421" t="inlineStr"/>
      <c r="N421" t="inlineStr"/>
      <c r="O421" t="n">
        <v>0</v>
      </c>
      <c r="P421">
        <f>IF(B463=0,0,O421/B463)</f>
        <v/>
      </c>
      <c r="Q421" t="n">
        <v>0</v>
      </c>
      <c r="R421" t="n">
        <v>0</v>
      </c>
      <c r="S421">
        <f>IFERROR(O421/N421,0)</f>
        <v/>
      </c>
      <c r="U421">
        <f>INDEX(FactorTable!$B$2:$Y$301, MATCH(ROUND(MIN(300,MAX(1,U420)),0), FactorTable!$A$2:$A$301,0), 22)</f>
        <v/>
      </c>
    </row>
    <row r="422">
      <c r="A422">
        <f>Skills!A4</f>
        <v/>
      </c>
      <c r="B422">
        <f>Skills!B4</f>
        <v/>
      </c>
      <c r="C422">
        <f>Inputs!$B$3&gt;=66</f>
        <v/>
      </c>
      <c r="D422">
        <f>IF(Skills!C4=1,60+Inputs!$B$24+Inputs!$B$28,IF(Skills!C4=2,90+Inputs!$B$25+Inputs!$B$28,IF(Skills!C4=3,120+Inputs!$B$26+Inputs!$B$28,MAX(0,(Inputs!$B$3-100)*3)+Inputs!$B$27+Inputs!$B$28)))</f>
        <v/>
      </c>
      <c r="E422">
        <f>INDEX(FactorTable!$B$2:$Y$301, MATCH(ROUND(MIN(300,MAX(1,D422)),0), FactorTable!$A$2:$A$301,0), Skills!M4+1)</f>
        <v/>
      </c>
      <c r="F422">
        <f>IF(Skills!N4=TRUE,(Skills!L4/10)*(E422/1000),Skills!L4/10)+Skills!O4</f>
        <v/>
      </c>
      <c r="G422">
        <f>Skills!G4*IF(Skills!H4&gt;0,Skills!I4/Skills!H4,1)</f>
        <v/>
      </c>
      <c r="H422">
        <f>1-(1-Skills!J4/100)^Skills!K4</f>
        <v/>
      </c>
      <c r="I422" t="inlineStr">
        <is>
          <t>1</t>
        </is>
      </c>
      <c r="J422">
        <f>(Inputs!$B$5*(1+Inputs!$B$6/100))*(F422/100)</f>
        <v/>
      </c>
      <c r="K422">
        <f>J422*(1+((Inputs!$B$11*(1+Inputs!$B$12/100))*0.01+Inputs!$B$13*0.0025)/100)*(1+Inputs!$B$14/100)*(1+IF(Inputs!$B$4="pvp",0,(1-Summary!$B$55)*(Inputs!$B$19+0+Skills!P4+B452)+Summary!$B$55*(Inputs!$B$20+Skills!Q4+B452))/100)*(1+Inputs!$B$15/100)*(5000/(6000+Inputs!$B$7*(1-Inputs!$B$18/100)))*(1+(Inputs!$B$23+((C448=TRUE)*(F448-Calc!F30)))/100)*(1+(IF(Skills!A4="CRUEL_STAB",Inputs!$B$16+((C445=TRUE)*(F445-Calc!F27)),Inputs!$B$17+((C446=TRUE)*(F446-Calc!F28))))/100)*(((1+(((C439=TRUE)*F439*IF(AND(Inputs!$B$4&lt;&gt;"pvp",Inputs!$B$35&gt;0),(((S439-1)*(Skills!Y21*(1+Inputs!$B$33/100))+MIN((Skills!Y21*(1+Inputs!$B$33/100)),MAX(0,Inputs!$B$35-((S439-1)*Skills!D21))))/Inputs!$B$35),IF(Inputs!$B$4="pvp",MIN((Skills!Y21*(1+Inputs!$B$33/100)),15)/15,(Skills!Y21*(1+Inputs!$B$33/100))/Skills!D21)))+((C441=TRUE)*(F441-Calc!F23))+((C435=TRUE)*(F435-Calc!F17)))/100)*(1+((C428=TRUE)*F428*IF(AND(Inputs!$B$4&lt;&gt;"pvp",Inputs!$B$35&gt;0),(((S428-1)*(Skills!Y10*(1+Inputs!$B$33/100))+MIN((Skills!Y10*(1+Inputs!$B$33/100)),MAX(0,Inputs!$B$35-((S428-1)*Skills!D10))))/Inputs!$B$35),IF(Inputs!$B$4="pvp",MIN((Skills!Y10*(1+Inputs!$B$33/100)),15)/15,(Skills!Y10*(1+Inputs!$B$33/100))/Skills!D10)))/100)*(1+((C433=TRUE)*F433*IF(AND(Inputs!$B$4&lt;&gt;"pvp",Inputs!$B$35&gt;0),(((S433-1)*(Skills!Y15*(1+Inputs!$B$33/100))+MIN((Skills!Y15*(1+Inputs!$B$33/100)),MAX(0,Inputs!$B$35-((S433-1)*Skills!D15))))/Inputs!$B$35),IF(Inputs!$B$4="pvp",MIN((Skills!Y15*(1+Inputs!$B$33/100)),15)/15,(Skills!Y15*(1+Inputs!$B$33/100))/Skills!D15)))/100))*B453*I422)</f>
        <v/>
      </c>
      <c r="L422">
        <f>K422*(MIN((Inputs!$B$21+1)+((C442=TRUE)*(F442-Calc!F24)),Inputs!$B$22+((C447=TRUE)*(F447-Calc!F29)))/100+(Inputs!$B$22+((C447=TRUE)*(F447-Calc!F29)))/100)/2</f>
        <v/>
      </c>
      <c r="M422">
        <f>L422*(1+(Inputs!$B$9+((C444=TRUE)*(F444-Calc!F26))+B458)/100)</f>
        <v/>
      </c>
      <c r="N422">
        <f>L422*(1-MIN((Inputs!$B$8+((C443=TRUE)*(F443-Calc!F25))+B451),100)/100)+M422*(MIN((Inputs!$B$8+((C443=TRUE)*(F443-Calc!F25))+B451),100)/100)</f>
        <v/>
      </c>
      <c r="O422">
        <f>IF(C422,H422*N422*IF(AND(Inputs!$B$4&lt;&gt;"pvp",Inputs!$B$35&gt;0),((Skills!G4*((R422-1)*IF(Skills!H4&gt;0,Skills!I4/Skills!H4,1)+IF(Skills!H4&gt;0,MIN(Skills!I4,MAX(0,Inputs!$B$35-((R422-1)*IF(Inputs!$B$4="pvp",15,MAX(0.1,Skills!D4-IF(Skills!E4=TRUE,Inputs!$B$31,0))))))/Skills!H4,1)))/Inputs!$B$35),G422*Q422)*IF(Inputs!$B$4="pvp",1,(1-Summary!$B$55)*(1)+Summary!$B$55*(MIN(MIN(10,0.5*B455*Skills!D4),Inputs!$B$37))),0)</f>
        <v/>
      </c>
      <c r="P422">
        <f>IF(B463=0,0,O422/B463)</f>
        <v/>
      </c>
      <c r="Q422">
        <f>IFERROR(1/IF(Inputs!$B$4="pvp",15,MAX(0.1,Skills!D4-IF(Skills!E4=TRUE,Inputs!$B$31,0))),0)</f>
        <v/>
      </c>
      <c r="R422">
        <f>IF(AND(Inputs!$B$4&lt;&gt;"pvp",Inputs!$B$35&gt;0),(INT(Inputs!$B$35/IF(Inputs!$B$4="pvp",15,MAX(0.1,Skills!D4-IF(Skills!E4=TRUE,Inputs!$B$31,0))))+1),0)</f>
        <v/>
      </c>
      <c r="S422">
        <f>IFERROR(O422/N422,0)</f>
        <v/>
      </c>
      <c r="U422">
        <f>290*U421/1000</f>
        <v/>
      </c>
    </row>
    <row r="423">
      <c r="A423">
        <f>Skills!A5</f>
        <v/>
      </c>
      <c r="B423">
        <f>Skills!B5</f>
        <v/>
      </c>
      <c r="C423">
        <f>Inputs!$B$3&gt;=63</f>
        <v/>
      </c>
      <c r="D423">
        <f>IF(Skills!C5=1,60+Inputs!$B$24+Inputs!$B$28,IF(Skills!C5=2,90+Inputs!$B$25+Inputs!$B$28,IF(Skills!C5=3,120+Inputs!$B$26+Inputs!$B$28,MAX(0,(Inputs!$B$3-100)*3)+Inputs!$B$27+Inputs!$B$28)))</f>
        <v/>
      </c>
      <c r="E423">
        <f>INDEX(FactorTable!$B$2:$Y$301, MATCH(ROUND(MIN(300,MAX(1,D423)),0), FactorTable!$A$2:$A$301,0), Skills!M5+1)</f>
        <v/>
      </c>
      <c r="F423">
        <f>IF(Skills!N5=TRUE,(Skills!L5/10)*(E423/1000),Skills!L5/10)+Skills!O5</f>
        <v/>
      </c>
      <c r="G423">
        <f>Skills!G5*IF(Skills!H5&gt;0,Skills!I5/Skills!H5,1)</f>
        <v/>
      </c>
      <c r="H423">
        <f>1-(1-Skills!J5/100)^Skills!K5</f>
        <v/>
      </c>
      <c r="I423" t="inlineStr">
        <is>
          <t>1</t>
        </is>
      </c>
      <c r="J423">
        <f>(Inputs!$B$5*(1+Inputs!$B$6/100))*(F423/100)</f>
        <v/>
      </c>
      <c r="K423">
        <f>J423*(1+((Inputs!$B$11*(1+Inputs!$B$12/100))*0.01+Inputs!$B$13*0.0025)/100)*(1+Inputs!$B$14/100)*(1+IF(Inputs!$B$4="pvp",0,(1-Summary!$B$55)*(Inputs!$B$19+0+Skills!P5+B452)+Summary!$B$55*(Inputs!$B$20+Skills!Q5+B452))/100)*(1+Inputs!$B$15/100)*(5000/(6000+Inputs!$B$7*(1-Inputs!$B$18/100)))*(1+(Inputs!$B$23+((C448=TRUE)*(F448-Calc!F30)))/100)*(1+2.6666666666666665*IF(C436=TRUE,F436,0)/100)*(1+(IF(Skills!A5="CRUEL_STAB",Inputs!$B$16+((C445=TRUE)*(F445-Calc!F27)),Inputs!$B$17+((C446=TRUE)*(F446-Calc!F28))))/100)*(((1+(((C439=TRUE)*F439*IF(AND(Inputs!$B$4&lt;&gt;"pvp",Inputs!$B$35&gt;0),(((S439-1)*(Skills!Y21*(1+Inputs!$B$33/100))+MIN((Skills!Y21*(1+Inputs!$B$33/100)),MAX(0,Inputs!$B$35-((S439-1)*Skills!D21))))/Inputs!$B$35),IF(Inputs!$B$4="pvp",MIN((Skills!Y21*(1+Inputs!$B$33/100)),15)/15,(Skills!Y21*(1+Inputs!$B$33/100))/Skills!D21)))+((C441=TRUE)*(F441-Calc!F23))+((C435=TRUE)*(F435-Calc!F17)))/100)*(1+((C428=TRUE)*F428*IF(AND(Inputs!$B$4&lt;&gt;"pvp",Inputs!$B$35&gt;0),(((S428-1)*(Skills!Y10*(1+Inputs!$B$33/100))+MIN((Skills!Y10*(1+Inputs!$B$33/100)),MAX(0,Inputs!$B$35-((S428-1)*Skills!D10))))/Inputs!$B$35),IF(Inputs!$B$4="pvp",MIN((Skills!Y10*(1+Inputs!$B$33/100)),15)/15,(Skills!Y10*(1+Inputs!$B$33/100))/Skills!D10)))/100)*(1+((C433=TRUE)*F433*IF(AND(Inputs!$B$4&lt;&gt;"pvp",Inputs!$B$35&gt;0),(((S433-1)*(Skills!Y15*(1+Inputs!$B$33/100))+MIN((Skills!Y15*(1+Inputs!$B$33/100)),MAX(0,Inputs!$B$35-((S433-1)*Skills!D15))))/Inputs!$B$35),IF(Inputs!$B$4="pvp",MIN((Skills!Y15*(1+Inputs!$B$33/100)),15)/15,(Skills!Y15*(1+Inputs!$B$33/100))/Skills!D15)))/100))*B453*I423)</f>
        <v/>
      </c>
      <c r="L423">
        <f>K423*(MIN((Inputs!$B$21+1)+((C442=TRUE)*(F442-Calc!F24)),Inputs!$B$22+((C447=TRUE)*(F447-Calc!F29)))/100+(Inputs!$B$22+((C447=TRUE)*(F447-Calc!F29)))/100)/2</f>
        <v/>
      </c>
      <c r="M423">
        <f>L423*(1+(Inputs!$B$9+((C444=TRUE)*(F444-Calc!F26))+B458)/100)</f>
        <v/>
      </c>
      <c r="N423">
        <f>L423*(1-MIN((Inputs!$B$8+((C443=TRUE)*(F443-Calc!F25))+B451),100)/100)+M423*(MIN((Inputs!$B$8+((C443=TRUE)*(F443-Calc!F25))+B451),100)/100)</f>
        <v/>
      </c>
      <c r="O423">
        <f>IF(C423,H423*N423*IF(AND(Inputs!$B$4&lt;&gt;"pvp",Inputs!$B$35&gt;0),((Skills!G5*((R423-1)*IF(Skills!H5&gt;0,Skills!I5/Skills!H5,1)+IF(Skills!H5&gt;0,MIN(Skills!I5,MAX(0,Inputs!$B$35-((R423-1)*IF(Inputs!$B$4="pvp",15,MAX(0.1,Skills!D5-IF(Skills!E5=TRUE,Inputs!$B$31,0))))))/Skills!H5,1)))/Inputs!$B$35),G423*Q423)*IF(Inputs!$B$4="pvp",1,(1-Summary!$B$55)*(1)+Summary!$B$55*(MIN(Skills!W5,Inputs!$B$37))),0)</f>
        <v/>
      </c>
      <c r="P423">
        <f>IF(B463=0,0,O423/B463)</f>
        <v/>
      </c>
      <c r="Q423">
        <f>IFERROR(1/IF(Inputs!$B$4="pvp",15,MAX(0.1,Skills!D5-IF(Skills!E5=TRUE,Inputs!$B$31,0))),0)</f>
        <v/>
      </c>
      <c r="R423">
        <f>IF(AND(Inputs!$B$4&lt;&gt;"pvp",Inputs!$B$35&gt;0),(INT(Inputs!$B$35/IF(Inputs!$B$4="pvp",15,MAX(0.1,Skills!D5-IF(Skills!E5=TRUE,Inputs!$B$31,0))))+1),0)</f>
        <v/>
      </c>
      <c r="S423">
        <f>IFERROR(O423/N423,0)</f>
        <v/>
      </c>
    </row>
    <row r="424">
      <c r="A424">
        <f>Skills!A6</f>
        <v/>
      </c>
      <c r="B424">
        <f>Skills!B6</f>
        <v/>
      </c>
      <c r="C424">
        <f>Inputs!$B$3&gt;=69</f>
        <v/>
      </c>
      <c r="D424">
        <f>IF(Skills!C6=1,60+Inputs!$B$24+Inputs!$B$28,IF(Skills!C6=2,90+Inputs!$B$25+Inputs!$B$28,IF(Skills!C6=3,120+Inputs!$B$26+Inputs!$B$28,MAX(0,(Inputs!$B$3-100)*3)+Inputs!$B$27+Inputs!$B$28)))</f>
        <v/>
      </c>
      <c r="E424">
        <f>INDEX(FactorTable!$B$2:$Y$301, MATCH(ROUND(MIN(300,MAX(1,D424)),0), FactorTable!$A$2:$A$301,0), Skills!M6+1)</f>
        <v/>
      </c>
      <c r="F424">
        <f>IF(Skills!N6=TRUE,(Skills!L6/10)*(E424/1000),Skills!L6/10)+Skills!O6</f>
        <v/>
      </c>
      <c r="G424">
        <f>Skills!G6*IF(Skills!H6&gt;0,Skills!I6/Skills!H6,1)</f>
        <v/>
      </c>
      <c r="H424">
        <f>1-(1-Skills!J6/100)^Skills!K6</f>
        <v/>
      </c>
      <c r="I424" t="inlineStr">
        <is>
          <t>1</t>
        </is>
      </c>
      <c r="J424">
        <f>(Inputs!$B$5*(1+Inputs!$B$6/100))*(F424/100)</f>
        <v/>
      </c>
      <c r="K424">
        <f>J424*(1+((Inputs!$B$11*(1+Inputs!$B$12/100))*0.01+Inputs!$B$13*0.0025)/100)*(1+Inputs!$B$14/100)*(1+IF(Inputs!$B$4="pvp",0,(1-Summary!$B$55)*(Inputs!$B$19+0+Skills!P6+B452)+Summary!$B$55*(Inputs!$B$20+Skills!Q6+B452))/100)*(1+Inputs!$B$15/100)*(5000/(6000+Inputs!$B$7*(1-Inputs!$B$18/100)))*(1+(Inputs!$B$23+((C448=TRUE)*(F448-Calc!F30)))/100)*(1+1.0*IF(C436=TRUE,F436,0)/100)*(1+(IF(Skills!A6="CRUEL_STAB",Inputs!$B$16+((C445=TRUE)*(F445-Calc!F27)),Inputs!$B$17+((C446=TRUE)*(F446-Calc!F28))))/100)*(((1+(((C439=TRUE)*F439*IF(AND(Inputs!$B$4&lt;&gt;"pvp",Inputs!$B$35&gt;0),(((S439-1)*(Skills!Y21*(1+Inputs!$B$33/100))+MIN((Skills!Y21*(1+Inputs!$B$33/100)),MAX(0,Inputs!$B$35-((S439-1)*Skills!D21))))/Inputs!$B$35),IF(Inputs!$B$4="pvp",MIN((Skills!Y21*(1+Inputs!$B$33/100)),15)/15,(Skills!Y21*(1+Inputs!$B$33/100))/Skills!D21)))+((C441=TRUE)*(F441-Calc!F23))+((C435=TRUE)*(F435-Calc!F17)))/100)*(1+((C428=TRUE)*F428*IF(AND(Inputs!$B$4&lt;&gt;"pvp",Inputs!$B$35&gt;0),(((S428-1)*(Skills!Y10*(1+Inputs!$B$33/100))+MIN((Skills!Y10*(1+Inputs!$B$33/100)),MAX(0,Inputs!$B$35-((S428-1)*Skills!D10))))/Inputs!$B$35),IF(Inputs!$B$4="pvp",MIN((Skills!Y10*(1+Inputs!$B$33/100)),15)/15,(Skills!Y10*(1+Inputs!$B$33/100))/Skills!D10)))/100)*(1+((C433=TRUE)*F433*IF(AND(Inputs!$B$4&lt;&gt;"pvp",Inputs!$B$35&gt;0),(((S433-1)*(Skills!Y15*(1+Inputs!$B$33/100))+MIN((Skills!Y15*(1+Inputs!$B$33/100)),MAX(0,Inputs!$B$35-((S433-1)*Skills!D15))))/Inputs!$B$35),IF(Inputs!$B$4="pvp",MIN((Skills!Y15*(1+Inputs!$B$33/100)),15)/15,(Skills!Y15*(1+Inputs!$B$33/100))/Skills!D15)))/100))*B453*I424)</f>
        <v/>
      </c>
      <c r="L424">
        <f>K424*(MIN((Inputs!$B$21+1)+((C442=TRUE)*(F442-Calc!F24)),Inputs!$B$22+((C447=TRUE)*(F447-Calc!F29)))/100+(Inputs!$B$22+((C447=TRUE)*(F447-Calc!F29)))/100)/2</f>
        <v/>
      </c>
      <c r="M424">
        <f>L424*(1+(Inputs!$B$9+((C444=TRUE)*(F444-Calc!F26))+B458)/100)</f>
        <v/>
      </c>
      <c r="N424">
        <f>L424*(1-MIN((Inputs!$B$8+((C443=TRUE)*(F443-Calc!F25))+B451),100)/100)+M424*(MIN((Inputs!$B$8+((C443=TRUE)*(F443-Calc!F25))+B451),100)/100)</f>
        <v/>
      </c>
      <c r="O424">
        <f>IF(C424,H424*N424*IF(AND(Inputs!$B$4&lt;&gt;"pvp",Inputs!$B$35&gt;0),((Skills!G6*((R424-1)*IF(Skills!H6&gt;0,Skills!I6/Skills!H6,1)+IF(Skills!H6&gt;0,MIN(Skills!I6,MAX(0,Inputs!$B$35-((R424-1)*IF(Inputs!$B$4="pvp",15,MAX(0.1,Skills!D6-IF(Skills!E6=TRUE,Inputs!$B$31,0))))))/Skills!H6,1)))/Inputs!$B$35),G424*Q424)*IF(Inputs!$B$4="pvp",1,(1-Summary!$B$55)*(1)+Summary!$B$55*(MIN(Skills!W6,Inputs!$B$37))),0)</f>
        <v/>
      </c>
      <c r="P424">
        <f>IF(B463=0,0,O424/B463)</f>
        <v/>
      </c>
      <c r="Q424">
        <f>IFERROR(1/IF(Inputs!$B$4="pvp",15,MAX(0.1,Skills!D6-IF(Skills!E6=TRUE,Inputs!$B$31,0))),0)</f>
        <v/>
      </c>
      <c r="R424">
        <f>IF(AND(Inputs!$B$4&lt;&gt;"pvp",Inputs!$B$35&gt;0),(INT(Inputs!$B$35/IF(Inputs!$B$4="pvp",15,MAX(0.1,Skills!D6-IF(Skills!E6=TRUE,Inputs!$B$31,0))))+1),0)</f>
        <v/>
      </c>
      <c r="S424">
        <f>IFERROR(O424/N424,0)</f>
        <v/>
      </c>
    </row>
    <row r="425">
      <c r="A425">
        <f>Skills!A7</f>
        <v/>
      </c>
      <c r="B425">
        <f>Skills!B7</f>
        <v/>
      </c>
      <c r="C425">
        <f>Inputs!$B$3&gt;=60</f>
        <v/>
      </c>
      <c r="D425">
        <f>IF(Skills!C7=1,60+Inputs!$B$24+Inputs!$B$28,IF(Skills!C7=2,90+Inputs!$B$25+Inputs!$B$28,IF(Skills!C7=3,120+Inputs!$B$26+Inputs!$B$28,MAX(0,(Inputs!$B$3-100)*3)+Inputs!$B$27+Inputs!$B$28)))</f>
        <v/>
      </c>
      <c r="E425">
        <f>INDEX(FactorTable!$B$2:$Y$301, MATCH(ROUND(MIN(300,MAX(1,D425)),0), FactorTable!$A$2:$A$301,0), Skills!M7+1)</f>
        <v/>
      </c>
      <c r="F425">
        <f>IF(Skills!N7=TRUE,(Skills!L7/10)*(E425/1000),Skills!L7/10)+Skills!O7</f>
        <v/>
      </c>
      <c r="G425">
        <f>Skills!G7*IF(Skills!H7&gt;0,Skills!I7/Skills!H7,1)</f>
        <v/>
      </c>
      <c r="H425">
        <f>1-(1-Skills!J7/100)^Skills!K7</f>
        <v/>
      </c>
      <c r="I425" t="inlineStr">
        <is>
          <t>1</t>
        </is>
      </c>
      <c r="J425" t="inlineStr"/>
      <c r="K425" t="inlineStr"/>
      <c r="L425" t="inlineStr"/>
      <c r="M425" t="inlineStr"/>
      <c r="N425" t="inlineStr"/>
      <c r="O425" t="n">
        <v>0</v>
      </c>
      <c r="P425">
        <f>IF(B463=0,0,O425/B463)</f>
        <v/>
      </c>
      <c r="Q425" t="n">
        <v>0</v>
      </c>
      <c r="R425" t="n">
        <v>0</v>
      </c>
      <c r="S425">
        <f>IFERROR(O425/N425,0)</f>
        <v/>
      </c>
    </row>
    <row r="426">
      <c r="A426">
        <f>Skills!A8</f>
        <v/>
      </c>
      <c r="B426">
        <f>Skills!B8</f>
        <v/>
      </c>
      <c r="C426">
        <f>Inputs!$B$3&gt;=72</f>
        <v/>
      </c>
      <c r="D426">
        <f>IF(Skills!C8=1,60+Inputs!$B$24+Inputs!$B$28,IF(Skills!C8=2,90+Inputs!$B$25+Inputs!$B$28,IF(Skills!C8=3,120+Inputs!$B$26+Inputs!$B$28,MAX(0,(Inputs!$B$3-100)*3)+Inputs!$B$27+Inputs!$B$28)))</f>
        <v/>
      </c>
      <c r="E426">
        <f>INDEX(FactorTable!$B$2:$Y$301, MATCH(ROUND(MIN(300,MAX(1,D426)),0), FactorTable!$A$2:$A$301,0), Skills!M8+1)</f>
        <v/>
      </c>
      <c r="F426">
        <f>IF(Skills!N8=TRUE,(Skills!L8/10)*(E426/1000),Skills!L8/10)+Skills!O8</f>
        <v/>
      </c>
      <c r="G426">
        <f>Skills!G8*IF(Skills!H8&gt;0,Skills!I8/Skills!H8,1)</f>
        <v/>
      </c>
      <c r="H426">
        <f>1-(1-Skills!J8/100)^Skills!K8</f>
        <v/>
      </c>
      <c r="I426" t="inlineStr">
        <is>
          <t>1</t>
        </is>
      </c>
      <c r="J426">
        <f>(Inputs!$B$5*(1+Inputs!$B$6/100))*(F426/100)</f>
        <v/>
      </c>
      <c r="K426">
        <f>J426*(1+((Inputs!$B$11*(1+Inputs!$B$12/100))*0.01+Inputs!$B$13*0.0025)/100)*(1+Inputs!$B$14/100)*(1+IF(Inputs!$B$4="pvp",0,(1-Summary!$B$55)*(Inputs!$B$19+0+Skills!P8+B452)+Summary!$B$55*(Inputs!$B$20+Skills!Q8+B452))/100)*(1+Inputs!$B$15/100)*(5000/(6000+Inputs!$B$7*(1-Inputs!$B$18/100)))*(1+(Inputs!$B$23+((C448=TRUE)*(F448-Calc!F30)))/100)*(1+3.3333333333333335*IF(C436=TRUE,F436,0)/100)*(1+(IF(Skills!A8="CRUEL_STAB",Inputs!$B$16+((C445=TRUE)*(F445-Calc!F27)),Inputs!$B$17+((C446=TRUE)*(F446-Calc!F28))))/100)*(((1+(((C439=TRUE)*F439*IF(AND(Inputs!$B$4&lt;&gt;"pvp",Inputs!$B$35&gt;0),(((S439-1)*(Skills!Y21*(1+Inputs!$B$33/100))+MIN((Skills!Y21*(1+Inputs!$B$33/100)),MAX(0,Inputs!$B$35-((S439-1)*Skills!D21))))/Inputs!$B$35),IF(Inputs!$B$4="pvp",MIN((Skills!Y21*(1+Inputs!$B$33/100)),15)/15,(Skills!Y21*(1+Inputs!$B$33/100))/Skills!D21)))+((C441=TRUE)*(F441-Calc!F23))+((C435=TRUE)*(F435-Calc!F17)))/100)*(1+((C428=TRUE)*F428*IF(AND(Inputs!$B$4&lt;&gt;"pvp",Inputs!$B$35&gt;0),(((S428-1)*(Skills!Y10*(1+Inputs!$B$33/100))+MIN((Skills!Y10*(1+Inputs!$B$33/100)),MAX(0,Inputs!$B$35-((S428-1)*Skills!D10))))/Inputs!$B$35),IF(Inputs!$B$4="pvp",MIN((Skills!Y10*(1+Inputs!$B$33/100)),15)/15,(Skills!Y10*(1+Inputs!$B$33/100))/Skills!D10)))/100)*(1+((C433=TRUE)*F433*IF(AND(Inputs!$B$4&lt;&gt;"pvp",Inputs!$B$35&gt;0),(((S433-1)*(Skills!Y15*(1+Inputs!$B$33/100))+MIN((Skills!Y15*(1+Inputs!$B$33/100)),MAX(0,Inputs!$B$35-((S433-1)*Skills!D15))))/Inputs!$B$35),IF(Inputs!$B$4="pvp",MIN((Skills!Y15*(1+Inputs!$B$33/100)),15)/15,(Skills!Y15*(1+Inputs!$B$33/100))/Skills!D15)))/100))*B453*I426)</f>
        <v/>
      </c>
      <c r="L426">
        <f>K426*(MIN((Inputs!$B$21+1)+((C442=TRUE)*(F442-Calc!F24)),Inputs!$B$22+((C447=TRUE)*(F447-Calc!F29)))/100+(Inputs!$B$22+((C447=TRUE)*(F447-Calc!F29)))/100)/2</f>
        <v/>
      </c>
      <c r="M426">
        <f>L426*(1+(Inputs!$B$9+((C444=TRUE)*(F444-Calc!F26))+B458)/100)</f>
        <v/>
      </c>
      <c r="N426">
        <f>L426*(1-MIN((Inputs!$B$8+((C443=TRUE)*(F443-Calc!F25))+B451),100)/100)+M426*(MIN((Inputs!$B$8+((C443=TRUE)*(F443-Calc!F25))+B451),100)/100)</f>
        <v/>
      </c>
      <c r="O426">
        <f>IF(C426,H426*N426*IF(AND(Inputs!$B$4&lt;&gt;"pvp",Inputs!$B$35&gt;0),((Skills!G8*((R426-1)*IF(Skills!H8&gt;0,Skills!I8/Skills!H8,1)+IF(Skills!H8&gt;0,MIN(Skills!I8,MAX(0,Inputs!$B$35-((R426-1)*IF(Inputs!$B$4="pvp",15,MAX(0.1,Skills!D8-IF(Skills!E8=TRUE,Inputs!$B$31,0))))))/Skills!H8,1)))/Inputs!$B$35),G426*Q426)*IF(Inputs!$B$4="pvp",1,(1-Summary!$B$55)*(1)+Summary!$B$55*(MIN(Skills!W8,Inputs!$B$37))),0)</f>
        <v/>
      </c>
      <c r="P426">
        <f>IF(B463=0,0,O426/B463)</f>
        <v/>
      </c>
      <c r="Q426">
        <f>IFERROR(1/IF(Inputs!$B$4="pvp",15,MAX(0.1,Skills!D8-IF(Skills!E8=TRUE,Inputs!$B$31,0))),0)</f>
        <v/>
      </c>
      <c r="R426">
        <f>IF(AND(Inputs!$B$4&lt;&gt;"pvp",Inputs!$B$35&gt;0),(INT(Inputs!$B$35/IF(Inputs!$B$4="pvp",15,MAX(0.1,Skills!D8-IF(Skills!E8=TRUE,Inputs!$B$31,0))))+1),0)</f>
        <v/>
      </c>
      <c r="S426">
        <f>IFERROR(O426/N426,0)</f>
        <v/>
      </c>
    </row>
    <row r="427">
      <c r="A427">
        <f>Skills!A9</f>
        <v/>
      </c>
      <c r="B427">
        <f>Skills!B9</f>
        <v/>
      </c>
      <c r="C427">
        <f>Inputs!$B$3&gt;=117</f>
        <v/>
      </c>
      <c r="D427">
        <f>IF(Skills!C9=1,60+Inputs!$B$24+Inputs!$B$28,IF(Skills!C9=2,90+Inputs!$B$25+Inputs!$B$28,IF(Skills!C9=3,120+Inputs!$B$26+Inputs!$B$28,MAX(0,(Inputs!$B$3-100)*3)+Inputs!$B$27+Inputs!$B$28)))</f>
        <v/>
      </c>
      <c r="E427">
        <f>INDEX(FactorTable!$B$2:$Y$301, MATCH(ROUND(MIN(300,MAX(1,D427)),0), FactorTable!$A$2:$A$301,0), Skills!M9+1)</f>
        <v/>
      </c>
      <c r="F427">
        <f>IF(Skills!N9=TRUE,(Skills!L9/10)*(E427/1000),Skills!L9/10)+Skills!O9</f>
        <v/>
      </c>
      <c r="G427">
        <f>Skills!G9*IF(Skills!H9&gt;0,Skills!I9/Skills!H9,1)</f>
        <v/>
      </c>
      <c r="H427">
        <f>1-(1-Skills!J9/100)^Skills!K9</f>
        <v/>
      </c>
      <c r="I427" t="inlineStr">
        <is>
          <t>1</t>
        </is>
      </c>
      <c r="J427">
        <f>(Inputs!$B$5*(1+Inputs!$B$6/100))*(F427/100)</f>
        <v/>
      </c>
      <c r="K427">
        <f>J427*(1+((Inputs!$B$11*(1+Inputs!$B$12/100))*0.01+Inputs!$B$13*0.0025)/100)*(1+Inputs!$B$14/100)*(1+IF(Inputs!$B$4="pvp",0,(1-Summary!$B$55)*(Inputs!$B$19+0+Skills!P9+B452)+Summary!$B$55*(Inputs!$B$20+Skills!Q9+B452))/100)*(1+Inputs!$B$15/100)*(5000/(6000+Inputs!$B$7*(1-Inputs!$B$18/100)))*(1+(Inputs!$B$23+((C448=TRUE)*(F448-Calc!F30)))/100)*(1+(IF(Skills!A9="CRUEL_STAB",Inputs!$B$16+((C445=TRUE)*(F445-Calc!F27)),Inputs!$B$17+((C446=TRUE)*(F446-Calc!F28))))/100)*(((1+(((C439=TRUE)*F439*IF(AND(Inputs!$B$4&lt;&gt;"pvp",Inputs!$B$35&gt;0),(((S439-1)*(Skills!Y21*(1+Inputs!$B$33/100))+MIN((Skills!Y21*(1+Inputs!$B$33/100)),MAX(0,Inputs!$B$35-((S439-1)*Skills!D21))))/Inputs!$B$35),IF(Inputs!$B$4="pvp",MIN((Skills!Y21*(1+Inputs!$B$33/100)),15)/15,(Skills!Y21*(1+Inputs!$B$33/100))/Skills!D21)))+((C441=TRUE)*(F441-Calc!F23))+((C435=TRUE)*(F435-Calc!F17)))/100)*(1+((C428=TRUE)*F428*IF(AND(Inputs!$B$4&lt;&gt;"pvp",Inputs!$B$35&gt;0),(((S428-1)*(Skills!Y10*(1+Inputs!$B$33/100))+MIN((Skills!Y10*(1+Inputs!$B$33/100)),MAX(0,Inputs!$B$35-((S428-1)*Skills!D10))))/Inputs!$B$35),IF(Inputs!$B$4="pvp",MIN((Skills!Y10*(1+Inputs!$B$33/100)),15)/15,(Skills!Y10*(1+Inputs!$B$33/100))/Skills!D10)))/100)*(1+((C433=TRUE)*F433*IF(AND(Inputs!$B$4&lt;&gt;"pvp",Inputs!$B$35&gt;0),(((S433-1)*(Skills!Y15*(1+Inputs!$B$33/100))+MIN((Skills!Y15*(1+Inputs!$B$33/100)),MAX(0,Inputs!$B$35-((S433-1)*Skills!D15))))/Inputs!$B$35),IF(Inputs!$B$4="pvp",MIN((Skills!Y15*(1+Inputs!$B$33/100)),15)/15,(Skills!Y15*(1+Inputs!$B$33/100))/Skills!D15)))/100))*B453*I427)</f>
        <v/>
      </c>
      <c r="L427">
        <f>K427*(MIN((Inputs!$B$21+1)+((C442=TRUE)*(F442-Calc!F24)),Inputs!$B$22+((C447=TRUE)*(F447-Calc!F29)))/100+(Inputs!$B$22+((C447=TRUE)*(F447-Calc!F29)))/100)/2</f>
        <v/>
      </c>
      <c r="M427">
        <f>L427*(1+(Inputs!$B$9+((C444=TRUE)*(F444-Calc!F26))+B458)/100)</f>
        <v/>
      </c>
      <c r="N427">
        <f>L427*(1-MIN((Inputs!$B$8+((C443=TRUE)*(F443-Calc!F25))+B451),100)/100)+M427*(MIN((Inputs!$B$8+((C443=TRUE)*(F443-Calc!F25))+B451),100)/100)</f>
        <v/>
      </c>
      <c r="O427">
        <f>IF(C427,0.2*SUMPRODUCT((Skills!Z2:Z30=TRUE)*(C420:C448=TRUE)*S420:S448)*N427,0)</f>
        <v/>
      </c>
      <c r="P427">
        <f>IF(B463=0,0,O427/B463)</f>
        <v/>
      </c>
      <c r="Q427" t="n">
        <v>0</v>
      </c>
      <c r="R427" t="n">
        <v>0</v>
      </c>
      <c r="S427" t="n">
        <v>0</v>
      </c>
    </row>
    <row r="428">
      <c r="A428">
        <f>Skills!A10</f>
        <v/>
      </c>
      <c r="B428">
        <f>Skills!B10</f>
        <v/>
      </c>
      <c r="C428">
        <f>Inputs!$B$3&gt;=74</f>
        <v/>
      </c>
      <c r="D428">
        <f>IF(Skills!C10=1,60+Inputs!$B$24+Inputs!$B$28,IF(Skills!C10=2,90+Inputs!$B$25+Inputs!$B$28,IF(Skills!C10=3,120+Inputs!$B$26+Inputs!$B$28,MAX(0,(Inputs!$B$3-100)*3)+Inputs!$B$27+Inputs!$B$28)))</f>
        <v/>
      </c>
      <c r="E428">
        <f>INDEX(FactorTable!$B$2:$Y$301, MATCH(ROUND(MIN(300,MAX(1,D428)),0), FactorTable!$A$2:$A$301,0), Skills!M10+1)</f>
        <v/>
      </c>
      <c r="F428">
        <f>IF(Skills!N10=TRUE,(Skills!L10/10)*(E428/1000),Skills!L10/10)+Skills!O10</f>
        <v/>
      </c>
      <c r="G428">
        <f>Skills!G10*IF(Skills!H10&gt;0,Skills!I10/Skills!H10,1)</f>
        <v/>
      </c>
      <c r="H428">
        <f>1-(1-Skills!J10/100)^Skills!K10</f>
        <v/>
      </c>
      <c r="I428" t="inlineStr">
        <is>
          <t>1</t>
        </is>
      </c>
      <c r="J428" t="inlineStr"/>
      <c r="K428" t="inlineStr"/>
      <c r="L428" t="inlineStr"/>
      <c r="M428" t="inlineStr"/>
      <c r="N428" t="inlineStr"/>
      <c r="O428" t="n">
        <v>0</v>
      </c>
      <c r="P428">
        <f>IF(B463=0,0,O428/B463)</f>
        <v/>
      </c>
      <c r="Q428">
        <f>IFERROR(1/IF(Inputs!$B$4="pvp",15,MAX(0.1,Skills!D10-IF(Skills!E10=TRUE,Inputs!$B$31,0))),0)</f>
        <v/>
      </c>
      <c r="R428">
        <f>IF(AND(Inputs!$B$4&lt;&gt;"pvp",Inputs!$B$35&gt;0),(INT(Inputs!$B$35/IF(Inputs!$B$4="pvp",15,MAX(0.1,Skills!D10-IF(Skills!E10=TRUE,Inputs!$B$31,0))))+1),0)</f>
        <v/>
      </c>
      <c r="S428">
        <f>IFERROR(O428/N428,0)</f>
        <v/>
      </c>
    </row>
    <row r="429">
      <c r="A429">
        <f>Skills!A11</f>
        <v/>
      </c>
      <c r="B429">
        <f>Skills!B11</f>
        <v/>
      </c>
      <c r="C429">
        <f>Inputs!$B$3&gt;=103</f>
        <v/>
      </c>
      <c r="D429">
        <f>IF(Skills!C11=1,60+Inputs!$B$24+Inputs!$B$28,IF(Skills!C11=2,90+Inputs!$B$25+Inputs!$B$28,IF(Skills!C11=3,120+Inputs!$B$26+Inputs!$B$28,MAX(0,(Inputs!$B$3-100)*3)+Inputs!$B$27+Inputs!$B$28)))</f>
        <v/>
      </c>
      <c r="E429">
        <f>INDEX(FactorTable!$B$2:$Y$301, MATCH(ROUND(MIN(300,MAX(1,D429)),0), FactorTable!$A$2:$A$301,0), Skills!M11+1)</f>
        <v/>
      </c>
      <c r="F429">
        <f>(Skills!L11/10)*(E429/1000)+IF(Inputs!$B$3&gt;=134,50,0)+0.5*(30000/10)*(INDEX(FactorTable!$B$2:$Y$301, MATCH(ROUND(MIN(300,MAX(1,D429)),0), FactorTable!$A$2:$A$301,0), 13)/1000)*B461</f>
        <v/>
      </c>
      <c r="G429">
        <f>Skills!G11*IF(Skills!H11&gt;0,Skills!I11/Skills!H11,1)</f>
        <v/>
      </c>
      <c r="H429">
        <f>1-(1-Skills!J11/100)^Skills!K11</f>
        <v/>
      </c>
      <c r="I429" t="inlineStr">
        <is>
          <t>1</t>
        </is>
      </c>
      <c r="J429">
        <f>(Inputs!$B$5*(1+Inputs!$B$6/100))*(F429/100)</f>
        <v/>
      </c>
      <c r="K429">
        <f>J429*(1+((Inputs!$B$11*(1+Inputs!$B$12/100))*0.01+Inputs!$B$13*0.0025)/100)*(1+Inputs!$B$14/100)*(1+IF(Inputs!$B$4="pvp",0,(1-Summary!$B$55)*(Inputs!$B$19+0+Skills!P11+B452)+Summary!$B$55*(Inputs!$B$20+Skills!Q11+B452))/100)*(1+Inputs!$B$15/100)*(5000/(6000+Inputs!$B$7*(1-Inputs!$B$18/100)))*(1+(Inputs!$B$23+((C448=TRUE)*(F448-Calc!F30)))/100)*(1+(IF(Skills!A11="CRUEL_STAB",Inputs!$B$16+((C445=TRUE)*(F445-Calc!F27)),Inputs!$B$17+((C446=TRUE)*(F446-Calc!F28))))/100)*(((1+(((C439=TRUE)*F439*IF(AND(Inputs!$B$4&lt;&gt;"pvp",Inputs!$B$35&gt;0),(((S439-1)*(Skills!Y21*(1+Inputs!$B$33/100))+MIN((Skills!Y21*(1+Inputs!$B$33/100)),MAX(0,Inputs!$B$35-((S439-1)*Skills!D21))))/Inputs!$B$35),IF(Inputs!$B$4="pvp",MIN((Skills!Y21*(1+Inputs!$B$33/100)),15)/15,(Skills!Y21*(1+Inputs!$B$33/100))/Skills!D21)))+((C441=TRUE)*(F441-Calc!F23))+((C435=TRUE)*(F435-Calc!F17)))/100)*(1+((C428=TRUE)*F428*IF(AND(Inputs!$B$4&lt;&gt;"pvp",Inputs!$B$35&gt;0),(((S428-1)*(Skills!Y10*(1+Inputs!$B$33/100))+MIN((Skills!Y10*(1+Inputs!$B$33/100)),MAX(0,Inputs!$B$35-((S428-1)*Skills!D10))))/Inputs!$B$35),IF(Inputs!$B$4="pvp",MIN((Skills!Y10*(1+Inputs!$B$33/100)),15)/15,(Skills!Y10*(1+Inputs!$B$33/100))/Skills!D10)))/100)*(1+((C433=TRUE)*F433*IF(AND(Inputs!$B$4&lt;&gt;"pvp",Inputs!$B$35&gt;0),(((S433-1)*(Skills!Y15*(1+Inputs!$B$33/100))+MIN((Skills!Y15*(1+Inputs!$B$33/100)),MAX(0,Inputs!$B$35-((S433-1)*Skills!D15))))/Inputs!$B$35),IF(Inputs!$B$4="pvp",MIN((Skills!Y15*(1+Inputs!$B$33/100)),15)/15,(Skills!Y15*(1+Inputs!$B$33/100))/Skills!D15)))/100))*B453*I429)</f>
        <v/>
      </c>
      <c r="L429">
        <f>K429*(MIN((Inputs!$B$21+1)+((C442=TRUE)*(F442-Calc!F24)),Inputs!$B$22+((C447=TRUE)*(F447-Calc!F29)))/100+(Inputs!$B$22+((C447=TRUE)*(F447-Calc!F29)))/100)/2</f>
        <v/>
      </c>
      <c r="M429">
        <f>L429*(1+(Inputs!$B$9+((C444=TRUE)*(F444-Calc!F26))+B458)/100)</f>
        <v/>
      </c>
      <c r="N429">
        <f>L429*(1-MIN((Inputs!$B$8+((C443=TRUE)*(F443-Calc!F25))+B451),100)/100)+M429*(MIN((Inputs!$B$8+((C443=TRUE)*(F443-Calc!F25))+B451),100)/100)</f>
        <v/>
      </c>
      <c r="O429">
        <f>IF(C429,H429*N429*IF(AND(Inputs!$B$4&lt;&gt;"pvp",Inputs!$B$35&gt;0),((Skills!G11*((R429-1)*IF(Skills!H11&gt;0,Skills!I11/Skills!H11,1)+IF(Skills!H11&gt;0,MIN(Skills!I11,MAX(0,Inputs!$B$35-((R429-1)*IF(Inputs!$B$4="pvp",15,MAX(0.1,Skills!D11-IF(Skills!E11=TRUE,Inputs!$B$31,0))))))/Skills!H11,1)))/Inputs!$B$35),G429*Q429)*IF(Inputs!$B$4="pvp",1,(1-Summary!$B$55)*(1)+Summary!$B$55*(MIN(Skills!W11,Inputs!$B$37))),0)</f>
        <v/>
      </c>
      <c r="P429">
        <f>IF(B463=0,0,O429/B463)</f>
        <v/>
      </c>
      <c r="Q429">
        <f>IFERROR(1/IF(Inputs!$B$4="pvp",15,MAX(0.1,Skills!D11-IF(Skills!E11=TRUE,Inputs!$B$31,0))),0)</f>
        <v/>
      </c>
      <c r="R429">
        <f>IF(AND(Inputs!$B$4&lt;&gt;"pvp",Inputs!$B$35&gt;0),(INT(Inputs!$B$35/IF(Inputs!$B$4="pvp",15,MAX(0.1,Skills!D11-IF(Skills!E11=TRUE,Inputs!$B$31,0))))+1),0)</f>
        <v/>
      </c>
      <c r="S429">
        <f>IFERROR(O429/N429,0)</f>
        <v/>
      </c>
    </row>
    <row r="430">
      <c r="A430">
        <f>Skills!A12</f>
        <v/>
      </c>
      <c r="B430">
        <f>Skills!B12</f>
        <v/>
      </c>
      <c r="C430">
        <f>Inputs!$B$3&gt;=105</f>
        <v/>
      </c>
      <c r="D430">
        <f>IF(Skills!C12=1,60+Inputs!$B$24+Inputs!$B$28,IF(Skills!C12=2,90+Inputs!$B$25+Inputs!$B$28,IF(Skills!C12=3,120+Inputs!$B$26+Inputs!$B$28,MAX(0,(Inputs!$B$3-100)*3)+Inputs!$B$27+Inputs!$B$28)))</f>
        <v/>
      </c>
      <c r="E430">
        <f>INDEX(FactorTable!$B$2:$Y$301, MATCH(ROUND(MIN(300,MAX(1,D430)),0), FactorTable!$A$2:$A$301,0), Skills!M12+1)</f>
        <v/>
      </c>
      <c r="F430">
        <f>IF(Skills!N12=TRUE,(Skills!L12/10)*(E430/1000),Skills!L12/10)+Skills!O12</f>
        <v/>
      </c>
      <c r="G430">
        <f>Skills!G12*IF(Skills!H12&gt;0,Skills!I12/Skills!H12,1)</f>
        <v/>
      </c>
      <c r="H430">
        <f>1-(1-Skills!J12/100)^Skills!K12</f>
        <v/>
      </c>
      <c r="I430" t="inlineStr">
        <is>
          <t>1</t>
        </is>
      </c>
      <c r="J430">
        <f>(Inputs!$B$5*(1+Inputs!$B$6/100))*(F430/100)</f>
        <v/>
      </c>
      <c r="K430">
        <f>J430*(1+((Inputs!$B$11*(1+Inputs!$B$12/100))*0.01+Inputs!$B$13*0.0025)/100)*(1+Inputs!$B$14/100)*(1+IF(Inputs!$B$4="pvp",0,(1-Summary!$B$55)*(Inputs!$B$19+0+Skills!P12+B452)+Summary!$B$55*(Inputs!$B$20+Skills!Q12+B452))/100)*(1+Inputs!$B$15/100)*(5000/(6000+Inputs!$B$7*(1-Inputs!$B$18/100)))*(1+(Inputs!$B$23+((C448=TRUE)*(F448-Calc!F30)))/100)*(1+(IF(Skills!A12="CRUEL_STAB",Inputs!$B$16+((C445=TRUE)*(F445-Calc!F27)),Inputs!$B$17+((C446=TRUE)*(F446-Calc!F28))))/100)*(((1+(((C439=TRUE)*F439*IF(AND(Inputs!$B$4&lt;&gt;"pvp",Inputs!$B$35&gt;0),(((S439-1)*(Skills!Y21*(1+Inputs!$B$33/100))+MIN((Skills!Y21*(1+Inputs!$B$33/100)),MAX(0,Inputs!$B$35-((S439-1)*Skills!D21))))/Inputs!$B$35),IF(Inputs!$B$4="pvp",MIN((Skills!Y21*(1+Inputs!$B$33/100)),15)/15,(Skills!Y21*(1+Inputs!$B$33/100))/Skills!D21)))+((C441=TRUE)*(F441-Calc!F23))+((C435=TRUE)*(F435-Calc!F17)))/100)*(1+((C428=TRUE)*F428*IF(AND(Inputs!$B$4&lt;&gt;"pvp",Inputs!$B$35&gt;0),(((S428-1)*(Skills!Y10*(1+Inputs!$B$33/100))+MIN((Skills!Y10*(1+Inputs!$B$33/100)),MAX(0,Inputs!$B$35-((S428-1)*Skills!D10))))/Inputs!$B$35),IF(Inputs!$B$4="pvp",MIN((Skills!Y10*(1+Inputs!$B$33/100)),15)/15,(Skills!Y10*(1+Inputs!$B$33/100))/Skills!D10)))/100)*(1+((C433=TRUE)*F433*IF(AND(Inputs!$B$4&lt;&gt;"pvp",Inputs!$B$35&gt;0),(((S433-1)*(Skills!Y15*(1+Inputs!$B$33/100))+MIN((Skills!Y15*(1+Inputs!$B$33/100)),MAX(0,Inputs!$B$35-((S433-1)*Skills!D15))))/Inputs!$B$35),IF(Inputs!$B$4="pvp",MIN((Skills!Y15*(1+Inputs!$B$33/100)),15)/15,(Skills!Y15*(1+Inputs!$B$33/100))/Skills!D15)))/100))*B453*I430)</f>
        <v/>
      </c>
      <c r="L430">
        <f>K430*(MIN((Inputs!$B$21+1)+((C442=TRUE)*(F442-Calc!F24)),Inputs!$B$22+((C447=TRUE)*(F447-Calc!F29)))/100+(Inputs!$B$22+((C447=TRUE)*(F447-Calc!F29)))/100)/2</f>
        <v/>
      </c>
      <c r="M430">
        <f>L430*(1+(Inputs!$B$9+((C444=TRUE)*(F444-Calc!F26))+B458)/100)</f>
        <v/>
      </c>
      <c r="N430">
        <f>L430*(1-MIN((Inputs!$B$8+((C443=TRUE)*(F443-Calc!F25))+B451),100)/100)+M430*(MIN((Inputs!$B$8+((C443=TRUE)*(F443-Calc!F25))+B451),100)/100)</f>
        <v/>
      </c>
      <c r="O430">
        <f>IF(C430,H430*N430*IF(AND(Inputs!$B$4&lt;&gt;"pvp",Inputs!$B$35&gt;0),((Skills!G12*((R430-1)*IF(Skills!H12&gt;0,Skills!I12/Skills!H12,1)+IF(Skills!H12&gt;0,MIN(Skills!I12,MAX(0,Inputs!$B$35-((R430-1)*IF(Inputs!$B$4="pvp",15,MAX(0.1,Skills!D12-IF(Skills!E12=TRUE,Inputs!$B$31,0))))))/Skills!H12,1)))/Inputs!$B$35),G430*Q430)*IF(Inputs!$B$4="pvp",1,(1-Summary!$B$55)*(1)+Summary!$B$55*(MIN(Skills!W12,Inputs!$B$37))),0)</f>
        <v/>
      </c>
      <c r="P430">
        <f>IF(B463=0,0,O430/B463)</f>
        <v/>
      </c>
      <c r="Q430">
        <f>IFERROR(1/IF(Inputs!$B$4="pvp",15,MAX(0.1,Skills!D12-IF(Skills!E12=TRUE,Inputs!$B$31,0))),0)</f>
        <v/>
      </c>
      <c r="R430">
        <f>IF(AND(Inputs!$B$4&lt;&gt;"pvp",Inputs!$B$35&gt;0),(INT(Inputs!$B$35/IF(Inputs!$B$4="pvp",15,MAX(0.1,Skills!D12-IF(Skills!E12=TRUE,Inputs!$B$31,0))))+1),0)</f>
        <v/>
      </c>
      <c r="S430">
        <f>IFERROR(O430/N430,0)</f>
        <v/>
      </c>
    </row>
    <row r="431">
      <c r="A431">
        <f>Skills!A13</f>
        <v/>
      </c>
      <c r="B431">
        <f>Skills!B13</f>
        <v/>
      </c>
      <c r="C431">
        <f>Inputs!$B$3&gt;=105</f>
        <v/>
      </c>
      <c r="D431">
        <f>IF(Skills!C13=1,60+Inputs!$B$24+Inputs!$B$28,IF(Skills!C13=2,90+Inputs!$B$25+Inputs!$B$28,IF(Skills!C13=3,120+Inputs!$B$26+Inputs!$B$28,MAX(0,(Inputs!$B$3-100)*3)+Inputs!$B$27+Inputs!$B$28)))</f>
        <v/>
      </c>
      <c r="E431">
        <f>INDEX(FactorTable!$B$2:$Y$301, MATCH(ROUND(MIN(300,MAX(1,D431)),0), FactorTable!$A$2:$A$301,0), Skills!M13+1)</f>
        <v/>
      </c>
      <c r="F431">
        <f>IF(Skills!N13=TRUE,(Skills!L13/10)*(E431/1000),Skills!L13/10)+Skills!O13</f>
        <v/>
      </c>
      <c r="G431">
        <f>Skills!G13*IF(Skills!H13&gt;0,Skills!I13/Skills!H13,1)</f>
        <v/>
      </c>
      <c r="H431">
        <f>1-(1-Skills!J13/100)^Skills!K13</f>
        <v/>
      </c>
      <c r="I431" t="inlineStr">
        <is>
          <t>1</t>
        </is>
      </c>
      <c r="J431">
        <f>(Inputs!$B$5*(1+Inputs!$B$6/100))*(F431/100)</f>
        <v/>
      </c>
      <c r="K431">
        <f>J431*(1+((Inputs!$B$11*(1+Inputs!$B$12/100))*0.01+Inputs!$B$13*0.0025)/100)*(1+Inputs!$B$14/100)*(1+IF(Inputs!$B$4="pvp",0,(1-Summary!$B$55)*(Inputs!$B$19+0+Skills!P13+B452)+Summary!$B$55*(Inputs!$B$20+Skills!Q13+B452))/100)*(1+Inputs!$B$15/100)*(5000/(6000+Inputs!$B$7*(1-Inputs!$B$18/100)))*(1+(Inputs!$B$23+((C448=TRUE)*(F448-Calc!F30)))/100)*(1+(IF(Skills!A13="CRUEL_STAB",Inputs!$B$16+((C445=TRUE)*(F445-Calc!F27)),Inputs!$B$17+((C446=TRUE)*(F446-Calc!F28))))/100)*(((1+(((C439=TRUE)*F439*IF(AND(Inputs!$B$4&lt;&gt;"pvp",Inputs!$B$35&gt;0),(((S439-1)*(Skills!Y21*(1+Inputs!$B$33/100))+MIN((Skills!Y21*(1+Inputs!$B$33/100)),MAX(0,Inputs!$B$35-((S439-1)*Skills!D21))))/Inputs!$B$35),IF(Inputs!$B$4="pvp",MIN((Skills!Y21*(1+Inputs!$B$33/100)),15)/15,(Skills!Y21*(1+Inputs!$B$33/100))/Skills!D21)))+((C441=TRUE)*(F441-Calc!F23))+((C435=TRUE)*(F435-Calc!F17)))/100)*(1+((C428=TRUE)*F428*IF(AND(Inputs!$B$4&lt;&gt;"pvp",Inputs!$B$35&gt;0),(((S428-1)*(Skills!Y10*(1+Inputs!$B$33/100))+MIN((Skills!Y10*(1+Inputs!$B$33/100)),MAX(0,Inputs!$B$35-((S428-1)*Skills!D10))))/Inputs!$B$35),IF(Inputs!$B$4="pvp",MIN((Skills!Y10*(1+Inputs!$B$33/100)),15)/15,(Skills!Y10*(1+Inputs!$B$33/100))/Skills!D10)))/100)*(1+((C433=TRUE)*F433*IF(AND(Inputs!$B$4&lt;&gt;"pvp",Inputs!$B$35&gt;0),(((S433-1)*(Skills!Y15*(1+Inputs!$B$33/100))+MIN((Skills!Y15*(1+Inputs!$B$33/100)),MAX(0,Inputs!$B$35-((S433-1)*Skills!D15))))/Inputs!$B$35),IF(Inputs!$B$4="pvp",MIN((Skills!Y15*(1+Inputs!$B$33/100)),15)/15,(Skills!Y15*(1+Inputs!$B$33/100))/Skills!D15)))/100))*B453*I431)</f>
        <v/>
      </c>
      <c r="L431">
        <f>K431*(MIN((Inputs!$B$21+1)+((C442=TRUE)*(F442-Calc!F24)),Inputs!$B$22+((C447=TRUE)*(F447-Calc!F29)))/100+(Inputs!$B$22+((C447=TRUE)*(F447-Calc!F29)))/100)/2</f>
        <v/>
      </c>
      <c r="M431">
        <f>L431*(1+(Inputs!$B$9+((C444=TRUE)*(F444-Calc!F26))+B458)/100)</f>
        <v/>
      </c>
      <c r="N431">
        <f>L431*(1-MIN((Inputs!$B$8+((C443=TRUE)*(F443-Calc!F25))+B451),100)/100)+M431*(MIN((Inputs!$B$8+((C443=TRUE)*(F443-Calc!F25))+B451),100)/100)</f>
        <v/>
      </c>
      <c r="O431">
        <f>IF(C431,H431*N431*IF(AND(Inputs!$B$4&lt;&gt;"pvp",Inputs!$B$35&gt;0),((Skills!G13*((R431-1)*IF(Skills!H13&gt;0,Skills!I13/Skills!H13,1)+IF(Skills!H13&gt;0,MIN(Skills!I13,MAX(0,Inputs!$B$35-((R431-1)*IF(Inputs!$B$4="pvp",15,MAX(0.1,Skills!D13-IF(Skills!E13=TRUE,Inputs!$B$31,0))))))/Skills!H13,1)))/Inputs!$B$35),G431*Q431)*IF(Inputs!$B$4="pvp",1,(1-Summary!$B$55)*(1)+Summary!$B$55*(MIN(Skills!W13,Inputs!$B$37))),0)</f>
        <v/>
      </c>
      <c r="P431">
        <f>IF(B463=0,0,O431/B463)</f>
        <v/>
      </c>
      <c r="Q431">
        <f>IFERROR(1/IF(Inputs!$B$4="pvp",15,MAX(0.1,Skills!D13-IF(Skills!E13=TRUE,Inputs!$B$31,0))),0)</f>
        <v/>
      </c>
      <c r="R431">
        <f>IF(AND(Inputs!$B$4&lt;&gt;"pvp",Inputs!$B$35&gt;0),(INT(Inputs!$B$35/IF(Inputs!$B$4="pvp",15,MAX(0.1,Skills!D13-IF(Skills!E13=TRUE,Inputs!$B$31,0))))+1),0)</f>
        <v/>
      </c>
      <c r="S431">
        <f>IFERROR(O431/N431,0)</f>
        <v/>
      </c>
    </row>
    <row r="432">
      <c r="A432">
        <f>Skills!A14</f>
        <v/>
      </c>
      <c r="B432">
        <f>Skills!B14</f>
        <v/>
      </c>
      <c r="C432">
        <f>Inputs!$B$3&gt;=107</f>
        <v/>
      </c>
      <c r="D432">
        <f>IF(Skills!C14=1,60+Inputs!$B$24+Inputs!$B$28,IF(Skills!C14=2,90+Inputs!$B$25+Inputs!$B$28,IF(Skills!C14=3,120+Inputs!$B$26+Inputs!$B$28,MAX(0,(Inputs!$B$3-100)*3)+Inputs!$B$27+Inputs!$B$28)))</f>
        <v/>
      </c>
      <c r="E432">
        <f>INDEX(FactorTable!$B$2:$Y$301, MATCH(ROUND(MIN(300,MAX(1,D432)),0), FactorTable!$A$2:$A$301,0), Skills!M14+1)</f>
        <v/>
      </c>
      <c r="F432">
        <f>IF(Skills!N14=TRUE,(Skills!L14/10)*(E432/1000),Skills!L14/10)+Skills!O14</f>
        <v/>
      </c>
      <c r="G432">
        <f>Skills!G14*IF(Skills!H14&gt;0,Skills!I14/Skills!H14,1)</f>
        <v/>
      </c>
      <c r="H432">
        <f>1-(1-Skills!J14/100)^Skills!K14</f>
        <v/>
      </c>
      <c r="I432" t="inlineStr">
        <is>
          <t>1</t>
        </is>
      </c>
      <c r="J432">
        <f>(Inputs!$B$5*(1+Inputs!$B$6/100))*(F432/100)</f>
        <v/>
      </c>
      <c r="K432">
        <f>J432*(1+((Inputs!$B$11*(1+Inputs!$B$12/100))*0.01+Inputs!$B$13*0.0025)/100)*(1+Inputs!$B$14/100)*(1+IF(Inputs!$B$4="pvp",0,(1-Summary!$B$55)*(Inputs!$B$19+0+Skills!P14+B452)+Summary!$B$55*(Inputs!$B$20+Skills!Q14+B452))/100)*(1+Inputs!$B$15/100)*(5000/(6000+Inputs!$B$7*(1-Inputs!$B$18/100)))*(1+(Inputs!$B$23+((C448=TRUE)*(F448-Calc!F30)))/100)*(1+(IF(Skills!A14="CRUEL_STAB",Inputs!$B$16+((C445=TRUE)*(F445-Calc!F27)),Inputs!$B$17+((C446=TRUE)*(F446-Calc!F28))))/100)*(((1+(((C439=TRUE)*F439*IF(AND(Inputs!$B$4&lt;&gt;"pvp",Inputs!$B$35&gt;0),(((S439-1)*(Skills!Y21*(1+Inputs!$B$33/100))+MIN((Skills!Y21*(1+Inputs!$B$33/100)),MAX(0,Inputs!$B$35-((S439-1)*Skills!D21))))/Inputs!$B$35),IF(Inputs!$B$4="pvp",MIN((Skills!Y21*(1+Inputs!$B$33/100)),15)/15,(Skills!Y21*(1+Inputs!$B$33/100))/Skills!D21)))+((C441=TRUE)*(F441-Calc!F23))+((C435=TRUE)*(F435-Calc!F17)))/100)*(1+((C428=TRUE)*F428*IF(AND(Inputs!$B$4&lt;&gt;"pvp",Inputs!$B$35&gt;0),(((S428-1)*(Skills!Y10*(1+Inputs!$B$33/100))+MIN((Skills!Y10*(1+Inputs!$B$33/100)),MAX(0,Inputs!$B$35-((S428-1)*Skills!D10))))/Inputs!$B$35),IF(Inputs!$B$4="pvp",MIN((Skills!Y10*(1+Inputs!$B$33/100)),15)/15,(Skills!Y10*(1+Inputs!$B$33/100))/Skills!D10)))/100)*(1+((C433=TRUE)*F433*IF(AND(Inputs!$B$4&lt;&gt;"pvp",Inputs!$B$35&gt;0),(((S433-1)*(Skills!Y15*(1+Inputs!$B$33/100))+MIN((Skills!Y15*(1+Inputs!$B$33/100)),MAX(0,Inputs!$B$35-((S433-1)*Skills!D15))))/Inputs!$B$35),IF(Inputs!$B$4="pvp",MIN((Skills!Y15*(1+Inputs!$B$33/100)),15)/15,(Skills!Y15*(1+Inputs!$B$33/100))/Skills!D15)))/100))*B453*I432)</f>
        <v/>
      </c>
      <c r="L432">
        <f>K432*(MIN((Inputs!$B$21+1)+((C442=TRUE)*(F442-Calc!F24)),Inputs!$B$22+((C447=TRUE)*(F447-Calc!F29)))/100+(Inputs!$B$22+((C447=TRUE)*(F447-Calc!F29)))/100)/2</f>
        <v/>
      </c>
      <c r="M432">
        <f>L432*(1+(Inputs!$B$9+((C444=TRUE)*(F444-Calc!F26))+B458)/100)</f>
        <v/>
      </c>
      <c r="N432">
        <f>L432*(1-MIN((Inputs!$B$8+((C443=TRUE)*(F443-Calc!F25))+B451),100)/100)+M432*(MIN((Inputs!$B$8+((C443=TRUE)*(F443-Calc!F25))+B451),100)/100)</f>
        <v/>
      </c>
      <c r="O432">
        <f>IF(C432,H432*N432*IF(AND(Inputs!$B$4&lt;&gt;"pvp",Inputs!$B$35&gt;0),((Skills!G14*((R432-1)*IF(Skills!H14&gt;0,Skills!I14/Skills!H14,1)+IF(Skills!H14&gt;0,MIN(Skills!I14,MAX(0,Inputs!$B$35-((R432-1)*IF(Inputs!$B$4="pvp",15,MAX(0.1,Skills!D14-IF(Skills!E14=TRUE,Inputs!$B$31,0))))))/Skills!H14,1)))/Inputs!$B$35),G432*Q432)*IF(Inputs!$B$4="pvp",1,(1-Summary!$B$55)*(1)+Summary!$B$55*(MIN(MIN(5,0.25*B455*Skills!D4)*Skills!V14,Inputs!$B$37))),0)</f>
        <v/>
      </c>
      <c r="P432">
        <f>IF(B463=0,0,O432/B463)</f>
        <v/>
      </c>
      <c r="Q432">
        <f>IFERROR(1/IF(Inputs!$B$4="pvp",15,MAX(0.1,Skills!D14-IF(Skills!E14=TRUE,Inputs!$B$31,0))),0)</f>
        <v/>
      </c>
      <c r="R432">
        <f>IF(AND(Inputs!$B$4&lt;&gt;"pvp",Inputs!$B$35&gt;0),(INT(Inputs!$B$35/IF(Inputs!$B$4="pvp",15,MAX(0.1,Skills!D14-IF(Skills!E14=TRUE,Inputs!$B$31,0))))+1),0)</f>
        <v/>
      </c>
      <c r="S432">
        <f>IFERROR(O432/N432,0)</f>
        <v/>
      </c>
    </row>
    <row r="433">
      <c r="A433">
        <f>Skills!A15</f>
        <v/>
      </c>
      <c r="B433">
        <f>Skills!B15</f>
        <v/>
      </c>
      <c r="C433">
        <f>Inputs!$B$3&gt;=110</f>
        <v/>
      </c>
      <c r="D433">
        <f>IF(Skills!C15=1,60+Inputs!$B$24+Inputs!$B$28,IF(Skills!C15=2,90+Inputs!$B$25+Inputs!$B$28,IF(Skills!C15=3,120+Inputs!$B$26+Inputs!$B$28,MAX(0,(Inputs!$B$3-100)*3)+Inputs!$B$27+Inputs!$B$28)))</f>
        <v/>
      </c>
      <c r="E433">
        <f>INDEX(FactorTable!$B$2:$Y$301, MATCH(ROUND(MIN(300,MAX(1,D433)),0), FactorTable!$A$2:$A$301,0), Skills!M15+1)</f>
        <v/>
      </c>
      <c r="F433">
        <f>IF(Skills!N15=TRUE,(Skills!L15/10)*(E433/1000),Skills!L15/10)+Skills!O15</f>
        <v/>
      </c>
      <c r="G433">
        <f>Skills!G15*IF(Skills!H15&gt;0,Skills!I15/Skills!H15,1)</f>
        <v/>
      </c>
      <c r="H433">
        <f>1-(1-Skills!J15/100)^Skills!K15</f>
        <v/>
      </c>
      <c r="I433" t="inlineStr">
        <is>
          <t>1</t>
        </is>
      </c>
      <c r="J433" t="inlineStr"/>
      <c r="K433" t="inlineStr"/>
      <c r="L433" t="inlineStr"/>
      <c r="M433" t="inlineStr"/>
      <c r="N433" t="inlineStr"/>
      <c r="O433" t="n">
        <v>0</v>
      </c>
      <c r="P433">
        <f>IF(B463=0,0,O433/B463)</f>
        <v/>
      </c>
      <c r="Q433">
        <f>IFERROR(1/IF(Inputs!$B$4="pvp",15,MAX(0.1,Skills!D15-IF(Skills!E15=TRUE,Inputs!$B$31,0))),0)</f>
        <v/>
      </c>
      <c r="R433">
        <f>IF(AND(Inputs!$B$4&lt;&gt;"pvp",Inputs!$B$35&gt;0),(INT(Inputs!$B$35/IF(Inputs!$B$4="pvp",15,MAX(0.1,Skills!D15-IF(Skills!E15=TRUE,Inputs!$B$31,0))))+1),0)</f>
        <v/>
      </c>
      <c r="S433">
        <f>IFERROR(O433/N433,0)</f>
        <v/>
      </c>
    </row>
    <row r="434">
      <c r="A434">
        <f>Skills!A16</f>
        <v/>
      </c>
      <c r="B434">
        <f>Skills!B16</f>
        <v/>
      </c>
      <c r="C434">
        <f>Inputs!$B$3&gt;=115</f>
        <v/>
      </c>
      <c r="D434">
        <f>IF(Skills!C16=1,60+Inputs!$B$24+Inputs!$B$28,IF(Skills!C16=2,90+Inputs!$B$25+Inputs!$B$28,IF(Skills!C16=3,120+Inputs!$B$26+Inputs!$B$28,MAX(0,(Inputs!$B$3-100)*3)+Inputs!$B$27+Inputs!$B$28)))</f>
        <v/>
      </c>
      <c r="E434">
        <f>INDEX(FactorTable!$B$2:$Y$301, MATCH(ROUND(MIN(300,MAX(1,D434)),0), FactorTable!$A$2:$A$301,0), Skills!M16+1)</f>
        <v/>
      </c>
      <c r="F434">
        <f>IF(Skills!N16=TRUE,(Skills!L16/10)*(E434/1000),Skills!L16/10)+Skills!O16</f>
        <v/>
      </c>
      <c r="G434">
        <f>Skills!G16*IF(Skills!H16&gt;0,Skills!I16/Skills!H16,1)</f>
        <v/>
      </c>
      <c r="H434">
        <f>1-(1-Skills!J16/100)^Skills!K16</f>
        <v/>
      </c>
      <c r="I434" t="inlineStr">
        <is>
          <t>1</t>
        </is>
      </c>
      <c r="J434">
        <f>(Inputs!$B$5*(1+Inputs!$B$6/100))*(F434/100)</f>
        <v/>
      </c>
      <c r="K434">
        <f>J434*(1+((Inputs!$B$11*(1+Inputs!$B$12/100))*0.01+Inputs!$B$13*0.0025)/100)*(1+Inputs!$B$14/100)*(1+IF(Inputs!$B$4="pvp",0,(1-Summary!$B$55)*(Inputs!$B$19+0+Skills!P16+B452)+Summary!$B$55*(Inputs!$B$20+Skills!Q16+B452))/100)*(1+Inputs!$B$15/100)*(5000/(6000+Inputs!$B$7*(1-Inputs!$B$18/100)))*(1+(Inputs!$B$23+((C448=TRUE)*(F448-Calc!F30)))/100)*(1+(IF(Skills!A16="CRUEL_STAB",Inputs!$B$16+((C445=TRUE)*(F445-Calc!F27)),Inputs!$B$17+((C446=TRUE)*(F446-Calc!F28))))/100)*(((1+(((C439=TRUE)*F439*IF(AND(Inputs!$B$4&lt;&gt;"pvp",Inputs!$B$35&gt;0),(((S439-1)*(Skills!Y21*(1+Inputs!$B$33/100))+MIN((Skills!Y21*(1+Inputs!$B$33/100)),MAX(0,Inputs!$B$35-((S439-1)*Skills!D21))))/Inputs!$B$35),IF(Inputs!$B$4="pvp",MIN((Skills!Y21*(1+Inputs!$B$33/100)),15)/15,(Skills!Y21*(1+Inputs!$B$33/100))/Skills!D21)))+((C441=TRUE)*(F441-Calc!F23))+((C435=TRUE)*(F435-Calc!F17)))/100)*(1+((C428=TRUE)*F428*IF(AND(Inputs!$B$4&lt;&gt;"pvp",Inputs!$B$35&gt;0),(((S428-1)*(Skills!Y10*(1+Inputs!$B$33/100))+MIN((Skills!Y10*(1+Inputs!$B$33/100)),MAX(0,Inputs!$B$35-((S428-1)*Skills!D10))))/Inputs!$B$35),IF(Inputs!$B$4="pvp",MIN((Skills!Y10*(1+Inputs!$B$33/100)),15)/15,(Skills!Y10*(1+Inputs!$B$33/100))/Skills!D10)))/100)*(1+((C433=TRUE)*F433*IF(AND(Inputs!$B$4&lt;&gt;"pvp",Inputs!$B$35&gt;0),(((S433-1)*(Skills!Y15*(1+Inputs!$B$33/100))+MIN((Skills!Y15*(1+Inputs!$B$33/100)),MAX(0,Inputs!$B$35-((S433-1)*Skills!D15))))/Inputs!$B$35),IF(Inputs!$B$4="pvp",MIN((Skills!Y15*(1+Inputs!$B$33/100)),15)/15,(Skills!Y15*(1+Inputs!$B$33/100))/Skills!D15)))/100))*B453*I434)</f>
        <v/>
      </c>
      <c r="L434">
        <f>K434*(MIN((Inputs!$B$21+1)+((C442=TRUE)*(F442-Calc!F24)),Inputs!$B$22+((C447=TRUE)*(F447-Calc!F29)))/100+(Inputs!$B$22+((C447=TRUE)*(F447-Calc!F29)))/100)/2</f>
        <v/>
      </c>
      <c r="M434">
        <f>L434*(1+(Inputs!$B$9+((C444=TRUE)*(F444-Calc!F26))+B458)/100)</f>
        <v/>
      </c>
      <c r="N434">
        <f>L434*(1-MIN((Inputs!$B$8+((C443=TRUE)*(F443-Calc!F25))+B451),100)/100)+M434*(MIN((Inputs!$B$8+((C443=TRUE)*(F443-Calc!F25))+B451),100)/100)</f>
        <v/>
      </c>
      <c r="O434">
        <f>IF(C434,Inputs!$B$38*0.2*N434,0)</f>
        <v/>
      </c>
      <c r="P434">
        <f>IF(B463=0,0,O434/B463)</f>
        <v/>
      </c>
      <c r="Q434" t="n">
        <v>0</v>
      </c>
      <c r="R434" t="n">
        <v>0</v>
      </c>
      <c r="S434">
        <f>IFERROR(O434/N434,0)</f>
        <v/>
      </c>
    </row>
    <row r="435">
      <c r="A435">
        <f>Skills!A17</f>
        <v/>
      </c>
      <c r="B435">
        <f>Skills!B17</f>
        <v/>
      </c>
      <c r="C435">
        <f>Inputs!$B$3&gt;=115</f>
        <v/>
      </c>
      <c r="D435">
        <f>IF(Skills!C17=1,60+Inputs!$B$24+Inputs!$B$28,IF(Skills!C17=2,90+Inputs!$B$25+Inputs!$B$28,IF(Skills!C17=3,120+Inputs!$B$26+Inputs!$B$28,MAX(0,(Inputs!$B$3-100)*3)+Inputs!$B$27+Inputs!$B$28)))</f>
        <v/>
      </c>
      <c r="E435">
        <f>INDEX(FactorTable!$B$2:$Y$301, MATCH(ROUND(MIN(300,MAX(1,D435)),0), FactorTable!$A$2:$A$301,0), Skills!M17+1)</f>
        <v/>
      </c>
      <c r="F435">
        <f>IF(Skills!N17=TRUE,(Skills!L17/10)*(E435/1000),Skills!L17/10)+Skills!O17</f>
        <v/>
      </c>
      <c r="G435">
        <f>Skills!G17*IF(Skills!H17&gt;0,Skills!I17/Skills!H17,1)</f>
        <v/>
      </c>
      <c r="H435">
        <f>1-(1-Skills!J17/100)^Skills!K17</f>
        <v/>
      </c>
      <c r="I435" t="inlineStr">
        <is>
          <t>1</t>
        </is>
      </c>
      <c r="J435" t="inlineStr"/>
      <c r="K435" t="inlineStr"/>
      <c r="L435" t="inlineStr"/>
      <c r="M435" t="inlineStr"/>
      <c r="N435" t="inlineStr"/>
      <c r="O435" t="n">
        <v>0</v>
      </c>
      <c r="P435">
        <f>IF(B463=0,0,O435/B463)</f>
        <v/>
      </c>
      <c r="Q435" t="n">
        <v>0</v>
      </c>
      <c r="R435" t="n">
        <v>0</v>
      </c>
      <c r="S435">
        <f>IFERROR(O435/N435,0)</f>
        <v/>
      </c>
    </row>
    <row r="436">
      <c r="A436">
        <f>Skills!A18</f>
        <v/>
      </c>
      <c r="B436">
        <f>Skills!B18</f>
        <v/>
      </c>
      <c r="C436">
        <f>Inputs!$B$3&gt;=100</f>
        <v/>
      </c>
      <c r="D436">
        <f>IF(Skills!C18=1,60+Inputs!$B$24+Inputs!$B$28,IF(Skills!C18=2,90+Inputs!$B$25+Inputs!$B$28,IF(Skills!C18=3,120+Inputs!$B$26+Inputs!$B$28,MAX(0,(Inputs!$B$3-100)*3)+Inputs!$B$27+Inputs!$B$28)))</f>
        <v/>
      </c>
      <c r="E436">
        <f>INDEX(FactorTable!$B$2:$Y$301, MATCH(ROUND(MIN(300,MAX(1,D436)),0), FactorTable!$A$2:$A$301,0), Skills!M18+1)</f>
        <v/>
      </c>
      <c r="F436">
        <f>IF(Skills!N18=TRUE,(Skills!L18/10)*(E436/1000),Skills!L18/10)+Skills!O18</f>
        <v/>
      </c>
      <c r="G436">
        <f>Skills!G18*IF(Skills!H18&gt;0,Skills!I18/Skills!H18,1)</f>
        <v/>
      </c>
      <c r="H436">
        <f>1-(1-Skills!J18/100)^Skills!K18</f>
        <v/>
      </c>
      <c r="I436" t="inlineStr">
        <is>
          <t>1</t>
        </is>
      </c>
      <c r="J436" t="inlineStr"/>
      <c r="K436" t="inlineStr"/>
      <c r="L436" t="inlineStr"/>
      <c r="M436" t="inlineStr"/>
      <c r="N436" t="inlineStr"/>
      <c r="O436" t="n">
        <v>0</v>
      </c>
      <c r="P436">
        <f>IF(B463=0,0,O436/B463)</f>
        <v/>
      </c>
      <c r="Q436" t="n">
        <v>0</v>
      </c>
      <c r="R436" t="n">
        <v>0</v>
      </c>
      <c r="S436">
        <f>IFERROR(O436/N436,0)</f>
        <v/>
      </c>
    </row>
    <row r="437">
      <c r="A437">
        <f>Skills!A19</f>
        <v/>
      </c>
      <c r="B437">
        <f>Skills!B19</f>
        <v/>
      </c>
      <c r="C437">
        <f>TRUE</f>
        <v/>
      </c>
      <c r="D437">
        <f>IF(Skills!C19=1,60+Inputs!$B$24+Inputs!$B$28,IF(Skills!C19=2,90+Inputs!$B$25+Inputs!$B$28,IF(Skills!C19=3,120+Inputs!$B$26+Inputs!$B$28,MAX(0,(Inputs!$B$3-100)*3)+Inputs!$B$27+Inputs!$B$28)))</f>
        <v/>
      </c>
      <c r="E437">
        <f>INDEX(FactorTable!$B$2:$Y$301, MATCH(ROUND(MIN(300,MAX(1,D437)),0), FactorTable!$A$2:$A$301,0), Skills!M19+1)</f>
        <v/>
      </c>
      <c r="F437">
        <f>IF(Skills!N19=TRUE,(Skills!L19/10)*(E437/1000),Skills!L19/10)+Skills!O19</f>
        <v/>
      </c>
      <c r="G437">
        <f>Skills!G19*IF(Skills!H19&gt;0,Skills!I19/Skills!H19,1)</f>
        <v/>
      </c>
      <c r="H437">
        <f>1-(1-Skills!J19/100)^Skills!K19</f>
        <v/>
      </c>
      <c r="I437" t="inlineStr">
        <is>
          <t>1</t>
        </is>
      </c>
      <c r="J437" t="inlineStr"/>
      <c r="K437" t="inlineStr"/>
      <c r="L437" t="inlineStr"/>
      <c r="M437" t="inlineStr"/>
      <c r="N437" t="inlineStr"/>
      <c r="O437" t="n">
        <v>0</v>
      </c>
      <c r="P437">
        <f>IF(B463=0,0,O437/B463)</f>
        <v/>
      </c>
      <c r="Q437">
        <f>IFERROR(1/IF(Inputs!$B$4="pvp",15,MAX(0.1,Skills!D19-IF(Skills!E19=TRUE,Inputs!$B$31,0))),0)</f>
        <v/>
      </c>
      <c r="R437">
        <f>IF(AND(Inputs!$B$4&lt;&gt;"pvp",Inputs!$B$35&gt;0),(INT(Inputs!$B$35/IF(Inputs!$B$4="pvp",15,MAX(0.1,Skills!D19-IF(Skills!E19=TRUE,Inputs!$B$31,0))))+1),0)</f>
        <v/>
      </c>
      <c r="S437">
        <f>IFERROR(O437/N437,0)</f>
        <v/>
      </c>
    </row>
    <row r="438">
      <c r="A438">
        <f>Skills!A20</f>
        <v/>
      </c>
      <c r="B438">
        <f>Skills!B20</f>
        <v/>
      </c>
      <c r="C438">
        <f>Inputs!$B$3&gt;=15</f>
        <v/>
      </c>
      <c r="D438">
        <f>IF(Skills!C20=1,60+Inputs!$B$24+Inputs!$B$28,IF(Skills!C20=2,90+Inputs!$B$25+Inputs!$B$28,IF(Skills!C20=3,120+Inputs!$B$26+Inputs!$B$28,MAX(0,(Inputs!$B$3-100)*3)+Inputs!$B$27+Inputs!$B$28)))</f>
        <v/>
      </c>
      <c r="E438">
        <f>INDEX(FactorTable!$B$2:$Y$301, MATCH(ROUND(MIN(300,MAX(1,D438)),0), FactorTable!$A$2:$A$301,0), Skills!M20+1)</f>
        <v/>
      </c>
      <c r="F438">
        <f>IF(Skills!N20=TRUE,(Skills!L20/10)*(E438/1000),Skills!L20/10)+Skills!O20</f>
        <v/>
      </c>
      <c r="G438">
        <f>Skills!G20*IF(Skills!H20&gt;0,Skills!I20/Skills!H20,1)</f>
        <v/>
      </c>
      <c r="H438">
        <f>1-(1-Skills!J20/100)^Skills!K20</f>
        <v/>
      </c>
      <c r="I438" t="inlineStr">
        <is>
          <t>1</t>
        </is>
      </c>
      <c r="J438" t="inlineStr"/>
      <c r="K438" t="inlineStr"/>
      <c r="L438" t="inlineStr"/>
      <c r="M438" t="inlineStr"/>
      <c r="N438" t="inlineStr"/>
      <c r="O438" t="n">
        <v>0</v>
      </c>
      <c r="P438">
        <f>IF(B463=0,0,O438/B463)</f>
        <v/>
      </c>
      <c r="Q438">
        <f>IFERROR(1/IF(Inputs!$B$4="pvp",15,MAX(0.1,Skills!D20-IF(Skills!E20=TRUE,Inputs!$B$31,0))),0)</f>
        <v/>
      </c>
      <c r="R438">
        <f>IF(AND(Inputs!$B$4&lt;&gt;"pvp",Inputs!$B$35&gt;0),(INT(Inputs!$B$35/IF(Inputs!$B$4="pvp",15,MAX(0.1,Skills!D20-IF(Skills!E20=TRUE,Inputs!$B$31,0))))+1),0)</f>
        <v/>
      </c>
      <c r="S438">
        <f>IFERROR(O438/N438,0)</f>
        <v/>
      </c>
    </row>
    <row r="439">
      <c r="A439">
        <f>Skills!A21</f>
        <v/>
      </c>
      <c r="B439">
        <f>Skills!B21</f>
        <v/>
      </c>
      <c r="C439">
        <f>Inputs!$B$3&gt;=15</f>
        <v/>
      </c>
      <c r="D439">
        <f>IF(Skills!C21=1,60+Inputs!$B$24+Inputs!$B$28,IF(Skills!C21=2,90+Inputs!$B$25+Inputs!$B$28,IF(Skills!C21=3,120+Inputs!$B$26+Inputs!$B$28,MAX(0,(Inputs!$B$3-100)*3)+Inputs!$B$27+Inputs!$B$28)))</f>
        <v/>
      </c>
      <c r="E439">
        <f>INDEX(FactorTable!$B$2:$Y$301, MATCH(ROUND(MIN(300,MAX(1,D439)),0), FactorTable!$A$2:$A$301,0), Skills!M21+1)</f>
        <v/>
      </c>
      <c r="F439">
        <f>IF(Skills!N21=TRUE,(Skills!L21/10)*(E439/1000),Skills!L21/10)+Skills!O21</f>
        <v/>
      </c>
      <c r="G439">
        <f>Skills!G21*IF(Skills!H21&gt;0,Skills!I21/Skills!H21,1)</f>
        <v/>
      </c>
      <c r="H439">
        <f>1-(1-Skills!J21/100)^Skills!K21</f>
        <v/>
      </c>
      <c r="I439" t="inlineStr">
        <is>
          <t>1</t>
        </is>
      </c>
      <c r="J439" t="inlineStr"/>
      <c r="K439" t="inlineStr"/>
      <c r="L439" t="inlineStr"/>
      <c r="M439" t="inlineStr"/>
      <c r="N439" t="inlineStr"/>
      <c r="O439" t="n">
        <v>0</v>
      </c>
      <c r="P439">
        <f>IF(B463=0,0,O439/B463)</f>
        <v/>
      </c>
      <c r="Q439">
        <f>IFERROR(1/IF(Inputs!$B$4="pvp",15,MAX(0.1,Skills!D21-IF(Skills!E21=TRUE,Inputs!$B$31,0))),0)</f>
        <v/>
      </c>
      <c r="R439">
        <f>IF(AND(Inputs!$B$4&lt;&gt;"pvp",Inputs!$B$35&gt;0),(INT(Inputs!$B$35/IF(Inputs!$B$4="pvp",15,MAX(0.1,Skills!D21-IF(Skills!E21=TRUE,Inputs!$B$31,0))))+1),0)</f>
        <v/>
      </c>
      <c r="S439">
        <f>IFERROR(O439/N439,0)</f>
        <v/>
      </c>
    </row>
    <row r="440">
      <c r="A440">
        <f>Skills!A22</f>
        <v/>
      </c>
      <c r="B440">
        <f>Skills!B22</f>
        <v/>
      </c>
      <c r="C440">
        <f>Inputs!$B$3&gt;=33</f>
        <v/>
      </c>
      <c r="D440">
        <f>IF(Skills!C22=1,60+Inputs!$B$24+Inputs!$B$28,IF(Skills!C22=2,90+Inputs!$B$25+Inputs!$B$28,IF(Skills!C22=3,120+Inputs!$B$26+Inputs!$B$28,MAX(0,(Inputs!$B$3-100)*3)+Inputs!$B$27+Inputs!$B$28)))</f>
        <v/>
      </c>
      <c r="E440">
        <f>INDEX(FactorTable!$B$2:$Y$301, MATCH(ROUND(MIN(300,MAX(1,D440)),0), FactorTable!$A$2:$A$301,0), Skills!M22+1)</f>
        <v/>
      </c>
      <c r="F440">
        <f>IF(Skills!N22=TRUE,(Skills!L22/10)*(E440/1000),Skills!L22/10)+Skills!O22</f>
        <v/>
      </c>
      <c r="G440">
        <f>Skills!G22*IF(Skills!H22&gt;0,Skills!I22/Skills!H22,1)</f>
        <v/>
      </c>
      <c r="H440">
        <f>1-(1-Skills!J22/100)^Skills!K22</f>
        <v/>
      </c>
      <c r="I440" t="inlineStr">
        <is>
          <t>1</t>
        </is>
      </c>
      <c r="J440" t="inlineStr"/>
      <c r="K440" t="inlineStr"/>
      <c r="L440" t="inlineStr"/>
      <c r="M440" t="inlineStr"/>
      <c r="N440" t="inlineStr"/>
      <c r="O440" t="n">
        <v>0</v>
      </c>
      <c r="P440">
        <f>IF(B463=0,0,O440/B463)</f>
        <v/>
      </c>
      <c r="Q440" t="n">
        <v>0</v>
      </c>
      <c r="R440" t="n">
        <v>0</v>
      </c>
      <c r="S440">
        <f>IFERROR(O440/N440,0)</f>
        <v/>
      </c>
    </row>
    <row r="441">
      <c r="A441">
        <f>Skills!A23</f>
        <v/>
      </c>
      <c r="B441">
        <f>Skills!B23</f>
        <v/>
      </c>
      <c r="C441">
        <f>Inputs!$B$3&gt;=40</f>
        <v/>
      </c>
      <c r="D441">
        <f>IF(Skills!C23=1,60+Inputs!$B$24+Inputs!$B$28,IF(Skills!C23=2,90+Inputs!$B$25+Inputs!$B$28,IF(Skills!C23=3,120+Inputs!$B$26+Inputs!$B$28,MAX(0,(Inputs!$B$3-100)*3)+Inputs!$B$27+Inputs!$B$28)))</f>
        <v/>
      </c>
      <c r="E441">
        <f>INDEX(FactorTable!$B$2:$Y$301, MATCH(ROUND(MIN(300,MAX(1,D441)),0), FactorTable!$A$2:$A$301,0), Skills!M23+1)</f>
        <v/>
      </c>
      <c r="F441">
        <f>IF(Skills!N23=TRUE,(Skills!L23/10)*(E441/1000),Skills!L23/10)+Skills!O23</f>
        <v/>
      </c>
      <c r="G441">
        <f>Skills!G23*IF(Skills!H23&gt;0,Skills!I23/Skills!H23,1)</f>
        <v/>
      </c>
      <c r="H441">
        <f>1-(1-Skills!J23/100)^Skills!K23</f>
        <v/>
      </c>
      <c r="I441" t="inlineStr">
        <is>
          <t>1</t>
        </is>
      </c>
      <c r="J441" t="inlineStr"/>
      <c r="K441" t="inlineStr"/>
      <c r="L441" t="inlineStr"/>
      <c r="M441" t="inlineStr"/>
      <c r="N441" t="inlineStr"/>
      <c r="O441" t="n">
        <v>0</v>
      </c>
      <c r="P441">
        <f>IF(B463=0,0,O441/B463)</f>
        <v/>
      </c>
      <c r="Q441" t="n">
        <v>0</v>
      </c>
      <c r="R441" t="n">
        <v>0</v>
      </c>
      <c r="S441">
        <f>IFERROR(O441/N441,0)</f>
        <v/>
      </c>
    </row>
    <row r="442">
      <c r="A442">
        <f>Skills!A24</f>
        <v/>
      </c>
      <c r="B442">
        <f>Skills!B24</f>
        <v/>
      </c>
      <c r="C442">
        <f>Inputs!$B$3&gt;=43</f>
        <v/>
      </c>
      <c r="D442">
        <f>IF(Skills!C24=1,60+Inputs!$B$24+Inputs!$B$28,IF(Skills!C24=2,90+Inputs!$B$25+Inputs!$B$28,IF(Skills!C24=3,120+Inputs!$B$26+Inputs!$B$28,MAX(0,(Inputs!$B$3-100)*3)+Inputs!$B$27+Inputs!$B$28)))</f>
        <v/>
      </c>
      <c r="E442">
        <f>INDEX(FactorTable!$B$2:$Y$301, MATCH(ROUND(MIN(300,MAX(1,D442)),0), FactorTable!$A$2:$A$301,0), Skills!M24+1)</f>
        <v/>
      </c>
      <c r="F442">
        <f>IF(Skills!N24=TRUE,(Skills!L24/10)*(E442/1000),Skills!L24/10)+Skills!O24</f>
        <v/>
      </c>
      <c r="G442">
        <f>Skills!G24*IF(Skills!H24&gt;0,Skills!I24/Skills!H24,1)</f>
        <v/>
      </c>
      <c r="H442">
        <f>1-(1-Skills!J24/100)^Skills!K24</f>
        <v/>
      </c>
      <c r="I442" t="inlineStr">
        <is>
          <t>1</t>
        </is>
      </c>
      <c r="J442" t="inlineStr"/>
      <c r="K442" t="inlineStr"/>
      <c r="L442" t="inlineStr"/>
      <c r="M442" t="inlineStr"/>
      <c r="N442" t="inlineStr"/>
      <c r="O442" t="n">
        <v>0</v>
      </c>
      <c r="P442">
        <f>IF(B463=0,0,O442/B463)</f>
        <v/>
      </c>
      <c r="Q442" t="n">
        <v>0</v>
      </c>
      <c r="R442" t="n">
        <v>0</v>
      </c>
      <c r="S442">
        <f>IFERROR(O442/N442,0)</f>
        <v/>
      </c>
    </row>
    <row r="443">
      <c r="A443">
        <f>Skills!A25</f>
        <v/>
      </c>
      <c r="B443">
        <f>Skills!B25</f>
        <v/>
      </c>
      <c r="C443">
        <f>Inputs!$B$3&gt;=50</f>
        <v/>
      </c>
      <c r="D443">
        <f>IF(Skills!C25=1,60+Inputs!$B$24+Inputs!$B$28,IF(Skills!C25=2,90+Inputs!$B$25+Inputs!$B$28,IF(Skills!C25=3,120+Inputs!$B$26+Inputs!$B$28,MAX(0,(Inputs!$B$3-100)*3)+Inputs!$B$27+Inputs!$B$28)))</f>
        <v/>
      </c>
      <c r="E443">
        <f>INDEX(FactorTable!$B$2:$Y$301, MATCH(ROUND(MIN(300,MAX(1,D443)),0), FactorTable!$A$2:$A$301,0), Skills!M25+1)</f>
        <v/>
      </c>
      <c r="F443">
        <f>IF(Skills!N25=TRUE,(Skills!L25/10)*(E443/1000),Skills!L25/10)+Skills!O25</f>
        <v/>
      </c>
      <c r="G443">
        <f>Skills!G25*IF(Skills!H25&gt;0,Skills!I25/Skills!H25,1)</f>
        <v/>
      </c>
      <c r="H443">
        <f>1-(1-Skills!J25/100)^Skills!K25</f>
        <v/>
      </c>
      <c r="I443" t="inlineStr">
        <is>
          <t>1</t>
        </is>
      </c>
      <c r="J443" t="inlineStr"/>
      <c r="K443" t="inlineStr"/>
      <c r="L443" t="inlineStr"/>
      <c r="M443" t="inlineStr"/>
      <c r="N443" t="inlineStr"/>
      <c r="O443" t="n">
        <v>0</v>
      </c>
      <c r="P443">
        <f>IF(B463=0,0,O443/B463)</f>
        <v/>
      </c>
      <c r="Q443" t="n">
        <v>0</v>
      </c>
      <c r="R443" t="n">
        <v>0</v>
      </c>
      <c r="S443">
        <f>IFERROR(O443/N443,0)</f>
        <v/>
      </c>
    </row>
    <row r="444">
      <c r="A444">
        <f>Skills!A26</f>
        <v/>
      </c>
      <c r="B444">
        <f>Skills!B26</f>
        <v/>
      </c>
      <c r="C444">
        <f>Inputs!$B$3&gt;=50</f>
        <v/>
      </c>
      <c r="D444">
        <f>IF(Skills!C26=1,60+Inputs!$B$24+Inputs!$B$28,IF(Skills!C26=2,90+Inputs!$B$25+Inputs!$B$28,IF(Skills!C26=3,120+Inputs!$B$26+Inputs!$B$28,MAX(0,(Inputs!$B$3-100)*3)+Inputs!$B$27+Inputs!$B$28)))</f>
        <v/>
      </c>
      <c r="E444">
        <f>INDEX(FactorTable!$B$2:$Y$301, MATCH(ROUND(MIN(300,MAX(1,D444)),0), FactorTable!$A$2:$A$301,0), Skills!M26+1)</f>
        <v/>
      </c>
      <c r="F444">
        <f>IF(Skills!N26=TRUE,(Skills!L26/10)*(E444/1000),Skills!L26/10)+Skills!O26</f>
        <v/>
      </c>
      <c r="G444">
        <f>Skills!G26*IF(Skills!H26&gt;0,Skills!I26/Skills!H26,1)</f>
        <v/>
      </c>
      <c r="H444">
        <f>1-(1-Skills!J26/100)^Skills!K26</f>
        <v/>
      </c>
      <c r="I444" t="inlineStr">
        <is>
          <t>1</t>
        </is>
      </c>
      <c r="J444" t="inlineStr"/>
      <c r="K444" t="inlineStr"/>
      <c r="L444" t="inlineStr"/>
      <c r="M444" t="inlineStr"/>
      <c r="N444" t="inlineStr"/>
      <c r="O444" t="n">
        <v>0</v>
      </c>
      <c r="P444">
        <f>IF(B463=0,0,O444/B463)</f>
        <v/>
      </c>
      <c r="Q444" t="n">
        <v>0</v>
      </c>
      <c r="R444" t="n">
        <v>0</v>
      </c>
      <c r="S444">
        <f>IFERROR(O444/N444,0)</f>
        <v/>
      </c>
    </row>
    <row r="445">
      <c r="A445">
        <f>Skills!A27</f>
        <v/>
      </c>
      <c r="B445">
        <f>Skills!B27</f>
        <v/>
      </c>
      <c r="C445">
        <f>Inputs!$B$3&gt;=38</f>
        <v/>
      </c>
      <c r="D445">
        <f>IF(Skills!C27=1,60+Inputs!$B$24+Inputs!$B$28,IF(Skills!C27=2,90+Inputs!$B$25+Inputs!$B$28,IF(Skills!C27=3,120+Inputs!$B$26+Inputs!$B$28,MAX(0,(Inputs!$B$3-100)*3)+Inputs!$B$27+Inputs!$B$28)))</f>
        <v/>
      </c>
      <c r="E445">
        <f>INDEX(FactorTable!$B$2:$Y$301, MATCH(ROUND(MIN(300,MAX(1,D445)),0), FactorTable!$A$2:$A$301,0), Skills!M27+1)</f>
        <v/>
      </c>
      <c r="F445">
        <f>IF(Skills!N27=TRUE,(Skills!L27/10)*(E445/1000),Skills!L27/10)+Skills!O27</f>
        <v/>
      </c>
      <c r="G445">
        <f>Skills!G27*IF(Skills!H27&gt;0,Skills!I27/Skills!H27,1)</f>
        <v/>
      </c>
      <c r="H445">
        <f>1-(1-Skills!J27/100)^Skills!K27</f>
        <v/>
      </c>
      <c r="I445" t="inlineStr">
        <is>
          <t>1</t>
        </is>
      </c>
      <c r="J445" t="inlineStr"/>
      <c r="K445" t="inlineStr"/>
      <c r="L445" t="inlineStr"/>
      <c r="M445" t="inlineStr"/>
      <c r="N445" t="inlineStr"/>
      <c r="O445" t="n">
        <v>0</v>
      </c>
      <c r="P445">
        <f>IF(B463=0,0,O445/B463)</f>
        <v/>
      </c>
      <c r="Q445" t="n">
        <v>0</v>
      </c>
      <c r="R445" t="n">
        <v>0</v>
      </c>
      <c r="S445">
        <f>IFERROR(O445/N445,0)</f>
        <v/>
      </c>
    </row>
    <row r="446">
      <c r="A446">
        <f>Skills!A28</f>
        <v/>
      </c>
      <c r="B446">
        <f>Skills!B28</f>
        <v/>
      </c>
      <c r="C446">
        <f>Inputs!$B$3&gt;=120</f>
        <v/>
      </c>
      <c r="D446">
        <f>IF(Skills!C28=1,60+Inputs!$B$24+Inputs!$B$28,IF(Skills!C28=2,90+Inputs!$B$25+Inputs!$B$28,IF(Skills!C28=3,120+Inputs!$B$26+Inputs!$B$28,MAX(0,(Inputs!$B$3-100)*3)+Inputs!$B$27+Inputs!$B$28)))</f>
        <v/>
      </c>
      <c r="E446">
        <f>INDEX(FactorTable!$B$2:$Y$301, MATCH(ROUND(MIN(300,MAX(1,D446)),0), FactorTable!$A$2:$A$301,0), Skills!M28+1)</f>
        <v/>
      </c>
      <c r="F446">
        <f>IF(Skills!N28=TRUE,(Skills!L28/10)*(E446/1000),Skills!L28/10)+Skills!O28</f>
        <v/>
      </c>
      <c r="G446">
        <f>Skills!G28*IF(Skills!H28&gt;0,Skills!I28/Skills!H28,1)</f>
        <v/>
      </c>
      <c r="H446">
        <f>1-(1-Skills!J28/100)^Skills!K28</f>
        <v/>
      </c>
      <c r="I446" t="inlineStr">
        <is>
          <t>1</t>
        </is>
      </c>
      <c r="J446" t="inlineStr"/>
      <c r="K446" t="inlineStr"/>
      <c r="L446" t="inlineStr"/>
      <c r="M446" t="inlineStr"/>
      <c r="N446" t="inlineStr"/>
      <c r="O446" t="n">
        <v>0</v>
      </c>
      <c r="P446">
        <f>IF(B463=0,0,O446/B463)</f>
        <v/>
      </c>
      <c r="Q446" t="n">
        <v>0</v>
      </c>
      <c r="R446" t="n">
        <v>0</v>
      </c>
      <c r="S446">
        <f>IFERROR(O446/N446,0)</f>
        <v/>
      </c>
    </row>
    <row r="447">
      <c r="A447">
        <f>Skills!A29</f>
        <v/>
      </c>
      <c r="B447">
        <f>Skills!B29</f>
        <v/>
      </c>
      <c r="C447">
        <f>Inputs!$B$3&gt;=120</f>
        <v/>
      </c>
      <c r="D447">
        <f>IF(Skills!C29=1,60+Inputs!$B$24+Inputs!$B$28,IF(Skills!C29=2,90+Inputs!$B$25+Inputs!$B$28,IF(Skills!C29=3,120+Inputs!$B$26+Inputs!$B$28,MAX(0,(Inputs!$B$3-100)*3)+Inputs!$B$27+Inputs!$B$28)))</f>
        <v/>
      </c>
      <c r="E447">
        <f>INDEX(FactorTable!$B$2:$Y$301, MATCH(ROUND(MIN(300,MAX(1,D447)),0), FactorTable!$A$2:$A$301,0), Skills!M29+1)</f>
        <v/>
      </c>
      <c r="F447">
        <f>IF(Skills!N29=TRUE,(Skills!L29/10)*(E447/1000),Skills!L29/10)+Skills!O29</f>
        <v/>
      </c>
      <c r="G447">
        <f>Skills!G29*IF(Skills!H29&gt;0,Skills!I29/Skills!H29,1)</f>
        <v/>
      </c>
      <c r="H447">
        <f>1-(1-Skills!J29/100)^Skills!K29</f>
        <v/>
      </c>
      <c r="I447" t="inlineStr">
        <is>
          <t>1</t>
        </is>
      </c>
      <c r="J447" t="inlineStr"/>
      <c r="K447" t="inlineStr"/>
      <c r="L447" t="inlineStr"/>
      <c r="M447" t="inlineStr"/>
      <c r="N447" t="inlineStr"/>
      <c r="O447" t="n">
        <v>0</v>
      </c>
      <c r="P447">
        <f>IF(B463=0,0,O447/B463)</f>
        <v/>
      </c>
      <c r="Q447" t="n">
        <v>0</v>
      </c>
      <c r="R447" t="n">
        <v>0</v>
      </c>
      <c r="S447">
        <f>IFERROR(O447/N447,0)</f>
        <v/>
      </c>
    </row>
    <row r="448">
      <c r="A448">
        <f>Skills!A30</f>
        <v/>
      </c>
      <c r="B448">
        <f>Skills!B30</f>
        <v/>
      </c>
      <c r="C448">
        <f>Inputs!$B$3&gt;=125</f>
        <v/>
      </c>
      <c r="D448">
        <f>IF(Skills!C30=1,60+Inputs!$B$24+Inputs!$B$28,IF(Skills!C30=2,90+Inputs!$B$25+Inputs!$B$28,IF(Skills!C30=3,120+Inputs!$B$26+Inputs!$B$28,MAX(0,(Inputs!$B$3-100)*3)+Inputs!$B$27+Inputs!$B$28)))</f>
        <v/>
      </c>
      <c r="E448">
        <f>INDEX(FactorTable!$B$2:$Y$301, MATCH(ROUND(MIN(300,MAX(1,D448)),0), FactorTable!$A$2:$A$301,0), Skills!M30+1)</f>
        <v/>
      </c>
      <c r="F448">
        <f>IF(Skills!N30=TRUE,(Skills!L30/10)*(E448/1000),Skills!L30/10)+Skills!O30</f>
        <v/>
      </c>
      <c r="G448">
        <f>Skills!G30*IF(Skills!H30&gt;0,Skills!I30/Skills!H30,1)</f>
        <v/>
      </c>
      <c r="H448">
        <f>1-(1-Skills!J30/100)^Skills!K30</f>
        <v/>
      </c>
      <c r="I448" t="inlineStr">
        <is>
          <t>1</t>
        </is>
      </c>
      <c r="J448" t="inlineStr"/>
      <c r="K448" t="inlineStr"/>
      <c r="L448" t="inlineStr"/>
      <c r="M448" t="inlineStr"/>
      <c r="N448" t="inlineStr"/>
      <c r="O448" t="n">
        <v>0</v>
      </c>
      <c r="P448">
        <f>IF(B463=0,0,O448/B463)</f>
        <v/>
      </c>
      <c r="Q448" t="n">
        <v>0</v>
      </c>
      <c r="R448" t="n">
        <v>0</v>
      </c>
      <c r="S448">
        <f>IFERROR(O448/N448,0)</f>
        <v/>
      </c>
    </row>
    <row r="450">
      <c r="A450" t="inlineStr">
        <is>
          <t>Average Buff Multiplier</t>
        </is>
      </c>
      <c r="B450">
        <f>(1+(((C439=TRUE)*F439*IF(AND(Inputs!$B$4&lt;&gt;"pvp",Inputs!$B$35&gt;0),(((S439-1)*(Skills!Y21*(1+Inputs!$B$33/100))+MIN((Skills!Y21*(1+Inputs!$B$33/100)),MAX(0,Inputs!$B$35-((S439-1)*Skills!D21))))/Inputs!$B$35),IF(Inputs!$B$4="pvp",MIN((Skills!Y21*(1+Inputs!$B$33/100)),15)/15,(Skills!Y21*(1+Inputs!$B$33/100))/Skills!D21)))+((C441=TRUE)*(F441-Calc!F23))+((C435=TRUE)*(F435-Calc!F17)))/100)*(1+((C428=TRUE)*F428*IF(AND(Inputs!$B$4&lt;&gt;"pvp",Inputs!$B$35&gt;0),(((S428-1)*(Skills!Y10*(1+Inputs!$B$33/100))+MIN((Skills!Y10*(1+Inputs!$B$33/100)),MAX(0,Inputs!$B$35-((S428-1)*Skills!D10))))/Inputs!$B$35),IF(Inputs!$B$4="pvp",MIN((Skills!Y10*(1+Inputs!$B$33/100)),15)/15,(Skills!Y10*(1+Inputs!$B$33/100))/Skills!D10)))/100)*(1+((C433=TRUE)*F433*IF(AND(Inputs!$B$4&lt;&gt;"pvp",Inputs!$B$35&gt;0),(((S433-1)*(Skills!Y15*(1+Inputs!$B$33/100))+MIN((Skills!Y15*(1+Inputs!$B$33/100)),MAX(0,Inputs!$B$35-((S433-1)*Skills!D15))))/Inputs!$B$35),IF(Inputs!$B$4="pvp",MIN((Skills!Y15*(1+Inputs!$B$33/100)),15)/15,(Skills!Y15*(1+Inputs!$B$33/100))/Skills!D15)))/100)</f>
        <v/>
      </c>
    </row>
    <row r="451">
      <c r="A451" t="inlineStr">
        <is>
          <t>Global Crit Rate Bonus %</t>
        </is>
      </c>
      <c r="B451">
        <f>((C438=TRUE)*F438*IF(AND(Inputs!$B$4&lt;&gt;"pvp",Inputs!$B$35&gt;0),(((S438-1)*(Skills!Y20*(1+Inputs!$B$33/100))+MIN((Skills!Y20*(1+Inputs!$B$33/100)),MAX(0,Inputs!$B$35-((S438-1)*Skills!D20))))/Inputs!$B$35),IF(Inputs!$B$4="pvp",MIN((Skills!Y20*(1+Inputs!$B$33/100)),15)/15,(Skills!Y20*(1+Inputs!$B$33/100))/Skills!D20)))</f>
        <v/>
      </c>
    </row>
    <row r="452">
      <c r="A452" t="inlineStr">
        <is>
          <t>Global Monster Damage-Taken Bonus %</t>
        </is>
      </c>
      <c r="B452">
        <f>IF(Inputs!$B$3&gt;=82,15,0)</f>
        <v/>
      </c>
    </row>
    <row r="453">
      <c r="A453" t="inlineStr">
        <is>
          <t>Shadow Partner Average Multiplier</t>
        </is>
      </c>
      <c r="B453">
        <f>1+((C425=TRUE)*F425*(1+3.3333333333333335*IF(C436=TRUE,F436,0)/100)*I425*Skills!J7/100)/100</f>
        <v/>
      </c>
    </row>
    <row r="454">
      <c r="A454" t="inlineStr">
        <is>
          <t>Attack Speed Buff Bonus %</t>
        </is>
      </c>
      <c r="B454">
        <f>((C437=TRUE)*F437*IF(AND(Inputs!$B$4&lt;&gt;"pvp",Inputs!$B$35&gt;0),(((S437-1)*(Skills!Y19*(1+Inputs!$B$33/100))+MIN((Skills!Y19*(1+Inputs!$B$33/100)),MAX(0,Inputs!$B$35-((S437-1)*Skills!D19))))/Inputs!$B$35),IF(Inputs!$B$4="pvp",MIN((Skills!Y19*(1+Inputs!$B$33/100)),15)/15,(Skills!Y19*(1+Inputs!$B$33/100))/Skills!D19)))+((C421=TRUE)*F421*3)</f>
        <v/>
      </c>
    </row>
    <row r="455">
      <c r="A455" t="inlineStr">
        <is>
          <t>Actions Per Second</t>
        </is>
      </c>
      <c r="B455">
        <f>1+MIN(150,150*(1-(1-(Inputs!$B$10+((C440=TRUE)*(F440-Calc!F22)))/150)*(1-B454/150)))/100</f>
        <v/>
      </c>
    </row>
    <row r="456">
      <c r="A456" t="inlineStr">
        <is>
          <t>Skill + Buff Cast Rate</t>
        </is>
      </c>
      <c r="B456">
        <f>IF(AND(Inputs!$B$4&lt;&gt;"pvp",Inputs!$B$35&gt;0),SUMPRODUCT((Skills!E2:E30=TRUE)*(C420:C448=TRUE)*R420:R448*Skills!F2:F30)/Inputs!$B$35,SUMPRODUCT((Skills!E2:E30=TRUE)*(C420:C448=TRUE)*Q420:Q448*Skills!F2:F30))</f>
        <v/>
      </c>
    </row>
    <row r="457">
      <c r="A457" t="inlineStr">
        <is>
          <t>Cruel Stab Casts Per Second</t>
        </is>
      </c>
      <c r="B457">
        <f>MAX(0,B455-B456)</f>
        <v/>
      </c>
    </row>
    <row r="458">
      <c r="A458" t="inlineStr">
        <is>
          <t>Global Critical Damage Bonus % (Smokescreen Mastery Lv.113)</t>
        </is>
      </c>
      <c r="B458">
        <f>IF(Inputs!$B$3&gt;=113,30,0)*IF(AND(Inputs!$B$4&lt;&gt;"pvp",Inputs!$B$35&gt;0),(((S433-1)*(Skills!Y15*(1+Inputs!$B$33/100))+MIN((Skills!Y15*(1+Inputs!$B$33/100)),MAX(0,Inputs!$B$35-((S433-1)*Skills!D15))))/Inputs!$B$35),IF(Inputs!$B$4="pvp",MIN((Skills!Y15*(1+Inputs!$B$33/100)),15)/15,(Skills!Y15*(1+Inputs!$B$33/100))/Skills!D15))</f>
        <v/>
      </c>
    </row>
    <row r="459">
      <c r="A459" t="inlineStr">
        <is>
          <t>Meso Explosion average stack count</t>
        </is>
      </c>
      <c r="B459">
        <f>MIN(10,0.5*B455*Skills!D4)</f>
        <v/>
      </c>
    </row>
    <row r="460">
      <c r="A460" t="inlineStr">
        <is>
          <t>Blood Money average stack count</t>
        </is>
      </c>
      <c r="B460">
        <f>MIN(5,0.25*B455*Skills!D4)</f>
        <v/>
      </c>
    </row>
    <row r="461">
      <c r="A461" t="inlineStr">
        <is>
          <t>Assassinate Murderous Intent Multiplier</t>
        </is>
      </c>
      <c r="B461">
        <f>1+IFERROR(MIN(1,Q432*2/Q429),0)</f>
        <v/>
      </c>
    </row>
    <row r="463">
      <c r="A463" s="5" t="inlineStr">
        <is>
          <t>TOTAL DPS</t>
        </is>
      </c>
      <c r="B463" s="5">
        <f>SUM(O420:O448)</f>
        <v/>
      </c>
    </row>
    <row r="466">
      <c r="A466" s="5" t="inlineStr">
        <is>
          <t>Stat: MAX_DAMAGE %</t>
        </is>
      </c>
    </row>
    <row r="467">
      <c r="A467" s="8" t="inlineStr">
        <is>
          <t>Key</t>
        </is>
      </c>
      <c r="B467" s="8" t="inlineStr">
        <is>
          <t>Name</t>
        </is>
      </c>
      <c r="C467" s="8" t="inlineStr">
        <is>
          <t>Unlocked</t>
        </is>
      </c>
      <c r="D467" s="8" t="inlineStr">
        <is>
          <t>InputLevel</t>
        </is>
      </c>
      <c r="E467" s="8" t="inlineStr">
        <is>
          <t>Factor</t>
        </is>
      </c>
      <c r="F467" s="8" t="inlineStr">
        <is>
          <t>CoefficientPercent</t>
        </is>
      </c>
      <c r="G467" s="8" t="inlineStr">
        <is>
          <t>EffectiveHits</t>
        </is>
      </c>
      <c r="H467" s="8" t="inlineStr">
        <is>
          <t>ProcProbability</t>
        </is>
      </c>
      <c r="I467" s="8" t="inlineStr">
        <is>
          <t>MapleHeroMultiplier</t>
        </is>
      </c>
      <c r="J467" s="8" t="inlineStr">
        <is>
          <t>BaseDamage</t>
        </is>
      </c>
      <c r="K467" s="8" t="inlineStr">
        <is>
          <t>BaseHitDamage</t>
        </is>
      </c>
      <c r="L467" s="8" t="inlineStr">
        <is>
          <t>NonCritAvg</t>
        </is>
      </c>
      <c r="M467" s="8" t="inlineStr">
        <is>
          <t>CritAvg</t>
        </is>
      </c>
      <c r="N467" s="8" t="inlineStr">
        <is>
          <t>ExpectedDamage(perHit)</t>
        </is>
      </c>
      <c r="O467" s="8" t="inlineStr">
        <is>
          <t>DPS</t>
        </is>
      </c>
      <c r="P467" s="8" t="inlineStr">
        <is>
          <t>% of Total</t>
        </is>
      </c>
      <c r="Q467" s="8" t="inlineStr">
        <is>
          <t>InvCooldown</t>
        </is>
      </c>
      <c r="R467" s="8" t="inlineStr">
        <is>
          <t>CastsInFight</t>
        </is>
      </c>
      <c r="S467" s="8" t="inlineStr">
        <is>
          <t>HitRate(perSec)</t>
        </is>
      </c>
      <c r="U467" t="inlineStr">
        <is>
          <t>helpers</t>
        </is>
      </c>
    </row>
    <row r="468">
      <c r="A468">
        <f>Skills!A2</f>
        <v/>
      </c>
      <c r="B468">
        <f>Skills!B2</f>
        <v/>
      </c>
      <c r="C468">
        <f>Inputs!$B$3&gt;=100</f>
        <v/>
      </c>
      <c r="D468" t="inlineStr"/>
      <c r="E468" t="inlineStr"/>
      <c r="F468">
        <f>U470+Skills!O2</f>
        <v/>
      </c>
      <c r="G468">
        <f>Skills!G2*IF(Skills!H2&gt;0,Skills!I2/Skills!H2,1)</f>
        <v/>
      </c>
      <c r="H468">
        <f>1-(1-Skills!J2/100)^Skills!K2</f>
        <v/>
      </c>
      <c r="I468" t="inlineStr">
        <is>
          <t>1</t>
        </is>
      </c>
      <c r="J468">
        <f>(Inputs!$B$5*(1+Inputs!$B$6/100))*(F468/100)</f>
        <v/>
      </c>
      <c r="K468">
        <f>J468*(1+((Inputs!$B$11*(1+Inputs!$B$12/100))*0.01+Inputs!$B$13*0.0025)/100)*(1+Inputs!$B$14/100)*(1+IF(Inputs!$B$4="pvp",0,(1-Summary!$B$55)*(Inputs!$B$19+0+Skills!P2+B500)+Summary!$B$55*(Inputs!$B$20+Skills!Q2+B500))/100)*(1+Inputs!$B$15/100)*(5000/(6000+Inputs!$B$7*(1-Inputs!$B$18/100)))*(1+(Inputs!$B$23+((C496=TRUE)*(F496-Calc!F30)))/100)*(1+(IF(Skills!A2="CRUEL_STAB",Inputs!$B$16+((C493=TRUE)*(F493-Calc!F27)),Inputs!$B$17+((C494=TRUE)*(F494-Calc!F28))))/100)*(((1+(((C487=TRUE)*F487*IF(AND(Inputs!$B$4&lt;&gt;"pvp",Inputs!$B$35&gt;0),(((S487-1)*(Skills!Y21*(1+Inputs!$B$33/100))+MIN((Skills!Y21*(1+Inputs!$B$33/100)),MAX(0,Inputs!$B$35-((S487-1)*Skills!D21))))/Inputs!$B$35),IF(Inputs!$B$4="pvp",MIN((Skills!Y21*(1+Inputs!$B$33/100)),15)/15,(Skills!Y21*(1+Inputs!$B$33/100))/Skills!D21)))+((C489=TRUE)*(F489-Calc!F23))+((C483=TRUE)*(F483-Calc!F17)))/100)*(1+((C476=TRUE)*F476*IF(AND(Inputs!$B$4&lt;&gt;"pvp",Inputs!$B$35&gt;0),(((S476-1)*(Skills!Y10*(1+Inputs!$B$33/100))+MIN((Skills!Y10*(1+Inputs!$B$33/100)),MAX(0,Inputs!$B$35-((S476-1)*Skills!D10))))/Inputs!$B$35),IF(Inputs!$B$4="pvp",MIN((Skills!Y10*(1+Inputs!$B$33/100)),15)/15,(Skills!Y10*(1+Inputs!$B$33/100))/Skills!D10)))/100)*(1+((C481=TRUE)*F481*IF(AND(Inputs!$B$4&lt;&gt;"pvp",Inputs!$B$35&gt;0),(((S481-1)*(Skills!Y15*(1+Inputs!$B$33/100))+MIN((Skills!Y15*(1+Inputs!$B$33/100)),MAX(0,Inputs!$B$35-((S481-1)*Skills!D15))))/Inputs!$B$35),IF(Inputs!$B$4="pvp",MIN((Skills!Y15*(1+Inputs!$B$33/100)),15)/15,(Skills!Y15*(1+Inputs!$B$33/100))/Skills!D15)))/100))*B501*I468)</f>
        <v/>
      </c>
      <c r="L468">
        <f>K468*(MIN(Inputs!$B$21+((C490=TRUE)*(F490-Calc!F24)),(Inputs!$B$22+1)+((C495=TRUE)*(F495-Calc!F29)))/100+((Inputs!$B$22+1)+((C495=TRUE)*(F495-Calc!F29)))/100)/2</f>
        <v/>
      </c>
      <c r="M468">
        <f>L468*(1+(Inputs!$B$9+((C492=TRUE)*(F492-Calc!F26))+B506)/100)</f>
        <v/>
      </c>
      <c r="N468">
        <f>L468*(1-MIN((Inputs!$B$8+((C491=TRUE)*(F491-Calc!F25))+B499),100)/100)+M468*(MIN((Inputs!$B$8+((C491=TRUE)*(F491-Calc!F25))+B499),100)/100)</f>
        <v/>
      </c>
      <c r="O468">
        <f>IF(C468,Skills!G2*N468*B505*IF(Inputs!$B$4="pvp",1,(1-Summary!$B$55)*(1)+Summary!$B$55*(MIN((6+Inputs!$B$32),Inputs!$B$37))),0)</f>
        <v/>
      </c>
      <c r="P468">
        <f>IF(B511=0,0,O468/B511)</f>
        <v/>
      </c>
      <c r="Q468" t="n">
        <v>0</v>
      </c>
      <c r="R468" t="n">
        <v>0</v>
      </c>
      <c r="S468">
        <f>IFERROR(O468/N468,0)</f>
        <v/>
      </c>
      <c r="U468">
        <f>MAX(0,(Inputs!$B$3-100)*3)+Inputs!$B$27+Inputs!$B$28</f>
        <v/>
      </c>
    </row>
    <row r="469">
      <c r="A469">
        <f>Skills!A3</f>
        <v/>
      </c>
      <c r="B469">
        <f>Skills!B3</f>
        <v/>
      </c>
      <c r="C469">
        <f>Inputs!$B$3&gt;=35</f>
        <v/>
      </c>
      <c r="D469">
        <f>IF(Skills!C3=1,60+Inputs!$B$24+Inputs!$B$28,IF(Skills!C3=2,90+Inputs!$B$25+Inputs!$B$28,IF(Skills!C3=3,120+Inputs!$B$26+Inputs!$B$28,MAX(0,(Inputs!$B$3-100)*3)+Inputs!$B$27+Inputs!$B$28)))</f>
        <v/>
      </c>
      <c r="E469">
        <f>INDEX(FactorTable!$B$2:$Y$301, MATCH(ROUND(MIN(300,MAX(1,D469)),0), FactorTable!$A$2:$A$301,0), Skills!M3+1)</f>
        <v/>
      </c>
      <c r="F469">
        <f>IF(Skills!N3=TRUE,(Skills!L3/10)*(E469/1000),Skills!L3/10)+Skills!O3</f>
        <v/>
      </c>
      <c r="G469">
        <f>Skills!G3*IF(Skills!H3&gt;0,Skills!I3/Skills!H3,1)</f>
        <v/>
      </c>
      <c r="H469">
        <f>1-(1-Skills!J3/100)^Skills!K3</f>
        <v/>
      </c>
      <c r="I469" t="inlineStr">
        <is>
          <t>1</t>
        </is>
      </c>
      <c r="J469" t="inlineStr"/>
      <c r="K469" t="inlineStr"/>
      <c r="L469" t="inlineStr"/>
      <c r="M469" t="inlineStr"/>
      <c r="N469" t="inlineStr"/>
      <c r="O469" t="n">
        <v>0</v>
      </c>
      <c r="P469">
        <f>IF(B511=0,0,O469/B511)</f>
        <v/>
      </c>
      <c r="Q469" t="n">
        <v>0</v>
      </c>
      <c r="R469" t="n">
        <v>0</v>
      </c>
      <c r="S469">
        <f>IFERROR(O469/N469,0)</f>
        <v/>
      </c>
      <c r="U469">
        <f>INDEX(FactorTable!$B$2:$Y$301, MATCH(ROUND(MIN(300,MAX(1,U468)),0), FactorTable!$A$2:$A$301,0), 22)</f>
        <v/>
      </c>
    </row>
    <row r="470">
      <c r="A470">
        <f>Skills!A4</f>
        <v/>
      </c>
      <c r="B470">
        <f>Skills!B4</f>
        <v/>
      </c>
      <c r="C470">
        <f>Inputs!$B$3&gt;=66</f>
        <v/>
      </c>
      <c r="D470">
        <f>IF(Skills!C4=1,60+Inputs!$B$24+Inputs!$B$28,IF(Skills!C4=2,90+Inputs!$B$25+Inputs!$B$28,IF(Skills!C4=3,120+Inputs!$B$26+Inputs!$B$28,MAX(0,(Inputs!$B$3-100)*3)+Inputs!$B$27+Inputs!$B$28)))</f>
        <v/>
      </c>
      <c r="E470">
        <f>INDEX(FactorTable!$B$2:$Y$301, MATCH(ROUND(MIN(300,MAX(1,D470)),0), FactorTable!$A$2:$A$301,0), Skills!M4+1)</f>
        <v/>
      </c>
      <c r="F470">
        <f>IF(Skills!N4=TRUE,(Skills!L4/10)*(E470/1000),Skills!L4/10)+Skills!O4</f>
        <v/>
      </c>
      <c r="G470">
        <f>Skills!G4*IF(Skills!H4&gt;0,Skills!I4/Skills!H4,1)</f>
        <v/>
      </c>
      <c r="H470">
        <f>1-(1-Skills!J4/100)^Skills!K4</f>
        <v/>
      </c>
      <c r="I470" t="inlineStr">
        <is>
          <t>1</t>
        </is>
      </c>
      <c r="J470">
        <f>(Inputs!$B$5*(1+Inputs!$B$6/100))*(F470/100)</f>
        <v/>
      </c>
      <c r="K470">
        <f>J470*(1+((Inputs!$B$11*(1+Inputs!$B$12/100))*0.01+Inputs!$B$13*0.0025)/100)*(1+Inputs!$B$14/100)*(1+IF(Inputs!$B$4="pvp",0,(1-Summary!$B$55)*(Inputs!$B$19+0+Skills!P4+B500)+Summary!$B$55*(Inputs!$B$20+Skills!Q4+B500))/100)*(1+Inputs!$B$15/100)*(5000/(6000+Inputs!$B$7*(1-Inputs!$B$18/100)))*(1+(Inputs!$B$23+((C496=TRUE)*(F496-Calc!F30)))/100)*(1+(IF(Skills!A4="CRUEL_STAB",Inputs!$B$16+((C493=TRUE)*(F493-Calc!F27)),Inputs!$B$17+((C494=TRUE)*(F494-Calc!F28))))/100)*(((1+(((C487=TRUE)*F487*IF(AND(Inputs!$B$4&lt;&gt;"pvp",Inputs!$B$35&gt;0),(((S487-1)*(Skills!Y21*(1+Inputs!$B$33/100))+MIN((Skills!Y21*(1+Inputs!$B$33/100)),MAX(0,Inputs!$B$35-((S487-1)*Skills!D21))))/Inputs!$B$35),IF(Inputs!$B$4="pvp",MIN((Skills!Y21*(1+Inputs!$B$33/100)),15)/15,(Skills!Y21*(1+Inputs!$B$33/100))/Skills!D21)))+((C489=TRUE)*(F489-Calc!F23))+((C483=TRUE)*(F483-Calc!F17)))/100)*(1+((C476=TRUE)*F476*IF(AND(Inputs!$B$4&lt;&gt;"pvp",Inputs!$B$35&gt;0),(((S476-1)*(Skills!Y10*(1+Inputs!$B$33/100))+MIN((Skills!Y10*(1+Inputs!$B$33/100)),MAX(0,Inputs!$B$35-((S476-1)*Skills!D10))))/Inputs!$B$35),IF(Inputs!$B$4="pvp",MIN((Skills!Y10*(1+Inputs!$B$33/100)),15)/15,(Skills!Y10*(1+Inputs!$B$33/100))/Skills!D10)))/100)*(1+((C481=TRUE)*F481*IF(AND(Inputs!$B$4&lt;&gt;"pvp",Inputs!$B$35&gt;0),(((S481-1)*(Skills!Y15*(1+Inputs!$B$33/100))+MIN((Skills!Y15*(1+Inputs!$B$33/100)),MAX(0,Inputs!$B$35-((S481-1)*Skills!D15))))/Inputs!$B$35),IF(Inputs!$B$4="pvp",MIN((Skills!Y15*(1+Inputs!$B$33/100)),15)/15,(Skills!Y15*(1+Inputs!$B$33/100))/Skills!D15)))/100))*B501*I470)</f>
        <v/>
      </c>
      <c r="L470">
        <f>K470*(MIN(Inputs!$B$21+((C490=TRUE)*(F490-Calc!F24)),(Inputs!$B$22+1)+((C495=TRUE)*(F495-Calc!F29)))/100+((Inputs!$B$22+1)+((C495=TRUE)*(F495-Calc!F29)))/100)/2</f>
        <v/>
      </c>
      <c r="M470">
        <f>L470*(1+(Inputs!$B$9+((C492=TRUE)*(F492-Calc!F26))+B506)/100)</f>
        <v/>
      </c>
      <c r="N470">
        <f>L470*(1-MIN((Inputs!$B$8+((C491=TRUE)*(F491-Calc!F25))+B499),100)/100)+M470*(MIN((Inputs!$B$8+((C491=TRUE)*(F491-Calc!F25))+B499),100)/100)</f>
        <v/>
      </c>
      <c r="O470">
        <f>IF(C470,H470*N470*IF(AND(Inputs!$B$4&lt;&gt;"pvp",Inputs!$B$35&gt;0),((Skills!G4*((R470-1)*IF(Skills!H4&gt;0,Skills!I4/Skills!H4,1)+IF(Skills!H4&gt;0,MIN(Skills!I4,MAX(0,Inputs!$B$35-((R470-1)*IF(Inputs!$B$4="pvp",15,MAX(0.1,Skills!D4-IF(Skills!E4=TRUE,Inputs!$B$31,0))))))/Skills!H4,1)))/Inputs!$B$35),G470*Q470)*IF(Inputs!$B$4="pvp",1,(1-Summary!$B$55)*(1)+Summary!$B$55*(MIN(MIN(10,0.5*B503*Skills!D4),Inputs!$B$37))),0)</f>
        <v/>
      </c>
      <c r="P470">
        <f>IF(B511=0,0,O470/B511)</f>
        <v/>
      </c>
      <c r="Q470">
        <f>IFERROR(1/IF(Inputs!$B$4="pvp",15,MAX(0.1,Skills!D4-IF(Skills!E4=TRUE,Inputs!$B$31,0))),0)</f>
        <v/>
      </c>
      <c r="R470">
        <f>IF(AND(Inputs!$B$4&lt;&gt;"pvp",Inputs!$B$35&gt;0),(INT(Inputs!$B$35/IF(Inputs!$B$4="pvp",15,MAX(0.1,Skills!D4-IF(Skills!E4=TRUE,Inputs!$B$31,0))))+1),0)</f>
        <v/>
      </c>
      <c r="S470">
        <f>IFERROR(O470/N470,0)</f>
        <v/>
      </c>
      <c r="U470">
        <f>290*U469/1000</f>
        <v/>
      </c>
    </row>
    <row r="471">
      <c r="A471">
        <f>Skills!A5</f>
        <v/>
      </c>
      <c r="B471">
        <f>Skills!B5</f>
        <v/>
      </c>
      <c r="C471">
        <f>Inputs!$B$3&gt;=63</f>
        <v/>
      </c>
      <c r="D471">
        <f>IF(Skills!C5=1,60+Inputs!$B$24+Inputs!$B$28,IF(Skills!C5=2,90+Inputs!$B$25+Inputs!$B$28,IF(Skills!C5=3,120+Inputs!$B$26+Inputs!$B$28,MAX(0,(Inputs!$B$3-100)*3)+Inputs!$B$27+Inputs!$B$28)))</f>
        <v/>
      </c>
      <c r="E471">
        <f>INDEX(FactorTable!$B$2:$Y$301, MATCH(ROUND(MIN(300,MAX(1,D471)),0), FactorTable!$A$2:$A$301,0), Skills!M5+1)</f>
        <v/>
      </c>
      <c r="F471">
        <f>IF(Skills!N5=TRUE,(Skills!L5/10)*(E471/1000),Skills!L5/10)+Skills!O5</f>
        <v/>
      </c>
      <c r="G471">
        <f>Skills!G5*IF(Skills!H5&gt;0,Skills!I5/Skills!H5,1)</f>
        <v/>
      </c>
      <c r="H471">
        <f>1-(1-Skills!J5/100)^Skills!K5</f>
        <v/>
      </c>
      <c r="I471" t="inlineStr">
        <is>
          <t>1</t>
        </is>
      </c>
      <c r="J471">
        <f>(Inputs!$B$5*(1+Inputs!$B$6/100))*(F471/100)</f>
        <v/>
      </c>
      <c r="K471">
        <f>J471*(1+((Inputs!$B$11*(1+Inputs!$B$12/100))*0.01+Inputs!$B$13*0.0025)/100)*(1+Inputs!$B$14/100)*(1+IF(Inputs!$B$4="pvp",0,(1-Summary!$B$55)*(Inputs!$B$19+0+Skills!P5+B500)+Summary!$B$55*(Inputs!$B$20+Skills!Q5+B500))/100)*(1+Inputs!$B$15/100)*(5000/(6000+Inputs!$B$7*(1-Inputs!$B$18/100)))*(1+(Inputs!$B$23+((C496=TRUE)*(F496-Calc!F30)))/100)*(1+2.6666666666666665*IF(C484=TRUE,F484,0)/100)*(1+(IF(Skills!A5="CRUEL_STAB",Inputs!$B$16+((C493=TRUE)*(F493-Calc!F27)),Inputs!$B$17+((C494=TRUE)*(F494-Calc!F28))))/100)*(((1+(((C487=TRUE)*F487*IF(AND(Inputs!$B$4&lt;&gt;"pvp",Inputs!$B$35&gt;0),(((S487-1)*(Skills!Y21*(1+Inputs!$B$33/100))+MIN((Skills!Y21*(1+Inputs!$B$33/100)),MAX(0,Inputs!$B$35-((S487-1)*Skills!D21))))/Inputs!$B$35),IF(Inputs!$B$4="pvp",MIN((Skills!Y21*(1+Inputs!$B$33/100)),15)/15,(Skills!Y21*(1+Inputs!$B$33/100))/Skills!D21)))+((C489=TRUE)*(F489-Calc!F23))+((C483=TRUE)*(F483-Calc!F17)))/100)*(1+((C476=TRUE)*F476*IF(AND(Inputs!$B$4&lt;&gt;"pvp",Inputs!$B$35&gt;0),(((S476-1)*(Skills!Y10*(1+Inputs!$B$33/100))+MIN((Skills!Y10*(1+Inputs!$B$33/100)),MAX(0,Inputs!$B$35-((S476-1)*Skills!D10))))/Inputs!$B$35),IF(Inputs!$B$4="pvp",MIN((Skills!Y10*(1+Inputs!$B$33/100)),15)/15,(Skills!Y10*(1+Inputs!$B$33/100))/Skills!D10)))/100)*(1+((C481=TRUE)*F481*IF(AND(Inputs!$B$4&lt;&gt;"pvp",Inputs!$B$35&gt;0),(((S481-1)*(Skills!Y15*(1+Inputs!$B$33/100))+MIN((Skills!Y15*(1+Inputs!$B$33/100)),MAX(0,Inputs!$B$35-((S481-1)*Skills!D15))))/Inputs!$B$35),IF(Inputs!$B$4="pvp",MIN((Skills!Y15*(1+Inputs!$B$33/100)),15)/15,(Skills!Y15*(1+Inputs!$B$33/100))/Skills!D15)))/100))*B501*I471)</f>
        <v/>
      </c>
      <c r="L471">
        <f>K471*(MIN(Inputs!$B$21+((C490=TRUE)*(F490-Calc!F24)),(Inputs!$B$22+1)+((C495=TRUE)*(F495-Calc!F29)))/100+((Inputs!$B$22+1)+((C495=TRUE)*(F495-Calc!F29)))/100)/2</f>
        <v/>
      </c>
      <c r="M471">
        <f>L471*(1+(Inputs!$B$9+((C492=TRUE)*(F492-Calc!F26))+B506)/100)</f>
        <v/>
      </c>
      <c r="N471">
        <f>L471*(1-MIN((Inputs!$B$8+((C491=TRUE)*(F491-Calc!F25))+B499),100)/100)+M471*(MIN((Inputs!$B$8+((C491=TRUE)*(F491-Calc!F25))+B499),100)/100)</f>
        <v/>
      </c>
      <c r="O471">
        <f>IF(C471,H471*N471*IF(AND(Inputs!$B$4&lt;&gt;"pvp",Inputs!$B$35&gt;0),((Skills!G5*((R471-1)*IF(Skills!H5&gt;0,Skills!I5/Skills!H5,1)+IF(Skills!H5&gt;0,MIN(Skills!I5,MAX(0,Inputs!$B$35-((R471-1)*IF(Inputs!$B$4="pvp",15,MAX(0.1,Skills!D5-IF(Skills!E5=TRUE,Inputs!$B$31,0))))))/Skills!H5,1)))/Inputs!$B$35),G471*Q471)*IF(Inputs!$B$4="pvp",1,(1-Summary!$B$55)*(1)+Summary!$B$55*(MIN(Skills!W5,Inputs!$B$37))),0)</f>
        <v/>
      </c>
      <c r="P471">
        <f>IF(B511=0,0,O471/B511)</f>
        <v/>
      </c>
      <c r="Q471">
        <f>IFERROR(1/IF(Inputs!$B$4="pvp",15,MAX(0.1,Skills!D5-IF(Skills!E5=TRUE,Inputs!$B$31,0))),0)</f>
        <v/>
      </c>
      <c r="R471">
        <f>IF(AND(Inputs!$B$4&lt;&gt;"pvp",Inputs!$B$35&gt;0),(INT(Inputs!$B$35/IF(Inputs!$B$4="pvp",15,MAX(0.1,Skills!D5-IF(Skills!E5=TRUE,Inputs!$B$31,0))))+1),0)</f>
        <v/>
      </c>
      <c r="S471">
        <f>IFERROR(O471/N471,0)</f>
        <v/>
      </c>
    </row>
    <row r="472">
      <c r="A472">
        <f>Skills!A6</f>
        <v/>
      </c>
      <c r="B472">
        <f>Skills!B6</f>
        <v/>
      </c>
      <c r="C472">
        <f>Inputs!$B$3&gt;=69</f>
        <v/>
      </c>
      <c r="D472">
        <f>IF(Skills!C6=1,60+Inputs!$B$24+Inputs!$B$28,IF(Skills!C6=2,90+Inputs!$B$25+Inputs!$B$28,IF(Skills!C6=3,120+Inputs!$B$26+Inputs!$B$28,MAX(0,(Inputs!$B$3-100)*3)+Inputs!$B$27+Inputs!$B$28)))</f>
        <v/>
      </c>
      <c r="E472">
        <f>INDEX(FactorTable!$B$2:$Y$301, MATCH(ROUND(MIN(300,MAX(1,D472)),0), FactorTable!$A$2:$A$301,0), Skills!M6+1)</f>
        <v/>
      </c>
      <c r="F472">
        <f>IF(Skills!N6=TRUE,(Skills!L6/10)*(E472/1000),Skills!L6/10)+Skills!O6</f>
        <v/>
      </c>
      <c r="G472">
        <f>Skills!G6*IF(Skills!H6&gt;0,Skills!I6/Skills!H6,1)</f>
        <v/>
      </c>
      <c r="H472">
        <f>1-(1-Skills!J6/100)^Skills!K6</f>
        <v/>
      </c>
      <c r="I472" t="inlineStr">
        <is>
          <t>1</t>
        </is>
      </c>
      <c r="J472">
        <f>(Inputs!$B$5*(1+Inputs!$B$6/100))*(F472/100)</f>
        <v/>
      </c>
      <c r="K472">
        <f>J472*(1+((Inputs!$B$11*(1+Inputs!$B$12/100))*0.01+Inputs!$B$13*0.0025)/100)*(1+Inputs!$B$14/100)*(1+IF(Inputs!$B$4="pvp",0,(1-Summary!$B$55)*(Inputs!$B$19+0+Skills!P6+B500)+Summary!$B$55*(Inputs!$B$20+Skills!Q6+B500))/100)*(1+Inputs!$B$15/100)*(5000/(6000+Inputs!$B$7*(1-Inputs!$B$18/100)))*(1+(Inputs!$B$23+((C496=TRUE)*(F496-Calc!F30)))/100)*(1+1.0*IF(C484=TRUE,F484,0)/100)*(1+(IF(Skills!A6="CRUEL_STAB",Inputs!$B$16+((C493=TRUE)*(F493-Calc!F27)),Inputs!$B$17+((C494=TRUE)*(F494-Calc!F28))))/100)*(((1+(((C487=TRUE)*F487*IF(AND(Inputs!$B$4&lt;&gt;"pvp",Inputs!$B$35&gt;0),(((S487-1)*(Skills!Y21*(1+Inputs!$B$33/100))+MIN((Skills!Y21*(1+Inputs!$B$33/100)),MAX(0,Inputs!$B$35-((S487-1)*Skills!D21))))/Inputs!$B$35),IF(Inputs!$B$4="pvp",MIN((Skills!Y21*(1+Inputs!$B$33/100)),15)/15,(Skills!Y21*(1+Inputs!$B$33/100))/Skills!D21)))+((C489=TRUE)*(F489-Calc!F23))+((C483=TRUE)*(F483-Calc!F17)))/100)*(1+((C476=TRUE)*F476*IF(AND(Inputs!$B$4&lt;&gt;"pvp",Inputs!$B$35&gt;0),(((S476-1)*(Skills!Y10*(1+Inputs!$B$33/100))+MIN((Skills!Y10*(1+Inputs!$B$33/100)),MAX(0,Inputs!$B$35-((S476-1)*Skills!D10))))/Inputs!$B$35),IF(Inputs!$B$4="pvp",MIN((Skills!Y10*(1+Inputs!$B$33/100)),15)/15,(Skills!Y10*(1+Inputs!$B$33/100))/Skills!D10)))/100)*(1+((C481=TRUE)*F481*IF(AND(Inputs!$B$4&lt;&gt;"pvp",Inputs!$B$35&gt;0),(((S481-1)*(Skills!Y15*(1+Inputs!$B$33/100))+MIN((Skills!Y15*(1+Inputs!$B$33/100)),MAX(0,Inputs!$B$35-((S481-1)*Skills!D15))))/Inputs!$B$35),IF(Inputs!$B$4="pvp",MIN((Skills!Y15*(1+Inputs!$B$33/100)),15)/15,(Skills!Y15*(1+Inputs!$B$33/100))/Skills!D15)))/100))*B501*I472)</f>
        <v/>
      </c>
      <c r="L472">
        <f>K472*(MIN(Inputs!$B$21+((C490=TRUE)*(F490-Calc!F24)),(Inputs!$B$22+1)+((C495=TRUE)*(F495-Calc!F29)))/100+((Inputs!$B$22+1)+((C495=TRUE)*(F495-Calc!F29)))/100)/2</f>
        <v/>
      </c>
      <c r="M472">
        <f>L472*(1+(Inputs!$B$9+((C492=TRUE)*(F492-Calc!F26))+B506)/100)</f>
        <v/>
      </c>
      <c r="N472">
        <f>L472*(1-MIN((Inputs!$B$8+((C491=TRUE)*(F491-Calc!F25))+B499),100)/100)+M472*(MIN((Inputs!$B$8+((C491=TRUE)*(F491-Calc!F25))+B499),100)/100)</f>
        <v/>
      </c>
      <c r="O472">
        <f>IF(C472,H472*N472*IF(AND(Inputs!$B$4&lt;&gt;"pvp",Inputs!$B$35&gt;0),((Skills!G6*((R472-1)*IF(Skills!H6&gt;0,Skills!I6/Skills!H6,1)+IF(Skills!H6&gt;0,MIN(Skills!I6,MAX(0,Inputs!$B$35-((R472-1)*IF(Inputs!$B$4="pvp",15,MAX(0.1,Skills!D6-IF(Skills!E6=TRUE,Inputs!$B$31,0))))))/Skills!H6,1)))/Inputs!$B$35),G472*Q472)*IF(Inputs!$B$4="pvp",1,(1-Summary!$B$55)*(1)+Summary!$B$55*(MIN(Skills!W6,Inputs!$B$37))),0)</f>
        <v/>
      </c>
      <c r="P472">
        <f>IF(B511=0,0,O472/B511)</f>
        <v/>
      </c>
      <c r="Q472">
        <f>IFERROR(1/IF(Inputs!$B$4="pvp",15,MAX(0.1,Skills!D6-IF(Skills!E6=TRUE,Inputs!$B$31,0))),0)</f>
        <v/>
      </c>
      <c r="R472">
        <f>IF(AND(Inputs!$B$4&lt;&gt;"pvp",Inputs!$B$35&gt;0),(INT(Inputs!$B$35/IF(Inputs!$B$4="pvp",15,MAX(0.1,Skills!D6-IF(Skills!E6=TRUE,Inputs!$B$31,0))))+1),0)</f>
        <v/>
      </c>
      <c r="S472">
        <f>IFERROR(O472/N472,0)</f>
        <v/>
      </c>
    </row>
    <row r="473">
      <c r="A473">
        <f>Skills!A7</f>
        <v/>
      </c>
      <c r="B473">
        <f>Skills!B7</f>
        <v/>
      </c>
      <c r="C473">
        <f>Inputs!$B$3&gt;=60</f>
        <v/>
      </c>
      <c r="D473">
        <f>IF(Skills!C7=1,60+Inputs!$B$24+Inputs!$B$28,IF(Skills!C7=2,90+Inputs!$B$25+Inputs!$B$28,IF(Skills!C7=3,120+Inputs!$B$26+Inputs!$B$28,MAX(0,(Inputs!$B$3-100)*3)+Inputs!$B$27+Inputs!$B$28)))</f>
        <v/>
      </c>
      <c r="E473">
        <f>INDEX(FactorTable!$B$2:$Y$301, MATCH(ROUND(MIN(300,MAX(1,D473)),0), FactorTable!$A$2:$A$301,0), Skills!M7+1)</f>
        <v/>
      </c>
      <c r="F473">
        <f>IF(Skills!N7=TRUE,(Skills!L7/10)*(E473/1000),Skills!L7/10)+Skills!O7</f>
        <v/>
      </c>
      <c r="G473">
        <f>Skills!G7*IF(Skills!H7&gt;0,Skills!I7/Skills!H7,1)</f>
        <v/>
      </c>
      <c r="H473">
        <f>1-(1-Skills!J7/100)^Skills!K7</f>
        <v/>
      </c>
      <c r="I473" t="inlineStr">
        <is>
          <t>1</t>
        </is>
      </c>
      <c r="J473" t="inlineStr"/>
      <c r="K473" t="inlineStr"/>
      <c r="L473" t="inlineStr"/>
      <c r="M473" t="inlineStr"/>
      <c r="N473" t="inlineStr"/>
      <c r="O473" t="n">
        <v>0</v>
      </c>
      <c r="P473">
        <f>IF(B511=0,0,O473/B511)</f>
        <v/>
      </c>
      <c r="Q473" t="n">
        <v>0</v>
      </c>
      <c r="R473" t="n">
        <v>0</v>
      </c>
      <c r="S473">
        <f>IFERROR(O473/N473,0)</f>
        <v/>
      </c>
    </row>
    <row r="474">
      <c r="A474">
        <f>Skills!A8</f>
        <v/>
      </c>
      <c r="B474">
        <f>Skills!B8</f>
        <v/>
      </c>
      <c r="C474">
        <f>Inputs!$B$3&gt;=72</f>
        <v/>
      </c>
      <c r="D474">
        <f>IF(Skills!C8=1,60+Inputs!$B$24+Inputs!$B$28,IF(Skills!C8=2,90+Inputs!$B$25+Inputs!$B$28,IF(Skills!C8=3,120+Inputs!$B$26+Inputs!$B$28,MAX(0,(Inputs!$B$3-100)*3)+Inputs!$B$27+Inputs!$B$28)))</f>
        <v/>
      </c>
      <c r="E474">
        <f>INDEX(FactorTable!$B$2:$Y$301, MATCH(ROUND(MIN(300,MAX(1,D474)),0), FactorTable!$A$2:$A$301,0), Skills!M8+1)</f>
        <v/>
      </c>
      <c r="F474">
        <f>IF(Skills!N8=TRUE,(Skills!L8/10)*(E474/1000),Skills!L8/10)+Skills!O8</f>
        <v/>
      </c>
      <c r="G474">
        <f>Skills!G8*IF(Skills!H8&gt;0,Skills!I8/Skills!H8,1)</f>
        <v/>
      </c>
      <c r="H474">
        <f>1-(1-Skills!J8/100)^Skills!K8</f>
        <v/>
      </c>
      <c r="I474" t="inlineStr">
        <is>
          <t>1</t>
        </is>
      </c>
      <c r="J474">
        <f>(Inputs!$B$5*(1+Inputs!$B$6/100))*(F474/100)</f>
        <v/>
      </c>
      <c r="K474">
        <f>J474*(1+((Inputs!$B$11*(1+Inputs!$B$12/100))*0.01+Inputs!$B$13*0.0025)/100)*(1+Inputs!$B$14/100)*(1+IF(Inputs!$B$4="pvp",0,(1-Summary!$B$55)*(Inputs!$B$19+0+Skills!P8+B500)+Summary!$B$55*(Inputs!$B$20+Skills!Q8+B500))/100)*(1+Inputs!$B$15/100)*(5000/(6000+Inputs!$B$7*(1-Inputs!$B$18/100)))*(1+(Inputs!$B$23+((C496=TRUE)*(F496-Calc!F30)))/100)*(1+3.3333333333333335*IF(C484=TRUE,F484,0)/100)*(1+(IF(Skills!A8="CRUEL_STAB",Inputs!$B$16+((C493=TRUE)*(F493-Calc!F27)),Inputs!$B$17+((C494=TRUE)*(F494-Calc!F28))))/100)*(((1+(((C487=TRUE)*F487*IF(AND(Inputs!$B$4&lt;&gt;"pvp",Inputs!$B$35&gt;0),(((S487-1)*(Skills!Y21*(1+Inputs!$B$33/100))+MIN((Skills!Y21*(1+Inputs!$B$33/100)),MAX(0,Inputs!$B$35-((S487-1)*Skills!D21))))/Inputs!$B$35),IF(Inputs!$B$4="pvp",MIN((Skills!Y21*(1+Inputs!$B$33/100)),15)/15,(Skills!Y21*(1+Inputs!$B$33/100))/Skills!D21)))+((C489=TRUE)*(F489-Calc!F23))+((C483=TRUE)*(F483-Calc!F17)))/100)*(1+((C476=TRUE)*F476*IF(AND(Inputs!$B$4&lt;&gt;"pvp",Inputs!$B$35&gt;0),(((S476-1)*(Skills!Y10*(1+Inputs!$B$33/100))+MIN((Skills!Y10*(1+Inputs!$B$33/100)),MAX(0,Inputs!$B$35-((S476-1)*Skills!D10))))/Inputs!$B$35),IF(Inputs!$B$4="pvp",MIN((Skills!Y10*(1+Inputs!$B$33/100)),15)/15,(Skills!Y10*(1+Inputs!$B$33/100))/Skills!D10)))/100)*(1+((C481=TRUE)*F481*IF(AND(Inputs!$B$4&lt;&gt;"pvp",Inputs!$B$35&gt;0),(((S481-1)*(Skills!Y15*(1+Inputs!$B$33/100))+MIN((Skills!Y15*(1+Inputs!$B$33/100)),MAX(0,Inputs!$B$35-((S481-1)*Skills!D15))))/Inputs!$B$35),IF(Inputs!$B$4="pvp",MIN((Skills!Y15*(1+Inputs!$B$33/100)),15)/15,(Skills!Y15*(1+Inputs!$B$33/100))/Skills!D15)))/100))*B501*I474)</f>
        <v/>
      </c>
      <c r="L474">
        <f>K474*(MIN(Inputs!$B$21+((C490=TRUE)*(F490-Calc!F24)),(Inputs!$B$22+1)+((C495=TRUE)*(F495-Calc!F29)))/100+((Inputs!$B$22+1)+((C495=TRUE)*(F495-Calc!F29)))/100)/2</f>
        <v/>
      </c>
      <c r="M474">
        <f>L474*(1+(Inputs!$B$9+((C492=TRUE)*(F492-Calc!F26))+B506)/100)</f>
        <v/>
      </c>
      <c r="N474">
        <f>L474*(1-MIN((Inputs!$B$8+((C491=TRUE)*(F491-Calc!F25))+B499),100)/100)+M474*(MIN((Inputs!$B$8+((C491=TRUE)*(F491-Calc!F25))+B499),100)/100)</f>
        <v/>
      </c>
      <c r="O474">
        <f>IF(C474,H474*N474*IF(AND(Inputs!$B$4&lt;&gt;"pvp",Inputs!$B$35&gt;0),((Skills!G8*((R474-1)*IF(Skills!H8&gt;0,Skills!I8/Skills!H8,1)+IF(Skills!H8&gt;0,MIN(Skills!I8,MAX(0,Inputs!$B$35-((R474-1)*IF(Inputs!$B$4="pvp",15,MAX(0.1,Skills!D8-IF(Skills!E8=TRUE,Inputs!$B$31,0))))))/Skills!H8,1)))/Inputs!$B$35),G474*Q474)*IF(Inputs!$B$4="pvp",1,(1-Summary!$B$55)*(1)+Summary!$B$55*(MIN(Skills!W8,Inputs!$B$37))),0)</f>
        <v/>
      </c>
      <c r="P474">
        <f>IF(B511=0,0,O474/B511)</f>
        <v/>
      </c>
      <c r="Q474">
        <f>IFERROR(1/IF(Inputs!$B$4="pvp",15,MAX(0.1,Skills!D8-IF(Skills!E8=TRUE,Inputs!$B$31,0))),0)</f>
        <v/>
      </c>
      <c r="R474">
        <f>IF(AND(Inputs!$B$4&lt;&gt;"pvp",Inputs!$B$35&gt;0),(INT(Inputs!$B$35/IF(Inputs!$B$4="pvp",15,MAX(0.1,Skills!D8-IF(Skills!E8=TRUE,Inputs!$B$31,0))))+1),0)</f>
        <v/>
      </c>
      <c r="S474">
        <f>IFERROR(O474/N474,0)</f>
        <v/>
      </c>
    </row>
    <row r="475">
      <c r="A475">
        <f>Skills!A9</f>
        <v/>
      </c>
      <c r="B475">
        <f>Skills!B9</f>
        <v/>
      </c>
      <c r="C475">
        <f>Inputs!$B$3&gt;=117</f>
        <v/>
      </c>
      <c r="D475">
        <f>IF(Skills!C9=1,60+Inputs!$B$24+Inputs!$B$28,IF(Skills!C9=2,90+Inputs!$B$25+Inputs!$B$28,IF(Skills!C9=3,120+Inputs!$B$26+Inputs!$B$28,MAX(0,(Inputs!$B$3-100)*3)+Inputs!$B$27+Inputs!$B$28)))</f>
        <v/>
      </c>
      <c r="E475">
        <f>INDEX(FactorTable!$B$2:$Y$301, MATCH(ROUND(MIN(300,MAX(1,D475)),0), FactorTable!$A$2:$A$301,0), Skills!M9+1)</f>
        <v/>
      </c>
      <c r="F475">
        <f>IF(Skills!N9=TRUE,(Skills!L9/10)*(E475/1000),Skills!L9/10)+Skills!O9</f>
        <v/>
      </c>
      <c r="G475">
        <f>Skills!G9*IF(Skills!H9&gt;0,Skills!I9/Skills!H9,1)</f>
        <v/>
      </c>
      <c r="H475">
        <f>1-(1-Skills!J9/100)^Skills!K9</f>
        <v/>
      </c>
      <c r="I475" t="inlineStr">
        <is>
          <t>1</t>
        </is>
      </c>
      <c r="J475">
        <f>(Inputs!$B$5*(1+Inputs!$B$6/100))*(F475/100)</f>
        <v/>
      </c>
      <c r="K475">
        <f>J475*(1+((Inputs!$B$11*(1+Inputs!$B$12/100))*0.01+Inputs!$B$13*0.0025)/100)*(1+Inputs!$B$14/100)*(1+IF(Inputs!$B$4="pvp",0,(1-Summary!$B$55)*(Inputs!$B$19+0+Skills!P9+B500)+Summary!$B$55*(Inputs!$B$20+Skills!Q9+B500))/100)*(1+Inputs!$B$15/100)*(5000/(6000+Inputs!$B$7*(1-Inputs!$B$18/100)))*(1+(Inputs!$B$23+((C496=TRUE)*(F496-Calc!F30)))/100)*(1+(IF(Skills!A9="CRUEL_STAB",Inputs!$B$16+((C493=TRUE)*(F493-Calc!F27)),Inputs!$B$17+((C494=TRUE)*(F494-Calc!F28))))/100)*(((1+(((C487=TRUE)*F487*IF(AND(Inputs!$B$4&lt;&gt;"pvp",Inputs!$B$35&gt;0),(((S487-1)*(Skills!Y21*(1+Inputs!$B$33/100))+MIN((Skills!Y21*(1+Inputs!$B$33/100)),MAX(0,Inputs!$B$35-((S487-1)*Skills!D21))))/Inputs!$B$35),IF(Inputs!$B$4="pvp",MIN((Skills!Y21*(1+Inputs!$B$33/100)),15)/15,(Skills!Y21*(1+Inputs!$B$33/100))/Skills!D21)))+((C489=TRUE)*(F489-Calc!F23))+((C483=TRUE)*(F483-Calc!F17)))/100)*(1+((C476=TRUE)*F476*IF(AND(Inputs!$B$4&lt;&gt;"pvp",Inputs!$B$35&gt;0),(((S476-1)*(Skills!Y10*(1+Inputs!$B$33/100))+MIN((Skills!Y10*(1+Inputs!$B$33/100)),MAX(0,Inputs!$B$35-((S476-1)*Skills!D10))))/Inputs!$B$35),IF(Inputs!$B$4="pvp",MIN((Skills!Y10*(1+Inputs!$B$33/100)),15)/15,(Skills!Y10*(1+Inputs!$B$33/100))/Skills!D10)))/100)*(1+((C481=TRUE)*F481*IF(AND(Inputs!$B$4&lt;&gt;"pvp",Inputs!$B$35&gt;0),(((S481-1)*(Skills!Y15*(1+Inputs!$B$33/100))+MIN((Skills!Y15*(1+Inputs!$B$33/100)),MAX(0,Inputs!$B$35-((S481-1)*Skills!D15))))/Inputs!$B$35),IF(Inputs!$B$4="pvp",MIN((Skills!Y15*(1+Inputs!$B$33/100)),15)/15,(Skills!Y15*(1+Inputs!$B$33/100))/Skills!D15)))/100))*B501*I475)</f>
        <v/>
      </c>
      <c r="L475">
        <f>K475*(MIN(Inputs!$B$21+((C490=TRUE)*(F490-Calc!F24)),(Inputs!$B$22+1)+((C495=TRUE)*(F495-Calc!F29)))/100+((Inputs!$B$22+1)+((C495=TRUE)*(F495-Calc!F29)))/100)/2</f>
        <v/>
      </c>
      <c r="M475">
        <f>L475*(1+(Inputs!$B$9+((C492=TRUE)*(F492-Calc!F26))+B506)/100)</f>
        <v/>
      </c>
      <c r="N475">
        <f>L475*(1-MIN((Inputs!$B$8+((C491=TRUE)*(F491-Calc!F25))+B499),100)/100)+M475*(MIN((Inputs!$B$8+((C491=TRUE)*(F491-Calc!F25))+B499),100)/100)</f>
        <v/>
      </c>
      <c r="O475">
        <f>IF(C475,0.2*SUMPRODUCT((Skills!Z2:Z30=TRUE)*(C468:C496=TRUE)*S468:S496)*N475,0)</f>
        <v/>
      </c>
      <c r="P475">
        <f>IF(B511=0,0,O475/B511)</f>
        <v/>
      </c>
      <c r="Q475" t="n">
        <v>0</v>
      </c>
      <c r="R475" t="n">
        <v>0</v>
      </c>
      <c r="S475" t="n">
        <v>0</v>
      </c>
    </row>
    <row r="476">
      <c r="A476">
        <f>Skills!A10</f>
        <v/>
      </c>
      <c r="B476">
        <f>Skills!B10</f>
        <v/>
      </c>
      <c r="C476">
        <f>Inputs!$B$3&gt;=74</f>
        <v/>
      </c>
      <c r="D476">
        <f>IF(Skills!C10=1,60+Inputs!$B$24+Inputs!$B$28,IF(Skills!C10=2,90+Inputs!$B$25+Inputs!$B$28,IF(Skills!C10=3,120+Inputs!$B$26+Inputs!$B$28,MAX(0,(Inputs!$B$3-100)*3)+Inputs!$B$27+Inputs!$B$28)))</f>
        <v/>
      </c>
      <c r="E476">
        <f>INDEX(FactorTable!$B$2:$Y$301, MATCH(ROUND(MIN(300,MAX(1,D476)),0), FactorTable!$A$2:$A$301,0), Skills!M10+1)</f>
        <v/>
      </c>
      <c r="F476">
        <f>IF(Skills!N10=TRUE,(Skills!L10/10)*(E476/1000),Skills!L10/10)+Skills!O10</f>
        <v/>
      </c>
      <c r="G476">
        <f>Skills!G10*IF(Skills!H10&gt;0,Skills!I10/Skills!H10,1)</f>
        <v/>
      </c>
      <c r="H476">
        <f>1-(1-Skills!J10/100)^Skills!K10</f>
        <v/>
      </c>
      <c r="I476" t="inlineStr">
        <is>
          <t>1</t>
        </is>
      </c>
      <c r="J476" t="inlineStr"/>
      <c r="K476" t="inlineStr"/>
      <c r="L476" t="inlineStr"/>
      <c r="M476" t="inlineStr"/>
      <c r="N476" t="inlineStr"/>
      <c r="O476" t="n">
        <v>0</v>
      </c>
      <c r="P476">
        <f>IF(B511=0,0,O476/B511)</f>
        <v/>
      </c>
      <c r="Q476">
        <f>IFERROR(1/IF(Inputs!$B$4="pvp",15,MAX(0.1,Skills!D10-IF(Skills!E10=TRUE,Inputs!$B$31,0))),0)</f>
        <v/>
      </c>
      <c r="R476">
        <f>IF(AND(Inputs!$B$4&lt;&gt;"pvp",Inputs!$B$35&gt;0),(INT(Inputs!$B$35/IF(Inputs!$B$4="pvp",15,MAX(0.1,Skills!D10-IF(Skills!E10=TRUE,Inputs!$B$31,0))))+1),0)</f>
        <v/>
      </c>
      <c r="S476">
        <f>IFERROR(O476/N476,0)</f>
        <v/>
      </c>
    </row>
    <row r="477">
      <c r="A477">
        <f>Skills!A11</f>
        <v/>
      </c>
      <c r="B477">
        <f>Skills!B11</f>
        <v/>
      </c>
      <c r="C477">
        <f>Inputs!$B$3&gt;=103</f>
        <v/>
      </c>
      <c r="D477">
        <f>IF(Skills!C11=1,60+Inputs!$B$24+Inputs!$B$28,IF(Skills!C11=2,90+Inputs!$B$25+Inputs!$B$28,IF(Skills!C11=3,120+Inputs!$B$26+Inputs!$B$28,MAX(0,(Inputs!$B$3-100)*3)+Inputs!$B$27+Inputs!$B$28)))</f>
        <v/>
      </c>
      <c r="E477">
        <f>INDEX(FactorTable!$B$2:$Y$301, MATCH(ROUND(MIN(300,MAX(1,D477)),0), FactorTable!$A$2:$A$301,0), Skills!M11+1)</f>
        <v/>
      </c>
      <c r="F477">
        <f>(Skills!L11/10)*(E477/1000)+IF(Inputs!$B$3&gt;=134,50,0)+0.5*(30000/10)*(INDEX(FactorTable!$B$2:$Y$301, MATCH(ROUND(MIN(300,MAX(1,D477)),0), FactorTable!$A$2:$A$301,0), 13)/1000)*B509</f>
        <v/>
      </c>
      <c r="G477">
        <f>Skills!G11*IF(Skills!H11&gt;0,Skills!I11/Skills!H11,1)</f>
        <v/>
      </c>
      <c r="H477">
        <f>1-(1-Skills!J11/100)^Skills!K11</f>
        <v/>
      </c>
      <c r="I477" t="inlineStr">
        <is>
          <t>1</t>
        </is>
      </c>
      <c r="J477">
        <f>(Inputs!$B$5*(1+Inputs!$B$6/100))*(F477/100)</f>
        <v/>
      </c>
      <c r="K477">
        <f>J477*(1+((Inputs!$B$11*(1+Inputs!$B$12/100))*0.01+Inputs!$B$13*0.0025)/100)*(1+Inputs!$B$14/100)*(1+IF(Inputs!$B$4="pvp",0,(1-Summary!$B$55)*(Inputs!$B$19+0+Skills!P11+B500)+Summary!$B$55*(Inputs!$B$20+Skills!Q11+B500))/100)*(1+Inputs!$B$15/100)*(5000/(6000+Inputs!$B$7*(1-Inputs!$B$18/100)))*(1+(Inputs!$B$23+((C496=TRUE)*(F496-Calc!F30)))/100)*(1+(IF(Skills!A11="CRUEL_STAB",Inputs!$B$16+((C493=TRUE)*(F493-Calc!F27)),Inputs!$B$17+((C494=TRUE)*(F494-Calc!F28))))/100)*(((1+(((C487=TRUE)*F487*IF(AND(Inputs!$B$4&lt;&gt;"pvp",Inputs!$B$35&gt;0),(((S487-1)*(Skills!Y21*(1+Inputs!$B$33/100))+MIN((Skills!Y21*(1+Inputs!$B$33/100)),MAX(0,Inputs!$B$35-((S487-1)*Skills!D21))))/Inputs!$B$35),IF(Inputs!$B$4="pvp",MIN((Skills!Y21*(1+Inputs!$B$33/100)),15)/15,(Skills!Y21*(1+Inputs!$B$33/100))/Skills!D21)))+((C489=TRUE)*(F489-Calc!F23))+((C483=TRUE)*(F483-Calc!F17)))/100)*(1+((C476=TRUE)*F476*IF(AND(Inputs!$B$4&lt;&gt;"pvp",Inputs!$B$35&gt;0),(((S476-1)*(Skills!Y10*(1+Inputs!$B$33/100))+MIN((Skills!Y10*(1+Inputs!$B$33/100)),MAX(0,Inputs!$B$35-((S476-1)*Skills!D10))))/Inputs!$B$35),IF(Inputs!$B$4="pvp",MIN((Skills!Y10*(1+Inputs!$B$33/100)),15)/15,(Skills!Y10*(1+Inputs!$B$33/100))/Skills!D10)))/100)*(1+((C481=TRUE)*F481*IF(AND(Inputs!$B$4&lt;&gt;"pvp",Inputs!$B$35&gt;0),(((S481-1)*(Skills!Y15*(1+Inputs!$B$33/100))+MIN((Skills!Y15*(1+Inputs!$B$33/100)),MAX(0,Inputs!$B$35-((S481-1)*Skills!D15))))/Inputs!$B$35),IF(Inputs!$B$4="pvp",MIN((Skills!Y15*(1+Inputs!$B$33/100)),15)/15,(Skills!Y15*(1+Inputs!$B$33/100))/Skills!D15)))/100))*B501*I477)</f>
        <v/>
      </c>
      <c r="L477">
        <f>K477*(MIN(Inputs!$B$21+((C490=TRUE)*(F490-Calc!F24)),(Inputs!$B$22+1)+((C495=TRUE)*(F495-Calc!F29)))/100+((Inputs!$B$22+1)+((C495=TRUE)*(F495-Calc!F29)))/100)/2</f>
        <v/>
      </c>
      <c r="M477">
        <f>L477*(1+(Inputs!$B$9+((C492=TRUE)*(F492-Calc!F26))+B506)/100)</f>
        <v/>
      </c>
      <c r="N477">
        <f>L477*(1-MIN((Inputs!$B$8+((C491=TRUE)*(F491-Calc!F25))+B499),100)/100)+M477*(MIN((Inputs!$B$8+((C491=TRUE)*(F491-Calc!F25))+B499),100)/100)</f>
        <v/>
      </c>
      <c r="O477">
        <f>IF(C477,H477*N477*IF(AND(Inputs!$B$4&lt;&gt;"pvp",Inputs!$B$35&gt;0),((Skills!G11*((R477-1)*IF(Skills!H11&gt;0,Skills!I11/Skills!H11,1)+IF(Skills!H11&gt;0,MIN(Skills!I11,MAX(0,Inputs!$B$35-((R477-1)*IF(Inputs!$B$4="pvp",15,MAX(0.1,Skills!D11-IF(Skills!E11=TRUE,Inputs!$B$31,0))))))/Skills!H11,1)))/Inputs!$B$35),G477*Q477)*IF(Inputs!$B$4="pvp",1,(1-Summary!$B$55)*(1)+Summary!$B$55*(MIN(Skills!W11,Inputs!$B$37))),0)</f>
        <v/>
      </c>
      <c r="P477">
        <f>IF(B511=0,0,O477/B511)</f>
        <v/>
      </c>
      <c r="Q477">
        <f>IFERROR(1/IF(Inputs!$B$4="pvp",15,MAX(0.1,Skills!D11-IF(Skills!E11=TRUE,Inputs!$B$31,0))),0)</f>
        <v/>
      </c>
      <c r="R477">
        <f>IF(AND(Inputs!$B$4&lt;&gt;"pvp",Inputs!$B$35&gt;0),(INT(Inputs!$B$35/IF(Inputs!$B$4="pvp",15,MAX(0.1,Skills!D11-IF(Skills!E11=TRUE,Inputs!$B$31,0))))+1),0)</f>
        <v/>
      </c>
      <c r="S477">
        <f>IFERROR(O477/N477,0)</f>
        <v/>
      </c>
    </row>
    <row r="478">
      <c r="A478">
        <f>Skills!A12</f>
        <v/>
      </c>
      <c r="B478">
        <f>Skills!B12</f>
        <v/>
      </c>
      <c r="C478">
        <f>Inputs!$B$3&gt;=105</f>
        <v/>
      </c>
      <c r="D478">
        <f>IF(Skills!C12=1,60+Inputs!$B$24+Inputs!$B$28,IF(Skills!C12=2,90+Inputs!$B$25+Inputs!$B$28,IF(Skills!C12=3,120+Inputs!$B$26+Inputs!$B$28,MAX(0,(Inputs!$B$3-100)*3)+Inputs!$B$27+Inputs!$B$28)))</f>
        <v/>
      </c>
      <c r="E478">
        <f>INDEX(FactorTable!$B$2:$Y$301, MATCH(ROUND(MIN(300,MAX(1,D478)),0), FactorTable!$A$2:$A$301,0), Skills!M12+1)</f>
        <v/>
      </c>
      <c r="F478">
        <f>IF(Skills!N12=TRUE,(Skills!L12/10)*(E478/1000),Skills!L12/10)+Skills!O12</f>
        <v/>
      </c>
      <c r="G478">
        <f>Skills!G12*IF(Skills!H12&gt;0,Skills!I12/Skills!H12,1)</f>
        <v/>
      </c>
      <c r="H478">
        <f>1-(1-Skills!J12/100)^Skills!K12</f>
        <v/>
      </c>
      <c r="I478" t="inlineStr">
        <is>
          <t>1</t>
        </is>
      </c>
      <c r="J478">
        <f>(Inputs!$B$5*(1+Inputs!$B$6/100))*(F478/100)</f>
        <v/>
      </c>
      <c r="K478">
        <f>J478*(1+((Inputs!$B$11*(1+Inputs!$B$12/100))*0.01+Inputs!$B$13*0.0025)/100)*(1+Inputs!$B$14/100)*(1+IF(Inputs!$B$4="pvp",0,(1-Summary!$B$55)*(Inputs!$B$19+0+Skills!P12+B500)+Summary!$B$55*(Inputs!$B$20+Skills!Q12+B500))/100)*(1+Inputs!$B$15/100)*(5000/(6000+Inputs!$B$7*(1-Inputs!$B$18/100)))*(1+(Inputs!$B$23+((C496=TRUE)*(F496-Calc!F30)))/100)*(1+(IF(Skills!A12="CRUEL_STAB",Inputs!$B$16+((C493=TRUE)*(F493-Calc!F27)),Inputs!$B$17+((C494=TRUE)*(F494-Calc!F28))))/100)*(((1+(((C487=TRUE)*F487*IF(AND(Inputs!$B$4&lt;&gt;"pvp",Inputs!$B$35&gt;0),(((S487-1)*(Skills!Y21*(1+Inputs!$B$33/100))+MIN((Skills!Y21*(1+Inputs!$B$33/100)),MAX(0,Inputs!$B$35-((S487-1)*Skills!D21))))/Inputs!$B$35),IF(Inputs!$B$4="pvp",MIN((Skills!Y21*(1+Inputs!$B$33/100)),15)/15,(Skills!Y21*(1+Inputs!$B$33/100))/Skills!D21)))+((C489=TRUE)*(F489-Calc!F23))+((C483=TRUE)*(F483-Calc!F17)))/100)*(1+((C476=TRUE)*F476*IF(AND(Inputs!$B$4&lt;&gt;"pvp",Inputs!$B$35&gt;0),(((S476-1)*(Skills!Y10*(1+Inputs!$B$33/100))+MIN((Skills!Y10*(1+Inputs!$B$33/100)),MAX(0,Inputs!$B$35-((S476-1)*Skills!D10))))/Inputs!$B$35),IF(Inputs!$B$4="pvp",MIN((Skills!Y10*(1+Inputs!$B$33/100)),15)/15,(Skills!Y10*(1+Inputs!$B$33/100))/Skills!D10)))/100)*(1+((C481=TRUE)*F481*IF(AND(Inputs!$B$4&lt;&gt;"pvp",Inputs!$B$35&gt;0),(((S481-1)*(Skills!Y15*(1+Inputs!$B$33/100))+MIN((Skills!Y15*(1+Inputs!$B$33/100)),MAX(0,Inputs!$B$35-((S481-1)*Skills!D15))))/Inputs!$B$35),IF(Inputs!$B$4="pvp",MIN((Skills!Y15*(1+Inputs!$B$33/100)),15)/15,(Skills!Y15*(1+Inputs!$B$33/100))/Skills!D15)))/100))*B501*I478)</f>
        <v/>
      </c>
      <c r="L478">
        <f>K478*(MIN(Inputs!$B$21+((C490=TRUE)*(F490-Calc!F24)),(Inputs!$B$22+1)+((C495=TRUE)*(F495-Calc!F29)))/100+((Inputs!$B$22+1)+((C495=TRUE)*(F495-Calc!F29)))/100)/2</f>
        <v/>
      </c>
      <c r="M478">
        <f>L478*(1+(Inputs!$B$9+((C492=TRUE)*(F492-Calc!F26))+B506)/100)</f>
        <v/>
      </c>
      <c r="N478">
        <f>L478*(1-MIN((Inputs!$B$8+((C491=TRUE)*(F491-Calc!F25))+B499),100)/100)+M478*(MIN((Inputs!$B$8+((C491=TRUE)*(F491-Calc!F25))+B499),100)/100)</f>
        <v/>
      </c>
      <c r="O478">
        <f>IF(C478,H478*N478*IF(AND(Inputs!$B$4&lt;&gt;"pvp",Inputs!$B$35&gt;0),((Skills!G12*((R478-1)*IF(Skills!H12&gt;0,Skills!I12/Skills!H12,1)+IF(Skills!H12&gt;0,MIN(Skills!I12,MAX(0,Inputs!$B$35-((R478-1)*IF(Inputs!$B$4="pvp",15,MAX(0.1,Skills!D12-IF(Skills!E12=TRUE,Inputs!$B$31,0))))))/Skills!H12,1)))/Inputs!$B$35),G478*Q478)*IF(Inputs!$B$4="pvp",1,(1-Summary!$B$55)*(1)+Summary!$B$55*(MIN(Skills!W12,Inputs!$B$37))),0)</f>
        <v/>
      </c>
      <c r="P478">
        <f>IF(B511=0,0,O478/B511)</f>
        <v/>
      </c>
      <c r="Q478">
        <f>IFERROR(1/IF(Inputs!$B$4="pvp",15,MAX(0.1,Skills!D12-IF(Skills!E12=TRUE,Inputs!$B$31,0))),0)</f>
        <v/>
      </c>
      <c r="R478">
        <f>IF(AND(Inputs!$B$4&lt;&gt;"pvp",Inputs!$B$35&gt;0),(INT(Inputs!$B$35/IF(Inputs!$B$4="pvp",15,MAX(0.1,Skills!D12-IF(Skills!E12=TRUE,Inputs!$B$31,0))))+1),0)</f>
        <v/>
      </c>
      <c r="S478">
        <f>IFERROR(O478/N478,0)</f>
        <v/>
      </c>
    </row>
    <row r="479">
      <c r="A479">
        <f>Skills!A13</f>
        <v/>
      </c>
      <c r="B479">
        <f>Skills!B13</f>
        <v/>
      </c>
      <c r="C479">
        <f>Inputs!$B$3&gt;=105</f>
        <v/>
      </c>
      <c r="D479">
        <f>IF(Skills!C13=1,60+Inputs!$B$24+Inputs!$B$28,IF(Skills!C13=2,90+Inputs!$B$25+Inputs!$B$28,IF(Skills!C13=3,120+Inputs!$B$26+Inputs!$B$28,MAX(0,(Inputs!$B$3-100)*3)+Inputs!$B$27+Inputs!$B$28)))</f>
        <v/>
      </c>
      <c r="E479">
        <f>INDEX(FactorTable!$B$2:$Y$301, MATCH(ROUND(MIN(300,MAX(1,D479)),0), FactorTable!$A$2:$A$301,0), Skills!M13+1)</f>
        <v/>
      </c>
      <c r="F479">
        <f>IF(Skills!N13=TRUE,(Skills!L13/10)*(E479/1000),Skills!L13/10)+Skills!O13</f>
        <v/>
      </c>
      <c r="G479">
        <f>Skills!G13*IF(Skills!H13&gt;0,Skills!I13/Skills!H13,1)</f>
        <v/>
      </c>
      <c r="H479">
        <f>1-(1-Skills!J13/100)^Skills!K13</f>
        <v/>
      </c>
      <c r="I479" t="inlineStr">
        <is>
          <t>1</t>
        </is>
      </c>
      <c r="J479">
        <f>(Inputs!$B$5*(1+Inputs!$B$6/100))*(F479/100)</f>
        <v/>
      </c>
      <c r="K479">
        <f>J479*(1+((Inputs!$B$11*(1+Inputs!$B$12/100))*0.01+Inputs!$B$13*0.0025)/100)*(1+Inputs!$B$14/100)*(1+IF(Inputs!$B$4="pvp",0,(1-Summary!$B$55)*(Inputs!$B$19+0+Skills!P13+B500)+Summary!$B$55*(Inputs!$B$20+Skills!Q13+B500))/100)*(1+Inputs!$B$15/100)*(5000/(6000+Inputs!$B$7*(1-Inputs!$B$18/100)))*(1+(Inputs!$B$23+((C496=TRUE)*(F496-Calc!F30)))/100)*(1+(IF(Skills!A13="CRUEL_STAB",Inputs!$B$16+((C493=TRUE)*(F493-Calc!F27)),Inputs!$B$17+((C494=TRUE)*(F494-Calc!F28))))/100)*(((1+(((C487=TRUE)*F487*IF(AND(Inputs!$B$4&lt;&gt;"pvp",Inputs!$B$35&gt;0),(((S487-1)*(Skills!Y21*(1+Inputs!$B$33/100))+MIN((Skills!Y21*(1+Inputs!$B$33/100)),MAX(0,Inputs!$B$35-((S487-1)*Skills!D21))))/Inputs!$B$35),IF(Inputs!$B$4="pvp",MIN((Skills!Y21*(1+Inputs!$B$33/100)),15)/15,(Skills!Y21*(1+Inputs!$B$33/100))/Skills!D21)))+((C489=TRUE)*(F489-Calc!F23))+((C483=TRUE)*(F483-Calc!F17)))/100)*(1+((C476=TRUE)*F476*IF(AND(Inputs!$B$4&lt;&gt;"pvp",Inputs!$B$35&gt;0),(((S476-1)*(Skills!Y10*(1+Inputs!$B$33/100))+MIN((Skills!Y10*(1+Inputs!$B$33/100)),MAX(0,Inputs!$B$35-((S476-1)*Skills!D10))))/Inputs!$B$35),IF(Inputs!$B$4="pvp",MIN((Skills!Y10*(1+Inputs!$B$33/100)),15)/15,(Skills!Y10*(1+Inputs!$B$33/100))/Skills!D10)))/100)*(1+((C481=TRUE)*F481*IF(AND(Inputs!$B$4&lt;&gt;"pvp",Inputs!$B$35&gt;0),(((S481-1)*(Skills!Y15*(1+Inputs!$B$33/100))+MIN((Skills!Y15*(1+Inputs!$B$33/100)),MAX(0,Inputs!$B$35-((S481-1)*Skills!D15))))/Inputs!$B$35),IF(Inputs!$B$4="pvp",MIN((Skills!Y15*(1+Inputs!$B$33/100)),15)/15,(Skills!Y15*(1+Inputs!$B$33/100))/Skills!D15)))/100))*B501*I479)</f>
        <v/>
      </c>
      <c r="L479">
        <f>K479*(MIN(Inputs!$B$21+((C490=TRUE)*(F490-Calc!F24)),(Inputs!$B$22+1)+((C495=TRUE)*(F495-Calc!F29)))/100+((Inputs!$B$22+1)+((C495=TRUE)*(F495-Calc!F29)))/100)/2</f>
        <v/>
      </c>
      <c r="M479">
        <f>L479*(1+(Inputs!$B$9+((C492=TRUE)*(F492-Calc!F26))+B506)/100)</f>
        <v/>
      </c>
      <c r="N479">
        <f>L479*(1-MIN((Inputs!$B$8+((C491=TRUE)*(F491-Calc!F25))+B499),100)/100)+M479*(MIN((Inputs!$B$8+((C491=TRUE)*(F491-Calc!F25))+B499),100)/100)</f>
        <v/>
      </c>
      <c r="O479">
        <f>IF(C479,H479*N479*IF(AND(Inputs!$B$4&lt;&gt;"pvp",Inputs!$B$35&gt;0),((Skills!G13*((R479-1)*IF(Skills!H13&gt;0,Skills!I13/Skills!H13,1)+IF(Skills!H13&gt;0,MIN(Skills!I13,MAX(0,Inputs!$B$35-((R479-1)*IF(Inputs!$B$4="pvp",15,MAX(0.1,Skills!D13-IF(Skills!E13=TRUE,Inputs!$B$31,0))))))/Skills!H13,1)))/Inputs!$B$35),G479*Q479)*IF(Inputs!$B$4="pvp",1,(1-Summary!$B$55)*(1)+Summary!$B$55*(MIN(Skills!W13,Inputs!$B$37))),0)</f>
        <v/>
      </c>
      <c r="P479">
        <f>IF(B511=0,0,O479/B511)</f>
        <v/>
      </c>
      <c r="Q479">
        <f>IFERROR(1/IF(Inputs!$B$4="pvp",15,MAX(0.1,Skills!D13-IF(Skills!E13=TRUE,Inputs!$B$31,0))),0)</f>
        <v/>
      </c>
      <c r="R479">
        <f>IF(AND(Inputs!$B$4&lt;&gt;"pvp",Inputs!$B$35&gt;0),(INT(Inputs!$B$35/IF(Inputs!$B$4="pvp",15,MAX(0.1,Skills!D13-IF(Skills!E13=TRUE,Inputs!$B$31,0))))+1),0)</f>
        <v/>
      </c>
      <c r="S479">
        <f>IFERROR(O479/N479,0)</f>
        <v/>
      </c>
    </row>
    <row r="480">
      <c r="A480">
        <f>Skills!A14</f>
        <v/>
      </c>
      <c r="B480">
        <f>Skills!B14</f>
        <v/>
      </c>
      <c r="C480">
        <f>Inputs!$B$3&gt;=107</f>
        <v/>
      </c>
      <c r="D480">
        <f>IF(Skills!C14=1,60+Inputs!$B$24+Inputs!$B$28,IF(Skills!C14=2,90+Inputs!$B$25+Inputs!$B$28,IF(Skills!C14=3,120+Inputs!$B$26+Inputs!$B$28,MAX(0,(Inputs!$B$3-100)*3)+Inputs!$B$27+Inputs!$B$28)))</f>
        <v/>
      </c>
      <c r="E480">
        <f>INDEX(FactorTable!$B$2:$Y$301, MATCH(ROUND(MIN(300,MAX(1,D480)),0), FactorTable!$A$2:$A$301,0), Skills!M14+1)</f>
        <v/>
      </c>
      <c r="F480">
        <f>IF(Skills!N14=TRUE,(Skills!L14/10)*(E480/1000),Skills!L14/10)+Skills!O14</f>
        <v/>
      </c>
      <c r="G480">
        <f>Skills!G14*IF(Skills!H14&gt;0,Skills!I14/Skills!H14,1)</f>
        <v/>
      </c>
      <c r="H480">
        <f>1-(1-Skills!J14/100)^Skills!K14</f>
        <v/>
      </c>
      <c r="I480" t="inlineStr">
        <is>
          <t>1</t>
        </is>
      </c>
      <c r="J480">
        <f>(Inputs!$B$5*(1+Inputs!$B$6/100))*(F480/100)</f>
        <v/>
      </c>
      <c r="K480">
        <f>J480*(1+((Inputs!$B$11*(1+Inputs!$B$12/100))*0.01+Inputs!$B$13*0.0025)/100)*(1+Inputs!$B$14/100)*(1+IF(Inputs!$B$4="pvp",0,(1-Summary!$B$55)*(Inputs!$B$19+0+Skills!P14+B500)+Summary!$B$55*(Inputs!$B$20+Skills!Q14+B500))/100)*(1+Inputs!$B$15/100)*(5000/(6000+Inputs!$B$7*(1-Inputs!$B$18/100)))*(1+(Inputs!$B$23+((C496=TRUE)*(F496-Calc!F30)))/100)*(1+(IF(Skills!A14="CRUEL_STAB",Inputs!$B$16+((C493=TRUE)*(F493-Calc!F27)),Inputs!$B$17+((C494=TRUE)*(F494-Calc!F28))))/100)*(((1+(((C487=TRUE)*F487*IF(AND(Inputs!$B$4&lt;&gt;"pvp",Inputs!$B$35&gt;0),(((S487-1)*(Skills!Y21*(1+Inputs!$B$33/100))+MIN((Skills!Y21*(1+Inputs!$B$33/100)),MAX(0,Inputs!$B$35-((S487-1)*Skills!D21))))/Inputs!$B$35),IF(Inputs!$B$4="pvp",MIN((Skills!Y21*(1+Inputs!$B$33/100)),15)/15,(Skills!Y21*(1+Inputs!$B$33/100))/Skills!D21)))+((C489=TRUE)*(F489-Calc!F23))+((C483=TRUE)*(F483-Calc!F17)))/100)*(1+((C476=TRUE)*F476*IF(AND(Inputs!$B$4&lt;&gt;"pvp",Inputs!$B$35&gt;0),(((S476-1)*(Skills!Y10*(1+Inputs!$B$33/100))+MIN((Skills!Y10*(1+Inputs!$B$33/100)),MAX(0,Inputs!$B$35-((S476-1)*Skills!D10))))/Inputs!$B$35),IF(Inputs!$B$4="pvp",MIN((Skills!Y10*(1+Inputs!$B$33/100)),15)/15,(Skills!Y10*(1+Inputs!$B$33/100))/Skills!D10)))/100)*(1+((C481=TRUE)*F481*IF(AND(Inputs!$B$4&lt;&gt;"pvp",Inputs!$B$35&gt;0),(((S481-1)*(Skills!Y15*(1+Inputs!$B$33/100))+MIN((Skills!Y15*(1+Inputs!$B$33/100)),MAX(0,Inputs!$B$35-((S481-1)*Skills!D15))))/Inputs!$B$35),IF(Inputs!$B$4="pvp",MIN((Skills!Y15*(1+Inputs!$B$33/100)),15)/15,(Skills!Y15*(1+Inputs!$B$33/100))/Skills!D15)))/100))*B501*I480)</f>
        <v/>
      </c>
      <c r="L480">
        <f>K480*(MIN(Inputs!$B$21+((C490=TRUE)*(F490-Calc!F24)),(Inputs!$B$22+1)+((C495=TRUE)*(F495-Calc!F29)))/100+((Inputs!$B$22+1)+((C495=TRUE)*(F495-Calc!F29)))/100)/2</f>
        <v/>
      </c>
      <c r="M480">
        <f>L480*(1+(Inputs!$B$9+((C492=TRUE)*(F492-Calc!F26))+B506)/100)</f>
        <v/>
      </c>
      <c r="N480">
        <f>L480*(1-MIN((Inputs!$B$8+((C491=TRUE)*(F491-Calc!F25))+B499),100)/100)+M480*(MIN((Inputs!$B$8+((C491=TRUE)*(F491-Calc!F25))+B499),100)/100)</f>
        <v/>
      </c>
      <c r="O480">
        <f>IF(C480,H480*N480*IF(AND(Inputs!$B$4&lt;&gt;"pvp",Inputs!$B$35&gt;0),((Skills!G14*((R480-1)*IF(Skills!H14&gt;0,Skills!I14/Skills!H14,1)+IF(Skills!H14&gt;0,MIN(Skills!I14,MAX(0,Inputs!$B$35-((R480-1)*IF(Inputs!$B$4="pvp",15,MAX(0.1,Skills!D14-IF(Skills!E14=TRUE,Inputs!$B$31,0))))))/Skills!H14,1)))/Inputs!$B$35),G480*Q480)*IF(Inputs!$B$4="pvp",1,(1-Summary!$B$55)*(1)+Summary!$B$55*(MIN(MIN(5,0.25*B503*Skills!D4)*Skills!V14,Inputs!$B$37))),0)</f>
        <v/>
      </c>
      <c r="P480">
        <f>IF(B511=0,0,O480/B511)</f>
        <v/>
      </c>
      <c r="Q480">
        <f>IFERROR(1/IF(Inputs!$B$4="pvp",15,MAX(0.1,Skills!D14-IF(Skills!E14=TRUE,Inputs!$B$31,0))),0)</f>
        <v/>
      </c>
      <c r="R480">
        <f>IF(AND(Inputs!$B$4&lt;&gt;"pvp",Inputs!$B$35&gt;0),(INT(Inputs!$B$35/IF(Inputs!$B$4="pvp",15,MAX(0.1,Skills!D14-IF(Skills!E14=TRUE,Inputs!$B$31,0))))+1),0)</f>
        <v/>
      </c>
      <c r="S480">
        <f>IFERROR(O480/N480,0)</f>
        <v/>
      </c>
    </row>
    <row r="481">
      <c r="A481">
        <f>Skills!A15</f>
        <v/>
      </c>
      <c r="B481">
        <f>Skills!B15</f>
        <v/>
      </c>
      <c r="C481">
        <f>Inputs!$B$3&gt;=110</f>
        <v/>
      </c>
      <c r="D481">
        <f>IF(Skills!C15=1,60+Inputs!$B$24+Inputs!$B$28,IF(Skills!C15=2,90+Inputs!$B$25+Inputs!$B$28,IF(Skills!C15=3,120+Inputs!$B$26+Inputs!$B$28,MAX(0,(Inputs!$B$3-100)*3)+Inputs!$B$27+Inputs!$B$28)))</f>
        <v/>
      </c>
      <c r="E481">
        <f>INDEX(FactorTable!$B$2:$Y$301, MATCH(ROUND(MIN(300,MAX(1,D481)),0), FactorTable!$A$2:$A$301,0), Skills!M15+1)</f>
        <v/>
      </c>
      <c r="F481">
        <f>IF(Skills!N15=TRUE,(Skills!L15/10)*(E481/1000),Skills!L15/10)+Skills!O15</f>
        <v/>
      </c>
      <c r="G481">
        <f>Skills!G15*IF(Skills!H15&gt;0,Skills!I15/Skills!H15,1)</f>
        <v/>
      </c>
      <c r="H481">
        <f>1-(1-Skills!J15/100)^Skills!K15</f>
        <v/>
      </c>
      <c r="I481" t="inlineStr">
        <is>
          <t>1</t>
        </is>
      </c>
      <c r="J481" t="inlineStr"/>
      <c r="K481" t="inlineStr"/>
      <c r="L481" t="inlineStr"/>
      <c r="M481" t="inlineStr"/>
      <c r="N481" t="inlineStr"/>
      <c r="O481" t="n">
        <v>0</v>
      </c>
      <c r="P481">
        <f>IF(B511=0,0,O481/B511)</f>
        <v/>
      </c>
      <c r="Q481">
        <f>IFERROR(1/IF(Inputs!$B$4="pvp",15,MAX(0.1,Skills!D15-IF(Skills!E15=TRUE,Inputs!$B$31,0))),0)</f>
        <v/>
      </c>
      <c r="R481">
        <f>IF(AND(Inputs!$B$4&lt;&gt;"pvp",Inputs!$B$35&gt;0),(INT(Inputs!$B$35/IF(Inputs!$B$4="pvp",15,MAX(0.1,Skills!D15-IF(Skills!E15=TRUE,Inputs!$B$31,0))))+1),0)</f>
        <v/>
      </c>
      <c r="S481">
        <f>IFERROR(O481/N481,0)</f>
        <v/>
      </c>
    </row>
    <row r="482">
      <c r="A482">
        <f>Skills!A16</f>
        <v/>
      </c>
      <c r="B482">
        <f>Skills!B16</f>
        <v/>
      </c>
      <c r="C482">
        <f>Inputs!$B$3&gt;=115</f>
        <v/>
      </c>
      <c r="D482">
        <f>IF(Skills!C16=1,60+Inputs!$B$24+Inputs!$B$28,IF(Skills!C16=2,90+Inputs!$B$25+Inputs!$B$28,IF(Skills!C16=3,120+Inputs!$B$26+Inputs!$B$28,MAX(0,(Inputs!$B$3-100)*3)+Inputs!$B$27+Inputs!$B$28)))</f>
        <v/>
      </c>
      <c r="E482">
        <f>INDEX(FactorTable!$B$2:$Y$301, MATCH(ROUND(MIN(300,MAX(1,D482)),0), FactorTable!$A$2:$A$301,0), Skills!M16+1)</f>
        <v/>
      </c>
      <c r="F482">
        <f>IF(Skills!N16=TRUE,(Skills!L16/10)*(E482/1000),Skills!L16/10)+Skills!O16</f>
        <v/>
      </c>
      <c r="G482">
        <f>Skills!G16*IF(Skills!H16&gt;0,Skills!I16/Skills!H16,1)</f>
        <v/>
      </c>
      <c r="H482">
        <f>1-(1-Skills!J16/100)^Skills!K16</f>
        <v/>
      </c>
      <c r="I482" t="inlineStr">
        <is>
          <t>1</t>
        </is>
      </c>
      <c r="J482">
        <f>(Inputs!$B$5*(1+Inputs!$B$6/100))*(F482/100)</f>
        <v/>
      </c>
      <c r="K482">
        <f>J482*(1+((Inputs!$B$11*(1+Inputs!$B$12/100))*0.01+Inputs!$B$13*0.0025)/100)*(1+Inputs!$B$14/100)*(1+IF(Inputs!$B$4="pvp",0,(1-Summary!$B$55)*(Inputs!$B$19+0+Skills!P16+B500)+Summary!$B$55*(Inputs!$B$20+Skills!Q16+B500))/100)*(1+Inputs!$B$15/100)*(5000/(6000+Inputs!$B$7*(1-Inputs!$B$18/100)))*(1+(Inputs!$B$23+((C496=TRUE)*(F496-Calc!F30)))/100)*(1+(IF(Skills!A16="CRUEL_STAB",Inputs!$B$16+((C493=TRUE)*(F493-Calc!F27)),Inputs!$B$17+((C494=TRUE)*(F494-Calc!F28))))/100)*(((1+(((C487=TRUE)*F487*IF(AND(Inputs!$B$4&lt;&gt;"pvp",Inputs!$B$35&gt;0),(((S487-1)*(Skills!Y21*(1+Inputs!$B$33/100))+MIN((Skills!Y21*(1+Inputs!$B$33/100)),MAX(0,Inputs!$B$35-((S487-1)*Skills!D21))))/Inputs!$B$35),IF(Inputs!$B$4="pvp",MIN((Skills!Y21*(1+Inputs!$B$33/100)),15)/15,(Skills!Y21*(1+Inputs!$B$33/100))/Skills!D21)))+((C489=TRUE)*(F489-Calc!F23))+((C483=TRUE)*(F483-Calc!F17)))/100)*(1+((C476=TRUE)*F476*IF(AND(Inputs!$B$4&lt;&gt;"pvp",Inputs!$B$35&gt;0),(((S476-1)*(Skills!Y10*(1+Inputs!$B$33/100))+MIN((Skills!Y10*(1+Inputs!$B$33/100)),MAX(0,Inputs!$B$35-((S476-1)*Skills!D10))))/Inputs!$B$35),IF(Inputs!$B$4="pvp",MIN((Skills!Y10*(1+Inputs!$B$33/100)),15)/15,(Skills!Y10*(1+Inputs!$B$33/100))/Skills!D10)))/100)*(1+((C481=TRUE)*F481*IF(AND(Inputs!$B$4&lt;&gt;"pvp",Inputs!$B$35&gt;0),(((S481-1)*(Skills!Y15*(1+Inputs!$B$33/100))+MIN((Skills!Y15*(1+Inputs!$B$33/100)),MAX(0,Inputs!$B$35-((S481-1)*Skills!D15))))/Inputs!$B$35),IF(Inputs!$B$4="pvp",MIN((Skills!Y15*(1+Inputs!$B$33/100)),15)/15,(Skills!Y15*(1+Inputs!$B$33/100))/Skills!D15)))/100))*B501*I482)</f>
        <v/>
      </c>
      <c r="L482">
        <f>K482*(MIN(Inputs!$B$21+((C490=TRUE)*(F490-Calc!F24)),(Inputs!$B$22+1)+((C495=TRUE)*(F495-Calc!F29)))/100+((Inputs!$B$22+1)+((C495=TRUE)*(F495-Calc!F29)))/100)/2</f>
        <v/>
      </c>
      <c r="M482">
        <f>L482*(1+(Inputs!$B$9+((C492=TRUE)*(F492-Calc!F26))+B506)/100)</f>
        <v/>
      </c>
      <c r="N482">
        <f>L482*(1-MIN((Inputs!$B$8+((C491=TRUE)*(F491-Calc!F25))+B499),100)/100)+M482*(MIN((Inputs!$B$8+((C491=TRUE)*(F491-Calc!F25))+B499),100)/100)</f>
        <v/>
      </c>
      <c r="O482">
        <f>IF(C482,Inputs!$B$38*0.2*N482,0)</f>
        <v/>
      </c>
      <c r="P482">
        <f>IF(B511=0,0,O482/B511)</f>
        <v/>
      </c>
      <c r="Q482" t="n">
        <v>0</v>
      </c>
      <c r="R482" t="n">
        <v>0</v>
      </c>
      <c r="S482">
        <f>IFERROR(O482/N482,0)</f>
        <v/>
      </c>
    </row>
    <row r="483">
      <c r="A483">
        <f>Skills!A17</f>
        <v/>
      </c>
      <c r="B483">
        <f>Skills!B17</f>
        <v/>
      </c>
      <c r="C483">
        <f>Inputs!$B$3&gt;=115</f>
        <v/>
      </c>
      <c r="D483">
        <f>IF(Skills!C17=1,60+Inputs!$B$24+Inputs!$B$28,IF(Skills!C17=2,90+Inputs!$B$25+Inputs!$B$28,IF(Skills!C17=3,120+Inputs!$B$26+Inputs!$B$28,MAX(0,(Inputs!$B$3-100)*3)+Inputs!$B$27+Inputs!$B$28)))</f>
        <v/>
      </c>
      <c r="E483">
        <f>INDEX(FactorTable!$B$2:$Y$301, MATCH(ROUND(MIN(300,MAX(1,D483)),0), FactorTable!$A$2:$A$301,0), Skills!M17+1)</f>
        <v/>
      </c>
      <c r="F483">
        <f>IF(Skills!N17=TRUE,(Skills!L17/10)*(E483/1000),Skills!L17/10)+Skills!O17</f>
        <v/>
      </c>
      <c r="G483">
        <f>Skills!G17*IF(Skills!H17&gt;0,Skills!I17/Skills!H17,1)</f>
        <v/>
      </c>
      <c r="H483">
        <f>1-(1-Skills!J17/100)^Skills!K17</f>
        <v/>
      </c>
      <c r="I483" t="inlineStr">
        <is>
          <t>1</t>
        </is>
      </c>
      <c r="J483" t="inlineStr"/>
      <c r="K483" t="inlineStr"/>
      <c r="L483" t="inlineStr"/>
      <c r="M483" t="inlineStr"/>
      <c r="N483" t="inlineStr"/>
      <c r="O483" t="n">
        <v>0</v>
      </c>
      <c r="P483">
        <f>IF(B511=0,0,O483/B511)</f>
        <v/>
      </c>
      <c r="Q483" t="n">
        <v>0</v>
      </c>
      <c r="R483" t="n">
        <v>0</v>
      </c>
      <c r="S483">
        <f>IFERROR(O483/N483,0)</f>
        <v/>
      </c>
    </row>
    <row r="484">
      <c r="A484">
        <f>Skills!A18</f>
        <v/>
      </c>
      <c r="B484">
        <f>Skills!B18</f>
        <v/>
      </c>
      <c r="C484">
        <f>Inputs!$B$3&gt;=100</f>
        <v/>
      </c>
      <c r="D484">
        <f>IF(Skills!C18=1,60+Inputs!$B$24+Inputs!$B$28,IF(Skills!C18=2,90+Inputs!$B$25+Inputs!$B$28,IF(Skills!C18=3,120+Inputs!$B$26+Inputs!$B$28,MAX(0,(Inputs!$B$3-100)*3)+Inputs!$B$27+Inputs!$B$28)))</f>
        <v/>
      </c>
      <c r="E484">
        <f>INDEX(FactorTable!$B$2:$Y$301, MATCH(ROUND(MIN(300,MAX(1,D484)),0), FactorTable!$A$2:$A$301,0), Skills!M18+1)</f>
        <v/>
      </c>
      <c r="F484">
        <f>IF(Skills!N18=TRUE,(Skills!L18/10)*(E484/1000),Skills!L18/10)+Skills!O18</f>
        <v/>
      </c>
      <c r="G484">
        <f>Skills!G18*IF(Skills!H18&gt;0,Skills!I18/Skills!H18,1)</f>
        <v/>
      </c>
      <c r="H484">
        <f>1-(1-Skills!J18/100)^Skills!K18</f>
        <v/>
      </c>
      <c r="I484" t="inlineStr">
        <is>
          <t>1</t>
        </is>
      </c>
      <c r="J484" t="inlineStr"/>
      <c r="K484" t="inlineStr"/>
      <c r="L484" t="inlineStr"/>
      <c r="M484" t="inlineStr"/>
      <c r="N484" t="inlineStr"/>
      <c r="O484" t="n">
        <v>0</v>
      </c>
      <c r="P484">
        <f>IF(B511=0,0,O484/B511)</f>
        <v/>
      </c>
      <c r="Q484" t="n">
        <v>0</v>
      </c>
      <c r="R484" t="n">
        <v>0</v>
      </c>
      <c r="S484">
        <f>IFERROR(O484/N484,0)</f>
        <v/>
      </c>
    </row>
    <row r="485">
      <c r="A485">
        <f>Skills!A19</f>
        <v/>
      </c>
      <c r="B485">
        <f>Skills!B19</f>
        <v/>
      </c>
      <c r="C485">
        <f>TRUE</f>
        <v/>
      </c>
      <c r="D485">
        <f>IF(Skills!C19=1,60+Inputs!$B$24+Inputs!$B$28,IF(Skills!C19=2,90+Inputs!$B$25+Inputs!$B$28,IF(Skills!C19=3,120+Inputs!$B$26+Inputs!$B$28,MAX(0,(Inputs!$B$3-100)*3)+Inputs!$B$27+Inputs!$B$28)))</f>
        <v/>
      </c>
      <c r="E485">
        <f>INDEX(FactorTable!$B$2:$Y$301, MATCH(ROUND(MIN(300,MAX(1,D485)),0), FactorTable!$A$2:$A$301,0), Skills!M19+1)</f>
        <v/>
      </c>
      <c r="F485">
        <f>IF(Skills!N19=TRUE,(Skills!L19/10)*(E485/1000),Skills!L19/10)+Skills!O19</f>
        <v/>
      </c>
      <c r="G485">
        <f>Skills!G19*IF(Skills!H19&gt;0,Skills!I19/Skills!H19,1)</f>
        <v/>
      </c>
      <c r="H485">
        <f>1-(1-Skills!J19/100)^Skills!K19</f>
        <v/>
      </c>
      <c r="I485" t="inlineStr">
        <is>
          <t>1</t>
        </is>
      </c>
      <c r="J485" t="inlineStr"/>
      <c r="K485" t="inlineStr"/>
      <c r="L485" t="inlineStr"/>
      <c r="M485" t="inlineStr"/>
      <c r="N485" t="inlineStr"/>
      <c r="O485" t="n">
        <v>0</v>
      </c>
      <c r="P485">
        <f>IF(B511=0,0,O485/B511)</f>
        <v/>
      </c>
      <c r="Q485">
        <f>IFERROR(1/IF(Inputs!$B$4="pvp",15,MAX(0.1,Skills!D19-IF(Skills!E19=TRUE,Inputs!$B$31,0))),0)</f>
        <v/>
      </c>
      <c r="R485">
        <f>IF(AND(Inputs!$B$4&lt;&gt;"pvp",Inputs!$B$35&gt;0),(INT(Inputs!$B$35/IF(Inputs!$B$4="pvp",15,MAX(0.1,Skills!D19-IF(Skills!E19=TRUE,Inputs!$B$31,0))))+1),0)</f>
        <v/>
      </c>
      <c r="S485">
        <f>IFERROR(O485/N485,0)</f>
        <v/>
      </c>
    </row>
    <row r="486">
      <c r="A486">
        <f>Skills!A20</f>
        <v/>
      </c>
      <c r="B486">
        <f>Skills!B20</f>
        <v/>
      </c>
      <c r="C486">
        <f>Inputs!$B$3&gt;=15</f>
        <v/>
      </c>
      <c r="D486">
        <f>IF(Skills!C20=1,60+Inputs!$B$24+Inputs!$B$28,IF(Skills!C20=2,90+Inputs!$B$25+Inputs!$B$28,IF(Skills!C20=3,120+Inputs!$B$26+Inputs!$B$28,MAX(0,(Inputs!$B$3-100)*3)+Inputs!$B$27+Inputs!$B$28)))</f>
        <v/>
      </c>
      <c r="E486">
        <f>INDEX(FactorTable!$B$2:$Y$301, MATCH(ROUND(MIN(300,MAX(1,D486)),0), FactorTable!$A$2:$A$301,0), Skills!M20+1)</f>
        <v/>
      </c>
      <c r="F486">
        <f>IF(Skills!N20=TRUE,(Skills!L20/10)*(E486/1000),Skills!L20/10)+Skills!O20</f>
        <v/>
      </c>
      <c r="G486">
        <f>Skills!G20*IF(Skills!H20&gt;0,Skills!I20/Skills!H20,1)</f>
        <v/>
      </c>
      <c r="H486">
        <f>1-(1-Skills!J20/100)^Skills!K20</f>
        <v/>
      </c>
      <c r="I486" t="inlineStr">
        <is>
          <t>1</t>
        </is>
      </c>
      <c r="J486" t="inlineStr"/>
      <c r="K486" t="inlineStr"/>
      <c r="L486" t="inlineStr"/>
      <c r="M486" t="inlineStr"/>
      <c r="N486" t="inlineStr"/>
      <c r="O486" t="n">
        <v>0</v>
      </c>
      <c r="P486">
        <f>IF(B511=0,0,O486/B511)</f>
        <v/>
      </c>
      <c r="Q486">
        <f>IFERROR(1/IF(Inputs!$B$4="pvp",15,MAX(0.1,Skills!D20-IF(Skills!E20=TRUE,Inputs!$B$31,0))),0)</f>
        <v/>
      </c>
      <c r="R486">
        <f>IF(AND(Inputs!$B$4&lt;&gt;"pvp",Inputs!$B$35&gt;0),(INT(Inputs!$B$35/IF(Inputs!$B$4="pvp",15,MAX(0.1,Skills!D20-IF(Skills!E20=TRUE,Inputs!$B$31,0))))+1),0)</f>
        <v/>
      </c>
      <c r="S486">
        <f>IFERROR(O486/N486,0)</f>
        <v/>
      </c>
    </row>
    <row r="487">
      <c r="A487">
        <f>Skills!A21</f>
        <v/>
      </c>
      <c r="B487">
        <f>Skills!B21</f>
        <v/>
      </c>
      <c r="C487">
        <f>Inputs!$B$3&gt;=15</f>
        <v/>
      </c>
      <c r="D487">
        <f>IF(Skills!C21=1,60+Inputs!$B$24+Inputs!$B$28,IF(Skills!C21=2,90+Inputs!$B$25+Inputs!$B$28,IF(Skills!C21=3,120+Inputs!$B$26+Inputs!$B$28,MAX(0,(Inputs!$B$3-100)*3)+Inputs!$B$27+Inputs!$B$28)))</f>
        <v/>
      </c>
      <c r="E487">
        <f>INDEX(FactorTable!$B$2:$Y$301, MATCH(ROUND(MIN(300,MAX(1,D487)),0), FactorTable!$A$2:$A$301,0), Skills!M21+1)</f>
        <v/>
      </c>
      <c r="F487">
        <f>IF(Skills!N21=TRUE,(Skills!L21/10)*(E487/1000),Skills!L21/10)+Skills!O21</f>
        <v/>
      </c>
      <c r="G487">
        <f>Skills!G21*IF(Skills!H21&gt;0,Skills!I21/Skills!H21,1)</f>
        <v/>
      </c>
      <c r="H487">
        <f>1-(1-Skills!J21/100)^Skills!K21</f>
        <v/>
      </c>
      <c r="I487" t="inlineStr">
        <is>
          <t>1</t>
        </is>
      </c>
      <c r="J487" t="inlineStr"/>
      <c r="K487" t="inlineStr"/>
      <c r="L487" t="inlineStr"/>
      <c r="M487" t="inlineStr"/>
      <c r="N487" t="inlineStr"/>
      <c r="O487" t="n">
        <v>0</v>
      </c>
      <c r="P487">
        <f>IF(B511=0,0,O487/B511)</f>
        <v/>
      </c>
      <c r="Q487">
        <f>IFERROR(1/IF(Inputs!$B$4="pvp",15,MAX(0.1,Skills!D21-IF(Skills!E21=TRUE,Inputs!$B$31,0))),0)</f>
        <v/>
      </c>
      <c r="R487">
        <f>IF(AND(Inputs!$B$4&lt;&gt;"pvp",Inputs!$B$35&gt;0),(INT(Inputs!$B$35/IF(Inputs!$B$4="pvp",15,MAX(0.1,Skills!D21-IF(Skills!E21=TRUE,Inputs!$B$31,0))))+1),0)</f>
        <v/>
      </c>
      <c r="S487">
        <f>IFERROR(O487/N487,0)</f>
        <v/>
      </c>
    </row>
    <row r="488">
      <c r="A488">
        <f>Skills!A22</f>
        <v/>
      </c>
      <c r="B488">
        <f>Skills!B22</f>
        <v/>
      </c>
      <c r="C488">
        <f>Inputs!$B$3&gt;=33</f>
        <v/>
      </c>
      <c r="D488">
        <f>IF(Skills!C22=1,60+Inputs!$B$24+Inputs!$B$28,IF(Skills!C22=2,90+Inputs!$B$25+Inputs!$B$28,IF(Skills!C22=3,120+Inputs!$B$26+Inputs!$B$28,MAX(0,(Inputs!$B$3-100)*3)+Inputs!$B$27+Inputs!$B$28)))</f>
        <v/>
      </c>
      <c r="E488">
        <f>INDEX(FactorTable!$B$2:$Y$301, MATCH(ROUND(MIN(300,MAX(1,D488)),0), FactorTable!$A$2:$A$301,0), Skills!M22+1)</f>
        <v/>
      </c>
      <c r="F488">
        <f>IF(Skills!N22=TRUE,(Skills!L22/10)*(E488/1000),Skills!L22/10)+Skills!O22</f>
        <v/>
      </c>
      <c r="G488">
        <f>Skills!G22*IF(Skills!H22&gt;0,Skills!I22/Skills!H22,1)</f>
        <v/>
      </c>
      <c r="H488">
        <f>1-(1-Skills!J22/100)^Skills!K22</f>
        <v/>
      </c>
      <c r="I488" t="inlineStr">
        <is>
          <t>1</t>
        </is>
      </c>
      <c r="J488" t="inlineStr"/>
      <c r="K488" t="inlineStr"/>
      <c r="L488" t="inlineStr"/>
      <c r="M488" t="inlineStr"/>
      <c r="N488" t="inlineStr"/>
      <c r="O488" t="n">
        <v>0</v>
      </c>
      <c r="P488">
        <f>IF(B511=0,0,O488/B511)</f>
        <v/>
      </c>
      <c r="Q488" t="n">
        <v>0</v>
      </c>
      <c r="R488" t="n">
        <v>0</v>
      </c>
      <c r="S488">
        <f>IFERROR(O488/N488,0)</f>
        <v/>
      </c>
    </row>
    <row r="489">
      <c r="A489">
        <f>Skills!A23</f>
        <v/>
      </c>
      <c r="B489">
        <f>Skills!B23</f>
        <v/>
      </c>
      <c r="C489">
        <f>Inputs!$B$3&gt;=40</f>
        <v/>
      </c>
      <c r="D489">
        <f>IF(Skills!C23=1,60+Inputs!$B$24+Inputs!$B$28,IF(Skills!C23=2,90+Inputs!$B$25+Inputs!$B$28,IF(Skills!C23=3,120+Inputs!$B$26+Inputs!$B$28,MAX(0,(Inputs!$B$3-100)*3)+Inputs!$B$27+Inputs!$B$28)))</f>
        <v/>
      </c>
      <c r="E489">
        <f>INDEX(FactorTable!$B$2:$Y$301, MATCH(ROUND(MIN(300,MAX(1,D489)),0), FactorTable!$A$2:$A$301,0), Skills!M23+1)</f>
        <v/>
      </c>
      <c r="F489">
        <f>IF(Skills!N23=TRUE,(Skills!L23/10)*(E489/1000),Skills!L23/10)+Skills!O23</f>
        <v/>
      </c>
      <c r="G489">
        <f>Skills!G23*IF(Skills!H23&gt;0,Skills!I23/Skills!H23,1)</f>
        <v/>
      </c>
      <c r="H489">
        <f>1-(1-Skills!J23/100)^Skills!K23</f>
        <v/>
      </c>
      <c r="I489" t="inlineStr">
        <is>
          <t>1</t>
        </is>
      </c>
      <c r="J489" t="inlineStr"/>
      <c r="K489" t="inlineStr"/>
      <c r="L489" t="inlineStr"/>
      <c r="M489" t="inlineStr"/>
      <c r="N489" t="inlineStr"/>
      <c r="O489" t="n">
        <v>0</v>
      </c>
      <c r="P489">
        <f>IF(B511=0,0,O489/B511)</f>
        <v/>
      </c>
      <c r="Q489" t="n">
        <v>0</v>
      </c>
      <c r="R489" t="n">
        <v>0</v>
      </c>
      <c r="S489">
        <f>IFERROR(O489/N489,0)</f>
        <v/>
      </c>
    </row>
    <row r="490">
      <c r="A490">
        <f>Skills!A24</f>
        <v/>
      </c>
      <c r="B490">
        <f>Skills!B24</f>
        <v/>
      </c>
      <c r="C490">
        <f>Inputs!$B$3&gt;=43</f>
        <v/>
      </c>
      <c r="D490">
        <f>IF(Skills!C24=1,60+Inputs!$B$24+Inputs!$B$28,IF(Skills!C24=2,90+Inputs!$B$25+Inputs!$B$28,IF(Skills!C24=3,120+Inputs!$B$26+Inputs!$B$28,MAX(0,(Inputs!$B$3-100)*3)+Inputs!$B$27+Inputs!$B$28)))</f>
        <v/>
      </c>
      <c r="E490">
        <f>INDEX(FactorTable!$B$2:$Y$301, MATCH(ROUND(MIN(300,MAX(1,D490)),0), FactorTable!$A$2:$A$301,0), Skills!M24+1)</f>
        <v/>
      </c>
      <c r="F490">
        <f>IF(Skills!N24=TRUE,(Skills!L24/10)*(E490/1000),Skills!L24/10)+Skills!O24</f>
        <v/>
      </c>
      <c r="G490">
        <f>Skills!G24*IF(Skills!H24&gt;0,Skills!I24/Skills!H24,1)</f>
        <v/>
      </c>
      <c r="H490">
        <f>1-(1-Skills!J24/100)^Skills!K24</f>
        <v/>
      </c>
      <c r="I490" t="inlineStr">
        <is>
          <t>1</t>
        </is>
      </c>
      <c r="J490" t="inlineStr"/>
      <c r="K490" t="inlineStr"/>
      <c r="L490" t="inlineStr"/>
      <c r="M490" t="inlineStr"/>
      <c r="N490" t="inlineStr"/>
      <c r="O490" t="n">
        <v>0</v>
      </c>
      <c r="P490">
        <f>IF(B511=0,0,O490/B511)</f>
        <v/>
      </c>
      <c r="Q490" t="n">
        <v>0</v>
      </c>
      <c r="R490" t="n">
        <v>0</v>
      </c>
      <c r="S490">
        <f>IFERROR(O490/N490,0)</f>
        <v/>
      </c>
    </row>
    <row r="491">
      <c r="A491">
        <f>Skills!A25</f>
        <v/>
      </c>
      <c r="B491">
        <f>Skills!B25</f>
        <v/>
      </c>
      <c r="C491">
        <f>Inputs!$B$3&gt;=50</f>
        <v/>
      </c>
      <c r="D491">
        <f>IF(Skills!C25=1,60+Inputs!$B$24+Inputs!$B$28,IF(Skills!C25=2,90+Inputs!$B$25+Inputs!$B$28,IF(Skills!C25=3,120+Inputs!$B$26+Inputs!$B$28,MAX(0,(Inputs!$B$3-100)*3)+Inputs!$B$27+Inputs!$B$28)))</f>
        <v/>
      </c>
      <c r="E491">
        <f>INDEX(FactorTable!$B$2:$Y$301, MATCH(ROUND(MIN(300,MAX(1,D491)),0), FactorTable!$A$2:$A$301,0), Skills!M25+1)</f>
        <v/>
      </c>
      <c r="F491">
        <f>IF(Skills!N25=TRUE,(Skills!L25/10)*(E491/1000),Skills!L25/10)+Skills!O25</f>
        <v/>
      </c>
      <c r="G491">
        <f>Skills!G25*IF(Skills!H25&gt;0,Skills!I25/Skills!H25,1)</f>
        <v/>
      </c>
      <c r="H491">
        <f>1-(1-Skills!J25/100)^Skills!K25</f>
        <v/>
      </c>
      <c r="I491" t="inlineStr">
        <is>
          <t>1</t>
        </is>
      </c>
      <c r="J491" t="inlineStr"/>
      <c r="K491" t="inlineStr"/>
      <c r="L491" t="inlineStr"/>
      <c r="M491" t="inlineStr"/>
      <c r="N491" t="inlineStr"/>
      <c r="O491" t="n">
        <v>0</v>
      </c>
      <c r="P491">
        <f>IF(B511=0,0,O491/B511)</f>
        <v/>
      </c>
      <c r="Q491" t="n">
        <v>0</v>
      </c>
      <c r="R491" t="n">
        <v>0</v>
      </c>
      <c r="S491">
        <f>IFERROR(O491/N491,0)</f>
        <v/>
      </c>
    </row>
    <row r="492">
      <c r="A492">
        <f>Skills!A26</f>
        <v/>
      </c>
      <c r="B492">
        <f>Skills!B26</f>
        <v/>
      </c>
      <c r="C492">
        <f>Inputs!$B$3&gt;=50</f>
        <v/>
      </c>
      <c r="D492">
        <f>IF(Skills!C26=1,60+Inputs!$B$24+Inputs!$B$28,IF(Skills!C26=2,90+Inputs!$B$25+Inputs!$B$28,IF(Skills!C26=3,120+Inputs!$B$26+Inputs!$B$28,MAX(0,(Inputs!$B$3-100)*3)+Inputs!$B$27+Inputs!$B$28)))</f>
        <v/>
      </c>
      <c r="E492">
        <f>INDEX(FactorTable!$B$2:$Y$301, MATCH(ROUND(MIN(300,MAX(1,D492)),0), FactorTable!$A$2:$A$301,0), Skills!M26+1)</f>
        <v/>
      </c>
      <c r="F492">
        <f>IF(Skills!N26=TRUE,(Skills!L26/10)*(E492/1000),Skills!L26/10)+Skills!O26</f>
        <v/>
      </c>
      <c r="G492">
        <f>Skills!G26*IF(Skills!H26&gt;0,Skills!I26/Skills!H26,1)</f>
        <v/>
      </c>
      <c r="H492">
        <f>1-(1-Skills!J26/100)^Skills!K26</f>
        <v/>
      </c>
      <c r="I492" t="inlineStr">
        <is>
          <t>1</t>
        </is>
      </c>
      <c r="J492" t="inlineStr"/>
      <c r="K492" t="inlineStr"/>
      <c r="L492" t="inlineStr"/>
      <c r="M492" t="inlineStr"/>
      <c r="N492" t="inlineStr"/>
      <c r="O492" t="n">
        <v>0</v>
      </c>
      <c r="P492">
        <f>IF(B511=0,0,O492/B511)</f>
        <v/>
      </c>
      <c r="Q492" t="n">
        <v>0</v>
      </c>
      <c r="R492" t="n">
        <v>0</v>
      </c>
      <c r="S492">
        <f>IFERROR(O492/N492,0)</f>
        <v/>
      </c>
    </row>
    <row r="493">
      <c r="A493">
        <f>Skills!A27</f>
        <v/>
      </c>
      <c r="B493">
        <f>Skills!B27</f>
        <v/>
      </c>
      <c r="C493">
        <f>Inputs!$B$3&gt;=38</f>
        <v/>
      </c>
      <c r="D493">
        <f>IF(Skills!C27=1,60+Inputs!$B$24+Inputs!$B$28,IF(Skills!C27=2,90+Inputs!$B$25+Inputs!$B$28,IF(Skills!C27=3,120+Inputs!$B$26+Inputs!$B$28,MAX(0,(Inputs!$B$3-100)*3)+Inputs!$B$27+Inputs!$B$28)))</f>
        <v/>
      </c>
      <c r="E493">
        <f>INDEX(FactorTable!$B$2:$Y$301, MATCH(ROUND(MIN(300,MAX(1,D493)),0), FactorTable!$A$2:$A$301,0), Skills!M27+1)</f>
        <v/>
      </c>
      <c r="F493">
        <f>IF(Skills!N27=TRUE,(Skills!L27/10)*(E493/1000),Skills!L27/10)+Skills!O27</f>
        <v/>
      </c>
      <c r="G493">
        <f>Skills!G27*IF(Skills!H27&gt;0,Skills!I27/Skills!H27,1)</f>
        <v/>
      </c>
      <c r="H493">
        <f>1-(1-Skills!J27/100)^Skills!K27</f>
        <v/>
      </c>
      <c r="I493" t="inlineStr">
        <is>
          <t>1</t>
        </is>
      </c>
      <c r="J493" t="inlineStr"/>
      <c r="K493" t="inlineStr"/>
      <c r="L493" t="inlineStr"/>
      <c r="M493" t="inlineStr"/>
      <c r="N493" t="inlineStr"/>
      <c r="O493" t="n">
        <v>0</v>
      </c>
      <c r="P493">
        <f>IF(B511=0,0,O493/B511)</f>
        <v/>
      </c>
      <c r="Q493" t="n">
        <v>0</v>
      </c>
      <c r="R493" t="n">
        <v>0</v>
      </c>
      <c r="S493">
        <f>IFERROR(O493/N493,0)</f>
        <v/>
      </c>
    </row>
    <row r="494">
      <c r="A494">
        <f>Skills!A28</f>
        <v/>
      </c>
      <c r="B494">
        <f>Skills!B28</f>
        <v/>
      </c>
      <c r="C494">
        <f>Inputs!$B$3&gt;=120</f>
        <v/>
      </c>
      <c r="D494">
        <f>IF(Skills!C28=1,60+Inputs!$B$24+Inputs!$B$28,IF(Skills!C28=2,90+Inputs!$B$25+Inputs!$B$28,IF(Skills!C28=3,120+Inputs!$B$26+Inputs!$B$28,MAX(0,(Inputs!$B$3-100)*3)+Inputs!$B$27+Inputs!$B$28)))</f>
        <v/>
      </c>
      <c r="E494">
        <f>INDEX(FactorTable!$B$2:$Y$301, MATCH(ROUND(MIN(300,MAX(1,D494)),0), FactorTable!$A$2:$A$301,0), Skills!M28+1)</f>
        <v/>
      </c>
      <c r="F494">
        <f>IF(Skills!N28=TRUE,(Skills!L28/10)*(E494/1000),Skills!L28/10)+Skills!O28</f>
        <v/>
      </c>
      <c r="G494">
        <f>Skills!G28*IF(Skills!H28&gt;0,Skills!I28/Skills!H28,1)</f>
        <v/>
      </c>
      <c r="H494">
        <f>1-(1-Skills!J28/100)^Skills!K28</f>
        <v/>
      </c>
      <c r="I494" t="inlineStr">
        <is>
          <t>1</t>
        </is>
      </c>
      <c r="J494" t="inlineStr"/>
      <c r="K494" t="inlineStr"/>
      <c r="L494" t="inlineStr"/>
      <c r="M494" t="inlineStr"/>
      <c r="N494" t="inlineStr"/>
      <c r="O494" t="n">
        <v>0</v>
      </c>
      <c r="P494">
        <f>IF(B511=0,0,O494/B511)</f>
        <v/>
      </c>
      <c r="Q494" t="n">
        <v>0</v>
      </c>
      <c r="R494" t="n">
        <v>0</v>
      </c>
      <c r="S494">
        <f>IFERROR(O494/N494,0)</f>
        <v/>
      </c>
    </row>
    <row r="495">
      <c r="A495">
        <f>Skills!A29</f>
        <v/>
      </c>
      <c r="B495">
        <f>Skills!B29</f>
        <v/>
      </c>
      <c r="C495">
        <f>Inputs!$B$3&gt;=120</f>
        <v/>
      </c>
      <c r="D495">
        <f>IF(Skills!C29=1,60+Inputs!$B$24+Inputs!$B$28,IF(Skills!C29=2,90+Inputs!$B$25+Inputs!$B$28,IF(Skills!C29=3,120+Inputs!$B$26+Inputs!$B$28,MAX(0,(Inputs!$B$3-100)*3)+Inputs!$B$27+Inputs!$B$28)))</f>
        <v/>
      </c>
      <c r="E495">
        <f>INDEX(FactorTable!$B$2:$Y$301, MATCH(ROUND(MIN(300,MAX(1,D495)),0), FactorTable!$A$2:$A$301,0), Skills!M29+1)</f>
        <v/>
      </c>
      <c r="F495">
        <f>IF(Skills!N29=TRUE,(Skills!L29/10)*(E495/1000),Skills!L29/10)+Skills!O29</f>
        <v/>
      </c>
      <c r="G495">
        <f>Skills!G29*IF(Skills!H29&gt;0,Skills!I29/Skills!H29,1)</f>
        <v/>
      </c>
      <c r="H495">
        <f>1-(1-Skills!J29/100)^Skills!K29</f>
        <v/>
      </c>
      <c r="I495" t="inlineStr">
        <is>
          <t>1</t>
        </is>
      </c>
      <c r="J495" t="inlineStr"/>
      <c r="K495" t="inlineStr"/>
      <c r="L495" t="inlineStr"/>
      <c r="M495" t="inlineStr"/>
      <c r="N495" t="inlineStr"/>
      <c r="O495" t="n">
        <v>0</v>
      </c>
      <c r="P495">
        <f>IF(B511=0,0,O495/B511)</f>
        <v/>
      </c>
      <c r="Q495" t="n">
        <v>0</v>
      </c>
      <c r="R495" t="n">
        <v>0</v>
      </c>
      <c r="S495">
        <f>IFERROR(O495/N495,0)</f>
        <v/>
      </c>
    </row>
    <row r="496">
      <c r="A496">
        <f>Skills!A30</f>
        <v/>
      </c>
      <c r="B496">
        <f>Skills!B30</f>
        <v/>
      </c>
      <c r="C496">
        <f>Inputs!$B$3&gt;=125</f>
        <v/>
      </c>
      <c r="D496">
        <f>IF(Skills!C30=1,60+Inputs!$B$24+Inputs!$B$28,IF(Skills!C30=2,90+Inputs!$B$25+Inputs!$B$28,IF(Skills!C30=3,120+Inputs!$B$26+Inputs!$B$28,MAX(0,(Inputs!$B$3-100)*3)+Inputs!$B$27+Inputs!$B$28)))</f>
        <v/>
      </c>
      <c r="E496">
        <f>INDEX(FactorTable!$B$2:$Y$301, MATCH(ROUND(MIN(300,MAX(1,D496)),0), FactorTable!$A$2:$A$301,0), Skills!M30+1)</f>
        <v/>
      </c>
      <c r="F496">
        <f>IF(Skills!N30=TRUE,(Skills!L30/10)*(E496/1000),Skills!L30/10)+Skills!O30</f>
        <v/>
      </c>
      <c r="G496">
        <f>Skills!G30*IF(Skills!H30&gt;0,Skills!I30/Skills!H30,1)</f>
        <v/>
      </c>
      <c r="H496">
        <f>1-(1-Skills!J30/100)^Skills!K30</f>
        <v/>
      </c>
      <c r="I496" t="inlineStr">
        <is>
          <t>1</t>
        </is>
      </c>
      <c r="J496" t="inlineStr"/>
      <c r="K496" t="inlineStr"/>
      <c r="L496" t="inlineStr"/>
      <c r="M496" t="inlineStr"/>
      <c r="N496" t="inlineStr"/>
      <c r="O496" t="n">
        <v>0</v>
      </c>
      <c r="P496">
        <f>IF(B511=0,0,O496/B511)</f>
        <v/>
      </c>
      <c r="Q496" t="n">
        <v>0</v>
      </c>
      <c r="R496" t="n">
        <v>0</v>
      </c>
      <c r="S496">
        <f>IFERROR(O496/N496,0)</f>
        <v/>
      </c>
    </row>
    <row r="498">
      <c r="A498" t="inlineStr">
        <is>
          <t>Average Buff Multiplier</t>
        </is>
      </c>
      <c r="B498">
        <f>(1+(((C487=TRUE)*F487*IF(AND(Inputs!$B$4&lt;&gt;"pvp",Inputs!$B$35&gt;0),(((S487-1)*(Skills!Y21*(1+Inputs!$B$33/100))+MIN((Skills!Y21*(1+Inputs!$B$33/100)),MAX(0,Inputs!$B$35-((S487-1)*Skills!D21))))/Inputs!$B$35),IF(Inputs!$B$4="pvp",MIN((Skills!Y21*(1+Inputs!$B$33/100)),15)/15,(Skills!Y21*(1+Inputs!$B$33/100))/Skills!D21)))+((C489=TRUE)*(F489-Calc!F23))+((C483=TRUE)*(F483-Calc!F17)))/100)*(1+((C476=TRUE)*F476*IF(AND(Inputs!$B$4&lt;&gt;"pvp",Inputs!$B$35&gt;0),(((S476-1)*(Skills!Y10*(1+Inputs!$B$33/100))+MIN((Skills!Y10*(1+Inputs!$B$33/100)),MAX(0,Inputs!$B$35-((S476-1)*Skills!D10))))/Inputs!$B$35),IF(Inputs!$B$4="pvp",MIN((Skills!Y10*(1+Inputs!$B$33/100)),15)/15,(Skills!Y10*(1+Inputs!$B$33/100))/Skills!D10)))/100)*(1+((C481=TRUE)*F481*IF(AND(Inputs!$B$4&lt;&gt;"pvp",Inputs!$B$35&gt;0),(((S481-1)*(Skills!Y15*(1+Inputs!$B$33/100))+MIN((Skills!Y15*(1+Inputs!$B$33/100)),MAX(0,Inputs!$B$35-((S481-1)*Skills!D15))))/Inputs!$B$35),IF(Inputs!$B$4="pvp",MIN((Skills!Y15*(1+Inputs!$B$33/100)),15)/15,(Skills!Y15*(1+Inputs!$B$33/100))/Skills!D15)))/100)</f>
        <v/>
      </c>
    </row>
    <row r="499">
      <c r="A499" t="inlineStr">
        <is>
          <t>Global Crit Rate Bonus %</t>
        </is>
      </c>
      <c r="B499">
        <f>((C486=TRUE)*F486*IF(AND(Inputs!$B$4&lt;&gt;"pvp",Inputs!$B$35&gt;0),(((S486-1)*(Skills!Y20*(1+Inputs!$B$33/100))+MIN((Skills!Y20*(1+Inputs!$B$33/100)),MAX(0,Inputs!$B$35-((S486-1)*Skills!D20))))/Inputs!$B$35),IF(Inputs!$B$4="pvp",MIN((Skills!Y20*(1+Inputs!$B$33/100)),15)/15,(Skills!Y20*(1+Inputs!$B$33/100))/Skills!D20)))</f>
        <v/>
      </c>
    </row>
    <row r="500">
      <c r="A500" t="inlineStr">
        <is>
          <t>Global Monster Damage-Taken Bonus %</t>
        </is>
      </c>
      <c r="B500">
        <f>IF(Inputs!$B$3&gt;=82,15,0)</f>
        <v/>
      </c>
    </row>
    <row r="501">
      <c r="A501" t="inlineStr">
        <is>
          <t>Shadow Partner Average Multiplier</t>
        </is>
      </c>
      <c r="B501">
        <f>1+((C473=TRUE)*F473*(1+3.3333333333333335*IF(C484=TRUE,F484,0)/100)*I473*Skills!J7/100)/100</f>
        <v/>
      </c>
    </row>
    <row r="502">
      <c r="A502" t="inlineStr">
        <is>
          <t>Attack Speed Buff Bonus %</t>
        </is>
      </c>
      <c r="B502">
        <f>((C485=TRUE)*F485*IF(AND(Inputs!$B$4&lt;&gt;"pvp",Inputs!$B$35&gt;0),(((S485-1)*(Skills!Y19*(1+Inputs!$B$33/100))+MIN((Skills!Y19*(1+Inputs!$B$33/100)),MAX(0,Inputs!$B$35-((S485-1)*Skills!D19))))/Inputs!$B$35),IF(Inputs!$B$4="pvp",MIN((Skills!Y19*(1+Inputs!$B$33/100)),15)/15,(Skills!Y19*(1+Inputs!$B$33/100))/Skills!D19)))+((C469=TRUE)*F469*3)</f>
        <v/>
      </c>
    </row>
    <row r="503">
      <c r="A503" t="inlineStr">
        <is>
          <t>Actions Per Second</t>
        </is>
      </c>
      <c r="B503">
        <f>1+MIN(150,150*(1-(1-(Inputs!$B$10+((C488=TRUE)*(F488-Calc!F22)))/150)*(1-B502/150)))/100</f>
        <v/>
      </c>
    </row>
    <row r="504">
      <c r="A504" t="inlineStr">
        <is>
          <t>Skill + Buff Cast Rate</t>
        </is>
      </c>
      <c r="B504">
        <f>IF(AND(Inputs!$B$4&lt;&gt;"pvp",Inputs!$B$35&gt;0),SUMPRODUCT((Skills!E2:E30=TRUE)*(C468:C496=TRUE)*R468:R496*Skills!F2:F30)/Inputs!$B$35,SUMPRODUCT((Skills!E2:E30=TRUE)*(C468:C496=TRUE)*Q468:Q496*Skills!F2:F30))</f>
        <v/>
      </c>
    </row>
    <row r="505">
      <c r="A505" t="inlineStr">
        <is>
          <t>Cruel Stab Casts Per Second</t>
        </is>
      </c>
      <c r="B505">
        <f>MAX(0,B503-B504)</f>
        <v/>
      </c>
    </row>
    <row r="506">
      <c r="A506" t="inlineStr">
        <is>
          <t>Global Critical Damage Bonus % (Smokescreen Mastery Lv.113)</t>
        </is>
      </c>
      <c r="B506">
        <f>IF(Inputs!$B$3&gt;=113,30,0)*IF(AND(Inputs!$B$4&lt;&gt;"pvp",Inputs!$B$35&gt;0),(((S481-1)*(Skills!Y15*(1+Inputs!$B$33/100))+MIN((Skills!Y15*(1+Inputs!$B$33/100)),MAX(0,Inputs!$B$35-((S481-1)*Skills!D15))))/Inputs!$B$35),IF(Inputs!$B$4="pvp",MIN((Skills!Y15*(1+Inputs!$B$33/100)),15)/15,(Skills!Y15*(1+Inputs!$B$33/100))/Skills!D15))</f>
        <v/>
      </c>
    </row>
    <row r="507">
      <c r="A507" t="inlineStr">
        <is>
          <t>Meso Explosion average stack count</t>
        </is>
      </c>
      <c r="B507">
        <f>MIN(10,0.5*B503*Skills!D4)</f>
        <v/>
      </c>
    </row>
    <row r="508">
      <c r="A508" t="inlineStr">
        <is>
          <t>Blood Money average stack count</t>
        </is>
      </c>
      <c r="B508">
        <f>MIN(5,0.25*B503*Skills!D4)</f>
        <v/>
      </c>
    </row>
    <row r="509">
      <c r="A509" t="inlineStr">
        <is>
          <t>Assassinate Murderous Intent Multiplier</t>
        </is>
      </c>
      <c r="B509">
        <f>1+IFERROR(MIN(1,Q480*2/Q477),0)</f>
        <v/>
      </c>
    </row>
    <row r="511">
      <c r="A511" s="5" t="inlineStr">
        <is>
          <t>TOTAL DPS</t>
        </is>
      </c>
      <c r="B511" s="5">
        <f>SUM(O468:O496)</f>
        <v/>
      </c>
    </row>
    <row r="514">
      <c r="A514" s="5" t="inlineStr">
        <is>
          <t>Stat: CRIT_RATE %</t>
        </is>
      </c>
    </row>
    <row r="515">
      <c r="A515" s="8" t="inlineStr">
        <is>
          <t>Key</t>
        </is>
      </c>
      <c r="B515" s="8" t="inlineStr">
        <is>
          <t>Name</t>
        </is>
      </c>
      <c r="C515" s="8" t="inlineStr">
        <is>
          <t>Unlocked</t>
        </is>
      </c>
      <c r="D515" s="8" t="inlineStr">
        <is>
          <t>InputLevel</t>
        </is>
      </c>
      <c r="E515" s="8" t="inlineStr">
        <is>
          <t>Factor</t>
        </is>
      </c>
      <c r="F515" s="8" t="inlineStr">
        <is>
          <t>CoefficientPercent</t>
        </is>
      </c>
      <c r="G515" s="8" t="inlineStr">
        <is>
          <t>EffectiveHits</t>
        </is>
      </c>
      <c r="H515" s="8" t="inlineStr">
        <is>
          <t>ProcProbability</t>
        </is>
      </c>
      <c r="I515" s="8" t="inlineStr">
        <is>
          <t>MapleHeroMultiplier</t>
        </is>
      </c>
      <c r="J515" s="8" t="inlineStr">
        <is>
          <t>BaseDamage</t>
        </is>
      </c>
      <c r="K515" s="8" t="inlineStr">
        <is>
          <t>BaseHitDamage</t>
        </is>
      </c>
      <c r="L515" s="8" t="inlineStr">
        <is>
          <t>NonCritAvg</t>
        </is>
      </c>
      <c r="M515" s="8" t="inlineStr">
        <is>
          <t>CritAvg</t>
        </is>
      </c>
      <c r="N515" s="8" t="inlineStr">
        <is>
          <t>ExpectedDamage(perHit)</t>
        </is>
      </c>
      <c r="O515" s="8" t="inlineStr">
        <is>
          <t>DPS</t>
        </is>
      </c>
      <c r="P515" s="8" t="inlineStr">
        <is>
          <t>% of Total</t>
        </is>
      </c>
      <c r="Q515" s="8" t="inlineStr">
        <is>
          <t>InvCooldown</t>
        </is>
      </c>
      <c r="R515" s="8" t="inlineStr">
        <is>
          <t>CastsInFight</t>
        </is>
      </c>
      <c r="S515" s="8" t="inlineStr">
        <is>
          <t>HitRate(perSec)</t>
        </is>
      </c>
      <c r="U515" t="inlineStr">
        <is>
          <t>helpers</t>
        </is>
      </c>
    </row>
    <row r="516">
      <c r="A516">
        <f>Skills!A2</f>
        <v/>
      </c>
      <c r="B516">
        <f>Skills!B2</f>
        <v/>
      </c>
      <c r="C516">
        <f>Inputs!$B$3&gt;=100</f>
        <v/>
      </c>
      <c r="D516" t="inlineStr"/>
      <c r="E516" t="inlineStr"/>
      <c r="F516">
        <f>U518+Skills!O2</f>
        <v/>
      </c>
      <c r="G516">
        <f>Skills!G2*IF(Skills!H2&gt;0,Skills!I2/Skills!H2,1)</f>
        <v/>
      </c>
      <c r="H516">
        <f>1-(1-Skills!J2/100)^Skills!K2</f>
        <v/>
      </c>
      <c r="I516" t="inlineStr">
        <is>
          <t>1</t>
        </is>
      </c>
      <c r="J516">
        <f>(Inputs!$B$5*(1+Inputs!$B$6/100))*(F516/100)</f>
        <v/>
      </c>
      <c r="K516">
        <f>J516*(1+((Inputs!$B$11*(1+Inputs!$B$12/100))*0.01+Inputs!$B$13*0.0025)/100)*(1+Inputs!$B$14/100)*(1+IF(Inputs!$B$4="pvp",0,(1-Summary!$B$55)*(Inputs!$B$19+0+Skills!P2+B548)+Summary!$B$55*(Inputs!$B$20+Skills!Q2+B548))/100)*(1+Inputs!$B$15/100)*(5000/(6000+Inputs!$B$7*(1-Inputs!$B$18/100)))*(1+(Inputs!$B$23+((C544=TRUE)*(F544-Calc!F30)))/100)*(1+(IF(Skills!A2="CRUEL_STAB",Inputs!$B$16+((C541=TRUE)*(F541-Calc!F27)),Inputs!$B$17+((C542=TRUE)*(F542-Calc!F28))))/100)*(((1+(((C535=TRUE)*F535*IF(AND(Inputs!$B$4&lt;&gt;"pvp",Inputs!$B$35&gt;0),(((S535-1)*(Skills!Y21*(1+Inputs!$B$33/100))+MIN((Skills!Y21*(1+Inputs!$B$33/100)),MAX(0,Inputs!$B$35-((S535-1)*Skills!D21))))/Inputs!$B$35),IF(Inputs!$B$4="pvp",MIN((Skills!Y21*(1+Inputs!$B$33/100)),15)/15,(Skills!Y21*(1+Inputs!$B$33/100))/Skills!D21)))+((C537=TRUE)*(F537-Calc!F23))+((C531=TRUE)*(F531-Calc!F17)))/100)*(1+((C524=TRUE)*F524*IF(AND(Inputs!$B$4&lt;&gt;"pvp",Inputs!$B$35&gt;0),(((S524-1)*(Skills!Y10*(1+Inputs!$B$33/100))+MIN((Skills!Y10*(1+Inputs!$B$33/100)),MAX(0,Inputs!$B$35-((S524-1)*Skills!D10))))/Inputs!$B$35),IF(Inputs!$B$4="pvp",MIN((Skills!Y10*(1+Inputs!$B$33/100)),15)/15,(Skills!Y10*(1+Inputs!$B$33/100))/Skills!D10)))/100)*(1+((C529=TRUE)*F529*IF(AND(Inputs!$B$4&lt;&gt;"pvp",Inputs!$B$35&gt;0),(((S529-1)*(Skills!Y15*(1+Inputs!$B$33/100))+MIN((Skills!Y15*(1+Inputs!$B$33/100)),MAX(0,Inputs!$B$35-((S529-1)*Skills!D15))))/Inputs!$B$35),IF(Inputs!$B$4="pvp",MIN((Skills!Y15*(1+Inputs!$B$33/100)),15)/15,(Skills!Y15*(1+Inputs!$B$33/100))/Skills!D15)))/100))*B549*I516)</f>
        <v/>
      </c>
      <c r="L516">
        <f>K516*(MIN(Inputs!$B$21+((C538=TRUE)*(F538-Calc!F24)),Inputs!$B$22+((C543=TRUE)*(F543-Calc!F29)))/100+(Inputs!$B$22+((C543=TRUE)*(F543-Calc!F29)))/100)/2</f>
        <v/>
      </c>
      <c r="M516">
        <f>L516*(1+(Inputs!$B$9+((C540=TRUE)*(F540-Calc!F26))+B554)/100)</f>
        <v/>
      </c>
      <c r="N516">
        <f>L516*(1-MIN(((Inputs!$B$8+1)+((C539=TRUE)*(F539-Calc!F25))+B547),100)/100)+M516*(MIN(((Inputs!$B$8+1)+((C539=TRUE)*(F539-Calc!F25))+B547),100)/100)</f>
        <v/>
      </c>
      <c r="O516">
        <f>IF(C516,Skills!G2*N516*B553*IF(Inputs!$B$4="pvp",1,(1-Summary!$B$55)*(1)+Summary!$B$55*(MIN((6+Inputs!$B$32),Inputs!$B$37))),0)</f>
        <v/>
      </c>
      <c r="P516">
        <f>IF(B559=0,0,O516/B559)</f>
        <v/>
      </c>
      <c r="Q516" t="n">
        <v>0</v>
      </c>
      <c r="R516" t="n">
        <v>0</v>
      </c>
      <c r="S516">
        <f>IFERROR(O516/N516,0)</f>
        <v/>
      </c>
      <c r="U516">
        <f>MAX(0,(Inputs!$B$3-100)*3)+Inputs!$B$27+Inputs!$B$28</f>
        <v/>
      </c>
    </row>
    <row r="517">
      <c r="A517">
        <f>Skills!A3</f>
        <v/>
      </c>
      <c r="B517">
        <f>Skills!B3</f>
        <v/>
      </c>
      <c r="C517">
        <f>Inputs!$B$3&gt;=35</f>
        <v/>
      </c>
      <c r="D517">
        <f>IF(Skills!C3=1,60+Inputs!$B$24+Inputs!$B$28,IF(Skills!C3=2,90+Inputs!$B$25+Inputs!$B$28,IF(Skills!C3=3,120+Inputs!$B$26+Inputs!$B$28,MAX(0,(Inputs!$B$3-100)*3)+Inputs!$B$27+Inputs!$B$28)))</f>
        <v/>
      </c>
      <c r="E517">
        <f>INDEX(FactorTable!$B$2:$Y$301, MATCH(ROUND(MIN(300,MAX(1,D517)),0), FactorTable!$A$2:$A$301,0), Skills!M3+1)</f>
        <v/>
      </c>
      <c r="F517">
        <f>IF(Skills!N3=TRUE,(Skills!L3/10)*(E517/1000),Skills!L3/10)+Skills!O3</f>
        <v/>
      </c>
      <c r="G517">
        <f>Skills!G3*IF(Skills!H3&gt;0,Skills!I3/Skills!H3,1)</f>
        <v/>
      </c>
      <c r="H517">
        <f>1-(1-Skills!J3/100)^Skills!K3</f>
        <v/>
      </c>
      <c r="I517" t="inlineStr">
        <is>
          <t>1</t>
        </is>
      </c>
      <c r="J517" t="inlineStr"/>
      <c r="K517" t="inlineStr"/>
      <c r="L517" t="inlineStr"/>
      <c r="M517" t="inlineStr"/>
      <c r="N517" t="inlineStr"/>
      <c r="O517" t="n">
        <v>0</v>
      </c>
      <c r="P517">
        <f>IF(B559=0,0,O517/B559)</f>
        <v/>
      </c>
      <c r="Q517" t="n">
        <v>0</v>
      </c>
      <c r="R517" t="n">
        <v>0</v>
      </c>
      <c r="S517">
        <f>IFERROR(O517/N517,0)</f>
        <v/>
      </c>
      <c r="U517">
        <f>INDEX(FactorTable!$B$2:$Y$301, MATCH(ROUND(MIN(300,MAX(1,U516)),0), FactorTable!$A$2:$A$301,0), 22)</f>
        <v/>
      </c>
    </row>
    <row r="518">
      <c r="A518">
        <f>Skills!A4</f>
        <v/>
      </c>
      <c r="B518">
        <f>Skills!B4</f>
        <v/>
      </c>
      <c r="C518">
        <f>Inputs!$B$3&gt;=66</f>
        <v/>
      </c>
      <c r="D518">
        <f>IF(Skills!C4=1,60+Inputs!$B$24+Inputs!$B$28,IF(Skills!C4=2,90+Inputs!$B$25+Inputs!$B$28,IF(Skills!C4=3,120+Inputs!$B$26+Inputs!$B$28,MAX(0,(Inputs!$B$3-100)*3)+Inputs!$B$27+Inputs!$B$28)))</f>
        <v/>
      </c>
      <c r="E518">
        <f>INDEX(FactorTable!$B$2:$Y$301, MATCH(ROUND(MIN(300,MAX(1,D518)),0), FactorTable!$A$2:$A$301,0), Skills!M4+1)</f>
        <v/>
      </c>
      <c r="F518">
        <f>IF(Skills!N4=TRUE,(Skills!L4/10)*(E518/1000),Skills!L4/10)+Skills!O4</f>
        <v/>
      </c>
      <c r="G518">
        <f>Skills!G4*IF(Skills!H4&gt;0,Skills!I4/Skills!H4,1)</f>
        <v/>
      </c>
      <c r="H518">
        <f>1-(1-Skills!J4/100)^Skills!K4</f>
        <v/>
      </c>
      <c r="I518" t="inlineStr">
        <is>
          <t>1</t>
        </is>
      </c>
      <c r="J518">
        <f>(Inputs!$B$5*(1+Inputs!$B$6/100))*(F518/100)</f>
        <v/>
      </c>
      <c r="K518">
        <f>J518*(1+((Inputs!$B$11*(1+Inputs!$B$12/100))*0.01+Inputs!$B$13*0.0025)/100)*(1+Inputs!$B$14/100)*(1+IF(Inputs!$B$4="pvp",0,(1-Summary!$B$55)*(Inputs!$B$19+0+Skills!P4+B548)+Summary!$B$55*(Inputs!$B$20+Skills!Q4+B548))/100)*(1+Inputs!$B$15/100)*(5000/(6000+Inputs!$B$7*(1-Inputs!$B$18/100)))*(1+(Inputs!$B$23+((C544=TRUE)*(F544-Calc!F30)))/100)*(1+(IF(Skills!A4="CRUEL_STAB",Inputs!$B$16+((C541=TRUE)*(F541-Calc!F27)),Inputs!$B$17+((C542=TRUE)*(F542-Calc!F28))))/100)*(((1+(((C535=TRUE)*F535*IF(AND(Inputs!$B$4&lt;&gt;"pvp",Inputs!$B$35&gt;0),(((S535-1)*(Skills!Y21*(1+Inputs!$B$33/100))+MIN((Skills!Y21*(1+Inputs!$B$33/100)),MAX(0,Inputs!$B$35-((S535-1)*Skills!D21))))/Inputs!$B$35),IF(Inputs!$B$4="pvp",MIN((Skills!Y21*(1+Inputs!$B$33/100)),15)/15,(Skills!Y21*(1+Inputs!$B$33/100))/Skills!D21)))+((C537=TRUE)*(F537-Calc!F23))+((C531=TRUE)*(F531-Calc!F17)))/100)*(1+((C524=TRUE)*F524*IF(AND(Inputs!$B$4&lt;&gt;"pvp",Inputs!$B$35&gt;0),(((S524-1)*(Skills!Y10*(1+Inputs!$B$33/100))+MIN((Skills!Y10*(1+Inputs!$B$33/100)),MAX(0,Inputs!$B$35-((S524-1)*Skills!D10))))/Inputs!$B$35),IF(Inputs!$B$4="pvp",MIN((Skills!Y10*(1+Inputs!$B$33/100)),15)/15,(Skills!Y10*(1+Inputs!$B$33/100))/Skills!D10)))/100)*(1+((C529=TRUE)*F529*IF(AND(Inputs!$B$4&lt;&gt;"pvp",Inputs!$B$35&gt;0),(((S529-1)*(Skills!Y15*(1+Inputs!$B$33/100))+MIN((Skills!Y15*(1+Inputs!$B$33/100)),MAX(0,Inputs!$B$35-((S529-1)*Skills!D15))))/Inputs!$B$35),IF(Inputs!$B$4="pvp",MIN((Skills!Y15*(1+Inputs!$B$33/100)),15)/15,(Skills!Y15*(1+Inputs!$B$33/100))/Skills!D15)))/100))*B549*I518)</f>
        <v/>
      </c>
      <c r="L518">
        <f>K518*(MIN(Inputs!$B$21+((C538=TRUE)*(F538-Calc!F24)),Inputs!$B$22+((C543=TRUE)*(F543-Calc!F29)))/100+(Inputs!$B$22+((C543=TRUE)*(F543-Calc!F29)))/100)/2</f>
        <v/>
      </c>
      <c r="M518">
        <f>L518*(1+(Inputs!$B$9+((C540=TRUE)*(F540-Calc!F26))+B554)/100)</f>
        <v/>
      </c>
      <c r="N518">
        <f>L518*(1-MIN(((Inputs!$B$8+1)+((C539=TRUE)*(F539-Calc!F25))+B547),100)/100)+M518*(MIN(((Inputs!$B$8+1)+((C539=TRUE)*(F539-Calc!F25))+B547),100)/100)</f>
        <v/>
      </c>
      <c r="O518">
        <f>IF(C518,H518*N518*IF(AND(Inputs!$B$4&lt;&gt;"pvp",Inputs!$B$35&gt;0),((Skills!G4*((R518-1)*IF(Skills!H4&gt;0,Skills!I4/Skills!H4,1)+IF(Skills!H4&gt;0,MIN(Skills!I4,MAX(0,Inputs!$B$35-((R518-1)*IF(Inputs!$B$4="pvp",15,MAX(0.1,Skills!D4-IF(Skills!E4=TRUE,Inputs!$B$31,0))))))/Skills!H4,1)))/Inputs!$B$35),G518*Q518)*IF(Inputs!$B$4="pvp",1,(1-Summary!$B$55)*(1)+Summary!$B$55*(MIN(MIN(10,0.5*B551*Skills!D4),Inputs!$B$37))),0)</f>
        <v/>
      </c>
      <c r="P518">
        <f>IF(B559=0,0,O518/B559)</f>
        <v/>
      </c>
      <c r="Q518">
        <f>IFERROR(1/IF(Inputs!$B$4="pvp",15,MAX(0.1,Skills!D4-IF(Skills!E4=TRUE,Inputs!$B$31,0))),0)</f>
        <v/>
      </c>
      <c r="R518">
        <f>IF(AND(Inputs!$B$4&lt;&gt;"pvp",Inputs!$B$35&gt;0),(INT(Inputs!$B$35/IF(Inputs!$B$4="pvp",15,MAX(0.1,Skills!D4-IF(Skills!E4=TRUE,Inputs!$B$31,0))))+1),0)</f>
        <v/>
      </c>
      <c r="S518">
        <f>IFERROR(O518/N518,0)</f>
        <v/>
      </c>
      <c r="U518">
        <f>290*U517/1000</f>
        <v/>
      </c>
    </row>
    <row r="519">
      <c r="A519">
        <f>Skills!A5</f>
        <v/>
      </c>
      <c r="B519">
        <f>Skills!B5</f>
        <v/>
      </c>
      <c r="C519">
        <f>Inputs!$B$3&gt;=63</f>
        <v/>
      </c>
      <c r="D519">
        <f>IF(Skills!C5=1,60+Inputs!$B$24+Inputs!$B$28,IF(Skills!C5=2,90+Inputs!$B$25+Inputs!$B$28,IF(Skills!C5=3,120+Inputs!$B$26+Inputs!$B$28,MAX(0,(Inputs!$B$3-100)*3)+Inputs!$B$27+Inputs!$B$28)))</f>
        <v/>
      </c>
      <c r="E519">
        <f>INDEX(FactorTable!$B$2:$Y$301, MATCH(ROUND(MIN(300,MAX(1,D519)),0), FactorTable!$A$2:$A$301,0), Skills!M5+1)</f>
        <v/>
      </c>
      <c r="F519">
        <f>IF(Skills!N5=TRUE,(Skills!L5/10)*(E519/1000),Skills!L5/10)+Skills!O5</f>
        <v/>
      </c>
      <c r="G519">
        <f>Skills!G5*IF(Skills!H5&gt;0,Skills!I5/Skills!H5,1)</f>
        <v/>
      </c>
      <c r="H519">
        <f>1-(1-Skills!J5/100)^Skills!K5</f>
        <v/>
      </c>
      <c r="I519" t="inlineStr">
        <is>
          <t>1</t>
        </is>
      </c>
      <c r="J519">
        <f>(Inputs!$B$5*(1+Inputs!$B$6/100))*(F519/100)</f>
        <v/>
      </c>
      <c r="K519">
        <f>J519*(1+((Inputs!$B$11*(1+Inputs!$B$12/100))*0.01+Inputs!$B$13*0.0025)/100)*(1+Inputs!$B$14/100)*(1+IF(Inputs!$B$4="pvp",0,(1-Summary!$B$55)*(Inputs!$B$19+0+Skills!P5+B548)+Summary!$B$55*(Inputs!$B$20+Skills!Q5+B548))/100)*(1+Inputs!$B$15/100)*(5000/(6000+Inputs!$B$7*(1-Inputs!$B$18/100)))*(1+(Inputs!$B$23+((C544=TRUE)*(F544-Calc!F30)))/100)*(1+2.6666666666666665*IF(C532=TRUE,F532,0)/100)*(1+(IF(Skills!A5="CRUEL_STAB",Inputs!$B$16+((C541=TRUE)*(F541-Calc!F27)),Inputs!$B$17+((C542=TRUE)*(F542-Calc!F28))))/100)*(((1+(((C535=TRUE)*F535*IF(AND(Inputs!$B$4&lt;&gt;"pvp",Inputs!$B$35&gt;0),(((S535-1)*(Skills!Y21*(1+Inputs!$B$33/100))+MIN((Skills!Y21*(1+Inputs!$B$33/100)),MAX(0,Inputs!$B$35-((S535-1)*Skills!D21))))/Inputs!$B$35),IF(Inputs!$B$4="pvp",MIN((Skills!Y21*(1+Inputs!$B$33/100)),15)/15,(Skills!Y21*(1+Inputs!$B$33/100))/Skills!D21)))+((C537=TRUE)*(F537-Calc!F23))+((C531=TRUE)*(F531-Calc!F17)))/100)*(1+((C524=TRUE)*F524*IF(AND(Inputs!$B$4&lt;&gt;"pvp",Inputs!$B$35&gt;0),(((S524-1)*(Skills!Y10*(1+Inputs!$B$33/100))+MIN((Skills!Y10*(1+Inputs!$B$33/100)),MAX(0,Inputs!$B$35-((S524-1)*Skills!D10))))/Inputs!$B$35),IF(Inputs!$B$4="pvp",MIN((Skills!Y10*(1+Inputs!$B$33/100)),15)/15,(Skills!Y10*(1+Inputs!$B$33/100))/Skills!D10)))/100)*(1+((C529=TRUE)*F529*IF(AND(Inputs!$B$4&lt;&gt;"pvp",Inputs!$B$35&gt;0),(((S529-1)*(Skills!Y15*(1+Inputs!$B$33/100))+MIN((Skills!Y15*(1+Inputs!$B$33/100)),MAX(0,Inputs!$B$35-((S529-1)*Skills!D15))))/Inputs!$B$35),IF(Inputs!$B$4="pvp",MIN((Skills!Y15*(1+Inputs!$B$33/100)),15)/15,(Skills!Y15*(1+Inputs!$B$33/100))/Skills!D15)))/100))*B549*I519)</f>
        <v/>
      </c>
      <c r="L519">
        <f>K519*(MIN(Inputs!$B$21+((C538=TRUE)*(F538-Calc!F24)),Inputs!$B$22+((C543=TRUE)*(F543-Calc!F29)))/100+(Inputs!$B$22+((C543=TRUE)*(F543-Calc!F29)))/100)/2</f>
        <v/>
      </c>
      <c r="M519">
        <f>L519*(1+(Inputs!$B$9+((C540=TRUE)*(F540-Calc!F26))+B554)/100)</f>
        <v/>
      </c>
      <c r="N519">
        <f>L519*(1-MIN(((Inputs!$B$8+1)+((C539=TRUE)*(F539-Calc!F25))+B547),100)/100)+M519*(MIN(((Inputs!$B$8+1)+((C539=TRUE)*(F539-Calc!F25))+B547),100)/100)</f>
        <v/>
      </c>
      <c r="O519">
        <f>IF(C519,H519*N519*IF(AND(Inputs!$B$4&lt;&gt;"pvp",Inputs!$B$35&gt;0),((Skills!G5*((R519-1)*IF(Skills!H5&gt;0,Skills!I5/Skills!H5,1)+IF(Skills!H5&gt;0,MIN(Skills!I5,MAX(0,Inputs!$B$35-((R519-1)*IF(Inputs!$B$4="pvp",15,MAX(0.1,Skills!D5-IF(Skills!E5=TRUE,Inputs!$B$31,0))))))/Skills!H5,1)))/Inputs!$B$35),G519*Q519)*IF(Inputs!$B$4="pvp",1,(1-Summary!$B$55)*(1)+Summary!$B$55*(MIN(Skills!W5,Inputs!$B$37))),0)</f>
        <v/>
      </c>
      <c r="P519">
        <f>IF(B559=0,0,O519/B559)</f>
        <v/>
      </c>
      <c r="Q519">
        <f>IFERROR(1/IF(Inputs!$B$4="pvp",15,MAX(0.1,Skills!D5-IF(Skills!E5=TRUE,Inputs!$B$31,0))),0)</f>
        <v/>
      </c>
      <c r="R519">
        <f>IF(AND(Inputs!$B$4&lt;&gt;"pvp",Inputs!$B$35&gt;0),(INT(Inputs!$B$35/IF(Inputs!$B$4="pvp",15,MAX(0.1,Skills!D5-IF(Skills!E5=TRUE,Inputs!$B$31,0))))+1),0)</f>
        <v/>
      </c>
      <c r="S519">
        <f>IFERROR(O519/N519,0)</f>
        <v/>
      </c>
    </row>
    <row r="520">
      <c r="A520">
        <f>Skills!A6</f>
        <v/>
      </c>
      <c r="B520">
        <f>Skills!B6</f>
        <v/>
      </c>
      <c r="C520">
        <f>Inputs!$B$3&gt;=69</f>
        <v/>
      </c>
      <c r="D520">
        <f>IF(Skills!C6=1,60+Inputs!$B$24+Inputs!$B$28,IF(Skills!C6=2,90+Inputs!$B$25+Inputs!$B$28,IF(Skills!C6=3,120+Inputs!$B$26+Inputs!$B$28,MAX(0,(Inputs!$B$3-100)*3)+Inputs!$B$27+Inputs!$B$28)))</f>
        <v/>
      </c>
      <c r="E520">
        <f>INDEX(FactorTable!$B$2:$Y$301, MATCH(ROUND(MIN(300,MAX(1,D520)),0), FactorTable!$A$2:$A$301,0), Skills!M6+1)</f>
        <v/>
      </c>
      <c r="F520">
        <f>IF(Skills!N6=TRUE,(Skills!L6/10)*(E520/1000),Skills!L6/10)+Skills!O6</f>
        <v/>
      </c>
      <c r="G520">
        <f>Skills!G6*IF(Skills!H6&gt;0,Skills!I6/Skills!H6,1)</f>
        <v/>
      </c>
      <c r="H520">
        <f>1-(1-Skills!J6/100)^Skills!K6</f>
        <v/>
      </c>
      <c r="I520" t="inlineStr">
        <is>
          <t>1</t>
        </is>
      </c>
      <c r="J520">
        <f>(Inputs!$B$5*(1+Inputs!$B$6/100))*(F520/100)</f>
        <v/>
      </c>
      <c r="K520">
        <f>J520*(1+((Inputs!$B$11*(1+Inputs!$B$12/100))*0.01+Inputs!$B$13*0.0025)/100)*(1+Inputs!$B$14/100)*(1+IF(Inputs!$B$4="pvp",0,(1-Summary!$B$55)*(Inputs!$B$19+0+Skills!P6+B548)+Summary!$B$55*(Inputs!$B$20+Skills!Q6+B548))/100)*(1+Inputs!$B$15/100)*(5000/(6000+Inputs!$B$7*(1-Inputs!$B$18/100)))*(1+(Inputs!$B$23+((C544=TRUE)*(F544-Calc!F30)))/100)*(1+1.0*IF(C532=TRUE,F532,0)/100)*(1+(IF(Skills!A6="CRUEL_STAB",Inputs!$B$16+((C541=TRUE)*(F541-Calc!F27)),Inputs!$B$17+((C542=TRUE)*(F542-Calc!F28))))/100)*(((1+(((C535=TRUE)*F535*IF(AND(Inputs!$B$4&lt;&gt;"pvp",Inputs!$B$35&gt;0),(((S535-1)*(Skills!Y21*(1+Inputs!$B$33/100))+MIN((Skills!Y21*(1+Inputs!$B$33/100)),MAX(0,Inputs!$B$35-((S535-1)*Skills!D21))))/Inputs!$B$35),IF(Inputs!$B$4="pvp",MIN((Skills!Y21*(1+Inputs!$B$33/100)),15)/15,(Skills!Y21*(1+Inputs!$B$33/100))/Skills!D21)))+((C537=TRUE)*(F537-Calc!F23))+((C531=TRUE)*(F531-Calc!F17)))/100)*(1+((C524=TRUE)*F524*IF(AND(Inputs!$B$4&lt;&gt;"pvp",Inputs!$B$35&gt;0),(((S524-1)*(Skills!Y10*(1+Inputs!$B$33/100))+MIN((Skills!Y10*(1+Inputs!$B$33/100)),MAX(0,Inputs!$B$35-((S524-1)*Skills!D10))))/Inputs!$B$35),IF(Inputs!$B$4="pvp",MIN((Skills!Y10*(1+Inputs!$B$33/100)),15)/15,(Skills!Y10*(1+Inputs!$B$33/100))/Skills!D10)))/100)*(1+((C529=TRUE)*F529*IF(AND(Inputs!$B$4&lt;&gt;"pvp",Inputs!$B$35&gt;0),(((S529-1)*(Skills!Y15*(1+Inputs!$B$33/100))+MIN((Skills!Y15*(1+Inputs!$B$33/100)),MAX(0,Inputs!$B$35-((S529-1)*Skills!D15))))/Inputs!$B$35),IF(Inputs!$B$4="pvp",MIN((Skills!Y15*(1+Inputs!$B$33/100)),15)/15,(Skills!Y15*(1+Inputs!$B$33/100))/Skills!D15)))/100))*B549*I520)</f>
        <v/>
      </c>
      <c r="L520">
        <f>K520*(MIN(Inputs!$B$21+((C538=TRUE)*(F538-Calc!F24)),Inputs!$B$22+((C543=TRUE)*(F543-Calc!F29)))/100+(Inputs!$B$22+((C543=TRUE)*(F543-Calc!F29)))/100)/2</f>
        <v/>
      </c>
      <c r="M520">
        <f>L520*(1+(Inputs!$B$9+((C540=TRUE)*(F540-Calc!F26))+B554)/100)</f>
        <v/>
      </c>
      <c r="N520">
        <f>L520*(1-MIN(((Inputs!$B$8+1)+((C539=TRUE)*(F539-Calc!F25))+B547),100)/100)+M520*(MIN(((Inputs!$B$8+1)+((C539=TRUE)*(F539-Calc!F25))+B547),100)/100)</f>
        <v/>
      </c>
      <c r="O520">
        <f>IF(C520,H520*N520*IF(AND(Inputs!$B$4&lt;&gt;"pvp",Inputs!$B$35&gt;0),((Skills!G6*((R520-1)*IF(Skills!H6&gt;0,Skills!I6/Skills!H6,1)+IF(Skills!H6&gt;0,MIN(Skills!I6,MAX(0,Inputs!$B$35-((R520-1)*IF(Inputs!$B$4="pvp",15,MAX(0.1,Skills!D6-IF(Skills!E6=TRUE,Inputs!$B$31,0))))))/Skills!H6,1)))/Inputs!$B$35),G520*Q520)*IF(Inputs!$B$4="pvp",1,(1-Summary!$B$55)*(1)+Summary!$B$55*(MIN(Skills!W6,Inputs!$B$37))),0)</f>
        <v/>
      </c>
      <c r="P520">
        <f>IF(B559=0,0,O520/B559)</f>
        <v/>
      </c>
      <c r="Q520">
        <f>IFERROR(1/IF(Inputs!$B$4="pvp",15,MAX(0.1,Skills!D6-IF(Skills!E6=TRUE,Inputs!$B$31,0))),0)</f>
        <v/>
      </c>
      <c r="R520">
        <f>IF(AND(Inputs!$B$4&lt;&gt;"pvp",Inputs!$B$35&gt;0),(INT(Inputs!$B$35/IF(Inputs!$B$4="pvp",15,MAX(0.1,Skills!D6-IF(Skills!E6=TRUE,Inputs!$B$31,0))))+1),0)</f>
        <v/>
      </c>
      <c r="S520">
        <f>IFERROR(O520/N520,0)</f>
        <v/>
      </c>
    </row>
    <row r="521">
      <c r="A521">
        <f>Skills!A7</f>
        <v/>
      </c>
      <c r="B521">
        <f>Skills!B7</f>
        <v/>
      </c>
      <c r="C521">
        <f>Inputs!$B$3&gt;=60</f>
        <v/>
      </c>
      <c r="D521">
        <f>IF(Skills!C7=1,60+Inputs!$B$24+Inputs!$B$28,IF(Skills!C7=2,90+Inputs!$B$25+Inputs!$B$28,IF(Skills!C7=3,120+Inputs!$B$26+Inputs!$B$28,MAX(0,(Inputs!$B$3-100)*3)+Inputs!$B$27+Inputs!$B$28)))</f>
        <v/>
      </c>
      <c r="E521">
        <f>INDEX(FactorTable!$B$2:$Y$301, MATCH(ROUND(MIN(300,MAX(1,D521)),0), FactorTable!$A$2:$A$301,0), Skills!M7+1)</f>
        <v/>
      </c>
      <c r="F521">
        <f>IF(Skills!N7=TRUE,(Skills!L7/10)*(E521/1000),Skills!L7/10)+Skills!O7</f>
        <v/>
      </c>
      <c r="G521">
        <f>Skills!G7*IF(Skills!H7&gt;0,Skills!I7/Skills!H7,1)</f>
        <v/>
      </c>
      <c r="H521">
        <f>1-(1-Skills!J7/100)^Skills!K7</f>
        <v/>
      </c>
      <c r="I521" t="inlineStr">
        <is>
          <t>1</t>
        </is>
      </c>
      <c r="J521" t="inlineStr"/>
      <c r="K521" t="inlineStr"/>
      <c r="L521" t="inlineStr"/>
      <c r="M521" t="inlineStr"/>
      <c r="N521" t="inlineStr"/>
      <c r="O521" t="n">
        <v>0</v>
      </c>
      <c r="P521">
        <f>IF(B559=0,0,O521/B559)</f>
        <v/>
      </c>
      <c r="Q521" t="n">
        <v>0</v>
      </c>
      <c r="R521" t="n">
        <v>0</v>
      </c>
      <c r="S521">
        <f>IFERROR(O521/N521,0)</f>
        <v/>
      </c>
    </row>
    <row r="522">
      <c r="A522">
        <f>Skills!A8</f>
        <v/>
      </c>
      <c r="B522">
        <f>Skills!B8</f>
        <v/>
      </c>
      <c r="C522">
        <f>Inputs!$B$3&gt;=72</f>
        <v/>
      </c>
      <c r="D522">
        <f>IF(Skills!C8=1,60+Inputs!$B$24+Inputs!$B$28,IF(Skills!C8=2,90+Inputs!$B$25+Inputs!$B$28,IF(Skills!C8=3,120+Inputs!$B$26+Inputs!$B$28,MAX(0,(Inputs!$B$3-100)*3)+Inputs!$B$27+Inputs!$B$28)))</f>
        <v/>
      </c>
      <c r="E522">
        <f>INDEX(FactorTable!$B$2:$Y$301, MATCH(ROUND(MIN(300,MAX(1,D522)),0), FactorTable!$A$2:$A$301,0), Skills!M8+1)</f>
        <v/>
      </c>
      <c r="F522">
        <f>IF(Skills!N8=TRUE,(Skills!L8/10)*(E522/1000),Skills!L8/10)+Skills!O8</f>
        <v/>
      </c>
      <c r="G522">
        <f>Skills!G8*IF(Skills!H8&gt;0,Skills!I8/Skills!H8,1)</f>
        <v/>
      </c>
      <c r="H522">
        <f>1-(1-Skills!J8/100)^Skills!K8</f>
        <v/>
      </c>
      <c r="I522" t="inlineStr">
        <is>
          <t>1</t>
        </is>
      </c>
      <c r="J522">
        <f>(Inputs!$B$5*(1+Inputs!$B$6/100))*(F522/100)</f>
        <v/>
      </c>
      <c r="K522">
        <f>J522*(1+((Inputs!$B$11*(1+Inputs!$B$12/100))*0.01+Inputs!$B$13*0.0025)/100)*(1+Inputs!$B$14/100)*(1+IF(Inputs!$B$4="pvp",0,(1-Summary!$B$55)*(Inputs!$B$19+0+Skills!P8+B548)+Summary!$B$55*(Inputs!$B$20+Skills!Q8+B548))/100)*(1+Inputs!$B$15/100)*(5000/(6000+Inputs!$B$7*(1-Inputs!$B$18/100)))*(1+(Inputs!$B$23+((C544=TRUE)*(F544-Calc!F30)))/100)*(1+3.3333333333333335*IF(C532=TRUE,F532,0)/100)*(1+(IF(Skills!A8="CRUEL_STAB",Inputs!$B$16+((C541=TRUE)*(F541-Calc!F27)),Inputs!$B$17+((C542=TRUE)*(F542-Calc!F28))))/100)*(((1+(((C535=TRUE)*F535*IF(AND(Inputs!$B$4&lt;&gt;"pvp",Inputs!$B$35&gt;0),(((S535-1)*(Skills!Y21*(1+Inputs!$B$33/100))+MIN((Skills!Y21*(1+Inputs!$B$33/100)),MAX(0,Inputs!$B$35-((S535-1)*Skills!D21))))/Inputs!$B$35),IF(Inputs!$B$4="pvp",MIN((Skills!Y21*(1+Inputs!$B$33/100)),15)/15,(Skills!Y21*(1+Inputs!$B$33/100))/Skills!D21)))+((C537=TRUE)*(F537-Calc!F23))+((C531=TRUE)*(F531-Calc!F17)))/100)*(1+((C524=TRUE)*F524*IF(AND(Inputs!$B$4&lt;&gt;"pvp",Inputs!$B$35&gt;0),(((S524-1)*(Skills!Y10*(1+Inputs!$B$33/100))+MIN((Skills!Y10*(1+Inputs!$B$33/100)),MAX(0,Inputs!$B$35-((S524-1)*Skills!D10))))/Inputs!$B$35),IF(Inputs!$B$4="pvp",MIN((Skills!Y10*(1+Inputs!$B$33/100)),15)/15,(Skills!Y10*(1+Inputs!$B$33/100))/Skills!D10)))/100)*(1+((C529=TRUE)*F529*IF(AND(Inputs!$B$4&lt;&gt;"pvp",Inputs!$B$35&gt;0),(((S529-1)*(Skills!Y15*(1+Inputs!$B$33/100))+MIN((Skills!Y15*(1+Inputs!$B$33/100)),MAX(0,Inputs!$B$35-((S529-1)*Skills!D15))))/Inputs!$B$35),IF(Inputs!$B$4="pvp",MIN((Skills!Y15*(1+Inputs!$B$33/100)),15)/15,(Skills!Y15*(1+Inputs!$B$33/100))/Skills!D15)))/100))*B549*I522)</f>
        <v/>
      </c>
      <c r="L522">
        <f>K522*(MIN(Inputs!$B$21+((C538=TRUE)*(F538-Calc!F24)),Inputs!$B$22+((C543=TRUE)*(F543-Calc!F29)))/100+(Inputs!$B$22+((C543=TRUE)*(F543-Calc!F29)))/100)/2</f>
        <v/>
      </c>
      <c r="M522">
        <f>L522*(1+(Inputs!$B$9+((C540=TRUE)*(F540-Calc!F26))+B554)/100)</f>
        <v/>
      </c>
      <c r="N522">
        <f>L522*(1-MIN(((Inputs!$B$8+1)+((C539=TRUE)*(F539-Calc!F25))+B547),100)/100)+M522*(MIN(((Inputs!$B$8+1)+((C539=TRUE)*(F539-Calc!F25))+B547),100)/100)</f>
        <v/>
      </c>
      <c r="O522">
        <f>IF(C522,H522*N522*IF(AND(Inputs!$B$4&lt;&gt;"pvp",Inputs!$B$35&gt;0),((Skills!G8*((R522-1)*IF(Skills!H8&gt;0,Skills!I8/Skills!H8,1)+IF(Skills!H8&gt;0,MIN(Skills!I8,MAX(0,Inputs!$B$35-((R522-1)*IF(Inputs!$B$4="pvp",15,MAX(0.1,Skills!D8-IF(Skills!E8=TRUE,Inputs!$B$31,0))))))/Skills!H8,1)))/Inputs!$B$35),G522*Q522)*IF(Inputs!$B$4="pvp",1,(1-Summary!$B$55)*(1)+Summary!$B$55*(MIN(Skills!W8,Inputs!$B$37))),0)</f>
        <v/>
      </c>
      <c r="P522">
        <f>IF(B559=0,0,O522/B559)</f>
        <v/>
      </c>
      <c r="Q522">
        <f>IFERROR(1/IF(Inputs!$B$4="pvp",15,MAX(0.1,Skills!D8-IF(Skills!E8=TRUE,Inputs!$B$31,0))),0)</f>
        <v/>
      </c>
      <c r="R522">
        <f>IF(AND(Inputs!$B$4&lt;&gt;"pvp",Inputs!$B$35&gt;0),(INT(Inputs!$B$35/IF(Inputs!$B$4="pvp",15,MAX(0.1,Skills!D8-IF(Skills!E8=TRUE,Inputs!$B$31,0))))+1),0)</f>
        <v/>
      </c>
      <c r="S522">
        <f>IFERROR(O522/N522,0)</f>
        <v/>
      </c>
    </row>
    <row r="523">
      <c r="A523">
        <f>Skills!A9</f>
        <v/>
      </c>
      <c r="B523">
        <f>Skills!B9</f>
        <v/>
      </c>
      <c r="C523">
        <f>Inputs!$B$3&gt;=117</f>
        <v/>
      </c>
      <c r="D523">
        <f>IF(Skills!C9=1,60+Inputs!$B$24+Inputs!$B$28,IF(Skills!C9=2,90+Inputs!$B$25+Inputs!$B$28,IF(Skills!C9=3,120+Inputs!$B$26+Inputs!$B$28,MAX(0,(Inputs!$B$3-100)*3)+Inputs!$B$27+Inputs!$B$28)))</f>
        <v/>
      </c>
      <c r="E523">
        <f>INDEX(FactorTable!$B$2:$Y$301, MATCH(ROUND(MIN(300,MAX(1,D523)),0), FactorTable!$A$2:$A$301,0), Skills!M9+1)</f>
        <v/>
      </c>
      <c r="F523">
        <f>IF(Skills!N9=TRUE,(Skills!L9/10)*(E523/1000),Skills!L9/10)+Skills!O9</f>
        <v/>
      </c>
      <c r="G523">
        <f>Skills!G9*IF(Skills!H9&gt;0,Skills!I9/Skills!H9,1)</f>
        <v/>
      </c>
      <c r="H523">
        <f>1-(1-Skills!J9/100)^Skills!K9</f>
        <v/>
      </c>
      <c r="I523" t="inlineStr">
        <is>
          <t>1</t>
        </is>
      </c>
      <c r="J523">
        <f>(Inputs!$B$5*(1+Inputs!$B$6/100))*(F523/100)</f>
        <v/>
      </c>
      <c r="K523">
        <f>J523*(1+((Inputs!$B$11*(1+Inputs!$B$12/100))*0.01+Inputs!$B$13*0.0025)/100)*(1+Inputs!$B$14/100)*(1+IF(Inputs!$B$4="pvp",0,(1-Summary!$B$55)*(Inputs!$B$19+0+Skills!P9+B548)+Summary!$B$55*(Inputs!$B$20+Skills!Q9+B548))/100)*(1+Inputs!$B$15/100)*(5000/(6000+Inputs!$B$7*(1-Inputs!$B$18/100)))*(1+(Inputs!$B$23+((C544=TRUE)*(F544-Calc!F30)))/100)*(1+(IF(Skills!A9="CRUEL_STAB",Inputs!$B$16+((C541=TRUE)*(F541-Calc!F27)),Inputs!$B$17+((C542=TRUE)*(F542-Calc!F28))))/100)*(((1+(((C535=TRUE)*F535*IF(AND(Inputs!$B$4&lt;&gt;"pvp",Inputs!$B$35&gt;0),(((S535-1)*(Skills!Y21*(1+Inputs!$B$33/100))+MIN((Skills!Y21*(1+Inputs!$B$33/100)),MAX(0,Inputs!$B$35-((S535-1)*Skills!D21))))/Inputs!$B$35),IF(Inputs!$B$4="pvp",MIN((Skills!Y21*(1+Inputs!$B$33/100)),15)/15,(Skills!Y21*(1+Inputs!$B$33/100))/Skills!D21)))+((C537=TRUE)*(F537-Calc!F23))+((C531=TRUE)*(F531-Calc!F17)))/100)*(1+((C524=TRUE)*F524*IF(AND(Inputs!$B$4&lt;&gt;"pvp",Inputs!$B$35&gt;0),(((S524-1)*(Skills!Y10*(1+Inputs!$B$33/100))+MIN((Skills!Y10*(1+Inputs!$B$33/100)),MAX(0,Inputs!$B$35-((S524-1)*Skills!D10))))/Inputs!$B$35),IF(Inputs!$B$4="pvp",MIN((Skills!Y10*(1+Inputs!$B$33/100)),15)/15,(Skills!Y10*(1+Inputs!$B$33/100))/Skills!D10)))/100)*(1+((C529=TRUE)*F529*IF(AND(Inputs!$B$4&lt;&gt;"pvp",Inputs!$B$35&gt;0),(((S529-1)*(Skills!Y15*(1+Inputs!$B$33/100))+MIN((Skills!Y15*(1+Inputs!$B$33/100)),MAX(0,Inputs!$B$35-((S529-1)*Skills!D15))))/Inputs!$B$35),IF(Inputs!$B$4="pvp",MIN((Skills!Y15*(1+Inputs!$B$33/100)),15)/15,(Skills!Y15*(1+Inputs!$B$33/100))/Skills!D15)))/100))*B549*I523)</f>
        <v/>
      </c>
      <c r="L523">
        <f>K523*(MIN(Inputs!$B$21+((C538=TRUE)*(F538-Calc!F24)),Inputs!$B$22+((C543=TRUE)*(F543-Calc!F29)))/100+(Inputs!$B$22+((C543=TRUE)*(F543-Calc!F29)))/100)/2</f>
        <v/>
      </c>
      <c r="M523">
        <f>L523*(1+(Inputs!$B$9+((C540=TRUE)*(F540-Calc!F26))+B554)/100)</f>
        <v/>
      </c>
      <c r="N523">
        <f>L523*(1-MIN(((Inputs!$B$8+1)+((C539=TRUE)*(F539-Calc!F25))+B547),100)/100)+M523*(MIN(((Inputs!$B$8+1)+((C539=TRUE)*(F539-Calc!F25))+B547),100)/100)</f>
        <v/>
      </c>
      <c r="O523">
        <f>IF(C523,0.2*SUMPRODUCT((Skills!Z2:Z30=TRUE)*(C516:C544=TRUE)*S516:S544)*N523,0)</f>
        <v/>
      </c>
      <c r="P523">
        <f>IF(B559=0,0,O523/B559)</f>
        <v/>
      </c>
      <c r="Q523" t="n">
        <v>0</v>
      </c>
      <c r="R523" t="n">
        <v>0</v>
      </c>
      <c r="S523" t="n">
        <v>0</v>
      </c>
    </row>
    <row r="524">
      <c r="A524">
        <f>Skills!A10</f>
        <v/>
      </c>
      <c r="B524">
        <f>Skills!B10</f>
        <v/>
      </c>
      <c r="C524">
        <f>Inputs!$B$3&gt;=74</f>
        <v/>
      </c>
      <c r="D524">
        <f>IF(Skills!C10=1,60+Inputs!$B$24+Inputs!$B$28,IF(Skills!C10=2,90+Inputs!$B$25+Inputs!$B$28,IF(Skills!C10=3,120+Inputs!$B$26+Inputs!$B$28,MAX(0,(Inputs!$B$3-100)*3)+Inputs!$B$27+Inputs!$B$28)))</f>
        <v/>
      </c>
      <c r="E524">
        <f>INDEX(FactorTable!$B$2:$Y$301, MATCH(ROUND(MIN(300,MAX(1,D524)),0), FactorTable!$A$2:$A$301,0), Skills!M10+1)</f>
        <v/>
      </c>
      <c r="F524">
        <f>IF(Skills!N10=TRUE,(Skills!L10/10)*(E524/1000),Skills!L10/10)+Skills!O10</f>
        <v/>
      </c>
      <c r="G524">
        <f>Skills!G10*IF(Skills!H10&gt;0,Skills!I10/Skills!H10,1)</f>
        <v/>
      </c>
      <c r="H524">
        <f>1-(1-Skills!J10/100)^Skills!K10</f>
        <v/>
      </c>
      <c r="I524" t="inlineStr">
        <is>
          <t>1</t>
        </is>
      </c>
      <c r="J524" t="inlineStr"/>
      <c r="K524" t="inlineStr"/>
      <c r="L524" t="inlineStr"/>
      <c r="M524" t="inlineStr"/>
      <c r="N524" t="inlineStr"/>
      <c r="O524" t="n">
        <v>0</v>
      </c>
      <c r="P524">
        <f>IF(B559=0,0,O524/B559)</f>
        <v/>
      </c>
      <c r="Q524">
        <f>IFERROR(1/IF(Inputs!$B$4="pvp",15,MAX(0.1,Skills!D10-IF(Skills!E10=TRUE,Inputs!$B$31,0))),0)</f>
        <v/>
      </c>
      <c r="R524">
        <f>IF(AND(Inputs!$B$4&lt;&gt;"pvp",Inputs!$B$35&gt;0),(INT(Inputs!$B$35/IF(Inputs!$B$4="pvp",15,MAX(0.1,Skills!D10-IF(Skills!E10=TRUE,Inputs!$B$31,0))))+1),0)</f>
        <v/>
      </c>
      <c r="S524">
        <f>IFERROR(O524/N524,0)</f>
        <v/>
      </c>
    </row>
    <row r="525">
      <c r="A525">
        <f>Skills!A11</f>
        <v/>
      </c>
      <c r="B525">
        <f>Skills!B11</f>
        <v/>
      </c>
      <c r="C525">
        <f>Inputs!$B$3&gt;=103</f>
        <v/>
      </c>
      <c r="D525">
        <f>IF(Skills!C11=1,60+Inputs!$B$24+Inputs!$B$28,IF(Skills!C11=2,90+Inputs!$B$25+Inputs!$B$28,IF(Skills!C11=3,120+Inputs!$B$26+Inputs!$B$28,MAX(0,(Inputs!$B$3-100)*3)+Inputs!$B$27+Inputs!$B$28)))</f>
        <v/>
      </c>
      <c r="E525">
        <f>INDEX(FactorTable!$B$2:$Y$301, MATCH(ROUND(MIN(300,MAX(1,D525)),0), FactorTable!$A$2:$A$301,0), Skills!M11+1)</f>
        <v/>
      </c>
      <c r="F525">
        <f>(Skills!L11/10)*(E525/1000)+IF(Inputs!$B$3&gt;=134,50,0)+0.5*(30000/10)*(INDEX(FactorTable!$B$2:$Y$301, MATCH(ROUND(MIN(300,MAX(1,D525)),0), FactorTable!$A$2:$A$301,0), 13)/1000)*B557</f>
        <v/>
      </c>
      <c r="G525">
        <f>Skills!G11*IF(Skills!H11&gt;0,Skills!I11/Skills!H11,1)</f>
        <v/>
      </c>
      <c r="H525">
        <f>1-(1-Skills!J11/100)^Skills!K11</f>
        <v/>
      </c>
      <c r="I525" t="inlineStr">
        <is>
          <t>1</t>
        </is>
      </c>
      <c r="J525">
        <f>(Inputs!$B$5*(1+Inputs!$B$6/100))*(F525/100)</f>
        <v/>
      </c>
      <c r="K525">
        <f>J525*(1+((Inputs!$B$11*(1+Inputs!$B$12/100))*0.01+Inputs!$B$13*0.0025)/100)*(1+Inputs!$B$14/100)*(1+IF(Inputs!$B$4="pvp",0,(1-Summary!$B$55)*(Inputs!$B$19+0+Skills!P11+B548)+Summary!$B$55*(Inputs!$B$20+Skills!Q11+B548))/100)*(1+Inputs!$B$15/100)*(5000/(6000+Inputs!$B$7*(1-Inputs!$B$18/100)))*(1+(Inputs!$B$23+((C544=TRUE)*(F544-Calc!F30)))/100)*(1+(IF(Skills!A11="CRUEL_STAB",Inputs!$B$16+((C541=TRUE)*(F541-Calc!F27)),Inputs!$B$17+((C542=TRUE)*(F542-Calc!F28))))/100)*(((1+(((C535=TRUE)*F535*IF(AND(Inputs!$B$4&lt;&gt;"pvp",Inputs!$B$35&gt;0),(((S535-1)*(Skills!Y21*(1+Inputs!$B$33/100))+MIN((Skills!Y21*(1+Inputs!$B$33/100)),MAX(0,Inputs!$B$35-((S535-1)*Skills!D21))))/Inputs!$B$35),IF(Inputs!$B$4="pvp",MIN((Skills!Y21*(1+Inputs!$B$33/100)),15)/15,(Skills!Y21*(1+Inputs!$B$33/100))/Skills!D21)))+((C537=TRUE)*(F537-Calc!F23))+((C531=TRUE)*(F531-Calc!F17)))/100)*(1+((C524=TRUE)*F524*IF(AND(Inputs!$B$4&lt;&gt;"pvp",Inputs!$B$35&gt;0),(((S524-1)*(Skills!Y10*(1+Inputs!$B$33/100))+MIN((Skills!Y10*(1+Inputs!$B$33/100)),MAX(0,Inputs!$B$35-((S524-1)*Skills!D10))))/Inputs!$B$35),IF(Inputs!$B$4="pvp",MIN((Skills!Y10*(1+Inputs!$B$33/100)),15)/15,(Skills!Y10*(1+Inputs!$B$33/100))/Skills!D10)))/100)*(1+((C529=TRUE)*F529*IF(AND(Inputs!$B$4&lt;&gt;"pvp",Inputs!$B$35&gt;0),(((S529-1)*(Skills!Y15*(1+Inputs!$B$33/100))+MIN((Skills!Y15*(1+Inputs!$B$33/100)),MAX(0,Inputs!$B$35-((S529-1)*Skills!D15))))/Inputs!$B$35),IF(Inputs!$B$4="pvp",MIN((Skills!Y15*(1+Inputs!$B$33/100)),15)/15,(Skills!Y15*(1+Inputs!$B$33/100))/Skills!D15)))/100))*B549*I525)</f>
        <v/>
      </c>
      <c r="L525">
        <f>K525*(MIN(Inputs!$B$21+((C538=TRUE)*(F538-Calc!F24)),Inputs!$B$22+((C543=TRUE)*(F543-Calc!F29)))/100+(Inputs!$B$22+((C543=TRUE)*(F543-Calc!F29)))/100)/2</f>
        <v/>
      </c>
      <c r="M525">
        <f>L525*(1+(Inputs!$B$9+((C540=TRUE)*(F540-Calc!F26))+B554)/100)</f>
        <v/>
      </c>
      <c r="N525">
        <f>L525*(1-MIN(((Inputs!$B$8+1)+((C539=TRUE)*(F539-Calc!F25))+B547),100)/100)+M525*(MIN(((Inputs!$B$8+1)+((C539=TRUE)*(F539-Calc!F25))+B547),100)/100)</f>
        <v/>
      </c>
      <c r="O525">
        <f>IF(C525,H525*N525*IF(AND(Inputs!$B$4&lt;&gt;"pvp",Inputs!$B$35&gt;0),((Skills!G11*((R525-1)*IF(Skills!H11&gt;0,Skills!I11/Skills!H11,1)+IF(Skills!H11&gt;0,MIN(Skills!I11,MAX(0,Inputs!$B$35-((R525-1)*IF(Inputs!$B$4="pvp",15,MAX(0.1,Skills!D11-IF(Skills!E11=TRUE,Inputs!$B$31,0))))))/Skills!H11,1)))/Inputs!$B$35),G525*Q525)*IF(Inputs!$B$4="pvp",1,(1-Summary!$B$55)*(1)+Summary!$B$55*(MIN(Skills!W11,Inputs!$B$37))),0)</f>
        <v/>
      </c>
      <c r="P525">
        <f>IF(B559=0,0,O525/B559)</f>
        <v/>
      </c>
      <c r="Q525">
        <f>IFERROR(1/IF(Inputs!$B$4="pvp",15,MAX(0.1,Skills!D11-IF(Skills!E11=TRUE,Inputs!$B$31,0))),0)</f>
        <v/>
      </c>
      <c r="R525">
        <f>IF(AND(Inputs!$B$4&lt;&gt;"pvp",Inputs!$B$35&gt;0),(INT(Inputs!$B$35/IF(Inputs!$B$4="pvp",15,MAX(0.1,Skills!D11-IF(Skills!E11=TRUE,Inputs!$B$31,0))))+1),0)</f>
        <v/>
      </c>
      <c r="S525">
        <f>IFERROR(O525/N525,0)</f>
        <v/>
      </c>
    </row>
    <row r="526">
      <c r="A526">
        <f>Skills!A12</f>
        <v/>
      </c>
      <c r="B526">
        <f>Skills!B12</f>
        <v/>
      </c>
      <c r="C526">
        <f>Inputs!$B$3&gt;=105</f>
        <v/>
      </c>
      <c r="D526">
        <f>IF(Skills!C12=1,60+Inputs!$B$24+Inputs!$B$28,IF(Skills!C12=2,90+Inputs!$B$25+Inputs!$B$28,IF(Skills!C12=3,120+Inputs!$B$26+Inputs!$B$28,MAX(0,(Inputs!$B$3-100)*3)+Inputs!$B$27+Inputs!$B$28)))</f>
        <v/>
      </c>
      <c r="E526">
        <f>INDEX(FactorTable!$B$2:$Y$301, MATCH(ROUND(MIN(300,MAX(1,D526)),0), FactorTable!$A$2:$A$301,0), Skills!M12+1)</f>
        <v/>
      </c>
      <c r="F526">
        <f>IF(Skills!N12=TRUE,(Skills!L12/10)*(E526/1000),Skills!L12/10)+Skills!O12</f>
        <v/>
      </c>
      <c r="G526">
        <f>Skills!G12*IF(Skills!H12&gt;0,Skills!I12/Skills!H12,1)</f>
        <v/>
      </c>
      <c r="H526">
        <f>1-(1-Skills!J12/100)^Skills!K12</f>
        <v/>
      </c>
      <c r="I526" t="inlineStr">
        <is>
          <t>1</t>
        </is>
      </c>
      <c r="J526">
        <f>(Inputs!$B$5*(1+Inputs!$B$6/100))*(F526/100)</f>
        <v/>
      </c>
      <c r="K526">
        <f>J526*(1+((Inputs!$B$11*(1+Inputs!$B$12/100))*0.01+Inputs!$B$13*0.0025)/100)*(1+Inputs!$B$14/100)*(1+IF(Inputs!$B$4="pvp",0,(1-Summary!$B$55)*(Inputs!$B$19+0+Skills!P12+B548)+Summary!$B$55*(Inputs!$B$20+Skills!Q12+B548))/100)*(1+Inputs!$B$15/100)*(5000/(6000+Inputs!$B$7*(1-Inputs!$B$18/100)))*(1+(Inputs!$B$23+((C544=TRUE)*(F544-Calc!F30)))/100)*(1+(IF(Skills!A12="CRUEL_STAB",Inputs!$B$16+((C541=TRUE)*(F541-Calc!F27)),Inputs!$B$17+((C542=TRUE)*(F542-Calc!F28))))/100)*(((1+(((C535=TRUE)*F535*IF(AND(Inputs!$B$4&lt;&gt;"pvp",Inputs!$B$35&gt;0),(((S535-1)*(Skills!Y21*(1+Inputs!$B$33/100))+MIN((Skills!Y21*(1+Inputs!$B$33/100)),MAX(0,Inputs!$B$35-((S535-1)*Skills!D21))))/Inputs!$B$35),IF(Inputs!$B$4="pvp",MIN((Skills!Y21*(1+Inputs!$B$33/100)),15)/15,(Skills!Y21*(1+Inputs!$B$33/100))/Skills!D21)))+((C537=TRUE)*(F537-Calc!F23))+((C531=TRUE)*(F531-Calc!F17)))/100)*(1+((C524=TRUE)*F524*IF(AND(Inputs!$B$4&lt;&gt;"pvp",Inputs!$B$35&gt;0),(((S524-1)*(Skills!Y10*(1+Inputs!$B$33/100))+MIN((Skills!Y10*(1+Inputs!$B$33/100)),MAX(0,Inputs!$B$35-((S524-1)*Skills!D10))))/Inputs!$B$35),IF(Inputs!$B$4="pvp",MIN((Skills!Y10*(1+Inputs!$B$33/100)),15)/15,(Skills!Y10*(1+Inputs!$B$33/100))/Skills!D10)))/100)*(1+((C529=TRUE)*F529*IF(AND(Inputs!$B$4&lt;&gt;"pvp",Inputs!$B$35&gt;0),(((S529-1)*(Skills!Y15*(1+Inputs!$B$33/100))+MIN((Skills!Y15*(1+Inputs!$B$33/100)),MAX(0,Inputs!$B$35-((S529-1)*Skills!D15))))/Inputs!$B$35),IF(Inputs!$B$4="pvp",MIN((Skills!Y15*(1+Inputs!$B$33/100)),15)/15,(Skills!Y15*(1+Inputs!$B$33/100))/Skills!D15)))/100))*B549*I526)</f>
        <v/>
      </c>
      <c r="L526">
        <f>K526*(MIN(Inputs!$B$21+((C538=TRUE)*(F538-Calc!F24)),Inputs!$B$22+((C543=TRUE)*(F543-Calc!F29)))/100+(Inputs!$B$22+((C543=TRUE)*(F543-Calc!F29)))/100)/2</f>
        <v/>
      </c>
      <c r="M526">
        <f>L526*(1+(Inputs!$B$9+((C540=TRUE)*(F540-Calc!F26))+B554)/100)</f>
        <v/>
      </c>
      <c r="N526">
        <f>L526*(1-MIN(((Inputs!$B$8+1)+((C539=TRUE)*(F539-Calc!F25))+B547),100)/100)+M526*(MIN(((Inputs!$B$8+1)+((C539=TRUE)*(F539-Calc!F25))+B547),100)/100)</f>
        <v/>
      </c>
      <c r="O526">
        <f>IF(C526,H526*N526*IF(AND(Inputs!$B$4&lt;&gt;"pvp",Inputs!$B$35&gt;0),((Skills!G12*((R526-1)*IF(Skills!H12&gt;0,Skills!I12/Skills!H12,1)+IF(Skills!H12&gt;0,MIN(Skills!I12,MAX(0,Inputs!$B$35-((R526-1)*IF(Inputs!$B$4="pvp",15,MAX(0.1,Skills!D12-IF(Skills!E12=TRUE,Inputs!$B$31,0))))))/Skills!H12,1)))/Inputs!$B$35),G526*Q526)*IF(Inputs!$B$4="pvp",1,(1-Summary!$B$55)*(1)+Summary!$B$55*(MIN(Skills!W12,Inputs!$B$37))),0)</f>
        <v/>
      </c>
      <c r="P526">
        <f>IF(B559=0,0,O526/B559)</f>
        <v/>
      </c>
      <c r="Q526">
        <f>IFERROR(1/IF(Inputs!$B$4="pvp",15,MAX(0.1,Skills!D12-IF(Skills!E12=TRUE,Inputs!$B$31,0))),0)</f>
        <v/>
      </c>
      <c r="R526">
        <f>IF(AND(Inputs!$B$4&lt;&gt;"pvp",Inputs!$B$35&gt;0),(INT(Inputs!$B$35/IF(Inputs!$B$4="pvp",15,MAX(0.1,Skills!D12-IF(Skills!E12=TRUE,Inputs!$B$31,0))))+1),0)</f>
        <v/>
      </c>
      <c r="S526">
        <f>IFERROR(O526/N526,0)</f>
        <v/>
      </c>
    </row>
    <row r="527">
      <c r="A527">
        <f>Skills!A13</f>
        <v/>
      </c>
      <c r="B527">
        <f>Skills!B13</f>
        <v/>
      </c>
      <c r="C527">
        <f>Inputs!$B$3&gt;=105</f>
        <v/>
      </c>
      <c r="D527">
        <f>IF(Skills!C13=1,60+Inputs!$B$24+Inputs!$B$28,IF(Skills!C13=2,90+Inputs!$B$25+Inputs!$B$28,IF(Skills!C13=3,120+Inputs!$B$26+Inputs!$B$28,MAX(0,(Inputs!$B$3-100)*3)+Inputs!$B$27+Inputs!$B$28)))</f>
        <v/>
      </c>
      <c r="E527">
        <f>INDEX(FactorTable!$B$2:$Y$301, MATCH(ROUND(MIN(300,MAX(1,D527)),0), FactorTable!$A$2:$A$301,0), Skills!M13+1)</f>
        <v/>
      </c>
      <c r="F527">
        <f>IF(Skills!N13=TRUE,(Skills!L13/10)*(E527/1000),Skills!L13/10)+Skills!O13</f>
        <v/>
      </c>
      <c r="G527">
        <f>Skills!G13*IF(Skills!H13&gt;0,Skills!I13/Skills!H13,1)</f>
        <v/>
      </c>
      <c r="H527">
        <f>1-(1-Skills!J13/100)^Skills!K13</f>
        <v/>
      </c>
      <c r="I527" t="inlineStr">
        <is>
          <t>1</t>
        </is>
      </c>
      <c r="J527">
        <f>(Inputs!$B$5*(1+Inputs!$B$6/100))*(F527/100)</f>
        <v/>
      </c>
      <c r="K527">
        <f>J527*(1+((Inputs!$B$11*(1+Inputs!$B$12/100))*0.01+Inputs!$B$13*0.0025)/100)*(1+Inputs!$B$14/100)*(1+IF(Inputs!$B$4="pvp",0,(1-Summary!$B$55)*(Inputs!$B$19+0+Skills!P13+B548)+Summary!$B$55*(Inputs!$B$20+Skills!Q13+B548))/100)*(1+Inputs!$B$15/100)*(5000/(6000+Inputs!$B$7*(1-Inputs!$B$18/100)))*(1+(Inputs!$B$23+((C544=TRUE)*(F544-Calc!F30)))/100)*(1+(IF(Skills!A13="CRUEL_STAB",Inputs!$B$16+((C541=TRUE)*(F541-Calc!F27)),Inputs!$B$17+((C542=TRUE)*(F542-Calc!F28))))/100)*(((1+(((C535=TRUE)*F535*IF(AND(Inputs!$B$4&lt;&gt;"pvp",Inputs!$B$35&gt;0),(((S535-1)*(Skills!Y21*(1+Inputs!$B$33/100))+MIN((Skills!Y21*(1+Inputs!$B$33/100)),MAX(0,Inputs!$B$35-((S535-1)*Skills!D21))))/Inputs!$B$35),IF(Inputs!$B$4="pvp",MIN((Skills!Y21*(1+Inputs!$B$33/100)),15)/15,(Skills!Y21*(1+Inputs!$B$33/100))/Skills!D21)))+((C537=TRUE)*(F537-Calc!F23))+((C531=TRUE)*(F531-Calc!F17)))/100)*(1+((C524=TRUE)*F524*IF(AND(Inputs!$B$4&lt;&gt;"pvp",Inputs!$B$35&gt;0),(((S524-1)*(Skills!Y10*(1+Inputs!$B$33/100))+MIN((Skills!Y10*(1+Inputs!$B$33/100)),MAX(0,Inputs!$B$35-((S524-1)*Skills!D10))))/Inputs!$B$35),IF(Inputs!$B$4="pvp",MIN((Skills!Y10*(1+Inputs!$B$33/100)),15)/15,(Skills!Y10*(1+Inputs!$B$33/100))/Skills!D10)))/100)*(1+((C529=TRUE)*F529*IF(AND(Inputs!$B$4&lt;&gt;"pvp",Inputs!$B$35&gt;0),(((S529-1)*(Skills!Y15*(1+Inputs!$B$33/100))+MIN((Skills!Y15*(1+Inputs!$B$33/100)),MAX(0,Inputs!$B$35-((S529-1)*Skills!D15))))/Inputs!$B$35),IF(Inputs!$B$4="pvp",MIN((Skills!Y15*(1+Inputs!$B$33/100)),15)/15,(Skills!Y15*(1+Inputs!$B$33/100))/Skills!D15)))/100))*B549*I527)</f>
        <v/>
      </c>
      <c r="L527">
        <f>K527*(MIN(Inputs!$B$21+((C538=TRUE)*(F538-Calc!F24)),Inputs!$B$22+((C543=TRUE)*(F543-Calc!F29)))/100+(Inputs!$B$22+((C543=TRUE)*(F543-Calc!F29)))/100)/2</f>
        <v/>
      </c>
      <c r="M527">
        <f>L527*(1+(Inputs!$B$9+((C540=TRUE)*(F540-Calc!F26))+B554)/100)</f>
        <v/>
      </c>
      <c r="N527">
        <f>L527*(1-MIN(((Inputs!$B$8+1)+((C539=TRUE)*(F539-Calc!F25))+B547),100)/100)+M527*(MIN(((Inputs!$B$8+1)+((C539=TRUE)*(F539-Calc!F25))+B547),100)/100)</f>
        <v/>
      </c>
      <c r="O527">
        <f>IF(C527,H527*N527*IF(AND(Inputs!$B$4&lt;&gt;"pvp",Inputs!$B$35&gt;0),((Skills!G13*((R527-1)*IF(Skills!H13&gt;0,Skills!I13/Skills!H13,1)+IF(Skills!H13&gt;0,MIN(Skills!I13,MAX(0,Inputs!$B$35-((R527-1)*IF(Inputs!$B$4="pvp",15,MAX(0.1,Skills!D13-IF(Skills!E13=TRUE,Inputs!$B$31,0))))))/Skills!H13,1)))/Inputs!$B$35),G527*Q527)*IF(Inputs!$B$4="pvp",1,(1-Summary!$B$55)*(1)+Summary!$B$55*(MIN(Skills!W13,Inputs!$B$37))),0)</f>
        <v/>
      </c>
      <c r="P527">
        <f>IF(B559=0,0,O527/B559)</f>
        <v/>
      </c>
      <c r="Q527">
        <f>IFERROR(1/IF(Inputs!$B$4="pvp",15,MAX(0.1,Skills!D13-IF(Skills!E13=TRUE,Inputs!$B$31,0))),0)</f>
        <v/>
      </c>
      <c r="R527">
        <f>IF(AND(Inputs!$B$4&lt;&gt;"pvp",Inputs!$B$35&gt;0),(INT(Inputs!$B$35/IF(Inputs!$B$4="pvp",15,MAX(0.1,Skills!D13-IF(Skills!E13=TRUE,Inputs!$B$31,0))))+1),0)</f>
        <v/>
      </c>
      <c r="S527">
        <f>IFERROR(O527/N527,0)</f>
        <v/>
      </c>
    </row>
    <row r="528">
      <c r="A528">
        <f>Skills!A14</f>
        <v/>
      </c>
      <c r="B528">
        <f>Skills!B14</f>
        <v/>
      </c>
      <c r="C528">
        <f>Inputs!$B$3&gt;=107</f>
        <v/>
      </c>
      <c r="D528">
        <f>IF(Skills!C14=1,60+Inputs!$B$24+Inputs!$B$28,IF(Skills!C14=2,90+Inputs!$B$25+Inputs!$B$28,IF(Skills!C14=3,120+Inputs!$B$26+Inputs!$B$28,MAX(0,(Inputs!$B$3-100)*3)+Inputs!$B$27+Inputs!$B$28)))</f>
        <v/>
      </c>
      <c r="E528">
        <f>INDEX(FactorTable!$B$2:$Y$301, MATCH(ROUND(MIN(300,MAX(1,D528)),0), FactorTable!$A$2:$A$301,0), Skills!M14+1)</f>
        <v/>
      </c>
      <c r="F528">
        <f>IF(Skills!N14=TRUE,(Skills!L14/10)*(E528/1000),Skills!L14/10)+Skills!O14</f>
        <v/>
      </c>
      <c r="G528">
        <f>Skills!G14*IF(Skills!H14&gt;0,Skills!I14/Skills!H14,1)</f>
        <v/>
      </c>
      <c r="H528">
        <f>1-(1-Skills!J14/100)^Skills!K14</f>
        <v/>
      </c>
      <c r="I528" t="inlineStr">
        <is>
          <t>1</t>
        </is>
      </c>
      <c r="J528">
        <f>(Inputs!$B$5*(1+Inputs!$B$6/100))*(F528/100)</f>
        <v/>
      </c>
      <c r="K528">
        <f>J528*(1+((Inputs!$B$11*(1+Inputs!$B$12/100))*0.01+Inputs!$B$13*0.0025)/100)*(1+Inputs!$B$14/100)*(1+IF(Inputs!$B$4="pvp",0,(1-Summary!$B$55)*(Inputs!$B$19+0+Skills!P14+B548)+Summary!$B$55*(Inputs!$B$20+Skills!Q14+B548))/100)*(1+Inputs!$B$15/100)*(5000/(6000+Inputs!$B$7*(1-Inputs!$B$18/100)))*(1+(Inputs!$B$23+((C544=TRUE)*(F544-Calc!F30)))/100)*(1+(IF(Skills!A14="CRUEL_STAB",Inputs!$B$16+((C541=TRUE)*(F541-Calc!F27)),Inputs!$B$17+((C542=TRUE)*(F542-Calc!F28))))/100)*(((1+(((C535=TRUE)*F535*IF(AND(Inputs!$B$4&lt;&gt;"pvp",Inputs!$B$35&gt;0),(((S535-1)*(Skills!Y21*(1+Inputs!$B$33/100))+MIN((Skills!Y21*(1+Inputs!$B$33/100)),MAX(0,Inputs!$B$35-((S535-1)*Skills!D21))))/Inputs!$B$35),IF(Inputs!$B$4="pvp",MIN((Skills!Y21*(1+Inputs!$B$33/100)),15)/15,(Skills!Y21*(1+Inputs!$B$33/100))/Skills!D21)))+((C537=TRUE)*(F537-Calc!F23))+((C531=TRUE)*(F531-Calc!F17)))/100)*(1+((C524=TRUE)*F524*IF(AND(Inputs!$B$4&lt;&gt;"pvp",Inputs!$B$35&gt;0),(((S524-1)*(Skills!Y10*(1+Inputs!$B$33/100))+MIN((Skills!Y10*(1+Inputs!$B$33/100)),MAX(0,Inputs!$B$35-((S524-1)*Skills!D10))))/Inputs!$B$35),IF(Inputs!$B$4="pvp",MIN((Skills!Y10*(1+Inputs!$B$33/100)),15)/15,(Skills!Y10*(1+Inputs!$B$33/100))/Skills!D10)))/100)*(1+((C529=TRUE)*F529*IF(AND(Inputs!$B$4&lt;&gt;"pvp",Inputs!$B$35&gt;0),(((S529-1)*(Skills!Y15*(1+Inputs!$B$33/100))+MIN((Skills!Y15*(1+Inputs!$B$33/100)),MAX(0,Inputs!$B$35-((S529-1)*Skills!D15))))/Inputs!$B$35),IF(Inputs!$B$4="pvp",MIN((Skills!Y15*(1+Inputs!$B$33/100)),15)/15,(Skills!Y15*(1+Inputs!$B$33/100))/Skills!D15)))/100))*B549*I528)</f>
        <v/>
      </c>
      <c r="L528">
        <f>K528*(MIN(Inputs!$B$21+((C538=TRUE)*(F538-Calc!F24)),Inputs!$B$22+((C543=TRUE)*(F543-Calc!F29)))/100+(Inputs!$B$22+((C543=TRUE)*(F543-Calc!F29)))/100)/2</f>
        <v/>
      </c>
      <c r="M528">
        <f>L528*(1+(Inputs!$B$9+((C540=TRUE)*(F540-Calc!F26))+B554)/100)</f>
        <v/>
      </c>
      <c r="N528">
        <f>L528*(1-MIN(((Inputs!$B$8+1)+((C539=TRUE)*(F539-Calc!F25))+B547),100)/100)+M528*(MIN(((Inputs!$B$8+1)+((C539=TRUE)*(F539-Calc!F25))+B547),100)/100)</f>
        <v/>
      </c>
      <c r="O528">
        <f>IF(C528,H528*N528*IF(AND(Inputs!$B$4&lt;&gt;"pvp",Inputs!$B$35&gt;0),((Skills!G14*((R528-1)*IF(Skills!H14&gt;0,Skills!I14/Skills!H14,1)+IF(Skills!H14&gt;0,MIN(Skills!I14,MAX(0,Inputs!$B$35-((R528-1)*IF(Inputs!$B$4="pvp",15,MAX(0.1,Skills!D14-IF(Skills!E14=TRUE,Inputs!$B$31,0))))))/Skills!H14,1)))/Inputs!$B$35),G528*Q528)*IF(Inputs!$B$4="pvp",1,(1-Summary!$B$55)*(1)+Summary!$B$55*(MIN(MIN(5,0.25*B551*Skills!D4)*Skills!V14,Inputs!$B$37))),0)</f>
        <v/>
      </c>
      <c r="P528">
        <f>IF(B559=0,0,O528/B559)</f>
        <v/>
      </c>
      <c r="Q528">
        <f>IFERROR(1/IF(Inputs!$B$4="pvp",15,MAX(0.1,Skills!D14-IF(Skills!E14=TRUE,Inputs!$B$31,0))),0)</f>
        <v/>
      </c>
      <c r="R528">
        <f>IF(AND(Inputs!$B$4&lt;&gt;"pvp",Inputs!$B$35&gt;0),(INT(Inputs!$B$35/IF(Inputs!$B$4="pvp",15,MAX(0.1,Skills!D14-IF(Skills!E14=TRUE,Inputs!$B$31,0))))+1),0)</f>
        <v/>
      </c>
      <c r="S528">
        <f>IFERROR(O528/N528,0)</f>
        <v/>
      </c>
    </row>
    <row r="529">
      <c r="A529">
        <f>Skills!A15</f>
        <v/>
      </c>
      <c r="B529">
        <f>Skills!B15</f>
        <v/>
      </c>
      <c r="C529">
        <f>Inputs!$B$3&gt;=110</f>
        <v/>
      </c>
      <c r="D529">
        <f>IF(Skills!C15=1,60+Inputs!$B$24+Inputs!$B$28,IF(Skills!C15=2,90+Inputs!$B$25+Inputs!$B$28,IF(Skills!C15=3,120+Inputs!$B$26+Inputs!$B$28,MAX(0,(Inputs!$B$3-100)*3)+Inputs!$B$27+Inputs!$B$28)))</f>
        <v/>
      </c>
      <c r="E529">
        <f>INDEX(FactorTable!$B$2:$Y$301, MATCH(ROUND(MIN(300,MAX(1,D529)),0), FactorTable!$A$2:$A$301,0), Skills!M15+1)</f>
        <v/>
      </c>
      <c r="F529">
        <f>IF(Skills!N15=TRUE,(Skills!L15/10)*(E529/1000),Skills!L15/10)+Skills!O15</f>
        <v/>
      </c>
      <c r="G529">
        <f>Skills!G15*IF(Skills!H15&gt;0,Skills!I15/Skills!H15,1)</f>
        <v/>
      </c>
      <c r="H529">
        <f>1-(1-Skills!J15/100)^Skills!K15</f>
        <v/>
      </c>
      <c r="I529" t="inlineStr">
        <is>
          <t>1</t>
        </is>
      </c>
      <c r="J529" t="inlineStr"/>
      <c r="K529" t="inlineStr"/>
      <c r="L529" t="inlineStr"/>
      <c r="M529" t="inlineStr"/>
      <c r="N529" t="inlineStr"/>
      <c r="O529" t="n">
        <v>0</v>
      </c>
      <c r="P529">
        <f>IF(B559=0,0,O529/B559)</f>
        <v/>
      </c>
      <c r="Q529">
        <f>IFERROR(1/IF(Inputs!$B$4="pvp",15,MAX(0.1,Skills!D15-IF(Skills!E15=TRUE,Inputs!$B$31,0))),0)</f>
        <v/>
      </c>
      <c r="R529">
        <f>IF(AND(Inputs!$B$4&lt;&gt;"pvp",Inputs!$B$35&gt;0),(INT(Inputs!$B$35/IF(Inputs!$B$4="pvp",15,MAX(0.1,Skills!D15-IF(Skills!E15=TRUE,Inputs!$B$31,0))))+1),0)</f>
        <v/>
      </c>
      <c r="S529">
        <f>IFERROR(O529/N529,0)</f>
        <v/>
      </c>
    </row>
    <row r="530">
      <c r="A530">
        <f>Skills!A16</f>
        <v/>
      </c>
      <c r="B530">
        <f>Skills!B16</f>
        <v/>
      </c>
      <c r="C530">
        <f>Inputs!$B$3&gt;=115</f>
        <v/>
      </c>
      <c r="D530">
        <f>IF(Skills!C16=1,60+Inputs!$B$24+Inputs!$B$28,IF(Skills!C16=2,90+Inputs!$B$25+Inputs!$B$28,IF(Skills!C16=3,120+Inputs!$B$26+Inputs!$B$28,MAX(0,(Inputs!$B$3-100)*3)+Inputs!$B$27+Inputs!$B$28)))</f>
        <v/>
      </c>
      <c r="E530">
        <f>INDEX(FactorTable!$B$2:$Y$301, MATCH(ROUND(MIN(300,MAX(1,D530)),0), FactorTable!$A$2:$A$301,0), Skills!M16+1)</f>
        <v/>
      </c>
      <c r="F530">
        <f>IF(Skills!N16=TRUE,(Skills!L16/10)*(E530/1000),Skills!L16/10)+Skills!O16</f>
        <v/>
      </c>
      <c r="G530">
        <f>Skills!G16*IF(Skills!H16&gt;0,Skills!I16/Skills!H16,1)</f>
        <v/>
      </c>
      <c r="H530">
        <f>1-(1-Skills!J16/100)^Skills!K16</f>
        <v/>
      </c>
      <c r="I530" t="inlineStr">
        <is>
          <t>1</t>
        </is>
      </c>
      <c r="J530">
        <f>(Inputs!$B$5*(1+Inputs!$B$6/100))*(F530/100)</f>
        <v/>
      </c>
      <c r="K530">
        <f>J530*(1+((Inputs!$B$11*(1+Inputs!$B$12/100))*0.01+Inputs!$B$13*0.0025)/100)*(1+Inputs!$B$14/100)*(1+IF(Inputs!$B$4="pvp",0,(1-Summary!$B$55)*(Inputs!$B$19+0+Skills!P16+B548)+Summary!$B$55*(Inputs!$B$20+Skills!Q16+B548))/100)*(1+Inputs!$B$15/100)*(5000/(6000+Inputs!$B$7*(1-Inputs!$B$18/100)))*(1+(Inputs!$B$23+((C544=TRUE)*(F544-Calc!F30)))/100)*(1+(IF(Skills!A16="CRUEL_STAB",Inputs!$B$16+((C541=TRUE)*(F541-Calc!F27)),Inputs!$B$17+((C542=TRUE)*(F542-Calc!F28))))/100)*(((1+(((C535=TRUE)*F535*IF(AND(Inputs!$B$4&lt;&gt;"pvp",Inputs!$B$35&gt;0),(((S535-1)*(Skills!Y21*(1+Inputs!$B$33/100))+MIN((Skills!Y21*(1+Inputs!$B$33/100)),MAX(0,Inputs!$B$35-((S535-1)*Skills!D21))))/Inputs!$B$35),IF(Inputs!$B$4="pvp",MIN((Skills!Y21*(1+Inputs!$B$33/100)),15)/15,(Skills!Y21*(1+Inputs!$B$33/100))/Skills!D21)))+((C537=TRUE)*(F537-Calc!F23))+((C531=TRUE)*(F531-Calc!F17)))/100)*(1+((C524=TRUE)*F524*IF(AND(Inputs!$B$4&lt;&gt;"pvp",Inputs!$B$35&gt;0),(((S524-1)*(Skills!Y10*(1+Inputs!$B$33/100))+MIN((Skills!Y10*(1+Inputs!$B$33/100)),MAX(0,Inputs!$B$35-((S524-1)*Skills!D10))))/Inputs!$B$35),IF(Inputs!$B$4="pvp",MIN((Skills!Y10*(1+Inputs!$B$33/100)),15)/15,(Skills!Y10*(1+Inputs!$B$33/100))/Skills!D10)))/100)*(1+((C529=TRUE)*F529*IF(AND(Inputs!$B$4&lt;&gt;"pvp",Inputs!$B$35&gt;0),(((S529-1)*(Skills!Y15*(1+Inputs!$B$33/100))+MIN((Skills!Y15*(1+Inputs!$B$33/100)),MAX(0,Inputs!$B$35-((S529-1)*Skills!D15))))/Inputs!$B$35),IF(Inputs!$B$4="pvp",MIN((Skills!Y15*(1+Inputs!$B$33/100)),15)/15,(Skills!Y15*(1+Inputs!$B$33/100))/Skills!D15)))/100))*B549*I530)</f>
        <v/>
      </c>
      <c r="L530">
        <f>K530*(MIN(Inputs!$B$21+((C538=TRUE)*(F538-Calc!F24)),Inputs!$B$22+((C543=TRUE)*(F543-Calc!F29)))/100+(Inputs!$B$22+((C543=TRUE)*(F543-Calc!F29)))/100)/2</f>
        <v/>
      </c>
      <c r="M530">
        <f>L530*(1+(Inputs!$B$9+((C540=TRUE)*(F540-Calc!F26))+B554)/100)</f>
        <v/>
      </c>
      <c r="N530">
        <f>L530*(1-MIN(((Inputs!$B$8+1)+((C539=TRUE)*(F539-Calc!F25))+B547),100)/100)+M530*(MIN(((Inputs!$B$8+1)+((C539=TRUE)*(F539-Calc!F25))+B547),100)/100)</f>
        <v/>
      </c>
      <c r="O530">
        <f>IF(C530,Inputs!$B$38*0.2*N530,0)</f>
        <v/>
      </c>
      <c r="P530">
        <f>IF(B559=0,0,O530/B559)</f>
        <v/>
      </c>
      <c r="Q530" t="n">
        <v>0</v>
      </c>
      <c r="R530" t="n">
        <v>0</v>
      </c>
      <c r="S530">
        <f>IFERROR(O530/N530,0)</f>
        <v/>
      </c>
    </row>
    <row r="531">
      <c r="A531">
        <f>Skills!A17</f>
        <v/>
      </c>
      <c r="B531">
        <f>Skills!B17</f>
        <v/>
      </c>
      <c r="C531">
        <f>Inputs!$B$3&gt;=115</f>
        <v/>
      </c>
      <c r="D531">
        <f>IF(Skills!C17=1,60+Inputs!$B$24+Inputs!$B$28,IF(Skills!C17=2,90+Inputs!$B$25+Inputs!$B$28,IF(Skills!C17=3,120+Inputs!$B$26+Inputs!$B$28,MAX(0,(Inputs!$B$3-100)*3)+Inputs!$B$27+Inputs!$B$28)))</f>
        <v/>
      </c>
      <c r="E531">
        <f>INDEX(FactorTable!$B$2:$Y$301, MATCH(ROUND(MIN(300,MAX(1,D531)),0), FactorTable!$A$2:$A$301,0), Skills!M17+1)</f>
        <v/>
      </c>
      <c r="F531">
        <f>IF(Skills!N17=TRUE,(Skills!L17/10)*(E531/1000),Skills!L17/10)+Skills!O17</f>
        <v/>
      </c>
      <c r="G531">
        <f>Skills!G17*IF(Skills!H17&gt;0,Skills!I17/Skills!H17,1)</f>
        <v/>
      </c>
      <c r="H531">
        <f>1-(1-Skills!J17/100)^Skills!K17</f>
        <v/>
      </c>
      <c r="I531" t="inlineStr">
        <is>
          <t>1</t>
        </is>
      </c>
      <c r="J531" t="inlineStr"/>
      <c r="K531" t="inlineStr"/>
      <c r="L531" t="inlineStr"/>
      <c r="M531" t="inlineStr"/>
      <c r="N531" t="inlineStr"/>
      <c r="O531" t="n">
        <v>0</v>
      </c>
      <c r="P531">
        <f>IF(B559=0,0,O531/B559)</f>
        <v/>
      </c>
      <c r="Q531" t="n">
        <v>0</v>
      </c>
      <c r="R531" t="n">
        <v>0</v>
      </c>
      <c r="S531">
        <f>IFERROR(O531/N531,0)</f>
        <v/>
      </c>
    </row>
    <row r="532">
      <c r="A532">
        <f>Skills!A18</f>
        <v/>
      </c>
      <c r="B532">
        <f>Skills!B18</f>
        <v/>
      </c>
      <c r="C532">
        <f>Inputs!$B$3&gt;=100</f>
        <v/>
      </c>
      <c r="D532">
        <f>IF(Skills!C18=1,60+Inputs!$B$24+Inputs!$B$28,IF(Skills!C18=2,90+Inputs!$B$25+Inputs!$B$28,IF(Skills!C18=3,120+Inputs!$B$26+Inputs!$B$28,MAX(0,(Inputs!$B$3-100)*3)+Inputs!$B$27+Inputs!$B$28)))</f>
        <v/>
      </c>
      <c r="E532">
        <f>INDEX(FactorTable!$B$2:$Y$301, MATCH(ROUND(MIN(300,MAX(1,D532)),0), FactorTable!$A$2:$A$301,0), Skills!M18+1)</f>
        <v/>
      </c>
      <c r="F532">
        <f>IF(Skills!N18=TRUE,(Skills!L18/10)*(E532/1000),Skills!L18/10)+Skills!O18</f>
        <v/>
      </c>
      <c r="G532">
        <f>Skills!G18*IF(Skills!H18&gt;0,Skills!I18/Skills!H18,1)</f>
        <v/>
      </c>
      <c r="H532">
        <f>1-(1-Skills!J18/100)^Skills!K18</f>
        <v/>
      </c>
      <c r="I532" t="inlineStr">
        <is>
          <t>1</t>
        </is>
      </c>
      <c r="J532" t="inlineStr"/>
      <c r="K532" t="inlineStr"/>
      <c r="L532" t="inlineStr"/>
      <c r="M532" t="inlineStr"/>
      <c r="N532" t="inlineStr"/>
      <c r="O532" t="n">
        <v>0</v>
      </c>
      <c r="P532">
        <f>IF(B559=0,0,O532/B559)</f>
        <v/>
      </c>
      <c r="Q532" t="n">
        <v>0</v>
      </c>
      <c r="R532" t="n">
        <v>0</v>
      </c>
      <c r="S532">
        <f>IFERROR(O532/N532,0)</f>
        <v/>
      </c>
    </row>
    <row r="533">
      <c r="A533">
        <f>Skills!A19</f>
        <v/>
      </c>
      <c r="B533">
        <f>Skills!B19</f>
        <v/>
      </c>
      <c r="C533">
        <f>TRUE</f>
        <v/>
      </c>
      <c r="D533">
        <f>IF(Skills!C19=1,60+Inputs!$B$24+Inputs!$B$28,IF(Skills!C19=2,90+Inputs!$B$25+Inputs!$B$28,IF(Skills!C19=3,120+Inputs!$B$26+Inputs!$B$28,MAX(0,(Inputs!$B$3-100)*3)+Inputs!$B$27+Inputs!$B$28)))</f>
        <v/>
      </c>
      <c r="E533">
        <f>INDEX(FactorTable!$B$2:$Y$301, MATCH(ROUND(MIN(300,MAX(1,D533)),0), FactorTable!$A$2:$A$301,0), Skills!M19+1)</f>
        <v/>
      </c>
      <c r="F533">
        <f>IF(Skills!N19=TRUE,(Skills!L19/10)*(E533/1000),Skills!L19/10)+Skills!O19</f>
        <v/>
      </c>
      <c r="G533">
        <f>Skills!G19*IF(Skills!H19&gt;0,Skills!I19/Skills!H19,1)</f>
        <v/>
      </c>
      <c r="H533">
        <f>1-(1-Skills!J19/100)^Skills!K19</f>
        <v/>
      </c>
      <c r="I533" t="inlineStr">
        <is>
          <t>1</t>
        </is>
      </c>
      <c r="J533" t="inlineStr"/>
      <c r="K533" t="inlineStr"/>
      <c r="L533" t="inlineStr"/>
      <c r="M533" t="inlineStr"/>
      <c r="N533" t="inlineStr"/>
      <c r="O533" t="n">
        <v>0</v>
      </c>
      <c r="P533">
        <f>IF(B559=0,0,O533/B559)</f>
        <v/>
      </c>
      <c r="Q533">
        <f>IFERROR(1/IF(Inputs!$B$4="pvp",15,MAX(0.1,Skills!D19-IF(Skills!E19=TRUE,Inputs!$B$31,0))),0)</f>
        <v/>
      </c>
      <c r="R533">
        <f>IF(AND(Inputs!$B$4&lt;&gt;"pvp",Inputs!$B$35&gt;0),(INT(Inputs!$B$35/IF(Inputs!$B$4="pvp",15,MAX(0.1,Skills!D19-IF(Skills!E19=TRUE,Inputs!$B$31,0))))+1),0)</f>
        <v/>
      </c>
      <c r="S533">
        <f>IFERROR(O533/N533,0)</f>
        <v/>
      </c>
    </row>
    <row r="534">
      <c r="A534">
        <f>Skills!A20</f>
        <v/>
      </c>
      <c r="B534">
        <f>Skills!B20</f>
        <v/>
      </c>
      <c r="C534">
        <f>Inputs!$B$3&gt;=15</f>
        <v/>
      </c>
      <c r="D534">
        <f>IF(Skills!C20=1,60+Inputs!$B$24+Inputs!$B$28,IF(Skills!C20=2,90+Inputs!$B$25+Inputs!$B$28,IF(Skills!C20=3,120+Inputs!$B$26+Inputs!$B$28,MAX(0,(Inputs!$B$3-100)*3)+Inputs!$B$27+Inputs!$B$28)))</f>
        <v/>
      </c>
      <c r="E534">
        <f>INDEX(FactorTable!$B$2:$Y$301, MATCH(ROUND(MIN(300,MAX(1,D534)),0), FactorTable!$A$2:$A$301,0), Skills!M20+1)</f>
        <v/>
      </c>
      <c r="F534">
        <f>IF(Skills!N20=TRUE,(Skills!L20/10)*(E534/1000),Skills!L20/10)+Skills!O20</f>
        <v/>
      </c>
      <c r="G534">
        <f>Skills!G20*IF(Skills!H20&gt;0,Skills!I20/Skills!H20,1)</f>
        <v/>
      </c>
      <c r="H534">
        <f>1-(1-Skills!J20/100)^Skills!K20</f>
        <v/>
      </c>
      <c r="I534" t="inlineStr">
        <is>
          <t>1</t>
        </is>
      </c>
      <c r="J534" t="inlineStr"/>
      <c r="K534" t="inlineStr"/>
      <c r="L534" t="inlineStr"/>
      <c r="M534" t="inlineStr"/>
      <c r="N534" t="inlineStr"/>
      <c r="O534" t="n">
        <v>0</v>
      </c>
      <c r="P534">
        <f>IF(B559=0,0,O534/B559)</f>
        <v/>
      </c>
      <c r="Q534">
        <f>IFERROR(1/IF(Inputs!$B$4="pvp",15,MAX(0.1,Skills!D20-IF(Skills!E20=TRUE,Inputs!$B$31,0))),0)</f>
        <v/>
      </c>
      <c r="R534">
        <f>IF(AND(Inputs!$B$4&lt;&gt;"pvp",Inputs!$B$35&gt;0),(INT(Inputs!$B$35/IF(Inputs!$B$4="pvp",15,MAX(0.1,Skills!D20-IF(Skills!E20=TRUE,Inputs!$B$31,0))))+1),0)</f>
        <v/>
      </c>
      <c r="S534">
        <f>IFERROR(O534/N534,0)</f>
        <v/>
      </c>
    </row>
    <row r="535">
      <c r="A535">
        <f>Skills!A21</f>
        <v/>
      </c>
      <c r="B535">
        <f>Skills!B21</f>
        <v/>
      </c>
      <c r="C535">
        <f>Inputs!$B$3&gt;=15</f>
        <v/>
      </c>
      <c r="D535">
        <f>IF(Skills!C21=1,60+Inputs!$B$24+Inputs!$B$28,IF(Skills!C21=2,90+Inputs!$B$25+Inputs!$B$28,IF(Skills!C21=3,120+Inputs!$B$26+Inputs!$B$28,MAX(0,(Inputs!$B$3-100)*3)+Inputs!$B$27+Inputs!$B$28)))</f>
        <v/>
      </c>
      <c r="E535">
        <f>INDEX(FactorTable!$B$2:$Y$301, MATCH(ROUND(MIN(300,MAX(1,D535)),0), FactorTable!$A$2:$A$301,0), Skills!M21+1)</f>
        <v/>
      </c>
      <c r="F535">
        <f>IF(Skills!N21=TRUE,(Skills!L21/10)*(E535/1000),Skills!L21/10)+Skills!O21</f>
        <v/>
      </c>
      <c r="G535">
        <f>Skills!G21*IF(Skills!H21&gt;0,Skills!I21/Skills!H21,1)</f>
        <v/>
      </c>
      <c r="H535">
        <f>1-(1-Skills!J21/100)^Skills!K21</f>
        <v/>
      </c>
      <c r="I535" t="inlineStr">
        <is>
          <t>1</t>
        </is>
      </c>
      <c r="J535" t="inlineStr"/>
      <c r="K535" t="inlineStr"/>
      <c r="L535" t="inlineStr"/>
      <c r="M535" t="inlineStr"/>
      <c r="N535" t="inlineStr"/>
      <c r="O535" t="n">
        <v>0</v>
      </c>
      <c r="P535">
        <f>IF(B559=0,0,O535/B559)</f>
        <v/>
      </c>
      <c r="Q535">
        <f>IFERROR(1/IF(Inputs!$B$4="pvp",15,MAX(0.1,Skills!D21-IF(Skills!E21=TRUE,Inputs!$B$31,0))),0)</f>
        <v/>
      </c>
      <c r="R535">
        <f>IF(AND(Inputs!$B$4&lt;&gt;"pvp",Inputs!$B$35&gt;0),(INT(Inputs!$B$35/IF(Inputs!$B$4="pvp",15,MAX(0.1,Skills!D21-IF(Skills!E21=TRUE,Inputs!$B$31,0))))+1),0)</f>
        <v/>
      </c>
      <c r="S535">
        <f>IFERROR(O535/N535,0)</f>
        <v/>
      </c>
    </row>
    <row r="536">
      <c r="A536">
        <f>Skills!A22</f>
        <v/>
      </c>
      <c r="B536">
        <f>Skills!B22</f>
        <v/>
      </c>
      <c r="C536">
        <f>Inputs!$B$3&gt;=33</f>
        <v/>
      </c>
      <c r="D536">
        <f>IF(Skills!C22=1,60+Inputs!$B$24+Inputs!$B$28,IF(Skills!C22=2,90+Inputs!$B$25+Inputs!$B$28,IF(Skills!C22=3,120+Inputs!$B$26+Inputs!$B$28,MAX(0,(Inputs!$B$3-100)*3)+Inputs!$B$27+Inputs!$B$28)))</f>
        <v/>
      </c>
      <c r="E536">
        <f>INDEX(FactorTable!$B$2:$Y$301, MATCH(ROUND(MIN(300,MAX(1,D536)),0), FactorTable!$A$2:$A$301,0), Skills!M22+1)</f>
        <v/>
      </c>
      <c r="F536">
        <f>IF(Skills!N22=TRUE,(Skills!L22/10)*(E536/1000),Skills!L22/10)+Skills!O22</f>
        <v/>
      </c>
      <c r="G536">
        <f>Skills!G22*IF(Skills!H22&gt;0,Skills!I22/Skills!H22,1)</f>
        <v/>
      </c>
      <c r="H536">
        <f>1-(1-Skills!J22/100)^Skills!K22</f>
        <v/>
      </c>
      <c r="I536" t="inlineStr">
        <is>
          <t>1</t>
        </is>
      </c>
      <c r="J536" t="inlineStr"/>
      <c r="K536" t="inlineStr"/>
      <c r="L536" t="inlineStr"/>
      <c r="M536" t="inlineStr"/>
      <c r="N536" t="inlineStr"/>
      <c r="O536" t="n">
        <v>0</v>
      </c>
      <c r="P536">
        <f>IF(B559=0,0,O536/B559)</f>
        <v/>
      </c>
      <c r="Q536" t="n">
        <v>0</v>
      </c>
      <c r="R536" t="n">
        <v>0</v>
      </c>
      <c r="S536">
        <f>IFERROR(O536/N536,0)</f>
        <v/>
      </c>
    </row>
    <row r="537">
      <c r="A537">
        <f>Skills!A23</f>
        <v/>
      </c>
      <c r="B537">
        <f>Skills!B23</f>
        <v/>
      </c>
      <c r="C537">
        <f>Inputs!$B$3&gt;=40</f>
        <v/>
      </c>
      <c r="D537">
        <f>IF(Skills!C23=1,60+Inputs!$B$24+Inputs!$B$28,IF(Skills!C23=2,90+Inputs!$B$25+Inputs!$B$28,IF(Skills!C23=3,120+Inputs!$B$26+Inputs!$B$28,MAX(0,(Inputs!$B$3-100)*3)+Inputs!$B$27+Inputs!$B$28)))</f>
        <v/>
      </c>
      <c r="E537">
        <f>INDEX(FactorTable!$B$2:$Y$301, MATCH(ROUND(MIN(300,MAX(1,D537)),0), FactorTable!$A$2:$A$301,0), Skills!M23+1)</f>
        <v/>
      </c>
      <c r="F537">
        <f>IF(Skills!N23=TRUE,(Skills!L23/10)*(E537/1000),Skills!L23/10)+Skills!O23</f>
        <v/>
      </c>
      <c r="G537">
        <f>Skills!G23*IF(Skills!H23&gt;0,Skills!I23/Skills!H23,1)</f>
        <v/>
      </c>
      <c r="H537">
        <f>1-(1-Skills!J23/100)^Skills!K23</f>
        <v/>
      </c>
      <c r="I537" t="inlineStr">
        <is>
          <t>1</t>
        </is>
      </c>
      <c r="J537" t="inlineStr"/>
      <c r="K537" t="inlineStr"/>
      <c r="L537" t="inlineStr"/>
      <c r="M537" t="inlineStr"/>
      <c r="N537" t="inlineStr"/>
      <c r="O537" t="n">
        <v>0</v>
      </c>
      <c r="P537">
        <f>IF(B559=0,0,O537/B559)</f>
        <v/>
      </c>
      <c r="Q537" t="n">
        <v>0</v>
      </c>
      <c r="R537" t="n">
        <v>0</v>
      </c>
      <c r="S537">
        <f>IFERROR(O537/N537,0)</f>
        <v/>
      </c>
    </row>
    <row r="538">
      <c r="A538">
        <f>Skills!A24</f>
        <v/>
      </c>
      <c r="B538">
        <f>Skills!B24</f>
        <v/>
      </c>
      <c r="C538">
        <f>Inputs!$B$3&gt;=43</f>
        <v/>
      </c>
      <c r="D538">
        <f>IF(Skills!C24=1,60+Inputs!$B$24+Inputs!$B$28,IF(Skills!C24=2,90+Inputs!$B$25+Inputs!$B$28,IF(Skills!C24=3,120+Inputs!$B$26+Inputs!$B$28,MAX(0,(Inputs!$B$3-100)*3)+Inputs!$B$27+Inputs!$B$28)))</f>
        <v/>
      </c>
      <c r="E538">
        <f>INDEX(FactorTable!$B$2:$Y$301, MATCH(ROUND(MIN(300,MAX(1,D538)),0), FactorTable!$A$2:$A$301,0), Skills!M24+1)</f>
        <v/>
      </c>
      <c r="F538">
        <f>IF(Skills!N24=TRUE,(Skills!L24/10)*(E538/1000),Skills!L24/10)+Skills!O24</f>
        <v/>
      </c>
      <c r="G538">
        <f>Skills!G24*IF(Skills!H24&gt;0,Skills!I24/Skills!H24,1)</f>
        <v/>
      </c>
      <c r="H538">
        <f>1-(1-Skills!J24/100)^Skills!K24</f>
        <v/>
      </c>
      <c r="I538" t="inlineStr">
        <is>
          <t>1</t>
        </is>
      </c>
      <c r="J538" t="inlineStr"/>
      <c r="K538" t="inlineStr"/>
      <c r="L538" t="inlineStr"/>
      <c r="M538" t="inlineStr"/>
      <c r="N538" t="inlineStr"/>
      <c r="O538" t="n">
        <v>0</v>
      </c>
      <c r="P538">
        <f>IF(B559=0,0,O538/B559)</f>
        <v/>
      </c>
      <c r="Q538" t="n">
        <v>0</v>
      </c>
      <c r="R538" t="n">
        <v>0</v>
      </c>
      <c r="S538">
        <f>IFERROR(O538/N538,0)</f>
        <v/>
      </c>
    </row>
    <row r="539">
      <c r="A539">
        <f>Skills!A25</f>
        <v/>
      </c>
      <c r="B539">
        <f>Skills!B25</f>
        <v/>
      </c>
      <c r="C539">
        <f>Inputs!$B$3&gt;=50</f>
        <v/>
      </c>
      <c r="D539">
        <f>IF(Skills!C25=1,60+Inputs!$B$24+Inputs!$B$28,IF(Skills!C25=2,90+Inputs!$B$25+Inputs!$B$28,IF(Skills!C25=3,120+Inputs!$B$26+Inputs!$B$28,MAX(0,(Inputs!$B$3-100)*3)+Inputs!$B$27+Inputs!$B$28)))</f>
        <v/>
      </c>
      <c r="E539">
        <f>INDEX(FactorTable!$B$2:$Y$301, MATCH(ROUND(MIN(300,MAX(1,D539)),0), FactorTable!$A$2:$A$301,0), Skills!M25+1)</f>
        <v/>
      </c>
      <c r="F539">
        <f>IF(Skills!N25=TRUE,(Skills!L25/10)*(E539/1000),Skills!L25/10)+Skills!O25</f>
        <v/>
      </c>
      <c r="G539">
        <f>Skills!G25*IF(Skills!H25&gt;0,Skills!I25/Skills!H25,1)</f>
        <v/>
      </c>
      <c r="H539">
        <f>1-(1-Skills!J25/100)^Skills!K25</f>
        <v/>
      </c>
      <c r="I539" t="inlineStr">
        <is>
          <t>1</t>
        </is>
      </c>
      <c r="J539" t="inlineStr"/>
      <c r="K539" t="inlineStr"/>
      <c r="L539" t="inlineStr"/>
      <c r="M539" t="inlineStr"/>
      <c r="N539" t="inlineStr"/>
      <c r="O539" t="n">
        <v>0</v>
      </c>
      <c r="P539">
        <f>IF(B559=0,0,O539/B559)</f>
        <v/>
      </c>
      <c r="Q539" t="n">
        <v>0</v>
      </c>
      <c r="R539" t="n">
        <v>0</v>
      </c>
      <c r="S539">
        <f>IFERROR(O539/N539,0)</f>
        <v/>
      </c>
    </row>
    <row r="540">
      <c r="A540">
        <f>Skills!A26</f>
        <v/>
      </c>
      <c r="B540">
        <f>Skills!B26</f>
        <v/>
      </c>
      <c r="C540">
        <f>Inputs!$B$3&gt;=50</f>
        <v/>
      </c>
      <c r="D540">
        <f>IF(Skills!C26=1,60+Inputs!$B$24+Inputs!$B$28,IF(Skills!C26=2,90+Inputs!$B$25+Inputs!$B$28,IF(Skills!C26=3,120+Inputs!$B$26+Inputs!$B$28,MAX(0,(Inputs!$B$3-100)*3)+Inputs!$B$27+Inputs!$B$28)))</f>
        <v/>
      </c>
      <c r="E540">
        <f>INDEX(FactorTable!$B$2:$Y$301, MATCH(ROUND(MIN(300,MAX(1,D540)),0), FactorTable!$A$2:$A$301,0), Skills!M26+1)</f>
        <v/>
      </c>
      <c r="F540">
        <f>IF(Skills!N26=TRUE,(Skills!L26/10)*(E540/1000),Skills!L26/10)+Skills!O26</f>
        <v/>
      </c>
      <c r="G540">
        <f>Skills!G26*IF(Skills!H26&gt;0,Skills!I26/Skills!H26,1)</f>
        <v/>
      </c>
      <c r="H540">
        <f>1-(1-Skills!J26/100)^Skills!K26</f>
        <v/>
      </c>
      <c r="I540" t="inlineStr">
        <is>
          <t>1</t>
        </is>
      </c>
      <c r="J540" t="inlineStr"/>
      <c r="K540" t="inlineStr"/>
      <c r="L540" t="inlineStr"/>
      <c r="M540" t="inlineStr"/>
      <c r="N540" t="inlineStr"/>
      <c r="O540" t="n">
        <v>0</v>
      </c>
      <c r="P540">
        <f>IF(B559=0,0,O540/B559)</f>
        <v/>
      </c>
      <c r="Q540" t="n">
        <v>0</v>
      </c>
      <c r="R540" t="n">
        <v>0</v>
      </c>
      <c r="S540">
        <f>IFERROR(O540/N540,0)</f>
        <v/>
      </c>
    </row>
    <row r="541">
      <c r="A541">
        <f>Skills!A27</f>
        <v/>
      </c>
      <c r="B541">
        <f>Skills!B27</f>
        <v/>
      </c>
      <c r="C541">
        <f>Inputs!$B$3&gt;=38</f>
        <v/>
      </c>
      <c r="D541">
        <f>IF(Skills!C27=1,60+Inputs!$B$24+Inputs!$B$28,IF(Skills!C27=2,90+Inputs!$B$25+Inputs!$B$28,IF(Skills!C27=3,120+Inputs!$B$26+Inputs!$B$28,MAX(0,(Inputs!$B$3-100)*3)+Inputs!$B$27+Inputs!$B$28)))</f>
        <v/>
      </c>
      <c r="E541">
        <f>INDEX(FactorTable!$B$2:$Y$301, MATCH(ROUND(MIN(300,MAX(1,D541)),0), FactorTable!$A$2:$A$301,0), Skills!M27+1)</f>
        <v/>
      </c>
      <c r="F541">
        <f>IF(Skills!N27=TRUE,(Skills!L27/10)*(E541/1000),Skills!L27/10)+Skills!O27</f>
        <v/>
      </c>
      <c r="G541">
        <f>Skills!G27*IF(Skills!H27&gt;0,Skills!I27/Skills!H27,1)</f>
        <v/>
      </c>
      <c r="H541">
        <f>1-(1-Skills!J27/100)^Skills!K27</f>
        <v/>
      </c>
      <c r="I541" t="inlineStr">
        <is>
          <t>1</t>
        </is>
      </c>
      <c r="J541" t="inlineStr"/>
      <c r="K541" t="inlineStr"/>
      <c r="L541" t="inlineStr"/>
      <c r="M541" t="inlineStr"/>
      <c r="N541" t="inlineStr"/>
      <c r="O541" t="n">
        <v>0</v>
      </c>
      <c r="P541">
        <f>IF(B559=0,0,O541/B559)</f>
        <v/>
      </c>
      <c r="Q541" t="n">
        <v>0</v>
      </c>
      <c r="R541" t="n">
        <v>0</v>
      </c>
      <c r="S541">
        <f>IFERROR(O541/N541,0)</f>
        <v/>
      </c>
    </row>
    <row r="542">
      <c r="A542">
        <f>Skills!A28</f>
        <v/>
      </c>
      <c r="B542">
        <f>Skills!B28</f>
        <v/>
      </c>
      <c r="C542">
        <f>Inputs!$B$3&gt;=120</f>
        <v/>
      </c>
      <c r="D542">
        <f>IF(Skills!C28=1,60+Inputs!$B$24+Inputs!$B$28,IF(Skills!C28=2,90+Inputs!$B$25+Inputs!$B$28,IF(Skills!C28=3,120+Inputs!$B$26+Inputs!$B$28,MAX(0,(Inputs!$B$3-100)*3)+Inputs!$B$27+Inputs!$B$28)))</f>
        <v/>
      </c>
      <c r="E542">
        <f>INDEX(FactorTable!$B$2:$Y$301, MATCH(ROUND(MIN(300,MAX(1,D542)),0), FactorTable!$A$2:$A$301,0), Skills!M28+1)</f>
        <v/>
      </c>
      <c r="F542">
        <f>IF(Skills!N28=TRUE,(Skills!L28/10)*(E542/1000),Skills!L28/10)+Skills!O28</f>
        <v/>
      </c>
      <c r="G542">
        <f>Skills!G28*IF(Skills!H28&gt;0,Skills!I28/Skills!H28,1)</f>
        <v/>
      </c>
      <c r="H542">
        <f>1-(1-Skills!J28/100)^Skills!K28</f>
        <v/>
      </c>
      <c r="I542" t="inlineStr">
        <is>
          <t>1</t>
        </is>
      </c>
      <c r="J542" t="inlineStr"/>
      <c r="K542" t="inlineStr"/>
      <c r="L542" t="inlineStr"/>
      <c r="M542" t="inlineStr"/>
      <c r="N542" t="inlineStr"/>
      <c r="O542" t="n">
        <v>0</v>
      </c>
      <c r="P542">
        <f>IF(B559=0,0,O542/B559)</f>
        <v/>
      </c>
      <c r="Q542" t="n">
        <v>0</v>
      </c>
      <c r="R542" t="n">
        <v>0</v>
      </c>
      <c r="S542">
        <f>IFERROR(O542/N542,0)</f>
        <v/>
      </c>
    </row>
    <row r="543">
      <c r="A543">
        <f>Skills!A29</f>
        <v/>
      </c>
      <c r="B543">
        <f>Skills!B29</f>
        <v/>
      </c>
      <c r="C543">
        <f>Inputs!$B$3&gt;=120</f>
        <v/>
      </c>
      <c r="D543">
        <f>IF(Skills!C29=1,60+Inputs!$B$24+Inputs!$B$28,IF(Skills!C29=2,90+Inputs!$B$25+Inputs!$B$28,IF(Skills!C29=3,120+Inputs!$B$26+Inputs!$B$28,MAX(0,(Inputs!$B$3-100)*3)+Inputs!$B$27+Inputs!$B$28)))</f>
        <v/>
      </c>
      <c r="E543">
        <f>INDEX(FactorTable!$B$2:$Y$301, MATCH(ROUND(MIN(300,MAX(1,D543)),0), FactorTable!$A$2:$A$301,0), Skills!M29+1)</f>
        <v/>
      </c>
      <c r="F543">
        <f>IF(Skills!N29=TRUE,(Skills!L29/10)*(E543/1000),Skills!L29/10)+Skills!O29</f>
        <v/>
      </c>
      <c r="G543">
        <f>Skills!G29*IF(Skills!H29&gt;0,Skills!I29/Skills!H29,1)</f>
        <v/>
      </c>
      <c r="H543">
        <f>1-(1-Skills!J29/100)^Skills!K29</f>
        <v/>
      </c>
      <c r="I543" t="inlineStr">
        <is>
          <t>1</t>
        </is>
      </c>
      <c r="J543" t="inlineStr"/>
      <c r="K543" t="inlineStr"/>
      <c r="L543" t="inlineStr"/>
      <c r="M543" t="inlineStr"/>
      <c r="N543" t="inlineStr"/>
      <c r="O543" t="n">
        <v>0</v>
      </c>
      <c r="P543">
        <f>IF(B559=0,0,O543/B559)</f>
        <v/>
      </c>
      <c r="Q543" t="n">
        <v>0</v>
      </c>
      <c r="R543" t="n">
        <v>0</v>
      </c>
      <c r="S543">
        <f>IFERROR(O543/N543,0)</f>
        <v/>
      </c>
    </row>
    <row r="544">
      <c r="A544">
        <f>Skills!A30</f>
        <v/>
      </c>
      <c r="B544">
        <f>Skills!B30</f>
        <v/>
      </c>
      <c r="C544">
        <f>Inputs!$B$3&gt;=125</f>
        <v/>
      </c>
      <c r="D544">
        <f>IF(Skills!C30=1,60+Inputs!$B$24+Inputs!$B$28,IF(Skills!C30=2,90+Inputs!$B$25+Inputs!$B$28,IF(Skills!C30=3,120+Inputs!$B$26+Inputs!$B$28,MAX(0,(Inputs!$B$3-100)*3)+Inputs!$B$27+Inputs!$B$28)))</f>
        <v/>
      </c>
      <c r="E544">
        <f>INDEX(FactorTable!$B$2:$Y$301, MATCH(ROUND(MIN(300,MAX(1,D544)),0), FactorTable!$A$2:$A$301,0), Skills!M30+1)</f>
        <v/>
      </c>
      <c r="F544">
        <f>IF(Skills!N30=TRUE,(Skills!L30/10)*(E544/1000),Skills!L30/10)+Skills!O30</f>
        <v/>
      </c>
      <c r="G544">
        <f>Skills!G30*IF(Skills!H30&gt;0,Skills!I30/Skills!H30,1)</f>
        <v/>
      </c>
      <c r="H544">
        <f>1-(1-Skills!J30/100)^Skills!K30</f>
        <v/>
      </c>
      <c r="I544" t="inlineStr">
        <is>
          <t>1</t>
        </is>
      </c>
      <c r="J544" t="inlineStr"/>
      <c r="K544" t="inlineStr"/>
      <c r="L544" t="inlineStr"/>
      <c r="M544" t="inlineStr"/>
      <c r="N544" t="inlineStr"/>
      <c r="O544" t="n">
        <v>0</v>
      </c>
      <c r="P544">
        <f>IF(B559=0,0,O544/B559)</f>
        <v/>
      </c>
      <c r="Q544" t="n">
        <v>0</v>
      </c>
      <c r="R544" t="n">
        <v>0</v>
      </c>
      <c r="S544">
        <f>IFERROR(O544/N544,0)</f>
        <v/>
      </c>
    </row>
    <row r="546">
      <c r="A546" t="inlineStr">
        <is>
          <t>Average Buff Multiplier</t>
        </is>
      </c>
      <c r="B546">
        <f>(1+(((C535=TRUE)*F535*IF(AND(Inputs!$B$4&lt;&gt;"pvp",Inputs!$B$35&gt;0),(((S535-1)*(Skills!Y21*(1+Inputs!$B$33/100))+MIN((Skills!Y21*(1+Inputs!$B$33/100)),MAX(0,Inputs!$B$35-((S535-1)*Skills!D21))))/Inputs!$B$35),IF(Inputs!$B$4="pvp",MIN((Skills!Y21*(1+Inputs!$B$33/100)),15)/15,(Skills!Y21*(1+Inputs!$B$33/100))/Skills!D21)))+((C537=TRUE)*(F537-Calc!F23))+((C531=TRUE)*(F531-Calc!F17)))/100)*(1+((C524=TRUE)*F524*IF(AND(Inputs!$B$4&lt;&gt;"pvp",Inputs!$B$35&gt;0),(((S524-1)*(Skills!Y10*(1+Inputs!$B$33/100))+MIN((Skills!Y10*(1+Inputs!$B$33/100)),MAX(0,Inputs!$B$35-((S524-1)*Skills!D10))))/Inputs!$B$35),IF(Inputs!$B$4="pvp",MIN((Skills!Y10*(1+Inputs!$B$33/100)),15)/15,(Skills!Y10*(1+Inputs!$B$33/100))/Skills!D10)))/100)*(1+((C529=TRUE)*F529*IF(AND(Inputs!$B$4&lt;&gt;"pvp",Inputs!$B$35&gt;0),(((S529-1)*(Skills!Y15*(1+Inputs!$B$33/100))+MIN((Skills!Y15*(1+Inputs!$B$33/100)),MAX(0,Inputs!$B$35-((S529-1)*Skills!D15))))/Inputs!$B$35),IF(Inputs!$B$4="pvp",MIN((Skills!Y15*(1+Inputs!$B$33/100)),15)/15,(Skills!Y15*(1+Inputs!$B$33/100))/Skills!D15)))/100)</f>
        <v/>
      </c>
    </row>
    <row r="547">
      <c r="A547" t="inlineStr">
        <is>
          <t>Global Crit Rate Bonus %</t>
        </is>
      </c>
      <c r="B547">
        <f>((C534=TRUE)*F534*IF(AND(Inputs!$B$4&lt;&gt;"pvp",Inputs!$B$35&gt;0),(((S534-1)*(Skills!Y20*(1+Inputs!$B$33/100))+MIN((Skills!Y20*(1+Inputs!$B$33/100)),MAX(0,Inputs!$B$35-((S534-1)*Skills!D20))))/Inputs!$B$35),IF(Inputs!$B$4="pvp",MIN((Skills!Y20*(1+Inputs!$B$33/100)),15)/15,(Skills!Y20*(1+Inputs!$B$33/100))/Skills!D20)))</f>
        <v/>
      </c>
    </row>
    <row r="548">
      <c r="A548" t="inlineStr">
        <is>
          <t>Global Monster Damage-Taken Bonus %</t>
        </is>
      </c>
      <c r="B548">
        <f>IF(Inputs!$B$3&gt;=82,15,0)</f>
        <v/>
      </c>
    </row>
    <row r="549">
      <c r="A549" t="inlineStr">
        <is>
          <t>Shadow Partner Average Multiplier</t>
        </is>
      </c>
      <c r="B549">
        <f>1+((C521=TRUE)*F521*(1+3.3333333333333335*IF(C532=TRUE,F532,0)/100)*I521*Skills!J7/100)/100</f>
        <v/>
      </c>
    </row>
    <row r="550">
      <c r="A550" t="inlineStr">
        <is>
          <t>Attack Speed Buff Bonus %</t>
        </is>
      </c>
      <c r="B550">
        <f>((C533=TRUE)*F533*IF(AND(Inputs!$B$4&lt;&gt;"pvp",Inputs!$B$35&gt;0),(((S533-1)*(Skills!Y19*(1+Inputs!$B$33/100))+MIN((Skills!Y19*(1+Inputs!$B$33/100)),MAX(0,Inputs!$B$35-((S533-1)*Skills!D19))))/Inputs!$B$35),IF(Inputs!$B$4="pvp",MIN((Skills!Y19*(1+Inputs!$B$33/100)),15)/15,(Skills!Y19*(1+Inputs!$B$33/100))/Skills!D19)))+((C517=TRUE)*F517*3)</f>
        <v/>
      </c>
    </row>
    <row r="551">
      <c r="A551" t="inlineStr">
        <is>
          <t>Actions Per Second</t>
        </is>
      </c>
      <c r="B551">
        <f>1+MIN(150,150*(1-(1-(Inputs!$B$10+((C536=TRUE)*(F536-Calc!F22)))/150)*(1-B550/150)))/100</f>
        <v/>
      </c>
    </row>
    <row r="552">
      <c r="A552" t="inlineStr">
        <is>
          <t>Skill + Buff Cast Rate</t>
        </is>
      </c>
      <c r="B552">
        <f>IF(AND(Inputs!$B$4&lt;&gt;"pvp",Inputs!$B$35&gt;0),SUMPRODUCT((Skills!E2:E30=TRUE)*(C516:C544=TRUE)*R516:R544*Skills!F2:F30)/Inputs!$B$35,SUMPRODUCT((Skills!E2:E30=TRUE)*(C516:C544=TRUE)*Q516:Q544*Skills!F2:F30))</f>
        <v/>
      </c>
    </row>
    <row r="553">
      <c r="A553" t="inlineStr">
        <is>
          <t>Cruel Stab Casts Per Second</t>
        </is>
      </c>
      <c r="B553">
        <f>MAX(0,B551-B552)</f>
        <v/>
      </c>
    </row>
    <row r="554">
      <c r="A554" t="inlineStr">
        <is>
          <t>Global Critical Damage Bonus % (Smokescreen Mastery Lv.113)</t>
        </is>
      </c>
      <c r="B554">
        <f>IF(Inputs!$B$3&gt;=113,30,0)*IF(AND(Inputs!$B$4&lt;&gt;"pvp",Inputs!$B$35&gt;0),(((S529-1)*(Skills!Y15*(1+Inputs!$B$33/100))+MIN((Skills!Y15*(1+Inputs!$B$33/100)),MAX(0,Inputs!$B$35-((S529-1)*Skills!D15))))/Inputs!$B$35),IF(Inputs!$B$4="pvp",MIN((Skills!Y15*(1+Inputs!$B$33/100)),15)/15,(Skills!Y15*(1+Inputs!$B$33/100))/Skills!D15))</f>
        <v/>
      </c>
    </row>
    <row r="555">
      <c r="A555" t="inlineStr">
        <is>
          <t>Meso Explosion average stack count</t>
        </is>
      </c>
      <c r="B555">
        <f>MIN(10,0.5*B551*Skills!D4)</f>
        <v/>
      </c>
    </row>
    <row r="556">
      <c r="A556" t="inlineStr">
        <is>
          <t>Blood Money average stack count</t>
        </is>
      </c>
      <c r="B556">
        <f>MIN(5,0.25*B551*Skills!D4)</f>
        <v/>
      </c>
    </row>
    <row r="557">
      <c r="A557" t="inlineStr">
        <is>
          <t>Assassinate Murderous Intent Multiplier</t>
        </is>
      </c>
      <c r="B557">
        <f>1+IFERROR(MIN(1,Q528*2/Q525),0)</f>
        <v/>
      </c>
    </row>
    <row r="559">
      <c r="A559" s="5" t="inlineStr">
        <is>
          <t>TOTAL DPS</t>
        </is>
      </c>
      <c r="B559" s="5">
        <f>SUM(O516:O544)</f>
        <v/>
      </c>
    </row>
    <row r="562">
      <c r="A562" s="5" t="inlineStr">
        <is>
          <t>Stat: CRIT_DAMAGE %</t>
        </is>
      </c>
    </row>
    <row r="563">
      <c r="A563" s="8" t="inlineStr">
        <is>
          <t>Key</t>
        </is>
      </c>
      <c r="B563" s="8" t="inlineStr">
        <is>
          <t>Name</t>
        </is>
      </c>
      <c r="C563" s="8" t="inlineStr">
        <is>
          <t>Unlocked</t>
        </is>
      </c>
      <c r="D563" s="8" t="inlineStr">
        <is>
          <t>InputLevel</t>
        </is>
      </c>
      <c r="E563" s="8" t="inlineStr">
        <is>
          <t>Factor</t>
        </is>
      </c>
      <c r="F563" s="8" t="inlineStr">
        <is>
          <t>CoefficientPercent</t>
        </is>
      </c>
      <c r="G563" s="8" t="inlineStr">
        <is>
          <t>EffectiveHits</t>
        </is>
      </c>
      <c r="H563" s="8" t="inlineStr">
        <is>
          <t>ProcProbability</t>
        </is>
      </c>
      <c r="I563" s="8" t="inlineStr">
        <is>
          <t>MapleHeroMultiplier</t>
        </is>
      </c>
      <c r="J563" s="8" t="inlineStr">
        <is>
          <t>BaseDamage</t>
        </is>
      </c>
      <c r="K563" s="8" t="inlineStr">
        <is>
          <t>BaseHitDamage</t>
        </is>
      </c>
      <c r="L563" s="8" t="inlineStr">
        <is>
          <t>NonCritAvg</t>
        </is>
      </c>
      <c r="M563" s="8" t="inlineStr">
        <is>
          <t>CritAvg</t>
        </is>
      </c>
      <c r="N563" s="8" t="inlineStr">
        <is>
          <t>ExpectedDamage(perHit)</t>
        </is>
      </c>
      <c r="O563" s="8" t="inlineStr">
        <is>
          <t>DPS</t>
        </is>
      </c>
      <c r="P563" s="8" t="inlineStr">
        <is>
          <t>% of Total</t>
        </is>
      </c>
      <c r="Q563" s="8" t="inlineStr">
        <is>
          <t>InvCooldown</t>
        </is>
      </c>
      <c r="R563" s="8" t="inlineStr">
        <is>
          <t>CastsInFight</t>
        </is>
      </c>
      <c r="S563" s="8" t="inlineStr">
        <is>
          <t>HitRate(perSec)</t>
        </is>
      </c>
      <c r="U563" t="inlineStr">
        <is>
          <t>helpers</t>
        </is>
      </c>
    </row>
    <row r="564">
      <c r="A564">
        <f>Skills!A2</f>
        <v/>
      </c>
      <c r="B564">
        <f>Skills!B2</f>
        <v/>
      </c>
      <c r="C564">
        <f>Inputs!$B$3&gt;=100</f>
        <v/>
      </c>
      <c r="D564" t="inlineStr"/>
      <c r="E564" t="inlineStr"/>
      <c r="F564">
        <f>U566+Skills!O2</f>
        <v/>
      </c>
      <c r="G564">
        <f>Skills!G2*IF(Skills!H2&gt;0,Skills!I2/Skills!H2,1)</f>
        <v/>
      </c>
      <c r="H564">
        <f>1-(1-Skills!J2/100)^Skills!K2</f>
        <v/>
      </c>
      <c r="I564" t="inlineStr">
        <is>
          <t>1</t>
        </is>
      </c>
      <c r="J564">
        <f>(Inputs!$B$5*(1+Inputs!$B$6/100))*(F564/100)</f>
        <v/>
      </c>
      <c r="K564">
        <f>J564*(1+((Inputs!$B$11*(1+Inputs!$B$12/100))*0.01+Inputs!$B$13*0.0025)/100)*(1+Inputs!$B$14/100)*(1+IF(Inputs!$B$4="pvp",0,(1-Summary!$B$55)*(Inputs!$B$19+0+Skills!P2+B596)+Summary!$B$55*(Inputs!$B$20+Skills!Q2+B596))/100)*(1+Inputs!$B$15/100)*(5000/(6000+Inputs!$B$7*(1-Inputs!$B$18/100)))*(1+(Inputs!$B$23+((C592=TRUE)*(F592-Calc!F30)))/100)*(1+(IF(Skills!A2="CRUEL_STAB",Inputs!$B$16+((C589=TRUE)*(F589-Calc!F27)),Inputs!$B$17+((C590=TRUE)*(F590-Calc!F28))))/100)*(((1+(((C583=TRUE)*F583*IF(AND(Inputs!$B$4&lt;&gt;"pvp",Inputs!$B$35&gt;0),(((S583-1)*(Skills!Y21*(1+Inputs!$B$33/100))+MIN((Skills!Y21*(1+Inputs!$B$33/100)),MAX(0,Inputs!$B$35-((S583-1)*Skills!D21))))/Inputs!$B$35),IF(Inputs!$B$4="pvp",MIN((Skills!Y21*(1+Inputs!$B$33/100)),15)/15,(Skills!Y21*(1+Inputs!$B$33/100))/Skills!D21)))+((C585=TRUE)*(F585-Calc!F23))+((C579=TRUE)*(F579-Calc!F17)))/100)*(1+((C572=TRUE)*F572*IF(AND(Inputs!$B$4&lt;&gt;"pvp",Inputs!$B$35&gt;0),(((S572-1)*(Skills!Y10*(1+Inputs!$B$33/100))+MIN((Skills!Y10*(1+Inputs!$B$33/100)),MAX(0,Inputs!$B$35-((S572-1)*Skills!D10))))/Inputs!$B$35),IF(Inputs!$B$4="pvp",MIN((Skills!Y10*(1+Inputs!$B$33/100)),15)/15,(Skills!Y10*(1+Inputs!$B$33/100))/Skills!D10)))/100)*(1+((C577=TRUE)*F577*IF(AND(Inputs!$B$4&lt;&gt;"pvp",Inputs!$B$35&gt;0),(((S577-1)*(Skills!Y15*(1+Inputs!$B$33/100))+MIN((Skills!Y15*(1+Inputs!$B$33/100)),MAX(0,Inputs!$B$35-((S577-1)*Skills!D15))))/Inputs!$B$35),IF(Inputs!$B$4="pvp",MIN((Skills!Y15*(1+Inputs!$B$33/100)),15)/15,(Skills!Y15*(1+Inputs!$B$33/100))/Skills!D15)))/100))*B597*I564)</f>
        <v/>
      </c>
      <c r="L564">
        <f>K564*(MIN(Inputs!$B$21+((C586=TRUE)*(F586-Calc!F24)),Inputs!$B$22+((C591=TRUE)*(F591-Calc!F29)))/100+(Inputs!$B$22+((C591=TRUE)*(F591-Calc!F29)))/100)/2</f>
        <v/>
      </c>
      <c r="M564">
        <f>L564*(1+((Inputs!$B$9+1)+((C588=TRUE)*(F588-Calc!F26))+B602)/100)</f>
        <v/>
      </c>
      <c r="N564">
        <f>L564*(1-MIN((Inputs!$B$8+((C587=TRUE)*(F587-Calc!F25))+B595),100)/100)+M564*(MIN((Inputs!$B$8+((C587=TRUE)*(F587-Calc!F25))+B595),100)/100)</f>
        <v/>
      </c>
      <c r="O564">
        <f>IF(C564,Skills!G2*N564*B601*IF(Inputs!$B$4="pvp",1,(1-Summary!$B$55)*(1)+Summary!$B$55*(MIN((6+Inputs!$B$32),Inputs!$B$37))),0)</f>
        <v/>
      </c>
      <c r="P564">
        <f>IF(B607=0,0,O564/B607)</f>
        <v/>
      </c>
      <c r="Q564" t="n">
        <v>0</v>
      </c>
      <c r="R564" t="n">
        <v>0</v>
      </c>
      <c r="S564">
        <f>IFERROR(O564/N564,0)</f>
        <v/>
      </c>
      <c r="U564">
        <f>MAX(0,(Inputs!$B$3-100)*3)+Inputs!$B$27+Inputs!$B$28</f>
        <v/>
      </c>
    </row>
    <row r="565">
      <c r="A565">
        <f>Skills!A3</f>
        <v/>
      </c>
      <c r="B565">
        <f>Skills!B3</f>
        <v/>
      </c>
      <c r="C565">
        <f>Inputs!$B$3&gt;=35</f>
        <v/>
      </c>
      <c r="D565">
        <f>IF(Skills!C3=1,60+Inputs!$B$24+Inputs!$B$28,IF(Skills!C3=2,90+Inputs!$B$25+Inputs!$B$28,IF(Skills!C3=3,120+Inputs!$B$26+Inputs!$B$28,MAX(0,(Inputs!$B$3-100)*3)+Inputs!$B$27+Inputs!$B$28)))</f>
        <v/>
      </c>
      <c r="E565">
        <f>INDEX(FactorTable!$B$2:$Y$301, MATCH(ROUND(MIN(300,MAX(1,D565)),0), FactorTable!$A$2:$A$301,0), Skills!M3+1)</f>
        <v/>
      </c>
      <c r="F565">
        <f>IF(Skills!N3=TRUE,(Skills!L3/10)*(E565/1000),Skills!L3/10)+Skills!O3</f>
        <v/>
      </c>
      <c r="G565">
        <f>Skills!G3*IF(Skills!H3&gt;0,Skills!I3/Skills!H3,1)</f>
        <v/>
      </c>
      <c r="H565">
        <f>1-(1-Skills!J3/100)^Skills!K3</f>
        <v/>
      </c>
      <c r="I565" t="inlineStr">
        <is>
          <t>1</t>
        </is>
      </c>
      <c r="J565" t="inlineStr"/>
      <c r="K565" t="inlineStr"/>
      <c r="L565" t="inlineStr"/>
      <c r="M565" t="inlineStr"/>
      <c r="N565" t="inlineStr"/>
      <c r="O565" t="n">
        <v>0</v>
      </c>
      <c r="P565">
        <f>IF(B607=0,0,O565/B607)</f>
        <v/>
      </c>
      <c r="Q565" t="n">
        <v>0</v>
      </c>
      <c r="R565" t="n">
        <v>0</v>
      </c>
      <c r="S565">
        <f>IFERROR(O565/N565,0)</f>
        <v/>
      </c>
      <c r="U565">
        <f>INDEX(FactorTable!$B$2:$Y$301, MATCH(ROUND(MIN(300,MAX(1,U564)),0), FactorTable!$A$2:$A$301,0), 22)</f>
        <v/>
      </c>
    </row>
    <row r="566">
      <c r="A566">
        <f>Skills!A4</f>
        <v/>
      </c>
      <c r="B566">
        <f>Skills!B4</f>
        <v/>
      </c>
      <c r="C566">
        <f>Inputs!$B$3&gt;=66</f>
        <v/>
      </c>
      <c r="D566">
        <f>IF(Skills!C4=1,60+Inputs!$B$24+Inputs!$B$28,IF(Skills!C4=2,90+Inputs!$B$25+Inputs!$B$28,IF(Skills!C4=3,120+Inputs!$B$26+Inputs!$B$28,MAX(0,(Inputs!$B$3-100)*3)+Inputs!$B$27+Inputs!$B$28)))</f>
        <v/>
      </c>
      <c r="E566">
        <f>INDEX(FactorTable!$B$2:$Y$301, MATCH(ROUND(MIN(300,MAX(1,D566)),0), FactorTable!$A$2:$A$301,0), Skills!M4+1)</f>
        <v/>
      </c>
      <c r="F566">
        <f>IF(Skills!N4=TRUE,(Skills!L4/10)*(E566/1000),Skills!L4/10)+Skills!O4</f>
        <v/>
      </c>
      <c r="G566">
        <f>Skills!G4*IF(Skills!H4&gt;0,Skills!I4/Skills!H4,1)</f>
        <v/>
      </c>
      <c r="H566">
        <f>1-(1-Skills!J4/100)^Skills!K4</f>
        <v/>
      </c>
      <c r="I566" t="inlineStr">
        <is>
          <t>1</t>
        </is>
      </c>
      <c r="J566">
        <f>(Inputs!$B$5*(1+Inputs!$B$6/100))*(F566/100)</f>
        <v/>
      </c>
      <c r="K566">
        <f>J566*(1+((Inputs!$B$11*(1+Inputs!$B$12/100))*0.01+Inputs!$B$13*0.0025)/100)*(1+Inputs!$B$14/100)*(1+IF(Inputs!$B$4="pvp",0,(1-Summary!$B$55)*(Inputs!$B$19+0+Skills!P4+B596)+Summary!$B$55*(Inputs!$B$20+Skills!Q4+B596))/100)*(1+Inputs!$B$15/100)*(5000/(6000+Inputs!$B$7*(1-Inputs!$B$18/100)))*(1+(Inputs!$B$23+((C592=TRUE)*(F592-Calc!F30)))/100)*(1+(IF(Skills!A4="CRUEL_STAB",Inputs!$B$16+((C589=TRUE)*(F589-Calc!F27)),Inputs!$B$17+((C590=TRUE)*(F590-Calc!F28))))/100)*(((1+(((C583=TRUE)*F583*IF(AND(Inputs!$B$4&lt;&gt;"pvp",Inputs!$B$35&gt;0),(((S583-1)*(Skills!Y21*(1+Inputs!$B$33/100))+MIN((Skills!Y21*(1+Inputs!$B$33/100)),MAX(0,Inputs!$B$35-((S583-1)*Skills!D21))))/Inputs!$B$35),IF(Inputs!$B$4="pvp",MIN((Skills!Y21*(1+Inputs!$B$33/100)),15)/15,(Skills!Y21*(1+Inputs!$B$33/100))/Skills!D21)))+((C585=TRUE)*(F585-Calc!F23))+((C579=TRUE)*(F579-Calc!F17)))/100)*(1+((C572=TRUE)*F572*IF(AND(Inputs!$B$4&lt;&gt;"pvp",Inputs!$B$35&gt;0),(((S572-1)*(Skills!Y10*(1+Inputs!$B$33/100))+MIN((Skills!Y10*(1+Inputs!$B$33/100)),MAX(0,Inputs!$B$35-((S572-1)*Skills!D10))))/Inputs!$B$35),IF(Inputs!$B$4="pvp",MIN((Skills!Y10*(1+Inputs!$B$33/100)),15)/15,(Skills!Y10*(1+Inputs!$B$33/100))/Skills!D10)))/100)*(1+((C577=TRUE)*F577*IF(AND(Inputs!$B$4&lt;&gt;"pvp",Inputs!$B$35&gt;0),(((S577-1)*(Skills!Y15*(1+Inputs!$B$33/100))+MIN((Skills!Y15*(1+Inputs!$B$33/100)),MAX(0,Inputs!$B$35-((S577-1)*Skills!D15))))/Inputs!$B$35),IF(Inputs!$B$4="pvp",MIN((Skills!Y15*(1+Inputs!$B$33/100)),15)/15,(Skills!Y15*(1+Inputs!$B$33/100))/Skills!D15)))/100))*B597*I566)</f>
        <v/>
      </c>
      <c r="L566">
        <f>K566*(MIN(Inputs!$B$21+((C586=TRUE)*(F586-Calc!F24)),Inputs!$B$22+((C591=TRUE)*(F591-Calc!F29)))/100+(Inputs!$B$22+((C591=TRUE)*(F591-Calc!F29)))/100)/2</f>
        <v/>
      </c>
      <c r="M566">
        <f>L566*(1+((Inputs!$B$9+1)+((C588=TRUE)*(F588-Calc!F26))+B602)/100)</f>
        <v/>
      </c>
      <c r="N566">
        <f>L566*(1-MIN((Inputs!$B$8+((C587=TRUE)*(F587-Calc!F25))+B595),100)/100)+M566*(MIN((Inputs!$B$8+((C587=TRUE)*(F587-Calc!F25))+B595),100)/100)</f>
        <v/>
      </c>
      <c r="O566">
        <f>IF(C566,H566*N566*IF(AND(Inputs!$B$4&lt;&gt;"pvp",Inputs!$B$35&gt;0),((Skills!G4*((R566-1)*IF(Skills!H4&gt;0,Skills!I4/Skills!H4,1)+IF(Skills!H4&gt;0,MIN(Skills!I4,MAX(0,Inputs!$B$35-((R566-1)*IF(Inputs!$B$4="pvp",15,MAX(0.1,Skills!D4-IF(Skills!E4=TRUE,Inputs!$B$31,0))))))/Skills!H4,1)))/Inputs!$B$35),G566*Q566)*IF(Inputs!$B$4="pvp",1,(1-Summary!$B$55)*(1)+Summary!$B$55*(MIN(MIN(10,0.5*B599*Skills!D4),Inputs!$B$37))),0)</f>
        <v/>
      </c>
      <c r="P566">
        <f>IF(B607=0,0,O566/B607)</f>
        <v/>
      </c>
      <c r="Q566">
        <f>IFERROR(1/IF(Inputs!$B$4="pvp",15,MAX(0.1,Skills!D4-IF(Skills!E4=TRUE,Inputs!$B$31,0))),0)</f>
        <v/>
      </c>
      <c r="R566">
        <f>IF(AND(Inputs!$B$4&lt;&gt;"pvp",Inputs!$B$35&gt;0),(INT(Inputs!$B$35/IF(Inputs!$B$4="pvp",15,MAX(0.1,Skills!D4-IF(Skills!E4=TRUE,Inputs!$B$31,0))))+1),0)</f>
        <v/>
      </c>
      <c r="S566">
        <f>IFERROR(O566/N566,0)</f>
        <v/>
      </c>
      <c r="U566">
        <f>290*U565/1000</f>
        <v/>
      </c>
    </row>
    <row r="567">
      <c r="A567">
        <f>Skills!A5</f>
        <v/>
      </c>
      <c r="B567">
        <f>Skills!B5</f>
        <v/>
      </c>
      <c r="C567">
        <f>Inputs!$B$3&gt;=63</f>
        <v/>
      </c>
      <c r="D567">
        <f>IF(Skills!C5=1,60+Inputs!$B$24+Inputs!$B$28,IF(Skills!C5=2,90+Inputs!$B$25+Inputs!$B$28,IF(Skills!C5=3,120+Inputs!$B$26+Inputs!$B$28,MAX(0,(Inputs!$B$3-100)*3)+Inputs!$B$27+Inputs!$B$28)))</f>
        <v/>
      </c>
      <c r="E567">
        <f>INDEX(FactorTable!$B$2:$Y$301, MATCH(ROUND(MIN(300,MAX(1,D567)),0), FactorTable!$A$2:$A$301,0), Skills!M5+1)</f>
        <v/>
      </c>
      <c r="F567">
        <f>IF(Skills!N5=TRUE,(Skills!L5/10)*(E567/1000),Skills!L5/10)+Skills!O5</f>
        <v/>
      </c>
      <c r="G567">
        <f>Skills!G5*IF(Skills!H5&gt;0,Skills!I5/Skills!H5,1)</f>
        <v/>
      </c>
      <c r="H567">
        <f>1-(1-Skills!J5/100)^Skills!K5</f>
        <v/>
      </c>
      <c r="I567" t="inlineStr">
        <is>
          <t>1</t>
        </is>
      </c>
      <c r="J567">
        <f>(Inputs!$B$5*(1+Inputs!$B$6/100))*(F567/100)</f>
        <v/>
      </c>
      <c r="K567">
        <f>J567*(1+((Inputs!$B$11*(1+Inputs!$B$12/100))*0.01+Inputs!$B$13*0.0025)/100)*(1+Inputs!$B$14/100)*(1+IF(Inputs!$B$4="pvp",0,(1-Summary!$B$55)*(Inputs!$B$19+0+Skills!P5+B596)+Summary!$B$55*(Inputs!$B$20+Skills!Q5+B596))/100)*(1+Inputs!$B$15/100)*(5000/(6000+Inputs!$B$7*(1-Inputs!$B$18/100)))*(1+(Inputs!$B$23+((C592=TRUE)*(F592-Calc!F30)))/100)*(1+2.6666666666666665*IF(C580=TRUE,F580,0)/100)*(1+(IF(Skills!A5="CRUEL_STAB",Inputs!$B$16+((C589=TRUE)*(F589-Calc!F27)),Inputs!$B$17+((C590=TRUE)*(F590-Calc!F28))))/100)*(((1+(((C583=TRUE)*F583*IF(AND(Inputs!$B$4&lt;&gt;"pvp",Inputs!$B$35&gt;0),(((S583-1)*(Skills!Y21*(1+Inputs!$B$33/100))+MIN((Skills!Y21*(1+Inputs!$B$33/100)),MAX(0,Inputs!$B$35-((S583-1)*Skills!D21))))/Inputs!$B$35),IF(Inputs!$B$4="pvp",MIN((Skills!Y21*(1+Inputs!$B$33/100)),15)/15,(Skills!Y21*(1+Inputs!$B$33/100))/Skills!D21)))+((C585=TRUE)*(F585-Calc!F23))+((C579=TRUE)*(F579-Calc!F17)))/100)*(1+((C572=TRUE)*F572*IF(AND(Inputs!$B$4&lt;&gt;"pvp",Inputs!$B$35&gt;0),(((S572-1)*(Skills!Y10*(1+Inputs!$B$33/100))+MIN((Skills!Y10*(1+Inputs!$B$33/100)),MAX(0,Inputs!$B$35-((S572-1)*Skills!D10))))/Inputs!$B$35),IF(Inputs!$B$4="pvp",MIN((Skills!Y10*(1+Inputs!$B$33/100)),15)/15,(Skills!Y10*(1+Inputs!$B$33/100))/Skills!D10)))/100)*(1+((C577=TRUE)*F577*IF(AND(Inputs!$B$4&lt;&gt;"pvp",Inputs!$B$35&gt;0),(((S577-1)*(Skills!Y15*(1+Inputs!$B$33/100))+MIN((Skills!Y15*(1+Inputs!$B$33/100)),MAX(0,Inputs!$B$35-((S577-1)*Skills!D15))))/Inputs!$B$35),IF(Inputs!$B$4="pvp",MIN((Skills!Y15*(1+Inputs!$B$33/100)),15)/15,(Skills!Y15*(1+Inputs!$B$33/100))/Skills!D15)))/100))*B597*I567)</f>
        <v/>
      </c>
      <c r="L567">
        <f>K567*(MIN(Inputs!$B$21+((C586=TRUE)*(F586-Calc!F24)),Inputs!$B$22+((C591=TRUE)*(F591-Calc!F29)))/100+(Inputs!$B$22+((C591=TRUE)*(F591-Calc!F29)))/100)/2</f>
        <v/>
      </c>
      <c r="M567">
        <f>L567*(1+((Inputs!$B$9+1)+((C588=TRUE)*(F588-Calc!F26))+B602)/100)</f>
        <v/>
      </c>
      <c r="N567">
        <f>L567*(1-MIN((Inputs!$B$8+((C587=TRUE)*(F587-Calc!F25))+B595),100)/100)+M567*(MIN((Inputs!$B$8+((C587=TRUE)*(F587-Calc!F25))+B595),100)/100)</f>
        <v/>
      </c>
      <c r="O567">
        <f>IF(C567,H567*N567*IF(AND(Inputs!$B$4&lt;&gt;"pvp",Inputs!$B$35&gt;0),((Skills!G5*((R567-1)*IF(Skills!H5&gt;0,Skills!I5/Skills!H5,1)+IF(Skills!H5&gt;0,MIN(Skills!I5,MAX(0,Inputs!$B$35-((R567-1)*IF(Inputs!$B$4="pvp",15,MAX(0.1,Skills!D5-IF(Skills!E5=TRUE,Inputs!$B$31,0))))))/Skills!H5,1)))/Inputs!$B$35),G567*Q567)*IF(Inputs!$B$4="pvp",1,(1-Summary!$B$55)*(1)+Summary!$B$55*(MIN(Skills!W5,Inputs!$B$37))),0)</f>
        <v/>
      </c>
      <c r="P567">
        <f>IF(B607=0,0,O567/B607)</f>
        <v/>
      </c>
      <c r="Q567">
        <f>IFERROR(1/IF(Inputs!$B$4="pvp",15,MAX(0.1,Skills!D5-IF(Skills!E5=TRUE,Inputs!$B$31,0))),0)</f>
        <v/>
      </c>
      <c r="R567">
        <f>IF(AND(Inputs!$B$4&lt;&gt;"pvp",Inputs!$B$35&gt;0),(INT(Inputs!$B$35/IF(Inputs!$B$4="pvp",15,MAX(0.1,Skills!D5-IF(Skills!E5=TRUE,Inputs!$B$31,0))))+1),0)</f>
        <v/>
      </c>
      <c r="S567">
        <f>IFERROR(O567/N567,0)</f>
        <v/>
      </c>
    </row>
    <row r="568">
      <c r="A568">
        <f>Skills!A6</f>
        <v/>
      </c>
      <c r="B568">
        <f>Skills!B6</f>
        <v/>
      </c>
      <c r="C568">
        <f>Inputs!$B$3&gt;=69</f>
        <v/>
      </c>
      <c r="D568">
        <f>IF(Skills!C6=1,60+Inputs!$B$24+Inputs!$B$28,IF(Skills!C6=2,90+Inputs!$B$25+Inputs!$B$28,IF(Skills!C6=3,120+Inputs!$B$26+Inputs!$B$28,MAX(0,(Inputs!$B$3-100)*3)+Inputs!$B$27+Inputs!$B$28)))</f>
        <v/>
      </c>
      <c r="E568">
        <f>INDEX(FactorTable!$B$2:$Y$301, MATCH(ROUND(MIN(300,MAX(1,D568)),0), FactorTable!$A$2:$A$301,0), Skills!M6+1)</f>
        <v/>
      </c>
      <c r="F568">
        <f>IF(Skills!N6=TRUE,(Skills!L6/10)*(E568/1000),Skills!L6/10)+Skills!O6</f>
        <v/>
      </c>
      <c r="G568">
        <f>Skills!G6*IF(Skills!H6&gt;0,Skills!I6/Skills!H6,1)</f>
        <v/>
      </c>
      <c r="H568">
        <f>1-(1-Skills!J6/100)^Skills!K6</f>
        <v/>
      </c>
      <c r="I568" t="inlineStr">
        <is>
          <t>1</t>
        </is>
      </c>
      <c r="J568">
        <f>(Inputs!$B$5*(1+Inputs!$B$6/100))*(F568/100)</f>
        <v/>
      </c>
      <c r="K568">
        <f>J568*(1+((Inputs!$B$11*(1+Inputs!$B$12/100))*0.01+Inputs!$B$13*0.0025)/100)*(1+Inputs!$B$14/100)*(1+IF(Inputs!$B$4="pvp",0,(1-Summary!$B$55)*(Inputs!$B$19+0+Skills!P6+B596)+Summary!$B$55*(Inputs!$B$20+Skills!Q6+B596))/100)*(1+Inputs!$B$15/100)*(5000/(6000+Inputs!$B$7*(1-Inputs!$B$18/100)))*(1+(Inputs!$B$23+((C592=TRUE)*(F592-Calc!F30)))/100)*(1+1.0*IF(C580=TRUE,F580,0)/100)*(1+(IF(Skills!A6="CRUEL_STAB",Inputs!$B$16+((C589=TRUE)*(F589-Calc!F27)),Inputs!$B$17+((C590=TRUE)*(F590-Calc!F28))))/100)*(((1+(((C583=TRUE)*F583*IF(AND(Inputs!$B$4&lt;&gt;"pvp",Inputs!$B$35&gt;0),(((S583-1)*(Skills!Y21*(1+Inputs!$B$33/100))+MIN((Skills!Y21*(1+Inputs!$B$33/100)),MAX(0,Inputs!$B$35-((S583-1)*Skills!D21))))/Inputs!$B$35),IF(Inputs!$B$4="pvp",MIN((Skills!Y21*(1+Inputs!$B$33/100)),15)/15,(Skills!Y21*(1+Inputs!$B$33/100))/Skills!D21)))+((C585=TRUE)*(F585-Calc!F23))+((C579=TRUE)*(F579-Calc!F17)))/100)*(1+((C572=TRUE)*F572*IF(AND(Inputs!$B$4&lt;&gt;"pvp",Inputs!$B$35&gt;0),(((S572-1)*(Skills!Y10*(1+Inputs!$B$33/100))+MIN((Skills!Y10*(1+Inputs!$B$33/100)),MAX(0,Inputs!$B$35-((S572-1)*Skills!D10))))/Inputs!$B$35),IF(Inputs!$B$4="pvp",MIN((Skills!Y10*(1+Inputs!$B$33/100)),15)/15,(Skills!Y10*(1+Inputs!$B$33/100))/Skills!D10)))/100)*(1+((C577=TRUE)*F577*IF(AND(Inputs!$B$4&lt;&gt;"pvp",Inputs!$B$35&gt;0),(((S577-1)*(Skills!Y15*(1+Inputs!$B$33/100))+MIN((Skills!Y15*(1+Inputs!$B$33/100)),MAX(0,Inputs!$B$35-((S577-1)*Skills!D15))))/Inputs!$B$35),IF(Inputs!$B$4="pvp",MIN((Skills!Y15*(1+Inputs!$B$33/100)),15)/15,(Skills!Y15*(1+Inputs!$B$33/100))/Skills!D15)))/100))*B597*I568)</f>
        <v/>
      </c>
      <c r="L568">
        <f>K568*(MIN(Inputs!$B$21+((C586=TRUE)*(F586-Calc!F24)),Inputs!$B$22+((C591=TRUE)*(F591-Calc!F29)))/100+(Inputs!$B$22+((C591=TRUE)*(F591-Calc!F29)))/100)/2</f>
        <v/>
      </c>
      <c r="M568">
        <f>L568*(1+((Inputs!$B$9+1)+((C588=TRUE)*(F588-Calc!F26))+B602)/100)</f>
        <v/>
      </c>
      <c r="N568">
        <f>L568*(1-MIN((Inputs!$B$8+((C587=TRUE)*(F587-Calc!F25))+B595),100)/100)+M568*(MIN((Inputs!$B$8+((C587=TRUE)*(F587-Calc!F25))+B595),100)/100)</f>
        <v/>
      </c>
      <c r="O568">
        <f>IF(C568,H568*N568*IF(AND(Inputs!$B$4&lt;&gt;"pvp",Inputs!$B$35&gt;0),((Skills!G6*((R568-1)*IF(Skills!H6&gt;0,Skills!I6/Skills!H6,1)+IF(Skills!H6&gt;0,MIN(Skills!I6,MAX(0,Inputs!$B$35-((R568-1)*IF(Inputs!$B$4="pvp",15,MAX(0.1,Skills!D6-IF(Skills!E6=TRUE,Inputs!$B$31,0))))))/Skills!H6,1)))/Inputs!$B$35),G568*Q568)*IF(Inputs!$B$4="pvp",1,(1-Summary!$B$55)*(1)+Summary!$B$55*(MIN(Skills!W6,Inputs!$B$37))),0)</f>
        <v/>
      </c>
      <c r="P568">
        <f>IF(B607=0,0,O568/B607)</f>
        <v/>
      </c>
      <c r="Q568">
        <f>IFERROR(1/IF(Inputs!$B$4="pvp",15,MAX(0.1,Skills!D6-IF(Skills!E6=TRUE,Inputs!$B$31,0))),0)</f>
        <v/>
      </c>
      <c r="R568">
        <f>IF(AND(Inputs!$B$4&lt;&gt;"pvp",Inputs!$B$35&gt;0),(INT(Inputs!$B$35/IF(Inputs!$B$4="pvp",15,MAX(0.1,Skills!D6-IF(Skills!E6=TRUE,Inputs!$B$31,0))))+1),0)</f>
        <v/>
      </c>
      <c r="S568">
        <f>IFERROR(O568/N568,0)</f>
        <v/>
      </c>
    </row>
    <row r="569">
      <c r="A569">
        <f>Skills!A7</f>
        <v/>
      </c>
      <c r="B569">
        <f>Skills!B7</f>
        <v/>
      </c>
      <c r="C569">
        <f>Inputs!$B$3&gt;=60</f>
        <v/>
      </c>
      <c r="D569">
        <f>IF(Skills!C7=1,60+Inputs!$B$24+Inputs!$B$28,IF(Skills!C7=2,90+Inputs!$B$25+Inputs!$B$28,IF(Skills!C7=3,120+Inputs!$B$26+Inputs!$B$28,MAX(0,(Inputs!$B$3-100)*3)+Inputs!$B$27+Inputs!$B$28)))</f>
        <v/>
      </c>
      <c r="E569">
        <f>INDEX(FactorTable!$B$2:$Y$301, MATCH(ROUND(MIN(300,MAX(1,D569)),0), FactorTable!$A$2:$A$301,0), Skills!M7+1)</f>
        <v/>
      </c>
      <c r="F569">
        <f>IF(Skills!N7=TRUE,(Skills!L7/10)*(E569/1000),Skills!L7/10)+Skills!O7</f>
        <v/>
      </c>
      <c r="G569">
        <f>Skills!G7*IF(Skills!H7&gt;0,Skills!I7/Skills!H7,1)</f>
        <v/>
      </c>
      <c r="H569">
        <f>1-(1-Skills!J7/100)^Skills!K7</f>
        <v/>
      </c>
      <c r="I569" t="inlineStr">
        <is>
          <t>1</t>
        </is>
      </c>
      <c r="J569" t="inlineStr"/>
      <c r="K569" t="inlineStr"/>
      <c r="L569" t="inlineStr"/>
      <c r="M569" t="inlineStr"/>
      <c r="N569" t="inlineStr"/>
      <c r="O569" t="n">
        <v>0</v>
      </c>
      <c r="P569">
        <f>IF(B607=0,0,O569/B607)</f>
        <v/>
      </c>
      <c r="Q569" t="n">
        <v>0</v>
      </c>
      <c r="R569" t="n">
        <v>0</v>
      </c>
      <c r="S569">
        <f>IFERROR(O569/N569,0)</f>
        <v/>
      </c>
    </row>
    <row r="570">
      <c r="A570">
        <f>Skills!A8</f>
        <v/>
      </c>
      <c r="B570">
        <f>Skills!B8</f>
        <v/>
      </c>
      <c r="C570">
        <f>Inputs!$B$3&gt;=72</f>
        <v/>
      </c>
      <c r="D570">
        <f>IF(Skills!C8=1,60+Inputs!$B$24+Inputs!$B$28,IF(Skills!C8=2,90+Inputs!$B$25+Inputs!$B$28,IF(Skills!C8=3,120+Inputs!$B$26+Inputs!$B$28,MAX(0,(Inputs!$B$3-100)*3)+Inputs!$B$27+Inputs!$B$28)))</f>
        <v/>
      </c>
      <c r="E570">
        <f>INDEX(FactorTable!$B$2:$Y$301, MATCH(ROUND(MIN(300,MAX(1,D570)),0), FactorTable!$A$2:$A$301,0), Skills!M8+1)</f>
        <v/>
      </c>
      <c r="F570">
        <f>IF(Skills!N8=TRUE,(Skills!L8/10)*(E570/1000),Skills!L8/10)+Skills!O8</f>
        <v/>
      </c>
      <c r="G570">
        <f>Skills!G8*IF(Skills!H8&gt;0,Skills!I8/Skills!H8,1)</f>
        <v/>
      </c>
      <c r="H570">
        <f>1-(1-Skills!J8/100)^Skills!K8</f>
        <v/>
      </c>
      <c r="I570" t="inlineStr">
        <is>
          <t>1</t>
        </is>
      </c>
      <c r="J570">
        <f>(Inputs!$B$5*(1+Inputs!$B$6/100))*(F570/100)</f>
        <v/>
      </c>
      <c r="K570">
        <f>J570*(1+((Inputs!$B$11*(1+Inputs!$B$12/100))*0.01+Inputs!$B$13*0.0025)/100)*(1+Inputs!$B$14/100)*(1+IF(Inputs!$B$4="pvp",0,(1-Summary!$B$55)*(Inputs!$B$19+0+Skills!P8+B596)+Summary!$B$55*(Inputs!$B$20+Skills!Q8+B596))/100)*(1+Inputs!$B$15/100)*(5000/(6000+Inputs!$B$7*(1-Inputs!$B$18/100)))*(1+(Inputs!$B$23+((C592=TRUE)*(F592-Calc!F30)))/100)*(1+3.3333333333333335*IF(C580=TRUE,F580,0)/100)*(1+(IF(Skills!A8="CRUEL_STAB",Inputs!$B$16+((C589=TRUE)*(F589-Calc!F27)),Inputs!$B$17+((C590=TRUE)*(F590-Calc!F28))))/100)*(((1+(((C583=TRUE)*F583*IF(AND(Inputs!$B$4&lt;&gt;"pvp",Inputs!$B$35&gt;0),(((S583-1)*(Skills!Y21*(1+Inputs!$B$33/100))+MIN((Skills!Y21*(1+Inputs!$B$33/100)),MAX(0,Inputs!$B$35-((S583-1)*Skills!D21))))/Inputs!$B$35),IF(Inputs!$B$4="pvp",MIN((Skills!Y21*(1+Inputs!$B$33/100)),15)/15,(Skills!Y21*(1+Inputs!$B$33/100))/Skills!D21)))+((C585=TRUE)*(F585-Calc!F23))+((C579=TRUE)*(F579-Calc!F17)))/100)*(1+((C572=TRUE)*F572*IF(AND(Inputs!$B$4&lt;&gt;"pvp",Inputs!$B$35&gt;0),(((S572-1)*(Skills!Y10*(1+Inputs!$B$33/100))+MIN((Skills!Y10*(1+Inputs!$B$33/100)),MAX(0,Inputs!$B$35-((S572-1)*Skills!D10))))/Inputs!$B$35),IF(Inputs!$B$4="pvp",MIN((Skills!Y10*(1+Inputs!$B$33/100)),15)/15,(Skills!Y10*(1+Inputs!$B$33/100))/Skills!D10)))/100)*(1+((C577=TRUE)*F577*IF(AND(Inputs!$B$4&lt;&gt;"pvp",Inputs!$B$35&gt;0),(((S577-1)*(Skills!Y15*(1+Inputs!$B$33/100))+MIN((Skills!Y15*(1+Inputs!$B$33/100)),MAX(0,Inputs!$B$35-((S577-1)*Skills!D15))))/Inputs!$B$35),IF(Inputs!$B$4="pvp",MIN((Skills!Y15*(1+Inputs!$B$33/100)),15)/15,(Skills!Y15*(1+Inputs!$B$33/100))/Skills!D15)))/100))*B597*I570)</f>
        <v/>
      </c>
      <c r="L570">
        <f>K570*(MIN(Inputs!$B$21+((C586=TRUE)*(F586-Calc!F24)),Inputs!$B$22+((C591=TRUE)*(F591-Calc!F29)))/100+(Inputs!$B$22+((C591=TRUE)*(F591-Calc!F29)))/100)/2</f>
        <v/>
      </c>
      <c r="M570">
        <f>L570*(1+((Inputs!$B$9+1)+((C588=TRUE)*(F588-Calc!F26))+B602)/100)</f>
        <v/>
      </c>
      <c r="N570">
        <f>L570*(1-MIN((Inputs!$B$8+((C587=TRUE)*(F587-Calc!F25))+B595),100)/100)+M570*(MIN((Inputs!$B$8+((C587=TRUE)*(F587-Calc!F25))+B595),100)/100)</f>
        <v/>
      </c>
      <c r="O570">
        <f>IF(C570,H570*N570*IF(AND(Inputs!$B$4&lt;&gt;"pvp",Inputs!$B$35&gt;0),((Skills!G8*((R570-1)*IF(Skills!H8&gt;0,Skills!I8/Skills!H8,1)+IF(Skills!H8&gt;0,MIN(Skills!I8,MAX(0,Inputs!$B$35-((R570-1)*IF(Inputs!$B$4="pvp",15,MAX(0.1,Skills!D8-IF(Skills!E8=TRUE,Inputs!$B$31,0))))))/Skills!H8,1)))/Inputs!$B$35),G570*Q570)*IF(Inputs!$B$4="pvp",1,(1-Summary!$B$55)*(1)+Summary!$B$55*(MIN(Skills!W8,Inputs!$B$37))),0)</f>
        <v/>
      </c>
      <c r="P570">
        <f>IF(B607=0,0,O570/B607)</f>
        <v/>
      </c>
      <c r="Q570">
        <f>IFERROR(1/IF(Inputs!$B$4="pvp",15,MAX(0.1,Skills!D8-IF(Skills!E8=TRUE,Inputs!$B$31,0))),0)</f>
        <v/>
      </c>
      <c r="R570">
        <f>IF(AND(Inputs!$B$4&lt;&gt;"pvp",Inputs!$B$35&gt;0),(INT(Inputs!$B$35/IF(Inputs!$B$4="pvp",15,MAX(0.1,Skills!D8-IF(Skills!E8=TRUE,Inputs!$B$31,0))))+1),0)</f>
        <v/>
      </c>
      <c r="S570">
        <f>IFERROR(O570/N570,0)</f>
        <v/>
      </c>
    </row>
    <row r="571">
      <c r="A571">
        <f>Skills!A9</f>
        <v/>
      </c>
      <c r="B571">
        <f>Skills!B9</f>
        <v/>
      </c>
      <c r="C571">
        <f>Inputs!$B$3&gt;=117</f>
        <v/>
      </c>
      <c r="D571">
        <f>IF(Skills!C9=1,60+Inputs!$B$24+Inputs!$B$28,IF(Skills!C9=2,90+Inputs!$B$25+Inputs!$B$28,IF(Skills!C9=3,120+Inputs!$B$26+Inputs!$B$28,MAX(0,(Inputs!$B$3-100)*3)+Inputs!$B$27+Inputs!$B$28)))</f>
        <v/>
      </c>
      <c r="E571">
        <f>INDEX(FactorTable!$B$2:$Y$301, MATCH(ROUND(MIN(300,MAX(1,D571)),0), FactorTable!$A$2:$A$301,0), Skills!M9+1)</f>
        <v/>
      </c>
      <c r="F571">
        <f>IF(Skills!N9=TRUE,(Skills!L9/10)*(E571/1000),Skills!L9/10)+Skills!O9</f>
        <v/>
      </c>
      <c r="G571">
        <f>Skills!G9*IF(Skills!H9&gt;0,Skills!I9/Skills!H9,1)</f>
        <v/>
      </c>
      <c r="H571">
        <f>1-(1-Skills!J9/100)^Skills!K9</f>
        <v/>
      </c>
      <c r="I571" t="inlineStr">
        <is>
          <t>1</t>
        </is>
      </c>
      <c r="J571">
        <f>(Inputs!$B$5*(1+Inputs!$B$6/100))*(F571/100)</f>
        <v/>
      </c>
      <c r="K571">
        <f>J571*(1+((Inputs!$B$11*(1+Inputs!$B$12/100))*0.01+Inputs!$B$13*0.0025)/100)*(1+Inputs!$B$14/100)*(1+IF(Inputs!$B$4="pvp",0,(1-Summary!$B$55)*(Inputs!$B$19+0+Skills!P9+B596)+Summary!$B$55*(Inputs!$B$20+Skills!Q9+B596))/100)*(1+Inputs!$B$15/100)*(5000/(6000+Inputs!$B$7*(1-Inputs!$B$18/100)))*(1+(Inputs!$B$23+((C592=TRUE)*(F592-Calc!F30)))/100)*(1+(IF(Skills!A9="CRUEL_STAB",Inputs!$B$16+((C589=TRUE)*(F589-Calc!F27)),Inputs!$B$17+((C590=TRUE)*(F590-Calc!F28))))/100)*(((1+(((C583=TRUE)*F583*IF(AND(Inputs!$B$4&lt;&gt;"pvp",Inputs!$B$35&gt;0),(((S583-1)*(Skills!Y21*(1+Inputs!$B$33/100))+MIN((Skills!Y21*(1+Inputs!$B$33/100)),MAX(0,Inputs!$B$35-((S583-1)*Skills!D21))))/Inputs!$B$35),IF(Inputs!$B$4="pvp",MIN((Skills!Y21*(1+Inputs!$B$33/100)),15)/15,(Skills!Y21*(1+Inputs!$B$33/100))/Skills!D21)))+((C585=TRUE)*(F585-Calc!F23))+((C579=TRUE)*(F579-Calc!F17)))/100)*(1+((C572=TRUE)*F572*IF(AND(Inputs!$B$4&lt;&gt;"pvp",Inputs!$B$35&gt;0),(((S572-1)*(Skills!Y10*(1+Inputs!$B$33/100))+MIN((Skills!Y10*(1+Inputs!$B$33/100)),MAX(0,Inputs!$B$35-((S572-1)*Skills!D10))))/Inputs!$B$35),IF(Inputs!$B$4="pvp",MIN((Skills!Y10*(1+Inputs!$B$33/100)),15)/15,(Skills!Y10*(1+Inputs!$B$33/100))/Skills!D10)))/100)*(1+((C577=TRUE)*F577*IF(AND(Inputs!$B$4&lt;&gt;"pvp",Inputs!$B$35&gt;0),(((S577-1)*(Skills!Y15*(1+Inputs!$B$33/100))+MIN((Skills!Y15*(1+Inputs!$B$33/100)),MAX(0,Inputs!$B$35-((S577-1)*Skills!D15))))/Inputs!$B$35),IF(Inputs!$B$4="pvp",MIN((Skills!Y15*(1+Inputs!$B$33/100)),15)/15,(Skills!Y15*(1+Inputs!$B$33/100))/Skills!D15)))/100))*B597*I571)</f>
        <v/>
      </c>
      <c r="L571">
        <f>K571*(MIN(Inputs!$B$21+((C586=TRUE)*(F586-Calc!F24)),Inputs!$B$22+((C591=TRUE)*(F591-Calc!F29)))/100+(Inputs!$B$22+((C591=TRUE)*(F591-Calc!F29)))/100)/2</f>
        <v/>
      </c>
      <c r="M571">
        <f>L571*(1+((Inputs!$B$9+1)+((C588=TRUE)*(F588-Calc!F26))+B602)/100)</f>
        <v/>
      </c>
      <c r="N571">
        <f>L571*(1-MIN((Inputs!$B$8+((C587=TRUE)*(F587-Calc!F25))+B595),100)/100)+M571*(MIN((Inputs!$B$8+((C587=TRUE)*(F587-Calc!F25))+B595),100)/100)</f>
        <v/>
      </c>
      <c r="O571">
        <f>IF(C571,0.2*SUMPRODUCT((Skills!Z2:Z30=TRUE)*(C564:C592=TRUE)*S564:S592)*N571,0)</f>
        <v/>
      </c>
      <c r="P571">
        <f>IF(B607=0,0,O571/B607)</f>
        <v/>
      </c>
      <c r="Q571" t="n">
        <v>0</v>
      </c>
      <c r="R571" t="n">
        <v>0</v>
      </c>
      <c r="S571" t="n">
        <v>0</v>
      </c>
    </row>
    <row r="572">
      <c r="A572">
        <f>Skills!A10</f>
        <v/>
      </c>
      <c r="B572">
        <f>Skills!B10</f>
        <v/>
      </c>
      <c r="C572">
        <f>Inputs!$B$3&gt;=74</f>
        <v/>
      </c>
      <c r="D572">
        <f>IF(Skills!C10=1,60+Inputs!$B$24+Inputs!$B$28,IF(Skills!C10=2,90+Inputs!$B$25+Inputs!$B$28,IF(Skills!C10=3,120+Inputs!$B$26+Inputs!$B$28,MAX(0,(Inputs!$B$3-100)*3)+Inputs!$B$27+Inputs!$B$28)))</f>
        <v/>
      </c>
      <c r="E572">
        <f>INDEX(FactorTable!$B$2:$Y$301, MATCH(ROUND(MIN(300,MAX(1,D572)),0), FactorTable!$A$2:$A$301,0), Skills!M10+1)</f>
        <v/>
      </c>
      <c r="F572">
        <f>IF(Skills!N10=TRUE,(Skills!L10/10)*(E572/1000),Skills!L10/10)+Skills!O10</f>
        <v/>
      </c>
      <c r="G572">
        <f>Skills!G10*IF(Skills!H10&gt;0,Skills!I10/Skills!H10,1)</f>
        <v/>
      </c>
      <c r="H572">
        <f>1-(1-Skills!J10/100)^Skills!K10</f>
        <v/>
      </c>
      <c r="I572" t="inlineStr">
        <is>
          <t>1</t>
        </is>
      </c>
      <c r="J572" t="inlineStr"/>
      <c r="K572" t="inlineStr"/>
      <c r="L572" t="inlineStr"/>
      <c r="M572" t="inlineStr"/>
      <c r="N572" t="inlineStr"/>
      <c r="O572" t="n">
        <v>0</v>
      </c>
      <c r="P572">
        <f>IF(B607=0,0,O572/B607)</f>
        <v/>
      </c>
      <c r="Q572">
        <f>IFERROR(1/IF(Inputs!$B$4="pvp",15,MAX(0.1,Skills!D10-IF(Skills!E10=TRUE,Inputs!$B$31,0))),0)</f>
        <v/>
      </c>
      <c r="R572">
        <f>IF(AND(Inputs!$B$4&lt;&gt;"pvp",Inputs!$B$35&gt;0),(INT(Inputs!$B$35/IF(Inputs!$B$4="pvp",15,MAX(0.1,Skills!D10-IF(Skills!E10=TRUE,Inputs!$B$31,0))))+1),0)</f>
        <v/>
      </c>
      <c r="S572">
        <f>IFERROR(O572/N572,0)</f>
        <v/>
      </c>
    </row>
    <row r="573">
      <c r="A573">
        <f>Skills!A11</f>
        <v/>
      </c>
      <c r="B573">
        <f>Skills!B11</f>
        <v/>
      </c>
      <c r="C573">
        <f>Inputs!$B$3&gt;=103</f>
        <v/>
      </c>
      <c r="D573">
        <f>IF(Skills!C11=1,60+Inputs!$B$24+Inputs!$B$28,IF(Skills!C11=2,90+Inputs!$B$25+Inputs!$B$28,IF(Skills!C11=3,120+Inputs!$B$26+Inputs!$B$28,MAX(0,(Inputs!$B$3-100)*3)+Inputs!$B$27+Inputs!$B$28)))</f>
        <v/>
      </c>
      <c r="E573">
        <f>INDEX(FactorTable!$B$2:$Y$301, MATCH(ROUND(MIN(300,MAX(1,D573)),0), FactorTable!$A$2:$A$301,0), Skills!M11+1)</f>
        <v/>
      </c>
      <c r="F573">
        <f>(Skills!L11/10)*(E573/1000)+IF(Inputs!$B$3&gt;=134,50,0)+0.5*(30000/10)*(INDEX(FactorTable!$B$2:$Y$301, MATCH(ROUND(MIN(300,MAX(1,D573)),0), FactorTable!$A$2:$A$301,0), 13)/1000)*B605</f>
        <v/>
      </c>
      <c r="G573">
        <f>Skills!G11*IF(Skills!H11&gt;0,Skills!I11/Skills!H11,1)</f>
        <v/>
      </c>
      <c r="H573">
        <f>1-(1-Skills!J11/100)^Skills!K11</f>
        <v/>
      </c>
      <c r="I573" t="inlineStr">
        <is>
          <t>1</t>
        </is>
      </c>
      <c r="J573">
        <f>(Inputs!$B$5*(1+Inputs!$B$6/100))*(F573/100)</f>
        <v/>
      </c>
      <c r="K573">
        <f>J573*(1+((Inputs!$B$11*(1+Inputs!$B$12/100))*0.01+Inputs!$B$13*0.0025)/100)*(1+Inputs!$B$14/100)*(1+IF(Inputs!$B$4="pvp",0,(1-Summary!$B$55)*(Inputs!$B$19+0+Skills!P11+B596)+Summary!$B$55*(Inputs!$B$20+Skills!Q11+B596))/100)*(1+Inputs!$B$15/100)*(5000/(6000+Inputs!$B$7*(1-Inputs!$B$18/100)))*(1+(Inputs!$B$23+((C592=TRUE)*(F592-Calc!F30)))/100)*(1+(IF(Skills!A11="CRUEL_STAB",Inputs!$B$16+((C589=TRUE)*(F589-Calc!F27)),Inputs!$B$17+((C590=TRUE)*(F590-Calc!F28))))/100)*(((1+(((C583=TRUE)*F583*IF(AND(Inputs!$B$4&lt;&gt;"pvp",Inputs!$B$35&gt;0),(((S583-1)*(Skills!Y21*(1+Inputs!$B$33/100))+MIN((Skills!Y21*(1+Inputs!$B$33/100)),MAX(0,Inputs!$B$35-((S583-1)*Skills!D21))))/Inputs!$B$35),IF(Inputs!$B$4="pvp",MIN((Skills!Y21*(1+Inputs!$B$33/100)),15)/15,(Skills!Y21*(1+Inputs!$B$33/100))/Skills!D21)))+((C585=TRUE)*(F585-Calc!F23))+((C579=TRUE)*(F579-Calc!F17)))/100)*(1+((C572=TRUE)*F572*IF(AND(Inputs!$B$4&lt;&gt;"pvp",Inputs!$B$35&gt;0),(((S572-1)*(Skills!Y10*(1+Inputs!$B$33/100))+MIN((Skills!Y10*(1+Inputs!$B$33/100)),MAX(0,Inputs!$B$35-((S572-1)*Skills!D10))))/Inputs!$B$35),IF(Inputs!$B$4="pvp",MIN((Skills!Y10*(1+Inputs!$B$33/100)),15)/15,(Skills!Y10*(1+Inputs!$B$33/100))/Skills!D10)))/100)*(1+((C577=TRUE)*F577*IF(AND(Inputs!$B$4&lt;&gt;"pvp",Inputs!$B$35&gt;0),(((S577-1)*(Skills!Y15*(1+Inputs!$B$33/100))+MIN((Skills!Y15*(1+Inputs!$B$33/100)),MAX(0,Inputs!$B$35-((S577-1)*Skills!D15))))/Inputs!$B$35),IF(Inputs!$B$4="pvp",MIN((Skills!Y15*(1+Inputs!$B$33/100)),15)/15,(Skills!Y15*(1+Inputs!$B$33/100))/Skills!D15)))/100))*B597*I573)</f>
        <v/>
      </c>
      <c r="L573">
        <f>K573*(MIN(Inputs!$B$21+((C586=TRUE)*(F586-Calc!F24)),Inputs!$B$22+((C591=TRUE)*(F591-Calc!F29)))/100+(Inputs!$B$22+((C591=TRUE)*(F591-Calc!F29)))/100)/2</f>
        <v/>
      </c>
      <c r="M573">
        <f>L573*(1+((Inputs!$B$9+1)+((C588=TRUE)*(F588-Calc!F26))+B602)/100)</f>
        <v/>
      </c>
      <c r="N573">
        <f>L573*(1-MIN((Inputs!$B$8+((C587=TRUE)*(F587-Calc!F25))+B595),100)/100)+M573*(MIN((Inputs!$B$8+((C587=TRUE)*(F587-Calc!F25))+B595),100)/100)</f>
        <v/>
      </c>
      <c r="O573">
        <f>IF(C573,H573*N573*IF(AND(Inputs!$B$4&lt;&gt;"pvp",Inputs!$B$35&gt;0),((Skills!G11*((R573-1)*IF(Skills!H11&gt;0,Skills!I11/Skills!H11,1)+IF(Skills!H11&gt;0,MIN(Skills!I11,MAX(0,Inputs!$B$35-((R573-1)*IF(Inputs!$B$4="pvp",15,MAX(0.1,Skills!D11-IF(Skills!E11=TRUE,Inputs!$B$31,0))))))/Skills!H11,1)))/Inputs!$B$35),G573*Q573)*IF(Inputs!$B$4="pvp",1,(1-Summary!$B$55)*(1)+Summary!$B$55*(MIN(Skills!W11,Inputs!$B$37))),0)</f>
        <v/>
      </c>
      <c r="P573">
        <f>IF(B607=0,0,O573/B607)</f>
        <v/>
      </c>
      <c r="Q573">
        <f>IFERROR(1/IF(Inputs!$B$4="pvp",15,MAX(0.1,Skills!D11-IF(Skills!E11=TRUE,Inputs!$B$31,0))),0)</f>
        <v/>
      </c>
      <c r="R573">
        <f>IF(AND(Inputs!$B$4&lt;&gt;"pvp",Inputs!$B$35&gt;0),(INT(Inputs!$B$35/IF(Inputs!$B$4="pvp",15,MAX(0.1,Skills!D11-IF(Skills!E11=TRUE,Inputs!$B$31,0))))+1),0)</f>
        <v/>
      </c>
      <c r="S573">
        <f>IFERROR(O573/N573,0)</f>
        <v/>
      </c>
    </row>
    <row r="574">
      <c r="A574">
        <f>Skills!A12</f>
        <v/>
      </c>
      <c r="B574">
        <f>Skills!B12</f>
        <v/>
      </c>
      <c r="C574">
        <f>Inputs!$B$3&gt;=105</f>
        <v/>
      </c>
      <c r="D574">
        <f>IF(Skills!C12=1,60+Inputs!$B$24+Inputs!$B$28,IF(Skills!C12=2,90+Inputs!$B$25+Inputs!$B$28,IF(Skills!C12=3,120+Inputs!$B$26+Inputs!$B$28,MAX(0,(Inputs!$B$3-100)*3)+Inputs!$B$27+Inputs!$B$28)))</f>
        <v/>
      </c>
      <c r="E574">
        <f>INDEX(FactorTable!$B$2:$Y$301, MATCH(ROUND(MIN(300,MAX(1,D574)),0), FactorTable!$A$2:$A$301,0), Skills!M12+1)</f>
        <v/>
      </c>
      <c r="F574">
        <f>IF(Skills!N12=TRUE,(Skills!L12/10)*(E574/1000),Skills!L12/10)+Skills!O12</f>
        <v/>
      </c>
      <c r="G574">
        <f>Skills!G12*IF(Skills!H12&gt;0,Skills!I12/Skills!H12,1)</f>
        <v/>
      </c>
      <c r="H574">
        <f>1-(1-Skills!J12/100)^Skills!K12</f>
        <v/>
      </c>
      <c r="I574" t="inlineStr">
        <is>
          <t>1</t>
        </is>
      </c>
      <c r="J574">
        <f>(Inputs!$B$5*(1+Inputs!$B$6/100))*(F574/100)</f>
        <v/>
      </c>
      <c r="K574">
        <f>J574*(1+((Inputs!$B$11*(1+Inputs!$B$12/100))*0.01+Inputs!$B$13*0.0025)/100)*(1+Inputs!$B$14/100)*(1+IF(Inputs!$B$4="pvp",0,(1-Summary!$B$55)*(Inputs!$B$19+0+Skills!P12+B596)+Summary!$B$55*(Inputs!$B$20+Skills!Q12+B596))/100)*(1+Inputs!$B$15/100)*(5000/(6000+Inputs!$B$7*(1-Inputs!$B$18/100)))*(1+(Inputs!$B$23+((C592=TRUE)*(F592-Calc!F30)))/100)*(1+(IF(Skills!A12="CRUEL_STAB",Inputs!$B$16+((C589=TRUE)*(F589-Calc!F27)),Inputs!$B$17+((C590=TRUE)*(F590-Calc!F28))))/100)*(((1+(((C583=TRUE)*F583*IF(AND(Inputs!$B$4&lt;&gt;"pvp",Inputs!$B$35&gt;0),(((S583-1)*(Skills!Y21*(1+Inputs!$B$33/100))+MIN((Skills!Y21*(1+Inputs!$B$33/100)),MAX(0,Inputs!$B$35-((S583-1)*Skills!D21))))/Inputs!$B$35),IF(Inputs!$B$4="pvp",MIN((Skills!Y21*(1+Inputs!$B$33/100)),15)/15,(Skills!Y21*(1+Inputs!$B$33/100))/Skills!D21)))+((C585=TRUE)*(F585-Calc!F23))+((C579=TRUE)*(F579-Calc!F17)))/100)*(1+((C572=TRUE)*F572*IF(AND(Inputs!$B$4&lt;&gt;"pvp",Inputs!$B$35&gt;0),(((S572-1)*(Skills!Y10*(1+Inputs!$B$33/100))+MIN((Skills!Y10*(1+Inputs!$B$33/100)),MAX(0,Inputs!$B$35-((S572-1)*Skills!D10))))/Inputs!$B$35),IF(Inputs!$B$4="pvp",MIN((Skills!Y10*(1+Inputs!$B$33/100)),15)/15,(Skills!Y10*(1+Inputs!$B$33/100))/Skills!D10)))/100)*(1+((C577=TRUE)*F577*IF(AND(Inputs!$B$4&lt;&gt;"pvp",Inputs!$B$35&gt;0),(((S577-1)*(Skills!Y15*(1+Inputs!$B$33/100))+MIN((Skills!Y15*(1+Inputs!$B$33/100)),MAX(0,Inputs!$B$35-((S577-1)*Skills!D15))))/Inputs!$B$35),IF(Inputs!$B$4="pvp",MIN((Skills!Y15*(1+Inputs!$B$33/100)),15)/15,(Skills!Y15*(1+Inputs!$B$33/100))/Skills!D15)))/100))*B597*I574)</f>
        <v/>
      </c>
      <c r="L574">
        <f>K574*(MIN(Inputs!$B$21+((C586=TRUE)*(F586-Calc!F24)),Inputs!$B$22+((C591=TRUE)*(F591-Calc!F29)))/100+(Inputs!$B$22+((C591=TRUE)*(F591-Calc!F29)))/100)/2</f>
        <v/>
      </c>
      <c r="M574">
        <f>L574*(1+((Inputs!$B$9+1)+((C588=TRUE)*(F588-Calc!F26))+B602)/100)</f>
        <v/>
      </c>
      <c r="N574">
        <f>L574*(1-MIN((Inputs!$B$8+((C587=TRUE)*(F587-Calc!F25))+B595),100)/100)+M574*(MIN((Inputs!$B$8+((C587=TRUE)*(F587-Calc!F25))+B595),100)/100)</f>
        <v/>
      </c>
      <c r="O574">
        <f>IF(C574,H574*N574*IF(AND(Inputs!$B$4&lt;&gt;"pvp",Inputs!$B$35&gt;0),((Skills!G12*((R574-1)*IF(Skills!H12&gt;0,Skills!I12/Skills!H12,1)+IF(Skills!H12&gt;0,MIN(Skills!I12,MAX(0,Inputs!$B$35-((R574-1)*IF(Inputs!$B$4="pvp",15,MAX(0.1,Skills!D12-IF(Skills!E12=TRUE,Inputs!$B$31,0))))))/Skills!H12,1)))/Inputs!$B$35),G574*Q574)*IF(Inputs!$B$4="pvp",1,(1-Summary!$B$55)*(1)+Summary!$B$55*(MIN(Skills!W12,Inputs!$B$37))),0)</f>
        <v/>
      </c>
      <c r="P574">
        <f>IF(B607=0,0,O574/B607)</f>
        <v/>
      </c>
      <c r="Q574">
        <f>IFERROR(1/IF(Inputs!$B$4="pvp",15,MAX(0.1,Skills!D12-IF(Skills!E12=TRUE,Inputs!$B$31,0))),0)</f>
        <v/>
      </c>
      <c r="R574">
        <f>IF(AND(Inputs!$B$4&lt;&gt;"pvp",Inputs!$B$35&gt;0),(INT(Inputs!$B$35/IF(Inputs!$B$4="pvp",15,MAX(0.1,Skills!D12-IF(Skills!E12=TRUE,Inputs!$B$31,0))))+1),0)</f>
        <v/>
      </c>
      <c r="S574">
        <f>IFERROR(O574/N574,0)</f>
        <v/>
      </c>
    </row>
    <row r="575">
      <c r="A575">
        <f>Skills!A13</f>
        <v/>
      </c>
      <c r="B575">
        <f>Skills!B13</f>
        <v/>
      </c>
      <c r="C575">
        <f>Inputs!$B$3&gt;=105</f>
        <v/>
      </c>
      <c r="D575">
        <f>IF(Skills!C13=1,60+Inputs!$B$24+Inputs!$B$28,IF(Skills!C13=2,90+Inputs!$B$25+Inputs!$B$28,IF(Skills!C13=3,120+Inputs!$B$26+Inputs!$B$28,MAX(0,(Inputs!$B$3-100)*3)+Inputs!$B$27+Inputs!$B$28)))</f>
        <v/>
      </c>
      <c r="E575">
        <f>INDEX(FactorTable!$B$2:$Y$301, MATCH(ROUND(MIN(300,MAX(1,D575)),0), FactorTable!$A$2:$A$301,0), Skills!M13+1)</f>
        <v/>
      </c>
      <c r="F575">
        <f>IF(Skills!N13=TRUE,(Skills!L13/10)*(E575/1000),Skills!L13/10)+Skills!O13</f>
        <v/>
      </c>
      <c r="G575">
        <f>Skills!G13*IF(Skills!H13&gt;0,Skills!I13/Skills!H13,1)</f>
        <v/>
      </c>
      <c r="H575">
        <f>1-(1-Skills!J13/100)^Skills!K13</f>
        <v/>
      </c>
      <c r="I575" t="inlineStr">
        <is>
          <t>1</t>
        </is>
      </c>
      <c r="J575">
        <f>(Inputs!$B$5*(1+Inputs!$B$6/100))*(F575/100)</f>
        <v/>
      </c>
      <c r="K575">
        <f>J575*(1+((Inputs!$B$11*(1+Inputs!$B$12/100))*0.01+Inputs!$B$13*0.0025)/100)*(1+Inputs!$B$14/100)*(1+IF(Inputs!$B$4="pvp",0,(1-Summary!$B$55)*(Inputs!$B$19+0+Skills!P13+B596)+Summary!$B$55*(Inputs!$B$20+Skills!Q13+B596))/100)*(1+Inputs!$B$15/100)*(5000/(6000+Inputs!$B$7*(1-Inputs!$B$18/100)))*(1+(Inputs!$B$23+((C592=TRUE)*(F592-Calc!F30)))/100)*(1+(IF(Skills!A13="CRUEL_STAB",Inputs!$B$16+((C589=TRUE)*(F589-Calc!F27)),Inputs!$B$17+((C590=TRUE)*(F590-Calc!F28))))/100)*(((1+(((C583=TRUE)*F583*IF(AND(Inputs!$B$4&lt;&gt;"pvp",Inputs!$B$35&gt;0),(((S583-1)*(Skills!Y21*(1+Inputs!$B$33/100))+MIN((Skills!Y21*(1+Inputs!$B$33/100)),MAX(0,Inputs!$B$35-((S583-1)*Skills!D21))))/Inputs!$B$35),IF(Inputs!$B$4="pvp",MIN((Skills!Y21*(1+Inputs!$B$33/100)),15)/15,(Skills!Y21*(1+Inputs!$B$33/100))/Skills!D21)))+((C585=TRUE)*(F585-Calc!F23))+((C579=TRUE)*(F579-Calc!F17)))/100)*(1+((C572=TRUE)*F572*IF(AND(Inputs!$B$4&lt;&gt;"pvp",Inputs!$B$35&gt;0),(((S572-1)*(Skills!Y10*(1+Inputs!$B$33/100))+MIN((Skills!Y10*(1+Inputs!$B$33/100)),MAX(0,Inputs!$B$35-((S572-1)*Skills!D10))))/Inputs!$B$35),IF(Inputs!$B$4="pvp",MIN((Skills!Y10*(1+Inputs!$B$33/100)),15)/15,(Skills!Y10*(1+Inputs!$B$33/100))/Skills!D10)))/100)*(1+((C577=TRUE)*F577*IF(AND(Inputs!$B$4&lt;&gt;"pvp",Inputs!$B$35&gt;0),(((S577-1)*(Skills!Y15*(1+Inputs!$B$33/100))+MIN((Skills!Y15*(1+Inputs!$B$33/100)),MAX(0,Inputs!$B$35-((S577-1)*Skills!D15))))/Inputs!$B$35),IF(Inputs!$B$4="pvp",MIN((Skills!Y15*(1+Inputs!$B$33/100)),15)/15,(Skills!Y15*(1+Inputs!$B$33/100))/Skills!D15)))/100))*B597*I575)</f>
        <v/>
      </c>
      <c r="L575">
        <f>K575*(MIN(Inputs!$B$21+((C586=TRUE)*(F586-Calc!F24)),Inputs!$B$22+((C591=TRUE)*(F591-Calc!F29)))/100+(Inputs!$B$22+((C591=TRUE)*(F591-Calc!F29)))/100)/2</f>
        <v/>
      </c>
      <c r="M575">
        <f>L575*(1+((Inputs!$B$9+1)+((C588=TRUE)*(F588-Calc!F26))+B602)/100)</f>
        <v/>
      </c>
      <c r="N575">
        <f>L575*(1-MIN((Inputs!$B$8+((C587=TRUE)*(F587-Calc!F25))+B595),100)/100)+M575*(MIN((Inputs!$B$8+((C587=TRUE)*(F587-Calc!F25))+B595),100)/100)</f>
        <v/>
      </c>
      <c r="O575">
        <f>IF(C575,H575*N575*IF(AND(Inputs!$B$4&lt;&gt;"pvp",Inputs!$B$35&gt;0),((Skills!G13*((R575-1)*IF(Skills!H13&gt;0,Skills!I13/Skills!H13,1)+IF(Skills!H13&gt;0,MIN(Skills!I13,MAX(0,Inputs!$B$35-((R575-1)*IF(Inputs!$B$4="pvp",15,MAX(0.1,Skills!D13-IF(Skills!E13=TRUE,Inputs!$B$31,0))))))/Skills!H13,1)))/Inputs!$B$35),G575*Q575)*IF(Inputs!$B$4="pvp",1,(1-Summary!$B$55)*(1)+Summary!$B$55*(MIN(Skills!W13,Inputs!$B$37))),0)</f>
        <v/>
      </c>
      <c r="P575">
        <f>IF(B607=0,0,O575/B607)</f>
        <v/>
      </c>
      <c r="Q575">
        <f>IFERROR(1/IF(Inputs!$B$4="pvp",15,MAX(0.1,Skills!D13-IF(Skills!E13=TRUE,Inputs!$B$31,0))),0)</f>
        <v/>
      </c>
      <c r="R575">
        <f>IF(AND(Inputs!$B$4&lt;&gt;"pvp",Inputs!$B$35&gt;0),(INT(Inputs!$B$35/IF(Inputs!$B$4="pvp",15,MAX(0.1,Skills!D13-IF(Skills!E13=TRUE,Inputs!$B$31,0))))+1),0)</f>
        <v/>
      </c>
      <c r="S575">
        <f>IFERROR(O575/N575,0)</f>
        <v/>
      </c>
    </row>
    <row r="576">
      <c r="A576">
        <f>Skills!A14</f>
        <v/>
      </c>
      <c r="B576">
        <f>Skills!B14</f>
        <v/>
      </c>
      <c r="C576">
        <f>Inputs!$B$3&gt;=107</f>
        <v/>
      </c>
      <c r="D576">
        <f>IF(Skills!C14=1,60+Inputs!$B$24+Inputs!$B$28,IF(Skills!C14=2,90+Inputs!$B$25+Inputs!$B$28,IF(Skills!C14=3,120+Inputs!$B$26+Inputs!$B$28,MAX(0,(Inputs!$B$3-100)*3)+Inputs!$B$27+Inputs!$B$28)))</f>
        <v/>
      </c>
      <c r="E576">
        <f>INDEX(FactorTable!$B$2:$Y$301, MATCH(ROUND(MIN(300,MAX(1,D576)),0), FactorTable!$A$2:$A$301,0), Skills!M14+1)</f>
        <v/>
      </c>
      <c r="F576">
        <f>IF(Skills!N14=TRUE,(Skills!L14/10)*(E576/1000),Skills!L14/10)+Skills!O14</f>
        <v/>
      </c>
      <c r="G576">
        <f>Skills!G14*IF(Skills!H14&gt;0,Skills!I14/Skills!H14,1)</f>
        <v/>
      </c>
      <c r="H576">
        <f>1-(1-Skills!J14/100)^Skills!K14</f>
        <v/>
      </c>
      <c r="I576" t="inlineStr">
        <is>
          <t>1</t>
        </is>
      </c>
      <c r="J576">
        <f>(Inputs!$B$5*(1+Inputs!$B$6/100))*(F576/100)</f>
        <v/>
      </c>
      <c r="K576">
        <f>J576*(1+((Inputs!$B$11*(1+Inputs!$B$12/100))*0.01+Inputs!$B$13*0.0025)/100)*(1+Inputs!$B$14/100)*(1+IF(Inputs!$B$4="pvp",0,(1-Summary!$B$55)*(Inputs!$B$19+0+Skills!P14+B596)+Summary!$B$55*(Inputs!$B$20+Skills!Q14+B596))/100)*(1+Inputs!$B$15/100)*(5000/(6000+Inputs!$B$7*(1-Inputs!$B$18/100)))*(1+(Inputs!$B$23+((C592=TRUE)*(F592-Calc!F30)))/100)*(1+(IF(Skills!A14="CRUEL_STAB",Inputs!$B$16+((C589=TRUE)*(F589-Calc!F27)),Inputs!$B$17+((C590=TRUE)*(F590-Calc!F28))))/100)*(((1+(((C583=TRUE)*F583*IF(AND(Inputs!$B$4&lt;&gt;"pvp",Inputs!$B$35&gt;0),(((S583-1)*(Skills!Y21*(1+Inputs!$B$33/100))+MIN((Skills!Y21*(1+Inputs!$B$33/100)),MAX(0,Inputs!$B$35-((S583-1)*Skills!D21))))/Inputs!$B$35),IF(Inputs!$B$4="pvp",MIN((Skills!Y21*(1+Inputs!$B$33/100)),15)/15,(Skills!Y21*(1+Inputs!$B$33/100))/Skills!D21)))+((C585=TRUE)*(F585-Calc!F23))+((C579=TRUE)*(F579-Calc!F17)))/100)*(1+((C572=TRUE)*F572*IF(AND(Inputs!$B$4&lt;&gt;"pvp",Inputs!$B$35&gt;0),(((S572-1)*(Skills!Y10*(1+Inputs!$B$33/100))+MIN((Skills!Y10*(1+Inputs!$B$33/100)),MAX(0,Inputs!$B$35-((S572-1)*Skills!D10))))/Inputs!$B$35),IF(Inputs!$B$4="pvp",MIN((Skills!Y10*(1+Inputs!$B$33/100)),15)/15,(Skills!Y10*(1+Inputs!$B$33/100))/Skills!D10)))/100)*(1+((C577=TRUE)*F577*IF(AND(Inputs!$B$4&lt;&gt;"pvp",Inputs!$B$35&gt;0),(((S577-1)*(Skills!Y15*(1+Inputs!$B$33/100))+MIN((Skills!Y15*(1+Inputs!$B$33/100)),MAX(0,Inputs!$B$35-((S577-1)*Skills!D15))))/Inputs!$B$35),IF(Inputs!$B$4="pvp",MIN((Skills!Y15*(1+Inputs!$B$33/100)),15)/15,(Skills!Y15*(1+Inputs!$B$33/100))/Skills!D15)))/100))*B597*I576)</f>
        <v/>
      </c>
      <c r="L576">
        <f>K576*(MIN(Inputs!$B$21+((C586=TRUE)*(F586-Calc!F24)),Inputs!$B$22+((C591=TRUE)*(F591-Calc!F29)))/100+(Inputs!$B$22+((C591=TRUE)*(F591-Calc!F29)))/100)/2</f>
        <v/>
      </c>
      <c r="M576">
        <f>L576*(1+((Inputs!$B$9+1)+((C588=TRUE)*(F588-Calc!F26))+B602)/100)</f>
        <v/>
      </c>
      <c r="N576">
        <f>L576*(1-MIN((Inputs!$B$8+((C587=TRUE)*(F587-Calc!F25))+B595),100)/100)+M576*(MIN((Inputs!$B$8+((C587=TRUE)*(F587-Calc!F25))+B595),100)/100)</f>
        <v/>
      </c>
      <c r="O576">
        <f>IF(C576,H576*N576*IF(AND(Inputs!$B$4&lt;&gt;"pvp",Inputs!$B$35&gt;0),((Skills!G14*((R576-1)*IF(Skills!H14&gt;0,Skills!I14/Skills!H14,1)+IF(Skills!H14&gt;0,MIN(Skills!I14,MAX(0,Inputs!$B$35-((R576-1)*IF(Inputs!$B$4="pvp",15,MAX(0.1,Skills!D14-IF(Skills!E14=TRUE,Inputs!$B$31,0))))))/Skills!H14,1)))/Inputs!$B$35),G576*Q576)*IF(Inputs!$B$4="pvp",1,(1-Summary!$B$55)*(1)+Summary!$B$55*(MIN(MIN(5,0.25*B599*Skills!D4)*Skills!V14,Inputs!$B$37))),0)</f>
        <v/>
      </c>
      <c r="P576">
        <f>IF(B607=0,0,O576/B607)</f>
        <v/>
      </c>
      <c r="Q576">
        <f>IFERROR(1/IF(Inputs!$B$4="pvp",15,MAX(0.1,Skills!D14-IF(Skills!E14=TRUE,Inputs!$B$31,0))),0)</f>
        <v/>
      </c>
      <c r="R576">
        <f>IF(AND(Inputs!$B$4&lt;&gt;"pvp",Inputs!$B$35&gt;0),(INT(Inputs!$B$35/IF(Inputs!$B$4="pvp",15,MAX(0.1,Skills!D14-IF(Skills!E14=TRUE,Inputs!$B$31,0))))+1),0)</f>
        <v/>
      </c>
      <c r="S576">
        <f>IFERROR(O576/N576,0)</f>
        <v/>
      </c>
    </row>
    <row r="577">
      <c r="A577">
        <f>Skills!A15</f>
        <v/>
      </c>
      <c r="B577">
        <f>Skills!B15</f>
        <v/>
      </c>
      <c r="C577">
        <f>Inputs!$B$3&gt;=110</f>
        <v/>
      </c>
      <c r="D577">
        <f>IF(Skills!C15=1,60+Inputs!$B$24+Inputs!$B$28,IF(Skills!C15=2,90+Inputs!$B$25+Inputs!$B$28,IF(Skills!C15=3,120+Inputs!$B$26+Inputs!$B$28,MAX(0,(Inputs!$B$3-100)*3)+Inputs!$B$27+Inputs!$B$28)))</f>
        <v/>
      </c>
      <c r="E577">
        <f>INDEX(FactorTable!$B$2:$Y$301, MATCH(ROUND(MIN(300,MAX(1,D577)),0), FactorTable!$A$2:$A$301,0), Skills!M15+1)</f>
        <v/>
      </c>
      <c r="F577">
        <f>IF(Skills!N15=TRUE,(Skills!L15/10)*(E577/1000),Skills!L15/10)+Skills!O15</f>
        <v/>
      </c>
      <c r="G577">
        <f>Skills!G15*IF(Skills!H15&gt;0,Skills!I15/Skills!H15,1)</f>
        <v/>
      </c>
      <c r="H577">
        <f>1-(1-Skills!J15/100)^Skills!K15</f>
        <v/>
      </c>
      <c r="I577" t="inlineStr">
        <is>
          <t>1</t>
        </is>
      </c>
      <c r="J577" t="inlineStr"/>
      <c r="K577" t="inlineStr"/>
      <c r="L577" t="inlineStr"/>
      <c r="M577" t="inlineStr"/>
      <c r="N577" t="inlineStr"/>
      <c r="O577" t="n">
        <v>0</v>
      </c>
      <c r="P577">
        <f>IF(B607=0,0,O577/B607)</f>
        <v/>
      </c>
      <c r="Q577">
        <f>IFERROR(1/IF(Inputs!$B$4="pvp",15,MAX(0.1,Skills!D15-IF(Skills!E15=TRUE,Inputs!$B$31,0))),0)</f>
        <v/>
      </c>
      <c r="R577">
        <f>IF(AND(Inputs!$B$4&lt;&gt;"pvp",Inputs!$B$35&gt;0),(INT(Inputs!$B$35/IF(Inputs!$B$4="pvp",15,MAX(0.1,Skills!D15-IF(Skills!E15=TRUE,Inputs!$B$31,0))))+1),0)</f>
        <v/>
      </c>
      <c r="S577">
        <f>IFERROR(O577/N577,0)</f>
        <v/>
      </c>
    </row>
    <row r="578">
      <c r="A578">
        <f>Skills!A16</f>
        <v/>
      </c>
      <c r="B578">
        <f>Skills!B16</f>
        <v/>
      </c>
      <c r="C578">
        <f>Inputs!$B$3&gt;=115</f>
        <v/>
      </c>
      <c r="D578">
        <f>IF(Skills!C16=1,60+Inputs!$B$24+Inputs!$B$28,IF(Skills!C16=2,90+Inputs!$B$25+Inputs!$B$28,IF(Skills!C16=3,120+Inputs!$B$26+Inputs!$B$28,MAX(0,(Inputs!$B$3-100)*3)+Inputs!$B$27+Inputs!$B$28)))</f>
        <v/>
      </c>
      <c r="E578">
        <f>INDEX(FactorTable!$B$2:$Y$301, MATCH(ROUND(MIN(300,MAX(1,D578)),0), FactorTable!$A$2:$A$301,0), Skills!M16+1)</f>
        <v/>
      </c>
      <c r="F578">
        <f>IF(Skills!N16=TRUE,(Skills!L16/10)*(E578/1000),Skills!L16/10)+Skills!O16</f>
        <v/>
      </c>
      <c r="G578">
        <f>Skills!G16*IF(Skills!H16&gt;0,Skills!I16/Skills!H16,1)</f>
        <v/>
      </c>
      <c r="H578">
        <f>1-(1-Skills!J16/100)^Skills!K16</f>
        <v/>
      </c>
      <c r="I578" t="inlineStr">
        <is>
          <t>1</t>
        </is>
      </c>
      <c r="J578">
        <f>(Inputs!$B$5*(1+Inputs!$B$6/100))*(F578/100)</f>
        <v/>
      </c>
      <c r="K578">
        <f>J578*(1+((Inputs!$B$11*(1+Inputs!$B$12/100))*0.01+Inputs!$B$13*0.0025)/100)*(1+Inputs!$B$14/100)*(1+IF(Inputs!$B$4="pvp",0,(1-Summary!$B$55)*(Inputs!$B$19+0+Skills!P16+B596)+Summary!$B$55*(Inputs!$B$20+Skills!Q16+B596))/100)*(1+Inputs!$B$15/100)*(5000/(6000+Inputs!$B$7*(1-Inputs!$B$18/100)))*(1+(Inputs!$B$23+((C592=TRUE)*(F592-Calc!F30)))/100)*(1+(IF(Skills!A16="CRUEL_STAB",Inputs!$B$16+((C589=TRUE)*(F589-Calc!F27)),Inputs!$B$17+((C590=TRUE)*(F590-Calc!F28))))/100)*(((1+(((C583=TRUE)*F583*IF(AND(Inputs!$B$4&lt;&gt;"pvp",Inputs!$B$35&gt;0),(((S583-1)*(Skills!Y21*(1+Inputs!$B$33/100))+MIN((Skills!Y21*(1+Inputs!$B$33/100)),MAX(0,Inputs!$B$35-((S583-1)*Skills!D21))))/Inputs!$B$35),IF(Inputs!$B$4="pvp",MIN((Skills!Y21*(1+Inputs!$B$33/100)),15)/15,(Skills!Y21*(1+Inputs!$B$33/100))/Skills!D21)))+((C585=TRUE)*(F585-Calc!F23))+((C579=TRUE)*(F579-Calc!F17)))/100)*(1+((C572=TRUE)*F572*IF(AND(Inputs!$B$4&lt;&gt;"pvp",Inputs!$B$35&gt;0),(((S572-1)*(Skills!Y10*(1+Inputs!$B$33/100))+MIN((Skills!Y10*(1+Inputs!$B$33/100)),MAX(0,Inputs!$B$35-((S572-1)*Skills!D10))))/Inputs!$B$35),IF(Inputs!$B$4="pvp",MIN((Skills!Y10*(1+Inputs!$B$33/100)),15)/15,(Skills!Y10*(1+Inputs!$B$33/100))/Skills!D10)))/100)*(1+((C577=TRUE)*F577*IF(AND(Inputs!$B$4&lt;&gt;"pvp",Inputs!$B$35&gt;0),(((S577-1)*(Skills!Y15*(1+Inputs!$B$33/100))+MIN((Skills!Y15*(1+Inputs!$B$33/100)),MAX(0,Inputs!$B$35-((S577-1)*Skills!D15))))/Inputs!$B$35),IF(Inputs!$B$4="pvp",MIN((Skills!Y15*(1+Inputs!$B$33/100)),15)/15,(Skills!Y15*(1+Inputs!$B$33/100))/Skills!D15)))/100))*B597*I578)</f>
        <v/>
      </c>
      <c r="L578">
        <f>K578*(MIN(Inputs!$B$21+((C586=TRUE)*(F586-Calc!F24)),Inputs!$B$22+((C591=TRUE)*(F591-Calc!F29)))/100+(Inputs!$B$22+((C591=TRUE)*(F591-Calc!F29)))/100)/2</f>
        <v/>
      </c>
      <c r="M578">
        <f>L578*(1+((Inputs!$B$9+1)+((C588=TRUE)*(F588-Calc!F26))+B602)/100)</f>
        <v/>
      </c>
      <c r="N578">
        <f>L578*(1-MIN((Inputs!$B$8+((C587=TRUE)*(F587-Calc!F25))+B595),100)/100)+M578*(MIN((Inputs!$B$8+((C587=TRUE)*(F587-Calc!F25))+B595),100)/100)</f>
        <v/>
      </c>
      <c r="O578">
        <f>IF(C578,Inputs!$B$38*0.2*N578,0)</f>
        <v/>
      </c>
      <c r="P578">
        <f>IF(B607=0,0,O578/B607)</f>
        <v/>
      </c>
      <c r="Q578" t="n">
        <v>0</v>
      </c>
      <c r="R578" t="n">
        <v>0</v>
      </c>
      <c r="S578">
        <f>IFERROR(O578/N578,0)</f>
        <v/>
      </c>
    </row>
    <row r="579">
      <c r="A579">
        <f>Skills!A17</f>
        <v/>
      </c>
      <c r="B579">
        <f>Skills!B17</f>
        <v/>
      </c>
      <c r="C579">
        <f>Inputs!$B$3&gt;=115</f>
        <v/>
      </c>
      <c r="D579">
        <f>IF(Skills!C17=1,60+Inputs!$B$24+Inputs!$B$28,IF(Skills!C17=2,90+Inputs!$B$25+Inputs!$B$28,IF(Skills!C17=3,120+Inputs!$B$26+Inputs!$B$28,MAX(0,(Inputs!$B$3-100)*3)+Inputs!$B$27+Inputs!$B$28)))</f>
        <v/>
      </c>
      <c r="E579">
        <f>INDEX(FactorTable!$B$2:$Y$301, MATCH(ROUND(MIN(300,MAX(1,D579)),0), FactorTable!$A$2:$A$301,0), Skills!M17+1)</f>
        <v/>
      </c>
      <c r="F579">
        <f>IF(Skills!N17=TRUE,(Skills!L17/10)*(E579/1000),Skills!L17/10)+Skills!O17</f>
        <v/>
      </c>
      <c r="G579">
        <f>Skills!G17*IF(Skills!H17&gt;0,Skills!I17/Skills!H17,1)</f>
        <v/>
      </c>
      <c r="H579">
        <f>1-(1-Skills!J17/100)^Skills!K17</f>
        <v/>
      </c>
      <c r="I579" t="inlineStr">
        <is>
          <t>1</t>
        </is>
      </c>
      <c r="J579" t="inlineStr"/>
      <c r="K579" t="inlineStr"/>
      <c r="L579" t="inlineStr"/>
      <c r="M579" t="inlineStr"/>
      <c r="N579" t="inlineStr"/>
      <c r="O579" t="n">
        <v>0</v>
      </c>
      <c r="P579">
        <f>IF(B607=0,0,O579/B607)</f>
        <v/>
      </c>
      <c r="Q579" t="n">
        <v>0</v>
      </c>
      <c r="R579" t="n">
        <v>0</v>
      </c>
      <c r="S579">
        <f>IFERROR(O579/N579,0)</f>
        <v/>
      </c>
    </row>
    <row r="580">
      <c r="A580">
        <f>Skills!A18</f>
        <v/>
      </c>
      <c r="B580">
        <f>Skills!B18</f>
        <v/>
      </c>
      <c r="C580">
        <f>Inputs!$B$3&gt;=100</f>
        <v/>
      </c>
      <c r="D580">
        <f>IF(Skills!C18=1,60+Inputs!$B$24+Inputs!$B$28,IF(Skills!C18=2,90+Inputs!$B$25+Inputs!$B$28,IF(Skills!C18=3,120+Inputs!$B$26+Inputs!$B$28,MAX(0,(Inputs!$B$3-100)*3)+Inputs!$B$27+Inputs!$B$28)))</f>
        <v/>
      </c>
      <c r="E580">
        <f>INDEX(FactorTable!$B$2:$Y$301, MATCH(ROUND(MIN(300,MAX(1,D580)),0), FactorTable!$A$2:$A$301,0), Skills!M18+1)</f>
        <v/>
      </c>
      <c r="F580">
        <f>IF(Skills!N18=TRUE,(Skills!L18/10)*(E580/1000),Skills!L18/10)+Skills!O18</f>
        <v/>
      </c>
      <c r="G580">
        <f>Skills!G18*IF(Skills!H18&gt;0,Skills!I18/Skills!H18,1)</f>
        <v/>
      </c>
      <c r="H580">
        <f>1-(1-Skills!J18/100)^Skills!K18</f>
        <v/>
      </c>
      <c r="I580" t="inlineStr">
        <is>
          <t>1</t>
        </is>
      </c>
      <c r="J580" t="inlineStr"/>
      <c r="K580" t="inlineStr"/>
      <c r="L580" t="inlineStr"/>
      <c r="M580" t="inlineStr"/>
      <c r="N580" t="inlineStr"/>
      <c r="O580" t="n">
        <v>0</v>
      </c>
      <c r="P580">
        <f>IF(B607=0,0,O580/B607)</f>
        <v/>
      </c>
      <c r="Q580" t="n">
        <v>0</v>
      </c>
      <c r="R580" t="n">
        <v>0</v>
      </c>
      <c r="S580">
        <f>IFERROR(O580/N580,0)</f>
        <v/>
      </c>
    </row>
    <row r="581">
      <c r="A581">
        <f>Skills!A19</f>
        <v/>
      </c>
      <c r="B581">
        <f>Skills!B19</f>
        <v/>
      </c>
      <c r="C581">
        <f>TRUE</f>
        <v/>
      </c>
      <c r="D581">
        <f>IF(Skills!C19=1,60+Inputs!$B$24+Inputs!$B$28,IF(Skills!C19=2,90+Inputs!$B$25+Inputs!$B$28,IF(Skills!C19=3,120+Inputs!$B$26+Inputs!$B$28,MAX(0,(Inputs!$B$3-100)*3)+Inputs!$B$27+Inputs!$B$28)))</f>
        <v/>
      </c>
      <c r="E581">
        <f>INDEX(FactorTable!$B$2:$Y$301, MATCH(ROUND(MIN(300,MAX(1,D581)),0), FactorTable!$A$2:$A$301,0), Skills!M19+1)</f>
        <v/>
      </c>
      <c r="F581">
        <f>IF(Skills!N19=TRUE,(Skills!L19/10)*(E581/1000),Skills!L19/10)+Skills!O19</f>
        <v/>
      </c>
      <c r="G581">
        <f>Skills!G19*IF(Skills!H19&gt;0,Skills!I19/Skills!H19,1)</f>
        <v/>
      </c>
      <c r="H581">
        <f>1-(1-Skills!J19/100)^Skills!K19</f>
        <v/>
      </c>
      <c r="I581" t="inlineStr">
        <is>
          <t>1</t>
        </is>
      </c>
      <c r="J581" t="inlineStr"/>
      <c r="K581" t="inlineStr"/>
      <c r="L581" t="inlineStr"/>
      <c r="M581" t="inlineStr"/>
      <c r="N581" t="inlineStr"/>
      <c r="O581" t="n">
        <v>0</v>
      </c>
      <c r="P581">
        <f>IF(B607=0,0,O581/B607)</f>
        <v/>
      </c>
      <c r="Q581">
        <f>IFERROR(1/IF(Inputs!$B$4="pvp",15,MAX(0.1,Skills!D19-IF(Skills!E19=TRUE,Inputs!$B$31,0))),0)</f>
        <v/>
      </c>
      <c r="R581">
        <f>IF(AND(Inputs!$B$4&lt;&gt;"pvp",Inputs!$B$35&gt;0),(INT(Inputs!$B$35/IF(Inputs!$B$4="pvp",15,MAX(0.1,Skills!D19-IF(Skills!E19=TRUE,Inputs!$B$31,0))))+1),0)</f>
        <v/>
      </c>
      <c r="S581">
        <f>IFERROR(O581/N581,0)</f>
        <v/>
      </c>
    </row>
    <row r="582">
      <c r="A582">
        <f>Skills!A20</f>
        <v/>
      </c>
      <c r="B582">
        <f>Skills!B20</f>
        <v/>
      </c>
      <c r="C582">
        <f>Inputs!$B$3&gt;=15</f>
        <v/>
      </c>
      <c r="D582">
        <f>IF(Skills!C20=1,60+Inputs!$B$24+Inputs!$B$28,IF(Skills!C20=2,90+Inputs!$B$25+Inputs!$B$28,IF(Skills!C20=3,120+Inputs!$B$26+Inputs!$B$28,MAX(0,(Inputs!$B$3-100)*3)+Inputs!$B$27+Inputs!$B$28)))</f>
        <v/>
      </c>
      <c r="E582">
        <f>INDEX(FactorTable!$B$2:$Y$301, MATCH(ROUND(MIN(300,MAX(1,D582)),0), FactorTable!$A$2:$A$301,0), Skills!M20+1)</f>
        <v/>
      </c>
      <c r="F582">
        <f>IF(Skills!N20=TRUE,(Skills!L20/10)*(E582/1000),Skills!L20/10)+Skills!O20</f>
        <v/>
      </c>
      <c r="G582">
        <f>Skills!G20*IF(Skills!H20&gt;0,Skills!I20/Skills!H20,1)</f>
        <v/>
      </c>
      <c r="H582">
        <f>1-(1-Skills!J20/100)^Skills!K20</f>
        <v/>
      </c>
      <c r="I582" t="inlineStr">
        <is>
          <t>1</t>
        </is>
      </c>
      <c r="J582" t="inlineStr"/>
      <c r="K582" t="inlineStr"/>
      <c r="L582" t="inlineStr"/>
      <c r="M582" t="inlineStr"/>
      <c r="N582" t="inlineStr"/>
      <c r="O582" t="n">
        <v>0</v>
      </c>
      <c r="P582">
        <f>IF(B607=0,0,O582/B607)</f>
        <v/>
      </c>
      <c r="Q582">
        <f>IFERROR(1/IF(Inputs!$B$4="pvp",15,MAX(0.1,Skills!D20-IF(Skills!E20=TRUE,Inputs!$B$31,0))),0)</f>
        <v/>
      </c>
      <c r="R582">
        <f>IF(AND(Inputs!$B$4&lt;&gt;"pvp",Inputs!$B$35&gt;0),(INT(Inputs!$B$35/IF(Inputs!$B$4="pvp",15,MAX(0.1,Skills!D20-IF(Skills!E20=TRUE,Inputs!$B$31,0))))+1),0)</f>
        <v/>
      </c>
      <c r="S582">
        <f>IFERROR(O582/N582,0)</f>
        <v/>
      </c>
    </row>
    <row r="583">
      <c r="A583">
        <f>Skills!A21</f>
        <v/>
      </c>
      <c r="B583">
        <f>Skills!B21</f>
        <v/>
      </c>
      <c r="C583">
        <f>Inputs!$B$3&gt;=15</f>
        <v/>
      </c>
      <c r="D583">
        <f>IF(Skills!C21=1,60+Inputs!$B$24+Inputs!$B$28,IF(Skills!C21=2,90+Inputs!$B$25+Inputs!$B$28,IF(Skills!C21=3,120+Inputs!$B$26+Inputs!$B$28,MAX(0,(Inputs!$B$3-100)*3)+Inputs!$B$27+Inputs!$B$28)))</f>
        <v/>
      </c>
      <c r="E583">
        <f>INDEX(FactorTable!$B$2:$Y$301, MATCH(ROUND(MIN(300,MAX(1,D583)),0), FactorTable!$A$2:$A$301,0), Skills!M21+1)</f>
        <v/>
      </c>
      <c r="F583">
        <f>IF(Skills!N21=TRUE,(Skills!L21/10)*(E583/1000),Skills!L21/10)+Skills!O21</f>
        <v/>
      </c>
      <c r="G583">
        <f>Skills!G21*IF(Skills!H21&gt;0,Skills!I21/Skills!H21,1)</f>
        <v/>
      </c>
      <c r="H583">
        <f>1-(1-Skills!J21/100)^Skills!K21</f>
        <v/>
      </c>
      <c r="I583" t="inlineStr">
        <is>
          <t>1</t>
        </is>
      </c>
      <c r="J583" t="inlineStr"/>
      <c r="K583" t="inlineStr"/>
      <c r="L583" t="inlineStr"/>
      <c r="M583" t="inlineStr"/>
      <c r="N583" t="inlineStr"/>
      <c r="O583" t="n">
        <v>0</v>
      </c>
      <c r="P583">
        <f>IF(B607=0,0,O583/B607)</f>
        <v/>
      </c>
      <c r="Q583">
        <f>IFERROR(1/IF(Inputs!$B$4="pvp",15,MAX(0.1,Skills!D21-IF(Skills!E21=TRUE,Inputs!$B$31,0))),0)</f>
        <v/>
      </c>
      <c r="R583">
        <f>IF(AND(Inputs!$B$4&lt;&gt;"pvp",Inputs!$B$35&gt;0),(INT(Inputs!$B$35/IF(Inputs!$B$4="pvp",15,MAX(0.1,Skills!D21-IF(Skills!E21=TRUE,Inputs!$B$31,0))))+1),0)</f>
        <v/>
      </c>
      <c r="S583">
        <f>IFERROR(O583/N583,0)</f>
        <v/>
      </c>
    </row>
    <row r="584">
      <c r="A584">
        <f>Skills!A22</f>
        <v/>
      </c>
      <c r="B584">
        <f>Skills!B22</f>
        <v/>
      </c>
      <c r="C584">
        <f>Inputs!$B$3&gt;=33</f>
        <v/>
      </c>
      <c r="D584">
        <f>IF(Skills!C22=1,60+Inputs!$B$24+Inputs!$B$28,IF(Skills!C22=2,90+Inputs!$B$25+Inputs!$B$28,IF(Skills!C22=3,120+Inputs!$B$26+Inputs!$B$28,MAX(0,(Inputs!$B$3-100)*3)+Inputs!$B$27+Inputs!$B$28)))</f>
        <v/>
      </c>
      <c r="E584">
        <f>INDEX(FactorTable!$B$2:$Y$301, MATCH(ROUND(MIN(300,MAX(1,D584)),0), FactorTable!$A$2:$A$301,0), Skills!M22+1)</f>
        <v/>
      </c>
      <c r="F584">
        <f>IF(Skills!N22=TRUE,(Skills!L22/10)*(E584/1000),Skills!L22/10)+Skills!O22</f>
        <v/>
      </c>
      <c r="G584">
        <f>Skills!G22*IF(Skills!H22&gt;0,Skills!I22/Skills!H22,1)</f>
        <v/>
      </c>
      <c r="H584">
        <f>1-(1-Skills!J22/100)^Skills!K22</f>
        <v/>
      </c>
      <c r="I584" t="inlineStr">
        <is>
          <t>1</t>
        </is>
      </c>
      <c r="J584" t="inlineStr"/>
      <c r="K584" t="inlineStr"/>
      <c r="L584" t="inlineStr"/>
      <c r="M584" t="inlineStr"/>
      <c r="N584" t="inlineStr"/>
      <c r="O584" t="n">
        <v>0</v>
      </c>
      <c r="P584">
        <f>IF(B607=0,0,O584/B607)</f>
        <v/>
      </c>
      <c r="Q584" t="n">
        <v>0</v>
      </c>
      <c r="R584" t="n">
        <v>0</v>
      </c>
      <c r="S584">
        <f>IFERROR(O584/N584,0)</f>
        <v/>
      </c>
    </row>
    <row r="585">
      <c r="A585">
        <f>Skills!A23</f>
        <v/>
      </c>
      <c r="B585">
        <f>Skills!B23</f>
        <v/>
      </c>
      <c r="C585">
        <f>Inputs!$B$3&gt;=40</f>
        <v/>
      </c>
      <c r="D585">
        <f>IF(Skills!C23=1,60+Inputs!$B$24+Inputs!$B$28,IF(Skills!C23=2,90+Inputs!$B$25+Inputs!$B$28,IF(Skills!C23=3,120+Inputs!$B$26+Inputs!$B$28,MAX(0,(Inputs!$B$3-100)*3)+Inputs!$B$27+Inputs!$B$28)))</f>
        <v/>
      </c>
      <c r="E585">
        <f>INDEX(FactorTable!$B$2:$Y$301, MATCH(ROUND(MIN(300,MAX(1,D585)),0), FactorTable!$A$2:$A$301,0), Skills!M23+1)</f>
        <v/>
      </c>
      <c r="F585">
        <f>IF(Skills!N23=TRUE,(Skills!L23/10)*(E585/1000),Skills!L23/10)+Skills!O23</f>
        <v/>
      </c>
      <c r="G585">
        <f>Skills!G23*IF(Skills!H23&gt;0,Skills!I23/Skills!H23,1)</f>
        <v/>
      </c>
      <c r="H585">
        <f>1-(1-Skills!J23/100)^Skills!K23</f>
        <v/>
      </c>
      <c r="I585" t="inlineStr">
        <is>
          <t>1</t>
        </is>
      </c>
      <c r="J585" t="inlineStr"/>
      <c r="K585" t="inlineStr"/>
      <c r="L585" t="inlineStr"/>
      <c r="M585" t="inlineStr"/>
      <c r="N585" t="inlineStr"/>
      <c r="O585" t="n">
        <v>0</v>
      </c>
      <c r="P585">
        <f>IF(B607=0,0,O585/B607)</f>
        <v/>
      </c>
      <c r="Q585" t="n">
        <v>0</v>
      </c>
      <c r="R585" t="n">
        <v>0</v>
      </c>
      <c r="S585">
        <f>IFERROR(O585/N585,0)</f>
        <v/>
      </c>
    </row>
    <row r="586">
      <c r="A586">
        <f>Skills!A24</f>
        <v/>
      </c>
      <c r="B586">
        <f>Skills!B24</f>
        <v/>
      </c>
      <c r="C586">
        <f>Inputs!$B$3&gt;=43</f>
        <v/>
      </c>
      <c r="D586">
        <f>IF(Skills!C24=1,60+Inputs!$B$24+Inputs!$B$28,IF(Skills!C24=2,90+Inputs!$B$25+Inputs!$B$28,IF(Skills!C24=3,120+Inputs!$B$26+Inputs!$B$28,MAX(0,(Inputs!$B$3-100)*3)+Inputs!$B$27+Inputs!$B$28)))</f>
        <v/>
      </c>
      <c r="E586">
        <f>INDEX(FactorTable!$B$2:$Y$301, MATCH(ROUND(MIN(300,MAX(1,D586)),0), FactorTable!$A$2:$A$301,0), Skills!M24+1)</f>
        <v/>
      </c>
      <c r="F586">
        <f>IF(Skills!N24=TRUE,(Skills!L24/10)*(E586/1000),Skills!L24/10)+Skills!O24</f>
        <v/>
      </c>
      <c r="G586">
        <f>Skills!G24*IF(Skills!H24&gt;0,Skills!I24/Skills!H24,1)</f>
        <v/>
      </c>
      <c r="H586">
        <f>1-(1-Skills!J24/100)^Skills!K24</f>
        <v/>
      </c>
      <c r="I586" t="inlineStr">
        <is>
          <t>1</t>
        </is>
      </c>
      <c r="J586" t="inlineStr"/>
      <c r="K586" t="inlineStr"/>
      <c r="L586" t="inlineStr"/>
      <c r="M586" t="inlineStr"/>
      <c r="N586" t="inlineStr"/>
      <c r="O586" t="n">
        <v>0</v>
      </c>
      <c r="P586">
        <f>IF(B607=0,0,O586/B607)</f>
        <v/>
      </c>
      <c r="Q586" t="n">
        <v>0</v>
      </c>
      <c r="R586" t="n">
        <v>0</v>
      </c>
      <c r="S586">
        <f>IFERROR(O586/N586,0)</f>
        <v/>
      </c>
    </row>
    <row r="587">
      <c r="A587">
        <f>Skills!A25</f>
        <v/>
      </c>
      <c r="B587">
        <f>Skills!B25</f>
        <v/>
      </c>
      <c r="C587">
        <f>Inputs!$B$3&gt;=50</f>
        <v/>
      </c>
      <c r="D587">
        <f>IF(Skills!C25=1,60+Inputs!$B$24+Inputs!$B$28,IF(Skills!C25=2,90+Inputs!$B$25+Inputs!$B$28,IF(Skills!C25=3,120+Inputs!$B$26+Inputs!$B$28,MAX(0,(Inputs!$B$3-100)*3)+Inputs!$B$27+Inputs!$B$28)))</f>
        <v/>
      </c>
      <c r="E587">
        <f>INDEX(FactorTable!$B$2:$Y$301, MATCH(ROUND(MIN(300,MAX(1,D587)),0), FactorTable!$A$2:$A$301,0), Skills!M25+1)</f>
        <v/>
      </c>
      <c r="F587">
        <f>IF(Skills!N25=TRUE,(Skills!L25/10)*(E587/1000),Skills!L25/10)+Skills!O25</f>
        <v/>
      </c>
      <c r="G587">
        <f>Skills!G25*IF(Skills!H25&gt;0,Skills!I25/Skills!H25,1)</f>
        <v/>
      </c>
      <c r="H587">
        <f>1-(1-Skills!J25/100)^Skills!K25</f>
        <v/>
      </c>
      <c r="I587" t="inlineStr">
        <is>
          <t>1</t>
        </is>
      </c>
      <c r="J587" t="inlineStr"/>
      <c r="K587" t="inlineStr"/>
      <c r="L587" t="inlineStr"/>
      <c r="M587" t="inlineStr"/>
      <c r="N587" t="inlineStr"/>
      <c r="O587" t="n">
        <v>0</v>
      </c>
      <c r="P587">
        <f>IF(B607=0,0,O587/B607)</f>
        <v/>
      </c>
      <c r="Q587" t="n">
        <v>0</v>
      </c>
      <c r="R587" t="n">
        <v>0</v>
      </c>
      <c r="S587">
        <f>IFERROR(O587/N587,0)</f>
        <v/>
      </c>
    </row>
    <row r="588">
      <c r="A588">
        <f>Skills!A26</f>
        <v/>
      </c>
      <c r="B588">
        <f>Skills!B26</f>
        <v/>
      </c>
      <c r="C588">
        <f>Inputs!$B$3&gt;=50</f>
        <v/>
      </c>
      <c r="D588">
        <f>IF(Skills!C26=1,60+Inputs!$B$24+Inputs!$B$28,IF(Skills!C26=2,90+Inputs!$B$25+Inputs!$B$28,IF(Skills!C26=3,120+Inputs!$B$26+Inputs!$B$28,MAX(0,(Inputs!$B$3-100)*3)+Inputs!$B$27+Inputs!$B$28)))</f>
        <v/>
      </c>
      <c r="E588">
        <f>INDEX(FactorTable!$B$2:$Y$301, MATCH(ROUND(MIN(300,MAX(1,D588)),0), FactorTable!$A$2:$A$301,0), Skills!M26+1)</f>
        <v/>
      </c>
      <c r="F588">
        <f>IF(Skills!N26=TRUE,(Skills!L26/10)*(E588/1000),Skills!L26/10)+Skills!O26</f>
        <v/>
      </c>
      <c r="G588">
        <f>Skills!G26*IF(Skills!H26&gt;0,Skills!I26/Skills!H26,1)</f>
        <v/>
      </c>
      <c r="H588">
        <f>1-(1-Skills!J26/100)^Skills!K26</f>
        <v/>
      </c>
      <c r="I588" t="inlineStr">
        <is>
          <t>1</t>
        </is>
      </c>
      <c r="J588" t="inlineStr"/>
      <c r="K588" t="inlineStr"/>
      <c r="L588" t="inlineStr"/>
      <c r="M588" t="inlineStr"/>
      <c r="N588" t="inlineStr"/>
      <c r="O588" t="n">
        <v>0</v>
      </c>
      <c r="P588">
        <f>IF(B607=0,0,O588/B607)</f>
        <v/>
      </c>
      <c r="Q588" t="n">
        <v>0</v>
      </c>
      <c r="R588" t="n">
        <v>0</v>
      </c>
      <c r="S588">
        <f>IFERROR(O588/N588,0)</f>
        <v/>
      </c>
    </row>
    <row r="589">
      <c r="A589">
        <f>Skills!A27</f>
        <v/>
      </c>
      <c r="B589">
        <f>Skills!B27</f>
        <v/>
      </c>
      <c r="C589">
        <f>Inputs!$B$3&gt;=38</f>
        <v/>
      </c>
      <c r="D589">
        <f>IF(Skills!C27=1,60+Inputs!$B$24+Inputs!$B$28,IF(Skills!C27=2,90+Inputs!$B$25+Inputs!$B$28,IF(Skills!C27=3,120+Inputs!$B$26+Inputs!$B$28,MAX(0,(Inputs!$B$3-100)*3)+Inputs!$B$27+Inputs!$B$28)))</f>
        <v/>
      </c>
      <c r="E589">
        <f>INDEX(FactorTable!$B$2:$Y$301, MATCH(ROUND(MIN(300,MAX(1,D589)),0), FactorTable!$A$2:$A$301,0), Skills!M27+1)</f>
        <v/>
      </c>
      <c r="F589">
        <f>IF(Skills!N27=TRUE,(Skills!L27/10)*(E589/1000),Skills!L27/10)+Skills!O27</f>
        <v/>
      </c>
      <c r="G589">
        <f>Skills!G27*IF(Skills!H27&gt;0,Skills!I27/Skills!H27,1)</f>
        <v/>
      </c>
      <c r="H589">
        <f>1-(1-Skills!J27/100)^Skills!K27</f>
        <v/>
      </c>
      <c r="I589" t="inlineStr">
        <is>
          <t>1</t>
        </is>
      </c>
      <c r="J589" t="inlineStr"/>
      <c r="K589" t="inlineStr"/>
      <c r="L589" t="inlineStr"/>
      <c r="M589" t="inlineStr"/>
      <c r="N589" t="inlineStr"/>
      <c r="O589" t="n">
        <v>0</v>
      </c>
      <c r="P589">
        <f>IF(B607=0,0,O589/B607)</f>
        <v/>
      </c>
      <c r="Q589" t="n">
        <v>0</v>
      </c>
      <c r="R589" t="n">
        <v>0</v>
      </c>
      <c r="S589">
        <f>IFERROR(O589/N589,0)</f>
        <v/>
      </c>
    </row>
    <row r="590">
      <c r="A590">
        <f>Skills!A28</f>
        <v/>
      </c>
      <c r="B590">
        <f>Skills!B28</f>
        <v/>
      </c>
      <c r="C590">
        <f>Inputs!$B$3&gt;=120</f>
        <v/>
      </c>
      <c r="D590">
        <f>IF(Skills!C28=1,60+Inputs!$B$24+Inputs!$B$28,IF(Skills!C28=2,90+Inputs!$B$25+Inputs!$B$28,IF(Skills!C28=3,120+Inputs!$B$26+Inputs!$B$28,MAX(0,(Inputs!$B$3-100)*3)+Inputs!$B$27+Inputs!$B$28)))</f>
        <v/>
      </c>
      <c r="E590">
        <f>INDEX(FactorTable!$B$2:$Y$301, MATCH(ROUND(MIN(300,MAX(1,D590)),0), FactorTable!$A$2:$A$301,0), Skills!M28+1)</f>
        <v/>
      </c>
      <c r="F590">
        <f>IF(Skills!N28=TRUE,(Skills!L28/10)*(E590/1000),Skills!L28/10)+Skills!O28</f>
        <v/>
      </c>
      <c r="G590">
        <f>Skills!G28*IF(Skills!H28&gt;0,Skills!I28/Skills!H28,1)</f>
        <v/>
      </c>
      <c r="H590">
        <f>1-(1-Skills!J28/100)^Skills!K28</f>
        <v/>
      </c>
      <c r="I590" t="inlineStr">
        <is>
          <t>1</t>
        </is>
      </c>
      <c r="J590" t="inlineStr"/>
      <c r="K590" t="inlineStr"/>
      <c r="L590" t="inlineStr"/>
      <c r="M590" t="inlineStr"/>
      <c r="N590" t="inlineStr"/>
      <c r="O590" t="n">
        <v>0</v>
      </c>
      <c r="P590">
        <f>IF(B607=0,0,O590/B607)</f>
        <v/>
      </c>
      <c r="Q590" t="n">
        <v>0</v>
      </c>
      <c r="R590" t="n">
        <v>0</v>
      </c>
      <c r="S590">
        <f>IFERROR(O590/N590,0)</f>
        <v/>
      </c>
    </row>
    <row r="591">
      <c r="A591">
        <f>Skills!A29</f>
        <v/>
      </c>
      <c r="B591">
        <f>Skills!B29</f>
        <v/>
      </c>
      <c r="C591">
        <f>Inputs!$B$3&gt;=120</f>
        <v/>
      </c>
      <c r="D591">
        <f>IF(Skills!C29=1,60+Inputs!$B$24+Inputs!$B$28,IF(Skills!C29=2,90+Inputs!$B$25+Inputs!$B$28,IF(Skills!C29=3,120+Inputs!$B$26+Inputs!$B$28,MAX(0,(Inputs!$B$3-100)*3)+Inputs!$B$27+Inputs!$B$28)))</f>
        <v/>
      </c>
      <c r="E591">
        <f>INDEX(FactorTable!$B$2:$Y$301, MATCH(ROUND(MIN(300,MAX(1,D591)),0), FactorTable!$A$2:$A$301,0), Skills!M29+1)</f>
        <v/>
      </c>
      <c r="F591">
        <f>IF(Skills!N29=TRUE,(Skills!L29/10)*(E591/1000),Skills!L29/10)+Skills!O29</f>
        <v/>
      </c>
      <c r="G591">
        <f>Skills!G29*IF(Skills!H29&gt;0,Skills!I29/Skills!H29,1)</f>
        <v/>
      </c>
      <c r="H591">
        <f>1-(1-Skills!J29/100)^Skills!K29</f>
        <v/>
      </c>
      <c r="I591" t="inlineStr">
        <is>
          <t>1</t>
        </is>
      </c>
      <c r="J591" t="inlineStr"/>
      <c r="K591" t="inlineStr"/>
      <c r="L591" t="inlineStr"/>
      <c r="M591" t="inlineStr"/>
      <c r="N591" t="inlineStr"/>
      <c r="O591" t="n">
        <v>0</v>
      </c>
      <c r="P591">
        <f>IF(B607=0,0,O591/B607)</f>
        <v/>
      </c>
      <c r="Q591" t="n">
        <v>0</v>
      </c>
      <c r="R591" t="n">
        <v>0</v>
      </c>
      <c r="S591">
        <f>IFERROR(O591/N591,0)</f>
        <v/>
      </c>
    </row>
    <row r="592">
      <c r="A592">
        <f>Skills!A30</f>
        <v/>
      </c>
      <c r="B592">
        <f>Skills!B30</f>
        <v/>
      </c>
      <c r="C592">
        <f>Inputs!$B$3&gt;=125</f>
        <v/>
      </c>
      <c r="D592">
        <f>IF(Skills!C30=1,60+Inputs!$B$24+Inputs!$B$28,IF(Skills!C30=2,90+Inputs!$B$25+Inputs!$B$28,IF(Skills!C30=3,120+Inputs!$B$26+Inputs!$B$28,MAX(0,(Inputs!$B$3-100)*3)+Inputs!$B$27+Inputs!$B$28)))</f>
        <v/>
      </c>
      <c r="E592">
        <f>INDEX(FactorTable!$B$2:$Y$301, MATCH(ROUND(MIN(300,MAX(1,D592)),0), FactorTable!$A$2:$A$301,0), Skills!M30+1)</f>
        <v/>
      </c>
      <c r="F592">
        <f>IF(Skills!N30=TRUE,(Skills!L30/10)*(E592/1000),Skills!L30/10)+Skills!O30</f>
        <v/>
      </c>
      <c r="G592">
        <f>Skills!G30*IF(Skills!H30&gt;0,Skills!I30/Skills!H30,1)</f>
        <v/>
      </c>
      <c r="H592">
        <f>1-(1-Skills!J30/100)^Skills!K30</f>
        <v/>
      </c>
      <c r="I592" t="inlineStr">
        <is>
          <t>1</t>
        </is>
      </c>
      <c r="J592" t="inlineStr"/>
      <c r="K592" t="inlineStr"/>
      <c r="L592" t="inlineStr"/>
      <c r="M592" t="inlineStr"/>
      <c r="N592" t="inlineStr"/>
      <c r="O592" t="n">
        <v>0</v>
      </c>
      <c r="P592">
        <f>IF(B607=0,0,O592/B607)</f>
        <v/>
      </c>
      <c r="Q592" t="n">
        <v>0</v>
      </c>
      <c r="R592" t="n">
        <v>0</v>
      </c>
      <c r="S592">
        <f>IFERROR(O592/N592,0)</f>
        <v/>
      </c>
    </row>
    <row r="594">
      <c r="A594" t="inlineStr">
        <is>
          <t>Average Buff Multiplier</t>
        </is>
      </c>
      <c r="B594">
        <f>(1+(((C583=TRUE)*F583*IF(AND(Inputs!$B$4&lt;&gt;"pvp",Inputs!$B$35&gt;0),(((S583-1)*(Skills!Y21*(1+Inputs!$B$33/100))+MIN((Skills!Y21*(1+Inputs!$B$33/100)),MAX(0,Inputs!$B$35-((S583-1)*Skills!D21))))/Inputs!$B$35),IF(Inputs!$B$4="pvp",MIN((Skills!Y21*(1+Inputs!$B$33/100)),15)/15,(Skills!Y21*(1+Inputs!$B$33/100))/Skills!D21)))+((C585=TRUE)*(F585-Calc!F23))+((C579=TRUE)*(F579-Calc!F17)))/100)*(1+((C572=TRUE)*F572*IF(AND(Inputs!$B$4&lt;&gt;"pvp",Inputs!$B$35&gt;0),(((S572-1)*(Skills!Y10*(1+Inputs!$B$33/100))+MIN((Skills!Y10*(1+Inputs!$B$33/100)),MAX(0,Inputs!$B$35-((S572-1)*Skills!D10))))/Inputs!$B$35),IF(Inputs!$B$4="pvp",MIN((Skills!Y10*(1+Inputs!$B$33/100)),15)/15,(Skills!Y10*(1+Inputs!$B$33/100))/Skills!D10)))/100)*(1+((C577=TRUE)*F577*IF(AND(Inputs!$B$4&lt;&gt;"pvp",Inputs!$B$35&gt;0),(((S577-1)*(Skills!Y15*(1+Inputs!$B$33/100))+MIN((Skills!Y15*(1+Inputs!$B$33/100)),MAX(0,Inputs!$B$35-((S577-1)*Skills!D15))))/Inputs!$B$35),IF(Inputs!$B$4="pvp",MIN((Skills!Y15*(1+Inputs!$B$33/100)),15)/15,(Skills!Y15*(1+Inputs!$B$33/100))/Skills!D15)))/100)</f>
        <v/>
      </c>
    </row>
    <row r="595">
      <c r="A595" t="inlineStr">
        <is>
          <t>Global Crit Rate Bonus %</t>
        </is>
      </c>
      <c r="B595">
        <f>((C582=TRUE)*F582*IF(AND(Inputs!$B$4&lt;&gt;"pvp",Inputs!$B$35&gt;0),(((S582-1)*(Skills!Y20*(1+Inputs!$B$33/100))+MIN((Skills!Y20*(1+Inputs!$B$33/100)),MAX(0,Inputs!$B$35-((S582-1)*Skills!D20))))/Inputs!$B$35),IF(Inputs!$B$4="pvp",MIN((Skills!Y20*(1+Inputs!$B$33/100)),15)/15,(Skills!Y20*(1+Inputs!$B$33/100))/Skills!D20)))</f>
        <v/>
      </c>
    </row>
    <row r="596">
      <c r="A596" t="inlineStr">
        <is>
          <t>Global Monster Damage-Taken Bonus %</t>
        </is>
      </c>
      <c r="B596">
        <f>IF(Inputs!$B$3&gt;=82,15,0)</f>
        <v/>
      </c>
    </row>
    <row r="597">
      <c r="A597" t="inlineStr">
        <is>
          <t>Shadow Partner Average Multiplier</t>
        </is>
      </c>
      <c r="B597">
        <f>1+((C569=TRUE)*F569*(1+3.3333333333333335*IF(C580=TRUE,F580,0)/100)*I569*Skills!J7/100)/100</f>
        <v/>
      </c>
    </row>
    <row r="598">
      <c r="A598" t="inlineStr">
        <is>
          <t>Attack Speed Buff Bonus %</t>
        </is>
      </c>
      <c r="B598">
        <f>((C581=TRUE)*F581*IF(AND(Inputs!$B$4&lt;&gt;"pvp",Inputs!$B$35&gt;0),(((S581-1)*(Skills!Y19*(1+Inputs!$B$33/100))+MIN((Skills!Y19*(1+Inputs!$B$33/100)),MAX(0,Inputs!$B$35-((S581-1)*Skills!D19))))/Inputs!$B$35),IF(Inputs!$B$4="pvp",MIN((Skills!Y19*(1+Inputs!$B$33/100)),15)/15,(Skills!Y19*(1+Inputs!$B$33/100))/Skills!D19)))+((C565=TRUE)*F565*3)</f>
        <v/>
      </c>
    </row>
    <row r="599">
      <c r="A599" t="inlineStr">
        <is>
          <t>Actions Per Second</t>
        </is>
      </c>
      <c r="B599">
        <f>1+MIN(150,150*(1-(1-(Inputs!$B$10+((C584=TRUE)*(F584-Calc!F22)))/150)*(1-B598/150)))/100</f>
        <v/>
      </c>
    </row>
    <row r="600">
      <c r="A600" t="inlineStr">
        <is>
          <t>Skill + Buff Cast Rate</t>
        </is>
      </c>
      <c r="B600">
        <f>IF(AND(Inputs!$B$4&lt;&gt;"pvp",Inputs!$B$35&gt;0),SUMPRODUCT((Skills!E2:E30=TRUE)*(C564:C592=TRUE)*R564:R592*Skills!F2:F30)/Inputs!$B$35,SUMPRODUCT((Skills!E2:E30=TRUE)*(C564:C592=TRUE)*Q564:Q592*Skills!F2:F30))</f>
        <v/>
      </c>
    </row>
    <row r="601">
      <c r="A601" t="inlineStr">
        <is>
          <t>Cruel Stab Casts Per Second</t>
        </is>
      </c>
      <c r="B601">
        <f>MAX(0,B599-B600)</f>
        <v/>
      </c>
    </row>
    <row r="602">
      <c r="A602" t="inlineStr">
        <is>
          <t>Global Critical Damage Bonus % (Smokescreen Mastery Lv.113)</t>
        </is>
      </c>
      <c r="B602">
        <f>IF(Inputs!$B$3&gt;=113,30,0)*IF(AND(Inputs!$B$4&lt;&gt;"pvp",Inputs!$B$35&gt;0),(((S577-1)*(Skills!Y15*(1+Inputs!$B$33/100))+MIN((Skills!Y15*(1+Inputs!$B$33/100)),MAX(0,Inputs!$B$35-((S577-1)*Skills!D15))))/Inputs!$B$35),IF(Inputs!$B$4="pvp",MIN((Skills!Y15*(1+Inputs!$B$33/100)),15)/15,(Skills!Y15*(1+Inputs!$B$33/100))/Skills!D15))</f>
        <v/>
      </c>
    </row>
    <row r="603">
      <c r="A603" t="inlineStr">
        <is>
          <t>Meso Explosion average stack count</t>
        </is>
      </c>
      <c r="B603">
        <f>MIN(10,0.5*B599*Skills!D4)</f>
        <v/>
      </c>
    </row>
    <row r="604">
      <c r="A604" t="inlineStr">
        <is>
          <t>Blood Money average stack count</t>
        </is>
      </c>
      <c r="B604">
        <f>MIN(5,0.25*B599*Skills!D4)</f>
        <v/>
      </c>
    </row>
    <row r="605">
      <c r="A605" t="inlineStr">
        <is>
          <t>Assassinate Murderous Intent Multiplier</t>
        </is>
      </c>
      <c r="B605">
        <f>1+IFERROR(MIN(1,Q576*2/Q573),0)</f>
        <v/>
      </c>
    </row>
    <row r="607">
      <c r="A607" s="5" t="inlineStr">
        <is>
          <t>TOTAL DPS</t>
        </is>
      </c>
      <c r="B607" s="5">
        <f>SUM(O564:O592)</f>
        <v/>
      </c>
    </row>
    <row r="610">
      <c r="A610" s="5" t="inlineStr">
        <is>
          <t>Stat: ATTACK_SPEED % (diminishing returns, factor 150)</t>
        </is>
      </c>
    </row>
    <row r="611">
      <c r="A611" s="8" t="inlineStr">
        <is>
          <t>Key</t>
        </is>
      </c>
      <c r="B611" s="8" t="inlineStr">
        <is>
          <t>Name</t>
        </is>
      </c>
      <c r="C611" s="8" t="inlineStr">
        <is>
          <t>Unlocked</t>
        </is>
      </c>
      <c r="D611" s="8" t="inlineStr">
        <is>
          <t>InputLevel</t>
        </is>
      </c>
      <c r="E611" s="8" t="inlineStr">
        <is>
          <t>Factor</t>
        </is>
      </c>
      <c r="F611" s="8" t="inlineStr">
        <is>
          <t>CoefficientPercent</t>
        </is>
      </c>
      <c r="G611" s="8" t="inlineStr">
        <is>
          <t>EffectiveHits</t>
        </is>
      </c>
      <c r="H611" s="8" t="inlineStr">
        <is>
          <t>ProcProbability</t>
        </is>
      </c>
      <c r="I611" s="8" t="inlineStr">
        <is>
          <t>MapleHeroMultiplier</t>
        </is>
      </c>
      <c r="J611" s="8" t="inlineStr">
        <is>
          <t>BaseDamage</t>
        </is>
      </c>
      <c r="K611" s="8" t="inlineStr">
        <is>
          <t>BaseHitDamage</t>
        </is>
      </c>
      <c r="L611" s="8" t="inlineStr">
        <is>
          <t>NonCritAvg</t>
        </is>
      </c>
      <c r="M611" s="8" t="inlineStr">
        <is>
          <t>CritAvg</t>
        </is>
      </c>
      <c r="N611" s="8" t="inlineStr">
        <is>
          <t>ExpectedDamage(perHit)</t>
        </is>
      </c>
      <c r="O611" s="8" t="inlineStr">
        <is>
          <t>DPS</t>
        </is>
      </c>
      <c r="P611" s="8" t="inlineStr">
        <is>
          <t>% of Total</t>
        </is>
      </c>
      <c r="Q611" s="8" t="inlineStr">
        <is>
          <t>InvCooldown</t>
        </is>
      </c>
      <c r="R611" s="8" t="inlineStr">
        <is>
          <t>CastsInFight</t>
        </is>
      </c>
      <c r="S611" s="8" t="inlineStr">
        <is>
          <t>HitRate(perSec)</t>
        </is>
      </c>
      <c r="U611" t="inlineStr">
        <is>
          <t>helpers</t>
        </is>
      </c>
    </row>
    <row r="612">
      <c r="A612">
        <f>Skills!A2</f>
        <v/>
      </c>
      <c r="B612">
        <f>Skills!B2</f>
        <v/>
      </c>
      <c r="C612">
        <f>Inputs!$B$3&gt;=100</f>
        <v/>
      </c>
      <c r="D612" t="inlineStr"/>
      <c r="E612" t="inlineStr"/>
      <c r="F612">
        <f>U614+Skills!O2</f>
        <v/>
      </c>
      <c r="G612">
        <f>Skills!G2*IF(Skills!H2&gt;0,Skills!I2/Skills!H2,1)</f>
        <v/>
      </c>
      <c r="H612">
        <f>1-(1-Skills!J2/100)^Skills!K2</f>
        <v/>
      </c>
      <c r="I612" t="inlineStr">
        <is>
          <t>1</t>
        </is>
      </c>
      <c r="J612">
        <f>(Inputs!$B$5*(1+Inputs!$B$6/100))*(F612/100)</f>
        <v/>
      </c>
      <c r="K612">
        <f>J612*(1+((Inputs!$B$11*(1+Inputs!$B$12/100))*0.01+Inputs!$B$13*0.0025)/100)*(1+Inputs!$B$14/100)*(1+IF(Inputs!$B$4="pvp",0,(1-Summary!$B$55)*(Inputs!$B$19+0+Skills!P2+B644)+Summary!$B$55*(Inputs!$B$20+Skills!Q2+B644))/100)*(1+Inputs!$B$15/100)*(5000/(6000+Inputs!$B$7*(1-Inputs!$B$18/100)))*(1+(Inputs!$B$23+((C640=TRUE)*(F640-Calc!F30)))/100)*(1+(IF(Skills!A2="CRUEL_STAB",Inputs!$B$16+((C637=TRUE)*(F637-Calc!F27)),Inputs!$B$17+((C638=TRUE)*(F638-Calc!F28))))/100)*(((1+(((C631=TRUE)*F631*IF(AND(Inputs!$B$4&lt;&gt;"pvp",Inputs!$B$35&gt;0),(((S631-1)*(Skills!Y21*(1+Inputs!$B$33/100))+MIN((Skills!Y21*(1+Inputs!$B$33/100)),MAX(0,Inputs!$B$35-((S631-1)*Skills!D21))))/Inputs!$B$35),IF(Inputs!$B$4="pvp",MIN((Skills!Y21*(1+Inputs!$B$33/100)),15)/15,(Skills!Y21*(1+Inputs!$B$33/100))/Skills!D21)))+((C633=TRUE)*(F633-Calc!F23))+((C627=TRUE)*(F627-Calc!F17)))/100)*(1+((C620=TRUE)*F620*IF(AND(Inputs!$B$4&lt;&gt;"pvp",Inputs!$B$35&gt;0),(((S620-1)*(Skills!Y10*(1+Inputs!$B$33/100))+MIN((Skills!Y10*(1+Inputs!$B$33/100)),MAX(0,Inputs!$B$35-((S620-1)*Skills!D10))))/Inputs!$B$35),IF(Inputs!$B$4="pvp",MIN((Skills!Y10*(1+Inputs!$B$33/100)),15)/15,(Skills!Y10*(1+Inputs!$B$33/100))/Skills!D10)))/100)*(1+((C625=TRUE)*F625*IF(AND(Inputs!$B$4&lt;&gt;"pvp",Inputs!$B$35&gt;0),(((S625-1)*(Skills!Y15*(1+Inputs!$B$33/100))+MIN((Skills!Y15*(1+Inputs!$B$33/100)),MAX(0,Inputs!$B$35-((S625-1)*Skills!D15))))/Inputs!$B$35),IF(Inputs!$B$4="pvp",MIN((Skills!Y15*(1+Inputs!$B$33/100)),15)/15,(Skills!Y15*(1+Inputs!$B$33/100))/Skills!D15)))/100))*B645*I612)</f>
        <v/>
      </c>
      <c r="L612">
        <f>K612*(MIN(Inputs!$B$21+((C634=TRUE)*(F634-Calc!F24)),Inputs!$B$22+((C639=TRUE)*(F639-Calc!F29)))/100+(Inputs!$B$22+((C639=TRUE)*(F639-Calc!F29)))/100)/2</f>
        <v/>
      </c>
      <c r="M612">
        <f>L612*(1+(Inputs!$B$9+((C636=TRUE)*(F636-Calc!F26))+B650)/100)</f>
        <v/>
      </c>
      <c r="N612">
        <f>L612*(1-MIN((Inputs!$B$8+((C635=TRUE)*(F635-Calc!F25))+B643),100)/100)+M612*(MIN((Inputs!$B$8+((C635=TRUE)*(F635-Calc!F25))+B643),100)/100)</f>
        <v/>
      </c>
      <c r="O612">
        <f>IF(C612,Skills!G2*N612*B649*IF(Inputs!$B$4="pvp",1,(1-Summary!$B$55)*(1)+Summary!$B$55*(MIN((6+Inputs!$B$32),Inputs!$B$37))),0)</f>
        <v/>
      </c>
      <c r="P612">
        <f>IF(B655=0,0,O612/B655)</f>
        <v/>
      </c>
      <c r="Q612" t="n">
        <v>0</v>
      </c>
      <c r="R612" t="n">
        <v>0</v>
      </c>
      <c r="S612">
        <f>IFERROR(O612/N612,0)</f>
        <v/>
      </c>
      <c r="U612">
        <f>MAX(0,(Inputs!$B$3-100)*3)+Inputs!$B$27+Inputs!$B$28</f>
        <v/>
      </c>
    </row>
    <row r="613">
      <c r="A613">
        <f>Skills!A3</f>
        <v/>
      </c>
      <c r="B613">
        <f>Skills!B3</f>
        <v/>
      </c>
      <c r="C613">
        <f>Inputs!$B$3&gt;=35</f>
        <v/>
      </c>
      <c r="D613">
        <f>IF(Skills!C3=1,60+Inputs!$B$24+Inputs!$B$28,IF(Skills!C3=2,90+Inputs!$B$25+Inputs!$B$28,IF(Skills!C3=3,120+Inputs!$B$26+Inputs!$B$28,MAX(0,(Inputs!$B$3-100)*3)+Inputs!$B$27+Inputs!$B$28)))</f>
        <v/>
      </c>
      <c r="E613">
        <f>INDEX(FactorTable!$B$2:$Y$301, MATCH(ROUND(MIN(300,MAX(1,D613)),0), FactorTable!$A$2:$A$301,0), Skills!M3+1)</f>
        <v/>
      </c>
      <c r="F613">
        <f>IF(Skills!N3=TRUE,(Skills!L3/10)*(E613/1000),Skills!L3/10)+Skills!O3</f>
        <v/>
      </c>
      <c r="G613">
        <f>Skills!G3*IF(Skills!H3&gt;0,Skills!I3/Skills!H3,1)</f>
        <v/>
      </c>
      <c r="H613">
        <f>1-(1-Skills!J3/100)^Skills!K3</f>
        <v/>
      </c>
      <c r="I613" t="inlineStr">
        <is>
          <t>1</t>
        </is>
      </c>
      <c r="J613" t="inlineStr"/>
      <c r="K613" t="inlineStr"/>
      <c r="L613" t="inlineStr"/>
      <c r="M613" t="inlineStr"/>
      <c r="N613" t="inlineStr"/>
      <c r="O613" t="n">
        <v>0</v>
      </c>
      <c r="P613">
        <f>IF(B655=0,0,O613/B655)</f>
        <v/>
      </c>
      <c r="Q613" t="n">
        <v>0</v>
      </c>
      <c r="R613" t="n">
        <v>0</v>
      </c>
      <c r="S613">
        <f>IFERROR(O613/N613,0)</f>
        <v/>
      </c>
      <c r="U613">
        <f>INDEX(FactorTable!$B$2:$Y$301, MATCH(ROUND(MIN(300,MAX(1,U612)),0), FactorTable!$A$2:$A$301,0), 22)</f>
        <v/>
      </c>
    </row>
    <row r="614">
      <c r="A614">
        <f>Skills!A4</f>
        <v/>
      </c>
      <c r="B614">
        <f>Skills!B4</f>
        <v/>
      </c>
      <c r="C614">
        <f>Inputs!$B$3&gt;=66</f>
        <v/>
      </c>
      <c r="D614">
        <f>IF(Skills!C4=1,60+Inputs!$B$24+Inputs!$B$28,IF(Skills!C4=2,90+Inputs!$B$25+Inputs!$B$28,IF(Skills!C4=3,120+Inputs!$B$26+Inputs!$B$28,MAX(0,(Inputs!$B$3-100)*3)+Inputs!$B$27+Inputs!$B$28)))</f>
        <v/>
      </c>
      <c r="E614">
        <f>INDEX(FactorTable!$B$2:$Y$301, MATCH(ROUND(MIN(300,MAX(1,D614)),0), FactorTable!$A$2:$A$301,0), Skills!M4+1)</f>
        <v/>
      </c>
      <c r="F614">
        <f>IF(Skills!N4=TRUE,(Skills!L4/10)*(E614/1000),Skills!L4/10)+Skills!O4</f>
        <v/>
      </c>
      <c r="G614">
        <f>Skills!G4*IF(Skills!H4&gt;0,Skills!I4/Skills!H4,1)</f>
        <v/>
      </c>
      <c r="H614">
        <f>1-(1-Skills!J4/100)^Skills!K4</f>
        <v/>
      </c>
      <c r="I614" t="inlineStr">
        <is>
          <t>1</t>
        </is>
      </c>
      <c r="J614">
        <f>(Inputs!$B$5*(1+Inputs!$B$6/100))*(F614/100)</f>
        <v/>
      </c>
      <c r="K614">
        <f>J614*(1+((Inputs!$B$11*(1+Inputs!$B$12/100))*0.01+Inputs!$B$13*0.0025)/100)*(1+Inputs!$B$14/100)*(1+IF(Inputs!$B$4="pvp",0,(1-Summary!$B$55)*(Inputs!$B$19+0+Skills!P4+B644)+Summary!$B$55*(Inputs!$B$20+Skills!Q4+B644))/100)*(1+Inputs!$B$15/100)*(5000/(6000+Inputs!$B$7*(1-Inputs!$B$18/100)))*(1+(Inputs!$B$23+((C640=TRUE)*(F640-Calc!F30)))/100)*(1+(IF(Skills!A4="CRUEL_STAB",Inputs!$B$16+((C637=TRUE)*(F637-Calc!F27)),Inputs!$B$17+((C638=TRUE)*(F638-Calc!F28))))/100)*(((1+(((C631=TRUE)*F631*IF(AND(Inputs!$B$4&lt;&gt;"pvp",Inputs!$B$35&gt;0),(((S631-1)*(Skills!Y21*(1+Inputs!$B$33/100))+MIN((Skills!Y21*(1+Inputs!$B$33/100)),MAX(0,Inputs!$B$35-((S631-1)*Skills!D21))))/Inputs!$B$35),IF(Inputs!$B$4="pvp",MIN((Skills!Y21*(1+Inputs!$B$33/100)),15)/15,(Skills!Y21*(1+Inputs!$B$33/100))/Skills!D21)))+((C633=TRUE)*(F633-Calc!F23))+((C627=TRUE)*(F627-Calc!F17)))/100)*(1+((C620=TRUE)*F620*IF(AND(Inputs!$B$4&lt;&gt;"pvp",Inputs!$B$35&gt;0),(((S620-1)*(Skills!Y10*(1+Inputs!$B$33/100))+MIN((Skills!Y10*(1+Inputs!$B$33/100)),MAX(0,Inputs!$B$35-((S620-1)*Skills!D10))))/Inputs!$B$35),IF(Inputs!$B$4="pvp",MIN((Skills!Y10*(1+Inputs!$B$33/100)),15)/15,(Skills!Y10*(1+Inputs!$B$33/100))/Skills!D10)))/100)*(1+((C625=TRUE)*F625*IF(AND(Inputs!$B$4&lt;&gt;"pvp",Inputs!$B$35&gt;0),(((S625-1)*(Skills!Y15*(1+Inputs!$B$33/100))+MIN((Skills!Y15*(1+Inputs!$B$33/100)),MAX(0,Inputs!$B$35-((S625-1)*Skills!D15))))/Inputs!$B$35),IF(Inputs!$B$4="pvp",MIN((Skills!Y15*(1+Inputs!$B$33/100)),15)/15,(Skills!Y15*(1+Inputs!$B$33/100))/Skills!D15)))/100))*B645*I614)</f>
        <v/>
      </c>
      <c r="L614">
        <f>K614*(MIN(Inputs!$B$21+((C634=TRUE)*(F634-Calc!F24)),Inputs!$B$22+((C639=TRUE)*(F639-Calc!F29)))/100+(Inputs!$B$22+((C639=TRUE)*(F639-Calc!F29)))/100)/2</f>
        <v/>
      </c>
      <c r="M614">
        <f>L614*(1+(Inputs!$B$9+((C636=TRUE)*(F636-Calc!F26))+B650)/100)</f>
        <v/>
      </c>
      <c r="N614">
        <f>L614*(1-MIN((Inputs!$B$8+((C635=TRUE)*(F635-Calc!F25))+B643),100)/100)+M614*(MIN((Inputs!$B$8+((C635=TRUE)*(F635-Calc!F25))+B643),100)/100)</f>
        <v/>
      </c>
      <c r="O614">
        <f>IF(C614,H614*N614*IF(AND(Inputs!$B$4&lt;&gt;"pvp",Inputs!$B$35&gt;0),((Skills!G4*((R614-1)*IF(Skills!H4&gt;0,Skills!I4/Skills!H4,1)+IF(Skills!H4&gt;0,MIN(Skills!I4,MAX(0,Inputs!$B$35-((R614-1)*IF(Inputs!$B$4="pvp",15,MAX(0.1,Skills!D4-IF(Skills!E4=TRUE,Inputs!$B$31,0))))))/Skills!H4,1)))/Inputs!$B$35),G614*Q614)*IF(Inputs!$B$4="pvp",1,(1-Summary!$B$55)*(1)+Summary!$B$55*(MIN(MIN(10,0.5*B647*Skills!D4),Inputs!$B$37))),0)</f>
        <v/>
      </c>
      <c r="P614">
        <f>IF(B655=0,0,O614/B655)</f>
        <v/>
      </c>
      <c r="Q614">
        <f>IFERROR(1/IF(Inputs!$B$4="pvp",15,MAX(0.1,Skills!D4-IF(Skills!E4=TRUE,Inputs!$B$31,0))),0)</f>
        <v/>
      </c>
      <c r="R614">
        <f>IF(AND(Inputs!$B$4&lt;&gt;"pvp",Inputs!$B$35&gt;0),(INT(Inputs!$B$35/IF(Inputs!$B$4="pvp",15,MAX(0.1,Skills!D4-IF(Skills!E4=TRUE,Inputs!$B$31,0))))+1),0)</f>
        <v/>
      </c>
      <c r="S614">
        <f>IFERROR(O614/N614,0)</f>
        <v/>
      </c>
      <c r="U614">
        <f>290*U613/1000</f>
        <v/>
      </c>
    </row>
    <row r="615">
      <c r="A615">
        <f>Skills!A5</f>
        <v/>
      </c>
      <c r="B615">
        <f>Skills!B5</f>
        <v/>
      </c>
      <c r="C615">
        <f>Inputs!$B$3&gt;=63</f>
        <v/>
      </c>
      <c r="D615">
        <f>IF(Skills!C5=1,60+Inputs!$B$24+Inputs!$B$28,IF(Skills!C5=2,90+Inputs!$B$25+Inputs!$B$28,IF(Skills!C5=3,120+Inputs!$B$26+Inputs!$B$28,MAX(0,(Inputs!$B$3-100)*3)+Inputs!$B$27+Inputs!$B$28)))</f>
        <v/>
      </c>
      <c r="E615">
        <f>INDEX(FactorTable!$B$2:$Y$301, MATCH(ROUND(MIN(300,MAX(1,D615)),0), FactorTable!$A$2:$A$301,0), Skills!M5+1)</f>
        <v/>
      </c>
      <c r="F615">
        <f>IF(Skills!N5=TRUE,(Skills!L5/10)*(E615/1000),Skills!L5/10)+Skills!O5</f>
        <v/>
      </c>
      <c r="G615">
        <f>Skills!G5*IF(Skills!H5&gt;0,Skills!I5/Skills!H5,1)</f>
        <v/>
      </c>
      <c r="H615">
        <f>1-(1-Skills!J5/100)^Skills!K5</f>
        <v/>
      </c>
      <c r="I615" t="inlineStr">
        <is>
          <t>1</t>
        </is>
      </c>
      <c r="J615">
        <f>(Inputs!$B$5*(1+Inputs!$B$6/100))*(F615/100)</f>
        <v/>
      </c>
      <c r="K615">
        <f>J615*(1+((Inputs!$B$11*(1+Inputs!$B$12/100))*0.01+Inputs!$B$13*0.0025)/100)*(1+Inputs!$B$14/100)*(1+IF(Inputs!$B$4="pvp",0,(1-Summary!$B$55)*(Inputs!$B$19+0+Skills!P5+B644)+Summary!$B$55*(Inputs!$B$20+Skills!Q5+B644))/100)*(1+Inputs!$B$15/100)*(5000/(6000+Inputs!$B$7*(1-Inputs!$B$18/100)))*(1+(Inputs!$B$23+((C640=TRUE)*(F640-Calc!F30)))/100)*(1+2.6666666666666665*IF(C628=TRUE,F628,0)/100)*(1+(IF(Skills!A5="CRUEL_STAB",Inputs!$B$16+((C637=TRUE)*(F637-Calc!F27)),Inputs!$B$17+((C638=TRUE)*(F638-Calc!F28))))/100)*(((1+(((C631=TRUE)*F631*IF(AND(Inputs!$B$4&lt;&gt;"pvp",Inputs!$B$35&gt;0),(((S631-1)*(Skills!Y21*(1+Inputs!$B$33/100))+MIN((Skills!Y21*(1+Inputs!$B$33/100)),MAX(0,Inputs!$B$35-((S631-1)*Skills!D21))))/Inputs!$B$35),IF(Inputs!$B$4="pvp",MIN((Skills!Y21*(1+Inputs!$B$33/100)),15)/15,(Skills!Y21*(1+Inputs!$B$33/100))/Skills!D21)))+((C633=TRUE)*(F633-Calc!F23))+((C627=TRUE)*(F627-Calc!F17)))/100)*(1+((C620=TRUE)*F620*IF(AND(Inputs!$B$4&lt;&gt;"pvp",Inputs!$B$35&gt;0),(((S620-1)*(Skills!Y10*(1+Inputs!$B$33/100))+MIN((Skills!Y10*(1+Inputs!$B$33/100)),MAX(0,Inputs!$B$35-((S620-1)*Skills!D10))))/Inputs!$B$35),IF(Inputs!$B$4="pvp",MIN((Skills!Y10*(1+Inputs!$B$33/100)),15)/15,(Skills!Y10*(1+Inputs!$B$33/100))/Skills!D10)))/100)*(1+((C625=TRUE)*F625*IF(AND(Inputs!$B$4&lt;&gt;"pvp",Inputs!$B$35&gt;0),(((S625-1)*(Skills!Y15*(1+Inputs!$B$33/100))+MIN((Skills!Y15*(1+Inputs!$B$33/100)),MAX(0,Inputs!$B$35-((S625-1)*Skills!D15))))/Inputs!$B$35),IF(Inputs!$B$4="pvp",MIN((Skills!Y15*(1+Inputs!$B$33/100)),15)/15,(Skills!Y15*(1+Inputs!$B$33/100))/Skills!D15)))/100))*B645*I615)</f>
        <v/>
      </c>
      <c r="L615">
        <f>K615*(MIN(Inputs!$B$21+((C634=TRUE)*(F634-Calc!F24)),Inputs!$B$22+((C639=TRUE)*(F639-Calc!F29)))/100+(Inputs!$B$22+((C639=TRUE)*(F639-Calc!F29)))/100)/2</f>
        <v/>
      </c>
      <c r="M615">
        <f>L615*(1+(Inputs!$B$9+((C636=TRUE)*(F636-Calc!F26))+B650)/100)</f>
        <v/>
      </c>
      <c r="N615">
        <f>L615*(1-MIN((Inputs!$B$8+((C635=TRUE)*(F635-Calc!F25))+B643),100)/100)+M615*(MIN((Inputs!$B$8+((C635=TRUE)*(F635-Calc!F25))+B643),100)/100)</f>
        <v/>
      </c>
      <c r="O615">
        <f>IF(C615,H615*N615*IF(AND(Inputs!$B$4&lt;&gt;"pvp",Inputs!$B$35&gt;0),((Skills!G5*((R615-1)*IF(Skills!H5&gt;0,Skills!I5/Skills!H5,1)+IF(Skills!H5&gt;0,MIN(Skills!I5,MAX(0,Inputs!$B$35-((R615-1)*IF(Inputs!$B$4="pvp",15,MAX(0.1,Skills!D5-IF(Skills!E5=TRUE,Inputs!$B$31,0))))))/Skills!H5,1)))/Inputs!$B$35),G615*Q615)*IF(Inputs!$B$4="pvp",1,(1-Summary!$B$55)*(1)+Summary!$B$55*(MIN(Skills!W5,Inputs!$B$37))),0)</f>
        <v/>
      </c>
      <c r="P615">
        <f>IF(B655=0,0,O615/B655)</f>
        <v/>
      </c>
      <c r="Q615">
        <f>IFERROR(1/IF(Inputs!$B$4="pvp",15,MAX(0.1,Skills!D5-IF(Skills!E5=TRUE,Inputs!$B$31,0))),0)</f>
        <v/>
      </c>
      <c r="R615">
        <f>IF(AND(Inputs!$B$4&lt;&gt;"pvp",Inputs!$B$35&gt;0),(INT(Inputs!$B$35/IF(Inputs!$B$4="pvp",15,MAX(0.1,Skills!D5-IF(Skills!E5=TRUE,Inputs!$B$31,0))))+1),0)</f>
        <v/>
      </c>
      <c r="S615">
        <f>IFERROR(O615/N615,0)</f>
        <v/>
      </c>
    </row>
    <row r="616">
      <c r="A616">
        <f>Skills!A6</f>
        <v/>
      </c>
      <c r="B616">
        <f>Skills!B6</f>
        <v/>
      </c>
      <c r="C616">
        <f>Inputs!$B$3&gt;=69</f>
        <v/>
      </c>
      <c r="D616">
        <f>IF(Skills!C6=1,60+Inputs!$B$24+Inputs!$B$28,IF(Skills!C6=2,90+Inputs!$B$25+Inputs!$B$28,IF(Skills!C6=3,120+Inputs!$B$26+Inputs!$B$28,MAX(0,(Inputs!$B$3-100)*3)+Inputs!$B$27+Inputs!$B$28)))</f>
        <v/>
      </c>
      <c r="E616">
        <f>INDEX(FactorTable!$B$2:$Y$301, MATCH(ROUND(MIN(300,MAX(1,D616)),0), FactorTable!$A$2:$A$301,0), Skills!M6+1)</f>
        <v/>
      </c>
      <c r="F616">
        <f>IF(Skills!N6=TRUE,(Skills!L6/10)*(E616/1000),Skills!L6/10)+Skills!O6</f>
        <v/>
      </c>
      <c r="G616">
        <f>Skills!G6*IF(Skills!H6&gt;0,Skills!I6/Skills!H6,1)</f>
        <v/>
      </c>
      <c r="H616">
        <f>1-(1-Skills!J6/100)^Skills!K6</f>
        <v/>
      </c>
      <c r="I616" t="inlineStr">
        <is>
          <t>1</t>
        </is>
      </c>
      <c r="J616">
        <f>(Inputs!$B$5*(1+Inputs!$B$6/100))*(F616/100)</f>
        <v/>
      </c>
      <c r="K616">
        <f>J616*(1+((Inputs!$B$11*(1+Inputs!$B$12/100))*0.01+Inputs!$B$13*0.0025)/100)*(1+Inputs!$B$14/100)*(1+IF(Inputs!$B$4="pvp",0,(1-Summary!$B$55)*(Inputs!$B$19+0+Skills!P6+B644)+Summary!$B$55*(Inputs!$B$20+Skills!Q6+B644))/100)*(1+Inputs!$B$15/100)*(5000/(6000+Inputs!$B$7*(1-Inputs!$B$18/100)))*(1+(Inputs!$B$23+((C640=TRUE)*(F640-Calc!F30)))/100)*(1+1.0*IF(C628=TRUE,F628,0)/100)*(1+(IF(Skills!A6="CRUEL_STAB",Inputs!$B$16+((C637=TRUE)*(F637-Calc!F27)),Inputs!$B$17+((C638=TRUE)*(F638-Calc!F28))))/100)*(((1+(((C631=TRUE)*F631*IF(AND(Inputs!$B$4&lt;&gt;"pvp",Inputs!$B$35&gt;0),(((S631-1)*(Skills!Y21*(1+Inputs!$B$33/100))+MIN((Skills!Y21*(1+Inputs!$B$33/100)),MAX(0,Inputs!$B$35-((S631-1)*Skills!D21))))/Inputs!$B$35),IF(Inputs!$B$4="pvp",MIN((Skills!Y21*(1+Inputs!$B$33/100)),15)/15,(Skills!Y21*(1+Inputs!$B$33/100))/Skills!D21)))+((C633=TRUE)*(F633-Calc!F23))+((C627=TRUE)*(F627-Calc!F17)))/100)*(1+((C620=TRUE)*F620*IF(AND(Inputs!$B$4&lt;&gt;"pvp",Inputs!$B$35&gt;0),(((S620-1)*(Skills!Y10*(1+Inputs!$B$33/100))+MIN((Skills!Y10*(1+Inputs!$B$33/100)),MAX(0,Inputs!$B$35-((S620-1)*Skills!D10))))/Inputs!$B$35),IF(Inputs!$B$4="pvp",MIN((Skills!Y10*(1+Inputs!$B$33/100)),15)/15,(Skills!Y10*(1+Inputs!$B$33/100))/Skills!D10)))/100)*(1+((C625=TRUE)*F625*IF(AND(Inputs!$B$4&lt;&gt;"pvp",Inputs!$B$35&gt;0),(((S625-1)*(Skills!Y15*(1+Inputs!$B$33/100))+MIN((Skills!Y15*(1+Inputs!$B$33/100)),MAX(0,Inputs!$B$35-((S625-1)*Skills!D15))))/Inputs!$B$35),IF(Inputs!$B$4="pvp",MIN((Skills!Y15*(1+Inputs!$B$33/100)),15)/15,(Skills!Y15*(1+Inputs!$B$33/100))/Skills!D15)))/100))*B645*I616)</f>
        <v/>
      </c>
      <c r="L616">
        <f>K616*(MIN(Inputs!$B$21+((C634=TRUE)*(F634-Calc!F24)),Inputs!$B$22+((C639=TRUE)*(F639-Calc!F29)))/100+(Inputs!$B$22+((C639=TRUE)*(F639-Calc!F29)))/100)/2</f>
        <v/>
      </c>
      <c r="M616">
        <f>L616*(1+(Inputs!$B$9+((C636=TRUE)*(F636-Calc!F26))+B650)/100)</f>
        <v/>
      </c>
      <c r="N616">
        <f>L616*(1-MIN((Inputs!$B$8+((C635=TRUE)*(F635-Calc!F25))+B643),100)/100)+M616*(MIN((Inputs!$B$8+((C635=TRUE)*(F635-Calc!F25))+B643),100)/100)</f>
        <v/>
      </c>
      <c r="O616">
        <f>IF(C616,H616*N616*IF(AND(Inputs!$B$4&lt;&gt;"pvp",Inputs!$B$35&gt;0),((Skills!G6*((R616-1)*IF(Skills!H6&gt;0,Skills!I6/Skills!H6,1)+IF(Skills!H6&gt;0,MIN(Skills!I6,MAX(0,Inputs!$B$35-((R616-1)*IF(Inputs!$B$4="pvp",15,MAX(0.1,Skills!D6-IF(Skills!E6=TRUE,Inputs!$B$31,0))))))/Skills!H6,1)))/Inputs!$B$35),G616*Q616)*IF(Inputs!$B$4="pvp",1,(1-Summary!$B$55)*(1)+Summary!$B$55*(MIN(Skills!W6,Inputs!$B$37))),0)</f>
        <v/>
      </c>
      <c r="P616">
        <f>IF(B655=0,0,O616/B655)</f>
        <v/>
      </c>
      <c r="Q616">
        <f>IFERROR(1/IF(Inputs!$B$4="pvp",15,MAX(0.1,Skills!D6-IF(Skills!E6=TRUE,Inputs!$B$31,0))),0)</f>
        <v/>
      </c>
      <c r="R616">
        <f>IF(AND(Inputs!$B$4&lt;&gt;"pvp",Inputs!$B$35&gt;0),(INT(Inputs!$B$35/IF(Inputs!$B$4="pvp",15,MAX(0.1,Skills!D6-IF(Skills!E6=TRUE,Inputs!$B$31,0))))+1),0)</f>
        <v/>
      </c>
      <c r="S616">
        <f>IFERROR(O616/N616,0)</f>
        <v/>
      </c>
    </row>
    <row r="617">
      <c r="A617">
        <f>Skills!A7</f>
        <v/>
      </c>
      <c r="B617">
        <f>Skills!B7</f>
        <v/>
      </c>
      <c r="C617">
        <f>Inputs!$B$3&gt;=60</f>
        <v/>
      </c>
      <c r="D617">
        <f>IF(Skills!C7=1,60+Inputs!$B$24+Inputs!$B$28,IF(Skills!C7=2,90+Inputs!$B$25+Inputs!$B$28,IF(Skills!C7=3,120+Inputs!$B$26+Inputs!$B$28,MAX(0,(Inputs!$B$3-100)*3)+Inputs!$B$27+Inputs!$B$28)))</f>
        <v/>
      </c>
      <c r="E617">
        <f>INDEX(FactorTable!$B$2:$Y$301, MATCH(ROUND(MIN(300,MAX(1,D617)),0), FactorTable!$A$2:$A$301,0), Skills!M7+1)</f>
        <v/>
      </c>
      <c r="F617">
        <f>IF(Skills!N7=TRUE,(Skills!L7/10)*(E617/1000),Skills!L7/10)+Skills!O7</f>
        <v/>
      </c>
      <c r="G617">
        <f>Skills!G7*IF(Skills!H7&gt;0,Skills!I7/Skills!H7,1)</f>
        <v/>
      </c>
      <c r="H617">
        <f>1-(1-Skills!J7/100)^Skills!K7</f>
        <v/>
      </c>
      <c r="I617" t="inlineStr">
        <is>
          <t>1</t>
        </is>
      </c>
      <c r="J617" t="inlineStr"/>
      <c r="K617" t="inlineStr"/>
      <c r="L617" t="inlineStr"/>
      <c r="M617" t="inlineStr"/>
      <c r="N617" t="inlineStr"/>
      <c r="O617" t="n">
        <v>0</v>
      </c>
      <c r="P617">
        <f>IF(B655=0,0,O617/B655)</f>
        <v/>
      </c>
      <c r="Q617" t="n">
        <v>0</v>
      </c>
      <c r="R617" t="n">
        <v>0</v>
      </c>
      <c r="S617">
        <f>IFERROR(O617/N617,0)</f>
        <v/>
      </c>
    </row>
    <row r="618">
      <c r="A618">
        <f>Skills!A8</f>
        <v/>
      </c>
      <c r="B618">
        <f>Skills!B8</f>
        <v/>
      </c>
      <c r="C618">
        <f>Inputs!$B$3&gt;=72</f>
        <v/>
      </c>
      <c r="D618">
        <f>IF(Skills!C8=1,60+Inputs!$B$24+Inputs!$B$28,IF(Skills!C8=2,90+Inputs!$B$25+Inputs!$B$28,IF(Skills!C8=3,120+Inputs!$B$26+Inputs!$B$28,MAX(0,(Inputs!$B$3-100)*3)+Inputs!$B$27+Inputs!$B$28)))</f>
        <v/>
      </c>
      <c r="E618">
        <f>INDEX(FactorTable!$B$2:$Y$301, MATCH(ROUND(MIN(300,MAX(1,D618)),0), FactorTable!$A$2:$A$301,0), Skills!M8+1)</f>
        <v/>
      </c>
      <c r="F618">
        <f>IF(Skills!N8=TRUE,(Skills!L8/10)*(E618/1000),Skills!L8/10)+Skills!O8</f>
        <v/>
      </c>
      <c r="G618">
        <f>Skills!G8*IF(Skills!H8&gt;0,Skills!I8/Skills!H8,1)</f>
        <v/>
      </c>
      <c r="H618">
        <f>1-(1-Skills!J8/100)^Skills!K8</f>
        <v/>
      </c>
      <c r="I618" t="inlineStr">
        <is>
          <t>1</t>
        </is>
      </c>
      <c r="J618">
        <f>(Inputs!$B$5*(1+Inputs!$B$6/100))*(F618/100)</f>
        <v/>
      </c>
      <c r="K618">
        <f>J618*(1+((Inputs!$B$11*(1+Inputs!$B$12/100))*0.01+Inputs!$B$13*0.0025)/100)*(1+Inputs!$B$14/100)*(1+IF(Inputs!$B$4="pvp",0,(1-Summary!$B$55)*(Inputs!$B$19+0+Skills!P8+B644)+Summary!$B$55*(Inputs!$B$20+Skills!Q8+B644))/100)*(1+Inputs!$B$15/100)*(5000/(6000+Inputs!$B$7*(1-Inputs!$B$18/100)))*(1+(Inputs!$B$23+((C640=TRUE)*(F640-Calc!F30)))/100)*(1+3.3333333333333335*IF(C628=TRUE,F628,0)/100)*(1+(IF(Skills!A8="CRUEL_STAB",Inputs!$B$16+((C637=TRUE)*(F637-Calc!F27)),Inputs!$B$17+((C638=TRUE)*(F638-Calc!F28))))/100)*(((1+(((C631=TRUE)*F631*IF(AND(Inputs!$B$4&lt;&gt;"pvp",Inputs!$B$35&gt;0),(((S631-1)*(Skills!Y21*(1+Inputs!$B$33/100))+MIN((Skills!Y21*(1+Inputs!$B$33/100)),MAX(0,Inputs!$B$35-((S631-1)*Skills!D21))))/Inputs!$B$35),IF(Inputs!$B$4="pvp",MIN((Skills!Y21*(1+Inputs!$B$33/100)),15)/15,(Skills!Y21*(1+Inputs!$B$33/100))/Skills!D21)))+((C633=TRUE)*(F633-Calc!F23))+((C627=TRUE)*(F627-Calc!F17)))/100)*(1+((C620=TRUE)*F620*IF(AND(Inputs!$B$4&lt;&gt;"pvp",Inputs!$B$35&gt;0),(((S620-1)*(Skills!Y10*(1+Inputs!$B$33/100))+MIN((Skills!Y10*(1+Inputs!$B$33/100)),MAX(0,Inputs!$B$35-((S620-1)*Skills!D10))))/Inputs!$B$35),IF(Inputs!$B$4="pvp",MIN((Skills!Y10*(1+Inputs!$B$33/100)),15)/15,(Skills!Y10*(1+Inputs!$B$33/100))/Skills!D10)))/100)*(1+((C625=TRUE)*F625*IF(AND(Inputs!$B$4&lt;&gt;"pvp",Inputs!$B$35&gt;0),(((S625-1)*(Skills!Y15*(1+Inputs!$B$33/100))+MIN((Skills!Y15*(1+Inputs!$B$33/100)),MAX(0,Inputs!$B$35-((S625-1)*Skills!D15))))/Inputs!$B$35),IF(Inputs!$B$4="pvp",MIN((Skills!Y15*(1+Inputs!$B$33/100)),15)/15,(Skills!Y15*(1+Inputs!$B$33/100))/Skills!D15)))/100))*B645*I618)</f>
        <v/>
      </c>
      <c r="L618">
        <f>K618*(MIN(Inputs!$B$21+((C634=TRUE)*(F634-Calc!F24)),Inputs!$B$22+((C639=TRUE)*(F639-Calc!F29)))/100+(Inputs!$B$22+((C639=TRUE)*(F639-Calc!F29)))/100)/2</f>
        <v/>
      </c>
      <c r="M618">
        <f>L618*(1+(Inputs!$B$9+((C636=TRUE)*(F636-Calc!F26))+B650)/100)</f>
        <v/>
      </c>
      <c r="N618">
        <f>L618*(1-MIN((Inputs!$B$8+((C635=TRUE)*(F635-Calc!F25))+B643),100)/100)+M618*(MIN((Inputs!$B$8+((C635=TRUE)*(F635-Calc!F25))+B643),100)/100)</f>
        <v/>
      </c>
      <c r="O618">
        <f>IF(C618,H618*N618*IF(AND(Inputs!$B$4&lt;&gt;"pvp",Inputs!$B$35&gt;0),((Skills!G8*((R618-1)*IF(Skills!H8&gt;0,Skills!I8/Skills!H8,1)+IF(Skills!H8&gt;0,MIN(Skills!I8,MAX(0,Inputs!$B$35-((R618-1)*IF(Inputs!$B$4="pvp",15,MAX(0.1,Skills!D8-IF(Skills!E8=TRUE,Inputs!$B$31,0))))))/Skills!H8,1)))/Inputs!$B$35),G618*Q618)*IF(Inputs!$B$4="pvp",1,(1-Summary!$B$55)*(1)+Summary!$B$55*(MIN(Skills!W8,Inputs!$B$37))),0)</f>
        <v/>
      </c>
      <c r="P618">
        <f>IF(B655=0,0,O618/B655)</f>
        <v/>
      </c>
      <c r="Q618">
        <f>IFERROR(1/IF(Inputs!$B$4="pvp",15,MAX(0.1,Skills!D8-IF(Skills!E8=TRUE,Inputs!$B$31,0))),0)</f>
        <v/>
      </c>
      <c r="R618">
        <f>IF(AND(Inputs!$B$4&lt;&gt;"pvp",Inputs!$B$35&gt;0),(INT(Inputs!$B$35/IF(Inputs!$B$4="pvp",15,MAX(0.1,Skills!D8-IF(Skills!E8=TRUE,Inputs!$B$31,0))))+1),0)</f>
        <v/>
      </c>
      <c r="S618">
        <f>IFERROR(O618/N618,0)</f>
        <v/>
      </c>
    </row>
    <row r="619">
      <c r="A619">
        <f>Skills!A9</f>
        <v/>
      </c>
      <c r="B619">
        <f>Skills!B9</f>
        <v/>
      </c>
      <c r="C619">
        <f>Inputs!$B$3&gt;=117</f>
        <v/>
      </c>
      <c r="D619">
        <f>IF(Skills!C9=1,60+Inputs!$B$24+Inputs!$B$28,IF(Skills!C9=2,90+Inputs!$B$25+Inputs!$B$28,IF(Skills!C9=3,120+Inputs!$B$26+Inputs!$B$28,MAX(0,(Inputs!$B$3-100)*3)+Inputs!$B$27+Inputs!$B$28)))</f>
        <v/>
      </c>
      <c r="E619">
        <f>INDEX(FactorTable!$B$2:$Y$301, MATCH(ROUND(MIN(300,MAX(1,D619)),0), FactorTable!$A$2:$A$301,0), Skills!M9+1)</f>
        <v/>
      </c>
      <c r="F619">
        <f>IF(Skills!N9=TRUE,(Skills!L9/10)*(E619/1000),Skills!L9/10)+Skills!O9</f>
        <v/>
      </c>
      <c r="G619">
        <f>Skills!G9*IF(Skills!H9&gt;0,Skills!I9/Skills!H9,1)</f>
        <v/>
      </c>
      <c r="H619">
        <f>1-(1-Skills!J9/100)^Skills!K9</f>
        <v/>
      </c>
      <c r="I619" t="inlineStr">
        <is>
          <t>1</t>
        </is>
      </c>
      <c r="J619">
        <f>(Inputs!$B$5*(1+Inputs!$B$6/100))*(F619/100)</f>
        <v/>
      </c>
      <c r="K619">
        <f>J619*(1+((Inputs!$B$11*(1+Inputs!$B$12/100))*0.01+Inputs!$B$13*0.0025)/100)*(1+Inputs!$B$14/100)*(1+IF(Inputs!$B$4="pvp",0,(1-Summary!$B$55)*(Inputs!$B$19+0+Skills!P9+B644)+Summary!$B$55*(Inputs!$B$20+Skills!Q9+B644))/100)*(1+Inputs!$B$15/100)*(5000/(6000+Inputs!$B$7*(1-Inputs!$B$18/100)))*(1+(Inputs!$B$23+((C640=TRUE)*(F640-Calc!F30)))/100)*(1+(IF(Skills!A9="CRUEL_STAB",Inputs!$B$16+((C637=TRUE)*(F637-Calc!F27)),Inputs!$B$17+((C638=TRUE)*(F638-Calc!F28))))/100)*(((1+(((C631=TRUE)*F631*IF(AND(Inputs!$B$4&lt;&gt;"pvp",Inputs!$B$35&gt;0),(((S631-1)*(Skills!Y21*(1+Inputs!$B$33/100))+MIN((Skills!Y21*(1+Inputs!$B$33/100)),MAX(0,Inputs!$B$35-((S631-1)*Skills!D21))))/Inputs!$B$35),IF(Inputs!$B$4="pvp",MIN((Skills!Y21*(1+Inputs!$B$33/100)),15)/15,(Skills!Y21*(1+Inputs!$B$33/100))/Skills!D21)))+((C633=TRUE)*(F633-Calc!F23))+((C627=TRUE)*(F627-Calc!F17)))/100)*(1+((C620=TRUE)*F620*IF(AND(Inputs!$B$4&lt;&gt;"pvp",Inputs!$B$35&gt;0),(((S620-1)*(Skills!Y10*(1+Inputs!$B$33/100))+MIN((Skills!Y10*(1+Inputs!$B$33/100)),MAX(0,Inputs!$B$35-((S620-1)*Skills!D10))))/Inputs!$B$35),IF(Inputs!$B$4="pvp",MIN((Skills!Y10*(1+Inputs!$B$33/100)),15)/15,(Skills!Y10*(1+Inputs!$B$33/100))/Skills!D10)))/100)*(1+((C625=TRUE)*F625*IF(AND(Inputs!$B$4&lt;&gt;"pvp",Inputs!$B$35&gt;0),(((S625-1)*(Skills!Y15*(1+Inputs!$B$33/100))+MIN((Skills!Y15*(1+Inputs!$B$33/100)),MAX(0,Inputs!$B$35-((S625-1)*Skills!D15))))/Inputs!$B$35),IF(Inputs!$B$4="pvp",MIN((Skills!Y15*(1+Inputs!$B$33/100)),15)/15,(Skills!Y15*(1+Inputs!$B$33/100))/Skills!D15)))/100))*B645*I619)</f>
        <v/>
      </c>
      <c r="L619">
        <f>K619*(MIN(Inputs!$B$21+((C634=TRUE)*(F634-Calc!F24)),Inputs!$B$22+((C639=TRUE)*(F639-Calc!F29)))/100+(Inputs!$B$22+((C639=TRUE)*(F639-Calc!F29)))/100)/2</f>
        <v/>
      </c>
      <c r="M619">
        <f>L619*(1+(Inputs!$B$9+((C636=TRUE)*(F636-Calc!F26))+B650)/100)</f>
        <v/>
      </c>
      <c r="N619">
        <f>L619*(1-MIN((Inputs!$B$8+((C635=TRUE)*(F635-Calc!F25))+B643),100)/100)+M619*(MIN((Inputs!$B$8+((C635=TRUE)*(F635-Calc!F25))+B643),100)/100)</f>
        <v/>
      </c>
      <c r="O619">
        <f>IF(C619,0.2*SUMPRODUCT((Skills!Z2:Z30=TRUE)*(C612:C640=TRUE)*S612:S640)*N619,0)</f>
        <v/>
      </c>
      <c r="P619">
        <f>IF(B655=0,0,O619/B655)</f>
        <v/>
      </c>
      <c r="Q619" t="n">
        <v>0</v>
      </c>
      <c r="R619" t="n">
        <v>0</v>
      </c>
      <c r="S619" t="n">
        <v>0</v>
      </c>
    </row>
    <row r="620">
      <c r="A620">
        <f>Skills!A10</f>
        <v/>
      </c>
      <c r="B620">
        <f>Skills!B10</f>
        <v/>
      </c>
      <c r="C620">
        <f>Inputs!$B$3&gt;=74</f>
        <v/>
      </c>
      <c r="D620">
        <f>IF(Skills!C10=1,60+Inputs!$B$24+Inputs!$B$28,IF(Skills!C10=2,90+Inputs!$B$25+Inputs!$B$28,IF(Skills!C10=3,120+Inputs!$B$26+Inputs!$B$28,MAX(0,(Inputs!$B$3-100)*3)+Inputs!$B$27+Inputs!$B$28)))</f>
        <v/>
      </c>
      <c r="E620">
        <f>INDEX(FactorTable!$B$2:$Y$301, MATCH(ROUND(MIN(300,MAX(1,D620)),0), FactorTable!$A$2:$A$301,0), Skills!M10+1)</f>
        <v/>
      </c>
      <c r="F620">
        <f>IF(Skills!N10=TRUE,(Skills!L10/10)*(E620/1000),Skills!L10/10)+Skills!O10</f>
        <v/>
      </c>
      <c r="G620">
        <f>Skills!G10*IF(Skills!H10&gt;0,Skills!I10/Skills!H10,1)</f>
        <v/>
      </c>
      <c r="H620">
        <f>1-(1-Skills!J10/100)^Skills!K10</f>
        <v/>
      </c>
      <c r="I620" t="inlineStr">
        <is>
          <t>1</t>
        </is>
      </c>
      <c r="J620" t="inlineStr"/>
      <c r="K620" t="inlineStr"/>
      <c r="L620" t="inlineStr"/>
      <c r="M620" t="inlineStr"/>
      <c r="N620" t="inlineStr"/>
      <c r="O620" t="n">
        <v>0</v>
      </c>
      <c r="P620">
        <f>IF(B655=0,0,O620/B655)</f>
        <v/>
      </c>
      <c r="Q620">
        <f>IFERROR(1/IF(Inputs!$B$4="pvp",15,MAX(0.1,Skills!D10-IF(Skills!E10=TRUE,Inputs!$B$31,0))),0)</f>
        <v/>
      </c>
      <c r="R620">
        <f>IF(AND(Inputs!$B$4&lt;&gt;"pvp",Inputs!$B$35&gt;0),(INT(Inputs!$B$35/IF(Inputs!$B$4="pvp",15,MAX(0.1,Skills!D10-IF(Skills!E10=TRUE,Inputs!$B$31,0))))+1),0)</f>
        <v/>
      </c>
      <c r="S620">
        <f>IFERROR(O620/N620,0)</f>
        <v/>
      </c>
    </row>
    <row r="621">
      <c r="A621">
        <f>Skills!A11</f>
        <v/>
      </c>
      <c r="B621">
        <f>Skills!B11</f>
        <v/>
      </c>
      <c r="C621">
        <f>Inputs!$B$3&gt;=103</f>
        <v/>
      </c>
      <c r="D621">
        <f>IF(Skills!C11=1,60+Inputs!$B$24+Inputs!$B$28,IF(Skills!C11=2,90+Inputs!$B$25+Inputs!$B$28,IF(Skills!C11=3,120+Inputs!$B$26+Inputs!$B$28,MAX(0,(Inputs!$B$3-100)*3)+Inputs!$B$27+Inputs!$B$28)))</f>
        <v/>
      </c>
      <c r="E621">
        <f>INDEX(FactorTable!$B$2:$Y$301, MATCH(ROUND(MIN(300,MAX(1,D621)),0), FactorTable!$A$2:$A$301,0), Skills!M11+1)</f>
        <v/>
      </c>
      <c r="F621">
        <f>(Skills!L11/10)*(E621/1000)+IF(Inputs!$B$3&gt;=134,50,0)+0.5*(30000/10)*(INDEX(FactorTable!$B$2:$Y$301, MATCH(ROUND(MIN(300,MAX(1,D621)),0), FactorTable!$A$2:$A$301,0), 13)/1000)*B653</f>
        <v/>
      </c>
      <c r="G621">
        <f>Skills!G11*IF(Skills!H11&gt;0,Skills!I11/Skills!H11,1)</f>
        <v/>
      </c>
      <c r="H621">
        <f>1-(1-Skills!J11/100)^Skills!K11</f>
        <v/>
      </c>
      <c r="I621" t="inlineStr">
        <is>
          <t>1</t>
        </is>
      </c>
      <c r="J621">
        <f>(Inputs!$B$5*(1+Inputs!$B$6/100))*(F621/100)</f>
        <v/>
      </c>
      <c r="K621">
        <f>J621*(1+((Inputs!$B$11*(1+Inputs!$B$12/100))*0.01+Inputs!$B$13*0.0025)/100)*(1+Inputs!$B$14/100)*(1+IF(Inputs!$B$4="pvp",0,(1-Summary!$B$55)*(Inputs!$B$19+0+Skills!P11+B644)+Summary!$B$55*(Inputs!$B$20+Skills!Q11+B644))/100)*(1+Inputs!$B$15/100)*(5000/(6000+Inputs!$B$7*(1-Inputs!$B$18/100)))*(1+(Inputs!$B$23+((C640=TRUE)*(F640-Calc!F30)))/100)*(1+(IF(Skills!A11="CRUEL_STAB",Inputs!$B$16+((C637=TRUE)*(F637-Calc!F27)),Inputs!$B$17+((C638=TRUE)*(F638-Calc!F28))))/100)*(((1+(((C631=TRUE)*F631*IF(AND(Inputs!$B$4&lt;&gt;"pvp",Inputs!$B$35&gt;0),(((S631-1)*(Skills!Y21*(1+Inputs!$B$33/100))+MIN((Skills!Y21*(1+Inputs!$B$33/100)),MAX(0,Inputs!$B$35-((S631-1)*Skills!D21))))/Inputs!$B$35),IF(Inputs!$B$4="pvp",MIN((Skills!Y21*(1+Inputs!$B$33/100)),15)/15,(Skills!Y21*(1+Inputs!$B$33/100))/Skills!D21)))+((C633=TRUE)*(F633-Calc!F23))+((C627=TRUE)*(F627-Calc!F17)))/100)*(1+((C620=TRUE)*F620*IF(AND(Inputs!$B$4&lt;&gt;"pvp",Inputs!$B$35&gt;0),(((S620-1)*(Skills!Y10*(1+Inputs!$B$33/100))+MIN((Skills!Y10*(1+Inputs!$B$33/100)),MAX(0,Inputs!$B$35-((S620-1)*Skills!D10))))/Inputs!$B$35),IF(Inputs!$B$4="pvp",MIN((Skills!Y10*(1+Inputs!$B$33/100)),15)/15,(Skills!Y10*(1+Inputs!$B$33/100))/Skills!D10)))/100)*(1+((C625=TRUE)*F625*IF(AND(Inputs!$B$4&lt;&gt;"pvp",Inputs!$B$35&gt;0),(((S625-1)*(Skills!Y15*(1+Inputs!$B$33/100))+MIN((Skills!Y15*(1+Inputs!$B$33/100)),MAX(0,Inputs!$B$35-((S625-1)*Skills!D15))))/Inputs!$B$35),IF(Inputs!$B$4="pvp",MIN((Skills!Y15*(1+Inputs!$B$33/100)),15)/15,(Skills!Y15*(1+Inputs!$B$33/100))/Skills!D15)))/100))*B645*I621)</f>
        <v/>
      </c>
      <c r="L621">
        <f>K621*(MIN(Inputs!$B$21+((C634=TRUE)*(F634-Calc!F24)),Inputs!$B$22+((C639=TRUE)*(F639-Calc!F29)))/100+(Inputs!$B$22+((C639=TRUE)*(F639-Calc!F29)))/100)/2</f>
        <v/>
      </c>
      <c r="M621">
        <f>L621*(1+(Inputs!$B$9+((C636=TRUE)*(F636-Calc!F26))+B650)/100)</f>
        <v/>
      </c>
      <c r="N621">
        <f>L621*(1-MIN((Inputs!$B$8+((C635=TRUE)*(F635-Calc!F25))+B643),100)/100)+M621*(MIN((Inputs!$B$8+((C635=TRUE)*(F635-Calc!F25))+B643),100)/100)</f>
        <v/>
      </c>
      <c r="O621">
        <f>IF(C621,H621*N621*IF(AND(Inputs!$B$4&lt;&gt;"pvp",Inputs!$B$35&gt;0),((Skills!G11*((R621-1)*IF(Skills!H11&gt;0,Skills!I11/Skills!H11,1)+IF(Skills!H11&gt;0,MIN(Skills!I11,MAX(0,Inputs!$B$35-((R621-1)*IF(Inputs!$B$4="pvp",15,MAX(0.1,Skills!D11-IF(Skills!E11=TRUE,Inputs!$B$31,0))))))/Skills!H11,1)))/Inputs!$B$35),G621*Q621)*IF(Inputs!$B$4="pvp",1,(1-Summary!$B$55)*(1)+Summary!$B$55*(MIN(Skills!W11,Inputs!$B$37))),0)</f>
        <v/>
      </c>
      <c r="P621">
        <f>IF(B655=0,0,O621/B655)</f>
        <v/>
      </c>
      <c r="Q621">
        <f>IFERROR(1/IF(Inputs!$B$4="pvp",15,MAX(0.1,Skills!D11-IF(Skills!E11=TRUE,Inputs!$B$31,0))),0)</f>
        <v/>
      </c>
      <c r="R621">
        <f>IF(AND(Inputs!$B$4&lt;&gt;"pvp",Inputs!$B$35&gt;0),(INT(Inputs!$B$35/IF(Inputs!$B$4="pvp",15,MAX(0.1,Skills!D11-IF(Skills!E11=TRUE,Inputs!$B$31,0))))+1),0)</f>
        <v/>
      </c>
      <c r="S621">
        <f>IFERROR(O621/N621,0)</f>
        <v/>
      </c>
    </row>
    <row r="622">
      <c r="A622">
        <f>Skills!A12</f>
        <v/>
      </c>
      <c r="B622">
        <f>Skills!B12</f>
        <v/>
      </c>
      <c r="C622">
        <f>Inputs!$B$3&gt;=105</f>
        <v/>
      </c>
      <c r="D622">
        <f>IF(Skills!C12=1,60+Inputs!$B$24+Inputs!$B$28,IF(Skills!C12=2,90+Inputs!$B$25+Inputs!$B$28,IF(Skills!C12=3,120+Inputs!$B$26+Inputs!$B$28,MAX(0,(Inputs!$B$3-100)*3)+Inputs!$B$27+Inputs!$B$28)))</f>
        <v/>
      </c>
      <c r="E622">
        <f>INDEX(FactorTable!$B$2:$Y$301, MATCH(ROUND(MIN(300,MAX(1,D622)),0), FactorTable!$A$2:$A$301,0), Skills!M12+1)</f>
        <v/>
      </c>
      <c r="F622">
        <f>IF(Skills!N12=TRUE,(Skills!L12/10)*(E622/1000),Skills!L12/10)+Skills!O12</f>
        <v/>
      </c>
      <c r="G622">
        <f>Skills!G12*IF(Skills!H12&gt;0,Skills!I12/Skills!H12,1)</f>
        <v/>
      </c>
      <c r="H622">
        <f>1-(1-Skills!J12/100)^Skills!K12</f>
        <v/>
      </c>
      <c r="I622" t="inlineStr">
        <is>
          <t>1</t>
        </is>
      </c>
      <c r="J622">
        <f>(Inputs!$B$5*(1+Inputs!$B$6/100))*(F622/100)</f>
        <v/>
      </c>
      <c r="K622">
        <f>J622*(1+((Inputs!$B$11*(1+Inputs!$B$12/100))*0.01+Inputs!$B$13*0.0025)/100)*(1+Inputs!$B$14/100)*(1+IF(Inputs!$B$4="pvp",0,(1-Summary!$B$55)*(Inputs!$B$19+0+Skills!P12+B644)+Summary!$B$55*(Inputs!$B$20+Skills!Q12+B644))/100)*(1+Inputs!$B$15/100)*(5000/(6000+Inputs!$B$7*(1-Inputs!$B$18/100)))*(1+(Inputs!$B$23+((C640=TRUE)*(F640-Calc!F30)))/100)*(1+(IF(Skills!A12="CRUEL_STAB",Inputs!$B$16+((C637=TRUE)*(F637-Calc!F27)),Inputs!$B$17+((C638=TRUE)*(F638-Calc!F28))))/100)*(((1+(((C631=TRUE)*F631*IF(AND(Inputs!$B$4&lt;&gt;"pvp",Inputs!$B$35&gt;0),(((S631-1)*(Skills!Y21*(1+Inputs!$B$33/100))+MIN((Skills!Y21*(1+Inputs!$B$33/100)),MAX(0,Inputs!$B$35-((S631-1)*Skills!D21))))/Inputs!$B$35),IF(Inputs!$B$4="pvp",MIN((Skills!Y21*(1+Inputs!$B$33/100)),15)/15,(Skills!Y21*(1+Inputs!$B$33/100))/Skills!D21)))+((C633=TRUE)*(F633-Calc!F23))+((C627=TRUE)*(F627-Calc!F17)))/100)*(1+((C620=TRUE)*F620*IF(AND(Inputs!$B$4&lt;&gt;"pvp",Inputs!$B$35&gt;0),(((S620-1)*(Skills!Y10*(1+Inputs!$B$33/100))+MIN((Skills!Y10*(1+Inputs!$B$33/100)),MAX(0,Inputs!$B$35-((S620-1)*Skills!D10))))/Inputs!$B$35),IF(Inputs!$B$4="pvp",MIN((Skills!Y10*(1+Inputs!$B$33/100)),15)/15,(Skills!Y10*(1+Inputs!$B$33/100))/Skills!D10)))/100)*(1+((C625=TRUE)*F625*IF(AND(Inputs!$B$4&lt;&gt;"pvp",Inputs!$B$35&gt;0),(((S625-1)*(Skills!Y15*(1+Inputs!$B$33/100))+MIN((Skills!Y15*(1+Inputs!$B$33/100)),MAX(0,Inputs!$B$35-((S625-1)*Skills!D15))))/Inputs!$B$35),IF(Inputs!$B$4="pvp",MIN((Skills!Y15*(1+Inputs!$B$33/100)),15)/15,(Skills!Y15*(1+Inputs!$B$33/100))/Skills!D15)))/100))*B645*I622)</f>
        <v/>
      </c>
      <c r="L622">
        <f>K622*(MIN(Inputs!$B$21+((C634=TRUE)*(F634-Calc!F24)),Inputs!$B$22+((C639=TRUE)*(F639-Calc!F29)))/100+(Inputs!$B$22+((C639=TRUE)*(F639-Calc!F29)))/100)/2</f>
        <v/>
      </c>
      <c r="M622">
        <f>L622*(1+(Inputs!$B$9+((C636=TRUE)*(F636-Calc!F26))+B650)/100)</f>
        <v/>
      </c>
      <c r="N622">
        <f>L622*(1-MIN((Inputs!$B$8+((C635=TRUE)*(F635-Calc!F25))+B643),100)/100)+M622*(MIN((Inputs!$B$8+((C635=TRUE)*(F635-Calc!F25))+B643),100)/100)</f>
        <v/>
      </c>
      <c r="O622">
        <f>IF(C622,H622*N622*IF(AND(Inputs!$B$4&lt;&gt;"pvp",Inputs!$B$35&gt;0),((Skills!G12*((R622-1)*IF(Skills!H12&gt;0,Skills!I12/Skills!H12,1)+IF(Skills!H12&gt;0,MIN(Skills!I12,MAX(0,Inputs!$B$35-((R622-1)*IF(Inputs!$B$4="pvp",15,MAX(0.1,Skills!D12-IF(Skills!E12=TRUE,Inputs!$B$31,0))))))/Skills!H12,1)))/Inputs!$B$35),G622*Q622)*IF(Inputs!$B$4="pvp",1,(1-Summary!$B$55)*(1)+Summary!$B$55*(MIN(Skills!W12,Inputs!$B$37))),0)</f>
        <v/>
      </c>
      <c r="P622">
        <f>IF(B655=0,0,O622/B655)</f>
        <v/>
      </c>
      <c r="Q622">
        <f>IFERROR(1/IF(Inputs!$B$4="pvp",15,MAX(0.1,Skills!D12-IF(Skills!E12=TRUE,Inputs!$B$31,0))),0)</f>
        <v/>
      </c>
      <c r="R622">
        <f>IF(AND(Inputs!$B$4&lt;&gt;"pvp",Inputs!$B$35&gt;0),(INT(Inputs!$B$35/IF(Inputs!$B$4="pvp",15,MAX(0.1,Skills!D12-IF(Skills!E12=TRUE,Inputs!$B$31,0))))+1),0)</f>
        <v/>
      </c>
      <c r="S622">
        <f>IFERROR(O622/N622,0)</f>
        <v/>
      </c>
    </row>
    <row r="623">
      <c r="A623">
        <f>Skills!A13</f>
        <v/>
      </c>
      <c r="B623">
        <f>Skills!B13</f>
        <v/>
      </c>
      <c r="C623">
        <f>Inputs!$B$3&gt;=105</f>
        <v/>
      </c>
      <c r="D623">
        <f>IF(Skills!C13=1,60+Inputs!$B$24+Inputs!$B$28,IF(Skills!C13=2,90+Inputs!$B$25+Inputs!$B$28,IF(Skills!C13=3,120+Inputs!$B$26+Inputs!$B$28,MAX(0,(Inputs!$B$3-100)*3)+Inputs!$B$27+Inputs!$B$28)))</f>
        <v/>
      </c>
      <c r="E623">
        <f>INDEX(FactorTable!$B$2:$Y$301, MATCH(ROUND(MIN(300,MAX(1,D623)),0), FactorTable!$A$2:$A$301,0), Skills!M13+1)</f>
        <v/>
      </c>
      <c r="F623">
        <f>IF(Skills!N13=TRUE,(Skills!L13/10)*(E623/1000),Skills!L13/10)+Skills!O13</f>
        <v/>
      </c>
      <c r="G623">
        <f>Skills!G13*IF(Skills!H13&gt;0,Skills!I13/Skills!H13,1)</f>
        <v/>
      </c>
      <c r="H623">
        <f>1-(1-Skills!J13/100)^Skills!K13</f>
        <v/>
      </c>
      <c r="I623" t="inlineStr">
        <is>
          <t>1</t>
        </is>
      </c>
      <c r="J623">
        <f>(Inputs!$B$5*(1+Inputs!$B$6/100))*(F623/100)</f>
        <v/>
      </c>
      <c r="K623">
        <f>J623*(1+((Inputs!$B$11*(1+Inputs!$B$12/100))*0.01+Inputs!$B$13*0.0025)/100)*(1+Inputs!$B$14/100)*(1+IF(Inputs!$B$4="pvp",0,(1-Summary!$B$55)*(Inputs!$B$19+0+Skills!P13+B644)+Summary!$B$55*(Inputs!$B$20+Skills!Q13+B644))/100)*(1+Inputs!$B$15/100)*(5000/(6000+Inputs!$B$7*(1-Inputs!$B$18/100)))*(1+(Inputs!$B$23+((C640=TRUE)*(F640-Calc!F30)))/100)*(1+(IF(Skills!A13="CRUEL_STAB",Inputs!$B$16+((C637=TRUE)*(F637-Calc!F27)),Inputs!$B$17+((C638=TRUE)*(F638-Calc!F28))))/100)*(((1+(((C631=TRUE)*F631*IF(AND(Inputs!$B$4&lt;&gt;"pvp",Inputs!$B$35&gt;0),(((S631-1)*(Skills!Y21*(1+Inputs!$B$33/100))+MIN((Skills!Y21*(1+Inputs!$B$33/100)),MAX(0,Inputs!$B$35-((S631-1)*Skills!D21))))/Inputs!$B$35),IF(Inputs!$B$4="pvp",MIN((Skills!Y21*(1+Inputs!$B$33/100)),15)/15,(Skills!Y21*(1+Inputs!$B$33/100))/Skills!D21)))+((C633=TRUE)*(F633-Calc!F23))+((C627=TRUE)*(F627-Calc!F17)))/100)*(1+((C620=TRUE)*F620*IF(AND(Inputs!$B$4&lt;&gt;"pvp",Inputs!$B$35&gt;0),(((S620-1)*(Skills!Y10*(1+Inputs!$B$33/100))+MIN((Skills!Y10*(1+Inputs!$B$33/100)),MAX(0,Inputs!$B$35-((S620-1)*Skills!D10))))/Inputs!$B$35),IF(Inputs!$B$4="pvp",MIN((Skills!Y10*(1+Inputs!$B$33/100)),15)/15,(Skills!Y10*(1+Inputs!$B$33/100))/Skills!D10)))/100)*(1+((C625=TRUE)*F625*IF(AND(Inputs!$B$4&lt;&gt;"pvp",Inputs!$B$35&gt;0),(((S625-1)*(Skills!Y15*(1+Inputs!$B$33/100))+MIN((Skills!Y15*(1+Inputs!$B$33/100)),MAX(0,Inputs!$B$35-((S625-1)*Skills!D15))))/Inputs!$B$35),IF(Inputs!$B$4="pvp",MIN((Skills!Y15*(1+Inputs!$B$33/100)),15)/15,(Skills!Y15*(1+Inputs!$B$33/100))/Skills!D15)))/100))*B645*I623)</f>
        <v/>
      </c>
      <c r="L623">
        <f>K623*(MIN(Inputs!$B$21+((C634=TRUE)*(F634-Calc!F24)),Inputs!$B$22+((C639=TRUE)*(F639-Calc!F29)))/100+(Inputs!$B$22+((C639=TRUE)*(F639-Calc!F29)))/100)/2</f>
        <v/>
      </c>
      <c r="M623">
        <f>L623*(1+(Inputs!$B$9+((C636=TRUE)*(F636-Calc!F26))+B650)/100)</f>
        <v/>
      </c>
      <c r="N623">
        <f>L623*(1-MIN((Inputs!$B$8+((C635=TRUE)*(F635-Calc!F25))+B643),100)/100)+M623*(MIN((Inputs!$B$8+((C635=TRUE)*(F635-Calc!F25))+B643),100)/100)</f>
        <v/>
      </c>
      <c r="O623">
        <f>IF(C623,H623*N623*IF(AND(Inputs!$B$4&lt;&gt;"pvp",Inputs!$B$35&gt;0),((Skills!G13*((R623-1)*IF(Skills!H13&gt;0,Skills!I13/Skills!H13,1)+IF(Skills!H13&gt;0,MIN(Skills!I13,MAX(0,Inputs!$B$35-((R623-1)*IF(Inputs!$B$4="pvp",15,MAX(0.1,Skills!D13-IF(Skills!E13=TRUE,Inputs!$B$31,0))))))/Skills!H13,1)))/Inputs!$B$35),G623*Q623)*IF(Inputs!$B$4="pvp",1,(1-Summary!$B$55)*(1)+Summary!$B$55*(MIN(Skills!W13,Inputs!$B$37))),0)</f>
        <v/>
      </c>
      <c r="P623">
        <f>IF(B655=0,0,O623/B655)</f>
        <v/>
      </c>
      <c r="Q623">
        <f>IFERROR(1/IF(Inputs!$B$4="pvp",15,MAX(0.1,Skills!D13-IF(Skills!E13=TRUE,Inputs!$B$31,0))),0)</f>
        <v/>
      </c>
      <c r="R623">
        <f>IF(AND(Inputs!$B$4&lt;&gt;"pvp",Inputs!$B$35&gt;0),(INT(Inputs!$B$35/IF(Inputs!$B$4="pvp",15,MAX(0.1,Skills!D13-IF(Skills!E13=TRUE,Inputs!$B$31,0))))+1),0)</f>
        <v/>
      </c>
      <c r="S623">
        <f>IFERROR(O623/N623,0)</f>
        <v/>
      </c>
    </row>
    <row r="624">
      <c r="A624">
        <f>Skills!A14</f>
        <v/>
      </c>
      <c r="B624">
        <f>Skills!B14</f>
        <v/>
      </c>
      <c r="C624">
        <f>Inputs!$B$3&gt;=107</f>
        <v/>
      </c>
      <c r="D624">
        <f>IF(Skills!C14=1,60+Inputs!$B$24+Inputs!$B$28,IF(Skills!C14=2,90+Inputs!$B$25+Inputs!$B$28,IF(Skills!C14=3,120+Inputs!$B$26+Inputs!$B$28,MAX(0,(Inputs!$B$3-100)*3)+Inputs!$B$27+Inputs!$B$28)))</f>
        <v/>
      </c>
      <c r="E624">
        <f>INDEX(FactorTable!$B$2:$Y$301, MATCH(ROUND(MIN(300,MAX(1,D624)),0), FactorTable!$A$2:$A$301,0), Skills!M14+1)</f>
        <v/>
      </c>
      <c r="F624">
        <f>IF(Skills!N14=TRUE,(Skills!L14/10)*(E624/1000),Skills!L14/10)+Skills!O14</f>
        <v/>
      </c>
      <c r="G624">
        <f>Skills!G14*IF(Skills!H14&gt;0,Skills!I14/Skills!H14,1)</f>
        <v/>
      </c>
      <c r="H624">
        <f>1-(1-Skills!J14/100)^Skills!K14</f>
        <v/>
      </c>
      <c r="I624" t="inlineStr">
        <is>
          <t>1</t>
        </is>
      </c>
      <c r="J624">
        <f>(Inputs!$B$5*(1+Inputs!$B$6/100))*(F624/100)</f>
        <v/>
      </c>
      <c r="K624">
        <f>J624*(1+((Inputs!$B$11*(1+Inputs!$B$12/100))*0.01+Inputs!$B$13*0.0025)/100)*(1+Inputs!$B$14/100)*(1+IF(Inputs!$B$4="pvp",0,(1-Summary!$B$55)*(Inputs!$B$19+0+Skills!P14+B644)+Summary!$B$55*(Inputs!$B$20+Skills!Q14+B644))/100)*(1+Inputs!$B$15/100)*(5000/(6000+Inputs!$B$7*(1-Inputs!$B$18/100)))*(1+(Inputs!$B$23+((C640=TRUE)*(F640-Calc!F30)))/100)*(1+(IF(Skills!A14="CRUEL_STAB",Inputs!$B$16+((C637=TRUE)*(F637-Calc!F27)),Inputs!$B$17+((C638=TRUE)*(F638-Calc!F28))))/100)*(((1+(((C631=TRUE)*F631*IF(AND(Inputs!$B$4&lt;&gt;"pvp",Inputs!$B$35&gt;0),(((S631-1)*(Skills!Y21*(1+Inputs!$B$33/100))+MIN((Skills!Y21*(1+Inputs!$B$33/100)),MAX(0,Inputs!$B$35-((S631-1)*Skills!D21))))/Inputs!$B$35),IF(Inputs!$B$4="pvp",MIN((Skills!Y21*(1+Inputs!$B$33/100)),15)/15,(Skills!Y21*(1+Inputs!$B$33/100))/Skills!D21)))+((C633=TRUE)*(F633-Calc!F23))+((C627=TRUE)*(F627-Calc!F17)))/100)*(1+((C620=TRUE)*F620*IF(AND(Inputs!$B$4&lt;&gt;"pvp",Inputs!$B$35&gt;0),(((S620-1)*(Skills!Y10*(1+Inputs!$B$33/100))+MIN((Skills!Y10*(1+Inputs!$B$33/100)),MAX(0,Inputs!$B$35-((S620-1)*Skills!D10))))/Inputs!$B$35),IF(Inputs!$B$4="pvp",MIN((Skills!Y10*(1+Inputs!$B$33/100)),15)/15,(Skills!Y10*(1+Inputs!$B$33/100))/Skills!D10)))/100)*(1+((C625=TRUE)*F625*IF(AND(Inputs!$B$4&lt;&gt;"pvp",Inputs!$B$35&gt;0),(((S625-1)*(Skills!Y15*(1+Inputs!$B$33/100))+MIN((Skills!Y15*(1+Inputs!$B$33/100)),MAX(0,Inputs!$B$35-((S625-1)*Skills!D15))))/Inputs!$B$35),IF(Inputs!$B$4="pvp",MIN((Skills!Y15*(1+Inputs!$B$33/100)),15)/15,(Skills!Y15*(1+Inputs!$B$33/100))/Skills!D15)))/100))*B645*I624)</f>
        <v/>
      </c>
      <c r="L624">
        <f>K624*(MIN(Inputs!$B$21+((C634=TRUE)*(F634-Calc!F24)),Inputs!$B$22+((C639=TRUE)*(F639-Calc!F29)))/100+(Inputs!$B$22+((C639=TRUE)*(F639-Calc!F29)))/100)/2</f>
        <v/>
      </c>
      <c r="M624">
        <f>L624*(1+(Inputs!$B$9+((C636=TRUE)*(F636-Calc!F26))+B650)/100)</f>
        <v/>
      </c>
      <c r="N624">
        <f>L624*(1-MIN((Inputs!$B$8+((C635=TRUE)*(F635-Calc!F25))+B643),100)/100)+M624*(MIN((Inputs!$B$8+((C635=TRUE)*(F635-Calc!F25))+B643),100)/100)</f>
        <v/>
      </c>
      <c r="O624">
        <f>IF(C624,H624*N624*IF(AND(Inputs!$B$4&lt;&gt;"pvp",Inputs!$B$35&gt;0),((Skills!G14*((R624-1)*IF(Skills!H14&gt;0,Skills!I14/Skills!H14,1)+IF(Skills!H14&gt;0,MIN(Skills!I14,MAX(0,Inputs!$B$35-((R624-1)*IF(Inputs!$B$4="pvp",15,MAX(0.1,Skills!D14-IF(Skills!E14=TRUE,Inputs!$B$31,0))))))/Skills!H14,1)))/Inputs!$B$35),G624*Q624)*IF(Inputs!$B$4="pvp",1,(1-Summary!$B$55)*(1)+Summary!$B$55*(MIN(MIN(5,0.25*B647*Skills!D4)*Skills!V14,Inputs!$B$37))),0)</f>
        <v/>
      </c>
      <c r="P624">
        <f>IF(B655=0,0,O624/B655)</f>
        <v/>
      </c>
      <c r="Q624">
        <f>IFERROR(1/IF(Inputs!$B$4="pvp",15,MAX(0.1,Skills!D14-IF(Skills!E14=TRUE,Inputs!$B$31,0))),0)</f>
        <v/>
      </c>
      <c r="R624">
        <f>IF(AND(Inputs!$B$4&lt;&gt;"pvp",Inputs!$B$35&gt;0),(INT(Inputs!$B$35/IF(Inputs!$B$4="pvp",15,MAX(0.1,Skills!D14-IF(Skills!E14=TRUE,Inputs!$B$31,0))))+1),0)</f>
        <v/>
      </c>
      <c r="S624">
        <f>IFERROR(O624/N624,0)</f>
        <v/>
      </c>
    </row>
    <row r="625">
      <c r="A625">
        <f>Skills!A15</f>
        <v/>
      </c>
      <c r="B625">
        <f>Skills!B15</f>
        <v/>
      </c>
      <c r="C625">
        <f>Inputs!$B$3&gt;=110</f>
        <v/>
      </c>
      <c r="D625">
        <f>IF(Skills!C15=1,60+Inputs!$B$24+Inputs!$B$28,IF(Skills!C15=2,90+Inputs!$B$25+Inputs!$B$28,IF(Skills!C15=3,120+Inputs!$B$26+Inputs!$B$28,MAX(0,(Inputs!$B$3-100)*3)+Inputs!$B$27+Inputs!$B$28)))</f>
        <v/>
      </c>
      <c r="E625">
        <f>INDEX(FactorTable!$B$2:$Y$301, MATCH(ROUND(MIN(300,MAX(1,D625)),0), FactorTable!$A$2:$A$301,0), Skills!M15+1)</f>
        <v/>
      </c>
      <c r="F625">
        <f>IF(Skills!N15=TRUE,(Skills!L15/10)*(E625/1000),Skills!L15/10)+Skills!O15</f>
        <v/>
      </c>
      <c r="G625">
        <f>Skills!G15*IF(Skills!H15&gt;0,Skills!I15/Skills!H15,1)</f>
        <v/>
      </c>
      <c r="H625">
        <f>1-(1-Skills!J15/100)^Skills!K15</f>
        <v/>
      </c>
      <c r="I625" t="inlineStr">
        <is>
          <t>1</t>
        </is>
      </c>
      <c r="J625" t="inlineStr"/>
      <c r="K625" t="inlineStr"/>
      <c r="L625" t="inlineStr"/>
      <c r="M625" t="inlineStr"/>
      <c r="N625" t="inlineStr"/>
      <c r="O625" t="n">
        <v>0</v>
      </c>
      <c r="P625">
        <f>IF(B655=0,0,O625/B655)</f>
        <v/>
      </c>
      <c r="Q625">
        <f>IFERROR(1/IF(Inputs!$B$4="pvp",15,MAX(0.1,Skills!D15-IF(Skills!E15=TRUE,Inputs!$B$31,0))),0)</f>
        <v/>
      </c>
      <c r="R625">
        <f>IF(AND(Inputs!$B$4&lt;&gt;"pvp",Inputs!$B$35&gt;0),(INT(Inputs!$B$35/IF(Inputs!$B$4="pvp",15,MAX(0.1,Skills!D15-IF(Skills!E15=TRUE,Inputs!$B$31,0))))+1),0)</f>
        <v/>
      </c>
      <c r="S625">
        <f>IFERROR(O625/N625,0)</f>
        <v/>
      </c>
    </row>
    <row r="626">
      <c r="A626">
        <f>Skills!A16</f>
        <v/>
      </c>
      <c r="B626">
        <f>Skills!B16</f>
        <v/>
      </c>
      <c r="C626">
        <f>Inputs!$B$3&gt;=115</f>
        <v/>
      </c>
      <c r="D626">
        <f>IF(Skills!C16=1,60+Inputs!$B$24+Inputs!$B$28,IF(Skills!C16=2,90+Inputs!$B$25+Inputs!$B$28,IF(Skills!C16=3,120+Inputs!$B$26+Inputs!$B$28,MAX(0,(Inputs!$B$3-100)*3)+Inputs!$B$27+Inputs!$B$28)))</f>
        <v/>
      </c>
      <c r="E626">
        <f>INDEX(FactorTable!$B$2:$Y$301, MATCH(ROUND(MIN(300,MAX(1,D626)),0), FactorTable!$A$2:$A$301,0), Skills!M16+1)</f>
        <v/>
      </c>
      <c r="F626">
        <f>IF(Skills!N16=TRUE,(Skills!L16/10)*(E626/1000),Skills!L16/10)+Skills!O16</f>
        <v/>
      </c>
      <c r="G626">
        <f>Skills!G16*IF(Skills!H16&gt;0,Skills!I16/Skills!H16,1)</f>
        <v/>
      </c>
      <c r="H626">
        <f>1-(1-Skills!J16/100)^Skills!K16</f>
        <v/>
      </c>
      <c r="I626" t="inlineStr">
        <is>
          <t>1</t>
        </is>
      </c>
      <c r="J626">
        <f>(Inputs!$B$5*(1+Inputs!$B$6/100))*(F626/100)</f>
        <v/>
      </c>
      <c r="K626">
        <f>J626*(1+((Inputs!$B$11*(1+Inputs!$B$12/100))*0.01+Inputs!$B$13*0.0025)/100)*(1+Inputs!$B$14/100)*(1+IF(Inputs!$B$4="pvp",0,(1-Summary!$B$55)*(Inputs!$B$19+0+Skills!P16+B644)+Summary!$B$55*(Inputs!$B$20+Skills!Q16+B644))/100)*(1+Inputs!$B$15/100)*(5000/(6000+Inputs!$B$7*(1-Inputs!$B$18/100)))*(1+(Inputs!$B$23+((C640=TRUE)*(F640-Calc!F30)))/100)*(1+(IF(Skills!A16="CRUEL_STAB",Inputs!$B$16+((C637=TRUE)*(F637-Calc!F27)),Inputs!$B$17+((C638=TRUE)*(F638-Calc!F28))))/100)*(((1+(((C631=TRUE)*F631*IF(AND(Inputs!$B$4&lt;&gt;"pvp",Inputs!$B$35&gt;0),(((S631-1)*(Skills!Y21*(1+Inputs!$B$33/100))+MIN((Skills!Y21*(1+Inputs!$B$33/100)),MAX(0,Inputs!$B$35-((S631-1)*Skills!D21))))/Inputs!$B$35),IF(Inputs!$B$4="pvp",MIN((Skills!Y21*(1+Inputs!$B$33/100)),15)/15,(Skills!Y21*(1+Inputs!$B$33/100))/Skills!D21)))+((C633=TRUE)*(F633-Calc!F23))+((C627=TRUE)*(F627-Calc!F17)))/100)*(1+((C620=TRUE)*F620*IF(AND(Inputs!$B$4&lt;&gt;"pvp",Inputs!$B$35&gt;0),(((S620-1)*(Skills!Y10*(1+Inputs!$B$33/100))+MIN((Skills!Y10*(1+Inputs!$B$33/100)),MAX(0,Inputs!$B$35-((S620-1)*Skills!D10))))/Inputs!$B$35),IF(Inputs!$B$4="pvp",MIN((Skills!Y10*(1+Inputs!$B$33/100)),15)/15,(Skills!Y10*(1+Inputs!$B$33/100))/Skills!D10)))/100)*(1+((C625=TRUE)*F625*IF(AND(Inputs!$B$4&lt;&gt;"pvp",Inputs!$B$35&gt;0),(((S625-1)*(Skills!Y15*(1+Inputs!$B$33/100))+MIN((Skills!Y15*(1+Inputs!$B$33/100)),MAX(0,Inputs!$B$35-((S625-1)*Skills!D15))))/Inputs!$B$35),IF(Inputs!$B$4="pvp",MIN((Skills!Y15*(1+Inputs!$B$33/100)),15)/15,(Skills!Y15*(1+Inputs!$B$33/100))/Skills!D15)))/100))*B645*I626)</f>
        <v/>
      </c>
      <c r="L626">
        <f>K626*(MIN(Inputs!$B$21+((C634=TRUE)*(F634-Calc!F24)),Inputs!$B$22+((C639=TRUE)*(F639-Calc!F29)))/100+(Inputs!$B$22+((C639=TRUE)*(F639-Calc!F29)))/100)/2</f>
        <v/>
      </c>
      <c r="M626">
        <f>L626*(1+(Inputs!$B$9+((C636=TRUE)*(F636-Calc!F26))+B650)/100)</f>
        <v/>
      </c>
      <c r="N626">
        <f>L626*(1-MIN((Inputs!$B$8+((C635=TRUE)*(F635-Calc!F25))+B643),100)/100)+M626*(MIN((Inputs!$B$8+((C635=TRUE)*(F635-Calc!F25))+B643),100)/100)</f>
        <v/>
      </c>
      <c r="O626">
        <f>IF(C626,Inputs!$B$38*0.2*N626,0)</f>
        <v/>
      </c>
      <c r="P626">
        <f>IF(B655=0,0,O626/B655)</f>
        <v/>
      </c>
      <c r="Q626" t="n">
        <v>0</v>
      </c>
      <c r="R626" t="n">
        <v>0</v>
      </c>
      <c r="S626">
        <f>IFERROR(O626/N626,0)</f>
        <v/>
      </c>
    </row>
    <row r="627">
      <c r="A627">
        <f>Skills!A17</f>
        <v/>
      </c>
      <c r="B627">
        <f>Skills!B17</f>
        <v/>
      </c>
      <c r="C627">
        <f>Inputs!$B$3&gt;=115</f>
        <v/>
      </c>
      <c r="D627">
        <f>IF(Skills!C17=1,60+Inputs!$B$24+Inputs!$B$28,IF(Skills!C17=2,90+Inputs!$B$25+Inputs!$B$28,IF(Skills!C17=3,120+Inputs!$B$26+Inputs!$B$28,MAX(0,(Inputs!$B$3-100)*3)+Inputs!$B$27+Inputs!$B$28)))</f>
        <v/>
      </c>
      <c r="E627">
        <f>INDEX(FactorTable!$B$2:$Y$301, MATCH(ROUND(MIN(300,MAX(1,D627)),0), FactorTable!$A$2:$A$301,0), Skills!M17+1)</f>
        <v/>
      </c>
      <c r="F627">
        <f>IF(Skills!N17=TRUE,(Skills!L17/10)*(E627/1000),Skills!L17/10)+Skills!O17</f>
        <v/>
      </c>
      <c r="G627">
        <f>Skills!G17*IF(Skills!H17&gt;0,Skills!I17/Skills!H17,1)</f>
        <v/>
      </c>
      <c r="H627">
        <f>1-(1-Skills!J17/100)^Skills!K17</f>
        <v/>
      </c>
      <c r="I627" t="inlineStr">
        <is>
          <t>1</t>
        </is>
      </c>
      <c r="J627" t="inlineStr"/>
      <c r="K627" t="inlineStr"/>
      <c r="L627" t="inlineStr"/>
      <c r="M627" t="inlineStr"/>
      <c r="N627" t="inlineStr"/>
      <c r="O627" t="n">
        <v>0</v>
      </c>
      <c r="P627">
        <f>IF(B655=0,0,O627/B655)</f>
        <v/>
      </c>
      <c r="Q627" t="n">
        <v>0</v>
      </c>
      <c r="R627" t="n">
        <v>0</v>
      </c>
      <c r="S627">
        <f>IFERROR(O627/N627,0)</f>
        <v/>
      </c>
    </row>
    <row r="628">
      <c r="A628">
        <f>Skills!A18</f>
        <v/>
      </c>
      <c r="B628">
        <f>Skills!B18</f>
        <v/>
      </c>
      <c r="C628">
        <f>Inputs!$B$3&gt;=100</f>
        <v/>
      </c>
      <c r="D628">
        <f>IF(Skills!C18=1,60+Inputs!$B$24+Inputs!$B$28,IF(Skills!C18=2,90+Inputs!$B$25+Inputs!$B$28,IF(Skills!C18=3,120+Inputs!$B$26+Inputs!$B$28,MAX(0,(Inputs!$B$3-100)*3)+Inputs!$B$27+Inputs!$B$28)))</f>
        <v/>
      </c>
      <c r="E628">
        <f>INDEX(FactorTable!$B$2:$Y$301, MATCH(ROUND(MIN(300,MAX(1,D628)),0), FactorTable!$A$2:$A$301,0), Skills!M18+1)</f>
        <v/>
      </c>
      <c r="F628">
        <f>IF(Skills!N18=TRUE,(Skills!L18/10)*(E628/1000),Skills!L18/10)+Skills!O18</f>
        <v/>
      </c>
      <c r="G628">
        <f>Skills!G18*IF(Skills!H18&gt;0,Skills!I18/Skills!H18,1)</f>
        <v/>
      </c>
      <c r="H628">
        <f>1-(1-Skills!J18/100)^Skills!K18</f>
        <v/>
      </c>
      <c r="I628" t="inlineStr">
        <is>
          <t>1</t>
        </is>
      </c>
      <c r="J628" t="inlineStr"/>
      <c r="K628" t="inlineStr"/>
      <c r="L628" t="inlineStr"/>
      <c r="M628" t="inlineStr"/>
      <c r="N628" t="inlineStr"/>
      <c r="O628" t="n">
        <v>0</v>
      </c>
      <c r="P628">
        <f>IF(B655=0,0,O628/B655)</f>
        <v/>
      </c>
      <c r="Q628" t="n">
        <v>0</v>
      </c>
      <c r="R628" t="n">
        <v>0</v>
      </c>
      <c r="S628">
        <f>IFERROR(O628/N628,0)</f>
        <v/>
      </c>
    </row>
    <row r="629">
      <c r="A629">
        <f>Skills!A19</f>
        <v/>
      </c>
      <c r="B629">
        <f>Skills!B19</f>
        <v/>
      </c>
      <c r="C629">
        <f>TRUE</f>
        <v/>
      </c>
      <c r="D629">
        <f>IF(Skills!C19=1,60+Inputs!$B$24+Inputs!$B$28,IF(Skills!C19=2,90+Inputs!$B$25+Inputs!$B$28,IF(Skills!C19=3,120+Inputs!$B$26+Inputs!$B$28,MAX(0,(Inputs!$B$3-100)*3)+Inputs!$B$27+Inputs!$B$28)))</f>
        <v/>
      </c>
      <c r="E629">
        <f>INDEX(FactorTable!$B$2:$Y$301, MATCH(ROUND(MIN(300,MAX(1,D629)),0), FactorTable!$A$2:$A$301,0), Skills!M19+1)</f>
        <v/>
      </c>
      <c r="F629">
        <f>IF(Skills!N19=TRUE,(Skills!L19/10)*(E629/1000),Skills!L19/10)+Skills!O19</f>
        <v/>
      </c>
      <c r="G629">
        <f>Skills!G19*IF(Skills!H19&gt;0,Skills!I19/Skills!H19,1)</f>
        <v/>
      </c>
      <c r="H629">
        <f>1-(1-Skills!J19/100)^Skills!K19</f>
        <v/>
      </c>
      <c r="I629" t="inlineStr">
        <is>
          <t>1</t>
        </is>
      </c>
      <c r="J629" t="inlineStr"/>
      <c r="K629" t="inlineStr"/>
      <c r="L629" t="inlineStr"/>
      <c r="M629" t="inlineStr"/>
      <c r="N629" t="inlineStr"/>
      <c r="O629" t="n">
        <v>0</v>
      </c>
      <c r="P629">
        <f>IF(B655=0,0,O629/B655)</f>
        <v/>
      </c>
      <c r="Q629">
        <f>IFERROR(1/IF(Inputs!$B$4="pvp",15,MAX(0.1,Skills!D19-IF(Skills!E19=TRUE,Inputs!$B$31,0))),0)</f>
        <v/>
      </c>
      <c r="R629">
        <f>IF(AND(Inputs!$B$4&lt;&gt;"pvp",Inputs!$B$35&gt;0),(INT(Inputs!$B$35/IF(Inputs!$B$4="pvp",15,MAX(0.1,Skills!D19-IF(Skills!E19=TRUE,Inputs!$B$31,0))))+1),0)</f>
        <v/>
      </c>
      <c r="S629">
        <f>IFERROR(O629/N629,0)</f>
        <v/>
      </c>
    </row>
    <row r="630">
      <c r="A630">
        <f>Skills!A20</f>
        <v/>
      </c>
      <c r="B630">
        <f>Skills!B20</f>
        <v/>
      </c>
      <c r="C630">
        <f>Inputs!$B$3&gt;=15</f>
        <v/>
      </c>
      <c r="D630">
        <f>IF(Skills!C20=1,60+Inputs!$B$24+Inputs!$B$28,IF(Skills!C20=2,90+Inputs!$B$25+Inputs!$B$28,IF(Skills!C20=3,120+Inputs!$B$26+Inputs!$B$28,MAX(0,(Inputs!$B$3-100)*3)+Inputs!$B$27+Inputs!$B$28)))</f>
        <v/>
      </c>
      <c r="E630">
        <f>INDEX(FactorTable!$B$2:$Y$301, MATCH(ROUND(MIN(300,MAX(1,D630)),0), FactorTable!$A$2:$A$301,0), Skills!M20+1)</f>
        <v/>
      </c>
      <c r="F630">
        <f>IF(Skills!N20=TRUE,(Skills!L20/10)*(E630/1000),Skills!L20/10)+Skills!O20</f>
        <v/>
      </c>
      <c r="G630">
        <f>Skills!G20*IF(Skills!H20&gt;0,Skills!I20/Skills!H20,1)</f>
        <v/>
      </c>
      <c r="H630">
        <f>1-(1-Skills!J20/100)^Skills!K20</f>
        <v/>
      </c>
      <c r="I630" t="inlineStr">
        <is>
          <t>1</t>
        </is>
      </c>
      <c r="J630" t="inlineStr"/>
      <c r="K630" t="inlineStr"/>
      <c r="L630" t="inlineStr"/>
      <c r="M630" t="inlineStr"/>
      <c r="N630" t="inlineStr"/>
      <c r="O630" t="n">
        <v>0</v>
      </c>
      <c r="P630">
        <f>IF(B655=0,0,O630/B655)</f>
        <v/>
      </c>
      <c r="Q630">
        <f>IFERROR(1/IF(Inputs!$B$4="pvp",15,MAX(0.1,Skills!D20-IF(Skills!E20=TRUE,Inputs!$B$31,0))),0)</f>
        <v/>
      </c>
      <c r="R630">
        <f>IF(AND(Inputs!$B$4&lt;&gt;"pvp",Inputs!$B$35&gt;0),(INT(Inputs!$B$35/IF(Inputs!$B$4="pvp",15,MAX(0.1,Skills!D20-IF(Skills!E20=TRUE,Inputs!$B$31,0))))+1),0)</f>
        <v/>
      </c>
      <c r="S630">
        <f>IFERROR(O630/N630,0)</f>
        <v/>
      </c>
    </row>
    <row r="631">
      <c r="A631">
        <f>Skills!A21</f>
        <v/>
      </c>
      <c r="B631">
        <f>Skills!B21</f>
        <v/>
      </c>
      <c r="C631">
        <f>Inputs!$B$3&gt;=15</f>
        <v/>
      </c>
      <c r="D631">
        <f>IF(Skills!C21=1,60+Inputs!$B$24+Inputs!$B$28,IF(Skills!C21=2,90+Inputs!$B$25+Inputs!$B$28,IF(Skills!C21=3,120+Inputs!$B$26+Inputs!$B$28,MAX(0,(Inputs!$B$3-100)*3)+Inputs!$B$27+Inputs!$B$28)))</f>
        <v/>
      </c>
      <c r="E631">
        <f>INDEX(FactorTable!$B$2:$Y$301, MATCH(ROUND(MIN(300,MAX(1,D631)),0), FactorTable!$A$2:$A$301,0), Skills!M21+1)</f>
        <v/>
      </c>
      <c r="F631">
        <f>IF(Skills!N21=TRUE,(Skills!L21/10)*(E631/1000),Skills!L21/10)+Skills!O21</f>
        <v/>
      </c>
      <c r="G631">
        <f>Skills!G21*IF(Skills!H21&gt;0,Skills!I21/Skills!H21,1)</f>
        <v/>
      </c>
      <c r="H631">
        <f>1-(1-Skills!J21/100)^Skills!K21</f>
        <v/>
      </c>
      <c r="I631" t="inlineStr">
        <is>
          <t>1</t>
        </is>
      </c>
      <c r="J631" t="inlineStr"/>
      <c r="K631" t="inlineStr"/>
      <c r="L631" t="inlineStr"/>
      <c r="M631" t="inlineStr"/>
      <c r="N631" t="inlineStr"/>
      <c r="O631" t="n">
        <v>0</v>
      </c>
      <c r="P631">
        <f>IF(B655=0,0,O631/B655)</f>
        <v/>
      </c>
      <c r="Q631">
        <f>IFERROR(1/IF(Inputs!$B$4="pvp",15,MAX(0.1,Skills!D21-IF(Skills!E21=TRUE,Inputs!$B$31,0))),0)</f>
        <v/>
      </c>
      <c r="R631">
        <f>IF(AND(Inputs!$B$4&lt;&gt;"pvp",Inputs!$B$35&gt;0),(INT(Inputs!$B$35/IF(Inputs!$B$4="pvp",15,MAX(0.1,Skills!D21-IF(Skills!E21=TRUE,Inputs!$B$31,0))))+1),0)</f>
        <v/>
      </c>
      <c r="S631">
        <f>IFERROR(O631/N631,0)</f>
        <v/>
      </c>
    </row>
    <row r="632">
      <c r="A632">
        <f>Skills!A22</f>
        <v/>
      </c>
      <c r="B632">
        <f>Skills!B22</f>
        <v/>
      </c>
      <c r="C632">
        <f>Inputs!$B$3&gt;=33</f>
        <v/>
      </c>
      <c r="D632">
        <f>IF(Skills!C22=1,60+Inputs!$B$24+Inputs!$B$28,IF(Skills!C22=2,90+Inputs!$B$25+Inputs!$B$28,IF(Skills!C22=3,120+Inputs!$B$26+Inputs!$B$28,MAX(0,(Inputs!$B$3-100)*3)+Inputs!$B$27+Inputs!$B$28)))</f>
        <v/>
      </c>
      <c r="E632">
        <f>INDEX(FactorTable!$B$2:$Y$301, MATCH(ROUND(MIN(300,MAX(1,D632)),0), FactorTable!$A$2:$A$301,0), Skills!M22+1)</f>
        <v/>
      </c>
      <c r="F632">
        <f>IF(Skills!N22=TRUE,(Skills!L22/10)*(E632/1000),Skills!L22/10)+Skills!O22</f>
        <v/>
      </c>
      <c r="G632">
        <f>Skills!G22*IF(Skills!H22&gt;0,Skills!I22/Skills!H22,1)</f>
        <v/>
      </c>
      <c r="H632">
        <f>1-(1-Skills!J22/100)^Skills!K22</f>
        <v/>
      </c>
      <c r="I632" t="inlineStr">
        <is>
          <t>1</t>
        </is>
      </c>
      <c r="J632" t="inlineStr"/>
      <c r="K632" t="inlineStr"/>
      <c r="L632" t="inlineStr"/>
      <c r="M632" t="inlineStr"/>
      <c r="N632" t="inlineStr"/>
      <c r="O632" t="n">
        <v>0</v>
      </c>
      <c r="P632">
        <f>IF(B655=0,0,O632/B655)</f>
        <v/>
      </c>
      <c r="Q632" t="n">
        <v>0</v>
      </c>
      <c r="R632" t="n">
        <v>0</v>
      </c>
      <c r="S632">
        <f>IFERROR(O632/N632,0)</f>
        <v/>
      </c>
    </row>
    <row r="633">
      <c r="A633">
        <f>Skills!A23</f>
        <v/>
      </c>
      <c r="B633">
        <f>Skills!B23</f>
        <v/>
      </c>
      <c r="C633">
        <f>Inputs!$B$3&gt;=40</f>
        <v/>
      </c>
      <c r="D633">
        <f>IF(Skills!C23=1,60+Inputs!$B$24+Inputs!$B$28,IF(Skills!C23=2,90+Inputs!$B$25+Inputs!$B$28,IF(Skills!C23=3,120+Inputs!$B$26+Inputs!$B$28,MAX(0,(Inputs!$B$3-100)*3)+Inputs!$B$27+Inputs!$B$28)))</f>
        <v/>
      </c>
      <c r="E633">
        <f>INDEX(FactorTable!$B$2:$Y$301, MATCH(ROUND(MIN(300,MAX(1,D633)),0), FactorTable!$A$2:$A$301,0), Skills!M23+1)</f>
        <v/>
      </c>
      <c r="F633">
        <f>IF(Skills!N23=TRUE,(Skills!L23/10)*(E633/1000),Skills!L23/10)+Skills!O23</f>
        <v/>
      </c>
      <c r="G633">
        <f>Skills!G23*IF(Skills!H23&gt;0,Skills!I23/Skills!H23,1)</f>
        <v/>
      </c>
      <c r="H633">
        <f>1-(1-Skills!J23/100)^Skills!K23</f>
        <v/>
      </c>
      <c r="I633" t="inlineStr">
        <is>
          <t>1</t>
        </is>
      </c>
      <c r="J633" t="inlineStr"/>
      <c r="K633" t="inlineStr"/>
      <c r="L633" t="inlineStr"/>
      <c r="M633" t="inlineStr"/>
      <c r="N633" t="inlineStr"/>
      <c r="O633" t="n">
        <v>0</v>
      </c>
      <c r="P633">
        <f>IF(B655=0,0,O633/B655)</f>
        <v/>
      </c>
      <c r="Q633" t="n">
        <v>0</v>
      </c>
      <c r="R633" t="n">
        <v>0</v>
      </c>
      <c r="S633">
        <f>IFERROR(O633/N633,0)</f>
        <v/>
      </c>
    </row>
    <row r="634">
      <c r="A634">
        <f>Skills!A24</f>
        <v/>
      </c>
      <c r="B634">
        <f>Skills!B24</f>
        <v/>
      </c>
      <c r="C634">
        <f>Inputs!$B$3&gt;=43</f>
        <v/>
      </c>
      <c r="D634">
        <f>IF(Skills!C24=1,60+Inputs!$B$24+Inputs!$B$28,IF(Skills!C24=2,90+Inputs!$B$25+Inputs!$B$28,IF(Skills!C24=3,120+Inputs!$B$26+Inputs!$B$28,MAX(0,(Inputs!$B$3-100)*3)+Inputs!$B$27+Inputs!$B$28)))</f>
        <v/>
      </c>
      <c r="E634">
        <f>INDEX(FactorTable!$B$2:$Y$301, MATCH(ROUND(MIN(300,MAX(1,D634)),0), FactorTable!$A$2:$A$301,0), Skills!M24+1)</f>
        <v/>
      </c>
      <c r="F634">
        <f>IF(Skills!N24=TRUE,(Skills!L24/10)*(E634/1000),Skills!L24/10)+Skills!O24</f>
        <v/>
      </c>
      <c r="G634">
        <f>Skills!G24*IF(Skills!H24&gt;0,Skills!I24/Skills!H24,1)</f>
        <v/>
      </c>
      <c r="H634">
        <f>1-(1-Skills!J24/100)^Skills!K24</f>
        <v/>
      </c>
      <c r="I634" t="inlineStr">
        <is>
          <t>1</t>
        </is>
      </c>
      <c r="J634" t="inlineStr"/>
      <c r="K634" t="inlineStr"/>
      <c r="L634" t="inlineStr"/>
      <c r="M634" t="inlineStr"/>
      <c r="N634" t="inlineStr"/>
      <c r="O634" t="n">
        <v>0</v>
      </c>
      <c r="P634">
        <f>IF(B655=0,0,O634/B655)</f>
        <v/>
      </c>
      <c r="Q634" t="n">
        <v>0</v>
      </c>
      <c r="R634" t="n">
        <v>0</v>
      </c>
      <c r="S634">
        <f>IFERROR(O634/N634,0)</f>
        <v/>
      </c>
    </row>
    <row r="635">
      <c r="A635">
        <f>Skills!A25</f>
        <v/>
      </c>
      <c r="B635">
        <f>Skills!B25</f>
        <v/>
      </c>
      <c r="C635">
        <f>Inputs!$B$3&gt;=50</f>
        <v/>
      </c>
      <c r="D635">
        <f>IF(Skills!C25=1,60+Inputs!$B$24+Inputs!$B$28,IF(Skills!C25=2,90+Inputs!$B$25+Inputs!$B$28,IF(Skills!C25=3,120+Inputs!$B$26+Inputs!$B$28,MAX(0,(Inputs!$B$3-100)*3)+Inputs!$B$27+Inputs!$B$28)))</f>
        <v/>
      </c>
      <c r="E635">
        <f>INDEX(FactorTable!$B$2:$Y$301, MATCH(ROUND(MIN(300,MAX(1,D635)),0), FactorTable!$A$2:$A$301,0), Skills!M25+1)</f>
        <v/>
      </c>
      <c r="F635">
        <f>IF(Skills!N25=TRUE,(Skills!L25/10)*(E635/1000),Skills!L25/10)+Skills!O25</f>
        <v/>
      </c>
      <c r="G635">
        <f>Skills!G25*IF(Skills!H25&gt;0,Skills!I25/Skills!H25,1)</f>
        <v/>
      </c>
      <c r="H635">
        <f>1-(1-Skills!J25/100)^Skills!K25</f>
        <v/>
      </c>
      <c r="I635" t="inlineStr">
        <is>
          <t>1</t>
        </is>
      </c>
      <c r="J635" t="inlineStr"/>
      <c r="K635" t="inlineStr"/>
      <c r="L635" t="inlineStr"/>
      <c r="M635" t="inlineStr"/>
      <c r="N635" t="inlineStr"/>
      <c r="O635" t="n">
        <v>0</v>
      </c>
      <c r="P635">
        <f>IF(B655=0,0,O635/B655)</f>
        <v/>
      </c>
      <c r="Q635" t="n">
        <v>0</v>
      </c>
      <c r="R635" t="n">
        <v>0</v>
      </c>
      <c r="S635">
        <f>IFERROR(O635/N635,0)</f>
        <v/>
      </c>
    </row>
    <row r="636">
      <c r="A636">
        <f>Skills!A26</f>
        <v/>
      </c>
      <c r="B636">
        <f>Skills!B26</f>
        <v/>
      </c>
      <c r="C636">
        <f>Inputs!$B$3&gt;=50</f>
        <v/>
      </c>
      <c r="D636">
        <f>IF(Skills!C26=1,60+Inputs!$B$24+Inputs!$B$28,IF(Skills!C26=2,90+Inputs!$B$25+Inputs!$B$28,IF(Skills!C26=3,120+Inputs!$B$26+Inputs!$B$28,MAX(0,(Inputs!$B$3-100)*3)+Inputs!$B$27+Inputs!$B$28)))</f>
        <v/>
      </c>
      <c r="E636">
        <f>INDEX(FactorTable!$B$2:$Y$301, MATCH(ROUND(MIN(300,MAX(1,D636)),0), FactorTable!$A$2:$A$301,0), Skills!M26+1)</f>
        <v/>
      </c>
      <c r="F636">
        <f>IF(Skills!N26=TRUE,(Skills!L26/10)*(E636/1000),Skills!L26/10)+Skills!O26</f>
        <v/>
      </c>
      <c r="G636">
        <f>Skills!G26*IF(Skills!H26&gt;0,Skills!I26/Skills!H26,1)</f>
        <v/>
      </c>
      <c r="H636">
        <f>1-(1-Skills!J26/100)^Skills!K26</f>
        <v/>
      </c>
      <c r="I636" t="inlineStr">
        <is>
          <t>1</t>
        </is>
      </c>
      <c r="J636" t="inlineStr"/>
      <c r="K636" t="inlineStr"/>
      <c r="L636" t="inlineStr"/>
      <c r="M636" t="inlineStr"/>
      <c r="N636" t="inlineStr"/>
      <c r="O636" t="n">
        <v>0</v>
      </c>
      <c r="P636">
        <f>IF(B655=0,0,O636/B655)</f>
        <v/>
      </c>
      <c r="Q636" t="n">
        <v>0</v>
      </c>
      <c r="R636" t="n">
        <v>0</v>
      </c>
      <c r="S636">
        <f>IFERROR(O636/N636,0)</f>
        <v/>
      </c>
    </row>
    <row r="637">
      <c r="A637">
        <f>Skills!A27</f>
        <v/>
      </c>
      <c r="B637">
        <f>Skills!B27</f>
        <v/>
      </c>
      <c r="C637">
        <f>Inputs!$B$3&gt;=38</f>
        <v/>
      </c>
      <c r="D637">
        <f>IF(Skills!C27=1,60+Inputs!$B$24+Inputs!$B$28,IF(Skills!C27=2,90+Inputs!$B$25+Inputs!$B$28,IF(Skills!C27=3,120+Inputs!$B$26+Inputs!$B$28,MAX(0,(Inputs!$B$3-100)*3)+Inputs!$B$27+Inputs!$B$28)))</f>
        <v/>
      </c>
      <c r="E637">
        <f>INDEX(FactorTable!$B$2:$Y$301, MATCH(ROUND(MIN(300,MAX(1,D637)),0), FactorTable!$A$2:$A$301,0), Skills!M27+1)</f>
        <v/>
      </c>
      <c r="F637">
        <f>IF(Skills!N27=TRUE,(Skills!L27/10)*(E637/1000),Skills!L27/10)+Skills!O27</f>
        <v/>
      </c>
      <c r="G637">
        <f>Skills!G27*IF(Skills!H27&gt;0,Skills!I27/Skills!H27,1)</f>
        <v/>
      </c>
      <c r="H637">
        <f>1-(1-Skills!J27/100)^Skills!K27</f>
        <v/>
      </c>
      <c r="I637" t="inlineStr">
        <is>
          <t>1</t>
        </is>
      </c>
      <c r="J637" t="inlineStr"/>
      <c r="K637" t="inlineStr"/>
      <c r="L637" t="inlineStr"/>
      <c r="M637" t="inlineStr"/>
      <c r="N637" t="inlineStr"/>
      <c r="O637" t="n">
        <v>0</v>
      </c>
      <c r="P637">
        <f>IF(B655=0,0,O637/B655)</f>
        <v/>
      </c>
      <c r="Q637" t="n">
        <v>0</v>
      </c>
      <c r="R637" t="n">
        <v>0</v>
      </c>
      <c r="S637">
        <f>IFERROR(O637/N637,0)</f>
        <v/>
      </c>
    </row>
    <row r="638">
      <c r="A638">
        <f>Skills!A28</f>
        <v/>
      </c>
      <c r="B638">
        <f>Skills!B28</f>
        <v/>
      </c>
      <c r="C638">
        <f>Inputs!$B$3&gt;=120</f>
        <v/>
      </c>
      <c r="D638">
        <f>IF(Skills!C28=1,60+Inputs!$B$24+Inputs!$B$28,IF(Skills!C28=2,90+Inputs!$B$25+Inputs!$B$28,IF(Skills!C28=3,120+Inputs!$B$26+Inputs!$B$28,MAX(0,(Inputs!$B$3-100)*3)+Inputs!$B$27+Inputs!$B$28)))</f>
        <v/>
      </c>
      <c r="E638">
        <f>INDEX(FactorTable!$B$2:$Y$301, MATCH(ROUND(MIN(300,MAX(1,D638)),0), FactorTable!$A$2:$A$301,0), Skills!M28+1)</f>
        <v/>
      </c>
      <c r="F638">
        <f>IF(Skills!N28=TRUE,(Skills!L28/10)*(E638/1000),Skills!L28/10)+Skills!O28</f>
        <v/>
      </c>
      <c r="G638">
        <f>Skills!G28*IF(Skills!H28&gt;0,Skills!I28/Skills!H28,1)</f>
        <v/>
      </c>
      <c r="H638">
        <f>1-(1-Skills!J28/100)^Skills!K28</f>
        <v/>
      </c>
      <c r="I638" t="inlineStr">
        <is>
          <t>1</t>
        </is>
      </c>
      <c r="J638" t="inlineStr"/>
      <c r="K638" t="inlineStr"/>
      <c r="L638" t="inlineStr"/>
      <c r="M638" t="inlineStr"/>
      <c r="N638" t="inlineStr"/>
      <c r="O638" t="n">
        <v>0</v>
      </c>
      <c r="P638">
        <f>IF(B655=0,0,O638/B655)</f>
        <v/>
      </c>
      <c r="Q638" t="n">
        <v>0</v>
      </c>
      <c r="R638" t="n">
        <v>0</v>
      </c>
      <c r="S638">
        <f>IFERROR(O638/N638,0)</f>
        <v/>
      </c>
    </row>
    <row r="639">
      <c r="A639">
        <f>Skills!A29</f>
        <v/>
      </c>
      <c r="B639">
        <f>Skills!B29</f>
        <v/>
      </c>
      <c r="C639">
        <f>Inputs!$B$3&gt;=120</f>
        <v/>
      </c>
      <c r="D639">
        <f>IF(Skills!C29=1,60+Inputs!$B$24+Inputs!$B$28,IF(Skills!C29=2,90+Inputs!$B$25+Inputs!$B$28,IF(Skills!C29=3,120+Inputs!$B$26+Inputs!$B$28,MAX(0,(Inputs!$B$3-100)*3)+Inputs!$B$27+Inputs!$B$28)))</f>
        <v/>
      </c>
      <c r="E639">
        <f>INDEX(FactorTable!$B$2:$Y$301, MATCH(ROUND(MIN(300,MAX(1,D639)),0), FactorTable!$A$2:$A$301,0), Skills!M29+1)</f>
        <v/>
      </c>
      <c r="F639">
        <f>IF(Skills!N29=TRUE,(Skills!L29/10)*(E639/1000),Skills!L29/10)+Skills!O29</f>
        <v/>
      </c>
      <c r="G639">
        <f>Skills!G29*IF(Skills!H29&gt;0,Skills!I29/Skills!H29,1)</f>
        <v/>
      </c>
      <c r="H639">
        <f>1-(1-Skills!J29/100)^Skills!K29</f>
        <v/>
      </c>
      <c r="I639" t="inlineStr">
        <is>
          <t>1</t>
        </is>
      </c>
      <c r="J639" t="inlineStr"/>
      <c r="K639" t="inlineStr"/>
      <c r="L639" t="inlineStr"/>
      <c r="M639" t="inlineStr"/>
      <c r="N639" t="inlineStr"/>
      <c r="O639" t="n">
        <v>0</v>
      </c>
      <c r="P639">
        <f>IF(B655=0,0,O639/B655)</f>
        <v/>
      </c>
      <c r="Q639" t="n">
        <v>0</v>
      </c>
      <c r="R639" t="n">
        <v>0</v>
      </c>
      <c r="S639">
        <f>IFERROR(O639/N639,0)</f>
        <v/>
      </c>
    </row>
    <row r="640">
      <c r="A640">
        <f>Skills!A30</f>
        <v/>
      </c>
      <c r="B640">
        <f>Skills!B30</f>
        <v/>
      </c>
      <c r="C640">
        <f>Inputs!$B$3&gt;=125</f>
        <v/>
      </c>
      <c r="D640">
        <f>IF(Skills!C30=1,60+Inputs!$B$24+Inputs!$B$28,IF(Skills!C30=2,90+Inputs!$B$25+Inputs!$B$28,IF(Skills!C30=3,120+Inputs!$B$26+Inputs!$B$28,MAX(0,(Inputs!$B$3-100)*3)+Inputs!$B$27+Inputs!$B$28)))</f>
        <v/>
      </c>
      <c r="E640">
        <f>INDEX(FactorTable!$B$2:$Y$301, MATCH(ROUND(MIN(300,MAX(1,D640)),0), FactorTable!$A$2:$A$301,0), Skills!M30+1)</f>
        <v/>
      </c>
      <c r="F640">
        <f>IF(Skills!N30=TRUE,(Skills!L30/10)*(E640/1000),Skills!L30/10)+Skills!O30</f>
        <v/>
      </c>
      <c r="G640">
        <f>Skills!G30*IF(Skills!H30&gt;0,Skills!I30/Skills!H30,1)</f>
        <v/>
      </c>
      <c r="H640">
        <f>1-(1-Skills!J30/100)^Skills!K30</f>
        <v/>
      </c>
      <c r="I640" t="inlineStr">
        <is>
          <t>1</t>
        </is>
      </c>
      <c r="J640" t="inlineStr"/>
      <c r="K640" t="inlineStr"/>
      <c r="L640" t="inlineStr"/>
      <c r="M640" t="inlineStr"/>
      <c r="N640" t="inlineStr"/>
      <c r="O640" t="n">
        <v>0</v>
      </c>
      <c r="P640">
        <f>IF(B655=0,0,O640/B655)</f>
        <v/>
      </c>
      <c r="Q640" t="n">
        <v>0</v>
      </c>
      <c r="R640" t="n">
        <v>0</v>
      </c>
      <c r="S640">
        <f>IFERROR(O640/N640,0)</f>
        <v/>
      </c>
    </row>
    <row r="642">
      <c r="A642" t="inlineStr">
        <is>
          <t>Average Buff Multiplier</t>
        </is>
      </c>
      <c r="B642">
        <f>(1+(((C631=TRUE)*F631*IF(AND(Inputs!$B$4&lt;&gt;"pvp",Inputs!$B$35&gt;0),(((S631-1)*(Skills!Y21*(1+Inputs!$B$33/100))+MIN((Skills!Y21*(1+Inputs!$B$33/100)),MAX(0,Inputs!$B$35-((S631-1)*Skills!D21))))/Inputs!$B$35),IF(Inputs!$B$4="pvp",MIN((Skills!Y21*(1+Inputs!$B$33/100)),15)/15,(Skills!Y21*(1+Inputs!$B$33/100))/Skills!D21)))+((C633=TRUE)*(F633-Calc!F23))+((C627=TRUE)*(F627-Calc!F17)))/100)*(1+((C620=TRUE)*F620*IF(AND(Inputs!$B$4&lt;&gt;"pvp",Inputs!$B$35&gt;0),(((S620-1)*(Skills!Y10*(1+Inputs!$B$33/100))+MIN((Skills!Y10*(1+Inputs!$B$33/100)),MAX(0,Inputs!$B$35-((S620-1)*Skills!D10))))/Inputs!$B$35),IF(Inputs!$B$4="pvp",MIN((Skills!Y10*(1+Inputs!$B$33/100)),15)/15,(Skills!Y10*(1+Inputs!$B$33/100))/Skills!D10)))/100)*(1+((C625=TRUE)*F625*IF(AND(Inputs!$B$4&lt;&gt;"pvp",Inputs!$B$35&gt;0),(((S625-1)*(Skills!Y15*(1+Inputs!$B$33/100))+MIN((Skills!Y15*(1+Inputs!$B$33/100)),MAX(0,Inputs!$B$35-((S625-1)*Skills!D15))))/Inputs!$B$35),IF(Inputs!$B$4="pvp",MIN((Skills!Y15*(1+Inputs!$B$33/100)),15)/15,(Skills!Y15*(1+Inputs!$B$33/100))/Skills!D15)))/100)</f>
        <v/>
      </c>
    </row>
    <row r="643">
      <c r="A643" t="inlineStr">
        <is>
          <t>Global Crit Rate Bonus %</t>
        </is>
      </c>
      <c r="B643">
        <f>((C630=TRUE)*F630*IF(AND(Inputs!$B$4&lt;&gt;"pvp",Inputs!$B$35&gt;0),(((S630-1)*(Skills!Y20*(1+Inputs!$B$33/100))+MIN((Skills!Y20*(1+Inputs!$B$33/100)),MAX(0,Inputs!$B$35-((S630-1)*Skills!D20))))/Inputs!$B$35),IF(Inputs!$B$4="pvp",MIN((Skills!Y20*(1+Inputs!$B$33/100)),15)/15,(Skills!Y20*(1+Inputs!$B$33/100))/Skills!D20)))</f>
        <v/>
      </c>
    </row>
    <row r="644">
      <c r="A644" t="inlineStr">
        <is>
          <t>Global Monster Damage-Taken Bonus %</t>
        </is>
      </c>
      <c r="B644">
        <f>IF(Inputs!$B$3&gt;=82,15,0)</f>
        <v/>
      </c>
    </row>
    <row r="645">
      <c r="A645" t="inlineStr">
        <is>
          <t>Shadow Partner Average Multiplier</t>
        </is>
      </c>
      <c r="B645">
        <f>1+((C617=TRUE)*F617*(1+3.3333333333333335*IF(C628=TRUE,F628,0)/100)*I617*Skills!J7/100)/100</f>
        <v/>
      </c>
    </row>
    <row r="646">
      <c r="A646" t="inlineStr">
        <is>
          <t>Attack Speed Buff Bonus %</t>
        </is>
      </c>
      <c r="B646">
        <f>((C629=TRUE)*F629*IF(AND(Inputs!$B$4&lt;&gt;"pvp",Inputs!$B$35&gt;0),(((S629-1)*(Skills!Y19*(1+Inputs!$B$33/100))+MIN((Skills!Y19*(1+Inputs!$B$33/100)),MAX(0,Inputs!$B$35-((S629-1)*Skills!D19))))/Inputs!$B$35),IF(Inputs!$B$4="pvp",MIN((Skills!Y19*(1+Inputs!$B$33/100)),15)/15,(Skills!Y19*(1+Inputs!$B$33/100))/Skills!D19)))+((C613=TRUE)*F613*3)</f>
        <v/>
      </c>
    </row>
    <row r="647">
      <c r="A647" t="inlineStr">
        <is>
          <t>Actions Per Second</t>
        </is>
      </c>
      <c r="B647">
        <f>1+MIN(150,150*(1-(1-(((1-(1-Inputs!$B$10/150)*(1-1/150))*150)+((C632=TRUE)*(F632-Calc!F22)))/150)*(1-B646/150)))/100</f>
        <v/>
      </c>
    </row>
    <row r="648">
      <c r="A648" t="inlineStr">
        <is>
          <t>Skill + Buff Cast Rate</t>
        </is>
      </c>
      <c r="B648">
        <f>IF(AND(Inputs!$B$4&lt;&gt;"pvp",Inputs!$B$35&gt;0),SUMPRODUCT((Skills!E2:E30=TRUE)*(C612:C640=TRUE)*R612:R640*Skills!F2:F30)/Inputs!$B$35,SUMPRODUCT((Skills!E2:E30=TRUE)*(C612:C640=TRUE)*Q612:Q640*Skills!F2:F30))</f>
        <v/>
      </c>
    </row>
    <row r="649">
      <c r="A649" t="inlineStr">
        <is>
          <t>Cruel Stab Casts Per Second</t>
        </is>
      </c>
      <c r="B649">
        <f>MAX(0,B647-B648)</f>
        <v/>
      </c>
    </row>
    <row r="650">
      <c r="A650" t="inlineStr">
        <is>
          <t>Global Critical Damage Bonus % (Smokescreen Mastery Lv.113)</t>
        </is>
      </c>
      <c r="B650">
        <f>IF(Inputs!$B$3&gt;=113,30,0)*IF(AND(Inputs!$B$4&lt;&gt;"pvp",Inputs!$B$35&gt;0),(((S625-1)*(Skills!Y15*(1+Inputs!$B$33/100))+MIN((Skills!Y15*(1+Inputs!$B$33/100)),MAX(0,Inputs!$B$35-((S625-1)*Skills!D15))))/Inputs!$B$35),IF(Inputs!$B$4="pvp",MIN((Skills!Y15*(1+Inputs!$B$33/100)),15)/15,(Skills!Y15*(1+Inputs!$B$33/100))/Skills!D15))</f>
        <v/>
      </c>
    </row>
    <row r="651">
      <c r="A651" t="inlineStr">
        <is>
          <t>Meso Explosion average stack count</t>
        </is>
      </c>
      <c r="B651">
        <f>MIN(10,0.5*B647*Skills!D4)</f>
        <v/>
      </c>
    </row>
    <row r="652">
      <c r="A652" t="inlineStr">
        <is>
          <t>Blood Money average stack count</t>
        </is>
      </c>
      <c r="B652">
        <f>MIN(5,0.25*B647*Skills!D4)</f>
        <v/>
      </c>
    </row>
    <row r="653">
      <c r="A653" t="inlineStr">
        <is>
          <t>Assassinate Murderous Intent Multiplier</t>
        </is>
      </c>
      <c r="B653">
        <f>1+IFERROR(MIN(1,Q624*2/Q621),0)</f>
        <v/>
      </c>
    </row>
    <row r="655">
      <c r="A655" s="5" t="inlineStr">
        <is>
          <t>TOTAL DPS</t>
        </is>
      </c>
      <c r="B655" s="5">
        <f>SUM(O612:O640)</f>
        <v/>
      </c>
    </row>
    <row r="658">
      <c r="A658" s="5" t="inlineStr">
        <is>
          <t>Stat: DEF_PEN % (diminishing returns, factor 100)</t>
        </is>
      </c>
    </row>
    <row r="659">
      <c r="A659" s="8" t="inlineStr">
        <is>
          <t>Key</t>
        </is>
      </c>
      <c r="B659" s="8" t="inlineStr">
        <is>
          <t>Name</t>
        </is>
      </c>
      <c r="C659" s="8" t="inlineStr">
        <is>
          <t>Unlocked</t>
        </is>
      </c>
      <c r="D659" s="8" t="inlineStr">
        <is>
          <t>InputLevel</t>
        </is>
      </c>
      <c r="E659" s="8" t="inlineStr">
        <is>
          <t>Factor</t>
        </is>
      </c>
      <c r="F659" s="8" t="inlineStr">
        <is>
          <t>CoefficientPercent</t>
        </is>
      </c>
      <c r="G659" s="8" t="inlineStr">
        <is>
          <t>EffectiveHits</t>
        </is>
      </c>
      <c r="H659" s="8" t="inlineStr">
        <is>
          <t>ProcProbability</t>
        </is>
      </c>
      <c r="I659" s="8" t="inlineStr">
        <is>
          <t>MapleHeroMultiplier</t>
        </is>
      </c>
      <c r="J659" s="8" t="inlineStr">
        <is>
          <t>BaseDamage</t>
        </is>
      </c>
      <c r="K659" s="8" t="inlineStr">
        <is>
          <t>BaseHitDamage</t>
        </is>
      </c>
      <c r="L659" s="8" t="inlineStr">
        <is>
          <t>NonCritAvg</t>
        </is>
      </c>
      <c r="M659" s="8" t="inlineStr">
        <is>
          <t>CritAvg</t>
        </is>
      </c>
      <c r="N659" s="8" t="inlineStr">
        <is>
          <t>ExpectedDamage(perHit)</t>
        </is>
      </c>
      <c r="O659" s="8" t="inlineStr">
        <is>
          <t>DPS</t>
        </is>
      </c>
      <c r="P659" s="8" t="inlineStr">
        <is>
          <t>% of Total</t>
        </is>
      </c>
      <c r="Q659" s="8" t="inlineStr">
        <is>
          <t>InvCooldown</t>
        </is>
      </c>
      <c r="R659" s="8" t="inlineStr">
        <is>
          <t>CastsInFight</t>
        </is>
      </c>
      <c r="S659" s="8" t="inlineStr">
        <is>
          <t>HitRate(perSec)</t>
        </is>
      </c>
      <c r="U659" t="inlineStr">
        <is>
          <t>helpers</t>
        </is>
      </c>
    </row>
    <row r="660">
      <c r="A660">
        <f>Skills!A2</f>
        <v/>
      </c>
      <c r="B660">
        <f>Skills!B2</f>
        <v/>
      </c>
      <c r="C660">
        <f>Inputs!$B$3&gt;=100</f>
        <v/>
      </c>
      <c r="D660" t="inlineStr"/>
      <c r="E660" t="inlineStr"/>
      <c r="F660">
        <f>U662+Skills!O2</f>
        <v/>
      </c>
      <c r="G660">
        <f>Skills!G2*IF(Skills!H2&gt;0,Skills!I2/Skills!H2,1)</f>
        <v/>
      </c>
      <c r="H660">
        <f>1-(1-Skills!J2/100)^Skills!K2</f>
        <v/>
      </c>
      <c r="I660" t="inlineStr">
        <is>
          <t>1</t>
        </is>
      </c>
      <c r="J660">
        <f>(Inputs!$B$5*(1+Inputs!$B$6/100))*(F660/100)</f>
        <v/>
      </c>
      <c r="K660">
        <f>J660*(1+((Inputs!$B$11*(1+Inputs!$B$12/100))*0.01+Inputs!$B$13*0.0025)/100)*(1+Inputs!$B$14/100)*(1+IF(Inputs!$B$4="pvp",0,(1-Summary!$B$55)*(Inputs!$B$19+0+Skills!P2+B692)+Summary!$B$55*(Inputs!$B$20+Skills!Q2+B692))/100)*(1+Inputs!$B$15/100)*(5000/(6000+Inputs!$B$7*(1-((1-(1-Inputs!$B$18/100)*(1-1/100))*100)/100)))*(1+(Inputs!$B$23+((C688=TRUE)*(F688-Calc!F30)))/100)*(1+(IF(Skills!A2="CRUEL_STAB",Inputs!$B$16+((C685=TRUE)*(F685-Calc!F27)),Inputs!$B$17+((C686=TRUE)*(F686-Calc!F28))))/100)*(((1+(((C679=TRUE)*F679*IF(AND(Inputs!$B$4&lt;&gt;"pvp",Inputs!$B$35&gt;0),(((S679-1)*(Skills!Y21*(1+Inputs!$B$33/100))+MIN((Skills!Y21*(1+Inputs!$B$33/100)),MAX(0,Inputs!$B$35-((S679-1)*Skills!D21))))/Inputs!$B$35),IF(Inputs!$B$4="pvp",MIN((Skills!Y21*(1+Inputs!$B$33/100)),15)/15,(Skills!Y21*(1+Inputs!$B$33/100))/Skills!D21)))+((C681=TRUE)*(F681-Calc!F23))+((C675=TRUE)*(F675-Calc!F17)))/100)*(1+((C668=TRUE)*F668*IF(AND(Inputs!$B$4&lt;&gt;"pvp",Inputs!$B$35&gt;0),(((S668-1)*(Skills!Y10*(1+Inputs!$B$33/100))+MIN((Skills!Y10*(1+Inputs!$B$33/100)),MAX(0,Inputs!$B$35-((S668-1)*Skills!D10))))/Inputs!$B$35),IF(Inputs!$B$4="pvp",MIN((Skills!Y10*(1+Inputs!$B$33/100)),15)/15,(Skills!Y10*(1+Inputs!$B$33/100))/Skills!D10)))/100)*(1+((C673=TRUE)*F673*IF(AND(Inputs!$B$4&lt;&gt;"pvp",Inputs!$B$35&gt;0),(((S673-1)*(Skills!Y15*(1+Inputs!$B$33/100))+MIN((Skills!Y15*(1+Inputs!$B$33/100)),MAX(0,Inputs!$B$35-((S673-1)*Skills!D15))))/Inputs!$B$35),IF(Inputs!$B$4="pvp",MIN((Skills!Y15*(1+Inputs!$B$33/100)),15)/15,(Skills!Y15*(1+Inputs!$B$33/100))/Skills!D15)))/100))*B693*I660)</f>
        <v/>
      </c>
      <c r="L660">
        <f>K660*(MIN(Inputs!$B$21+((C682=TRUE)*(F682-Calc!F24)),Inputs!$B$22+((C687=TRUE)*(F687-Calc!F29)))/100+(Inputs!$B$22+((C687=TRUE)*(F687-Calc!F29)))/100)/2</f>
        <v/>
      </c>
      <c r="M660">
        <f>L660*(1+(Inputs!$B$9+((C684=TRUE)*(F684-Calc!F26))+B698)/100)</f>
        <v/>
      </c>
      <c r="N660">
        <f>L660*(1-MIN((Inputs!$B$8+((C683=TRUE)*(F683-Calc!F25))+B691),100)/100)+M660*(MIN((Inputs!$B$8+((C683=TRUE)*(F683-Calc!F25))+B691),100)/100)</f>
        <v/>
      </c>
      <c r="O660">
        <f>IF(C660,Skills!G2*N660*B697*IF(Inputs!$B$4="pvp",1,(1-Summary!$B$55)*(1)+Summary!$B$55*(MIN((6+Inputs!$B$32),Inputs!$B$37))),0)</f>
        <v/>
      </c>
      <c r="P660">
        <f>IF(B703=0,0,O660/B703)</f>
        <v/>
      </c>
      <c r="Q660" t="n">
        <v>0</v>
      </c>
      <c r="R660" t="n">
        <v>0</v>
      </c>
      <c r="S660">
        <f>IFERROR(O660/N660,0)</f>
        <v/>
      </c>
      <c r="U660">
        <f>MAX(0,(Inputs!$B$3-100)*3)+Inputs!$B$27+Inputs!$B$28</f>
        <v/>
      </c>
    </row>
    <row r="661">
      <c r="A661">
        <f>Skills!A3</f>
        <v/>
      </c>
      <c r="B661">
        <f>Skills!B3</f>
        <v/>
      </c>
      <c r="C661">
        <f>Inputs!$B$3&gt;=35</f>
        <v/>
      </c>
      <c r="D661">
        <f>IF(Skills!C3=1,60+Inputs!$B$24+Inputs!$B$28,IF(Skills!C3=2,90+Inputs!$B$25+Inputs!$B$28,IF(Skills!C3=3,120+Inputs!$B$26+Inputs!$B$28,MAX(0,(Inputs!$B$3-100)*3)+Inputs!$B$27+Inputs!$B$28)))</f>
        <v/>
      </c>
      <c r="E661">
        <f>INDEX(FactorTable!$B$2:$Y$301, MATCH(ROUND(MIN(300,MAX(1,D661)),0), FactorTable!$A$2:$A$301,0), Skills!M3+1)</f>
        <v/>
      </c>
      <c r="F661">
        <f>IF(Skills!N3=TRUE,(Skills!L3/10)*(E661/1000),Skills!L3/10)+Skills!O3</f>
        <v/>
      </c>
      <c r="G661">
        <f>Skills!G3*IF(Skills!H3&gt;0,Skills!I3/Skills!H3,1)</f>
        <v/>
      </c>
      <c r="H661">
        <f>1-(1-Skills!J3/100)^Skills!K3</f>
        <v/>
      </c>
      <c r="I661" t="inlineStr">
        <is>
          <t>1</t>
        </is>
      </c>
      <c r="J661" t="inlineStr"/>
      <c r="K661" t="inlineStr"/>
      <c r="L661" t="inlineStr"/>
      <c r="M661" t="inlineStr"/>
      <c r="N661" t="inlineStr"/>
      <c r="O661" t="n">
        <v>0</v>
      </c>
      <c r="P661">
        <f>IF(B703=0,0,O661/B703)</f>
        <v/>
      </c>
      <c r="Q661" t="n">
        <v>0</v>
      </c>
      <c r="R661" t="n">
        <v>0</v>
      </c>
      <c r="S661">
        <f>IFERROR(O661/N661,0)</f>
        <v/>
      </c>
      <c r="U661">
        <f>INDEX(FactorTable!$B$2:$Y$301, MATCH(ROUND(MIN(300,MAX(1,U660)),0), FactorTable!$A$2:$A$301,0), 22)</f>
        <v/>
      </c>
    </row>
    <row r="662">
      <c r="A662">
        <f>Skills!A4</f>
        <v/>
      </c>
      <c r="B662">
        <f>Skills!B4</f>
        <v/>
      </c>
      <c r="C662">
        <f>Inputs!$B$3&gt;=66</f>
        <v/>
      </c>
      <c r="D662">
        <f>IF(Skills!C4=1,60+Inputs!$B$24+Inputs!$B$28,IF(Skills!C4=2,90+Inputs!$B$25+Inputs!$B$28,IF(Skills!C4=3,120+Inputs!$B$26+Inputs!$B$28,MAX(0,(Inputs!$B$3-100)*3)+Inputs!$B$27+Inputs!$B$28)))</f>
        <v/>
      </c>
      <c r="E662">
        <f>INDEX(FactorTable!$B$2:$Y$301, MATCH(ROUND(MIN(300,MAX(1,D662)),0), FactorTable!$A$2:$A$301,0), Skills!M4+1)</f>
        <v/>
      </c>
      <c r="F662">
        <f>IF(Skills!N4=TRUE,(Skills!L4/10)*(E662/1000),Skills!L4/10)+Skills!O4</f>
        <v/>
      </c>
      <c r="G662">
        <f>Skills!G4*IF(Skills!H4&gt;0,Skills!I4/Skills!H4,1)</f>
        <v/>
      </c>
      <c r="H662">
        <f>1-(1-Skills!J4/100)^Skills!K4</f>
        <v/>
      </c>
      <c r="I662" t="inlineStr">
        <is>
          <t>1</t>
        </is>
      </c>
      <c r="J662">
        <f>(Inputs!$B$5*(1+Inputs!$B$6/100))*(F662/100)</f>
        <v/>
      </c>
      <c r="K662">
        <f>J662*(1+((Inputs!$B$11*(1+Inputs!$B$12/100))*0.01+Inputs!$B$13*0.0025)/100)*(1+Inputs!$B$14/100)*(1+IF(Inputs!$B$4="pvp",0,(1-Summary!$B$55)*(Inputs!$B$19+0+Skills!P4+B692)+Summary!$B$55*(Inputs!$B$20+Skills!Q4+B692))/100)*(1+Inputs!$B$15/100)*(5000/(6000+Inputs!$B$7*(1-((1-(1-Inputs!$B$18/100)*(1-1/100))*100)/100)))*(1+(Inputs!$B$23+((C688=TRUE)*(F688-Calc!F30)))/100)*(1+(IF(Skills!A4="CRUEL_STAB",Inputs!$B$16+((C685=TRUE)*(F685-Calc!F27)),Inputs!$B$17+((C686=TRUE)*(F686-Calc!F28))))/100)*(((1+(((C679=TRUE)*F679*IF(AND(Inputs!$B$4&lt;&gt;"pvp",Inputs!$B$35&gt;0),(((S679-1)*(Skills!Y21*(1+Inputs!$B$33/100))+MIN((Skills!Y21*(1+Inputs!$B$33/100)),MAX(0,Inputs!$B$35-((S679-1)*Skills!D21))))/Inputs!$B$35),IF(Inputs!$B$4="pvp",MIN((Skills!Y21*(1+Inputs!$B$33/100)),15)/15,(Skills!Y21*(1+Inputs!$B$33/100))/Skills!D21)))+((C681=TRUE)*(F681-Calc!F23))+((C675=TRUE)*(F675-Calc!F17)))/100)*(1+((C668=TRUE)*F668*IF(AND(Inputs!$B$4&lt;&gt;"pvp",Inputs!$B$35&gt;0),(((S668-1)*(Skills!Y10*(1+Inputs!$B$33/100))+MIN((Skills!Y10*(1+Inputs!$B$33/100)),MAX(0,Inputs!$B$35-((S668-1)*Skills!D10))))/Inputs!$B$35),IF(Inputs!$B$4="pvp",MIN((Skills!Y10*(1+Inputs!$B$33/100)),15)/15,(Skills!Y10*(1+Inputs!$B$33/100))/Skills!D10)))/100)*(1+((C673=TRUE)*F673*IF(AND(Inputs!$B$4&lt;&gt;"pvp",Inputs!$B$35&gt;0),(((S673-1)*(Skills!Y15*(1+Inputs!$B$33/100))+MIN((Skills!Y15*(1+Inputs!$B$33/100)),MAX(0,Inputs!$B$35-((S673-1)*Skills!D15))))/Inputs!$B$35),IF(Inputs!$B$4="pvp",MIN((Skills!Y15*(1+Inputs!$B$33/100)),15)/15,(Skills!Y15*(1+Inputs!$B$33/100))/Skills!D15)))/100))*B693*I662)</f>
        <v/>
      </c>
      <c r="L662">
        <f>K662*(MIN(Inputs!$B$21+((C682=TRUE)*(F682-Calc!F24)),Inputs!$B$22+((C687=TRUE)*(F687-Calc!F29)))/100+(Inputs!$B$22+((C687=TRUE)*(F687-Calc!F29)))/100)/2</f>
        <v/>
      </c>
      <c r="M662">
        <f>L662*(1+(Inputs!$B$9+((C684=TRUE)*(F684-Calc!F26))+B698)/100)</f>
        <v/>
      </c>
      <c r="N662">
        <f>L662*(1-MIN((Inputs!$B$8+((C683=TRUE)*(F683-Calc!F25))+B691),100)/100)+M662*(MIN((Inputs!$B$8+((C683=TRUE)*(F683-Calc!F25))+B691),100)/100)</f>
        <v/>
      </c>
      <c r="O662">
        <f>IF(C662,H662*N662*IF(AND(Inputs!$B$4&lt;&gt;"pvp",Inputs!$B$35&gt;0),((Skills!G4*((R662-1)*IF(Skills!H4&gt;0,Skills!I4/Skills!H4,1)+IF(Skills!H4&gt;0,MIN(Skills!I4,MAX(0,Inputs!$B$35-((R662-1)*IF(Inputs!$B$4="pvp",15,MAX(0.1,Skills!D4-IF(Skills!E4=TRUE,Inputs!$B$31,0))))))/Skills!H4,1)))/Inputs!$B$35),G662*Q662)*IF(Inputs!$B$4="pvp",1,(1-Summary!$B$55)*(1)+Summary!$B$55*(MIN(MIN(10,0.5*B695*Skills!D4),Inputs!$B$37))),0)</f>
        <v/>
      </c>
      <c r="P662">
        <f>IF(B703=0,0,O662/B703)</f>
        <v/>
      </c>
      <c r="Q662">
        <f>IFERROR(1/IF(Inputs!$B$4="pvp",15,MAX(0.1,Skills!D4-IF(Skills!E4=TRUE,Inputs!$B$31,0))),0)</f>
        <v/>
      </c>
      <c r="R662">
        <f>IF(AND(Inputs!$B$4&lt;&gt;"pvp",Inputs!$B$35&gt;0),(INT(Inputs!$B$35/IF(Inputs!$B$4="pvp",15,MAX(0.1,Skills!D4-IF(Skills!E4=TRUE,Inputs!$B$31,0))))+1),0)</f>
        <v/>
      </c>
      <c r="S662">
        <f>IFERROR(O662/N662,0)</f>
        <v/>
      </c>
      <c r="U662">
        <f>290*U661/1000</f>
        <v/>
      </c>
    </row>
    <row r="663">
      <c r="A663">
        <f>Skills!A5</f>
        <v/>
      </c>
      <c r="B663">
        <f>Skills!B5</f>
        <v/>
      </c>
      <c r="C663">
        <f>Inputs!$B$3&gt;=63</f>
        <v/>
      </c>
      <c r="D663">
        <f>IF(Skills!C5=1,60+Inputs!$B$24+Inputs!$B$28,IF(Skills!C5=2,90+Inputs!$B$25+Inputs!$B$28,IF(Skills!C5=3,120+Inputs!$B$26+Inputs!$B$28,MAX(0,(Inputs!$B$3-100)*3)+Inputs!$B$27+Inputs!$B$28)))</f>
        <v/>
      </c>
      <c r="E663">
        <f>INDEX(FactorTable!$B$2:$Y$301, MATCH(ROUND(MIN(300,MAX(1,D663)),0), FactorTable!$A$2:$A$301,0), Skills!M5+1)</f>
        <v/>
      </c>
      <c r="F663">
        <f>IF(Skills!N5=TRUE,(Skills!L5/10)*(E663/1000),Skills!L5/10)+Skills!O5</f>
        <v/>
      </c>
      <c r="G663">
        <f>Skills!G5*IF(Skills!H5&gt;0,Skills!I5/Skills!H5,1)</f>
        <v/>
      </c>
      <c r="H663">
        <f>1-(1-Skills!J5/100)^Skills!K5</f>
        <v/>
      </c>
      <c r="I663" t="inlineStr">
        <is>
          <t>1</t>
        </is>
      </c>
      <c r="J663">
        <f>(Inputs!$B$5*(1+Inputs!$B$6/100))*(F663/100)</f>
        <v/>
      </c>
      <c r="K663">
        <f>J663*(1+((Inputs!$B$11*(1+Inputs!$B$12/100))*0.01+Inputs!$B$13*0.0025)/100)*(1+Inputs!$B$14/100)*(1+IF(Inputs!$B$4="pvp",0,(1-Summary!$B$55)*(Inputs!$B$19+0+Skills!P5+B692)+Summary!$B$55*(Inputs!$B$20+Skills!Q5+B692))/100)*(1+Inputs!$B$15/100)*(5000/(6000+Inputs!$B$7*(1-((1-(1-Inputs!$B$18/100)*(1-1/100))*100)/100)))*(1+(Inputs!$B$23+((C688=TRUE)*(F688-Calc!F30)))/100)*(1+2.6666666666666665*IF(C676=TRUE,F676,0)/100)*(1+(IF(Skills!A5="CRUEL_STAB",Inputs!$B$16+((C685=TRUE)*(F685-Calc!F27)),Inputs!$B$17+((C686=TRUE)*(F686-Calc!F28))))/100)*(((1+(((C679=TRUE)*F679*IF(AND(Inputs!$B$4&lt;&gt;"pvp",Inputs!$B$35&gt;0),(((S679-1)*(Skills!Y21*(1+Inputs!$B$33/100))+MIN((Skills!Y21*(1+Inputs!$B$33/100)),MAX(0,Inputs!$B$35-((S679-1)*Skills!D21))))/Inputs!$B$35),IF(Inputs!$B$4="pvp",MIN((Skills!Y21*(1+Inputs!$B$33/100)),15)/15,(Skills!Y21*(1+Inputs!$B$33/100))/Skills!D21)))+((C681=TRUE)*(F681-Calc!F23))+((C675=TRUE)*(F675-Calc!F17)))/100)*(1+((C668=TRUE)*F668*IF(AND(Inputs!$B$4&lt;&gt;"pvp",Inputs!$B$35&gt;0),(((S668-1)*(Skills!Y10*(1+Inputs!$B$33/100))+MIN((Skills!Y10*(1+Inputs!$B$33/100)),MAX(0,Inputs!$B$35-((S668-1)*Skills!D10))))/Inputs!$B$35),IF(Inputs!$B$4="pvp",MIN((Skills!Y10*(1+Inputs!$B$33/100)),15)/15,(Skills!Y10*(1+Inputs!$B$33/100))/Skills!D10)))/100)*(1+((C673=TRUE)*F673*IF(AND(Inputs!$B$4&lt;&gt;"pvp",Inputs!$B$35&gt;0),(((S673-1)*(Skills!Y15*(1+Inputs!$B$33/100))+MIN((Skills!Y15*(1+Inputs!$B$33/100)),MAX(0,Inputs!$B$35-((S673-1)*Skills!D15))))/Inputs!$B$35),IF(Inputs!$B$4="pvp",MIN((Skills!Y15*(1+Inputs!$B$33/100)),15)/15,(Skills!Y15*(1+Inputs!$B$33/100))/Skills!D15)))/100))*B693*I663)</f>
        <v/>
      </c>
      <c r="L663">
        <f>K663*(MIN(Inputs!$B$21+((C682=TRUE)*(F682-Calc!F24)),Inputs!$B$22+((C687=TRUE)*(F687-Calc!F29)))/100+(Inputs!$B$22+((C687=TRUE)*(F687-Calc!F29)))/100)/2</f>
        <v/>
      </c>
      <c r="M663">
        <f>L663*(1+(Inputs!$B$9+((C684=TRUE)*(F684-Calc!F26))+B698)/100)</f>
        <v/>
      </c>
      <c r="N663">
        <f>L663*(1-MIN((Inputs!$B$8+((C683=TRUE)*(F683-Calc!F25))+B691),100)/100)+M663*(MIN((Inputs!$B$8+((C683=TRUE)*(F683-Calc!F25))+B691),100)/100)</f>
        <v/>
      </c>
      <c r="O663">
        <f>IF(C663,H663*N663*IF(AND(Inputs!$B$4&lt;&gt;"pvp",Inputs!$B$35&gt;0),((Skills!G5*((R663-1)*IF(Skills!H5&gt;0,Skills!I5/Skills!H5,1)+IF(Skills!H5&gt;0,MIN(Skills!I5,MAX(0,Inputs!$B$35-((R663-1)*IF(Inputs!$B$4="pvp",15,MAX(0.1,Skills!D5-IF(Skills!E5=TRUE,Inputs!$B$31,0))))))/Skills!H5,1)))/Inputs!$B$35),G663*Q663)*IF(Inputs!$B$4="pvp",1,(1-Summary!$B$55)*(1)+Summary!$B$55*(MIN(Skills!W5,Inputs!$B$37))),0)</f>
        <v/>
      </c>
      <c r="P663">
        <f>IF(B703=0,0,O663/B703)</f>
        <v/>
      </c>
      <c r="Q663">
        <f>IFERROR(1/IF(Inputs!$B$4="pvp",15,MAX(0.1,Skills!D5-IF(Skills!E5=TRUE,Inputs!$B$31,0))),0)</f>
        <v/>
      </c>
      <c r="R663">
        <f>IF(AND(Inputs!$B$4&lt;&gt;"pvp",Inputs!$B$35&gt;0),(INT(Inputs!$B$35/IF(Inputs!$B$4="pvp",15,MAX(0.1,Skills!D5-IF(Skills!E5=TRUE,Inputs!$B$31,0))))+1),0)</f>
        <v/>
      </c>
      <c r="S663">
        <f>IFERROR(O663/N663,0)</f>
        <v/>
      </c>
    </row>
    <row r="664">
      <c r="A664">
        <f>Skills!A6</f>
        <v/>
      </c>
      <c r="B664">
        <f>Skills!B6</f>
        <v/>
      </c>
      <c r="C664">
        <f>Inputs!$B$3&gt;=69</f>
        <v/>
      </c>
      <c r="D664">
        <f>IF(Skills!C6=1,60+Inputs!$B$24+Inputs!$B$28,IF(Skills!C6=2,90+Inputs!$B$25+Inputs!$B$28,IF(Skills!C6=3,120+Inputs!$B$26+Inputs!$B$28,MAX(0,(Inputs!$B$3-100)*3)+Inputs!$B$27+Inputs!$B$28)))</f>
        <v/>
      </c>
      <c r="E664">
        <f>INDEX(FactorTable!$B$2:$Y$301, MATCH(ROUND(MIN(300,MAX(1,D664)),0), FactorTable!$A$2:$A$301,0), Skills!M6+1)</f>
        <v/>
      </c>
      <c r="F664">
        <f>IF(Skills!N6=TRUE,(Skills!L6/10)*(E664/1000),Skills!L6/10)+Skills!O6</f>
        <v/>
      </c>
      <c r="G664">
        <f>Skills!G6*IF(Skills!H6&gt;0,Skills!I6/Skills!H6,1)</f>
        <v/>
      </c>
      <c r="H664">
        <f>1-(1-Skills!J6/100)^Skills!K6</f>
        <v/>
      </c>
      <c r="I664" t="inlineStr">
        <is>
          <t>1</t>
        </is>
      </c>
      <c r="J664">
        <f>(Inputs!$B$5*(1+Inputs!$B$6/100))*(F664/100)</f>
        <v/>
      </c>
      <c r="K664">
        <f>J664*(1+((Inputs!$B$11*(1+Inputs!$B$12/100))*0.01+Inputs!$B$13*0.0025)/100)*(1+Inputs!$B$14/100)*(1+IF(Inputs!$B$4="pvp",0,(1-Summary!$B$55)*(Inputs!$B$19+0+Skills!P6+B692)+Summary!$B$55*(Inputs!$B$20+Skills!Q6+B692))/100)*(1+Inputs!$B$15/100)*(5000/(6000+Inputs!$B$7*(1-((1-(1-Inputs!$B$18/100)*(1-1/100))*100)/100)))*(1+(Inputs!$B$23+((C688=TRUE)*(F688-Calc!F30)))/100)*(1+1.0*IF(C676=TRUE,F676,0)/100)*(1+(IF(Skills!A6="CRUEL_STAB",Inputs!$B$16+((C685=TRUE)*(F685-Calc!F27)),Inputs!$B$17+((C686=TRUE)*(F686-Calc!F28))))/100)*(((1+(((C679=TRUE)*F679*IF(AND(Inputs!$B$4&lt;&gt;"pvp",Inputs!$B$35&gt;0),(((S679-1)*(Skills!Y21*(1+Inputs!$B$33/100))+MIN((Skills!Y21*(1+Inputs!$B$33/100)),MAX(0,Inputs!$B$35-((S679-1)*Skills!D21))))/Inputs!$B$35),IF(Inputs!$B$4="pvp",MIN((Skills!Y21*(1+Inputs!$B$33/100)),15)/15,(Skills!Y21*(1+Inputs!$B$33/100))/Skills!D21)))+((C681=TRUE)*(F681-Calc!F23))+((C675=TRUE)*(F675-Calc!F17)))/100)*(1+((C668=TRUE)*F668*IF(AND(Inputs!$B$4&lt;&gt;"pvp",Inputs!$B$35&gt;0),(((S668-1)*(Skills!Y10*(1+Inputs!$B$33/100))+MIN((Skills!Y10*(1+Inputs!$B$33/100)),MAX(0,Inputs!$B$35-((S668-1)*Skills!D10))))/Inputs!$B$35),IF(Inputs!$B$4="pvp",MIN((Skills!Y10*(1+Inputs!$B$33/100)),15)/15,(Skills!Y10*(1+Inputs!$B$33/100))/Skills!D10)))/100)*(1+((C673=TRUE)*F673*IF(AND(Inputs!$B$4&lt;&gt;"pvp",Inputs!$B$35&gt;0),(((S673-1)*(Skills!Y15*(1+Inputs!$B$33/100))+MIN((Skills!Y15*(1+Inputs!$B$33/100)),MAX(0,Inputs!$B$35-((S673-1)*Skills!D15))))/Inputs!$B$35),IF(Inputs!$B$4="pvp",MIN((Skills!Y15*(1+Inputs!$B$33/100)),15)/15,(Skills!Y15*(1+Inputs!$B$33/100))/Skills!D15)))/100))*B693*I664)</f>
        <v/>
      </c>
      <c r="L664">
        <f>K664*(MIN(Inputs!$B$21+((C682=TRUE)*(F682-Calc!F24)),Inputs!$B$22+((C687=TRUE)*(F687-Calc!F29)))/100+(Inputs!$B$22+((C687=TRUE)*(F687-Calc!F29)))/100)/2</f>
        <v/>
      </c>
      <c r="M664">
        <f>L664*(1+(Inputs!$B$9+((C684=TRUE)*(F684-Calc!F26))+B698)/100)</f>
        <v/>
      </c>
      <c r="N664">
        <f>L664*(1-MIN((Inputs!$B$8+((C683=TRUE)*(F683-Calc!F25))+B691),100)/100)+M664*(MIN((Inputs!$B$8+((C683=TRUE)*(F683-Calc!F25))+B691),100)/100)</f>
        <v/>
      </c>
      <c r="O664">
        <f>IF(C664,H664*N664*IF(AND(Inputs!$B$4&lt;&gt;"pvp",Inputs!$B$35&gt;0),((Skills!G6*((R664-1)*IF(Skills!H6&gt;0,Skills!I6/Skills!H6,1)+IF(Skills!H6&gt;0,MIN(Skills!I6,MAX(0,Inputs!$B$35-((R664-1)*IF(Inputs!$B$4="pvp",15,MAX(0.1,Skills!D6-IF(Skills!E6=TRUE,Inputs!$B$31,0))))))/Skills!H6,1)))/Inputs!$B$35),G664*Q664)*IF(Inputs!$B$4="pvp",1,(1-Summary!$B$55)*(1)+Summary!$B$55*(MIN(Skills!W6,Inputs!$B$37))),0)</f>
        <v/>
      </c>
      <c r="P664">
        <f>IF(B703=0,0,O664/B703)</f>
        <v/>
      </c>
      <c r="Q664">
        <f>IFERROR(1/IF(Inputs!$B$4="pvp",15,MAX(0.1,Skills!D6-IF(Skills!E6=TRUE,Inputs!$B$31,0))),0)</f>
        <v/>
      </c>
      <c r="R664">
        <f>IF(AND(Inputs!$B$4&lt;&gt;"pvp",Inputs!$B$35&gt;0),(INT(Inputs!$B$35/IF(Inputs!$B$4="pvp",15,MAX(0.1,Skills!D6-IF(Skills!E6=TRUE,Inputs!$B$31,0))))+1),0)</f>
        <v/>
      </c>
      <c r="S664">
        <f>IFERROR(O664/N664,0)</f>
        <v/>
      </c>
    </row>
    <row r="665">
      <c r="A665">
        <f>Skills!A7</f>
        <v/>
      </c>
      <c r="B665">
        <f>Skills!B7</f>
        <v/>
      </c>
      <c r="C665">
        <f>Inputs!$B$3&gt;=60</f>
        <v/>
      </c>
      <c r="D665">
        <f>IF(Skills!C7=1,60+Inputs!$B$24+Inputs!$B$28,IF(Skills!C7=2,90+Inputs!$B$25+Inputs!$B$28,IF(Skills!C7=3,120+Inputs!$B$26+Inputs!$B$28,MAX(0,(Inputs!$B$3-100)*3)+Inputs!$B$27+Inputs!$B$28)))</f>
        <v/>
      </c>
      <c r="E665">
        <f>INDEX(FactorTable!$B$2:$Y$301, MATCH(ROUND(MIN(300,MAX(1,D665)),0), FactorTable!$A$2:$A$301,0), Skills!M7+1)</f>
        <v/>
      </c>
      <c r="F665">
        <f>IF(Skills!N7=TRUE,(Skills!L7/10)*(E665/1000),Skills!L7/10)+Skills!O7</f>
        <v/>
      </c>
      <c r="G665">
        <f>Skills!G7*IF(Skills!H7&gt;0,Skills!I7/Skills!H7,1)</f>
        <v/>
      </c>
      <c r="H665">
        <f>1-(1-Skills!J7/100)^Skills!K7</f>
        <v/>
      </c>
      <c r="I665" t="inlineStr">
        <is>
          <t>1</t>
        </is>
      </c>
      <c r="J665" t="inlineStr"/>
      <c r="K665" t="inlineStr"/>
      <c r="L665" t="inlineStr"/>
      <c r="M665" t="inlineStr"/>
      <c r="N665" t="inlineStr"/>
      <c r="O665" t="n">
        <v>0</v>
      </c>
      <c r="P665">
        <f>IF(B703=0,0,O665/B703)</f>
        <v/>
      </c>
      <c r="Q665" t="n">
        <v>0</v>
      </c>
      <c r="R665" t="n">
        <v>0</v>
      </c>
      <c r="S665">
        <f>IFERROR(O665/N665,0)</f>
        <v/>
      </c>
    </row>
    <row r="666">
      <c r="A666">
        <f>Skills!A8</f>
        <v/>
      </c>
      <c r="B666">
        <f>Skills!B8</f>
        <v/>
      </c>
      <c r="C666">
        <f>Inputs!$B$3&gt;=72</f>
        <v/>
      </c>
      <c r="D666">
        <f>IF(Skills!C8=1,60+Inputs!$B$24+Inputs!$B$28,IF(Skills!C8=2,90+Inputs!$B$25+Inputs!$B$28,IF(Skills!C8=3,120+Inputs!$B$26+Inputs!$B$28,MAX(0,(Inputs!$B$3-100)*3)+Inputs!$B$27+Inputs!$B$28)))</f>
        <v/>
      </c>
      <c r="E666">
        <f>INDEX(FactorTable!$B$2:$Y$301, MATCH(ROUND(MIN(300,MAX(1,D666)),0), FactorTable!$A$2:$A$301,0), Skills!M8+1)</f>
        <v/>
      </c>
      <c r="F666">
        <f>IF(Skills!N8=TRUE,(Skills!L8/10)*(E666/1000),Skills!L8/10)+Skills!O8</f>
        <v/>
      </c>
      <c r="G666">
        <f>Skills!G8*IF(Skills!H8&gt;0,Skills!I8/Skills!H8,1)</f>
        <v/>
      </c>
      <c r="H666">
        <f>1-(1-Skills!J8/100)^Skills!K8</f>
        <v/>
      </c>
      <c r="I666" t="inlineStr">
        <is>
          <t>1</t>
        </is>
      </c>
      <c r="J666">
        <f>(Inputs!$B$5*(1+Inputs!$B$6/100))*(F666/100)</f>
        <v/>
      </c>
      <c r="K666">
        <f>J666*(1+((Inputs!$B$11*(1+Inputs!$B$12/100))*0.01+Inputs!$B$13*0.0025)/100)*(1+Inputs!$B$14/100)*(1+IF(Inputs!$B$4="pvp",0,(1-Summary!$B$55)*(Inputs!$B$19+0+Skills!P8+B692)+Summary!$B$55*(Inputs!$B$20+Skills!Q8+B692))/100)*(1+Inputs!$B$15/100)*(5000/(6000+Inputs!$B$7*(1-((1-(1-Inputs!$B$18/100)*(1-1/100))*100)/100)))*(1+(Inputs!$B$23+((C688=TRUE)*(F688-Calc!F30)))/100)*(1+3.3333333333333335*IF(C676=TRUE,F676,0)/100)*(1+(IF(Skills!A8="CRUEL_STAB",Inputs!$B$16+((C685=TRUE)*(F685-Calc!F27)),Inputs!$B$17+((C686=TRUE)*(F686-Calc!F28))))/100)*(((1+(((C679=TRUE)*F679*IF(AND(Inputs!$B$4&lt;&gt;"pvp",Inputs!$B$35&gt;0),(((S679-1)*(Skills!Y21*(1+Inputs!$B$33/100))+MIN((Skills!Y21*(1+Inputs!$B$33/100)),MAX(0,Inputs!$B$35-((S679-1)*Skills!D21))))/Inputs!$B$35),IF(Inputs!$B$4="pvp",MIN((Skills!Y21*(1+Inputs!$B$33/100)),15)/15,(Skills!Y21*(1+Inputs!$B$33/100))/Skills!D21)))+((C681=TRUE)*(F681-Calc!F23))+((C675=TRUE)*(F675-Calc!F17)))/100)*(1+((C668=TRUE)*F668*IF(AND(Inputs!$B$4&lt;&gt;"pvp",Inputs!$B$35&gt;0),(((S668-1)*(Skills!Y10*(1+Inputs!$B$33/100))+MIN((Skills!Y10*(1+Inputs!$B$33/100)),MAX(0,Inputs!$B$35-((S668-1)*Skills!D10))))/Inputs!$B$35),IF(Inputs!$B$4="pvp",MIN((Skills!Y10*(1+Inputs!$B$33/100)),15)/15,(Skills!Y10*(1+Inputs!$B$33/100))/Skills!D10)))/100)*(1+((C673=TRUE)*F673*IF(AND(Inputs!$B$4&lt;&gt;"pvp",Inputs!$B$35&gt;0),(((S673-1)*(Skills!Y15*(1+Inputs!$B$33/100))+MIN((Skills!Y15*(1+Inputs!$B$33/100)),MAX(0,Inputs!$B$35-((S673-1)*Skills!D15))))/Inputs!$B$35),IF(Inputs!$B$4="pvp",MIN((Skills!Y15*(1+Inputs!$B$33/100)),15)/15,(Skills!Y15*(1+Inputs!$B$33/100))/Skills!D15)))/100))*B693*I666)</f>
        <v/>
      </c>
      <c r="L666">
        <f>K666*(MIN(Inputs!$B$21+((C682=TRUE)*(F682-Calc!F24)),Inputs!$B$22+((C687=TRUE)*(F687-Calc!F29)))/100+(Inputs!$B$22+((C687=TRUE)*(F687-Calc!F29)))/100)/2</f>
        <v/>
      </c>
      <c r="M666">
        <f>L666*(1+(Inputs!$B$9+((C684=TRUE)*(F684-Calc!F26))+B698)/100)</f>
        <v/>
      </c>
      <c r="N666">
        <f>L666*(1-MIN((Inputs!$B$8+((C683=TRUE)*(F683-Calc!F25))+B691),100)/100)+M666*(MIN((Inputs!$B$8+((C683=TRUE)*(F683-Calc!F25))+B691),100)/100)</f>
        <v/>
      </c>
      <c r="O666">
        <f>IF(C666,H666*N666*IF(AND(Inputs!$B$4&lt;&gt;"pvp",Inputs!$B$35&gt;0),((Skills!G8*((R666-1)*IF(Skills!H8&gt;0,Skills!I8/Skills!H8,1)+IF(Skills!H8&gt;0,MIN(Skills!I8,MAX(0,Inputs!$B$35-((R666-1)*IF(Inputs!$B$4="pvp",15,MAX(0.1,Skills!D8-IF(Skills!E8=TRUE,Inputs!$B$31,0))))))/Skills!H8,1)))/Inputs!$B$35),G666*Q666)*IF(Inputs!$B$4="pvp",1,(1-Summary!$B$55)*(1)+Summary!$B$55*(MIN(Skills!W8,Inputs!$B$37))),0)</f>
        <v/>
      </c>
      <c r="P666">
        <f>IF(B703=0,0,O666/B703)</f>
        <v/>
      </c>
      <c r="Q666">
        <f>IFERROR(1/IF(Inputs!$B$4="pvp",15,MAX(0.1,Skills!D8-IF(Skills!E8=TRUE,Inputs!$B$31,0))),0)</f>
        <v/>
      </c>
      <c r="R666">
        <f>IF(AND(Inputs!$B$4&lt;&gt;"pvp",Inputs!$B$35&gt;0),(INT(Inputs!$B$35/IF(Inputs!$B$4="pvp",15,MAX(0.1,Skills!D8-IF(Skills!E8=TRUE,Inputs!$B$31,0))))+1),0)</f>
        <v/>
      </c>
      <c r="S666">
        <f>IFERROR(O666/N666,0)</f>
        <v/>
      </c>
    </row>
    <row r="667">
      <c r="A667">
        <f>Skills!A9</f>
        <v/>
      </c>
      <c r="B667">
        <f>Skills!B9</f>
        <v/>
      </c>
      <c r="C667">
        <f>Inputs!$B$3&gt;=117</f>
        <v/>
      </c>
      <c r="D667">
        <f>IF(Skills!C9=1,60+Inputs!$B$24+Inputs!$B$28,IF(Skills!C9=2,90+Inputs!$B$25+Inputs!$B$28,IF(Skills!C9=3,120+Inputs!$B$26+Inputs!$B$28,MAX(0,(Inputs!$B$3-100)*3)+Inputs!$B$27+Inputs!$B$28)))</f>
        <v/>
      </c>
      <c r="E667">
        <f>INDEX(FactorTable!$B$2:$Y$301, MATCH(ROUND(MIN(300,MAX(1,D667)),0), FactorTable!$A$2:$A$301,0), Skills!M9+1)</f>
        <v/>
      </c>
      <c r="F667">
        <f>IF(Skills!N9=TRUE,(Skills!L9/10)*(E667/1000),Skills!L9/10)+Skills!O9</f>
        <v/>
      </c>
      <c r="G667">
        <f>Skills!G9*IF(Skills!H9&gt;0,Skills!I9/Skills!H9,1)</f>
        <v/>
      </c>
      <c r="H667">
        <f>1-(1-Skills!J9/100)^Skills!K9</f>
        <v/>
      </c>
      <c r="I667" t="inlineStr">
        <is>
          <t>1</t>
        </is>
      </c>
      <c r="J667">
        <f>(Inputs!$B$5*(1+Inputs!$B$6/100))*(F667/100)</f>
        <v/>
      </c>
      <c r="K667">
        <f>J667*(1+((Inputs!$B$11*(1+Inputs!$B$12/100))*0.01+Inputs!$B$13*0.0025)/100)*(1+Inputs!$B$14/100)*(1+IF(Inputs!$B$4="pvp",0,(1-Summary!$B$55)*(Inputs!$B$19+0+Skills!P9+B692)+Summary!$B$55*(Inputs!$B$20+Skills!Q9+B692))/100)*(1+Inputs!$B$15/100)*(5000/(6000+Inputs!$B$7*(1-((1-(1-Inputs!$B$18/100)*(1-1/100))*100)/100)))*(1+(Inputs!$B$23+((C688=TRUE)*(F688-Calc!F30)))/100)*(1+(IF(Skills!A9="CRUEL_STAB",Inputs!$B$16+((C685=TRUE)*(F685-Calc!F27)),Inputs!$B$17+((C686=TRUE)*(F686-Calc!F28))))/100)*(((1+(((C679=TRUE)*F679*IF(AND(Inputs!$B$4&lt;&gt;"pvp",Inputs!$B$35&gt;0),(((S679-1)*(Skills!Y21*(1+Inputs!$B$33/100))+MIN((Skills!Y21*(1+Inputs!$B$33/100)),MAX(0,Inputs!$B$35-((S679-1)*Skills!D21))))/Inputs!$B$35),IF(Inputs!$B$4="pvp",MIN((Skills!Y21*(1+Inputs!$B$33/100)),15)/15,(Skills!Y21*(1+Inputs!$B$33/100))/Skills!D21)))+((C681=TRUE)*(F681-Calc!F23))+((C675=TRUE)*(F675-Calc!F17)))/100)*(1+((C668=TRUE)*F668*IF(AND(Inputs!$B$4&lt;&gt;"pvp",Inputs!$B$35&gt;0),(((S668-1)*(Skills!Y10*(1+Inputs!$B$33/100))+MIN((Skills!Y10*(1+Inputs!$B$33/100)),MAX(0,Inputs!$B$35-((S668-1)*Skills!D10))))/Inputs!$B$35),IF(Inputs!$B$4="pvp",MIN((Skills!Y10*(1+Inputs!$B$33/100)),15)/15,(Skills!Y10*(1+Inputs!$B$33/100))/Skills!D10)))/100)*(1+((C673=TRUE)*F673*IF(AND(Inputs!$B$4&lt;&gt;"pvp",Inputs!$B$35&gt;0),(((S673-1)*(Skills!Y15*(1+Inputs!$B$33/100))+MIN((Skills!Y15*(1+Inputs!$B$33/100)),MAX(0,Inputs!$B$35-((S673-1)*Skills!D15))))/Inputs!$B$35),IF(Inputs!$B$4="pvp",MIN((Skills!Y15*(1+Inputs!$B$33/100)),15)/15,(Skills!Y15*(1+Inputs!$B$33/100))/Skills!D15)))/100))*B693*I667)</f>
        <v/>
      </c>
      <c r="L667">
        <f>K667*(MIN(Inputs!$B$21+((C682=TRUE)*(F682-Calc!F24)),Inputs!$B$22+((C687=TRUE)*(F687-Calc!F29)))/100+(Inputs!$B$22+((C687=TRUE)*(F687-Calc!F29)))/100)/2</f>
        <v/>
      </c>
      <c r="M667">
        <f>L667*(1+(Inputs!$B$9+((C684=TRUE)*(F684-Calc!F26))+B698)/100)</f>
        <v/>
      </c>
      <c r="N667">
        <f>L667*(1-MIN((Inputs!$B$8+((C683=TRUE)*(F683-Calc!F25))+B691),100)/100)+M667*(MIN((Inputs!$B$8+((C683=TRUE)*(F683-Calc!F25))+B691),100)/100)</f>
        <v/>
      </c>
      <c r="O667">
        <f>IF(C667,0.2*SUMPRODUCT((Skills!Z2:Z30=TRUE)*(C660:C688=TRUE)*S660:S688)*N667,0)</f>
        <v/>
      </c>
      <c r="P667">
        <f>IF(B703=0,0,O667/B703)</f>
        <v/>
      </c>
      <c r="Q667" t="n">
        <v>0</v>
      </c>
      <c r="R667" t="n">
        <v>0</v>
      </c>
      <c r="S667" t="n">
        <v>0</v>
      </c>
    </row>
    <row r="668">
      <c r="A668">
        <f>Skills!A10</f>
        <v/>
      </c>
      <c r="B668">
        <f>Skills!B10</f>
        <v/>
      </c>
      <c r="C668">
        <f>Inputs!$B$3&gt;=74</f>
        <v/>
      </c>
      <c r="D668">
        <f>IF(Skills!C10=1,60+Inputs!$B$24+Inputs!$B$28,IF(Skills!C10=2,90+Inputs!$B$25+Inputs!$B$28,IF(Skills!C10=3,120+Inputs!$B$26+Inputs!$B$28,MAX(0,(Inputs!$B$3-100)*3)+Inputs!$B$27+Inputs!$B$28)))</f>
        <v/>
      </c>
      <c r="E668">
        <f>INDEX(FactorTable!$B$2:$Y$301, MATCH(ROUND(MIN(300,MAX(1,D668)),0), FactorTable!$A$2:$A$301,0), Skills!M10+1)</f>
        <v/>
      </c>
      <c r="F668">
        <f>IF(Skills!N10=TRUE,(Skills!L10/10)*(E668/1000),Skills!L10/10)+Skills!O10</f>
        <v/>
      </c>
      <c r="G668">
        <f>Skills!G10*IF(Skills!H10&gt;0,Skills!I10/Skills!H10,1)</f>
        <v/>
      </c>
      <c r="H668">
        <f>1-(1-Skills!J10/100)^Skills!K10</f>
        <v/>
      </c>
      <c r="I668" t="inlineStr">
        <is>
          <t>1</t>
        </is>
      </c>
      <c r="J668" t="inlineStr"/>
      <c r="K668" t="inlineStr"/>
      <c r="L668" t="inlineStr"/>
      <c r="M668" t="inlineStr"/>
      <c r="N668" t="inlineStr"/>
      <c r="O668" t="n">
        <v>0</v>
      </c>
      <c r="P668">
        <f>IF(B703=0,0,O668/B703)</f>
        <v/>
      </c>
      <c r="Q668">
        <f>IFERROR(1/IF(Inputs!$B$4="pvp",15,MAX(0.1,Skills!D10-IF(Skills!E10=TRUE,Inputs!$B$31,0))),0)</f>
        <v/>
      </c>
      <c r="R668">
        <f>IF(AND(Inputs!$B$4&lt;&gt;"pvp",Inputs!$B$35&gt;0),(INT(Inputs!$B$35/IF(Inputs!$B$4="pvp",15,MAX(0.1,Skills!D10-IF(Skills!E10=TRUE,Inputs!$B$31,0))))+1),0)</f>
        <v/>
      </c>
      <c r="S668">
        <f>IFERROR(O668/N668,0)</f>
        <v/>
      </c>
    </row>
    <row r="669">
      <c r="A669">
        <f>Skills!A11</f>
        <v/>
      </c>
      <c r="B669">
        <f>Skills!B11</f>
        <v/>
      </c>
      <c r="C669">
        <f>Inputs!$B$3&gt;=103</f>
        <v/>
      </c>
      <c r="D669">
        <f>IF(Skills!C11=1,60+Inputs!$B$24+Inputs!$B$28,IF(Skills!C11=2,90+Inputs!$B$25+Inputs!$B$28,IF(Skills!C11=3,120+Inputs!$B$26+Inputs!$B$28,MAX(0,(Inputs!$B$3-100)*3)+Inputs!$B$27+Inputs!$B$28)))</f>
        <v/>
      </c>
      <c r="E669">
        <f>INDEX(FactorTable!$B$2:$Y$301, MATCH(ROUND(MIN(300,MAX(1,D669)),0), FactorTable!$A$2:$A$301,0), Skills!M11+1)</f>
        <v/>
      </c>
      <c r="F669">
        <f>(Skills!L11/10)*(E669/1000)+IF(Inputs!$B$3&gt;=134,50,0)+0.5*(30000/10)*(INDEX(FactorTable!$B$2:$Y$301, MATCH(ROUND(MIN(300,MAX(1,D669)),0), FactorTable!$A$2:$A$301,0), 13)/1000)*B701</f>
        <v/>
      </c>
      <c r="G669">
        <f>Skills!G11*IF(Skills!H11&gt;0,Skills!I11/Skills!H11,1)</f>
        <v/>
      </c>
      <c r="H669">
        <f>1-(1-Skills!J11/100)^Skills!K11</f>
        <v/>
      </c>
      <c r="I669" t="inlineStr">
        <is>
          <t>1</t>
        </is>
      </c>
      <c r="J669">
        <f>(Inputs!$B$5*(1+Inputs!$B$6/100))*(F669/100)</f>
        <v/>
      </c>
      <c r="K669">
        <f>J669*(1+((Inputs!$B$11*(1+Inputs!$B$12/100))*0.01+Inputs!$B$13*0.0025)/100)*(1+Inputs!$B$14/100)*(1+IF(Inputs!$B$4="pvp",0,(1-Summary!$B$55)*(Inputs!$B$19+0+Skills!P11+B692)+Summary!$B$55*(Inputs!$B$20+Skills!Q11+B692))/100)*(1+Inputs!$B$15/100)*(5000/(6000+Inputs!$B$7*(1-((1-(1-Inputs!$B$18/100)*(1-1/100))*100)/100)))*(1+(Inputs!$B$23+((C688=TRUE)*(F688-Calc!F30)))/100)*(1+(IF(Skills!A11="CRUEL_STAB",Inputs!$B$16+((C685=TRUE)*(F685-Calc!F27)),Inputs!$B$17+((C686=TRUE)*(F686-Calc!F28))))/100)*(((1+(((C679=TRUE)*F679*IF(AND(Inputs!$B$4&lt;&gt;"pvp",Inputs!$B$35&gt;0),(((S679-1)*(Skills!Y21*(1+Inputs!$B$33/100))+MIN((Skills!Y21*(1+Inputs!$B$33/100)),MAX(0,Inputs!$B$35-((S679-1)*Skills!D21))))/Inputs!$B$35),IF(Inputs!$B$4="pvp",MIN((Skills!Y21*(1+Inputs!$B$33/100)),15)/15,(Skills!Y21*(1+Inputs!$B$33/100))/Skills!D21)))+((C681=TRUE)*(F681-Calc!F23))+((C675=TRUE)*(F675-Calc!F17)))/100)*(1+((C668=TRUE)*F668*IF(AND(Inputs!$B$4&lt;&gt;"pvp",Inputs!$B$35&gt;0),(((S668-1)*(Skills!Y10*(1+Inputs!$B$33/100))+MIN((Skills!Y10*(1+Inputs!$B$33/100)),MAX(0,Inputs!$B$35-((S668-1)*Skills!D10))))/Inputs!$B$35),IF(Inputs!$B$4="pvp",MIN((Skills!Y10*(1+Inputs!$B$33/100)),15)/15,(Skills!Y10*(1+Inputs!$B$33/100))/Skills!D10)))/100)*(1+((C673=TRUE)*F673*IF(AND(Inputs!$B$4&lt;&gt;"pvp",Inputs!$B$35&gt;0),(((S673-1)*(Skills!Y15*(1+Inputs!$B$33/100))+MIN((Skills!Y15*(1+Inputs!$B$33/100)),MAX(0,Inputs!$B$35-((S673-1)*Skills!D15))))/Inputs!$B$35),IF(Inputs!$B$4="pvp",MIN((Skills!Y15*(1+Inputs!$B$33/100)),15)/15,(Skills!Y15*(1+Inputs!$B$33/100))/Skills!D15)))/100))*B693*I669)</f>
        <v/>
      </c>
      <c r="L669">
        <f>K669*(MIN(Inputs!$B$21+((C682=TRUE)*(F682-Calc!F24)),Inputs!$B$22+((C687=TRUE)*(F687-Calc!F29)))/100+(Inputs!$B$22+((C687=TRUE)*(F687-Calc!F29)))/100)/2</f>
        <v/>
      </c>
      <c r="M669">
        <f>L669*(1+(Inputs!$B$9+((C684=TRUE)*(F684-Calc!F26))+B698)/100)</f>
        <v/>
      </c>
      <c r="N669">
        <f>L669*(1-MIN((Inputs!$B$8+((C683=TRUE)*(F683-Calc!F25))+B691),100)/100)+M669*(MIN((Inputs!$B$8+((C683=TRUE)*(F683-Calc!F25))+B691),100)/100)</f>
        <v/>
      </c>
      <c r="O669">
        <f>IF(C669,H669*N669*IF(AND(Inputs!$B$4&lt;&gt;"pvp",Inputs!$B$35&gt;0),((Skills!G11*((R669-1)*IF(Skills!H11&gt;0,Skills!I11/Skills!H11,1)+IF(Skills!H11&gt;0,MIN(Skills!I11,MAX(0,Inputs!$B$35-((R669-1)*IF(Inputs!$B$4="pvp",15,MAX(0.1,Skills!D11-IF(Skills!E11=TRUE,Inputs!$B$31,0))))))/Skills!H11,1)))/Inputs!$B$35),G669*Q669)*IF(Inputs!$B$4="pvp",1,(1-Summary!$B$55)*(1)+Summary!$B$55*(MIN(Skills!W11,Inputs!$B$37))),0)</f>
        <v/>
      </c>
      <c r="P669">
        <f>IF(B703=0,0,O669/B703)</f>
        <v/>
      </c>
      <c r="Q669">
        <f>IFERROR(1/IF(Inputs!$B$4="pvp",15,MAX(0.1,Skills!D11-IF(Skills!E11=TRUE,Inputs!$B$31,0))),0)</f>
        <v/>
      </c>
      <c r="R669">
        <f>IF(AND(Inputs!$B$4&lt;&gt;"pvp",Inputs!$B$35&gt;0),(INT(Inputs!$B$35/IF(Inputs!$B$4="pvp",15,MAX(0.1,Skills!D11-IF(Skills!E11=TRUE,Inputs!$B$31,0))))+1),0)</f>
        <v/>
      </c>
      <c r="S669">
        <f>IFERROR(O669/N669,0)</f>
        <v/>
      </c>
    </row>
    <row r="670">
      <c r="A670">
        <f>Skills!A12</f>
        <v/>
      </c>
      <c r="B670">
        <f>Skills!B12</f>
        <v/>
      </c>
      <c r="C670">
        <f>Inputs!$B$3&gt;=105</f>
        <v/>
      </c>
      <c r="D670">
        <f>IF(Skills!C12=1,60+Inputs!$B$24+Inputs!$B$28,IF(Skills!C12=2,90+Inputs!$B$25+Inputs!$B$28,IF(Skills!C12=3,120+Inputs!$B$26+Inputs!$B$28,MAX(0,(Inputs!$B$3-100)*3)+Inputs!$B$27+Inputs!$B$28)))</f>
        <v/>
      </c>
      <c r="E670">
        <f>INDEX(FactorTable!$B$2:$Y$301, MATCH(ROUND(MIN(300,MAX(1,D670)),0), FactorTable!$A$2:$A$301,0), Skills!M12+1)</f>
        <v/>
      </c>
      <c r="F670">
        <f>IF(Skills!N12=TRUE,(Skills!L12/10)*(E670/1000),Skills!L12/10)+Skills!O12</f>
        <v/>
      </c>
      <c r="G670">
        <f>Skills!G12*IF(Skills!H12&gt;0,Skills!I12/Skills!H12,1)</f>
        <v/>
      </c>
      <c r="H670">
        <f>1-(1-Skills!J12/100)^Skills!K12</f>
        <v/>
      </c>
      <c r="I670" t="inlineStr">
        <is>
          <t>1</t>
        </is>
      </c>
      <c r="J670">
        <f>(Inputs!$B$5*(1+Inputs!$B$6/100))*(F670/100)</f>
        <v/>
      </c>
      <c r="K670">
        <f>J670*(1+((Inputs!$B$11*(1+Inputs!$B$12/100))*0.01+Inputs!$B$13*0.0025)/100)*(1+Inputs!$B$14/100)*(1+IF(Inputs!$B$4="pvp",0,(1-Summary!$B$55)*(Inputs!$B$19+0+Skills!P12+B692)+Summary!$B$55*(Inputs!$B$20+Skills!Q12+B692))/100)*(1+Inputs!$B$15/100)*(5000/(6000+Inputs!$B$7*(1-((1-(1-Inputs!$B$18/100)*(1-1/100))*100)/100)))*(1+(Inputs!$B$23+((C688=TRUE)*(F688-Calc!F30)))/100)*(1+(IF(Skills!A12="CRUEL_STAB",Inputs!$B$16+((C685=TRUE)*(F685-Calc!F27)),Inputs!$B$17+((C686=TRUE)*(F686-Calc!F28))))/100)*(((1+(((C679=TRUE)*F679*IF(AND(Inputs!$B$4&lt;&gt;"pvp",Inputs!$B$35&gt;0),(((S679-1)*(Skills!Y21*(1+Inputs!$B$33/100))+MIN((Skills!Y21*(1+Inputs!$B$33/100)),MAX(0,Inputs!$B$35-((S679-1)*Skills!D21))))/Inputs!$B$35),IF(Inputs!$B$4="pvp",MIN((Skills!Y21*(1+Inputs!$B$33/100)),15)/15,(Skills!Y21*(1+Inputs!$B$33/100))/Skills!D21)))+((C681=TRUE)*(F681-Calc!F23))+((C675=TRUE)*(F675-Calc!F17)))/100)*(1+((C668=TRUE)*F668*IF(AND(Inputs!$B$4&lt;&gt;"pvp",Inputs!$B$35&gt;0),(((S668-1)*(Skills!Y10*(1+Inputs!$B$33/100))+MIN((Skills!Y10*(1+Inputs!$B$33/100)),MAX(0,Inputs!$B$35-((S668-1)*Skills!D10))))/Inputs!$B$35),IF(Inputs!$B$4="pvp",MIN((Skills!Y10*(1+Inputs!$B$33/100)),15)/15,(Skills!Y10*(1+Inputs!$B$33/100))/Skills!D10)))/100)*(1+((C673=TRUE)*F673*IF(AND(Inputs!$B$4&lt;&gt;"pvp",Inputs!$B$35&gt;0),(((S673-1)*(Skills!Y15*(1+Inputs!$B$33/100))+MIN((Skills!Y15*(1+Inputs!$B$33/100)),MAX(0,Inputs!$B$35-((S673-1)*Skills!D15))))/Inputs!$B$35),IF(Inputs!$B$4="pvp",MIN((Skills!Y15*(1+Inputs!$B$33/100)),15)/15,(Skills!Y15*(1+Inputs!$B$33/100))/Skills!D15)))/100))*B693*I670)</f>
        <v/>
      </c>
      <c r="L670">
        <f>K670*(MIN(Inputs!$B$21+((C682=TRUE)*(F682-Calc!F24)),Inputs!$B$22+((C687=TRUE)*(F687-Calc!F29)))/100+(Inputs!$B$22+((C687=TRUE)*(F687-Calc!F29)))/100)/2</f>
        <v/>
      </c>
      <c r="M670">
        <f>L670*(1+(Inputs!$B$9+((C684=TRUE)*(F684-Calc!F26))+B698)/100)</f>
        <v/>
      </c>
      <c r="N670">
        <f>L670*(1-MIN((Inputs!$B$8+((C683=TRUE)*(F683-Calc!F25))+B691),100)/100)+M670*(MIN((Inputs!$B$8+((C683=TRUE)*(F683-Calc!F25))+B691),100)/100)</f>
        <v/>
      </c>
      <c r="O670">
        <f>IF(C670,H670*N670*IF(AND(Inputs!$B$4&lt;&gt;"pvp",Inputs!$B$35&gt;0),((Skills!G12*((R670-1)*IF(Skills!H12&gt;0,Skills!I12/Skills!H12,1)+IF(Skills!H12&gt;0,MIN(Skills!I12,MAX(0,Inputs!$B$35-((R670-1)*IF(Inputs!$B$4="pvp",15,MAX(0.1,Skills!D12-IF(Skills!E12=TRUE,Inputs!$B$31,0))))))/Skills!H12,1)))/Inputs!$B$35),G670*Q670)*IF(Inputs!$B$4="pvp",1,(1-Summary!$B$55)*(1)+Summary!$B$55*(MIN(Skills!W12,Inputs!$B$37))),0)</f>
        <v/>
      </c>
      <c r="P670">
        <f>IF(B703=0,0,O670/B703)</f>
        <v/>
      </c>
      <c r="Q670">
        <f>IFERROR(1/IF(Inputs!$B$4="pvp",15,MAX(0.1,Skills!D12-IF(Skills!E12=TRUE,Inputs!$B$31,0))),0)</f>
        <v/>
      </c>
      <c r="R670">
        <f>IF(AND(Inputs!$B$4&lt;&gt;"pvp",Inputs!$B$35&gt;0),(INT(Inputs!$B$35/IF(Inputs!$B$4="pvp",15,MAX(0.1,Skills!D12-IF(Skills!E12=TRUE,Inputs!$B$31,0))))+1),0)</f>
        <v/>
      </c>
      <c r="S670">
        <f>IFERROR(O670/N670,0)</f>
        <v/>
      </c>
    </row>
    <row r="671">
      <c r="A671">
        <f>Skills!A13</f>
        <v/>
      </c>
      <c r="B671">
        <f>Skills!B13</f>
        <v/>
      </c>
      <c r="C671">
        <f>Inputs!$B$3&gt;=105</f>
        <v/>
      </c>
      <c r="D671">
        <f>IF(Skills!C13=1,60+Inputs!$B$24+Inputs!$B$28,IF(Skills!C13=2,90+Inputs!$B$25+Inputs!$B$28,IF(Skills!C13=3,120+Inputs!$B$26+Inputs!$B$28,MAX(0,(Inputs!$B$3-100)*3)+Inputs!$B$27+Inputs!$B$28)))</f>
        <v/>
      </c>
      <c r="E671">
        <f>INDEX(FactorTable!$B$2:$Y$301, MATCH(ROUND(MIN(300,MAX(1,D671)),0), FactorTable!$A$2:$A$301,0), Skills!M13+1)</f>
        <v/>
      </c>
      <c r="F671">
        <f>IF(Skills!N13=TRUE,(Skills!L13/10)*(E671/1000),Skills!L13/10)+Skills!O13</f>
        <v/>
      </c>
      <c r="G671">
        <f>Skills!G13*IF(Skills!H13&gt;0,Skills!I13/Skills!H13,1)</f>
        <v/>
      </c>
      <c r="H671">
        <f>1-(1-Skills!J13/100)^Skills!K13</f>
        <v/>
      </c>
      <c r="I671" t="inlineStr">
        <is>
          <t>1</t>
        </is>
      </c>
      <c r="J671">
        <f>(Inputs!$B$5*(1+Inputs!$B$6/100))*(F671/100)</f>
        <v/>
      </c>
      <c r="K671">
        <f>J671*(1+((Inputs!$B$11*(1+Inputs!$B$12/100))*0.01+Inputs!$B$13*0.0025)/100)*(1+Inputs!$B$14/100)*(1+IF(Inputs!$B$4="pvp",0,(1-Summary!$B$55)*(Inputs!$B$19+0+Skills!P13+B692)+Summary!$B$55*(Inputs!$B$20+Skills!Q13+B692))/100)*(1+Inputs!$B$15/100)*(5000/(6000+Inputs!$B$7*(1-((1-(1-Inputs!$B$18/100)*(1-1/100))*100)/100)))*(1+(Inputs!$B$23+((C688=TRUE)*(F688-Calc!F30)))/100)*(1+(IF(Skills!A13="CRUEL_STAB",Inputs!$B$16+((C685=TRUE)*(F685-Calc!F27)),Inputs!$B$17+((C686=TRUE)*(F686-Calc!F28))))/100)*(((1+(((C679=TRUE)*F679*IF(AND(Inputs!$B$4&lt;&gt;"pvp",Inputs!$B$35&gt;0),(((S679-1)*(Skills!Y21*(1+Inputs!$B$33/100))+MIN((Skills!Y21*(1+Inputs!$B$33/100)),MAX(0,Inputs!$B$35-((S679-1)*Skills!D21))))/Inputs!$B$35),IF(Inputs!$B$4="pvp",MIN((Skills!Y21*(1+Inputs!$B$33/100)),15)/15,(Skills!Y21*(1+Inputs!$B$33/100))/Skills!D21)))+((C681=TRUE)*(F681-Calc!F23))+((C675=TRUE)*(F675-Calc!F17)))/100)*(1+((C668=TRUE)*F668*IF(AND(Inputs!$B$4&lt;&gt;"pvp",Inputs!$B$35&gt;0),(((S668-1)*(Skills!Y10*(1+Inputs!$B$33/100))+MIN((Skills!Y10*(1+Inputs!$B$33/100)),MAX(0,Inputs!$B$35-((S668-1)*Skills!D10))))/Inputs!$B$35),IF(Inputs!$B$4="pvp",MIN((Skills!Y10*(1+Inputs!$B$33/100)),15)/15,(Skills!Y10*(1+Inputs!$B$33/100))/Skills!D10)))/100)*(1+((C673=TRUE)*F673*IF(AND(Inputs!$B$4&lt;&gt;"pvp",Inputs!$B$35&gt;0),(((S673-1)*(Skills!Y15*(1+Inputs!$B$33/100))+MIN((Skills!Y15*(1+Inputs!$B$33/100)),MAX(0,Inputs!$B$35-((S673-1)*Skills!D15))))/Inputs!$B$35),IF(Inputs!$B$4="pvp",MIN((Skills!Y15*(1+Inputs!$B$33/100)),15)/15,(Skills!Y15*(1+Inputs!$B$33/100))/Skills!D15)))/100))*B693*I671)</f>
        <v/>
      </c>
      <c r="L671">
        <f>K671*(MIN(Inputs!$B$21+((C682=TRUE)*(F682-Calc!F24)),Inputs!$B$22+((C687=TRUE)*(F687-Calc!F29)))/100+(Inputs!$B$22+((C687=TRUE)*(F687-Calc!F29)))/100)/2</f>
        <v/>
      </c>
      <c r="M671">
        <f>L671*(1+(Inputs!$B$9+((C684=TRUE)*(F684-Calc!F26))+B698)/100)</f>
        <v/>
      </c>
      <c r="N671">
        <f>L671*(1-MIN((Inputs!$B$8+((C683=TRUE)*(F683-Calc!F25))+B691),100)/100)+M671*(MIN((Inputs!$B$8+((C683=TRUE)*(F683-Calc!F25))+B691),100)/100)</f>
        <v/>
      </c>
      <c r="O671">
        <f>IF(C671,H671*N671*IF(AND(Inputs!$B$4&lt;&gt;"pvp",Inputs!$B$35&gt;0),((Skills!G13*((R671-1)*IF(Skills!H13&gt;0,Skills!I13/Skills!H13,1)+IF(Skills!H13&gt;0,MIN(Skills!I13,MAX(0,Inputs!$B$35-((R671-1)*IF(Inputs!$B$4="pvp",15,MAX(0.1,Skills!D13-IF(Skills!E13=TRUE,Inputs!$B$31,0))))))/Skills!H13,1)))/Inputs!$B$35),G671*Q671)*IF(Inputs!$B$4="pvp",1,(1-Summary!$B$55)*(1)+Summary!$B$55*(MIN(Skills!W13,Inputs!$B$37))),0)</f>
        <v/>
      </c>
      <c r="P671">
        <f>IF(B703=0,0,O671/B703)</f>
        <v/>
      </c>
      <c r="Q671">
        <f>IFERROR(1/IF(Inputs!$B$4="pvp",15,MAX(0.1,Skills!D13-IF(Skills!E13=TRUE,Inputs!$B$31,0))),0)</f>
        <v/>
      </c>
      <c r="R671">
        <f>IF(AND(Inputs!$B$4&lt;&gt;"pvp",Inputs!$B$35&gt;0),(INT(Inputs!$B$35/IF(Inputs!$B$4="pvp",15,MAX(0.1,Skills!D13-IF(Skills!E13=TRUE,Inputs!$B$31,0))))+1),0)</f>
        <v/>
      </c>
      <c r="S671">
        <f>IFERROR(O671/N671,0)</f>
        <v/>
      </c>
    </row>
    <row r="672">
      <c r="A672">
        <f>Skills!A14</f>
        <v/>
      </c>
      <c r="B672">
        <f>Skills!B14</f>
        <v/>
      </c>
      <c r="C672">
        <f>Inputs!$B$3&gt;=107</f>
        <v/>
      </c>
      <c r="D672">
        <f>IF(Skills!C14=1,60+Inputs!$B$24+Inputs!$B$28,IF(Skills!C14=2,90+Inputs!$B$25+Inputs!$B$28,IF(Skills!C14=3,120+Inputs!$B$26+Inputs!$B$28,MAX(0,(Inputs!$B$3-100)*3)+Inputs!$B$27+Inputs!$B$28)))</f>
        <v/>
      </c>
      <c r="E672">
        <f>INDEX(FactorTable!$B$2:$Y$301, MATCH(ROUND(MIN(300,MAX(1,D672)),0), FactorTable!$A$2:$A$301,0), Skills!M14+1)</f>
        <v/>
      </c>
      <c r="F672">
        <f>IF(Skills!N14=TRUE,(Skills!L14/10)*(E672/1000),Skills!L14/10)+Skills!O14</f>
        <v/>
      </c>
      <c r="G672">
        <f>Skills!G14*IF(Skills!H14&gt;0,Skills!I14/Skills!H14,1)</f>
        <v/>
      </c>
      <c r="H672">
        <f>1-(1-Skills!J14/100)^Skills!K14</f>
        <v/>
      </c>
      <c r="I672" t="inlineStr">
        <is>
          <t>1</t>
        </is>
      </c>
      <c r="J672">
        <f>(Inputs!$B$5*(1+Inputs!$B$6/100))*(F672/100)</f>
        <v/>
      </c>
      <c r="K672">
        <f>J672*(1+((Inputs!$B$11*(1+Inputs!$B$12/100))*0.01+Inputs!$B$13*0.0025)/100)*(1+Inputs!$B$14/100)*(1+IF(Inputs!$B$4="pvp",0,(1-Summary!$B$55)*(Inputs!$B$19+0+Skills!P14+B692)+Summary!$B$55*(Inputs!$B$20+Skills!Q14+B692))/100)*(1+Inputs!$B$15/100)*(5000/(6000+Inputs!$B$7*(1-((1-(1-Inputs!$B$18/100)*(1-1/100))*100)/100)))*(1+(Inputs!$B$23+((C688=TRUE)*(F688-Calc!F30)))/100)*(1+(IF(Skills!A14="CRUEL_STAB",Inputs!$B$16+((C685=TRUE)*(F685-Calc!F27)),Inputs!$B$17+((C686=TRUE)*(F686-Calc!F28))))/100)*(((1+(((C679=TRUE)*F679*IF(AND(Inputs!$B$4&lt;&gt;"pvp",Inputs!$B$35&gt;0),(((S679-1)*(Skills!Y21*(1+Inputs!$B$33/100))+MIN((Skills!Y21*(1+Inputs!$B$33/100)),MAX(0,Inputs!$B$35-((S679-1)*Skills!D21))))/Inputs!$B$35),IF(Inputs!$B$4="pvp",MIN((Skills!Y21*(1+Inputs!$B$33/100)),15)/15,(Skills!Y21*(1+Inputs!$B$33/100))/Skills!D21)))+((C681=TRUE)*(F681-Calc!F23))+((C675=TRUE)*(F675-Calc!F17)))/100)*(1+((C668=TRUE)*F668*IF(AND(Inputs!$B$4&lt;&gt;"pvp",Inputs!$B$35&gt;0),(((S668-1)*(Skills!Y10*(1+Inputs!$B$33/100))+MIN((Skills!Y10*(1+Inputs!$B$33/100)),MAX(0,Inputs!$B$35-((S668-1)*Skills!D10))))/Inputs!$B$35),IF(Inputs!$B$4="pvp",MIN((Skills!Y10*(1+Inputs!$B$33/100)),15)/15,(Skills!Y10*(1+Inputs!$B$33/100))/Skills!D10)))/100)*(1+((C673=TRUE)*F673*IF(AND(Inputs!$B$4&lt;&gt;"pvp",Inputs!$B$35&gt;0),(((S673-1)*(Skills!Y15*(1+Inputs!$B$33/100))+MIN((Skills!Y15*(1+Inputs!$B$33/100)),MAX(0,Inputs!$B$35-((S673-1)*Skills!D15))))/Inputs!$B$35),IF(Inputs!$B$4="pvp",MIN((Skills!Y15*(1+Inputs!$B$33/100)),15)/15,(Skills!Y15*(1+Inputs!$B$33/100))/Skills!D15)))/100))*B693*I672)</f>
        <v/>
      </c>
      <c r="L672">
        <f>K672*(MIN(Inputs!$B$21+((C682=TRUE)*(F682-Calc!F24)),Inputs!$B$22+((C687=TRUE)*(F687-Calc!F29)))/100+(Inputs!$B$22+((C687=TRUE)*(F687-Calc!F29)))/100)/2</f>
        <v/>
      </c>
      <c r="M672">
        <f>L672*(1+(Inputs!$B$9+((C684=TRUE)*(F684-Calc!F26))+B698)/100)</f>
        <v/>
      </c>
      <c r="N672">
        <f>L672*(1-MIN((Inputs!$B$8+((C683=TRUE)*(F683-Calc!F25))+B691),100)/100)+M672*(MIN((Inputs!$B$8+((C683=TRUE)*(F683-Calc!F25))+B691),100)/100)</f>
        <v/>
      </c>
      <c r="O672">
        <f>IF(C672,H672*N672*IF(AND(Inputs!$B$4&lt;&gt;"pvp",Inputs!$B$35&gt;0),((Skills!G14*((R672-1)*IF(Skills!H14&gt;0,Skills!I14/Skills!H14,1)+IF(Skills!H14&gt;0,MIN(Skills!I14,MAX(0,Inputs!$B$35-((R672-1)*IF(Inputs!$B$4="pvp",15,MAX(0.1,Skills!D14-IF(Skills!E14=TRUE,Inputs!$B$31,0))))))/Skills!H14,1)))/Inputs!$B$35),G672*Q672)*IF(Inputs!$B$4="pvp",1,(1-Summary!$B$55)*(1)+Summary!$B$55*(MIN(MIN(5,0.25*B695*Skills!D4)*Skills!V14,Inputs!$B$37))),0)</f>
        <v/>
      </c>
      <c r="P672">
        <f>IF(B703=0,0,O672/B703)</f>
        <v/>
      </c>
      <c r="Q672">
        <f>IFERROR(1/IF(Inputs!$B$4="pvp",15,MAX(0.1,Skills!D14-IF(Skills!E14=TRUE,Inputs!$B$31,0))),0)</f>
        <v/>
      </c>
      <c r="R672">
        <f>IF(AND(Inputs!$B$4&lt;&gt;"pvp",Inputs!$B$35&gt;0),(INT(Inputs!$B$35/IF(Inputs!$B$4="pvp",15,MAX(0.1,Skills!D14-IF(Skills!E14=TRUE,Inputs!$B$31,0))))+1),0)</f>
        <v/>
      </c>
      <c r="S672">
        <f>IFERROR(O672/N672,0)</f>
        <v/>
      </c>
    </row>
    <row r="673">
      <c r="A673">
        <f>Skills!A15</f>
        <v/>
      </c>
      <c r="B673">
        <f>Skills!B15</f>
        <v/>
      </c>
      <c r="C673">
        <f>Inputs!$B$3&gt;=110</f>
        <v/>
      </c>
      <c r="D673">
        <f>IF(Skills!C15=1,60+Inputs!$B$24+Inputs!$B$28,IF(Skills!C15=2,90+Inputs!$B$25+Inputs!$B$28,IF(Skills!C15=3,120+Inputs!$B$26+Inputs!$B$28,MAX(0,(Inputs!$B$3-100)*3)+Inputs!$B$27+Inputs!$B$28)))</f>
        <v/>
      </c>
      <c r="E673">
        <f>INDEX(FactorTable!$B$2:$Y$301, MATCH(ROUND(MIN(300,MAX(1,D673)),0), FactorTable!$A$2:$A$301,0), Skills!M15+1)</f>
        <v/>
      </c>
      <c r="F673">
        <f>IF(Skills!N15=TRUE,(Skills!L15/10)*(E673/1000),Skills!L15/10)+Skills!O15</f>
        <v/>
      </c>
      <c r="G673">
        <f>Skills!G15*IF(Skills!H15&gt;0,Skills!I15/Skills!H15,1)</f>
        <v/>
      </c>
      <c r="H673">
        <f>1-(1-Skills!J15/100)^Skills!K15</f>
        <v/>
      </c>
      <c r="I673" t="inlineStr">
        <is>
          <t>1</t>
        </is>
      </c>
      <c r="J673" t="inlineStr"/>
      <c r="K673" t="inlineStr"/>
      <c r="L673" t="inlineStr"/>
      <c r="M673" t="inlineStr"/>
      <c r="N673" t="inlineStr"/>
      <c r="O673" t="n">
        <v>0</v>
      </c>
      <c r="P673">
        <f>IF(B703=0,0,O673/B703)</f>
        <v/>
      </c>
      <c r="Q673">
        <f>IFERROR(1/IF(Inputs!$B$4="pvp",15,MAX(0.1,Skills!D15-IF(Skills!E15=TRUE,Inputs!$B$31,0))),0)</f>
        <v/>
      </c>
      <c r="R673">
        <f>IF(AND(Inputs!$B$4&lt;&gt;"pvp",Inputs!$B$35&gt;0),(INT(Inputs!$B$35/IF(Inputs!$B$4="pvp",15,MAX(0.1,Skills!D15-IF(Skills!E15=TRUE,Inputs!$B$31,0))))+1),0)</f>
        <v/>
      </c>
      <c r="S673">
        <f>IFERROR(O673/N673,0)</f>
        <v/>
      </c>
    </row>
    <row r="674">
      <c r="A674">
        <f>Skills!A16</f>
        <v/>
      </c>
      <c r="B674">
        <f>Skills!B16</f>
        <v/>
      </c>
      <c r="C674">
        <f>Inputs!$B$3&gt;=115</f>
        <v/>
      </c>
      <c r="D674">
        <f>IF(Skills!C16=1,60+Inputs!$B$24+Inputs!$B$28,IF(Skills!C16=2,90+Inputs!$B$25+Inputs!$B$28,IF(Skills!C16=3,120+Inputs!$B$26+Inputs!$B$28,MAX(0,(Inputs!$B$3-100)*3)+Inputs!$B$27+Inputs!$B$28)))</f>
        <v/>
      </c>
      <c r="E674">
        <f>INDEX(FactorTable!$B$2:$Y$301, MATCH(ROUND(MIN(300,MAX(1,D674)),0), FactorTable!$A$2:$A$301,0), Skills!M16+1)</f>
        <v/>
      </c>
      <c r="F674">
        <f>IF(Skills!N16=TRUE,(Skills!L16/10)*(E674/1000),Skills!L16/10)+Skills!O16</f>
        <v/>
      </c>
      <c r="G674">
        <f>Skills!G16*IF(Skills!H16&gt;0,Skills!I16/Skills!H16,1)</f>
        <v/>
      </c>
      <c r="H674">
        <f>1-(1-Skills!J16/100)^Skills!K16</f>
        <v/>
      </c>
      <c r="I674" t="inlineStr">
        <is>
          <t>1</t>
        </is>
      </c>
      <c r="J674">
        <f>(Inputs!$B$5*(1+Inputs!$B$6/100))*(F674/100)</f>
        <v/>
      </c>
      <c r="K674">
        <f>J674*(1+((Inputs!$B$11*(1+Inputs!$B$12/100))*0.01+Inputs!$B$13*0.0025)/100)*(1+Inputs!$B$14/100)*(1+IF(Inputs!$B$4="pvp",0,(1-Summary!$B$55)*(Inputs!$B$19+0+Skills!P16+B692)+Summary!$B$55*(Inputs!$B$20+Skills!Q16+B692))/100)*(1+Inputs!$B$15/100)*(5000/(6000+Inputs!$B$7*(1-((1-(1-Inputs!$B$18/100)*(1-1/100))*100)/100)))*(1+(Inputs!$B$23+((C688=TRUE)*(F688-Calc!F30)))/100)*(1+(IF(Skills!A16="CRUEL_STAB",Inputs!$B$16+((C685=TRUE)*(F685-Calc!F27)),Inputs!$B$17+((C686=TRUE)*(F686-Calc!F28))))/100)*(((1+(((C679=TRUE)*F679*IF(AND(Inputs!$B$4&lt;&gt;"pvp",Inputs!$B$35&gt;0),(((S679-1)*(Skills!Y21*(1+Inputs!$B$33/100))+MIN((Skills!Y21*(1+Inputs!$B$33/100)),MAX(0,Inputs!$B$35-((S679-1)*Skills!D21))))/Inputs!$B$35),IF(Inputs!$B$4="pvp",MIN((Skills!Y21*(1+Inputs!$B$33/100)),15)/15,(Skills!Y21*(1+Inputs!$B$33/100))/Skills!D21)))+((C681=TRUE)*(F681-Calc!F23))+((C675=TRUE)*(F675-Calc!F17)))/100)*(1+((C668=TRUE)*F668*IF(AND(Inputs!$B$4&lt;&gt;"pvp",Inputs!$B$35&gt;0),(((S668-1)*(Skills!Y10*(1+Inputs!$B$33/100))+MIN((Skills!Y10*(1+Inputs!$B$33/100)),MAX(0,Inputs!$B$35-((S668-1)*Skills!D10))))/Inputs!$B$35),IF(Inputs!$B$4="pvp",MIN((Skills!Y10*(1+Inputs!$B$33/100)),15)/15,(Skills!Y10*(1+Inputs!$B$33/100))/Skills!D10)))/100)*(1+((C673=TRUE)*F673*IF(AND(Inputs!$B$4&lt;&gt;"pvp",Inputs!$B$35&gt;0),(((S673-1)*(Skills!Y15*(1+Inputs!$B$33/100))+MIN((Skills!Y15*(1+Inputs!$B$33/100)),MAX(0,Inputs!$B$35-((S673-1)*Skills!D15))))/Inputs!$B$35),IF(Inputs!$B$4="pvp",MIN((Skills!Y15*(1+Inputs!$B$33/100)),15)/15,(Skills!Y15*(1+Inputs!$B$33/100))/Skills!D15)))/100))*B693*I674)</f>
        <v/>
      </c>
      <c r="L674">
        <f>K674*(MIN(Inputs!$B$21+((C682=TRUE)*(F682-Calc!F24)),Inputs!$B$22+((C687=TRUE)*(F687-Calc!F29)))/100+(Inputs!$B$22+((C687=TRUE)*(F687-Calc!F29)))/100)/2</f>
        <v/>
      </c>
      <c r="M674">
        <f>L674*(1+(Inputs!$B$9+((C684=TRUE)*(F684-Calc!F26))+B698)/100)</f>
        <v/>
      </c>
      <c r="N674">
        <f>L674*(1-MIN((Inputs!$B$8+((C683=TRUE)*(F683-Calc!F25))+B691),100)/100)+M674*(MIN((Inputs!$B$8+((C683=TRUE)*(F683-Calc!F25))+B691),100)/100)</f>
        <v/>
      </c>
      <c r="O674">
        <f>IF(C674,Inputs!$B$38*0.2*N674,0)</f>
        <v/>
      </c>
      <c r="P674">
        <f>IF(B703=0,0,O674/B703)</f>
        <v/>
      </c>
      <c r="Q674" t="n">
        <v>0</v>
      </c>
      <c r="R674" t="n">
        <v>0</v>
      </c>
      <c r="S674">
        <f>IFERROR(O674/N674,0)</f>
        <v/>
      </c>
    </row>
    <row r="675">
      <c r="A675">
        <f>Skills!A17</f>
        <v/>
      </c>
      <c r="B675">
        <f>Skills!B17</f>
        <v/>
      </c>
      <c r="C675">
        <f>Inputs!$B$3&gt;=115</f>
        <v/>
      </c>
      <c r="D675">
        <f>IF(Skills!C17=1,60+Inputs!$B$24+Inputs!$B$28,IF(Skills!C17=2,90+Inputs!$B$25+Inputs!$B$28,IF(Skills!C17=3,120+Inputs!$B$26+Inputs!$B$28,MAX(0,(Inputs!$B$3-100)*3)+Inputs!$B$27+Inputs!$B$28)))</f>
        <v/>
      </c>
      <c r="E675">
        <f>INDEX(FactorTable!$B$2:$Y$301, MATCH(ROUND(MIN(300,MAX(1,D675)),0), FactorTable!$A$2:$A$301,0), Skills!M17+1)</f>
        <v/>
      </c>
      <c r="F675">
        <f>IF(Skills!N17=TRUE,(Skills!L17/10)*(E675/1000),Skills!L17/10)+Skills!O17</f>
        <v/>
      </c>
      <c r="G675">
        <f>Skills!G17*IF(Skills!H17&gt;0,Skills!I17/Skills!H17,1)</f>
        <v/>
      </c>
      <c r="H675">
        <f>1-(1-Skills!J17/100)^Skills!K17</f>
        <v/>
      </c>
      <c r="I675" t="inlineStr">
        <is>
          <t>1</t>
        </is>
      </c>
      <c r="J675" t="inlineStr"/>
      <c r="K675" t="inlineStr"/>
      <c r="L675" t="inlineStr"/>
      <c r="M675" t="inlineStr"/>
      <c r="N675" t="inlineStr"/>
      <c r="O675" t="n">
        <v>0</v>
      </c>
      <c r="P675">
        <f>IF(B703=0,0,O675/B703)</f>
        <v/>
      </c>
      <c r="Q675" t="n">
        <v>0</v>
      </c>
      <c r="R675" t="n">
        <v>0</v>
      </c>
      <c r="S675">
        <f>IFERROR(O675/N675,0)</f>
        <v/>
      </c>
    </row>
    <row r="676">
      <c r="A676">
        <f>Skills!A18</f>
        <v/>
      </c>
      <c r="B676">
        <f>Skills!B18</f>
        <v/>
      </c>
      <c r="C676">
        <f>Inputs!$B$3&gt;=100</f>
        <v/>
      </c>
      <c r="D676">
        <f>IF(Skills!C18=1,60+Inputs!$B$24+Inputs!$B$28,IF(Skills!C18=2,90+Inputs!$B$25+Inputs!$B$28,IF(Skills!C18=3,120+Inputs!$B$26+Inputs!$B$28,MAX(0,(Inputs!$B$3-100)*3)+Inputs!$B$27+Inputs!$B$28)))</f>
        <v/>
      </c>
      <c r="E676">
        <f>INDEX(FactorTable!$B$2:$Y$301, MATCH(ROUND(MIN(300,MAX(1,D676)),0), FactorTable!$A$2:$A$301,0), Skills!M18+1)</f>
        <v/>
      </c>
      <c r="F676">
        <f>IF(Skills!N18=TRUE,(Skills!L18/10)*(E676/1000),Skills!L18/10)+Skills!O18</f>
        <v/>
      </c>
      <c r="G676">
        <f>Skills!G18*IF(Skills!H18&gt;0,Skills!I18/Skills!H18,1)</f>
        <v/>
      </c>
      <c r="H676">
        <f>1-(1-Skills!J18/100)^Skills!K18</f>
        <v/>
      </c>
      <c r="I676" t="inlineStr">
        <is>
          <t>1</t>
        </is>
      </c>
      <c r="J676" t="inlineStr"/>
      <c r="K676" t="inlineStr"/>
      <c r="L676" t="inlineStr"/>
      <c r="M676" t="inlineStr"/>
      <c r="N676" t="inlineStr"/>
      <c r="O676" t="n">
        <v>0</v>
      </c>
      <c r="P676">
        <f>IF(B703=0,0,O676/B703)</f>
        <v/>
      </c>
      <c r="Q676" t="n">
        <v>0</v>
      </c>
      <c r="R676" t="n">
        <v>0</v>
      </c>
      <c r="S676">
        <f>IFERROR(O676/N676,0)</f>
        <v/>
      </c>
    </row>
    <row r="677">
      <c r="A677">
        <f>Skills!A19</f>
        <v/>
      </c>
      <c r="B677">
        <f>Skills!B19</f>
        <v/>
      </c>
      <c r="C677">
        <f>TRUE</f>
        <v/>
      </c>
      <c r="D677">
        <f>IF(Skills!C19=1,60+Inputs!$B$24+Inputs!$B$28,IF(Skills!C19=2,90+Inputs!$B$25+Inputs!$B$28,IF(Skills!C19=3,120+Inputs!$B$26+Inputs!$B$28,MAX(0,(Inputs!$B$3-100)*3)+Inputs!$B$27+Inputs!$B$28)))</f>
        <v/>
      </c>
      <c r="E677">
        <f>INDEX(FactorTable!$B$2:$Y$301, MATCH(ROUND(MIN(300,MAX(1,D677)),0), FactorTable!$A$2:$A$301,0), Skills!M19+1)</f>
        <v/>
      </c>
      <c r="F677">
        <f>IF(Skills!N19=TRUE,(Skills!L19/10)*(E677/1000),Skills!L19/10)+Skills!O19</f>
        <v/>
      </c>
      <c r="G677">
        <f>Skills!G19*IF(Skills!H19&gt;0,Skills!I19/Skills!H19,1)</f>
        <v/>
      </c>
      <c r="H677">
        <f>1-(1-Skills!J19/100)^Skills!K19</f>
        <v/>
      </c>
      <c r="I677" t="inlineStr">
        <is>
          <t>1</t>
        </is>
      </c>
      <c r="J677" t="inlineStr"/>
      <c r="K677" t="inlineStr"/>
      <c r="L677" t="inlineStr"/>
      <c r="M677" t="inlineStr"/>
      <c r="N677" t="inlineStr"/>
      <c r="O677" t="n">
        <v>0</v>
      </c>
      <c r="P677">
        <f>IF(B703=0,0,O677/B703)</f>
        <v/>
      </c>
      <c r="Q677">
        <f>IFERROR(1/IF(Inputs!$B$4="pvp",15,MAX(0.1,Skills!D19-IF(Skills!E19=TRUE,Inputs!$B$31,0))),0)</f>
        <v/>
      </c>
      <c r="R677">
        <f>IF(AND(Inputs!$B$4&lt;&gt;"pvp",Inputs!$B$35&gt;0),(INT(Inputs!$B$35/IF(Inputs!$B$4="pvp",15,MAX(0.1,Skills!D19-IF(Skills!E19=TRUE,Inputs!$B$31,0))))+1),0)</f>
        <v/>
      </c>
      <c r="S677">
        <f>IFERROR(O677/N677,0)</f>
        <v/>
      </c>
    </row>
    <row r="678">
      <c r="A678">
        <f>Skills!A20</f>
        <v/>
      </c>
      <c r="B678">
        <f>Skills!B20</f>
        <v/>
      </c>
      <c r="C678">
        <f>Inputs!$B$3&gt;=15</f>
        <v/>
      </c>
      <c r="D678">
        <f>IF(Skills!C20=1,60+Inputs!$B$24+Inputs!$B$28,IF(Skills!C20=2,90+Inputs!$B$25+Inputs!$B$28,IF(Skills!C20=3,120+Inputs!$B$26+Inputs!$B$28,MAX(0,(Inputs!$B$3-100)*3)+Inputs!$B$27+Inputs!$B$28)))</f>
        <v/>
      </c>
      <c r="E678">
        <f>INDEX(FactorTable!$B$2:$Y$301, MATCH(ROUND(MIN(300,MAX(1,D678)),0), FactorTable!$A$2:$A$301,0), Skills!M20+1)</f>
        <v/>
      </c>
      <c r="F678">
        <f>IF(Skills!N20=TRUE,(Skills!L20/10)*(E678/1000),Skills!L20/10)+Skills!O20</f>
        <v/>
      </c>
      <c r="G678">
        <f>Skills!G20*IF(Skills!H20&gt;0,Skills!I20/Skills!H20,1)</f>
        <v/>
      </c>
      <c r="H678">
        <f>1-(1-Skills!J20/100)^Skills!K20</f>
        <v/>
      </c>
      <c r="I678" t="inlineStr">
        <is>
          <t>1</t>
        </is>
      </c>
      <c r="J678" t="inlineStr"/>
      <c r="K678" t="inlineStr"/>
      <c r="L678" t="inlineStr"/>
      <c r="M678" t="inlineStr"/>
      <c r="N678" t="inlineStr"/>
      <c r="O678" t="n">
        <v>0</v>
      </c>
      <c r="P678">
        <f>IF(B703=0,0,O678/B703)</f>
        <v/>
      </c>
      <c r="Q678">
        <f>IFERROR(1/IF(Inputs!$B$4="pvp",15,MAX(0.1,Skills!D20-IF(Skills!E20=TRUE,Inputs!$B$31,0))),0)</f>
        <v/>
      </c>
      <c r="R678">
        <f>IF(AND(Inputs!$B$4&lt;&gt;"pvp",Inputs!$B$35&gt;0),(INT(Inputs!$B$35/IF(Inputs!$B$4="pvp",15,MAX(0.1,Skills!D20-IF(Skills!E20=TRUE,Inputs!$B$31,0))))+1),0)</f>
        <v/>
      </c>
      <c r="S678">
        <f>IFERROR(O678/N678,0)</f>
        <v/>
      </c>
    </row>
    <row r="679">
      <c r="A679">
        <f>Skills!A21</f>
        <v/>
      </c>
      <c r="B679">
        <f>Skills!B21</f>
        <v/>
      </c>
      <c r="C679">
        <f>Inputs!$B$3&gt;=15</f>
        <v/>
      </c>
      <c r="D679">
        <f>IF(Skills!C21=1,60+Inputs!$B$24+Inputs!$B$28,IF(Skills!C21=2,90+Inputs!$B$25+Inputs!$B$28,IF(Skills!C21=3,120+Inputs!$B$26+Inputs!$B$28,MAX(0,(Inputs!$B$3-100)*3)+Inputs!$B$27+Inputs!$B$28)))</f>
        <v/>
      </c>
      <c r="E679">
        <f>INDEX(FactorTable!$B$2:$Y$301, MATCH(ROUND(MIN(300,MAX(1,D679)),0), FactorTable!$A$2:$A$301,0), Skills!M21+1)</f>
        <v/>
      </c>
      <c r="F679">
        <f>IF(Skills!N21=TRUE,(Skills!L21/10)*(E679/1000),Skills!L21/10)+Skills!O21</f>
        <v/>
      </c>
      <c r="G679">
        <f>Skills!G21*IF(Skills!H21&gt;0,Skills!I21/Skills!H21,1)</f>
        <v/>
      </c>
      <c r="H679">
        <f>1-(1-Skills!J21/100)^Skills!K21</f>
        <v/>
      </c>
      <c r="I679" t="inlineStr">
        <is>
          <t>1</t>
        </is>
      </c>
      <c r="J679" t="inlineStr"/>
      <c r="K679" t="inlineStr"/>
      <c r="L679" t="inlineStr"/>
      <c r="M679" t="inlineStr"/>
      <c r="N679" t="inlineStr"/>
      <c r="O679" t="n">
        <v>0</v>
      </c>
      <c r="P679">
        <f>IF(B703=0,0,O679/B703)</f>
        <v/>
      </c>
      <c r="Q679">
        <f>IFERROR(1/IF(Inputs!$B$4="pvp",15,MAX(0.1,Skills!D21-IF(Skills!E21=TRUE,Inputs!$B$31,0))),0)</f>
        <v/>
      </c>
      <c r="R679">
        <f>IF(AND(Inputs!$B$4&lt;&gt;"pvp",Inputs!$B$35&gt;0),(INT(Inputs!$B$35/IF(Inputs!$B$4="pvp",15,MAX(0.1,Skills!D21-IF(Skills!E21=TRUE,Inputs!$B$31,0))))+1),0)</f>
        <v/>
      </c>
      <c r="S679">
        <f>IFERROR(O679/N679,0)</f>
        <v/>
      </c>
    </row>
    <row r="680">
      <c r="A680">
        <f>Skills!A22</f>
        <v/>
      </c>
      <c r="B680">
        <f>Skills!B22</f>
        <v/>
      </c>
      <c r="C680">
        <f>Inputs!$B$3&gt;=33</f>
        <v/>
      </c>
      <c r="D680">
        <f>IF(Skills!C22=1,60+Inputs!$B$24+Inputs!$B$28,IF(Skills!C22=2,90+Inputs!$B$25+Inputs!$B$28,IF(Skills!C22=3,120+Inputs!$B$26+Inputs!$B$28,MAX(0,(Inputs!$B$3-100)*3)+Inputs!$B$27+Inputs!$B$28)))</f>
        <v/>
      </c>
      <c r="E680">
        <f>INDEX(FactorTable!$B$2:$Y$301, MATCH(ROUND(MIN(300,MAX(1,D680)),0), FactorTable!$A$2:$A$301,0), Skills!M22+1)</f>
        <v/>
      </c>
      <c r="F680">
        <f>IF(Skills!N22=TRUE,(Skills!L22/10)*(E680/1000),Skills!L22/10)+Skills!O22</f>
        <v/>
      </c>
      <c r="G680">
        <f>Skills!G22*IF(Skills!H22&gt;0,Skills!I22/Skills!H22,1)</f>
        <v/>
      </c>
      <c r="H680">
        <f>1-(1-Skills!J22/100)^Skills!K22</f>
        <v/>
      </c>
      <c r="I680" t="inlineStr">
        <is>
          <t>1</t>
        </is>
      </c>
      <c r="J680" t="inlineStr"/>
      <c r="K680" t="inlineStr"/>
      <c r="L680" t="inlineStr"/>
      <c r="M680" t="inlineStr"/>
      <c r="N680" t="inlineStr"/>
      <c r="O680" t="n">
        <v>0</v>
      </c>
      <c r="P680">
        <f>IF(B703=0,0,O680/B703)</f>
        <v/>
      </c>
      <c r="Q680" t="n">
        <v>0</v>
      </c>
      <c r="R680" t="n">
        <v>0</v>
      </c>
      <c r="S680">
        <f>IFERROR(O680/N680,0)</f>
        <v/>
      </c>
    </row>
    <row r="681">
      <c r="A681">
        <f>Skills!A23</f>
        <v/>
      </c>
      <c r="B681">
        <f>Skills!B23</f>
        <v/>
      </c>
      <c r="C681">
        <f>Inputs!$B$3&gt;=40</f>
        <v/>
      </c>
      <c r="D681">
        <f>IF(Skills!C23=1,60+Inputs!$B$24+Inputs!$B$28,IF(Skills!C23=2,90+Inputs!$B$25+Inputs!$B$28,IF(Skills!C23=3,120+Inputs!$B$26+Inputs!$B$28,MAX(0,(Inputs!$B$3-100)*3)+Inputs!$B$27+Inputs!$B$28)))</f>
        <v/>
      </c>
      <c r="E681">
        <f>INDEX(FactorTable!$B$2:$Y$301, MATCH(ROUND(MIN(300,MAX(1,D681)),0), FactorTable!$A$2:$A$301,0), Skills!M23+1)</f>
        <v/>
      </c>
      <c r="F681">
        <f>IF(Skills!N23=TRUE,(Skills!L23/10)*(E681/1000),Skills!L23/10)+Skills!O23</f>
        <v/>
      </c>
      <c r="G681">
        <f>Skills!G23*IF(Skills!H23&gt;0,Skills!I23/Skills!H23,1)</f>
        <v/>
      </c>
      <c r="H681">
        <f>1-(1-Skills!J23/100)^Skills!K23</f>
        <v/>
      </c>
      <c r="I681" t="inlineStr">
        <is>
          <t>1</t>
        </is>
      </c>
      <c r="J681" t="inlineStr"/>
      <c r="K681" t="inlineStr"/>
      <c r="L681" t="inlineStr"/>
      <c r="M681" t="inlineStr"/>
      <c r="N681" t="inlineStr"/>
      <c r="O681" t="n">
        <v>0</v>
      </c>
      <c r="P681">
        <f>IF(B703=0,0,O681/B703)</f>
        <v/>
      </c>
      <c r="Q681" t="n">
        <v>0</v>
      </c>
      <c r="R681" t="n">
        <v>0</v>
      </c>
      <c r="S681">
        <f>IFERROR(O681/N681,0)</f>
        <v/>
      </c>
    </row>
    <row r="682">
      <c r="A682">
        <f>Skills!A24</f>
        <v/>
      </c>
      <c r="B682">
        <f>Skills!B24</f>
        <v/>
      </c>
      <c r="C682">
        <f>Inputs!$B$3&gt;=43</f>
        <v/>
      </c>
      <c r="D682">
        <f>IF(Skills!C24=1,60+Inputs!$B$24+Inputs!$B$28,IF(Skills!C24=2,90+Inputs!$B$25+Inputs!$B$28,IF(Skills!C24=3,120+Inputs!$B$26+Inputs!$B$28,MAX(0,(Inputs!$B$3-100)*3)+Inputs!$B$27+Inputs!$B$28)))</f>
        <v/>
      </c>
      <c r="E682">
        <f>INDEX(FactorTable!$B$2:$Y$301, MATCH(ROUND(MIN(300,MAX(1,D682)),0), FactorTable!$A$2:$A$301,0), Skills!M24+1)</f>
        <v/>
      </c>
      <c r="F682">
        <f>IF(Skills!N24=TRUE,(Skills!L24/10)*(E682/1000),Skills!L24/10)+Skills!O24</f>
        <v/>
      </c>
      <c r="G682">
        <f>Skills!G24*IF(Skills!H24&gt;0,Skills!I24/Skills!H24,1)</f>
        <v/>
      </c>
      <c r="H682">
        <f>1-(1-Skills!J24/100)^Skills!K24</f>
        <v/>
      </c>
      <c r="I682" t="inlineStr">
        <is>
          <t>1</t>
        </is>
      </c>
      <c r="J682" t="inlineStr"/>
      <c r="K682" t="inlineStr"/>
      <c r="L682" t="inlineStr"/>
      <c r="M682" t="inlineStr"/>
      <c r="N682" t="inlineStr"/>
      <c r="O682" t="n">
        <v>0</v>
      </c>
      <c r="P682">
        <f>IF(B703=0,0,O682/B703)</f>
        <v/>
      </c>
      <c r="Q682" t="n">
        <v>0</v>
      </c>
      <c r="R682" t="n">
        <v>0</v>
      </c>
      <c r="S682">
        <f>IFERROR(O682/N682,0)</f>
        <v/>
      </c>
    </row>
    <row r="683">
      <c r="A683">
        <f>Skills!A25</f>
        <v/>
      </c>
      <c r="B683">
        <f>Skills!B25</f>
        <v/>
      </c>
      <c r="C683">
        <f>Inputs!$B$3&gt;=50</f>
        <v/>
      </c>
      <c r="D683">
        <f>IF(Skills!C25=1,60+Inputs!$B$24+Inputs!$B$28,IF(Skills!C25=2,90+Inputs!$B$25+Inputs!$B$28,IF(Skills!C25=3,120+Inputs!$B$26+Inputs!$B$28,MAX(0,(Inputs!$B$3-100)*3)+Inputs!$B$27+Inputs!$B$28)))</f>
        <v/>
      </c>
      <c r="E683">
        <f>INDEX(FactorTable!$B$2:$Y$301, MATCH(ROUND(MIN(300,MAX(1,D683)),0), FactorTable!$A$2:$A$301,0), Skills!M25+1)</f>
        <v/>
      </c>
      <c r="F683">
        <f>IF(Skills!N25=TRUE,(Skills!L25/10)*(E683/1000),Skills!L25/10)+Skills!O25</f>
        <v/>
      </c>
      <c r="G683">
        <f>Skills!G25*IF(Skills!H25&gt;0,Skills!I25/Skills!H25,1)</f>
        <v/>
      </c>
      <c r="H683">
        <f>1-(1-Skills!J25/100)^Skills!K25</f>
        <v/>
      </c>
      <c r="I683" t="inlineStr">
        <is>
          <t>1</t>
        </is>
      </c>
      <c r="J683" t="inlineStr"/>
      <c r="K683" t="inlineStr"/>
      <c r="L683" t="inlineStr"/>
      <c r="M683" t="inlineStr"/>
      <c r="N683" t="inlineStr"/>
      <c r="O683" t="n">
        <v>0</v>
      </c>
      <c r="P683">
        <f>IF(B703=0,0,O683/B703)</f>
        <v/>
      </c>
      <c r="Q683" t="n">
        <v>0</v>
      </c>
      <c r="R683" t="n">
        <v>0</v>
      </c>
      <c r="S683">
        <f>IFERROR(O683/N683,0)</f>
        <v/>
      </c>
    </row>
    <row r="684">
      <c r="A684">
        <f>Skills!A26</f>
        <v/>
      </c>
      <c r="B684">
        <f>Skills!B26</f>
        <v/>
      </c>
      <c r="C684">
        <f>Inputs!$B$3&gt;=50</f>
        <v/>
      </c>
      <c r="D684">
        <f>IF(Skills!C26=1,60+Inputs!$B$24+Inputs!$B$28,IF(Skills!C26=2,90+Inputs!$B$25+Inputs!$B$28,IF(Skills!C26=3,120+Inputs!$B$26+Inputs!$B$28,MAX(0,(Inputs!$B$3-100)*3)+Inputs!$B$27+Inputs!$B$28)))</f>
        <v/>
      </c>
      <c r="E684">
        <f>INDEX(FactorTable!$B$2:$Y$301, MATCH(ROUND(MIN(300,MAX(1,D684)),0), FactorTable!$A$2:$A$301,0), Skills!M26+1)</f>
        <v/>
      </c>
      <c r="F684">
        <f>IF(Skills!N26=TRUE,(Skills!L26/10)*(E684/1000),Skills!L26/10)+Skills!O26</f>
        <v/>
      </c>
      <c r="G684">
        <f>Skills!G26*IF(Skills!H26&gt;0,Skills!I26/Skills!H26,1)</f>
        <v/>
      </c>
      <c r="H684">
        <f>1-(1-Skills!J26/100)^Skills!K26</f>
        <v/>
      </c>
      <c r="I684" t="inlineStr">
        <is>
          <t>1</t>
        </is>
      </c>
      <c r="J684" t="inlineStr"/>
      <c r="K684" t="inlineStr"/>
      <c r="L684" t="inlineStr"/>
      <c r="M684" t="inlineStr"/>
      <c r="N684" t="inlineStr"/>
      <c r="O684" t="n">
        <v>0</v>
      </c>
      <c r="P684">
        <f>IF(B703=0,0,O684/B703)</f>
        <v/>
      </c>
      <c r="Q684" t="n">
        <v>0</v>
      </c>
      <c r="R684" t="n">
        <v>0</v>
      </c>
      <c r="S684">
        <f>IFERROR(O684/N684,0)</f>
        <v/>
      </c>
    </row>
    <row r="685">
      <c r="A685">
        <f>Skills!A27</f>
        <v/>
      </c>
      <c r="B685">
        <f>Skills!B27</f>
        <v/>
      </c>
      <c r="C685">
        <f>Inputs!$B$3&gt;=38</f>
        <v/>
      </c>
      <c r="D685">
        <f>IF(Skills!C27=1,60+Inputs!$B$24+Inputs!$B$28,IF(Skills!C27=2,90+Inputs!$B$25+Inputs!$B$28,IF(Skills!C27=3,120+Inputs!$B$26+Inputs!$B$28,MAX(0,(Inputs!$B$3-100)*3)+Inputs!$B$27+Inputs!$B$28)))</f>
        <v/>
      </c>
      <c r="E685">
        <f>INDEX(FactorTable!$B$2:$Y$301, MATCH(ROUND(MIN(300,MAX(1,D685)),0), FactorTable!$A$2:$A$301,0), Skills!M27+1)</f>
        <v/>
      </c>
      <c r="F685">
        <f>IF(Skills!N27=TRUE,(Skills!L27/10)*(E685/1000),Skills!L27/10)+Skills!O27</f>
        <v/>
      </c>
      <c r="G685">
        <f>Skills!G27*IF(Skills!H27&gt;0,Skills!I27/Skills!H27,1)</f>
        <v/>
      </c>
      <c r="H685">
        <f>1-(1-Skills!J27/100)^Skills!K27</f>
        <v/>
      </c>
      <c r="I685" t="inlineStr">
        <is>
          <t>1</t>
        </is>
      </c>
      <c r="J685" t="inlineStr"/>
      <c r="K685" t="inlineStr"/>
      <c r="L685" t="inlineStr"/>
      <c r="M685" t="inlineStr"/>
      <c r="N685" t="inlineStr"/>
      <c r="O685" t="n">
        <v>0</v>
      </c>
      <c r="P685">
        <f>IF(B703=0,0,O685/B703)</f>
        <v/>
      </c>
      <c r="Q685" t="n">
        <v>0</v>
      </c>
      <c r="R685" t="n">
        <v>0</v>
      </c>
      <c r="S685">
        <f>IFERROR(O685/N685,0)</f>
        <v/>
      </c>
    </row>
    <row r="686">
      <c r="A686">
        <f>Skills!A28</f>
        <v/>
      </c>
      <c r="B686">
        <f>Skills!B28</f>
        <v/>
      </c>
      <c r="C686">
        <f>Inputs!$B$3&gt;=120</f>
        <v/>
      </c>
      <c r="D686">
        <f>IF(Skills!C28=1,60+Inputs!$B$24+Inputs!$B$28,IF(Skills!C28=2,90+Inputs!$B$25+Inputs!$B$28,IF(Skills!C28=3,120+Inputs!$B$26+Inputs!$B$28,MAX(0,(Inputs!$B$3-100)*3)+Inputs!$B$27+Inputs!$B$28)))</f>
        <v/>
      </c>
      <c r="E686">
        <f>INDEX(FactorTable!$B$2:$Y$301, MATCH(ROUND(MIN(300,MAX(1,D686)),0), FactorTable!$A$2:$A$301,0), Skills!M28+1)</f>
        <v/>
      </c>
      <c r="F686">
        <f>IF(Skills!N28=TRUE,(Skills!L28/10)*(E686/1000),Skills!L28/10)+Skills!O28</f>
        <v/>
      </c>
      <c r="G686">
        <f>Skills!G28*IF(Skills!H28&gt;0,Skills!I28/Skills!H28,1)</f>
        <v/>
      </c>
      <c r="H686">
        <f>1-(1-Skills!J28/100)^Skills!K28</f>
        <v/>
      </c>
      <c r="I686" t="inlineStr">
        <is>
          <t>1</t>
        </is>
      </c>
      <c r="J686" t="inlineStr"/>
      <c r="K686" t="inlineStr"/>
      <c r="L686" t="inlineStr"/>
      <c r="M686" t="inlineStr"/>
      <c r="N686" t="inlineStr"/>
      <c r="O686" t="n">
        <v>0</v>
      </c>
      <c r="P686">
        <f>IF(B703=0,0,O686/B703)</f>
        <v/>
      </c>
      <c r="Q686" t="n">
        <v>0</v>
      </c>
      <c r="R686" t="n">
        <v>0</v>
      </c>
      <c r="S686">
        <f>IFERROR(O686/N686,0)</f>
        <v/>
      </c>
    </row>
    <row r="687">
      <c r="A687">
        <f>Skills!A29</f>
        <v/>
      </c>
      <c r="B687">
        <f>Skills!B29</f>
        <v/>
      </c>
      <c r="C687">
        <f>Inputs!$B$3&gt;=120</f>
        <v/>
      </c>
      <c r="D687">
        <f>IF(Skills!C29=1,60+Inputs!$B$24+Inputs!$B$28,IF(Skills!C29=2,90+Inputs!$B$25+Inputs!$B$28,IF(Skills!C29=3,120+Inputs!$B$26+Inputs!$B$28,MAX(0,(Inputs!$B$3-100)*3)+Inputs!$B$27+Inputs!$B$28)))</f>
        <v/>
      </c>
      <c r="E687">
        <f>INDEX(FactorTable!$B$2:$Y$301, MATCH(ROUND(MIN(300,MAX(1,D687)),0), FactorTable!$A$2:$A$301,0), Skills!M29+1)</f>
        <v/>
      </c>
      <c r="F687">
        <f>IF(Skills!N29=TRUE,(Skills!L29/10)*(E687/1000),Skills!L29/10)+Skills!O29</f>
        <v/>
      </c>
      <c r="G687">
        <f>Skills!G29*IF(Skills!H29&gt;0,Skills!I29/Skills!H29,1)</f>
        <v/>
      </c>
      <c r="H687">
        <f>1-(1-Skills!J29/100)^Skills!K29</f>
        <v/>
      </c>
      <c r="I687" t="inlineStr">
        <is>
          <t>1</t>
        </is>
      </c>
      <c r="J687" t="inlineStr"/>
      <c r="K687" t="inlineStr"/>
      <c r="L687" t="inlineStr"/>
      <c r="M687" t="inlineStr"/>
      <c r="N687" t="inlineStr"/>
      <c r="O687" t="n">
        <v>0</v>
      </c>
      <c r="P687">
        <f>IF(B703=0,0,O687/B703)</f>
        <v/>
      </c>
      <c r="Q687" t="n">
        <v>0</v>
      </c>
      <c r="R687" t="n">
        <v>0</v>
      </c>
      <c r="S687">
        <f>IFERROR(O687/N687,0)</f>
        <v/>
      </c>
    </row>
    <row r="688">
      <c r="A688">
        <f>Skills!A30</f>
        <v/>
      </c>
      <c r="B688">
        <f>Skills!B30</f>
        <v/>
      </c>
      <c r="C688">
        <f>Inputs!$B$3&gt;=125</f>
        <v/>
      </c>
      <c r="D688">
        <f>IF(Skills!C30=1,60+Inputs!$B$24+Inputs!$B$28,IF(Skills!C30=2,90+Inputs!$B$25+Inputs!$B$28,IF(Skills!C30=3,120+Inputs!$B$26+Inputs!$B$28,MAX(0,(Inputs!$B$3-100)*3)+Inputs!$B$27+Inputs!$B$28)))</f>
        <v/>
      </c>
      <c r="E688">
        <f>INDEX(FactorTable!$B$2:$Y$301, MATCH(ROUND(MIN(300,MAX(1,D688)),0), FactorTable!$A$2:$A$301,0), Skills!M30+1)</f>
        <v/>
      </c>
      <c r="F688">
        <f>IF(Skills!N30=TRUE,(Skills!L30/10)*(E688/1000),Skills!L30/10)+Skills!O30</f>
        <v/>
      </c>
      <c r="G688">
        <f>Skills!G30*IF(Skills!H30&gt;0,Skills!I30/Skills!H30,1)</f>
        <v/>
      </c>
      <c r="H688">
        <f>1-(1-Skills!J30/100)^Skills!K30</f>
        <v/>
      </c>
      <c r="I688" t="inlineStr">
        <is>
          <t>1</t>
        </is>
      </c>
      <c r="J688" t="inlineStr"/>
      <c r="K688" t="inlineStr"/>
      <c r="L688" t="inlineStr"/>
      <c r="M688" t="inlineStr"/>
      <c r="N688" t="inlineStr"/>
      <c r="O688" t="n">
        <v>0</v>
      </c>
      <c r="P688">
        <f>IF(B703=0,0,O688/B703)</f>
        <v/>
      </c>
      <c r="Q688" t="n">
        <v>0</v>
      </c>
      <c r="R688" t="n">
        <v>0</v>
      </c>
      <c r="S688">
        <f>IFERROR(O688/N688,0)</f>
        <v/>
      </c>
    </row>
    <row r="690">
      <c r="A690" t="inlineStr">
        <is>
          <t>Average Buff Multiplier</t>
        </is>
      </c>
      <c r="B690">
        <f>(1+(((C679=TRUE)*F679*IF(AND(Inputs!$B$4&lt;&gt;"pvp",Inputs!$B$35&gt;0),(((S679-1)*(Skills!Y21*(1+Inputs!$B$33/100))+MIN((Skills!Y21*(1+Inputs!$B$33/100)),MAX(0,Inputs!$B$35-((S679-1)*Skills!D21))))/Inputs!$B$35),IF(Inputs!$B$4="pvp",MIN((Skills!Y21*(1+Inputs!$B$33/100)),15)/15,(Skills!Y21*(1+Inputs!$B$33/100))/Skills!D21)))+((C681=TRUE)*(F681-Calc!F23))+((C675=TRUE)*(F675-Calc!F17)))/100)*(1+((C668=TRUE)*F668*IF(AND(Inputs!$B$4&lt;&gt;"pvp",Inputs!$B$35&gt;0),(((S668-1)*(Skills!Y10*(1+Inputs!$B$33/100))+MIN((Skills!Y10*(1+Inputs!$B$33/100)),MAX(0,Inputs!$B$35-((S668-1)*Skills!D10))))/Inputs!$B$35),IF(Inputs!$B$4="pvp",MIN((Skills!Y10*(1+Inputs!$B$33/100)),15)/15,(Skills!Y10*(1+Inputs!$B$33/100))/Skills!D10)))/100)*(1+((C673=TRUE)*F673*IF(AND(Inputs!$B$4&lt;&gt;"pvp",Inputs!$B$35&gt;0),(((S673-1)*(Skills!Y15*(1+Inputs!$B$33/100))+MIN((Skills!Y15*(1+Inputs!$B$33/100)),MAX(0,Inputs!$B$35-((S673-1)*Skills!D15))))/Inputs!$B$35),IF(Inputs!$B$4="pvp",MIN((Skills!Y15*(1+Inputs!$B$33/100)),15)/15,(Skills!Y15*(1+Inputs!$B$33/100))/Skills!D15)))/100)</f>
        <v/>
      </c>
    </row>
    <row r="691">
      <c r="A691" t="inlineStr">
        <is>
          <t>Global Crit Rate Bonus %</t>
        </is>
      </c>
      <c r="B691">
        <f>((C678=TRUE)*F678*IF(AND(Inputs!$B$4&lt;&gt;"pvp",Inputs!$B$35&gt;0),(((S678-1)*(Skills!Y20*(1+Inputs!$B$33/100))+MIN((Skills!Y20*(1+Inputs!$B$33/100)),MAX(0,Inputs!$B$35-((S678-1)*Skills!D20))))/Inputs!$B$35),IF(Inputs!$B$4="pvp",MIN((Skills!Y20*(1+Inputs!$B$33/100)),15)/15,(Skills!Y20*(1+Inputs!$B$33/100))/Skills!D20)))</f>
        <v/>
      </c>
    </row>
    <row r="692">
      <c r="A692" t="inlineStr">
        <is>
          <t>Global Monster Damage-Taken Bonus %</t>
        </is>
      </c>
      <c r="B692">
        <f>IF(Inputs!$B$3&gt;=82,15,0)</f>
        <v/>
      </c>
    </row>
    <row r="693">
      <c r="A693" t="inlineStr">
        <is>
          <t>Shadow Partner Average Multiplier</t>
        </is>
      </c>
      <c r="B693">
        <f>1+((C665=TRUE)*F665*(1+3.3333333333333335*IF(C676=TRUE,F676,0)/100)*I665*Skills!J7/100)/100</f>
        <v/>
      </c>
    </row>
    <row r="694">
      <c r="A694" t="inlineStr">
        <is>
          <t>Attack Speed Buff Bonus %</t>
        </is>
      </c>
      <c r="B694">
        <f>((C677=TRUE)*F677*IF(AND(Inputs!$B$4&lt;&gt;"pvp",Inputs!$B$35&gt;0),(((S677-1)*(Skills!Y19*(1+Inputs!$B$33/100))+MIN((Skills!Y19*(1+Inputs!$B$33/100)),MAX(0,Inputs!$B$35-((S677-1)*Skills!D19))))/Inputs!$B$35),IF(Inputs!$B$4="pvp",MIN((Skills!Y19*(1+Inputs!$B$33/100)),15)/15,(Skills!Y19*(1+Inputs!$B$33/100))/Skills!D19)))+((C661=TRUE)*F661*3)</f>
        <v/>
      </c>
    </row>
    <row r="695">
      <c r="A695" t="inlineStr">
        <is>
          <t>Actions Per Second</t>
        </is>
      </c>
      <c r="B695">
        <f>1+MIN(150,150*(1-(1-(Inputs!$B$10+((C680=TRUE)*(F680-Calc!F22)))/150)*(1-B694/150)))/100</f>
        <v/>
      </c>
    </row>
    <row r="696">
      <c r="A696" t="inlineStr">
        <is>
          <t>Skill + Buff Cast Rate</t>
        </is>
      </c>
      <c r="B696">
        <f>IF(AND(Inputs!$B$4&lt;&gt;"pvp",Inputs!$B$35&gt;0),SUMPRODUCT((Skills!E2:E30=TRUE)*(C660:C688=TRUE)*R660:R688*Skills!F2:F30)/Inputs!$B$35,SUMPRODUCT((Skills!E2:E30=TRUE)*(C660:C688=TRUE)*Q660:Q688*Skills!F2:F30))</f>
        <v/>
      </c>
    </row>
    <row r="697">
      <c r="A697" t="inlineStr">
        <is>
          <t>Cruel Stab Casts Per Second</t>
        </is>
      </c>
      <c r="B697">
        <f>MAX(0,B695-B696)</f>
        <v/>
      </c>
    </row>
    <row r="698">
      <c r="A698" t="inlineStr">
        <is>
          <t>Global Critical Damage Bonus % (Smokescreen Mastery Lv.113)</t>
        </is>
      </c>
      <c r="B698">
        <f>IF(Inputs!$B$3&gt;=113,30,0)*IF(AND(Inputs!$B$4&lt;&gt;"pvp",Inputs!$B$35&gt;0),(((S673-1)*(Skills!Y15*(1+Inputs!$B$33/100))+MIN((Skills!Y15*(1+Inputs!$B$33/100)),MAX(0,Inputs!$B$35-((S673-1)*Skills!D15))))/Inputs!$B$35),IF(Inputs!$B$4="pvp",MIN((Skills!Y15*(1+Inputs!$B$33/100)),15)/15,(Skills!Y15*(1+Inputs!$B$33/100))/Skills!D15))</f>
        <v/>
      </c>
    </row>
    <row r="699">
      <c r="A699" t="inlineStr">
        <is>
          <t>Meso Explosion average stack count</t>
        </is>
      </c>
      <c r="B699">
        <f>MIN(10,0.5*B695*Skills!D4)</f>
        <v/>
      </c>
    </row>
    <row r="700">
      <c r="A700" t="inlineStr">
        <is>
          <t>Blood Money average stack count</t>
        </is>
      </c>
      <c r="B700">
        <f>MIN(5,0.25*B695*Skills!D4)</f>
        <v/>
      </c>
    </row>
    <row r="701">
      <c r="A701" t="inlineStr">
        <is>
          <t>Assassinate Murderous Intent Multiplier</t>
        </is>
      </c>
      <c r="B701">
        <f>1+IFERROR(MIN(1,Q672*2/Q669),0)</f>
        <v/>
      </c>
    </row>
    <row r="703">
      <c r="A703" s="5" t="inlineStr">
        <is>
          <t>TOTAL DPS</t>
        </is>
      </c>
      <c r="B703" s="5">
        <f>SUM(O660:O688)</f>
        <v/>
      </c>
    </row>
    <row r="706">
      <c r="A706" s="5" t="inlineStr">
        <is>
          <t>Stat: BASIC_ATTACK_DAMAGE %</t>
        </is>
      </c>
    </row>
    <row r="707">
      <c r="A707" s="8" t="inlineStr">
        <is>
          <t>Key</t>
        </is>
      </c>
      <c r="B707" s="8" t="inlineStr">
        <is>
          <t>Name</t>
        </is>
      </c>
      <c r="C707" s="8" t="inlineStr">
        <is>
          <t>Unlocked</t>
        </is>
      </c>
      <c r="D707" s="8" t="inlineStr">
        <is>
          <t>InputLevel</t>
        </is>
      </c>
      <c r="E707" s="8" t="inlineStr">
        <is>
          <t>Factor</t>
        </is>
      </c>
      <c r="F707" s="8" t="inlineStr">
        <is>
          <t>CoefficientPercent</t>
        </is>
      </c>
      <c r="G707" s="8" t="inlineStr">
        <is>
          <t>EffectiveHits</t>
        </is>
      </c>
      <c r="H707" s="8" t="inlineStr">
        <is>
          <t>ProcProbability</t>
        </is>
      </c>
      <c r="I707" s="8" t="inlineStr">
        <is>
          <t>MapleHeroMultiplier</t>
        </is>
      </c>
      <c r="J707" s="8" t="inlineStr">
        <is>
          <t>BaseDamage</t>
        </is>
      </c>
      <c r="K707" s="8" t="inlineStr">
        <is>
          <t>BaseHitDamage</t>
        </is>
      </c>
      <c r="L707" s="8" t="inlineStr">
        <is>
          <t>NonCritAvg</t>
        </is>
      </c>
      <c r="M707" s="8" t="inlineStr">
        <is>
          <t>CritAvg</t>
        </is>
      </c>
      <c r="N707" s="8" t="inlineStr">
        <is>
          <t>ExpectedDamage(perHit)</t>
        </is>
      </c>
      <c r="O707" s="8" t="inlineStr">
        <is>
          <t>DPS</t>
        </is>
      </c>
      <c r="P707" s="8" t="inlineStr">
        <is>
          <t>% of Total</t>
        </is>
      </c>
      <c r="Q707" s="8" t="inlineStr">
        <is>
          <t>InvCooldown</t>
        </is>
      </c>
      <c r="R707" s="8" t="inlineStr">
        <is>
          <t>CastsInFight</t>
        </is>
      </c>
      <c r="S707" s="8" t="inlineStr">
        <is>
          <t>HitRate(perSec)</t>
        </is>
      </c>
      <c r="U707" t="inlineStr">
        <is>
          <t>helpers</t>
        </is>
      </c>
    </row>
    <row r="708">
      <c r="A708">
        <f>Skills!A2</f>
        <v/>
      </c>
      <c r="B708">
        <f>Skills!B2</f>
        <v/>
      </c>
      <c r="C708">
        <f>Inputs!$B$3&gt;=100</f>
        <v/>
      </c>
      <c r="D708" t="inlineStr"/>
      <c r="E708" t="inlineStr"/>
      <c r="F708">
        <f>U710+Skills!O2</f>
        <v/>
      </c>
      <c r="G708">
        <f>Skills!G2*IF(Skills!H2&gt;0,Skills!I2/Skills!H2,1)</f>
        <v/>
      </c>
      <c r="H708">
        <f>1-(1-Skills!J2/100)^Skills!K2</f>
        <v/>
      </c>
      <c r="I708" t="inlineStr">
        <is>
          <t>1</t>
        </is>
      </c>
      <c r="J708">
        <f>(Inputs!$B$5*(1+Inputs!$B$6/100))*(F708/100)</f>
        <v/>
      </c>
      <c r="K708">
        <f>J708*(1+((Inputs!$B$11*(1+Inputs!$B$12/100))*0.01+Inputs!$B$13*0.0025)/100)*(1+Inputs!$B$14/100)*(1+IF(Inputs!$B$4="pvp",0,(1-Summary!$B$55)*(Inputs!$B$19+0+Skills!P2+B740)+Summary!$B$55*(Inputs!$B$20+Skills!Q2+B740))/100)*(1+Inputs!$B$15/100)*(5000/(6000+Inputs!$B$7*(1-Inputs!$B$18/100)))*(1+(Inputs!$B$23+((C736=TRUE)*(F736-Calc!F30)))/100)*(1+(IF(Skills!A2="CRUEL_STAB",(Inputs!$B$16+1)+((C733=TRUE)*(F733-Calc!F27)),Inputs!$B$17+((C734=TRUE)*(F734-Calc!F28))))/100)*(((1+(((C727=TRUE)*F727*IF(AND(Inputs!$B$4&lt;&gt;"pvp",Inputs!$B$35&gt;0),(((S727-1)*(Skills!Y21*(1+Inputs!$B$33/100))+MIN((Skills!Y21*(1+Inputs!$B$33/100)),MAX(0,Inputs!$B$35-((S727-1)*Skills!D21))))/Inputs!$B$35),IF(Inputs!$B$4="pvp",MIN((Skills!Y21*(1+Inputs!$B$33/100)),15)/15,(Skills!Y21*(1+Inputs!$B$33/100))/Skills!D21)))+((C729=TRUE)*(F729-Calc!F23))+((C723=TRUE)*(F723-Calc!F17)))/100)*(1+((C716=TRUE)*F716*IF(AND(Inputs!$B$4&lt;&gt;"pvp",Inputs!$B$35&gt;0),(((S716-1)*(Skills!Y10*(1+Inputs!$B$33/100))+MIN((Skills!Y10*(1+Inputs!$B$33/100)),MAX(0,Inputs!$B$35-((S716-1)*Skills!D10))))/Inputs!$B$35),IF(Inputs!$B$4="pvp",MIN((Skills!Y10*(1+Inputs!$B$33/100)),15)/15,(Skills!Y10*(1+Inputs!$B$33/100))/Skills!D10)))/100)*(1+((C721=TRUE)*F721*IF(AND(Inputs!$B$4&lt;&gt;"pvp",Inputs!$B$35&gt;0),(((S721-1)*(Skills!Y15*(1+Inputs!$B$33/100))+MIN((Skills!Y15*(1+Inputs!$B$33/100)),MAX(0,Inputs!$B$35-((S721-1)*Skills!D15))))/Inputs!$B$35),IF(Inputs!$B$4="pvp",MIN((Skills!Y15*(1+Inputs!$B$33/100)),15)/15,(Skills!Y15*(1+Inputs!$B$33/100))/Skills!D15)))/100))*B741*I708)</f>
        <v/>
      </c>
      <c r="L708">
        <f>K708*(MIN(Inputs!$B$21+((C730=TRUE)*(F730-Calc!F24)),Inputs!$B$22+((C735=TRUE)*(F735-Calc!F29)))/100+(Inputs!$B$22+((C735=TRUE)*(F735-Calc!F29)))/100)/2</f>
        <v/>
      </c>
      <c r="M708">
        <f>L708*(1+(Inputs!$B$9+((C732=TRUE)*(F732-Calc!F26))+B746)/100)</f>
        <v/>
      </c>
      <c r="N708">
        <f>L708*(1-MIN((Inputs!$B$8+((C731=TRUE)*(F731-Calc!F25))+B739),100)/100)+M708*(MIN((Inputs!$B$8+((C731=TRUE)*(F731-Calc!F25))+B739),100)/100)</f>
        <v/>
      </c>
      <c r="O708">
        <f>IF(C708,Skills!G2*N708*B745*IF(Inputs!$B$4="pvp",1,(1-Summary!$B$55)*(1)+Summary!$B$55*(MIN((6+Inputs!$B$32),Inputs!$B$37))),0)</f>
        <v/>
      </c>
      <c r="P708">
        <f>IF(B751=0,0,O708/B751)</f>
        <v/>
      </c>
      <c r="Q708" t="n">
        <v>0</v>
      </c>
      <c r="R708" t="n">
        <v>0</v>
      </c>
      <c r="S708">
        <f>IFERROR(O708/N708,0)</f>
        <v/>
      </c>
      <c r="U708">
        <f>MAX(0,(Inputs!$B$3-100)*3)+Inputs!$B$27+Inputs!$B$28</f>
        <v/>
      </c>
    </row>
    <row r="709">
      <c r="A709">
        <f>Skills!A3</f>
        <v/>
      </c>
      <c r="B709">
        <f>Skills!B3</f>
        <v/>
      </c>
      <c r="C709">
        <f>Inputs!$B$3&gt;=35</f>
        <v/>
      </c>
      <c r="D709">
        <f>IF(Skills!C3=1,60+Inputs!$B$24+Inputs!$B$28,IF(Skills!C3=2,90+Inputs!$B$25+Inputs!$B$28,IF(Skills!C3=3,120+Inputs!$B$26+Inputs!$B$28,MAX(0,(Inputs!$B$3-100)*3)+Inputs!$B$27+Inputs!$B$28)))</f>
        <v/>
      </c>
      <c r="E709">
        <f>INDEX(FactorTable!$B$2:$Y$301, MATCH(ROUND(MIN(300,MAX(1,D709)),0), FactorTable!$A$2:$A$301,0), Skills!M3+1)</f>
        <v/>
      </c>
      <c r="F709">
        <f>IF(Skills!N3=TRUE,(Skills!L3/10)*(E709/1000),Skills!L3/10)+Skills!O3</f>
        <v/>
      </c>
      <c r="G709">
        <f>Skills!G3*IF(Skills!H3&gt;0,Skills!I3/Skills!H3,1)</f>
        <v/>
      </c>
      <c r="H709">
        <f>1-(1-Skills!J3/100)^Skills!K3</f>
        <v/>
      </c>
      <c r="I709" t="inlineStr">
        <is>
          <t>1</t>
        </is>
      </c>
      <c r="J709" t="inlineStr"/>
      <c r="K709" t="inlineStr"/>
      <c r="L709" t="inlineStr"/>
      <c r="M709" t="inlineStr"/>
      <c r="N709" t="inlineStr"/>
      <c r="O709" t="n">
        <v>0</v>
      </c>
      <c r="P709">
        <f>IF(B751=0,0,O709/B751)</f>
        <v/>
      </c>
      <c r="Q709" t="n">
        <v>0</v>
      </c>
      <c r="R709" t="n">
        <v>0</v>
      </c>
      <c r="S709">
        <f>IFERROR(O709/N709,0)</f>
        <v/>
      </c>
      <c r="U709">
        <f>INDEX(FactorTable!$B$2:$Y$301, MATCH(ROUND(MIN(300,MAX(1,U708)),0), FactorTable!$A$2:$A$301,0), 22)</f>
        <v/>
      </c>
    </row>
    <row r="710">
      <c r="A710">
        <f>Skills!A4</f>
        <v/>
      </c>
      <c r="B710">
        <f>Skills!B4</f>
        <v/>
      </c>
      <c r="C710">
        <f>Inputs!$B$3&gt;=66</f>
        <v/>
      </c>
      <c r="D710">
        <f>IF(Skills!C4=1,60+Inputs!$B$24+Inputs!$B$28,IF(Skills!C4=2,90+Inputs!$B$25+Inputs!$B$28,IF(Skills!C4=3,120+Inputs!$B$26+Inputs!$B$28,MAX(0,(Inputs!$B$3-100)*3)+Inputs!$B$27+Inputs!$B$28)))</f>
        <v/>
      </c>
      <c r="E710">
        <f>INDEX(FactorTable!$B$2:$Y$301, MATCH(ROUND(MIN(300,MAX(1,D710)),0), FactorTable!$A$2:$A$301,0), Skills!M4+1)</f>
        <v/>
      </c>
      <c r="F710">
        <f>IF(Skills!N4=TRUE,(Skills!L4/10)*(E710/1000),Skills!L4/10)+Skills!O4</f>
        <v/>
      </c>
      <c r="G710">
        <f>Skills!G4*IF(Skills!H4&gt;0,Skills!I4/Skills!H4,1)</f>
        <v/>
      </c>
      <c r="H710">
        <f>1-(1-Skills!J4/100)^Skills!K4</f>
        <v/>
      </c>
      <c r="I710" t="inlineStr">
        <is>
          <t>1</t>
        </is>
      </c>
      <c r="J710">
        <f>(Inputs!$B$5*(1+Inputs!$B$6/100))*(F710/100)</f>
        <v/>
      </c>
      <c r="K710">
        <f>J710*(1+((Inputs!$B$11*(1+Inputs!$B$12/100))*0.01+Inputs!$B$13*0.0025)/100)*(1+Inputs!$B$14/100)*(1+IF(Inputs!$B$4="pvp",0,(1-Summary!$B$55)*(Inputs!$B$19+0+Skills!P4+B740)+Summary!$B$55*(Inputs!$B$20+Skills!Q4+B740))/100)*(1+Inputs!$B$15/100)*(5000/(6000+Inputs!$B$7*(1-Inputs!$B$18/100)))*(1+(Inputs!$B$23+((C736=TRUE)*(F736-Calc!F30)))/100)*(1+(IF(Skills!A4="CRUEL_STAB",(Inputs!$B$16+1)+((C733=TRUE)*(F733-Calc!F27)),Inputs!$B$17+((C734=TRUE)*(F734-Calc!F28))))/100)*(((1+(((C727=TRUE)*F727*IF(AND(Inputs!$B$4&lt;&gt;"pvp",Inputs!$B$35&gt;0),(((S727-1)*(Skills!Y21*(1+Inputs!$B$33/100))+MIN((Skills!Y21*(1+Inputs!$B$33/100)),MAX(0,Inputs!$B$35-((S727-1)*Skills!D21))))/Inputs!$B$35),IF(Inputs!$B$4="pvp",MIN((Skills!Y21*(1+Inputs!$B$33/100)),15)/15,(Skills!Y21*(1+Inputs!$B$33/100))/Skills!D21)))+((C729=TRUE)*(F729-Calc!F23))+((C723=TRUE)*(F723-Calc!F17)))/100)*(1+((C716=TRUE)*F716*IF(AND(Inputs!$B$4&lt;&gt;"pvp",Inputs!$B$35&gt;0),(((S716-1)*(Skills!Y10*(1+Inputs!$B$33/100))+MIN((Skills!Y10*(1+Inputs!$B$33/100)),MAX(0,Inputs!$B$35-((S716-1)*Skills!D10))))/Inputs!$B$35),IF(Inputs!$B$4="pvp",MIN((Skills!Y10*(1+Inputs!$B$33/100)),15)/15,(Skills!Y10*(1+Inputs!$B$33/100))/Skills!D10)))/100)*(1+((C721=TRUE)*F721*IF(AND(Inputs!$B$4&lt;&gt;"pvp",Inputs!$B$35&gt;0),(((S721-1)*(Skills!Y15*(1+Inputs!$B$33/100))+MIN((Skills!Y15*(1+Inputs!$B$33/100)),MAX(0,Inputs!$B$35-((S721-1)*Skills!D15))))/Inputs!$B$35),IF(Inputs!$B$4="pvp",MIN((Skills!Y15*(1+Inputs!$B$33/100)),15)/15,(Skills!Y15*(1+Inputs!$B$33/100))/Skills!D15)))/100))*B741*I710)</f>
        <v/>
      </c>
      <c r="L710">
        <f>K710*(MIN(Inputs!$B$21+((C730=TRUE)*(F730-Calc!F24)),Inputs!$B$22+((C735=TRUE)*(F735-Calc!F29)))/100+(Inputs!$B$22+((C735=TRUE)*(F735-Calc!F29)))/100)/2</f>
        <v/>
      </c>
      <c r="M710">
        <f>L710*(1+(Inputs!$B$9+((C732=TRUE)*(F732-Calc!F26))+B746)/100)</f>
        <v/>
      </c>
      <c r="N710">
        <f>L710*(1-MIN((Inputs!$B$8+((C731=TRUE)*(F731-Calc!F25))+B739),100)/100)+M710*(MIN((Inputs!$B$8+((C731=TRUE)*(F731-Calc!F25))+B739),100)/100)</f>
        <v/>
      </c>
      <c r="O710">
        <f>IF(C710,H710*N710*IF(AND(Inputs!$B$4&lt;&gt;"pvp",Inputs!$B$35&gt;0),((Skills!G4*((R710-1)*IF(Skills!H4&gt;0,Skills!I4/Skills!H4,1)+IF(Skills!H4&gt;0,MIN(Skills!I4,MAX(0,Inputs!$B$35-((R710-1)*IF(Inputs!$B$4="pvp",15,MAX(0.1,Skills!D4-IF(Skills!E4=TRUE,Inputs!$B$31,0))))))/Skills!H4,1)))/Inputs!$B$35),G710*Q710)*IF(Inputs!$B$4="pvp",1,(1-Summary!$B$55)*(1)+Summary!$B$55*(MIN(MIN(10,0.5*B743*Skills!D4),Inputs!$B$37))),0)</f>
        <v/>
      </c>
      <c r="P710">
        <f>IF(B751=0,0,O710/B751)</f>
        <v/>
      </c>
      <c r="Q710">
        <f>IFERROR(1/IF(Inputs!$B$4="pvp",15,MAX(0.1,Skills!D4-IF(Skills!E4=TRUE,Inputs!$B$31,0))),0)</f>
        <v/>
      </c>
      <c r="R710">
        <f>IF(AND(Inputs!$B$4&lt;&gt;"pvp",Inputs!$B$35&gt;0),(INT(Inputs!$B$35/IF(Inputs!$B$4="pvp",15,MAX(0.1,Skills!D4-IF(Skills!E4=TRUE,Inputs!$B$31,0))))+1),0)</f>
        <v/>
      </c>
      <c r="S710">
        <f>IFERROR(O710/N710,0)</f>
        <v/>
      </c>
      <c r="U710">
        <f>290*U709/1000</f>
        <v/>
      </c>
    </row>
    <row r="711">
      <c r="A711">
        <f>Skills!A5</f>
        <v/>
      </c>
      <c r="B711">
        <f>Skills!B5</f>
        <v/>
      </c>
      <c r="C711">
        <f>Inputs!$B$3&gt;=63</f>
        <v/>
      </c>
      <c r="D711">
        <f>IF(Skills!C5=1,60+Inputs!$B$24+Inputs!$B$28,IF(Skills!C5=2,90+Inputs!$B$25+Inputs!$B$28,IF(Skills!C5=3,120+Inputs!$B$26+Inputs!$B$28,MAX(0,(Inputs!$B$3-100)*3)+Inputs!$B$27+Inputs!$B$28)))</f>
        <v/>
      </c>
      <c r="E711">
        <f>INDEX(FactorTable!$B$2:$Y$301, MATCH(ROUND(MIN(300,MAX(1,D711)),0), FactorTable!$A$2:$A$301,0), Skills!M5+1)</f>
        <v/>
      </c>
      <c r="F711">
        <f>IF(Skills!N5=TRUE,(Skills!L5/10)*(E711/1000),Skills!L5/10)+Skills!O5</f>
        <v/>
      </c>
      <c r="G711">
        <f>Skills!G5*IF(Skills!H5&gt;0,Skills!I5/Skills!H5,1)</f>
        <v/>
      </c>
      <c r="H711">
        <f>1-(1-Skills!J5/100)^Skills!K5</f>
        <v/>
      </c>
      <c r="I711" t="inlineStr">
        <is>
          <t>1</t>
        </is>
      </c>
      <c r="J711">
        <f>(Inputs!$B$5*(1+Inputs!$B$6/100))*(F711/100)</f>
        <v/>
      </c>
      <c r="K711">
        <f>J711*(1+((Inputs!$B$11*(1+Inputs!$B$12/100))*0.01+Inputs!$B$13*0.0025)/100)*(1+Inputs!$B$14/100)*(1+IF(Inputs!$B$4="pvp",0,(1-Summary!$B$55)*(Inputs!$B$19+0+Skills!P5+B740)+Summary!$B$55*(Inputs!$B$20+Skills!Q5+B740))/100)*(1+Inputs!$B$15/100)*(5000/(6000+Inputs!$B$7*(1-Inputs!$B$18/100)))*(1+(Inputs!$B$23+((C736=TRUE)*(F736-Calc!F30)))/100)*(1+2.6666666666666665*IF(C724=TRUE,F724,0)/100)*(1+(IF(Skills!A5="CRUEL_STAB",(Inputs!$B$16+1)+((C733=TRUE)*(F733-Calc!F27)),Inputs!$B$17+((C734=TRUE)*(F734-Calc!F28))))/100)*(((1+(((C727=TRUE)*F727*IF(AND(Inputs!$B$4&lt;&gt;"pvp",Inputs!$B$35&gt;0),(((S727-1)*(Skills!Y21*(1+Inputs!$B$33/100))+MIN((Skills!Y21*(1+Inputs!$B$33/100)),MAX(0,Inputs!$B$35-((S727-1)*Skills!D21))))/Inputs!$B$35),IF(Inputs!$B$4="pvp",MIN((Skills!Y21*(1+Inputs!$B$33/100)),15)/15,(Skills!Y21*(1+Inputs!$B$33/100))/Skills!D21)))+((C729=TRUE)*(F729-Calc!F23))+((C723=TRUE)*(F723-Calc!F17)))/100)*(1+((C716=TRUE)*F716*IF(AND(Inputs!$B$4&lt;&gt;"pvp",Inputs!$B$35&gt;0),(((S716-1)*(Skills!Y10*(1+Inputs!$B$33/100))+MIN((Skills!Y10*(1+Inputs!$B$33/100)),MAX(0,Inputs!$B$35-((S716-1)*Skills!D10))))/Inputs!$B$35),IF(Inputs!$B$4="pvp",MIN((Skills!Y10*(1+Inputs!$B$33/100)),15)/15,(Skills!Y10*(1+Inputs!$B$33/100))/Skills!D10)))/100)*(1+((C721=TRUE)*F721*IF(AND(Inputs!$B$4&lt;&gt;"pvp",Inputs!$B$35&gt;0),(((S721-1)*(Skills!Y15*(1+Inputs!$B$33/100))+MIN((Skills!Y15*(1+Inputs!$B$33/100)),MAX(0,Inputs!$B$35-((S721-1)*Skills!D15))))/Inputs!$B$35),IF(Inputs!$B$4="pvp",MIN((Skills!Y15*(1+Inputs!$B$33/100)),15)/15,(Skills!Y15*(1+Inputs!$B$33/100))/Skills!D15)))/100))*B741*I711)</f>
        <v/>
      </c>
      <c r="L711">
        <f>K711*(MIN(Inputs!$B$21+((C730=TRUE)*(F730-Calc!F24)),Inputs!$B$22+((C735=TRUE)*(F735-Calc!F29)))/100+(Inputs!$B$22+((C735=TRUE)*(F735-Calc!F29)))/100)/2</f>
        <v/>
      </c>
      <c r="M711">
        <f>L711*(1+(Inputs!$B$9+((C732=TRUE)*(F732-Calc!F26))+B746)/100)</f>
        <v/>
      </c>
      <c r="N711">
        <f>L711*(1-MIN((Inputs!$B$8+((C731=TRUE)*(F731-Calc!F25))+B739),100)/100)+M711*(MIN((Inputs!$B$8+((C731=TRUE)*(F731-Calc!F25))+B739),100)/100)</f>
        <v/>
      </c>
      <c r="O711">
        <f>IF(C711,H711*N711*IF(AND(Inputs!$B$4&lt;&gt;"pvp",Inputs!$B$35&gt;0),((Skills!G5*((R711-1)*IF(Skills!H5&gt;0,Skills!I5/Skills!H5,1)+IF(Skills!H5&gt;0,MIN(Skills!I5,MAX(0,Inputs!$B$35-((R711-1)*IF(Inputs!$B$4="pvp",15,MAX(0.1,Skills!D5-IF(Skills!E5=TRUE,Inputs!$B$31,0))))))/Skills!H5,1)))/Inputs!$B$35),G711*Q711)*IF(Inputs!$B$4="pvp",1,(1-Summary!$B$55)*(1)+Summary!$B$55*(MIN(Skills!W5,Inputs!$B$37))),0)</f>
        <v/>
      </c>
      <c r="P711">
        <f>IF(B751=0,0,O711/B751)</f>
        <v/>
      </c>
      <c r="Q711">
        <f>IFERROR(1/IF(Inputs!$B$4="pvp",15,MAX(0.1,Skills!D5-IF(Skills!E5=TRUE,Inputs!$B$31,0))),0)</f>
        <v/>
      </c>
      <c r="R711">
        <f>IF(AND(Inputs!$B$4&lt;&gt;"pvp",Inputs!$B$35&gt;0),(INT(Inputs!$B$35/IF(Inputs!$B$4="pvp",15,MAX(0.1,Skills!D5-IF(Skills!E5=TRUE,Inputs!$B$31,0))))+1),0)</f>
        <v/>
      </c>
      <c r="S711">
        <f>IFERROR(O711/N711,0)</f>
        <v/>
      </c>
    </row>
    <row r="712">
      <c r="A712">
        <f>Skills!A6</f>
        <v/>
      </c>
      <c r="B712">
        <f>Skills!B6</f>
        <v/>
      </c>
      <c r="C712">
        <f>Inputs!$B$3&gt;=69</f>
        <v/>
      </c>
      <c r="D712">
        <f>IF(Skills!C6=1,60+Inputs!$B$24+Inputs!$B$28,IF(Skills!C6=2,90+Inputs!$B$25+Inputs!$B$28,IF(Skills!C6=3,120+Inputs!$B$26+Inputs!$B$28,MAX(0,(Inputs!$B$3-100)*3)+Inputs!$B$27+Inputs!$B$28)))</f>
        <v/>
      </c>
      <c r="E712">
        <f>INDEX(FactorTable!$B$2:$Y$301, MATCH(ROUND(MIN(300,MAX(1,D712)),0), FactorTable!$A$2:$A$301,0), Skills!M6+1)</f>
        <v/>
      </c>
      <c r="F712">
        <f>IF(Skills!N6=TRUE,(Skills!L6/10)*(E712/1000),Skills!L6/10)+Skills!O6</f>
        <v/>
      </c>
      <c r="G712">
        <f>Skills!G6*IF(Skills!H6&gt;0,Skills!I6/Skills!H6,1)</f>
        <v/>
      </c>
      <c r="H712">
        <f>1-(1-Skills!J6/100)^Skills!K6</f>
        <v/>
      </c>
      <c r="I712" t="inlineStr">
        <is>
          <t>1</t>
        </is>
      </c>
      <c r="J712">
        <f>(Inputs!$B$5*(1+Inputs!$B$6/100))*(F712/100)</f>
        <v/>
      </c>
      <c r="K712">
        <f>J712*(1+((Inputs!$B$11*(1+Inputs!$B$12/100))*0.01+Inputs!$B$13*0.0025)/100)*(1+Inputs!$B$14/100)*(1+IF(Inputs!$B$4="pvp",0,(1-Summary!$B$55)*(Inputs!$B$19+0+Skills!P6+B740)+Summary!$B$55*(Inputs!$B$20+Skills!Q6+B740))/100)*(1+Inputs!$B$15/100)*(5000/(6000+Inputs!$B$7*(1-Inputs!$B$18/100)))*(1+(Inputs!$B$23+((C736=TRUE)*(F736-Calc!F30)))/100)*(1+1.0*IF(C724=TRUE,F724,0)/100)*(1+(IF(Skills!A6="CRUEL_STAB",(Inputs!$B$16+1)+((C733=TRUE)*(F733-Calc!F27)),Inputs!$B$17+((C734=TRUE)*(F734-Calc!F28))))/100)*(((1+(((C727=TRUE)*F727*IF(AND(Inputs!$B$4&lt;&gt;"pvp",Inputs!$B$35&gt;0),(((S727-1)*(Skills!Y21*(1+Inputs!$B$33/100))+MIN((Skills!Y21*(1+Inputs!$B$33/100)),MAX(0,Inputs!$B$35-((S727-1)*Skills!D21))))/Inputs!$B$35),IF(Inputs!$B$4="pvp",MIN((Skills!Y21*(1+Inputs!$B$33/100)),15)/15,(Skills!Y21*(1+Inputs!$B$33/100))/Skills!D21)))+((C729=TRUE)*(F729-Calc!F23))+((C723=TRUE)*(F723-Calc!F17)))/100)*(1+((C716=TRUE)*F716*IF(AND(Inputs!$B$4&lt;&gt;"pvp",Inputs!$B$35&gt;0),(((S716-1)*(Skills!Y10*(1+Inputs!$B$33/100))+MIN((Skills!Y10*(1+Inputs!$B$33/100)),MAX(0,Inputs!$B$35-((S716-1)*Skills!D10))))/Inputs!$B$35),IF(Inputs!$B$4="pvp",MIN((Skills!Y10*(1+Inputs!$B$33/100)),15)/15,(Skills!Y10*(1+Inputs!$B$33/100))/Skills!D10)))/100)*(1+((C721=TRUE)*F721*IF(AND(Inputs!$B$4&lt;&gt;"pvp",Inputs!$B$35&gt;0),(((S721-1)*(Skills!Y15*(1+Inputs!$B$33/100))+MIN((Skills!Y15*(1+Inputs!$B$33/100)),MAX(0,Inputs!$B$35-((S721-1)*Skills!D15))))/Inputs!$B$35),IF(Inputs!$B$4="pvp",MIN((Skills!Y15*(1+Inputs!$B$33/100)),15)/15,(Skills!Y15*(1+Inputs!$B$33/100))/Skills!D15)))/100))*B741*I712)</f>
        <v/>
      </c>
      <c r="L712">
        <f>K712*(MIN(Inputs!$B$21+((C730=TRUE)*(F730-Calc!F24)),Inputs!$B$22+((C735=TRUE)*(F735-Calc!F29)))/100+(Inputs!$B$22+((C735=TRUE)*(F735-Calc!F29)))/100)/2</f>
        <v/>
      </c>
      <c r="M712">
        <f>L712*(1+(Inputs!$B$9+((C732=TRUE)*(F732-Calc!F26))+B746)/100)</f>
        <v/>
      </c>
      <c r="N712">
        <f>L712*(1-MIN((Inputs!$B$8+((C731=TRUE)*(F731-Calc!F25))+B739),100)/100)+M712*(MIN((Inputs!$B$8+((C731=TRUE)*(F731-Calc!F25))+B739),100)/100)</f>
        <v/>
      </c>
      <c r="O712">
        <f>IF(C712,H712*N712*IF(AND(Inputs!$B$4&lt;&gt;"pvp",Inputs!$B$35&gt;0),((Skills!G6*((R712-1)*IF(Skills!H6&gt;0,Skills!I6/Skills!H6,1)+IF(Skills!H6&gt;0,MIN(Skills!I6,MAX(0,Inputs!$B$35-((R712-1)*IF(Inputs!$B$4="pvp",15,MAX(0.1,Skills!D6-IF(Skills!E6=TRUE,Inputs!$B$31,0))))))/Skills!H6,1)))/Inputs!$B$35),G712*Q712)*IF(Inputs!$B$4="pvp",1,(1-Summary!$B$55)*(1)+Summary!$B$55*(MIN(Skills!W6,Inputs!$B$37))),0)</f>
        <v/>
      </c>
      <c r="P712">
        <f>IF(B751=0,0,O712/B751)</f>
        <v/>
      </c>
      <c r="Q712">
        <f>IFERROR(1/IF(Inputs!$B$4="pvp",15,MAX(0.1,Skills!D6-IF(Skills!E6=TRUE,Inputs!$B$31,0))),0)</f>
        <v/>
      </c>
      <c r="R712">
        <f>IF(AND(Inputs!$B$4&lt;&gt;"pvp",Inputs!$B$35&gt;0),(INT(Inputs!$B$35/IF(Inputs!$B$4="pvp",15,MAX(0.1,Skills!D6-IF(Skills!E6=TRUE,Inputs!$B$31,0))))+1),0)</f>
        <v/>
      </c>
      <c r="S712">
        <f>IFERROR(O712/N712,0)</f>
        <v/>
      </c>
    </row>
    <row r="713">
      <c r="A713">
        <f>Skills!A7</f>
        <v/>
      </c>
      <c r="B713">
        <f>Skills!B7</f>
        <v/>
      </c>
      <c r="C713">
        <f>Inputs!$B$3&gt;=60</f>
        <v/>
      </c>
      <c r="D713">
        <f>IF(Skills!C7=1,60+Inputs!$B$24+Inputs!$B$28,IF(Skills!C7=2,90+Inputs!$B$25+Inputs!$B$28,IF(Skills!C7=3,120+Inputs!$B$26+Inputs!$B$28,MAX(0,(Inputs!$B$3-100)*3)+Inputs!$B$27+Inputs!$B$28)))</f>
        <v/>
      </c>
      <c r="E713">
        <f>INDEX(FactorTable!$B$2:$Y$301, MATCH(ROUND(MIN(300,MAX(1,D713)),0), FactorTable!$A$2:$A$301,0), Skills!M7+1)</f>
        <v/>
      </c>
      <c r="F713">
        <f>IF(Skills!N7=TRUE,(Skills!L7/10)*(E713/1000),Skills!L7/10)+Skills!O7</f>
        <v/>
      </c>
      <c r="G713">
        <f>Skills!G7*IF(Skills!H7&gt;0,Skills!I7/Skills!H7,1)</f>
        <v/>
      </c>
      <c r="H713">
        <f>1-(1-Skills!J7/100)^Skills!K7</f>
        <v/>
      </c>
      <c r="I713" t="inlineStr">
        <is>
          <t>1</t>
        </is>
      </c>
      <c r="J713" t="inlineStr"/>
      <c r="K713" t="inlineStr"/>
      <c r="L713" t="inlineStr"/>
      <c r="M713" t="inlineStr"/>
      <c r="N713" t="inlineStr"/>
      <c r="O713" t="n">
        <v>0</v>
      </c>
      <c r="P713">
        <f>IF(B751=0,0,O713/B751)</f>
        <v/>
      </c>
      <c r="Q713" t="n">
        <v>0</v>
      </c>
      <c r="R713" t="n">
        <v>0</v>
      </c>
      <c r="S713">
        <f>IFERROR(O713/N713,0)</f>
        <v/>
      </c>
    </row>
    <row r="714">
      <c r="A714">
        <f>Skills!A8</f>
        <v/>
      </c>
      <c r="B714">
        <f>Skills!B8</f>
        <v/>
      </c>
      <c r="C714">
        <f>Inputs!$B$3&gt;=72</f>
        <v/>
      </c>
      <c r="D714">
        <f>IF(Skills!C8=1,60+Inputs!$B$24+Inputs!$B$28,IF(Skills!C8=2,90+Inputs!$B$25+Inputs!$B$28,IF(Skills!C8=3,120+Inputs!$B$26+Inputs!$B$28,MAX(0,(Inputs!$B$3-100)*3)+Inputs!$B$27+Inputs!$B$28)))</f>
        <v/>
      </c>
      <c r="E714">
        <f>INDEX(FactorTable!$B$2:$Y$301, MATCH(ROUND(MIN(300,MAX(1,D714)),0), FactorTable!$A$2:$A$301,0), Skills!M8+1)</f>
        <v/>
      </c>
      <c r="F714">
        <f>IF(Skills!N8=TRUE,(Skills!L8/10)*(E714/1000),Skills!L8/10)+Skills!O8</f>
        <v/>
      </c>
      <c r="G714">
        <f>Skills!G8*IF(Skills!H8&gt;0,Skills!I8/Skills!H8,1)</f>
        <v/>
      </c>
      <c r="H714">
        <f>1-(1-Skills!J8/100)^Skills!K8</f>
        <v/>
      </c>
      <c r="I714" t="inlineStr">
        <is>
          <t>1</t>
        </is>
      </c>
      <c r="J714">
        <f>(Inputs!$B$5*(1+Inputs!$B$6/100))*(F714/100)</f>
        <v/>
      </c>
      <c r="K714">
        <f>J714*(1+((Inputs!$B$11*(1+Inputs!$B$12/100))*0.01+Inputs!$B$13*0.0025)/100)*(1+Inputs!$B$14/100)*(1+IF(Inputs!$B$4="pvp",0,(1-Summary!$B$55)*(Inputs!$B$19+0+Skills!P8+B740)+Summary!$B$55*(Inputs!$B$20+Skills!Q8+B740))/100)*(1+Inputs!$B$15/100)*(5000/(6000+Inputs!$B$7*(1-Inputs!$B$18/100)))*(1+(Inputs!$B$23+((C736=TRUE)*(F736-Calc!F30)))/100)*(1+3.3333333333333335*IF(C724=TRUE,F724,0)/100)*(1+(IF(Skills!A8="CRUEL_STAB",(Inputs!$B$16+1)+((C733=TRUE)*(F733-Calc!F27)),Inputs!$B$17+((C734=TRUE)*(F734-Calc!F28))))/100)*(((1+(((C727=TRUE)*F727*IF(AND(Inputs!$B$4&lt;&gt;"pvp",Inputs!$B$35&gt;0),(((S727-1)*(Skills!Y21*(1+Inputs!$B$33/100))+MIN((Skills!Y21*(1+Inputs!$B$33/100)),MAX(0,Inputs!$B$35-((S727-1)*Skills!D21))))/Inputs!$B$35),IF(Inputs!$B$4="pvp",MIN((Skills!Y21*(1+Inputs!$B$33/100)),15)/15,(Skills!Y21*(1+Inputs!$B$33/100))/Skills!D21)))+((C729=TRUE)*(F729-Calc!F23))+((C723=TRUE)*(F723-Calc!F17)))/100)*(1+((C716=TRUE)*F716*IF(AND(Inputs!$B$4&lt;&gt;"pvp",Inputs!$B$35&gt;0),(((S716-1)*(Skills!Y10*(1+Inputs!$B$33/100))+MIN((Skills!Y10*(1+Inputs!$B$33/100)),MAX(0,Inputs!$B$35-((S716-1)*Skills!D10))))/Inputs!$B$35),IF(Inputs!$B$4="pvp",MIN((Skills!Y10*(1+Inputs!$B$33/100)),15)/15,(Skills!Y10*(1+Inputs!$B$33/100))/Skills!D10)))/100)*(1+((C721=TRUE)*F721*IF(AND(Inputs!$B$4&lt;&gt;"pvp",Inputs!$B$35&gt;0),(((S721-1)*(Skills!Y15*(1+Inputs!$B$33/100))+MIN((Skills!Y15*(1+Inputs!$B$33/100)),MAX(0,Inputs!$B$35-((S721-1)*Skills!D15))))/Inputs!$B$35),IF(Inputs!$B$4="pvp",MIN((Skills!Y15*(1+Inputs!$B$33/100)),15)/15,(Skills!Y15*(1+Inputs!$B$33/100))/Skills!D15)))/100))*B741*I714)</f>
        <v/>
      </c>
      <c r="L714">
        <f>K714*(MIN(Inputs!$B$21+((C730=TRUE)*(F730-Calc!F24)),Inputs!$B$22+((C735=TRUE)*(F735-Calc!F29)))/100+(Inputs!$B$22+((C735=TRUE)*(F735-Calc!F29)))/100)/2</f>
        <v/>
      </c>
      <c r="M714">
        <f>L714*(1+(Inputs!$B$9+((C732=TRUE)*(F732-Calc!F26))+B746)/100)</f>
        <v/>
      </c>
      <c r="N714">
        <f>L714*(1-MIN((Inputs!$B$8+((C731=TRUE)*(F731-Calc!F25))+B739),100)/100)+M714*(MIN((Inputs!$B$8+((C731=TRUE)*(F731-Calc!F25))+B739),100)/100)</f>
        <v/>
      </c>
      <c r="O714">
        <f>IF(C714,H714*N714*IF(AND(Inputs!$B$4&lt;&gt;"pvp",Inputs!$B$35&gt;0),((Skills!G8*((R714-1)*IF(Skills!H8&gt;0,Skills!I8/Skills!H8,1)+IF(Skills!H8&gt;0,MIN(Skills!I8,MAX(0,Inputs!$B$35-((R714-1)*IF(Inputs!$B$4="pvp",15,MAX(0.1,Skills!D8-IF(Skills!E8=TRUE,Inputs!$B$31,0))))))/Skills!H8,1)))/Inputs!$B$35),G714*Q714)*IF(Inputs!$B$4="pvp",1,(1-Summary!$B$55)*(1)+Summary!$B$55*(MIN(Skills!W8,Inputs!$B$37))),0)</f>
        <v/>
      </c>
      <c r="P714">
        <f>IF(B751=0,0,O714/B751)</f>
        <v/>
      </c>
      <c r="Q714">
        <f>IFERROR(1/IF(Inputs!$B$4="pvp",15,MAX(0.1,Skills!D8-IF(Skills!E8=TRUE,Inputs!$B$31,0))),0)</f>
        <v/>
      </c>
      <c r="R714">
        <f>IF(AND(Inputs!$B$4&lt;&gt;"pvp",Inputs!$B$35&gt;0),(INT(Inputs!$B$35/IF(Inputs!$B$4="pvp",15,MAX(0.1,Skills!D8-IF(Skills!E8=TRUE,Inputs!$B$31,0))))+1),0)</f>
        <v/>
      </c>
      <c r="S714">
        <f>IFERROR(O714/N714,0)</f>
        <v/>
      </c>
    </row>
    <row r="715">
      <c r="A715">
        <f>Skills!A9</f>
        <v/>
      </c>
      <c r="B715">
        <f>Skills!B9</f>
        <v/>
      </c>
      <c r="C715">
        <f>Inputs!$B$3&gt;=117</f>
        <v/>
      </c>
      <c r="D715">
        <f>IF(Skills!C9=1,60+Inputs!$B$24+Inputs!$B$28,IF(Skills!C9=2,90+Inputs!$B$25+Inputs!$B$28,IF(Skills!C9=3,120+Inputs!$B$26+Inputs!$B$28,MAX(0,(Inputs!$B$3-100)*3)+Inputs!$B$27+Inputs!$B$28)))</f>
        <v/>
      </c>
      <c r="E715">
        <f>INDEX(FactorTable!$B$2:$Y$301, MATCH(ROUND(MIN(300,MAX(1,D715)),0), FactorTable!$A$2:$A$301,0), Skills!M9+1)</f>
        <v/>
      </c>
      <c r="F715">
        <f>IF(Skills!N9=TRUE,(Skills!L9/10)*(E715/1000),Skills!L9/10)+Skills!O9</f>
        <v/>
      </c>
      <c r="G715">
        <f>Skills!G9*IF(Skills!H9&gt;0,Skills!I9/Skills!H9,1)</f>
        <v/>
      </c>
      <c r="H715">
        <f>1-(1-Skills!J9/100)^Skills!K9</f>
        <v/>
      </c>
      <c r="I715" t="inlineStr">
        <is>
          <t>1</t>
        </is>
      </c>
      <c r="J715">
        <f>(Inputs!$B$5*(1+Inputs!$B$6/100))*(F715/100)</f>
        <v/>
      </c>
      <c r="K715">
        <f>J715*(1+((Inputs!$B$11*(1+Inputs!$B$12/100))*0.01+Inputs!$B$13*0.0025)/100)*(1+Inputs!$B$14/100)*(1+IF(Inputs!$B$4="pvp",0,(1-Summary!$B$55)*(Inputs!$B$19+0+Skills!P9+B740)+Summary!$B$55*(Inputs!$B$20+Skills!Q9+B740))/100)*(1+Inputs!$B$15/100)*(5000/(6000+Inputs!$B$7*(1-Inputs!$B$18/100)))*(1+(Inputs!$B$23+((C736=TRUE)*(F736-Calc!F30)))/100)*(1+(IF(Skills!A9="CRUEL_STAB",(Inputs!$B$16+1)+((C733=TRUE)*(F733-Calc!F27)),Inputs!$B$17+((C734=TRUE)*(F734-Calc!F28))))/100)*(((1+(((C727=TRUE)*F727*IF(AND(Inputs!$B$4&lt;&gt;"pvp",Inputs!$B$35&gt;0),(((S727-1)*(Skills!Y21*(1+Inputs!$B$33/100))+MIN((Skills!Y21*(1+Inputs!$B$33/100)),MAX(0,Inputs!$B$35-((S727-1)*Skills!D21))))/Inputs!$B$35),IF(Inputs!$B$4="pvp",MIN((Skills!Y21*(1+Inputs!$B$33/100)),15)/15,(Skills!Y21*(1+Inputs!$B$33/100))/Skills!D21)))+((C729=TRUE)*(F729-Calc!F23))+((C723=TRUE)*(F723-Calc!F17)))/100)*(1+((C716=TRUE)*F716*IF(AND(Inputs!$B$4&lt;&gt;"pvp",Inputs!$B$35&gt;0),(((S716-1)*(Skills!Y10*(1+Inputs!$B$33/100))+MIN((Skills!Y10*(1+Inputs!$B$33/100)),MAX(0,Inputs!$B$35-((S716-1)*Skills!D10))))/Inputs!$B$35),IF(Inputs!$B$4="pvp",MIN((Skills!Y10*(1+Inputs!$B$33/100)),15)/15,(Skills!Y10*(1+Inputs!$B$33/100))/Skills!D10)))/100)*(1+((C721=TRUE)*F721*IF(AND(Inputs!$B$4&lt;&gt;"pvp",Inputs!$B$35&gt;0),(((S721-1)*(Skills!Y15*(1+Inputs!$B$33/100))+MIN((Skills!Y15*(1+Inputs!$B$33/100)),MAX(0,Inputs!$B$35-((S721-1)*Skills!D15))))/Inputs!$B$35),IF(Inputs!$B$4="pvp",MIN((Skills!Y15*(1+Inputs!$B$33/100)),15)/15,(Skills!Y15*(1+Inputs!$B$33/100))/Skills!D15)))/100))*B741*I715)</f>
        <v/>
      </c>
      <c r="L715">
        <f>K715*(MIN(Inputs!$B$21+((C730=TRUE)*(F730-Calc!F24)),Inputs!$B$22+((C735=TRUE)*(F735-Calc!F29)))/100+(Inputs!$B$22+((C735=TRUE)*(F735-Calc!F29)))/100)/2</f>
        <v/>
      </c>
      <c r="M715">
        <f>L715*(1+(Inputs!$B$9+((C732=TRUE)*(F732-Calc!F26))+B746)/100)</f>
        <v/>
      </c>
      <c r="N715">
        <f>L715*(1-MIN((Inputs!$B$8+((C731=TRUE)*(F731-Calc!F25))+B739),100)/100)+M715*(MIN((Inputs!$B$8+((C731=TRUE)*(F731-Calc!F25))+B739),100)/100)</f>
        <v/>
      </c>
      <c r="O715">
        <f>IF(C715,0.2*SUMPRODUCT((Skills!Z2:Z30=TRUE)*(C708:C736=TRUE)*S708:S736)*N715,0)</f>
        <v/>
      </c>
      <c r="P715">
        <f>IF(B751=0,0,O715/B751)</f>
        <v/>
      </c>
      <c r="Q715" t="n">
        <v>0</v>
      </c>
      <c r="R715" t="n">
        <v>0</v>
      </c>
      <c r="S715" t="n">
        <v>0</v>
      </c>
    </row>
    <row r="716">
      <c r="A716">
        <f>Skills!A10</f>
        <v/>
      </c>
      <c r="B716">
        <f>Skills!B10</f>
        <v/>
      </c>
      <c r="C716">
        <f>Inputs!$B$3&gt;=74</f>
        <v/>
      </c>
      <c r="D716">
        <f>IF(Skills!C10=1,60+Inputs!$B$24+Inputs!$B$28,IF(Skills!C10=2,90+Inputs!$B$25+Inputs!$B$28,IF(Skills!C10=3,120+Inputs!$B$26+Inputs!$B$28,MAX(0,(Inputs!$B$3-100)*3)+Inputs!$B$27+Inputs!$B$28)))</f>
        <v/>
      </c>
      <c r="E716">
        <f>INDEX(FactorTable!$B$2:$Y$301, MATCH(ROUND(MIN(300,MAX(1,D716)),0), FactorTable!$A$2:$A$301,0), Skills!M10+1)</f>
        <v/>
      </c>
      <c r="F716">
        <f>IF(Skills!N10=TRUE,(Skills!L10/10)*(E716/1000),Skills!L10/10)+Skills!O10</f>
        <v/>
      </c>
      <c r="G716">
        <f>Skills!G10*IF(Skills!H10&gt;0,Skills!I10/Skills!H10,1)</f>
        <v/>
      </c>
      <c r="H716">
        <f>1-(1-Skills!J10/100)^Skills!K10</f>
        <v/>
      </c>
      <c r="I716" t="inlineStr">
        <is>
          <t>1</t>
        </is>
      </c>
      <c r="J716" t="inlineStr"/>
      <c r="K716" t="inlineStr"/>
      <c r="L716" t="inlineStr"/>
      <c r="M716" t="inlineStr"/>
      <c r="N716" t="inlineStr"/>
      <c r="O716" t="n">
        <v>0</v>
      </c>
      <c r="P716">
        <f>IF(B751=0,0,O716/B751)</f>
        <v/>
      </c>
      <c r="Q716">
        <f>IFERROR(1/IF(Inputs!$B$4="pvp",15,MAX(0.1,Skills!D10-IF(Skills!E10=TRUE,Inputs!$B$31,0))),0)</f>
        <v/>
      </c>
      <c r="R716">
        <f>IF(AND(Inputs!$B$4&lt;&gt;"pvp",Inputs!$B$35&gt;0),(INT(Inputs!$B$35/IF(Inputs!$B$4="pvp",15,MAX(0.1,Skills!D10-IF(Skills!E10=TRUE,Inputs!$B$31,0))))+1),0)</f>
        <v/>
      </c>
      <c r="S716">
        <f>IFERROR(O716/N716,0)</f>
        <v/>
      </c>
    </row>
    <row r="717">
      <c r="A717">
        <f>Skills!A11</f>
        <v/>
      </c>
      <c r="B717">
        <f>Skills!B11</f>
        <v/>
      </c>
      <c r="C717">
        <f>Inputs!$B$3&gt;=103</f>
        <v/>
      </c>
      <c r="D717">
        <f>IF(Skills!C11=1,60+Inputs!$B$24+Inputs!$B$28,IF(Skills!C11=2,90+Inputs!$B$25+Inputs!$B$28,IF(Skills!C11=3,120+Inputs!$B$26+Inputs!$B$28,MAX(0,(Inputs!$B$3-100)*3)+Inputs!$B$27+Inputs!$B$28)))</f>
        <v/>
      </c>
      <c r="E717">
        <f>INDEX(FactorTable!$B$2:$Y$301, MATCH(ROUND(MIN(300,MAX(1,D717)),0), FactorTable!$A$2:$A$301,0), Skills!M11+1)</f>
        <v/>
      </c>
      <c r="F717">
        <f>(Skills!L11/10)*(E717/1000)+IF(Inputs!$B$3&gt;=134,50,0)+0.5*(30000/10)*(INDEX(FactorTable!$B$2:$Y$301, MATCH(ROUND(MIN(300,MAX(1,D717)),0), FactorTable!$A$2:$A$301,0), 13)/1000)*B749</f>
        <v/>
      </c>
      <c r="G717">
        <f>Skills!G11*IF(Skills!H11&gt;0,Skills!I11/Skills!H11,1)</f>
        <v/>
      </c>
      <c r="H717">
        <f>1-(1-Skills!J11/100)^Skills!K11</f>
        <v/>
      </c>
      <c r="I717" t="inlineStr">
        <is>
          <t>1</t>
        </is>
      </c>
      <c r="J717">
        <f>(Inputs!$B$5*(1+Inputs!$B$6/100))*(F717/100)</f>
        <v/>
      </c>
      <c r="K717">
        <f>J717*(1+((Inputs!$B$11*(1+Inputs!$B$12/100))*0.01+Inputs!$B$13*0.0025)/100)*(1+Inputs!$B$14/100)*(1+IF(Inputs!$B$4="pvp",0,(1-Summary!$B$55)*(Inputs!$B$19+0+Skills!P11+B740)+Summary!$B$55*(Inputs!$B$20+Skills!Q11+B740))/100)*(1+Inputs!$B$15/100)*(5000/(6000+Inputs!$B$7*(1-Inputs!$B$18/100)))*(1+(Inputs!$B$23+((C736=TRUE)*(F736-Calc!F30)))/100)*(1+(IF(Skills!A11="CRUEL_STAB",(Inputs!$B$16+1)+((C733=TRUE)*(F733-Calc!F27)),Inputs!$B$17+((C734=TRUE)*(F734-Calc!F28))))/100)*(((1+(((C727=TRUE)*F727*IF(AND(Inputs!$B$4&lt;&gt;"pvp",Inputs!$B$35&gt;0),(((S727-1)*(Skills!Y21*(1+Inputs!$B$33/100))+MIN((Skills!Y21*(1+Inputs!$B$33/100)),MAX(0,Inputs!$B$35-((S727-1)*Skills!D21))))/Inputs!$B$35),IF(Inputs!$B$4="pvp",MIN((Skills!Y21*(1+Inputs!$B$33/100)),15)/15,(Skills!Y21*(1+Inputs!$B$33/100))/Skills!D21)))+((C729=TRUE)*(F729-Calc!F23))+((C723=TRUE)*(F723-Calc!F17)))/100)*(1+((C716=TRUE)*F716*IF(AND(Inputs!$B$4&lt;&gt;"pvp",Inputs!$B$35&gt;0),(((S716-1)*(Skills!Y10*(1+Inputs!$B$33/100))+MIN((Skills!Y10*(1+Inputs!$B$33/100)),MAX(0,Inputs!$B$35-((S716-1)*Skills!D10))))/Inputs!$B$35),IF(Inputs!$B$4="pvp",MIN((Skills!Y10*(1+Inputs!$B$33/100)),15)/15,(Skills!Y10*(1+Inputs!$B$33/100))/Skills!D10)))/100)*(1+((C721=TRUE)*F721*IF(AND(Inputs!$B$4&lt;&gt;"pvp",Inputs!$B$35&gt;0),(((S721-1)*(Skills!Y15*(1+Inputs!$B$33/100))+MIN((Skills!Y15*(1+Inputs!$B$33/100)),MAX(0,Inputs!$B$35-((S721-1)*Skills!D15))))/Inputs!$B$35),IF(Inputs!$B$4="pvp",MIN((Skills!Y15*(1+Inputs!$B$33/100)),15)/15,(Skills!Y15*(1+Inputs!$B$33/100))/Skills!D15)))/100))*B741*I717)</f>
        <v/>
      </c>
      <c r="L717">
        <f>K717*(MIN(Inputs!$B$21+((C730=TRUE)*(F730-Calc!F24)),Inputs!$B$22+((C735=TRUE)*(F735-Calc!F29)))/100+(Inputs!$B$22+((C735=TRUE)*(F735-Calc!F29)))/100)/2</f>
        <v/>
      </c>
      <c r="M717">
        <f>L717*(1+(Inputs!$B$9+((C732=TRUE)*(F732-Calc!F26))+B746)/100)</f>
        <v/>
      </c>
      <c r="N717">
        <f>L717*(1-MIN((Inputs!$B$8+((C731=TRUE)*(F731-Calc!F25))+B739),100)/100)+M717*(MIN((Inputs!$B$8+((C731=TRUE)*(F731-Calc!F25))+B739),100)/100)</f>
        <v/>
      </c>
      <c r="O717">
        <f>IF(C717,H717*N717*IF(AND(Inputs!$B$4&lt;&gt;"pvp",Inputs!$B$35&gt;0),((Skills!G11*((R717-1)*IF(Skills!H11&gt;0,Skills!I11/Skills!H11,1)+IF(Skills!H11&gt;0,MIN(Skills!I11,MAX(0,Inputs!$B$35-((R717-1)*IF(Inputs!$B$4="pvp",15,MAX(0.1,Skills!D11-IF(Skills!E11=TRUE,Inputs!$B$31,0))))))/Skills!H11,1)))/Inputs!$B$35),G717*Q717)*IF(Inputs!$B$4="pvp",1,(1-Summary!$B$55)*(1)+Summary!$B$55*(MIN(Skills!W11,Inputs!$B$37))),0)</f>
        <v/>
      </c>
      <c r="P717">
        <f>IF(B751=0,0,O717/B751)</f>
        <v/>
      </c>
      <c r="Q717">
        <f>IFERROR(1/IF(Inputs!$B$4="pvp",15,MAX(0.1,Skills!D11-IF(Skills!E11=TRUE,Inputs!$B$31,0))),0)</f>
        <v/>
      </c>
      <c r="R717">
        <f>IF(AND(Inputs!$B$4&lt;&gt;"pvp",Inputs!$B$35&gt;0),(INT(Inputs!$B$35/IF(Inputs!$B$4="pvp",15,MAX(0.1,Skills!D11-IF(Skills!E11=TRUE,Inputs!$B$31,0))))+1),0)</f>
        <v/>
      </c>
      <c r="S717">
        <f>IFERROR(O717/N717,0)</f>
        <v/>
      </c>
    </row>
    <row r="718">
      <c r="A718">
        <f>Skills!A12</f>
        <v/>
      </c>
      <c r="B718">
        <f>Skills!B12</f>
        <v/>
      </c>
      <c r="C718">
        <f>Inputs!$B$3&gt;=105</f>
        <v/>
      </c>
      <c r="D718">
        <f>IF(Skills!C12=1,60+Inputs!$B$24+Inputs!$B$28,IF(Skills!C12=2,90+Inputs!$B$25+Inputs!$B$28,IF(Skills!C12=3,120+Inputs!$B$26+Inputs!$B$28,MAX(0,(Inputs!$B$3-100)*3)+Inputs!$B$27+Inputs!$B$28)))</f>
        <v/>
      </c>
      <c r="E718">
        <f>INDEX(FactorTable!$B$2:$Y$301, MATCH(ROUND(MIN(300,MAX(1,D718)),0), FactorTable!$A$2:$A$301,0), Skills!M12+1)</f>
        <v/>
      </c>
      <c r="F718">
        <f>IF(Skills!N12=TRUE,(Skills!L12/10)*(E718/1000),Skills!L12/10)+Skills!O12</f>
        <v/>
      </c>
      <c r="G718">
        <f>Skills!G12*IF(Skills!H12&gt;0,Skills!I12/Skills!H12,1)</f>
        <v/>
      </c>
      <c r="H718">
        <f>1-(1-Skills!J12/100)^Skills!K12</f>
        <v/>
      </c>
      <c r="I718" t="inlineStr">
        <is>
          <t>1</t>
        </is>
      </c>
      <c r="J718">
        <f>(Inputs!$B$5*(1+Inputs!$B$6/100))*(F718/100)</f>
        <v/>
      </c>
      <c r="K718">
        <f>J718*(1+((Inputs!$B$11*(1+Inputs!$B$12/100))*0.01+Inputs!$B$13*0.0025)/100)*(1+Inputs!$B$14/100)*(1+IF(Inputs!$B$4="pvp",0,(1-Summary!$B$55)*(Inputs!$B$19+0+Skills!P12+B740)+Summary!$B$55*(Inputs!$B$20+Skills!Q12+B740))/100)*(1+Inputs!$B$15/100)*(5000/(6000+Inputs!$B$7*(1-Inputs!$B$18/100)))*(1+(Inputs!$B$23+((C736=TRUE)*(F736-Calc!F30)))/100)*(1+(IF(Skills!A12="CRUEL_STAB",(Inputs!$B$16+1)+((C733=TRUE)*(F733-Calc!F27)),Inputs!$B$17+((C734=TRUE)*(F734-Calc!F28))))/100)*(((1+(((C727=TRUE)*F727*IF(AND(Inputs!$B$4&lt;&gt;"pvp",Inputs!$B$35&gt;0),(((S727-1)*(Skills!Y21*(1+Inputs!$B$33/100))+MIN((Skills!Y21*(1+Inputs!$B$33/100)),MAX(0,Inputs!$B$35-((S727-1)*Skills!D21))))/Inputs!$B$35),IF(Inputs!$B$4="pvp",MIN((Skills!Y21*(1+Inputs!$B$33/100)),15)/15,(Skills!Y21*(1+Inputs!$B$33/100))/Skills!D21)))+((C729=TRUE)*(F729-Calc!F23))+((C723=TRUE)*(F723-Calc!F17)))/100)*(1+((C716=TRUE)*F716*IF(AND(Inputs!$B$4&lt;&gt;"pvp",Inputs!$B$35&gt;0),(((S716-1)*(Skills!Y10*(1+Inputs!$B$33/100))+MIN((Skills!Y10*(1+Inputs!$B$33/100)),MAX(0,Inputs!$B$35-((S716-1)*Skills!D10))))/Inputs!$B$35),IF(Inputs!$B$4="pvp",MIN((Skills!Y10*(1+Inputs!$B$33/100)),15)/15,(Skills!Y10*(1+Inputs!$B$33/100))/Skills!D10)))/100)*(1+((C721=TRUE)*F721*IF(AND(Inputs!$B$4&lt;&gt;"pvp",Inputs!$B$35&gt;0),(((S721-1)*(Skills!Y15*(1+Inputs!$B$33/100))+MIN((Skills!Y15*(1+Inputs!$B$33/100)),MAX(0,Inputs!$B$35-((S721-1)*Skills!D15))))/Inputs!$B$35),IF(Inputs!$B$4="pvp",MIN((Skills!Y15*(1+Inputs!$B$33/100)),15)/15,(Skills!Y15*(1+Inputs!$B$33/100))/Skills!D15)))/100))*B741*I718)</f>
        <v/>
      </c>
      <c r="L718">
        <f>K718*(MIN(Inputs!$B$21+((C730=TRUE)*(F730-Calc!F24)),Inputs!$B$22+((C735=TRUE)*(F735-Calc!F29)))/100+(Inputs!$B$22+((C735=TRUE)*(F735-Calc!F29)))/100)/2</f>
        <v/>
      </c>
      <c r="M718">
        <f>L718*(1+(Inputs!$B$9+((C732=TRUE)*(F732-Calc!F26))+B746)/100)</f>
        <v/>
      </c>
      <c r="N718">
        <f>L718*(1-MIN((Inputs!$B$8+((C731=TRUE)*(F731-Calc!F25))+B739),100)/100)+M718*(MIN((Inputs!$B$8+((C731=TRUE)*(F731-Calc!F25))+B739),100)/100)</f>
        <v/>
      </c>
      <c r="O718">
        <f>IF(C718,H718*N718*IF(AND(Inputs!$B$4&lt;&gt;"pvp",Inputs!$B$35&gt;0),((Skills!G12*((R718-1)*IF(Skills!H12&gt;0,Skills!I12/Skills!H12,1)+IF(Skills!H12&gt;0,MIN(Skills!I12,MAX(0,Inputs!$B$35-((R718-1)*IF(Inputs!$B$4="pvp",15,MAX(0.1,Skills!D12-IF(Skills!E12=TRUE,Inputs!$B$31,0))))))/Skills!H12,1)))/Inputs!$B$35),G718*Q718)*IF(Inputs!$B$4="pvp",1,(1-Summary!$B$55)*(1)+Summary!$B$55*(MIN(Skills!W12,Inputs!$B$37))),0)</f>
        <v/>
      </c>
      <c r="P718">
        <f>IF(B751=0,0,O718/B751)</f>
        <v/>
      </c>
      <c r="Q718">
        <f>IFERROR(1/IF(Inputs!$B$4="pvp",15,MAX(0.1,Skills!D12-IF(Skills!E12=TRUE,Inputs!$B$31,0))),0)</f>
        <v/>
      </c>
      <c r="R718">
        <f>IF(AND(Inputs!$B$4&lt;&gt;"pvp",Inputs!$B$35&gt;0),(INT(Inputs!$B$35/IF(Inputs!$B$4="pvp",15,MAX(0.1,Skills!D12-IF(Skills!E12=TRUE,Inputs!$B$31,0))))+1),0)</f>
        <v/>
      </c>
      <c r="S718">
        <f>IFERROR(O718/N718,0)</f>
        <v/>
      </c>
    </row>
    <row r="719">
      <c r="A719">
        <f>Skills!A13</f>
        <v/>
      </c>
      <c r="B719">
        <f>Skills!B13</f>
        <v/>
      </c>
      <c r="C719">
        <f>Inputs!$B$3&gt;=105</f>
        <v/>
      </c>
      <c r="D719">
        <f>IF(Skills!C13=1,60+Inputs!$B$24+Inputs!$B$28,IF(Skills!C13=2,90+Inputs!$B$25+Inputs!$B$28,IF(Skills!C13=3,120+Inputs!$B$26+Inputs!$B$28,MAX(0,(Inputs!$B$3-100)*3)+Inputs!$B$27+Inputs!$B$28)))</f>
        <v/>
      </c>
      <c r="E719">
        <f>INDEX(FactorTable!$B$2:$Y$301, MATCH(ROUND(MIN(300,MAX(1,D719)),0), FactorTable!$A$2:$A$301,0), Skills!M13+1)</f>
        <v/>
      </c>
      <c r="F719">
        <f>IF(Skills!N13=TRUE,(Skills!L13/10)*(E719/1000),Skills!L13/10)+Skills!O13</f>
        <v/>
      </c>
      <c r="G719">
        <f>Skills!G13*IF(Skills!H13&gt;0,Skills!I13/Skills!H13,1)</f>
        <v/>
      </c>
      <c r="H719">
        <f>1-(1-Skills!J13/100)^Skills!K13</f>
        <v/>
      </c>
      <c r="I719" t="inlineStr">
        <is>
          <t>1</t>
        </is>
      </c>
      <c r="J719">
        <f>(Inputs!$B$5*(1+Inputs!$B$6/100))*(F719/100)</f>
        <v/>
      </c>
      <c r="K719">
        <f>J719*(1+((Inputs!$B$11*(1+Inputs!$B$12/100))*0.01+Inputs!$B$13*0.0025)/100)*(1+Inputs!$B$14/100)*(1+IF(Inputs!$B$4="pvp",0,(1-Summary!$B$55)*(Inputs!$B$19+0+Skills!P13+B740)+Summary!$B$55*(Inputs!$B$20+Skills!Q13+B740))/100)*(1+Inputs!$B$15/100)*(5000/(6000+Inputs!$B$7*(1-Inputs!$B$18/100)))*(1+(Inputs!$B$23+((C736=TRUE)*(F736-Calc!F30)))/100)*(1+(IF(Skills!A13="CRUEL_STAB",(Inputs!$B$16+1)+((C733=TRUE)*(F733-Calc!F27)),Inputs!$B$17+((C734=TRUE)*(F734-Calc!F28))))/100)*(((1+(((C727=TRUE)*F727*IF(AND(Inputs!$B$4&lt;&gt;"pvp",Inputs!$B$35&gt;0),(((S727-1)*(Skills!Y21*(1+Inputs!$B$33/100))+MIN((Skills!Y21*(1+Inputs!$B$33/100)),MAX(0,Inputs!$B$35-((S727-1)*Skills!D21))))/Inputs!$B$35),IF(Inputs!$B$4="pvp",MIN((Skills!Y21*(1+Inputs!$B$33/100)),15)/15,(Skills!Y21*(1+Inputs!$B$33/100))/Skills!D21)))+((C729=TRUE)*(F729-Calc!F23))+((C723=TRUE)*(F723-Calc!F17)))/100)*(1+((C716=TRUE)*F716*IF(AND(Inputs!$B$4&lt;&gt;"pvp",Inputs!$B$35&gt;0),(((S716-1)*(Skills!Y10*(1+Inputs!$B$33/100))+MIN((Skills!Y10*(1+Inputs!$B$33/100)),MAX(0,Inputs!$B$35-((S716-1)*Skills!D10))))/Inputs!$B$35),IF(Inputs!$B$4="pvp",MIN((Skills!Y10*(1+Inputs!$B$33/100)),15)/15,(Skills!Y10*(1+Inputs!$B$33/100))/Skills!D10)))/100)*(1+((C721=TRUE)*F721*IF(AND(Inputs!$B$4&lt;&gt;"pvp",Inputs!$B$35&gt;0),(((S721-1)*(Skills!Y15*(1+Inputs!$B$33/100))+MIN((Skills!Y15*(1+Inputs!$B$33/100)),MAX(0,Inputs!$B$35-((S721-1)*Skills!D15))))/Inputs!$B$35),IF(Inputs!$B$4="pvp",MIN((Skills!Y15*(1+Inputs!$B$33/100)),15)/15,(Skills!Y15*(1+Inputs!$B$33/100))/Skills!D15)))/100))*B741*I719)</f>
        <v/>
      </c>
      <c r="L719">
        <f>K719*(MIN(Inputs!$B$21+((C730=TRUE)*(F730-Calc!F24)),Inputs!$B$22+((C735=TRUE)*(F735-Calc!F29)))/100+(Inputs!$B$22+((C735=TRUE)*(F735-Calc!F29)))/100)/2</f>
        <v/>
      </c>
      <c r="M719">
        <f>L719*(1+(Inputs!$B$9+((C732=TRUE)*(F732-Calc!F26))+B746)/100)</f>
        <v/>
      </c>
      <c r="N719">
        <f>L719*(1-MIN((Inputs!$B$8+((C731=TRUE)*(F731-Calc!F25))+B739),100)/100)+M719*(MIN((Inputs!$B$8+((C731=TRUE)*(F731-Calc!F25))+B739),100)/100)</f>
        <v/>
      </c>
      <c r="O719">
        <f>IF(C719,H719*N719*IF(AND(Inputs!$B$4&lt;&gt;"pvp",Inputs!$B$35&gt;0),((Skills!G13*((R719-1)*IF(Skills!H13&gt;0,Skills!I13/Skills!H13,1)+IF(Skills!H13&gt;0,MIN(Skills!I13,MAX(0,Inputs!$B$35-((R719-1)*IF(Inputs!$B$4="pvp",15,MAX(0.1,Skills!D13-IF(Skills!E13=TRUE,Inputs!$B$31,0))))))/Skills!H13,1)))/Inputs!$B$35),G719*Q719)*IF(Inputs!$B$4="pvp",1,(1-Summary!$B$55)*(1)+Summary!$B$55*(MIN(Skills!W13,Inputs!$B$37))),0)</f>
        <v/>
      </c>
      <c r="P719">
        <f>IF(B751=0,0,O719/B751)</f>
        <v/>
      </c>
      <c r="Q719">
        <f>IFERROR(1/IF(Inputs!$B$4="pvp",15,MAX(0.1,Skills!D13-IF(Skills!E13=TRUE,Inputs!$B$31,0))),0)</f>
        <v/>
      </c>
      <c r="R719">
        <f>IF(AND(Inputs!$B$4&lt;&gt;"pvp",Inputs!$B$35&gt;0),(INT(Inputs!$B$35/IF(Inputs!$B$4="pvp",15,MAX(0.1,Skills!D13-IF(Skills!E13=TRUE,Inputs!$B$31,0))))+1),0)</f>
        <v/>
      </c>
      <c r="S719">
        <f>IFERROR(O719/N719,0)</f>
        <v/>
      </c>
    </row>
    <row r="720">
      <c r="A720">
        <f>Skills!A14</f>
        <v/>
      </c>
      <c r="B720">
        <f>Skills!B14</f>
        <v/>
      </c>
      <c r="C720">
        <f>Inputs!$B$3&gt;=107</f>
        <v/>
      </c>
      <c r="D720">
        <f>IF(Skills!C14=1,60+Inputs!$B$24+Inputs!$B$28,IF(Skills!C14=2,90+Inputs!$B$25+Inputs!$B$28,IF(Skills!C14=3,120+Inputs!$B$26+Inputs!$B$28,MAX(0,(Inputs!$B$3-100)*3)+Inputs!$B$27+Inputs!$B$28)))</f>
        <v/>
      </c>
      <c r="E720">
        <f>INDEX(FactorTable!$B$2:$Y$301, MATCH(ROUND(MIN(300,MAX(1,D720)),0), FactorTable!$A$2:$A$301,0), Skills!M14+1)</f>
        <v/>
      </c>
      <c r="F720">
        <f>IF(Skills!N14=TRUE,(Skills!L14/10)*(E720/1000),Skills!L14/10)+Skills!O14</f>
        <v/>
      </c>
      <c r="G720">
        <f>Skills!G14*IF(Skills!H14&gt;0,Skills!I14/Skills!H14,1)</f>
        <v/>
      </c>
      <c r="H720">
        <f>1-(1-Skills!J14/100)^Skills!K14</f>
        <v/>
      </c>
      <c r="I720" t="inlineStr">
        <is>
          <t>1</t>
        </is>
      </c>
      <c r="J720">
        <f>(Inputs!$B$5*(1+Inputs!$B$6/100))*(F720/100)</f>
        <v/>
      </c>
      <c r="K720">
        <f>J720*(1+((Inputs!$B$11*(1+Inputs!$B$12/100))*0.01+Inputs!$B$13*0.0025)/100)*(1+Inputs!$B$14/100)*(1+IF(Inputs!$B$4="pvp",0,(1-Summary!$B$55)*(Inputs!$B$19+0+Skills!P14+B740)+Summary!$B$55*(Inputs!$B$20+Skills!Q14+B740))/100)*(1+Inputs!$B$15/100)*(5000/(6000+Inputs!$B$7*(1-Inputs!$B$18/100)))*(1+(Inputs!$B$23+((C736=TRUE)*(F736-Calc!F30)))/100)*(1+(IF(Skills!A14="CRUEL_STAB",(Inputs!$B$16+1)+((C733=TRUE)*(F733-Calc!F27)),Inputs!$B$17+((C734=TRUE)*(F734-Calc!F28))))/100)*(((1+(((C727=TRUE)*F727*IF(AND(Inputs!$B$4&lt;&gt;"pvp",Inputs!$B$35&gt;0),(((S727-1)*(Skills!Y21*(1+Inputs!$B$33/100))+MIN((Skills!Y21*(1+Inputs!$B$33/100)),MAX(0,Inputs!$B$35-((S727-1)*Skills!D21))))/Inputs!$B$35),IF(Inputs!$B$4="pvp",MIN((Skills!Y21*(1+Inputs!$B$33/100)),15)/15,(Skills!Y21*(1+Inputs!$B$33/100))/Skills!D21)))+((C729=TRUE)*(F729-Calc!F23))+((C723=TRUE)*(F723-Calc!F17)))/100)*(1+((C716=TRUE)*F716*IF(AND(Inputs!$B$4&lt;&gt;"pvp",Inputs!$B$35&gt;0),(((S716-1)*(Skills!Y10*(1+Inputs!$B$33/100))+MIN((Skills!Y10*(1+Inputs!$B$33/100)),MAX(0,Inputs!$B$35-((S716-1)*Skills!D10))))/Inputs!$B$35),IF(Inputs!$B$4="pvp",MIN((Skills!Y10*(1+Inputs!$B$33/100)),15)/15,(Skills!Y10*(1+Inputs!$B$33/100))/Skills!D10)))/100)*(1+((C721=TRUE)*F721*IF(AND(Inputs!$B$4&lt;&gt;"pvp",Inputs!$B$35&gt;0),(((S721-1)*(Skills!Y15*(1+Inputs!$B$33/100))+MIN((Skills!Y15*(1+Inputs!$B$33/100)),MAX(0,Inputs!$B$35-((S721-1)*Skills!D15))))/Inputs!$B$35),IF(Inputs!$B$4="pvp",MIN((Skills!Y15*(1+Inputs!$B$33/100)),15)/15,(Skills!Y15*(1+Inputs!$B$33/100))/Skills!D15)))/100))*B741*I720)</f>
        <v/>
      </c>
      <c r="L720">
        <f>K720*(MIN(Inputs!$B$21+((C730=TRUE)*(F730-Calc!F24)),Inputs!$B$22+((C735=TRUE)*(F735-Calc!F29)))/100+(Inputs!$B$22+((C735=TRUE)*(F735-Calc!F29)))/100)/2</f>
        <v/>
      </c>
      <c r="M720">
        <f>L720*(1+(Inputs!$B$9+((C732=TRUE)*(F732-Calc!F26))+B746)/100)</f>
        <v/>
      </c>
      <c r="N720">
        <f>L720*(1-MIN((Inputs!$B$8+((C731=TRUE)*(F731-Calc!F25))+B739),100)/100)+M720*(MIN((Inputs!$B$8+((C731=TRUE)*(F731-Calc!F25))+B739),100)/100)</f>
        <v/>
      </c>
      <c r="O720">
        <f>IF(C720,H720*N720*IF(AND(Inputs!$B$4&lt;&gt;"pvp",Inputs!$B$35&gt;0),((Skills!G14*((R720-1)*IF(Skills!H14&gt;0,Skills!I14/Skills!H14,1)+IF(Skills!H14&gt;0,MIN(Skills!I14,MAX(0,Inputs!$B$35-((R720-1)*IF(Inputs!$B$4="pvp",15,MAX(0.1,Skills!D14-IF(Skills!E14=TRUE,Inputs!$B$31,0))))))/Skills!H14,1)))/Inputs!$B$35),G720*Q720)*IF(Inputs!$B$4="pvp",1,(1-Summary!$B$55)*(1)+Summary!$B$55*(MIN(MIN(5,0.25*B743*Skills!D4)*Skills!V14,Inputs!$B$37))),0)</f>
        <v/>
      </c>
      <c r="P720">
        <f>IF(B751=0,0,O720/B751)</f>
        <v/>
      </c>
      <c r="Q720">
        <f>IFERROR(1/IF(Inputs!$B$4="pvp",15,MAX(0.1,Skills!D14-IF(Skills!E14=TRUE,Inputs!$B$31,0))),0)</f>
        <v/>
      </c>
      <c r="R720">
        <f>IF(AND(Inputs!$B$4&lt;&gt;"pvp",Inputs!$B$35&gt;0),(INT(Inputs!$B$35/IF(Inputs!$B$4="pvp",15,MAX(0.1,Skills!D14-IF(Skills!E14=TRUE,Inputs!$B$31,0))))+1),0)</f>
        <v/>
      </c>
      <c r="S720">
        <f>IFERROR(O720/N720,0)</f>
        <v/>
      </c>
    </row>
    <row r="721">
      <c r="A721">
        <f>Skills!A15</f>
        <v/>
      </c>
      <c r="B721">
        <f>Skills!B15</f>
        <v/>
      </c>
      <c r="C721">
        <f>Inputs!$B$3&gt;=110</f>
        <v/>
      </c>
      <c r="D721">
        <f>IF(Skills!C15=1,60+Inputs!$B$24+Inputs!$B$28,IF(Skills!C15=2,90+Inputs!$B$25+Inputs!$B$28,IF(Skills!C15=3,120+Inputs!$B$26+Inputs!$B$28,MAX(0,(Inputs!$B$3-100)*3)+Inputs!$B$27+Inputs!$B$28)))</f>
        <v/>
      </c>
      <c r="E721">
        <f>INDEX(FactorTable!$B$2:$Y$301, MATCH(ROUND(MIN(300,MAX(1,D721)),0), FactorTable!$A$2:$A$301,0), Skills!M15+1)</f>
        <v/>
      </c>
      <c r="F721">
        <f>IF(Skills!N15=TRUE,(Skills!L15/10)*(E721/1000),Skills!L15/10)+Skills!O15</f>
        <v/>
      </c>
      <c r="G721">
        <f>Skills!G15*IF(Skills!H15&gt;0,Skills!I15/Skills!H15,1)</f>
        <v/>
      </c>
      <c r="H721">
        <f>1-(1-Skills!J15/100)^Skills!K15</f>
        <v/>
      </c>
      <c r="I721" t="inlineStr">
        <is>
          <t>1</t>
        </is>
      </c>
      <c r="J721" t="inlineStr"/>
      <c r="K721" t="inlineStr"/>
      <c r="L721" t="inlineStr"/>
      <c r="M721" t="inlineStr"/>
      <c r="N721" t="inlineStr"/>
      <c r="O721" t="n">
        <v>0</v>
      </c>
      <c r="P721">
        <f>IF(B751=0,0,O721/B751)</f>
        <v/>
      </c>
      <c r="Q721">
        <f>IFERROR(1/IF(Inputs!$B$4="pvp",15,MAX(0.1,Skills!D15-IF(Skills!E15=TRUE,Inputs!$B$31,0))),0)</f>
        <v/>
      </c>
      <c r="R721">
        <f>IF(AND(Inputs!$B$4&lt;&gt;"pvp",Inputs!$B$35&gt;0),(INT(Inputs!$B$35/IF(Inputs!$B$4="pvp",15,MAX(0.1,Skills!D15-IF(Skills!E15=TRUE,Inputs!$B$31,0))))+1),0)</f>
        <v/>
      </c>
      <c r="S721">
        <f>IFERROR(O721/N721,0)</f>
        <v/>
      </c>
    </row>
    <row r="722">
      <c r="A722">
        <f>Skills!A16</f>
        <v/>
      </c>
      <c r="B722">
        <f>Skills!B16</f>
        <v/>
      </c>
      <c r="C722">
        <f>Inputs!$B$3&gt;=115</f>
        <v/>
      </c>
      <c r="D722">
        <f>IF(Skills!C16=1,60+Inputs!$B$24+Inputs!$B$28,IF(Skills!C16=2,90+Inputs!$B$25+Inputs!$B$28,IF(Skills!C16=3,120+Inputs!$B$26+Inputs!$B$28,MAX(0,(Inputs!$B$3-100)*3)+Inputs!$B$27+Inputs!$B$28)))</f>
        <v/>
      </c>
      <c r="E722">
        <f>INDEX(FactorTable!$B$2:$Y$301, MATCH(ROUND(MIN(300,MAX(1,D722)),0), FactorTable!$A$2:$A$301,0), Skills!M16+1)</f>
        <v/>
      </c>
      <c r="F722">
        <f>IF(Skills!N16=TRUE,(Skills!L16/10)*(E722/1000),Skills!L16/10)+Skills!O16</f>
        <v/>
      </c>
      <c r="G722">
        <f>Skills!G16*IF(Skills!H16&gt;0,Skills!I16/Skills!H16,1)</f>
        <v/>
      </c>
      <c r="H722">
        <f>1-(1-Skills!J16/100)^Skills!K16</f>
        <v/>
      </c>
      <c r="I722" t="inlineStr">
        <is>
          <t>1</t>
        </is>
      </c>
      <c r="J722">
        <f>(Inputs!$B$5*(1+Inputs!$B$6/100))*(F722/100)</f>
        <v/>
      </c>
      <c r="K722">
        <f>J722*(1+((Inputs!$B$11*(1+Inputs!$B$12/100))*0.01+Inputs!$B$13*0.0025)/100)*(1+Inputs!$B$14/100)*(1+IF(Inputs!$B$4="pvp",0,(1-Summary!$B$55)*(Inputs!$B$19+0+Skills!P16+B740)+Summary!$B$55*(Inputs!$B$20+Skills!Q16+B740))/100)*(1+Inputs!$B$15/100)*(5000/(6000+Inputs!$B$7*(1-Inputs!$B$18/100)))*(1+(Inputs!$B$23+((C736=TRUE)*(F736-Calc!F30)))/100)*(1+(IF(Skills!A16="CRUEL_STAB",(Inputs!$B$16+1)+((C733=TRUE)*(F733-Calc!F27)),Inputs!$B$17+((C734=TRUE)*(F734-Calc!F28))))/100)*(((1+(((C727=TRUE)*F727*IF(AND(Inputs!$B$4&lt;&gt;"pvp",Inputs!$B$35&gt;0),(((S727-1)*(Skills!Y21*(1+Inputs!$B$33/100))+MIN((Skills!Y21*(1+Inputs!$B$33/100)),MAX(0,Inputs!$B$35-((S727-1)*Skills!D21))))/Inputs!$B$35),IF(Inputs!$B$4="pvp",MIN((Skills!Y21*(1+Inputs!$B$33/100)),15)/15,(Skills!Y21*(1+Inputs!$B$33/100))/Skills!D21)))+((C729=TRUE)*(F729-Calc!F23))+((C723=TRUE)*(F723-Calc!F17)))/100)*(1+((C716=TRUE)*F716*IF(AND(Inputs!$B$4&lt;&gt;"pvp",Inputs!$B$35&gt;0),(((S716-1)*(Skills!Y10*(1+Inputs!$B$33/100))+MIN((Skills!Y10*(1+Inputs!$B$33/100)),MAX(0,Inputs!$B$35-((S716-1)*Skills!D10))))/Inputs!$B$35),IF(Inputs!$B$4="pvp",MIN((Skills!Y10*(1+Inputs!$B$33/100)),15)/15,(Skills!Y10*(1+Inputs!$B$33/100))/Skills!D10)))/100)*(1+((C721=TRUE)*F721*IF(AND(Inputs!$B$4&lt;&gt;"pvp",Inputs!$B$35&gt;0),(((S721-1)*(Skills!Y15*(1+Inputs!$B$33/100))+MIN((Skills!Y15*(1+Inputs!$B$33/100)),MAX(0,Inputs!$B$35-((S721-1)*Skills!D15))))/Inputs!$B$35),IF(Inputs!$B$4="pvp",MIN((Skills!Y15*(1+Inputs!$B$33/100)),15)/15,(Skills!Y15*(1+Inputs!$B$33/100))/Skills!D15)))/100))*B741*I722)</f>
        <v/>
      </c>
      <c r="L722">
        <f>K722*(MIN(Inputs!$B$21+((C730=TRUE)*(F730-Calc!F24)),Inputs!$B$22+((C735=TRUE)*(F735-Calc!F29)))/100+(Inputs!$B$22+((C735=TRUE)*(F735-Calc!F29)))/100)/2</f>
        <v/>
      </c>
      <c r="M722">
        <f>L722*(1+(Inputs!$B$9+((C732=TRUE)*(F732-Calc!F26))+B746)/100)</f>
        <v/>
      </c>
      <c r="N722">
        <f>L722*(1-MIN((Inputs!$B$8+((C731=TRUE)*(F731-Calc!F25))+B739),100)/100)+M722*(MIN((Inputs!$B$8+((C731=TRUE)*(F731-Calc!F25))+B739),100)/100)</f>
        <v/>
      </c>
      <c r="O722">
        <f>IF(C722,Inputs!$B$38*0.2*N722,0)</f>
        <v/>
      </c>
      <c r="P722">
        <f>IF(B751=0,0,O722/B751)</f>
        <v/>
      </c>
      <c r="Q722" t="n">
        <v>0</v>
      </c>
      <c r="R722" t="n">
        <v>0</v>
      </c>
      <c r="S722">
        <f>IFERROR(O722/N722,0)</f>
        <v/>
      </c>
    </row>
    <row r="723">
      <c r="A723">
        <f>Skills!A17</f>
        <v/>
      </c>
      <c r="B723">
        <f>Skills!B17</f>
        <v/>
      </c>
      <c r="C723">
        <f>Inputs!$B$3&gt;=115</f>
        <v/>
      </c>
      <c r="D723">
        <f>IF(Skills!C17=1,60+Inputs!$B$24+Inputs!$B$28,IF(Skills!C17=2,90+Inputs!$B$25+Inputs!$B$28,IF(Skills!C17=3,120+Inputs!$B$26+Inputs!$B$28,MAX(0,(Inputs!$B$3-100)*3)+Inputs!$B$27+Inputs!$B$28)))</f>
        <v/>
      </c>
      <c r="E723">
        <f>INDEX(FactorTable!$B$2:$Y$301, MATCH(ROUND(MIN(300,MAX(1,D723)),0), FactorTable!$A$2:$A$301,0), Skills!M17+1)</f>
        <v/>
      </c>
      <c r="F723">
        <f>IF(Skills!N17=TRUE,(Skills!L17/10)*(E723/1000),Skills!L17/10)+Skills!O17</f>
        <v/>
      </c>
      <c r="G723">
        <f>Skills!G17*IF(Skills!H17&gt;0,Skills!I17/Skills!H17,1)</f>
        <v/>
      </c>
      <c r="H723">
        <f>1-(1-Skills!J17/100)^Skills!K17</f>
        <v/>
      </c>
      <c r="I723" t="inlineStr">
        <is>
          <t>1</t>
        </is>
      </c>
      <c r="J723" t="inlineStr"/>
      <c r="K723" t="inlineStr"/>
      <c r="L723" t="inlineStr"/>
      <c r="M723" t="inlineStr"/>
      <c r="N723" t="inlineStr"/>
      <c r="O723" t="n">
        <v>0</v>
      </c>
      <c r="P723">
        <f>IF(B751=0,0,O723/B751)</f>
        <v/>
      </c>
      <c r="Q723" t="n">
        <v>0</v>
      </c>
      <c r="R723" t="n">
        <v>0</v>
      </c>
      <c r="S723">
        <f>IFERROR(O723/N723,0)</f>
        <v/>
      </c>
    </row>
    <row r="724">
      <c r="A724">
        <f>Skills!A18</f>
        <v/>
      </c>
      <c r="B724">
        <f>Skills!B18</f>
        <v/>
      </c>
      <c r="C724">
        <f>Inputs!$B$3&gt;=100</f>
        <v/>
      </c>
      <c r="D724">
        <f>IF(Skills!C18=1,60+Inputs!$B$24+Inputs!$B$28,IF(Skills!C18=2,90+Inputs!$B$25+Inputs!$B$28,IF(Skills!C18=3,120+Inputs!$B$26+Inputs!$B$28,MAX(0,(Inputs!$B$3-100)*3)+Inputs!$B$27+Inputs!$B$28)))</f>
        <v/>
      </c>
      <c r="E724">
        <f>INDEX(FactorTable!$B$2:$Y$301, MATCH(ROUND(MIN(300,MAX(1,D724)),0), FactorTable!$A$2:$A$301,0), Skills!M18+1)</f>
        <v/>
      </c>
      <c r="F724">
        <f>IF(Skills!N18=TRUE,(Skills!L18/10)*(E724/1000),Skills!L18/10)+Skills!O18</f>
        <v/>
      </c>
      <c r="G724">
        <f>Skills!G18*IF(Skills!H18&gt;0,Skills!I18/Skills!H18,1)</f>
        <v/>
      </c>
      <c r="H724">
        <f>1-(1-Skills!J18/100)^Skills!K18</f>
        <v/>
      </c>
      <c r="I724" t="inlineStr">
        <is>
          <t>1</t>
        </is>
      </c>
      <c r="J724" t="inlineStr"/>
      <c r="K724" t="inlineStr"/>
      <c r="L724" t="inlineStr"/>
      <c r="M724" t="inlineStr"/>
      <c r="N724" t="inlineStr"/>
      <c r="O724" t="n">
        <v>0</v>
      </c>
      <c r="P724">
        <f>IF(B751=0,0,O724/B751)</f>
        <v/>
      </c>
      <c r="Q724" t="n">
        <v>0</v>
      </c>
      <c r="R724" t="n">
        <v>0</v>
      </c>
      <c r="S724">
        <f>IFERROR(O724/N724,0)</f>
        <v/>
      </c>
    </row>
    <row r="725">
      <c r="A725">
        <f>Skills!A19</f>
        <v/>
      </c>
      <c r="B725">
        <f>Skills!B19</f>
        <v/>
      </c>
      <c r="C725">
        <f>TRUE</f>
        <v/>
      </c>
      <c r="D725">
        <f>IF(Skills!C19=1,60+Inputs!$B$24+Inputs!$B$28,IF(Skills!C19=2,90+Inputs!$B$25+Inputs!$B$28,IF(Skills!C19=3,120+Inputs!$B$26+Inputs!$B$28,MAX(0,(Inputs!$B$3-100)*3)+Inputs!$B$27+Inputs!$B$28)))</f>
        <v/>
      </c>
      <c r="E725">
        <f>INDEX(FactorTable!$B$2:$Y$301, MATCH(ROUND(MIN(300,MAX(1,D725)),0), FactorTable!$A$2:$A$301,0), Skills!M19+1)</f>
        <v/>
      </c>
      <c r="F725">
        <f>IF(Skills!N19=TRUE,(Skills!L19/10)*(E725/1000),Skills!L19/10)+Skills!O19</f>
        <v/>
      </c>
      <c r="G725">
        <f>Skills!G19*IF(Skills!H19&gt;0,Skills!I19/Skills!H19,1)</f>
        <v/>
      </c>
      <c r="H725">
        <f>1-(1-Skills!J19/100)^Skills!K19</f>
        <v/>
      </c>
      <c r="I725" t="inlineStr">
        <is>
          <t>1</t>
        </is>
      </c>
      <c r="J725" t="inlineStr"/>
      <c r="K725" t="inlineStr"/>
      <c r="L725" t="inlineStr"/>
      <c r="M725" t="inlineStr"/>
      <c r="N725" t="inlineStr"/>
      <c r="O725" t="n">
        <v>0</v>
      </c>
      <c r="P725">
        <f>IF(B751=0,0,O725/B751)</f>
        <v/>
      </c>
      <c r="Q725">
        <f>IFERROR(1/IF(Inputs!$B$4="pvp",15,MAX(0.1,Skills!D19-IF(Skills!E19=TRUE,Inputs!$B$31,0))),0)</f>
        <v/>
      </c>
      <c r="R725">
        <f>IF(AND(Inputs!$B$4&lt;&gt;"pvp",Inputs!$B$35&gt;0),(INT(Inputs!$B$35/IF(Inputs!$B$4="pvp",15,MAX(0.1,Skills!D19-IF(Skills!E19=TRUE,Inputs!$B$31,0))))+1),0)</f>
        <v/>
      </c>
      <c r="S725">
        <f>IFERROR(O725/N725,0)</f>
        <v/>
      </c>
    </row>
    <row r="726">
      <c r="A726">
        <f>Skills!A20</f>
        <v/>
      </c>
      <c r="B726">
        <f>Skills!B20</f>
        <v/>
      </c>
      <c r="C726">
        <f>Inputs!$B$3&gt;=15</f>
        <v/>
      </c>
      <c r="D726">
        <f>IF(Skills!C20=1,60+Inputs!$B$24+Inputs!$B$28,IF(Skills!C20=2,90+Inputs!$B$25+Inputs!$B$28,IF(Skills!C20=3,120+Inputs!$B$26+Inputs!$B$28,MAX(0,(Inputs!$B$3-100)*3)+Inputs!$B$27+Inputs!$B$28)))</f>
        <v/>
      </c>
      <c r="E726">
        <f>INDEX(FactorTable!$B$2:$Y$301, MATCH(ROUND(MIN(300,MAX(1,D726)),0), FactorTable!$A$2:$A$301,0), Skills!M20+1)</f>
        <v/>
      </c>
      <c r="F726">
        <f>IF(Skills!N20=TRUE,(Skills!L20/10)*(E726/1000),Skills!L20/10)+Skills!O20</f>
        <v/>
      </c>
      <c r="G726">
        <f>Skills!G20*IF(Skills!H20&gt;0,Skills!I20/Skills!H20,1)</f>
        <v/>
      </c>
      <c r="H726">
        <f>1-(1-Skills!J20/100)^Skills!K20</f>
        <v/>
      </c>
      <c r="I726" t="inlineStr">
        <is>
          <t>1</t>
        </is>
      </c>
      <c r="J726" t="inlineStr"/>
      <c r="K726" t="inlineStr"/>
      <c r="L726" t="inlineStr"/>
      <c r="M726" t="inlineStr"/>
      <c r="N726" t="inlineStr"/>
      <c r="O726" t="n">
        <v>0</v>
      </c>
      <c r="P726">
        <f>IF(B751=0,0,O726/B751)</f>
        <v/>
      </c>
      <c r="Q726">
        <f>IFERROR(1/IF(Inputs!$B$4="pvp",15,MAX(0.1,Skills!D20-IF(Skills!E20=TRUE,Inputs!$B$31,0))),0)</f>
        <v/>
      </c>
      <c r="R726">
        <f>IF(AND(Inputs!$B$4&lt;&gt;"pvp",Inputs!$B$35&gt;0),(INT(Inputs!$B$35/IF(Inputs!$B$4="pvp",15,MAX(0.1,Skills!D20-IF(Skills!E20=TRUE,Inputs!$B$31,0))))+1),0)</f>
        <v/>
      </c>
      <c r="S726">
        <f>IFERROR(O726/N726,0)</f>
        <v/>
      </c>
    </row>
    <row r="727">
      <c r="A727">
        <f>Skills!A21</f>
        <v/>
      </c>
      <c r="B727">
        <f>Skills!B21</f>
        <v/>
      </c>
      <c r="C727">
        <f>Inputs!$B$3&gt;=15</f>
        <v/>
      </c>
      <c r="D727">
        <f>IF(Skills!C21=1,60+Inputs!$B$24+Inputs!$B$28,IF(Skills!C21=2,90+Inputs!$B$25+Inputs!$B$28,IF(Skills!C21=3,120+Inputs!$B$26+Inputs!$B$28,MAX(0,(Inputs!$B$3-100)*3)+Inputs!$B$27+Inputs!$B$28)))</f>
        <v/>
      </c>
      <c r="E727">
        <f>INDEX(FactorTable!$B$2:$Y$301, MATCH(ROUND(MIN(300,MAX(1,D727)),0), FactorTable!$A$2:$A$301,0), Skills!M21+1)</f>
        <v/>
      </c>
      <c r="F727">
        <f>IF(Skills!N21=TRUE,(Skills!L21/10)*(E727/1000),Skills!L21/10)+Skills!O21</f>
        <v/>
      </c>
      <c r="G727">
        <f>Skills!G21*IF(Skills!H21&gt;0,Skills!I21/Skills!H21,1)</f>
        <v/>
      </c>
      <c r="H727">
        <f>1-(1-Skills!J21/100)^Skills!K21</f>
        <v/>
      </c>
      <c r="I727" t="inlineStr">
        <is>
          <t>1</t>
        </is>
      </c>
      <c r="J727" t="inlineStr"/>
      <c r="K727" t="inlineStr"/>
      <c r="L727" t="inlineStr"/>
      <c r="M727" t="inlineStr"/>
      <c r="N727" t="inlineStr"/>
      <c r="O727" t="n">
        <v>0</v>
      </c>
      <c r="P727">
        <f>IF(B751=0,0,O727/B751)</f>
        <v/>
      </c>
      <c r="Q727">
        <f>IFERROR(1/IF(Inputs!$B$4="pvp",15,MAX(0.1,Skills!D21-IF(Skills!E21=TRUE,Inputs!$B$31,0))),0)</f>
        <v/>
      </c>
      <c r="R727">
        <f>IF(AND(Inputs!$B$4&lt;&gt;"pvp",Inputs!$B$35&gt;0),(INT(Inputs!$B$35/IF(Inputs!$B$4="pvp",15,MAX(0.1,Skills!D21-IF(Skills!E21=TRUE,Inputs!$B$31,0))))+1),0)</f>
        <v/>
      </c>
      <c r="S727">
        <f>IFERROR(O727/N727,0)</f>
        <v/>
      </c>
    </row>
    <row r="728">
      <c r="A728">
        <f>Skills!A22</f>
        <v/>
      </c>
      <c r="B728">
        <f>Skills!B22</f>
        <v/>
      </c>
      <c r="C728">
        <f>Inputs!$B$3&gt;=33</f>
        <v/>
      </c>
      <c r="D728">
        <f>IF(Skills!C22=1,60+Inputs!$B$24+Inputs!$B$28,IF(Skills!C22=2,90+Inputs!$B$25+Inputs!$B$28,IF(Skills!C22=3,120+Inputs!$B$26+Inputs!$B$28,MAX(0,(Inputs!$B$3-100)*3)+Inputs!$B$27+Inputs!$B$28)))</f>
        <v/>
      </c>
      <c r="E728">
        <f>INDEX(FactorTable!$B$2:$Y$301, MATCH(ROUND(MIN(300,MAX(1,D728)),0), FactorTable!$A$2:$A$301,0), Skills!M22+1)</f>
        <v/>
      </c>
      <c r="F728">
        <f>IF(Skills!N22=TRUE,(Skills!L22/10)*(E728/1000),Skills!L22/10)+Skills!O22</f>
        <v/>
      </c>
      <c r="G728">
        <f>Skills!G22*IF(Skills!H22&gt;0,Skills!I22/Skills!H22,1)</f>
        <v/>
      </c>
      <c r="H728">
        <f>1-(1-Skills!J22/100)^Skills!K22</f>
        <v/>
      </c>
      <c r="I728" t="inlineStr">
        <is>
          <t>1</t>
        </is>
      </c>
      <c r="J728" t="inlineStr"/>
      <c r="K728" t="inlineStr"/>
      <c r="L728" t="inlineStr"/>
      <c r="M728" t="inlineStr"/>
      <c r="N728" t="inlineStr"/>
      <c r="O728" t="n">
        <v>0</v>
      </c>
      <c r="P728">
        <f>IF(B751=0,0,O728/B751)</f>
        <v/>
      </c>
      <c r="Q728" t="n">
        <v>0</v>
      </c>
      <c r="R728" t="n">
        <v>0</v>
      </c>
      <c r="S728">
        <f>IFERROR(O728/N728,0)</f>
        <v/>
      </c>
    </row>
    <row r="729">
      <c r="A729">
        <f>Skills!A23</f>
        <v/>
      </c>
      <c r="B729">
        <f>Skills!B23</f>
        <v/>
      </c>
      <c r="C729">
        <f>Inputs!$B$3&gt;=40</f>
        <v/>
      </c>
      <c r="D729">
        <f>IF(Skills!C23=1,60+Inputs!$B$24+Inputs!$B$28,IF(Skills!C23=2,90+Inputs!$B$25+Inputs!$B$28,IF(Skills!C23=3,120+Inputs!$B$26+Inputs!$B$28,MAX(0,(Inputs!$B$3-100)*3)+Inputs!$B$27+Inputs!$B$28)))</f>
        <v/>
      </c>
      <c r="E729">
        <f>INDEX(FactorTable!$B$2:$Y$301, MATCH(ROUND(MIN(300,MAX(1,D729)),0), FactorTable!$A$2:$A$301,0), Skills!M23+1)</f>
        <v/>
      </c>
      <c r="F729">
        <f>IF(Skills!N23=TRUE,(Skills!L23/10)*(E729/1000),Skills!L23/10)+Skills!O23</f>
        <v/>
      </c>
      <c r="G729">
        <f>Skills!G23*IF(Skills!H23&gt;0,Skills!I23/Skills!H23,1)</f>
        <v/>
      </c>
      <c r="H729">
        <f>1-(1-Skills!J23/100)^Skills!K23</f>
        <v/>
      </c>
      <c r="I729" t="inlineStr">
        <is>
          <t>1</t>
        </is>
      </c>
      <c r="J729" t="inlineStr"/>
      <c r="K729" t="inlineStr"/>
      <c r="L729" t="inlineStr"/>
      <c r="M729" t="inlineStr"/>
      <c r="N729" t="inlineStr"/>
      <c r="O729" t="n">
        <v>0</v>
      </c>
      <c r="P729">
        <f>IF(B751=0,0,O729/B751)</f>
        <v/>
      </c>
      <c r="Q729" t="n">
        <v>0</v>
      </c>
      <c r="R729" t="n">
        <v>0</v>
      </c>
      <c r="S729">
        <f>IFERROR(O729/N729,0)</f>
        <v/>
      </c>
    </row>
    <row r="730">
      <c r="A730">
        <f>Skills!A24</f>
        <v/>
      </c>
      <c r="B730">
        <f>Skills!B24</f>
        <v/>
      </c>
      <c r="C730">
        <f>Inputs!$B$3&gt;=43</f>
        <v/>
      </c>
      <c r="D730">
        <f>IF(Skills!C24=1,60+Inputs!$B$24+Inputs!$B$28,IF(Skills!C24=2,90+Inputs!$B$25+Inputs!$B$28,IF(Skills!C24=3,120+Inputs!$B$26+Inputs!$B$28,MAX(0,(Inputs!$B$3-100)*3)+Inputs!$B$27+Inputs!$B$28)))</f>
        <v/>
      </c>
      <c r="E730">
        <f>INDEX(FactorTable!$B$2:$Y$301, MATCH(ROUND(MIN(300,MAX(1,D730)),0), FactorTable!$A$2:$A$301,0), Skills!M24+1)</f>
        <v/>
      </c>
      <c r="F730">
        <f>IF(Skills!N24=TRUE,(Skills!L24/10)*(E730/1000),Skills!L24/10)+Skills!O24</f>
        <v/>
      </c>
      <c r="G730">
        <f>Skills!G24*IF(Skills!H24&gt;0,Skills!I24/Skills!H24,1)</f>
        <v/>
      </c>
      <c r="H730">
        <f>1-(1-Skills!J24/100)^Skills!K24</f>
        <v/>
      </c>
      <c r="I730" t="inlineStr">
        <is>
          <t>1</t>
        </is>
      </c>
      <c r="J730" t="inlineStr"/>
      <c r="K730" t="inlineStr"/>
      <c r="L730" t="inlineStr"/>
      <c r="M730" t="inlineStr"/>
      <c r="N730" t="inlineStr"/>
      <c r="O730" t="n">
        <v>0</v>
      </c>
      <c r="P730">
        <f>IF(B751=0,0,O730/B751)</f>
        <v/>
      </c>
      <c r="Q730" t="n">
        <v>0</v>
      </c>
      <c r="R730" t="n">
        <v>0</v>
      </c>
      <c r="S730">
        <f>IFERROR(O730/N730,0)</f>
        <v/>
      </c>
    </row>
    <row r="731">
      <c r="A731">
        <f>Skills!A25</f>
        <v/>
      </c>
      <c r="B731">
        <f>Skills!B25</f>
        <v/>
      </c>
      <c r="C731">
        <f>Inputs!$B$3&gt;=50</f>
        <v/>
      </c>
      <c r="D731">
        <f>IF(Skills!C25=1,60+Inputs!$B$24+Inputs!$B$28,IF(Skills!C25=2,90+Inputs!$B$25+Inputs!$B$28,IF(Skills!C25=3,120+Inputs!$B$26+Inputs!$B$28,MAX(0,(Inputs!$B$3-100)*3)+Inputs!$B$27+Inputs!$B$28)))</f>
        <v/>
      </c>
      <c r="E731">
        <f>INDEX(FactorTable!$B$2:$Y$301, MATCH(ROUND(MIN(300,MAX(1,D731)),0), FactorTable!$A$2:$A$301,0), Skills!M25+1)</f>
        <v/>
      </c>
      <c r="F731">
        <f>IF(Skills!N25=TRUE,(Skills!L25/10)*(E731/1000),Skills!L25/10)+Skills!O25</f>
        <v/>
      </c>
      <c r="G731">
        <f>Skills!G25*IF(Skills!H25&gt;0,Skills!I25/Skills!H25,1)</f>
        <v/>
      </c>
      <c r="H731">
        <f>1-(1-Skills!J25/100)^Skills!K25</f>
        <v/>
      </c>
      <c r="I731" t="inlineStr">
        <is>
          <t>1</t>
        </is>
      </c>
      <c r="J731" t="inlineStr"/>
      <c r="K731" t="inlineStr"/>
      <c r="L731" t="inlineStr"/>
      <c r="M731" t="inlineStr"/>
      <c r="N731" t="inlineStr"/>
      <c r="O731" t="n">
        <v>0</v>
      </c>
      <c r="P731">
        <f>IF(B751=0,0,O731/B751)</f>
        <v/>
      </c>
      <c r="Q731" t="n">
        <v>0</v>
      </c>
      <c r="R731" t="n">
        <v>0</v>
      </c>
      <c r="S731">
        <f>IFERROR(O731/N731,0)</f>
        <v/>
      </c>
    </row>
    <row r="732">
      <c r="A732">
        <f>Skills!A26</f>
        <v/>
      </c>
      <c r="B732">
        <f>Skills!B26</f>
        <v/>
      </c>
      <c r="C732">
        <f>Inputs!$B$3&gt;=50</f>
        <v/>
      </c>
      <c r="D732">
        <f>IF(Skills!C26=1,60+Inputs!$B$24+Inputs!$B$28,IF(Skills!C26=2,90+Inputs!$B$25+Inputs!$B$28,IF(Skills!C26=3,120+Inputs!$B$26+Inputs!$B$28,MAX(0,(Inputs!$B$3-100)*3)+Inputs!$B$27+Inputs!$B$28)))</f>
        <v/>
      </c>
      <c r="E732">
        <f>INDEX(FactorTable!$B$2:$Y$301, MATCH(ROUND(MIN(300,MAX(1,D732)),0), FactorTable!$A$2:$A$301,0), Skills!M26+1)</f>
        <v/>
      </c>
      <c r="F732">
        <f>IF(Skills!N26=TRUE,(Skills!L26/10)*(E732/1000),Skills!L26/10)+Skills!O26</f>
        <v/>
      </c>
      <c r="G732">
        <f>Skills!G26*IF(Skills!H26&gt;0,Skills!I26/Skills!H26,1)</f>
        <v/>
      </c>
      <c r="H732">
        <f>1-(1-Skills!J26/100)^Skills!K26</f>
        <v/>
      </c>
      <c r="I732" t="inlineStr">
        <is>
          <t>1</t>
        </is>
      </c>
      <c r="J732" t="inlineStr"/>
      <c r="K732" t="inlineStr"/>
      <c r="L732" t="inlineStr"/>
      <c r="M732" t="inlineStr"/>
      <c r="N732" t="inlineStr"/>
      <c r="O732" t="n">
        <v>0</v>
      </c>
      <c r="P732">
        <f>IF(B751=0,0,O732/B751)</f>
        <v/>
      </c>
      <c r="Q732" t="n">
        <v>0</v>
      </c>
      <c r="R732" t="n">
        <v>0</v>
      </c>
      <c r="S732">
        <f>IFERROR(O732/N732,0)</f>
        <v/>
      </c>
    </row>
    <row r="733">
      <c r="A733">
        <f>Skills!A27</f>
        <v/>
      </c>
      <c r="B733">
        <f>Skills!B27</f>
        <v/>
      </c>
      <c r="C733">
        <f>Inputs!$B$3&gt;=38</f>
        <v/>
      </c>
      <c r="D733">
        <f>IF(Skills!C27=1,60+Inputs!$B$24+Inputs!$B$28,IF(Skills!C27=2,90+Inputs!$B$25+Inputs!$B$28,IF(Skills!C27=3,120+Inputs!$B$26+Inputs!$B$28,MAX(0,(Inputs!$B$3-100)*3)+Inputs!$B$27+Inputs!$B$28)))</f>
        <v/>
      </c>
      <c r="E733">
        <f>INDEX(FactorTable!$B$2:$Y$301, MATCH(ROUND(MIN(300,MAX(1,D733)),0), FactorTable!$A$2:$A$301,0), Skills!M27+1)</f>
        <v/>
      </c>
      <c r="F733">
        <f>IF(Skills!N27=TRUE,(Skills!L27/10)*(E733/1000),Skills!L27/10)+Skills!O27</f>
        <v/>
      </c>
      <c r="G733">
        <f>Skills!G27*IF(Skills!H27&gt;0,Skills!I27/Skills!H27,1)</f>
        <v/>
      </c>
      <c r="H733">
        <f>1-(1-Skills!J27/100)^Skills!K27</f>
        <v/>
      </c>
      <c r="I733" t="inlineStr">
        <is>
          <t>1</t>
        </is>
      </c>
      <c r="J733" t="inlineStr"/>
      <c r="K733" t="inlineStr"/>
      <c r="L733" t="inlineStr"/>
      <c r="M733" t="inlineStr"/>
      <c r="N733" t="inlineStr"/>
      <c r="O733" t="n">
        <v>0</v>
      </c>
      <c r="P733">
        <f>IF(B751=0,0,O733/B751)</f>
        <v/>
      </c>
      <c r="Q733" t="n">
        <v>0</v>
      </c>
      <c r="R733" t="n">
        <v>0</v>
      </c>
      <c r="S733">
        <f>IFERROR(O733/N733,0)</f>
        <v/>
      </c>
    </row>
    <row r="734">
      <c r="A734">
        <f>Skills!A28</f>
        <v/>
      </c>
      <c r="B734">
        <f>Skills!B28</f>
        <v/>
      </c>
      <c r="C734">
        <f>Inputs!$B$3&gt;=120</f>
        <v/>
      </c>
      <c r="D734">
        <f>IF(Skills!C28=1,60+Inputs!$B$24+Inputs!$B$28,IF(Skills!C28=2,90+Inputs!$B$25+Inputs!$B$28,IF(Skills!C28=3,120+Inputs!$B$26+Inputs!$B$28,MAX(0,(Inputs!$B$3-100)*3)+Inputs!$B$27+Inputs!$B$28)))</f>
        <v/>
      </c>
      <c r="E734">
        <f>INDEX(FactorTable!$B$2:$Y$301, MATCH(ROUND(MIN(300,MAX(1,D734)),0), FactorTable!$A$2:$A$301,0), Skills!M28+1)</f>
        <v/>
      </c>
      <c r="F734">
        <f>IF(Skills!N28=TRUE,(Skills!L28/10)*(E734/1000),Skills!L28/10)+Skills!O28</f>
        <v/>
      </c>
      <c r="G734">
        <f>Skills!G28*IF(Skills!H28&gt;0,Skills!I28/Skills!H28,1)</f>
        <v/>
      </c>
      <c r="H734">
        <f>1-(1-Skills!J28/100)^Skills!K28</f>
        <v/>
      </c>
      <c r="I734" t="inlineStr">
        <is>
          <t>1</t>
        </is>
      </c>
      <c r="J734" t="inlineStr"/>
      <c r="K734" t="inlineStr"/>
      <c r="L734" t="inlineStr"/>
      <c r="M734" t="inlineStr"/>
      <c r="N734" t="inlineStr"/>
      <c r="O734" t="n">
        <v>0</v>
      </c>
      <c r="P734">
        <f>IF(B751=0,0,O734/B751)</f>
        <v/>
      </c>
      <c r="Q734" t="n">
        <v>0</v>
      </c>
      <c r="R734" t="n">
        <v>0</v>
      </c>
      <c r="S734">
        <f>IFERROR(O734/N734,0)</f>
        <v/>
      </c>
    </row>
    <row r="735">
      <c r="A735">
        <f>Skills!A29</f>
        <v/>
      </c>
      <c r="B735">
        <f>Skills!B29</f>
        <v/>
      </c>
      <c r="C735">
        <f>Inputs!$B$3&gt;=120</f>
        <v/>
      </c>
      <c r="D735">
        <f>IF(Skills!C29=1,60+Inputs!$B$24+Inputs!$B$28,IF(Skills!C29=2,90+Inputs!$B$25+Inputs!$B$28,IF(Skills!C29=3,120+Inputs!$B$26+Inputs!$B$28,MAX(0,(Inputs!$B$3-100)*3)+Inputs!$B$27+Inputs!$B$28)))</f>
        <v/>
      </c>
      <c r="E735">
        <f>INDEX(FactorTable!$B$2:$Y$301, MATCH(ROUND(MIN(300,MAX(1,D735)),0), FactorTable!$A$2:$A$301,0), Skills!M29+1)</f>
        <v/>
      </c>
      <c r="F735">
        <f>IF(Skills!N29=TRUE,(Skills!L29/10)*(E735/1000),Skills!L29/10)+Skills!O29</f>
        <v/>
      </c>
      <c r="G735">
        <f>Skills!G29*IF(Skills!H29&gt;0,Skills!I29/Skills!H29,1)</f>
        <v/>
      </c>
      <c r="H735">
        <f>1-(1-Skills!J29/100)^Skills!K29</f>
        <v/>
      </c>
      <c r="I735" t="inlineStr">
        <is>
          <t>1</t>
        </is>
      </c>
      <c r="J735" t="inlineStr"/>
      <c r="K735" t="inlineStr"/>
      <c r="L735" t="inlineStr"/>
      <c r="M735" t="inlineStr"/>
      <c r="N735" t="inlineStr"/>
      <c r="O735" t="n">
        <v>0</v>
      </c>
      <c r="P735">
        <f>IF(B751=0,0,O735/B751)</f>
        <v/>
      </c>
      <c r="Q735" t="n">
        <v>0</v>
      </c>
      <c r="R735" t="n">
        <v>0</v>
      </c>
      <c r="S735">
        <f>IFERROR(O735/N735,0)</f>
        <v/>
      </c>
    </row>
    <row r="736">
      <c r="A736">
        <f>Skills!A30</f>
        <v/>
      </c>
      <c r="B736">
        <f>Skills!B30</f>
        <v/>
      </c>
      <c r="C736">
        <f>Inputs!$B$3&gt;=125</f>
        <v/>
      </c>
      <c r="D736">
        <f>IF(Skills!C30=1,60+Inputs!$B$24+Inputs!$B$28,IF(Skills!C30=2,90+Inputs!$B$25+Inputs!$B$28,IF(Skills!C30=3,120+Inputs!$B$26+Inputs!$B$28,MAX(0,(Inputs!$B$3-100)*3)+Inputs!$B$27+Inputs!$B$28)))</f>
        <v/>
      </c>
      <c r="E736">
        <f>INDEX(FactorTable!$B$2:$Y$301, MATCH(ROUND(MIN(300,MAX(1,D736)),0), FactorTable!$A$2:$A$301,0), Skills!M30+1)</f>
        <v/>
      </c>
      <c r="F736">
        <f>IF(Skills!N30=TRUE,(Skills!L30/10)*(E736/1000),Skills!L30/10)+Skills!O30</f>
        <v/>
      </c>
      <c r="G736">
        <f>Skills!G30*IF(Skills!H30&gt;0,Skills!I30/Skills!H30,1)</f>
        <v/>
      </c>
      <c r="H736">
        <f>1-(1-Skills!J30/100)^Skills!K30</f>
        <v/>
      </c>
      <c r="I736" t="inlineStr">
        <is>
          <t>1</t>
        </is>
      </c>
      <c r="J736" t="inlineStr"/>
      <c r="K736" t="inlineStr"/>
      <c r="L736" t="inlineStr"/>
      <c r="M736" t="inlineStr"/>
      <c r="N736" t="inlineStr"/>
      <c r="O736" t="n">
        <v>0</v>
      </c>
      <c r="P736">
        <f>IF(B751=0,0,O736/B751)</f>
        <v/>
      </c>
      <c r="Q736" t="n">
        <v>0</v>
      </c>
      <c r="R736" t="n">
        <v>0</v>
      </c>
      <c r="S736">
        <f>IFERROR(O736/N736,0)</f>
        <v/>
      </c>
    </row>
    <row r="738">
      <c r="A738" t="inlineStr">
        <is>
          <t>Average Buff Multiplier</t>
        </is>
      </c>
      <c r="B738">
        <f>(1+(((C727=TRUE)*F727*IF(AND(Inputs!$B$4&lt;&gt;"pvp",Inputs!$B$35&gt;0),(((S727-1)*(Skills!Y21*(1+Inputs!$B$33/100))+MIN((Skills!Y21*(1+Inputs!$B$33/100)),MAX(0,Inputs!$B$35-((S727-1)*Skills!D21))))/Inputs!$B$35),IF(Inputs!$B$4="pvp",MIN((Skills!Y21*(1+Inputs!$B$33/100)),15)/15,(Skills!Y21*(1+Inputs!$B$33/100))/Skills!D21)))+((C729=TRUE)*(F729-Calc!F23))+((C723=TRUE)*(F723-Calc!F17)))/100)*(1+((C716=TRUE)*F716*IF(AND(Inputs!$B$4&lt;&gt;"pvp",Inputs!$B$35&gt;0),(((S716-1)*(Skills!Y10*(1+Inputs!$B$33/100))+MIN((Skills!Y10*(1+Inputs!$B$33/100)),MAX(0,Inputs!$B$35-((S716-1)*Skills!D10))))/Inputs!$B$35),IF(Inputs!$B$4="pvp",MIN((Skills!Y10*(1+Inputs!$B$33/100)),15)/15,(Skills!Y10*(1+Inputs!$B$33/100))/Skills!D10)))/100)*(1+((C721=TRUE)*F721*IF(AND(Inputs!$B$4&lt;&gt;"pvp",Inputs!$B$35&gt;0),(((S721-1)*(Skills!Y15*(1+Inputs!$B$33/100))+MIN((Skills!Y15*(1+Inputs!$B$33/100)),MAX(0,Inputs!$B$35-((S721-1)*Skills!D15))))/Inputs!$B$35),IF(Inputs!$B$4="pvp",MIN((Skills!Y15*(1+Inputs!$B$33/100)),15)/15,(Skills!Y15*(1+Inputs!$B$33/100))/Skills!D15)))/100)</f>
        <v/>
      </c>
    </row>
    <row r="739">
      <c r="A739" t="inlineStr">
        <is>
          <t>Global Crit Rate Bonus %</t>
        </is>
      </c>
      <c r="B739">
        <f>((C726=TRUE)*F726*IF(AND(Inputs!$B$4&lt;&gt;"pvp",Inputs!$B$35&gt;0),(((S726-1)*(Skills!Y20*(1+Inputs!$B$33/100))+MIN((Skills!Y20*(1+Inputs!$B$33/100)),MAX(0,Inputs!$B$35-((S726-1)*Skills!D20))))/Inputs!$B$35),IF(Inputs!$B$4="pvp",MIN((Skills!Y20*(1+Inputs!$B$33/100)),15)/15,(Skills!Y20*(1+Inputs!$B$33/100))/Skills!D20)))</f>
        <v/>
      </c>
    </row>
    <row r="740">
      <c r="A740" t="inlineStr">
        <is>
          <t>Global Monster Damage-Taken Bonus %</t>
        </is>
      </c>
      <c r="B740">
        <f>IF(Inputs!$B$3&gt;=82,15,0)</f>
        <v/>
      </c>
    </row>
    <row r="741">
      <c r="A741" t="inlineStr">
        <is>
          <t>Shadow Partner Average Multiplier</t>
        </is>
      </c>
      <c r="B741">
        <f>1+((C713=TRUE)*F713*(1+3.3333333333333335*IF(C724=TRUE,F724,0)/100)*I713*Skills!J7/100)/100</f>
        <v/>
      </c>
    </row>
    <row r="742">
      <c r="A742" t="inlineStr">
        <is>
          <t>Attack Speed Buff Bonus %</t>
        </is>
      </c>
      <c r="B742">
        <f>((C725=TRUE)*F725*IF(AND(Inputs!$B$4&lt;&gt;"pvp",Inputs!$B$35&gt;0),(((S725-1)*(Skills!Y19*(1+Inputs!$B$33/100))+MIN((Skills!Y19*(1+Inputs!$B$33/100)),MAX(0,Inputs!$B$35-((S725-1)*Skills!D19))))/Inputs!$B$35),IF(Inputs!$B$4="pvp",MIN((Skills!Y19*(1+Inputs!$B$33/100)),15)/15,(Skills!Y19*(1+Inputs!$B$33/100))/Skills!D19)))+((C709=TRUE)*F709*3)</f>
        <v/>
      </c>
    </row>
    <row r="743">
      <c r="A743" t="inlineStr">
        <is>
          <t>Actions Per Second</t>
        </is>
      </c>
      <c r="B743">
        <f>1+MIN(150,150*(1-(1-(Inputs!$B$10+((C728=TRUE)*(F728-Calc!F22)))/150)*(1-B742/150)))/100</f>
        <v/>
      </c>
    </row>
    <row r="744">
      <c r="A744" t="inlineStr">
        <is>
          <t>Skill + Buff Cast Rate</t>
        </is>
      </c>
      <c r="B744">
        <f>IF(AND(Inputs!$B$4&lt;&gt;"pvp",Inputs!$B$35&gt;0),SUMPRODUCT((Skills!E2:E30=TRUE)*(C708:C736=TRUE)*R708:R736*Skills!F2:F30)/Inputs!$B$35,SUMPRODUCT((Skills!E2:E30=TRUE)*(C708:C736=TRUE)*Q708:Q736*Skills!F2:F30))</f>
        <v/>
      </c>
    </row>
    <row r="745">
      <c r="A745" t="inlineStr">
        <is>
          <t>Cruel Stab Casts Per Second</t>
        </is>
      </c>
      <c r="B745">
        <f>MAX(0,B743-B744)</f>
        <v/>
      </c>
    </row>
    <row r="746">
      <c r="A746" t="inlineStr">
        <is>
          <t>Global Critical Damage Bonus % (Smokescreen Mastery Lv.113)</t>
        </is>
      </c>
      <c r="B746">
        <f>IF(Inputs!$B$3&gt;=113,30,0)*IF(AND(Inputs!$B$4&lt;&gt;"pvp",Inputs!$B$35&gt;0),(((S721-1)*(Skills!Y15*(1+Inputs!$B$33/100))+MIN((Skills!Y15*(1+Inputs!$B$33/100)),MAX(0,Inputs!$B$35-((S721-1)*Skills!D15))))/Inputs!$B$35),IF(Inputs!$B$4="pvp",MIN((Skills!Y15*(1+Inputs!$B$33/100)),15)/15,(Skills!Y15*(1+Inputs!$B$33/100))/Skills!D15))</f>
        <v/>
      </c>
    </row>
    <row r="747">
      <c r="A747" t="inlineStr">
        <is>
          <t>Meso Explosion average stack count</t>
        </is>
      </c>
      <c r="B747">
        <f>MIN(10,0.5*B743*Skills!D4)</f>
        <v/>
      </c>
    </row>
    <row r="748">
      <c r="A748" t="inlineStr">
        <is>
          <t>Blood Money average stack count</t>
        </is>
      </c>
      <c r="B748">
        <f>MIN(5,0.25*B743*Skills!D4)</f>
        <v/>
      </c>
    </row>
    <row r="749">
      <c r="A749" t="inlineStr">
        <is>
          <t>Assassinate Murderous Intent Multiplier</t>
        </is>
      </c>
      <c r="B749">
        <f>1+IFERROR(MIN(1,Q720*2/Q717),0)</f>
        <v/>
      </c>
    </row>
    <row r="751">
      <c r="A751" s="5" t="inlineStr">
        <is>
          <t>TOTAL DPS</t>
        </is>
      </c>
      <c r="B751" s="5">
        <f>SUM(O708:O736)</f>
        <v/>
      </c>
    </row>
    <row r="754">
      <c r="A754" s="5" t="inlineStr">
        <is>
          <t>Stat: SKILL_DAMAGE %</t>
        </is>
      </c>
    </row>
    <row r="755">
      <c r="A755" s="8" t="inlineStr">
        <is>
          <t>Key</t>
        </is>
      </c>
      <c r="B755" s="8" t="inlineStr">
        <is>
          <t>Name</t>
        </is>
      </c>
      <c r="C755" s="8" t="inlineStr">
        <is>
          <t>Unlocked</t>
        </is>
      </c>
      <c r="D755" s="8" t="inlineStr">
        <is>
          <t>InputLevel</t>
        </is>
      </c>
      <c r="E755" s="8" t="inlineStr">
        <is>
          <t>Factor</t>
        </is>
      </c>
      <c r="F755" s="8" t="inlineStr">
        <is>
          <t>CoefficientPercent</t>
        </is>
      </c>
      <c r="G755" s="8" t="inlineStr">
        <is>
          <t>EffectiveHits</t>
        </is>
      </c>
      <c r="H755" s="8" t="inlineStr">
        <is>
          <t>ProcProbability</t>
        </is>
      </c>
      <c r="I755" s="8" t="inlineStr">
        <is>
          <t>MapleHeroMultiplier</t>
        </is>
      </c>
      <c r="J755" s="8" t="inlineStr">
        <is>
          <t>BaseDamage</t>
        </is>
      </c>
      <c r="K755" s="8" t="inlineStr">
        <is>
          <t>BaseHitDamage</t>
        </is>
      </c>
      <c r="L755" s="8" t="inlineStr">
        <is>
          <t>NonCritAvg</t>
        </is>
      </c>
      <c r="M755" s="8" t="inlineStr">
        <is>
          <t>CritAvg</t>
        </is>
      </c>
      <c r="N755" s="8" t="inlineStr">
        <is>
          <t>ExpectedDamage(perHit)</t>
        </is>
      </c>
      <c r="O755" s="8" t="inlineStr">
        <is>
          <t>DPS</t>
        </is>
      </c>
      <c r="P755" s="8" t="inlineStr">
        <is>
          <t>% of Total</t>
        </is>
      </c>
      <c r="Q755" s="8" t="inlineStr">
        <is>
          <t>InvCooldown</t>
        </is>
      </c>
      <c r="R755" s="8" t="inlineStr">
        <is>
          <t>CastsInFight</t>
        </is>
      </c>
      <c r="S755" s="8" t="inlineStr">
        <is>
          <t>HitRate(perSec)</t>
        </is>
      </c>
      <c r="U755" t="inlineStr">
        <is>
          <t>helpers</t>
        </is>
      </c>
    </row>
    <row r="756">
      <c r="A756">
        <f>Skills!A2</f>
        <v/>
      </c>
      <c r="B756">
        <f>Skills!B2</f>
        <v/>
      </c>
      <c r="C756">
        <f>Inputs!$B$3&gt;=100</f>
        <v/>
      </c>
      <c r="D756" t="inlineStr"/>
      <c r="E756" t="inlineStr"/>
      <c r="F756">
        <f>U758+Skills!O2</f>
        <v/>
      </c>
      <c r="G756">
        <f>Skills!G2*IF(Skills!H2&gt;0,Skills!I2/Skills!H2,1)</f>
        <v/>
      </c>
      <c r="H756">
        <f>1-(1-Skills!J2/100)^Skills!K2</f>
        <v/>
      </c>
      <c r="I756" t="inlineStr">
        <is>
          <t>1</t>
        </is>
      </c>
      <c r="J756">
        <f>(Inputs!$B$5*(1+Inputs!$B$6/100))*(F756/100)</f>
        <v/>
      </c>
      <c r="K756">
        <f>J756*(1+((Inputs!$B$11*(1+Inputs!$B$12/100))*0.01+Inputs!$B$13*0.0025)/100)*(1+Inputs!$B$14/100)*(1+IF(Inputs!$B$4="pvp",0,(1-Summary!$B$55)*(Inputs!$B$19+0+Skills!P2+B788)+Summary!$B$55*(Inputs!$B$20+Skills!Q2+B788))/100)*(1+Inputs!$B$15/100)*(5000/(6000+Inputs!$B$7*(1-Inputs!$B$18/100)))*(1+(Inputs!$B$23+((C784=TRUE)*(F784-Calc!F30)))/100)*(1+(IF(Skills!A2="CRUEL_STAB",Inputs!$B$16+((C781=TRUE)*(F781-Calc!F27)),(Inputs!$B$17+1)+((C782=TRUE)*(F782-Calc!F28))))/100)*(((1+(((C775=TRUE)*F775*IF(AND(Inputs!$B$4&lt;&gt;"pvp",Inputs!$B$35&gt;0),(((S775-1)*(Skills!Y21*(1+Inputs!$B$33/100))+MIN((Skills!Y21*(1+Inputs!$B$33/100)),MAX(0,Inputs!$B$35-((S775-1)*Skills!D21))))/Inputs!$B$35),IF(Inputs!$B$4="pvp",MIN((Skills!Y21*(1+Inputs!$B$33/100)),15)/15,(Skills!Y21*(1+Inputs!$B$33/100))/Skills!D21)))+((C777=TRUE)*(F777-Calc!F23))+((C771=TRUE)*(F771-Calc!F17)))/100)*(1+((C764=TRUE)*F764*IF(AND(Inputs!$B$4&lt;&gt;"pvp",Inputs!$B$35&gt;0),(((S764-1)*(Skills!Y10*(1+Inputs!$B$33/100))+MIN((Skills!Y10*(1+Inputs!$B$33/100)),MAX(0,Inputs!$B$35-((S764-1)*Skills!D10))))/Inputs!$B$35),IF(Inputs!$B$4="pvp",MIN((Skills!Y10*(1+Inputs!$B$33/100)),15)/15,(Skills!Y10*(1+Inputs!$B$33/100))/Skills!D10)))/100)*(1+((C769=TRUE)*F769*IF(AND(Inputs!$B$4&lt;&gt;"pvp",Inputs!$B$35&gt;0),(((S769-1)*(Skills!Y15*(1+Inputs!$B$33/100))+MIN((Skills!Y15*(1+Inputs!$B$33/100)),MAX(0,Inputs!$B$35-((S769-1)*Skills!D15))))/Inputs!$B$35),IF(Inputs!$B$4="pvp",MIN((Skills!Y15*(1+Inputs!$B$33/100)),15)/15,(Skills!Y15*(1+Inputs!$B$33/100))/Skills!D15)))/100))*B789*I756)</f>
        <v/>
      </c>
      <c r="L756">
        <f>K756*(MIN(Inputs!$B$21+((C778=TRUE)*(F778-Calc!F24)),Inputs!$B$22+((C783=TRUE)*(F783-Calc!F29)))/100+(Inputs!$B$22+((C783=TRUE)*(F783-Calc!F29)))/100)/2</f>
        <v/>
      </c>
      <c r="M756">
        <f>L756*(1+(Inputs!$B$9+((C780=TRUE)*(F780-Calc!F26))+B794)/100)</f>
        <v/>
      </c>
      <c r="N756">
        <f>L756*(1-MIN((Inputs!$B$8+((C779=TRUE)*(F779-Calc!F25))+B787),100)/100)+M756*(MIN((Inputs!$B$8+((C779=TRUE)*(F779-Calc!F25))+B787),100)/100)</f>
        <v/>
      </c>
      <c r="O756">
        <f>IF(C756,Skills!G2*N756*B793*IF(Inputs!$B$4="pvp",1,(1-Summary!$B$55)*(1)+Summary!$B$55*(MIN((6+Inputs!$B$32),Inputs!$B$37))),0)</f>
        <v/>
      </c>
      <c r="P756">
        <f>IF(B799=0,0,O756/B799)</f>
        <v/>
      </c>
      <c r="Q756" t="n">
        <v>0</v>
      </c>
      <c r="R756" t="n">
        <v>0</v>
      </c>
      <c r="S756">
        <f>IFERROR(O756/N756,0)</f>
        <v/>
      </c>
      <c r="U756">
        <f>MAX(0,(Inputs!$B$3-100)*3)+Inputs!$B$27+Inputs!$B$28</f>
        <v/>
      </c>
    </row>
    <row r="757">
      <c r="A757">
        <f>Skills!A3</f>
        <v/>
      </c>
      <c r="B757">
        <f>Skills!B3</f>
        <v/>
      </c>
      <c r="C757">
        <f>Inputs!$B$3&gt;=35</f>
        <v/>
      </c>
      <c r="D757">
        <f>IF(Skills!C3=1,60+Inputs!$B$24+Inputs!$B$28,IF(Skills!C3=2,90+Inputs!$B$25+Inputs!$B$28,IF(Skills!C3=3,120+Inputs!$B$26+Inputs!$B$28,MAX(0,(Inputs!$B$3-100)*3)+Inputs!$B$27+Inputs!$B$28)))</f>
        <v/>
      </c>
      <c r="E757">
        <f>INDEX(FactorTable!$B$2:$Y$301, MATCH(ROUND(MIN(300,MAX(1,D757)),0), FactorTable!$A$2:$A$301,0), Skills!M3+1)</f>
        <v/>
      </c>
      <c r="F757">
        <f>IF(Skills!N3=TRUE,(Skills!L3/10)*(E757/1000),Skills!L3/10)+Skills!O3</f>
        <v/>
      </c>
      <c r="G757">
        <f>Skills!G3*IF(Skills!H3&gt;0,Skills!I3/Skills!H3,1)</f>
        <v/>
      </c>
      <c r="H757">
        <f>1-(1-Skills!J3/100)^Skills!K3</f>
        <v/>
      </c>
      <c r="I757" t="inlineStr">
        <is>
          <t>1</t>
        </is>
      </c>
      <c r="J757" t="inlineStr"/>
      <c r="K757" t="inlineStr"/>
      <c r="L757" t="inlineStr"/>
      <c r="M757" t="inlineStr"/>
      <c r="N757" t="inlineStr"/>
      <c r="O757" t="n">
        <v>0</v>
      </c>
      <c r="P757">
        <f>IF(B799=0,0,O757/B799)</f>
        <v/>
      </c>
      <c r="Q757" t="n">
        <v>0</v>
      </c>
      <c r="R757" t="n">
        <v>0</v>
      </c>
      <c r="S757">
        <f>IFERROR(O757/N757,0)</f>
        <v/>
      </c>
      <c r="U757">
        <f>INDEX(FactorTable!$B$2:$Y$301, MATCH(ROUND(MIN(300,MAX(1,U756)),0), FactorTable!$A$2:$A$301,0), 22)</f>
        <v/>
      </c>
    </row>
    <row r="758">
      <c r="A758">
        <f>Skills!A4</f>
        <v/>
      </c>
      <c r="B758">
        <f>Skills!B4</f>
        <v/>
      </c>
      <c r="C758">
        <f>Inputs!$B$3&gt;=66</f>
        <v/>
      </c>
      <c r="D758">
        <f>IF(Skills!C4=1,60+Inputs!$B$24+Inputs!$B$28,IF(Skills!C4=2,90+Inputs!$B$25+Inputs!$B$28,IF(Skills!C4=3,120+Inputs!$B$26+Inputs!$B$28,MAX(0,(Inputs!$B$3-100)*3)+Inputs!$B$27+Inputs!$B$28)))</f>
        <v/>
      </c>
      <c r="E758">
        <f>INDEX(FactorTable!$B$2:$Y$301, MATCH(ROUND(MIN(300,MAX(1,D758)),0), FactorTable!$A$2:$A$301,0), Skills!M4+1)</f>
        <v/>
      </c>
      <c r="F758">
        <f>IF(Skills!N4=TRUE,(Skills!L4/10)*(E758/1000),Skills!L4/10)+Skills!O4</f>
        <v/>
      </c>
      <c r="G758">
        <f>Skills!G4*IF(Skills!H4&gt;0,Skills!I4/Skills!H4,1)</f>
        <v/>
      </c>
      <c r="H758">
        <f>1-(1-Skills!J4/100)^Skills!K4</f>
        <v/>
      </c>
      <c r="I758" t="inlineStr">
        <is>
          <t>1</t>
        </is>
      </c>
      <c r="J758">
        <f>(Inputs!$B$5*(1+Inputs!$B$6/100))*(F758/100)</f>
        <v/>
      </c>
      <c r="K758">
        <f>J758*(1+((Inputs!$B$11*(1+Inputs!$B$12/100))*0.01+Inputs!$B$13*0.0025)/100)*(1+Inputs!$B$14/100)*(1+IF(Inputs!$B$4="pvp",0,(1-Summary!$B$55)*(Inputs!$B$19+0+Skills!P4+B788)+Summary!$B$55*(Inputs!$B$20+Skills!Q4+B788))/100)*(1+Inputs!$B$15/100)*(5000/(6000+Inputs!$B$7*(1-Inputs!$B$18/100)))*(1+(Inputs!$B$23+((C784=TRUE)*(F784-Calc!F30)))/100)*(1+(IF(Skills!A4="CRUEL_STAB",Inputs!$B$16+((C781=TRUE)*(F781-Calc!F27)),(Inputs!$B$17+1)+((C782=TRUE)*(F782-Calc!F28))))/100)*(((1+(((C775=TRUE)*F775*IF(AND(Inputs!$B$4&lt;&gt;"pvp",Inputs!$B$35&gt;0),(((S775-1)*(Skills!Y21*(1+Inputs!$B$33/100))+MIN((Skills!Y21*(1+Inputs!$B$33/100)),MAX(0,Inputs!$B$35-((S775-1)*Skills!D21))))/Inputs!$B$35),IF(Inputs!$B$4="pvp",MIN((Skills!Y21*(1+Inputs!$B$33/100)),15)/15,(Skills!Y21*(1+Inputs!$B$33/100))/Skills!D21)))+((C777=TRUE)*(F777-Calc!F23))+((C771=TRUE)*(F771-Calc!F17)))/100)*(1+((C764=TRUE)*F764*IF(AND(Inputs!$B$4&lt;&gt;"pvp",Inputs!$B$35&gt;0),(((S764-1)*(Skills!Y10*(1+Inputs!$B$33/100))+MIN((Skills!Y10*(1+Inputs!$B$33/100)),MAX(0,Inputs!$B$35-((S764-1)*Skills!D10))))/Inputs!$B$35),IF(Inputs!$B$4="pvp",MIN((Skills!Y10*(1+Inputs!$B$33/100)),15)/15,(Skills!Y10*(1+Inputs!$B$33/100))/Skills!D10)))/100)*(1+((C769=TRUE)*F769*IF(AND(Inputs!$B$4&lt;&gt;"pvp",Inputs!$B$35&gt;0),(((S769-1)*(Skills!Y15*(1+Inputs!$B$33/100))+MIN((Skills!Y15*(1+Inputs!$B$33/100)),MAX(0,Inputs!$B$35-((S769-1)*Skills!D15))))/Inputs!$B$35),IF(Inputs!$B$4="pvp",MIN((Skills!Y15*(1+Inputs!$B$33/100)),15)/15,(Skills!Y15*(1+Inputs!$B$33/100))/Skills!D15)))/100))*B789*I758)</f>
        <v/>
      </c>
      <c r="L758">
        <f>K758*(MIN(Inputs!$B$21+((C778=TRUE)*(F778-Calc!F24)),Inputs!$B$22+((C783=TRUE)*(F783-Calc!F29)))/100+(Inputs!$B$22+((C783=TRUE)*(F783-Calc!F29)))/100)/2</f>
        <v/>
      </c>
      <c r="M758">
        <f>L758*(1+(Inputs!$B$9+((C780=TRUE)*(F780-Calc!F26))+B794)/100)</f>
        <v/>
      </c>
      <c r="N758">
        <f>L758*(1-MIN((Inputs!$B$8+((C779=TRUE)*(F779-Calc!F25))+B787),100)/100)+M758*(MIN((Inputs!$B$8+((C779=TRUE)*(F779-Calc!F25))+B787),100)/100)</f>
        <v/>
      </c>
      <c r="O758">
        <f>IF(C758,H758*N758*IF(AND(Inputs!$B$4&lt;&gt;"pvp",Inputs!$B$35&gt;0),((Skills!G4*((R758-1)*IF(Skills!H4&gt;0,Skills!I4/Skills!H4,1)+IF(Skills!H4&gt;0,MIN(Skills!I4,MAX(0,Inputs!$B$35-((R758-1)*IF(Inputs!$B$4="pvp",15,MAX(0.1,Skills!D4-IF(Skills!E4=TRUE,Inputs!$B$31,0))))))/Skills!H4,1)))/Inputs!$B$35),G758*Q758)*IF(Inputs!$B$4="pvp",1,(1-Summary!$B$55)*(1)+Summary!$B$55*(MIN(MIN(10,0.5*B791*Skills!D4),Inputs!$B$37))),0)</f>
        <v/>
      </c>
      <c r="P758">
        <f>IF(B799=0,0,O758/B799)</f>
        <v/>
      </c>
      <c r="Q758">
        <f>IFERROR(1/IF(Inputs!$B$4="pvp",15,MAX(0.1,Skills!D4-IF(Skills!E4=TRUE,Inputs!$B$31,0))),0)</f>
        <v/>
      </c>
      <c r="R758">
        <f>IF(AND(Inputs!$B$4&lt;&gt;"pvp",Inputs!$B$35&gt;0),(INT(Inputs!$B$35/IF(Inputs!$B$4="pvp",15,MAX(0.1,Skills!D4-IF(Skills!E4=TRUE,Inputs!$B$31,0))))+1),0)</f>
        <v/>
      </c>
      <c r="S758">
        <f>IFERROR(O758/N758,0)</f>
        <v/>
      </c>
      <c r="U758">
        <f>290*U757/1000</f>
        <v/>
      </c>
    </row>
    <row r="759">
      <c r="A759">
        <f>Skills!A5</f>
        <v/>
      </c>
      <c r="B759">
        <f>Skills!B5</f>
        <v/>
      </c>
      <c r="C759">
        <f>Inputs!$B$3&gt;=63</f>
        <v/>
      </c>
      <c r="D759">
        <f>IF(Skills!C5=1,60+Inputs!$B$24+Inputs!$B$28,IF(Skills!C5=2,90+Inputs!$B$25+Inputs!$B$28,IF(Skills!C5=3,120+Inputs!$B$26+Inputs!$B$28,MAX(0,(Inputs!$B$3-100)*3)+Inputs!$B$27+Inputs!$B$28)))</f>
        <v/>
      </c>
      <c r="E759">
        <f>INDEX(FactorTable!$B$2:$Y$301, MATCH(ROUND(MIN(300,MAX(1,D759)),0), FactorTable!$A$2:$A$301,0), Skills!M5+1)</f>
        <v/>
      </c>
      <c r="F759">
        <f>IF(Skills!N5=TRUE,(Skills!L5/10)*(E759/1000),Skills!L5/10)+Skills!O5</f>
        <v/>
      </c>
      <c r="G759">
        <f>Skills!G5*IF(Skills!H5&gt;0,Skills!I5/Skills!H5,1)</f>
        <v/>
      </c>
      <c r="H759">
        <f>1-(1-Skills!J5/100)^Skills!K5</f>
        <v/>
      </c>
      <c r="I759" t="inlineStr">
        <is>
          <t>1</t>
        </is>
      </c>
      <c r="J759">
        <f>(Inputs!$B$5*(1+Inputs!$B$6/100))*(F759/100)</f>
        <v/>
      </c>
      <c r="K759">
        <f>J759*(1+((Inputs!$B$11*(1+Inputs!$B$12/100))*0.01+Inputs!$B$13*0.0025)/100)*(1+Inputs!$B$14/100)*(1+IF(Inputs!$B$4="pvp",0,(1-Summary!$B$55)*(Inputs!$B$19+0+Skills!P5+B788)+Summary!$B$55*(Inputs!$B$20+Skills!Q5+B788))/100)*(1+Inputs!$B$15/100)*(5000/(6000+Inputs!$B$7*(1-Inputs!$B$18/100)))*(1+(Inputs!$B$23+((C784=TRUE)*(F784-Calc!F30)))/100)*(1+2.6666666666666665*IF(C772=TRUE,F772,0)/100)*(1+(IF(Skills!A5="CRUEL_STAB",Inputs!$B$16+((C781=TRUE)*(F781-Calc!F27)),(Inputs!$B$17+1)+((C782=TRUE)*(F782-Calc!F28))))/100)*(((1+(((C775=TRUE)*F775*IF(AND(Inputs!$B$4&lt;&gt;"pvp",Inputs!$B$35&gt;0),(((S775-1)*(Skills!Y21*(1+Inputs!$B$33/100))+MIN((Skills!Y21*(1+Inputs!$B$33/100)),MAX(0,Inputs!$B$35-((S775-1)*Skills!D21))))/Inputs!$B$35),IF(Inputs!$B$4="pvp",MIN((Skills!Y21*(1+Inputs!$B$33/100)),15)/15,(Skills!Y21*(1+Inputs!$B$33/100))/Skills!D21)))+((C777=TRUE)*(F777-Calc!F23))+((C771=TRUE)*(F771-Calc!F17)))/100)*(1+((C764=TRUE)*F764*IF(AND(Inputs!$B$4&lt;&gt;"pvp",Inputs!$B$35&gt;0),(((S764-1)*(Skills!Y10*(1+Inputs!$B$33/100))+MIN((Skills!Y10*(1+Inputs!$B$33/100)),MAX(0,Inputs!$B$35-((S764-1)*Skills!D10))))/Inputs!$B$35),IF(Inputs!$B$4="pvp",MIN((Skills!Y10*(1+Inputs!$B$33/100)),15)/15,(Skills!Y10*(1+Inputs!$B$33/100))/Skills!D10)))/100)*(1+((C769=TRUE)*F769*IF(AND(Inputs!$B$4&lt;&gt;"pvp",Inputs!$B$35&gt;0),(((S769-1)*(Skills!Y15*(1+Inputs!$B$33/100))+MIN((Skills!Y15*(1+Inputs!$B$33/100)),MAX(0,Inputs!$B$35-((S769-1)*Skills!D15))))/Inputs!$B$35),IF(Inputs!$B$4="pvp",MIN((Skills!Y15*(1+Inputs!$B$33/100)),15)/15,(Skills!Y15*(1+Inputs!$B$33/100))/Skills!D15)))/100))*B789*I759)</f>
        <v/>
      </c>
      <c r="L759">
        <f>K759*(MIN(Inputs!$B$21+((C778=TRUE)*(F778-Calc!F24)),Inputs!$B$22+((C783=TRUE)*(F783-Calc!F29)))/100+(Inputs!$B$22+((C783=TRUE)*(F783-Calc!F29)))/100)/2</f>
        <v/>
      </c>
      <c r="M759">
        <f>L759*(1+(Inputs!$B$9+((C780=TRUE)*(F780-Calc!F26))+B794)/100)</f>
        <v/>
      </c>
      <c r="N759">
        <f>L759*(1-MIN((Inputs!$B$8+((C779=TRUE)*(F779-Calc!F25))+B787),100)/100)+M759*(MIN((Inputs!$B$8+((C779=TRUE)*(F779-Calc!F25))+B787),100)/100)</f>
        <v/>
      </c>
      <c r="O759">
        <f>IF(C759,H759*N759*IF(AND(Inputs!$B$4&lt;&gt;"pvp",Inputs!$B$35&gt;0),((Skills!G5*((R759-1)*IF(Skills!H5&gt;0,Skills!I5/Skills!H5,1)+IF(Skills!H5&gt;0,MIN(Skills!I5,MAX(0,Inputs!$B$35-((R759-1)*IF(Inputs!$B$4="pvp",15,MAX(0.1,Skills!D5-IF(Skills!E5=TRUE,Inputs!$B$31,0))))))/Skills!H5,1)))/Inputs!$B$35),G759*Q759)*IF(Inputs!$B$4="pvp",1,(1-Summary!$B$55)*(1)+Summary!$B$55*(MIN(Skills!W5,Inputs!$B$37))),0)</f>
        <v/>
      </c>
      <c r="P759">
        <f>IF(B799=0,0,O759/B799)</f>
        <v/>
      </c>
      <c r="Q759">
        <f>IFERROR(1/IF(Inputs!$B$4="pvp",15,MAX(0.1,Skills!D5-IF(Skills!E5=TRUE,Inputs!$B$31,0))),0)</f>
        <v/>
      </c>
      <c r="R759">
        <f>IF(AND(Inputs!$B$4&lt;&gt;"pvp",Inputs!$B$35&gt;0),(INT(Inputs!$B$35/IF(Inputs!$B$4="pvp",15,MAX(0.1,Skills!D5-IF(Skills!E5=TRUE,Inputs!$B$31,0))))+1),0)</f>
        <v/>
      </c>
      <c r="S759">
        <f>IFERROR(O759/N759,0)</f>
        <v/>
      </c>
    </row>
    <row r="760">
      <c r="A760">
        <f>Skills!A6</f>
        <v/>
      </c>
      <c r="B760">
        <f>Skills!B6</f>
        <v/>
      </c>
      <c r="C760">
        <f>Inputs!$B$3&gt;=69</f>
        <v/>
      </c>
      <c r="D760">
        <f>IF(Skills!C6=1,60+Inputs!$B$24+Inputs!$B$28,IF(Skills!C6=2,90+Inputs!$B$25+Inputs!$B$28,IF(Skills!C6=3,120+Inputs!$B$26+Inputs!$B$28,MAX(0,(Inputs!$B$3-100)*3)+Inputs!$B$27+Inputs!$B$28)))</f>
        <v/>
      </c>
      <c r="E760">
        <f>INDEX(FactorTable!$B$2:$Y$301, MATCH(ROUND(MIN(300,MAX(1,D760)),0), FactorTable!$A$2:$A$301,0), Skills!M6+1)</f>
        <v/>
      </c>
      <c r="F760">
        <f>IF(Skills!N6=TRUE,(Skills!L6/10)*(E760/1000),Skills!L6/10)+Skills!O6</f>
        <v/>
      </c>
      <c r="G760">
        <f>Skills!G6*IF(Skills!H6&gt;0,Skills!I6/Skills!H6,1)</f>
        <v/>
      </c>
      <c r="H760">
        <f>1-(1-Skills!J6/100)^Skills!K6</f>
        <v/>
      </c>
      <c r="I760" t="inlineStr">
        <is>
          <t>1</t>
        </is>
      </c>
      <c r="J760">
        <f>(Inputs!$B$5*(1+Inputs!$B$6/100))*(F760/100)</f>
        <v/>
      </c>
      <c r="K760">
        <f>J760*(1+((Inputs!$B$11*(1+Inputs!$B$12/100))*0.01+Inputs!$B$13*0.0025)/100)*(1+Inputs!$B$14/100)*(1+IF(Inputs!$B$4="pvp",0,(1-Summary!$B$55)*(Inputs!$B$19+0+Skills!P6+B788)+Summary!$B$55*(Inputs!$B$20+Skills!Q6+B788))/100)*(1+Inputs!$B$15/100)*(5000/(6000+Inputs!$B$7*(1-Inputs!$B$18/100)))*(1+(Inputs!$B$23+((C784=TRUE)*(F784-Calc!F30)))/100)*(1+1.0*IF(C772=TRUE,F772,0)/100)*(1+(IF(Skills!A6="CRUEL_STAB",Inputs!$B$16+((C781=TRUE)*(F781-Calc!F27)),(Inputs!$B$17+1)+((C782=TRUE)*(F782-Calc!F28))))/100)*(((1+(((C775=TRUE)*F775*IF(AND(Inputs!$B$4&lt;&gt;"pvp",Inputs!$B$35&gt;0),(((S775-1)*(Skills!Y21*(1+Inputs!$B$33/100))+MIN((Skills!Y21*(1+Inputs!$B$33/100)),MAX(0,Inputs!$B$35-((S775-1)*Skills!D21))))/Inputs!$B$35),IF(Inputs!$B$4="pvp",MIN((Skills!Y21*(1+Inputs!$B$33/100)),15)/15,(Skills!Y21*(1+Inputs!$B$33/100))/Skills!D21)))+((C777=TRUE)*(F777-Calc!F23))+((C771=TRUE)*(F771-Calc!F17)))/100)*(1+((C764=TRUE)*F764*IF(AND(Inputs!$B$4&lt;&gt;"pvp",Inputs!$B$35&gt;0),(((S764-1)*(Skills!Y10*(1+Inputs!$B$33/100))+MIN((Skills!Y10*(1+Inputs!$B$33/100)),MAX(0,Inputs!$B$35-((S764-1)*Skills!D10))))/Inputs!$B$35),IF(Inputs!$B$4="pvp",MIN((Skills!Y10*(1+Inputs!$B$33/100)),15)/15,(Skills!Y10*(1+Inputs!$B$33/100))/Skills!D10)))/100)*(1+((C769=TRUE)*F769*IF(AND(Inputs!$B$4&lt;&gt;"pvp",Inputs!$B$35&gt;0),(((S769-1)*(Skills!Y15*(1+Inputs!$B$33/100))+MIN((Skills!Y15*(1+Inputs!$B$33/100)),MAX(0,Inputs!$B$35-((S769-1)*Skills!D15))))/Inputs!$B$35),IF(Inputs!$B$4="pvp",MIN((Skills!Y15*(1+Inputs!$B$33/100)),15)/15,(Skills!Y15*(1+Inputs!$B$33/100))/Skills!D15)))/100))*B789*I760)</f>
        <v/>
      </c>
      <c r="L760">
        <f>K760*(MIN(Inputs!$B$21+((C778=TRUE)*(F778-Calc!F24)),Inputs!$B$22+((C783=TRUE)*(F783-Calc!F29)))/100+(Inputs!$B$22+((C783=TRUE)*(F783-Calc!F29)))/100)/2</f>
        <v/>
      </c>
      <c r="M760">
        <f>L760*(1+(Inputs!$B$9+((C780=TRUE)*(F780-Calc!F26))+B794)/100)</f>
        <v/>
      </c>
      <c r="N760">
        <f>L760*(1-MIN((Inputs!$B$8+((C779=TRUE)*(F779-Calc!F25))+B787),100)/100)+M760*(MIN((Inputs!$B$8+((C779=TRUE)*(F779-Calc!F25))+B787),100)/100)</f>
        <v/>
      </c>
      <c r="O760">
        <f>IF(C760,H760*N760*IF(AND(Inputs!$B$4&lt;&gt;"pvp",Inputs!$B$35&gt;0),((Skills!G6*((R760-1)*IF(Skills!H6&gt;0,Skills!I6/Skills!H6,1)+IF(Skills!H6&gt;0,MIN(Skills!I6,MAX(0,Inputs!$B$35-((R760-1)*IF(Inputs!$B$4="pvp",15,MAX(0.1,Skills!D6-IF(Skills!E6=TRUE,Inputs!$B$31,0))))))/Skills!H6,1)))/Inputs!$B$35),G760*Q760)*IF(Inputs!$B$4="pvp",1,(1-Summary!$B$55)*(1)+Summary!$B$55*(MIN(Skills!W6,Inputs!$B$37))),0)</f>
        <v/>
      </c>
      <c r="P760">
        <f>IF(B799=0,0,O760/B799)</f>
        <v/>
      </c>
      <c r="Q760">
        <f>IFERROR(1/IF(Inputs!$B$4="pvp",15,MAX(0.1,Skills!D6-IF(Skills!E6=TRUE,Inputs!$B$31,0))),0)</f>
        <v/>
      </c>
      <c r="R760">
        <f>IF(AND(Inputs!$B$4&lt;&gt;"pvp",Inputs!$B$35&gt;0),(INT(Inputs!$B$35/IF(Inputs!$B$4="pvp",15,MAX(0.1,Skills!D6-IF(Skills!E6=TRUE,Inputs!$B$31,0))))+1),0)</f>
        <v/>
      </c>
      <c r="S760">
        <f>IFERROR(O760/N760,0)</f>
        <v/>
      </c>
    </row>
    <row r="761">
      <c r="A761">
        <f>Skills!A7</f>
        <v/>
      </c>
      <c r="B761">
        <f>Skills!B7</f>
        <v/>
      </c>
      <c r="C761">
        <f>Inputs!$B$3&gt;=60</f>
        <v/>
      </c>
      <c r="D761">
        <f>IF(Skills!C7=1,60+Inputs!$B$24+Inputs!$B$28,IF(Skills!C7=2,90+Inputs!$B$25+Inputs!$B$28,IF(Skills!C7=3,120+Inputs!$B$26+Inputs!$B$28,MAX(0,(Inputs!$B$3-100)*3)+Inputs!$B$27+Inputs!$B$28)))</f>
        <v/>
      </c>
      <c r="E761">
        <f>INDEX(FactorTable!$B$2:$Y$301, MATCH(ROUND(MIN(300,MAX(1,D761)),0), FactorTable!$A$2:$A$301,0), Skills!M7+1)</f>
        <v/>
      </c>
      <c r="F761">
        <f>IF(Skills!N7=TRUE,(Skills!L7/10)*(E761/1000),Skills!L7/10)+Skills!O7</f>
        <v/>
      </c>
      <c r="G761">
        <f>Skills!G7*IF(Skills!H7&gt;0,Skills!I7/Skills!H7,1)</f>
        <v/>
      </c>
      <c r="H761">
        <f>1-(1-Skills!J7/100)^Skills!K7</f>
        <v/>
      </c>
      <c r="I761" t="inlineStr">
        <is>
          <t>1</t>
        </is>
      </c>
      <c r="J761" t="inlineStr"/>
      <c r="K761" t="inlineStr"/>
      <c r="L761" t="inlineStr"/>
      <c r="M761" t="inlineStr"/>
      <c r="N761" t="inlineStr"/>
      <c r="O761" t="n">
        <v>0</v>
      </c>
      <c r="P761">
        <f>IF(B799=0,0,O761/B799)</f>
        <v/>
      </c>
      <c r="Q761" t="n">
        <v>0</v>
      </c>
      <c r="R761" t="n">
        <v>0</v>
      </c>
      <c r="S761">
        <f>IFERROR(O761/N761,0)</f>
        <v/>
      </c>
    </row>
    <row r="762">
      <c r="A762">
        <f>Skills!A8</f>
        <v/>
      </c>
      <c r="B762">
        <f>Skills!B8</f>
        <v/>
      </c>
      <c r="C762">
        <f>Inputs!$B$3&gt;=72</f>
        <v/>
      </c>
      <c r="D762">
        <f>IF(Skills!C8=1,60+Inputs!$B$24+Inputs!$B$28,IF(Skills!C8=2,90+Inputs!$B$25+Inputs!$B$28,IF(Skills!C8=3,120+Inputs!$B$26+Inputs!$B$28,MAX(0,(Inputs!$B$3-100)*3)+Inputs!$B$27+Inputs!$B$28)))</f>
        <v/>
      </c>
      <c r="E762">
        <f>INDEX(FactorTable!$B$2:$Y$301, MATCH(ROUND(MIN(300,MAX(1,D762)),0), FactorTable!$A$2:$A$301,0), Skills!M8+1)</f>
        <v/>
      </c>
      <c r="F762">
        <f>IF(Skills!N8=TRUE,(Skills!L8/10)*(E762/1000),Skills!L8/10)+Skills!O8</f>
        <v/>
      </c>
      <c r="G762">
        <f>Skills!G8*IF(Skills!H8&gt;0,Skills!I8/Skills!H8,1)</f>
        <v/>
      </c>
      <c r="H762">
        <f>1-(1-Skills!J8/100)^Skills!K8</f>
        <v/>
      </c>
      <c r="I762" t="inlineStr">
        <is>
          <t>1</t>
        </is>
      </c>
      <c r="J762">
        <f>(Inputs!$B$5*(1+Inputs!$B$6/100))*(F762/100)</f>
        <v/>
      </c>
      <c r="K762">
        <f>J762*(1+((Inputs!$B$11*(1+Inputs!$B$12/100))*0.01+Inputs!$B$13*0.0025)/100)*(1+Inputs!$B$14/100)*(1+IF(Inputs!$B$4="pvp",0,(1-Summary!$B$55)*(Inputs!$B$19+0+Skills!P8+B788)+Summary!$B$55*(Inputs!$B$20+Skills!Q8+B788))/100)*(1+Inputs!$B$15/100)*(5000/(6000+Inputs!$B$7*(1-Inputs!$B$18/100)))*(1+(Inputs!$B$23+((C784=TRUE)*(F784-Calc!F30)))/100)*(1+3.3333333333333335*IF(C772=TRUE,F772,0)/100)*(1+(IF(Skills!A8="CRUEL_STAB",Inputs!$B$16+((C781=TRUE)*(F781-Calc!F27)),(Inputs!$B$17+1)+((C782=TRUE)*(F782-Calc!F28))))/100)*(((1+(((C775=TRUE)*F775*IF(AND(Inputs!$B$4&lt;&gt;"pvp",Inputs!$B$35&gt;0),(((S775-1)*(Skills!Y21*(1+Inputs!$B$33/100))+MIN((Skills!Y21*(1+Inputs!$B$33/100)),MAX(0,Inputs!$B$35-((S775-1)*Skills!D21))))/Inputs!$B$35),IF(Inputs!$B$4="pvp",MIN((Skills!Y21*(1+Inputs!$B$33/100)),15)/15,(Skills!Y21*(1+Inputs!$B$33/100))/Skills!D21)))+((C777=TRUE)*(F777-Calc!F23))+((C771=TRUE)*(F771-Calc!F17)))/100)*(1+((C764=TRUE)*F764*IF(AND(Inputs!$B$4&lt;&gt;"pvp",Inputs!$B$35&gt;0),(((S764-1)*(Skills!Y10*(1+Inputs!$B$33/100))+MIN((Skills!Y10*(1+Inputs!$B$33/100)),MAX(0,Inputs!$B$35-((S764-1)*Skills!D10))))/Inputs!$B$35),IF(Inputs!$B$4="pvp",MIN((Skills!Y10*(1+Inputs!$B$33/100)),15)/15,(Skills!Y10*(1+Inputs!$B$33/100))/Skills!D10)))/100)*(1+((C769=TRUE)*F769*IF(AND(Inputs!$B$4&lt;&gt;"pvp",Inputs!$B$35&gt;0),(((S769-1)*(Skills!Y15*(1+Inputs!$B$33/100))+MIN((Skills!Y15*(1+Inputs!$B$33/100)),MAX(0,Inputs!$B$35-((S769-1)*Skills!D15))))/Inputs!$B$35),IF(Inputs!$B$4="pvp",MIN((Skills!Y15*(1+Inputs!$B$33/100)),15)/15,(Skills!Y15*(1+Inputs!$B$33/100))/Skills!D15)))/100))*B789*I762)</f>
        <v/>
      </c>
      <c r="L762">
        <f>K762*(MIN(Inputs!$B$21+((C778=TRUE)*(F778-Calc!F24)),Inputs!$B$22+((C783=TRUE)*(F783-Calc!F29)))/100+(Inputs!$B$22+((C783=TRUE)*(F783-Calc!F29)))/100)/2</f>
        <v/>
      </c>
      <c r="M762">
        <f>L762*(1+(Inputs!$B$9+((C780=TRUE)*(F780-Calc!F26))+B794)/100)</f>
        <v/>
      </c>
      <c r="N762">
        <f>L762*(1-MIN((Inputs!$B$8+((C779=TRUE)*(F779-Calc!F25))+B787),100)/100)+M762*(MIN((Inputs!$B$8+((C779=TRUE)*(F779-Calc!F25))+B787),100)/100)</f>
        <v/>
      </c>
      <c r="O762">
        <f>IF(C762,H762*N762*IF(AND(Inputs!$B$4&lt;&gt;"pvp",Inputs!$B$35&gt;0),((Skills!G8*((R762-1)*IF(Skills!H8&gt;0,Skills!I8/Skills!H8,1)+IF(Skills!H8&gt;0,MIN(Skills!I8,MAX(0,Inputs!$B$35-((R762-1)*IF(Inputs!$B$4="pvp",15,MAX(0.1,Skills!D8-IF(Skills!E8=TRUE,Inputs!$B$31,0))))))/Skills!H8,1)))/Inputs!$B$35),G762*Q762)*IF(Inputs!$B$4="pvp",1,(1-Summary!$B$55)*(1)+Summary!$B$55*(MIN(Skills!W8,Inputs!$B$37))),0)</f>
        <v/>
      </c>
      <c r="P762">
        <f>IF(B799=0,0,O762/B799)</f>
        <v/>
      </c>
      <c r="Q762">
        <f>IFERROR(1/IF(Inputs!$B$4="pvp",15,MAX(0.1,Skills!D8-IF(Skills!E8=TRUE,Inputs!$B$31,0))),0)</f>
        <v/>
      </c>
      <c r="R762">
        <f>IF(AND(Inputs!$B$4&lt;&gt;"pvp",Inputs!$B$35&gt;0),(INT(Inputs!$B$35/IF(Inputs!$B$4="pvp",15,MAX(0.1,Skills!D8-IF(Skills!E8=TRUE,Inputs!$B$31,0))))+1),0)</f>
        <v/>
      </c>
      <c r="S762">
        <f>IFERROR(O762/N762,0)</f>
        <v/>
      </c>
    </row>
    <row r="763">
      <c r="A763">
        <f>Skills!A9</f>
        <v/>
      </c>
      <c r="B763">
        <f>Skills!B9</f>
        <v/>
      </c>
      <c r="C763">
        <f>Inputs!$B$3&gt;=117</f>
        <v/>
      </c>
      <c r="D763">
        <f>IF(Skills!C9=1,60+Inputs!$B$24+Inputs!$B$28,IF(Skills!C9=2,90+Inputs!$B$25+Inputs!$B$28,IF(Skills!C9=3,120+Inputs!$B$26+Inputs!$B$28,MAX(0,(Inputs!$B$3-100)*3)+Inputs!$B$27+Inputs!$B$28)))</f>
        <v/>
      </c>
      <c r="E763">
        <f>INDEX(FactorTable!$B$2:$Y$301, MATCH(ROUND(MIN(300,MAX(1,D763)),0), FactorTable!$A$2:$A$301,0), Skills!M9+1)</f>
        <v/>
      </c>
      <c r="F763">
        <f>IF(Skills!N9=TRUE,(Skills!L9/10)*(E763/1000),Skills!L9/10)+Skills!O9</f>
        <v/>
      </c>
      <c r="G763">
        <f>Skills!G9*IF(Skills!H9&gt;0,Skills!I9/Skills!H9,1)</f>
        <v/>
      </c>
      <c r="H763">
        <f>1-(1-Skills!J9/100)^Skills!K9</f>
        <v/>
      </c>
      <c r="I763" t="inlineStr">
        <is>
          <t>1</t>
        </is>
      </c>
      <c r="J763">
        <f>(Inputs!$B$5*(1+Inputs!$B$6/100))*(F763/100)</f>
        <v/>
      </c>
      <c r="K763">
        <f>J763*(1+((Inputs!$B$11*(1+Inputs!$B$12/100))*0.01+Inputs!$B$13*0.0025)/100)*(1+Inputs!$B$14/100)*(1+IF(Inputs!$B$4="pvp",0,(1-Summary!$B$55)*(Inputs!$B$19+0+Skills!P9+B788)+Summary!$B$55*(Inputs!$B$20+Skills!Q9+B788))/100)*(1+Inputs!$B$15/100)*(5000/(6000+Inputs!$B$7*(1-Inputs!$B$18/100)))*(1+(Inputs!$B$23+((C784=TRUE)*(F784-Calc!F30)))/100)*(1+(IF(Skills!A9="CRUEL_STAB",Inputs!$B$16+((C781=TRUE)*(F781-Calc!F27)),(Inputs!$B$17+1)+((C782=TRUE)*(F782-Calc!F28))))/100)*(((1+(((C775=TRUE)*F775*IF(AND(Inputs!$B$4&lt;&gt;"pvp",Inputs!$B$35&gt;0),(((S775-1)*(Skills!Y21*(1+Inputs!$B$33/100))+MIN((Skills!Y21*(1+Inputs!$B$33/100)),MAX(0,Inputs!$B$35-((S775-1)*Skills!D21))))/Inputs!$B$35),IF(Inputs!$B$4="pvp",MIN((Skills!Y21*(1+Inputs!$B$33/100)),15)/15,(Skills!Y21*(1+Inputs!$B$33/100))/Skills!D21)))+((C777=TRUE)*(F777-Calc!F23))+((C771=TRUE)*(F771-Calc!F17)))/100)*(1+((C764=TRUE)*F764*IF(AND(Inputs!$B$4&lt;&gt;"pvp",Inputs!$B$35&gt;0),(((S764-1)*(Skills!Y10*(1+Inputs!$B$33/100))+MIN((Skills!Y10*(1+Inputs!$B$33/100)),MAX(0,Inputs!$B$35-((S764-1)*Skills!D10))))/Inputs!$B$35),IF(Inputs!$B$4="pvp",MIN((Skills!Y10*(1+Inputs!$B$33/100)),15)/15,(Skills!Y10*(1+Inputs!$B$33/100))/Skills!D10)))/100)*(1+((C769=TRUE)*F769*IF(AND(Inputs!$B$4&lt;&gt;"pvp",Inputs!$B$35&gt;0),(((S769-1)*(Skills!Y15*(1+Inputs!$B$33/100))+MIN((Skills!Y15*(1+Inputs!$B$33/100)),MAX(0,Inputs!$B$35-((S769-1)*Skills!D15))))/Inputs!$B$35),IF(Inputs!$B$4="pvp",MIN((Skills!Y15*(1+Inputs!$B$33/100)),15)/15,(Skills!Y15*(1+Inputs!$B$33/100))/Skills!D15)))/100))*B789*I763)</f>
        <v/>
      </c>
      <c r="L763">
        <f>K763*(MIN(Inputs!$B$21+((C778=TRUE)*(F778-Calc!F24)),Inputs!$B$22+((C783=TRUE)*(F783-Calc!F29)))/100+(Inputs!$B$22+((C783=TRUE)*(F783-Calc!F29)))/100)/2</f>
        <v/>
      </c>
      <c r="M763">
        <f>L763*(1+(Inputs!$B$9+((C780=TRUE)*(F780-Calc!F26))+B794)/100)</f>
        <v/>
      </c>
      <c r="N763">
        <f>L763*(1-MIN((Inputs!$B$8+((C779=TRUE)*(F779-Calc!F25))+B787),100)/100)+M763*(MIN((Inputs!$B$8+((C779=TRUE)*(F779-Calc!F25))+B787),100)/100)</f>
        <v/>
      </c>
      <c r="O763">
        <f>IF(C763,0.2*SUMPRODUCT((Skills!Z2:Z30=TRUE)*(C756:C784=TRUE)*S756:S784)*N763,0)</f>
        <v/>
      </c>
      <c r="P763">
        <f>IF(B799=0,0,O763/B799)</f>
        <v/>
      </c>
      <c r="Q763" t="n">
        <v>0</v>
      </c>
      <c r="R763" t="n">
        <v>0</v>
      </c>
      <c r="S763" t="n">
        <v>0</v>
      </c>
    </row>
    <row r="764">
      <c r="A764">
        <f>Skills!A10</f>
        <v/>
      </c>
      <c r="B764">
        <f>Skills!B10</f>
        <v/>
      </c>
      <c r="C764">
        <f>Inputs!$B$3&gt;=74</f>
        <v/>
      </c>
      <c r="D764">
        <f>IF(Skills!C10=1,60+Inputs!$B$24+Inputs!$B$28,IF(Skills!C10=2,90+Inputs!$B$25+Inputs!$B$28,IF(Skills!C10=3,120+Inputs!$B$26+Inputs!$B$28,MAX(0,(Inputs!$B$3-100)*3)+Inputs!$B$27+Inputs!$B$28)))</f>
        <v/>
      </c>
      <c r="E764">
        <f>INDEX(FactorTable!$B$2:$Y$301, MATCH(ROUND(MIN(300,MAX(1,D764)),0), FactorTable!$A$2:$A$301,0), Skills!M10+1)</f>
        <v/>
      </c>
      <c r="F764">
        <f>IF(Skills!N10=TRUE,(Skills!L10/10)*(E764/1000),Skills!L10/10)+Skills!O10</f>
        <v/>
      </c>
      <c r="G764">
        <f>Skills!G10*IF(Skills!H10&gt;0,Skills!I10/Skills!H10,1)</f>
        <v/>
      </c>
      <c r="H764">
        <f>1-(1-Skills!J10/100)^Skills!K10</f>
        <v/>
      </c>
      <c r="I764" t="inlineStr">
        <is>
          <t>1</t>
        </is>
      </c>
      <c r="J764" t="inlineStr"/>
      <c r="K764" t="inlineStr"/>
      <c r="L764" t="inlineStr"/>
      <c r="M764" t="inlineStr"/>
      <c r="N764" t="inlineStr"/>
      <c r="O764" t="n">
        <v>0</v>
      </c>
      <c r="P764">
        <f>IF(B799=0,0,O764/B799)</f>
        <v/>
      </c>
      <c r="Q764">
        <f>IFERROR(1/IF(Inputs!$B$4="pvp",15,MAX(0.1,Skills!D10-IF(Skills!E10=TRUE,Inputs!$B$31,0))),0)</f>
        <v/>
      </c>
      <c r="R764">
        <f>IF(AND(Inputs!$B$4&lt;&gt;"pvp",Inputs!$B$35&gt;0),(INT(Inputs!$B$35/IF(Inputs!$B$4="pvp",15,MAX(0.1,Skills!D10-IF(Skills!E10=TRUE,Inputs!$B$31,0))))+1),0)</f>
        <v/>
      </c>
      <c r="S764">
        <f>IFERROR(O764/N764,0)</f>
        <v/>
      </c>
    </row>
    <row r="765">
      <c r="A765">
        <f>Skills!A11</f>
        <v/>
      </c>
      <c r="B765">
        <f>Skills!B11</f>
        <v/>
      </c>
      <c r="C765">
        <f>Inputs!$B$3&gt;=103</f>
        <v/>
      </c>
      <c r="D765">
        <f>IF(Skills!C11=1,60+Inputs!$B$24+Inputs!$B$28,IF(Skills!C11=2,90+Inputs!$B$25+Inputs!$B$28,IF(Skills!C11=3,120+Inputs!$B$26+Inputs!$B$28,MAX(0,(Inputs!$B$3-100)*3)+Inputs!$B$27+Inputs!$B$28)))</f>
        <v/>
      </c>
      <c r="E765">
        <f>INDEX(FactorTable!$B$2:$Y$301, MATCH(ROUND(MIN(300,MAX(1,D765)),0), FactorTable!$A$2:$A$301,0), Skills!M11+1)</f>
        <v/>
      </c>
      <c r="F765">
        <f>(Skills!L11/10)*(E765/1000)+IF(Inputs!$B$3&gt;=134,50,0)+0.5*(30000/10)*(INDEX(FactorTable!$B$2:$Y$301, MATCH(ROUND(MIN(300,MAX(1,D765)),0), FactorTable!$A$2:$A$301,0), 13)/1000)*B797</f>
        <v/>
      </c>
      <c r="G765">
        <f>Skills!G11*IF(Skills!H11&gt;0,Skills!I11/Skills!H11,1)</f>
        <v/>
      </c>
      <c r="H765">
        <f>1-(1-Skills!J11/100)^Skills!K11</f>
        <v/>
      </c>
      <c r="I765" t="inlineStr">
        <is>
          <t>1</t>
        </is>
      </c>
      <c r="J765">
        <f>(Inputs!$B$5*(1+Inputs!$B$6/100))*(F765/100)</f>
        <v/>
      </c>
      <c r="K765">
        <f>J765*(1+((Inputs!$B$11*(1+Inputs!$B$12/100))*0.01+Inputs!$B$13*0.0025)/100)*(1+Inputs!$B$14/100)*(1+IF(Inputs!$B$4="pvp",0,(1-Summary!$B$55)*(Inputs!$B$19+0+Skills!P11+B788)+Summary!$B$55*(Inputs!$B$20+Skills!Q11+B788))/100)*(1+Inputs!$B$15/100)*(5000/(6000+Inputs!$B$7*(1-Inputs!$B$18/100)))*(1+(Inputs!$B$23+((C784=TRUE)*(F784-Calc!F30)))/100)*(1+(IF(Skills!A11="CRUEL_STAB",Inputs!$B$16+((C781=TRUE)*(F781-Calc!F27)),(Inputs!$B$17+1)+((C782=TRUE)*(F782-Calc!F28))))/100)*(((1+(((C775=TRUE)*F775*IF(AND(Inputs!$B$4&lt;&gt;"pvp",Inputs!$B$35&gt;0),(((S775-1)*(Skills!Y21*(1+Inputs!$B$33/100))+MIN((Skills!Y21*(1+Inputs!$B$33/100)),MAX(0,Inputs!$B$35-((S775-1)*Skills!D21))))/Inputs!$B$35),IF(Inputs!$B$4="pvp",MIN((Skills!Y21*(1+Inputs!$B$33/100)),15)/15,(Skills!Y21*(1+Inputs!$B$33/100))/Skills!D21)))+((C777=TRUE)*(F777-Calc!F23))+((C771=TRUE)*(F771-Calc!F17)))/100)*(1+((C764=TRUE)*F764*IF(AND(Inputs!$B$4&lt;&gt;"pvp",Inputs!$B$35&gt;0),(((S764-1)*(Skills!Y10*(1+Inputs!$B$33/100))+MIN((Skills!Y10*(1+Inputs!$B$33/100)),MAX(0,Inputs!$B$35-((S764-1)*Skills!D10))))/Inputs!$B$35),IF(Inputs!$B$4="pvp",MIN((Skills!Y10*(1+Inputs!$B$33/100)),15)/15,(Skills!Y10*(1+Inputs!$B$33/100))/Skills!D10)))/100)*(1+((C769=TRUE)*F769*IF(AND(Inputs!$B$4&lt;&gt;"pvp",Inputs!$B$35&gt;0),(((S769-1)*(Skills!Y15*(1+Inputs!$B$33/100))+MIN((Skills!Y15*(1+Inputs!$B$33/100)),MAX(0,Inputs!$B$35-((S769-1)*Skills!D15))))/Inputs!$B$35),IF(Inputs!$B$4="pvp",MIN((Skills!Y15*(1+Inputs!$B$33/100)),15)/15,(Skills!Y15*(1+Inputs!$B$33/100))/Skills!D15)))/100))*B789*I765)</f>
        <v/>
      </c>
      <c r="L765">
        <f>K765*(MIN(Inputs!$B$21+((C778=TRUE)*(F778-Calc!F24)),Inputs!$B$22+((C783=TRUE)*(F783-Calc!F29)))/100+(Inputs!$B$22+((C783=TRUE)*(F783-Calc!F29)))/100)/2</f>
        <v/>
      </c>
      <c r="M765">
        <f>L765*(1+(Inputs!$B$9+((C780=TRUE)*(F780-Calc!F26))+B794)/100)</f>
        <v/>
      </c>
      <c r="N765">
        <f>L765*(1-MIN((Inputs!$B$8+((C779=TRUE)*(F779-Calc!F25))+B787),100)/100)+M765*(MIN((Inputs!$B$8+((C779=TRUE)*(F779-Calc!F25))+B787),100)/100)</f>
        <v/>
      </c>
      <c r="O765">
        <f>IF(C765,H765*N765*IF(AND(Inputs!$B$4&lt;&gt;"pvp",Inputs!$B$35&gt;0),((Skills!G11*((R765-1)*IF(Skills!H11&gt;0,Skills!I11/Skills!H11,1)+IF(Skills!H11&gt;0,MIN(Skills!I11,MAX(0,Inputs!$B$35-((R765-1)*IF(Inputs!$B$4="pvp",15,MAX(0.1,Skills!D11-IF(Skills!E11=TRUE,Inputs!$B$31,0))))))/Skills!H11,1)))/Inputs!$B$35),G765*Q765)*IF(Inputs!$B$4="pvp",1,(1-Summary!$B$55)*(1)+Summary!$B$55*(MIN(Skills!W11,Inputs!$B$37))),0)</f>
        <v/>
      </c>
      <c r="P765">
        <f>IF(B799=0,0,O765/B799)</f>
        <v/>
      </c>
      <c r="Q765">
        <f>IFERROR(1/IF(Inputs!$B$4="pvp",15,MAX(0.1,Skills!D11-IF(Skills!E11=TRUE,Inputs!$B$31,0))),0)</f>
        <v/>
      </c>
      <c r="R765">
        <f>IF(AND(Inputs!$B$4&lt;&gt;"pvp",Inputs!$B$35&gt;0),(INT(Inputs!$B$35/IF(Inputs!$B$4="pvp",15,MAX(0.1,Skills!D11-IF(Skills!E11=TRUE,Inputs!$B$31,0))))+1),0)</f>
        <v/>
      </c>
      <c r="S765">
        <f>IFERROR(O765/N765,0)</f>
        <v/>
      </c>
    </row>
    <row r="766">
      <c r="A766">
        <f>Skills!A12</f>
        <v/>
      </c>
      <c r="B766">
        <f>Skills!B12</f>
        <v/>
      </c>
      <c r="C766">
        <f>Inputs!$B$3&gt;=105</f>
        <v/>
      </c>
      <c r="D766">
        <f>IF(Skills!C12=1,60+Inputs!$B$24+Inputs!$B$28,IF(Skills!C12=2,90+Inputs!$B$25+Inputs!$B$28,IF(Skills!C12=3,120+Inputs!$B$26+Inputs!$B$28,MAX(0,(Inputs!$B$3-100)*3)+Inputs!$B$27+Inputs!$B$28)))</f>
        <v/>
      </c>
      <c r="E766">
        <f>INDEX(FactorTable!$B$2:$Y$301, MATCH(ROUND(MIN(300,MAX(1,D766)),0), FactorTable!$A$2:$A$301,0), Skills!M12+1)</f>
        <v/>
      </c>
      <c r="F766">
        <f>IF(Skills!N12=TRUE,(Skills!L12/10)*(E766/1000),Skills!L12/10)+Skills!O12</f>
        <v/>
      </c>
      <c r="G766">
        <f>Skills!G12*IF(Skills!H12&gt;0,Skills!I12/Skills!H12,1)</f>
        <v/>
      </c>
      <c r="H766">
        <f>1-(1-Skills!J12/100)^Skills!K12</f>
        <v/>
      </c>
      <c r="I766" t="inlineStr">
        <is>
          <t>1</t>
        </is>
      </c>
      <c r="J766">
        <f>(Inputs!$B$5*(1+Inputs!$B$6/100))*(F766/100)</f>
        <v/>
      </c>
      <c r="K766">
        <f>J766*(1+((Inputs!$B$11*(1+Inputs!$B$12/100))*0.01+Inputs!$B$13*0.0025)/100)*(1+Inputs!$B$14/100)*(1+IF(Inputs!$B$4="pvp",0,(1-Summary!$B$55)*(Inputs!$B$19+0+Skills!P12+B788)+Summary!$B$55*(Inputs!$B$20+Skills!Q12+B788))/100)*(1+Inputs!$B$15/100)*(5000/(6000+Inputs!$B$7*(1-Inputs!$B$18/100)))*(1+(Inputs!$B$23+((C784=TRUE)*(F784-Calc!F30)))/100)*(1+(IF(Skills!A12="CRUEL_STAB",Inputs!$B$16+((C781=TRUE)*(F781-Calc!F27)),(Inputs!$B$17+1)+((C782=TRUE)*(F782-Calc!F28))))/100)*(((1+(((C775=TRUE)*F775*IF(AND(Inputs!$B$4&lt;&gt;"pvp",Inputs!$B$35&gt;0),(((S775-1)*(Skills!Y21*(1+Inputs!$B$33/100))+MIN((Skills!Y21*(1+Inputs!$B$33/100)),MAX(0,Inputs!$B$35-((S775-1)*Skills!D21))))/Inputs!$B$35),IF(Inputs!$B$4="pvp",MIN((Skills!Y21*(1+Inputs!$B$33/100)),15)/15,(Skills!Y21*(1+Inputs!$B$33/100))/Skills!D21)))+((C777=TRUE)*(F777-Calc!F23))+((C771=TRUE)*(F771-Calc!F17)))/100)*(1+((C764=TRUE)*F764*IF(AND(Inputs!$B$4&lt;&gt;"pvp",Inputs!$B$35&gt;0),(((S764-1)*(Skills!Y10*(1+Inputs!$B$33/100))+MIN((Skills!Y10*(1+Inputs!$B$33/100)),MAX(0,Inputs!$B$35-((S764-1)*Skills!D10))))/Inputs!$B$35),IF(Inputs!$B$4="pvp",MIN((Skills!Y10*(1+Inputs!$B$33/100)),15)/15,(Skills!Y10*(1+Inputs!$B$33/100))/Skills!D10)))/100)*(1+((C769=TRUE)*F769*IF(AND(Inputs!$B$4&lt;&gt;"pvp",Inputs!$B$35&gt;0),(((S769-1)*(Skills!Y15*(1+Inputs!$B$33/100))+MIN((Skills!Y15*(1+Inputs!$B$33/100)),MAX(0,Inputs!$B$35-((S769-1)*Skills!D15))))/Inputs!$B$35),IF(Inputs!$B$4="pvp",MIN((Skills!Y15*(1+Inputs!$B$33/100)),15)/15,(Skills!Y15*(1+Inputs!$B$33/100))/Skills!D15)))/100))*B789*I766)</f>
        <v/>
      </c>
      <c r="L766">
        <f>K766*(MIN(Inputs!$B$21+((C778=TRUE)*(F778-Calc!F24)),Inputs!$B$22+((C783=TRUE)*(F783-Calc!F29)))/100+(Inputs!$B$22+((C783=TRUE)*(F783-Calc!F29)))/100)/2</f>
        <v/>
      </c>
      <c r="M766">
        <f>L766*(1+(Inputs!$B$9+((C780=TRUE)*(F780-Calc!F26))+B794)/100)</f>
        <v/>
      </c>
      <c r="N766">
        <f>L766*(1-MIN((Inputs!$B$8+((C779=TRUE)*(F779-Calc!F25))+B787),100)/100)+M766*(MIN((Inputs!$B$8+((C779=TRUE)*(F779-Calc!F25))+B787),100)/100)</f>
        <v/>
      </c>
      <c r="O766">
        <f>IF(C766,H766*N766*IF(AND(Inputs!$B$4&lt;&gt;"pvp",Inputs!$B$35&gt;0),((Skills!G12*((R766-1)*IF(Skills!H12&gt;0,Skills!I12/Skills!H12,1)+IF(Skills!H12&gt;0,MIN(Skills!I12,MAX(0,Inputs!$B$35-((R766-1)*IF(Inputs!$B$4="pvp",15,MAX(0.1,Skills!D12-IF(Skills!E12=TRUE,Inputs!$B$31,0))))))/Skills!H12,1)))/Inputs!$B$35),G766*Q766)*IF(Inputs!$B$4="pvp",1,(1-Summary!$B$55)*(1)+Summary!$B$55*(MIN(Skills!W12,Inputs!$B$37))),0)</f>
        <v/>
      </c>
      <c r="P766">
        <f>IF(B799=0,0,O766/B799)</f>
        <v/>
      </c>
      <c r="Q766">
        <f>IFERROR(1/IF(Inputs!$B$4="pvp",15,MAX(0.1,Skills!D12-IF(Skills!E12=TRUE,Inputs!$B$31,0))),0)</f>
        <v/>
      </c>
      <c r="R766">
        <f>IF(AND(Inputs!$B$4&lt;&gt;"pvp",Inputs!$B$35&gt;0),(INT(Inputs!$B$35/IF(Inputs!$B$4="pvp",15,MAX(0.1,Skills!D12-IF(Skills!E12=TRUE,Inputs!$B$31,0))))+1),0)</f>
        <v/>
      </c>
      <c r="S766">
        <f>IFERROR(O766/N766,0)</f>
        <v/>
      </c>
    </row>
    <row r="767">
      <c r="A767">
        <f>Skills!A13</f>
        <v/>
      </c>
      <c r="B767">
        <f>Skills!B13</f>
        <v/>
      </c>
      <c r="C767">
        <f>Inputs!$B$3&gt;=105</f>
        <v/>
      </c>
      <c r="D767">
        <f>IF(Skills!C13=1,60+Inputs!$B$24+Inputs!$B$28,IF(Skills!C13=2,90+Inputs!$B$25+Inputs!$B$28,IF(Skills!C13=3,120+Inputs!$B$26+Inputs!$B$28,MAX(0,(Inputs!$B$3-100)*3)+Inputs!$B$27+Inputs!$B$28)))</f>
        <v/>
      </c>
      <c r="E767">
        <f>INDEX(FactorTable!$B$2:$Y$301, MATCH(ROUND(MIN(300,MAX(1,D767)),0), FactorTable!$A$2:$A$301,0), Skills!M13+1)</f>
        <v/>
      </c>
      <c r="F767">
        <f>IF(Skills!N13=TRUE,(Skills!L13/10)*(E767/1000),Skills!L13/10)+Skills!O13</f>
        <v/>
      </c>
      <c r="G767">
        <f>Skills!G13*IF(Skills!H13&gt;0,Skills!I13/Skills!H13,1)</f>
        <v/>
      </c>
      <c r="H767">
        <f>1-(1-Skills!J13/100)^Skills!K13</f>
        <v/>
      </c>
      <c r="I767" t="inlineStr">
        <is>
          <t>1</t>
        </is>
      </c>
      <c r="J767">
        <f>(Inputs!$B$5*(1+Inputs!$B$6/100))*(F767/100)</f>
        <v/>
      </c>
      <c r="K767">
        <f>J767*(1+((Inputs!$B$11*(1+Inputs!$B$12/100))*0.01+Inputs!$B$13*0.0025)/100)*(1+Inputs!$B$14/100)*(1+IF(Inputs!$B$4="pvp",0,(1-Summary!$B$55)*(Inputs!$B$19+0+Skills!P13+B788)+Summary!$B$55*(Inputs!$B$20+Skills!Q13+B788))/100)*(1+Inputs!$B$15/100)*(5000/(6000+Inputs!$B$7*(1-Inputs!$B$18/100)))*(1+(Inputs!$B$23+((C784=TRUE)*(F784-Calc!F30)))/100)*(1+(IF(Skills!A13="CRUEL_STAB",Inputs!$B$16+((C781=TRUE)*(F781-Calc!F27)),(Inputs!$B$17+1)+((C782=TRUE)*(F782-Calc!F28))))/100)*(((1+(((C775=TRUE)*F775*IF(AND(Inputs!$B$4&lt;&gt;"pvp",Inputs!$B$35&gt;0),(((S775-1)*(Skills!Y21*(1+Inputs!$B$33/100))+MIN((Skills!Y21*(1+Inputs!$B$33/100)),MAX(0,Inputs!$B$35-((S775-1)*Skills!D21))))/Inputs!$B$35),IF(Inputs!$B$4="pvp",MIN((Skills!Y21*(1+Inputs!$B$33/100)),15)/15,(Skills!Y21*(1+Inputs!$B$33/100))/Skills!D21)))+((C777=TRUE)*(F777-Calc!F23))+((C771=TRUE)*(F771-Calc!F17)))/100)*(1+((C764=TRUE)*F764*IF(AND(Inputs!$B$4&lt;&gt;"pvp",Inputs!$B$35&gt;0),(((S764-1)*(Skills!Y10*(1+Inputs!$B$33/100))+MIN((Skills!Y10*(1+Inputs!$B$33/100)),MAX(0,Inputs!$B$35-((S764-1)*Skills!D10))))/Inputs!$B$35),IF(Inputs!$B$4="pvp",MIN((Skills!Y10*(1+Inputs!$B$33/100)),15)/15,(Skills!Y10*(1+Inputs!$B$33/100))/Skills!D10)))/100)*(1+((C769=TRUE)*F769*IF(AND(Inputs!$B$4&lt;&gt;"pvp",Inputs!$B$35&gt;0),(((S769-1)*(Skills!Y15*(1+Inputs!$B$33/100))+MIN((Skills!Y15*(1+Inputs!$B$33/100)),MAX(0,Inputs!$B$35-((S769-1)*Skills!D15))))/Inputs!$B$35),IF(Inputs!$B$4="pvp",MIN((Skills!Y15*(1+Inputs!$B$33/100)),15)/15,(Skills!Y15*(1+Inputs!$B$33/100))/Skills!D15)))/100))*B789*I767)</f>
        <v/>
      </c>
      <c r="L767">
        <f>K767*(MIN(Inputs!$B$21+((C778=TRUE)*(F778-Calc!F24)),Inputs!$B$22+((C783=TRUE)*(F783-Calc!F29)))/100+(Inputs!$B$22+((C783=TRUE)*(F783-Calc!F29)))/100)/2</f>
        <v/>
      </c>
      <c r="M767">
        <f>L767*(1+(Inputs!$B$9+((C780=TRUE)*(F780-Calc!F26))+B794)/100)</f>
        <v/>
      </c>
      <c r="N767">
        <f>L767*(1-MIN((Inputs!$B$8+((C779=TRUE)*(F779-Calc!F25))+B787),100)/100)+M767*(MIN((Inputs!$B$8+((C779=TRUE)*(F779-Calc!F25))+B787),100)/100)</f>
        <v/>
      </c>
      <c r="O767">
        <f>IF(C767,H767*N767*IF(AND(Inputs!$B$4&lt;&gt;"pvp",Inputs!$B$35&gt;0),((Skills!G13*((R767-1)*IF(Skills!H13&gt;0,Skills!I13/Skills!H13,1)+IF(Skills!H13&gt;0,MIN(Skills!I13,MAX(0,Inputs!$B$35-((R767-1)*IF(Inputs!$B$4="pvp",15,MAX(0.1,Skills!D13-IF(Skills!E13=TRUE,Inputs!$B$31,0))))))/Skills!H13,1)))/Inputs!$B$35),G767*Q767)*IF(Inputs!$B$4="pvp",1,(1-Summary!$B$55)*(1)+Summary!$B$55*(MIN(Skills!W13,Inputs!$B$37))),0)</f>
        <v/>
      </c>
      <c r="P767">
        <f>IF(B799=0,0,O767/B799)</f>
        <v/>
      </c>
      <c r="Q767">
        <f>IFERROR(1/IF(Inputs!$B$4="pvp",15,MAX(0.1,Skills!D13-IF(Skills!E13=TRUE,Inputs!$B$31,0))),0)</f>
        <v/>
      </c>
      <c r="R767">
        <f>IF(AND(Inputs!$B$4&lt;&gt;"pvp",Inputs!$B$35&gt;0),(INT(Inputs!$B$35/IF(Inputs!$B$4="pvp",15,MAX(0.1,Skills!D13-IF(Skills!E13=TRUE,Inputs!$B$31,0))))+1),0)</f>
        <v/>
      </c>
      <c r="S767">
        <f>IFERROR(O767/N767,0)</f>
        <v/>
      </c>
    </row>
    <row r="768">
      <c r="A768">
        <f>Skills!A14</f>
        <v/>
      </c>
      <c r="B768">
        <f>Skills!B14</f>
        <v/>
      </c>
      <c r="C768">
        <f>Inputs!$B$3&gt;=107</f>
        <v/>
      </c>
      <c r="D768">
        <f>IF(Skills!C14=1,60+Inputs!$B$24+Inputs!$B$28,IF(Skills!C14=2,90+Inputs!$B$25+Inputs!$B$28,IF(Skills!C14=3,120+Inputs!$B$26+Inputs!$B$28,MAX(0,(Inputs!$B$3-100)*3)+Inputs!$B$27+Inputs!$B$28)))</f>
        <v/>
      </c>
      <c r="E768">
        <f>INDEX(FactorTable!$B$2:$Y$301, MATCH(ROUND(MIN(300,MAX(1,D768)),0), FactorTable!$A$2:$A$301,0), Skills!M14+1)</f>
        <v/>
      </c>
      <c r="F768">
        <f>IF(Skills!N14=TRUE,(Skills!L14/10)*(E768/1000),Skills!L14/10)+Skills!O14</f>
        <v/>
      </c>
      <c r="G768">
        <f>Skills!G14*IF(Skills!H14&gt;0,Skills!I14/Skills!H14,1)</f>
        <v/>
      </c>
      <c r="H768">
        <f>1-(1-Skills!J14/100)^Skills!K14</f>
        <v/>
      </c>
      <c r="I768" t="inlineStr">
        <is>
          <t>1</t>
        </is>
      </c>
      <c r="J768">
        <f>(Inputs!$B$5*(1+Inputs!$B$6/100))*(F768/100)</f>
        <v/>
      </c>
      <c r="K768">
        <f>J768*(1+((Inputs!$B$11*(1+Inputs!$B$12/100))*0.01+Inputs!$B$13*0.0025)/100)*(1+Inputs!$B$14/100)*(1+IF(Inputs!$B$4="pvp",0,(1-Summary!$B$55)*(Inputs!$B$19+0+Skills!P14+B788)+Summary!$B$55*(Inputs!$B$20+Skills!Q14+B788))/100)*(1+Inputs!$B$15/100)*(5000/(6000+Inputs!$B$7*(1-Inputs!$B$18/100)))*(1+(Inputs!$B$23+((C784=TRUE)*(F784-Calc!F30)))/100)*(1+(IF(Skills!A14="CRUEL_STAB",Inputs!$B$16+((C781=TRUE)*(F781-Calc!F27)),(Inputs!$B$17+1)+((C782=TRUE)*(F782-Calc!F28))))/100)*(((1+(((C775=TRUE)*F775*IF(AND(Inputs!$B$4&lt;&gt;"pvp",Inputs!$B$35&gt;0),(((S775-1)*(Skills!Y21*(1+Inputs!$B$33/100))+MIN((Skills!Y21*(1+Inputs!$B$33/100)),MAX(0,Inputs!$B$35-((S775-1)*Skills!D21))))/Inputs!$B$35),IF(Inputs!$B$4="pvp",MIN((Skills!Y21*(1+Inputs!$B$33/100)),15)/15,(Skills!Y21*(1+Inputs!$B$33/100))/Skills!D21)))+((C777=TRUE)*(F777-Calc!F23))+((C771=TRUE)*(F771-Calc!F17)))/100)*(1+((C764=TRUE)*F764*IF(AND(Inputs!$B$4&lt;&gt;"pvp",Inputs!$B$35&gt;0),(((S764-1)*(Skills!Y10*(1+Inputs!$B$33/100))+MIN((Skills!Y10*(1+Inputs!$B$33/100)),MAX(0,Inputs!$B$35-((S764-1)*Skills!D10))))/Inputs!$B$35),IF(Inputs!$B$4="pvp",MIN((Skills!Y10*(1+Inputs!$B$33/100)),15)/15,(Skills!Y10*(1+Inputs!$B$33/100))/Skills!D10)))/100)*(1+((C769=TRUE)*F769*IF(AND(Inputs!$B$4&lt;&gt;"pvp",Inputs!$B$35&gt;0),(((S769-1)*(Skills!Y15*(1+Inputs!$B$33/100))+MIN((Skills!Y15*(1+Inputs!$B$33/100)),MAX(0,Inputs!$B$35-((S769-1)*Skills!D15))))/Inputs!$B$35),IF(Inputs!$B$4="pvp",MIN((Skills!Y15*(1+Inputs!$B$33/100)),15)/15,(Skills!Y15*(1+Inputs!$B$33/100))/Skills!D15)))/100))*B789*I768)</f>
        <v/>
      </c>
      <c r="L768">
        <f>K768*(MIN(Inputs!$B$21+((C778=TRUE)*(F778-Calc!F24)),Inputs!$B$22+((C783=TRUE)*(F783-Calc!F29)))/100+(Inputs!$B$22+((C783=TRUE)*(F783-Calc!F29)))/100)/2</f>
        <v/>
      </c>
      <c r="M768">
        <f>L768*(1+(Inputs!$B$9+((C780=TRUE)*(F780-Calc!F26))+B794)/100)</f>
        <v/>
      </c>
      <c r="N768">
        <f>L768*(1-MIN((Inputs!$B$8+((C779=TRUE)*(F779-Calc!F25))+B787),100)/100)+M768*(MIN((Inputs!$B$8+((C779=TRUE)*(F779-Calc!F25))+B787),100)/100)</f>
        <v/>
      </c>
      <c r="O768">
        <f>IF(C768,H768*N768*IF(AND(Inputs!$B$4&lt;&gt;"pvp",Inputs!$B$35&gt;0),((Skills!G14*((R768-1)*IF(Skills!H14&gt;0,Skills!I14/Skills!H14,1)+IF(Skills!H14&gt;0,MIN(Skills!I14,MAX(0,Inputs!$B$35-((R768-1)*IF(Inputs!$B$4="pvp",15,MAX(0.1,Skills!D14-IF(Skills!E14=TRUE,Inputs!$B$31,0))))))/Skills!H14,1)))/Inputs!$B$35),G768*Q768)*IF(Inputs!$B$4="pvp",1,(1-Summary!$B$55)*(1)+Summary!$B$55*(MIN(MIN(5,0.25*B791*Skills!D4)*Skills!V14,Inputs!$B$37))),0)</f>
        <v/>
      </c>
      <c r="P768">
        <f>IF(B799=0,0,O768/B799)</f>
        <v/>
      </c>
      <c r="Q768">
        <f>IFERROR(1/IF(Inputs!$B$4="pvp",15,MAX(0.1,Skills!D14-IF(Skills!E14=TRUE,Inputs!$B$31,0))),0)</f>
        <v/>
      </c>
      <c r="R768">
        <f>IF(AND(Inputs!$B$4&lt;&gt;"pvp",Inputs!$B$35&gt;0),(INT(Inputs!$B$35/IF(Inputs!$B$4="pvp",15,MAX(0.1,Skills!D14-IF(Skills!E14=TRUE,Inputs!$B$31,0))))+1),0)</f>
        <v/>
      </c>
      <c r="S768">
        <f>IFERROR(O768/N768,0)</f>
        <v/>
      </c>
    </row>
    <row r="769">
      <c r="A769">
        <f>Skills!A15</f>
        <v/>
      </c>
      <c r="B769">
        <f>Skills!B15</f>
        <v/>
      </c>
      <c r="C769">
        <f>Inputs!$B$3&gt;=110</f>
        <v/>
      </c>
      <c r="D769">
        <f>IF(Skills!C15=1,60+Inputs!$B$24+Inputs!$B$28,IF(Skills!C15=2,90+Inputs!$B$25+Inputs!$B$28,IF(Skills!C15=3,120+Inputs!$B$26+Inputs!$B$28,MAX(0,(Inputs!$B$3-100)*3)+Inputs!$B$27+Inputs!$B$28)))</f>
        <v/>
      </c>
      <c r="E769">
        <f>INDEX(FactorTable!$B$2:$Y$301, MATCH(ROUND(MIN(300,MAX(1,D769)),0), FactorTable!$A$2:$A$301,0), Skills!M15+1)</f>
        <v/>
      </c>
      <c r="F769">
        <f>IF(Skills!N15=TRUE,(Skills!L15/10)*(E769/1000),Skills!L15/10)+Skills!O15</f>
        <v/>
      </c>
      <c r="G769">
        <f>Skills!G15*IF(Skills!H15&gt;0,Skills!I15/Skills!H15,1)</f>
        <v/>
      </c>
      <c r="H769">
        <f>1-(1-Skills!J15/100)^Skills!K15</f>
        <v/>
      </c>
      <c r="I769" t="inlineStr">
        <is>
          <t>1</t>
        </is>
      </c>
      <c r="J769" t="inlineStr"/>
      <c r="K769" t="inlineStr"/>
      <c r="L769" t="inlineStr"/>
      <c r="M769" t="inlineStr"/>
      <c r="N769" t="inlineStr"/>
      <c r="O769" t="n">
        <v>0</v>
      </c>
      <c r="P769">
        <f>IF(B799=0,0,O769/B799)</f>
        <v/>
      </c>
      <c r="Q769">
        <f>IFERROR(1/IF(Inputs!$B$4="pvp",15,MAX(0.1,Skills!D15-IF(Skills!E15=TRUE,Inputs!$B$31,0))),0)</f>
        <v/>
      </c>
      <c r="R769">
        <f>IF(AND(Inputs!$B$4&lt;&gt;"pvp",Inputs!$B$35&gt;0),(INT(Inputs!$B$35/IF(Inputs!$B$4="pvp",15,MAX(0.1,Skills!D15-IF(Skills!E15=TRUE,Inputs!$B$31,0))))+1),0)</f>
        <v/>
      </c>
      <c r="S769">
        <f>IFERROR(O769/N769,0)</f>
        <v/>
      </c>
    </row>
    <row r="770">
      <c r="A770">
        <f>Skills!A16</f>
        <v/>
      </c>
      <c r="B770">
        <f>Skills!B16</f>
        <v/>
      </c>
      <c r="C770">
        <f>Inputs!$B$3&gt;=115</f>
        <v/>
      </c>
      <c r="D770">
        <f>IF(Skills!C16=1,60+Inputs!$B$24+Inputs!$B$28,IF(Skills!C16=2,90+Inputs!$B$25+Inputs!$B$28,IF(Skills!C16=3,120+Inputs!$B$26+Inputs!$B$28,MAX(0,(Inputs!$B$3-100)*3)+Inputs!$B$27+Inputs!$B$28)))</f>
        <v/>
      </c>
      <c r="E770">
        <f>INDEX(FactorTable!$B$2:$Y$301, MATCH(ROUND(MIN(300,MAX(1,D770)),0), FactorTable!$A$2:$A$301,0), Skills!M16+1)</f>
        <v/>
      </c>
      <c r="F770">
        <f>IF(Skills!N16=TRUE,(Skills!L16/10)*(E770/1000),Skills!L16/10)+Skills!O16</f>
        <v/>
      </c>
      <c r="G770">
        <f>Skills!G16*IF(Skills!H16&gt;0,Skills!I16/Skills!H16,1)</f>
        <v/>
      </c>
      <c r="H770">
        <f>1-(1-Skills!J16/100)^Skills!K16</f>
        <v/>
      </c>
      <c r="I770" t="inlineStr">
        <is>
          <t>1</t>
        </is>
      </c>
      <c r="J770">
        <f>(Inputs!$B$5*(1+Inputs!$B$6/100))*(F770/100)</f>
        <v/>
      </c>
      <c r="K770">
        <f>J770*(1+((Inputs!$B$11*(1+Inputs!$B$12/100))*0.01+Inputs!$B$13*0.0025)/100)*(1+Inputs!$B$14/100)*(1+IF(Inputs!$B$4="pvp",0,(1-Summary!$B$55)*(Inputs!$B$19+0+Skills!P16+B788)+Summary!$B$55*(Inputs!$B$20+Skills!Q16+B788))/100)*(1+Inputs!$B$15/100)*(5000/(6000+Inputs!$B$7*(1-Inputs!$B$18/100)))*(1+(Inputs!$B$23+((C784=TRUE)*(F784-Calc!F30)))/100)*(1+(IF(Skills!A16="CRUEL_STAB",Inputs!$B$16+((C781=TRUE)*(F781-Calc!F27)),(Inputs!$B$17+1)+((C782=TRUE)*(F782-Calc!F28))))/100)*(((1+(((C775=TRUE)*F775*IF(AND(Inputs!$B$4&lt;&gt;"pvp",Inputs!$B$35&gt;0),(((S775-1)*(Skills!Y21*(1+Inputs!$B$33/100))+MIN((Skills!Y21*(1+Inputs!$B$33/100)),MAX(0,Inputs!$B$35-((S775-1)*Skills!D21))))/Inputs!$B$35),IF(Inputs!$B$4="pvp",MIN((Skills!Y21*(1+Inputs!$B$33/100)),15)/15,(Skills!Y21*(1+Inputs!$B$33/100))/Skills!D21)))+((C777=TRUE)*(F777-Calc!F23))+((C771=TRUE)*(F771-Calc!F17)))/100)*(1+((C764=TRUE)*F764*IF(AND(Inputs!$B$4&lt;&gt;"pvp",Inputs!$B$35&gt;0),(((S764-1)*(Skills!Y10*(1+Inputs!$B$33/100))+MIN((Skills!Y10*(1+Inputs!$B$33/100)),MAX(0,Inputs!$B$35-((S764-1)*Skills!D10))))/Inputs!$B$35),IF(Inputs!$B$4="pvp",MIN((Skills!Y10*(1+Inputs!$B$33/100)),15)/15,(Skills!Y10*(1+Inputs!$B$33/100))/Skills!D10)))/100)*(1+((C769=TRUE)*F769*IF(AND(Inputs!$B$4&lt;&gt;"pvp",Inputs!$B$35&gt;0),(((S769-1)*(Skills!Y15*(1+Inputs!$B$33/100))+MIN((Skills!Y15*(1+Inputs!$B$33/100)),MAX(0,Inputs!$B$35-((S769-1)*Skills!D15))))/Inputs!$B$35),IF(Inputs!$B$4="pvp",MIN((Skills!Y15*(1+Inputs!$B$33/100)),15)/15,(Skills!Y15*(1+Inputs!$B$33/100))/Skills!D15)))/100))*B789*I770)</f>
        <v/>
      </c>
      <c r="L770">
        <f>K770*(MIN(Inputs!$B$21+((C778=TRUE)*(F778-Calc!F24)),Inputs!$B$22+((C783=TRUE)*(F783-Calc!F29)))/100+(Inputs!$B$22+((C783=TRUE)*(F783-Calc!F29)))/100)/2</f>
        <v/>
      </c>
      <c r="M770">
        <f>L770*(1+(Inputs!$B$9+((C780=TRUE)*(F780-Calc!F26))+B794)/100)</f>
        <v/>
      </c>
      <c r="N770">
        <f>L770*(1-MIN((Inputs!$B$8+((C779=TRUE)*(F779-Calc!F25))+B787),100)/100)+M770*(MIN((Inputs!$B$8+((C779=TRUE)*(F779-Calc!F25))+B787),100)/100)</f>
        <v/>
      </c>
      <c r="O770">
        <f>IF(C770,Inputs!$B$38*0.2*N770,0)</f>
        <v/>
      </c>
      <c r="P770">
        <f>IF(B799=0,0,O770/B799)</f>
        <v/>
      </c>
      <c r="Q770" t="n">
        <v>0</v>
      </c>
      <c r="R770" t="n">
        <v>0</v>
      </c>
      <c r="S770">
        <f>IFERROR(O770/N770,0)</f>
        <v/>
      </c>
    </row>
    <row r="771">
      <c r="A771">
        <f>Skills!A17</f>
        <v/>
      </c>
      <c r="B771">
        <f>Skills!B17</f>
        <v/>
      </c>
      <c r="C771">
        <f>Inputs!$B$3&gt;=115</f>
        <v/>
      </c>
      <c r="D771">
        <f>IF(Skills!C17=1,60+Inputs!$B$24+Inputs!$B$28,IF(Skills!C17=2,90+Inputs!$B$25+Inputs!$B$28,IF(Skills!C17=3,120+Inputs!$B$26+Inputs!$B$28,MAX(0,(Inputs!$B$3-100)*3)+Inputs!$B$27+Inputs!$B$28)))</f>
        <v/>
      </c>
      <c r="E771">
        <f>INDEX(FactorTable!$B$2:$Y$301, MATCH(ROUND(MIN(300,MAX(1,D771)),0), FactorTable!$A$2:$A$301,0), Skills!M17+1)</f>
        <v/>
      </c>
      <c r="F771">
        <f>IF(Skills!N17=TRUE,(Skills!L17/10)*(E771/1000),Skills!L17/10)+Skills!O17</f>
        <v/>
      </c>
      <c r="G771">
        <f>Skills!G17*IF(Skills!H17&gt;0,Skills!I17/Skills!H17,1)</f>
        <v/>
      </c>
      <c r="H771">
        <f>1-(1-Skills!J17/100)^Skills!K17</f>
        <v/>
      </c>
      <c r="I771" t="inlineStr">
        <is>
          <t>1</t>
        </is>
      </c>
      <c r="J771" t="inlineStr"/>
      <c r="K771" t="inlineStr"/>
      <c r="L771" t="inlineStr"/>
      <c r="M771" t="inlineStr"/>
      <c r="N771" t="inlineStr"/>
      <c r="O771" t="n">
        <v>0</v>
      </c>
      <c r="P771">
        <f>IF(B799=0,0,O771/B799)</f>
        <v/>
      </c>
      <c r="Q771" t="n">
        <v>0</v>
      </c>
      <c r="R771" t="n">
        <v>0</v>
      </c>
      <c r="S771">
        <f>IFERROR(O771/N771,0)</f>
        <v/>
      </c>
    </row>
    <row r="772">
      <c r="A772">
        <f>Skills!A18</f>
        <v/>
      </c>
      <c r="B772">
        <f>Skills!B18</f>
        <v/>
      </c>
      <c r="C772">
        <f>Inputs!$B$3&gt;=100</f>
        <v/>
      </c>
      <c r="D772">
        <f>IF(Skills!C18=1,60+Inputs!$B$24+Inputs!$B$28,IF(Skills!C18=2,90+Inputs!$B$25+Inputs!$B$28,IF(Skills!C18=3,120+Inputs!$B$26+Inputs!$B$28,MAX(0,(Inputs!$B$3-100)*3)+Inputs!$B$27+Inputs!$B$28)))</f>
        <v/>
      </c>
      <c r="E772">
        <f>INDEX(FactorTable!$B$2:$Y$301, MATCH(ROUND(MIN(300,MAX(1,D772)),0), FactorTable!$A$2:$A$301,0), Skills!M18+1)</f>
        <v/>
      </c>
      <c r="F772">
        <f>IF(Skills!N18=TRUE,(Skills!L18/10)*(E772/1000),Skills!L18/10)+Skills!O18</f>
        <v/>
      </c>
      <c r="G772">
        <f>Skills!G18*IF(Skills!H18&gt;0,Skills!I18/Skills!H18,1)</f>
        <v/>
      </c>
      <c r="H772">
        <f>1-(1-Skills!J18/100)^Skills!K18</f>
        <v/>
      </c>
      <c r="I772" t="inlineStr">
        <is>
          <t>1</t>
        </is>
      </c>
      <c r="J772" t="inlineStr"/>
      <c r="K772" t="inlineStr"/>
      <c r="L772" t="inlineStr"/>
      <c r="M772" t="inlineStr"/>
      <c r="N772" t="inlineStr"/>
      <c r="O772" t="n">
        <v>0</v>
      </c>
      <c r="P772">
        <f>IF(B799=0,0,O772/B799)</f>
        <v/>
      </c>
      <c r="Q772" t="n">
        <v>0</v>
      </c>
      <c r="R772" t="n">
        <v>0</v>
      </c>
      <c r="S772">
        <f>IFERROR(O772/N772,0)</f>
        <v/>
      </c>
    </row>
    <row r="773">
      <c r="A773">
        <f>Skills!A19</f>
        <v/>
      </c>
      <c r="B773">
        <f>Skills!B19</f>
        <v/>
      </c>
      <c r="C773">
        <f>TRUE</f>
        <v/>
      </c>
      <c r="D773">
        <f>IF(Skills!C19=1,60+Inputs!$B$24+Inputs!$B$28,IF(Skills!C19=2,90+Inputs!$B$25+Inputs!$B$28,IF(Skills!C19=3,120+Inputs!$B$26+Inputs!$B$28,MAX(0,(Inputs!$B$3-100)*3)+Inputs!$B$27+Inputs!$B$28)))</f>
        <v/>
      </c>
      <c r="E773">
        <f>INDEX(FactorTable!$B$2:$Y$301, MATCH(ROUND(MIN(300,MAX(1,D773)),0), FactorTable!$A$2:$A$301,0), Skills!M19+1)</f>
        <v/>
      </c>
      <c r="F773">
        <f>IF(Skills!N19=TRUE,(Skills!L19/10)*(E773/1000),Skills!L19/10)+Skills!O19</f>
        <v/>
      </c>
      <c r="G773">
        <f>Skills!G19*IF(Skills!H19&gt;0,Skills!I19/Skills!H19,1)</f>
        <v/>
      </c>
      <c r="H773">
        <f>1-(1-Skills!J19/100)^Skills!K19</f>
        <v/>
      </c>
      <c r="I773" t="inlineStr">
        <is>
          <t>1</t>
        </is>
      </c>
      <c r="J773" t="inlineStr"/>
      <c r="K773" t="inlineStr"/>
      <c r="L773" t="inlineStr"/>
      <c r="M773" t="inlineStr"/>
      <c r="N773" t="inlineStr"/>
      <c r="O773" t="n">
        <v>0</v>
      </c>
      <c r="P773">
        <f>IF(B799=0,0,O773/B799)</f>
        <v/>
      </c>
      <c r="Q773">
        <f>IFERROR(1/IF(Inputs!$B$4="pvp",15,MAX(0.1,Skills!D19-IF(Skills!E19=TRUE,Inputs!$B$31,0))),0)</f>
        <v/>
      </c>
      <c r="R773">
        <f>IF(AND(Inputs!$B$4&lt;&gt;"pvp",Inputs!$B$35&gt;0),(INT(Inputs!$B$35/IF(Inputs!$B$4="pvp",15,MAX(0.1,Skills!D19-IF(Skills!E19=TRUE,Inputs!$B$31,0))))+1),0)</f>
        <v/>
      </c>
      <c r="S773">
        <f>IFERROR(O773/N773,0)</f>
        <v/>
      </c>
    </row>
    <row r="774">
      <c r="A774">
        <f>Skills!A20</f>
        <v/>
      </c>
      <c r="B774">
        <f>Skills!B20</f>
        <v/>
      </c>
      <c r="C774">
        <f>Inputs!$B$3&gt;=15</f>
        <v/>
      </c>
      <c r="D774">
        <f>IF(Skills!C20=1,60+Inputs!$B$24+Inputs!$B$28,IF(Skills!C20=2,90+Inputs!$B$25+Inputs!$B$28,IF(Skills!C20=3,120+Inputs!$B$26+Inputs!$B$28,MAX(0,(Inputs!$B$3-100)*3)+Inputs!$B$27+Inputs!$B$28)))</f>
        <v/>
      </c>
      <c r="E774">
        <f>INDEX(FactorTable!$B$2:$Y$301, MATCH(ROUND(MIN(300,MAX(1,D774)),0), FactorTable!$A$2:$A$301,0), Skills!M20+1)</f>
        <v/>
      </c>
      <c r="F774">
        <f>IF(Skills!N20=TRUE,(Skills!L20/10)*(E774/1000),Skills!L20/10)+Skills!O20</f>
        <v/>
      </c>
      <c r="G774">
        <f>Skills!G20*IF(Skills!H20&gt;0,Skills!I20/Skills!H20,1)</f>
        <v/>
      </c>
      <c r="H774">
        <f>1-(1-Skills!J20/100)^Skills!K20</f>
        <v/>
      </c>
      <c r="I774" t="inlineStr">
        <is>
          <t>1</t>
        </is>
      </c>
      <c r="J774" t="inlineStr"/>
      <c r="K774" t="inlineStr"/>
      <c r="L774" t="inlineStr"/>
      <c r="M774" t="inlineStr"/>
      <c r="N774" t="inlineStr"/>
      <c r="O774" t="n">
        <v>0</v>
      </c>
      <c r="P774">
        <f>IF(B799=0,0,O774/B799)</f>
        <v/>
      </c>
      <c r="Q774">
        <f>IFERROR(1/IF(Inputs!$B$4="pvp",15,MAX(0.1,Skills!D20-IF(Skills!E20=TRUE,Inputs!$B$31,0))),0)</f>
        <v/>
      </c>
      <c r="R774">
        <f>IF(AND(Inputs!$B$4&lt;&gt;"pvp",Inputs!$B$35&gt;0),(INT(Inputs!$B$35/IF(Inputs!$B$4="pvp",15,MAX(0.1,Skills!D20-IF(Skills!E20=TRUE,Inputs!$B$31,0))))+1),0)</f>
        <v/>
      </c>
      <c r="S774">
        <f>IFERROR(O774/N774,0)</f>
        <v/>
      </c>
    </row>
    <row r="775">
      <c r="A775">
        <f>Skills!A21</f>
        <v/>
      </c>
      <c r="B775">
        <f>Skills!B21</f>
        <v/>
      </c>
      <c r="C775">
        <f>Inputs!$B$3&gt;=15</f>
        <v/>
      </c>
      <c r="D775">
        <f>IF(Skills!C21=1,60+Inputs!$B$24+Inputs!$B$28,IF(Skills!C21=2,90+Inputs!$B$25+Inputs!$B$28,IF(Skills!C21=3,120+Inputs!$B$26+Inputs!$B$28,MAX(0,(Inputs!$B$3-100)*3)+Inputs!$B$27+Inputs!$B$28)))</f>
        <v/>
      </c>
      <c r="E775">
        <f>INDEX(FactorTable!$B$2:$Y$301, MATCH(ROUND(MIN(300,MAX(1,D775)),0), FactorTable!$A$2:$A$301,0), Skills!M21+1)</f>
        <v/>
      </c>
      <c r="F775">
        <f>IF(Skills!N21=TRUE,(Skills!L21/10)*(E775/1000),Skills!L21/10)+Skills!O21</f>
        <v/>
      </c>
      <c r="G775">
        <f>Skills!G21*IF(Skills!H21&gt;0,Skills!I21/Skills!H21,1)</f>
        <v/>
      </c>
      <c r="H775">
        <f>1-(1-Skills!J21/100)^Skills!K21</f>
        <v/>
      </c>
      <c r="I775" t="inlineStr">
        <is>
          <t>1</t>
        </is>
      </c>
      <c r="J775" t="inlineStr"/>
      <c r="K775" t="inlineStr"/>
      <c r="L775" t="inlineStr"/>
      <c r="M775" t="inlineStr"/>
      <c r="N775" t="inlineStr"/>
      <c r="O775" t="n">
        <v>0</v>
      </c>
      <c r="P775">
        <f>IF(B799=0,0,O775/B799)</f>
        <v/>
      </c>
      <c r="Q775">
        <f>IFERROR(1/IF(Inputs!$B$4="pvp",15,MAX(0.1,Skills!D21-IF(Skills!E21=TRUE,Inputs!$B$31,0))),0)</f>
        <v/>
      </c>
      <c r="R775">
        <f>IF(AND(Inputs!$B$4&lt;&gt;"pvp",Inputs!$B$35&gt;0),(INT(Inputs!$B$35/IF(Inputs!$B$4="pvp",15,MAX(0.1,Skills!D21-IF(Skills!E21=TRUE,Inputs!$B$31,0))))+1),0)</f>
        <v/>
      </c>
      <c r="S775">
        <f>IFERROR(O775/N775,0)</f>
        <v/>
      </c>
    </row>
    <row r="776">
      <c r="A776">
        <f>Skills!A22</f>
        <v/>
      </c>
      <c r="B776">
        <f>Skills!B22</f>
        <v/>
      </c>
      <c r="C776">
        <f>Inputs!$B$3&gt;=33</f>
        <v/>
      </c>
      <c r="D776">
        <f>IF(Skills!C22=1,60+Inputs!$B$24+Inputs!$B$28,IF(Skills!C22=2,90+Inputs!$B$25+Inputs!$B$28,IF(Skills!C22=3,120+Inputs!$B$26+Inputs!$B$28,MAX(0,(Inputs!$B$3-100)*3)+Inputs!$B$27+Inputs!$B$28)))</f>
        <v/>
      </c>
      <c r="E776">
        <f>INDEX(FactorTable!$B$2:$Y$301, MATCH(ROUND(MIN(300,MAX(1,D776)),0), FactorTable!$A$2:$A$301,0), Skills!M22+1)</f>
        <v/>
      </c>
      <c r="F776">
        <f>IF(Skills!N22=TRUE,(Skills!L22/10)*(E776/1000),Skills!L22/10)+Skills!O22</f>
        <v/>
      </c>
      <c r="G776">
        <f>Skills!G22*IF(Skills!H22&gt;0,Skills!I22/Skills!H22,1)</f>
        <v/>
      </c>
      <c r="H776">
        <f>1-(1-Skills!J22/100)^Skills!K22</f>
        <v/>
      </c>
      <c r="I776" t="inlineStr">
        <is>
          <t>1</t>
        </is>
      </c>
      <c r="J776" t="inlineStr"/>
      <c r="K776" t="inlineStr"/>
      <c r="L776" t="inlineStr"/>
      <c r="M776" t="inlineStr"/>
      <c r="N776" t="inlineStr"/>
      <c r="O776" t="n">
        <v>0</v>
      </c>
      <c r="P776">
        <f>IF(B799=0,0,O776/B799)</f>
        <v/>
      </c>
      <c r="Q776" t="n">
        <v>0</v>
      </c>
      <c r="R776" t="n">
        <v>0</v>
      </c>
      <c r="S776">
        <f>IFERROR(O776/N776,0)</f>
        <v/>
      </c>
    </row>
    <row r="777">
      <c r="A777">
        <f>Skills!A23</f>
        <v/>
      </c>
      <c r="B777">
        <f>Skills!B23</f>
        <v/>
      </c>
      <c r="C777">
        <f>Inputs!$B$3&gt;=40</f>
        <v/>
      </c>
      <c r="D777">
        <f>IF(Skills!C23=1,60+Inputs!$B$24+Inputs!$B$28,IF(Skills!C23=2,90+Inputs!$B$25+Inputs!$B$28,IF(Skills!C23=3,120+Inputs!$B$26+Inputs!$B$28,MAX(0,(Inputs!$B$3-100)*3)+Inputs!$B$27+Inputs!$B$28)))</f>
        <v/>
      </c>
      <c r="E777">
        <f>INDEX(FactorTable!$B$2:$Y$301, MATCH(ROUND(MIN(300,MAX(1,D777)),0), FactorTable!$A$2:$A$301,0), Skills!M23+1)</f>
        <v/>
      </c>
      <c r="F777">
        <f>IF(Skills!N23=TRUE,(Skills!L23/10)*(E777/1000),Skills!L23/10)+Skills!O23</f>
        <v/>
      </c>
      <c r="G777">
        <f>Skills!G23*IF(Skills!H23&gt;0,Skills!I23/Skills!H23,1)</f>
        <v/>
      </c>
      <c r="H777">
        <f>1-(1-Skills!J23/100)^Skills!K23</f>
        <v/>
      </c>
      <c r="I777" t="inlineStr">
        <is>
          <t>1</t>
        </is>
      </c>
      <c r="J777" t="inlineStr"/>
      <c r="K777" t="inlineStr"/>
      <c r="L777" t="inlineStr"/>
      <c r="M777" t="inlineStr"/>
      <c r="N777" t="inlineStr"/>
      <c r="O777" t="n">
        <v>0</v>
      </c>
      <c r="P777">
        <f>IF(B799=0,0,O777/B799)</f>
        <v/>
      </c>
      <c r="Q777" t="n">
        <v>0</v>
      </c>
      <c r="R777" t="n">
        <v>0</v>
      </c>
      <c r="S777">
        <f>IFERROR(O777/N777,0)</f>
        <v/>
      </c>
    </row>
    <row r="778">
      <c r="A778">
        <f>Skills!A24</f>
        <v/>
      </c>
      <c r="B778">
        <f>Skills!B24</f>
        <v/>
      </c>
      <c r="C778">
        <f>Inputs!$B$3&gt;=43</f>
        <v/>
      </c>
      <c r="D778">
        <f>IF(Skills!C24=1,60+Inputs!$B$24+Inputs!$B$28,IF(Skills!C24=2,90+Inputs!$B$25+Inputs!$B$28,IF(Skills!C24=3,120+Inputs!$B$26+Inputs!$B$28,MAX(0,(Inputs!$B$3-100)*3)+Inputs!$B$27+Inputs!$B$28)))</f>
        <v/>
      </c>
      <c r="E778">
        <f>INDEX(FactorTable!$B$2:$Y$301, MATCH(ROUND(MIN(300,MAX(1,D778)),0), FactorTable!$A$2:$A$301,0), Skills!M24+1)</f>
        <v/>
      </c>
      <c r="F778">
        <f>IF(Skills!N24=TRUE,(Skills!L24/10)*(E778/1000),Skills!L24/10)+Skills!O24</f>
        <v/>
      </c>
      <c r="G778">
        <f>Skills!G24*IF(Skills!H24&gt;0,Skills!I24/Skills!H24,1)</f>
        <v/>
      </c>
      <c r="H778">
        <f>1-(1-Skills!J24/100)^Skills!K24</f>
        <v/>
      </c>
      <c r="I778" t="inlineStr">
        <is>
          <t>1</t>
        </is>
      </c>
      <c r="J778" t="inlineStr"/>
      <c r="K778" t="inlineStr"/>
      <c r="L778" t="inlineStr"/>
      <c r="M778" t="inlineStr"/>
      <c r="N778" t="inlineStr"/>
      <c r="O778" t="n">
        <v>0</v>
      </c>
      <c r="P778">
        <f>IF(B799=0,0,O778/B799)</f>
        <v/>
      </c>
      <c r="Q778" t="n">
        <v>0</v>
      </c>
      <c r="R778" t="n">
        <v>0</v>
      </c>
      <c r="S778">
        <f>IFERROR(O778/N778,0)</f>
        <v/>
      </c>
    </row>
    <row r="779">
      <c r="A779">
        <f>Skills!A25</f>
        <v/>
      </c>
      <c r="B779">
        <f>Skills!B25</f>
        <v/>
      </c>
      <c r="C779">
        <f>Inputs!$B$3&gt;=50</f>
        <v/>
      </c>
      <c r="D779">
        <f>IF(Skills!C25=1,60+Inputs!$B$24+Inputs!$B$28,IF(Skills!C25=2,90+Inputs!$B$25+Inputs!$B$28,IF(Skills!C25=3,120+Inputs!$B$26+Inputs!$B$28,MAX(0,(Inputs!$B$3-100)*3)+Inputs!$B$27+Inputs!$B$28)))</f>
        <v/>
      </c>
      <c r="E779">
        <f>INDEX(FactorTable!$B$2:$Y$301, MATCH(ROUND(MIN(300,MAX(1,D779)),0), FactorTable!$A$2:$A$301,0), Skills!M25+1)</f>
        <v/>
      </c>
      <c r="F779">
        <f>IF(Skills!N25=TRUE,(Skills!L25/10)*(E779/1000),Skills!L25/10)+Skills!O25</f>
        <v/>
      </c>
      <c r="G779">
        <f>Skills!G25*IF(Skills!H25&gt;0,Skills!I25/Skills!H25,1)</f>
        <v/>
      </c>
      <c r="H779">
        <f>1-(1-Skills!J25/100)^Skills!K25</f>
        <v/>
      </c>
      <c r="I779" t="inlineStr">
        <is>
          <t>1</t>
        </is>
      </c>
      <c r="J779" t="inlineStr"/>
      <c r="K779" t="inlineStr"/>
      <c r="L779" t="inlineStr"/>
      <c r="M779" t="inlineStr"/>
      <c r="N779" t="inlineStr"/>
      <c r="O779" t="n">
        <v>0</v>
      </c>
      <c r="P779">
        <f>IF(B799=0,0,O779/B799)</f>
        <v/>
      </c>
      <c r="Q779" t="n">
        <v>0</v>
      </c>
      <c r="R779" t="n">
        <v>0</v>
      </c>
      <c r="S779">
        <f>IFERROR(O779/N779,0)</f>
        <v/>
      </c>
    </row>
    <row r="780">
      <c r="A780">
        <f>Skills!A26</f>
        <v/>
      </c>
      <c r="B780">
        <f>Skills!B26</f>
        <v/>
      </c>
      <c r="C780">
        <f>Inputs!$B$3&gt;=50</f>
        <v/>
      </c>
      <c r="D780">
        <f>IF(Skills!C26=1,60+Inputs!$B$24+Inputs!$B$28,IF(Skills!C26=2,90+Inputs!$B$25+Inputs!$B$28,IF(Skills!C26=3,120+Inputs!$B$26+Inputs!$B$28,MAX(0,(Inputs!$B$3-100)*3)+Inputs!$B$27+Inputs!$B$28)))</f>
        <v/>
      </c>
      <c r="E780">
        <f>INDEX(FactorTable!$B$2:$Y$301, MATCH(ROUND(MIN(300,MAX(1,D780)),0), FactorTable!$A$2:$A$301,0), Skills!M26+1)</f>
        <v/>
      </c>
      <c r="F780">
        <f>IF(Skills!N26=TRUE,(Skills!L26/10)*(E780/1000),Skills!L26/10)+Skills!O26</f>
        <v/>
      </c>
      <c r="G780">
        <f>Skills!G26*IF(Skills!H26&gt;0,Skills!I26/Skills!H26,1)</f>
        <v/>
      </c>
      <c r="H780">
        <f>1-(1-Skills!J26/100)^Skills!K26</f>
        <v/>
      </c>
      <c r="I780" t="inlineStr">
        <is>
          <t>1</t>
        </is>
      </c>
      <c r="J780" t="inlineStr"/>
      <c r="K780" t="inlineStr"/>
      <c r="L780" t="inlineStr"/>
      <c r="M780" t="inlineStr"/>
      <c r="N780" t="inlineStr"/>
      <c r="O780" t="n">
        <v>0</v>
      </c>
      <c r="P780">
        <f>IF(B799=0,0,O780/B799)</f>
        <v/>
      </c>
      <c r="Q780" t="n">
        <v>0</v>
      </c>
      <c r="R780" t="n">
        <v>0</v>
      </c>
      <c r="S780">
        <f>IFERROR(O780/N780,0)</f>
        <v/>
      </c>
    </row>
    <row r="781">
      <c r="A781">
        <f>Skills!A27</f>
        <v/>
      </c>
      <c r="B781">
        <f>Skills!B27</f>
        <v/>
      </c>
      <c r="C781">
        <f>Inputs!$B$3&gt;=38</f>
        <v/>
      </c>
      <c r="D781">
        <f>IF(Skills!C27=1,60+Inputs!$B$24+Inputs!$B$28,IF(Skills!C27=2,90+Inputs!$B$25+Inputs!$B$28,IF(Skills!C27=3,120+Inputs!$B$26+Inputs!$B$28,MAX(0,(Inputs!$B$3-100)*3)+Inputs!$B$27+Inputs!$B$28)))</f>
        <v/>
      </c>
      <c r="E781">
        <f>INDEX(FactorTable!$B$2:$Y$301, MATCH(ROUND(MIN(300,MAX(1,D781)),0), FactorTable!$A$2:$A$301,0), Skills!M27+1)</f>
        <v/>
      </c>
      <c r="F781">
        <f>IF(Skills!N27=TRUE,(Skills!L27/10)*(E781/1000),Skills!L27/10)+Skills!O27</f>
        <v/>
      </c>
      <c r="G781">
        <f>Skills!G27*IF(Skills!H27&gt;0,Skills!I27/Skills!H27,1)</f>
        <v/>
      </c>
      <c r="H781">
        <f>1-(1-Skills!J27/100)^Skills!K27</f>
        <v/>
      </c>
      <c r="I781" t="inlineStr">
        <is>
          <t>1</t>
        </is>
      </c>
      <c r="J781" t="inlineStr"/>
      <c r="K781" t="inlineStr"/>
      <c r="L781" t="inlineStr"/>
      <c r="M781" t="inlineStr"/>
      <c r="N781" t="inlineStr"/>
      <c r="O781" t="n">
        <v>0</v>
      </c>
      <c r="P781">
        <f>IF(B799=0,0,O781/B799)</f>
        <v/>
      </c>
      <c r="Q781" t="n">
        <v>0</v>
      </c>
      <c r="R781" t="n">
        <v>0</v>
      </c>
      <c r="S781">
        <f>IFERROR(O781/N781,0)</f>
        <v/>
      </c>
    </row>
    <row r="782">
      <c r="A782">
        <f>Skills!A28</f>
        <v/>
      </c>
      <c r="B782">
        <f>Skills!B28</f>
        <v/>
      </c>
      <c r="C782">
        <f>Inputs!$B$3&gt;=120</f>
        <v/>
      </c>
      <c r="D782">
        <f>IF(Skills!C28=1,60+Inputs!$B$24+Inputs!$B$28,IF(Skills!C28=2,90+Inputs!$B$25+Inputs!$B$28,IF(Skills!C28=3,120+Inputs!$B$26+Inputs!$B$28,MAX(0,(Inputs!$B$3-100)*3)+Inputs!$B$27+Inputs!$B$28)))</f>
        <v/>
      </c>
      <c r="E782">
        <f>INDEX(FactorTable!$B$2:$Y$301, MATCH(ROUND(MIN(300,MAX(1,D782)),0), FactorTable!$A$2:$A$301,0), Skills!M28+1)</f>
        <v/>
      </c>
      <c r="F782">
        <f>IF(Skills!N28=TRUE,(Skills!L28/10)*(E782/1000),Skills!L28/10)+Skills!O28</f>
        <v/>
      </c>
      <c r="G782">
        <f>Skills!G28*IF(Skills!H28&gt;0,Skills!I28/Skills!H28,1)</f>
        <v/>
      </c>
      <c r="H782">
        <f>1-(1-Skills!J28/100)^Skills!K28</f>
        <v/>
      </c>
      <c r="I782" t="inlineStr">
        <is>
          <t>1</t>
        </is>
      </c>
      <c r="J782" t="inlineStr"/>
      <c r="K782" t="inlineStr"/>
      <c r="L782" t="inlineStr"/>
      <c r="M782" t="inlineStr"/>
      <c r="N782" t="inlineStr"/>
      <c r="O782" t="n">
        <v>0</v>
      </c>
      <c r="P782">
        <f>IF(B799=0,0,O782/B799)</f>
        <v/>
      </c>
      <c r="Q782" t="n">
        <v>0</v>
      </c>
      <c r="R782" t="n">
        <v>0</v>
      </c>
      <c r="S782">
        <f>IFERROR(O782/N782,0)</f>
        <v/>
      </c>
    </row>
    <row r="783">
      <c r="A783">
        <f>Skills!A29</f>
        <v/>
      </c>
      <c r="B783">
        <f>Skills!B29</f>
        <v/>
      </c>
      <c r="C783">
        <f>Inputs!$B$3&gt;=120</f>
        <v/>
      </c>
      <c r="D783">
        <f>IF(Skills!C29=1,60+Inputs!$B$24+Inputs!$B$28,IF(Skills!C29=2,90+Inputs!$B$25+Inputs!$B$28,IF(Skills!C29=3,120+Inputs!$B$26+Inputs!$B$28,MAX(0,(Inputs!$B$3-100)*3)+Inputs!$B$27+Inputs!$B$28)))</f>
        <v/>
      </c>
      <c r="E783">
        <f>INDEX(FactorTable!$B$2:$Y$301, MATCH(ROUND(MIN(300,MAX(1,D783)),0), FactorTable!$A$2:$A$301,0), Skills!M29+1)</f>
        <v/>
      </c>
      <c r="F783">
        <f>IF(Skills!N29=TRUE,(Skills!L29/10)*(E783/1000),Skills!L29/10)+Skills!O29</f>
        <v/>
      </c>
      <c r="G783">
        <f>Skills!G29*IF(Skills!H29&gt;0,Skills!I29/Skills!H29,1)</f>
        <v/>
      </c>
      <c r="H783">
        <f>1-(1-Skills!J29/100)^Skills!K29</f>
        <v/>
      </c>
      <c r="I783" t="inlineStr">
        <is>
          <t>1</t>
        </is>
      </c>
      <c r="J783" t="inlineStr"/>
      <c r="K783" t="inlineStr"/>
      <c r="L783" t="inlineStr"/>
      <c r="M783" t="inlineStr"/>
      <c r="N783" t="inlineStr"/>
      <c r="O783" t="n">
        <v>0</v>
      </c>
      <c r="P783">
        <f>IF(B799=0,0,O783/B799)</f>
        <v/>
      </c>
      <c r="Q783" t="n">
        <v>0</v>
      </c>
      <c r="R783" t="n">
        <v>0</v>
      </c>
      <c r="S783">
        <f>IFERROR(O783/N783,0)</f>
        <v/>
      </c>
    </row>
    <row r="784">
      <c r="A784">
        <f>Skills!A30</f>
        <v/>
      </c>
      <c r="B784">
        <f>Skills!B30</f>
        <v/>
      </c>
      <c r="C784">
        <f>Inputs!$B$3&gt;=125</f>
        <v/>
      </c>
      <c r="D784">
        <f>IF(Skills!C30=1,60+Inputs!$B$24+Inputs!$B$28,IF(Skills!C30=2,90+Inputs!$B$25+Inputs!$B$28,IF(Skills!C30=3,120+Inputs!$B$26+Inputs!$B$28,MAX(0,(Inputs!$B$3-100)*3)+Inputs!$B$27+Inputs!$B$28)))</f>
        <v/>
      </c>
      <c r="E784">
        <f>INDEX(FactorTable!$B$2:$Y$301, MATCH(ROUND(MIN(300,MAX(1,D784)),0), FactorTable!$A$2:$A$301,0), Skills!M30+1)</f>
        <v/>
      </c>
      <c r="F784">
        <f>IF(Skills!N30=TRUE,(Skills!L30/10)*(E784/1000),Skills!L30/10)+Skills!O30</f>
        <v/>
      </c>
      <c r="G784">
        <f>Skills!G30*IF(Skills!H30&gt;0,Skills!I30/Skills!H30,1)</f>
        <v/>
      </c>
      <c r="H784">
        <f>1-(1-Skills!J30/100)^Skills!K30</f>
        <v/>
      </c>
      <c r="I784" t="inlineStr">
        <is>
          <t>1</t>
        </is>
      </c>
      <c r="J784" t="inlineStr"/>
      <c r="K784" t="inlineStr"/>
      <c r="L784" t="inlineStr"/>
      <c r="M784" t="inlineStr"/>
      <c r="N784" t="inlineStr"/>
      <c r="O784" t="n">
        <v>0</v>
      </c>
      <c r="P784">
        <f>IF(B799=0,0,O784/B799)</f>
        <v/>
      </c>
      <c r="Q784" t="n">
        <v>0</v>
      </c>
      <c r="R784" t="n">
        <v>0</v>
      </c>
      <c r="S784">
        <f>IFERROR(O784/N784,0)</f>
        <v/>
      </c>
    </row>
    <row r="786">
      <c r="A786" t="inlineStr">
        <is>
          <t>Average Buff Multiplier</t>
        </is>
      </c>
      <c r="B786">
        <f>(1+(((C775=TRUE)*F775*IF(AND(Inputs!$B$4&lt;&gt;"pvp",Inputs!$B$35&gt;0),(((S775-1)*(Skills!Y21*(1+Inputs!$B$33/100))+MIN((Skills!Y21*(1+Inputs!$B$33/100)),MAX(0,Inputs!$B$35-((S775-1)*Skills!D21))))/Inputs!$B$35),IF(Inputs!$B$4="pvp",MIN((Skills!Y21*(1+Inputs!$B$33/100)),15)/15,(Skills!Y21*(1+Inputs!$B$33/100))/Skills!D21)))+((C777=TRUE)*(F777-Calc!F23))+((C771=TRUE)*(F771-Calc!F17)))/100)*(1+((C764=TRUE)*F764*IF(AND(Inputs!$B$4&lt;&gt;"pvp",Inputs!$B$35&gt;0),(((S764-1)*(Skills!Y10*(1+Inputs!$B$33/100))+MIN((Skills!Y10*(1+Inputs!$B$33/100)),MAX(0,Inputs!$B$35-((S764-1)*Skills!D10))))/Inputs!$B$35),IF(Inputs!$B$4="pvp",MIN((Skills!Y10*(1+Inputs!$B$33/100)),15)/15,(Skills!Y10*(1+Inputs!$B$33/100))/Skills!D10)))/100)*(1+((C769=TRUE)*F769*IF(AND(Inputs!$B$4&lt;&gt;"pvp",Inputs!$B$35&gt;0),(((S769-1)*(Skills!Y15*(1+Inputs!$B$33/100))+MIN((Skills!Y15*(1+Inputs!$B$33/100)),MAX(0,Inputs!$B$35-((S769-1)*Skills!D15))))/Inputs!$B$35),IF(Inputs!$B$4="pvp",MIN((Skills!Y15*(1+Inputs!$B$33/100)),15)/15,(Skills!Y15*(1+Inputs!$B$33/100))/Skills!D15)))/100)</f>
        <v/>
      </c>
    </row>
    <row r="787">
      <c r="A787" t="inlineStr">
        <is>
          <t>Global Crit Rate Bonus %</t>
        </is>
      </c>
      <c r="B787">
        <f>((C774=TRUE)*F774*IF(AND(Inputs!$B$4&lt;&gt;"pvp",Inputs!$B$35&gt;0),(((S774-1)*(Skills!Y20*(1+Inputs!$B$33/100))+MIN((Skills!Y20*(1+Inputs!$B$33/100)),MAX(0,Inputs!$B$35-((S774-1)*Skills!D20))))/Inputs!$B$35),IF(Inputs!$B$4="pvp",MIN((Skills!Y20*(1+Inputs!$B$33/100)),15)/15,(Skills!Y20*(1+Inputs!$B$33/100))/Skills!D20)))</f>
        <v/>
      </c>
    </row>
    <row r="788">
      <c r="A788" t="inlineStr">
        <is>
          <t>Global Monster Damage-Taken Bonus %</t>
        </is>
      </c>
      <c r="B788">
        <f>IF(Inputs!$B$3&gt;=82,15,0)</f>
        <v/>
      </c>
    </row>
    <row r="789">
      <c r="A789" t="inlineStr">
        <is>
          <t>Shadow Partner Average Multiplier</t>
        </is>
      </c>
      <c r="B789">
        <f>1+((C761=TRUE)*F761*(1+3.3333333333333335*IF(C772=TRUE,F772,0)/100)*I761*Skills!J7/100)/100</f>
        <v/>
      </c>
    </row>
    <row r="790">
      <c r="A790" t="inlineStr">
        <is>
          <t>Attack Speed Buff Bonus %</t>
        </is>
      </c>
      <c r="B790">
        <f>((C773=TRUE)*F773*IF(AND(Inputs!$B$4&lt;&gt;"pvp",Inputs!$B$35&gt;0),(((S773-1)*(Skills!Y19*(1+Inputs!$B$33/100))+MIN((Skills!Y19*(1+Inputs!$B$33/100)),MAX(0,Inputs!$B$35-((S773-1)*Skills!D19))))/Inputs!$B$35),IF(Inputs!$B$4="pvp",MIN((Skills!Y19*(1+Inputs!$B$33/100)),15)/15,(Skills!Y19*(1+Inputs!$B$33/100))/Skills!D19)))+((C757=TRUE)*F757*3)</f>
        <v/>
      </c>
    </row>
    <row r="791">
      <c r="A791" t="inlineStr">
        <is>
          <t>Actions Per Second</t>
        </is>
      </c>
      <c r="B791">
        <f>1+MIN(150,150*(1-(1-(Inputs!$B$10+((C776=TRUE)*(F776-Calc!F22)))/150)*(1-B790/150)))/100</f>
        <v/>
      </c>
    </row>
    <row r="792">
      <c r="A792" t="inlineStr">
        <is>
          <t>Skill + Buff Cast Rate</t>
        </is>
      </c>
      <c r="B792">
        <f>IF(AND(Inputs!$B$4&lt;&gt;"pvp",Inputs!$B$35&gt;0),SUMPRODUCT((Skills!E2:E30=TRUE)*(C756:C784=TRUE)*R756:R784*Skills!F2:F30)/Inputs!$B$35,SUMPRODUCT((Skills!E2:E30=TRUE)*(C756:C784=TRUE)*Q756:Q784*Skills!F2:F30))</f>
        <v/>
      </c>
    </row>
    <row r="793">
      <c r="A793" t="inlineStr">
        <is>
          <t>Cruel Stab Casts Per Second</t>
        </is>
      </c>
      <c r="B793">
        <f>MAX(0,B791-B792)</f>
        <v/>
      </c>
    </row>
    <row r="794">
      <c r="A794" t="inlineStr">
        <is>
          <t>Global Critical Damage Bonus % (Smokescreen Mastery Lv.113)</t>
        </is>
      </c>
      <c r="B794">
        <f>IF(Inputs!$B$3&gt;=113,30,0)*IF(AND(Inputs!$B$4&lt;&gt;"pvp",Inputs!$B$35&gt;0),(((S769-1)*(Skills!Y15*(1+Inputs!$B$33/100))+MIN((Skills!Y15*(1+Inputs!$B$33/100)),MAX(0,Inputs!$B$35-((S769-1)*Skills!D15))))/Inputs!$B$35),IF(Inputs!$B$4="pvp",MIN((Skills!Y15*(1+Inputs!$B$33/100)),15)/15,(Skills!Y15*(1+Inputs!$B$33/100))/Skills!D15))</f>
        <v/>
      </c>
    </row>
    <row r="795">
      <c r="A795" t="inlineStr">
        <is>
          <t>Meso Explosion average stack count</t>
        </is>
      </c>
      <c r="B795">
        <f>MIN(10,0.5*B791*Skills!D4)</f>
        <v/>
      </c>
    </row>
    <row r="796">
      <c r="A796" t="inlineStr">
        <is>
          <t>Blood Money average stack count</t>
        </is>
      </c>
      <c r="B796">
        <f>MIN(5,0.25*B791*Skills!D4)</f>
        <v/>
      </c>
    </row>
    <row r="797">
      <c r="A797" t="inlineStr">
        <is>
          <t>Assassinate Murderous Intent Multiplier</t>
        </is>
      </c>
      <c r="B797">
        <f>1+IFERROR(MIN(1,Q768*2/Q765),0)</f>
        <v/>
      </c>
    </row>
    <row r="799">
      <c r="A799" s="5" t="inlineStr">
        <is>
          <t>TOTAL DPS</t>
        </is>
      </c>
      <c r="B799" s="5">
        <f>SUM(O756:O784)</f>
        <v/>
      </c>
    </row>
    <row r="802">
      <c r="A802" s="5" t="inlineStr">
        <is>
          <t>Stat: Skill Level Bonus — 1st Job</t>
        </is>
      </c>
    </row>
    <row r="803">
      <c r="A803" s="8" t="inlineStr">
        <is>
          <t>Key</t>
        </is>
      </c>
      <c r="B803" s="8" t="inlineStr">
        <is>
          <t>Name</t>
        </is>
      </c>
      <c r="C803" s="8" t="inlineStr">
        <is>
          <t>Unlocked</t>
        </is>
      </c>
      <c r="D803" s="8" t="inlineStr">
        <is>
          <t>InputLevel</t>
        </is>
      </c>
      <c r="E803" s="8" t="inlineStr">
        <is>
          <t>Factor</t>
        </is>
      </c>
      <c r="F803" s="8" t="inlineStr">
        <is>
          <t>CoefficientPercent</t>
        </is>
      </c>
      <c r="G803" s="8" t="inlineStr">
        <is>
          <t>EffectiveHits</t>
        </is>
      </c>
      <c r="H803" s="8" t="inlineStr">
        <is>
          <t>ProcProbability</t>
        </is>
      </c>
      <c r="I803" s="8" t="inlineStr">
        <is>
          <t>MapleHeroMultiplier</t>
        </is>
      </c>
      <c r="J803" s="8" t="inlineStr">
        <is>
          <t>BaseDamage</t>
        </is>
      </c>
      <c r="K803" s="8" t="inlineStr">
        <is>
          <t>BaseHitDamage</t>
        </is>
      </c>
      <c r="L803" s="8" t="inlineStr">
        <is>
          <t>NonCritAvg</t>
        </is>
      </c>
      <c r="M803" s="8" t="inlineStr">
        <is>
          <t>CritAvg</t>
        </is>
      </c>
      <c r="N803" s="8" t="inlineStr">
        <is>
          <t>ExpectedDamage(perHit)</t>
        </is>
      </c>
      <c r="O803" s="8" t="inlineStr">
        <is>
          <t>DPS</t>
        </is>
      </c>
      <c r="P803" s="8" t="inlineStr">
        <is>
          <t>% of Total</t>
        </is>
      </c>
      <c r="Q803" s="8" t="inlineStr">
        <is>
          <t>InvCooldown</t>
        </is>
      </c>
      <c r="R803" s="8" t="inlineStr">
        <is>
          <t>CastsInFight</t>
        </is>
      </c>
      <c r="S803" s="8" t="inlineStr">
        <is>
          <t>HitRate(perSec)</t>
        </is>
      </c>
      <c r="U803" t="inlineStr">
        <is>
          <t>helpers</t>
        </is>
      </c>
    </row>
    <row r="804">
      <c r="A804">
        <f>Skills!A2</f>
        <v/>
      </c>
      <c r="B804">
        <f>Skills!B2</f>
        <v/>
      </c>
      <c r="C804">
        <f>Inputs!$B$3&gt;=100</f>
        <v/>
      </c>
      <c r="D804" t="inlineStr"/>
      <c r="E804" t="inlineStr"/>
      <c r="F804">
        <f>U806+Skills!O2</f>
        <v/>
      </c>
      <c r="G804">
        <f>Skills!G2*IF(Skills!H2&gt;0,Skills!I2/Skills!H2,1)</f>
        <v/>
      </c>
      <c r="H804">
        <f>1-(1-Skills!J2/100)^Skills!K2</f>
        <v/>
      </c>
      <c r="I804" t="inlineStr">
        <is>
          <t>1</t>
        </is>
      </c>
      <c r="J804">
        <f>(Inputs!$B$5*(1+Inputs!$B$6/100))*(F804/100)</f>
        <v/>
      </c>
      <c r="K804">
        <f>J804*(1+((Inputs!$B$11*(1+Inputs!$B$12/100))*0.01+Inputs!$B$13*0.0025)/100)*(1+Inputs!$B$14/100)*(1+IF(Inputs!$B$4="pvp",0,(1-Summary!$B$55)*(Inputs!$B$19+0+Skills!P2+B836)+Summary!$B$55*(Inputs!$B$20+Skills!Q2+B836))/100)*(1+Inputs!$B$15/100)*(5000/(6000+Inputs!$B$7*(1-Inputs!$B$18/100)))*(1+(Inputs!$B$23+((C832=TRUE)*(F832-Calc!F30)))/100)*(1+(IF(Skills!A2="CRUEL_STAB",Inputs!$B$16+((C829=TRUE)*(F829-Calc!F27)),Inputs!$B$17+((C830=TRUE)*(F830-Calc!F28))))/100)*(((1+(((C823=TRUE)*F823*IF(AND(Inputs!$B$4&lt;&gt;"pvp",Inputs!$B$35&gt;0),(((S823-1)*(Skills!Y21*(1+Inputs!$B$33/100))+MIN((Skills!Y21*(1+Inputs!$B$33/100)),MAX(0,Inputs!$B$35-((S823-1)*Skills!D21))))/Inputs!$B$35),IF(Inputs!$B$4="pvp",MIN((Skills!Y21*(1+Inputs!$B$33/100)),15)/15,(Skills!Y21*(1+Inputs!$B$33/100))/Skills!D21)))+((C825=TRUE)*(F825-Calc!F23))+((C819=TRUE)*(F819-Calc!F17)))/100)*(1+((C812=TRUE)*F812*IF(AND(Inputs!$B$4&lt;&gt;"pvp",Inputs!$B$35&gt;0),(((S812-1)*(Skills!Y10*(1+Inputs!$B$33/100))+MIN((Skills!Y10*(1+Inputs!$B$33/100)),MAX(0,Inputs!$B$35-((S812-1)*Skills!D10))))/Inputs!$B$35),IF(Inputs!$B$4="pvp",MIN((Skills!Y10*(1+Inputs!$B$33/100)),15)/15,(Skills!Y10*(1+Inputs!$B$33/100))/Skills!D10)))/100)*(1+((C817=TRUE)*F817*IF(AND(Inputs!$B$4&lt;&gt;"pvp",Inputs!$B$35&gt;0),(((S817-1)*(Skills!Y15*(1+Inputs!$B$33/100))+MIN((Skills!Y15*(1+Inputs!$B$33/100)),MAX(0,Inputs!$B$35-((S817-1)*Skills!D15))))/Inputs!$B$35),IF(Inputs!$B$4="pvp",MIN((Skills!Y15*(1+Inputs!$B$33/100)),15)/15,(Skills!Y15*(1+Inputs!$B$33/100))/Skills!D15)))/100))*B837*I804)</f>
        <v/>
      </c>
      <c r="L804">
        <f>K804*(MIN(Inputs!$B$21+((C826=TRUE)*(F826-Calc!F24)),Inputs!$B$22+((C831=TRUE)*(F831-Calc!F29)))/100+(Inputs!$B$22+((C831=TRUE)*(F831-Calc!F29)))/100)/2</f>
        <v/>
      </c>
      <c r="M804">
        <f>L804*(1+(Inputs!$B$9+((C828=TRUE)*(F828-Calc!F26))+B842)/100)</f>
        <v/>
      </c>
      <c r="N804">
        <f>L804*(1-MIN((Inputs!$B$8+((C827=TRUE)*(F827-Calc!F25))+B835),100)/100)+M804*(MIN((Inputs!$B$8+((C827=TRUE)*(F827-Calc!F25))+B835),100)/100)</f>
        <v/>
      </c>
      <c r="O804">
        <f>IF(C804,Skills!G2*N804*B841*IF(Inputs!$B$4="pvp",1,(1-Summary!$B$55)*(1)+Summary!$B$55*(MIN((6+Inputs!$B$32),Inputs!$B$37))),0)</f>
        <v/>
      </c>
      <c r="P804">
        <f>IF(B847=0,0,O804/B847)</f>
        <v/>
      </c>
      <c r="Q804" t="n">
        <v>0</v>
      </c>
      <c r="R804" t="n">
        <v>0</v>
      </c>
      <c r="S804">
        <f>IFERROR(O804/N804,0)</f>
        <v/>
      </c>
      <c r="U804">
        <f>MAX(0,(Inputs!$B$3-100)*3)+Inputs!$B$27+Inputs!$B$28</f>
        <v/>
      </c>
    </row>
    <row r="805">
      <c r="A805">
        <f>Skills!A3</f>
        <v/>
      </c>
      <c r="B805">
        <f>Skills!B3</f>
        <v/>
      </c>
      <c r="C805">
        <f>Inputs!$B$3&gt;=35</f>
        <v/>
      </c>
      <c r="D805">
        <f>IF(Skills!C3=1,60+(Inputs!$B$24+1)+Inputs!$B$28,IF(Skills!C3=2,90+Inputs!$B$25+Inputs!$B$28,IF(Skills!C3=3,120+Inputs!$B$26+Inputs!$B$28,MAX(0,(Inputs!$B$3-100)*3)+Inputs!$B$27+Inputs!$B$28)))</f>
        <v/>
      </c>
      <c r="E805">
        <f>INDEX(FactorTable!$B$2:$Y$301, MATCH(ROUND(MIN(300,MAX(1,D805)),0), FactorTable!$A$2:$A$301,0), Skills!M3+1)</f>
        <v/>
      </c>
      <c r="F805">
        <f>IF(Skills!N3=TRUE,(Skills!L3/10)*(E805/1000),Skills!L3/10)+Skills!O3</f>
        <v/>
      </c>
      <c r="G805">
        <f>Skills!G3*IF(Skills!H3&gt;0,Skills!I3/Skills!H3,1)</f>
        <v/>
      </c>
      <c r="H805">
        <f>1-(1-Skills!J3/100)^Skills!K3</f>
        <v/>
      </c>
      <c r="I805" t="inlineStr">
        <is>
          <t>1</t>
        </is>
      </c>
      <c r="J805" t="inlineStr"/>
      <c r="K805" t="inlineStr"/>
      <c r="L805" t="inlineStr"/>
      <c r="M805" t="inlineStr"/>
      <c r="N805" t="inlineStr"/>
      <c r="O805" t="n">
        <v>0</v>
      </c>
      <c r="P805">
        <f>IF(B847=0,0,O805/B847)</f>
        <v/>
      </c>
      <c r="Q805" t="n">
        <v>0</v>
      </c>
      <c r="R805" t="n">
        <v>0</v>
      </c>
      <c r="S805">
        <f>IFERROR(O805/N805,0)</f>
        <v/>
      </c>
      <c r="U805">
        <f>INDEX(FactorTable!$B$2:$Y$301, MATCH(ROUND(MIN(300,MAX(1,U804)),0), FactorTable!$A$2:$A$301,0), 22)</f>
        <v/>
      </c>
    </row>
    <row r="806">
      <c r="A806">
        <f>Skills!A4</f>
        <v/>
      </c>
      <c r="B806">
        <f>Skills!B4</f>
        <v/>
      </c>
      <c r="C806">
        <f>Inputs!$B$3&gt;=66</f>
        <v/>
      </c>
      <c r="D806">
        <f>IF(Skills!C4=1,60+(Inputs!$B$24+1)+Inputs!$B$28,IF(Skills!C4=2,90+Inputs!$B$25+Inputs!$B$28,IF(Skills!C4=3,120+Inputs!$B$26+Inputs!$B$28,MAX(0,(Inputs!$B$3-100)*3)+Inputs!$B$27+Inputs!$B$28)))</f>
        <v/>
      </c>
      <c r="E806">
        <f>INDEX(FactorTable!$B$2:$Y$301, MATCH(ROUND(MIN(300,MAX(1,D806)),0), FactorTable!$A$2:$A$301,0), Skills!M4+1)</f>
        <v/>
      </c>
      <c r="F806">
        <f>IF(Skills!N4=TRUE,(Skills!L4/10)*(E806/1000),Skills!L4/10)+Skills!O4</f>
        <v/>
      </c>
      <c r="G806">
        <f>Skills!G4*IF(Skills!H4&gt;0,Skills!I4/Skills!H4,1)</f>
        <v/>
      </c>
      <c r="H806">
        <f>1-(1-Skills!J4/100)^Skills!K4</f>
        <v/>
      </c>
      <c r="I806" t="inlineStr">
        <is>
          <t>1</t>
        </is>
      </c>
      <c r="J806">
        <f>(Inputs!$B$5*(1+Inputs!$B$6/100))*(F806/100)</f>
        <v/>
      </c>
      <c r="K806">
        <f>J806*(1+((Inputs!$B$11*(1+Inputs!$B$12/100))*0.01+Inputs!$B$13*0.0025)/100)*(1+Inputs!$B$14/100)*(1+IF(Inputs!$B$4="pvp",0,(1-Summary!$B$55)*(Inputs!$B$19+0+Skills!P4+B836)+Summary!$B$55*(Inputs!$B$20+Skills!Q4+B836))/100)*(1+Inputs!$B$15/100)*(5000/(6000+Inputs!$B$7*(1-Inputs!$B$18/100)))*(1+(Inputs!$B$23+((C832=TRUE)*(F832-Calc!F30)))/100)*(1+(IF(Skills!A4="CRUEL_STAB",Inputs!$B$16+((C829=TRUE)*(F829-Calc!F27)),Inputs!$B$17+((C830=TRUE)*(F830-Calc!F28))))/100)*(((1+(((C823=TRUE)*F823*IF(AND(Inputs!$B$4&lt;&gt;"pvp",Inputs!$B$35&gt;0),(((S823-1)*(Skills!Y21*(1+Inputs!$B$33/100))+MIN((Skills!Y21*(1+Inputs!$B$33/100)),MAX(0,Inputs!$B$35-((S823-1)*Skills!D21))))/Inputs!$B$35),IF(Inputs!$B$4="pvp",MIN((Skills!Y21*(1+Inputs!$B$33/100)),15)/15,(Skills!Y21*(1+Inputs!$B$33/100))/Skills!D21)))+((C825=TRUE)*(F825-Calc!F23))+((C819=TRUE)*(F819-Calc!F17)))/100)*(1+((C812=TRUE)*F812*IF(AND(Inputs!$B$4&lt;&gt;"pvp",Inputs!$B$35&gt;0),(((S812-1)*(Skills!Y10*(1+Inputs!$B$33/100))+MIN((Skills!Y10*(1+Inputs!$B$33/100)),MAX(0,Inputs!$B$35-((S812-1)*Skills!D10))))/Inputs!$B$35),IF(Inputs!$B$4="pvp",MIN((Skills!Y10*(1+Inputs!$B$33/100)),15)/15,(Skills!Y10*(1+Inputs!$B$33/100))/Skills!D10)))/100)*(1+((C817=TRUE)*F817*IF(AND(Inputs!$B$4&lt;&gt;"pvp",Inputs!$B$35&gt;0),(((S817-1)*(Skills!Y15*(1+Inputs!$B$33/100))+MIN((Skills!Y15*(1+Inputs!$B$33/100)),MAX(0,Inputs!$B$35-((S817-1)*Skills!D15))))/Inputs!$B$35),IF(Inputs!$B$4="pvp",MIN((Skills!Y15*(1+Inputs!$B$33/100)),15)/15,(Skills!Y15*(1+Inputs!$B$33/100))/Skills!D15)))/100))*B837*I806)</f>
        <v/>
      </c>
      <c r="L806">
        <f>K806*(MIN(Inputs!$B$21+((C826=TRUE)*(F826-Calc!F24)),Inputs!$B$22+((C831=TRUE)*(F831-Calc!F29)))/100+(Inputs!$B$22+((C831=TRUE)*(F831-Calc!F29)))/100)/2</f>
        <v/>
      </c>
      <c r="M806">
        <f>L806*(1+(Inputs!$B$9+((C828=TRUE)*(F828-Calc!F26))+B842)/100)</f>
        <v/>
      </c>
      <c r="N806">
        <f>L806*(1-MIN((Inputs!$B$8+((C827=TRUE)*(F827-Calc!F25))+B835),100)/100)+M806*(MIN((Inputs!$B$8+((C827=TRUE)*(F827-Calc!F25))+B835),100)/100)</f>
        <v/>
      </c>
      <c r="O806">
        <f>IF(C806,H806*N806*IF(AND(Inputs!$B$4&lt;&gt;"pvp",Inputs!$B$35&gt;0),((Skills!G4*((R806-1)*IF(Skills!H4&gt;0,Skills!I4/Skills!H4,1)+IF(Skills!H4&gt;0,MIN(Skills!I4,MAX(0,Inputs!$B$35-((R806-1)*IF(Inputs!$B$4="pvp",15,MAX(0.1,Skills!D4-IF(Skills!E4=TRUE,Inputs!$B$31,0))))))/Skills!H4,1)))/Inputs!$B$35),G806*Q806)*IF(Inputs!$B$4="pvp",1,(1-Summary!$B$55)*(1)+Summary!$B$55*(MIN(MIN(10,0.5*B839*Skills!D4),Inputs!$B$37))),0)</f>
        <v/>
      </c>
      <c r="P806">
        <f>IF(B847=0,0,O806/B847)</f>
        <v/>
      </c>
      <c r="Q806">
        <f>IFERROR(1/IF(Inputs!$B$4="pvp",15,MAX(0.1,Skills!D4-IF(Skills!E4=TRUE,Inputs!$B$31,0))),0)</f>
        <v/>
      </c>
      <c r="R806">
        <f>IF(AND(Inputs!$B$4&lt;&gt;"pvp",Inputs!$B$35&gt;0),(INT(Inputs!$B$35/IF(Inputs!$B$4="pvp",15,MAX(0.1,Skills!D4-IF(Skills!E4=TRUE,Inputs!$B$31,0))))+1),0)</f>
        <v/>
      </c>
      <c r="S806">
        <f>IFERROR(O806/N806,0)</f>
        <v/>
      </c>
      <c r="U806">
        <f>290*U805/1000</f>
        <v/>
      </c>
    </row>
    <row r="807">
      <c r="A807">
        <f>Skills!A5</f>
        <v/>
      </c>
      <c r="B807">
        <f>Skills!B5</f>
        <v/>
      </c>
      <c r="C807">
        <f>Inputs!$B$3&gt;=63</f>
        <v/>
      </c>
      <c r="D807">
        <f>IF(Skills!C5=1,60+(Inputs!$B$24+1)+Inputs!$B$28,IF(Skills!C5=2,90+Inputs!$B$25+Inputs!$B$28,IF(Skills!C5=3,120+Inputs!$B$26+Inputs!$B$28,MAX(0,(Inputs!$B$3-100)*3)+Inputs!$B$27+Inputs!$B$28)))</f>
        <v/>
      </c>
      <c r="E807">
        <f>INDEX(FactorTable!$B$2:$Y$301, MATCH(ROUND(MIN(300,MAX(1,D807)),0), FactorTable!$A$2:$A$301,0), Skills!M5+1)</f>
        <v/>
      </c>
      <c r="F807">
        <f>IF(Skills!N5=TRUE,(Skills!L5/10)*(E807/1000),Skills!L5/10)+Skills!O5</f>
        <v/>
      </c>
      <c r="G807">
        <f>Skills!G5*IF(Skills!H5&gt;0,Skills!I5/Skills!H5,1)</f>
        <v/>
      </c>
      <c r="H807">
        <f>1-(1-Skills!J5/100)^Skills!K5</f>
        <v/>
      </c>
      <c r="I807" t="inlineStr">
        <is>
          <t>1</t>
        </is>
      </c>
      <c r="J807">
        <f>(Inputs!$B$5*(1+Inputs!$B$6/100))*(F807/100)</f>
        <v/>
      </c>
      <c r="K807">
        <f>J807*(1+((Inputs!$B$11*(1+Inputs!$B$12/100))*0.01+Inputs!$B$13*0.0025)/100)*(1+Inputs!$B$14/100)*(1+IF(Inputs!$B$4="pvp",0,(1-Summary!$B$55)*(Inputs!$B$19+0+Skills!P5+B836)+Summary!$B$55*(Inputs!$B$20+Skills!Q5+B836))/100)*(1+Inputs!$B$15/100)*(5000/(6000+Inputs!$B$7*(1-Inputs!$B$18/100)))*(1+(Inputs!$B$23+((C832=TRUE)*(F832-Calc!F30)))/100)*(1+2.6666666666666665*IF(C820=TRUE,F820,0)/100)*(1+(IF(Skills!A5="CRUEL_STAB",Inputs!$B$16+((C829=TRUE)*(F829-Calc!F27)),Inputs!$B$17+((C830=TRUE)*(F830-Calc!F28))))/100)*(((1+(((C823=TRUE)*F823*IF(AND(Inputs!$B$4&lt;&gt;"pvp",Inputs!$B$35&gt;0),(((S823-1)*(Skills!Y21*(1+Inputs!$B$33/100))+MIN((Skills!Y21*(1+Inputs!$B$33/100)),MAX(0,Inputs!$B$35-((S823-1)*Skills!D21))))/Inputs!$B$35),IF(Inputs!$B$4="pvp",MIN((Skills!Y21*(1+Inputs!$B$33/100)),15)/15,(Skills!Y21*(1+Inputs!$B$33/100))/Skills!D21)))+((C825=TRUE)*(F825-Calc!F23))+((C819=TRUE)*(F819-Calc!F17)))/100)*(1+((C812=TRUE)*F812*IF(AND(Inputs!$B$4&lt;&gt;"pvp",Inputs!$B$35&gt;0),(((S812-1)*(Skills!Y10*(1+Inputs!$B$33/100))+MIN((Skills!Y10*(1+Inputs!$B$33/100)),MAX(0,Inputs!$B$35-((S812-1)*Skills!D10))))/Inputs!$B$35),IF(Inputs!$B$4="pvp",MIN((Skills!Y10*(1+Inputs!$B$33/100)),15)/15,(Skills!Y10*(1+Inputs!$B$33/100))/Skills!D10)))/100)*(1+((C817=TRUE)*F817*IF(AND(Inputs!$B$4&lt;&gt;"pvp",Inputs!$B$35&gt;0),(((S817-1)*(Skills!Y15*(1+Inputs!$B$33/100))+MIN((Skills!Y15*(1+Inputs!$B$33/100)),MAX(0,Inputs!$B$35-((S817-1)*Skills!D15))))/Inputs!$B$35),IF(Inputs!$B$4="pvp",MIN((Skills!Y15*(1+Inputs!$B$33/100)),15)/15,(Skills!Y15*(1+Inputs!$B$33/100))/Skills!D15)))/100))*B837*I807)</f>
        <v/>
      </c>
      <c r="L807">
        <f>K807*(MIN(Inputs!$B$21+((C826=TRUE)*(F826-Calc!F24)),Inputs!$B$22+((C831=TRUE)*(F831-Calc!F29)))/100+(Inputs!$B$22+((C831=TRUE)*(F831-Calc!F29)))/100)/2</f>
        <v/>
      </c>
      <c r="M807">
        <f>L807*(1+(Inputs!$B$9+((C828=TRUE)*(F828-Calc!F26))+B842)/100)</f>
        <v/>
      </c>
      <c r="N807">
        <f>L807*(1-MIN((Inputs!$B$8+((C827=TRUE)*(F827-Calc!F25))+B835),100)/100)+M807*(MIN((Inputs!$B$8+((C827=TRUE)*(F827-Calc!F25))+B835),100)/100)</f>
        <v/>
      </c>
      <c r="O807">
        <f>IF(C807,H807*N807*IF(AND(Inputs!$B$4&lt;&gt;"pvp",Inputs!$B$35&gt;0),((Skills!G5*((R807-1)*IF(Skills!H5&gt;0,Skills!I5/Skills!H5,1)+IF(Skills!H5&gt;0,MIN(Skills!I5,MAX(0,Inputs!$B$35-((R807-1)*IF(Inputs!$B$4="pvp",15,MAX(0.1,Skills!D5-IF(Skills!E5=TRUE,Inputs!$B$31,0))))))/Skills!H5,1)))/Inputs!$B$35),G807*Q807)*IF(Inputs!$B$4="pvp",1,(1-Summary!$B$55)*(1)+Summary!$B$55*(MIN(Skills!W5,Inputs!$B$37))),0)</f>
        <v/>
      </c>
      <c r="P807">
        <f>IF(B847=0,0,O807/B847)</f>
        <v/>
      </c>
      <c r="Q807">
        <f>IFERROR(1/IF(Inputs!$B$4="pvp",15,MAX(0.1,Skills!D5-IF(Skills!E5=TRUE,Inputs!$B$31,0))),0)</f>
        <v/>
      </c>
      <c r="R807">
        <f>IF(AND(Inputs!$B$4&lt;&gt;"pvp",Inputs!$B$35&gt;0),(INT(Inputs!$B$35/IF(Inputs!$B$4="pvp",15,MAX(0.1,Skills!D5-IF(Skills!E5=TRUE,Inputs!$B$31,0))))+1),0)</f>
        <v/>
      </c>
      <c r="S807">
        <f>IFERROR(O807/N807,0)</f>
        <v/>
      </c>
    </row>
    <row r="808">
      <c r="A808">
        <f>Skills!A6</f>
        <v/>
      </c>
      <c r="B808">
        <f>Skills!B6</f>
        <v/>
      </c>
      <c r="C808">
        <f>Inputs!$B$3&gt;=69</f>
        <v/>
      </c>
      <c r="D808">
        <f>IF(Skills!C6=1,60+(Inputs!$B$24+1)+Inputs!$B$28,IF(Skills!C6=2,90+Inputs!$B$25+Inputs!$B$28,IF(Skills!C6=3,120+Inputs!$B$26+Inputs!$B$28,MAX(0,(Inputs!$B$3-100)*3)+Inputs!$B$27+Inputs!$B$28)))</f>
        <v/>
      </c>
      <c r="E808">
        <f>INDEX(FactorTable!$B$2:$Y$301, MATCH(ROUND(MIN(300,MAX(1,D808)),0), FactorTable!$A$2:$A$301,0), Skills!M6+1)</f>
        <v/>
      </c>
      <c r="F808">
        <f>IF(Skills!N6=TRUE,(Skills!L6/10)*(E808/1000),Skills!L6/10)+Skills!O6</f>
        <v/>
      </c>
      <c r="G808">
        <f>Skills!G6*IF(Skills!H6&gt;0,Skills!I6/Skills!H6,1)</f>
        <v/>
      </c>
      <c r="H808">
        <f>1-(1-Skills!J6/100)^Skills!K6</f>
        <v/>
      </c>
      <c r="I808" t="inlineStr">
        <is>
          <t>1</t>
        </is>
      </c>
      <c r="J808">
        <f>(Inputs!$B$5*(1+Inputs!$B$6/100))*(F808/100)</f>
        <v/>
      </c>
      <c r="K808">
        <f>J808*(1+((Inputs!$B$11*(1+Inputs!$B$12/100))*0.01+Inputs!$B$13*0.0025)/100)*(1+Inputs!$B$14/100)*(1+IF(Inputs!$B$4="pvp",0,(1-Summary!$B$55)*(Inputs!$B$19+0+Skills!P6+B836)+Summary!$B$55*(Inputs!$B$20+Skills!Q6+B836))/100)*(1+Inputs!$B$15/100)*(5000/(6000+Inputs!$B$7*(1-Inputs!$B$18/100)))*(1+(Inputs!$B$23+((C832=TRUE)*(F832-Calc!F30)))/100)*(1+1.0*IF(C820=TRUE,F820,0)/100)*(1+(IF(Skills!A6="CRUEL_STAB",Inputs!$B$16+((C829=TRUE)*(F829-Calc!F27)),Inputs!$B$17+((C830=TRUE)*(F830-Calc!F28))))/100)*(((1+(((C823=TRUE)*F823*IF(AND(Inputs!$B$4&lt;&gt;"pvp",Inputs!$B$35&gt;0),(((S823-1)*(Skills!Y21*(1+Inputs!$B$33/100))+MIN((Skills!Y21*(1+Inputs!$B$33/100)),MAX(0,Inputs!$B$35-((S823-1)*Skills!D21))))/Inputs!$B$35),IF(Inputs!$B$4="pvp",MIN((Skills!Y21*(1+Inputs!$B$33/100)),15)/15,(Skills!Y21*(1+Inputs!$B$33/100))/Skills!D21)))+((C825=TRUE)*(F825-Calc!F23))+((C819=TRUE)*(F819-Calc!F17)))/100)*(1+((C812=TRUE)*F812*IF(AND(Inputs!$B$4&lt;&gt;"pvp",Inputs!$B$35&gt;0),(((S812-1)*(Skills!Y10*(1+Inputs!$B$33/100))+MIN((Skills!Y10*(1+Inputs!$B$33/100)),MAX(0,Inputs!$B$35-((S812-1)*Skills!D10))))/Inputs!$B$35),IF(Inputs!$B$4="pvp",MIN((Skills!Y10*(1+Inputs!$B$33/100)),15)/15,(Skills!Y10*(1+Inputs!$B$33/100))/Skills!D10)))/100)*(1+((C817=TRUE)*F817*IF(AND(Inputs!$B$4&lt;&gt;"pvp",Inputs!$B$35&gt;0),(((S817-1)*(Skills!Y15*(1+Inputs!$B$33/100))+MIN((Skills!Y15*(1+Inputs!$B$33/100)),MAX(0,Inputs!$B$35-((S817-1)*Skills!D15))))/Inputs!$B$35),IF(Inputs!$B$4="pvp",MIN((Skills!Y15*(1+Inputs!$B$33/100)),15)/15,(Skills!Y15*(1+Inputs!$B$33/100))/Skills!D15)))/100))*B837*I808)</f>
        <v/>
      </c>
      <c r="L808">
        <f>K808*(MIN(Inputs!$B$21+((C826=TRUE)*(F826-Calc!F24)),Inputs!$B$22+((C831=TRUE)*(F831-Calc!F29)))/100+(Inputs!$B$22+((C831=TRUE)*(F831-Calc!F29)))/100)/2</f>
        <v/>
      </c>
      <c r="M808">
        <f>L808*(1+(Inputs!$B$9+((C828=TRUE)*(F828-Calc!F26))+B842)/100)</f>
        <v/>
      </c>
      <c r="N808">
        <f>L808*(1-MIN((Inputs!$B$8+((C827=TRUE)*(F827-Calc!F25))+B835),100)/100)+M808*(MIN((Inputs!$B$8+((C827=TRUE)*(F827-Calc!F25))+B835),100)/100)</f>
        <v/>
      </c>
      <c r="O808">
        <f>IF(C808,H808*N808*IF(AND(Inputs!$B$4&lt;&gt;"pvp",Inputs!$B$35&gt;0),((Skills!G6*((R808-1)*IF(Skills!H6&gt;0,Skills!I6/Skills!H6,1)+IF(Skills!H6&gt;0,MIN(Skills!I6,MAX(0,Inputs!$B$35-((R808-1)*IF(Inputs!$B$4="pvp",15,MAX(0.1,Skills!D6-IF(Skills!E6=TRUE,Inputs!$B$31,0))))))/Skills!H6,1)))/Inputs!$B$35),G808*Q808)*IF(Inputs!$B$4="pvp",1,(1-Summary!$B$55)*(1)+Summary!$B$55*(MIN(Skills!W6,Inputs!$B$37))),0)</f>
        <v/>
      </c>
      <c r="P808">
        <f>IF(B847=0,0,O808/B847)</f>
        <v/>
      </c>
      <c r="Q808">
        <f>IFERROR(1/IF(Inputs!$B$4="pvp",15,MAX(0.1,Skills!D6-IF(Skills!E6=TRUE,Inputs!$B$31,0))),0)</f>
        <v/>
      </c>
      <c r="R808">
        <f>IF(AND(Inputs!$B$4&lt;&gt;"pvp",Inputs!$B$35&gt;0),(INT(Inputs!$B$35/IF(Inputs!$B$4="pvp",15,MAX(0.1,Skills!D6-IF(Skills!E6=TRUE,Inputs!$B$31,0))))+1),0)</f>
        <v/>
      </c>
      <c r="S808">
        <f>IFERROR(O808/N808,0)</f>
        <v/>
      </c>
    </row>
    <row r="809">
      <c r="A809">
        <f>Skills!A7</f>
        <v/>
      </c>
      <c r="B809">
        <f>Skills!B7</f>
        <v/>
      </c>
      <c r="C809">
        <f>Inputs!$B$3&gt;=60</f>
        <v/>
      </c>
      <c r="D809">
        <f>IF(Skills!C7=1,60+(Inputs!$B$24+1)+Inputs!$B$28,IF(Skills!C7=2,90+Inputs!$B$25+Inputs!$B$28,IF(Skills!C7=3,120+Inputs!$B$26+Inputs!$B$28,MAX(0,(Inputs!$B$3-100)*3)+Inputs!$B$27+Inputs!$B$28)))</f>
        <v/>
      </c>
      <c r="E809">
        <f>INDEX(FactorTable!$B$2:$Y$301, MATCH(ROUND(MIN(300,MAX(1,D809)),0), FactorTable!$A$2:$A$301,0), Skills!M7+1)</f>
        <v/>
      </c>
      <c r="F809">
        <f>IF(Skills!N7=TRUE,(Skills!L7/10)*(E809/1000),Skills!L7/10)+Skills!O7</f>
        <v/>
      </c>
      <c r="G809">
        <f>Skills!G7*IF(Skills!H7&gt;0,Skills!I7/Skills!H7,1)</f>
        <v/>
      </c>
      <c r="H809">
        <f>1-(1-Skills!J7/100)^Skills!K7</f>
        <v/>
      </c>
      <c r="I809" t="inlineStr">
        <is>
          <t>1</t>
        </is>
      </c>
      <c r="J809" t="inlineStr"/>
      <c r="K809" t="inlineStr"/>
      <c r="L809" t="inlineStr"/>
      <c r="M809" t="inlineStr"/>
      <c r="N809" t="inlineStr"/>
      <c r="O809" t="n">
        <v>0</v>
      </c>
      <c r="P809">
        <f>IF(B847=0,0,O809/B847)</f>
        <v/>
      </c>
      <c r="Q809" t="n">
        <v>0</v>
      </c>
      <c r="R809" t="n">
        <v>0</v>
      </c>
      <c r="S809">
        <f>IFERROR(O809/N809,0)</f>
        <v/>
      </c>
    </row>
    <row r="810">
      <c r="A810">
        <f>Skills!A8</f>
        <v/>
      </c>
      <c r="B810">
        <f>Skills!B8</f>
        <v/>
      </c>
      <c r="C810">
        <f>Inputs!$B$3&gt;=72</f>
        <v/>
      </c>
      <c r="D810">
        <f>IF(Skills!C8=1,60+(Inputs!$B$24+1)+Inputs!$B$28,IF(Skills!C8=2,90+Inputs!$B$25+Inputs!$B$28,IF(Skills!C8=3,120+Inputs!$B$26+Inputs!$B$28,MAX(0,(Inputs!$B$3-100)*3)+Inputs!$B$27+Inputs!$B$28)))</f>
        <v/>
      </c>
      <c r="E810">
        <f>INDEX(FactorTable!$B$2:$Y$301, MATCH(ROUND(MIN(300,MAX(1,D810)),0), FactorTable!$A$2:$A$301,0), Skills!M8+1)</f>
        <v/>
      </c>
      <c r="F810">
        <f>IF(Skills!N8=TRUE,(Skills!L8/10)*(E810/1000),Skills!L8/10)+Skills!O8</f>
        <v/>
      </c>
      <c r="G810">
        <f>Skills!G8*IF(Skills!H8&gt;0,Skills!I8/Skills!H8,1)</f>
        <v/>
      </c>
      <c r="H810">
        <f>1-(1-Skills!J8/100)^Skills!K8</f>
        <v/>
      </c>
      <c r="I810" t="inlineStr">
        <is>
          <t>1</t>
        </is>
      </c>
      <c r="J810">
        <f>(Inputs!$B$5*(1+Inputs!$B$6/100))*(F810/100)</f>
        <v/>
      </c>
      <c r="K810">
        <f>J810*(1+((Inputs!$B$11*(1+Inputs!$B$12/100))*0.01+Inputs!$B$13*0.0025)/100)*(1+Inputs!$B$14/100)*(1+IF(Inputs!$B$4="pvp",0,(1-Summary!$B$55)*(Inputs!$B$19+0+Skills!P8+B836)+Summary!$B$55*(Inputs!$B$20+Skills!Q8+B836))/100)*(1+Inputs!$B$15/100)*(5000/(6000+Inputs!$B$7*(1-Inputs!$B$18/100)))*(1+(Inputs!$B$23+((C832=TRUE)*(F832-Calc!F30)))/100)*(1+3.3333333333333335*IF(C820=TRUE,F820,0)/100)*(1+(IF(Skills!A8="CRUEL_STAB",Inputs!$B$16+((C829=TRUE)*(F829-Calc!F27)),Inputs!$B$17+((C830=TRUE)*(F830-Calc!F28))))/100)*(((1+(((C823=TRUE)*F823*IF(AND(Inputs!$B$4&lt;&gt;"pvp",Inputs!$B$35&gt;0),(((S823-1)*(Skills!Y21*(1+Inputs!$B$33/100))+MIN((Skills!Y21*(1+Inputs!$B$33/100)),MAX(0,Inputs!$B$35-((S823-1)*Skills!D21))))/Inputs!$B$35),IF(Inputs!$B$4="pvp",MIN((Skills!Y21*(1+Inputs!$B$33/100)),15)/15,(Skills!Y21*(1+Inputs!$B$33/100))/Skills!D21)))+((C825=TRUE)*(F825-Calc!F23))+((C819=TRUE)*(F819-Calc!F17)))/100)*(1+((C812=TRUE)*F812*IF(AND(Inputs!$B$4&lt;&gt;"pvp",Inputs!$B$35&gt;0),(((S812-1)*(Skills!Y10*(1+Inputs!$B$33/100))+MIN((Skills!Y10*(1+Inputs!$B$33/100)),MAX(0,Inputs!$B$35-((S812-1)*Skills!D10))))/Inputs!$B$35),IF(Inputs!$B$4="pvp",MIN((Skills!Y10*(1+Inputs!$B$33/100)),15)/15,(Skills!Y10*(1+Inputs!$B$33/100))/Skills!D10)))/100)*(1+((C817=TRUE)*F817*IF(AND(Inputs!$B$4&lt;&gt;"pvp",Inputs!$B$35&gt;0),(((S817-1)*(Skills!Y15*(1+Inputs!$B$33/100))+MIN((Skills!Y15*(1+Inputs!$B$33/100)),MAX(0,Inputs!$B$35-((S817-1)*Skills!D15))))/Inputs!$B$35),IF(Inputs!$B$4="pvp",MIN((Skills!Y15*(1+Inputs!$B$33/100)),15)/15,(Skills!Y15*(1+Inputs!$B$33/100))/Skills!D15)))/100))*B837*I810)</f>
        <v/>
      </c>
      <c r="L810">
        <f>K810*(MIN(Inputs!$B$21+((C826=TRUE)*(F826-Calc!F24)),Inputs!$B$22+((C831=TRUE)*(F831-Calc!F29)))/100+(Inputs!$B$22+((C831=TRUE)*(F831-Calc!F29)))/100)/2</f>
        <v/>
      </c>
      <c r="M810">
        <f>L810*(1+(Inputs!$B$9+((C828=TRUE)*(F828-Calc!F26))+B842)/100)</f>
        <v/>
      </c>
      <c r="N810">
        <f>L810*(1-MIN((Inputs!$B$8+((C827=TRUE)*(F827-Calc!F25))+B835),100)/100)+M810*(MIN((Inputs!$B$8+((C827=TRUE)*(F827-Calc!F25))+B835),100)/100)</f>
        <v/>
      </c>
      <c r="O810">
        <f>IF(C810,H810*N810*IF(AND(Inputs!$B$4&lt;&gt;"pvp",Inputs!$B$35&gt;0),((Skills!G8*((R810-1)*IF(Skills!H8&gt;0,Skills!I8/Skills!H8,1)+IF(Skills!H8&gt;0,MIN(Skills!I8,MAX(0,Inputs!$B$35-((R810-1)*IF(Inputs!$B$4="pvp",15,MAX(0.1,Skills!D8-IF(Skills!E8=TRUE,Inputs!$B$31,0))))))/Skills!H8,1)))/Inputs!$B$35),G810*Q810)*IF(Inputs!$B$4="pvp",1,(1-Summary!$B$55)*(1)+Summary!$B$55*(MIN(Skills!W8,Inputs!$B$37))),0)</f>
        <v/>
      </c>
      <c r="P810">
        <f>IF(B847=0,0,O810/B847)</f>
        <v/>
      </c>
      <c r="Q810">
        <f>IFERROR(1/IF(Inputs!$B$4="pvp",15,MAX(0.1,Skills!D8-IF(Skills!E8=TRUE,Inputs!$B$31,0))),0)</f>
        <v/>
      </c>
      <c r="R810">
        <f>IF(AND(Inputs!$B$4&lt;&gt;"pvp",Inputs!$B$35&gt;0),(INT(Inputs!$B$35/IF(Inputs!$B$4="pvp",15,MAX(0.1,Skills!D8-IF(Skills!E8=TRUE,Inputs!$B$31,0))))+1),0)</f>
        <v/>
      </c>
      <c r="S810">
        <f>IFERROR(O810/N810,0)</f>
        <v/>
      </c>
    </row>
    <row r="811">
      <c r="A811">
        <f>Skills!A9</f>
        <v/>
      </c>
      <c r="B811">
        <f>Skills!B9</f>
        <v/>
      </c>
      <c r="C811">
        <f>Inputs!$B$3&gt;=117</f>
        <v/>
      </c>
      <c r="D811">
        <f>IF(Skills!C9=1,60+(Inputs!$B$24+1)+Inputs!$B$28,IF(Skills!C9=2,90+Inputs!$B$25+Inputs!$B$28,IF(Skills!C9=3,120+Inputs!$B$26+Inputs!$B$28,MAX(0,(Inputs!$B$3-100)*3)+Inputs!$B$27+Inputs!$B$28)))</f>
        <v/>
      </c>
      <c r="E811">
        <f>INDEX(FactorTable!$B$2:$Y$301, MATCH(ROUND(MIN(300,MAX(1,D811)),0), FactorTable!$A$2:$A$301,0), Skills!M9+1)</f>
        <v/>
      </c>
      <c r="F811">
        <f>IF(Skills!N9=TRUE,(Skills!L9/10)*(E811/1000),Skills!L9/10)+Skills!O9</f>
        <v/>
      </c>
      <c r="G811">
        <f>Skills!G9*IF(Skills!H9&gt;0,Skills!I9/Skills!H9,1)</f>
        <v/>
      </c>
      <c r="H811">
        <f>1-(1-Skills!J9/100)^Skills!K9</f>
        <v/>
      </c>
      <c r="I811" t="inlineStr">
        <is>
          <t>1</t>
        </is>
      </c>
      <c r="J811">
        <f>(Inputs!$B$5*(1+Inputs!$B$6/100))*(F811/100)</f>
        <v/>
      </c>
      <c r="K811">
        <f>J811*(1+((Inputs!$B$11*(1+Inputs!$B$12/100))*0.01+Inputs!$B$13*0.0025)/100)*(1+Inputs!$B$14/100)*(1+IF(Inputs!$B$4="pvp",0,(1-Summary!$B$55)*(Inputs!$B$19+0+Skills!P9+B836)+Summary!$B$55*(Inputs!$B$20+Skills!Q9+B836))/100)*(1+Inputs!$B$15/100)*(5000/(6000+Inputs!$B$7*(1-Inputs!$B$18/100)))*(1+(Inputs!$B$23+((C832=TRUE)*(F832-Calc!F30)))/100)*(1+(IF(Skills!A9="CRUEL_STAB",Inputs!$B$16+((C829=TRUE)*(F829-Calc!F27)),Inputs!$B$17+((C830=TRUE)*(F830-Calc!F28))))/100)*(((1+(((C823=TRUE)*F823*IF(AND(Inputs!$B$4&lt;&gt;"pvp",Inputs!$B$35&gt;0),(((S823-1)*(Skills!Y21*(1+Inputs!$B$33/100))+MIN((Skills!Y21*(1+Inputs!$B$33/100)),MAX(0,Inputs!$B$35-((S823-1)*Skills!D21))))/Inputs!$B$35),IF(Inputs!$B$4="pvp",MIN((Skills!Y21*(1+Inputs!$B$33/100)),15)/15,(Skills!Y21*(1+Inputs!$B$33/100))/Skills!D21)))+((C825=TRUE)*(F825-Calc!F23))+((C819=TRUE)*(F819-Calc!F17)))/100)*(1+((C812=TRUE)*F812*IF(AND(Inputs!$B$4&lt;&gt;"pvp",Inputs!$B$35&gt;0),(((S812-1)*(Skills!Y10*(1+Inputs!$B$33/100))+MIN((Skills!Y10*(1+Inputs!$B$33/100)),MAX(0,Inputs!$B$35-((S812-1)*Skills!D10))))/Inputs!$B$35),IF(Inputs!$B$4="pvp",MIN((Skills!Y10*(1+Inputs!$B$33/100)),15)/15,(Skills!Y10*(1+Inputs!$B$33/100))/Skills!D10)))/100)*(1+((C817=TRUE)*F817*IF(AND(Inputs!$B$4&lt;&gt;"pvp",Inputs!$B$35&gt;0),(((S817-1)*(Skills!Y15*(1+Inputs!$B$33/100))+MIN((Skills!Y15*(1+Inputs!$B$33/100)),MAX(0,Inputs!$B$35-((S817-1)*Skills!D15))))/Inputs!$B$35),IF(Inputs!$B$4="pvp",MIN((Skills!Y15*(1+Inputs!$B$33/100)),15)/15,(Skills!Y15*(1+Inputs!$B$33/100))/Skills!D15)))/100))*B837*I811)</f>
        <v/>
      </c>
      <c r="L811">
        <f>K811*(MIN(Inputs!$B$21+((C826=TRUE)*(F826-Calc!F24)),Inputs!$B$22+((C831=TRUE)*(F831-Calc!F29)))/100+(Inputs!$B$22+((C831=TRUE)*(F831-Calc!F29)))/100)/2</f>
        <v/>
      </c>
      <c r="M811">
        <f>L811*(1+(Inputs!$B$9+((C828=TRUE)*(F828-Calc!F26))+B842)/100)</f>
        <v/>
      </c>
      <c r="N811">
        <f>L811*(1-MIN((Inputs!$B$8+((C827=TRUE)*(F827-Calc!F25))+B835),100)/100)+M811*(MIN((Inputs!$B$8+((C827=TRUE)*(F827-Calc!F25))+B835),100)/100)</f>
        <v/>
      </c>
      <c r="O811">
        <f>IF(C811,0.2*SUMPRODUCT((Skills!Z2:Z30=TRUE)*(C804:C832=TRUE)*S804:S832)*N811,0)</f>
        <v/>
      </c>
      <c r="P811">
        <f>IF(B847=0,0,O811/B847)</f>
        <v/>
      </c>
      <c r="Q811" t="n">
        <v>0</v>
      </c>
      <c r="R811" t="n">
        <v>0</v>
      </c>
      <c r="S811" t="n">
        <v>0</v>
      </c>
    </row>
    <row r="812">
      <c r="A812">
        <f>Skills!A10</f>
        <v/>
      </c>
      <c r="B812">
        <f>Skills!B10</f>
        <v/>
      </c>
      <c r="C812">
        <f>Inputs!$B$3&gt;=74</f>
        <v/>
      </c>
      <c r="D812">
        <f>IF(Skills!C10=1,60+(Inputs!$B$24+1)+Inputs!$B$28,IF(Skills!C10=2,90+Inputs!$B$25+Inputs!$B$28,IF(Skills!C10=3,120+Inputs!$B$26+Inputs!$B$28,MAX(0,(Inputs!$B$3-100)*3)+Inputs!$B$27+Inputs!$B$28)))</f>
        <v/>
      </c>
      <c r="E812">
        <f>INDEX(FactorTable!$B$2:$Y$301, MATCH(ROUND(MIN(300,MAX(1,D812)),0), FactorTable!$A$2:$A$301,0), Skills!M10+1)</f>
        <v/>
      </c>
      <c r="F812">
        <f>IF(Skills!N10=TRUE,(Skills!L10/10)*(E812/1000),Skills!L10/10)+Skills!O10</f>
        <v/>
      </c>
      <c r="G812">
        <f>Skills!G10*IF(Skills!H10&gt;0,Skills!I10/Skills!H10,1)</f>
        <v/>
      </c>
      <c r="H812">
        <f>1-(1-Skills!J10/100)^Skills!K10</f>
        <v/>
      </c>
      <c r="I812" t="inlineStr">
        <is>
          <t>1</t>
        </is>
      </c>
      <c r="J812" t="inlineStr"/>
      <c r="K812" t="inlineStr"/>
      <c r="L812" t="inlineStr"/>
      <c r="M812" t="inlineStr"/>
      <c r="N812" t="inlineStr"/>
      <c r="O812" t="n">
        <v>0</v>
      </c>
      <c r="P812">
        <f>IF(B847=0,0,O812/B847)</f>
        <v/>
      </c>
      <c r="Q812">
        <f>IFERROR(1/IF(Inputs!$B$4="pvp",15,MAX(0.1,Skills!D10-IF(Skills!E10=TRUE,Inputs!$B$31,0))),0)</f>
        <v/>
      </c>
      <c r="R812">
        <f>IF(AND(Inputs!$B$4&lt;&gt;"pvp",Inputs!$B$35&gt;0),(INT(Inputs!$B$35/IF(Inputs!$B$4="pvp",15,MAX(0.1,Skills!D10-IF(Skills!E10=TRUE,Inputs!$B$31,0))))+1),0)</f>
        <v/>
      </c>
      <c r="S812">
        <f>IFERROR(O812/N812,0)</f>
        <v/>
      </c>
    </row>
    <row r="813">
      <c r="A813">
        <f>Skills!A11</f>
        <v/>
      </c>
      <c r="B813">
        <f>Skills!B11</f>
        <v/>
      </c>
      <c r="C813">
        <f>Inputs!$B$3&gt;=103</f>
        <v/>
      </c>
      <c r="D813">
        <f>IF(Skills!C11=1,60+(Inputs!$B$24+1)+Inputs!$B$28,IF(Skills!C11=2,90+Inputs!$B$25+Inputs!$B$28,IF(Skills!C11=3,120+Inputs!$B$26+Inputs!$B$28,MAX(0,(Inputs!$B$3-100)*3)+Inputs!$B$27+Inputs!$B$28)))</f>
        <v/>
      </c>
      <c r="E813">
        <f>INDEX(FactorTable!$B$2:$Y$301, MATCH(ROUND(MIN(300,MAX(1,D813)),0), FactorTable!$A$2:$A$301,0), Skills!M11+1)</f>
        <v/>
      </c>
      <c r="F813">
        <f>(Skills!L11/10)*(E813/1000)+IF(Inputs!$B$3&gt;=134,50,0)+0.5*(30000/10)*(INDEX(FactorTable!$B$2:$Y$301, MATCH(ROUND(MIN(300,MAX(1,D813)),0), FactorTable!$A$2:$A$301,0), 13)/1000)*B845</f>
        <v/>
      </c>
      <c r="G813">
        <f>Skills!G11*IF(Skills!H11&gt;0,Skills!I11/Skills!H11,1)</f>
        <v/>
      </c>
      <c r="H813">
        <f>1-(1-Skills!J11/100)^Skills!K11</f>
        <v/>
      </c>
      <c r="I813" t="inlineStr">
        <is>
          <t>1</t>
        </is>
      </c>
      <c r="J813">
        <f>(Inputs!$B$5*(1+Inputs!$B$6/100))*(F813/100)</f>
        <v/>
      </c>
      <c r="K813">
        <f>J813*(1+((Inputs!$B$11*(1+Inputs!$B$12/100))*0.01+Inputs!$B$13*0.0025)/100)*(1+Inputs!$B$14/100)*(1+IF(Inputs!$B$4="pvp",0,(1-Summary!$B$55)*(Inputs!$B$19+0+Skills!P11+B836)+Summary!$B$55*(Inputs!$B$20+Skills!Q11+B836))/100)*(1+Inputs!$B$15/100)*(5000/(6000+Inputs!$B$7*(1-Inputs!$B$18/100)))*(1+(Inputs!$B$23+((C832=TRUE)*(F832-Calc!F30)))/100)*(1+(IF(Skills!A11="CRUEL_STAB",Inputs!$B$16+((C829=TRUE)*(F829-Calc!F27)),Inputs!$B$17+((C830=TRUE)*(F830-Calc!F28))))/100)*(((1+(((C823=TRUE)*F823*IF(AND(Inputs!$B$4&lt;&gt;"pvp",Inputs!$B$35&gt;0),(((S823-1)*(Skills!Y21*(1+Inputs!$B$33/100))+MIN((Skills!Y21*(1+Inputs!$B$33/100)),MAX(0,Inputs!$B$35-((S823-1)*Skills!D21))))/Inputs!$B$35),IF(Inputs!$B$4="pvp",MIN((Skills!Y21*(1+Inputs!$B$33/100)),15)/15,(Skills!Y21*(1+Inputs!$B$33/100))/Skills!D21)))+((C825=TRUE)*(F825-Calc!F23))+((C819=TRUE)*(F819-Calc!F17)))/100)*(1+((C812=TRUE)*F812*IF(AND(Inputs!$B$4&lt;&gt;"pvp",Inputs!$B$35&gt;0),(((S812-1)*(Skills!Y10*(1+Inputs!$B$33/100))+MIN((Skills!Y10*(1+Inputs!$B$33/100)),MAX(0,Inputs!$B$35-((S812-1)*Skills!D10))))/Inputs!$B$35),IF(Inputs!$B$4="pvp",MIN((Skills!Y10*(1+Inputs!$B$33/100)),15)/15,(Skills!Y10*(1+Inputs!$B$33/100))/Skills!D10)))/100)*(1+((C817=TRUE)*F817*IF(AND(Inputs!$B$4&lt;&gt;"pvp",Inputs!$B$35&gt;0),(((S817-1)*(Skills!Y15*(1+Inputs!$B$33/100))+MIN((Skills!Y15*(1+Inputs!$B$33/100)),MAX(0,Inputs!$B$35-((S817-1)*Skills!D15))))/Inputs!$B$35),IF(Inputs!$B$4="pvp",MIN((Skills!Y15*(1+Inputs!$B$33/100)),15)/15,(Skills!Y15*(1+Inputs!$B$33/100))/Skills!D15)))/100))*B837*I813)</f>
        <v/>
      </c>
      <c r="L813">
        <f>K813*(MIN(Inputs!$B$21+((C826=TRUE)*(F826-Calc!F24)),Inputs!$B$22+((C831=TRUE)*(F831-Calc!F29)))/100+(Inputs!$B$22+((C831=TRUE)*(F831-Calc!F29)))/100)/2</f>
        <v/>
      </c>
      <c r="M813">
        <f>L813*(1+(Inputs!$B$9+((C828=TRUE)*(F828-Calc!F26))+B842)/100)</f>
        <v/>
      </c>
      <c r="N813">
        <f>L813*(1-MIN((Inputs!$B$8+((C827=TRUE)*(F827-Calc!F25))+B835),100)/100)+M813*(MIN((Inputs!$B$8+((C827=TRUE)*(F827-Calc!F25))+B835),100)/100)</f>
        <v/>
      </c>
      <c r="O813">
        <f>IF(C813,H813*N813*IF(AND(Inputs!$B$4&lt;&gt;"pvp",Inputs!$B$35&gt;0),((Skills!G11*((R813-1)*IF(Skills!H11&gt;0,Skills!I11/Skills!H11,1)+IF(Skills!H11&gt;0,MIN(Skills!I11,MAX(0,Inputs!$B$35-((R813-1)*IF(Inputs!$B$4="pvp",15,MAX(0.1,Skills!D11-IF(Skills!E11=TRUE,Inputs!$B$31,0))))))/Skills!H11,1)))/Inputs!$B$35),G813*Q813)*IF(Inputs!$B$4="pvp",1,(1-Summary!$B$55)*(1)+Summary!$B$55*(MIN(Skills!W11,Inputs!$B$37))),0)</f>
        <v/>
      </c>
      <c r="P813">
        <f>IF(B847=0,0,O813/B847)</f>
        <v/>
      </c>
      <c r="Q813">
        <f>IFERROR(1/IF(Inputs!$B$4="pvp",15,MAX(0.1,Skills!D11-IF(Skills!E11=TRUE,Inputs!$B$31,0))),0)</f>
        <v/>
      </c>
      <c r="R813">
        <f>IF(AND(Inputs!$B$4&lt;&gt;"pvp",Inputs!$B$35&gt;0),(INT(Inputs!$B$35/IF(Inputs!$B$4="pvp",15,MAX(0.1,Skills!D11-IF(Skills!E11=TRUE,Inputs!$B$31,0))))+1),0)</f>
        <v/>
      </c>
      <c r="S813">
        <f>IFERROR(O813/N813,0)</f>
        <v/>
      </c>
    </row>
    <row r="814">
      <c r="A814">
        <f>Skills!A12</f>
        <v/>
      </c>
      <c r="B814">
        <f>Skills!B12</f>
        <v/>
      </c>
      <c r="C814">
        <f>Inputs!$B$3&gt;=105</f>
        <v/>
      </c>
      <c r="D814">
        <f>IF(Skills!C12=1,60+(Inputs!$B$24+1)+Inputs!$B$28,IF(Skills!C12=2,90+Inputs!$B$25+Inputs!$B$28,IF(Skills!C12=3,120+Inputs!$B$26+Inputs!$B$28,MAX(0,(Inputs!$B$3-100)*3)+Inputs!$B$27+Inputs!$B$28)))</f>
        <v/>
      </c>
      <c r="E814">
        <f>INDEX(FactorTable!$B$2:$Y$301, MATCH(ROUND(MIN(300,MAX(1,D814)),0), FactorTable!$A$2:$A$301,0), Skills!M12+1)</f>
        <v/>
      </c>
      <c r="F814">
        <f>IF(Skills!N12=TRUE,(Skills!L12/10)*(E814/1000),Skills!L12/10)+Skills!O12</f>
        <v/>
      </c>
      <c r="G814">
        <f>Skills!G12*IF(Skills!H12&gt;0,Skills!I12/Skills!H12,1)</f>
        <v/>
      </c>
      <c r="H814">
        <f>1-(1-Skills!J12/100)^Skills!K12</f>
        <v/>
      </c>
      <c r="I814" t="inlineStr">
        <is>
          <t>1</t>
        </is>
      </c>
      <c r="J814">
        <f>(Inputs!$B$5*(1+Inputs!$B$6/100))*(F814/100)</f>
        <v/>
      </c>
      <c r="K814">
        <f>J814*(1+((Inputs!$B$11*(1+Inputs!$B$12/100))*0.01+Inputs!$B$13*0.0025)/100)*(1+Inputs!$B$14/100)*(1+IF(Inputs!$B$4="pvp",0,(1-Summary!$B$55)*(Inputs!$B$19+0+Skills!P12+B836)+Summary!$B$55*(Inputs!$B$20+Skills!Q12+B836))/100)*(1+Inputs!$B$15/100)*(5000/(6000+Inputs!$B$7*(1-Inputs!$B$18/100)))*(1+(Inputs!$B$23+((C832=TRUE)*(F832-Calc!F30)))/100)*(1+(IF(Skills!A12="CRUEL_STAB",Inputs!$B$16+((C829=TRUE)*(F829-Calc!F27)),Inputs!$B$17+((C830=TRUE)*(F830-Calc!F28))))/100)*(((1+(((C823=TRUE)*F823*IF(AND(Inputs!$B$4&lt;&gt;"pvp",Inputs!$B$35&gt;0),(((S823-1)*(Skills!Y21*(1+Inputs!$B$33/100))+MIN((Skills!Y21*(1+Inputs!$B$33/100)),MAX(0,Inputs!$B$35-((S823-1)*Skills!D21))))/Inputs!$B$35),IF(Inputs!$B$4="pvp",MIN((Skills!Y21*(1+Inputs!$B$33/100)),15)/15,(Skills!Y21*(1+Inputs!$B$33/100))/Skills!D21)))+((C825=TRUE)*(F825-Calc!F23))+((C819=TRUE)*(F819-Calc!F17)))/100)*(1+((C812=TRUE)*F812*IF(AND(Inputs!$B$4&lt;&gt;"pvp",Inputs!$B$35&gt;0),(((S812-1)*(Skills!Y10*(1+Inputs!$B$33/100))+MIN((Skills!Y10*(1+Inputs!$B$33/100)),MAX(0,Inputs!$B$35-((S812-1)*Skills!D10))))/Inputs!$B$35),IF(Inputs!$B$4="pvp",MIN((Skills!Y10*(1+Inputs!$B$33/100)),15)/15,(Skills!Y10*(1+Inputs!$B$33/100))/Skills!D10)))/100)*(1+((C817=TRUE)*F817*IF(AND(Inputs!$B$4&lt;&gt;"pvp",Inputs!$B$35&gt;0),(((S817-1)*(Skills!Y15*(1+Inputs!$B$33/100))+MIN((Skills!Y15*(1+Inputs!$B$33/100)),MAX(0,Inputs!$B$35-((S817-1)*Skills!D15))))/Inputs!$B$35),IF(Inputs!$B$4="pvp",MIN((Skills!Y15*(1+Inputs!$B$33/100)),15)/15,(Skills!Y15*(1+Inputs!$B$33/100))/Skills!D15)))/100))*B837*I814)</f>
        <v/>
      </c>
      <c r="L814">
        <f>K814*(MIN(Inputs!$B$21+((C826=TRUE)*(F826-Calc!F24)),Inputs!$B$22+((C831=TRUE)*(F831-Calc!F29)))/100+(Inputs!$B$22+((C831=TRUE)*(F831-Calc!F29)))/100)/2</f>
        <v/>
      </c>
      <c r="M814">
        <f>L814*(1+(Inputs!$B$9+((C828=TRUE)*(F828-Calc!F26))+B842)/100)</f>
        <v/>
      </c>
      <c r="N814">
        <f>L814*(1-MIN((Inputs!$B$8+((C827=TRUE)*(F827-Calc!F25))+B835),100)/100)+M814*(MIN((Inputs!$B$8+((C827=TRUE)*(F827-Calc!F25))+B835),100)/100)</f>
        <v/>
      </c>
      <c r="O814">
        <f>IF(C814,H814*N814*IF(AND(Inputs!$B$4&lt;&gt;"pvp",Inputs!$B$35&gt;0),((Skills!G12*((R814-1)*IF(Skills!H12&gt;0,Skills!I12/Skills!H12,1)+IF(Skills!H12&gt;0,MIN(Skills!I12,MAX(0,Inputs!$B$35-((R814-1)*IF(Inputs!$B$4="pvp",15,MAX(0.1,Skills!D12-IF(Skills!E12=TRUE,Inputs!$B$31,0))))))/Skills!H12,1)))/Inputs!$B$35),G814*Q814)*IF(Inputs!$B$4="pvp",1,(1-Summary!$B$55)*(1)+Summary!$B$55*(MIN(Skills!W12,Inputs!$B$37))),0)</f>
        <v/>
      </c>
      <c r="P814">
        <f>IF(B847=0,0,O814/B847)</f>
        <v/>
      </c>
      <c r="Q814">
        <f>IFERROR(1/IF(Inputs!$B$4="pvp",15,MAX(0.1,Skills!D12-IF(Skills!E12=TRUE,Inputs!$B$31,0))),0)</f>
        <v/>
      </c>
      <c r="R814">
        <f>IF(AND(Inputs!$B$4&lt;&gt;"pvp",Inputs!$B$35&gt;0),(INT(Inputs!$B$35/IF(Inputs!$B$4="pvp",15,MAX(0.1,Skills!D12-IF(Skills!E12=TRUE,Inputs!$B$31,0))))+1),0)</f>
        <v/>
      </c>
      <c r="S814">
        <f>IFERROR(O814/N814,0)</f>
        <v/>
      </c>
    </row>
    <row r="815">
      <c r="A815">
        <f>Skills!A13</f>
        <v/>
      </c>
      <c r="B815">
        <f>Skills!B13</f>
        <v/>
      </c>
      <c r="C815">
        <f>Inputs!$B$3&gt;=105</f>
        <v/>
      </c>
      <c r="D815">
        <f>IF(Skills!C13=1,60+(Inputs!$B$24+1)+Inputs!$B$28,IF(Skills!C13=2,90+Inputs!$B$25+Inputs!$B$28,IF(Skills!C13=3,120+Inputs!$B$26+Inputs!$B$28,MAX(0,(Inputs!$B$3-100)*3)+Inputs!$B$27+Inputs!$B$28)))</f>
        <v/>
      </c>
      <c r="E815">
        <f>INDEX(FactorTable!$B$2:$Y$301, MATCH(ROUND(MIN(300,MAX(1,D815)),0), FactorTable!$A$2:$A$301,0), Skills!M13+1)</f>
        <v/>
      </c>
      <c r="F815">
        <f>IF(Skills!N13=TRUE,(Skills!L13/10)*(E815/1000),Skills!L13/10)+Skills!O13</f>
        <v/>
      </c>
      <c r="G815">
        <f>Skills!G13*IF(Skills!H13&gt;0,Skills!I13/Skills!H13,1)</f>
        <v/>
      </c>
      <c r="H815">
        <f>1-(1-Skills!J13/100)^Skills!K13</f>
        <v/>
      </c>
      <c r="I815" t="inlineStr">
        <is>
          <t>1</t>
        </is>
      </c>
      <c r="J815">
        <f>(Inputs!$B$5*(1+Inputs!$B$6/100))*(F815/100)</f>
        <v/>
      </c>
      <c r="K815">
        <f>J815*(1+((Inputs!$B$11*(1+Inputs!$B$12/100))*0.01+Inputs!$B$13*0.0025)/100)*(1+Inputs!$B$14/100)*(1+IF(Inputs!$B$4="pvp",0,(1-Summary!$B$55)*(Inputs!$B$19+0+Skills!P13+B836)+Summary!$B$55*(Inputs!$B$20+Skills!Q13+B836))/100)*(1+Inputs!$B$15/100)*(5000/(6000+Inputs!$B$7*(1-Inputs!$B$18/100)))*(1+(Inputs!$B$23+((C832=TRUE)*(F832-Calc!F30)))/100)*(1+(IF(Skills!A13="CRUEL_STAB",Inputs!$B$16+((C829=TRUE)*(F829-Calc!F27)),Inputs!$B$17+((C830=TRUE)*(F830-Calc!F28))))/100)*(((1+(((C823=TRUE)*F823*IF(AND(Inputs!$B$4&lt;&gt;"pvp",Inputs!$B$35&gt;0),(((S823-1)*(Skills!Y21*(1+Inputs!$B$33/100))+MIN((Skills!Y21*(1+Inputs!$B$33/100)),MAX(0,Inputs!$B$35-((S823-1)*Skills!D21))))/Inputs!$B$35),IF(Inputs!$B$4="pvp",MIN((Skills!Y21*(1+Inputs!$B$33/100)),15)/15,(Skills!Y21*(1+Inputs!$B$33/100))/Skills!D21)))+((C825=TRUE)*(F825-Calc!F23))+((C819=TRUE)*(F819-Calc!F17)))/100)*(1+((C812=TRUE)*F812*IF(AND(Inputs!$B$4&lt;&gt;"pvp",Inputs!$B$35&gt;0),(((S812-1)*(Skills!Y10*(1+Inputs!$B$33/100))+MIN((Skills!Y10*(1+Inputs!$B$33/100)),MAX(0,Inputs!$B$35-((S812-1)*Skills!D10))))/Inputs!$B$35),IF(Inputs!$B$4="pvp",MIN((Skills!Y10*(1+Inputs!$B$33/100)),15)/15,(Skills!Y10*(1+Inputs!$B$33/100))/Skills!D10)))/100)*(1+((C817=TRUE)*F817*IF(AND(Inputs!$B$4&lt;&gt;"pvp",Inputs!$B$35&gt;0),(((S817-1)*(Skills!Y15*(1+Inputs!$B$33/100))+MIN((Skills!Y15*(1+Inputs!$B$33/100)),MAX(0,Inputs!$B$35-((S817-1)*Skills!D15))))/Inputs!$B$35),IF(Inputs!$B$4="pvp",MIN((Skills!Y15*(1+Inputs!$B$33/100)),15)/15,(Skills!Y15*(1+Inputs!$B$33/100))/Skills!D15)))/100))*B837*I815)</f>
        <v/>
      </c>
      <c r="L815">
        <f>K815*(MIN(Inputs!$B$21+((C826=TRUE)*(F826-Calc!F24)),Inputs!$B$22+((C831=TRUE)*(F831-Calc!F29)))/100+(Inputs!$B$22+((C831=TRUE)*(F831-Calc!F29)))/100)/2</f>
        <v/>
      </c>
      <c r="M815">
        <f>L815*(1+(Inputs!$B$9+((C828=TRUE)*(F828-Calc!F26))+B842)/100)</f>
        <v/>
      </c>
      <c r="N815">
        <f>L815*(1-MIN((Inputs!$B$8+((C827=TRUE)*(F827-Calc!F25))+B835),100)/100)+M815*(MIN((Inputs!$B$8+((C827=TRUE)*(F827-Calc!F25))+B835),100)/100)</f>
        <v/>
      </c>
      <c r="O815">
        <f>IF(C815,H815*N815*IF(AND(Inputs!$B$4&lt;&gt;"pvp",Inputs!$B$35&gt;0),((Skills!G13*((R815-1)*IF(Skills!H13&gt;0,Skills!I13/Skills!H13,1)+IF(Skills!H13&gt;0,MIN(Skills!I13,MAX(0,Inputs!$B$35-((R815-1)*IF(Inputs!$B$4="pvp",15,MAX(0.1,Skills!D13-IF(Skills!E13=TRUE,Inputs!$B$31,0))))))/Skills!H13,1)))/Inputs!$B$35),G815*Q815)*IF(Inputs!$B$4="pvp",1,(1-Summary!$B$55)*(1)+Summary!$B$55*(MIN(Skills!W13,Inputs!$B$37))),0)</f>
        <v/>
      </c>
      <c r="P815">
        <f>IF(B847=0,0,O815/B847)</f>
        <v/>
      </c>
      <c r="Q815">
        <f>IFERROR(1/IF(Inputs!$B$4="pvp",15,MAX(0.1,Skills!D13-IF(Skills!E13=TRUE,Inputs!$B$31,0))),0)</f>
        <v/>
      </c>
      <c r="R815">
        <f>IF(AND(Inputs!$B$4&lt;&gt;"pvp",Inputs!$B$35&gt;0),(INT(Inputs!$B$35/IF(Inputs!$B$4="pvp",15,MAX(0.1,Skills!D13-IF(Skills!E13=TRUE,Inputs!$B$31,0))))+1),0)</f>
        <v/>
      </c>
      <c r="S815">
        <f>IFERROR(O815/N815,0)</f>
        <v/>
      </c>
    </row>
    <row r="816">
      <c r="A816">
        <f>Skills!A14</f>
        <v/>
      </c>
      <c r="B816">
        <f>Skills!B14</f>
        <v/>
      </c>
      <c r="C816">
        <f>Inputs!$B$3&gt;=107</f>
        <v/>
      </c>
      <c r="D816">
        <f>IF(Skills!C14=1,60+(Inputs!$B$24+1)+Inputs!$B$28,IF(Skills!C14=2,90+Inputs!$B$25+Inputs!$B$28,IF(Skills!C14=3,120+Inputs!$B$26+Inputs!$B$28,MAX(0,(Inputs!$B$3-100)*3)+Inputs!$B$27+Inputs!$B$28)))</f>
        <v/>
      </c>
      <c r="E816">
        <f>INDEX(FactorTable!$B$2:$Y$301, MATCH(ROUND(MIN(300,MAX(1,D816)),0), FactorTable!$A$2:$A$301,0), Skills!M14+1)</f>
        <v/>
      </c>
      <c r="F816">
        <f>IF(Skills!N14=TRUE,(Skills!L14/10)*(E816/1000),Skills!L14/10)+Skills!O14</f>
        <v/>
      </c>
      <c r="G816">
        <f>Skills!G14*IF(Skills!H14&gt;0,Skills!I14/Skills!H14,1)</f>
        <v/>
      </c>
      <c r="H816">
        <f>1-(1-Skills!J14/100)^Skills!K14</f>
        <v/>
      </c>
      <c r="I816" t="inlineStr">
        <is>
          <t>1</t>
        </is>
      </c>
      <c r="J816">
        <f>(Inputs!$B$5*(1+Inputs!$B$6/100))*(F816/100)</f>
        <v/>
      </c>
      <c r="K816">
        <f>J816*(1+((Inputs!$B$11*(1+Inputs!$B$12/100))*0.01+Inputs!$B$13*0.0025)/100)*(1+Inputs!$B$14/100)*(1+IF(Inputs!$B$4="pvp",0,(1-Summary!$B$55)*(Inputs!$B$19+0+Skills!P14+B836)+Summary!$B$55*(Inputs!$B$20+Skills!Q14+B836))/100)*(1+Inputs!$B$15/100)*(5000/(6000+Inputs!$B$7*(1-Inputs!$B$18/100)))*(1+(Inputs!$B$23+((C832=TRUE)*(F832-Calc!F30)))/100)*(1+(IF(Skills!A14="CRUEL_STAB",Inputs!$B$16+((C829=TRUE)*(F829-Calc!F27)),Inputs!$B$17+((C830=TRUE)*(F830-Calc!F28))))/100)*(((1+(((C823=TRUE)*F823*IF(AND(Inputs!$B$4&lt;&gt;"pvp",Inputs!$B$35&gt;0),(((S823-1)*(Skills!Y21*(1+Inputs!$B$33/100))+MIN((Skills!Y21*(1+Inputs!$B$33/100)),MAX(0,Inputs!$B$35-((S823-1)*Skills!D21))))/Inputs!$B$35),IF(Inputs!$B$4="pvp",MIN((Skills!Y21*(1+Inputs!$B$33/100)),15)/15,(Skills!Y21*(1+Inputs!$B$33/100))/Skills!D21)))+((C825=TRUE)*(F825-Calc!F23))+((C819=TRUE)*(F819-Calc!F17)))/100)*(1+((C812=TRUE)*F812*IF(AND(Inputs!$B$4&lt;&gt;"pvp",Inputs!$B$35&gt;0),(((S812-1)*(Skills!Y10*(1+Inputs!$B$33/100))+MIN((Skills!Y10*(1+Inputs!$B$33/100)),MAX(0,Inputs!$B$35-((S812-1)*Skills!D10))))/Inputs!$B$35),IF(Inputs!$B$4="pvp",MIN((Skills!Y10*(1+Inputs!$B$33/100)),15)/15,(Skills!Y10*(1+Inputs!$B$33/100))/Skills!D10)))/100)*(1+((C817=TRUE)*F817*IF(AND(Inputs!$B$4&lt;&gt;"pvp",Inputs!$B$35&gt;0),(((S817-1)*(Skills!Y15*(1+Inputs!$B$33/100))+MIN((Skills!Y15*(1+Inputs!$B$33/100)),MAX(0,Inputs!$B$35-((S817-1)*Skills!D15))))/Inputs!$B$35),IF(Inputs!$B$4="pvp",MIN((Skills!Y15*(1+Inputs!$B$33/100)),15)/15,(Skills!Y15*(1+Inputs!$B$33/100))/Skills!D15)))/100))*B837*I816)</f>
        <v/>
      </c>
      <c r="L816">
        <f>K816*(MIN(Inputs!$B$21+((C826=TRUE)*(F826-Calc!F24)),Inputs!$B$22+((C831=TRUE)*(F831-Calc!F29)))/100+(Inputs!$B$22+((C831=TRUE)*(F831-Calc!F29)))/100)/2</f>
        <v/>
      </c>
      <c r="M816">
        <f>L816*(1+(Inputs!$B$9+((C828=TRUE)*(F828-Calc!F26))+B842)/100)</f>
        <v/>
      </c>
      <c r="N816">
        <f>L816*(1-MIN((Inputs!$B$8+((C827=TRUE)*(F827-Calc!F25))+B835),100)/100)+M816*(MIN((Inputs!$B$8+((C827=TRUE)*(F827-Calc!F25))+B835),100)/100)</f>
        <v/>
      </c>
      <c r="O816">
        <f>IF(C816,H816*N816*IF(AND(Inputs!$B$4&lt;&gt;"pvp",Inputs!$B$35&gt;0),((Skills!G14*((R816-1)*IF(Skills!H14&gt;0,Skills!I14/Skills!H14,1)+IF(Skills!H14&gt;0,MIN(Skills!I14,MAX(0,Inputs!$B$35-((R816-1)*IF(Inputs!$B$4="pvp",15,MAX(0.1,Skills!D14-IF(Skills!E14=TRUE,Inputs!$B$31,0))))))/Skills!H14,1)))/Inputs!$B$35),G816*Q816)*IF(Inputs!$B$4="pvp",1,(1-Summary!$B$55)*(1)+Summary!$B$55*(MIN(MIN(5,0.25*B839*Skills!D4)*Skills!V14,Inputs!$B$37))),0)</f>
        <v/>
      </c>
      <c r="P816">
        <f>IF(B847=0,0,O816/B847)</f>
        <v/>
      </c>
      <c r="Q816">
        <f>IFERROR(1/IF(Inputs!$B$4="pvp",15,MAX(0.1,Skills!D14-IF(Skills!E14=TRUE,Inputs!$B$31,0))),0)</f>
        <v/>
      </c>
      <c r="R816">
        <f>IF(AND(Inputs!$B$4&lt;&gt;"pvp",Inputs!$B$35&gt;0),(INT(Inputs!$B$35/IF(Inputs!$B$4="pvp",15,MAX(0.1,Skills!D14-IF(Skills!E14=TRUE,Inputs!$B$31,0))))+1),0)</f>
        <v/>
      </c>
      <c r="S816">
        <f>IFERROR(O816/N816,0)</f>
        <v/>
      </c>
    </row>
    <row r="817">
      <c r="A817">
        <f>Skills!A15</f>
        <v/>
      </c>
      <c r="B817">
        <f>Skills!B15</f>
        <v/>
      </c>
      <c r="C817">
        <f>Inputs!$B$3&gt;=110</f>
        <v/>
      </c>
      <c r="D817">
        <f>IF(Skills!C15=1,60+(Inputs!$B$24+1)+Inputs!$B$28,IF(Skills!C15=2,90+Inputs!$B$25+Inputs!$B$28,IF(Skills!C15=3,120+Inputs!$B$26+Inputs!$B$28,MAX(0,(Inputs!$B$3-100)*3)+Inputs!$B$27+Inputs!$B$28)))</f>
        <v/>
      </c>
      <c r="E817">
        <f>INDEX(FactorTable!$B$2:$Y$301, MATCH(ROUND(MIN(300,MAX(1,D817)),0), FactorTable!$A$2:$A$301,0), Skills!M15+1)</f>
        <v/>
      </c>
      <c r="F817">
        <f>IF(Skills!N15=TRUE,(Skills!L15/10)*(E817/1000),Skills!L15/10)+Skills!O15</f>
        <v/>
      </c>
      <c r="G817">
        <f>Skills!G15*IF(Skills!H15&gt;0,Skills!I15/Skills!H15,1)</f>
        <v/>
      </c>
      <c r="H817">
        <f>1-(1-Skills!J15/100)^Skills!K15</f>
        <v/>
      </c>
      <c r="I817" t="inlineStr">
        <is>
          <t>1</t>
        </is>
      </c>
      <c r="J817" t="inlineStr"/>
      <c r="K817" t="inlineStr"/>
      <c r="L817" t="inlineStr"/>
      <c r="M817" t="inlineStr"/>
      <c r="N817" t="inlineStr"/>
      <c r="O817" t="n">
        <v>0</v>
      </c>
      <c r="P817">
        <f>IF(B847=0,0,O817/B847)</f>
        <v/>
      </c>
      <c r="Q817">
        <f>IFERROR(1/IF(Inputs!$B$4="pvp",15,MAX(0.1,Skills!D15-IF(Skills!E15=TRUE,Inputs!$B$31,0))),0)</f>
        <v/>
      </c>
      <c r="R817">
        <f>IF(AND(Inputs!$B$4&lt;&gt;"pvp",Inputs!$B$35&gt;0),(INT(Inputs!$B$35/IF(Inputs!$B$4="pvp",15,MAX(0.1,Skills!D15-IF(Skills!E15=TRUE,Inputs!$B$31,0))))+1),0)</f>
        <v/>
      </c>
      <c r="S817">
        <f>IFERROR(O817/N817,0)</f>
        <v/>
      </c>
    </row>
    <row r="818">
      <c r="A818">
        <f>Skills!A16</f>
        <v/>
      </c>
      <c r="B818">
        <f>Skills!B16</f>
        <v/>
      </c>
      <c r="C818">
        <f>Inputs!$B$3&gt;=115</f>
        <v/>
      </c>
      <c r="D818">
        <f>IF(Skills!C16=1,60+(Inputs!$B$24+1)+Inputs!$B$28,IF(Skills!C16=2,90+Inputs!$B$25+Inputs!$B$28,IF(Skills!C16=3,120+Inputs!$B$26+Inputs!$B$28,MAX(0,(Inputs!$B$3-100)*3)+Inputs!$B$27+Inputs!$B$28)))</f>
        <v/>
      </c>
      <c r="E818">
        <f>INDEX(FactorTable!$B$2:$Y$301, MATCH(ROUND(MIN(300,MAX(1,D818)),0), FactorTable!$A$2:$A$301,0), Skills!M16+1)</f>
        <v/>
      </c>
      <c r="F818">
        <f>IF(Skills!N16=TRUE,(Skills!L16/10)*(E818/1000),Skills!L16/10)+Skills!O16</f>
        <v/>
      </c>
      <c r="G818">
        <f>Skills!G16*IF(Skills!H16&gt;0,Skills!I16/Skills!H16,1)</f>
        <v/>
      </c>
      <c r="H818">
        <f>1-(1-Skills!J16/100)^Skills!K16</f>
        <v/>
      </c>
      <c r="I818" t="inlineStr">
        <is>
          <t>1</t>
        </is>
      </c>
      <c r="J818">
        <f>(Inputs!$B$5*(1+Inputs!$B$6/100))*(F818/100)</f>
        <v/>
      </c>
      <c r="K818">
        <f>J818*(1+((Inputs!$B$11*(1+Inputs!$B$12/100))*0.01+Inputs!$B$13*0.0025)/100)*(1+Inputs!$B$14/100)*(1+IF(Inputs!$B$4="pvp",0,(1-Summary!$B$55)*(Inputs!$B$19+0+Skills!P16+B836)+Summary!$B$55*(Inputs!$B$20+Skills!Q16+B836))/100)*(1+Inputs!$B$15/100)*(5000/(6000+Inputs!$B$7*(1-Inputs!$B$18/100)))*(1+(Inputs!$B$23+((C832=TRUE)*(F832-Calc!F30)))/100)*(1+(IF(Skills!A16="CRUEL_STAB",Inputs!$B$16+((C829=TRUE)*(F829-Calc!F27)),Inputs!$B$17+((C830=TRUE)*(F830-Calc!F28))))/100)*(((1+(((C823=TRUE)*F823*IF(AND(Inputs!$B$4&lt;&gt;"pvp",Inputs!$B$35&gt;0),(((S823-1)*(Skills!Y21*(1+Inputs!$B$33/100))+MIN((Skills!Y21*(1+Inputs!$B$33/100)),MAX(0,Inputs!$B$35-((S823-1)*Skills!D21))))/Inputs!$B$35),IF(Inputs!$B$4="pvp",MIN((Skills!Y21*(1+Inputs!$B$33/100)),15)/15,(Skills!Y21*(1+Inputs!$B$33/100))/Skills!D21)))+((C825=TRUE)*(F825-Calc!F23))+((C819=TRUE)*(F819-Calc!F17)))/100)*(1+((C812=TRUE)*F812*IF(AND(Inputs!$B$4&lt;&gt;"pvp",Inputs!$B$35&gt;0),(((S812-1)*(Skills!Y10*(1+Inputs!$B$33/100))+MIN((Skills!Y10*(1+Inputs!$B$33/100)),MAX(0,Inputs!$B$35-((S812-1)*Skills!D10))))/Inputs!$B$35),IF(Inputs!$B$4="pvp",MIN((Skills!Y10*(1+Inputs!$B$33/100)),15)/15,(Skills!Y10*(1+Inputs!$B$33/100))/Skills!D10)))/100)*(1+((C817=TRUE)*F817*IF(AND(Inputs!$B$4&lt;&gt;"pvp",Inputs!$B$35&gt;0),(((S817-1)*(Skills!Y15*(1+Inputs!$B$33/100))+MIN((Skills!Y15*(1+Inputs!$B$33/100)),MAX(0,Inputs!$B$35-((S817-1)*Skills!D15))))/Inputs!$B$35),IF(Inputs!$B$4="pvp",MIN((Skills!Y15*(1+Inputs!$B$33/100)),15)/15,(Skills!Y15*(1+Inputs!$B$33/100))/Skills!D15)))/100))*B837*I818)</f>
        <v/>
      </c>
      <c r="L818">
        <f>K818*(MIN(Inputs!$B$21+((C826=TRUE)*(F826-Calc!F24)),Inputs!$B$22+((C831=TRUE)*(F831-Calc!F29)))/100+(Inputs!$B$22+((C831=TRUE)*(F831-Calc!F29)))/100)/2</f>
        <v/>
      </c>
      <c r="M818">
        <f>L818*(1+(Inputs!$B$9+((C828=TRUE)*(F828-Calc!F26))+B842)/100)</f>
        <v/>
      </c>
      <c r="N818">
        <f>L818*(1-MIN((Inputs!$B$8+((C827=TRUE)*(F827-Calc!F25))+B835),100)/100)+M818*(MIN((Inputs!$B$8+((C827=TRUE)*(F827-Calc!F25))+B835),100)/100)</f>
        <v/>
      </c>
      <c r="O818">
        <f>IF(C818,Inputs!$B$38*0.2*N818,0)</f>
        <v/>
      </c>
      <c r="P818">
        <f>IF(B847=0,0,O818/B847)</f>
        <v/>
      </c>
      <c r="Q818" t="n">
        <v>0</v>
      </c>
      <c r="R818" t="n">
        <v>0</v>
      </c>
      <c r="S818">
        <f>IFERROR(O818/N818,0)</f>
        <v/>
      </c>
    </row>
    <row r="819">
      <c r="A819">
        <f>Skills!A17</f>
        <v/>
      </c>
      <c r="B819">
        <f>Skills!B17</f>
        <v/>
      </c>
      <c r="C819">
        <f>Inputs!$B$3&gt;=115</f>
        <v/>
      </c>
      <c r="D819">
        <f>IF(Skills!C17=1,60+(Inputs!$B$24+1)+Inputs!$B$28,IF(Skills!C17=2,90+Inputs!$B$25+Inputs!$B$28,IF(Skills!C17=3,120+Inputs!$B$26+Inputs!$B$28,MAX(0,(Inputs!$B$3-100)*3)+Inputs!$B$27+Inputs!$B$28)))</f>
        <v/>
      </c>
      <c r="E819">
        <f>INDEX(FactorTable!$B$2:$Y$301, MATCH(ROUND(MIN(300,MAX(1,D819)),0), FactorTable!$A$2:$A$301,0), Skills!M17+1)</f>
        <v/>
      </c>
      <c r="F819">
        <f>IF(Skills!N17=TRUE,(Skills!L17/10)*(E819/1000),Skills!L17/10)+Skills!O17</f>
        <v/>
      </c>
      <c r="G819">
        <f>Skills!G17*IF(Skills!H17&gt;0,Skills!I17/Skills!H17,1)</f>
        <v/>
      </c>
      <c r="H819">
        <f>1-(1-Skills!J17/100)^Skills!K17</f>
        <v/>
      </c>
      <c r="I819" t="inlineStr">
        <is>
          <t>1</t>
        </is>
      </c>
      <c r="J819" t="inlineStr"/>
      <c r="K819" t="inlineStr"/>
      <c r="L819" t="inlineStr"/>
      <c r="M819" t="inlineStr"/>
      <c r="N819" t="inlineStr"/>
      <c r="O819" t="n">
        <v>0</v>
      </c>
      <c r="P819">
        <f>IF(B847=0,0,O819/B847)</f>
        <v/>
      </c>
      <c r="Q819" t="n">
        <v>0</v>
      </c>
      <c r="R819" t="n">
        <v>0</v>
      </c>
      <c r="S819">
        <f>IFERROR(O819/N819,0)</f>
        <v/>
      </c>
    </row>
    <row r="820">
      <c r="A820">
        <f>Skills!A18</f>
        <v/>
      </c>
      <c r="B820">
        <f>Skills!B18</f>
        <v/>
      </c>
      <c r="C820">
        <f>Inputs!$B$3&gt;=100</f>
        <v/>
      </c>
      <c r="D820">
        <f>IF(Skills!C18=1,60+(Inputs!$B$24+1)+Inputs!$B$28,IF(Skills!C18=2,90+Inputs!$B$25+Inputs!$B$28,IF(Skills!C18=3,120+Inputs!$B$26+Inputs!$B$28,MAX(0,(Inputs!$B$3-100)*3)+Inputs!$B$27+Inputs!$B$28)))</f>
        <v/>
      </c>
      <c r="E820">
        <f>INDEX(FactorTable!$B$2:$Y$301, MATCH(ROUND(MIN(300,MAX(1,D820)),0), FactorTable!$A$2:$A$301,0), Skills!M18+1)</f>
        <v/>
      </c>
      <c r="F820">
        <f>IF(Skills!N18=TRUE,(Skills!L18/10)*(E820/1000),Skills!L18/10)+Skills!O18</f>
        <v/>
      </c>
      <c r="G820">
        <f>Skills!G18*IF(Skills!H18&gt;0,Skills!I18/Skills!H18,1)</f>
        <v/>
      </c>
      <c r="H820">
        <f>1-(1-Skills!J18/100)^Skills!K18</f>
        <v/>
      </c>
      <c r="I820" t="inlineStr">
        <is>
          <t>1</t>
        </is>
      </c>
      <c r="J820" t="inlineStr"/>
      <c r="K820" t="inlineStr"/>
      <c r="L820" t="inlineStr"/>
      <c r="M820" t="inlineStr"/>
      <c r="N820" t="inlineStr"/>
      <c r="O820" t="n">
        <v>0</v>
      </c>
      <c r="P820">
        <f>IF(B847=0,0,O820/B847)</f>
        <v/>
      </c>
      <c r="Q820" t="n">
        <v>0</v>
      </c>
      <c r="R820" t="n">
        <v>0</v>
      </c>
      <c r="S820">
        <f>IFERROR(O820/N820,0)</f>
        <v/>
      </c>
    </row>
    <row r="821">
      <c r="A821">
        <f>Skills!A19</f>
        <v/>
      </c>
      <c r="B821">
        <f>Skills!B19</f>
        <v/>
      </c>
      <c r="C821">
        <f>TRUE</f>
        <v/>
      </c>
      <c r="D821">
        <f>IF(Skills!C19=1,60+(Inputs!$B$24+1)+Inputs!$B$28,IF(Skills!C19=2,90+Inputs!$B$25+Inputs!$B$28,IF(Skills!C19=3,120+Inputs!$B$26+Inputs!$B$28,MAX(0,(Inputs!$B$3-100)*3)+Inputs!$B$27+Inputs!$B$28)))</f>
        <v/>
      </c>
      <c r="E821">
        <f>INDEX(FactorTable!$B$2:$Y$301, MATCH(ROUND(MIN(300,MAX(1,D821)),0), FactorTable!$A$2:$A$301,0), Skills!M19+1)</f>
        <v/>
      </c>
      <c r="F821">
        <f>IF(Skills!N19=TRUE,(Skills!L19/10)*(E821/1000),Skills!L19/10)+Skills!O19</f>
        <v/>
      </c>
      <c r="G821">
        <f>Skills!G19*IF(Skills!H19&gt;0,Skills!I19/Skills!H19,1)</f>
        <v/>
      </c>
      <c r="H821">
        <f>1-(1-Skills!J19/100)^Skills!K19</f>
        <v/>
      </c>
      <c r="I821" t="inlineStr">
        <is>
          <t>1</t>
        </is>
      </c>
      <c r="J821" t="inlineStr"/>
      <c r="K821" t="inlineStr"/>
      <c r="L821" t="inlineStr"/>
      <c r="M821" t="inlineStr"/>
      <c r="N821" t="inlineStr"/>
      <c r="O821" t="n">
        <v>0</v>
      </c>
      <c r="P821">
        <f>IF(B847=0,0,O821/B847)</f>
        <v/>
      </c>
      <c r="Q821">
        <f>IFERROR(1/IF(Inputs!$B$4="pvp",15,MAX(0.1,Skills!D19-IF(Skills!E19=TRUE,Inputs!$B$31,0))),0)</f>
        <v/>
      </c>
      <c r="R821">
        <f>IF(AND(Inputs!$B$4&lt;&gt;"pvp",Inputs!$B$35&gt;0),(INT(Inputs!$B$35/IF(Inputs!$B$4="pvp",15,MAX(0.1,Skills!D19-IF(Skills!E19=TRUE,Inputs!$B$31,0))))+1),0)</f>
        <v/>
      </c>
      <c r="S821">
        <f>IFERROR(O821/N821,0)</f>
        <v/>
      </c>
    </row>
    <row r="822">
      <c r="A822">
        <f>Skills!A20</f>
        <v/>
      </c>
      <c r="B822">
        <f>Skills!B20</f>
        <v/>
      </c>
      <c r="C822">
        <f>Inputs!$B$3&gt;=15</f>
        <v/>
      </c>
      <c r="D822">
        <f>IF(Skills!C20=1,60+(Inputs!$B$24+1)+Inputs!$B$28,IF(Skills!C20=2,90+Inputs!$B$25+Inputs!$B$28,IF(Skills!C20=3,120+Inputs!$B$26+Inputs!$B$28,MAX(0,(Inputs!$B$3-100)*3)+Inputs!$B$27+Inputs!$B$28)))</f>
        <v/>
      </c>
      <c r="E822">
        <f>INDEX(FactorTable!$B$2:$Y$301, MATCH(ROUND(MIN(300,MAX(1,D822)),0), FactorTable!$A$2:$A$301,0), Skills!M20+1)</f>
        <v/>
      </c>
      <c r="F822">
        <f>IF(Skills!N20=TRUE,(Skills!L20/10)*(E822/1000),Skills!L20/10)+Skills!O20</f>
        <v/>
      </c>
      <c r="G822">
        <f>Skills!G20*IF(Skills!H20&gt;0,Skills!I20/Skills!H20,1)</f>
        <v/>
      </c>
      <c r="H822">
        <f>1-(1-Skills!J20/100)^Skills!K20</f>
        <v/>
      </c>
      <c r="I822" t="inlineStr">
        <is>
          <t>1</t>
        </is>
      </c>
      <c r="J822" t="inlineStr"/>
      <c r="K822" t="inlineStr"/>
      <c r="L822" t="inlineStr"/>
      <c r="M822" t="inlineStr"/>
      <c r="N822" t="inlineStr"/>
      <c r="O822" t="n">
        <v>0</v>
      </c>
      <c r="P822">
        <f>IF(B847=0,0,O822/B847)</f>
        <v/>
      </c>
      <c r="Q822">
        <f>IFERROR(1/IF(Inputs!$B$4="pvp",15,MAX(0.1,Skills!D20-IF(Skills!E20=TRUE,Inputs!$B$31,0))),0)</f>
        <v/>
      </c>
      <c r="R822">
        <f>IF(AND(Inputs!$B$4&lt;&gt;"pvp",Inputs!$B$35&gt;0),(INT(Inputs!$B$35/IF(Inputs!$B$4="pvp",15,MAX(0.1,Skills!D20-IF(Skills!E20=TRUE,Inputs!$B$31,0))))+1),0)</f>
        <v/>
      </c>
      <c r="S822">
        <f>IFERROR(O822/N822,0)</f>
        <v/>
      </c>
    </row>
    <row r="823">
      <c r="A823">
        <f>Skills!A21</f>
        <v/>
      </c>
      <c r="B823">
        <f>Skills!B21</f>
        <v/>
      </c>
      <c r="C823">
        <f>Inputs!$B$3&gt;=15</f>
        <v/>
      </c>
      <c r="D823">
        <f>IF(Skills!C21=1,60+(Inputs!$B$24+1)+Inputs!$B$28,IF(Skills!C21=2,90+Inputs!$B$25+Inputs!$B$28,IF(Skills!C21=3,120+Inputs!$B$26+Inputs!$B$28,MAX(0,(Inputs!$B$3-100)*3)+Inputs!$B$27+Inputs!$B$28)))</f>
        <v/>
      </c>
      <c r="E823">
        <f>INDEX(FactorTable!$B$2:$Y$301, MATCH(ROUND(MIN(300,MAX(1,D823)),0), FactorTable!$A$2:$A$301,0), Skills!M21+1)</f>
        <v/>
      </c>
      <c r="F823">
        <f>IF(Skills!N21=TRUE,(Skills!L21/10)*(E823/1000),Skills!L21/10)+Skills!O21</f>
        <v/>
      </c>
      <c r="G823">
        <f>Skills!G21*IF(Skills!H21&gt;0,Skills!I21/Skills!H21,1)</f>
        <v/>
      </c>
      <c r="H823">
        <f>1-(1-Skills!J21/100)^Skills!K21</f>
        <v/>
      </c>
      <c r="I823" t="inlineStr">
        <is>
          <t>1</t>
        </is>
      </c>
      <c r="J823" t="inlineStr"/>
      <c r="K823" t="inlineStr"/>
      <c r="L823" t="inlineStr"/>
      <c r="M823" t="inlineStr"/>
      <c r="N823" t="inlineStr"/>
      <c r="O823" t="n">
        <v>0</v>
      </c>
      <c r="P823">
        <f>IF(B847=0,0,O823/B847)</f>
        <v/>
      </c>
      <c r="Q823">
        <f>IFERROR(1/IF(Inputs!$B$4="pvp",15,MAX(0.1,Skills!D21-IF(Skills!E21=TRUE,Inputs!$B$31,0))),0)</f>
        <v/>
      </c>
      <c r="R823">
        <f>IF(AND(Inputs!$B$4&lt;&gt;"pvp",Inputs!$B$35&gt;0),(INT(Inputs!$B$35/IF(Inputs!$B$4="pvp",15,MAX(0.1,Skills!D21-IF(Skills!E21=TRUE,Inputs!$B$31,0))))+1),0)</f>
        <v/>
      </c>
      <c r="S823">
        <f>IFERROR(O823/N823,0)</f>
        <v/>
      </c>
    </row>
    <row r="824">
      <c r="A824">
        <f>Skills!A22</f>
        <v/>
      </c>
      <c r="B824">
        <f>Skills!B22</f>
        <v/>
      </c>
      <c r="C824">
        <f>Inputs!$B$3&gt;=33</f>
        <v/>
      </c>
      <c r="D824">
        <f>IF(Skills!C22=1,60+(Inputs!$B$24+1)+Inputs!$B$28,IF(Skills!C22=2,90+Inputs!$B$25+Inputs!$B$28,IF(Skills!C22=3,120+Inputs!$B$26+Inputs!$B$28,MAX(0,(Inputs!$B$3-100)*3)+Inputs!$B$27+Inputs!$B$28)))</f>
        <v/>
      </c>
      <c r="E824">
        <f>INDEX(FactorTable!$B$2:$Y$301, MATCH(ROUND(MIN(300,MAX(1,D824)),0), FactorTable!$A$2:$A$301,0), Skills!M22+1)</f>
        <v/>
      </c>
      <c r="F824">
        <f>IF(Skills!N22=TRUE,(Skills!L22/10)*(E824/1000),Skills!L22/10)+Skills!O22</f>
        <v/>
      </c>
      <c r="G824">
        <f>Skills!G22*IF(Skills!H22&gt;0,Skills!I22/Skills!H22,1)</f>
        <v/>
      </c>
      <c r="H824">
        <f>1-(1-Skills!J22/100)^Skills!K22</f>
        <v/>
      </c>
      <c r="I824" t="inlineStr">
        <is>
          <t>1</t>
        </is>
      </c>
      <c r="J824" t="inlineStr"/>
      <c r="K824" t="inlineStr"/>
      <c r="L824" t="inlineStr"/>
      <c r="M824" t="inlineStr"/>
      <c r="N824" t="inlineStr"/>
      <c r="O824" t="n">
        <v>0</v>
      </c>
      <c r="P824">
        <f>IF(B847=0,0,O824/B847)</f>
        <v/>
      </c>
      <c r="Q824" t="n">
        <v>0</v>
      </c>
      <c r="R824" t="n">
        <v>0</v>
      </c>
      <c r="S824">
        <f>IFERROR(O824/N824,0)</f>
        <v/>
      </c>
    </row>
    <row r="825">
      <c r="A825">
        <f>Skills!A23</f>
        <v/>
      </c>
      <c r="B825">
        <f>Skills!B23</f>
        <v/>
      </c>
      <c r="C825">
        <f>Inputs!$B$3&gt;=40</f>
        <v/>
      </c>
      <c r="D825">
        <f>IF(Skills!C23=1,60+(Inputs!$B$24+1)+Inputs!$B$28,IF(Skills!C23=2,90+Inputs!$B$25+Inputs!$B$28,IF(Skills!C23=3,120+Inputs!$B$26+Inputs!$B$28,MAX(0,(Inputs!$B$3-100)*3)+Inputs!$B$27+Inputs!$B$28)))</f>
        <v/>
      </c>
      <c r="E825">
        <f>INDEX(FactorTable!$B$2:$Y$301, MATCH(ROUND(MIN(300,MAX(1,D825)),0), FactorTable!$A$2:$A$301,0), Skills!M23+1)</f>
        <v/>
      </c>
      <c r="F825">
        <f>IF(Skills!N23=TRUE,(Skills!L23/10)*(E825/1000),Skills!L23/10)+Skills!O23</f>
        <v/>
      </c>
      <c r="G825">
        <f>Skills!G23*IF(Skills!H23&gt;0,Skills!I23/Skills!H23,1)</f>
        <v/>
      </c>
      <c r="H825">
        <f>1-(1-Skills!J23/100)^Skills!K23</f>
        <v/>
      </c>
      <c r="I825" t="inlineStr">
        <is>
          <t>1</t>
        </is>
      </c>
      <c r="J825" t="inlineStr"/>
      <c r="K825" t="inlineStr"/>
      <c r="L825" t="inlineStr"/>
      <c r="M825" t="inlineStr"/>
      <c r="N825" t="inlineStr"/>
      <c r="O825" t="n">
        <v>0</v>
      </c>
      <c r="P825">
        <f>IF(B847=0,0,O825/B847)</f>
        <v/>
      </c>
      <c r="Q825" t="n">
        <v>0</v>
      </c>
      <c r="R825" t="n">
        <v>0</v>
      </c>
      <c r="S825">
        <f>IFERROR(O825/N825,0)</f>
        <v/>
      </c>
    </row>
    <row r="826">
      <c r="A826">
        <f>Skills!A24</f>
        <v/>
      </c>
      <c r="B826">
        <f>Skills!B24</f>
        <v/>
      </c>
      <c r="C826">
        <f>Inputs!$B$3&gt;=43</f>
        <v/>
      </c>
      <c r="D826">
        <f>IF(Skills!C24=1,60+(Inputs!$B$24+1)+Inputs!$B$28,IF(Skills!C24=2,90+Inputs!$B$25+Inputs!$B$28,IF(Skills!C24=3,120+Inputs!$B$26+Inputs!$B$28,MAX(0,(Inputs!$B$3-100)*3)+Inputs!$B$27+Inputs!$B$28)))</f>
        <v/>
      </c>
      <c r="E826">
        <f>INDEX(FactorTable!$B$2:$Y$301, MATCH(ROUND(MIN(300,MAX(1,D826)),0), FactorTable!$A$2:$A$301,0), Skills!M24+1)</f>
        <v/>
      </c>
      <c r="F826">
        <f>IF(Skills!N24=TRUE,(Skills!L24/10)*(E826/1000),Skills!L24/10)+Skills!O24</f>
        <v/>
      </c>
      <c r="G826">
        <f>Skills!G24*IF(Skills!H24&gt;0,Skills!I24/Skills!H24,1)</f>
        <v/>
      </c>
      <c r="H826">
        <f>1-(1-Skills!J24/100)^Skills!K24</f>
        <v/>
      </c>
      <c r="I826" t="inlineStr">
        <is>
          <t>1</t>
        </is>
      </c>
      <c r="J826" t="inlineStr"/>
      <c r="K826" t="inlineStr"/>
      <c r="L826" t="inlineStr"/>
      <c r="M826" t="inlineStr"/>
      <c r="N826" t="inlineStr"/>
      <c r="O826" t="n">
        <v>0</v>
      </c>
      <c r="P826">
        <f>IF(B847=0,0,O826/B847)</f>
        <v/>
      </c>
      <c r="Q826" t="n">
        <v>0</v>
      </c>
      <c r="R826" t="n">
        <v>0</v>
      </c>
      <c r="S826">
        <f>IFERROR(O826/N826,0)</f>
        <v/>
      </c>
    </row>
    <row r="827">
      <c r="A827">
        <f>Skills!A25</f>
        <v/>
      </c>
      <c r="B827">
        <f>Skills!B25</f>
        <v/>
      </c>
      <c r="C827">
        <f>Inputs!$B$3&gt;=50</f>
        <v/>
      </c>
      <c r="D827">
        <f>IF(Skills!C25=1,60+(Inputs!$B$24+1)+Inputs!$B$28,IF(Skills!C25=2,90+Inputs!$B$25+Inputs!$B$28,IF(Skills!C25=3,120+Inputs!$B$26+Inputs!$B$28,MAX(0,(Inputs!$B$3-100)*3)+Inputs!$B$27+Inputs!$B$28)))</f>
        <v/>
      </c>
      <c r="E827">
        <f>INDEX(FactorTable!$B$2:$Y$301, MATCH(ROUND(MIN(300,MAX(1,D827)),0), FactorTable!$A$2:$A$301,0), Skills!M25+1)</f>
        <v/>
      </c>
      <c r="F827">
        <f>IF(Skills!N25=TRUE,(Skills!L25/10)*(E827/1000),Skills!L25/10)+Skills!O25</f>
        <v/>
      </c>
      <c r="G827">
        <f>Skills!G25*IF(Skills!H25&gt;0,Skills!I25/Skills!H25,1)</f>
        <v/>
      </c>
      <c r="H827">
        <f>1-(1-Skills!J25/100)^Skills!K25</f>
        <v/>
      </c>
      <c r="I827" t="inlineStr">
        <is>
          <t>1</t>
        </is>
      </c>
      <c r="J827" t="inlineStr"/>
      <c r="K827" t="inlineStr"/>
      <c r="L827" t="inlineStr"/>
      <c r="M827" t="inlineStr"/>
      <c r="N827" t="inlineStr"/>
      <c r="O827" t="n">
        <v>0</v>
      </c>
      <c r="P827">
        <f>IF(B847=0,0,O827/B847)</f>
        <v/>
      </c>
      <c r="Q827" t="n">
        <v>0</v>
      </c>
      <c r="R827" t="n">
        <v>0</v>
      </c>
      <c r="S827">
        <f>IFERROR(O827/N827,0)</f>
        <v/>
      </c>
    </row>
    <row r="828">
      <c r="A828">
        <f>Skills!A26</f>
        <v/>
      </c>
      <c r="B828">
        <f>Skills!B26</f>
        <v/>
      </c>
      <c r="C828">
        <f>Inputs!$B$3&gt;=50</f>
        <v/>
      </c>
      <c r="D828">
        <f>IF(Skills!C26=1,60+(Inputs!$B$24+1)+Inputs!$B$28,IF(Skills!C26=2,90+Inputs!$B$25+Inputs!$B$28,IF(Skills!C26=3,120+Inputs!$B$26+Inputs!$B$28,MAX(0,(Inputs!$B$3-100)*3)+Inputs!$B$27+Inputs!$B$28)))</f>
        <v/>
      </c>
      <c r="E828">
        <f>INDEX(FactorTable!$B$2:$Y$301, MATCH(ROUND(MIN(300,MAX(1,D828)),0), FactorTable!$A$2:$A$301,0), Skills!M26+1)</f>
        <v/>
      </c>
      <c r="F828">
        <f>IF(Skills!N26=TRUE,(Skills!L26/10)*(E828/1000),Skills!L26/10)+Skills!O26</f>
        <v/>
      </c>
      <c r="G828">
        <f>Skills!G26*IF(Skills!H26&gt;0,Skills!I26/Skills!H26,1)</f>
        <v/>
      </c>
      <c r="H828">
        <f>1-(1-Skills!J26/100)^Skills!K26</f>
        <v/>
      </c>
      <c r="I828" t="inlineStr">
        <is>
          <t>1</t>
        </is>
      </c>
      <c r="J828" t="inlineStr"/>
      <c r="K828" t="inlineStr"/>
      <c r="L828" t="inlineStr"/>
      <c r="M828" t="inlineStr"/>
      <c r="N828" t="inlineStr"/>
      <c r="O828" t="n">
        <v>0</v>
      </c>
      <c r="P828">
        <f>IF(B847=0,0,O828/B847)</f>
        <v/>
      </c>
      <c r="Q828" t="n">
        <v>0</v>
      </c>
      <c r="R828" t="n">
        <v>0</v>
      </c>
      <c r="S828">
        <f>IFERROR(O828/N828,0)</f>
        <v/>
      </c>
    </row>
    <row r="829">
      <c r="A829">
        <f>Skills!A27</f>
        <v/>
      </c>
      <c r="B829">
        <f>Skills!B27</f>
        <v/>
      </c>
      <c r="C829">
        <f>Inputs!$B$3&gt;=38</f>
        <v/>
      </c>
      <c r="D829">
        <f>IF(Skills!C27=1,60+(Inputs!$B$24+1)+Inputs!$B$28,IF(Skills!C27=2,90+Inputs!$B$25+Inputs!$B$28,IF(Skills!C27=3,120+Inputs!$B$26+Inputs!$B$28,MAX(0,(Inputs!$B$3-100)*3)+Inputs!$B$27+Inputs!$B$28)))</f>
        <v/>
      </c>
      <c r="E829">
        <f>INDEX(FactorTable!$B$2:$Y$301, MATCH(ROUND(MIN(300,MAX(1,D829)),0), FactorTable!$A$2:$A$301,0), Skills!M27+1)</f>
        <v/>
      </c>
      <c r="F829">
        <f>IF(Skills!N27=TRUE,(Skills!L27/10)*(E829/1000),Skills!L27/10)+Skills!O27</f>
        <v/>
      </c>
      <c r="G829">
        <f>Skills!G27*IF(Skills!H27&gt;0,Skills!I27/Skills!H27,1)</f>
        <v/>
      </c>
      <c r="H829">
        <f>1-(1-Skills!J27/100)^Skills!K27</f>
        <v/>
      </c>
      <c r="I829" t="inlineStr">
        <is>
          <t>1</t>
        </is>
      </c>
      <c r="J829" t="inlineStr"/>
      <c r="K829" t="inlineStr"/>
      <c r="L829" t="inlineStr"/>
      <c r="M829" t="inlineStr"/>
      <c r="N829" t="inlineStr"/>
      <c r="O829" t="n">
        <v>0</v>
      </c>
      <c r="P829">
        <f>IF(B847=0,0,O829/B847)</f>
        <v/>
      </c>
      <c r="Q829" t="n">
        <v>0</v>
      </c>
      <c r="R829" t="n">
        <v>0</v>
      </c>
      <c r="S829">
        <f>IFERROR(O829/N829,0)</f>
        <v/>
      </c>
    </row>
    <row r="830">
      <c r="A830">
        <f>Skills!A28</f>
        <v/>
      </c>
      <c r="B830">
        <f>Skills!B28</f>
        <v/>
      </c>
      <c r="C830">
        <f>Inputs!$B$3&gt;=120</f>
        <v/>
      </c>
      <c r="D830">
        <f>IF(Skills!C28=1,60+(Inputs!$B$24+1)+Inputs!$B$28,IF(Skills!C28=2,90+Inputs!$B$25+Inputs!$B$28,IF(Skills!C28=3,120+Inputs!$B$26+Inputs!$B$28,MAX(0,(Inputs!$B$3-100)*3)+Inputs!$B$27+Inputs!$B$28)))</f>
        <v/>
      </c>
      <c r="E830">
        <f>INDEX(FactorTable!$B$2:$Y$301, MATCH(ROUND(MIN(300,MAX(1,D830)),0), FactorTable!$A$2:$A$301,0), Skills!M28+1)</f>
        <v/>
      </c>
      <c r="F830">
        <f>IF(Skills!N28=TRUE,(Skills!L28/10)*(E830/1000),Skills!L28/10)+Skills!O28</f>
        <v/>
      </c>
      <c r="G830">
        <f>Skills!G28*IF(Skills!H28&gt;0,Skills!I28/Skills!H28,1)</f>
        <v/>
      </c>
      <c r="H830">
        <f>1-(1-Skills!J28/100)^Skills!K28</f>
        <v/>
      </c>
      <c r="I830" t="inlineStr">
        <is>
          <t>1</t>
        </is>
      </c>
      <c r="J830" t="inlineStr"/>
      <c r="K830" t="inlineStr"/>
      <c r="L830" t="inlineStr"/>
      <c r="M830" t="inlineStr"/>
      <c r="N830" t="inlineStr"/>
      <c r="O830" t="n">
        <v>0</v>
      </c>
      <c r="P830">
        <f>IF(B847=0,0,O830/B847)</f>
        <v/>
      </c>
      <c r="Q830" t="n">
        <v>0</v>
      </c>
      <c r="R830" t="n">
        <v>0</v>
      </c>
      <c r="S830">
        <f>IFERROR(O830/N830,0)</f>
        <v/>
      </c>
    </row>
    <row r="831">
      <c r="A831">
        <f>Skills!A29</f>
        <v/>
      </c>
      <c r="B831">
        <f>Skills!B29</f>
        <v/>
      </c>
      <c r="C831">
        <f>Inputs!$B$3&gt;=120</f>
        <v/>
      </c>
      <c r="D831">
        <f>IF(Skills!C29=1,60+(Inputs!$B$24+1)+Inputs!$B$28,IF(Skills!C29=2,90+Inputs!$B$25+Inputs!$B$28,IF(Skills!C29=3,120+Inputs!$B$26+Inputs!$B$28,MAX(0,(Inputs!$B$3-100)*3)+Inputs!$B$27+Inputs!$B$28)))</f>
        <v/>
      </c>
      <c r="E831">
        <f>INDEX(FactorTable!$B$2:$Y$301, MATCH(ROUND(MIN(300,MAX(1,D831)),0), FactorTable!$A$2:$A$301,0), Skills!M29+1)</f>
        <v/>
      </c>
      <c r="F831">
        <f>IF(Skills!N29=TRUE,(Skills!L29/10)*(E831/1000),Skills!L29/10)+Skills!O29</f>
        <v/>
      </c>
      <c r="G831">
        <f>Skills!G29*IF(Skills!H29&gt;0,Skills!I29/Skills!H29,1)</f>
        <v/>
      </c>
      <c r="H831">
        <f>1-(1-Skills!J29/100)^Skills!K29</f>
        <v/>
      </c>
      <c r="I831" t="inlineStr">
        <is>
          <t>1</t>
        </is>
      </c>
      <c r="J831" t="inlineStr"/>
      <c r="K831" t="inlineStr"/>
      <c r="L831" t="inlineStr"/>
      <c r="M831" t="inlineStr"/>
      <c r="N831" t="inlineStr"/>
      <c r="O831" t="n">
        <v>0</v>
      </c>
      <c r="P831">
        <f>IF(B847=0,0,O831/B847)</f>
        <v/>
      </c>
      <c r="Q831" t="n">
        <v>0</v>
      </c>
      <c r="R831" t="n">
        <v>0</v>
      </c>
      <c r="S831">
        <f>IFERROR(O831/N831,0)</f>
        <v/>
      </c>
    </row>
    <row r="832">
      <c r="A832">
        <f>Skills!A30</f>
        <v/>
      </c>
      <c r="B832">
        <f>Skills!B30</f>
        <v/>
      </c>
      <c r="C832">
        <f>Inputs!$B$3&gt;=125</f>
        <v/>
      </c>
      <c r="D832">
        <f>IF(Skills!C30=1,60+(Inputs!$B$24+1)+Inputs!$B$28,IF(Skills!C30=2,90+Inputs!$B$25+Inputs!$B$28,IF(Skills!C30=3,120+Inputs!$B$26+Inputs!$B$28,MAX(0,(Inputs!$B$3-100)*3)+Inputs!$B$27+Inputs!$B$28)))</f>
        <v/>
      </c>
      <c r="E832">
        <f>INDEX(FactorTable!$B$2:$Y$301, MATCH(ROUND(MIN(300,MAX(1,D832)),0), FactorTable!$A$2:$A$301,0), Skills!M30+1)</f>
        <v/>
      </c>
      <c r="F832">
        <f>IF(Skills!N30=TRUE,(Skills!L30/10)*(E832/1000),Skills!L30/10)+Skills!O30</f>
        <v/>
      </c>
      <c r="G832">
        <f>Skills!G30*IF(Skills!H30&gt;0,Skills!I30/Skills!H30,1)</f>
        <v/>
      </c>
      <c r="H832">
        <f>1-(1-Skills!J30/100)^Skills!K30</f>
        <v/>
      </c>
      <c r="I832" t="inlineStr">
        <is>
          <t>1</t>
        </is>
      </c>
      <c r="J832" t="inlineStr"/>
      <c r="K832" t="inlineStr"/>
      <c r="L832" t="inlineStr"/>
      <c r="M832" t="inlineStr"/>
      <c r="N832" t="inlineStr"/>
      <c r="O832" t="n">
        <v>0</v>
      </c>
      <c r="P832">
        <f>IF(B847=0,0,O832/B847)</f>
        <v/>
      </c>
      <c r="Q832" t="n">
        <v>0</v>
      </c>
      <c r="R832" t="n">
        <v>0</v>
      </c>
      <c r="S832">
        <f>IFERROR(O832/N832,0)</f>
        <v/>
      </c>
    </row>
    <row r="834">
      <c r="A834" t="inlineStr">
        <is>
          <t>Average Buff Multiplier</t>
        </is>
      </c>
      <c r="B834">
        <f>(1+(((C823=TRUE)*F823*IF(AND(Inputs!$B$4&lt;&gt;"pvp",Inputs!$B$35&gt;0),(((S823-1)*(Skills!Y21*(1+Inputs!$B$33/100))+MIN((Skills!Y21*(1+Inputs!$B$33/100)),MAX(0,Inputs!$B$35-((S823-1)*Skills!D21))))/Inputs!$B$35),IF(Inputs!$B$4="pvp",MIN((Skills!Y21*(1+Inputs!$B$33/100)),15)/15,(Skills!Y21*(1+Inputs!$B$33/100))/Skills!D21)))+((C825=TRUE)*(F825-Calc!F23))+((C819=TRUE)*(F819-Calc!F17)))/100)*(1+((C812=TRUE)*F812*IF(AND(Inputs!$B$4&lt;&gt;"pvp",Inputs!$B$35&gt;0),(((S812-1)*(Skills!Y10*(1+Inputs!$B$33/100))+MIN((Skills!Y10*(1+Inputs!$B$33/100)),MAX(0,Inputs!$B$35-((S812-1)*Skills!D10))))/Inputs!$B$35),IF(Inputs!$B$4="pvp",MIN((Skills!Y10*(1+Inputs!$B$33/100)),15)/15,(Skills!Y10*(1+Inputs!$B$33/100))/Skills!D10)))/100)*(1+((C817=TRUE)*F817*IF(AND(Inputs!$B$4&lt;&gt;"pvp",Inputs!$B$35&gt;0),(((S817-1)*(Skills!Y15*(1+Inputs!$B$33/100))+MIN((Skills!Y15*(1+Inputs!$B$33/100)),MAX(0,Inputs!$B$35-((S817-1)*Skills!D15))))/Inputs!$B$35),IF(Inputs!$B$4="pvp",MIN((Skills!Y15*(1+Inputs!$B$33/100)),15)/15,(Skills!Y15*(1+Inputs!$B$33/100))/Skills!D15)))/100)</f>
        <v/>
      </c>
    </row>
    <row r="835">
      <c r="A835" t="inlineStr">
        <is>
          <t>Global Crit Rate Bonus %</t>
        </is>
      </c>
      <c r="B835">
        <f>((C822=TRUE)*F822*IF(AND(Inputs!$B$4&lt;&gt;"pvp",Inputs!$B$35&gt;0),(((S822-1)*(Skills!Y20*(1+Inputs!$B$33/100))+MIN((Skills!Y20*(1+Inputs!$B$33/100)),MAX(0,Inputs!$B$35-((S822-1)*Skills!D20))))/Inputs!$B$35),IF(Inputs!$B$4="pvp",MIN((Skills!Y20*(1+Inputs!$B$33/100)),15)/15,(Skills!Y20*(1+Inputs!$B$33/100))/Skills!D20)))</f>
        <v/>
      </c>
    </row>
    <row r="836">
      <c r="A836" t="inlineStr">
        <is>
          <t>Global Monster Damage-Taken Bonus %</t>
        </is>
      </c>
      <c r="B836">
        <f>IF(Inputs!$B$3&gt;=82,15,0)</f>
        <v/>
      </c>
    </row>
    <row r="837">
      <c r="A837" t="inlineStr">
        <is>
          <t>Shadow Partner Average Multiplier</t>
        </is>
      </c>
      <c r="B837">
        <f>1+((C809=TRUE)*F809*(1+3.3333333333333335*IF(C820=TRUE,F820,0)/100)*I809*Skills!J7/100)/100</f>
        <v/>
      </c>
    </row>
    <row r="838">
      <c r="A838" t="inlineStr">
        <is>
          <t>Attack Speed Buff Bonus %</t>
        </is>
      </c>
      <c r="B838">
        <f>((C821=TRUE)*F821*IF(AND(Inputs!$B$4&lt;&gt;"pvp",Inputs!$B$35&gt;0),(((S821-1)*(Skills!Y19*(1+Inputs!$B$33/100))+MIN((Skills!Y19*(1+Inputs!$B$33/100)),MAX(0,Inputs!$B$35-((S821-1)*Skills!D19))))/Inputs!$B$35),IF(Inputs!$B$4="pvp",MIN((Skills!Y19*(1+Inputs!$B$33/100)),15)/15,(Skills!Y19*(1+Inputs!$B$33/100))/Skills!D19)))+((C805=TRUE)*F805*3)</f>
        <v/>
      </c>
    </row>
    <row r="839">
      <c r="A839" t="inlineStr">
        <is>
          <t>Actions Per Second</t>
        </is>
      </c>
      <c r="B839">
        <f>1+MIN(150,150*(1-(1-(Inputs!$B$10+((C824=TRUE)*(F824-Calc!F22)))/150)*(1-B838/150)))/100</f>
        <v/>
      </c>
    </row>
    <row r="840">
      <c r="A840" t="inlineStr">
        <is>
          <t>Skill + Buff Cast Rate</t>
        </is>
      </c>
      <c r="B840">
        <f>IF(AND(Inputs!$B$4&lt;&gt;"pvp",Inputs!$B$35&gt;0),SUMPRODUCT((Skills!E2:E30=TRUE)*(C804:C832=TRUE)*R804:R832*Skills!F2:F30)/Inputs!$B$35,SUMPRODUCT((Skills!E2:E30=TRUE)*(C804:C832=TRUE)*Q804:Q832*Skills!F2:F30))</f>
        <v/>
      </c>
    </row>
    <row r="841">
      <c r="A841" t="inlineStr">
        <is>
          <t>Cruel Stab Casts Per Second</t>
        </is>
      </c>
      <c r="B841">
        <f>MAX(0,B839-B840)</f>
        <v/>
      </c>
    </row>
    <row r="842">
      <c r="A842" t="inlineStr">
        <is>
          <t>Global Critical Damage Bonus % (Smokescreen Mastery Lv.113)</t>
        </is>
      </c>
      <c r="B842">
        <f>IF(Inputs!$B$3&gt;=113,30,0)*IF(AND(Inputs!$B$4&lt;&gt;"pvp",Inputs!$B$35&gt;0),(((S817-1)*(Skills!Y15*(1+Inputs!$B$33/100))+MIN((Skills!Y15*(1+Inputs!$B$33/100)),MAX(0,Inputs!$B$35-((S817-1)*Skills!D15))))/Inputs!$B$35),IF(Inputs!$B$4="pvp",MIN((Skills!Y15*(1+Inputs!$B$33/100)),15)/15,(Skills!Y15*(1+Inputs!$B$33/100))/Skills!D15))</f>
        <v/>
      </c>
    </row>
    <row r="843">
      <c r="A843" t="inlineStr">
        <is>
          <t>Meso Explosion average stack count</t>
        </is>
      </c>
      <c r="B843">
        <f>MIN(10,0.5*B839*Skills!D4)</f>
        <v/>
      </c>
    </row>
    <row r="844">
      <c r="A844" t="inlineStr">
        <is>
          <t>Blood Money average stack count</t>
        </is>
      </c>
      <c r="B844">
        <f>MIN(5,0.25*B839*Skills!D4)</f>
        <v/>
      </c>
    </row>
    <row r="845">
      <c r="A845" t="inlineStr">
        <is>
          <t>Assassinate Murderous Intent Multiplier</t>
        </is>
      </c>
      <c r="B845">
        <f>1+IFERROR(MIN(1,Q816*2/Q813),0)</f>
        <v/>
      </c>
    </row>
    <row r="847">
      <c r="A847" s="5" t="inlineStr">
        <is>
          <t>TOTAL DPS</t>
        </is>
      </c>
      <c r="B847" s="5">
        <f>SUM(O804:O832)</f>
        <v/>
      </c>
    </row>
    <row r="850">
      <c r="A850" s="5" t="inlineStr">
        <is>
          <t>Stat: Skill Level Bonus — 2nd Job</t>
        </is>
      </c>
    </row>
    <row r="851">
      <c r="A851" s="8" t="inlineStr">
        <is>
          <t>Key</t>
        </is>
      </c>
      <c r="B851" s="8" t="inlineStr">
        <is>
          <t>Name</t>
        </is>
      </c>
      <c r="C851" s="8" t="inlineStr">
        <is>
          <t>Unlocked</t>
        </is>
      </c>
      <c r="D851" s="8" t="inlineStr">
        <is>
          <t>InputLevel</t>
        </is>
      </c>
      <c r="E851" s="8" t="inlineStr">
        <is>
          <t>Factor</t>
        </is>
      </c>
      <c r="F851" s="8" t="inlineStr">
        <is>
          <t>CoefficientPercent</t>
        </is>
      </c>
      <c r="G851" s="8" t="inlineStr">
        <is>
          <t>EffectiveHits</t>
        </is>
      </c>
      <c r="H851" s="8" t="inlineStr">
        <is>
          <t>ProcProbability</t>
        </is>
      </c>
      <c r="I851" s="8" t="inlineStr">
        <is>
          <t>MapleHeroMultiplier</t>
        </is>
      </c>
      <c r="J851" s="8" t="inlineStr">
        <is>
          <t>BaseDamage</t>
        </is>
      </c>
      <c r="K851" s="8" t="inlineStr">
        <is>
          <t>BaseHitDamage</t>
        </is>
      </c>
      <c r="L851" s="8" t="inlineStr">
        <is>
          <t>NonCritAvg</t>
        </is>
      </c>
      <c r="M851" s="8" t="inlineStr">
        <is>
          <t>CritAvg</t>
        </is>
      </c>
      <c r="N851" s="8" t="inlineStr">
        <is>
          <t>ExpectedDamage(perHit)</t>
        </is>
      </c>
      <c r="O851" s="8" t="inlineStr">
        <is>
          <t>DPS</t>
        </is>
      </c>
      <c r="P851" s="8" t="inlineStr">
        <is>
          <t>% of Total</t>
        </is>
      </c>
      <c r="Q851" s="8" t="inlineStr">
        <is>
          <t>InvCooldown</t>
        </is>
      </c>
      <c r="R851" s="8" t="inlineStr">
        <is>
          <t>CastsInFight</t>
        </is>
      </c>
      <c r="S851" s="8" t="inlineStr">
        <is>
          <t>HitRate(perSec)</t>
        </is>
      </c>
      <c r="U851" t="inlineStr">
        <is>
          <t>helpers</t>
        </is>
      </c>
    </row>
    <row r="852">
      <c r="A852">
        <f>Skills!A2</f>
        <v/>
      </c>
      <c r="B852">
        <f>Skills!B2</f>
        <v/>
      </c>
      <c r="C852">
        <f>Inputs!$B$3&gt;=100</f>
        <v/>
      </c>
      <c r="D852" t="inlineStr"/>
      <c r="E852" t="inlineStr"/>
      <c r="F852">
        <f>U854+Skills!O2</f>
        <v/>
      </c>
      <c r="G852">
        <f>Skills!G2*IF(Skills!H2&gt;0,Skills!I2/Skills!H2,1)</f>
        <v/>
      </c>
      <c r="H852">
        <f>1-(1-Skills!J2/100)^Skills!K2</f>
        <v/>
      </c>
      <c r="I852" t="inlineStr">
        <is>
          <t>1</t>
        </is>
      </c>
      <c r="J852">
        <f>(Inputs!$B$5*(1+Inputs!$B$6/100))*(F852/100)</f>
        <v/>
      </c>
      <c r="K852">
        <f>J852*(1+((Inputs!$B$11*(1+Inputs!$B$12/100))*0.01+Inputs!$B$13*0.0025)/100)*(1+Inputs!$B$14/100)*(1+IF(Inputs!$B$4="pvp",0,(1-Summary!$B$55)*(Inputs!$B$19+0+Skills!P2+B884)+Summary!$B$55*(Inputs!$B$20+Skills!Q2+B884))/100)*(1+Inputs!$B$15/100)*(5000/(6000+Inputs!$B$7*(1-Inputs!$B$18/100)))*(1+(Inputs!$B$23+((C880=TRUE)*(F880-Calc!F30)))/100)*(1+(IF(Skills!A2="CRUEL_STAB",Inputs!$B$16+((C877=TRUE)*(F877-Calc!F27)),Inputs!$B$17+((C878=TRUE)*(F878-Calc!F28))))/100)*(((1+(((C871=TRUE)*F871*IF(AND(Inputs!$B$4&lt;&gt;"pvp",Inputs!$B$35&gt;0),(((S871-1)*(Skills!Y21*(1+Inputs!$B$33/100))+MIN((Skills!Y21*(1+Inputs!$B$33/100)),MAX(0,Inputs!$B$35-((S871-1)*Skills!D21))))/Inputs!$B$35),IF(Inputs!$B$4="pvp",MIN((Skills!Y21*(1+Inputs!$B$33/100)),15)/15,(Skills!Y21*(1+Inputs!$B$33/100))/Skills!D21)))+((C873=TRUE)*(F873-Calc!F23))+((C867=TRUE)*(F867-Calc!F17)))/100)*(1+((C860=TRUE)*F860*IF(AND(Inputs!$B$4&lt;&gt;"pvp",Inputs!$B$35&gt;0),(((S860-1)*(Skills!Y10*(1+Inputs!$B$33/100))+MIN((Skills!Y10*(1+Inputs!$B$33/100)),MAX(0,Inputs!$B$35-((S860-1)*Skills!D10))))/Inputs!$B$35),IF(Inputs!$B$4="pvp",MIN((Skills!Y10*(1+Inputs!$B$33/100)),15)/15,(Skills!Y10*(1+Inputs!$B$33/100))/Skills!D10)))/100)*(1+((C865=TRUE)*F865*IF(AND(Inputs!$B$4&lt;&gt;"pvp",Inputs!$B$35&gt;0),(((S865-1)*(Skills!Y15*(1+Inputs!$B$33/100))+MIN((Skills!Y15*(1+Inputs!$B$33/100)),MAX(0,Inputs!$B$35-((S865-1)*Skills!D15))))/Inputs!$B$35),IF(Inputs!$B$4="pvp",MIN((Skills!Y15*(1+Inputs!$B$33/100)),15)/15,(Skills!Y15*(1+Inputs!$B$33/100))/Skills!D15)))/100))*B885*I852)</f>
        <v/>
      </c>
      <c r="L852">
        <f>K852*(MIN(Inputs!$B$21+((C874=TRUE)*(F874-Calc!F24)),Inputs!$B$22+((C879=TRUE)*(F879-Calc!F29)))/100+(Inputs!$B$22+((C879=TRUE)*(F879-Calc!F29)))/100)/2</f>
        <v/>
      </c>
      <c r="M852">
        <f>L852*(1+(Inputs!$B$9+((C876=TRUE)*(F876-Calc!F26))+B890)/100)</f>
        <v/>
      </c>
      <c r="N852">
        <f>L852*(1-MIN((Inputs!$B$8+((C875=TRUE)*(F875-Calc!F25))+B883),100)/100)+M852*(MIN((Inputs!$B$8+((C875=TRUE)*(F875-Calc!F25))+B883),100)/100)</f>
        <v/>
      </c>
      <c r="O852">
        <f>IF(C852,Skills!G2*N852*B889*IF(Inputs!$B$4="pvp",1,(1-Summary!$B$55)*(1)+Summary!$B$55*(MIN((6+Inputs!$B$32),Inputs!$B$37))),0)</f>
        <v/>
      </c>
      <c r="P852">
        <f>IF(B895=0,0,O852/B895)</f>
        <v/>
      </c>
      <c r="Q852" t="n">
        <v>0</v>
      </c>
      <c r="R852" t="n">
        <v>0</v>
      </c>
      <c r="S852">
        <f>IFERROR(O852/N852,0)</f>
        <v/>
      </c>
      <c r="U852">
        <f>MAX(0,(Inputs!$B$3-100)*3)+Inputs!$B$27+Inputs!$B$28</f>
        <v/>
      </c>
    </row>
    <row r="853">
      <c r="A853">
        <f>Skills!A3</f>
        <v/>
      </c>
      <c r="B853">
        <f>Skills!B3</f>
        <v/>
      </c>
      <c r="C853">
        <f>Inputs!$B$3&gt;=35</f>
        <v/>
      </c>
      <c r="D853">
        <f>IF(Skills!C3=1,60+Inputs!$B$24+Inputs!$B$28,IF(Skills!C3=2,90+(Inputs!$B$25+1)+Inputs!$B$28,IF(Skills!C3=3,120+Inputs!$B$26+Inputs!$B$28,MAX(0,(Inputs!$B$3-100)*3)+Inputs!$B$27+Inputs!$B$28)))</f>
        <v/>
      </c>
      <c r="E853">
        <f>INDEX(FactorTable!$B$2:$Y$301, MATCH(ROUND(MIN(300,MAX(1,D853)),0), FactorTable!$A$2:$A$301,0), Skills!M3+1)</f>
        <v/>
      </c>
      <c r="F853">
        <f>IF(Skills!N3=TRUE,(Skills!L3/10)*(E853/1000),Skills!L3/10)+Skills!O3</f>
        <v/>
      </c>
      <c r="G853">
        <f>Skills!G3*IF(Skills!H3&gt;0,Skills!I3/Skills!H3,1)</f>
        <v/>
      </c>
      <c r="H853">
        <f>1-(1-Skills!J3/100)^Skills!K3</f>
        <v/>
      </c>
      <c r="I853" t="inlineStr">
        <is>
          <t>1</t>
        </is>
      </c>
      <c r="J853" t="inlineStr"/>
      <c r="K853" t="inlineStr"/>
      <c r="L853" t="inlineStr"/>
      <c r="M853" t="inlineStr"/>
      <c r="N853" t="inlineStr"/>
      <c r="O853" t="n">
        <v>0</v>
      </c>
      <c r="P853">
        <f>IF(B895=0,0,O853/B895)</f>
        <v/>
      </c>
      <c r="Q853" t="n">
        <v>0</v>
      </c>
      <c r="R853" t="n">
        <v>0</v>
      </c>
      <c r="S853">
        <f>IFERROR(O853/N853,0)</f>
        <v/>
      </c>
      <c r="U853">
        <f>INDEX(FactorTable!$B$2:$Y$301, MATCH(ROUND(MIN(300,MAX(1,U852)),0), FactorTable!$A$2:$A$301,0), 22)</f>
        <v/>
      </c>
    </row>
    <row r="854">
      <c r="A854">
        <f>Skills!A4</f>
        <v/>
      </c>
      <c r="B854">
        <f>Skills!B4</f>
        <v/>
      </c>
      <c r="C854">
        <f>Inputs!$B$3&gt;=66</f>
        <v/>
      </c>
      <c r="D854">
        <f>IF(Skills!C4=1,60+Inputs!$B$24+Inputs!$B$28,IF(Skills!C4=2,90+(Inputs!$B$25+1)+Inputs!$B$28,IF(Skills!C4=3,120+Inputs!$B$26+Inputs!$B$28,MAX(0,(Inputs!$B$3-100)*3)+Inputs!$B$27+Inputs!$B$28)))</f>
        <v/>
      </c>
      <c r="E854">
        <f>INDEX(FactorTable!$B$2:$Y$301, MATCH(ROUND(MIN(300,MAX(1,D854)),0), FactorTable!$A$2:$A$301,0), Skills!M4+1)</f>
        <v/>
      </c>
      <c r="F854">
        <f>IF(Skills!N4=TRUE,(Skills!L4/10)*(E854/1000),Skills!L4/10)+Skills!O4</f>
        <v/>
      </c>
      <c r="G854">
        <f>Skills!G4*IF(Skills!H4&gt;0,Skills!I4/Skills!H4,1)</f>
        <v/>
      </c>
      <c r="H854">
        <f>1-(1-Skills!J4/100)^Skills!K4</f>
        <v/>
      </c>
      <c r="I854" t="inlineStr">
        <is>
          <t>1</t>
        </is>
      </c>
      <c r="J854">
        <f>(Inputs!$B$5*(1+Inputs!$B$6/100))*(F854/100)</f>
        <v/>
      </c>
      <c r="K854">
        <f>J854*(1+((Inputs!$B$11*(1+Inputs!$B$12/100))*0.01+Inputs!$B$13*0.0025)/100)*(1+Inputs!$B$14/100)*(1+IF(Inputs!$B$4="pvp",0,(1-Summary!$B$55)*(Inputs!$B$19+0+Skills!P4+B884)+Summary!$B$55*(Inputs!$B$20+Skills!Q4+B884))/100)*(1+Inputs!$B$15/100)*(5000/(6000+Inputs!$B$7*(1-Inputs!$B$18/100)))*(1+(Inputs!$B$23+((C880=TRUE)*(F880-Calc!F30)))/100)*(1+(IF(Skills!A4="CRUEL_STAB",Inputs!$B$16+((C877=TRUE)*(F877-Calc!F27)),Inputs!$B$17+((C878=TRUE)*(F878-Calc!F28))))/100)*(((1+(((C871=TRUE)*F871*IF(AND(Inputs!$B$4&lt;&gt;"pvp",Inputs!$B$35&gt;0),(((S871-1)*(Skills!Y21*(1+Inputs!$B$33/100))+MIN((Skills!Y21*(1+Inputs!$B$33/100)),MAX(0,Inputs!$B$35-((S871-1)*Skills!D21))))/Inputs!$B$35),IF(Inputs!$B$4="pvp",MIN((Skills!Y21*(1+Inputs!$B$33/100)),15)/15,(Skills!Y21*(1+Inputs!$B$33/100))/Skills!D21)))+((C873=TRUE)*(F873-Calc!F23))+((C867=TRUE)*(F867-Calc!F17)))/100)*(1+((C860=TRUE)*F860*IF(AND(Inputs!$B$4&lt;&gt;"pvp",Inputs!$B$35&gt;0),(((S860-1)*(Skills!Y10*(1+Inputs!$B$33/100))+MIN((Skills!Y10*(1+Inputs!$B$33/100)),MAX(0,Inputs!$B$35-((S860-1)*Skills!D10))))/Inputs!$B$35),IF(Inputs!$B$4="pvp",MIN((Skills!Y10*(1+Inputs!$B$33/100)),15)/15,(Skills!Y10*(1+Inputs!$B$33/100))/Skills!D10)))/100)*(1+((C865=TRUE)*F865*IF(AND(Inputs!$B$4&lt;&gt;"pvp",Inputs!$B$35&gt;0),(((S865-1)*(Skills!Y15*(1+Inputs!$B$33/100))+MIN((Skills!Y15*(1+Inputs!$B$33/100)),MAX(0,Inputs!$B$35-((S865-1)*Skills!D15))))/Inputs!$B$35),IF(Inputs!$B$4="pvp",MIN((Skills!Y15*(1+Inputs!$B$33/100)),15)/15,(Skills!Y15*(1+Inputs!$B$33/100))/Skills!D15)))/100))*B885*I854)</f>
        <v/>
      </c>
      <c r="L854">
        <f>K854*(MIN(Inputs!$B$21+((C874=TRUE)*(F874-Calc!F24)),Inputs!$B$22+((C879=TRUE)*(F879-Calc!F29)))/100+(Inputs!$B$22+((C879=TRUE)*(F879-Calc!F29)))/100)/2</f>
        <v/>
      </c>
      <c r="M854">
        <f>L854*(1+(Inputs!$B$9+((C876=TRUE)*(F876-Calc!F26))+B890)/100)</f>
        <v/>
      </c>
      <c r="N854">
        <f>L854*(1-MIN((Inputs!$B$8+((C875=TRUE)*(F875-Calc!F25))+B883),100)/100)+M854*(MIN((Inputs!$B$8+((C875=TRUE)*(F875-Calc!F25))+B883),100)/100)</f>
        <v/>
      </c>
      <c r="O854">
        <f>IF(C854,H854*N854*IF(AND(Inputs!$B$4&lt;&gt;"pvp",Inputs!$B$35&gt;0),((Skills!G4*((R854-1)*IF(Skills!H4&gt;0,Skills!I4/Skills!H4,1)+IF(Skills!H4&gt;0,MIN(Skills!I4,MAX(0,Inputs!$B$35-((R854-1)*IF(Inputs!$B$4="pvp",15,MAX(0.1,Skills!D4-IF(Skills!E4=TRUE,Inputs!$B$31,0))))))/Skills!H4,1)))/Inputs!$B$35),G854*Q854)*IF(Inputs!$B$4="pvp",1,(1-Summary!$B$55)*(1)+Summary!$B$55*(MIN(MIN(10,0.5*B887*Skills!D4),Inputs!$B$37))),0)</f>
        <v/>
      </c>
      <c r="P854">
        <f>IF(B895=0,0,O854/B895)</f>
        <v/>
      </c>
      <c r="Q854">
        <f>IFERROR(1/IF(Inputs!$B$4="pvp",15,MAX(0.1,Skills!D4-IF(Skills!E4=TRUE,Inputs!$B$31,0))),0)</f>
        <v/>
      </c>
      <c r="R854">
        <f>IF(AND(Inputs!$B$4&lt;&gt;"pvp",Inputs!$B$35&gt;0),(INT(Inputs!$B$35/IF(Inputs!$B$4="pvp",15,MAX(0.1,Skills!D4-IF(Skills!E4=TRUE,Inputs!$B$31,0))))+1),0)</f>
        <v/>
      </c>
      <c r="S854">
        <f>IFERROR(O854/N854,0)</f>
        <v/>
      </c>
      <c r="U854">
        <f>290*U853/1000</f>
        <v/>
      </c>
    </row>
    <row r="855">
      <c r="A855">
        <f>Skills!A5</f>
        <v/>
      </c>
      <c r="B855">
        <f>Skills!B5</f>
        <v/>
      </c>
      <c r="C855">
        <f>Inputs!$B$3&gt;=63</f>
        <v/>
      </c>
      <c r="D855">
        <f>IF(Skills!C5=1,60+Inputs!$B$24+Inputs!$B$28,IF(Skills!C5=2,90+(Inputs!$B$25+1)+Inputs!$B$28,IF(Skills!C5=3,120+Inputs!$B$26+Inputs!$B$28,MAX(0,(Inputs!$B$3-100)*3)+Inputs!$B$27+Inputs!$B$28)))</f>
        <v/>
      </c>
      <c r="E855">
        <f>INDEX(FactorTable!$B$2:$Y$301, MATCH(ROUND(MIN(300,MAX(1,D855)),0), FactorTable!$A$2:$A$301,0), Skills!M5+1)</f>
        <v/>
      </c>
      <c r="F855">
        <f>IF(Skills!N5=TRUE,(Skills!L5/10)*(E855/1000),Skills!L5/10)+Skills!O5</f>
        <v/>
      </c>
      <c r="G855">
        <f>Skills!G5*IF(Skills!H5&gt;0,Skills!I5/Skills!H5,1)</f>
        <v/>
      </c>
      <c r="H855">
        <f>1-(1-Skills!J5/100)^Skills!K5</f>
        <v/>
      </c>
      <c r="I855" t="inlineStr">
        <is>
          <t>1</t>
        </is>
      </c>
      <c r="J855">
        <f>(Inputs!$B$5*(1+Inputs!$B$6/100))*(F855/100)</f>
        <v/>
      </c>
      <c r="K855">
        <f>J855*(1+((Inputs!$B$11*(1+Inputs!$B$12/100))*0.01+Inputs!$B$13*0.0025)/100)*(1+Inputs!$B$14/100)*(1+IF(Inputs!$B$4="pvp",0,(1-Summary!$B$55)*(Inputs!$B$19+0+Skills!P5+B884)+Summary!$B$55*(Inputs!$B$20+Skills!Q5+B884))/100)*(1+Inputs!$B$15/100)*(5000/(6000+Inputs!$B$7*(1-Inputs!$B$18/100)))*(1+(Inputs!$B$23+((C880=TRUE)*(F880-Calc!F30)))/100)*(1+2.6666666666666665*IF(C868=TRUE,F868,0)/100)*(1+(IF(Skills!A5="CRUEL_STAB",Inputs!$B$16+((C877=TRUE)*(F877-Calc!F27)),Inputs!$B$17+((C878=TRUE)*(F878-Calc!F28))))/100)*(((1+(((C871=TRUE)*F871*IF(AND(Inputs!$B$4&lt;&gt;"pvp",Inputs!$B$35&gt;0),(((S871-1)*(Skills!Y21*(1+Inputs!$B$33/100))+MIN((Skills!Y21*(1+Inputs!$B$33/100)),MAX(0,Inputs!$B$35-((S871-1)*Skills!D21))))/Inputs!$B$35),IF(Inputs!$B$4="pvp",MIN((Skills!Y21*(1+Inputs!$B$33/100)),15)/15,(Skills!Y21*(1+Inputs!$B$33/100))/Skills!D21)))+((C873=TRUE)*(F873-Calc!F23))+((C867=TRUE)*(F867-Calc!F17)))/100)*(1+((C860=TRUE)*F860*IF(AND(Inputs!$B$4&lt;&gt;"pvp",Inputs!$B$35&gt;0),(((S860-1)*(Skills!Y10*(1+Inputs!$B$33/100))+MIN((Skills!Y10*(1+Inputs!$B$33/100)),MAX(0,Inputs!$B$35-((S860-1)*Skills!D10))))/Inputs!$B$35),IF(Inputs!$B$4="pvp",MIN((Skills!Y10*(1+Inputs!$B$33/100)),15)/15,(Skills!Y10*(1+Inputs!$B$33/100))/Skills!D10)))/100)*(1+((C865=TRUE)*F865*IF(AND(Inputs!$B$4&lt;&gt;"pvp",Inputs!$B$35&gt;0),(((S865-1)*(Skills!Y15*(1+Inputs!$B$33/100))+MIN((Skills!Y15*(1+Inputs!$B$33/100)),MAX(0,Inputs!$B$35-((S865-1)*Skills!D15))))/Inputs!$B$35),IF(Inputs!$B$4="pvp",MIN((Skills!Y15*(1+Inputs!$B$33/100)),15)/15,(Skills!Y15*(1+Inputs!$B$33/100))/Skills!D15)))/100))*B885*I855)</f>
        <v/>
      </c>
      <c r="L855">
        <f>K855*(MIN(Inputs!$B$21+((C874=TRUE)*(F874-Calc!F24)),Inputs!$B$22+((C879=TRUE)*(F879-Calc!F29)))/100+(Inputs!$B$22+((C879=TRUE)*(F879-Calc!F29)))/100)/2</f>
        <v/>
      </c>
      <c r="M855">
        <f>L855*(1+(Inputs!$B$9+((C876=TRUE)*(F876-Calc!F26))+B890)/100)</f>
        <v/>
      </c>
      <c r="N855">
        <f>L855*(1-MIN((Inputs!$B$8+((C875=TRUE)*(F875-Calc!F25))+B883),100)/100)+M855*(MIN((Inputs!$B$8+((C875=TRUE)*(F875-Calc!F25))+B883),100)/100)</f>
        <v/>
      </c>
      <c r="O855">
        <f>IF(C855,H855*N855*IF(AND(Inputs!$B$4&lt;&gt;"pvp",Inputs!$B$35&gt;0),((Skills!G5*((R855-1)*IF(Skills!H5&gt;0,Skills!I5/Skills!H5,1)+IF(Skills!H5&gt;0,MIN(Skills!I5,MAX(0,Inputs!$B$35-((R855-1)*IF(Inputs!$B$4="pvp",15,MAX(0.1,Skills!D5-IF(Skills!E5=TRUE,Inputs!$B$31,0))))))/Skills!H5,1)))/Inputs!$B$35),G855*Q855)*IF(Inputs!$B$4="pvp",1,(1-Summary!$B$55)*(1)+Summary!$B$55*(MIN(Skills!W5,Inputs!$B$37))),0)</f>
        <v/>
      </c>
      <c r="P855">
        <f>IF(B895=0,0,O855/B895)</f>
        <v/>
      </c>
      <c r="Q855">
        <f>IFERROR(1/IF(Inputs!$B$4="pvp",15,MAX(0.1,Skills!D5-IF(Skills!E5=TRUE,Inputs!$B$31,0))),0)</f>
        <v/>
      </c>
      <c r="R855">
        <f>IF(AND(Inputs!$B$4&lt;&gt;"pvp",Inputs!$B$35&gt;0),(INT(Inputs!$B$35/IF(Inputs!$B$4="pvp",15,MAX(0.1,Skills!D5-IF(Skills!E5=TRUE,Inputs!$B$31,0))))+1),0)</f>
        <v/>
      </c>
      <c r="S855">
        <f>IFERROR(O855/N855,0)</f>
        <v/>
      </c>
    </row>
    <row r="856">
      <c r="A856">
        <f>Skills!A6</f>
        <v/>
      </c>
      <c r="B856">
        <f>Skills!B6</f>
        <v/>
      </c>
      <c r="C856">
        <f>Inputs!$B$3&gt;=69</f>
        <v/>
      </c>
      <c r="D856">
        <f>IF(Skills!C6=1,60+Inputs!$B$24+Inputs!$B$28,IF(Skills!C6=2,90+(Inputs!$B$25+1)+Inputs!$B$28,IF(Skills!C6=3,120+Inputs!$B$26+Inputs!$B$28,MAX(0,(Inputs!$B$3-100)*3)+Inputs!$B$27+Inputs!$B$28)))</f>
        <v/>
      </c>
      <c r="E856">
        <f>INDEX(FactorTable!$B$2:$Y$301, MATCH(ROUND(MIN(300,MAX(1,D856)),0), FactorTable!$A$2:$A$301,0), Skills!M6+1)</f>
        <v/>
      </c>
      <c r="F856">
        <f>IF(Skills!N6=TRUE,(Skills!L6/10)*(E856/1000),Skills!L6/10)+Skills!O6</f>
        <v/>
      </c>
      <c r="G856">
        <f>Skills!G6*IF(Skills!H6&gt;0,Skills!I6/Skills!H6,1)</f>
        <v/>
      </c>
      <c r="H856">
        <f>1-(1-Skills!J6/100)^Skills!K6</f>
        <v/>
      </c>
      <c r="I856" t="inlineStr">
        <is>
          <t>1</t>
        </is>
      </c>
      <c r="J856">
        <f>(Inputs!$B$5*(1+Inputs!$B$6/100))*(F856/100)</f>
        <v/>
      </c>
      <c r="K856">
        <f>J856*(1+((Inputs!$B$11*(1+Inputs!$B$12/100))*0.01+Inputs!$B$13*0.0025)/100)*(1+Inputs!$B$14/100)*(1+IF(Inputs!$B$4="pvp",0,(1-Summary!$B$55)*(Inputs!$B$19+0+Skills!P6+B884)+Summary!$B$55*(Inputs!$B$20+Skills!Q6+B884))/100)*(1+Inputs!$B$15/100)*(5000/(6000+Inputs!$B$7*(1-Inputs!$B$18/100)))*(1+(Inputs!$B$23+((C880=TRUE)*(F880-Calc!F30)))/100)*(1+1.0*IF(C868=TRUE,F868,0)/100)*(1+(IF(Skills!A6="CRUEL_STAB",Inputs!$B$16+((C877=TRUE)*(F877-Calc!F27)),Inputs!$B$17+((C878=TRUE)*(F878-Calc!F28))))/100)*(((1+(((C871=TRUE)*F871*IF(AND(Inputs!$B$4&lt;&gt;"pvp",Inputs!$B$35&gt;0),(((S871-1)*(Skills!Y21*(1+Inputs!$B$33/100))+MIN((Skills!Y21*(1+Inputs!$B$33/100)),MAX(0,Inputs!$B$35-((S871-1)*Skills!D21))))/Inputs!$B$35),IF(Inputs!$B$4="pvp",MIN((Skills!Y21*(1+Inputs!$B$33/100)),15)/15,(Skills!Y21*(1+Inputs!$B$33/100))/Skills!D21)))+((C873=TRUE)*(F873-Calc!F23))+((C867=TRUE)*(F867-Calc!F17)))/100)*(1+((C860=TRUE)*F860*IF(AND(Inputs!$B$4&lt;&gt;"pvp",Inputs!$B$35&gt;0),(((S860-1)*(Skills!Y10*(1+Inputs!$B$33/100))+MIN((Skills!Y10*(1+Inputs!$B$33/100)),MAX(0,Inputs!$B$35-((S860-1)*Skills!D10))))/Inputs!$B$35),IF(Inputs!$B$4="pvp",MIN((Skills!Y10*(1+Inputs!$B$33/100)),15)/15,(Skills!Y10*(1+Inputs!$B$33/100))/Skills!D10)))/100)*(1+((C865=TRUE)*F865*IF(AND(Inputs!$B$4&lt;&gt;"pvp",Inputs!$B$35&gt;0),(((S865-1)*(Skills!Y15*(1+Inputs!$B$33/100))+MIN((Skills!Y15*(1+Inputs!$B$33/100)),MAX(0,Inputs!$B$35-((S865-1)*Skills!D15))))/Inputs!$B$35),IF(Inputs!$B$4="pvp",MIN((Skills!Y15*(1+Inputs!$B$33/100)),15)/15,(Skills!Y15*(1+Inputs!$B$33/100))/Skills!D15)))/100))*B885*I856)</f>
        <v/>
      </c>
      <c r="L856">
        <f>K856*(MIN(Inputs!$B$21+((C874=TRUE)*(F874-Calc!F24)),Inputs!$B$22+((C879=TRUE)*(F879-Calc!F29)))/100+(Inputs!$B$22+((C879=TRUE)*(F879-Calc!F29)))/100)/2</f>
        <v/>
      </c>
      <c r="M856">
        <f>L856*(1+(Inputs!$B$9+((C876=TRUE)*(F876-Calc!F26))+B890)/100)</f>
        <v/>
      </c>
      <c r="N856">
        <f>L856*(1-MIN((Inputs!$B$8+((C875=TRUE)*(F875-Calc!F25))+B883),100)/100)+M856*(MIN((Inputs!$B$8+((C875=TRUE)*(F875-Calc!F25))+B883),100)/100)</f>
        <v/>
      </c>
      <c r="O856">
        <f>IF(C856,H856*N856*IF(AND(Inputs!$B$4&lt;&gt;"pvp",Inputs!$B$35&gt;0),((Skills!G6*((R856-1)*IF(Skills!H6&gt;0,Skills!I6/Skills!H6,1)+IF(Skills!H6&gt;0,MIN(Skills!I6,MAX(0,Inputs!$B$35-((R856-1)*IF(Inputs!$B$4="pvp",15,MAX(0.1,Skills!D6-IF(Skills!E6=TRUE,Inputs!$B$31,0))))))/Skills!H6,1)))/Inputs!$B$35),G856*Q856)*IF(Inputs!$B$4="pvp",1,(1-Summary!$B$55)*(1)+Summary!$B$55*(MIN(Skills!W6,Inputs!$B$37))),0)</f>
        <v/>
      </c>
      <c r="P856">
        <f>IF(B895=0,0,O856/B895)</f>
        <v/>
      </c>
      <c r="Q856">
        <f>IFERROR(1/IF(Inputs!$B$4="pvp",15,MAX(0.1,Skills!D6-IF(Skills!E6=TRUE,Inputs!$B$31,0))),0)</f>
        <v/>
      </c>
      <c r="R856">
        <f>IF(AND(Inputs!$B$4&lt;&gt;"pvp",Inputs!$B$35&gt;0),(INT(Inputs!$B$35/IF(Inputs!$B$4="pvp",15,MAX(0.1,Skills!D6-IF(Skills!E6=TRUE,Inputs!$B$31,0))))+1),0)</f>
        <v/>
      </c>
      <c r="S856">
        <f>IFERROR(O856/N856,0)</f>
        <v/>
      </c>
    </row>
    <row r="857">
      <c r="A857">
        <f>Skills!A7</f>
        <v/>
      </c>
      <c r="B857">
        <f>Skills!B7</f>
        <v/>
      </c>
      <c r="C857">
        <f>Inputs!$B$3&gt;=60</f>
        <v/>
      </c>
      <c r="D857">
        <f>IF(Skills!C7=1,60+Inputs!$B$24+Inputs!$B$28,IF(Skills!C7=2,90+(Inputs!$B$25+1)+Inputs!$B$28,IF(Skills!C7=3,120+Inputs!$B$26+Inputs!$B$28,MAX(0,(Inputs!$B$3-100)*3)+Inputs!$B$27+Inputs!$B$28)))</f>
        <v/>
      </c>
      <c r="E857">
        <f>INDEX(FactorTable!$B$2:$Y$301, MATCH(ROUND(MIN(300,MAX(1,D857)),0), FactorTable!$A$2:$A$301,0), Skills!M7+1)</f>
        <v/>
      </c>
      <c r="F857">
        <f>IF(Skills!N7=TRUE,(Skills!L7/10)*(E857/1000),Skills!L7/10)+Skills!O7</f>
        <v/>
      </c>
      <c r="G857">
        <f>Skills!G7*IF(Skills!H7&gt;0,Skills!I7/Skills!H7,1)</f>
        <v/>
      </c>
      <c r="H857">
        <f>1-(1-Skills!J7/100)^Skills!K7</f>
        <v/>
      </c>
      <c r="I857" t="inlineStr">
        <is>
          <t>1</t>
        </is>
      </c>
      <c r="J857" t="inlineStr"/>
      <c r="K857" t="inlineStr"/>
      <c r="L857" t="inlineStr"/>
      <c r="M857" t="inlineStr"/>
      <c r="N857" t="inlineStr"/>
      <c r="O857" t="n">
        <v>0</v>
      </c>
      <c r="P857">
        <f>IF(B895=0,0,O857/B895)</f>
        <v/>
      </c>
      <c r="Q857" t="n">
        <v>0</v>
      </c>
      <c r="R857" t="n">
        <v>0</v>
      </c>
      <c r="S857">
        <f>IFERROR(O857/N857,0)</f>
        <v/>
      </c>
    </row>
    <row r="858">
      <c r="A858">
        <f>Skills!A8</f>
        <v/>
      </c>
      <c r="B858">
        <f>Skills!B8</f>
        <v/>
      </c>
      <c r="C858">
        <f>Inputs!$B$3&gt;=72</f>
        <v/>
      </c>
      <c r="D858">
        <f>IF(Skills!C8=1,60+Inputs!$B$24+Inputs!$B$28,IF(Skills!C8=2,90+(Inputs!$B$25+1)+Inputs!$B$28,IF(Skills!C8=3,120+Inputs!$B$26+Inputs!$B$28,MAX(0,(Inputs!$B$3-100)*3)+Inputs!$B$27+Inputs!$B$28)))</f>
        <v/>
      </c>
      <c r="E858">
        <f>INDEX(FactorTable!$B$2:$Y$301, MATCH(ROUND(MIN(300,MAX(1,D858)),0), FactorTable!$A$2:$A$301,0), Skills!M8+1)</f>
        <v/>
      </c>
      <c r="F858">
        <f>IF(Skills!N8=TRUE,(Skills!L8/10)*(E858/1000),Skills!L8/10)+Skills!O8</f>
        <v/>
      </c>
      <c r="G858">
        <f>Skills!G8*IF(Skills!H8&gt;0,Skills!I8/Skills!H8,1)</f>
        <v/>
      </c>
      <c r="H858">
        <f>1-(1-Skills!J8/100)^Skills!K8</f>
        <v/>
      </c>
      <c r="I858" t="inlineStr">
        <is>
          <t>1</t>
        </is>
      </c>
      <c r="J858">
        <f>(Inputs!$B$5*(1+Inputs!$B$6/100))*(F858/100)</f>
        <v/>
      </c>
      <c r="K858">
        <f>J858*(1+((Inputs!$B$11*(1+Inputs!$B$12/100))*0.01+Inputs!$B$13*0.0025)/100)*(1+Inputs!$B$14/100)*(1+IF(Inputs!$B$4="pvp",0,(1-Summary!$B$55)*(Inputs!$B$19+0+Skills!P8+B884)+Summary!$B$55*(Inputs!$B$20+Skills!Q8+B884))/100)*(1+Inputs!$B$15/100)*(5000/(6000+Inputs!$B$7*(1-Inputs!$B$18/100)))*(1+(Inputs!$B$23+((C880=TRUE)*(F880-Calc!F30)))/100)*(1+3.3333333333333335*IF(C868=TRUE,F868,0)/100)*(1+(IF(Skills!A8="CRUEL_STAB",Inputs!$B$16+((C877=TRUE)*(F877-Calc!F27)),Inputs!$B$17+((C878=TRUE)*(F878-Calc!F28))))/100)*(((1+(((C871=TRUE)*F871*IF(AND(Inputs!$B$4&lt;&gt;"pvp",Inputs!$B$35&gt;0),(((S871-1)*(Skills!Y21*(1+Inputs!$B$33/100))+MIN((Skills!Y21*(1+Inputs!$B$33/100)),MAX(0,Inputs!$B$35-((S871-1)*Skills!D21))))/Inputs!$B$35),IF(Inputs!$B$4="pvp",MIN((Skills!Y21*(1+Inputs!$B$33/100)),15)/15,(Skills!Y21*(1+Inputs!$B$33/100))/Skills!D21)))+((C873=TRUE)*(F873-Calc!F23))+((C867=TRUE)*(F867-Calc!F17)))/100)*(1+((C860=TRUE)*F860*IF(AND(Inputs!$B$4&lt;&gt;"pvp",Inputs!$B$35&gt;0),(((S860-1)*(Skills!Y10*(1+Inputs!$B$33/100))+MIN((Skills!Y10*(1+Inputs!$B$33/100)),MAX(0,Inputs!$B$35-((S860-1)*Skills!D10))))/Inputs!$B$35),IF(Inputs!$B$4="pvp",MIN((Skills!Y10*(1+Inputs!$B$33/100)),15)/15,(Skills!Y10*(1+Inputs!$B$33/100))/Skills!D10)))/100)*(1+((C865=TRUE)*F865*IF(AND(Inputs!$B$4&lt;&gt;"pvp",Inputs!$B$35&gt;0),(((S865-1)*(Skills!Y15*(1+Inputs!$B$33/100))+MIN((Skills!Y15*(1+Inputs!$B$33/100)),MAX(0,Inputs!$B$35-((S865-1)*Skills!D15))))/Inputs!$B$35),IF(Inputs!$B$4="pvp",MIN((Skills!Y15*(1+Inputs!$B$33/100)),15)/15,(Skills!Y15*(1+Inputs!$B$33/100))/Skills!D15)))/100))*B885*I858)</f>
        <v/>
      </c>
      <c r="L858">
        <f>K858*(MIN(Inputs!$B$21+((C874=TRUE)*(F874-Calc!F24)),Inputs!$B$22+((C879=TRUE)*(F879-Calc!F29)))/100+(Inputs!$B$22+((C879=TRUE)*(F879-Calc!F29)))/100)/2</f>
        <v/>
      </c>
      <c r="M858">
        <f>L858*(1+(Inputs!$B$9+((C876=TRUE)*(F876-Calc!F26))+B890)/100)</f>
        <v/>
      </c>
      <c r="N858">
        <f>L858*(1-MIN((Inputs!$B$8+((C875=TRUE)*(F875-Calc!F25))+B883),100)/100)+M858*(MIN((Inputs!$B$8+((C875=TRUE)*(F875-Calc!F25))+B883),100)/100)</f>
        <v/>
      </c>
      <c r="O858">
        <f>IF(C858,H858*N858*IF(AND(Inputs!$B$4&lt;&gt;"pvp",Inputs!$B$35&gt;0),((Skills!G8*((R858-1)*IF(Skills!H8&gt;0,Skills!I8/Skills!H8,1)+IF(Skills!H8&gt;0,MIN(Skills!I8,MAX(0,Inputs!$B$35-((R858-1)*IF(Inputs!$B$4="pvp",15,MAX(0.1,Skills!D8-IF(Skills!E8=TRUE,Inputs!$B$31,0))))))/Skills!H8,1)))/Inputs!$B$35),G858*Q858)*IF(Inputs!$B$4="pvp",1,(1-Summary!$B$55)*(1)+Summary!$B$55*(MIN(Skills!W8,Inputs!$B$37))),0)</f>
        <v/>
      </c>
      <c r="P858">
        <f>IF(B895=0,0,O858/B895)</f>
        <v/>
      </c>
      <c r="Q858">
        <f>IFERROR(1/IF(Inputs!$B$4="pvp",15,MAX(0.1,Skills!D8-IF(Skills!E8=TRUE,Inputs!$B$31,0))),0)</f>
        <v/>
      </c>
      <c r="R858">
        <f>IF(AND(Inputs!$B$4&lt;&gt;"pvp",Inputs!$B$35&gt;0),(INT(Inputs!$B$35/IF(Inputs!$B$4="pvp",15,MAX(0.1,Skills!D8-IF(Skills!E8=TRUE,Inputs!$B$31,0))))+1),0)</f>
        <v/>
      </c>
      <c r="S858">
        <f>IFERROR(O858/N858,0)</f>
        <v/>
      </c>
    </row>
    <row r="859">
      <c r="A859">
        <f>Skills!A9</f>
        <v/>
      </c>
      <c r="B859">
        <f>Skills!B9</f>
        <v/>
      </c>
      <c r="C859">
        <f>Inputs!$B$3&gt;=117</f>
        <v/>
      </c>
      <c r="D859">
        <f>IF(Skills!C9=1,60+Inputs!$B$24+Inputs!$B$28,IF(Skills!C9=2,90+(Inputs!$B$25+1)+Inputs!$B$28,IF(Skills!C9=3,120+Inputs!$B$26+Inputs!$B$28,MAX(0,(Inputs!$B$3-100)*3)+Inputs!$B$27+Inputs!$B$28)))</f>
        <v/>
      </c>
      <c r="E859">
        <f>INDEX(FactorTable!$B$2:$Y$301, MATCH(ROUND(MIN(300,MAX(1,D859)),0), FactorTable!$A$2:$A$301,0), Skills!M9+1)</f>
        <v/>
      </c>
      <c r="F859">
        <f>IF(Skills!N9=TRUE,(Skills!L9/10)*(E859/1000),Skills!L9/10)+Skills!O9</f>
        <v/>
      </c>
      <c r="G859">
        <f>Skills!G9*IF(Skills!H9&gt;0,Skills!I9/Skills!H9,1)</f>
        <v/>
      </c>
      <c r="H859">
        <f>1-(1-Skills!J9/100)^Skills!K9</f>
        <v/>
      </c>
      <c r="I859" t="inlineStr">
        <is>
          <t>1</t>
        </is>
      </c>
      <c r="J859">
        <f>(Inputs!$B$5*(1+Inputs!$B$6/100))*(F859/100)</f>
        <v/>
      </c>
      <c r="K859">
        <f>J859*(1+((Inputs!$B$11*(1+Inputs!$B$12/100))*0.01+Inputs!$B$13*0.0025)/100)*(1+Inputs!$B$14/100)*(1+IF(Inputs!$B$4="pvp",0,(1-Summary!$B$55)*(Inputs!$B$19+0+Skills!P9+B884)+Summary!$B$55*(Inputs!$B$20+Skills!Q9+B884))/100)*(1+Inputs!$B$15/100)*(5000/(6000+Inputs!$B$7*(1-Inputs!$B$18/100)))*(1+(Inputs!$B$23+((C880=TRUE)*(F880-Calc!F30)))/100)*(1+(IF(Skills!A9="CRUEL_STAB",Inputs!$B$16+((C877=TRUE)*(F877-Calc!F27)),Inputs!$B$17+((C878=TRUE)*(F878-Calc!F28))))/100)*(((1+(((C871=TRUE)*F871*IF(AND(Inputs!$B$4&lt;&gt;"pvp",Inputs!$B$35&gt;0),(((S871-1)*(Skills!Y21*(1+Inputs!$B$33/100))+MIN((Skills!Y21*(1+Inputs!$B$33/100)),MAX(0,Inputs!$B$35-((S871-1)*Skills!D21))))/Inputs!$B$35),IF(Inputs!$B$4="pvp",MIN((Skills!Y21*(1+Inputs!$B$33/100)),15)/15,(Skills!Y21*(1+Inputs!$B$33/100))/Skills!D21)))+((C873=TRUE)*(F873-Calc!F23))+((C867=TRUE)*(F867-Calc!F17)))/100)*(1+((C860=TRUE)*F860*IF(AND(Inputs!$B$4&lt;&gt;"pvp",Inputs!$B$35&gt;0),(((S860-1)*(Skills!Y10*(1+Inputs!$B$33/100))+MIN((Skills!Y10*(1+Inputs!$B$33/100)),MAX(0,Inputs!$B$35-((S860-1)*Skills!D10))))/Inputs!$B$35),IF(Inputs!$B$4="pvp",MIN((Skills!Y10*(1+Inputs!$B$33/100)),15)/15,(Skills!Y10*(1+Inputs!$B$33/100))/Skills!D10)))/100)*(1+((C865=TRUE)*F865*IF(AND(Inputs!$B$4&lt;&gt;"pvp",Inputs!$B$35&gt;0),(((S865-1)*(Skills!Y15*(1+Inputs!$B$33/100))+MIN((Skills!Y15*(1+Inputs!$B$33/100)),MAX(0,Inputs!$B$35-((S865-1)*Skills!D15))))/Inputs!$B$35),IF(Inputs!$B$4="pvp",MIN((Skills!Y15*(1+Inputs!$B$33/100)),15)/15,(Skills!Y15*(1+Inputs!$B$33/100))/Skills!D15)))/100))*B885*I859)</f>
        <v/>
      </c>
      <c r="L859">
        <f>K859*(MIN(Inputs!$B$21+((C874=TRUE)*(F874-Calc!F24)),Inputs!$B$22+((C879=TRUE)*(F879-Calc!F29)))/100+(Inputs!$B$22+((C879=TRUE)*(F879-Calc!F29)))/100)/2</f>
        <v/>
      </c>
      <c r="M859">
        <f>L859*(1+(Inputs!$B$9+((C876=TRUE)*(F876-Calc!F26))+B890)/100)</f>
        <v/>
      </c>
      <c r="N859">
        <f>L859*(1-MIN((Inputs!$B$8+((C875=TRUE)*(F875-Calc!F25))+B883),100)/100)+M859*(MIN((Inputs!$B$8+((C875=TRUE)*(F875-Calc!F25))+B883),100)/100)</f>
        <v/>
      </c>
      <c r="O859">
        <f>IF(C859,0.2*SUMPRODUCT((Skills!Z2:Z30=TRUE)*(C852:C880=TRUE)*S852:S880)*N859,0)</f>
        <v/>
      </c>
      <c r="P859">
        <f>IF(B895=0,0,O859/B895)</f>
        <v/>
      </c>
      <c r="Q859" t="n">
        <v>0</v>
      </c>
      <c r="R859" t="n">
        <v>0</v>
      </c>
      <c r="S859" t="n">
        <v>0</v>
      </c>
    </row>
    <row r="860">
      <c r="A860">
        <f>Skills!A10</f>
        <v/>
      </c>
      <c r="B860">
        <f>Skills!B10</f>
        <v/>
      </c>
      <c r="C860">
        <f>Inputs!$B$3&gt;=74</f>
        <v/>
      </c>
      <c r="D860">
        <f>IF(Skills!C10=1,60+Inputs!$B$24+Inputs!$B$28,IF(Skills!C10=2,90+(Inputs!$B$25+1)+Inputs!$B$28,IF(Skills!C10=3,120+Inputs!$B$26+Inputs!$B$28,MAX(0,(Inputs!$B$3-100)*3)+Inputs!$B$27+Inputs!$B$28)))</f>
        <v/>
      </c>
      <c r="E860">
        <f>INDEX(FactorTable!$B$2:$Y$301, MATCH(ROUND(MIN(300,MAX(1,D860)),0), FactorTable!$A$2:$A$301,0), Skills!M10+1)</f>
        <v/>
      </c>
      <c r="F860">
        <f>IF(Skills!N10=TRUE,(Skills!L10/10)*(E860/1000),Skills!L10/10)+Skills!O10</f>
        <v/>
      </c>
      <c r="G860">
        <f>Skills!G10*IF(Skills!H10&gt;0,Skills!I10/Skills!H10,1)</f>
        <v/>
      </c>
      <c r="H860">
        <f>1-(1-Skills!J10/100)^Skills!K10</f>
        <v/>
      </c>
      <c r="I860" t="inlineStr">
        <is>
          <t>1</t>
        </is>
      </c>
      <c r="J860" t="inlineStr"/>
      <c r="K860" t="inlineStr"/>
      <c r="L860" t="inlineStr"/>
      <c r="M860" t="inlineStr"/>
      <c r="N860" t="inlineStr"/>
      <c r="O860" t="n">
        <v>0</v>
      </c>
      <c r="P860">
        <f>IF(B895=0,0,O860/B895)</f>
        <v/>
      </c>
      <c r="Q860">
        <f>IFERROR(1/IF(Inputs!$B$4="pvp",15,MAX(0.1,Skills!D10-IF(Skills!E10=TRUE,Inputs!$B$31,0))),0)</f>
        <v/>
      </c>
      <c r="R860">
        <f>IF(AND(Inputs!$B$4&lt;&gt;"pvp",Inputs!$B$35&gt;0),(INT(Inputs!$B$35/IF(Inputs!$B$4="pvp",15,MAX(0.1,Skills!D10-IF(Skills!E10=TRUE,Inputs!$B$31,0))))+1),0)</f>
        <v/>
      </c>
      <c r="S860">
        <f>IFERROR(O860/N860,0)</f>
        <v/>
      </c>
    </row>
    <row r="861">
      <c r="A861">
        <f>Skills!A11</f>
        <v/>
      </c>
      <c r="B861">
        <f>Skills!B11</f>
        <v/>
      </c>
      <c r="C861">
        <f>Inputs!$B$3&gt;=103</f>
        <v/>
      </c>
      <c r="D861">
        <f>IF(Skills!C11=1,60+Inputs!$B$24+Inputs!$B$28,IF(Skills!C11=2,90+(Inputs!$B$25+1)+Inputs!$B$28,IF(Skills!C11=3,120+Inputs!$B$26+Inputs!$B$28,MAX(0,(Inputs!$B$3-100)*3)+Inputs!$B$27+Inputs!$B$28)))</f>
        <v/>
      </c>
      <c r="E861">
        <f>INDEX(FactorTable!$B$2:$Y$301, MATCH(ROUND(MIN(300,MAX(1,D861)),0), FactorTable!$A$2:$A$301,0), Skills!M11+1)</f>
        <v/>
      </c>
      <c r="F861">
        <f>(Skills!L11/10)*(E861/1000)+IF(Inputs!$B$3&gt;=134,50,0)+0.5*(30000/10)*(INDEX(FactorTable!$B$2:$Y$301, MATCH(ROUND(MIN(300,MAX(1,D861)),0), FactorTable!$A$2:$A$301,0), 13)/1000)*B893</f>
        <v/>
      </c>
      <c r="G861">
        <f>Skills!G11*IF(Skills!H11&gt;0,Skills!I11/Skills!H11,1)</f>
        <v/>
      </c>
      <c r="H861">
        <f>1-(1-Skills!J11/100)^Skills!K11</f>
        <v/>
      </c>
      <c r="I861" t="inlineStr">
        <is>
          <t>1</t>
        </is>
      </c>
      <c r="J861">
        <f>(Inputs!$B$5*(1+Inputs!$B$6/100))*(F861/100)</f>
        <v/>
      </c>
      <c r="K861">
        <f>J861*(1+((Inputs!$B$11*(1+Inputs!$B$12/100))*0.01+Inputs!$B$13*0.0025)/100)*(1+Inputs!$B$14/100)*(1+IF(Inputs!$B$4="pvp",0,(1-Summary!$B$55)*(Inputs!$B$19+0+Skills!P11+B884)+Summary!$B$55*(Inputs!$B$20+Skills!Q11+B884))/100)*(1+Inputs!$B$15/100)*(5000/(6000+Inputs!$B$7*(1-Inputs!$B$18/100)))*(1+(Inputs!$B$23+((C880=TRUE)*(F880-Calc!F30)))/100)*(1+(IF(Skills!A11="CRUEL_STAB",Inputs!$B$16+((C877=TRUE)*(F877-Calc!F27)),Inputs!$B$17+((C878=TRUE)*(F878-Calc!F28))))/100)*(((1+(((C871=TRUE)*F871*IF(AND(Inputs!$B$4&lt;&gt;"pvp",Inputs!$B$35&gt;0),(((S871-1)*(Skills!Y21*(1+Inputs!$B$33/100))+MIN((Skills!Y21*(1+Inputs!$B$33/100)),MAX(0,Inputs!$B$35-((S871-1)*Skills!D21))))/Inputs!$B$35),IF(Inputs!$B$4="pvp",MIN((Skills!Y21*(1+Inputs!$B$33/100)),15)/15,(Skills!Y21*(1+Inputs!$B$33/100))/Skills!D21)))+((C873=TRUE)*(F873-Calc!F23))+((C867=TRUE)*(F867-Calc!F17)))/100)*(1+((C860=TRUE)*F860*IF(AND(Inputs!$B$4&lt;&gt;"pvp",Inputs!$B$35&gt;0),(((S860-1)*(Skills!Y10*(1+Inputs!$B$33/100))+MIN((Skills!Y10*(1+Inputs!$B$33/100)),MAX(0,Inputs!$B$35-((S860-1)*Skills!D10))))/Inputs!$B$35),IF(Inputs!$B$4="pvp",MIN((Skills!Y10*(1+Inputs!$B$33/100)),15)/15,(Skills!Y10*(1+Inputs!$B$33/100))/Skills!D10)))/100)*(1+((C865=TRUE)*F865*IF(AND(Inputs!$B$4&lt;&gt;"pvp",Inputs!$B$35&gt;0),(((S865-1)*(Skills!Y15*(1+Inputs!$B$33/100))+MIN((Skills!Y15*(1+Inputs!$B$33/100)),MAX(0,Inputs!$B$35-((S865-1)*Skills!D15))))/Inputs!$B$35),IF(Inputs!$B$4="pvp",MIN((Skills!Y15*(1+Inputs!$B$33/100)),15)/15,(Skills!Y15*(1+Inputs!$B$33/100))/Skills!D15)))/100))*B885*I861)</f>
        <v/>
      </c>
      <c r="L861">
        <f>K861*(MIN(Inputs!$B$21+((C874=TRUE)*(F874-Calc!F24)),Inputs!$B$22+((C879=TRUE)*(F879-Calc!F29)))/100+(Inputs!$B$22+((C879=TRUE)*(F879-Calc!F29)))/100)/2</f>
        <v/>
      </c>
      <c r="M861">
        <f>L861*(1+(Inputs!$B$9+((C876=TRUE)*(F876-Calc!F26))+B890)/100)</f>
        <v/>
      </c>
      <c r="N861">
        <f>L861*(1-MIN((Inputs!$B$8+((C875=TRUE)*(F875-Calc!F25))+B883),100)/100)+M861*(MIN((Inputs!$B$8+((C875=TRUE)*(F875-Calc!F25))+B883),100)/100)</f>
        <v/>
      </c>
      <c r="O861">
        <f>IF(C861,H861*N861*IF(AND(Inputs!$B$4&lt;&gt;"pvp",Inputs!$B$35&gt;0),((Skills!G11*((R861-1)*IF(Skills!H11&gt;0,Skills!I11/Skills!H11,1)+IF(Skills!H11&gt;0,MIN(Skills!I11,MAX(0,Inputs!$B$35-((R861-1)*IF(Inputs!$B$4="pvp",15,MAX(0.1,Skills!D11-IF(Skills!E11=TRUE,Inputs!$B$31,0))))))/Skills!H11,1)))/Inputs!$B$35),G861*Q861)*IF(Inputs!$B$4="pvp",1,(1-Summary!$B$55)*(1)+Summary!$B$55*(MIN(Skills!W11,Inputs!$B$37))),0)</f>
        <v/>
      </c>
      <c r="P861">
        <f>IF(B895=0,0,O861/B895)</f>
        <v/>
      </c>
      <c r="Q861">
        <f>IFERROR(1/IF(Inputs!$B$4="pvp",15,MAX(0.1,Skills!D11-IF(Skills!E11=TRUE,Inputs!$B$31,0))),0)</f>
        <v/>
      </c>
      <c r="R861">
        <f>IF(AND(Inputs!$B$4&lt;&gt;"pvp",Inputs!$B$35&gt;0),(INT(Inputs!$B$35/IF(Inputs!$B$4="pvp",15,MAX(0.1,Skills!D11-IF(Skills!E11=TRUE,Inputs!$B$31,0))))+1),0)</f>
        <v/>
      </c>
      <c r="S861">
        <f>IFERROR(O861/N861,0)</f>
        <v/>
      </c>
    </row>
    <row r="862">
      <c r="A862">
        <f>Skills!A12</f>
        <v/>
      </c>
      <c r="B862">
        <f>Skills!B12</f>
        <v/>
      </c>
      <c r="C862">
        <f>Inputs!$B$3&gt;=105</f>
        <v/>
      </c>
      <c r="D862">
        <f>IF(Skills!C12=1,60+Inputs!$B$24+Inputs!$B$28,IF(Skills!C12=2,90+(Inputs!$B$25+1)+Inputs!$B$28,IF(Skills!C12=3,120+Inputs!$B$26+Inputs!$B$28,MAX(0,(Inputs!$B$3-100)*3)+Inputs!$B$27+Inputs!$B$28)))</f>
        <v/>
      </c>
      <c r="E862">
        <f>INDEX(FactorTable!$B$2:$Y$301, MATCH(ROUND(MIN(300,MAX(1,D862)),0), FactorTable!$A$2:$A$301,0), Skills!M12+1)</f>
        <v/>
      </c>
      <c r="F862">
        <f>IF(Skills!N12=TRUE,(Skills!L12/10)*(E862/1000),Skills!L12/10)+Skills!O12</f>
        <v/>
      </c>
      <c r="G862">
        <f>Skills!G12*IF(Skills!H12&gt;0,Skills!I12/Skills!H12,1)</f>
        <v/>
      </c>
      <c r="H862">
        <f>1-(1-Skills!J12/100)^Skills!K12</f>
        <v/>
      </c>
      <c r="I862" t="inlineStr">
        <is>
          <t>1</t>
        </is>
      </c>
      <c r="J862">
        <f>(Inputs!$B$5*(1+Inputs!$B$6/100))*(F862/100)</f>
        <v/>
      </c>
      <c r="K862">
        <f>J862*(1+((Inputs!$B$11*(1+Inputs!$B$12/100))*0.01+Inputs!$B$13*0.0025)/100)*(1+Inputs!$B$14/100)*(1+IF(Inputs!$B$4="pvp",0,(1-Summary!$B$55)*(Inputs!$B$19+0+Skills!P12+B884)+Summary!$B$55*(Inputs!$B$20+Skills!Q12+B884))/100)*(1+Inputs!$B$15/100)*(5000/(6000+Inputs!$B$7*(1-Inputs!$B$18/100)))*(1+(Inputs!$B$23+((C880=TRUE)*(F880-Calc!F30)))/100)*(1+(IF(Skills!A12="CRUEL_STAB",Inputs!$B$16+((C877=TRUE)*(F877-Calc!F27)),Inputs!$B$17+((C878=TRUE)*(F878-Calc!F28))))/100)*(((1+(((C871=TRUE)*F871*IF(AND(Inputs!$B$4&lt;&gt;"pvp",Inputs!$B$35&gt;0),(((S871-1)*(Skills!Y21*(1+Inputs!$B$33/100))+MIN((Skills!Y21*(1+Inputs!$B$33/100)),MAX(0,Inputs!$B$35-((S871-1)*Skills!D21))))/Inputs!$B$35),IF(Inputs!$B$4="pvp",MIN((Skills!Y21*(1+Inputs!$B$33/100)),15)/15,(Skills!Y21*(1+Inputs!$B$33/100))/Skills!D21)))+((C873=TRUE)*(F873-Calc!F23))+((C867=TRUE)*(F867-Calc!F17)))/100)*(1+((C860=TRUE)*F860*IF(AND(Inputs!$B$4&lt;&gt;"pvp",Inputs!$B$35&gt;0),(((S860-1)*(Skills!Y10*(1+Inputs!$B$33/100))+MIN((Skills!Y10*(1+Inputs!$B$33/100)),MAX(0,Inputs!$B$35-((S860-1)*Skills!D10))))/Inputs!$B$35),IF(Inputs!$B$4="pvp",MIN((Skills!Y10*(1+Inputs!$B$33/100)),15)/15,(Skills!Y10*(1+Inputs!$B$33/100))/Skills!D10)))/100)*(1+((C865=TRUE)*F865*IF(AND(Inputs!$B$4&lt;&gt;"pvp",Inputs!$B$35&gt;0),(((S865-1)*(Skills!Y15*(1+Inputs!$B$33/100))+MIN((Skills!Y15*(1+Inputs!$B$33/100)),MAX(0,Inputs!$B$35-((S865-1)*Skills!D15))))/Inputs!$B$35),IF(Inputs!$B$4="pvp",MIN((Skills!Y15*(1+Inputs!$B$33/100)),15)/15,(Skills!Y15*(1+Inputs!$B$33/100))/Skills!D15)))/100))*B885*I862)</f>
        <v/>
      </c>
      <c r="L862">
        <f>K862*(MIN(Inputs!$B$21+((C874=TRUE)*(F874-Calc!F24)),Inputs!$B$22+((C879=TRUE)*(F879-Calc!F29)))/100+(Inputs!$B$22+((C879=TRUE)*(F879-Calc!F29)))/100)/2</f>
        <v/>
      </c>
      <c r="M862">
        <f>L862*(1+(Inputs!$B$9+((C876=TRUE)*(F876-Calc!F26))+B890)/100)</f>
        <v/>
      </c>
      <c r="N862">
        <f>L862*(1-MIN((Inputs!$B$8+((C875=TRUE)*(F875-Calc!F25))+B883),100)/100)+M862*(MIN((Inputs!$B$8+((C875=TRUE)*(F875-Calc!F25))+B883),100)/100)</f>
        <v/>
      </c>
      <c r="O862">
        <f>IF(C862,H862*N862*IF(AND(Inputs!$B$4&lt;&gt;"pvp",Inputs!$B$35&gt;0),((Skills!G12*((R862-1)*IF(Skills!H12&gt;0,Skills!I12/Skills!H12,1)+IF(Skills!H12&gt;0,MIN(Skills!I12,MAX(0,Inputs!$B$35-((R862-1)*IF(Inputs!$B$4="pvp",15,MAX(0.1,Skills!D12-IF(Skills!E12=TRUE,Inputs!$B$31,0))))))/Skills!H12,1)))/Inputs!$B$35),G862*Q862)*IF(Inputs!$B$4="pvp",1,(1-Summary!$B$55)*(1)+Summary!$B$55*(MIN(Skills!W12,Inputs!$B$37))),0)</f>
        <v/>
      </c>
      <c r="P862">
        <f>IF(B895=0,0,O862/B895)</f>
        <v/>
      </c>
      <c r="Q862">
        <f>IFERROR(1/IF(Inputs!$B$4="pvp",15,MAX(0.1,Skills!D12-IF(Skills!E12=TRUE,Inputs!$B$31,0))),0)</f>
        <v/>
      </c>
      <c r="R862">
        <f>IF(AND(Inputs!$B$4&lt;&gt;"pvp",Inputs!$B$35&gt;0),(INT(Inputs!$B$35/IF(Inputs!$B$4="pvp",15,MAX(0.1,Skills!D12-IF(Skills!E12=TRUE,Inputs!$B$31,0))))+1),0)</f>
        <v/>
      </c>
      <c r="S862">
        <f>IFERROR(O862/N862,0)</f>
        <v/>
      </c>
    </row>
    <row r="863">
      <c r="A863">
        <f>Skills!A13</f>
        <v/>
      </c>
      <c r="B863">
        <f>Skills!B13</f>
        <v/>
      </c>
      <c r="C863">
        <f>Inputs!$B$3&gt;=105</f>
        <v/>
      </c>
      <c r="D863">
        <f>IF(Skills!C13=1,60+Inputs!$B$24+Inputs!$B$28,IF(Skills!C13=2,90+(Inputs!$B$25+1)+Inputs!$B$28,IF(Skills!C13=3,120+Inputs!$B$26+Inputs!$B$28,MAX(0,(Inputs!$B$3-100)*3)+Inputs!$B$27+Inputs!$B$28)))</f>
        <v/>
      </c>
      <c r="E863">
        <f>INDEX(FactorTable!$B$2:$Y$301, MATCH(ROUND(MIN(300,MAX(1,D863)),0), FactorTable!$A$2:$A$301,0), Skills!M13+1)</f>
        <v/>
      </c>
      <c r="F863">
        <f>IF(Skills!N13=TRUE,(Skills!L13/10)*(E863/1000),Skills!L13/10)+Skills!O13</f>
        <v/>
      </c>
      <c r="G863">
        <f>Skills!G13*IF(Skills!H13&gt;0,Skills!I13/Skills!H13,1)</f>
        <v/>
      </c>
      <c r="H863">
        <f>1-(1-Skills!J13/100)^Skills!K13</f>
        <v/>
      </c>
      <c r="I863" t="inlineStr">
        <is>
          <t>1</t>
        </is>
      </c>
      <c r="J863">
        <f>(Inputs!$B$5*(1+Inputs!$B$6/100))*(F863/100)</f>
        <v/>
      </c>
      <c r="K863">
        <f>J863*(1+((Inputs!$B$11*(1+Inputs!$B$12/100))*0.01+Inputs!$B$13*0.0025)/100)*(1+Inputs!$B$14/100)*(1+IF(Inputs!$B$4="pvp",0,(1-Summary!$B$55)*(Inputs!$B$19+0+Skills!P13+B884)+Summary!$B$55*(Inputs!$B$20+Skills!Q13+B884))/100)*(1+Inputs!$B$15/100)*(5000/(6000+Inputs!$B$7*(1-Inputs!$B$18/100)))*(1+(Inputs!$B$23+((C880=TRUE)*(F880-Calc!F30)))/100)*(1+(IF(Skills!A13="CRUEL_STAB",Inputs!$B$16+((C877=TRUE)*(F877-Calc!F27)),Inputs!$B$17+((C878=TRUE)*(F878-Calc!F28))))/100)*(((1+(((C871=TRUE)*F871*IF(AND(Inputs!$B$4&lt;&gt;"pvp",Inputs!$B$35&gt;0),(((S871-1)*(Skills!Y21*(1+Inputs!$B$33/100))+MIN((Skills!Y21*(1+Inputs!$B$33/100)),MAX(0,Inputs!$B$35-((S871-1)*Skills!D21))))/Inputs!$B$35),IF(Inputs!$B$4="pvp",MIN((Skills!Y21*(1+Inputs!$B$33/100)),15)/15,(Skills!Y21*(1+Inputs!$B$33/100))/Skills!D21)))+((C873=TRUE)*(F873-Calc!F23))+((C867=TRUE)*(F867-Calc!F17)))/100)*(1+((C860=TRUE)*F860*IF(AND(Inputs!$B$4&lt;&gt;"pvp",Inputs!$B$35&gt;0),(((S860-1)*(Skills!Y10*(1+Inputs!$B$33/100))+MIN((Skills!Y10*(1+Inputs!$B$33/100)),MAX(0,Inputs!$B$35-((S860-1)*Skills!D10))))/Inputs!$B$35),IF(Inputs!$B$4="pvp",MIN((Skills!Y10*(1+Inputs!$B$33/100)),15)/15,(Skills!Y10*(1+Inputs!$B$33/100))/Skills!D10)))/100)*(1+((C865=TRUE)*F865*IF(AND(Inputs!$B$4&lt;&gt;"pvp",Inputs!$B$35&gt;0),(((S865-1)*(Skills!Y15*(1+Inputs!$B$33/100))+MIN((Skills!Y15*(1+Inputs!$B$33/100)),MAX(0,Inputs!$B$35-((S865-1)*Skills!D15))))/Inputs!$B$35),IF(Inputs!$B$4="pvp",MIN((Skills!Y15*(1+Inputs!$B$33/100)),15)/15,(Skills!Y15*(1+Inputs!$B$33/100))/Skills!D15)))/100))*B885*I863)</f>
        <v/>
      </c>
      <c r="L863">
        <f>K863*(MIN(Inputs!$B$21+((C874=TRUE)*(F874-Calc!F24)),Inputs!$B$22+((C879=TRUE)*(F879-Calc!F29)))/100+(Inputs!$B$22+((C879=TRUE)*(F879-Calc!F29)))/100)/2</f>
        <v/>
      </c>
      <c r="M863">
        <f>L863*(1+(Inputs!$B$9+((C876=TRUE)*(F876-Calc!F26))+B890)/100)</f>
        <v/>
      </c>
      <c r="N863">
        <f>L863*(1-MIN((Inputs!$B$8+((C875=TRUE)*(F875-Calc!F25))+B883),100)/100)+M863*(MIN((Inputs!$B$8+((C875=TRUE)*(F875-Calc!F25))+B883),100)/100)</f>
        <v/>
      </c>
      <c r="O863">
        <f>IF(C863,H863*N863*IF(AND(Inputs!$B$4&lt;&gt;"pvp",Inputs!$B$35&gt;0),((Skills!G13*((R863-1)*IF(Skills!H13&gt;0,Skills!I13/Skills!H13,1)+IF(Skills!H13&gt;0,MIN(Skills!I13,MAX(0,Inputs!$B$35-((R863-1)*IF(Inputs!$B$4="pvp",15,MAX(0.1,Skills!D13-IF(Skills!E13=TRUE,Inputs!$B$31,0))))))/Skills!H13,1)))/Inputs!$B$35),G863*Q863)*IF(Inputs!$B$4="pvp",1,(1-Summary!$B$55)*(1)+Summary!$B$55*(MIN(Skills!W13,Inputs!$B$37))),0)</f>
        <v/>
      </c>
      <c r="P863">
        <f>IF(B895=0,0,O863/B895)</f>
        <v/>
      </c>
      <c r="Q863">
        <f>IFERROR(1/IF(Inputs!$B$4="pvp",15,MAX(0.1,Skills!D13-IF(Skills!E13=TRUE,Inputs!$B$31,0))),0)</f>
        <v/>
      </c>
      <c r="R863">
        <f>IF(AND(Inputs!$B$4&lt;&gt;"pvp",Inputs!$B$35&gt;0),(INT(Inputs!$B$35/IF(Inputs!$B$4="pvp",15,MAX(0.1,Skills!D13-IF(Skills!E13=TRUE,Inputs!$B$31,0))))+1),0)</f>
        <v/>
      </c>
      <c r="S863">
        <f>IFERROR(O863/N863,0)</f>
        <v/>
      </c>
    </row>
    <row r="864">
      <c r="A864">
        <f>Skills!A14</f>
        <v/>
      </c>
      <c r="B864">
        <f>Skills!B14</f>
        <v/>
      </c>
      <c r="C864">
        <f>Inputs!$B$3&gt;=107</f>
        <v/>
      </c>
      <c r="D864">
        <f>IF(Skills!C14=1,60+Inputs!$B$24+Inputs!$B$28,IF(Skills!C14=2,90+(Inputs!$B$25+1)+Inputs!$B$28,IF(Skills!C14=3,120+Inputs!$B$26+Inputs!$B$28,MAX(0,(Inputs!$B$3-100)*3)+Inputs!$B$27+Inputs!$B$28)))</f>
        <v/>
      </c>
      <c r="E864">
        <f>INDEX(FactorTable!$B$2:$Y$301, MATCH(ROUND(MIN(300,MAX(1,D864)),0), FactorTable!$A$2:$A$301,0), Skills!M14+1)</f>
        <v/>
      </c>
      <c r="F864">
        <f>IF(Skills!N14=TRUE,(Skills!L14/10)*(E864/1000),Skills!L14/10)+Skills!O14</f>
        <v/>
      </c>
      <c r="G864">
        <f>Skills!G14*IF(Skills!H14&gt;0,Skills!I14/Skills!H14,1)</f>
        <v/>
      </c>
      <c r="H864">
        <f>1-(1-Skills!J14/100)^Skills!K14</f>
        <v/>
      </c>
      <c r="I864" t="inlineStr">
        <is>
          <t>1</t>
        </is>
      </c>
      <c r="J864">
        <f>(Inputs!$B$5*(1+Inputs!$B$6/100))*(F864/100)</f>
        <v/>
      </c>
      <c r="K864">
        <f>J864*(1+((Inputs!$B$11*(1+Inputs!$B$12/100))*0.01+Inputs!$B$13*0.0025)/100)*(1+Inputs!$B$14/100)*(1+IF(Inputs!$B$4="pvp",0,(1-Summary!$B$55)*(Inputs!$B$19+0+Skills!P14+B884)+Summary!$B$55*(Inputs!$B$20+Skills!Q14+B884))/100)*(1+Inputs!$B$15/100)*(5000/(6000+Inputs!$B$7*(1-Inputs!$B$18/100)))*(1+(Inputs!$B$23+((C880=TRUE)*(F880-Calc!F30)))/100)*(1+(IF(Skills!A14="CRUEL_STAB",Inputs!$B$16+((C877=TRUE)*(F877-Calc!F27)),Inputs!$B$17+((C878=TRUE)*(F878-Calc!F28))))/100)*(((1+(((C871=TRUE)*F871*IF(AND(Inputs!$B$4&lt;&gt;"pvp",Inputs!$B$35&gt;0),(((S871-1)*(Skills!Y21*(1+Inputs!$B$33/100))+MIN((Skills!Y21*(1+Inputs!$B$33/100)),MAX(0,Inputs!$B$35-((S871-1)*Skills!D21))))/Inputs!$B$35),IF(Inputs!$B$4="pvp",MIN((Skills!Y21*(1+Inputs!$B$33/100)),15)/15,(Skills!Y21*(1+Inputs!$B$33/100))/Skills!D21)))+((C873=TRUE)*(F873-Calc!F23))+((C867=TRUE)*(F867-Calc!F17)))/100)*(1+((C860=TRUE)*F860*IF(AND(Inputs!$B$4&lt;&gt;"pvp",Inputs!$B$35&gt;0),(((S860-1)*(Skills!Y10*(1+Inputs!$B$33/100))+MIN((Skills!Y10*(1+Inputs!$B$33/100)),MAX(0,Inputs!$B$35-((S860-1)*Skills!D10))))/Inputs!$B$35),IF(Inputs!$B$4="pvp",MIN((Skills!Y10*(1+Inputs!$B$33/100)),15)/15,(Skills!Y10*(1+Inputs!$B$33/100))/Skills!D10)))/100)*(1+((C865=TRUE)*F865*IF(AND(Inputs!$B$4&lt;&gt;"pvp",Inputs!$B$35&gt;0),(((S865-1)*(Skills!Y15*(1+Inputs!$B$33/100))+MIN((Skills!Y15*(1+Inputs!$B$33/100)),MAX(0,Inputs!$B$35-((S865-1)*Skills!D15))))/Inputs!$B$35),IF(Inputs!$B$4="pvp",MIN((Skills!Y15*(1+Inputs!$B$33/100)),15)/15,(Skills!Y15*(1+Inputs!$B$33/100))/Skills!D15)))/100))*B885*I864)</f>
        <v/>
      </c>
      <c r="L864">
        <f>K864*(MIN(Inputs!$B$21+((C874=TRUE)*(F874-Calc!F24)),Inputs!$B$22+((C879=TRUE)*(F879-Calc!F29)))/100+(Inputs!$B$22+((C879=TRUE)*(F879-Calc!F29)))/100)/2</f>
        <v/>
      </c>
      <c r="M864">
        <f>L864*(1+(Inputs!$B$9+((C876=TRUE)*(F876-Calc!F26))+B890)/100)</f>
        <v/>
      </c>
      <c r="N864">
        <f>L864*(1-MIN((Inputs!$B$8+((C875=TRUE)*(F875-Calc!F25))+B883),100)/100)+M864*(MIN((Inputs!$B$8+((C875=TRUE)*(F875-Calc!F25))+B883),100)/100)</f>
        <v/>
      </c>
      <c r="O864">
        <f>IF(C864,H864*N864*IF(AND(Inputs!$B$4&lt;&gt;"pvp",Inputs!$B$35&gt;0),((Skills!G14*((R864-1)*IF(Skills!H14&gt;0,Skills!I14/Skills!H14,1)+IF(Skills!H14&gt;0,MIN(Skills!I14,MAX(0,Inputs!$B$35-((R864-1)*IF(Inputs!$B$4="pvp",15,MAX(0.1,Skills!D14-IF(Skills!E14=TRUE,Inputs!$B$31,0))))))/Skills!H14,1)))/Inputs!$B$35),G864*Q864)*IF(Inputs!$B$4="pvp",1,(1-Summary!$B$55)*(1)+Summary!$B$55*(MIN(MIN(5,0.25*B887*Skills!D4)*Skills!V14,Inputs!$B$37))),0)</f>
        <v/>
      </c>
      <c r="P864">
        <f>IF(B895=0,0,O864/B895)</f>
        <v/>
      </c>
      <c r="Q864">
        <f>IFERROR(1/IF(Inputs!$B$4="pvp",15,MAX(0.1,Skills!D14-IF(Skills!E14=TRUE,Inputs!$B$31,0))),0)</f>
        <v/>
      </c>
      <c r="R864">
        <f>IF(AND(Inputs!$B$4&lt;&gt;"pvp",Inputs!$B$35&gt;0),(INT(Inputs!$B$35/IF(Inputs!$B$4="pvp",15,MAX(0.1,Skills!D14-IF(Skills!E14=TRUE,Inputs!$B$31,0))))+1),0)</f>
        <v/>
      </c>
      <c r="S864">
        <f>IFERROR(O864/N864,0)</f>
        <v/>
      </c>
    </row>
    <row r="865">
      <c r="A865">
        <f>Skills!A15</f>
        <v/>
      </c>
      <c r="B865">
        <f>Skills!B15</f>
        <v/>
      </c>
      <c r="C865">
        <f>Inputs!$B$3&gt;=110</f>
        <v/>
      </c>
      <c r="D865">
        <f>IF(Skills!C15=1,60+Inputs!$B$24+Inputs!$B$28,IF(Skills!C15=2,90+(Inputs!$B$25+1)+Inputs!$B$28,IF(Skills!C15=3,120+Inputs!$B$26+Inputs!$B$28,MAX(0,(Inputs!$B$3-100)*3)+Inputs!$B$27+Inputs!$B$28)))</f>
        <v/>
      </c>
      <c r="E865">
        <f>INDEX(FactorTable!$B$2:$Y$301, MATCH(ROUND(MIN(300,MAX(1,D865)),0), FactorTable!$A$2:$A$301,0), Skills!M15+1)</f>
        <v/>
      </c>
      <c r="F865">
        <f>IF(Skills!N15=TRUE,(Skills!L15/10)*(E865/1000),Skills!L15/10)+Skills!O15</f>
        <v/>
      </c>
      <c r="G865">
        <f>Skills!G15*IF(Skills!H15&gt;0,Skills!I15/Skills!H15,1)</f>
        <v/>
      </c>
      <c r="H865">
        <f>1-(1-Skills!J15/100)^Skills!K15</f>
        <v/>
      </c>
      <c r="I865" t="inlineStr">
        <is>
          <t>1</t>
        </is>
      </c>
      <c r="J865" t="inlineStr"/>
      <c r="K865" t="inlineStr"/>
      <c r="L865" t="inlineStr"/>
      <c r="M865" t="inlineStr"/>
      <c r="N865" t="inlineStr"/>
      <c r="O865" t="n">
        <v>0</v>
      </c>
      <c r="P865">
        <f>IF(B895=0,0,O865/B895)</f>
        <v/>
      </c>
      <c r="Q865">
        <f>IFERROR(1/IF(Inputs!$B$4="pvp",15,MAX(0.1,Skills!D15-IF(Skills!E15=TRUE,Inputs!$B$31,0))),0)</f>
        <v/>
      </c>
      <c r="R865">
        <f>IF(AND(Inputs!$B$4&lt;&gt;"pvp",Inputs!$B$35&gt;0),(INT(Inputs!$B$35/IF(Inputs!$B$4="pvp",15,MAX(0.1,Skills!D15-IF(Skills!E15=TRUE,Inputs!$B$31,0))))+1),0)</f>
        <v/>
      </c>
      <c r="S865">
        <f>IFERROR(O865/N865,0)</f>
        <v/>
      </c>
    </row>
    <row r="866">
      <c r="A866">
        <f>Skills!A16</f>
        <v/>
      </c>
      <c r="B866">
        <f>Skills!B16</f>
        <v/>
      </c>
      <c r="C866">
        <f>Inputs!$B$3&gt;=115</f>
        <v/>
      </c>
      <c r="D866">
        <f>IF(Skills!C16=1,60+Inputs!$B$24+Inputs!$B$28,IF(Skills!C16=2,90+(Inputs!$B$25+1)+Inputs!$B$28,IF(Skills!C16=3,120+Inputs!$B$26+Inputs!$B$28,MAX(0,(Inputs!$B$3-100)*3)+Inputs!$B$27+Inputs!$B$28)))</f>
        <v/>
      </c>
      <c r="E866">
        <f>INDEX(FactorTable!$B$2:$Y$301, MATCH(ROUND(MIN(300,MAX(1,D866)),0), FactorTable!$A$2:$A$301,0), Skills!M16+1)</f>
        <v/>
      </c>
      <c r="F866">
        <f>IF(Skills!N16=TRUE,(Skills!L16/10)*(E866/1000),Skills!L16/10)+Skills!O16</f>
        <v/>
      </c>
      <c r="G866">
        <f>Skills!G16*IF(Skills!H16&gt;0,Skills!I16/Skills!H16,1)</f>
        <v/>
      </c>
      <c r="H866">
        <f>1-(1-Skills!J16/100)^Skills!K16</f>
        <v/>
      </c>
      <c r="I866" t="inlineStr">
        <is>
          <t>1</t>
        </is>
      </c>
      <c r="J866">
        <f>(Inputs!$B$5*(1+Inputs!$B$6/100))*(F866/100)</f>
        <v/>
      </c>
      <c r="K866">
        <f>J866*(1+((Inputs!$B$11*(1+Inputs!$B$12/100))*0.01+Inputs!$B$13*0.0025)/100)*(1+Inputs!$B$14/100)*(1+IF(Inputs!$B$4="pvp",0,(1-Summary!$B$55)*(Inputs!$B$19+0+Skills!P16+B884)+Summary!$B$55*(Inputs!$B$20+Skills!Q16+B884))/100)*(1+Inputs!$B$15/100)*(5000/(6000+Inputs!$B$7*(1-Inputs!$B$18/100)))*(1+(Inputs!$B$23+((C880=TRUE)*(F880-Calc!F30)))/100)*(1+(IF(Skills!A16="CRUEL_STAB",Inputs!$B$16+((C877=TRUE)*(F877-Calc!F27)),Inputs!$B$17+((C878=TRUE)*(F878-Calc!F28))))/100)*(((1+(((C871=TRUE)*F871*IF(AND(Inputs!$B$4&lt;&gt;"pvp",Inputs!$B$35&gt;0),(((S871-1)*(Skills!Y21*(1+Inputs!$B$33/100))+MIN((Skills!Y21*(1+Inputs!$B$33/100)),MAX(0,Inputs!$B$35-((S871-1)*Skills!D21))))/Inputs!$B$35),IF(Inputs!$B$4="pvp",MIN((Skills!Y21*(1+Inputs!$B$33/100)),15)/15,(Skills!Y21*(1+Inputs!$B$33/100))/Skills!D21)))+((C873=TRUE)*(F873-Calc!F23))+((C867=TRUE)*(F867-Calc!F17)))/100)*(1+((C860=TRUE)*F860*IF(AND(Inputs!$B$4&lt;&gt;"pvp",Inputs!$B$35&gt;0),(((S860-1)*(Skills!Y10*(1+Inputs!$B$33/100))+MIN((Skills!Y10*(1+Inputs!$B$33/100)),MAX(0,Inputs!$B$35-((S860-1)*Skills!D10))))/Inputs!$B$35),IF(Inputs!$B$4="pvp",MIN((Skills!Y10*(1+Inputs!$B$33/100)),15)/15,(Skills!Y10*(1+Inputs!$B$33/100))/Skills!D10)))/100)*(1+((C865=TRUE)*F865*IF(AND(Inputs!$B$4&lt;&gt;"pvp",Inputs!$B$35&gt;0),(((S865-1)*(Skills!Y15*(1+Inputs!$B$33/100))+MIN((Skills!Y15*(1+Inputs!$B$33/100)),MAX(0,Inputs!$B$35-((S865-1)*Skills!D15))))/Inputs!$B$35),IF(Inputs!$B$4="pvp",MIN((Skills!Y15*(1+Inputs!$B$33/100)),15)/15,(Skills!Y15*(1+Inputs!$B$33/100))/Skills!D15)))/100))*B885*I866)</f>
        <v/>
      </c>
      <c r="L866">
        <f>K866*(MIN(Inputs!$B$21+((C874=TRUE)*(F874-Calc!F24)),Inputs!$B$22+((C879=TRUE)*(F879-Calc!F29)))/100+(Inputs!$B$22+((C879=TRUE)*(F879-Calc!F29)))/100)/2</f>
        <v/>
      </c>
      <c r="M866">
        <f>L866*(1+(Inputs!$B$9+((C876=TRUE)*(F876-Calc!F26))+B890)/100)</f>
        <v/>
      </c>
      <c r="N866">
        <f>L866*(1-MIN((Inputs!$B$8+((C875=TRUE)*(F875-Calc!F25))+B883),100)/100)+M866*(MIN((Inputs!$B$8+((C875=TRUE)*(F875-Calc!F25))+B883),100)/100)</f>
        <v/>
      </c>
      <c r="O866">
        <f>IF(C866,Inputs!$B$38*0.2*N866,0)</f>
        <v/>
      </c>
      <c r="P866">
        <f>IF(B895=0,0,O866/B895)</f>
        <v/>
      </c>
      <c r="Q866" t="n">
        <v>0</v>
      </c>
      <c r="R866" t="n">
        <v>0</v>
      </c>
      <c r="S866">
        <f>IFERROR(O866/N866,0)</f>
        <v/>
      </c>
    </row>
    <row r="867">
      <c r="A867">
        <f>Skills!A17</f>
        <v/>
      </c>
      <c r="B867">
        <f>Skills!B17</f>
        <v/>
      </c>
      <c r="C867">
        <f>Inputs!$B$3&gt;=115</f>
        <v/>
      </c>
      <c r="D867">
        <f>IF(Skills!C17=1,60+Inputs!$B$24+Inputs!$B$28,IF(Skills!C17=2,90+(Inputs!$B$25+1)+Inputs!$B$28,IF(Skills!C17=3,120+Inputs!$B$26+Inputs!$B$28,MAX(0,(Inputs!$B$3-100)*3)+Inputs!$B$27+Inputs!$B$28)))</f>
        <v/>
      </c>
      <c r="E867">
        <f>INDEX(FactorTable!$B$2:$Y$301, MATCH(ROUND(MIN(300,MAX(1,D867)),0), FactorTable!$A$2:$A$301,0), Skills!M17+1)</f>
        <v/>
      </c>
      <c r="F867">
        <f>IF(Skills!N17=TRUE,(Skills!L17/10)*(E867/1000),Skills!L17/10)+Skills!O17</f>
        <v/>
      </c>
      <c r="G867">
        <f>Skills!G17*IF(Skills!H17&gt;0,Skills!I17/Skills!H17,1)</f>
        <v/>
      </c>
      <c r="H867">
        <f>1-(1-Skills!J17/100)^Skills!K17</f>
        <v/>
      </c>
      <c r="I867" t="inlineStr">
        <is>
          <t>1</t>
        </is>
      </c>
      <c r="J867" t="inlineStr"/>
      <c r="K867" t="inlineStr"/>
      <c r="L867" t="inlineStr"/>
      <c r="M867" t="inlineStr"/>
      <c r="N867" t="inlineStr"/>
      <c r="O867" t="n">
        <v>0</v>
      </c>
      <c r="P867">
        <f>IF(B895=0,0,O867/B895)</f>
        <v/>
      </c>
      <c r="Q867" t="n">
        <v>0</v>
      </c>
      <c r="R867" t="n">
        <v>0</v>
      </c>
      <c r="S867">
        <f>IFERROR(O867/N867,0)</f>
        <v/>
      </c>
    </row>
    <row r="868">
      <c r="A868">
        <f>Skills!A18</f>
        <v/>
      </c>
      <c r="B868">
        <f>Skills!B18</f>
        <v/>
      </c>
      <c r="C868">
        <f>Inputs!$B$3&gt;=100</f>
        <v/>
      </c>
      <c r="D868">
        <f>IF(Skills!C18=1,60+Inputs!$B$24+Inputs!$B$28,IF(Skills!C18=2,90+(Inputs!$B$25+1)+Inputs!$B$28,IF(Skills!C18=3,120+Inputs!$B$26+Inputs!$B$28,MAX(0,(Inputs!$B$3-100)*3)+Inputs!$B$27+Inputs!$B$28)))</f>
        <v/>
      </c>
      <c r="E868">
        <f>INDEX(FactorTable!$B$2:$Y$301, MATCH(ROUND(MIN(300,MAX(1,D868)),0), FactorTable!$A$2:$A$301,0), Skills!M18+1)</f>
        <v/>
      </c>
      <c r="F868">
        <f>IF(Skills!N18=TRUE,(Skills!L18/10)*(E868/1000),Skills!L18/10)+Skills!O18</f>
        <v/>
      </c>
      <c r="G868">
        <f>Skills!G18*IF(Skills!H18&gt;0,Skills!I18/Skills!H18,1)</f>
        <v/>
      </c>
      <c r="H868">
        <f>1-(1-Skills!J18/100)^Skills!K18</f>
        <v/>
      </c>
      <c r="I868" t="inlineStr">
        <is>
          <t>1</t>
        </is>
      </c>
      <c r="J868" t="inlineStr"/>
      <c r="K868" t="inlineStr"/>
      <c r="L868" t="inlineStr"/>
      <c r="M868" t="inlineStr"/>
      <c r="N868" t="inlineStr"/>
      <c r="O868" t="n">
        <v>0</v>
      </c>
      <c r="P868">
        <f>IF(B895=0,0,O868/B895)</f>
        <v/>
      </c>
      <c r="Q868" t="n">
        <v>0</v>
      </c>
      <c r="R868" t="n">
        <v>0</v>
      </c>
      <c r="S868">
        <f>IFERROR(O868/N868,0)</f>
        <v/>
      </c>
    </row>
    <row r="869">
      <c r="A869">
        <f>Skills!A19</f>
        <v/>
      </c>
      <c r="B869">
        <f>Skills!B19</f>
        <v/>
      </c>
      <c r="C869">
        <f>TRUE</f>
        <v/>
      </c>
      <c r="D869">
        <f>IF(Skills!C19=1,60+Inputs!$B$24+Inputs!$B$28,IF(Skills!C19=2,90+(Inputs!$B$25+1)+Inputs!$B$28,IF(Skills!C19=3,120+Inputs!$B$26+Inputs!$B$28,MAX(0,(Inputs!$B$3-100)*3)+Inputs!$B$27+Inputs!$B$28)))</f>
        <v/>
      </c>
      <c r="E869">
        <f>INDEX(FactorTable!$B$2:$Y$301, MATCH(ROUND(MIN(300,MAX(1,D869)),0), FactorTable!$A$2:$A$301,0), Skills!M19+1)</f>
        <v/>
      </c>
      <c r="F869">
        <f>IF(Skills!N19=TRUE,(Skills!L19/10)*(E869/1000),Skills!L19/10)+Skills!O19</f>
        <v/>
      </c>
      <c r="G869">
        <f>Skills!G19*IF(Skills!H19&gt;0,Skills!I19/Skills!H19,1)</f>
        <v/>
      </c>
      <c r="H869">
        <f>1-(1-Skills!J19/100)^Skills!K19</f>
        <v/>
      </c>
      <c r="I869" t="inlineStr">
        <is>
          <t>1</t>
        </is>
      </c>
      <c r="J869" t="inlineStr"/>
      <c r="K869" t="inlineStr"/>
      <c r="L869" t="inlineStr"/>
      <c r="M869" t="inlineStr"/>
      <c r="N869" t="inlineStr"/>
      <c r="O869" t="n">
        <v>0</v>
      </c>
      <c r="P869">
        <f>IF(B895=0,0,O869/B895)</f>
        <v/>
      </c>
      <c r="Q869">
        <f>IFERROR(1/IF(Inputs!$B$4="pvp",15,MAX(0.1,Skills!D19-IF(Skills!E19=TRUE,Inputs!$B$31,0))),0)</f>
        <v/>
      </c>
      <c r="R869">
        <f>IF(AND(Inputs!$B$4&lt;&gt;"pvp",Inputs!$B$35&gt;0),(INT(Inputs!$B$35/IF(Inputs!$B$4="pvp",15,MAX(0.1,Skills!D19-IF(Skills!E19=TRUE,Inputs!$B$31,0))))+1),0)</f>
        <v/>
      </c>
      <c r="S869">
        <f>IFERROR(O869/N869,0)</f>
        <v/>
      </c>
    </row>
    <row r="870">
      <c r="A870">
        <f>Skills!A20</f>
        <v/>
      </c>
      <c r="B870">
        <f>Skills!B20</f>
        <v/>
      </c>
      <c r="C870">
        <f>Inputs!$B$3&gt;=15</f>
        <v/>
      </c>
      <c r="D870">
        <f>IF(Skills!C20=1,60+Inputs!$B$24+Inputs!$B$28,IF(Skills!C20=2,90+(Inputs!$B$25+1)+Inputs!$B$28,IF(Skills!C20=3,120+Inputs!$B$26+Inputs!$B$28,MAX(0,(Inputs!$B$3-100)*3)+Inputs!$B$27+Inputs!$B$28)))</f>
        <v/>
      </c>
      <c r="E870">
        <f>INDEX(FactorTable!$B$2:$Y$301, MATCH(ROUND(MIN(300,MAX(1,D870)),0), FactorTable!$A$2:$A$301,0), Skills!M20+1)</f>
        <v/>
      </c>
      <c r="F870">
        <f>IF(Skills!N20=TRUE,(Skills!L20/10)*(E870/1000),Skills!L20/10)+Skills!O20</f>
        <v/>
      </c>
      <c r="G870">
        <f>Skills!G20*IF(Skills!H20&gt;0,Skills!I20/Skills!H20,1)</f>
        <v/>
      </c>
      <c r="H870">
        <f>1-(1-Skills!J20/100)^Skills!K20</f>
        <v/>
      </c>
      <c r="I870" t="inlineStr">
        <is>
          <t>1</t>
        </is>
      </c>
      <c r="J870" t="inlineStr"/>
      <c r="K870" t="inlineStr"/>
      <c r="L870" t="inlineStr"/>
      <c r="M870" t="inlineStr"/>
      <c r="N870" t="inlineStr"/>
      <c r="O870" t="n">
        <v>0</v>
      </c>
      <c r="P870">
        <f>IF(B895=0,0,O870/B895)</f>
        <v/>
      </c>
      <c r="Q870">
        <f>IFERROR(1/IF(Inputs!$B$4="pvp",15,MAX(0.1,Skills!D20-IF(Skills!E20=TRUE,Inputs!$B$31,0))),0)</f>
        <v/>
      </c>
      <c r="R870">
        <f>IF(AND(Inputs!$B$4&lt;&gt;"pvp",Inputs!$B$35&gt;0),(INT(Inputs!$B$35/IF(Inputs!$B$4="pvp",15,MAX(0.1,Skills!D20-IF(Skills!E20=TRUE,Inputs!$B$31,0))))+1),0)</f>
        <v/>
      </c>
      <c r="S870">
        <f>IFERROR(O870/N870,0)</f>
        <v/>
      </c>
    </row>
    <row r="871">
      <c r="A871">
        <f>Skills!A21</f>
        <v/>
      </c>
      <c r="B871">
        <f>Skills!B21</f>
        <v/>
      </c>
      <c r="C871">
        <f>Inputs!$B$3&gt;=15</f>
        <v/>
      </c>
      <c r="D871">
        <f>IF(Skills!C21=1,60+Inputs!$B$24+Inputs!$B$28,IF(Skills!C21=2,90+(Inputs!$B$25+1)+Inputs!$B$28,IF(Skills!C21=3,120+Inputs!$B$26+Inputs!$B$28,MAX(0,(Inputs!$B$3-100)*3)+Inputs!$B$27+Inputs!$B$28)))</f>
        <v/>
      </c>
      <c r="E871">
        <f>INDEX(FactorTable!$B$2:$Y$301, MATCH(ROUND(MIN(300,MAX(1,D871)),0), FactorTable!$A$2:$A$301,0), Skills!M21+1)</f>
        <v/>
      </c>
      <c r="F871">
        <f>IF(Skills!N21=TRUE,(Skills!L21/10)*(E871/1000),Skills!L21/10)+Skills!O21</f>
        <v/>
      </c>
      <c r="G871">
        <f>Skills!G21*IF(Skills!H21&gt;0,Skills!I21/Skills!H21,1)</f>
        <v/>
      </c>
      <c r="H871">
        <f>1-(1-Skills!J21/100)^Skills!K21</f>
        <v/>
      </c>
      <c r="I871" t="inlineStr">
        <is>
          <t>1</t>
        </is>
      </c>
      <c r="J871" t="inlineStr"/>
      <c r="K871" t="inlineStr"/>
      <c r="L871" t="inlineStr"/>
      <c r="M871" t="inlineStr"/>
      <c r="N871" t="inlineStr"/>
      <c r="O871" t="n">
        <v>0</v>
      </c>
      <c r="P871">
        <f>IF(B895=0,0,O871/B895)</f>
        <v/>
      </c>
      <c r="Q871">
        <f>IFERROR(1/IF(Inputs!$B$4="pvp",15,MAX(0.1,Skills!D21-IF(Skills!E21=TRUE,Inputs!$B$31,0))),0)</f>
        <v/>
      </c>
      <c r="R871">
        <f>IF(AND(Inputs!$B$4&lt;&gt;"pvp",Inputs!$B$35&gt;0),(INT(Inputs!$B$35/IF(Inputs!$B$4="pvp",15,MAX(0.1,Skills!D21-IF(Skills!E21=TRUE,Inputs!$B$31,0))))+1),0)</f>
        <v/>
      </c>
      <c r="S871">
        <f>IFERROR(O871/N871,0)</f>
        <v/>
      </c>
    </row>
    <row r="872">
      <c r="A872">
        <f>Skills!A22</f>
        <v/>
      </c>
      <c r="B872">
        <f>Skills!B22</f>
        <v/>
      </c>
      <c r="C872">
        <f>Inputs!$B$3&gt;=33</f>
        <v/>
      </c>
      <c r="D872">
        <f>IF(Skills!C22=1,60+Inputs!$B$24+Inputs!$B$28,IF(Skills!C22=2,90+(Inputs!$B$25+1)+Inputs!$B$28,IF(Skills!C22=3,120+Inputs!$B$26+Inputs!$B$28,MAX(0,(Inputs!$B$3-100)*3)+Inputs!$B$27+Inputs!$B$28)))</f>
        <v/>
      </c>
      <c r="E872">
        <f>INDEX(FactorTable!$B$2:$Y$301, MATCH(ROUND(MIN(300,MAX(1,D872)),0), FactorTable!$A$2:$A$301,0), Skills!M22+1)</f>
        <v/>
      </c>
      <c r="F872">
        <f>IF(Skills!N22=TRUE,(Skills!L22/10)*(E872/1000),Skills!L22/10)+Skills!O22</f>
        <v/>
      </c>
      <c r="G872">
        <f>Skills!G22*IF(Skills!H22&gt;0,Skills!I22/Skills!H22,1)</f>
        <v/>
      </c>
      <c r="H872">
        <f>1-(1-Skills!J22/100)^Skills!K22</f>
        <v/>
      </c>
      <c r="I872" t="inlineStr">
        <is>
          <t>1</t>
        </is>
      </c>
      <c r="J872" t="inlineStr"/>
      <c r="K872" t="inlineStr"/>
      <c r="L872" t="inlineStr"/>
      <c r="M872" t="inlineStr"/>
      <c r="N872" t="inlineStr"/>
      <c r="O872" t="n">
        <v>0</v>
      </c>
      <c r="P872">
        <f>IF(B895=0,0,O872/B895)</f>
        <v/>
      </c>
      <c r="Q872" t="n">
        <v>0</v>
      </c>
      <c r="R872" t="n">
        <v>0</v>
      </c>
      <c r="S872">
        <f>IFERROR(O872/N872,0)</f>
        <v/>
      </c>
    </row>
    <row r="873">
      <c r="A873">
        <f>Skills!A23</f>
        <v/>
      </c>
      <c r="B873">
        <f>Skills!B23</f>
        <v/>
      </c>
      <c r="C873">
        <f>Inputs!$B$3&gt;=40</f>
        <v/>
      </c>
      <c r="D873">
        <f>IF(Skills!C23=1,60+Inputs!$B$24+Inputs!$B$28,IF(Skills!C23=2,90+(Inputs!$B$25+1)+Inputs!$B$28,IF(Skills!C23=3,120+Inputs!$B$26+Inputs!$B$28,MAX(0,(Inputs!$B$3-100)*3)+Inputs!$B$27+Inputs!$B$28)))</f>
        <v/>
      </c>
      <c r="E873">
        <f>INDEX(FactorTable!$B$2:$Y$301, MATCH(ROUND(MIN(300,MAX(1,D873)),0), FactorTable!$A$2:$A$301,0), Skills!M23+1)</f>
        <v/>
      </c>
      <c r="F873">
        <f>IF(Skills!N23=TRUE,(Skills!L23/10)*(E873/1000),Skills!L23/10)+Skills!O23</f>
        <v/>
      </c>
      <c r="G873">
        <f>Skills!G23*IF(Skills!H23&gt;0,Skills!I23/Skills!H23,1)</f>
        <v/>
      </c>
      <c r="H873">
        <f>1-(1-Skills!J23/100)^Skills!K23</f>
        <v/>
      </c>
      <c r="I873" t="inlineStr">
        <is>
          <t>1</t>
        </is>
      </c>
      <c r="J873" t="inlineStr"/>
      <c r="K873" t="inlineStr"/>
      <c r="L873" t="inlineStr"/>
      <c r="M873" t="inlineStr"/>
      <c r="N873" t="inlineStr"/>
      <c r="O873" t="n">
        <v>0</v>
      </c>
      <c r="P873">
        <f>IF(B895=0,0,O873/B895)</f>
        <v/>
      </c>
      <c r="Q873" t="n">
        <v>0</v>
      </c>
      <c r="R873" t="n">
        <v>0</v>
      </c>
      <c r="S873">
        <f>IFERROR(O873/N873,0)</f>
        <v/>
      </c>
    </row>
    <row r="874">
      <c r="A874">
        <f>Skills!A24</f>
        <v/>
      </c>
      <c r="B874">
        <f>Skills!B24</f>
        <v/>
      </c>
      <c r="C874">
        <f>Inputs!$B$3&gt;=43</f>
        <v/>
      </c>
      <c r="D874">
        <f>IF(Skills!C24=1,60+Inputs!$B$24+Inputs!$B$28,IF(Skills!C24=2,90+(Inputs!$B$25+1)+Inputs!$B$28,IF(Skills!C24=3,120+Inputs!$B$26+Inputs!$B$28,MAX(0,(Inputs!$B$3-100)*3)+Inputs!$B$27+Inputs!$B$28)))</f>
        <v/>
      </c>
      <c r="E874">
        <f>INDEX(FactorTable!$B$2:$Y$301, MATCH(ROUND(MIN(300,MAX(1,D874)),0), FactorTable!$A$2:$A$301,0), Skills!M24+1)</f>
        <v/>
      </c>
      <c r="F874">
        <f>IF(Skills!N24=TRUE,(Skills!L24/10)*(E874/1000),Skills!L24/10)+Skills!O24</f>
        <v/>
      </c>
      <c r="G874">
        <f>Skills!G24*IF(Skills!H24&gt;0,Skills!I24/Skills!H24,1)</f>
        <v/>
      </c>
      <c r="H874">
        <f>1-(1-Skills!J24/100)^Skills!K24</f>
        <v/>
      </c>
      <c r="I874" t="inlineStr">
        <is>
          <t>1</t>
        </is>
      </c>
      <c r="J874" t="inlineStr"/>
      <c r="K874" t="inlineStr"/>
      <c r="L874" t="inlineStr"/>
      <c r="M874" t="inlineStr"/>
      <c r="N874" t="inlineStr"/>
      <c r="O874" t="n">
        <v>0</v>
      </c>
      <c r="P874">
        <f>IF(B895=0,0,O874/B895)</f>
        <v/>
      </c>
      <c r="Q874" t="n">
        <v>0</v>
      </c>
      <c r="R874" t="n">
        <v>0</v>
      </c>
      <c r="S874">
        <f>IFERROR(O874/N874,0)</f>
        <v/>
      </c>
    </row>
    <row r="875">
      <c r="A875">
        <f>Skills!A25</f>
        <v/>
      </c>
      <c r="B875">
        <f>Skills!B25</f>
        <v/>
      </c>
      <c r="C875">
        <f>Inputs!$B$3&gt;=50</f>
        <v/>
      </c>
      <c r="D875">
        <f>IF(Skills!C25=1,60+Inputs!$B$24+Inputs!$B$28,IF(Skills!C25=2,90+(Inputs!$B$25+1)+Inputs!$B$28,IF(Skills!C25=3,120+Inputs!$B$26+Inputs!$B$28,MAX(0,(Inputs!$B$3-100)*3)+Inputs!$B$27+Inputs!$B$28)))</f>
        <v/>
      </c>
      <c r="E875">
        <f>INDEX(FactorTable!$B$2:$Y$301, MATCH(ROUND(MIN(300,MAX(1,D875)),0), FactorTable!$A$2:$A$301,0), Skills!M25+1)</f>
        <v/>
      </c>
      <c r="F875">
        <f>IF(Skills!N25=TRUE,(Skills!L25/10)*(E875/1000),Skills!L25/10)+Skills!O25</f>
        <v/>
      </c>
      <c r="G875">
        <f>Skills!G25*IF(Skills!H25&gt;0,Skills!I25/Skills!H25,1)</f>
        <v/>
      </c>
      <c r="H875">
        <f>1-(1-Skills!J25/100)^Skills!K25</f>
        <v/>
      </c>
      <c r="I875" t="inlineStr">
        <is>
          <t>1</t>
        </is>
      </c>
      <c r="J875" t="inlineStr"/>
      <c r="K875" t="inlineStr"/>
      <c r="L875" t="inlineStr"/>
      <c r="M875" t="inlineStr"/>
      <c r="N875" t="inlineStr"/>
      <c r="O875" t="n">
        <v>0</v>
      </c>
      <c r="P875">
        <f>IF(B895=0,0,O875/B895)</f>
        <v/>
      </c>
      <c r="Q875" t="n">
        <v>0</v>
      </c>
      <c r="R875" t="n">
        <v>0</v>
      </c>
      <c r="S875">
        <f>IFERROR(O875/N875,0)</f>
        <v/>
      </c>
    </row>
    <row r="876">
      <c r="A876">
        <f>Skills!A26</f>
        <v/>
      </c>
      <c r="B876">
        <f>Skills!B26</f>
        <v/>
      </c>
      <c r="C876">
        <f>Inputs!$B$3&gt;=50</f>
        <v/>
      </c>
      <c r="D876">
        <f>IF(Skills!C26=1,60+Inputs!$B$24+Inputs!$B$28,IF(Skills!C26=2,90+(Inputs!$B$25+1)+Inputs!$B$28,IF(Skills!C26=3,120+Inputs!$B$26+Inputs!$B$28,MAX(0,(Inputs!$B$3-100)*3)+Inputs!$B$27+Inputs!$B$28)))</f>
        <v/>
      </c>
      <c r="E876">
        <f>INDEX(FactorTable!$B$2:$Y$301, MATCH(ROUND(MIN(300,MAX(1,D876)),0), FactorTable!$A$2:$A$301,0), Skills!M26+1)</f>
        <v/>
      </c>
      <c r="F876">
        <f>IF(Skills!N26=TRUE,(Skills!L26/10)*(E876/1000),Skills!L26/10)+Skills!O26</f>
        <v/>
      </c>
      <c r="G876">
        <f>Skills!G26*IF(Skills!H26&gt;0,Skills!I26/Skills!H26,1)</f>
        <v/>
      </c>
      <c r="H876">
        <f>1-(1-Skills!J26/100)^Skills!K26</f>
        <v/>
      </c>
      <c r="I876" t="inlineStr">
        <is>
          <t>1</t>
        </is>
      </c>
      <c r="J876" t="inlineStr"/>
      <c r="K876" t="inlineStr"/>
      <c r="L876" t="inlineStr"/>
      <c r="M876" t="inlineStr"/>
      <c r="N876" t="inlineStr"/>
      <c r="O876" t="n">
        <v>0</v>
      </c>
      <c r="P876">
        <f>IF(B895=0,0,O876/B895)</f>
        <v/>
      </c>
      <c r="Q876" t="n">
        <v>0</v>
      </c>
      <c r="R876" t="n">
        <v>0</v>
      </c>
      <c r="S876">
        <f>IFERROR(O876/N876,0)</f>
        <v/>
      </c>
    </row>
    <row r="877">
      <c r="A877">
        <f>Skills!A27</f>
        <v/>
      </c>
      <c r="B877">
        <f>Skills!B27</f>
        <v/>
      </c>
      <c r="C877">
        <f>Inputs!$B$3&gt;=38</f>
        <v/>
      </c>
      <c r="D877">
        <f>IF(Skills!C27=1,60+Inputs!$B$24+Inputs!$B$28,IF(Skills!C27=2,90+(Inputs!$B$25+1)+Inputs!$B$28,IF(Skills!C27=3,120+Inputs!$B$26+Inputs!$B$28,MAX(0,(Inputs!$B$3-100)*3)+Inputs!$B$27+Inputs!$B$28)))</f>
        <v/>
      </c>
      <c r="E877">
        <f>INDEX(FactorTable!$B$2:$Y$301, MATCH(ROUND(MIN(300,MAX(1,D877)),0), FactorTable!$A$2:$A$301,0), Skills!M27+1)</f>
        <v/>
      </c>
      <c r="F877">
        <f>IF(Skills!N27=TRUE,(Skills!L27/10)*(E877/1000),Skills!L27/10)+Skills!O27</f>
        <v/>
      </c>
      <c r="G877">
        <f>Skills!G27*IF(Skills!H27&gt;0,Skills!I27/Skills!H27,1)</f>
        <v/>
      </c>
      <c r="H877">
        <f>1-(1-Skills!J27/100)^Skills!K27</f>
        <v/>
      </c>
      <c r="I877" t="inlineStr">
        <is>
          <t>1</t>
        </is>
      </c>
      <c r="J877" t="inlineStr"/>
      <c r="K877" t="inlineStr"/>
      <c r="L877" t="inlineStr"/>
      <c r="M877" t="inlineStr"/>
      <c r="N877" t="inlineStr"/>
      <c r="O877" t="n">
        <v>0</v>
      </c>
      <c r="P877">
        <f>IF(B895=0,0,O877/B895)</f>
        <v/>
      </c>
      <c r="Q877" t="n">
        <v>0</v>
      </c>
      <c r="R877" t="n">
        <v>0</v>
      </c>
      <c r="S877">
        <f>IFERROR(O877/N877,0)</f>
        <v/>
      </c>
    </row>
    <row r="878">
      <c r="A878">
        <f>Skills!A28</f>
        <v/>
      </c>
      <c r="B878">
        <f>Skills!B28</f>
        <v/>
      </c>
      <c r="C878">
        <f>Inputs!$B$3&gt;=120</f>
        <v/>
      </c>
      <c r="D878">
        <f>IF(Skills!C28=1,60+Inputs!$B$24+Inputs!$B$28,IF(Skills!C28=2,90+(Inputs!$B$25+1)+Inputs!$B$28,IF(Skills!C28=3,120+Inputs!$B$26+Inputs!$B$28,MAX(0,(Inputs!$B$3-100)*3)+Inputs!$B$27+Inputs!$B$28)))</f>
        <v/>
      </c>
      <c r="E878">
        <f>INDEX(FactorTable!$B$2:$Y$301, MATCH(ROUND(MIN(300,MAX(1,D878)),0), FactorTable!$A$2:$A$301,0), Skills!M28+1)</f>
        <v/>
      </c>
      <c r="F878">
        <f>IF(Skills!N28=TRUE,(Skills!L28/10)*(E878/1000),Skills!L28/10)+Skills!O28</f>
        <v/>
      </c>
      <c r="G878">
        <f>Skills!G28*IF(Skills!H28&gt;0,Skills!I28/Skills!H28,1)</f>
        <v/>
      </c>
      <c r="H878">
        <f>1-(1-Skills!J28/100)^Skills!K28</f>
        <v/>
      </c>
      <c r="I878" t="inlineStr">
        <is>
          <t>1</t>
        </is>
      </c>
      <c r="J878" t="inlineStr"/>
      <c r="K878" t="inlineStr"/>
      <c r="L878" t="inlineStr"/>
      <c r="M878" t="inlineStr"/>
      <c r="N878" t="inlineStr"/>
      <c r="O878" t="n">
        <v>0</v>
      </c>
      <c r="P878">
        <f>IF(B895=0,0,O878/B895)</f>
        <v/>
      </c>
      <c r="Q878" t="n">
        <v>0</v>
      </c>
      <c r="R878" t="n">
        <v>0</v>
      </c>
      <c r="S878">
        <f>IFERROR(O878/N878,0)</f>
        <v/>
      </c>
    </row>
    <row r="879">
      <c r="A879">
        <f>Skills!A29</f>
        <v/>
      </c>
      <c r="B879">
        <f>Skills!B29</f>
        <v/>
      </c>
      <c r="C879">
        <f>Inputs!$B$3&gt;=120</f>
        <v/>
      </c>
      <c r="D879">
        <f>IF(Skills!C29=1,60+Inputs!$B$24+Inputs!$B$28,IF(Skills!C29=2,90+(Inputs!$B$25+1)+Inputs!$B$28,IF(Skills!C29=3,120+Inputs!$B$26+Inputs!$B$28,MAX(0,(Inputs!$B$3-100)*3)+Inputs!$B$27+Inputs!$B$28)))</f>
        <v/>
      </c>
      <c r="E879">
        <f>INDEX(FactorTable!$B$2:$Y$301, MATCH(ROUND(MIN(300,MAX(1,D879)),0), FactorTable!$A$2:$A$301,0), Skills!M29+1)</f>
        <v/>
      </c>
      <c r="F879">
        <f>IF(Skills!N29=TRUE,(Skills!L29/10)*(E879/1000),Skills!L29/10)+Skills!O29</f>
        <v/>
      </c>
      <c r="G879">
        <f>Skills!G29*IF(Skills!H29&gt;0,Skills!I29/Skills!H29,1)</f>
        <v/>
      </c>
      <c r="H879">
        <f>1-(1-Skills!J29/100)^Skills!K29</f>
        <v/>
      </c>
      <c r="I879" t="inlineStr">
        <is>
          <t>1</t>
        </is>
      </c>
      <c r="J879" t="inlineStr"/>
      <c r="K879" t="inlineStr"/>
      <c r="L879" t="inlineStr"/>
      <c r="M879" t="inlineStr"/>
      <c r="N879" t="inlineStr"/>
      <c r="O879" t="n">
        <v>0</v>
      </c>
      <c r="P879">
        <f>IF(B895=0,0,O879/B895)</f>
        <v/>
      </c>
      <c r="Q879" t="n">
        <v>0</v>
      </c>
      <c r="R879" t="n">
        <v>0</v>
      </c>
      <c r="S879">
        <f>IFERROR(O879/N879,0)</f>
        <v/>
      </c>
    </row>
    <row r="880">
      <c r="A880">
        <f>Skills!A30</f>
        <v/>
      </c>
      <c r="B880">
        <f>Skills!B30</f>
        <v/>
      </c>
      <c r="C880">
        <f>Inputs!$B$3&gt;=125</f>
        <v/>
      </c>
      <c r="D880">
        <f>IF(Skills!C30=1,60+Inputs!$B$24+Inputs!$B$28,IF(Skills!C30=2,90+(Inputs!$B$25+1)+Inputs!$B$28,IF(Skills!C30=3,120+Inputs!$B$26+Inputs!$B$28,MAX(0,(Inputs!$B$3-100)*3)+Inputs!$B$27+Inputs!$B$28)))</f>
        <v/>
      </c>
      <c r="E880">
        <f>INDEX(FactorTable!$B$2:$Y$301, MATCH(ROUND(MIN(300,MAX(1,D880)),0), FactorTable!$A$2:$A$301,0), Skills!M30+1)</f>
        <v/>
      </c>
      <c r="F880">
        <f>IF(Skills!N30=TRUE,(Skills!L30/10)*(E880/1000),Skills!L30/10)+Skills!O30</f>
        <v/>
      </c>
      <c r="G880">
        <f>Skills!G30*IF(Skills!H30&gt;0,Skills!I30/Skills!H30,1)</f>
        <v/>
      </c>
      <c r="H880">
        <f>1-(1-Skills!J30/100)^Skills!K30</f>
        <v/>
      </c>
      <c r="I880" t="inlineStr">
        <is>
          <t>1</t>
        </is>
      </c>
      <c r="J880" t="inlineStr"/>
      <c r="K880" t="inlineStr"/>
      <c r="L880" t="inlineStr"/>
      <c r="M880" t="inlineStr"/>
      <c r="N880" t="inlineStr"/>
      <c r="O880" t="n">
        <v>0</v>
      </c>
      <c r="P880">
        <f>IF(B895=0,0,O880/B895)</f>
        <v/>
      </c>
      <c r="Q880" t="n">
        <v>0</v>
      </c>
      <c r="R880" t="n">
        <v>0</v>
      </c>
      <c r="S880">
        <f>IFERROR(O880/N880,0)</f>
        <v/>
      </c>
    </row>
    <row r="882">
      <c r="A882" t="inlineStr">
        <is>
          <t>Average Buff Multiplier</t>
        </is>
      </c>
      <c r="B882">
        <f>(1+(((C871=TRUE)*F871*IF(AND(Inputs!$B$4&lt;&gt;"pvp",Inputs!$B$35&gt;0),(((S871-1)*(Skills!Y21*(1+Inputs!$B$33/100))+MIN((Skills!Y21*(1+Inputs!$B$33/100)),MAX(0,Inputs!$B$35-((S871-1)*Skills!D21))))/Inputs!$B$35),IF(Inputs!$B$4="pvp",MIN((Skills!Y21*(1+Inputs!$B$33/100)),15)/15,(Skills!Y21*(1+Inputs!$B$33/100))/Skills!D21)))+((C873=TRUE)*(F873-Calc!F23))+((C867=TRUE)*(F867-Calc!F17)))/100)*(1+((C860=TRUE)*F860*IF(AND(Inputs!$B$4&lt;&gt;"pvp",Inputs!$B$35&gt;0),(((S860-1)*(Skills!Y10*(1+Inputs!$B$33/100))+MIN((Skills!Y10*(1+Inputs!$B$33/100)),MAX(0,Inputs!$B$35-((S860-1)*Skills!D10))))/Inputs!$B$35),IF(Inputs!$B$4="pvp",MIN((Skills!Y10*(1+Inputs!$B$33/100)),15)/15,(Skills!Y10*(1+Inputs!$B$33/100))/Skills!D10)))/100)*(1+((C865=TRUE)*F865*IF(AND(Inputs!$B$4&lt;&gt;"pvp",Inputs!$B$35&gt;0),(((S865-1)*(Skills!Y15*(1+Inputs!$B$33/100))+MIN((Skills!Y15*(1+Inputs!$B$33/100)),MAX(0,Inputs!$B$35-((S865-1)*Skills!D15))))/Inputs!$B$35),IF(Inputs!$B$4="pvp",MIN((Skills!Y15*(1+Inputs!$B$33/100)),15)/15,(Skills!Y15*(1+Inputs!$B$33/100))/Skills!D15)))/100)</f>
        <v/>
      </c>
    </row>
    <row r="883">
      <c r="A883" t="inlineStr">
        <is>
          <t>Global Crit Rate Bonus %</t>
        </is>
      </c>
      <c r="B883">
        <f>((C870=TRUE)*F870*IF(AND(Inputs!$B$4&lt;&gt;"pvp",Inputs!$B$35&gt;0),(((S870-1)*(Skills!Y20*(1+Inputs!$B$33/100))+MIN((Skills!Y20*(1+Inputs!$B$33/100)),MAX(0,Inputs!$B$35-((S870-1)*Skills!D20))))/Inputs!$B$35),IF(Inputs!$B$4="pvp",MIN((Skills!Y20*(1+Inputs!$B$33/100)),15)/15,(Skills!Y20*(1+Inputs!$B$33/100))/Skills!D20)))</f>
        <v/>
      </c>
    </row>
    <row r="884">
      <c r="A884" t="inlineStr">
        <is>
          <t>Global Monster Damage-Taken Bonus %</t>
        </is>
      </c>
      <c r="B884">
        <f>IF(Inputs!$B$3&gt;=82,15,0)</f>
        <v/>
      </c>
    </row>
    <row r="885">
      <c r="A885" t="inlineStr">
        <is>
          <t>Shadow Partner Average Multiplier</t>
        </is>
      </c>
      <c r="B885">
        <f>1+((C857=TRUE)*F857*(1+3.3333333333333335*IF(C868=TRUE,F868,0)/100)*I857*Skills!J7/100)/100</f>
        <v/>
      </c>
    </row>
    <row r="886">
      <c r="A886" t="inlineStr">
        <is>
          <t>Attack Speed Buff Bonus %</t>
        </is>
      </c>
      <c r="B886">
        <f>((C869=TRUE)*F869*IF(AND(Inputs!$B$4&lt;&gt;"pvp",Inputs!$B$35&gt;0),(((S869-1)*(Skills!Y19*(1+Inputs!$B$33/100))+MIN((Skills!Y19*(1+Inputs!$B$33/100)),MAX(0,Inputs!$B$35-((S869-1)*Skills!D19))))/Inputs!$B$35),IF(Inputs!$B$4="pvp",MIN((Skills!Y19*(1+Inputs!$B$33/100)),15)/15,(Skills!Y19*(1+Inputs!$B$33/100))/Skills!D19)))+((C853=TRUE)*F853*3)</f>
        <v/>
      </c>
    </row>
    <row r="887">
      <c r="A887" t="inlineStr">
        <is>
          <t>Actions Per Second</t>
        </is>
      </c>
      <c r="B887">
        <f>1+MIN(150,150*(1-(1-(Inputs!$B$10+((C872=TRUE)*(F872-Calc!F22)))/150)*(1-B886/150)))/100</f>
        <v/>
      </c>
    </row>
    <row r="888">
      <c r="A888" t="inlineStr">
        <is>
          <t>Skill + Buff Cast Rate</t>
        </is>
      </c>
      <c r="B888">
        <f>IF(AND(Inputs!$B$4&lt;&gt;"pvp",Inputs!$B$35&gt;0),SUMPRODUCT((Skills!E2:E30=TRUE)*(C852:C880=TRUE)*R852:R880*Skills!F2:F30)/Inputs!$B$35,SUMPRODUCT((Skills!E2:E30=TRUE)*(C852:C880=TRUE)*Q852:Q880*Skills!F2:F30))</f>
        <v/>
      </c>
    </row>
    <row r="889">
      <c r="A889" t="inlineStr">
        <is>
          <t>Cruel Stab Casts Per Second</t>
        </is>
      </c>
      <c r="B889">
        <f>MAX(0,B887-B888)</f>
        <v/>
      </c>
    </row>
    <row r="890">
      <c r="A890" t="inlineStr">
        <is>
          <t>Global Critical Damage Bonus % (Smokescreen Mastery Lv.113)</t>
        </is>
      </c>
      <c r="B890">
        <f>IF(Inputs!$B$3&gt;=113,30,0)*IF(AND(Inputs!$B$4&lt;&gt;"pvp",Inputs!$B$35&gt;0),(((S865-1)*(Skills!Y15*(1+Inputs!$B$33/100))+MIN((Skills!Y15*(1+Inputs!$B$33/100)),MAX(0,Inputs!$B$35-((S865-1)*Skills!D15))))/Inputs!$B$35),IF(Inputs!$B$4="pvp",MIN((Skills!Y15*(1+Inputs!$B$33/100)),15)/15,(Skills!Y15*(1+Inputs!$B$33/100))/Skills!D15))</f>
        <v/>
      </c>
    </row>
    <row r="891">
      <c r="A891" t="inlineStr">
        <is>
          <t>Meso Explosion average stack count</t>
        </is>
      </c>
      <c r="B891">
        <f>MIN(10,0.5*B887*Skills!D4)</f>
        <v/>
      </c>
    </row>
    <row r="892">
      <c r="A892" t="inlineStr">
        <is>
          <t>Blood Money average stack count</t>
        </is>
      </c>
      <c r="B892">
        <f>MIN(5,0.25*B887*Skills!D4)</f>
        <v/>
      </c>
    </row>
    <row r="893">
      <c r="A893" t="inlineStr">
        <is>
          <t>Assassinate Murderous Intent Multiplier</t>
        </is>
      </c>
      <c r="B893">
        <f>1+IFERROR(MIN(1,Q864*2/Q861),0)</f>
        <v/>
      </c>
    </row>
    <row r="895">
      <c r="A895" s="5" t="inlineStr">
        <is>
          <t>TOTAL DPS</t>
        </is>
      </c>
      <c r="B895" s="5">
        <f>SUM(O852:O880)</f>
        <v/>
      </c>
    </row>
    <row r="898">
      <c r="A898" s="5" t="inlineStr">
        <is>
          <t>Stat: Skill Level Bonus — 3rd Job</t>
        </is>
      </c>
    </row>
    <row r="899">
      <c r="A899" s="8" t="inlineStr">
        <is>
          <t>Key</t>
        </is>
      </c>
      <c r="B899" s="8" t="inlineStr">
        <is>
          <t>Name</t>
        </is>
      </c>
      <c r="C899" s="8" t="inlineStr">
        <is>
          <t>Unlocked</t>
        </is>
      </c>
      <c r="D899" s="8" t="inlineStr">
        <is>
          <t>InputLevel</t>
        </is>
      </c>
      <c r="E899" s="8" t="inlineStr">
        <is>
          <t>Factor</t>
        </is>
      </c>
      <c r="F899" s="8" t="inlineStr">
        <is>
          <t>CoefficientPercent</t>
        </is>
      </c>
      <c r="G899" s="8" t="inlineStr">
        <is>
          <t>EffectiveHits</t>
        </is>
      </c>
      <c r="H899" s="8" t="inlineStr">
        <is>
          <t>ProcProbability</t>
        </is>
      </c>
      <c r="I899" s="8" t="inlineStr">
        <is>
          <t>MapleHeroMultiplier</t>
        </is>
      </c>
      <c r="J899" s="8" t="inlineStr">
        <is>
          <t>BaseDamage</t>
        </is>
      </c>
      <c r="K899" s="8" t="inlineStr">
        <is>
          <t>BaseHitDamage</t>
        </is>
      </c>
      <c r="L899" s="8" t="inlineStr">
        <is>
          <t>NonCritAvg</t>
        </is>
      </c>
      <c r="M899" s="8" t="inlineStr">
        <is>
          <t>CritAvg</t>
        </is>
      </c>
      <c r="N899" s="8" t="inlineStr">
        <is>
          <t>ExpectedDamage(perHit)</t>
        </is>
      </c>
      <c r="O899" s="8" t="inlineStr">
        <is>
          <t>DPS</t>
        </is>
      </c>
      <c r="P899" s="8" t="inlineStr">
        <is>
          <t>% of Total</t>
        </is>
      </c>
      <c r="Q899" s="8" t="inlineStr">
        <is>
          <t>InvCooldown</t>
        </is>
      </c>
      <c r="R899" s="8" t="inlineStr">
        <is>
          <t>CastsInFight</t>
        </is>
      </c>
      <c r="S899" s="8" t="inlineStr">
        <is>
          <t>HitRate(perSec)</t>
        </is>
      </c>
      <c r="U899" t="inlineStr">
        <is>
          <t>helpers</t>
        </is>
      </c>
    </row>
    <row r="900">
      <c r="A900">
        <f>Skills!A2</f>
        <v/>
      </c>
      <c r="B900">
        <f>Skills!B2</f>
        <v/>
      </c>
      <c r="C900">
        <f>Inputs!$B$3&gt;=100</f>
        <v/>
      </c>
      <c r="D900" t="inlineStr"/>
      <c r="E900" t="inlineStr"/>
      <c r="F900">
        <f>U902+Skills!O2</f>
        <v/>
      </c>
      <c r="G900">
        <f>Skills!G2*IF(Skills!H2&gt;0,Skills!I2/Skills!H2,1)</f>
        <v/>
      </c>
      <c r="H900">
        <f>1-(1-Skills!J2/100)^Skills!K2</f>
        <v/>
      </c>
      <c r="I900" t="inlineStr">
        <is>
          <t>1</t>
        </is>
      </c>
      <c r="J900">
        <f>(Inputs!$B$5*(1+Inputs!$B$6/100))*(F900/100)</f>
        <v/>
      </c>
      <c r="K900">
        <f>J900*(1+((Inputs!$B$11*(1+Inputs!$B$12/100))*0.01+Inputs!$B$13*0.0025)/100)*(1+Inputs!$B$14/100)*(1+IF(Inputs!$B$4="pvp",0,(1-Summary!$B$55)*(Inputs!$B$19+0+Skills!P2+B932)+Summary!$B$55*(Inputs!$B$20+Skills!Q2+B932))/100)*(1+Inputs!$B$15/100)*(5000/(6000+Inputs!$B$7*(1-Inputs!$B$18/100)))*(1+(Inputs!$B$23+((C928=TRUE)*(F928-Calc!F30)))/100)*(1+(IF(Skills!A2="CRUEL_STAB",Inputs!$B$16+((C925=TRUE)*(F925-Calc!F27)),Inputs!$B$17+((C926=TRUE)*(F926-Calc!F28))))/100)*(((1+(((C919=TRUE)*F919*IF(AND(Inputs!$B$4&lt;&gt;"pvp",Inputs!$B$35&gt;0),(((S919-1)*(Skills!Y21*(1+Inputs!$B$33/100))+MIN((Skills!Y21*(1+Inputs!$B$33/100)),MAX(0,Inputs!$B$35-((S919-1)*Skills!D21))))/Inputs!$B$35),IF(Inputs!$B$4="pvp",MIN((Skills!Y21*(1+Inputs!$B$33/100)),15)/15,(Skills!Y21*(1+Inputs!$B$33/100))/Skills!D21)))+((C921=TRUE)*(F921-Calc!F23))+((C915=TRUE)*(F915-Calc!F17)))/100)*(1+((C908=TRUE)*F908*IF(AND(Inputs!$B$4&lt;&gt;"pvp",Inputs!$B$35&gt;0),(((S908-1)*(Skills!Y10*(1+Inputs!$B$33/100))+MIN((Skills!Y10*(1+Inputs!$B$33/100)),MAX(0,Inputs!$B$35-((S908-1)*Skills!D10))))/Inputs!$B$35),IF(Inputs!$B$4="pvp",MIN((Skills!Y10*(1+Inputs!$B$33/100)),15)/15,(Skills!Y10*(1+Inputs!$B$33/100))/Skills!D10)))/100)*(1+((C913=TRUE)*F913*IF(AND(Inputs!$B$4&lt;&gt;"pvp",Inputs!$B$35&gt;0),(((S913-1)*(Skills!Y15*(1+Inputs!$B$33/100))+MIN((Skills!Y15*(1+Inputs!$B$33/100)),MAX(0,Inputs!$B$35-((S913-1)*Skills!D15))))/Inputs!$B$35),IF(Inputs!$B$4="pvp",MIN((Skills!Y15*(1+Inputs!$B$33/100)),15)/15,(Skills!Y15*(1+Inputs!$B$33/100))/Skills!D15)))/100))*B933*I900)</f>
        <v/>
      </c>
      <c r="L900">
        <f>K900*(MIN(Inputs!$B$21+((C922=TRUE)*(F922-Calc!F24)),Inputs!$B$22+((C927=TRUE)*(F927-Calc!F29)))/100+(Inputs!$B$22+((C927=TRUE)*(F927-Calc!F29)))/100)/2</f>
        <v/>
      </c>
      <c r="M900">
        <f>L900*(1+(Inputs!$B$9+((C924=TRUE)*(F924-Calc!F26))+B938)/100)</f>
        <v/>
      </c>
      <c r="N900">
        <f>L900*(1-MIN((Inputs!$B$8+((C923=TRUE)*(F923-Calc!F25))+B931),100)/100)+M900*(MIN((Inputs!$B$8+((C923=TRUE)*(F923-Calc!F25))+B931),100)/100)</f>
        <v/>
      </c>
      <c r="O900">
        <f>IF(C900,Skills!G2*N900*B937*IF(Inputs!$B$4="pvp",1,(1-Summary!$B$55)*(1)+Summary!$B$55*(MIN((6+Inputs!$B$32),Inputs!$B$37))),0)</f>
        <v/>
      </c>
      <c r="P900">
        <f>IF(B943=0,0,O900/B943)</f>
        <v/>
      </c>
      <c r="Q900" t="n">
        <v>0</v>
      </c>
      <c r="R900" t="n">
        <v>0</v>
      </c>
      <c r="S900">
        <f>IFERROR(O900/N900,0)</f>
        <v/>
      </c>
      <c r="U900">
        <f>MAX(0,(Inputs!$B$3-100)*3)+Inputs!$B$27+Inputs!$B$28</f>
        <v/>
      </c>
    </row>
    <row r="901">
      <c r="A901">
        <f>Skills!A3</f>
        <v/>
      </c>
      <c r="B901">
        <f>Skills!B3</f>
        <v/>
      </c>
      <c r="C901">
        <f>Inputs!$B$3&gt;=35</f>
        <v/>
      </c>
      <c r="D901">
        <f>IF(Skills!C3=1,60+Inputs!$B$24+Inputs!$B$28,IF(Skills!C3=2,90+Inputs!$B$25+Inputs!$B$28,IF(Skills!C3=3,120+(Inputs!$B$26+1)+Inputs!$B$28,MAX(0,(Inputs!$B$3-100)*3)+Inputs!$B$27+Inputs!$B$28)))</f>
        <v/>
      </c>
      <c r="E901">
        <f>INDEX(FactorTable!$B$2:$Y$301, MATCH(ROUND(MIN(300,MAX(1,D901)),0), FactorTable!$A$2:$A$301,0), Skills!M3+1)</f>
        <v/>
      </c>
      <c r="F901">
        <f>IF(Skills!N3=TRUE,(Skills!L3/10)*(E901/1000),Skills!L3/10)+Skills!O3</f>
        <v/>
      </c>
      <c r="G901">
        <f>Skills!G3*IF(Skills!H3&gt;0,Skills!I3/Skills!H3,1)</f>
        <v/>
      </c>
      <c r="H901">
        <f>1-(1-Skills!J3/100)^Skills!K3</f>
        <v/>
      </c>
      <c r="I901" t="inlineStr">
        <is>
          <t>1</t>
        </is>
      </c>
      <c r="J901" t="inlineStr"/>
      <c r="K901" t="inlineStr"/>
      <c r="L901" t="inlineStr"/>
      <c r="M901" t="inlineStr"/>
      <c r="N901" t="inlineStr"/>
      <c r="O901" t="n">
        <v>0</v>
      </c>
      <c r="P901">
        <f>IF(B943=0,0,O901/B943)</f>
        <v/>
      </c>
      <c r="Q901" t="n">
        <v>0</v>
      </c>
      <c r="R901" t="n">
        <v>0</v>
      </c>
      <c r="S901">
        <f>IFERROR(O901/N901,0)</f>
        <v/>
      </c>
      <c r="U901">
        <f>INDEX(FactorTable!$B$2:$Y$301, MATCH(ROUND(MIN(300,MAX(1,U900)),0), FactorTable!$A$2:$A$301,0), 22)</f>
        <v/>
      </c>
    </row>
    <row r="902">
      <c r="A902">
        <f>Skills!A4</f>
        <v/>
      </c>
      <c r="B902">
        <f>Skills!B4</f>
        <v/>
      </c>
      <c r="C902">
        <f>Inputs!$B$3&gt;=66</f>
        <v/>
      </c>
      <c r="D902">
        <f>IF(Skills!C4=1,60+Inputs!$B$24+Inputs!$B$28,IF(Skills!C4=2,90+Inputs!$B$25+Inputs!$B$28,IF(Skills!C4=3,120+(Inputs!$B$26+1)+Inputs!$B$28,MAX(0,(Inputs!$B$3-100)*3)+Inputs!$B$27+Inputs!$B$28)))</f>
        <v/>
      </c>
      <c r="E902">
        <f>INDEX(FactorTable!$B$2:$Y$301, MATCH(ROUND(MIN(300,MAX(1,D902)),0), FactorTable!$A$2:$A$301,0), Skills!M4+1)</f>
        <v/>
      </c>
      <c r="F902">
        <f>IF(Skills!N4=TRUE,(Skills!L4/10)*(E902/1000),Skills!L4/10)+Skills!O4</f>
        <v/>
      </c>
      <c r="G902">
        <f>Skills!G4*IF(Skills!H4&gt;0,Skills!I4/Skills!H4,1)</f>
        <v/>
      </c>
      <c r="H902">
        <f>1-(1-Skills!J4/100)^Skills!K4</f>
        <v/>
      </c>
      <c r="I902" t="inlineStr">
        <is>
          <t>1</t>
        </is>
      </c>
      <c r="J902">
        <f>(Inputs!$B$5*(1+Inputs!$B$6/100))*(F902/100)</f>
        <v/>
      </c>
      <c r="K902">
        <f>J902*(1+((Inputs!$B$11*(1+Inputs!$B$12/100))*0.01+Inputs!$B$13*0.0025)/100)*(1+Inputs!$B$14/100)*(1+IF(Inputs!$B$4="pvp",0,(1-Summary!$B$55)*(Inputs!$B$19+0+Skills!P4+B932)+Summary!$B$55*(Inputs!$B$20+Skills!Q4+B932))/100)*(1+Inputs!$B$15/100)*(5000/(6000+Inputs!$B$7*(1-Inputs!$B$18/100)))*(1+(Inputs!$B$23+((C928=TRUE)*(F928-Calc!F30)))/100)*(1+(IF(Skills!A4="CRUEL_STAB",Inputs!$B$16+((C925=TRUE)*(F925-Calc!F27)),Inputs!$B$17+((C926=TRUE)*(F926-Calc!F28))))/100)*(((1+(((C919=TRUE)*F919*IF(AND(Inputs!$B$4&lt;&gt;"pvp",Inputs!$B$35&gt;0),(((S919-1)*(Skills!Y21*(1+Inputs!$B$33/100))+MIN((Skills!Y21*(1+Inputs!$B$33/100)),MAX(0,Inputs!$B$35-((S919-1)*Skills!D21))))/Inputs!$B$35),IF(Inputs!$B$4="pvp",MIN((Skills!Y21*(1+Inputs!$B$33/100)),15)/15,(Skills!Y21*(1+Inputs!$B$33/100))/Skills!D21)))+((C921=TRUE)*(F921-Calc!F23))+((C915=TRUE)*(F915-Calc!F17)))/100)*(1+((C908=TRUE)*F908*IF(AND(Inputs!$B$4&lt;&gt;"pvp",Inputs!$B$35&gt;0),(((S908-1)*(Skills!Y10*(1+Inputs!$B$33/100))+MIN((Skills!Y10*(1+Inputs!$B$33/100)),MAX(0,Inputs!$B$35-((S908-1)*Skills!D10))))/Inputs!$B$35),IF(Inputs!$B$4="pvp",MIN((Skills!Y10*(1+Inputs!$B$33/100)),15)/15,(Skills!Y10*(1+Inputs!$B$33/100))/Skills!D10)))/100)*(1+((C913=TRUE)*F913*IF(AND(Inputs!$B$4&lt;&gt;"pvp",Inputs!$B$35&gt;0),(((S913-1)*(Skills!Y15*(1+Inputs!$B$33/100))+MIN((Skills!Y15*(1+Inputs!$B$33/100)),MAX(0,Inputs!$B$35-((S913-1)*Skills!D15))))/Inputs!$B$35),IF(Inputs!$B$4="pvp",MIN((Skills!Y15*(1+Inputs!$B$33/100)),15)/15,(Skills!Y15*(1+Inputs!$B$33/100))/Skills!D15)))/100))*B933*I902)</f>
        <v/>
      </c>
      <c r="L902">
        <f>K902*(MIN(Inputs!$B$21+((C922=TRUE)*(F922-Calc!F24)),Inputs!$B$22+((C927=TRUE)*(F927-Calc!F29)))/100+(Inputs!$B$22+((C927=TRUE)*(F927-Calc!F29)))/100)/2</f>
        <v/>
      </c>
      <c r="M902">
        <f>L902*(1+(Inputs!$B$9+((C924=TRUE)*(F924-Calc!F26))+B938)/100)</f>
        <v/>
      </c>
      <c r="N902">
        <f>L902*(1-MIN((Inputs!$B$8+((C923=TRUE)*(F923-Calc!F25))+B931),100)/100)+M902*(MIN((Inputs!$B$8+((C923=TRUE)*(F923-Calc!F25))+B931),100)/100)</f>
        <v/>
      </c>
      <c r="O902">
        <f>IF(C902,H902*N902*IF(AND(Inputs!$B$4&lt;&gt;"pvp",Inputs!$B$35&gt;0),((Skills!G4*((R902-1)*IF(Skills!H4&gt;0,Skills!I4/Skills!H4,1)+IF(Skills!H4&gt;0,MIN(Skills!I4,MAX(0,Inputs!$B$35-((R902-1)*IF(Inputs!$B$4="pvp",15,MAX(0.1,Skills!D4-IF(Skills!E4=TRUE,Inputs!$B$31,0))))))/Skills!H4,1)))/Inputs!$B$35),G902*Q902)*IF(Inputs!$B$4="pvp",1,(1-Summary!$B$55)*(1)+Summary!$B$55*(MIN(MIN(10,0.5*B935*Skills!D4),Inputs!$B$37))),0)</f>
        <v/>
      </c>
      <c r="P902">
        <f>IF(B943=0,0,O902/B943)</f>
        <v/>
      </c>
      <c r="Q902">
        <f>IFERROR(1/IF(Inputs!$B$4="pvp",15,MAX(0.1,Skills!D4-IF(Skills!E4=TRUE,Inputs!$B$31,0))),0)</f>
        <v/>
      </c>
      <c r="R902">
        <f>IF(AND(Inputs!$B$4&lt;&gt;"pvp",Inputs!$B$35&gt;0),(INT(Inputs!$B$35/IF(Inputs!$B$4="pvp",15,MAX(0.1,Skills!D4-IF(Skills!E4=TRUE,Inputs!$B$31,0))))+1),0)</f>
        <v/>
      </c>
      <c r="S902">
        <f>IFERROR(O902/N902,0)</f>
        <v/>
      </c>
      <c r="U902">
        <f>290*U901/1000</f>
        <v/>
      </c>
    </row>
    <row r="903">
      <c r="A903">
        <f>Skills!A5</f>
        <v/>
      </c>
      <c r="B903">
        <f>Skills!B5</f>
        <v/>
      </c>
      <c r="C903">
        <f>Inputs!$B$3&gt;=63</f>
        <v/>
      </c>
      <c r="D903">
        <f>IF(Skills!C5=1,60+Inputs!$B$24+Inputs!$B$28,IF(Skills!C5=2,90+Inputs!$B$25+Inputs!$B$28,IF(Skills!C5=3,120+(Inputs!$B$26+1)+Inputs!$B$28,MAX(0,(Inputs!$B$3-100)*3)+Inputs!$B$27+Inputs!$B$28)))</f>
        <v/>
      </c>
      <c r="E903">
        <f>INDEX(FactorTable!$B$2:$Y$301, MATCH(ROUND(MIN(300,MAX(1,D903)),0), FactorTable!$A$2:$A$301,0), Skills!M5+1)</f>
        <v/>
      </c>
      <c r="F903">
        <f>IF(Skills!N5=TRUE,(Skills!L5/10)*(E903/1000),Skills!L5/10)+Skills!O5</f>
        <v/>
      </c>
      <c r="G903">
        <f>Skills!G5*IF(Skills!H5&gt;0,Skills!I5/Skills!H5,1)</f>
        <v/>
      </c>
      <c r="H903">
        <f>1-(1-Skills!J5/100)^Skills!K5</f>
        <v/>
      </c>
      <c r="I903" t="inlineStr">
        <is>
          <t>1</t>
        </is>
      </c>
      <c r="J903">
        <f>(Inputs!$B$5*(1+Inputs!$B$6/100))*(F903/100)</f>
        <v/>
      </c>
      <c r="K903">
        <f>J903*(1+((Inputs!$B$11*(1+Inputs!$B$12/100))*0.01+Inputs!$B$13*0.0025)/100)*(1+Inputs!$B$14/100)*(1+IF(Inputs!$B$4="pvp",0,(1-Summary!$B$55)*(Inputs!$B$19+0+Skills!P5+B932)+Summary!$B$55*(Inputs!$B$20+Skills!Q5+B932))/100)*(1+Inputs!$B$15/100)*(5000/(6000+Inputs!$B$7*(1-Inputs!$B$18/100)))*(1+(Inputs!$B$23+((C928=TRUE)*(F928-Calc!F30)))/100)*(1+2.6666666666666665*IF(C916=TRUE,F916,0)/100)*(1+(IF(Skills!A5="CRUEL_STAB",Inputs!$B$16+((C925=TRUE)*(F925-Calc!F27)),Inputs!$B$17+((C926=TRUE)*(F926-Calc!F28))))/100)*(((1+(((C919=TRUE)*F919*IF(AND(Inputs!$B$4&lt;&gt;"pvp",Inputs!$B$35&gt;0),(((S919-1)*(Skills!Y21*(1+Inputs!$B$33/100))+MIN((Skills!Y21*(1+Inputs!$B$33/100)),MAX(0,Inputs!$B$35-((S919-1)*Skills!D21))))/Inputs!$B$35),IF(Inputs!$B$4="pvp",MIN((Skills!Y21*(1+Inputs!$B$33/100)),15)/15,(Skills!Y21*(1+Inputs!$B$33/100))/Skills!D21)))+((C921=TRUE)*(F921-Calc!F23))+((C915=TRUE)*(F915-Calc!F17)))/100)*(1+((C908=TRUE)*F908*IF(AND(Inputs!$B$4&lt;&gt;"pvp",Inputs!$B$35&gt;0),(((S908-1)*(Skills!Y10*(1+Inputs!$B$33/100))+MIN((Skills!Y10*(1+Inputs!$B$33/100)),MAX(0,Inputs!$B$35-((S908-1)*Skills!D10))))/Inputs!$B$35),IF(Inputs!$B$4="pvp",MIN((Skills!Y10*(1+Inputs!$B$33/100)),15)/15,(Skills!Y10*(1+Inputs!$B$33/100))/Skills!D10)))/100)*(1+((C913=TRUE)*F913*IF(AND(Inputs!$B$4&lt;&gt;"pvp",Inputs!$B$35&gt;0),(((S913-1)*(Skills!Y15*(1+Inputs!$B$33/100))+MIN((Skills!Y15*(1+Inputs!$B$33/100)),MAX(0,Inputs!$B$35-((S913-1)*Skills!D15))))/Inputs!$B$35),IF(Inputs!$B$4="pvp",MIN((Skills!Y15*(1+Inputs!$B$33/100)),15)/15,(Skills!Y15*(1+Inputs!$B$33/100))/Skills!D15)))/100))*B933*I903)</f>
        <v/>
      </c>
      <c r="L903">
        <f>K903*(MIN(Inputs!$B$21+((C922=TRUE)*(F922-Calc!F24)),Inputs!$B$22+((C927=TRUE)*(F927-Calc!F29)))/100+(Inputs!$B$22+((C927=TRUE)*(F927-Calc!F29)))/100)/2</f>
        <v/>
      </c>
      <c r="M903">
        <f>L903*(1+(Inputs!$B$9+((C924=TRUE)*(F924-Calc!F26))+B938)/100)</f>
        <v/>
      </c>
      <c r="N903">
        <f>L903*(1-MIN((Inputs!$B$8+((C923=TRUE)*(F923-Calc!F25))+B931),100)/100)+M903*(MIN((Inputs!$B$8+((C923=TRUE)*(F923-Calc!F25))+B931),100)/100)</f>
        <v/>
      </c>
      <c r="O903">
        <f>IF(C903,H903*N903*IF(AND(Inputs!$B$4&lt;&gt;"pvp",Inputs!$B$35&gt;0),((Skills!G5*((R903-1)*IF(Skills!H5&gt;0,Skills!I5/Skills!H5,1)+IF(Skills!H5&gt;0,MIN(Skills!I5,MAX(0,Inputs!$B$35-((R903-1)*IF(Inputs!$B$4="pvp",15,MAX(0.1,Skills!D5-IF(Skills!E5=TRUE,Inputs!$B$31,0))))))/Skills!H5,1)))/Inputs!$B$35),G903*Q903)*IF(Inputs!$B$4="pvp",1,(1-Summary!$B$55)*(1)+Summary!$B$55*(MIN(Skills!W5,Inputs!$B$37))),0)</f>
        <v/>
      </c>
      <c r="P903">
        <f>IF(B943=0,0,O903/B943)</f>
        <v/>
      </c>
      <c r="Q903">
        <f>IFERROR(1/IF(Inputs!$B$4="pvp",15,MAX(0.1,Skills!D5-IF(Skills!E5=TRUE,Inputs!$B$31,0))),0)</f>
        <v/>
      </c>
      <c r="R903">
        <f>IF(AND(Inputs!$B$4&lt;&gt;"pvp",Inputs!$B$35&gt;0),(INT(Inputs!$B$35/IF(Inputs!$B$4="pvp",15,MAX(0.1,Skills!D5-IF(Skills!E5=TRUE,Inputs!$B$31,0))))+1),0)</f>
        <v/>
      </c>
      <c r="S903">
        <f>IFERROR(O903/N903,0)</f>
        <v/>
      </c>
    </row>
    <row r="904">
      <c r="A904">
        <f>Skills!A6</f>
        <v/>
      </c>
      <c r="B904">
        <f>Skills!B6</f>
        <v/>
      </c>
      <c r="C904">
        <f>Inputs!$B$3&gt;=69</f>
        <v/>
      </c>
      <c r="D904">
        <f>IF(Skills!C6=1,60+Inputs!$B$24+Inputs!$B$28,IF(Skills!C6=2,90+Inputs!$B$25+Inputs!$B$28,IF(Skills!C6=3,120+(Inputs!$B$26+1)+Inputs!$B$28,MAX(0,(Inputs!$B$3-100)*3)+Inputs!$B$27+Inputs!$B$28)))</f>
        <v/>
      </c>
      <c r="E904">
        <f>INDEX(FactorTable!$B$2:$Y$301, MATCH(ROUND(MIN(300,MAX(1,D904)),0), FactorTable!$A$2:$A$301,0), Skills!M6+1)</f>
        <v/>
      </c>
      <c r="F904">
        <f>IF(Skills!N6=TRUE,(Skills!L6/10)*(E904/1000),Skills!L6/10)+Skills!O6</f>
        <v/>
      </c>
      <c r="G904">
        <f>Skills!G6*IF(Skills!H6&gt;0,Skills!I6/Skills!H6,1)</f>
        <v/>
      </c>
      <c r="H904">
        <f>1-(1-Skills!J6/100)^Skills!K6</f>
        <v/>
      </c>
      <c r="I904" t="inlineStr">
        <is>
          <t>1</t>
        </is>
      </c>
      <c r="J904">
        <f>(Inputs!$B$5*(1+Inputs!$B$6/100))*(F904/100)</f>
        <v/>
      </c>
      <c r="K904">
        <f>J904*(1+((Inputs!$B$11*(1+Inputs!$B$12/100))*0.01+Inputs!$B$13*0.0025)/100)*(1+Inputs!$B$14/100)*(1+IF(Inputs!$B$4="pvp",0,(1-Summary!$B$55)*(Inputs!$B$19+0+Skills!P6+B932)+Summary!$B$55*(Inputs!$B$20+Skills!Q6+B932))/100)*(1+Inputs!$B$15/100)*(5000/(6000+Inputs!$B$7*(1-Inputs!$B$18/100)))*(1+(Inputs!$B$23+((C928=TRUE)*(F928-Calc!F30)))/100)*(1+1.0*IF(C916=TRUE,F916,0)/100)*(1+(IF(Skills!A6="CRUEL_STAB",Inputs!$B$16+((C925=TRUE)*(F925-Calc!F27)),Inputs!$B$17+((C926=TRUE)*(F926-Calc!F28))))/100)*(((1+(((C919=TRUE)*F919*IF(AND(Inputs!$B$4&lt;&gt;"pvp",Inputs!$B$35&gt;0),(((S919-1)*(Skills!Y21*(1+Inputs!$B$33/100))+MIN((Skills!Y21*(1+Inputs!$B$33/100)),MAX(0,Inputs!$B$35-((S919-1)*Skills!D21))))/Inputs!$B$35),IF(Inputs!$B$4="pvp",MIN((Skills!Y21*(1+Inputs!$B$33/100)),15)/15,(Skills!Y21*(1+Inputs!$B$33/100))/Skills!D21)))+((C921=TRUE)*(F921-Calc!F23))+((C915=TRUE)*(F915-Calc!F17)))/100)*(1+((C908=TRUE)*F908*IF(AND(Inputs!$B$4&lt;&gt;"pvp",Inputs!$B$35&gt;0),(((S908-1)*(Skills!Y10*(1+Inputs!$B$33/100))+MIN((Skills!Y10*(1+Inputs!$B$33/100)),MAX(0,Inputs!$B$35-((S908-1)*Skills!D10))))/Inputs!$B$35),IF(Inputs!$B$4="pvp",MIN((Skills!Y10*(1+Inputs!$B$33/100)),15)/15,(Skills!Y10*(1+Inputs!$B$33/100))/Skills!D10)))/100)*(1+((C913=TRUE)*F913*IF(AND(Inputs!$B$4&lt;&gt;"pvp",Inputs!$B$35&gt;0),(((S913-1)*(Skills!Y15*(1+Inputs!$B$33/100))+MIN((Skills!Y15*(1+Inputs!$B$33/100)),MAX(0,Inputs!$B$35-((S913-1)*Skills!D15))))/Inputs!$B$35),IF(Inputs!$B$4="pvp",MIN((Skills!Y15*(1+Inputs!$B$33/100)),15)/15,(Skills!Y15*(1+Inputs!$B$33/100))/Skills!D15)))/100))*B933*I904)</f>
        <v/>
      </c>
      <c r="L904">
        <f>K904*(MIN(Inputs!$B$21+((C922=TRUE)*(F922-Calc!F24)),Inputs!$B$22+((C927=TRUE)*(F927-Calc!F29)))/100+(Inputs!$B$22+((C927=TRUE)*(F927-Calc!F29)))/100)/2</f>
        <v/>
      </c>
      <c r="M904">
        <f>L904*(1+(Inputs!$B$9+((C924=TRUE)*(F924-Calc!F26))+B938)/100)</f>
        <v/>
      </c>
      <c r="N904">
        <f>L904*(1-MIN((Inputs!$B$8+((C923=TRUE)*(F923-Calc!F25))+B931),100)/100)+M904*(MIN((Inputs!$B$8+((C923=TRUE)*(F923-Calc!F25))+B931),100)/100)</f>
        <v/>
      </c>
      <c r="O904">
        <f>IF(C904,H904*N904*IF(AND(Inputs!$B$4&lt;&gt;"pvp",Inputs!$B$35&gt;0),((Skills!G6*((R904-1)*IF(Skills!H6&gt;0,Skills!I6/Skills!H6,1)+IF(Skills!H6&gt;0,MIN(Skills!I6,MAX(0,Inputs!$B$35-((R904-1)*IF(Inputs!$B$4="pvp",15,MAX(0.1,Skills!D6-IF(Skills!E6=TRUE,Inputs!$B$31,0))))))/Skills!H6,1)))/Inputs!$B$35),G904*Q904)*IF(Inputs!$B$4="pvp",1,(1-Summary!$B$55)*(1)+Summary!$B$55*(MIN(Skills!W6,Inputs!$B$37))),0)</f>
        <v/>
      </c>
      <c r="P904">
        <f>IF(B943=0,0,O904/B943)</f>
        <v/>
      </c>
      <c r="Q904">
        <f>IFERROR(1/IF(Inputs!$B$4="pvp",15,MAX(0.1,Skills!D6-IF(Skills!E6=TRUE,Inputs!$B$31,0))),0)</f>
        <v/>
      </c>
      <c r="R904">
        <f>IF(AND(Inputs!$B$4&lt;&gt;"pvp",Inputs!$B$35&gt;0),(INT(Inputs!$B$35/IF(Inputs!$B$4="pvp",15,MAX(0.1,Skills!D6-IF(Skills!E6=TRUE,Inputs!$B$31,0))))+1),0)</f>
        <v/>
      </c>
      <c r="S904">
        <f>IFERROR(O904/N904,0)</f>
        <v/>
      </c>
    </row>
    <row r="905">
      <c r="A905">
        <f>Skills!A7</f>
        <v/>
      </c>
      <c r="B905">
        <f>Skills!B7</f>
        <v/>
      </c>
      <c r="C905">
        <f>Inputs!$B$3&gt;=60</f>
        <v/>
      </c>
      <c r="D905">
        <f>IF(Skills!C7=1,60+Inputs!$B$24+Inputs!$B$28,IF(Skills!C7=2,90+Inputs!$B$25+Inputs!$B$28,IF(Skills!C7=3,120+(Inputs!$B$26+1)+Inputs!$B$28,MAX(0,(Inputs!$B$3-100)*3)+Inputs!$B$27+Inputs!$B$28)))</f>
        <v/>
      </c>
      <c r="E905">
        <f>INDEX(FactorTable!$B$2:$Y$301, MATCH(ROUND(MIN(300,MAX(1,D905)),0), FactorTable!$A$2:$A$301,0), Skills!M7+1)</f>
        <v/>
      </c>
      <c r="F905">
        <f>IF(Skills!N7=TRUE,(Skills!L7/10)*(E905/1000),Skills!L7/10)+Skills!O7</f>
        <v/>
      </c>
      <c r="G905">
        <f>Skills!G7*IF(Skills!H7&gt;0,Skills!I7/Skills!H7,1)</f>
        <v/>
      </c>
      <c r="H905">
        <f>1-(1-Skills!J7/100)^Skills!K7</f>
        <v/>
      </c>
      <c r="I905" t="inlineStr">
        <is>
          <t>1</t>
        </is>
      </c>
      <c r="J905" t="inlineStr"/>
      <c r="K905" t="inlineStr"/>
      <c r="L905" t="inlineStr"/>
      <c r="M905" t="inlineStr"/>
      <c r="N905" t="inlineStr"/>
      <c r="O905" t="n">
        <v>0</v>
      </c>
      <c r="P905">
        <f>IF(B943=0,0,O905/B943)</f>
        <v/>
      </c>
      <c r="Q905" t="n">
        <v>0</v>
      </c>
      <c r="R905" t="n">
        <v>0</v>
      </c>
      <c r="S905">
        <f>IFERROR(O905/N905,0)</f>
        <v/>
      </c>
    </row>
    <row r="906">
      <c r="A906">
        <f>Skills!A8</f>
        <v/>
      </c>
      <c r="B906">
        <f>Skills!B8</f>
        <v/>
      </c>
      <c r="C906">
        <f>Inputs!$B$3&gt;=72</f>
        <v/>
      </c>
      <c r="D906">
        <f>IF(Skills!C8=1,60+Inputs!$B$24+Inputs!$B$28,IF(Skills!C8=2,90+Inputs!$B$25+Inputs!$B$28,IF(Skills!C8=3,120+(Inputs!$B$26+1)+Inputs!$B$28,MAX(0,(Inputs!$B$3-100)*3)+Inputs!$B$27+Inputs!$B$28)))</f>
        <v/>
      </c>
      <c r="E906">
        <f>INDEX(FactorTable!$B$2:$Y$301, MATCH(ROUND(MIN(300,MAX(1,D906)),0), FactorTable!$A$2:$A$301,0), Skills!M8+1)</f>
        <v/>
      </c>
      <c r="F906">
        <f>IF(Skills!N8=TRUE,(Skills!L8/10)*(E906/1000),Skills!L8/10)+Skills!O8</f>
        <v/>
      </c>
      <c r="G906">
        <f>Skills!G8*IF(Skills!H8&gt;0,Skills!I8/Skills!H8,1)</f>
        <v/>
      </c>
      <c r="H906">
        <f>1-(1-Skills!J8/100)^Skills!K8</f>
        <v/>
      </c>
      <c r="I906" t="inlineStr">
        <is>
          <t>1</t>
        </is>
      </c>
      <c r="J906">
        <f>(Inputs!$B$5*(1+Inputs!$B$6/100))*(F906/100)</f>
        <v/>
      </c>
      <c r="K906">
        <f>J906*(1+((Inputs!$B$11*(1+Inputs!$B$12/100))*0.01+Inputs!$B$13*0.0025)/100)*(1+Inputs!$B$14/100)*(1+IF(Inputs!$B$4="pvp",0,(1-Summary!$B$55)*(Inputs!$B$19+0+Skills!P8+B932)+Summary!$B$55*(Inputs!$B$20+Skills!Q8+B932))/100)*(1+Inputs!$B$15/100)*(5000/(6000+Inputs!$B$7*(1-Inputs!$B$18/100)))*(1+(Inputs!$B$23+((C928=TRUE)*(F928-Calc!F30)))/100)*(1+3.3333333333333335*IF(C916=TRUE,F916,0)/100)*(1+(IF(Skills!A8="CRUEL_STAB",Inputs!$B$16+((C925=TRUE)*(F925-Calc!F27)),Inputs!$B$17+((C926=TRUE)*(F926-Calc!F28))))/100)*(((1+(((C919=TRUE)*F919*IF(AND(Inputs!$B$4&lt;&gt;"pvp",Inputs!$B$35&gt;0),(((S919-1)*(Skills!Y21*(1+Inputs!$B$33/100))+MIN((Skills!Y21*(1+Inputs!$B$33/100)),MAX(0,Inputs!$B$35-((S919-1)*Skills!D21))))/Inputs!$B$35),IF(Inputs!$B$4="pvp",MIN((Skills!Y21*(1+Inputs!$B$33/100)),15)/15,(Skills!Y21*(1+Inputs!$B$33/100))/Skills!D21)))+((C921=TRUE)*(F921-Calc!F23))+((C915=TRUE)*(F915-Calc!F17)))/100)*(1+((C908=TRUE)*F908*IF(AND(Inputs!$B$4&lt;&gt;"pvp",Inputs!$B$35&gt;0),(((S908-1)*(Skills!Y10*(1+Inputs!$B$33/100))+MIN((Skills!Y10*(1+Inputs!$B$33/100)),MAX(0,Inputs!$B$35-((S908-1)*Skills!D10))))/Inputs!$B$35),IF(Inputs!$B$4="pvp",MIN((Skills!Y10*(1+Inputs!$B$33/100)),15)/15,(Skills!Y10*(1+Inputs!$B$33/100))/Skills!D10)))/100)*(1+((C913=TRUE)*F913*IF(AND(Inputs!$B$4&lt;&gt;"pvp",Inputs!$B$35&gt;0),(((S913-1)*(Skills!Y15*(1+Inputs!$B$33/100))+MIN((Skills!Y15*(1+Inputs!$B$33/100)),MAX(0,Inputs!$B$35-((S913-1)*Skills!D15))))/Inputs!$B$35),IF(Inputs!$B$4="pvp",MIN((Skills!Y15*(1+Inputs!$B$33/100)),15)/15,(Skills!Y15*(1+Inputs!$B$33/100))/Skills!D15)))/100))*B933*I906)</f>
        <v/>
      </c>
      <c r="L906">
        <f>K906*(MIN(Inputs!$B$21+((C922=TRUE)*(F922-Calc!F24)),Inputs!$B$22+((C927=TRUE)*(F927-Calc!F29)))/100+(Inputs!$B$22+((C927=TRUE)*(F927-Calc!F29)))/100)/2</f>
        <v/>
      </c>
      <c r="M906">
        <f>L906*(1+(Inputs!$B$9+((C924=TRUE)*(F924-Calc!F26))+B938)/100)</f>
        <v/>
      </c>
      <c r="N906">
        <f>L906*(1-MIN((Inputs!$B$8+((C923=TRUE)*(F923-Calc!F25))+B931),100)/100)+M906*(MIN((Inputs!$B$8+((C923=TRUE)*(F923-Calc!F25))+B931),100)/100)</f>
        <v/>
      </c>
      <c r="O906">
        <f>IF(C906,H906*N906*IF(AND(Inputs!$B$4&lt;&gt;"pvp",Inputs!$B$35&gt;0),((Skills!G8*((R906-1)*IF(Skills!H8&gt;0,Skills!I8/Skills!H8,1)+IF(Skills!H8&gt;0,MIN(Skills!I8,MAX(0,Inputs!$B$35-((R906-1)*IF(Inputs!$B$4="pvp",15,MAX(0.1,Skills!D8-IF(Skills!E8=TRUE,Inputs!$B$31,0))))))/Skills!H8,1)))/Inputs!$B$35),G906*Q906)*IF(Inputs!$B$4="pvp",1,(1-Summary!$B$55)*(1)+Summary!$B$55*(MIN(Skills!W8,Inputs!$B$37))),0)</f>
        <v/>
      </c>
      <c r="P906">
        <f>IF(B943=0,0,O906/B943)</f>
        <v/>
      </c>
      <c r="Q906">
        <f>IFERROR(1/IF(Inputs!$B$4="pvp",15,MAX(0.1,Skills!D8-IF(Skills!E8=TRUE,Inputs!$B$31,0))),0)</f>
        <v/>
      </c>
      <c r="R906">
        <f>IF(AND(Inputs!$B$4&lt;&gt;"pvp",Inputs!$B$35&gt;0),(INT(Inputs!$B$35/IF(Inputs!$B$4="pvp",15,MAX(0.1,Skills!D8-IF(Skills!E8=TRUE,Inputs!$B$31,0))))+1),0)</f>
        <v/>
      </c>
      <c r="S906">
        <f>IFERROR(O906/N906,0)</f>
        <v/>
      </c>
    </row>
    <row r="907">
      <c r="A907">
        <f>Skills!A9</f>
        <v/>
      </c>
      <c r="B907">
        <f>Skills!B9</f>
        <v/>
      </c>
      <c r="C907">
        <f>Inputs!$B$3&gt;=117</f>
        <v/>
      </c>
      <c r="D907">
        <f>IF(Skills!C9=1,60+Inputs!$B$24+Inputs!$B$28,IF(Skills!C9=2,90+Inputs!$B$25+Inputs!$B$28,IF(Skills!C9=3,120+(Inputs!$B$26+1)+Inputs!$B$28,MAX(0,(Inputs!$B$3-100)*3)+Inputs!$B$27+Inputs!$B$28)))</f>
        <v/>
      </c>
      <c r="E907">
        <f>INDEX(FactorTable!$B$2:$Y$301, MATCH(ROUND(MIN(300,MAX(1,D907)),0), FactorTable!$A$2:$A$301,0), Skills!M9+1)</f>
        <v/>
      </c>
      <c r="F907">
        <f>IF(Skills!N9=TRUE,(Skills!L9/10)*(E907/1000),Skills!L9/10)+Skills!O9</f>
        <v/>
      </c>
      <c r="G907">
        <f>Skills!G9*IF(Skills!H9&gt;0,Skills!I9/Skills!H9,1)</f>
        <v/>
      </c>
      <c r="H907">
        <f>1-(1-Skills!J9/100)^Skills!K9</f>
        <v/>
      </c>
      <c r="I907" t="inlineStr">
        <is>
          <t>1</t>
        </is>
      </c>
      <c r="J907">
        <f>(Inputs!$B$5*(1+Inputs!$B$6/100))*(F907/100)</f>
        <v/>
      </c>
      <c r="K907">
        <f>J907*(1+((Inputs!$B$11*(1+Inputs!$B$12/100))*0.01+Inputs!$B$13*0.0025)/100)*(1+Inputs!$B$14/100)*(1+IF(Inputs!$B$4="pvp",0,(1-Summary!$B$55)*(Inputs!$B$19+0+Skills!P9+B932)+Summary!$B$55*(Inputs!$B$20+Skills!Q9+B932))/100)*(1+Inputs!$B$15/100)*(5000/(6000+Inputs!$B$7*(1-Inputs!$B$18/100)))*(1+(Inputs!$B$23+((C928=TRUE)*(F928-Calc!F30)))/100)*(1+(IF(Skills!A9="CRUEL_STAB",Inputs!$B$16+((C925=TRUE)*(F925-Calc!F27)),Inputs!$B$17+((C926=TRUE)*(F926-Calc!F28))))/100)*(((1+(((C919=TRUE)*F919*IF(AND(Inputs!$B$4&lt;&gt;"pvp",Inputs!$B$35&gt;0),(((S919-1)*(Skills!Y21*(1+Inputs!$B$33/100))+MIN((Skills!Y21*(1+Inputs!$B$33/100)),MAX(0,Inputs!$B$35-((S919-1)*Skills!D21))))/Inputs!$B$35),IF(Inputs!$B$4="pvp",MIN((Skills!Y21*(1+Inputs!$B$33/100)),15)/15,(Skills!Y21*(1+Inputs!$B$33/100))/Skills!D21)))+((C921=TRUE)*(F921-Calc!F23))+((C915=TRUE)*(F915-Calc!F17)))/100)*(1+((C908=TRUE)*F908*IF(AND(Inputs!$B$4&lt;&gt;"pvp",Inputs!$B$35&gt;0),(((S908-1)*(Skills!Y10*(1+Inputs!$B$33/100))+MIN((Skills!Y10*(1+Inputs!$B$33/100)),MAX(0,Inputs!$B$35-((S908-1)*Skills!D10))))/Inputs!$B$35),IF(Inputs!$B$4="pvp",MIN((Skills!Y10*(1+Inputs!$B$33/100)),15)/15,(Skills!Y10*(1+Inputs!$B$33/100))/Skills!D10)))/100)*(1+((C913=TRUE)*F913*IF(AND(Inputs!$B$4&lt;&gt;"pvp",Inputs!$B$35&gt;0),(((S913-1)*(Skills!Y15*(1+Inputs!$B$33/100))+MIN((Skills!Y15*(1+Inputs!$B$33/100)),MAX(0,Inputs!$B$35-((S913-1)*Skills!D15))))/Inputs!$B$35),IF(Inputs!$B$4="pvp",MIN((Skills!Y15*(1+Inputs!$B$33/100)),15)/15,(Skills!Y15*(1+Inputs!$B$33/100))/Skills!D15)))/100))*B933*I907)</f>
        <v/>
      </c>
      <c r="L907">
        <f>K907*(MIN(Inputs!$B$21+((C922=TRUE)*(F922-Calc!F24)),Inputs!$B$22+((C927=TRUE)*(F927-Calc!F29)))/100+(Inputs!$B$22+((C927=TRUE)*(F927-Calc!F29)))/100)/2</f>
        <v/>
      </c>
      <c r="M907">
        <f>L907*(1+(Inputs!$B$9+((C924=TRUE)*(F924-Calc!F26))+B938)/100)</f>
        <v/>
      </c>
      <c r="N907">
        <f>L907*(1-MIN((Inputs!$B$8+((C923=TRUE)*(F923-Calc!F25))+B931),100)/100)+M907*(MIN((Inputs!$B$8+((C923=TRUE)*(F923-Calc!F25))+B931),100)/100)</f>
        <v/>
      </c>
      <c r="O907">
        <f>IF(C907,0.2*SUMPRODUCT((Skills!Z2:Z30=TRUE)*(C900:C928=TRUE)*S900:S928)*N907,0)</f>
        <v/>
      </c>
      <c r="P907">
        <f>IF(B943=0,0,O907/B943)</f>
        <v/>
      </c>
      <c r="Q907" t="n">
        <v>0</v>
      </c>
      <c r="R907" t="n">
        <v>0</v>
      </c>
      <c r="S907" t="n">
        <v>0</v>
      </c>
    </row>
    <row r="908">
      <c r="A908">
        <f>Skills!A10</f>
        <v/>
      </c>
      <c r="B908">
        <f>Skills!B10</f>
        <v/>
      </c>
      <c r="C908">
        <f>Inputs!$B$3&gt;=74</f>
        <v/>
      </c>
      <c r="D908">
        <f>IF(Skills!C10=1,60+Inputs!$B$24+Inputs!$B$28,IF(Skills!C10=2,90+Inputs!$B$25+Inputs!$B$28,IF(Skills!C10=3,120+(Inputs!$B$26+1)+Inputs!$B$28,MAX(0,(Inputs!$B$3-100)*3)+Inputs!$B$27+Inputs!$B$28)))</f>
        <v/>
      </c>
      <c r="E908">
        <f>INDEX(FactorTable!$B$2:$Y$301, MATCH(ROUND(MIN(300,MAX(1,D908)),0), FactorTable!$A$2:$A$301,0), Skills!M10+1)</f>
        <v/>
      </c>
      <c r="F908">
        <f>IF(Skills!N10=TRUE,(Skills!L10/10)*(E908/1000),Skills!L10/10)+Skills!O10</f>
        <v/>
      </c>
      <c r="G908">
        <f>Skills!G10*IF(Skills!H10&gt;0,Skills!I10/Skills!H10,1)</f>
        <v/>
      </c>
      <c r="H908">
        <f>1-(1-Skills!J10/100)^Skills!K10</f>
        <v/>
      </c>
      <c r="I908" t="inlineStr">
        <is>
          <t>1</t>
        </is>
      </c>
      <c r="J908" t="inlineStr"/>
      <c r="K908" t="inlineStr"/>
      <c r="L908" t="inlineStr"/>
      <c r="M908" t="inlineStr"/>
      <c r="N908" t="inlineStr"/>
      <c r="O908" t="n">
        <v>0</v>
      </c>
      <c r="P908">
        <f>IF(B943=0,0,O908/B943)</f>
        <v/>
      </c>
      <c r="Q908">
        <f>IFERROR(1/IF(Inputs!$B$4="pvp",15,MAX(0.1,Skills!D10-IF(Skills!E10=TRUE,Inputs!$B$31,0))),0)</f>
        <v/>
      </c>
      <c r="R908">
        <f>IF(AND(Inputs!$B$4&lt;&gt;"pvp",Inputs!$B$35&gt;0),(INT(Inputs!$B$35/IF(Inputs!$B$4="pvp",15,MAX(0.1,Skills!D10-IF(Skills!E10=TRUE,Inputs!$B$31,0))))+1),0)</f>
        <v/>
      </c>
      <c r="S908">
        <f>IFERROR(O908/N908,0)</f>
        <v/>
      </c>
    </row>
    <row r="909">
      <c r="A909">
        <f>Skills!A11</f>
        <v/>
      </c>
      <c r="B909">
        <f>Skills!B11</f>
        <v/>
      </c>
      <c r="C909">
        <f>Inputs!$B$3&gt;=103</f>
        <v/>
      </c>
      <c r="D909">
        <f>IF(Skills!C11=1,60+Inputs!$B$24+Inputs!$B$28,IF(Skills!C11=2,90+Inputs!$B$25+Inputs!$B$28,IF(Skills!C11=3,120+(Inputs!$B$26+1)+Inputs!$B$28,MAX(0,(Inputs!$B$3-100)*3)+Inputs!$B$27+Inputs!$B$28)))</f>
        <v/>
      </c>
      <c r="E909">
        <f>INDEX(FactorTable!$B$2:$Y$301, MATCH(ROUND(MIN(300,MAX(1,D909)),0), FactorTable!$A$2:$A$301,0), Skills!M11+1)</f>
        <v/>
      </c>
      <c r="F909">
        <f>(Skills!L11/10)*(E909/1000)+IF(Inputs!$B$3&gt;=134,50,0)+0.5*(30000/10)*(INDEX(FactorTable!$B$2:$Y$301, MATCH(ROUND(MIN(300,MAX(1,D909)),0), FactorTable!$A$2:$A$301,0), 13)/1000)*B941</f>
        <v/>
      </c>
      <c r="G909">
        <f>Skills!G11*IF(Skills!H11&gt;0,Skills!I11/Skills!H11,1)</f>
        <v/>
      </c>
      <c r="H909">
        <f>1-(1-Skills!J11/100)^Skills!K11</f>
        <v/>
      </c>
      <c r="I909" t="inlineStr">
        <is>
          <t>1</t>
        </is>
      </c>
      <c r="J909">
        <f>(Inputs!$B$5*(1+Inputs!$B$6/100))*(F909/100)</f>
        <v/>
      </c>
      <c r="K909">
        <f>J909*(1+((Inputs!$B$11*(1+Inputs!$B$12/100))*0.01+Inputs!$B$13*0.0025)/100)*(1+Inputs!$B$14/100)*(1+IF(Inputs!$B$4="pvp",0,(1-Summary!$B$55)*(Inputs!$B$19+0+Skills!P11+B932)+Summary!$B$55*(Inputs!$B$20+Skills!Q11+B932))/100)*(1+Inputs!$B$15/100)*(5000/(6000+Inputs!$B$7*(1-Inputs!$B$18/100)))*(1+(Inputs!$B$23+((C928=TRUE)*(F928-Calc!F30)))/100)*(1+(IF(Skills!A11="CRUEL_STAB",Inputs!$B$16+((C925=TRUE)*(F925-Calc!F27)),Inputs!$B$17+((C926=TRUE)*(F926-Calc!F28))))/100)*(((1+(((C919=TRUE)*F919*IF(AND(Inputs!$B$4&lt;&gt;"pvp",Inputs!$B$35&gt;0),(((S919-1)*(Skills!Y21*(1+Inputs!$B$33/100))+MIN((Skills!Y21*(1+Inputs!$B$33/100)),MAX(0,Inputs!$B$35-((S919-1)*Skills!D21))))/Inputs!$B$35),IF(Inputs!$B$4="pvp",MIN((Skills!Y21*(1+Inputs!$B$33/100)),15)/15,(Skills!Y21*(1+Inputs!$B$33/100))/Skills!D21)))+((C921=TRUE)*(F921-Calc!F23))+((C915=TRUE)*(F915-Calc!F17)))/100)*(1+((C908=TRUE)*F908*IF(AND(Inputs!$B$4&lt;&gt;"pvp",Inputs!$B$35&gt;0),(((S908-1)*(Skills!Y10*(1+Inputs!$B$33/100))+MIN((Skills!Y10*(1+Inputs!$B$33/100)),MAX(0,Inputs!$B$35-((S908-1)*Skills!D10))))/Inputs!$B$35),IF(Inputs!$B$4="pvp",MIN((Skills!Y10*(1+Inputs!$B$33/100)),15)/15,(Skills!Y10*(1+Inputs!$B$33/100))/Skills!D10)))/100)*(1+((C913=TRUE)*F913*IF(AND(Inputs!$B$4&lt;&gt;"pvp",Inputs!$B$35&gt;0),(((S913-1)*(Skills!Y15*(1+Inputs!$B$33/100))+MIN((Skills!Y15*(1+Inputs!$B$33/100)),MAX(0,Inputs!$B$35-((S913-1)*Skills!D15))))/Inputs!$B$35),IF(Inputs!$B$4="pvp",MIN((Skills!Y15*(1+Inputs!$B$33/100)),15)/15,(Skills!Y15*(1+Inputs!$B$33/100))/Skills!D15)))/100))*B933*I909)</f>
        <v/>
      </c>
      <c r="L909">
        <f>K909*(MIN(Inputs!$B$21+((C922=TRUE)*(F922-Calc!F24)),Inputs!$B$22+((C927=TRUE)*(F927-Calc!F29)))/100+(Inputs!$B$22+((C927=TRUE)*(F927-Calc!F29)))/100)/2</f>
        <v/>
      </c>
      <c r="M909">
        <f>L909*(1+(Inputs!$B$9+((C924=TRUE)*(F924-Calc!F26))+B938)/100)</f>
        <v/>
      </c>
      <c r="N909">
        <f>L909*(1-MIN((Inputs!$B$8+((C923=TRUE)*(F923-Calc!F25))+B931),100)/100)+M909*(MIN((Inputs!$B$8+((C923=TRUE)*(F923-Calc!F25))+B931),100)/100)</f>
        <v/>
      </c>
      <c r="O909">
        <f>IF(C909,H909*N909*IF(AND(Inputs!$B$4&lt;&gt;"pvp",Inputs!$B$35&gt;0),((Skills!G11*((R909-1)*IF(Skills!H11&gt;0,Skills!I11/Skills!H11,1)+IF(Skills!H11&gt;0,MIN(Skills!I11,MAX(0,Inputs!$B$35-((R909-1)*IF(Inputs!$B$4="pvp",15,MAX(0.1,Skills!D11-IF(Skills!E11=TRUE,Inputs!$B$31,0))))))/Skills!H11,1)))/Inputs!$B$35),G909*Q909)*IF(Inputs!$B$4="pvp",1,(1-Summary!$B$55)*(1)+Summary!$B$55*(MIN(Skills!W11,Inputs!$B$37))),0)</f>
        <v/>
      </c>
      <c r="P909">
        <f>IF(B943=0,0,O909/B943)</f>
        <v/>
      </c>
      <c r="Q909">
        <f>IFERROR(1/IF(Inputs!$B$4="pvp",15,MAX(0.1,Skills!D11-IF(Skills!E11=TRUE,Inputs!$B$31,0))),0)</f>
        <v/>
      </c>
      <c r="R909">
        <f>IF(AND(Inputs!$B$4&lt;&gt;"pvp",Inputs!$B$35&gt;0),(INT(Inputs!$B$35/IF(Inputs!$B$4="pvp",15,MAX(0.1,Skills!D11-IF(Skills!E11=TRUE,Inputs!$B$31,0))))+1),0)</f>
        <v/>
      </c>
      <c r="S909">
        <f>IFERROR(O909/N909,0)</f>
        <v/>
      </c>
    </row>
    <row r="910">
      <c r="A910">
        <f>Skills!A12</f>
        <v/>
      </c>
      <c r="B910">
        <f>Skills!B12</f>
        <v/>
      </c>
      <c r="C910">
        <f>Inputs!$B$3&gt;=105</f>
        <v/>
      </c>
      <c r="D910">
        <f>IF(Skills!C12=1,60+Inputs!$B$24+Inputs!$B$28,IF(Skills!C12=2,90+Inputs!$B$25+Inputs!$B$28,IF(Skills!C12=3,120+(Inputs!$B$26+1)+Inputs!$B$28,MAX(0,(Inputs!$B$3-100)*3)+Inputs!$B$27+Inputs!$B$28)))</f>
        <v/>
      </c>
      <c r="E910">
        <f>INDEX(FactorTable!$B$2:$Y$301, MATCH(ROUND(MIN(300,MAX(1,D910)),0), FactorTable!$A$2:$A$301,0), Skills!M12+1)</f>
        <v/>
      </c>
      <c r="F910">
        <f>IF(Skills!N12=TRUE,(Skills!L12/10)*(E910/1000),Skills!L12/10)+Skills!O12</f>
        <v/>
      </c>
      <c r="G910">
        <f>Skills!G12*IF(Skills!H12&gt;0,Skills!I12/Skills!H12,1)</f>
        <v/>
      </c>
      <c r="H910">
        <f>1-(1-Skills!J12/100)^Skills!K12</f>
        <v/>
      </c>
      <c r="I910" t="inlineStr">
        <is>
          <t>1</t>
        </is>
      </c>
      <c r="J910">
        <f>(Inputs!$B$5*(1+Inputs!$B$6/100))*(F910/100)</f>
        <v/>
      </c>
      <c r="K910">
        <f>J910*(1+((Inputs!$B$11*(1+Inputs!$B$12/100))*0.01+Inputs!$B$13*0.0025)/100)*(1+Inputs!$B$14/100)*(1+IF(Inputs!$B$4="pvp",0,(1-Summary!$B$55)*(Inputs!$B$19+0+Skills!P12+B932)+Summary!$B$55*(Inputs!$B$20+Skills!Q12+B932))/100)*(1+Inputs!$B$15/100)*(5000/(6000+Inputs!$B$7*(1-Inputs!$B$18/100)))*(1+(Inputs!$B$23+((C928=TRUE)*(F928-Calc!F30)))/100)*(1+(IF(Skills!A12="CRUEL_STAB",Inputs!$B$16+((C925=TRUE)*(F925-Calc!F27)),Inputs!$B$17+((C926=TRUE)*(F926-Calc!F28))))/100)*(((1+(((C919=TRUE)*F919*IF(AND(Inputs!$B$4&lt;&gt;"pvp",Inputs!$B$35&gt;0),(((S919-1)*(Skills!Y21*(1+Inputs!$B$33/100))+MIN((Skills!Y21*(1+Inputs!$B$33/100)),MAX(0,Inputs!$B$35-((S919-1)*Skills!D21))))/Inputs!$B$35),IF(Inputs!$B$4="pvp",MIN((Skills!Y21*(1+Inputs!$B$33/100)),15)/15,(Skills!Y21*(1+Inputs!$B$33/100))/Skills!D21)))+((C921=TRUE)*(F921-Calc!F23))+((C915=TRUE)*(F915-Calc!F17)))/100)*(1+((C908=TRUE)*F908*IF(AND(Inputs!$B$4&lt;&gt;"pvp",Inputs!$B$35&gt;0),(((S908-1)*(Skills!Y10*(1+Inputs!$B$33/100))+MIN((Skills!Y10*(1+Inputs!$B$33/100)),MAX(0,Inputs!$B$35-((S908-1)*Skills!D10))))/Inputs!$B$35),IF(Inputs!$B$4="pvp",MIN((Skills!Y10*(1+Inputs!$B$33/100)),15)/15,(Skills!Y10*(1+Inputs!$B$33/100))/Skills!D10)))/100)*(1+((C913=TRUE)*F913*IF(AND(Inputs!$B$4&lt;&gt;"pvp",Inputs!$B$35&gt;0),(((S913-1)*(Skills!Y15*(1+Inputs!$B$33/100))+MIN((Skills!Y15*(1+Inputs!$B$33/100)),MAX(0,Inputs!$B$35-((S913-1)*Skills!D15))))/Inputs!$B$35),IF(Inputs!$B$4="pvp",MIN((Skills!Y15*(1+Inputs!$B$33/100)),15)/15,(Skills!Y15*(1+Inputs!$B$33/100))/Skills!D15)))/100))*B933*I910)</f>
        <v/>
      </c>
      <c r="L910">
        <f>K910*(MIN(Inputs!$B$21+((C922=TRUE)*(F922-Calc!F24)),Inputs!$B$22+((C927=TRUE)*(F927-Calc!F29)))/100+(Inputs!$B$22+((C927=TRUE)*(F927-Calc!F29)))/100)/2</f>
        <v/>
      </c>
      <c r="M910">
        <f>L910*(1+(Inputs!$B$9+((C924=TRUE)*(F924-Calc!F26))+B938)/100)</f>
        <v/>
      </c>
      <c r="N910">
        <f>L910*(1-MIN((Inputs!$B$8+((C923=TRUE)*(F923-Calc!F25))+B931),100)/100)+M910*(MIN((Inputs!$B$8+((C923=TRUE)*(F923-Calc!F25))+B931),100)/100)</f>
        <v/>
      </c>
      <c r="O910">
        <f>IF(C910,H910*N910*IF(AND(Inputs!$B$4&lt;&gt;"pvp",Inputs!$B$35&gt;0),((Skills!G12*((R910-1)*IF(Skills!H12&gt;0,Skills!I12/Skills!H12,1)+IF(Skills!H12&gt;0,MIN(Skills!I12,MAX(0,Inputs!$B$35-((R910-1)*IF(Inputs!$B$4="pvp",15,MAX(0.1,Skills!D12-IF(Skills!E12=TRUE,Inputs!$B$31,0))))))/Skills!H12,1)))/Inputs!$B$35),G910*Q910)*IF(Inputs!$B$4="pvp",1,(1-Summary!$B$55)*(1)+Summary!$B$55*(MIN(Skills!W12,Inputs!$B$37))),0)</f>
        <v/>
      </c>
      <c r="P910">
        <f>IF(B943=0,0,O910/B943)</f>
        <v/>
      </c>
      <c r="Q910">
        <f>IFERROR(1/IF(Inputs!$B$4="pvp",15,MAX(0.1,Skills!D12-IF(Skills!E12=TRUE,Inputs!$B$31,0))),0)</f>
        <v/>
      </c>
      <c r="R910">
        <f>IF(AND(Inputs!$B$4&lt;&gt;"pvp",Inputs!$B$35&gt;0),(INT(Inputs!$B$35/IF(Inputs!$B$4="pvp",15,MAX(0.1,Skills!D12-IF(Skills!E12=TRUE,Inputs!$B$31,0))))+1),0)</f>
        <v/>
      </c>
      <c r="S910">
        <f>IFERROR(O910/N910,0)</f>
        <v/>
      </c>
    </row>
    <row r="911">
      <c r="A911">
        <f>Skills!A13</f>
        <v/>
      </c>
      <c r="B911">
        <f>Skills!B13</f>
        <v/>
      </c>
      <c r="C911">
        <f>Inputs!$B$3&gt;=105</f>
        <v/>
      </c>
      <c r="D911">
        <f>IF(Skills!C13=1,60+Inputs!$B$24+Inputs!$B$28,IF(Skills!C13=2,90+Inputs!$B$25+Inputs!$B$28,IF(Skills!C13=3,120+(Inputs!$B$26+1)+Inputs!$B$28,MAX(0,(Inputs!$B$3-100)*3)+Inputs!$B$27+Inputs!$B$28)))</f>
        <v/>
      </c>
      <c r="E911">
        <f>INDEX(FactorTable!$B$2:$Y$301, MATCH(ROUND(MIN(300,MAX(1,D911)),0), FactorTable!$A$2:$A$301,0), Skills!M13+1)</f>
        <v/>
      </c>
      <c r="F911">
        <f>IF(Skills!N13=TRUE,(Skills!L13/10)*(E911/1000),Skills!L13/10)+Skills!O13</f>
        <v/>
      </c>
      <c r="G911">
        <f>Skills!G13*IF(Skills!H13&gt;0,Skills!I13/Skills!H13,1)</f>
        <v/>
      </c>
      <c r="H911">
        <f>1-(1-Skills!J13/100)^Skills!K13</f>
        <v/>
      </c>
      <c r="I911" t="inlineStr">
        <is>
          <t>1</t>
        </is>
      </c>
      <c r="J911">
        <f>(Inputs!$B$5*(1+Inputs!$B$6/100))*(F911/100)</f>
        <v/>
      </c>
      <c r="K911">
        <f>J911*(1+((Inputs!$B$11*(1+Inputs!$B$12/100))*0.01+Inputs!$B$13*0.0025)/100)*(1+Inputs!$B$14/100)*(1+IF(Inputs!$B$4="pvp",0,(1-Summary!$B$55)*(Inputs!$B$19+0+Skills!P13+B932)+Summary!$B$55*(Inputs!$B$20+Skills!Q13+B932))/100)*(1+Inputs!$B$15/100)*(5000/(6000+Inputs!$B$7*(1-Inputs!$B$18/100)))*(1+(Inputs!$B$23+((C928=TRUE)*(F928-Calc!F30)))/100)*(1+(IF(Skills!A13="CRUEL_STAB",Inputs!$B$16+((C925=TRUE)*(F925-Calc!F27)),Inputs!$B$17+((C926=TRUE)*(F926-Calc!F28))))/100)*(((1+(((C919=TRUE)*F919*IF(AND(Inputs!$B$4&lt;&gt;"pvp",Inputs!$B$35&gt;0),(((S919-1)*(Skills!Y21*(1+Inputs!$B$33/100))+MIN((Skills!Y21*(1+Inputs!$B$33/100)),MAX(0,Inputs!$B$35-((S919-1)*Skills!D21))))/Inputs!$B$35),IF(Inputs!$B$4="pvp",MIN((Skills!Y21*(1+Inputs!$B$33/100)),15)/15,(Skills!Y21*(1+Inputs!$B$33/100))/Skills!D21)))+((C921=TRUE)*(F921-Calc!F23))+((C915=TRUE)*(F915-Calc!F17)))/100)*(1+((C908=TRUE)*F908*IF(AND(Inputs!$B$4&lt;&gt;"pvp",Inputs!$B$35&gt;0),(((S908-1)*(Skills!Y10*(1+Inputs!$B$33/100))+MIN((Skills!Y10*(1+Inputs!$B$33/100)),MAX(0,Inputs!$B$35-((S908-1)*Skills!D10))))/Inputs!$B$35),IF(Inputs!$B$4="pvp",MIN((Skills!Y10*(1+Inputs!$B$33/100)),15)/15,(Skills!Y10*(1+Inputs!$B$33/100))/Skills!D10)))/100)*(1+((C913=TRUE)*F913*IF(AND(Inputs!$B$4&lt;&gt;"pvp",Inputs!$B$35&gt;0),(((S913-1)*(Skills!Y15*(1+Inputs!$B$33/100))+MIN((Skills!Y15*(1+Inputs!$B$33/100)),MAX(0,Inputs!$B$35-((S913-1)*Skills!D15))))/Inputs!$B$35),IF(Inputs!$B$4="pvp",MIN((Skills!Y15*(1+Inputs!$B$33/100)),15)/15,(Skills!Y15*(1+Inputs!$B$33/100))/Skills!D15)))/100))*B933*I911)</f>
        <v/>
      </c>
      <c r="L911">
        <f>K911*(MIN(Inputs!$B$21+((C922=TRUE)*(F922-Calc!F24)),Inputs!$B$22+((C927=TRUE)*(F927-Calc!F29)))/100+(Inputs!$B$22+((C927=TRUE)*(F927-Calc!F29)))/100)/2</f>
        <v/>
      </c>
      <c r="M911">
        <f>L911*(1+(Inputs!$B$9+((C924=TRUE)*(F924-Calc!F26))+B938)/100)</f>
        <v/>
      </c>
      <c r="N911">
        <f>L911*(1-MIN((Inputs!$B$8+((C923=TRUE)*(F923-Calc!F25))+B931),100)/100)+M911*(MIN((Inputs!$B$8+((C923=TRUE)*(F923-Calc!F25))+B931),100)/100)</f>
        <v/>
      </c>
      <c r="O911">
        <f>IF(C911,H911*N911*IF(AND(Inputs!$B$4&lt;&gt;"pvp",Inputs!$B$35&gt;0),((Skills!G13*((R911-1)*IF(Skills!H13&gt;0,Skills!I13/Skills!H13,1)+IF(Skills!H13&gt;0,MIN(Skills!I13,MAX(0,Inputs!$B$35-((R911-1)*IF(Inputs!$B$4="pvp",15,MAX(0.1,Skills!D13-IF(Skills!E13=TRUE,Inputs!$B$31,0))))))/Skills!H13,1)))/Inputs!$B$35),G911*Q911)*IF(Inputs!$B$4="pvp",1,(1-Summary!$B$55)*(1)+Summary!$B$55*(MIN(Skills!W13,Inputs!$B$37))),0)</f>
        <v/>
      </c>
      <c r="P911">
        <f>IF(B943=0,0,O911/B943)</f>
        <v/>
      </c>
      <c r="Q911">
        <f>IFERROR(1/IF(Inputs!$B$4="pvp",15,MAX(0.1,Skills!D13-IF(Skills!E13=TRUE,Inputs!$B$31,0))),0)</f>
        <v/>
      </c>
      <c r="R911">
        <f>IF(AND(Inputs!$B$4&lt;&gt;"pvp",Inputs!$B$35&gt;0),(INT(Inputs!$B$35/IF(Inputs!$B$4="pvp",15,MAX(0.1,Skills!D13-IF(Skills!E13=TRUE,Inputs!$B$31,0))))+1),0)</f>
        <v/>
      </c>
      <c r="S911">
        <f>IFERROR(O911/N911,0)</f>
        <v/>
      </c>
    </row>
    <row r="912">
      <c r="A912">
        <f>Skills!A14</f>
        <v/>
      </c>
      <c r="B912">
        <f>Skills!B14</f>
        <v/>
      </c>
      <c r="C912">
        <f>Inputs!$B$3&gt;=107</f>
        <v/>
      </c>
      <c r="D912">
        <f>IF(Skills!C14=1,60+Inputs!$B$24+Inputs!$B$28,IF(Skills!C14=2,90+Inputs!$B$25+Inputs!$B$28,IF(Skills!C14=3,120+(Inputs!$B$26+1)+Inputs!$B$28,MAX(0,(Inputs!$B$3-100)*3)+Inputs!$B$27+Inputs!$B$28)))</f>
        <v/>
      </c>
      <c r="E912">
        <f>INDEX(FactorTable!$B$2:$Y$301, MATCH(ROUND(MIN(300,MAX(1,D912)),0), FactorTable!$A$2:$A$301,0), Skills!M14+1)</f>
        <v/>
      </c>
      <c r="F912">
        <f>IF(Skills!N14=TRUE,(Skills!L14/10)*(E912/1000),Skills!L14/10)+Skills!O14</f>
        <v/>
      </c>
      <c r="G912">
        <f>Skills!G14*IF(Skills!H14&gt;0,Skills!I14/Skills!H14,1)</f>
        <v/>
      </c>
      <c r="H912">
        <f>1-(1-Skills!J14/100)^Skills!K14</f>
        <v/>
      </c>
      <c r="I912" t="inlineStr">
        <is>
          <t>1</t>
        </is>
      </c>
      <c r="J912">
        <f>(Inputs!$B$5*(1+Inputs!$B$6/100))*(F912/100)</f>
        <v/>
      </c>
      <c r="K912">
        <f>J912*(1+((Inputs!$B$11*(1+Inputs!$B$12/100))*0.01+Inputs!$B$13*0.0025)/100)*(1+Inputs!$B$14/100)*(1+IF(Inputs!$B$4="pvp",0,(1-Summary!$B$55)*(Inputs!$B$19+0+Skills!P14+B932)+Summary!$B$55*(Inputs!$B$20+Skills!Q14+B932))/100)*(1+Inputs!$B$15/100)*(5000/(6000+Inputs!$B$7*(1-Inputs!$B$18/100)))*(1+(Inputs!$B$23+((C928=TRUE)*(F928-Calc!F30)))/100)*(1+(IF(Skills!A14="CRUEL_STAB",Inputs!$B$16+((C925=TRUE)*(F925-Calc!F27)),Inputs!$B$17+((C926=TRUE)*(F926-Calc!F28))))/100)*(((1+(((C919=TRUE)*F919*IF(AND(Inputs!$B$4&lt;&gt;"pvp",Inputs!$B$35&gt;0),(((S919-1)*(Skills!Y21*(1+Inputs!$B$33/100))+MIN((Skills!Y21*(1+Inputs!$B$33/100)),MAX(0,Inputs!$B$35-((S919-1)*Skills!D21))))/Inputs!$B$35),IF(Inputs!$B$4="pvp",MIN((Skills!Y21*(1+Inputs!$B$33/100)),15)/15,(Skills!Y21*(1+Inputs!$B$33/100))/Skills!D21)))+((C921=TRUE)*(F921-Calc!F23))+((C915=TRUE)*(F915-Calc!F17)))/100)*(1+((C908=TRUE)*F908*IF(AND(Inputs!$B$4&lt;&gt;"pvp",Inputs!$B$35&gt;0),(((S908-1)*(Skills!Y10*(1+Inputs!$B$33/100))+MIN((Skills!Y10*(1+Inputs!$B$33/100)),MAX(0,Inputs!$B$35-((S908-1)*Skills!D10))))/Inputs!$B$35),IF(Inputs!$B$4="pvp",MIN((Skills!Y10*(1+Inputs!$B$33/100)),15)/15,(Skills!Y10*(1+Inputs!$B$33/100))/Skills!D10)))/100)*(1+((C913=TRUE)*F913*IF(AND(Inputs!$B$4&lt;&gt;"pvp",Inputs!$B$35&gt;0),(((S913-1)*(Skills!Y15*(1+Inputs!$B$33/100))+MIN((Skills!Y15*(1+Inputs!$B$33/100)),MAX(0,Inputs!$B$35-((S913-1)*Skills!D15))))/Inputs!$B$35),IF(Inputs!$B$4="pvp",MIN((Skills!Y15*(1+Inputs!$B$33/100)),15)/15,(Skills!Y15*(1+Inputs!$B$33/100))/Skills!D15)))/100))*B933*I912)</f>
        <v/>
      </c>
      <c r="L912">
        <f>K912*(MIN(Inputs!$B$21+((C922=TRUE)*(F922-Calc!F24)),Inputs!$B$22+((C927=TRUE)*(F927-Calc!F29)))/100+(Inputs!$B$22+((C927=TRUE)*(F927-Calc!F29)))/100)/2</f>
        <v/>
      </c>
      <c r="M912">
        <f>L912*(1+(Inputs!$B$9+((C924=TRUE)*(F924-Calc!F26))+B938)/100)</f>
        <v/>
      </c>
      <c r="N912">
        <f>L912*(1-MIN((Inputs!$B$8+((C923=TRUE)*(F923-Calc!F25))+B931),100)/100)+M912*(MIN((Inputs!$B$8+((C923=TRUE)*(F923-Calc!F25))+B931),100)/100)</f>
        <v/>
      </c>
      <c r="O912">
        <f>IF(C912,H912*N912*IF(AND(Inputs!$B$4&lt;&gt;"pvp",Inputs!$B$35&gt;0),((Skills!G14*((R912-1)*IF(Skills!H14&gt;0,Skills!I14/Skills!H14,1)+IF(Skills!H14&gt;0,MIN(Skills!I14,MAX(0,Inputs!$B$35-((R912-1)*IF(Inputs!$B$4="pvp",15,MAX(0.1,Skills!D14-IF(Skills!E14=TRUE,Inputs!$B$31,0))))))/Skills!H14,1)))/Inputs!$B$35),G912*Q912)*IF(Inputs!$B$4="pvp",1,(1-Summary!$B$55)*(1)+Summary!$B$55*(MIN(MIN(5,0.25*B935*Skills!D4)*Skills!V14,Inputs!$B$37))),0)</f>
        <v/>
      </c>
      <c r="P912">
        <f>IF(B943=0,0,O912/B943)</f>
        <v/>
      </c>
      <c r="Q912">
        <f>IFERROR(1/IF(Inputs!$B$4="pvp",15,MAX(0.1,Skills!D14-IF(Skills!E14=TRUE,Inputs!$B$31,0))),0)</f>
        <v/>
      </c>
      <c r="R912">
        <f>IF(AND(Inputs!$B$4&lt;&gt;"pvp",Inputs!$B$35&gt;0),(INT(Inputs!$B$35/IF(Inputs!$B$4="pvp",15,MAX(0.1,Skills!D14-IF(Skills!E14=TRUE,Inputs!$B$31,0))))+1),0)</f>
        <v/>
      </c>
      <c r="S912">
        <f>IFERROR(O912/N912,0)</f>
        <v/>
      </c>
    </row>
    <row r="913">
      <c r="A913">
        <f>Skills!A15</f>
        <v/>
      </c>
      <c r="B913">
        <f>Skills!B15</f>
        <v/>
      </c>
      <c r="C913">
        <f>Inputs!$B$3&gt;=110</f>
        <v/>
      </c>
      <c r="D913">
        <f>IF(Skills!C15=1,60+Inputs!$B$24+Inputs!$B$28,IF(Skills!C15=2,90+Inputs!$B$25+Inputs!$B$28,IF(Skills!C15=3,120+(Inputs!$B$26+1)+Inputs!$B$28,MAX(0,(Inputs!$B$3-100)*3)+Inputs!$B$27+Inputs!$B$28)))</f>
        <v/>
      </c>
      <c r="E913">
        <f>INDEX(FactorTable!$B$2:$Y$301, MATCH(ROUND(MIN(300,MAX(1,D913)),0), FactorTable!$A$2:$A$301,0), Skills!M15+1)</f>
        <v/>
      </c>
      <c r="F913">
        <f>IF(Skills!N15=TRUE,(Skills!L15/10)*(E913/1000),Skills!L15/10)+Skills!O15</f>
        <v/>
      </c>
      <c r="G913">
        <f>Skills!G15*IF(Skills!H15&gt;0,Skills!I15/Skills!H15,1)</f>
        <v/>
      </c>
      <c r="H913">
        <f>1-(1-Skills!J15/100)^Skills!K15</f>
        <v/>
      </c>
      <c r="I913" t="inlineStr">
        <is>
          <t>1</t>
        </is>
      </c>
      <c r="J913" t="inlineStr"/>
      <c r="K913" t="inlineStr"/>
      <c r="L913" t="inlineStr"/>
      <c r="M913" t="inlineStr"/>
      <c r="N913" t="inlineStr"/>
      <c r="O913" t="n">
        <v>0</v>
      </c>
      <c r="P913">
        <f>IF(B943=0,0,O913/B943)</f>
        <v/>
      </c>
      <c r="Q913">
        <f>IFERROR(1/IF(Inputs!$B$4="pvp",15,MAX(0.1,Skills!D15-IF(Skills!E15=TRUE,Inputs!$B$31,0))),0)</f>
        <v/>
      </c>
      <c r="R913">
        <f>IF(AND(Inputs!$B$4&lt;&gt;"pvp",Inputs!$B$35&gt;0),(INT(Inputs!$B$35/IF(Inputs!$B$4="pvp",15,MAX(0.1,Skills!D15-IF(Skills!E15=TRUE,Inputs!$B$31,0))))+1),0)</f>
        <v/>
      </c>
      <c r="S913">
        <f>IFERROR(O913/N913,0)</f>
        <v/>
      </c>
    </row>
    <row r="914">
      <c r="A914">
        <f>Skills!A16</f>
        <v/>
      </c>
      <c r="B914">
        <f>Skills!B16</f>
        <v/>
      </c>
      <c r="C914">
        <f>Inputs!$B$3&gt;=115</f>
        <v/>
      </c>
      <c r="D914">
        <f>IF(Skills!C16=1,60+Inputs!$B$24+Inputs!$B$28,IF(Skills!C16=2,90+Inputs!$B$25+Inputs!$B$28,IF(Skills!C16=3,120+(Inputs!$B$26+1)+Inputs!$B$28,MAX(0,(Inputs!$B$3-100)*3)+Inputs!$B$27+Inputs!$B$28)))</f>
        <v/>
      </c>
      <c r="E914">
        <f>INDEX(FactorTable!$B$2:$Y$301, MATCH(ROUND(MIN(300,MAX(1,D914)),0), FactorTable!$A$2:$A$301,0), Skills!M16+1)</f>
        <v/>
      </c>
      <c r="F914">
        <f>IF(Skills!N16=TRUE,(Skills!L16/10)*(E914/1000),Skills!L16/10)+Skills!O16</f>
        <v/>
      </c>
      <c r="G914">
        <f>Skills!G16*IF(Skills!H16&gt;0,Skills!I16/Skills!H16,1)</f>
        <v/>
      </c>
      <c r="H914">
        <f>1-(1-Skills!J16/100)^Skills!K16</f>
        <v/>
      </c>
      <c r="I914" t="inlineStr">
        <is>
          <t>1</t>
        </is>
      </c>
      <c r="J914">
        <f>(Inputs!$B$5*(1+Inputs!$B$6/100))*(F914/100)</f>
        <v/>
      </c>
      <c r="K914">
        <f>J914*(1+((Inputs!$B$11*(1+Inputs!$B$12/100))*0.01+Inputs!$B$13*0.0025)/100)*(1+Inputs!$B$14/100)*(1+IF(Inputs!$B$4="pvp",0,(1-Summary!$B$55)*(Inputs!$B$19+0+Skills!P16+B932)+Summary!$B$55*(Inputs!$B$20+Skills!Q16+B932))/100)*(1+Inputs!$B$15/100)*(5000/(6000+Inputs!$B$7*(1-Inputs!$B$18/100)))*(1+(Inputs!$B$23+((C928=TRUE)*(F928-Calc!F30)))/100)*(1+(IF(Skills!A16="CRUEL_STAB",Inputs!$B$16+((C925=TRUE)*(F925-Calc!F27)),Inputs!$B$17+((C926=TRUE)*(F926-Calc!F28))))/100)*(((1+(((C919=TRUE)*F919*IF(AND(Inputs!$B$4&lt;&gt;"pvp",Inputs!$B$35&gt;0),(((S919-1)*(Skills!Y21*(1+Inputs!$B$33/100))+MIN((Skills!Y21*(1+Inputs!$B$33/100)),MAX(0,Inputs!$B$35-((S919-1)*Skills!D21))))/Inputs!$B$35),IF(Inputs!$B$4="pvp",MIN((Skills!Y21*(1+Inputs!$B$33/100)),15)/15,(Skills!Y21*(1+Inputs!$B$33/100))/Skills!D21)))+((C921=TRUE)*(F921-Calc!F23))+((C915=TRUE)*(F915-Calc!F17)))/100)*(1+((C908=TRUE)*F908*IF(AND(Inputs!$B$4&lt;&gt;"pvp",Inputs!$B$35&gt;0),(((S908-1)*(Skills!Y10*(1+Inputs!$B$33/100))+MIN((Skills!Y10*(1+Inputs!$B$33/100)),MAX(0,Inputs!$B$35-((S908-1)*Skills!D10))))/Inputs!$B$35),IF(Inputs!$B$4="pvp",MIN((Skills!Y10*(1+Inputs!$B$33/100)),15)/15,(Skills!Y10*(1+Inputs!$B$33/100))/Skills!D10)))/100)*(1+((C913=TRUE)*F913*IF(AND(Inputs!$B$4&lt;&gt;"pvp",Inputs!$B$35&gt;0),(((S913-1)*(Skills!Y15*(1+Inputs!$B$33/100))+MIN((Skills!Y15*(1+Inputs!$B$33/100)),MAX(0,Inputs!$B$35-((S913-1)*Skills!D15))))/Inputs!$B$35),IF(Inputs!$B$4="pvp",MIN((Skills!Y15*(1+Inputs!$B$33/100)),15)/15,(Skills!Y15*(1+Inputs!$B$33/100))/Skills!D15)))/100))*B933*I914)</f>
        <v/>
      </c>
      <c r="L914">
        <f>K914*(MIN(Inputs!$B$21+((C922=TRUE)*(F922-Calc!F24)),Inputs!$B$22+((C927=TRUE)*(F927-Calc!F29)))/100+(Inputs!$B$22+((C927=TRUE)*(F927-Calc!F29)))/100)/2</f>
        <v/>
      </c>
      <c r="M914">
        <f>L914*(1+(Inputs!$B$9+((C924=TRUE)*(F924-Calc!F26))+B938)/100)</f>
        <v/>
      </c>
      <c r="N914">
        <f>L914*(1-MIN((Inputs!$B$8+((C923=TRUE)*(F923-Calc!F25))+B931),100)/100)+M914*(MIN((Inputs!$B$8+((C923=TRUE)*(F923-Calc!F25))+B931),100)/100)</f>
        <v/>
      </c>
      <c r="O914">
        <f>IF(C914,Inputs!$B$38*0.2*N914,0)</f>
        <v/>
      </c>
      <c r="P914">
        <f>IF(B943=0,0,O914/B943)</f>
        <v/>
      </c>
      <c r="Q914" t="n">
        <v>0</v>
      </c>
      <c r="R914" t="n">
        <v>0</v>
      </c>
      <c r="S914">
        <f>IFERROR(O914/N914,0)</f>
        <v/>
      </c>
    </row>
    <row r="915">
      <c r="A915">
        <f>Skills!A17</f>
        <v/>
      </c>
      <c r="B915">
        <f>Skills!B17</f>
        <v/>
      </c>
      <c r="C915">
        <f>Inputs!$B$3&gt;=115</f>
        <v/>
      </c>
      <c r="D915">
        <f>IF(Skills!C17=1,60+Inputs!$B$24+Inputs!$B$28,IF(Skills!C17=2,90+Inputs!$B$25+Inputs!$B$28,IF(Skills!C17=3,120+(Inputs!$B$26+1)+Inputs!$B$28,MAX(0,(Inputs!$B$3-100)*3)+Inputs!$B$27+Inputs!$B$28)))</f>
        <v/>
      </c>
      <c r="E915">
        <f>INDEX(FactorTable!$B$2:$Y$301, MATCH(ROUND(MIN(300,MAX(1,D915)),0), FactorTable!$A$2:$A$301,0), Skills!M17+1)</f>
        <v/>
      </c>
      <c r="F915">
        <f>IF(Skills!N17=TRUE,(Skills!L17/10)*(E915/1000),Skills!L17/10)+Skills!O17</f>
        <v/>
      </c>
      <c r="G915">
        <f>Skills!G17*IF(Skills!H17&gt;0,Skills!I17/Skills!H17,1)</f>
        <v/>
      </c>
      <c r="H915">
        <f>1-(1-Skills!J17/100)^Skills!K17</f>
        <v/>
      </c>
      <c r="I915" t="inlineStr">
        <is>
          <t>1</t>
        </is>
      </c>
      <c r="J915" t="inlineStr"/>
      <c r="K915" t="inlineStr"/>
      <c r="L915" t="inlineStr"/>
      <c r="M915" t="inlineStr"/>
      <c r="N915" t="inlineStr"/>
      <c r="O915" t="n">
        <v>0</v>
      </c>
      <c r="P915">
        <f>IF(B943=0,0,O915/B943)</f>
        <v/>
      </c>
      <c r="Q915" t="n">
        <v>0</v>
      </c>
      <c r="R915" t="n">
        <v>0</v>
      </c>
      <c r="S915">
        <f>IFERROR(O915/N915,0)</f>
        <v/>
      </c>
    </row>
    <row r="916">
      <c r="A916">
        <f>Skills!A18</f>
        <v/>
      </c>
      <c r="B916">
        <f>Skills!B18</f>
        <v/>
      </c>
      <c r="C916">
        <f>Inputs!$B$3&gt;=100</f>
        <v/>
      </c>
      <c r="D916">
        <f>IF(Skills!C18=1,60+Inputs!$B$24+Inputs!$B$28,IF(Skills!C18=2,90+Inputs!$B$25+Inputs!$B$28,IF(Skills!C18=3,120+(Inputs!$B$26+1)+Inputs!$B$28,MAX(0,(Inputs!$B$3-100)*3)+Inputs!$B$27+Inputs!$B$28)))</f>
        <v/>
      </c>
      <c r="E916">
        <f>INDEX(FactorTable!$B$2:$Y$301, MATCH(ROUND(MIN(300,MAX(1,D916)),0), FactorTable!$A$2:$A$301,0), Skills!M18+1)</f>
        <v/>
      </c>
      <c r="F916">
        <f>IF(Skills!N18=TRUE,(Skills!L18/10)*(E916/1000),Skills!L18/10)+Skills!O18</f>
        <v/>
      </c>
      <c r="G916">
        <f>Skills!G18*IF(Skills!H18&gt;0,Skills!I18/Skills!H18,1)</f>
        <v/>
      </c>
      <c r="H916">
        <f>1-(1-Skills!J18/100)^Skills!K18</f>
        <v/>
      </c>
      <c r="I916" t="inlineStr">
        <is>
          <t>1</t>
        </is>
      </c>
      <c r="J916" t="inlineStr"/>
      <c r="K916" t="inlineStr"/>
      <c r="L916" t="inlineStr"/>
      <c r="M916" t="inlineStr"/>
      <c r="N916" t="inlineStr"/>
      <c r="O916" t="n">
        <v>0</v>
      </c>
      <c r="P916">
        <f>IF(B943=0,0,O916/B943)</f>
        <v/>
      </c>
      <c r="Q916" t="n">
        <v>0</v>
      </c>
      <c r="R916" t="n">
        <v>0</v>
      </c>
      <c r="S916">
        <f>IFERROR(O916/N916,0)</f>
        <v/>
      </c>
    </row>
    <row r="917">
      <c r="A917">
        <f>Skills!A19</f>
        <v/>
      </c>
      <c r="B917">
        <f>Skills!B19</f>
        <v/>
      </c>
      <c r="C917">
        <f>TRUE</f>
        <v/>
      </c>
      <c r="D917">
        <f>IF(Skills!C19=1,60+Inputs!$B$24+Inputs!$B$28,IF(Skills!C19=2,90+Inputs!$B$25+Inputs!$B$28,IF(Skills!C19=3,120+(Inputs!$B$26+1)+Inputs!$B$28,MAX(0,(Inputs!$B$3-100)*3)+Inputs!$B$27+Inputs!$B$28)))</f>
        <v/>
      </c>
      <c r="E917">
        <f>INDEX(FactorTable!$B$2:$Y$301, MATCH(ROUND(MIN(300,MAX(1,D917)),0), FactorTable!$A$2:$A$301,0), Skills!M19+1)</f>
        <v/>
      </c>
      <c r="F917">
        <f>IF(Skills!N19=TRUE,(Skills!L19/10)*(E917/1000),Skills!L19/10)+Skills!O19</f>
        <v/>
      </c>
      <c r="G917">
        <f>Skills!G19*IF(Skills!H19&gt;0,Skills!I19/Skills!H19,1)</f>
        <v/>
      </c>
      <c r="H917">
        <f>1-(1-Skills!J19/100)^Skills!K19</f>
        <v/>
      </c>
      <c r="I917" t="inlineStr">
        <is>
          <t>1</t>
        </is>
      </c>
      <c r="J917" t="inlineStr"/>
      <c r="K917" t="inlineStr"/>
      <c r="L917" t="inlineStr"/>
      <c r="M917" t="inlineStr"/>
      <c r="N917" t="inlineStr"/>
      <c r="O917" t="n">
        <v>0</v>
      </c>
      <c r="P917">
        <f>IF(B943=0,0,O917/B943)</f>
        <v/>
      </c>
      <c r="Q917">
        <f>IFERROR(1/IF(Inputs!$B$4="pvp",15,MAX(0.1,Skills!D19-IF(Skills!E19=TRUE,Inputs!$B$31,0))),0)</f>
        <v/>
      </c>
      <c r="R917">
        <f>IF(AND(Inputs!$B$4&lt;&gt;"pvp",Inputs!$B$35&gt;0),(INT(Inputs!$B$35/IF(Inputs!$B$4="pvp",15,MAX(0.1,Skills!D19-IF(Skills!E19=TRUE,Inputs!$B$31,0))))+1),0)</f>
        <v/>
      </c>
      <c r="S917">
        <f>IFERROR(O917/N917,0)</f>
        <v/>
      </c>
    </row>
    <row r="918">
      <c r="A918">
        <f>Skills!A20</f>
        <v/>
      </c>
      <c r="B918">
        <f>Skills!B20</f>
        <v/>
      </c>
      <c r="C918">
        <f>Inputs!$B$3&gt;=15</f>
        <v/>
      </c>
      <c r="D918">
        <f>IF(Skills!C20=1,60+Inputs!$B$24+Inputs!$B$28,IF(Skills!C20=2,90+Inputs!$B$25+Inputs!$B$28,IF(Skills!C20=3,120+(Inputs!$B$26+1)+Inputs!$B$28,MAX(0,(Inputs!$B$3-100)*3)+Inputs!$B$27+Inputs!$B$28)))</f>
        <v/>
      </c>
      <c r="E918">
        <f>INDEX(FactorTable!$B$2:$Y$301, MATCH(ROUND(MIN(300,MAX(1,D918)),0), FactorTable!$A$2:$A$301,0), Skills!M20+1)</f>
        <v/>
      </c>
      <c r="F918">
        <f>IF(Skills!N20=TRUE,(Skills!L20/10)*(E918/1000),Skills!L20/10)+Skills!O20</f>
        <v/>
      </c>
      <c r="G918">
        <f>Skills!G20*IF(Skills!H20&gt;0,Skills!I20/Skills!H20,1)</f>
        <v/>
      </c>
      <c r="H918">
        <f>1-(1-Skills!J20/100)^Skills!K20</f>
        <v/>
      </c>
      <c r="I918" t="inlineStr">
        <is>
          <t>1</t>
        </is>
      </c>
      <c r="J918" t="inlineStr"/>
      <c r="K918" t="inlineStr"/>
      <c r="L918" t="inlineStr"/>
      <c r="M918" t="inlineStr"/>
      <c r="N918" t="inlineStr"/>
      <c r="O918" t="n">
        <v>0</v>
      </c>
      <c r="P918">
        <f>IF(B943=0,0,O918/B943)</f>
        <v/>
      </c>
      <c r="Q918">
        <f>IFERROR(1/IF(Inputs!$B$4="pvp",15,MAX(0.1,Skills!D20-IF(Skills!E20=TRUE,Inputs!$B$31,0))),0)</f>
        <v/>
      </c>
      <c r="R918">
        <f>IF(AND(Inputs!$B$4&lt;&gt;"pvp",Inputs!$B$35&gt;0),(INT(Inputs!$B$35/IF(Inputs!$B$4="pvp",15,MAX(0.1,Skills!D20-IF(Skills!E20=TRUE,Inputs!$B$31,0))))+1),0)</f>
        <v/>
      </c>
      <c r="S918">
        <f>IFERROR(O918/N918,0)</f>
        <v/>
      </c>
    </row>
    <row r="919">
      <c r="A919">
        <f>Skills!A21</f>
        <v/>
      </c>
      <c r="B919">
        <f>Skills!B21</f>
        <v/>
      </c>
      <c r="C919">
        <f>Inputs!$B$3&gt;=15</f>
        <v/>
      </c>
      <c r="D919">
        <f>IF(Skills!C21=1,60+Inputs!$B$24+Inputs!$B$28,IF(Skills!C21=2,90+Inputs!$B$25+Inputs!$B$28,IF(Skills!C21=3,120+(Inputs!$B$26+1)+Inputs!$B$28,MAX(0,(Inputs!$B$3-100)*3)+Inputs!$B$27+Inputs!$B$28)))</f>
        <v/>
      </c>
      <c r="E919">
        <f>INDEX(FactorTable!$B$2:$Y$301, MATCH(ROUND(MIN(300,MAX(1,D919)),0), FactorTable!$A$2:$A$301,0), Skills!M21+1)</f>
        <v/>
      </c>
      <c r="F919">
        <f>IF(Skills!N21=TRUE,(Skills!L21/10)*(E919/1000),Skills!L21/10)+Skills!O21</f>
        <v/>
      </c>
      <c r="G919">
        <f>Skills!G21*IF(Skills!H21&gt;0,Skills!I21/Skills!H21,1)</f>
        <v/>
      </c>
      <c r="H919">
        <f>1-(1-Skills!J21/100)^Skills!K21</f>
        <v/>
      </c>
      <c r="I919" t="inlineStr">
        <is>
          <t>1</t>
        </is>
      </c>
      <c r="J919" t="inlineStr"/>
      <c r="K919" t="inlineStr"/>
      <c r="L919" t="inlineStr"/>
      <c r="M919" t="inlineStr"/>
      <c r="N919" t="inlineStr"/>
      <c r="O919" t="n">
        <v>0</v>
      </c>
      <c r="P919">
        <f>IF(B943=0,0,O919/B943)</f>
        <v/>
      </c>
      <c r="Q919">
        <f>IFERROR(1/IF(Inputs!$B$4="pvp",15,MAX(0.1,Skills!D21-IF(Skills!E21=TRUE,Inputs!$B$31,0))),0)</f>
        <v/>
      </c>
      <c r="R919">
        <f>IF(AND(Inputs!$B$4&lt;&gt;"pvp",Inputs!$B$35&gt;0),(INT(Inputs!$B$35/IF(Inputs!$B$4="pvp",15,MAX(0.1,Skills!D21-IF(Skills!E21=TRUE,Inputs!$B$31,0))))+1),0)</f>
        <v/>
      </c>
      <c r="S919">
        <f>IFERROR(O919/N919,0)</f>
        <v/>
      </c>
    </row>
    <row r="920">
      <c r="A920">
        <f>Skills!A22</f>
        <v/>
      </c>
      <c r="B920">
        <f>Skills!B22</f>
        <v/>
      </c>
      <c r="C920">
        <f>Inputs!$B$3&gt;=33</f>
        <v/>
      </c>
      <c r="D920">
        <f>IF(Skills!C22=1,60+Inputs!$B$24+Inputs!$B$28,IF(Skills!C22=2,90+Inputs!$B$25+Inputs!$B$28,IF(Skills!C22=3,120+(Inputs!$B$26+1)+Inputs!$B$28,MAX(0,(Inputs!$B$3-100)*3)+Inputs!$B$27+Inputs!$B$28)))</f>
        <v/>
      </c>
      <c r="E920">
        <f>INDEX(FactorTable!$B$2:$Y$301, MATCH(ROUND(MIN(300,MAX(1,D920)),0), FactorTable!$A$2:$A$301,0), Skills!M22+1)</f>
        <v/>
      </c>
      <c r="F920">
        <f>IF(Skills!N22=TRUE,(Skills!L22/10)*(E920/1000),Skills!L22/10)+Skills!O22</f>
        <v/>
      </c>
      <c r="G920">
        <f>Skills!G22*IF(Skills!H22&gt;0,Skills!I22/Skills!H22,1)</f>
        <v/>
      </c>
      <c r="H920">
        <f>1-(1-Skills!J22/100)^Skills!K22</f>
        <v/>
      </c>
      <c r="I920" t="inlineStr">
        <is>
          <t>1</t>
        </is>
      </c>
      <c r="J920" t="inlineStr"/>
      <c r="K920" t="inlineStr"/>
      <c r="L920" t="inlineStr"/>
      <c r="M920" t="inlineStr"/>
      <c r="N920" t="inlineStr"/>
      <c r="O920" t="n">
        <v>0</v>
      </c>
      <c r="P920">
        <f>IF(B943=0,0,O920/B943)</f>
        <v/>
      </c>
      <c r="Q920" t="n">
        <v>0</v>
      </c>
      <c r="R920" t="n">
        <v>0</v>
      </c>
      <c r="S920">
        <f>IFERROR(O920/N920,0)</f>
        <v/>
      </c>
    </row>
    <row r="921">
      <c r="A921">
        <f>Skills!A23</f>
        <v/>
      </c>
      <c r="B921">
        <f>Skills!B23</f>
        <v/>
      </c>
      <c r="C921">
        <f>Inputs!$B$3&gt;=40</f>
        <v/>
      </c>
      <c r="D921">
        <f>IF(Skills!C23=1,60+Inputs!$B$24+Inputs!$B$28,IF(Skills!C23=2,90+Inputs!$B$25+Inputs!$B$28,IF(Skills!C23=3,120+(Inputs!$B$26+1)+Inputs!$B$28,MAX(0,(Inputs!$B$3-100)*3)+Inputs!$B$27+Inputs!$B$28)))</f>
        <v/>
      </c>
      <c r="E921">
        <f>INDEX(FactorTable!$B$2:$Y$301, MATCH(ROUND(MIN(300,MAX(1,D921)),0), FactorTable!$A$2:$A$301,0), Skills!M23+1)</f>
        <v/>
      </c>
      <c r="F921">
        <f>IF(Skills!N23=TRUE,(Skills!L23/10)*(E921/1000),Skills!L23/10)+Skills!O23</f>
        <v/>
      </c>
      <c r="G921">
        <f>Skills!G23*IF(Skills!H23&gt;0,Skills!I23/Skills!H23,1)</f>
        <v/>
      </c>
      <c r="H921">
        <f>1-(1-Skills!J23/100)^Skills!K23</f>
        <v/>
      </c>
      <c r="I921" t="inlineStr">
        <is>
          <t>1</t>
        </is>
      </c>
      <c r="J921" t="inlineStr"/>
      <c r="K921" t="inlineStr"/>
      <c r="L921" t="inlineStr"/>
      <c r="M921" t="inlineStr"/>
      <c r="N921" t="inlineStr"/>
      <c r="O921" t="n">
        <v>0</v>
      </c>
      <c r="P921">
        <f>IF(B943=0,0,O921/B943)</f>
        <v/>
      </c>
      <c r="Q921" t="n">
        <v>0</v>
      </c>
      <c r="R921" t="n">
        <v>0</v>
      </c>
      <c r="S921">
        <f>IFERROR(O921/N921,0)</f>
        <v/>
      </c>
    </row>
    <row r="922">
      <c r="A922">
        <f>Skills!A24</f>
        <v/>
      </c>
      <c r="B922">
        <f>Skills!B24</f>
        <v/>
      </c>
      <c r="C922">
        <f>Inputs!$B$3&gt;=43</f>
        <v/>
      </c>
      <c r="D922">
        <f>IF(Skills!C24=1,60+Inputs!$B$24+Inputs!$B$28,IF(Skills!C24=2,90+Inputs!$B$25+Inputs!$B$28,IF(Skills!C24=3,120+(Inputs!$B$26+1)+Inputs!$B$28,MAX(0,(Inputs!$B$3-100)*3)+Inputs!$B$27+Inputs!$B$28)))</f>
        <v/>
      </c>
      <c r="E922">
        <f>INDEX(FactorTable!$B$2:$Y$301, MATCH(ROUND(MIN(300,MAX(1,D922)),0), FactorTable!$A$2:$A$301,0), Skills!M24+1)</f>
        <v/>
      </c>
      <c r="F922">
        <f>IF(Skills!N24=TRUE,(Skills!L24/10)*(E922/1000),Skills!L24/10)+Skills!O24</f>
        <v/>
      </c>
      <c r="G922">
        <f>Skills!G24*IF(Skills!H24&gt;0,Skills!I24/Skills!H24,1)</f>
        <v/>
      </c>
      <c r="H922">
        <f>1-(1-Skills!J24/100)^Skills!K24</f>
        <v/>
      </c>
      <c r="I922" t="inlineStr">
        <is>
          <t>1</t>
        </is>
      </c>
      <c r="J922" t="inlineStr"/>
      <c r="K922" t="inlineStr"/>
      <c r="L922" t="inlineStr"/>
      <c r="M922" t="inlineStr"/>
      <c r="N922" t="inlineStr"/>
      <c r="O922" t="n">
        <v>0</v>
      </c>
      <c r="P922">
        <f>IF(B943=0,0,O922/B943)</f>
        <v/>
      </c>
      <c r="Q922" t="n">
        <v>0</v>
      </c>
      <c r="R922" t="n">
        <v>0</v>
      </c>
      <c r="S922">
        <f>IFERROR(O922/N922,0)</f>
        <v/>
      </c>
    </row>
    <row r="923">
      <c r="A923">
        <f>Skills!A25</f>
        <v/>
      </c>
      <c r="B923">
        <f>Skills!B25</f>
        <v/>
      </c>
      <c r="C923">
        <f>Inputs!$B$3&gt;=50</f>
        <v/>
      </c>
      <c r="D923">
        <f>IF(Skills!C25=1,60+Inputs!$B$24+Inputs!$B$28,IF(Skills!C25=2,90+Inputs!$B$25+Inputs!$B$28,IF(Skills!C25=3,120+(Inputs!$B$26+1)+Inputs!$B$28,MAX(0,(Inputs!$B$3-100)*3)+Inputs!$B$27+Inputs!$B$28)))</f>
        <v/>
      </c>
      <c r="E923">
        <f>INDEX(FactorTable!$B$2:$Y$301, MATCH(ROUND(MIN(300,MAX(1,D923)),0), FactorTable!$A$2:$A$301,0), Skills!M25+1)</f>
        <v/>
      </c>
      <c r="F923">
        <f>IF(Skills!N25=TRUE,(Skills!L25/10)*(E923/1000),Skills!L25/10)+Skills!O25</f>
        <v/>
      </c>
      <c r="G923">
        <f>Skills!G25*IF(Skills!H25&gt;0,Skills!I25/Skills!H25,1)</f>
        <v/>
      </c>
      <c r="H923">
        <f>1-(1-Skills!J25/100)^Skills!K25</f>
        <v/>
      </c>
      <c r="I923" t="inlineStr">
        <is>
          <t>1</t>
        </is>
      </c>
      <c r="J923" t="inlineStr"/>
      <c r="K923" t="inlineStr"/>
      <c r="L923" t="inlineStr"/>
      <c r="M923" t="inlineStr"/>
      <c r="N923" t="inlineStr"/>
      <c r="O923" t="n">
        <v>0</v>
      </c>
      <c r="P923">
        <f>IF(B943=0,0,O923/B943)</f>
        <v/>
      </c>
      <c r="Q923" t="n">
        <v>0</v>
      </c>
      <c r="R923" t="n">
        <v>0</v>
      </c>
      <c r="S923">
        <f>IFERROR(O923/N923,0)</f>
        <v/>
      </c>
    </row>
    <row r="924">
      <c r="A924">
        <f>Skills!A26</f>
        <v/>
      </c>
      <c r="B924">
        <f>Skills!B26</f>
        <v/>
      </c>
      <c r="C924">
        <f>Inputs!$B$3&gt;=50</f>
        <v/>
      </c>
      <c r="D924">
        <f>IF(Skills!C26=1,60+Inputs!$B$24+Inputs!$B$28,IF(Skills!C26=2,90+Inputs!$B$25+Inputs!$B$28,IF(Skills!C26=3,120+(Inputs!$B$26+1)+Inputs!$B$28,MAX(0,(Inputs!$B$3-100)*3)+Inputs!$B$27+Inputs!$B$28)))</f>
        <v/>
      </c>
      <c r="E924">
        <f>INDEX(FactorTable!$B$2:$Y$301, MATCH(ROUND(MIN(300,MAX(1,D924)),0), FactorTable!$A$2:$A$301,0), Skills!M26+1)</f>
        <v/>
      </c>
      <c r="F924">
        <f>IF(Skills!N26=TRUE,(Skills!L26/10)*(E924/1000),Skills!L26/10)+Skills!O26</f>
        <v/>
      </c>
      <c r="G924">
        <f>Skills!G26*IF(Skills!H26&gt;0,Skills!I26/Skills!H26,1)</f>
        <v/>
      </c>
      <c r="H924">
        <f>1-(1-Skills!J26/100)^Skills!K26</f>
        <v/>
      </c>
      <c r="I924" t="inlineStr">
        <is>
          <t>1</t>
        </is>
      </c>
      <c r="J924" t="inlineStr"/>
      <c r="K924" t="inlineStr"/>
      <c r="L924" t="inlineStr"/>
      <c r="M924" t="inlineStr"/>
      <c r="N924" t="inlineStr"/>
      <c r="O924" t="n">
        <v>0</v>
      </c>
      <c r="P924">
        <f>IF(B943=0,0,O924/B943)</f>
        <v/>
      </c>
      <c r="Q924" t="n">
        <v>0</v>
      </c>
      <c r="R924" t="n">
        <v>0</v>
      </c>
      <c r="S924">
        <f>IFERROR(O924/N924,0)</f>
        <v/>
      </c>
    </row>
    <row r="925">
      <c r="A925">
        <f>Skills!A27</f>
        <v/>
      </c>
      <c r="B925">
        <f>Skills!B27</f>
        <v/>
      </c>
      <c r="C925">
        <f>Inputs!$B$3&gt;=38</f>
        <v/>
      </c>
      <c r="D925">
        <f>IF(Skills!C27=1,60+Inputs!$B$24+Inputs!$B$28,IF(Skills!C27=2,90+Inputs!$B$25+Inputs!$B$28,IF(Skills!C27=3,120+(Inputs!$B$26+1)+Inputs!$B$28,MAX(0,(Inputs!$B$3-100)*3)+Inputs!$B$27+Inputs!$B$28)))</f>
        <v/>
      </c>
      <c r="E925">
        <f>INDEX(FactorTable!$B$2:$Y$301, MATCH(ROUND(MIN(300,MAX(1,D925)),0), FactorTable!$A$2:$A$301,0), Skills!M27+1)</f>
        <v/>
      </c>
      <c r="F925">
        <f>IF(Skills!N27=TRUE,(Skills!L27/10)*(E925/1000),Skills!L27/10)+Skills!O27</f>
        <v/>
      </c>
      <c r="G925">
        <f>Skills!G27*IF(Skills!H27&gt;0,Skills!I27/Skills!H27,1)</f>
        <v/>
      </c>
      <c r="H925">
        <f>1-(1-Skills!J27/100)^Skills!K27</f>
        <v/>
      </c>
      <c r="I925" t="inlineStr">
        <is>
          <t>1</t>
        </is>
      </c>
      <c r="J925" t="inlineStr"/>
      <c r="K925" t="inlineStr"/>
      <c r="L925" t="inlineStr"/>
      <c r="M925" t="inlineStr"/>
      <c r="N925" t="inlineStr"/>
      <c r="O925" t="n">
        <v>0</v>
      </c>
      <c r="P925">
        <f>IF(B943=0,0,O925/B943)</f>
        <v/>
      </c>
      <c r="Q925" t="n">
        <v>0</v>
      </c>
      <c r="R925" t="n">
        <v>0</v>
      </c>
      <c r="S925">
        <f>IFERROR(O925/N925,0)</f>
        <v/>
      </c>
    </row>
    <row r="926">
      <c r="A926">
        <f>Skills!A28</f>
        <v/>
      </c>
      <c r="B926">
        <f>Skills!B28</f>
        <v/>
      </c>
      <c r="C926">
        <f>Inputs!$B$3&gt;=120</f>
        <v/>
      </c>
      <c r="D926">
        <f>IF(Skills!C28=1,60+Inputs!$B$24+Inputs!$B$28,IF(Skills!C28=2,90+Inputs!$B$25+Inputs!$B$28,IF(Skills!C28=3,120+(Inputs!$B$26+1)+Inputs!$B$28,MAX(0,(Inputs!$B$3-100)*3)+Inputs!$B$27+Inputs!$B$28)))</f>
        <v/>
      </c>
      <c r="E926">
        <f>INDEX(FactorTable!$B$2:$Y$301, MATCH(ROUND(MIN(300,MAX(1,D926)),0), FactorTable!$A$2:$A$301,0), Skills!M28+1)</f>
        <v/>
      </c>
      <c r="F926">
        <f>IF(Skills!N28=TRUE,(Skills!L28/10)*(E926/1000),Skills!L28/10)+Skills!O28</f>
        <v/>
      </c>
      <c r="G926">
        <f>Skills!G28*IF(Skills!H28&gt;0,Skills!I28/Skills!H28,1)</f>
        <v/>
      </c>
      <c r="H926">
        <f>1-(1-Skills!J28/100)^Skills!K28</f>
        <v/>
      </c>
      <c r="I926" t="inlineStr">
        <is>
          <t>1</t>
        </is>
      </c>
      <c r="J926" t="inlineStr"/>
      <c r="K926" t="inlineStr"/>
      <c r="L926" t="inlineStr"/>
      <c r="M926" t="inlineStr"/>
      <c r="N926" t="inlineStr"/>
      <c r="O926" t="n">
        <v>0</v>
      </c>
      <c r="P926">
        <f>IF(B943=0,0,O926/B943)</f>
        <v/>
      </c>
      <c r="Q926" t="n">
        <v>0</v>
      </c>
      <c r="R926" t="n">
        <v>0</v>
      </c>
      <c r="S926">
        <f>IFERROR(O926/N926,0)</f>
        <v/>
      </c>
    </row>
    <row r="927">
      <c r="A927">
        <f>Skills!A29</f>
        <v/>
      </c>
      <c r="B927">
        <f>Skills!B29</f>
        <v/>
      </c>
      <c r="C927">
        <f>Inputs!$B$3&gt;=120</f>
        <v/>
      </c>
      <c r="D927">
        <f>IF(Skills!C29=1,60+Inputs!$B$24+Inputs!$B$28,IF(Skills!C29=2,90+Inputs!$B$25+Inputs!$B$28,IF(Skills!C29=3,120+(Inputs!$B$26+1)+Inputs!$B$28,MAX(0,(Inputs!$B$3-100)*3)+Inputs!$B$27+Inputs!$B$28)))</f>
        <v/>
      </c>
      <c r="E927">
        <f>INDEX(FactorTable!$B$2:$Y$301, MATCH(ROUND(MIN(300,MAX(1,D927)),0), FactorTable!$A$2:$A$301,0), Skills!M29+1)</f>
        <v/>
      </c>
      <c r="F927">
        <f>IF(Skills!N29=TRUE,(Skills!L29/10)*(E927/1000),Skills!L29/10)+Skills!O29</f>
        <v/>
      </c>
      <c r="G927">
        <f>Skills!G29*IF(Skills!H29&gt;0,Skills!I29/Skills!H29,1)</f>
        <v/>
      </c>
      <c r="H927">
        <f>1-(1-Skills!J29/100)^Skills!K29</f>
        <v/>
      </c>
      <c r="I927" t="inlineStr">
        <is>
          <t>1</t>
        </is>
      </c>
      <c r="J927" t="inlineStr"/>
      <c r="K927" t="inlineStr"/>
      <c r="L927" t="inlineStr"/>
      <c r="M927" t="inlineStr"/>
      <c r="N927" t="inlineStr"/>
      <c r="O927" t="n">
        <v>0</v>
      </c>
      <c r="P927">
        <f>IF(B943=0,0,O927/B943)</f>
        <v/>
      </c>
      <c r="Q927" t="n">
        <v>0</v>
      </c>
      <c r="R927" t="n">
        <v>0</v>
      </c>
      <c r="S927">
        <f>IFERROR(O927/N927,0)</f>
        <v/>
      </c>
    </row>
    <row r="928">
      <c r="A928">
        <f>Skills!A30</f>
        <v/>
      </c>
      <c r="B928">
        <f>Skills!B30</f>
        <v/>
      </c>
      <c r="C928">
        <f>Inputs!$B$3&gt;=125</f>
        <v/>
      </c>
      <c r="D928">
        <f>IF(Skills!C30=1,60+Inputs!$B$24+Inputs!$B$28,IF(Skills!C30=2,90+Inputs!$B$25+Inputs!$B$28,IF(Skills!C30=3,120+(Inputs!$B$26+1)+Inputs!$B$28,MAX(0,(Inputs!$B$3-100)*3)+Inputs!$B$27+Inputs!$B$28)))</f>
        <v/>
      </c>
      <c r="E928">
        <f>INDEX(FactorTable!$B$2:$Y$301, MATCH(ROUND(MIN(300,MAX(1,D928)),0), FactorTable!$A$2:$A$301,0), Skills!M30+1)</f>
        <v/>
      </c>
      <c r="F928">
        <f>IF(Skills!N30=TRUE,(Skills!L30/10)*(E928/1000),Skills!L30/10)+Skills!O30</f>
        <v/>
      </c>
      <c r="G928">
        <f>Skills!G30*IF(Skills!H30&gt;0,Skills!I30/Skills!H30,1)</f>
        <v/>
      </c>
      <c r="H928">
        <f>1-(1-Skills!J30/100)^Skills!K30</f>
        <v/>
      </c>
      <c r="I928" t="inlineStr">
        <is>
          <t>1</t>
        </is>
      </c>
      <c r="J928" t="inlineStr"/>
      <c r="K928" t="inlineStr"/>
      <c r="L928" t="inlineStr"/>
      <c r="M928" t="inlineStr"/>
      <c r="N928" t="inlineStr"/>
      <c r="O928" t="n">
        <v>0</v>
      </c>
      <c r="P928">
        <f>IF(B943=0,0,O928/B943)</f>
        <v/>
      </c>
      <c r="Q928" t="n">
        <v>0</v>
      </c>
      <c r="R928" t="n">
        <v>0</v>
      </c>
      <c r="S928">
        <f>IFERROR(O928/N928,0)</f>
        <v/>
      </c>
    </row>
    <row r="930">
      <c r="A930" t="inlineStr">
        <is>
          <t>Average Buff Multiplier</t>
        </is>
      </c>
      <c r="B930">
        <f>(1+(((C919=TRUE)*F919*IF(AND(Inputs!$B$4&lt;&gt;"pvp",Inputs!$B$35&gt;0),(((S919-1)*(Skills!Y21*(1+Inputs!$B$33/100))+MIN((Skills!Y21*(1+Inputs!$B$33/100)),MAX(0,Inputs!$B$35-((S919-1)*Skills!D21))))/Inputs!$B$35),IF(Inputs!$B$4="pvp",MIN((Skills!Y21*(1+Inputs!$B$33/100)),15)/15,(Skills!Y21*(1+Inputs!$B$33/100))/Skills!D21)))+((C921=TRUE)*(F921-Calc!F23))+((C915=TRUE)*(F915-Calc!F17)))/100)*(1+((C908=TRUE)*F908*IF(AND(Inputs!$B$4&lt;&gt;"pvp",Inputs!$B$35&gt;0),(((S908-1)*(Skills!Y10*(1+Inputs!$B$33/100))+MIN((Skills!Y10*(1+Inputs!$B$33/100)),MAX(0,Inputs!$B$35-((S908-1)*Skills!D10))))/Inputs!$B$35),IF(Inputs!$B$4="pvp",MIN((Skills!Y10*(1+Inputs!$B$33/100)),15)/15,(Skills!Y10*(1+Inputs!$B$33/100))/Skills!D10)))/100)*(1+((C913=TRUE)*F913*IF(AND(Inputs!$B$4&lt;&gt;"pvp",Inputs!$B$35&gt;0),(((S913-1)*(Skills!Y15*(1+Inputs!$B$33/100))+MIN((Skills!Y15*(1+Inputs!$B$33/100)),MAX(0,Inputs!$B$35-((S913-1)*Skills!D15))))/Inputs!$B$35),IF(Inputs!$B$4="pvp",MIN((Skills!Y15*(1+Inputs!$B$33/100)),15)/15,(Skills!Y15*(1+Inputs!$B$33/100))/Skills!D15)))/100)</f>
        <v/>
      </c>
    </row>
    <row r="931">
      <c r="A931" t="inlineStr">
        <is>
          <t>Global Crit Rate Bonus %</t>
        </is>
      </c>
      <c r="B931">
        <f>((C918=TRUE)*F918*IF(AND(Inputs!$B$4&lt;&gt;"pvp",Inputs!$B$35&gt;0),(((S918-1)*(Skills!Y20*(1+Inputs!$B$33/100))+MIN((Skills!Y20*(1+Inputs!$B$33/100)),MAX(0,Inputs!$B$35-((S918-1)*Skills!D20))))/Inputs!$B$35),IF(Inputs!$B$4="pvp",MIN((Skills!Y20*(1+Inputs!$B$33/100)),15)/15,(Skills!Y20*(1+Inputs!$B$33/100))/Skills!D20)))</f>
        <v/>
      </c>
    </row>
    <row r="932">
      <c r="A932" t="inlineStr">
        <is>
          <t>Global Monster Damage-Taken Bonus %</t>
        </is>
      </c>
      <c r="B932">
        <f>IF(Inputs!$B$3&gt;=82,15,0)</f>
        <v/>
      </c>
    </row>
    <row r="933">
      <c r="A933" t="inlineStr">
        <is>
          <t>Shadow Partner Average Multiplier</t>
        </is>
      </c>
      <c r="B933">
        <f>1+((C905=TRUE)*F905*(1+3.3333333333333335*IF(C916=TRUE,F916,0)/100)*I905*Skills!J7/100)/100</f>
        <v/>
      </c>
    </row>
    <row r="934">
      <c r="A934" t="inlineStr">
        <is>
          <t>Attack Speed Buff Bonus %</t>
        </is>
      </c>
      <c r="B934">
        <f>((C917=TRUE)*F917*IF(AND(Inputs!$B$4&lt;&gt;"pvp",Inputs!$B$35&gt;0),(((S917-1)*(Skills!Y19*(1+Inputs!$B$33/100))+MIN((Skills!Y19*(1+Inputs!$B$33/100)),MAX(0,Inputs!$B$35-((S917-1)*Skills!D19))))/Inputs!$B$35),IF(Inputs!$B$4="pvp",MIN((Skills!Y19*(1+Inputs!$B$33/100)),15)/15,(Skills!Y19*(1+Inputs!$B$33/100))/Skills!D19)))+((C901=TRUE)*F901*3)</f>
        <v/>
      </c>
    </row>
    <row r="935">
      <c r="A935" t="inlineStr">
        <is>
          <t>Actions Per Second</t>
        </is>
      </c>
      <c r="B935">
        <f>1+MIN(150,150*(1-(1-(Inputs!$B$10+((C920=TRUE)*(F920-Calc!F22)))/150)*(1-B934/150)))/100</f>
        <v/>
      </c>
    </row>
    <row r="936">
      <c r="A936" t="inlineStr">
        <is>
          <t>Skill + Buff Cast Rate</t>
        </is>
      </c>
      <c r="B936">
        <f>IF(AND(Inputs!$B$4&lt;&gt;"pvp",Inputs!$B$35&gt;0),SUMPRODUCT((Skills!E2:E30=TRUE)*(C900:C928=TRUE)*R900:R928*Skills!F2:F30)/Inputs!$B$35,SUMPRODUCT((Skills!E2:E30=TRUE)*(C900:C928=TRUE)*Q900:Q928*Skills!F2:F30))</f>
        <v/>
      </c>
    </row>
    <row r="937">
      <c r="A937" t="inlineStr">
        <is>
          <t>Cruel Stab Casts Per Second</t>
        </is>
      </c>
      <c r="B937">
        <f>MAX(0,B935-B936)</f>
        <v/>
      </c>
    </row>
    <row r="938">
      <c r="A938" t="inlineStr">
        <is>
          <t>Global Critical Damage Bonus % (Smokescreen Mastery Lv.113)</t>
        </is>
      </c>
      <c r="B938">
        <f>IF(Inputs!$B$3&gt;=113,30,0)*IF(AND(Inputs!$B$4&lt;&gt;"pvp",Inputs!$B$35&gt;0),(((S913-1)*(Skills!Y15*(1+Inputs!$B$33/100))+MIN((Skills!Y15*(1+Inputs!$B$33/100)),MAX(0,Inputs!$B$35-((S913-1)*Skills!D15))))/Inputs!$B$35),IF(Inputs!$B$4="pvp",MIN((Skills!Y15*(1+Inputs!$B$33/100)),15)/15,(Skills!Y15*(1+Inputs!$B$33/100))/Skills!D15))</f>
        <v/>
      </c>
    </row>
    <row r="939">
      <c r="A939" t="inlineStr">
        <is>
          <t>Meso Explosion average stack count</t>
        </is>
      </c>
      <c r="B939">
        <f>MIN(10,0.5*B935*Skills!D4)</f>
        <v/>
      </c>
    </row>
    <row r="940">
      <c r="A940" t="inlineStr">
        <is>
          <t>Blood Money average stack count</t>
        </is>
      </c>
      <c r="B940">
        <f>MIN(5,0.25*B935*Skills!D4)</f>
        <v/>
      </c>
    </row>
    <row r="941">
      <c r="A941" t="inlineStr">
        <is>
          <t>Assassinate Murderous Intent Multiplier</t>
        </is>
      </c>
      <c r="B941">
        <f>1+IFERROR(MIN(1,Q912*2/Q909),0)</f>
        <v/>
      </c>
    </row>
    <row r="943">
      <c r="A943" s="5" t="inlineStr">
        <is>
          <t>TOTAL DPS</t>
        </is>
      </c>
      <c r="B943" s="5">
        <f>SUM(O900:O928)</f>
        <v/>
      </c>
    </row>
    <row r="946">
      <c r="A946" s="5" t="inlineStr">
        <is>
          <t>Stat: Skill Level Bonus — 4th Job</t>
        </is>
      </c>
    </row>
    <row r="947">
      <c r="A947" s="8" t="inlineStr">
        <is>
          <t>Key</t>
        </is>
      </c>
      <c r="B947" s="8" t="inlineStr">
        <is>
          <t>Name</t>
        </is>
      </c>
      <c r="C947" s="8" t="inlineStr">
        <is>
          <t>Unlocked</t>
        </is>
      </c>
      <c r="D947" s="8" t="inlineStr">
        <is>
          <t>InputLevel</t>
        </is>
      </c>
      <c r="E947" s="8" t="inlineStr">
        <is>
          <t>Factor</t>
        </is>
      </c>
      <c r="F947" s="8" t="inlineStr">
        <is>
          <t>CoefficientPercent</t>
        </is>
      </c>
      <c r="G947" s="8" t="inlineStr">
        <is>
          <t>EffectiveHits</t>
        </is>
      </c>
      <c r="H947" s="8" t="inlineStr">
        <is>
          <t>ProcProbability</t>
        </is>
      </c>
      <c r="I947" s="8" t="inlineStr">
        <is>
          <t>MapleHeroMultiplier</t>
        </is>
      </c>
      <c r="J947" s="8" t="inlineStr">
        <is>
          <t>BaseDamage</t>
        </is>
      </c>
      <c r="K947" s="8" t="inlineStr">
        <is>
          <t>BaseHitDamage</t>
        </is>
      </c>
      <c r="L947" s="8" t="inlineStr">
        <is>
          <t>NonCritAvg</t>
        </is>
      </c>
      <c r="M947" s="8" t="inlineStr">
        <is>
          <t>CritAvg</t>
        </is>
      </c>
      <c r="N947" s="8" t="inlineStr">
        <is>
          <t>ExpectedDamage(perHit)</t>
        </is>
      </c>
      <c r="O947" s="8" t="inlineStr">
        <is>
          <t>DPS</t>
        </is>
      </c>
      <c r="P947" s="8" t="inlineStr">
        <is>
          <t>% of Total</t>
        </is>
      </c>
      <c r="Q947" s="8" t="inlineStr">
        <is>
          <t>InvCooldown</t>
        </is>
      </c>
      <c r="R947" s="8" t="inlineStr">
        <is>
          <t>CastsInFight</t>
        </is>
      </c>
      <c r="S947" s="8" t="inlineStr">
        <is>
          <t>HitRate(perSec)</t>
        </is>
      </c>
      <c r="U947" t="inlineStr">
        <is>
          <t>helpers</t>
        </is>
      </c>
    </row>
    <row r="948">
      <c r="A948">
        <f>Skills!A2</f>
        <v/>
      </c>
      <c r="B948">
        <f>Skills!B2</f>
        <v/>
      </c>
      <c r="C948">
        <f>Inputs!$B$3&gt;=100</f>
        <v/>
      </c>
      <c r="D948" t="inlineStr"/>
      <c r="E948" t="inlineStr"/>
      <c r="F948">
        <f>U950+Skills!O2</f>
        <v/>
      </c>
      <c r="G948">
        <f>Skills!G2*IF(Skills!H2&gt;0,Skills!I2/Skills!H2,1)</f>
        <v/>
      </c>
      <c r="H948">
        <f>1-(1-Skills!J2/100)^Skills!K2</f>
        <v/>
      </c>
      <c r="I948" t="inlineStr">
        <is>
          <t>1</t>
        </is>
      </c>
      <c r="J948">
        <f>(Inputs!$B$5*(1+Inputs!$B$6/100))*(F948/100)</f>
        <v/>
      </c>
      <c r="K948">
        <f>J948*(1+((Inputs!$B$11*(1+Inputs!$B$12/100))*0.01+Inputs!$B$13*0.0025)/100)*(1+Inputs!$B$14/100)*(1+IF(Inputs!$B$4="pvp",0,(1-Summary!$B$55)*(Inputs!$B$19+0+Skills!P2+B980)+Summary!$B$55*(Inputs!$B$20+Skills!Q2+B980))/100)*(1+Inputs!$B$15/100)*(5000/(6000+Inputs!$B$7*(1-Inputs!$B$18/100)))*(1+(Inputs!$B$23+((C976=TRUE)*(F976-Calc!F30)))/100)*(1+(IF(Skills!A2="CRUEL_STAB",Inputs!$B$16+((C973=TRUE)*(F973-Calc!F27)),Inputs!$B$17+((C974=TRUE)*(F974-Calc!F28))))/100)*(((1+(((C967=TRUE)*F967*IF(AND(Inputs!$B$4&lt;&gt;"pvp",Inputs!$B$35&gt;0),(((S967-1)*(Skills!Y21*(1+Inputs!$B$33/100))+MIN((Skills!Y21*(1+Inputs!$B$33/100)),MAX(0,Inputs!$B$35-((S967-1)*Skills!D21))))/Inputs!$B$35),IF(Inputs!$B$4="pvp",MIN((Skills!Y21*(1+Inputs!$B$33/100)),15)/15,(Skills!Y21*(1+Inputs!$B$33/100))/Skills!D21)))+((C969=TRUE)*(F969-Calc!F23))+((C963=TRUE)*(F963-Calc!F17)))/100)*(1+((C956=TRUE)*F956*IF(AND(Inputs!$B$4&lt;&gt;"pvp",Inputs!$B$35&gt;0),(((S956-1)*(Skills!Y10*(1+Inputs!$B$33/100))+MIN((Skills!Y10*(1+Inputs!$B$33/100)),MAX(0,Inputs!$B$35-((S956-1)*Skills!D10))))/Inputs!$B$35),IF(Inputs!$B$4="pvp",MIN((Skills!Y10*(1+Inputs!$B$33/100)),15)/15,(Skills!Y10*(1+Inputs!$B$33/100))/Skills!D10)))/100)*(1+((C961=TRUE)*F961*IF(AND(Inputs!$B$4&lt;&gt;"pvp",Inputs!$B$35&gt;0),(((S961-1)*(Skills!Y15*(1+Inputs!$B$33/100))+MIN((Skills!Y15*(1+Inputs!$B$33/100)),MAX(0,Inputs!$B$35-((S961-1)*Skills!D15))))/Inputs!$B$35),IF(Inputs!$B$4="pvp",MIN((Skills!Y15*(1+Inputs!$B$33/100)),15)/15,(Skills!Y15*(1+Inputs!$B$33/100))/Skills!D15)))/100))*B981*I948)</f>
        <v/>
      </c>
      <c r="L948">
        <f>K948*(MIN(Inputs!$B$21+((C970=TRUE)*(F970-Calc!F24)),Inputs!$B$22+((C975=TRUE)*(F975-Calc!F29)))/100+(Inputs!$B$22+((C975=TRUE)*(F975-Calc!F29)))/100)/2</f>
        <v/>
      </c>
      <c r="M948">
        <f>L948*(1+(Inputs!$B$9+((C972=TRUE)*(F972-Calc!F26))+B986)/100)</f>
        <v/>
      </c>
      <c r="N948">
        <f>L948*(1-MIN((Inputs!$B$8+((C971=TRUE)*(F971-Calc!F25))+B979),100)/100)+M948*(MIN((Inputs!$B$8+((C971=TRUE)*(F971-Calc!F25))+B979),100)/100)</f>
        <v/>
      </c>
      <c r="O948">
        <f>IF(C948,Skills!G2*N948*B985*IF(Inputs!$B$4="pvp",1,(1-Summary!$B$55)*(1)+Summary!$B$55*(MIN((6+Inputs!$B$32),Inputs!$B$37))),0)</f>
        <v/>
      </c>
      <c r="P948">
        <f>IF(B991=0,0,O948/B991)</f>
        <v/>
      </c>
      <c r="Q948" t="n">
        <v>0</v>
      </c>
      <c r="R948" t="n">
        <v>0</v>
      </c>
      <c r="S948">
        <f>IFERROR(O948/N948,0)</f>
        <v/>
      </c>
      <c r="U948">
        <f>MAX(0,(Inputs!$B$3-100)*3)+(Inputs!$B$27+1)+Inputs!$B$28</f>
        <v/>
      </c>
    </row>
    <row r="949">
      <c r="A949">
        <f>Skills!A3</f>
        <v/>
      </c>
      <c r="B949">
        <f>Skills!B3</f>
        <v/>
      </c>
      <c r="C949">
        <f>Inputs!$B$3&gt;=35</f>
        <v/>
      </c>
      <c r="D949">
        <f>IF(Skills!C3=1,60+Inputs!$B$24+Inputs!$B$28,IF(Skills!C3=2,90+Inputs!$B$25+Inputs!$B$28,IF(Skills!C3=3,120+Inputs!$B$26+Inputs!$B$28,MAX(0,(Inputs!$B$3-100)*3)+(Inputs!$B$27+1)+Inputs!$B$28)))</f>
        <v/>
      </c>
      <c r="E949">
        <f>INDEX(FactorTable!$B$2:$Y$301, MATCH(ROUND(MIN(300,MAX(1,D949)),0), FactorTable!$A$2:$A$301,0), Skills!M3+1)</f>
        <v/>
      </c>
      <c r="F949">
        <f>IF(Skills!N3=TRUE,(Skills!L3/10)*(E949/1000),Skills!L3/10)+Skills!O3</f>
        <v/>
      </c>
      <c r="G949">
        <f>Skills!G3*IF(Skills!H3&gt;0,Skills!I3/Skills!H3,1)</f>
        <v/>
      </c>
      <c r="H949">
        <f>1-(1-Skills!J3/100)^Skills!K3</f>
        <v/>
      </c>
      <c r="I949" t="inlineStr">
        <is>
          <t>1</t>
        </is>
      </c>
      <c r="J949" t="inlineStr"/>
      <c r="K949" t="inlineStr"/>
      <c r="L949" t="inlineStr"/>
      <c r="M949" t="inlineStr"/>
      <c r="N949" t="inlineStr"/>
      <c r="O949" t="n">
        <v>0</v>
      </c>
      <c r="P949">
        <f>IF(B991=0,0,O949/B991)</f>
        <v/>
      </c>
      <c r="Q949" t="n">
        <v>0</v>
      </c>
      <c r="R949" t="n">
        <v>0</v>
      </c>
      <c r="S949">
        <f>IFERROR(O949/N949,0)</f>
        <v/>
      </c>
      <c r="U949">
        <f>INDEX(FactorTable!$B$2:$Y$301, MATCH(ROUND(MIN(300,MAX(1,U948)),0), FactorTable!$A$2:$A$301,0), 22)</f>
        <v/>
      </c>
    </row>
    <row r="950">
      <c r="A950">
        <f>Skills!A4</f>
        <v/>
      </c>
      <c r="B950">
        <f>Skills!B4</f>
        <v/>
      </c>
      <c r="C950">
        <f>Inputs!$B$3&gt;=66</f>
        <v/>
      </c>
      <c r="D950">
        <f>IF(Skills!C4=1,60+Inputs!$B$24+Inputs!$B$28,IF(Skills!C4=2,90+Inputs!$B$25+Inputs!$B$28,IF(Skills!C4=3,120+Inputs!$B$26+Inputs!$B$28,MAX(0,(Inputs!$B$3-100)*3)+(Inputs!$B$27+1)+Inputs!$B$28)))</f>
        <v/>
      </c>
      <c r="E950">
        <f>INDEX(FactorTable!$B$2:$Y$301, MATCH(ROUND(MIN(300,MAX(1,D950)),0), FactorTable!$A$2:$A$301,0), Skills!M4+1)</f>
        <v/>
      </c>
      <c r="F950">
        <f>IF(Skills!N4=TRUE,(Skills!L4/10)*(E950/1000),Skills!L4/10)+Skills!O4</f>
        <v/>
      </c>
      <c r="G950">
        <f>Skills!G4*IF(Skills!H4&gt;0,Skills!I4/Skills!H4,1)</f>
        <v/>
      </c>
      <c r="H950">
        <f>1-(1-Skills!J4/100)^Skills!K4</f>
        <v/>
      </c>
      <c r="I950" t="inlineStr">
        <is>
          <t>1</t>
        </is>
      </c>
      <c r="J950">
        <f>(Inputs!$B$5*(1+Inputs!$B$6/100))*(F950/100)</f>
        <v/>
      </c>
      <c r="K950">
        <f>J950*(1+((Inputs!$B$11*(1+Inputs!$B$12/100))*0.01+Inputs!$B$13*0.0025)/100)*(1+Inputs!$B$14/100)*(1+IF(Inputs!$B$4="pvp",0,(1-Summary!$B$55)*(Inputs!$B$19+0+Skills!P4+B980)+Summary!$B$55*(Inputs!$B$20+Skills!Q4+B980))/100)*(1+Inputs!$B$15/100)*(5000/(6000+Inputs!$B$7*(1-Inputs!$B$18/100)))*(1+(Inputs!$B$23+((C976=TRUE)*(F976-Calc!F30)))/100)*(1+(IF(Skills!A4="CRUEL_STAB",Inputs!$B$16+((C973=TRUE)*(F973-Calc!F27)),Inputs!$B$17+((C974=TRUE)*(F974-Calc!F28))))/100)*(((1+(((C967=TRUE)*F967*IF(AND(Inputs!$B$4&lt;&gt;"pvp",Inputs!$B$35&gt;0),(((S967-1)*(Skills!Y21*(1+Inputs!$B$33/100))+MIN((Skills!Y21*(1+Inputs!$B$33/100)),MAX(0,Inputs!$B$35-((S967-1)*Skills!D21))))/Inputs!$B$35),IF(Inputs!$B$4="pvp",MIN((Skills!Y21*(1+Inputs!$B$33/100)),15)/15,(Skills!Y21*(1+Inputs!$B$33/100))/Skills!D21)))+((C969=TRUE)*(F969-Calc!F23))+((C963=TRUE)*(F963-Calc!F17)))/100)*(1+((C956=TRUE)*F956*IF(AND(Inputs!$B$4&lt;&gt;"pvp",Inputs!$B$35&gt;0),(((S956-1)*(Skills!Y10*(1+Inputs!$B$33/100))+MIN((Skills!Y10*(1+Inputs!$B$33/100)),MAX(0,Inputs!$B$35-((S956-1)*Skills!D10))))/Inputs!$B$35),IF(Inputs!$B$4="pvp",MIN((Skills!Y10*(1+Inputs!$B$33/100)),15)/15,(Skills!Y10*(1+Inputs!$B$33/100))/Skills!D10)))/100)*(1+((C961=TRUE)*F961*IF(AND(Inputs!$B$4&lt;&gt;"pvp",Inputs!$B$35&gt;0),(((S961-1)*(Skills!Y15*(1+Inputs!$B$33/100))+MIN((Skills!Y15*(1+Inputs!$B$33/100)),MAX(0,Inputs!$B$35-((S961-1)*Skills!D15))))/Inputs!$B$35),IF(Inputs!$B$4="pvp",MIN((Skills!Y15*(1+Inputs!$B$33/100)),15)/15,(Skills!Y15*(1+Inputs!$B$33/100))/Skills!D15)))/100))*B981*I950)</f>
        <v/>
      </c>
      <c r="L950">
        <f>K950*(MIN(Inputs!$B$21+((C970=TRUE)*(F970-Calc!F24)),Inputs!$B$22+((C975=TRUE)*(F975-Calc!F29)))/100+(Inputs!$B$22+((C975=TRUE)*(F975-Calc!F29)))/100)/2</f>
        <v/>
      </c>
      <c r="M950">
        <f>L950*(1+(Inputs!$B$9+((C972=TRUE)*(F972-Calc!F26))+B986)/100)</f>
        <v/>
      </c>
      <c r="N950">
        <f>L950*(1-MIN((Inputs!$B$8+((C971=TRUE)*(F971-Calc!F25))+B979),100)/100)+M950*(MIN((Inputs!$B$8+((C971=TRUE)*(F971-Calc!F25))+B979),100)/100)</f>
        <v/>
      </c>
      <c r="O950">
        <f>IF(C950,H950*N950*IF(AND(Inputs!$B$4&lt;&gt;"pvp",Inputs!$B$35&gt;0),((Skills!G4*((R950-1)*IF(Skills!H4&gt;0,Skills!I4/Skills!H4,1)+IF(Skills!H4&gt;0,MIN(Skills!I4,MAX(0,Inputs!$B$35-((R950-1)*IF(Inputs!$B$4="pvp",15,MAX(0.1,Skills!D4-IF(Skills!E4=TRUE,Inputs!$B$31,0))))))/Skills!H4,1)))/Inputs!$B$35),G950*Q950)*IF(Inputs!$B$4="pvp",1,(1-Summary!$B$55)*(1)+Summary!$B$55*(MIN(MIN(10,0.5*B983*Skills!D4),Inputs!$B$37))),0)</f>
        <v/>
      </c>
      <c r="P950">
        <f>IF(B991=0,0,O950/B991)</f>
        <v/>
      </c>
      <c r="Q950">
        <f>IFERROR(1/IF(Inputs!$B$4="pvp",15,MAX(0.1,Skills!D4-IF(Skills!E4=TRUE,Inputs!$B$31,0))),0)</f>
        <v/>
      </c>
      <c r="R950">
        <f>IF(AND(Inputs!$B$4&lt;&gt;"pvp",Inputs!$B$35&gt;0),(INT(Inputs!$B$35/IF(Inputs!$B$4="pvp",15,MAX(0.1,Skills!D4-IF(Skills!E4=TRUE,Inputs!$B$31,0))))+1),0)</f>
        <v/>
      </c>
      <c r="S950">
        <f>IFERROR(O950/N950,0)</f>
        <v/>
      </c>
      <c r="U950">
        <f>290*U949/1000</f>
        <v/>
      </c>
    </row>
    <row r="951">
      <c r="A951">
        <f>Skills!A5</f>
        <v/>
      </c>
      <c r="B951">
        <f>Skills!B5</f>
        <v/>
      </c>
      <c r="C951">
        <f>Inputs!$B$3&gt;=63</f>
        <v/>
      </c>
      <c r="D951">
        <f>IF(Skills!C5=1,60+Inputs!$B$24+Inputs!$B$28,IF(Skills!C5=2,90+Inputs!$B$25+Inputs!$B$28,IF(Skills!C5=3,120+Inputs!$B$26+Inputs!$B$28,MAX(0,(Inputs!$B$3-100)*3)+(Inputs!$B$27+1)+Inputs!$B$28)))</f>
        <v/>
      </c>
      <c r="E951">
        <f>INDEX(FactorTable!$B$2:$Y$301, MATCH(ROUND(MIN(300,MAX(1,D951)),0), FactorTable!$A$2:$A$301,0), Skills!M5+1)</f>
        <v/>
      </c>
      <c r="F951">
        <f>IF(Skills!N5=TRUE,(Skills!L5/10)*(E951/1000),Skills!L5/10)+Skills!O5</f>
        <v/>
      </c>
      <c r="G951">
        <f>Skills!G5*IF(Skills!H5&gt;0,Skills!I5/Skills!H5,1)</f>
        <v/>
      </c>
      <c r="H951">
        <f>1-(1-Skills!J5/100)^Skills!K5</f>
        <v/>
      </c>
      <c r="I951" t="inlineStr">
        <is>
          <t>1</t>
        </is>
      </c>
      <c r="J951">
        <f>(Inputs!$B$5*(1+Inputs!$B$6/100))*(F951/100)</f>
        <v/>
      </c>
      <c r="K951">
        <f>J951*(1+((Inputs!$B$11*(1+Inputs!$B$12/100))*0.01+Inputs!$B$13*0.0025)/100)*(1+Inputs!$B$14/100)*(1+IF(Inputs!$B$4="pvp",0,(1-Summary!$B$55)*(Inputs!$B$19+0+Skills!P5+B980)+Summary!$B$55*(Inputs!$B$20+Skills!Q5+B980))/100)*(1+Inputs!$B$15/100)*(5000/(6000+Inputs!$B$7*(1-Inputs!$B$18/100)))*(1+(Inputs!$B$23+((C976=TRUE)*(F976-Calc!F30)))/100)*(1+2.6666666666666665*IF(C964=TRUE,F964,0)/100)*(1+(IF(Skills!A5="CRUEL_STAB",Inputs!$B$16+((C973=TRUE)*(F973-Calc!F27)),Inputs!$B$17+((C974=TRUE)*(F974-Calc!F28))))/100)*(((1+(((C967=TRUE)*F967*IF(AND(Inputs!$B$4&lt;&gt;"pvp",Inputs!$B$35&gt;0),(((S967-1)*(Skills!Y21*(1+Inputs!$B$33/100))+MIN((Skills!Y21*(1+Inputs!$B$33/100)),MAX(0,Inputs!$B$35-((S967-1)*Skills!D21))))/Inputs!$B$35),IF(Inputs!$B$4="pvp",MIN((Skills!Y21*(1+Inputs!$B$33/100)),15)/15,(Skills!Y21*(1+Inputs!$B$33/100))/Skills!D21)))+((C969=TRUE)*(F969-Calc!F23))+((C963=TRUE)*(F963-Calc!F17)))/100)*(1+((C956=TRUE)*F956*IF(AND(Inputs!$B$4&lt;&gt;"pvp",Inputs!$B$35&gt;0),(((S956-1)*(Skills!Y10*(1+Inputs!$B$33/100))+MIN((Skills!Y10*(1+Inputs!$B$33/100)),MAX(0,Inputs!$B$35-((S956-1)*Skills!D10))))/Inputs!$B$35),IF(Inputs!$B$4="pvp",MIN((Skills!Y10*(1+Inputs!$B$33/100)),15)/15,(Skills!Y10*(1+Inputs!$B$33/100))/Skills!D10)))/100)*(1+((C961=TRUE)*F961*IF(AND(Inputs!$B$4&lt;&gt;"pvp",Inputs!$B$35&gt;0),(((S961-1)*(Skills!Y15*(1+Inputs!$B$33/100))+MIN((Skills!Y15*(1+Inputs!$B$33/100)),MAX(0,Inputs!$B$35-((S961-1)*Skills!D15))))/Inputs!$B$35),IF(Inputs!$B$4="pvp",MIN((Skills!Y15*(1+Inputs!$B$33/100)),15)/15,(Skills!Y15*(1+Inputs!$B$33/100))/Skills!D15)))/100))*B981*I951)</f>
        <v/>
      </c>
      <c r="L951">
        <f>K951*(MIN(Inputs!$B$21+((C970=TRUE)*(F970-Calc!F24)),Inputs!$B$22+((C975=TRUE)*(F975-Calc!F29)))/100+(Inputs!$B$22+((C975=TRUE)*(F975-Calc!F29)))/100)/2</f>
        <v/>
      </c>
      <c r="M951">
        <f>L951*(1+(Inputs!$B$9+((C972=TRUE)*(F972-Calc!F26))+B986)/100)</f>
        <v/>
      </c>
      <c r="N951">
        <f>L951*(1-MIN((Inputs!$B$8+((C971=TRUE)*(F971-Calc!F25))+B979),100)/100)+M951*(MIN((Inputs!$B$8+((C971=TRUE)*(F971-Calc!F25))+B979),100)/100)</f>
        <v/>
      </c>
      <c r="O951">
        <f>IF(C951,H951*N951*IF(AND(Inputs!$B$4&lt;&gt;"pvp",Inputs!$B$35&gt;0),((Skills!G5*((R951-1)*IF(Skills!H5&gt;0,Skills!I5/Skills!H5,1)+IF(Skills!H5&gt;0,MIN(Skills!I5,MAX(0,Inputs!$B$35-((R951-1)*IF(Inputs!$B$4="pvp",15,MAX(0.1,Skills!D5-IF(Skills!E5=TRUE,Inputs!$B$31,0))))))/Skills!H5,1)))/Inputs!$B$35),G951*Q951)*IF(Inputs!$B$4="pvp",1,(1-Summary!$B$55)*(1)+Summary!$B$55*(MIN(Skills!W5,Inputs!$B$37))),0)</f>
        <v/>
      </c>
      <c r="P951">
        <f>IF(B991=0,0,O951/B991)</f>
        <v/>
      </c>
      <c r="Q951">
        <f>IFERROR(1/IF(Inputs!$B$4="pvp",15,MAX(0.1,Skills!D5-IF(Skills!E5=TRUE,Inputs!$B$31,0))),0)</f>
        <v/>
      </c>
      <c r="R951">
        <f>IF(AND(Inputs!$B$4&lt;&gt;"pvp",Inputs!$B$35&gt;0),(INT(Inputs!$B$35/IF(Inputs!$B$4="pvp",15,MAX(0.1,Skills!D5-IF(Skills!E5=TRUE,Inputs!$B$31,0))))+1),0)</f>
        <v/>
      </c>
      <c r="S951">
        <f>IFERROR(O951/N951,0)</f>
        <v/>
      </c>
    </row>
    <row r="952">
      <c r="A952">
        <f>Skills!A6</f>
        <v/>
      </c>
      <c r="B952">
        <f>Skills!B6</f>
        <v/>
      </c>
      <c r="C952">
        <f>Inputs!$B$3&gt;=69</f>
        <v/>
      </c>
      <c r="D952">
        <f>IF(Skills!C6=1,60+Inputs!$B$24+Inputs!$B$28,IF(Skills!C6=2,90+Inputs!$B$25+Inputs!$B$28,IF(Skills!C6=3,120+Inputs!$B$26+Inputs!$B$28,MAX(0,(Inputs!$B$3-100)*3)+(Inputs!$B$27+1)+Inputs!$B$28)))</f>
        <v/>
      </c>
      <c r="E952">
        <f>INDEX(FactorTable!$B$2:$Y$301, MATCH(ROUND(MIN(300,MAX(1,D952)),0), FactorTable!$A$2:$A$301,0), Skills!M6+1)</f>
        <v/>
      </c>
      <c r="F952">
        <f>IF(Skills!N6=TRUE,(Skills!L6/10)*(E952/1000),Skills!L6/10)+Skills!O6</f>
        <v/>
      </c>
      <c r="G952">
        <f>Skills!G6*IF(Skills!H6&gt;0,Skills!I6/Skills!H6,1)</f>
        <v/>
      </c>
      <c r="H952">
        <f>1-(1-Skills!J6/100)^Skills!K6</f>
        <v/>
      </c>
      <c r="I952" t="inlineStr">
        <is>
          <t>1</t>
        </is>
      </c>
      <c r="J952">
        <f>(Inputs!$B$5*(1+Inputs!$B$6/100))*(F952/100)</f>
        <v/>
      </c>
      <c r="K952">
        <f>J952*(1+((Inputs!$B$11*(1+Inputs!$B$12/100))*0.01+Inputs!$B$13*0.0025)/100)*(1+Inputs!$B$14/100)*(1+IF(Inputs!$B$4="pvp",0,(1-Summary!$B$55)*(Inputs!$B$19+0+Skills!P6+B980)+Summary!$B$55*(Inputs!$B$20+Skills!Q6+B980))/100)*(1+Inputs!$B$15/100)*(5000/(6000+Inputs!$B$7*(1-Inputs!$B$18/100)))*(1+(Inputs!$B$23+((C976=TRUE)*(F976-Calc!F30)))/100)*(1+1.0*IF(C964=TRUE,F964,0)/100)*(1+(IF(Skills!A6="CRUEL_STAB",Inputs!$B$16+((C973=TRUE)*(F973-Calc!F27)),Inputs!$B$17+((C974=TRUE)*(F974-Calc!F28))))/100)*(((1+(((C967=TRUE)*F967*IF(AND(Inputs!$B$4&lt;&gt;"pvp",Inputs!$B$35&gt;0),(((S967-1)*(Skills!Y21*(1+Inputs!$B$33/100))+MIN((Skills!Y21*(1+Inputs!$B$33/100)),MAX(0,Inputs!$B$35-((S967-1)*Skills!D21))))/Inputs!$B$35),IF(Inputs!$B$4="pvp",MIN((Skills!Y21*(1+Inputs!$B$33/100)),15)/15,(Skills!Y21*(1+Inputs!$B$33/100))/Skills!D21)))+((C969=TRUE)*(F969-Calc!F23))+((C963=TRUE)*(F963-Calc!F17)))/100)*(1+((C956=TRUE)*F956*IF(AND(Inputs!$B$4&lt;&gt;"pvp",Inputs!$B$35&gt;0),(((S956-1)*(Skills!Y10*(1+Inputs!$B$33/100))+MIN((Skills!Y10*(1+Inputs!$B$33/100)),MAX(0,Inputs!$B$35-((S956-1)*Skills!D10))))/Inputs!$B$35),IF(Inputs!$B$4="pvp",MIN((Skills!Y10*(1+Inputs!$B$33/100)),15)/15,(Skills!Y10*(1+Inputs!$B$33/100))/Skills!D10)))/100)*(1+((C961=TRUE)*F961*IF(AND(Inputs!$B$4&lt;&gt;"pvp",Inputs!$B$35&gt;0),(((S961-1)*(Skills!Y15*(1+Inputs!$B$33/100))+MIN((Skills!Y15*(1+Inputs!$B$33/100)),MAX(0,Inputs!$B$35-((S961-1)*Skills!D15))))/Inputs!$B$35),IF(Inputs!$B$4="pvp",MIN((Skills!Y15*(1+Inputs!$B$33/100)),15)/15,(Skills!Y15*(1+Inputs!$B$33/100))/Skills!D15)))/100))*B981*I952)</f>
        <v/>
      </c>
      <c r="L952">
        <f>K952*(MIN(Inputs!$B$21+((C970=TRUE)*(F970-Calc!F24)),Inputs!$B$22+((C975=TRUE)*(F975-Calc!F29)))/100+(Inputs!$B$22+((C975=TRUE)*(F975-Calc!F29)))/100)/2</f>
        <v/>
      </c>
      <c r="M952">
        <f>L952*(1+(Inputs!$B$9+((C972=TRUE)*(F972-Calc!F26))+B986)/100)</f>
        <v/>
      </c>
      <c r="N952">
        <f>L952*(1-MIN((Inputs!$B$8+((C971=TRUE)*(F971-Calc!F25))+B979),100)/100)+M952*(MIN((Inputs!$B$8+((C971=TRUE)*(F971-Calc!F25))+B979),100)/100)</f>
        <v/>
      </c>
      <c r="O952">
        <f>IF(C952,H952*N952*IF(AND(Inputs!$B$4&lt;&gt;"pvp",Inputs!$B$35&gt;0),((Skills!G6*((R952-1)*IF(Skills!H6&gt;0,Skills!I6/Skills!H6,1)+IF(Skills!H6&gt;0,MIN(Skills!I6,MAX(0,Inputs!$B$35-((R952-1)*IF(Inputs!$B$4="pvp",15,MAX(0.1,Skills!D6-IF(Skills!E6=TRUE,Inputs!$B$31,0))))))/Skills!H6,1)))/Inputs!$B$35),G952*Q952)*IF(Inputs!$B$4="pvp",1,(1-Summary!$B$55)*(1)+Summary!$B$55*(MIN(Skills!W6,Inputs!$B$37))),0)</f>
        <v/>
      </c>
      <c r="P952">
        <f>IF(B991=0,0,O952/B991)</f>
        <v/>
      </c>
      <c r="Q952">
        <f>IFERROR(1/IF(Inputs!$B$4="pvp",15,MAX(0.1,Skills!D6-IF(Skills!E6=TRUE,Inputs!$B$31,0))),0)</f>
        <v/>
      </c>
      <c r="R952">
        <f>IF(AND(Inputs!$B$4&lt;&gt;"pvp",Inputs!$B$35&gt;0),(INT(Inputs!$B$35/IF(Inputs!$B$4="pvp",15,MAX(0.1,Skills!D6-IF(Skills!E6=TRUE,Inputs!$B$31,0))))+1),0)</f>
        <v/>
      </c>
      <c r="S952">
        <f>IFERROR(O952/N952,0)</f>
        <v/>
      </c>
    </row>
    <row r="953">
      <c r="A953">
        <f>Skills!A7</f>
        <v/>
      </c>
      <c r="B953">
        <f>Skills!B7</f>
        <v/>
      </c>
      <c r="C953">
        <f>Inputs!$B$3&gt;=60</f>
        <v/>
      </c>
      <c r="D953">
        <f>IF(Skills!C7=1,60+Inputs!$B$24+Inputs!$B$28,IF(Skills!C7=2,90+Inputs!$B$25+Inputs!$B$28,IF(Skills!C7=3,120+Inputs!$B$26+Inputs!$B$28,MAX(0,(Inputs!$B$3-100)*3)+(Inputs!$B$27+1)+Inputs!$B$28)))</f>
        <v/>
      </c>
      <c r="E953">
        <f>INDEX(FactorTable!$B$2:$Y$301, MATCH(ROUND(MIN(300,MAX(1,D953)),0), FactorTable!$A$2:$A$301,0), Skills!M7+1)</f>
        <v/>
      </c>
      <c r="F953">
        <f>IF(Skills!N7=TRUE,(Skills!L7/10)*(E953/1000),Skills!L7/10)+Skills!O7</f>
        <v/>
      </c>
      <c r="G953">
        <f>Skills!G7*IF(Skills!H7&gt;0,Skills!I7/Skills!H7,1)</f>
        <v/>
      </c>
      <c r="H953">
        <f>1-(1-Skills!J7/100)^Skills!K7</f>
        <v/>
      </c>
      <c r="I953" t="inlineStr">
        <is>
          <t>1</t>
        </is>
      </c>
      <c r="J953" t="inlineStr"/>
      <c r="K953" t="inlineStr"/>
      <c r="L953" t="inlineStr"/>
      <c r="M953" t="inlineStr"/>
      <c r="N953" t="inlineStr"/>
      <c r="O953" t="n">
        <v>0</v>
      </c>
      <c r="P953">
        <f>IF(B991=0,0,O953/B991)</f>
        <v/>
      </c>
      <c r="Q953" t="n">
        <v>0</v>
      </c>
      <c r="R953" t="n">
        <v>0</v>
      </c>
      <c r="S953">
        <f>IFERROR(O953/N953,0)</f>
        <v/>
      </c>
    </row>
    <row r="954">
      <c r="A954">
        <f>Skills!A8</f>
        <v/>
      </c>
      <c r="B954">
        <f>Skills!B8</f>
        <v/>
      </c>
      <c r="C954">
        <f>Inputs!$B$3&gt;=72</f>
        <v/>
      </c>
      <c r="D954">
        <f>IF(Skills!C8=1,60+Inputs!$B$24+Inputs!$B$28,IF(Skills!C8=2,90+Inputs!$B$25+Inputs!$B$28,IF(Skills!C8=3,120+Inputs!$B$26+Inputs!$B$28,MAX(0,(Inputs!$B$3-100)*3)+(Inputs!$B$27+1)+Inputs!$B$28)))</f>
        <v/>
      </c>
      <c r="E954">
        <f>INDEX(FactorTable!$B$2:$Y$301, MATCH(ROUND(MIN(300,MAX(1,D954)),0), FactorTable!$A$2:$A$301,0), Skills!M8+1)</f>
        <v/>
      </c>
      <c r="F954">
        <f>IF(Skills!N8=TRUE,(Skills!L8/10)*(E954/1000),Skills!L8/10)+Skills!O8</f>
        <v/>
      </c>
      <c r="G954">
        <f>Skills!G8*IF(Skills!H8&gt;0,Skills!I8/Skills!H8,1)</f>
        <v/>
      </c>
      <c r="H954">
        <f>1-(1-Skills!J8/100)^Skills!K8</f>
        <v/>
      </c>
      <c r="I954" t="inlineStr">
        <is>
          <t>1</t>
        </is>
      </c>
      <c r="J954">
        <f>(Inputs!$B$5*(1+Inputs!$B$6/100))*(F954/100)</f>
        <v/>
      </c>
      <c r="K954">
        <f>J954*(1+((Inputs!$B$11*(1+Inputs!$B$12/100))*0.01+Inputs!$B$13*0.0025)/100)*(1+Inputs!$B$14/100)*(1+IF(Inputs!$B$4="pvp",0,(1-Summary!$B$55)*(Inputs!$B$19+0+Skills!P8+B980)+Summary!$B$55*(Inputs!$B$20+Skills!Q8+B980))/100)*(1+Inputs!$B$15/100)*(5000/(6000+Inputs!$B$7*(1-Inputs!$B$18/100)))*(1+(Inputs!$B$23+((C976=TRUE)*(F976-Calc!F30)))/100)*(1+3.3333333333333335*IF(C964=TRUE,F964,0)/100)*(1+(IF(Skills!A8="CRUEL_STAB",Inputs!$B$16+((C973=TRUE)*(F973-Calc!F27)),Inputs!$B$17+((C974=TRUE)*(F974-Calc!F28))))/100)*(((1+(((C967=TRUE)*F967*IF(AND(Inputs!$B$4&lt;&gt;"pvp",Inputs!$B$35&gt;0),(((S967-1)*(Skills!Y21*(1+Inputs!$B$33/100))+MIN((Skills!Y21*(1+Inputs!$B$33/100)),MAX(0,Inputs!$B$35-((S967-1)*Skills!D21))))/Inputs!$B$35),IF(Inputs!$B$4="pvp",MIN((Skills!Y21*(1+Inputs!$B$33/100)),15)/15,(Skills!Y21*(1+Inputs!$B$33/100))/Skills!D21)))+((C969=TRUE)*(F969-Calc!F23))+((C963=TRUE)*(F963-Calc!F17)))/100)*(1+((C956=TRUE)*F956*IF(AND(Inputs!$B$4&lt;&gt;"pvp",Inputs!$B$35&gt;0),(((S956-1)*(Skills!Y10*(1+Inputs!$B$33/100))+MIN((Skills!Y10*(1+Inputs!$B$33/100)),MAX(0,Inputs!$B$35-((S956-1)*Skills!D10))))/Inputs!$B$35),IF(Inputs!$B$4="pvp",MIN((Skills!Y10*(1+Inputs!$B$33/100)),15)/15,(Skills!Y10*(1+Inputs!$B$33/100))/Skills!D10)))/100)*(1+((C961=TRUE)*F961*IF(AND(Inputs!$B$4&lt;&gt;"pvp",Inputs!$B$35&gt;0),(((S961-1)*(Skills!Y15*(1+Inputs!$B$33/100))+MIN((Skills!Y15*(1+Inputs!$B$33/100)),MAX(0,Inputs!$B$35-((S961-1)*Skills!D15))))/Inputs!$B$35),IF(Inputs!$B$4="pvp",MIN((Skills!Y15*(1+Inputs!$B$33/100)),15)/15,(Skills!Y15*(1+Inputs!$B$33/100))/Skills!D15)))/100))*B981*I954)</f>
        <v/>
      </c>
      <c r="L954">
        <f>K954*(MIN(Inputs!$B$21+((C970=TRUE)*(F970-Calc!F24)),Inputs!$B$22+((C975=TRUE)*(F975-Calc!F29)))/100+(Inputs!$B$22+((C975=TRUE)*(F975-Calc!F29)))/100)/2</f>
        <v/>
      </c>
      <c r="M954">
        <f>L954*(1+(Inputs!$B$9+((C972=TRUE)*(F972-Calc!F26))+B986)/100)</f>
        <v/>
      </c>
      <c r="N954">
        <f>L954*(1-MIN((Inputs!$B$8+((C971=TRUE)*(F971-Calc!F25))+B979),100)/100)+M954*(MIN((Inputs!$B$8+((C971=TRUE)*(F971-Calc!F25))+B979),100)/100)</f>
        <v/>
      </c>
      <c r="O954">
        <f>IF(C954,H954*N954*IF(AND(Inputs!$B$4&lt;&gt;"pvp",Inputs!$B$35&gt;0),((Skills!G8*((R954-1)*IF(Skills!H8&gt;0,Skills!I8/Skills!H8,1)+IF(Skills!H8&gt;0,MIN(Skills!I8,MAX(0,Inputs!$B$35-((R954-1)*IF(Inputs!$B$4="pvp",15,MAX(0.1,Skills!D8-IF(Skills!E8=TRUE,Inputs!$B$31,0))))))/Skills!H8,1)))/Inputs!$B$35),G954*Q954)*IF(Inputs!$B$4="pvp",1,(1-Summary!$B$55)*(1)+Summary!$B$55*(MIN(Skills!W8,Inputs!$B$37))),0)</f>
        <v/>
      </c>
      <c r="P954">
        <f>IF(B991=0,0,O954/B991)</f>
        <v/>
      </c>
      <c r="Q954">
        <f>IFERROR(1/IF(Inputs!$B$4="pvp",15,MAX(0.1,Skills!D8-IF(Skills!E8=TRUE,Inputs!$B$31,0))),0)</f>
        <v/>
      </c>
      <c r="R954">
        <f>IF(AND(Inputs!$B$4&lt;&gt;"pvp",Inputs!$B$35&gt;0),(INT(Inputs!$B$35/IF(Inputs!$B$4="pvp",15,MAX(0.1,Skills!D8-IF(Skills!E8=TRUE,Inputs!$B$31,0))))+1),0)</f>
        <v/>
      </c>
      <c r="S954">
        <f>IFERROR(O954/N954,0)</f>
        <v/>
      </c>
    </row>
    <row r="955">
      <c r="A955">
        <f>Skills!A9</f>
        <v/>
      </c>
      <c r="B955">
        <f>Skills!B9</f>
        <v/>
      </c>
      <c r="C955">
        <f>Inputs!$B$3&gt;=117</f>
        <v/>
      </c>
      <c r="D955">
        <f>IF(Skills!C9=1,60+Inputs!$B$24+Inputs!$B$28,IF(Skills!C9=2,90+Inputs!$B$25+Inputs!$B$28,IF(Skills!C9=3,120+Inputs!$B$26+Inputs!$B$28,MAX(0,(Inputs!$B$3-100)*3)+(Inputs!$B$27+1)+Inputs!$B$28)))</f>
        <v/>
      </c>
      <c r="E955">
        <f>INDEX(FactorTable!$B$2:$Y$301, MATCH(ROUND(MIN(300,MAX(1,D955)),0), FactorTable!$A$2:$A$301,0), Skills!M9+1)</f>
        <v/>
      </c>
      <c r="F955">
        <f>IF(Skills!N9=TRUE,(Skills!L9/10)*(E955/1000),Skills!L9/10)+Skills!O9</f>
        <v/>
      </c>
      <c r="G955">
        <f>Skills!G9*IF(Skills!H9&gt;0,Skills!I9/Skills!H9,1)</f>
        <v/>
      </c>
      <c r="H955">
        <f>1-(1-Skills!J9/100)^Skills!K9</f>
        <v/>
      </c>
      <c r="I955" t="inlineStr">
        <is>
          <t>1</t>
        </is>
      </c>
      <c r="J955">
        <f>(Inputs!$B$5*(1+Inputs!$B$6/100))*(F955/100)</f>
        <v/>
      </c>
      <c r="K955">
        <f>J955*(1+((Inputs!$B$11*(1+Inputs!$B$12/100))*0.01+Inputs!$B$13*0.0025)/100)*(1+Inputs!$B$14/100)*(1+IF(Inputs!$B$4="pvp",0,(1-Summary!$B$55)*(Inputs!$B$19+0+Skills!P9+B980)+Summary!$B$55*(Inputs!$B$20+Skills!Q9+B980))/100)*(1+Inputs!$B$15/100)*(5000/(6000+Inputs!$B$7*(1-Inputs!$B$18/100)))*(1+(Inputs!$B$23+((C976=TRUE)*(F976-Calc!F30)))/100)*(1+(IF(Skills!A9="CRUEL_STAB",Inputs!$B$16+((C973=TRUE)*(F973-Calc!F27)),Inputs!$B$17+((C974=TRUE)*(F974-Calc!F28))))/100)*(((1+(((C967=TRUE)*F967*IF(AND(Inputs!$B$4&lt;&gt;"pvp",Inputs!$B$35&gt;0),(((S967-1)*(Skills!Y21*(1+Inputs!$B$33/100))+MIN((Skills!Y21*(1+Inputs!$B$33/100)),MAX(0,Inputs!$B$35-((S967-1)*Skills!D21))))/Inputs!$B$35),IF(Inputs!$B$4="pvp",MIN((Skills!Y21*(1+Inputs!$B$33/100)),15)/15,(Skills!Y21*(1+Inputs!$B$33/100))/Skills!D21)))+((C969=TRUE)*(F969-Calc!F23))+((C963=TRUE)*(F963-Calc!F17)))/100)*(1+((C956=TRUE)*F956*IF(AND(Inputs!$B$4&lt;&gt;"pvp",Inputs!$B$35&gt;0),(((S956-1)*(Skills!Y10*(1+Inputs!$B$33/100))+MIN((Skills!Y10*(1+Inputs!$B$33/100)),MAX(0,Inputs!$B$35-((S956-1)*Skills!D10))))/Inputs!$B$35),IF(Inputs!$B$4="pvp",MIN((Skills!Y10*(1+Inputs!$B$33/100)),15)/15,(Skills!Y10*(1+Inputs!$B$33/100))/Skills!D10)))/100)*(1+((C961=TRUE)*F961*IF(AND(Inputs!$B$4&lt;&gt;"pvp",Inputs!$B$35&gt;0),(((S961-1)*(Skills!Y15*(1+Inputs!$B$33/100))+MIN((Skills!Y15*(1+Inputs!$B$33/100)),MAX(0,Inputs!$B$35-((S961-1)*Skills!D15))))/Inputs!$B$35),IF(Inputs!$B$4="pvp",MIN((Skills!Y15*(1+Inputs!$B$33/100)),15)/15,(Skills!Y15*(1+Inputs!$B$33/100))/Skills!D15)))/100))*B981*I955)</f>
        <v/>
      </c>
      <c r="L955">
        <f>K955*(MIN(Inputs!$B$21+((C970=TRUE)*(F970-Calc!F24)),Inputs!$B$22+((C975=TRUE)*(F975-Calc!F29)))/100+(Inputs!$B$22+((C975=TRUE)*(F975-Calc!F29)))/100)/2</f>
        <v/>
      </c>
      <c r="M955">
        <f>L955*(1+(Inputs!$B$9+((C972=TRUE)*(F972-Calc!F26))+B986)/100)</f>
        <v/>
      </c>
      <c r="N955">
        <f>L955*(1-MIN((Inputs!$B$8+((C971=TRUE)*(F971-Calc!F25))+B979),100)/100)+M955*(MIN((Inputs!$B$8+((C971=TRUE)*(F971-Calc!F25))+B979),100)/100)</f>
        <v/>
      </c>
      <c r="O955">
        <f>IF(C955,0.2*SUMPRODUCT((Skills!Z2:Z30=TRUE)*(C948:C976=TRUE)*S948:S976)*N955,0)</f>
        <v/>
      </c>
      <c r="P955">
        <f>IF(B991=0,0,O955/B991)</f>
        <v/>
      </c>
      <c r="Q955" t="n">
        <v>0</v>
      </c>
      <c r="R955" t="n">
        <v>0</v>
      </c>
      <c r="S955" t="n">
        <v>0</v>
      </c>
    </row>
    <row r="956">
      <c r="A956">
        <f>Skills!A10</f>
        <v/>
      </c>
      <c r="B956">
        <f>Skills!B10</f>
        <v/>
      </c>
      <c r="C956">
        <f>Inputs!$B$3&gt;=74</f>
        <v/>
      </c>
      <c r="D956">
        <f>IF(Skills!C10=1,60+Inputs!$B$24+Inputs!$B$28,IF(Skills!C10=2,90+Inputs!$B$25+Inputs!$B$28,IF(Skills!C10=3,120+Inputs!$B$26+Inputs!$B$28,MAX(0,(Inputs!$B$3-100)*3)+(Inputs!$B$27+1)+Inputs!$B$28)))</f>
        <v/>
      </c>
      <c r="E956">
        <f>INDEX(FactorTable!$B$2:$Y$301, MATCH(ROUND(MIN(300,MAX(1,D956)),0), FactorTable!$A$2:$A$301,0), Skills!M10+1)</f>
        <v/>
      </c>
      <c r="F956">
        <f>IF(Skills!N10=TRUE,(Skills!L10/10)*(E956/1000),Skills!L10/10)+Skills!O10</f>
        <v/>
      </c>
      <c r="G956">
        <f>Skills!G10*IF(Skills!H10&gt;0,Skills!I10/Skills!H10,1)</f>
        <v/>
      </c>
      <c r="H956">
        <f>1-(1-Skills!J10/100)^Skills!K10</f>
        <v/>
      </c>
      <c r="I956" t="inlineStr">
        <is>
          <t>1</t>
        </is>
      </c>
      <c r="J956" t="inlineStr"/>
      <c r="K956" t="inlineStr"/>
      <c r="L956" t="inlineStr"/>
      <c r="M956" t="inlineStr"/>
      <c r="N956" t="inlineStr"/>
      <c r="O956" t="n">
        <v>0</v>
      </c>
      <c r="P956">
        <f>IF(B991=0,0,O956/B991)</f>
        <v/>
      </c>
      <c r="Q956">
        <f>IFERROR(1/IF(Inputs!$B$4="pvp",15,MAX(0.1,Skills!D10-IF(Skills!E10=TRUE,Inputs!$B$31,0))),0)</f>
        <v/>
      </c>
      <c r="R956">
        <f>IF(AND(Inputs!$B$4&lt;&gt;"pvp",Inputs!$B$35&gt;0),(INT(Inputs!$B$35/IF(Inputs!$B$4="pvp",15,MAX(0.1,Skills!D10-IF(Skills!E10=TRUE,Inputs!$B$31,0))))+1),0)</f>
        <v/>
      </c>
      <c r="S956">
        <f>IFERROR(O956/N956,0)</f>
        <v/>
      </c>
    </row>
    <row r="957">
      <c r="A957">
        <f>Skills!A11</f>
        <v/>
      </c>
      <c r="B957">
        <f>Skills!B11</f>
        <v/>
      </c>
      <c r="C957">
        <f>Inputs!$B$3&gt;=103</f>
        <v/>
      </c>
      <c r="D957">
        <f>IF(Skills!C11=1,60+Inputs!$B$24+Inputs!$B$28,IF(Skills!C11=2,90+Inputs!$B$25+Inputs!$B$28,IF(Skills!C11=3,120+Inputs!$B$26+Inputs!$B$28,MAX(0,(Inputs!$B$3-100)*3)+(Inputs!$B$27+1)+Inputs!$B$28)))</f>
        <v/>
      </c>
      <c r="E957">
        <f>INDEX(FactorTable!$B$2:$Y$301, MATCH(ROUND(MIN(300,MAX(1,D957)),0), FactorTable!$A$2:$A$301,0), Skills!M11+1)</f>
        <v/>
      </c>
      <c r="F957">
        <f>(Skills!L11/10)*(E957/1000)+IF(Inputs!$B$3&gt;=134,50,0)+0.5*(30000/10)*(INDEX(FactorTable!$B$2:$Y$301, MATCH(ROUND(MIN(300,MAX(1,D957)),0), FactorTable!$A$2:$A$301,0), 13)/1000)*B989</f>
        <v/>
      </c>
      <c r="G957">
        <f>Skills!G11*IF(Skills!H11&gt;0,Skills!I11/Skills!H11,1)</f>
        <v/>
      </c>
      <c r="H957">
        <f>1-(1-Skills!J11/100)^Skills!K11</f>
        <v/>
      </c>
      <c r="I957" t="inlineStr">
        <is>
          <t>1</t>
        </is>
      </c>
      <c r="J957">
        <f>(Inputs!$B$5*(1+Inputs!$B$6/100))*(F957/100)</f>
        <v/>
      </c>
      <c r="K957">
        <f>J957*(1+((Inputs!$B$11*(1+Inputs!$B$12/100))*0.01+Inputs!$B$13*0.0025)/100)*(1+Inputs!$B$14/100)*(1+IF(Inputs!$B$4="pvp",0,(1-Summary!$B$55)*(Inputs!$B$19+0+Skills!P11+B980)+Summary!$B$55*(Inputs!$B$20+Skills!Q11+B980))/100)*(1+Inputs!$B$15/100)*(5000/(6000+Inputs!$B$7*(1-Inputs!$B$18/100)))*(1+(Inputs!$B$23+((C976=TRUE)*(F976-Calc!F30)))/100)*(1+(IF(Skills!A11="CRUEL_STAB",Inputs!$B$16+((C973=TRUE)*(F973-Calc!F27)),Inputs!$B$17+((C974=TRUE)*(F974-Calc!F28))))/100)*(((1+(((C967=TRUE)*F967*IF(AND(Inputs!$B$4&lt;&gt;"pvp",Inputs!$B$35&gt;0),(((S967-1)*(Skills!Y21*(1+Inputs!$B$33/100))+MIN((Skills!Y21*(1+Inputs!$B$33/100)),MAX(0,Inputs!$B$35-((S967-1)*Skills!D21))))/Inputs!$B$35),IF(Inputs!$B$4="pvp",MIN((Skills!Y21*(1+Inputs!$B$33/100)),15)/15,(Skills!Y21*(1+Inputs!$B$33/100))/Skills!D21)))+((C969=TRUE)*(F969-Calc!F23))+((C963=TRUE)*(F963-Calc!F17)))/100)*(1+((C956=TRUE)*F956*IF(AND(Inputs!$B$4&lt;&gt;"pvp",Inputs!$B$35&gt;0),(((S956-1)*(Skills!Y10*(1+Inputs!$B$33/100))+MIN((Skills!Y10*(1+Inputs!$B$33/100)),MAX(0,Inputs!$B$35-((S956-1)*Skills!D10))))/Inputs!$B$35),IF(Inputs!$B$4="pvp",MIN((Skills!Y10*(1+Inputs!$B$33/100)),15)/15,(Skills!Y10*(1+Inputs!$B$33/100))/Skills!D10)))/100)*(1+((C961=TRUE)*F961*IF(AND(Inputs!$B$4&lt;&gt;"pvp",Inputs!$B$35&gt;0),(((S961-1)*(Skills!Y15*(1+Inputs!$B$33/100))+MIN((Skills!Y15*(1+Inputs!$B$33/100)),MAX(0,Inputs!$B$35-((S961-1)*Skills!D15))))/Inputs!$B$35),IF(Inputs!$B$4="pvp",MIN((Skills!Y15*(1+Inputs!$B$33/100)),15)/15,(Skills!Y15*(1+Inputs!$B$33/100))/Skills!D15)))/100))*B981*I957)</f>
        <v/>
      </c>
      <c r="L957">
        <f>K957*(MIN(Inputs!$B$21+((C970=TRUE)*(F970-Calc!F24)),Inputs!$B$22+((C975=TRUE)*(F975-Calc!F29)))/100+(Inputs!$B$22+((C975=TRUE)*(F975-Calc!F29)))/100)/2</f>
        <v/>
      </c>
      <c r="M957">
        <f>L957*(1+(Inputs!$B$9+((C972=TRUE)*(F972-Calc!F26))+B986)/100)</f>
        <v/>
      </c>
      <c r="N957">
        <f>L957*(1-MIN((Inputs!$B$8+((C971=TRUE)*(F971-Calc!F25))+B979),100)/100)+M957*(MIN((Inputs!$B$8+((C971=TRUE)*(F971-Calc!F25))+B979),100)/100)</f>
        <v/>
      </c>
      <c r="O957">
        <f>IF(C957,H957*N957*IF(AND(Inputs!$B$4&lt;&gt;"pvp",Inputs!$B$35&gt;0),((Skills!G11*((R957-1)*IF(Skills!H11&gt;0,Skills!I11/Skills!H11,1)+IF(Skills!H11&gt;0,MIN(Skills!I11,MAX(0,Inputs!$B$35-((R957-1)*IF(Inputs!$B$4="pvp",15,MAX(0.1,Skills!D11-IF(Skills!E11=TRUE,Inputs!$B$31,0))))))/Skills!H11,1)))/Inputs!$B$35),G957*Q957)*IF(Inputs!$B$4="pvp",1,(1-Summary!$B$55)*(1)+Summary!$B$55*(MIN(Skills!W11,Inputs!$B$37))),0)</f>
        <v/>
      </c>
      <c r="P957">
        <f>IF(B991=0,0,O957/B991)</f>
        <v/>
      </c>
      <c r="Q957">
        <f>IFERROR(1/IF(Inputs!$B$4="pvp",15,MAX(0.1,Skills!D11-IF(Skills!E11=TRUE,Inputs!$B$31,0))),0)</f>
        <v/>
      </c>
      <c r="R957">
        <f>IF(AND(Inputs!$B$4&lt;&gt;"pvp",Inputs!$B$35&gt;0),(INT(Inputs!$B$35/IF(Inputs!$B$4="pvp",15,MAX(0.1,Skills!D11-IF(Skills!E11=TRUE,Inputs!$B$31,0))))+1),0)</f>
        <v/>
      </c>
      <c r="S957">
        <f>IFERROR(O957/N957,0)</f>
        <v/>
      </c>
    </row>
    <row r="958">
      <c r="A958">
        <f>Skills!A12</f>
        <v/>
      </c>
      <c r="B958">
        <f>Skills!B12</f>
        <v/>
      </c>
      <c r="C958">
        <f>Inputs!$B$3&gt;=105</f>
        <v/>
      </c>
      <c r="D958">
        <f>IF(Skills!C12=1,60+Inputs!$B$24+Inputs!$B$28,IF(Skills!C12=2,90+Inputs!$B$25+Inputs!$B$28,IF(Skills!C12=3,120+Inputs!$B$26+Inputs!$B$28,MAX(0,(Inputs!$B$3-100)*3)+(Inputs!$B$27+1)+Inputs!$B$28)))</f>
        <v/>
      </c>
      <c r="E958">
        <f>INDEX(FactorTable!$B$2:$Y$301, MATCH(ROUND(MIN(300,MAX(1,D958)),0), FactorTable!$A$2:$A$301,0), Skills!M12+1)</f>
        <v/>
      </c>
      <c r="F958">
        <f>IF(Skills!N12=TRUE,(Skills!L12/10)*(E958/1000),Skills!L12/10)+Skills!O12</f>
        <v/>
      </c>
      <c r="G958">
        <f>Skills!G12*IF(Skills!H12&gt;0,Skills!I12/Skills!H12,1)</f>
        <v/>
      </c>
      <c r="H958">
        <f>1-(1-Skills!J12/100)^Skills!K12</f>
        <v/>
      </c>
      <c r="I958" t="inlineStr">
        <is>
          <t>1</t>
        </is>
      </c>
      <c r="J958">
        <f>(Inputs!$B$5*(1+Inputs!$B$6/100))*(F958/100)</f>
        <v/>
      </c>
      <c r="K958">
        <f>J958*(1+((Inputs!$B$11*(1+Inputs!$B$12/100))*0.01+Inputs!$B$13*0.0025)/100)*(1+Inputs!$B$14/100)*(1+IF(Inputs!$B$4="pvp",0,(1-Summary!$B$55)*(Inputs!$B$19+0+Skills!P12+B980)+Summary!$B$55*(Inputs!$B$20+Skills!Q12+B980))/100)*(1+Inputs!$B$15/100)*(5000/(6000+Inputs!$B$7*(1-Inputs!$B$18/100)))*(1+(Inputs!$B$23+((C976=TRUE)*(F976-Calc!F30)))/100)*(1+(IF(Skills!A12="CRUEL_STAB",Inputs!$B$16+((C973=TRUE)*(F973-Calc!F27)),Inputs!$B$17+((C974=TRUE)*(F974-Calc!F28))))/100)*(((1+(((C967=TRUE)*F967*IF(AND(Inputs!$B$4&lt;&gt;"pvp",Inputs!$B$35&gt;0),(((S967-1)*(Skills!Y21*(1+Inputs!$B$33/100))+MIN((Skills!Y21*(1+Inputs!$B$33/100)),MAX(0,Inputs!$B$35-((S967-1)*Skills!D21))))/Inputs!$B$35),IF(Inputs!$B$4="pvp",MIN((Skills!Y21*(1+Inputs!$B$33/100)),15)/15,(Skills!Y21*(1+Inputs!$B$33/100))/Skills!D21)))+((C969=TRUE)*(F969-Calc!F23))+((C963=TRUE)*(F963-Calc!F17)))/100)*(1+((C956=TRUE)*F956*IF(AND(Inputs!$B$4&lt;&gt;"pvp",Inputs!$B$35&gt;0),(((S956-1)*(Skills!Y10*(1+Inputs!$B$33/100))+MIN((Skills!Y10*(1+Inputs!$B$33/100)),MAX(0,Inputs!$B$35-((S956-1)*Skills!D10))))/Inputs!$B$35),IF(Inputs!$B$4="pvp",MIN((Skills!Y10*(1+Inputs!$B$33/100)),15)/15,(Skills!Y10*(1+Inputs!$B$33/100))/Skills!D10)))/100)*(1+((C961=TRUE)*F961*IF(AND(Inputs!$B$4&lt;&gt;"pvp",Inputs!$B$35&gt;0),(((S961-1)*(Skills!Y15*(1+Inputs!$B$33/100))+MIN((Skills!Y15*(1+Inputs!$B$33/100)),MAX(0,Inputs!$B$35-((S961-1)*Skills!D15))))/Inputs!$B$35),IF(Inputs!$B$4="pvp",MIN((Skills!Y15*(1+Inputs!$B$33/100)),15)/15,(Skills!Y15*(1+Inputs!$B$33/100))/Skills!D15)))/100))*B981*I958)</f>
        <v/>
      </c>
      <c r="L958">
        <f>K958*(MIN(Inputs!$B$21+((C970=TRUE)*(F970-Calc!F24)),Inputs!$B$22+((C975=TRUE)*(F975-Calc!F29)))/100+(Inputs!$B$22+((C975=TRUE)*(F975-Calc!F29)))/100)/2</f>
        <v/>
      </c>
      <c r="M958">
        <f>L958*(1+(Inputs!$B$9+((C972=TRUE)*(F972-Calc!F26))+B986)/100)</f>
        <v/>
      </c>
      <c r="N958">
        <f>L958*(1-MIN((Inputs!$B$8+((C971=TRUE)*(F971-Calc!F25))+B979),100)/100)+M958*(MIN((Inputs!$B$8+((C971=TRUE)*(F971-Calc!F25))+B979),100)/100)</f>
        <v/>
      </c>
      <c r="O958">
        <f>IF(C958,H958*N958*IF(AND(Inputs!$B$4&lt;&gt;"pvp",Inputs!$B$35&gt;0),((Skills!G12*((R958-1)*IF(Skills!H12&gt;0,Skills!I12/Skills!H12,1)+IF(Skills!H12&gt;0,MIN(Skills!I12,MAX(0,Inputs!$B$35-((R958-1)*IF(Inputs!$B$4="pvp",15,MAX(0.1,Skills!D12-IF(Skills!E12=TRUE,Inputs!$B$31,0))))))/Skills!H12,1)))/Inputs!$B$35),G958*Q958)*IF(Inputs!$B$4="pvp",1,(1-Summary!$B$55)*(1)+Summary!$B$55*(MIN(Skills!W12,Inputs!$B$37))),0)</f>
        <v/>
      </c>
      <c r="P958">
        <f>IF(B991=0,0,O958/B991)</f>
        <v/>
      </c>
      <c r="Q958">
        <f>IFERROR(1/IF(Inputs!$B$4="pvp",15,MAX(0.1,Skills!D12-IF(Skills!E12=TRUE,Inputs!$B$31,0))),0)</f>
        <v/>
      </c>
      <c r="R958">
        <f>IF(AND(Inputs!$B$4&lt;&gt;"pvp",Inputs!$B$35&gt;0),(INT(Inputs!$B$35/IF(Inputs!$B$4="pvp",15,MAX(0.1,Skills!D12-IF(Skills!E12=TRUE,Inputs!$B$31,0))))+1),0)</f>
        <v/>
      </c>
      <c r="S958">
        <f>IFERROR(O958/N958,0)</f>
        <v/>
      </c>
    </row>
    <row r="959">
      <c r="A959">
        <f>Skills!A13</f>
        <v/>
      </c>
      <c r="B959">
        <f>Skills!B13</f>
        <v/>
      </c>
      <c r="C959">
        <f>Inputs!$B$3&gt;=105</f>
        <v/>
      </c>
      <c r="D959">
        <f>IF(Skills!C13=1,60+Inputs!$B$24+Inputs!$B$28,IF(Skills!C13=2,90+Inputs!$B$25+Inputs!$B$28,IF(Skills!C13=3,120+Inputs!$B$26+Inputs!$B$28,MAX(0,(Inputs!$B$3-100)*3)+(Inputs!$B$27+1)+Inputs!$B$28)))</f>
        <v/>
      </c>
      <c r="E959">
        <f>INDEX(FactorTable!$B$2:$Y$301, MATCH(ROUND(MIN(300,MAX(1,D959)),0), FactorTable!$A$2:$A$301,0), Skills!M13+1)</f>
        <v/>
      </c>
      <c r="F959">
        <f>IF(Skills!N13=TRUE,(Skills!L13/10)*(E959/1000),Skills!L13/10)+Skills!O13</f>
        <v/>
      </c>
      <c r="G959">
        <f>Skills!G13*IF(Skills!H13&gt;0,Skills!I13/Skills!H13,1)</f>
        <v/>
      </c>
      <c r="H959">
        <f>1-(1-Skills!J13/100)^Skills!K13</f>
        <v/>
      </c>
      <c r="I959" t="inlineStr">
        <is>
          <t>1</t>
        </is>
      </c>
      <c r="J959">
        <f>(Inputs!$B$5*(1+Inputs!$B$6/100))*(F959/100)</f>
        <v/>
      </c>
      <c r="K959">
        <f>J959*(1+((Inputs!$B$11*(1+Inputs!$B$12/100))*0.01+Inputs!$B$13*0.0025)/100)*(1+Inputs!$B$14/100)*(1+IF(Inputs!$B$4="pvp",0,(1-Summary!$B$55)*(Inputs!$B$19+0+Skills!P13+B980)+Summary!$B$55*(Inputs!$B$20+Skills!Q13+B980))/100)*(1+Inputs!$B$15/100)*(5000/(6000+Inputs!$B$7*(1-Inputs!$B$18/100)))*(1+(Inputs!$B$23+((C976=TRUE)*(F976-Calc!F30)))/100)*(1+(IF(Skills!A13="CRUEL_STAB",Inputs!$B$16+((C973=TRUE)*(F973-Calc!F27)),Inputs!$B$17+((C974=TRUE)*(F974-Calc!F28))))/100)*(((1+(((C967=TRUE)*F967*IF(AND(Inputs!$B$4&lt;&gt;"pvp",Inputs!$B$35&gt;0),(((S967-1)*(Skills!Y21*(1+Inputs!$B$33/100))+MIN((Skills!Y21*(1+Inputs!$B$33/100)),MAX(0,Inputs!$B$35-((S967-1)*Skills!D21))))/Inputs!$B$35),IF(Inputs!$B$4="pvp",MIN((Skills!Y21*(1+Inputs!$B$33/100)),15)/15,(Skills!Y21*(1+Inputs!$B$33/100))/Skills!D21)))+((C969=TRUE)*(F969-Calc!F23))+((C963=TRUE)*(F963-Calc!F17)))/100)*(1+((C956=TRUE)*F956*IF(AND(Inputs!$B$4&lt;&gt;"pvp",Inputs!$B$35&gt;0),(((S956-1)*(Skills!Y10*(1+Inputs!$B$33/100))+MIN((Skills!Y10*(1+Inputs!$B$33/100)),MAX(0,Inputs!$B$35-((S956-1)*Skills!D10))))/Inputs!$B$35),IF(Inputs!$B$4="pvp",MIN((Skills!Y10*(1+Inputs!$B$33/100)),15)/15,(Skills!Y10*(1+Inputs!$B$33/100))/Skills!D10)))/100)*(1+((C961=TRUE)*F961*IF(AND(Inputs!$B$4&lt;&gt;"pvp",Inputs!$B$35&gt;0),(((S961-1)*(Skills!Y15*(1+Inputs!$B$33/100))+MIN((Skills!Y15*(1+Inputs!$B$33/100)),MAX(0,Inputs!$B$35-((S961-1)*Skills!D15))))/Inputs!$B$35),IF(Inputs!$B$4="pvp",MIN((Skills!Y15*(1+Inputs!$B$33/100)),15)/15,(Skills!Y15*(1+Inputs!$B$33/100))/Skills!D15)))/100))*B981*I959)</f>
        <v/>
      </c>
      <c r="L959">
        <f>K959*(MIN(Inputs!$B$21+((C970=TRUE)*(F970-Calc!F24)),Inputs!$B$22+((C975=TRUE)*(F975-Calc!F29)))/100+(Inputs!$B$22+((C975=TRUE)*(F975-Calc!F29)))/100)/2</f>
        <v/>
      </c>
      <c r="M959">
        <f>L959*(1+(Inputs!$B$9+((C972=TRUE)*(F972-Calc!F26))+B986)/100)</f>
        <v/>
      </c>
      <c r="N959">
        <f>L959*(1-MIN((Inputs!$B$8+((C971=TRUE)*(F971-Calc!F25))+B979),100)/100)+M959*(MIN((Inputs!$B$8+((C971=TRUE)*(F971-Calc!F25))+B979),100)/100)</f>
        <v/>
      </c>
      <c r="O959">
        <f>IF(C959,H959*N959*IF(AND(Inputs!$B$4&lt;&gt;"pvp",Inputs!$B$35&gt;0),((Skills!G13*((R959-1)*IF(Skills!H13&gt;0,Skills!I13/Skills!H13,1)+IF(Skills!H13&gt;0,MIN(Skills!I13,MAX(0,Inputs!$B$35-((R959-1)*IF(Inputs!$B$4="pvp",15,MAX(0.1,Skills!D13-IF(Skills!E13=TRUE,Inputs!$B$31,0))))))/Skills!H13,1)))/Inputs!$B$35),G959*Q959)*IF(Inputs!$B$4="pvp",1,(1-Summary!$B$55)*(1)+Summary!$B$55*(MIN(Skills!W13,Inputs!$B$37))),0)</f>
        <v/>
      </c>
      <c r="P959">
        <f>IF(B991=0,0,O959/B991)</f>
        <v/>
      </c>
      <c r="Q959">
        <f>IFERROR(1/IF(Inputs!$B$4="pvp",15,MAX(0.1,Skills!D13-IF(Skills!E13=TRUE,Inputs!$B$31,0))),0)</f>
        <v/>
      </c>
      <c r="R959">
        <f>IF(AND(Inputs!$B$4&lt;&gt;"pvp",Inputs!$B$35&gt;0),(INT(Inputs!$B$35/IF(Inputs!$B$4="pvp",15,MAX(0.1,Skills!D13-IF(Skills!E13=TRUE,Inputs!$B$31,0))))+1),0)</f>
        <v/>
      </c>
      <c r="S959">
        <f>IFERROR(O959/N959,0)</f>
        <v/>
      </c>
    </row>
    <row r="960">
      <c r="A960">
        <f>Skills!A14</f>
        <v/>
      </c>
      <c r="B960">
        <f>Skills!B14</f>
        <v/>
      </c>
      <c r="C960">
        <f>Inputs!$B$3&gt;=107</f>
        <v/>
      </c>
      <c r="D960">
        <f>IF(Skills!C14=1,60+Inputs!$B$24+Inputs!$B$28,IF(Skills!C14=2,90+Inputs!$B$25+Inputs!$B$28,IF(Skills!C14=3,120+Inputs!$B$26+Inputs!$B$28,MAX(0,(Inputs!$B$3-100)*3)+(Inputs!$B$27+1)+Inputs!$B$28)))</f>
        <v/>
      </c>
      <c r="E960">
        <f>INDEX(FactorTable!$B$2:$Y$301, MATCH(ROUND(MIN(300,MAX(1,D960)),0), FactorTable!$A$2:$A$301,0), Skills!M14+1)</f>
        <v/>
      </c>
      <c r="F960">
        <f>IF(Skills!N14=TRUE,(Skills!L14/10)*(E960/1000),Skills!L14/10)+Skills!O14</f>
        <v/>
      </c>
      <c r="G960">
        <f>Skills!G14*IF(Skills!H14&gt;0,Skills!I14/Skills!H14,1)</f>
        <v/>
      </c>
      <c r="H960">
        <f>1-(1-Skills!J14/100)^Skills!K14</f>
        <v/>
      </c>
      <c r="I960" t="inlineStr">
        <is>
          <t>1</t>
        </is>
      </c>
      <c r="J960">
        <f>(Inputs!$B$5*(1+Inputs!$B$6/100))*(F960/100)</f>
        <v/>
      </c>
      <c r="K960">
        <f>J960*(1+((Inputs!$B$11*(1+Inputs!$B$12/100))*0.01+Inputs!$B$13*0.0025)/100)*(1+Inputs!$B$14/100)*(1+IF(Inputs!$B$4="pvp",0,(1-Summary!$B$55)*(Inputs!$B$19+0+Skills!P14+B980)+Summary!$B$55*(Inputs!$B$20+Skills!Q14+B980))/100)*(1+Inputs!$B$15/100)*(5000/(6000+Inputs!$B$7*(1-Inputs!$B$18/100)))*(1+(Inputs!$B$23+((C976=TRUE)*(F976-Calc!F30)))/100)*(1+(IF(Skills!A14="CRUEL_STAB",Inputs!$B$16+((C973=TRUE)*(F973-Calc!F27)),Inputs!$B$17+((C974=TRUE)*(F974-Calc!F28))))/100)*(((1+(((C967=TRUE)*F967*IF(AND(Inputs!$B$4&lt;&gt;"pvp",Inputs!$B$35&gt;0),(((S967-1)*(Skills!Y21*(1+Inputs!$B$33/100))+MIN((Skills!Y21*(1+Inputs!$B$33/100)),MAX(0,Inputs!$B$35-((S967-1)*Skills!D21))))/Inputs!$B$35),IF(Inputs!$B$4="pvp",MIN((Skills!Y21*(1+Inputs!$B$33/100)),15)/15,(Skills!Y21*(1+Inputs!$B$33/100))/Skills!D21)))+((C969=TRUE)*(F969-Calc!F23))+((C963=TRUE)*(F963-Calc!F17)))/100)*(1+((C956=TRUE)*F956*IF(AND(Inputs!$B$4&lt;&gt;"pvp",Inputs!$B$35&gt;0),(((S956-1)*(Skills!Y10*(1+Inputs!$B$33/100))+MIN((Skills!Y10*(1+Inputs!$B$33/100)),MAX(0,Inputs!$B$35-((S956-1)*Skills!D10))))/Inputs!$B$35),IF(Inputs!$B$4="pvp",MIN((Skills!Y10*(1+Inputs!$B$33/100)),15)/15,(Skills!Y10*(1+Inputs!$B$33/100))/Skills!D10)))/100)*(1+((C961=TRUE)*F961*IF(AND(Inputs!$B$4&lt;&gt;"pvp",Inputs!$B$35&gt;0),(((S961-1)*(Skills!Y15*(1+Inputs!$B$33/100))+MIN((Skills!Y15*(1+Inputs!$B$33/100)),MAX(0,Inputs!$B$35-((S961-1)*Skills!D15))))/Inputs!$B$35),IF(Inputs!$B$4="pvp",MIN((Skills!Y15*(1+Inputs!$B$33/100)),15)/15,(Skills!Y15*(1+Inputs!$B$33/100))/Skills!D15)))/100))*B981*I960)</f>
        <v/>
      </c>
      <c r="L960">
        <f>K960*(MIN(Inputs!$B$21+((C970=TRUE)*(F970-Calc!F24)),Inputs!$B$22+((C975=TRUE)*(F975-Calc!F29)))/100+(Inputs!$B$22+((C975=TRUE)*(F975-Calc!F29)))/100)/2</f>
        <v/>
      </c>
      <c r="M960">
        <f>L960*(1+(Inputs!$B$9+((C972=TRUE)*(F972-Calc!F26))+B986)/100)</f>
        <v/>
      </c>
      <c r="N960">
        <f>L960*(1-MIN((Inputs!$B$8+((C971=TRUE)*(F971-Calc!F25))+B979),100)/100)+M960*(MIN((Inputs!$B$8+((C971=TRUE)*(F971-Calc!F25))+B979),100)/100)</f>
        <v/>
      </c>
      <c r="O960">
        <f>IF(C960,H960*N960*IF(AND(Inputs!$B$4&lt;&gt;"pvp",Inputs!$B$35&gt;0),((Skills!G14*((R960-1)*IF(Skills!H14&gt;0,Skills!I14/Skills!H14,1)+IF(Skills!H14&gt;0,MIN(Skills!I14,MAX(0,Inputs!$B$35-((R960-1)*IF(Inputs!$B$4="pvp",15,MAX(0.1,Skills!D14-IF(Skills!E14=TRUE,Inputs!$B$31,0))))))/Skills!H14,1)))/Inputs!$B$35),G960*Q960)*IF(Inputs!$B$4="pvp",1,(1-Summary!$B$55)*(1)+Summary!$B$55*(MIN(MIN(5,0.25*B983*Skills!D4)*Skills!V14,Inputs!$B$37))),0)</f>
        <v/>
      </c>
      <c r="P960">
        <f>IF(B991=0,0,O960/B991)</f>
        <v/>
      </c>
      <c r="Q960">
        <f>IFERROR(1/IF(Inputs!$B$4="pvp",15,MAX(0.1,Skills!D14-IF(Skills!E14=TRUE,Inputs!$B$31,0))),0)</f>
        <v/>
      </c>
      <c r="R960">
        <f>IF(AND(Inputs!$B$4&lt;&gt;"pvp",Inputs!$B$35&gt;0),(INT(Inputs!$B$35/IF(Inputs!$B$4="pvp",15,MAX(0.1,Skills!D14-IF(Skills!E14=TRUE,Inputs!$B$31,0))))+1),0)</f>
        <v/>
      </c>
      <c r="S960">
        <f>IFERROR(O960/N960,0)</f>
        <v/>
      </c>
    </row>
    <row r="961">
      <c r="A961">
        <f>Skills!A15</f>
        <v/>
      </c>
      <c r="B961">
        <f>Skills!B15</f>
        <v/>
      </c>
      <c r="C961">
        <f>Inputs!$B$3&gt;=110</f>
        <v/>
      </c>
      <c r="D961">
        <f>IF(Skills!C15=1,60+Inputs!$B$24+Inputs!$B$28,IF(Skills!C15=2,90+Inputs!$B$25+Inputs!$B$28,IF(Skills!C15=3,120+Inputs!$B$26+Inputs!$B$28,MAX(0,(Inputs!$B$3-100)*3)+(Inputs!$B$27+1)+Inputs!$B$28)))</f>
        <v/>
      </c>
      <c r="E961">
        <f>INDEX(FactorTable!$B$2:$Y$301, MATCH(ROUND(MIN(300,MAX(1,D961)),0), FactorTable!$A$2:$A$301,0), Skills!M15+1)</f>
        <v/>
      </c>
      <c r="F961">
        <f>IF(Skills!N15=TRUE,(Skills!L15/10)*(E961/1000),Skills!L15/10)+Skills!O15</f>
        <v/>
      </c>
      <c r="G961">
        <f>Skills!G15*IF(Skills!H15&gt;0,Skills!I15/Skills!H15,1)</f>
        <v/>
      </c>
      <c r="H961">
        <f>1-(1-Skills!J15/100)^Skills!K15</f>
        <v/>
      </c>
      <c r="I961" t="inlineStr">
        <is>
          <t>1</t>
        </is>
      </c>
      <c r="J961" t="inlineStr"/>
      <c r="K961" t="inlineStr"/>
      <c r="L961" t="inlineStr"/>
      <c r="M961" t="inlineStr"/>
      <c r="N961" t="inlineStr"/>
      <c r="O961" t="n">
        <v>0</v>
      </c>
      <c r="P961">
        <f>IF(B991=0,0,O961/B991)</f>
        <v/>
      </c>
      <c r="Q961">
        <f>IFERROR(1/IF(Inputs!$B$4="pvp",15,MAX(0.1,Skills!D15-IF(Skills!E15=TRUE,Inputs!$B$31,0))),0)</f>
        <v/>
      </c>
      <c r="R961">
        <f>IF(AND(Inputs!$B$4&lt;&gt;"pvp",Inputs!$B$35&gt;0),(INT(Inputs!$B$35/IF(Inputs!$B$4="pvp",15,MAX(0.1,Skills!D15-IF(Skills!E15=TRUE,Inputs!$B$31,0))))+1),0)</f>
        <v/>
      </c>
      <c r="S961">
        <f>IFERROR(O961/N961,0)</f>
        <v/>
      </c>
    </row>
    <row r="962">
      <c r="A962">
        <f>Skills!A16</f>
        <v/>
      </c>
      <c r="B962">
        <f>Skills!B16</f>
        <v/>
      </c>
      <c r="C962">
        <f>Inputs!$B$3&gt;=115</f>
        <v/>
      </c>
      <c r="D962">
        <f>IF(Skills!C16=1,60+Inputs!$B$24+Inputs!$B$28,IF(Skills!C16=2,90+Inputs!$B$25+Inputs!$B$28,IF(Skills!C16=3,120+Inputs!$B$26+Inputs!$B$28,MAX(0,(Inputs!$B$3-100)*3)+(Inputs!$B$27+1)+Inputs!$B$28)))</f>
        <v/>
      </c>
      <c r="E962">
        <f>INDEX(FactorTable!$B$2:$Y$301, MATCH(ROUND(MIN(300,MAX(1,D962)),0), FactorTable!$A$2:$A$301,0), Skills!M16+1)</f>
        <v/>
      </c>
      <c r="F962">
        <f>IF(Skills!N16=TRUE,(Skills!L16/10)*(E962/1000),Skills!L16/10)+Skills!O16</f>
        <v/>
      </c>
      <c r="G962">
        <f>Skills!G16*IF(Skills!H16&gt;0,Skills!I16/Skills!H16,1)</f>
        <v/>
      </c>
      <c r="H962">
        <f>1-(1-Skills!J16/100)^Skills!K16</f>
        <v/>
      </c>
      <c r="I962" t="inlineStr">
        <is>
          <t>1</t>
        </is>
      </c>
      <c r="J962">
        <f>(Inputs!$B$5*(1+Inputs!$B$6/100))*(F962/100)</f>
        <v/>
      </c>
      <c r="K962">
        <f>J962*(1+((Inputs!$B$11*(1+Inputs!$B$12/100))*0.01+Inputs!$B$13*0.0025)/100)*(1+Inputs!$B$14/100)*(1+IF(Inputs!$B$4="pvp",0,(1-Summary!$B$55)*(Inputs!$B$19+0+Skills!P16+B980)+Summary!$B$55*(Inputs!$B$20+Skills!Q16+B980))/100)*(1+Inputs!$B$15/100)*(5000/(6000+Inputs!$B$7*(1-Inputs!$B$18/100)))*(1+(Inputs!$B$23+((C976=TRUE)*(F976-Calc!F30)))/100)*(1+(IF(Skills!A16="CRUEL_STAB",Inputs!$B$16+((C973=TRUE)*(F973-Calc!F27)),Inputs!$B$17+((C974=TRUE)*(F974-Calc!F28))))/100)*(((1+(((C967=TRUE)*F967*IF(AND(Inputs!$B$4&lt;&gt;"pvp",Inputs!$B$35&gt;0),(((S967-1)*(Skills!Y21*(1+Inputs!$B$33/100))+MIN((Skills!Y21*(1+Inputs!$B$33/100)),MAX(0,Inputs!$B$35-((S967-1)*Skills!D21))))/Inputs!$B$35),IF(Inputs!$B$4="pvp",MIN((Skills!Y21*(1+Inputs!$B$33/100)),15)/15,(Skills!Y21*(1+Inputs!$B$33/100))/Skills!D21)))+((C969=TRUE)*(F969-Calc!F23))+((C963=TRUE)*(F963-Calc!F17)))/100)*(1+((C956=TRUE)*F956*IF(AND(Inputs!$B$4&lt;&gt;"pvp",Inputs!$B$35&gt;0),(((S956-1)*(Skills!Y10*(1+Inputs!$B$33/100))+MIN((Skills!Y10*(1+Inputs!$B$33/100)),MAX(0,Inputs!$B$35-((S956-1)*Skills!D10))))/Inputs!$B$35),IF(Inputs!$B$4="pvp",MIN((Skills!Y10*(1+Inputs!$B$33/100)),15)/15,(Skills!Y10*(1+Inputs!$B$33/100))/Skills!D10)))/100)*(1+((C961=TRUE)*F961*IF(AND(Inputs!$B$4&lt;&gt;"pvp",Inputs!$B$35&gt;0),(((S961-1)*(Skills!Y15*(1+Inputs!$B$33/100))+MIN((Skills!Y15*(1+Inputs!$B$33/100)),MAX(0,Inputs!$B$35-((S961-1)*Skills!D15))))/Inputs!$B$35),IF(Inputs!$B$4="pvp",MIN((Skills!Y15*(1+Inputs!$B$33/100)),15)/15,(Skills!Y15*(1+Inputs!$B$33/100))/Skills!D15)))/100))*B981*I962)</f>
        <v/>
      </c>
      <c r="L962">
        <f>K962*(MIN(Inputs!$B$21+((C970=TRUE)*(F970-Calc!F24)),Inputs!$B$22+((C975=TRUE)*(F975-Calc!F29)))/100+(Inputs!$B$22+((C975=TRUE)*(F975-Calc!F29)))/100)/2</f>
        <v/>
      </c>
      <c r="M962">
        <f>L962*(1+(Inputs!$B$9+((C972=TRUE)*(F972-Calc!F26))+B986)/100)</f>
        <v/>
      </c>
      <c r="N962">
        <f>L962*(1-MIN((Inputs!$B$8+((C971=TRUE)*(F971-Calc!F25))+B979),100)/100)+M962*(MIN((Inputs!$B$8+((C971=TRUE)*(F971-Calc!F25))+B979),100)/100)</f>
        <v/>
      </c>
      <c r="O962">
        <f>IF(C962,Inputs!$B$38*0.2*N962,0)</f>
        <v/>
      </c>
      <c r="P962">
        <f>IF(B991=0,0,O962/B991)</f>
        <v/>
      </c>
      <c r="Q962" t="n">
        <v>0</v>
      </c>
      <c r="R962" t="n">
        <v>0</v>
      </c>
      <c r="S962">
        <f>IFERROR(O962/N962,0)</f>
        <v/>
      </c>
    </row>
    <row r="963">
      <c r="A963">
        <f>Skills!A17</f>
        <v/>
      </c>
      <c r="B963">
        <f>Skills!B17</f>
        <v/>
      </c>
      <c r="C963">
        <f>Inputs!$B$3&gt;=115</f>
        <v/>
      </c>
      <c r="D963">
        <f>IF(Skills!C17=1,60+Inputs!$B$24+Inputs!$B$28,IF(Skills!C17=2,90+Inputs!$B$25+Inputs!$B$28,IF(Skills!C17=3,120+Inputs!$B$26+Inputs!$B$28,MAX(0,(Inputs!$B$3-100)*3)+(Inputs!$B$27+1)+Inputs!$B$28)))</f>
        <v/>
      </c>
      <c r="E963">
        <f>INDEX(FactorTable!$B$2:$Y$301, MATCH(ROUND(MIN(300,MAX(1,D963)),0), FactorTable!$A$2:$A$301,0), Skills!M17+1)</f>
        <v/>
      </c>
      <c r="F963">
        <f>IF(Skills!N17=TRUE,(Skills!L17/10)*(E963/1000),Skills!L17/10)+Skills!O17</f>
        <v/>
      </c>
      <c r="G963">
        <f>Skills!G17*IF(Skills!H17&gt;0,Skills!I17/Skills!H17,1)</f>
        <v/>
      </c>
      <c r="H963">
        <f>1-(1-Skills!J17/100)^Skills!K17</f>
        <v/>
      </c>
      <c r="I963" t="inlineStr">
        <is>
          <t>1</t>
        </is>
      </c>
      <c r="J963" t="inlineStr"/>
      <c r="K963" t="inlineStr"/>
      <c r="L963" t="inlineStr"/>
      <c r="M963" t="inlineStr"/>
      <c r="N963" t="inlineStr"/>
      <c r="O963" t="n">
        <v>0</v>
      </c>
      <c r="P963">
        <f>IF(B991=0,0,O963/B991)</f>
        <v/>
      </c>
      <c r="Q963" t="n">
        <v>0</v>
      </c>
      <c r="R963" t="n">
        <v>0</v>
      </c>
      <c r="S963">
        <f>IFERROR(O963/N963,0)</f>
        <v/>
      </c>
    </row>
    <row r="964">
      <c r="A964">
        <f>Skills!A18</f>
        <v/>
      </c>
      <c r="B964">
        <f>Skills!B18</f>
        <v/>
      </c>
      <c r="C964">
        <f>Inputs!$B$3&gt;=100</f>
        <v/>
      </c>
      <c r="D964">
        <f>IF(Skills!C18=1,60+Inputs!$B$24+Inputs!$B$28,IF(Skills!C18=2,90+Inputs!$B$25+Inputs!$B$28,IF(Skills!C18=3,120+Inputs!$B$26+Inputs!$B$28,MAX(0,(Inputs!$B$3-100)*3)+(Inputs!$B$27+1)+Inputs!$B$28)))</f>
        <v/>
      </c>
      <c r="E964">
        <f>INDEX(FactorTable!$B$2:$Y$301, MATCH(ROUND(MIN(300,MAX(1,D964)),0), FactorTable!$A$2:$A$301,0), Skills!M18+1)</f>
        <v/>
      </c>
      <c r="F964">
        <f>IF(Skills!N18=TRUE,(Skills!L18/10)*(E964/1000),Skills!L18/10)+Skills!O18</f>
        <v/>
      </c>
      <c r="G964">
        <f>Skills!G18*IF(Skills!H18&gt;0,Skills!I18/Skills!H18,1)</f>
        <v/>
      </c>
      <c r="H964">
        <f>1-(1-Skills!J18/100)^Skills!K18</f>
        <v/>
      </c>
      <c r="I964" t="inlineStr">
        <is>
          <t>1</t>
        </is>
      </c>
      <c r="J964" t="inlineStr"/>
      <c r="K964" t="inlineStr"/>
      <c r="L964" t="inlineStr"/>
      <c r="M964" t="inlineStr"/>
      <c r="N964" t="inlineStr"/>
      <c r="O964" t="n">
        <v>0</v>
      </c>
      <c r="P964">
        <f>IF(B991=0,0,O964/B991)</f>
        <v/>
      </c>
      <c r="Q964" t="n">
        <v>0</v>
      </c>
      <c r="R964" t="n">
        <v>0</v>
      </c>
      <c r="S964">
        <f>IFERROR(O964/N964,0)</f>
        <v/>
      </c>
    </row>
    <row r="965">
      <c r="A965">
        <f>Skills!A19</f>
        <v/>
      </c>
      <c r="B965">
        <f>Skills!B19</f>
        <v/>
      </c>
      <c r="C965">
        <f>TRUE</f>
        <v/>
      </c>
      <c r="D965">
        <f>IF(Skills!C19=1,60+Inputs!$B$24+Inputs!$B$28,IF(Skills!C19=2,90+Inputs!$B$25+Inputs!$B$28,IF(Skills!C19=3,120+Inputs!$B$26+Inputs!$B$28,MAX(0,(Inputs!$B$3-100)*3)+(Inputs!$B$27+1)+Inputs!$B$28)))</f>
        <v/>
      </c>
      <c r="E965">
        <f>INDEX(FactorTable!$B$2:$Y$301, MATCH(ROUND(MIN(300,MAX(1,D965)),0), FactorTable!$A$2:$A$301,0), Skills!M19+1)</f>
        <v/>
      </c>
      <c r="F965">
        <f>IF(Skills!N19=TRUE,(Skills!L19/10)*(E965/1000),Skills!L19/10)+Skills!O19</f>
        <v/>
      </c>
      <c r="G965">
        <f>Skills!G19*IF(Skills!H19&gt;0,Skills!I19/Skills!H19,1)</f>
        <v/>
      </c>
      <c r="H965">
        <f>1-(1-Skills!J19/100)^Skills!K19</f>
        <v/>
      </c>
      <c r="I965" t="inlineStr">
        <is>
          <t>1</t>
        </is>
      </c>
      <c r="J965" t="inlineStr"/>
      <c r="K965" t="inlineStr"/>
      <c r="L965" t="inlineStr"/>
      <c r="M965" t="inlineStr"/>
      <c r="N965" t="inlineStr"/>
      <c r="O965" t="n">
        <v>0</v>
      </c>
      <c r="P965">
        <f>IF(B991=0,0,O965/B991)</f>
        <v/>
      </c>
      <c r="Q965">
        <f>IFERROR(1/IF(Inputs!$B$4="pvp",15,MAX(0.1,Skills!D19-IF(Skills!E19=TRUE,Inputs!$B$31,0))),0)</f>
        <v/>
      </c>
      <c r="R965">
        <f>IF(AND(Inputs!$B$4&lt;&gt;"pvp",Inputs!$B$35&gt;0),(INT(Inputs!$B$35/IF(Inputs!$B$4="pvp",15,MAX(0.1,Skills!D19-IF(Skills!E19=TRUE,Inputs!$B$31,0))))+1),0)</f>
        <v/>
      </c>
      <c r="S965">
        <f>IFERROR(O965/N965,0)</f>
        <v/>
      </c>
    </row>
    <row r="966">
      <c r="A966">
        <f>Skills!A20</f>
        <v/>
      </c>
      <c r="B966">
        <f>Skills!B20</f>
        <v/>
      </c>
      <c r="C966">
        <f>Inputs!$B$3&gt;=15</f>
        <v/>
      </c>
      <c r="D966">
        <f>IF(Skills!C20=1,60+Inputs!$B$24+Inputs!$B$28,IF(Skills!C20=2,90+Inputs!$B$25+Inputs!$B$28,IF(Skills!C20=3,120+Inputs!$B$26+Inputs!$B$28,MAX(0,(Inputs!$B$3-100)*3)+(Inputs!$B$27+1)+Inputs!$B$28)))</f>
        <v/>
      </c>
      <c r="E966">
        <f>INDEX(FactorTable!$B$2:$Y$301, MATCH(ROUND(MIN(300,MAX(1,D966)),0), FactorTable!$A$2:$A$301,0), Skills!M20+1)</f>
        <v/>
      </c>
      <c r="F966">
        <f>IF(Skills!N20=TRUE,(Skills!L20/10)*(E966/1000),Skills!L20/10)+Skills!O20</f>
        <v/>
      </c>
      <c r="G966">
        <f>Skills!G20*IF(Skills!H20&gt;0,Skills!I20/Skills!H20,1)</f>
        <v/>
      </c>
      <c r="H966">
        <f>1-(1-Skills!J20/100)^Skills!K20</f>
        <v/>
      </c>
      <c r="I966" t="inlineStr">
        <is>
          <t>1</t>
        </is>
      </c>
      <c r="J966" t="inlineStr"/>
      <c r="K966" t="inlineStr"/>
      <c r="L966" t="inlineStr"/>
      <c r="M966" t="inlineStr"/>
      <c r="N966" t="inlineStr"/>
      <c r="O966" t="n">
        <v>0</v>
      </c>
      <c r="P966">
        <f>IF(B991=0,0,O966/B991)</f>
        <v/>
      </c>
      <c r="Q966">
        <f>IFERROR(1/IF(Inputs!$B$4="pvp",15,MAX(0.1,Skills!D20-IF(Skills!E20=TRUE,Inputs!$B$31,0))),0)</f>
        <v/>
      </c>
      <c r="R966">
        <f>IF(AND(Inputs!$B$4&lt;&gt;"pvp",Inputs!$B$35&gt;0),(INT(Inputs!$B$35/IF(Inputs!$B$4="pvp",15,MAX(0.1,Skills!D20-IF(Skills!E20=TRUE,Inputs!$B$31,0))))+1),0)</f>
        <v/>
      </c>
      <c r="S966">
        <f>IFERROR(O966/N966,0)</f>
        <v/>
      </c>
    </row>
    <row r="967">
      <c r="A967">
        <f>Skills!A21</f>
        <v/>
      </c>
      <c r="B967">
        <f>Skills!B21</f>
        <v/>
      </c>
      <c r="C967">
        <f>Inputs!$B$3&gt;=15</f>
        <v/>
      </c>
      <c r="D967">
        <f>IF(Skills!C21=1,60+Inputs!$B$24+Inputs!$B$28,IF(Skills!C21=2,90+Inputs!$B$25+Inputs!$B$28,IF(Skills!C21=3,120+Inputs!$B$26+Inputs!$B$28,MAX(0,(Inputs!$B$3-100)*3)+(Inputs!$B$27+1)+Inputs!$B$28)))</f>
        <v/>
      </c>
      <c r="E967">
        <f>INDEX(FactorTable!$B$2:$Y$301, MATCH(ROUND(MIN(300,MAX(1,D967)),0), FactorTable!$A$2:$A$301,0), Skills!M21+1)</f>
        <v/>
      </c>
      <c r="F967">
        <f>IF(Skills!N21=TRUE,(Skills!L21/10)*(E967/1000),Skills!L21/10)+Skills!O21</f>
        <v/>
      </c>
      <c r="G967">
        <f>Skills!G21*IF(Skills!H21&gt;0,Skills!I21/Skills!H21,1)</f>
        <v/>
      </c>
      <c r="H967">
        <f>1-(1-Skills!J21/100)^Skills!K21</f>
        <v/>
      </c>
      <c r="I967" t="inlineStr">
        <is>
          <t>1</t>
        </is>
      </c>
      <c r="J967" t="inlineStr"/>
      <c r="K967" t="inlineStr"/>
      <c r="L967" t="inlineStr"/>
      <c r="M967" t="inlineStr"/>
      <c r="N967" t="inlineStr"/>
      <c r="O967" t="n">
        <v>0</v>
      </c>
      <c r="P967">
        <f>IF(B991=0,0,O967/B991)</f>
        <v/>
      </c>
      <c r="Q967">
        <f>IFERROR(1/IF(Inputs!$B$4="pvp",15,MAX(0.1,Skills!D21-IF(Skills!E21=TRUE,Inputs!$B$31,0))),0)</f>
        <v/>
      </c>
      <c r="R967">
        <f>IF(AND(Inputs!$B$4&lt;&gt;"pvp",Inputs!$B$35&gt;0),(INT(Inputs!$B$35/IF(Inputs!$B$4="pvp",15,MAX(0.1,Skills!D21-IF(Skills!E21=TRUE,Inputs!$B$31,0))))+1),0)</f>
        <v/>
      </c>
      <c r="S967">
        <f>IFERROR(O967/N967,0)</f>
        <v/>
      </c>
    </row>
    <row r="968">
      <c r="A968">
        <f>Skills!A22</f>
        <v/>
      </c>
      <c r="B968">
        <f>Skills!B22</f>
        <v/>
      </c>
      <c r="C968">
        <f>Inputs!$B$3&gt;=33</f>
        <v/>
      </c>
      <c r="D968">
        <f>IF(Skills!C22=1,60+Inputs!$B$24+Inputs!$B$28,IF(Skills!C22=2,90+Inputs!$B$25+Inputs!$B$28,IF(Skills!C22=3,120+Inputs!$B$26+Inputs!$B$28,MAX(0,(Inputs!$B$3-100)*3)+(Inputs!$B$27+1)+Inputs!$B$28)))</f>
        <v/>
      </c>
      <c r="E968">
        <f>INDEX(FactorTable!$B$2:$Y$301, MATCH(ROUND(MIN(300,MAX(1,D968)),0), FactorTable!$A$2:$A$301,0), Skills!M22+1)</f>
        <v/>
      </c>
      <c r="F968">
        <f>IF(Skills!N22=TRUE,(Skills!L22/10)*(E968/1000),Skills!L22/10)+Skills!O22</f>
        <v/>
      </c>
      <c r="G968">
        <f>Skills!G22*IF(Skills!H22&gt;0,Skills!I22/Skills!H22,1)</f>
        <v/>
      </c>
      <c r="H968">
        <f>1-(1-Skills!J22/100)^Skills!K22</f>
        <v/>
      </c>
      <c r="I968" t="inlineStr">
        <is>
          <t>1</t>
        </is>
      </c>
      <c r="J968" t="inlineStr"/>
      <c r="K968" t="inlineStr"/>
      <c r="L968" t="inlineStr"/>
      <c r="M968" t="inlineStr"/>
      <c r="N968" t="inlineStr"/>
      <c r="O968" t="n">
        <v>0</v>
      </c>
      <c r="P968">
        <f>IF(B991=0,0,O968/B991)</f>
        <v/>
      </c>
      <c r="Q968" t="n">
        <v>0</v>
      </c>
      <c r="R968" t="n">
        <v>0</v>
      </c>
      <c r="S968">
        <f>IFERROR(O968/N968,0)</f>
        <v/>
      </c>
    </row>
    <row r="969">
      <c r="A969">
        <f>Skills!A23</f>
        <v/>
      </c>
      <c r="B969">
        <f>Skills!B23</f>
        <v/>
      </c>
      <c r="C969">
        <f>Inputs!$B$3&gt;=40</f>
        <v/>
      </c>
      <c r="D969">
        <f>IF(Skills!C23=1,60+Inputs!$B$24+Inputs!$B$28,IF(Skills!C23=2,90+Inputs!$B$25+Inputs!$B$28,IF(Skills!C23=3,120+Inputs!$B$26+Inputs!$B$28,MAX(0,(Inputs!$B$3-100)*3)+(Inputs!$B$27+1)+Inputs!$B$28)))</f>
        <v/>
      </c>
      <c r="E969">
        <f>INDEX(FactorTable!$B$2:$Y$301, MATCH(ROUND(MIN(300,MAX(1,D969)),0), FactorTable!$A$2:$A$301,0), Skills!M23+1)</f>
        <v/>
      </c>
      <c r="F969">
        <f>IF(Skills!N23=TRUE,(Skills!L23/10)*(E969/1000),Skills!L23/10)+Skills!O23</f>
        <v/>
      </c>
      <c r="G969">
        <f>Skills!G23*IF(Skills!H23&gt;0,Skills!I23/Skills!H23,1)</f>
        <v/>
      </c>
      <c r="H969">
        <f>1-(1-Skills!J23/100)^Skills!K23</f>
        <v/>
      </c>
      <c r="I969" t="inlineStr">
        <is>
          <t>1</t>
        </is>
      </c>
      <c r="J969" t="inlineStr"/>
      <c r="K969" t="inlineStr"/>
      <c r="L969" t="inlineStr"/>
      <c r="M969" t="inlineStr"/>
      <c r="N969" t="inlineStr"/>
      <c r="O969" t="n">
        <v>0</v>
      </c>
      <c r="P969">
        <f>IF(B991=0,0,O969/B991)</f>
        <v/>
      </c>
      <c r="Q969" t="n">
        <v>0</v>
      </c>
      <c r="R969" t="n">
        <v>0</v>
      </c>
      <c r="S969">
        <f>IFERROR(O969/N969,0)</f>
        <v/>
      </c>
    </row>
    <row r="970">
      <c r="A970">
        <f>Skills!A24</f>
        <v/>
      </c>
      <c r="B970">
        <f>Skills!B24</f>
        <v/>
      </c>
      <c r="C970">
        <f>Inputs!$B$3&gt;=43</f>
        <v/>
      </c>
      <c r="D970">
        <f>IF(Skills!C24=1,60+Inputs!$B$24+Inputs!$B$28,IF(Skills!C24=2,90+Inputs!$B$25+Inputs!$B$28,IF(Skills!C24=3,120+Inputs!$B$26+Inputs!$B$28,MAX(0,(Inputs!$B$3-100)*3)+(Inputs!$B$27+1)+Inputs!$B$28)))</f>
        <v/>
      </c>
      <c r="E970">
        <f>INDEX(FactorTable!$B$2:$Y$301, MATCH(ROUND(MIN(300,MAX(1,D970)),0), FactorTable!$A$2:$A$301,0), Skills!M24+1)</f>
        <v/>
      </c>
      <c r="F970">
        <f>IF(Skills!N24=TRUE,(Skills!L24/10)*(E970/1000),Skills!L24/10)+Skills!O24</f>
        <v/>
      </c>
      <c r="G970">
        <f>Skills!G24*IF(Skills!H24&gt;0,Skills!I24/Skills!H24,1)</f>
        <v/>
      </c>
      <c r="H970">
        <f>1-(1-Skills!J24/100)^Skills!K24</f>
        <v/>
      </c>
      <c r="I970" t="inlineStr">
        <is>
          <t>1</t>
        </is>
      </c>
      <c r="J970" t="inlineStr"/>
      <c r="K970" t="inlineStr"/>
      <c r="L970" t="inlineStr"/>
      <c r="M970" t="inlineStr"/>
      <c r="N970" t="inlineStr"/>
      <c r="O970" t="n">
        <v>0</v>
      </c>
      <c r="P970">
        <f>IF(B991=0,0,O970/B991)</f>
        <v/>
      </c>
      <c r="Q970" t="n">
        <v>0</v>
      </c>
      <c r="R970" t="n">
        <v>0</v>
      </c>
      <c r="S970">
        <f>IFERROR(O970/N970,0)</f>
        <v/>
      </c>
    </row>
    <row r="971">
      <c r="A971">
        <f>Skills!A25</f>
        <v/>
      </c>
      <c r="B971">
        <f>Skills!B25</f>
        <v/>
      </c>
      <c r="C971">
        <f>Inputs!$B$3&gt;=50</f>
        <v/>
      </c>
      <c r="D971">
        <f>IF(Skills!C25=1,60+Inputs!$B$24+Inputs!$B$28,IF(Skills!C25=2,90+Inputs!$B$25+Inputs!$B$28,IF(Skills!C25=3,120+Inputs!$B$26+Inputs!$B$28,MAX(0,(Inputs!$B$3-100)*3)+(Inputs!$B$27+1)+Inputs!$B$28)))</f>
        <v/>
      </c>
      <c r="E971">
        <f>INDEX(FactorTable!$B$2:$Y$301, MATCH(ROUND(MIN(300,MAX(1,D971)),0), FactorTable!$A$2:$A$301,0), Skills!M25+1)</f>
        <v/>
      </c>
      <c r="F971">
        <f>IF(Skills!N25=TRUE,(Skills!L25/10)*(E971/1000),Skills!L25/10)+Skills!O25</f>
        <v/>
      </c>
      <c r="G971">
        <f>Skills!G25*IF(Skills!H25&gt;0,Skills!I25/Skills!H25,1)</f>
        <v/>
      </c>
      <c r="H971">
        <f>1-(1-Skills!J25/100)^Skills!K25</f>
        <v/>
      </c>
      <c r="I971" t="inlineStr">
        <is>
          <t>1</t>
        </is>
      </c>
      <c r="J971" t="inlineStr"/>
      <c r="K971" t="inlineStr"/>
      <c r="L971" t="inlineStr"/>
      <c r="M971" t="inlineStr"/>
      <c r="N971" t="inlineStr"/>
      <c r="O971" t="n">
        <v>0</v>
      </c>
      <c r="P971">
        <f>IF(B991=0,0,O971/B991)</f>
        <v/>
      </c>
      <c r="Q971" t="n">
        <v>0</v>
      </c>
      <c r="R971" t="n">
        <v>0</v>
      </c>
      <c r="S971">
        <f>IFERROR(O971/N971,0)</f>
        <v/>
      </c>
    </row>
    <row r="972">
      <c r="A972">
        <f>Skills!A26</f>
        <v/>
      </c>
      <c r="B972">
        <f>Skills!B26</f>
        <v/>
      </c>
      <c r="C972">
        <f>Inputs!$B$3&gt;=50</f>
        <v/>
      </c>
      <c r="D972">
        <f>IF(Skills!C26=1,60+Inputs!$B$24+Inputs!$B$28,IF(Skills!C26=2,90+Inputs!$B$25+Inputs!$B$28,IF(Skills!C26=3,120+Inputs!$B$26+Inputs!$B$28,MAX(0,(Inputs!$B$3-100)*3)+(Inputs!$B$27+1)+Inputs!$B$28)))</f>
        <v/>
      </c>
      <c r="E972">
        <f>INDEX(FactorTable!$B$2:$Y$301, MATCH(ROUND(MIN(300,MAX(1,D972)),0), FactorTable!$A$2:$A$301,0), Skills!M26+1)</f>
        <v/>
      </c>
      <c r="F972">
        <f>IF(Skills!N26=TRUE,(Skills!L26/10)*(E972/1000),Skills!L26/10)+Skills!O26</f>
        <v/>
      </c>
      <c r="G972">
        <f>Skills!G26*IF(Skills!H26&gt;0,Skills!I26/Skills!H26,1)</f>
        <v/>
      </c>
      <c r="H972">
        <f>1-(1-Skills!J26/100)^Skills!K26</f>
        <v/>
      </c>
      <c r="I972" t="inlineStr">
        <is>
          <t>1</t>
        </is>
      </c>
      <c r="J972" t="inlineStr"/>
      <c r="K972" t="inlineStr"/>
      <c r="L972" t="inlineStr"/>
      <c r="M972" t="inlineStr"/>
      <c r="N972" t="inlineStr"/>
      <c r="O972" t="n">
        <v>0</v>
      </c>
      <c r="P972">
        <f>IF(B991=0,0,O972/B991)</f>
        <v/>
      </c>
      <c r="Q972" t="n">
        <v>0</v>
      </c>
      <c r="R972" t="n">
        <v>0</v>
      </c>
      <c r="S972">
        <f>IFERROR(O972/N972,0)</f>
        <v/>
      </c>
    </row>
    <row r="973">
      <c r="A973">
        <f>Skills!A27</f>
        <v/>
      </c>
      <c r="B973">
        <f>Skills!B27</f>
        <v/>
      </c>
      <c r="C973">
        <f>Inputs!$B$3&gt;=38</f>
        <v/>
      </c>
      <c r="D973">
        <f>IF(Skills!C27=1,60+Inputs!$B$24+Inputs!$B$28,IF(Skills!C27=2,90+Inputs!$B$25+Inputs!$B$28,IF(Skills!C27=3,120+Inputs!$B$26+Inputs!$B$28,MAX(0,(Inputs!$B$3-100)*3)+(Inputs!$B$27+1)+Inputs!$B$28)))</f>
        <v/>
      </c>
      <c r="E973">
        <f>INDEX(FactorTable!$B$2:$Y$301, MATCH(ROUND(MIN(300,MAX(1,D973)),0), FactorTable!$A$2:$A$301,0), Skills!M27+1)</f>
        <v/>
      </c>
      <c r="F973">
        <f>IF(Skills!N27=TRUE,(Skills!L27/10)*(E973/1000),Skills!L27/10)+Skills!O27</f>
        <v/>
      </c>
      <c r="G973">
        <f>Skills!G27*IF(Skills!H27&gt;0,Skills!I27/Skills!H27,1)</f>
        <v/>
      </c>
      <c r="H973">
        <f>1-(1-Skills!J27/100)^Skills!K27</f>
        <v/>
      </c>
      <c r="I973" t="inlineStr">
        <is>
          <t>1</t>
        </is>
      </c>
      <c r="J973" t="inlineStr"/>
      <c r="K973" t="inlineStr"/>
      <c r="L973" t="inlineStr"/>
      <c r="M973" t="inlineStr"/>
      <c r="N973" t="inlineStr"/>
      <c r="O973" t="n">
        <v>0</v>
      </c>
      <c r="P973">
        <f>IF(B991=0,0,O973/B991)</f>
        <v/>
      </c>
      <c r="Q973" t="n">
        <v>0</v>
      </c>
      <c r="R973" t="n">
        <v>0</v>
      </c>
      <c r="S973">
        <f>IFERROR(O973/N973,0)</f>
        <v/>
      </c>
    </row>
    <row r="974">
      <c r="A974">
        <f>Skills!A28</f>
        <v/>
      </c>
      <c r="B974">
        <f>Skills!B28</f>
        <v/>
      </c>
      <c r="C974">
        <f>Inputs!$B$3&gt;=120</f>
        <v/>
      </c>
      <c r="D974">
        <f>IF(Skills!C28=1,60+Inputs!$B$24+Inputs!$B$28,IF(Skills!C28=2,90+Inputs!$B$25+Inputs!$B$28,IF(Skills!C28=3,120+Inputs!$B$26+Inputs!$B$28,MAX(0,(Inputs!$B$3-100)*3)+(Inputs!$B$27+1)+Inputs!$B$28)))</f>
        <v/>
      </c>
      <c r="E974">
        <f>INDEX(FactorTable!$B$2:$Y$301, MATCH(ROUND(MIN(300,MAX(1,D974)),0), FactorTable!$A$2:$A$301,0), Skills!M28+1)</f>
        <v/>
      </c>
      <c r="F974">
        <f>IF(Skills!N28=TRUE,(Skills!L28/10)*(E974/1000),Skills!L28/10)+Skills!O28</f>
        <v/>
      </c>
      <c r="G974">
        <f>Skills!G28*IF(Skills!H28&gt;0,Skills!I28/Skills!H28,1)</f>
        <v/>
      </c>
      <c r="H974">
        <f>1-(1-Skills!J28/100)^Skills!K28</f>
        <v/>
      </c>
      <c r="I974" t="inlineStr">
        <is>
          <t>1</t>
        </is>
      </c>
      <c r="J974" t="inlineStr"/>
      <c r="K974" t="inlineStr"/>
      <c r="L974" t="inlineStr"/>
      <c r="M974" t="inlineStr"/>
      <c r="N974" t="inlineStr"/>
      <c r="O974" t="n">
        <v>0</v>
      </c>
      <c r="P974">
        <f>IF(B991=0,0,O974/B991)</f>
        <v/>
      </c>
      <c r="Q974" t="n">
        <v>0</v>
      </c>
      <c r="R974" t="n">
        <v>0</v>
      </c>
      <c r="S974">
        <f>IFERROR(O974/N974,0)</f>
        <v/>
      </c>
    </row>
    <row r="975">
      <c r="A975">
        <f>Skills!A29</f>
        <v/>
      </c>
      <c r="B975">
        <f>Skills!B29</f>
        <v/>
      </c>
      <c r="C975">
        <f>Inputs!$B$3&gt;=120</f>
        <v/>
      </c>
      <c r="D975">
        <f>IF(Skills!C29=1,60+Inputs!$B$24+Inputs!$B$28,IF(Skills!C29=2,90+Inputs!$B$25+Inputs!$B$28,IF(Skills!C29=3,120+Inputs!$B$26+Inputs!$B$28,MAX(0,(Inputs!$B$3-100)*3)+(Inputs!$B$27+1)+Inputs!$B$28)))</f>
        <v/>
      </c>
      <c r="E975">
        <f>INDEX(FactorTable!$B$2:$Y$301, MATCH(ROUND(MIN(300,MAX(1,D975)),0), FactorTable!$A$2:$A$301,0), Skills!M29+1)</f>
        <v/>
      </c>
      <c r="F975">
        <f>IF(Skills!N29=TRUE,(Skills!L29/10)*(E975/1000),Skills!L29/10)+Skills!O29</f>
        <v/>
      </c>
      <c r="G975">
        <f>Skills!G29*IF(Skills!H29&gt;0,Skills!I29/Skills!H29,1)</f>
        <v/>
      </c>
      <c r="H975">
        <f>1-(1-Skills!J29/100)^Skills!K29</f>
        <v/>
      </c>
      <c r="I975" t="inlineStr">
        <is>
          <t>1</t>
        </is>
      </c>
      <c r="J975" t="inlineStr"/>
      <c r="K975" t="inlineStr"/>
      <c r="L975" t="inlineStr"/>
      <c r="M975" t="inlineStr"/>
      <c r="N975" t="inlineStr"/>
      <c r="O975" t="n">
        <v>0</v>
      </c>
      <c r="P975">
        <f>IF(B991=0,0,O975/B991)</f>
        <v/>
      </c>
      <c r="Q975" t="n">
        <v>0</v>
      </c>
      <c r="R975" t="n">
        <v>0</v>
      </c>
      <c r="S975">
        <f>IFERROR(O975/N975,0)</f>
        <v/>
      </c>
    </row>
    <row r="976">
      <c r="A976">
        <f>Skills!A30</f>
        <v/>
      </c>
      <c r="B976">
        <f>Skills!B30</f>
        <v/>
      </c>
      <c r="C976">
        <f>Inputs!$B$3&gt;=125</f>
        <v/>
      </c>
      <c r="D976">
        <f>IF(Skills!C30=1,60+Inputs!$B$24+Inputs!$B$28,IF(Skills!C30=2,90+Inputs!$B$25+Inputs!$B$28,IF(Skills!C30=3,120+Inputs!$B$26+Inputs!$B$28,MAX(0,(Inputs!$B$3-100)*3)+(Inputs!$B$27+1)+Inputs!$B$28)))</f>
        <v/>
      </c>
      <c r="E976">
        <f>INDEX(FactorTable!$B$2:$Y$301, MATCH(ROUND(MIN(300,MAX(1,D976)),0), FactorTable!$A$2:$A$301,0), Skills!M30+1)</f>
        <v/>
      </c>
      <c r="F976">
        <f>IF(Skills!N30=TRUE,(Skills!L30/10)*(E976/1000),Skills!L30/10)+Skills!O30</f>
        <v/>
      </c>
      <c r="G976">
        <f>Skills!G30*IF(Skills!H30&gt;0,Skills!I30/Skills!H30,1)</f>
        <v/>
      </c>
      <c r="H976">
        <f>1-(1-Skills!J30/100)^Skills!K30</f>
        <v/>
      </c>
      <c r="I976" t="inlineStr">
        <is>
          <t>1</t>
        </is>
      </c>
      <c r="J976" t="inlineStr"/>
      <c r="K976" t="inlineStr"/>
      <c r="L976" t="inlineStr"/>
      <c r="M976" t="inlineStr"/>
      <c r="N976" t="inlineStr"/>
      <c r="O976" t="n">
        <v>0</v>
      </c>
      <c r="P976">
        <f>IF(B991=0,0,O976/B991)</f>
        <v/>
      </c>
      <c r="Q976" t="n">
        <v>0</v>
      </c>
      <c r="R976" t="n">
        <v>0</v>
      </c>
      <c r="S976">
        <f>IFERROR(O976/N976,0)</f>
        <v/>
      </c>
    </row>
    <row r="978">
      <c r="A978" t="inlineStr">
        <is>
          <t>Average Buff Multiplier</t>
        </is>
      </c>
      <c r="B978">
        <f>(1+(((C967=TRUE)*F967*IF(AND(Inputs!$B$4&lt;&gt;"pvp",Inputs!$B$35&gt;0),(((S967-1)*(Skills!Y21*(1+Inputs!$B$33/100))+MIN((Skills!Y21*(1+Inputs!$B$33/100)),MAX(0,Inputs!$B$35-((S967-1)*Skills!D21))))/Inputs!$B$35),IF(Inputs!$B$4="pvp",MIN((Skills!Y21*(1+Inputs!$B$33/100)),15)/15,(Skills!Y21*(1+Inputs!$B$33/100))/Skills!D21)))+((C969=TRUE)*(F969-Calc!F23))+((C963=TRUE)*(F963-Calc!F17)))/100)*(1+((C956=TRUE)*F956*IF(AND(Inputs!$B$4&lt;&gt;"pvp",Inputs!$B$35&gt;0),(((S956-1)*(Skills!Y10*(1+Inputs!$B$33/100))+MIN((Skills!Y10*(1+Inputs!$B$33/100)),MAX(0,Inputs!$B$35-((S956-1)*Skills!D10))))/Inputs!$B$35),IF(Inputs!$B$4="pvp",MIN((Skills!Y10*(1+Inputs!$B$33/100)),15)/15,(Skills!Y10*(1+Inputs!$B$33/100))/Skills!D10)))/100)*(1+((C961=TRUE)*F961*IF(AND(Inputs!$B$4&lt;&gt;"pvp",Inputs!$B$35&gt;0),(((S961-1)*(Skills!Y15*(1+Inputs!$B$33/100))+MIN((Skills!Y15*(1+Inputs!$B$33/100)),MAX(0,Inputs!$B$35-((S961-1)*Skills!D15))))/Inputs!$B$35),IF(Inputs!$B$4="pvp",MIN((Skills!Y15*(1+Inputs!$B$33/100)),15)/15,(Skills!Y15*(1+Inputs!$B$33/100))/Skills!D15)))/100)</f>
        <v/>
      </c>
    </row>
    <row r="979">
      <c r="A979" t="inlineStr">
        <is>
          <t>Global Crit Rate Bonus %</t>
        </is>
      </c>
      <c r="B979">
        <f>((C966=TRUE)*F966*IF(AND(Inputs!$B$4&lt;&gt;"pvp",Inputs!$B$35&gt;0),(((S966-1)*(Skills!Y20*(1+Inputs!$B$33/100))+MIN((Skills!Y20*(1+Inputs!$B$33/100)),MAX(0,Inputs!$B$35-((S966-1)*Skills!D20))))/Inputs!$B$35),IF(Inputs!$B$4="pvp",MIN((Skills!Y20*(1+Inputs!$B$33/100)),15)/15,(Skills!Y20*(1+Inputs!$B$33/100))/Skills!D20)))</f>
        <v/>
      </c>
    </row>
    <row r="980">
      <c r="A980" t="inlineStr">
        <is>
          <t>Global Monster Damage-Taken Bonus %</t>
        </is>
      </c>
      <c r="B980">
        <f>IF(Inputs!$B$3&gt;=82,15,0)</f>
        <v/>
      </c>
    </row>
    <row r="981">
      <c r="A981" t="inlineStr">
        <is>
          <t>Shadow Partner Average Multiplier</t>
        </is>
      </c>
      <c r="B981">
        <f>1+((C953=TRUE)*F953*(1+3.3333333333333335*IF(C964=TRUE,F964,0)/100)*I953*Skills!J7/100)/100</f>
        <v/>
      </c>
    </row>
    <row r="982">
      <c r="A982" t="inlineStr">
        <is>
          <t>Attack Speed Buff Bonus %</t>
        </is>
      </c>
      <c r="B982">
        <f>((C965=TRUE)*F965*IF(AND(Inputs!$B$4&lt;&gt;"pvp",Inputs!$B$35&gt;0),(((S965-1)*(Skills!Y19*(1+Inputs!$B$33/100))+MIN((Skills!Y19*(1+Inputs!$B$33/100)),MAX(0,Inputs!$B$35-((S965-1)*Skills!D19))))/Inputs!$B$35),IF(Inputs!$B$4="pvp",MIN((Skills!Y19*(1+Inputs!$B$33/100)),15)/15,(Skills!Y19*(1+Inputs!$B$33/100))/Skills!D19)))+((C949=TRUE)*F949*3)</f>
        <v/>
      </c>
    </row>
    <row r="983">
      <c r="A983" t="inlineStr">
        <is>
          <t>Actions Per Second</t>
        </is>
      </c>
      <c r="B983">
        <f>1+MIN(150,150*(1-(1-(Inputs!$B$10+((C968=TRUE)*(F968-Calc!F22)))/150)*(1-B982/150)))/100</f>
        <v/>
      </c>
    </row>
    <row r="984">
      <c r="A984" t="inlineStr">
        <is>
          <t>Skill + Buff Cast Rate</t>
        </is>
      </c>
      <c r="B984">
        <f>IF(AND(Inputs!$B$4&lt;&gt;"pvp",Inputs!$B$35&gt;0),SUMPRODUCT((Skills!E2:E30=TRUE)*(C948:C976=TRUE)*R948:R976*Skills!F2:F30)/Inputs!$B$35,SUMPRODUCT((Skills!E2:E30=TRUE)*(C948:C976=TRUE)*Q948:Q976*Skills!F2:F30))</f>
        <v/>
      </c>
    </row>
    <row r="985">
      <c r="A985" t="inlineStr">
        <is>
          <t>Cruel Stab Casts Per Second</t>
        </is>
      </c>
      <c r="B985">
        <f>MAX(0,B983-B984)</f>
        <v/>
      </c>
    </row>
    <row r="986">
      <c r="A986" t="inlineStr">
        <is>
          <t>Global Critical Damage Bonus % (Smokescreen Mastery Lv.113)</t>
        </is>
      </c>
      <c r="B986">
        <f>IF(Inputs!$B$3&gt;=113,30,0)*IF(AND(Inputs!$B$4&lt;&gt;"pvp",Inputs!$B$35&gt;0),(((S961-1)*(Skills!Y15*(1+Inputs!$B$33/100))+MIN((Skills!Y15*(1+Inputs!$B$33/100)),MAX(0,Inputs!$B$35-((S961-1)*Skills!D15))))/Inputs!$B$35),IF(Inputs!$B$4="pvp",MIN((Skills!Y15*(1+Inputs!$B$33/100)),15)/15,(Skills!Y15*(1+Inputs!$B$33/100))/Skills!D15))</f>
        <v/>
      </c>
    </row>
    <row r="987">
      <c r="A987" t="inlineStr">
        <is>
          <t>Meso Explosion average stack count</t>
        </is>
      </c>
      <c r="B987">
        <f>MIN(10,0.5*B983*Skills!D4)</f>
        <v/>
      </c>
    </row>
    <row r="988">
      <c r="A988" t="inlineStr">
        <is>
          <t>Blood Money average stack count</t>
        </is>
      </c>
      <c r="B988">
        <f>MIN(5,0.25*B983*Skills!D4)</f>
        <v/>
      </c>
    </row>
    <row r="989">
      <c r="A989" t="inlineStr">
        <is>
          <t>Assassinate Murderous Intent Multiplier</t>
        </is>
      </c>
      <c r="B989">
        <f>1+IFERROR(MIN(1,Q960*2/Q957),0)</f>
        <v/>
      </c>
    </row>
    <row r="991">
      <c r="A991" s="5" t="inlineStr">
        <is>
          <t>TOTAL DPS</t>
        </is>
      </c>
      <c r="B991" s="5">
        <f>SUM(O948:O976)</f>
        <v/>
      </c>
    </row>
    <row r="994">
      <c r="A994" s="5" t="inlineStr">
        <is>
          <t>Stat: Skill Level Bonus — All Skills</t>
        </is>
      </c>
    </row>
    <row r="995">
      <c r="A995" s="8" t="inlineStr">
        <is>
          <t>Key</t>
        </is>
      </c>
      <c r="B995" s="8" t="inlineStr">
        <is>
          <t>Name</t>
        </is>
      </c>
      <c r="C995" s="8" t="inlineStr">
        <is>
          <t>Unlocked</t>
        </is>
      </c>
      <c r="D995" s="8" t="inlineStr">
        <is>
          <t>InputLevel</t>
        </is>
      </c>
      <c r="E995" s="8" t="inlineStr">
        <is>
          <t>Factor</t>
        </is>
      </c>
      <c r="F995" s="8" t="inlineStr">
        <is>
          <t>CoefficientPercent</t>
        </is>
      </c>
      <c r="G995" s="8" t="inlineStr">
        <is>
          <t>EffectiveHits</t>
        </is>
      </c>
      <c r="H995" s="8" t="inlineStr">
        <is>
          <t>ProcProbability</t>
        </is>
      </c>
      <c r="I995" s="8" t="inlineStr">
        <is>
          <t>MapleHeroMultiplier</t>
        </is>
      </c>
      <c r="J995" s="8" t="inlineStr">
        <is>
          <t>BaseDamage</t>
        </is>
      </c>
      <c r="K995" s="8" t="inlineStr">
        <is>
          <t>BaseHitDamage</t>
        </is>
      </c>
      <c r="L995" s="8" t="inlineStr">
        <is>
          <t>NonCritAvg</t>
        </is>
      </c>
      <c r="M995" s="8" t="inlineStr">
        <is>
          <t>CritAvg</t>
        </is>
      </c>
      <c r="N995" s="8" t="inlineStr">
        <is>
          <t>ExpectedDamage(perHit)</t>
        </is>
      </c>
      <c r="O995" s="8" t="inlineStr">
        <is>
          <t>DPS</t>
        </is>
      </c>
      <c r="P995" s="8" t="inlineStr">
        <is>
          <t>% of Total</t>
        </is>
      </c>
      <c r="Q995" s="8" t="inlineStr">
        <is>
          <t>InvCooldown</t>
        </is>
      </c>
      <c r="R995" s="8" t="inlineStr">
        <is>
          <t>CastsInFight</t>
        </is>
      </c>
      <c r="S995" s="8" t="inlineStr">
        <is>
          <t>HitRate(perSec)</t>
        </is>
      </c>
      <c r="U995" t="inlineStr">
        <is>
          <t>helpers</t>
        </is>
      </c>
    </row>
    <row r="996">
      <c r="A996">
        <f>Skills!A2</f>
        <v/>
      </c>
      <c r="B996">
        <f>Skills!B2</f>
        <v/>
      </c>
      <c r="C996">
        <f>Inputs!$B$3&gt;=100</f>
        <v/>
      </c>
      <c r="D996" t="inlineStr"/>
      <c r="E996" t="inlineStr"/>
      <c r="F996">
        <f>U998+Skills!O2</f>
        <v/>
      </c>
      <c r="G996">
        <f>Skills!G2*IF(Skills!H2&gt;0,Skills!I2/Skills!H2,1)</f>
        <v/>
      </c>
      <c r="H996">
        <f>1-(1-Skills!J2/100)^Skills!K2</f>
        <v/>
      </c>
      <c r="I996" t="inlineStr">
        <is>
          <t>1</t>
        </is>
      </c>
      <c r="J996">
        <f>(Inputs!$B$5*(1+Inputs!$B$6/100))*(F996/100)</f>
        <v/>
      </c>
      <c r="K996">
        <f>J996*(1+((Inputs!$B$11*(1+Inputs!$B$12/100))*0.01+Inputs!$B$13*0.0025)/100)*(1+Inputs!$B$14/100)*(1+IF(Inputs!$B$4="pvp",0,(1-Summary!$B$55)*(Inputs!$B$19+0+Skills!P2+B1028)+Summary!$B$55*(Inputs!$B$20+Skills!Q2+B1028))/100)*(1+Inputs!$B$15/100)*(5000/(6000+Inputs!$B$7*(1-Inputs!$B$18/100)))*(1+(Inputs!$B$23+((C1024=TRUE)*(F1024-Calc!F30)))/100)*(1+(IF(Skills!A2="CRUEL_STAB",Inputs!$B$16+((C1021=TRUE)*(F1021-Calc!F27)),Inputs!$B$17+((C1022=TRUE)*(F1022-Calc!F28))))/100)*(((1+(((C1015=TRUE)*F1015*IF(AND(Inputs!$B$4&lt;&gt;"pvp",Inputs!$B$35&gt;0),(((S1015-1)*(Skills!Y21*(1+Inputs!$B$33/100))+MIN((Skills!Y21*(1+Inputs!$B$33/100)),MAX(0,Inputs!$B$35-((S1015-1)*Skills!D21))))/Inputs!$B$35),IF(Inputs!$B$4="pvp",MIN((Skills!Y21*(1+Inputs!$B$33/100)),15)/15,(Skills!Y21*(1+Inputs!$B$33/100))/Skills!D21)))+((C1017=TRUE)*(F1017-Calc!F23))+((C1011=TRUE)*(F1011-Calc!F17)))/100)*(1+((C1004=TRUE)*F1004*IF(AND(Inputs!$B$4&lt;&gt;"pvp",Inputs!$B$35&gt;0),(((S1004-1)*(Skills!Y10*(1+Inputs!$B$33/100))+MIN((Skills!Y10*(1+Inputs!$B$33/100)),MAX(0,Inputs!$B$35-((S1004-1)*Skills!D10))))/Inputs!$B$35),IF(Inputs!$B$4="pvp",MIN((Skills!Y10*(1+Inputs!$B$33/100)),15)/15,(Skills!Y10*(1+Inputs!$B$33/100))/Skills!D10)))/100)*(1+((C1009=TRUE)*F1009*IF(AND(Inputs!$B$4&lt;&gt;"pvp",Inputs!$B$35&gt;0),(((S1009-1)*(Skills!Y15*(1+Inputs!$B$33/100))+MIN((Skills!Y15*(1+Inputs!$B$33/100)),MAX(0,Inputs!$B$35-((S1009-1)*Skills!D15))))/Inputs!$B$35),IF(Inputs!$B$4="pvp",MIN((Skills!Y15*(1+Inputs!$B$33/100)),15)/15,(Skills!Y15*(1+Inputs!$B$33/100))/Skills!D15)))/100))*B1029*I996)</f>
        <v/>
      </c>
      <c r="L996">
        <f>K996*(MIN(Inputs!$B$21+((C1018=TRUE)*(F1018-Calc!F24)),Inputs!$B$22+((C1023=TRUE)*(F1023-Calc!F29)))/100+(Inputs!$B$22+((C1023=TRUE)*(F1023-Calc!F29)))/100)/2</f>
        <v/>
      </c>
      <c r="M996">
        <f>L996*(1+(Inputs!$B$9+((C1020=TRUE)*(F1020-Calc!F26))+B1034)/100)</f>
        <v/>
      </c>
      <c r="N996">
        <f>L996*(1-MIN((Inputs!$B$8+((C1019=TRUE)*(F1019-Calc!F25))+B1027),100)/100)+M996*(MIN((Inputs!$B$8+((C1019=TRUE)*(F1019-Calc!F25))+B1027),100)/100)</f>
        <v/>
      </c>
      <c r="O996">
        <f>IF(C996,Skills!G2*N996*B1033*IF(Inputs!$B$4="pvp",1,(1-Summary!$B$55)*(1)+Summary!$B$55*(MIN((6+Inputs!$B$32),Inputs!$B$37))),0)</f>
        <v/>
      </c>
      <c r="P996">
        <f>IF(B1039=0,0,O996/B1039)</f>
        <v/>
      </c>
      <c r="Q996" t="n">
        <v>0</v>
      </c>
      <c r="R996" t="n">
        <v>0</v>
      </c>
      <c r="S996">
        <f>IFERROR(O996/N996,0)</f>
        <v/>
      </c>
      <c r="U996">
        <f>MAX(0,(Inputs!$B$3-100)*3)+Inputs!$B$27+(Inputs!$B$28+1)</f>
        <v/>
      </c>
    </row>
    <row r="997">
      <c r="A997">
        <f>Skills!A3</f>
        <v/>
      </c>
      <c r="B997">
        <f>Skills!B3</f>
        <v/>
      </c>
      <c r="C997">
        <f>Inputs!$B$3&gt;=35</f>
        <v/>
      </c>
      <c r="D997">
        <f>IF(Skills!C3=1,60+Inputs!$B$24+(Inputs!$B$28+1),IF(Skills!C3=2,90+Inputs!$B$25+(Inputs!$B$28+1),IF(Skills!C3=3,120+Inputs!$B$26+(Inputs!$B$28+1),MAX(0,(Inputs!$B$3-100)*3)+Inputs!$B$27+(Inputs!$B$28+1))))</f>
        <v/>
      </c>
      <c r="E997">
        <f>INDEX(FactorTable!$B$2:$Y$301, MATCH(ROUND(MIN(300,MAX(1,D997)),0), FactorTable!$A$2:$A$301,0), Skills!M3+1)</f>
        <v/>
      </c>
      <c r="F997">
        <f>IF(Skills!N3=TRUE,(Skills!L3/10)*(E997/1000),Skills!L3/10)+Skills!O3</f>
        <v/>
      </c>
      <c r="G997">
        <f>Skills!G3*IF(Skills!H3&gt;0,Skills!I3/Skills!H3,1)</f>
        <v/>
      </c>
      <c r="H997">
        <f>1-(1-Skills!J3/100)^Skills!K3</f>
        <v/>
      </c>
      <c r="I997" t="inlineStr">
        <is>
          <t>1</t>
        </is>
      </c>
      <c r="J997" t="inlineStr"/>
      <c r="K997" t="inlineStr"/>
      <c r="L997" t="inlineStr"/>
      <c r="M997" t="inlineStr"/>
      <c r="N997" t="inlineStr"/>
      <c r="O997" t="n">
        <v>0</v>
      </c>
      <c r="P997">
        <f>IF(B1039=0,0,O997/B1039)</f>
        <v/>
      </c>
      <c r="Q997" t="n">
        <v>0</v>
      </c>
      <c r="R997" t="n">
        <v>0</v>
      </c>
      <c r="S997">
        <f>IFERROR(O997/N997,0)</f>
        <v/>
      </c>
      <c r="U997">
        <f>INDEX(FactorTable!$B$2:$Y$301, MATCH(ROUND(MIN(300,MAX(1,U996)),0), FactorTable!$A$2:$A$301,0), 22)</f>
        <v/>
      </c>
    </row>
    <row r="998">
      <c r="A998">
        <f>Skills!A4</f>
        <v/>
      </c>
      <c r="B998">
        <f>Skills!B4</f>
        <v/>
      </c>
      <c r="C998">
        <f>Inputs!$B$3&gt;=66</f>
        <v/>
      </c>
      <c r="D998">
        <f>IF(Skills!C4=1,60+Inputs!$B$24+(Inputs!$B$28+1),IF(Skills!C4=2,90+Inputs!$B$25+(Inputs!$B$28+1),IF(Skills!C4=3,120+Inputs!$B$26+(Inputs!$B$28+1),MAX(0,(Inputs!$B$3-100)*3)+Inputs!$B$27+(Inputs!$B$28+1))))</f>
        <v/>
      </c>
      <c r="E998">
        <f>INDEX(FactorTable!$B$2:$Y$301, MATCH(ROUND(MIN(300,MAX(1,D998)),0), FactorTable!$A$2:$A$301,0), Skills!M4+1)</f>
        <v/>
      </c>
      <c r="F998">
        <f>IF(Skills!N4=TRUE,(Skills!L4/10)*(E998/1000),Skills!L4/10)+Skills!O4</f>
        <v/>
      </c>
      <c r="G998">
        <f>Skills!G4*IF(Skills!H4&gt;0,Skills!I4/Skills!H4,1)</f>
        <v/>
      </c>
      <c r="H998">
        <f>1-(1-Skills!J4/100)^Skills!K4</f>
        <v/>
      </c>
      <c r="I998" t="inlineStr">
        <is>
          <t>1</t>
        </is>
      </c>
      <c r="J998">
        <f>(Inputs!$B$5*(1+Inputs!$B$6/100))*(F998/100)</f>
        <v/>
      </c>
      <c r="K998">
        <f>J998*(1+((Inputs!$B$11*(1+Inputs!$B$12/100))*0.01+Inputs!$B$13*0.0025)/100)*(1+Inputs!$B$14/100)*(1+IF(Inputs!$B$4="pvp",0,(1-Summary!$B$55)*(Inputs!$B$19+0+Skills!P4+B1028)+Summary!$B$55*(Inputs!$B$20+Skills!Q4+B1028))/100)*(1+Inputs!$B$15/100)*(5000/(6000+Inputs!$B$7*(1-Inputs!$B$18/100)))*(1+(Inputs!$B$23+((C1024=TRUE)*(F1024-Calc!F30)))/100)*(1+(IF(Skills!A4="CRUEL_STAB",Inputs!$B$16+((C1021=TRUE)*(F1021-Calc!F27)),Inputs!$B$17+((C1022=TRUE)*(F1022-Calc!F28))))/100)*(((1+(((C1015=TRUE)*F1015*IF(AND(Inputs!$B$4&lt;&gt;"pvp",Inputs!$B$35&gt;0),(((S1015-1)*(Skills!Y21*(1+Inputs!$B$33/100))+MIN((Skills!Y21*(1+Inputs!$B$33/100)),MAX(0,Inputs!$B$35-((S1015-1)*Skills!D21))))/Inputs!$B$35),IF(Inputs!$B$4="pvp",MIN((Skills!Y21*(1+Inputs!$B$33/100)),15)/15,(Skills!Y21*(1+Inputs!$B$33/100))/Skills!D21)))+((C1017=TRUE)*(F1017-Calc!F23))+((C1011=TRUE)*(F1011-Calc!F17)))/100)*(1+((C1004=TRUE)*F1004*IF(AND(Inputs!$B$4&lt;&gt;"pvp",Inputs!$B$35&gt;0),(((S1004-1)*(Skills!Y10*(1+Inputs!$B$33/100))+MIN((Skills!Y10*(1+Inputs!$B$33/100)),MAX(0,Inputs!$B$35-((S1004-1)*Skills!D10))))/Inputs!$B$35),IF(Inputs!$B$4="pvp",MIN((Skills!Y10*(1+Inputs!$B$33/100)),15)/15,(Skills!Y10*(1+Inputs!$B$33/100))/Skills!D10)))/100)*(1+((C1009=TRUE)*F1009*IF(AND(Inputs!$B$4&lt;&gt;"pvp",Inputs!$B$35&gt;0),(((S1009-1)*(Skills!Y15*(1+Inputs!$B$33/100))+MIN((Skills!Y15*(1+Inputs!$B$33/100)),MAX(0,Inputs!$B$35-((S1009-1)*Skills!D15))))/Inputs!$B$35),IF(Inputs!$B$4="pvp",MIN((Skills!Y15*(1+Inputs!$B$33/100)),15)/15,(Skills!Y15*(1+Inputs!$B$33/100))/Skills!D15)))/100))*B1029*I998)</f>
        <v/>
      </c>
      <c r="L998">
        <f>K998*(MIN(Inputs!$B$21+((C1018=TRUE)*(F1018-Calc!F24)),Inputs!$B$22+((C1023=TRUE)*(F1023-Calc!F29)))/100+(Inputs!$B$22+((C1023=TRUE)*(F1023-Calc!F29)))/100)/2</f>
        <v/>
      </c>
      <c r="M998">
        <f>L998*(1+(Inputs!$B$9+((C1020=TRUE)*(F1020-Calc!F26))+B1034)/100)</f>
        <v/>
      </c>
      <c r="N998">
        <f>L998*(1-MIN((Inputs!$B$8+((C1019=TRUE)*(F1019-Calc!F25))+B1027),100)/100)+M998*(MIN((Inputs!$B$8+((C1019=TRUE)*(F1019-Calc!F25))+B1027),100)/100)</f>
        <v/>
      </c>
      <c r="O998">
        <f>IF(C998,H998*N998*IF(AND(Inputs!$B$4&lt;&gt;"pvp",Inputs!$B$35&gt;0),((Skills!G4*((R998-1)*IF(Skills!H4&gt;0,Skills!I4/Skills!H4,1)+IF(Skills!H4&gt;0,MIN(Skills!I4,MAX(0,Inputs!$B$35-((R998-1)*IF(Inputs!$B$4="pvp",15,MAX(0.1,Skills!D4-IF(Skills!E4=TRUE,Inputs!$B$31,0))))))/Skills!H4,1)))/Inputs!$B$35),G998*Q998)*IF(Inputs!$B$4="pvp",1,(1-Summary!$B$55)*(1)+Summary!$B$55*(MIN(MIN(10,0.5*B1031*Skills!D4),Inputs!$B$37))),0)</f>
        <v/>
      </c>
      <c r="P998">
        <f>IF(B1039=0,0,O998/B1039)</f>
        <v/>
      </c>
      <c r="Q998">
        <f>IFERROR(1/IF(Inputs!$B$4="pvp",15,MAX(0.1,Skills!D4-IF(Skills!E4=TRUE,Inputs!$B$31,0))),0)</f>
        <v/>
      </c>
      <c r="R998">
        <f>IF(AND(Inputs!$B$4&lt;&gt;"pvp",Inputs!$B$35&gt;0),(INT(Inputs!$B$35/IF(Inputs!$B$4="pvp",15,MAX(0.1,Skills!D4-IF(Skills!E4=TRUE,Inputs!$B$31,0))))+1),0)</f>
        <v/>
      </c>
      <c r="S998">
        <f>IFERROR(O998/N998,0)</f>
        <v/>
      </c>
      <c r="U998">
        <f>290*U997/1000</f>
        <v/>
      </c>
    </row>
    <row r="999">
      <c r="A999">
        <f>Skills!A5</f>
        <v/>
      </c>
      <c r="B999">
        <f>Skills!B5</f>
        <v/>
      </c>
      <c r="C999">
        <f>Inputs!$B$3&gt;=63</f>
        <v/>
      </c>
      <c r="D999">
        <f>IF(Skills!C5=1,60+Inputs!$B$24+(Inputs!$B$28+1),IF(Skills!C5=2,90+Inputs!$B$25+(Inputs!$B$28+1),IF(Skills!C5=3,120+Inputs!$B$26+(Inputs!$B$28+1),MAX(0,(Inputs!$B$3-100)*3)+Inputs!$B$27+(Inputs!$B$28+1))))</f>
        <v/>
      </c>
      <c r="E999">
        <f>INDEX(FactorTable!$B$2:$Y$301, MATCH(ROUND(MIN(300,MAX(1,D999)),0), FactorTable!$A$2:$A$301,0), Skills!M5+1)</f>
        <v/>
      </c>
      <c r="F999">
        <f>IF(Skills!N5=TRUE,(Skills!L5/10)*(E999/1000),Skills!L5/10)+Skills!O5</f>
        <v/>
      </c>
      <c r="G999">
        <f>Skills!G5*IF(Skills!H5&gt;0,Skills!I5/Skills!H5,1)</f>
        <v/>
      </c>
      <c r="H999">
        <f>1-(1-Skills!J5/100)^Skills!K5</f>
        <v/>
      </c>
      <c r="I999" t="inlineStr">
        <is>
          <t>1</t>
        </is>
      </c>
      <c r="J999">
        <f>(Inputs!$B$5*(1+Inputs!$B$6/100))*(F999/100)</f>
        <v/>
      </c>
      <c r="K999">
        <f>J999*(1+((Inputs!$B$11*(1+Inputs!$B$12/100))*0.01+Inputs!$B$13*0.0025)/100)*(1+Inputs!$B$14/100)*(1+IF(Inputs!$B$4="pvp",0,(1-Summary!$B$55)*(Inputs!$B$19+0+Skills!P5+B1028)+Summary!$B$55*(Inputs!$B$20+Skills!Q5+B1028))/100)*(1+Inputs!$B$15/100)*(5000/(6000+Inputs!$B$7*(1-Inputs!$B$18/100)))*(1+(Inputs!$B$23+((C1024=TRUE)*(F1024-Calc!F30)))/100)*(1+2.6666666666666665*IF(C1012=TRUE,F1012,0)/100)*(1+(IF(Skills!A5="CRUEL_STAB",Inputs!$B$16+((C1021=TRUE)*(F1021-Calc!F27)),Inputs!$B$17+((C1022=TRUE)*(F1022-Calc!F28))))/100)*(((1+(((C1015=TRUE)*F1015*IF(AND(Inputs!$B$4&lt;&gt;"pvp",Inputs!$B$35&gt;0),(((S1015-1)*(Skills!Y21*(1+Inputs!$B$33/100))+MIN((Skills!Y21*(1+Inputs!$B$33/100)),MAX(0,Inputs!$B$35-((S1015-1)*Skills!D21))))/Inputs!$B$35),IF(Inputs!$B$4="pvp",MIN((Skills!Y21*(1+Inputs!$B$33/100)),15)/15,(Skills!Y21*(1+Inputs!$B$33/100))/Skills!D21)))+((C1017=TRUE)*(F1017-Calc!F23))+((C1011=TRUE)*(F1011-Calc!F17)))/100)*(1+((C1004=TRUE)*F1004*IF(AND(Inputs!$B$4&lt;&gt;"pvp",Inputs!$B$35&gt;0),(((S1004-1)*(Skills!Y10*(1+Inputs!$B$33/100))+MIN((Skills!Y10*(1+Inputs!$B$33/100)),MAX(0,Inputs!$B$35-((S1004-1)*Skills!D10))))/Inputs!$B$35),IF(Inputs!$B$4="pvp",MIN((Skills!Y10*(1+Inputs!$B$33/100)),15)/15,(Skills!Y10*(1+Inputs!$B$33/100))/Skills!D10)))/100)*(1+((C1009=TRUE)*F1009*IF(AND(Inputs!$B$4&lt;&gt;"pvp",Inputs!$B$35&gt;0),(((S1009-1)*(Skills!Y15*(1+Inputs!$B$33/100))+MIN((Skills!Y15*(1+Inputs!$B$33/100)),MAX(0,Inputs!$B$35-((S1009-1)*Skills!D15))))/Inputs!$B$35),IF(Inputs!$B$4="pvp",MIN((Skills!Y15*(1+Inputs!$B$33/100)),15)/15,(Skills!Y15*(1+Inputs!$B$33/100))/Skills!D15)))/100))*B1029*I999)</f>
        <v/>
      </c>
      <c r="L999">
        <f>K999*(MIN(Inputs!$B$21+((C1018=TRUE)*(F1018-Calc!F24)),Inputs!$B$22+((C1023=TRUE)*(F1023-Calc!F29)))/100+(Inputs!$B$22+((C1023=TRUE)*(F1023-Calc!F29)))/100)/2</f>
        <v/>
      </c>
      <c r="M999">
        <f>L999*(1+(Inputs!$B$9+((C1020=TRUE)*(F1020-Calc!F26))+B1034)/100)</f>
        <v/>
      </c>
      <c r="N999">
        <f>L999*(1-MIN((Inputs!$B$8+((C1019=TRUE)*(F1019-Calc!F25))+B1027),100)/100)+M999*(MIN((Inputs!$B$8+((C1019=TRUE)*(F1019-Calc!F25))+B1027),100)/100)</f>
        <v/>
      </c>
      <c r="O999">
        <f>IF(C999,H999*N999*IF(AND(Inputs!$B$4&lt;&gt;"pvp",Inputs!$B$35&gt;0),((Skills!G5*((R999-1)*IF(Skills!H5&gt;0,Skills!I5/Skills!H5,1)+IF(Skills!H5&gt;0,MIN(Skills!I5,MAX(0,Inputs!$B$35-((R999-1)*IF(Inputs!$B$4="pvp",15,MAX(0.1,Skills!D5-IF(Skills!E5=TRUE,Inputs!$B$31,0))))))/Skills!H5,1)))/Inputs!$B$35),G999*Q999)*IF(Inputs!$B$4="pvp",1,(1-Summary!$B$55)*(1)+Summary!$B$55*(MIN(Skills!W5,Inputs!$B$37))),0)</f>
        <v/>
      </c>
      <c r="P999">
        <f>IF(B1039=0,0,O999/B1039)</f>
        <v/>
      </c>
      <c r="Q999">
        <f>IFERROR(1/IF(Inputs!$B$4="pvp",15,MAX(0.1,Skills!D5-IF(Skills!E5=TRUE,Inputs!$B$31,0))),0)</f>
        <v/>
      </c>
      <c r="R999">
        <f>IF(AND(Inputs!$B$4&lt;&gt;"pvp",Inputs!$B$35&gt;0),(INT(Inputs!$B$35/IF(Inputs!$B$4="pvp",15,MAX(0.1,Skills!D5-IF(Skills!E5=TRUE,Inputs!$B$31,0))))+1),0)</f>
        <v/>
      </c>
      <c r="S999">
        <f>IFERROR(O999/N999,0)</f>
        <v/>
      </c>
    </row>
    <row r="1000">
      <c r="A1000">
        <f>Skills!A6</f>
        <v/>
      </c>
      <c r="B1000">
        <f>Skills!B6</f>
        <v/>
      </c>
      <c r="C1000">
        <f>Inputs!$B$3&gt;=69</f>
        <v/>
      </c>
      <c r="D1000">
        <f>IF(Skills!C6=1,60+Inputs!$B$24+(Inputs!$B$28+1),IF(Skills!C6=2,90+Inputs!$B$25+(Inputs!$B$28+1),IF(Skills!C6=3,120+Inputs!$B$26+(Inputs!$B$28+1),MAX(0,(Inputs!$B$3-100)*3)+Inputs!$B$27+(Inputs!$B$28+1))))</f>
        <v/>
      </c>
      <c r="E1000">
        <f>INDEX(FactorTable!$B$2:$Y$301, MATCH(ROUND(MIN(300,MAX(1,D1000)),0), FactorTable!$A$2:$A$301,0), Skills!M6+1)</f>
        <v/>
      </c>
      <c r="F1000">
        <f>IF(Skills!N6=TRUE,(Skills!L6/10)*(E1000/1000),Skills!L6/10)+Skills!O6</f>
        <v/>
      </c>
      <c r="G1000">
        <f>Skills!G6*IF(Skills!H6&gt;0,Skills!I6/Skills!H6,1)</f>
        <v/>
      </c>
      <c r="H1000">
        <f>1-(1-Skills!J6/100)^Skills!K6</f>
        <v/>
      </c>
      <c r="I1000" t="inlineStr">
        <is>
          <t>1</t>
        </is>
      </c>
      <c r="J1000">
        <f>(Inputs!$B$5*(1+Inputs!$B$6/100))*(F1000/100)</f>
        <v/>
      </c>
      <c r="K1000">
        <f>J1000*(1+((Inputs!$B$11*(1+Inputs!$B$12/100))*0.01+Inputs!$B$13*0.0025)/100)*(1+Inputs!$B$14/100)*(1+IF(Inputs!$B$4="pvp",0,(1-Summary!$B$55)*(Inputs!$B$19+0+Skills!P6+B1028)+Summary!$B$55*(Inputs!$B$20+Skills!Q6+B1028))/100)*(1+Inputs!$B$15/100)*(5000/(6000+Inputs!$B$7*(1-Inputs!$B$18/100)))*(1+(Inputs!$B$23+((C1024=TRUE)*(F1024-Calc!F30)))/100)*(1+1.0*IF(C1012=TRUE,F1012,0)/100)*(1+(IF(Skills!A6="CRUEL_STAB",Inputs!$B$16+((C1021=TRUE)*(F1021-Calc!F27)),Inputs!$B$17+((C1022=TRUE)*(F1022-Calc!F28))))/100)*(((1+(((C1015=TRUE)*F1015*IF(AND(Inputs!$B$4&lt;&gt;"pvp",Inputs!$B$35&gt;0),(((S1015-1)*(Skills!Y21*(1+Inputs!$B$33/100))+MIN((Skills!Y21*(1+Inputs!$B$33/100)),MAX(0,Inputs!$B$35-((S1015-1)*Skills!D21))))/Inputs!$B$35),IF(Inputs!$B$4="pvp",MIN((Skills!Y21*(1+Inputs!$B$33/100)),15)/15,(Skills!Y21*(1+Inputs!$B$33/100))/Skills!D21)))+((C1017=TRUE)*(F1017-Calc!F23))+((C1011=TRUE)*(F1011-Calc!F17)))/100)*(1+((C1004=TRUE)*F1004*IF(AND(Inputs!$B$4&lt;&gt;"pvp",Inputs!$B$35&gt;0),(((S1004-1)*(Skills!Y10*(1+Inputs!$B$33/100))+MIN((Skills!Y10*(1+Inputs!$B$33/100)),MAX(0,Inputs!$B$35-((S1004-1)*Skills!D10))))/Inputs!$B$35),IF(Inputs!$B$4="pvp",MIN((Skills!Y10*(1+Inputs!$B$33/100)),15)/15,(Skills!Y10*(1+Inputs!$B$33/100))/Skills!D10)))/100)*(1+((C1009=TRUE)*F1009*IF(AND(Inputs!$B$4&lt;&gt;"pvp",Inputs!$B$35&gt;0),(((S1009-1)*(Skills!Y15*(1+Inputs!$B$33/100))+MIN((Skills!Y15*(1+Inputs!$B$33/100)),MAX(0,Inputs!$B$35-((S1009-1)*Skills!D15))))/Inputs!$B$35),IF(Inputs!$B$4="pvp",MIN((Skills!Y15*(1+Inputs!$B$33/100)),15)/15,(Skills!Y15*(1+Inputs!$B$33/100))/Skills!D15)))/100))*B1029*I1000)</f>
        <v/>
      </c>
      <c r="L1000">
        <f>K1000*(MIN(Inputs!$B$21+((C1018=TRUE)*(F1018-Calc!F24)),Inputs!$B$22+((C1023=TRUE)*(F1023-Calc!F29)))/100+(Inputs!$B$22+((C1023=TRUE)*(F1023-Calc!F29)))/100)/2</f>
        <v/>
      </c>
      <c r="M1000">
        <f>L1000*(1+(Inputs!$B$9+((C1020=TRUE)*(F1020-Calc!F26))+B1034)/100)</f>
        <v/>
      </c>
      <c r="N1000">
        <f>L1000*(1-MIN((Inputs!$B$8+((C1019=TRUE)*(F1019-Calc!F25))+B1027),100)/100)+M1000*(MIN((Inputs!$B$8+((C1019=TRUE)*(F1019-Calc!F25))+B1027),100)/100)</f>
        <v/>
      </c>
      <c r="O1000">
        <f>IF(C1000,H1000*N1000*IF(AND(Inputs!$B$4&lt;&gt;"pvp",Inputs!$B$35&gt;0),((Skills!G6*((R1000-1)*IF(Skills!H6&gt;0,Skills!I6/Skills!H6,1)+IF(Skills!H6&gt;0,MIN(Skills!I6,MAX(0,Inputs!$B$35-((R1000-1)*IF(Inputs!$B$4="pvp",15,MAX(0.1,Skills!D6-IF(Skills!E6=TRUE,Inputs!$B$31,0))))))/Skills!H6,1)))/Inputs!$B$35),G1000*Q1000)*IF(Inputs!$B$4="pvp",1,(1-Summary!$B$55)*(1)+Summary!$B$55*(MIN(Skills!W6,Inputs!$B$37))),0)</f>
        <v/>
      </c>
      <c r="P1000">
        <f>IF(B1039=0,0,O1000/B1039)</f>
        <v/>
      </c>
      <c r="Q1000">
        <f>IFERROR(1/IF(Inputs!$B$4="pvp",15,MAX(0.1,Skills!D6-IF(Skills!E6=TRUE,Inputs!$B$31,0))),0)</f>
        <v/>
      </c>
      <c r="R1000">
        <f>IF(AND(Inputs!$B$4&lt;&gt;"pvp",Inputs!$B$35&gt;0),(INT(Inputs!$B$35/IF(Inputs!$B$4="pvp",15,MAX(0.1,Skills!D6-IF(Skills!E6=TRUE,Inputs!$B$31,0))))+1),0)</f>
        <v/>
      </c>
      <c r="S1000">
        <f>IFERROR(O1000/N1000,0)</f>
        <v/>
      </c>
    </row>
    <row r="1001">
      <c r="A1001">
        <f>Skills!A7</f>
        <v/>
      </c>
      <c r="B1001">
        <f>Skills!B7</f>
        <v/>
      </c>
      <c r="C1001">
        <f>Inputs!$B$3&gt;=60</f>
        <v/>
      </c>
      <c r="D1001">
        <f>IF(Skills!C7=1,60+Inputs!$B$24+(Inputs!$B$28+1),IF(Skills!C7=2,90+Inputs!$B$25+(Inputs!$B$28+1),IF(Skills!C7=3,120+Inputs!$B$26+(Inputs!$B$28+1),MAX(0,(Inputs!$B$3-100)*3)+Inputs!$B$27+(Inputs!$B$28+1))))</f>
        <v/>
      </c>
      <c r="E1001">
        <f>INDEX(FactorTable!$B$2:$Y$301, MATCH(ROUND(MIN(300,MAX(1,D1001)),0), FactorTable!$A$2:$A$301,0), Skills!M7+1)</f>
        <v/>
      </c>
      <c r="F1001">
        <f>IF(Skills!N7=TRUE,(Skills!L7/10)*(E1001/1000),Skills!L7/10)+Skills!O7</f>
        <v/>
      </c>
      <c r="G1001">
        <f>Skills!G7*IF(Skills!H7&gt;0,Skills!I7/Skills!H7,1)</f>
        <v/>
      </c>
      <c r="H1001">
        <f>1-(1-Skills!J7/100)^Skills!K7</f>
        <v/>
      </c>
      <c r="I1001" t="inlineStr">
        <is>
          <t>1</t>
        </is>
      </c>
      <c r="J1001" t="inlineStr"/>
      <c r="K1001" t="inlineStr"/>
      <c r="L1001" t="inlineStr"/>
      <c r="M1001" t="inlineStr"/>
      <c r="N1001" t="inlineStr"/>
      <c r="O1001" t="n">
        <v>0</v>
      </c>
      <c r="P1001">
        <f>IF(B1039=0,0,O1001/B1039)</f>
        <v/>
      </c>
      <c r="Q1001" t="n">
        <v>0</v>
      </c>
      <c r="R1001" t="n">
        <v>0</v>
      </c>
      <c r="S1001">
        <f>IFERROR(O1001/N1001,0)</f>
        <v/>
      </c>
    </row>
    <row r="1002">
      <c r="A1002">
        <f>Skills!A8</f>
        <v/>
      </c>
      <c r="B1002">
        <f>Skills!B8</f>
        <v/>
      </c>
      <c r="C1002">
        <f>Inputs!$B$3&gt;=72</f>
        <v/>
      </c>
      <c r="D1002">
        <f>IF(Skills!C8=1,60+Inputs!$B$24+(Inputs!$B$28+1),IF(Skills!C8=2,90+Inputs!$B$25+(Inputs!$B$28+1),IF(Skills!C8=3,120+Inputs!$B$26+(Inputs!$B$28+1),MAX(0,(Inputs!$B$3-100)*3)+Inputs!$B$27+(Inputs!$B$28+1))))</f>
        <v/>
      </c>
      <c r="E1002">
        <f>INDEX(FactorTable!$B$2:$Y$301, MATCH(ROUND(MIN(300,MAX(1,D1002)),0), FactorTable!$A$2:$A$301,0), Skills!M8+1)</f>
        <v/>
      </c>
      <c r="F1002">
        <f>IF(Skills!N8=TRUE,(Skills!L8/10)*(E1002/1000),Skills!L8/10)+Skills!O8</f>
        <v/>
      </c>
      <c r="G1002">
        <f>Skills!G8*IF(Skills!H8&gt;0,Skills!I8/Skills!H8,1)</f>
        <v/>
      </c>
      <c r="H1002">
        <f>1-(1-Skills!J8/100)^Skills!K8</f>
        <v/>
      </c>
      <c r="I1002" t="inlineStr">
        <is>
          <t>1</t>
        </is>
      </c>
      <c r="J1002">
        <f>(Inputs!$B$5*(1+Inputs!$B$6/100))*(F1002/100)</f>
        <v/>
      </c>
      <c r="K1002">
        <f>J1002*(1+((Inputs!$B$11*(1+Inputs!$B$12/100))*0.01+Inputs!$B$13*0.0025)/100)*(1+Inputs!$B$14/100)*(1+IF(Inputs!$B$4="pvp",0,(1-Summary!$B$55)*(Inputs!$B$19+0+Skills!P8+B1028)+Summary!$B$55*(Inputs!$B$20+Skills!Q8+B1028))/100)*(1+Inputs!$B$15/100)*(5000/(6000+Inputs!$B$7*(1-Inputs!$B$18/100)))*(1+(Inputs!$B$23+((C1024=TRUE)*(F1024-Calc!F30)))/100)*(1+3.3333333333333335*IF(C1012=TRUE,F1012,0)/100)*(1+(IF(Skills!A8="CRUEL_STAB",Inputs!$B$16+((C1021=TRUE)*(F1021-Calc!F27)),Inputs!$B$17+((C1022=TRUE)*(F1022-Calc!F28))))/100)*(((1+(((C1015=TRUE)*F1015*IF(AND(Inputs!$B$4&lt;&gt;"pvp",Inputs!$B$35&gt;0),(((S1015-1)*(Skills!Y21*(1+Inputs!$B$33/100))+MIN((Skills!Y21*(1+Inputs!$B$33/100)),MAX(0,Inputs!$B$35-((S1015-1)*Skills!D21))))/Inputs!$B$35),IF(Inputs!$B$4="pvp",MIN((Skills!Y21*(1+Inputs!$B$33/100)),15)/15,(Skills!Y21*(1+Inputs!$B$33/100))/Skills!D21)))+((C1017=TRUE)*(F1017-Calc!F23))+((C1011=TRUE)*(F1011-Calc!F17)))/100)*(1+((C1004=TRUE)*F1004*IF(AND(Inputs!$B$4&lt;&gt;"pvp",Inputs!$B$35&gt;0),(((S1004-1)*(Skills!Y10*(1+Inputs!$B$33/100))+MIN((Skills!Y10*(1+Inputs!$B$33/100)),MAX(0,Inputs!$B$35-((S1004-1)*Skills!D10))))/Inputs!$B$35),IF(Inputs!$B$4="pvp",MIN((Skills!Y10*(1+Inputs!$B$33/100)),15)/15,(Skills!Y10*(1+Inputs!$B$33/100))/Skills!D10)))/100)*(1+((C1009=TRUE)*F1009*IF(AND(Inputs!$B$4&lt;&gt;"pvp",Inputs!$B$35&gt;0),(((S1009-1)*(Skills!Y15*(1+Inputs!$B$33/100))+MIN((Skills!Y15*(1+Inputs!$B$33/100)),MAX(0,Inputs!$B$35-((S1009-1)*Skills!D15))))/Inputs!$B$35),IF(Inputs!$B$4="pvp",MIN((Skills!Y15*(1+Inputs!$B$33/100)),15)/15,(Skills!Y15*(1+Inputs!$B$33/100))/Skills!D15)))/100))*B1029*I1002)</f>
        <v/>
      </c>
      <c r="L1002">
        <f>K1002*(MIN(Inputs!$B$21+((C1018=TRUE)*(F1018-Calc!F24)),Inputs!$B$22+((C1023=TRUE)*(F1023-Calc!F29)))/100+(Inputs!$B$22+((C1023=TRUE)*(F1023-Calc!F29)))/100)/2</f>
        <v/>
      </c>
      <c r="M1002">
        <f>L1002*(1+(Inputs!$B$9+((C1020=TRUE)*(F1020-Calc!F26))+B1034)/100)</f>
        <v/>
      </c>
      <c r="N1002">
        <f>L1002*(1-MIN((Inputs!$B$8+((C1019=TRUE)*(F1019-Calc!F25))+B1027),100)/100)+M1002*(MIN((Inputs!$B$8+((C1019=TRUE)*(F1019-Calc!F25))+B1027),100)/100)</f>
        <v/>
      </c>
      <c r="O1002">
        <f>IF(C1002,H1002*N1002*IF(AND(Inputs!$B$4&lt;&gt;"pvp",Inputs!$B$35&gt;0),((Skills!G8*((R1002-1)*IF(Skills!H8&gt;0,Skills!I8/Skills!H8,1)+IF(Skills!H8&gt;0,MIN(Skills!I8,MAX(0,Inputs!$B$35-((R1002-1)*IF(Inputs!$B$4="pvp",15,MAX(0.1,Skills!D8-IF(Skills!E8=TRUE,Inputs!$B$31,0))))))/Skills!H8,1)))/Inputs!$B$35),G1002*Q1002)*IF(Inputs!$B$4="pvp",1,(1-Summary!$B$55)*(1)+Summary!$B$55*(MIN(Skills!W8,Inputs!$B$37))),0)</f>
        <v/>
      </c>
      <c r="P1002">
        <f>IF(B1039=0,0,O1002/B1039)</f>
        <v/>
      </c>
      <c r="Q1002">
        <f>IFERROR(1/IF(Inputs!$B$4="pvp",15,MAX(0.1,Skills!D8-IF(Skills!E8=TRUE,Inputs!$B$31,0))),0)</f>
        <v/>
      </c>
      <c r="R1002">
        <f>IF(AND(Inputs!$B$4&lt;&gt;"pvp",Inputs!$B$35&gt;0),(INT(Inputs!$B$35/IF(Inputs!$B$4="pvp",15,MAX(0.1,Skills!D8-IF(Skills!E8=TRUE,Inputs!$B$31,0))))+1),0)</f>
        <v/>
      </c>
      <c r="S1002">
        <f>IFERROR(O1002/N1002,0)</f>
        <v/>
      </c>
    </row>
    <row r="1003">
      <c r="A1003">
        <f>Skills!A9</f>
        <v/>
      </c>
      <c r="B1003">
        <f>Skills!B9</f>
        <v/>
      </c>
      <c r="C1003">
        <f>Inputs!$B$3&gt;=117</f>
        <v/>
      </c>
      <c r="D1003">
        <f>IF(Skills!C9=1,60+Inputs!$B$24+(Inputs!$B$28+1),IF(Skills!C9=2,90+Inputs!$B$25+(Inputs!$B$28+1),IF(Skills!C9=3,120+Inputs!$B$26+(Inputs!$B$28+1),MAX(0,(Inputs!$B$3-100)*3)+Inputs!$B$27+(Inputs!$B$28+1))))</f>
        <v/>
      </c>
      <c r="E1003">
        <f>INDEX(FactorTable!$B$2:$Y$301, MATCH(ROUND(MIN(300,MAX(1,D1003)),0), FactorTable!$A$2:$A$301,0), Skills!M9+1)</f>
        <v/>
      </c>
      <c r="F1003">
        <f>IF(Skills!N9=TRUE,(Skills!L9/10)*(E1003/1000),Skills!L9/10)+Skills!O9</f>
        <v/>
      </c>
      <c r="G1003">
        <f>Skills!G9*IF(Skills!H9&gt;0,Skills!I9/Skills!H9,1)</f>
        <v/>
      </c>
      <c r="H1003">
        <f>1-(1-Skills!J9/100)^Skills!K9</f>
        <v/>
      </c>
      <c r="I1003" t="inlineStr">
        <is>
          <t>1</t>
        </is>
      </c>
      <c r="J1003">
        <f>(Inputs!$B$5*(1+Inputs!$B$6/100))*(F1003/100)</f>
        <v/>
      </c>
      <c r="K1003">
        <f>J1003*(1+((Inputs!$B$11*(1+Inputs!$B$12/100))*0.01+Inputs!$B$13*0.0025)/100)*(1+Inputs!$B$14/100)*(1+IF(Inputs!$B$4="pvp",0,(1-Summary!$B$55)*(Inputs!$B$19+0+Skills!P9+B1028)+Summary!$B$55*(Inputs!$B$20+Skills!Q9+B1028))/100)*(1+Inputs!$B$15/100)*(5000/(6000+Inputs!$B$7*(1-Inputs!$B$18/100)))*(1+(Inputs!$B$23+((C1024=TRUE)*(F1024-Calc!F30)))/100)*(1+(IF(Skills!A9="CRUEL_STAB",Inputs!$B$16+((C1021=TRUE)*(F1021-Calc!F27)),Inputs!$B$17+((C1022=TRUE)*(F1022-Calc!F28))))/100)*(((1+(((C1015=TRUE)*F1015*IF(AND(Inputs!$B$4&lt;&gt;"pvp",Inputs!$B$35&gt;0),(((S1015-1)*(Skills!Y21*(1+Inputs!$B$33/100))+MIN((Skills!Y21*(1+Inputs!$B$33/100)),MAX(0,Inputs!$B$35-((S1015-1)*Skills!D21))))/Inputs!$B$35),IF(Inputs!$B$4="pvp",MIN((Skills!Y21*(1+Inputs!$B$33/100)),15)/15,(Skills!Y21*(1+Inputs!$B$33/100))/Skills!D21)))+((C1017=TRUE)*(F1017-Calc!F23))+((C1011=TRUE)*(F1011-Calc!F17)))/100)*(1+((C1004=TRUE)*F1004*IF(AND(Inputs!$B$4&lt;&gt;"pvp",Inputs!$B$35&gt;0),(((S1004-1)*(Skills!Y10*(1+Inputs!$B$33/100))+MIN((Skills!Y10*(1+Inputs!$B$33/100)),MAX(0,Inputs!$B$35-((S1004-1)*Skills!D10))))/Inputs!$B$35),IF(Inputs!$B$4="pvp",MIN((Skills!Y10*(1+Inputs!$B$33/100)),15)/15,(Skills!Y10*(1+Inputs!$B$33/100))/Skills!D10)))/100)*(1+((C1009=TRUE)*F1009*IF(AND(Inputs!$B$4&lt;&gt;"pvp",Inputs!$B$35&gt;0),(((S1009-1)*(Skills!Y15*(1+Inputs!$B$33/100))+MIN((Skills!Y15*(1+Inputs!$B$33/100)),MAX(0,Inputs!$B$35-((S1009-1)*Skills!D15))))/Inputs!$B$35),IF(Inputs!$B$4="pvp",MIN((Skills!Y15*(1+Inputs!$B$33/100)),15)/15,(Skills!Y15*(1+Inputs!$B$33/100))/Skills!D15)))/100))*B1029*I1003)</f>
        <v/>
      </c>
      <c r="L1003">
        <f>K1003*(MIN(Inputs!$B$21+((C1018=TRUE)*(F1018-Calc!F24)),Inputs!$B$22+((C1023=TRUE)*(F1023-Calc!F29)))/100+(Inputs!$B$22+((C1023=TRUE)*(F1023-Calc!F29)))/100)/2</f>
        <v/>
      </c>
      <c r="M1003">
        <f>L1003*(1+(Inputs!$B$9+((C1020=TRUE)*(F1020-Calc!F26))+B1034)/100)</f>
        <v/>
      </c>
      <c r="N1003">
        <f>L1003*(1-MIN((Inputs!$B$8+((C1019=TRUE)*(F1019-Calc!F25))+B1027),100)/100)+M1003*(MIN((Inputs!$B$8+((C1019=TRUE)*(F1019-Calc!F25))+B1027),100)/100)</f>
        <v/>
      </c>
      <c r="O1003">
        <f>IF(C1003,0.2*SUMPRODUCT((Skills!Z2:Z30=TRUE)*(C996:C1024=TRUE)*S996:S1024)*N1003,0)</f>
        <v/>
      </c>
      <c r="P1003">
        <f>IF(B1039=0,0,O1003/B1039)</f>
        <v/>
      </c>
      <c r="Q1003" t="n">
        <v>0</v>
      </c>
      <c r="R1003" t="n">
        <v>0</v>
      </c>
      <c r="S1003" t="n">
        <v>0</v>
      </c>
    </row>
    <row r="1004">
      <c r="A1004">
        <f>Skills!A10</f>
        <v/>
      </c>
      <c r="B1004">
        <f>Skills!B10</f>
        <v/>
      </c>
      <c r="C1004">
        <f>Inputs!$B$3&gt;=74</f>
        <v/>
      </c>
      <c r="D1004">
        <f>IF(Skills!C10=1,60+Inputs!$B$24+(Inputs!$B$28+1),IF(Skills!C10=2,90+Inputs!$B$25+(Inputs!$B$28+1),IF(Skills!C10=3,120+Inputs!$B$26+(Inputs!$B$28+1),MAX(0,(Inputs!$B$3-100)*3)+Inputs!$B$27+(Inputs!$B$28+1))))</f>
        <v/>
      </c>
      <c r="E1004">
        <f>INDEX(FactorTable!$B$2:$Y$301, MATCH(ROUND(MIN(300,MAX(1,D1004)),0), FactorTable!$A$2:$A$301,0), Skills!M10+1)</f>
        <v/>
      </c>
      <c r="F1004">
        <f>IF(Skills!N10=TRUE,(Skills!L10/10)*(E1004/1000),Skills!L10/10)+Skills!O10</f>
        <v/>
      </c>
      <c r="G1004">
        <f>Skills!G10*IF(Skills!H10&gt;0,Skills!I10/Skills!H10,1)</f>
        <v/>
      </c>
      <c r="H1004">
        <f>1-(1-Skills!J10/100)^Skills!K10</f>
        <v/>
      </c>
      <c r="I1004" t="inlineStr">
        <is>
          <t>1</t>
        </is>
      </c>
      <c r="J1004" t="inlineStr"/>
      <c r="K1004" t="inlineStr"/>
      <c r="L1004" t="inlineStr"/>
      <c r="M1004" t="inlineStr"/>
      <c r="N1004" t="inlineStr"/>
      <c r="O1004" t="n">
        <v>0</v>
      </c>
      <c r="P1004">
        <f>IF(B1039=0,0,O1004/B1039)</f>
        <v/>
      </c>
      <c r="Q1004">
        <f>IFERROR(1/IF(Inputs!$B$4="pvp",15,MAX(0.1,Skills!D10-IF(Skills!E10=TRUE,Inputs!$B$31,0))),0)</f>
        <v/>
      </c>
      <c r="R1004">
        <f>IF(AND(Inputs!$B$4&lt;&gt;"pvp",Inputs!$B$35&gt;0),(INT(Inputs!$B$35/IF(Inputs!$B$4="pvp",15,MAX(0.1,Skills!D10-IF(Skills!E10=TRUE,Inputs!$B$31,0))))+1),0)</f>
        <v/>
      </c>
      <c r="S1004">
        <f>IFERROR(O1004/N1004,0)</f>
        <v/>
      </c>
    </row>
    <row r="1005">
      <c r="A1005">
        <f>Skills!A11</f>
        <v/>
      </c>
      <c r="B1005">
        <f>Skills!B11</f>
        <v/>
      </c>
      <c r="C1005">
        <f>Inputs!$B$3&gt;=103</f>
        <v/>
      </c>
      <c r="D1005">
        <f>IF(Skills!C11=1,60+Inputs!$B$24+(Inputs!$B$28+1),IF(Skills!C11=2,90+Inputs!$B$25+(Inputs!$B$28+1),IF(Skills!C11=3,120+Inputs!$B$26+(Inputs!$B$28+1),MAX(0,(Inputs!$B$3-100)*3)+Inputs!$B$27+(Inputs!$B$28+1))))</f>
        <v/>
      </c>
      <c r="E1005">
        <f>INDEX(FactorTable!$B$2:$Y$301, MATCH(ROUND(MIN(300,MAX(1,D1005)),0), FactorTable!$A$2:$A$301,0), Skills!M11+1)</f>
        <v/>
      </c>
      <c r="F1005">
        <f>(Skills!L11/10)*(E1005/1000)+IF(Inputs!$B$3&gt;=134,50,0)+0.5*(30000/10)*(INDEX(FactorTable!$B$2:$Y$301, MATCH(ROUND(MIN(300,MAX(1,D1005)),0), FactorTable!$A$2:$A$301,0), 13)/1000)*B1037</f>
        <v/>
      </c>
      <c r="G1005">
        <f>Skills!G11*IF(Skills!H11&gt;0,Skills!I11/Skills!H11,1)</f>
        <v/>
      </c>
      <c r="H1005">
        <f>1-(1-Skills!J11/100)^Skills!K11</f>
        <v/>
      </c>
      <c r="I1005" t="inlineStr">
        <is>
          <t>1</t>
        </is>
      </c>
      <c r="J1005">
        <f>(Inputs!$B$5*(1+Inputs!$B$6/100))*(F1005/100)</f>
        <v/>
      </c>
      <c r="K1005">
        <f>J1005*(1+((Inputs!$B$11*(1+Inputs!$B$12/100))*0.01+Inputs!$B$13*0.0025)/100)*(1+Inputs!$B$14/100)*(1+IF(Inputs!$B$4="pvp",0,(1-Summary!$B$55)*(Inputs!$B$19+0+Skills!P11+B1028)+Summary!$B$55*(Inputs!$B$20+Skills!Q11+B1028))/100)*(1+Inputs!$B$15/100)*(5000/(6000+Inputs!$B$7*(1-Inputs!$B$18/100)))*(1+(Inputs!$B$23+((C1024=TRUE)*(F1024-Calc!F30)))/100)*(1+(IF(Skills!A11="CRUEL_STAB",Inputs!$B$16+((C1021=TRUE)*(F1021-Calc!F27)),Inputs!$B$17+((C1022=TRUE)*(F1022-Calc!F28))))/100)*(((1+(((C1015=TRUE)*F1015*IF(AND(Inputs!$B$4&lt;&gt;"pvp",Inputs!$B$35&gt;0),(((S1015-1)*(Skills!Y21*(1+Inputs!$B$33/100))+MIN((Skills!Y21*(1+Inputs!$B$33/100)),MAX(0,Inputs!$B$35-((S1015-1)*Skills!D21))))/Inputs!$B$35),IF(Inputs!$B$4="pvp",MIN((Skills!Y21*(1+Inputs!$B$33/100)),15)/15,(Skills!Y21*(1+Inputs!$B$33/100))/Skills!D21)))+((C1017=TRUE)*(F1017-Calc!F23))+((C1011=TRUE)*(F1011-Calc!F17)))/100)*(1+((C1004=TRUE)*F1004*IF(AND(Inputs!$B$4&lt;&gt;"pvp",Inputs!$B$35&gt;0),(((S1004-1)*(Skills!Y10*(1+Inputs!$B$33/100))+MIN((Skills!Y10*(1+Inputs!$B$33/100)),MAX(0,Inputs!$B$35-((S1004-1)*Skills!D10))))/Inputs!$B$35),IF(Inputs!$B$4="pvp",MIN((Skills!Y10*(1+Inputs!$B$33/100)),15)/15,(Skills!Y10*(1+Inputs!$B$33/100))/Skills!D10)))/100)*(1+((C1009=TRUE)*F1009*IF(AND(Inputs!$B$4&lt;&gt;"pvp",Inputs!$B$35&gt;0),(((S1009-1)*(Skills!Y15*(1+Inputs!$B$33/100))+MIN((Skills!Y15*(1+Inputs!$B$33/100)),MAX(0,Inputs!$B$35-((S1009-1)*Skills!D15))))/Inputs!$B$35),IF(Inputs!$B$4="pvp",MIN((Skills!Y15*(1+Inputs!$B$33/100)),15)/15,(Skills!Y15*(1+Inputs!$B$33/100))/Skills!D15)))/100))*B1029*I1005)</f>
        <v/>
      </c>
      <c r="L1005">
        <f>K1005*(MIN(Inputs!$B$21+((C1018=TRUE)*(F1018-Calc!F24)),Inputs!$B$22+((C1023=TRUE)*(F1023-Calc!F29)))/100+(Inputs!$B$22+((C1023=TRUE)*(F1023-Calc!F29)))/100)/2</f>
        <v/>
      </c>
      <c r="M1005">
        <f>L1005*(1+(Inputs!$B$9+((C1020=TRUE)*(F1020-Calc!F26))+B1034)/100)</f>
        <v/>
      </c>
      <c r="N1005">
        <f>L1005*(1-MIN((Inputs!$B$8+((C1019=TRUE)*(F1019-Calc!F25))+B1027),100)/100)+M1005*(MIN((Inputs!$B$8+((C1019=TRUE)*(F1019-Calc!F25))+B1027),100)/100)</f>
        <v/>
      </c>
      <c r="O1005">
        <f>IF(C1005,H1005*N1005*IF(AND(Inputs!$B$4&lt;&gt;"pvp",Inputs!$B$35&gt;0),((Skills!G11*((R1005-1)*IF(Skills!H11&gt;0,Skills!I11/Skills!H11,1)+IF(Skills!H11&gt;0,MIN(Skills!I11,MAX(0,Inputs!$B$35-((R1005-1)*IF(Inputs!$B$4="pvp",15,MAX(0.1,Skills!D11-IF(Skills!E11=TRUE,Inputs!$B$31,0))))))/Skills!H11,1)))/Inputs!$B$35),G1005*Q1005)*IF(Inputs!$B$4="pvp",1,(1-Summary!$B$55)*(1)+Summary!$B$55*(MIN(Skills!W11,Inputs!$B$37))),0)</f>
        <v/>
      </c>
      <c r="P1005">
        <f>IF(B1039=0,0,O1005/B1039)</f>
        <v/>
      </c>
      <c r="Q1005">
        <f>IFERROR(1/IF(Inputs!$B$4="pvp",15,MAX(0.1,Skills!D11-IF(Skills!E11=TRUE,Inputs!$B$31,0))),0)</f>
        <v/>
      </c>
      <c r="R1005">
        <f>IF(AND(Inputs!$B$4&lt;&gt;"pvp",Inputs!$B$35&gt;0),(INT(Inputs!$B$35/IF(Inputs!$B$4="pvp",15,MAX(0.1,Skills!D11-IF(Skills!E11=TRUE,Inputs!$B$31,0))))+1),0)</f>
        <v/>
      </c>
      <c r="S1005">
        <f>IFERROR(O1005/N1005,0)</f>
        <v/>
      </c>
    </row>
    <row r="1006">
      <c r="A1006">
        <f>Skills!A12</f>
        <v/>
      </c>
      <c r="B1006">
        <f>Skills!B12</f>
        <v/>
      </c>
      <c r="C1006">
        <f>Inputs!$B$3&gt;=105</f>
        <v/>
      </c>
      <c r="D1006">
        <f>IF(Skills!C12=1,60+Inputs!$B$24+(Inputs!$B$28+1),IF(Skills!C12=2,90+Inputs!$B$25+(Inputs!$B$28+1),IF(Skills!C12=3,120+Inputs!$B$26+(Inputs!$B$28+1),MAX(0,(Inputs!$B$3-100)*3)+Inputs!$B$27+(Inputs!$B$28+1))))</f>
        <v/>
      </c>
      <c r="E1006">
        <f>INDEX(FactorTable!$B$2:$Y$301, MATCH(ROUND(MIN(300,MAX(1,D1006)),0), FactorTable!$A$2:$A$301,0), Skills!M12+1)</f>
        <v/>
      </c>
      <c r="F1006">
        <f>IF(Skills!N12=TRUE,(Skills!L12/10)*(E1006/1000),Skills!L12/10)+Skills!O12</f>
        <v/>
      </c>
      <c r="G1006">
        <f>Skills!G12*IF(Skills!H12&gt;0,Skills!I12/Skills!H12,1)</f>
        <v/>
      </c>
      <c r="H1006">
        <f>1-(1-Skills!J12/100)^Skills!K12</f>
        <v/>
      </c>
      <c r="I1006" t="inlineStr">
        <is>
          <t>1</t>
        </is>
      </c>
      <c r="J1006">
        <f>(Inputs!$B$5*(1+Inputs!$B$6/100))*(F1006/100)</f>
        <v/>
      </c>
      <c r="K1006">
        <f>J1006*(1+((Inputs!$B$11*(1+Inputs!$B$12/100))*0.01+Inputs!$B$13*0.0025)/100)*(1+Inputs!$B$14/100)*(1+IF(Inputs!$B$4="pvp",0,(1-Summary!$B$55)*(Inputs!$B$19+0+Skills!P12+B1028)+Summary!$B$55*(Inputs!$B$20+Skills!Q12+B1028))/100)*(1+Inputs!$B$15/100)*(5000/(6000+Inputs!$B$7*(1-Inputs!$B$18/100)))*(1+(Inputs!$B$23+((C1024=TRUE)*(F1024-Calc!F30)))/100)*(1+(IF(Skills!A12="CRUEL_STAB",Inputs!$B$16+((C1021=TRUE)*(F1021-Calc!F27)),Inputs!$B$17+((C1022=TRUE)*(F1022-Calc!F28))))/100)*(((1+(((C1015=TRUE)*F1015*IF(AND(Inputs!$B$4&lt;&gt;"pvp",Inputs!$B$35&gt;0),(((S1015-1)*(Skills!Y21*(1+Inputs!$B$33/100))+MIN((Skills!Y21*(1+Inputs!$B$33/100)),MAX(0,Inputs!$B$35-((S1015-1)*Skills!D21))))/Inputs!$B$35),IF(Inputs!$B$4="pvp",MIN((Skills!Y21*(1+Inputs!$B$33/100)),15)/15,(Skills!Y21*(1+Inputs!$B$33/100))/Skills!D21)))+((C1017=TRUE)*(F1017-Calc!F23))+((C1011=TRUE)*(F1011-Calc!F17)))/100)*(1+((C1004=TRUE)*F1004*IF(AND(Inputs!$B$4&lt;&gt;"pvp",Inputs!$B$35&gt;0),(((S1004-1)*(Skills!Y10*(1+Inputs!$B$33/100))+MIN((Skills!Y10*(1+Inputs!$B$33/100)),MAX(0,Inputs!$B$35-((S1004-1)*Skills!D10))))/Inputs!$B$35),IF(Inputs!$B$4="pvp",MIN((Skills!Y10*(1+Inputs!$B$33/100)),15)/15,(Skills!Y10*(1+Inputs!$B$33/100))/Skills!D10)))/100)*(1+((C1009=TRUE)*F1009*IF(AND(Inputs!$B$4&lt;&gt;"pvp",Inputs!$B$35&gt;0),(((S1009-1)*(Skills!Y15*(1+Inputs!$B$33/100))+MIN((Skills!Y15*(1+Inputs!$B$33/100)),MAX(0,Inputs!$B$35-((S1009-1)*Skills!D15))))/Inputs!$B$35),IF(Inputs!$B$4="pvp",MIN((Skills!Y15*(1+Inputs!$B$33/100)),15)/15,(Skills!Y15*(1+Inputs!$B$33/100))/Skills!D15)))/100))*B1029*I1006)</f>
        <v/>
      </c>
      <c r="L1006">
        <f>K1006*(MIN(Inputs!$B$21+((C1018=TRUE)*(F1018-Calc!F24)),Inputs!$B$22+((C1023=TRUE)*(F1023-Calc!F29)))/100+(Inputs!$B$22+((C1023=TRUE)*(F1023-Calc!F29)))/100)/2</f>
        <v/>
      </c>
      <c r="M1006">
        <f>L1006*(1+(Inputs!$B$9+((C1020=TRUE)*(F1020-Calc!F26))+B1034)/100)</f>
        <v/>
      </c>
      <c r="N1006">
        <f>L1006*(1-MIN((Inputs!$B$8+((C1019=TRUE)*(F1019-Calc!F25))+B1027),100)/100)+M1006*(MIN((Inputs!$B$8+((C1019=TRUE)*(F1019-Calc!F25))+B1027),100)/100)</f>
        <v/>
      </c>
      <c r="O1006">
        <f>IF(C1006,H1006*N1006*IF(AND(Inputs!$B$4&lt;&gt;"pvp",Inputs!$B$35&gt;0),((Skills!G12*((R1006-1)*IF(Skills!H12&gt;0,Skills!I12/Skills!H12,1)+IF(Skills!H12&gt;0,MIN(Skills!I12,MAX(0,Inputs!$B$35-((R1006-1)*IF(Inputs!$B$4="pvp",15,MAX(0.1,Skills!D12-IF(Skills!E12=TRUE,Inputs!$B$31,0))))))/Skills!H12,1)))/Inputs!$B$35),G1006*Q1006)*IF(Inputs!$B$4="pvp",1,(1-Summary!$B$55)*(1)+Summary!$B$55*(MIN(Skills!W12,Inputs!$B$37))),0)</f>
        <v/>
      </c>
      <c r="P1006">
        <f>IF(B1039=0,0,O1006/B1039)</f>
        <v/>
      </c>
      <c r="Q1006">
        <f>IFERROR(1/IF(Inputs!$B$4="pvp",15,MAX(0.1,Skills!D12-IF(Skills!E12=TRUE,Inputs!$B$31,0))),0)</f>
        <v/>
      </c>
      <c r="R1006">
        <f>IF(AND(Inputs!$B$4&lt;&gt;"pvp",Inputs!$B$35&gt;0),(INT(Inputs!$B$35/IF(Inputs!$B$4="pvp",15,MAX(0.1,Skills!D12-IF(Skills!E12=TRUE,Inputs!$B$31,0))))+1),0)</f>
        <v/>
      </c>
      <c r="S1006">
        <f>IFERROR(O1006/N1006,0)</f>
        <v/>
      </c>
    </row>
    <row r="1007">
      <c r="A1007">
        <f>Skills!A13</f>
        <v/>
      </c>
      <c r="B1007">
        <f>Skills!B13</f>
        <v/>
      </c>
      <c r="C1007">
        <f>Inputs!$B$3&gt;=105</f>
        <v/>
      </c>
      <c r="D1007">
        <f>IF(Skills!C13=1,60+Inputs!$B$24+(Inputs!$B$28+1),IF(Skills!C13=2,90+Inputs!$B$25+(Inputs!$B$28+1),IF(Skills!C13=3,120+Inputs!$B$26+(Inputs!$B$28+1),MAX(0,(Inputs!$B$3-100)*3)+Inputs!$B$27+(Inputs!$B$28+1))))</f>
        <v/>
      </c>
      <c r="E1007">
        <f>INDEX(FactorTable!$B$2:$Y$301, MATCH(ROUND(MIN(300,MAX(1,D1007)),0), FactorTable!$A$2:$A$301,0), Skills!M13+1)</f>
        <v/>
      </c>
      <c r="F1007">
        <f>IF(Skills!N13=TRUE,(Skills!L13/10)*(E1007/1000),Skills!L13/10)+Skills!O13</f>
        <v/>
      </c>
      <c r="G1007">
        <f>Skills!G13*IF(Skills!H13&gt;0,Skills!I13/Skills!H13,1)</f>
        <v/>
      </c>
      <c r="H1007">
        <f>1-(1-Skills!J13/100)^Skills!K13</f>
        <v/>
      </c>
      <c r="I1007" t="inlineStr">
        <is>
          <t>1</t>
        </is>
      </c>
      <c r="J1007">
        <f>(Inputs!$B$5*(1+Inputs!$B$6/100))*(F1007/100)</f>
        <v/>
      </c>
      <c r="K1007">
        <f>J1007*(1+((Inputs!$B$11*(1+Inputs!$B$12/100))*0.01+Inputs!$B$13*0.0025)/100)*(1+Inputs!$B$14/100)*(1+IF(Inputs!$B$4="pvp",0,(1-Summary!$B$55)*(Inputs!$B$19+0+Skills!P13+B1028)+Summary!$B$55*(Inputs!$B$20+Skills!Q13+B1028))/100)*(1+Inputs!$B$15/100)*(5000/(6000+Inputs!$B$7*(1-Inputs!$B$18/100)))*(1+(Inputs!$B$23+((C1024=TRUE)*(F1024-Calc!F30)))/100)*(1+(IF(Skills!A13="CRUEL_STAB",Inputs!$B$16+((C1021=TRUE)*(F1021-Calc!F27)),Inputs!$B$17+((C1022=TRUE)*(F1022-Calc!F28))))/100)*(((1+(((C1015=TRUE)*F1015*IF(AND(Inputs!$B$4&lt;&gt;"pvp",Inputs!$B$35&gt;0),(((S1015-1)*(Skills!Y21*(1+Inputs!$B$33/100))+MIN((Skills!Y21*(1+Inputs!$B$33/100)),MAX(0,Inputs!$B$35-((S1015-1)*Skills!D21))))/Inputs!$B$35),IF(Inputs!$B$4="pvp",MIN((Skills!Y21*(1+Inputs!$B$33/100)),15)/15,(Skills!Y21*(1+Inputs!$B$33/100))/Skills!D21)))+((C1017=TRUE)*(F1017-Calc!F23))+((C1011=TRUE)*(F1011-Calc!F17)))/100)*(1+((C1004=TRUE)*F1004*IF(AND(Inputs!$B$4&lt;&gt;"pvp",Inputs!$B$35&gt;0),(((S1004-1)*(Skills!Y10*(1+Inputs!$B$33/100))+MIN((Skills!Y10*(1+Inputs!$B$33/100)),MAX(0,Inputs!$B$35-((S1004-1)*Skills!D10))))/Inputs!$B$35),IF(Inputs!$B$4="pvp",MIN((Skills!Y10*(1+Inputs!$B$33/100)),15)/15,(Skills!Y10*(1+Inputs!$B$33/100))/Skills!D10)))/100)*(1+((C1009=TRUE)*F1009*IF(AND(Inputs!$B$4&lt;&gt;"pvp",Inputs!$B$35&gt;0),(((S1009-1)*(Skills!Y15*(1+Inputs!$B$33/100))+MIN((Skills!Y15*(1+Inputs!$B$33/100)),MAX(0,Inputs!$B$35-((S1009-1)*Skills!D15))))/Inputs!$B$35),IF(Inputs!$B$4="pvp",MIN((Skills!Y15*(1+Inputs!$B$33/100)),15)/15,(Skills!Y15*(1+Inputs!$B$33/100))/Skills!D15)))/100))*B1029*I1007)</f>
        <v/>
      </c>
      <c r="L1007">
        <f>K1007*(MIN(Inputs!$B$21+((C1018=TRUE)*(F1018-Calc!F24)),Inputs!$B$22+((C1023=TRUE)*(F1023-Calc!F29)))/100+(Inputs!$B$22+((C1023=TRUE)*(F1023-Calc!F29)))/100)/2</f>
        <v/>
      </c>
      <c r="M1007">
        <f>L1007*(1+(Inputs!$B$9+((C1020=TRUE)*(F1020-Calc!F26))+B1034)/100)</f>
        <v/>
      </c>
      <c r="N1007">
        <f>L1007*(1-MIN((Inputs!$B$8+((C1019=TRUE)*(F1019-Calc!F25))+B1027),100)/100)+M1007*(MIN((Inputs!$B$8+((C1019=TRUE)*(F1019-Calc!F25))+B1027),100)/100)</f>
        <v/>
      </c>
      <c r="O1007">
        <f>IF(C1007,H1007*N1007*IF(AND(Inputs!$B$4&lt;&gt;"pvp",Inputs!$B$35&gt;0),((Skills!G13*((R1007-1)*IF(Skills!H13&gt;0,Skills!I13/Skills!H13,1)+IF(Skills!H13&gt;0,MIN(Skills!I13,MAX(0,Inputs!$B$35-((R1007-1)*IF(Inputs!$B$4="pvp",15,MAX(0.1,Skills!D13-IF(Skills!E13=TRUE,Inputs!$B$31,0))))))/Skills!H13,1)))/Inputs!$B$35),G1007*Q1007)*IF(Inputs!$B$4="pvp",1,(1-Summary!$B$55)*(1)+Summary!$B$55*(MIN(Skills!W13,Inputs!$B$37))),0)</f>
        <v/>
      </c>
      <c r="P1007">
        <f>IF(B1039=0,0,O1007/B1039)</f>
        <v/>
      </c>
      <c r="Q1007">
        <f>IFERROR(1/IF(Inputs!$B$4="pvp",15,MAX(0.1,Skills!D13-IF(Skills!E13=TRUE,Inputs!$B$31,0))),0)</f>
        <v/>
      </c>
      <c r="R1007">
        <f>IF(AND(Inputs!$B$4&lt;&gt;"pvp",Inputs!$B$35&gt;0),(INT(Inputs!$B$35/IF(Inputs!$B$4="pvp",15,MAX(0.1,Skills!D13-IF(Skills!E13=TRUE,Inputs!$B$31,0))))+1),0)</f>
        <v/>
      </c>
      <c r="S1007">
        <f>IFERROR(O1007/N1007,0)</f>
        <v/>
      </c>
    </row>
    <row r="1008">
      <c r="A1008">
        <f>Skills!A14</f>
        <v/>
      </c>
      <c r="B1008">
        <f>Skills!B14</f>
        <v/>
      </c>
      <c r="C1008">
        <f>Inputs!$B$3&gt;=107</f>
        <v/>
      </c>
      <c r="D1008">
        <f>IF(Skills!C14=1,60+Inputs!$B$24+(Inputs!$B$28+1),IF(Skills!C14=2,90+Inputs!$B$25+(Inputs!$B$28+1),IF(Skills!C14=3,120+Inputs!$B$26+(Inputs!$B$28+1),MAX(0,(Inputs!$B$3-100)*3)+Inputs!$B$27+(Inputs!$B$28+1))))</f>
        <v/>
      </c>
      <c r="E1008">
        <f>INDEX(FactorTable!$B$2:$Y$301, MATCH(ROUND(MIN(300,MAX(1,D1008)),0), FactorTable!$A$2:$A$301,0), Skills!M14+1)</f>
        <v/>
      </c>
      <c r="F1008">
        <f>IF(Skills!N14=TRUE,(Skills!L14/10)*(E1008/1000),Skills!L14/10)+Skills!O14</f>
        <v/>
      </c>
      <c r="G1008">
        <f>Skills!G14*IF(Skills!H14&gt;0,Skills!I14/Skills!H14,1)</f>
        <v/>
      </c>
      <c r="H1008">
        <f>1-(1-Skills!J14/100)^Skills!K14</f>
        <v/>
      </c>
      <c r="I1008" t="inlineStr">
        <is>
          <t>1</t>
        </is>
      </c>
      <c r="J1008">
        <f>(Inputs!$B$5*(1+Inputs!$B$6/100))*(F1008/100)</f>
        <v/>
      </c>
      <c r="K1008">
        <f>J1008*(1+((Inputs!$B$11*(1+Inputs!$B$12/100))*0.01+Inputs!$B$13*0.0025)/100)*(1+Inputs!$B$14/100)*(1+IF(Inputs!$B$4="pvp",0,(1-Summary!$B$55)*(Inputs!$B$19+0+Skills!P14+B1028)+Summary!$B$55*(Inputs!$B$20+Skills!Q14+B1028))/100)*(1+Inputs!$B$15/100)*(5000/(6000+Inputs!$B$7*(1-Inputs!$B$18/100)))*(1+(Inputs!$B$23+((C1024=TRUE)*(F1024-Calc!F30)))/100)*(1+(IF(Skills!A14="CRUEL_STAB",Inputs!$B$16+((C1021=TRUE)*(F1021-Calc!F27)),Inputs!$B$17+((C1022=TRUE)*(F1022-Calc!F28))))/100)*(((1+(((C1015=TRUE)*F1015*IF(AND(Inputs!$B$4&lt;&gt;"pvp",Inputs!$B$35&gt;0),(((S1015-1)*(Skills!Y21*(1+Inputs!$B$33/100))+MIN((Skills!Y21*(1+Inputs!$B$33/100)),MAX(0,Inputs!$B$35-((S1015-1)*Skills!D21))))/Inputs!$B$35),IF(Inputs!$B$4="pvp",MIN((Skills!Y21*(1+Inputs!$B$33/100)),15)/15,(Skills!Y21*(1+Inputs!$B$33/100))/Skills!D21)))+((C1017=TRUE)*(F1017-Calc!F23))+((C1011=TRUE)*(F1011-Calc!F17)))/100)*(1+((C1004=TRUE)*F1004*IF(AND(Inputs!$B$4&lt;&gt;"pvp",Inputs!$B$35&gt;0),(((S1004-1)*(Skills!Y10*(1+Inputs!$B$33/100))+MIN((Skills!Y10*(1+Inputs!$B$33/100)),MAX(0,Inputs!$B$35-((S1004-1)*Skills!D10))))/Inputs!$B$35),IF(Inputs!$B$4="pvp",MIN((Skills!Y10*(1+Inputs!$B$33/100)),15)/15,(Skills!Y10*(1+Inputs!$B$33/100))/Skills!D10)))/100)*(1+((C1009=TRUE)*F1009*IF(AND(Inputs!$B$4&lt;&gt;"pvp",Inputs!$B$35&gt;0),(((S1009-1)*(Skills!Y15*(1+Inputs!$B$33/100))+MIN((Skills!Y15*(1+Inputs!$B$33/100)),MAX(0,Inputs!$B$35-((S1009-1)*Skills!D15))))/Inputs!$B$35),IF(Inputs!$B$4="pvp",MIN((Skills!Y15*(1+Inputs!$B$33/100)),15)/15,(Skills!Y15*(1+Inputs!$B$33/100))/Skills!D15)))/100))*B1029*I1008)</f>
        <v/>
      </c>
      <c r="L1008">
        <f>K1008*(MIN(Inputs!$B$21+((C1018=TRUE)*(F1018-Calc!F24)),Inputs!$B$22+((C1023=TRUE)*(F1023-Calc!F29)))/100+(Inputs!$B$22+((C1023=TRUE)*(F1023-Calc!F29)))/100)/2</f>
        <v/>
      </c>
      <c r="M1008">
        <f>L1008*(1+(Inputs!$B$9+((C1020=TRUE)*(F1020-Calc!F26))+B1034)/100)</f>
        <v/>
      </c>
      <c r="N1008">
        <f>L1008*(1-MIN((Inputs!$B$8+((C1019=TRUE)*(F1019-Calc!F25))+B1027),100)/100)+M1008*(MIN((Inputs!$B$8+((C1019=TRUE)*(F1019-Calc!F25))+B1027),100)/100)</f>
        <v/>
      </c>
      <c r="O1008">
        <f>IF(C1008,H1008*N1008*IF(AND(Inputs!$B$4&lt;&gt;"pvp",Inputs!$B$35&gt;0),((Skills!G14*((R1008-1)*IF(Skills!H14&gt;0,Skills!I14/Skills!H14,1)+IF(Skills!H14&gt;0,MIN(Skills!I14,MAX(0,Inputs!$B$35-((R1008-1)*IF(Inputs!$B$4="pvp",15,MAX(0.1,Skills!D14-IF(Skills!E14=TRUE,Inputs!$B$31,0))))))/Skills!H14,1)))/Inputs!$B$35),G1008*Q1008)*IF(Inputs!$B$4="pvp",1,(1-Summary!$B$55)*(1)+Summary!$B$55*(MIN(MIN(5,0.25*B1031*Skills!D4)*Skills!V14,Inputs!$B$37))),0)</f>
        <v/>
      </c>
      <c r="P1008">
        <f>IF(B1039=0,0,O1008/B1039)</f>
        <v/>
      </c>
      <c r="Q1008">
        <f>IFERROR(1/IF(Inputs!$B$4="pvp",15,MAX(0.1,Skills!D14-IF(Skills!E14=TRUE,Inputs!$B$31,0))),0)</f>
        <v/>
      </c>
      <c r="R1008">
        <f>IF(AND(Inputs!$B$4&lt;&gt;"pvp",Inputs!$B$35&gt;0),(INT(Inputs!$B$35/IF(Inputs!$B$4="pvp",15,MAX(0.1,Skills!D14-IF(Skills!E14=TRUE,Inputs!$B$31,0))))+1),0)</f>
        <v/>
      </c>
      <c r="S1008">
        <f>IFERROR(O1008/N1008,0)</f>
        <v/>
      </c>
    </row>
    <row r="1009">
      <c r="A1009">
        <f>Skills!A15</f>
        <v/>
      </c>
      <c r="B1009">
        <f>Skills!B15</f>
        <v/>
      </c>
      <c r="C1009">
        <f>Inputs!$B$3&gt;=110</f>
        <v/>
      </c>
      <c r="D1009">
        <f>IF(Skills!C15=1,60+Inputs!$B$24+(Inputs!$B$28+1),IF(Skills!C15=2,90+Inputs!$B$25+(Inputs!$B$28+1),IF(Skills!C15=3,120+Inputs!$B$26+(Inputs!$B$28+1),MAX(0,(Inputs!$B$3-100)*3)+Inputs!$B$27+(Inputs!$B$28+1))))</f>
        <v/>
      </c>
      <c r="E1009">
        <f>INDEX(FactorTable!$B$2:$Y$301, MATCH(ROUND(MIN(300,MAX(1,D1009)),0), FactorTable!$A$2:$A$301,0), Skills!M15+1)</f>
        <v/>
      </c>
      <c r="F1009">
        <f>IF(Skills!N15=TRUE,(Skills!L15/10)*(E1009/1000),Skills!L15/10)+Skills!O15</f>
        <v/>
      </c>
      <c r="G1009">
        <f>Skills!G15*IF(Skills!H15&gt;0,Skills!I15/Skills!H15,1)</f>
        <v/>
      </c>
      <c r="H1009">
        <f>1-(1-Skills!J15/100)^Skills!K15</f>
        <v/>
      </c>
      <c r="I1009" t="inlineStr">
        <is>
          <t>1</t>
        </is>
      </c>
      <c r="J1009" t="inlineStr"/>
      <c r="K1009" t="inlineStr"/>
      <c r="L1009" t="inlineStr"/>
      <c r="M1009" t="inlineStr"/>
      <c r="N1009" t="inlineStr"/>
      <c r="O1009" t="n">
        <v>0</v>
      </c>
      <c r="P1009">
        <f>IF(B1039=0,0,O1009/B1039)</f>
        <v/>
      </c>
      <c r="Q1009">
        <f>IFERROR(1/IF(Inputs!$B$4="pvp",15,MAX(0.1,Skills!D15-IF(Skills!E15=TRUE,Inputs!$B$31,0))),0)</f>
        <v/>
      </c>
      <c r="R1009">
        <f>IF(AND(Inputs!$B$4&lt;&gt;"pvp",Inputs!$B$35&gt;0),(INT(Inputs!$B$35/IF(Inputs!$B$4="pvp",15,MAX(0.1,Skills!D15-IF(Skills!E15=TRUE,Inputs!$B$31,0))))+1),0)</f>
        <v/>
      </c>
      <c r="S1009">
        <f>IFERROR(O1009/N1009,0)</f>
        <v/>
      </c>
    </row>
    <row r="1010">
      <c r="A1010">
        <f>Skills!A16</f>
        <v/>
      </c>
      <c r="B1010">
        <f>Skills!B16</f>
        <v/>
      </c>
      <c r="C1010">
        <f>Inputs!$B$3&gt;=115</f>
        <v/>
      </c>
      <c r="D1010">
        <f>IF(Skills!C16=1,60+Inputs!$B$24+(Inputs!$B$28+1),IF(Skills!C16=2,90+Inputs!$B$25+(Inputs!$B$28+1),IF(Skills!C16=3,120+Inputs!$B$26+(Inputs!$B$28+1),MAX(0,(Inputs!$B$3-100)*3)+Inputs!$B$27+(Inputs!$B$28+1))))</f>
        <v/>
      </c>
      <c r="E1010">
        <f>INDEX(FactorTable!$B$2:$Y$301, MATCH(ROUND(MIN(300,MAX(1,D1010)),0), FactorTable!$A$2:$A$301,0), Skills!M16+1)</f>
        <v/>
      </c>
      <c r="F1010">
        <f>IF(Skills!N16=TRUE,(Skills!L16/10)*(E1010/1000),Skills!L16/10)+Skills!O16</f>
        <v/>
      </c>
      <c r="G1010">
        <f>Skills!G16*IF(Skills!H16&gt;0,Skills!I16/Skills!H16,1)</f>
        <v/>
      </c>
      <c r="H1010">
        <f>1-(1-Skills!J16/100)^Skills!K16</f>
        <v/>
      </c>
      <c r="I1010" t="inlineStr">
        <is>
          <t>1</t>
        </is>
      </c>
      <c r="J1010">
        <f>(Inputs!$B$5*(1+Inputs!$B$6/100))*(F1010/100)</f>
        <v/>
      </c>
      <c r="K1010">
        <f>J1010*(1+((Inputs!$B$11*(1+Inputs!$B$12/100))*0.01+Inputs!$B$13*0.0025)/100)*(1+Inputs!$B$14/100)*(1+IF(Inputs!$B$4="pvp",0,(1-Summary!$B$55)*(Inputs!$B$19+0+Skills!P16+B1028)+Summary!$B$55*(Inputs!$B$20+Skills!Q16+B1028))/100)*(1+Inputs!$B$15/100)*(5000/(6000+Inputs!$B$7*(1-Inputs!$B$18/100)))*(1+(Inputs!$B$23+((C1024=TRUE)*(F1024-Calc!F30)))/100)*(1+(IF(Skills!A16="CRUEL_STAB",Inputs!$B$16+((C1021=TRUE)*(F1021-Calc!F27)),Inputs!$B$17+((C1022=TRUE)*(F1022-Calc!F28))))/100)*(((1+(((C1015=TRUE)*F1015*IF(AND(Inputs!$B$4&lt;&gt;"pvp",Inputs!$B$35&gt;0),(((S1015-1)*(Skills!Y21*(1+Inputs!$B$33/100))+MIN((Skills!Y21*(1+Inputs!$B$33/100)),MAX(0,Inputs!$B$35-((S1015-1)*Skills!D21))))/Inputs!$B$35),IF(Inputs!$B$4="pvp",MIN((Skills!Y21*(1+Inputs!$B$33/100)),15)/15,(Skills!Y21*(1+Inputs!$B$33/100))/Skills!D21)))+((C1017=TRUE)*(F1017-Calc!F23))+((C1011=TRUE)*(F1011-Calc!F17)))/100)*(1+((C1004=TRUE)*F1004*IF(AND(Inputs!$B$4&lt;&gt;"pvp",Inputs!$B$35&gt;0),(((S1004-1)*(Skills!Y10*(1+Inputs!$B$33/100))+MIN((Skills!Y10*(1+Inputs!$B$33/100)),MAX(0,Inputs!$B$35-((S1004-1)*Skills!D10))))/Inputs!$B$35),IF(Inputs!$B$4="pvp",MIN((Skills!Y10*(1+Inputs!$B$33/100)),15)/15,(Skills!Y10*(1+Inputs!$B$33/100))/Skills!D10)))/100)*(1+((C1009=TRUE)*F1009*IF(AND(Inputs!$B$4&lt;&gt;"pvp",Inputs!$B$35&gt;0),(((S1009-1)*(Skills!Y15*(1+Inputs!$B$33/100))+MIN((Skills!Y15*(1+Inputs!$B$33/100)),MAX(0,Inputs!$B$35-((S1009-1)*Skills!D15))))/Inputs!$B$35),IF(Inputs!$B$4="pvp",MIN((Skills!Y15*(1+Inputs!$B$33/100)),15)/15,(Skills!Y15*(1+Inputs!$B$33/100))/Skills!D15)))/100))*B1029*I1010)</f>
        <v/>
      </c>
      <c r="L1010">
        <f>K1010*(MIN(Inputs!$B$21+((C1018=TRUE)*(F1018-Calc!F24)),Inputs!$B$22+((C1023=TRUE)*(F1023-Calc!F29)))/100+(Inputs!$B$22+((C1023=TRUE)*(F1023-Calc!F29)))/100)/2</f>
        <v/>
      </c>
      <c r="M1010">
        <f>L1010*(1+(Inputs!$B$9+((C1020=TRUE)*(F1020-Calc!F26))+B1034)/100)</f>
        <v/>
      </c>
      <c r="N1010">
        <f>L1010*(1-MIN((Inputs!$B$8+((C1019=TRUE)*(F1019-Calc!F25))+B1027),100)/100)+M1010*(MIN((Inputs!$B$8+((C1019=TRUE)*(F1019-Calc!F25))+B1027),100)/100)</f>
        <v/>
      </c>
      <c r="O1010">
        <f>IF(C1010,Inputs!$B$38*0.2*N1010,0)</f>
        <v/>
      </c>
      <c r="P1010">
        <f>IF(B1039=0,0,O1010/B1039)</f>
        <v/>
      </c>
      <c r="Q1010" t="n">
        <v>0</v>
      </c>
      <c r="R1010" t="n">
        <v>0</v>
      </c>
      <c r="S1010">
        <f>IFERROR(O1010/N1010,0)</f>
        <v/>
      </c>
    </row>
    <row r="1011">
      <c r="A1011">
        <f>Skills!A17</f>
        <v/>
      </c>
      <c r="B1011">
        <f>Skills!B17</f>
        <v/>
      </c>
      <c r="C1011">
        <f>Inputs!$B$3&gt;=115</f>
        <v/>
      </c>
      <c r="D1011">
        <f>IF(Skills!C17=1,60+Inputs!$B$24+(Inputs!$B$28+1),IF(Skills!C17=2,90+Inputs!$B$25+(Inputs!$B$28+1),IF(Skills!C17=3,120+Inputs!$B$26+(Inputs!$B$28+1),MAX(0,(Inputs!$B$3-100)*3)+Inputs!$B$27+(Inputs!$B$28+1))))</f>
        <v/>
      </c>
      <c r="E1011">
        <f>INDEX(FactorTable!$B$2:$Y$301, MATCH(ROUND(MIN(300,MAX(1,D1011)),0), FactorTable!$A$2:$A$301,0), Skills!M17+1)</f>
        <v/>
      </c>
      <c r="F1011">
        <f>IF(Skills!N17=TRUE,(Skills!L17/10)*(E1011/1000),Skills!L17/10)+Skills!O17</f>
        <v/>
      </c>
      <c r="G1011">
        <f>Skills!G17*IF(Skills!H17&gt;0,Skills!I17/Skills!H17,1)</f>
        <v/>
      </c>
      <c r="H1011">
        <f>1-(1-Skills!J17/100)^Skills!K17</f>
        <v/>
      </c>
      <c r="I1011" t="inlineStr">
        <is>
          <t>1</t>
        </is>
      </c>
      <c r="J1011" t="inlineStr"/>
      <c r="K1011" t="inlineStr"/>
      <c r="L1011" t="inlineStr"/>
      <c r="M1011" t="inlineStr"/>
      <c r="N1011" t="inlineStr"/>
      <c r="O1011" t="n">
        <v>0</v>
      </c>
      <c r="P1011">
        <f>IF(B1039=0,0,O1011/B1039)</f>
        <v/>
      </c>
      <c r="Q1011" t="n">
        <v>0</v>
      </c>
      <c r="R1011" t="n">
        <v>0</v>
      </c>
      <c r="S1011">
        <f>IFERROR(O1011/N1011,0)</f>
        <v/>
      </c>
    </row>
    <row r="1012">
      <c r="A1012">
        <f>Skills!A18</f>
        <v/>
      </c>
      <c r="B1012">
        <f>Skills!B18</f>
        <v/>
      </c>
      <c r="C1012">
        <f>Inputs!$B$3&gt;=100</f>
        <v/>
      </c>
      <c r="D1012">
        <f>IF(Skills!C18=1,60+Inputs!$B$24+(Inputs!$B$28+1),IF(Skills!C18=2,90+Inputs!$B$25+(Inputs!$B$28+1),IF(Skills!C18=3,120+Inputs!$B$26+(Inputs!$B$28+1),MAX(0,(Inputs!$B$3-100)*3)+Inputs!$B$27+(Inputs!$B$28+1))))</f>
        <v/>
      </c>
      <c r="E1012">
        <f>INDEX(FactorTable!$B$2:$Y$301, MATCH(ROUND(MIN(300,MAX(1,D1012)),0), FactorTable!$A$2:$A$301,0), Skills!M18+1)</f>
        <v/>
      </c>
      <c r="F1012">
        <f>IF(Skills!N18=TRUE,(Skills!L18/10)*(E1012/1000),Skills!L18/10)+Skills!O18</f>
        <v/>
      </c>
      <c r="G1012">
        <f>Skills!G18*IF(Skills!H18&gt;0,Skills!I18/Skills!H18,1)</f>
        <v/>
      </c>
      <c r="H1012">
        <f>1-(1-Skills!J18/100)^Skills!K18</f>
        <v/>
      </c>
      <c r="I1012" t="inlineStr">
        <is>
          <t>1</t>
        </is>
      </c>
      <c r="J1012" t="inlineStr"/>
      <c r="K1012" t="inlineStr"/>
      <c r="L1012" t="inlineStr"/>
      <c r="M1012" t="inlineStr"/>
      <c r="N1012" t="inlineStr"/>
      <c r="O1012" t="n">
        <v>0</v>
      </c>
      <c r="P1012">
        <f>IF(B1039=0,0,O1012/B1039)</f>
        <v/>
      </c>
      <c r="Q1012" t="n">
        <v>0</v>
      </c>
      <c r="R1012" t="n">
        <v>0</v>
      </c>
      <c r="S1012">
        <f>IFERROR(O1012/N1012,0)</f>
        <v/>
      </c>
    </row>
    <row r="1013">
      <c r="A1013">
        <f>Skills!A19</f>
        <v/>
      </c>
      <c r="B1013">
        <f>Skills!B19</f>
        <v/>
      </c>
      <c r="C1013">
        <f>TRUE</f>
        <v/>
      </c>
      <c r="D1013">
        <f>IF(Skills!C19=1,60+Inputs!$B$24+(Inputs!$B$28+1),IF(Skills!C19=2,90+Inputs!$B$25+(Inputs!$B$28+1),IF(Skills!C19=3,120+Inputs!$B$26+(Inputs!$B$28+1),MAX(0,(Inputs!$B$3-100)*3)+Inputs!$B$27+(Inputs!$B$28+1))))</f>
        <v/>
      </c>
      <c r="E1013">
        <f>INDEX(FactorTable!$B$2:$Y$301, MATCH(ROUND(MIN(300,MAX(1,D1013)),0), FactorTable!$A$2:$A$301,0), Skills!M19+1)</f>
        <v/>
      </c>
      <c r="F1013">
        <f>IF(Skills!N19=TRUE,(Skills!L19/10)*(E1013/1000),Skills!L19/10)+Skills!O19</f>
        <v/>
      </c>
      <c r="G1013">
        <f>Skills!G19*IF(Skills!H19&gt;0,Skills!I19/Skills!H19,1)</f>
        <v/>
      </c>
      <c r="H1013">
        <f>1-(1-Skills!J19/100)^Skills!K19</f>
        <v/>
      </c>
      <c r="I1013" t="inlineStr">
        <is>
          <t>1</t>
        </is>
      </c>
      <c r="J1013" t="inlineStr"/>
      <c r="K1013" t="inlineStr"/>
      <c r="L1013" t="inlineStr"/>
      <c r="M1013" t="inlineStr"/>
      <c r="N1013" t="inlineStr"/>
      <c r="O1013" t="n">
        <v>0</v>
      </c>
      <c r="P1013">
        <f>IF(B1039=0,0,O1013/B1039)</f>
        <v/>
      </c>
      <c r="Q1013">
        <f>IFERROR(1/IF(Inputs!$B$4="pvp",15,MAX(0.1,Skills!D19-IF(Skills!E19=TRUE,Inputs!$B$31,0))),0)</f>
        <v/>
      </c>
      <c r="R1013">
        <f>IF(AND(Inputs!$B$4&lt;&gt;"pvp",Inputs!$B$35&gt;0),(INT(Inputs!$B$35/IF(Inputs!$B$4="pvp",15,MAX(0.1,Skills!D19-IF(Skills!E19=TRUE,Inputs!$B$31,0))))+1),0)</f>
        <v/>
      </c>
      <c r="S1013">
        <f>IFERROR(O1013/N1013,0)</f>
        <v/>
      </c>
    </row>
    <row r="1014">
      <c r="A1014">
        <f>Skills!A20</f>
        <v/>
      </c>
      <c r="B1014">
        <f>Skills!B20</f>
        <v/>
      </c>
      <c r="C1014">
        <f>Inputs!$B$3&gt;=15</f>
        <v/>
      </c>
      <c r="D1014">
        <f>IF(Skills!C20=1,60+Inputs!$B$24+(Inputs!$B$28+1),IF(Skills!C20=2,90+Inputs!$B$25+(Inputs!$B$28+1),IF(Skills!C20=3,120+Inputs!$B$26+(Inputs!$B$28+1),MAX(0,(Inputs!$B$3-100)*3)+Inputs!$B$27+(Inputs!$B$28+1))))</f>
        <v/>
      </c>
      <c r="E1014">
        <f>INDEX(FactorTable!$B$2:$Y$301, MATCH(ROUND(MIN(300,MAX(1,D1014)),0), FactorTable!$A$2:$A$301,0), Skills!M20+1)</f>
        <v/>
      </c>
      <c r="F1014">
        <f>IF(Skills!N20=TRUE,(Skills!L20/10)*(E1014/1000),Skills!L20/10)+Skills!O20</f>
        <v/>
      </c>
      <c r="G1014">
        <f>Skills!G20*IF(Skills!H20&gt;0,Skills!I20/Skills!H20,1)</f>
        <v/>
      </c>
      <c r="H1014">
        <f>1-(1-Skills!J20/100)^Skills!K20</f>
        <v/>
      </c>
      <c r="I1014" t="inlineStr">
        <is>
          <t>1</t>
        </is>
      </c>
      <c r="J1014" t="inlineStr"/>
      <c r="K1014" t="inlineStr"/>
      <c r="L1014" t="inlineStr"/>
      <c r="M1014" t="inlineStr"/>
      <c r="N1014" t="inlineStr"/>
      <c r="O1014" t="n">
        <v>0</v>
      </c>
      <c r="P1014">
        <f>IF(B1039=0,0,O1014/B1039)</f>
        <v/>
      </c>
      <c r="Q1014">
        <f>IFERROR(1/IF(Inputs!$B$4="pvp",15,MAX(0.1,Skills!D20-IF(Skills!E20=TRUE,Inputs!$B$31,0))),0)</f>
        <v/>
      </c>
      <c r="R1014">
        <f>IF(AND(Inputs!$B$4&lt;&gt;"pvp",Inputs!$B$35&gt;0),(INT(Inputs!$B$35/IF(Inputs!$B$4="pvp",15,MAX(0.1,Skills!D20-IF(Skills!E20=TRUE,Inputs!$B$31,0))))+1),0)</f>
        <v/>
      </c>
      <c r="S1014">
        <f>IFERROR(O1014/N1014,0)</f>
        <v/>
      </c>
    </row>
    <row r="1015">
      <c r="A1015">
        <f>Skills!A21</f>
        <v/>
      </c>
      <c r="B1015">
        <f>Skills!B21</f>
        <v/>
      </c>
      <c r="C1015">
        <f>Inputs!$B$3&gt;=15</f>
        <v/>
      </c>
      <c r="D1015">
        <f>IF(Skills!C21=1,60+Inputs!$B$24+(Inputs!$B$28+1),IF(Skills!C21=2,90+Inputs!$B$25+(Inputs!$B$28+1),IF(Skills!C21=3,120+Inputs!$B$26+(Inputs!$B$28+1),MAX(0,(Inputs!$B$3-100)*3)+Inputs!$B$27+(Inputs!$B$28+1))))</f>
        <v/>
      </c>
      <c r="E1015">
        <f>INDEX(FactorTable!$B$2:$Y$301, MATCH(ROUND(MIN(300,MAX(1,D1015)),0), FactorTable!$A$2:$A$301,0), Skills!M21+1)</f>
        <v/>
      </c>
      <c r="F1015">
        <f>IF(Skills!N21=TRUE,(Skills!L21/10)*(E1015/1000),Skills!L21/10)+Skills!O21</f>
        <v/>
      </c>
      <c r="G1015">
        <f>Skills!G21*IF(Skills!H21&gt;0,Skills!I21/Skills!H21,1)</f>
        <v/>
      </c>
      <c r="H1015">
        <f>1-(1-Skills!J21/100)^Skills!K21</f>
        <v/>
      </c>
      <c r="I1015" t="inlineStr">
        <is>
          <t>1</t>
        </is>
      </c>
      <c r="J1015" t="inlineStr"/>
      <c r="K1015" t="inlineStr"/>
      <c r="L1015" t="inlineStr"/>
      <c r="M1015" t="inlineStr"/>
      <c r="N1015" t="inlineStr"/>
      <c r="O1015" t="n">
        <v>0</v>
      </c>
      <c r="P1015">
        <f>IF(B1039=0,0,O1015/B1039)</f>
        <v/>
      </c>
      <c r="Q1015">
        <f>IFERROR(1/IF(Inputs!$B$4="pvp",15,MAX(0.1,Skills!D21-IF(Skills!E21=TRUE,Inputs!$B$31,0))),0)</f>
        <v/>
      </c>
      <c r="R1015">
        <f>IF(AND(Inputs!$B$4&lt;&gt;"pvp",Inputs!$B$35&gt;0),(INT(Inputs!$B$35/IF(Inputs!$B$4="pvp",15,MAX(0.1,Skills!D21-IF(Skills!E21=TRUE,Inputs!$B$31,0))))+1),0)</f>
        <v/>
      </c>
      <c r="S1015">
        <f>IFERROR(O1015/N1015,0)</f>
        <v/>
      </c>
    </row>
    <row r="1016">
      <c r="A1016">
        <f>Skills!A22</f>
        <v/>
      </c>
      <c r="B1016">
        <f>Skills!B22</f>
        <v/>
      </c>
      <c r="C1016">
        <f>Inputs!$B$3&gt;=33</f>
        <v/>
      </c>
      <c r="D1016">
        <f>IF(Skills!C22=1,60+Inputs!$B$24+(Inputs!$B$28+1),IF(Skills!C22=2,90+Inputs!$B$25+(Inputs!$B$28+1),IF(Skills!C22=3,120+Inputs!$B$26+(Inputs!$B$28+1),MAX(0,(Inputs!$B$3-100)*3)+Inputs!$B$27+(Inputs!$B$28+1))))</f>
        <v/>
      </c>
      <c r="E1016">
        <f>INDEX(FactorTable!$B$2:$Y$301, MATCH(ROUND(MIN(300,MAX(1,D1016)),0), FactorTable!$A$2:$A$301,0), Skills!M22+1)</f>
        <v/>
      </c>
      <c r="F1016">
        <f>IF(Skills!N22=TRUE,(Skills!L22/10)*(E1016/1000),Skills!L22/10)+Skills!O22</f>
        <v/>
      </c>
      <c r="G1016">
        <f>Skills!G22*IF(Skills!H22&gt;0,Skills!I22/Skills!H22,1)</f>
        <v/>
      </c>
      <c r="H1016">
        <f>1-(1-Skills!J22/100)^Skills!K22</f>
        <v/>
      </c>
      <c r="I1016" t="inlineStr">
        <is>
          <t>1</t>
        </is>
      </c>
      <c r="J1016" t="inlineStr"/>
      <c r="K1016" t="inlineStr"/>
      <c r="L1016" t="inlineStr"/>
      <c r="M1016" t="inlineStr"/>
      <c r="N1016" t="inlineStr"/>
      <c r="O1016" t="n">
        <v>0</v>
      </c>
      <c r="P1016">
        <f>IF(B1039=0,0,O1016/B1039)</f>
        <v/>
      </c>
      <c r="Q1016" t="n">
        <v>0</v>
      </c>
      <c r="R1016" t="n">
        <v>0</v>
      </c>
      <c r="S1016">
        <f>IFERROR(O1016/N1016,0)</f>
        <v/>
      </c>
    </row>
    <row r="1017">
      <c r="A1017">
        <f>Skills!A23</f>
        <v/>
      </c>
      <c r="B1017">
        <f>Skills!B23</f>
        <v/>
      </c>
      <c r="C1017">
        <f>Inputs!$B$3&gt;=40</f>
        <v/>
      </c>
      <c r="D1017">
        <f>IF(Skills!C23=1,60+Inputs!$B$24+(Inputs!$B$28+1),IF(Skills!C23=2,90+Inputs!$B$25+(Inputs!$B$28+1),IF(Skills!C23=3,120+Inputs!$B$26+(Inputs!$B$28+1),MAX(0,(Inputs!$B$3-100)*3)+Inputs!$B$27+(Inputs!$B$28+1))))</f>
        <v/>
      </c>
      <c r="E1017">
        <f>INDEX(FactorTable!$B$2:$Y$301, MATCH(ROUND(MIN(300,MAX(1,D1017)),0), FactorTable!$A$2:$A$301,0), Skills!M23+1)</f>
        <v/>
      </c>
      <c r="F1017">
        <f>IF(Skills!N23=TRUE,(Skills!L23/10)*(E1017/1000),Skills!L23/10)+Skills!O23</f>
        <v/>
      </c>
      <c r="G1017">
        <f>Skills!G23*IF(Skills!H23&gt;0,Skills!I23/Skills!H23,1)</f>
        <v/>
      </c>
      <c r="H1017">
        <f>1-(1-Skills!J23/100)^Skills!K23</f>
        <v/>
      </c>
      <c r="I1017" t="inlineStr">
        <is>
          <t>1</t>
        </is>
      </c>
      <c r="J1017" t="inlineStr"/>
      <c r="K1017" t="inlineStr"/>
      <c r="L1017" t="inlineStr"/>
      <c r="M1017" t="inlineStr"/>
      <c r="N1017" t="inlineStr"/>
      <c r="O1017" t="n">
        <v>0</v>
      </c>
      <c r="P1017">
        <f>IF(B1039=0,0,O1017/B1039)</f>
        <v/>
      </c>
      <c r="Q1017" t="n">
        <v>0</v>
      </c>
      <c r="R1017" t="n">
        <v>0</v>
      </c>
      <c r="S1017">
        <f>IFERROR(O1017/N1017,0)</f>
        <v/>
      </c>
    </row>
    <row r="1018">
      <c r="A1018">
        <f>Skills!A24</f>
        <v/>
      </c>
      <c r="B1018">
        <f>Skills!B24</f>
        <v/>
      </c>
      <c r="C1018">
        <f>Inputs!$B$3&gt;=43</f>
        <v/>
      </c>
      <c r="D1018">
        <f>IF(Skills!C24=1,60+Inputs!$B$24+(Inputs!$B$28+1),IF(Skills!C24=2,90+Inputs!$B$25+(Inputs!$B$28+1),IF(Skills!C24=3,120+Inputs!$B$26+(Inputs!$B$28+1),MAX(0,(Inputs!$B$3-100)*3)+Inputs!$B$27+(Inputs!$B$28+1))))</f>
        <v/>
      </c>
      <c r="E1018">
        <f>INDEX(FactorTable!$B$2:$Y$301, MATCH(ROUND(MIN(300,MAX(1,D1018)),0), FactorTable!$A$2:$A$301,0), Skills!M24+1)</f>
        <v/>
      </c>
      <c r="F1018">
        <f>IF(Skills!N24=TRUE,(Skills!L24/10)*(E1018/1000),Skills!L24/10)+Skills!O24</f>
        <v/>
      </c>
      <c r="G1018">
        <f>Skills!G24*IF(Skills!H24&gt;0,Skills!I24/Skills!H24,1)</f>
        <v/>
      </c>
      <c r="H1018">
        <f>1-(1-Skills!J24/100)^Skills!K24</f>
        <v/>
      </c>
      <c r="I1018" t="inlineStr">
        <is>
          <t>1</t>
        </is>
      </c>
      <c r="J1018" t="inlineStr"/>
      <c r="K1018" t="inlineStr"/>
      <c r="L1018" t="inlineStr"/>
      <c r="M1018" t="inlineStr"/>
      <c r="N1018" t="inlineStr"/>
      <c r="O1018" t="n">
        <v>0</v>
      </c>
      <c r="P1018">
        <f>IF(B1039=0,0,O1018/B1039)</f>
        <v/>
      </c>
      <c r="Q1018" t="n">
        <v>0</v>
      </c>
      <c r="R1018" t="n">
        <v>0</v>
      </c>
      <c r="S1018">
        <f>IFERROR(O1018/N1018,0)</f>
        <v/>
      </c>
    </row>
    <row r="1019">
      <c r="A1019">
        <f>Skills!A25</f>
        <v/>
      </c>
      <c r="B1019">
        <f>Skills!B25</f>
        <v/>
      </c>
      <c r="C1019">
        <f>Inputs!$B$3&gt;=50</f>
        <v/>
      </c>
      <c r="D1019">
        <f>IF(Skills!C25=1,60+Inputs!$B$24+(Inputs!$B$28+1),IF(Skills!C25=2,90+Inputs!$B$25+(Inputs!$B$28+1),IF(Skills!C25=3,120+Inputs!$B$26+(Inputs!$B$28+1),MAX(0,(Inputs!$B$3-100)*3)+Inputs!$B$27+(Inputs!$B$28+1))))</f>
        <v/>
      </c>
      <c r="E1019">
        <f>INDEX(FactorTable!$B$2:$Y$301, MATCH(ROUND(MIN(300,MAX(1,D1019)),0), FactorTable!$A$2:$A$301,0), Skills!M25+1)</f>
        <v/>
      </c>
      <c r="F1019">
        <f>IF(Skills!N25=TRUE,(Skills!L25/10)*(E1019/1000),Skills!L25/10)+Skills!O25</f>
        <v/>
      </c>
      <c r="G1019">
        <f>Skills!G25*IF(Skills!H25&gt;0,Skills!I25/Skills!H25,1)</f>
        <v/>
      </c>
      <c r="H1019">
        <f>1-(1-Skills!J25/100)^Skills!K25</f>
        <v/>
      </c>
      <c r="I1019" t="inlineStr">
        <is>
          <t>1</t>
        </is>
      </c>
      <c r="J1019" t="inlineStr"/>
      <c r="K1019" t="inlineStr"/>
      <c r="L1019" t="inlineStr"/>
      <c r="M1019" t="inlineStr"/>
      <c r="N1019" t="inlineStr"/>
      <c r="O1019" t="n">
        <v>0</v>
      </c>
      <c r="P1019">
        <f>IF(B1039=0,0,O1019/B1039)</f>
        <v/>
      </c>
      <c r="Q1019" t="n">
        <v>0</v>
      </c>
      <c r="R1019" t="n">
        <v>0</v>
      </c>
      <c r="S1019">
        <f>IFERROR(O1019/N1019,0)</f>
        <v/>
      </c>
    </row>
    <row r="1020">
      <c r="A1020">
        <f>Skills!A26</f>
        <v/>
      </c>
      <c r="B1020">
        <f>Skills!B26</f>
        <v/>
      </c>
      <c r="C1020">
        <f>Inputs!$B$3&gt;=50</f>
        <v/>
      </c>
      <c r="D1020">
        <f>IF(Skills!C26=1,60+Inputs!$B$24+(Inputs!$B$28+1),IF(Skills!C26=2,90+Inputs!$B$25+(Inputs!$B$28+1),IF(Skills!C26=3,120+Inputs!$B$26+(Inputs!$B$28+1),MAX(0,(Inputs!$B$3-100)*3)+Inputs!$B$27+(Inputs!$B$28+1))))</f>
        <v/>
      </c>
      <c r="E1020">
        <f>INDEX(FactorTable!$B$2:$Y$301, MATCH(ROUND(MIN(300,MAX(1,D1020)),0), FactorTable!$A$2:$A$301,0), Skills!M26+1)</f>
        <v/>
      </c>
      <c r="F1020">
        <f>IF(Skills!N26=TRUE,(Skills!L26/10)*(E1020/1000),Skills!L26/10)+Skills!O26</f>
        <v/>
      </c>
      <c r="G1020">
        <f>Skills!G26*IF(Skills!H26&gt;0,Skills!I26/Skills!H26,1)</f>
        <v/>
      </c>
      <c r="H1020">
        <f>1-(1-Skills!J26/100)^Skills!K26</f>
        <v/>
      </c>
      <c r="I1020" t="inlineStr">
        <is>
          <t>1</t>
        </is>
      </c>
      <c r="J1020" t="inlineStr"/>
      <c r="K1020" t="inlineStr"/>
      <c r="L1020" t="inlineStr"/>
      <c r="M1020" t="inlineStr"/>
      <c r="N1020" t="inlineStr"/>
      <c r="O1020" t="n">
        <v>0</v>
      </c>
      <c r="P1020">
        <f>IF(B1039=0,0,O1020/B1039)</f>
        <v/>
      </c>
      <c r="Q1020" t="n">
        <v>0</v>
      </c>
      <c r="R1020" t="n">
        <v>0</v>
      </c>
      <c r="S1020">
        <f>IFERROR(O1020/N1020,0)</f>
        <v/>
      </c>
    </row>
    <row r="1021">
      <c r="A1021">
        <f>Skills!A27</f>
        <v/>
      </c>
      <c r="B1021">
        <f>Skills!B27</f>
        <v/>
      </c>
      <c r="C1021">
        <f>Inputs!$B$3&gt;=38</f>
        <v/>
      </c>
      <c r="D1021">
        <f>IF(Skills!C27=1,60+Inputs!$B$24+(Inputs!$B$28+1),IF(Skills!C27=2,90+Inputs!$B$25+(Inputs!$B$28+1),IF(Skills!C27=3,120+Inputs!$B$26+(Inputs!$B$28+1),MAX(0,(Inputs!$B$3-100)*3)+Inputs!$B$27+(Inputs!$B$28+1))))</f>
        <v/>
      </c>
      <c r="E1021">
        <f>INDEX(FactorTable!$B$2:$Y$301, MATCH(ROUND(MIN(300,MAX(1,D1021)),0), FactorTable!$A$2:$A$301,0), Skills!M27+1)</f>
        <v/>
      </c>
      <c r="F1021">
        <f>IF(Skills!N27=TRUE,(Skills!L27/10)*(E1021/1000),Skills!L27/10)+Skills!O27</f>
        <v/>
      </c>
      <c r="G1021">
        <f>Skills!G27*IF(Skills!H27&gt;0,Skills!I27/Skills!H27,1)</f>
        <v/>
      </c>
      <c r="H1021">
        <f>1-(1-Skills!J27/100)^Skills!K27</f>
        <v/>
      </c>
      <c r="I1021" t="inlineStr">
        <is>
          <t>1</t>
        </is>
      </c>
      <c r="J1021" t="inlineStr"/>
      <c r="K1021" t="inlineStr"/>
      <c r="L1021" t="inlineStr"/>
      <c r="M1021" t="inlineStr"/>
      <c r="N1021" t="inlineStr"/>
      <c r="O1021" t="n">
        <v>0</v>
      </c>
      <c r="P1021">
        <f>IF(B1039=0,0,O1021/B1039)</f>
        <v/>
      </c>
      <c r="Q1021" t="n">
        <v>0</v>
      </c>
      <c r="R1021" t="n">
        <v>0</v>
      </c>
      <c r="S1021">
        <f>IFERROR(O1021/N1021,0)</f>
        <v/>
      </c>
    </row>
    <row r="1022">
      <c r="A1022">
        <f>Skills!A28</f>
        <v/>
      </c>
      <c r="B1022">
        <f>Skills!B28</f>
        <v/>
      </c>
      <c r="C1022">
        <f>Inputs!$B$3&gt;=120</f>
        <v/>
      </c>
      <c r="D1022">
        <f>IF(Skills!C28=1,60+Inputs!$B$24+(Inputs!$B$28+1),IF(Skills!C28=2,90+Inputs!$B$25+(Inputs!$B$28+1),IF(Skills!C28=3,120+Inputs!$B$26+(Inputs!$B$28+1),MAX(0,(Inputs!$B$3-100)*3)+Inputs!$B$27+(Inputs!$B$28+1))))</f>
        <v/>
      </c>
      <c r="E1022">
        <f>INDEX(FactorTable!$B$2:$Y$301, MATCH(ROUND(MIN(300,MAX(1,D1022)),0), FactorTable!$A$2:$A$301,0), Skills!M28+1)</f>
        <v/>
      </c>
      <c r="F1022">
        <f>IF(Skills!N28=TRUE,(Skills!L28/10)*(E1022/1000),Skills!L28/10)+Skills!O28</f>
        <v/>
      </c>
      <c r="G1022">
        <f>Skills!G28*IF(Skills!H28&gt;0,Skills!I28/Skills!H28,1)</f>
        <v/>
      </c>
      <c r="H1022">
        <f>1-(1-Skills!J28/100)^Skills!K28</f>
        <v/>
      </c>
      <c r="I1022" t="inlineStr">
        <is>
          <t>1</t>
        </is>
      </c>
      <c r="J1022" t="inlineStr"/>
      <c r="K1022" t="inlineStr"/>
      <c r="L1022" t="inlineStr"/>
      <c r="M1022" t="inlineStr"/>
      <c r="N1022" t="inlineStr"/>
      <c r="O1022" t="n">
        <v>0</v>
      </c>
      <c r="P1022">
        <f>IF(B1039=0,0,O1022/B1039)</f>
        <v/>
      </c>
      <c r="Q1022" t="n">
        <v>0</v>
      </c>
      <c r="R1022" t="n">
        <v>0</v>
      </c>
      <c r="S1022">
        <f>IFERROR(O1022/N1022,0)</f>
        <v/>
      </c>
    </row>
    <row r="1023">
      <c r="A1023">
        <f>Skills!A29</f>
        <v/>
      </c>
      <c r="B1023">
        <f>Skills!B29</f>
        <v/>
      </c>
      <c r="C1023">
        <f>Inputs!$B$3&gt;=120</f>
        <v/>
      </c>
      <c r="D1023">
        <f>IF(Skills!C29=1,60+Inputs!$B$24+(Inputs!$B$28+1),IF(Skills!C29=2,90+Inputs!$B$25+(Inputs!$B$28+1),IF(Skills!C29=3,120+Inputs!$B$26+(Inputs!$B$28+1),MAX(0,(Inputs!$B$3-100)*3)+Inputs!$B$27+(Inputs!$B$28+1))))</f>
        <v/>
      </c>
      <c r="E1023">
        <f>INDEX(FactorTable!$B$2:$Y$301, MATCH(ROUND(MIN(300,MAX(1,D1023)),0), FactorTable!$A$2:$A$301,0), Skills!M29+1)</f>
        <v/>
      </c>
      <c r="F1023">
        <f>IF(Skills!N29=TRUE,(Skills!L29/10)*(E1023/1000),Skills!L29/10)+Skills!O29</f>
        <v/>
      </c>
      <c r="G1023">
        <f>Skills!G29*IF(Skills!H29&gt;0,Skills!I29/Skills!H29,1)</f>
        <v/>
      </c>
      <c r="H1023">
        <f>1-(1-Skills!J29/100)^Skills!K29</f>
        <v/>
      </c>
      <c r="I1023" t="inlineStr">
        <is>
          <t>1</t>
        </is>
      </c>
      <c r="J1023" t="inlineStr"/>
      <c r="K1023" t="inlineStr"/>
      <c r="L1023" t="inlineStr"/>
      <c r="M1023" t="inlineStr"/>
      <c r="N1023" t="inlineStr"/>
      <c r="O1023" t="n">
        <v>0</v>
      </c>
      <c r="P1023">
        <f>IF(B1039=0,0,O1023/B1039)</f>
        <v/>
      </c>
      <c r="Q1023" t="n">
        <v>0</v>
      </c>
      <c r="R1023" t="n">
        <v>0</v>
      </c>
      <c r="S1023">
        <f>IFERROR(O1023/N1023,0)</f>
        <v/>
      </c>
    </row>
    <row r="1024">
      <c r="A1024">
        <f>Skills!A30</f>
        <v/>
      </c>
      <c r="B1024">
        <f>Skills!B30</f>
        <v/>
      </c>
      <c r="C1024">
        <f>Inputs!$B$3&gt;=125</f>
        <v/>
      </c>
      <c r="D1024">
        <f>IF(Skills!C30=1,60+Inputs!$B$24+(Inputs!$B$28+1),IF(Skills!C30=2,90+Inputs!$B$25+(Inputs!$B$28+1),IF(Skills!C30=3,120+Inputs!$B$26+(Inputs!$B$28+1),MAX(0,(Inputs!$B$3-100)*3)+Inputs!$B$27+(Inputs!$B$28+1))))</f>
        <v/>
      </c>
      <c r="E1024">
        <f>INDEX(FactorTable!$B$2:$Y$301, MATCH(ROUND(MIN(300,MAX(1,D1024)),0), FactorTable!$A$2:$A$301,0), Skills!M30+1)</f>
        <v/>
      </c>
      <c r="F1024">
        <f>IF(Skills!N30=TRUE,(Skills!L30/10)*(E1024/1000),Skills!L30/10)+Skills!O30</f>
        <v/>
      </c>
      <c r="G1024">
        <f>Skills!G30*IF(Skills!H30&gt;0,Skills!I30/Skills!H30,1)</f>
        <v/>
      </c>
      <c r="H1024">
        <f>1-(1-Skills!J30/100)^Skills!K30</f>
        <v/>
      </c>
      <c r="I1024" t="inlineStr">
        <is>
          <t>1</t>
        </is>
      </c>
      <c r="J1024" t="inlineStr"/>
      <c r="K1024" t="inlineStr"/>
      <c r="L1024" t="inlineStr"/>
      <c r="M1024" t="inlineStr"/>
      <c r="N1024" t="inlineStr"/>
      <c r="O1024" t="n">
        <v>0</v>
      </c>
      <c r="P1024">
        <f>IF(B1039=0,0,O1024/B1039)</f>
        <v/>
      </c>
      <c r="Q1024" t="n">
        <v>0</v>
      </c>
      <c r="R1024" t="n">
        <v>0</v>
      </c>
      <c r="S1024">
        <f>IFERROR(O1024/N1024,0)</f>
        <v/>
      </c>
    </row>
    <row r="1026">
      <c r="A1026" t="inlineStr">
        <is>
          <t>Average Buff Multiplier</t>
        </is>
      </c>
      <c r="B1026">
        <f>(1+(((C1015=TRUE)*F1015*IF(AND(Inputs!$B$4&lt;&gt;"pvp",Inputs!$B$35&gt;0),(((S1015-1)*(Skills!Y21*(1+Inputs!$B$33/100))+MIN((Skills!Y21*(1+Inputs!$B$33/100)),MAX(0,Inputs!$B$35-((S1015-1)*Skills!D21))))/Inputs!$B$35),IF(Inputs!$B$4="pvp",MIN((Skills!Y21*(1+Inputs!$B$33/100)),15)/15,(Skills!Y21*(1+Inputs!$B$33/100))/Skills!D21)))+((C1017=TRUE)*(F1017-Calc!F23))+((C1011=TRUE)*(F1011-Calc!F17)))/100)*(1+((C1004=TRUE)*F1004*IF(AND(Inputs!$B$4&lt;&gt;"pvp",Inputs!$B$35&gt;0),(((S1004-1)*(Skills!Y10*(1+Inputs!$B$33/100))+MIN((Skills!Y10*(1+Inputs!$B$33/100)),MAX(0,Inputs!$B$35-((S1004-1)*Skills!D10))))/Inputs!$B$35),IF(Inputs!$B$4="pvp",MIN((Skills!Y10*(1+Inputs!$B$33/100)),15)/15,(Skills!Y10*(1+Inputs!$B$33/100))/Skills!D10)))/100)*(1+((C1009=TRUE)*F1009*IF(AND(Inputs!$B$4&lt;&gt;"pvp",Inputs!$B$35&gt;0),(((S1009-1)*(Skills!Y15*(1+Inputs!$B$33/100))+MIN((Skills!Y15*(1+Inputs!$B$33/100)),MAX(0,Inputs!$B$35-((S1009-1)*Skills!D15))))/Inputs!$B$35),IF(Inputs!$B$4="pvp",MIN((Skills!Y15*(1+Inputs!$B$33/100)),15)/15,(Skills!Y15*(1+Inputs!$B$33/100))/Skills!D15)))/100)</f>
        <v/>
      </c>
    </row>
    <row r="1027">
      <c r="A1027" t="inlineStr">
        <is>
          <t>Global Crit Rate Bonus %</t>
        </is>
      </c>
      <c r="B1027">
        <f>((C1014=TRUE)*F1014*IF(AND(Inputs!$B$4&lt;&gt;"pvp",Inputs!$B$35&gt;0),(((S1014-1)*(Skills!Y20*(1+Inputs!$B$33/100))+MIN((Skills!Y20*(1+Inputs!$B$33/100)),MAX(0,Inputs!$B$35-((S1014-1)*Skills!D20))))/Inputs!$B$35),IF(Inputs!$B$4="pvp",MIN((Skills!Y20*(1+Inputs!$B$33/100)),15)/15,(Skills!Y20*(1+Inputs!$B$33/100))/Skills!D20)))</f>
        <v/>
      </c>
    </row>
    <row r="1028">
      <c r="A1028" t="inlineStr">
        <is>
          <t>Global Monster Damage-Taken Bonus %</t>
        </is>
      </c>
      <c r="B1028">
        <f>IF(Inputs!$B$3&gt;=82,15,0)</f>
        <v/>
      </c>
    </row>
    <row r="1029">
      <c r="A1029" t="inlineStr">
        <is>
          <t>Shadow Partner Average Multiplier</t>
        </is>
      </c>
      <c r="B1029">
        <f>1+((C1001=TRUE)*F1001*(1+3.3333333333333335*IF(C1012=TRUE,F1012,0)/100)*I1001*Skills!J7/100)/100</f>
        <v/>
      </c>
    </row>
    <row r="1030">
      <c r="A1030" t="inlineStr">
        <is>
          <t>Attack Speed Buff Bonus %</t>
        </is>
      </c>
      <c r="B1030">
        <f>((C1013=TRUE)*F1013*IF(AND(Inputs!$B$4&lt;&gt;"pvp",Inputs!$B$35&gt;0),(((S1013-1)*(Skills!Y19*(1+Inputs!$B$33/100))+MIN((Skills!Y19*(1+Inputs!$B$33/100)),MAX(0,Inputs!$B$35-((S1013-1)*Skills!D19))))/Inputs!$B$35),IF(Inputs!$B$4="pvp",MIN((Skills!Y19*(1+Inputs!$B$33/100)),15)/15,(Skills!Y19*(1+Inputs!$B$33/100))/Skills!D19)))+((C997=TRUE)*F997*3)</f>
        <v/>
      </c>
    </row>
    <row r="1031">
      <c r="A1031" t="inlineStr">
        <is>
          <t>Actions Per Second</t>
        </is>
      </c>
      <c r="B1031">
        <f>1+MIN(150,150*(1-(1-(Inputs!$B$10+((C1016=TRUE)*(F1016-Calc!F22)))/150)*(1-B1030/150)))/100</f>
        <v/>
      </c>
    </row>
    <row r="1032">
      <c r="A1032" t="inlineStr">
        <is>
          <t>Skill + Buff Cast Rate</t>
        </is>
      </c>
      <c r="B1032">
        <f>IF(AND(Inputs!$B$4&lt;&gt;"pvp",Inputs!$B$35&gt;0),SUMPRODUCT((Skills!E2:E30=TRUE)*(C996:C1024=TRUE)*R996:R1024*Skills!F2:F30)/Inputs!$B$35,SUMPRODUCT((Skills!E2:E30=TRUE)*(C996:C1024=TRUE)*Q996:Q1024*Skills!F2:F30))</f>
        <v/>
      </c>
    </row>
    <row r="1033">
      <c r="A1033" t="inlineStr">
        <is>
          <t>Cruel Stab Casts Per Second</t>
        </is>
      </c>
      <c r="B1033">
        <f>MAX(0,B1031-B1032)</f>
        <v/>
      </c>
    </row>
    <row r="1034">
      <c r="A1034" t="inlineStr">
        <is>
          <t>Global Critical Damage Bonus % (Smokescreen Mastery Lv.113)</t>
        </is>
      </c>
      <c r="B1034">
        <f>IF(Inputs!$B$3&gt;=113,30,0)*IF(AND(Inputs!$B$4&lt;&gt;"pvp",Inputs!$B$35&gt;0),(((S1009-1)*(Skills!Y15*(1+Inputs!$B$33/100))+MIN((Skills!Y15*(1+Inputs!$B$33/100)),MAX(0,Inputs!$B$35-((S1009-1)*Skills!D15))))/Inputs!$B$35),IF(Inputs!$B$4="pvp",MIN((Skills!Y15*(1+Inputs!$B$33/100)),15)/15,(Skills!Y15*(1+Inputs!$B$33/100))/Skills!D15))</f>
        <v/>
      </c>
    </row>
    <row r="1035">
      <c r="A1035" t="inlineStr">
        <is>
          <t>Meso Explosion average stack count</t>
        </is>
      </c>
      <c r="B1035">
        <f>MIN(10,0.5*B1031*Skills!D4)</f>
        <v/>
      </c>
    </row>
    <row r="1036">
      <c r="A1036" t="inlineStr">
        <is>
          <t>Blood Money average stack count</t>
        </is>
      </c>
      <c r="B1036">
        <f>MIN(5,0.25*B1031*Skills!D4)</f>
        <v/>
      </c>
    </row>
    <row r="1037">
      <c r="A1037" t="inlineStr">
        <is>
          <t>Assassinate Murderous Intent Multiplier</t>
        </is>
      </c>
      <c r="B1037">
        <f>1+IFERROR(MIN(1,Q1008*2/Q1005),0)</f>
        <v/>
      </c>
    </row>
    <row r="1039">
      <c r="A1039" s="5" t="inlineStr">
        <is>
          <t>TOTAL DPS</t>
        </is>
      </c>
      <c r="B1039" s="5">
        <f>SUM(O996:O1024)</f>
        <v/>
      </c>
    </row>
    <row r="1042">
      <c r="A1042" s="5" t="inlineStr">
        <is>
          <t>Stat: Flat ATTACK</t>
        </is>
      </c>
    </row>
    <row r="1043">
      <c r="A1043" s="8" t="inlineStr">
        <is>
          <t>Key</t>
        </is>
      </c>
      <c r="B1043" s="8" t="inlineStr">
        <is>
          <t>Name</t>
        </is>
      </c>
      <c r="C1043" s="8" t="inlineStr">
        <is>
          <t>Unlocked</t>
        </is>
      </c>
      <c r="D1043" s="8" t="inlineStr">
        <is>
          <t>InputLevel</t>
        </is>
      </c>
      <c r="E1043" s="8" t="inlineStr">
        <is>
          <t>Factor</t>
        </is>
      </c>
      <c r="F1043" s="8" t="inlineStr">
        <is>
          <t>CoefficientPercent</t>
        </is>
      </c>
      <c r="G1043" s="8" t="inlineStr">
        <is>
          <t>EffectiveHits</t>
        </is>
      </c>
      <c r="H1043" s="8" t="inlineStr">
        <is>
          <t>ProcProbability</t>
        </is>
      </c>
      <c r="I1043" s="8" t="inlineStr">
        <is>
          <t>MapleHeroMultiplier</t>
        </is>
      </c>
      <c r="J1043" s="8" t="inlineStr">
        <is>
          <t>BaseDamage</t>
        </is>
      </c>
      <c r="K1043" s="8" t="inlineStr">
        <is>
          <t>BaseHitDamage</t>
        </is>
      </c>
      <c r="L1043" s="8" t="inlineStr">
        <is>
          <t>NonCritAvg</t>
        </is>
      </c>
      <c r="M1043" s="8" t="inlineStr">
        <is>
          <t>CritAvg</t>
        </is>
      </c>
      <c r="N1043" s="8" t="inlineStr">
        <is>
          <t>ExpectedDamage(perHit)</t>
        </is>
      </c>
      <c r="O1043" s="8" t="inlineStr">
        <is>
          <t>DPS</t>
        </is>
      </c>
      <c r="P1043" s="8" t="inlineStr">
        <is>
          <t>% of Total</t>
        </is>
      </c>
      <c r="Q1043" s="8" t="inlineStr">
        <is>
          <t>InvCooldown</t>
        </is>
      </c>
      <c r="R1043" s="8" t="inlineStr">
        <is>
          <t>CastsInFight</t>
        </is>
      </c>
      <c r="S1043" s="8" t="inlineStr">
        <is>
          <t>HitRate(perSec)</t>
        </is>
      </c>
      <c r="U1043" t="inlineStr">
        <is>
          <t>helpers</t>
        </is>
      </c>
    </row>
    <row r="1044">
      <c r="A1044">
        <f>Skills!A2</f>
        <v/>
      </c>
      <c r="B1044">
        <f>Skills!B2</f>
        <v/>
      </c>
      <c r="C1044">
        <f>Inputs!$B$3&gt;=100</f>
        <v/>
      </c>
      <c r="D1044" t="inlineStr"/>
      <c r="E1044" t="inlineStr"/>
      <c r="F1044">
        <f>U1046+Skills!O2</f>
        <v/>
      </c>
      <c r="G1044">
        <f>Skills!G2*IF(Skills!H2&gt;0,Skills!I2/Skills!H2,1)</f>
        <v/>
      </c>
      <c r="H1044">
        <f>1-(1-Skills!J2/100)^Skills!K2</f>
        <v/>
      </c>
      <c r="I1044" t="inlineStr">
        <is>
          <t>1</t>
        </is>
      </c>
      <c r="J1044">
        <f>((Inputs!$B$5+1)*(1+Inputs!$B$6/100))*(F1044/100)</f>
        <v/>
      </c>
      <c r="K1044">
        <f>J1044*(1+((Inputs!$B$11*(1+Inputs!$B$12/100))*0.01+Inputs!$B$13*0.0025)/100)*(1+Inputs!$B$14/100)*(1+IF(Inputs!$B$4="pvp",0,(1-Summary!$B$55)*(Inputs!$B$19+0+Skills!P2+B1076)+Summary!$B$55*(Inputs!$B$20+Skills!Q2+B1076))/100)*(1+Inputs!$B$15/100)*(5000/(6000+Inputs!$B$7*(1-Inputs!$B$18/100)))*(1+(Inputs!$B$23+((C1072=TRUE)*(F1072-Calc!F30)))/100)*(1+(IF(Skills!A2="CRUEL_STAB",Inputs!$B$16+((C1069=TRUE)*(F1069-Calc!F27)),Inputs!$B$17+((C1070=TRUE)*(F1070-Calc!F28))))/100)*(((1+(((C1063=TRUE)*F1063*IF(AND(Inputs!$B$4&lt;&gt;"pvp",Inputs!$B$35&gt;0),(((S1063-1)*(Skills!Y21*(1+Inputs!$B$33/100))+MIN((Skills!Y21*(1+Inputs!$B$33/100)),MAX(0,Inputs!$B$35-((S1063-1)*Skills!D21))))/Inputs!$B$35),IF(Inputs!$B$4="pvp",MIN((Skills!Y21*(1+Inputs!$B$33/100)),15)/15,(Skills!Y21*(1+Inputs!$B$33/100))/Skills!D21)))+((C1065=TRUE)*(F1065-Calc!F23))+((C1059=TRUE)*(F1059-Calc!F17)))/100)*(1+((C1052=TRUE)*F1052*IF(AND(Inputs!$B$4&lt;&gt;"pvp",Inputs!$B$35&gt;0),(((S1052-1)*(Skills!Y10*(1+Inputs!$B$33/100))+MIN((Skills!Y10*(1+Inputs!$B$33/100)),MAX(0,Inputs!$B$35-((S1052-1)*Skills!D10))))/Inputs!$B$35),IF(Inputs!$B$4="pvp",MIN((Skills!Y10*(1+Inputs!$B$33/100)),15)/15,(Skills!Y10*(1+Inputs!$B$33/100))/Skills!D10)))/100)*(1+((C1057=TRUE)*F1057*IF(AND(Inputs!$B$4&lt;&gt;"pvp",Inputs!$B$35&gt;0),(((S1057-1)*(Skills!Y15*(1+Inputs!$B$33/100))+MIN((Skills!Y15*(1+Inputs!$B$33/100)),MAX(0,Inputs!$B$35-((S1057-1)*Skills!D15))))/Inputs!$B$35),IF(Inputs!$B$4="pvp",MIN((Skills!Y15*(1+Inputs!$B$33/100)),15)/15,(Skills!Y15*(1+Inputs!$B$33/100))/Skills!D15)))/100))*B1077*I1044)</f>
        <v/>
      </c>
      <c r="L1044">
        <f>K1044*(MIN(Inputs!$B$21+((C1066=TRUE)*(F1066-Calc!F24)),Inputs!$B$22+((C1071=TRUE)*(F1071-Calc!F29)))/100+(Inputs!$B$22+((C1071=TRUE)*(F1071-Calc!F29)))/100)/2</f>
        <v/>
      </c>
      <c r="M1044">
        <f>L1044*(1+(Inputs!$B$9+((C1068=TRUE)*(F1068-Calc!F26))+B1082)/100)</f>
        <v/>
      </c>
      <c r="N1044">
        <f>L1044*(1-MIN((Inputs!$B$8+((C1067=TRUE)*(F1067-Calc!F25))+B1075),100)/100)+M1044*(MIN((Inputs!$B$8+((C1067=TRUE)*(F1067-Calc!F25))+B1075),100)/100)</f>
        <v/>
      </c>
      <c r="O1044">
        <f>IF(C1044,Skills!G2*N1044*B1081*IF(Inputs!$B$4="pvp",1,(1-Summary!$B$55)*(1)+Summary!$B$55*(MIN((6+Inputs!$B$32),Inputs!$B$37))),0)</f>
        <v/>
      </c>
      <c r="P1044">
        <f>IF(B1087=0,0,O1044/B1087)</f>
        <v/>
      </c>
      <c r="Q1044" t="n">
        <v>0</v>
      </c>
      <c r="R1044" t="n">
        <v>0</v>
      </c>
      <c r="S1044">
        <f>IFERROR(O1044/N1044,0)</f>
        <v/>
      </c>
      <c r="U1044">
        <f>MAX(0,(Inputs!$B$3-100)*3)+Inputs!$B$27+Inputs!$B$28</f>
        <v/>
      </c>
    </row>
    <row r="1045">
      <c r="A1045">
        <f>Skills!A3</f>
        <v/>
      </c>
      <c r="B1045">
        <f>Skills!B3</f>
        <v/>
      </c>
      <c r="C1045">
        <f>Inputs!$B$3&gt;=35</f>
        <v/>
      </c>
      <c r="D1045">
        <f>IF(Skills!C3=1,60+Inputs!$B$24+Inputs!$B$28,IF(Skills!C3=2,90+Inputs!$B$25+Inputs!$B$28,IF(Skills!C3=3,120+Inputs!$B$26+Inputs!$B$28,MAX(0,(Inputs!$B$3-100)*3)+Inputs!$B$27+Inputs!$B$28)))</f>
        <v/>
      </c>
      <c r="E1045">
        <f>INDEX(FactorTable!$B$2:$Y$301, MATCH(ROUND(MIN(300,MAX(1,D1045)),0), FactorTable!$A$2:$A$301,0), Skills!M3+1)</f>
        <v/>
      </c>
      <c r="F1045">
        <f>IF(Skills!N3=TRUE,(Skills!L3/10)*(E1045/1000),Skills!L3/10)+Skills!O3</f>
        <v/>
      </c>
      <c r="G1045">
        <f>Skills!G3*IF(Skills!H3&gt;0,Skills!I3/Skills!H3,1)</f>
        <v/>
      </c>
      <c r="H1045">
        <f>1-(1-Skills!J3/100)^Skills!K3</f>
        <v/>
      </c>
      <c r="I1045" t="inlineStr">
        <is>
          <t>1</t>
        </is>
      </c>
      <c r="J1045" t="inlineStr"/>
      <c r="K1045" t="inlineStr"/>
      <c r="L1045" t="inlineStr"/>
      <c r="M1045" t="inlineStr"/>
      <c r="N1045" t="inlineStr"/>
      <c r="O1045" t="n">
        <v>0</v>
      </c>
      <c r="P1045">
        <f>IF(B1087=0,0,O1045/B1087)</f>
        <v/>
      </c>
      <c r="Q1045" t="n">
        <v>0</v>
      </c>
      <c r="R1045" t="n">
        <v>0</v>
      </c>
      <c r="S1045">
        <f>IFERROR(O1045/N1045,0)</f>
        <v/>
      </c>
      <c r="U1045">
        <f>INDEX(FactorTable!$B$2:$Y$301, MATCH(ROUND(MIN(300,MAX(1,U1044)),0), FactorTable!$A$2:$A$301,0), 22)</f>
        <v/>
      </c>
    </row>
    <row r="1046">
      <c r="A1046">
        <f>Skills!A4</f>
        <v/>
      </c>
      <c r="B1046">
        <f>Skills!B4</f>
        <v/>
      </c>
      <c r="C1046">
        <f>Inputs!$B$3&gt;=66</f>
        <v/>
      </c>
      <c r="D1046">
        <f>IF(Skills!C4=1,60+Inputs!$B$24+Inputs!$B$28,IF(Skills!C4=2,90+Inputs!$B$25+Inputs!$B$28,IF(Skills!C4=3,120+Inputs!$B$26+Inputs!$B$28,MAX(0,(Inputs!$B$3-100)*3)+Inputs!$B$27+Inputs!$B$28)))</f>
        <v/>
      </c>
      <c r="E1046">
        <f>INDEX(FactorTable!$B$2:$Y$301, MATCH(ROUND(MIN(300,MAX(1,D1046)),0), FactorTable!$A$2:$A$301,0), Skills!M4+1)</f>
        <v/>
      </c>
      <c r="F1046">
        <f>IF(Skills!N4=TRUE,(Skills!L4/10)*(E1046/1000),Skills!L4/10)+Skills!O4</f>
        <v/>
      </c>
      <c r="G1046">
        <f>Skills!G4*IF(Skills!H4&gt;0,Skills!I4/Skills!H4,1)</f>
        <v/>
      </c>
      <c r="H1046">
        <f>1-(1-Skills!J4/100)^Skills!K4</f>
        <v/>
      </c>
      <c r="I1046" t="inlineStr">
        <is>
          <t>1</t>
        </is>
      </c>
      <c r="J1046">
        <f>((Inputs!$B$5+1)*(1+Inputs!$B$6/100))*(F1046/100)</f>
        <v/>
      </c>
      <c r="K1046">
        <f>J1046*(1+((Inputs!$B$11*(1+Inputs!$B$12/100))*0.01+Inputs!$B$13*0.0025)/100)*(1+Inputs!$B$14/100)*(1+IF(Inputs!$B$4="pvp",0,(1-Summary!$B$55)*(Inputs!$B$19+0+Skills!P4+B1076)+Summary!$B$55*(Inputs!$B$20+Skills!Q4+B1076))/100)*(1+Inputs!$B$15/100)*(5000/(6000+Inputs!$B$7*(1-Inputs!$B$18/100)))*(1+(Inputs!$B$23+((C1072=TRUE)*(F1072-Calc!F30)))/100)*(1+(IF(Skills!A4="CRUEL_STAB",Inputs!$B$16+((C1069=TRUE)*(F1069-Calc!F27)),Inputs!$B$17+((C1070=TRUE)*(F1070-Calc!F28))))/100)*(((1+(((C1063=TRUE)*F1063*IF(AND(Inputs!$B$4&lt;&gt;"pvp",Inputs!$B$35&gt;0),(((S1063-1)*(Skills!Y21*(1+Inputs!$B$33/100))+MIN((Skills!Y21*(1+Inputs!$B$33/100)),MAX(0,Inputs!$B$35-((S1063-1)*Skills!D21))))/Inputs!$B$35),IF(Inputs!$B$4="pvp",MIN((Skills!Y21*(1+Inputs!$B$33/100)),15)/15,(Skills!Y21*(1+Inputs!$B$33/100))/Skills!D21)))+((C1065=TRUE)*(F1065-Calc!F23))+((C1059=TRUE)*(F1059-Calc!F17)))/100)*(1+((C1052=TRUE)*F1052*IF(AND(Inputs!$B$4&lt;&gt;"pvp",Inputs!$B$35&gt;0),(((S1052-1)*(Skills!Y10*(1+Inputs!$B$33/100))+MIN((Skills!Y10*(1+Inputs!$B$33/100)),MAX(0,Inputs!$B$35-((S1052-1)*Skills!D10))))/Inputs!$B$35),IF(Inputs!$B$4="pvp",MIN((Skills!Y10*(1+Inputs!$B$33/100)),15)/15,(Skills!Y10*(1+Inputs!$B$33/100))/Skills!D10)))/100)*(1+((C1057=TRUE)*F1057*IF(AND(Inputs!$B$4&lt;&gt;"pvp",Inputs!$B$35&gt;0),(((S1057-1)*(Skills!Y15*(1+Inputs!$B$33/100))+MIN((Skills!Y15*(1+Inputs!$B$33/100)),MAX(0,Inputs!$B$35-((S1057-1)*Skills!D15))))/Inputs!$B$35),IF(Inputs!$B$4="pvp",MIN((Skills!Y15*(1+Inputs!$B$33/100)),15)/15,(Skills!Y15*(1+Inputs!$B$33/100))/Skills!D15)))/100))*B1077*I1046)</f>
        <v/>
      </c>
      <c r="L1046">
        <f>K1046*(MIN(Inputs!$B$21+((C1066=TRUE)*(F1066-Calc!F24)),Inputs!$B$22+((C1071=TRUE)*(F1071-Calc!F29)))/100+(Inputs!$B$22+((C1071=TRUE)*(F1071-Calc!F29)))/100)/2</f>
        <v/>
      </c>
      <c r="M1046">
        <f>L1046*(1+(Inputs!$B$9+((C1068=TRUE)*(F1068-Calc!F26))+B1082)/100)</f>
        <v/>
      </c>
      <c r="N1046">
        <f>L1046*(1-MIN((Inputs!$B$8+((C1067=TRUE)*(F1067-Calc!F25))+B1075),100)/100)+M1046*(MIN((Inputs!$B$8+((C1067=TRUE)*(F1067-Calc!F25))+B1075),100)/100)</f>
        <v/>
      </c>
      <c r="O1046">
        <f>IF(C1046,H1046*N1046*IF(AND(Inputs!$B$4&lt;&gt;"pvp",Inputs!$B$35&gt;0),((Skills!G4*((R1046-1)*IF(Skills!H4&gt;0,Skills!I4/Skills!H4,1)+IF(Skills!H4&gt;0,MIN(Skills!I4,MAX(0,Inputs!$B$35-((R1046-1)*IF(Inputs!$B$4="pvp",15,MAX(0.1,Skills!D4-IF(Skills!E4=TRUE,Inputs!$B$31,0))))))/Skills!H4,1)))/Inputs!$B$35),G1046*Q1046)*IF(Inputs!$B$4="pvp",1,(1-Summary!$B$55)*(1)+Summary!$B$55*(MIN(MIN(10,0.5*B1079*Skills!D4),Inputs!$B$37))),0)</f>
        <v/>
      </c>
      <c r="P1046">
        <f>IF(B1087=0,0,O1046/B1087)</f>
        <v/>
      </c>
      <c r="Q1046">
        <f>IFERROR(1/IF(Inputs!$B$4="pvp",15,MAX(0.1,Skills!D4-IF(Skills!E4=TRUE,Inputs!$B$31,0))),0)</f>
        <v/>
      </c>
      <c r="R1046">
        <f>IF(AND(Inputs!$B$4&lt;&gt;"pvp",Inputs!$B$35&gt;0),(INT(Inputs!$B$35/IF(Inputs!$B$4="pvp",15,MAX(0.1,Skills!D4-IF(Skills!E4=TRUE,Inputs!$B$31,0))))+1),0)</f>
        <v/>
      </c>
      <c r="S1046">
        <f>IFERROR(O1046/N1046,0)</f>
        <v/>
      </c>
      <c r="U1046">
        <f>290*U1045/1000</f>
        <v/>
      </c>
    </row>
    <row r="1047">
      <c r="A1047">
        <f>Skills!A5</f>
        <v/>
      </c>
      <c r="B1047">
        <f>Skills!B5</f>
        <v/>
      </c>
      <c r="C1047">
        <f>Inputs!$B$3&gt;=63</f>
        <v/>
      </c>
      <c r="D1047">
        <f>IF(Skills!C5=1,60+Inputs!$B$24+Inputs!$B$28,IF(Skills!C5=2,90+Inputs!$B$25+Inputs!$B$28,IF(Skills!C5=3,120+Inputs!$B$26+Inputs!$B$28,MAX(0,(Inputs!$B$3-100)*3)+Inputs!$B$27+Inputs!$B$28)))</f>
        <v/>
      </c>
      <c r="E1047">
        <f>INDEX(FactorTable!$B$2:$Y$301, MATCH(ROUND(MIN(300,MAX(1,D1047)),0), FactorTable!$A$2:$A$301,0), Skills!M5+1)</f>
        <v/>
      </c>
      <c r="F1047">
        <f>IF(Skills!N5=TRUE,(Skills!L5/10)*(E1047/1000),Skills!L5/10)+Skills!O5</f>
        <v/>
      </c>
      <c r="G1047">
        <f>Skills!G5*IF(Skills!H5&gt;0,Skills!I5/Skills!H5,1)</f>
        <v/>
      </c>
      <c r="H1047">
        <f>1-(1-Skills!J5/100)^Skills!K5</f>
        <v/>
      </c>
      <c r="I1047" t="inlineStr">
        <is>
          <t>1</t>
        </is>
      </c>
      <c r="J1047">
        <f>((Inputs!$B$5+1)*(1+Inputs!$B$6/100))*(F1047/100)</f>
        <v/>
      </c>
      <c r="K1047">
        <f>J1047*(1+((Inputs!$B$11*(1+Inputs!$B$12/100))*0.01+Inputs!$B$13*0.0025)/100)*(1+Inputs!$B$14/100)*(1+IF(Inputs!$B$4="pvp",0,(1-Summary!$B$55)*(Inputs!$B$19+0+Skills!P5+B1076)+Summary!$B$55*(Inputs!$B$20+Skills!Q5+B1076))/100)*(1+Inputs!$B$15/100)*(5000/(6000+Inputs!$B$7*(1-Inputs!$B$18/100)))*(1+(Inputs!$B$23+((C1072=TRUE)*(F1072-Calc!F30)))/100)*(1+2.6666666666666665*IF(C1060=TRUE,F1060,0)/100)*(1+(IF(Skills!A5="CRUEL_STAB",Inputs!$B$16+((C1069=TRUE)*(F1069-Calc!F27)),Inputs!$B$17+((C1070=TRUE)*(F1070-Calc!F28))))/100)*(((1+(((C1063=TRUE)*F1063*IF(AND(Inputs!$B$4&lt;&gt;"pvp",Inputs!$B$35&gt;0),(((S1063-1)*(Skills!Y21*(1+Inputs!$B$33/100))+MIN((Skills!Y21*(1+Inputs!$B$33/100)),MAX(0,Inputs!$B$35-((S1063-1)*Skills!D21))))/Inputs!$B$35),IF(Inputs!$B$4="pvp",MIN((Skills!Y21*(1+Inputs!$B$33/100)),15)/15,(Skills!Y21*(1+Inputs!$B$33/100))/Skills!D21)))+((C1065=TRUE)*(F1065-Calc!F23))+((C1059=TRUE)*(F1059-Calc!F17)))/100)*(1+((C1052=TRUE)*F1052*IF(AND(Inputs!$B$4&lt;&gt;"pvp",Inputs!$B$35&gt;0),(((S1052-1)*(Skills!Y10*(1+Inputs!$B$33/100))+MIN((Skills!Y10*(1+Inputs!$B$33/100)),MAX(0,Inputs!$B$35-((S1052-1)*Skills!D10))))/Inputs!$B$35),IF(Inputs!$B$4="pvp",MIN((Skills!Y10*(1+Inputs!$B$33/100)),15)/15,(Skills!Y10*(1+Inputs!$B$33/100))/Skills!D10)))/100)*(1+((C1057=TRUE)*F1057*IF(AND(Inputs!$B$4&lt;&gt;"pvp",Inputs!$B$35&gt;0),(((S1057-1)*(Skills!Y15*(1+Inputs!$B$33/100))+MIN((Skills!Y15*(1+Inputs!$B$33/100)),MAX(0,Inputs!$B$35-((S1057-1)*Skills!D15))))/Inputs!$B$35),IF(Inputs!$B$4="pvp",MIN((Skills!Y15*(1+Inputs!$B$33/100)),15)/15,(Skills!Y15*(1+Inputs!$B$33/100))/Skills!D15)))/100))*B1077*I1047)</f>
        <v/>
      </c>
      <c r="L1047">
        <f>K1047*(MIN(Inputs!$B$21+((C1066=TRUE)*(F1066-Calc!F24)),Inputs!$B$22+((C1071=TRUE)*(F1071-Calc!F29)))/100+(Inputs!$B$22+((C1071=TRUE)*(F1071-Calc!F29)))/100)/2</f>
        <v/>
      </c>
      <c r="M1047">
        <f>L1047*(1+(Inputs!$B$9+((C1068=TRUE)*(F1068-Calc!F26))+B1082)/100)</f>
        <v/>
      </c>
      <c r="N1047">
        <f>L1047*(1-MIN((Inputs!$B$8+((C1067=TRUE)*(F1067-Calc!F25))+B1075),100)/100)+M1047*(MIN((Inputs!$B$8+((C1067=TRUE)*(F1067-Calc!F25))+B1075),100)/100)</f>
        <v/>
      </c>
      <c r="O1047">
        <f>IF(C1047,H1047*N1047*IF(AND(Inputs!$B$4&lt;&gt;"pvp",Inputs!$B$35&gt;0),((Skills!G5*((R1047-1)*IF(Skills!H5&gt;0,Skills!I5/Skills!H5,1)+IF(Skills!H5&gt;0,MIN(Skills!I5,MAX(0,Inputs!$B$35-((R1047-1)*IF(Inputs!$B$4="pvp",15,MAX(0.1,Skills!D5-IF(Skills!E5=TRUE,Inputs!$B$31,0))))))/Skills!H5,1)))/Inputs!$B$35),G1047*Q1047)*IF(Inputs!$B$4="pvp",1,(1-Summary!$B$55)*(1)+Summary!$B$55*(MIN(Skills!W5,Inputs!$B$37))),0)</f>
        <v/>
      </c>
      <c r="P1047">
        <f>IF(B1087=0,0,O1047/B1087)</f>
        <v/>
      </c>
      <c r="Q1047">
        <f>IFERROR(1/IF(Inputs!$B$4="pvp",15,MAX(0.1,Skills!D5-IF(Skills!E5=TRUE,Inputs!$B$31,0))),0)</f>
        <v/>
      </c>
      <c r="R1047">
        <f>IF(AND(Inputs!$B$4&lt;&gt;"pvp",Inputs!$B$35&gt;0),(INT(Inputs!$B$35/IF(Inputs!$B$4="pvp",15,MAX(0.1,Skills!D5-IF(Skills!E5=TRUE,Inputs!$B$31,0))))+1),0)</f>
        <v/>
      </c>
      <c r="S1047">
        <f>IFERROR(O1047/N1047,0)</f>
        <v/>
      </c>
    </row>
    <row r="1048">
      <c r="A1048">
        <f>Skills!A6</f>
        <v/>
      </c>
      <c r="B1048">
        <f>Skills!B6</f>
        <v/>
      </c>
      <c r="C1048">
        <f>Inputs!$B$3&gt;=69</f>
        <v/>
      </c>
      <c r="D1048">
        <f>IF(Skills!C6=1,60+Inputs!$B$24+Inputs!$B$28,IF(Skills!C6=2,90+Inputs!$B$25+Inputs!$B$28,IF(Skills!C6=3,120+Inputs!$B$26+Inputs!$B$28,MAX(0,(Inputs!$B$3-100)*3)+Inputs!$B$27+Inputs!$B$28)))</f>
        <v/>
      </c>
      <c r="E1048">
        <f>INDEX(FactorTable!$B$2:$Y$301, MATCH(ROUND(MIN(300,MAX(1,D1048)),0), FactorTable!$A$2:$A$301,0), Skills!M6+1)</f>
        <v/>
      </c>
      <c r="F1048">
        <f>IF(Skills!N6=TRUE,(Skills!L6/10)*(E1048/1000),Skills!L6/10)+Skills!O6</f>
        <v/>
      </c>
      <c r="G1048">
        <f>Skills!G6*IF(Skills!H6&gt;0,Skills!I6/Skills!H6,1)</f>
        <v/>
      </c>
      <c r="H1048">
        <f>1-(1-Skills!J6/100)^Skills!K6</f>
        <v/>
      </c>
      <c r="I1048" t="inlineStr">
        <is>
          <t>1</t>
        </is>
      </c>
      <c r="J1048">
        <f>((Inputs!$B$5+1)*(1+Inputs!$B$6/100))*(F1048/100)</f>
        <v/>
      </c>
      <c r="K1048">
        <f>J1048*(1+((Inputs!$B$11*(1+Inputs!$B$12/100))*0.01+Inputs!$B$13*0.0025)/100)*(1+Inputs!$B$14/100)*(1+IF(Inputs!$B$4="pvp",0,(1-Summary!$B$55)*(Inputs!$B$19+0+Skills!P6+B1076)+Summary!$B$55*(Inputs!$B$20+Skills!Q6+B1076))/100)*(1+Inputs!$B$15/100)*(5000/(6000+Inputs!$B$7*(1-Inputs!$B$18/100)))*(1+(Inputs!$B$23+((C1072=TRUE)*(F1072-Calc!F30)))/100)*(1+1.0*IF(C1060=TRUE,F1060,0)/100)*(1+(IF(Skills!A6="CRUEL_STAB",Inputs!$B$16+((C1069=TRUE)*(F1069-Calc!F27)),Inputs!$B$17+((C1070=TRUE)*(F1070-Calc!F28))))/100)*(((1+(((C1063=TRUE)*F1063*IF(AND(Inputs!$B$4&lt;&gt;"pvp",Inputs!$B$35&gt;0),(((S1063-1)*(Skills!Y21*(1+Inputs!$B$33/100))+MIN((Skills!Y21*(1+Inputs!$B$33/100)),MAX(0,Inputs!$B$35-((S1063-1)*Skills!D21))))/Inputs!$B$35),IF(Inputs!$B$4="pvp",MIN((Skills!Y21*(1+Inputs!$B$33/100)),15)/15,(Skills!Y21*(1+Inputs!$B$33/100))/Skills!D21)))+((C1065=TRUE)*(F1065-Calc!F23))+((C1059=TRUE)*(F1059-Calc!F17)))/100)*(1+((C1052=TRUE)*F1052*IF(AND(Inputs!$B$4&lt;&gt;"pvp",Inputs!$B$35&gt;0),(((S1052-1)*(Skills!Y10*(1+Inputs!$B$33/100))+MIN((Skills!Y10*(1+Inputs!$B$33/100)),MAX(0,Inputs!$B$35-((S1052-1)*Skills!D10))))/Inputs!$B$35),IF(Inputs!$B$4="pvp",MIN((Skills!Y10*(1+Inputs!$B$33/100)),15)/15,(Skills!Y10*(1+Inputs!$B$33/100))/Skills!D10)))/100)*(1+((C1057=TRUE)*F1057*IF(AND(Inputs!$B$4&lt;&gt;"pvp",Inputs!$B$35&gt;0),(((S1057-1)*(Skills!Y15*(1+Inputs!$B$33/100))+MIN((Skills!Y15*(1+Inputs!$B$33/100)),MAX(0,Inputs!$B$35-((S1057-1)*Skills!D15))))/Inputs!$B$35),IF(Inputs!$B$4="pvp",MIN((Skills!Y15*(1+Inputs!$B$33/100)),15)/15,(Skills!Y15*(1+Inputs!$B$33/100))/Skills!D15)))/100))*B1077*I1048)</f>
        <v/>
      </c>
      <c r="L1048">
        <f>K1048*(MIN(Inputs!$B$21+((C1066=TRUE)*(F1066-Calc!F24)),Inputs!$B$22+((C1071=TRUE)*(F1071-Calc!F29)))/100+(Inputs!$B$22+((C1071=TRUE)*(F1071-Calc!F29)))/100)/2</f>
        <v/>
      </c>
      <c r="M1048">
        <f>L1048*(1+(Inputs!$B$9+((C1068=TRUE)*(F1068-Calc!F26))+B1082)/100)</f>
        <v/>
      </c>
      <c r="N1048">
        <f>L1048*(1-MIN((Inputs!$B$8+((C1067=TRUE)*(F1067-Calc!F25))+B1075),100)/100)+M1048*(MIN((Inputs!$B$8+((C1067=TRUE)*(F1067-Calc!F25))+B1075),100)/100)</f>
        <v/>
      </c>
      <c r="O1048">
        <f>IF(C1048,H1048*N1048*IF(AND(Inputs!$B$4&lt;&gt;"pvp",Inputs!$B$35&gt;0),((Skills!G6*((R1048-1)*IF(Skills!H6&gt;0,Skills!I6/Skills!H6,1)+IF(Skills!H6&gt;0,MIN(Skills!I6,MAX(0,Inputs!$B$35-((R1048-1)*IF(Inputs!$B$4="pvp",15,MAX(0.1,Skills!D6-IF(Skills!E6=TRUE,Inputs!$B$31,0))))))/Skills!H6,1)))/Inputs!$B$35),G1048*Q1048)*IF(Inputs!$B$4="pvp",1,(1-Summary!$B$55)*(1)+Summary!$B$55*(MIN(Skills!W6,Inputs!$B$37))),0)</f>
        <v/>
      </c>
      <c r="P1048">
        <f>IF(B1087=0,0,O1048/B1087)</f>
        <v/>
      </c>
      <c r="Q1048">
        <f>IFERROR(1/IF(Inputs!$B$4="pvp",15,MAX(0.1,Skills!D6-IF(Skills!E6=TRUE,Inputs!$B$31,0))),0)</f>
        <v/>
      </c>
      <c r="R1048">
        <f>IF(AND(Inputs!$B$4&lt;&gt;"pvp",Inputs!$B$35&gt;0),(INT(Inputs!$B$35/IF(Inputs!$B$4="pvp",15,MAX(0.1,Skills!D6-IF(Skills!E6=TRUE,Inputs!$B$31,0))))+1),0)</f>
        <v/>
      </c>
      <c r="S1048">
        <f>IFERROR(O1048/N1048,0)</f>
        <v/>
      </c>
    </row>
    <row r="1049">
      <c r="A1049">
        <f>Skills!A7</f>
        <v/>
      </c>
      <c r="B1049">
        <f>Skills!B7</f>
        <v/>
      </c>
      <c r="C1049">
        <f>Inputs!$B$3&gt;=60</f>
        <v/>
      </c>
      <c r="D1049">
        <f>IF(Skills!C7=1,60+Inputs!$B$24+Inputs!$B$28,IF(Skills!C7=2,90+Inputs!$B$25+Inputs!$B$28,IF(Skills!C7=3,120+Inputs!$B$26+Inputs!$B$28,MAX(0,(Inputs!$B$3-100)*3)+Inputs!$B$27+Inputs!$B$28)))</f>
        <v/>
      </c>
      <c r="E1049">
        <f>INDEX(FactorTable!$B$2:$Y$301, MATCH(ROUND(MIN(300,MAX(1,D1049)),0), FactorTable!$A$2:$A$301,0), Skills!M7+1)</f>
        <v/>
      </c>
      <c r="F1049">
        <f>IF(Skills!N7=TRUE,(Skills!L7/10)*(E1049/1000),Skills!L7/10)+Skills!O7</f>
        <v/>
      </c>
      <c r="G1049">
        <f>Skills!G7*IF(Skills!H7&gt;0,Skills!I7/Skills!H7,1)</f>
        <v/>
      </c>
      <c r="H1049">
        <f>1-(1-Skills!J7/100)^Skills!K7</f>
        <v/>
      </c>
      <c r="I1049" t="inlineStr">
        <is>
          <t>1</t>
        </is>
      </c>
      <c r="J1049" t="inlineStr"/>
      <c r="K1049" t="inlineStr"/>
      <c r="L1049" t="inlineStr"/>
      <c r="M1049" t="inlineStr"/>
      <c r="N1049" t="inlineStr"/>
      <c r="O1049" t="n">
        <v>0</v>
      </c>
      <c r="P1049">
        <f>IF(B1087=0,0,O1049/B1087)</f>
        <v/>
      </c>
      <c r="Q1049" t="n">
        <v>0</v>
      </c>
      <c r="R1049" t="n">
        <v>0</v>
      </c>
      <c r="S1049">
        <f>IFERROR(O1049/N1049,0)</f>
        <v/>
      </c>
    </row>
    <row r="1050">
      <c r="A1050">
        <f>Skills!A8</f>
        <v/>
      </c>
      <c r="B1050">
        <f>Skills!B8</f>
        <v/>
      </c>
      <c r="C1050">
        <f>Inputs!$B$3&gt;=72</f>
        <v/>
      </c>
      <c r="D1050">
        <f>IF(Skills!C8=1,60+Inputs!$B$24+Inputs!$B$28,IF(Skills!C8=2,90+Inputs!$B$25+Inputs!$B$28,IF(Skills!C8=3,120+Inputs!$B$26+Inputs!$B$28,MAX(0,(Inputs!$B$3-100)*3)+Inputs!$B$27+Inputs!$B$28)))</f>
        <v/>
      </c>
      <c r="E1050">
        <f>INDEX(FactorTable!$B$2:$Y$301, MATCH(ROUND(MIN(300,MAX(1,D1050)),0), FactorTable!$A$2:$A$301,0), Skills!M8+1)</f>
        <v/>
      </c>
      <c r="F1050">
        <f>IF(Skills!N8=TRUE,(Skills!L8/10)*(E1050/1000),Skills!L8/10)+Skills!O8</f>
        <v/>
      </c>
      <c r="G1050">
        <f>Skills!G8*IF(Skills!H8&gt;0,Skills!I8/Skills!H8,1)</f>
        <v/>
      </c>
      <c r="H1050">
        <f>1-(1-Skills!J8/100)^Skills!K8</f>
        <v/>
      </c>
      <c r="I1050" t="inlineStr">
        <is>
          <t>1</t>
        </is>
      </c>
      <c r="J1050">
        <f>((Inputs!$B$5+1)*(1+Inputs!$B$6/100))*(F1050/100)</f>
        <v/>
      </c>
      <c r="K1050">
        <f>J1050*(1+((Inputs!$B$11*(1+Inputs!$B$12/100))*0.01+Inputs!$B$13*0.0025)/100)*(1+Inputs!$B$14/100)*(1+IF(Inputs!$B$4="pvp",0,(1-Summary!$B$55)*(Inputs!$B$19+0+Skills!P8+B1076)+Summary!$B$55*(Inputs!$B$20+Skills!Q8+B1076))/100)*(1+Inputs!$B$15/100)*(5000/(6000+Inputs!$B$7*(1-Inputs!$B$18/100)))*(1+(Inputs!$B$23+((C1072=TRUE)*(F1072-Calc!F30)))/100)*(1+3.3333333333333335*IF(C1060=TRUE,F1060,0)/100)*(1+(IF(Skills!A8="CRUEL_STAB",Inputs!$B$16+((C1069=TRUE)*(F1069-Calc!F27)),Inputs!$B$17+((C1070=TRUE)*(F1070-Calc!F28))))/100)*(((1+(((C1063=TRUE)*F1063*IF(AND(Inputs!$B$4&lt;&gt;"pvp",Inputs!$B$35&gt;0),(((S1063-1)*(Skills!Y21*(1+Inputs!$B$33/100))+MIN((Skills!Y21*(1+Inputs!$B$33/100)),MAX(0,Inputs!$B$35-((S1063-1)*Skills!D21))))/Inputs!$B$35),IF(Inputs!$B$4="pvp",MIN((Skills!Y21*(1+Inputs!$B$33/100)),15)/15,(Skills!Y21*(1+Inputs!$B$33/100))/Skills!D21)))+((C1065=TRUE)*(F1065-Calc!F23))+((C1059=TRUE)*(F1059-Calc!F17)))/100)*(1+((C1052=TRUE)*F1052*IF(AND(Inputs!$B$4&lt;&gt;"pvp",Inputs!$B$35&gt;0),(((S1052-1)*(Skills!Y10*(1+Inputs!$B$33/100))+MIN((Skills!Y10*(1+Inputs!$B$33/100)),MAX(0,Inputs!$B$35-((S1052-1)*Skills!D10))))/Inputs!$B$35),IF(Inputs!$B$4="pvp",MIN((Skills!Y10*(1+Inputs!$B$33/100)),15)/15,(Skills!Y10*(1+Inputs!$B$33/100))/Skills!D10)))/100)*(1+((C1057=TRUE)*F1057*IF(AND(Inputs!$B$4&lt;&gt;"pvp",Inputs!$B$35&gt;0),(((S1057-1)*(Skills!Y15*(1+Inputs!$B$33/100))+MIN((Skills!Y15*(1+Inputs!$B$33/100)),MAX(0,Inputs!$B$35-((S1057-1)*Skills!D15))))/Inputs!$B$35),IF(Inputs!$B$4="pvp",MIN((Skills!Y15*(1+Inputs!$B$33/100)),15)/15,(Skills!Y15*(1+Inputs!$B$33/100))/Skills!D15)))/100))*B1077*I1050)</f>
        <v/>
      </c>
      <c r="L1050">
        <f>K1050*(MIN(Inputs!$B$21+((C1066=TRUE)*(F1066-Calc!F24)),Inputs!$B$22+((C1071=TRUE)*(F1071-Calc!F29)))/100+(Inputs!$B$22+((C1071=TRUE)*(F1071-Calc!F29)))/100)/2</f>
        <v/>
      </c>
      <c r="M1050">
        <f>L1050*(1+(Inputs!$B$9+((C1068=TRUE)*(F1068-Calc!F26))+B1082)/100)</f>
        <v/>
      </c>
      <c r="N1050">
        <f>L1050*(1-MIN((Inputs!$B$8+((C1067=TRUE)*(F1067-Calc!F25))+B1075),100)/100)+M1050*(MIN((Inputs!$B$8+((C1067=TRUE)*(F1067-Calc!F25))+B1075),100)/100)</f>
        <v/>
      </c>
      <c r="O1050">
        <f>IF(C1050,H1050*N1050*IF(AND(Inputs!$B$4&lt;&gt;"pvp",Inputs!$B$35&gt;0),((Skills!G8*((R1050-1)*IF(Skills!H8&gt;0,Skills!I8/Skills!H8,1)+IF(Skills!H8&gt;0,MIN(Skills!I8,MAX(0,Inputs!$B$35-((R1050-1)*IF(Inputs!$B$4="pvp",15,MAX(0.1,Skills!D8-IF(Skills!E8=TRUE,Inputs!$B$31,0))))))/Skills!H8,1)))/Inputs!$B$35),G1050*Q1050)*IF(Inputs!$B$4="pvp",1,(1-Summary!$B$55)*(1)+Summary!$B$55*(MIN(Skills!W8,Inputs!$B$37))),0)</f>
        <v/>
      </c>
      <c r="P1050">
        <f>IF(B1087=0,0,O1050/B1087)</f>
        <v/>
      </c>
      <c r="Q1050">
        <f>IFERROR(1/IF(Inputs!$B$4="pvp",15,MAX(0.1,Skills!D8-IF(Skills!E8=TRUE,Inputs!$B$31,0))),0)</f>
        <v/>
      </c>
      <c r="R1050">
        <f>IF(AND(Inputs!$B$4&lt;&gt;"pvp",Inputs!$B$35&gt;0),(INT(Inputs!$B$35/IF(Inputs!$B$4="pvp",15,MAX(0.1,Skills!D8-IF(Skills!E8=TRUE,Inputs!$B$31,0))))+1),0)</f>
        <v/>
      </c>
      <c r="S1050">
        <f>IFERROR(O1050/N1050,0)</f>
        <v/>
      </c>
    </row>
    <row r="1051">
      <c r="A1051">
        <f>Skills!A9</f>
        <v/>
      </c>
      <c r="B1051">
        <f>Skills!B9</f>
        <v/>
      </c>
      <c r="C1051">
        <f>Inputs!$B$3&gt;=117</f>
        <v/>
      </c>
      <c r="D1051">
        <f>IF(Skills!C9=1,60+Inputs!$B$24+Inputs!$B$28,IF(Skills!C9=2,90+Inputs!$B$25+Inputs!$B$28,IF(Skills!C9=3,120+Inputs!$B$26+Inputs!$B$28,MAX(0,(Inputs!$B$3-100)*3)+Inputs!$B$27+Inputs!$B$28)))</f>
        <v/>
      </c>
      <c r="E1051">
        <f>INDEX(FactorTable!$B$2:$Y$301, MATCH(ROUND(MIN(300,MAX(1,D1051)),0), FactorTable!$A$2:$A$301,0), Skills!M9+1)</f>
        <v/>
      </c>
      <c r="F1051">
        <f>IF(Skills!N9=TRUE,(Skills!L9/10)*(E1051/1000),Skills!L9/10)+Skills!O9</f>
        <v/>
      </c>
      <c r="G1051">
        <f>Skills!G9*IF(Skills!H9&gt;0,Skills!I9/Skills!H9,1)</f>
        <v/>
      </c>
      <c r="H1051">
        <f>1-(1-Skills!J9/100)^Skills!K9</f>
        <v/>
      </c>
      <c r="I1051" t="inlineStr">
        <is>
          <t>1</t>
        </is>
      </c>
      <c r="J1051">
        <f>((Inputs!$B$5+1)*(1+Inputs!$B$6/100))*(F1051/100)</f>
        <v/>
      </c>
      <c r="K1051">
        <f>J1051*(1+((Inputs!$B$11*(1+Inputs!$B$12/100))*0.01+Inputs!$B$13*0.0025)/100)*(1+Inputs!$B$14/100)*(1+IF(Inputs!$B$4="pvp",0,(1-Summary!$B$55)*(Inputs!$B$19+0+Skills!P9+B1076)+Summary!$B$55*(Inputs!$B$20+Skills!Q9+B1076))/100)*(1+Inputs!$B$15/100)*(5000/(6000+Inputs!$B$7*(1-Inputs!$B$18/100)))*(1+(Inputs!$B$23+((C1072=TRUE)*(F1072-Calc!F30)))/100)*(1+(IF(Skills!A9="CRUEL_STAB",Inputs!$B$16+((C1069=TRUE)*(F1069-Calc!F27)),Inputs!$B$17+((C1070=TRUE)*(F1070-Calc!F28))))/100)*(((1+(((C1063=TRUE)*F1063*IF(AND(Inputs!$B$4&lt;&gt;"pvp",Inputs!$B$35&gt;0),(((S1063-1)*(Skills!Y21*(1+Inputs!$B$33/100))+MIN((Skills!Y21*(1+Inputs!$B$33/100)),MAX(0,Inputs!$B$35-((S1063-1)*Skills!D21))))/Inputs!$B$35),IF(Inputs!$B$4="pvp",MIN((Skills!Y21*(1+Inputs!$B$33/100)),15)/15,(Skills!Y21*(1+Inputs!$B$33/100))/Skills!D21)))+((C1065=TRUE)*(F1065-Calc!F23))+((C1059=TRUE)*(F1059-Calc!F17)))/100)*(1+((C1052=TRUE)*F1052*IF(AND(Inputs!$B$4&lt;&gt;"pvp",Inputs!$B$35&gt;0),(((S1052-1)*(Skills!Y10*(1+Inputs!$B$33/100))+MIN((Skills!Y10*(1+Inputs!$B$33/100)),MAX(0,Inputs!$B$35-((S1052-1)*Skills!D10))))/Inputs!$B$35),IF(Inputs!$B$4="pvp",MIN((Skills!Y10*(1+Inputs!$B$33/100)),15)/15,(Skills!Y10*(1+Inputs!$B$33/100))/Skills!D10)))/100)*(1+((C1057=TRUE)*F1057*IF(AND(Inputs!$B$4&lt;&gt;"pvp",Inputs!$B$35&gt;0),(((S1057-1)*(Skills!Y15*(1+Inputs!$B$33/100))+MIN((Skills!Y15*(1+Inputs!$B$33/100)),MAX(0,Inputs!$B$35-((S1057-1)*Skills!D15))))/Inputs!$B$35),IF(Inputs!$B$4="pvp",MIN((Skills!Y15*(1+Inputs!$B$33/100)),15)/15,(Skills!Y15*(1+Inputs!$B$33/100))/Skills!D15)))/100))*B1077*I1051)</f>
        <v/>
      </c>
      <c r="L1051">
        <f>K1051*(MIN(Inputs!$B$21+((C1066=TRUE)*(F1066-Calc!F24)),Inputs!$B$22+((C1071=TRUE)*(F1071-Calc!F29)))/100+(Inputs!$B$22+((C1071=TRUE)*(F1071-Calc!F29)))/100)/2</f>
        <v/>
      </c>
      <c r="M1051">
        <f>L1051*(1+(Inputs!$B$9+((C1068=TRUE)*(F1068-Calc!F26))+B1082)/100)</f>
        <v/>
      </c>
      <c r="N1051">
        <f>L1051*(1-MIN((Inputs!$B$8+((C1067=TRUE)*(F1067-Calc!F25))+B1075),100)/100)+M1051*(MIN((Inputs!$B$8+((C1067=TRUE)*(F1067-Calc!F25))+B1075),100)/100)</f>
        <v/>
      </c>
      <c r="O1051">
        <f>IF(C1051,0.2*SUMPRODUCT((Skills!Z2:Z30=TRUE)*(C1044:C1072=TRUE)*S1044:S1072)*N1051,0)</f>
        <v/>
      </c>
      <c r="P1051">
        <f>IF(B1087=0,0,O1051/B1087)</f>
        <v/>
      </c>
      <c r="Q1051" t="n">
        <v>0</v>
      </c>
      <c r="R1051" t="n">
        <v>0</v>
      </c>
      <c r="S1051" t="n">
        <v>0</v>
      </c>
    </row>
    <row r="1052">
      <c r="A1052">
        <f>Skills!A10</f>
        <v/>
      </c>
      <c r="B1052">
        <f>Skills!B10</f>
        <v/>
      </c>
      <c r="C1052">
        <f>Inputs!$B$3&gt;=74</f>
        <v/>
      </c>
      <c r="D1052">
        <f>IF(Skills!C10=1,60+Inputs!$B$24+Inputs!$B$28,IF(Skills!C10=2,90+Inputs!$B$25+Inputs!$B$28,IF(Skills!C10=3,120+Inputs!$B$26+Inputs!$B$28,MAX(0,(Inputs!$B$3-100)*3)+Inputs!$B$27+Inputs!$B$28)))</f>
        <v/>
      </c>
      <c r="E1052">
        <f>INDEX(FactorTable!$B$2:$Y$301, MATCH(ROUND(MIN(300,MAX(1,D1052)),0), FactorTable!$A$2:$A$301,0), Skills!M10+1)</f>
        <v/>
      </c>
      <c r="F1052">
        <f>IF(Skills!N10=TRUE,(Skills!L10/10)*(E1052/1000),Skills!L10/10)+Skills!O10</f>
        <v/>
      </c>
      <c r="G1052">
        <f>Skills!G10*IF(Skills!H10&gt;0,Skills!I10/Skills!H10,1)</f>
        <v/>
      </c>
      <c r="H1052">
        <f>1-(1-Skills!J10/100)^Skills!K10</f>
        <v/>
      </c>
      <c r="I1052" t="inlineStr">
        <is>
          <t>1</t>
        </is>
      </c>
      <c r="J1052" t="inlineStr"/>
      <c r="K1052" t="inlineStr"/>
      <c r="L1052" t="inlineStr"/>
      <c r="M1052" t="inlineStr"/>
      <c r="N1052" t="inlineStr"/>
      <c r="O1052" t="n">
        <v>0</v>
      </c>
      <c r="P1052">
        <f>IF(B1087=0,0,O1052/B1087)</f>
        <v/>
      </c>
      <c r="Q1052">
        <f>IFERROR(1/IF(Inputs!$B$4="pvp",15,MAX(0.1,Skills!D10-IF(Skills!E10=TRUE,Inputs!$B$31,0))),0)</f>
        <v/>
      </c>
      <c r="R1052">
        <f>IF(AND(Inputs!$B$4&lt;&gt;"pvp",Inputs!$B$35&gt;0),(INT(Inputs!$B$35/IF(Inputs!$B$4="pvp",15,MAX(0.1,Skills!D10-IF(Skills!E10=TRUE,Inputs!$B$31,0))))+1),0)</f>
        <v/>
      </c>
      <c r="S1052">
        <f>IFERROR(O1052/N1052,0)</f>
        <v/>
      </c>
    </row>
    <row r="1053">
      <c r="A1053">
        <f>Skills!A11</f>
        <v/>
      </c>
      <c r="B1053">
        <f>Skills!B11</f>
        <v/>
      </c>
      <c r="C1053">
        <f>Inputs!$B$3&gt;=103</f>
        <v/>
      </c>
      <c r="D1053">
        <f>IF(Skills!C11=1,60+Inputs!$B$24+Inputs!$B$28,IF(Skills!C11=2,90+Inputs!$B$25+Inputs!$B$28,IF(Skills!C11=3,120+Inputs!$B$26+Inputs!$B$28,MAX(0,(Inputs!$B$3-100)*3)+Inputs!$B$27+Inputs!$B$28)))</f>
        <v/>
      </c>
      <c r="E1053">
        <f>INDEX(FactorTable!$B$2:$Y$301, MATCH(ROUND(MIN(300,MAX(1,D1053)),0), FactorTable!$A$2:$A$301,0), Skills!M11+1)</f>
        <v/>
      </c>
      <c r="F1053">
        <f>(Skills!L11/10)*(E1053/1000)+IF(Inputs!$B$3&gt;=134,50,0)+0.5*(30000/10)*(INDEX(FactorTable!$B$2:$Y$301, MATCH(ROUND(MIN(300,MAX(1,D1053)),0), FactorTable!$A$2:$A$301,0), 13)/1000)*B1085</f>
        <v/>
      </c>
      <c r="G1053">
        <f>Skills!G11*IF(Skills!H11&gt;0,Skills!I11/Skills!H11,1)</f>
        <v/>
      </c>
      <c r="H1053">
        <f>1-(1-Skills!J11/100)^Skills!K11</f>
        <v/>
      </c>
      <c r="I1053" t="inlineStr">
        <is>
          <t>1</t>
        </is>
      </c>
      <c r="J1053">
        <f>((Inputs!$B$5+1)*(1+Inputs!$B$6/100))*(F1053/100)</f>
        <v/>
      </c>
      <c r="K1053">
        <f>J1053*(1+((Inputs!$B$11*(1+Inputs!$B$12/100))*0.01+Inputs!$B$13*0.0025)/100)*(1+Inputs!$B$14/100)*(1+IF(Inputs!$B$4="pvp",0,(1-Summary!$B$55)*(Inputs!$B$19+0+Skills!P11+B1076)+Summary!$B$55*(Inputs!$B$20+Skills!Q11+B1076))/100)*(1+Inputs!$B$15/100)*(5000/(6000+Inputs!$B$7*(1-Inputs!$B$18/100)))*(1+(Inputs!$B$23+((C1072=TRUE)*(F1072-Calc!F30)))/100)*(1+(IF(Skills!A11="CRUEL_STAB",Inputs!$B$16+((C1069=TRUE)*(F1069-Calc!F27)),Inputs!$B$17+((C1070=TRUE)*(F1070-Calc!F28))))/100)*(((1+(((C1063=TRUE)*F1063*IF(AND(Inputs!$B$4&lt;&gt;"pvp",Inputs!$B$35&gt;0),(((S1063-1)*(Skills!Y21*(1+Inputs!$B$33/100))+MIN((Skills!Y21*(1+Inputs!$B$33/100)),MAX(0,Inputs!$B$35-((S1063-1)*Skills!D21))))/Inputs!$B$35),IF(Inputs!$B$4="pvp",MIN((Skills!Y21*(1+Inputs!$B$33/100)),15)/15,(Skills!Y21*(1+Inputs!$B$33/100))/Skills!D21)))+((C1065=TRUE)*(F1065-Calc!F23))+((C1059=TRUE)*(F1059-Calc!F17)))/100)*(1+((C1052=TRUE)*F1052*IF(AND(Inputs!$B$4&lt;&gt;"pvp",Inputs!$B$35&gt;0),(((S1052-1)*(Skills!Y10*(1+Inputs!$B$33/100))+MIN((Skills!Y10*(1+Inputs!$B$33/100)),MAX(0,Inputs!$B$35-((S1052-1)*Skills!D10))))/Inputs!$B$35),IF(Inputs!$B$4="pvp",MIN((Skills!Y10*(1+Inputs!$B$33/100)),15)/15,(Skills!Y10*(1+Inputs!$B$33/100))/Skills!D10)))/100)*(1+((C1057=TRUE)*F1057*IF(AND(Inputs!$B$4&lt;&gt;"pvp",Inputs!$B$35&gt;0),(((S1057-1)*(Skills!Y15*(1+Inputs!$B$33/100))+MIN((Skills!Y15*(1+Inputs!$B$33/100)),MAX(0,Inputs!$B$35-((S1057-1)*Skills!D15))))/Inputs!$B$35),IF(Inputs!$B$4="pvp",MIN((Skills!Y15*(1+Inputs!$B$33/100)),15)/15,(Skills!Y15*(1+Inputs!$B$33/100))/Skills!D15)))/100))*B1077*I1053)</f>
        <v/>
      </c>
      <c r="L1053">
        <f>K1053*(MIN(Inputs!$B$21+((C1066=TRUE)*(F1066-Calc!F24)),Inputs!$B$22+((C1071=TRUE)*(F1071-Calc!F29)))/100+(Inputs!$B$22+((C1071=TRUE)*(F1071-Calc!F29)))/100)/2</f>
        <v/>
      </c>
      <c r="M1053">
        <f>L1053*(1+(Inputs!$B$9+((C1068=TRUE)*(F1068-Calc!F26))+B1082)/100)</f>
        <v/>
      </c>
      <c r="N1053">
        <f>L1053*(1-MIN((Inputs!$B$8+((C1067=TRUE)*(F1067-Calc!F25))+B1075),100)/100)+M1053*(MIN((Inputs!$B$8+((C1067=TRUE)*(F1067-Calc!F25))+B1075),100)/100)</f>
        <v/>
      </c>
      <c r="O1053">
        <f>IF(C1053,H1053*N1053*IF(AND(Inputs!$B$4&lt;&gt;"pvp",Inputs!$B$35&gt;0),((Skills!G11*((R1053-1)*IF(Skills!H11&gt;0,Skills!I11/Skills!H11,1)+IF(Skills!H11&gt;0,MIN(Skills!I11,MAX(0,Inputs!$B$35-((R1053-1)*IF(Inputs!$B$4="pvp",15,MAX(0.1,Skills!D11-IF(Skills!E11=TRUE,Inputs!$B$31,0))))))/Skills!H11,1)))/Inputs!$B$35),G1053*Q1053)*IF(Inputs!$B$4="pvp",1,(1-Summary!$B$55)*(1)+Summary!$B$55*(MIN(Skills!W11,Inputs!$B$37))),0)</f>
        <v/>
      </c>
      <c r="P1053">
        <f>IF(B1087=0,0,O1053/B1087)</f>
        <v/>
      </c>
      <c r="Q1053">
        <f>IFERROR(1/IF(Inputs!$B$4="pvp",15,MAX(0.1,Skills!D11-IF(Skills!E11=TRUE,Inputs!$B$31,0))),0)</f>
        <v/>
      </c>
      <c r="R1053">
        <f>IF(AND(Inputs!$B$4&lt;&gt;"pvp",Inputs!$B$35&gt;0),(INT(Inputs!$B$35/IF(Inputs!$B$4="pvp",15,MAX(0.1,Skills!D11-IF(Skills!E11=TRUE,Inputs!$B$31,0))))+1),0)</f>
        <v/>
      </c>
      <c r="S1053">
        <f>IFERROR(O1053/N1053,0)</f>
        <v/>
      </c>
    </row>
    <row r="1054">
      <c r="A1054">
        <f>Skills!A12</f>
        <v/>
      </c>
      <c r="B1054">
        <f>Skills!B12</f>
        <v/>
      </c>
      <c r="C1054">
        <f>Inputs!$B$3&gt;=105</f>
        <v/>
      </c>
      <c r="D1054">
        <f>IF(Skills!C12=1,60+Inputs!$B$24+Inputs!$B$28,IF(Skills!C12=2,90+Inputs!$B$25+Inputs!$B$28,IF(Skills!C12=3,120+Inputs!$B$26+Inputs!$B$28,MAX(0,(Inputs!$B$3-100)*3)+Inputs!$B$27+Inputs!$B$28)))</f>
        <v/>
      </c>
      <c r="E1054">
        <f>INDEX(FactorTable!$B$2:$Y$301, MATCH(ROUND(MIN(300,MAX(1,D1054)),0), FactorTable!$A$2:$A$301,0), Skills!M12+1)</f>
        <v/>
      </c>
      <c r="F1054">
        <f>IF(Skills!N12=TRUE,(Skills!L12/10)*(E1054/1000),Skills!L12/10)+Skills!O12</f>
        <v/>
      </c>
      <c r="G1054">
        <f>Skills!G12*IF(Skills!H12&gt;0,Skills!I12/Skills!H12,1)</f>
        <v/>
      </c>
      <c r="H1054">
        <f>1-(1-Skills!J12/100)^Skills!K12</f>
        <v/>
      </c>
      <c r="I1054" t="inlineStr">
        <is>
          <t>1</t>
        </is>
      </c>
      <c r="J1054">
        <f>((Inputs!$B$5+1)*(1+Inputs!$B$6/100))*(F1054/100)</f>
        <v/>
      </c>
      <c r="K1054">
        <f>J1054*(1+((Inputs!$B$11*(1+Inputs!$B$12/100))*0.01+Inputs!$B$13*0.0025)/100)*(1+Inputs!$B$14/100)*(1+IF(Inputs!$B$4="pvp",0,(1-Summary!$B$55)*(Inputs!$B$19+0+Skills!P12+B1076)+Summary!$B$55*(Inputs!$B$20+Skills!Q12+B1076))/100)*(1+Inputs!$B$15/100)*(5000/(6000+Inputs!$B$7*(1-Inputs!$B$18/100)))*(1+(Inputs!$B$23+((C1072=TRUE)*(F1072-Calc!F30)))/100)*(1+(IF(Skills!A12="CRUEL_STAB",Inputs!$B$16+((C1069=TRUE)*(F1069-Calc!F27)),Inputs!$B$17+((C1070=TRUE)*(F1070-Calc!F28))))/100)*(((1+(((C1063=TRUE)*F1063*IF(AND(Inputs!$B$4&lt;&gt;"pvp",Inputs!$B$35&gt;0),(((S1063-1)*(Skills!Y21*(1+Inputs!$B$33/100))+MIN((Skills!Y21*(1+Inputs!$B$33/100)),MAX(0,Inputs!$B$35-((S1063-1)*Skills!D21))))/Inputs!$B$35),IF(Inputs!$B$4="pvp",MIN((Skills!Y21*(1+Inputs!$B$33/100)),15)/15,(Skills!Y21*(1+Inputs!$B$33/100))/Skills!D21)))+((C1065=TRUE)*(F1065-Calc!F23))+((C1059=TRUE)*(F1059-Calc!F17)))/100)*(1+((C1052=TRUE)*F1052*IF(AND(Inputs!$B$4&lt;&gt;"pvp",Inputs!$B$35&gt;0),(((S1052-1)*(Skills!Y10*(1+Inputs!$B$33/100))+MIN((Skills!Y10*(1+Inputs!$B$33/100)),MAX(0,Inputs!$B$35-((S1052-1)*Skills!D10))))/Inputs!$B$35),IF(Inputs!$B$4="pvp",MIN((Skills!Y10*(1+Inputs!$B$33/100)),15)/15,(Skills!Y10*(1+Inputs!$B$33/100))/Skills!D10)))/100)*(1+((C1057=TRUE)*F1057*IF(AND(Inputs!$B$4&lt;&gt;"pvp",Inputs!$B$35&gt;0),(((S1057-1)*(Skills!Y15*(1+Inputs!$B$33/100))+MIN((Skills!Y15*(1+Inputs!$B$33/100)),MAX(0,Inputs!$B$35-((S1057-1)*Skills!D15))))/Inputs!$B$35),IF(Inputs!$B$4="pvp",MIN((Skills!Y15*(1+Inputs!$B$33/100)),15)/15,(Skills!Y15*(1+Inputs!$B$33/100))/Skills!D15)))/100))*B1077*I1054)</f>
        <v/>
      </c>
      <c r="L1054">
        <f>K1054*(MIN(Inputs!$B$21+((C1066=TRUE)*(F1066-Calc!F24)),Inputs!$B$22+((C1071=TRUE)*(F1071-Calc!F29)))/100+(Inputs!$B$22+((C1071=TRUE)*(F1071-Calc!F29)))/100)/2</f>
        <v/>
      </c>
      <c r="M1054">
        <f>L1054*(1+(Inputs!$B$9+((C1068=TRUE)*(F1068-Calc!F26))+B1082)/100)</f>
        <v/>
      </c>
      <c r="N1054">
        <f>L1054*(1-MIN((Inputs!$B$8+((C1067=TRUE)*(F1067-Calc!F25))+B1075),100)/100)+M1054*(MIN((Inputs!$B$8+((C1067=TRUE)*(F1067-Calc!F25))+B1075),100)/100)</f>
        <v/>
      </c>
      <c r="O1054">
        <f>IF(C1054,H1054*N1054*IF(AND(Inputs!$B$4&lt;&gt;"pvp",Inputs!$B$35&gt;0),((Skills!G12*((R1054-1)*IF(Skills!H12&gt;0,Skills!I12/Skills!H12,1)+IF(Skills!H12&gt;0,MIN(Skills!I12,MAX(0,Inputs!$B$35-((R1054-1)*IF(Inputs!$B$4="pvp",15,MAX(0.1,Skills!D12-IF(Skills!E12=TRUE,Inputs!$B$31,0))))))/Skills!H12,1)))/Inputs!$B$35),G1054*Q1054)*IF(Inputs!$B$4="pvp",1,(1-Summary!$B$55)*(1)+Summary!$B$55*(MIN(Skills!W12,Inputs!$B$37))),0)</f>
        <v/>
      </c>
      <c r="P1054">
        <f>IF(B1087=0,0,O1054/B1087)</f>
        <v/>
      </c>
      <c r="Q1054">
        <f>IFERROR(1/IF(Inputs!$B$4="pvp",15,MAX(0.1,Skills!D12-IF(Skills!E12=TRUE,Inputs!$B$31,0))),0)</f>
        <v/>
      </c>
      <c r="R1054">
        <f>IF(AND(Inputs!$B$4&lt;&gt;"pvp",Inputs!$B$35&gt;0),(INT(Inputs!$B$35/IF(Inputs!$B$4="pvp",15,MAX(0.1,Skills!D12-IF(Skills!E12=TRUE,Inputs!$B$31,0))))+1),0)</f>
        <v/>
      </c>
      <c r="S1054">
        <f>IFERROR(O1054/N1054,0)</f>
        <v/>
      </c>
    </row>
    <row r="1055">
      <c r="A1055">
        <f>Skills!A13</f>
        <v/>
      </c>
      <c r="B1055">
        <f>Skills!B13</f>
        <v/>
      </c>
      <c r="C1055">
        <f>Inputs!$B$3&gt;=105</f>
        <v/>
      </c>
      <c r="D1055">
        <f>IF(Skills!C13=1,60+Inputs!$B$24+Inputs!$B$28,IF(Skills!C13=2,90+Inputs!$B$25+Inputs!$B$28,IF(Skills!C13=3,120+Inputs!$B$26+Inputs!$B$28,MAX(0,(Inputs!$B$3-100)*3)+Inputs!$B$27+Inputs!$B$28)))</f>
        <v/>
      </c>
      <c r="E1055">
        <f>INDEX(FactorTable!$B$2:$Y$301, MATCH(ROUND(MIN(300,MAX(1,D1055)),0), FactorTable!$A$2:$A$301,0), Skills!M13+1)</f>
        <v/>
      </c>
      <c r="F1055">
        <f>IF(Skills!N13=TRUE,(Skills!L13/10)*(E1055/1000),Skills!L13/10)+Skills!O13</f>
        <v/>
      </c>
      <c r="G1055">
        <f>Skills!G13*IF(Skills!H13&gt;0,Skills!I13/Skills!H13,1)</f>
        <v/>
      </c>
      <c r="H1055">
        <f>1-(1-Skills!J13/100)^Skills!K13</f>
        <v/>
      </c>
      <c r="I1055" t="inlineStr">
        <is>
          <t>1</t>
        </is>
      </c>
      <c r="J1055">
        <f>((Inputs!$B$5+1)*(1+Inputs!$B$6/100))*(F1055/100)</f>
        <v/>
      </c>
      <c r="K1055">
        <f>J1055*(1+((Inputs!$B$11*(1+Inputs!$B$12/100))*0.01+Inputs!$B$13*0.0025)/100)*(1+Inputs!$B$14/100)*(1+IF(Inputs!$B$4="pvp",0,(1-Summary!$B$55)*(Inputs!$B$19+0+Skills!P13+B1076)+Summary!$B$55*(Inputs!$B$20+Skills!Q13+B1076))/100)*(1+Inputs!$B$15/100)*(5000/(6000+Inputs!$B$7*(1-Inputs!$B$18/100)))*(1+(Inputs!$B$23+((C1072=TRUE)*(F1072-Calc!F30)))/100)*(1+(IF(Skills!A13="CRUEL_STAB",Inputs!$B$16+((C1069=TRUE)*(F1069-Calc!F27)),Inputs!$B$17+((C1070=TRUE)*(F1070-Calc!F28))))/100)*(((1+(((C1063=TRUE)*F1063*IF(AND(Inputs!$B$4&lt;&gt;"pvp",Inputs!$B$35&gt;0),(((S1063-1)*(Skills!Y21*(1+Inputs!$B$33/100))+MIN((Skills!Y21*(1+Inputs!$B$33/100)),MAX(0,Inputs!$B$35-((S1063-1)*Skills!D21))))/Inputs!$B$35),IF(Inputs!$B$4="pvp",MIN((Skills!Y21*(1+Inputs!$B$33/100)),15)/15,(Skills!Y21*(1+Inputs!$B$33/100))/Skills!D21)))+((C1065=TRUE)*(F1065-Calc!F23))+((C1059=TRUE)*(F1059-Calc!F17)))/100)*(1+((C1052=TRUE)*F1052*IF(AND(Inputs!$B$4&lt;&gt;"pvp",Inputs!$B$35&gt;0),(((S1052-1)*(Skills!Y10*(1+Inputs!$B$33/100))+MIN((Skills!Y10*(1+Inputs!$B$33/100)),MAX(0,Inputs!$B$35-((S1052-1)*Skills!D10))))/Inputs!$B$35),IF(Inputs!$B$4="pvp",MIN((Skills!Y10*(1+Inputs!$B$33/100)),15)/15,(Skills!Y10*(1+Inputs!$B$33/100))/Skills!D10)))/100)*(1+((C1057=TRUE)*F1057*IF(AND(Inputs!$B$4&lt;&gt;"pvp",Inputs!$B$35&gt;0),(((S1057-1)*(Skills!Y15*(1+Inputs!$B$33/100))+MIN((Skills!Y15*(1+Inputs!$B$33/100)),MAX(0,Inputs!$B$35-((S1057-1)*Skills!D15))))/Inputs!$B$35),IF(Inputs!$B$4="pvp",MIN((Skills!Y15*(1+Inputs!$B$33/100)),15)/15,(Skills!Y15*(1+Inputs!$B$33/100))/Skills!D15)))/100))*B1077*I1055)</f>
        <v/>
      </c>
      <c r="L1055">
        <f>K1055*(MIN(Inputs!$B$21+((C1066=TRUE)*(F1066-Calc!F24)),Inputs!$B$22+((C1071=TRUE)*(F1071-Calc!F29)))/100+(Inputs!$B$22+((C1071=TRUE)*(F1071-Calc!F29)))/100)/2</f>
        <v/>
      </c>
      <c r="M1055">
        <f>L1055*(1+(Inputs!$B$9+((C1068=TRUE)*(F1068-Calc!F26))+B1082)/100)</f>
        <v/>
      </c>
      <c r="N1055">
        <f>L1055*(1-MIN((Inputs!$B$8+((C1067=TRUE)*(F1067-Calc!F25))+B1075),100)/100)+M1055*(MIN((Inputs!$B$8+((C1067=TRUE)*(F1067-Calc!F25))+B1075),100)/100)</f>
        <v/>
      </c>
      <c r="O1055">
        <f>IF(C1055,H1055*N1055*IF(AND(Inputs!$B$4&lt;&gt;"pvp",Inputs!$B$35&gt;0),((Skills!G13*((R1055-1)*IF(Skills!H13&gt;0,Skills!I13/Skills!H13,1)+IF(Skills!H13&gt;0,MIN(Skills!I13,MAX(0,Inputs!$B$35-((R1055-1)*IF(Inputs!$B$4="pvp",15,MAX(0.1,Skills!D13-IF(Skills!E13=TRUE,Inputs!$B$31,0))))))/Skills!H13,1)))/Inputs!$B$35),G1055*Q1055)*IF(Inputs!$B$4="pvp",1,(1-Summary!$B$55)*(1)+Summary!$B$55*(MIN(Skills!W13,Inputs!$B$37))),0)</f>
        <v/>
      </c>
      <c r="P1055">
        <f>IF(B1087=0,0,O1055/B1087)</f>
        <v/>
      </c>
      <c r="Q1055">
        <f>IFERROR(1/IF(Inputs!$B$4="pvp",15,MAX(0.1,Skills!D13-IF(Skills!E13=TRUE,Inputs!$B$31,0))),0)</f>
        <v/>
      </c>
      <c r="R1055">
        <f>IF(AND(Inputs!$B$4&lt;&gt;"pvp",Inputs!$B$35&gt;0),(INT(Inputs!$B$35/IF(Inputs!$B$4="pvp",15,MAX(0.1,Skills!D13-IF(Skills!E13=TRUE,Inputs!$B$31,0))))+1),0)</f>
        <v/>
      </c>
      <c r="S1055">
        <f>IFERROR(O1055/N1055,0)</f>
        <v/>
      </c>
    </row>
    <row r="1056">
      <c r="A1056">
        <f>Skills!A14</f>
        <v/>
      </c>
      <c r="B1056">
        <f>Skills!B14</f>
        <v/>
      </c>
      <c r="C1056">
        <f>Inputs!$B$3&gt;=107</f>
        <v/>
      </c>
      <c r="D1056">
        <f>IF(Skills!C14=1,60+Inputs!$B$24+Inputs!$B$28,IF(Skills!C14=2,90+Inputs!$B$25+Inputs!$B$28,IF(Skills!C14=3,120+Inputs!$B$26+Inputs!$B$28,MAX(0,(Inputs!$B$3-100)*3)+Inputs!$B$27+Inputs!$B$28)))</f>
        <v/>
      </c>
      <c r="E1056">
        <f>INDEX(FactorTable!$B$2:$Y$301, MATCH(ROUND(MIN(300,MAX(1,D1056)),0), FactorTable!$A$2:$A$301,0), Skills!M14+1)</f>
        <v/>
      </c>
      <c r="F1056">
        <f>IF(Skills!N14=TRUE,(Skills!L14/10)*(E1056/1000),Skills!L14/10)+Skills!O14</f>
        <v/>
      </c>
      <c r="G1056">
        <f>Skills!G14*IF(Skills!H14&gt;0,Skills!I14/Skills!H14,1)</f>
        <v/>
      </c>
      <c r="H1056">
        <f>1-(1-Skills!J14/100)^Skills!K14</f>
        <v/>
      </c>
      <c r="I1056" t="inlineStr">
        <is>
          <t>1</t>
        </is>
      </c>
      <c r="J1056">
        <f>((Inputs!$B$5+1)*(1+Inputs!$B$6/100))*(F1056/100)</f>
        <v/>
      </c>
      <c r="K1056">
        <f>J1056*(1+((Inputs!$B$11*(1+Inputs!$B$12/100))*0.01+Inputs!$B$13*0.0025)/100)*(1+Inputs!$B$14/100)*(1+IF(Inputs!$B$4="pvp",0,(1-Summary!$B$55)*(Inputs!$B$19+0+Skills!P14+B1076)+Summary!$B$55*(Inputs!$B$20+Skills!Q14+B1076))/100)*(1+Inputs!$B$15/100)*(5000/(6000+Inputs!$B$7*(1-Inputs!$B$18/100)))*(1+(Inputs!$B$23+((C1072=TRUE)*(F1072-Calc!F30)))/100)*(1+(IF(Skills!A14="CRUEL_STAB",Inputs!$B$16+((C1069=TRUE)*(F1069-Calc!F27)),Inputs!$B$17+((C1070=TRUE)*(F1070-Calc!F28))))/100)*(((1+(((C1063=TRUE)*F1063*IF(AND(Inputs!$B$4&lt;&gt;"pvp",Inputs!$B$35&gt;0),(((S1063-1)*(Skills!Y21*(1+Inputs!$B$33/100))+MIN((Skills!Y21*(1+Inputs!$B$33/100)),MAX(0,Inputs!$B$35-((S1063-1)*Skills!D21))))/Inputs!$B$35),IF(Inputs!$B$4="pvp",MIN((Skills!Y21*(1+Inputs!$B$33/100)),15)/15,(Skills!Y21*(1+Inputs!$B$33/100))/Skills!D21)))+((C1065=TRUE)*(F1065-Calc!F23))+((C1059=TRUE)*(F1059-Calc!F17)))/100)*(1+((C1052=TRUE)*F1052*IF(AND(Inputs!$B$4&lt;&gt;"pvp",Inputs!$B$35&gt;0),(((S1052-1)*(Skills!Y10*(1+Inputs!$B$33/100))+MIN((Skills!Y10*(1+Inputs!$B$33/100)),MAX(0,Inputs!$B$35-((S1052-1)*Skills!D10))))/Inputs!$B$35),IF(Inputs!$B$4="pvp",MIN((Skills!Y10*(1+Inputs!$B$33/100)),15)/15,(Skills!Y10*(1+Inputs!$B$33/100))/Skills!D10)))/100)*(1+((C1057=TRUE)*F1057*IF(AND(Inputs!$B$4&lt;&gt;"pvp",Inputs!$B$35&gt;0),(((S1057-1)*(Skills!Y15*(1+Inputs!$B$33/100))+MIN((Skills!Y15*(1+Inputs!$B$33/100)),MAX(0,Inputs!$B$35-((S1057-1)*Skills!D15))))/Inputs!$B$35),IF(Inputs!$B$4="pvp",MIN((Skills!Y15*(1+Inputs!$B$33/100)),15)/15,(Skills!Y15*(1+Inputs!$B$33/100))/Skills!D15)))/100))*B1077*I1056)</f>
        <v/>
      </c>
      <c r="L1056">
        <f>K1056*(MIN(Inputs!$B$21+((C1066=TRUE)*(F1066-Calc!F24)),Inputs!$B$22+((C1071=TRUE)*(F1071-Calc!F29)))/100+(Inputs!$B$22+((C1071=TRUE)*(F1071-Calc!F29)))/100)/2</f>
        <v/>
      </c>
      <c r="M1056">
        <f>L1056*(1+(Inputs!$B$9+((C1068=TRUE)*(F1068-Calc!F26))+B1082)/100)</f>
        <v/>
      </c>
      <c r="N1056">
        <f>L1056*(1-MIN((Inputs!$B$8+((C1067=TRUE)*(F1067-Calc!F25))+B1075),100)/100)+M1056*(MIN((Inputs!$B$8+((C1067=TRUE)*(F1067-Calc!F25))+B1075),100)/100)</f>
        <v/>
      </c>
      <c r="O1056">
        <f>IF(C1056,H1056*N1056*IF(AND(Inputs!$B$4&lt;&gt;"pvp",Inputs!$B$35&gt;0),((Skills!G14*((R1056-1)*IF(Skills!H14&gt;0,Skills!I14/Skills!H14,1)+IF(Skills!H14&gt;0,MIN(Skills!I14,MAX(0,Inputs!$B$35-((R1056-1)*IF(Inputs!$B$4="pvp",15,MAX(0.1,Skills!D14-IF(Skills!E14=TRUE,Inputs!$B$31,0))))))/Skills!H14,1)))/Inputs!$B$35),G1056*Q1056)*IF(Inputs!$B$4="pvp",1,(1-Summary!$B$55)*(1)+Summary!$B$55*(MIN(MIN(5,0.25*B1079*Skills!D4)*Skills!V14,Inputs!$B$37))),0)</f>
        <v/>
      </c>
      <c r="P1056">
        <f>IF(B1087=0,0,O1056/B1087)</f>
        <v/>
      </c>
      <c r="Q1056">
        <f>IFERROR(1/IF(Inputs!$B$4="pvp",15,MAX(0.1,Skills!D14-IF(Skills!E14=TRUE,Inputs!$B$31,0))),0)</f>
        <v/>
      </c>
      <c r="R1056">
        <f>IF(AND(Inputs!$B$4&lt;&gt;"pvp",Inputs!$B$35&gt;0),(INT(Inputs!$B$35/IF(Inputs!$B$4="pvp",15,MAX(0.1,Skills!D14-IF(Skills!E14=TRUE,Inputs!$B$31,0))))+1),0)</f>
        <v/>
      </c>
      <c r="S1056">
        <f>IFERROR(O1056/N1056,0)</f>
        <v/>
      </c>
    </row>
    <row r="1057">
      <c r="A1057">
        <f>Skills!A15</f>
        <v/>
      </c>
      <c r="B1057">
        <f>Skills!B15</f>
        <v/>
      </c>
      <c r="C1057">
        <f>Inputs!$B$3&gt;=110</f>
        <v/>
      </c>
      <c r="D1057">
        <f>IF(Skills!C15=1,60+Inputs!$B$24+Inputs!$B$28,IF(Skills!C15=2,90+Inputs!$B$25+Inputs!$B$28,IF(Skills!C15=3,120+Inputs!$B$26+Inputs!$B$28,MAX(0,(Inputs!$B$3-100)*3)+Inputs!$B$27+Inputs!$B$28)))</f>
        <v/>
      </c>
      <c r="E1057">
        <f>INDEX(FactorTable!$B$2:$Y$301, MATCH(ROUND(MIN(300,MAX(1,D1057)),0), FactorTable!$A$2:$A$301,0), Skills!M15+1)</f>
        <v/>
      </c>
      <c r="F1057">
        <f>IF(Skills!N15=TRUE,(Skills!L15/10)*(E1057/1000),Skills!L15/10)+Skills!O15</f>
        <v/>
      </c>
      <c r="G1057">
        <f>Skills!G15*IF(Skills!H15&gt;0,Skills!I15/Skills!H15,1)</f>
        <v/>
      </c>
      <c r="H1057">
        <f>1-(1-Skills!J15/100)^Skills!K15</f>
        <v/>
      </c>
      <c r="I1057" t="inlineStr">
        <is>
          <t>1</t>
        </is>
      </c>
      <c r="J1057" t="inlineStr"/>
      <c r="K1057" t="inlineStr"/>
      <c r="L1057" t="inlineStr"/>
      <c r="M1057" t="inlineStr"/>
      <c r="N1057" t="inlineStr"/>
      <c r="O1057" t="n">
        <v>0</v>
      </c>
      <c r="P1057">
        <f>IF(B1087=0,0,O1057/B1087)</f>
        <v/>
      </c>
      <c r="Q1057">
        <f>IFERROR(1/IF(Inputs!$B$4="pvp",15,MAX(0.1,Skills!D15-IF(Skills!E15=TRUE,Inputs!$B$31,0))),0)</f>
        <v/>
      </c>
      <c r="R1057">
        <f>IF(AND(Inputs!$B$4&lt;&gt;"pvp",Inputs!$B$35&gt;0),(INT(Inputs!$B$35/IF(Inputs!$B$4="pvp",15,MAX(0.1,Skills!D15-IF(Skills!E15=TRUE,Inputs!$B$31,0))))+1),0)</f>
        <v/>
      </c>
      <c r="S1057">
        <f>IFERROR(O1057/N1057,0)</f>
        <v/>
      </c>
    </row>
    <row r="1058">
      <c r="A1058">
        <f>Skills!A16</f>
        <v/>
      </c>
      <c r="B1058">
        <f>Skills!B16</f>
        <v/>
      </c>
      <c r="C1058">
        <f>Inputs!$B$3&gt;=115</f>
        <v/>
      </c>
      <c r="D1058">
        <f>IF(Skills!C16=1,60+Inputs!$B$24+Inputs!$B$28,IF(Skills!C16=2,90+Inputs!$B$25+Inputs!$B$28,IF(Skills!C16=3,120+Inputs!$B$26+Inputs!$B$28,MAX(0,(Inputs!$B$3-100)*3)+Inputs!$B$27+Inputs!$B$28)))</f>
        <v/>
      </c>
      <c r="E1058">
        <f>INDEX(FactorTable!$B$2:$Y$301, MATCH(ROUND(MIN(300,MAX(1,D1058)),0), FactorTable!$A$2:$A$301,0), Skills!M16+1)</f>
        <v/>
      </c>
      <c r="F1058">
        <f>IF(Skills!N16=TRUE,(Skills!L16/10)*(E1058/1000),Skills!L16/10)+Skills!O16</f>
        <v/>
      </c>
      <c r="G1058">
        <f>Skills!G16*IF(Skills!H16&gt;0,Skills!I16/Skills!H16,1)</f>
        <v/>
      </c>
      <c r="H1058">
        <f>1-(1-Skills!J16/100)^Skills!K16</f>
        <v/>
      </c>
      <c r="I1058" t="inlineStr">
        <is>
          <t>1</t>
        </is>
      </c>
      <c r="J1058">
        <f>((Inputs!$B$5+1)*(1+Inputs!$B$6/100))*(F1058/100)</f>
        <v/>
      </c>
      <c r="K1058">
        <f>J1058*(1+((Inputs!$B$11*(1+Inputs!$B$12/100))*0.01+Inputs!$B$13*0.0025)/100)*(1+Inputs!$B$14/100)*(1+IF(Inputs!$B$4="pvp",0,(1-Summary!$B$55)*(Inputs!$B$19+0+Skills!P16+B1076)+Summary!$B$55*(Inputs!$B$20+Skills!Q16+B1076))/100)*(1+Inputs!$B$15/100)*(5000/(6000+Inputs!$B$7*(1-Inputs!$B$18/100)))*(1+(Inputs!$B$23+((C1072=TRUE)*(F1072-Calc!F30)))/100)*(1+(IF(Skills!A16="CRUEL_STAB",Inputs!$B$16+((C1069=TRUE)*(F1069-Calc!F27)),Inputs!$B$17+((C1070=TRUE)*(F1070-Calc!F28))))/100)*(((1+(((C1063=TRUE)*F1063*IF(AND(Inputs!$B$4&lt;&gt;"pvp",Inputs!$B$35&gt;0),(((S1063-1)*(Skills!Y21*(1+Inputs!$B$33/100))+MIN((Skills!Y21*(1+Inputs!$B$33/100)),MAX(0,Inputs!$B$35-((S1063-1)*Skills!D21))))/Inputs!$B$35),IF(Inputs!$B$4="pvp",MIN((Skills!Y21*(1+Inputs!$B$33/100)),15)/15,(Skills!Y21*(1+Inputs!$B$33/100))/Skills!D21)))+((C1065=TRUE)*(F1065-Calc!F23))+((C1059=TRUE)*(F1059-Calc!F17)))/100)*(1+((C1052=TRUE)*F1052*IF(AND(Inputs!$B$4&lt;&gt;"pvp",Inputs!$B$35&gt;0),(((S1052-1)*(Skills!Y10*(1+Inputs!$B$33/100))+MIN((Skills!Y10*(1+Inputs!$B$33/100)),MAX(0,Inputs!$B$35-((S1052-1)*Skills!D10))))/Inputs!$B$35),IF(Inputs!$B$4="pvp",MIN((Skills!Y10*(1+Inputs!$B$33/100)),15)/15,(Skills!Y10*(1+Inputs!$B$33/100))/Skills!D10)))/100)*(1+((C1057=TRUE)*F1057*IF(AND(Inputs!$B$4&lt;&gt;"pvp",Inputs!$B$35&gt;0),(((S1057-1)*(Skills!Y15*(1+Inputs!$B$33/100))+MIN((Skills!Y15*(1+Inputs!$B$33/100)),MAX(0,Inputs!$B$35-((S1057-1)*Skills!D15))))/Inputs!$B$35),IF(Inputs!$B$4="pvp",MIN((Skills!Y15*(1+Inputs!$B$33/100)),15)/15,(Skills!Y15*(1+Inputs!$B$33/100))/Skills!D15)))/100))*B1077*I1058)</f>
        <v/>
      </c>
      <c r="L1058">
        <f>K1058*(MIN(Inputs!$B$21+((C1066=TRUE)*(F1066-Calc!F24)),Inputs!$B$22+((C1071=TRUE)*(F1071-Calc!F29)))/100+(Inputs!$B$22+((C1071=TRUE)*(F1071-Calc!F29)))/100)/2</f>
        <v/>
      </c>
      <c r="M1058">
        <f>L1058*(1+(Inputs!$B$9+((C1068=TRUE)*(F1068-Calc!F26))+B1082)/100)</f>
        <v/>
      </c>
      <c r="N1058">
        <f>L1058*(1-MIN((Inputs!$B$8+((C1067=TRUE)*(F1067-Calc!F25))+B1075),100)/100)+M1058*(MIN((Inputs!$B$8+((C1067=TRUE)*(F1067-Calc!F25))+B1075),100)/100)</f>
        <v/>
      </c>
      <c r="O1058">
        <f>IF(C1058,Inputs!$B$38*0.2*N1058,0)</f>
        <v/>
      </c>
      <c r="P1058">
        <f>IF(B1087=0,0,O1058/B1087)</f>
        <v/>
      </c>
      <c r="Q1058" t="n">
        <v>0</v>
      </c>
      <c r="R1058" t="n">
        <v>0</v>
      </c>
      <c r="S1058">
        <f>IFERROR(O1058/N1058,0)</f>
        <v/>
      </c>
    </row>
    <row r="1059">
      <c r="A1059">
        <f>Skills!A17</f>
        <v/>
      </c>
      <c r="B1059">
        <f>Skills!B17</f>
        <v/>
      </c>
      <c r="C1059">
        <f>Inputs!$B$3&gt;=115</f>
        <v/>
      </c>
      <c r="D1059">
        <f>IF(Skills!C17=1,60+Inputs!$B$24+Inputs!$B$28,IF(Skills!C17=2,90+Inputs!$B$25+Inputs!$B$28,IF(Skills!C17=3,120+Inputs!$B$26+Inputs!$B$28,MAX(0,(Inputs!$B$3-100)*3)+Inputs!$B$27+Inputs!$B$28)))</f>
        <v/>
      </c>
      <c r="E1059">
        <f>INDEX(FactorTable!$B$2:$Y$301, MATCH(ROUND(MIN(300,MAX(1,D1059)),0), FactorTable!$A$2:$A$301,0), Skills!M17+1)</f>
        <v/>
      </c>
      <c r="F1059">
        <f>IF(Skills!N17=TRUE,(Skills!L17/10)*(E1059/1000),Skills!L17/10)+Skills!O17</f>
        <v/>
      </c>
      <c r="G1059">
        <f>Skills!G17*IF(Skills!H17&gt;0,Skills!I17/Skills!H17,1)</f>
        <v/>
      </c>
      <c r="H1059">
        <f>1-(1-Skills!J17/100)^Skills!K17</f>
        <v/>
      </c>
      <c r="I1059" t="inlineStr">
        <is>
          <t>1</t>
        </is>
      </c>
      <c r="J1059" t="inlineStr"/>
      <c r="K1059" t="inlineStr"/>
      <c r="L1059" t="inlineStr"/>
      <c r="M1059" t="inlineStr"/>
      <c r="N1059" t="inlineStr"/>
      <c r="O1059" t="n">
        <v>0</v>
      </c>
      <c r="P1059">
        <f>IF(B1087=0,0,O1059/B1087)</f>
        <v/>
      </c>
      <c r="Q1059" t="n">
        <v>0</v>
      </c>
      <c r="R1059" t="n">
        <v>0</v>
      </c>
      <c r="S1059">
        <f>IFERROR(O1059/N1059,0)</f>
        <v/>
      </c>
    </row>
    <row r="1060">
      <c r="A1060">
        <f>Skills!A18</f>
        <v/>
      </c>
      <c r="B1060">
        <f>Skills!B18</f>
        <v/>
      </c>
      <c r="C1060">
        <f>Inputs!$B$3&gt;=100</f>
        <v/>
      </c>
      <c r="D1060">
        <f>IF(Skills!C18=1,60+Inputs!$B$24+Inputs!$B$28,IF(Skills!C18=2,90+Inputs!$B$25+Inputs!$B$28,IF(Skills!C18=3,120+Inputs!$B$26+Inputs!$B$28,MAX(0,(Inputs!$B$3-100)*3)+Inputs!$B$27+Inputs!$B$28)))</f>
        <v/>
      </c>
      <c r="E1060">
        <f>INDEX(FactorTable!$B$2:$Y$301, MATCH(ROUND(MIN(300,MAX(1,D1060)),0), FactorTable!$A$2:$A$301,0), Skills!M18+1)</f>
        <v/>
      </c>
      <c r="F1060">
        <f>IF(Skills!N18=TRUE,(Skills!L18/10)*(E1060/1000),Skills!L18/10)+Skills!O18</f>
        <v/>
      </c>
      <c r="G1060">
        <f>Skills!G18*IF(Skills!H18&gt;0,Skills!I18/Skills!H18,1)</f>
        <v/>
      </c>
      <c r="H1060">
        <f>1-(1-Skills!J18/100)^Skills!K18</f>
        <v/>
      </c>
      <c r="I1060" t="inlineStr">
        <is>
          <t>1</t>
        </is>
      </c>
      <c r="J1060" t="inlineStr"/>
      <c r="K1060" t="inlineStr"/>
      <c r="L1060" t="inlineStr"/>
      <c r="M1060" t="inlineStr"/>
      <c r="N1060" t="inlineStr"/>
      <c r="O1060" t="n">
        <v>0</v>
      </c>
      <c r="P1060">
        <f>IF(B1087=0,0,O1060/B1087)</f>
        <v/>
      </c>
      <c r="Q1060" t="n">
        <v>0</v>
      </c>
      <c r="R1060" t="n">
        <v>0</v>
      </c>
      <c r="S1060">
        <f>IFERROR(O1060/N1060,0)</f>
        <v/>
      </c>
    </row>
    <row r="1061">
      <c r="A1061">
        <f>Skills!A19</f>
        <v/>
      </c>
      <c r="B1061">
        <f>Skills!B19</f>
        <v/>
      </c>
      <c r="C1061">
        <f>TRUE</f>
        <v/>
      </c>
      <c r="D1061">
        <f>IF(Skills!C19=1,60+Inputs!$B$24+Inputs!$B$28,IF(Skills!C19=2,90+Inputs!$B$25+Inputs!$B$28,IF(Skills!C19=3,120+Inputs!$B$26+Inputs!$B$28,MAX(0,(Inputs!$B$3-100)*3)+Inputs!$B$27+Inputs!$B$28)))</f>
        <v/>
      </c>
      <c r="E1061">
        <f>INDEX(FactorTable!$B$2:$Y$301, MATCH(ROUND(MIN(300,MAX(1,D1061)),0), FactorTable!$A$2:$A$301,0), Skills!M19+1)</f>
        <v/>
      </c>
      <c r="F1061">
        <f>IF(Skills!N19=TRUE,(Skills!L19/10)*(E1061/1000),Skills!L19/10)+Skills!O19</f>
        <v/>
      </c>
      <c r="G1061">
        <f>Skills!G19*IF(Skills!H19&gt;0,Skills!I19/Skills!H19,1)</f>
        <v/>
      </c>
      <c r="H1061">
        <f>1-(1-Skills!J19/100)^Skills!K19</f>
        <v/>
      </c>
      <c r="I1061" t="inlineStr">
        <is>
          <t>1</t>
        </is>
      </c>
      <c r="J1061" t="inlineStr"/>
      <c r="K1061" t="inlineStr"/>
      <c r="L1061" t="inlineStr"/>
      <c r="M1061" t="inlineStr"/>
      <c r="N1061" t="inlineStr"/>
      <c r="O1061" t="n">
        <v>0</v>
      </c>
      <c r="P1061">
        <f>IF(B1087=0,0,O1061/B1087)</f>
        <v/>
      </c>
      <c r="Q1061">
        <f>IFERROR(1/IF(Inputs!$B$4="pvp",15,MAX(0.1,Skills!D19-IF(Skills!E19=TRUE,Inputs!$B$31,0))),0)</f>
        <v/>
      </c>
      <c r="R1061">
        <f>IF(AND(Inputs!$B$4&lt;&gt;"pvp",Inputs!$B$35&gt;0),(INT(Inputs!$B$35/IF(Inputs!$B$4="pvp",15,MAX(0.1,Skills!D19-IF(Skills!E19=TRUE,Inputs!$B$31,0))))+1),0)</f>
        <v/>
      </c>
      <c r="S1061">
        <f>IFERROR(O1061/N1061,0)</f>
        <v/>
      </c>
    </row>
    <row r="1062">
      <c r="A1062">
        <f>Skills!A20</f>
        <v/>
      </c>
      <c r="B1062">
        <f>Skills!B20</f>
        <v/>
      </c>
      <c r="C1062">
        <f>Inputs!$B$3&gt;=15</f>
        <v/>
      </c>
      <c r="D1062">
        <f>IF(Skills!C20=1,60+Inputs!$B$24+Inputs!$B$28,IF(Skills!C20=2,90+Inputs!$B$25+Inputs!$B$28,IF(Skills!C20=3,120+Inputs!$B$26+Inputs!$B$28,MAX(0,(Inputs!$B$3-100)*3)+Inputs!$B$27+Inputs!$B$28)))</f>
        <v/>
      </c>
      <c r="E1062">
        <f>INDEX(FactorTable!$B$2:$Y$301, MATCH(ROUND(MIN(300,MAX(1,D1062)),0), FactorTable!$A$2:$A$301,0), Skills!M20+1)</f>
        <v/>
      </c>
      <c r="F1062">
        <f>IF(Skills!N20=TRUE,(Skills!L20/10)*(E1062/1000),Skills!L20/10)+Skills!O20</f>
        <v/>
      </c>
      <c r="G1062">
        <f>Skills!G20*IF(Skills!H20&gt;0,Skills!I20/Skills!H20,1)</f>
        <v/>
      </c>
      <c r="H1062">
        <f>1-(1-Skills!J20/100)^Skills!K20</f>
        <v/>
      </c>
      <c r="I1062" t="inlineStr">
        <is>
          <t>1</t>
        </is>
      </c>
      <c r="J1062" t="inlineStr"/>
      <c r="K1062" t="inlineStr"/>
      <c r="L1062" t="inlineStr"/>
      <c r="M1062" t="inlineStr"/>
      <c r="N1062" t="inlineStr"/>
      <c r="O1062" t="n">
        <v>0</v>
      </c>
      <c r="P1062">
        <f>IF(B1087=0,0,O1062/B1087)</f>
        <v/>
      </c>
      <c r="Q1062">
        <f>IFERROR(1/IF(Inputs!$B$4="pvp",15,MAX(0.1,Skills!D20-IF(Skills!E20=TRUE,Inputs!$B$31,0))),0)</f>
        <v/>
      </c>
      <c r="R1062">
        <f>IF(AND(Inputs!$B$4&lt;&gt;"pvp",Inputs!$B$35&gt;0),(INT(Inputs!$B$35/IF(Inputs!$B$4="pvp",15,MAX(0.1,Skills!D20-IF(Skills!E20=TRUE,Inputs!$B$31,0))))+1),0)</f>
        <v/>
      </c>
      <c r="S1062">
        <f>IFERROR(O1062/N1062,0)</f>
        <v/>
      </c>
    </row>
    <row r="1063">
      <c r="A1063">
        <f>Skills!A21</f>
        <v/>
      </c>
      <c r="B1063">
        <f>Skills!B21</f>
        <v/>
      </c>
      <c r="C1063">
        <f>Inputs!$B$3&gt;=15</f>
        <v/>
      </c>
      <c r="D1063">
        <f>IF(Skills!C21=1,60+Inputs!$B$24+Inputs!$B$28,IF(Skills!C21=2,90+Inputs!$B$25+Inputs!$B$28,IF(Skills!C21=3,120+Inputs!$B$26+Inputs!$B$28,MAX(0,(Inputs!$B$3-100)*3)+Inputs!$B$27+Inputs!$B$28)))</f>
        <v/>
      </c>
      <c r="E1063">
        <f>INDEX(FactorTable!$B$2:$Y$301, MATCH(ROUND(MIN(300,MAX(1,D1063)),0), FactorTable!$A$2:$A$301,0), Skills!M21+1)</f>
        <v/>
      </c>
      <c r="F1063">
        <f>IF(Skills!N21=TRUE,(Skills!L21/10)*(E1063/1000),Skills!L21/10)+Skills!O21</f>
        <v/>
      </c>
      <c r="G1063">
        <f>Skills!G21*IF(Skills!H21&gt;0,Skills!I21/Skills!H21,1)</f>
        <v/>
      </c>
      <c r="H1063">
        <f>1-(1-Skills!J21/100)^Skills!K21</f>
        <v/>
      </c>
      <c r="I1063" t="inlineStr">
        <is>
          <t>1</t>
        </is>
      </c>
      <c r="J1063" t="inlineStr"/>
      <c r="K1063" t="inlineStr"/>
      <c r="L1063" t="inlineStr"/>
      <c r="M1063" t="inlineStr"/>
      <c r="N1063" t="inlineStr"/>
      <c r="O1063" t="n">
        <v>0</v>
      </c>
      <c r="P1063">
        <f>IF(B1087=0,0,O1063/B1087)</f>
        <v/>
      </c>
      <c r="Q1063">
        <f>IFERROR(1/IF(Inputs!$B$4="pvp",15,MAX(0.1,Skills!D21-IF(Skills!E21=TRUE,Inputs!$B$31,0))),0)</f>
        <v/>
      </c>
      <c r="R1063">
        <f>IF(AND(Inputs!$B$4&lt;&gt;"pvp",Inputs!$B$35&gt;0),(INT(Inputs!$B$35/IF(Inputs!$B$4="pvp",15,MAX(0.1,Skills!D21-IF(Skills!E21=TRUE,Inputs!$B$31,0))))+1),0)</f>
        <v/>
      </c>
      <c r="S1063">
        <f>IFERROR(O1063/N1063,0)</f>
        <v/>
      </c>
    </row>
    <row r="1064">
      <c r="A1064">
        <f>Skills!A22</f>
        <v/>
      </c>
      <c r="B1064">
        <f>Skills!B22</f>
        <v/>
      </c>
      <c r="C1064">
        <f>Inputs!$B$3&gt;=33</f>
        <v/>
      </c>
      <c r="D1064">
        <f>IF(Skills!C22=1,60+Inputs!$B$24+Inputs!$B$28,IF(Skills!C22=2,90+Inputs!$B$25+Inputs!$B$28,IF(Skills!C22=3,120+Inputs!$B$26+Inputs!$B$28,MAX(0,(Inputs!$B$3-100)*3)+Inputs!$B$27+Inputs!$B$28)))</f>
        <v/>
      </c>
      <c r="E1064">
        <f>INDEX(FactorTable!$B$2:$Y$301, MATCH(ROUND(MIN(300,MAX(1,D1064)),0), FactorTable!$A$2:$A$301,0), Skills!M22+1)</f>
        <v/>
      </c>
      <c r="F1064">
        <f>IF(Skills!N22=TRUE,(Skills!L22/10)*(E1064/1000),Skills!L22/10)+Skills!O22</f>
        <v/>
      </c>
      <c r="G1064">
        <f>Skills!G22*IF(Skills!H22&gt;0,Skills!I22/Skills!H22,1)</f>
        <v/>
      </c>
      <c r="H1064">
        <f>1-(1-Skills!J22/100)^Skills!K22</f>
        <v/>
      </c>
      <c r="I1064" t="inlineStr">
        <is>
          <t>1</t>
        </is>
      </c>
      <c r="J1064" t="inlineStr"/>
      <c r="K1064" t="inlineStr"/>
      <c r="L1064" t="inlineStr"/>
      <c r="M1064" t="inlineStr"/>
      <c r="N1064" t="inlineStr"/>
      <c r="O1064" t="n">
        <v>0</v>
      </c>
      <c r="P1064">
        <f>IF(B1087=0,0,O1064/B1087)</f>
        <v/>
      </c>
      <c r="Q1064" t="n">
        <v>0</v>
      </c>
      <c r="R1064" t="n">
        <v>0</v>
      </c>
      <c r="S1064">
        <f>IFERROR(O1064/N1064,0)</f>
        <v/>
      </c>
    </row>
    <row r="1065">
      <c r="A1065">
        <f>Skills!A23</f>
        <v/>
      </c>
      <c r="B1065">
        <f>Skills!B23</f>
        <v/>
      </c>
      <c r="C1065">
        <f>Inputs!$B$3&gt;=40</f>
        <v/>
      </c>
      <c r="D1065">
        <f>IF(Skills!C23=1,60+Inputs!$B$24+Inputs!$B$28,IF(Skills!C23=2,90+Inputs!$B$25+Inputs!$B$28,IF(Skills!C23=3,120+Inputs!$B$26+Inputs!$B$28,MAX(0,(Inputs!$B$3-100)*3)+Inputs!$B$27+Inputs!$B$28)))</f>
        <v/>
      </c>
      <c r="E1065">
        <f>INDEX(FactorTable!$B$2:$Y$301, MATCH(ROUND(MIN(300,MAX(1,D1065)),0), FactorTable!$A$2:$A$301,0), Skills!M23+1)</f>
        <v/>
      </c>
      <c r="F1065">
        <f>IF(Skills!N23=TRUE,(Skills!L23/10)*(E1065/1000),Skills!L23/10)+Skills!O23</f>
        <v/>
      </c>
      <c r="G1065">
        <f>Skills!G23*IF(Skills!H23&gt;0,Skills!I23/Skills!H23,1)</f>
        <v/>
      </c>
      <c r="H1065">
        <f>1-(1-Skills!J23/100)^Skills!K23</f>
        <v/>
      </c>
      <c r="I1065" t="inlineStr">
        <is>
          <t>1</t>
        </is>
      </c>
      <c r="J1065" t="inlineStr"/>
      <c r="K1065" t="inlineStr"/>
      <c r="L1065" t="inlineStr"/>
      <c r="M1065" t="inlineStr"/>
      <c r="N1065" t="inlineStr"/>
      <c r="O1065" t="n">
        <v>0</v>
      </c>
      <c r="P1065">
        <f>IF(B1087=0,0,O1065/B1087)</f>
        <v/>
      </c>
      <c r="Q1065" t="n">
        <v>0</v>
      </c>
      <c r="R1065" t="n">
        <v>0</v>
      </c>
      <c r="S1065">
        <f>IFERROR(O1065/N1065,0)</f>
        <v/>
      </c>
    </row>
    <row r="1066">
      <c r="A1066">
        <f>Skills!A24</f>
        <v/>
      </c>
      <c r="B1066">
        <f>Skills!B24</f>
        <v/>
      </c>
      <c r="C1066">
        <f>Inputs!$B$3&gt;=43</f>
        <v/>
      </c>
      <c r="D1066">
        <f>IF(Skills!C24=1,60+Inputs!$B$24+Inputs!$B$28,IF(Skills!C24=2,90+Inputs!$B$25+Inputs!$B$28,IF(Skills!C24=3,120+Inputs!$B$26+Inputs!$B$28,MAX(0,(Inputs!$B$3-100)*3)+Inputs!$B$27+Inputs!$B$28)))</f>
        <v/>
      </c>
      <c r="E1066">
        <f>INDEX(FactorTable!$B$2:$Y$301, MATCH(ROUND(MIN(300,MAX(1,D1066)),0), FactorTable!$A$2:$A$301,0), Skills!M24+1)</f>
        <v/>
      </c>
      <c r="F1066">
        <f>IF(Skills!N24=TRUE,(Skills!L24/10)*(E1066/1000),Skills!L24/10)+Skills!O24</f>
        <v/>
      </c>
      <c r="G1066">
        <f>Skills!G24*IF(Skills!H24&gt;0,Skills!I24/Skills!H24,1)</f>
        <v/>
      </c>
      <c r="H1066">
        <f>1-(1-Skills!J24/100)^Skills!K24</f>
        <v/>
      </c>
      <c r="I1066" t="inlineStr">
        <is>
          <t>1</t>
        </is>
      </c>
      <c r="J1066" t="inlineStr"/>
      <c r="K1066" t="inlineStr"/>
      <c r="L1066" t="inlineStr"/>
      <c r="M1066" t="inlineStr"/>
      <c r="N1066" t="inlineStr"/>
      <c r="O1066" t="n">
        <v>0</v>
      </c>
      <c r="P1066">
        <f>IF(B1087=0,0,O1066/B1087)</f>
        <v/>
      </c>
      <c r="Q1066" t="n">
        <v>0</v>
      </c>
      <c r="R1066" t="n">
        <v>0</v>
      </c>
      <c r="S1066">
        <f>IFERROR(O1066/N1066,0)</f>
        <v/>
      </c>
    </row>
    <row r="1067">
      <c r="A1067">
        <f>Skills!A25</f>
        <v/>
      </c>
      <c r="B1067">
        <f>Skills!B25</f>
        <v/>
      </c>
      <c r="C1067">
        <f>Inputs!$B$3&gt;=50</f>
        <v/>
      </c>
      <c r="D1067">
        <f>IF(Skills!C25=1,60+Inputs!$B$24+Inputs!$B$28,IF(Skills!C25=2,90+Inputs!$B$25+Inputs!$B$28,IF(Skills!C25=3,120+Inputs!$B$26+Inputs!$B$28,MAX(0,(Inputs!$B$3-100)*3)+Inputs!$B$27+Inputs!$B$28)))</f>
        <v/>
      </c>
      <c r="E1067">
        <f>INDEX(FactorTable!$B$2:$Y$301, MATCH(ROUND(MIN(300,MAX(1,D1067)),0), FactorTable!$A$2:$A$301,0), Skills!M25+1)</f>
        <v/>
      </c>
      <c r="F1067">
        <f>IF(Skills!N25=TRUE,(Skills!L25/10)*(E1067/1000),Skills!L25/10)+Skills!O25</f>
        <v/>
      </c>
      <c r="G1067">
        <f>Skills!G25*IF(Skills!H25&gt;0,Skills!I25/Skills!H25,1)</f>
        <v/>
      </c>
      <c r="H1067">
        <f>1-(1-Skills!J25/100)^Skills!K25</f>
        <v/>
      </c>
      <c r="I1067" t="inlineStr">
        <is>
          <t>1</t>
        </is>
      </c>
      <c r="J1067" t="inlineStr"/>
      <c r="K1067" t="inlineStr"/>
      <c r="L1067" t="inlineStr"/>
      <c r="M1067" t="inlineStr"/>
      <c r="N1067" t="inlineStr"/>
      <c r="O1067" t="n">
        <v>0</v>
      </c>
      <c r="P1067">
        <f>IF(B1087=0,0,O1067/B1087)</f>
        <v/>
      </c>
      <c r="Q1067" t="n">
        <v>0</v>
      </c>
      <c r="R1067" t="n">
        <v>0</v>
      </c>
      <c r="S1067">
        <f>IFERROR(O1067/N1067,0)</f>
        <v/>
      </c>
    </row>
    <row r="1068">
      <c r="A1068">
        <f>Skills!A26</f>
        <v/>
      </c>
      <c r="B1068">
        <f>Skills!B26</f>
        <v/>
      </c>
      <c r="C1068">
        <f>Inputs!$B$3&gt;=50</f>
        <v/>
      </c>
      <c r="D1068">
        <f>IF(Skills!C26=1,60+Inputs!$B$24+Inputs!$B$28,IF(Skills!C26=2,90+Inputs!$B$25+Inputs!$B$28,IF(Skills!C26=3,120+Inputs!$B$26+Inputs!$B$28,MAX(0,(Inputs!$B$3-100)*3)+Inputs!$B$27+Inputs!$B$28)))</f>
        <v/>
      </c>
      <c r="E1068">
        <f>INDEX(FactorTable!$B$2:$Y$301, MATCH(ROUND(MIN(300,MAX(1,D1068)),0), FactorTable!$A$2:$A$301,0), Skills!M26+1)</f>
        <v/>
      </c>
      <c r="F1068">
        <f>IF(Skills!N26=TRUE,(Skills!L26/10)*(E1068/1000),Skills!L26/10)+Skills!O26</f>
        <v/>
      </c>
      <c r="G1068">
        <f>Skills!G26*IF(Skills!H26&gt;0,Skills!I26/Skills!H26,1)</f>
        <v/>
      </c>
      <c r="H1068">
        <f>1-(1-Skills!J26/100)^Skills!K26</f>
        <v/>
      </c>
      <c r="I1068" t="inlineStr">
        <is>
          <t>1</t>
        </is>
      </c>
      <c r="J1068" t="inlineStr"/>
      <c r="K1068" t="inlineStr"/>
      <c r="L1068" t="inlineStr"/>
      <c r="M1068" t="inlineStr"/>
      <c r="N1068" t="inlineStr"/>
      <c r="O1068" t="n">
        <v>0</v>
      </c>
      <c r="P1068">
        <f>IF(B1087=0,0,O1068/B1087)</f>
        <v/>
      </c>
      <c r="Q1068" t="n">
        <v>0</v>
      </c>
      <c r="R1068" t="n">
        <v>0</v>
      </c>
      <c r="S1068">
        <f>IFERROR(O1068/N1068,0)</f>
        <v/>
      </c>
    </row>
    <row r="1069">
      <c r="A1069">
        <f>Skills!A27</f>
        <v/>
      </c>
      <c r="B1069">
        <f>Skills!B27</f>
        <v/>
      </c>
      <c r="C1069">
        <f>Inputs!$B$3&gt;=38</f>
        <v/>
      </c>
      <c r="D1069">
        <f>IF(Skills!C27=1,60+Inputs!$B$24+Inputs!$B$28,IF(Skills!C27=2,90+Inputs!$B$25+Inputs!$B$28,IF(Skills!C27=3,120+Inputs!$B$26+Inputs!$B$28,MAX(0,(Inputs!$B$3-100)*3)+Inputs!$B$27+Inputs!$B$28)))</f>
        <v/>
      </c>
      <c r="E1069">
        <f>INDEX(FactorTable!$B$2:$Y$301, MATCH(ROUND(MIN(300,MAX(1,D1069)),0), FactorTable!$A$2:$A$301,0), Skills!M27+1)</f>
        <v/>
      </c>
      <c r="F1069">
        <f>IF(Skills!N27=TRUE,(Skills!L27/10)*(E1069/1000),Skills!L27/10)+Skills!O27</f>
        <v/>
      </c>
      <c r="G1069">
        <f>Skills!G27*IF(Skills!H27&gt;0,Skills!I27/Skills!H27,1)</f>
        <v/>
      </c>
      <c r="H1069">
        <f>1-(1-Skills!J27/100)^Skills!K27</f>
        <v/>
      </c>
      <c r="I1069" t="inlineStr">
        <is>
          <t>1</t>
        </is>
      </c>
      <c r="J1069" t="inlineStr"/>
      <c r="K1069" t="inlineStr"/>
      <c r="L1069" t="inlineStr"/>
      <c r="M1069" t="inlineStr"/>
      <c r="N1069" t="inlineStr"/>
      <c r="O1069" t="n">
        <v>0</v>
      </c>
      <c r="P1069">
        <f>IF(B1087=0,0,O1069/B1087)</f>
        <v/>
      </c>
      <c r="Q1069" t="n">
        <v>0</v>
      </c>
      <c r="R1069" t="n">
        <v>0</v>
      </c>
      <c r="S1069">
        <f>IFERROR(O1069/N1069,0)</f>
        <v/>
      </c>
    </row>
    <row r="1070">
      <c r="A1070">
        <f>Skills!A28</f>
        <v/>
      </c>
      <c r="B1070">
        <f>Skills!B28</f>
        <v/>
      </c>
      <c r="C1070">
        <f>Inputs!$B$3&gt;=120</f>
        <v/>
      </c>
      <c r="D1070">
        <f>IF(Skills!C28=1,60+Inputs!$B$24+Inputs!$B$28,IF(Skills!C28=2,90+Inputs!$B$25+Inputs!$B$28,IF(Skills!C28=3,120+Inputs!$B$26+Inputs!$B$28,MAX(0,(Inputs!$B$3-100)*3)+Inputs!$B$27+Inputs!$B$28)))</f>
        <v/>
      </c>
      <c r="E1070">
        <f>INDEX(FactorTable!$B$2:$Y$301, MATCH(ROUND(MIN(300,MAX(1,D1070)),0), FactorTable!$A$2:$A$301,0), Skills!M28+1)</f>
        <v/>
      </c>
      <c r="F1070">
        <f>IF(Skills!N28=TRUE,(Skills!L28/10)*(E1070/1000),Skills!L28/10)+Skills!O28</f>
        <v/>
      </c>
      <c r="G1070">
        <f>Skills!G28*IF(Skills!H28&gt;0,Skills!I28/Skills!H28,1)</f>
        <v/>
      </c>
      <c r="H1070">
        <f>1-(1-Skills!J28/100)^Skills!K28</f>
        <v/>
      </c>
      <c r="I1070" t="inlineStr">
        <is>
          <t>1</t>
        </is>
      </c>
      <c r="J1070" t="inlineStr"/>
      <c r="K1070" t="inlineStr"/>
      <c r="L1070" t="inlineStr"/>
      <c r="M1070" t="inlineStr"/>
      <c r="N1070" t="inlineStr"/>
      <c r="O1070" t="n">
        <v>0</v>
      </c>
      <c r="P1070">
        <f>IF(B1087=0,0,O1070/B1087)</f>
        <v/>
      </c>
      <c r="Q1070" t="n">
        <v>0</v>
      </c>
      <c r="R1070" t="n">
        <v>0</v>
      </c>
      <c r="S1070">
        <f>IFERROR(O1070/N1070,0)</f>
        <v/>
      </c>
    </row>
    <row r="1071">
      <c r="A1071">
        <f>Skills!A29</f>
        <v/>
      </c>
      <c r="B1071">
        <f>Skills!B29</f>
        <v/>
      </c>
      <c r="C1071">
        <f>Inputs!$B$3&gt;=120</f>
        <v/>
      </c>
      <c r="D1071">
        <f>IF(Skills!C29=1,60+Inputs!$B$24+Inputs!$B$28,IF(Skills!C29=2,90+Inputs!$B$25+Inputs!$B$28,IF(Skills!C29=3,120+Inputs!$B$26+Inputs!$B$28,MAX(0,(Inputs!$B$3-100)*3)+Inputs!$B$27+Inputs!$B$28)))</f>
        <v/>
      </c>
      <c r="E1071">
        <f>INDEX(FactorTable!$B$2:$Y$301, MATCH(ROUND(MIN(300,MAX(1,D1071)),0), FactorTable!$A$2:$A$301,0), Skills!M29+1)</f>
        <v/>
      </c>
      <c r="F1071">
        <f>IF(Skills!N29=TRUE,(Skills!L29/10)*(E1071/1000),Skills!L29/10)+Skills!O29</f>
        <v/>
      </c>
      <c r="G1071">
        <f>Skills!G29*IF(Skills!H29&gt;0,Skills!I29/Skills!H29,1)</f>
        <v/>
      </c>
      <c r="H1071">
        <f>1-(1-Skills!J29/100)^Skills!K29</f>
        <v/>
      </c>
      <c r="I1071" t="inlineStr">
        <is>
          <t>1</t>
        </is>
      </c>
      <c r="J1071" t="inlineStr"/>
      <c r="K1071" t="inlineStr"/>
      <c r="L1071" t="inlineStr"/>
      <c r="M1071" t="inlineStr"/>
      <c r="N1071" t="inlineStr"/>
      <c r="O1071" t="n">
        <v>0</v>
      </c>
      <c r="P1071">
        <f>IF(B1087=0,0,O1071/B1087)</f>
        <v/>
      </c>
      <c r="Q1071" t="n">
        <v>0</v>
      </c>
      <c r="R1071" t="n">
        <v>0</v>
      </c>
      <c r="S1071">
        <f>IFERROR(O1071/N1071,0)</f>
        <v/>
      </c>
    </row>
    <row r="1072">
      <c r="A1072">
        <f>Skills!A30</f>
        <v/>
      </c>
      <c r="B1072">
        <f>Skills!B30</f>
        <v/>
      </c>
      <c r="C1072">
        <f>Inputs!$B$3&gt;=125</f>
        <v/>
      </c>
      <c r="D1072">
        <f>IF(Skills!C30=1,60+Inputs!$B$24+Inputs!$B$28,IF(Skills!C30=2,90+Inputs!$B$25+Inputs!$B$28,IF(Skills!C30=3,120+Inputs!$B$26+Inputs!$B$28,MAX(0,(Inputs!$B$3-100)*3)+Inputs!$B$27+Inputs!$B$28)))</f>
        <v/>
      </c>
      <c r="E1072">
        <f>INDEX(FactorTable!$B$2:$Y$301, MATCH(ROUND(MIN(300,MAX(1,D1072)),0), FactorTable!$A$2:$A$301,0), Skills!M30+1)</f>
        <v/>
      </c>
      <c r="F1072">
        <f>IF(Skills!N30=TRUE,(Skills!L30/10)*(E1072/1000),Skills!L30/10)+Skills!O30</f>
        <v/>
      </c>
      <c r="G1072">
        <f>Skills!G30*IF(Skills!H30&gt;0,Skills!I30/Skills!H30,1)</f>
        <v/>
      </c>
      <c r="H1072">
        <f>1-(1-Skills!J30/100)^Skills!K30</f>
        <v/>
      </c>
      <c r="I1072" t="inlineStr">
        <is>
          <t>1</t>
        </is>
      </c>
      <c r="J1072" t="inlineStr"/>
      <c r="K1072" t="inlineStr"/>
      <c r="L1072" t="inlineStr"/>
      <c r="M1072" t="inlineStr"/>
      <c r="N1072" t="inlineStr"/>
      <c r="O1072" t="n">
        <v>0</v>
      </c>
      <c r="P1072">
        <f>IF(B1087=0,0,O1072/B1087)</f>
        <v/>
      </c>
      <c r="Q1072" t="n">
        <v>0</v>
      </c>
      <c r="R1072" t="n">
        <v>0</v>
      </c>
      <c r="S1072">
        <f>IFERROR(O1072/N1072,0)</f>
        <v/>
      </c>
    </row>
    <row r="1074">
      <c r="A1074" t="inlineStr">
        <is>
          <t>Average Buff Multiplier</t>
        </is>
      </c>
      <c r="B1074">
        <f>(1+(((C1063=TRUE)*F1063*IF(AND(Inputs!$B$4&lt;&gt;"pvp",Inputs!$B$35&gt;0),(((S1063-1)*(Skills!Y21*(1+Inputs!$B$33/100))+MIN((Skills!Y21*(1+Inputs!$B$33/100)),MAX(0,Inputs!$B$35-((S1063-1)*Skills!D21))))/Inputs!$B$35),IF(Inputs!$B$4="pvp",MIN((Skills!Y21*(1+Inputs!$B$33/100)),15)/15,(Skills!Y21*(1+Inputs!$B$33/100))/Skills!D21)))+((C1065=TRUE)*(F1065-Calc!F23))+((C1059=TRUE)*(F1059-Calc!F17)))/100)*(1+((C1052=TRUE)*F1052*IF(AND(Inputs!$B$4&lt;&gt;"pvp",Inputs!$B$35&gt;0),(((S1052-1)*(Skills!Y10*(1+Inputs!$B$33/100))+MIN((Skills!Y10*(1+Inputs!$B$33/100)),MAX(0,Inputs!$B$35-((S1052-1)*Skills!D10))))/Inputs!$B$35),IF(Inputs!$B$4="pvp",MIN((Skills!Y10*(1+Inputs!$B$33/100)),15)/15,(Skills!Y10*(1+Inputs!$B$33/100))/Skills!D10)))/100)*(1+((C1057=TRUE)*F1057*IF(AND(Inputs!$B$4&lt;&gt;"pvp",Inputs!$B$35&gt;0),(((S1057-1)*(Skills!Y15*(1+Inputs!$B$33/100))+MIN((Skills!Y15*(1+Inputs!$B$33/100)),MAX(0,Inputs!$B$35-((S1057-1)*Skills!D15))))/Inputs!$B$35),IF(Inputs!$B$4="pvp",MIN((Skills!Y15*(1+Inputs!$B$33/100)),15)/15,(Skills!Y15*(1+Inputs!$B$33/100))/Skills!D15)))/100)</f>
        <v/>
      </c>
    </row>
    <row r="1075">
      <c r="A1075" t="inlineStr">
        <is>
          <t>Global Crit Rate Bonus %</t>
        </is>
      </c>
      <c r="B1075">
        <f>((C1062=TRUE)*F1062*IF(AND(Inputs!$B$4&lt;&gt;"pvp",Inputs!$B$35&gt;0),(((S1062-1)*(Skills!Y20*(1+Inputs!$B$33/100))+MIN((Skills!Y20*(1+Inputs!$B$33/100)),MAX(0,Inputs!$B$35-((S1062-1)*Skills!D20))))/Inputs!$B$35),IF(Inputs!$B$4="pvp",MIN((Skills!Y20*(1+Inputs!$B$33/100)),15)/15,(Skills!Y20*(1+Inputs!$B$33/100))/Skills!D20)))</f>
        <v/>
      </c>
    </row>
    <row r="1076">
      <c r="A1076" t="inlineStr">
        <is>
          <t>Global Monster Damage-Taken Bonus %</t>
        </is>
      </c>
      <c r="B1076">
        <f>IF(Inputs!$B$3&gt;=82,15,0)</f>
        <v/>
      </c>
    </row>
    <row r="1077">
      <c r="A1077" t="inlineStr">
        <is>
          <t>Shadow Partner Average Multiplier</t>
        </is>
      </c>
      <c r="B1077">
        <f>1+((C1049=TRUE)*F1049*(1+3.3333333333333335*IF(C1060=TRUE,F1060,0)/100)*I1049*Skills!J7/100)/100</f>
        <v/>
      </c>
    </row>
    <row r="1078">
      <c r="A1078" t="inlineStr">
        <is>
          <t>Attack Speed Buff Bonus %</t>
        </is>
      </c>
      <c r="B1078">
        <f>((C1061=TRUE)*F1061*IF(AND(Inputs!$B$4&lt;&gt;"pvp",Inputs!$B$35&gt;0),(((S1061-1)*(Skills!Y19*(1+Inputs!$B$33/100))+MIN((Skills!Y19*(1+Inputs!$B$33/100)),MAX(0,Inputs!$B$35-((S1061-1)*Skills!D19))))/Inputs!$B$35),IF(Inputs!$B$4="pvp",MIN((Skills!Y19*(1+Inputs!$B$33/100)),15)/15,(Skills!Y19*(1+Inputs!$B$33/100))/Skills!D19)))+((C1045=TRUE)*F1045*3)</f>
        <v/>
      </c>
    </row>
    <row r="1079">
      <c r="A1079" t="inlineStr">
        <is>
          <t>Actions Per Second</t>
        </is>
      </c>
      <c r="B1079">
        <f>1+MIN(150,150*(1-(1-(Inputs!$B$10+((C1064=TRUE)*(F1064-Calc!F22)))/150)*(1-B1078/150)))/100</f>
        <v/>
      </c>
    </row>
    <row r="1080">
      <c r="A1080" t="inlineStr">
        <is>
          <t>Skill + Buff Cast Rate</t>
        </is>
      </c>
      <c r="B1080">
        <f>IF(AND(Inputs!$B$4&lt;&gt;"pvp",Inputs!$B$35&gt;0),SUMPRODUCT((Skills!E2:E30=TRUE)*(C1044:C1072=TRUE)*R1044:R1072*Skills!F2:F30)/Inputs!$B$35,SUMPRODUCT((Skills!E2:E30=TRUE)*(C1044:C1072=TRUE)*Q1044:Q1072*Skills!F2:F30))</f>
        <v/>
      </c>
    </row>
    <row r="1081">
      <c r="A1081" t="inlineStr">
        <is>
          <t>Cruel Stab Casts Per Second</t>
        </is>
      </c>
      <c r="B1081">
        <f>MAX(0,B1079-B1080)</f>
        <v/>
      </c>
    </row>
    <row r="1082">
      <c r="A1082" t="inlineStr">
        <is>
          <t>Global Critical Damage Bonus % (Smokescreen Mastery Lv.113)</t>
        </is>
      </c>
      <c r="B1082">
        <f>IF(Inputs!$B$3&gt;=113,30,0)*IF(AND(Inputs!$B$4&lt;&gt;"pvp",Inputs!$B$35&gt;0),(((S1057-1)*(Skills!Y15*(1+Inputs!$B$33/100))+MIN((Skills!Y15*(1+Inputs!$B$33/100)),MAX(0,Inputs!$B$35-((S1057-1)*Skills!D15))))/Inputs!$B$35),IF(Inputs!$B$4="pvp",MIN((Skills!Y15*(1+Inputs!$B$33/100)),15)/15,(Skills!Y15*(1+Inputs!$B$33/100))/Skills!D15))</f>
        <v/>
      </c>
    </row>
    <row r="1083">
      <c r="A1083" t="inlineStr">
        <is>
          <t>Meso Explosion average stack count</t>
        </is>
      </c>
      <c r="B1083">
        <f>MIN(10,0.5*B1079*Skills!D4)</f>
        <v/>
      </c>
    </row>
    <row r="1084">
      <c r="A1084" t="inlineStr">
        <is>
          <t>Blood Money average stack count</t>
        </is>
      </c>
      <c r="B1084">
        <f>MIN(5,0.25*B1079*Skills!D4)</f>
        <v/>
      </c>
    </row>
    <row r="1085">
      <c r="A1085" t="inlineStr">
        <is>
          <t>Assassinate Murderous Intent Multiplier</t>
        </is>
      </c>
      <c r="B1085">
        <f>1+IFERROR(MIN(1,Q1056*2/Q1053),0)</f>
        <v/>
      </c>
    </row>
    <row r="1087">
      <c r="A1087" s="5" t="inlineStr">
        <is>
          <t>TOTAL DPS</t>
        </is>
      </c>
      <c r="B1087" s="5">
        <f>SUM(O1044:O1072)</f>
        <v/>
      </c>
    </row>
    <row r="1090">
      <c r="A1090" s="5" t="inlineStr">
        <is>
          <t>Stat: ATTACK %</t>
        </is>
      </c>
    </row>
    <row r="1091">
      <c r="A1091" s="8" t="inlineStr">
        <is>
          <t>Key</t>
        </is>
      </c>
      <c r="B1091" s="8" t="inlineStr">
        <is>
          <t>Name</t>
        </is>
      </c>
      <c r="C1091" s="8" t="inlineStr">
        <is>
          <t>Unlocked</t>
        </is>
      </c>
      <c r="D1091" s="8" t="inlineStr">
        <is>
          <t>InputLevel</t>
        </is>
      </c>
      <c r="E1091" s="8" t="inlineStr">
        <is>
          <t>Factor</t>
        </is>
      </c>
      <c r="F1091" s="8" t="inlineStr">
        <is>
          <t>CoefficientPercent</t>
        </is>
      </c>
      <c r="G1091" s="8" t="inlineStr">
        <is>
          <t>EffectiveHits</t>
        </is>
      </c>
      <c r="H1091" s="8" t="inlineStr">
        <is>
          <t>ProcProbability</t>
        </is>
      </c>
      <c r="I1091" s="8" t="inlineStr">
        <is>
          <t>MapleHeroMultiplier</t>
        </is>
      </c>
      <c r="J1091" s="8" t="inlineStr">
        <is>
          <t>BaseDamage</t>
        </is>
      </c>
      <c r="K1091" s="8" t="inlineStr">
        <is>
          <t>BaseHitDamage</t>
        </is>
      </c>
      <c r="L1091" s="8" t="inlineStr">
        <is>
          <t>NonCritAvg</t>
        </is>
      </c>
      <c r="M1091" s="8" t="inlineStr">
        <is>
          <t>CritAvg</t>
        </is>
      </c>
      <c r="N1091" s="8" t="inlineStr">
        <is>
          <t>ExpectedDamage(perHit)</t>
        </is>
      </c>
      <c r="O1091" s="8" t="inlineStr">
        <is>
          <t>DPS</t>
        </is>
      </c>
      <c r="P1091" s="8" t="inlineStr">
        <is>
          <t>% of Total</t>
        </is>
      </c>
      <c r="Q1091" s="8" t="inlineStr">
        <is>
          <t>InvCooldown</t>
        </is>
      </c>
      <c r="R1091" s="8" t="inlineStr">
        <is>
          <t>CastsInFight</t>
        </is>
      </c>
      <c r="S1091" s="8" t="inlineStr">
        <is>
          <t>HitRate(perSec)</t>
        </is>
      </c>
      <c r="U1091" t="inlineStr">
        <is>
          <t>helpers</t>
        </is>
      </c>
    </row>
    <row r="1092">
      <c r="A1092">
        <f>Skills!A2</f>
        <v/>
      </c>
      <c r="B1092">
        <f>Skills!B2</f>
        <v/>
      </c>
      <c r="C1092">
        <f>Inputs!$B$3&gt;=100</f>
        <v/>
      </c>
      <c r="D1092" t="inlineStr"/>
      <c r="E1092" t="inlineStr"/>
      <c r="F1092">
        <f>U1094+Skills!O2</f>
        <v/>
      </c>
      <c r="G1092">
        <f>Skills!G2*IF(Skills!H2&gt;0,Skills!I2/Skills!H2,1)</f>
        <v/>
      </c>
      <c r="H1092">
        <f>1-(1-Skills!J2/100)^Skills!K2</f>
        <v/>
      </c>
      <c r="I1092" t="inlineStr">
        <is>
          <t>1</t>
        </is>
      </c>
      <c r="J1092">
        <f>(Inputs!$B$5*(1+(Inputs!$B$6+1)/100))*(F1092/100)</f>
        <v/>
      </c>
      <c r="K1092">
        <f>J1092*(1+((Inputs!$B$11*(1+Inputs!$B$12/100))*0.01+Inputs!$B$13*0.0025)/100)*(1+Inputs!$B$14/100)*(1+IF(Inputs!$B$4="pvp",0,(1-Summary!$B$55)*(Inputs!$B$19+0+Skills!P2+B1124)+Summary!$B$55*(Inputs!$B$20+Skills!Q2+B1124))/100)*(1+Inputs!$B$15/100)*(5000/(6000+Inputs!$B$7*(1-Inputs!$B$18/100)))*(1+(Inputs!$B$23+((C1120=TRUE)*(F1120-Calc!F30)))/100)*(1+(IF(Skills!A2="CRUEL_STAB",Inputs!$B$16+((C1117=TRUE)*(F1117-Calc!F27)),Inputs!$B$17+((C1118=TRUE)*(F1118-Calc!F28))))/100)*(((1+(((C1111=TRUE)*F1111*IF(AND(Inputs!$B$4&lt;&gt;"pvp",Inputs!$B$35&gt;0),(((S1111-1)*(Skills!Y21*(1+Inputs!$B$33/100))+MIN((Skills!Y21*(1+Inputs!$B$33/100)),MAX(0,Inputs!$B$35-((S1111-1)*Skills!D21))))/Inputs!$B$35),IF(Inputs!$B$4="pvp",MIN((Skills!Y21*(1+Inputs!$B$33/100)),15)/15,(Skills!Y21*(1+Inputs!$B$33/100))/Skills!D21)))+((C1113=TRUE)*(F1113-Calc!F23))+((C1107=TRUE)*(F1107-Calc!F17)))/100)*(1+((C1100=TRUE)*F1100*IF(AND(Inputs!$B$4&lt;&gt;"pvp",Inputs!$B$35&gt;0),(((S1100-1)*(Skills!Y10*(1+Inputs!$B$33/100))+MIN((Skills!Y10*(1+Inputs!$B$33/100)),MAX(0,Inputs!$B$35-((S1100-1)*Skills!D10))))/Inputs!$B$35),IF(Inputs!$B$4="pvp",MIN((Skills!Y10*(1+Inputs!$B$33/100)),15)/15,(Skills!Y10*(1+Inputs!$B$33/100))/Skills!D10)))/100)*(1+((C1105=TRUE)*F1105*IF(AND(Inputs!$B$4&lt;&gt;"pvp",Inputs!$B$35&gt;0),(((S1105-1)*(Skills!Y15*(1+Inputs!$B$33/100))+MIN((Skills!Y15*(1+Inputs!$B$33/100)),MAX(0,Inputs!$B$35-((S1105-1)*Skills!D15))))/Inputs!$B$35),IF(Inputs!$B$4="pvp",MIN((Skills!Y15*(1+Inputs!$B$33/100)),15)/15,(Skills!Y15*(1+Inputs!$B$33/100))/Skills!D15)))/100))*B1125*I1092)</f>
        <v/>
      </c>
      <c r="L1092">
        <f>K1092*(MIN(Inputs!$B$21+((C1114=TRUE)*(F1114-Calc!F24)),Inputs!$B$22+((C1119=TRUE)*(F1119-Calc!F29)))/100+(Inputs!$B$22+((C1119=TRUE)*(F1119-Calc!F29)))/100)/2</f>
        <v/>
      </c>
      <c r="M1092">
        <f>L1092*(1+(Inputs!$B$9+((C1116=TRUE)*(F1116-Calc!F26))+B1130)/100)</f>
        <v/>
      </c>
      <c r="N1092">
        <f>L1092*(1-MIN((Inputs!$B$8+((C1115=TRUE)*(F1115-Calc!F25))+B1123),100)/100)+M1092*(MIN((Inputs!$B$8+((C1115=TRUE)*(F1115-Calc!F25))+B1123),100)/100)</f>
        <v/>
      </c>
      <c r="O1092">
        <f>IF(C1092,Skills!G2*N1092*B1129*IF(Inputs!$B$4="pvp",1,(1-Summary!$B$55)*(1)+Summary!$B$55*(MIN((6+Inputs!$B$32),Inputs!$B$37))),0)</f>
        <v/>
      </c>
      <c r="P1092">
        <f>IF(B1135=0,0,O1092/B1135)</f>
        <v/>
      </c>
      <c r="Q1092" t="n">
        <v>0</v>
      </c>
      <c r="R1092" t="n">
        <v>0</v>
      </c>
      <c r="S1092">
        <f>IFERROR(O1092/N1092,0)</f>
        <v/>
      </c>
      <c r="U1092">
        <f>MAX(0,(Inputs!$B$3-100)*3)+Inputs!$B$27+Inputs!$B$28</f>
        <v/>
      </c>
    </row>
    <row r="1093">
      <c r="A1093">
        <f>Skills!A3</f>
        <v/>
      </c>
      <c r="B1093">
        <f>Skills!B3</f>
        <v/>
      </c>
      <c r="C1093">
        <f>Inputs!$B$3&gt;=35</f>
        <v/>
      </c>
      <c r="D1093">
        <f>IF(Skills!C3=1,60+Inputs!$B$24+Inputs!$B$28,IF(Skills!C3=2,90+Inputs!$B$25+Inputs!$B$28,IF(Skills!C3=3,120+Inputs!$B$26+Inputs!$B$28,MAX(0,(Inputs!$B$3-100)*3)+Inputs!$B$27+Inputs!$B$28)))</f>
        <v/>
      </c>
      <c r="E1093">
        <f>INDEX(FactorTable!$B$2:$Y$301, MATCH(ROUND(MIN(300,MAX(1,D1093)),0), FactorTable!$A$2:$A$301,0), Skills!M3+1)</f>
        <v/>
      </c>
      <c r="F1093">
        <f>IF(Skills!N3=TRUE,(Skills!L3/10)*(E1093/1000),Skills!L3/10)+Skills!O3</f>
        <v/>
      </c>
      <c r="G1093">
        <f>Skills!G3*IF(Skills!H3&gt;0,Skills!I3/Skills!H3,1)</f>
        <v/>
      </c>
      <c r="H1093">
        <f>1-(1-Skills!J3/100)^Skills!K3</f>
        <v/>
      </c>
      <c r="I1093" t="inlineStr">
        <is>
          <t>1</t>
        </is>
      </c>
      <c r="J1093" t="inlineStr"/>
      <c r="K1093" t="inlineStr"/>
      <c r="L1093" t="inlineStr"/>
      <c r="M1093" t="inlineStr"/>
      <c r="N1093" t="inlineStr"/>
      <c r="O1093" t="n">
        <v>0</v>
      </c>
      <c r="P1093">
        <f>IF(B1135=0,0,O1093/B1135)</f>
        <v/>
      </c>
      <c r="Q1093" t="n">
        <v>0</v>
      </c>
      <c r="R1093" t="n">
        <v>0</v>
      </c>
      <c r="S1093">
        <f>IFERROR(O1093/N1093,0)</f>
        <v/>
      </c>
      <c r="U1093">
        <f>INDEX(FactorTable!$B$2:$Y$301, MATCH(ROUND(MIN(300,MAX(1,U1092)),0), FactorTable!$A$2:$A$301,0), 22)</f>
        <v/>
      </c>
    </row>
    <row r="1094">
      <c r="A1094">
        <f>Skills!A4</f>
        <v/>
      </c>
      <c r="B1094">
        <f>Skills!B4</f>
        <v/>
      </c>
      <c r="C1094">
        <f>Inputs!$B$3&gt;=66</f>
        <v/>
      </c>
      <c r="D1094">
        <f>IF(Skills!C4=1,60+Inputs!$B$24+Inputs!$B$28,IF(Skills!C4=2,90+Inputs!$B$25+Inputs!$B$28,IF(Skills!C4=3,120+Inputs!$B$26+Inputs!$B$28,MAX(0,(Inputs!$B$3-100)*3)+Inputs!$B$27+Inputs!$B$28)))</f>
        <v/>
      </c>
      <c r="E1094">
        <f>INDEX(FactorTable!$B$2:$Y$301, MATCH(ROUND(MIN(300,MAX(1,D1094)),0), FactorTable!$A$2:$A$301,0), Skills!M4+1)</f>
        <v/>
      </c>
      <c r="F1094">
        <f>IF(Skills!N4=TRUE,(Skills!L4/10)*(E1094/1000),Skills!L4/10)+Skills!O4</f>
        <v/>
      </c>
      <c r="G1094">
        <f>Skills!G4*IF(Skills!H4&gt;0,Skills!I4/Skills!H4,1)</f>
        <v/>
      </c>
      <c r="H1094">
        <f>1-(1-Skills!J4/100)^Skills!K4</f>
        <v/>
      </c>
      <c r="I1094" t="inlineStr">
        <is>
          <t>1</t>
        </is>
      </c>
      <c r="J1094">
        <f>(Inputs!$B$5*(1+(Inputs!$B$6+1)/100))*(F1094/100)</f>
        <v/>
      </c>
      <c r="K1094">
        <f>J1094*(1+((Inputs!$B$11*(1+Inputs!$B$12/100))*0.01+Inputs!$B$13*0.0025)/100)*(1+Inputs!$B$14/100)*(1+IF(Inputs!$B$4="pvp",0,(1-Summary!$B$55)*(Inputs!$B$19+0+Skills!P4+B1124)+Summary!$B$55*(Inputs!$B$20+Skills!Q4+B1124))/100)*(1+Inputs!$B$15/100)*(5000/(6000+Inputs!$B$7*(1-Inputs!$B$18/100)))*(1+(Inputs!$B$23+((C1120=TRUE)*(F1120-Calc!F30)))/100)*(1+(IF(Skills!A4="CRUEL_STAB",Inputs!$B$16+((C1117=TRUE)*(F1117-Calc!F27)),Inputs!$B$17+((C1118=TRUE)*(F1118-Calc!F28))))/100)*(((1+(((C1111=TRUE)*F1111*IF(AND(Inputs!$B$4&lt;&gt;"pvp",Inputs!$B$35&gt;0),(((S1111-1)*(Skills!Y21*(1+Inputs!$B$33/100))+MIN((Skills!Y21*(1+Inputs!$B$33/100)),MAX(0,Inputs!$B$35-((S1111-1)*Skills!D21))))/Inputs!$B$35),IF(Inputs!$B$4="pvp",MIN((Skills!Y21*(1+Inputs!$B$33/100)),15)/15,(Skills!Y21*(1+Inputs!$B$33/100))/Skills!D21)))+((C1113=TRUE)*(F1113-Calc!F23))+((C1107=TRUE)*(F1107-Calc!F17)))/100)*(1+((C1100=TRUE)*F1100*IF(AND(Inputs!$B$4&lt;&gt;"pvp",Inputs!$B$35&gt;0),(((S1100-1)*(Skills!Y10*(1+Inputs!$B$33/100))+MIN((Skills!Y10*(1+Inputs!$B$33/100)),MAX(0,Inputs!$B$35-((S1100-1)*Skills!D10))))/Inputs!$B$35),IF(Inputs!$B$4="pvp",MIN((Skills!Y10*(1+Inputs!$B$33/100)),15)/15,(Skills!Y10*(1+Inputs!$B$33/100))/Skills!D10)))/100)*(1+((C1105=TRUE)*F1105*IF(AND(Inputs!$B$4&lt;&gt;"pvp",Inputs!$B$35&gt;0),(((S1105-1)*(Skills!Y15*(1+Inputs!$B$33/100))+MIN((Skills!Y15*(1+Inputs!$B$33/100)),MAX(0,Inputs!$B$35-((S1105-1)*Skills!D15))))/Inputs!$B$35),IF(Inputs!$B$4="pvp",MIN((Skills!Y15*(1+Inputs!$B$33/100)),15)/15,(Skills!Y15*(1+Inputs!$B$33/100))/Skills!D15)))/100))*B1125*I1094)</f>
        <v/>
      </c>
      <c r="L1094">
        <f>K1094*(MIN(Inputs!$B$21+((C1114=TRUE)*(F1114-Calc!F24)),Inputs!$B$22+((C1119=TRUE)*(F1119-Calc!F29)))/100+(Inputs!$B$22+((C1119=TRUE)*(F1119-Calc!F29)))/100)/2</f>
        <v/>
      </c>
      <c r="M1094">
        <f>L1094*(1+(Inputs!$B$9+((C1116=TRUE)*(F1116-Calc!F26))+B1130)/100)</f>
        <v/>
      </c>
      <c r="N1094">
        <f>L1094*(1-MIN((Inputs!$B$8+((C1115=TRUE)*(F1115-Calc!F25))+B1123),100)/100)+M1094*(MIN((Inputs!$B$8+((C1115=TRUE)*(F1115-Calc!F25))+B1123),100)/100)</f>
        <v/>
      </c>
      <c r="O1094">
        <f>IF(C1094,H1094*N1094*IF(AND(Inputs!$B$4&lt;&gt;"pvp",Inputs!$B$35&gt;0),((Skills!G4*((R1094-1)*IF(Skills!H4&gt;0,Skills!I4/Skills!H4,1)+IF(Skills!H4&gt;0,MIN(Skills!I4,MAX(0,Inputs!$B$35-((R1094-1)*IF(Inputs!$B$4="pvp",15,MAX(0.1,Skills!D4-IF(Skills!E4=TRUE,Inputs!$B$31,0))))))/Skills!H4,1)))/Inputs!$B$35),G1094*Q1094)*IF(Inputs!$B$4="pvp",1,(1-Summary!$B$55)*(1)+Summary!$B$55*(MIN(MIN(10,0.5*B1127*Skills!D4),Inputs!$B$37))),0)</f>
        <v/>
      </c>
      <c r="P1094">
        <f>IF(B1135=0,0,O1094/B1135)</f>
        <v/>
      </c>
      <c r="Q1094">
        <f>IFERROR(1/IF(Inputs!$B$4="pvp",15,MAX(0.1,Skills!D4-IF(Skills!E4=TRUE,Inputs!$B$31,0))),0)</f>
        <v/>
      </c>
      <c r="R1094">
        <f>IF(AND(Inputs!$B$4&lt;&gt;"pvp",Inputs!$B$35&gt;0),(INT(Inputs!$B$35/IF(Inputs!$B$4="pvp",15,MAX(0.1,Skills!D4-IF(Skills!E4=TRUE,Inputs!$B$31,0))))+1),0)</f>
        <v/>
      </c>
      <c r="S1094">
        <f>IFERROR(O1094/N1094,0)</f>
        <v/>
      </c>
      <c r="U1094">
        <f>290*U1093/1000</f>
        <v/>
      </c>
    </row>
    <row r="1095">
      <c r="A1095">
        <f>Skills!A5</f>
        <v/>
      </c>
      <c r="B1095">
        <f>Skills!B5</f>
        <v/>
      </c>
      <c r="C1095">
        <f>Inputs!$B$3&gt;=63</f>
        <v/>
      </c>
      <c r="D1095">
        <f>IF(Skills!C5=1,60+Inputs!$B$24+Inputs!$B$28,IF(Skills!C5=2,90+Inputs!$B$25+Inputs!$B$28,IF(Skills!C5=3,120+Inputs!$B$26+Inputs!$B$28,MAX(0,(Inputs!$B$3-100)*3)+Inputs!$B$27+Inputs!$B$28)))</f>
        <v/>
      </c>
      <c r="E1095">
        <f>INDEX(FactorTable!$B$2:$Y$301, MATCH(ROUND(MIN(300,MAX(1,D1095)),0), FactorTable!$A$2:$A$301,0), Skills!M5+1)</f>
        <v/>
      </c>
      <c r="F1095">
        <f>IF(Skills!N5=TRUE,(Skills!L5/10)*(E1095/1000),Skills!L5/10)+Skills!O5</f>
        <v/>
      </c>
      <c r="G1095">
        <f>Skills!G5*IF(Skills!H5&gt;0,Skills!I5/Skills!H5,1)</f>
        <v/>
      </c>
      <c r="H1095">
        <f>1-(1-Skills!J5/100)^Skills!K5</f>
        <v/>
      </c>
      <c r="I1095" t="inlineStr">
        <is>
          <t>1</t>
        </is>
      </c>
      <c r="J1095">
        <f>(Inputs!$B$5*(1+(Inputs!$B$6+1)/100))*(F1095/100)</f>
        <v/>
      </c>
      <c r="K1095">
        <f>J1095*(1+((Inputs!$B$11*(1+Inputs!$B$12/100))*0.01+Inputs!$B$13*0.0025)/100)*(1+Inputs!$B$14/100)*(1+IF(Inputs!$B$4="pvp",0,(1-Summary!$B$55)*(Inputs!$B$19+0+Skills!P5+B1124)+Summary!$B$55*(Inputs!$B$20+Skills!Q5+B1124))/100)*(1+Inputs!$B$15/100)*(5000/(6000+Inputs!$B$7*(1-Inputs!$B$18/100)))*(1+(Inputs!$B$23+((C1120=TRUE)*(F1120-Calc!F30)))/100)*(1+2.6666666666666665*IF(C1108=TRUE,F1108,0)/100)*(1+(IF(Skills!A5="CRUEL_STAB",Inputs!$B$16+((C1117=TRUE)*(F1117-Calc!F27)),Inputs!$B$17+((C1118=TRUE)*(F1118-Calc!F28))))/100)*(((1+(((C1111=TRUE)*F1111*IF(AND(Inputs!$B$4&lt;&gt;"pvp",Inputs!$B$35&gt;0),(((S1111-1)*(Skills!Y21*(1+Inputs!$B$33/100))+MIN((Skills!Y21*(1+Inputs!$B$33/100)),MAX(0,Inputs!$B$35-((S1111-1)*Skills!D21))))/Inputs!$B$35),IF(Inputs!$B$4="pvp",MIN((Skills!Y21*(1+Inputs!$B$33/100)),15)/15,(Skills!Y21*(1+Inputs!$B$33/100))/Skills!D21)))+((C1113=TRUE)*(F1113-Calc!F23))+((C1107=TRUE)*(F1107-Calc!F17)))/100)*(1+((C1100=TRUE)*F1100*IF(AND(Inputs!$B$4&lt;&gt;"pvp",Inputs!$B$35&gt;0),(((S1100-1)*(Skills!Y10*(1+Inputs!$B$33/100))+MIN((Skills!Y10*(1+Inputs!$B$33/100)),MAX(0,Inputs!$B$35-((S1100-1)*Skills!D10))))/Inputs!$B$35),IF(Inputs!$B$4="pvp",MIN((Skills!Y10*(1+Inputs!$B$33/100)),15)/15,(Skills!Y10*(1+Inputs!$B$33/100))/Skills!D10)))/100)*(1+((C1105=TRUE)*F1105*IF(AND(Inputs!$B$4&lt;&gt;"pvp",Inputs!$B$35&gt;0),(((S1105-1)*(Skills!Y15*(1+Inputs!$B$33/100))+MIN((Skills!Y15*(1+Inputs!$B$33/100)),MAX(0,Inputs!$B$35-((S1105-1)*Skills!D15))))/Inputs!$B$35),IF(Inputs!$B$4="pvp",MIN((Skills!Y15*(1+Inputs!$B$33/100)),15)/15,(Skills!Y15*(1+Inputs!$B$33/100))/Skills!D15)))/100))*B1125*I1095)</f>
        <v/>
      </c>
      <c r="L1095">
        <f>K1095*(MIN(Inputs!$B$21+((C1114=TRUE)*(F1114-Calc!F24)),Inputs!$B$22+((C1119=TRUE)*(F1119-Calc!F29)))/100+(Inputs!$B$22+((C1119=TRUE)*(F1119-Calc!F29)))/100)/2</f>
        <v/>
      </c>
      <c r="M1095">
        <f>L1095*(1+(Inputs!$B$9+((C1116=TRUE)*(F1116-Calc!F26))+B1130)/100)</f>
        <v/>
      </c>
      <c r="N1095">
        <f>L1095*(1-MIN((Inputs!$B$8+((C1115=TRUE)*(F1115-Calc!F25))+B1123),100)/100)+M1095*(MIN((Inputs!$B$8+((C1115=TRUE)*(F1115-Calc!F25))+B1123),100)/100)</f>
        <v/>
      </c>
      <c r="O1095">
        <f>IF(C1095,H1095*N1095*IF(AND(Inputs!$B$4&lt;&gt;"pvp",Inputs!$B$35&gt;0),((Skills!G5*((R1095-1)*IF(Skills!H5&gt;0,Skills!I5/Skills!H5,1)+IF(Skills!H5&gt;0,MIN(Skills!I5,MAX(0,Inputs!$B$35-((R1095-1)*IF(Inputs!$B$4="pvp",15,MAX(0.1,Skills!D5-IF(Skills!E5=TRUE,Inputs!$B$31,0))))))/Skills!H5,1)))/Inputs!$B$35),G1095*Q1095)*IF(Inputs!$B$4="pvp",1,(1-Summary!$B$55)*(1)+Summary!$B$55*(MIN(Skills!W5,Inputs!$B$37))),0)</f>
        <v/>
      </c>
      <c r="P1095">
        <f>IF(B1135=0,0,O1095/B1135)</f>
        <v/>
      </c>
      <c r="Q1095">
        <f>IFERROR(1/IF(Inputs!$B$4="pvp",15,MAX(0.1,Skills!D5-IF(Skills!E5=TRUE,Inputs!$B$31,0))),0)</f>
        <v/>
      </c>
      <c r="R1095">
        <f>IF(AND(Inputs!$B$4&lt;&gt;"pvp",Inputs!$B$35&gt;0),(INT(Inputs!$B$35/IF(Inputs!$B$4="pvp",15,MAX(0.1,Skills!D5-IF(Skills!E5=TRUE,Inputs!$B$31,0))))+1),0)</f>
        <v/>
      </c>
      <c r="S1095">
        <f>IFERROR(O1095/N1095,0)</f>
        <v/>
      </c>
    </row>
    <row r="1096">
      <c r="A1096">
        <f>Skills!A6</f>
        <v/>
      </c>
      <c r="B1096">
        <f>Skills!B6</f>
        <v/>
      </c>
      <c r="C1096">
        <f>Inputs!$B$3&gt;=69</f>
        <v/>
      </c>
      <c r="D1096">
        <f>IF(Skills!C6=1,60+Inputs!$B$24+Inputs!$B$28,IF(Skills!C6=2,90+Inputs!$B$25+Inputs!$B$28,IF(Skills!C6=3,120+Inputs!$B$26+Inputs!$B$28,MAX(0,(Inputs!$B$3-100)*3)+Inputs!$B$27+Inputs!$B$28)))</f>
        <v/>
      </c>
      <c r="E1096">
        <f>INDEX(FactorTable!$B$2:$Y$301, MATCH(ROUND(MIN(300,MAX(1,D1096)),0), FactorTable!$A$2:$A$301,0), Skills!M6+1)</f>
        <v/>
      </c>
      <c r="F1096">
        <f>IF(Skills!N6=TRUE,(Skills!L6/10)*(E1096/1000),Skills!L6/10)+Skills!O6</f>
        <v/>
      </c>
      <c r="G1096">
        <f>Skills!G6*IF(Skills!H6&gt;0,Skills!I6/Skills!H6,1)</f>
        <v/>
      </c>
      <c r="H1096">
        <f>1-(1-Skills!J6/100)^Skills!K6</f>
        <v/>
      </c>
      <c r="I1096" t="inlineStr">
        <is>
          <t>1</t>
        </is>
      </c>
      <c r="J1096">
        <f>(Inputs!$B$5*(1+(Inputs!$B$6+1)/100))*(F1096/100)</f>
        <v/>
      </c>
      <c r="K1096">
        <f>J1096*(1+((Inputs!$B$11*(1+Inputs!$B$12/100))*0.01+Inputs!$B$13*0.0025)/100)*(1+Inputs!$B$14/100)*(1+IF(Inputs!$B$4="pvp",0,(1-Summary!$B$55)*(Inputs!$B$19+0+Skills!P6+B1124)+Summary!$B$55*(Inputs!$B$20+Skills!Q6+B1124))/100)*(1+Inputs!$B$15/100)*(5000/(6000+Inputs!$B$7*(1-Inputs!$B$18/100)))*(1+(Inputs!$B$23+((C1120=TRUE)*(F1120-Calc!F30)))/100)*(1+1.0*IF(C1108=TRUE,F1108,0)/100)*(1+(IF(Skills!A6="CRUEL_STAB",Inputs!$B$16+((C1117=TRUE)*(F1117-Calc!F27)),Inputs!$B$17+((C1118=TRUE)*(F1118-Calc!F28))))/100)*(((1+(((C1111=TRUE)*F1111*IF(AND(Inputs!$B$4&lt;&gt;"pvp",Inputs!$B$35&gt;0),(((S1111-1)*(Skills!Y21*(1+Inputs!$B$33/100))+MIN((Skills!Y21*(1+Inputs!$B$33/100)),MAX(0,Inputs!$B$35-((S1111-1)*Skills!D21))))/Inputs!$B$35),IF(Inputs!$B$4="pvp",MIN((Skills!Y21*(1+Inputs!$B$33/100)),15)/15,(Skills!Y21*(1+Inputs!$B$33/100))/Skills!D21)))+((C1113=TRUE)*(F1113-Calc!F23))+((C1107=TRUE)*(F1107-Calc!F17)))/100)*(1+((C1100=TRUE)*F1100*IF(AND(Inputs!$B$4&lt;&gt;"pvp",Inputs!$B$35&gt;0),(((S1100-1)*(Skills!Y10*(1+Inputs!$B$33/100))+MIN((Skills!Y10*(1+Inputs!$B$33/100)),MAX(0,Inputs!$B$35-((S1100-1)*Skills!D10))))/Inputs!$B$35),IF(Inputs!$B$4="pvp",MIN((Skills!Y10*(1+Inputs!$B$33/100)),15)/15,(Skills!Y10*(1+Inputs!$B$33/100))/Skills!D10)))/100)*(1+((C1105=TRUE)*F1105*IF(AND(Inputs!$B$4&lt;&gt;"pvp",Inputs!$B$35&gt;0),(((S1105-1)*(Skills!Y15*(1+Inputs!$B$33/100))+MIN((Skills!Y15*(1+Inputs!$B$33/100)),MAX(0,Inputs!$B$35-((S1105-1)*Skills!D15))))/Inputs!$B$35),IF(Inputs!$B$4="pvp",MIN((Skills!Y15*(1+Inputs!$B$33/100)),15)/15,(Skills!Y15*(1+Inputs!$B$33/100))/Skills!D15)))/100))*B1125*I1096)</f>
        <v/>
      </c>
      <c r="L1096">
        <f>K1096*(MIN(Inputs!$B$21+((C1114=TRUE)*(F1114-Calc!F24)),Inputs!$B$22+((C1119=TRUE)*(F1119-Calc!F29)))/100+(Inputs!$B$22+((C1119=TRUE)*(F1119-Calc!F29)))/100)/2</f>
        <v/>
      </c>
      <c r="M1096">
        <f>L1096*(1+(Inputs!$B$9+((C1116=TRUE)*(F1116-Calc!F26))+B1130)/100)</f>
        <v/>
      </c>
      <c r="N1096">
        <f>L1096*(1-MIN((Inputs!$B$8+((C1115=TRUE)*(F1115-Calc!F25))+B1123),100)/100)+M1096*(MIN((Inputs!$B$8+((C1115=TRUE)*(F1115-Calc!F25))+B1123),100)/100)</f>
        <v/>
      </c>
      <c r="O1096">
        <f>IF(C1096,H1096*N1096*IF(AND(Inputs!$B$4&lt;&gt;"pvp",Inputs!$B$35&gt;0),((Skills!G6*((R1096-1)*IF(Skills!H6&gt;0,Skills!I6/Skills!H6,1)+IF(Skills!H6&gt;0,MIN(Skills!I6,MAX(0,Inputs!$B$35-((R1096-1)*IF(Inputs!$B$4="pvp",15,MAX(0.1,Skills!D6-IF(Skills!E6=TRUE,Inputs!$B$31,0))))))/Skills!H6,1)))/Inputs!$B$35),G1096*Q1096)*IF(Inputs!$B$4="pvp",1,(1-Summary!$B$55)*(1)+Summary!$B$55*(MIN(Skills!W6,Inputs!$B$37))),0)</f>
        <v/>
      </c>
      <c r="P1096">
        <f>IF(B1135=0,0,O1096/B1135)</f>
        <v/>
      </c>
      <c r="Q1096">
        <f>IFERROR(1/IF(Inputs!$B$4="pvp",15,MAX(0.1,Skills!D6-IF(Skills!E6=TRUE,Inputs!$B$31,0))),0)</f>
        <v/>
      </c>
      <c r="R1096">
        <f>IF(AND(Inputs!$B$4&lt;&gt;"pvp",Inputs!$B$35&gt;0),(INT(Inputs!$B$35/IF(Inputs!$B$4="pvp",15,MAX(0.1,Skills!D6-IF(Skills!E6=TRUE,Inputs!$B$31,0))))+1),0)</f>
        <v/>
      </c>
      <c r="S1096">
        <f>IFERROR(O1096/N1096,0)</f>
        <v/>
      </c>
    </row>
    <row r="1097">
      <c r="A1097">
        <f>Skills!A7</f>
        <v/>
      </c>
      <c r="B1097">
        <f>Skills!B7</f>
        <v/>
      </c>
      <c r="C1097">
        <f>Inputs!$B$3&gt;=60</f>
        <v/>
      </c>
      <c r="D1097">
        <f>IF(Skills!C7=1,60+Inputs!$B$24+Inputs!$B$28,IF(Skills!C7=2,90+Inputs!$B$25+Inputs!$B$28,IF(Skills!C7=3,120+Inputs!$B$26+Inputs!$B$28,MAX(0,(Inputs!$B$3-100)*3)+Inputs!$B$27+Inputs!$B$28)))</f>
        <v/>
      </c>
      <c r="E1097">
        <f>INDEX(FactorTable!$B$2:$Y$301, MATCH(ROUND(MIN(300,MAX(1,D1097)),0), FactorTable!$A$2:$A$301,0), Skills!M7+1)</f>
        <v/>
      </c>
      <c r="F1097">
        <f>IF(Skills!N7=TRUE,(Skills!L7/10)*(E1097/1000),Skills!L7/10)+Skills!O7</f>
        <v/>
      </c>
      <c r="G1097">
        <f>Skills!G7*IF(Skills!H7&gt;0,Skills!I7/Skills!H7,1)</f>
        <v/>
      </c>
      <c r="H1097">
        <f>1-(1-Skills!J7/100)^Skills!K7</f>
        <v/>
      </c>
      <c r="I1097" t="inlineStr">
        <is>
          <t>1</t>
        </is>
      </c>
      <c r="J1097" t="inlineStr"/>
      <c r="K1097" t="inlineStr"/>
      <c r="L1097" t="inlineStr"/>
      <c r="M1097" t="inlineStr"/>
      <c r="N1097" t="inlineStr"/>
      <c r="O1097" t="n">
        <v>0</v>
      </c>
      <c r="P1097">
        <f>IF(B1135=0,0,O1097/B1135)</f>
        <v/>
      </c>
      <c r="Q1097" t="n">
        <v>0</v>
      </c>
      <c r="R1097" t="n">
        <v>0</v>
      </c>
      <c r="S1097">
        <f>IFERROR(O1097/N1097,0)</f>
        <v/>
      </c>
    </row>
    <row r="1098">
      <c r="A1098">
        <f>Skills!A8</f>
        <v/>
      </c>
      <c r="B1098">
        <f>Skills!B8</f>
        <v/>
      </c>
      <c r="C1098">
        <f>Inputs!$B$3&gt;=72</f>
        <v/>
      </c>
      <c r="D1098">
        <f>IF(Skills!C8=1,60+Inputs!$B$24+Inputs!$B$28,IF(Skills!C8=2,90+Inputs!$B$25+Inputs!$B$28,IF(Skills!C8=3,120+Inputs!$B$26+Inputs!$B$28,MAX(0,(Inputs!$B$3-100)*3)+Inputs!$B$27+Inputs!$B$28)))</f>
        <v/>
      </c>
      <c r="E1098">
        <f>INDEX(FactorTable!$B$2:$Y$301, MATCH(ROUND(MIN(300,MAX(1,D1098)),0), FactorTable!$A$2:$A$301,0), Skills!M8+1)</f>
        <v/>
      </c>
      <c r="F1098">
        <f>IF(Skills!N8=TRUE,(Skills!L8/10)*(E1098/1000),Skills!L8/10)+Skills!O8</f>
        <v/>
      </c>
      <c r="G1098">
        <f>Skills!G8*IF(Skills!H8&gt;0,Skills!I8/Skills!H8,1)</f>
        <v/>
      </c>
      <c r="H1098">
        <f>1-(1-Skills!J8/100)^Skills!K8</f>
        <v/>
      </c>
      <c r="I1098" t="inlineStr">
        <is>
          <t>1</t>
        </is>
      </c>
      <c r="J1098">
        <f>(Inputs!$B$5*(1+(Inputs!$B$6+1)/100))*(F1098/100)</f>
        <v/>
      </c>
      <c r="K1098">
        <f>J1098*(1+((Inputs!$B$11*(1+Inputs!$B$12/100))*0.01+Inputs!$B$13*0.0025)/100)*(1+Inputs!$B$14/100)*(1+IF(Inputs!$B$4="pvp",0,(1-Summary!$B$55)*(Inputs!$B$19+0+Skills!P8+B1124)+Summary!$B$55*(Inputs!$B$20+Skills!Q8+B1124))/100)*(1+Inputs!$B$15/100)*(5000/(6000+Inputs!$B$7*(1-Inputs!$B$18/100)))*(1+(Inputs!$B$23+((C1120=TRUE)*(F1120-Calc!F30)))/100)*(1+3.3333333333333335*IF(C1108=TRUE,F1108,0)/100)*(1+(IF(Skills!A8="CRUEL_STAB",Inputs!$B$16+((C1117=TRUE)*(F1117-Calc!F27)),Inputs!$B$17+((C1118=TRUE)*(F1118-Calc!F28))))/100)*(((1+(((C1111=TRUE)*F1111*IF(AND(Inputs!$B$4&lt;&gt;"pvp",Inputs!$B$35&gt;0),(((S1111-1)*(Skills!Y21*(1+Inputs!$B$33/100))+MIN((Skills!Y21*(1+Inputs!$B$33/100)),MAX(0,Inputs!$B$35-((S1111-1)*Skills!D21))))/Inputs!$B$35),IF(Inputs!$B$4="pvp",MIN((Skills!Y21*(1+Inputs!$B$33/100)),15)/15,(Skills!Y21*(1+Inputs!$B$33/100))/Skills!D21)))+((C1113=TRUE)*(F1113-Calc!F23))+((C1107=TRUE)*(F1107-Calc!F17)))/100)*(1+((C1100=TRUE)*F1100*IF(AND(Inputs!$B$4&lt;&gt;"pvp",Inputs!$B$35&gt;0),(((S1100-1)*(Skills!Y10*(1+Inputs!$B$33/100))+MIN((Skills!Y10*(1+Inputs!$B$33/100)),MAX(0,Inputs!$B$35-((S1100-1)*Skills!D10))))/Inputs!$B$35),IF(Inputs!$B$4="pvp",MIN((Skills!Y10*(1+Inputs!$B$33/100)),15)/15,(Skills!Y10*(1+Inputs!$B$33/100))/Skills!D10)))/100)*(1+((C1105=TRUE)*F1105*IF(AND(Inputs!$B$4&lt;&gt;"pvp",Inputs!$B$35&gt;0),(((S1105-1)*(Skills!Y15*(1+Inputs!$B$33/100))+MIN((Skills!Y15*(1+Inputs!$B$33/100)),MAX(0,Inputs!$B$35-((S1105-1)*Skills!D15))))/Inputs!$B$35),IF(Inputs!$B$4="pvp",MIN((Skills!Y15*(1+Inputs!$B$33/100)),15)/15,(Skills!Y15*(1+Inputs!$B$33/100))/Skills!D15)))/100))*B1125*I1098)</f>
        <v/>
      </c>
      <c r="L1098">
        <f>K1098*(MIN(Inputs!$B$21+((C1114=TRUE)*(F1114-Calc!F24)),Inputs!$B$22+((C1119=TRUE)*(F1119-Calc!F29)))/100+(Inputs!$B$22+((C1119=TRUE)*(F1119-Calc!F29)))/100)/2</f>
        <v/>
      </c>
      <c r="M1098">
        <f>L1098*(1+(Inputs!$B$9+((C1116=TRUE)*(F1116-Calc!F26))+B1130)/100)</f>
        <v/>
      </c>
      <c r="N1098">
        <f>L1098*(1-MIN((Inputs!$B$8+((C1115=TRUE)*(F1115-Calc!F25))+B1123),100)/100)+M1098*(MIN((Inputs!$B$8+((C1115=TRUE)*(F1115-Calc!F25))+B1123),100)/100)</f>
        <v/>
      </c>
      <c r="O1098">
        <f>IF(C1098,H1098*N1098*IF(AND(Inputs!$B$4&lt;&gt;"pvp",Inputs!$B$35&gt;0),((Skills!G8*((R1098-1)*IF(Skills!H8&gt;0,Skills!I8/Skills!H8,1)+IF(Skills!H8&gt;0,MIN(Skills!I8,MAX(0,Inputs!$B$35-((R1098-1)*IF(Inputs!$B$4="pvp",15,MAX(0.1,Skills!D8-IF(Skills!E8=TRUE,Inputs!$B$31,0))))))/Skills!H8,1)))/Inputs!$B$35),G1098*Q1098)*IF(Inputs!$B$4="pvp",1,(1-Summary!$B$55)*(1)+Summary!$B$55*(MIN(Skills!W8,Inputs!$B$37))),0)</f>
        <v/>
      </c>
      <c r="P1098">
        <f>IF(B1135=0,0,O1098/B1135)</f>
        <v/>
      </c>
      <c r="Q1098">
        <f>IFERROR(1/IF(Inputs!$B$4="pvp",15,MAX(0.1,Skills!D8-IF(Skills!E8=TRUE,Inputs!$B$31,0))),0)</f>
        <v/>
      </c>
      <c r="R1098">
        <f>IF(AND(Inputs!$B$4&lt;&gt;"pvp",Inputs!$B$35&gt;0),(INT(Inputs!$B$35/IF(Inputs!$B$4="pvp",15,MAX(0.1,Skills!D8-IF(Skills!E8=TRUE,Inputs!$B$31,0))))+1),0)</f>
        <v/>
      </c>
      <c r="S1098">
        <f>IFERROR(O1098/N1098,0)</f>
        <v/>
      </c>
    </row>
    <row r="1099">
      <c r="A1099">
        <f>Skills!A9</f>
        <v/>
      </c>
      <c r="B1099">
        <f>Skills!B9</f>
        <v/>
      </c>
      <c r="C1099">
        <f>Inputs!$B$3&gt;=117</f>
        <v/>
      </c>
      <c r="D1099">
        <f>IF(Skills!C9=1,60+Inputs!$B$24+Inputs!$B$28,IF(Skills!C9=2,90+Inputs!$B$25+Inputs!$B$28,IF(Skills!C9=3,120+Inputs!$B$26+Inputs!$B$28,MAX(0,(Inputs!$B$3-100)*3)+Inputs!$B$27+Inputs!$B$28)))</f>
        <v/>
      </c>
      <c r="E1099">
        <f>INDEX(FactorTable!$B$2:$Y$301, MATCH(ROUND(MIN(300,MAX(1,D1099)),0), FactorTable!$A$2:$A$301,0), Skills!M9+1)</f>
        <v/>
      </c>
      <c r="F1099">
        <f>IF(Skills!N9=TRUE,(Skills!L9/10)*(E1099/1000),Skills!L9/10)+Skills!O9</f>
        <v/>
      </c>
      <c r="G1099">
        <f>Skills!G9*IF(Skills!H9&gt;0,Skills!I9/Skills!H9,1)</f>
        <v/>
      </c>
      <c r="H1099">
        <f>1-(1-Skills!J9/100)^Skills!K9</f>
        <v/>
      </c>
      <c r="I1099" t="inlineStr">
        <is>
          <t>1</t>
        </is>
      </c>
      <c r="J1099">
        <f>(Inputs!$B$5*(1+(Inputs!$B$6+1)/100))*(F1099/100)</f>
        <v/>
      </c>
      <c r="K1099">
        <f>J1099*(1+((Inputs!$B$11*(1+Inputs!$B$12/100))*0.01+Inputs!$B$13*0.0025)/100)*(1+Inputs!$B$14/100)*(1+IF(Inputs!$B$4="pvp",0,(1-Summary!$B$55)*(Inputs!$B$19+0+Skills!P9+B1124)+Summary!$B$55*(Inputs!$B$20+Skills!Q9+B1124))/100)*(1+Inputs!$B$15/100)*(5000/(6000+Inputs!$B$7*(1-Inputs!$B$18/100)))*(1+(Inputs!$B$23+((C1120=TRUE)*(F1120-Calc!F30)))/100)*(1+(IF(Skills!A9="CRUEL_STAB",Inputs!$B$16+((C1117=TRUE)*(F1117-Calc!F27)),Inputs!$B$17+((C1118=TRUE)*(F1118-Calc!F28))))/100)*(((1+(((C1111=TRUE)*F1111*IF(AND(Inputs!$B$4&lt;&gt;"pvp",Inputs!$B$35&gt;0),(((S1111-1)*(Skills!Y21*(1+Inputs!$B$33/100))+MIN((Skills!Y21*(1+Inputs!$B$33/100)),MAX(0,Inputs!$B$35-((S1111-1)*Skills!D21))))/Inputs!$B$35),IF(Inputs!$B$4="pvp",MIN((Skills!Y21*(1+Inputs!$B$33/100)),15)/15,(Skills!Y21*(1+Inputs!$B$33/100))/Skills!D21)))+((C1113=TRUE)*(F1113-Calc!F23))+((C1107=TRUE)*(F1107-Calc!F17)))/100)*(1+((C1100=TRUE)*F1100*IF(AND(Inputs!$B$4&lt;&gt;"pvp",Inputs!$B$35&gt;0),(((S1100-1)*(Skills!Y10*(1+Inputs!$B$33/100))+MIN((Skills!Y10*(1+Inputs!$B$33/100)),MAX(0,Inputs!$B$35-((S1100-1)*Skills!D10))))/Inputs!$B$35),IF(Inputs!$B$4="pvp",MIN((Skills!Y10*(1+Inputs!$B$33/100)),15)/15,(Skills!Y10*(1+Inputs!$B$33/100))/Skills!D10)))/100)*(1+((C1105=TRUE)*F1105*IF(AND(Inputs!$B$4&lt;&gt;"pvp",Inputs!$B$35&gt;0),(((S1105-1)*(Skills!Y15*(1+Inputs!$B$33/100))+MIN((Skills!Y15*(1+Inputs!$B$33/100)),MAX(0,Inputs!$B$35-((S1105-1)*Skills!D15))))/Inputs!$B$35),IF(Inputs!$B$4="pvp",MIN((Skills!Y15*(1+Inputs!$B$33/100)),15)/15,(Skills!Y15*(1+Inputs!$B$33/100))/Skills!D15)))/100))*B1125*I1099)</f>
        <v/>
      </c>
      <c r="L1099">
        <f>K1099*(MIN(Inputs!$B$21+((C1114=TRUE)*(F1114-Calc!F24)),Inputs!$B$22+((C1119=TRUE)*(F1119-Calc!F29)))/100+(Inputs!$B$22+((C1119=TRUE)*(F1119-Calc!F29)))/100)/2</f>
        <v/>
      </c>
      <c r="M1099">
        <f>L1099*(1+(Inputs!$B$9+((C1116=TRUE)*(F1116-Calc!F26))+B1130)/100)</f>
        <v/>
      </c>
      <c r="N1099">
        <f>L1099*(1-MIN((Inputs!$B$8+((C1115=TRUE)*(F1115-Calc!F25))+B1123),100)/100)+M1099*(MIN((Inputs!$B$8+((C1115=TRUE)*(F1115-Calc!F25))+B1123),100)/100)</f>
        <v/>
      </c>
      <c r="O1099">
        <f>IF(C1099,0.2*SUMPRODUCT((Skills!Z2:Z30=TRUE)*(C1092:C1120=TRUE)*S1092:S1120)*N1099,0)</f>
        <v/>
      </c>
      <c r="P1099">
        <f>IF(B1135=0,0,O1099/B1135)</f>
        <v/>
      </c>
      <c r="Q1099" t="n">
        <v>0</v>
      </c>
      <c r="R1099" t="n">
        <v>0</v>
      </c>
      <c r="S1099" t="n">
        <v>0</v>
      </c>
    </row>
    <row r="1100">
      <c r="A1100">
        <f>Skills!A10</f>
        <v/>
      </c>
      <c r="B1100">
        <f>Skills!B10</f>
        <v/>
      </c>
      <c r="C1100">
        <f>Inputs!$B$3&gt;=74</f>
        <v/>
      </c>
      <c r="D1100">
        <f>IF(Skills!C10=1,60+Inputs!$B$24+Inputs!$B$28,IF(Skills!C10=2,90+Inputs!$B$25+Inputs!$B$28,IF(Skills!C10=3,120+Inputs!$B$26+Inputs!$B$28,MAX(0,(Inputs!$B$3-100)*3)+Inputs!$B$27+Inputs!$B$28)))</f>
        <v/>
      </c>
      <c r="E1100">
        <f>INDEX(FactorTable!$B$2:$Y$301, MATCH(ROUND(MIN(300,MAX(1,D1100)),0), FactorTable!$A$2:$A$301,0), Skills!M10+1)</f>
        <v/>
      </c>
      <c r="F1100">
        <f>IF(Skills!N10=TRUE,(Skills!L10/10)*(E1100/1000),Skills!L10/10)+Skills!O10</f>
        <v/>
      </c>
      <c r="G1100">
        <f>Skills!G10*IF(Skills!H10&gt;0,Skills!I10/Skills!H10,1)</f>
        <v/>
      </c>
      <c r="H1100">
        <f>1-(1-Skills!J10/100)^Skills!K10</f>
        <v/>
      </c>
      <c r="I1100" t="inlineStr">
        <is>
          <t>1</t>
        </is>
      </c>
      <c r="J1100" t="inlineStr"/>
      <c r="K1100" t="inlineStr"/>
      <c r="L1100" t="inlineStr"/>
      <c r="M1100" t="inlineStr"/>
      <c r="N1100" t="inlineStr"/>
      <c r="O1100" t="n">
        <v>0</v>
      </c>
      <c r="P1100">
        <f>IF(B1135=0,0,O1100/B1135)</f>
        <v/>
      </c>
      <c r="Q1100">
        <f>IFERROR(1/IF(Inputs!$B$4="pvp",15,MAX(0.1,Skills!D10-IF(Skills!E10=TRUE,Inputs!$B$31,0))),0)</f>
        <v/>
      </c>
      <c r="R1100">
        <f>IF(AND(Inputs!$B$4&lt;&gt;"pvp",Inputs!$B$35&gt;0),(INT(Inputs!$B$35/IF(Inputs!$B$4="pvp",15,MAX(0.1,Skills!D10-IF(Skills!E10=TRUE,Inputs!$B$31,0))))+1),0)</f>
        <v/>
      </c>
      <c r="S1100">
        <f>IFERROR(O1100/N1100,0)</f>
        <v/>
      </c>
    </row>
    <row r="1101">
      <c r="A1101">
        <f>Skills!A11</f>
        <v/>
      </c>
      <c r="B1101">
        <f>Skills!B11</f>
        <v/>
      </c>
      <c r="C1101">
        <f>Inputs!$B$3&gt;=103</f>
        <v/>
      </c>
      <c r="D1101">
        <f>IF(Skills!C11=1,60+Inputs!$B$24+Inputs!$B$28,IF(Skills!C11=2,90+Inputs!$B$25+Inputs!$B$28,IF(Skills!C11=3,120+Inputs!$B$26+Inputs!$B$28,MAX(0,(Inputs!$B$3-100)*3)+Inputs!$B$27+Inputs!$B$28)))</f>
        <v/>
      </c>
      <c r="E1101">
        <f>INDEX(FactorTable!$B$2:$Y$301, MATCH(ROUND(MIN(300,MAX(1,D1101)),0), FactorTable!$A$2:$A$301,0), Skills!M11+1)</f>
        <v/>
      </c>
      <c r="F1101">
        <f>(Skills!L11/10)*(E1101/1000)+IF(Inputs!$B$3&gt;=134,50,0)+0.5*(30000/10)*(INDEX(FactorTable!$B$2:$Y$301, MATCH(ROUND(MIN(300,MAX(1,D1101)),0), FactorTable!$A$2:$A$301,0), 13)/1000)*B1133</f>
        <v/>
      </c>
      <c r="G1101">
        <f>Skills!G11*IF(Skills!H11&gt;0,Skills!I11/Skills!H11,1)</f>
        <v/>
      </c>
      <c r="H1101">
        <f>1-(1-Skills!J11/100)^Skills!K11</f>
        <v/>
      </c>
      <c r="I1101" t="inlineStr">
        <is>
          <t>1</t>
        </is>
      </c>
      <c r="J1101">
        <f>(Inputs!$B$5*(1+(Inputs!$B$6+1)/100))*(F1101/100)</f>
        <v/>
      </c>
      <c r="K1101">
        <f>J1101*(1+((Inputs!$B$11*(1+Inputs!$B$12/100))*0.01+Inputs!$B$13*0.0025)/100)*(1+Inputs!$B$14/100)*(1+IF(Inputs!$B$4="pvp",0,(1-Summary!$B$55)*(Inputs!$B$19+0+Skills!P11+B1124)+Summary!$B$55*(Inputs!$B$20+Skills!Q11+B1124))/100)*(1+Inputs!$B$15/100)*(5000/(6000+Inputs!$B$7*(1-Inputs!$B$18/100)))*(1+(Inputs!$B$23+((C1120=TRUE)*(F1120-Calc!F30)))/100)*(1+(IF(Skills!A11="CRUEL_STAB",Inputs!$B$16+((C1117=TRUE)*(F1117-Calc!F27)),Inputs!$B$17+((C1118=TRUE)*(F1118-Calc!F28))))/100)*(((1+(((C1111=TRUE)*F1111*IF(AND(Inputs!$B$4&lt;&gt;"pvp",Inputs!$B$35&gt;0),(((S1111-1)*(Skills!Y21*(1+Inputs!$B$33/100))+MIN((Skills!Y21*(1+Inputs!$B$33/100)),MAX(0,Inputs!$B$35-((S1111-1)*Skills!D21))))/Inputs!$B$35),IF(Inputs!$B$4="pvp",MIN((Skills!Y21*(1+Inputs!$B$33/100)),15)/15,(Skills!Y21*(1+Inputs!$B$33/100))/Skills!D21)))+((C1113=TRUE)*(F1113-Calc!F23))+((C1107=TRUE)*(F1107-Calc!F17)))/100)*(1+((C1100=TRUE)*F1100*IF(AND(Inputs!$B$4&lt;&gt;"pvp",Inputs!$B$35&gt;0),(((S1100-1)*(Skills!Y10*(1+Inputs!$B$33/100))+MIN((Skills!Y10*(1+Inputs!$B$33/100)),MAX(0,Inputs!$B$35-((S1100-1)*Skills!D10))))/Inputs!$B$35),IF(Inputs!$B$4="pvp",MIN((Skills!Y10*(1+Inputs!$B$33/100)),15)/15,(Skills!Y10*(1+Inputs!$B$33/100))/Skills!D10)))/100)*(1+((C1105=TRUE)*F1105*IF(AND(Inputs!$B$4&lt;&gt;"pvp",Inputs!$B$35&gt;0),(((S1105-1)*(Skills!Y15*(1+Inputs!$B$33/100))+MIN((Skills!Y15*(1+Inputs!$B$33/100)),MAX(0,Inputs!$B$35-((S1105-1)*Skills!D15))))/Inputs!$B$35),IF(Inputs!$B$4="pvp",MIN((Skills!Y15*(1+Inputs!$B$33/100)),15)/15,(Skills!Y15*(1+Inputs!$B$33/100))/Skills!D15)))/100))*B1125*I1101)</f>
        <v/>
      </c>
      <c r="L1101">
        <f>K1101*(MIN(Inputs!$B$21+((C1114=TRUE)*(F1114-Calc!F24)),Inputs!$B$22+((C1119=TRUE)*(F1119-Calc!F29)))/100+(Inputs!$B$22+((C1119=TRUE)*(F1119-Calc!F29)))/100)/2</f>
        <v/>
      </c>
      <c r="M1101">
        <f>L1101*(1+(Inputs!$B$9+((C1116=TRUE)*(F1116-Calc!F26))+B1130)/100)</f>
        <v/>
      </c>
      <c r="N1101">
        <f>L1101*(1-MIN((Inputs!$B$8+((C1115=TRUE)*(F1115-Calc!F25))+B1123),100)/100)+M1101*(MIN((Inputs!$B$8+((C1115=TRUE)*(F1115-Calc!F25))+B1123),100)/100)</f>
        <v/>
      </c>
      <c r="O1101">
        <f>IF(C1101,H1101*N1101*IF(AND(Inputs!$B$4&lt;&gt;"pvp",Inputs!$B$35&gt;0),((Skills!G11*((R1101-1)*IF(Skills!H11&gt;0,Skills!I11/Skills!H11,1)+IF(Skills!H11&gt;0,MIN(Skills!I11,MAX(0,Inputs!$B$35-((R1101-1)*IF(Inputs!$B$4="pvp",15,MAX(0.1,Skills!D11-IF(Skills!E11=TRUE,Inputs!$B$31,0))))))/Skills!H11,1)))/Inputs!$B$35),G1101*Q1101)*IF(Inputs!$B$4="pvp",1,(1-Summary!$B$55)*(1)+Summary!$B$55*(MIN(Skills!W11,Inputs!$B$37))),0)</f>
        <v/>
      </c>
      <c r="P1101">
        <f>IF(B1135=0,0,O1101/B1135)</f>
        <v/>
      </c>
      <c r="Q1101">
        <f>IFERROR(1/IF(Inputs!$B$4="pvp",15,MAX(0.1,Skills!D11-IF(Skills!E11=TRUE,Inputs!$B$31,0))),0)</f>
        <v/>
      </c>
      <c r="R1101">
        <f>IF(AND(Inputs!$B$4&lt;&gt;"pvp",Inputs!$B$35&gt;0),(INT(Inputs!$B$35/IF(Inputs!$B$4="pvp",15,MAX(0.1,Skills!D11-IF(Skills!E11=TRUE,Inputs!$B$31,0))))+1),0)</f>
        <v/>
      </c>
      <c r="S1101">
        <f>IFERROR(O1101/N1101,0)</f>
        <v/>
      </c>
    </row>
    <row r="1102">
      <c r="A1102">
        <f>Skills!A12</f>
        <v/>
      </c>
      <c r="B1102">
        <f>Skills!B12</f>
        <v/>
      </c>
      <c r="C1102">
        <f>Inputs!$B$3&gt;=105</f>
        <v/>
      </c>
      <c r="D1102">
        <f>IF(Skills!C12=1,60+Inputs!$B$24+Inputs!$B$28,IF(Skills!C12=2,90+Inputs!$B$25+Inputs!$B$28,IF(Skills!C12=3,120+Inputs!$B$26+Inputs!$B$28,MAX(0,(Inputs!$B$3-100)*3)+Inputs!$B$27+Inputs!$B$28)))</f>
        <v/>
      </c>
      <c r="E1102">
        <f>INDEX(FactorTable!$B$2:$Y$301, MATCH(ROUND(MIN(300,MAX(1,D1102)),0), FactorTable!$A$2:$A$301,0), Skills!M12+1)</f>
        <v/>
      </c>
      <c r="F1102">
        <f>IF(Skills!N12=TRUE,(Skills!L12/10)*(E1102/1000),Skills!L12/10)+Skills!O12</f>
        <v/>
      </c>
      <c r="G1102">
        <f>Skills!G12*IF(Skills!H12&gt;0,Skills!I12/Skills!H12,1)</f>
        <v/>
      </c>
      <c r="H1102">
        <f>1-(1-Skills!J12/100)^Skills!K12</f>
        <v/>
      </c>
      <c r="I1102" t="inlineStr">
        <is>
          <t>1</t>
        </is>
      </c>
      <c r="J1102">
        <f>(Inputs!$B$5*(1+(Inputs!$B$6+1)/100))*(F1102/100)</f>
        <v/>
      </c>
      <c r="K1102">
        <f>J1102*(1+((Inputs!$B$11*(1+Inputs!$B$12/100))*0.01+Inputs!$B$13*0.0025)/100)*(1+Inputs!$B$14/100)*(1+IF(Inputs!$B$4="pvp",0,(1-Summary!$B$55)*(Inputs!$B$19+0+Skills!P12+B1124)+Summary!$B$55*(Inputs!$B$20+Skills!Q12+B1124))/100)*(1+Inputs!$B$15/100)*(5000/(6000+Inputs!$B$7*(1-Inputs!$B$18/100)))*(1+(Inputs!$B$23+((C1120=TRUE)*(F1120-Calc!F30)))/100)*(1+(IF(Skills!A12="CRUEL_STAB",Inputs!$B$16+((C1117=TRUE)*(F1117-Calc!F27)),Inputs!$B$17+((C1118=TRUE)*(F1118-Calc!F28))))/100)*(((1+(((C1111=TRUE)*F1111*IF(AND(Inputs!$B$4&lt;&gt;"pvp",Inputs!$B$35&gt;0),(((S1111-1)*(Skills!Y21*(1+Inputs!$B$33/100))+MIN((Skills!Y21*(1+Inputs!$B$33/100)),MAX(0,Inputs!$B$35-((S1111-1)*Skills!D21))))/Inputs!$B$35),IF(Inputs!$B$4="pvp",MIN((Skills!Y21*(1+Inputs!$B$33/100)),15)/15,(Skills!Y21*(1+Inputs!$B$33/100))/Skills!D21)))+((C1113=TRUE)*(F1113-Calc!F23))+((C1107=TRUE)*(F1107-Calc!F17)))/100)*(1+((C1100=TRUE)*F1100*IF(AND(Inputs!$B$4&lt;&gt;"pvp",Inputs!$B$35&gt;0),(((S1100-1)*(Skills!Y10*(1+Inputs!$B$33/100))+MIN((Skills!Y10*(1+Inputs!$B$33/100)),MAX(0,Inputs!$B$35-((S1100-1)*Skills!D10))))/Inputs!$B$35),IF(Inputs!$B$4="pvp",MIN((Skills!Y10*(1+Inputs!$B$33/100)),15)/15,(Skills!Y10*(1+Inputs!$B$33/100))/Skills!D10)))/100)*(1+((C1105=TRUE)*F1105*IF(AND(Inputs!$B$4&lt;&gt;"pvp",Inputs!$B$35&gt;0),(((S1105-1)*(Skills!Y15*(1+Inputs!$B$33/100))+MIN((Skills!Y15*(1+Inputs!$B$33/100)),MAX(0,Inputs!$B$35-((S1105-1)*Skills!D15))))/Inputs!$B$35),IF(Inputs!$B$4="pvp",MIN((Skills!Y15*(1+Inputs!$B$33/100)),15)/15,(Skills!Y15*(1+Inputs!$B$33/100))/Skills!D15)))/100))*B1125*I1102)</f>
        <v/>
      </c>
      <c r="L1102">
        <f>K1102*(MIN(Inputs!$B$21+((C1114=TRUE)*(F1114-Calc!F24)),Inputs!$B$22+((C1119=TRUE)*(F1119-Calc!F29)))/100+(Inputs!$B$22+((C1119=TRUE)*(F1119-Calc!F29)))/100)/2</f>
        <v/>
      </c>
      <c r="M1102">
        <f>L1102*(1+(Inputs!$B$9+((C1116=TRUE)*(F1116-Calc!F26))+B1130)/100)</f>
        <v/>
      </c>
      <c r="N1102">
        <f>L1102*(1-MIN((Inputs!$B$8+((C1115=TRUE)*(F1115-Calc!F25))+B1123),100)/100)+M1102*(MIN((Inputs!$B$8+((C1115=TRUE)*(F1115-Calc!F25))+B1123),100)/100)</f>
        <v/>
      </c>
      <c r="O1102">
        <f>IF(C1102,H1102*N1102*IF(AND(Inputs!$B$4&lt;&gt;"pvp",Inputs!$B$35&gt;0),((Skills!G12*((R1102-1)*IF(Skills!H12&gt;0,Skills!I12/Skills!H12,1)+IF(Skills!H12&gt;0,MIN(Skills!I12,MAX(0,Inputs!$B$35-((R1102-1)*IF(Inputs!$B$4="pvp",15,MAX(0.1,Skills!D12-IF(Skills!E12=TRUE,Inputs!$B$31,0))))))/Skills!H12,1)))/Inputs!$B$35),G1102*Q1102)*IF(Inputs!$B$4="pvp",1,(1-Summary!$B$55)*(1)+Summary!$B$55*(MIN(Skills!W12,Inputs!$B$37))),0)</f>
        <v/>
      </c>
      <c r="P1102">
        <f>IF(B1135=0,0,O1102/B1135)</f>
        <v/>
      </c>
      <c r="Q1102">
        <f>IFERROR(1/IF(Inputs!$B$4="pvp",15,MAX(0.1,Skills!D12-IF(Skills!E12=TRUE,Inputs!$B$31,0))),0)</f>
        <v/>
      </c>
      <c r="R1102">
        <f>IF(AND(Inputs!$B$4&lt;&gt;"pvp",Inputs!$B$35&gt;0),(INT(Inputs!$B$35/IF(Inputs!$B$4="pvp",15,MAX(0.1,Skills!D12-IF(Skills!E12=TRUE,Inputs!$B$31,0))))+1),0)</f>
        <v/>
      </c>
      <c r="S1102">
        <f>IFERROR(O1102/N1102,0)</f>
        <v/>
      </c>
    </row>
    <row r="1103">
      <c r="A1103">
        <f>Skills!A13</f>
        <v/>
      </c>
      <c r="B1103">
        <f>Skills!B13</f>
        <v/>
      </c>
      <c r="C1103">
        <f>Inputs!$B$3&gt;=105</f>
        <v/>
      </c>
      <c r="D1103">
        <f>IF(Skills!C13=1,60+Inputs!$B$24+Inputs!$B$28,IF(Skills!C13=2,90+Inputs!$B$25+Inputs!$B$28,IF(Skills!C13=3,120+Inputs!$B$26+Inputs!$B$28,MAX(0,(Inputs!$B$3-100)*3)+Inputs!$B$27+Inputs!$B$28)))</f>
        <v/>
      </c>
      <c r="E1103">
        <f>INDEX(FactorTable!$B$2:$Y$301, MATCH(ROUND(MIN(300,MAX(1,D1103)),0), FactorTable!$A$2:$A$301,0), Skills!M13+1)</f>
        <v/>
      </c>
      <c r="F1103">
        <f>IF(Skills!N13=TRUE,(Skills!L13/10)*(E1103/1000),Skills!L13/10)+Skills!O13</f>
        <v/>
      </c>
      <c r="G1103">
        <f>Skills!G13*IF(Skills!H13&gt;0,Skills!I13/Skills!H13,1)</f>
        <v/>
      </c>
      <c r="H1103">
        <f>1-(1-Skills!J13/100)^Skills!K13</f>
        <v/>
      </c>
      <c r="I1103" t="inlineStr">
        <is>
          <t>1</t>
        </is>
      </c>
      <c r="J1103">
        <f>(Inputs!$B$5*(1+(Inputs!$B$6+1)/100))*(F1103/100)</f>
        <v/>
      </c>
      <c r="K1103">
        <f>J1103*(1+((Inputs!$B$11*(1+Inputs!$B$12/100))*0.01+Inputs!$B$13*0.0025)/100)*(1+Inputs!$B$14/100)*(1+IF(Inputs!$B$4="pvp",0,(1-Summary!$B$55)*(Inputs!$B$19+0+Skills!P13+B1124)+Summary!$B$55*(Inputs!$B$20+Skills!Q13+B1124))/100)*(1+Inputs!$B$15/100)*(5000/(6000+Inputs!$B$7*(1-Inputs!$B$18/100)))*(1+(Inputs!$B$23+((C1120=TRUE)*(F1120-Calc!F30)))/100)*(1+(IF(Skills!A13="CRUEL_STAB",Inputs!$B$16+((C1117=TRUE)*(F1117-Calc!F27)),Inputs!$B$17+((C1118=TRUE)*(F1118-Calc!F28))))/100)*(((1+(((C1111=TRUE)*F1111*IF(AND(Inputs!$B$4&lt;&gt;"pvp",Inputs!$B$35&gt;0),(((S1111-1)*(Skills!Y21*(1+Inputs!$B$33/100))+MIN((Skills!Y21*(1+Inputs!$B$33/100)),MAX(0,Inputs!$B$35-((S1111-1)*Skills!D21))))/Inputs!$B$35),IF(Inputs!$B$4="pvp",MIN((Skills!Y21*(1+Inputs!$B$33/100)),15)/15,(Skills!Y21*(1+Inputs!$B$33/100))/Skills!D21)))+((C1113=TRUE)*(F1113-Calc!F23))+((C1107=TRUE)*(F1107-Calc!F17)))/100)*(1+((C1100=TRUE)*F1100*IF(AND(Inputs!$B$4&lt;&gt;"pvp",Inputs!$B$35&gt;0),(((S1100-1)*(Skills!Y10*(1+Inputs!$B$33/100))+MIN((Skills!Y10*(1+Inputs!$B$33/100)),MAX(0,Inputs!$B$35-((S1100-1)*Skills!D10))))/Inputs!$B$35),IF(Inputs!$B$4="pvp",MIN((Skills!Y10*(1+Inputs!$B$33/100)),15)/15,(Skills!Y10*(1+Inputs!$B$33/100))/Skills!D10)))/100)*(1+((C1105=TRUE)*F1105*IF(AND(Inputs!$B$4&lt;&gt;"pvp",Inputs!$B$35&gt;0),(((S1105-1)*(Skills!Y15*(1+Inputs!$B$33/100))+MIN((Skills!Y15*(1+Inputs!$B$33/100)),MAX(0,Inputs!$B$35-((S1105-1)*Skills!D15))))/Inputs!$B$35),IF(Inputs!$B$4="pvp",MIN((Skills!Y15*(1+Inputs!$B$33/100)),15)/15,(Skills!Y15*(1+Inputs!$B$33/100))/Skills!D15)))/100))*B1125*I1103)</f>
        <v/>
      </c>
      <c r="L1103">
        <f>K1103*(MIN(Inputs!$B$21+((C1114=TRUE)*(F1114-Calc!F24)),Inputs!$B$22+((C1119=TRUE)*(F1119-Calc!F29)))/100+(Inputs!$B$22+((C1119=TRUE)*(F1119-Calc!F29)))/100)/2</f>
        <v/>
      </c>
      <c r="M1103">
        <f>L1103*(1+(Inputs!$B$9+((C1116=TRUE)*(F1116-Calc!F26))+B1130)/100)</f>
        <v/>
      </c>
      <c r="N1103">
        <f>L1103*(1-MIN((Inputs!$B$8+((C1115=TRUE)*(F1115-Calc!F25))+B1123),100)/100)+M1103*(MIN((Inputs!$B$8+((C1115=TRUE)*(F1115-Calc!F25))+B1123),100)/100)</f>
        <v/>
      </c>
      <c r="O1103">
        <f>IF(C1103,H1103*N1103*IF(AND(Inputs!$B$4&lt;&gt;"pvp",Inputs!$B$35&gt;0),((Skills!G13*((R1103-1)*IF(Skills!H13&gt;0,Skills!I13/Skills!H13,1)+IF(Skills!H13&gt;0,MIN(Skills!I13,MAX(0,Inputs!$B$35-((R1103-1)*IF(Inputs!$B$4="pvp",15,MAX(0.1,Skills!D13-IF(Skills!E13=TRUE,Inputs!$B$31,0))))))/Skills!H13,1)))/Inputs!$B$35),G1103*Q1103)*IF(Inputs!$B$4="pvp",1,(1-Summary!$B$55)*(1)+Summary!$B$55*(MIN(Skills!W13,Inputs!$B$37))),0)</f>
        <v/>
      </c>
      <c r="P1103">
        <f>IF(B1135=0,0,O1103/B1135)</f>
        <v/>
      </c>
      <c r="Q1103">
        <f>IFERROR(1/IF(Inputs!$B$4="pvp",15,MAX(0.1,Skills!D13-IF(Skills!E13=TRUE,Inputs!$B$31,0))),0)</f>
        <v/>
      </c>
      <c r="R1103">
        <f>IF(AND(Inputs!$B$4&lt;&gt;"pvp",Inputs!$B$35&gt;0),(INT(Inputs!$B$35/IF(Inputs!$B$4="pvp",15,MAX(0.1,Skills!D13-IF(Skills!E13=TRUE,Inputs!$B$31,0))))+1),0)</f>
        <v/>
      </c>
      <c r="S1103">
        <f>IFERROR(O1103/N1103,0)</f>
        <v/>
      </c>
    </row>
    <row r="1104">
      <c r="A1104">
        <f>Skills!A14</f>
        <v/>
      </c>
      <c r="B1104">
        <f>Skills!B14</f>
        <v/>
      </c>
      <c r="C1104">
        <f>Inputs!$B$3&gt;=107</f>
        <v/>
      </c>
      <c r="D1104">
        <f>IF(Skills!C14=1,60+Inputs!$B$24+Inputs!$B$28,IF(Skills!C14=2,90+Inputs!$B$25+Inputs!$B$28,IF(Skills!C14=3,120+Inputs!$B$26+Inputs!$B$28,MAX(0,(Inputs!$B$3-100)*3)+Inputs!$B$27+Inputs!$B$28)))</f>
        <v/>
      </c>
      <c r="E1104">
        <f>INDEX(FactorTable!$B$2:$Y$301, MATCH(ROUND(MIN(300,MAX(1,D1104)),0), FactorTable!$A$2:$A$301,0), Skills!M14+1)</f>
        <v/>
      </c>
      <c r="F1104">
        <f>IF(Skills!N14=TRUE,(Skills!L14/10)*(E1104/1000),Skills!L14/10)+Skills!O14</f>
        <v/>
      </c>
      <c r="G1104">
        <f>Skills!G14*IF(Skills!H14&gt;0,Skills!I14/Skills!H14,1)</f>
        <v/>
      </c>
      <c r="H1104">
        <f>1-(1-Skills!J14/100)^Skills!K14</f>
        <v/>
      </c>
      <c r="I1104" t="inlineStr">
        <is>
          <t>1</t>
        </is>
      </c>
      <c r="J1104">
        <f>(Inputs!$B$5*(1+(Inputs!$B$6+1)/100))*(F1104/100)</f>
        <v/>
      </c>
      <c r="K1104">
        <f>J1104*(1+((Inputs!$B$11*(1+Inputs!$B$12/100))*0.01+Inputs!$B$13*0.0025)/100)*(1+Inputs!$B$14/100)*(1+IF(Inputs!$B$4="pvp",0,(1-Summary!$B$55)*(Inputs!$B$19+0+Skills!P14+B1124)+Summary!$B$55*(Inputs!$B$20+Skills!Q14+B1124))/100)*(1+Inputs!$B$15/100)*(5000/(6000+Inputs!$B$7*(1-Inputs!$B$18/100)))*(1+(Inputs!$B$23+((C1120=TRUE)*(F1120-Calc!F30)))/100)*(1+(IF(Skills!A14="CRUEL_STAB",Inputs!$B$16+((C1117=TRUE)*(F1117-Calc!F27)),Inputs!$B$17+((C1118=TRUE)*(F1118-Calc!F28))))/100)*(((1+(((C1111=TRUE)*F1111*IF(AND(Inputs!$B$4&lt;&gt;"pvp",Inputs!$B$35&gt;0),(((S1111-1)*(Skills!Y21*(1+Inputs!$B$33/100))+MIN((Skills!Y21*(1+Inputs!$B$33/100)),MAX(0,Inputs!$B$35-((S1111-1)*Skills!D21))))/Inputs!$B$35),IF(Inputs!$B$4="pvp",MIN((Skills!Y21*(1+Inputs!$B$33/100)),15)/15,(Skills!Y21*(1+Inputs!$B$33/100))/Skills!D21)))+((C1113=TRUE)*(F1113-Calc!F23))+((C1107=TRUE)*(F1107-Calc!F17)))/100)*(1+((C1100=TRUE)*F1100*IF(AND(Inputs!$B$4&lt;&gt;"pvp",Inputs!$B$35&gt;0),(((S1100-1)*(Skills!Y10*(1+Inputs!$B$33/100))+MIN((Skills!Y10*(1+Inputs!$B$33/100)),MAX(0,Inputs!$B$35-((S1100-1)*Skills!D10))))/Inputs!$B$35),IF(Inputs!$B$4="pvp",MIN((Skills!Y10*(1+Inputs!$B$33/100)),15)/15,(Skills!Y10*(1+Inputs!$B$33/100))/Skills!D10)))/100)*(1+((C1105=TRUE)*F1105*IF(AND(Inputs!$B$4&lt;&gt;"pvp",Inputs!$B$35&gt;0),(((S1105-1)*(Skills!Y15*(1+Inputs!$B$33/100))+MIN((Skills!Y15*(1+Inputs!$B$33/100)),MAX(0,Inputs!$B$35-((S1105-1)*Skills!D15))))/Inputs!$B$35),IF(Inputs!$B$4="pvp",MIN((Skills!Y15*(1+Inputs!$B$33/100)),15)/15,(Skills!Y15*(1+Inputs!$B$33/100))/Skills!D15)))/100))*B1125*I1104)</f>
        <v/>
      </c>
      <c r="L1104">
        <f>K1104*(MIN(Inputs!$B$21+((C1114=TRUE)*(F1114-Calc!F24)),Inputs!$B$22+((C1119=TRUE)*(F1119-Calc!F29)))/100+(Inputs!$B$22+((C1119=TRUE)*(F1119-Calc!F29)))/100)/2</f>
        <v/>
      </c>
      <c r="M1104">
        <f>L1104*(1+(Inputs!$B$9+((C1116=TRUE)*(F1116-Calc!F26))+B1130)/100)</f>
        <v/>
      </c>
      <c r="N1104">
        <f>L1104*(1-MIN((Inputs!$B$8+((C1115=TRUE)*(F1115-Calc!F25))+B1123),100)/100)+M1104*(MIN((Inputs!$B$8+((C1115=TRUE)*(F1115-Calc!F25))+B1123),100)/100)</f>
        <v/>
      </c>
      <c r="O1104">
        <f>IF(C1104,H1104*N1104*IF(AND(Inputs!$B$4&lt;&gt;"pvp",Inputs!$B$35&gt;0),((Skills!G14*((R1104-1)*IF(Skills!H14&gt;0,Skills!I14/Skills!H14,1)+IF(Skills!H14&gt;0,MIN(Skills!I14,MAX(0,Inputs!$B$35-((R1104-1)*IF(Inputs!$B$4="pvp",15,MAX(0.1,Skills!D14-IF(Skills!E14=TRUE,Inputs!$B$31,0))))))/Skills!H14,1)))/Inputs!$B$35),G1104*Q1104)*IF(Inputs!$B$4="pvp",1,(1-Summary!$B$55)*(1)+Summary!$B$55*(MIN(MIN(5,0.25*B1127*Skills!D4)*Skills!V14,Inputs!$B$37))),0)</f>
        <v/>
      </c>
      <c r="P1104">
        <f>IF(B1135=0,0,O1104/B1135)</f>
        <v/>
      </c>
      <c r="Q1104">
        <f>IFERROR(1/IF(Inputs!$B$4="pvp",15,MAX(0.1,Skills!D14-IF(Skills!E14=TRUE,Inputs!$B$31,0))),0)</f>
        <v/>
      </c>
      <c r="R1104">
        <f>IF(AND(Inputs!$B$4&lt;&gt;"pvp",Inputs!$B$35&gt;0),(INT(Inputs!$B$35/IF(Inputs!$B$4="pvp",15,MAX(0.1,Skills!D14-IF(Skills!E14=TRUE,Inputs!$B$31,0))))+1),0)</f>
        <v/>
      </c>
      <c r="S1104">
        <f>IFERROR(O1104/N1104,0)</f>
        <v/>
      </c>
    </row>
    <row r="1105">
      <c r="A1105">
        <f>Skills!A15</f>
        <v/>
      </c>
      <c r="B1105">
        <f>Skills!B15</f>
        <v/>
      </c>
      <c r="C1105">
        <f>Inputs!$B$3&gt;=110</f>
        <v/>
      </c>
      <c r="D1105">
        <f>IF(Skills!C15=1,60+Inputs!$B$24+Inputs!$B$28,IF(Skills!C15=2,90+Inputs!$B$25+Inputs!$B$28,IF(Skills!C15=3,120+Inputs!$B$26+Inputs!$B$28,MAX(0,(Inputs!$B$3-100)*3)+Inputs!$B$27+Inputs!$B$28)))</f>
        <v/>
      </c>
      <c r="E1105">
        <f>INDEX(FactorTable!$B$2:$Y$301, MATCH(ROUND(MIN(300,MAX(1,D1105)),0), FactorTable!$A$2:$A$301,0), Skills!M15+1)</f>
        <v/>
      </c>
      <c r="F1105">
        <f>IF(Skills!N15=TRUE,(Skills!L15/10)*(E1105/1000),Skills!L15/10)+Skills!O15</f>
        <v/>
      </c>
      <c r="G1105">
        <f>Skills!G15*IF(Skills!H15&gt;0,Skills!I15/Skills!H15,1)</f>
        <v/>
      </c>
      <c r="H1105">
        <f>1-(1-Skills!J15/100)^Skills!K15</f>
        <v/>
      </c>
      <c r="I1105" t="inlineStr">
        <is>
          <t>1</t>
        </is>
      </c>
      <c r="J1105" t="inlineStr"/>
      <c r="K1105" t="inlineStr"/>
      <c r="L1105" t="inlineStr"/>
      <c r="M1105" t="inlineStr"/>
      <c r="N1105" t="inlineStr"/>
      <c r="O1105" t="n">
        <v>0</v>
      </c>
      <c r="P1105">
        <f>IF(B1135=0,0,O1105/B1135)</f>
        <v/>
      </c>
      <c r="Q1105">
        <f>IFERROR(1/IF(Inputs!$B$4="pvp",15,MAX(0.1,Skills!D15-IF(Skills!E15=TRUE,Inputs!$B$31,0))),0)</f>
        <v/>
      </c>
      <c r="R1105">
        <f>IF(AND(Inputs!$B$4&lt;&gt;"pvp",Inputs!$B$35&gt;0),(INT(Inputs!$B$35/IF(Inputs!$B$4="pvp",15,MAX(0.1,Skills!D15-IF(Skills!E15=TRUE,Inputs!$B$31,0))))+1),0)</f>
        <v/>
      </c>
      <c r="S1105">
        <f>IFERROR(O1105/N1105,0)</f>
        <v/>
      </c>
    </row>
    <row r="1106">
      <c r="A1106">
        <f>Skills!A16</f>
        <v/>
      </c>
      <c r="B1106">
        <f>Skills!B16</f>
        <v/>
      </c>
      <c r="C1106">
        <f>Inputs!$B$3&gt;=115</f>
        <v/>
      </c>
      <c r="D1106">
        <f>IF(Skills!C16=1,60+Inputs!$B$24+Inputs!$B$28,IF(Skills!C16=2,90+Inputs!$B$25+Inputs!$B$28,IF(Skills!C16=3,120+Inputs!$B$26+Inputs!$B$28,MAX(0,(Inputs!$B$3-100)*3)+Inputs!$B$27+Inputs!$B$28)))</f>
        <v/>
      </c>
      <c r="E1106">
        <f>INDEX(FactorTable!$B$2:$Y$301, MATCH(ROUND(MIN(300,MAX(1,D1106)),0), FactorTable!$A$2:$A$301,0), Skills!M16+1)</f>
        <v/>
      </c>
      <c r="F1106">
        <f>IF(Skills!N16=TRUE,(Skills!L16/10)*(E1106/1000),Skills!L16/10)+Skills!O16</f>
        <v/>
      </c>
      <c r="G1106">
        <f>Skills!G16*IF(Skills!H16&gt;0,Skills!I16/Skills!H16,1)</f>
        <v/>
      </c>
      <c r="H1106">
        <f>1-(1-Skills!J16/100)^Skills!K16</f>
        <v/>
      </c>
      <c r="I1106" t="inlineStr">
        <is>
          <t>1</t>
        </is>
      </c>
      <c r="J1106">
        <f>(Inputs!$B$5*(1+(Inputs!$B$6+1)/100))*(F1106/100)</f>
        <v/>
      </c>
      <c r="K1106">
        <f>J1106*(1+((Inputs!$B$11*(1+Inputs!$B$12/100))*0.01+Inputs!$B$13*0.0025)/100)*(1+Inputs!$B$14/100)*(1+IF(Inputs!$B$4="pvp",0,(1-Summary!$B$55)*(Inputs!$B$19+0+Skills!P16+B1124)+Summary!$B$55*(Inputs!$B$20+Skills!Q16+B1124))/100)*(1+Inputs!$B$15/100)*(5000/(6000+Inputs!$B$7*(1-Inputs!$B$18/100)))*(1+(Inputs!$B$23+((C1120=TRUE)*(F1120-Calc!F30)))/100)*(1+(IF(Skills!A16="CRUEL_STAB",Inputs!$B$16+((C1117=TRUE)*(F1117-Calc!F27)),Inputs!$B$17+((C1118=TRUE)*(F1118-Calc!F28))))/100)*(((1+(((C1111=TRUE)*F1111*IF(AND(Inputs!$B$4&lt;&gt;"pvp",Inputs!$B$35&gt;0),(((S1111-1)*(Skills!Y21*(1+Inputs!$B$33/100))+MIN((Skills!Y21*(1+Inputs!$B$33/100)),MAX(0,Inputs!$B$35-((S1111-1)*Skills!D21))))/Inputs!$B$35),IF(Inputs!$B$4="pvp",MIN((Skills!Y21*(1+Inputs!$B$33/100)),15)/15,(Skills!Y21*(1+Inputs!$B$33/100))/Skills!D21)))+((C1113=TRUE)*(F1113-Calc!F23))+((C1107=TRUE)*(F1107-Calc!F17)))/100)*(1+((C1100=TRUE)*F1100*IF(AND(Inputs!$B$4&lt;&gt;"pvp",Inputs!$B$35&gt;0),(((S1100-1)*(Skills!Y10*(1+Inputs!$B$33/100))+MIN((Skills!Y10*(1+Inputs!$B$33/100)),MAX(0,Inputs!$B$35-((S1100-1)*Skills!D10))))/Inputs!$B$35),IF(Inputs!$B$4="pvp",MIN((Skills!Y10*(1+Inputs!$B$33/100)),15)/15,(Skills!Y10*(1+Inputs!$B$33/100))/Skills!D10)))/100)*(1+((C1105=TRUE)*F1105*IF(AND(Inputs!$B$4&lt;&gt;"pvp",Inputs!$B$35&gt;0),(((S1105-1)*(Skills!Y15*(1+Inputs!$B$33/100))+MIN((Skills!Y15*(1+Inputs!$B$33/100)),MAX(0,Inputs!$B$35-((S1105-1)*Skills!D15))))/Inputs!$B$35),IF(Inputs!$B$4="pvp",MIN((Skills!Y15*(1+Inputs!$B$33/100)),15)/15,(Skills!Y15*(1+Inputs!$B$33/100))/Skills!D15)))/100))*B1125*I1106)</f>
        <v/>
      </c>
      <c r="L1106">
        <f>K1106*(MIN(Inputs!$B$21+((C1114=TRUE)*(F1114-Calc!F24)),Inputs!$B$22+((C1119=TRUE)*(F1119-Calc!F29)))/100+(Inputs!$B$22+((C1119=TRUE)*(F1119-Calc!F29)))/100)/2</f>
        <v/>
      </c>
      <c r="M1106">
        <f>L1106*(1+(Inputs!$B$9+((C1116=TRUE)*(F1116-Calc!F26))+B1130)/100)</f>
        <v/>
      </c>
      <c r="N1106">
        <f>L1106*(1-MIN((Inputs!$B$8+((C1115=TRUE)*(F1115-Calc!F25))+B1123),100)/100)+M1106*(MIN((Inputs!$B$8+((C1115=TRUE)*(F1115-Calc!F25))+B1123),100)/100)</f>
        <v/>
      </c>
      <c r="O1106">
        <f>IF(C1106,Inputs!$B$38*0.2*N1106,0)</f>
        <v/>
      </c>
      <c r="P1106">
        <f>IF(B1135=0,0,O1106/B1135)</f>
        <v/>
      </c>
      <c r="Q1106" t="n">
        <v>0</v>
      </c>
      <c r="R1106" t="n">
        <v>0</v>
      </c>
      <c r="S1106">
        <f>IFERROR(O1106/N1106,0)</f>
        <v/>
      </c>
    </row>
    <row r="1107">
      <c r="A1107">
        <f>Skills!A17</f>
        <v/>
      </c>
      <c r="B1107">
        <f>Skills!B17</f>
        <v/>
      </c>
      <c r="C1107">
        <f>Inputs!$B$3&gt;=115</f>
        <v/>
      </c>
      <c r="D1107">
        <f>IF(Skills!C17=1,60+Inputs!$B$24+Inputs!$B$28,IF(Skills!C17=2,90+Inputs!$B$25+Inputs!$B$28,IF(Skills!C17=3,120+Inputs!$B$26+Inputs!$B$28,MAX(0,(Inputs!$B$3-100)*3)+Inputs!$B$27+Inputs!$B$28)))</f>
        <v/>
      </c>
      <c r="E1107">
        <f>INDEX(FactorTable!$B$2:$Y$301, MATCH(ROUND(MIN(300,MAX(1,D1107)),0), FactorTable!$A$2:$A$301,0), Skills!M17+1)</f>
        <v/>
      </c>
      <c r="F1107">
        <f>IF(Skills!N17=TRUE,(Skills!L17/10)*(E1107/1000),Skills!L17/10)+Skills!O17</f>
        <v/>
      </c>
      <c r="G1107">
        <f>Skills!G17*IF(Skills!H17&gt;0,Skills!I17/Skills!H17,1)</f>
        <v/>
      </c>
      <c r="H1107">
        <f>1-(1-Skills!J17/100)^Skills!K17</f>
        <v/>
      </c>
      <c r="I1107" t="inlineStr">
        <is>
          <t>1</t>
        </is>
      </c>
      <c r="J1107" t="inlineStr"/>
      <c r="K1107" t="inlineStr"/>
      <c r="L1107" t="inlineStr"/>
      <c r="M1107" t="inlineStr"/>
      <c r="N1107" t="inlineStr"/>
      <c r="O1107" t="n">
        <v>0</v>
      </c>
      <c r="P1107">
        <f>IF(B1135=0,0,O1107/B1135)</f>
        <v/>
      </c>
      <c r="Q1107" t="n">
        <v>0</v>
      </c>
      <c r="R1107" t="n">
        <v>0</v>
      </c>
      <c r="S1107">
        <f>IFERROR(O1107/N1107,0)</f>
        <v/>
      </c>
    </row>
    <row r="1108">
      <c r="A1108">
        <f>Skills!A18</f>
        <v/>
      </c>
      <c r="B1108">
        <f>Skills!B18</f>
        <v/>
      </c>
      <c r="C1108">
        <f>Inputs!$B$3&gt;=100</f>
        <v/>
      </c>
      <c r="D1108">
        <f>IF(Skills!C18=1,60+Inputs!$B$24+Inputs!$B$28,IF(Skills!C18=2,90+Inputs!$B$25+Inputs!$B$28,IF(Skills!C18=3,120+Inputs!$B$26+Inputs!$B$28,MAX(0,(Inputs!$B$3-100)*3)+Inputs!$B$27+Inputs!$B$28)))</f>
        <v/>
      </c>
      <c r="E1108">
        <f>INDEX(FactorTable!$B$2:$Y$301, MATCH(ROUND(MIN(300,MAX(1,D1108)),0), FactorTable!$A$2:$A$301,0), Skills!M18+1)</f>
        <v/>
      </c>
      <c r="F1108">
        <f>IF(Skills!N18=TRUE,(Skills!L18/10)*(E1108/1000),Skills!L18/10)+Skills!O18</f>
        <v/>
      </c>
      <c r="G1108">
        <f>Skills!G18*IF(Skills!H18&gt;0,Skills!I18/Skills!H18,1)</f>
        <v/>
      </c>
      <c r="H1108">
        <f>1-(1-Skills!J18/100)^Skills!K18</f>
        <v/>
      </c>
      <c r="I1108" t="inlineStr">
        <is>
          <t>1</t>
        </is>
      </c>
      <c r="J1108" t="inlineStr"/>
      <c r="K1108" t="inlineStr"/>
      <c r="L1108" t="inlineStr"/>
      <c r="M1108" t="inlineStr"/>
      <c r="N1108" t="inlineStr"/>
      <c r="O1108" t="n">
        <v>0</v>
      </c>
      <c r="P1108">
        <f>IF(B1135=0,0,O1108/B1135)</f>
        <v/>
      </c>
      <c r="Q1108" t="n">
        <v>0</v>
      </c>
      <c r="R1108" t="n">
        <v>0</v>
      </c>
      <c r="S1108">
        <f>IFERROR(O1108/N1108,0)</f>
        <v/>
      </c>
    </row>
    <row r="1109">
      <c r="A1109">
        <f>Skills!A19</f>
        <v/>
      </c>
      <c r="B1109">
        <f>Skills!B19</f>
        <v/>
      </c>
      <c r="C1109">
        <f>TRUE</f>
        <v/>
      </c>
      <c r="D1109">
        <f>IF(Skills!C19=1,60+Inputs!$B$24+Inputs!$B$28,IF(Skills!C19=2,90+Inputs!$B$25+Inputs!$B$28,IF(Skills!C19=3,120+Inputs!$B$26+Inputs!$B$28,MAX(0,(Inputs!$B$3-100)*3)+Inputs!$B$27+Inputs!$B$28)))</f>
        <v/>
      </c>
      <c r="E1109">
        <f>INDEX(FactorTable!$B$2:$Y$301, MATCH(ROUND(MIN(300,MAX(1,D1109)),0), FactorTable!$A$2:$A$301,0), Skills!M19+1)</f>
        <v/>
      </c>
      <c r="F1109">
        <f>IF(Skills!N19=TRUE,(Skills!L19/10)*(E1109/1000),Skills!L19/10)+Skills!O19</f>
        <v/>
      </c>
      <c r="G1109">
        <f>Skills!G19*IF(Skills!H19&gt;0,Skills!I19/Skills!H19,1)</f>
        <v/>
      </c>
      <c r="H1109">
        <f>1-(1-Skills!J19/100)^Skills!K19</f>
        <v/>
      </c>
      <c r="I1109" t="inlineStr">
        <is>
          <t>1</t>
        </is>
      </c>
      <c r="J1109" t="inlineStr"/>
      <c r="K1109" t="inlineStr"/>
      <c r="L1109" t="inlineStr"/>
      <c r="M1109" t="inlineStr"/>
      <c r="N1109" t="inlineStr"/>
      <c r="O1109" t="n">
        <v>0</v>
      </c>
      <c r="P1109">
        <f>IF(B1135=0,0,O1109/B1135)</f>
        <v/>
      </c>
      <c r="Q1109">
        <f>IFERROR(1/IF(Inputs!$B$4="pvp",15,MAX(0.1,Skills!D19-IF(Skills!E19=TRUE,Inputs!$B$31,0))),0)</f>
        <v/>
      </c>
      <c r="R1109">
        <f>IF(AND(Inputs!$B$4&lt;&gt;"pvp",Inputs!$B$35&gt;0),(INT(Inputs!$B$35/IF(Inputs!$B$4="pvp",15,MAX(0.1,Skills!D19-IF(Skills!E19=TRUE,Inputs!$B$31,0))))+1),0)</f>
        <v/>
      </c>
      <c r="S1109">
        <f>IFERROR(O1109/N1109,0)</f>
        <v/>
      </c>
    </row>
    <row r="1110">
      <c r="A1110">
        <f>Skills!A20</f>
        <v/>
      </c>
      <c r="B1110">
        <f>Skills!B20</f>
        <v/>
      </c>
      <c r="C1110">
        <f>Inputs!$B$3&gt;=15</f>
        <v/>
      </c>
      <c r="D1110">
        <f>IF(Skills!C20=1,60+Inputs!$B$24+Inputs!$B$28,IF(Skills!C20=2,90+Inputs!$B$25+Inputs!$B$28,IF(Skills!C20=3,120+Inputs!$B$26+Inputs!$B$28,MAX(0,(Inputs!$B$3-100)*3)+Inputs!$B$27+Inputs!$B$28)))</f>
        <v/>
      </c>
      <c r="E1110">
        <f>INDEX(FactorTable!$B$2:$Y$301, MATCH(ROUND(MIN(300,MAX(1,D1110)),0), FactorTable!$A$2:$A$301,0), Skills!M20+1)</f>
        <v/>
      </c>
      <c r="F1110">
        <f>IF(Skills!N20=TRUE,(Skills!L20/10)*(E1110/1000),Skills!L20/10)+Skills!O20</f>
        <v/>
      </c>
      <c r="G1110">
        <f>Skills!G20*IF(Skills!H20&gt;0,Skills!I20/Skills!H20,1)</f>
        <v/>
      </c>
      <c r="H1110">
        <f>1-(1-Skills!J20/100)^Skills!K20</f>
        <v/>
      </c>
      <c r="I1110" t="inlineStr">
        <is>
          <t>1</t>
        </is>
      </c>
      <c r="J1110" t="inlineStr"/>
      <c r="K1110" t="inlineStr"/>
      <c r="L1110" t="inlineStr"/>
      <c r="M1110" t="inlineStr"/>
      <c r="N1110" t="inlineStr"/>
      <c r="O1110" t="n">
        <v>0</v>
      </c>
      <c r="P1110">
        <f>IF(B1135=0,0,O1110/B1135)</f>
        <v/>
      </c>
      <c r="Q1110">
        <f>IFERROR(1/IF(Inputs!$B$4="pvp",15,MAX(0.1,Skills!D20-IF(Skills!E20=TRUE,Inputs!$B$31,0))),0)</f>
        <v/>
      </c>
      <c r="R1110">
        <f>IF(AND(Inputs!$B$4&lt;&gt;"pvp",Inputs!$B$35&gt;0),(INT(Inputs!$B$35/IF(Inputs!$B$4="pvp",15,MAX(0.1,Skills!D20-IF(Skills!E20=TRUE,Inputs!$B$31,0))))+1),0)</f>
        <v/>
      </c>
      <c r="S1110">
        <f>IFERROR(O1110/N1110,0)</f>
        <v/>
      </c>
    </row>
    <row r="1111">
      <c r="A1111">
        <f>Skills!A21</f>
        <v/>
      </c>
      <c r="B1111">
        <f>Skills!B21</f>
        <v/>
      </c>
      <c r="C1111">
        <f>Inputs!$B$3&gt;=15</f>
        <v/>
      </c>
      <c r="D1111">
        <f>IF(Skills!C21=1,60+Inputs!$B$24+Inputs!$B$28,IF(Skills!C21=2,90+Inputs!$B$25+Inputs!$B$28,IF(Skills!C21=3,120+Inputs!$B$26+Inputs!$B$28,MAX(0,(Inputs!$B$3-100)*3)+Inputs!$B$27+Inputs!$B$28)))</f>
        <v/>
      </c>
      <c r="E1111">
        <f>INDEX(FactorTable!$B$2:$Y$301, MATCH(ROUND(MIN(300,MAX(1,D1111)),0), FactorTable!$A$2:$A$301,0), Skills!M21+1)</f>
        <v/>
      </c>
      <c r="F1111">
        <f>IF(Skills!N21=TRUE,(Skills!L21/10)*(E1111/1000),Skills!L21/10)+Skills!O21</f>
        <v/>
      </c>
      <c r="G1111">
        <f>Skills!G21*IF(Skills!H21&gt;0,Skills!I21/Skills!H21,1)</f>
        <v/>
      </c>
      <c r="H1111">
        <f>1-(1-Skills!J21/100)^Skills!K21</f>
        <v/>
      </c>
      <c r="I1111" t="inlineStr">
        <is>
          <t>1</t>
        </is>
      </c>
      <c r="J1111" t="inlineStr"/>
      <c r="K1111" t="inlineStr"/>
      <c r="L1111" t="inlineStr"/>
      <c r="M1111" t="inlineStr"/>
      <c r="N1111" t="inlineStr"/>
      <c r="O1111" t="n">
        <v>0</v>
      </c>
      <c r="P1111">
        <f>IF(B1135=0,0,O1111/B1135)</f>
        <v/>
      </c>
      <c r="Q1111">
        <f>IFERROR(1/IF(Inputs!$B$4="pvp",15,MAX(0.1,Skills!D21-IF(Skills!E21=TRUE,Inputs!$B$31,0))),0)</f>
        <v/>
      </c>
      <c r="R1111">
        <f>IF(AND(Inputs!$B$4&lt;&gt;"pvp",Inputs!$B$35&gt;0),(INT(Inputs!$B$35/IF(Inputs!$B$4="pvp",15,MAX(0.1,Skills!D21-IF(Skills!E21=TRUE,Inputs!$B$31,0))))+1),0)</f>
        <v/>
      </c>
      <c r="S1111">
        <f>IFERROR(O1111/N1111,0)</f>
        <v/>
      </c>
    </row>
    <row r="1112">
      <c r="A1112">
        <f>Skills!A22</f>
        <v/>
      </c>
      <c r="B1112">
        <f>Skills!B22</f>
        <v/>
      </c>
      <c r="C1112">
        <f>Inputs!$B$3&gt;=33</f>
        <v/>
      </c>
      <c r="D1112">
        <f>IF(Skills!C22=1,60+Inputs!$B$24+Inputs!$B$28,IF(Skills!C22=2,90+Inputs!$B$25+Inputs!$B$28,IF(Skills!C22=3,120+Inputs!$B$26+Inputs!$B$28,MAX(0,(Inputs!$B$3-100)*3)+Inputs!$B$27+Inputs!$B$28)))</f>
        <v/>
      </c>
      <c r="E1112">
        <f>INDEX(FactorTable!$B$2:$Y$301, MATCH(ROUND(MIN(300,MAX(1,D1112)),0), FactorTable!$A$2:$A$301,0), Skills!M22+1)</f>
        <v/>
      </c>
      <c r="F1112">
        <f>IF(Skills!N22=TRUE,(Skills!L22/10)*(E1112/1000),Skills!L22/10)+Skills!O22</f>
        <v/>
      </c>
      <c r="G1112">
        <f>Skills!G22*IF(Skills!H22&gt;0,Skills!I22/Skills!H22,1)</f>
        <v/>
      </c>
      <c r="H1112">
        <f>1-(1-Skills!J22/100)^Skills!K22</f>
        <v/>
      </c>
      <c r="I1112" t="inlineStr">
        <is>
          <t>1</t>
        </is>
      </c>
      <c r="J1112" t="inlineStr"/>
      <c r="K1112" t="inlineStr"/>
      <c r="L1112" t="inlineStr"/>
      <c r="M1112" t="inlineStr"/>
      <c r="N1112" t="inlineStr"/>
      <c r="O1112" t="n">
        <v>0</v>
      </c>
      <c r="P1112">
        <f>IF(B1135=0,0,O1112/B1135)</f>
        <v/>
      </c>
      <c r="Q1112" t="n">
        <v>0</v>
      </c>
      <c r="R1112" t="n">
        <v>0</v>
      </c>
      <c r="S1112">
        <f>IFERROR(O1112/N1112,0)</f>
        <v/>
      </c>
    </row>
    <row r="1113">
      <c r="A1113">
        <f>Skills!A23</f>
        <v/>
      </c>
      <c r="B1113">
        <f>Skills!B23</f>
        <v/>
      </c>
      <c r="C1113">
        <f>Inputs!$B$3&gt;=40</f>
        <v/>
      </c>
      <c r="D1113">
        <f>IF(Skills!C23=1,60+Inputs!$B$24+Inputs!$B$28,IF(Skills!C23=2,90+Inputs!$B$25+Inputs!$B$28,IF(Skills!C23=3,120+Inputs!$B$26+Inputs!$B$28,MAX(0,(Inputs!$B$3-100)*3)+Inputs!$B$27+Inputs!$B$28)))</f>
        <v/>
      </c>
      <c r="E1113">
        <f>INDEX(FactorTable!$B$2:$Y$301, MATCH(ROUND(MIN(300,MAX(1,D1113)),0), FactorTable!$A$2:$A$301,0), Skills!M23+1)</f>
        <v/>
      </c>
      <c r="F1113">
        <f>IF(Skills!N23=TRUE,(Skills!L23/10)*(E1113/1000),Skills!L23/10)+Skills!O23</f>
        <v/>
      </c>
      <c r="G1113">
        <f>Skills!G23*IF(Skills!H23&gt;0,Skills!I23/Skills!H23,1)</f>
        <v/>
      </c>
      <c r="H1113">
        <f>1-(1-Skills!J23/100)^Skills!K23</f>
        <v/>
      </c>
      <c r="I1113" t="inlineStr">
        <is>
          <t>1</t>
        </is>
      </c>
      <c r="J1113" t="inlineStr"/>
      <c r="K1113" t="inlineStr"/>
      <c r="L1113" t="inlineStr"/>
      <c r="M1113" t="inlineStr"/>
      <c r="N1113" t="inlineStr"/>
      <c r="O1113" t="n">
        <v>0</v>
      </c>
      <c r="P1113">
        <f>IF(B1135=0,0,O1113/B1135)</f>
        <v/>
      </c>
      <c r="Q1113" t="n">
        <v>0</v>
      </c>
      <c r="R1113" t="n">
        <v>0</v>
      </c>
      <c r="S1113">
        <f>IFERROR(O1113/N1113,0)</f>
        <v/>
      </c>
    </row>
    <row r="1114">
      <c r="A1114">
        <f>Skills!A24</f>
        <v/>
      </c>
      <c r="B1114">
        <f>Skills!B24</f>
        <v/>
      </c>
      <c r="C1114">
        <f>Inputs!$B$3&gt;=43</f>
        <v/>
      </c>
      <c r="D1114">
        <f>IF(Skills!C24=1,60+Inputs!$B$24+Inputs!$B$28,IF(Skills!C24=2,90+Inputs!$B$25+Inputs!$B$28,IF(Skills!C24=3,120+Inputs!$B$26+Inputs!$B$28,MAX(0,(Inputs!$B$3-100)*3)+Inputs!$B$27+Inputs!$B$28)))</f>
        <v/>
      </c>
      <c r="E1114">
        <f>INDEX(FactorTable!$B$2:$Y$301, MATCH(ROUND(MIN(300,MAX(1,D1114)),0), FactorTable!$A$2:$A$301,0), Skills!M24+1)</f>
        <v/>
      </c>
      <c r="F1114">
        <f>IF(Skills!N24=TRUE,(Skills!L24/10)*(E1114/1000),Skills!L24/10)+Skills!O24</f>
        <v/>
      </c>
      <c r="G1114">
        <f>Skills!G24*IF(Skills!H24&gt;0,Skills!I24/Skills!H24,1)</f>
        <v/>
      </c>
      <c r="H1114">
        <f>1-(1-Skills!J24/100)^Skills!K24</f>
        <v/>
      </c>
      <c r="I1114" t="inlineStr">
        <is>
          <t>1</t>
        </is>
      </c>
      <c r="J1114" t="inlineStr"/>
      <c r="K1114" t="inlineStr"/>
      <c r="L1114" t="inlineStr"/>
      <c r="M1114" t="inlineStr"/>
      <c r="N1114" t="inlineStr"/>
      <c r="O1114" t="n">
        <v>0</v>
      </c>
      <c r="P1114">
        <f>IF(B1135=0,0,O1114/B1135)</f>
        <v/>
      </c>
      <c r="Q1114" t="n">
        <v>0</v>
      </c>
      <c r="R1114" t="n">
        <v>0</v>
      </c>
      <c r="S1114">
        <f>IFERROR(O1114/N1114,0)</f>
        <v/>
      </c>
    </row>
    <row r="1115">
      <c r="A1115">
        <f>Skills!A25</f>
        <v/>
      </c>
      <c r="B1115">
        <f>Skills!B25</f>
        <v/>
      </c>
      <c r="C1115">
        <f>Inputs!$B$3&gt;=50</f>
        <v/>
      </c>
      <c r="D1115">
        <f>IF(Skills!C25=1,60+Inputs!$B$24+Inputs!$B$28,IF(Skills!C25=2,90+Inputs!$B$25+Inputs!$B$28,IF(Skills!C25=3,120+Inputs!$B$26+Inputs!$B$28,MAX(0,(Inputs!$B$3-100)*3)+Inputs!$B$27+Inputs!$B$28)))</f>
        <v/>
      </c>
      <c r="E1115">
        <f>INDEX(FactorTable!$B$2:$Y$301, MATCH(ROUND(MIN(300,MAX(1,D1115)),0), FactorTable!$A$2:$A$301,0), Skills!M25+1)</f>
        <v/>
      </c>
      <c r="F1115">
        <f>IF(Skills!N25=TRUE,(Skills!L25/10)*(E1115/1000),Skills!L25/10)+Skills!O25</f>
        <v/>
      </c>
      <c r="G1115">
        <f>Skills!G25*IF(Skills!H25&gt;0,Skills!I25/Skills!H25,1)</f>
        <v/>
      </c>
      <c r="H1115">
        <f>1-(1-Skills!J25/100)^Skills!K25</f>
        <v/>
      </c>
      <c r="I1115" t="inlineStr">
        <is>
          <t>1</t>
        </is>
      </c>
      <c r="J1115" t="inlineStr"/>
      <c r="K1115" t="inlineStr"/>
      <c r="L1115" t="inlineStr"/>
      <c r="M1115" t="inlineStr"/>
      <c r="N1115" t="inlineStr"/>
      <c r="O1115" t="n">
        <v>0</v>
      </c>
      <c r="P1115">
        <f>IF(B1135=0,0,O1115/B1135)</f>
        <v/>
      </c>
      <c r="Q1115" t="n">
        <v>0</v>
      </c>
      <c r="R1115" t="n">
        <v>0</v>
      </c>
      <c r="S1115">
        <f>IFERROR(O1115/N1115,0)</f>
        <v/>
      </c>
    </row>
    <row r="1116">
      <c r="A1116">
        <f>Skills!A26</f>
        <v/>
      </c>
      <c r="B1116">
        <f>Skills!B26</f>
        <v/>
      </c>
      <c r="C1116">
        <f>Inputs!$B$3&gt;=50</f>
        <v/>
      </c>
      <c r="D1116">
        <f>IF(Skills!C26=1,60+Inputs!$B$24+Inputs!$B$28,IF(Skills!C26=2,90+Inputs!$B$25+Inputs!$B$28,IF(Skills!C26=3,120+Inputs!$B$26+Inputs!$B$28,MAX(0,(Inputs!$B$3-100)*3)+Inputs!$B$27+Inputs!$B$28)))</f>
        <v/>
      </c>
      <c r="E1116">
        <f>INDEX(FactorTable!$B$2:$Y$301, MATCH(ROUND(MIN(300,MAX(1,D1116)),0), FactorTable!$A$2:$A$301,0), Skills!M26+1)</f>
        <v/>
      </c>
      <c r="F1116">
        <f>IF(Skills!N26=TRUE,(Skills!L26/10)*(E1116/1000),Skills!L26/10)+Skills!O26</f>
        <v/>
      </c>
      <c r="G1116">
        <f>Skills!G26*IF(Skills!H26&gt;0,Skills!I26/Skills!H26,1)</f>
        <v/>
      </c>
      <c r="H1116">
        <f>1-(1-Skills!J26/100)^Skills!K26</f>
        <v/>
      </c>
      <c r="I1116" t="inlineStr">
        <is>
          <t>1</t>
        </is>
      </c>
      <c r="J1116" t="inlineStr"/>
      <c r="K1116" t="inlineStr"/>
      <c r="L1116" t="inlineStr"/>
      <c r="M1116" t="inlineStr"/>
      <c r="N1116" t="inlineStr"/>
      <c r="O1116" t="n">
        <v>0</v>
      </c>
      <c r="P1116">
        <f>IF(B1135=0,0,O1116/B1135)</f>
        <v/>
      </c>
      <c r="Q1116" t="n">
        <v>0</v>
      </c>
      <c r="R1116" t="n">
        <v>0</v>
      </c>
      <c r="S1116">
        <f>IFERROR(O1116/N1116,0)</f>
        <v/>
      </c>
    </row>
    <row r="1117">
      <c r="A1117">
        <f>Skills!A27</f>
        <v/>
      </c>
      <c r="B1117">
        <f>Skills!B27</f>
        <v/>
      </c>
      <c r="C1117">
        <f>Inputs!$B$3&gt;=38</f>
        <v/>
      </c>
      <c r="D1117">
        <f>IF(Skills!C27=1,60+Inputs!$B$24+Inputs!$B$28,IF(Skills!C27=2,90+Inputs!$B$25+Inputs!$B$28,IF(Skills!C27=3,120+Inputs!$B$26+Inputs!$B$28,MAX(0,(Inputs!$B$3-100)*3)+Inputs!$B$27+Inputs!$B$28)))</f>
        <v/>
      </c>
      <c r="E1117">
        <f>INDEX(FactorTable!$B$2:$Y$301, MATCH(ROUND(MIN(300,MAX(1,D1117)),0), FactorTable!$A$2:$A$301,0), Skills!M27+1)</f>
        <v/>
      </c>
      <c r="F1117">
        <f>IF(Skills!N27=TRUE,(Skills!L27/10)*(E1117/1000),Skills!L27/10)+Skills!O27</f>
        <v/>
      </c>
      <c r="G1117">
        <f>Skills!G27*IF(Skills!H27&gt;0,Skills!I27/Skills!H27,1)</f>
        <v/>
      </c>
      <c r="H1117">
        <f>1-(1-Skills!J27/100)^Skills!K27</f>
        <v/>
      </c>
      <c r="I1117" t="inlineStr">
        <is>
          <t>1</t>
        </is>
      </c>
      <c r="J1117" t="inlineStr"/>
      <c r="K1117" t="inlineStr"/>
      <c r="L1117" t="inlineStr"/>
      <c r="M1117" t="inlineStr"/>
      <c r="N1117" t="inlineStr"/>
      <c r="O1117" t="n">
        <v>0</v>
      </c>
      <c r="P1117">
        <f>IF(B1135=0,0,O1117/B1135)</f>
        <v/>
      </c>
      <c r="Q1117" t="n">
        <v>0</v>
      </c>
      <c r="R1117" t="n">
        <v>0</v>
      </c>
      <c r="S1117">
        <f>IFERROR(O1117/N1117,0)</f>
        <v/>
      </c>
    </row>
    <row r="1118">
      <c r="A1118">
        <f>Skills!A28</f>
        <v/>
      </c>
      <c r="B1118">
        <f>Skills!B28</f>
        <v/>
      </c>
      <c r="C1118">
        <f>Inputs!$B$3&gt;=120</f>
        <v/>
      </c>
      <c r="D1118">
        <f>IF(Skills!C28=1,60+Inputs!$B$24+Inputs!$B$28,IF(Skills!C28=2,90+Inputs!$B$25+Inputs!$B$28,IF(Skills!C28=3,120+Inputs!$B$26+Inputs!$B$28,MAX(0,(Inputs!$B$3-100)*3)+Inputs!$B$27+Inputs!$B$28)))</f>
        <v/>
      </c>
      <c r="E1118">
        <f>INDEX(FactorTable!$B$2:$Y$301, MATCH(ROUND(MIN(300,MAX(1,D1118)),0), FactorTable!$A$2:$A$301,0), Skills!M28+1)</f>
        <v/>
      </c>
      <c r="F1118">
        <f>IF(Skills!N28=TRUE,(Skills!L28/10)*(E1118/1000),Skills!L28/10)+Skills!O28</f>
        <v/>
      </c>
      <c r="G1118">
        <f>Skills!G28*IF(Skills!H28&gt;0,Skills!I28/Skills!H28,1)</f>
        <v/>
      </c>
      <c r="H1118">
        <f>1-(1-Skills!J28/100)^Skills!K28</f>
        <v/>
      </c>
      <c r="I1118" t="inlineStr">
        <is>
          <t>1</t>
        </is>
      </c>
      <c r="J1118" t="inlineStr"/>
      <c r="K1118" t="inlineStr"/>
      <c r="L1118" t="inlineStr"/>
      <c r="M1118" t="inlineStr"/>
      <c r="N1118" t="inlineStr"/>
      <c r="O1118" t="n">
        <v>0</v>
      </c>
      <c r="P1118">
        <f>IF(B1135=0,0,O1118/B1135)</f>
        <v/>
      </c>
      <c r="Q1118" t="n">
        <v>0</v>
      </c>
      <c r="R1118" t="n">
        <v>0</v>
      </c>
      <c r="S1118">
        <f>IFERROR(O1118/N1118,0)</f>
        <v/>
      </c>
    </row>
    <row r="1119">
      <c r="A1119">
        <f>Skills!A29</f>
        <v/>
      </c>
      <c r="B1119">
        <f>Skills!B29</f>
        <v/>
      </c>
      <c r="C1119">
        <f>Inputs!$B$3&gt;=120</f>
        <v/>
      </c>
      <c r="D1119">
        <f>IF(Skills!C29=1,60+Inputs!$B$24+Inputs!$B$28,IF(Skills!C29=2,90+Inputs!$B$25+Inputs!$B$28,IF(Skills!C29=3,120+Inputs!$B$26+Inputs!$B$28,MAX(0,(Inputs!$B$3-100)*3)+Inputs!$B$27+Inputs!$B$28)))</f>
        <v/>
      </c>
      <c r="E1119">
        <f>INDEX(FactorTable!$B$2:$Y$301, MATCH(ROUND(MIN(300,MAX(1,D1119)),0), FactorTable!$A$2:$A$301,0), Skills!M29+1)</f>
        <v/>
      </c>
      <c r="F1119">
        <f>IF(Skills!N29=TRUE,(Skills!L29/10)*(E1119/1000),Skills!L29/10)+Skills!O29</f>
        <v/>
      </c>
      <c r="G1119">
        <f>Skills!G29*IF(Skills!H29&gt;0,Skills!I29/Skills!H29,1)</f>
        <v/>
      </c>
      <c r="H1119">
        <f>1-(1-Skills!J29/100)^Skills!K29</f>
        <v/>
      </c>
      <c r="I1119" t="inlineStr">
        <is>
          <t>1</t>
        </is>
      </c>
      <c r="J1119" t="inlineStr"/>
      <c r="K1119" t="inlineStr"/>
      <c r="L1119" t="inlineStr"/>
      <c r="M1119" t="inlineStr"/>
      <c r="N1119" t="inlineStr"/>
      <c r="O1119" t="n">
        <v>0</v>
      </c>
      <c r="P1119">
        <f>IF(B1135=0,0,O1119/B1135)</f>
        <v/>
      </c>
      <c r="Q1119" t="n">
        <v>0</v>
      </c>
      <c r="R1119" t="n">
        <v>0</v>
      </c>
      <c r="S1119">
        <f>IFERROR(O1119/N1119,0)</f>
        <v/>
      </c>
    </row>
    <row r="1120">
      <c r="A1120">
        <f>Skills!A30</f>
        <v/>
      </c>
      <c r="B1120">
        <f>Skills!B30</f>
        <v/>
      </c>
      <c r="C1120">
        <f>Inputs!$B$3&gt;=125</f>
        <v/>
      </c>
      <c r="D1120">
        <f>IF(Skills!C30=1,60+Inputs!$B$24+Inputs!$B$28,IF(Skills!C30=2,90+Inputs!$B$25+Inputs!$B$28,IF(Skills!C30=3,120+Inputs!$B$26+Inputs!$B$28,MAX(0,(Inputs!$B$3-100)*3)+Inputs!$B$27+Inputs!$B$28)))</f>
        <v/>
      </c>
      <c r="E1120">
        <f>INDEX(FactorTable!$B$2:$Y$301, MATCH(ROUND(MIN(300,MAX(1,D1120)),0), FactorTable!$A$2:$A$301,0), Skills!M30+1)</f>
        <v/>
      </c>
      <c r="F1120">
        <f>IF(Skills!N30=TRUE,(Skills!L30/10)*(E1120/1000),Skills!L30/10)+Skills!O30</f>
        <v/>
      </c>
      <c r="G1120">
        <f>Skills!G30*IF(Skills!H30&gt;0,Skills!I30/Skills!H30,1)</f>
        <v/>
      </c>
      <c r="H1120">
        <f>1-(1-Skills!J30/100)^Skills!K30</f>
        <v/>
      </c>
      <c r="I1120" t="inlineStr">
        <is>
          <t>1</t>
        </is>
      </c>
      <c r="J1120" t="inlineStr"/>
      <c r="K1120" t="inlineStr"/>
      <c r="L1120" t="inlineStr"/>
      <c r="M1120" t="inlineStr"/>
      <c r="N1120" t="inlineStr"/>
      <c r="O1120" t="n">
        <v>0</v>
      </c>
      <c r="P1120">
        <f>IF(B1135=0,0,O1120/B1135)</f>
        <v/>
      </c>
      <c r="Q1120" t="n">
        <v>0</v>
      </c>
      <c r="R1120" t="n">
        <v>0</v>
      </c>
      <c r="S1120">
        <f>IFERROR(O1120/N1120,0)</f>
        <v/>
      </c>
    </row>
    <row r="1122">
      <c r="A1122" t="inlineStr">
        <is>
          <t>Average Buff Multiplier</t>
        </is>
      </c>
      <c r="B1122">
        <f>(1+(((C1111=TRUE)*F1111*IF(AND(Inputs!$B$4&lt;&gt;"pvp",Inputs!$B$35&gt;0),(((S1111-1)*(Skills!Y21*(1+Inputs!$B$33/100))+MIN((Skills!Y21*(1+Inputs!$B$33/100)),MAX(0,Inputs!$B$35-((S1111-1)*Skills!D21))))/Inputs!$B$35),IF(Inputs!$B$4="pvp",MIN((Skills!Y21*(1+Inputs!$B$33/100)),15)/15,(Skills!Y21*(1+Inputs!$B$33/100))/Skills!D21)))+((C1113=TRUE)*(F1113-Calc!F23))+((C1107=TRUE)*(F1107-Calc!F17)))/100)*(1+((C1100=TRUE)*F1100*IF(AND(Inputs!$B$4&lt;&gt;"pvp",Inputs!$B$35&gt;0),(((S1100-1)*(Skills!Y10*(1+Inputs!$B$33/100))+MIN((Skills!Y10*(1+Inputs!$B$33/100)),MAX(0,Inputs!$B$35-((S1100-1)*Skills!D10))))/Inputs!$B$35),IF(Inputs!$B$4="pvp",MIN((Skills!Y10*(1+Inputs!$B$33/100)),15)/15,(Skills!Y10*(1+Inputs!$B$33/100))/Skills!D10)))/100)*(1+((C1105=TRUE)*F1105*IF(AND(Inputs!$B$4&lt;&gt;"pvp",Inputs!$B$35&gt;0),(((S1105-1)*(Skills!Y15*(1+Inputs!$B$33/100))+MIN((Skills!Y15*(1+Inputs!$B$33/100)),MAX(0,Inputs!$B$35-((S1105-1)*Skills!D15))))/Inputs!$B$35),IF(Inputs!$B$4="pvp",MIN((Skills!Y15*(1+Inputs!$B$33/100)),15)/15,(Skills!Y15*(1+Inputs!$B$33/100))/Skills!D15)))/100)</f>
        <v/>
      </c>
    </row>
    <row r="1123">
      <c r="A1123" t="inlineStr">
        <is>
          <t>Global Crit Rate Bonus %</t>
        </is>
      </c>
      <c r="B1123">
        <f>((C1110=TRUE)*F1110*IF(AND(Inputs!$B$4&lt;&gt;"pvp",Inputs!$B$35&gt;0),(((S1110-1)*(Skills!Y20*(1+Inputs!$B$33/100))+MIN((Skills!Y20*(1+Inputs!$B$33/100)),MAX(0,Inputs!$B$35-((S1110-1)*Skills!D20))))/Inputs!$B$35),IF(Inputs!$B$4="pvp",MIN((Skills!Y20*(1+Inputs!$B$33/100)),15)/15,(Skills!Y20*(1+Inputs!$B$33/100))/Skills!D20)))</f>
        <v/>
      </c>
    </row>
    <row r="1124">
      <c r="A1124" t="inlineStr">
        <is>
          <t>Global Monster Damage-Taken Bonus %</t>
        </is>
      </c>
      <c r="B1124">
        <f>IF(Inputs!$B$3&gt;=82,15,0)</f>
        <v/>
      </c>
    </row>
    <row r="1125">
      <c r="A1125" t="inlineStr">
        <is>
          <t>Shadow Partner Average Multiplier</t>
        </is>
      </c>
      <c r="B1125">
        <f>1+((C1097=TRUE)*F1097*(1+3.3333333333333335*IF(C1108=TRUE,F1108,0)/100)*I1097*Skills!J7/100)/100</f>
        <v/>
      </c>
    </row>
    <row r="1126">
      <c r="A1126" t="inlineStr">
        <is>
          <t>Attack Speed Buff Bonus %</t>
        </is>
      </c>
      <c r="B1126">
        <f>((C1109=TRUE)*F1109*IF(AND(Inputs!$B$4&lt;&gt;"pvp",Inputs!$B$35&gt;0),(((S1109-1)*(Skills!Y19*(1+Inputs!$B$33/100))+MIN((Skills!Y19*(1+Inputs!$B$33/100)),MAX(0,Inputs!$B$35-((S1109-1)*Skills!D19))))/Inputs!$B$35),IF(Inputs!$B$4="pvp",MIN((Skills!Y19*(1+Inputs!$B$33/100)),15)/15,(Skills!Y19*(1+Inputs!$B$33/100))/Skills!D19)))+((C1093=TRUE)*F1093*3)</f>
        <v/>
      </c>
    </row>
    <row r="1127">
      <c r="A1127" t="inlineStr">
        <is>
          <t>Actions Per Second</t>
        </is>
      </c>
      <c r="B1127">
        <f>1+MIN(150,150*(1-(1-(Inputs!$B$10+((C1112=TRUE)*(F1112-Calc!F22)))/150)*(1-B1126/150)))/100</f>
        <v/>
      </c>
    </row>
    <row r="1128">
      <c r="A1128" t="inlineStr">
        <is>
          <t>Skill + Buff Cast Rate</t>
        </is>
      </c>
      <c r="B1128">
        <f>IF(AND(Inputs!$B$4&lt;&gt;"pvp",Inputs!$B$35&gt;0),SUMPRODUCT((Skills!E2:E30=TRUE)*(C1092:C1120=TRUE)*R1092:R1120*Skills!F2:F30)/Inputs!$B$35,SUMPRODUCT((Skills!E2:E30=TRUE)*(C1092:C1120=TRUE)*Q1092:Q1120*Skills!F2:F30))</f>
        <v/>
      </c>
    </row>
    <row r="1129">
      <c r="A1129" t="inlineStr">
        <is>
          <t>Cruel Stab Casts Per Second</t>
        </is>
      </c>
      <c r="B1129">
        <f>MAX(0,B1127-B1128)</f>
        <v/>
      </c>
    </row>
    <row r="1130">
      <c r="A1130" t="inlineStr">
        <is>
          <t>Global Critical Damage Bonus % (Smokescreen Mastery Lv.113)</t>
        </is>
      </c>
      <c r="B1130">
        <f>IF(Inputs!$B$3&gt;=113,30,0)*IF(AND(Inputs!$B$4&lt;&gt;"pvp",Inputs!$B$35&gt;0),(((S1105-1)*(Skills!Y15*(1+Inputs!$B$33/100))+MIN((Skills!Y15*(1+Inputs!$B$33/100)),MAX(0,Inputs!$B$35-((S1105-1)*Skills!D15))))/Inputs!$B$35),IF(Inputs!$B$4="pvp",MIN((Skills!Y15*(1+Inputs!$B$33/100)),15)/15,(Skills!Y15*(1+Inputs!$B$33/100))/Skills!D15))</f>
        <v/>
      </c>
    </row>
    <row r="1131">
      <c r="A1131" t="inlineStr">
        <is>
          <t>Meso Explosion average stack count</t>
        </is>
      </c>
      <c r="B1131">
        <f>MIN(10,0.5*B1127*Skills!D4)</f>
        <v/>
      </c>
    </row>
    <row r="1132">
      <c r="A1132" t="inlineStr">
        <is>
          <t>Blood Money average stack count</t>
        </is>
      </c>
      <c r="B1132">
        <f>MIN(5,0.25*B1127*Skills!D4)</f>
        <v/>
      </c>
    </row>
    <row r="1133">
      <c r="A1133" t="inlineStr">
        <is>
          <t>Assassinate Murderous Intent Multiplier</t>
        </is>
      </c>
      <c r="B1133">
        <f>1+IFERROR(MIN(1,Q1104*2/Q1101),0)</f>
        <v/>
      </c>
    </row>
    <row r="1135">
      <c r="A1135" s="5" t="inlineStr">
        <is>
          <t>TOTAL DPS</t>
        </is>
      </c>
      <c r="B1135" s="5">
        <f>SUM(O1092:O1120)</f>
        <v/>
      </c>
    </row>
    <row r="1138">
      <c r="A1138" s="5" t="inlineStr">
        <is>
          <t>Stat: Skill Cooldown Decrease (seconds)</t>
        </is>
      </c>
    </row>
    <row r="1139">
      <c r="A1139" s="8" t="inlineStr">
        <is>
          <t>Key</t>
        </is>
      </c>
      <c r="B1139" s="8" t="inlineStr">
        <is>
          <t>Name</t>
        </is>
      </c>
      <c r="C1139" s="8" t="inlineStr">
        <is>
          <t>Unlocked</t>
        </is>
      </c>
      <c r="D1139" s="8" t="inlineStr">
        <is>
          <t>InputLevel</t>
        </is>
      </c>
      <c r="E1139" s="8" t="inlineStr">
        <is>
          <t>Factor</t>
        </is>
      </c>
      <c r="F1139" s="8" t="inlineStr">
        <is>
          <t>CoefficientPercent</t>
        </is>
      </c>
      <c r="G1139" s="8" t="inlineStr">
        <is>
          <t>EffectiveHits</t>
        </is>
      </c>
      <c r="H1139" s="8" t="inlineStr">
        <is>
          <t>ProcProbability</t>
        </is>
      </c>
      <c r="I1139" s="8" t="inlineStr">
        <is>
          <t>MapleHeroMultiplier</t>
        </is>
      </c>
      <c r="J1139" s="8" t="inlineStr">
        <is>
          <t>BaseDamage</t>
        </is>
      </c>
      <c r="K1139" s="8" t="inlineStr">
        <is>
          <t>BaseHitDamage</t>
        </is>
      </c>
      <c r="L1139" s="8" t="inlineStr">
        <is>
          <t>NonCritAvg</t>
        </is>
      </c>
      <c r="M1139" s="8" t="inlineStr">
        <is>
          <t>CritAvg</t>
        </is>
      </c>
      <c r="N1139" s="8" t="inlineStr">
        <is>
          <t>ExpectedDamage(perHit)</t>
        </is>
      </c>
      <c r="O1139" s="8" t="inlineStr">
        <is>
          <t>DPS</t>
        </is>
      </c>
      <c r="P1139" s="8" t="inlineStr">
        <is>
          <t>% of Total</t>
        </is>
      </c>
      <c r="Q1139" s="8" t="inlineStr">
        <is>
          <t>InvCooldown</t>
        </is>
      </c>
      <c r="R1139" s="8" t="inlineStr">
        <is>
          <t>CastsInFight</t>
        </is>
      </c>
      <c r="S1139" s="8" t="inlineStr">
        <is>
          <t>HitRate(perSec)</t>
        </is>
      </c>
      <c r="U1139" t="inlineStr">
        <is>
          <t>helpers</t>
        </is>
      </c>
    </row>
    <row r="1140">
      <c r="A1140">
        <f>Skills!A2</f>
        <v/>
      </c>
      <c r="B1140">
        <f>Skills!B2</f>
        <v/>
      </c>
      <c r="C1140">
        <f>Inputs!$B$3&gt;=100</f>
        <v/>
      </c>
      <c r="D1140" t="inlineStr"/>
      <c r="E1140" t="inlineStr"/>
      <c r="F1140">
        <f>U1142+Skills!O2</f>
        <v/>
      </c>
      <c r="G1140">
        <f>Skills!G2*IF(Skills!H2&gt;0,Skills!I2/Skills!H2,1)</f>
        <v/>
      </c>
      <c r="H1140">
        <f>1-(1-Skills!J2/100)^Skills!K2</f>
        <v/>
      </c>
      <c r="I1140" t="inlineStr">
        <is>
          <t>1</t>
        </is>
      </c>
      <c r="J1140">
        <f>(Inputs!$B$5*(1+Inputs!$B$6/100))*(F1140/100)</f>
        <v/>
      </c>
      <c r="K1140">
        <f>J1140*(1+((Inputs!$B$11*(1+Inputs!$B$12/100))*0.01+Inputs!$B$13*0.0025)/100)*(1+Inputs!$B$14/100)*(1+IF(Inputs!$B$4="pvp",0,(1-Summary!$B$55)*(Inputs!$B$19+0+Skills!P2+B1172)+Summary!$B$55*(Inputs!$B$20+Skills!Q2+B1172))/100)*(1+Inputs!$B$15/100)*(5000/(6000+Inputs!$B$7*(1-Inputs!$B$18/100)))*(1+(Inputs!$B$23+((C1168=TRUE)*(F1168-Calc!F30)))/100)*(1+(IF(Skills!A2="CRUEL_STAB",Inputs!$B$16+((C1165=TRUE)*(F1165-Calc!F27)),Inputs!$B$17+((C1166=TRUE)*(F1166-Calc!F28))))/100)*(((1+(((C1159=TRUE)*F1159*IF(AND(Inputs!$B$4&lt;&gt;"pvp",Inputs!$B$35&gt;0),(((S1159-1)*(Skills!Y21*(1+Inputs!$B$33/100))+MIN((Skills!Y21*(1+Inputs!$B$33/100)),MAX(0,Inputs!$B$35-((S1159-1)*Skills!D21))))/Inputs!$B$35),IF(Inputs!$B$4="pvp",MIN((Skills!Y21*(1+Inputs!$B$33/100)),15)/15,(Skills!Y21*(1+Inputs!$B$33/100))/Skills!D21)))+((C1161=TRUE)*(F1161-Calc!F23))+((C1155=TRUE)*(F1155-Calc!F17)))/100)*(1+((C1148=TRUE)*F1148*IF(AND(Inputs!$B$4&lt;&gt;"pvp",Inputs!$B$35&gt;0),(((S1148-1)*(Skills!Y10*(1+Inputs!$B$33/100))+MIN((Skills!Y10*(1+Inputs!$B$33/100)),MAX(0,Inputs!$B$35-((S1148-1)*Skills!D10))))/Inputs!$B$35),IF(Inputs!$B$4="pvp",MIN((Skills!Y10*(1+Inputs!$B$33/100)),15)/15,(Skills!Y10*(1+Inputs!$B$33/100))/Skills!D10)))/100)*(1+((C1153=TRUE)*F1153*IF(AND(Inputs!$B$4&lt;&gt;"pvp",Inputs!$B$35&gt;0),(((S1153-1)*(Skills!Y15*(1+Inputs!$B$33/100))+MIN((Skills!Y15*(1+Inputs!$B$33/100)),MAX(0,Inputs!$B$35-((S1153-1)*Skills!D15))))/Inputs!$B$35),IF(Inputs!$B$4="pvp",MIN((Skills!Y15*(1+Inputs!$B$33/100)),15)/15,(Skills!Y15*(1+Inputs!$B$33/100))/Skills!D15)))/100))*B1173*I1140)</f>
        <v/>
      </c>
      <c r="L1140">
        <f>K1140*(MIN(Inputs!$B$21+((C1162=TRUE)*(F1162-Calc!F24)),Inputs!$B$22+((C1167=TRUE)*(F1167-Calc!F29)))/100+(Inputs!$B$22+((C1167=TRUE)*(F1167-Calc!F29)))/100)/2</f>
        <v/>
      </c>
      <c r="M1140">
        <f>L1140*(1+(Inputs!$B$9+((C1164=TRUE)*(F1164-Calc!F26))+B1178)/100)</f>
        <v/>
      </c>
      <c r="N1140">
        <f>L1140*(1-MIN((Inputs!$B$8+((C1163=TRUE)*(F1163-Calc!F25))+B1171),100)/100)+M1140*(MIN((Inputs!$B$8+((C1163=TRUE)*(F1163-Calc!F25))+B1171),100)/100)</f>
        <v/>
      </c>
      <c r="O1140">
        <f>IF(C1140,Skills!G2*N1140*B1177*IF(Inputs!$B$4="pvp",1,(1-Summary!$B$55)*(1)+Summary!$B$55*(MIN((6+Inputs!$B$32),Inputs!$B$37))),0)</f>
        <v/>
      </c>
      <c r="P1140">
        <f>IF(B1183=0,0,O1140/B1183)</f>
        <v/>
      </c>
      <c r="Q1140" t="n">
        <v>0</v>
      </c>
      <c r="R1140" t="n">
        <v>0</v>
      </c>
      <c r="S1140">
        <f>IFERROR(O1140/N1140,0)</f>
        <v/>
      </c>
      <c r="U1140">
        <f>MAX(0,(Inputs!$B$3-100)*3)+Inputs!$B$27+Inputs!$B$28</f>
        <v/>
      </c>
    </row>
    <row r="1141">
      <c r="A1141">
        <f>Skills!A3</f>
        <v/>
      </c>
      <c r="B1141">
        <f>Skills!B3</f>
        <v/>
      </c>
      <c r="C1141">
        <f>Inputs!$B$3&gt;=35</f>
        <v/>
      </c>
      <c r="D1141">
        <f>IF(Skills!C3=1,60+Inputs!$B$24+Inputs!$B$28,IF(Skills!C3=2,90+Inputs!$B$25+Inputs!$B$28,IF(Skills!C3=3,120+Inputs!$B$26+Inputs!$B$28,MAX(0,(Inputs!$B$3-100)*3)+Inputs!$B$27+Inputs!$B$28)))</f>
        <v/>
      </c>
      <c r="E1141">
        <f>INDEX(FactorTable!$B$2:$Y$301, MATCH(ROUND(MIN(300,MAX(1,D1141)),0), FactorTable!$A$2:$A$301,0), Skills!M3+1)</f>
        <v/>
      </c>
      <c r="F1141">
        <f>IF(Skills!N3=TRUE,(Skills!L3/10)*(E1141/1000),Skills!L3/10)+Skills!O3</f>
        <v/>
      </c>
      <c r="G1141">
        <f>Skills!G3*IF(Skills!H3&gt;0,Skills!I3/Skills!H3,1)</f>
        <v/>
      </c>
      <c r="H1141">
        <f>1-(1-Skills!J3/100)^Skills!K3</f>
        <v/>
      </c>
      <c r="I1141" t="inlineStr">
        <is>
          <t>1</t>
        </is>
      </c>
      <c r="J1141" t="inlineStr"/>
      <c r="K1141" t="inlineStr"/>
      <c r="L1141" t="inlineStr"/>
      <c r="M1141" t="inlineStr"/>
      <c r="N1141" t="inlineStr"/>
      <c r="O1141" t="n">
        <v>0</v>
      </c>
      <c r="P1141">
        <f>IF(B1183=0,0,O1141/B1183)</f>
        <v/>
      </c>
      <c r="Q1141" t="n">
        <v>0</v>
      </c>
      <c r="R1141" t="n">
        <v>0</v>
      </c>
      <c r="S1141">
        <f>IFERROR(O1141/N1141,0)</f>
        <v/>
      </c>
      <c r="U1141">
        <f>INDEX(FactorTable!$B$2:$Y$301, MATCH(ROUND(MIN(300,MAX(1,U1140)),0), FactorTable!$A$2:$A$301,0), 22)</f>
        <v/>
      </c>
    </row>
    <row r="1142">
      <c r="A1142">
        <f>Skills!A4</f>
        <v/>
      </c>
      <c r="B1142">
        <f>Skills!B4</f>
        <v/>
      </c>
      <c r="C1142">
        <f>Inputs!$B$3&gt;=66</f>
        <v/>
      </c>
      <c r="D1142">
        <f>IF(Skills!C4=1,60+Inputs!$B$24+Inputs!$B$28,IF(Skills!C4=2,90+Inputs!$B$25+Inputs!$B$28,IF(Skills!C4=3,120+Inputs!$B$26+Inputs!$B$28,MAX(0,(Inputs!$B$3-100)*3)+Inputs!$B$27+Inputs!$B$28)))</f>
        <v/>
      </c>
      <c r="E1142">
        <f>INDEX(FactorTable!$B$2:$Y$301, MATCH(ROUND(MIN(300,MAX(1,D1142)),0), FactorTable!$A$2:$A$301,0), Skills!M4+1)</f>
        <v/>
      </c>
      <c r="F1142">
        <f>IF(Skills!N4=TRUE,(Skills!L4/10)*(E1142/1000),Skills!L4/10)+Skills!O4</f>
        <v/>
      </c>
      <c r="G1142">
        <f>Skills!G4*IF(Skills!H4&gt;0,Skills!I4/Skills!H4,1)</f>
        <v/>
      </c>
      <c r="H1142">
        <f>1-(1-Skills!J4/100)^Skills!K4</f>
        <v/>
      </c>
      <c r="I1142" t="inlineStr">
        <is>
          <t>1</t>
        </is>
      </c>
      <c r="J1142">
        <f>(Inputs!$B$5*(1+Inputs!$B$6/100))*(F1142/100)</f>
        <v/>
      </c>
      <c r="K1142">
        <f>J1142*(1+((Inputs!$B$11*(1+Inputs!$B$12/100))*0.01+Inputs!$B$13*0.0025)/100)*(1+Inputs!$B$14/100)*(1+IF(Inputs!$B$4="pvp",0,(1-Summary!$B$55)*(Inputs!$B$19+0+Skills!P4+B1172)+Summary!$B$55*(Inputs!$B$20+Skills!Q4+B1172))/100)*(1+Inputs!$B$15/100)*(5000/(6000+Inputs!$B$7*(1-Inputs!$B$18/100)))*(1+(Inputs!$B$23+((C1168=TRUE)*(F1168-Calc!F30)))/100)*(1+(IF(Skills!A4="CRUEL_STAB",Inputs!$B$16+((C1165=TRUE)*(F1165-Calc!F27)),Inputs!$B$17+((C1166=TRUE)*(F1166-Calc!F28))))/100)*(((1+(((C1159=TRUE)*F1159*IF(AND(Inputs!$B$4&lt;&gt;"pvp",Inputs!$B$35&gt;0),(((S1159-1)*(Skills!Y21*(1+Inputs!$B$33/100))+MIN((Skills!Y21*(1+Inputs!$B$33/100)),MAX(0,Inputs!$B$35-((S1159-1)*Skills!D21))))/Inputs!$B$35),IF(Inputs!$B$4="pvp",MIN((Skills!Y21*(1+Inputs!$B$33/100)),15)/15,(Skills!Y21*(1+Inputs!$B$33/100))/Skills!D21)))+((C1161=TRUE)*(F1161-Calc!F23))+((C1155=TRUE)*(F1155-Calc!F17)))/100)*(1+((C1148=TRUE)*F1148*IF(AND(Inputs!$B$4&lt;&gt;"pvp",Inputs!$B$35&gt;0),(((S1148-1)*(Skills!Y10*(1+Inputs!$B$33/100))+MIN((Skills!Y10*(1+Inputs!$B$33/100)),MAX(0,Inputs!$B$35-((S1148-1)*Skills!D10))))/Inputs!$B$35),IF(Inputs!$B$4="pvp",MIN((Skills!Y10*(1+Inputs!$B$33/100)),15)/15,(Skills!Y10*(1+Inputs!$B$33/100))/Skills!D10)))/100)*(1+((C1153=TRUE)*F1153*IF(AND(Inputs!$B$4&lt;&gt;"pvp",Inputs!$B$35&gt;0),(((S1153-1)*(Skills!Y15*(1+Inputs!$B$33/100))+MIN((Skills!Y15*(1+Inputs!$B$33/100)),MAX(0,Inputs!$B$35-((S1153-1)*Skills!D15))))/Inputs!$B$35),IF(Inputs!$B$4="pvp",MIN((Skills!Y15*(1+Inputs!$B$33/100)),15)/15,(Skills!Y15*(1+Inputs!$B$33/100))/Skills!D15)))/100))*B1173*I1142)</f>
        <v/>
      </c>
      <c r="L1142">
        <f>K1142*(MIN(Inputs!$B$21+((C1162=TRUE)*(F1162-Calc!F24)),Inputs!$B$22+((C1167=TRUE)*(F1167-Calc!F29)))/100+(Inputs!$B$22+((C1167=TRUE)*(F1167-Calc!F29)))/100)/2</f>
        <v/>
      </c>
      <c r="M1142">
        <f>L1142*(1+(Inputs!$B$9+((C1164=TRUE)*(F1164-Calc!F26))+B1178)/100)</f>
        <v/>
      </c>
      <c r="N1142">
        <f>L1142*(1-MIN((Inputs!$B$8+((C1163=TRUE)*(F1163-Calc!F25))+B1171),100)/100)+M1142*(MIN((Inputs!$B$8+((C1163=TRUE)*(F1163-Calc!F25))+B1171),100)/100)</f>
        <v/>
      </c>
      <c r="O1142">
        <f>IF(C1142,H1142*N1142*IF(AND(Inputs!$B$4&lt;&gt;"pvp",Inputs!$B$35&gt;0),((Skills!G4*((R1142-1)*IF(Skills!H4&gt;0,Skills!I4/Skills!H4,1)+IF(Skills!H4&gt;0,MIN(Skills!I4,MAX(0,Inputs!$B$35-((R1142-1)*IF(Inputs!$B$4="pvp",15,MAX(0.1,Skills!D4-IF(Skills!E4=TRUE,(Inputs!$B$31+1),0))))))/Skills!H4,1)))/Inputs!$B$35),G1142*Q1142)*IF(Inputs!$B$4="pvp",1,(1-Summary!$B$55)*(1)+Summary!$B$55*(MIN(MIN(10,0.5*B1175*Skills!D4),Inputs!$B$37))),0)</f>
        <v/>
      </c>
      <c r="P1142">
        <f>IF(B1183=0,0,O1142/B1183)</f>
        <v/>
      </c>
      <c r="Q1142">
        <f>IFERROR(1/IF(Inputs!$B$4="pvp",15,MAX(0.1,Skills!D4-IF(Skills!E4=TRUE,(Inputs!$B$31+1),0))),0)</f>
        <v/>
      </c>
      <c r="R1142">
        <f>IF(AND(Inputs!$B$4&lt;&gt;"pvp",Inputs!$B$35&gt;0),(INT(Inputs!$B$35/IF(Inputs!$B$4="pvp",15,MAX(0.1,Skills!D4-IF(Skills!E4=TRUE,(Inputs!$B$31+1),0))))+1),0)</f>
        <v/>
      </c>
      <c r="S1142">
        <f>IFERROR(O1142/N1142,0)</f>
        <v/>
      </c>
      <c r="U1142">
        <f>290*U1141/1000</f>
        <v/>
      </c>
    </row>
    <row r="1143">
      <c r="A1143">
        <f>Skills!A5</f>
        <v/>
      </c>
      <c r="B1143">
        <f>Skills!B5</f>
        <v/>
      </c>
      <c r="C1143">
        <f>Inputs!$B$3&gt;=63</f>
        <v/>
      </c>
      <c r="D1143">
        <f>IF(Skills!C5=1,60+Inputs!$B$24+Inputs!$B$28,IF(Skills!C5=2,90+Inputs!$B$25+Inputs!$B$28,IF(Skills!C5=3,120+Inputs!$B$26+Inputs!$B$28,MAX(0,(Inputs!$B$3-100)*3)+Inputs!$B$27+Inputs!$B$28)))</f>
        <v/>
      </c>
      <c r="E1143">
        <f>INDEX(FactorTable!$B$2:$Y$301, MATCH(ROUND(MIN(300,MAX(1,D1143)),0), FactorTable!$A$2:$A$301,0), Skills!M5+1)</f>
        <v/>
      </c>
      <c r="F1143">
        <f>IF(Skills!N5=TRUE,(Skills!L5/10)*(E1143/1000),Skills!L5/10)+Skills!O5</f>
        <v/>
      </c>
      <c r="G1143">
        <f>Skills!G5*IF(Skills!H5&gt;0,Skills!I5/Skills!H5,1)</f>
        <v/>
      </c>
      <c r="H1143">
        <f>1-(1-Skills!J5/100)^Skills!K5</f>
        <v/>
      </c>
      <c r="I1143" t="inlineStr">
        <is>
          <t>1</t>
        </is>
      </c>
      <c r="J1143">
        <f>(Inputs!$B$5*(1+Inputs!$B$6/100))*(F1143/100)</f>
        <v/>
      </c>
      <c r="K1143">
        <f>J1143*(1+((Inputs!$B$11*(1+Inputs!$B$12/100))*0.01+Inputs!$B$13*0.0025)/100)*(1+Inputs!$B$14/100)*(1+IF(Inputs!$B$4="pvp",0,(1-Summary!$B$55)*(Inputs!$B$19+0+Skills!P5+B1172)+Summary!$B$55*(Inputs!$B$20+Skills!Q5+B1172))/100)*(1+Inputs!$B$15/100)*(5000/(6000+Inputs!$B$7*(1-Inputs!$B$18/100)))*(1+(Inputs!$B$23+((C1168=TRUE)*(F1168-Calc!F30)))/100)*(1+2.6666666666666665*IF(C1156=TRUE,F1156,0)/100)*(1+(IF(Skills!A5="CRUEL_STAB",Inputs!$B$16+((C1165=TRUE)*(F1165-Calc!F27)),Inputs!$B$17+((C1166=TRUE)*(F1166-Calc!F28))))/100)*(((1+(((C1159=TRUE)*F1159*IF(AND(Inputs!$B$4&lt;&gt;"pvp",Inputs!$B$35&gt;0),(((S1159-1)*(Skills!Y21*(1+Inputs!$B$33/100))+MIN((Skills!Y21*(1+Inputs!$B$33/100)),MAX(0,Inputs!$B$35-((S1159-1)*Skills!D21))))/Inputs!$B$35),IF(Inputs!$B$4="pvp",MIN((Skills!Y21*(1+Inputs!$B$33/100)),15)/15,(Skills!Y21*(1+Inputs!$B$33/100))/Skills!D21)))+((C1161=TRUE)*(F1161-Calc!F23))+((C1155=TRUE)*(F1155-Calc!F17)))/100)*(1+((C1148=TRUE)*F1148*IF(AND(Inputs!$B$4&lt;&gt;"pvp",Inputs!$B$35&gt;0),(((S1148-1)*(Skills!Y10*(1+Inputs!$B$33/100))+MIN((Skills!Y10*(1+Inputs!$B$33/100)),MAX(0,Inputs!$B$35-((S1148-1)*Skills!D10))))/Inputs!$B$35),IF(Inputs!$B$4="pvp",MIN((Skills!Y10*(1+Inputs!$B$33/100)),15)/15,(Skills!Y10*(1+Inputs!$B$33/100))/Skills!D10)))/100)*(1+((C1153=TRUE)*F1153*IF(AND(Inputs!$B$4&lt;&gt;"pvp",Inputs!$B$35&gt;0),(((S1153-1)*(Skills!Y15*(1+Inputs!$B$33/100))+MIN((Skills!Y15*(1+Inputs!$B$33/100)),MAX(0,Inputs!$B$35-((S1153-1)*Skills!D15))))/Inputs!$B$35),IF(Inputs!$B$4="pvp",MIN((Skills!Y15*(1+Inputs!$B$33/100)),15)/15,(Skills!Y15*(1+Inputs!$B$33/100))/Skills!D15)))/100))*B1173*I1143)</f>
        <v/>
      </c>
      <c r="L1143">
        <f>K1143*(MIN(Inputs!$B$21+((C1162=TRUE)*(F1162-Calc!F24)),Inputs!$B$22+((C1167=TRUE)*(F1167-Calc!F29)))/100+(Inputs!$B$22+((C1167=TRUE)*(F1167-Calc!F29)))/100)/2</f>
        <v/>
      </c>
      <c r="M1143">
        <f>L1143*(1+(Inputs!$B$9+((C1164=TRUE)*(F1164-Calc!F26))+B1178)/100)</f>
        <v/>
      </c>
      <c r="N1143">
        <f>L1143*(1-MIN((Inputs!$B$8+((C1163=TRUE)*(F1163-Calc!F25))+B1171),100)/100)+M1143*(MIN((Inputs!$B$8+((C1163=TRUE)*(F1163-Calc!F25))+B1171),100)/100)</f>
        <v/>
      </c>
      <c r="O1143">
        <f>IF(C1143,H1143*N1143*IF(AND(Inputs!$B$4&lt;&gt;"pvp",Inputs!$B$35&gt;0),((Skills!G5*((R1143-1)*IF(Skills!H5&gt;0,Skills!I5/Skills!H5,1)+IF(Skills!H5&gt;0,MIN(Skills!I5,MAX(0,Inputs!$B$35-((R1143-1)*IF(Inputs!$B$4="pvp",15,MAX(0.1,Skills!D5-IF(Skills!E5=TRUE,(Inputs!$B$31+1),0))))))/Skills!H5,1)))/Inputs!$B$35),G1143*Q1143)*IF(Inputs!$B$4="pvp",1,(1-Summary!$B$55)*(1)+Summary!$B$55*(MIN(Skills!W5,Inputs!$B$37))),0)</f>
        <v/>
      </c>
      <c r="P1143">
        <f>IF(B1183=0,0,O1143/B1183)</f>
        <v/>
      </c>
      <c r="Q1143">
        <f>IFERROR(1/IF(Inputs!$B$4="pvp",15,MAX(0.1,Skills!D5-IF(Skills!E5=TRUE,(Inputs!$B$31+1),0))),0)</f>
        <v/>
      </c>
      <c r="R1143">
        <f>IF(AND(Inputs!$B$4&lt;&gt;"pvp",Inputs!$B$35&gt;0),(INT(Inputs!$B$35/IF(Inputs!$B$4="pvp",15,MAX(0.1,Skills!D5-IF(Skills!E5=TRUE,(Inputs!$B$31+1),0))))+1),0)</f>
        <v/>
      </c>
      <c r="S1143">
        <f>IFERROR(O1143/N1143,0)</f>
        <v/>
      </c>
    </row>
    <row r="1144">
      <c r="A1144">
        <f>Skills!A6</f>
        <v/>
      </c>
      <c r="B1144">
        <f>Skills!B6</f>
        <v/>
      </c>
      <c r="C1144">
        <f>Inputs!$B$3&gt;=69</f>
        <v/>
      </c>
      <c r="D1144">
        <f>IF(Skills!C6=1,60+Inputs!$B$24+Inputs!$B$28,IF(Skills!C6=2,90+Inputs!$B$25+Inputs!$B$28,IF(Skills!C6=3,120+Inputs!$B$26+Inputs!$B$28,MAX(0,(Inputs!$B$3-100)*3)+Inputs!$B$27+Inputs!$B$28)))</f>
        <v/>
      </c>
      <c r="E1144">
        <f>INDEX(FactorTable!$B$2:$Y$301, MATCH(ROUND(MIN(300,MAX(1,D1144)),0), FactorTable!$A$2:$A$301,0), Skills!M6+1)</f>
        <v/>
      </c>
      <c r="F1144">
        <f>IF(Skills!N6=TRUE,(Skills!L6/10)*(E1144/1000),Skills!L6/10)+Skills!O6</f>
        <v/>
      </c>
      <c r="G1144">
        <f>Skills!G6*IF(Skills!H6&gt;0,Skills!I6/Skills!H6,1)</f>
        <v/>
      </c>
      <c r="H1144">
        <f>1-(1-Skills!J6/100)^Skills!K6</f>
        <v/>
      </c>
      <c r="I1144" t="inlineStr">
        <is>
          <t>1</t>
        </is>
      </c>
      <c r="J1144">
        <f>(Inputs!$B$5*(1+Inputs!$B$6/100))*(F1144/100)</f>
        <v/>
      </c>
      <c r="K1144">
        <f>J1144*(1+((Inputs!$B$11*(1+Inputs!$B$12/100))*0.01+Inputs!$B$13*0.0025)/100)*(1+Inputs!$B$14/100)*(1+IF(Inputs!$B$4="pvp",0,(1-Summary!$B$55)*(Inputs!$B$19+0+Skills!P6+B1172)+Summary!$B$55*(Inputs!$B$20+Skills!Q6+B1172))/100)*(1+Inputs!$B$15/100)*(5000/(6000+Inputs!$B$7*(1-Inputs!$B$18/100)))*(1+(Inputs!$B$23+((C1168=TRUE)*(F1168-Calc!F30)))/100)*(1+1.0*IF(C1156=TRUE,F1156,0)/100)*(1+(IF(Skills!A6="CRUEL_STAB",Inputs!$B$16+((C1165=TRUE)*(F1165-Calc!F27)),Inputs!$B$17+((C1166=TRUE)*(F1166-Calc!F28))))/100)*(((1+(((C1159=TRUE)*F1159*IF(AND(Inputs!$B$4&lt;&gt;"pvp",Inputs!$B$35&gt;0),(((S1159-1)*(Skills!Y21*(1+Inputs!$B$33/100))+MIN((Skills!Y21*(1+Inputs!$B$33/100)),MAX(0,Inputs!$B$35-((S1159-1)*Skills!D21))))/Inputs!$B$35),IF(Inputs!$B$4="pvp",MIN((Skills!Y21*(1+Inputs!$B$33/100)),15)/15,(Skills!Y21*(1+Inputs!$B$33/100))/Skills!D21)))+((C1161=TRUE)*(F1161-Calc!F23))+((C1155=TRUE)*(F1155-Calc!F17)))/100)*(1+((C1148=TRUE)*F1148*IF(AND(Inputs!$B$4&lt;&gt;"pvp",Inputs!$B$35&gt;0),(((S1148-1)*(Skills!Y10*(1+Inputs!$B$33/100))+MIN((Skills!Y10*(1+Inputs!$B$33/100)),MAX(0,Inputs!$B$35-((S1148-1)*Skills!D10))))/Inputs!$B$35),IF(Inputs!$B$4="pvp",MIN((Skills!Y10*(1+Inputs!$B$33/100)),15)/15,(Skills!Y10*(1+Inputs!$B$33/100))/Skills!D10)))/100)*(1+((C1153=TRUE)*F1153*IF(AND(Inputs!$B$4&lt;&gt;"pvp",Inputs!$B$35&gt;0),(((S1153-1)*(Skills!Y15*(1+Inputs!$B$33/100))+MIN((Skills!Y15*(1+Inputs!$B$33/100)),MAX(0,Inputs!$B$35-((S1153-1)*Skills!D15))))/Inputs!$B$35),IF(Inputs!$B$4="pvp",MIN((Skills!Y15*(1+Inputs!$B$33/100)),15)/15,(Skills!Y15*(1+Inputs!$B$33/100))/Skills!D15)))/100))*B1173*I1144)</f>
        <v/>
      </c>
      <c r="L1144">
        <f>K1144*(MIN(Inputs!$B$21+((C1162=TRUE)*(F1162-Calc!F24)),Inputs!$B$22+((C1167=TRUE)*(F1167-Calc!F29)))/100+(Inputs!$B$22+((C1167=TRUE)*(F1167-Calc!F29)))/100)/2</f>
        <v/>
      </c>
      <c r="M1144">
        <f>L1144*(1+(Inputs!$B$9+((C1164=TRUE)*(F1164-Calc!F26))+B1178)/100)</f>
        <v/>
      </c>
      <c r="N1144">
        <f>L1144*(1-MIN((Inputs!$B$8+((C1163=TRUE)*(F1163-Calc!F25))+B1171),100)/100)+M1144*(MIN((Inputs!$B$8+((C1163=TRUE)*(F1163-Calc!F25))+B1171),100)/100)</f>
        <v/>
      </c>
      <c r="O1144">
        <f>IF(C1144,H1144*N1144*IF(AND(Inputs!$B$4&lt;&gt;"pvp",Inputs!$B$35&gt;0),((Skills!G6*((R1144-1)*IF(Skills!H6&gt;0,Skills!I6/Skills!H6,1)+IF(Skills!H6&gt;0,MIN(Skills!I6,MAX(0,Inputs!$B$35-((R1144-1)*IF(Inputs!$B$4="pvp",15,MAX(0.1,Skills!D6-IF(Skills!E6=TRUE,(Inputs!$B$31+1),0))))))/Skills!H6,1)))/Inputs!$B$35),G1144*Q1144)*IF(Inputs!$B$4="pvp",1,(1-Summary!$B$55)*(1)+Summary!$B$55*(MIN(Skills!W6,Inputs!$B$37))),0)</f>
        <v/>
      </c>
      <c r="P1144">
        <f>IF(B1183=0,0,O1144/B1183)</f>
        <v/>
      </c>
      <c r="Q1144">
        <f>IFERROR(1/IF(Inputs!$B$4="pvp",15,MAX(0.1,Skills!D6-IF(Skills!E6=TRUE,(Inputs!$B$31+1),0))),0)</f>
        <v/>
      </c>
      <c r="R1144">
        <f>IF(AND(Inputs!$B$4&lt;&gt;"pvp",Inputs!$B$35&gt;0),(INT(Inputs!$B$35/IF(Inputs!$B$4="pvp",15,MAX(0.1,Skills!D6-IF(Skills!E6=TRUE,(Inputs!$B$31+1),0))))+1),0)</f>
        <v/>
      </c>
      <c r="S1144">
        <f>IFERROR(O1144/N1144,0)</f>
        <v/>
      </c>
    </row>
    <row r="1145">
      <c r="A1145">
        <f>Skills!A7</f>
        <v/>
      </c>
      <c r="B1145">
        <f>Skills!B7</f>
        <v/>
      </c>
      <c r="C1145">
        <f>Inputs!$B$3&gt;=60</f>
        <v/>
      </c>
      <c r="D1145">
        <f>IF(Skills!C7=1,60+Inputs!$B$24+Inputs!$B$28,IF(Skills!C7=2,90+Inputs!$B$25+Inputs!$B$28,IF(Skills!C7=3,120+Inputs!$B$26+Inputs!$B$28,MAX(0,(Inputs!$B$3-100)*3)+Inputs!$B$27+Inputs!$B$28)))</f>
        <v/>
      </c>
      <c r="E1145">
        <f>INDEX(FactorTable!$B$2:$Y$301, MATCH(ROUND(MIN(300,MAX(1,D1145)),0), FactorTable!$A$2:$A$301,0), Skills!M7+1)</f>
        <v/>
      </c>
      <c r="F1145">
        <f>IF(Skills!N7=TRUE,(Skills!L7/10)*(E1145/1000),Skills!L7/10)+Skills!O7</f>
        <v/>
      </c>
      <c r="G1145">
        <f>Skills!G7*IF(Skills!H7&gt;0,Skills!I7/Skills!H7,1)</f>
        <v/>
      </c>
      <c r="H1145">
        <f>1-(1-Skills!J7/100)^Skills!K7</f>
        <v/>
      </c>
      <c r="I1145" t="inlineStr">
        <is>
          <t>1</t>
        </is>
      </c>
      <c r="J1145" t="inlineStr"/>
      <c r="K1145" t="inlineStr"/>
      <c r="L1145" t="inlineStr"/>
      <c r="M1145" t="inlineStr"/>
      <c r="N1145" t="inlineStr"/>
      <c r="O1145" t="n">
        <v>0</v>
      </c>
      <c r="P1145">
        <f>IF(B1183=0,0,O1145/B1183)</f>
        <v/>
      </c>
      <c r="Q1145" t="n">
        <v>0</v>
      </c>
      <c r="R1145" t="n">
        <v>0</v>
      </c>
      <c r="S1145">
        <f>IFERROR(O1145/N1145,0)</f>
        <v/>
      </c>
    </row>
    <row r="1146">
      <c r="A1146">
        <f>Skills!A8</f>
        <v/>
      </c>
      <c r="B1146">
        <f>Skills!B8</f>
        <v/>
      </c>
      <c r="C1146">
        <f>Inputs!$B$3&gt;=72</f>
        <v/>
      </c>
      <c r="D1146">
        <f>IF(Skills!C8=1,60+Inputs!$B$24+Inputs!$B$28,IF(Skills!C8=2,90+Inputs!$B$25+Inputs!$B$28,IF(Skills!C8=3,120+Inputs!$B$26+Inputs!$B$28,MAX(0,(Inputs!$B$3-100)*3)+Inputs!$B$27+Inputs!$B$28)))</f>
        <v/>
      </c>
      <c r="E1146">
        <f>INDEX(FactorTable!$B$2:$Y$301, MATCH(ROUND(MIN(300,MAX(1,D1146)),0), FactorTable!$A$2:$A$301,0), Skills!M8+1)</f>
        <v/>
      </c>
      <c r="F1146">
        <f>IF(Skills!N8=TRUE,(Skills!L8/10)*(E1146/1000),Skills!L8/10)+Skills!O8</f>
        <v/>
      </c>
      <c r="G1146">
        <f>Skills!G8*IF(Skills!H8&gt;0,Skills!I8/Skills!H8,1)</f>
        <v/>
      </c>
      <c r="H1146">
        <f>1-(1-Skills!J8/100)^Skills!K8</f>
        <v/>
      </c>
      <c r="I1146" t="inlineStr">
        <is>
          <t>1</t>
        </is>
      </c>
      <c r="J1146">
        <f>(Inputs!$B$5*(1+Inputs!$B$6/100))*(F1146/100)</f>
        <v/>
      </c>
      <c r="K1146">
        <f>J1146*(1+((Inputs!$B$11*(1+Inputs!$B$12/100))*0.01+Inputs!$B$13*0.0025)/100)*(1+Inputs!$B$14/100)*(1+IF(Inputs!$B$4="pvp",0,(1-Summary!$B$55)*(Inputs!$B$19+0+Skills!P8+B1172)+Summary!$B$55*(Inputs!$B$20+Skills!Q8+B1172))/100)*(1+Inputs!$B$15/100)*(5000/(6000+Inputs!$B$7*(1-Inputs!$B$18/100)))*(1+(Inputs!$B$23+((C1168=TRUE)*(F1168-Calc!F30)))/100)*(1+3.3333333333333335*IF(C1156=TRUE,F1156,0)/100)*(1+(IF(Skills!A8="CRUEL_STAB",Inputs!$B$16+((C1165=TRUE)*(F1165-Calc!F27)),Inputs!$B$17+((C1166=TRUE)*(F1166-Calc!F28))))/100)*(((1+(((C1159=TRUE)*F1159*IF(AND(Inputs!$B$4&lt;&gt;"pvp",Inputs!$B$35&gt;0),(((S1159-1)*(Skills!Y21*(1+Inputs!$B$33/100))+MIN((Skills!Y21*(1+Inputs!$B$33/100)),MAX(0,Inputs!$B$35-((S1159-1)*Skills!D21))))/Inputs!$B$35),IF(Inputs!$B$4="pvp",MIN((Skills!Y21*(1+Inputs!$B$33/100)),15)/15,(Skills!Y21*(1+Inputs!$B$33/100))/Skills!D21)))+((C1161=TRUE)*(F1161-Calc!F23))+((C1155=TRUE)*(F1155-Calc!F17)))/100)*(1+((C1148=TRUE)*F1148*IF(AND(Inputs!$B$4&lt;&gt;"pvp",Inputs!$B$35&gt;0),(((S1148-1)*(Skills!Y10*(1+Inputs!$B$33/100))+MIN((Skills!Y10*(1+Inputs!$B$33/100)),MAX(0,Inputs!$B$35-((S1148-1)*Skills!D10))))/Inputs!$B$35),IF(Inputs!$B$4="pvp",MIN((Skills!Y10*(1+Inputs!$B$33/100)),15)/15,(Skills!Y10*(1+Inputs!$B$33/100))/Skills!D10)))/100)*(1+((C1153=TRUE)*F1153*IF(AND(Inputs!$B$4&lt;&gt;"pvp",Inputs!$B$35&gt;0),(((S1153-1)*(Skills!Y15*(1+Inputs!$B$33/100))+MIN((Skills!Y15*(1+Inputs!$B$33/100)),MAX(0,Inputs!$B$35-((S1153-1)*Skills!D15))))/Inputs!$B$35),IF(Inputs!$B$4="pvp",MIN((Skills!Y15*(1+Inputs!$B$33/100)),15)/15,(Skills!Y15*(1+Inputs!$B$33/100))/Skills!D15)))/100))*B1173*I1146)</f>
        <v/>
      </c>
      <c r="L1146">
        <f>K1146*(MIN(Inputs!$B$21+((C1162=TRUE)*(F1162-Calc!F24)),Inputs!$B$22+((C1167=TRUE)*(F1167-Calc!F29)))/100+(Inputs!$B$22+((C1167=TRUE)*(F1167-Calc!F29)))/100)/2</f>
        <v/>
      </c>
      <c r="M1146">
        <f>L1146*(1+(Inputs!$B$9+((C1164=TRUE)*(F1164-Calc!F26))+B1178)/100)</f>
        <v/>
      </c>
      <c r="N1146">
        <f>L1146*(1-MIN((Inputs!$B$8+((C1163=TRUE)*(F1163-Calc!F25))+B1171),100)/100)+M1146*(MIN((Inputs!$B$8+((C1163=TRUE)*(F1163-Calc!F25))+B1171),100)/100)</f>
        <v/>
      </c>
      <c r="O1146">
        <f>IF(C1146,H1146*N1146*IF(AND(Inputs!$B$4&lt;&gt;"pvp",Inputs!$B$35&gt;0),((Skills!G8*((R1146-1)*IF(Skills!H8&gt;0,Skills!I8/Skills!H8,1)+IF(Skills!H8&gt;0,MIN(Skills!I8,MAX(0,Inputs!$B$35-((R1146-1)*IF(Inputs!$B$4="pvp",15,MAX(0.1,Skills!D8-IF(Skills!E8=TRUE,(Inputs!$B$31+1),0))))))/Skills!H8,1)))/Inputs!$B$35),G1146*Q1146)*IF(Inputs!$B$4="pvp",1,(1-Summary!$B$55)*(1)+Summary!$B$55*(MIN(Skills!W8,Inputs!$B$37))),0)</f>
        <v/>
      </c>
      <c r="P1146">
        <f>IF(B1183=0,0,O1146/B1183)</f>
        <v/>
      </c>
      <c r="Q1146">
        <f>IFERROR(1/IF(Inputs!$B$4="pvp",15,MAX(0.1,Skills!D8-IF(Skills!E8=TRUE,(Inputs!$B$31+1),0))),0)</f>
        <v/>
      </c>
      <c r="R1146">
        <f>IF(AND(Inputs!$B$4&lt;&gt;"pvp",Inputs!$B$35&gt;0),(INT(Inputs!$B$35/IF(Inputs!$B$4="pvp",15,MAX(0.1,Skills!D8-IF(Skills!E8=TRUE,(Inputs!$B$31+1),0))))+1),0)</f>
        <v/>
      </c>
      <c r="S1146">
        <f>IFERROR(O1146/N1146,0)</f>
        <v/>
      </c>
    </row>
    <row r="1147">
      <c r="A1147">
        <f>Skills!A9</f>
        <v/>
      </c>
      <c r="B1147">
        <f>Skills!B9</f>
        <v/>
      </c>
      <c r="C1147">
        <f>Inputs!$B$3&gt;=117</f>
        <v/>
      </c>
      <c r="D1147">
        <f>IF(Skills!C9=1,60+Inputs!$B$24+Inputs!$B$28,IF(Skills!C9=2,90+Inputs!$B$25+Inputs!$B$28,IF(Skills!C9=3,120+Inputs!$B$26+Inputs!$B$28,MAX(0,(Inputs!$B$3-100)*3)+Inputs!$B$27+Inputs!$B$28)))</f>
        <v/>
      </c>
      <c r="E1147">
        <f>INDEX(FactorTable!$B$2:$Y$301, MATCH(ROUND(MIN(300,MAX(1,D1147)),0), FactorTable!$A$2:$A$301,0), Skills!M9+1)</f>
        <v/>
      </c>
      <c r="F1147">
        <f>IF(Skills!N9=TRUE,(Skills!L9/10)*(E1147/1000),Skills!L9/10)+Skills!O9</f>
        <v/>
      </c>
      <c r="G1147">
        <f>Skills!G9*IF(Skills!H9&gt;0,Skills!I9/Skills!H9,1)</f>
        <v/>
      </c>
      <c r="H1147">
        <f>1-(1-Skills!J9/100)^Skills!K9</f>
        <v/>
      </c>
      <c r="I1147" t="inlineStr">
        <is>
          <t>1</t>
        </is>
      </c>
      <c r="J1147">
        <f>(Inputs!$B$5*(1+Inputs!$B$6/100))*(F1147/100)</f>
        <v/>
      </c>
      <c r="K1147">
        <f>J1147*(1+((Inputs!$B$11*(1+Inputs!$B$12/100))*0.01+Inputs!$B$13*0.0025)/100)*(1+Inputs!$B$14/100)*(1+IF(Inputs!$B$4="pvp",0,(1-Summary!$B$55)*(Inputs!$B$19+0+Skills!P9+B1172)+Summary!$B$55*(Inputs!$B$20+Skills!Q9+B1172))/100)*(1+Inputs!$B$15/100)*(5000/(6000+Inputs!$B$7*(1-Inputs!$B$18/100)))*(1+(Inputs!$B$23+((C1168=TRUE)*(F1168-Calc!F30)))/100)*(1+(IF(Skills!A9="CRUEL_STAB",Inputs!$B$16+((C1165=TRUE)*(F1165-Calc!F27)),Inputs!$B$17+((C1166=TRUE)*(F1166-Calc!F28))))/100)*(((1+(((C1159=TRUE)*F1159*IF(AND(Inputs!$B$4&lt;&gt;"pvp",Inputs!$B$35&gt;0),(((S1159-1)*(Skills!Y21*(1+Inputs!$B$33/100))+MIN((Skills!Y21*(1+Inputs!$B$33/100)),MAX(0,Inputs!$B$35-((S1159-1)*Skills!D21))))/Inputs!$B$35),IF(Inputs!$B$4="pvp",MIN((Skills!Y21*(1+Inputs!$B$33/100)),15)/15,(Skills!Y21*(1+Inputs!$B$33/100))/Skills!D21)))+((C1161=TRUE)*(F1161-Calc!F23))+((C1155=TRUE)*(F1155-Calc!F17)))/100)*(1+((C1148=TRUE)*F1148*IF(AND(Inputs!$B$4&lt;&gt;"pvp",Inputs!$B$35&gt;0),(((S1148-1)*(Skills!Y10*(1+Inputs!$B$33/100))+MIN((Skills!Y10*(1+Inputs!$B$33/100)),MAX(0,Inputs!$B$35-((S1148-1)*Skills!D10))))/Inputs!$B$35),IF(Inputs!$B$4="pvp",MIN((Skills!Y10*(1+Inputs!$B$33/100)),15)/15,(Skills!Y10*(1+Inputs!$B$33/100))/Skills!D10)))/100)*(1+((C1153=TRUE)*F1153*IF(AND(Inputs!$B$4&lt;&gt;"pvp",Inputs!$B$35&gt;0),(((S1153-1)*(Skills!Y15*(1+Inputs!$B$33/100))+MIN((Skills!Y15*(1+Inputs!$B$33/100)),MAX(0,Inputs!$B$35-((S1153-1)*Skills!D15))))/Inputs!$B$35),IF(Inputs!$B$4="pvp",MIN((Skills!Y15*(1+Inputs!$B$33/100)),15)/15,(Skills!Y15*(1+Inputs!$B$33/100))/Skills!D15)))/100))*B1173*I1147)</f>
        <v/>
      </c>
      <c r="L1147">
        <f>K1147*(MIN(Inputs!$B$21+((C1162=TRUE)*(F1162-Calc!F24)),Inputs!$B$22+((C1167=TRUE)*(F1167-Calc!F29)))/100+(Inputs!$B$22+((C1167=TRUE)*(F1167-Calc!F29)))/100)/2</f>
        <v/>
      </c>
      <c r="M1147">
        <f>L1147*(1+(Inputs!$B$9+((C1164=TRUE)*(F1164-Calc!F26))+B1178)/100)</f>
        <v/>
      </c>
      <c r="N1147">
        <f>L1147*(1-MIN((Inputs!$B$8+((C1163=TRUE)*(F1163-Calc!F25))+B1171),100)/100)+M1147*(MIN((Inputs!$B$8+((C1163=TRUE)*(F1163-Calc!F25))+B1171),100)/100)</f>
        <v/>
      </c>
      <c r="O1147">
        <f>IF(C1147,0.2*SUMPRODUCT((Skills!Z2:Z30=TRUE)*(C1140:C1168=TRUE)*S1140:S1168)*N1147,0)</f>
        <v/>
      </c>
      <c r="P1147">
        <f>IF(B1183=0,0,O1147/B1183)</f>
        <v/>
      </c>
      <c r="Q1147" t="n">
        <v>0</v>
      </c>
      <c r="R1147" t="n">
        <v>0</v>
      </c>
      <c r="S1147" t="n">
        <v>0</v>
      </c>
    </row>
    <row r="1148">
      <c r="A1148">
        <f>Skills!A10</f>
        <v/>
      </c>
      <c r="B1148">
        <f>Skills!B10</f>
        <v/>
      </c>
      <c r="C1148">
        <f>Inputs!$B$3&gt;=74</f>
        <v/>
      </c>
      <c r="D1148">
        <f>IF(Skills!C10=1,60+Inputs!$B$24+Inputs!$B$28,IF(Skills!C10=2,90+Inputs!$B$25+Inputs!$B$28,IF(Skills!C10=3,120+Inputs!$B$26+Inputs!$B$28,MAX(0,(Inputs!$B$3-100)*3)+Inputs!$B$27+Inputs!$B$28)))</f>
        <v/>
      </c>
      <c r="E1148">
        <f>INDEX(FactorTable!$B$2:$Y$301, MATCH(ROUND(MIN(300,MAX(1,D1148)),0), FactorTable!$A$2:$A$301,0), Skills!M10+1)</f>
        <v/>
      </c>
      <c r="F1148">
        <f>IF(Skills!N10=TRUE,(Skills!L10/10)*(E1148/1000),Skills!L10/10)+Skills!O10</f>
        <v/>
      </c>
      <c r="G1148">
        <f>Skills!G10*IF(Skills!H10&gt;0,Skills!I10/Skills!H10,1)</f>
        <v/>
      </c>
      <c r="H1148">
        <f>1-(1-Skills!J10/100)^Skills!K10</f>
        <v/>
      </c>
      <c r="I1148" t="inlineStr">
        <is>
          <t>1</t>
        </is>
      </c>
      <c r="J1148" t="inlineStr"/>
      <c r="K1148" t="inlineStr"/>
      <c r="L1148" t="inlineStr"/>
      <c r="M1148" t="inlineStr"/>
      <c r="N1148" t="inlineStr"/>
      <c r="O1148" t="n">
        <v>0</v>
      </c>
      <c r="P1148">
        <f>IF(B1183=0,0,O1148/B1183)</f>
        <v/>
      </c>
      <c r="Q1148">
        <f>IFERROR(1/IF(Inputs!$B$4="pvp",15,MAX(0.1,Skills!D10-IF(Skills!E10=TRUE,(Inputs!$B$31+1),0))),0)</f>
        <v/>
      </c>
      <c r="R1148">
        <f>IF(AND(Inputs!$B$4&lt;&gt;"pvp",Inputs!$B$35&gt;0),(INT(Inputs!$B$35/IF(Inputs!$B$4="pvp",15,MAX(0.1,Skills!D10-IF(Skills!E10=TRUE,(Inputs!$B$31+1),0))))+1),0)</f>
        <v/>
      </c>
      <c r="S1148">
        <f>IFERROR(O1148/N1148,0)</f>
        <v/>
      </c>
    </row>
    <row r="1149">
      <c r="A1149">
        <f>Skills!A11</f>
        <v/>
      </c>
      <c r="B1149">
        <f>Skills!B11</f>
        <v/>
      </c>
      <c r="C1149">
        <f>Inputs!$B$3&gt;=103</f>
        <v/>
      </c>
      <c r="D1149">
        <f>IF(Skills!C11=1,60+Inputs!$B$24+Inputs!$B$28,IF(Skills!C11=2,90+Inputs!$B$25+Inputs!$B$28,IF(Skills!C11=3,120+Inputs!$B$26+Inputs!$B$28,MAX(0,(Inputs!$B$3-100)*3)+Inputs!$B$27+Inputs!$B$28)))</f>
        <v/>
      </c>
      <c r="E1149">
        <f>INDEX(FactorTable!$B$2:$Y$301, MATCH(ROUND(MIN(300,MAX(1,D1149)),0), FactorTable!$A$2:$A$301,0), Skills!M11+1)</f>
        <v/>
      </c>
      <c r="F1149">
        <f>(Skills!L11/10)*(E1149/1000)+IF(Inputs!$B$3&gt;=134,50,0)+0.5*(30000/10)*(INDEX(FactorTable!$B$2:$Y$301, MATCH(ROUND(MIN(300,MAX(1,D1149)),0), FactorTable!$A$2:$A$301,0), 13)/1000)*B1181</f>
        <v/>
      </c>
      <c r="G1149">
        <f>Skills!G11*IF(Skills!H11&gt;0,Skills!I11/Skills!H11,1)</f>
        <v/>
      </c>
      <c r="H1149">
        <f>1-(1-Skills!J11/100)^Skills!K11</f>
        <v/>
      </c>
      <c r="I1149" t="inlineStr">
        <is>
          <t>1</t>
        </is>
      </c>
      <c r="J1149">
        <f>(Inputs!$B$5*(1+Inputs!$B$6/100))*(F1149/100)</f>
        <v/>
      </c>
      <c r="K1149">
        <f>J1149*(1+((Inputs!$B$11*(1+Inputs!$B$12/100))*0.01+Inputs!$B$13*0.0025)/100)*(1+Inputs!$B$14/100)*(1+IF(Inputs!$B$4="pvp",0,(1-Summary!$B$55)*(Inputs!$B$19+0+Skills!P11+B1172)+Summary!$B$55*(Inputs!$B$20+Skills!Q11+B1172))/100)*(1+Inputs!$B$15/100)*(5000/(6000+Inputs!$B$7*(1-Inputs!$B$18/100)))*(1+(Inputs!$B$23+((C1168=TRUE)*(F1168-Calc!F30)))/100)*(1+(IF(Skills!A11="CRUEL_STAB",Inputs!$B$16+((C1165=TRUE)*(F1165-Calc!F27)),Inputs!$B$17+((C1166=TRUE)*(F1166-Calc!F28))))/100)*(((1+(((C1159=TRUE)*F1159*IF(AND(Inputs!$B$4&lt;&gt;"pvp",Inputs!$B$35&gt;0),(((S1159-1)*(Skills!Y21*(1+Inputs!$B$33/100))+MIN((Skills!Y21*(1+Inputs!$B$33/100)),MAX(0,Inputs!$B$35-((S1159-1)*Skills!D21))))/Inputs!$B$35),IF(Inputs!$B$4="pvp",MIN((Skills!Y21*(1+Inputs!$B$33/100)),15)/15,(Skills!Y21*(1+Inputs!$B$33/100))/Skills!D21)))+((C1161=TRUE)*(F1161-Calc!F23))+((C1155=TRUE)*(F1155-Calc!F17)))/100)*(1+((C1148=TRUE)*F1148*IF(AND(Inputs!$B$4&lt;&gt;"pvp",Inputs!$B$35&gt;0),(((S1148-1)*(Skills!Y10*(1+Inputs!$B$33/100))+MIN((Skills!Y10*(1+Inputs!$B$33/100)),MAX(0,Inputs!$B$35-((S1148-1)*Skills!D10))))/Inputs!$B$35),IF(Inputs!$B$4="pvp",MIN((Skills!Y10*(1+Inputs!$B$33/100)),15)/15,(Skills!Y10*(1+Inputs!$B$33/100))/Skills!D10)))/100)*(1+((C1153=TRUE)*F1153*IF(AND(Inputs!$B$4&lt;&gt;"pvp",Inputs!$B$35&gt;0),(((S1153-1)*(Skills!Y15*(1+Inputs!$B$33/100))+MIN((Skills!Y15*(1+Inputs!$B$33/100)),MAX(0,Inputs!$B$35-((S1153-1)*Skills!D15))))/Inputs!$B$35),IF(Inputs!$B$4="pvp",MIN((Skills!Y15*(1+Inputs!$B$33/100)),15)/15,(Skills!Y15*(1+Inputs!$B$33/100))/Skills!D15)))/100))*B1173*I1149)</f>
        <v/>
      </c>
      <c r="L1149">
        <f>K1149*(MIN(Inputs!$B$21+((C1162=TRUE)*(F1162-Calc!F24)),Inputs!$B$22+((C1167=TRUE)*(F1167-Calc!F29)))/100+(Inputs!$B$22+((C1167=TRUE)*(F1167-Calc!F29)))/100)/2</f>
        <v/>
      </c>
      <c r="M1149">
        <f>L1149*(1+(Inputs!$B$9+((C1164=TRUE)*(F1164-Calc!F26))+B1178)/100)</f>
        <v/>
      </c>
      <c r="N1149">
        <f>L1149*(1-MIN((Inputs!$B$8+((C1163=TRUE)*(F1163-Calc!F25))+B1171),100)/100)+M1149*(MIN((Inputs!$B$8+((C1163=TRUE)*(F1163-Calc!F25))+B1171),100)/100)</f>
        <v/>
      </c>
      <c r="O1149">
        <f>IF(C1149,H1149*N1149*IF(AND(Inputs!$B$4&lt;&gt;"pvp",Inputs!$B$35&gt;0),((Skills!G11*((R1149-1)*IF(Skills!H11&gt;0,Skills!I11/Skills!H11,1)+IF(Skills!H11&gt;0,MIN(Skills!I11,MAX(0,Inputs!$B$35-((R1149-1)*IF(Inputs!$B$4="pvp",15,MAX(0.1,Skills!D11-IF(Skills!E11=TRUE,(Inputs!$B$31+1),0))))))/Skills!H11,1)))/Inputs!$B$35),G1149*Q1149)*IF(Inputs!$B$4="pvp",1,(1-Summary!$B$55)*(1)+Summary!$B$55*(MIN(Skills!W11,Inputs!$B$37))),0)</f>
        <v/>
      </c>
      <c r="P1149">
        <f>IF(B1183=0,0,O1149/B1183)</f>
        <v/>
      </c>
      <c r="Q1149">
        <f>IFERROR(1/IF(Inputs!$B$4="pvp",15,MAX(0.1,Skills!D11-IF(Skills!E11=TRUE,(Inputs!$B$31+1),0))),0)</f>
        <v/>
      </c>
      <c r="R1149">
        <f>IF(AND(Inputs!$B$4&lt;&gt;"pvp",Inputs!$B$35&gt;0),(INT(Inputs!$B$35/IF(Inputs!$B$4="pvp",15,MAX(0.1,Skills!D11-IF(Skills!E11=TRUE,(Inputs!$B$31+1),0))))+1),0)</f>
        <v/>
      </c>
      <c r="S1149">
        <f>IFERROR(O1149/N1149,0)</f>
        <v/>
      </c>
    </row>
    <row r="1150">
      <c r="A1150">
        <f>Skills!A12</f>
        <v/>
      </c>
      <c r="B1150">
        <f>Skills!B12</f>
        <v/>
      </c>
      <c r="C1150">
        <f>Inputs!$B$3&gt;=105</f>
        <v/>
      </c>
      <c r="D1150">
        <f>IF(Skills!C12=1,60+Inputs!$B$24+Inputs!$B$28,IF(Skills!C12=2,90+Inputs!$B$25+Inputs!$B$28,IF(Skills!C12=3,120+Inputs!$B$26+Inputs!$B$28,MAX(0,(Inputs!$B$3-100)*3)+Inputs!$B$27+Inputs!$B$28)))</f>
        <v/>
      </c>
      <c r="E1150">
        <f>INDEX(FactorTable!$B$2:$Y$301, MATCH(ROUND(MIN(300,MAX(1,D1150)),0), FactorTable!$A$2:$A$301,0), Skills!M12+1)</f>
        <v/>
      </c>
      <c r="F1150">
        <f>IF(Skills!N12=TRUE,(Skills!L12/10)*(E1150/1000),Skills!L12/10)+Skills!O12</f>
        <v/>
      </c>
      <c r="G1150">
        <f>Skills!G12*IF(Skills!H12&gt;0,Skills!I12/Skills!H12,1)</f>
        <v/>
      </c>
      <c r="H1150">
        <f>1-(1-Skills!J12/100)^Skills!K12</f>
        <v/>
      </c>
      <c r="I1150" t="inlineStr">
        <is>
          <t>1</t>
        </is>
      </c>
      <c r="J1150">
        <f>(Inputs!$B$5*(1+Inputs!$B$6/100))*(F1150/100)</f>
        <v/>
      </c>
      <c r="K1150">
        <f>J1150*(1+((Inputs!$B$11*(1+Inputs!$B$12/100))*0.01+Inputs!$B$13*0.0025)/100)*(1+Inputs!$B$14/100)*(1+IF(Inputs!$B$4="pvp",0,(1-Summary!$B$55)*(Inputs!$B$19+0+Skills!P12+B1172)+Summary!$B$55*(Inputs!$B$20+Skills!Q12+B1172))/100)*(1+Inputs!$B$15/100)*(5000/(6000+Inputs!$B$7*(1-Inputs!$B$18/100)))*(1+(Inputs!$B$23+((C1168=TRUE)*(F1168-Calc!F30)))/100)*(1+(IF(Skills!A12="CRUEL_STAB",Inputs!$B$16+((C1165=TRUE)*(F1165-Calc!F27)),Inputs!$B$17+((C1166=TRUE)*(F1166-Calc!F28))))/100)*(((1+(((C1159=TRUE)*F1159*IF(AND(Inputs!$B$4&lt;&gt;"pvp",Inputs!$B$35&gt;0),(((S1159-1)*(Skills!Y21*(1+Inputs!$B$33/100))+MIN((Skills!Y21*(1+Inputs!$B$33/100)),MAX(0,Inputs!$B$35-((S1159-1)*Skills!D21))))/Inputs!$B$35),IF(Inputs!$B$4="pvp",MIN((Skills!Y21*(1+Inputs!$B$33/100)),15)/15,(Skills!Y21*(1+Inputs!$B$33/100))/Skills!D21)))+((C1161=TRUE)*(F1161-Calc!F23))+((C1155=TRUE)*(F1155-Calc!F17)))/100)*(1+((C1148=TRUE)*F1148*IF(AND(Inputs!$B$4&lt;&gt;"pvp",Inputs!$B$35&gt;0),(((S1148-1)*(Skills!Y10*(1+Inputs!$B$33/100))+MIN((Skills!Y10*(1+Inputs!$B$33/100)),MAX(0,Inputs!$B$35-((S1148-1)*Skills!D10))))/Inputs!$B$35),IF(Inputs!$B$4="pvp",MIN((Skills!Y10*(1+Inputs!$B$33/100)),15)/15,(Skills!Y10*(1+Inputs!$B$33/100))/Skills!D10)))/100)*(1+((C1153=TRUE)*F1153*IF(AND(Inputs!$B$4&lt;&gt;"pvp",Inputs!$B$35&gt;0),(((S1153-1)*(Skills!Y15*(1+Inputs!$B$33/100))+MIN((Skills!Y15*(1+Inputs!$B$33/100)),MAX(0,Inputs!$B$35-((S1153-1)*Skills!D15))))/Inputs!$B$35),IF(Inputs!$B$4="pvp",MIN((Skills!Y15*(1+Inputs!$B$33/100)),15)/15,(Skills!Y15*(1+Inputs!$B$33/100))/Skills!D15)))/100))*B1173*I1150)</f>
        <v/>
      </c>
      <c r="L1150">
        <f>K1150*(MIN(Inputs!$B$21+((C1162=TRUE)*(F1162-Calc!F24)),Inputs!$B$22+((C1167=TRUE)*(F1167-Calc!F29)))/100+(Inputs!$B$22+((C1167=TRUE)*(F1167-Calc!F29)))/100)/2</f>
        <v/>
      </c>
      <c r="M1150">
        <f>L1150*(1+(Inputs!$B$9+((C1164=TRUE)*(F1164-Calc!F26))+B1178)/100)</f>
        <v/>
      </c>
      <c r="N1150">
        <f>L1150*(1-MIN((Inputs!$B$8+((C1163=TRUE)*(F1163-Calc!F25))+B1171),100)/100)+M1150*(MIN((Inputs!$B$8+((C1163=TRUE)*(F1163-Calc!F25))+B1171),100)/100)</f>
        <v/>
      </c>
      <c r="O1150">
        <f>IF(C1150,H1150*N1150*IF(AND(Inputs!$B$4&lt;&gt;"pvp",Inputs!$B$35&gt;0),((Skills!G12*((R1150-1)*IF(Skills!H12&gt;0,Skills!I12/Skills!H12,1)+IF(Skills!H12&gt;0,MIN(Skills!I12,MAX(0,Inputs!$B$35-((R1150-1)*IF(Inputs!$B$4="pvp",15,MAX(0.1,Skills!D12-IF(Skills!E12=TRUE,(Inputs!$B$31+1),0))))))/Skills!H12,1)))/Inputs!$B$35),G1150*Q1150)*IF(Inputs!$B$4="pvp",1,(1-Summary!$B$55)*(1)+Summary!$B$55*(MIN(Skills!W12,Inputs!$B$37))),0)</f>
        <v/>
      </c>
      <c r="P1150">
        <f>IF(B1183=0,0,O1150/B1183)</f>
        <v/>
      </c>
      <c r="Q1150">
        <f>IFERROR(1/IF(Inputs!$B$4="pvp",15,MAX(0.1,Skills!D12-IF(Skills!E12=TRUE,(Inputs!$B$31+1),0))),0)</f>
        <v/>
      </c>
      <c r="R1150">
        <f>IF(AND(Inputs!$B$4&lt;&gt;"pvp",Inputs!$B$35&gt;0),(INT(Inputs!$B$35/IF(Inputs!$B$4="pvp",15,MAX(0.1,Skills!D12-IF(Skills!E12=TRUE,(Inputs!$B$31+1),0))))+1),0)</f>
        <v/>
      </c>
      <c r="S1150">
        <f>IFERROR(O1150/N1150,0)</f>
        <v/>
      </c>
    </row>
    <row r="1151">
      <c r="A1151">
        <f>Skills!A13</f>
        <v/>
      </c>
      <c r="B1151">
        <f>Skills!B13</f>
        <v/>
      </c>
      <c r="C1151">
        <f>Inputs!$B$3&gt;=105</f>
        <v/>
      </c>
      <c r="D1151">
        <f>IF(Skills!C13=1,60+Inputs!$B$24+Inputs!$B$28,IF(Skills!C13=2,90+Inputs!$B$25+Inputs!$B$28,IF(Skills!C13=3,120+Inputs!$B$26+Inputs!$B$28,MAX(0,(Inputs!$B$3-100)*3)+Inputs!$B$27+Inputs!$B$28)))</f>
        <v/>
      </c>
      <c r="E1151">
        <f>INDEX(FactorTable!$B$2:$Y$301, MATCH(ROUND(MIN(300,MAX(1,D1151)),0), FactorTable!$A$2:$A$301,0), Skills!M13+1)</f>
        <v/>
      </c>
      <c r="F1151">
        <f>IF(Skills!N13=TRUE,(Skills!L13/10)*(E1151/1000),Skills!L13/10)+Skills!O13</f>
        <v/>
      </c>
      <c r="G1151">
        <f>Skills!G13*IF(Skills!H13&gt;0,Skills!I13/Skills!H13,1)</f>
        <v/>
      </c>
      <c r="H1151">
        <f>1-(1-Skills!J13/100)^Skills!K13</f>
        <v/>
      </c>
      <c r="I1151" t="inlineStr">
        <is>
          <t>1</t>
        </is>
      </c>
      <c r="J1151">
        <f>(Inputs!$B$5*(1+Inputs!$B$6/100))*(F1151/100)</f>
        <v/>
      </c>
      <c r="K1151">
        <f>J1151*(1+((Inputs!$B$11*(1+Inputs!$B$12/100))*0.01+Inputs!$B$13*0.0025)/100)*(1+Inputs!$B$14/100)*(1+IF(Inputs!$B$4="pvp",0,(1-Summary!$B$55)*(Inputs!$B$19+0+Skills!P13+B1172)+Summary!$B$55*(Inputs!$B$20+Skills!Q13+B1172))/100)*(1+Inputs!$B$15/100)*(5000/(6000+Inputs!$B$7*(1-Inputs!$B$18/100)))*(1+(Inputs!$B$23+((C1168=TRUE)*(F1168-Calc!F30)))/100)*(1+(IF(Skills!A13="CRUEL_STAB",Inputs!$B$16+((C1165=TRUE)*(F1165-Calc!F27)),Inputs!$B$17+((C1166=TRUE)*(F1166-Calc!F28))))/100)*(((1+(((C1159=TRUE)*F1159*IF(AND(Inputs!$B$4&lt;&gt;"pvp",Inputs!$B$35&gt;0),(((S1159-1)*(Skills!Y21*(1+Inputs!$B$33/100))+MIN((Skills!Y21*(1+Inputs!$B$33/100)),MAX(0,Inputs!$B$35-((S1159-1)*Skills!D21))))/Inputs!$B$35),IF(Inputs!$B$4="pvp",MIN((Skills!Y21*(1+Inputs!$B$33/100)),15)/15,(Skills!Y21*(1+Inputs!$B$33/100))/Skills!D21)))+((C1161=TRUE)*(F1161-Calc!F23))+((C1155=TRUE)*(F1155-Calc!F17)))/100)*(1+((C1148=TRUE)*F1148*IF(AND(Inputs!$B$4&lt;&gt;"pvp",Inputs!$B$35&gt;0),(((S1148-1)*(Skills!Y10*(1+Inputs!$B$33/100))+MIN((Skills!Y10*(1+Inputs!$B$33/100)),MAX(0,Inputs!$B$35-((S1148-1)*Skills!D10))))/Inputs!$B$35),IF(Inputs!$B$4="pvp",MIN((Skills!Y10*(1+Inputs!$B$33/100)),15)/15,(Skills!Y10*(1+Inputs!$B$33/100))/Skills!D10)))/100)*(1+((C1153=TRUE)*F1153*IF(AND(Inputs!$B$4&lt;&gt;"pvp",Inputs!$B$35&gt;0),(((S1153-1)*(Skills!Y15*(1+Inputs!$B$33/100))+MIN((Skills!Y15*(1+Inputs!$B$33/100)),MAX(0,Inputs!$B$35-((S1153-1)*Skills!D15))))/Inputs!$B$35),IF(Inputs!$B$4="pvp",MIN((Skills!Y15*(1+Inputs!$B$33/100)),15)/15,(Skills!Y15*(1+Inputs!$B$33/100))/Skills!D15)))/100))*B1173*I1151)</f>
        <v/>
      </c>
      <c r="L1151">
        <f>K1151*(MIN(Inputs!$B$21+((C1162=TRUE)*(F1162-Calc!F24)),Inputs!$B$22+((C1167=TRUE)*(F1167-Calc!F29)))/100+(Inputs!$B$22+((C1167=TRUE)*(F1167-Calc!F29)))/100)/2</f>
        <v/>
      </c>
      <c r="M1151">
        <f>L1151*(1+(Inputs!$B$9+((C1164=TRUE)*(F1164-Calc!F26))+B1178)/100)</f>
        <v/>
      </c>
      <c r="N1151">
        <f>L1151*(1-MIN((Inputs!$B$8+((C1163=TRUE)*(F1163-Calc!F25))+B1171),100)/100)+M1151*(MIN((Inputs!$B$8+((C1163=TRUE)*(F1163-Calc!F25))+B1171),100)/100)</f>
        <v/>
      </c>
      <c r="O1151">
        <f>IF(C1151,H1151*N1151*IF(AND(Inputs!$B$4&lt;&gt;"pvp",Inputs!$B$35&gt;0),((Skills!G13*((R1151-1)*IF(Skills!H13&gt;0,Skills!I13/Skills!H13,1)+IF(Skills!H13&gt;0,MIN(Skills!I13,MAX(0,Inputs!$B$35-((R1151-1)*IF(Inputs!$B$4="pvp",15,MAX(0.1,Skills!D13-IF(Skills!E13=TRUE,(Inputs!$B$31+1),0))))))/Skills!H13,1)))/Inputs!$B$35),G1151*Q1151)*IF(Inputs!$B$4="pvp",1,(1-Summary!$B$55)*(1)+Summary!$B$55*(MIN(Skills!W13,Inputs!$B$37))),0)</f>
        <v/>
      </c>
      <c r="P1151">
        <f>IF(B1183=0,0,O1151/B1183)</f>
        <v/>
      </c>
      <c r="Q1151">
        <f>IFERROR(1/IF(Inputs!$B$4="pvp",15,MAX(0.1,Skills!D13-IF(Skills!E13=TRUE,(Inputs!$B$31+1),0))),0)</f>
        <v/>
      </c>
      <c r="R1151">
        <f>IF(AND(Inputs!$B$4&lt;&gt;"pvp",Inputs!$B$35&gt;0),(INT(Inputs!$B$35/IF(Inputs!$B$4="pvp",15,MAX(0.1,Skills!D13-IF(Skills!E13=TRUE,(Inputs!$B$31+1),0))))+1),0)</f>
        <v/>
      </c>
      <c r="S1151">
        <f>IFERROR(O1151/N1151,0)</f>
        <v/>
      </c>
    </row>
    <row r="1152">
      <c r="A1152">
        <f>Skills!A14</f>
        <v/>
      </c>
      <c r="B1152">
        <f>Skills!B14</f>
        <v/>
      </c>
      <c r="C1152">
        <f>Inputs!$B$3&gt;=107</f>
        <v/>
      </c>
      <c r="D1152">
        <f>IF(Skills!C14=1,60+Inputs!$B$24+Inputs!$B$28,IF(Skills!C14=2,90+Inputs!$B$25+Inputs!$B$28,IF(Skills!C14=3,120+Inputs!$B$26+Inputs!$B$28,MAX(0,(Inputs!$B$3-100)*3)+Inputs!$B$27+Inputs!$B$28)))</f>
        <v/>
      </c>
      <c r="E1152">
        <f>INDEX(FactorTable!$B$2:$Y$301, MATCH(ROUND(MIN(300,MAX(1,D1152)),0), FactorTable!$A$2:$A$301,0), Skills!M14+1)</f>
        <v/>
      </c>
      <c r="F1152">
        <f>IF(Skills!N14=TRUE,(Skills!L14/10)*(E1152/1000),Skills!L14/10)+Skills!O14</f>
        <v/>
      </c>
      <c r="G1152">
        <f>Skills!G14*IF(Skills!H14&gt;0,Skills!I14/Skills!H14,1)</f>
        <v/>
      </c>
      <c r="H1152">
        <f>1-(1-Skills!J14/100)^Skills!K14</f>
        <v/>
      </c>
      <c r="I1152" t="inlineStr">
        <is>
          <t>1</t>
        </is>
      </c>
      <c r="J1152">
        <f>(Inputs!$B$5*(1+Inputs!$B$6/100))*(F1152/100)</f>
        <v/>
      </c>
      <c r="K1152">
        <f>J1152*(1+((Inputs!$B$11*(1+Inputs!$B$12/100))*0.01+Inputs!$B$13*0.0025)/100)*(1+Inputs!$B$14/100)*(1+IF(Inputs!$B$4="pvp",0,(1-Summary!$B$55)*(Inputs!$B$19+0+Skills!P14+B1172)+Summary!$B$55*(Inputs!$B$20+Skills!Q14+B1172))/100)*(1+Inputs!$B$15/100)*(5000/(6000+Inputs!$B$7*(1-Inputs!$B$18/100)))*(1+(Inputs!$B$23+((C1168=TRUE)*(F1168-Calc!F30)))/100)*(1+(IF(Skills!A14="CRUEL_STAB",Inputs!$B$16+((C1165=TRUE)*(F1165-Calc!F27)),Inputs!$B$17+((C1166=TRUE)*(F1166-Calc!F28))))/100)*(((1+(((C1159=TRUE)*F1159*IF(AND(Inputs!$B$4&lt;&gt;"pvp",Inputs!$B$35&gt;0),(((S1159-1)*(Skills!Y21*(1+Inputs!$B$33/100))+MIN((Skills!Y21*(1+Inputs!$B$33/100)),MAX(0,Inputs!$B$35-((S1159-1)*Skills!D21))))/Inputs!$B$35),IF(Inputs!$B$4="pvp",MIN((Skills!Y21*(1+Inputs!$B$33/100)),15)/15,(Skills!Y21*(1+Inputs!$B$33/100))/Skills!D21)))+((C1161=TRUE)*(F1161-Calc!F23))+((C1155=TRUE)*(F1155-Calc!F17)))/100)*(1+((C1148=TRUE)*F1148*IF(AND(Inputs!$B$4&lt;&gt;"pvp",Inputs!$B$35&gt;0),(((S1148-1)*(Skills!Y10*(1+Inputs!$B$33/100))+MIN((Skills!Y10*(1+Inputs!$B$33/100)),MAX(0,Inputs!$B$35-((S1148-1)*Skills!D10))))/Inputs!$B$35),IF(Inputs!$B$4="pvp",MIN((Skills!Y10*(1+Inputs!$B$33/100)),15)/15,(Skills!Y10*(1+Inputs!$B$33/100))/Skills!D10)))/100)*(1+((C1153=TRUE)*F1153*IF(AND(Inputs!$B$4&lt;&gt;"pvp",Inputs!$B$35&gt;0),(((S1153-1)*(Skills!Y15*(1+Inputs!$B$33/100))+MIN((Skills!Y15*(1+Inputs!$B$33/100)),MAX(0,Inputs!$B$35-((S1153-1)*Skills!D15))))/Inputs!$B$35),IF(Inputs!$B$4="pvp",MIN((Skills!Y15*(1+Inputs!$B$33/100)),15)/15,(Skills!Y15*(1+Inputs!$B$33/100))/Skills!D15)))/100))*B1173*I1152)</f>
        <v/>
      </c>
      <c r="L1152">
        <f>K1152*(MIN(Inputs!$B$21+((C1162=TRUE)*(F1162-Calc!F24)),Inputs!$B$22+((C1167=TRUE)*(F1167-Calc!F29)))/100+(Inputs!$B$22+((C1167=TRUE)*(F1167-Calc!F29)))/100)/2</f>
        <v/>
      </c>
      <c r="M1152">
        <f>L1152*(1+(Inputs!$B$9+((C1164=TRUE)*(F1164-Calc!F26))+B1178)/100)</f>
        <v/>
      </c>
      <c r="N1152">
        <f>L1152*(1-MIN((Inputs!$B$8+((C1163=TRUE)*(F1163-Calc!F25))+B1171),100)/100)+M1152*(MIN((Inputs!$B$8+((C1163=TRUE)*(F1163-Calc!F25))+B1171),100)/100)</f>
        <v/>
      </c>
      <c r="O1152">
        <f>IF(C1152,H1152*N1152*IF(AND(Inputs!$B$4&lt;&gt;"pvp",Inputs!$B$35&gt;0),((Skills!G14*((R1152-1)*IF(Skills!H14&gt;0,Skills!I14/Skills!H14,1)+IF(Skills!H14&gt;0,MIN(Skills!I14,MAX(0,Inputs!$B$35-((R1152-1)*IF(Inputs!$B$4="pvp",15,MAX(0.1,Skills!D14-IF(Skills!E14=TRUE,(Inputs!$B$31+1),0))))))/Skills!H14,1)))/Inputs!$B$35),G1152*Q1152)*IF(Inputs!$B$4="pvp",1,(1-Summary!$B$55)*(1)+Summary!$B$55*(MIN(MIN(5,0.25*B1175*Skills!D4)*Skills!V14,Inputs!$B$37))),0)</f>
        <v/>
      </c>
      <c r="P1152">
        <f>IF(B1183=0,0,O1152/B1183)</f>
        <v/>
      </c>
      <c r="Q1152">
        <f>IFERROR(1/IF(Inputs!$B$4="pvp",15,MAX(0.1,Skills!D14-IF(Skills!E14=TRUE,(Inputs!$B$31+1),0))),0)</f>
        <v/>
      </c>
      <c r="R1152">
        <f>IF(AND(Inputs!$B$4&lt;&gt;"pvp",Inputs!$B$35&gt;0),(INT(Inputs!$B$35/IF(Inputs!$B$4="pvp",15,MAX(0.1,Skills!D14-IF(Skills!E14=TRUE,(Inputs!$B$31+1),0))))+1),0)</f>
        <v/>
      </c>
      <c r="S1152">
        <f>IFERROR(O1152/N1152,0)</f>
        <v/>
      </c>
    </row>
    <row r="1153">
      <c r="A1153">
        <f>Skills!A15</f>
        <v/>
      </c>
      <c r="B1153">
        <f>Skills!B15</f>
        <v/>
      </c>
      <c r="C1153">
        <f>Inputs!$B$3&gt;=110</f>
        <v/>
      </c>
      <c r="D1153">
        <f>IF(Skills!C15=1,60+Inputs!$B$24+Inputs!$B$28,IF(Skills!C15=2,90+Inputs!$B$25+Inputs!$B$28,IF(Skills!C15=3,120+Inputs!$B$26+Inputs!$B$28,MAX(0,(Inputs!$B$3-100)*3)+Inputs!$B$27+Inputs!$B$28)))</f>
        <v/>
      </c>
      <c r="E1153">
        <f>INDEX(FactorTable!$B$2:$Y$301, MATCH(ROUND(MIN(300,MAX(1,D1153)),0), FactorTable!$A$2:$A$301,0), Skills!M15+1)</f>
        <v/>
      </c>
      <c r="F1153">
        <f>IF(Skills!N15=TRUE,(Skills!L15/10)*(E1153/1000),Skills!L15/10)+Skills!O15</f>
        <v/>
      </c>
      <c r="G1153">
        <f>Skills!G15*IF(Skills!H15&gt;0,Skills!I15/Skills!H15,1)</f>
        <v/>
      </c>
      <c r="H1153">
        <f>1-(1-Skills!J15/100)^Skills!K15</f>
        <v/>
      </c>
      <c r="I1153" t="inlineStr">
        <is>
          <t>1</t>
        </is>
      </c>
      <c r="J1153" t="inlineStr"/>
      <c r="K1153" t="inlineStr"/>
      <c r="L1153" t="inlineStr"/>
      <c r="M1153" t="inlineStr"/>
      <c r="N1153" t="inlineStr"/>
      <c r="O1153" t="n">
        <v>0</v>
      </c>
      <c r="P1153">
        <f>IF(B1183=0,0,O1153/B1183)</f>
        <v/>
      </c>
      <c r="Q1153">
        <f>IFERROR(1/IF(Inputs!$B$4="pvp",15,MAX(0.1,Skills!D15-IF(Skills!E15=TRUE,(Inputs!$B$31+1),0))),0)</f>
        <v/>
      </c>
      <c r="R1153">
        <f>IF(AND(Inputs!$B$4&lt;&gt;"pvp",Inputs!$B$35&gt;0),(INT(Inputs!$B$35/IF(Inputs!$B$4="pvp",15,MAX(0.1,Skills!D15-IF(Skills!E15=TRUE,(Inputs!$B$31+1),0))))+1),0)</f>
        <v/>
      </c>
      <c r="S1153">
        <f>IFERROR(O1153/N1153,0)</f>
        <v/>
      </c>
    </row>
    <row r="1154">
      <c r="A1154">
        <f>Skills!A16</f>
        <v/>
      </c>
      <c r="B1154">
        <f>Skills!B16</f>
        <v/>
      </c>
      <c r="C1154">
        <f>Inputs!$B$3&gt;=115</f>
        <v/>
      </c>
      <c r="D1154">
        <f>IF(Skills!C16=1,60+Inputs!$B$24+Inputs!$B$28,IF(Skills!C16=2,90+Inputs!$B$25+Inputs!$B$28,IF(Skills!C16=3,120+Inputs!$B$26+Inputs!$B$28,MAX(0,(Inputs!$B$3-100)*3)+Inputs!$B$27+Inputs!$B$28)))</f>
        <v/>
      </c>
      <c r="E1154">
        <f>INDEX(FactorTable!$B$2:$Y$301, MATCH(ROUND(MIN(300,MAX(1,D1154)),0), FactorTable!$A$2:$A$301,0), Skills!M16+1)</f>
        <v/>
      </c>
      <c r="F1154">
        <f>IF(Skills!N16=TRUE,(Skills!L16/10)*(E1154/1000),Skills!L16/10)+Skills!O16</f>
        <v/>
      </c>
      <c r="G1154">
        <f>Skills!G16*IF(Skills!H16&gt;0,Skills!I16/Skills!H16,1)</f>
        <v/>
      </c>
      <c r="H1154">
        <f>1-(1-Skills!J16/100)^Skills!K16</f>
        <v/>
      </c>
      <c r="I1154" t="inlineStr">
        <is>
          <t>1</t>
        </is>
      </c>
      <c r="J1154">
        <f>(Inputs!$B$5*(1+Inputs!$B$6/100))*(F1154/100)</f>
        <v/>
      </c>
      <c r="K1154">
        <f>J1154*(1+((Inputs!$B$11*(1+Inputs!$B$12/100))*0.01+Inputs!$B$13*0.0025)/100)*(1+Inputs!$B$14/100)*(1+IF(Inputs!$B$4="pvp",0,(1-Summary!$B$55)*(Inputs!$B$19+0+Skills!P16+B1172)+Summary!$B$55*(Inputs!$B$20+Skills!Q16+B1172))/100)*(1+Inputs!$B$15/100)*(5000/(6000+Inputs!$B$7*(1-Inputs!$B$18/100)))*(1+(Inputs!$B$23+((C1168=TRUE)*(F1168-Calc!F30)))/100)*(1+(IF(Skills!A16="CRUEL_STAB",Inputs!$B$16+((C1165=TRUE)*(F1165-Calc!F27)),Inputs!$B$17+((C1166=TRUE)*(F1166-Calc!F28))))/100)*(((1+(((C1159=TRUE)*F1159*IF(AND(Inputs!$B$4&lt;&gt;"pvp",Inputs!$B$35&gt;0),(((S1159-1)*(Skills!Y21*(1+Inputs!$B$33/100))+MIN((Skills!Y21*(1+Inputs!$B$33/100)),MAX(0,Inputs!$B$35-((S1159-1)*Skills!D21))))/Inputs!$B$35),IF(Inputs!$B$4="pvp",MIN((Skills!Y21*(1+Inputs!$B$33/100)),15)/15,(Skills!Y21*(1+Inputs!$B$33/100))/Skills!D21)))+((C1161=TRUE)*(F1161-Calc!F23))+((C1155=TRUE)*(F1155-Calc!F17)))/100)*(1+((C1148=TRUE)*F1148*IF(AND(Inputs!$B$4&lt;&gt;"pvp",Inputs!$B$35&gt;0),(((S1148-1)*(Skills!Y10*(1+Inputs!$B$33/100))+MIN((Skills!Y10*(1+Inputs!$B$33/100)),MAX(0,Inputs!$B$35-((S1148-1)*Skills!D10))))/Inputs!$B$35),IF(Inputs!$B$4="pvp",MIN((Skills!Y10*(1+Inputs!$B$33/100)),15)/15,(Skills!Y10*(1+Inputs!$B$33/100))/Skills!D10)))/100)*(1+((C1153=TRUE)*F1153*IF(AND(Inputs!$B$4&lt;&gt;"pvp",Inputs!$B$35&gt;0),(((S1153-1)*(Skills!Y15*(1+Inputs!$B$33/100))+MIN((Skills!Y15*(1+Inputs!$B$33/100)),MAX(0,Inputs!$B$35-((S1153-1)*Skills!D15))))/Inputs!$B$35),IF(Inputs!$B$4="pvp",MIN((Skills!Y15*(1+Inputs!$B$33/100)),15)/15,(Skills!Y15*(1+Inputs!$B$33/100))/Skills!D15)))/100))*B1173*I1154)</f>
        <v/>
      </c>
      <c r="L1154">
        <f>K1154*(MIN(Inputs!$B$21+((C1162=TRUE)*(F1162-Calc!F24)),Inputs!$B$22+((C1167=TRUE)*(F1167-Calc!F29)))/100+(Inputs!$B$22+((C1167=TRUE)*(F1167-Calc!F29)))/100)/2</f>
        <v/>
      </c>
      <c r="M1154">
        <f>L1154*(1+(Inputs!$B$9+((C1164=TRUE)*(F1164-Calc!F26))+B1178)/100)</f>
        <v/>
      </c>
      <c r="N1154">
        <f>L1154*(1-MIN((Inputs!$B$8+((C1163=TRUE)*(F1163-Calc!F25))+B1171),100)/100)+M1154*(MIN((Inputs!$B$8+((C1163=TRUE)*(F1163-Calc!F25))+B1171),100)/100)</f>
        <v/>
      </c>
      <c r="O1154">
        <f>IF(C1154,Inputs!$B$38*0.2*N1154,0)</f>
        <v/>
      </c>
      <c r="P1154">
        <f>IF(B1183=0,0,O1154/B1183)</f>
        <v/>
      </c>
      <c r="Q1154" t="n">
        <v>0</v>
      </c>
      <c r="R1154" t="n">
        <v>0</v>
      </c>
      <c r="S1154">
        <f>IFERROR(O1154/N1154,0)</f>
        <v/>
      </c>
    </row>
    <row r="1155">
      <c r="A1155">
        <f>Skills!A17</f>
        <v/>
      </c>
      <c r="B1155">
        <f>Skills!B17</f>
        <v/>
      </c>
      <c r="C1155">
        <f>Inputs!$B$3&gt;=115</f>
        <v/>
      </c>
      <c r="D1155">
        <f>IF(Skills!C17=1,60+Inputs!$B$24+Inputs!$B$28,IF(Skills!C17=2,90+Inputs!$B$25+Inputs!$B$28,IF(Skills!C17=3,120+Inputs!$B$26+Inputs!$B$28,MAX(0,(Inputs!$B$3-100)*3)+Inputs!$B$27+Inputs!$B$28)))</f>
        <v/>
      </c>
      <c r="E1155">
        <f>INDEX(FactorTable!$B$2:$Y$301, MATCH(ROUND(MIN(300,MAX(1,D1155)),0), FactorTable!$A$2:$A$301,0), Skills!M17+1)</f>
        <v/>
      </c>
      <c r="F1155">
        <f>IF(Skills!N17=TRUE,(Skills!L17/10)*(E1155/1000),Skills!L17/10)+Skills!O17</f>
        <v/>
      </c>
      <c r="G1155">
        <f>Skills!G17*IF(Skills!H17&gt;0,Skills!I17/Skills!H17,1)</f>
        <v/>
      </c>
      <c r="H1155">
        <f>1-(1-Skills!J17/100)^Skills!K17</f>
        <v/>
      </c>
      <c r="I1155" t="inlineStr">
        <is>
          <t>1</t>
        </is>
      </c>
      <c r="J1155" t="inlineStr"/>
      <c r="K1155" t="inlineStr"/>
      <c r="L1155" t="inlineStr"/>
      <c r="M1155" t="inlineStr"/>
      <c r="N1155" t="inlineStr"/>
      <c r="O1155" t="n">
        <v>0</v>
      </c>
      <c r="P1155">
        <f>IF(B1183=0,0,O1155/B1183)</f>
        <v/>
      </c>
      <c r="Q1155" t="n">
        <v>0</v>
      </c>
      <c r="R1155" t="n">
        <v>0</v>
      </c>
      <c r="S1155">
        <f>IFERROR(O1155/N1155,0)</f>
        <v/>
      </c>
    </row>
    <row r="1156">
      <c r="A1156">
        <f>Skills!A18</f>
        <v/>
      </c>
      <c r="B1156">
        <f>Skills!B18</f>
        <v/>
      </c>
      <c r="C1156">
        <f>Inputs!$B$3&gt;=100</f>
        <v/>
      </c>
      <c r="D1156">
        <f>IF(Skills!C18=1,60+Inputs!$B$24+Inputs!$B$28,IF(Skills!C18=2,90+Inputs!$B$25+Inputs!$B$28,IF(Skills!C18=3,120+Inputs!$B$26+Inputs!$B$28,MAX(0,(Inputs!$B$3-100)*3)+Inputs!$B$27+Inputs!$B$28)))</f>
        <v/>
      </c>
      <c r="E1156">
        <f>INDEX(FactorTable!$B$2:$Y$301, MATCH(ROUND(MIN(300,MAX(1,D1156)),0), FactorTable!$A$2:$A$301,0), Skills!M18+1)</f>
        <v/>
      </c>
      <c r="F1156">
        <f>IF(Skills!N18=TRUE,(Skills!L18/10)*(E1156/1000),Skills!L18/10)+Skills!O18</f>
        <v/>
      </c>
      <c r="G1156">
        <f>Skills!G18*IF(Skills!H18&gt;0,Skills!I18/Skills!H18,1)</f>
        <v/>
      </c>
      <c r="H1156">
        <f>1-(1-Skills!J18/100)^Skills!K18</f>
        <v/>
      </c>
      <c r="I1156" t="inlineStr">
        <is>
          <t>1</t>
        </is>
      </c>
      <c r="J1156" t="inlineStr"/>
      <c r="K1156" t="inlineStr"/>
      <c r="L1156" t="inlineStr"/>
      <c r="M1156" t="inlineStr"/>
      <c r="N1156" t="inlineStr"/>
      <c r="O1156" t="n">
        <v>0</v>
      </c>
      <c r="P1156">
        <f>IF(B1183=0,0,O1156/B1183)</f>
        <v/>
      </c>
      <c r="Q1156" t="n">
        <v>0</v>
      </c>
      <c r="R1156" t="n">
        <v>0</v>
      </c>
      <c r="S1156">
        <f>IFERROR(O1156/N1156,0)</f>
        <v/>
      </c>
    </row>
    <row r="1157">
      <c r="A1157">
        <f>Skills!A19</f>
        <v/>
      </c>
      <c r="B1157">
        <f>Skills!B19</f>
        <v/>
      </c>
      <c r="C1157">
        <f>TRUE</f>
        <v/>
      </c>
      <c r="D1157">
        <f>IF(Skills!C19=1,60+Inputs!$B$24+Inputs!$B$28,IF(Skills!C19=2,90+Inputs!$B$25+Inputs!$B$28,IF(Skills!C19=3,120+Inputs!$B$26+Inputs!$B$28,MAX(0,(Inputs!$B$3-100)*3)+Inputs!$B$27+Inputs!$B$28)))</f>
        <v/>
      </c>
      <c r="E1157">
        <f>INDEX(FactorTable!$B$2:$Y$301, MATCH(ROUND(MIN(300,MAX(1,D1157)),0), FactorTable!$A$2:$A$301,0), Skills!M19+1)</f>
        <v/>
      </c>
      <c r="F1157">
        <f>IF(Skills!N19=TRUE,(Skills!L19/10)*(E1157/1000),Skills!L19/10)+Skills!O19</f>
        <v/>
      </c>
      <c r="G1157">
        <f>Skills!G19*IF(Skills!H19&gt;0,Skills!I19/Skills!H19,1)</f>
        <v/>
      </c>
      <c r="H1157">
        <f>1-(1-Skills!J19/100)^Skills!K19</f>
        <v/>
      </c>
      <c r="I1157" t="inlineStr">
        <is>
          <t>1</t>
        </is>
      </c>
      <c r="J1157" t="inlineStr"/>
      <c r="K1157" t="inlineStr"/>
      <c r="L1157" t="inlineStr"/>
      <c r="M1157" t="inlineStr"/>
      <c r="N1157" t="inlineStr"/>
      <c r="O1157" t="n">
        <v>0</v>
      </c>
      <c r="P1157">
        <f>IF(B1183=0,0,O1157/B1183)</f>
        <v/>
      </c>
      <c r="Q1157">
        <f>IFERROR(1/IF(Inputs!$B$4="pvp",15,MAX(0.1,Skills!D19-IF(Skills!E19=TRUE,(Inputs!$B$31+1),0))),0)</f>
        <v/>
      </c>
      <c r="R1157">
        <f>IF(AND(Inputs!$B$4&lt;&gt;"pvp",Inputs!$B$35&gt;0),(INT(Inputs!$B$35/IF(Inputs!$B$4="pvp",15,MAX(0.1,Skills!D19-IF(Skills!E19=TRUE,(Inputs!$B$31+1),0))))+1),0)</f>
        <v/>
      </c>
      <c r="S1157">
        <f>IFERROR(O1157/N1157,0)</f>
        <v/>
      </c>
    </row>
    <row r="1158">
      <c r="A1158">
        <f>Skills!A20</f>
        <v/>
      </c>
      <c r="B1158">
        <f>Skills!B20</f>
        <v/>
      </c>
      <c r="C1158">
        <f>Inputs!$B$3&gt;=15</f>
        <v/>
      </c>
      <c r="D1158">
        <f>IF(Skills!C20=1,60+Inputs!$B$24+Inputs!$B$28,IF(Skills!C20=2,90+Inputs!$B$25+Inputs!$B$28,IF(Skills!C20=3,120+Inputs!$B$26+Inputs!$B$28,MAX(0,(Inputs!$B$3-100)*3)+Inputs!$B$27+Inputs!$B$28)))</f>
        <v/>
      </c>
      <c r="E1158">
        <f>INDEX(FactorTable!$B$2:$Y$301, MATCH(ROUND(MIN(300,MAX(1,D1158)),0), FactorTable!$A$2:$A$301,0), Skills!M20+1)</f>
        <v/>
      </c>
      <c r="F1158">
        <f>IF(Skills!N20=TRUE,(Skills!L20/10)*(E1158/1000),Skills!L20/10)+Skills!O20</f>
        <v/>
      </c>
      <c r="G1158">
        <f>Skills!G20*IF(Skills!H20&gt;0,Skills!I20/Skills!H20,1)</f>
        <v/>
      </c>
      <c r="H1158">
        <f>1-(1-Skills!J20/100)^Skills!K20</f>
        <v/>
      </c>
      <c r="I1158" t="inlineStr">
        <is>
          <t>1</t>
        </is>
      </c>
      <c r="J1158" t="inlineStr"/>
      <c r="K1158" t="inlineStr"/>
      <c r="L1158" t="inlineStr"/>
      <c r="M1158" t="inlineStr"/>
      <c r="N1158" t="inlineStr"/>
      <c r="O1158" t="n">
        <v>0</v>
      </c>
      <c r="P1158">
        <f>IF(B1183=0,0,O1158/B1183)</f>
        <v/>
      </c>
      <c r="Q1158">
        <f>IFERROR(1/IF(Inputs!$B$4="pvp",15,MAX(0.1,Skills!D20-IF(Skills!E20=TRUE,(Inputs!$B$31+1),0))),0)</f>
        <v/>
      </c>
      <c r="R1158">
        <f>IF(AND(Inputs!$B$4&lt;&gt;"pvp",Inputs!$B$35&gt;0),(INT(Inputs!$B$35/IF(Inputs!$B$4="pvp",15,MAX(0.1,Skills!D20-IF(Skills!E20=TRUE,(Inputs!$B$31+1),0))))+1),0)</f>
        <v/>
      </c>
      <c r="S1158">
        <f>IFERROR(O1158/N1158,0)</f>
        <v/>
      </c>
    </row>
    <row r="1159">
      <c r="A1159">
        <f>Skills!A21</f>
        <v/>
      </c>
      <c r="B1159">
        <f>Skills!B21</f>
        <v/>
      </c>
      <c r="C1159">
        <f>Inputs!$B$3&gt;=15</f>
        <v/>
      </c>
      <c r="D1159">
        <f>IF(Skills!C21=1,60+Inputs!$B$24+Inputs!$B$28,IF(Skills!C21=2,90+Inputs!$B$25+Inputs!$B$28,IF(Skills!C21=3,120+Inputs!$B$26+Inputs!$B$28,MAX(0,(Inputs!$B$3-100)*3)+Inputs!$B$27+Inputs!$B$28)))</f>
        <v/>
      </c>
      <c r="E1159">
        <f>INDEX(FactorTable!$B$2:$Y$301, MATCH(ROUND(MIN(300,MAX(1,D1159)),0), FactorTable!$A$2:$A$301,0), Skills!M21+1)</f>
        <v/>
      </c>
      <c r="F1159">
        <f>IF(Skills!N21=TRUE,(Skills!L21/10)*(E1159/1000),Skills!L21/10)+Skills!O21</f>
        <v/>
      </c>
      <c r="G1159">
        <f>Skills!G21*IF(Skills!H21&gt;0,Skills!I21/Skills!H21,1)</f>
        <v/>
      </c>
      <c r="H1159">
        <f>1-(1-Skills!J21/100)^Skills!K21</f>
        <v/>
      </c>
      <c r="I1159" t="inlineStr">
        <is>
          <t>1</t>
        </is>
      </c>
      <c r="J1159" t="inlineStr"/>
      <c r="K1159" t="inlineStr"/>
      <c r="L1159" t="inlineStr"/>
      <c r="M1159" t="inlineStr"/>
      <c r="N1159" t="inlineStr"/>
      <c r="O1159" t="n">
        <v>0</v>
      </c>
      <c r="P1159">
        <f>IF(B1183=0,0,O1159/B1183)</f>
        <v/>
      </c>
      <c r="Q1159">
        <f>IFERROR(1/IF(Inputs!$B$4="pvp",15,MAX(0.1,Skills!D21-IF(Skills!E21=TRUE,(Inputs!$B$31+1),0))),0)</f>
        <v/>
      </c>
      <c r="R1159">
        <f>IF(AND(Inputs!$B$4&lt;&gt;"pvp",Inputs!$B$35&gt;0),(INT(Inputs!$B$35/IF(Inputs!$B$4="pvp",15,MAX(0.1,Skills!D21-IF(Skills!E21=TRUE,(Inputs!$B$31+1),0))))+1),0)</f>
        <v/>
      </c>
      <c r="S1159">
        <f>IFERROR(O1159/N1159,0)</f>
        <v/>
      </c>
    </row>
    <row r="1160">
      <c r="A1160">
        <f>Skills!A22</f>
        <v/>
      </c>
      <c r="B1160">
        <f>Skills!B22</f>
        <v/>
      </c>
      <c r="C1160">
        <f>Inputs!$B$3&gt;=33</f>
        <v/>
      </c>
      <c r="D1160">
        <f>IF(Skills!C22=1,60+Inputs!$B$24+Inputs!$B$28,IF(Skills!C22=2,90+Inputs!$B$25+Inputs!$B$28,IF(Skills!C22=3,120+Inputs!$B$26+Inputs!$B$28,MAX(0,(Inputs!$B$3-100)*3)+Inputs!$B$27+Inputs!$B$28)))</f>
        <v/>
      </c>
      <c r="E1160">
        <f>INDEX(FactorTable!$B$2:$Y$301, MATCH(ROUND(MIN(300,MAX(1,D1160)),0), FactorTable!$A$2:$A$301,0), Skills!M22+1)</f>
        <v/>
      </c>
      <c r="F1160">
        <f>IF(Skills!N22=TRUE,(Skills!L22/10)*(E1160/1000),Skills!L22/10)+Skills!O22</f>
        <v/>
      </c>
      <c r="G1160">
        <f>Skills!G22*IF(Skills!H22&gt;0,Skills!I22/Skills!H22,1)</f>
        <v/>
      </c>
      <c r="H1160">
        <f>1-(1-Skills!J22/100)^Skills!K22</f>
        <v/>
      </c>
      <c r="I1160" t="inlineStr">
        <is>
          <t>1</t>
        </is>
      </c>
      <c r="J1160" t="inlineStr"/>
      <c r="K1160" t="inlineStr"/>
      <c r="L1160" t="inlineStr"/>
      <c r="M1160" t="inlineStr"/>
      <c r="N1160" t="inlineStr"/>
      <c r="O1160" t="n">
        <v>0</v>
      </c>
      <c r="P1160">
        <f>IF(B1183=0,0,O1160/B1183)</f>
        <v/>
      </c>
      <c r="Q1160" t="n">
        <v>0</v>
      </c>
      <c r="R1160" t="n">
        <v>0</v>
      </c>
      <c r="S1160">
        <f>IFERROR(O1160/N1160,0)</f>
        <v/>
      </c>
    </row>
    <row r="1161">
      <c r="A1161">
        <f>Skills!A23</f>
        <v/>
      </c>
      <c r="B1161">
        <f>Skills!B23</f>
        <v/>
      </c>
      <c r="C1161">
        <f>Inputs!$B$3&gt;=40</f>
        <v/>
      </c>
      <c r="D1161">
        <f>IF(Skills!C23=1,60+Inputs!$B$24+Inputs!$B$28,IF(Skills!C23=2,90+Inputs!$B$25+Inputs!$B$28,IF(Skills!C23=3,120+Inputs!$B$26+Inputs!$B$28,MAX(0,(Inputs!$B$3-100)*3)+Inputs!$B$27+Inputs!$B$28)))</f>
        <v/>
      </c>
      <c r="E1161">
        <f>INDEX(FactorTable!$B$2:$Y$301, MATCH(ROUND(MIN(300,MAX(1,D1161)),0), FactorTable!$A$2:$A$301,0), Skills!M23+1)</f>
        <v/>
      </c>
      <c r="F1161">
        <f>IF(Skills!N23=TRUE,(Skills!L23/10)*(E1161/1000),Skills!L23/10)+Skills!O23</f>
        <v/>
      </c>
      <c r="G1161">
        <f>Skills!G23*IF(Skills!H23&gt;0,Skills!I23/Skills!H23,1)</f>
        <v/>
      </c>
      <c r="H1161">
        <f>1-(1-Skills!J23/100)^Skills!K23</f>
        <v/>
      </c>
      <c r="I1161" t="inlineStr">
        <is>
          <t>1</t>
        </is>
      </c>
      <c r="J1161" t="inlineStr"/>
      <c r="K1161" t="inlineStr"/>
      <c r="L1161" t="inlineStr"/>
      <c r="M1161" t="inlineStr"/>
      <c r="N1161" t="inlineStr"/>
      <c r="O1161" t="n">
        <v>0</v>
      </c>
      <c r="P1161">
        <f>IF(B1183=0,0,O1161/B1183)</f>
        <v/>
      </c>
      <c r="Q1161" t="n">
        <v>0</v>
      </c>
      <c r="R1161" t="n">
        <v>0</v>
      </c>
      <c r="S1161">
        <f>IFERROR(O1161/N1161,0)</f>
        <v/>
      </c>
    </row>
    <row r="1162">
      <c r="A1162">
        <f>Skills!A24</f>
        <v/>
      </c>
      <c r="B1162">
        <f>Skills!B24</f>
        <v/>
      </c>
      <c r="C1162">
        <f>Inputs!$B$3&gt;=43</f>
        <v/>
      </c>
      <c r="D1162">
        <f>IF(Skills!C24=1,60+Inputs!$B$24+Inputs!$B$28,IF(Skills!C24=2,90+Inputs!$B$25+Inputs!$B$28,IF(Skills!C24=3,120+Inputs!$B$26+Inputs!$B$28,MAX(0,(Inputs!$B$3-100)*3)+Inputs!$B$27+Inputs!$B$28)))</f>
        <v/>
      </c>
      <c r="E1162">
        <f>INDEX(FactorTable!$B$2:$Y$301, MATCH(ROUND(MIN(300,MAX(1,D1162)),0), FactorTable!$A$2:$A$301,0), Skills!M24+1)</f>
        <v/>
      </c>
      <c r="F1162">
        <f>IF(Skills!N24=TRUE,(Skills!L24/10)*(E1162/1000),Skills!L24/10)+Skills!O24</f>
        <v/>
      </c>
      <c r="G1162">
        <f>Skills!G24*IF(Skills!H24&gt;0,Skills!I24/Skills!H24,1)</f>
        <v/>
      </c>
      <c r="H1162">
        <f>1-(1-Skills!J24/100)^Skills!K24</f>
        <v/>
      </c>
      <c r="I1162" t="inlineStr">
        <is>
          <t>1</t>
        </is>
      </c>
      <c r="J1162" t="inlineStr"/>
      <c r="K1162" t="inlineStr"/>
      <c r="L1162" t="inlineStr"/>
      <c r="M1162" t="inlineStr"/>
      <c r="N1162" t="inlineStr"/>
      <c r="O1162" t="n">
        <v>0</v>
      </c>
      <c r="P1162">
        <f>IF(B1183=0,0,O1162/B1183)</f>
        <v/>
      </c>
      <c r="Q1162" t="n">
        <v>0</v>
      </c>
      <c r="R1162" t="n">
        <v>0</v>
      </c>
      <c r="S1162">
        <f>IFERROR(O1162/N1162,0)</f>
        <v/>
      </c>
    </row>
    <row r="1163">
      <c r="A1163">
        <f>Skills!A25</f>
        <v/>
      </c>
      <c r="B1163">
        <f>Skills!B25</f>
        <v/>
      </c>
      <c r="C1163">
        <f>Inputs!$B$3&gt;=50</f>
        <v/>
      </c>
      <c r="D1163">
        <f>IF(Skills!C25=1,60+Inputs!$B$24+Inputs!$B$28,IF(Skills!C25=2,90+Inputs!$B$25+Inputs!$B$28,IF(Skills!C25=3,120+Inputs!$B$26+Inputs!$B$28,MAX(0,(Inputs!$B$3-100)*3)+Inputs!$B$27+Inputs!$B$28)))</f>
        <v/>
      </c>
      <c r="E1163">
        <f>INDEX(FactorTable!$B$2:$Y$301, MATCH(ROUND(MIN(300,MAX(1,D1163)),0), FactorTable!$A$2:$A$301,0), Skills!M25+1)</f>
        <v/>
      </c>
      <c r="F1163">
        <f>IF(Skills!N25=TRUE,(Skills!L25/10)*(E1163/1000),Skills!L25/10)+Skills!O25</f>
        <v/>
      </c>
      <c r="G1163">
        <f>Skills!G25*IF(Skills!H25&gt;0,Skills!I25/Skills!H25,1)</f>
        <v/>
      </c>
      <c r="H1163">
        <f>1-(1-Skills!J25/100)^Skills!K25</f>
        <v/>
      </c>
      <c r="I1163" t="inlineStr">
        <is>
          <t>1</t>
        </is>
      </c>
      <c r="J1163" t="inlineStr"/>
      <c r="K1163" t="inlineStr"/>
      <c r="L1163" t="inlineStr"/>
      <c r="M1163" t="inlineStr"/>
      <c r="N1163" t="inlineStr"/>
      <c r="O1163" t="n">
        <v>0</v>
      </c>
      <c r="P1163">
        <f>IF(B1183=0,0,O1163/B1183)</f>
        <v/>
      </c>
      <c r="Q1163" t="n">
        <v>0</v>
      </c>
      <c r="R1163" t="n">
        <v>0</v>
      </c>
      <c r="S1163">
        <f>IFERROR(O1163/N1163,0)</f>
        <v/>
      </c>
    </row>
    <row r="1164">
      <c r="A1164">
        <f>Skills!A26</f>
        <v/>
      </c>
      <c r="B1164">
        <f>Skills!B26</f>
        <v/>
      </c>
      <c r="C1164">
        <f>Inputs!$B$3&gt;=50</f>
        <v/>
      </c>
      <c r="D1164">
        <f>IF(Skills!C26=1,60+Inputs!$B$24+Inputs!$B$28,IF(Skills!C26=2,90+Inputs!$B$25+Inputs!$B$28,IF(Skills!C26=3,120+Inputs!$B$26+Inputs!$B$28,MAX(0,(Inputs!$B$3-100)*3)+Inputs!$B$27+Inputs!$B$28)))</f>
        <v/>
      </c>
      <c r="E1164">
        <f>INDEX(FactorTable!$B$2:$Y$301, MATCH(ROUND(MIN(300,MAX(1,D1164)),0), FactorTable!$A$2:$A$301,0), Skills!M26+1)</f>
        <v/>
      </c>
      <c r="F1164">
        <f>IF(Skills!N26=TRUE,(Skills!L26/10)*(E1164/1000),Skills!L26/10)+Skills!O26</f>
        <v/>
      </c>
      <c r="G1164">
        <f>Skills!G26*IF(Skills!H26&gt;0,Skills!I26/Skills!H26,1)</f>
        <v/>
      </c>
      <c r="H1164">
        <f>1-(1-Skills!J26/100)^Skills!K26</f>
        <v/>
      </c>
      <c r="I1164" t="inlineStr">
        <is>
          <t>1</t>
        </is>
      </c>
      <c r="J1164" t="inlineStr"/>
      <c r="K1164" t="inlineStr"/>
      <c r="L1164" t="inlineStr"/>
      <c r="M1164" t="inlineStr"/>
      <c r="N1164" t="inlineStr"/>
      <c r="O1164" t="n">
        <v>0</v>
      </c>
      <c r="P1164">
        <f>IF(B1183=0,0,O1164/B1183)</f>
        <v/>
      </c>
      <c r="Q1164" t="n">
        <v>0</v>
      </c>
      <c r="R1164" t="n">
        <v>0</v>
      </c>
      <c r="S1164">
        <f>IFERROR(O1164/N1164,0)</f>
        <v/>
      </c>
    </row>
    <row r="1165">
      <c r="A1165">
        <f>Skills!A27</f>
        <v/>
      </c>
      <c r="B1165">
        <f>Skills!B27</f>
        <v/>
      </c>
      <c r="C1165">
        <f>Inputs!$B$3&gt;=38</f>
        <v/>
      </c>
      <c r="D1165">
        <f>IF(Skills!C27=1,60+Inputs!$B$24+Inputs!$B$28,IF(Skills!C27=2,90+Inputs!$B$25+Inputs!$B$28,IF(Skills!C27=3,120+Inputs!$B$26+Inputs!$B$28,MAX(0,(Inputs!$B$3-100)*3)+Inputs!$B$27+Inputs!$B$28)))</f>
        <v/>
      </c>
      <c r="E1165">
        <f>INDEX(FactorTable!$B$2:$Y$301, MATCH(ROUND(MIN(300,MAX(1,D1165)),0), FactorTable!$A$2:$A$301,0), Skills!M27+1)</f>
        <v/>
      </c>
      <c r="F1165">
        <f>IF(Skills!N27=TRUE,(Skills!L27/10)*(E1165/1000),Skills!L27/10)+Skills!O27</f>
        <v/>
      </c>
      <c r="G1165">
        <f>Skills!G27*IF(Skills!H27&gt;0,Skills!I27/Skills!H27,1)</f>
        <v/>
      </c>
      <c r="H1165">
        <f>1-(1-Skills!J27/100)^Skills!K27</f>
        <v/>
      </c>
      <c r="I1165" t="inlineStr">
        <is>
          <t>1</t>
        </is>
      </c>
      <c r="J1165" t="inlineStr"/>
      <c r="K1165" t="inlineStr"/>
      <c r="L1165" t="inlineStr"/>
      <c r="M1165" t="inlineStr"/>
      <c r="N1165" t="inlineStr"/>
      <c r="O1165" t="n">
        <v>0</v>
      </c>
      <c r="P1165">
        <f>IF(B1183=0,0,O1165/B1183)</f>
        <v/>
      </c>
      <c r="Q1165" t="n">
        <v>0</v>
      </c>
      <c r="R1165" t="n">
        <v>0</v>
      </c>
      <c r="S1165">
        <f>IFERROR(O1165/N1165,0)</f>
        <v/>
      </c>
    </row>
    <row r="1166">
      <c r="A1166">
        <f>Skills!A28</f>
        <v/>
      </c>
      <c r="B1166">
        <f>Skills!B28</f>
        <v/>
      </c>
      <c r="C1166">
        <f>Inputs!$B$3&gt;=120</f>
        <v/>
      </c>
      <c r="D1166">
        <f>IF(Skills!C28=1,60+Inputs!$B$24+Inputs!$B$28,IF(Skills!C28=2,90+Inputs!$B$25+Inputs!$B$28,IF(Skills!C28=3,120+Inputs!$B$26+Inputs!$B$28,MAX(0,(Inputs!$B$3-100)*3)+Inputs!$B$27+Inputs!$B$28)))</f>
        <v/>
      </c>
      <c r="E1166">
        <f>INDEX(FactorTable!$B$2:$Y$301, MATCH(ROUND(MIN(300,MAX(1,D1166)),0), FactorTable!$A$2:$A$301,0), Skills!M28+1)</f>
        <v/>
      </c>
      <c r="F1166">
        <f>IF(Skills!N28=TRUE,(Skills!L28/10)*(E1166/1000),Skills!L28/10)+Skills!O28</f>
        <v/>
      </c>
      <c r="G1166">
        <f>Skills!G28*IF(Skills!H28&gt;0,Skills!I28/Skills!H28,1)</f>
        <v/>
      </c>
      <c r="H1166">
        <f>1-(1-Skills!J28/100)^Skills!K28</f>
        <v/>
      </c>
      <c r="I1166" t="inlineStr">
        <is>
          <t>1</t>
        </is>
      </c>
      <c r="J1166" t="inlineStr"/>
      <c r="K1166" t="inlineStr"/>
      <c r="L1166" t="inlineStr"/>
      <c r="M1166" t="inlineStr"/>
      <c r="N1166" t="inlineStr"/>
      <c r="O1166" t="n">
        <v>0</v>
      </c>
      <c r="P1166">
        <f>IF(B1183=0,0,O1166/B1183)</f>
        <v/>
      </c>
      <c r="Q1166" t="n">
        <v>0</v>
      </c>
      <c r="R1166" t="n">
        <v>0</v>
      </c>
      <c r="S1166">
        <f>IFERROR(O1166/N1166,0)</f>
        <v/>
      </c>
    </row>
    <row r="1167">
      <c r="A1167">
        <f>Skills!A29</f>
        <v/>
      </c>
      <c r="B1167">
        <f>Skills!B29</f>
        <v/>
      </c>
      <c r="C1167">
        <f>Inputs!$B$3&gt;=120</f>
        <v/>
      </c>
      <c r="D1167">
        <f>IF(Skills!C29=1,60+Inputs!$B$24+Inputs!$B$28,IF(Skills!C29=2,90+Inputs!$B$25+Inputs!$B$28,IF(Skills!C29=3,120+Inputs!$B$26+Inputs!$B$28,MAX(0,(Inputs!$B$3-100)*3)+Inputs!$B$27+Inputs!$B$28)))</f>
        <v/>
      </c>
      <c r="E1167">
        <f>INDEX(FactorTable!$B$2:$Y$301, MATCH(ROUND(MIN(300,MAX(1,D1167)),0), FactorTable!$A$2:$A$301,0), Skills!M29+1)</f>
        <v/>
      </c>
      <c r="F1167">
        <f>IF(Skills!N29=TRUE,(Skills!L29/10)*(E1167/1000),Skills!L29/10)+Skills!O29</f>
        <v/>
      </c>
      <c r="G1167">
        <f>Skills!G29*IF(Skills!H29&gt;0,Skills!I29/Skills!H29,1)</f>
        <v/>
      </c>
      <c r="H1167">
        <f>1-(1-Skills!J29/100)^Skills!K29</f>
        <v/>
      </c>
      <c r="I1167" t="inlineStr">
        <is>
          <t>1</t>
        </is>
      </c>
      <c r="J1167" t="inlineStr"/>
      <c r="K1167" t="inlineStr"/>
      <c r="L1167" t="inlineStr"/>
      <c r="M1167" t="inlineStr"/>
      <c r="N1167" t="inlineStr"/>
      <c r="O1167" t="n">
        <v>0</v>
      </c>
      <c r="P1167">
        <f>IF(B1183=0,0,O1167/B1183)</f>
        <v/>
      </c>
      <c r="Q1167" t="n">
        <v>0</v>
      </c>
      <c r="R1167" t="n">
        <v>0</v>
      </c>
      <c r="S1167">
        <f>IFERROR(O1167/N1167,0)</f>
        <v/>
      </c>
    </row>
    <row r="1168">
      <c r="A1168">
        <f>Skills!A30</f>
        <v/>
      </c>
      <c r="B1168">
        <f>Skills!B30</f>
        <v/>
      </c>
      <c r="C1168">
        <f>Inputs!$B$3&gt;=125</f>
        <v/>
      </c>
      <c r="D1168">
        <f>IF(Skills!C30=1,60+Inputs!$B$24+Inputs!$B$28,IF(Skills!C30=2,90+Inputs!$B$25+Inputs!$B$28,IF(Skills!C30=3,120+Inputs!$B$26+Inputs!$B$28,MAX(0,(Inputs!$B$3-100)*3)+Inputs!$B$27+Inputs!$B$28)))</f>
        <v/>
      </c>
      <c r="E1168">
        <f>INDEX(FactorTable!$B$2:$Y$301, MATCH(ROUND(MIN(300,MAX(1,D1168)),0), FactorTable!$A$2:$A$301,0), Skills!M30+1)</f>
        <v/>
      </c>
      <c r="F1168">
        <f>IF(Skills!N30=TRUE,(Skills!L30/10)*(E1168/1000),Skills!L30/10)+Skills!O30</f>
        <v/>
      </c>
      <c r="G1168">
        <f>Skills!G30*IF(Skills!H30&gt;0,Skills!I30/Skills!H30,1)</f>
        <v/>
      </c>
      <c r="H1168">
        <f>1-(1-Skills!J30/100)^Skills!K30</f>
        <v/>
      </c>
      <c r="I1168" t="inlineStr">
        <is>
          <t>1</t>
        </is>
      </c>
      <c r="J1168" t="inlineStr"/>
      <c r="K1168" t="inlineStr"/>
      <c r="L1168" t="inlineStr"/>
      <c r="M1168" t="inlineStr"/>
      <c r="N1168" t="inlineStr"/>
      <c r="O1168" t="n">
        <v>0</v>
      </c>
      <c r="P1168">
        <f>IF(B1183=0,0,O1168/B1183)</f>
        <v/>
      </c>
      <c r="Q1168" t="n">
        <v>0</v>
      </c>
      <c r="R1168" t="n">
        <v>0</v>
      </c>
      <c r="S1168">
        <f>IFERROR(O1168/N1168,0)</f>
        <v/>
      </c>
    </row>
    <row r="1170">
      <c r="A1170" t="inlineStr">
        <is>
          <t>Average Buff Multiplier</t>
        </is>
      </c>
      <c r="B1170">
        <f>(1+(((C1159=TRUE)*F1159*IF(AND(Inputs!$B$4&lt;&gt;"pvp",Inputs!$B$35&gt;0),(((S1159-1)*(Skills!Y21*(1+Inputs!$B$33/100))+MIN((Skills!Y21*(1+Inputs!$B$33/100)),MAX(0,Inputs!$B$35-((S1159-1)*Skills!D21))))/Inputs!$B$35),IF(Inputs!$B$4="pvp",MIN((Skills!Y21*(1+Inputs!$B$33/100)),15)/15,(Skills!Y21*(1+Inputs!$B$33/100))/Skills!D21)))+((C1161=TRUE)*(F1161-Calc!F23))+((C1155=TRUE)*(F1155-Calc!F17)))/100)*(1+((C1148=TRUE)*F1148*IF(AND(Inputs!$B$4&lt;&gt;"pvp",Inputs!$B$35&gt;0),(((S1148-1)*(Skills!Y10*(1+Inputs!$B$33/100))+MIN((Skills!Y10*(1+Inputs!$B$33/100)),MAX(0,Inputs!$B$35-((S1148-1)*Skills!D10))))/Inputs!$B$35),IF(Inputs!$B$4="pvp",MIN((Skills!Y10*(1+Inputs!$B$33/100)),15)/15,(Skills!Y10*(1+Inputs!$B$33/100))/Skills!D10)))/100)*(1+((C1153=TRUE)*F1153*IF(AND(Inputs!$B$4&lt;&gt;"pvp",Inputs!$B$35&gt;0),(((S1153-1)*(Skills!Y15*(1+Inputs!$B$33/100))+MIN((Skills!Y15*(1+Inputs!$B$33/100)),MAX(0,Inputs!$B$35-((S1153-1)*Skills!D15))))/Inputs!$B$35),IF(Inputs!$B$4="pvp",MIN((Skills!Y15*(1+Inputs!$B$33/100)),15)/15,(Skills!Y15*(1+Inputs!$B$33/100))/Skills!D15)))/100)</f>
        <v/>
      </c>
    </row>
    <row r="1171">
      <c r="A1171" t="inlineStr">
        <is>
          <t>Global Crit Rate Bonus %</t>
        </is>
      </c>
      <c r="B1171">
        <f>((C1158=TRUE)*F1158*IF(AND(Inputs!$B$4&lt;&gt;"pvp",Inputs!$B$35&gt;0),(((S1158-1)*(Skills!Y20*(1+Inputs!$B$33/100))+MIN((Skills!Y20*(1+Inputs!$B$33/100)),MAX(0,Inputs!$B$35-((S1158-1)*Skills!D20))))/Inputs!$B$35),IF(Inputs!$B$4="pvp",MIN((Skills!Y20*(1+Inputs!$B$33/100)),15)/15,(Skills!Y20*(1+Inputs!$B$33/100))/Skills!D20)))</f>
        <v/>
      </c>
    </row>
    <row r="1172">
      <c r="A1172" t="inlineStr">
        <is>
          <t>Global Monster Damage-Taken Bonus %</t>
        </is>
      </c>
      <c r="B1172">
        <f>IF(Inputs!$B$3&gt;=82,15,0)</f>
        <v/>
      </c>
    </row>
    <row r="1173">
      <c r="A1173" t="inlineStr">
        <is>
          <t>Shadow Partner Average Multiplier</t>
        </is>
      </c>
      <c r="B1173">
        <f>1+((C1145=TRUE)*F1145*(1+3.3333333333333335*IF(C1156=TRUE,F1156,0)/100)*I1145*Skills!J7/100)/100</f>
        <v/>
      </c>
    </row>
    <row r="1174">
      <c r="A1174" t="inlineStr">
        <is>
          <t>Attack Speed Buff Bonus %</t>
        </is>
      </c>
      <c r="B1174">
        <f>((C1157=TRUE)*F1157*IF(AND(Inputs!$B$4&lt;&gt;"pvp",Inputs!$B$35&gt;0),(((S1157-1)*(Skills!Y19*(1+Inputs!$B$33/100))+MIN((Skills!Y19*(1+Inputs!$B$33/100)),MAX(0,Inputs!$B$35-((S1157-1)*Skills!D19))))/Inputs!$B$35),IF(Inputs!$B$4="pvp",MIN((Skills!Y19*(1+Inputs!$B$33/100)),15)/15,(Skills!Y19*(1+Inputs!$B$33/100))/Skills!D19)))+((C1141=TRUE)*F1141*3)</f>
        <v/>
      </c>
    </row>
    <row r="1175">
      <c r="A1175" t="inlineStr">
        <is>
          <t>Actions Per Second</t>
        </is>
      </c>
      <c r="B1175">
        <f>1+MIN(150,150*(1-(1-(Inputs!$B$10+((C1160=TRUE)*(F1160-Calc!F22)))/150)*(1-B1174/150)))/100</f>
        <v/>
      </c>
    </row>
    <row r="1176">
      <c r="A1176" t="inlineStr">
        <is>
          <t>Skill + Buff Cast Rate</t>
        </is>
      </c>
      <c r="B1176">
        <f>IF(AND(Inputs!$B$4&lt;&gt;"pvp",Inputs!$B$35&gt;0),SUMPRODUCT((Skills!E2:E30=TRUE)*(C1140:C1168=TRUE)*R1140:R1168*Skills!F2:F30)/Inputs!$B$35,SUMPRODUCT((Skills!E2:E30=TRUE)*(C1140:C1168=TRUE)*Q1140:Q1168*Skills!F2:F30))</f>
        <v/>
      </c>
    </row>
    <row r="1177">
      <c r="A1177" t="inlineStr">
        <is>
          <t>Cruel Stab Casts Per Second</t>
        </is>
      </c>
      <c r="B1177">
        <f>MAX(0,B1175-B1176)</f>
        <v/>
      </c>
    </row>
    <row r="1178">
      <c r="A1178" t="inlineStr">
        <is>
          <t>Global Critical Damage Bonus % (Smokescreen Mastery Lv.113)</t>
        </is>
      </c>
      <c r="B1178">
        <f>IF(Inputs!$B$3&gt;=113,30,0)*IF(AND(Inputs!$B$4&lt;&gt;"pvp",Inputs!$B$35&gt;0),(((S1153-1)*(Skills!Y15*(1+Inputs!$B$33/100))+MIN((Skills!Y15*(1+Inputs!$B$33/100)),MAX(0,Inputs!$B$35-((S1153-1)*Skills!D15))))/Inputs!$B$35),IF(Inputs!$B$4="pvp",MIN((Skills!Y15*(1+Inputs!$B$33/100)),15)/15,(Skills!Y15*(1+Inputs!$B$33/100))/Skills!D15))</f>
        <v/>
      </c>
    </row>
    <row r="1179">
      <c r="A1179" t="inlineStr">
        <is>
          <t>Meso Explosion average stack count</t>
        </is>
      </c>
      <c r="B1179">
        <f>MIN(10,0.5*B1175*Skills!D4)</f>
        <v/>
      </c>
    </row>
    <row r="1180">
      <c r="A1180" t="inlineStr">
        <is>
          <t>Blood Money average stack count</t>
        </is>
      </c>
      <c r="B1180">
        <f>MIN(5,0.25*B1175*Skills!D4)</f>
        <v/>
      </c>
    </row>
    <row r="1181">
      <c r="A1181" t="inlineStr">
        <is>
          <t>Assassinate Murderous Intent Multiplier</t>
        </is>
      </c>
      <c r="B1181">
        <f>1+IFERROR(MIN(1,Q1152*2/Q1149),0)</f>
        <v/>
      </c>
    </row>
    <row r="1183">
      <c r="A1183" s="5" t="inlineStr">
        <is>
          <t>TOTAL DPS</t>
        </is>
      </c>
      <c r="B1183" s="5">
        <f>SUM(O1140:O1168)</f>
        <v/>
      </c>
    </row>
    <row r="1186">
      <c r="A1186" s="5" t="inlineStr">
        <is>
          <t>Stat: Basic Attack Target Increase (flat)</t>
        </is>
      </c>
    </row>
    <row r="1187">
      <c r="A1187" s="8" t="inlineStr">
        <is>
          <t>Key</t>
        </is>
      </c>
      <c r="B1187" s="8" t="inlineStr">
        <is>
          <t>Name</t>
        </is>
      </c>
      <c r="C1187" s="8" t="inlineStr">
        <is>
          <t>Unlocked</t>
        </is>
      </c>
      <c r="D1187" s="8" t="inlineStr">
        <is>
          <t>InputLevel</t>
        </is>
      </c>
      <c r="E1187" s="8" t="inlineStr">
        <is>
          <t>Factor</t>
        </is>
      </c>
      <c r="F1187" s="8" t="inlineStr">
        <is>
          <t>CoefficientPercent</t>
        </is>
      </c>
      <c r="G1187" s="8" t="inlineStr">
        <is>
          <t>EffectiveHits</t>
        </is>
      </c>
      <c r="H1187" s="8" t="inlineStr">
        <is>
          <t>ProcProbability</t>
        </is>
      </c>
      <c r="I1187" s="8" t="inlineStr">
        <is>
          <t>MapleHeroMultiplier</t>
        </is>
      </c>
      <c r="J1187" s="8" t="inlineStr">
        <is>
          <t>BaseDamage</t>
        </is>
      </c>
      <c r="K1187" s="8" t="inlineStr">
        <is>
          <t>BaseHitDamage</t>
        </is>
      </c>
      <c r="L1187" s="8" t="inlineStr">
        <is>
          <t>NonCritAvg</t>
        </is>
      </c>
      <c r="M1187" s="8" t="inlineStr">
        <is>
          <t>CritAvg</t>
        </is>
      </c>
      <c r="N1187" s="8" t="inlineStr">
        <is>
          <t>ExpectedDamage(perHit)</t>
        </is>
      </c>
      <c r="O1187" s="8" t="inlineStr">
        <is>
          <t>DPS</t>
        </is>
      </c>
      <c r="P1187" s="8" t="inlineStr">
        <is>
          <t>% of Total</t>
        </is>
      </c>
      <c r="Q1187" s="8" t="inlineStr">
        <is>
          <t>InvCooldown</t>
        </is>
      </c>
      <c r="R1187" s="8" t="inlineStr">
        <is>
          <t>CastsInFight</t>
        </is>
      </c>
      <c r="S1187" s="8" t="inlineStr">
        <is>
          <t>HitRate(perSec)</t>
        </is>
      </c>
      <c r="U1187" t="inlineStr">
        <is>
          <t>helpers</t>
        </is>
      </c>
    </row>
    <row r="1188">
      <c r="A1188">
        <f>Skills!A2</f>
        <v/>
      </c>
      <c r="B1188">
        <f>Skills!B2</f>
        <v/>
      </c>
      <c r="C1188">
        <f>Inputs!$B$3&gt;=100</f>
        <v/>
      </c>
      <c r="D1188" t="inlineStr"/>
      <c r="E1188" t="inlineStr"/>
      <c r="F1188">
        <f>U1190+Skills!O2</f>
        <v/>
      </c>
      <c r="G1188">
        <f>Skills!G2*IF(Skills!H2&gt;0,Skills!I2/Skills!H2,1)</f>
        <v/>
      </c>
      <c r="H1188">
        <f>1-(1-Skills!J2/100)^Skills!K2</f>
        <v/>
      </c>
      <c r="I1188" t="inlineStr">
        <is>
          <t>1</t>
        </is>
      </c>
      <c r="J1188">
        <f>(Inputs!$B$5*(1+Inputs!$B$6/100))*(F1188/100)</f>
        <v/>
      </c>
      <c r="K1188">
        <f>J1188*(1+((Inputs!$B$11*(1+Inputs!$B$12/100))*0.01+Inputs!$B$13*0.0025)/100)*(1+Inputs!$B$14/100)*(1+IF(Inputs!$B$4="pvp",0,(1-Summary!$B$55)*(Inputs!$B$19+0+Skills!P2+B1220)+Summary!$B$55*(Inputs!$B$20+Skills!Q2+B1220))/100)*(1+Inputs!$B$15/100)*(5000/(6000+Inputs!$B$7*(1-Inputs!$B$18/100)))*(1+(Inputs!$B$23+((C1216=TRUE)*(F1216-Calc!F30)))/100)*(1+(IF(Skills!A2="CRUEL_STAB",Inputs!$B$16+((C1213=TRUE)*(F1213-Calc!F27)),Inputs!$B$17+((C1214=TRUE)*(F1214-Calc!F28))))/100)*(((1+(((C1207=TRUE)*F1207*IF(AND(Inputs!$B$4&lt;&gt;"pvp",Inputs!$B$35&gt;0),(((S1207-1)*(Skills!Y21*(1+Inputs!$B$33/100))+MIN((Skills!Y21*(1+Inputs!$B$33/100)),MAX(0,Inputs!$B$35-((S1207-1)*Skills!D21))))/Inputs!$B$35),IF(Inputs!$B$4="pvp",MIN((Skills!Y21*(1+Inputs!$B$33/100)),15)/15,(Skills!Y21*(1+Inputs!$B$33/100))/Skills!D21)))+((C1209=TRUE)*(F1209-Calc!F23))+((C1203=TRUE)*(F1203-Calc!F17)))/100)*(1+((C1196=TRUE)*F1196*IF(AND(Inputs!$B$4&lt;&gt;"pvp",Inputs!$B$35&gt;0),(((S1196-1)*(Skills!Y10*(1+Inputs!$B$33/100))+MIN((Skills!Y10*(1+Inputs!$B$33/100)),MAX(0,Inputs!$B$35-((S1196-1)*Skills!D10))))/Inputs!$B$35),IF(Inputs!$B$4="pvp",MIN((Skills!Y10*(1+Inputs!$B$33/100)),15)/15,(Skills!Y10*(1+Inputs!$B$33/100))/Skills!D10)))/100)*(1+((C1201=TRUE)*F1201*IF(AND(Inputs!$B$4&lt;&gt;"pvp",Inputs!$B$35&gt;0),(((S1201-1)*(Skills!Y15*(1+Inputs!$B$33/100))+MIN((Skills!Y15*(1+Inputs!$B$33/100)),MAX(0,Inputs!$B$35-((S1201-1)*Skills!D15))))/Inputs!$B$35),IF(Inputs!$B$4="pvp",MIN((Skills!Y15*(1+Inputs!$B$33/100)),15)/15,(Skills!Y15*(1+Inputs!$B$33/100))/Skills!D15)))/100))*B1221*I1188)</f>
        <v/>
      </c>
      <c r="L1188">
        <f>K1188*(MIN(Inputs!$B$21+((C1210=TRUE)*(F1210-Calc!F24)),Inputs!$B$22+((C1215=TRUE)*(F1215-Calc!F29)))/100+(Inputs!$B$22+((C1215=TRUE)*(F1215-Calc!F29)))/100)/2</f>
        <v/>
      </c>
      <c r="M1188">
        <f>L1188*(1+(Inputs!$B$9+((C1212=TRUE)*(F1212-Calc!F26))+B1226)/100)</f>
        <v/>
      </c>
      <c r="N1188">
        <f>L1188*(1-MIN((Inputs!$B$8+((C1211=TRUE)*(F1211-Calc!F25))+B1219),100)/100)+M1188*(MIN((Inputs!$B$8+((C1211=TRUE)*(F1211-Calc!F25))+B1219),100)/100)</f>
        <v/>
      </c>
      <c r="O1188">
        <f>IF(C1188,Skills!G2*N1188*B1225*IF(Inputs!$B$4="pvp",1,(1-Summary!$B$55)*(1)+Summary!$B$55*(MIN((6+(Inputs!$B$32+1)),Inputs!$B$37))),0)</f>
        <v/>
      </c>
      <c r="P1188">
        <f>IF(B1231=0,0,O1188/B1231)</f>
        <v/>
      </c>
      <c r="Q1188" t="n">
        <v>0</v>
      </c>
      <c r="R1188" t="n">
        <v>0</v>
      </c>
      <c r="S1188">
        <f>IFERROR(O1188/N1188,0)</f>
        <v/>
      </c>
      <c r="U1188">
        <f>MAX(0,(Inputs!$B$3-100)*3)+Inputs!$B$27+Inputs!$B$28</f>
        <v/>
      </c>
    </row>
    <row r="1189">
      <c r="A1189">
        <f>Skills!A3</f>
        <v/>
      </c>
      <c r="B1189">
        <f>Skills!B3</f>
        <v/>
      </c>
      <c r="C1189">
        <f>Inputs!$B$3&gt;=35</f>
        <v/>
      </c>
      <c r="D1189">
        <f>IF(Skills!C3=1,60+Inputs!$B$24+Inputs!$B$28,IF(Skills!C3=2,90+Inputs!$B$25+Inputs!$B$28,IF(Skills!C3=3,120+Inputs!$B$26+Inputs!$B$28,MAX(0,(Inputs!$B$3-100)*3)+Inputs!$B$27+Inputs!$B$28)))</f>
        <v/>
      </c>
      <c r="E1189">
        <f>INDEX(FactorTable!$B$2:$Y$301, MATCH(ROUND(MIN(300,MAX(1,D1189)),0), FactorTable!$A$2:$A$301,0), Skills!M3+1)</f>
        <v/>
      </c>
      <c r="F1189">
        <f>IF(Skills!N3=TRUE,(Skills!L3/10)*(E1189/1000),Skills!L3/10)+Skills!O3</f>
        <v/>
      </c>
      <c r="G1189">
        <f>Skills!G3*IF(Skills!H3&gt;0,Skills!I3/Skills!H3,1)</f>
        <v/>
      </c>
      <c r="H1189">
        <f>1-(1-Skills!J3/100)^Skills!K3</f>
        <v/>
      </c>
      <c r="I1189" t="inlineStr">
        <is>
          <t>1</t>
        </is>
      </c>
      <c r="J1189" t="inlineStr"/>
      <c r="K1189" t="inlineStr"/>
      <c r="L1189" t="inlineStr"/>
      <c r="M1189" t="inlineStr"/>
      <c r="N1189" t="inlineStr"/>
      <c r="O1189" t="n">
        <v>0</v>
      </c>
      <c r="P1189">
        <f>IF(B1231=0,0,O1189/B1231)</f>
        <v/>
      </c>
      <c r="Q1189" t="n">
        <v>0</v>
      </c>
      <c r="R1189" t="n">
        <v>0</v>
      </c>
      <c r="S1189">
        <f>IFERROR(O1189/N1189,0)</f>
        <v/>
      </c>
      <c r="U1189">
        <f>INDEX(FactorTable!$B$2:$Y$301, MATCH(ROUND(MIN(300,MAX(1,U1188)),0), FactorTable!$A$2:$A$301,0), 22)</f>
        <v/>
      </c>
    </row>
    <row r="1190">
      <c r="A1190">
        <f>Skills!A4</f>
        <v/>
      </c>
      <c r="B1190">
        <f>Skills!B4</f>
        <v/>
      </c>
      <c r="C1190">
        <f>Inputs!$B$3&gt;=66</f>
        <v/>
      </c>
      <c r="D1190">
        <f>IF(Skills!C4=1,60+Inputs!$B$24+Inputs!$B$28,IF(Skills!C4=2,90+Inputs!$B$25+Inputs!$B$28,IF(Skills!C4=3,120+Inputs!$B$26+Inputs!$B$28,MAX(0,(Inputs!$B$3-100)*3)+Inputs!$B$27+Inputs!$B$28)))</f>
        <v/>
      </c>
      <c r="E1190">
        <f>INDEX(FactorTable!$B$2:$Y$301, MATCH(ROUND(MIN(300,MAX(1,D1190)),0), FactorTable!$A$2:$A$301,0), Skills!M4+1)</f>
        <v/>
      </c>
      <c r="F1190">
        <f>IF(Skills!N4=TRUE,(Skills!L4/10)*(E1190/1000),Skills!L4/10)+Skills!O4</f>
        <v/>
      </c>
      <c r="G1190">
        <f>Skills!G4*IF(Skills!H4&gt;0,Skills!I4/Skills!H4,1)</f>
        <v/>
      </c>
      <c r="H1190">
        <f>1-(1-Skills!J4/100)^Skills!K4</f>
        <v/>
      </c>
      <c r="I1190" t="inlineStr">
        <is>
          <t>1</t>
        </is>
      </c>
      <c r="J1190">
        <f>(Inputs!$B$5*(1+Inputs!$B$6/100))*(F1190/100)</f>
        <v/>
      </c>
      <c r="K1190">
        <f>J1190*(1+((Inputs!$B$11*(1+Inputs!$B$12/100))*0.01+Inputs!$B$13*0.0025)/100)*(1+Inputs!$B$14/100)*(1+IF(Inputs!$B$4="pvp",0,(1-Summary!$B$55)*(Inputs!$B$19+0+Skills!P4+B1220)+Summary!$B$55*(Inputs!$B$20+Skills!Q4+B1220))/100)*(1+Inputs!$B$15/100)*(5000/(6000+Inputs!$B$7*(1-Inputs!$B$18/100)))*(1+(Inputs!$B$23+((C1216=TRUE)*(F1216-Calc!F30)))/100)*(1+(IF(Skills!A4="CRUEL_STAB",Inputs!$B$16+((C1213=TRUE)*(F1213-Calc!F27)),Inputs!$B$17+((C1214=TRUE)*(F1214-Calc!F28))))/100)*(((1+(((C1207=TRUE)*F1207*IF(AND(Inputs!$B$4&lt;&gt;"pvp",Inputs!$B$35&gt;0),(((S1207-1)*(Skills!Y21*(1+Inputs!$B$33/100))+MIN((Skills!Y21*(1+Inputs!$B$33/100)),MAX(0,Inputs!$B$35-((S1207-1)*Skills!D21))))/Inputs!$B$35),IF(Inputs!$B$4="pvp",MIN((Skills!Y21*(1+Inputs!$B$33/100)),15)/15,(Skills!Y21*(1+Inputs!$B$33/100))/Skills!D21)))+((C1209=TRUE)*(F1209-Calc!F23))+((C1203=TRUE)*(F1203-Calc!F17)))/100)*(1+((C1196=TRUE)*F1196*IF(AND(Inputs!$B$4&lt;&gt;"pvp",Inputs!$B$35&gt;0),(((S1196-1)*(Skills!Y10*(1+Inputs!$B$33/100))+MIN((Skills!Y10*(1+Inputs!$B$33/100)),MAX(0,Inputs!$B$35-((S1196-1)*Skills!D10))))/Inputs!$B$35),IF(Inputs!$B$4="pvp",MIN((Skills!Y10*(1+Inputs!$B$33/100)),15)/15,(Skills!Y10*(1+Inputs!$B$33/100))/Skills!D10)))/100)*(1+((C1201=TRUE)*F1201*IF(AND(Inputs!$B$4&lt;&gt;"pvp",Inputs!$B$35&gt;0),(((S1201-1)*(Skills!Y15*(1+Inputs!$B$33/100))+MIN((Skills!Y15*(1+Inputs!$B$33/100)),MAX(0,Inputs!$B$35-((S1201-1)*Skills!D15))))/Inputs!$B$35),IF(Inputs!$B$4="pvp",MIN((Skills!Y15*(1+Inputs!$B$33/100)),15)/15,(Skills!Y15*(1+Inputs!$B$33/100))/Skills!D15)))/100))*B1221*I1190)</f>
        <v/>
      </c>
      <c r="L1190">
        <f>K1190*(MIN(Inputs!$B$21+((C1210=TRUE)*(F1210-Calc!F24)),Inputs!$B$22+((C1215=TRUE)*(F1215-Calc!F29)))/100+(Inputs!$B$22+((C1215=TRUE)*(F1215-Calc!F29)))/100)/2</f>
        <v/>
      </c>
      <c r="M1190">
        <f>L1190*(1+(Inputs!$B$9+((C1212=TRUE)*(F1212-Calc!F26))+B1226)/100)</f>
        <v/>
      </c>
      <c r="N1190">
        <f>L1190*(1-MIN((Inputs!$B$8+((C1211=TRUE)*(F1211-Calc!F25))+B1219),100)/100)+M1190*(MIN((Inputs!$B$8+((C1211=TRUE)*(F1211-Calc!F25))+B1219),100)/100)</f>
        <v/>
      </c>
      <c r="O1190">
        <f>IF(C1190,H1190*N1190*IF(AND(Inputs!$B$4&lt;&gt;"pvp",Inputs!$B$35&gt;0),((Skills!G4*((R1190-1)*IF(Skills!H4&gt;0,Skills!I4/Skills!H4,1)+IF(Skills!H4&gt;0,MIN(Skills!I4,MAX(0,Inputs!$B$35-((R1190-1)*IF(Inputs!$B$4="pvp",15,MAX(0.1,Skills!D4-IF(Skills!E4=TRUE,Inputs!$B$31,0))))))/Skills!H4,1)))/Inputs!$B$35),G1190*Q1190)*IF(Inputs!$B$4="pvp",1,(1-Summary!$B$55)*(1)+Summary!$B$55*(MIN(MIN(10,0.5*B1223*Skills!D4),Inputs!$B$37))),0)</f>
        <v/>
      </c>
      <c r="P1190">
        <f>IF(B1231=0,0,O1190/B1231)</f>
        <v/>
      </c>
      <c r="Q1190">
        <f>IFERROR(1/IF(Inputs!$B$4="pvp",15,MAX(0.1,Skills!D4-IF(Skills!E4=TRUE,Inputs!$B$31,0))),0)</f>
        <v/>
      </c>
      <c r="R1190">
        <f>IF(AND(Inputs!$B$4&lt;&gt;"pvp",Inputs!$B$35&gt;0),(INT(Inputs!$B$35/IF(Inputs!$B$4="pvp",15,MAX(0.1,Skills!D4-IF(Skills!E4=TRUE,Inputs!$B$31,0))))+1),0)</f>
        <v/>
      </c>
      <c r="S1190">
        <f>IFERROR(O1190/N1190,0)</f>
        <v/>
      </c>
      <c r="U1190">
        <f>290*U1189/1000</f>
        <v/>
      </c>
    </row>
    <row r="1191">
      <c r="A1191">
        <f>Skills!A5</f>
        <v/>
      </c>
      <c r="B1191">
        <f>Skills!B5</f>
        <v/>
      </c>
      <c r="C1191">
        <f>Inputs!$B$3&gt;=63</f>
        <v/>
      </c>
      <c r="D1191">
        <f>IF(Skills!C5=1,60+Inputs!$B$24+Inputs!$B$28,IF(Skills!C5=2,90+Inputs!$B$25+Inputs!$B$28,IF(Skills!C5=3,120+Inputs!$B$26+Inputs!$B$28,MAX(0,(Inputs!$B$3-100)*3)+Inputs!$B$27+Inputs!$B$28)))</f>
        <v/>
      </c>
      <c r="E1191">
        <f>INDEX(FactorTable!$B$2:$Y$301, MATCH(ROUND(MIN(300,MAX(1,D1191)),0), FactorTable!$A$2:$A$301,0), Skills!M5+1)</f>
        <v/>
      </c>
      <c r="F1191">
        <f>IF(Skills!N5=TRUE,(Skills!L5/10)*(E1191/1000),Skills!L5/10)+Skills!O5</f>
        <v/>
      </c>
      <c r="G1191">
        <f>Skills!G5*IF(Skills!H5&gt;0,Skills!I5/Skills!H5,1)</f>
        <v/>
      </c>
      <c r="H1191">
        <f>1-(1-Skills!J5/100)^Skills!K5</f>
        <v/>
      </c>
      <c r="I1191" t="inlineStr">
        <is>
          <t>1</t>
        </is>
      </c>
      <c r="J1191">
        <f>(Inputs!$B$5*(1+Inputs!$B$6/100))*(F1191/100)</f>
        <v/>
      </c>
      <c r="K1191">
        <f>J1191*(1+((Inputs!$B$11*(1+Inputs!$B$12/100))*0.01+Inputs!$B$13*0.0025)/100)*(1+Inputs!$B$14/100)*(1+IF(Inputs!$B$4="pvp",0,(1-Summary!$B$55)*(Inputs!$B$19+0+Skills!P5+B1220)+Summary!$B$55*(Inputs!$B$20+Skills!Q5+B1220))/100)*(1+Inputs!$B$15/100)*(5000/(6000+Inputs!$B$7*(1-Inputs!$B$18/100)))*(1+(Inputs!$B$23+((C1216=TRUE)*(F1216-Calc!F30)))/100)*(1+2.6666666666666665*IF(C1204=TRUE,F1204,0)/100)*(1+(IF(Skills!A5="CRUEL_STAB",Inputs!$B$16+((C1213=TRUE)*(F1213-Calc!F27)),Inputs!$B$17+((C1214=TRUE)*(F1214-Calc!F28))))/100)*(((1+(((C1207=TRUE)*F1207*IF(AND(Inputs!$B$4&lt;&gt;"pvp",Inputs!$B$35&gt;0),(((S1207-1)*(Skills!Y21*(1+Inputs!$B$33/100))+MIN((Skills!Y21*(1+Inputs!$B$33/100)),MAX(0,Inputs!$B$35-((S1207-1)*Skills!D21))))/Inputs!$B$35),IF(Inputs!$B$4="pvp",MIN((Skills!Y21*(1+Inputs!$B$33/100)),15)/15,(Skills!Y21*(1+Inputs!$B$33/100))/Skills!D21)))+((C1209=TRUE)*(F1209-Calc!F23))+((C1203=TRUE)*(F1203-Calc!F17)))/100)*(1+((C1196=TRUE)*F1196*IF(AND(Inputs!$B$4&lt;&gt;"pvp",Inputs!$B$35&gt;0),(((S1196-1)*(Skills!Y10*(1+Inputs!$B$33/100))+MIN((Skills!Y10*(1+Inputs!$B$33/100)),MAX(0,Inputs!$B$35-((S1196-1)*Skills!D10))))/Inputs!$B$35),IF(Inputs!$B$4="pvp",MIN((Skills!Y10*(1+Inputs!$B$33/100)),15)/15,(Skills!Y10*(1+Inputs!$B$33/100))/Skills!D10)))/100)*(1+((C1201=TRUE)*F1201*IF(AND(Inputs!$B$4&lt;&gt;"pvp",Inputs!$B$35&gt;0),(((S1201-1)*(Skills!Y15*(1+Inputs!$B$33/100))+MIN((Skills!Y15*(1+Inputs!$B$33/100)),MAX(0,Inputs!$B$35-((S1201-1)*Skills!D15))))/Inputs!$B$35),IF(Inputs!$B$4="pvp",MIN((Skills!Y15*(1+Inputs!$B$33/100)),15)/15,(Skills!Y15*(1+Inputs!$B$33/100))/Skills!D15)))/100))*B1221*I1191)</f>
        <v/>
      </c>
      <c r="L1191">
        <f>K1191*(MIN(Inputs!$B$21+((C1210=TRUE)*(F1210-Calc!F24)),Inputs!$B$22+((C1215=TRUE)*(F1215-Calc!F29)))/100+(Inputs!$B$22+((C1215=TRUE)*(F1215-Calc!F29)))/100)/2</f>
        <v/>
      </c>
      <c r="M1191">
        <f>L1191*(1+(Inputs!$B$9+((C1212=TRUE)*(F1212-Calc!F26))+B1226)/100)</f>
        <v/>
      </c>
      <c r="N1191">
        <f>L1191*(1-MIN((Inputs!$B$8+((C1211=TRUE)*(F1211-Calc!F25))+B1219),100)/100)+M1191*(MIN((Inputs!$B$8+((C1211=TRUE)*(F1211-Calc!F25))+B1219),100)/100)</f>
        <v/>
      </c>
      <c r="O1191">
        <f>IF(C1191,H1191*N1191*IF(AND(Inputs!$B$4&lt;&gt;"pvp",Inputs!$B$35&gt;0),((Skills!G5*((R1191-1)*IF(Skills!H5&gt;0,Skills!I5/Skills!H5,1)+IF(Skills!H5&gt;0,MIN(Skills!I5,MAX(0,Inputs!$B$35-((R1191-1)*IF(Inputs!$B$4="pvp",15,MAX(0.1,Skills!D5-IF(Skills!E5=TRUE,Inputs!$B$31,0))))))/Skills!H5,1)))/Inputs!$B$35),G1191*Q1191)*IF(Inputs!$B$4="pvp",1,(1-Summary!$B$55)*(1)+Summary!$B$55*(MIN(Skills!W5,Inputs!$B$37))),0)</f>
        <v/>
      </c>
      <c r="P1191">
        <f>IF(B1231=0,0,O1191/B1231)</f>
        <v/>
      </c>
      <c r="Q1191">
        <f>IFERROR(1/IF(Inputs!$B$4="pvp",15,MAX(0.1,Skills!D5-IF(Skills!E5=TRUE,Inputs!$B$31,0))),0)</f>
        <v/>
      </c>
      <c r="R1191">
        <f>IF(AND(Inputs!$B$4&lt;&gt;"pvp",Inputs!$B$35&gt;0),(INT(Inputs!$B$35/IF(Inputs!$B$4="pvp",15,MAX(0.1,Skills!D5-IF(Skills!E5=TRUE,Inputs!$B$31,0))))+1),0)</f>
        <v/>
      </c>
      <c r="S1191">
        <f>IFERROR(O1191/N1191,0)</f>
        <v/>
      </c>
    </row>
    <row r="1192">
      <c r="A1192">
        <f>Skills!A6</f>
        <v/>
      </c>
      <c r="B1192">
        <f>Skills!B6</f>
        <v/>
      </c>
      <c r="C1192">
        <f>Inputs!$B$3&gt;=69</f>
        <v/>
      </c>
      <c r="D1192">
        <f>IF(Skills!C6=1,60+Inputs!$B$24+Inputs!$B$28,IF(Skills!C6=2,90+Inputs!$B$25+Inputs!$B$28,IF(Skills!C6=3,120+Inputs!$B$26+Inputs!$B$28,MAX(0,(Inputs!$B$3-100)*3)+Inputs!$B$27+Inputs!$B$28)))</f>
        <v/>
      </c>
      <c r="E1192">
        <f>INDEX(FactorTable!$B$2:$Y$301, MATCH(ROUND(MIN(300,MAX(1,D1192)),0), FactorTable!$A$2:$A$301,0), Skills!M6+1)</f>
        <v/>
      </c>
      <c r="F1192">
        <f>IF(Skills!N6=TRUE,(Skills!L6/10)*(E1192/1000),Skills!L6/10)+Skills!O6</f>
        <v/>
      </c>
      <c r="G1192">
        <f>Skills!G6*IF(Skills!H6&gt;0,Skills!I6/Skills!H6,1)</f>
        <v/>
      </c>
      <c r="H1192">
        <f>1-(1-Skills!J6/100)^Skills!K6</f>
        <v/>
      </c>
      <c r="I1192" t="inlineStr">
        <is>
          <t>1</t>
        </is>
      </c>
      <c r="J1192">
        <f>(Inputs!$B$5*(1+Inputs!$B$6/100))*(F1192/100)</f>
        <v/>
      </c>
      <c r="K1192">
        <f>J1192*(1+((Inputs!$B$11*(1+Inputs!$B$12/100))*0.01+Inputs!$B$13*0.0025)/100)*(1+Inputs!$B$14/100)*(1+IF(Inputs!$B$4="pvp",0,(1-Summary!$B$55)*(Inputs!$B$19+0+Skills!P6+B1220)+Summary!$B$55*(Inputs!$B$20+Skills!Q6+B1220))/100)*(1+Inputs!$B$15/100)*(5000/(6000+Inputs!$B$7*(1-Inputs!$B$18/100)))*(1+(Inputs!$B$23+((C1216=TRUE)*(F1216-Calc!F30)))/100)*(1+1.0*IF(C1204=TRUE,F1204,0)/100)*(1+(IF(Skills!A6="CRUEL_STAB",Inputs!$B$16+((C1213=TRUE)*(F1213-Calc!F27)),Inputs!$B$17+((C1214=TRUE)*(F1214-Calc!F28))))/100)*(((1+(((C1207=TRUE)*F1207*IF(AND(Inputs!$B$4&lt;&gt;"pvp",Inputs!$B$35&gt;0),(((S1207-1)*(Skills!Y21*(1+Inputs!$B$33/100))+MIN((Skills!Y21*(1+Inputs!$B$33/100)),MAX(0,Inputs!$B$35-((S1207-1)*Skills!D21))))/Inputs!$B$35),IF(Inputs!$B$4="pvp",MIN((Skills!Y21*(1+Inputs!$B$33/100)),15)/15,(Skills!Y21*(1+Inputs!$B$33/100))/Skills!D21)))+((C1209=TRUE)*(F1209-Calc!F23))+((C1203=TRUE)*(F1203-Calc!F17)))/100)*(1+((C1196=TRUE)*F1196*IF(AND(Inputs!$B$4&lt;&gt;"pvp",Inputs!$B$35&gt;0),(((S1196-1)*(Skills!Y10*(1+Inputs!$B$33/100))+MIN((Skills!Y10*(1+Inputs!$B$33/100)),MAX(0,Inputs!$B$35-((S1196-1)*Skills!D10))))/Inputs!$B$35),IF(Inputs!$B$4="pvp",MIN((Skills!Y10*(1+Inputs!$B$33/100)),15)/15,(Skills!Y10*(1+Inputs!$B$33/100))/Skills!D10)))/100)*(1+((C1201=TRUE)*F1201*IF(AND(Inputs!$B$4&lt;&gt;"pvp",Inputs!$B$35&gt;0),(((S1201-1)*(Skills!Y15*(1+Inputs!$B$33/100))+MIN((Skills!Y15*(1+Inputs!$B$33/100)),MAX(0,Inputs!$B$35-((S1201-1)*Skills!D15))))/Inputs!$B$35),IF(Inputs!$B$4="pvp",MIN((Skills!Y15*(1+Inputs!$B$33/100)),15)/15,(Skills!Y15*(1+Inputs!$B$33/100))/Skills!D15)))/100))*B1221*I1192)</f>
        <v/>
      </c>
      <c r="L1192">
        <f>K1192*(MIN(Inputs!$B$21+((C1210=TRUE)*(F1210-Calc!F24)),Inputs!$B$22+((C1215=TRUE)*(F1215-Calc!F29)))/100+(Inputs!$B$22+((C1215=TRUE)*(F1215-Calc!F29)))/100)/2</f>
        <v/>
      </c>
      <c r="M1192">
        <f>L1192*(1+(Inputs!$B$9+((C1212=TRUE)*(F1212-Calc!F26))+B1226)/100)</f>
        <v/>
      </c>
      <c r="N1192">
        <f>L1192*(1-MIN((Inputs!$B$8+((C1211=TRUE)*(F1211-Calc!F25))+B1219),100)/100)+M1192*(MIN((Inputs!$B$8+((C1211=TRUE)*(F1211-Calc!F25))+B1219),100)/100)</f>
        <v/>
      </c>
      <c r="O1192">
        <f>IF(C1192,H1192*N1192*IF(AND(Inputs!$B$4&lt;&gt;"pvp",Inputs!$B$35&gt;0),((Skills!G6*((R1192-1)*IF(Skills!H6&gt;0,Skills!I6/Skills!H6,1)+IF(Skills!H6&gt;0,MIN(Skills!I6,MAX(0,Inputs!$B$35-((R1192-1)*IF(Inputs!$B$4="pvp",15,MAX(0.1,Skills!D6-IF(Skills!E6=TRUE,Inputs!$B$31,0))))))/Skills!H6,1)))/Inputs!$B$35),G1192*Q1192)*IF(Inputs!$B$4="pvp",1,(1-Summary!$B$55)*(1)+Summary!$B$55*(MIN(Skills!W6,Inputs!$B$37))),0)</f>
        <v/>
      </c>
      <c r="P1192">
        <f>IF(B1231=0,0,O1192/B1231)</f>
        <v/>
      </c>
      <c r="Q1192">
        <f>IFERROR(1/IF(Inputs!$B$4="pvp",15,MAX(0.1,Skills!D6-IF(Skills!E6=TRUE,Inputs!$B$31,0))),0)</f>
        <v/>
      </c>
      <c r="R1192">
        <f>IF(AND(Inputs!$B$4&lt;&gt;"pvp",Inputs!$B$35&gt;0),(INT(Inputs!$B$35/IF(Inputs!$B$4="pvp",15,MAX(0.1,Skills!D6-IF(Skills!E6=TRUE,Inputs!$B$31,0))))+1),0)</f>
        <v/>
      </c>
      <c r="S1192">
        <f>IFERROR(O1192/N1192,0)</f>
        <v/>
      </c>
    </row>
    <row r="1193">
      <c r="A1193">
        <f>Skills!A7</f>
        <v/>
      </c>
      <c r="B1193">
        <f>Skills!B7</f>
        <v/>
      </c>
      <c r="C1193">
        <f>Inputs!$B$3&gt;=60</f>
        <v/>
      </c>
      <c r="D1193">
        <f>IF(Skills!C7=1,60+Inputs!$B$24+Inputs!$B$28,IF(Skills!C7=2,90+Inputs!$B$25+Inputs!$B$28,IF(Skills!C7=3,120+Inputs!$B$26+Inputs!$B$28,MAX(0,(Inputs!$B$3-100)*3)+Inputs!$B$27+Inputs!$B$28)))</f>
        <v/>
      </c>
      <c r="E1193">
        <f>INDEX(FactorTable!$B$2:$Y$301, MATCH(ROUND(MIN(300,MAX(1,D1193)),0), FactorTable!$A$2:$A$301,0), Skills!M7+1)</f>
        <v/>
      </c>
      <c r="F1193">
        <f>IF(Skills!N7=TRUE,(Skills!L7/10)*(E1193/1000),Skills!L7/10)+Skills!O7</f>
        <v/>
      </c>
      <c r="G1193">
        <f>Skills!G7*IF(Skills!H7&gt;0,Skills!I7/Skills!H7,1)</f>
        <v/>
      </c>
      <c r="H1193">
        <f>1-(1-Skills!J7/100)^Skills!K7</f>
        <v/>
      </c>
      <c r="I1193" t="inlineStr">
        <is>
          <t>1</t>
        </is>
      </c>
      <c r="J1193" t="inlineStr"/>
      <c r="K1193" t="inlineStr"/>
      <c r="L1193" t="inlineStr"/>
      <c r="M1193" t="inlineStr"/>
      <c r="N1193" t="inlineStr"/>
      <c r="O1193" t="n">
        <v>0</v>
      </c>
      <c r="P1193">
        <f>IF(B1231=0,0,O1193/B1231)</f>
        <v/>
      </c>
      <c r="Q1193" t="n">
        <v>0</v>
      </c>
      <c r="R1193" t="n">
        <v>0</v>
      </c>
      <c r="S1193">
        <f>IFERROR(O1193/N1193,0)</f>
        <v/>
      </c>
    </row>
    <row r="1194">
      <c r="A1194">
        <f>Skills!A8</f>
        <v/>
      </c>
      <c r="B1194">
        <f>Skills!B8</f>
        <v/>
      </c>
      <c r="C1194">
        <f>Inputs!$B$3&gt;=72</f>
        <v/>
      </c>
      <c r="D1194">
        <f>IF(Skills!C8=1,60+Inputs!$B$24+Inputs!$B$28,IF(Skills!C8=2,90+Inputs!$B$25+Inputs!$B$28,IF(Skills!C8=3,120+Inputs!$B$26+Inputs!$B$28,MAX(0,(Inputs!$B$3-100)*3)+Inputs!$B$27+Inputs!$B$28)))</f>
        <v/>
      </c>
      <c r="E1194">
        <f>INDEX(FactorTable!$B$2:$Y$301, MATCH(ROUND(MIN(300,MAX(1,D1194)),0), FactorTable!$A$2:$A$301,0), Skills!M8+1)</f>
        <v/>
      </c>
      <c r="F1194">
        <f>IF(Skills!N8=TRUE,(Skills!L8/10)*(E1194/1000),Skills!L8/10)+Skills!O8</f>
        <v/>
      </c>
      <c r="G1194">
        <f>Skills!G8*IF(Skills!H8&gt;0,Skills!I8/Skills!H8,1)</f>
        <v/>
      </c>
      <c r="H1194">
        <f>1-(1-Skills!J8/100)^Skills!K8</f>
        <v/>
      </c>
      <c r="I1194" t="inlineStr">
        <is>
          <t>1</t>
        </is>
      </c>
      <c r="J1194">
        <f>(Inputs!$B$5*(1+Inputs!$B$6/100))*(F1194/100)</f>
        <v/>
      </c>
      <c r="K1194">
        <f>J1194*(1+((Inputs!$B$11*(1+Inputs!$B$12/100))*0.01+Inputs!$B$13*0.0025)/100)*(1+Inputs!$B$14/100)*(1+IF(Inputs!$B$4="pvp",0,(1-Summary!$B$55)*(Inputs!$B$19+0+Skills!P8+B1220)+Summary!$B$55*(Inputs!$B$20+Skills!Q8+B1220))/100)*(1+Inputs!$B$15/100)*(5000/(6000+Inputs!$B$7*(1-Inputs!$B$18/100)))*(1+(Inputs!$B$23+((C1216=TRUE)*(F1216-Calc!F30)))/100)*(1+3.3333333333333335*IF(C1204=TRUE,F1204,0)/100)*(1+(IF(Skills!A8="CRUEL_STAB",Inputs!$B$16+((C1213=TRUE)*(F1213-Calc!F27)),Inputs!$B$17+((C1214=TRUE)*(F1214-Calc!F28))))/100)*(((1+(((C1207=TRUE)*F1207*IF(AND(Inputs!$B$4&lt;&gt;"pvp",Inputs!$B$35&gt;0),(((S1207-1)*(Skills!Y21*(1+Inputs!$B$33/100))+MIN((Skills!Y21*(1+Inputs!$B$33/100)),MAX(0,Inputs!$B$35-((S1207-1)*Skills!D21))))/Inputs!$B$35),IF(Inputs!$B$4="pvp",MIN((Skills!Y21*(1+Inputs!$B$33/100)),15)/15,(Skills!Y21*(1+Inputs!$B$33/100))/Skills!D21)))+((C1209=TRUE)*(F1209-Calc!F23))+((C1203=TRUE)*(F1203-Calc!F17)))/100)*(1+((C1196=TRUE)*F1196*IF(AND(Inputs!$B$4&lt;&gt;"pvp",Inputs!$B$35&gt;0),(((S1196-1)*(Skills!Y10*(1+Inputs!$B$33/100))+MIN((Skills!Y10*(1+Inputs!$B$33/100)),MAX(0,Inputs!$B$35-((S1196-1)*Skills!D10))))/Inputs!$B$35),IF(Inputs!$B$4="pvp",MIN((Skills!Y10*(1+Inputs!$B$33/100)),15)/15,(Skills!Y10*(1+Inputs!$B$33/100))/Skills!D10)))/100)*(1+((C1201=TRUE)*F1201*IF(AND(Inputs!$B$4&lt;&gt;"pvp",Inputs!$B$35&gt;0),(((S1201-1)*(Skills!Y15*(1+Inputs!$B$33/100))+MIN((Skills!Y15*(1+Inputs!$B$33/100)),MAX(0,Inputs!$B$35-((S1201-1)*Skills!D15))))/Inputs!$B$35),IF(Inputs!$B$4="pvp",MIN((Skills!Y15*(1+Inputs!$B$33/100)),15)/15,(Skills!Y15*(1+Inputs!$B$33/100))/Skills!D15)))/100))*B1221*I1194)</f>
        <v/>
      </c>
      <c r="L1194">
        <f>K1194*(MIN(Inputs!$B$21+((C1210=TRUE)*(F1210-Calc!F24)),Inputs!$B$22+((C1215=TRUE)*(F1215-Calc!F29)))/100+(Inputs!$B$22+((C1215=TRUE)*(F1215-Calc!F29)))/100)/2</f>
        <v/>
      </c>
      <c r="M1194">
        <f>L1194*(1+(Inputs!$B$9+((C1212=TRUE)*(F1212-Calc!F26))+B1226)/100)</f>
        <v/>
      </c>
      <c r="N1194">
        <f>L1194*(1-MIN((Inputs!$B$8+((C1211=TRUE)*(F1211-Calc!F25))+B1219),100)/100)+M1194*(MIN((Inputs!$B$8+((C1211=TRUE)*(F1211-Calc!F25))+B1219),100)/100)</f>
        <v/>
      </c>
      <c r="O1194">
        <f>IF(C1194,H1194*N1194*IF(AND(Inputs!$B$4&lt;&gt;"pvp",Inputs!$B$35&gt;0),((Skills!G8*((R1194-1)*IF(Skills!H8&gt;0,Skills!I8/Skills!H8,1)+IF(Skills!H8&gt;0,MIN(Skills!I8,MAX(0,Inputs!$B$35-((R1194-1)*IF(Inputs!$B$4="pvp",15,MAX(0.1,Skills!D8-IF(Skills!E8=TRUE,Inputs!$B$31,0))))))/Skills!H8,1)))/Inputs!$B$35),G1194*Q1194)*IF(Inputs!$B$4="pvp",1,(1-Summary!$B$55)*(1)+Summary!$B$55*(MIN(Skills!W8,Inputs!$B$37))),0)</f>
        <v/>
      </c>
      <c r="P1194">
        <f>IF(B1231=0,0,O1194/B1231)</f>
        <v/>
      </c>
      <c r="Q1194">
        <f>IFERROR(1/IF(Inputs!$B$4="pvp",15,MAX(0.1,Skills!D8-IF(Skills!E8=TRUE,Inputs!$B$31,0))),0)</f>
        <v/>
      </c>
      <c r="R1194">
        <f>IF(AND(Inputs!$B$4&lt;&gt;"pvp",Inputs!$B$35&gt;0),(INT(Inputs!$B$35/IF(Inputs!$B$4="pvp",15,MAX(0.1,Skills!D8-IF(Skills!E8=TRUE,Inputs!$B$31,0))))+1),0)</f>
        <v/>
      </c>
      <c r="S1194">
        <f>IFERROR(O1194/N1194,0)</f>
        <v/>
      </c>
    </row>
    <row r="1195">
      <c r="A1195">
        <f>Skills!A9</f>
        <v/>
      </c>
      <c r="B1195">
        <f>Skills!B9</f>
        <v/>
      </c>
      <c r="C1195">
        <f>Inputs!$B$3&gt;=117</f>
        <v/>
      </c>
      <c r="D1195">
        <f>IF(Skills!C9=1,60+Inputs!$B$24+Inputs!$B$28,IF(Skills!C9=2,90+Inputs!$B$25+Inputs!$B$28,IF(Skills!C9=3,120+Inputs!$B$26+Inputs!$B$28,MAX(0,(Inputs!$B$3-100)*3)+Inputs!$B$27+Inputs!$B$28)))</f>
        <v/>
      </c>
      <c r="E1195">
        <f>INDEX(FactorTable!$B$2:$Y$301, MATCH(ROUND(MIN(300,MAX(1,D1195)),0), FactorTable!$A$2:$A$301,0), Skills!M9+1)</f>
        <v/>
      </c>
      <c r="F1195">
        <f>IF(Skills!N9=TRUE,(Skills!L9/10)*(E1195/1000),Skills!L9/10)+Skills!O9</f>
        <v/>
      </c>
      <c r="G1195">
        <f>Skills!G9*IF(Skills!H9&gt;0,Skills!I9/Skills!H9,1)</f>
        <v/>
      </c>
      <c r="H1195">
        <f>1-(1-Skills!J9/100)^Skills!K9</f>
        <v/>
      </c>
      <c r="I1195" t="inlineStr">
        <is>
          <t>1</t>
        </is>
      </c>
      <c r="J1195">
        <f>(Inputs!$B$5*(1+Inputs!$B$6/100))*(F1195/100)</f>
        <v/>
      </c>
      <c r="K1195">
        <f>J1195*(1+((Inputs!$B$11*(1+Inputs!$B$12/100))*0.01+Inputs!$B$13*0.0025)/100)*(1+Inputs!$B$14/100)*(1+IF(Inputs!$B$4="pvp",0,(1-Summary!$B$55)*(Inputs!$B$19+0+Skills!P9+B1220)+Summary!$B$55*(Inputs!$B$20+Skills!Q9+B1220))/100)*(1+Inputs!$B$15/100)*(5000/(6000+Inputs!$B$7*(1-Inputs!$B$18/100)))*(1+(Inputs!$B$23+((C1216=TRUE)*(F1216-Calc!F30)))/100)*(1+(IF(Skills!A9="CRUEL_STAB",Inputs!$B$16+((C1213=TRUE)*(F1213-Calc!F27)),Inputs!$B$17+((C1214=TRUE)*(F1214-Calc!F28))))/100)*(((1+(((C1207=TRUE)*F1207*IF(AND(Inputs!$B$4&lt;&gt;"pvp",Inputs!$B$35&gt;0),(((S1207-1)*(Skills!Y21*(1+Inputs!$B$33/100))+MIN((Skills!Y21*(1+Inputs!$B$33/100)),MAX(0,Inputs!$B$35-((S1207-1)*Skills!D21))))/Inputs!$B$35),IF(Inputs!$B$4="pvp",MIN((Skills!Y21*(1+Inputs!$B$33/100)),15)/15,(Skills!Y21*(1+Inputs!$B$33/100))/Skills!D21)))+((C1209=TRUE)*(F1209-Calc!F23))+((C1203=TRUE)*(F1203-Calc!F17)))/100)*(1+((C1196=TRUE)*F1196*IF(AND(Inputs!$B$4&lt;&gt;"pvp",Inputs!$B$35&gt;0),(((S1196-1)*(Skills!Y10*(1+Inputs!$B$33/100))+MIN((Skills!Y10*(1+Inputs!$B$33/100)),MAX(0,Inputs!$B$35-((S1196-1)*Skills!D10))))/Inputs!$B$35),IF(Inputs!$B$4="pvp",MIN((Skills!Y10*(1+Inputs!$B$33/100)),15)/15,(Skills!Y10*(1+Inputs!$B$33/100))/Skills!D10)))/100)*(1+((C1201=TRUE)*F1201*IF(AND(Inputs!$B$4&lt;&gt;"pvp",Inputs!$B$35&gt;0),(((S1201-1)*(Skills!Y15*(1+Inputs!$B$33/100))+MIN((Skills!Y15*(1+Inputs!$B$33/100)),MAX(0,Inputs!$B$35-((S1201-1)*Skills!D15))))/Inputs!$B$35),IF(Inputs!$B$4="pvp",MIN((Skills!Y15*(1+Inputs!$B$33/100)),15)/15,(Skills!Y15*(1+Inputs!$B$33/100))/Skills!D15)))/100))*B1221*I1195)</f>
        <v/>
      </c>
      <c r="L1195">
        <f>K1195*(MIN(Inputs!$B$21+((C1210=TRUE)*(F1210-Calc!F24)),Inputs!$B$22+((C1215=TRUE)*(F1215-Calc!F29)))/100+(Inputs!$B$22+((C1215=TRUE)*(F1215-Calc!F29)))/100)/2</f>
        <v/>
      </c>
      <c r="M1195">
        <f>L1195*(1+(Inputs!$B$9+((C1212=TRUE)*(F1212-Calc!F26))+B1226)/100)</f>
        <v/>
      </c>
      <c r="N1195">
        <f>L1195*(1-MIN((Inputs!$B$8+((C1211=TRUE)*(F1211-Calc!F25))+B1219),100)/100)+M1195*(MIN((Inputs!$B$8+((C1211=TRUE)*(F1211-Calc!F25))+B1219),100)/100)</f>
        <v/>
      </c>
      <c r="O1195">
        <f>IF(C1195,0.2*SUMPRODUCT((Skills!Z2:Z30=TRUE)*(C1188:C1216=TRUE)*S1188:S1216)*N1195,0)</f>
        <v/>
      </c>
      <c r="P1195">
        <f>IF(B1231=0,0,O1195/B1231)</f>
        <v/>
      </c>
      <c r="Q1195" t="n">
        <v>0</v>
      </c>
      <c r="R1195" t="n">
        <v>0</v>
      </c>
      <c r="S1195" t="n">
        <v>0</v>
      </c>
    </row>
    <row r="1196">
      <c r="A1196">
        <f>Skills!A10</f>
        <v/>
      </c>
      <c r="B1196">
        <f>Skills!B10</f>
        <v/>
      </c>
      <c r="C1196">
        <f>Inputs!$B$3&gt;=74</f>
        <v/>
      </c>
      <c r="D1196">
        <f>IF(Skills!C10=1,60+Inputs!$B$24+Inputs!$B$28,IF(Skills!C10=2,90+Inputs!$B$25+Inputs!$B$28,IF(Skills!C10=3,120+Inputs!$B$26+Inputs!$B$28,MAX(0,(Inputs!$B$3-100)*3)+Inputs!$B$27+Inputs!$B$28)))</f>
        <v/>
      </c>
      <c r="E1196">
        <f>INDEX(FactorTable!$B$2:$Y$301, MATCH(ROUND(MIN(300,MAX(1,D1196)),0), FactorTable!$A$2:$A$301,0), Skills!M10+1)</f>
        <v/>
      </c>
      <c r="F1196">
        <f>IF(Skills!N10=TRUE,(Skills!L10/10)*(E1196/1000),Skills!L10/10)+Skills!O10</f>
        <v/>
      </c>
      <c r="G1196">
        <f>Skills!G10*IF(Skills!H10&gt;0,Skills!I10/Skills!H10,1)</f>
        <v/>
      </c>
      <c r="H1196">
        <f>1-(1-Skills!J10/100)^Skills!K10</f>
        <v/>
      </c>
      <c r="I1196" t="inlineStr">
        <is>
          <t>1</t>
        </is>
      </c>
      <c r="J1196" t="inlineStr"/>
      <c r="K1196" t="inlineStr"/>
      <c r="L1196" t="inlineStr"/>
      <c r="M1196" t="inlineStr"/>
      <c r="N1196" t="inlineStr"/>
      <c r="O1196" t="n">
        <v>0</v>
      </c>
      <c r="P1196">
        <f>IF(B1231=0,0,O1196/B1231)</f>
        <v/>
      </c>
      <c r="Q1196">
        <f>IFERROR(1/IF(Inputs!$B$4="pvp",15,MAX(0.1,Skills!D10-IF(Skills!E10=TRUE,Inputs!$B$31,0))),0)</f>
        <v/>
      </c>
      <c r="R1196">
        <f>IF(AND(Inputs!$B$4&lt;&gt;"pvp",Inputs!$B$35&gt;0),(INT(Inputs!$B$35/IF(Inputs!$B$4="pvp",15,MAX(0.1,Skills!D10-IF(Skills!E10=TRUE,Inputs!$B$31,0))))+1),0)</f>
        <v/>
      </c>
      <c r="S1196">
        <f>IFERROR(O1196/N1196,0)</f>
        <v/>
      </c>
    </row>
    <row r="1197">
      <c r="A1197">
        <f>Skills!A11</f>
        <v/>
      </c>
      <c r="B1197">
        <f>Skills!B11</f>
        <v/>
      </c>
      <c r="C1197">
        <f>Inputs!$B$3&gt;=103</f>
        <v/>
      </c>
      <c r="D1197">
        <f>IF(Skills!C11=1,60+Inputs!$B$24+Inputs!$B$28,IF(Skills!C11=2,90+Inputs!$B$25+Inputs!$B$28,IF(Skills!C11=3,120+Inputs!$B$26+Inputs!$B$28,MAX(0,(Inputs!$B$3-100)*3)+Inputs!$B$27+Inputs!$B$28)))</f>
        <v/>
      </c>
      <c r="E1197">
        <f>INDEX(FactorTable!$B$2:$Y$301, MATCH(ROUND(MIN(300,MAX(1,D1197)),0), FactorTable!$A$2:$A$301,0), Skills!M11+1)</f>
        <v/>
      </c>
      <c r="F1197">
        <f>(Skills!L11/10)*(E1197/1000)+IF(Inputs!$B$3&gt;=134,50,0)+0.5*(30000/10)*(INDEX(FactorTable!$B$2:$Y$301, MATCH(ROUND(MIN(300,MAX(1,D1197)),0), FactorTable!$A$2:$A$301,0), 13)/1000)*B1229</f>
        <v/>
      </c>
      <c r="G1197">
        <f>Skills!G11*IF(Skills!H11&gt;0,Skills!I11/Skills!H11,1)</f>
        <v/>
      </c>
      <c r="H1197">
        <f>1-(1-Skills!J11/100)^Skills!K11</f>
        <v/>
      </c>
      <c r="I1197" t="inlineStr">
        <is>
          <t>1</t>
        </is>
      </c>
      <c r="J1197">
        <f>(Inputs!$B$5*(1+Inputs!$B$6/100))*(F1197/100)</f>
        <v/>
      </c>
      <c r="K1197">
        <f>J1197*(1+((Inputs!$B$11*(1+Inputs!$B$12/100))*0.01+Inputs!$B$13*0.0025)/100)*(1+Inputs!$B$14/100)*(1+IF(Inputs!$B$4="pvp",0,(1-Summary!$B$55)*(Inputs!$B$19+0+Skills!P11+B1220)+Summary!$B$55*(Inputs!$B$20+Skills!Q11+B1220))/100)*(1+Inputs!$B$15/100)*(5000/(6000+Inputs!$B$7*(1-Inputs!$B$18/100)))*(1+(Inputs!$B$23+((C1216=TRUE)*(F1216-Calc!F30)))/100)*(1+(IF(Skills!A11="CRUEL_STAB",Inputs!$B$16+((C1213=TRUE)*(F1213-Calc!F27)),Inputs!$B$17+((C1214=TRUE)*(F1214-Calc!F28))))/100)*(((1+(((C1207=TRUE)*F1207*IF(AND(Inputs!$B$4&lt;&gt;"pvp",Inputs!$B$35&gt;0),(((S1207-1)*(Skills!Y21*(1+Inputs!$B$33/100))+MIN((Skills!Y21*(1+Inputs!$B$33/100)),MAX(0,Inputs!$B$35-((S1207-1)*Skills!D21))))/Inputs!$B$35),IF(Inputs!$B$4="pvp",MIN((Skills!Y21*(1+Inputs!$B$33/100)),15)/15,(Skills!Y21*(1+Inputs!$B$33/100))/Skills!D21)))+((C1209=TRUE)*(F1209-Calc!F23))+((C1203=TRUE)*(F1203-Calc!F17)))/100)*(1+((C1196=TRUE)*F1196*IF(AND(Inputs!$B$4&lt;&gt;"pvp",Inputs!$B$35&gt;0),(((S1196-1)*(Skills!Y10*(1+Inputs!$B$33/100))+MIN((Skills!Y10*(1+Inputs!$B$33/100)),MAX(0,Inputs!$B$35-((S1196-1)*Skills!D10))))/Inputs!$B$35),IF(Inputs!$B$4="pvp",MIN((Skills!Y10*(1+Inputs!$B$33/100)),15)/15,(Skills!Y10*(1+Inputs!$B$33/100))/Skills!D10)))/100)*(1+((C1201=TRUE)*F1201*IF(AND(Inputs!$B$4&lt;&gt;"pvp",Inputs!$B$35&gt;0),(((S1201-1)*(Skills!Y15*(1+Inputs!$B$33/100))+MIN((Skills!Y15*(1+Inputs!$B$33/100)),MAX(0,Inputs!$B$35-((S1201-1)*Skills!D15))))/Inputs!$B$35),IF(Inputs!$B$4="pvp",MIN((Skills!Y15*(1+Inputs!$B$33/100)),15)/15,(Skills!Y15*(1+Inputs!$B$33/100))/Skills!D15)))/100))*B1221*I1197)</f>
        <v/>
      </c>
      <c r="L1197">
        <f>K1197*(MIN(Inputs!$B$21+((C1210=TRUE)*(F1210-Calc!F24)),Inputs!$B$22+((C1215=TRUE)*(F1215-Calc!F29)))/100+(Inputs!$B$22+((C1215=TRUE)*(F1215-Calc!F29)))/100)/2</f>
        <v/>
      </c>
      <c r="M1197">
        <f>L1197*(1+(Inputs!$B$9+((C1212=TRUE)*(F1212-Calc!F26))+B1226)/100)</f>
        <v/>
      </c>
      <c r="N1197">
        <f>L1197*(1-MIN((Inputs!$B$8+((C1211=TRUE)*(F1211-Calc!F25))+B1219),100)/100)+M1197*(MIN((Inputs!$B$8+((C1211=TRUE)*(F1211-Calc!F25))+B1219),100)/100)</f>
        <v/>
      </c>
      <c r="O1197">
        <f>IF(C1197,H1197*N1197*IF(AND(Inputs!$B$4&lt;&gt;"pvp",Inputs!$B$35&gt;0),((Skills!G11*((R1197-1)*IF(Skills!H11&gt;0,Skills!I11/Skills!H11,1)+IF(Skills!H11&gt;0,MIN(Skills!I11,MAX(0,Inputs!$B$35-((R1197-1)*IF(Inputs!$B$4="pvp",15,MAX(0.1,Skills!D11-IF(Skills!E11=TRUE,Inputs!$B$31,0))))))/Skills!H11,1)))/Inputs!$B$35),G1197*Q1197)*IF(Inputs!$B$4="pvp",1,(1-Summary!$B$55)*(1)+Summary!$B$55*(MIN(Skills!W11,Inputs!$B$37))),0)</f>
        <v/>
      </c>
      <c r="P1197">
        <f>IF(B1231=0,0,O1197/B1231)</f>
        <v/>
      </c>
      <c r="Q1197">
        <f>IFERROR(1/IF(Inputs!$B$4="pvp",15,MAX(0.1,Skills!D11-IF(Skills!E11=TRUE,Inputs!$B$31,0))),0)</f>
        <v/>
      </c>
      <c r="R1197">
        <f>IF(AND(Inputs!$B$4&lt;&gt;"pvp",Inputs!$B$35&gt;0),(INT(Inputs!$B$35/IF(Inputs!$B$4="pvp",15,MAX(0.1,Skills!D11-IF(Skills!E11=TRUE,Inputs!$B$31,0))))+1),0)</f>
        <v/>
      </c>
      <c r="S1197">
        <f>IFERROR(O1197/N1197,0)</f>
        <v/>
      </c>
    </row>
    <row r="1198">
      <c r="A1198">
        <f>Skills!A12</f>
        <v/>
      </c>
      <c r="B1198">
        <f>Skills!B12</f>
        <v/>
      </c>
      <c r="C1198">
        <f>Inputs!$B$3&gt;=105</f>
        <v/>
      </c>
      <c r="D1198">
        <f>IF(Skills!C12=1,60+Inputs!$B$24+Inputs!$B$28,IF(Skills!C12=2,90+Inputs!$B$25+Inputs!$B$28,IF(Skills!C12=3,120+Inputs!$B$26+Inputs!$B$28,MAX(0,(Inputs!$B$3-100)*3)+Inputs!$B$27+Inputs!$B$28)))</f>
        <v/>
      </c>
      <c r="E1198">
        <f>INDEX(FactorTable!$B$2:$Y$301, MATCH(ROUND(MIN(300,MAX(1,D1198)),0), FactorTable!$A$2:$A$301,0), Skills!M12+1)</f>
        <v/>
      </c>
      <c r="F1198">
        <f>IF(Skills!N12=TRUE,(Skills!L12/10)*(E1198/1000),Skills!L12/10)+Skills!O12</f>
        <v/>
      </c>
      <c r="G1198">
        <f>Skills!G12*IF(Skills!H12&gt;0,Skills!I12/Skills!H12,1)</f>
        <v/>
      </c>
      <c r="H1198">
        <f>1-(1-Skills!J12/100)^Skills!K12</f>
        <v/>
      </c>
      <c r="I1198" t="inlineStr">
        <is>
          <t>1</t>
        </is>
      </c>
      <c r="J1198">
        <f>(Inputs!$B$5*(1+Inputs!$B$6/100))*(F1198/100)</f>
        <v/>
      </c>
      <c r="K1198">
        <f>J1198*(1+((Inputs!$B$11*(1+Inputs!$B$12/100))*0.01+Inputs!$B$13*0.0025)/100)*(1+Inputs!$B$14/100)*(1+IF(Inputs!$B$4="pvp",0,(1-Summary!$B$55)*(Inputs!$B$19+0+Skills!P12+B1220)+Summary!$B$55*(Inputs!$B$20+Skills!Q12+B1220))/100)*(1+Inputs!$B$15/100)*(5000/(6000+Inputs!$B$7*(1-Inputs!$B$18/100)))*(1+(Inputs!$B$23+((C1216=TRUE)*(F1216-Calc!F30)))/100)*(1+(IF(Skills!A12="CRUEL_STAB",Inputs!$B$16+((C1213=TRUE)*(F1213-Calc!F27)),Inputs!$B$17+((C1214=TRUE)*(F1214-Calc!F28))))/100)*(((1+(((C1207=TRUE)*F1207*IF(AND(Inputs!$B$4&lt;&gt;"pvp",Inputs!$B$35&gt;0),(((S1207-1)*(Skills!Y21*(1+Inputs!$B$33/100))+MIN((Skills!Y21*(1+Inputs!$B$33/100)),MAX(0,Inputs!$B$35-((S1207-1)*Skills!D21))))/Inputs!$B$35),IF(Inputs!$B$4="pvp",MIN((Skills!Y21*(1+Inputs!$B$33/100)),15)/15,(Skills!Y21*(1+Inputs!$B$33/100))/Skills!D21)))+((C1209=TRUE)*(F1209-Calc!F23))+((C1203=TRUE)*(F1203-Calc!F17)))/100)*(1+((C1196=TRUE)*F1196*IF(AND(Inputs!$B$4&lt;&gt;"pvp",Inputs!$B$35&gt;0),(((S1196-1)*(Skills!Y10*(1+Inputs!$B$33/100))+MIN((Skills!Y10*(1+Inputs!$B$33/100)),MAX(0,Inputs!$B$35-((S1196-1)*Skills!D10))))/Inputs!$B$35),IF(Inputs!$B$4="pvp",MIN((Skills!Y10*(1+Inputs!$B$33/100)),15)/15,(Skills!Y10*(1+Inputs!$B$33/100))/Skills!D10)))/100)*(1+((C1201=TRUE)*F1201*IF(AND(Inputs!$B$4&lt;&gt;"pvp",Inputs!$B$35&gt;0),(((S1201-1)*(Skills!Y15*(1+Inputs!$B$33/100))+MIN((Skills!Y15*(1+Inputs!$B$33/100)),MAX(0,Inputs!$B$35-((S1201-1)*Skills!D15))))/Inputs!$B$35),IF(Inputs!$B$4="pvp",MIN((Skills!Y15*(1+Inputs!$B$33/100)),15)/15,(Skills!Y15*(1+Inputs!$B$33/100))/Skills!D15)))/100))*B1221*I1198)</f>
        <v/>
      </c>
      <c r="L1198">
        <f>K1198*(MIN(Inputs!$B$21+((C1210=TRUE)*(F1210-Calc!F24)),Inputs!$B$22+((C1215=TRUE)*(F1215-Calc!F29)))/100+(Inputs!$B$22+((C1215=TRUE)*(F1215-Calc!F29)))/100)/2</f>
        <v/>
      </c>
      <c r="M1198">
        <f>L1198*(1+(Inputs!$B$9+((C1212=TRUE)*(F1212-Calc!F26))+B1226)/100)</f>
        <v/>
      </c>
      <c r="N1198">
        <f>L1198*(1-MIN((Inputs!$B$8+((C1211=TRUE)*(F1211-Calc!F25))+B1219),100)/100)+M1198*(MIN((Inputs!$B$8+((C1211=TRUE)*(F1211-Calc!F25))+B1219),100)/100)</f>
        <v/>
      </c>
      <c r="O1198">
        <f>IF(C1198,H1198*N1198*IF(AND(Inputs!$B$4&lt;&gt;"pvp",Inputs!$B$35&gt;0),((Skills!G12*((R1198-1)*IF(Skills!H12&gt;0,Skills!I12/Skills!H12,1)+IF(Skills!H12&gt;0,MIN(Skills!I12,MAX(0,Inputs!$B$35-((R1198-1)*IF(Inputs!$B$4="pvp",15,MAX(0.1,Skills!D12-IF(Skills!E12=TRUE,Inputs!$B$31,0))))))/Skills!H12,1)))/Inputs!$B$35),G1198*Q1198)*IF(Inputs!$B$4="pvp",1,(1-Summary!$B$55)*(1)+Summary!$B$55*(MIN(Skills!W12,Inputs!$B$37))),0)</f>
        <v/>
      </c>
      <c r="P1198">
        <f>IF(B1231=0,0,O1198/B1231)</f>
        <v/>
      </c>
      <c r="Q1198">
        <f>IFERROR(1/IF(Inputs!$B$4="pvp",15,MAX(0.1,Skills!D12-IF(Skills!E12=TRUE,Inputs!$B$31,0))),0)</f>
        <v/>
      </c>
      <c r="R1198">
        <f>IF(AND(Inputs!$B$4&lt;&gt;"pvp",Inputs!$B$35&gt;0),(INT(Inputs!$B$35/IF(Inputs!$B$4="pvp",15,MAX(0.1,Skills!D12-IF(Skills!E12=TRUE,Inputs!$B$31,0))))+1),0)</f>
        <v/>
      </c>
      <c r="S1198">
        <f>IFERROR(O1198/N1198,0)</f>
        <v/>
      </c>
    </row>
    <row r="1199">
      <c r="A1199">
        <f>Skills!A13</f>
        <v/>
      </c>
      <c r="B1199">
        <f>Skills!B13</f>
        <v/>
      </c>
      <c r="C1199">
        <f>Inputs!$B$3&gt;=105</f>
        <v/>
      </c>
      <c r="D1199">
        <f>IF(Skills!C13=1,60+Inputs!$B$24+Inputs!$B$28,IF(Skills!C13=2,90+Inputs!$B$25+Inputs!$B$28,IF(Skills!C13=3,120+Inputs!$B$26+Inputs!$B$28,MAX(0,(Inputs!$B$3-100)*3)+Inputs!$B$27+Inputs!$B$28)))</f>
        <v/>
      </c>
      <c r="E1199">
        <f>INDEX(FactorTable!$B$2:$Y$301, MATCH(ROUND(MIN(300,MAX(1,D1199)),0), FactorTable!$A$2:$A$301,0), Skills!M13+1)</f>
        <v/>
      </c>
      <c r="F1199">
        <f>IF(Skills!N13=TRUE,(Skills!L13/10)*(E1199/1000),Skills!L13/10)+Skills!O13</f>
        <v/>
      </c>
      <c r="G1199">
        <f>Skills!G13*IF(Skills!H13&gt;0,Skills!I13/Skills!H13,1)</f>
        <v/>
      </c>
      <c r="H1199">
        <f>1-(1-Skills!J13/100)^Skills!K13</f>
        <v/>
      </c>
      <c r="I1199" t="inlineStr">
        <is>
          <t>1</t>
        </is>
      </c>
      <c r="J1199">
        <f>(Inputs!$B$5*(1+Inputs!$B$6/100))*(F1199/100)</f>
        <v/>
      </c>
      <c r="K1199">
        <f>J1199*(1+((Inputs!$B$11*(1+Inputs!$B$12/100))*0.01+Inputs!$B$13*0.0025)/100)*(1+Inputs!$B$14/100)*(1+IF(Inputs!$B$4="pvp",0,(1-Summary!$B$55)*(Inputs!$B$19+0+Skills!P13+B1220)+Summary!$B$55*(Inputs!$B$20+Skills!Q13+B1220))/100)*(1+Inputs!$B$15/100)*(5000/(6000+Inputs!$B$7*(1-Inputs!$B$18/100)))*(1+(Inputs!$B$23+((C1216=TRUE)*(F1216-Calc!F30)))/100)*(1+(IF(Skills!A13="CRUEL_STAB",Inputs!$B$16+((C1213=TRUE)*(F1213-Calc!F27)),Inputs!$B$17+((C1214=TRUE)*(F1214-Calc!F28))))/100)*(((1+(((C1207=TRUE)*F1207*IF(AND(Inputs!$B$4&lt;&gt;"pvp",Inputs!$B$35&gt;0),(((S1207-1)*(Skills!Y21*(1+Inputs!$B$33/100))+MIN((Skills!Y21*(1+Inputs!$B$33/100)),MAX(0,Inputs!$B$35-((S1207-1)*Skills!D21))))/Inputs!$B$35),IF(Inputs!$B$4="pvp",MIN((Skills!Y21*(1+Inputs!$B$33/100)),15)/15,(Skills!Y21*(1+Inputs!$B$33/100))/Skills!D21)))+((C1209=TRUE)*(F1209-Calc!F23))+((C1203=TRUE)*(F1203-Calc!F17)))/100)*(1+((C1196=TRUE)*F1196*IF(AND(Inputs!$B$4&lt;&gt;"pvp",Inputs!$B$35&gt;0),(((S1196-1)*(Skills!Y10*(1+Inputs!$B$33/100))+MIN((Skills!Y10*(1+Inputs!$B$33/100)),MAX(0,Inputs!$B$35-((S1196-1)*Skills!D10))))/Inputs!$B$35),IF(Inputs!$B$4="pvp",MIN((Skills!Y10*(1+Inputs!$B$33/100)),15)/15,(Skills!Y10*(1+Inputs!$B$33/100))/Skills!D10)))/100)*(1+((C1201=TRUE)*F1201*IF(AND(Inputs!$B$4&lt;&gt;"pvp",Inputs!$B$35&gt;0),(((S1201-1)*(Skills!Y15*(1+Inputs!$B$33/100))+MIN((Skills!Y15*(1+Inputs!$B$33/100)),MAX(0,Inputs!$B$35-((S1201-1)*Skills!D15))))/Inputs!$B$35),IF(Inputs!$B$4="pvp",MIN((Skills!Y15*(1+Inputs!$B$33/100)),15)/15,(Skills!Y15*(1+Inputs!$B$33/100))/Skills!D15)))/100))*B1221*I1199)</f>
        <v/>
      </c>
      <c r="L1199">
        <f>K1199*(MIN(Inputs!$B$21+((C1210=TRUE)*(F1210-Calc!F24)),Inputs!$B$22+((C1215=TRUE)*(F1215-Calc!F29)))/100+(Inputs!$B$22+((C1215=TRUE)*(F1215-Calc!F29)))/100)/2</f>
        <v/>
      </c>
      <c r="M1199">
        <f>L1199*(1+(Inputs!$B$9+((C1212=TRUE)*(F1212-Calc!F26))+B1226)/100)</f>
        <v/>
      </c>
      <c r="N1199">
        <f>L1199*(1-MIN((Inputs!$B$8+((C1211=TRUE)*(F1211-Calc!F25))+B1219),100)/100)+M1199*(MIN((Inputs!$B$8+((C1211=TRUE)*(F1211-Calc!F25))+B1219),100)/100)</f>
        <v/>
      </c>
      <c r="O1199">
        <f>IF(C1199,H1199*N1199*IF(AND(Inputs!$B$4&lt;&gt;"pvp",Inputs!$B$35&gt;0),((Skills!G13*((R1199-1)*IF(Skills!H13&gt;0,Skills!I13/Skills!H13,1)+IF(Skills!H13&gt;0,MIN(Skills!I13,MAX(0,Inputs!$B$35-((R1199-1)*IF(Inputs!$B$4="pvp",15,MAX(0.1,Skills!D13-IF(Skills!E13=TRUE,Inputs!$B$31,0))))))/Skills!H13,1)))/Inputs!$B$35),G1199*Q1199)*IF(Inputs!$B$4="pvp",1,(1-Summary!$B$55)*(1)+Summary!$B$55*(MIN(Skills!W13,Inputs!$B$37))),0)</f>
        <v/>
      </c>
      <c r="P1199">
        <f>IF(B1231=0,0,O1199/B1231)</f>
        <v/>
      </c>
      <c r="Q1199">
        <f>IFERROR(1/IF(Inputs!$B$4="pvp",15,MAX(0.1,Skills!D13-IF(Skills!E13=TRUE,Inputs!$B$31,0))),0)</f>
        <v/>
      </c>
      <c r="R1199">
        <f>IF(AND(Inputs!$B$4&lt;&gt;"pvp",Inputs!$B$35&gt;0),(INT(Inputs!$B$35/IF(Inputs!$B$4="pvp",15,MAX(0.1,Skills!D13-IF(Skills!E13=TRUE,Inputs!$B$31,0))))+1),0)</f>
        <v/>
      </c>
      <c r="S1199">
        <f>IFERROR(O1199/N1199,0)</f>
        <v/>
      </c>
    </row>
    <row r="1200">
      <c r="A1200">
        <f>Skills!A14</f>
        <v/>
      </c>
      <c r="B1200">
        <f>Skills!B14</f>
        <v/>
      </c>
      <c r="C1200">
        <f>Inputs!$B$3&gt;=107</f>
        <v/>
      </c>
      <c r="D1200">
        <f>IF(Skills!C14=1,60+Inputs!$B$24+Inputs!$B$28,IF(Skills!C14=2,90+Inputs!$B$25+Inputs!$B$28,IF(Skills!C14=3,120+Inputs!$B$26+Inputs!$B$28,MAX(0,(Inputs!$B$3-100)*3)+Inputs!$B$27+Inputs!$B$28)))</f>
        <v/>
      </c>
      <c r="E1200">
        <f>INDEX(FactorTable!$B$2:$Y$301, MATCH(ROUND(MIN(300,MAX(1,D1200)),0), FactorTable!$A$2:$A$301,0), Skills!M14+1)</f>
        <v/>
      </c>
      <c r="F1200">
        <f>IF(Skills!N14=TRUE,(Skills!L14/10)*(E1200/1000),Skills!L14/10)+Skills!O14</f>
        <v/>
      </c>
      <c r="G1200">
        <f>Skills!G14*IF(Skills!H14&gt;0,Skills!I14/Skills!H14,1)</f>
        <v/>
      </c>
      <c r="H1200">
        <f>1-(1-Skills!J14/100)^Skills!K14</f>
        <v/>
      </c>
      <c r="I1200" t="inlineStr">
        <is>
          <t>1</t>
        </is>
      </c>
      <c r="J1200">
        <f>(Inputs!$B$5*(1+Inputs!$B$6/100))*(F1200/100)</f>
        <v/>
      </c>
      <c r="K1200">
        <f>J1200*(1+((Inputs!$B$11*(1+Inputs!$B$12/100))*0.01+Inputs!$B$13*0.0025)/100)*(1+Inputs!$B$14/100)*(1+IF(Inputs!$B$4="pvp",0,(1-Summary!$B$55)*(Inputs!$B$19+0+Skills!P14+B1220)+Summary!$B$55*(Inputs!$B$20+Skills!Q14+B1220))/100)*(1+Inputs!$B$15/100)*(5000/(6000+Inputs!$B$7*(1-Inputs!$B$18/100)))*(1+(Inputs!$B$23+((C1216=TRUE)*(F1216-Calc!F30)))/100)*(1+(IF(Skills!A14="CRUEL_STAB",Inputs!$B$16+((C1213=TRUE)*(F1213-Calc!F27)),Inputs!$B$17+((C1214=TRUE)*(F1214-Calc!F28))))/100)*(((1+(((C1207=TRUE)*F1207*IF(AND(Inputs!$B$4&lt;&gt;"pvp",Inputs!$B$35&gt;0),(((S1207-1)*(Skills!Y21*(1+Inputs!$B$33/100))+MIN((Skills!Y21*(1+Inputs!$B$33/100)),MAX(0,Inputs!$B$35-((S1207-1)*Skills!D21))))/Inputs!$B$35),IF(Inputs!$B$4="pvp",MIN((Skills!Y21*(1+Inputs!$B$33/100)),15)/15,(Skills!Y21*(1+Inputs!$B$33/100))/Skills!D21)))+((C1209=TRUE)*(F1209-Calc!F23))+((C1203=TRUE)*(F1203-Calc!F17)))/100)*(1+((C1196=TRUE)*F1196*IF(AND(Inputs!$B$4&lt;&gt;"pvp",Inputs!$B$35&gt;0),(((S1196-1)*(Skills!Y10*(1+Inputs!$B$33/100))+MIN((Skills!Y10*(1+Inputs!$B$33/100)),MAX(0,Inputs!$B$35-((S1196-1)*Skills!D10))))/Inputs!$B$35),IF(Inputs!$B$4="pvp",MIN((Skills!Y10*(1+Inputs!$B$33/100)),15)/15,(Skills!Y10*(1+Inputs!$B$33/100))/Skills!D10)))/100)*(1+((C1201=TRUE)*F1201*IF(AND(Inputs!$B$4&lt;&gt;"pvp",Inputs!$B$35&gt;0),(((S1201-1)*(Skills!Y15*(1+Inputs!$B$33/100))+MIN((Skills!Y15*(1+Inputs!$B$33/100)),MAX(0,Inputs!$B$35-((S1201-1)*Skills!D15))))/Inputs!$B$35),IF(Inputs!$B$4="pvp",MIN((Skills!Y15*(1+Inputs!$B$33/100)),15)/15,(Skills!Y15*(1+Inputs!$B$33/100))/Skills!D15)))/100))*B1221*I1200)</f>
        <v/>
      </c>
      <c r="L1200">
        <f>K1200*(MIN(Inputs!$B$21+((C1210=TRUE)*(F1210-Calc!F24)),Inputs!$B$22+((C1215=TRUE)*(F1215-Calc!F29)))/100+(Inputs!$B$22+((C1215=TRUE)*(F1215-Calc!F29)))/100)/2</f>
        <v/>
      </c>
      <c r="M1200">
        <f>L1200*(1+(Inputs!$B$9+((C1212=TRUE)*(F1212-Calc!F26))+B1226)/100)</f>
        <v/>
      </c>
      <c r="N1200">
        <f>L1200*(1-MIN((Inputs!$B$8+((C1211=TRUE)*(F1211-Calc!F25))+B1219),100)/100)+M1200*(MIN((Inputs!$B$8+((C1211=TRUE)*(F1211-Calc!F25))+B1219),100)/100)</f>
        <v/>
      </c>
      <c r="O1200">
        <f>IF(C1200,H1200*N1200*IF(AND(Inputs!$B$4&lt;&gt;"pvp",Inputs!$B$35&gt;0),((Skills!G14*((R1200-1)*IF(Skills!H14&gt;0,Skills!I14/Skills!H14,1)+IF(Skills!H14&gt;0,MIN(Skills!I14,MAX(0,Inputs!$B$35-((R1200-1)*IF(Inputs!$B$4="pvp",15,MAX(0.1,Skills!D14-IF(Skills!E14=TRUE,Inputs!$B$31,0))))))/Skills!H14,1)))/Inputs!$B$35),G1200*Q1200)*IF(Inputs!$B$4="pvp",1,(1-Summary!$B$55)*(1)+Summary!$B$55*(MIN(MIN(5,0.25*B1223*Skills!D4)*Skills!V14,Inputs!$B$37))),0)</f>
        <v/>
      </c>
      <c r="P1200">
        <f>IF(B1231=0,0,O1200/B1231)</f>
        <v/>
      </c>
      <c r="Q1200">
        <f>IFERROR(1/IF(Inputs!$B$4="pvp",15,MAX(0.1,Skills!D14-IF(Skills!E14=TRUE,Inputs!$B$31,0))),0)</f>
        <v/>
      </c>
      <c r="R1200">
        <f>IF(AND(Inputs!$B$4&lt;&gt;"pvp",Inputs!$B$35&gt;0),(INT(Inputs!$B$35/IF(Inputs!$B$4="pvp",15,MAX(0.1,Skills!D14-IF(Skills!E14=TRUE,Inputs!$B$31,0))))+1),0)</f>
        <v/>
      </c>
      <c r="S1200">
        <f>IFERROR(O1200/N1200,0)</f>
        <v/>
      </c>
    </row>
    <row r="1201">
      <c r="A1201">
        <f>Skills!A15</f>
        <v/>
      </c>
      <c r="B1201">
        <f>Skills!B15</f>
        <v/>
      </c>
      <c r="C1201">
        <f>Inputs!$B$3&gt;=110</f>
        <v/>
      </c>
      <c r="D1201">
        <f>IF(Skills!C15=1,60+Inputs!$B$24+Inputs!$B$28,IF(Skills!C15=2,90+Inputs!$B$25+Inputs!$B$28,IF(Skills!C15=3,120+Inputs!$B$26+Inputs!$B$28,MAX(0,(Inputs!$B$3-100)*3)+Inputs!$B$27+Inputs!$B$28)))</f>
        <v/>
      </c>
      <c r="E1201">
        <f>INDEX(FactorTable!$B$2:$Y$301, MATCH(ROUND(MIN(300,MAX(1,D1201)),0), FactorTable!$A$2:$A$301,0), Skills!M15+1)</f>
        <v/>
      </c>
      <c r="F1201">
        <f>IF(Skills!N15=TRUE,(Skills!L15/10)*(E1201/1000),Skills!L15/10)+Skills!O15</f>
        <v/>
      </c>
      <c r="G1201">
        <f>Skills!G15*IF(Skills!H15&gt;0,Skills!I15/Skills!H15,1)</f>
        <v/>
      </c>
      <c r="H1201">
        <f>1-(1-Skills!J15/100)^Skills!K15</f>
        <v/>
      </c>
      <c r="I1201" t="inlineStr">
        <is>
          <t>1</t>
        </is>
      </c>
      <c r="J1201" t="inlineStr"/>
      <c r="K1201" t="inlineStr"/>
      <c r="L1201" t="inlineStr"/>
      <c r="M1201" t="inlineStr"/>
      <c r="N1201" t="inlineStr"/>
      <c r="O1201" t="n">
        <v>0</v>
      </c>
      <c r="P1201">
        <f>IF(B1231=0,0,O1201/B1231)</f>
        <v/>
      </c>
      <c r="Q1201">
        <f>IFERROR(1/IF(Inputs!$B$4="pvp",15,MAX(0.1,Skills!D15-IF(Skills!E15=TRUE,Inputs!$B$31,0))),0)</f>
        <v/>
      </c>
      <c r="R1201">
        <f>IF(AND(Inputs!$B$4&lt;&gt;"pvp",Inputs!$B$35&gt;0),(INT(Inputs!$B$35/IF(Inputs!$B$4="pvp",15,MAX(0.1,Skills!D15-IF(Skills!E15=TRUE,Inputs!$B$31,0))))+1),0)</f>
        <v/>
      </c>
      <c r="S1201">
        <f>IFERROR(O1201/N1201,0)</f>
        <v/>
      </c>
    </row>
    <row r="1202">
      <c r="A1202">
        <f>Skills!A16</f>
        <v/>
      </c>
      <c r="B1202">
        <f>Skills!B16</f>
        <v/>
      </c>
      <c r="C1202">
        <f>Inputs!$B$3&gt;=115</f>
        <v/>
      </c>
      <c r="D1202">
        <f>IF(Skills!C16=1,60+Inputs!$B$24+Inputs!$B$28,IF(Skills!C16=2,90+Inputs!$B$25+Inputs!$B$28,IF(Skills!C16=3,120+Inputs!$B$26+Inputs!$B$28,MAX(0,(Inputs!$B$3-100)*3)+Inputs!$B$27+Inputs!$B$28)))</f>
        <v/>
      </c>
      <c r="E1202">
        <f>INDEX(FactorTable!$B$2:$Y$301, MATCH(ROUND(MIN(300,MAX(1,D1202)),0), FactorTable!$A$2:$A$301,0), Skills!M16+1)</f>
        <v/>
      </c>
      <c r="F1202">
        <f>IF(Skills!N16=TRUE,(Skills!L16/10)*(E1202/1000),Skills!L16/10)+Skills!O16</f>
        <v/>
      </c>
      <c r="G1202">
        <f>Skills!G16*IF(Skills!H16&gt;0,Skills!I16/Skills!H16,1)</f>
        <v/>
      </c>
      <c r="H1202">
        <f>1-(1-Skills!J16/100)^Skills!K16</f>
        <v/>
      </c>
      <c r="I1202" t="inlineStr">
        <is>
          <t>1</t>
        </is>
      </c>
      <c r="J1202">
        <f>(Inputs!$B$5*(1+Inputs!$B$6/100))*(F1202/100)</f>
        <v/>
      </c>
      <c r="K1202">
        <f>J1202*(1+((Inputs!$B$11*(1+Inputs!$B$12/100))*0.01+Inputs!$B$13*0.0025)/100)*(1+Inputs!$B$14/100)*(1+IF(Inputs!$B$4="pvp",0,(1-Summary!$B$55)*(Inputs!$B$19+0+Skills!P16+B1220)+Summary!$B$55*(Inputs!$B$20+Skills!Q16+B1220))/100)*(1+Inputs!$B$15/100)*(5000/(6000+Inputs!$B$7*(1-Inputs!$B$18/100)))*(1+(Inputs!$B$23+((C1216=TRUE)*(F1216-Calc!F30)))/100)*(1+(IF(Skills!A16="CRUEL_STAB",Inputs!$B$16+((C1213=TRUE)*(F1213-Calc!F27)),Inputs!$B$17+((C1214=TRUE)*(F1214-Calc!F28))))/100)*(((1+(((C1207=TRUE)*F1207*IF(AND(Inputs!$B$4&lt;&gt;"pvp",Inputs!$B$35&gt;0),(((S1207-1)*(Skills!Y21*(1+Inputs!$B$33/100))+MIN((Skills!Y21*(1+Inputs!$B$33/100)),MAX(0,Inputs!$B$35-((S1207-1)*Skills!D21))))/Inputs!$B$35),IF(Inputs!$B$4="pvp",MIN((Skills!Y21*(1+Inputs!$B$33/100)),15)/15,(Skills!Y21*(1+Inputs!$B$33/100))/Skills!D21)))+((C1209=TRUE)*(F1209-Calc!F23))+((C1203=TRUE)*(F1203-Calc!F17)))/100)*(1+((C1196=TRUE)*F1196*IF(AND(Inputs!$B$4&lt;&gt;"pvp",Inputs!$B$35&gt;0),(((S1196-1)*(Skills!Y10*(1+Inputs!$B$33/100))+MIN((Skills!Y10*(1+Inputs!$B$33/100)),MAX(0,Inputs!$B$35-((S1196-1)*Skills!D10))))/Inputs!$B$35),IF(Inputs!$B$4="pvp",MIN((Skills!Y10*(1+Inputs!$B$33/100)),15)/15,(Skills!Y10*(1+Inputs!$B$33/100))/Skills!D10)))/100)*(1+((C1201=TRUE)*F1201*IF(AND(Inputs!$B$4&lt;&gt;"pvp",Inputs!$B$35&gt;0),(((S1201-1)*(Skills!Y15*(1+Inputs!$B$33/100))+MIN((Skills!Y15*(1+Inputs!$B$33/100)),MAX(0,Inputs!$B$35-((S1201-1)*Skills!D15))))/Inputs!$B$35),IF(Inputs!$B$4="pvp",MIN((Skills!Y15*(1+Inputs!$B$33/100)),15)/15,(Skills!Y15*(1+Inputs!$B$33/100))/Skills!D15)))/100))*B1221*I1202)</f>
        <v/>
      </c>
      <c r="L1202">
        <f>K1202*(MIN(Inputs!$B$21+((C1210=TRUE)*(F1210-Calc!F24)),Inputs!$B$22+((C1215=TRUE)*(F1215-Calc!F29)))/100+(Inputs!$B$22+((C1215=TRUE)*(F1215-Calc!F29)))/100)/2</f>
        <v/>
      </c>
      <c r="M1202">
        <f>L1202*(1+(Inputs!$B$9+((C1212=TRUE)*(F1212-Calc!F26))+B1226)/100)</f>
        <v/>
      </c>
      <c r="N1202">
        <f>L1202*(1-MIN((Inputs!$B$8+((C1211=TRUE)*(F1211-Calc!F25))+B1219),100)/100)+M1202*(MIN((Inputs!$B$8+((C1211=TRUE)*(F1211-Calc!F25))+B1219),100)/100)</f>
        <v/>
      </c>
      <c r="O1202">
        <f>IF(C1202,Inputs!$B$38*0.2*N1202,0)</f>
        <v/>
      </c>
      <c r="P1202">
        <f>IF(B1231=0,0,O1202/B1231)</f>
        <v/>
      </c>
      <c r="Q1202" t="n">
        <v>0</v>
      </c>
      <c r="R1202" t="n">
        <v>0</v>
      </c>
      <c r="S1202">
        <f>IFERROR(O1202/N1202,0)</f>
        <v/>
      </c>
    </row>
    <row r="1203">
      <c r="A1203">
        <f>Skills!A17</f>
        <v/>
      </c>
      <c r="B1203">
        <f>Skills!B17</f>
        <v/>
      </c>
      <c r="C1203">
        <f>Inputs!$B$3&gt;=115</f>
        <v/>
      </c>
      <c r="D1203">
        <f>IF(Skills!C17=1,60+Inputs!$B$24+Inputs!$B$28,IF(Skills!C17=2,90+Inputs!$B$25+Inputs!$B$28,IF(Skills!C17=3,120+Inputs!$B$26+Inputs!$B$28,MAX(0,(Inputs!$B$3-100)*3)+Inputs!$B$27+Inputs!$B$28)))</f>
        <v/>
      </c>
      <c r="E1203">
        <f>INDEX(FactorTable!$B$2:$Y$301, MATCH(ROUND(MIN(300,MAX(1,D1203)),0), FactorTable!$A$2:$A$301,0), Skills!M17+1)</f>
        <v/>
      </c>
      <c r="F1203">
        <f>IF(Skills!N17=TRUE,(Skills!L17/10)*(E1203/1000),Skills!L17/10)+Skills!O17</f>
        <v/>
      </c>
      <c r="G1203">
        <f>Skills!G17*IF(Skills!H17&gt;0,Skills!I17/Skills!H17,1)</f>
        <v/>
      </c>
      <c r="H1203">
        <f>1-(1-Skills!J17/100)^Skills!K17</f>
        <v/>
      </c>
      <c r="I1203" t="inlineStr">
        <is>
          <t>1</t>
        </is>
      </c>
      <c r="J1203" t="inlineStr"/>
      <c r="K1203" t="inlineStr"/>
      <c r="L1203" t="inlineStr"/>
      <c r="M1203" t="inlineStr"/>
      <c r="N1203" t="inlineStr"/>
      <c r="O1203" t="n">
        <v>0</v>
      </c>
      <c r="P1203">
        <f>IF(B1231=0,0,O1203/B1231)</f>
        <v/>
      </c>
      <c r="Q1203" t="n">
        <v>0</v>
      </c>
      <c r="R1203" t="n">
        <v>0</v>
      </c>
      <c r="S1203">
        <f>IFERROR(O1203/N1203,0)</f>
        <v/>
      </c>
    </row>
    <row r="1204">
      <c r="A1204">
        <f>Skills!A18</f>
        <v/>
      </c>
      <c r="B1204">
        <f>Skills!B18</f>
        <v/>
      </c>
      <c r="C1204">
        <f>Inputs!$B$3&gt;=100</f>
        <v/>
      </c>
      <c r="D1204">
        <f>IF(Skills!C18=1,60+Inputs!$B$24+Inputs!$B$28,IF(Skills!C18=2,90+Inputs!$B$25+Inputs!$B$28,IF(Skills!C18=3,120+Inputs!$B$26+Inputs!$B$28,MAX(0,(Inputs!$B$3-100)*3)+Inputs!$B$27+Inputs!$B$28)))</f>
        <v/>
      </c>
      <c r="E1204">
        <f>INDEX(FactorTable!$B$2:$Y$301, MATCH(ROUND(MIN(300,MAX(1,D1204)),0), FactorTable!$A$2:$A$301,0), Skills!M18+1)</f>
        <v/>
      </c>
      <c r="F1204">
        <f>IF(Skills!N18=TRUE,(Skills!L18/10)*(E1204/1000),Skills!L18/10)+Skills!O18</f>
        <v/>
      </c>
      <c r="G1204">
        <f>Skills!G18*IF(Skills!H18&gt;0,Skills!I18/Skills!H18,1)</f>
        <v/>
      </c>
      <c r="H1204">
        <f>1-(1-Skills!J18/100)^Skills!K18</f>
        <v/>
      </c>
      <c r="I1204" t="inlineStr">
        <is>
          <t>1</t>
        </is>
      </c>
      <c r="J1204" t="inlineStr"/>
      <c r="K1204" t="inlineStr"/>
      <c r="L1204" t="inlineStr"/>
      <c r="M1204" t="inlineStr"/>
      <c r="N1204" t="inlineStr"/>
      <c r="O1204" t="n">
        <v>0</v>
      </c>
      <c r="P1204">
        <f>IF(B1231=0,0,O1204/B1231)</f>
        <v/>
      </c>
      <c r="Q1204" t="n">
        <v>0</v>
      </c>
      <c r="R1204" t="n">
        <v>0</v>
      </c>
      <c r="S1204">
        <f>IFERROR(O1204/N1204,0)</f>
        <v/>
      </c>
    </row>
    <row r="1205">
      <c r="A1205">
        <f>Skills!A19</f>
        <v/>
      </c>
      <c r="B1205">
        <f>Skills!B19</f>
        <v/>
      </c>
      <c r="C1205">
        <f>TRUE</f>
        <v/>
      </c>
      <c r="D1205">
        <f>IF(Skills!C19=1,60+Inputs!$B$24+Inputs!$B$28,IF(Skills!C19=2,90+Inputs!$B$25+Inputs!$B$28,IF(Skills!C19=3,120+Inputs!$B$26+Inputs!$B$28,MAX(0,(Inputs!$B$3-100)*3)+Inputs!$B$27+Inputs!$B$28)))</f>
        <v/>
      </c>
      <c r="E1205">
        <f>INDEX(FactorTable!$B$2:$Y$301, MATCH(ROUND(MIN(300,MAX(1,D1205)),0), FactorTable!$A$2:$A$301,0), Skills!M19+1)</f>
        <v/>
      </c>
      <c r="F1205">
        <f>IF(Skills!N19=TRUE,(Skills!L19/10)*(E1205/1000),Skills!L19/10)+Skills!O19</f>
        <v/>
      </c>
      <c r="G1205">
        <f>Skills!G19*IF(Skills!H19&gt;0,Skills!I19/Skills!H19,1)</f>
        <v/>
      </c>
      <c r="H1205">
        <f>1-(1-Skills!J19/100)^Skills!K19</f>
        <v/>
      </c>
      <c r="I1205" t="inlineStr">
        <is>
          <t>1</t>
        </is>
      </c>
      <c r="J1205" t="inlineStr"/>
      <c r="K1205" t="inlineStr"/>
      <c r="L1205" t="inlineStr"/>
      <c r="M1205" t="inlineStr"/>
      <c r="N1205" t="inlineStr"/>
      <c r="O1205" t="n">
        <v>0</v>
      </c>
      <c r="P1205">
        <f>IF(B1231=0,0,O1205/B1231)</f>
        <v/>
      </c>
      <c r="Q1205">
        <f>IFERROR(1/IF(Inputs!$B$4="pvp",15,MAX(0.1,Skills!D19-IF(Skills!E19=TRUE,Inputs!$B$31,0))),0)</f>
        <v/>
      </c>
      <c r="R1205">
        <f>IF(AND(Inputs!$B$4&lt;&gt;"pvp",Inputs!$B$35&gt;0),(INT(Inputs!$B$35/IF(Inputs!$B$4="pvp",15,MAX(0.1,Skills!D19-IF(Skills!E19=TRUE,Inputs!$B$31,0))))+1),0)</f>
        <v/>
      </c>
      <c r="S1205">
        <f>IFERROR(O1205/N1205,0)</f>
        <v/>
      </c>
    </row>
    <row r="1206">
      <c r="A1206">
        <f>Skills!A20</f>
        <v/>
      </c>
      <c r="B1206">
        <f>Skills!B20</f>
        <v/>
      </c>
      <c r="C1206">
        <f>Inputs!$B$3&gt;=15</f>
        <v/>
      </c>
      <c r="D1206">
        <f>IF(Skills!C20=1,60+Inputs!$B$24+Inputs!$B$28,IF(Skills!C20=2,90+Inputs!$B$25+Inputs!$B$28,IF(Skills!C20=3,120+Inputs!$B$26+Inputs!$B$28,MAX(0,(Inputs!$B$3-100)*3)+Inputs!$B$27+Inputs!$B$28)))</f>
        <v/>
      </c>
      <c r="E1206">
        <f>INDEX(FactorTable!$B$2:$Y$301, MATCH(ROUND(MIN(300,MAX(1,D1206)),0), FactorTable!$A$2:$A$301,0), Skills!M20+1)</f>
        <v/>
      </c>
      <c r="F1206">
        <f>IF(Skills!N20=TRUE,(Skills!L20/10)*(E1206/1000),Skills!L20/10)+Skills!O20</f>
        <v/>
      </c>
      <c r="G1206">
        <f>Skills!G20*IF(Skills!H20&gt;0,Skills!I20/Skills!H20,1)</f>
        <v/>
      </c>
      <c r="H1206">
        <f>1-(1-Skills!J20/100)^Skills!K20</f>
        <v/>
      </c>
      <c r="I1206" t="inlineStr">
        <is>
          <t>1</t>
        </is>
      </c>
      <c r="J1206" t="inlineStr"/>
      <c r="K1206" t="inlineStr"/>
      <c r="L1206" t="inlineStr"/>
      <c r="M1206" t="inlineStr"/>
      <c r="N1206" t="inlineStr"/>
      <c r="O1206" t="n">
        <v>0</v>
      </c>
      <c r="P1206">
        <f>IF(B1231=0,0,O1206/B1231)</f>
        <v/>
      </c>
      <c r="Q1206">
        <f>IFERROR(1/IF(Inputs!$B$4="pvp",15,MAX(0.1,Skills!D20-IF(Skills!E20=TRUE,Inputs!$B$31,0))),0)</f>
        <v/>
      </c>
      <c r="R1206">
        <f>IF(AND(Inputs!$B$4&lt;&gt;"pvp",Inputs!$B$35&gt;0),(INT(Inputs!$B$35/IF(Inputs!$B$4="pvp",15,MAX(0.1,Skills!D20-IF(Skills!E20=TRUE,Inputs!$B$31,0))))+1),0)</f>
        <v/>
      </c>
      <c r="S1206">
        <f>IFERROR(O1206/N1206,0)</f>
        <v/>
      </c>
    </row>
    <row r="1207">
      <c r="A1207">
        <f>Skills!A21</f>
        <v/>
      </c>
      <c r="B1207">
        <f>Skills!B21</f>
        <v/>
      </c>
      <c r="C1207">
        <f>Inputs!$B$3&gt;=15</f>
        <v/>
      </c>
      <c r="D1207">
        <f>IF(Skills!C21=1,60+Inputs!$B$24+Inputs!$B$28,IF(Skills!C21=2,90+Inputs!$B$25+Inputs!$B$28,IF(Skills!C21=3,120+Inputs!$B$26+Inputs!$B$28,MAX(0,(Inputs!$B$3-100)*3)+Inputs!$B$27+Inputs!$B$28)))</f>
        <v/>
      </c>
      <c r="E1207">
        <f>INDEX(FactorTable!$B$2:$Y$301, MATCH(ROUND(MIN(300,MAX(1,D1207)),0), FactorTable!$A$2:$A$301,0), Skills!M21+1)</f>
        <v/>
      </c>
      <c r="F1207">
        <f>IF(Skills!N21=TRUE,(Skills!L21/10)*(E1207/1000),Skills!L21/10)+Skills!O21</f>
        <v/>
      </c>
      <c r="G1207">
        <f>Skills!G21*IF(Skills!H21&gt;0,Skills!I21/Skills!H21,1)</f>
        <v/>
      </c>
      <c r="H1207">
        <f>1-(1-Skills!J21/100)^Skills!K21</f>
        <v/>
      </c>
      <c r="I1207" t="inlineStr">
        <is>
          <t>1</t>
        </is>
      </c>
      <c r="J1207" t="inlineStr"/>
      <c r="K1207" t="inlineStr"/>
      <c r="L1207" t="inlineStr"/>
      <c r="M1207" t="inlineStr"/>
      <c r="N1207" t="inlineStr"/>
      <c r="O1207" t="n">
        <v>0</v>
      </c>
      <c r="P1207">
        <f>IF(B1231=0,0,O1207/B1231)</f>
        <v/>
      </c>
      <c r="Q1207">
        <f>IFERROR(1/IF(Inputs!$B$4="pvp",15,MAX(0.1,Skills!D21-IF(Skills!E21=TRUE,Inputs!$B$31,0))),0)</f>
        <v/>
      </c>
      <c r="R1207">
        <f>IF(AND(Inputs!$B$4&lt;&gt;"pvp",Inputs!$B$35&gt;0),(INT(Inputs!$B$35/IF(Inputs!$B$4="pvp",15,MAX(0.1,Skills!D21-IF(Skills!E21=TRUE,Inputs!$B$31,0))))+1),0)</f>
        <v/>
      </c>
      <c r="S1207">
        <f>IFERROR(O1207/N1207,0)</f>
        <v/>
      </c>
    </row>
    <row r="1208">
      <c r="A1208">
        <f>Skills!A22</f>
        <v/>
      </c>
      <c r="B1208">
        <f>Skills!B22</f>
        <v/>
      </c>
      <c r="C1208">
        <f>Inputs!$B$3&gt;=33</f>
        <v/>
      </c>
      <c r="D1208">
        <f>IF(Skills!C22=1,60+Inputs!$B$24+Inputs!$B$28,IF(Skills!C22=2,90+Inputs!$B$25+Inputs!$B$28,IF(Skills!C22=3,120+Inputs!$B$26+Inputs!$B$28,MAX(0,(Inputs!$B$3-100)*3)+Inputs!$B$27+Inputs!$B$28)))</f>
        <v/>
      </c>
      <c r="E1208">
        <f>INDEX(FactorTable!$B$2:$Y$301, MATCH(ROUND(MIN(300,MAX(1,D1208)),0), FactorTable!$A$2:$A$301,0), Skills!M22+1)</f>
        <v/>
      </c>
      <c r="F1208">
        <f>IF(Skills!N22=TRUE,(Skills!L22/10)*(E1208/1000),Skills!L22/10)+Skills!O22</f>
        <v/>
      </c>
      <c r="G1208">
        <f>Skills!G22*IF(Skills!H22&gt;0,Skills!I22/Skills!H22,1)</f>
        <v/>
      </c>
      <c r="H1208">
        <f>1-(1-Skills!J22/100)^Skills!K22</f>
        <v/>
      </c>
      <c r="I1208" t="inlineStr">
        <is>
          <t>1</t>
        </is>
      </c>
      <c r="J1208" t="inlineStr"/>
      <c r="K1208" t="inlineStr"/>
      <c r="L1208" t="inlineStr"/>
      <c r="M1208" t="inlineStr"/>
      <c r="N1208" t="inlineStr"/>
      <c r="O1208" t="n">
        <v>0</v>
      </c>
      <c r="P1208">
        <f>IF(B1231=0,0,O1208/B1231)</f>
        <v/>
      </c>
      <c r="Q1208" t="n">
        <v>0</v>
      </c>
      <c r="R1208" t="n">
        <v>0</v>
      </c>
      <c r="S1208">
        <f>IFERROR(O1208/N1208,0)</f>
        <v/>
      </c>
    </row>
    <row r="1209">
      <c r="A1209">
        <f>Skills!A23</f>
        <v/>
      </c>
      <c r="B1209">
        <f>Skills!B23</f>
        <v/>
      </c>
      <c r="C1209">
        <f>Inputs!$B$3&gt;=40</f>
        <v/>
      </c>
      <c r="D1209">
        <f>IF(Skills!C23=1,60+Inputs!$B$24+Inputs!$B$28,IF(Skills!C23=2,90+Inputs!$B$25+Inputs!$B$28,IF(Skills!C23=3,120+Inputs!$B$26+Inputs!$B$28,MAX(0,(Inputs!$B$3-100)*3)+Inputs!$B$27+Inputs!$B$28)))</f>
        <v/>
      </c>
      <c r="E1209">
        <f>INDEX(FactorTable!$B$2:$Y$301, MATCH(ROUND(MIN(300,MAX(1,D1209)),0), FactorTable!$A$2:$A$301,0), Skills!M23+1)</f>
        <v/>
      </c>
      <c r="F1209">
        <f>IF(Skills!N23=TRUE,(Skills!L23/10)*(E1209/1000),Skills!L23/10)+Skills!O23</f>
        <v/>
      </c>
      <c r="G1209">
        <f>Skills!G23*IF(Skills!H23&gt;0,Skills!I23/Skills!H23,1)</f>
        <v/>
      </c>
      <c r="H1209">
        <f>1-(1-Skills!J23/100)^Skills!K23</f>
        <v/>
      </c>
      <c r="I1209" t="inlineStr">
        <is>
          <t>1</t>
        </is>
      </c>
      <c r="J1209" t="inlineStr"/>
      <c r="K1209" t="inlineStr"/>
      <c r="L1209" t="inlineStr"/>
      <c r="M1209" t="inlineStr"/>
      <c r="N1209" t="inlineStr"/>
      <c r="O1209" t="n">
        <v>0</v>
      </c>
      <c r="P1209">
        <f>IF(B1231=0,0,O1209/B1231)</f>
        <v/>
      </c>
      <c r="Q1209" t="n">
        <v>0</v>
      </c>
      <c r="R1209" t="n">
        <v>0</v>
      </c>
      <c r="S1209">
        <f>IFERROR(O1209/N1209,0)</f>
        <v/>
      </c>
    </row>
    <row r="1210">
      <c r="A1210">
        <f>Skills!A24</f>
        <v/>
      </c>
      <c r="B1210">
        <f>Skills!B24</f>
        <v/>
      </c>
      <c r="C1210">
        <f>Inputs!$B$3&gt;=43</f>
        <v/>
      </c>
      <c r="D1210">
        <f>IF(Skills!C24=1,60+Inputs!$B$24+Inputs!$B$28,IF(Skills!C24=2,90+Inputs!$B$25+Inputs!$B$28,IF(Skills!C24=3,120+Inputs!$B$26+Inputs!$B$28,MAX(0,(Inputs!$B$3-100)*3)+Inputs!$B$27+Inputs!$B$28)))</f>
        <v/>
      </c>
      <c r="E1210">
        <f>INDEX(FactorTable!$B$2:$Y$301, MATCH(ROUND(MIN(300,MAX(1,D1210)),0), FactorTable!$A$2:$A$301,0), Skills!M24+1)</f>
        <v/>
      </c>
      <c r="F1210">
        <f>IF(Skills!N24=TRUE,(Skills!L24/10)*(E1210/1000),Skills!L24/10)+Skills!O24</f>
        <v/>
      </c>
      <c r="G1210">
        <f>Skills!G24*IF(Skills!H24&gt;0,Skills!I24/Skills!H24,1)</f>
        <v/>
      </c>
      <c r="H1210">
        <f>1-(1-Skills!J24/100)^Skills!K24</f>
        <v/>
      </c>
      <c r="I1210" t="inlineStr">
        <is>
          <t>1</t>
        </is>
      </c>
      <c r="J1210" t="inlineStr"/>
      <c r="K1210" t="inlineStr"/>
      <c r="L1210" t="inlineStr"/>
      <c r="M1210" t="inlineStr"/>
      <c r="N1210" t="inlineStr"/>
      <c r="O1210" t="n">
        <v>0</v>
      </c>
      <c r="P1210">
        <f>IF(B1231=0,0,O1210/B1231)</f>
        <v/>
      </c>
      <c r="Q1210" t="n">
        <v>0</v>
      </c>
      <c r="R1210" t="n">
        <v>0</v>
      </c>
      <c r="S1210">
        <f>IFERROR(O1210/N1210,0)</f>
        <v/>
      </c>
    </row>
    <row r="1211">
      <c r="A1211">
        <f>Skills!A25</f>
        <v/>
      </c>
      <c r="B1211">
        <f>Skills!B25</f>
        <v/>
      </c>
      <c r="C1211">
        <f>Inputs!$B$3&gt;=50</f>
        <v/>
      </c>
      <c r="D1211">
        <f>IF(Skills!C25=1,60+Inputs!$B$24+Inputs!$B$28,IF(Skills!C25=2,90+Inputs!$B$25+Inputs!$B$28,IF(Skills!C25=3,120+Inputs!$B$26+Inputs!$B$28,MAX(0,(Inputs!$B$3-100)*3)+Inputs!$B$27+Inputs!$B$28)))</f>
        <v/>
      </c>
      <c r="E1211">
        <f>INDEX(FactorTable!$B$2:$Y$301, MATCH(ROUND(MIN(300,MAX(1,D1211)),0), FactorTable!$A$2:$A$301,0), Skills!M25+1)</f>
        <v/>
      </c>
      <c r="F1211">
        <f>IF(Skills!N25=TRUE,(Skills!L25/10)*(E1211/1000),Skills!L25/10)+Skills!O25</f>
        <v/>
      </c>
      <c r="G1211">
        <f>Skills!G25*IF(Skills!H25&gt;0,Skills!I25/Skills!H25,1)</f>
        <v/>
      </c>
      <c r="H1211">
        <f>1-(1-Skills!J25/100)^Skills!K25</f>
        <v/>
      </c>
      <c r="I1211" t="inlineStr">
        <is>
          <t>1</t>
        </is>
      </c>
      <c r="J1211" t="inlineStr"/>
      <c r="K1211" t="inlineStr"/>
      <c r="L1211" t="inlineStr"/>
      <c r="M1211" t="inlineStr"/>
      <c r="N1211" t="inlineStr"/>
      <c r="O1211" t="n">
        <v>0</v>
      </c>
      <c r="P1211">
        <f>IF(B1231=0,0,O1211/B1231)</f>
        <v/>
      </c>
      <c r="Q1211" t="n">
        <v>0</v>
      </c>
      <c r="R1211" t="n">
        <v>0</v>
      </c>
      <c r="S1211">
        <f>IFERROR(O1211/N1211,0)</f>
        <v/>
      </c>
    </row>
    <row r="1212">
      <c r="A1212">
        <f>Skills!A26</f>
        <v/>
      </c>
      <c r="B1212">
        <f>Skills!B26</f>
        <v/>
      </c>
      <c r="C1212">
        <f>Inputs!$B$3&gt;=50</f>
        <v/>
      </c>
      <c r="D1212">
        <f>IF(Skills!C26=1,60+Inputs!$B$24+Inputs!$B$28,IF(Skills!C26=2,90+Inputs!$B$25+Inputs!$B$28,IF(Skills!C26=3,120+Inputs!$B$26+Inputs!$B$28,MAX(0,(Inputs!$B$3-100)*3)+Inputs!$B$27+Inputs!$B$28)))</f>
        <v/>
      </c>
      <c r="E1212">
        <f>INDEX(FactorTable!$B$2:$Y$301, MATCH(ROUND(MIN(300,MAX(1,D1212)),0), FactorTable!$A$2:$A$301,0), Skills!M26+1)</f>
        <v/>
      </c>
      <c r="F1212">
        <f>IF(Skills!N26=TRUE,(Skills!L26/10)*(E1212/1000),Skills!L26/10)+Skills!O26</f>
        <v/>
      </c>
      <c r="G1212">
        <f>Skills!G26*IF(Skills!H26&gt;0,Skills!I26/Skills!H26,1)</f>
        <v/>
      </c>
      <c r="H1212">
        <f>1-(1-Skills!J26/100)^Skills!K26</f>
        <v/>
      </c>
      <c r="I1212" t="inlineStr">
        <is>
          <t>1</t>
        </is>
      </c>
      <c r="J1212" t="inlineStr"/>
      <c r="K1212" t="inlineStr"/>
      <c r="L1212" t="inlineStr"/>
      <c r="M1212" t="inlineStr"/>
      <c r="N1212" t="inlineStr"/>
      <c r="O1212" t="n">
        <v>0</v>
      </c>
      <c r="P1212">
        <f>IF(B1231=0,0,O1212/B1231)</f>
        <v/>
      </c>
      <c r="Q1212" t="n">
        <v>0</v>
      </c>
      <c r="R1212" t="n">
        <v>0</v>
      </c>
      <c r="S1212">
        <f>IFERROR(O1212/N1212,0)</f>
        <v/>
      </c>
    </row>
    <row r="1213">
      <c r="A1213">
        <f>Skills!A27</f>
        <v/>
      </c>
      <c r="B1213">
        <f>Skills!B27</f>
        <v/>
      </c>
      <c r="C1213">
        <f>Inputs!$B$3&gt;=38</f>
        <v/>
      </c>
      <c r="D1213">
        <f>IF(Skills!C27=1,60+Inputs!$B$24+Inputs!$B$28,IF(Skills!C27=2,90+Inputs!$B$25+Inputs!$B$28,IF(Skills!C27=3,120+Inputs!$B$26+Inputs!$B$28,MAX(0,(Inputs!$B$3-100)*3)+Inputs!$B$27+Inputs!$B$28)))</f>
        <v/>
      </c>
      <c r="E1213">
        <f>INDEX(FactorTable!$B$2:$Y$301, MATCH(ROUND(MIN(300,MAX(1,D1213)),0), FactorTable!$A$2:$A$301,0), Skills!M27+1)</f>
        <v/>
      </c>
      <c r="F1213">
        <f>IF(Skills!N27=TRUE,(Skills!L27/10)*(E1213/1000),Skills!L27/10)+Skills!O27</f>
        <v/>
      </c>
      <c r="G1213">
        <f>Skills!G27*IF(Skills!H27&gt;0,Skills!I27/Skills!H27,1)</f>
        <v/>
      </c>
      <c r="H1213">
        <f>1-(1-Skills!J27/100)^Skills!K27</f>
        <v/>
      </c>
      <c r="I1213" t="inlineStr">
        <is>
          <t>1</t>
        </is>
      </c>
      <c r="J1213" t="inlineStr"/>
      <c r="K1213" t="inlineStr"/>
      <c r="L1213" t="inlineStr"/>
      <c r="M1213" t="inlineStr"/>
      <c r="N1213" t="inlineStr"/>
      <c r="O1213" t="n">
        <v>0</v>
      </c>
      <c r="P1213">
        <f>IF(B1231=0,0,O1213/B1231)</f>
        <v/>
      </c>
      <c r="Q1213" t="n">
        <v>0</v>
      </c>
      <c r="R1213" t="n">
        <v>0</v>
      </c>
      <c r="S1213">
        <f>IFERROR(O1213/N1213,0)</f>
        <v/>
      </c>
    </row>
    <row r="1214">
      <c r="A1214">
        <f>Skills!A28</f>
        <v/>
      </c>
      <c r="B1214">
        <f>Skills!B28</f>
        <v/>
      </c>
      <c r="C1214">
        <f>Inputs!$B$3&gt;=120</f>
        <v/>
      </c>
      <c r="D1214">
        <f>IF(Skills!C28=1,60+Inputs!$B$24+Inputs!$B$28,IF(Skills!C28=2,90+Inputs!$B$25+Inputs!$B$28,IF(Skills!C28=3,120+Inputs!$B$26+Inputs!$B$28,MAX(0,(Inputs!$B$3-100)*3)+Inputs!$B$27+Inputs!$B$28)))</f>
        <v/>
      </c>
      <c r="E1214">
        <f>INDEX(FactorTable!$B$2:$Y$301, MATCH(ROUND(MIN(300,MAX(1,D1214)),0), FactorTable!$A$2:$A$301,0), Skills!M28+1)</f>
        <v/>
      </c>
      <c r="F1214">
        <f>IF(Skills!N28=TRUE,(Skills!L28/10)*(E1214/1000),Skills!L28/10)+Skills!O28</f>
        <v/>
      </c>
      <c r="G1214">
        <f>Skills!G28*IF(Skills!H28&gt;0,Skills!I28/Skills!H28,1)</f>
        <v/>
      </c>
      <c r="H1214">
        <f>1-(1-Skills!J28/100)^Skills!K28</f>
        <v/>
      </c>
      <c r="I1214" t="inlineStr">
        <is>
          <t>1</t>
        </is>
      </c>
      <c r="J1214" t="inlineStr"/>
      <c r="K1214" t="inlineStr"/>
      <c r="L1214" t="inlineStr"/>
      <c r="M1214" t="inlineStr"/>
      <c r="N1214" t="inlineStr"/>
      <c r="O1214" t="n">
        <v>0</v>
      </c>
      <c r="P1214">
        <f>IF(B1231=0,0,O1214/B1231)</f>
        <v/>
      </c>
      <c r="Q1214" t="n">
        <v>0</v>
      </c>
      <c r="R1214" t="n">
        <v>0</v>
      </c>
      <c r="S1214">
        <f>IFERROR(O1214/N1214,0)</f>
        <v/>
      </c>
    </row>
    <row r="1215">
      <c r="A1215">
        <f>Skills!A29</f>
        <v/>
      </c>
      <c r="B1215">
        <f>Skills!B29</f>
        <v/>
      </c>
      <c r="C1215">
        <f>Inputs!$B$3&gt;=120</f>
        <v/>
      </c>
      <c r="D1215">
        <f>IF(Skills!C29=1,60+Inputs!$B$24+Inputs!$B$28,IF(Skills!C29=2,90+Inputs!$B$25+Inputs!$B$28,IF(Skills!C29=3,120+Inputs!$B$26+Inputs!$B$28,MAX(0,(Inputs!$B$3-100)*3)+Inputs!$B$27+Inputs!$B$28)))</f>
        <v/>
      </c>
      <c r="E1215">
        <f>INDEX(FactorTable!$B$2:$Y$301, MATCH(ROUND(MIN(300,MAX(1,D1215)),0), FactorTable!$A$2:$A$301,0), Skills!M29+1)</f>
        <v/>
      </c>
      <c r="F1215">
        <f>IF(Skills!N29=TRUE,(Skills!L29/10)*(E1215/1000),Skills!L29/10)+Skills!O29</f>
        <v/>
      </c>
      <c r="G1215">
        <f>Skills!G29*IF(Skills!H29&gt;0,Skills!I29/Skills!H29,1)</f>
        <v/>
      </c>
      <c r="H1215">
        <f>1-(1-Skills!J29/100)^Skills!K29</f>
        <v/>
      </c>
      <c r="I1215" t="inlineStr">
        <is>
          <t>1</t>
        </is>
      </c>
      <c r="J1215" t="inlineStr"/>
      <c r="K1215" t="inlineStr"/>
      <c r="L1215" t="inlineStr"/>
      <c r="M1215" t="inlineStr"/>
      <c r="N1215" t="inlineStr"/>
      <c r="O1215" t="n">
        <v>0</v>
      </c>
      <c r="P1215">
        <f>IF(B1231=0,0,O1215/B1231)</f>
        <v/>
      </c>
      <c r="Q1215" t="n">
        <v>0</v>
      </c>
      <c r="R1215" t="n">
        <v>0</v>
      </c>
      <c r="S1215">
        <f>IFERROR(O1215/N1215,0)</f>
        <v/>
      </c>
    </row>
    <row r="1216">
      <c r="A1216">
        <f>Skills!A30</f>
        <v/>
      </c>
      <c r="B1216">
        <f>Skills!B30</f>
        <v/>
      </c>
      <c r="C1216">
        <f>Inputs!$B$3&gt;=125</f>
        <v/>
      </c>
      <c r="D1216">
        <f>IF(Skills!C30=1,60+Inputs!$B$24+Inputs!$B$28,IF(Skills!C30=2,90+Inputs!$B$25+Inputs!$B$28,IF(Skills!C30=3,120+Inputs!$B$26+Inputs!$B$28,MAX(0,(Inputs!$B$3-100)*3)+Inputs!$B$27+Inputs!$B$28)))</f>
        <v/>
      </c>
      <c r="E1216">
        <f>INDEX(FactorTable!$B$2:$Y$301, MATCH(ROUND(MIN(300,MAX(1,D1216)),0), FactorTable!$A$2:$A$301,0), Skills!M30+1)</f>
        <v/>
      </c>
      <c r="F1216">
        <f>IF(Skills!N30=TRUE,(Skills!L30/10)*(E1216/1000),Skills!L30/10)+Skills!O30</f>
        <v/>
      </c>
      <c r="G1216">
        <f>Skills!G30*IF(Skills!H30&gt;0,Skills!I30/Skills!H30,1)</f>
        <v/>
      </c>
      <c r="H1216">
        <f>1-(1-Skills!J30/100)^Skills!K30</f>
        <v/>
      </c>
      <c r="I1216" t="inlineStr">
        <is>
          <t>1</t>
        </is>
      </c>
      <c r="J1216" t="inlineStr"/>
      <c r="K1216" t="inlineStr"/>
      <c r="L1216" t="inlineStr"/>
      <c r="M1216" t="inlineStr"/>
      <c r="N1216" t="inlineStr"/>
      <c r="O1216" t="n">
        <v>0</v>
      </c>
      <c r="P1216">
        <f>IF(B1231=0,0,O1216/B1231)</f>
        <v/>
      </c>
      <c r="Q1216" t="n">
        <v>0</v>
      </c>
      <c r="R1216" t="n">
        <v>0</v>
      </c>
      <c r="S1216">
        <f>IFERROR(O1216/N1216,0)</f>
        <v/>
      </c>
    </row>
    <row r="1218">
      <c r="A1218" t="inlineStr">
        <is>
          <t>Average Buff Multiplier</t>
        </is>
      </c>
      <c r="B1218">
        <f>(1+(((C1207=TRUE)*F1207*IF(AND(Inputs!$B$4&lt;&gt;"pvp",Inputs!$B$35&gt;0),(((S1207-1)*(Skills!Y21*(1+Inputs!$B$33/100))+MIN((Skills!Y21*(1+Inputs!$B$33/100)),MAX(0,Inputs!$B$35-((S1207-1)*Skills!D21))))/Inputs!$B$35),IF(Inputs!$B$4="pvp",MIN((Skills!Y21*(1+Inputs!$B$33/100)),15)/15,(Skills!Y21*(1+Inputs!$B$33/100))/Skills!D21)))+((C1209=TRUE)*(F1209-Calc!F23))+((C1203=TRUE)*(F1203-Calc!F17)))/100)*(1+((C1196=TRUE)*F1196*IF(AND(Inputs!$B$4&lt;&gt;"pvp",Inputs!$B$35&gt;0),(((S1196-1)*(Skills!Y10*(1+Inputs!$B$33/100))+MIN((Skills!Y10*(1+Inputs!$B$33/100)),MAX(0,Inputs!$B$35-((S1196-1)*Skills!D10))))/Inputs!$B$35),IF(Inputs!$B$4="pvp",MIN((Skills!Y10*(1+Inputs!$B$33/100)),15)/15,(Skills!Y10*(1+Inputs!$B$33/100))/Skills!D10)))/100)*(1+((C1201=TRUE)*F1201*IF(AND(Inputs!$B$4&lt;&gt;"pvp",Inputs!$B$35&gt;0),(((S1201-1)*(Skills!Y15*(1+Inputs!$B$33/100))+MIN((Skills!Y15*(1+Inputs!$B$33/100)),MAX(0,Inputs!$B$35-((S1201-1)*Skills!D15))))/Inputs!$B$35),IF(Inputs!$B$4="pvp",MIN((Skills!Y15*(1+Inputs!$B$33/100)),15)/15,(Skills!Y15*(1+Inputs!$B$33/100))/Skills!D15)))/100)</f>
        <v/>
      </c>
    </row>
    <row r="1219">
      <c r="A1219" t="inlineStr">
        <is>
          <t>Global Crit Rate Bonus %</t>
        </is>
      </c>
      <c r="B1219">
        <f>((C1206=TRUE)*F1206*IF(AND(Inputs!$B$4&lt;&gt;"pvp",Inputs!$B$35&gt;0),(((S1206-1)*(Skills!Y20*(1+Inputs!$B$33/100))+MIN((Skills!Y20*(1+Inputs!$B$33/100)),MAX(0,Inputs!$B$35-((S1206-1)*Skills!D20))))/Inputs!$B$35),IF(Inputs!$B$4="pvp",MIN((Skills!Y20*(1+Inputs!$B$33/100)),15)/15,(Skills!Y20*(1+Inputs!$B$33/100))/Skills!D20)))</f>
        <v/>
      </c>
    </row>
    <row r="1220">
      <c r="A1220" t="inlineStr">
        <is>
          <t>Global Monster Damage-Taken Bonus %</t>
        </is>
      </c>
      <c r="B1220">
        <f>IF(Inputs!$B$3&gt;=82,15,0)</f>
        <v/>
      </c>
    </row>
    <row r="1221">
      <c r="A1221" t="inlineStr">
        <is>
          <t>Shadow Partner Average Multiplier</t>
        </is>
      </c>
      <c r="B1221">
        <f>1+((C1193=TRUE)*F1193*(1+3.3333333333333335*IF(C1204=TRUE,F1204,0)/100)*I1193*Skills!J7/100)/100</f>
        <v/>
      </c>
    </row>
    <row r="1222">
      <c r="A1222" t="inlineStr">
        <is>
          <t>Attack Speed Buff Bonus %</t>
        </is>
      </c>
      <c r="B1222">
        <f>((C1205=TRUE)*F1205*IF(AND(Inputs!$B$4&lt;&gt;"pvp",Inputs!$B$35&gt;0),(((S1205-1)*(Skills!Y19*(1+Inputs!$B$33/100))+MIN((Skills!Y19*(1+Inputs!$B$33/100)),MAX(0,Inputs!$B$35-((S1205-1)*Skills!D19))))/Inputs!$B$35),IF(Inputs!$B$4="pvp",MIN((Skills!Y19*(1+Inputs!$B$33/100)),15)/15,(Skills!Y19*(1+Inputs!$B$33/100))/Skills!D19)))+((C1189=TRUE)*F1189*3)</f>
        <v/>
      </c>
    </row>
    <row r="1223">
      <c r="A1223" t="inlineStr">
        <is>
          <t>Actions Per Second</t>
        </is>
      </c>
      <c r="B1223">
        <f>1+MIN(150,150*(1-(1-(Inputs!$B$10+((C1208=TRUE)*(F1208-Calc!F22)))/150)*(1-B1222/150)))/100</f>
        <v/>
      </c>
    </row>
    <row r="1224">
      <c r="A1224" t="inlineStr">
        <is>
          <t>Skill + Buff Cast Rate</t>
        </is>
      </c>
      <c r="B1224">
        <f>IF(AND(Inputs!$B$4&lt;&gt;"pvp",Inputs!$B$35&gt;0),SUMPRODUCT((Skills!E2:E30=TRUE)*(C1188:C1216=TRUE)*R1188:R1216*Skills!F2:F30)/Inputs!$B$35,SUMPRODUCT((Skills!E2:E30=TRUE)*(C1188:C1216=TRUE)*Q1188:Q1216*Skills!F2:F30))</f>
        <v/>
      </c>
    </row>
    <row r="1225">
      <c r="A1225" t="inlineStr">
        <is>
          <t>Cruel Stab Casts Per Second</t>
        </is>
      </c>
      <c r="B1225">
        <f>MAX(0,B1223-B1224)</f>
        <v/>
      </c>
    </row>
    <row r="1226">
      <c r="A1226" t="inlineStr">
        <is>
          <t>Global Critical Damage Bonus % (Smokescreen Mastery Lv.113)</t>
        </is>
      </c>
      <c r="B1226">
        <f>IF(Inputs!$B$3&gt;=113,30,0)*IF(AND(Inputs!$B$4&lt;&gt;"pvp",Inputs!$B$35&gt;0),(((S1201-1)*(Skills!Y15*(1+Inputs!$B$33/100))+MIN((Skills!Y15*(1+Inputs!$B$33/100)),MAX(0,Inputs!$B$35-((S1201-1)*Skills!D15))))/Inputs!$B$35),IF(Inputs!$B$4="pvp",MIN((Skills!Y15*(1+Inputs!$B$33/100)),15)/15,(Skills!Y15*(1+Inputs!$B$33/100))/Skills!D15))</f>
        <v/>
      </c>
    </row>
    <row r="1227">
      <c r="A1227" t="inlineStr">
        <is>
          <t>Meso Explosion average stack count</t>
        </is>
      </c>
      <c r="B1227">
        <f>MIN(10,0.5*B1223*Skills!D4)</f>
        <v/>
      </c>
    </row>
    <row r="1228">
      <c r="A1228" t="inlineStr">
        <is>
          <t>Blood Money average stack count</t>
        </is>
      </c>
      <c r="B1228">
        <f>MIN(5,0.25*B1223*Skills!D4)</f>
        <v/>
      </c>
    </row>
    <row r="1229">
      <c r="A1229" t="inlineStr">
        <is>
          <t>Assassinate Murderous Intent Multiplier</t>
        </is>
      </c>
      <c r="B1229">
        <f>1+IFERROR(MIN(1,Q1200*2/Q1197),0)</f>
        <v/>
      </c>
    </row>
    <row r="1231">
      <c r="A1231" s="5" t="inlineStr">
        <is>
          <t>TOTAL DPS</t>
        </is>
      </c>
      <c r="B1231" s="5">
        <f>SUM(O1188:O1216)</f>
        <v/>
      </c>
    </row>
    <row r="1234">
      <c r="A1234" s="5" t="inlineStr">
        <is>
          <t>Stat: Buff Duration Increase %</t>
        </is>
      </c>
    </row>
    <row r="1235">
      <c r="A1235" s="8" t="inlineStr">
        <is>
          <t>Key</t>
        </is>
      </c>
      <c r="B1235" s="8" t="inlineStr">
        <is>
          <t>Name</t>
        </is>
      </c>
      <c r="C1235" s="8" t="inlineStr">
        <is>
          <t>Unlocked</t>
        </is>
      </c>
      <c r="D1235" s="8" t="inlineStr">
        <is>
          <t>InputLevel</t>
        </is>
      </c>
      <c r="E1235" s="8" t="inlineStr">
        <is>
          <t>Factor</t>
        </is>
      </c>
      <c r="F1235" s="8" t="inlineStr">
        <is>
          <t>CoefficientPercent</t>
        </is>
      </c>
      <c r="G1235" s="8" t="inlineStr">
        <is>
          <t>EffectiveHits</t>
        </is>
      </c>
      <c r="H1235" s="8" t="inlineStr">
        <is>
          <t>ProcProbability</t>
        </is>
      </c>
      <c r="I1235" s="8" t="inlineStr">
        <is>
          <t>MapleHeroMultiplier</t>
        </is>
      </c>
      <c r="J1235" s="8" t="inlineStr">
        <is>
          <t>BaseDamage</t>
        </is>
      </c>
      <c r="K1235" s="8" t="inlineStr">
        <is>
          <t>BaseHitDamage</t>
        </is>
      </c>
      <c r="L1235" s="8" t="inlineStr">
        <is>
          <t>NonCritAvg</t>
        </is>
      </c>
      <c r="M1235" s="8" t="inlineStr">
        <is>
          <t>CritAvg</t>
        </is>
      </c>
      <c r="N1235" s="8" t="inlineStr">
        <is>
          <t>ExpectedDamage(perHit)</t>
        </is>
      </c>
      <c r="O1235" s="8" t="inlineStr">
        <is>
          <t>DPS</t>
        </is>
      </c>
      <c r="P1235" s="8" t="inlineStr">
        <is>
          <t>% of Total</t>
        </is>
      </c>
      <c r="Q1235" s="8" t="inlineStr">
        <is>
          <t>InvCooldown</t>
        </is>
      </c>
      <c r="R1235" s="8" t="inlineStr">
        <is>
          <t>CastsInFight</t>
        </is>
      </c>
      <c r="S1235" s="8" t="inlineStr">
        <is>
          <t>HitRate(perSec)</t>
        </is>
      </c>
      <c r="U1235" t="inlineStr">
        <is>
          <t>helpers</t>
        </is>
      </c>
    </row>
    <row r="1236">
      <c r="A1236">
        <f>Skills!A2</f>
        <v/>
      </c>
      <c r="B1236">
        <f>Skills!B2</f>
        <v/>
      </c>
      <c r="C1236">
        <f>Inputs!$B$3&gt;=100</f>
        <v/>
      </c>
      <c r="D1236" t="inlineStr"/>
      <c r="E1236" t="inlineStr"/>
      <c r="F1236">
        <f>U1238+Skills!O2</f>
        <v/>
      </c>
      <c r="G1236">
        <f>Skills!G2*IF(Skills!H2&gt;0,Skills!I2/Skills!H2,1)</f>
        <v/>
      </c>
      <c r="H1236">
        <f>1-(1-Skills!J2/100)^Skills!K2</f>
        <v/>
      </c>
      <c r="I1236" t="inlineStr">
        <is>
          <t>1</t>
        </is>
      </c>
      <c r="J1236">
        <f>(Inputs!$B$5*(1+Inputs!$B$6/100))*(F1236/100)</f>
        <v/>
      </c>
      <c r="K1236">
        <f>J1236*(1+((Inputs!$B$11*(1+Inputs!$B$12/100))*0.01+Inputs!$B$13*0.0025)/100)*(1+Inputs!$B$14/100)*(1+IF(Inputs!$B$4="pvp",0,(1-Summary!$B$55)*(Inputs!$B$19+0+Skills!P2+B1268)+Summary!$B$55*(Inputs!$B$20+Skills!Q2+B1268))/100)*(1+Inputs!$B$15/100)*(5000/(6000+Inputs!$B$7*(1-Inputs!$B$18/100)))*(1+(Inputs!$B$23+((C1264=TRUE)*(F1264-Calc!F30)))/100)*(1+(IF(Skills!A2="CRUEL_STAB",Inputs!$B$16+((C1261=TRUE)*(F1261-Calc!F27)),Inputs!$B$17+((C1262=TRUE)*(F1262-Calc!F28))))/100)*(((1+(((C1255=TRUE)*F1255*IF(AND(Inputs!$B$4&lt;&gt;"pvp",Inputs!$B$35&gt;0),(((S1255-1)*(Skills!Y21*(1+(Inputs!$B$33+1)/100))+MIN((Skills!Y21*(1+(Inputs!$B$33+1)/100)),MAX(0,Inputs!$B$35-((S1255-1)*Skills!D21))))/Inputs!$B$35),IF(Inputs!$B$4="pvp",MIN((Skills!Y21*(1+(Inputs!$B$33+1)/100)),15)/15,(Skills!Y21*(1+(Inputs!$B$33+1)/100))/Skills!D21)))+((C1257=TRUE)*(F1257-Calc!F23))+((C1251=TRUE)*(F1251-Calc!F17)))/100)*(1+((C1244=TRUE)*F1244*IF(AND(Inputs!$B$4&lt;&gt;"pvp",Inputs!$B$35&gt;0),(((S1244-1)*(Skills!Y10*(1+(Inputs!$B$33+1)/100))+MIN((Skills!Y10*(1+(Inputs!$B$33+1)/100)),MAX(0,Inputs!$B$35-((S1244-1)*Skills!D10))))/Inputs!$B$35),IF(Inputs!$B$4="pvp",MIN((Skills!Y10*(1+(Inputs!$B$33+1)/100)),15)/15,(Skills!Y10*(1+(Inputs!$B$33+1)/100))/Skills!D10)))/100)*(1+((C1249=TRUE)*F1249*IF(AND(Inputs!$B$4&lt;&gt;"pvp",Inputs!$B$35&gt;0),(((S1249-1)*(Skills!Y15*(1+(Inputs!$B$33+1)/100))+MIN((Skills!Y15*(1+(Inputs!$B$33+1)/100)),MAX(0,Inputs!$B$35-((S1249-1)*Skills!D15))))/Inputs!$B$35),IF(Inputs!$B$4="pvp",MIN((Skills!Y15*(1+(Inputs!$B$33+1)/100)),15)/15,(Skills!Y15*(1+(Inputs!$B$33+1)/100))/Skills!D15)))/100))*B1269*I1236)</f>
        <v/>
      </c>
      <c r="L1236">
        <f>K1236*(MIN(Inputs!$B$21+((C1258=TRUE)*(F1258-Calc!F24)),Inputs!$B$22+((C1263=TRUE)*(F1263-Calc!F29)))/100+(Inputs!$B$22+((C1263=TRUE)*(F1263-Calc!F29)))/100)/2</f>
        <v/>
      </c>
      <c r="M1236">
        <f>L1236*(1+(Inputs!$B$9+((C1260=TRUE)*(F1260-Calc!F26))+B1274)/100)</f>
        <v/>
      </c>
      <c r="N1236">
        <f>L1236*(1-MIN((Inputs!$B$8+((C1259=TRUE)*(F1259-Calc!F25))+B1267),100)/100)+M1236*(MIN((Inputs!$B$8+((C1259=TRUE)*(F1259-Calc!F25))+B1267),100)/100)</f>
        <v/>
      </c>
      <c r="O1236">
        <f>IF(C1236,Skills!G2*N1236*B1273*IF(Inputs!$B$4="pvp",1,(1-Summary!$B$55)*(1)+Summary!$B$55*(MIN((6+Inputs!$B$32),Inputs!$B$37))),0)</f>
        <v/>
      </c>
      <c r="P1236">
        <f>IF(B1279=0,0,O1236/B1279)</f>
        <v/>
      </c>
      <c r="Q1236" t="n">
        <v>0</v>
      </c>
      <c r="R1236" t="n">
        <v>0</v>
      </c>
      <c r="S1236">
        <f>IFERROR(O1236/N1236,0)</f>
        <v/>
      </c>
      <c r="U1236">
        <f>MAX(0,(Inputs!$B$3-100)*3)+Inputs!$B$27+Inputs!$B$28</f>
        <v/>
      </c>
    </row>
    <row r="1237">
      <c r="A1237">
        <f>Skills!A3</f>
        <v/>
      </c>
      <c r="B1237">
        <f>Skills!B3</f>
        <v/>
      </c>
      <c r="C1237">
        <f>Inputs!$B$3&gt;=35</f>
        <v/>
      </c>
      <c r="D1237">
        <f>IF(Skills!C3=1,60+Inputs!$B$24+Inputs!$B$28,IF(Skills!C3=2,90+Inputs!$B$25+Inputs!$B$28,IF(Skills!C3=3,120+Inputs!$B$26+Inputs!$B$28,MAX(0,(Inputs!$B$3-100)*3)+Inputs!$B$27+Inputs!$B$28)))</f>
        <v/>
      </c>
      <c r="E1237">
        <f>INDEX(FactorTable!$B$2:$Y$301, MATCH(ROUND(MIN(300,MAX(1,D1237)),0), FactorTable!$A$2:$A$301,0), Skills!M3+1)</f>
        <v/>
      </c>
      <c r="F1237">
        <f>IF(Skills!N3=TRUE,(Skills!L3/10)*(E1237/1000),Skills!L3/10)+Skills!O3</f>
        <v/>
      </c>
      <c r="G1237">
        <f>Skills!G3*IF(Skills!H3&gt;0,Skills!I3/Skills!H3,1)</f>
        <v/>
      </c>
      <c r="H1237">
        <f>1-(1-Skills!J3/100)^Skills!K3</f>
        <v/>
      </c>
      <c r="I1237" t="inlineStr">
        <is>
          <t>1</t>
        </is>
      </c>
      <c r="J1237" t="inlineStr"/>
      <c r="K1237" t="inlineStr"/>
      <c r="L1237" t="inlineStr"/>
      <c r="M1237" t="inlineStr"/>
      <c r="N1237" t="inlineStr"/>
      <c r="O1237" t="n">
        <v>0</v>
      </c>
      <c r="P1237">
        <f>IF(B1279=0,0,O1237/B1279)</f>
        <v/>
      </c>
      <c r="Q1237" t="n">
        <v>0</v>
      </c>
      <c r="R1237" t="n">
        <v>0</v>
      </c>
      <c r="S1237">
        <f>IFERROR(O1237/N1237,0)</f>
        <v/>
      </c>
      <c r="U1237">
        <f>INDEX(FactorTable!$B$2:$Y$301, MATCH(ROUND(MIN(300,MAX(1,U1236)),0), FactorTable!$A$2:$A$301,0), 22)</f>
        <v/>
      </c>
    </row>
    <row r="1238">
      <c r="A1238">
        <f>Skills!A4</f>
        <v/>
      </c>
      <c r="B1238">
        <f>Skills!B4</f>
        <v/>
      </c>
      <c r="C1238">
        <f>Inputs!$B$3&gt;=66</f>
        <v/>
      </c>
      <c r="D1238">
        <f>IF(Skills!C4=1,60+Inputs!$B$24+Inputs!$B$28,IF(Skills!C4=2,90+Inputs!$B$25+Inputs!$B$28,IF(Skills!C4=3,120+Inputs!$B$26+Inputs!$B$28,MAX(0,(Inputs!$B$3-100)*3)+Inputs!$B$27+Inputs!$B$28)))</f>
        <v/>
      </c>
      <c r="E1238">
        <f>INDEX(FactorTable!$B$2:$Y$301, MATCH(ROUND(MIN(300,MAX(1,D1238)),0), FactorTable!$A$2:$A$301,0), Skills!M4+1)</f>
        <v/>
      </c>
      <c r="F1238">
        <f>IF(Skills!N4=TRUE,(Skills!L4/10)*(E1238/1000),Skills!L4/10)+Skills!O4</f>
        <v/>
      </c>
      <c r="G1238">
        <f>Skills!G4*IF(Skills!H4&gt;0,Skills!I4/Skills!H4,1)</f>
        <v/>
      </c>
      <c r="H1238">
        <f>1-(1-Skills!J4/100)^Skills!K4</f>
        <v/>
      </c>
      <c r="I1238" t="inlineStr">
        <is>
          <t>1</t>
        </is>
      </c>
      <c r="J1238">
        <f>(Inputs!$B$5*(1+Inputs!$B$6/100))*(F1238/100)</f>
        <v/>
      </c>
      <c r="K1238">
        <f>J1238*(1+((Inputs!$B$11*(1+Inputs!$B$12/100))*0.01+Inputs!$B$13*0.0025)/100)*(1+Inputs!$B$14/100)*(1+IF(Inputs!$B$4="pvp",0,(1-Summary!$B$55)*(Inputs!$B$19+0+Skills!P4+B1268)+Summary!$B$55*(Inputs!$B$20+Skills!Q4+B1268))/100)*(1+Inputs!$B$15/100)*(5000/(6000+Inputs!$B$7*(1-Inputs!$B$18/100)))*(1+(Inputs!$B$23+((C1264=TRUE)*(F1264-Calc!F30)))/100)*(1+(IF(Skills!A4="CRUEL_STAB",Inputs!$B$16+((C1261=TRUE)*(F1261-Calc!F27)),Inputs!$B$17+((C1262=TRUE)*(F1262-Calc!F28))))/100)*(((1+(((C1255=TRUE)*F1255*IF(AND(Inputs!$B$4&lt;&gt;"pvp",Inputs!$B$35&gt;0),(((S1255-1)*(Skills!Y21*(1+(Inputs!$B$33+1)/100))+MIN((Skills!Y21*(1+(Inputs!$B$33+1)/100)),MAX(0,Inputs!$B$35-((S1255-1)*Skills!D21))))/Inputs!$B$35),IF(Inputs!$B$4="pvp",MIN((Skills!Y21*(1+(Inputs!$B$33+1)/100)),15)/15,(Skills!Y21*(1+(Inputs!$B$33+1)/100))/Skills!D21)))+((C1257=TRUE)*(F1257-Calc!F23))+((C1251=TRUE)*(F1251-Calc!F17)))/100)*(1+((C1244=TRUE)*F1244*IF(AND(Inputs!$B$4&lt;&gt;"pvp",Inputs!$B$35&gt;0),(((S1244-1)*(Skills!Y10*(1+(Inputs!$B$33+1)/100))+MIN((Skills!Y10*(1+(Inputs!$B$33+1)/100)),MAX(0,Inputs!$B$35-((S1244-1)*Skills!D10))))/Inputs!$B$35),IF(Inputs!$B$4="pvp",MIN((Skills!Y10*(1+(Inputs!$B$33+1)/100)),15)/15,(Skills!Y10*(1+(Inputs!$B$33+1)/100))/Skills!D10)))/100)*(1+((C1249=TRUE)*F1249*IF(AND(Inputs!$B$4&lt;&gt;"pvp",Inputs!$B$35&gt;0),(((S1249-1)*(Skills!Y15*(1+(Inputs!$B$33+1)/100))+MIN((Skills!Y15*(1+(Inputs!$B$33+1)/100)),MAX(0,Inputs!$B$35-((S1249-1)*Skills!D15))))/Inputs!$B$35),IF(Inputs!$B$4="pvp",MIN((Skills!Y15*(1+(Inputs!$B$33+1)/100)),15)/15,(Skills!Y15*(1+(Inputs!$B$33+1)/100))/Skills!D15)))/100))*B1269*I1238)</f>
        <v/>
      </c>
      <c r="L1238">
        <f>K1238*(MIN(Inputs!$B$21+((C1258=TRUE)*(F1258-Calc!F24)),Inputs!$B$22+((C1263=TRUE)*(F1263-Calc!F29)))/100+(Inputs!$B$22+((C1263=TRUE)*(F1263-Calc!F29)))/100)/2</f>
        <v/>
      </c>
      <c r="M1238">
        <f>L1238*(1+(Inputs!$B$9+((C1260=TRUE)*(F1260-Calc!F26))+B1274)/100)</f>
        <v/>
      </c>
      <c r="N1238">
        <f>L1238*(1-MIN((Inputs!$B$8+((C1259=TRUE)*(F1259-Calc!F25))+B1267),100)/100)+M1238*(MIN((Inputs!$B$8+((C1259=TRUE)*(F1259-Calc!F25))+B1267),100)/100)</f>
        <v/>
      </c>
      <c r="O1238">
        <f>IF(C1238,H1238*N1238*IF(AND(Inputs!$B$4&lt;&gt;"pvp",Inputs!$B$35&gt;0),((Skills!G4*((R1238-1)*IF(Skills!H4&gt;0,Skills!I4/Skills!H4,1)+IF(Skills!H4&gt;0,MIN(Skills!I4,MAX(0,Inputs!$B$35-((R1238-1)*IF(Inputs!$B$4="pvp",15,MAX(0.1,Skills!D4-IF(Skills!E4=TRUE,Inputs!$B$31,0))))))/Skills!H4,1)))/Inputs!$B$35),G1238*Q1238)*IF(Inputs!$B$4="pvp",1,(1-Summary!$B$55)*(1)+Summary!$B$55*(MIN(MIN(10,0.5*B1271*Skills!D4),Inputs!$B$37))),0)</f>
        <v/>
      </c>
      <c r="P1238">
        <f>IF(B1279=0,0,O1238/B1279)</f>
        <v/>
      </c>
      <c r="Q1238">
        <f>IFERROR(1/IF(Inputs!$B$4="pvp",15,MAX(0.1,Skills!D4-IF(Skills!E4=TRUE,Inputs!$B$31,0))),0)</f>
        <v/>
      </c>
      <c r="R1238">
        <f>IF(AND(Inputs!$B$4&lt;&gt;"pvp",Inputs!$B$35&gt;0),(INT(Inputs!$B$35/IF(Inputs!$B$4="pvp",15,MAX(0.1,Skills!D4-IF(Skills!E4=TRUE,Inputs!$B$31,0))))+1),0)</f>
        <v/>
      </c>
      <c r="S1238">
        <f>IFERROR(O1238/N1238,0)</f>
        <v/>
      </c>
      <c r="U1238">
        <f>290*U1237/1000</f>
        <v/>
      </c>
    </row>
    <row r="1239">
      <c r="A1239">
        <f>Skills!A5</f>
        <v/>
      </c>
      <c r="B1239">
        <f>Skills!B5</f>
        <v/>
      </c>
      <c r="C1239">
        <f>Inputs!$B$3&gt;=63</f>
        <v/>
      </c>
      <c r="D1239">
        <f>IF(Skills!C5=1,60+Inputs!$B$24+Inputs!$B$28,IF(Skills!C5=2,90+Inputs!$B$25+Inputs!$B$28,IF(Skills!C5=3,120+Inputs!$B$26+Inputs!$B$28,MAX(0,(Inputs!$B$3-100)*3)+Inputs!$B$27+Inputs!$B$28)))</f>
        <v/>
      </c>
      <c r="E1239">
        <f>INDEX(FactorTable!$B$2:$Y$301, MATCH(ROUND(MIN(300,MAX(1,D1239)),0), FactorTable!$A$2:$A$301,0), Skills!M5+1)</f>
        <v/>
      </c>
      <c r="F1239">
        <f>IF(Skills!N5=TRUE,(Skills!L5/10)*(E1239/1000),Skills!L5/10)+Skills!O5</f>
        <v/>
      </c>
      <c r="G1239">
        <f>Skills!G5*IF(Skills!H5&gt;0,Skills!I5/Skills!H5,1)</f>
        <v/>
      </c>
      <c r="H1239">
        <f>1-(1-Skills!J5/100)^Skills!K5</f>
        <v/>
      </c>
      <c r="I1239" t="inlineStr">
        <is>
          <t>1</t>
        </is>
      </c>
      <c r="J1239">
        <f>(Inputs!$B$5*(1+Inputs!$B$6/100))*(F1239/100)</f>
        <v/>
      </c>
      <c r="K1239">
        <f>J1239*(1+((Inputs!$B$11*(1+Inputs!$B$12/100))*0.01+Inputs!$B$13*0.0025)/100)*(1+Inputs!$B$14/100)*(1+IF(Inputs!$B$4="pvp",0,(1-Summary!$B$55)*(Inputs!$B$19+0+Skills!P5+B1268)+Summary!$B$55*(Inputs!$B$20+Skills!Q5+B1268))/100)*(1+Inputs!$B$15/100)*(5000/(6000+Inputs!$B$7*(1-Inputs!$B$18/100)))*(1+(Inputs!$B$23+((C1264=TRUE)*(F1264-Calc!F30)))/100)*(1+2.6666666666666665*IF(C1252=TRUE,F1252,0)/100)*(1+(IF(Skills!A5="CRUEL_STAB",Inputs!$B$16+((C1261=TRUE)*(F1261-Calc!F27)),Inputs!$B$17+((C1262=TRUE)*(F1262-Calc!F28))))/100)*(((1+(((C1255=TRUE)*F1255*IF(AND(Inputs!$B$4&lt;&gt;"pvp",Inputs!$B$35&gt;0),(((S1255-1)*(Skills!Y21*(1+(Inputs!$B$33+1)/100))+MIN((Skills!Y21*(1+(Inputs!$B$33+1)/100)),MAX(0,Inputs!$B$35-((S1255-1)*Skills!D21))))/Inputs!$B$35),IF(Inputs!$B$4="pvp",MIN((Skills!Y21*(1+(Inputs!$B$33+1)/100)),15)/15,(Skills!Y21*(1+(Inputs!$B$33+1)/100))/Skills!D21)))+((C1257=TRUE)*(F1257-Calc!F23))+((C1251=TRUE)*(F1251-Calc!F17)))/100)*(1+((C1244=TRUE)*F1244*IF(AND(Inputs!$B$4&lt;&gt;"pvp",Inputs!$B$35&gt;0),(((S1244-1)*(Skills!Y10*(1+(Inputs!$B$33+1)/100))+MIN((Skills!Y10*(1+(Inputs!$B$33+1)/100)),MAX(0,Inputs!$B$35-((S1244-1)*Skills!D10))))/Inputs!$B$35),IF(Inputs!$B$4="pvp",MIN((Skills!Y10*(1+(Inputs!$B$33+1)/100)),15)/15,(Skills!Y10*(1+(Inputs!$B$33+1)/100))/Skills!D10)))/100)*(1+((C1249=TRUE)*F1249*IF(AND(Inputs!$B$4&lt;&gt;"pvp",Inputs!$B$35&gt;0),(((S1249-1)*(Skills!Y15*(1+(Inputs!$B$33+1)/100))+MIN((Skills!Y15*(1+(Inputs!$B$33+1)/100)),MAX(0,Inputs!$B$35-((S1249-1)*Skills!D15))))/Inputs!$B$35),IF(Inputs!$B$4="pvp",MIN((Skills!Y15*(1+(Inputs!$B$33+1)/100)),15)/15,(Skills!Y15*(1+(Inputs!$B$33+1)/100))/Skills!D15)))/100))*B1269*I1239)</f>
        <v/>
      </c>
      <c r="L1239">
        <f>K1239*(MIN(Inputs!$B$21+((C1258=TRUE)*(F1258-Calc!F24)),Inputs!$B$22+((C1263=TRUE)*(F1263-Calc!F29)))/100+(Inputs!$B$22+((C1263=TRUE)*(F1263-Calc!F29)))/100)/2</f>
        <v/>
      </c>
      <c r="M1239">
        <f>L1239*(1+(Inputs!$B$9+((C1260=TRUE)*(F1260-Calc!F26))+B1274)/100)</f>
        <v/>
      </c>
      <c r="N1239">
        <f>L1239*(1-MIN((Inputs!$B$8+((C1259=TRUE)*(F1259-Calc!F25))+B1267),100)/100)+M1239*(MIN((Inputs!$B$8+((C1259=TRUE)*(F1259-Calc!F25))+B1267),100)/100)</f>
        <v/>
      </c>
      <c r="O1239">
        <f>IF(C1239,H1239*N1239*IF(AND(Inputs!$B$4&lt;&gt;"pvp",Inputs!$B$35&gt;0),((Skills!G5*((R1239-1)*IF(Skills!H5&gt;0,Skills!I5/Skills!H5,1)+IF(Skills!H5&gt;0,MIN(Skills!I5,MAX(0,Inputs!$B$35-((R1239-1)*IF(Inputs!$B$4="pvp",15,MAX(0.1,Skills!D5-IF(Skills!E5=TRUE,Inputs!$B$31,0))))))/Skills!H5,1)))/Inputs!$B$35),G1239*Q1239)*IF(Inputs!$B$4="pvp",1,(1-Summary!$B$55)*(1)+Summary!$B$55*(MIN(Skills!W5,Inputs!$B$37))),0)</f>
        <v/>
      </c>
      <c r="P1239">
        <f>IF(B1279=0,0,O1239/B1279)</f>
        <v/>
      </c>
      <c r="Q1239">
        <f>IFERROR(1/IF(Inputs!$B$4="pvp",15,MAX(0.1,Skills!D5-IF(Skills!E5=TRUE,Inputs!$B$31,0))),0)</f>
        <v/>
      </c>
      <c r="R1239">
        <f>IF(AND(Inputs!$B$4&lt;&gt;"pvp",Inputs!$B$35&gt;0),(INT(Inputs!$B$35/IF(Inputs!$B$4="pvp",15,MAX(0.1,Skills!D5-IF(Skills!E5=TRUE,Inputs!$B$31,0))))+1),0)</f>
        <v/>
      </c>
      <c r="S1239">
        <f>IFERROR(O1239/N1239,0)</f>
        <v/>
      </c>
    </row>
    <row r="1240">
      <c r="A1240">
        <f>Skills!A6</f>
        <v/>
      </c>
      <c r="B1240">
        <f>Skills!B6</f>
        <v/>
      </c>
      <c r="C1240">
        <f>Inputs!$B$3&gt;=69</f>
        <v/>
      </c>
      <c r="D1240">
        <f>IF(Skills!C6=1,60+Inputs!$B$24+Inputs!$B$28,IF(Skills!C6=2,90+Inputs!$B$25+Inputs!$B$28,IF(Skills!C6=3,120+Inputs!$B$26+Inputs!$B$28,MAX(0,(Inputs!$B$3-100)*3)+Inputs!$B$27+Inputs!$B$28)))</f>
        <v/>
      </c>
      <c r="E1240">
        <f>INDEX(FactorTable!$B$2:$Y$301, MATCH(ROUND(MIN(300,MAX(1,D1240)),0), FactorTable!$A$2:$A$301,0), Skills!M6+1)</f>
        <v/>
      </c>
      <c r="F1240">
        <f>IF(Skills!N6=TRUE,(Skills!L6/10)*(E1240/1000),Skills!L6/10)+Skills!O6</f>
        <v/>
      </c>
      <c r="G1240">
        <f>Skills!G6*IF(Skills!H6&gt;0,Skills!I6/Skills!H6,1)</f>
        <v/>
      </c>
      <c r="H1240">
        <f>1-(1-Skills!J6/100)^Skills!K6</f>
        <v/>
      </c>
      <c r="I1240" t="inlineStr">
        <is>
          <t>1</t>
        </is>
      </c>
      <c r="J1240">
        <f>(Inputs!$B$5*(1+Inputs!$B$6/100))*(F1240/100)</f>
        <v/>
      </c>
      <c r="K1240">
        <f>J1240*(1+((Inputs!$B$11*(1+Inputs!$B$12/100))*0.01+Inputs!$B$13*0.0025)/100)*(1+Inputs!$B$14/100)*(1+IF(Inputs!$B$4="pvp",0,(1-Summary!$B$55)*(Inputs!$B$19+0+Skills!P6+B1268)+Summary!$B$55*(Inputs!$B$20+Skills!Q6+B1268))/100)*(1+Inputs!$B$15/100)*(5000/(6000+Inputs!$B$7*(1-Inputs!$B$18/100)))*(1+(Inputs!$B$23+((C1264=TRUE)*(F1264-Calc!F30)))/100)*(1+1.0*IF(C1252=TRUE,F1252,0)/100)*(1+(IF(Skills!A6="CRUEL_STAB",Inputs!$B$16+((C1261=TRUE)*(F1261-Calc!F27)),Inputs!$B$17+((C1262=TRUE)*(F1262-Calc!F28))))/100)*(((1+(((C1255=TRUE)*F1255*IF(AND(Inputs!$B$4&lt;&gt;"pvp",Inputs!$B$35&gt;0),(((S1255-1)*(Skills!Y21*(1+(Inputs!$B$33+1)/100))+MIN((Skills!Y21*(1+(Inputs!$B$33+1)/100)),MAX(0,Inputs!$B$35-((S1255-1)*Skills!D21))))/Inputs!$B$35),IF(Inputs!$B$4="pvp",MIN((Skills!Y21*(1+(Inputs!$B$33+1)/100)),15)/15,(Skills!Y21*(1+(Inputs!$B$33+1)/100))/Skills!D21)))+((C1257=TRUE)*(F1257-Calc!F23))+((C1251=TRUE)*(F1251-Calc!F17)))/100)*(1+((C1244=TRUE)*F1244*IF(AND(Inputs!$B$4&lt;&gt;"pvp",Inputs!$B$35&gt;0),(((S1244-1)*(Skills!Y10*(1+(Inputs!$B$33+1)/100))+MIN((Skills!Y10*(1+(Inputs!$B$33+1)/100)),MAX(0,Inputs!$B$35-((S1244-1)*Skills!D10))))/Inputs!$B$35),IF(Inputs!$B$4="pvp",MIN((Skills!Y10*(1+(Inputs!$B$33+1)/100)),15)/15,(Skills!Y10*(1+(Inputs!$B$33+1)/100))/Skills!D10)))/100)*(1+((C1249=TRUE)*F1249*IF(AND(Inputs!$B$4&lt;&gt;"pvp",Inputs!$B$35&gt;0),(((S1249-1)*(Skills!Y15*(1+(Inputs!$B$33+1)/100))+MIN((Skills!Y15*(1+(Inputs!$B$33+1)/100)),MAX(0,Inputs!$B$35-((S1249-1)*Skills!D15))))/Inputs!$B$35),IF(Inputs!$B$4="pvp",MIN((Skills!Y15*(1+(Inputs!$B$33+1)/100)),15)/15,(Skills!Y15*(1+(Inputs!$B$33+1)/100))/Skills!D15)))/100))*B1269*I1240)</f>
        <v/>
      </c>
      <c r="L1240">
        <f>K1240*(MIN(Inputs!$B$21+((C1258=TRUE)*(F1258-Calc!F24)),Inputs!$B$22+((C1263=TRUE)*(F1263-Calc!F29)))/100+(Inputs!$B$22+((C1263=TRUE)*(F1263-Calc!F29)))/100)/2</f>
        <v/>
      </c>
      <c r="M1240">
        <f>L1240*(1+(Inputs!$B$9+((C1260=TRUE)*(F1260-Calc!F26))+B1274)/100)</f>
        <v/>
      </c>
      <c r="N1240">
        <f>L1240*(1-MIN((Inputs!$B$8+((C1259=TRUE)*(F1259-Calc!F25))+B1267),100)/100)+M1240*(MIN((Inputs!$B$8+((C1259=TRUE)*(F1259-Calc!F25))+B1267),100)/100)</f>
        <v/>
      </c>
      <c r="O1240">
        <f>IF(C1240,H1240*N1240*IF(AND(Inputs!$B$4&lt;&gt;"pvp",Inputs!$B$35&gt;0),((Skills!G6*((R1240-1)*IF(Skills!H6&gt;0,Skills!I6/Skills!H6,1)+IF(Skills!H6&gt;0,MIN(Skills!I6,MAX(0,Inputs!$B$35-((R1240-1)*IF(Inputs!$B$4="pvp",15,MAX(0.1,Skills!D6-IF(Skills!E6=TRUE,Inputs!$B$31,0))))))/Skills!H6,1)))/Inputs!$B$35),G1240*Q1240)*IF(Inputs!$B$4="pvp",1,(1-Summary!$B$55)*(1)+Summary!$B$55*(MIN(Skills!W6,Inputs!$B$37))),0)</f>
        <v/>
      </c>
      <c r="P1240">
        <f>IF(B1279=0,0,O1240/B1279)</f>
        <v/>
      </c>
      <c r="Q1240">
        <f>IFERROR(1/IF(Inputs!$B$4="pvp",15,MAX(0.1,Skills!D6-IF(Skills!E6=TRUE,Inputs!$B$31,0))),0)</f>
        <v/>
      </c>
      <c r="R1240">
        <f>IF(AND(Inputs!$B$4&lt;&gt;"pvp",Inputs!$B$35&gt;0),(INT(Inputs!$B$35/IF(Inputs!$B$4="pvp",15,MAX(0.1,Skills!D6-IF(Skills!E6=TRUE,Inputs!$B$31,0))))+1),0)</f>
        <v/>
      </c>
      <c r="S1240">
        <f>IFERROR(O1240/N1240,0)</f>
        <v/>
      </c>
    </row>
    <row r="1241">
      <c r="A1241">
        <f>Skills!A7</f>
        <v/>
      </c>
      <c r="B1241">
        <f>Skills!B7</f>
        <v/>
      </c>
      <c r="C1241">
        <f>Inputs!$B$3&gt;=60</f>
        <v/>
      </c>
      <c r="D1241">
        <f>IF(Skills!C7=1,60+Inputs!$B$24+Inputs!$B$28,IF(Skills!C7=2,90+Inputs!$B$25+Inputs!$B$28,IF(Skills!C7=3,120+Inputs!$B$26+Inputs!$B$28,MAX(0,(Inputs!$B$3-100)*3)+Inputs!$B$27+Inputs!$B$28)))</f>
        <v/>
      </c>
      <c r="E1241">
        <f>INDEX(FactorTable!$B$2:$Y$301, MATCH(ROUND(MIN(300,MAX(1,D1241)),0), FactorTable!$A$2:$A$301,0), Skills!M7+1)</f>
        <v/>
      </c>
      <c r="F1241">
        <f>IF(Skills!N7=TRUE,(Skills!L7/10)*(E1241/1000),Skills!L7/10)+Skills!O7</f>
        <v/>
      </c>
      <c r="G1241">
        <f>Skills!G7*IF(Skills!H7&gt;0,Skills!I7/Skills!H7,1)</f>
        <v/>
      </c>
      <c r="H1241">
        <f>1-(1-Skills!J7/100)^Skills!K7</f>
        <v/>
      </c>
      <c r="I1241" t="inlineStr">
        <is>
          <t>1</t>
        </is>
      </c>
      <c r="J1241" t="inlineStr"/>
      <c r="K1241" t="inlineStr"/>
      <c r="L1241" t="inlineStr"/>
      <c r="M1241" t="inlineStr"/>
      <c r="N1241" t="inlineStr"/>
      <c r="O1241" t="n">
        <v>0</v>
      </c>
      <c r="P1241">
        <f>IF(B1279=0,0,O1241/B1279)</f>
        <v/>
      </c>
      <c r="Q1241" t="n">
        <v>0</v>
      </c>
      <c r="R1241" t="n">
        <v>0</v>
      </c>
      <c r="S1241">
        <f>IFERROR(O1241/N1241,0)</f>
        <v/>
      </c>
    </row>
    <row r="1242">
      <c r="A1242">
        <f>Skills!A8</f>
        <v/>
      </c>
      <c r="B1242">
        <f>Skills!B8</f>
        <v/>
      </c>
      <c r="C1242">
        <f>Inputs!$B$3&gt;=72</f>
        <v/>
      </c>
      <c r="D1242">
        <f>IF(Skills!C8=1,60+Inputs!$B$24+Inputs!$B$28,IF(Skills!C8=2,90+Inputs!$B$25+Inputs!$B$28,IF(Skills!C8=3,120+Inputs!$B$26+Inputs!$B$28,MAX(0,(Inputs!$B$3-100)*3)+Inputs!$B$27+Inputs!$B$28)))</f>
        <v/>
      </c>
      <c r="E1242">
        <f>INDEX(FactorTable!$B$2:$Y$301, MATCH(ROUND(MIN(300,MAX(1,D1242)),0), FactorTable!$A$2:$A$301,0), Skills!M8+1)</f>
        <v/>
      </c>
      <c r="F1242">
        <f>IF(Skills!N8=TRUE,(Skills!L8/10)*(E1242/1000),Skills!L8/10)+Skills!O8</f>
        <v/>
      </c>
      <c r="G1242">
        <f>Skills!G8*IF(Skills!H8&gt;0,Skills!I8/Skills!H8,1)</f>
        <v/>
      </c>
      <c r="H1242">
        <f>1-(1-Skills!J8/100)^Skills!K8</f>
        <v/>
      </c>
      <c r="I1242" t="inlineStr">
        <is>
          <t>1</t>
        </is>
      </c>
      <c r="J1242">
        <f>(Inputs!$B$5*(1+Inputs!$B$6/100))*(F1242/100)</f>
        <v/>
      </c>
      <c r="K1242">
        <f>J1242*(1+((Inputs!$B$11*(1+Inputs!$B$12/100))*0.01+Inputs!$B$13*0.0025)/100)*(1+Inputs!$B$14/100)*(1+IF(Inputs!$B$4="pvp",0,(1-Summary!$B$55)*(Inputs!$B$19+0+Skills!P8+B1268)+Summary!$B$55*(Inputs!$B$20+Skills!Q8+B1268))/100)*(1+Inputs!$B$15/100)*(5000/(6000+Inputs!$B$7*(1-Inputs!$B$18/100)))*(1+(Inputs!$B$23+((C1264=TRUE)*(F1264-Calc!F30)))/100)*(1+3.3333333333333335*IF(C1252=TRUE,F1252,0)/100)*(1+(IF(Skills!A8="CRUEL_STAB",Inputs!$B$16+((C1261=TRUE)*(F1261-Calc!F27)),Inputs!$B$17+((C1262=TRUE)*(F1262-Calc!F28))))/100)*(((1+(((C1255=TRUE)*F1255*IF(AND(Inputs!$B$4&lt;&gt;"pvp",Inputs!$B$35&gt;0),(((S1255-1)*(Skills!Y21*(1+(Inputs!$B$33+1)/100))+MIN((Skills!Y21*(1+(Inputs!$B$33+1)/100)),MAX(0,Inputs!$B$35-((S1255-1)*Skills!D21))))/Inputs!$B$35),IF(Inputs!$B$4="pvp",MIN((Skills!Y21*(1+(Inputs!$B$33+1)/100)),15)/15,(Skills!Y21*(1+(Inputs!$B$33+1)/100))/Skills!D21)))+((C1257=TRUE)*(F1257-Calc!F23))+((C1251=TRUE)*(F1251-Calc!F17)))/100)*(1+((C1244=TRUE)*F1244*IF(AND(Inputs!$B$4&lt;&gt;"pvp",Inputs!$B$35&gt;0),(((S1244-1)*(Skills!Y10*(1+(Inputs!$B$33+1)/100))+MIN((Skills!Y10*(1+(Inputs!$B$33+1)/100)),MAX(0,Inputs!$B$35-((S1244-1)*Skills!D10))))/Inputs!$B$35),IF(Inputs!$B$4="pvp",MIN((Skills!Y10*(1+(Inputs!$B$33+1)/100)),15)/15,(Skills!Y10*(1+(Inputs!$B$33+1)/100))/Skills!D10)))/100)*(1+((C1249=TRUE)*F1249*IF(AND(Inputs!$B$4&lt;&gt;"pvp",Inputs!$B$35&gt;0),(((S1249-1)*(Skills!Y15*(1+(Inputs!$B$33+1)/100))+MIN((Skills!Y15*(1+(Inputs!$B$33+1)/100)),MAX(0,Inputs!$B$35-((S1249-1)*Skills!D15))))/Inputs!$B$35),IF(Inputs!$B$4="pvp",MIN((Skills!Y15*(1+(Inputs!$B$33+1)/100)),15)/15,(Skills!Y15*(1+(Inputs!$B$33+1)/100))/Skills!D15)))/100))*B1269*I1242)</f>
        <v/>
      </c>
      <c r="L1242">
        <f>K1242*(MIN(Inputs!$B$21+((C1258=TRUE)*(F1258-Calc!F24)),Inputs!$B$22+((C1263=TRUE)*(F1263-Calc!F29)))/100+(Inputs!$B$22+((C1263=TRUE)*(F1263-Calc!F29)))/100)/2</f>
        <v/>
      </c>
      <c r="M1242">
        <f>L1242*(1+(Inputs!$B$9+((C1260=TRUE)*(F1260-Calc!F26))+B1274)/100)</f>
        <v/>
      </c>
      <c r="N1242">
        <f>L1242*(1-MIN((Inputs!$B$8+((C1259=TRUE)*(F1259-Calc!F25))+B1267),100)/100)+M1242*(MIN((Inputs!$B$8+((C1259=TRUE)*(F1259-Calc!F25))+B1267),100)/100)</f>
        <v/>
      </c>
      <c r="O1242">
        <f>IF(C1242,H1242*N1242*IF(AND(Inputs!$B$4&lt;&gt;"pvp",Inputs!$B$35&gt;0),((Skills!G8*((R1242-1)*IF(Skills!H8&gt;0,Skills!I8/Skills!H8,1)+IF(Skills!H8&gt;0,MIN(Skills!I8,MAX(0,Inputs!$B$35-((R1242-1)*IF(Inputs!$B$4="pvp",15,MAX(0.1,Skills!D8-IF(Skills!E8=TRUE,Inputs!$B$31,0))))))/Skills!H8,1)))/Inputs!$B$35),G1242*Q1242)*IF(Inputs!$B$4="pvp",1,(1-Summary!$B$55)*(1)+Summary!$B$55*(MIN(Skills!W8,Inputs!$B$37))),0)</f>
        <v/>
      </c>
      <c r="P1242">
        <f>IF(B1279=0,0,O1242/B1279)</f>
        <v/>
      </c>
      <c r="Q1242">
        <f>IFERROR(1/IF(Inputs!$B$4="pvp",15,MAX(0.1,Skills!D8-IF(Skills!E8=TRUE,Inputs!$B$31,0))),0)</f>
        <v/>
      </c>
      <c r="R1242">
        <f>IF(AND(Inputs!$B$4&lt;&gt;"pvp",Inputs!$B$35&gt;0),(INT(Inputs!$B$35/IF(Inputs!$B$4="pvp",15,MAX(0.1,Skills!D8-IF(Skills!E8=TRUE,Inputs!$B$31,0))))+1),0)</f>
        <v/>
      </c>
      <c r="S1242">
        <f>IFERROR(O1242/N1242,0)</f>
        <v/>
      </c>
    </row>
    <row r="1243">
      <c r="A1243">
        <f>Skills!A9</f>
        <v/>
      </c>
      <c r="B1243">
        <f>Skills!B9</f>
        <v/>
      </c>
      <c r="C1243">
        <f>Inputs!$B$3&gt;=117</f>
        <v/>
      </c>
      <c r="D1243">
        <f>IF(Skills!C9=1,60+Inputs!$B$24+Inputs!$B$28,IF(Skills!C9=2,90+Inputs!$B$25+Inputs!$B$28,IF(Skills!C9=3,120+Inputs!$B$26+Inputs!$B$28,MAX(0,(Inputs!$B$3-100)*3)+Inputs!$B$27+Inputs!$B$28)))</f>
        <v/>
      </c>
      <c r="E1243">
        <f>INDEX(FactorTable!$B$2:$Y$301, MATCH(ROUND(MIN(300,MAX(1,D1243)),0), FactorTable!$A$2:$A$301,0), Skills!M9+1)</f>
        <v/>
      </c>
      <c r="F1243">
        <f>IF(Skills!N9=TRUE,(Skills!L9/10)*(E1243/1000),Skills!L9/10)+Skills!O9</f>
        <v/>
      </c>
      <c r="G1243">
        <f>Skills!G9*IF(Skills!H9&gt;0,Skills!I9/Skills!H9,1)</f>
        <v/>
      </c>
      <c r="H1243">
        <f>1-(1-Skills!J9/100)^Skills!K9</f>
        <v/>
      </c>
      <c r="I1243" t="inlineStr">
        <is>
          <t>1</t>
        </is>
      </c>
      <c r="J1243">
        <f>(Inputs!$B$5*(1+Inputs!$B$6/100))*(F1243/100)</f>
        <v/>
      </c>
      <c r="K1243">
        <f>J1243*(1+((Inputs!$B$11*(1+Inputs!$B$12/100))*0.01+Inputs!$B$13*0.0025)/100)*(1+Inputs!$B$14/100)*(1+IF(Inputs!$B$4="pvp",0,(1-Summary!$B$55)*(Inputs!$B$19+0+Skills!P9+B1268)+Summary!$B$55*(Inputs!$B$20+Skills!Q9+B1268))/100)*(1+Inputs!$B$15/100)*(5000/(6000+Inputs!$B$7*(1-Inputs!$B$18/100)))*(1+(Inputs!$B$23+((C1264=TRUE)*(F1264-Calc!F30)))/100)*(1+(IF(Skills!A9="CRUEL_STAB",Inputs!$B$16+((C1261=TRUE)*(F1261-Calc!F27)),Inputs!$B$17+((C1262=TRUE)*(F1262-Calc!F28))))/100)*(((1+(((C1255=TRUE)*F1255*IF(AND(Inputs!$B$4&lt;&gt;"pvp",Inputs!$B$35&gt;0),(((S1255-1)*(Skills!Y21*(1+(Inputs!$B$33+1)/100))+MIN((Skills!Y21*(1+(Inputs!$B$33+1)/100)),MAX(0,Inputs!$B$35-((S1255-1)*Skills!D21))))/Inputs!$B$35),IF(Inputs!$B$4="pvp",MIN((Skills!Y21*(1+(Inputs!$B$33+1)/100)),15)/15,(Skills!Y21*(1+(Inputs!$B$33+1)/100))/Skills!D21)))+((C1257=TRUE)*(F1257-Calc!F23))+((C1251=TRUE)*(F1251-Calc!F17)))/100)*(1+((C1244=TRUE)*F1244*IF(AND(Inputs!$B$4&lt;&gt;"pvp",Inputs!$B$35&gt;0),(((S1244-1)*(Skills!Y10*(1+(Inputs!$B$33+1)/100))+MIN((Skills!Y10*(1+(Inputs!$B$33+1)/100)),MAX(0,Inputs!$B$35-((S1244-1)*Skills!D10))))/Inputs!$B$35),IF(Inputs!$B$4="pvp",MIN((Skills!Y10*(1+(Inputs!$B$33+1)/100)),15)/15,(Skills!Y10*(1+(Inputs!$B$33+1)/100))/Skills!D10)))/100)*(1+((C1249=TRUE)*F1249*IF(AND(Inputs!$B$4&lt;&gt;"pvp",Inputs!$B$35&gt;0),(((S1249-1)*(Skills!Y15*(1+(Inputs!$B$33+1)/100))+MIN((Skills!Y15*(1+(Inputs!$B$33+1)/100)),MAX(0,Inputs!$B$35-((S1249-1)*Skills!D15))))/Inputs!$B$35),IF(Inputs!$B$4="pvp",MIN((Skills!Y15*(1+(Inputs!$B$33+1)/100)),15)/15,(Skills!Y15*(1+(Inputs!$B$33+1)/100))/Skills!D15)))/100))*B1269*I1243)</f>
        <v/>
      </c>
      <c r="L1243">
        <f>K1243*(MIN(Inputs!$B$21+((C1258=TRUE)*(F1258-Calc!F24)),Inputs!$B$22+((C1263=TRUE)*(F1263-Calc!F29)))/100+(Inputs!$B$22+((C1263=TRUE)*(F1263-Calc!F29)))/100)/2</f>
        <v/>
      </c>
      <c r="M1243">
        <f>L1243*(1+(Inputs!$B$9+((C1260=TRUE)*(F1260-Calc!F26))+B1274)/100)</f>
        <v/>
      </c>
      <c r="N1243">
        <f>L1243*(1-MIN((Inputs!$B$8+((C1259=TRUE)*(F1259-Calc!F25))+B1267),100)/100)+M1243*(MIN((Inputs!$B$8+((C1259=TRUE)*(F1259-Calc!F25))+B1267),100)/100)</f>
        <v/>
      </c>
      <c r="O1243">
        <f>IF(C1243,0.2*SUMPRODUCT((Skills!Z2:Z30=TRUE)*(C1236:C1264=TRUE)*S1236:S1264)*N1243,0)</f>
        <v/>
      </c>
      <c r="P1243">
        <f>IF(B1279=0,0,O1243/B1279)</f>
        <v/>
      </c>
      <c r="Q1243" t="n">
        <v>0</v>
      </c>
      <c r="R1243" t="n">
        <v>0</v>
      </c>
      <c r="S1243" t="n">
        <v>0</v>
      </c>
    </row>
    <row r="1244">
      <c r="A1244">
        <f>Skills!A10</f>
        <v/>
      </c>
      <c r="B1244">
        <f>Skills!B10</f>
        <v/>
      </c>
      <c r="C1244">
        <f>Inputs!$B$3&gt;=74</f>
        <v/>
      </c>
      <c r="D1244">
        <f>IF(Skills!C10=1,60+Inputs!$B$24+Inputs!$B$28,IF(Skills!C10=2,90+Inputs!$B$25+Inputs!$B$28,IF(Skills!C10=3,120+Inputs!$B$26+Inputs!$B$28,MAX(0,(Inputs!$B$3-100)*3)+Inputs!$B$27+Inputs!$B$28)))</f>
        <v/>
      </c>
      <c r="E1244">
        <f>INDEX(FactorTable!$B$2:$Y$301, MATCH(ROUND(MIN(300,MAX(1,D1244)),0), FactorTable!$A$2:$A$301,0), Skills!M10+1)</f>
        <v/>
      </c>
      <c r="F1244">
        <f>IF(Skills!N10=TRUE,(Skills!L10/10)*(E1244/1000),Skills!L10/10)+Skills!O10</f>
        <v/>
      </c>
      <c r="G1244">
        <f>Skills!G10*IF(Skills!H10&gt;0,Skills!I10/Skills!H10,1)</f>
        <v/>
      </c>
      <c r="H1244">
        <f>1-(1-Skills!J10/100)^Skills!K10</f>
        <v/>
      </c>
      <c r="I1244" t="inlineStr">
        <is>
          <t>1</t>
        </is>
      </c>
      <c r="J1244" t="inlineStr"/>
      <c r="K1244" t="inlineStr"/>
      <c r="L1244" t="inlineStr"/>
      <c r="M1244" t="inlineStr"/>
      <c r="N1244" t="inlineStr"/>
      <c r="O1244" t="n">
        <v>0</v>
      </c>
      <c r="P1244">
        <f>IF(B1279=0,0,O1244/B1279)</f>
        <v/>
      </c>
      <c r="Q1244">
        <f>IFERROR(1/IF(Inputs!$B$4="pvp",15,MAX(0.1,Skills!D10-IF(Skills!E10=TRUE,Inputs!$B$31,0))),0)</f>
        <v/>
      </c>
      <c r="R1244">
        <f>IF(AND(Inputs!$B$4&lt;&gt;"pvp",Inputs!$B$35&gt;0),(INT(Inputs!$B$35/IF(Inputs!$B$4="pvp",15,MAX(0.1,Skills!D10-IF(Skills!E10=TRUE,Inputs!$B$31,0))))+1),0)</f>
        <v/>
      </c>
      <c r="S1244">
        <f>IFERROR(O1244/N1244,0)</f>
        <v/>
      </c>
    </row>
    <row r="1245">
      <c r="A1245">
        <f>Skills!A11</f>
        <v/>
      </c>
      <c r="B1245">
        <f>Skills!B11</f>
        <v/>
      </c>
      <c r="C1245">
        <f>Inputs!$B$3&gt;=103</f>
        <v/>
      </c>
      <c r="D1245">
        <f>IF(Skills!C11=1,60+Inputs!$B$24+Inputs!$B$28,IF(Skills!C11=2,90+Inputs!$B$25+Inputs!$B$28,IF(Skills!C11=3,120+Inputs!$B$26+Inputs!$B$28,MAX(0,(Inputs!$B$3-100)*3)+Inputs!$B$27+Inputs!$B$28)))</f>
        <v/>
      </c>
      <c r="E1245">
        <f>INDEX(FactorTable!$B$2:$Y$301, MATCH(ROUND(MIN(300,MAX(1,D1245)),0), FactorTable!$A$2:$A$301,0), Skills!M11+1)</f>
        <v/>
      </c>
      <c r="F1245">
        <f>(Skills!L11/10)*(E1245/1000)+IF(Inputs!$B$3&gt;=134,50,0)+0.5*(30000/10)*(INDEX(FactorTable!$B$2:$Y$301, MATCH(ROUND(MIN(300,MAX(1,D1245)),0), FactorTable!$A$2:$A$301,0), 13)/1000)*B1277</f>
        <v/>
      </c>
      <c r="G1245">
        <f>Skills!G11*IF(Skills!H11&gt;0,Skills!I11/Skills!H11,1)</f>
        <v/>
      </c>
      <c r="H1245">
        <f>1-(1-Skills!J11/100)^Skills!K11</f>
        <v/>
      </c>
      <c r="I1245" t="inlineStr">
        <is>
          <t>1</t>
        </is>
      </c>
      <c r="J1245">
        <f>(Inputs!$B$5*(1+Inputs!$B$6/100))*(F1245/100)</f>
        <v/>
      </c>
      <c r="K1245">
        <f>J1245*(1+((Inputs!$B$11*(1+Inputs!$B$12/100))*0.01+Inputs!$B$13*0.0025)/100)*(1+Inputs!$B$14/100)*(1+IF(Inputs!$B$4="pvp",0,(1-Summary!$B$55)*(Inputs!$B$19+0+Skills!P11+B1268)+Summary!$B$55*(Inputs!$B$20+Skills!Q11+B1268))/100)*(1+Inputs!$B$15/100)*(5000/(6000+Inputs!$B$7*(1-Inputs!$B$18/100)))*(1+(Inputs!$B$23+((C1264=TRUE)*(F1264-Calc!F30)))/100)*(1+(IF(Skills!A11="CRUEL_STAB",Inputs!$B$16+((C1261=TRUE)*(F1261-Calc!F27)),Inputs!$B$17+((C1262=TRUE)*(F1262-Calc!F28))))/100)*(((1+(((C1255=TRUE)*F1255*IF(AND(Inputs!$B$4&lt;&gt;"pvp",Inputs!$B$35&gt;0),(((S1255-1)*(Skills!Y21*(1+(Inputs!$B$33+1)/100))+MIN((Skills!Y21*(1+(Inputs!$B$33+1)/100)),MAX(0,Inputs!$B$35-((S1255-1)*Skills!D21))))/Inputs!$B$35),IF(Inputs!$B$4="pvp",MIN((Skills!Y21*(1+(Inputs!$B$33+1)/100)),15)/15,(Skills!Y21*(1+(Inputs!$B$33+1)/100))/Skills!D21)))+((C1257=TRUE)*(F1257-Calc!F23))+((C1251=TRUE)*(F1251-Calc!F17)))/100)*(1+((C1244=TRUE)*F1244*IF(AND(Inputs!$B$4&lt;&gt;"pvp",Inputs!$B$35&gt;0),(((S1244-1)*(Skills!Y10*(1+(Inputs!$B$33+1)/100))+MIN((Skills!Y10*(1+(Inputs!$B$33+1)/100)),MAX(0,Inputs!$B$35-((S1244-1)*Skills!D10))))/Inputs!$B$35),IF(Inputs!$B$4="pvp",MIN((Skills!Y10*(1+(Inputs!$B$33+1)/100)),15)/15,(Skills!Y10*(1+(Inputs!$B$33+1)/100))/Skills!D10)))/100)*(1+((C1249=TRUE)*F1249*IF(AND(Inputs!$B$4&lt;&gt;"pvp",Inputs!$B$35&gt;0),(((S1249-1)*(Skills!Y15*(1+(Inputs!$B$33+1)/100))+MIN((Skills!Y15*(1+(Inputs!$B$33+1)/100)),MAX(0,Inputs!$B$35-((S1249-1)*Skills!D15))))/Inputs!$B$35),IF(Inputs!$B$4="pvp",MIN((Skills!Y15*(1+(Inputs!$B$33+1)/100)),15)/15,(Skills!Y15*(1+(Inputs!$B$33+1)/100))/Skills!D15)))/100))*B1269*I1245)</f>
        <v/>
      </c>
      <c r="L1245">
        <f>K1245*(MIN(Inputs!$B$21+((C1258=TRUE)*(F1258-Calc!F24)),Inputs!$B$22+((C1263=TRUE)*(F1263-Calc!F29)))/100+(Inputs!$B$22+((C1263=TRUE)*(F1263-Calc!F29)))/100)/2</f>
        <v/>
      </c>
      <c r="M1245">
        <f>L1245*(1+(Inputs!$B$9+((C1260=TRUE)*(F1260-Calc!F26))+B1274)/100)</f>
        <v/>
      </c>
      <c r="N1245">
        <f>L1245*(1-MIN((Inputs!$B$8+((C1259=TRUE)*(F1259-Calc!F25))+B1267),100)/100)+M1245*(MIN((Inputs!$B$8+((C1259=TRUE)*(F1259-Calc!F25))+B1267),100)/100)</f>
        <v/>
      </c>
      <c r="O1245">
        <f>IF(C1245,H1245*N1245*IF(AND(Inputs!$B$4&lt;&gt;"pvp",Inputs!$B$35&gt;0),((Skills!G11*((R1245-1)*IF(Skills!H11&gt;0,Skills!I11/Skills!H11,1)+IF(Skills!H11&gt;0,MIN(Skills!I11,MAX(0,Inputs!$B$35-((R1245-1)*IF(Inputs!$B$4="pvp",15,MAX(0.1,Skills!D11-IF(Skills!E11=TRUE,Inputs!$B$31,0))))))/Skills!H11,1)))/Inputs!$B$35),G1245*Q1245)*IF(Inputs!$B$4="pvp",1,(1-Summary!$B$55)*(1)+Summary!$B$55*(MIN(Skills!W11,Inputs!$B$37))),0)</f>
        <v/>
      </c>
      <c r="P1245">
        <f>IF(B1279=0,0,O1245/B1279)</f>
        <v/>
      </c>
      <c r="Q1245">
        <f>IFERROR(1/IF(Inputs!$B$4="pvp",15,MAX(0.1,Skills!D11-IF(Skills!E11=TRUE,Inputs!$B$31,0))),0)</f>
        <v/>
      </c>
      <c r="R1245">
        <f>IF(AND(Inputs!$B$4&lt;&gt;"pvp",Inputs!$B$35&gt;0),(INT(Inputs!$B$35/IF(Inputs!$B$4="pvp",15,MAX(0.1,Skills!D11-IF(Skills!E11=TRUE,Inputs!$B$31,0))))+1),0)</f>
        <v/>
      </c>
      <c r="S1245">
        <f>IFERROR(O1245/N1245,0)</f>
        <v/>
      </c>
    </row>
    <row r="1246">
      <c r="A1246">
        <f>Skills!A12</f>
        <v/>
      </c>
      <c r="B1246">
        <f>Skills!B12</f>
        <v/>
      </c>
      <c r="C1246">
        <f>Inputs!$B$3&gt;=105</f>
        <v/>
      </c>
      <c r="D1246">
        <f>IF(Skills!C12=1,60+Inputs!$B$24+Inputs!$B$28,IF(Skills!C12=2,90+Inputs!$B$25+Inputs!$B$28,IF(Skills!C12=3,120+Inputs!$B$26+Inputs!$B$28,MAX(0,(Inputs!$B$3-100)*3)+Inputs!$B$27+Inputs!$B$28)))</f>
        <v/>
      </c>
      <c r="E1246">
        <f>INDEX(FactorTable!$B$2:$Y$301, MATCH(ROUND(MIN(300,MAX(1,D1246)),0), FactorTable!$A$2:$A$301,0), Skills!M12+1)</f>
        <v/>
      </c>
      <c r="F1246">
        <f>IF(Skills!N12=TRUE,(Skills!L12/10)*(E1246/1000),Skills!L12/10)+Skills!O12</f>
        <v/>
      </c>
      <c r="G1246">
        <f>Skills!G12*IF(Skills!H12&gt;0,Skills!I12/Skills!H12,1)</f>
        <v/>
      </c>
      <c r="H1246">
        <f>1-(1-Skills!J12/100)^Skills!K12</f>
        <v/>
      </c>
      <c r="I1246" t="inlineStr">
        <is>
          <t>1</t>
        </is>
      </c>
      <c r="J1246">
        <f>(Inputs!$B$5*(1+Inputs!$B$6/100))*(F1246/100)</f>
        <v/>
      </c>
      <c r="K1246">
        <f>J1246*(1+((Inputs!$B$11*(1+Inputs!$B$12/100))*0.01+Inputs!$B$13*0.0025)/100)*(1+Inputs!$B$14/100)*(1+IF(Inputs!$B$4="pvp",0,(1-Summary!$B$55)*(Inputs!$B$19+0+Skills!P12+B1268)+Summary!$B$55*(Inputs!$B$20+Skills!Q12+B1268))/100)*(1+Inputs!$B$15/100)*(5000/(6000+Inputs!$B$7*(1-Inputs!$B$18/100)))*(1+(Inputs!$B$23+((C1264=TRUE)*(F1264-Calc!F30)))/100)*(1+(IF(Skills!A12="CRUEL_STAB",Inputs!$B$16+((C1261=TRUE)*(F1261-Calc!F27)),Inputs!$B$17+((C1262=TRUE)*(F1262-Calc!F28))))/100)*(((1+(((C1255=TRUE)*F1255*IF(AND(Inputs!$B$4&lt;&gt;"pvp",Inputs!$B$35&gt;0),(((S1255-1)*(Skills!Y21*(1+(Inputs!$B$33+1)/100))+MIN((Skills!Y21*(1+(Inputs!$B$33+1)/100)),MAX(0,Inputs!$B$35-((S1255-1)*Skills!D21))))/Inputs!$B$35),IF(Inputs!$B$4="pvp",MIN((Skills!Y21*(1+(Inputs!$B$33+1)/100)),15)/15,(Skills!Y21*(1+(Inputs!$B$33+1)/100))/Skills!D21)))+((C1257=TRUE)*(F1257-Calc!F23))+((C1251=TRUE)*(F1251-Calc!F17)))/100)*(1+((C1244=TRUE)*F1244*IF(AND(Inputs!$B$4&lt;&gt;"pvp",Inputs!$B$35&gt;0),(((S1244-1)*(Skills!Y10*(1+(Inputs!$B$33+1)/100))+MIN((Skills!Y10*(1+(Inputs!$B$33+1)/100)),MAX(0,Inputs!$B$35-((S1244-1)*Skills!D10))))/Inputs!$B$35),IF(Inputs!$B$4="pvp",MIN((Skills!Y10*(1+(Inputs!$B$33+1)/100)),15)/15,(Skills!Y10*(1+(Inputs!$B$33+1)/100))/Skills!D10)))/100)*(1+((C1249=TRUE)*F1249*IF(AND(Inputs!$B$4&lt;&gt;"pvp",Inputs!$B$35&gt;0),(((S1249-1)*(Skills!Y15*(1+(Inputs!$B$33+1)/100))+MIN((Skills!Y15*(1+(Inputs!$B$33+1)/100)),MAX(0,Inputs!$B$35-((S1249-1)*Skills!D15))))/Inputs!$B$35),IF(Inputs!$B$4="pvp",MIN((Skills!Y15*(1+(Inputs!$B$33+1)/100)),15)/15,(Skills!Y15*(1+(Inputs!$B$33+1)/100))/Skills!D15)))/100))*B1269*I1246)</f>
        <v/>
      </c>
      <c r="L1246">
        <f>K1246*(MIN(Inputs!$B$21+((C1258=TRUE)*(F1258-Calc!F24)),Inputs!$B$22+((C1263=TRUE)*(F1263-Calc!F29)))/100+(Inputs!$B$22+((C1263=TRUE)*(F1263-Calc!F29)))/100)/2</f>
        <v/>
      </c>
      <c r="M1246">
        <f>L1246*(1+(Inputs!$B$9+((C1260=TRUE)*(F1260-Calc!F26))+B1274)/100)</f>
        <v/>
      </c>
      <c r="N1246">
        <f>L1246*(1-MIN((Inputs!$B$8+((C1259=TRUE)*(F1259-Calc!F25))+B1267),100)/100)+M1246*(MIN((Inputs!$B$8+((C1259=TRUE)*(F1259-Calc!F25))+B1267),100)/100)</f>
        <v/>
      </c>
      <c r="O1246">
        <f>IF(C1246,H1246*N1246*IF(AND(Inputs!$B$4&lt;&gt;"pvp",Inputs!$B$35&gt;0),((Skills!G12*((R1246-1)*IF(Skills!H12&gt;0,Skills!I12/Skills!H12,1)+IF(Skills!H12&gt;0,MIN(Skills!I12,MAX(0,Inputs!$B$35-((R1246-1)*IF(Inputs!$B$4="pvp",15,MAX(0.1,Skills!D12-IF(Skills!E12=TRUE,Inputs!$B$31,0))))))/Skills!H12,1)))/Inputs!$B$35),G1246*Q1246)*IF(Inputs!$B$4="pvp",1,(1-Summary!$B$55)*(1)+Summary!$B$55*(MIN(Skills!W12,Inputs!$B$37))),0)</f>
        <v/>
      </c>
      <c r="P1246">
        <f>IF(B1279=0,0,O1246/B1279)</f>
        <v/>
      </c>
      <c r="Q1246">
        <f>IFERROR(1/IF(Inputs!$B$4="pvp",15,MAX(0.1,Skills!D12-IF(Skills!E12=TRUE,Inputs!$B$31,0))),0)</f>
        <v/>
      </c>
      <c r="R1246">
        <f>IF(AND(Inputs!$B$4&lt;&gt;"pvp",Inputs!$B$35&gt;0),(INT(Inputs!$B$35/IF(Inputs!$B$4="pvp",15,MAX(0.1,Skills!D12-IF(Skills!E12=TRUE,Inputs!$B$31,0))))+1),0)</f>
        <v/>
      </c>
      <c r="S1246">
        <f>IFERROR(O1246/N1246,0)</f>
        <v/>
      </c>
    </row>
    <row r="1247">
      <c r="A1247">
        <f>Skills!A13</f>
        <v/>
      </c>
      <c r="B1247">
        <f>Skills!B13</f>
        <v/>
      </c>
      <c r="C1247">
        <f>Inputs!$B$3&gt;=105</f>
        <v/>
      </c>
      <c r="D1247">
        <f>IF(Skills!C13=1,60+Inputs!$B$24+Inputs!$B$28,IF(Skills!C13=2,90+Inputs!$B$25+Inputs!$B$28,IF(Skills!C13=3,120+Inputs!$B$26+Inputs!$B$28,MAX(0,(Inputs!$B$3-100)*3)+Inputs!$B$27+Inputs!$B$28)))</f>
        <v/>
      </c>
      <c r="E1247">
        <f>INDEX(FactorTable!$B$2:$Y$301, MATCH(ROUND(MIN(300,MAX(1,D1247)),0), FactorTable!$A$2:$A$301,0), Skills!M13+1)</f>
        <v/>
      </c>
      <c r="F1247">
        <f>IF(Skills!N13=TRUE,(Skills!L13/10)*(E1247/1000),Skills!L13/10)+Skills!O13</f>
        <v/>
      </c>
      <c r="G1247">
        <f>Skills!G13*IF(Skills!H13&gt;0,Skills!I13/Skills!H13,1)</f>
        <v/>
      </c>
      <c r="H1247">
        <f>1-(1-Skills!J13/100)^Skills!K13</f>
        <v/>
      </c>
      <c r="I1247" t="inlineStr">
        <is>
          <t>1</t>
        </is>
      </c>
      <c r="J1247">
        <f>(Inputs!$B$5*(1+Inputs!$B$6/100))*(F1247/100)</f>
        <v/>
      </c>
      <c r="K1247">
        <f>J1247*(1+((Inputs!$B$11*(1+Inputs!$B$12/100))*0.01+Inputs!$B$13*0.0025)/100)*(1+Inputs!$B$14/100)*(1+IF(Inputs!$B$4="pvp",0,(1-Summary!$B$55)*(Inputs!$B$19+0+Skills!P13+B1268)+Summary!$B$55*(Inputs!$B$20+Skills!Q13+B1268))/100)*(1+Inputs!$B$15/100)*(5000/(6000+Inputs!$B$7*(1-Inputs!$B$18/100)))*(1+(Inputs!$B$23+((C1264=TRUE)*(F1264-Calc!F30)))/100)*(1+(IF(Skills!A13="CRUEL_STAB",Inputs!$B$16+((C1261=TRUE)*(F1261-Calc!F27)),Inputs!$B$17+((C1262=TRUE)*(F1262-Calc!F28))))/100)*(((1+(((C1255=TRUE)*F1255*IF(AND(Inputs!$B$4&lt;&gt;"pvp",Inputs!$B$35&gt;0),(((S1255-1)*(Skills!Y21*(1+(Inputs!$B$33+1)/100))+MIN((Skills!Y21*(1+(Inputs!$B$33+1)/100)),MAX(0,Inputs!$B$35-((S1255-1)*Skills!D21))))/Inputs!$B$35),IF(Inputs!$B$4="pvp",MIN((Skills!Y21*(1+(Inputs!$B$33+1)/100)),15)/15,(Skills!Y21*(1+(Inputs!$B$33+1)/100))/Skills!D21)))+((C1257=TRUE)*(F1257-Calc!F23))+((C1251=TRUE)*(F1251-Calc!F17)))/100)*(1+((C1244=TRUE)*F1244*IF(AND(Inputs!$B$4&lt;&gt;"pvp",Inputs!$B$35&gt;0),(((S1244-1)*(Skills!Y10*(1+(Inputs!$B$33+1)/100))+MIN((Skills!Y10*(1+(Inputs!$B$33+1)/100)),MAX(0,Inputs!$B$35-((S1244-1)*Skills!D10))))/Inputs!$B$35),IF(Inputs!$B$4="pvp",MIN((Skills!Y10*(1+(Inputs!$B$33+1)/100)),15)/15,(Skills!Y10*(1+(Inputs!$B$33+1)/100))/Skills!D10)))/100)*(1+((C1249=TRUE)*F1249*IF(AND(Inputs!$B$4&lt;&gt;"pvp",Inputs!$B$35&gt;0),(((S1249-1)*(Skills!Y15*(1+(Inputs!$B$33+1)/100))+MIN((Skills!Y15*(1+(Inputs!$B$33+1)/100)),MAX(0,Inputs!$B$35-((S1249-1)*Skills!D15))))/Inputs!$B$35),IF(Inputs!$B$4="pvp",MIN((Skills!Y15*(1+(Inputs!$B$33+1)/100)),15)/15,(Skills!Y15*(1+(Inputs!$B$33+1)/100))/Skills!D15)))/100))*B1269*I1247)</f>
        <v/>
      </c>
      <c r="L1247">
        <f>K1247*(MIN(Inputs!$B$21+((C1258=TRUE)*(F1258-Calc!F24)),Inputs!$B$22+((C1263=TRUE)*(F1263-Calc!F29)))/100+(Inputs!$B$22+((C1263=TRUE)*(F1263-Calc!F29)))/100)/2</f>
        <v/>
      </c>
      <c r="M1247">
        <f>L1247*(1+(Inputs!$B$9+((C1260=TRUE)*(F1260-Calc!F26))+B1274)/100)</f>
        <v/>
      </c>
      <c r="N1247">
        <f>L1247*(1-MIN((Inputs!$B$8+((C1259=TRUE)*(F1259-Calc!F25))+B1267),100)/100)+M1247*(MIN((Inputs!$B$8+((C1259=TRUE)*(F1259-Calc!F25))+B1267),100)/100)</f>
        <v/>
      </c>
      <c r="O1247">
        <f>IF(C1247,H1247*N1247*IF(AND(Inputs!$B$4&lt;&gt;"pvp",Inputs!$B$35&gt;0),((Skills!G13*((R1247-1)*IF(Skills!H13&gt;0,Skills!I13/Skills!H13,1)+IF(Skills!H13&gt;0,MIN(Skills!I13,MAX(0,Inputs!$B$35-((R1247-1)*IF(Inputs!$B$4="pvp",15,MAX(0.1,Skills!D13-IF(Skills!E13=TRUE,Inputs!$B$31,0))))))/Skills!H13,1)))/Inputs!$B$35),G1247*Q1247)*IF(Inputs!$B$4="pvp",1,(1-Summary!$B$55)*(1)+Summary!$B$55*(MIN(Skills!W13,Inputs!$B$37))),0)</f>
        <v/>
      </c>
      <c r="P1247">
        <f>IF(B1279=0,0,O1247/B1279)</f>
        <v/>
      </c>
      <c r="Q1247">
        <f>IFERROR(1/IF(Inputs!$B$4="pvp",15,MAX(0.1,Skills!D13-IF(Skills!E13=TRUE,Inputs!$B$31,0))),0)</f>
        <v/>
      </c>
      <c r="R1247">
        <f>IF(AND(Inputs!$B$4&lt;&gt;"pvp",Inputs!$B$35&gt;0),(INT(Inputs!$B$35/IF(Inputs!$B$4="pvp",15,MAX(0.1,Skills!D13-IF(Skills!E13=TRUE,Inputs!$B$31,0))))+1),0)</f>
        <v/>
      </c>
      <c r="S1247">
        <f>IFERROR(O1247/N1247,0)</f>
        <v/>
      </c>
    </row>
    <row r="1248">
      <c r="A1248">
        <f>Skills!A14</f>
        <v/>
      </c>
      <c r="B1248">
        <f>Skills!B14</f>
        <v/>
      </c>
      <c r="C1248">
        <f>Inputs!$B$3&gt;=107</f>
        <v/>
      </c>
      <c r="D1248">
        <f>IF(Skills!C14=1,60+Inputs!$B$24+Inputs!$B$28,IF(Skills!C14=2,90+Inputs!$B$25+Inputs!$B$28,IF(Skills!C14=3,120+Inputs!$B$26+Inputs!$B$28,MAX(0,(Inputs!$B$3-100)*3)+Inputs!$B$27+Inputs!$B$28)))</f>
        <v/>
      </c>
      <c r="E1248">
        <f>INDEX(FactorTable!$B$2:$Y$301, MATCH(ROUND(MIN(300,MAX(1,D1248)),0), FactorTable!$A$2:$A$301,0), Skills!M14+1)</f>
        <v/>
      </c>
      <c r="F1248">
        <f>IF(Skills!N14=TRUE,(Skills!L14/10)*(E1248/1000),Skills!L14/10)+Skills!O14</f>
        <v/>
      </c>
      <c r="G1248">
        <f>Skills!G14*IF(Skills!H14&gt;0,Skills!I14/Skills!H14,1)</f>
        <v/>
      </c>
      <c r="H1248">
        <f>1-(1-Skills!J14/100)^Skills!K14</f>
        <v/>
      </c>
      <c r="I1248" t="inlineStr">
        <is>
          <t>1</t>
        </is>
      </c>
      <c r="J1248">
        <f>(Inputs!$B$5*(1+Inputs!$B$6/100))*(F1248/100)</f>
        <v/>
      </c>
      <c r="K1248">
        <f>J1248*(1+((Inputs!$B$11*(1+Inputs!$B$12/100))*0.01+Inputs!$B$13*0.0025)/100)*(1+Inputs!$B$14/100)*(1+IF(Inputs!$B$4="pvp",0,(1-Summary!$B$55)*(Inputs!$B$19+0+Skills!P14+B1268)+Summary!$B$55*(Inputs!$B$20+Skills!Q14+B1268))/100)*(1+Inputs!$B$15/100)*(5000/(6000+Inputs!$B$7*(1-Inputs!$B$18/100)))*(1+(Inputs!$B$23+((C1264=TRUE)*(F1264-Calc!F30)))/100)*(1+(IF(Skills!A14="CRUEL_STAB",Inputs!$B$16+((C1261=TRUE)*(F1261-Calc!F27)),Inputs!$B$17+((C1262=TRUE)*(F1262-Calc!F28))))/100)*(((1+(((C1255=TRUE)*F1255*IF(AND(Inputs!$B$4&lt;&gt;"pvp",Inputs!$B$35&gt;0),(((S1255-1)*(Skills!Y21*(1+(Inputs!$B$33+1)/100))+MIN((Skills!Y21*(1+(Inputs!$B$33+1)/100)),MAX(0,Inputs!$B$35-((S1255-1)*Skills!D21))))/Inputs!$B$35),IF(Inputs!$B$4="pvp",MIN((Skills!Y21*(1+(Inputs!$B$33+1)/100)),15)/15,(Skills!Y21*(1+(Inputs!$B$33+1)/100))/Skills!D21)))+((C1257=TRUE)*(F1257-Calc!F23))+((C1251=TRUE)*(F1251-Calc!F17)))/100)*(1+((C1244=TRUE)*F1244*IF(AND(Inputs!$B$4&lt;&gt;"pvp",Inputs!$B$35&gt;0),(((S1244-1)*(Skills!Y10*(1+(Inputs!$B$33+1)/100))+MIN((Skills!Y10*(1+(Inputs!$B$33+1)/100)),MAX(0,Inputs!$B$35-((S1244-1)*Skills!D10))))/Inputs!$B$35),IF(Inputs!$B$4="pvp",MIN((Skills!Y10*(1+(Inputs!$B$33+1)/100)),15)/15,(Skills!Y10*(1+(Inputs!$B$33+1)/100))/Skills!D10)))/100)*(1+((C1249=TRUE)*F1249*IF(AND(Inputs!$B$4&lt;&gt;"pvp",Inputs!$B$35&gt;0),(((S1249-1)*(Skills!Y15*(1+(Inputs!$B$33+1)/100))+MIN((Skills!Y15*(1+(Inputs!$B$33+1)/100)),MAX(0,Inputs!$B$35-((S1249-1)*Skills!D15))))/Inputs!$B$35),IF(Inputs!$B$4="pvp",MIN((Skills!Y15*(1+(Inputs!$B$33+1)/100)),15)/15,(Skills!Y15*(1+(Inputs!$B$33+1)/100))/Skills!D15)))/100))*B1269*I1248)</f>
        <v/>
      </c>
      <c r="L1248">
        <f>K1248*(MIN(Inputs!$B$21+((C1258=TRUE)*(F1258-Calc!F24)),Inputs!$B$22+((C1263=TRUE)*(F1263-Calc!F29)))/100+(Inputs!$B$22+((C1263=TRUE)*(F1263-Calc!F29)))/100)/2</f>
        <v/>
      </c>
      <c r="M1248">
        <f>L1248*(1+(Inputs!$B$9+((C1260=TRUE)*(F1260-Calc!F26))+B1274)/100)</f>
        <v/>
      </c>
      <c r="N1248">
        <f>L1248*(1-MIN((Inputs!$B$8+((C1259=TRUE)*(F1259-Calc!F25))+B1267),100)/100)+M1248*(MIN((Inputs!$B$8+((C1259=TRUE)*(F1259-Calc!F25))+B1267),100)/100)</f>
        <v/>
      </c>
      <c r="O1248">
        <f>IF(C1248,H1248*N1248*IF(AND(Inputs!$B$4&lt;&gt;"pvp",Inputs!$B$35&gt;0),((Skills!G14*((R1248-1)*IF(Skills!H14&gt;0,Skills!I14/Skills!H14,1)+IF(Skills!H14&gt;0,MIN(Skills!I14,MAX(0,Inputs!$B$35-((R1248-1)*IF(Inputs!$B$4="pvp",15,MAX(0.1,Skills!D14-IF(Skills!E14=TRUE,Inputs!$B$31,0))))))/Skills!H14,1)))/Inputs!$B$35),G1248*Q1248)*IF(Inputs!$B$4="pvp",1,(1-Summary!$B$55)*(1)+Summary!$B$55*(MIN(MIN(5,0.25*B1271*Skills!D4)*Skills!V14,Inputs!$B$37))),0)</f>
        <v/>
      </c>
      <c r="P1248">
        <f>IF(B1279=0,0,O1248/B1279)</f>
        <v/>
      </c>
      <c r="Q1248">
        <f>IFERROR(1/IF(Inputs!$B$4="pvp",15,MAX(0.1,Skills!D14-IF(Skills!E14=TRUE,Inputs!$B$31,0))),0)</f>
        <v/>
      </c>
      <c r="R1248">
        <f>IF(AND(Inputs!$B$4&lt;&gt;"pvp",Inputs!$B$35&gt;0),(INT(Inputs!$B$35/IF(Inputs!$B$4="pvp",15,MAX(0.1,Skills!D14-IF(Skills!E14=TRUE,Inputs!$B$31,0))))+1),0)</f>
        <v/>
      </c>
      <c r="S1248">
        <f>IFERROR(O1248/N1248,0)</f>
        <v/>
      </c>
    </row>
    <row r="1249">
      <c r="A1249">
        <f>Skills!A15</f>
        <v/>
      </c>
      <c r="B1249">
        <f>Skills!B15</f>
        <v/>
      </c>
      <c r="C1249">
        <f>Inputs!$B$3&gt;=110</f>
        <v/>
      </c>
      <c r="D1249">
        <f>IF(Skills!C15=1,60+Inputs!$B$24+Inputs!$B$28,IF(Skills!C15=2,90+Inputs!$B$25+Inputs!$B$28,IF(Skills!C15=3,120+Inputs!$B$26+Inputs!$B$28,MAX(0,(Inputs!$B$3-100)*3)+Inputs!$B$27+Inputs!$B$28)))</f>
        <v/>
      </c>
      <c r="E1249">
        <f>INDEX(FactorTable!$B$2:$Y$301, MATCH(ROUND(MIN(300,MAX(1,D1249)),0), FactorTable!$A$2:$A$301,0), Skills!M15+1)</f>
        <v/>
      </c>
      <c r="F1249">
        <f>IF(Skills!N15=TRUE,(Skills!L15/10)*(E1249/1000),Skills!L15/10)+Skills!O15</f>
        <v/>
      </c>
      <c r="G1249">
        <f>Skills!G15*IF(Skills!H15&gt;0,Skills!I15/Skills!H15,1)</f>
        <v/>
      </c>
      <c r="H1249">
        <f>1-(1-Skills!J15/100)^Skills!K15</f>
        <v/>
      </c>
      <c r="I1249" t="inlineStr">
        <is>
          <t>1</t>
        </is>
      </c>
      <c r="J1249" t="inlineStr"/>
      <c r="K1249" t="inlineStr"/>
      <c r="L1249" t="inlineStr"/>
      <c r="M1249" t="inlineStr"/>
      <c r="N1249" t="inlineStr"/>
      <c r="O1249" t="n">
        <v>0</v>
      </c>
      <c r="P1249">
        <f>IF(B1279=0,0,O1249/B1279)</f>
        <v/>
      </c>
      <c r="Q1249">
        <f>IFERROR(1/IF(Inputs!$B$4="pvp",15,MAX(0.1,Skills!D15-IF(Skills!E15=TRUE,Inputs!$B$31,0))),0)</f>
        <v/>
      </c>
      <c r="R1249">
        <f>IF(AND(Inputs!$B$4&lt;&gt;"pvp",Inputs!$B$35&gt;0),(INT(Inputs!$B$35/IF(Inputs!$B$4="pvp",15,MAX(0.1,Skills!D15-IF(Skills!E15=TRUE,Inputs!$B$31,0))))+1),0)</f>
        <v/>
      </c>
      <c r="S1249">
        <f>IFERROR(O1249/N1249,0)</f>
        <v/>
      </c>
    </row>
    <row r="1250">
      <c r="A1250">
        <f>Skills!A16</f>
        <v/>
      </c>
      <c r="B1250">
        <f>Skills!B16</f>
        <v/>
      </c>
      <c r="C1250">
        <f>Inputs!$B$3&gt;=115</f>
        <v/>
      </c>
      <c r="D1250">
        <f>IF(Skills!C16=1,60+Inputs!$B$24+Inputs!$B$28,IF(Skills!C16=2,90+Inputs!$B$25+Inputs!$B$28,IF(Skills!C16=3,120+Inputs!$B$26+Inputs!$B$28,MAX(0,(Inputs!$B$3-100)*3)+Inputs!$B$27+Inputs!$B$28)))</f>
        <v/>
      </c>
      <c r="E1250">
        <f>INDEX(FactorTable!$B$2:$Y$301, MATCH(ROUND(MIN(300,MAX(1,D1250)),0), FactorTable!$A$2:$A$301,0), Skills!M16+1)</f>
        <v/>
      </c>
      <c r="F1250">
        <f>IF(Skills!N16=TRUE,(Skills!L16/10)*(E1250/1000),Skills!L16/10)+Skills!O16</f>
        <v/>
      </c>
      <c r="G1250">
        <f>Skills!G16*IF(Skills!H16&gt;0,Skills!I16/Skills!H16,1)</f>
        <v/>
      </c>
      <c r="H1250">
        <f>1-(1-Skills!J16/100)^Skills!K16</f>
        <v/>
      </c>
      <c r="I1250" t="inlineStr">
        <is>
          <t>1</t>
        </is>
      </c>
      <c r="J1250">
        <f>(Inputs!$B$5*(1+Inputs!$B$6/100))*(F1250/100)</f>
        <v/>
      </c>
      <c r="K1250">
        <f>J1250*(1+((Inputs!$B$11*(1+Inputs!$B$12/100))*0.01+Inputs!$B$13*0.0025)/100)*(1+Inputs!$B$14/100)*(1+IF(Inputs!$B$4="pvp",0,(1-Summary!$B$55)*(Inputs!$B$19+0+Skills!P16+B1268)+Summary!$B$55*(Inputs!$B$20+Skills!Q16+B1268))/100)*(1+Inputs!$B$15/100)*(5000/(6000+Inputs!$B$7*(1-Inputs!$B$18/100)))*(1+(Inputs!$B$23+((C1264=TRUE)*(F1264-Calc!F30)))/100)*(1+(IF(Skills!A16="CRUEL_STAB",Inputs!$B$16+((C1261=TRUE)*(F1261-Calc!F27)),Inputs!$B$17+((C1262=TRUE)*(F1262-Calc!F28))))/100)*(((1+(((C1255=TRUE)*F1255*IF(AND(Inputs!$B$4&lt;&gt;"pvp",Inputs!$B$35&gt;0),(((S1255-1)*(Skills!Y21*(1+(Inputs!$B$33+1)/100))+MIN((Skills!Y21*(1+(Inputs!$B$33+1)/100)),MAX(0,Inputs!$B$35-((S1255-1)*Skills!D21))))/Inputs!$B$35),IF(Inputs!$B$4="pvp",MIN((Skills!Y21*(1+(Inputs!$B$33+1)/100)),15)/15,(Skills!Y21*(1+(Inputs!$B$33+1)/100))/Skills!D21)))+((C1257=TRUE)*(F1257-Calc!F23))+((C1251=TRUE)*(F1251-Calc!F17)))/100)*(1+((C1244=TRUE)*F1244*IF(AND(Inputs!$B$4&lt;&gt;"pvp",Inputs!$B$35&gt;0),(((S1244-1)*(Skills!Y10*(1+(Inputs!$B$33+1)/100))+MIN((Skills!Y10*(1+(Inputs!$B$33+1)/100)),MAX(0,Inputs!$B$35-((S1244-1)*Skills!D10))))/Inputs!$B$35),IF(Inputs!$B$4="pvp",MIN((Skills!Y10*(1+(Inputs!$B$33+1)/100)),15)/15,(Skills!Y10*(1+(Inputs!$B$33+1)/100))/Skills!D10)))/100)*(1+((C1249=TRUE)*F1249*IF(AND(Inputs!$B$4&lt;&gt;"pvp",Inputs!$B$35&gt;0),(((S1249-1)*(Skills!Y15*(1+(Inputs!$B$33+1)/100))+MIN((Skills!Y15*(1+(Inputs!$B$33+1)/100)),MAX(0,Inputs!$B$35-((S1249-1)*Skills!D15))))/Inputs!$B$35),IF(Inputs!$B$4="pvp",MIN((Skills!Y15*(1+(Inputs!$B$33+1)/100)),15)/15,(Skills!Y15*(1+(Inputs!$B$33+1)/100))/Skills!D15)))/100))*B1269*I1250)</f>
        <v/>
      </c>
      <c r="L1250">
        <f>K1250*(MIN(Inputs!$B$21+((C1258=TRUE)*(F1258-Calc!F24)),Inputs!$B$22+((C1263=TRUE)*(F1263-Calc!F29)))/100+(Inputs!$B$22+((C1263=TRUE)*(F1263-Calc!F29)))/100)/2</f>
        <v/>
      </c>
      <c r="M1250">
        <f>L1250*(1+(Inputs!$B$9+((C1260=TRUE)*(F1260-Calc!F26))+B1274)/100)</f>
        <v/>
      </c>
      <c r="N1250">
        <f>L1250*(1-MIN((Inputs!$B$8+((C1259=TRUE)*(F1259-Calc!F25))+B1267),100)/100)+M1250*(MIN((Inputs!$B$8+((C1259=TRUE)*(F1259-Calc!F25))+B1267),100)/100)</f>
        <v/>
      </c>
      <c r="O1250">
        <f>IF(C1250,Inputs!$B$38*0.2*N1250,0)</f>
        <v/>
      </c>
      <c r="P1250">
        <f>IF(B1279=0,0,O1250/B1279)</f>
        <v/>
      </c>
      <c r="Q1250" t="n">
        <v>0</v>
      </c>
      <c r="R1250" t="n">
        <v>0</v>
      </c>
      <c r="S1250">
        <f>IFERROR(O1250/N1250,0)</f>
        <v/>
      </c>
    </row>
    <row r="1251">
      <c r="A1251">
        <f>Skills!A17</f>
        <v/>
      </c>
      <c r="B1251">
        <f>Skills!B17</f>
        <v/>
      </c>
      <c r="C1251">
        <f>Inputs!$B$3&gt;=115</f>
        <v/>
      </c>
      <c r="D1251">
        <f>IF(Skills!C17=1,60+Inputs!$B$24+Inputs!$B$28,IF(Skills!C17=2,90+Inputs!$B$25+Inputs!$B$28,IF(Skills!C17=3,120+Inputs!$B$26+Inputs!$B$28,MAX(0,(Inputs!$B$3-100)*3)+Inputs!$B$27+Inputs!$B$28)))</f>
        <v/>
      </c>
      <c r="E1251">
        <f>INDEX(FactorTable!$B$2:$Y$301, MATCH(ROUND(MIN(300,MAX(1,D1251)),0), FactorTable!$A$2:$A$301,0), Skills!M17+1)</f>
        <v/>
      </c>
      <c r="F1251">
        <f>IF(Skills!N17=TRUE,(Skills!L17/10)*(E1251/1000),Skills!L17/10)+Skills!O17</f>
        <v/>
      </c>
      <c r="G1251">
        <f>Skills!G17*IF(Skills!H17&gt;0,Skills!I17/Skills!H17,1)</f>
        <v/>
      </c>
      <c r="H1251">
        <f>1-(1-Skills!J17/100)^Skills!K17</f>
        <v/>
      </c>
      <c r="I1251" t="inlineStr">
        <is>
          <t>1</t>
        </is>
      </c>
      <c r="J1251" t="inlineStr"/>
      <c r="K1251" t="inlineStr"/>
      <c r="L1251" t="inlineStr"/>
      <c r="M1251" t="inlineStr"/>
      <c r="N1251" t="inlineStr"/>
      <c r="O1251" t="n">
        <v>0</v>
      </c>
      <c r="P1251">
        <f>IF(B1279=0,0,O1251/B1279)</f>
        <v/>
      </c>
      <c r="Q1251" t="n">
        <v>0</v>
      </c>
      <c r="R1251" t="n">
        <v>0</v>
      </c>
      <c r="S1251">
        <f>IFERROR(O1251/N1251,0)</f>
        <v/>
      </c>
    </row>
    <row r="1252">
      <c r="A1252">
        <f>Skills!A18</f>
        <v/>
      </c>
      <c r="B1252">
        <f>Skills!B18</f>
        <v/>
      </c>
      <c r="C1252">
        <f>Inputs!$B$3&gt;=100</f>
        <v/>
      </c>
      <c r="D1252">
        <f>IF(Skills!C18=1,60+Inputs!$B$24+Inputs!$B$28,IF(Skills!C18=2,90+Inputs!$B$25+Inputs!$B$28,IF(Skills!C18=3,120+Inputs!$B$26+Inputs!$B$28,MAX(0,(Inputs!$B$3-100)*3)+Inputs!$B$27+Inputs!$B$28)))</f>
        <v/>
      </c>
      <c r="E1252">
        <f>INDEX(FactorTable!$B$2:$Y$301, MATCH(ROUND(MIN(300,MAX(1,D1252)),0), FactorTable!$A$2:$A$301,0), Skills!M18+1)</f>
        <v/>
      </c>
      <c r="F1252">
        <f>IF(Skills!N18=TRUE,(Skills!L18/10)*(E1252/1000),Skills!L18/10)+Skills!O18</f>
        <v/>
      </c>
      <c r="G1252">
        <f>Skills!G18*IF(Skills!H18&gt;0,Skills!I18/Skills!H18,1)</f>
        <v/>
      </c>
      <c r="H1252">
        <f>1-(1-Skills!J18/100)^Skills!K18</f>
        <v/>
      </c>
      <c r="I1252" t="inlineStr">
        <is>
          <t>1</t>
        </is>
      </c>
      <c r="J1252" t="inlineStr"/>
      <c r="K1252" t="inlineStr"/>
      <c r="L1252" t="inlineStr"/>
      <c r="M1252" t="inlineStr"/>
      <c r="N1252" t="inlineStr"/>
      <c r="O1252" t="n">
        <v>0</v>
      </c>
      <c r="P1252">
        <f>IF(B1279=0,0,O1252/B1279)</f>
        <v/>
      </c>
      <c r="Q1252" t="n">
        <v>0</v>
      </c>
      <c r="R1252" t="n">
        <v>0</v>
      </c>
      <c r="S1252">
        <f>IFERROR(O1252/N1252,0)</f>
        <v/>
      </c>
    </row>
    <row r="1253">
      <c r="A1253">
        <f>Skills!A19</f>
        <v/>
      </c>
      <c r="B1253">
        <f>Skills!B19</f>
        <v/>
      </c>
      <c r="C1253">
        <f>TRUE</f>
        <v/>
      </c>
      <c r="D1253">
        <f>IF(Skills!C19=1,60+Inputs!$B$24+Inputs!$B$28,IF(Skills!C19=2,90+Inputs!$B$25+Inputs!$B$28,IF(Skills!C19=3,120+Inputs!$B$26+Inputs!$B$28,MAX(0,(Inputs!$B$3-100)*3)+Inputs!$B$27+Inputs!$B$28)))</f>
        <v/>
      </c>
      <c r="E1253">
        <f>INDEX(FactorTable!$B$2:$Y$301, MATCH(ROUND(MIN(300,MAX(1,D1253)),0), FactorTable!$A$2:$A$301,0), Skills!M19+1)</f>
        <v/>
      </c>
      <c r="F1253">
        <f>IF(Skills!N19=TRUE,(Skills!L19/10)*(E1253/1000),Skills!L19/10)+Skills!O19</f>
        <v/>
      </c>
      <c r="G1253">
        <f>Skills!G19*IF(Skills!H19&gt;0,Skills!I19/Skills!H19,1)</f>
        <v/>
      </c>
      <c r="H1253">
        <f>1-(1-Skills!J19/100)^Skills!K19</f>
        <v/>
      </c>
      <c r="I1253" t="inlineStr">
        <is>
          <t>1</t>
        </is>
      </c>
      <c r="J1253" t="inlineStr"/>
      <c r="K1253" t="inlineStr"/>
      <c r="L1253" t="inlineStr"/>
      <c r="M1253" t="inlineStr"/>
      <c r="N1253" t="inlineStr"/>
      <c r="O1253" t="n">
        <v>0</v>
      </c>
      <c r="P1253">
        <f>IF(B1279=0,0,O1253/B1279)</f>
        <v/>
      </c>
      <c r="Q1253">
        <f>IFERROR(1/IF(Inputs!$B$4="pvp",15,MAX(0.1,Skills!D19-IF(Skills!E19=TRUE,Inputs!$B$31,0))),0)</f>
        <v/>
      </c>
      <c r="R1253">
        <f>IF(AND(Inputs!$B$4&lt;&gt;"pvp",Inputs!$B$35&gt;0),(INT(Inputs!$B$35/IF(Inputs!$B$4="pvp",15,MAX(0.1,Skills!D19-IF(Skills!E19=TRUE,Inputs!$B$31,0))))+1),0)</f>
        <v/>
      </c>
      <c r="S1253">
        <f>IFERROR(O1253/N1253,0)</f>
        <v/>
      </c>
    </row>
    <row r="1254">
      <c r="A1254">
        <f>Skills!A20</f>
        <v/>
      </c>
      <c r="B1254">
        <f>Skills!B20</f>
        <v/>
      </c>
      <c r="C1254">
        <f>Inputs!$B$3&gt;=15</f>
        <v/>
      </c>
      <c r="D1254">
        <f>IF(Skills!C20=1,60+Inputs!$B$24+Inputs!$B$28,IF(Skills!C20=2,90+Inputs!$B$25+Inputs!$B$28,IF(Skills!C20=3,120+Inputs!$B$26+Inputs!$B$28,MAX(0,(Inputs!$B$3-100)*3)+Inputs!$B$27+Inputs!$B$28)))</f>
        <v/>
      </c>
      <c r="E1254">
        <f>INDEX(FactorTable!$B$2:$Y$301, MATCH(ROUND(MIN(300,MAX(1,D1254)),0), FactorTable!$A$2:$A$301,0), Skills!M20+1)</f>
        <v/>
      </c>
      <c r="F1254">
        <f>IF(Skills!N20=TRUE,(Skills!L20/10)*(E1254/1000),Skills!L20/10)+Skills!O20</f>
        <v/>
      </c>
      <c r="G1254">
        <f>Skills!G20*IF(Skills!H20&gt;0,Skills!I20/Skills!H20,1)</f>
        <v/>
      </c>
      <c r="H1254">
        <f>1-(1-Skills!J20/100)^Skills!K20</f>
        <v/>
      </c>
      <c r="I1254" t="inlineStr">
        <is>
          <t>1</t>
        </is>
      </c>
      <c r="J1254" t="inlineStr"/>
      <c r="K1254" t="inlineStr"/>
      <c r="L1254" t="inlineStr"/>
      <c r="M1254" t="inlineStr"/>
      <c r="N1254" t="inlineStr"/>
      <c r="O1254" t="n">
        <v>0</v>
      </c>
      <c r="P1254">
        <f>IF(B1279=0,0,O1254/B1279)</f>
        <v/>
      </c>
      <c r="Q1254">
        <f>IFERROR(1/IF(Inputs!$B$4="pvp",15,MAX(0.1,Skills!D20-IF(Skills!E20=TRUE,Inputs!$B$31,0))),0)</f>
        <v/>
      </c>
      <c r="R1254">
        <f>IF(AND(Inputs!$B$4&lt;&gt;"pvp",Inputs!$B$35&gt;0),(INT(Inputs!$B$35/IF(Inputs!$B$4="pvp",15,MAX(0.1,Skills!D20-IF(Skills!E20=TRUE,Inputs!$B$31,0))))+1),0)</f>
        <v/>
      </c>
      <c r="S1254">
        <f>IFERROR(O1254/N1254,0)</f>
        <v/>
      </c>
    </row>
    <row r="1255">
      <c r="A1255">
        <f>Skills!A21</f>
        <v/>
      </c>
      <c r="B1255">
        <f>Skills!B21</f>
        <v/>
      </c>
      <c r="C1255">
        <f>Inputs!$B$3&gt;=15</f>
        <v/>
      </c>
      <c r="D1255">
        <f>IF(Skills!C21=1,60+Inputs!$B$24+Inputs!$B$28,IF(Skills!C21=2,90+Inputs!$B$25+Inputs!$B$28,IF(Skills!C21=3,120+Inputs!$B$26+Inputs!$B$28,MAX(0,(Inputs!$B$3-100)*3)+Inputs!$B$27+Inputs!$B$28)))</f>
        <v/>
      </c>
      <c r="E1255">
        <f>INDEX(FactorTable!$B$2:$Y$301, MATCH(ROUND(MIN(300,MAX(1,D1255)),0), FactorTable!$A$2:$A$301,0), Skills!M21+1)</f>
        <v/>
      </c>
      <c r="F1255">
        <f>IF(Skills!N21=TRUE,(Skills!L21/10)*(E1255/1000),Skills!L21/10)+Skills!O21</f>
        <v/>
      </c>
      <c r="G1255">
        <f>Skills!G21*IF(Skills!H21&gt;0,Skills!I21/Skills!H21,1)</f>
        <v/>
      </c>
      <c r="H1255">
        <f>1-(1-Skills!J21/100)^Skills!K21</f>
        <v/>
      </c>
      <c r="I1255" t="inlineStr">
        <is>
          <t>1</t>
        </is>
      </c>
      <c r="J1255" t="inlineStr"/>
      <c r="K1255" t="inlineStr"/>
      <c r="L1255" t="inlineStr"/>
      <c r="M1255" t="inlineStr"/>
      <c r="N1255" t="inlineStr"/>
      <c r="O1255" t="n">
        <v>0</v>
      </c>
      <c r="P1255">
        <f>IF(B1279=0,0,O1255/B1279)</f>
        <v/>
      </c>
      <c r="Q1255">
        <f>IFERROR(1/IF(Inputs!$B$4="pvp",15,MAX(0.1,Skills!D21-IF(Skills!E21=TRUE,Inputs!$B$31,0))),0)</f>
        <v/>
      </c>
      <c r="R1255">
        <f>IF(AND(Inputs!$B$4&lt;&gt;"pvp",Inputs!$B$35&gt;0),(INT(Inputs!$B$35/IF(Inputs!$B$4="pvp",15,MAX(0.1,Skills!D21-IF(Skills!E21=TRUE,Inputs!$B$31,0))))+1),0)</f>
        <v/>
      </c>
      <c r="S1255">
        <f>IFERROR(O1255/N1255,0)</f>
        <v/>
      </c>
    </row>
    <row r="1256">
      <c r="A1256">
        <f>Skills!A22</f>
        <v/>
      </c>
      <c r="B1256">
        <f>Skills!B22</f>
        <v/>
      </c>
      <c r="C1256">
        <f>Inputs!$B$3&gt;=33</f>
        <v/>
      </c>
      <c r="D1256">
        <f>IF(Skills!C22=1,60+Inputs!$B$24+Inputs!$B$28,IF(Skills!C22=2,90+Inputs!$B$25+Inputs!$B$28,IF(Skills!C22=3,120+Inputs!$B$26+Inputs!$B$28,MAX(0,(Inputs!$B$3-100)*3)+Inputs!$B$27+Inputs!$B$28)))</f>
        <v/>
      </c>
      <c r="E1256">
        <f>INDEX(FactorTable!$B$2:$Y$301, MATCH(ROUND(MIN(300,MAX(1,D1256)),0), FactorTable!$A$2:$A$301,0), Skills!M22+1)</f>
        <v/>
      </c>
      <c r="F1256">
        <f>IF(Skills!N22=TRUE,(Skills!L22/10)*(E1256/1000),Skills!L22/10)+Skills!O22</f>
        <v/>
      </c>
      <c r="G1256">
        <f>Skills!G22*IF(Skills!H22&gt;0,Skills!I22/Skills!H22,1)</f>
        <v/>
      </c>
      <c r="H1256">
        <f>1-(1-Skills!J22/100)^Skills!K22</f>
        <v/>
      </c>
      <c r="I1256" t="inlineStr">
        <is>
          <t>1</t>
        </is>
      </c>
      <c r="J1256" t="inlineStr"/>
      <c r="K1256" t="inlineStr"/>
      <c r="L1256" t="inlineStr"/>
      <c r="M1256" t="inlineStr"/>
      <c r="N1256" t="inlineStr"/>
      <c r="O1256" t="n">
        <v>0</v>
      </c>
      <c r="P1256">
        <f>IF(B1279=0,0,O1256/B1279)</f>
        <v/>
      </c>
      <c r="Q1256" t="n">
        <v>0</v>
      </c>
      <c r="R1256" t="n">
        <v>0</v>
      </c>
      <c r="S1256">
        <f>IFERROR(O1256/N1256,0)</f>
        <v/>
      </c>
    </row>
    <row r="1257">
      <c r="A1257">
        <f>Skills!A23</f>
        <v/>
      </c>
      <c r="B1257">
        <f>Skills!B23</f>
        <v/>
      </c>
      <c r="C1257">
        <f>Inputs!$B$3&gt;=40</f>
        <v/>
      </c>
      <c r="D1257">
        <f>IF(Skills!C23=1,60+Inputs!$B$24+Inputs!$B$28,IF(Skills!C23=2,90+Inputs!$B$25+Inputs!$B$28,IF(Skills!C23=3,120+Inputs!$B$26+Inputs!$B$28,MAX(0,(Inputs!$B$3-100)*3)+Inputs!$B$27+Inputs!$B$28)))</f>
        <v/>
      </c>
      <c r="E1257">
        <f>INDEX(FactorTable!$B$2:$Y$301, MATCH(ROUND(MIN(300,MAX(1,D1257)),0), FactorTable!$A$2:$A$301,0), Skills!M23+1)</f>
        <v/>
      </c>
      <c r="F1257">
        <f>IF(Skills!N23=TRUE,(Skills!L23/10)*(E1257/1000),Skills!L23/10)+Skills!O23</f>
        <v/>
      </c>
      <c r="G1257">
        <f>Skills!G23*IF(Skills!H23&gt;0,Skills!I23/Skills!H23,1)</f>
        <v/>
      </c>
      <c r="H1257">
        <f>1-(1-Skills!J23/100)^Skills!K23</f>
        <v/>
      </c>
      <c r="I1257" t="inlineStr">
        <is>
          <t>1</t>
        </is>
      </c>
      <c r="J1257" t="inlineStr"/>
      <c r="K1257" t="inlineStr"/>
      <c r="L1257" t="inlineStr"/>
      <c r="M1257" t="inlineStr"/>
      <c r="N1257" t="inlineStr"/>
      <c r="O1257" t="n">
        <v>0</v>
      </c>
      <c r="P1257">
        <f>IF(B1279=0,0,O1257/B1279)</f>
        <v/>
      </c>
      <c r="Q1257" t="n">
        <v>0</v>
      </c>
      <c r="R1257" t="n">
        <v>0</v>
      </c>
      <c r="S1257">
        <f>IFERROR(O1257/N1257,0)</f>
        <v/>
      </c>
    </row>
    <row r="1258">
      <c r="A1258">
        <f>Skills!A24</f>
        <v/>
      </c>
      <c r="B1258">
        <f>Skills!B24</f>
        <v/>
      </c>
      <c r="C1258">
        <f>Inputs!$B$3&gt;=43</f>
        <v/>
      </c>
      <c r="D1258">
        <f>IF(Skills!C24=1,60+Inputs!$B$24+Inputs!$B$28,IF(Skills!C24=2,90+Inputs!$B$25+Inputs!$B$28,IF(Skills!C24=3,120+Inputs!$B$26+Inputs!$B$28,MAX(0,(Inputs!$B$3-100)*3)+Inputs!$B$27+Inputs!$B$28)))</f>
        <v/>
      </c>
      <c r="E1258">
        <f>INDEX(FactorTable!$B$2:$Y$301, MATCH(ROUND(MIN(300,MAX(1,D1258)),0), FactorTable!$A$2:$A$301,0), Skills!M24+1)</f>
        <v/>
      </c>
      <c r="F1258">
        <f>IF(Skills!N24=TRUE,(Skills!L24/10)*(E1258/1000),Skills!L24/10)+Skills!O24</f>
        <v/>
      </c>
      <c r="G1258">
        <f>Skills!G24*IF(Skills!H24&gt;0,Skills!I24/Skills!H24,1)</f>
        <v/>
      </c>
      <c r="H1258">
        <f>1-(1-Skills!J24/100)^Skills!K24</f>
        <v/>
      </c>
      <c r="I1258" t="inlineStr">
        <is>
          <t>1</t>
        </is>
      </c>
      <c r="J1258" t="inlineStr"/>
      <c r="K1258" t="inlineStr"/>
      <c r="L1258" t="inlineStr"/>
      <c r="M1258" t="inlineStr"/>
      <c r="N1258" t="inlineStr"/>
      <c r="O1258" t="n">
        <v>0</v>
      </c>
      <c r="P1258">
        <f>IF(B1279=0,0,O1258/B1279)</f>
        <v/>
      </c>
      <c r="Q1258" t="n">
        <v>0</v>
      </c>
      <c r="R1258" t="n">
        <v>0</v>
      </c>
      <c r="S1258">
        <f>IFERROR(O1258/N1258,0)</f>
        <v/>
      </c>
    </row>
    <row r="1259">
      <c r="A1259">
        <f>Skills!A25</f>
        <v/>
      </c>
      <c r="B1259">
        <f>Skills!B25</f>
        <v/>
      </c>
      <c r="C1259">
        <f>Inputs!$B$3&gt;=50</f>
        <v/>
      </c>
      <c r="D1259">
        <f>IF(Skills!C25=1,60+Inputs!$B$24+Inputs!$B$28,IF(Skills!C25=2,90+Inputs!$B$25+Inputs!$B$28,IF(Skills!C25=3,120+Inputs!$B$26+Inputs!$B$28,MAX(0,(Inputs!$B$3-100)*3)+Inputs!$B$27+Inputs!$B$28)))</f>
        <v/>
      </c>
      <c r="E1259">
        <f>INDEX(FactorTable!$B$2:$Y$301, MATCH(ROUND(MIN(300,MAX(1,D1259)),0), FactorTable!$A$2:$A$301,0), Skills!M25+1)</f>
        <v/>
      </c>
      <c r="F1259">
        <f>IF(Skills!N25=TRUE,(Skills!L25/10)*(E1259/1000),Skills!L25/10)+Skills!O25</f>
        <v/>
      </c>
      <c r="G1259">
        <f>Skills!G25*IF(Skills!H25&gt;0,Skills!I25/Skills!H25,1)</f>
        <v/>
      </c>
      <c r="H1259">
        <f>1-(1-Skills!J25/100)^Skills!K25</f>
        <v/>
      </c>
      <c r="I1259" t="inlineStr">
        <is>
          <t>1</t>
        </is>
      </c>
      <c r="J1259" t="inlineStr"/>
      <c r="K1259" t="inlineStr"/>
      <c r="L1259" t="inlineStr"/>
      <c r="M1259" t="inlineStr"/>
      <c r="N1259" t="inlineStr"/>
      <c r="O1259" t="n">
        <v>0</v>
      </c>
      <c r="P1259">
        <f>IF(B1279=0,0,O1259/B1279)</f>
        <v/>
      </c>
      <c r="Q1259" t="n">
        <v>0</v>
      </c>
      <c r="R1259" t="n">
        <v>0</v>
      </c>
      <c r="S1259">
        <f>IFERROR(O1259/N1259,0)</f>
        <v/>
      </c>
    </row>
    <row r="1260">
      <c r="A1260">
        <f>Skills!A26</f>
        <v/>
      </c>
      <c r="B1260">
        <f>Skills!B26</f>
        <v/>
      </c>
      <c r="C1260">
        <f>Inputs!$B$3&gt;=50</f>
        <v/>
      </c>
      <c r="D1260">
        <f>IF(Skills!C26=1,60+Inputs!$B$24+Inputs!$B$28,IF(Skills!C26=2,90+Inputs!$B$25+Inputs!$B$28,IF(Skills!C26=3,120+Inputs!$B$26+Inputs!$B$28,MAX(0,(Inputs!$B$3-100)*3)+Inputs!$B$27+Inputs!$B$28)))</f>
        <v/>
      </c>
      <c r="E1260">
        <f>INDEX(FactorTable!$B$2:$Y$301, MATCH(ROUND(MIN(300,MAX(1,D1260)),0), FactorTable!$A$2:$A$301,0), Skills!M26+1)</f>
        <v/>
      </c>
      <c r="F1260">
        <f>IF(Skills!N26=TRUE,(Skills!L26/10)*(E1260/1000),Skills!L26/10)+Skills!O26</f>
        <v/>
      </c>
      <c r="G1260">
        <f>Skills!G26*IF(Skills!H26&gt;0,Skills!I26/Skills!H26,1)</f>
        <v/>
      </c>
      <c r="H1260">
        <f>1-(1-Skills!J26/100)^Skills!K26</f>
        <v/>
      </c>
      <c r="I1260" t="inlineStr">
        <is>
          <t>1</t>
        </is>
      </c>
      <c r="J1260" t="inlineStr"/>
      <c r="K1260" t="inlineStr"/>
      <c r="L1260" t="inlineStr"/>
      <c r="M1260" t="inlineStr"/>
      <c r="N1260" t="inlineStr"/>
      <c r="O1260" t="n">
        <v>0</v>
      </c>
      <c r="P1260">
        <f>IF(B1279=0,0,O1260/B1279)</f>
        <v/>
      </c>
      <c r="Q1260" t="n">
        <v>0</v>
      </c>
      <c r="R1260" t="n">
        <v>0</v>
      </c>
      <c r="S1260">
        <f>IFERROR(O1260/N1260,0)</f>
        <v/>
      </c>
    </row>
    <row r="1261">
      <c r="A1261">
        <f>Skills!A27</f>
        <v/>
      </c>
      <c r="B1261">
        <f>Skills!B27</f>
        <v/>
      </c>
      <c r="C1261">
        <f>Inputs!$B$3&gt;=38</f>
        <v/>
      </c>
      <c r="D1261">
        <f>IF(Skills!C27=1,60+Inputs!$B$24+Inputs!$B$28,IF(Skills!C27=2,90+Inputs!$B$25+Inputs!$B$28,IF(Skills!C27=3,120+Inputs!$B$26+Inputs!$B$28,MAX(0,(Inputs!$B$3-100)*3)+Inputs!$B$27+Inputs!$B$28)))</f>
        <v/>
      </c>
      <c r="E1261">
        <f>INDEX(FactorTable!$B$2:$Y$301, MATCH(ROUND(MIN(300,MAX(1,D1261)),0), FactorTable!$A$2:$A$301,0), Skills!M27+1)</f>
        <v/>
      </c>
      <c r="F1261">
        <f>IF(Skills!N27=TRUE,(Skills!L27/10)*(E1261/1000),Skills!L27/10)+Skills!O27</f>
        <v/>
      </c>
      <c r="G1261">
        <f>Skills!G27*IF(Skills!H27&gt;0,Skills!I27/Skills!H27,1)</f>
        <v/>
      </c>
      <c r="H1261">
        <f>1-(1-Skills!J27/100)^Skills!K27</f>
        <v/>
      </c>
      <c r="I1261" t="inlineStr">
        <is>
          <t>1</t>
        </is>
      </c>
      <c r="J1261" t="inlineStr"/>
      <c r="K1261" t="inlineStr"/>
      <c r="L1261" t="inlineStr"/>
      <c r="M1261" t="inlineStr"/>
      <c r="N1261" t="inlineStr"/>
      <c r="O1261" t="n">
        <v>0</v>
      </c>
      <c r="P1261">
        <f>IF(B1279=0,0,O1261/B1279)</f>
        <v/>
      </c>
      <c r="Q1261" t="n">
        <v>0</v>
      </c>
      <c r="R1261" t="n">
        <v>0</v>
      </c>
      <c r="S1261">
        <f>IFERROR(O1261/N1261,0)</f>
        <v/>
      </c>
    </row>
    <row r="1262">
      <c r="A1262">
        <f>Skills!A28</f>
        <v/>
      </c>
      <c r="B1262">
        <f>Skills!B28</f>
        <v/>
      </c>
      <c r="C1262">
        <f>Inputs!$B$3&gt;=120</f>
        <v/>
      </c>
      <c r="D1262">
        <f>IF(Skills!C28=1,60+Inputs!$B$24+Inputs!$B$28,IF(Skills!C28=2,90+Inputs!$B$25+Inputs!$B$28,IF(Skills!C28=3,120+Inputs!$B$26+Inputs!$B$28,MAX(0,(Inputs!$B$3-100)*3)+Inputs!$B$27+Inputs!$B$28)))</f>
        <v/>
      </c>
      <c r="E1262">
        <f>INDEX(FactorTable!$B$2:$Y$301, MATCH(ROUND(MIN(300,MAX(1,D1262)),0), FactorTable!$A$2:$A$301,0), Skills!M28+1)</f>
        <v/>
      </c>
      <c r="F1262">
        <f>IF(Skills!N28=TRUE,(Skills!L28/10)*(E1262/1000),Skills!L28/10)+Skills!O28</f>
        <v/>
      </c>
      <c r="G1262">
        <f>Skills!G28*IF(Skills!H28&gt;0,Skills!I28/Skills!H28,1)</f>
        <v/>
      </c>
      <c r="H1262">
        <f>1-(1-Skills!J28/100)^Skills!K28</f>
        <v/>
      </c>
      <c r="I1262" t="inlineStr">
        <is>
          <t>1</t>
        </is>
      </c>
      <c r="J1262" t="inlineStr"/>
      <c r="K1262" t="inlineStr"/>
      <c r="L1262" t="inlineStr"/>
      <c r="M1262" t="inlineStr"/>
      <c r="N1262" t="inlineStr"/>
      <c r="O1262" t="n">
        <v>0</v>
      </c>
      <c r="P1262">
        <f>IF(B1279=0,0,O1262/B1279)</f>
        <v/>
      </c>
      <c r="Q1262" t="n">
        <v>0</v>
      </c>
      <c r="R1262" t="n">
        <v>0</v>
      </c>
      <c r="S1262">
        <f>IFERROR(O1262/N1262,0)</f>
        <v/>
      </c>
    </row>
    <row r="1263">
      <c r="A1263">
        <f>Skills!A29</f>
        <v/>
      </c>
      <c r="B1263">
        <f>Skills!B29</f>
        <v/>
      </c>
      <c r="C1263">
        <f>Inputs!$B$3&gt;=120</f>
        <v/>
      </c>
      <c r="D1263">
        <f>IF(Skills!C29=1,60+Inputs!$B$24+Inputs!$B$28,IF(Skills!C29=2,90+Inputs!$B$25+Inputs!$B$28,IF(Skills!C29=3,120+Inputs!$B$26+Inputs!$B$28,MAX(0,(Inputs!$B$3-100)*3)+Inputs!$B$27+Inputs!$B$28)))</f>
        <v/>
      </c>
      <c r="E1263">
        <f>INDEX(FactorTable!$B$2:$Y$301, MATCH(ROUND(MIN(300,MAX(1,D1263)),0), FactorTable!$A$2:$A$301,0), Skills!M29+1)</f>
        <v/>
      </c>
      <c r="F1263">
        <f>IF(Skills!N29=TRUE,(Skills!L29/10)*(E1263/1000),Skills!L29/10)+Skills!O29</f>
        <v/>
      </c>
      <c r="G1263">
        <f>Skills!G29*IF(Skills!H29&gt;0,Skills!I29/Skills!H29,1)</f>
        <v/>
      </c>
      <c r="H1263">
        <f>1-(1-Skills!J29/100)^Skills!K29</f>
        <v/>
      </c>
      <c r="I1263" t="inlineStr">
        <is>
          <t>1</t>
        </is>
      </c>
      <c r="J1263" t="inlineStr"/>
      <c r="K1263" t="inlineStr"/>
      <c r="L1263" t="inlineStr"/>
      <c r="M1263" t="inlineStr"/>
      <c r="N1263" t="inlineStr"/>
      <c r="O1263" t="n">
        <v>0</v>
      </c>
      <c r="P1263">
        <f>IF(B1279=0,0,O1263/B1279)</f>
        <v/>
      </c>
      <c r="Q1263" t="n">
        <v>0</v>
      </c>
      <c r="R1263" t="n">
        <v>0</v>
      </c>
      <c r="S1263">
        <f>IFERROR(O1263/N1263,0)</f>
        <v/>
      </c>
    </row>
    <row r="1264">
      <c r="A1264">
        <f>Skills!A30</f>
        <v/>
      </c>
      <c r="B1264">
        <f>Skills!B30</f>
        <v/>
      </c>
      <c r="C1264">
        <f>Inputs!$B$3&gt;=125</f>
        <v/>
      </c>
      <c r="D1264">
        <f>IF(Skills!C30=1,60+Inputs!$B$24+Inputs!$B$28,IF(Skills!C30=2,90+Inputs!$B$25+Inputs!$B$28,IF(Skills!C30=3,120+Inputs!$B$26+Inputs!$B$28,MAX(0,(Inputs!$B$3-100)*3)+Inputs!$B$27+Inputs!$B$28)))</f>
        <v/>
      </c>
      <c r="E1264">
        <f>INDEX(FactorTable!$B$2:$Y$301, MATCH(ROUND(MIN(300,MAX(1,D1264)),0), FactorTable!$A$2:$A$301,0), Skills!M30+1)</f>
        <v/>
      </c>
      <c r="F1264">
        <f>IF(Skills!N30=TRUE,(Skills!L30/10)*(E1264/1000),Skills!L30/10)+Skills!O30</f>
        <v/>
      </c>
      <c r="G1264">
        <f>Skills!G30*IF(Skills!H30&gt;0,Skills!I30/Skills!H30,1)</f>
        <v/>
      </c>
      <c r="H1264">
        <f>1-(1-Skills!J30/100)^Skills!K30</f>
        <v/>
      </c>
      <c r="I1264" t="inlineStr">
        <is>
          <t>1</t>
        </is>
      </c>
      <c r="J1264" t="inlineStr"/>
      <c r="K1264" t="inlineStr"/>
      <c r="L1264" t="inlineStr"/>
      <c r="M1264" t="inlineStr"/>
      <c r="N1264" t="inlineStr"/>
      <c r="O1264" t="n">
        <v>0</v>
      </c>
      <c r="P1264">
        <f>IF(B1279=0,0,O1264/B1279)</f>
        <v/>
      </c>
      <c r="Q1264" t="n">
        <v>0</v>
      </c>
      <c r="R1264" t="n">
        <v>0</v>
      </c>
      <c r="S1264">
        <f>IFERROR(O1264/N1264,0)</f>
        <v/>
      </c>
    </row>
    <row r="1266">
      <c r="A1266" t="inlineStr">
        <is>
          <t>Average Buff Multiplier</t>
        </is>
      </c>
      <c r="B1266">
        <f>(1+(((C1255=TRUE)*F1255*IF(AND(Inputs!$B$4&lt;&gt;"pvp",Inputs!$B$35&gt;0),(((S1255-1)*(Skills!Y21*(1+(Inputs!$B$33+1)/100))+MIN((Skills!Y21*(1+(Inputs!$B$33+1)/100)),MAX(0,Inputs!$B$35-((S1255-1)*Skills!D21))))/Inputs!$B$35),IF(Inputs!$B$4="pvp",MIN((Skills!Y21*(1+(Inputs!$B$33+1)/100)),15)/15,(Skills!Y21*(1+(Inputs!$B$33+1)/100))/Skills!D21)))+((C1257=TRUE)*(F1257-Calc!F23))+((C1251=TRUE)*(F1251-Calc!F17)))/100)*(1+((C1244=TRUE)*F1244*IF(AND(Inputs!$B$4&lt;&gt;"pvp",Inputs!$B$35&gt;0),(((S1244-1)*(Skills!Y10*(1+(Inputs!$B$33+1)/100))+MIN((Skills!Y10*(1+(Inputs!$B$33+1)/100)),MAX(0,Inputs!$B$35-((S1244-1)*Skills!D10))))/Inputs!$B$35),IF(Inputs!$B$4="pvp",MIN((Skills!Y10*(1+(Inputs!$B$33+1)/100)),15)/15,(Skills!Y10*(1+(Inputs!$B$33+1)/100))/Skills!D10)))/100)*(1+((C1249=TRUE)*F1249*IF(AND(Inputs!$B$4&lt;&gt;"pvp",Inputs!$B$35&gt;0),(((S1249-1)*(Skills!Y15*(1+(Inputs!$B$33+1)/100))+MIN((Skills!Y15*(1+(Inputs!$B$33+1)/100)),MAX(0,Inputs!$B$35-((S1249-1)*Skills!D15))))/Inputs!$B$35),IF(Inputs!$B$4="pvp",MIN((Skills!Y15*(1+(Inputs!$B$33+1)/100)),15)/15,(Skills!Y15*(1+(Inputs!$B$33+1)/100))/Skills!D15)))/100)</f>
        <v/>
      </c>
    </row>
    <row r="1267">
      <c r="A1267" t="inlineStr">
        <is>
          <t>Global Crit Rate Bonus %</t>
        </is>
      </c>
      <c r="B1267">
        <f>((C1254=TRUE)*F1254*IF(AND(Inputs!$B$4&lt;&gt;"pvp",Inputs!$B$35&gt;0),(((S1254-1)*(Skills!Y20*(1+(Inputs!$B$33+1)/100))+MIN((Skills!Y20*(1+(Inputs!$B$33+1)/100)),MAX(0,Inputs!$B$35-((S1254-1)*Skills!D20))))/Inputs!$B$35),IF(Inputs!$B$4="pvp",MIN((Skills!Y20*(1+(Inputs!$B$33+1)/100)),15)/15,(Skills!Y20*(1+(Inputs!$B$33+1)/100))/Skills!D20)))</f>
        <v/>
      </c>
    </row>
    <row r="1268">
      <c r="A1268" t="inlineStr">
        <is>
          <t>Global Monster Damage-Taken Bonus %</t>
        </is>
      </c>
      <c r="B1268">
        <f>IF(Inputs!$B$3&gt;=82,15,0)</f>
        <v/>
      </c>
    </row>
    <row r="1269">
      <c r="A1269" t="inlineStr">
        <is>
          <t>Shadow Partner Average Multiplier</t>
        </is>
      </c>
      <c r="B1269">
        <f>1+((C1241=TRUE)*F1241*(1+3.3333333333333335*IF(C1252=TRUE,F1252,0)/100)*I1241*Skills!J7/100)/100</f>
        <v/>
      </c>
    </row>
    <row r="1270">
      <c r="A1270" t="inlineStr">
        <is>
          <t>Attack Speed Buff Bonus %</t>
        </is>
      </c>
      <c r="B1270">
        <f>((C1253=TRUE)*F1253*IF(AND(Inputs!$B$4&lt;&gt;"pvp",Inputs!$B$35&gt;0),(((S1253-1)*(Skills!Y19*(1+(Inputs!$B$33+1)/100))+MIN((Skills!Y19*(1+(Inputs!$B$33+1)/100)),MAX(0,Inputs!$B$35-((S1253-1)*Skills!D19))))/Inputs!$B$35),IF(Inputs!$B$4="pvp",MIN((Skills!Y19*(1+(Inputs!$B$33+1)/100)),15)/15,(Skills!Y19*(1+(Inputs!$B$33+1)/100))/Skills!D19)))+((C1237=TRUE)*F1237*3)</f>
        <v/>
      </c>
    </row>
    <row r="1271">
      <c r="A1271" t="inlineStr">
        <is>
          <t>Actions Per Second</t>
        </is>
      </c>
      <c r="B1271">
        <f>1+MIN(150,150*(1-(1-(Inputs!$B$10+((C1256=TRUE)*(F1256-Calc!F22)))/150)*(1-B1270/150)))/100</f>
        <v/>
      </c>
    </row>
    <row r="1272">
      <c r="A1272" t="inlineStr">
        <is>
          <t>Skill + Buff Cast Rate</t>
        </is>
      </c>
      <c r="B1272">
        <f>IF(AND(Inputs!$B$4&lt;&gt;"pvp",Inputs!$B$35&gt;0),SUMPRODUCT((Skills!E2:E30=TRUE)*(C1236:C1264=TRUE)*R1236:R1264*Skills!F2:F30)/Inputs!$B$35,SUMPRODUCT((Skills!E2:E30=TRUE)*(C1236:C1264=TRUE)*Q1236:Q1264*Skills!F2:F30))</f>
        <v/>
      </c>
    </row>
    <row r="1273">
      <c r="A1273" t="inlineStr">
        <is>
          <t>Cruel Stab Casts Per Second</t>
        </is>
      </c>
      <c r="B1273">
        <f>MAX(0,B1271-B1272)</f>
        <v/>
      </c>
    </row>
    <row r="1274">
      <c r="A1274" t="inlineStr">
        <is>
          <t>Global Critical Damage Bonus % (Smokescreen Mastery Lv.113)</t>
        </is>
      </c>
      <c r="B1274">
        <f>IF(Inputs!$B$3&gt;=113,30,0)*IF(AND(Inputs!$B$4&lt;&gt;"pvp",Inputs!$B$35&gt;0),(((S1249-1)*(Skills!Y15*(1+(Inputs!$B$33+1)/100))+MIN((Skills!Y15*(1+(Inputs!$B$33+1)/100)),MAX(0,Inputs!$B$35-((S1249-1)*Skills!D15))))/Inputs!$B$35),IF(Inputs!$B$4="pvp",MIN((Skills!Y15*(1+(Inputs!$B$33+1)/100)),15)/15,(Skills!Y15*(1+(Inputs!$B$33+1)/100))/Skills!D15))</f>
        <v/>
      </c>
    </row>
    <row r="1275">
      <c r="A1275" t="inlineStr">
        <is>
          <t>Meso Explosion average stack count</t>
        </is>
      </c>
      <c r="B1275">
        <f>MIN(10,0.5*B1271*Skills!D4)</f>
        <v/>
      </c>
    </row>
    <row r="1276">
      <c r="A1276" t="inlineStr">
        <is>
          <t>Blood Money average stack count</t>
        </is>
      </c>
      <c r="B1276">
        <f>MIN(5,0.25*B1271*Skills!D4)</f>
        <v/>
      </c>
    </row>
    <row r="1277">
      <c r="A1277" t="inlineStr">
        <is>
          <t>Assassinate Murderous Intent Multiplier</t>
        </is>
      </c>
      <c r="B1277">
        <f>1+IFERROR(MIN(1,Q1248*2/Q1245),0)</f>
        <v/>
      </c>
    </row>
    <row r="1279">
      <c r="A1279" s="5" t="inlineStr">
        <is>
          <t>TOTAL DPS</t>
        </is>
      </c>
      <c r="B1279" s="5">
        <f>SUM(O1236:O1264)</f>
        <v/>
      </c>
    </row>
    <row r="1282">
      <c r="A1282" s="5" t="inlineStr">
        <is>
          <t>Stat: Incoming Hit Rate (hits/sec, Shadow Shifter only)</t>
        </is>
      </c>
    </row>
    <row r="1283">
      <c r="A1283" s="8" t="inlineStr">
        <is>
          <t>Key</t>
        </is>
      </c>
      <c r="B1283" s="8" t="inlineStr">
        <is>
          <t>Name</t>
        </is>
      </c>
      <c r="C1283" s="8" t="inlineStr">
        <is>
          <t>Unlocked</t>
        </is>
      </c>
      <c r="D1283" s="8" t="inlineStr">
        <is>
          <t>InputLevel</t>
        </is>
      </c>
      <c r="E1283" s="8" t="inlineStr">
        <is>
          <t>Factor</t>
        </is>
      </c>
      <c r="F1283" s="8" t="inlineStr">
        <is>
          <t>CoefficientPercent</t>
        </is>
      </c>
      <c r="G1283" s="8" t="inlineStr">
        <is>
          <t>EffectiveHits</t>
        </is>
      </c>
      <c r="H1283" s="8" t="inlineStr">
        <is>
          <t>ProcProbability</t>
        </is>
      </c>
      <c r="I1283" s="8" t="inlineStr">
        <is>
          <t>MapleHeroMultiplier</t>
        </is>
      </c>
      <c r="J1283" s="8" t="inlineStr">
        <is>
          <t>BaseDamage</t>
        </is>
      </c>
      <c r="K1283" s="8" t="inlineStr">
        <is>
          <t>BaseHitDamage</t>
        </is>
      </c>
      <c r="L1283" s="8" t="inlineStr">
        <is>
          <t>NonCritAvg</t>
        </is>
      </c>
      <c r="M1283" s="8" t="inlineStr">
        <is>
          <t>CritAvg</t>
        </is>
      </c>
      <c r="N1283" s="8" t="inlineStr">
        <is>
          <t>ExpectedDamage(perHit)</t>
        </is>
      </c>
      <c r="O1283" s="8" t="inlineStr">
        <is>
          <t>DPS</t>
        </is>
      </c>
      <c r="P1283" s="8" t="inlineStr">
        <is>
          <t>% of Total</t>
        </is>
      </c>
      <c r="Q1283" s="8" t="inlineStr">
        <is>
          <t>InvCooldown</t>
        </is>
      </c>
      <c r="R1283" s="8" t="inlineStr">
        <is>
          <t>CastsInFight</t>
        </is>
      </c>
      <c r="S1283" s="8" t="inlineStr">
        <is>
          <t>HitRate(perSec)</t>
        </is>
      </c>
      <c r="U1283" t="inlineStr">
        <is>
          <t>helpers</t>
        </is>
      </c>
    </row>
    <row r="1284">
      <c r="A1284">
        <f>Skills!A2</f>
        <v/>
      </c>
      <c r="B1284">
        <f>Skills!B2</f>
        <v/>
      </c>
      <c r="C1284">
        <f>Inputs!$B$3&gt;=100</f>
        <v/>
      </c>
      <c r="D1284" t="inlineStr"/>
      <c r="E1284" t="inlineStr"/>
      <c r="F1284">
        <f>U1286+Skills!O2</f>
        <v/>
      </c>
      <c r="G1284">
        <f>Skills!G2*IF(Skills!H2&gt;0,Skills!I2/Skills!H2,1)</f>
        <v/>
      </c>
      <c r="H1284">
        <f>1-(1-Skills!J2/100)^Skills!K2</f>
        <v/>
      </c>
      <c r="I1284" t="inlineStr">
        <is>
          <t>1</t>
        </is>
      </c>
      <c r="J1284">
        <f>(Inputs!$B$5*(1+Inputs!$B$6/100))*(F1284/100)</f>
        <v/>
      </c>
      <c r="K1284">
        <f>J1284*(1+((Inputs!$B$11*(1+Inputs!$B$12/100))*0.01+Inputs!$B$13*0.0025)/100)*(1+Inputs!$B$14/100)*(1+IF(Inputs!$B$4="pvp",0,(1-Summary!$B$55)*(Inputs!$B$19+0+Skills!P2+B1316)+Summary!$B$55*(Inputs!$B$20+Skills!Q2+B1316))/100)*(1+Inputs!$B$15/100)*(5000/(6000+Inputs!$B$7*(1-Inputs!$B$18/100)))*(1+(Inputs!$B$23+((C1312=TRUE)*(F1312-Calc!F30)))/100)*(1+(IF(Skills!A2="CRUEL_STAB",Inputs!$B$16+((C1309=TRUE)*(F1309-Calc!F27)),Inputs!$B$17+((C1310=TRUE)*(F1310-Calc!F28))))/100)*(((1+(((C1303=TRUE)*F1303*IF(AND(Inputs!$B$4&lt;&gt;"pvp",Inputs!$B$35&gt;0),(((S1303-1)*(Skills!Y21*(1+Inputs!$B$33/100))+MIN((Skills!Y21*(1+Inputs!$B$33/100)),MAX(0,Inputs!$B$35-((S1303-1)*Skills!D21))))/Inputs!$B$35),IF(Inputs!$B$4="pvp",MIN((Skills!Y21*(1+Inputs!$B$33/100)),15)/15,(Skills!Y21*(1+Inputs!$B$33/100))/Skills!D21)))+((C1305=TRUE)*(F1305-Calc!F23))+((C1299=TRUE)*(F1299-Calc!F17)))/100)*(1+((C1292=TRUE)*F1292*IF(AND(Inputs!$B$4&lt;&gt;"pvp",Inputs!$B$35&gt;0),(((S1292-1)*(Skills!Y10*(1+Inputs!$B$33/100))+MIN((Skills!Y10*(1+Inputs!$B$33/100)),MAX(0,Inputs!$B$35-((S1292-1)*Skills!D10))))/Inputs!$B$35),IF(Inputs!$B$4="pvp",MIN((Skills!Y10*(1+Inputs!$B$33/100)),15)/15,(Skills!Y10*(1+Inputs!$B$33/100))/Skills!D10)))/100)*(1+((C1297=TRUE)*F1297*IF(AND(Inputs!$B$4&lt;&gt;"pvp",Inputs!$B$35&gt;0),(((S1297-1)*(Skills!Y15*(1+Inputs!$B$33/100))+MIN((Skills!Y15*(1+Inputs!$B$33/100)),MAX(0,Inputs!$B$35-((S1297-1)*Skills!D15))))/Inputs!$B$35),IF(Inputs!$B$4="pvp",MIN((Skills!Y15*(1+Inputs!$B$33/100)),15)/15,(Skills!Y15*(1+Inputs!$B$33/100))/Skills!D15)))/100))*B1317*I1284)</f>
        <v/>
      </c>
      <c r="L1284">
        <f>K1284*(MIN(Inputs!$B$21+((C1306=TRUE)*(F1306-Calc!F24)),Inputs!$B$22+((C1311=TRUE)*(F1311-Calc!F29)))/100+(Inputs!$B$22+((C1311=TRUE)*(F1311-Calc!F29)))/100)/2</f>
        <v/>
      </c>
      <c r="M1284">
        <f>L1284*(1+(Inputs!$B$9+((C1308=TRUE)*(F1308-Calc!F26))+B1322)/100)</f>
        <v/>
      </c>
      <c r="N1284">
        <f>L1284*(1-MIN((Inputs!$B$8+((C1307=TRUE)*(F1307-Calc!F25))+B1315),100)/100)+M1284*(MIN((Inputs!$B$8+((C1307=TRUE)*(F1307-Calc!F25))+B1315),100)/100)</f>
        <v/>
      </c>
      <c r="O1284">
        <f>IF(C1284,Skills!G2*N1284*B1321*IF(Inputs!$B$4="pvp",1,(1-Summary!$B$55)*(1)+Summary!$B$55*(MIN((6+Inputs!$B$32),Inputs!$B$37))),0)</f>
        <v/>
      </c>
      <c r="P1284">
        <f>IF(B1327=0,0,O1284/B1327)</f>
        <v/>
      </c>
      <c r="Q1284" t="n">
        <v>0</v>
      </c>
      <c r="R1284" t="n">
        <v>0</v>
      </c>
      <c r="S1284">
        <f>IFERROR(O1284/N1284,0)</f>
        <v/>
      </c>
      <c r="U1284">
        <f>MAX(0,(Inputs!$B$3-100)*3)+Inputs!$B$27+Inputs!$B$28</f>
        <v/>
      </c>
    </row>
    <row r="1285">
      <c r="A1285">
        <f>Skills!A3</f>
        <v/>
      </c>
      <c r="B1285">
        <f>Skills!B3</f>
        <v/>
      </c>
      <c r="C1285">
        <f>Inputs!$B$3&gt;=35</f>
        <v/>
      </c>
      <c r="D1285">
        <f>IF(Skills!C3=1,60+Inputs!$B$24+Inputs!$B$28,IF(Skills!C3=2,90+Inputs!$B$25+Inputs!$B$28,IF(Skills!C3=3,120+Inputs!$B$26+Inputs!$B$28,MAX(0,(Inputs!$B$3-100)*3)+Inputs!$B$27+Inputs!$B$28)))</f>
        <v/>
      </c>
      <c r="E1285">
        <f>INDEX(FactorTable!$B$2:$Y$301, MATCH(ROUND(MIN(300,MAX(1,D1285)),0), FactorTable!$A$2:$A$301,0), Skills!M3+1)</f>
        <v/>
      </c>
      <c r="F1285">
        <f>IF(Skills!N3=TRUE,(Skills!L3/10)*(E1285/1000),Skills!L3/10)+Skills!O3</f>
        <v/>
      </c>
      <c r="G1285">
        <f>Skills!G3*IF(Skills!H3&gt;0,Skills!I3/Skills!H3,1)</f>
        <v/>
      </c>
      <c r="H1285">
        <f>1-(1-Skills!J3/100)^Skills!K3</f>
        <v/>
      </c>
      <c r="I1285" t="inlineStr">
        <is>
          <t>1</t>
        </is>
      </c>
      <c r="J1285" t="inlineStr"/>
      <c r="K1285" t="inlineStr"/>
      <c r="L1285" t="inlineStr"/>
      <c r="M1285" t="inlineStr"/>
      <c r="N1285" t="inlineStr"/>
      <c r="O1285" t="n">
        <v>0</v>
      </c>
      <c r="P1285">
        <f>IF(B1327=0,0,O1285/B1327)</f>
        <v/>
      </c>
      <c r="Q1285" t="n">
        <v>0</v>
      </c>
      <c r="R1285" t="n">
        <v>0</v>
      </c>
      <c r="S1285">
        <f>IFERROR(O1285/N1285,0)</f>
        <v/>
      </c>
      <c r="U1285">
        <f>INDEX(FactorTable!$B$2:$Y$301, MATCH(ROUND(MIN(300,MAX(1,U1284)),0), FactorTable!$A$2:$A$301,0), 22)</f>
        <v/>
      </c>
    </row>
    <row r="1286">
      <c r="A1286">
        <f>Skills!A4</f>
        <v/>
      </c>
      <c r="B1286">
        <f>Skills!B4</f>
        <v/>
      </c>
      <c r="C1286">
        <f>Inputs!$B$3&gt;=66</f>
        <v/>
      </c>
      <c r="D1286">
        <f>IF(Skills!C4=1,60+Inputs!$B$24+Inputs!$B$28,IF(Skills!C4=2,90+Inputs!$B$25+Inputs!$B$28,IF(Skills!C4=3,120+Inputs!$B$26+Inputs!$B$28,MAX(0,(Inputs!$B$3-100)*3)+Inputs!$B$27+Inputs!$B$28)))</f>
        <v/>
      </c>
      <c r="E1286">
        <f>INDEX(FactorTable!$B$2:$Y$301, MATCH(ROUND(MIN(300,MAX(1,D1286)),0), FactorTable!$A$2:$A$301,0), Skills!M4+1)</f>
        <v/>
      </c>
      <c r="F1286">
        <f>IF(Skills!N4=TRUE,(Skills!L4/10)*(E1286/1000),Skills!L4/10)+Skills!O4</f>
        <v/>
      </c>
      <c r="G1286">
        <f>Skills!G4*IF(Skills!H4&gt;0,Skills!I4/Skills!H4,1)</f>
        <v/>
      </c>
      <c r="H1286">
        <f>1-(1-Skills!J4/100)^Skills!K4</f>
        <v/>
      </c>
      <c r="I1286" t="inlineStr">
        <is>
          <t>1</t>
        </is>
      </c>
      <c r="J1286">
        <f>(Inputs!$B$5*(1+Inputs!$B$6/100))*(F1286/100)</f>
        <v/>
      </c>
      <c r="K1286">
        <f>J1286*(1+((Inputs!$B$11*(1+Inputs!$B$12/100))*0.01+Inputs!$B$13*0.0025)/100)*(1+Inputs!$B$14/100)*(1+IF(Inputs!$B$4="pvp",0,(1-Summary!$B$55)*(Inputs!$B$19+0+Skills!P4+B1316)+Summary!$B$55*(Inputs!$B$20+Skills!Q4+B1316))/100)*(1+Inputs!$B$15/100)*(5000/(6000+Inputs!$B$7*(1-Inputs!$B$18/100)))*(1+(Inputs!$B$23+((C1312=TRUE)*(F1312-Calc!F30)))/100)*(1+(IF(Skills!A4="CRUEL_STAB",Inputs!$B$16+((C1309=TRUE)*(F1309-Calc!F27)),Inputs!$B$17+((C1310=TRUE)*(F1310-Calc!F28))))/100)*(((1+(((C1303=TRUE)*F1303*IF(AND(Inputs!$B$4&lt;&gt;"pvp",Inputs!$B$35&gt;0),(((S1303-1)*(Skills!Y21*(1+Inputs!$B$33/100))+MIN((Skills!Y21*(1+Inputs!$B$33/100)),MAX(0,Inputs!$B$35-((S1303-1)*Skills!D21))))/Inputs!$B$35),IF(Inputs!$B$4="pvp",MIN((Skills!Y21*(1+Inputs!$B$33/100)),15)/15,(Skills!Y21*(1+Inputs!$B$33/100))/Skills!D21)))+((C1305=TRUE)*(F1305-Calc!F23))+((C1299=TRUE)*(F1299-Calc!F17)))/100)*(1+((C1292=TRUE)*F1292*IF(AND(Inputs!$B$4&lt;&gt;"pvp",Inputs!$B$35&gt;0),(((S1292-1)*(Skills!Y10*(1+Inputs!$B$33/100))+MIN((Skills!Y10*(1+Inputs!$B$33/100)),MAX(0,Inputs!$B$35-((S1292-1)*Skills!D10))))/Inputs!$B$35),IF(Inputs!$B$4="pvp",MIN((Skills!Y10*(1+Inputs!$B$33/100)),15)/15,(Skills!Y10*(1+Inputs!$B$33/100))/Skills!D10)))/100)*(1+((C1297=TRUE)*F1297*IF(AND(Inputs!$B$4&lt;&gt;"pvp",Inputs!$B$35&gt;0),(((S1297-1)*(Skills!Y15*(1+Inputs!$B$33/100))+MIN((Skills!Y15*(1+Inputs!$B$33/100)),MAX(0,Inputs!$B$35-((S1297-1)*Skills!D15))))/Inputs!$B$35),IF(Inputs!$B$4="pvp",MIN((Skills!Y15*(1+Inputs!$B$33/100)),15)/15,(Skills!Y15*(1+Inputs!$B$33/100))/Skills!D15)))/100))*B1317*I1286)</f>
        <v/>
      </c>
      <c r="L1286">
        <f>K1286*(MIN(Inputs!$B$21+((C1306=TRUE)*(F1306-Calc!F24)),Inputs!$B$22+((C1311=TRUE)*(F1311-Calc!F29)))/100+(Inputs!$B$22+((C1311=TRUE)*(F1311-Calc!F29)))/100)/2</f>
        <v/>
      </c>
      <c r="M1286">
        <f>L1286*(1+(Inputs!$B$9+((C1308=TRUE)*(F1308-Calc!F26))+B1322)/100)</f>
        <v/>
      </c>
      <c r="N1286">
        <f>L1286*(1-MIN((Inputs!$B$8+((C1307=TRUE)*(F1307-Calc!F25))+B1315),100)/100)+M1286*(MIN((Inputs!$B$8+((C1307=TRUE)*(F1307-Calc!F25))+B1315),100)/100)</f>
        <v/>
      </c>
      <c r="O1286">
        <f>IF(C1286,H1286*N1286*IF(AND(Inputs!$B$4&lt;&gt;"pvp",Inputs!$B$35&gt;0),((Skills!G4*((R1286-1)*IF(Skills!H4&gt;0,Skills!I4/Skills!H4,1)+IF(Skills!H4&gt;0,MIN(Skills!I4,MAX(0,Inputs!$B$35-((R1286-1)*IF(Inputs!$B$4="pvp",15,MAX(0.1,Skills!D4-IF(Skills!E4=TRUE,Inputs!$B$31,0))))))/Skills!H4,1)))/Inputs!$B$35),G1286*Q1286)*IF(Inputs!$B$4="pvp",1,(1-Summary!$B$55)*(1)+Summary!$B$55*(MIN(MIN(10,0.5*B1319*Skills!D4),Inputs!$B$37))),0)</f>
        <v/>
      </c>
      <c r="P1286">
        <f>IF(B1327=0,0,O1286/B1327)</f>
        <v/>
      </c>
      <c r="Q1286">
        <f>IFERROR(1/IF(Inputs!$B$4="pvp",15,MAX(0.1,Skills!D4-IF(Skills!E4=TRUE,Inputs!$B$31,0))),0)</f>
        <v/>
      </c>
      <c r="R1286">
        <f>IF(AND(Inputs!$B$4&lt;&gt;"pvp",Inputs!$B$35&gt;0),(INT(Inputs!$B$35/IF(Inputs!$B$4="pvp",15,MAX(0.1,Skills!D4-IF(Skills!E4=TRUE,Inputs!$B$31,0))))+1),0)</f>
        <v/>
      </c>
      <c r="S1286">
        <f>IFERROR(O1286/N1286,0)</f>
        <v/>
      </c>
      <c r="U1286">
        <f>290*U1285/1000</f>
        <v/>
      </c>
    </row>
    <row r="1287">
      <c r="A1287">
        <f>Skills!A5</f>
        <v/>
      </c>
      <c r="B1287">
        <f>Skills!B5</f>
        <v/>
      </c>
      <c r="C1287">
        <f>Inputs!$B$3&gt;=63</f>
        <v/>
      </c>
      <c r="D1287">
        <f>IF(Skills!C5=1,60+Inputs!$B$24+Inputs!$B$28,IF(Skills!C5=2,90+Inputs!$B$25+Inputs!$B$28,IF(Skills!C5=3,120+Inputs!$B$26+Inputs!$B$28,MAX(0,(Inputs!$B$3-100)*3)+Inputs!$B$27+Inputs!$B$28)))</f>
        <v/>
      </c>
      <c r="E1287">
        <f>INDEX(FactorTable!$B$2:$Y$301, MATCH(ROUND(MIN(300,MAX(1,D1287)),0), FactorTable!$A$2:$A$301,0), Skills!M5+1)</f>
        <v/>
      </c>
      <c r="F1287">
        <f>IF(Skills!N5=TRUE,(Skills!L5/10)*(E1287/1000),Skills!L5/10)+Skills!O5</f>
        <v/>
      </c>
      <c r="G1287">
        <f>Skills!G5*IF(Skills!H5&gt;0,Skills!I5/Skills!H5,1)</f>
        <v/>
      </c>
      <c r="H1287">
        <f>1-(1-Skills!J5/100)^Skills!K5</f>
        <v/>
      </c>
      <c r="I1287" t="inlineStr">
        <is>
          <t>1</t>
        </is>
      </c>
      <c r="J1287">
        <f>(Inputs!$B$5*(1+Inputs!$B$6/100))*(F1287/100)</f>
        <v/>
      </c>
      <c r="K1287">
        <f>J1287*(1+((Inputs!$B$11*(1+Inputs!$B$12/100))*0.01+Inputs!$B$13*0.0025)/100)*(1+Inputs!$B$14/100)*(1+IF(Inputs!$B$4="pvp",0,(1-Summary!$B$55)*(Inputs!$B$19+0+Skills!P5+B1316)+Summary!$B$55*(Inputs!$B$20+Skills!Q5+B1316))/100)*(1+Inputs!$B$15/100)*(5000/(6000+Inputs!$B$7*(1-Inputs!$B$18/100)))*(1+(Inputs!$B$23+((C1312=TRUE)*(F1312-Calc!F30)))/100)*(1+2.6666666666666665*IF(C1300=TRUE,F1300,0)/100)*(1+(IF(Skills!A5="CRUEL_STAB",Inputs!$B$16+((C1309=TRUE)*(F1309-Calc!F27)),Inputs!$B$17+((C1310=TRUE)*(F1310-Calc!F28))))/100)*(((1+(((C1303=TRUE)*F1303*IF(AND(Inputs!$B$4&lt;&gt;"pvp",Inputs!$B$35&gt;0),(((S1303-1)*(Skills!Y21*(1+Inputs!$B$33/100))+MIN((Skills!Y21*(1+Inputs!$B$33/100)),MAX(0,Inputs!$B$35-((S1303-1)*Skills!D21))))/Inputs!$B$35),IF(Inputs!$B$4="pvp",MIN((Skills!Y21*(1+Inputs!$B$33/100)),15)/15,(Skills!Y21*(1+Inputs!$B$33/100))/Skills!D21)))+((C1305=TRUE)*(F1305-Calc!F23))+((C1299=TRUE)*(F1299-Calc!F17)))/100)*(1+((C1292=TRUE)*F1292*IF(AND(Inputs!$B$4&lt;&gt;"pvp",Inputs!$B$35&gt;0),(((S1292-1)*(Skills!Y10*(1+Inputs!$B$33/100))+MIN((Skills!Y10*(1+Inputs!$B$33/100)),MAX(0,Inputs!$B$35-((S1292-1)*Skills!D10))))/Inputs!$B$35),IF(Inputs!$B$4="pvp",MIN((Skills!Y10*(1+Inputs!$B$33/100)),15)/15,(Skills!Y10*(1+Inputs!$B$33/100))/Skills!D10)))/100)*(1+((C1297=TRUE)*F1297*IF(AND(Inputs!$B$4&lt;&gt;"pvp",Inputs!$B$35&gt;0),(((S1297-1)*(Skills!Y15*(1+Inputs!$B$33/100))+MIN((Skills!Y15*(1+Inputs!$B$33/100)),MAX(0,Inputs!$B$35-((S1297-1)*Skills!D15))))/Inputs!$B$35),IF(Inputs!$B$4="pvp",MIN((Skills!Y15*(1+Inputs!$B$33/100)),15)/15,(Skills!Y15*(1+Inputs!$B$33/100))/Skills!D15)))/100))*B1317*I1287)</f>
        <v/>
      </c>
      <c r="L1287">
        <f>K1287*(MIN(Inputs!$B$21+((C1306=TRUE)*(F1306-Calc!F24)),Inputs!$B$22+((C1311=TRUE)*(F1311-Calc!F29)))/100+(Inputs!$B$22+((C1311=TRUE)*(F1311-Calc!F29)))/100)/2</f>
        <v/>
      </c>
      <c r="M1287">
        <f>L1287*(1+(Inputs!$B$9+((C1308=TRUE)*(F1308-Calc!F26))+B1322)/100)</f>
        <v/>
      </c>
      <c r="N1287">
        <f>L1287*(1-MIN((Inputs!$B$8+((C1307=TRUE)*(F1307-Calc!F25))+B1315),100)/100)+M1287*(MIN((Inputs!$B$8+((C1307=TRUE)*(F1307-Calc!F25))+B1315),100)/100)</f>
        <v/>
      </c>
      <c r="O1287">
        <f>IF(C1287,H1287*N1287*IF(AND(Inputs!$B$4&lt;&gt;"pvp",Inputs!$B$35&gt;0),((Skills!G5*((R1287-1)*IF(Skills!H5&gt;0,Skills!I5/Skills!H5,1)+IF(Skills!H5&gt;0,MIN(Skills!I5,MAX(0,Inputs!$B$35-((R1287-1)*IF(Inputs!$B$4="pvp",15,MAX(0.1,Skills!D5-IF(Skills!E5=TRUE,Inputs!$B$31,0))))))/Skills!H5,1)))/Inputs!$B$35),G1287*Q1287)*IF(Inputs!$B$4="pvp",1,(1-Summary!$B$55)*(1)+Summary!$B$55*(MIN(Skills!W5,Inputs!$B$37))),0)</f>
        <v/>
      </c>
      <c r="P1287">
        <f>IF(B1327=0,0,O1287/B1327)</f>
        <v/>
      </c>
      <c r="Q1287">
        <f>IFERROR(1/IF(Inputs!$B$4="pvp",15,MAX(0.1,Skills!D5-IF(Skills!E5=TRUE,Inputs!$B$31,0))),0)</f>
        <v/>
      </c>
      <c r="R1287">
        <f>IF(AND(Inputs!$B$4&lt;&gt;"pvp",Inputs!$B$35&gt;0),(INT(Inputs!$B$35/IF(Inputs!$B$4="pvp",15,MAX(0.1,Skills!D5-IF(Skills!E5=TRUE,Inputs!$B$31,0))))+1),0)</f>
        <v/>
      </c>
      <c r="S1287">
        <f>IFERROR(O1287/N1287,0)</f>
        <v/>
      </c>
    </row>
    <row r="1288">
      <c r="A1288">
        <f>Skills!A6</f>
        <v/>
      </c>
      <c r="B1288">
        <f>Skills!B6</f>
        <v/>
      </c>
      <c r="C1288">
        <f>Inputs!$B$3&gt;=69</f>
        <v/>
      </c>
      <c r="D1288">
        <f>IF(Skills!C6=1,60+Inputs!$B$24+Inputs!$B$28,IF(Skills!C6=2,90+Inputs!$B$25+Inputs!$B$28,IF(Skills!C6=3,120+Inputs!$B$26+Inputs!$B$28,MAX(0,(Inputs!$B$3-100)*3)+Inputs!$B$27+Inputs!$B$28)))</f>
        <v/>
      </c>
      <c r="E1288">
        <f>INDEX(FactorTable!$B$2:$Y$301, MATCH(ROUND(MIN(300,MAX(1,D1288)),0), FactorTable!$A$2:$A$301,0), Skills!M6+1)</f>
        <v/>
      </c>
      <c r="F1288">
        <f>IF(Skills!N6=TRUE,(Skills!L6/10)*(E1288/1000),Skills!L6/10)+Skills!O6</f>
        <v/>
      </c>
      <c r="G1288">
        <f>Skills!G6*IF(Skills!H6&gt;0,Skills!I6/Skills!H6,1)</f>
        <v/>
      </c>
      <c r="H1288">
        <f>1-(1-Skills!J6/100)^Skills!K6</f>
        <v/>
      </c>
      <c r="I1288" t="inlineStr">
        <is>
          <t>1</t>
        </is>
      </c>
      <c r="J1288">
        <f>(Inputs!$B$5*(1+Inputs!$B$6/100))*(F1288/100)</f>
        <v/>
      </c>
      <c r="K1288">
        <f>J1288*(1+((Inputs!$B$11*(1+Inputs!$B$12/100))*0.01+Inputs!$B$13*0.0025)/100)*(1+Inputs!$B$14/100)*(1+IF(Inputs!$B$4="pvp",0,(1-Summary!$B$55)*(Inputs!$B$19+0+Skills!P6+B1316)+Summary!$B$55*(Inputs!$B$20+Skills!Q6+B1316))/100)*(1+Inputs!$B$15/100)*(5000/(6000+Inputs!$B$7*(1-Inputs!$B$18/100)))*(1+(Inputs!$B$23+((C1312=TRUE)*(F1312-Calc!F30)))/100)*(1+1.0*IF(C1300=TRUE,F1300,0)/100)*(1+(IF(Skills!A6="CRUEL_STAB",Inputs!$B$16+((C1309=TRUE)*(F1309-Calc!F27)),Inputs!$B$17+((C1310=TRUE)*(F1310-Calc!F28))))/100)*(((1+(((C1303=TRUE)*F1303*IF(AND(Inputs!$B$4&lt;&gt;"pvp",Inputs!$B$35&gt;0),(((S1303-1)*(Skills!Y21*(1+Inputs!$B$33/100))+MIN((Skills!Y21*(1+Inputs!$B$33/100)),MAX(0,Inputs!$B$35-((S1303-1)*Skills!D21))))/Inputs!$B$35),IF(Inputs!$B$4="pvp",MIN((Skills!Y21*(1+Inputs!$B$33/100)),15)/15,(Skills!Y21*(1+Inputs!$B$33/100))/Skills!D21)))+((C1305=TRUE)*(F1305-Calc!F23))+((C1299=TRUE)*(F1299-Calc!F17)))/100)*(1+((C1292=TRUE)*F1292*IF(AND(Inputs!$B$4&lt;&gt;"pvp",Inputs!$B$35&gt;0),(((S1292-1)*(Skills!Y10*(1+Inputs!$B$33/100))+MIN((Skills!Y10*(1+Inputs!$B$33/100)),MAX(0,Inputs!$B$35-((S1292-1)*Skills!D10))))/Inputs!$B$35),IF(Inputs!$B$4="pvp",MIN((Skills!Y10*(1+Inputs!$B$33/100)),15)/15,(Skills!Y10*(1+Inputs!$B$33/100))/Skills!D10)))/100)*(1+((C1297=TRUE)*F1297*IF(AND(Inputs!$B$4&lt;&gt;"pvp",Inputs!$B$35&gt;0),(((S1297-1)*(Skills!Y15*(1+Inputs!$B$33/100))+MIN((Skills!Y15*(1+Inputs!$B$33/100)),MAX(0,Inputs!$B$35-((S1297-1)*Skills!D15))))/Inputs!$B$35),IF(Inputs!$B$4="pvp",MIN((Skills!Y15*(1+Inputs!$B$33/100)),15)/15,(Skills!Y15*(1+Inputs!$B$33/100))/Skills!D15)))/100))*B1317*I1288)</f>
        <v/>
      </c>
      <c r="L1288">
        <f>K1288*(MIN(Inputs!$B$21+((C1306=TRUE)*(F1306-Calc!F24)),Inputs!$B$22+((C1311=TRUE)*(F1311-Calc!F29)))/100+(Inputs!$B$22+((C1311=TRUE)*(F1311-Calc!F29)))/100)/2</f>
        <v/>
      </c>
      <c r="M1288">
        <f>L1288*(1+(Inputs!$B$9+((C1308=TRUE)*(F1308-Calc!F26))+B1322)/100)</f>
        <v/>
      </c>
      <c r="N1288">
        <f>L1288*(1-MIN((Inputs!$B$8+((C1307=TRUE)*(F1307-Calc!F25))+B1315),100)/100)+M1288*(MIN((Inputs!$B$8+((C1307=TRUE)*(F1307-Calc!F25))+B1315),100)/100)</f>
        <v/>
      </c>
      <c r="O1288">
        <f>IF(C1288,H1288*N1288*IF(AND(Inputs!$B$4&lt;&gt;"pvp",Inputs!$B$35&gt;0),((Skills!G6*((R1288-1)*IF(Skills!H6&gt;0,Skills!I6/Skills!H6,1)+IF(Skills!H6&gt;0,MIN(Skills!I6,MAX(0,Inputs!$B$35-((R1288-1)*IF(Inputs!$B$4="pvp",15,MAX(0.1,Skills!D6-IF(Skills!E6=TRUE,Inputs!$B$31,0))))))/Skills!H6,1)))/Inputs!$B$35),G1288*Q1288)*IF(Inputs!$B$4="pvp",1,(1-Summary!$B$55)*(1)+Summary!$B$55*(MIN(Skills!W6,Inputs!$B$37))),0)</f>
        <v/>
      </c>
      <c r="P1288">
        <f>IF(B1327=0,0,O1288/B1327)</f>
        <v/>
      </c>
      <c r="Q1288">
        <f>IFERROR(1/IF(Inputs!$B$4="pvp",15,MAX(0.1,Skills!D6-IF(Skills!E6=TRUE,Inputs!$B$31,0))),0)</f>
        <v/>
      </c>
      <c r="R1288">
        <f>IF(AND(Inputs!$B$4&lt;&gt;"pvp",Inputs!$B$35&gt;0),(INT(Inputs!$B$35/IF(Inputs!$B$4="pvp",15,MAX(0.1,Skills!D6-IF(Skills!E6=TRUE,Inputs!$B$31,0))))+1),0)</f>
        <v/>
      </c>
      <c r="S1288">
        <f>IFERROR(O1288/N1288,0)</f>
        <v/>
      </c>
    </row>
    <row r="1289">
      <c r="A1289">
        <f>Skills!A7</f>
        <v/>
      </c>
      <c r="B1289">
        <f>Skills!B7</f>
        <v/>
      </c>
      <c r="C1289">
        <f>Inputs!$B$3&gt;=60</f>
        <v/>
      </c>
      <c r="D1289">
        <f>IF(Skills!C7=1,60+Inputs!$B$24+Inputs!$B$28,IF(Skills!C7=2,90+Inputs!$B$25+Inputs!$B$28,IF(Skills!C7=3,120+Inputs!$B$26+Inputs!$B$28,MAX(0,(Inputs!$B$3-100)*3)+Inputs!$B$27+Inputs!$B$28)))</f>
        <v/>
      </c>
      <c r="E1289">
        <f>INDEX(FactorTable!$B$2:$Y$301, MATCH(ROUND(MIN(300,MAX(1,D1289)),0), FactorTable!$A$2:$A$301,0), Skills!M7+1)</f>
        <v/>
      </c>
      <c r="F1289">
        <f>IF(Skills!N7=TRUE,(Skills!L7/10)*(E1289/1000),Skills!L7/10)+Skills!O7</f>
        <v/>
      </c>
      <c r="G1289">
        <f>Skills!G7*IF(Skills!H7&gt;0,Skills!I7/Skills!H7,1)</f>
        <v/>
      </c>
      <c r="H1289">
        <f>1-(1-Skills!J7/100)^Skills!K7</f>
        <v/>
      </c>
      <c r="I1289" t="inlineStr">
        <is>
          <t>1</t>
        </is>
      </c>
      <c r="J1289" t="inlineStr"/>
      <c r="K1289" t="inlineStr"/>
      <c r="L1289" t="inlineStr"/>
      <c r="M1289" t="inlineStr"/>
      <c r="N1289" t="inlineStr"/>
      <c r="O1289" t="n">
        <v>0</v>
      </c>
      <c r="P1289">
        <f>IF(B1327=0,0,O1289/B1327)</f>
        <v/>
      </c>
      <c r="Q1289" t="n">
        <v>0</v>
      </c>
      <c r="R1289" t="n">
        <v>0</v>
      </c>
      <c r="S1289">
        <f>IFERROR(O1289/N1289,0)</f>
        <v/>
      </c>
    </row>
    <row r="1290">
      <c r="A1290">
        <f>Skills!A8</f>
        <v/>
      </c>
      <c r="B1290">
        <f>Skills!B8</f>
        <v/>
      </c>
      <c r="C1290">
        <f>Inputs!$B$3&gt;=72</f>
        <v/>
      </c>
      <c r="D1290">
        <f>IF(Skills!C8=1,60+Inputs!$B$24+Inputs!$B$28,IF(Skills!C8=2,90+Inputs!$B$25+Inputs!$B$28,IF(Skills!C8=3,120+Inputs!$B$26+Inputs!$B$28,MAX(0,(Inputs!$B$3-100)*3)+Inputs!$B$27+Inputs!$B$28)))</f>
        <v/>
      </c>
      <c r="E1290">
        <f>INDEX(FactorTable!$B$2:$Y$301, MATCH(ROUND(MIN(300,MAX(1,D1290)),0), FactorTable!$A$2:$A$301,0), Skills!M8+1)</f>
        <v/>
      </c>
      <c r="F1290">
        <f>IF(Skills!N8=TRUE,(Skills!L8/10)*(E1290/1000),Skills!L8/10)+Skills!O8</f>
        <v/>
      </c>
      <c r="G1290">
        <f>Skills!G8*IF(Skills!H8&gt;0,Skills!I8/Skills!H8,1)</f>
        <v/>
      </c>
      <c r="H1290">
        <f>1-(1-Skills!J8/100)^Skills!K8</f>
        <v/>
      </c>
      <c r="I1290" t="inlineStr">
        <is>
          <t>1</t>
        </is>
      </c>
      <c r="J1290">
        <f>(Inputs!$B$5*(1+Inputs!$B$6/100))*(F1290/100)</f>
        <v/>
      </c>
      <c r="K1290">
        <f>J1290*(1+((Inputs!$B$11*(1+Inputs!$B$12/100))*0.01+Inputs!$B$13*0.0025)/100)*(1+Inputs!$B$14/100)*(1+IF(Inputs!$B$4="pvp",0,(1-Summary!$B$55)*(Inputs!$B$19+0+Skills!P8+B1316)+Summary!$B$55*(Inputs!$B$20+Skills!Q8+B1316))/100)*(1+Inputs!$B$15/100)*(5000/(6000+Inputs!$B$7*(1-Inputs!$B$18/100)))*(1+(Inputs!$B$23+((C1312=TRUE)*(F1312-Calc!F30)))/100)*(1+3.3333333333333335*IF(C1300=TRUE,F1300,0)/100)*(1+(IF(Skills!A8="CRUEL_STAB",Inputs!$B$16+((C1309=TRUE)*(F1309-Calc!F27)),Inputs!$B$17+((C1310=TRUE)*(F1310-Calc!F28))))/100)*(((1+(((C1303=TRUE)*F1303*IF(AND(Inputs!$B$4&lt;&gt;"pvp",Inputs!$B$35&gt;0),(((S1303-1)*(Skills!Y21*(1+Inputs!$B$33/100))+MIN((Skills!Y21*(1+Inputs!$B$33/100)),MAX(0,Inputs!$B$35-((S1303-1)*Skills!D21))))/Inputs!$B$35),IF(Inputs!$B$4="pvp",MIN((Skills!Y21*(1+Inputs!$B$33/100)),15)/15,(Skills!Y21*(1+Inputs!$B$33/100))/Skills!D21)))+((C1305=TRUE)*(F1305-Calc!F23))+((C1299=TRUE)*(F1299-Calc!F17)))/100)*(1+((C1292=TRUE)*F1292*IF(AND(Inputs!$B$4&lt;&gt;"pvp",Inputs!$B$35&gt;0),(((S1292-1)*(Skills!Y10*(1+Inputs!$B$33/100))+MIN((Skills!Y10*(1+Inputs!$B$33/100)),MAX(0,Inputs!$B$35-((S1292-1)*Skills!D10))))/Inputs!$B$35),IF(Inputs!$B$4="pvp",MIN((Skills!Y10*(1+Inputs!$B$33/100)),15)/15,(Skills!Y10*(1+Inputs!$B$33/100))/Skills!D10)))/100)*(1+((C1297=TRUE)*F1297*IF(AND(Inputs!$B$4&lt;&gt;"pvp",Inputs!$B$35&gt;0),(((S1297-1)*(Skills!Y15*(1+Inputs!$B$33/100))+MIN((Skills!Y15*(1+Inputs!$B$33/100)),MAX(0,Inputs!$B$35-((S1297-1)*Skills!D15))))/Inputs!$B$35),IF(Inputs!$B$4="pvp",MIN((Skills!Y15*(1+Inputs!$B$33/100)),15)/15,(Skills!Y15*(1+Inputs!$B$33/100))/Skills!D15)))/100))*B1317*I1290)</f>
        <v/>
      </c>
      <c r="L1290">
        <f>K1290*(MIN(Inputs!$B$21+((C1306=TRUE)*(F1306-Calc!F24)),Inputs!$B$22+((C1311=TRUE)*(F1311-Calc!F29)))/100+(Inputs!$B$22+((C1311=TRUE)*(F1311-Calc!F29)))/100)/2</f>
        <v/>
      </c>
      <c r="M1290">
        <f>L1290*(1+(Inputs!$B$9+((C1308=TRUE)*(F1308-Calc!F26))+B1322)/100)</f>
        <v/>
      </c>
      <c r="N1290">
        <f>L1290*(1-MIN((Inputs!$B$8+((C1307=TRUE)*(F1307-Calc!F25))+B1315),100)/100)+M1290*(MIN((Inputs!$B$8+((C1307=TRUE)*(F1307-Calc!F25))+B1315),100)/100)</f>
        <v/>
      </c>
      <c r="O1290">
        <f>IF(C1290,H1290*N1290*IF(AND(Inputs!$B$4&lt;&gt;"pvp",Inputs!$B$35&gt;0),((Skills!G8*((R1290-1)*IF(Skills!H8&gt;0,Skills!I8/Skills!H8,1)+IF(Skills!H8&gt;0,MIN(Skills!I8,MAX(0,Inputs!$B$35-((R1290-1)*IF(Inputs!$B$4="pvp",15,MAX(0.1,Skills!D8-IF(Skills!E8=TRUE,Inputs!$B$31,0))))))/Skills!H8,1)))/Inputs!$B$35),G1290*Q1290)*IF(Inputs!$B$4="pvp",1,(1-Summary!$B$55)*(1)+Summary!$B$55*(MIN(Skills!W8,Inputs!$B$37))),0)</f>
        <v/>
      </c>
      <c r="P1290">
        <f>IF(B1327=0,0,O1290/B1327)</f>
        <v/>
      </c>
      <c r="Q1290">
        <f>IFERROR(1/IF(Inputs!$B$4="pvp",15,MAX(0.1,Skills!D8-IF(Skills!E8=TRUE,Inputs!$B$31,0))),0)</f>
        <v/>
      </c>
      <c r="R1290">
        <f>IF(AND(Inputs!$B$4&lt;&gt;"pvp",Inputs!$B$35&gt;0),(INT(Inputs!$B$35/IF(Inputs!$B$4="pvp",15,MAX(0.1,Skills!D8-IF(Skills!E8=TRUE,Inputs!$B$31,0))))+1),0)</f>
        <v/>
      </c>
      <c r="S1290">
        <f>IFERROR(O1290/N1290,0)</f>
        <v/>
      </c>
    </row>
    <row r="1291">
      <c r="A1291">
        <f>Skills!A9</f>
        <v/>
      </c>
      <c r="B1291">
        <f>Skills!B9</f>
        <v/>
      </c>
      <c r="C1291">
        <f>Inputs!$B$3&gt;=117</f>
        <v/>
      </c>
      <c r="D1291">
        <f>IF(Skills!C9=1,60+Inputs!$B$24+Inputs!$B$28,IF(Skills!C9=2,90+Inputs!$B$25+Inputs!$B$28,IF(Skills!C9=3,120+Inputs!$B$26+Inputs!$B$28,MAX(0,(Inputs!$B$3-100)*3)+Inputs!$B$27+Inputs!$B$28)))</f>
        <v/>
      </c>
      <c r="E1291">
        <f>INDEX(FactorTable!$B$2:$Y$301, MATCH(ROUND(MIN(300,MAX(1,D1291)),0), FactorTable!$A$2:$A$301,0), Skills!M9+1)</f>
        <v/>
      </c>
      <c r="F1291">
        <f>IF(Skills!N9=TRUE,(Skills!L9/10)*(E1291/1000),Skills!L9/10)+Skills!O9</f>
        <v/>
      </c>
      <c r="G1291">
        <f>Skills!G9*IF(Skills!H9&gt;0,Skills!I9/Skills!H9,1)</f>
        <v/>
      </c>
      <c r="H1291">
        <f>1-(1-Skills!J9/100)^Skills!K9</f>
        <v/>
      </c>
      <c r="I1291" t="inlineStr">
        <is>
          <t>1</t>
        </is>
      </c>
      <c r="J1291">
        <f>(Inputs!$B$5*(1+Inputs!$B$6/100))*(F1291/100)</f>
        <v/>
      </c>
      <c r="K1291">
        <f>J1291*(1+((Inputs!$B$11*(1+Inputs!$B$12/100))*0.01+Inputs!$B$13*0.0025)/100)*(1+Inputs!$B$14/100)*(1+IF(Inputs!$B$4="pvp",0,(1-Summary!$B$55)*(Inputs!$B$19+0+Skills!P9+B1316)+Summary!$B$55*(Inputs!$B$20+Skills!Q9+B1316))/100)*(1+Inputs!$B$15/100)*(5000/(6000+Inputs!$B$7*(1-Inputs!$B$18/100)))*(1+(Inputs!$B$23+((C1312=TRUE)*(F1312-Calc!F30)))/100)*(1+(IF(Skills!A9="CRUEL_STAB",Inputs!$B$16+((C1309=TRUE)*(F1309-Calc!F27)),Inputs!$B$17+((C1310=TRUE)*(F1310-Calc!F28))))/100)*(((1+(((C1303=TRUE)*F1303*IF(AND(Inputs!$B$4&lt;&gt;"pvp",Inputs!$B$35&gt;0),(((S1303-1)*(Skills!Y21*(1+Inputs!$B$33/100))+MIN((Skills!Y21*(1+Inputs!$B$33/100)),MAX(0,Inputs!$B$35-((S1303-1)*Skills!D21))))/Inputs!$B$35),IF(Inputs!$B$4="pvp",MIN((Skills!Y21*(1+Inputs!$B$33/100)),15)/15,(Skills!Y21*(1+Inputs!$B$33/100))/Skills!D21)))+((C1305=TRUE)*(F1305-Calc!F23))+((C1299=TRUE)*(F1299-Calc!F17)))/100)*(1+((C1292=TRUE)*F1292*IF(AND(Inputs!$B$4&lt;&gt;"pvp",Inputs!$B$35&gt;0),(((S1292-1)*(Skills!Y10*(1+Inputs!$B$33/100))+MIN((Skills!Y10*(1+Inputs!$B$33/100)),MAX(0,Inputs!$B$35-((S1292-1)*Skills!D10))))/Inputs!$B$35),IF(Inputs!$B$4="pvp",MIN((Skills!Y10*(1+Inputs!$B$33/100)),15)/15,(Skills!Y10*(1+Inputs!$B$33/100))/Skills!D10)))/100)*(1+((C1297=TRUE)*F1297*IF(AND(Inputs!$B$4&lt;&gt;"pvp",Inputs!$B$35&gt;0),(((S1297-1)*(Skills!Y15*(1+Inputs!$B$33/100))+MIN((Skills!Y15*(1+Inputs!$B$33/100)),MAX(0,Inputs!$B$35-((S1297-1)*Skills!D15))))/Inputs!$B$35),IF(Inputs!$B$4="pvp",MIN((Skills!Y15*(1+Inputs!$B$33/100)),15)/15,(Skills!Y15*(1+Inputs!$B$33/100))/Skills!D15)))/100))*B1317*I1291)</f>
        <v/>
      </c>
      <c r="L1291">
        <f>K1291*(MIN(Inputs!$B$21+((C1306=TRUE)*(F1306-Calc!F24)),Inputs!$B$22+((C1311=TRUE)*(F1311-Calc!F29)))/100+(Inputs!$B$22+((C1311=TRUE)*(F1311-Calc!F29)))/100)/2</f>
        <v/>
      </c>
      <c r="M1291">
        <f>L1291*(1+(Inputs!$B$9+((C1308=TRUE)*(F1308-Calc!F26))+B1322)/100)</f>
        <v/>
      </c>
      <c r="N1291">
        <f>L1291*(1-MIN((Inputs!$B$8+((C1307=TRUE)*(F1307-Calc!F25))+B1315),100)/100)+M1291*(MIN((Inputs!$B$8+((C1307=TRUE)*(F1307-Calc!F25))+B1315),100)/100)</f>
        <v/>
      </c>
      <c r="O1291">
        <f>IF(C1291,0.2*SUMPRODUCT((Skills!Z2:Z30=TRUE)*(C1284:C1312=TRUE)*S1284:S1312)*N1291,0)</f>
        <v/>
      </c>
      <c r="P1291">
        <f>IF(B1327=0,0,O1291/B1327)</f>
        <v/>
      </c>
      <c r="Q1291" t="n">
        <v>0</v>
      </c>
      <c r="R1291" t="n">
        <v>0</v>
      </c>
      <c r="S1291" t="n">
        <v>0</v>
      </c>
    </row>
    <row r="1292">
      <c r="A1292">
        <f>Skills!A10</f>
        <v/>
      </c>
      <c r="B1292">
        <f>Skills!B10</f>
        <v/>
      </c>
      <c r="C1292">
        <f>Inputs!$B$3&gt;=74</f>
        <v/>
      </c>
      <c r="D1292">
        <f>IF(Skills!C10=1,60+Inputs!$B$24+Inputs!$B$28,IF(Skills!C10=2,90+Inputs!$B$25+Inputs!$B$28,IF(Skills!C10=3,120+Inputs!$B$26+Inputs!$B$28,MAX(0,(Inputs!$B$3-100)*3)+Inputs!$B$27+Inputs!$B$28)))</f>
        <v/>
      </c>
      <c r="E1292">
        <f>INDEX(FactorTable!$B$2:$Y$301, MATCH(ROUND(MIN(300,MAX(1,D1292)),0), FactorTable!$A$2:$A$301,0), Skills!M10+1)</f>
        <v/>
      </c>
      <c r="F1292">
        <f>IF(Skills!N10=TRUE,(Skills!L10/10)*(E1292/1000),Skills!L10/10)+Skills!O10</f>
        <v/>
      </c>
      <c r="G1292">
        <f>Skills!G10*IF(Skills!H10&gt;0,Skills!I10/Skills!H10,1)</f>
        <v/>
      </c>
      <c r="H1292">
        <f>1-(1-Skills!J10/100)^Skills!K10</f>
        <v/>
      </c>
      <c r="I1292" t="inlineStr">
        <is>
          <t>1</t>
        </is>
      </c>
      <c r="J1292" t="inlineStr"/>
      <c r="K1292" t="inlineStr"/>
      <c r="L1292" t="inlineStr"/>
      <c r="M1292" t="inlineStr"/>
      <c r="N1292" t="inlineStr"/>
      <c r="O1292" t="n">
        <v>0</v>
      </c>
      <c r="P1292">
        <f>IF(B1327=0,0,O1292/B1327)</f>
        <v/>
      </c>
      <c r="Q1292">
        <f>IFERROR(1/IF(Inputs!$B$4="pvp",15,MAX(0.1,Skills!D10-IF(Skills!E10=TRUE,Inputs!$B$31,0))),0)</f>
        <v/>
      </c>
      <c r="R1292">
        <f>IF(AND(Inputs!$B$4&lt;&gt;"pvp",Inputs!$B$35&gt;0),(INT(Inputs!$B$35/IF(Inputs!$B$4="pvp",15,MAX(0.1,Skills!D10-IF(Skills!E10=TRUE,Inputs!$B$31,0))))+1),0)</f>
        <v/>
      </c>
      <c r="S1292">
        <f>IFERROR(O1292/N1292,0)</f>
        <v/>
      </c>
    </row>
    <row r="1293">
      <c r="A1293">
        <f>Skills!A11</f>
        <v/>
      </c>
      <c r="B1293">
        <f>Skills!B11</f>
        <v/>
      </c>
      <c r="C1293">
        <f>Inputs!$B$3&gt;=103</f>
        <v/>
      </c>
      <c r="D1293">
        <f>IF(Skills!C11=1,60+Inputs!$B$24+Inputs!$B$28,IF(Skills!C11=2,90+Inputs!$B$25+Inputs!$B$28,IF(Skills!C11=3,120+Inputs!$B$26+Inputs!$B$28,MAX(0,(Inputs!$B$3-100)*3)+Inputs!$B$27+Inputs!$B$28)))</f>
        <v/>
      </c>
      <c r="E1293">
        <f>INDEX(FactorTable!$B$2:$Y$301, MATCH(ROUND(MIN(300,MAX(1,D1293)),0), FactorTable!$A$2:$A$301,0), Skills!M11+1)</f>
        <v/>
      </c>
      <c r="F1293">
        <f>(Skills!L11/10)*(E1293/1000)+IF(Inputs!$B$3&gt;=134,50,0)+0.5*(30000/10)*(INDEX(FactorTable!$B$2:$Y$301, MATCH(ROUND(MIN(300,MAX(1,D1293)),0), FactorTable!$A$2:$A$301,0), 13)/1000)*B1325</f>
        <v/>
      </c>
      <c r="G1293">
        <f>Skills!G11*IF(Skills!H11&gt;0,Skills!I11/Skills!H11,1)</f>
        <v/>
      </c>
      <c r="H1293">
        <f>1-(1-Skills!J11/100)^Skills!K11</f>
        <v/>
      </c>
      <c r="I1293" t="inlineStr">
        <is>
          <t>1</t>
        </is>
      </c>
      <c r="J1293">
        <f>(Inputs!$B$5*(1+Inputs!$B$6/100))*(F1293/100)</f>
        <v/>
      </c>
      <c r="K1293">
        <f>J1293*(1+((Inputs!$B$11*(1+Inputs!$B$12/100))*0.01+Inputs!$B$13*0.0025)/100)*(1+Inputs!$B$14/100)*(1+IF(Inputs!$B$4="pvp",0,(1-Summary!$B$55)*(Inputs!$B$19+0+Skills!P11+B1316)+Summary!$B$55*(Inputs!$B$20+Skills!Q11+B1316))/100)*(1+Inputs!$B$15/100)*(5000/(6000+Inputs!$B$7*(1-Inputs!$B$18/100)))*(1+(Inputs!$B$23+((C1312=TRUE)*(F1312-Calc!F30)))/100)*(1+(IF(Skills!A11="CRUEL_STAB",Inputs!$B$16+((C1309=TRUE)*(F1309-Calc!F27)),Inputs!$B$17+((C1310=TRUE)*(F1310-Calc!F28))))/100)*(((1+(((C1303=TRUE)*F1303*IF(AND(Inputs!$B$4&lt;&gt;"pvp",Inputs!$B$35&gt;0),(((S1303-1)*(Skills!Y21*(1+Inputs!$B$33/100))+MIN((Skills!Y21*(1+Inputs!$B$33/100)),MAX(0,Inputs!$B$35-((S1303-1)*Skills!D21))))/Inputs!$B$35),IF(Inputs!$B$4="pvp",MIN((Skills!Y21*(1+Inputs!$B$33/100)),15)/15,(Skills!Y21*(1+Inputs!$B$33/100))/Skills!D21)))+((C1305=TRUE)*(F1305-Calc!F23))+((C1299=TRUE)*(F1299-Calc!F17)))/100)*(1+((C1292=TRUE)*F1292*IF(AND(Inputs!$B$4&lt;&gt;"pvp",Inputs!$B$35&gt;0),(((S1292-1)*(Skills!Y10*(1+Inputs!$B$33/100))+MIN((Skills!Y10*(1+Inputs!$B$33/100)),MAX(0,Inputs!$B$35-((S1292-1)*Skills!D10))))/Inputs!$B$35),IF(Inputs!$B$4="pvp",MIN((Skills!Y10*(1+Inputs!$B$33/100)),15)/15,(Skills!Y10*(1+Inputs!$B$33/100))/Skills!D10)))/100)*(1+((C1297=TRUE)*F1297*IF(AND(Inputs!$B$4&lt;&gt;"pvp",Inputs!$B$35&gt;0),(((S1297-1)*(Skills!Y15*(1+Inputs!$B$33/100))+MIN((Skills!Y15*(1+Inputs!$B$33/100)),MAX(0,Inputs!$B$35-((S1297-1)*Skills!D15))))/Inputs!$B$35),IF(Inputs!$B$4="pvp",MIN((Skills!Y15*(1+Inputs!$B$33/100)),15)/15,(Skills!Y15*(1+Inputs!$B$33/100))/Skills!D15)))/100))*B1317*I1293)</f>
        <v/>
      </c>
      <c r="L1293">
        <f>K1293*(MIN(Inputs!$B$21+((C1306=TRUE)*(F1306-Calc!F24)),Inputs!$B$22+((C1311=TRUE)*(F1311-Calc!F29)))/100+(Inputs!$B$22+((C1311=TRUE)*(F1311-Calc!F29)))/100)/2</f>
        <v/>
      </c>
      <c r="M1293">
        <f>L1293*(1+(Inputs!$B$9+((C1308=TRUE)*(F1308-Calc!F26))+B1322)/100)</f>
        <v/>
      </c>
      <c r="N1293">
        <f>L1293*(1-MIN((Inputs!$B$8+((C1307=TRUE)*(F1307-Calc!F25))+B1315),100)/100)+M1293*(MIN((Inputs!$B$8+((C1307=TRUE)*(F1307-Calc!F25))+B1315),100)/100)</f>
        <v/>
      </c>
      <c r="O1293">
        <f>IF(C1293,H1293*N1293*IF(AND(Inputs!$B$4&lt;&gt;"pvp",Inputs!$B$35&gt;0),((Skills!G11*((R1293-1)*IF(Skills!H11&gt;0,Skills!I11/Skills!H11,1)+IF(Skills!H11&gt;0,MIN(Skills!I11,MAX(0,Inputs!$B$35-((R1293-1)*IF(Inputs!$B$4="pvp",15,MAX(0.1,Skills!D11-IF(Skills!E11=TRUE,Inputs!$B$31,0))))))/Skills!H11,1)))/Inputs!$B$35),G1293*Q1293)*IF(Inputs!$B$4="pvp",1,(1-Summary!$B$55)*(1)+Summary!$B$55*(MIN(Skills!W11,Inputs!$B$37))),0)</f>
        <v/>
      </c>
      <c r="P1293">
        <f>IF(B1327=0,0,O1293/B1327)</f>
        <v/>
      </c>
      <c r="Q1293">
        <f>IFERROR(1/IF(Inputs!$B$4="pvp",15,MAX(0.1,Skills!D11-IF(Skills!E11=TRUE,Inputs!$B$31,0))),0)</f>
        <v/>
      </c>
      <c r="R1293">
        <f>IF(AND(Inputs!$B$4&lt;&gt;"pvp",Inputs!$B$35&gt;0),(INT(Inputs!$B$35/IF(Inputs!$B$4="pvp",15,MAX(0.1,Skills!D11-IF(Skills!E11=TRUE,Inputs!$B$31,0))))+1),0)</f>
        <v/>
      </c>
      <c r="S1293">
        <f>IFERROR(O1293/N1293,0)</f>
        <v/>
      </c>
    </row>
    <row r="1294">
      <c r="A1294">
        <f>Skills!A12</f>
        <v/>
      </c>
      <c r="B1294">
        <f>Skills!B12</f>
        <v/>
      </c>
      <c r="C1294">
        <f>Inputs!$B$3&gt;=105</f>
        <v/>
      </c>
      <c r="D1294">
        <f>IF(Skills!C12=1,60+Inputs!$B$24+Inputs!$B$28,IF(Skills!C12=2,90+Inputs!$B$25+Inputs!$B$28,IF(Skills!C12=3,120+Inputs!$B$26+Inputs!$B$28,MAX(0,(Inputs!$B$3-100)*3)+Inputs!$B$27+Inputs!$B$28)))</f>
        <v/>
      </c>
      <c r="E1294">
        <f>INDEX(FactorTable!$B$2:$Y$301, MATCH(ROUND(MIN(300,MAX(1,D1294)),0), FactorTable!$A$2:$A$301,0), Skills!M12+1)</f>
        <v/>
      </c>
      <c r="F1294">
        <f>IF(Skills!N12=TRUE,(Skills!L12/10)*(E1294/1000),Skills!L12/10)+Skills!O12</f>
        <v/>
      </c>
      <c r="G1294">
        <f>Skills!G12*IF(Skills!H12&gt;0,Skills!I12/Skills!H12,1)</f>
        <v/>
      </c>
      <c r="H1294">
        <f>1-(1-Skills!J12/100)^Skills!K12</f>
        <v/>
      </c>
      <c r="I1294" t="inlineStr">
        <is>
          <t>1</t>
        </is>
      </c>
      <c r="J1294">
        <f>(Inputs!$B$5*(1+Inputs!$B$6/100))*(F1294/100)</f>
        <v/>
      </c>
      <c r="K1294">
        <f>J1294*(1+((Inputs!$B$11*(1+Inputs!$B$12/100))*0.01+Inputs!$B$13*0.0025)/100)*(1+Inputs!$B$14/100)*(1+IF(Inputs!$B$4="pvp",0,(1-Summary!$B$55)*(Inputs!$B$19+0+Skills!P12+B1316)+Summary!$B$55*(Inputs!$B$20+Skills!Q12+B1316))/100)*(1+Inputs!$B$15/100)*(5000/(6000+Inputs!$B$7*(1-Inputs!$B$18/100)))*(1+(Inputs!$B$23+((C1312=TRUE)*(F1312-Calc!F30)))/100)*(1+(IF(Skills!A12="CRUEL_STAB",Inputs!$B$16+((C1309=TRUE)*(F1309-Calc!F27)),Inputs!$B$17+((C1310=TRUE)*(F1310-Calc!F28))))/100)*(((1+(((C1303=TRUE)*F1303*IF(AND(Inputs!$B$4&lt;&gt;"pvp",Inputs!$B$35&gt;0),(((S1303-1)*(Skills!Y21*(1+Inputs!$B$33/100))+MIN((Skills!Y21*(1+Inputs!$B$33/100)),MAX(0,Inputs!$B$35-((S1303-1)*Skills!D21))))/Inputs!$B$35),IF(Inputs!$B$4="pvp",MIN((Skills!Y21*(1+Inputs!$B$33/100)),15)/15,(Skills!Y21*(1+Inputs!$B$33/100))/Skills!D21)))+((C1305=TRUE)*(F1305-Calc!F23))+((C1299=TRUE)*(F1299-Calc!F17)))/100)*(1+((C1292=TRUE)*F1292*IF(AND(Inputs!$B$4&lt;&gt;"pvp",Inputs!$B$35&gt;0),(((S1292-1)*(Skills!Y10*(1+Inputs!$B$33/100))+MIN((Skills!Y10*(1+Inputs!$B$33/100)),MAX(0,Inputs!$B$35-((S1292-1)*Skills!D10))))/Inputs!$B$35),IF(Inputs!$B$4="pvp",MIN((Skills!Y10*(1+Inputs!$B$33/100)),15)/15,(Skills!Y10*(1+Inputs!$B$33/100))/Skills!D10)))/100)*(1+((C1297=TRUE)*F1297*IF(AND(Inputs!$B$4&lt;&gt;"pvp",Inputs!$B$35&gt;0),(((S1297-1)*(Skills!Y15*(1+Inputs!$B$33/100))+MIN((Skills!Y15*(1+Inputs!$B$33/100)),MAX(0,Inputs!$B$35-((S1297-1)*Skills!D15))))/Inputs!$B$35),IF(Inputs!$B$4="pvp",MIN((Skills!Y15*(1+Inputs!$B$33/100)),15)/15,(Skills!Y15*(1+Inputs!$B$33/100))/Skills!D15)))/100))*B1317*I1294)</f>
        <v/>
      </c>
      <c r="L1294">
        <f>K1294*(MIN(Inputs!$B$21+((C1306=TRUE)*(F1306-Calc!F24)),Inputs!$B$22+((C1311=TRUE)*(F1311-Calc!F29)))/100+(Inputs!$B$22+((C1311=TRUE)*(F1311-Calc!F29)))/100)/2</f>
        <v/>
      </c>
      <c r="M1294">
        <f>L1294*(1+(Inputs!$B$9+((C1308=TRUE)*(F1308-Calc!F26))+B1322)/100)</f>
        <v/>
      </c>
      <c r="N1294">
        <f>L1294*(1-MIN((Inputs!$B$8+((C1307=TRUE)*(F1307-Calc!F25))+B1315),100)/100)+M1294*(MIN((Inputs!$B$8+((C1307=TRUE)*(F1307-Calc!F25))+B1315),100)/100)</f>
        <v/>
      </c>
      <c r="O1294">
        <f>IF(C1294,H1294*N1294*IF(AND(Inputs!$B$4&lt;&gt;"pvp",Inputs!$B$35&gt;0),((Skills!G12*((R1294-1)*IF(Skills!H12&gt;0,Skills!I12/Skills!H12,1)+IF(Skills!H12&gt;0,MIN(Skills!I12,MAX(0,Inputs!$B$35-((R1294-1)*IF(Inputs!$B$4="pvp",15,MAX(0.1,Skills!D12-IF(Skills!E12=TRUE,Inputs!$B$31,0))))))/Skills!H12,1)))/Inputs!$B$35),G1294*Q1294)*IF(Inputs!$B$4="pvp",1,(1-Summary!$B$55)*(1)+Summary!$B$55*(MIN(Skills!W12,Inputs!$B$37))),0)</f>
        <v/>
      </c>
      <c r="P1294">
        <f>IF(B1327=0,0,O1294/B1327)</f>
        <v/>
      </c>
      <c r="Q1294">
        <f>IFERROR(1/IF(Inputs!$B$4="pvp",15,MAX(0.1,Skills!D12-IF(Skills!E12=TRUE,Inputs!$B$31,0))),0)</f>
        <v/>
      </c>
      <c r="R1294">
        <f>IF(AND(Inputs!$B$4&lt;&gt;"pvp",Inputs!$B$35&gt;0),(INT(Inputs!$B$35/IF(Inputs!$B$4="pvp",15,MAX(0.1,Skills!D12-IF(Skills!E12=TRUE,Inputs!$B$31,0))))+1),0)</f>
        <v/>
      </c>
      <c r="S1294">
        <f>IFERROR(O1294/N1294,0)</f>
        <v/>
      </c>
    </row>
    <row r="1295">
      <c r="A1295">
        <f>Skills!A13</f>
        <v/>
      </c>
      <c r="B1295">
        <f>Skills!B13</f>
        <v/>
      </c>
      <c r="C1295">
        <f>Inputs!$B$3&gt;=105</f>
        <v/>
      </c>
      <c r="D1295">
        <f>IF(Skills!C13=1,60+Inputs!$B$24+Inputs!$B$28,IF(Skills!C13=2,90+Inputs!$B$25+Inputs!$B$28,IF(Skills!C13=3,120+Inputs!$B$26+Inputs!$B$28,MAX(0,(Inputs!$B$3-100)*3)+Inputs!$B$27+Inputs!$B$28)))</f>
        <v/>
      </c>
      <c r="E1295">
        <f>INDEX(FactorTable!$B$2:$Y$301, MATCH(ROUND(MIN(300,MAX(1,D1295)),0), FactorTable!$A$2:$A$301,0), Skills!M13+1)</f>
        <v/>
      </c>
      <c r="F1295">
        <f>IF(Skills!N13=TRUE,(Skills!L13/10)*(E1295/1000),Skills!L13/10)+Skills!O13</f>
        <v/>
      </c>
      <c r="G1295">
        <f>Skills!G13*IF(Skills!H13&gt;0,Skills!I13/Skills!H13,1)</f>
        <v/>
      </c>
      <c r="H1295">
        <f>1-(1-Skills!J13/100)^Skills!K13</f>
        <v/>
      </c>
      <c r="I1295" t="inlineStr">
        <is>
          <t>1</t>
        </is>
      </c>
      <c r="J1295">
        <f>(Inputs!$B$5*(1+Inputs!$B$6/100))*(F1295/100)</f>
        <v/>
      </c>
      <c r="K1295">
        <f>J1295*(1+((Inputs!$B$11*(1+Inputs!$B$12/100))*0.01+Inputs!$B$13*0.0025)/100)*(1+Inputs!$B$14/100)*(1+IF(Inputs!$B$4="pvp",0,(1-Summary!$B$55)*(Inputs!$B$19+0+Skills!P13+B1316)+Summary!$B$55*(Inputs!$B$20+Skills!Q13+B1316))/100)*(1+Inputs!$B$15/100)*(5000/(6000+Inputs!$B$7*(1-Inputs!$B$18/100)))*(1+(Inputs!$B$23+((C1312=TRUE)*(F1312-Calc!F30)))/100)*(1+(IF(Skills!A13="CRUEL_STAB",Inputs!$B$16+((C1309=TRUE)*(F1309-Calc!F27)),Inputs!$B$17+((C1310=TRUE)*(F1310-Calc!F28))))/100)*(((1+(((C1303=TRUE)*F1303*IF(AND(Inputs!$B$4&lt;&gt;"pvp",Inputs!$B$35&gt;0),(((S1303-1)*(Skills!Y21*(1+Inputs!$B$33/100))+MIN((Skills!Y21*(1+Inputs!$B$33/100)),MAX(0,Inputs!$B$35-((S1303-1)*Skills!D21))))/Inputs!$B$35),IF(Inputs!$B$4="pvp",MIN((Skills!Y21*(1+Inputs!$B$33/100)),15)/15,(Skills!Y21*(1+Inputs!$B$33/100))/Skills!D21)))+((C1305=TRUE)*(F1305-Calc!F23))+((C1299=TRUE)*(F1299-Calc!F17)))/100)*(1+((C1292=TRUE)*F1292*IF(AND(Inputs!$B$4&lt;&gt;"pvp",Inputs!$B$35&gt;0),(((S1292-1)*(Skills!Y10*(1+Inputs!$B$33/100))+MIN((Skills!Y10*(1+Inputs!$B$33/100)),MAX(0,Inputs!$B$35-((S1292-1)*Skills!D10))))/Inputs!$B$35),IF(Inputs!$B$4="pvp",MIN((Skills!Y10*(1+Inputs!$B$33/100)),15)/15,(Skills!Y10*(1+Inputs!$B$33/100))/Skills!D10)))/100)*(1+((C1297=TRUE)*F1297*IF(AND(Inputs!$B$4&lt;&gt;"pvp",Inputs!$B$35&gt;0),(((S1297-1)*(Skills!Y15*(1+Inputs!$B$33/100))+MIN((Skills!Y15*(1+Inputs!$B$33/100)),MAX(0,Inputs!$B$35-((S1297-1)*Skills!D15))))/Inputs!$B$35),IF(Inputs!$B$4="pvp",MIN((Skills!Y15*(1+Inputs!$B$33/100)),15)/15,(Skills!Y15*(1+Inputs!$B$33/100))/Skills!D15)))/100))*B1317*I1295)</f>
        <v/>
      </c>
      <c r="L1295">
        <f>K1295*(MIN(Inputs!$B$21+((C1306=TRUE)*(F1306-Calc!F24)),Inputs!$B$22+((C1311=TRUE)*(F1311-Calc!F29)))/100+(Inputs!$B$22+((C1311=TRUE)*(F1311-Calc!F29)))/100)/2</f>
        <v/>
      </c>
      <c r="M1295">
        <f>L1295*(1+(Inputs!$B$9+((C1308=TRUE)*(F1308-Calc!F26))+B1322)/100)</f>
        <v/>
      </c>
      <c r="N1295">
        <f>L1295*(1-MIN((Inputs!$B$8+((C1307=TRUE)*(F1307-Calc!F25))+B1315),100)/100)+M1295*(MIN((Inputs!$B$8+((C1307=TRUE)*(F1307-Calc!F25))+B1315),100)/100)</f>
        <v/>
      </c>
      <c r="O1295">
        <f>IF(C1295,H1295*N1295*IF(AND(Inputs!$B$4&lt;&gt;"pvp",Inputs!$B$35&gt;0),((Skills!G13*((R1295-1)*IF(Skills!H13&gt;0,Skills!I13/Skills!H13,1)+IF(Skills!H13&gt;0,MIN(Skills!I13,MAX(0,Inputs!$B$35-((R1295-1)*IF(Inputs!$B$4="pvp",15,MAX(0.1,Skills!D13-IF(Skills!E13=TRUE,Inputs!$B$31,0))))))/Skills!H13,1)))/Inputs!$B$35),G1295*Q1295)*IF(Inputs!$B$4="pvp",1,(1-Summary!$B$55)*(1)+Summary!$B$55*(MIN(Skills!W13,Inputs!$B$37))),0)</f>
        <v/>
      </c>
      <c r="P1295">
        <f>IF(B1327=0,0,O1295/B1327)</f>
        <v/>
      </c>
      <c r="Q1295">
        <f>IFERROR(1/IF(Inputs!$B$4="pvp",15,MAX(0.1,Skills!D13-IF(Skills!E13=TRUE,Inputs!$B$31,0))),0)</f>
        <v/>
      </c>
      <c r="R1295">
        <f>IF(AND(Inputs!$B$4&lt;&gt;"pvp",Inputs!$B$35&gt;0),(INT(Inputs!$B$35/IF(Inputs!$B$4="pvp",15,MAX(0.1,Skills!D13-IF(Skills!E13=TRUE,Inputs!$B$31,0))))+1),0)</f>
        <v/>
      </c>
      <c r="S1295">
        <f>IFERROR(O1295/N1295,0)</f>
        <v/>
      </c>
    </row>
    <row r="1296">
      <c r="A1296">
        <f>Skills!A14</f>
        <v/>
      </c>
      <c r="B1296">
        <f>Skills!B14</f>
        <v/>
      </c>
      <c r="C1296">
        <f>Inputs!$B$3&gt;=107</f>
        <v/>
      </c>
      <c r="D1296">
        <f>IF(Skills!C14=1,60+Inputs!$B$24+Inputs!$B$28,IF(Skills!C14=2,90+Inputs!$B$25+Inputs!$B$28,IF(Skills!C14=3,120+Inputs!$B$26+Inputs!$B$28,MAX(0,(Inputs!$B$3-100)*3)+Inputs!$B$27+Inputs!$B$28)))</f>
        <v/>
      </c>
      <c r="E1296">
        <f>INDEX(FactorTable!$B$2:$Y$301, MATCH(ROUND(MIN(300,MAX(1,D1296)),0), FactorTable!$A$2:$A$301,0), Skills!M14+1)</f>
        <v/>
      </c>
      <c r="F1296">
        <f>IF(Skills!N14=TRUE,(Skills!L14/10)*(E1296/1000),Skills!L14/10)+Skills!O14</f>
        <v/>
      </c>
      <c r="G1296">
        <f>Skills!G14*IF(Skills!H14&gt;0,Skills!I14/Skills!H14,1)</f>
        <v/>
      </c>
      <c r="H1296">
        <f>1-(1-Skills!J14/100)^Skills!K14</f>
        <v/>
      </c>
      <c r="I1296" t="inlineStr">
        <is>
          <t>1</t>
        </is>
      </c>
      <c r="J1296">
        <f>(Inputs!$B$5*(1+Inputs!$B$6/100))*(F1296/100)</f>
        <v/>
      </c>
      <c r="K1296">
        <f>J1296*(1+((Inputs!$B$11*(1+Inputs!$B$12/100))*0.01+Inputs!$B$13*0.0025)/100)*(1+Inputs!$B$14/100)*(1+IF(Inputs!$B$4="pvp",0,(1-Summary!$B$55)*(Inputs!$B$19+0+Skills!P14+B1316)+Summary!$B$55*(Inputs!$B$20+Skills!Q14+B1316))/100)*(1+Inputs!$B$15/100)*(5000/(6000+Inputs!$B$7*(1-Inputs!$B$18/100)))*(1+(Inputs!$B$23+((C1312=TRUE)*(F1312-Calc!F30)))/100)*(1+(IF(Skills!A14="CRUEL_STAB",Inputs!$B$16+((C1309=TRUE)*(F1309-Calc!F27)),Inputs!$B$17+((C1310=TRUE)*(F1310-Calc!F28))))/100)*(((1+(((C1303=TRUE)*F1303*IF(AND(Inputs!$B$4&lt;&gt;"pvp",Inputs!$B$35&gt;0),(((S1303-1)*(Skills!Y21*(1+Inputs!$B$33/100))+MIN((Skills!Y21*(1+Inputs!$B$33/100)),MAX(0,Inputs!$B$35-((S1303-1)*Skills!D21))))/Inputs!$B$35),IF(Inputs!$B$4="pvp",MIN((Skills!Y21*(1+Inputs!$B$33/100)),15)/15,(Skills!Y21*(1+Inputs!$B$33/100))/Skills!D21)))+((C1305=TRUE)*(F1305-Calc!F23))+((C1299=TRUE)*(F1299-Calc!F17)))/100)*(1+((C1292=TRUE)*F1292*IF(AND(Inputs!$B$4&lt;&gt;"pvp",Inputs!$B$35&gt;0),(((S1292-1)*(Skills!Y10*(1+Inputs!$B$33/100))+MIN((Skills!Y10*(1+Inputs!$B$33/100)),MAX(0,Inputs!$B$35-((S1292-1)*Skills!D10))))/Inputs!$B$35),IF(Inputs!$B$4="pvp",MIN((Skills!Y10*(1+Inputs!$B$33/100)),15)/15,(Skills!Y10*(1+Inputs!$B$33/100))/Skills!D10)))/100)*(1+((C1297=TRUE)*F1297*IF(AND(Inputs!$B$4&lt;&gt;"pvp",Inputs!$B$35&gt;0),(((S1297-1)*(Skills!Y15*(1+Inputs!$B$33/100))+MIN((Skills!Y15*(1+Inputs!$B$33/100)),MAX(0,Inputs!$B$35-((S1297-1)*Skills!D15))))/Inputs!$B$35),IF(Inputs!$B$4="pvp",MIN((Skills!Y15*(1+Inputs!$B$33/100)),15)/15,(Skills!Y15*(1+Inputs!$B$33/100))/Skills!D15)))/100))*B1317*I1296)</f>
        <v/>
      </c>
      <c r="L1296">
        <f>K1296*(MIN(Inputs!$B$21+((C1306=TRUE)*(F1306-Calc!F24)),Inputs!$B$22+((C1311=TRUE)*(F1311-Calc!F29)))/100+(Inputs!$B$22+((C1311=TRUE)*(F1311-Calc!F29)))/100)/2</f>
        <v/>
      </c>
      <c r="M1296">
        <f>L1296*(1+(Inputs!$B$9+((C1308=TRUE)*(F1308-Calc!F26))+B1322)/100)</f>
        <v/>
      </c>
      <c r="N1296">
        <f>L1296*(1-MIN((Inputs!$B$8+((C1307=TRUE)*(F1307-Calc!F25))+B1315),100)/100)+M1296*(MIN((Inputs!$B$8+((C1307=TRUE)*(F1307-Calc!F25))+B1315),100)/100)</f>
        <v/>
      </c>
      <c r="O1296">
        <f>IF(C1296,H1296*N1296*IF(AND(Inputs!$B$4&lt;&gt;"pvp",Inputs!$B$35&gt;0),((Skills!G14*((R1296-1)*IF(Skills!H14&gt;0,Skills!I14/Skills!H14,1)+IF(Skills!H14&gt;0,MIN(Skills!I14,MAX(0,Inputs!$B$35-((R1296-1)*IF(Inputs!$B$4="pvp",15,MAX(0.1,Skills!D14-IF(Skills!E14=TRUE,Inputs!$B$31,0))))))/Skills!H14,1)))/Inputs!$B$35),G1296*Q1296)*IF(Inputs!$B$4="pvp",1,(1-Summary!$B$55)*(1)+Summary!$B$55*(MIN(MIN(5,0.25*B1319*Skills!D4)*Skills!V14,Inputs!$B$37))),0)</f>
        <v/>
      </c>
      <c r="P1296">
        <f>IF(B1327=0,0,O1296/B1327)</f>
        <v/>
      </c>
      <c r="Q1296">
        <f>IFERROR(1/IF(Inputs!$B$4="pvp",15,MAX(0.1,Skills!D14-IF(Skills!E14=TRUE,Inputs!$B$31,0))),0)</f>
        <v/>
      </c>
      <c r="R1296">
        <f>IF(AND(Inputs!$B$4&lt;&gt;"pvp",Inputs!$B$35&gt;0),(INT(Inputs!$B$35/IF(Inputs!$B$4="pvp",15,MAX(0.1,Skills!D14-IF(Skills!E14=TRUE,Inputs!$B$31,0))))+1),0)</f>
        <v/>
      </c>
      <c r="S1296">
        <f>IFERROR(O1296/N1296,0)</f>
        <v/>
      </c>
    </row>
    <row r="1297">
      <c r="A1297">
        <f>Skills!A15</f>
        <v/>
      </c>
      <c r="B1297">
        <f>Skills!B15</f>
        <v/>
      </c>
      <c r="C1297">
        <f>Inputs!$B$3&gt;=110</f>
        <v/>
      </c>
      <c r="D1297">
        <f>IF(Skills!C15=1,60+Inputs!$B$24+Inputs!$B$28,IF(Skills!C15=2,90+Inputs!$B$25+Inputs!$B$28,IF(Skills!C15=3,120+Inputs!$B$26+Inputs!$B$28,MAX(0,(Inputs!$B$3-100)*3)+Inputs!$B$27+Inputs!$B$28)))</f>
        <v/>
      </c>
      <c r="E1297">
        <f>INDEX(FactorTable!$B$2:$Y$301, MATCH(ROUND(MIN(300,MAX(1,D1297)),0), FactorTable!$A$2:$A$301,0), Skills!M15+1)</f>
        <v/>
      </c>
      <c r="F1297">
        <f>IF(Skills!N15=TRUE,(Skills!L15/10)*(E1297/1000),Skills!L15/10)+Skills!O15</f>
        <v/>
      </c>
      <c r="G1297">
        <f>Skills!G15*IF(Skills!H15&gt;0,Skills!I15/Skills!H15,1)</f>
        <v/>
      </c>
      <c r="H1297">
        <f>1-(1-Skills!J15/100)^Skills!K15</f>
        <v/>
      </c>
      <c r="I1297" t="inlineStr">
        <is>
          <t>1</t>
        </is>
      </c>
      <c r="J1297" t="inlineStr"/>
      <c r="K1297" t="inlineStr"/>
      <c r="L1297" t="inlineStr"/>
      <c r="M1297" t="inlineStr"/>
      <c r="N1297" t="inlineStr"/>
      <c r="O1297" t="n">
        <v>0</v>
      </c>
      <c r="P1297">
        <f>IF(B1327=0,0,O1297/B1327)</f>
        <v/>
      </c>
      <c r="Q1297">
        <f>IFERROR(1/IF(Inputs!$B$4="pvp",15,MAX(0.1,Skills!D15-IF(Skills!E15=TRUE,Inputs!$B$31,0))),0)</f>
        <v/>
      </c>
      <c r="R1297">
        <f>IF(AND(Inputs!$B$4&lt;&gt;"pvp",Inputs!$B$35&gt;0),(INT(Inputs!$B$35/IF(Inputs!$B$4="pvp",15,MAX(0.1,Skills!D15-IF(Skills!E15=TRUE,Inputs!$B$31,0))))+1),0)</f>
        <v/>
      </c>
      <c r="S1297">
        <f>IFERROR(O1297/N1297,0)</f>
        <v/>
      </c>
    </row>
    <row r="1298">
      <c r="A1298">
        <f>Skills!A16</f>
        <v/>
      </c>
      <c r="B1298">
        <f>Skills!B16</f>
        <v/>
      </c>
      <c r="C1298">
        <f>Inputs!$B$3&gt;=115</f>
        <v/>
      </c>
      <c r="D1298">
        <f>IF(Skills!C16=1,60+Inputs!$B$24+Inputs!$B$28,IF(Skills!C16=2,90+Inputs!$B$25+Inputs!$B$28,IF(Skills!C16=3,120+Inputs!$B$26+Inputs!$B$28,MAX(0,(Inputs!$B$3-100)*3)+Inputs!$B$27+Inputs!$B$28)))</f>
        <v/>
      </c>
      <c r="E1298">
        <f>INDEX(FactorTable!$B$2:$Y$301, MATCH(ROUND(MIN(300,MAX(1,D1298)),0), FactorTable!$A$2:$A$301,0), Skills!M16+1)</f>
        <v/>
      </c>
      <c r="F1298">
        <f>IF(Skills!N16=TRUE,(Skills!L16/10)*(E1298/1000),Skills!L16/10)+Skills!O16</f>
        <v/>
      </c>
      <c r="G1298">
        <f>Skills!G16*IF(Skills!H16&gt;0,Skills!I16/Skills!H16,1)</f>
        <v/>
      </c>
      <c r="H1298">
        <f>1-(1-Skills!J16/100)^Skills!K16</f>
        <v/>
      </c>
      <c r="I1298" t="inlineStr">
        <is>
          <t>1</t>
        </is>
      </c>
      <c r="J1298">
        <f>(Inputs!$B$5*(1+Inputs!$B$6/100))*(F1298/100)</f>
        <v/>
      </c>
      <c r="K1298">
        <f>J1298*(1+((Inputs!$B$11*(1+Inputs!$B$12/100))*0.01+Inputs!$B$13*0.0025)/100)*(1+Inputs!$B$14/100)*(1+IF(Inputs!$B$4="pvp",0,(1-Summary!$B$55)*(Inputs!$B$19+0+Skills!P16+B1316)+Summary!$B$55*(Inputs!$B$20+Skills!Q16+B1316))/100)*(1+Inputs!$B$15/100)*(5000/(6000+Inputs!$B$7*(1-Inputs!$B$18/100)))*(1+(Inputs!$B$23+((C1312=TRUE)*(F1312-Calc!F30)))/100)*(1+(IF(Skills!A16="CRUEL_STAB",Inputs!$B$16+((C1309=TRUE)*(F1309-Calc!F27)),Inputs!$B$17+((C1310=TRUE)*(F1310-Calc!F28))))/100)*(((1+(((C1303=TRUE)*F1303*IF(AND(Inputs!$B$4&lt;&gt;"pvp",Inputs!$B$35&gt;0),(((S1303-1)*(Skills!Y21*(1+Inputs!$B$33/100))+MIN((Skills!Y21*(1+Inputs!$B$33/100)),MAX(0,Inputs!$B$35-((S1303-1)*Skills!D21))))/Inputs!$B$35),IF(Inputs!$B$4="pvp",MIN((Skills!Y21*(1+Inputs!$B$33/100)),15)/15,(Skills!Y21*(1+Inputs!$B$33/100))/Skills!D21)))+((C1305=TRUE)*(F1305-Calc!F23))+((C1299=TRUE)*(F1299-Calc!F17)))/100)*(1+((C1292=TRUE)*F1292*IF(AND(Inputs!$B$4&lt;&gt;"pvp",Inputs!$B$35&gt;0),(((S1292-1)*(Skills!Y10*(1+Inputs!$B$33/100))+MIN((Skills!Y10*(1+Inputs!$B$33/100)),MAX(0,Inputs!$B$35-((S1292-1)*Skills!D10))))/Inputs!$B$35),IF(Inputs!$B$4="pvp",MIN((Skills!Y10*(1+Inputs!$B$33/100)),15)/15,(Skills!Y10*(1+Inputs!$B$33/100))/Skills!D10)))/100)*(1+((C1297=TRUE)*F1297*IF(AND(Inputs!$B$4&lt;&gt;"pvp",Inputs!$B$35&gt;0),(((S1297-1)*(Skills!Y15*(1+Inputs!$B$33/100))+MIN((Skills!Y15*(1+Inputs!$B$33/100)),MAX(0,Inputs!$B$35-((S1297-1)*Skills!D15))))/Inputs!$B$35),IF(Inputs!$B$4="pvp",MIN((Skills!Y15*(1+Inputs!$B$33/100)),15)/15,(Skills!Y15*(1+Inputs!$B$33/100))/Skills!D15)))/100))*B1317*I1298)</f>
        <v/>
      </c>
      <c r="L1298">
        <f>K1298*(MIN(Inputs!$B$21+((C1306=TRUE)*(F1306-Calc!F24)),Inputs!$B$22+((C1311=TRUE)*(F1311-Calc!F29)))/100+(Inputs!$B$22+((C1311=TRUE)*(F1311-Calc!F29)))/100)/2</f>
        <v/>
      </c>
      <c r="M1298">
        <f>L1298*(1+(Inputs!$B$9+((C1308=TRUE)*(F1308-Calc!F26))+B1322)/100)</f>
        <v/>
      </c>
      <c r="N1298">
        <f>L1298*(1-MIN((Inputs!$B$8+((C1307=TRUE)*(F1307-Calc!F25))+B1315),100)/100)+M1298*(MIN((Inputs!$B$8+((C1307=TRUE)*(F1307-Calc!F25))+B1315),100)/100)</f>
        <v/>
      </c>
      <c r="O1298">
        <f>IF(C1298,(Inputs!$B$38+1)*0.2*N1298,0)</f>
        <v/>
      </c>
      <c r="P1298">
        <f>IF(B1327=0,0,O1298/B1327)</f>
        <v/>
      </c>
      <c r="Q1298" t="n">
        <v>0</v>
      </c>
      <c r="R1298" t="n">
        <v>0</v>
      </c>
      <c r="S1298">
        <f>IFERROR(O1298/N1298,0)</f>
        <v/>
      </c>
    </row>
    <row r="1299">
      <c r="A1299">
        <f>Skills!A17</f>
        <v/>
      </c>
      <c r="B1299">
        <f>Skills!B17</f>
        <v/>
      </c>
      <c r="C1299">
        <f>Inputs!$B$3&gt;=115</f>
        <v/>
      </c>
      <c r="D1299">
        <f>IF(Skills!C17=1,60+Inputs!$B$24+Inputs!$B$28,IF(Skills!C17=2,90+Inputs!$B$25+Inputs!$B$28,IF(Skills!C17=3,120+Inputs!$B$26+Inputs!$B$28,MAX(0,(Inputs!$B$3-100)*3)+Inputs!$B$27+Inputs!$B$28)))</f>
        <v/>
      </c>
      <c r="E1299">
        <f>INDEX(FactorTable!$B$2:$Y$301, MATCH(ROUND(MIN(300,MAX(1,D1299)),0), FactorTable!$A$2:$A$301,0), Skills!M17+1)</f>
        <v/>
      </c>
      <c r="F1299">
        <f>IF(Skills!N17=TRUE,(Skills!L17/10)*(E1299/1000),Skills!L17/10)+Skills!O17</f>
        <v/>
      </c>
      <c r="G1299">
        <f>Skills!G17*IF(Skills!H17&gt;0,Skills!I17/Skills!H17,1)</f>
        <v/>
      </c>
      <c r="H1299">
        <f>1-(1-Skills!J17/100)^Skills!K17</f>
        <v/>
      </c>
      <c r="I1299" t="inlineStr">
        <is>
          <t>1</t>
        </is>
      </c>
      <c r="J1299" t="inlineStr"/>
      <c r="K1299" t="inlineStr"/>
      <c r="L1299" t="inlineStr"/>
      <c r="M1299" t="inlineStr"/>
      <c r="N1299" t="inlineStr"/>
      <c r="O1299" t="n">
        <v>0</v>
      </c>
      <c r="P1299">
        <f>IF(B1327=0,0,O1299/B1327)</f>
        <v/>
      </c>
      <c r="Q1299" t="n">
        <v>0</v>
      </c>
      <c r="R1299" t="n">
        <v>0</v>
      </c>
      <c r="S1299">
        <f>IFERROR(O1299/N1299,0)</f>
        <v/>
      </c>
    </row>
    <row r="1300">
      <c r="A1300">
        <f>Skills!A18</f>
        <v/>
      </c>
      <c r="B1300">
        <f>Skills!B18</f>
        <v/>
      </c>
      <c r="C1300">
        <f>Inputs!$B$3&gt;=100</f>
        <v/>
      </c>
      <c r="D1300">
        <f>IF(Skills!C18=1,60+Inputs!$B$24+Inputs!$B$28,IF(Skills!C18=2,90+Inputs!$B$25+Inputs!$B$28,IF(Skills!C18=3,120+Inputs!$B$26+Inputs!$B$28,MAX(0,(Inputs!$B$3-100)*3)+Inputs!$B$27+Inputs!$B$28)))</f>
        <v/>
      </c>
      <c r="E1300">
        <f>INDEX(FactorTable!$B$2:$Y$301, MATCH(ROUND(MIN(300,MAX(1,D1300)),0), FactorTable!$A$2:$A$301,0), Skills!M18+1)</f>
        <v/>
      </c>
      <c r="F1300">
        <f>IF(Skills!N18=TRUE,(Skills!L18/10)*(E1300/1000),Skills!L18/10)+Skills!O18</f>
        <v/>
      </c>
      <c r="G1300">
        <f>Skills!G18*IF(Skills!H18&gt;0,Skills!I18/Skills!H18,1)</f>
        <v/>
      </c>
      <c r="H1300">
        <f>1-(1-Skills!J18/100)^Skills!K18</f>
        <v/>
      </c>
      <c r="I1300" t="inlineStr">
        <is>
          <t>1</t>
        </is>
      </c>
      <c r="J1300" t="inlineStr"/>
      <c r="K1300" t="inlineStr"/>
      <c r="L1300" t="inlineStr"/>
      <c r="M1300" t="inlineStr"/>
      <c r="N1300" t="inlineStr"/>
      <c r="O1300" t="n">
        <v>0</v>
      </c>
      <c r="P1300">
        <f>IF(B1327=0,0,O1300/B1327)</f>
        <v/>
      </c>
      <c r="Q1300" t="n">
        <v>0</v>
      </c>
      <c r="R1300" t="n">
        <v>0</v>
      </c>
      <c r="S1300">
        <f>IFERROR(O1300/N1300,0)</f>
        <v/>
      </c>
    </row>
    <row r="1301">
      <c r="A1301">
        <f>Skills!A19</f>
        <v/>
      </c>
      <c r="B1301">
        <f>Skills!B19</f>
        <v/>
      </c>
      <c r="C1301">
        <f>TRUE</f>
        <v/>
      </c>
      <c r="D1301">
        <f>IF(Skills!C19=1,60+Inputs!$B$24+Inputs!$B$28,IF(Skills!C19=2,90+Inputs!$B$25+Inputs!$B$28,IF(Skills!C19=3,120+Inputs!$B$26+Inputs!$B$28,MAX(0,(Inputs!$B$3-100)*3)+Inputs!$B$27+Inputs!$B$28)))</f>
        <v/>
      </c>
      <c r="E1301">
        <f>INDEX(FactorTable!$B$2:$Y$301, MATCH(ROUND(MIN(300,MAX(1,D1301)),0), FactorTable!$A$2:$A$301,0), Skills!M19+1)</f>
        <v/>
      </c>
      <c r="F1301">
        <f>IF(Skills!N19=TRUE,(Skills!L19/10)*(E1301/1000),Skills!L19/10)+Skills!O19</f>
        <v/>
      </c>
      <c r="G1301">
        <f>Skills!G19*IF(Skills!H19&gt;0,Skills!I19/Skills!H19,1)</f>
        <v/>
      </c>
      <c r="H1301">
        <f>1-(1-Skills!J19/100)^Skills!K19</f>
        <v/>
      </c>
      <c r="I1301" t="inlineStr">
        <is>
          <t>1</t>
        </is>
      </c>
      <c r="J1301" t="inlineStr"/>
      <c r="K1301" t="inlineStr"/>
      <c r="L1301" t="inlineStr"/>
      <c r="M1301" t="inlineStr"/>
      <c r="N1301" t="inlineStr"/>
      <c r="O1301" t="n">
        <v>0</v>
      </c>
      <c r="P1301">
        <f>IF(B1327=0,0,O1301/B1327)</f>
        <v/>
      </c>
      <c r="Q1301">
        <f>IFERROR(1/IF(Inputs!$B$4="pvp",15,MAX(0.1,Skills!D19-IF(Skills!E19=TRUE,Inputs!$B$31,0))),0)</f>
        <v/>
      </c>
      <c r="R1301">
        <f>IF(AND(Inputs!$B$4&lt;&gt;"pvp",Inputs!$B$35&gt;0),(INT(Inputs!$B$35/IF(Inputs!$B$4="pvp",15,MAX(0.1,Skills!D19-IF(Skills!E19=TRUE,Inputs!$B$31,0))))+1),0)</f>
        <v/>
      </c>
      <c r="S1301">
        <f>IFERROR(O1301/N1301,0)</f>
        <v/>
      </c>
    </row>
    <row r="1302">
      <c r="A1302">
        <f>Skills!A20</f>
        <v/>
      </c>
      <c r="B1302">
        <f>Skills!B20</f>
        <v/>
      </c>
      <c r="C1302">
        <f>Inputs!$B$3&gt;=15</f>
        <v/>
      </c>
      <c r="D1302">
        <f>IF(Skills!C20=1,60+Inputs!$B$24+Inputs!$B$28,IF(Skills!C20=2,90+Inputs!$B$25+Inputs!$B$28,IF(Skills!C20=3,120+Inputs!$B$26+Inputs!$B$28,MAX(0,(Inputs!$B$3-100)*3)+Inputs!$B$27+Inputs!$B$28)))</f>
        <v/>
      </c>
      <c r="E1302">
        <f>INDEX(FactorTable!$B$2:$Y$301, MATCH(ROUND(MIN(300,MAX(1,D1302)),0), FactorTable!$A$2:$A$301,0), Skills!M20+1)</f>
        <v/>
      </c>
      <c r="F1302">
        <f>IF(Skills!N20=TRUE,(Skills!L20/10)*(E1302/1000),Skills!L20/10)+Skills!O20</f>
        <v/>
      </c>
      <c r="G1302">
        <f>Skills!G20*IF(Skills!H20&gt;0,Skills!I20/Skills!H20,1)</f>
        <v/>
      </c>
      <c r="H1302">
        <f>1-(1-Skills!J20/100)^Skills!K20</f>
        <v/>
      </c>
      <c r="I1302" t="inlineStr">
        <is>
          <t>1</t>
        </is>
      </c>
      <c r="J1302" t="inlineStr"/>
      <c r="K1302" t="inlineStr"/>
      <c r="L1302" t="inlineStr"/>
      <c r="M1302" t="inlineStr"/>
      <c r="N1302" t="inlineStr"/>
      <c r="O1302" t="n">
        <v>0</v>
      </c>
      <c r="P1302">
        <f>IF(B1327=0,0,O1302/B1327)</f>
        <v/>
      </c>
      <c r="Q1302">
        <f>IFERROR(1/IF(Inputs!$B$4="pvp",15,MAX(0.1,Skills!D20-IF(Skills!E20=TRUE,Inputs!$B$31,0))),0)</f>
        <v/>
      </c>
      <c r="R1302">
        <f>IF(AND(Inputs!$B$4&lt;&gt;"pvp",Inputs!$B$35&gt;0),(INT(Inputs!$B$35/IF(Inputs!$B$4="pvp",15,MAX(0.1,Skills!D20-IF(Skills!E20=TRUE,Inputs!$B$31,0))))+1),0)</f>
        <v/>
      </c>
      <c r="S1302">
        <f>IFERROR(O1302/N1302,0)</f>
        <v/>
      </c>
    </row>
    <row r="1303">
      <c r="A1303">
        <f>Skills!A21</f>
        <v/>
      </c>
      <c r="B1303">
        <f>Skills!B21</f>
        <v/>
      </c>
      <c r="C1303">
        <f>Inputs!$B$3&gt;=15</f>
        <v/>
      </c>
      <c r="D1303">
        <f>IF(Skills!C21=1,60+Inputs!$B$24+Inputs!$B$28,IF(Skills!C21=2,90+Inputs!$B$25+Inputs!$B$28,IF(Skills!C21=3,120+Inputs!$B$26+Inputs!$B$28,MAX(0,(Inputs!$B$3-100)*3)+Inputs!$B$27+Inputs!$B$28)))</f>
        <v/>
      </c>
      <c r="E1303">
        <f>INDEX(FactorTable!$B$2:$Y$301, MATCH(ROUND(MIN(300,MAX(1,D1303)),0), FactorTable!$A$2:$A$301,0), Skills!M21+1)</f>
        <v/>
      </c>
      <c r="F1303">
        <f>IF(Skills!N21=TRUE,(Skills!L21/10)*(E1303/1000),Skills!L21/10)+Skills!O21</f>
        <v/>
      </c>
      <c r="G1303">
        <f>Skills!G21*IF(Skills!H21&gt;0,Skills!I21/Skills!H21,1)</f>
        <v/>
      </c>
      <c r="H1303">
        <f>1-(1-Skills!J21/100)^Skills!K21</f>
        <v/>
      </c>
      <c r="I1303" t="inlineStr">
        <is>
          <t>1</t>
        </is>
      </c>
      <c r="J1303" t="inlineStr"/>
      <c r="K1303" t="inlineStr"/>
      <c r="L1303" t="inlineStr"/>
      <c r="M1303" t="inlineStr"/>
      <c r="N1303" t="inlineStr"/>
      <c r="O1303" t="n">
        <v>0</v>
      </c>
      <c r="P1303">
        <f>IF(B1327=0,0,O1303/B1327)</f>
        <v/>
      </c>
      <c r="Q1303">
        <f>IFERROR(1/IF(Inputs!$B$4="pvp",15,MAX(0.1,Skills!D21-IF(Skills!E21=TRUE,Inputs!$B$31,0))),0)</f>
        <v/>
      </c>
      <c r="R1303">
        <f>IF(AND(Inputs!$B$4&lt;&gt;"pvp",Inputs!$B$35&gt;0),(INT(Inputs!$B$35/IF(Inputs!$B$4="pvp",15,MAX(0.1,Skills!D21-IF(Skills!E21=TRUE,Inputs!$B$31,0))))+1),0)</f>
        <v/>
      </c>
      <c r="S1303">
        <f>IFERROR(O1303/N1303,0)</f>
        <v/>
      </c>
    </row>
    <row r="1304">
      <c r="A1304">
        <f>Skills!A22</f>
        <v/>
      </c>
      <c r="B1304">
        <f>Skills!B22</f>
        <v/>
      </c>
      <c r="C1304">
        <f>Inputs!$B$3&gt;=33</f>
        <v/>
      </c>
      <c r="D1304">
        <f>IF(Skills!C22=1,60+Inputs!$B$24+Inputs!$B$28,IF(Skills!C22=2,90+Inputs!$B$25+Inputs!$B$28,IF(Skills!C22=3,120+Inputs!$B$26+Inputs!$B$28,MAX(0,(Inputs!$B$3-100)*3)+Inputs!$B$27+Inputs!$B$28)))</f>
        <v/>
      </c>
      <c r="E1304">
        <f>INDEX(FactorTable!$B$2:$Y$301, MATCH(ROUND(MIN(300,MAX(1,D1304)),0), FactorTable!$A$2:$A$301,0), Skills!M22+1)</f>
        <v/>
      </c>
      <c r="F1304">
        <f>IF(Skills!N22=TRUE,(Skills!L22/10)*(E1304/1000),Skills!L22/10)+Skills!O22</f>
        <v/>
      </c>
      <c r="G1304">
        <f>Skills!G22*IF(Skills!H22&gt;0,Skills!I22/Skills!H22,1)</f>
        <v/>
      </c>
      <c r="H1304">
        <f>1-(1-Skills!J22/100)^Skills!K22</f>
        <v/>
      </c>
      <c r="I1304" t="inlineStr">
        <is>
          <t>1</t>
        </is>
      </c>
      <c r="J1304" t="inlineStr"/>
      <c r="K1304" t="inlineStr"/>
      <c r="L1304" t="inlineStr"/>
      <c r="M1304" t="inlineStr"/>
      <c r="N1304" t="inlineStr"/>
      <c r="O1304" t="n">
        <v>0</v>
      </c>
      <c r="P1304">
        <f>IF(B1327=0,0,O1304/B1327)</f>
        <v/>
      </c>
      <c r="Q1304" t="n">
        <v>0</v>
      </c>
      <c r="R1304" t="n">
        <v>0</v>
      </c>
      <c r="S1304">
        <f>IFERROR(O1304/N1304,0)</f>
        <v/>
      </c>
    </row>
    <row r="1305">
      <c r="A1305">
        <f>Skills!A23</f>
        <v/>
      </c>
      <c r="B1305">
        <f>Skills!B23</f>
        <v/>
      </c>
      <c r="C1305">
        <f>Inputs!$B$3&gt;=40</f>
        <v/>
      </c>
      <c r="D1305">
        <f>IF(Skills!C23=1,60+Inputs!$B$24+Inputs!$B$28,IF(Skills!C23=2,90+Inputs!$B$25+Inputs!$B$28,IF(Skills!C23=3,120+Inputs!$B$26+Inputs!$B$28,MAX(0,(Inputs!$B$3-100)*3)+Inputs!$B$27+Inputs!$B$28)))</f>
        <v/>
      </c>
      <c r="E1305">
        <f>INDEX(FactorTable!$B$2:$Y$301, MATCH(ROUND(MIN(300,MAX(1,D1305)),0), FactorTable!$A$2:$A$301,0), Skills!M23+1)</f>
        <v/>
      </c>
      <c r="F1305">
        <f>IF(Skills!N23=TRUE,(Skills!L23/10)*(E1305/1000),Skills!L23/10)+Skills!O23</f>
        <v/>
      </c>
      <c r="G1305">
        <f>Skills!G23*IF(Skills!H23&gt;0,Skills!I23/Skills!H23,1)</f>
        <v/>
      </c>
      <c r="H1305">
        <f>1-(1-Skills!J23/100)^Skills!K23</f>
        <v/>
      </c>
      <c r="I1305" t="inlineStr">
        <is>
          <t>1</t>
        </is>
      </c>
      <c r="J1305" t="inlineStr"/>
      <c r="K1305" t="inlineStr"/>
      <c r="L1305" t="inlineStr"/>
      <c r="M1305" t="inlineStr"/>
      <c r="N1305" t="inlineStr"/>
      <c r="O1305" t="n">
        <v>0</v>
      </c>
      <c r="P1305">
        <f>IF(B1327=0,0,O1305/B1327)</f>
        <v/>
      </c>
      <c r="Q1305" t="n">
        <v>0</v>
      </c>
      <c r="R1305" t="n">
        <v>0</v>
      </c>
      <c r="S1305">
        <f>IFERROR(O1305/N1305,0)</f>
        <v/>
      </c>
    </row>
    <row r="1306">
      <c r="A1306">
        <f>Skills!A24</f>
        <v/>
      </c>
      <c r="B1306">
        <f>Skills!B24</f>
        <v/>
      </c>
      <c r="C1306">
        <f>Inputs!$B$3&gt;=43</f>
        <v/>
      </c>
      <c r="D1306">
        <f>IF(Skills!C24=1,60+Inputs!$B$24+Inputs!$B$28,IF(Skills!C24=2,90+Inputs!$B$25+Inputs!$B$28,IF(Skills!C24=3,120+Inputs!$B$26+Inputs!$B$28,MAX(0,(Inputs!$B$3-100)*3)+Inputs!$B$27+Inputs!$B$28)))</f>
        <v/>
      </c>
      <c r="E1306">
        <f>INDEX(FactorTable!$B$2:$Y$301, MATCH(ROUND(MIN(300,MAX(1,D1306)),0), FactorTable!$A$2:$A$301,0), Skills!M24+1)</f>
        <v/>
      </c>
      <c r="F1306">
        <f>IF(Skills!N24=TRUE,(Skills!L24/10)*(E1306/1000),Skills!L24/10)+Skills!O24</f>
        <v/>
      </c>
      <c r="G1306">
        <f>Skills!G24*IF(Skills!H24&gt;0,Skills!I24/Skills!H24,1)</f>
        <v/>
      </c>
      <c r="H1306">
        <f>1-(1-Skills!J24/100)^Skills!K24</f>
        <v/>
      </c>
      <c r="I1306" t="inlineStr">
        <is>
          <t>1</t>
        </is>
      </c>
      <c r="J1306" t="inlineStr"/>
      <c r="K1306" t="inlineStr"/>
      <c r="L1306" t="inlineStr"/>
      <c r="M1306" t="inlineStr"/>
      <c r="N1306" t="inlineStr"/>
      <c r="O1306" t="n">
        <v>0</v>
      </c>
      <c r="P1306">
        <f>IF(B1327=0,0,O1306/B1327)</f>
        <v/>
      </c>
      <c r="Q1306" t="n">
        <v>0</v>
      </c>
      <c r="R1306" t="n">
        <v>0</v>
      </c>
      <c r="S1306">
        <f>IFERROR(O1306/N1306,0)</f>
        <v/>
      </c>
    </row>
    <row r="1307">
      <c r="A1307">
        <f>Skills!A25</f>
        <v/>
      </c>
      <c r="B1307">
        <f>Skills!B25</f>
        <v/>
      </c>
      <c r="C1307">
        <f>Inputs!$B$3&gt;=50</f>
        <v/>
      </c>
      <c r="D1307">
        <f>IF(Skills!C25=1,60+Inputs!$B$24+Inputs!$B$28,IF(Skills!C25=2,90+Inputs!$B$25+Inputs!$B$28,IF(Skills!C25=3,120+Inputs!$B$26+Inputs!$B$28,MAX(0,(Inputs!$B$3-100)*3)+Inputs!$B$27+Inputs!$B$28)))</f>
        <v/>
      </c>
      <c r="E1307">
        <f>INDEX(FactorTable!$B$2:$Y$301, MATCH(ROUND(MIN(300,MAX(1,D1307)),0), FactorTable!$A$2:$A$301,0), Skills!M25+1)</f>
        <v/>
      </c>
      <c r="F1307">
        <f>IF(Skills!N25=TRUE,(Skills!L25/10)*(E1307/1000),Skills!L25/10)+Skills!O25</f>
        <v/>
      </c>
      <c r="G1307">
        <f>Skills!G25*IF(Skills!H25&gt;0,Skills!I25/Skills!H25,1)</f>
        <v/>
      </c>
      <c r="H1307">
        <f>1-(1-Skills!J25/100)^Skills!K25</f>
        <v/>
      </c>
      <c r="I1307" t="inlineStr">
        <is>
          <t>1</t>
        </is>
      </c>
      <c r="J1307" t="inlineStr"/>
      <c r="K1307" t="inlineStr"/>
      <c r="L1307" t="inlineStr"/>
      <c r="M1307" t="inlineStr"/>
      <c r="N1307" t="inlineStr"/>
      <c r="O1307" t="n">
        <v>0</v>
      </c>
      <c r="P1307">
        <f>IF(B1327=0,0,O1307/B1327)</f>
        <v/>
      </c>
      <c r="Q1307" t="n">
        <v>0</v>
      </c>
      <c r="R1307" t="n">
        <v>0</v>
      </c>
      <c r="S1307">
        <f>IFERROR(O1307/N1307,0)</f>
        <v/>
      </c>
    </row>
    <row r="1308">
      <c r="A1308">
        <f>Skills!A26</f>
        <v/>
      </c>
      <c r="B1308">
        <f>Skills!B26</f>
        <v/>
      </c>
      <c r="C1308">
        <f>Inputs!$B$3&gt;=50</f>
        <v/>
      </c>
      <c r="D1308">
        <f>IF(Skills!C26=1,60+Inputs!$B$24+Inputs!$B$28,IF(Skills!C26=2,90+Inputs!$B$25+Inputs!$B$28,IF(Skills!C26=3,120+Inputs!$B$26+Inputs!$B$28,MAX(0,(Inputs!$B$3-100)*3)+Inputs!$B$27+Inputs!$B$28)))</f>
        <v/>
      </c>
      <c r="E1308">
        <f>INDEX(FactorTable!$B$2:$Y$301, MATCH(ROUND(MIN(300,MAX(1,D1308)),0), FactorTable!$A$2:$A$301,0), Skills!M26+1)</f>
        <v/>
      </c>
      <c r="F1308">
        <f>IF(Skills!N26=TRUE,(Skills!L26/10)*(E1308/1000),Skills!L26/10)+Skills!O26</f>
        <v/>
      </c>
      <c r="G1308">
        <f>Skills!G26*IF(Skills!H26&gt;0,Skills!I26/Skills!H26,1)</f>
        <v/>
      </c>
      <c r="H1308">
        <f>1-(1-Skills!J26/100)^Skills!K26</f>
        <v/>
      </c>
      <c r="I1308" t="inlineStr">
        <is>
          <t>1</t>
        </is>
      </c>
      <c r="J1308" t="inlineStr"/>
      <c r="K1308" t="inlineStr"/>
      <c r="L1308" t="inlineStr"/>
      <c r="M1308" t="inlineStr"/>
      <c r="N1308" t="inlineStr"/>
      <c r="O1308" t="n">
        <v>0</v>
      </c>
      <c r="P1308">
        <f>IF(B1327=0,0,O1308/B1327)</f>
        <v/>
      </c>
      <c r="Q1308" t="n">
        <v>0</v>
      </c>
      <c r="R1308" t="n">
        <v>0</v>
      </c>
      <c r="S1308">
        <f>IFERROR(O1308/N1308,0)</f>
        <v/>
      </c>
    </row>
    <row r="1309">
      <c r="A1309">
        <f>Skills!A27</f>
        <v/>
      </c>
      <c r="B1309">
        <f>Skills!B27</f>
        <v/>
      </c>
      <c r="C1309">
        <f>Inputs!$B$3&gt;=38</f>
        <v/>
      </c>
      <c r="D1309">
        <f>IF(Skills!C27=1,60+Inputs!$B$24+Inputs!$B$28,IF(Skills!C27=2,90+Inputs!$B$25+Inputs!$B$28,IF(Skills!C27=3,120+Inputs!$B$26+Inputs!$B$28,MAX(0,(Inputs!$B$3-100)*3)+Inputs!$B$27+Inputs!$B$28)))</f>
        <v/>
      </c>
      <c r="E1309">
        <f>INDEX(FactorTable!$B$2:$Y$301, MATCH(ROUND(MIN(300,MAX(1,D1309)),0), FactorTable!$A$2:$A$301,0), Skills!M27+1)</f>
        <v/>
      </c>
      <c r="F1309">
        <f>IF(Skills!N27=TRUE,(Skills!L27/10)*(E1309/1000),Skills!L27/10)+Skills!O27</f>
        <v/>
      </c>
      <c r="G1309">
        <f>Skills!G27*IF(Skills!H27&gt;0,Skills!I27/Skills!H27,1)</f>
        <v/>
      </c>
      <c r="H1309">
        <f>1-(1-Skills!J27/100)^Skills!K27</f>
        <v/>
      </c>
      <c r="I1309" t="inlineStr">
        <is>
          <t>1</t>
        </is>
      </c>
      <c r="J1309" t="inlineStr"/>
      <c r="K1309" t="inlineStr"/>
      <c r="L1309" t="inlineStr"/>
      <c r="M1309" t="inlineStr"/>
      <c r="N1309" t="inlineStr"/>
      <c r="O1309" t="n">
        <v>0</v>
      </c>
      <c r="P1309">
        <f>IF(B1327=0,0,O1309/B1327)</f>
        <v/>
      </c>
      <c r="Q1309" t="n">
        <v>0</v>
      </c>
      <c r="R1309" t="n">
        <v>0</v>
      </c>
      <c r="S1309">
        <f>IFERROR(O1309/N1309,0)</f>
        <v/>
      </c>
    </row>
    <row r="1310">
      <c r="A1310">
        <f>Skills!A28</f>
        <v/>
      </c>
      <c r="B1310">
        <f>Skills!B28</f>
        <v/>
      </c>
      <c r="C1310">
        <f>Inputs!$B$3&gt;=120</f>
        <v/>
      </c>
      <c r="D1310">
        <f>IF(Skills!C28=1,60+Inputs!$B$24+Inputs!$B$28,IF(Skills!C28=2,90+Inputs!$B$25+Inputs!$B$28,IF(Skills!C28=3,120+Inputs!$B$26+Inputs!$B$28,MAX(0,(Inputs!$B$3-100)*3)+Inputs!$B$27+Inputs!$B$28)))</f>
        <v/>
      </c>
      <c r="E1310">
        <f>INDEX(FactorTable!$B$2:$Y$301, MATCH(ROUND(MIN(300,MAX(1,D1310)),0), FactorTable!$A$2:$A$301,0), Skills!M28+1)</f>
        <v/>
      </c>
      <c r="F1310">
        <f>IF(Skills!N28=TRUE,(Skills!L28/10)*(E1310/1000),Skills!L28/10)+Skills!O28</f>
        <v/>
      </c>
      <c r="G1310">
        <f>Skills!G28*IF(Skills!H28&gt;0,Skills!I28/Skills!H28,1)</f>
        <v/>
      </c>
      <c r="H1310">
        <f>1-(1-Skills!J28/100)^Skills!K28</f>
        <v/>
      </c>
      <c r="I1310" t="inlineStr">
        <is>
          <t>1</t>
        </is>
      </c>
      <c r="J1310" t="inlineStr"/>
      <c r="K1310" t="inlineStr"/>
      <c r="L1310" t="inlineStr"/>
      <c r="M1310" t="inlineStr"/>
      <c r="N1310" t="inlineStr"/>
      <c r="O1310" t="n">
        <v>0</v>
      </c>
      <c r="P1310">
        <f>IF(B1327=0,0,O1310/B1327)</f>
        <v/>
      </c>
      <c r="Q1310" t="n">
        <v>0</v>
      </c>
      <c r="R1310" t="n">
        <v>0</v>
      </c>
      <c r="S1310">
        <f>IFERROR(O1310/N1310,0)</f>
        <v/>
      </c>
    </row>
    <row r="1311">
      <c r="A1311">
        <f>Skills!A29</f>
        <v/>
      </c>
      <c r="B1311">
        <f>Skills!B29</f>
        <v/>
      </c>
      <c r="C1311">
        <f>Inputs!$B$3&gt;=120</f>
        <v/>
      </c>
      <c r="D1311">
        <f>IF(Skills!C29=1,60+Inputs!$B$24+Inputs!$B$28,IF(Skills!C29=2,90+Inputs!$B$25+Inputs!$B$28,IF(Skills!C29=3,120+Inputs!$B$26+Inputs!$B$28,MAX(0,(Inputs!$B$3-100)*3)+Inputs!$B$27+Inputs!$B$28)))</f>
        <v/>
      </c>
      <c r="E1311">
        <f>INDEX(FactorTable!$B$2:$Y$301, MATCH(ROUND(MIN(300,MAX(1,D1311)),0), FactorTable!$A$2:$A$301,0), Skills!M29+1)</f>
        <v/>
      </c>
      <c r="F1311">
        <f>IF(Skills!N29=TRUE,(Skills!L29/10)*(E1311/1000),Skills!L29/10)+Skills!O29</f>
        <v/>
      </c>
      <c r="G1311">
        <f>Skills!G29*IF(Skills!H29&gt;0,Skills!I29/Skills!H29,1)</f>
        <v/>
      </c>
      <c r="H1311">
        <f>1-(1-Skills!J29/100)^Skills!K29</f>
        <v/>
      </c>
      <c r="I1311" t="inlineStr">
        <is>
          <t>1</t>
        </is>
      </c>
      <c r="J1311" t="inlineStr"/>
      <c r="K1311" t="inlineStr"/>
      <c r="L1311" t="inlineStr"/>
      <c r="M1311" t="inlineStr"/>
      <c r="N1311" t="inlineStr"/>
      <c r="O1311" t="n">
        <v>0</v>
      </c>
      <c r="P1311">
        <f>IF(B1327=0,0,O1311/B1327)</f>
        <v/>
      </c>
      <c r="Q1311" t="n">
        <v>0</v>
      </c>
      <c r="R1311" t="n">
        <v>0</v>
      </c>
      <c r="S1311">
        <f>IFERROR(O1311/N1311,0)</f>
        <v/>
      </c>
    </row>
    <row r="1312">
      <c r="A1312">
        <f>Skills!A30</f>
        <v/>
      </c>
      <c r="B1312">
        <f>Skills!B30</f>
        <v/>
      </c>
      <c r="C1312">
        <f>Inputs!$B$3&gt;=125</f>
        <v/>
      </c>
      <c r="D1312">
        <f>IF(Skills!C30=1,60+Inputs!$B$24+Inputs!$B$28,IF(Skills!C30=2,90+Inputs!$B$25+Inputs!$B$28,IF(Skills!C30=3,120+Inputs!$B$26+Inputs!$B$28,MAX(0,(Inputs!$B$3-100)*3)+Inputs!$B$27+Inputs!$B$28)))</f>
        <v/>
      </c>
      <c r="E1312">
        <f>INDEX(FactorTable!$B$2:$Y$301, MATCH(ROUND(MIN(300,MAX(1,D1312)),0), FactorTable!$A$2:$A$301,0), Skills!M30+1)</f>
        <v/>
      </c>
      <c r="F1312">
        <f>IF(Skills!N30=TRUE,(Skills!L30/10)*(E1312/1000),Skills!L30/10)+Skills!O30</f>
        <v/>
      </c>
      <c r="G1312">
        <f>Skills!G30*IF(Skills!H30&gt;0,Skills!I30/Skills!H30,1)</f>
        <v/>
      </c>
      <c r="H1312">
        <f>1-(1-Skills!J30/100)^Skills!K30</f>
        <v/>
      </c>
      <c r="I1312" t="inlineStr">
        <is>
          <t>1</t>
        </is>
      </c>
      <c r="J1312" t="inlineStr"/>
      <c r="K1312" t="inlineStr"/>
      <c r="L1312" t="inlineStr"/>
      <c r="M1312" t="inlineStr"/>
      <c r="N1312" t="inlineStr"/>
      <c r="O1312" t="n">
        <v>0</v>
      </c>
      <c r="P1312">
        <f>IF(B1327=0,0,O1312/B1327)</f>
        <v/>
      </c>
      <c r="Q1312" t="n">
        <v>0</v>
      </c>
      <c r="R1312" t="n">
        <v>0</v>
      </c>
      <c r="S1312">
        <f>IFERROR(O1312/N1312,0)</f>
        <v/>
      </c>
    </row>
    <row r="1314">
      <c r="A1314" t="inlineStr">
        <is>
          <t>Average Buff Multiplier</t>
        </is>
      </c>
      <c r="B1314">
        <f>(1+(((C1303=TRUE)*F1303*IF(AND(Inputs!$B$4&lt;&gt;"pvp",Inputs!$B$35&gt;0),(((S1303-1)*(Skills!Y21*(1+Inputs!$B$33/100))+MIN((Skills!Y21*(1+Inputs!$B$33/100)),MAX(0,Inputs!$B$35-((S1303-1)*Skills!D21))))/Inputs!$B$35),IF(Inputs!$B$4="pvp",MIN((Skills!Y21*(1+Inputs!$B$33/100)),15)/15,(Skills!Y21*(1+Inputs!$B$33/100))/Skills!D21)))+((C1305=TRUE)*(F1305-Calc!F23))+((C1299=TRUE)*(F1299-Calc!F17)))/100)*(1+((C1292=TRUE)*F1292*IF(AND(Inputs!$B$4&lt;&gt;"pvp",Inputs!$B$35&gt;0),(((S1292-1)*(Skills!Y10*(1+Inputs!$B$33/100))+MIN((Skills!Y10*(1+Inputs!$B$33/100)),MAX(0,Inputs!$B$35-((S1292-1)*Skills!D10))))/Inputs!$B$35),IF(Inputs!$B$4="pvp",MIN((Skills!Y10*(1+Inputs!$B$33/100)),15)/15,(Skills!Y10*(1+Inputs!$B$33/100))/Skills!D10)))/100)*(1+((C1297=TRUE)*F1297*IF(AND(Inputs!$B$4&lt;&gt;"pvp",Inputs!$B$35&gt;0),(((S1297-1)*(Skills!Y15*(1+Inputs!$B$33/100))+MIN((Skills!Y15*(1+Inputs!$B$33/100)),MAX(0,Inputs!$B$35-((S1297-1)*Skills!D15))))/Inputs!$B$35),IF(Inputs!$B$4="pvp",MIN((Skills!Y15*(1+Inputs!$B$33/100)),15)/15,(Skills!Y15*(1+Inputs!$B$33/100))/Skills!D15)))/100)</f>
        <v/>
      </c>
    </row>
    <row r="1315">
      <c r="A1315" t="inlineStr">
        <is>
          <t>Global Crit Rate Bonus %</t>
        </is>
      </c>
      <c r="B1315">
        <f>((C1302=TRUE)*F1302*IF(AND(Inputs!$B$4&lt;&gt;"pvp",Inputs!$B$35&gt;0),(((S1302-1)*(Skills!Y20*(1+Inputs!$B$33/100))+MIN((Skills!Y20*(1+Inputs!$B$33/100)),MAX(0,Inputs!$B$35-((S1302-1)*Skills!D20))))/Inputs!$B$35),IF(Inputs!$B$4="pvp",MIN((Skills!Y20*(1+Inputs!$B$33/100)),15)/15,(Skills!Y20*(1+Inputs!$B$33/100))/Skills!D20)))</f>
        <v/>
      </c>
    </row>
    <row r="1316">
      <c r="A1316" t="inlineStr">
        <is>
          <t>Global Monster Damage-Taken Bonus %</t>
        </is>
      </c>
      <c r="B1316">
        <f>IF(Inputs!$B$3&gt;=82,15,0)</f>
        <v/>
      </c>
    </row>
    <row r="1317">
      <c r="A1317" t="inlineStr">
        <is>
          <t>Shadow Partner Average Multiplier</t>
        </is>
      </c>
      <c r="B1317">
        <f>1+((C1289=TRUE)*F1289*(1+3.3333333333333335*IF(C1300=TRUE,F1300,0)/100)*I1289*Skills!J7/100)/100</f>
        <v/>
      </c>
    </row>
    <row r="1318">
      <c r="A1318" t="inlineStr">
        <is>
          <t>Attack Speed Buff Bonus %</t>
        </is>
      </c>
      <c r="B1318">
        <f>((C1301=TRUE)*F1301*IF(AND(Inputs!$B$4&lt;&gt;"pvp",Inputs!$B$35&gt;0),(((S1301-1)*(Skills!Y19*(1+Inputs!$B$33/100))+MIN((Skills!Y19*(1+Inputs!$B$33/100)),MAX(0,Inputs!$B$35-((S1301-1)*Skills!D19))))/Inputs!$B$35),IF(Inputs!$B$4="pvp",MIN((Skills!Y19*(1+Inputs!$B$33/100)),15)/15,(Skills!Y19*(1+Inputs!$B$33/100))/Skills!D19)))+((C1285=TRUE)*F1285*3)</f>
        <v/>
      </c>
    </row>
    <row r="1319">
      <c r="A1319" t="inlineStr">
        <is>
          <t>Actions Per Second</t>
        </is>
      </c>
      <c r="B1319">
        <f>1+MIN(150,150*(1-(1-(Inputs!$B$10+((C1304=TRUE)*(F1304-Calc!F22)))/150)*(1-B1318/150)))/100</f>
        <v/>
      </c>
    </row>
    <row r="1320">
      <c r="A1320" t="inlineStr">
        <is>
          <t>Skill + Buff Cast Rate</t>
        </is>
      </c>
      <c r="B1320">
        <f>IF(AND(Inputs!$B$4&lt;&gt;"pvp",Inputs!$B$35&gt;0),SUMPRODUCT((Skills!E2:E30=TRUE)*(C1284:C1312=TRUE)*R1284:R1312*Skills!F2:F30)/Inputs!$B$35,SUMPRODUCT((Skills!E2:E30=TRUE)*(C1284:C1312=TRUE)*Q1284:Q1312*Skills!F2:F30))</f>
        <v/>
      </c>
    </row>
    <row r="1321">
      <c r="A1321" t="inlineStr">
        <is>
          <t>Cruel Stab Casts Per Second</t>
        </is>
      </c>
      <c r="B1321">
        <f>MAX(0,B1319-B1320)</f>
        <v/>
      </c>
    </row>
    <row r="1322">
      <c r="A1322" t="inlineStr">
        <is>
          <t>Global Critical Damage Bonus % (Smokescreen Mastery Lv.113)</t>
        </is>
      </c>
      <c r="B1322">
        <f>IF(Inputs!$B$3&gt;=113,30,0)*IF(AND(Inputs!$B$4&lt;&gt;"pvp",Inputs!$B$35&gt;0),(((S1297-1)*(Skills!Y15*(1+Inputs!$B$33/100))+MIN((Skills!Y15*(1+Inputs!$B$33/100)),MAX(0,Inputs!$B$35-((S1297-1)*Skills!D15))))/Inputs!$B$35),IF(Inputs!$B$4="pvp",MIN((Skills!Y15*(1+Inputs!$B$33/100)),15)/15,(Skills!Y15*(1+Inputs!$B$33/100))/Skills!D15))</f>
        <v/>
      </c>
    </row>
    <row r="1323">
      <c r="A1323" t="inlineStr">
        <is>
          <t>Meso Explosion average stack count</t>
        </is>
      </c>
      <c r="B1323">
        <f>MIN(10,0.5*B1319*Skills!D4)</f>
        <v/>
      </c>
    </row>
    <row r="1324">
      <c r="A1324" t="inlineStr">
        <is>
          <t>Blood Money average stack count</t>
        </is>
      </c>
      <c r="B1324">
        <f>MIN(5,0.25*B1319*Skills!D4)</f>
        <v/>
      </c>
    </row>
    <row r="1325">
      <c r="A1325" t="inlineStr">
        <is>
          <t>Assassinate Murderous Intent Multiplier</t>
        </is>
      </c>
      <c r="B1325">
        <f>1+IFERROR(MIN(1,Q1296*2/Q1293),0)</f>
        <v/>
      </c>
    </row>
    <row r="1327">
      <c r="A1327" s="5" t="inlineStr">
        <is>
          <t>TOTAL DPS</t>
        </is>
      </c>
      <c r="B1327" s="5">
        <f>SUM(O1284:O1312)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8" t="inlineStr">
        <is>
          <t>Slot</t>
        </is>
      </c>
      <c r="B1" s="8" t="inlineStr">
        <is>
          <t>Rarity</t>
        </is>
      </c>
      <c r="C1" s="8" t="inlineStr">
        <is>
          <t>Line</t>
        </is>
      </c>
      <c r="D1" s="8" t="inlineStr">
        <is>
          <t>Stat</t>
        </is>
      </c>
      <c r="E1" s="8" t="inlineStr">
        <is>
          <t>Value</t>
        </is>
      </c>
      <c r="F1" s="8" t="inlineStr">
        <is>
          <t>Weight</t>
        </is>
      </c>
      <c r="G1" s="8" t="inlineStr">
        <is>
          <t>Prime</t>
        </is>
      </c>
      <c r="H1" s="8" t="inlineStr">
        <is>
          <t>DPSPerUnit</t>
        </is>
      </c>
      <c r="J1" s="10" t="inlineStr">
        <is>
          <t>Stat</t>
        </is>
      </c>
      <c r="K1" s="10" t="inlineStr">
        <is>
          <t>DPSPerUnit</t>
        </is>
      </c>
      <c r="M1" s="10" t="inlineStr">
        <is>
          <t>Rarity</t>
        </is>
      </c>
      <c r="N1" s="10" t="inlineStr">
        <is>
          <t>Rate</t>
        </is>
      </c>
      <c r="O1" s="10" t="inlineStr">
        <is>
          <t>MaxPity</t>
        </is>
      </c>
      <c r="Q1" s="10" t="inlineStr">
        <is>
          <t>SlotList</t>
        </is>
      </c>
    </row>
    <row r="2">
      <c r="A2" t="inlineStr">
        <is>
          <t>ALL</t>
        </is>
      </c>
      <c r="B2" t="inlineStr">
        <is>
          <t>normal</t>
        </is>
      </c>
      <c r="C2" t="n">
        <v>1</v>
      </c>
      <c r="D2" t="inlineStr">
        <is>
          <t>Critical Rate %</t>
        </is>
      </c>
      <c r="E2" t="n">
        <v>3</v>
      </c>
      <c r="F2" t="n">
        <v>2.5</v>
      </c>
      <c r="G2" t="b">
        <v>0</v>
      </c>
      <c r="H2">
        <f>IF(Inputs!$B$8&gt;=100,Sensitivity!H16,Sensitivity!H15)</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Q7" t="inlineStr">
        <is>
          <t>belt</t>
        </is>
      </c>
    </row>
    <row r="8">
      <c r="A8" t="inlineStr">
        <is>
          <t>ALL</t>
        </is>
      </c>
      <c r="B8" t="inlineStr">
        <is>
          <t>normal</t>
        </is>
      </c>
      <c r="C8" t="n">
        <v>1</v>
      </c>
      <c r="D8" t="inlineStr">
        <is>
          <t>Dex %</t>
        </is>
      </c>
      <c r="E8" t="n">
        <v>3</v>
      </c>
      <c r="F8" t="n">
        <v>4.5</v>
      </c>
      <c r="G8" t="b">
        <v>0</v>
      </c>
      <c r="H8" t="inlineStr">
        <is>
          <t>0</t>
        </is>
      </c>
      <c r="J8" t="inlineStr">
        <is>
          <t>Companion Summoning Time Increase %</t>
        </is>
      </c>
      <c r="K8">
        <f>Sensitivity!H16</f>
        <v/>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Q9" t="inlineStr">
        <is>
          <t>boots</t>
        </is>
      </c>
    </row>
    <row r="10">
      <c r="A10" t="inlineStr">
        <is>
          <t>ALL</t>
        </is>
      </c>
      <c r="B10" t="inlineStr">
        <is>
          <t>normal</t>
        </is>
      </c>
      <c r="C10" t="n">
        <v>1</v>
      </c>
      <c r="D10" t="inlineStr">
        <is>
          <t>Luk %</t>
        </is>
      </c>
      <c r="E10" t="n">
        <v>3</v>
      </c>
      <c r="F10" t="n">
        <v>4.5</v>
      </c>
      <c r="G10" t="b">
        <v>0</v>
      </c>
      <c r="H10">
        <f>Sensitivity!H6</f>
        <v/>
      </c>
      <c r="J10" t="inlineStr">
        <is>
          <t>Critical Rate %</t>
        </is>
      </c>
      <c r="K10">
        <f>IF(Inputs!$B$8&gt;=100,Sensitivity!H16,Sensitivity!H15)</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t="inlineStr">
        <is>
          <t>0</t>
        </is>
      </c>
      <c r="Q14" t="inlineStr">
        <is>
          <t>face</t>
        </is>
      </c>
    </row>
    <row r="15">
      <c r="A15" t="inlineStr">
        <is>
          <t>ALL</t>
        </is>
      </c>
      <c r="B15" t="inlineStr">
        <is>
          <t>normal</t>
        </is>
      </c>
      <c r="C15" t="n">
        <v>1</v>
      </c>
      <c r="D15" t="inlineStr">
        <is>
          <t>Dex</t>
        </is>
      </c>
      <c r="E15" t="n">
        <v>50</v>
      </c>
      <c r="F15" t="n">
        <v>9.5</v>
      </c>
      <c r="G15" t="b">
        <v>0</v>
      </c>
      <c r="H15" t="inlineStr">
        <is>
          <t>0</t>
        </is>
      </c>
      <c r="J15" t="inlineStr">
        <is>
          <t>Dex %</t>
        </is>
      </c>
      <c r="K15" t="inlineStr">
        <is>
          <t>0</t>
        </is>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f>Sensitivity!H5</f>
        <v/>
      </c>
      <c r="J17" t="inlineStr">
        <is>
          <t>Int</t>
        </is>
      </c>
      <c r="K17" t="inlineStr">
        <is>
          <t>0</t>
        </is>
      </c>
    </row>
    <row r="18">
      <c r="A18" t="inlineStr">
        <is>
          <t>ALL</t>
        </is>
      </c>
      <c r="B18" t="inlineStr">
        <is>
          <t>normal</t>
        </is>
      </c>
      <c r="C18" t="n">
        <v>2</v>
      </c>
      <c r="D18" t="inlineStr">
        <is>
          <t>Critical Rate %</t>
        </is>
      </c>
      <c r="E18" t="n">
        <v>3</v>
      </c>
      <c r="F18" t="n">
        <v>2.5</v>
      </c>
      <c r="G18" t="b">
        <v>0</v>
      </c>
      <c r="H18">
        <f>IF(Inputs!$B$8&gt;=100,Sensitivity!H16,Sensitivity!H15)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f>Sensitivity!H5</f>
        <v/>
      </c>
    </row>
    <row r="20">
      <c r="A20" t="inlineStr">
        <is>
          <t>ALL</t>
        </is>
      </c>
      <c r="B20" t="inlineStr">
        <is>
          <t>normal</t>
        </is>
      </c>
      <c r="C20" t="n">
        <v>2</v>
      </c>
      <c r="D20" t="inlineStr">
        <is>
          <t>Damage %</t>
        </is>
      </c>
      <c r="E20" t="n">
        <v>5</v>
      </c>
      <c r="F20" t="n">
        <v>4</v>
      </c>
      <c r="G20" t="b">
        <v>0</v>
      </c>
      <c r="H20">
        <f>Sensitivity!H8</f>
        <v/>
      </c>
      <c r="J20" t="inlineStr">
        <is>
          <t>Luk %</t>
        </is>
      </c>
      <c r="K20">
        <f>Sensitivity!H6</f>
        <v/>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t="inlineStr">
        <is>
          <t>0</t>
        </is>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f>Sensitivity!H6</f>
        <v/>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t="inlineStr">
        <is>
          <t>0</t>
        </is>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f>Sensitivity!H5</f>
        <v/>
      </c>
    </row>
    <row r="34">
      <c r="A34" t="inlineStr">
        <is>
          <t>ALL</t>
        </is>
      </c>
      <c r="B34" t="inlineStr">
        <is>
          <t>normal</t>
        </is>
      </c>
      <c r="C34" t="n">
        <v>3</v>
      </c>
      <c r="D34" t="inlineStr">
        <is>
          <t>Critical Rate %</t>
        </is>
      </c>
      <c r="E34" t="n">
        <v>3</v>
      </c>
      <c r="F34" t="n">
        <v>2.5</v>
      </c>
      <c r="G34" t="b">
        <v>0</v>
      </c>
      <c r="H34">
        <f>IF(Inputs!$B$8&gt;=100,Sensitivity!H16,Sensitivity!H15)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t="inlineStr">
        <is>
          <t>0</t>
        </is>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f>Sensitivity!H6</f>
        <v/>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t="inlineStr">
        <is>
          <t>0</t>
        </is>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f>Sensitivity!H5</f>
        <v/>
      </c>
    </row>
    <row r="50">
      <c r="A50" t="inlineStr">
        <is>
          <t>ALL</t>
        </is>
      </c>
      <c r="B50" t="inlineStr">
        <is>
          <t>rare</t>
        </is>
      </c>
      <c r="C50" t="n">
        <v>1</v>
      </c>
      <c r="D50" t="inlineStr">
        <is>
          <t>Critical Rate %</t>
        </is>
      </c>
      <c r="E50" t="n">
        <v>4.5</v>
      </c>
      <c r="F50" t="n">
        <v>2.5</v>
      </c>
      <c r="G50" t="b">
        <v>1</v>
      </c>
      <c r="H50">
        <f>IF(Inputs!$B$8&gt;=100,Sensitivity!H16,Sensitivity!H15)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t="inlineStr">
        <is>
          <t>0</t>
        </is>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f>Sensitivity!H6</f>
        <v/>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t="inlineStr">
        <is>
          <t>0</t>
        </is>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f>Sensitivity!H5</f>
        <v/>
      </c>
    </row>
    <row r="66">
      <c r="A66" t="inlineStr">
        <is>
          <t>ALL</t>
        </is>
      </c>
      <c r="B66" t="inlineStr">
        <is>
          <t>rare</t>
        </is>
      </c>
      <c r="C66" t="n">
        <v>2</v>
      </c>
      <c r="D66" t="inlineStr">
        <is>
          <t>Critical Rate %</t>
        </is>
      </c>
      <c r="E66" t="n">
        <v>3</v>
      </c>
      <c r="F66" t="n">
        <v>1.9</v>
      </c>
      <c r="G66" t="b">
        <v>0</v>
      </c>
      <c r="H66">
        <f>IF(Inputs!$B$8&gt;=100,Sensitivity!H16,Sensitivity!H15)</f>
        <v/>
      </c>
    </row>
    <row r="67">
      <c r="A67" t="inlineStr">
        <is>
          <t>ALL</t>
        </is>
      </c>
      <c r="B67" t="inlineStr">
        <is>
          <t>rare</t>
        </is>
      </c>
      <c r="C67" t="n">
        <v>2</v>
      </c>
      <c r="D67" t="inlineStr">
        <is>
          <t>Critical Rate %</t>
        </is>
      </c>
      <c r="E67" t="n">
        <v>4.5</v>
      </c>
      <c r="F67" t="n">
        <v>0.6</v>
      </c>
      <c r="G67" t="b">
        <v>1</v>
      </c>
      <c r="H67">
        <f>IF(Inputs!$B$8&gt;=100,Sensitivity!H16,Sensitivity!H15)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t="inlineStr">
        <is>
          <t>0</t>
        </is>
      </c>
    </row>
    <row r="79">
      <c r="A79" t="inlineStr">
        <is>
          <t>ALL</t>
        </is>
      </c>
      <c r="B79" t="inlineStr">
        <is>
          <t>rare</t>
        </is>
      </c>
      <c r="C79" t="n">
        <v>2</v>
      </c>
      <c r="D79" t="inlineStr">
        <is>
          <t>Dex %</t>
        </is>
      </c>
      <c r="E79" t="n">
        <v>4.5</v>
      </c>
      <c r="F79" t="n">
        <v>1.08</v>
      </c>
      <c r="G79" t="b">
        <v>1</v>
      </c>
      <c r="H79" t="inlineStr">
        <is>
          <t>0</t>
        </is>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f>Sensitivity!H6</f>
        <v/>
      </c>
    </row>
    <row r="83">
      <c r="A83" t="inlineStr">
        <is>
          <t>ALL</t>
        </is>
      </c>
      <c r="B83" t="inlineStr">
        <is>
          <t>rare</t>
        </is>
      </c>
      <c r="C83" t="n">
        <v>2</v>
      </c>
      <c r="D83" t="inlineStr">
        <is>
          <t>Luk %</t>
        </is>
      </c>
      <c r="E83" t="n">
        <v>4.5</v>
      </c>
      <c r="F83" t="n">
        <v>1.08</v>
      </c>
      <c r="G83" t="b">
        <v>1</v>
      </c>
      <c r="H83">
        <f>Sensitivity!H6</f>
        <v/>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t="inlineStr">
        <is>
          <t>0</t>
        </is>
      </c>
    </row>
    <row r="93">
      <c r="A93" t="inlineStr">
        <is>
          <t>ALL</t>
        </is>
      </c>
      <c r="B93" t="inlineStr">
        <is>
          <t>rare</t>
        </is>
      </c>
      <c r="C93" t="n">
        <v>2</v>
      </c>
      <c r="D93" t="inlineStr">
        <is>
          <t>Dex</t>
        </is>
      </c>
      <c r="E93" t="n">
        <v>100</v>
      </c>
      <c r="F93" t="n">
        <v>2.28</v>
      </c>
      <c r="G93" t="b">
        <v>1</v>
      </c>
      <c r="H93" t="inlineStr">
        <is>
          <t>0</t>
        </is>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f>Sensitivity!H5</f>
        <v/>
      </c>
    </row>
    <row r="97">
      <c r="A97" t="inlineStr">
        <is>
          <t>ALL</t>
        </is>
      </c>
      <c r="B97" t="inlineStr">
        <is>
          <t>rare</t>
        </is>
      </c>
      <c r="C97" t="n">
        <v>2</v>
      </c>
      <c r="D97" t="inlineStr">
        <is>
          <t>Luk</t>
        </is>
      </c>
      <c r="E97" t="n">
        <v>100</v>
      </c>
      <c r="F97" t="n">
        <v>2.28</v>
      </c>
      <c r="G97" t="b">
        <v>1</v>
      </c>
      <c r="H97">
        <f>Sensitivity!H5</f>
        <v/>
      </c>
    </row>
    <row r="98">
      <c r="A98" t="inlineStr">
        <is>
          <t>ALL</t>
        </is>
      </c>
      <c r="B98" t="inlineStr">
        <is>
          <t>rare</t>
        </is>
      </c>
      <c r="C98" t="n">
        <v>3</v>
      </c>
      <c r="D98" t="inlineStr">
        <is>
          <t>Critical Rate %</t>
        </is>
      </c>
      <c r="E98" t="n">
        <v>3</v>
      </c>
      <c r="F98" t="n">
        <v>2.3</v>
      </c>
      <c r="G98" t="b">
        <v>0</v>
      </c>
      <c r="H98">
        <f>IF(Inputs!$B$8&gt;=100,Sensitivity!H16,Sensitivity!H15)</f>
        <v/>
      </c>
    </row>
    <row r="99">
      <c r="A99" t="inlineStr">
        <is>
          <t>ALL</t>
        </is>
      </c>
      <c r="B99" t="inlineStr">
        <is>
          <t>rare</t>
        </is>
      </c>
      <c r="C99" t="n">
        <v>3</v>
      </c>
      <c r="D99" t="inlineStr">
        <is>
          <t>Critical Rate %</t>
        </is>
      </c>
      <c r="E99" t="n">
        <v>4.5</v>
      </c>
      <c r="F99" t="n">
        <v>0.2</v>
      </c>
      <c r="G99" t="b">
        <v>1</v>
      </c>
      <c r="H99">
        <f>IF(Inputs!$B$8&gt;=100,Sensitivity!H16,Sensitivity!H15)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t="inlineStr">
        <is>
          <t>0</t>
        </is>
      </c>
    </row>
    <row r="111">
      <c r="A111" t="inlineStr">
        <is>
          <t>ALL</t>
        </is>
      </c>
      <c r="B111" t="inlineStr">
        <is>
          <t>rare</t>
        </is>
      </c>
      <c r="C111" t="n">
        <v>3</v>
      </c>
      <c r="D111" t="inlineStr">
        <is>
          <t>Dex %</t>
        </is>
      </c>
      <c r="E111" t="n">
        <v>4.5</v>
      </c>
      <c r="F111" t="n">
        <v>0.36</v>
      </c>
      <c r="G111" t="b">
        <v>1</v>
      </c>
      <c r="H111" t="inlineStr">
        <is>
          <t>0</t>
        </is>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f>Sensitivity!H6</f>
        <v/>
      </c>
    </row>
    <row r="115">
      <c r="A115" t="inlineStr">
        <is>
          <t>ALL</t>
        </is>
      </c>
      <c r="B115" t="inlineStr">
        <is>
          <t>rare</t>
        </is>
      </c>
      <c r="C115" t="n">
        <v>3</v>
      </c>
      <c r="D115" t="inlineStr">
        <is>
          <t>Luk %</t>
        </is>
      </c>
      <c r="E115" t="n">
        <v>4.5</v>
      </c>
      <c r="F115" t="n">
        <v>0.36</v>
      </c>
      <c r="G115" t="b">
        <v>1</v>
      </c>
      <c r="H115">
        <f>Sensitivity!H6</f>
        <v/>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t="inlineStr">
        <is>
          <t>0</t>
        </is>
      </c>
    </row>
    <row r="125">
      <c r="A125" t="inlineStr">
        <is>
          <t>ALL</t>
        </is>
      </c>
      <c r="B125" t="inlineStr">
        <is>
          <t>rare</t>
        </is>
      </c>
      <c r="C125" t="n">
        <v>3</v>
      </c>
      <c r="D125" t="inlineStr">
        <is>
          <t>Dex</t>
        </is>
      </c>
      <c r="E125" t="n">
        <v>100</v>
      </c>
      <c r="F125" t="n">
        <v>0.76</v>
      </c>
      <c r="G125" t="b">
        <v>1</v>
      </c>
      <c r="H125" t="inlineStr">
        <is>
          <t>0</t>
        </is>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f>Sensitivity!H5</f>
        <v/>
      </c>
    </row>
    <row r="129">
      <c r="A129" t="inlineStr">
        <is>
          <t>ALL</t>
        </is>
      </c>
      <c r="B129" t="inlineStr">
        <is>
          <t>rare</t>
        </is>
      </c>
      <c r="C129" t="n">
        <v>3</v>
      </c>
      <c r="D129" t="inlineStr">
        <is>
          <t>Luk</t>
        </is>
      </c>
      <c r="E129" t="n">
        <v>100</v>
      </c>
      <c r="F129" t="n">
        <v>0.76</v>
      </c>
      <c r="G129" t="b">
        <v>1</v>
      </c>
      <c r="H129">
        <f>Sensitivity!H5</f>
        <v/>
      </c>
    </row>
    <row r="130">
      <c r="A130" t="inlineStr">
        <is>
          <t>ALL</t>
        </is>
      </c>
      <c r="B130" t="inlineStr">
        <is>
          <t>epic</t>
        </is>
      </c>
      <c r="C130" t="n">
        <v>1</v>
      </c>
      <c r="D130" t="inlineStr">
        <is>
          <t>Critical Rate %</t>
        </is>
      </c>
      <c r="E130" t="n">
        <v>6</v>
      </c>
      <c r="F130" t="n">
        <v>2.5</v>
      </c>
      <c r="G130" t="b">
        <v>1</v>
      </c>
      <c r="H130">
        <f>IF(Inputs!$B$8&gt;=100,Sensitivity!H16,Sensitivity!H15)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t="inlineStr">
        <is>
          <t>0</t>
        </is>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f>Sensitivity!H6</f>
        <v/>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t="inlineStr">
        <is>
          <t>0</t>
        </is>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f>Sensitivity!H5</f>
        <v/>
      </c>
    </row>
    <row r="146">
      <c r="A146" t="inlineStr">
        <is>
          <t>ALL</t>
        </is>
      </c>
      <c r="B146" t="inlineStr">
        <is>
          <t>epic</t>
        </is>
      </c>
      <c r="C146" t="n">
        <v>2</v>
      </c>
      <c r="D146" t="inlineStr">
        <is>
          <t>Critical Rate %</t>
        </is>
      </c>
      <c r="E146" t="n">
        <v>4.5</v>
      </c>
      <c r="F146" t="n">
        <v>1.9</v>
      </c>
      <c r="G146" t="b">
        <v>0</v>
      </c>
      <c r="H146">
        <f>IF(Inputs!$B$8&gt;=100,Sensitivity!H16,Sensitivity!H15)</f>
        <v/>
      </c>
    </row>
    <row r="147">
      <c r="A147" t="inlineStr">
        <is>
          <t>ALL</t>
        </is>
      </c>
      <c r="B147" t="inlineStr">
        <is>
          <t>epic</t>
        </is>
      </c>
      <c r="C147" t="n">
        <v>2</v>
      </c>
      <c r="D147" t="inlineStr">
        <is>
          <t>Critical Rate %</t>
        </is>
      </c>
      <c r="E147" t="n">
        <v>6</v>
      </c>
      <c r="F147" t="n">
        <v>0.6</v>
      </c>
      <c r="G147" t="b">
        <v>1</v>
      </c>
      <c r="H147">
        <f>IF(Inputs!$B$8&gt;=100,Sensitivity!H16,Sensitivity!H15)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t="inlineStr">
        <is>
          <t>0</t>
        </is>
      </c>
    </row>
    <row r="159">
      <c r="A159" t="inlineStr">
        <is>
          <t>ALL</t>
        </is>
      </c>
      <c r="B159" t="inlineStr">
        <is>
          <t>epic</t>
        </is>
      </c>
      <c r="C159" t="n">
        <v>2</v>
      </c>
      <c r="D159" t="inlineStr">
        <is>
          <t>Dex %</t>
        </is>
      </c>
      <c r="E159" t="n">
        <v>6</v>
      </c>
      <c r="F159" t="n">
        <v>1.08</v>
      </c>
      <c r="G159" t="b">
        <v>1</v>
      </c>
      <c r="H159" t="inlineStr">
        <is>
          <t>0</t>
        </is>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f>Sensitivity!H6</f>
        <v/>
      </c>
    </row>
    <row r="163">
      <c r="A163" t="inlineStr">
        <is>
          <t>ALL</t>
        </is>
      </c>
      <c r="B163" t="inlineStr">
        <is>
          <t>epic</t>
        </is>
      </c>
      <c r="C163" t="n">
        <v>2</v>
      </c>
      <c r="D163" t="inlineStr">
        <is>
          <t>Luk %</t>
        </is>
      </c>
      <c r="E163" t="n">
        <v>6</v>
      </c>
      <c r="F163" t="n">
        <v>1.08</v>
      </c>
      <c r="G163" t="b">
        <v>1</v>
      </c>
      <c r="H163">
        <f>Sensitivity!H6</f>
        <v/>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t="inlineStr">
        <is>
          <t>0</t>
        </is>
      </c>
    </row>
    <row r="173">
      <c r="A173" t="inlineStr">
        <is>
          <t>ALL</t>
        </is>
      </c>
      <c r="B173" t="inlineStr">
        <is>
          <t>epic</t>
        </is>
      </c>
      <c r="C173" t="n">
        <v>2</v>
      </c>
      <c r="D173" t="inlineStr">
        <is>
          <t>Dex</t>
        </is>
      </c>
      <c r="E173" t="n">
        <v>200</v>
      </c>
      <c r="F173" t="n">
        <v>2.22</v>
      </c>
      <c r="G173" t="b">
        <v>1</v>
      </c>
      <c r="H173" t="inlineStr">
        <is>
          <t>0</t>
        </is>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f>Sensitivity!H5</f>
        <v/>
      </c>
    </row>
    <row r="177">
      <c r="A177" t="inlineStr">
        <is>
          <t>ALL</t>
        </is>
      </c>
      <c r="B177" t="inlineStr">
        <is>
          <t>epic</t>
        </is>
      </c>
      <c r="C177" t="n">
        <v>2</v>
      </c>
      <c r="D177" t="inlineStr">
        <is>
          <t>Luk</t>
        </is>
      </c>
      <c r="E177" t="n">
        <v>200</v>
      </c>
      <c r="F177" t="n">
        <v>2.22</v>
      </c>
      <c r="G177" t="b">
        <v>1</v>
      </c>
      <c r="H177">
        <f>Sensitivity!H5</f>
        <v/>
      </c>
    </row>
    <row r="178">
      <c r="A178" t="inlineStr">
        <is>
          <t>ALL</t>
        </is>
      </c>
      <c r="B178" t="inlineStr">
        <is>
          <t>epic</t>
        </is>
      </c>
      <c r="C178" t="n">
        <v>3</v>
      </c>
      <c r="D178" t="inlineStr">
        <is>
          <t>Critical Rate %</t>
        </is>
      </c>
      <c r="E178" t="n">
        <v>4.5</v>
      </c>
      <c r="F178" t="n">
        <v>2.3</v>
      </c>
      <c r="G178" t="b">
        <v>0</v>
      </c>
      <c r="H178">
        <f>IF(Inputs!$B$8&gt;=100,Sensitivity!H16,Sensitivity!H15)</f>
        <v/>
      </c>
    </row>
    <row r="179">
      <c r="A179" t="inlineStr">
        <is>
          <t>ALL</t>
        </is>
      </c>
      <c r="B179" t="inlineStr">
        <is>
          <t>epic</t>
        </is>
      </c>
      <c r="C179" t="n">
        <v>3</v>
      </c>
      <c r="D179" t="inlineStr">
        <is>
          <t>Critical Rate %</t>
        </is>
      </c>
      <c r="E179" t="n">
        <v>6</v>
      </c>
      <c r="F179" t="n">
        <v>0.2</v>
      </c>
      <c r="G179" t="b">
        <v>1</v>
      </c>
      <c r="H179">
        <f>IF(Inputs!$B$8&gt;=100,Sensitivity!H16,Sensitivity!H15)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t="inlineStr">
        <is>
          <t>0</t>
        </is>
      </c>
    </row>
    <row r="191">
      <c r="A191" t="inlineStr">
        <is>
          <t>ALL</t>
        </is>
      </c>
      <c r="B191" t="inlineStr">
        <is>
          <t>epic</t>
        </is>
      </c>
      <c r="C191" t="n">
        <v>3</v>
      </c>
      <c r="D191" t="inlineStr">
        <is>
          <t>Dex %</t>
        </is>
      </c>
      <c r="E191" t="n">
        <v>6</v>
      </c>
      <c r="F191" t="n">
        <v>0.36</v>
      </c>
      <c r="G191" t="b">
        <v>1</v>
      </c>
      <c r="H191" t="inlineStr">
        <is>
          <t>0</t>
        </is>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f>Sensitivity!H6</f>
        <v/>
      </c>
    </row>
    <row r="195">
      <c r="A195" t="inlineStr">
        <is>
          <t>ALL</t>
        </is>
      </c>
      <c r="B195" t="inlineStr">
        <is>
          <t>epic</t>
        </is>
      </c>
      <c r="C195" t="n">
        <v>3</v>
      </c>
      <c r="D195" t="inlineStr">
        <is>
          <t>Luk %</t>
        </is>
      </c>
      <c r="E195" t="n">
        <v>6</v>
      </c>
      <c r="F195" t="n">
        <v>0.36</v>
      </c>
      <c r="G195" t="b">
        <v>1</v>
      </c>
      <c r="H195">
        <f>Sensitivity!H6</f>
        <v/>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t="inlineStr">
        <is>
          <t>0</t>
        </is>
      </c>
    </row>
    <row r="205">
      <c r="A205" t="inlineStr">
        <is>
          <t>ALL</t>
        </is>
      </c>
      <c r="B205" t="inlineStr">
        <is>
          <t>epic</t>
        </is>
      </c>
      <c r="C205" t="n">
        <v>3</v>
      </c>
      <c r="D205" t="inlineStr">
        <is>
          <t>Dex</t>
        </is>
      </c>
      <c r="E205" t="n">
        <v>200</v>
      </c>
      <c r="F205" t="n">
        <v>0.74</v>
      </c>
      <c r="G205" t="b">
        <v>1</v>
      </c>
      <c r="H205" t="inlineStr">
        <is>
          <t>0</t>
        </is>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f>Sensitivity!H5</f>
        <v/>
      </c>
    </row>
    <row r="209">
      <c r="A209" t="inlineStr">
        <is>
          <t>ALL</t>
        </is>
      </c>
      <c r="B209" t="inlineStr">
        <is>
          <t>epic</t>
        </is>
      </c>
      <c r="C209" t="n">
        <v>3</v>
      </c>
      <c r="D209" t="inlineStr">
        <is>
          <t>Luk</t>
        </is>
      </c>
      <c r="E209" t="n">
        <v>200</v>
      </c>
      <c r="F209" t="n">
        <v>0.74</v>
      </c>
      <c r="G209" t="b">
        <v>1</v>
      </c>
      <c r="H209">
        <f>Sensitivity!H5</f>
        <v/>
      </c>
    </row>
    <row r="210">
      <c r="A210" t="inlineStr">
        <is>
          <t>ALL</t>
        </is>
      </c>
      <c r="B210" t="inlineStr">
        <is>
          <t>unique</t>
        </is>
      </c>
      <c r="C210" t="n">
        <v>1</v>
      </c>
      <c r="D210" t="inlineStr">
        <is>
          <t>Critical Rate %</t>
        </is>
      </c>
      <c r="E210" t="n">
        <v>9</v>
      </c>
      <c r="F210" t="n">
        <v>2.5</v>
      </c>
      <c r="G210" t="b">
        <v>1</v>
      </c>
      <c r="H210">
        <f>IF(Inputs!$B$8&gt;=100,Sensitivity!H16,Sensitivity!H15)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t="inlineStr">
        <is>
          <t>0</t>
        </is>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f>Sensitivity!H6</f>
        <v/>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t="inlineStr">
        <is>
          <t>0</t>
        </is>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f>Sensitivity!H5</f>
        <v/>
      </c>
    </row>
    <row r="226">
      <c r="A226" t="inlineStr">
        <is>
          <t>ALL</t>
        </is>
      </c>
      <c r="B226" t="inlineStr">
        <is>
          <t>unique</t>
        </is>
      </c>
      <c r="C226" t="n">
        <v>2</v>
      </c>
      <c r="D226" t="inlineStr">
        <is>
          <t>Critical Rate %</t>
        </is>
      </c>
      <c r="E226" t="n">
        <v>6</v>
      </c>
      <c r="F226" t="n">
        <v>1.9</v>
      </c>
      <c r="G226" t="b">
        <v>0</v>
      </c>
      <c r="H226">
        <f>IF(Inputs!$B$8&gt;=100,Sensitivity!H16,Sensitivity!H15)</f>
        <v/>
      </c>
    </row>
    <row r="227">
      <c r="A227" t="inlineStr">
        <is>
          <t>ALL</t>
        </is>
      </c>
      <c r="B227" t="inlineStr">
        <is>
          <t>unique</t>
        </is>
      </c>
      <c r="C227" t="n">
        <v>2</v>
      </c>
      <c r="D227" t="inlineStr">
        <is>
          <t>Critical Rate %</t>
        </is>
      </c>
      <c r="E227" t="n">
        <v>9</v>
      </c>
      <c r="F227" t="n">
        <v>0.6</v>
      </c>
      <c r="G227" t="b">
        <v>1</v>
      </c>
      <c r="H227">
        <f>IF(Inputs!$B$8&gt;=100,Sensitivity!H16,Sensitivity!H15)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t="inlineStr">
        <is>
          <t>0</t>
        </is>
      </c>
    </row>
    <row r="239">
      <c r="A239" t="inlineStr">
        <is>
          <t>ALL</t>
        </is>
      </c>
      <c r="B239" t="inlineStr">
        <is>
          <t>unique</t>
        </is>
      </c>
      <c r="C239" t="n">
        <v>2</v>
      </c>
      <c r="D239" t="inlineStr">
        <is>
          <t>Dex %</t>
        </is>
      </c>
      <c r="E239" t="n">
        <v>9</v>
      </c>
      <c r="F239" t="n">
        <v>1.08</v>
      </c>
      <c r="G239" t="b">
        <v>1</v>
      </c>
      <c r="H239" t="inlineStr">
        <is>
          <t>0</t>
        </is>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f>Sensitivity!H6</f>
        <v/>
      </c>
    </row>
    <row r="243">
      <c r="A243" t="inlineStr">
        <is>
          <t>ALL</t>
        </is>
      </c>
      <c r="B243" t="inlineStr">
        <is>
          <t>unique</t>
        </is>
      </c>
      <c r="C243" t="n">
        <v>2</v>
      </c>
      <c r="D243" t="inlineStr">
        <is>
          <t>Luk %</t>
        </is>
      </c>
      <c r="E243" t="n">
        <v>9</v>
      </c>
      <c r="F243" t="n">
        <v>1.08</v>
      </c>
      <c r="G243" t="b">
        <v>1</v>
      </c>
      <c r="H243">
        <f>Sensitivity!H6</f>
        <v/>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t="inlineStr">
        <is>
          <t>0</t>
        </is>
      </c>
    </row>
    <row r="253">
      <c r="A253" t="inlineStr">
        <is>
          <t>ALL</t>
        </is>
      </c>
      <c r="B253" t="inlineStr">
        <is>
          <t>unique</t>
        </is>
      </c>
      <c r="C253" t="n">
        <v>2</v>
      </c>
      <c r="D253" t="inlineStr">
        <is>
          <t>Dex</t>
        </is>
      </c>
      <c r="E253" t="n">
        <v>400</v>
      </c>
      <c r="F253" t="n">
        <v>2.22</v>
      </c>
      <c r="G253" t="b">
        <v>1</v>
      </c>
      <c r="H253" t="inlineStr">
        <is>
          <t>0</t>
        </is>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f>Sensitivity!H5</f>
        <v/>
      </c>
    </row>
    <row r="257">
      <c r="A257" t="inlineStr">
        <is>
          <t>ALL</t>
        </is>
      </c>
      <c r="B257" t="inlineStr">
        <is>
          <t>unique</t>
        </is>
      </c>
      <c r="C257" t="n">
        <v>2</v>
      </c>
      <c r="D257" t="inlineStr">
        <is>
          <t>Luk</t>
        </is>
      </c>
      <c r="E257" t="n">
        <v>400</v>
      </c>
      <c r="F257" t="n">
        <v>2.22</v>
      </c>
      <c r="G257" t="b">
        <v>1</v>
      </c>
      <c r="H257">
        <f>Sensitivity!H5</f>
        <v/>
      </c>
    </row>
    <row r="258">
      <c r="A258" t="inlineStr">
        <is>
          <t>ALL</t>
        </is>
      </c>
      <c r="B258" t="inlineStr">
        <is>
          <t>unique</t>
        </is>
      </c>
      <c r="C258" t="n">
        <v>3</v>
      </c>
      <c r="D258" t="inlineStr">
        <is>
          <t>Critical Rate %</t>
        </is>
      </c>
      <c r="E258" t="n">
        <v>6</v>
      </c>
      <c r="F258" t="n">
        <v>2.3</v>
      </c>
      <c r="G258" t="b">
        <v>0</v>
      </c>
      <c r="H258">
        <f>IF(Inputs!$B$8&gt;=100,Sensitivity!H16,Sensitivity!H15)</f>
        <v/>
      </c>
    </row>
    <row r="259">
      <c r="A259" t="inlineStr">
        <is>
          <t>ALL</t>
        </is>
      </c>
      <c r="B259" t="inlineStr">
        <is>
          <t>unique</t>
        </is>
      </c>
      <c r="C259" t="n">
        <v>3</v>
      </c>
      <c r="D259" t="inlineStr">
        <is>
          <t>Critical Rate %</t>
        </is>
      </c>
      <c r="E259" t="n">
        <v>9</v>
      </c>
      <c r="F259" t="n">
        <v>0.2</v>
      </c>
      <c r="G259" t="b">
        <v>1</v>
      </c>
      <c r="H259">
        <f>IF(Inputs!$B$8&gt;=100,Sensitivity!H16,Sensitivity!H15)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t="inlineStr">
        <is>
          <t>0</t>
        </is>
      </c>
    </row>
    <row r="271">
      <c r="A271" t="inlineStr">
        <is>
          <t>ALL</t>
        </is>
      </c>
      <c r="B271" t="inlineStr">
        <is>
          <t>unique</t>
        </is>
      </c>
      <c r="C271" t="n">
        <v>3</v>
      </c>
      <c r="D271" t="inlineStr">
        <is>
          <t>Dex %</t>
        </is>
      </c>
      <c r="E271" t="n">
        <v>9</v>
      </c>
      <c r="F271" t="n">
        <v>0.36</v>
      </c>
      <c r="G271" t="b">
        <v>1</v>
      </c>
      <c r="H271" t="inlineStr">
        <is>
          <t>0</t>
        </is>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f>Sensitivity!H6</f>
        <v/>
      </c>
    </row>
    <row r="275">
      <c r="A275" t="inlineStr">
        <is>
          <t>ALL</t>
        </is>
      </c>
      <c r="B275" t="inlineStr">
        <is>
          <t>unique</t>
        </is>
      </c>
      <c r="C275" t="n">
        <v>3</v>
      </c>
      <c r="D275" t="inlineStr">
        <is>
          <t>Luk %</t>
        </is>
      </c>
      <c r="E275" t="n">
        <v>9</v>
      </c>
      <c r="F275" t="n">
        <v>0.36</v>
      </c>
      <c r="G275" t="b">
        <v>1</v>
      </c>
      <c r="H275">
        <f>Sensitivity!H6</f>
        <v/>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t="inlineStr">
        <is>
          <t>0</t>
        </is>
      </c>
    </row>
    <row r="285">
      <c r="A285" t="inlineStr">
        <is>
          <t>ALL</t>
        </is>
      </c>
      <c r="B285" t="inlineStr">
        <is>
          <t>unique</t>
        </is>
      </c>
      <c r="C285" t="n">
        <v>3</v>
      </c>
      <c r="D285" t="inlineStr">
        <is>
          <t>Dex</t>
        </is>
      </c>
      <c r="E285" t="n">
        <v>400</v>
      </c>
      <c r="F285" t="n">
        <v>0.74</v>
      </c>
      <c r="G285" t="b">
        <v>1</v>
      </c>
      <c r="H285" t="inlineStr">
        <is>
          <t>0</t>
        </is>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f>Sensitivity!H5</f>
        <v/>
      </c>
    </row>
    <row r="289">
      <c r="A289" t="inlineStr">
        <is>
          <t>ALL</t>
        </is>
      </c>
      <c r="B289" t="inlineStr">
        <is>
          <t>unique</t>
        </is>
      </c>
      <c r="C289" t="n">
        <v>3</v>
      </c>
      <c r="D289" t="inlineStr">
        <is>
          <t>Luk</t>
        </is>
      </c>
      <c r="E289" t="n">
        <v>400</v>
      </c>
      <c r="F289" t="n">
        <v>0.74</v>
      </c>
      <c r="G289" t="b">
        <v>1</v>
      </c>
      <c r="H289">
        <f>Sensitivity!H5</f>
        <v/>
      </c>
    </row>
    <row r="290">
      <c r="A290" t="inlineStr">
        <is>
          <t>ALL</t>
        </is>
      </c>
      <c r="B290" t="inlineStr">
        <is>
          <t>legendary</t>
        </is>
      </c>
      <c r="C290" t="n">
        <v>1</v>
      </c>
      <c r="D290" t="inlineStr">
        <is>
          <t>Critical Rate %</t>
        </is>
      </c>
      <c r="E290" t="n">
        <v>12</v>
      </c>
      <c r="F290" t="n">
        <v>2.5</v>
      </c>
      <c r="G290" t="b">
        <v>0</v>
      </c>
      <c r="H290">
        <f>IF(Inputs!$B$8&gt;=100,Sensitivity!H16,Sensitivity!H15)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t="inlineStr">
        <is>
          <t>0</t>
        </is>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f>Sensitivity!H6</f>
        <v/>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t="inlineStr">
        <is>
          <t>0</t>
        </is>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f>Sensitivity!H5</f>
        <v/>
      </c>
    </row>
    <row r="306">
      <c r="A306" t="inlineStr">
        <is>
          <t>ALL</t>
        </is>
      </c>
      <c r="B306" t="inlineStr">
        <is>
          <t>legendary</t>
        </is>
      </c>
      <c r="C306" t="n">
        <v>2</v>
      </c>
      <c r="D306" t="inlineStr">
        <is>
          <t>Critical Rate %</t>
        </is>
      </c>
      <c r="E306" t="n">
        <v>9</v>
      </c>
      <c r="F306" t="n">
        <v>1.9</v>
      </c>
      <c r="G306" t="b">
        <v>0</v>
      </c>
      <c r="H306">
        <f>IF(Inputs!$B$8&gt;=100,Sensitivity!H16,Sensitivity!H15)</f>
        <v/>
      </c>
    </row>
    <row r="307">
      <c r="A307" t="inlineStr">
        <is>
          <t>ALL</t>
        </is>
      </c>
      <c r="B307" t="inlineStr">
        <is>
          <t>legendary</t>
        </is>
      </c>
      <c r="C307" t="n">
        <v>2</v>
      </c>
      <c r="D307" t="inlineStr">
        <is>
          <t>Critical Rate %</t>
        </is>
      </c>
      <c r="E307" t="n">
        <v>12</v>
      </c>
      <c r="F307" t="n">
        <v>0.6</v>
      </c>
      <c r="G307" t="b">
        <v>1</v>
      </c>
      <c r="H307">
        <f>IF(Inputs!$B$8&gt;=100,Sensitivity!H16,Sensitivity!H15)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t="inlineStr">
        <is>
          <t>0</t>
        </is>
      </c>
    </row>
    <row r="319">
      <c r="A319" t="inlineStr">
        <is>
          <t>ALL</t>
        </is>
      </c>
      <c r="B319" t="inlineStr">
        <is>
          <t>legendary</t>
        </is>
      </c>
      <c r="C319" t="n">
        <v>2</v>
      </c>
      <c r="D319" t="inlineStr">
        <is>
          <t>Dex %</t>
        </is>
      </c>
      <c r="E319" t="n">
        <v>12</v>
      </c>
      <c r="F319" t="n">
        <v>1.08</v>
      </c>
      <c r="G319" t="b">
        <v>1</v>
      </c>
      <c r="H319" t="inlineStr">
        <is>
          <t>0</t>
        </is>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f>Sensitivity!H6</f>
        <v/>
      </c>
    </row>
    <row r="323">
      <c r="A323" t="inlineStr">
        <is>
          <t>ALL</t>
        </is>
      </c>
      <c r="B323" t="inlineStr">
        <is>
          <t>legendary</t>
        </is>
      </c>
      <c r="C323" t="n">
        <v>2</v>
      </c>
      <c r="D323" t="inlineStr">
        <is>
          <t>Luk %</t>
        </is>
      </c>
      <c r="E323" t="n">
        <v>12</v>
      </c>
      <c r="F323" t="n">
        <v>1.08</v>
      </c>
      <c r="G323" t="b">
        <v>1</v>
      </c>
      <c r="H323">
        <f>Sensitivity!H6</f>
        <v/>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t="inlineStr">
        <is>
          <t>0</t>
        </is>
      </c>
    </row>
    <row r="333">
      <c r="A333" t="inlineStr">
        <is>
          <t>ALL</t>
        </is>
      </c>
      <c r="B333" t="inlineStr">
        <is>
          <t>legendary</t>
        </is>
      </c>
      <c r="C333" t="n">
        <v>2</v>
      </c>
      <c r="D333" t="inlineStr">
        <is>
          <t>Dex</t>
        </is>
      </c>
      <c r="E333" t="n">
        <v>600</v>
      </c>
      <c r="F333" t="n">
        <v>2.22</v>
      </c>
      <c r="G333" t="b">
        <v>1</v>
      </c>
      <c r="H333" t="inlineStr">
        <is>
          <t>0</t>
        </is>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f>Sensitivity!H5</f>
        <v/>
      </c>
    </row>
    <row r="337">
      <c r="A337" t="inlineStr">
        <is>
          <t>ALL</t>
        </is>
      </c>
      <c r="B337" t="inlineStr">
        <is>
          <t>legendary</t>
        </is>
      </c>
      <c r="C337" t="n">
        <v>2</v>
      </c>
      <c r="D337" t="inlineStr">
        <is>
          <t>Luk</t>
        </is>
      </c>
      <c r="E337" t="n">
        <v>600</v>
      </c>
      <c r="F337" t="n">
        <v>2.22</v>
      </c>
      <c r="G337" t="b">
        <v>1</v>
      </c>
      <c r="H337">
        <f>Sensitivity!H5</f>
        <v/>
      </c>
    </row>
    <row r="338">
      <c r="A338" t="inlineStr">
        <is>
          <t>ALL</t>
        </is>
      </c>
      <c r="B338" t="inlineStr">
        <is>
          <t>legendary</t>
        </is>
      </c>
      <c r="C338" t="n">
        <v>3</v>
      </c>
      <c r="D338" t="inlineStr">
        <is>
          <t>Critical Rate %</t>
        </is>
      </c>
      <c r="E338" t="n">
        <v>9</v>
      </c>
      <c r="F338" t="n">
        <v>2.3</v>
      </c>
      <c r="G338" t="b">
        <v>0</v>
      </c>
      <c r="H338">
        <f>IF(Inputs!$B$8&gt;=100,Sensitivity!H16,Sensitivity!H15)</f>
        <v/>
      </c>
    </row>
    <row r="339">
      <c r="A339" t="inlineStr">
        <is>
          <t>ALL</t>
        </is>
      </c>
      <c r="B339" t="inlineStr">
        <is>
          <t>legendary</t>
        </is>
      </c>
      <c r="C339" t="n">
        <v>3</v>
      </c>
      <c r="D339" t="inlineStr">
        <is>
          <t>Critical Rate %</t>
        </is>
      </c>
      <c r="E339" t="n">
        <v>12</v>
      </c>
      <c r="F339" t="n">
        <v>0.2</v>
      </c>
      <c r="G339" t="b">
        <v>1</v>
      </c>
      <c r="H339">
        <f>IF(Inputs!$B$8&gt;=100,Sensitivity!H16,Sensitivity!H15)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t="inlineStr">
        <is>
          <t>0</t>
        </is>
      </c>
    </row>
    <row r="351">
      <c r="A351" t="inlineStr">
        <is>
          <t>ALL</t>
        </is>
      </c>
      <c r="B351" t="inlineStr">
        <is>
          <t>legendary</t>
        </is>
      </c>
      <c r="C351" t="n">
        <v>3</v>
      </c>
      <c r="D351" t="inlineStr">
        <is>
          <t>Dex %</t>
        </is>
      </c>
      <c r="E351" t="n">
        <v>12</v>
      </c>
      <c r="F351" t="n">
        <v>0.36</v>
      </c>
      <c r="G351" t="b">
        <v>1</v>
      </c>
      <c r="H351" t="inlineStr">
        <is>
          <t>0</t>
        </is>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f>Sensitivity!H6</f>
        <v/>
      </c>
    </row>
    <row r="355">
      <c r="A355" t="inlineStr">
        <is>
          <t>ALL</t>
        </is>
      </c>
      <c r="B355" t="inlineStr">
        <is>
          <t>legendary</t>
        </is>
      </c>
      <c r="C355" t="n">
        <v>3</v>
      </c>
      <c r="D355" t="inlineStr">
        <is>
          <t>Luk %</t>
        </is>
      </c>
      <c r="E355" t="n">
        <v>12</v>
      </c>
      <c r="F355" t="n">
        <v>0.36</v>
      </c>
      <c r="G355" t="b">
        <v>1</v>
      </c>
      <c r="H355">
        <f>Sensitivity!H6</f>
        <v/>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t="inlineStr">
        <is>
          <t>0</t>
        </is>
      </c>
    </row>
    <row r="365">
      <c r="A365" t="inlineStr">
        <is>
          <t>ALL</t>
        </is>
      </c>
      <c r="B365" t="inlineStr">
        <is>
          <t>legendary</t>
        </is>
      </c>
      <c r="C365" t="n">
        <v>3</v>
      </c>
      <c r="D365" t="inlineStr">
        <is>
          <t>Dex</t>
        </is>
      </c>
      <c r="E365" t="n">
        <v>600</v>
      </c>
      <c r="F365" t="n">
        <v>0.74</v>
      </c>
      <c r="G365" t="b">
        <v>1</v>
      </c>
      <c r="H365" t="inlineStr">
        <is>
          <t>0</t>
        </is>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f>Sensitivity!H5</f>
        <v/>
      </c>
    </row>
    <row r="369">
      <c r="A369" t="inlineStr">
        <is>
          <t>ALL</t>
        </is>
      </c>
      <c r="B369" t="inlineStr">
        <is>
          <t>legendary</t>
        </is>
      </c>
      <c r="C369" t="n">
        <v>3</v>
      </c>
      <c r="D369" t="inlineStr">
        <is>
          <t>Luk</t>
        </is>
      </c>
      <c r="E369" t="n">
        <v>600</v>
      </c>
      <c r="F369" t="n">
        <v>0.74</v>
      </c>
      <c r="G369" t="b">
        <v>1</v>
      </c>
      <c r="H369">
        <f>Sensitivity!H5</f>
        <v/>
      </c>
    </row>
    <row r="370">
      <c r="A370" t="inlineStr">
        <is>
          <t>ALL</t>
        </is>
      </c>
      <c r="B370" t="inlineStr">
        <is>
          <t>mystic</t>
        </is>
      </c>
      <c r="C370" t="n">
        <v>1</v>
      </c>
      <c r="D370" t="inlineStr">
        <is>
          <t>Critical Rate %</t>
        </is>
      </c>
      <c r="E370" t="n">
        <v>15</v>
      </c>
      <c r="F370" t="n">
        <v>2.5</v>
      </c>
      <c r="G370" t="b">
        <v>0</v>
      </c>
      <c r="H370">
        <f>IF(Inputs!$B$8&gt;=100,Sensitivity!H16,Sensitivity!H15)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t="inlineStr">
        <is>
          <t>0</t>
        </is>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f>Sensitivity!H6</f>
        <v/>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t="inlineStr">
        <is>
          <t>0</t>
        </is>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f>Sensitivity!H5</f>
        <v/>
      </c>
    </row>
    <row r="386">
      <c r="A386" t="inlineStr">
        <is>
          <t>ALL</t>
        </is>
      </c>
      <c r="B386" t="inlineStr">
        <is>
          <t>mystic</t>
        </is>
      </c>
      <c r="C386" t="n">
        <v>2</v>
      </c>
      <c r="D386" t="inlineStr">
        <is>
          <t>Critical Rate %</t>
        </is>
      </c>
      <c r="E386" t="n">
        <v>12</v>
      </c>
      <c r="F386" t="n">
        <v>1.9</v>
      </c>
      <c r="G386" t="b">
        <v>0</v>
      </c>
      <c r="H386">
        <f>IF(Inputs!$B$8&gt;=100,Sensitivity!H16,Sensitivity!H15)</f>
        <v/>
      </c>
    </row>
    <row r="387">
      <c r="A387" t="inlineStr">
        <is>
          <t>ALL</t>
        </is>
      </c>
      <c r="B387" t="inlineStr">
        <is>
          <t>mystic</t>
        </is>
      </c>
      <c r="C387" t="n">
        <v>2</v>
      </c>
      <c r="D387" t="inlineStr">
        <is>
          <t>Critical Rate %</t>
        </is>
      </c>
      <c r="E387" t="n">
        <v>15</v>
      </c>
      <c r="F387" t="n">
        <v>0.6</v>
      </c>
      <c r="G387" t="b">
        <v>1</v>
      </c>
      <c r="H387">
        <f>IF(Inputs!$B$8&gt;=100,Sensitivity!H16,Sensitivity!H15)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t="inlineStr">
        <is>
          <t>0</t>
        </is>
      </c>
    </row>
    <row r="399">
      <c r="A399" t="inlineStr">
        <is>
          <t>ALL</t>
        </is>
      </c>
      <c r="B399" t="inlineStr">
        <is>
          <t>mystic</t>
        </is>
      </c>
      <c r="C399" t="n">
        <v>2</v>
      </c>
      <c r="D399" t="inlineStr">
        <is>
          <t>Dex %</t>
        </is>
      </c>
      <c r="E399" t="n">
        <v>15</v>
      </c>
      <c r="F399" t="n">
        <v>1.08</v>
      </c>
      <c r="G399" t="b">
        <v>1</v>
      </c>
      <c r="H399" t="inlineStr">
        <is>
          <t>0</t>
        </is>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f>Sensitivity!H6</f>
        <v/>
      </c>
    </row>
    <row r="403">
      <c r="A403" t="inlineStr">
        <is>
          <t>ALL</t>
        </is>
      </c>
      <c r="B403" t="inlineStr">
        <is>
          <t>mystic</t>
        </is>
      </c>
      <c r="C403" t="n">
        <v>2</v>
      </c>
      <c r="D403" t="inlineStr">
        <is>
          <t>Luk %</t>
        </is>
      </c>
      <c r="E403" t="n">
        <v>15</v>
      </c>
      <c r="F403" t="n">
        <v>1.08</v>
      </c>
      <c r="G403" t="b">
        <v>1</v>
      </c>
      <c r="H403">
        <f>Sensitivity!H6</f>
        <v/>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t="inlineStr">
        <is>
          <t>0</t>
        </is>
      </c>
    </row>
    <row r="413">
      <c r="A413" t="inlineStr">
        <is>
          <t>ALL</t>
        </is>
      </c>
      <c r="B413" t="inlineStr">
        <is>
          <t>mystic</t>
        </is>
      </c>
      <c r="C413" t="n">
        <v>2</v>
      </c>
      <c r="D413" t="inlineStr">
        <is>
          <t>Dex</t>
        </is>
      </c>
      <c r="E413" t="n">
        <v>1000</v>
      </c>
      <c r="F413" t="n">
        <v>2.22</v>
      </c>
      <c r="G413" t="b">
        <v>1</v>
      </c>
      <c r="H413" t="inlineStr">
        <is>
          <t>0</t>
        </is>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f>Sensitivity!H5</f>
        <v/>
      </c>
    </row>
    <row r="417">
      <c r="A417" t="inlineStr">
        <is>
          <t>ALL</t>
        </is>
      </c>
      <c r="B417" t="inlineStr">
        <is>
          <t>mystic</t>
        </is>
      </c>
      <c r="C417" t="n">
        <v>2</v>
      </c>
      <c r="D417" t="inlineStr">
        <is>
          <t>Luk</t>
        </is>
      </c>
      <c r="E417" t="n">
        <v>1000</v>
      </c>
      <c r="F417" t="n">
        <v>2.22</v>
      </c>
      <c r="G417" t="b">
        <v>1</v>
      </c>
      <c r="H417">
        <f>Sensitivity!H5</f>
        <v/>
      </c>
    </row>
    <row r="418">
      <c r="A418" t="inlineStr">
        <is>
          <t>ALL</t>
        </is>
      </c>
      <c r="B418" t="inlineStr">
        <is>
          <t>mystic</t>
        </is>
      </c>
      <c r="C418" t="n">
        <v>3</v>
      </c>
      <c r="D418" t="inlineStr">
        <is>
          <t>Critical Rate %</t>
        </is>
      </c>
      <c r="E418" t="n">
        <v>12</v>
      </c>
      <c r="F418" t="n">
        <v>2.3</v>
      </c>
      <c r="G418" t="b">
        <v>0</v>
      </c>
      <c r="H418">
        <f>IF(Inputs!$B$8&gt;=100,Sensitivity!H16,Sensitivity!H15)</f>
        <v/>
      </c>
    </row>
    <row r="419">
      <c r="A419" t="inlineStr">
        <is>
          <t>ALL</t>
        </is>
      </c>
      <c r="B419" t="inlineStr">
        <is>
          <t>mystic</t>
        </is>
      </c>
      <c r="C419" t="n">
        <v>3</v>
      </c>
      <c r="D419" t="inlineStr">
        <is>
          <t>Critical Rate %</t>
        </is>
      </c>
      <c r="E419" t="n">
        <v>15</v>
      </c>
      <c r="F419" t="n">
        <v>0.2</v>
      </c>
      <c r="G419" t="b">
        <v>1</v>
      </c>
      <c r="H419">
        <f>IF(Inputs!$B$8&gt;=100,Sensitivity!H16,Sensitivity!H15)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t="inlineStr">
        <is>
          <t>0</t>
        </is>
      </c>
    </row>
    <row r="431">
      <c r="A431" t="inlineStr">
        <is>
          <t>ALL</t>
        </is>
      </c>
      <c r="B431" t="inlineStr">
        <is>
          <t>mystic</t>
        </is>
      </c>
      <c r="C431" t="n">
        <v>3</v>
      </c>
      <c r="D431" t="inlineStr">
        <is>
          <t>Dex %</t>
        </is>
      </c>
      <c r="E431" t="n">
        <v>15</v>
      </c>
      <c r="F431" t="n">
        <v>0.36</v>
      </c>
      <c r="G431" t="b">
        <v>1</v>
      </c>
      <c r="H431" t="inlineStr">
        <is>
          <t>0</t>
        </is>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f>Sensitivity!H6</f>
        <v/>
      </c>
    </row>
    <row r="435">
      <c r="A435" t="inlineStr">
        <is>
          <t>ALL</t>
        </is>
      </c>
      <c r="B435" t="inlineStr">
        <is>
          <t>mystic</t>
        </is>
      </c>
      <c r="C435" t="n">
        <v>3</v>
      </c>
      <c r="D435" t="inlineStr">
        <is>
          <t>Luk %</t>
        </is>
      </c>
      <c r="E435" t="n">
        <v>15</v>
      </c>
      <c r="F435" t="n">
        <v>0.36</v>
      </c>
      <c r="G435" t="b">
        <v>1</v>
      </c>
      <c r="H435">
        <f>Sensitivity!H6</f>
        <v/>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t="inlineStr">
        <is>
          <t>0</t>
        </is>
      </c>
    </row>
    <row r="445">
      <c r="A445" t="inlineStr">
        <is>
          <t>ALL</t>
        </is>
      </c>
      <c r="B445" t="inlineStr">
        <is>
          <t>mystic</t>
        </is>
      </c>
      <c r="C445" t="n">
        <v>3</v>
      </c>
      <c r="D445" t="inlineStr">
        <is>
          <t>Dex</t>
        </is>
      </c>
      <c r="E445" t="n">
        <v>1000</v>
      </c>
      <c r="F445" t="n">
        <v>0.74</v>
      </c>
      <c r="G445" t="b">
        <v>1</v>
      </c>
      <c r="H445" t="inlineStr">
        <is>
          <t>0</t>
        </is>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f>Sensitivity!H5</f>
        <v/>
      </c>
    </row>
    <row r="449">
      <c r="A449" t="inlineStr">
        <is>
          <t>ALL</t>
        </is>
      </c>
      <c r="B449" t="inlineStr">
        <is>
          <t>mystic</t>
        </is>
      </c>
      <c r="C449" t="n">
        <v>3</v>
      </c>
      <c r="D449" t="inlineStr">
        <is>
          <t>Luk</t>
        </is>
      </c>
      <c r="E449" t="n">
        <v>1000</v>
      </c>
      <c r="F449" t="n">
        <v>0.74</v>
      </c>
      <c r="G449" t="b">
        <v>1</v>
      </c>
      <c r="H449">
        <f>Sensitivity!H5</f>
        <v/>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8" t="inlineStr">
        <is>
          <t>Slot</t>
        </is>
      </c>
      <c r="B5" s="8" t="inlineStr">
        <is>
          <t>Potential Type</t>
        </is>
      </c>
      <c r="C5" s="8" t="inlineStr">
        <is>
          <t>Current Rarity</t>
        </is>
      </c>
      <c r="D5" s="8" t="inlineStr">
        <is>
          <t>Current Pity Count</t>
        </is>
      </c>
      <c r="E5" s="8" t="inlineStr">
        <is>
          <t>Line 1 Stat</t>
        </is>
      </c>
      <c r="F5" s="8" t="inlineStr">
        <is>
          <t>Line 1 Value</t>
        </is>
      </c>
      <c r="G5" s="8" t="inlineStr">
        <is>
          <t>Line 2 Stat</t>
        </is>
      </c>
      <c r="H5" s="8" t="inlineStr">
        <is>
          <t>Line 2 Value</t>
        </is>
      </c>
      <c r="I5" s="8" t="inlineStr">
        <is>
          <t>Line 3 Stat</t>
        </is>
      </c>
      <c r="J5" s="8"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2026-09-16T10:42:01Z</dcterms:created>
  <dcterms:modified xsi:type="dcterms:W3CDTF">2026-09-16T10:42:01Z</dcterms:modified>
</cp:coreProperties>
</file>